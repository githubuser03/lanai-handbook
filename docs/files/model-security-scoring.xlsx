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摘要" sheetId="1" state="visible" r:id="rId3"/>
    <sheet name="評分方法" sheetId="2" state="visible" r:id="rId4"/>
    <sheet name="資安適用排名" sheetId="3" state="visible" r:id="rId5"/>
    <sheet name="依用途前十" sheetId="4" state="visible" r:id="rId6"/>
    <sheet name="排除清單" sheetId="5" state="visible" r:id="rId7"/>
  </sheets>
  <definedNames>
    <definedName function="false" hidden="true" localSheetId="3" name="_xlnm._FilterDatabase" vbProcedure="false">依用途前十!$A$4:$F$152</definedName>
    <definedName function="false" hidden="true" localSheetId="4" name="_xlnm._FilterDatabase" vbProcedure="false">排除清單!$A$1:$H$1790</definedName>
    <definedName function="false" hidden="true" localSheetId="2" name="_xlnm._FilterDatabase" vbProcedure="false">資安適用排名!$A$1:$AN$2501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Noto Sans CJK SC"/>
            <family val="2"/>
          </rPr>
          <t xml:space="preserve">總分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任務適配至中文支援八個面向的得分加總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Noto Sans CJK SC"/>
            <family val="2"/>
          </rPr>
          <t xml:space="preserve">各面向得分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右側原始比率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Noto Sans CJK SC"/>
            <family val="2"/>
          </rPr>
          <t xml:space="preserve">「評分方法」分頁的權重</t>
        </r>
        <r>
          <rPr>
            <sz val="10"/>
            <rFont val="Arial"/>
            <family val="2"/>
          </rPr>
          <t xml:space="preserve">.</t>
        </r>
      </text>
    </comment>
    <comment ref="AE1" authorId="0">
      <text>
        <r>
          <rPr>
            <sz val="10"/>
            <rFont val="Arial"/>
            <family val="2"/>
          </rPr>
          <t xml:space="preserve">A </t>
        </r>
        <r>
          <rPr>
            <sz val="10"/>
            <rFont val="Noto Sans CJK SC"/>
            <family val="2"/>
          </rPr>
          <t xml:space="preserve">至 </t>
        </r>
        <r>
          <rPr>
            <sz val="10"/>
            <rFont val="Arial"/>
            <family val="2"/>
          </rPr>
          <t xml:space="preserve">H </t>
        </r>
        <r>
          <rPr>
            <sz val="10"/>
            <rFont val="Noto Sans CJK SC"/>
            <family val="2"/>
          </rPr>
          <t xml:space="preserve">原始比率 </t>
        </r>
        <r>
          <rPr>
            <sz val="10"/>
            <rFont val="Arial"/>
            <family val="2"/>
          </rPr>
          <t xml:space="preserve">(0 </t>
        </r>
        <r>
          <rPr>
            <sz val="10"/>
            <rFont val="Noto Sans CJK SC"/>
            <family val="2"/>
          </rPr>
          <t xml:space="preserve">至 </t>
        </r>
        <r>
          <rPr>
            <sz val="10"/>
            <rFont val="Arial"/>
            <family val="2"/>
          </rPr>
          <t xml:space="preserve">1) </t>
        </r>
        <r>
          <rPr>
            <sz val="10"/>
            <rFont val="Noto Sans CJK SC"/>
            <family val="2"/>
          </rPr>
          <t xml:space="preserve">為 </t>
        </r>
        <r>
          <rPr>
            <sz val="10"/>
            <rFont val="Arial"/>
            <family val="2"/>
          </rPr>
          <t xml:space="preserve">Python </t>
        </r>
        <r>
          <rPr>
            <sz val="10"/>
            <rFont val="Noto Sans CJK SC"/>
            <family val="2"/>
          </rPr>
          <t xml:space="preserve">依「評分方法」規則計算的固定值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Noto Sans CJK SC"/>
            <family val="2"/>
          </rPr>
          <t xml:space="preserve">修改權重不會改變比率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<sst xmlns="http://schemas.openxmlformats.org/spreadsheetml/2006/main" count="48338" uniqueCount="10287">
  <si>
    <r>
      <rPr>
        <b val="true"/>
        <sz val="14"/>
        <color rgb="FF000000"/>
        <rFont val="微軟正黑體"/>
        <family val="0"/>
        <charset val="1"/>
      </rPr>
      <t xml:space="preserve">Hugging Face </t>
    </r>
    <r>
      <rPr>
        <b val="true"/>
        <sz val="14"/>
        <color rgb="FF000000"/>
        <rFont val="Noto Sans CJK SC"/>
        <family val="2"/>
      </rPr>
      <t xml:space="preserve">熱門模型資安適用性評分</t>
    </r>
  </si>
  <si>
    <r>
      <rPr>
        <b val="true"/>
        <sz val="11"/>
        <color rgb="FF000000"/>
        <rFont val="Noto Sans CJK SC"/>
        <family val="2"/>
      </rPr>
      <t xml:space="preserve">結論 </t>
    </r>
    <r>
      <rPr>
        <b val="true"/>
        <sz val="11"/>
        <color rgb="FF000000"/>
        <rFont val="Calibri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依預設權重</t>
    </r>
    <r>
      <rPr>
        <b val="true"/>
        <sz val="11"/>
        <color rgb="FF000000"/>
        <rFont val="Calibri"/>
        <family val="0"/>
        <charset val="1"/>
      </rPr>
      <t xml:space="preserve">): </t>
    </r>
    <r>
      <rPr>
        <b val="true"/>
        <sz val="11"/>
        <color rgb="FF000000"/>
        <rFont val="Noto Sans CJK SC"/>
        <family val="2"/>
      </rPr>
      <t xml:space="preserve">符合模型來源白名單的 </t>
    </r>
    <r>
      <rPr>
        <b val="true"/>
        <sz val="11"/>
        <color rgb="FF000000"/>
        <rFont val="Calibri"/>
        <family val="0"/>
        <charset val="1"/>
      </rPr>
      <t xml:space="preserve">4,289 </t>
    </r>
    <r>
      <rPr>
        <b val="true"/>
        <sz val="11"/>
        <color rgb="FF000000"/>
        <rFont val="Noto Sans CJK SC"/>
        <family val="2"/>
      </rPr>
      <t xml:space="preserve">個熱門模型中</t>
    </r>
    <r>
      <rPr>
        <b val="true"/>
        <sz val="11"/>
        <color rgb="FF000000"/>
        <rFont val="Calibri"/>
        <family val="0"/>
        <charset val="1"/>
      </rPr>
      <t xml:space="preserve">, 2,500 </t>
    </r>
    <r>
      <rPr>
        <b val="true"/>
        <sz val="11"/>
        <color rgb="FF000000"/>
        <rFont val="Noto Sans CJK SC"/>
        <family val="2"/>
      </rPr>
      <t xml:space="preserve">個通過</t>
    </r>
    <r>
      <rPr>
        <b val="true"/>
        <sz val="11"/>
        <color rgb="FF000000"/>
        <rFont val="Calibri"/>
        <family val="0"/>
        <charset val="1"/>
      </rPr>
      <t xml:space="preserve">6</t>
    </r>
    <r>
      <rPr>
        <b val="true"/>
        <sz val="11"/>
        <color rgb="FF000000"/>
        <rFont val="Noto Sans CJK SC"/>
        <family val="2"/>
      </rPr>
      <t xml:space="preserve">道排除條件</t>
    </r>
    <r>
      <rPr>
        <b val="true"/>
        <sz val="11"/>
        <color rgb="FF000000"/>
        <rFont val="Calibri"/>
        <family val="0"/>
        <charset val="1"/>
      </rPr>
      <t xml:space="preserve">, </t>
    </r>
    <r>
      <rPr>
        <b val="true"/>
        <sz val="11"/>
        <color rgb="FF000000"/>
        <rFont val="Noto Sans CJK SC"/>
        <family val="2"/>
      </rPr>
      <t xml:space="preserve">其中 </t>
    </r>
    <r>
      <rPr>
        <b val="true"/>
        <sz val="11"/>
        <color rgb="FF000000"/>
        <rFont val="Calibri"/>
        <family val="0"/>
        <charset val="1"/>
      </rPr>
      <t xml:space="preserve">54 </t>
    </r>
    <r>
      <rPr>
        <b val="true"/>
        <sz val="11"/>
        <color rgb="FF000000"/>
        <rFont val="Noto Sans CJK SC"/>
        <family val="2"/>
      </rPr>
      <t xml:space="preserve">個評為「優先評估」</t>
    </r>
    <r>
      <rPr>
        <b val="true"/>
        <sz val="11"/>
        <color rgb="FF000000"/>
        <rFont val="Calibri"/>
        <family val="0"/>
        <charset val="1"/>
      </rPr>
      <t xml:space="preserve">. </t>
    </r>
    <r>
      <rPr>
        <b val="true"/>
        <sz val="11"/>
        <color rgb="FF000000"/>
        <rFont val="Noto Sans CJK SC"/>
        <family val="2"/>
      </rPr>
      <t xml:space="preserve">前段以 </t>
    </r>
    <r>
      <rPr>
        <b val="true"/>
        <sz val="11"/>
        <color rgb="FF000000"/>
        <rFont val="Calibri"/>
        <family val="0"/>
        <charset val="1"/>
      </rPr>
      <t xml:space="preserve">AI </t>
    </r>
    <r>
      <rPr>
        <b val="true"/>
        <sz val="11"/>
        <color rgb="FF000000"/>
        <rFont val="Noto Sans CJK SC"/>
        <family val="2"/>
      </rPr>
      <t xml:space="preserve">應用防護、個資偵測與資安語言模型為主</t>
    </r>
    <r>
      <rPr>
        <b val="true"/>
        <sz val="11"/>
        <color rgb="FF000000"/>
        <rFont val="Calibri"/>
        <family val="0"/>
        <charset val="1"/>
      </rPr>
      <t xml:space="preserve">; </t>
    </r>
    <r>
      <rPr>
        <b val="true"/>
        <sz val="11"/>
        <color rgb="FF000000"/>
        <rFont val="Noto Sans CJK SC"/>
        <family val="2"/>
      </rPr>
      <t xml:space="preserve">一般用途模型以多語 </t>
    </r>
    <r>
      <rPr>
        <b val="true"/>
        <sz val="11"/>
        <color rgb="FF000000"/>
        <rFont val="Calibri"/>
        <family val="0"/>
        <charset val="1"/>
      </rPr>
      <t xml:space="preserve">embedding </t>
    </r>
    <r>
      <rPr>
        <b val="true"/>
        <sz val="11"/>
        <color rgb="FF000000"/>
        <rFont val="Noto Sans CJK SC"/>
        <family val="2"/>
      </rPr>
      <t xml:space="preserve">與本地端語言模型分數最高</t>
    </r>
    <r>
      <rPr>
        <b val="true"/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</si>
  <si>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Noto Sans CJK SC"/>
        <family val="2"/>
      </rPr>
      <t xml:space="preserve">範圍</t>
    </r>
    <r>
      <rPr>
        <sz val="11"/>
        <color rgb="FF000000"/>
        <rFont val="Calibri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近六個月 </t>
    </r>
    <r>
      <rPr>
        <sz val="11"/>
        <color rgb="FF000000"/>
        <rFont val="Calibri"/>
        <family val="0"/>
        <charset val="1"/>
      </rPr>
      <t xml:space="preserve">(2026-04-25 </t>
    </r>
    <r>
      <rPr>
        <sz val="11"/>
        <color rgb="FF000000"/>
        <rFont val="Noto Sans CJK SC"/>
        <family val="2"/>
      </rPr>
      <t xml:space="preserve">至 </t>
    </r>
    <r>
      <rPr>
        <sz val="11"/>
        <color rgb="FF000000"/>
        <rFont val="Calibri"/>
        <family val="0"/>
        <charset val="1"/>
      </rPr>
      <t xml:space="preserve">2026-10-25) </t>
    </r>
    <r>
      <rPr>
        <sz val="11"/>
        <color rgb="FF000000"/>
        <rFont val="Noto Sans CJK SC"/>
        <family val="2"/>
      </rPr>
      <t xml:space="preserve">下載量占 </t>
    </r>
    <r>
      <rPr>
        <sz val="11"/>
        <color rgb="FF000000"/>
        <rFont val="Calibri"/>
        <family val="0"/>
        <charset val="1"/>
      </rPr>
      <t xml:space="preserve">Hugging Face </t>
    </r>
    <r>
      <rPr>
        <sz val="11"/>
        <color rgb="FF000000"/>
        <rFont val="Noto Sans CJK SC"/>
        <family val="2"/>
      </rPr>
      <t xml:space="preserve">全站 </t>
    </r>
    <r>
      <rPr>
        <sz val="11"/>
        <color rgb="FF000000"/>
        <rFont val="Calibri"/>
        <family val="0"/>
        <charset val="1"/>
      </rPr>
      <t xml:space="preserve">95% </t>
    </r>
    <r>
      <rPr>
        <sz val="11"/>
        <color rgb="FF000000"/>
        <rFont val="Noto Sans CJK SC"/>
        <family val="2"/>
      </rPr>
      <t xml:space="preserve">的模型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先依手冊 </t>
    </r>
    <r>
      <rPr>
        <sz val="11"/>
        <color rgb="FF000000"/>
        <rFont val="Calibri"/>
        <family val="0"/>
        <charset val="1"/>
      </rPr>
      <t xml:space="preserve">M3 </t>
    </r>
    <r>
      <rPr>
        <sz val="11"/>
        <color rgb="FF000000"/>
        <rFont val="Noto Sans CJK SC"/>
        <family val="2"/>
      </rPr>
      <t xml:space="preserve">章的模型來源白名單原則篩選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資料來源</t>
    </r>
    <r>
      <rPr>
        <sz val="11"/>
        <color rgb="FF000000"/>
        <rFont val="Calibri"/>
        <family val="0"/>
        <charset val="1"/>
      </rPr>
      <t xml:space="preserve">: Hugging Face hub-stats </t>
    </r>
    <r>
      <rPr>
        <sz val="11"/>
        <color rgb="FF000000"/>
        <rFont val="Noto Sans CJK SC"/>
        <family val="2"/>
      </rPr>
      <t xml:space="preserve">資料集 </t>
    </r>
    <r>
      <rPr>
        <sz val="11"/>
        <color rgb="FF000000"/>
        <rFont val="Calibri"/>
        <family val="0"/>
        <charset val="1"/>
      </rPr>
      <t xml:space="preserve">(cfahlgren1/hub-stats) </t>
    </r>
    <r>
      <rPr>
        <sz val="11"/>
        <color rgb="FF000000"/>
        <rFont val="Noto Sans CJK SC"/>
        <family val="2"/>
      </rPr>
      <t xml:space="preserve">兩份快照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評分規則見「評分方法」分頁</t>
    </r>
    <r>
      <rPr>
        <sz val="11"/>
        <color rgb="FF000000"/>
        <rFont val="Calibri"/>
        <family val="0"/>
        <charset val="1"/>
      </rPr>
      <t xml:space="preserve">.</t>
    </r>
  </si>
  <si>
    <t xml:space="preserve">篩選漏斗</t>
  </si>
  <si>
    <t xml:space="preserve">模型數</t>
  </si>
  <si>
    <t xml:space="preserve">占比</t>
  </si>
  <si>
    <t xml:space="preserve">說明</t>
  </si>
  <si>
    <t xml:space="preserve">納入評估的熱門模型</t>
  </si>
  <si>
    <r>
      <rPr>
        <sz val="11"/>
        <color rgb="FF000000"/>
        <rFont val="Noto Sans CJK SC"/>
        <family val="2"/>
      </rPr>
      <t xml:space="preserve">近六個月下載量前 </t>
    </r>
    <r>
      <rPr>
        <sz val="11"/>
        <color rgb="FF000000"/>
        <rFont val="Calibri"/>
        <family val="0"/>
        <charset val="1"/>
      </rPr>
      <t xml:space="preserve">95% </t>
    </r>
    <r>
      <rPr>
        <sz val="11"/>
        <color rgb="FF000000"/>
        <rFont val="Noto Sans CJK SC"/>
        <family val="2"/>
      </rPr>
      <t xml:space="preserve">且符合模型來源白名單</t>
    </r>
  </si>
  <si>
    <t xml:space="preserve">觸及至少一項排除條件</t>
  </si>
  <si>
    <t xml:space="preserve">明細見「排除清單」分頁</t>
  </si>
  <si>
    <t xml:space="preserve">通過篩選並評分</t>
  </si>
  <si>
    <t xml:space="preserve">明細見「資安適用排名」分頁</t>
  </si>
  <si>
    <t xml:space="preserve">排除條件</t>
  </si>
  <si>
    <t xml:space="preserve">觸及模型數</t>
  </si>
  <si>
    <t xml:space="preserve">占總數</t>
  </si>
  <si>
    <r>
      <rPr>
        <sz val="11"/>
        <color rgb="FF000000"/>
        <rFont val="Calibri"/>
        <family val="0"/>
        <charset val="1"/>
      </rPr>
      <t xml:space="preserve">G1 </t>
    </r>
    <r>
      <rPr>
        <sz val="11"/>
        <color rgb="FF000000"/>
        <rFont val="Noto Sans CJK SC"/>
        <family val="2"/>
      </rPr>
      <t xml:space="preserve">移除護欄或不當用途</t>
    </r>
  </si>
  <si>
    <r>
      <rPr>
        <sz val="11"/>
        <color rgb="FF000000"/>
        <rFont val="Noto Sans CJK SC"/>
        <family val="2"/>
      </rPr>
      <t xml:space="preserve">名稱含 </t>
    </r>
    <r>
      <rPr>
        <sz val="11"/>
        <color rgb="FF000000"/>
        <rFont val="Calibri"/>
        <family val="0"/>
        <charset val="1"/>
      </rPr>
      <t xml:space="preserve">uncensored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Calibri"/>
        <family val="0"/>
        <charset val="1"/>
      </rPr>
      <t xml:space="preserve">abliterated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Calibri"/>
        <family val="0"/>
        <charset val="1"/>
      </rPr>
      <t xml:space="preserve">heretic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Calibri"/>
        <family val="0"/>
        <charset val="1"/>
      </rPr>
      <t xml:space="preserve">offsec </t>
    </r>
    <r>
      <rPr>
        <sz val="11"/>
        <color rgb="FF000000"/>
        <rFont val="Noto Sans CJK SC"/>
        <family val="2"/>
      </rPr>
      <t xml:space="preserve">或成人內容生成</t>
    </r>
  </si>
  <si>
    <r>
      <rPr>
        <sz val="11"/>
        <color rgb="FF000000"/>
        <rFont val="Calibri"/>
        <family val="0"/>
        <charset val="1"/>
      </rPr>
      <t xml:space="preserve">G2 </t>
    </r>
    <r>
      <rPr>
        <sz val="11"/>
        <color rgb="FF000000"/>
        <rFont val="Noto Sans CJK SC"/>
        <family val="2"/>
      </rPr>
      <t xml:space="preserve">測試用模型</t>
    </r>
  </si>
  <si>
    <r>
      <rPr>
        <sz val="11"/>
        <color rgb="FF000000"/>
        <rFont val="Noto Sans CJK SC"/>
        <family val="2"/>
      </rPr>
      <t xml:space="preserve">名稱或帳號含 </t>
    </r>
    <r>
      <rPr>
        <sz val="11"/>
        <color rgb="FF000000"/>
        <rFont val="Calibri"/>
        <family val="0"/>
        <charset val="1"/>
      </rPr>
      <t xml:space="preserve">internal-testing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Calibri"/>
        <family val="0"/>
        <charset val="1"/>
      </rPr>
      <t xml:space="preserve">tiny-random </t>
    </r>
    <r>
      <rPr>
        <sz val="11"/>
        <color rgb="FF000000"/>
        <rFont val="Noto Sans CJK SC"/>
        <family val="2"/>
      </rPr>
      <t xml:space="preserve">等</t>
    </r>
  </si>
  <si>
    <r>
      <rPr>
        <sz val="11"/>
        <color rgb="FF000000"/>
        <rFont val="Calibri"/>
        <family val="0"/>
        <charset val="1"/>
      </rPr>
      <t xml:space="preserve">G3 </t>
    </r>
    <r>
      <rPr>
        <sz val="11"/>
        <color rgb="FF000000"/>
        <rFont val="Noto Sans CJK SC"/>
        <family val="2"/>
      </rPr>
      <t xml:space="preserve">權重格式可執行程式碼</t>
    </r>
  </si>
  <si>
    <r>
      <rPr>
        <sz val="11"/>
        <color rgb="FF000000"/>
        <rFont val="Noto Sans CJK SC"/>
        <family val="2"/>
      </rPr>
      <t xml:space="preserve">沒有 </t>
    </r>
    <r>
      <rPr>
        <sz val="11"/>
        <color rgb="FF000000"/>
        <rFont val="Calibri"/>
        <family val="0"/>
        <charset val="1"/>
      </rPr>
      <t xml:space="preserve">safetensors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Calibri"/>
        <family val="0"/>
        <charset val="1"/>
      </rPr>
      <t xml:space="preserve">GGUF </t>
    </r>
    <r>
      <rPr>
        <sz val="11"/>
        <color rgb="FF000000"/>
        <rFont val="Noto Sans CJK SC"/>
        <family val="2"/>
      </rPr>
      <t xml:space="preserve">或 </t>
    </r>
    <r>
      <rPr>
        <sz val="11"/>
        <color rgb="FF000000"/>
        <rFont val="Calibri"/>
        <family val="0"/>
        <charset val="1"/>
      </rPr>
      <t xml:space="preserve">ONNX </t>
    </r>
    <r>
      <rPr>
        <sz val="11"/>
        <color rgb="FF000000"/>
        <rFont val="Noto Sans CJK SC"/>
        <family val="2"/>
      </rPr>
      <t xml:space="preserve">權重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只提供 </t>
    </r>
    <r>
      <rPr>
        <sz val="11"/>
        <color rgb="FF000000"/>
        <rFont val="Calibri"/>
        <family val="0"/>
        <charset val="1"/>
      </rPr>
      <t xml:space="preserve">pickle </t>
    </r>
    <r>
      <rPr>
        <sz val="11"/>
        <color rgb="FF000000"/>
        <rFont val="Noto Sans CJK SC"/>
        <family val="2"/>
      </rPr>
      <t xml:space="preserve">等格式</t>
    </r>
  </si>
  <si>
    <r>
      <rPr>
        <sz val="11"/>
        <color rgb="FF000000"/>
        <rFont val="Calibri"/>
        <family val="0"/>
        <charset val="1"/>
      </rPr>
      <t xml:space="preserve">G4 </t>
    </r>
    <r>
      <rPr>
        <sz val="11"/>
        <color rgb="FF000000"/>
        <rFont val="Noto Sans CJK SC"/>
        <family val="2"/>
      </rPr>
      <t xml:space="preserve">需執行遠端程式碼</t>
    </r>
  </si>
  <si>
    <r>
      <rPr>
        <sz val="11"/>
        <color rgb="FF000000"/>
        <rFont val="Noto Sans CJK SC"/>
        <family val="2"/>
      </rPr>
      <t xml:space="preserve">帶 </t>
    </r>
    <r>
      <rPr>
        <sz val="11"/>
        <color rgb="FF000000"/>
        <rFont val="Calibri"/>
        <family val="0"/>
        <charset val="1"/>
      </rPr>
      <t xml:space="preserve">custom_code </t>
    </r>
    <r>
      <rPr>
        <sz val="11"/>
        <color rgb="FF000000"/>
        <rFont val="Noto Sans CJK SC"/>
        <family val="2"/>
      </rPr>
      <t xml:space="preserve">標籤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載入時須開啟 </t>
    </r>
    <r>
      <rPr>
        <sz val="11"/>
        <color rgb="FF000000"/>
        <rFont val="Calibri"/>
        <family val="0"/>
        <charset val="1"/>
      </rPr>
      <t xml:space="preserve">trust_remote_code</t>
    </r>
  </si>
  <si>
    <r>
      <rPr>
        <sz val="11"/>
        <color rgb="FF000000"/>
        <rFont val="Calibri"/>
        <family val="0"/>
        <charset val="1"/>
      </rPr>
      <t xml:space="preserve">G5 </t>
    </r>
    <r>
      <rPr>
        <sz val="11"/>
        <color rgb="FF000000"/>
        <rFont val="Noto Sans CJK SC"/>
        <family val="2"/>
      </rPr>
      <t xml:space="preserve">授權不允許商用</t>
    </r>
  </si>
  <si>
    <r>
      <rPr>
        <sz val="11"/>
        <color rgb="FF000000"/>
        <rFont val="Calibri"/>
        <family val="0"/>
        <charset val="1"/>
      </rPr>
      <t xml:space="preserve">CC BY-NC </t>
    </r>
    <r>
      <rPr>
        <sz val="11"/>
        <color rgb="FF000000"/>
        <rFont val="Noto Sans CJK SC"/>
        <family val="2"/>
      </rPr>
      <t xml:space="preserve">系列、</t>
    </r>
    <r>
      <rPr>
        <sz val="11"/>
        <color rgb="FF000000"/>
        <rFont val="Calibri"/>
        <family val="0"/>
        <charset val="1"/>
      </rPr>
      <t xml:space="preserve">Apple AMLR</t>
    </r>
    <r>
      <rPr>
        <sz val="11"/>
        <color rgb="FF000000"/>
        <rFont val="Noto Sans CJK SC"/>
        <family val="2"/>
      </rPr>
      <t xml:space="preserve">、研究專用授權</t>
    </r>
  </si>
  <si>
    <r>
      <rPr>
        <sz val="11"/>
        <color rgb="FF000000"/>
        <rFont val="Calibri"/>
        <family val="0"/>
        <charset val="1"/>
      </rPr>
      <t xml:space="preserve">G6 </t>
    </r>
    <r>
      <rPr>
        <sz val="11"/>
        <color rgb="FF000000"/>
        <rFont val="Noto Sans CJK SC"/>
        <family val="2"/>
      </rPr>
      <t xml:space="preserve">無防禦用途</t>
    </r>
  </si>
  <si>
    <t xml:space="preserve">生成影像、影音或語音的模型</t>
  </si>
  <si>
    <r>
      <rPr>
        <sz val="11"/>
        <color rgb="FF000000"/>
        <rFont val="Noto Sans CJK SC"/>
        <family val="2"/>
      </rPr>
      <t xml:space="preserve">註</t>
    </r>
    <r>
      <rPr>
        <sz val="11"/>
        <color rgb="FF000000"/>
        <rFont val="Calibri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一個模型可能同時觸及多項條件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各條件模型數加總會大於排除總數</t>
    </r>
    <r>
      <rPr>
        <sz val="11"/>
        <color rgb="FF000000"/>
        <rFont val="Calibri"/>
        <family val="0"/>
        <charset val="1"/>
      </rPr>
      <t xml:space="preserve">.</t>
    </r>
  </si>
  <si>
    <t xml:space="preserve">適用等級</t>
  </si>
  <si>
    <t xml:space="preserve">占通過數</t>
  </si>
  <si>
    <t xml:space="preserve">門檻</t>
  </si>
  <si>
    <t xml:space="preserve">意義</t>
  </si>
  <si>
    <t xml:space="preserve">優先評估</t>
  </si>
  <si>
    <r>
      <rPr>
        <sz val="11"/>
        <color rgb="FF000000"/>
        <rFont val="Noto Sans CJK SC"/>
        <family val="2"/>
      </rPr>
      <t xml:space="preserve">可直接列入 </t>
    </r>
    <r>
      <rPr>
        <sz val="11"/>
        <color rgb="FF000000"/>
        <rFont val="Calibri"/>
        <family val="0"/>
        <charset val="1"/>
      </rPr>
      <t xml:space="preserve">PoC </t>
    </r>
    <r>
      <rPr>
        <sz val="11"/>
        <color rgb="FF000000"/>
        <rFont val="Noto Sans CJK SC"/>
        <family val="2"/>
      </rPr>
      <t xml:space="preserve">候選</t>
    </r>
  </si>
  <si>
    <t xml:space="preserve">列入候選</t>
  </si>
  <si>
    <r>
      <rPr>
        <sz val="11"/>
        <color rgb="FF000000"/>
        <rFont val="Noto Sans CJK SC"/>
        <family val="2"/>
      </rPr>
      <t xml:space="preserve">符合多數條件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需比較同類模型後再選</t>
    </r>
  </si>
  <si>
    <t xml:space="preserve">特定情境</t>
  </si>
  <si>
    <t xml:space="preserve">只在特定使用情境或資料條件下適用</t>
  </si>
  <si>
    <t xml:space="preserve">不建議</t>
  </si>
  <si>
    <r>
      <rPr>
        <sz val="11"/>
        <color rgb="FF000000"/>
        <rFont val="Noto Sans CJK SC"/>
        <family val="2"/>
      </rPr>
      <t xml:space="preserve">條件不足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不建議投入評估資源</t>
    </r>
  </si>
  <si>
    <t xml:space="preserve">資安用途類別</t>
  </si>
  <si>
    <t xml:space="preserve">最高分</t>
  </si>
  <si>
    <t xml:space="preserve">平均分</t>
  </si>
  <si>
    <t xml:space="preserve">優先評估數</t>
  </si>
  <si>
    <t xml:space="preserve">代表用途</t>
  </si>
  <si>
    <r>
      <rPr>
        <sz val="11"/>
        <color rgb="FF000000"/>
        <rFont val="Calibri"/>
        <family val="0"/>
        <charset val="1"/>
      </rPr>
      <t xml:space="preserve">AI </t>
    </r>
    <r>
      <rPr>
        <sz val="11"/>
        <color rgb="FF000000"/>
        <rFont val="Noto Sans CJK SC"/>
        <family val="2"/>
      </rPr>
      <t xml:space="preserve">應用防護</t>
    </r>
  </si>
  <si>
    <r>
      <rPr>
        <sz val="11"/>
        <color rgb="FF000000"/>
        <rFont val="Calibri"/>
        <family val="0"/>
        <charset val="1"/>
      </rPr>
      <t xml:space="preserve">AI </t>
    </r>
    <r>
      <rPr>
        <sz val="11"/>
        <color rgb="FF000000"/>
        <rFont val="Noto Sans CJK SC"/>
        <family val="2"/>
      </rPr>
      <t xml:space="preserve">應用的提示注入、越獄與有害內容偵測</t>
    </r>
  </si>
  <si>
    <t xml:space="preserve">個資偵測與去識別化</t>
  </si>
  <si>
    <t xml:space="preserve">個資偵測與遮蔽</t>
  </si>
  <si>
    <t xml:space="preserve">威脅情資與資安語言</t>
  </si>
  <si>
    <r>
      <rPr>
        <sz val="11"/>
        <color rgb="FF000000"/>
        <rFont val="Noto Sans CJK SC"/>
        <family val="2"/>
      </rPr>
      <t xml:space="preserve">以資安語料訓練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適合情資檢索與實體擷取</t>
    </r>
  </si>
  <si>
    <t xml:space="preserve">深偽與生成內容偵測</t>
  </si>
  <si>
    <r>
      <rPr>
        <sz val="11"/>
        <color rgb="FF000000"/>
        <rFont val="Noto Sans CJK SC"/>
        <family val="2"/>
      </rPr>
      <t xml:space="preserve">偵測 </t>
    </r>
    <r>
      <rPr>
        <sz val="11"/>
        <color rgb="FF000000"/>
        <rFont val="Calibri"/>
        <family val="0"/>
        <charset val="1"/>
      </rPr>
      <t xml:space="preserve">AI </t>
    </r>
    <r>
      <rPr>
        <sz val="11"/>
        <color rgb="FF000000"/>
        <rFont val="Noto Sans CJK SC"/>
        <family val="2"/>
      </rPr>
      <t xml:space="preserve">生成的圖片或文字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輔助詐騙與社交工程防範</t>
    </r>
  </si>
  <si>
    <t xml:space="preserve">檢索與情資關聯</t>
  </si>
  <si>
    <r>
      <rPr>
        <sz val="11"/>
        <color rgb="FF000000"/>
        <rFont val="Noto Sans CJK SC"/>
        <family val="2"/>
      </rPr>
      <t xml:space="preserve">威脅情資語意搜尋、相似告警比對、事件知識庫 </t>
    </r>
    <r>
      <rPr>
        <sz val="11"/>
        <color rgb="FF000000"/>
        <rFont val="Calibri"/>
        <family val="0"/>
        <charset val="1"/>
      </rPr>
      <t xml:space="preserve">RAG</t>
    </r>
  </si>
  <si>
    <t xml:space="preserve">分析與報告生成</t>
  </si>
  <si>
    <r>
      <rPr>
        <sz val="11"/>
        <color rgb="FF000000"/>
        <rFont val="Noto Sans CJK SC"/>
        <family val="2"/>
      </rPr>
      <t xml:space="preserve">告警分診摘要、</t>
    </r>
    <r>
      <rPr>
        <sz val="11"/>
        <color rgb="FF000000"/>
        <rFont val="Calibri"/>
        <family val="0"/>
        <charset val="1"/>
      </rPr>
      <t xml:space="preserve">ATT&amp;CK </t>
    </r>
    <r>
      <rPr>
        <sz val="11"/>
        <color rgb="FF000000"/>
        <rFont val="Noto Sans CJK SC"/>
        <family val="2"/>
      </rPr>
      <t xml:space="preserve">對映、事件報告初稿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需人工確認</t>
    </r>
    <r>
      <rPr>
        <sz val="11"/>
        <color rgb="FF000000"/>
        <rFont val="Calibri"/>
        <family val="0"/>
        <charset val="1"/>
      </rPr>
      <t xml:space="preserve">)</t>
    </r>
  </si>
  <si>
    <t xml:space="preserve">實體擷取與去識別化</t>
  </si>
  <si>
    <r>
      <rPr>
        <sz val="11"/>
        <color rgb="FF000000"/>
        <rFont val="Noto Sans CJK SC"/>
        <family val="2"/>
      </rPr>
      <t xml:space="preserve">從報告擷取 </t>
    </r>
    <r>
      <rPr>
        <sz val="11"/>
        <color rgb="FF000000"/>
        <rFont val="Calibri"/>
        <family val="0"/>
        <charset val="1"/>
      </rPr>
      <t xml:space="preserve">IOC </t>
    </r>
    <r>
      <rPr>
        <sz val="11"/>
        <color rgb="FF000000"/>
        <rFont val="Noto Sans CJK SC"/>
        <family val="2"/>
      </rPr>
      <t xml:space="preserve">與實體</t>
    </r>
    <r>
      <rPr>
        <sz val="11"/>
        <color rgb="FF000000"/>
        <rFont val="Calibri"/>
        <family val="0"/>
        <charset val="1"/>
      </rPr>
      <t xml:space="preserve">, log </t>
    </r>
    <r>
      <rPr>
        <sz val="11"/>
        <color rgb="FF000000"/>
        <rFont val="Noto Sans CJK SC"/>
        <family val="2"/>
      </rPr>
      <t xml:space="preserve">與工單個資遮蔽</t>
    </r>
  </si>
  <si>
    <r>
      <rPr>
        <sz val="11"/>
        <color rgb="FF000000"/>
        <rFont val="Calibri"/>
        <family val="0"/>
        <charset val="1"/>
      </rPr>
      <t xml:space="preserve">AI </t>
    </r>
    <r>
      <rPr>
        <sz val="11"/>
        <color rgb="FF000000"/>
        <rFont val="Noto Sans CJK SC"/>
        <family val="2"/>
      </rPr>
      <t xml:space="preserve">紅隊評估</t>
    </r>
  </si>
  <si>
    <r>
      <rPr>
        <sz val="11"/>
        <color rgb="FF000000"/>
        <rFont val="Calibri"/>
        <family val="0"/>
        <charset val="1"/>
      </rPr>
      <t xml:space="preserve">LLM </t>
    </r>
    <r>
      <rPr>
        <sz val="11"/>
        <color rgb="FF000000"/>
        <rFont val="Noto Sans CJK SC"/>
        <family val="2"/>
      </rPr>
      <t xml:space="preserve">弱點掃描工具 </t>
    </r>
    <r>
      <rPr>
        <sz val="11"/>
        <color rgb="FF000000"/>
        <rFont val="Calibri"/>
        <family val="0"/>
        <charset val="1"/>
      </rPr>
      <t xml:space="preserve">garak </t>
    </r>
    <r>
      <rPr>
        <sz val="11"/>
        <color rgb="FF000000"/>
        <rFont val="Noto Sans CJK SC"/>
        <family val="2"/>
      </rPr>
      <t xml:space="preserve">的偵測元件</t>
    </r>
  </si>
  <si>
    <t xml:space="preserve">日誌異常偵測</t>
  </si>
  <si>
    <t xml:space="preserve">日誌序列異常分類</t>
  </si>
  <si>
    <t xml:space="preserve">釣魚與垃圾訊息偵測</t>
  </si>
  <si>
    <t xml:space="preserve">釣魚郵件、垃圾訊息或惡意網址分類</t>
  </si>
  <si>
    <t xml:space="preserve">分類與偵測</t>
  </si>
  <si>
    <r>
      <rPr>
        <sz val="11"/>
        <color rgb="FF000000"/>
        <rFont val="Noto Sans CJK SC"/>
        <family val="2"/>
      </rPr>
      <t xml:space="preserve">告警分類、釣魚郵件判斷、日誌事件分類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需以資安資料微調</t>
    </r>
    <r>
      <rPr>
        <sz val="11"/>
        <color rgb="FF000000"/>
        <rFont val="Calibri"/>
        <family val="0"/>
        <charset val="1"/>
      </rPr>
      <t xml:space="preserve">)</t>
    </r>
  </si>
  <si>
    <t xml:space="preserve">時序異常偵測</t>
  </si>
  <si>
    <r>
      <rPr>
        <sz val="11"/>
        <color rgb="FF000000"/>
        <rFont val="Calibri"/>
        <family val="0"/>
        <charset val="1"/>
      </rPr>
      <t xml:space="preserve">OT </t>
    </r>
    <r>
      <rPr>
        <sz val="11"/>
        <color rgb="FF000000"/>
        <rFont val="Noto Sans CJK SC"/>
        <family val="2"/>
      </rPr>
      <t xml:space="preserve">製程數據、流量與登入次數的時序異常偵測</t>
    </r>
  </si>
  <si>
    <t xml:space="preserve">內容安全審查</t>
  </si>
  <si>
    <r>
      <rPr>
        <sz val="11"/>
        <color rgb="FF000000"/>
        <rFont val="Noto Sans CJK SC"/>
        <family val="2"/>
      </rPr>
      <t xml:space="preserve">有害或不當內容分類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屬內容治理</t>
    </r>
  </si>
  <si>
    <t xml:space="preserve">微調基底模型</t>
  </si>
  <si>
    <t xml:space="preserve">作為資安分類或實體辨識模型的微調起點</t>
  </si>
  <si>
    <t xml:space="preserve">文件與影像辨識</t>
  </si>
  <si>
    <r>
      <rPr>
        <sz val="11"/>
        <color rgb="FF000000"/>
        <rFont val="Noto Sans CJK SC"/>
        <family val="2"/>
      </rPr>
      <t xml:space="preserve">釣魚網頁截圖與文件內容辨識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用途較間接</t>
    </r>
  </si>
  <si>
    <t xml:space="preserve">情資翻譯</t>
  </si>
  <si>
    <t xml:space="preserve">外文威脅情資翻譯</t>
  </si>
  <si>
    <t xml:space="preserve">語音分析</t>
  </si>
  <si>
    <r>
      <rPr>
        <sz val="11"/>
        <color rgb="FF000000"/>
        <rFont val="Noto Sans CJK SC"/>
        <family val="2"/>
      </rPr>
      <t xml:space="preserve">通話與會議錄音轉文字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輔助社交工程調查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用途較間接</t>
    </r>
  </si>
  <si>
    <t xml:space="preserve">其他</t>
  </si>
  <si>
    <t xml:space="preserve">用途有限</t>
  </si>
  <si>
    <r>
      <rPr>
        <b val="true"/>
        <sz val="11"/>
        <color rgb="FF000000"/>
        <rFont val="Noto Sans CJK SC"/>
        <family val="2"/>
      </rPr>
      <t xml:space="preserve">總排名前 </t>
    </r>
    <r>
      <rPr>
        <b val="true"/>
        <sz val="11"/>
        <color rgb="FF000000"/>
        <rFont val="微軟正黑體"/>
        <family val="0"/>
        <charset val="1"/>
      </rPr>
      <t xml:space="preserve">20</t>
    </r>
  </si>
  <si>
    <t xml:space="preserve">總分</t>
  </si>
  <si>
    <r>
      <rPr>
        <b val="true"/>
        <sz val="11"/>
        <color rgb="FF000000"/>
        <rFont val="Noto Sans CJK SC"/>
        <family val="2"/>
      </rPr>
      <t xml:space="preserve">模型 </t>
    </r>
    <r>
      <rPr>
        <b val="true"/>
        <sz val="11"/>
        <color rgb="FF000000"/>
        <rFont val="微軟正黑體"/>
        <family val="0"/>
        <charset val="1"/>
      </rPr>
      <t xml:space="preserve">ID</t>
    </r>
  </si>
  <si>
    <t xml:space="preserve">資安適用性評分方法</t>
  </si>
  <si>
    <r>
      <rPr>
        <sz val="11"/>
        <color rgb="FF000000"/>
        <rFont val="Noto Sans CJK SC"/>
        <family val="2"/>
      </rPr>
      <t xml:space="preserve">使用方式</t>
    </r>
    <r>
      <rPr>
        <sz val="11"/>
        <color rgb="FF000000"/>
        <rFont val="Calibri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「權重」與「等級門檻」兩欄可直接修改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其他分頁的分數、等級與排名會自動重算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修改後若要調整列的順序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可在「資安適用排名」分頁依「排名」欄重新排序</t>
    </r>
    <r>
      <rPr>
        <sz val="11"/>
        <color rgb="FF000000"/>
        <rFont val="Calibri"/>
        <family val="0"/>
        <charset val="1"/>
      </rPr>
      <t xml:space="preserve">.</t>
    </r>
  </si>
  <si>
    <t xml:space="preserve">代號</t>
  </si>
  <si>
    <t xml:space="preserve">評分面向</t>
  </si>
  <si>
    <r>
      <rPr>
        <b val="true"/>
        <sz val="11"/>
        <color rgb="FF000000"/>
        <rFont val="Noto Sans CJK SC"/>
        <family val="2"/>
      </rPr>
      <t xml:space="preserve">權重 </t>
    </r>
    <r>
      <rPr>
        <b val="true"/>
        <sz val="11"/>
        <color rgb="FF000000"/>
        <rFont val="微軟正黑體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可修改</t>
    </r>
    <r>
      <rPr>
        <b val="true"/>
        <sz val="11"/>
        <color rgb="FF000000"/>
        <rFont val="微軟正黑體"/>
        <family val="0"/>
        <charset val="1"/>
      </rPr>
      <t xml:space="preserve">)</t>
    </r>
  </si>
  <si>
    <r>
      <rPr>
        <b val="true"/>
        <sz val="11"/>
        <color rgb="FF000000"/>
        <rFont val="Noto Sans CJK SC"/>
        <family val="2"/>
      </rPr>
      <t xml:space="preserve">計分方式 </t>
    </r>
    <r>
      <rPr>
        <b val="true"/>
        <sz val="11"/>
        <color rgb="FF000000"/>
        <rFont val="微軟正黑體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原始比率 </t>
    </r>
    <r>
      <rPr>
        <b val="true"/>
        <sz val="11"/>
        <color rgb="FF000000"/>
        <rFont val="微軟正黑體"/>
        <family val="0"/>
        <charset val="1"/>
      </rPr>
      <t xml:space="preserve">0 </t>
    </r>
    <r>
      <rPr>
        <b val="true"/>
        <sz val="11"/>
        <color rgb="FF000000"/>
        <rFont val="Noto Sans CJK SC"/>
        <family val="2"/>
      </rPr>
      <t xml:space="preserve">至 </t>
    </r>
    <r>
      <rPr>
        <b val="true"/>
        <sz val="11"/>
        <color rgb="FF000000"/>
        <rFont val="微軟正黑體"/>
        <family val="0"/>
        <charset val="1"/>
      </rPr>
      <t xml:space="preserve">1)</t>
    </r>
  </si>
  <si>
    <t xml:space="preserve">依據</t>
  </si>
  <si>
    <t xml:space="preserve">A</t>
  </si>
  <si>
    <t xml:space="preserve">任務適配</t>
  </si>
  <si>
    <r>
      <rPr>
        <sz val="11"/>
        <color rgb="FF000000"/>
        <rFont val="Noto Sans CJK SC"/>
        <family val="2"/>
      </rPr>
      <t xml:space="preserve">依任務類型給基礎比率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見下方對照表</t>
    </r>
    <r>
      <rPr>
        <sz val="11"/>
        <color rgb="FF000000"/>
        <rFont val="Calibri"/>
        <family val="0"/>
        <charset val="1"/>
      </rPr>
      <t xml:space="preserve">); </t>
    </r>
    <r>
      <rPr>
        <sz val="11"/>
        <color rgb="FF000000"/>
        <rFont val="Noto Sans CJK SC"/>
        <family val="2"/>
      </rPr>
      <t xml:space="preserve">專精領域與資安無關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醫療、情緒分析等</t>
    </r>
    <r>
      <rPr>
        <sz val="11"/>
        <color rgb="FF000000"/>
        <rFont val="Calibri"/>
        <family val="0"/>
        <charset val="1"/>
      </rPr>
      <t xml:space="preserve">) </t>
    </r>
    <r>
      <rPr>
        <sz val="11"/>
        <color rgb="FF000000"/>
        <rFont val="Noto Sans CJK SC"/>
        <family val="2"/>
      </rPr>
      <t xml:space="preserve">乘 </t>
    </r>
    <r>
      <rPr>
        <sz val="11"/>
        <color rgb="FF000000"/>
        <rFont val="Calibri"/>
        <family val="0"/>
        <charset val="1"/>
      </rPr>
      <t xml:space="preserve">0.4; </t>
    </r>
    <r>
      <rPr>
        <sz val="11"/>
        <color rgb="FF000000"/>
        <rFont val="Noto Sans CJK SC"/>
        <family val="2"/>
      </rPr>
      <t xml:space="preserve">只支援特定外語乘 </t>
    </r>
    <r>
      <rPr>
        <sz val="11"/>
        <color rgb="FF000000"/>
        <rFont val="Calibri"/>
        <family val="0"/>
        <charset val="1"/>
      </rPr>
      <t xml:space="preserve">0.6</t>
    </r>
  </si>
  <si>
    <r>
      <rPr>
        <sz val="11"/>
        <color rgb="FF000000"/>
        <rFont val="Noto Sans CJK SC"/>
        <family val="2"/>
      </rPr>
      <t xml:space="preserve">任務能否直接用於偵測、分類、擷取、檢索或分析 </t>
    </r>
    <r>
      <rPr>
        <sz val="11"/>
        <color rgb="FF000000"/>
        <rFont val="Calibri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推論</t>
    </r>
    <r>
      <rPr>
        <sz val="11"/>
        <color rgb="FF000000"/>
        <rFont val="Calibri"/>
        <family val="0"/>
        <charset val="1"/>
      </rPr>
      <t xml:space="preserve">]</t>
    </r>
  </si>
  <si>
    <t xml:space="preserve">B</t>
  </si>
  <si>
    <t xml:space="preserve">資安專精</t>
  </si>
  <si>
    <r>
      <rPr>
        <sz val="11"/>
        <color rgb="FF000000"/>
        <rFont val="Noto Sans CJK SC"/>
        <family val="2"/>
      </rPr>
      <t xml:space="preserve">以資安資料或資安任務訓練</t>
    </r>
    <r>
      <rPr>
        <sz val="11"/>
        <color rgb="FF000000"/>
        <rFont val="Calibri"/>
        <family val="0"/>
        <charset val="1"/>
      </rPr>
      <t xml:space="preserve">: AI </t>
    </r>
    <r>
      <rPr>
        <sz val="11"/>
        <color rgb="FF000000"/>
        <rFont val="Noto Sans CJK SC"/>
        <family val="2"/>
      </rPr>
      <t xml:space="preserve">應用防護、情資、釣魚、個資、日誌、紅隊 </t>
    </r>
    <r>
      <rPr>
        <sz val="11"/>
        <color rgb="FF000000"/>
        <rFont val="Calibri"/>
        <family val="0"/>
        <charset val="1"/>
      </rPr>
      <t xml:space="preserve">= 1.0; </t>
    </r>
    <r>
      <rPr>
        <sz val="11"/>
        <color rgb="FF000000"/>
        <rFont val="Noto Sans CJK SC"/>
        <family val="2"/>
      </rPr>
      <t xml:space="preserve">深偽與生成內容偵測 </t>
    </r>
    <r>
      <rPr>
        <sz val="11"/>
        <color rgb="FF000000"/>
        <rFont val="Calibri"/>
        <family val="0"/>
        <charset val="1"/>
      </rPr>
      <t xml:space="preserve">= 0.7; </t>
    </r>
    <r>
      <rPr>
        <sz val="11"/>
        <color rgb="FF000000"/>
        <rFont val="Noto Sans CJK SC"/>
        <family val="2"/>
      </rPr>
      <t xml:space="preserve">內容安全審查 </t>
    </r>
    <r>
      <rPr>
        <sz val="11"/>
        <color rgb="FF000000"/>
        <rFont val="Calibri"/>
        <family val="0"/>
        <charset val="1"/>
      </rPr>
      <t xml:space="preserve">= 0.5; </t>
    </r>
    <r>
      <rPr>
        <sz val="11"/>
        <color rgb="FF000000"/>
        <rFont val="Noto Sans CJK SC"/>
        <family val="2"/>
      </rPr>
      <t xml:space="preserve">一般模型 </t>
    </r>
    <r>
      <rPr>
        <sz val="11"/>
        <color rgb="FF000000"/>
        <rFont val="Calibri"/>
        <family val="0"/>
        <charset val="1"/>
      </rPr>
      <t xml:space="preserve">= 0</t>
    </r>
  </si>
  <si>
    <r>
      <rPr>
        <sz val="11"/>
        <color rgb="FF000000"/>
        <rFont val="Noto Sans CJK SC"/>
        <family val="2"/>
      </rPr>
      <t xml:space="preserve">依模型名稱比對資安用途關鍵字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並人工排除誤判</t>
    </r>
  </si>
  <si>
    <t xml:space="preserve">C</t>
  </si>
  <si>
    <t xml:space="preserve">來源可信度</t>
  </si>
  <si>
    <r>
      <rPr>
        <sz val="11"/>
        <color rgb="FF000000"/>
        <rFont val="Noto Sans CJK SC"/>
        <family val="2"/>
      </rPr>
      <t xml:space="preserve">原始開發組織 </t>
    </r>
    <r>
      <rPr>
        <sz val="11"/>
        <color rgb="FF000000"/>
        <rFont val="Calibri"/>
        <family val="0"/>
        <charset val="1"/>
      </rPr>
      <t xml:space="preserve">= 1.0; </t>
    </r>
    <r>
      <rPr>
        <sz val="11"/>
        <color rgb="FF000000"/>
        <rFont val="Noto Sans CJK SC"/>
        <family val="2"/>
      </rPr>
      <t xml:space="preserve">知名社群或重新封裝者 </t>
    </r>
    <r>
      <rPr>
        <sz val="11"/>
        <color rgb="FF000000"/>
        <rFont val="Calibri"/>
        <family val="0"/>
        <charset val="1"/>
      </rPr>
      <t xml:space="preserve">= 0.67; </t>
    </r>
    <r>
      <rPr>
        <sz val="11"/>
        <color rgb="FF000000"/>
        <rFont val="Noto Sans CJK SC"/>
        <family val="2"/>
      </rPr>
      <t xml:space="preserve">其他帳號 </t>
    </r>
    <r>
      <rPr>
        <sz val="11"/>
        <color rgb="FF000000"/>
        <rFont val="Calibri"/>
        <family val="0"/>
        <charset val="1"/>
      </rPr>
      <t xml:space="preserve">= 0.33</t>
    </r>
  </si>
  <si>
    <r>
      <rPr>
        <sz val="11"/>
        <color rgb="FF000000"/>
        <rFont val="Noto Sans CJK SC"/>
        <family val="2"/>
      </rPr>
      <t xml:space="preserve">依帳號名單分級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見下方名單</t>
    </r>
    <r>
      <rPr>
        <sz val="11"/>
        <color rgb="FF000000"/>
        <rFont val="Calibri"/>
        <family val="0"/>
        <charset val="1"/>
      </rPr>
      <t xml:space="preserve">) [</t>
    </r>
    <r>
      <rPr>
        <sz val="11"/>
        <color rgb="FF000000"/>
        <rFont val="Noto Sans CJK SC"/>
        <family val="2"/>
      </rPr>
      <t xml:space="preserve">推論</t>
    </r>
    <r>
      <rPr>
        <sz val="11"/>
        <color rgb="FF000000"/>
        <rFont val="Calibri"/>
        <family val="0"/>
        <charset val="1"/>
      </rPr>
      <t xml:space="preserve">]</t>
    </r>
  </si>
  <si>
    <t xml:space="preserve">D</t>
  </si>
  <si>
    <t xml:space="preserve">部署可行性</t>
  </si>
  <si>
    <r>
      <rPr>
        <sz val="11"/>
        <color rgb="FF000000"/>
        <rFont val="Noto Sans CJK SC"/>
        <family val="2"/>
      </rPr>
      <t xml:space="preserve">參數量 </t>
    </r>
    <r>
      <rPr>
        <sz val="11"/>
        <color rgb="FF000000"/>
        <rFont val="Calibri"/>
        <family val="0"/>
        <charset val="1"/>
      </rPr>
      <t xml:space="preserve">10 </t>
    </r>
    <r>
      <rPr>
        <sz val="11"/>
        <color rgb="FF000000"/>
        <rFont val="Noto Sans CJK SC"/>
        <family val="2"/>
      </rPr>
      <t xml:space="preserve">億以下 </t>
    </r>
    <r>
      <rPr>
        <sz val="11"/>
        <color rgb="FF000000"/>
        <rFont val="Calibri"/>
        <family val="0"/>
        <charset val="1"/>
      </rPr>
      <t xml:space="preserve">= 1.0; 100 </t>
    </r>
    <r>
      <rPr>
        <sz val="11"/>
        <color rgb="FF000000"/>
        <rFont val="Noto Sans CJK SC"/>
        <family val="2"/>
      </rPr>
      <t xml:space="preserve">億以下 </t>
    </r>
    <r>
      <rPr>
        <sz val="11"/>
        <color rgb="FF000000"/>
        <rFont val="Calibri"/>
        <family val="0"/>
        <charset val="1"/>
      </rPr>
      <t xml:space="preserve">= 0.87; 350 </t>
    </r>
    <r>
      <rPr>
        <sz val="11"/>
        <color rgb="FF000000"/>
        <rFont val="Noto Sans CJK SC"/>
        <family val="2"/>
      </rPr>
      <t xml:space="preserve">億以下 </t>
    </r>
    <r>
      <rPr>
        <sz val="11"/>
        <color rgb="FF000000"/>
        <rFont val="Calibri"/>
        <family val="0"/>
        <charset val="1"/>
      </rPr>
      <t xml:space="preserve">= 0.6; 1,000 </t>
    </r>
    <r>
      <rPr>
        <sz val="11"/>
        <color rgb="FF000000"/>
        <rFont val="Noto Sans CJK SC"/>
        <family val="2"/>
      </rPr>
      <t xml:space="preserve">億以下 </t>
    </r>
    <r>
      <rPr>
        <sz val="11"/>
        <color rgb="FF000000"/>
        <rFont val="Calibri"/>
        <family val="0"/>
        <charset val="1"/>
      </rPr>
      <t xml:space="preserve">= 0.33; </t>
    </r>
    <r>
      <rPr>
        <sz val="11"/>
        <color rgb="FF000000"/>
        <rFont val="Noto Sans CJK SC"/>
        <family val="2"/>
      </rPr>
      <t xml:space="preserve">以上 </t>
    </r>
    <r>
      <rPr>
        <sz val="11"/>
        <color rgb="FF000000"/>
        <rFont val="Calibri"/>
        <family val="0"/>
        <charset val="1"/>
      </rPr>
      <t xml:space="preserve">= 0.13; </t>
    </r>
    <r>
      <rPr>
        <sz val="11"/>
        <color rgb="FF000000"/>
        <rFont val="Noto Sans CJK SC"/>
        <family val="2"/>
      </rPr>
      <t xml:space="preserve">未標示 </t>
    </r>
    <r>
      <rPr>
        <sz val="11"/>
        <color rgb="FF000000"/>
        <rFont val="Calibri"/>
        <family val="0"/>
        <charset val="1"/>
      </rPr>
      <t xml:space="preserve">= 0.47</t>
    </r>
  </si>
  <si>
    <r>
      <rPr>
        <sz val="11"/>
        <color rgb="FF000000"/>
        <rFont val="Noto Sans CJK SC"/>
        <family val="2"/>
      </rPr>
      <t xml:space="preserve">能否在內網以一般 </t>
    </r>
    <r>
      <rPr>
        <sz val="11"/>
        <color rgb="FF000000"/>
        <rFont val="Calibri"/>
        <family val="0"/>
        <charset val="1"/>
      </rPr>
      <t xml:space="preserve">GPU </t>
    </r>
    <r>
      <rPr>
        <sz val="11"/>
        <color rgb="FF000000"/>
        <rFont val="Noto Sans CJK SC"/>
        <family val="2"/>
      </rPr>
      <t xml:space="preserve">或 </t>
    </r>
    <r>
      <rPr>
        <sz val="11"/>
        <color rgb="FF000000"/>
        <rFont val="Calibri"/>
        <family val="0"/>
        <charset val="1"/>
      </rPr>
      <t xml:space="preserve">CPU </t>
    </r>
    <r>
      <rPr>
        <sz val="11"/>
        <color rgb="FF000000"/>
        <rFont val="Noto Sans CJK SC"/>
        <family val="2"/>
      </rPr>
      <t xml:space="preserve">部署</t>
    </r>
  </si>
  <si>
    <t xml:space="preserve">E</t>
  </si>
  <si>
    <t xml:space="preserve">授權友善度</t>
  </si>
  <si>
    <r>
      <rPr>
        <sz val="11"/>
        <color rgb="FF000000"/>
        <rFont val="Calibri"/>
        <family val="0"/>
        <charset val="1"/>
      </rPr>
      <t xml:space="preserve">Apache 2.0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Calibri"/>
        <family val="0"/>
        <charset val="1"/>
      </rPr>
      <t xml:space="preserve">MIT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Calibri"/>
        <family val="0"/>
        <charset val="1"/>
      </rPr>
      <t xml:space="preserve">BSD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Calibri"/>
        <family val="0"/>
        <charset val="1"/>
      </rPr>
      <t xml:space="preserve">CC BY = 1.0; CC BY-SA = 0.8; OpenRAIL = 0.7; Llama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Calibri"/>
        <family val="0"/>
        <charset val="1"/>
      </rPr>
      <t xml:space="preserve">Gemma </t>
    </r>
    <r>
      <rPr>
        <sz val="11"/>
        <color rgb="FF000000"/>
        <rFont val="Noto Sans CJK SC"/>
        <family val="2"/>
      </rPr>
      <t xml:space="preserve">等自訂授權 </t>
    </r>
    <r>
      <rPr>
        <sz val="11"/>
        <color rgb="FF000000"/>
        <rFont val="Calibri"/>
        <family val="0"/>
        <charset val="1"/>
      </rPr>
      <t xml:space="preserve">= 0.6; GPL </t>
    </r>
    <r>
      <rPr>
        <sz val="11"/>
        <color rgb="FF000000"/>
        <rFont val="Noto Sans CJK SC"/>
        <family val="2"/>
      </rPr>
      <t xml:space="preserve">類 </t>
    </r>
    <r>
      <rPr>
        <sz val="11"/>
        <color rgb="FF000000"/>
        <rFont val="Calibri"/>
        <family val="0"/>
        <charset val="1"/>
      </rPr>
      <t xml:space="preserve">= 0.5; </t>
    </r>
    <r>
      <rPr>
        <sz val="11"/>
        <color rgb="FF000000"/>
        <rFont val="Noto Sans CJK SC"/>
        <family val="2"/>
      </rPr>
      <t xml:space="preserve">未標示 </t>
    </r>
    <r>
      <rPr>
        <sz val="11"/>
        <color rgb="FF000000"/>
        <rFont val="Calibri"/>
        <family val="0"/>
        <charset val="1"/>
      </rPr>
      <t xml:space="preserve">= 0.2</t>
    </r>
  </si>
  <si>
    <r>
      <rPr>
        <sz val="11"/>
        <color rgb="FF000000"/>
        <rFont val="Noto Sans CJK SC"/>
        <family val="2"/>
      </rPr>
      <t xml:space="preserve">模型頁面授權標籤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非商用授權已列為排除條件</t>
    </r>
  </si>
  <si>
    <t xml:space="preserve">F</t>
  </si>
  <si>
    <t xml:space="preserve">採用度</t>
  </si>
  <si>
    <t xml:space="preserve">近六個月下載數在通過篩選模型中的百分位</t>
  </si>
  <si>
    <t xml:space="preserve">兩份全站快照的累計下載數相減</t>
  </si>
  <si>
    <t xml:space="preserve">G</t>
  </si>
  <si>
    <t xml:space="preserve">維護活躍度</t>
  </si>
  <si>
    <r>
      <rPr>
        <sz val="11"/>
        <color rgb="FF000000"/>
        <rFont val="Noto Sans CJK SC"/>
        <family val="2"/>
      </rPr>
      <t xml:space="preserve">最後更新距 </t>
    </r>
    <r>
      <rPr>
        <sz val="11"/>
        <color rgb="FF000000"/>
        <rFont val="Calibri"/>
        <family val="0"/>
        <charset val="1"/>
      </rPr>
      <t xml:space="preserve">2026-10-25 </t>
    </r>
    <r>
      <rPr>
        <sz val="11"/>
        <color rgb="FF000000"/>
        <rFont val="Noto Sans CJK SC"/>
        <family val="2"/>
      </rPr>
      <t xml:space="preserve">在 </t>
    </r>
    <r>
      <rPr>
        <sz val="11"/>
        <color rgb="FF000000"/>
        <rFont val="Calibri"/>
        <family val="0"/>
        <charset val="1"/>
      </rPr>
      <t xml:space="preserve">6 </t>
    </r>
    <r>
      <rPr>
        <sz val="11"/>
        <color rgb="FF000000"/>
        <rFont val="Noto Sans CJK SC"/>
        <family val="2"/>
      </rPr>
      <t xml:space="preserve">個月內 </t>
    </r>
    <r>
      <rPr>
        <sz val="11"/>
        <color rgb="FF000000"/>
        <rFont val="Calibri"/>
        <family val="0"/>
        <charset val="1"/>
      </rPr>
      <t xml:space="preserve">= 1.0; 1 </t>
    </r>
    <r>
      <rPr>
        <sz val="11"/>
        <color rgb="FF000000"/>
        <rFont val="Noto Sans CJK SC"/>
        <family val="2"/>
      </rPr>
      <t xml:space="preserve">年內 </t>
    </r>
    <r>
      <rPr>
        <sz val="11"/>
        <color rgb="FF000000"/>
        <rFont val="Calibri"/>
        <family val="0"/>
        <charset val="1"/>
      </rPr>
      <t xml:space="preserve">= 0.8; 2 </t>
    </r>
    <r>
      <rPr>
        <sz val="11"/>
        <color rgb="FF000000"/>
        <rFont val="Noto Sans CJK SC"/>
        <family val="2"/>
      </rPr>
      <t xml:space="preserve">年內 </t>
    </r>
    <r>
      <rPr>
        <sz val="11"/>
        <color rgb="FF000000"/>
        <rFont val="Calibri"/>
        <family val="0"/>
        <charset val="1"/>
      </rPr>
      <t xml:space="preserve">= 0.5; </t>
    </r>
    <r>
      <rPr>
        <sz val="11"/>
        <color rgb="FF000000"/>
        <rFont val="Noto Sans CJK SC"/>
        <family val="2"/>
      </rPr>
      <t xml:space="preserve">更久 </t>
    </r>
    <r>
      <rPr>
        <sz val="11"/>
        <color rgb="FF000000"/>
        <rFont val="Calibri"/>
        <family val="0"/>
        <charset val="1"/>
      </rPr>
      <t xml:space="preserve">= 0.2</t>
    </r>
  </si>
  <si>
    <t xml:space="preserve">模型頁面最後更新日期</t>
  </si>
  <si>
    <t xml:space="preserve">H</t>
  </si>
  <si>
    <t xml:space="preserve">中文支援</t>
  </si>
  <si>
    <r>
      <rPr>
        <sz val="11"/>
        <color rgb="FF000000"/>
        <rFont val="Noto Sans CJK SC"/>
        <family val="2"/>
      </rPr>
      <t xml:space="preserve">標示支援中文或多語 </t>
    </r>
    <r>
      <rPr>
        <sz val="11"/>
        <color rgb="FF000000"/>
        <rFont val="Calibri"/>
        <family val="0"/>
        <charset val="1"/>
      </rPr>
      <t xml:space="preserve">= 1.0; </t>
    </r>
    <r>
      <rPr>
        <sz val="11"/>
        <color rgb="FF000000"/>
        <rFont val="Noto Sans CJK SC"/>
        <family val="2"/>
      </rPr>
      <t xml:space="preserve">未標示語言的大型語言模型 </t>
    </r>
    <r>
      <rPr>
        <sz val="11"/>
        <color rgb="FF000000"/>
        <rFont val="Calibri"/>
        <family val="0"/>
        <charset val="1"/>
      </rPr>
      <t xml:space="preserve">= 0.6; </t>
    </r>
    <r>
      <rPr>
        <sz val="11"/>
        <color rgb="FF000000"/>
        <rFont val="Noto Sans CJK SC"/>
        <family val="2"/>
      </rPr>
      <t xml:space="preserve">未標示語言 </t>
    </r>
    <r>
      <rPr>
        <sz val="11"/>
        <color rgb="FF000000"/>
        <rFont val="Calibri"/>
        <family val="0"/>
        <charset val="1"/>
      </rPr>
      <t xml:space="preserve">= 0.3; </t>
    </r>
    <r>
      <rPr>
        <sz val="11"/>
        <color rgb="FF000000"/>
        <rFont val="Noto Sans CJK SC"/>
        <family val="2"/>
      </rPr>
      <t xml:space="preserve">標示語言但不含中文 </t>
    </r>
    <r>
      <rPr>
        <sz val="11"/>
        <color rgb="FF000000"/>
        <rFont val="Calibri"/>
        <family val="0"/>
        <charset val="1"/>
      </rPr>
      <t xml:space="preserve">= 0</t>
    </r>
  </si>
  <si>
    <r>
      <rPr>
        <sz val="11"/>
        <color rgb="FF000000"/>
        <rFont val="Noto Sans CJK SC"/>
        <family val="2"/>
      </rPr>
      <t xml:space="preserve">模型頁面語言標籤 </t>
    </r>
    <r>
      <rPr>
        <sz val="11"/>
        <color rgb="FF000000"/>
        <rFont val="Calibri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推論</t>
    </r>
    <r>
      <rPr>
        <sz val="11"/>
        <color rgb="FF000000"/>
        <rFont val="Calibri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大型語言模型通常支援中文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但未經測試</t>
    </r>
    <r>
      <rPr>
        <sz val="11"/>
        <color rgb="FF000000"/>
        <rFont val="Calibri"/>
        <family val="0"/>
        <charset val="1"/>
      </rPr>
      <t xml:space="preserve">]</t>
    </r>
  </si>
  <si>
    <t xml:space="preserve">合計</t>
  </si>
  <si>
    <r>
      <rPr>
        <sz val="11"/>
        <color rgb="FF000000"/>
        <rFont val="Noto Sans CJK SC"/>
        <family val="2"/>
      </rPr>
      <t xml:space="preserve">總分 </t>
    </r>
    <r>
      <rPr>
        <sz val="11"/>
        <color rgb="FF000000"/>
        <rFont val="Calibri"/>
        <family val="0"/>
        <charset val="1"/>
      </rPr>
      <t xml:space="preserve">= </t>
    </r>
    <r>
      <rPr>
        <sz val="11"/>
        <color rgb="FF000000"/>
        <rFont val="Noto Sans CJK SC"/>
        <family val="2"/>
      </rPr>
      <t xml:space="preserve">各面向原始比率 </t>
    </r>
    <r>
      <rPr>
        <sz val="11"/>
        <color rgb="FF000000"/>
        <rFont val="Calibri"/>
        <family val="0"/>
        <charset val="1"/>
      </rPr>
      <t xml:space="preserve">× </t>
    </r>
    <r>
      <rPr>
        <sz val="11"/>
        <color rgb="FF000000"/>
        <rFont val="Noto Sans CJK SC"/>
        <family val="2"/>
      </rPr>
      <t xml:space="preserve">權重後加總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滿分為權重合計</t>
    </r>
  </si>
  <si>
    <r>
      <rPr>
        <b val="true"/>
        <sz val="11"/>
        <color rgb="FF000000"/>
        <rFont val="Noto Sans CJK SC"/>
        <family val="2"/>
      </rPr>
      <t xml:space="preserve">門檻 </t>
    </r>
    <r>
      <rPr>
        <b val="true"/>
        <sz val="11"/>
        <color rgb="FF000000"/>
        <rFont val="微軟正黑體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可修改</t>
    </r>
    <r>
      <rPr>
        <b val="true"/>
        <sz val="11"/>
        <color rgb="FF000000"/>
        <rFont val="微軟正黑體"/>
        <family val="0"/>
        <charset val="1"/>
      </rPr>
      <t xml:space="preserve">)</t>
    </r>
  </si>
  <si>
    <t xml:space="preserve">理由</t>
  </si>
  <si>
    <t xml:space="preserve">G1</t>
  </si>
  <si>
    <t xml:space="preserve">移除護欄或不當用途</t>
  </si>
  <si>
    <r>
      <rPr>
        <sz val="11"/>
        <color rgb="FF000000"/>
        <rFont val="Noto Sans CJK SC"/>
        <family val="2"/>
      </rPr>
      <t xml:space="preserve">不適合放進防禦流程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且有濫用疑慮</t>
    </r>
  </si>
  <si>
    <t xml:space="preserve">G2</t>
  </si>
  <si>
    <t xml:space="preserve">測試用模型</t>
  </si>
  <si>
    <r>
      <rPr>
        <sz val="11"/>
        <color rgb="FF000000"/>
        <rFont val="Noto Sans CJK SC"/>
        <family val="2"/>
      </rPr>
      <t xml:space="preserve">供框架測試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非正式用途</t>
    </r>
  </si>
  <si>
    <t xml:space="preserve">G3</t>
  </si>
  <si>
    <t xml:space="preserve">權重格式可執行程式碼</t>
  </si>
  <si>
    <r>
      <rPr>
        <sz val="11"/>
        <color rgb="FF000000"/>
        <rFont val="Calibri"/>
        <family val="0"/>
        <charset val="1"/>
      </rPr>
      <t xml:space="preserve">pickle </t>
    </r>
    <r>
      <rPr>
        <sz val="11"/>
        <color rgb="FF000000"/>
        <rFont val="Noto Sans CJK SC"/>
        <family val="2"/>
      </rPr>
      <t xml:space="preserve">載入時可能執行任意程式碼</t>
    </r>
  </si>
  <si>
    <t xml:space="preserve">G4</t>
  </si>
  <si>
    <t xml:space="preserve">需執行遠端程式碼</t>
  </si>
  <si>
    <r>
      <rPr>
        <sz val="11"/>
        <color rgb="FF000000"/>
        <rFont val="Noto Sans CJK SC"/>
        <family val="2"/>
      </rPr>
      <t xml:space="preserve">等於執行模型倉庫中的 </t>
    </r>
    <r>
      <rPr>
        <sz val="11"/>
        <color rgb="FF000000"/>
        <rFont val="Calibri"/>
        <family val="0"/>
        <charset val="1"/>
      </rPr>
      <t xml:space="preserve">Python </t>
    </r>
    <r>
      <rPr>
        <sz val="11"/>
        <color rgb="FF000000"/>
        <rFont val="Noto Sans CJK SC"/>
        <family val="2"/>
      </rPr>
      <t xml:space="preserve">程式</t>
    </r>
  </si>
  <si>
    <t xml:space="preserve">G5</t>
  </si>
  <si>
    <t xml:space="preserve">授權不允許商用</t>
  </si>
  <si>
    <t xml:space="preserve">無法用於商業服務或對外提供</t>
  </si>
  <si>
    <t xml:space="preserve">G6</t>
  </si>
  <si>
    <t xml:space="preserve">無防禦用途</t>
  </si>
  <si>
    <t xml:space="preserve">與偵測和防禦無關</t>
  </si>
  <si>
    <t xml:space="preserve">任務類型</t>
  </si>
  <si>
    <t xml:space="preserve">任務適配比率</t>
  </si>
  <si>
    <t xml:space="preserve">對應資安用途類別</t>
  </si>
  <si>
    <t xml:space="preserve">text-classification</t>
  </si>
  <si>
    <t xml:space="preserve">token-classification</t>
  </si>
  <si>
    <t xml:space="preserve">zero-shot-classification</t>
  </si>
  <si>
    <t xml:space="preserve">sentence-similarity</t>
  </si>
  <si>
    <t xml:space="preserve">feature-extraction</t>
  </si>
  <si>
    <t xml:space="preserve">text-ranking</t>
  </si>
  <si>
    <t xml:space="preserve">text-generation</t>
  </si>
  <si>
    <t xml:space="preserve">image-text-to-text</t>
  </si>
  <si>
    <t xml:space="preserve">any-to-any</t>
  </si>
  <si>
    <t xml:space="preserve">time-series-forecasting</t>
  </si>
  <si>
    <t xml:space="preserve">question-answering</t>
  </si>
  <si>
    <t xml:space="preserve">summarization</t>
  </si>
  <si>
    <t xml:space="preserve">text2text-generation</t>
  </si>
  <si>
    <t xml:space="preserve">fill-mask</t>
  </si>
  <si>
    <t xml:space="preserve">image-to-text</t>
  </si>
  <si>
    <t xml:space="preserve">document-question-answering</t>
  </si>
  <si>
    <t xml:space="preserve">visual-question-answering</t>
  </si>
  <si>
    <t xml:space="preserve">visual-document-retrieval</t>
  </si>
  <si>
    <t xml:space="preserve">zero-shot-image-classification</t>
  </si>
  <si>
    <t xml:space="preserve">translation</t>
  </si>
  <si>
    <t xml:space="preserve">tabular-classification</t>
  </si>
  <si>
    <t xml:space="preserve">video-text-to-text</t>
  </si>
  <si>
    <t xml:space="preserve">audio-text-to-text</t>
  </si>
  <si>
    <t xml:space="preserve">image-classification</t>
  </si>
  <si>
    <t xml:space="preserve">image-feature-extraction</t>
  </si>
  <si>
    <t xml:space="preserve">audio-classification</t>
  </si>
  <si>
    <t xml:space="preserve">automatic-speech-recognition</t>
  </si>
  <si>
    <t xml:space="preserve">table-question-answering</t>
  </si>
  <si>
    <t xml:space="preserve">tabular-regression</t>
  </si>
  <si>
    <t xml:space="preserve">object-detection</t>
  </si>
  <si>
    <t xml:space="preserve">video-classification</t>
  </si>
  <si>
    <t xml:space="preserve">zero-shot-object-detection</t>
  </si>
  <si>
    <t xml:space="preserve">graph-ml</t>
  </si>
  <si>
    <t xml:space="preserve">voice-activity-detection</t>
  </si>
  <si>
    <t xml:space="preserve">image-segmentation</t>
  </si>
  <si>
    <t xml:space="preserve">mask-generation</t>
  </si>
  <si>
    <t xml:space="preserve">other</t>
  </si>
  <si>
    <t xml:space="preserve">keypoint-detection</t>
  </si>
  <si>
    <t xml:space="preserve">depth-estimation</t>
  </si>
  <si>
    <t xml:space="preserve">audio-to-audio</t>
  </si>
  <si>
    <t xml:space="preserve">image-to-3d</t>
  </si>
  <si>
    <r>
      <rPr>
        <sz val="11"/>
        <color rgb="FF000000"/>
        <rFont val="Noto Sans CJK SC"/>
        <family val="2"/>
      </rPr>
      <t xml:space="preserve">無防禦用途 </t>
    </r>
    <r>
      <rPr>
        <sz val="11"/>
        <color rgb="FF000000"/>
        <rFont val="Calibri"/>
        <family val="0"/>
        <charset val="1"/>
      </rPr>
      <t xml:space="preserve">(G7)</t>
    </r>
  </si>
  <si>
    <t xml:space="preserve">text-to-3d</t>
  </si>
  <si>
    <t xml:space="preserve">text-to-image</t>
  </si>
  <si>
    <t xml:space="preserve">image-to-image</t>
  </si>
  <si>
    <t xml:space="preserve">image-to-video</t>
  </si>
  <si>
    <t xml:space="preserve">text-to-video</t>
  </si>
  <si>
    <t xml:space="preserve">image-text-to-video</t>
  </si>
  <si>
    <t xml:space="preserve">text-to-speech</t>
  </si>
  <si>
    <t xml:space="preserve">text-to-audio</t>
  </si>
  <si>
    <t xml:space="preserve">unconditional-image-generation</t>
  </si>
  <si>
    <t xml:space="preserve">video-to-video</t>
  </si>
  <si>
    <t xml:space="preserve">reinforcement-learning</t>
  </si>
  <si>
    <t xml:space="preserve">robotics</t>
  </si>
  <si>
    <t xml:space="preserve">來源分級</t>
  </si>
  <si>
    <t xml:space="preserve">帳號名單</t>
  </si>
  <si>
    <t xml:space="preserve">原始開發組織</t>
  </si>
  <si>
    <t xml:space="preserve">ai-safety-institute, ai21labs, allenai, amazon, amd, answerdotai, apple, argmaxinc, autogluon, aws, babelscape, bigcode, bigscience, black-forest-labs, bsc-lm, cardiffnlp, cisco-ai, cohere, cohereforai, coherelabs, colbert-ir, comfy-org, compvis, coqui, cross-encoder, databricks, datalab-to, deepset, distilbert, docling-project, eleutherai, facebook, facebookai, fastino, fdtn-ai, flair, garak-llm, google, google-bert, google-research, google-t5, gravitee-io, guardrailsai, helsinki-nlp, hexgrad, huggingface, huggingfacem4, huggingfacetb, ibm, ibm-granite, ibm-research, intel, intfloat, jhu-clsp, jinaai, kyutai, laion, lightonai, liquidai, llava-hf, meta-llama, microsoft, microsoft-research, mistralai, mixedbread-ai, mosaicml, nomic-ai, nreimers, nvidia, nvidia-community, openai, openai-community, openmmlab, projecte-aina, protectai, pyannote, qdrant, runwayml, salesforce, sarvamai, sentence-transformers, servicenow-ai, snowflake, speechbrain, stabilityai, stanfordaimi, stanfordnlp, systran, tiiuae, timm, ultralytics, unbabel, vectara</t>
  </si>
  <si>
    <t xml:space="preserve">知名社群或重新封裝者</t>
  </si>
  <si>
    <t xml:space="preserve">adamcodd, bartowski, cognitivecomputations, cointegrated, davlan, dbmdz, dima806, dslim, emilyalsentzer, falconsai, ggml-org, jonatasgrosman, knowledgator, lmstudio-community, lmsys, marqo, maziyarpanahi, mlx-community, mradermacher, neuralmagic, nousresearch, onnx-community, openchat, openmmlab, patrickvonplaten, philschmid, prithivmlmods, quantfactory, redhatai, second-state, sshleifer, teknium, thebloke, tinyllama, unsloth, unslothai, urchade, w11wo, whereisai, xenova, ybelkada</t>
  </si>
  <si>
    <r>
      <rPr>
        <sz val="11"/>
        <color rgb="FF000000"/>
        <rFont val="Noto Sans CJK SC"/>
        <family val="2"/>
      </rPr>
      <t xml:space="preserve">限制</t>
    </r>
    <r>
      <rPr>
        <sz val="11"/>
        <color rgb="FF000000"/>
        <rFont val="Calibri"/>
        <family val="0"/>
        <charset val="1"/>
      </rPr>
      <t xml:space="preserve">: (1) </t>
    </r>
    <r>
      <rPr>
        <sz val="11"/>
        <color rgb="FF000000"/>
        <rFont val="Noto Sans CJK SC"/>
        <family val="2"/>
      </rPr>
      <t xml:space="preserve">評估範圍為符合模型來源白名單的熱門模型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白名單原則見手冊 </t>
    </r>
    <r>
      <rPr>
        <sz val="11"/>
        <color rgb="FF000000"/>
        <rFont val="Calibri"/>
        <family val="0"/>
        <charset val="1"/>
      </rPr>
      <t xml:space="preserve">M3 </t>
    </r>
    <r>
      <rPr>
        <sz val="11"/>
        <color rgb="FF000000"/>
        <rFont val="Noto Sans CJK SC"/>
        <family val="2"/>
      </rPr>
      <t xml:space="preserve">章</t>
    </r>
    <r>
      <rPr>
        <sz val="11"/>
        <color rgb="FF000000"/>
        <rFont val="Calibri"/>
        <family val="0"/>
        <charset val="1"/>
      </rPr>
      <t xml:space="preserve">. (2) </t>
    </r>
    <r>
      <rPr>
        <sz val="11"/>
        <color rgb="FF000000"/>
        <rFont val="Noto Sans CJK SC"/>
        <family val="2"/>
      </rPr>
      <t xml:space="preserve">任務類型由作者標示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未標示者依上游模型、框架設定或名稱推定</t>
    </r>
    <r>
      <rPr>
        <sz val="11"/>
        <color rgb="FF000000"/>
        <rFont val="Calibri"/>
        <family val="0"/>
        <charset val="1"/>
      </rPr>
      <t xml:space="preserve">. (3) </t>
    </r>
    <r>
      <rPr>
        <sz val="11"/>
        <color rgb="FF000000"/>
        <rFont val="Noto Sans CJK SC"/>
        <family val="2"/>
      </rPr>
      <t xml:space="preserve">分數衡量的是「值得投入評估的程度」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不代表偵測效果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實際效果須以自己的資料做 </t>
    </r>
    <r>
      <rPr>
        <sz val="11"/>
        <color rgb="FF000000"/>
        <rFont val="Calibri"/>
        <family val="0"/>
        <charset val="1"/>
      </rPr>
      <t xml:space="preserve">PoC </t>
    </r>
    <r>
      <rPr>
        <sz val="11"/>
        <color rgb="FF000000"/>
        <rFont val="Noto Sans CJK SC"/>
        <family val="2"/>
      </rPr>
      <t xml:space="preserve">驗證</t>
    </r>
    <r>
      <rPr>
        <sz val="11"/>
        <color rgb="FF000000"/>
        <rFont val="Calibri"/>
        <family val="0"/>
        <charset val="1"/>
      </rPr>
      <t xml:space="preserve">. (4) </t>
    </r>
    <r>
      <rPr>
        <sz val="11"/>
        <color rgb="FF000000"/>
        <rFont val="Noto Sans CJK SC"/>
        <family val="2"/>
      </rPr>
      <t xml:space="preserve">所有權重與分級為依產業邏輯設定的推論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可依案件調整</t>
    </r>
    <r>
      <rPr>
        <sz val="11"/>
        <color rgb="FF000000"/>
        <rFont val="Calibri"/>
        <family val="0"/>
        <charset val="1"/>
      </rPr>
      <t xml:space="preserve">.</t>
    </r>
  </si>
  <si>
    <t xml:space="preserve">排名</t>
  </si>
  <si>
    <t xml:space="preserve">作者</t>
  </si>
  <si>
    <t xml:space="preserve">建議用途</t>
  </si>
  <si>
    <t xml:space="preserve">資安專精領域</t>
  </si>
  <si>
    <t xml:space="preserve">近六個月下載數</t>
  </si>
  <si>
    <t xml:space="preserve">參數量</t>
  </si>
  <si>
    <t xml:space="preserve">參數級距</t>
  </si>
  <si>
    <t xml:space="preserve">授權</t>
  </si>
  <si>
    <t xml:space="preserve">授權類型</t>
  </si>
  <si>
    <t xml:space="preserve">權重格式</t>
  </si>
  <si>
    <t xml:space="preserve">中文支援情形</t>
  </si>
  <si>
    <t xml:space="preserve">Base model</t>
  </si>
  <si>
    <t xml:space="preserve">衍生關係</t>
  </si>
  <si>
    <t xml:space="preserve">任務類型來源</t>
  </si>
  <si>
    <t xml:space="preserve">備註</t>
  </si>
  <si>
    <t xml:space="preserve">模型頁面</t>
  </si>
  <si>
    <r>
      <rPr>
        <b val="true"/>
        <sz val="11"/>
        <color rgb="FF000000"/>
        <rFont val="微軟正黑體"/>
        <family val="0"/>
        <charset val="1"/>
      </rPr>
      <t xml:space="preserve">A </t>
    </r>
    <r>
      <rPr>
        <b val="true"/>
        <sz val="11"/>
        <color rgb="FF000000"/>
        <rFont val="Noto Sans CJK SC"/>
        <family val="2"/>
      </rPr>
      <t xml:space="preserve">比率</t>
    </r>
  </si>
  <si>
    <r>
      <rPr>
        <b val="true"/>
        <sz val="11"/>
        <color rgb="FF000000"/>
        <rFont val="微軟正黑體"/>
        <family val="0"/>
        <charset val="1"/>
      </rPr>
      <t xml:space="preserve">B </t>
    </r>
    <r>
      <rPr>
        <b val="true"/>
        <sz val="11"/>
        <color rgb="FF000000"/>
        <rFont val="Noto Sans CJK SC"/>
        <family val="2"/>
      </rPr>
      <t xml:space="preserve">比率</t>
    </r>
  </si>
  <si>
    <r>
      <rPr>
        <b val="true"/>
        <sz val="11"/>
        <color rgb="FF000000"/>
        <rFont val="微軟正黑體"/>
        <family val="0"/>
        <charset val="1"/>
      </rPr>
      <t xml:space="preserve">C </t>
    </r>
    <r>
      <rPr>
        <b val="true"/>
        <sz val="11"/>
        <color rgb="FF000000"/>
        <rFont val="Noto Sans CJK SC"/>
        <family val="2"/>
      </rPr>
      <t xml:space="preserve">比率</t>
    </r>
  </si>
  <si>
    <r>
      <rPr>
        <b val="true"/>
        <sz val="11"/>
        <color rgb="FF000000"/>
        <rFont val="微軟正黑體"/>
        <family val="0"/>
        <charset val="1"/>
      </rPr>
      <t xml:space="preserve">D </t>
    </r>
    <r>
      <rPr>
        <b val="true"/>
        <sz val="11"/>
        <color rgb="FF000000"/>
        <rFont val="Noto Sans CJK SC"/>
        <family val="2"/>
      </rPr>
      <t xml:space="preserve">比率</t>
    </r>
  </si>
  <si>
    <r>
      <rPr>
        <b val="true"/>
        <sz val="11"/>
        <color rgb="FF000000"/>
        <rFont val="微軟正黑體"/>
        <family val="0"/>
        <charset val="1"/>
      </rPr>
      <t xml:space="preserve">E </t>
    </r>
    <r>
      <rPr>
        <b val="true"/>
        <sz val="11"/>
        <color rgb="FF000000"/>
        <rFont val="Noto Sans CJK SC"/>
        <family val="2"/>
      </rPr>
      <t xml:space="preserve">比率</t>
    </r>
  </si>
  <si>
    <r>
      <rPr>
        <b val="true"/>
        <sz val="11"/>
        <color rgb="FF000000"/>
        <rFont val="微軟正黑體"/>
        <family val="0"/>
        <charset val="1"/>
      </rPr>
      <t xml:space="preserve">F </t>
    </r>
    <r>
      <rPr>
        <b val="true"/>
        <sz val="11"/>
        <color rgb="FF000000"/>
        <rFont val="Noto Sans CJK SC"/>
        <family val="2"/>
      </rPr>
      <t xml:space="preserve">比率</t>
    </r>
  </si>
  <si>
    <r>
      <rPr>
        <b val="true"/>
        <sz val="11"/>
        <color rgb="FF000000"/>
        <rFont val="微軟正黑體"/>
        <family val="0"/>
        <charset val="1"/>
      </rPr>
      <t xml:space="preserve">G </t>
    </r>
    <r>
      <rPr>
        <b val="true"/>
        <sz val="11"/>
        <color rgb="FF000000"/>
        <rFont val="Noto Sans CJK SC"/>
        <family val="2"/>
      </rPr>
      <t xml:space="preserve">比率</t>
    </r>
  </si>
  <si>
    <r>
      <rPr>
        <b val="true"/>
        <sz val="11"/>
        <color rgb="FF000000"/>
        <rFont val="微軟正黑體"/>
        <family val="0"/>
        <charset val="1"/>
      </rPr>
      <t xml:space="preserve">H </t>
    </r>
    <r>
      <rPr>
        <b val="true"/>
        <sz val="11"/>
        <color rgb="FF000000"/>
        <rFont val="Noto Sans CJK SC"/>
        <family val="2"/>
      </rPr>
      <t xml:space="preserve">比率</t>
    </r>
  </si>
  <si>
    <t xml:space="preserve">類別內排名</t>
  </si>
  <si>
    <t xml:space="preserve">查詢鍵</t>
  </si>
  <si>
    <t xml:space="preserve">protectai/deberta-v3-base-prompt-injection-v2</t>
  </si>
  <si>
    <t xml:space="preserve">protectai</t>
  </si>
  <si>
    <r>
      <rPr>
        <sz val="11"/>
        <color rgb="FF000000"/>
        <rFont val="Calibri"/>
        <family val="0"/>
        <charset val="1"/>
      </rPr>
      <t xml:space="preserve">10 </t>
    </r>
    <r>
      <rPr>
        <sz val="11"/>
        <color rgb="FF000000"/>
        <rFont val="Noto Sans CJK SC"/>
        <family val="2"/>
      </rPr>
      <t xml:space="preserve">億以下</t>
    </r>
  </si>
  <si>
    <t xml:space="preserve">apache-2.0</t>
  </si>
  <si>
    <t xml:space="preserve">寬鬆授權</t>
  </si>
  <si>
    <t xml:space="preserve">safetensors;onnx</t>
  </si>
  <si>
    <t xml:space="preserve">未標示中文</t>
  </si>
  <si>
    <t xml:space="preserve">microsoft/deberta-v3-base</t>
  </si>
  <si>
    <t xml:space="preserve">quantized</t>
  </si>
  <si>
    <t xml:space="preserve">作者標示</t>
  </si>
  <si>
    <t xml:space="preserve">量化版本</t>
  </si>
  <si>
    <t xml:space="preserve">https://huggingface.co/protectai/deberta-v3-base-prompt-injection-v2</t>
  </si>
  <si>
    <t xml:space="preserve">gravitee-io/bert-small-pii-detection</t>
  </si>
  <si>
    <t xml:space="preserve">gravitee-io</t>
  </si>
  <si>
    <t xml:space="preserve">prajjwal1/bert-small</t>
  </si>
  <si>
    <t xml:space="preserve">https://huggingface.co/gravitee-io/bert-small-pii-detection</t>
  </si>
  <si>
    <t xml:space="preserve">openai/privacy-filter</t>
  </si>
  <si>
    <t xml:space="preserve">openai</t>
  </si>
  <si>
    <r>
      <rPr>
        <sz val="11"/>
        <color rgb="FF000000"/>
        <rFont val="Calibri"/>
        <family val="0"/>
        <charset val="1"/>
      </rPr>
      <t xml:space="preserve">10 </t>
    </r>
    <r>
      <rPr>
        <sz val="11"/>
        <color rgb="FF000000"/>
        <rFont val="Noto Sans CJK SC"/>
        <family val="2"/>
      </rPr>
      <t xml:space="preserve">億至 </t>
    </r>
    <r>
      <rPr>
        <sz val="11"/>
        <color rgb="FF000000"/>
        <rFont val="Calibri"/>
        <family val="0"/>
        <charset val="1"/>
      </rPr>
      <t xml:space="preserve">100 </t>
    </r>
    <r>
      <rPr>
        <sz val="11"/>
        <color rgb="FF000000"/>
        <rFont val="Noto Sans CJK SC"/>
        <family val="2"/>
      </rPr>
      <t xml:space="preserve">億</t>
    </r>
  </si>
  <si>
    <t xml:space="preserve">未標示</t>
  </si>
  <si>
    <t xml:space="preserve">https://huggingface.co/openai/privacy-filter</t>
  </si>
  <si>
    <t xml:space="preserve">meta-llama/Prompt-Guard-86M</t>
  </si>
  <si>
    <t xml:space="preserve">meta-llama</t>
  </si>
  <si>
    <t xml:space="preserve">llama3.1</t>
  </si>
  <si>
    <r>
      <rPr>
        <sz val="11"/>
        <color rgb="FF000000"/>
        <rFont val="Noto Sans CJK SC"/>
        <family val="2"/>
      </rPr>
      <t xml:space="preserve">自訂授權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需法務審查</t>
    </r>
  </si>
  <si>
    <t xml:space="preserve">safetensors</t>
  </si>
  <si>
    <t xml:space="preserve">授權需確認</t>
  </si>
  <si>
    <t xml:space="preserve">https://huggingface.co/meta-llama/Prompt-Guard-86M</t>
  </si>
  <si>
    <t xml:space="preserve">fastino/gliner2-privacy-filter-PII-multi</t>
  </si>
  <si>
    <t xml:space="preserve">fastino</t>
  </si>
  <si>
    <t xml:space="preserve">https://huggingface.co/fastino/gliner2-privacy-filter-PII-multi</t>
  </si>
  <si>
    <t xml:space="preserve">cisco-ai/SecureBERT2.0-biencoder</t>
  </si>
  <si>
    <t xml:space="preserve">cisco-ai</t>
  </si>
  <si>
    <t xml:space="preserve">cisco-ai/SecureBERT2.0-base</t>
  </si>
  <si>
    <t xml:space="preserve">finetune</t>
  </si>
  <si>
    <t xml:space="preserve">https://huggingface.co/cisco-ai/SecureBERT2.0-biencoder</t>
  </si>
  <si>
    <t xml:space="preserve">protectai/deberta-v3-base-prompt-injection</t>
  </si>
  <si>
    <t xml:space="preserve">https://huggingface.co/protectai/deberta-v3-base-prompt-injection</t>
  </si>
  <si>
    <t xml:space="preserve">cisco-ai/SecureBERT2.0-cross_encoder</t>
  </si>
  <si>
    <t xml:space="preserve">https://huggingface.co/cisco-ai/SecureBERT2.0-cross_encoder</t>
  </si>
  <si>
    <t xml:space="preserve">openai-community/roberta-base-openai-detector</t>
  </si>
  <si>
    <t xml:space="preserve">openai-community</t>
  </si>
  <si>
    <t xml:space="preserve">mit</t>
  </si>
  <si>
    <t xml:space="preserve">safetensors;pytorch;tensorflow;flax</t>
  </si>
  <si>
    <t xml:space="preserve">https://huggingface.co/openai-community/roberta-base-openai-detector</t>
  </si>
  <si>
    <t xml:space="preserve">sentence-transformers/paraphrase-multilingual-MiniLM-L12-v2</t>
  </si>
  <si>
    <t xml:space="preserve">sentence-transformers</t>
  </si>
  <si>
    <t xml:space="preserve">safetensors;pytorch;onnx;tensorflow</t>
  </si>
  <si>
    <t xml:space="preserve">標示支援</t>
  </si>
  <si>
    <t xml:space="preserve">https://huggingface.co/sentence-transformers/paraphrase-multilingual-MiniLM-L12-v2</t>
  </si>
  <si>
    <t xml:space="preserve">intfloat/multilingual-e5-small</t>
  </si>
  <si>
    <t xml:space="preserve">intfloat</t>
  </si>
  <si>
    <t xml:space="preserve">safetensors;pytorch;onnx</t>
  </si>
  <si>
    <t xml:space="preserve">https://huggingface.co/intfloat/multilingual-e5-small</t>
  </si>
  <si>
    <t xml:space="preserve">intfloat/multilingual-e5-large</t>
  </si>
  <si>
    <t xml:space="preserve">https://huggingface.co/intfloat/multilingual-e5-large</t>
  </si>
  <si>
    <t xml:space="preserve">intfloat/multilingual-e5-base</t>
  </si>
  <si>
    <t xml:space="preserve">https://huggingface.co/intfloat/multilingual-e5-base</t>
  </si>
  <si>
    <t xml:space="preserve">meta-llama/Llama-Prompt-Guard-2-86M</t>
  </si>
  <si>
    <t xml:space="preserve">https://huggingface.co/meta-llama/Llama-Prompt-Guard-2-86M</t>
  </si>
  <si>
    <t xml:space="preserve">sentence-transformers/paraphrase-multilingual-mpnet-base-v2</t>
  </si>
  <si>
    <t xml:space="preserve">https://huggingface.co/sentence-transformers/paraphrase-multilingual-mpnet-base-v2</t>
  </si>
  <si>
    <t xml:space="preserve">ibm-granite/granite-embedding-97m-multilingual-r2</t>
  </si>
  <si>
    <t xml:space="preserve">ibm-granite</t>
  </si>
  <si>
    <t xml:space="preserve">https://huggingface.co/ibm-granite/granite-embedding-97m-multilingual-r2</t>
  </si>
  <si>
    <t xml:space="preserve">cross-encoder/mmarco-mMiniLMv2-L12-H384-v1</t>
  </si>
  <si>
    <t xml:space="preserve">cross-encoder</t>
  </si>
  <si>
    <t xml:space="preserve">nreimers/mMiniLMv2-L12-H384-distilled-from-XLMR-Large</t>
  </si>
  <si>
    <t xml:space="preserve">https://huggingface.co/cross-encoder/mmarco-mMiniLMv2-L12-H384-v1</t>
  </si>
  <si>
    <t xml:space="preserve">intfloat/multilingual-e5-large-instruct</t>
  </si>
  <si>
    <t xml:space="preserve">https://huggingface.co/intfloat/multilingual-e5-large-instruct</t>
  </si>
  <si>
    <t xml:space="preserve">microsoft/harrier-oss-v1-270m</t>
  </si>
  <si>
    <t xml:space="preserve">microsoft</t>
  </si>
  <si>
    <t xml:space="preserve">https://huggingface.co/microsoft/harrier-oss-v1-270m</t>
  </si>
  <si>
    <t xml:space="preserve">ibm-granite/granite-embedding-311m-multilingual-r2</t>
  </si>
  <si>
    <t xml:space="preserve">https://huggingface.co/ibm-granite/granite-embedding-311m-multilingual-r2</t>
  </si>
  <si>
    <t xml:space="preserve">Snowflake/snowflake-arctic-embed-l-v2.0</t>
  </si>
  <si>
    <t xml:space="preserve">Snowflake</t>
  </si>
  <si>
    <t xml:space="preserve">https://huggingface.co/Snowflake/snowflake-arctic-embed-l-v2.0</t>
  </si>
  <si>
    <t xml:space="preserve">sentence-transformers/distiluse-base-multilingual-cased-v1</t>
  </si>
  <si>
    <t xml:space="preserve">https://huggingface.co/sentence-transformers/distiluse-base-multilingual-cased-v1</t>
  </si>
  <si>
    <t xml:space="preserve">sentence-transformers/distiluse-base-multilingual-cased-v2</t>
  </si>
  <si>
    <t xml:space="preserve">https://huggingface.co/sentence-transformers/distiluse-base-multilingual-cased-v2</t>
  </si>
  <si>
    <t xml:space="preserve">sentence-transformers/LaBSE</t>
  </si>
  <si>
    <t xml:space="preserve">safetensors;pytorch;onnx;tensorflow;flax</t>
  </si>
  <si>
    <t xml:space="preserve">https://huggingface.co/sentence-transformers/LaBSE</t>
  </si>
  <si>
    <t xml:space="preserve">allenai/wildguard</t>
  </si>
  <si>
    <t xml:space="preserve">allenai</t>
  </si>
  <si>
    <t xml:space="preserve">safetensors;pytorch</t>
  </si>
  <si>
    <t xml:space="preserve">https://huggingface.co/allenai/wildguard</t>
  </si>
  <si>
    <t xml:space="preserve">nvidia/Nemotron-3.5-Content-Safety</t>
  </si>
  <si>
    <t xml:space="preserve">nvidia</t>
  </si>
  <si>
    <t xml:space="preserve">依模型架構推定</t>
  </si>
  <si>
    <r>
      <rPr>
        <sz val="11"/>
        <color rgb="FF000000"/>
        <rFont val="Noto Sans CJK SC"/>
        <family val="2"/>
      </rPr>
      <t xml:space="preserve">任務類型依模型架構推定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授權需確認</t>
    </r>
  </si>
  <si>
    <t xml:space="preserve">https://huggingface.co/nvidia/Nemotron-3.5-Content-Safety</t>
  </si>
  <si>
    <t xml:space="preserve">LocalAI-io/privacy-filter-multilingual-GGUF</t>
  </si>
  <si>
    <t xml:space="preserve">LocalAI-io</t>
  </si>
  <si>
    <t xml:space="preserve">gguf</t>
  </si>
  <si>
    <t xml:space="preserve">其他帳號</t>
  </si>
  <si>
    <t xml:space="preserve">OpenMed/privacy-filter-multilingual</t>
  </si>
  <si>
    <t xml:space="preserve">https://huggingface.co/LocalAI-io/privacy-filter-multilingual-GGUF</t>
  </si>
  <si>
    <t xml:space="preserve">mistralai/Ministral-3-3B-Instruct-2512</t>
  </si>
  <si>
    <t xml:space="preserve">mistralai</t>
  </si>
  <si>
    <t xml:space="preserve">mistralai/Ministral-3-3B-Base-2512</t>
  </si>
  <si>
    <r>
      <rPr>
        <sz val="11"/>
        <color rgb="FF000000"/>
        <rFont val="Noto Sans CJK SC"/>
        <family val="2"/>
      </rPr>
      <t xml:space="preserve">任務類型依模型架構推定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量化版本</t>
    </r>
  </si>
  <si>
    <t xml:space="preserve">https://huggingface.co/mistralai/Ministral-3-3B-Instruct-2512</t>
  </si>
  <si>
    <t xml:space="preserve">fastino/gliner2.5-multi-v1</t>
  </si>
  <si>
    <t xml:space="preserve">依名稱推定</t>
  </si>
  <si>
    <t xml:space="preserve">任務類型依名稱推定</t>
  </si>
  <si>
    <t xml:space="preserve">https://huggingface.co/fastino/gliner2.5-multi-v1</t>
  </si>
  <si>
    <t xml:space="preserve">fastino/gliner2-base-v1</t>
  </si>
  <si>
    <t xml:space="preserve">https://huggingface.co/fastino/gliner2-base-v1</t>
  </si>
  <si>
    <t xml:space="preserve">garak-llm/garak-refusal-detector</t>
  </si>
  <si>
    <t xml:space="preserve">garak-llm</t>
  </si>
  <si>
    <t xml:space="preserve">answerdotai/ModernBERT-base</t>
  </si>
  <si>
    <t xml:space="preserve">https://huggingface.co/garak-llm/garak-refusal-detector</t>
  </si>
  <si>
    <t xml:space="preserve">sentence-transformers/all-MiniLM-L6-v2</t>
  </si>
  <si>
    <t xml:space="preserve">nreimers/MiniLM-L6-H384-uncased</t>
  </si>
  <si>
    <t xml:space="preserve">https://huggingface.co/sentence-transformers/all-MiniLM-L6-v2</t>
  </si>
  <si>
    <t xml:space="preserve">cross-encoder/ms-marco-MiniLM-L6-v2</t>
  </si>
  <si>
    <t xml:space="preserve">safetensors;pytorch;onnx;flax</t>
  </si>
  <si>
    <t xml:space="preserve">cross-encoder/ms-marco-MiniLM-L12-v2</t>
  </si>
  <si>
    <t xml:space="preserve">https://huggingface.co/cross-encoder/ms-marco-MiniLM-L6-v2</t>
  </si>
  <si>
    <t xml:space="preserve">fastino/gliner2-large-v1</t>
  </si>
  <si>
    <t xml:space="preserve">https://huggingface.co/fastino/gliner2-large-v1</t>
  </si>
  <si>
    <t xml:space="preserve">AungMoonLord/bert-log-anomaly-detection</t>
  </si>
  <si>
    <t xml:space="preserve">AungMoonLord</t>
  </si>
  <si>
    <t xml:space="preserve">google-bert/bert-base-uncased</t>
  </si>
  <si>
    <t xml:space="preserve">https://huggingface.co/AungMoonLord/bert-log-anomaly-detection</t>
  </si>
  <si>
    <t xml:space="preserve">sentence-transformers/clip-ViT-B-32-multilingual-v1</t>
  </si>
  <si>
    <t xml:space="preserve">https://huggingface.co/sentence-transformers/clip-ViT-B-32-multilingual-v1</t>
  </si>
  <si>
    <t xml:space="preserve">google/canine-c</t>
  </si>
  <si>
    <t xml:space="preserve">google</t>
  </si>
  <si>
    <t xml:space="preserve">https://huggingface.co/google/canine-c</t>
  </si>
  <si>
    <t xml:space="preserve">google/gemma-4-31B-it-assistant</t>
  </si>
  <si>
    <r>
      <rPr>
        <sz val="11"/>
        <color rgb="FF000000"/>
        <rFont val="Noto Sans CJK SC"/>
        <family val="2"/>
      </rPr>
      <t xml:space="preserve">大型語言模型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未標示語言</t>
    </r>
  </si>
  <si>
    <t xml:space="preserve">https://huggingface.co/google/gemma-4-31B-it-assistant</t>
  </si>
  <si>
    <t xml:space="preserve">GuardrailsAI/prompt-saturation-attack-detector</t>
  </si>
  <si>
    <t xml:space="preserve">GuardrailsAI</t>
  </si>
  <si>
    <r>
      <rPr>
        <sz val="11"/>
        <color rgb="FF000000"/>
        <rFont val="Noto Sans CJK SC"/>
        <family val="2"/>
      </rPr>
      <t xml:space="preserve">未標示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需人工確認</t>
    </r>
  </si>
  <si>
    <t xml:space="preserve">https://huggingface.co/GuardrailsAI/prompt-saturation-attack-detector</t>
  </si>
  <si>
    <t xml:space="preserve">ibm-granite/granite-4.1-8b</t>
  </si>
  <si>
    <t xml:space="preserve">https://huggingface.co/ibm-granite/granite-4.1-8b</t>
  </si>
  <si>
    <t xml:space="preserve">ibm-granite/granite-embedding-small-english-r2</t>
  </si>
  <si>
    <t xml:space="preserve">https://huggingface.co/ibm-granite/granite-embedding-small-english-r2</t>
  </si>
  <si>
    <t xml:space="preserve">mixedbread-ai/mxbai-embed-large-v1</t>
  </si>
  <si>
    <t xml:space="preserve">mixedbread-ai</t>
  </si>
  <si>
    <t xml:space="preserve">safetensors;gguf;pytorch;onnx</t>
  </si>
  <si>
    <t xml:space="preserve">https://huggingface.co/mixedbread-ai/mxbai-embed-large-v1</t>
  </si>
  <si>
    <t xml:space="preserve">sentence-transformers/all-MiniLM-L12-v2</t>
  </si>
  <si>
    <t xml:space="preserve">microsoft/MiniLM-L12-H384-uncased</t>
  </si>
  <si>
    <t xml:space="preserve">https://huggingface.co/sentence-transformers/all-MiniLM-L12-v2</t>
  </si>
  <si>
    <t xml:space="preserve">openai/gpt-oss-safeguard-20b</t>
  </si>
  <si>
    <r>
      <rPr>
        <sz val="11"/>
        <color rgb="FF000000"/>
        <rFont val="Calibri"/>
        <family val="0"/>
        <charset val="1"/>
      </rPr>
      <t xml:space="preserve">100 </t>
    </r>
    <r>
      <rPr>
        <sz val="11"/>
        <color rgb="FF000000"/>
        <rFont val="Noto Sans CJK SC"/>
        <family val="2"/>
      </rPr>
      <t xml:space="preserve">億至 </t>
    </r>
    <r>
      <rPr>
        <sz val="11"/>
        <color rgb="FF000000"/>
        <rFont val="Calibri"/>
        <family val="0"/>
        <charset val="1"/>
      </rPr>
      <t xml:space="preserve">350 </t>
    </r>
    <r>
      <rPr>
        <sz val="11"/>
        <color rgb="FF000000"/>
        <rFont val="Noto Sans CJK SC"/>
        <family val="2"/>
      </rPr>
      <t xml:space="preserve">億</t>
    </r>
  </si>
  <si>
    <t xml:space="preserve">openai/gpt-oss-20b</t>
  </si>
  <si>
    <t xml:space="preserve">https://huggingface.co/openai/gpt-oss-safeguard-20b</t>
  </si>
  <si>
    <t xml:space="preserve">sentence-transformers/paraphrase-MiniLM-L6-v2</t>
  </si>
  <si>
    <t xml:space="preserve">https://huggingface.co/sentence-transformers/paraphrase-MiniLM-L6-v2</t>
  </si>
  <si>
    <t xml:space="preserve">cybersectony/phishing-email-detection-distilbert_v2.4.1</t>
  </si>
  <si>
    <t xml:space="preserve">cybersectony</t>
  </si>
  <si>
    <t xml:space="preserve">distilbert/distilbert-base-uncased</t>
  </si>
  <si>
    <t xml:space="preserve">https://huggingface.co/cybersectony/phishing-email-detection-distilbert_v2.4.1</t>
  </si>
  <si>
    <t xml:space="preserve">answerdotai/answerai-colbert-small-v1</t>
  </si>
  <si>
    <t xml:space="preserve">answerdotai</t>
  </si>
  <si>
    <t xml:space="preserve">任務類型依模型架構推定</t>
  </si>
  <si>
    <t xml:space="preserve">https://huggingface.co/answerdotai/answerai-colbert-small-v1</t>
  </si>
  <si>
    <t xml:space="preserve">OpenMed</t>
  </si>
  <si>
    <t xml:space="preserve">https://huggingface.co/OpenMed/privacy-filter-multilingual</t>
  </si>
  <si>
    <t xml:space="preserve">ibm-granite/granite-guardian-4.1-8b</t>
  </si>
  <si>
    <t xml:space="preserve">https://huggingface.co/ibm-granite/granite-guardian-4.1-8b</t>
  </si>
  <si>
    <t xml:space="preserve">sentence-transformers/paraphrase-mpnet-base-v2</t>
  </si>
  <si>
    <t xml:space="preserve">https://huggingface.co/sentence-transformers/paraphrase-mpnet-base-v2</t>
  </si>
  <si>
    <t xml:space="preserve">mistralai/Mistral-7B-Instruct-v0.3</t>
  </si>
  <si>
    <t xml:space="preserve">mistralai/Mistral-7B-v0.3</t>
  </si>
  <si>
    <t xml:space="preserve">https://huggingface.co/mistralai/Mistral-7B-Instruct-v0.3</t>
  </si>
  <si>
    <t xml:space="preserve">sentence-transformers/paraphrase-MiniLM-L3-v2</t>
  </si>
  <si>
    <t xml:space="preserve">https://huggingface.co/sentence-transformers/paraphrase-MiniLM-L3-v2</t>
  </si>
  <si>
    <t xml:space="preserve">mistralai/Ministral-3-8B-Instruct-2512</t>
  </si>
  <si>
    <t xml:space="preserve">mistralai/Ministral-3-8B-Base-2512</t>
  </si>
  <si>
    <t xml:space="preserve">https://huggingface.co/mistralai/Ministral-3-8B-Instruct-2512</t>
  </si>
  <si>
    <t xml:space="preserve">HuggingFaceTB/SmolLM3-3B</t>
  </si>
  <si>
    <t xml:space="preserve">HuggingFaceTB</t>
  </si>
  <si>
    <t xml:space="preserve">HuggingFaceTB/SmolLM3-3B-Base</t>
  </si>
  <si>
    <t xml:space="preserve">https://huggingface.co/HuggingFaceTB/SmolLM3-3B</t>
  </si>
  <si>
    <t xml:space="preserve">ibm-granite/granite-4.1-3b</t>
  </si>
  <si>
    <t xml:space="preserve">https://huggingface.co/ibm-granite/granite-4.1-3b</t>
  </si>
  <si>
    <t xml:space="preserve">google/gemma-4-E4B-it</t>
  </si>
  <si>
    <t xml:space="preserve">google/gemma-4-E4B</t>
  </si>
  <si>
    <t xml:space="preserve">https://huggingface.co/google/gemma-4-E4B-it</t>
  </si>
  <si>
    <t xml:space="preserve">google/gemma-4-E2B-it</t>
  </si>
  <si>
    <t xml:space="preserve">google/gemma-4-E2B</t>
  </si>
  <si>
    <t xml:space="preserve">https://huggingface.co/google/gemma-4-E2B-it</t>
  </si>
  <si>
    <t xml:space="preserve">sentence-transformers/nli-mpnet-base-v2</t>
  </si>
  <si>
    <t xml:space="preserve">https://huggingface.co/sentence-transformers/nli-mpnet-base-v2</t>
  </si>
  <si>
    <t xml:space="preserve">google/gemma-4-26B-A4B-it-assistant</t>
  </si>
  <si>
    <t xml:space="preserve">https://huggingface.co/google/gemma-4-26B-A4B-it-assistant</t>
  </si>
  <si>
    <t xml:space="preserve">fastino/gliner2-multi-v1</t>
  </si>
  <si>
    <t xml:space="preserve">https://huggingface.co/fastino/gliner2-multi-v1</t>
  </si>
  <si>
    <t xml:space="preserve">sentence-transformers/paraphrase-albert-small-v2</t>
  </si>
  <si>
    <t xml:space="preserve">https://huggingface.co/sentence-transformers/paraphrase-albert-small-v2</t>
  </si>
  <si>
    <t xml:space="preserve">Snowflake/snowflake-arctic-embed-m</t>
  </si>
  <si>
    <t xml:space="preserve">https://huggingface.co/Snowflake/snowflake-arctic-embed-m</t>
  </si>
  <si>
    <t xml:space="preserve">LocalAI-io/privacy-filter-nemotron-GGUF</t>
  </si>
  <si>
    <t xml:space="preserve">OpenMed/privacy-filter-nemotron</t>
  </si>
  <si>
    <t xml:space="preserve">https://huggingface.co/LocalAI-io/privacy-filter-nemotron-GGUF</t>
  </si>
  <si>
    <t xml:space="preserve">sentence-transformers/all-mpnet-base-v2</t>
  </si>
  <si>
    <t xml:space="preserve">https://huggingface.co/sentence-transformers/all-mpnet-base-v2</t>
  </si>
  <si>
    <t xml:space="preserve">sentence-transformers/paraphrase-MiniLM-L12-v2</t>
  </si>
  <si>
    <t xml:space="preserve">https://huggingface.co/sentence-transformers/paraphrase-MiniLM-L12-v2</t>
  </si>
  <si>
    <t xml:space="preserve">cross-encoder/ms-marco-MiniLM-L4-v2</t>
  </si>
  <si>
    <t xml:space="preserve">https://huggingface.co/cross-encoder/ms-marco-MiniLM-L4-v2</t>
  </si>
  <si>
    <t xml:space="preserve">sentence-transformers/all-distilroberta-v1</t>
  </si>
  <si>
    <t xml:space="preserve">https://huggingface.co/sentence-transformers/all-distilroberta-v1</t>
  </si>
  <si>
    <t xml:space="preserve">Snowflake/snowflake-arctic-embed-m-v1.5</t>
  </si>
  <si>
    <t xml:space="preserve">safetensors;gguf;onnx</t>
  </si>
  <si>
    <t xml:space="preserve">https://huggingface.co/Snowflake/snowflake-arctic-embed-m-v1.5</t>
  </si>
  <si>
    <t xml:space="preserve">https://huggingface.co/cross-encoder/ms-marco-MiniLM-L12-v2</t>
  </si>
  <si>
    <t xml:space="preserve">intfloat/e5-large-v2</t>
  </si>
  <si>
    <t xml:space="preserve">https://huggingface.co/intfloat/e5-large-v2</t>
  </si>
  <si>
    <t xml:space="preserve">Snowflake/snowflake-arctic-embed-l</t>
  </si>
  <si>
    <t xml:space="preserve">https://huggingface.co/Snowflake/snowflake-arctic-embed-l</t>
  </si>
  <si>
    <t xml:space="preserve">https://huggingface.co/HuggingFaceTB/SmolLM3-3B-Base</t>
  </si>
  <si>
    <t xml:space="preserve">sentence-transformers/msmarco-MiniLM-L6-v3</t>
  </si>
  <si>
    <t xml:space="preserve">https://huggingface.co/sentence-transformers/msmarco-MiniLM-L6-v3</t>
  </si>
  <si>
    <t xml:space="preserve">LiquidAI/LFM2.5-230M-GGUF</t>
  </si>
  <si>
    <t xml:space="preserve">LiquidAI</t>
  </si>
  <si>
    <t xml:space="preserve">safetensors;gguf</t>
  </si>
  <si>
    <t xml:space="preserve">LiquidAI/LFM2.5-230M</t>
  </si>
  <si>
    <r>
      <rPr>
        <sz val="11"/>
        <color rgb="FF000000"/>
        <rFont val="Noto Sans CJK SC"/>
        <family val="2"/>
      </rPr>
      <t xml:space="preserve">量化版本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授權需確認</t>
    </r>
  </si>
  <si>
    <t xml:space="preserve">https://huggingface.co/LiquidAI/LFM2.5-230M-GGUF</t>
  </si>
  <si>
    <t xml:space="preserve">https://huggingface.co/google/gemma-4-E4B</t>
  </si>
  <si>
    <t xml:space="preserve">intfloat/e5-base-v2</t>
  </si>
  <si>
    <t xml:space="preserve">https://huggingface.co/intfloat/e5-base-v2</t>
  </si>
  <si>
    <t xml:space="preserve">google/embeddinggemma-2</t>
  </si>
  <si>
    <t xml:space="preserve">https://huggingface.co/google/embeddinggemma-2</t>
  </si>
  <si>
    <t xml:space="preserve">nvidia/Nemotron-3-Embed-1B-BF16</t>
  </si>
  <si>
    <t xml:space="preserve">https://huggingface.co/nvidia/Nemotron-3-Embed-1B-BF16</t>
  </si>
  <si>
    <t xml:space="preserve">OpenMed/OpenMed-PII-SuperClinical-Small-44M-v1</t>
  </si>
  <si>
    <t xml:space="preserve">microsoft/deberta-v3-small</t>
  </si>
  <si>
    <t xml:space="preserve">https://huggingface.co/OpenMed/OpenMed-PII-SuperClinical-Small-44M-v1</t>
  </si>
  <si>
    <t xml:space="preserve">sentence-transformers/bert-base-nli-mean-tokens</t>
  </si>
  <si>
    <t xml:space="preserve">https://huggingface.co/sentence-transformers/bert-base-nli-mean-tokens</t>
  </si>
  <si>
    <t xml:space="preserve">Snowflake/snowflake-arctic-embed-s</t>
  </si>
  <si>
    <t xml:space="preserve">https://huggingface.co/Snowflake/snowflake-arctic-embed-s</t>
  </si>
  <si>
    <t xml:space="preserve">ai21labs/Jamba-tiny-dev</t>
  </si>
  <si>
    <t xml:space="preserve">ai21labs</t>
  </si>
  <si>
    <t xml:space="preserve">https://huggingface.co/ai21labs/Jamba-tiny-dev</t>
  </si>
  <si>
    <t xml:space="preserve">cross-encoder/ms-marco-MiniLM-L2-v2</t>
  </si>
  <si>
    <t xml:space="preserve">https://huggingface.co/cross-encoder/ms-marco-MiniLM-L2-v2</t>
  </si>
  <si>
    <t xml:space="preserve">google/gemma-4-E4B-it-qat-q4_0-gguf</t>
  </si>
  <si>
    <t xml:space="preserve">google/gemma-4-E4B-it-qat-q4_0-unquantized</t>
  </si>
  <si>
    <t xml:space="preserve">https://huggingface.co/google/gemma-4-E4B-it-qat-q4_0-gguf</t>
  </si>
  <si>
    <t xml:space="preserve">mistralai/Mistral-7B-Instruct-v0.2</t>
  </si>
  <si>
    <t xml:space="preserve">https://huggingface.co/mistralai/Mistral-7B-Instruct-v0.2</t>
  </si>
  <si>
    <t xml:space="preserve">intfloat/e5-small-v2</t>
  </si>
  <si>
    <t xml:space="preserve">https://huggingface.co/intfloat/e5-small-v2</t>
  </si>
  <si>
    <t xml:space="preserve">sentence-transformers/all-roberta-large-v1</t>
  </si>
  <si>
    <t xml:space="preserve">https://huggingface.co/sentence-transformers/all-roberta-large-v1</t>
  </si>
  <si>
    <t xml:space="preserve">garak-llm/attackgeneration-toxicity_gpt2</t>
  </si>
  <si>
    <t xml:space="preserve">openai-community/gpt2</t>
  </si>
  <si>
    <t xml:space="preserve">依上游模型推定</t>
  </si>
  <si>
    <t xml:space="preserve">任務類型依上游模型推定</t>
  </si>
  <si>
    <t xml:space="preserve">https://huggingface.co/garak-llm/attackgeneration-toxicity_gpt2</t>
  </si>
  <si>
    <t xml:space="preserve">mistralai/Ministral-3-3B-Instruct-2512-BF16</t>
  </si>
  <si>
    <t xml:space="preserve">https://huggingface.co/mistralai/Ministral-3-3B-Instruct-2512-BF16</t>
  </si>
  <si>
    <t xml:space="preserve">ibm-granite/granite-guardian-3.3-8b</t>
  </si>
  <si>
    <t xml:space="preserve">https://huggingface.co/ibm-granite/granite-guardian-3.3-8b</t>
  </si>
  <si>
    <t xml:space="preserve">mixedbread-ai/mxbai-rerank-xsmall-v1</t>
  </si>
  <si>
    <t xml:space="preserve">https://huggingface.co/mixedbread-ai/mxbai-rerank-xsmall-v1</t>
  </si>
  <si>
    <t xml:space="preserve">OpenMed/privacy-filter-multilingual-v2</t>
  </si>
  <si>
    <t xml:space="preserve">https://huggingface.co/OpenMed/privacy-filter-multilingual-v2</t>
  </si>
  <si>
    <t xml:space="preserve">https://huggingface.co/google/gemma-4-E2B</t>
  </si>
  <si>
    <t xml:space="preserve">google/gemma-4-E2B-it-qat-w4a16-ct</t>
  </si>
  <si>
    <t xml:space="preserve">google/gemma-4-E2B-it-qat-q4_0-unquantized</t>
  </si>
  <si>
    <t xml:space="preserve">https://huggingface.co/google/gemma-4-E2B-it-qat-w4a16-ct</t>
  </si>
  <si>
    <t xml:space="preserve">google/gemma-4-E4B-it-qat-w4a16-ct</t>
  </si>
  <si>
    <t xml:space="preserve">https://huggingface.co/google/gemma-4-E4B-it-qat-w4a16-ct</t>
  </si>
  <si>
    <t xml:space="preserve">protectai/xlm-roberta-base-language-detection-onnx</t>
  </si>
  <si>
    <t xml:space="preserve">onnx</t>
  </si>
  <si>
    <t xml:space="preserve">papluca/xlm-roberta-base-language-detection</t>
  </si>
  <si>
    <t xml:space="preserve">https://huggingface.co/protectai/xlm-roberta-base-language-detection-onnx</t>
  </si>
  <si>
    <t xml:space="preserve">cross-encoder/nli-deberta-v3-small</t>
  </si>
  <si>
    <t xml:space="preserve">https://huggingface.co/cross-encoder/nli-deberta-v3-small</t>
  </si>
  <si>
    <t xml:space="preserve">sentence-transformers/distilbert-base-nli-mean-tokens</t>
  </si>
  <si>
    <t xml:space="preserve">https://huggingface.co/sentence-transformers/distilbert-base-nli-mean-tokens</t>
  </si>
  <si>
    <t xml:space="preserve">LiquidAI/LFM2.5-2.6B-GGUF</t>
  </si>
  <si>
    <t xml:space="preserve">LiquidAI/LFM2.5-2.6B</t>
  </si>
  <si>
    <t xml:space="preserve">https://huggingface.co/LiquidAI/LFM2.5-2.6B-GGUF</t>
  </si>
  <si>
    <t xml:space="preserve">cross-encoder/nli-deberta-v3-base</t>
  </si>
  <si>
    <t xml:space="preserve">https://huggingface.co/cross-encoder/nli-deberta-v3-base</t>
  </si>
  <si>
    <t xml:space="preserve">google/gemma-4-E4B-it-assistant</t>
  </si>
  <si>
    <t xml:space="preserve">https://huggingface.co/google/gemma-4-E4B-it-assistant</t>
  </si>
  <si>
    <t xml:space="preserve">cross-encoder/ms-marco-TinyBERT-L2-v2</t>
  </si>
  <si>
    <t xml:space="preserve">nreimers/BERT-Tiny_L-2_H-128_A-2</t>
  </si>
  <si>
    <t xml:space="preserve">https://huggingface.co/cross-encoder/ms-marco-TinyBERT-L2-v2</t>
  </si>
  <si>
    <t xml:space="preserve">google/gemma-4-E2B-it-qat-q4_0-gguf</t>
  </si>
  <si>
    <t xml:space="preserve">https://huggingface.co/google/gemma-4-E2B-it-qat-q4_0-gguf</t>
  </si>
  <si>
    <t xml:space="preserve">sentence-transformers/stsb-roberta-base-v2</t>
  </si>
  <si>
    <t xml:space="preserve">https://huggingface.co/sentence-transformers/stsb-roberta-base-v2</t>
  </si>
  <si>
    <t xml:space="preserve">ibm-granite/granite-embedding-278m-multilingual</t>
  </si>
  <si>
    <t xml:space="preserve">https://huggingface.co/ibm-granite/granite-embedding-278m-multilingual</t>
  </si>
  <si>
    <t xml:space="preserve">mixedbread-ai/mxbai-rerank-base-v1</t>
  </si>
  <si>
    <t xml:space="preserve">https://huggingface.co/mixedbread-ai/mxbai-rerank-base-v1</t>
  </si>
  <si>
    <t xml:space="preserve">colbert-ir/colbertv2.0</t>
  </si>
  <si>
    <t xml:space="preserve">colbert-ir</t>
  </si>
  <si>
    <t xml:space="preserve">https://huggingface.co/colbert-ir/colbertv2.0</t>
  </si>
  <si>
    <t xml:space="preserve">ibm-granite/granite-embedding-107m-multilingual</t>
  </si>
  <si>
    <t xml:space="preserve">https://huggingface.co/ibm-granite/granite-embedding-107m-multilingual</t>
  </si>
  <si>
    <t xml:space="preserve">LiquidAI/LFM2.5-VL-450M</t>
  </si>
  <si>
    <t xml:space="preserve">LiquidAI/LFM2.5-350M</t>
  </si>
  <si>
    <t xml:space="preserve">https://huggingface.co/LiquidAI/LFM2.5-VL-450M</t>
  </si>
  <si>
    <t xml:space="preserve">EleutherAI/pythia-14m</t>
  </si>
  <si>
    <t xml:space="preserve">EleutherAI</t>
  </si>
  <si>
    <t xml:space="preserve">https://huggingface.co/EleutherAI/pythia-14m</t>
  </si>
  <si>
    <t xml:space="preserve">LiquidAI/LFM2.5-1.2B-Instruct</t>
  </si>
  <si>
    <t xml:space="preserve">LiquidAI/LFM2.5-1.2B-Base</t>
  </si>
  <si>
    <t xml:space="preserve">https://huggingface.co/LiquidAI/LFM2.5-1.2B-Instruct</t>
  </si>
  <si>
    <t xml:space="preserve">ibm-granite/granite-4.2-8b-GGUF</t>
  </si>
  <si>
    <t xml:space="preserve">ibm-granite/granite-4.2-8b</t>
  </si>
  <si>
    <r>
      <rPr>
        <sz val="11"/>
        <color rgb="FF000000"/>
        <rFont val="Noto Sans CJK SC"/>
        <family val="2"/>
      </rPr>
      <t xml:space="preserve">任務類型依上游模型推定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量化版本</t>
    </r>
  </si>
  <si>
    <t xml:space="preserve">https://huggingface.co/ibm-granite/granite-4.2-8b-GGUF</t>
  </si>
  <si>
    <t xml:space="preserve">HuggingFaceTB/SmolLM2-135M</t>
  </si>
  <si>
    <t xml:space="preserve">https://huggingface.co/HuggingFaceTB/SmolLM2-135M</t>
  </si>
  <si>
    <t xml:space="preserve">HuggingFaceTB/SmolLM2-135M-Instruct</t>
  </si>
  <si>
    <t xml:space="preserve">https://huggingface.co/HuggingFaceTB/SmolLM2-135M-Instruct</t>
  </si>
  <si>
    <t xml:space="preserve">ibm-granite/granite-4.2-3b-GGUF</t>
  </si>
  <si>
    <t xml:space="preserve">ibm-granite/granite-4.2-3b</t>
  </si>
  <si>
    <t xml:space="preserve">https://huggingface.co/ibm-granite/granite-4.2-3b-GGUF</t>
  </si>
  <si>
    <t xml:space="preserve">intfloat/e5-mistral-7b-instruct</t>
  </si>
  <si>
    <t xml:space="preserve">https://huggingface.co/intfloat/e5-mistral-7b-instruct</t>
  </si>
  <si>
    <t xml:space="preserve">mistralai/Ministral-3-3B-Reasoning-2512</t>
  </si>
  <si>
    <t xml:space="preserve">https://huggingface.co/mistralai/Ministral-3-3B-Reasoning-2512</t>
  </si>
  <si>
    <t xml:space="preserve">amazon/chronos-2</t>
  </si>
  <si>
    <t xml:space="preserve">amazon</t>
  </si>
  <si>
    <t xml:space="preserve">https://huggingface.co/amazon/chronos-2</t>
  </si>
  <si>
    <t xml:space="preserve">LiquidAI/LFM2.5-1.2B-Instruct-GGUF</t>
  </si>
  <si>
    <t xml:space="preserve">https://huggingface.co/LiquidAI/LFM2.5-1.2B-Instruct-GGUF</t>
  </si>
  <si>
    <t xml:space="preserve">mixedbread-ai/deepset-mxbai-embed-de-large-v1</t>
  </si>
  <si>
    <t xml:space="preserve">https://huggingface.co/mixedbread-ai/deepset-mxbai-embed-de-large-v1</t>
  </si>
  <si>
    <t xml:space="preserve">google/gemma-4-26B-A4B-it</t>
  </si>
  <si>
    <t xml:space="preserve">google/gemma-4-26B-A4B</t>
  </si>
  <si>
    <t xml:space="preserve">https://huggingface.co/google/gemma-4-26B-A4B-it</t>
  </si>
  <si>
    <t xml:space="preserve">autogluon/chronos-2</t>
  </si>
  <si>
    <t xml:space="preserve">autogluon</t>
  </si>
  <si>
    <t xml:space="preserve">https://huggingface.co/autogluon/chronos-2</t>
  </si>
  <si>
    <t xml:space="preserve">ibm-granite/granite-4.0-h-tiny</t>
  </si>
  <si>
    <t xml:space="preserve">https://huggingface.co/ibm-granite/granite-4.0-h-tiny</t>
  </si>
  <si>
    <t xml:space="preserve">google/gemma-4-31B-it</t>
  </si>
  <si>
    <t xml:space="preserve">google/gemma-4-31B</t>
  </si>
  <si>
    <t xml:space="preserve">https://huggingface.co/google/gemma-4-31B-it</t>
  </si>
  <si>
    <t xml:space="preserve">sentence-transformers/msmarco-distilbert-base-tas-b</t>
  </si>
  <si>
    <t xml:space="preserve">https://huggingface.co/sentence-transformers/msmarco-distilbert-base-tas-b</t>
  </si>
  <si>
    <t xml:space="preserve">HuggingFaceTB/SmolVLM2-500M-Video-Instruct</t>
  </si>
  <si>
    <t xml:space="preserve">HuggingFaceTB/SmolVLM-500M-Instruct</t>
  </si>
  <si>
    <t xml:space="preserve">https://huggingface.co/HuggingFaceTB/SmolVLM2-500M-Video-Instruct</t>
  </si>
  <si>
    <t xml:space="preserve">protectai/unbiased-toxic-roberta-onnx</t>
  </si>
  <si>
    <t xml:space="preserve">unitary/unbiased-toxic-roberta</t>
  </si>
  <si>
    <t xml:space="preserve">https://huggingface.co/protectai/unbiased-toxic-roberta-onnx</t>
  </si>
  <si>
    <t xml:space="preserve">OpenMed/OpenMed-PII-SuperClinical-Large-434M-v1</t>
  </si>
  <si>
    <t xml:space="preserve">microsoft/deberta-v3-large</t>
  </si>
  <si>
    <t xml:space="preserve">https://huggingface.co/OpenMed/OpenMed-PII-SuperClinical-Large-434M-v1</t>
  </si>
  <si>
    <t xml:space="preserve">nomic-ai/modernbert-embed-base</t>
  </si>
  <si>
    <t xml:space="preserve">nomic-ai</t>
  </si>
  <si>
    <t xml:space="preserve">https://huggingface.co/nomic-ai/modernbert-embed-base</t>
  </si>
  <si>
    <t xml:space="preserve">cross-encoder/ms-marco-electra-base</t>
  </si>
  <si>
    <t xml:space="preserve">google/electra-base-discriminator</t>
  </si>
  <si>
    <t xml:space="preserve">https://huggingface.co/cross-encoder/ms-marco-electra-base</t>
  </si>
  <si>
    <t xml:space="preserve">sentence-transformers/stsb-xlm-r-multilingual</t>
  </si>
  <si>
    <t xml:space="preserve">https://huggingface.co/sentence-transformers/stsb-xlm-r-multilingual</t>
  </si>
  <si>
    <t xml:space="preserve">LiquidAI/LFM2.5-8B-A1B-GGUF</t>
  </si>
  <si>
    <t xml:space="preserve">LiquidAI/LFM2.5-8B-A1B</t>
  </si>
  <si>
    <t xml:space="preserve">https://huggingface.co/LiquidAI/LFM2.5-8B-A1B-GGUF</t>
  </si>
  <si>
    <t xml:space="preserve">intfloat/e5-base</t>
  </si>
  <si>
    <t xml:space="preserve">https://huggingface.co/intfloat/e5-base</t>
  </si>
  <si>
    <t xml:space="preserve">HuggingFaceTB/SmolVLM-256M-Instruct</t>
  </si>
  <si>
    <t xml:space="preserve">https://huggingface.co/HuggingFaceTB/SmolVLM-256M-Instruct</t>
  </si>
  <si>
    <t xml:space="preserve">mistralai/Mistral-Small-3.2-24B-Instruct-2506</t>
  </si>
  <si>
    <t xml:space="preserve">mistralai/Mistral-Small-3.1-24B-Base-2503</t>
  </si>
  <si>
    <t xml:space="preserve">https://huggingface.co/mistralai/Mistral-Small-3.2-24B-Instruct-2506</t>
  </si>
  <si>
    <t xml:space="preserve">meta-llama/Llama-Guard-3-8B</t>
  </si>
  <si>
    <t xml:space="preserve">meta-llama/Llama-3.1-8B</t>
  </si>
  <si>
    <t xml:space="preserve">https://huggingface.co/meta-llama/Llama-Guard-3-8B</t>
  </si>
  <si>
    <t xml:space="preserve">cross-encoder/stsb-roberta-large</t>
  </si>
  <si>
    <t xml:space="preserve">FacebookAI/roberta-large</t>
  </si>
  <si>
    <t xml:space="preserve">https://huggingface.co/cross-encoder/stsb-roberta-large</t>
  </si>
  <si>
    <t xml:space="preserve">nomic-ai/nomic-embed-text-v1.5-GGUF</t>
  </si>
  <si>
    <t xml:space="preserve">nomic-ai/nomic-embed-text-v1.5</t>
  </si>
  <si>
    <t xml:space="preserve">https://huggingface.co/nomic-ai/nomic-embed-text-v1.5-GGUF</t>
  </si>
  <si>
    <t xml:space="preserve">cross-encoder/nli-MiniLM2-L6-H768</t>
  </si>
  <si>
    <t xml:space="preserve">nreimers/MiniLMv2-L6-H768-distilled-from-RoBERTa-Large</t>
  </si>
  <si>
    <t xml:space="preserve">https://huggingface.co/cross-encoder/nli-MiniLM2-L6-H768</t>
  </si>
  <si>
    <t xml:space="preserve">sentence-transformers/msmarco-distilbert-base-v4</t>
  </si>
  <si>
    <t xml:space="preserve">https://huggingface.co/sentence-transformers/msmarco-distilbert-base-v4</t>
  </si>
  <si>
    <t xml:space="preserve">nvidia/Gemma-4-26B-A4B-NVFP4</t>
  </si>
  <si>
    <t xml:space="preserve">https://huggingface.co/nvidia/Gemma-4-26B-A4B-NVFP4</t>
  </si>
  <si>
    <t xml:space="preserve">ibm-research/PowerMoE-3b</t>
  </si>
  <si>
    <t xml:space="preserve">ibm-research</t>
  </si>
  <si>
    <t xml:space="preserve">https://huggingface.co/ibm-research/PowerMoE-3b</t>
  </si>
  <si>
    <t xml:space="preserve">LiquidAI/LFM2.5-350M-Base</t>
  </si>
  <si>
    <t xml:space="preserve">https://huggingface.co/LiquidAI/LFM2.5-350M</t>
  </si>
  <si>
    <t xml:space="preserve">cross-encoder/stsb-roberta-base</t>
  </si>
  <si>
    <t xml:space="preserve">FacebookAI/roberta-base</t>
  </si>
  <si>
    <t xml:space="preserve">https://huggingface.co/cross-encoder/stsb-roberta-base</t>
  </si>
  <si>
    <t xml:space="preserve">sentence-transformers/distiluse-base-multilingual-cased</t>
  </si>
  <si>
    <t xml:space="preserve">https://huggingface.co/sentence-transformers/distiluse-base-multilingual-cased</t>
  </si>
  <si>
    <t xml:space="preserve">mistralai/Ministral-3-14B-Instruct-2512</t>
  </si>
  <si>
    <t xml:space="preserve">mistralai/Ministral-3-14B-Base-2512</t>
  </si>
  <si>
    <t xml:space="preserve">https://huggingface.co/mistralai/Ministral-3-14B-Instruct-2512</t>
  </si>
  <si>
    <t xml:space="preserve">mistralai/Mistral-7B-Instruct-v0.1</t>
  </si>
  <si>
    <t xml:space="preserve">mistralai/Mistral-7B-v0.1</t>
  </si>
  <si>
    <t xml:space="preserve">https://huggingface.co/mistralai/Mistral-7B-Instruct-v0.1</t>
  </si>
  <si>
    <t xml:space="preserve">mixedbread-ai/mxbai-embed-2d-large-v1</t>
  </si>
  <si>
    <t xml:space="preserve">https://huggingface.co/mixedbread-ai/mxbai-embed-2d-large-v1</t>
  </si>
  <si>
    <t xml:space="preserve">https://huggingface.co/mistralai/Mistral-7B-v0.3</t>
  </si>
  <si>
    <t xml:space="preserve">allenai/Olmo-3-7B-Instruct</t>
  </si>
  <si>
    <t xml:space="preserve">allenai/Olmo-3-7B-Instruct-DPO</t>
  </si>
  <si>
    <t xml:space="preserve">https://huggingface.co/allenai/Olmo-3-7B-Instruct</t>
  </si>
  <si>
    <t xml:space="preserve">google/diffusiongemma-26B-A4B-it</t>
  </si>
  <si>
    <t xml:space="preserve">https://huggingface.co/google/diffusiongemma-26B-A4B-it</t>
  </si>
  <si>
    <t xml:space="preserve">microsoft/udop-large</t>
  </si>
  <si>
    <t xml:space="preserve">https://huggingface.co/microsoft/udop-large</t>
  </si>
  <si>
    <t xml:space="preserve">google/gemma-3-1b-it</t>
  </si>
  <si>
    <t xml:space="preserve">gemma</t>
  </si>
  <si>
    <t xml:space="preserve">google/gemma-3-1b-pt</t>
  </si>
  <si>
    <t xml:space="preserve">https://huggingface.co/google/gemma-3-1b-it</t>
  </si>
  <si>
    <t xml:space="preserve">sentence-transformers/sentence-t5-base</t>
  </si>
  <si>
    <t xml:space="preserve">https://huggingface.co/sentence-transformers/sentence-t5-base</t>
  </si>
  <si>
    <t xml:space="preserve">google/gemma-3-270m</t>
  </si>
  <si>
    <t xml:space="preserve">https://huggingface.co/google/gemma-3-270m</t>
  </si>
  <si>
    <t xml:space="preserve">mistralai/Mistral-Small-3.1-24B-Instruct-2503</t>
  </si>
  <si>
    <t xml:space="preserve">https://huggingface.co/mistralai/Mistral-Small-3.1-24B-Instruct-2503</t>
  </si>
  <si>
    <t xml:space="preserve">google/gemma-4-31B-it-qat-w4a16-ct</t>
  </si>
  <si>
    <t xml:space="preserve">google/gemma-4-31B-it-qat-q4_0-unquantized</t>
  </si>
  <si>
    <t xml:space="preserve">https://huggingface.co/google/gemma-4-31B-it-qat-w4a16-ct</t>
  </si>
  <si>
    <t xml:space="preserve">microsoft/phi-2</t>
  </si>
  <si>
    <t xml:space="preserve">https://huggingface.co/microsoft/phi-2</t>
  </si>
  <si>
    <t xml:space="preserve">google/embeddinggemma-300m</t>
  </si>
  <si>
    <t xml:space="preserve">https://huggingface.co/google/embeddinggemma-300m</t>
  </si>
  <si>
    <t xml:space="preserve">bigscience/bloomz-560m</t>
  </si>
  <si>
    <t xml:space="preserve">bigscience</t>
  </si>
  <si>
    <t xml:space="preserve">bigscience-bloom-rail-1.0</t>
  </si>
  <si>
    <t xml:space="preserve">https://huggingface.co/bigscience/bloomz-560m</t>
  </si>
  <si>
    <t xml:space="preserve">intfloat/e5-large</t>
  </si>
  <si>
    <t xml:space="preserve">https://huggingface.co/intfloat/e5-large</t>
  </si>
  <si>
    <t xml:space="preserve">facebook/bart-base</t>
  </si>
  <si>
    <t xml:space="preserve">facebook</t>
  </si>
  <si>
    <t xml:space="preserve">https://huggingface.co/facebook/bart-base</t>
  </si>
  <si>
    <t xml:space="preserve">lxyuan/distilbert-base-multilingual-cased-sentiments-student</t>
  </si>
  <si>
    <t xml:space="preserve">lxyuan</t>
  </si>
  <si>
    <t xml:space="preserve">https://huggingface.co/lxyuan/distilbert-base-multilingual-cased-sentiments-student</t>
  </si>
  <si>
    <t xml:space="preserve">ibm-granite/granite-4.0-tiny-preview</t>
  </si>
  <si>
    <t xml:space="preserve">ibm-granite/granite-4.0-tiny-base-preview</t>
  </si>
  <si>
    <t xml:space="preserve">https://huggingface.co/ibm-granite/granite-4.0-tiny-preview</t>
  </si>
  <si>
    <t xml:space="preserve">urchade/gliner_multi-v2.1</t>
  </si>
  <si>
    <t xml:space="preserve">urchade</t>
  </si>
  <si>
    <t xml:space="preserve">https://huggingface.co/urchade/gliner_multi-v2.1</t>
  </si>
  <si>
    <t xml:space="preserve">https://huggingface.co/openai-community/gpt2</t>
  </si>
  <si>
    <t xml:space="preserve">llava-hf/llava-v1.6-mistral-7b-hf</t>
  </si>
  <si>
    <t xml:space="preserve">llava-hf</t>
  </si>
  <si>
    <t xml:space="preserve">https://huggingface.co/llava-hf/llava-v1.6-mistral-7b-hf</t>
  </si>
  <si>
    <t xml:space="preserve">https://huggingface.co/google/gemma-4-31B</t>
  </si>
  <si>
    <t xml:space="preserve">nvidia/diffusiongemma-26B-A4B-it-NVFP4</t>
  </si>
  <si>
    <t xml:space="preserve">https://huggingface.co/nvidia/diffusiongemma-26B-A4B-it-NVFP4</t>
  </si>
  <si>
    <t xml:space="preserve">autogluon/chronos-bolt-small</t>
  </si>
  <si>
    <t xml:space="preserve">https://huggingface.co/autogluon/chronos-bolt-small</t>
  </si>
  <si>
    <t xml:space="preserve">cross-encoder/nli-deberta-v3-large</t>
  </si>
  <si>
    <t xml:space="preserve">https://huggingface.co/cross-encoder/nli-deberta-v3-large</t>
  </si>
  <si>
    <t xml:space="preserve">amazon/chronos-bolt-small</t>
  </si>
  <si>
    <t xml:space="preserve">https://huggingface.co/amazon/chronos-bolt-small</t>
  </si>
  <si>
    <t xml:space="preserve">bigscience/bloom-560m</t>
  </si>
  <si>
    <t xml:space="preserve">https://huggingface.co/bigscience/bloom-560m</t>
  </si>
  <si>
    <t xml:space="preserve">autogluon/chronos-2-small</t>
  </si>
  <si>
    <t xml:space="preserve">https://huggingface.co/autogluon/chronos-2-small</t>
  </si>
  <si>
    <t xml:space="preserve">EleutherAI/pythia-160m</t>
  </si>
  <si>
    <t xml:space="preserve">https://huggingface.co/EleutherAI/pythia-160m</t>
  </si>
  <si>
    <t xml:space="preserve">distilbert/distilgpt2</t>
  </si>
  <si>
    <t xml:space="preserve">distilbert</t>
  </si>
  <si>
    <t xml:space="preserve">safetensors;pytorch;tensorflow;flax;other</t>
  </si>
  <si>
    <t xml:space="preserve">https://huggingface.co/distilbert/distilgpt2</t>
  </si>
  <si>
    <t xml:space="preserve">sentence-transformers/paraphrase-xlm-r-multilingual-v1</t>
  </si>
  <si>
    <t xml:space="preserve">https://huggingface.co/sentence-transformers/paraphrase-xlm-r-multilingual-v1</t>
  </si>
  <si>
    <t xml:space="preserve">HuggingFaceTB/SmolLM2-360M-Instruct</t>
  </si>
  <si>
    <t xml:space="preserve">HuggingFaceTB/SmolLM2-360M</t>
  </si>
  <si>
    <t xml:space="preserve">https://huggingface.co/HuggingFaceTB/SmolLM2-360M-Instruct</t>
  </si>
  <si>
    <t xml:space="preserve">autogluon/chronos-bolt-tiny</t>
  </si>
  <si>
    <t xml:space="preserve">https://huggingface.co/autogluon/chronos-bolt-tiny</t>
  </si>
  <si>
    <t xml:space="preserve">autogluon/chronos-bolt-base</t>
  </si>
  <si>
    <t xml:space="preserve">https://huggingface.co/autogluon/chronos-bolt-base</t>
  </si>
  <si>
    <t xml:space="preserve">amazon/chronos-bolt-base</t>
  </si>
  <si>
    <t xml:space="preserve">https://huggingface.co/amazon/chronos-bolt-base</t>
  </si>
  <si>
    <t xml:space="preserve">openai-community/gpt2-large</t>
  </si>
  <si>
    <t xml:space="preserve">https://huggingface.co/openai-community/gpt2-large</t>
  </si>
  <si>
    <t xml:space="preserve">EleutherAI/pythia-70m-deduped</t>
  </si>
  <si>
    <t xml:space="preserve">https://huggingface.co/EleutherAI/pythia-70m-deduped</t>
  </si>
  <si>
    <t xml:space="preserve">amazon/chronos-bolt-tiny</t>
  </si>
  <si>
    <t xml:space="preserve">https://huggingface.co/amazon/chronos-bolt-tiny</t>
  </si>
  <si>
    <t xml:space="preserve">amazon/chronos-t5-small</t>
  </si>
  <si>
    <t xml:space="preserve">https://huggingface.co/amazon/chronos-t5-small</t>
  </si>
  <si>
    <t xml:space="preserve">amazon/chronos-t5-tiny</t>
  </si>
  <si>
    <t xml:space="preserve">https://huggingface.co/amazon/chronos-t5-tiny</t>
  </si>
  <si>
    <t xml:space="preserve">CohereLabs/North-Micro-Vision-Instruct</t>
  </si>
  <si>
    <t xml:space="preserve">CohereLabs</t>
  </si>
  <si>
    <t xml:space="preserve">https://huggingface.co/CohereLabs/North-Micro-Vision-Instruct</t>
  </si>
  <si>
    <t xml:space="preserve">https://huggingface.co/google/gemma-4-26B-A4B</t>
  </si>
  <si>
    <t xml:space="preserve">LiquidAI/LFM2-ColBERT-350M</t>
  </si>
  <si>
    <t xml:space="preserve">https://huggingface.co/LiquidAI/LFM2-ColBERT-350M</t>
  </si>
  <si>
    <t xml:space="preserve">https://huggingface.co/HuggingFaceTB/SmolVLM-500M-Instruct</t>
  </si>
  <si>
    <t xml:space="preserve">cross-encoder/stsb-distilroberta-base</t>
  </si>
  <si>
    <t xml:space="preserve">distilbert/distilroberta-base</t>
  </si>
  <si>
    <t xml:space="preserve">https://huggingface.co/cross-encoder/stsb-distilroberta-base</t>
  </si>
  <si>
    <t xml:space="preserve">https://huggingface.co/HuggingFaceTB/SmolLM2-360M</t>
  </si>
  <si>
    <t xml:space="preserve">cross-encoder/nli-deberta-v3-xsmall</t>
  </si>
  <si>
    <t xml:space="preserve">microsoft/deberta-v3-xsmall</t>
  </si>
  <si>
    <t xml:space="preserve">https://huggingface.co/cross-encoder/nli-deberta-v3-xsmall</t>
  </si>
  <si>
    <t xml:space="preserve">nvidia/Llama-3.1-Nemotron-Nano-VL-8B-V1</t>
  </si>
  <si>
    <t xml:space="preserve">https://huggingface.co/nvidia/Llama-3.1-Nemotron-Nano-VL-8B-V1</t>
  </si>
  <si>
    <t xml:space="preserve">unsloth/gemma-4-E4B-it-GGUF</t>
  </si>
  <si>
    <t xml:space="preserve">unsloth</t>
  </si>
  <si>
    <t xml:space="preserve">https://huggingface.co/unsloth/gemma-4-E4B-it-GGUF</t>
  </si>
  <si>
    <t xml:space="preserve">google/gemma-4-12B-it</t>
  </si>
  <si>
    <t xml:space="preserve">google/gemma-4-12B</t>
  </si>
  <si>
    <t xml:space="preserve">https://huggingface.co/google/gemma-4-12B-it</t>
  </si>
  <si>
    <t xml:space="preserve">unsloth/gemma-4-E2B-it-GGUF</t>
  </si>
  <si>
    <t xml:space="preserve">https://huggingface.co/unsloth/gemma-4-E2B-it-GGUF</t>
  </si>
  <si>
    <t xml:space="preserve">LiquidAI/LFM2-1.2B</t>
  </si>
  <si>
    <t xml:space="preserve">https://huggingface.co/LiquidAI/LFM2-1.2B</t>
  </si>
  <si>
    <t xml:space="preserve">google/gemma-4-31B-it-qat-q4_0-unquantized-assistant</t>
  </si>
  <si>
    <t xml:space="preserve">https://huggingface.co/google/gemma-4-31B-it-qat-q4_0-unquantized-assistant</t>
  </si>
  <si>
    <t xml:space="preserve">allenai/Olmo-3-7B-Think</t>
  </si>
  <si>
    <t xml:space="preserve">allenai/Olmo-3-7B-Think-DPO</t>
  </si>
  <si>
    <t xml:space="preserve">https://huggingface.co/allenai/Olmo-3-7B-Think</t>
  </si>
  <si>
    <t xml:space="preserve">amazon/chronos-t5-base</t>
  </si>
  <si>
    <t xml:space="preserve">https://huggingface.co/amazon/chronos-t5-base</t>
  </si>
  <si>
    <t xml:space="preserve">unsloth/gemma-4-E4B-it</t>
  </si>
  <si>
    <t xml:space="preserve">https://huggingface.co/unsloth/gemma-4-E4B-it</t>
  </si>
  <si>
    <t xml:space="preserve">mistralai/Mistral-Nemo-Instruct-2407</t>
  </si>
  <si>
    <t xml:space="preserve">mistralai/Mistral-Nemo-Base-2407</t>
  </si>
  <si>
    <t xml:space="preserve">https://huggingface.co/mistralai/Mistral-Nemo-Instruct-2407</t>
  </si>
  <si>
    <t xml:space="preserve">cross-encoder/qnli-electra-base</t>
  </si>
  <si>
    <t xml:space="preserve">https://huggingface.co/cross-encoder/qnli-electra-base</t>
  </si>
  <si>
    <t xml:space="preserve">Davlan/bert-base-multilingual-cased-ner-hrl</t>
  </si>
  <si>
    <t xml:space="preserve">Davlan</t>
  </si>
  <si>
    <t xml:space="preserve">afl-3.0</t>
  </si>
  <si>
    <t xml:space="preserve">https://huggingface.co/Davlan/bert-base-multilingual-cased-ner-hrl</t>
  </si>
  <si>
    <t xml:space="preserve">autogluon/chronos-bolt-mini</t>
  </si>
  <si>
    <t xml:space="preserve">https://huggingface.co/autogluon/chronos-bolt-mini</t>
  </si>
  <si>
    <t xml:space="preserve">mistralai/Devstral-Small-2-24B-Instruct-2512</t>
  </si>
  <si>
    <t xml:space="preserve">https://huggingface.co/mistralai/Devstral-Small-2-24B-Instruct-2512</t>
  </si>
  <si>
    <t xml:space="preserve">google/gemma-4-26B-A4B-it-qat-q4_0-gguf</t>
  </si>
  <si>
    <t xml:space="preserve">google/gemma-4-26B-A4B-it-qat-q4_0-unquantized</t>
  </si>
  <si>
    <t xml:space="preserve">https://huggingface.co/google/gemma-4-26B-A4B-it-qat-q4_0-gguf</t>
  </si>
  <si>
    <t xml:space="preserve">nomic-ai/nomic-embed-text-v2-moe-GGUF</t>
  </si>
  <si>
    <t xml:space="preserve">nomic-ai/nomic-embed-text-v2-moe</t>
  </si>
  <si>
    <t xml:space="preserve">https://huggingface.co/nomic-ai/nomic-embed-text-v2-moe-GGUF</t>
  </si>
  <si>
    <t xml:space="preserve">nvidia/Phi-4-reasoning-plus-NVFP4</t>
  </si>
  <si>
    <t xml:space="preserve">microsoft/Phi-4-reasoning-plus</t>
  </si>
  <si>
    <t xml:space="preserve">https://huggingface.co/nvidia/Phi-4-reasoning-plus-NVFP4</t>
  </si>
  <si>
    <t xml:space="preserve">google/medgemma-4b-it</t>
  </si>
  <si>
    <t xml:space="preserve">google/medgemma-4b-pt</t>
  </si>
  <si>
    <t xml:space="preserve">https://huggingface.co/google/medgemma-4b-it</t>
  </si>
  <si>
    <t xml:space="preserve">EleutherAI/pythia-70m</t>
  </si>
  <si>
    <t xml:space="preserve">https://huggingface.co/EleutherAI/pythia-70m</t>
  </si>
  <si>
    <t xml:space="preserve">ibm-granite/granite-4.1-8b-base</t>
  </si>
  <si>
    <t xml:space="preserve">https://huggingface.co/ibm-granite/granite-4.2-8b</t>
  </si>
  <si>
    <t xml:space="preserve">google/gemma-4-12B-it-qat-w4a16-ct</t>
  </si>
  <si>
    <t xml:space="preserve">google/gemma-4-12B-it-qat-q4_0-unquantized</t>
  </si>
  <si>
    <t xml:space="preserve">https://huggingface.co/google/gemma-4-12B-it-qat-w4a16-ct</t>
  </si>
  <si>
    <t xml:space="preserve">mistralai/Ministral-3-8B-Instruct-2512-BF16</t>
  </si>
  <si>
    <t xml:space="preserve">https://huggingface.co/mistralai/Ministral-3-8B-Instruct-2512-BF16</t>
  </si>
  <si>
    <t xml:space="preserve">ibm-granite/granite-embedding-125m-english</t>
  </si>
  <si>
    <t xml:space="preserve">https://huggingface.co/ibm-granite/granite-embedding-125m-english</t>
  </si>
  <si>
    <t xml:space="preserve">google/canine-s</t>
  </si>
  <si>
    <t xml:space="preserve">https://huggingface.co/google/canine-s</t>
  </si>
  <si>
    <t xml:space="preserve">google/gemma-3-270m-it</t>
  </si>
  <si>
    <t xml:space="preserve">https://huggingface.co/google/gemma-3-270m-it</t>
  </si>
  <si>
    <t xml:space="preserve">https://huggingface.co/OpenMed/privacy-filter-nemotron</t>
  </si>
  <si>
    <t xml:space="preserve">EleutherAI/gpt-neo-125m</t>
  </si>
  <si>
    <t xml:space="preserve">safetensors;pytorch;flax</t>
  </si>
  <si>
    <t xml:space="preserve">https://huggingface.co/EleutherAI/gpt-neo-125m</t>
  </si>
  <si>
    <t xml:space="preserve">nvidia/Nemotron-3-Embed-8B-BF16</t>
  </si>
  <si>
    <t xml:space="preserve">https://huggingface.co/nvidia/Nemotron-3-Embed-8B-BF16</t>
  </si>
  <si>
    <t xml:space="preserve">google/gemma-4-31B-it-qat-q4_0-gguf</t>
  </si>
  <si>
    <t xml:space="preserve">https://huggingface.co/google/gemma-4-31B-it-qat-q4_0-gguf</t>
  </si>
  <si>
    <t xml:space="preserve">ibm-granite/granite-4.0-micro</t>
  </si>
  <si>
    <t xml:space="preserve">https://huggingface.co/ibm-granite/granite-4.0-micro</t>
  </si>
  <si>
    <t xml:space="preserve">ibm-granite/granite-timeseries-tspulse-r1</t>
  </si>
  <si>
    <t xml:space="preserve">https://huggingface.co/ibm-granite/granite-timeseries-tspulse-r1</t>
  </si>
  <si>
    <t xml:space="preserve">unsloth/gemma-4-E4B-it-unsloth-bnb-4bit</t>
  </si>
  <si>
    <t xml:space="preserve">https://huggingface.co/unsloth/gemma-4-E4B-it-unsloth-bnb-4bit</t>
  </si>
  <si>
    <t xml:space="preserve">unitary/toxic-bert</t>
  </si>
  <si>
    <t xml:space="preserve">unitary</t>
  </si>
  <si>
    <t xml:space="preserve">https://huggingface.co/unitary/toxic-bert</t>
  </si>
  <si>
    <t xml:space="preserve">mistralai/Ministral-8B-Instruct-2410</t>
  </si>
  <si>
    <t xml:space="preserve">https://huggingface.co/mistralai/Ministral-8B-Instruct-2410</t>
  </si>
  <si>
    <t xml:space="preserve">openai-community/gpt2-medium</t>
  </si>
  <si>
    <t xml:space="preserve">https://huggingface.co/openai-community/gpt2-medium</t>
  </si>
  <si>
    <t xml:space="preserve">https://huggingface.co/mistralai/Mistral-7B-v0.1</t>
  </si>
  <si>
    <t xml:space="preserve">Qdrant/all-MiniLM-L6-v2-onnx</t>
  </si>
  <si>
    <t xml:space="preserve">Qdrant</t>
  </si>
  <si>
    <t xml:space="preserve">https://huggingface.co/Qdrant/all-MiniLM-L6-v2-onnx</t>
  </si>
  <si>
    <t xml:space="preserve">mistralai/Ministral-3-8B-Reasoning-2512</t>
  </si>
  <si>
    <t xml:space="preserve">https://huggingface.co/mistralai/Ministral-3-8B-Reasoning-2512</t>
  </si>
  <si>
    <t xml:space="preserve">Salesforce/blip2-opt-2.7b</t>
  </si>
  <si>
    <t xml:space="preserve">Salesforce</t>
  </si>
  <si>
    <t xml:space="preserve">https://huggingface.co/Salesforce/blip2-opt-2.7b</t>
  </si>
  <si>
    <t xml:space="preserve">sentence-transformers/paraphrase-distilroberta-base-v1</t>
  </si>
  <si>
    <t xml:space="preserve">https://huggingface.co/sentence-transformers/paraphrase-distilroberta-base-v1</t>
  </si>
  <si>
    <t xml:space="preserve">LiquidAI/LFM2.5-8B-A1B-Base</t>
  </si>
  <si>
    <t xml:space="preserve">https://huggingface.co/LiquidAI/LFM2.5-8B-A1B</t>
  </si>
  <si>
    <t xml:space="preserve">sentence-transformers/distilbert-base-nli-stsb-mean-tokens</t>
  </si>
  <si>
    <t xml:space="preserve">https://huggingface.co/sentence-transformers/distilbert-base-nli-stsb-mean-tokens</t>
  </si>
  <si>
    <t xml:space="preserve">google/gemma-4-12B-it-assistant</t>
  </si>
  <si>
    <t xml:space="preserve">https://huggingface.co/google/gemma-4-12B-it-assistant</t>
  </si>
  <si>
    <t xml:space="preserve">https://huggingface.co/openai/gpt-oss-20b</t>
  </si>
  <si>
    <t xml:space="preserve">fastino/gliner2.5-base-v1</t>
  </si>
  <si>
    <t xml:space="preserve">https://huggingface.co/fastino/gliner2.5-base-v1</t>
  </si>
  <si>
    <t xml:space="preserve">google/gemma-4-12B-it-qat-q4_0-gguf</t>
  </si>
  <si>
    <t xml:space="preserve">https://huggingface.co/google/gemma-4-12B-it-qat-q4_0-gguf</t>
  </si>
  <si>
    <t xml:space="preserve">papluca</t>
  </si>
  <si>
    <t xml:space="preserve">safetensors;pytorch;tensorflow</t>
  </si>
  <si>
    <t xml:space="preserve">FacebookAI/xlm-roberta-base</t>
  </si>
  <si>
    <t xml:space="preserve">https://huggingface.co/papluca/xlm-roberta-base-language-detection</t>
  </si>
  <si>
    <t xml:space="preserve">google/medgemma-1.5-4b-it</t>
  </si>
  <si>
    <t xml:space="preserve">https://huggingface.co/google/medgemma-1.5-4b-it</t>
  </si>
  <si>
    <t xml:space="preserve">allenai/OLMo-2-0425-1B</t>
  </si>
  <si>
    <t xml:space="preserve">https://huggingface.co/allenai/OLMo-2-0425-1B</t>
  </si>
  <si>
    <t xml:space="preserve">amazon/chronos-t5-large</t>
  </si>
  <si>
    <t xml:space="preserve">https://huggingface.co/amazon/chronos-t5-large</t>
  </si>
  <si>
    <t xml:space="preserve">LiquidAI/LFM2.5-350M-GGUF</t>
  </si>
  <si>
    <t xml:space="preserve">https://huggingface.co/LiquidAI/LFM2.5-350M-GGUF</t>
  </si>
  <si>
    <t xml:space="preserve">google/t5gemma-s-s-prefixlm</t>
  </si>
  <si>
    <t xml:space="preserve">https://huggingface.co/google/t5gemma-s-s-prefixlm</t>
  </si>
  <si>
    <t xml:space="preserve">google/gemma-3-4b-it</t>
  </si>
  <si>
    <t xml:space="preserve">google/gemma-3-4b-pt</t>
  </si>
  <si>
    <t xml:space="preserve">https://huggingface.co/google/gemma-3-4b-it</t>
  </si>
  <si>
    <t xml:space="preserve">ibm-granite/granite-embedding-english-r2</t>
  </si>
  <si>
    <t xml:space="preserve">https://huggingface.co/ibm-granite/granite-embedding-english-r2</t>
  </si>
  <si>
    <t xml:space="preserve">fastino/GLiNER2.5-Decide</t>
  </si>
  <si>
    <t xml:space="preserve">https://huggingface.co/fastino/GLiNER2.5-Decide</t>
  </si>
  <si>
    <t xml:space="preserve">SamLowe/roberta-base-go_emotions</t>
  </si>
  <si>
    <t xml:space="preserve">SamLowe</t>
  </si>
  <si>
    <t xml:space="preserve">https://huggingface.co/SamLowe/roberta-base-go_emotions</t>
  </si>
  <si>
    <t xml:space="preserve">meta-llama/Llama-Guard-4-12B</t>
  </si>
  <si>
    <t xml:space="preserve">https://huggingface.co/meta-llama/Llama-Guard-4-12B</t>
  </si>
  <si>
    <t xml:space="preserve">allenai/Olmo-3-1025-7B</t>
  </si>
  <si>
    <t xml:space="preserve">https://huggingface.co/allenai/Olmo-3-1025-7B</t>
  </si>
  <si>
    <t xml:space="preserve">ibm-granite/granite-4.1-30b</t>
  </si>
  <si>
    <t xml:space="preserve">https://huggingface.co/ibm-granite/granite-4.1-30b</t>
  </si>
  <si>
    <t xml:space="preserve">autogluon/chronos-2-synth</t>
  </si>
  <si>
    <t xml:space="preserve">https://huggingface.co/autogluon/chronos-2-synth</t>
  </si>
  <si>
    <t xml:space="preserve">amazon/chronos-bolt-mini</t>
  </si>
  <si>
    <t xml:space="preserve">https://huggingface.co/amazon/chronos-bolt-mini</t>
  </si>
  <si>
    <t xml:space="preserve">EleutherAI/pythia-160m-deduped</t>
  </si>
  <si>
    <t xml:space="preserve">https://huggingface.co/EleutherAI/pythia-160m-deduped</t>
  </si>
  <si>
    <t xml:space="preserve">lmstudio-community/gemma-4-E4B-it-MLX-4bit</t>
  </si>
  <si>
    <t xml:space="preserve">lmstudio-community</t>
  </si>
  <si>
    <t xml:space="preserve">https://huggingface.co/lmstudio-community/gemma-4-E4B-it-MLX-4bit</t>
  </si>
  <si>
    <t xml:space="preserve">lmstudio-community/gemma-4-E4B-it-MLX-8bit</t>
  </si>
  <si>
    <t xml:space="preserve">https://huggingface.co/lmstudio-community/gemma-4-E4B-it-MLX-8bit</t>
  </si>
  <si>
    <t xml:space="preserve">lmstudio-community/gemma-4-E4B-it-MLX-5bit</t>
  </si>
  <si>
    <t xml:space="preserve">https://huggingface.co/lmstudio-community/gemma-4-E4B-it-MLX-5bit</t>
  </si>
  <si>
    <t xml:space="preserve">lmstudio-community/gemma-4-E4B-it-MLX-6bit</t>
  </si>
  <si>
    <t xml:space="preserve">https://huggingface.co/lmstudio-community/gemma-4-E4B-it-MLX-6bit</t>
  </si>
  <si>
    <t xml:space="preserve">bigcode/tiny_starcoder_py</t>
  </si>
  <si>
    <t xml:space="preserve">bigcode</t>
  </si>
  <si>
    <t xml:space="preserve">bigcode-openrail-m</t>
  </si>
  <si>
    <t xml:space="preserve">含使用限制條款</t>
  </si>
  <si>
    <t xml:space="preserve">https://huggingface.co/bigcode/tiny_starcoder_py</t>
  </si>
  <si>
    <t xml:space="preserve">OpenMed/privacy-filter-nemotron-v2</t>
  </si>
  <si>
    <t xml:space="preserve">https://huggingface.co/OpenMed/privacy-filter-nemotron-v2</t>
  </si>
  <si>
    <t xml:space="preserve">intfloat/e5-small</t>
  </si>
  <si>
    <t xml:space="preserve">https://huggingface.co/intfloat/e5-small</t>
  </si>
  <si>
    <t xml:space="preserve">LiquidAI/LFM2.5-230M-Base</t>
  </si>
  <si>
    <t xml:space="preserve">https://huggingface.co/LiquidAI/LFM2.5-230M</t>
  </si>
  <si>
    <t xml:space="preserve">Davlan/xlm-roberta-large-ner-hrl</t>
  </si>
  <si>
    <t xml:space="preserve">https://huggingface.co/Davlan/xlm-roberta-large-ner-hrl</t>
  </si>
  <si>
    <t xml:space="preserve">HuggingFaceTB/SmolLM-135M</t>
  </si>
  <si>
    <t xml:space="preserve">https://huggingface.co/HuggingFaceTB/SmolLM-135M</t>
  </si>
  <si>
    <t xml:space="preserve">mixedbread-ai/mxbai-edge-colbert-v0-32m</t>
  </si>
  <si>
    <t xml:space="preserve">https://huggingface.co/mixedbread-ai/mxbai-edge-colbert-v0-32m</t>
  </si>
  <si>
    <t xml:space="preserve">EleutherAI/pythia-410m</t>
  </si>
  <si>
    <t xml:space="preserve">https://huggingface.co/EleutherAI/pythia-410m</t>
  </si>
  <si>
    <t xml:space="preserve">lmstudio-community/gemma-4-E4B-it-GGUF</t>
  </si>
  <si>
    <t xml:space="preserve">https://huggingface.co/lmstudio-community/gemma-4-E4B-it-GGUF</t>
  </si>
  <si>
    <t xml:space="preserve">ibm-granite/granite-4.0-h-small</t>
  </si>
  <si>
    <t xml:space="preserve">https://huggingface.co/ibm-granite/granite-4.0-h-small</t>
  </si>
  <si>
    <t xml:space="preserve">google/shieldgemma-9b</t>
  </si>
  <si>
    <t xml:space="preserve">https://huggingface.co/google/shieldgemma-9b</t>
  </si>
  <si>
    <t xml:space="preserve">ibm-research/PowerLM-3b</t>
  </si>
  <si>
    <t xml:space="preserve">https://huggingface.co/ibm-research/PowerLM-3b</t>
  </si>
  <si>
    <t xml:space="preserve">allenai/Olmo-3-7B-Instruct-SFT</t>
  </si>
  <si>
    <t xml:space="preserve">https://huggingface.co/allenai/Olmo-3-7B-Instruct-SFT</t>
  </si>
  <si>
    <t xml:space="preserve">dslim/bert-base-NER</t>
  </si>
  <si>
    <t xml:space="preserve">dslim</t>
  </si>
  <si>
    <t xml:space="preserve">https://huggingface.co/dslim/bert-base-NER</t>
  </si>
  <si>
    <t xml:space="preserve">Qdrant/multilingual-e5-large-onnx</t>
  </si>
  <si>
    <t xml:space="preserve">https://huggingface.co/Qdrant/multilingual-e5-large-onnx</t>
  </si>
  <si>
    <t xml:space="preserve">google/timesfm-2.5-200m-pytorch</t>
  </si>
  <si>
    <t xml:space="preserve">https://huggingface.co/google/timesfm-2.5-200m-pytorch</t>
  </si>
  <si>
    <t xml:space="preserve">openai-community/openai-gpt</t>
  </si>
  <si>
    <t xml:space="preserve">https://huggingface.co/openai-community/openai-gpt</t>
  </si>
  <si>
    <t xml:space="preserve">ibm-granite/granite-3.3-2b-instruct</t>
  </si>
  <si>
    <t xml:space="preserve">ibm-granite/granite-3.3-2b-base</t>
  </si>
  <si>
    <t xml:space="preserve">https://huggingface.co/ibm-granite/granite-3.3-2b-instruct</t>
  </si>
  <si>
    <t xml:space="preserve">FrameByFrame/privacy-filter-korean</t>
  </si>
  <si>
    <t xml:space="preserve">FrameByFrame</t>
  </si>
  <si>
    <t xml:space="preserve">adapter</t>
  </si>
  <si>
    <t xml:space="preserve">https://huggingface.co/FrameByFrame/privacy-filter-korean</t>
  </si>
  <si>
    <t xml:space="preserve">WhereIsAI/UAE-Large-V1</t>
  </si>
  <si>
    <t xml:space="preserve">WhereIsAI</t>
  </si>
  <si>
    <t xml:space="preserve">https://huggingface.co/WhereIsAI/UAE-Large-V1</t>
  </si>
  <si>
    <t xml:space="preserve">HuggingFaceM4/Idefics3-8B-Llama3</t>
  </si>
  <si>
    <t xml:space="preserve">HuggingFaceM4</t>
  </si>
  <si>
    <t xml:space="preserve">https://huggingface.co/HuggingFaceM4/Idefics3-8B-Llama3</t>
  </si>
  <si>
    <t xml:space="preserve">ibm-granite/granite-3.0-8b-instruct</t>
  </si>
  <si>
    <t xml:space="preserve">ibm-granite/granite-3.0-8b-base</t>
  </si>
  <si>
    <t xml:space="preserve">https://huggingface.co/ibm-granite/granite-3.0-8b-instruct</t>
  </si>
  <si>
    <t xml:space="preserve">Davlan/xlm-roberta-base-ner-hrl</t>
  </si>
  <si>
    <t xml:space="preserve">https://huggingface.co/Davlan/xlm-roberta-base-ner-hrl</t>
  </si>
  <si>
    <t xml:space="preserve">HuggingFaceTB/SmolVLM2-2.2B-Instruct</t>
  </si>
  <si>
    <t xml:space="preserve">HuggingFaceTB/SmolVLM-Instruct</t>
  </si>
  <si>
    <t xml:space="preserve">https://huggingface.co/HuggingFaceTB/SmolVLM2-2.2B-Instruct</t>
  </si>
  <si>
    <t xml:space="preserve">google/gemma-4-12B-it-qat-q4_0-unquantized-assistant</t>
  </si>
  <si>
    <t xml:space="preserve">https://huggingface.co/google/gemma-4-12B-it-qat-q4_0-unquantized-assistant</t>
  </si>
  <si>
    <t xml:space="preserve">mistralai/Ministral-3-8B-Instruct-2512-GGUF</t>
  </si>
  <si>
    <t xml:space="preserve">依框架推定</t>
  </si>
  <si>
    <r>
      <rPr>
        <sz val="11"/>
        <color rgb="FF000000"/>
        <rFont val="Noto Sans CJK SC"/>
        <family val="2"/>
      </rPr>
      <t xml:space="preserve">任務類型依框架推定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量化版本</t>
    </r>
  </si>
  <si>
    <t xml:space="preserve">https://huggingface.co/mistralai/Ministral-3-8B-Instruct-2512-GGUF</t>
  </si>
  <si>
    <t xml:space="preserve">ibm-granite/granite-3.1-8b-instruct</t>
  </si>
  <si>
    <t xml:space="preserve">ibm-granite/granite-3.1-8b-base</t>
  </si>
  <si>
    <t xml:space="preserve">https://huggingface.co/ibm-granite/granite-3.1-8b-instruct</t>
  </si>
  <si>
    <t xml:space="preserve">HuggingFaceTB/SmolLM2-1.7B-Instruct</t>
  </si>
  <si>
    <t xml:space="preserve">HuggingFaceTB/SmolLM2-1.7B</t>
  </si>
  <si>
    <t xml:space="preserve">https://huggingface.co/HuggingFaceTB/SmolLM2-1.7B-Instruct</t>
  </si>
  <si>
    <t xml:space="preserve">https://huggingface.co/google/gemma-4-26B-A4B-it-qat-q4_0-unquantized</t>
  </si>
  <si>
    <t xml:space="preserve">microsoft/phi-4</t>
  </si>
  <si>
    <t xml:space="preserve">https://huggingface.co/microsoft/phi-4</t>
  </si>
  <si>
    <t xml:space="preserve">mixedbread-ai/mxbai-rerank-large-v1</t>
  </si>
  <si>
    <t xml:space="preserve">https://huggingface.co/mixedbread-ai/mxbai-rerank-large-v1</t>
  </si>
  <si>
    <t xml:space="preserve">ibm-granite/granite-4.2-30b-GGUF</t>
  </si>
  <si>
    <t xml:space="preserve">ibm-granite/granite-4.2-30b</t>
  </si>
  <si>
    <t xml:space="preserve">https://huggingface.co/ibm-granite/granite-4.2-30b-GGUF</t>
  </si>
  <si>
    <t xml:space="preserve">sentence-transformers/gtr-t5-base</t>
  </si>
  <si>
    <t xml:space="preserve">https://huggingface.co/sentence-transformers/gtr-t5-base</t>
  </si>
  <si>
    <t xml:space="preserve">google/gemma-4-E2B-it-assistant</t>
  </si>
  <si>
    <t xml:space="preserve">https://huggingface.co/google/gemma-4-E2B-it-assistant</t>
  </si>
  <si>
    <t xml:space="preserve">google/flan-t5-base</t>
  </si>
  <si>
    <t xml:space="preserve">依框架設定推定</t>
  </si>
  <si>
    <t xml:space="preserve">任務類型依框架設定推定</t>
  </si>
  <si>
    <t xml:space="preserve">https://huggingface.co/google/flan-t5-base</t>
  </si>
  <si>
    <t xml:space="preserve">EleutherAI/pythia-6.9b</t>
  </si>
  <si>
    <t xml:space="preserve">https://huggingface.co/EleutherAI/pythia-6.9b</t>
  </si>
  <si>
    <t xml:space="preserve">bartowski/google_gemma-4-E2B-it-GGUF</t>
  </si>
  <si>
    <t xml:space="preserve">bartowski</t>
  </si>
  <si>
    <t xml:space="preserve">https://huggingface.co/bartowski/google_gemma-4-E2B-it-GGUF</t>
  </si>
  <si>
    <t xml:space="preserve">mistralai/Ministral-3-3B-Instruct-2512-GGUF</t>
  </si>
  <si>
    <t xml:space="preserve">https://huggingface.co/mistralai/Ministral-3-3B-Instruct-2512-GGUF</t>
  </si>
  <si>
    <t xml:space="preserve">ibm-granite/granite-timeseries-ttm-r2</t>
  </si>
  <si>
    <t xml:space="preserve">https://huggingface.co/ibm-granite/granite-timeseries-ttm-r2</t>
  </si>
  <si>
    <t xml:space="preserve">LiquidAI/LFM2.5-VL-1.6B</t>
  </si>
  <si>
    <t xml:space="preserve">https://huggingface.co/LiquidAI/LFM2.5-VL-1.6B</t>
  </si>
  <si>
    <t xml:space="preserve">ggml-org/gemma-4-E4B-it-GGUF</t>
  </si>
  <si>
    <t xml:space="preserve">ggml-org</t>
  </si>
  <si>
    <t xml:space="preserve">https://huggingface.co/ggml-org/gemma-4-E4B-it-GGUF</t>
  </si>
  <si>
    <t xml:space="preserve">ibm-granite/granite-3b-code-base-2k</t>
  </si>
  <si>
    <t xml:space="preserve">https://huggingface.co/ibm-granite/granite-3b-code-base-2k</t>
  </si>
  <si>
    <t xml:space="preserve">google/gemma-3n-E2B-it</t>
  </si>
  <si>
    <t xml:space="preserve">google/gemma-3n-E4B-it</t>
  </si>
  <si>
    <t xml:space="preserve">https://huggingface.co/google/gemma-3n-E2B-it</t>
  </si>
  <si>
    <t xml:space="preserve">sentence-transformers/quora-distilbert-multilingual</t>
  </si>
  <si>
    <t xml:space="preserve">https://huggingface.co/sentence-transformers/quora-distilbert-multilingual</t>
  </si>
  <si>
    <t xml:space="preserve">https://huggingface.co/google/gemma-4-12B-it-qat-q4_0-unquantized</t>
  </si>
  <si>
    <t xml:space="preserve">https://huggingface.co/HuggingFaceTB/SmolLM2-1.7B</t>
  </si>
  <si>
    <t xml:space="preserve">ibm-granite/granite-4.1-3b-GGUF</t>
  </si>
  <si>
    <t xml:space="preserve">https://huggingface.co/ibm-granite/granite-4.1-3b-GGUF</t>
  </si>
  <si>
    <t xml:space="preserve">segment-any-text/sat-3l-sm</t>
  </si>
  <si>
    <t xml:space="preserve">segment-any-text</t>
  </si>
  <si>
    <t xml:space="preserve">https://huggingface.co/segment-any-text/sat-3l-sm</t>
  </si>
  <si>
    <t xml:space="preserve">LiquidAI/LFM2.5-2.6B-Base</t>
  </si>
  <si>
    <t xml:space="preserve">https://huggingface.co/LiquidAI/LFM2.5-2.6B</t>
  </si>
  <si>
    <t xml:space="preserve">ibm-granite/granite-embedding-30m-english</t>
  </si>
  <si>
    <t xml:space="preserve">https://huggingface.co/ibm-granite/granite-embedding-30m-english</t>
  </si>
  <si>
    <t xml:space="preserve">unsloth/gemma-4-E4B-it-qat-GGUF</t>
  </si>
  <si>
    <t xml:space="preserve">https://huggingface.co/unsloth/gemma-4-E4B-it-qat-GGUF</t>
  </si>
  <si>
    <t xml:space="preserve">oliverguhr/fullstop-punctuation-multilang-large</t>
  </si>
  <si>
    <t xml:space="preserve">oliverguhr</t>
  </si>
  <si>
    <t xml:space="preserve">https://huggingface.co/oliverguhr/fullstop-punctuation-multilang-large</t>
  </si>
  <si>
    <t xml:space="preserve">LiquidAI/LFM2.5-VL-1.6B-GGUF</t>
  </si>
  <si>
    <t xml:space="preserve">https://huggingface.co/LiquidAI/LFM2.5-VL-1.6B-GGUF</t>
  </si>
  <si>
    <t xml:space="preserve">sentence-transformers/stsb-roberta-large</t>
  </si>
  <si>
    <t xml:space="preserve">https://huggingface.co/sentence-transformers/stsb-roberta-large</t>
  </si>
  <si>
    <t xml:space="preserve">ibm-granite/granite-3.3-8b-instruct</t>
  </si>
  <si>
    <t xml:space="preserve">ibm-granite/granite-3.3-8b-base</t>
  </si>
  <si>
    <t xml:space="preserve">https://huggingface.co/ibm-granite/granite-3.3-8b-instruct</t>
  </si>
  <si>
    <t xml:space="preserve">sentence-transformers/bert-large-nli-max-tokens</t>
  </si>
  <si>
    <t xml:space="preserve">https://huggingface.co/sentence-transformers/bert-large-nli-max-tokens</t>
  </si>
  <si>
    <t xml:space="preserve">mistralai/Ministral-3-14B-Reasoning-2512</t>
  </si>
  <si>
    <t xml:space="preserve">https://huggingface.co/mistralai/Ministral-3-14B-Reasoning-2512</t>
  </si>
  <si>
    <t xml:space="preserve">https://huggingface.co/LiquidAI/LFM2.5-230M-Base</t>
  </si>
  <si>
    <t xml:space="preserve">nvidia/Gemma-4-31B-IT-NVFP4</t>
  </si>
  <si>
    <t xml:space="preserve">https://huggingface.co/nvidia/Gemma-4-31B-IT-NVFP4</t>
  </si>
  <si>
    <t xml:space="preserve">ibm-granite/granite-timeseries-ttm-r1</t>
  </si>
  <si>
    <t xml:space="preserve">https://huggingface.co/ibm-granite/granite-timeseries-ttm-r1</t>
  </si>
  <si>
    <t xml:space="preserve">allenai/OLMoE-1B-7B-0125-Instruct</t>
  </si>
  <si>
    <t xml:space="preserve">allenai/OLMoE-1B-7B-0125-DPO</t>
  </si>
  <si>
    <t xml:space="preserve">https://huggingface.co/allenai/OLMoE-1B-7B-0125-Instruct</t>
  </si>
  <si>
    <t xml:space="preserve">https://huggingface.co/google/gemma-4-12B</t>
  </si>
  <si>
    <t xml:space="preserve">meta-llama/Llama-Guard-3-1B</t>
  </si>
  <si>
    <t xml:space="preserve">llama3.2</t>
  </si>
  <si>
    <t xml:space="preserve">https://huggingface.co/meta-llama/Llama-Guard-3-1B</t>
  </si>
  <si>
    <t xml:space="preserve">google/flan-t5-small</t>
  </si>
  <si>
    <t xml:space="preserve">https://huggingface.co/google/flan-t5-small</t>
  </si>
  <si>
    <t xml:space="preserve">microsoft/DialoGPT-small</t>
  </si>
  <si>
    <t xml:space="preserve">https://huggingface.co/microsoft/DialoGPT-small</t>
  </si>
  <si>
    <t xml:space="preserve">google/translategemma-4b-it</t>
  </si>
  <si>
    <t xml:space="preserve">https://huggingface.co/google/translategemma-4b-it</t>
  </si>
  <si>
    <t xml:space="preserve">unsloth/gemma-4-E2B-it-qat-GGUF</t>
  </si>
  <si>
    <t xml:space="preserve">https://huggingface.co/unsloth/gemma-4-E2B-it-qat-GGUF</t>
  </si>
  <si>
    <t xml:space="preserve">google/flan-t5-large</t>
  </si>
  <si>
    <t xml:space="preserve">https://huggingface.co/google/flan-t5-large</t>
  </si>
  <si>
    <t xml:space="preserve">unsloth/gemma-4-E2B-it-unsloth-bnb-4bit</t>
  </si>
  <si>
    <t xml:space="preserve">https://huggingface.co/unsloth/gemma-4-E2B-it-unsloth-bnb-4bit</t>
  </si>
  <si>
    <t xml:space="preserve">Qdrant/Splade_PP_en_v1</t>
  </si>
  <si>
    <t xml:space="preserve">https://huggingface.co/Qdrant/Splade_PP_en_v1</t>
  </si>
  <si>
    <t xml:space="preserve">https://huggingface.co/mistralai/Ministral-3-3B-Base-2512</t>
  </si>
  <si>
    <t xml:space="preserve">sentence-transformers/stsb-roberta-base</t>
  </si>
  <si>
    <t xml:space="preserve">https://huggingface.co/sentence-transformers/stsb-roberta-base</t>
  </si>
  <si>
    <t xml:space="preserve">HuggingFaceTB/SmolVLM2-256M-Video-Instruct</t>
  </si>
  <si>
    <t xml:space="preserve">https://huggingface.co/HuggingFaceTB/SmolVLM2-256M-Video-Instruct</t>
  </si>
  <si>
    <t xml:space="preserve">nvidia/Llama-3.1-8B-Instruct-FP8</t>
  </si>
  <si>
    <t xml:space="preserve">meta-llama/Llama-3.1-8B-Instruct</t>
  </si>
  <si>
    <t xml:space="preserve">https://huggingface.co/nvidia/Llama-3.1-8B-Instruct-FP8</t>
  </si>
  <si>
    <t xml:space="preserve">https://huggingface.co/google/gemma-3-4b-pt</t>
  </si>
  <si>
    <t xml:space="preserve">lmstudio-community/gemma-4-E2B-it-MLX-4bit</t>
  </si>
  <si>
    <t xml:space="preserve">https://huggingface.co/lmstudio-community/gemma-4-E2B-it-MLX-4bit</t>
  </si>
  <si>
    <t xml:space="preserve">unsloth/embeddinggemma-2-GGUF</t>
  </si>
  <si>
    <t xml:space="preserve">https://huggingface.co/unsloth/embeddinggemma-2-GGUF</t>
  </si>
  <si>
    <t xml:space="preserve">ibm-granite/granite-timeseries-ttm-r3</t>
  </si>
  <si>
    <t xml:space="preserve">https://huggingface.co/ibm-granite/granite-timeseries-ttm-r3</t>
  </si>
  <si>
    <t xml:space="preserve">Qdrant/all_miniLM_L6_v2_with_attentions</t>
  </si>
  <si>
    <t xml:space="preserve">https://huggingface.co/Qdrant/all_miniLM_L6_v2_with_attentions</t>
  </si>
  <si>
    <t xml:space="preserve">ibm-granite/granite-3.0-1b-a400m-base</t>
  </si>
  <si>
    <t xml:space="preserve">https://huggingface.co/ibm-granite/granite-3.0-1b-a400m-base</t>
  </si>
  <si>
    <t xml:space="preserve">google/timesfm-2.5-200m-transformers</t>
  </si>
  <si>
    <t xml:space="preserve">https://huggingface.co/google/timesfm-2.5-200m-transformers</t>
  </si>
  <si>
    <t xml:space="preserve">lmstudio-community/gemma-4-E2B-it-MLX-8bit</t>
  </si>
  <si>
    <t xml:space="preserve">https://huggingface.co/lmstudio-community/gemma-4-E2B-it-MLX-8bit</t>
  </si>
  <si>
    <t xml:space="preserve">google/gemma-2-9b-it</t>
  </si>
  <si>
    <t xml:space="preserve">google/gemma-2-9b</t>
  </si>
  <si>
    <t xml:space="preserve">https://huggingface.co/google/gemma-2-9b-it</t>
  </si>
  <si>
    <t xml:space="preserve">lmstudio-community/gemma-4-E2B-it-MLX-6bit</t>
  </si>
  <si>
    <t xml:space="preserve">https://huggingface.co/lmstudio-community/gemma-4-E2B-it-MLX-6bit</t>
  </si>
  <si>
    <t xml:space="preserve">lmstudio-community/gemma-4-E2B-it-MLX-5bit</t>
  </si>
  <si>
    <t xml:space="preserve">https://huggingface.co/lmstudio-community/gemma-4-E2B-it-MLX-5bit</t>
  </si>
  <si>
    <t xml:space="preserve">google/gemma-2-2b-it</t>
  </si>
  <si>
    <t xml:space="preserve">google/gemma-2-2b</t>
  </si>
  <si>
    <t xml:space="preserve">https://huggingface.co/google/gemma-2-2b-it</t>
  </si>
  <si>
    <t xml:space="preserve">mistralai/Ministral-3-14B-Instruct-2512-BF16</t>
  </si>
  <si>
    <t xml:space="preserve">https://huggingface.co/mistralai/Ministral-3-14B-Instruct-2512-BF16</t>
  </si>
  <si>
    <t xml:space="preserve">ggml-org/tinygemma3-GGUF</t>
  </si>
  <si>
    <t xml:space="preserve">wtfpl</t>
  </si>
  <si>
    <t xml:space="preserve">ngxson/tinygemma3_cifar</t>
  </si>
  <si>
    <t xml:space="preserve">https://huggingface.co/ggml-org/tinygemma3-GGUF</t>
  </si>
  <si>
    <t xml:space="preserve">Davlan/distilbert-base-multilingual-cased-ner-hrl</t>
  </si>
  <si>
    <t xml:space="preserve">https://huggingface.co/Davlan/distilbert-base-multilingual-cased-ner-hrl</t>
  </si>
  <si>
    <t xml:space="preserve">ibm-granite/granite-4.1-8b-fp8</t>
  </si>
  <si>
    <t xml:space="preserve">https://huggingface.co/ibm-granite/granite-4.1-8b-fp8</t>
  </si>
  <si>
    <t xml:space="preserve">mixedbread-ai/mxbai-edge-colbert-v0-17m</t>
  </si>
  <si>
    <t xml:space="preserve">https://huggingface.co/mixedbread-ai/mxbai-edge-colbert-v0-17m</t>
  </si>
  <si>
    <t xml:space="preserve">Snowflake/snowflake-arctic-embed-xs</t>
  </si>
  <si>
    <t xml:space="preserve">https://huggingface.co/Snowflake/snowflake-arctic-embed-xs</t>
  </si>
  <si>
    <t xml:space="preserve">nvidia/Llama-3.1-8B-Instruct-NVFP4</t>
  </si>
  <si>
    <r>
      <rPr>
        <sz val="11"/>
        <color rgb="FF000000"/>
        <rFont val="Noto Sans CJK SC"/>
        <family val="2"/>
      </rPr>
      <t xml:space="preserve">任務類型依上游模型推定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量化版本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授權需確認</t>
    </r>
  </si>
  <si>
    <t xml:space="preserve">https://huggingface.co/nvidia/Llama-3.1-8B-Instruct-NVFP4</t>
  </si>
  <si>
    <t xml:space="preserve">RedHatAI/gemma-4-31B-it-FP8-block</t>
  </si>
  <si>
    <t xml:space="preserve">RedHatAI</t>
  </si>
  <si>
    <t xml:space="preserve">https://huggingface.co/RedHatAI/gemma-4-31B-it-FP8-block</t>
  </si>
  <si>
    <t xml:space="preserve">lmstudio-community/gemma-4-E2B-it-GGUF</t>
  </si>
  <si>
    <t xml:space="preserve">https://huggingface.co/lmstudio-community/gemma-4-E2B-it-GGUF</t>
  </si>
  <si>
    <t xml:space="preserve">dslim/distilbert-NER</t>
  </si>
  <si>
    <t xml:space="preserve">distilbert/distilbert-base-cased</t>
  </si>
  <si>
    <t xml:space="preserve">https://huggingface.co/dslim/distilbert-NER</t>
  </si>
  <si>
    <t xml:space="preserve">ggml-org/SmolVLM-500M-Instruct-GGUF</t>
  </si>
  <si>
    <t xml:space="preserve">https://huggingface.co/ggml-org/SmolVLM-500M-Instruct-GGUF</t>
  </si>
  <si>
    <t xml:space="preserve">sentence-transformers/gtr-t5-large</t>
  </si>
  <si>
    <t xml:space="preserve">https://huggingface.co/sentence-transformers/gtr-t5-large</t>
  </si>
  <si>
    <t xml:space="preserve">https://huggingface.co/mistralai/Mistral-Nemo-Base-2407</t>
  </si>
  <si>
    <t xml:space="preserve">unsloth/gemma-4-26B-A4B-it-GGUF</t>
  </si>
  <si>
    <t xml:space="preserve">https://huggingface.co/unsloth/gemma-4-26B-A4B-it-GGUF</t>
  </si>
  <si>
    <t xml:space="preserve">ai-safety-institute/somo-olmo-7b-sdf-sft</t>
  </si>
  <si>
    <t xml:space="preserve">ai-safety-institute</t>
  </si>
  <si>
    <t xml:space="preserve">https://huggingface.co/ai-safety-institute/somo-olmo-7b-sdf-sft</t>
  </si>
  <si>
    <t xml:space="preserve">LiquidAI/LFM2.5-2.6B-DSpark-GGUF</t>
  </si>
  <si>
    <t xml:space="preserve">LiquidAI/LFM2.5-2.6B-DSpark</t>
  </si>
  <si>
    <t xml:space="preserve">https://huggingface.co/LiquidAI/LFM2.5-2.6B-DSpark-GGUF</t>
  </si>
  <si>
    <t xml:space="preserve">MoritzLaurer/mDeBERTa-v3-base-xnli-multilingual-nli-2mil7</t>
  </si>
  <si>
    <t xml:space="preserve">MoritzLaurer</t>
  </si>
  <si>
    <t xml:space="preserve">https://huggingface.co/MoritzLaurer/mDeBERTa-v3-base-xnli-multilingual-nli-2mil7</t>
  </si>
  <si>
    <t xml:space="preserve">google/t5gemma-2-270m-270m</t>
  </si>
  <si>
    <t xml:space="preserve">https://huggingface.co/google/t5gemma-2-270m-270m</t>
  </si>
  <si>
    <t xml:space="preserve">google/timesfm-3.0-pytorch</t>
  </si>
  <si>
    <t xml:space="preserve">https://huggingface.co/google/timesfm-3.0-pytorch</t>
  </si>
  <si>
    <t xml:space="preserve">EleutherAI/gpt-neo-2.7B</t>
  </si>
  <si>
    <t xml:space="preserve">https://huggingface.co/EleutherAI/gpt-neo-2.7B</t>
  </si>
  <si>
    <t xml:space="preserve">cross-encoder/quora-distilroberta-base</t>
  </si>
  <si>
    <t xml:space="preserve">https://huggingface.co/cross-encoder/quora-distilroberta-base</t>
  </si>
  <si>
    <t xml:space="preserve">swiss-ai/Apertus-8B-Instruct-2509</t>
  </si>
  <si>
    <t xml:space="preserve">swiss-ai</t>
  </si>
  <si>
    <t xml:space="preserve">swiss-ai/Apertus-8B-2509</t>
  </si>
  <si>
    <t xml:space="preserve">https://huggingface.co/swiss-ai/Apertus-8B-Instruct-2509</t>
  </si>
  <si>
    <t xml:space="preserve">google/functiongemma-270m-it</t>
  </si>
  <si>
    <t xml:space="preserve">https://huggingface.co/google/functiongemma-270m-it</t>
  </si>
  <si>
    <t xml:space="preserve">RedHatAI/gemma-4-26B-A4B-it-FP8-dynamic</t>
  </si>
  <si>
    <t xml:space="preserve">https://huggingface.co/RedHatAI/gemma-4-26B-A4B-it-FP8-dynamic</t>
  </si>
  <si>
    <t xml:space="preserve">unsloth/gemma-4-12b-it-GGUF</t>
  </si>
  <si>
    <t xml:space="preserve">https://huggingface.co/unsloth/gemma-4-12b-it-GGUF</t>
  </si>
  <si>
    <t xml:space="preserve">llava-hf/llava-1.5-7b-hf</t>
  </si>
  <si>
    <t xml:space="preserve">llama2</t>
  </si>
  <si>
    <t xml:space="preserve">https://huggingface.co/llava-hf/llava-1.5-7b-hf</t>
  </si>
  <si>
    <t xml:space="preserve">google/paligemma-3b-pt-224</t>
  </si>
  <si>
    <t xml:space="preserve">https://huggingface.co/google/paligemma-3b-pt-224</t>
  </si>
  <si>
    <t xml:space="preserve">joeddav/xlm-roberta-large-xnli</t>
  </si>
  <si>
    <t xml:space="preserve">joeddav</t>
  </si>
  <si>
    <t xml:space="preserve">https://huggingface.co/joeddav/xlm-roberta-large-xnli</t>
  </si>
  <si>
    <t xml:space="preserve">google-bert/bert-base-chinese</t>
  </si>
  <si>
    <t xml:space="preserve">google-bert</t>
  </si>
  <si>
    <t xml:space="preserve">https://huggingface.co/google-bert/bert-base-chinese</t>
  </si>
  <si>
    <t xml:space="preserve">LiquidAI/LFM2-8B-A1B</t>
  </si>
  <si>
    <t xml:space="preserve">https://huggingface.co/LiquidAI/LFM2-8B-A1B</t>
  </si>
  <si>
    <t xml:space="preserve">dslim/bert-large-NER</t>
  </si>
  <si>
    <t xml:space="preserve">https://huggingface.co/dslim/bert-large-NER</t>
  </si>
  <si>
    <t xml:space="preserve">sentence-transformers/paraphrase-distilroberta-base-v2</t>
  </si>
  <si>
    <t xml:space="preserve">https://huggingface.co/sentence-transformers/paraphrase-distilroberta-base-v2</t>
  </si>
  <si>
    <t xml:space="preserve">amd/PARD-Llama-3.2-1B</t>
  </si>
  <si>
    <t xml:space="preserve">amd</t>
  </si>
  <si>
    <t xml:space="preserve">https://huggingface.co/amd/PARD-Llama-3.2-1B</t>
  </si>
  <si>
    <t xml:space="preserve">sentence-transformers/paraphrase-TinyBERT-L6-v2</t>
  </si>
  <si>
    <t xml:space="preserve">https://huggingface.co/sentence-transformers/paraphrase-TinyBERT-L6-v2</t>
  </si>
  <si>
    <t xml:space="preserve">RedHatAI/gemma-4-26B-A4B-it-NVFP4</t>
  </si>
  <si>
    <t xml:space="preserve">https://huggingface.co/RedHatAI/gemma-4-26B-A4B-it-NVFP4</t>
  </si>
  <si>
    <t xml:space="preserve">meta-llama/Meta-Llama-3-8B-Instruct</t>
  </si>
  <si>
    <t xml:space="preserve">llama3</t>
  </si>
  <si>
    <t xml:space="preserve">https://huggingface.co/meta-llama/Meta-Llama-3-8B-Instruct</t>
  </si>
  <si>
    <t xml:space="preserve">desklib/ai-text-detector-v1.01</t>
  </si>
  <si>
    <t xml:space="preserve">desklib</t>
  </si>
  <si>
    <t xml:space="preserve">https://huggingface.co/desklib/ai-text-detector-v1.01</t>
  </si>
  <si>
    <t xml:space="preserve">sentence-transformers/allenai-specter</t>
  </si>
  <si>
    <t xml:space="preserve">https://huggingface.co/sentence-transformers/allenai-specter</t>
  </si>
  <si>
    <t xml:space="preserve">unsloth/gemma-4-E2B-it-qat-mobile-GGUF</t>
  </si>
  <si>
    <t xml:space="preserve">google/gemma-4-E2B-it-qat-mobile-transformers</t>
  </si>
  <si>
    <t xml:space="preserve">https://huggingface.co/unsloth/gemma-4-E2B-it-qat-mobile-GGUF</t>
  </si>
  <si>
    <t xml:space="preserve">unsloth/gemma-4-31B-it-GGUF</t>
  </si>
  <si>
    <t xml:space="preserve">https://huggingface.co/unsloth/gemma-4-31B-it-GGUF</t>
  </si>
  <si>
    <t xml:space="preserve">lmstudio-community/gemma-4-26B-A4B-it-QAT-MLX-4bit</t>
  </si>
  <si>
    <t xml:space="preserve">https://huggingface.co/lmstudio-community/gemma-4-26B-A4B-it-QAT-MLX-4bit</t>
  </si>
  <si>
    <t xml:space="preserve">ibm-granite/granite-timeseries-patchtst-fm-r2</t>
  </si>
  <si>
    <t xml:space="preserve">openmdw-1.0</t>
  </si>
  <si>
    <t xml:space="preserve">https://huggingface.co/ibm-granite/granite-timeseries-patchtst-fm-r2</t>
  </si>
  <si>
    <t xml:space="preserve">yangheng/deberta-v3-base-absa-v1.1</t>
  </si>
  <si>
    <t xml:space="preserve">yangheng</t>
  </si>
  <si>
    <t xml:space="preserve">https://huggingface.co/yangheng/deberta-v3-base-absa-v1.1</t>
  </si>
  <si>
    <t xml:space="preserve">openai-community/gpt2-xl</t>
  </si>
  <si>
    <t xml:space="preserve">https://huggingface.co/openai-community/gpt2-xl</t>
  </si>
  <si>
    <t xml:space="preserve">cross-encoder/nli-distilroberta-base</t>
  </si>
  <si>
    <t xml:space="preserve">https://huggingface.co/cross-encoder/nli-distilroberta-base</t>
  </si>
  <si>
    <t xml:space="preserve">minishlab/potion-base-8M</t>
  </si>
  <si>
    <t xml:space="preserve">minishlab</t>
  </si>
  <si>
    <t xml:space="preserve">任務類型依框架推定</t>
  </si>
  <si>
    <t xml:space="preserve">https://huggingface.co/minishlab/potion-base-8M</t>
  </si>
  <si>
    <t xml:space="preserve">https://huggingface.co/google/gemma-2-2b</t>
  </si>
  <si>
    <t xml:space="preserve">FacebookAI/xlm-roberta-large-finetuned-conll03-english</t>
  </si>
  <si>
    <t xml:space="preserve">FacebookAI</t>
  </si>
  <si>
    <t xml:space="preserve">https://huggingface.co/FacebookAI/xlm-roberta-large-finetuned-conll03-english</t>
  </si>
  <si>
    <t xml:space="preserve">sentence-transformers/msmarco-distilbert-dot-v5</t>
  </si>
  <si>
    <t xml:space="preserve">https://huggingface.co/sentence-transformers/msmarco-distilbert-dot-v5</t>
  </si>
  <si>
    <t xml:space="preserve">allenai/OLMoE-1B-7B-0924</t>
  </si>
  <si>
    <t xml:space="preserve">https://huggingface.co/allenai/OLMoE-1B-7B-0924</t>
  </si>
  <si>
    <t xml:space="preserve">Comfy-Org/gemma-4</t>
  </si>
  <si>
    <t xml:space="preserve">Comfy-Org</t>
  </si>
  <si>
    <t xml:space="preserve">https://huggingface.co/Comfy-Org/gemma-4</t>
  </si>
  <si>
    <t xml:space="preserve">garak-llm/roberta-large-snli_mnli_fever_anli_R1_R2_R3-nli</t>
  </si>
  <si>
    <t xml:space="preserve">https://huggingface.co/garak-llm/roberta-large-snli_mnli_fever_anli_R1_R2_R3-nli</t>
  </si>
  <si>
    <t xml:space="preserve">unsloth/gemma-4-26B-A4B-it-qat-GGUF</t>
  </si>
  <si>
    <t xml:space="preserve">https://huggingface.co/unsloth/gemma-4-26B-A4B-it-qat-GGUF</t>
  </si>
  <si>
    <t xml:space="preserve">microsoft/phi-1_5</t>
  </si>
  <si>
    <t xml:space="preserve">https://huggingface.co/microsoft/phi-1_5</t>
  </si>
  <si>
    <t xml:space="preserve">sentence-transformers/multi-qa-mpnet-base-dot-v1</t>
  </si>
  <si>
    <t xml:space="preserve">https://huggingface.co/sentence-transformers/multi-qa-mpnet-base-dot-v1</t>
  </si>
  <si>
    <t xml:space="preserve">Comfy-Org/HiDream</t>
  </si>
  <si>
    <t xml:space="preserve">HiDream-ai/HiDream-E1-1</t>
  </si>
  <si>
    <t xml:space="preserve">https://huggingface.co/Comfy-Org/HiDream</t>
  </si>
  <si>
    <t xml:space="preserve">ElKulako/cryptobert</t>
  </si>
  <si>
    <t xml:space="preserve">ElKulako</t>
  </si>
  <si>
    <t xml:space="preserve">https://huggingface.co/ElKulako/cryptobert</t>
  </si>
  <si>
    <t xml:space="preserve">https://huggingface.co/google/gemma-4-31B-it-qat-q4_0-unquantized</t>
  </si>
  <si>
    <t xml:space="preserve">amd/Llama-3.1-8B-Instruct-FP8-KV</t>
  </si>
  <si>
    <t xml:space="preserve">https://huggingface.co/amd/Llama-3.1-8B-Instruct-FP8-KV</t>
  </si>
  <si>
    <t xml:space="preserve">https://huggingface.co/google/gemma-3-1b-pt</t>
  </si>
  <si>
    <t xml:space="preserve">nvidia/Nemotron-H-8B-Base-8K</t>
  </si>
  <si>
    <t xml:space="preserve">https://huggingface.co/nvidia/Nemotron-H-8B-Base-8K</t>
  </si>
  <si>
    <t xml:space="preserve">cross-encoder/stsb-TinyBERT-L4</t>
  </si>
  <si>
    <t xml:space="preserve">https://huggingface.co/cross-encoder/stsb-TinyBERT-L4</t>
  </si>
  <si>
    <t xml:space="preserve">google/paligemma-3b-ft-cococap-448</t>
  </si>
  <si>
    <t xml:space="preserve">https://huggingface.co/google/paligemma-3b-ft-cococap-448</t>
  </si>
  <si>
    <t xml:space="preserve">microsoft/Phi-4-mini-reasoning</t>
  </si>
  <si>
    <t xml:space="preserve">https://huggingface.co/microsoft/Phi-4-mini-reasoning</t>
  </si>
  <si>
    <t xml:space="preserve">https://huggingface.co/FacebookAI/xlm-roberta-base</t>
  </si>
  <si>
    <t xml:space="preserve">bigcode/starcoder2-3b</t>
  </si>
  <si>
    <t xml:space="preserve">https://huggingface.co/bigcode/starcoder2-3b</t>
  </si>
  <si>
    <t xml:space="preserve">EleutherAI/pythia-1b</t>
  </si>
  <si>
    <t xml:space="preserve">https://huggingface.co/EleutherAI/pythia-1b</t>
  </si>
  <si>
    <t xml:space="preserve">mistralai/Mistral-Small-24B-Instruct-2501</t>
  </si>
  <si>
    <t xml:space="preserve">mistralai/Mistral-Small-24B-Base-2501</t>
  </si>
  <si>
    <t xml:space="preserve">https://huggingface.co/mistralai/Mistral-Small-24B-Instruct-2501</t>
  </si>
  <si>
    <t xml:space="preserve">RedHatAI/gemma-4-31B-it-NVFP4</t>
  </si>
  <si>
    <t xml:space="preserve">https://huggingface.co/RedHatAI/gemma-4-31B-it-NVFP4</t>
  </si>
  <si>
    <t xml:space="preserve">FacebookAI/xlm-roberta-large</t>
  </si>
  <si>
    <t xml:space="preserve">https://huggingface.co/FacebookAI/xlm-roberta-large</t>
  </si>
  <si>
    <t xml:space="preserve">ggml-org/gemma-4-26B-A4B-it-GGUF</t>
  </si>
  <si>
    <t xml:space="preserve">https://huggingface.co/ggml-org/gemma-4-26B-A4B-it-GGUF</t>
  </si>
  <si>
    <t xml:space="preserve">mistralai/Mamba-Codestral-7B-v0.1</t>
  </si>
  <si>
    <t xml:space="preserve">https://huggingface.co/mistralai/Mamba-Codestral-7B-v0.1</t>
  </si>
  <si>
    <t xml:space="preserve">LiquidAI/LFM2-VL-450M</t>
  </si>
  <si>
    <t xml:space="preserve">https://huggingface.co/LiquidAI/LFM2-VL-450M</t>
  </si>
  <si>
    <t xml:space="preserve">google-bert/bert-base-multilingual-uncased</t>
  </si>
  <si>
    <t xml:space="preserve">https://huggingface.co/google-bert/bert-base-multilingual-uncased</t>
  </si>
  <si>
    <t xml:space="preserve">google/paligemma-3b-mix-224</t>
  </si>
  <si>
    <t xml:space="preserve">https://huggingface.co/google/paligemma-3b-mix-224</t>
  </si>
  <si>
    <t xml:space="preserve">unsloth/Muse-Glimmer-30B-GGUF</t>
  </si>
  <si>
    <t xml:space="preserve">meta-models/Muse-Glimmer-30B</t>
  </si>
  <si>
    <t xml:space="preserve">https://huggingface.co/unsloth/Muse-Glimmer-30B-GGUF</t>
  </si>
  <si>
    <t xml:space="preserve">segment-any-text/sat-12l-sm</t>
  </si>
  <si>
    <t xml:space="preserve">https://huggingface.co/segment-any-text/sat-12l-sm</t>
  </si>
  <si>
    <t xml:space="preserve">sentence-transformers/multi-qa-MiniLM-L6-cos-v1</t>
  </si>
  <si>
    <t xml:space="preserve">https://huggingface.co/sentence-transformers/multi-qa-MiniLM-L6-cos-v1</t>
  </si>
  <si>
    <t xml:space="preserve">google-bert/bert-base-multilingual-cased</t>
  </si>
  <si>
    <t xml:space="preserve">https://huggingface.co/google-bert/bert-base-multilingual-cased</t>
  </si>
  <si>
    <t xml:space="preserve">google/gemma-2b</t>
  </si>
  <si>
    <t xml:space="preserve">https://huggingface.co/google/gemma-2b</t>
  </si>
  <si>
    <t xml:space="preserve">autogluon/chronos-t5-mini</t>
  </si>
  <si>
    <t xml:space="preserve">https://huggingface.co/autogluon/chronos-t5-mini</t>
  </si>
  <si>
    <t xml:space="preserve">mixedbread-ai/mxbai-embed-xsmall-v1</t>
  </si>
  <si>
    <t xml:space="preserve">https://huggingface.co/mixedbread-ai/mxbai-embed-xsmall-v1</t>
  </si>
  <si>
    <t xml:space="preserve">unsloth/gemma-4-E2B-it</t>
  </si>
  <si>
    <t xml:space="preserve">https://huggingface.co/unsloth/gemma-4-E2B-it</t>
  </si>
  <si>
    <t xml:space="preserve">unsloth/gemma-4-31B-it-qat-GGUF</t>
  </si>
  <si>
    <t xml:space="preserve">https://huggingface.co/unsloth/gemma-4-31B-it-qat-GGUF</t>
  </si>
  <si>
    <t xml:space="preserve">unsloth/gemma-4-E2B-it-NVFP4</t>
  </si>
  <si>
    <t xml:space="preserve">https://huggingface.co/unsloth/gemma-4-E2B-it-NVFP4</t>
  </si>
  <si>
    <t xml:space="preserve">hfmlsoc/ncii-guard-v02</t>
  </si>
  <si>
    <t xml:space="preserve">hfmlsoc</t>
  </si>
  <si>
    <t xml:space="preserve">merge</t>
  </si>
  <si>
    <t xml:space="preserve">https://huggingface.co/hfmlsoc/ncii-guard-v02</t>
  </si>
  <si>
    <t xml:space="preserve">unsloth/gemma-4-31B-it-unsloth-bnb-4bit</t>
  </si>
  <si>
    <t xml:space="preserve">https://huggingface.co/unsloth/gemma-4-31B-it-unsloth-bnb-4bit</t>
  </si>
  <si>
    <t xml:space="preserve">RedHatAI/gemma-4-31B-it-FP8-dynamic</t>
  </si>
  <si>
    <t xml:space="preserve">https://huggingface.co/RedHatAI/gemma-4-31B-it-FP8-dynamic</t>
  </si>
  <si>
    <t xml:space="preserve">google/gemma-4-E2B-it-qat-mobile-ct</t>
  </si>
  <si>
    <t xml:space="preserve">https://huggingface.co/google/gemma-4-E2B-it-qat-mobile-ct</t>
  </si>
  <si>
    <t xml:space="preserve">LiquidAI/LFM2.5-1.2B-Thinking</t>
  </si>
  <si>
    <t xml:space="preserve">https://huggingface.co/LiquidAI/LFM2.5-1.2B-Thinking</t>
  </si>
  <si>
    <t xml:space="preserve">Salesforce/blip2-flan-t5-xl</t>
  </si>
  <si>
    <t xml:space="preserve">https://huggingface.co/Salesforce/blip2-flan-t5-xl</t>
  </si>
  <si>
    <t xml:space="preserve">HuggingFaceM4/idefics2-8b</t>
  </si>
  <si>
    <t xml:space="preserve">https://huggingface.co/HuggingFaceM4/idefics2-8b</t>
  </si>
  <si>
    <t xml:space="preserve">minishlab/potion-multilingual-128M</t>
  </si>
  <si>
    <t xml:space="preserve">https://huggingface.co/minishlab/potion-multilingual-128M</t>
  </si>
  <si>
    <t xml:space="preserve">google/gemma-3-12b-it</t>
  </si>
  <si>
    <t xml:space="preserve">google/gemma-3-12b-pt</t>
  </si>
  <si>
    <t xml:space="preserve">https://huggingface.co/google/gemma-3-12b-it</t>
  </si>
  <si>
    <t xml:space="preserve">yangheng/deberta-v3-large-absa-v1.1</t>
  </si>
  <si>
    <t xml:space="preserve">https://huggingface.co/yangheng/deberta-v3-large-absa-v1.1</t>
  </si>
  <si>
    <t xml:space="preserve">https://huggingface.co/meta-llama/Llama-3.1-8B-Instruct</t>
  </si>
  <si>
    <t xml:space="preserve">meta-llama/Llama-3.2-1B-Instruct</t>
  </si>
  <si>
    <t xml:space="preserve">https://huggingface.co/meta-llama/Llama-3.2-1B-Instruct</t>
  </si>
  <si>
    <t xml:space="preserve">mistralai/Magistral-Small-2506</t>
  </si>
  <si>
    <t xml:space="preserve">https://huggingface.co/mistralai/Magistral-Small-2506</t>
  </si>
  <si>
    <t xml:space="preserve">ptouch/phishing-distilbert-cyber207</t>
  </si>
  <si>
    <t xml:space="preserve">ptouch</t>
  </si>
  <si>
    <t xml:space="preserve">https://huggingface.co/ptouch/phishing-distilbert-cyber207</t>
  </si>
  <si>
    <t xml:space="preserve">sentence-transformers/msmarco-bert-base-dot-v5</t>
  </si>
  <si>
    <t xml:space="preserve">https://huggingface.co/sentence-transformers/msmarco-bert-base-dot-v5</t>
  </si>
  <si>
    <t xml:space="preserve">google/gemma-1.1-2b-it</t>
  </si>
  <si>
    <t xml:space="preserve">https://huggingface.co/google/gemma-1.1-2b-it</t>
  </si>
  <si>
    <t xml:space="preserve">facebook/chameleon-7b</t>
  </si>
  <si>
    <t xml:space="preserve">https://huggingface.co/facebook/chameleon-7b</t>
  </si>
  <si>
    <t xml:space="preserve">microsoft/Phi-3-mini-4k-instruct-gguf</t>
  </si>
  <si>
    <t xml:space="preserve">https://huggingface.co/microsoft/Phi-3-mini-4k-instruct-gguf</t>
  </si>
  <si>
    <t xml:space="preserve">onnx-community/distilbert-multilingual-toxicity-classifier-ONNX</t>
  </si>
  <si>
    <t xml:space="preserve">onnx-community</t>
  </si>
  <si>
    <t xml:space="preserve">openrail++</t>
  </si>
  <si>
    <t xml:space="preserve">gravitee-io/distilbert-multilingual-toxicity-classifier</t>
  </si>
  <si>
    <t xml:space="preserve">https://huggingface.co/onnx-community/distilbert-multilingual-toxicity-classifier-ONNX</t>
  </si>
  <si>
    <t xml:space="preserve">Comfy-Org/ltx-2</t>
  </si>
  <si>
    <r>
      <rPr>
        <sz val="11"/>
        <color rgb="FF000000"/>
        <rFont val="Noto Sans CJK SC"/>
        <family val="2"/>
      </rPr>
      <t xml:space="preserve">任務類型依上游模型推定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授權需確認</t>
    </r>
  </si>
  <si>
    <t xml:space="preserve">https://huggingface.co/Comfy-Org/ltx-2</t>
  </si>
  <si>
    <t xml:space="preserve">ibm-granite/granite-3.0-1b-a400m-instruct</t>
  </si>
  <si>
    <t xml:space="preserve">https://huggingface.co/ibm-granite/granite-3.0-1b-a400m-instruct</t>
  </si>
  <si>
    <t xml:space="preserve">unsloth/gpt-oss-20b-GGUF</t>
  </si>
  <si>
    <t xml:space="preserve">https://huggingface.co/unsloth/gpt-oss-20b-GGUF</t>
  </si>
  <si>
    <t xml:space="preserve">NeuML/pubmedbert-base-embeddings</t>
  </si>
  <si>
    <t xml:space="preserve">NeuML</t>
  </si>
  <si>
    <t xml:space="preserve">microsoft/BiomedNLP-BiomedBERT-base-uncased-abstract-fulltext</t>
  </si>
  <si>
    <t xml:space="preserve">https://huggingface.co/NeuML/pubmedbert-base-embeddings</t>
  </si>
  <si>
    <t xml:space="preserve">meta-llama/Llama-3.2-3B-Instruct</t>
  </si>
  <si>
    <t xml:space="preserve">https://huggingface.co/meta-llama/Llama-3.2-3B-Instruct</t>
  </si>
  <si>
    <t xml:space="preserve">amazon/chronos-t5-mini</t>
  </si>
  <si>
    <t xml:space="preserve">https://huggingface.co/amazon/chronos-t5-mini</t>
  </si>
  <si>
    <t xml:space="preserve">google/gemma-3-27b-it</t>
  </si>
  <si>
    <t xml:space="preserve">google/gemma-3-27b-pt</t>
  </si>
  <si>
    <t xml:space="preserve">https://huggingface.co/google/gemma-3-27b-it</t>
  </si>
  <si>
    <t xml:space="preserve">cross-encoder/ms-marco-TinyBERT-L2</t>
  </si>
  <si>
    <t xml:space="preserve">https://huggingface.co/cross-encoder/ms-marco-TinyBERT-L2</t>
  </si>
  <si>
    <t xml:space="preserve">allenai/Olmo-Hybrid-7B</t>
  </si>
  <si>
    <t xml:space="preserve">https://huggingface.co/allenai/Olmo-Hybrid-7B</t>
  </si>
  <si>
    <t xml:space="preserve">EleutherAI/pythia-1.4b</t>
  </si>
  <si>
    <t xml:space="preserve">https://huggingface.co/EleutherAI/pythia-1.4b</t>
  </si>
  <si>
    <t xml:space="preserve">EleutherAI/pythia-410m-deduped</t>
  </si>
  <si>
    <t xml:space="preserve">https://huggingface.co/EleutherAI/pythia-410m-deduped</t>
  </si>
  <si>
    <t xml:space="preserve">RedHatAI/Llama-Guard-4-12B-quantized.w4a16</t>
  </si>
  <si>
    <t xml:space="preserve">https://huggingface.co/RedHatAI/Llama-Guard-4-12B-quantized.w4a16</t>
  </si>
  <si>
    <t xml:space="preserve">meta-llama/Llama-3.2-1B</t>
  </si>
  <si>
    <t xml:space="preserve">https://huggingface.co/meta-llama/Llama-3.2-1B</t>
  </si>
  <si>
    <t xml:space="preserve">distilbert/distilbert-base-multilingual-cased</t>
  </si>
  <si>
    <t xml:space="preserve">https://huggingface.co/distilbert/distilbert-base-multilingual-cased</t>
  </si>
  <si>
    <t xml:space="preserve">nvidia/gpt-oss-120b-Eagle3-short-context</t>
  </si>
  <si>
    <t xml:space="preserve">openai/gpt-oss-120b</t>
  </si>
  <si>
    <t xml:space="preserve">https://huggingface.co/nvidia/gpt-oss-120b-Eagle3-short-context</t>
  </si>
  <si>
    <t xml:space="preserve">lightonai/LightOnOCR-2-1B</t>
  </si>
  <si>
    <t xml:space="preserve">lightonai</t>
  </si>
  <si>
    <t xml:space="preserve">https://huggingface.co/lightonai/LightOnOCR-2-1B</t>
  </si>
  <si>
    <t xml:space="preserve">nvidia/NVIDIA-Nemotron-3-Nano-30B-A3B-Base-BF16</t>
  </si>
  <si>
    <t xml:space="preserve">https://huggingface.co/nvidia/NVIDIA-Nemotron-3-Nano-30B-A3B-Base-BF16</t>
  </si>
  <si>
    <t xml:space="preserve">allenai/OLMo-2-1124-7B</t>
  </si>
  <si>
    <t xml:space="preserve">https://huggingface.co/allenai/OLMo-2-1124-7B</t>
  </si>
  <si>
    <t xml:space="preserve">ggml-org/embeddinggemma-300M-GGUF</t>
  </si>
  <si>
    <t xml:space="preserve">https://huggingface.co/ggml-org/embeddinggemma-300M-GGUF</t>
  </si>
  <si>
    <t xml:space="preserve">mlx-community/gpt-oss-20b-MXFP4-Q8</t>
  </si>
  <si>
    <t xml:space="preserve">mlx-community</t>
  </si>
  <si>
    <t xml:space="preserve">https://huggingface.co/mlx-community/gpt-oss-20b-MXFP4-Q8</t>
  </si>
  <si>
    <t xml:space="preserve">meta-llama/Meta-Llama-3-8B</t>
  </si>
  <si>
    <t xml:space="preserve">https://huggingface.co/meta-llama/Meta-Llama-3-8B</t>
  </si>
  <si>
    <t xml:space="preserve">swiss-ai/Apertus-v1.5-8B</t>
  </si>
  <si>
    <t xml:space="preserve">https://huggingface.co/swiss-ai/Apertus-v1.5-8B</t>
  </si>
  <si>
    <t xml:space="preserve">ai-forever/FRIDA</t>
  </si>
  <si>
    <t xml:space="preserve">ai-forever</t>
  </si>
  <si>
    <t xml:space="preserve">ai-forever/FRED-T5-1.7B</t>
  </si>
  <si>
    <t xml:space="preserve">https://huggingface.co/ai-forever/FRIDA</t>
  </si>
  <si>
    <t xml:space="preserve">https://huggingface.co/meta-llama/Llama-3.1-8B</t>
  </si>
  <si>
    <t xml:space="preserve">ibm-granite/granite-timeseries-flowstate-r1</t>
  </si>
  <si>
    <t xml:space="preserve">https://huggingface.co/ibm-granite/granite-timeseries-flowstate-r1</t>
  </si>
  <si>
    <t xml:space="preserve">TheBloke/Mistral-7B-Instruct-v0.2-AWQ</t>
  </si>
  <si>
    <t xml:space="preserve">TheBloke</t>
  </si>
  <si>
    <t xml:space="preserve">https://huggingface.co/TheBloke/Mistral-7B-Instruct-v0.2-AWQ</t>
  </si>
  <si>
    <t xml:space="preserve">ibm-research/flowstate</t>
  </si>
  <si>
    <t xml:space="preserve">https://huggingface.co/ibm-research/flowstate</t>
  </si>
  <si>
    <t xml:space="preserve">RedHatAI/diffusiongemma-26B-A4B-it-NVFP4</t>
  </si>
  <si>
    <t xml:space="preserve">https://huggingface.co/RedHatAI/diffusiongemma-26B-A4B-it-NVFP4</t>
  </si>
  <si>
    <t xml:space="preserve">nvidia/NVIDIA-Nemotron-Nano-12B-v2-VL-BF16</t>
  </si>
  <si>
    <t xml:space="preserve">https://huggingface.co/nvidia/NVIDIA-Nemotron-Nano-12B-v2-VL-BF16</t>
  </si>
  <si>
    <t xml:space="preserve">unsloth/gemma-4-12B-it-qat-GGUF</t>
  </si>
  <si>
    <t xml:space="preserve">https://huggingface.co/unsloth/gemma-4-12B-it-qat-GGUF</t>
  </si>
  <si>
    <t xml:space="preserve">Qdrant/paraphrase-multilingual-MiniLM-L12-v2-onnx-Q</t>
  </si>
  <si>
    <t xml:space="preserve">https://huggingface.co/Qdrant/paraphrase-multilingual-MiniLM-L12-v2-onnx-Q</t>
  </si>
  <si>
    <t xml:space="preserve">lmstudio-community/gemma-4-26B-A4B-it-QAT-GGUF</t>
  </si>
  <si>
    <t xml:space="preserve">https://huggingface.co/lmstudio-community/gemma-4-26B-A4B-it-QAT-GGUF</t>
  </si>
  <si>
    <t xml:space="preserve">Abiray/Nemotron-3-Embed-8B-GGUF</t>
  </si>
  <si>
    <t xml:space="preserve">Abiray</t>
  </si>
  <si>
    <t xml:space="preserve">openmdw-1.1</t>
  </si>
  <si>
    <t xml:space="preserve">https://huggingface.co/Abiray/Nemotron-3-Embed-8B-GGUF</t>
  </si>
  <si>
    <t xml:space="preserve">lmstudio-community/gemma-4-26B-A4B-it-MLX-4bit</t>
  </si>
  <si>
    <t xml:space="preserve">https://huggingface.co/lmstudio-community/gemma-4-26B-A4B-it-MLX-4bit</t>
  </si>
  <si>
    <t xml:space="preserve">LiquidAI/LFM2.5-8B-A1B-DSpark-GGUF</t>
  </si>
  <si>
    <t xml:space="preserve">LiquidAI/LFM2.5-8B-A1B-DSpark</t>
  </si>
  <si>
    <t xml:space="preserve">https://huggingface.co/LiquidAI/LFM2.5-8B-A1B-DSpark-GGUF</t>
  </si>
  <si>
    <t xml:space="preserve">bartowski/google_gemma-4-E4B-it-GGUF</t>
  </si>
  <si>
    <t xml:space="preserve">https://huggingface.co/bartowski/google_gemma-4-E4B-it-GGUF</t>
  </si>
  <si>
    <t xml:space="preserve">meta-llama/Llama-2-7b-hf</t>
  </si>
  <si>
    <t xml:space="preserve">https://huggingface.co/meta-llama/Llama-2-7b-hf</t>
  </si>
  <si>
    <t xml:space="preserve">unsloth/mistral-7b-v0.3-bnb-4bit</t>
  </si>
  <si>
    <t xml:space="preserve">https://huggingface.co/unsloth/mistral-7b-v0.3-bnb-4bit</t>
  </si>
  <si>
    <t xml:space="preserve">Salesforce/blip2-opt-6.7b</t>
  </si>
  <si>
    <t xml:space="preserve">https://huggingface.co/Salesforce/blip2-opt-6.7b</t>
  </si>
  <si>
    <t xml:space="preserve">minishlab/potion-base-4M</t>
  </si>
  <si>
    <t xml:space="preserve">https://huggingface.co/minishlab/potion-base-4M</t>
  </si>
  <si>
    <t xml:space="preserve">allenai/OLMo-2-0425-1B-Instruct</t>
  </si>
  <si>
    <t xml:space="preserve">allenai/OLMo-2-0425-1B-RLVR1</t>
  </si>
  <si>
    <t xml:space="preserve">https://huggingface.co/allenai/OLMo-2-0425-1B-Instruct</t>
  </si>
  <si>
    <t xml:space="preserve">setu4993/LaBSE</t>
  </si>
  <si>
    <t xml:space="preserve">setu4993</t>
  </si>
  <si>
    <t xml:space="preserve">https://huggingface.co/setu4993/LaBSE</t>
  </si>
  <si>
    <t xml:space="preserve">obi/deid_roberta_i2b2</t>
  </si>
  <si>
    <t xml:space="preserve">obi</t>
  </si>
  <si>
    <t xml:space="preserve">https://huggingface.co/obi/deid_roberta_i2b2</t>
  </si>
  <si>
    <t xml:space="preserve">oliverguhr/fullstop-punctuation-multilingual-sonar-base</t>
  </si>
  <si>
    <t xml:space="preserve">https://huggingface.co/oliverguhr/fullstop-punctuation-multilingual-sonar-base</t>
  </si>
  <si>
    <t xml:space="preserve">mistralai/Devstral-Small-2507</t>
  </si>
  <si>
    <t xml:space="preserve">https://huggingface.co/mistralai/Devstral-Small-2507</t>
  </si>
  <si>
    <t xml:space="preserve">https://huggingface.co/LiquidAI/LFM2.5-1.2B-Base</t>
  </si>
  <si>
    <t xml:space="preserve">lmstudio-community/gemma-4-12B-it-QAT-GGUF</t>
  </si>
  <si>
    <t xml:space="preserve">https://huggingface.co/lmstudio-community/gemma-4-12B-it-QAT-GGUF</t>
  </si>
  <si>
    <t xml:space="preserve">MaziyarPanahi/Mistral-7B-Instruct-v0.3-GGUF</t>
  </si>
  <si>
    <t xml:space="preserve">MaziyarPanahi</t>
  </si>
  <si>
    <t xml:space="preserve">https://huggingface.co/MaziyarPanahi/Mistral-7B-Instruct-v0.3-GGUF</t>
  </si>
  <si>
    <t xml:space="preserve">meta-llama/Llama-3.2-3B</t>
  </si>
  <si>
    <t xml:space="preserve">https://huggingface.co/meta-llama/Llama-3.2-3B</t>
  </si>
  <si>
    <t xml:space="preserve">lmstudio-community/gemma-4-26B-A4B-it-MLX-8bit</t>
  </si>
  <si>
    <t xml:space="preserve">https://huggingface.co/lmstudio-community/gemma-4-26B-A4B-it-MLX-8bit</t>
  </si>
  <si>
    <t xml:space="preserve">dslim/bert-base-NER-uncased</t>
  </si>
  <si>
    <t xml:space="preserve">https://huggingface.co/dslim/bert-base-NER-uncased</t>
  </si>
  <si>
    <t xml:space="preserve">tiiuae/Falcon-H1-0.5B-Base</t>
  </si>
  <si>
    <t xml:space="preserve">tiiuae</t>
  </si>
  <si>
    <t xml:space="preserve">https://huggingface.co/tiiuae/Falcon-H1-0.5B-Base</t>
  </si>
  <si>
    <t xml:space="preserve">TimKond/S-PubMedBert-MedQuAD</t>
  </si>
  <si>
    <t xml:space="preserve">TimKond</t>
  </si>
  <si>
    <t xml:space="preserve">https://huggingface.co/TimKond/S-PubMedBert-MedQuAD</t>
  </si>
  <si>
    <t xml:space="preserve">sentence-transformers/msmarco-MiniLM-L12-cos-v5</t>
  </si>
  <si>
    <t xml:space="preserve">https://huggingface.co/sentence-transformers/msmarco-MiniLM-L12-cos-v5</t>
  </si>
  <si>
    <t xml:space="preserve">EleutherAI/gpt-neox-20b</t>
  </si>
  <si>
    <t xml:space="preserve">https://huggingface.co/EleutherAI/gpt-neox-20b</t>
  </si>
  <si>
    <t xml:space="preserve">mistralai/Magistral-Small-2509</t>
  </si>
  <si>
    <t xml:space="preserve">https://huggingface.co/mistralai/Magistral-Small-2509</t>
  </si>
  <si>
    <t xml:space="preserve">ggml-org/stories15M_MOE</t>
  </si>
  <si>
    <t xml:space="preserve">https://huggingface.co/ggml-org/stories15M_MOE</t>
  </si>
  <si>
    <t xml:space="preserve">cointegrated/rubert-tiny-toxicity</t>
  </si>
  <si>
    <t xml:space="preserve">cointegrated</t>
  </si>
  <si>
    <t xml:space="preserve">cointegrated/rubert-tiny</t>
  </si>
  <si>
    <t xml:space="preserve">只支援特定外語</t>
  </si>
  <si>
    <t xml:space="preserve">https://huggingface.co/cointegrated/rubert-tiny-toxicity</t>
  </si>
  <si>
    <t xml:space="preserve">allenai/OLMo-2-1124-7B-Instruct</t>
  </si>
  <si>
    <t xml:space="preserve">allenai/OLMo-2-1124-7B-DPO</t>
  </si>
  <si>
    <t xml:space="preserve">https://huggingface.co/allenai/OLMo-2-1124-7B-Instruct</t>
  </si>
  <si>
    <t xml:space="preserve">lmstudio-community/gemma-4-31B-it-QAT-GGUF</t>
  </si>
  <si>
    <t xml:space="preserve">https://huggingface.co/lmstudio-community/gemma-4-31B-it-QAT-GGUF</t>
  </si>
  <si>
    <t xml:space="preserve">microsoft/kosmos-2.5</t>
  </si>
  <si>
    <t xml:space="preserve">https://huggingface.co/microsoft/kosmos-2.5</t>
  </si>
  <si>
    <t xml:space="preserve">lmstudio-community/gemma-4-26B-A4B-it-MLX-6bit</t>
  </si>
  <si>
    <t xml:space="preserve">https://huggingface.co/lmstudio-community/gemma-4-26B-A4B-it-MLX-6bit</t>
  </si>
  <si>
    <t xml:space="preserve">garak-llm/pegasus_paraphrase</t>
  </si>
  <si>
    <t xml:space="preserve">https://huggingface.co/garak-llm/pegasus_paraphrase</t>
  </si>
  <si>
    <t xml:space="preserve">ggml-org/gemma-4-E2B-it-GGUF</t>
  </si>
  <si>
    <t xml:space="preserve">https://huggingface.co/ggml-org/gemma-4-E2B-it-GGUF</t>
  </si>
  <si>
    <t xml:space="preserve">lmstudio-community/gemma-4-26B-A4B-it-MLX-5bit</t>
  </si>
  <si>
    <t xml:space="preserve">https://huggingface.co/lmstudio-community/gemma-4-26B-A4B-it-MLX-5bit</t>
  </si>
  <si>
    <t xml:space="preserve">minishlab/potion-retrieval-32M</t>
  </si>
  <si>
    <t xml:space="preserve">minishlab/potion-base-32M</t>
  </si>
  <si>
    <t xml:space="preserve">https://huggingface.co/minishlab/potion-retrieval-32M</t>
  </si>
  <si>
    <t xml:space="preserve">TinyLlama/TinyLlama-1.1B-Chat-v1.0</t>
  </si>
  <si>
    <t xml:space="preserve">TinyLlama</t>
  </si>
  <si>
    <t xml:space="preserve">https://huggingface.co/TinyLlama/TinyLlama-1.1B-Chat-v1.0</t>
  </si>
  <si>
    <t xml:space="preserve">lmstudio-community/LFM2.5-1.2B-Instruct-MLX-8bit</t>
  </si>
  <si>
    <t xml:space="preserve">https://huggingface.co/lmstudio-community/LFM2.5-1.2B-Instruct-MLX-8bit</t>
  </si>
  <si>
    <t xml:space="preserve">nvidia/NVIDIA-Nemotron-3.5-Lightning-30B-A3B-NVFP4</t>
  </si>
  <si>
    <t xml:space="preserve">https://huggingface.co/nvidia/NVIDIA-Nemotron-3.5-Lightning-30B-A3B-NVFP4</t>
  </si>
  <si>
    <t xml:space="preserve">MaziyarPanahi/WizardLM-2-7B-GGUF</t>
  </si>
  <si>
    <t xml:space="preserve">microsoft/WizardLM-2-7B</t>
  </si>
  <si>
    <t xml:space="preserve">https://huggingface.co/MaziyarPanahi/WizardLM-2-7B-GGUF</t>
  </si>
  <si>
    <t xml:space="preserve">meta-llama/Llama-2-7b-chat-hf</t>
  </si>
  <si>
    <t xml:space="preserve">https://huggingface.co/meta-llama/Llama-2-7b-chat-hf</t>
  </si>
  <si>
    <t xml:space="preserve">lmstudio-community/gemma-4-31B-it-GGUF</t>
  </si>
  <si>
    <t xml:space="preserve">https://huggingface.co/lmstudio-community/gemma-4-31B-it-GGUF</t>
  </si>
  <si>
    <t xml:space="preserve">google/flan-t5-xl</t>
  </si>
  <si>
    <t xml:space="preserve">https://huggingface.co/google/flan-t5-xl</t>
  </si>
  <si>
    <t xml:space="preserve">unsloth/North-Mini-Code-1.0-GGUF</t>
  </si>
  <si>
    <t xml:space="preserve">CohereLabs/North-Mini-Code-1.0</t>
  </si>
  <si>
    <t xml:space="preserve">https://huggingface.co/unsloth/North-Mini-Code-1.0-GGUF</t>
  </si>
  <si>
    <t xml:space="preserve">lmstudio-community/LFM2.5-1.2B-Instruct-MLX-4bit</t>
  </si>
  <si>
    <t xml:space="preserve">https://huggingface.co/lmstudio-community/LFM2.5-1.2B-Instruct-MLX-4bit</t>
  </si>
  <si>
    <t xml:space="preserve">lmstudio-community/LFM2.5-1.2B-Instruct-MLX-6bit</t>
  </si>
  <si>
    <t xml:space="preserve">https://huggingface.co/lmstudio-community/LFM2.5-1.2B-Instruct-MLX-6bit</t>
  </si>
  <si>
    <t xml:space="preserve">autogluon/chronos-t5-tiny</t>
  </si>
  <si>
    <t xml:space="preserve">https://huggingface.co/autogluon/chronos-t5-tiny</t>
  </si>
  <si>
    <t xml:space="preserve">prism-ml/Ternary-Bonsai-8B-gguf</t>
  </si>
  <si>
    <t xml:space="preserve">prism-ml</t>
  </si>
  <si>
    <t xml:space="preserve">prism-ml/Ternary-Bonsai-8B-unpacked</t>
  </si>
  <si>
    <t xml:space="preserve">https://huggingface.co/prism-ml/Ternary-Bonsai-8B-gguf</t>
  </si>
  <si>
    <t xml:space="preserve">ggml-org/gpt-oss-20b-GGUF</t>
  </si>
  <si>
    <t xml:space="preserve">https://huggingface.co/ggml-org/gpt-oss-20b-GGUF</t>
  </si>
  <si>
    <t xml:space="preserve">mlx-community/Devstral-Small-2-24B-Instruct-2512-4bit</t>
  </si>
  <si>
    <t xml:space="preserve">https://huggingface.co/mlx-community/Devstral-Small-2-24B-Instruct-2512-4bit</t>
  </si>
  <si>
    <t xml:space="preserve">OpenMed/OpenMed-NER-PharmaDetect-SuperClinical-434M</t>
  </si>
  <si>
    <t xml:space="preserve">https://huggingface.co/OpenMed/OpenMed-NER-PharmaDetect-SuperClinical-434M</t>
  </si>
  <si>
    <t xml:space="preserve">zhx123/ftrobertallm</t>
  </si>
  <si>
    <t xml:space="preserve">zhx123</t>
  </si>
  <si>
    <t xml:space="preserve">https://huggingface.co/zhx123/ftrobertallm</t>
  </si>
  <si>
    <t xml:space="preserve">protectai/vishnun-codenlbert-sm-onnx</t>
  </si>
  <si>
    <t xml:space="preserve">vishnun/codenlbert-sm</t>
  </si>
  <si>
    <t xml:space="preserve">https://huggingface.co/protectai/vishnun-codenlbert-sm-onnx</t>
  </si>
  <si>
    <t xml:space="preserve">google/paligemma2-3b-ft-docci-448</t>
  </si>
  <si>
    <t xml:space="preserve">https://huggingface.co/google/paligemma2-3b-ft-docci-448</t>
  </si>
  <si>
    <t xml:space="preserve">ggml-org/gemma-3-1b-it-GGUF</t>
  </si>
  <si>
    <t xml:space="preserve">https://huggingface.co/ggml-org/gemma-3-1b-it-GGUF</t>
  </si>
  <si>
    <t xml:space="preserve">https://huggingface.co/minishlab/potion-base-32M</t>
  </si>
  <si>
    <t xml:space="preserve">bartowski/Phi-3.5-mini-instruct-GGUF</t>
  </si>
  <si>
    <t xml:space="preserve">microsoft/Phi-3.5-mini-instruct</t>
  </si>
  <si>
    <t xml:space="preserve">https://huggingface.co/bartowski/Phi-3.5-mini-instruct-GGUF</t>
  </si>
  <si>
    <t xml:space="preserve">OpenMed/OpenMed-NER-ChemicalDetect-ModernMed-149M</t>
  </si>
  <si>
    <t xml:space="preserve">https://huggingface.co/OpenMed/OpenMed-NER-ChemicalDetect-ModernMed-149M</t>
  </si>
  <si>
    <t xml:space="preserve">OpenMed/OpenMed-NER-BloodCancerDetect-TinyMed-65M</t>
  </si>
  <si>
    <t xml:space="preserve">https://huggingface.co/OpenMed/OpenMed-NER-BloodCancerDetect-TinyMed-65M</t>
  </si>
  <si>
    <t xml:space="preserve">lmstudio-community/gemma-4-26B-A4B-it-GGUF</t>
  </si>
  <si>
    <t xml:space="preserve">https://huggingface.co/lmstudio-community/gemma-4-26B-A4B-it-GGUF</t>
  </si>
  <si>
    <t xml:space="preserve">MongoDB/mdbr-leaf-ir</t>
  </si>
  <si>
    <t xml:space="preserve">MongoDB</t>
  </si>
  <si>
    <t xml:space="preserve">https://huggingface.co/MongoDB/mdbr-leaf-ir</t>
  </si>
  <si>
    <t xml:space="preserve">Jarbas/ovos-model2vec-intents-distiluse-base-multilingual-cased-v2</t>
  </si>
  <si>
    <t xml:space="preserve">Jarbas</t>
  </si>
  <si>
    <t xml:space="preserve">Jarbas/m2v-256-distiluse-base-multilingual-cased-v2</t>
  </si>
  <si>
    <t xml:space="preserve">https://huggingface.co/Jarbas/ovos-model2vec-intents-distiluse-base-multilingual-cased-v2</t>
  </si>
  <si>
    <t xml:space="preserve">HuggingFaceTB/SmolLM-1.7B</t>
  </si>
  <si>
    <t xml:space="preserve">https://huggingface.co/HuggingFaceTB/SmolLM-1.7B</t>
  </si>
  <si>
    <t xml:space="preserve">lmstudio-community/gemma-4-31B-it-MLX-8bit</t>
  </si>
  <si>
    <t xml:space="preserve">https://huggingface.co/lmstudio-community/gemma-4-31B-it-MLX-8bit</t>
  </si>
  <si>
    <t xml:space="preserve">docling-project/docling-layout-heron</t>
  </si>
  <si>
    <t xml:space="preserve">docling-project</t>
  </si>
  <si>
    <t xml:space="preserve">https://huggingface.co/docling-project/docling-layout-heron</t>
  </si>
  <si>
    <t xml:space="preserve">OpenMed/OpenMed-NER-AnatomyDetect-ElectraMed-109M</t>
  </si>
  <si>
    <t xml:space="preserve">https://huggingface.co/OpenMed/OpenMed-NER-AnatomyDetect-ElectraMed-109M</t>
  </si>
  <si>
    <t xml:space="preserve">OpenMed/OpenMed-NER-OncologyDetect-MultiMed-568M</t>
  </si>
  <si>
    <t xml:space="preserve">https://huggingface.co/OpenMed/OpenMed-NER-OncologyDetect-MultiMed-568M</t>
  </si>
  <si>
    <t xml:space="preserve">https://huggingface.co/allenai/Olmo-3-7B-Instruct-DPO</t>
  </si>
  <si>
    <t xml:space="preserve">TheBloke/TinyLlama-1.1B-Chat-v0.3-GPTQ</t>
  </si>
  <si>
    <t xml:space="preserve">TinyLlama/TinyLlama-1.1B-Chat-v0.3</t>
  </si>
  <si>
    <t xml:space="preserve">https://huggingface.co/TheBloke/TinyLlama-1.1B-Chat-v0.3-GPTQ</t>
  </si>
  <si>
    <t xml:space="preserve">nvidia/NVIDIA-Nemotron-3.5-Lightning-30B-A3B-BF16</t>
  </si>
  <si>
    <t xml:space="preserve">https://huggingface.co/nvidia/NVIDIA-Nemotron-3.5-Lightning-30B-A3B-BF16</t>
  </si>
  <si>
    <t xml:space="preserve">Maykeye/TinyLLama-v0</t>
  </si>
  <si>
    <t xml:space="preserve">Maykeye</t>
  </si>
  <si>
    <t xml:space="preserve">https://huggingface.co/Maykeye/TinyLLama-v0</t>
  </si>
  <si>
    <t xml:space="preserve">OpenMed/OpenMed-NER-PathologyDetect-TinyMed-135M</t>
  </si>
  <si>
    <t xml:space="preserve">https://huggingface.co/OpenMed/OpenMed-NER-PathologyDetect-TinyMed-135M</t>
  </si>
  <si>
    <t xml:space="preserve">facebook/bart-large-cnn</t>
  </si>
  <si>
    <t xml:space="preserve">https://huggingface.co/facebook/bart-large-cnn</t>
  </si>
  <si>
    <t xml:space="preserve">OpenMed/OpenMed-NER-ChemicalDetect-ModernMed-395M</t>
  </si>
  <si>
    <t xml:space="preserve">https://huggingface.co/OpenMed/OpenMed-NER-ChemicalDetect-ModernMed-395M</t>
  </si>
  <si>
    <t xml:space="preserve">OpenMed/OpenMed-NER-DNADetect-SuperMedical-125M</t>
  </si>
  <si>
    <t xml:space="preserve">https://huggingface.co/OpenMed/OpenMed-NER-DNADetect-SuperMedical-125M</t>
  </si>
  <si>
    <t xml:space="preserve">unsloth/diffusiongemma-26B-A4B-it-GGUF</t>
  </si>
  <si>
    <t xml:space="preserve">https://huggingface.co/unsloth/diffusiongemma-26B-A4B-it-GGUF</t>
  </si>
  <si>
    <t xml:space="preserve">OpenMed/OpenMed-NER-OncologyDetect-BigMed-278M</t>
  </si>
  <si>
    <t xml:space="preserve">https://huggingface.co/OpenMed/OpenMed-NER-OncologyDetect-BigMed-278M</t>
  </si>
  <si>
    <t xml:space="preserve">OpenMed/OpenMed-NER-SpeciesDetect-ElectraMed-109M</t>
  </si>
  <si>
    <t xml:space="preserve">https://huggingface.co/OpenMed/OpenMed-NER-SpeciesDetect-ElectraMed-109M</t>
  </si>
  <si>
    <t xml:space="preserve">lmstudio-community/gemma-4-12B-it-GGUF</t>
  </si>
  <si>
    <t xml:space="preserve">https://huggingface.co/lmstudio-community/gemma-4-12B-it-GGUF</t>
  </si>
  <si>
    <t xml:space="preserve">RedHatAI/Llama-3.2-1B-Instruct-FP8</t>
  </si>
  <si>
    <t xml:space="preserve">https://huggingface.co/RedHatAI/Llama-3.2-1B-Instruct-FP8</t>
  </si>
  <si>
    <t xml:space="preserve">unsloth/Ministral-3-3B-Instruct-2512-GGUF</t>
  </si>
  <si>
    <t xml:space="preserve">https://huggingface.co/unsloth/Ministral-3-3B-Instruct-2512-GGUF</t>
  </si>
  <si>
    <t xml:space="preserve">florence-community/Florence-2-large</t>
  </si>
  <si>
    <t xml:space="preserve">florence-community</t>
  </si>
  <si>
    <t xml:space="preserve">https://huggingface.co/florence-community/Florence-2-large</t>
  </si>
  <si>
    <t xml:space="preserve">google/t5gemma-2-1b-1b</t>
  </si>
  <si>
    <t xml:space="preserve">https://huggingface.co/google/t5gemma-2-1b-1b</t>
  </si>
  <si>
    <t xml:space="preserve">lmstudio-community/gemma-4-12B-it-MLX-4bit</t>
  </si>
  <si>
    <t xml:space="preserve">https://huggingface.co/lmstudio-community/gemma-4-12B-it-MLX-4bit</t>
  </si>
  <si>
    <t xml:space="preserve">OpenMed/OpenMed-NER-PharmaDetect-BigMed-278M</t>
  </si>
  <si>
    <t xml:space="preserve">https://huggingface.co/OpenMed/OpenMed-NER-PharmaDetect-BigMed-278M</t>
  </si>
  <si>
    <t xml:space="preserve">OpenMed/OpenMed-NER-OrganismDetect-BioPatient-108M</t>
  </si>
  <si>
    <t xml:space="preserve">https://huggingface.co/OpenMed/OpenMed-NER-OrganismDetect-BioPatient-108M</t>
  </si>
  <si>
    <t xml:space="preserve">Intel/gemma-4-31B-it-int4-AutoRound</t>
  </si>
  <si>
    <t xml:space="preserve">Intel</t>
  </si>
  <si>
    <t xml:space="preserve">https://huggingface.co/Intel/gemma-4-31B-it-int4-AutoRound</t>
  </si>
  <si>
    <t xml:space="preserve">lmstudio-community/gemma-4-12B-it-MLX-8bit</t>
  </si>
  <si>
    <t xml:space="preserve">https://huggingface.co/lmstudio-community/gemma-4-12B-it-MLX-8bit</t>
  </si>
  <si>
    <t xml:space="preserve">OpenMed/OpenMed-NER-ChemicalDetect-MultiMed-568M</t>
  </si>
  <si>
    <t xml:space="preserve">https://huggingface.co/OpenMed/OpenMed-NER-ChemicalDetect-MultiMed-568M</t>
  </si>
  <si>
    <t xml:space="preserve">OpenMed/OpenMed-NER-OrganismDetect-TinyMed-82M</t>
  </si>
  <si>
    <t xml:space="preserve">https://huggingface.co/OpenMed/OpenMed-NER-OrganismDetect-TinyMed-82M</t>
  </si>
  <si>
    <t xml:space="preserve">lmstudio-community/gemma-4-12B-it-MLX-6bit</t>
  </si>
  <si>
    <t xml:space="preserve">https://huggingface.co/lmstudio-community/gemma-4-12B-it-MLX-6bit</t>
  </si>
  <si>
    <t xml:space="preserve">lmstudio-community/gemma-4-12B-it-MLX-5bit</t>
  </si>
  <si>
    <t xml:space="preserve">https://huggingface.co/lmstudio-community/gemma-4-12B-it-MLX-5bit</t>
  </si>
  <si>
    <t xml:space="preserve">google/timesfm-2.0-500m-pytorch</t>
  </si>
  <si>
    <t xml:space="preserve">https://huggingface.co/google/timesfm-2.0-500m-pytorch</t>
  </si>
  <si>
    <t xml:space="preserve">lmstudio-community/Ministral-3-3B-Instruct-2512-GGUF</t>
  </si>
  <si>
    <t xml:space="preserve">https://huggingface.co/lmstudio-community/Ministral-3-3B-Instruct-2512-GGUF</t>
  </si>
  <si>
    <t xml:space="preserve">HuggingFaceTB/SmolLM-135M-Instruct</t>
  </si>
  <si>
    <t xml:space="preserve">https://huggingface.co/HuggingFaceTB/SmolLM-135M-Instruct</t>
  </si>
  <si>
    <t xml:space="preserve">mistralai/Mistral-Small-4-119B-2603</t>
  </si>
  <si>
    <r>
      <rPr>
        <sz val="11"/>
        <color rgb="FF000000"/>
        <rFont val="Calibri"/>
        <family val="0"/>
        <charset val="1"/>
      </rPr>
      <t xml:space="preserve">1,000 </t>
    </r>
    <r>
      <rPr>
        <sz val="11"/>
        <color rgb="FF000000"/>
        <rFont val="Noto Sans CJK SC"/>
        <family val="2"/>
      </rPr>
      <t xml:space="preserve">億以上</t>
    </r>
  </si>
  <si>
    <t xml:space="preserve">https://huggingface.co/mistralai/Mistral-Small-4-119B-2603</t>
  </si>
  <si>
    <t xml:space="preserve">OpenMed/OpenMed-NER-ChemicalDetect-BigMed-560M</t>
  </si>
  <si>
    <t xml:space="preserve">https://huggingface.co/OpenMed/OpenMed-NER-ChemicalDetect-BigMed-560M</t>
  </si>
  <si>
    <t xml:space="preserve">OpenMed/OpenMed-NER-PharmaDetect-ModernClinical-149M</t>
  </si>
  <si>
    <t xml:space="preserve">https://huggingface.co/OpenMed/OpenMed-NER-PharmaDetect-ModernClinical-149M</t>
  </si>
  <si>
    <t xml:space="preserve">garak-llm/refutation_detector_distilbert</t>
  </si>
  <si>
    <t xml:space="preserve">https://huggingface.co/garak-llm/refutation_detector_distilbert</t>
  </si>
  <si>
    <t xml:space="preserve">OpenMed/OpenMed-NER-GenomeDetect-ModernMed-149M</t>
  </si>
  <si>
    <t xml:space="preserve">https://huggingface.co/OpenMed/OpenMed-NER-GenomeDetect-ModernMed-149M</t>
  </si>
  <si>
    <t xml:space="preserve">microsoft/bitnet-b1.58-2B-4T-gguf</t>
  </si>
  <si>
    <t xml:space="preserve">https://huggingface.co/microsoft/bitnet-b1.58-2B-4T-gguf</t>
  </si>
  <si>
    <t xml:space="preserve">bartowski/google_gemma-4-26B-A4B-it-GGUF</t>
  </si>
  <si>
    <t xml:space="preserve">https://huggingface.co/bartowski/google_gemma-4-26B-A4B-it-GGUF</t>
  </si>
  <si>
    <t xml:space="preserve">OpenMed/OpenMed-NER-DiseaseDetect-ElectraMed-109M</t>
  </si>
  <si>
    <t xml:space="preserve">https://huggingface.co/OpenMed/OpenMed-NER-DiseaseDetect-ElectraMed-109M</t>
  </si>
  <si>
    <t xml:space="preserve">OpenMed/OpenMed-NER-ProteinDetect-SuperClinical-141M</t>
  </si>
  <si>
    <t xml:space="preserve">https://huggingface.co/OpenMed/OpenMed-NER-ProteinDetect-SuperClinical-141M</t>
  </si>
  <si>
    <t xml:space="preserve">deepset/xlm-roberta-large-squad2</t>
  </si>
  <si>
    <t xml:space="preserve">deepset</t>
  </si>
  <si>
    <t xml:space="preserve">cc-by-4.0</t>
  </si>
  <si>
    <t xml:space="preserve">https://huggingface.co/deepset/xlm-roberta-large-squad2</t>
  </si>
  <si>
    <t xml:space="preserve">RedHatAI/Meta-Llama-3.1-8B-Instruct-FP8</t>
  </si>
  <si>
    <t xml:space="preserve">https://huggingface.co/RedHatAI/Meta-Llama-3.1-8B-Instruct-FP8</t>
  </si>
  <si>
    <t xml:space="preserve">OpenMed/OpenMed-NER-GenomicDetect-BigMed-560M</t>
  </si>
  <si>
    <t xml:space="preserve">https://huggingface.co/OpenMed/OpenMed-NER-GenomicDetect-BigMed-560M</t>
  </si>
  <si>
    <t xml:space="preserve">ggml-org/embeddinggemma-300m-qat-q8_0-GGUF</t>
  </si>
  <si>
    <t xml:space="preserve">google/embeddinggemma-300m-qat-q8_0-unquantized</t>
  </si>
  <si>
    <t xml:space="preserve">https://huggingface.co/ggml-org/embeddinggemma-300m-qat-q8_0-GGUF</t>
  </si>
  <si>
    <t xml:space="preserve">OpenMed/OpenMed-NER-BloodCancerDetect-ElectraMed-560M</t>
  </si>
  <si>
    <t xml:space="preserve">https://huggingface.co/OpenMed/OpenMed-NER-BloodCancerDetect-ElectraMed-560M</t>
  </si>
  <si>
    <t xml:space="preserve">RedHatAI/gemma-4-12B-it-NVFP4</t>
  </si>
  <si>
    <t xml:space="preserve">https://huggingface.co/RedHatAI/gemma-4-12B-it-NVFP4</t>
  </si>
  <si>
    <t xml:space="preserve">tiiuae/falcon-mamba-7b</t>
  </si>
  <si>
    <t xml:space="preserve">https://huggingface.co/tiiuae/falcon-mamba-7b</t>
  </si>
  <si>
    <t xml:space="preserve">urchade/gliner_large-v2</t>
  </si>
  <si>
    <t xml:space="preserve">https://huggingface.co/urchade/gliner_large-v2</t>
  </si>
  <si>
    <t xml:space="preserve">google-t5/t5-small</t>
  </si>
  <si>
    <t xml:space="preserve">google-t5</t>
  </si>
  <si>
    <t xml:space="preserve">https://huggingface.co/google-t5/t5-small</t>
  </si>
  <si>
    <t xml:space="preserve">zenmagnets/Nemotron-3-Embed-1B-Q4_K_M-GGUF</t>
  </si>
  <si>
    <t xml:space="preserve">zenmagnets</t>
  </si>
  <si>
    <t xml:space="preserve">https://huggingface.co/zenmagnets/Nemotron-3-Embed-1B-Q4_K_M-GGUF</t>
  </si>
  <si>
    <t xml:space="preserve">OpenMed/OpenMed-NER-GenomeDetect-ModernMed-395M</t>
  </si>
  <si>
    <t xml:space="preserve">https://huggingface.co/OpenMed/OpenMed-NER-GenomeDetect-ModernMed-395M</t>
  </si>
  <si>
    <t xml:space="preserve">OpenMed/OpenMed-NER-SpeciesDetect-ModernClinical-395M</t>
  </si>
  <si>
    <t xml:space="preserve">https://huggingface.co/OpenMed/OpenMed-NER-SpeciesDetect-ModernClinical-395M</t>
  </si>
  <si>
    <t xml:space="preserve">deepset/roberta-base-squad2</t>
  </si>
  <si>
    <t xml:space="preserve">https://huggingface.co/deepset/roberta-base-squad2</t>
  </si>
  <si>
    <t xml:space="preserve">adibvafa/CodonTransformer</t>
  </si>
  <si>
    <t xml:space="preserve">adibvafa</t>
  </si>
  <si>
    <t xml:space="preserve">https://huggingface.co/adibvafa/CodonTransformer</t>
  </si>
  <si>
    <t xml:space="preserve">TechWolf/JobBERT-v3</t>
  </si>
  <si>
    <t xml:space="preserve">TechWolf</t>
  </si>
  <si>
    <t xml:space="preserve">https://huggingface.co/TechWolf/JobBERT-v3</t>
  </si>
  <si>
    <t xml:space="preserve">mlx-community/Ministral-3-3B-Instruct-2512-4bit</t>
  </si>
  <si>
    <t xml:space="preserve">https://huggingface.co/mlx-community/Ministral-3-3B-Instruct-2512-4bit</t>
  </si>
  <si>
    <t xml:space="preserve">braindecode/signal-jepa_without-chans</t>
  </si>
  <si>
    <t xml:space="preserve">braindecode</t>
  </si>
  <si>
    <t xml:space="preserve">https://huggingface.co/braindecode/signal-jepa_without-chans</t>
  </si>
  <si>
    <t xml:space="preserve">Xenova/all-MiniLM-L6-v2</t>
  </si>
  <si>
    <t xml:space="preserve">Xenova</t>
  </si>
  <si>
    <t xml:space="preserve">https://huggingface.co/Xenova/all-MiniLM-L6-v2</t>
  </si>
  <si>
    <t xml:space="preserve">TheBloke/Mistral-7B-Instruct-v0.2-GGUF</t>
  </si>
  <si>
    <t xml:space="preserve">https://huggingface.co/TheBloke/Mistral-7B-Instruct-v0.2-GGUF</t>
  </si>
  <si>
    <t xml:space="preserve">OpenMed/OpenMed-NER-OncologyDetect-SuperClinical-434M</t>
  </si>
  <si>
    <t xml:space="preserve">https://huggingface.co/OpenMed/OpenMed-NER-OncologyDetect-SuperClinical-434M</t>
  </si>
  <si>
    <t xml:space="preserve">https://huggingface.co/openai/gpt-oss-120b</t>
  </si>
  <si>
    <t xml:space="preserve">sentence-transformers/multi-qa-MiniLM-L6-dot-v1</t>
  </si>
  <si>
    <t xml:space="preserve">https://huggingface.co/sentence-transformers/multi-qa-MiniLM-L6-dot-v1</t>
  </si>
  <si>
    <t xml:space="preserve">OpenMed/OpenMed-NER-SpeciesDetect-ModernMed-149M</t>
  </si>
  <si>
    <t xml:space="preserve">https://huggingface.co/OpenMed/OpenMed-NER-SpeciesDetect-ModernMed-149M</t>
  </si>
  <si>
    <t xml:space="preserve">OpenMed/OpenMed-NER-PharmaDetect-BioPatient-108M</t>
  </si>
  <si>
    <t xml:space="preserve">https://huggingface.co/OpenMed/OpenMed-NER-PharmaDetect-BioPatient-108M</t>
  </si>
  <si>
    <t xml:space="preserve">unsloth/gemma-4-E4B-it-NVFP4</t>
  </si>
  <si>
    <t xml:space="preserve">https://huggingface.co/unsloth/gemma-4-E4B-it-NVFP4</t>
  </si>
  <si>
    <t xml:space="preserve">OpenMed/OpenMed-NER-DiseaseDetect-SuperClinical-434M</t>
  </si>
  <si>
    <t xml:space="preserve">https://huggingface.co/OpenMed/OpenMed-NER-DiseaseDetect-SuperClinical-434M</t>
  </si>
  <si>
    <t xml:space="preserve">OpenMed/OpenMed-NER-PharmaDetect-BigMed-560M</t>
  </si>
  <si>
    <t xml:space="preserve">https://huggingface.co/OpenMed/OpenMed-NER-PharmaDetect-BigMed-560M</t>
  </si>
  <si>
    <t xml:space="preserve">nm-testing/SmolLM-1.7B-Instruct-quantized.w4a16</t>
  </si>
  <si>
    <t xml:space="preserve">nm-testing</t>
  </si>
  <si>
    <t xml:space="preserve">https://huggingface.co/nm-testing/SmolLM-1.7B-Instruct-quantized.w4a16</t>
  </si>
  <si>
    <t xml:space="preserve">lmstudio-community/gemma-4-31B-it-MLX-4bit</t>
  </si>
  <si>
    <t xml:space="preserve">https://huggingface.co/lmstudio-community/gemma-4-31B-it-MLX-4bit</t>
  </si>
  <si>
    <t xml:space="preserve">allenai/OLMo-1B-hf</t>
  </si>
  <si>
    <t xml:space="preserve">https://huggingface.co/allenai/OLMo-1B-hf</t>
  </si>
  <si>
    <t xml:space="preserve">unsloth/gpt-oss-20b-BF16</t>
  </si>
  <si>
    <t xml:space="preserve">https://huggingface.co/unsloth/gpt-oss-20b-BF16</t>
  </si>
  <si>
    <t xml:space="preserve">facebook/roberta-hate-speech-dynabench-r4-target</t>
  </si>
  <si>
    <t xml:space="preserve">https://huggingface.co/facebook/roberta-hate-speech-dynabench-r4-target</t>
  </si>
  <si>
    <t xml:space="preserve">sentence-transformers/multi-qa-mpnet-base-cos-v1</t>
  </si>
  <si>
    <t xml:space="preserve">https://huggingface.co/sentence-transformers/multi-qa-mpnet-base-cos-v1</t>
  </si>
  <si>
    <t xml:space="preserve">google/gemma-2b-it</t>
  </si>
  <si>
    <t xml:space="preserve">https://huggingface.co/google/gemma-2b-it</t>
  </si>
  <si>
    <t xml:space="preserve">https://huggingface.co/google/gemma-2-9b</t>
  </si>
  <si>
    <t xml:space="preserve">EleutherAI/pythia-1.4b-deduped</t>
  </si>
  <si>
    <t xml:space="preserve">https://huggingface.co/EleutherAI/pythia-1.4b-deduped</t>
  </si>
  <si>
    <t xml:space="preserve">garak-llm/chatgpt_paraphraser_on_T5_base</t>
  </si>
  <si>
    <t xml:space="preserve">openrail</t>
  </si>
  <si>
    <t xml:space="preserve">https://huggingface.co/garak-llm/chatgpt_paraphraser_on_T5_base</t>
  </si>
  <si>
    <t xml:space="preserve">HuggingFaceBio/Carbon-8B-GGUF</t>
  </si>
  <si>
    <t xml:space="preserve">HuggingFaceBio</t>
  </si>
  <si>
    <t xml:space="preserve">HuggingFaceBio/Carbon-8B</t>
  </si>
  <si>
    <t xml:space="preserve">https://huggingface.co/HuggingFaceBio/Carbon-8B-GGUF</t>
  </si>
  <si>
    <t xml:space="preserve">cambridgeltl/SapBERT-from-PubMedBERT-fulltext</t>
  </si>
  <si>
    <t xml:space="preserve">cambridgeltl</t>
  </si>
  <si>
    <t xml:space="preserve">https://huggingface.co/cambridgeltl/SapBERT-from-PubMedBERT-fulltext</t>
  </si>
  <si>
    <t xml:space="preserve">cyankiwi/Ministral-3-8B-Reasoning-2512-AWQ-4bit</t>
  </si>
  <si>
    <t xml:space="preserve">cyankiwi</t>
  </si>
  <si>
    <t xml:space="preserve">https://huggingface.co/cyankiwi/Ministral-3-8B-Reasoning-2512-AWQ-4bit</t>
  </si>
  <si>
    <t xml:space="preserve">dbmdz/bert-large-cased-finetuned-conll03-english</t>
  </si>
  <si>
    <t xml:space="preserve">dbmdz</t>
  </si>
  <si>
    <t xml:space="preserve">https://huggingface.co/dbmdz/bert-large-cased-finetuned-conll03-english</t>
  </si>
  <si>
    <t xml:space="preserve">minishlab/M2V_multilingual_output</t>
  </si>
  <si>
    <t xml:space="preserve">https://huggingface.co/minishlab/M2V_multilingual_output</t>
  </si>
  <si>
    <t xml:space="preserve">mradermacher/AdaVaR-3B-GGUF</t>
  </si>
  <si>
    <t xml:space="preserve">mradermacher</t>
  </si>
  <si>
    <t xml:space="preserve">ZejunLi/AdaVaR-3B</t>
  </si>
  <si>
    <t xml:space="preserve">https://huggingface.co/mradermacher/AdaVaR-3B-GGUF</t>
  </si>
  <si>
    <t xml:space="preserve">autogluon/chronos-t5-base</t>
  </si>
  <si>
    <t xml:space="preserve">https://huggingface.co/autogluon/chronos-t5-base</t>
  </si>
  <si>
    <t xml:space="preserve">speakleash/Bielik-11B-v3.0-Instruct</t>
  </si>
  <si>
    <t xml:space="preserve">speakleash</t>
  </si>
  <si>
    <t xml:space="preserve">speakleash/Bielik-11B-v3-Base-20250730</t>
  </si>
  <si>
    <t xml:space="preserve">https://huggingface.co/speakleash/Bielik-11B-v3.0-Instruct</t>
  </si>
  <si>
    <t xml:space="preserve">google/paligemma2-3b-pt-448</t>
  </si>
  <si>
    <t xml:space="preserve">https://huggingface.co/google/paligemma2-3b-pt-448</t>
  </si>
  <si>
    <t xml:space="preserve">gabor-hosu/e5-mistral-7b-instruct-bnb-4bit</t>
  </si>
  <si>
    <t xml:space="preserve">gabor-hosu</t>
  </si>
  <si>
    <t xml:space="preserve">https://huggingface.co/gabor-hosu/e5-mistral-7b-instruct-bnb-4bit</t>
  </si>
  <si>
    <t xml:space="preserve">unsloth/SmolLM2-135M-Instruct-GGUF</t>
  </si>
  <si>
    <t xml:space="preserve">https://huggingface.co/unsloth/SmolLM2-135M-Instruct-GGUF</t>
  </si>
  <si>
    <t xml:space="preserve">unsloth/gemma-3-270m-it-GGUF</t>
  </si>
  <si>
    <t xml:space="preserve">https://huggingface.co/unsloth/gemma-3-270m-it-GGUF</t>
  </si>
  <si>
    <t xml:space="preserve">madhurjindal/autonlp-Gibberish-Detector-492513457</t>
  </si>
  <si>
    <t xml:space="preserve">madhurjindal</t>
  </si>
  <si>
    <t xml:space="preserve">https://huggingface.co/madhurjindal/autonlp-Gibberish-Detector-492513457</t>
  </si>
  <si>
    <t xml:space="preserve">EleutherAI/pythia-2.8b</t>
  </si>
  <si>
    <t xml:space="preserve">https://huggingface.co/EleutherAI/pythia-2.8b</t>
  </si>
  <si>
    <t xml:space="preserve">HuggingFaceBio/Carbon-3B-GGUF</t>
  </si>
  <si>
    <t xml:space="preserve">HuggingFaceBio/Carbon-3B</t>
  </si>
  <si>
    <t xml:space="preserve">https://huggingface.co/HuggingFaceBio/Carbon-3B-GGUF</t>
  </si>
  <si>
    <t xml:space="preserve">https://huggingface.co/answerdotai/ModernBERT-base</t>
  </si>
  <si>
    <t xml:space="preserve">second-state/All-MiniLM-L6-v2-Embedding-GGUF</t>
  </si>
  <si>
    <t xml:space="preserve">second-state</t>
  </si>
  <si>
    <t xml:space="preserve">https://huggingface.co/second-state/All-MiniLM-L6-v2-Embedding-GGUF</t>
  </si>
  <si>
    <t xml:space="preserve">RedHatAI/gemma-4-12B-it-FP8-Dynamic</t>
  </si>
  <si>
    <t xml:space="preserve">https://huggingface.co/RedHatAI/gemma-4-12B-it-FP8-Dynamic</t>
  </si>
  <si>
    <t xml:space="preserve">KoalaAI/Text-Moderation</t>
  </si>
  <si>
    <t xml:space="preserve">KoalaAI</t>
  </si>
  <si>
    <t xml:space="preserve">https://huggingface.co/KoalaAI/Text-Moderation</t>
  </si>
  <si>
    <t xml:space="preserve">https://huggingface.co/HuggingFaceTB/SmolVLM-Instruct</t>
  </si>
  <si>
    <t xml:space="preserve">Salesforce/instructblip-flan-t5-xl</t>
  </si>
  <si>
    <t xml:space="preserve">https://huggingface.co/Salesforce/instructblip-flan-t5-xl</t>
  </si>
  <si>
    <t xml:space="preserve">OpenMed/OpenMed-NER-ProteinDetect-SnowMed-568M</t>
  </si>
  <si>
    <t xml:space="preserve">https://huggingface.co/OpenMed/OpenMed-NER-ProteinDetect-SnowMed-568M</t>
  </si>
  <si>
    <t xml:space="preserve">OpenMed/OpenMed-NER-GenomicDetect-SnowMed-568M</t>
  </si>
  <si>
    <t xml:space="preserve">https://huggingface.co/OpenMed/OpenMed-NER-GenomicDetect-SnowMed-568M</t>
  </si>
  <si>
    <t xml:space="preserve">facebook/esm2_t33_650M_UR50D</t>
  </si>
  <si>
    <t xml:space="preserve">https://huggingface.co/facebook/esm2_t33_650M_UR50D</t>
  </si>
  <si>
    <t xml:space="preserve">cyankiwi/gemma-4-26B-A4B-it-AWQ-4bit</t>
  </si>
  <si>
    <t xml:space="preserve">https://huggingface.co/cyankiwi/gemma-4-26B-A4B-it-AWQ-4bit</t>
  </si>
  <si>
    <t xml:space="preserve">OpenMed/OpenMed-NER-PathologyDetect-BigMed-560M</t>
  </si>
  <si>
    <t xml:space="preserve">https://huggingface.co/OpenMed/OpenMed-NER-PathologyDetect-BigMed-560M</t>
  </si>
  <si>
    <t xml:space="preserve">lmstudio-community/gemma-4-31B-it-MLX-6bit</t>
  </si>
  <si>
    <t xml:space="preserve">https://huggingface.co/lmstudio-community/gemma-4-31B-it-MLX-6bit</t>
  </si>
  <si>
    <t xml:space="preserve">OpenMed/OpenMed-NER-PharmaDetect-SuperMedical-125M</t>
  </si>
  <si>
    <t xml:space="preserve">https://huggingface.co/OpenMed/OpenMed-NER-PharmaDetect-SuperMedical-125M</t>
  </si>
  <si>
    <t xml:space="preserve">bartowski/Fara1.5-9B-GGUF</t>
  </si>
  <si>
    <t xml:space="preserve">microsoft/Fara1.5-9B</t>
  </si>
  <si>
    <t xml:space="preserve">https://huggingface.co/bartowski/Fara1.5-9B-GGUF</t>
  </si>
  <si>
    <t xml:space="preserve">tomaarsen/span-marker-bert-base-uncased-acronyms</t>
  </si>
  <si>
    <t xml:space="preserve">tomaarsen</t>
  </si>
  <si>
    <t xml:space="preserve">https://huggingface.co/tomaarsen/span-marker-bert-base-uncased-acronyms</t>
  </si>
  <si>
    <t xml:space="preserve">ibm-granite/granite-timeseries-patchtst-fm-r1</t>
  </si>
  <si>
    <t xml:space="preserve">https://huggingface.co/ibm-granite/granite-timeseries-patchtst-fm-r1</t>
  </si>
  <si>
    <t xml:space="preserve">OpenMed/OpenMed-NER-OncologyDetect-SuperMedical-355M</t>
  </si>
  <si>
    <t xml:space="preserve">https://huggingface.co/OpenMed/OpenMed-NER-OncologyDetect-SuperMedical-355M</t>
  </si>
  <si>
    <t xml:space="preserve">protectai/MoritzLaurer-roberta-base-zeroshot-v2.0-c-onnx</t>
  </si>
  <si>
    <t xml:space="preserve">MoritzLaurer/roberta-base-zeroshot-v2.0-c</t>
  </si>
  <si>
    <t xml:space="preserve">https://huggingface.co/protectai/MoritzLaurer-roberta-base-zeroshot-v2.0-c-onnx</t>
  </si>
  <si>
    <t xml:space="preserve">google/t5gemma-2b-2b-ul2-it</t>
  </si>
  <si>
    <t xml:space="preserve">google/t5gemma-2b-2b-ul2</t>
  </si>
  <si>
    <t xml:space="preserve">https://huggingface.co/google/t5gemma-2b-2b-ul2-it</t>
  </si>
  <si>
    <t xml:space="preserve">lmstudio-community/gemma-4-31B-it-MLX-5bit</t>
  </si>
  <si>
    <t xml:space="preserve">https://huggingface.co/lmstudio-community/gemma-4-31B-it-MLX-5bit</t>
  </si>
  <si>
    <t xml:space="preserve">tiiuae/Falcon-H1-0.5B-Instruct</t>
  </si>
  <si>
    <t xml:space="preserve">https://huggingface.co/tiiuae/Falcon-H1-0.5B-Instruct</t>
  </si>
  <si>
    <t xml:space="preserve">Zyphra/Zamba2-1.2B-instruct</t>
  </si>
  <si>
    <t xml:space="preserve">Zyphra</t>
  </si>
  <si>
    <t xml:space="preserve">Zyphra/Zamba2-1.2B</t>
  </si>
  <si>
    <t xml:space="preserve">https://huggingface.co/Zyphra/Zamba2-1.2B-instruct</t>
  </si>
  <si>
    <t xml:space="preserve">EleutherAI/gpt-neo-1.3B</t>
  </si>
  <si>
    <t xml:space="preserve">https://huggingface.co/EleutherAI/gpt-neo-1.3B</t>
  </si>
  <si>
    <t xml:space="preserve">cyankiwi/gemma-4-E4B-it-AWQ-INT4</t>
  </si>
  <si>
    <t xml:space="preserve">https://huggingface.co/cyankiwi/gemma-4-E4B-it-AWQ-INT4</t>
  </si>
  <si>
    <t xml:space="preserve">OpenMed/OpenMed-NER-DiseaseDetect-TinyMed-135M</t>
  </si>
  <si>
    <t xml:space="preserve">https://huggingface.co/OpenMed/OpenMed-NER-DiseaseDetect-TinyMed-135M</t>
  </si>
  <si>
    <t xml:space="preserve">bigscience/bloom-1b7</t>
  </si>
  <si>
    <t xml:space="preserve">https://huggingface.co/bigscience/bloom-1b7</t>
  </si>
  <si>
    <t xml:space="preserve">microsoft/VibeVoice-ASR-HF</t>
  </si>
  <si>
    <t xml:space="preserve">https://huggingface.co/microsoft/VibeVoice-ASR-HF</t>
  </si>
  <si>
    <t xml:space="preserve">classla/multilingual-IPTC-news-topic-classifier</t>
  </si>
  <si>
    <t xml:space="preserve">classla</t>
  </si>
  <si>
    <t xml:space="preserve">cc-by-sa-4.0</t>
  </si>
  <si>
    <t xml:space="preserve">相同方式分享</t>
  </si>
  <si>
    <t xml:space="preserve">https://huggingface.co/classla/multilingual-IPTC-news-topic-classifier</t>
  </si>
  <si>
    <t xml:space="preserve">HuggingFaceTB/SmolLM-360M</t>
  </si>
  <si>
    <t xml:space="preserve">https://huggingface.co/HuggingFaceTB/SmolLM-360M</t>
  </si>
  <si>
    <t xml:space="preserve">LiquidAI/LFM2.5-24B-A2B-GGUF</t>
  </si>
  <si>
    <t xml:space="preserve">LiquidAI/LFM2.5-24B-A2B</t>
  </si>
  <si>
    <t xml:space="preserve">https://huggingface.co/LiquidAI/LFM2.5-24B-A2B-GGUF</t>
  </si>
  <si>
    <t xml:space="preserve">onnx-community/embeddinggemma-2-ONNX</t>
  </si>
  <si>
    <t xml:space="preserve">https://huggingface.co/onnx-community/embeddinggemma-2-ONNX</t>
  </si>
  <si>
    <t xml:space="preserve">OpenMed/OpenMed-NER-GenomeDetect-SuperClinical-434M</t>
  </si>
  <si>
    <t xml:space="preserve">https://huggingface.co/OpenMed/OpenMed-NER-GenomeDetect-SuperClinical-434M</t>
  </si>
  <si>
    <t xml:space="preserve">Comfy-Org/ltx-2.3</t>
  </si>
  <si>
    <t xml:space="preserve">AviadDahan/LTX-2.3-ID-LoRA-CelebVHQ-3K</t>
  </si>
  <si>
    <t xml:space="preserve">https://huggingface.co/Comfy-Org/ltx-2.3</t>
  </si>
  <si>
    <t xml:space="preserve">opensearch-project/opensearch-neural-sparse-encoding-doc-v2-distill</t>
  </si>
  <si>
    <t xml:space="preserve">opensearch-project</t>
  </si>
  <si>
    <t xml:space="preserve">https://huggingface.co/opensearch-project/opensearch-neural-sparse-encoding-doc-v2-distill</t>
  </si>
  <si>
    <t xml:space="preserve">buildborderless/CommunityForensics-DeepfakeDet-ViT</t>
  </si>
  <si>
    <t xml:space="preserve">buildborderless</t>
  </si>
  <si>
    <t xml:space="preserve">timm/vit_small_patch16_384.augreg_in21k_ft_in1k</t>
  </si>
  <si>
    <t xml:space="preserve">https://huggingface.co/buildborderless/CommunityForensics-DeepfakeDet-ViT</t>
  </si>
  <si>
    <t xml:space="preserve">nvidia/NVIDIA-Nemotron-3-Ultra-550B-A55B-BF16</t>
  </si>
  <si>
    <t xml:space="preserve">https://huggingface.co/nvidia/NVIDIA-Nemotron-3-Ultra-550B-A55B-BF16</t>
  </si>
  <si>
    <t xml:space="preserve">OpenMed/OpenMed-NER-AnatomyDetect-SuperClinical-434M</t>
  </si>
  <si>
    <t xml:space="preserve">https://huggingface.co/OpenMed/OpenMed-NER-AnatomyDetect-SuperClinical-434M</t>
  </si>
  <si>
    <t xml:space="preserve">OpenMed/OpenMed-NER-BloodCancerDetect-SnowMed-568M</t>
  </si>
  <si>
    <t xml:space="preserve">https://huggingface.co/OpenMed/OpenMed-NER-BloodCancerDetect-SnowMed-568M</t>
  </si>
  <si>
    <t xml:space="preserve">Falconsai/nsfw_image_detection</t>
  </si>
  <si>
    <t xml:space="preserve">Falconsai</t>
  </si>
  <si>
    <t xml:space="preserve">https://huggingface.co/Falconsai/nsfw_image_detection</t>
  </si>
  <si>
    <t xml:space="preserve">answerdotai/ModernBERT-large</t>
  </si>
  <si>
    <t xml:space="preserve">https://huggingface.co/answerdotai/ModernBERT-large</t>
  </si>
  <si>
    <t xml:space="preserve">OpenMed/OpenMed-NER-GenomeDetect-ElectraMed-560M</t>
  </si>
  <si>
    <t xml:space="preserve">https://huggingface.co/OpenMed/OpenMed-NER-GenomeDetect-ElectraMed-560M</t>
  </si>
  <si>
    <t xml:space="preserve">OpenMed/OpenMed-NER-DNADetect-SnowMed-568M</t>
  </si>
  <si>
    <t xml:space="preserve">https://huggingface.co/OpenMed/OpenMed-NER-DNADetect-SnowMed-568M</t>
  </si>
  <si>
    <t xml:space="preserve">OpenMed/OpenMed-NER-DiseaseDetect-ElectraMed-560M</t>
  </si>
  <si>
    <t xml:space="preserve">https://huggingface.co/OpenMed/OpenMed-NER-DiseaseDetect-ElectraMed-560M</t>
  </si>
  <si>
    <t xml:space="preserve">unsloth/gpt-oss-20b-unsloth-bnb-4bit</t>
  </si>
  <si>
    <t xml:space="preserve">https://huggingface.co/unsloth/gpt-oss-20b-unsloth-bnb-4bit</t>
  </si>
  <si>
    <t xml:space="preserve">bigcode/gpt_bigcode-santacoder</t>
  </si>
  <si>
    <t xml:space="preserve">https://huggingface.co/bigcode/gpt_bigcode-santacoder</t>
  </si>
  <si>
    <t xml:space="preserve">OpenMed/OpenMed-NER-PathologyDetect-SnowMed-568M</t>
  </si>
  <si>
    <t xml:space="preserve">https://huggingface.co/OpenMed/OpenMed-NER-PathologyDetect-SnowMed-568M</t>
  </si>
  <si>
    <t xml:space="preserve">RedHatAI/Apertus-70B-Instruct-2509-quantized.w4a16</t>
  </si>
  <si>
    <t xml:space="preserve">swiss-ai/Apertus-70B-Instruct-2509</t>
  </si>
  <si>
    <t xml:space="preserve">https://huggingface.co/RedHatAI/Apertus-70B-Instruct-2509-quantized.w4a16</t>
  </si>
  <si>
    <t xml:space="preserve">OpenMed/OpenMed-NER-OncologyDetect-ElectraMed-33M</t>
  </si>
  <si>
    <t xml:space="preserve">https://huggingface.co/OpenMed/OpenMed-NER-OncologyDetect-ElectraMed-33M</t>
  </si>
  <si>
    <t xml:space="preserve">OpenMed/OpenMed-NER-ChemicalDetect-ElectraMed-560M</t>
  </si>
  <si>
    <t xml:space="preserve">https://huggingface.co/OpenMed/OpenMed-NER-ChemicalDetect-ElectraMed-560M</t>
  </si>
  <si>
    <t xml:space="preserve">OpenMed/OpenMed-NER-PathologyDetect-SuperClinical-184M</t>
  </si>
  <si>
    <t xml:space="preserve">https://huggingface.co/OpenMed/OpenMed-NER-PathologyDetect-SuperClinical-184M</t>
  </si>
  <si>
    <t xml:space="preserve">mistralai/Mixtral-8x7B-Instruct-v0.1</t>
  </si>
  <si>
    <r>
      <rPr>
        <sz val="11"/>
        <color rgb="FF000000"/>
        <rFont val="Calibri"/>
        <family val="0"/>
        <charset val="1"/>
      </rPr>
      <t xml:space="preserve">350 </t>
    </r>
    <r>
      <rPr>
        <sz val="11"/>
        <color rgb="FF000000"/>
        <rFont val="Noto Sans CJK SC"/>
        <family val="2"/>
      </rPr>
      <t xml:space="preserve">億至 </t>
    </r>
    <r>
      <rPr>
        <sz val="11"/>
        <color rgb="FF000000"/>
        <rFont val="Calibri"/>
        <family val="0"/>
        <charset val="1"/>
      </rPr>
      <t xml:space="preserve">1,000 </t>
    </r>
    <r>
      <rPr>
        <sz val="11"/>
        <color rgb="FF000000"/>
        <rFont val="Noto Sans CJK SC"/>
        <family val="2"/>
      </rPr>
      <t xml:space="preserve">億</t>
    </r>
  </si>
  <si>
    <t xml:space="preserve">mistralai/Mixtral-8x7B-v0.1</t>
  </si>
  <si>
    <t xml:space="preserve">https://huggingface.co/mistralai/Mixtral-8x7B-Instruct-v0.1</t>
  </si>
  <si>
    <t xml:space="preserve">OpenMed/OpenMed-NER-BloodCancerDetect-ModernMed-149M</t>
  </si>
  <si>
    <t xml:space="preserve">https://huggingface.co/OpenMed/OpenMed-NER-BloodCancerDetect-ModernMed-149M</t>
  </si>
  <si>
    <t xml:space="preserve">OpenMed/OpenMed-NER-ProteinDetect-TinyMed-135M</t>
  </si>
  <si>
    <t xml:space="preserve">https://huggingface.co/OpenMed/OpenMed-NER-ProteinDetect-TinyMed-135M</t>
  </si>
  <si>
    <t xml:space="preserve">cross-encoder-testing/reranker-bert-tiny-gooaq-bce</t>
  </si>
  <si>
    <t xml:space="preserve">cross-encoder-testing</t>
  </si>
  <si>
    <t xml:space="preserve">prajjwal1/bert-tiny</t>
  </si>
  <si>
    <t xml:space="preserve">https://huggingface.co/cross-encoder-testing/reranker-bert-tiny-gooaq-bce</t>
  </si>
  <si>
    <t xml:space="preserve">OpenMed/OpenMed-NER-GenomicDetect-SuperMedical-125M</t>
  </si>
  <si>
    <t xml:space="preserve">https://huggingface.co/OpenMed/OpenMed-NER-GenomicDetect-SuperMedical-125M</t>
  </si>
  <si>
    <t xml:space="preserve">OpenMed/OpenMed-NER-OncologyDetect-ElectraMed-109M</t>
  </si>
  <si>
    <t xml:space="preserve">https://huggingface.co/OpenMed/OpenMed-NER-OncologyDetect-ElectraMed-109M</t>
  </si>
  <si>
    <t xml:space="preserve">Weni/Llama-Guard-3-8B-AWQ</t>
  </si>
  <si>
    <t xml:space="preserve">Weni</t>
  </si>
  <si>
    <t xml:space="preserve">https://huggingface.co/Weni/Llama-Guard-3-8B-AWQ</t>
  </si>
  <si>
    <t xml:space="preserve">OpenMed/OpenMed-NER-GenomicDetect-MultiMed-335M</t>
  </si>
  <si>
    <t xml:space="preserve">https://huggingface.co/OpenMed/OpenMed-NER-GenomicDetect-MultiMed-335M</t>
  </si>
  <si>
    <t xml:space="preserve">OpenMed/OpenMed-NER-ProteinDetect-MultiMed-568M</t>
  </si>
  <si>
    <t xml:space="preserve">https://huggingface.co/OpenMed/OpenMed-NER-ProteinDetect-MultiMed-568M</t>
  </si>
  <si>
    <t xml:space="preserve">OpenMed/OpenMed-NER-SpeciesDetect-ModernMed-395M</t>
  </si>
  <si>
    <t xml:space="preserve">https://huggingface.co/OpenMed/OpenMed-NER-SpeciesDetect-ModernMed-395M</t>
  </si>
  <si>
    <t xml:space="preserve">OpenMed/OpenMed-NER-SpeciesDetect-TinyMed-135M</t>
  </si>
  <si>
    <t xml:space="preserve">https://huggingface.co/OpenMed/OpenMed-NER-SpeciesDetect-TinyMed-135M</t>
  </si>
  <si>
    <t xml:space="preserve">nvidia/NVIDIA-Nemotron-Nano-12B-v2-VL-FP8</t>
  </si>
  <si>
    <t xml:space="preserve">https://huggingface.co/nvidia/NVIDIA-Nemotron-Nano-12B-v2-VL-FP8</t>
  </si>
  <si>
    <t xml:space="preserve">OpenMed/OpenMed-NER-OrganismDetect-ModernMed-395M</t>
  </si>
  <si>
    <t xml:space="preserve">https://huggingface.co/OpenMed/OpenMed-NER-OrganismDetect-ModernMed-395M</t>
  </si>
  <si>
    <t xml:space="preserve">OpenMed/OpenMed-NER-PathologyDetect-MultiMed-568M</t>
  </si>
  <si>
    <t xml:space="preserve">https://huggingface.co/OpenMed/OpenMed-NER-PathologyDetect-MultiMed-568M</t>
  </si>
  <si>
    <t xml:space="preserve">distilbert/distilbert-base-cased-distilled-squad</t>
  </si>
  <si>
    <t xml:space="preserve">https://huggingface.co/distilbert/distilbert-base-cased-distilled-squad</t>
  </si>
  <si>
    <t xml:space="preserve">OpenMed/OpenMed-NER-ProteinDetect-BigMed-560M</t>
  </si>
  <si>
    <t xml:space="preserve">https://huggingface.co/OpenMed/OpenMed-NER-ProteinDetect-BigMed-560M</t>
  </si>
  <si>
    <t xml:space="preserve">OpenMed/OpenMed-NER-BloodCancerDetect-SuperMedical-355M</t>
  </si>
  <si>
    <t xml:space="preserve">https://huggingface.co/OpenMed/OpenMed-NER-BloodCancerDetect-SuperMedical-355M</t>
  </si>
  <si>
    <t xml:space="preserve">OpenMed/OpenMed-NER-ProteinDetect-BioClinical-108M</t>
  </si>
  <si>
    <t xml:space="preserve">https://huggingface.co/OpenMed/OpenMed-NER-ProteinDetect-BioClinical-108M</t>
  </si>
  <si>
    <t xml:space="preserve">autopilot-ai/EthicalEye</t>
  </si>
  <si>
    <t xml:space="preserve">autopilot-ai</t>
  </si>
  <si>
    <t xml:space="preserve">https://huggingface.co/autopilot-ai/EthicalEye</t>
  </si>
  <si>
    <t xml:space="preserve">OpenMed/OpenMed-NER-GenomicDetect-BigMed-278M</t>
  </si>
  <si>
    <t xml:space="preserve">https://huggingface.co/OpenMed/OpenMed-NER-GenomicDetect-BigMed-278M</t>
  </si>
  <si>
    <t xml:space="preserve">OpenMed/OpenMed-NER-GenomicDetect-MultiMed-568M</t>
  </si>
  <si>
    <t xml:space="preserve">https://huggingface.co/OpenMed/OpenMed-NER-GenomicDetect-MultiMed-568M</t>
  </si>
  <si>
    <t xml:space="preserve">OpenMed/OpenMed-NER-BloodCancerDetect-MultiMed-568M</t>
  </si>
  <si>
    <t xml:space="preserve">https://huggingface.co/OpenMed/OpenMed-NER-BloodCancerDetect-MultiMed-568M</t>
  </si>
  <si>
    <t xml:space="preserve">ggml-org/gemma-4-12B-it-GGUF</t>
  </si>
  <si>
    <t xml:space="preserve">https://huggingface.co/ggml-org/gemma-4-12B-it-GGUF</t>
  </si>
  <si>
    <t xml:space="preserve">OpenMed/OpenMed-NER-OrganismDetect-SuperClinical-434M</t>
  </si>
  <si>
    <t xml:space="preserve">https://huggingface.co/OpenMed/OpenMed-NER-OrganismDetect-SuperClinical-434M</t>
  </si>
  <si>
    <t xml:space="preserve">OpenMed/OpenMed-NER-AnatomyDetect-MultiMed-568M</t>
  </si>
  <si>
    <t xml:space="preserve">https://huggingface.co/OpenMed/OpenMed-NER-AnatomyDetect-MultiMed-568M</t>
  </si>
  <si>
    <t xml:space="preserve">facebook/esm2_t6_8M_UR50D</t>
  </si>
  <si>
    <t xml:space="preserve">https://huggingface.co/facebook/esm2_t6_8M_UR50D</t>
  </si>
  <si>
    <t xml:space="preserve">OpenMed/OpenMed-NER-OncologyDetect-BioClinical-108M</t>
  </si>
  <si>
    <t xml:space="preserve">https://huggingface.co/OpenMed/OpenMed-NER-OncologyDetect-BioClinical-108M</t>
  </si>
  <si>
    <t xml:space="preserve">OpenMed/OpenMed-NER-DiseaseDetect-ModernClinical-395M</t>
  </si>
  <si>
    <t xml:space="preserve">https://huggingface.co/OpenMed/OpenMed-NER-DiseaseDetect-ModernClinical-395M</t>
  </si>
  <si>
    <t xml:space="preserve">deepset/bert-large-uncased-whole-word-masking-squad2</t>
  </si>
  <si>
    <t xml:space="preserve">https://huggingface.co/deepset/bert-large-uncased-whole-word-masking-squad2</t>
  </si>
  <si>
    <t xml:space="preserve">OpenMed/OpenMed-NER-PharmaDetect-ElectraMed-560M</t>
  </si>
  <si>
    <t xml:space="preserve">https://huggingface.co/OpenMed/OpenMed-NER-PharmaDetect-ElectraMed-560M</t>
  </si>
  <si>
    <t xml:space="preserve">OpenMed/OpenMed-NER-SpeciesDetect-TinyMed-66M</t>
  </si>
  <si>
    <t xml:space="preserve">https://huggingface.co/OpenMed/OpenMed-NER-SpeciesDetect-TinyMed-66M</t>
  </si>
  <si>
    <t xml:space="preserve">MaziyarPanahi/Mistral-Small-24B-Instruct-2501-GGUF</t>
  </si>
  <si>
    <t xml:space="preserve">https://huggingface.co/MaziyarPanahi/Mistral-Small-24B-Instruct-2501-GGUF</t>
  </si>
  <si>
    <t xml:space="preserve">OpenMed/OpenMed-NER-OrganismDetect-ElectraMed-109M</t>
  </si>
  <si>
    <t xml:space="preserve">https://huggingface.co/OpenMed/OpenMed-NER-OrganismDetect-ElectraMed-109M</t>
  </si>
  <si>
    <t xml:space="preserve">OpenMed/OpenMed-NER-AnatomyDetect-BigMed-278M</t>
  </si>
  <si>
    <t xml:space="preserve">https://huggingface.co/OpenMed/OpenMed-NER-AnatomyDetect-BigMed-278M</t>
  </si>
  <si>
    <t xml:space="preserve">mudler/Laguna-XS-2.1-APEX-GGUF</t>
  </si>
  <si>
    <t xml:space="preserve">mudler</t>
  </si>
  <si>
    <t xml:space="preserve">poolside/Laguna-XS-2.1</t>
  </si>
  <si>
    <t xml:space="preserve">https://huggingface.co/mudler/Laguna-XS-2.1-APEX-GGUF</t>
  </si>
  <si>
    <t xml:space="preserve">OpenMed/OpenMed-NER-DNADetect-ModernClinical-149M</t>
  </si>
  <si>
    <t xml:space="preserve">https://huggingface.co/OpenMed/OpenMed-NER-DNADetect-ModernClinical-149M</t>
  </si>
  <si>
    <t xml:space="preserve">OpenMed/OpenMed-NER-ProteinDetect-ElectraMed-335M</t>
  </si>
  <si>
    <t xml:space="preserve">https://huggingface.co/OpenMed/OpenMed-NER-ProteinDetect-ElectraMed-335M</t>
  </si>
  <si>
    <t xml:space="preserve">OpenMed/OpenMed-NER-BloodCancerDetect-TinyMed-66M</t>
  </si>
  <si>
    <t xml:space="preserve">https://huggingface.co/OpenMed/OpenMed-NER-BloodCancerDetect-TinyMed-66M</t>
  </si>
  <si>
    <t xml:space="preserve">google/paligemma2-3b-mix-224</t>
  </si>
  <si>
    <t xml:space="preserve">https://huggingface.co/google/paligemma2-3b-mix-224</t>
  </si>
  <si>
    <t xml:space="preserve">OpenMed/OpenMed-NER-GenomicDetect-SuperMedical-355M</t>
  </si>
  <si>
    <t xml:space="preserve">https://huggingface.co/OpenMed/OpenMed-NER-GenomicDetect-SuperMedical-355M</t>
  </si>
  <si>
    <t xml:space="preserve">OpenMed/OpenMed-NER-OrganismDetect-TinyMed-66M</t>
  </si>
  <si>
    <t xml:space="preserve">https://huggingface.co/OpenMed/OpenMed-NER-OrganismDetect-TinyMed-66M</t>
  </si>
  <si>
    <t xml:space="preserve">OpenMed/OpenMed-NER-PathologyDetect-ModernClinical-149M</t>
  </si>
  <si>
    <t xml:space="preserve">https://huggingface.co/OpenMed/OpenMed-NER-PathologyDetect-ModernClinical-149M</t>
  </si>
  <si>
    <t xml:space="preserve">OpenMed/OpenMed-NER-GenomeDetect-ModernClinical-149M</t>
  </si>
  <si>
    <t xml:space="preserve">https://huggingface.co/OpenMed/OpenMed-NER-GenomeDetect-ModernClinical-149M</t>
  </si>
  <si>
    <t xml:space="preserve">OpenMed/OpenMed-NER-ProteinDetect-TinyMed-82M</t>
  </si>
  <si>
    <t xml:space="preserve">https://huggingface.co/OpenMed/OpenMed-NER-ProteinDetect-TinyMed-82M</t>
  </si>
  <si>
    <t xml:space="preserve">OpenMed/OpenMed-NER-OrganismDetect-TinyMed-135M</t>
  </si>
  <si>
    <t xml:space="preserve">https://huggingface.co/OpenMed/OpenMed-NER-OrganismDetect-TinyMed-135M</t>
  </si>
  <si>
    <t xml:space="preserve">OpenMed/OpenMed-NER-OncologyDetect-BigMed-560M</t>
  </si>
  <si>
    <t xml:space="preserve">https://huggingface.co/OpenMed/OpenMed-NER-OncologyDetect-BigMed-560M</t>
  </si>
  <si>
    <t xml:space="preserve">ggml-org/models-moved</t>
  </si>
  <si>
    <t xml:space="preserve">gguf;other</t>
  </si>
  <si>
    <r>
      <rPr>
        <sz val="11"/>
        <color rgb="FF000000"/>
        <rFont val="Noto Sans CJK SC"/>
        <family val="2"/>
      </rPr>
      <t xml:space="preserve">任務類型依框架推定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授權需確認</t>
    </r>
  </si>
  <si>
    <t xml:space="preserve">https://huggingface.co/ggml-org/models-moved</t>
  </si>
  <si>
    <t xml:space="preserve">OpenMed/OpenMed-NER-DNADetect-TinyMed-65M</t>
  </si>
  <si>
    <t xml:space="preserve">https://huggingface.co/OpenMed/OpenMed-NER-DNADetect-TinyMed-65M</t>
  </si>
  <si>
    <t xml:space="preserve">unsloth/gemma-4-26B-A4B-it-NVFP4</t>
  </si>
  <si>
    <t xml:space="preserve">https://huggingface.co/unsloth/gemma-4-26B-A4B-it-NVFP4</t>
  </si>
  <si>
    <t xml:space="preserve">OpenMed/OpenMed-NER-AnatomyDetect-ModernMed-149M</t>
  </si>
  <si>
    <t xml:space="preserve">https://huggingface.co/OpenMed/OpenMed-NER-AnatomyDetect-ModernMed-149M</t>
  </si>
  <si>
    <t xml:space="preserve">lmstudio-community/LFM2-24B-A2B-MLX-4bit</t>
  </si>
  <si>
    <t xml:space="preserve">LiquidAI/LFM2-24B-A2B</t>
  </si>
  <si>
    <t xml:space="preserve">https://huggingface.co/lmstudio-community/LFM2-24B-A2B-MLX-4bit</t>
  </si>
  <si>
    <t xml:space="preserve">OpenMed/OpenMed-NER-GenomicDetect-ModernMed-149M</t>
  </si>
  <si>
    <t xml:space="preserve">https://huggingface.co/OpenMed/OpenMed-NER-GenomicDetect-ModernMed-149M</t>
  </si>
  <si>
    <t xml:space="preserve">OpenMed/OpenMed-NER-ChemicalDetect-ElectraMed-109M</t>
  </si>
  <si>
    <t xml:space="preserve">https://huggingface.co/OpenMed/OpenMed-NER-ChemicalDetect-ElectraMed-109M</t>
  </si>
  <si>
    <t xml:space="preserve">bartowski/Fara1.5-4B-GGUF</t>
  </si>
  <si>
    <t xml:space="preserve">microsoft/Fara1.5-4B</t>
  </si>
  <si>
    <t xml:space="preserve">https://huggingface.co/bartowski/Fara1.5-4B-GGUF</t>
  </si>
  <si>
    <t xml:space="preserve">OpenMed/OpenMed-NER-ProteinDetect-ElectraMed-109M</t>
  </si>
  <si>
    <t xml:space="preserve">https://huggingface.co/OpenMed/OpenMed-NER-ProteinDetect-ElectraMed-109M</t>
  </si>
  <si>
    <t xml:space="preserve">lmstudio-community/LFM2-24B-A2B-MLX-8bit</t>
  </si>
  <si>
    <t xml:space="preserve">https://huggingface.co/lmstudio-community/LFM2-24B-A2B-MLX-8bit</t>
  </si>
  <si>
    <t xml:space="preserve">OpenMed/OpenMed-NER-OncologyDetect-SuperMedical-125M</t>
  </si>
  <si>
    <t xml:space="preserve">https://huggingface.co/OpenMed/OpenMed-NER-OncologyDetect-SuperMedical-125M</t>
  </si>
  <si>
    <t xml:space="preserve">lmstudio-community/LFM2-24B-A2B-MLX-5bit</t>
  </si>
  <si>
    <t xml:space="preserve">https://huggingface.co/lmstudio-community/LFM2-24B-A2B-MLX-5bit</t>
  </si>
  <si>
    <t xml:space="preserve">lmstudio-community/LFM2-24B-A2B-MLX-6bit</t>
  </si>
  <si>
    <t xml:space="preserve">https://huggingface.co/lmstudio-community/LFM2-24B-A2B-MLX-6bit</t>
  </si>
  <si>
    <t xml:space="preserve">OpenMed/OpenMed-NER-GenomicDetect-ModernClinical-395M</t>
  </si>
  <si>
    <t xml:space="preserve">https://huggingface.co/OpenMed/OpenMed-NER-GenomicDetect-ModernClinical-395M</t>
  </si>
  <si>
    <t xml:space="preserve">OpenMed/OpenMed-NER-SpeciesDetect-ElectraMed-335M</t>
  </si>
  <si>
    <t xml:space="preserve">https://huggingface.co/OpenMed/OpenMed-NER-SpeciesDetect-ElectraMed-335M</t>
  </si>
  <si>
    <t xml:space="preserve">RedHatAI/diffusiongemma-26B-A4B-it-FP8-dynamic</t>
  </si>
  <si>
    <t xml:space="preserve">https://huggingface.co/RedHatAI/diffusiongemma-26B-A4B-it-FP8-dynamic</t>
  </si>
  <si>
    <t xml:space="preserve">OpenMed/OpenMed-NER-PathologyDetect-ElectraMed-335M</t>
  </si>
  <si>
    <t xml:space="preserve">https://huggingface.co/OpenMed/OpenMed-NER-PathologyDetect-ElectraMed-335M</t>
  </si>
  <si>
    <t xml:space="preserve">OpenMed/OpenMed-NER-DNADetect-ElectraMed-335M</t>
  </si>
  <si>
    <t xml:space="preserve">https://huggingface.co/OpenMed/OpenMed-NER-DNADetect-ElectraMed-335M</t>
  </si>
  <si>
    <t xml:space="preserve">unsloth/gemma-4-12b-it</t>
  </si>
  <si>
    <t xml:space="preserve">https://huggingface.co/unsloth/gemma-4-12b-it</t>
  </si>
  <si>
    <t xml:space="preserve">OpenMed/OpenMed-NER-PathologyDetect-SuperMedical-355M</t>
  </si>
  <si>
    <t xml:space="preserve">https://huggingface.co/OpenMed/OpenMed-NER-PathologyDetect-SuperMedical-355M</t>
  </si>
  <si>
    <t xml:space="preserve">OpenMed/OpenMed-NER-DNADetect-TinyMed-66M</t>
  </si>
  <si>
    <t xml:space="preserve">https://huggingface.co/OpenMed/OpenMed-NER-DNADetect-TinyMed-66M</t>
  </si>
  <si>
    <t xml:space="preserve">autotrust/GEV-26B-Decide</t>
  </si>
  <si>
    <t xml:space="preserve">autotrust</t>
  </si>
  <si>
    <t xml:space="preserve">https://huggingface.co/autotrust/GEV-26B-Decide</t>
  </si>
  <si>
    <t xml:space="preserve">OpenMed/OpenMed-NER-SpeciesDetect-BioPatient-108M</t>
  </si>
  <si>
    <t xml:space="preserve">https://huggingface.co/OpenMed/OpenMed-NER-SpeciesDetect-BioPatient-108M</t>
  </si>
  <si>
    <t xml:space="preserve">OpenMed/OpenMed-NER-OncologyDetect-TinyMed-66M</t>
  </si>
  <si>
    <t xml:space="preserve">https://huggingface.co/OpenMed/OpenMed-NER-OncologyDetect-TinyMed-66M</t>
  </si>
  <si>
    <t xml:space="preserve">Salesforce/blip-image-captioning-large</t>
  </si>
  <si>
    <t xml:space="preserve">bsd-3-clause</t>
  </si>
  <si>
    <t xml:space="preserve">https://huggingface.co/Salesforce/blip-image-captioning-large</t>
  </si>
  <si>
    <t xml:space="preserve">cyankiwi/Ministral-3-14B-Reasoning-2512-AWQ-4bit</t>
  </si>
  <si>
    <t xml:space="preserve">https://huggingface.co/cyankiwi/Ministral-3-14B-Reasoning-2512-AWQ-4bit</t>
  </si>
  <si>
    <t xml:space="preserve">OpenMed/OpenMed-NER-ChemicalDetect-SuperClinical-434M</t>
  </si>
  <si>
    <t xml:space="preserve">https://huggingface.co/OpenMed/OpenMed-NER-ChemicalDetect-SuperClinical-434M</t>
  </si>
  <si>
    <t xml:space="preserve">OpenMed/OpenMed-NER-DiseaseDetect-BioPatient-108M</t>
  </si>
  <si>
    <t xml:space="preserve">https://huggingface.co/OpenMed/OpenMed-NER-DiseaseDetect-BioPatient-108M</t>
  </si>
  <si>
    <t xml:space="preserve">OpenMed/OpenMed-NER-OncologyDetect-TinyMed-135M</t>
  </si>
  <si>
    <t xml:space="preserve">https://huggingface.co/OpenMed/OpenMed-NER-OncologyDetect-TinyMed-135M</t>
  </si>
  <si>
    <t xml:space="preserve">mlx-community/nomicai-modernbert-embed-base-bf16</t>
  </si>
  <si>
    <t xml:space="preserve">https://huggingface.co/mlx-community/nomicai-modernbert-embed-base-bf16</t>
  </si>
  <si>
    <t xml:space="preserve">OpenMed/OpenMed-NER-DNADetect-BigMed-560M</t>
  </si>
  <si>
    <t xml:space="preserve">https://huggingface.co/OpenMed/OpenMed-NER-DNADetect-BigMed-560M</t>
  </si>
  <si>
    <t xml:space="preserve">urchade/gliner_medium-v2.1</t>
  </si>
  <si>
    <t xml:space="preserve">https://huggingface.co/urchade/gliner_medium-v2.1</t>
  </si>
  <si>
    <t xml:space="preserve">OpenMed/OpenMed-NER-OncologyDetect-TinyMed-65M</t>
  </si>
  <si>
    <t xml:space="preserve">https://huggingface.co/OpenMed/OpenMed-NER-OncologyDetect-TinyMed-65M</t>
  </si>
  <si>
    <t xml:space="preserve">facebook/esm2_t12_35M_UR50D</t>
  </si>
  <si>
    <t xml:space="preserve">https://huggingface.co/facebook/esm2_t12_35M_UR50D</t>
  </si>
  <si>
    <t xml:space="preserve">mirth/chonky_distilbert_base_uncased_1</t>
  </si>
  <si>
    <t xml:space="preserve">mirth</t>
  </si>
  <si>
    <t xml:space="preserve">https://huggingface.co/mirth/chonky_distilbert_base_uncased_1</t>
  </si>
  <si>
    <t xml:space="preserve">cyankiwi/gemma-4-31B-it-AWQ-4bit</t>
  </si>
  <si>
    <t xml:space="preserve">https://huggingface.co/cyankiwi/gemma-4-31B-it-AWQ-4bit</t>
  </si>
  <si>
    <t xml:space="preserve">OpenMed/OpenMed-NER-GenomicDetect-SuperClinical-434M</t>
  </si>
  <si>
    <t xml:space="preserve">https://huggingface.co/OpenMed/OpenMed-NER-GenomicDetect-SuperClinical-434M</t>
  </si>
  <si>
    <t xml:space="preserve">OpenMed/OpenMed-NER-PathologyDetect-SuperClinical-434M</t>
  </si>
  <si>
    <t xml:space="preserve">https://huggingface.co/OpenMed/OpenMed-NER-PathologyDetect-SuperClinical-434M</t>
  </si>
  <si>
    <t xml:space="preserve">OpenMed/OpenMed-NER-ChemicalDetect-ModernClinical-395M</t>
  </si>
  <si>
    <t xml:space="preserve">https://huggingface.co/OpenMed/OpenMed-NER-ChemicalDetect-ModernClinical-395M</t>
  </si>
  <si>
    <t xml:space="preserve">unsloth/embeddinggemma-300m</t>
  </si>
  <si>
    <t xml:space="preserve">https://huggingface.co/unsloth/embeddinggemma-300m</t>
  </si>
  <si>
    <t xml:space="preserve">unsloth/gemma-3-4b-it</t>
  </si>
  <si>
    <t xml:space="preserve">https://huggingface.co/unsloth/gemma-3-4b-it</t>
  </si>
  <si>
    <t xml:space="preserve">OpenMed/OpenMed-NER-OrganismDetect-ModernClinical-149M</t>
  </si>
  <si>
    <t xml:space="preserve">https://huggingface.co/OpenMed/OpenMed-NER-OrganismDetect-ModernClinical-149M</t>
  </si>
  <si>
    <t xml:space="preserve">stabilityai/stablelm-3b-4e1t</t>
  </si>
  <si>
    <t xml:space="preserve">stabilityai</t>
  </si>
  <si>
    <t xml:space="preserve">https://huggingface.co/stabilityai/stablelm-3b-4e1t</t>
  </si>
  <si>
    <t xml:space="preserve">OpenMed/OpenMed-NER-AnatomyDetect-TinyMed-135M</t>
  </si>
  <si>
    <t xml:space="preserve">https://huggingface.co/OpenMed/OpenMed-NER-AnatomyDetect-TinyMed-135M</t>
  </si>
  <si>
    <t xml:space="preserve">bartowski/HuggingFaceTB_SmolLM3-3B-GGUF</t>
  </si>
  <si>
    <t xml:space="preserve">https://huggingface.co/bartowski/HuggingFaceTB_SmolLM3-3B-GGUF</t>
  </si>
  <si>
    <t xml:space="preserve">speakleash/Bielik-11B-v3.0-Instruct-awq</t>
  </si>
  <si>
    <t xml:space="preserve">https://huggingface.co/speakleash/Bielik-11B-v3.0-Instruct-awq</t>
  </si>
  <si>
    <t xml:space="preserve">unsloth/gemma-4-E4B-it-qat-mobile-GGUF</t>
  </si>
  <si>
    <t xml:space="preserve">google/gemma-4-E4B-it-qat-mobile-transformers</t>
  </si>
  <si>
    <t xml:space="preserve">https://huggingface.co/unsloth/gemma-4-E4B-it-qat-mobile-GGUF</t>
  </si>
  <si>
    <t xml:space="preserve">d4data/biomedical-ner-all</t>
  </si>
  <si>
    <t xml:space="preserve">d4data</t>
  </si>
  <si>
    <t xml:space="preserve">https://huggingface.co/d4data/biomedical-ner-all</t>
  </si>
  <si>
    <t xml:space="preserve">tiiuae/falcon-mamba-tiny-dev</t>
  </si>
  <si>
    <t xml:space="preserve">https://huggingface.co/tiiuae/falcon-mamba-tiny-dev</t>
  </si>
  <si>
    <t xml:space="preserve">OpenMed/OpenMed-NER-ChemicalDetect-TinyMed-135M</t>
  </si>
  <si>
    <t xml:space="preserve">https://huggingface.co/OpenMed/OpenMed-NER-ChemicalDetect-TinyMed-135M</t>
  </si>
  <si>
    <t xml:space="preserve">OpenMed/OpenMed-NER-GenomicDetect-TinyMed-135M</t>
  </si>
  <si>
    <t xml:space="preserve">https://huggingface.co/OpenMed/OpenMed-NER-GenomicDetect-TinyMed-135M</t>
  </si>
  <si>
    <t xml:space="preserve">OpenMed/OpenMed-NER-DNADetect-SuperClinical-141M</t>
  </si>
  <si>
    <t xml:space="preserve">https://huggingface.co/OpenMed/OpenMed-NER-DNADetect-SuperClinical-141M</t>
  </si>
  <si>
    <t xml:space="preserve">OpenMed/OpenMed-NER-GenomicDetect-ElectraMed-560M</t>
  </si>
  <si>
    <t xml:space="preserve">https://huggingface.co/OpenMed/OpenMed-NER-GenomicDetect-ElectraMed-560M</t>
  </si>
  <si>
    <t xml:space="preserve">deepset/tinyroberta-squad2</t>
  </si>
  <si>
    <t xml:space="preserve">https://huggingface.co/deepset/tinyroberta-squad2</t>
  </si>
  <si>
    <t xml:space="preserve">OpenMed/OpenMed-NER-OncologyDetect-ModernMed-395M</t>
  </si>
  <si>
    <t xml:space="preserve">https://huggingface.co/OpenMed/OpenMed-NER-OncologyDetect-ModernMed-395M</t>
  </si>
  <si>
    <t xml:space="preserve">unsloth/LFM2.5-1.2B-Instruct-GGUF</t>
  </si>
  <si>
    <t xml:space="preserve">https://huggingface.co/unsloth/LFM2.5-1.2B-Instruct-GGUF</t>
  </si>
  <si>
    <t xml:space="preserve">OpenMed/OpenMed-NER-DiseaseDetect-ModernClinical-149M</t>
  </si>
  <si>
    <t xml:space="preserve">https://huggingface.co/OpenMed/OpenMed-NER-DiseaseDetect-ModernClinical-149M</t>
  </si>
  <si>
    <t xml:space="preserve">OpenMed/OpenMed-NER-ChemicalDetect-SuperClinical-141M</t>
  </si>
  <si>
    <t xml:space="preserve">https://huggingface.co/OpenMed/OpenMed-NER-ChemicalDetect-SuperClinical-141M</t>
  </si>
  <si>
    <t xml:space="preserve">OpenMed/OpenMed-NER-ChemicalDetect-ModernClinical-149M</t>
  </si>
  <si>
    <t xml:space="preserve">https://huggingface.co/OpenMed/OpenMed-NER-ChemicalDetect-ModernClinical-149M</t>
  </si>
  <si>
    <t xml:space="preserve">OpenMed/OpenMed-NER-PharmaDetect-ModernMed-395M</t>
  </si>
  <si>
    <t xml:space="preserve">https://huggingface.co/OpenMed/OpenMed-NER-PharmaDetect-ModernMed-395M</t>
  </si>
  <si>
    <t xml:space="preserve">OpenMed/OpenMed-NER-GenomeDetect-ElectraMed-33M</t>
  </si>
  <si>
    <t xml:space="preserve">https://huggingface.co/OpenMed/OpenMed-NER-GenomeDetect-ElectraMed-33M</t>
  </si>
  <si>
    <t xml:space="preserve">OpenMed/OpenMed-NER-PathologyDetect-TinyMed-82M</t>
  </si>
  <si>
    <t xml:space="preserve">https://huggingface.co/OpenMed/OpenMed-NER-PathologyDetect-TinyMed-82M</t>
  </si>
  <si>
    <t xml:space="preserve">OpenMed/OpenMed-NER-DiseaseDetect-TinyMed-66M</t>
  </si>
  <si>
    <t xml:space="preserve">https://huggingface.co/OpenMed/OpenMed-NER-DiseaseDetect-TinyMed-66M</t>
  </si>
  <si>
    <t xml:space="preserve">OpenMed/OpenMed-NER-ChemicalDetect-BioPatient-108M</t>
  </si>
  <si>
    <t xml:space="preserve">https://huggingface.co/OpenMed/OpenMed-NER-ChemicalDetect-BioPatient-108M</t>
  </si>
  <si>
    <t xml:space="preserve">TheBloke/TinyLlama-1.1B-Chat-v1.0-GGUF</t>
  </si>
  <si>
    <t xml:space="preserve">https://huggingface.co/TheBloke/TinyLlama-1.1B-Chat-v1.0-GGUF</t>
  </si>
  <si>
    <t xml:space="preserve">OpenMed/OpenMed-NER-OrganismDetect-SuperClinical-184M</t>
  </si>
  <si>
    <t xml:space="preserve">https://huggingface.co/OpenMed/OpenMed-NER-OrganismDetect-SuperClinical-184M</t>
  </si>
  <si>
    <t xml:space="preserve">RedHatAI/granite-3.1-2b-instruct-quantized.w4a16</t>
  </si>
  <si>
    <t xml:space="preserve">ibm-granite/granite-3.1-2b-instruct</t>
  </si>
  <si>
    <t xml:space="preserve">https://huggingface.co/RedHatAI/granite-3.1-2b-instruct-quantized.w4a16</t>
  </si>
  <si>
    <t xml:space="preserve">OpenMed/OpenMed-NER-SpeciesDetect-ElectraMed-560M</t>
  </si>
  <si>
    <t xml:space="preserve">https://huggingface.co/OpenMed/OpenMed-NER-SpeciesDetect-ElectraMed-560M</t>
  </si>
  <si>
    <t xml:space="preserve">OpenMed/OpenMed-NER-ChemicalDetect-BigMed-278M</t>
  </si>
  <si>
    <t xml:space="preserve">https://huggingface.co/OpenMed/OpenMed-NER-ChemicalDetect-BigMed-278M</t>
  </si>
  <si>
    <t xml:space="preserve">OpenMed/OpenMed-NER-GenomeDetect-ModernClinical-395M</t>
  </si>
  <si>
    <t xml:space="preserve">https://huggingface.co/OpenMed/OpenMed-NER-GenomeDetect-ModernClinical-395M</t>
  </si>
  <si>
    <t xml:space="preserve">OpenMed/OpenMed-NER-PharmaDetect-MultiMed-568M</t>
  </si>
  <si>
    <t xml:space="preserve">https://huggingface.co/OpenMed/OpenMed-NER-PharmaDetect-MultiMed-568M</t>
  </si>
  <si>
    <t xml:space="preserve">bartowski/google_gemma-4-31B-it-GGUF</t>
  </si>
  <si>
    <t xml:space="preserve">https://huggingface.co/bartowski/google_gemma-4-31B-it-GGUF</t>
  </si>
  <si>
    <t xml:space="preserve">Falconsai/nsfw_image_detection_26</t>
  </si>
  <si>
    <t xml:space="preserve">https://huggingface.co/Falconsai/nsfw_image_detection_26</t>
  </si>
  <si>
    <t xml:space="preserve">OpenMed/OpenMed-NER-DiseaseDetect-SuperMedical-125M</t>
  </si>
  <si>
    <t xml:space="preserve">https://huggingface.co/OpenMed/OpenMed-NER-DiseaseDetect-SuperMedical-125M</t>
  </si>
  <si>
    <t xml:space="preserve">OpenMed/OpenMed-NER-AnatomyDetect-BigMed-560M</t>
  </si>
  <si>
    <t xml:space="preserve">https://huggingface.co/OpenMed/OpenMed-NER-AnatomyDetect-BigMed-560M</t>
  </si>
  <si>
    <t xml:space="preserve">abhishek085/spark-s1-4b-v6-GGUF</t>
  </si>
  <si>
    <t xml:space="preserve">abhishek085</t>
  </si>
  <si>
    <t xml:space="preserve">abhishek085/spark-s1-4b-v6</t>
  </si>
  <si>
    <t xml:space="preserve">https://huggingface.co/abhishek085/spark-s1-4b-v6-GGUF</t>
  </si>
  <si>
    <t xml:space="preserve">OpenMed/OpenMed-NER-DiseaseDetect-SuperClinical-184M</t>
  </si>
  <si>
    <t xml:space="preserve">https://huggingface.co/OpenMed/OpenMed-NER-DiseaseDetect-SuperClinical-184M</t>
  </si>
  <si>
    <t xml:space="preserve">Salesforce/blip-vqa-base</t>
  </si>
  <si>
    <t xml:space="preserve">https://huggingface.co/Salesforce/blip-vqa-base</t>
  </si>
  <si>
    <t xml:space="preserve">OpenMed/OpenMed-NER-OrganismDetect-MultiMed-568M</t>
  </si>
  <si>
    <t xml:space="preserve">https://huggingface.co/OpenMed/OpenMed-NER-OrganismDetect-MultiMed-568M</t>
  </si>
  <si>
    <t xml:space="preserve">OpenMed/OpenMed-NER-PharmaDetect-SnowMed-568M</t>
  </si>
  <si>
    <t xml:space="preserve">https://huggingface.co/OpenMed/OpenMed-NER-PharmaDetect-SnowMed-568M</t>
  </si>
  <si>
    <t xml:space="preserve">OpenMed/OpenMed-NER-BloodCancerDetect-BigMed-560M</t>
  </si>
  <si>
    <t xml:space="preserve">https://huggingface.co/OpenMed/OpenMed-NER-BloodCancerDetect-BigMed-560M</t>
  </si>
  <si>
    <t xml:space="preserve">setu4993/LEALLA-base</t>
  </si>
  <si>
    <t xml:space="preserve">https://huggingface.co/setu4993/LEALLA-base</t>
  </si>
  <si>
    <t xml:space="preserve">nvidia/NVIDIA-Nemotron-3-Ultra-550B-A55B-NVFP4</t>
  </si>
  <si>
    <t xml:space="preserve">https://huggingface.co/nvidia/NVIDIA-Nemotron-3-Ultra-550B-A55B-NVFP4</t>
  </si>
  <si>
    <t xml:space="preserve">OpenMed/OpenMed-NER-DiseaseDetect-MultiMed-568M</t>
  </si>
  <si>
    <t xml:space="preserve">https://huggingface.co/OpenMed/OpenMed-NER-DiseaseDetect-MultiMed-568M</t>
  </si>
  <si>
    <t xml:space="preserve">OpenMed/OpenMed-NER-ProteinDetect-TinyMed-65M</t>
  </si>
  <si>
    <t xml:space="preserve">https://huggingface.co/OpenMed/OpenMed-NER-ProteinDetect-TinyMed-65M</t>
  </si>
  <si>
    <t xml:space="preserve">mlx-community/gemma-4-e2b-it-4bit</t>
  </si>
  <si>
    <t xml:space="preserve">https://huggingface.co/mlx-community/gemma-4-e2b-it-4bit</t>
  </si>
  <si>
    <t xml:space="preserve">OpenMed/OpenMed-NER-ChemicalDetect-TinyMed-66M</t>
  </si>
  <si>
    <t xml:space="preserve">https://huggingface.co/OpenMed/OpenMed-NER-ChemicalDetect-TinyMed-66M</t>
  </si>
  <si>
    <t xml:space="preserve">google-t5/t5-large</t>
  </si>
  <si>
    <t xml:space="preserve">https://huggingface.co/google-t5/t5-large</t>
  </si>
  <si>
    <t xml:space="preserve">OpenMed/OpenMed-NER-PathologyDetect-BigMed-278M</t>
  </si>
  <si>
    <t xml:space="preserve">https://huggingface.co/OpenMed/OpenMed-NER-PathologyDetect-BigMed-278M</t>
  </si>
  <si>
    <t xml:space="preserve">facebook/w2v-bert-2.0</t>
  </si>
  <si>
    <t xml:space="preserve">https://huggingface.co/facebook/w2v-bert-2.0</t>
  </si>
  <si>
    <t xml:space="preserve">OpenMed/OpenMed-NER-DNADetect-ModernMed-149M</t>
  </si>
  <si>
    <t xml:space="preserve">https://huggingface.co/OpenMed/OpenMed-NER-DNADetect-ModernMed-149M</t>
  </si>
  <si>
    <t xml:space="preserve">OpenMed/OpenMed-NER-PharmaDetect-ElectraMed-33M</t>
  </si>
  <si>
    <t xml:space="preserve">https://huggingface.co/OpenMed/OpenMed-NER-PharmaDetect-ElectraMed-33M</t>
  </si>
  <si>
    <t xml:space="preserve">OpenMed/OpenMed-NER-AnatomyDetect-ElectraMed-33M</t>
  </si>
  <si>
    <t xml:space="preserve">https://huggingface.co/OpenMed/OpenMed-NER-AnatomyDetect-ElectraMed-33M</t>
  </si>
  <si>
    <t xml:space="preserve">OpenMed/OpenMed-NER-DNADetect-ElectraMed-109M</t>
  </si>
  <si>
    <t xml:space="preserve">https://huggingface.co/OpenMed/OpenMed-NER-DNADetect-ElectraMed-109M</t>
  </si>
  <si>
    <t xml:space="preserve">OpenMed/OpenMed-NER-AnatomyDetect-ModernClinical-395M</t>
  </si>
  <si>
    <t xml:space="preserve">https://huggingface.co/OpenMed/OpenMed-NER-AnatomyDetect-ModernClinical-395M</t>
  </si>
  <si>
    <t xml:space="preserve">OpenMed/OpenMed-NER-DNADetect-ElectraMed-560M</t>
  </si>
  <si>
    <t xml:space="preserve">https://huggingface.co/OpenMed/OpenMed-NER-DNADetect-ElectraMed-560M</t>
  </si>
  <si>
    <t xml:space="preserve">OpenMed/OpenMed-NER-DiseaseDetect-SnowMed-568M</t>
  </si>
  <si>
    <t xml:space="preserve">https://huggingface.co/OpenMed/OpenMed-NER-DiseaseDetect-SnowMed-568M</t>
  </si>
  <si>
    <t xml:space="preserve">OpenMed/OpenMed-NER-OrganismDetect-SuperMedical-125M</t>
  </si>
  <si>
    <t xml:space="preserve">https://huggingface.co/OpenMed/OpenMed-NER-OrganismDetect-SuperMedical-125M</t>
  </si>
  <si>
    <t xml:space="preserve">OpenMed/OpenMed-NER-ProteinDetect-ModernMed-149M</t>
  </si>
  <si>
    <t xml:space="preserve">https://huggingface.co/OpenMed/OpenMed-NER-ProteinDetect-ModernMed-149M</t>
  </si>
  <si>
    <t xml:space="preserve">google/gemma-7b</t>
  </si>
  <si>
    <t xml:space="preserve">https://huggingface.co/google/gemma-7b</t>
  </si>
  <si>
    <t xml:space="preserve">OpenMed/OpenMed-NER-DNADetect-ModernMed-395M</t>
  </si>
  <si>
    <t xml:space="preserve">https://huggingface.co/OpenMed/OpenMed-NER-DNADetect-ModernMed-395M</t>
  </si>
  <si>
    <t xml:space="preserve">OpenMed/OpenMed-NER-SpeciesDetect-MultiMed-568M</t>
  </si>
  <si>
    <t xml:space="preserve">https://huggingface.co/OpenMed/OpenMed-NER-SpeciesDetect-MultiMed-568M</t>
  </si>
  <si>
    <t xml:space="preserve">OpenMed/OpenMed-NER-OrganismDetect-ElectraMed-335M</t>
  </si>
  <si>
    <t xml:space="preserve">https://huggingface.co/OpenMed/OpenMed-NER-OrganismDetect-ElectraMed-335M</t>
  </si>
  <si>
    <t xml:space="preserve">OpenMed/OpenMed-NER-AnatomyDetect-ElectraMed-560M</t>
  </si>
  <si>
    <t xml:space="preserve">https://huggingface.co/OpenMed/OpenMed-NER-AnatomyDetect-ElectraMed-560M</t>
  </si>
  <si>
    <t xml:space="preserve">OpenMed/OpenMed-NER-GenomeDetect-MultiMed-568M</t>
  </si>
  <si>
    <t xml:space="preserve">https://huggingface.co/OpenMed/OpenMed-NER-GenomeDetect-MultiMed-568M</t>
  </si>
  <si>
    <t xml:space="preserve">OpenMed/OpenMed-NER-OrganismDetect-MultiMed-335M</t>
  </si>
  <si>
    <t xml:space="preserve">https://huggingface.co/OpenMed/OpenMed-NER-OrganismDetect-MultiMed-335M</t>
  </si>
  <si>
    <t xml:space="preserve">OpenMed/OpenMed-NER-OrganismDetect-ElectraMed-560M</t>
  </si>
  <si>
    <t xml:space="preserve">https://huggingface.co/OpenMed/OpenMed-NER-OrganismDetect-ElectraMed-560M</t>
  </si>
  <si>
    <t xml:space="preserve">OpenMed/OpenMed-NER-AnatomyDetect-SuperClinical-141M</t>
  </si>
  <si>
    <t xml:space="preserve">https://huggingface.co/OpenMed/OpenMed-NER-AnatomyDetect-SuperClinical-141M</t>
  </si>
  <si>
    <t xml:space="preserve">OpenMed/OpenMed-NER-PathologyDetect-ModernClinical-395M</t>
  </si>
  <si>
    <t xml:space="preserve">https://huggingface.co/OpenMed/OpenMed-NER-PathologyDetect-ModernClinical-395M</t>
  </si>
  <si>
    <t xml:space="preserve">lmstudio-community/gpt-oss-20b-GGUF</t>
  </si>
  <si>
    <t xml:space="preserve">https://huggingface.co/lmstudio-community/gpt-oss-20b-GGUF</t>
  </si>
  <si>
    <t xml:space="preserve">OpenMed/OpenMed-NER-PharmaDetect-ModernClinical-395M</t>
  </si>
  <si>
    <t xml:space="preserve">https://huggingface.co/OpenMed/OpenMed-NER-PharmaDetect-ModernClinical-395M</t>
  </si>
  <si>
    <t xml:space="preserve">OpenMed/OpenMed-NER-BloodCancerDetect-BioPatient-108M</t>
  </si>
  <si>
    <t xml:space="preserve">https://huggingface.co/OpenMed/OpenMed-NER-BloodCancerDetect-BioPatient-108M</t>
  </si>
  <si>
    <t xml:space="preserve">OpenMed/OpenMed-NER-OrganismDetect-ElectraMed-33M</t>
  </si>
  <si>
    <t xml:space="preserve">https://huggingface.co/OpenMed/OpenMed-NER-OrganismDetect-ElectraMed-33M</t>
  </si>
  <si>
    <t xml:space="preserve">OpenMed/OpenMed-NER-ProteinDetect-ElectraMed-560M</t>
  </si>
  <si>
    <t xml:space="preserve">https://huggingface.co/OpenMed/OpenMed-NER-ProteinDetect-ElectraMed-560M</t>
  </si>
  <si>
    <t xml:space="preserve">OpenMed/OpenMed-NER-PathologyDetect-ModernMed-395M</t>
  </si>
  <si>
    <t xml:space="preserve">https://huggingface.co/OpenMed/OpenMed-NER-PathologyDetect-ModernMed-395M</t>
  </si>
  <si>
    <t xml:space="preserve">OpenMed/OpenMed-NER-PathologyDetect-MultiMed-335M</t>
  </si>
  <si>
    <t xml:space="preserve">https://huggingface.co/OpenMed/OpenMed-NER-PathologyDetect-MultiMed-335M</t>
  </si>
  <si>
    <t xml:space="preserve">bartowski/gemma-2-2b-it-GGUF</t>
  </si>
  <si>
    <t xml:space="preserve">https://huggingface.co/bartowski/gemma-2-2b-it-GGUF</t>
  </si>
  <si>
    <t xml:space="preserve">OpenMed/OpenMed-NER-DiseaseDetect-BigMed-560M</t>
  </si>
  <si>
    <t xml:space="preserve">https://huggingface.co/OpenMed/OpenMed-NER-DiseaseDetect-BigMed-560M</t>
  </si>
  <si>
    <t xml:space="preserve">OpenMed/OpenMed-NER-OrganismDetect-ModernMed-149M</t>
  </si>
  <si>
    <t xml:space="preserve">https://huggingface.co/OpenMed/OpenMed-NER-OrganismDetect-ModernMed-149M</t>
  </si>
  <si>
    <t xml:space="preserve">OpenMed/OpenMed-NER-AnatomyDetect-MultiMed-335M</t>
  </si>
  <si>
    <t xml:space="preserve">https://huggingface.co/OpenMed/OpenMed-NER-AnatomyDetect-MultiMed-335M</t>
  </si>
  <si>
    <t xml:space="preserve">OpenMed/OpenMed-NER-OrganismDetect-ModernClinical-395M</t>
  </si>
  <si>
    <t xml:space="preserve">https://huggingface.co/OpenMed/OpenMed-NER-OrganismDetect-ModernClinical-395M</t>
  </si>
  <si>
    <t xml:space="preserve">OpenMed/OpenMed-NER-AnatomyDetect-TinyMed-65M</t>
  </si>
  <si>
    <t xml:space="preserve">https://huggingface.co/OpenMed/OpenMed-NER-AnatomyDetect-TinyMed-65M</t>
  </si>
  <si>
    <t xml:space="preserve">OpenMed/OpenMed-NER-GenomeDetect-ElectraMed-335M</t>
  </si>
  <si>
    <t xml:space="preserve">https://huggingface.co/OpenMed/OpenMed-NER-GenomeDetect-ElectraMed-335M</t>
  </si>
  <si>
    <t xml:space="preserve">OpenMed/OpenMed-NER-BloodCancerDetect-ElectraMed-335M</t>
  </si>
  <si>
    <t xml:space="preserve">https://huggingface.co/OpenMed/OpenMed-NER-BloodCancerDetect-ElectraMed-335M</t>
  </si>
  <si>
    <t xml:space="preserve">safetensors;pytorch;onnx;tensorflow;flax;other</t>
  </si>
  <si>
    <t xml:space="preserve">https://huggingface.co/google-bert/bert-base-uncased</t>
  </si>
  <si>
    <t xml:space="preserve">OpenMed/OpenMed-NER-SpeciesDetect-SuperClinical-434M</t>
  </si>
  <si>
    <t xml:space="preserve">https://huggingface.co/OpenMed/OpenMed-NER-SpeciesDetect-SuperClinical-434M</t>
  </si>
  <si>
    <t xml:space="preserve">djovak/embedic-base</t>
  </si>
  <si>
    <t xml:space="preserve">djovak</t>
  </si>
  <si>
    <t xml:space="preserve">https://huggingface.co/djovak/embedic-base</t>
  </si>
  <si>
    <t xml:space="preserve">OpenMed/OpenMed-NER-BloodCancerDetect-BigMed-278M</t>
  </si>
  <si>
    <t xml:space="preserve">https://huggingface.co/OpenMed/OpenMed-NER-BloodCancerDetect-BigMed-278M</t>
  </si>
  <si>
    <t xml:space="preserve">OpenMed/OpenMed-NER-OncologyDetect-TinyMed-82M</t>
  </si>
  <si>
    <t xml:space="preserve">https://huggingface.co/OpenMed/OpenMed-NER-OncologyDetect-TinyMed-82M</t>
  </si>
  <si>
    <t xml:space="preserve">https://huggingface.co/FacebookAI/roberta-large</t>
  </si>
  <si>
    <t xml:space="preserve">google/bert_uncased_L-2_H-128_A-2</t>
  </si>
  <si>
    <t xml:space="preserve">https://huggingface.co/google/bert_uncased_L-2_H-128_A-2</t>
  </si>
  <si>
    <t xml:space="preserve">OpenMed/OpenMed-NER-ChemicalDetect-SuperMedical-355M</t>
  </si>
  <si>
    <t xml:space="preserve">https://huggingface.co/OpenMed/OpenMed-NER-ChemicalDetect-SuperMedical-355M</t>
  </si>
  <si>
    <t xml:space="preserve">OpenMed/OpenMed-NER-DNADetect-TinyMed-82M</t>
  </si>
  <si>
    <t xml:space="preserve">https://huggingface.co/OpenMed/OpenMed-NER-DNADetect-TinyMed-82M</t>
  </si>
  <si>
    <t xml:space="preserve">https://huggingface.co/FacebookAI/roberta-base</t>
  </si>
  <si>
    <t xml:space="preserve">yuxinlu1/gemma-4-12B-agentic-fable5-composer2.5-v2-3.5x-tau2-GGUF</t>
  </si>
  <si>
    <t xml:space="preserve">yuxinlu1</t>
  </si>
  <si>
    <t xml:space="preserve">https://huggingface.co/yuxinlu1/gemma-4-12B-agentic-fable5-composer2.5-v2-3.5x-tau2-GGUF</t>
  </si>
  <si>
    <t xml:space="preserve">OpenMed/OpenMed-NER-PharmaDetect-TinyMed-82M</t>
  </si>
  <si>
    <t xml:space="preserve">https://huggingface.co/OpenMed/OpenMed-NER-PharmaDetect-TinyMed-82M</t>
  </si>
  <si>
    <t xml:space="preserve">unslothai/1</t>
  </si>
  <si>
    <t xml:space="preserve">unslothai</t>
  </si>
  <si>
    <t xml:space="preserve">https://huggingface.co/unslothai/1</t>
  </si>
  <si>
    <t xml:space="preserve">https://huggingface.co/distilbert/distilbert-base-uncased</t>
  </si>
  <si>
    <t xml:space="preserve">QuantTrio/gemma-4-31B-it-AWQ</t>
  </si>
  <si>
    <t xml:space="preserve">QuantTrio</t>
  </si>
  <si>
    <t xml:space="preserve">https://huggingface.co/QuantTrio/gemma-4-31B-it-AWQ</t>
  </si>
  <si>
    <t xml:space="preserve">OpenMed/OpenMed-NER-PathologyDetect-BioPatient-108M</t>
  </si>
  <si>
    <t xml:space="preserve">https://huggingface.co/OpenMed/OpenMed-NER-PathologyDetect-BioPatient-108M</t>
  </si>
  <si>
    <t xml:space="preserve">OpenMed/OpenMed-NER-GenomeDetect-SnowMed-568M</t>
  </si>
  <si>
    <t xml:space="preserve">https://huggingface.co/OpenMed/OpenMed-NER-GenomeDetect-SnowMed-568M</t>
  </si>
  <si>
    <t xml:space="preserve">OpenMed/OpenMed-NER-PharmaDetect-MultiMed-335M</t>
  </si>
  <si>
    <t xml:space="preserve">https://huggingface.co/OpenMed/OpenMed-NER-PharmaDetect-MultiMed-335M</t>
  </si>
  <si>
    <t xml:space="preserve">mirth/chonky_modernbert_base_1</t>
  </si>
  <si>
    <t xml:space="preserve">https://huggingface.co/mirth/chonky_modernbert_base_1</t>
  </si>
  <si>
    <t xml:space="preserve">OpenMed/OpenMed-NER-DNADetect-SuperClinical-434M</t>
  </si>
  <si>
    <t xml:space="preserve">https://huggingface.co/OpenMed/OpenMed-NER-DNADetect-SuperClinical-434M</t>
  </si>
  <si>
    <t xml:space="preserve">unsloth/gemma-4-26B-A4B-it</t>
  </si>
  <si>
    <t xml:space="preserve">https://huggingface.co/unsloth/gemma-4-26B-A4B-it</t>
  </si>
  <si>
    <t xml:space="preserve">GaleneAI/llama-3.1-nemoguard-8b-content-safety-merged-NVFP4</t>
  </si>
  <si>
    <t xml:space="preserve">GaleneAI</t>
  </si>
  <si>
    <t xml:space="preserve">https://huggingface.co/GaleneAI/llama-3.1-nemoguard-8b-content-safety-merged-NVFP4</t>
  </si>
  <si>
    <t xml:space="preserve">OpenMed/OpenMed-NER-OncologyDetect-SnowMed-568M</t>
  </si>
  <si>
    <t xml:space="preserve">https://huggingface.co/OpenMed/OpenMed-NER-OncologyDetect-SnowMed-568M</t>
  </si>
  <si>
    <t xml:space="preserve">OpenMed/OpenMed-NER-DiseaseDetect-TinyMed-82M</t>
  </si>
  <si>
    <t xml:space="preserve">https://huggingface.co/OpenMed/OpenMed-NER-DiseaseDetect-TinyMed-82M</t>
  </si>
  <si>
    <t xml:space="preserve">OpenMed/OpenMed-NER-AnatomyDetect-SuperClinical-184M</t>
  </si>
  <si>
    <t xml:space="preserve">https://huggingface.co/OpenMed/OpenMed-NER-AnatomyDetect-SuperClinical-184M</t>
  </si>
  <si>
    <t xml:space="preserve">OpenMed/OpenMed-NER-ChemicalDetect-SuperClinical-184M</t>
  </si>
  <si>
    <t xml:space="preserve">https://huggingface.co/OpenMed/OpenMed-NER-ChemicalDetect-SuperClinical-184M</t>
  </si>
  <si>
    <t xml:space="preserve">OpenMed/OpenMed-NER-PharmaDetect-BioClinical-108M</t>
  </si>
  <si>
    <t xml:space="preserve">https://huggingface.co/OpenMed/OpenMed-NER-PharmaDetect-BioClinical-108M</t>
  </si>
  <si>
    <t xml:space="preserve">mistralai/Mistral-Medium-3.5-128B</t>
  </si>
  <si>
    <t xml:space="preserve">https://huggingface.co/mistralai/Mistral-Medium-3.5-128B</t>
  </si>
  <si>
    <t xml:space="preserve">OpenMed/OpenMed-NER-PathologyDetect-ElectraMed-33M</t>
  </si>
  <si>
    <t xml:space="preserve">https://huggingface.co/OpenMed/OpenMed-NER-PathologyDetect-ElectraMed-33M</t>
  </si>
  <si>
    <t xml:space="preserve">unslothai/repeat</t>
  </si>
  <si>
    <t xml:space="preserve">https://huggingface.co/unslothai/repeat</t>
  </si>
  <si>
    <t xml:space="preserve">janhq/Jan-v3.5-4B-gguf</t>
  </si>
  <si>
    <t xml:space="preserve">janhq</t>
  </si>
  <si>
    <t xml:space="preserve">janhq/Jan-v3-4B-base-instruct</t>
  </si>
  <si>
    <t xml:space="preserve">https://huggingface.co/janhq/Jan-v3.5-4B-gguf</t>
  </si>
  <si>
    <t xml:space="preserve">OpenMed/OpenMed-NER-BloodCancerDetect-SuperMedical-125M</t>
  </si>
  <si>
    <t xml:space="preserve">https://huggingface.co/OpenMed/OpenMed-NER-BloodCancerDetect-SuperMedical-125M</t>
  </si>
  <si>
    <t xml:space="preserve">OpenMed/OpenMed-NER-PharmaDetect-SuperMedical-355M</t>
  </si>
  <si>
    <t xml:space="preserve">https://huggingface.co/OpenMed/OpenMed-NER-PharmaDetect-SuperMedical-355M</t>
  </si>
  <si>
    <t xml:space="preserve">OpenMed/OpenMed-NER-DiseaseDetect-TinyMed-65M</t>
  </si>
  <si>
    <t xml:space="preserve">https://huggingface.co/OpenMed/OpenMed-NER-DiseaseDetect-TinyMed-65M</t>
  </si>
  <si>
    <t xml:space="preserve">laion/CLIP-ViT-B-32-laion2B-s34B-b79K</t>
  </si>
  <si>
    <t xml:space="preserve">laion</t>
  </si>
  <si>
    <t xml:space="preserve">https://huggingface.co/laion/CLIP-ViT-B-32-laion2B-s34B-b79K</t>
  </si>
  <si>
    <t xml:space="preserve">google-bert/bert-base-cased</t>
  </si>
  <si>
    <t xml:space="preserve">https://huggingface.co/google-bert/bert-base-cased</t>
  </si>
  <si>
    <t xml:space="preserve">OpenMed/OpenMed-NER-GenomicDetect-ElectraMed-33M</t>
  </si>
  <si>
    <t xml:space="preserve">https://huggingface.co/OpenMed/OpenMed-NER-GenomicDetect-ElectraMed-33M</t>
  </si>
  <si>
    <t xml:space="preserve">allenai/OLMoE-1B-7B-0924-Instruct</t>
  </si>
  <si>
    <t xml:space="preserve">allenai/OLMoE-1B-7B-0924-SFT</t>
  </si>
  <si>
    <t xml:space="preserve">https://huggingface.co/allenai/OLMoE-1B-7B-0924-Instruct</t>
  </si>
  <si>
    <t xml:space="preserve">unsloth/Llama-3.2-1B-Instruct</t>
  </si>
  <si>
    <t xml:space="preserve">https://huggingface.co/unsloth/Llama-3.2-1B-Instruct</t>
  </si>
  <si>
    <t xml:space="preserve">LilaRest/gemma-4-31B-it-NVFP4-turbo</t>
  </si>
  <si>
    <t xml:space="preserve">LilaRest</t>
  </si>
  <si>
    <t xml:space="preserve">https://huggingface.co/LilaRest/gemma-4-31B-it-NVFP4-turbo</t>
  </si>
  <si>
    <t xml:space="preserve">OpenMed/OpenMed-NER-OrganismDetect-BioClinical-108M</t>
  </si>
  <si>
    <t xml:space="preserve">https://huggingface.co/OpenMed/OpenMed-NER-OrganismDetect-BioClinical-108M</t>
  </si>
  <si>
    <t xml:space="preserve">google/medgemma-27b-it</t>
  </si>
  <si>
    <t xml:space="preserve">https://huggingface.co/google/medgemma-27b-it</t>
  </si>
  <si>
    <t xml:space="preserve">OpenMed/OpenMed-NER-PathologyDetect-SuperClinical-141M</t>
  </si>
  <si>
    <t xml:space="preserve">https://huggingface.co/OpenMed/OpenMed-NER-PathologyDetect-SuperClinical-141M</t>
  </si>
  <si>
    <t xml:space="preserve">yuxinlu1/gemma-4-12B-coder-fable5-composer2.5-v1-GGUF</t>
  </si>
  <si>
    <t xml:space="preserve">https://huggingface.co/yuxinlu1/gemma-4-12B-coder-fable5-composer2.5-v1-GGUF</t>
  </si>
  <si>
    <t xml:space="preserve">OpenMed/OpenMed-NER-OrganismDetect-SuperMedical-355M</t>
  </si>
  <si>
    <t xml:space="preserve">https://huggingface.co/OpenMed/OpenMed-NER-OrganismDetect-SuperMedical-355M</t>
  </si>
  <si>
    <t xml:space="preserve">OpenMed/OpenMed-NER-AnatomyDetect-ModernClinical-149M</t>
  </si>
  <si>
    <t xml:space="preserve">https://huggingface.co/OpenMed/OpenMed-NER-AnatomyDetect-ModernClinical-149M</t>
  </si>
  <si>
    <t xml:space="preserve">bartowski/gemma-4-12B-it-GGUF</t>
  </si>
  <si>
    <t xml:space="preserve">https://huggingface.co/bartowski/gemma-4-12B-it-GGUF</t>
  </si>
  <si>
    <t xml:space="preserve">OpenMed/OpenMed-NER-GenomicDetect-BioPatient-108M</t>
  </si>
  <si>
    <t xml:space="preserve">https://huggingface.co/OpenMed/OpenMed-NER-GenomicDetect-BioPatient-108M</t>
  </si>
  <si>
    <t xml:space="preserve">mlx-community/all-MiniLM-L6-v2-4bit</t>
  </si>
  <si>
    <t xml:space="preserve">https://huggingface.co/mlx-community/all-MiniLM-L6-v2-4bit</t>
  </si>
  <si>
    <t xml:space="preserve">OpenMed/OpenMed-NER-BloodCancerDetect-MultiMed-335M</t>
  </si>
  <si>
    <t xml:space="preserve">https://huggingface.co/OpenMed/OpenMed-NER-BloodCancerDetect-MultiMed-335M</t>
  </si>
  <si>
    <t xml:space="preserve">unsloth/LFM2.5-8B-A1B-GGUF</t>
  </si>
  <si>
    <t xml:space="preserve">https://huggingface.co/unsloth/LFM2.5-8B-A1B-GGUF</t>
  </si>
  <si>
    <t xml:space="preserve">OpenMed/OpenMed-NER-PharmaDetect-ElectraMed-109M</t>
  </si>
  <si>
    <t xml:space="preserve">https://huggingface.co/OpenMed/OpenMed-NER-PharmaDetect-ElectraMed-109M</t>
  </si>
  <si>
    <t xml:space="preserve">OpenMed/OpenMed-NER-OncologyDetect-SuperClinical-141M</t>
  </si>
  <si>
    <t xml:space="preserve">https://huggingface.co/OpenMed/OpenMed-NER-OncologyDetect-SuperClinical-141M</t>
  </si>
  <si>
    <t xml:space="preserve">OpenMed/OpenMed-NER-GenomicDetect-ModernClinical-149M</t>
  </si>
  <si>
    <t xml:space="preserve">https://huggingface.co/OpenMed/OpenMed-NER-GenomicDetect-ModernClinical-149M</t>
  </si>
  <si>
    <t xml:space="preserve">google/gemma-3n-E4B</t>
  </si>
  <si>
    <t xml:space="preserve">https://huggingface.co/google/gemma-3n-E4B-it</t>
  </si>
  <si>
    <t xml:space="preserve">facebook/esm2_t30_150M_UR50D</t>
  </si>
  <si>
    <t xml:space="preserve">https://huggingface.co/facebook/esm2_t30_150M_UR50D</t>
  </si>
  <si>
    <t xml:space="preserve">OpenMed/OpenMed-NER-PharmaDetect-SuperClinical-141M</t>
  </si>
  <si>
    <t xml:space="preserve">https://huggingface.co/OpenMed/OpenMed-NER-PharmaDetect-SuperClinical-141M</t>
  </si>
  <si>
    <t xml:space="preserve">OpenMed/OpenMed-NER-GenomicDetect-SuperClinical-184M</t>
  </si>
  <si>
    <t xml:space="preserve">https://huggingface.co/OpenMed/OpenMed-NER-GenomicDetect-SuperClinical-184M</t>
  </si>
  <si>
    <t xml:space="preserve">avsolatorio/GIST-Embedding-v0</t>
  </si>
  <si>
    <t xml:space="preserve">avsolatorio</t>
  </si>
  <si>
    <t xml:space="preserve">https://huggingface.co/avsolatorio/GIST-Embedding-v0</t>
  </si>
  <si>
    <t xml:space="preserve">sentence-transformers/multi-qa-distilbert-dot-v1</t>
  </si>
  <si>
    <t xml:space="preserve">https://huggingface.co/sentence-transformers/multi-qa-distilbert-dot-v1</t>
  </si>
  <si>
    <t xml:space="preserve">ai-forever/ru-en-RoSBERTa</t>
  </si>
  <si>
    <t xml:space="preserve">ai-forever/ruRoberta-large</t>
  </si>
  <si>
    <t xml:space="preserve">https://huggingface.co/ai-forever/ru-en-RoSBERTa</t>
  </si>
  <si>
    <t xml:space="preserve">OpenMed/OpenMed-NER-ChemicalDetect-SuperMedical-125M</t>
  </si>
  <si>
    <t xml:space="preserve">https://huggingface.co/OpenMed/OpenMed-NER-ChemicalDetect-SuperMedical-125M</t>
  </si>
  <si>
    <t xml:space="preserve">OpenMed/OpenMed-NER-BloodCancerDetect-TinyMed-82M</t>
  </si>
  <si>
    <t xml:space="preserve">https://huggingface.co/OpenMed/OpenMed-NER-BloodCancerDetect-TinyMed-82M</t>
  </si>
  <si>
    <t xml:space="preserve">mistralai/Voxtral-Mini-4B-Realtime-2602</t>
  </si>
  <si>
    <t xml:space="preserve">https://huggingface.co/mistralai/Voxtral-Mini-4B-Realtime-2602</t>
  </si>
  <si>
    <t xml:space="preserve">OpenMed/OpenMed-NER-GenomeDetect-BigMed-560M</t>
  </si>
  <si>
    <t xml:space="preserve">https://huggingface.co/OpenMed/OpenMed-NER-GenomeDetect-BigMed-560M</t>
  </si>
  <si>
    <t xml:space="preserve">OpenMed/OpenMed-NER-GenomeDetect-BioPatient-108M</t>
  </si>
  <si>
    <t xml:space="preserve">https://huggingface.co/OpenMed/OpenMed-NER-GenomeDetect-BioPatient-108M</t>
  </si>
  <si>
    <t xml:space="preserve">sentence-transformers/msmarco-distilbert-cos-v5</t>
  </si>
  <si>
    <t xml:space="preserve">https://huggingface.co/sentence-transformers/msmarco-distilbert-cos-v5</t>
  </si>
  <si>
    <t xml:space="preserve">OpenMed/OpenMed-NER-PharmaDetect-ModernMed-149M</t>
  </si>
  <si>
    <t xml:space="preserve">https://huggingface.co/OpenMed/OpenMed-NER-PharmaDetect-ModernMed-149M</t>
  </si>
  <si>
    <t xml:space="preserve">OpenMed/OpenMed-NER-ProteinDetect-SuperClinical-434M</t>
  </si>
  <si>
    <t xml:space="preserve">https://huggingface.co/OpenMed/OpenMed-NER-ProteinDetect-SuperClinical-434M</t>
  </si>
  <si>
    <t xml:space="preserve">OpenMed/OpenMed-NER-AnatomyDetect-SuperMedical-125M</t>
  </si>
  <si>
    <t xml:space="preserve">https://huggingface.co/OpenMed/OpenMed-NER-AnatomyDetect-SuperMedical-125M</t>
  </si>
  <si>
    <t xml:space="preserve">google-bert/bert-large-uncased</t>
  </si>
  <si>
    <t xml:space="preserve">https://huggingface.co/google-bert/bert-large-uncased</t>
  </si>
  <si>
    <t xml:space="preserve">OpenMed/OpenMed-NER-BloodCancerDetect-ElectraMed-33M</t>
  </si>
  <si>
    <t xml:space="preserve">https://huggingface.co/OpenMed/OpenMed-NER-BloodCancerDetect-ElectraMed-33M</t>
  </si>
  <si>
    <t xml:space="preserve">opensearch-project/opensearch-neural-sparse-encoding-multilingual-v1</t>
  </si>
  <si>
    <t xml:space="preserve">https://huggingface.co/opensearch-project/opensearch-neural-sparse-encoding-multilingual-v1</t>
  </si>
  <si>
    <t xml:space="preserve">OpenMed/OpenMed-NER-BloodCancerDetect-SuperClinical-184M</t>
  </si>
  <si>
    <t xml:space="preserve">https://huggingface.co/OpenMed/OpenMed-NER-BloodCancerDetect-SuperClinical-184M</t>
  </si>
  <si>
    <t xml:space="preserve">OpenMed/OpenMed-NER-AnatomyDetect-ElectraMed-335M</t>
  </si>
  <si>
    <t xml:space="preserve">https://huggingface.co/OpenMed/OpenMed-NER-AnatomyDetect-ElectraMed-335M</t>
  </si>
  <si>
    <t xml:space="preserve">OpenMed/OpenMed-NER-BloodCancerDetect-ElectraMed-109M</t>
  </si>
  <si>
    <t xml:space="preserve">https://huggingface.co/OpenMed/OpenMed-NER-BloodCancerDetect-ElectraMed-109M</t>
  </si>
  <si>
    <t xml:space="preserve">OpenMed/OpenMed-NER-SpeciesDetect-BioClinical-108M</t>
  </si>
  <si>
    <t xml:space="preserve">https://huggingface.co/OpenMed/OpenMed-NER-SpeciesDetect-BioClinical-108M</t>
  </si>
  <si>
    <t xml:space="preserve">OpenMed/OpenMed-NER-DiseaseDetect-ModernMed-149M</t>
  </si>
  <si>
    <t xml:space="preserve">https://huggingface.co/OpenMed/OpenMed-NER-DiseaseDetect-ModernMed-149M</t>
  </si>
  <si>
    <t xml:space="preserve">OpenMed/OpenMed-NER-GenomeDetect-ElectraMed-109M</t>
  </si>
  <si>
    <t xml:space="preserve">https://huggingface.co/OpenMed/OpenMed-NER-GenomeDetect-ElectraMed-109M</t>
  </si>
  <si>
    <t xml:space="preserve">OpenMed/OpenMed-NER-DNADetect-BioClinical-108M</t>
  </si>
  <si>
    <t xml:space="preserve">https://huggingface.co/OpenMed/OpenMed-NER-DNADetect-BioClinical-108M</t>
  </si>
  <si>
    <t xml:space="preserve">OpenMed/OpenMed-NER-OncologyDetect-BioPatient-108M</t>
  </si>
  <si>
    <t xml:space="preserve">https://huggingface.co/OpenMed/OpenMed-NER-OncologyDetect-BioPatient-108M</t>
  </si>
  <si>
    <t xml:space="preserve">https://huggingface.co/distilbert/distilroberta-base</t>
  </si>
  <si>
    <t xml:space="preserve">OpenMed/OpenMed-NER-GenomicDetect-TinyMed-82M</t>
  </si>
  <si>
    <t xml:space="preserve">https://huggingface.co/OpenMed/OpenMed-NER-GenomicDetect-TinyMed-82M</t>
  </si>
  <si>
    <t xml:space="preserve">ariyul/gender_prediction_model_from_text</t>
  </si>
  <si>
    <t xml:space="preserve">ariyul</t>
  </si>
  <si>
    <t xml:space="preserve">https://huggingface.co/ariyul/gender_prediction_model_from_text</t>
  </si>
  <si>
    <t xml:space="preserve">ibm-granite/granite-speech-4.1-2b</t>
  </si>
  <si>
    <t xml:space="preserve">ibm-granite/granite-4.0-1b-base</t>
  </si>
  <si>
    <t xml:space="preserve">https://huggingface.co/ibm-granite/granite-speech-4.1-2b</t>
  </si>
  <si>
    <t xml:space="preserve">RedHatAI/Mistral-Small-3.1-24B-Instruct-2503-FP8-dynamic</t>
  </si>
  <si>
    <t xml:space="preserve">https://huggingface.co/RedHatAI/Mistral-Small-3.1-24B-Instruct-2503-FP8-dynamic</t>
  </si>
  <si>
    <t xml:space="preserve">OpenMed/OpenMed-NER-BloodCancerDetect-SuperClinical-434M</t>
  </si>
  <si>
    <t xml:space="preserve">https://huggingface.co/OpenMed/OpenMed-NER-BloodCancerDetect-SuperClinical-434M</t>
  </si>
  <si>
    <t xml:space="preserve">OpenMed/OpenMed-NER-DiseaseDetect-MultiMed-335M</t>
  </si>
  <si>
    <t xml:space="preserve">https://huggingface.co/OpenMed/OpenMed-NER-DiseaseDetect-MultiMed-335M</t>
  </si>
  <si>
    <t xml:space="preserve">OpenMed/OpenMed-NER-DiseaseDetect-ElectraMed-33M</t>
  </si>
  <si>
    <t xml:space="preserve">https://huggingface.co/OpenMed/OpenMed-NER-DiseaseDetect-ElectraMed-33M</t>
  </si>
  <si>
    <t xml:space="preserve">microsoft/table-transformer-structure-recognition</t>
  </si>
  <si>
    <t xml:space="preserve">https://huggingface.co/microsoft/table-transformer-structure-recognition</t>
  </si>
  <si>
    <t xml:space="preserve">bartowski/Meta-Llama-3.1-8B-Instruct-GGUF</t>
  </si>
  <si>
    <t xml:space="preserve">https://huggingface.co/bartowski/Meta-Llama-3.1-8B-Instruct-GGUF</t>
  </si>
  <si>
    <t xml:space="preserve">OpenMed/OpenMed-NER-SpeciesDetect-BigMed-278M</t>
  </si>
  <si>
    <t xml:space="preserve">https://huggingface.co/OpenMed/OpenMed-NER-SpeciesDetect-BigMed-278M</t>
  </si>
  <si>
    <t xml:space="preserve">OpenMed/OpenMed-NER-PathologyDetect-ElectraMed-560M</t>
  </si>
  <si>
    <t xml:space="preserve">https://huggingface.co/OpenMed/OpenMed-NER-PathologyDetect-ElectraMed-560M</t>
  </si>
  <si>
    <t xml:space="preserve">OpenMed/OpenMed-NER-SpeciesDetect-BigMed-560M</t>
  </si>
  <si>
    <t xml:space="preserve">https://huggingface.co/OpenMed/OpenMed-NER-SpeciesDetect-BigMed-560M</t>
  </si>
  <si>
    <t xml:space="preserve">AlfonsoM/Rocinante-12B-v1.1-GPTQ</t>
  </si>
  <si>
    <t xml:space="preserve">AlfonsoM</t>
  </si>
  <si>
    <t xml:space="preserve">TheDrummer/Rocinante-12B-v1.1</t>
  </si>
  <si>
    <t xml:space="preserve">https://huggingface.co/AlfonsoM/Rocinante-12B-v1.1-GPTQ</t>
  </si>
  <si>
    <t xml:space="preserve">OpenMed/OpenMed-NER-SpeciesDetect-TinyMed-82M</t>
  </si>
  <si>
    <t xml:space="preserve">https://huggingface.co/OpenMed/OpenMed-NER-SpeciesDetect-TinyMed-82M</t>
  </si>
  <si>
    <t xml:space="preserve">allenai/Olmo-3-1125-32B</t>
  </si>
  <si>
    <t xml:space="preserve">https://huggingface.co/allenai/Olmo-3-1125-32B</t>
  </si>
  <si>
    <t xml:space="preserve">OpenMed/OpenMed-NER-DNADetect-MultiMed-568M</t>
  </si>
  <si>
    <t xml:space="preserve">https://huggingface.co/OpenMed/OpenMed-NER-DNADetect-MultiMed-568M</t>
  </si>
  <si>
    <t xml:space="preserve">OpenMed/OpenMed-NER-GenomicDetect-ElectraMed-109M</t>
  </si>
  <si>
    <t xml:space="preserve">https://huggingface.co/OpenMed/OpenMed-NER-GenomicDetect-ElectraMed-109M</t>
  </si>
  <si>
    <t xml:space="preserve">OpenMed/OpenMed-NER-DiseaseDetect-SuperClinical-141M</t>
  </si>
  <si>
    <t xml:space="preserve">https://huggingface.co/OpenMed/OpenMed-NER-DiseaseDetect-SuperClinical-141M</t>
  </si>
  <si>
    <t xml:space="preserve">OpenMed/OpenMed-NER-DNADetect-SuperMedical-355M</t>
  </si>
  <si>
    <t xml:space="preserve">https://huggingface.co/OpenMed/OpenMed-NER-DNADetect-SuperMedical-355M</t>
  </si>
  <si>
    <t xml:space="preserve">OpenMed/OpenMed-NER-ProteinDetect-SuperMedical-355M</t>
  </si>
  <si>
    <t xml:space="preserve">https://huggingface.co/OpenMed/OpenMed-NER-ProteinDetect-SuperMedical-355M</t>
  </si>
  <si>
    <t xml:space="preserve">unsloth/Meta-Llama-3.1-8B-Instruct</t>
  </si>
  <si>
    <t xml:space="preserve">https://huggingface.co/unsloth/Meta-Llama-3.1-8B-Instruct</t>
  </si>
  <si>
    <t xml:space="preserve">OpenMed/OpenMed-NER-GenomeDetect-TinyMed-66M</t>
  </si>
  <si>
    <t xml:space="preserve">https://huggingface.co/OpenMed/OpenMed-NER-GenomeDetect-TinyMed-66M</t>
  </si>
  <si>
    <t xml:space="preserve">OpenMed/OpenMed-NER-OncologyDetect-ModernClinical-149M</t>
  </si>
  <si>
    <t xml:space="preserve">https://huggingface.co/OpenMed/OpenMed-NER-OncologyDetect-ModernClinical-149M</t>
  </si>
  <si>
    <t xml:space="preserve">heydariAI/persian-embeddings</t>
  </si>
  <si>
    <t xml:space="preserve">heydariAI</t>
  </si>
  <si>
    <t xml:space="preserve">https://huggingface.co/heydariAI/persian-embeddings</t>
  </si>
  <si>
    <t xml:space="preserve">OpenMed/OpenMed-NER-GenomeDetect-SuperMedical-125M</t>
  </si>
  <si>
    <t xml:space="preserve">https://huggingface.co/OpenMed/OpenMed-NER-GenomeDetect-SuperMedical-125M</t>
  </si>
  <si>
    <t xml:space="preserve">OpenMed/OpenMed-NER-AnatomyDetect-TinyMed-66M</t>
  </si>
  <si>
    <t xml:space="preserve">https://huggingface.co/OpenMed/OpenMed-NER-AnatomyDetect-TinyMed-66M</t>
  </si>
  <si>
    <t xml:space="preserve">microsoft/table-transformer-detection</t>
  </si>
  <si>
    <t xml:space="preserve">https://huggingface.co/microsoft/table-transformer-detection</t>
  </si>
  <si>
    <t xml:space="preserve">OpenMed/OpenMed-NER-ProteinDetect-TinyMed-66M</t>
  </si>
  <si>
    <t xml:space="preserve">https://huggingface.co/OpenMed/OpenMed-NER-ProteinDetect-TinyMed-66M</t>
  </si>
  <si>
    <t xml:space="preserve">nvidia/Llama-3.1-Nemotron-Nano-8B-v1</t>
  </si>
  <si>
    <t xml:space="preserve">https://huggingface.co/nvidia/Llama-3.1-Nemotron-Nano-8B-v1</t>
  </si>
  <si>
    <t xml:space="preserve">OpenMed/OpenMed-NER-GenomeDetect-TinyMed-82M</t>
  </si>
  <si>
    <t xml:space="preserve">https://huggingface.co/OpenMed/OpenMed-NER-GenomeDetect-TinyMed-82M</t>
  </si>
  <si>
    <t xml:space="preserve">unslothai/lambda</t>
  </si>
  <si>
    <t xml:space="preserve">https://huggingface.co/unslothai/lambda</t>
  </si>
  <si>
    <t xml:space="preserve">OpenMed/OpenMed-NER-AnatomyDetect-SuperMedical-355M</t>
  </si>
  <si>
    <t xml:space="preserve">https://huggingface.co/OpenMed/OpenMed-NER-AnatomyDetect-SuperMedical-355M</t>
  </si>
  <si>
    <t xml:space="preserve">MaziyarPanahi/Trinity-Mini-GGUF</t>
  </si>
  <si>
    <t xml:space="preserve">arcee-ai/Trinity-Mini</t>
  </si>
  <si>
    <t xml:space="preserve">https://huggingface.co/MaziyarPanahi/Trinity-Mini-GGUF</t>
  </si>
  <si>
    <t xml:space="preserve">mrm8488/bert-tiny-finetuned-sms-spam-detection</t>
  </si>
  <si>
    <t xml:space="preserve">mrm8488</t>
  </si>
  <si>
    <t xml:space="preserve">https://huggingface.co/mrm8488/bert-tiny-finetuned-sms-spam-detection</t>
  </si>
  <si>
    <t xml:space="preserve">OpenMed/OpenMed-NER-DiseaseDetect-ModernMed-395M</t>
  </si>
  <si>
    <t xml:space="preserve">https://huggingface.co/OpenMed/OpenMed-NER-DiseaseDetect-ModernMed-395M</t>
  </si>
  <si>
    <t xml:space="preserve">OpenMed/OpenMed-NER-ChemicalDetect-MultiMed-335M</t>
  </si>
  <si>
    <t xml:space="preserve">https://huggingface.co/OpenMed/OpenMed-NER-ChemicalDetect-MultiMed-335M</t>
  </si>
  <si>
    <t xml:space="preserve">OpenMed/OpenMed-NER-SpeciesDetect-TinyMed-65M</t>
  </si>
  <si>
    <t xml:space="preserve">https://huggingface.co/OpenMed/OpenMed-NER-SpeciesDetect-TinyMed-65M</t>
  </si>
  <si>
    <t xml:space="preserve">google/paligemma2-3b-pt-224</t>
  </si>
  <si>
    <t xml:space="preserve">https://huggingface.co/google/paligemma2-3b-pt-224</t>
  </si>
  <si>
    <t xml:space="preserve">OpenMed/OpenMed-NER-BloodCancerDetect-ModernMed-395M</t>
  </si>
  <si>
    <t xml:space="preserve">https://huggingface.co/OpenMed/OpenMed-NER-BloodCancerDetect-ModernMed-395M</t>
  </si>
  <si>
    <t xml:space="preserve">google/siglip2-base-patch16-naflex</t>
  </si>
  <si>
    <t xml:space="preserve">https://huggingface.co/google/siglip2-base-patch16-naflex</t>
  </si>
  <si>
    <t xml:space="preserve">OpenMed/OpenMed-NER-AnatomyDetect-TinyMed-82M</t>
  </si>
  <si>
    <t xml:space="preserve">https://huggingface.co/OpenMed/OpenMed-NER-AnatomyDetect-TinyMed-82M</t>
  </si>
  <si>
    <t xml:space="preserve">OpenMed/OpenMed-NER-GenomicDetect-TinyMed-65M</t>
  </si>
  <si>
    <t xml:space="preserve">https://huggingface.co/OpenMed/OpenMed-NER-GenomicDetect-TinyMed-65M</t>
  </si>
  <si>
    <t xml:space="preserve">google/siglip2-base-patch16-224</t>
  </si>
  <si>
    <t xml:space="preserve">https://huggingface.co/google/siglip2-base-patch16-224</t>
  </si>
  <si>
    <t xml:space="preserve">OpenMed/OpenMed-NER-ProteinDetect-BigMed-278M</t>
  </si>
  <si>
    <t xml:space="preserve">https://huggingface.co/OpenMed/OpenMed-NER-ProteinDetect-BigMed-278M</t>
  </si>
  <si>
    <t xml:space="preserve">OpenMed/OpenMed-NER-DiseaseDetect-BioClinical-108M</t>
  </si>
  <si>
    <t xml:space="preserve">https://huggingface.co/OpenMed/OpenMed-NER-DiseaseDetect-BioClinical-108M</t>
  </si>
  <si>
    <t xml:space="preserve">LenDigLearn/formality-classifier-mdeberta-v3-base</t>
  </si>
  <si>
    <t xml:space="preserve">LenDigLearn</t>
  </si>
  <si>
    <t xml:space="preserve">microsoft/mdeberta-v3-base</t>
  </si>
  <si>
    <t xml:space="preserve">https://huggingface.co/LenDigLearn/formality-classifier-mdeberta-v3-base</t>
  </si>
  <si>
    <t xml:space="preserve">unslothai/vram-16</t>
  </si>
  <si>
    <t xml:space="preserve">https://huggingface.co/unslothai/vram-16</t>
  </si>
  <si>
    <t xml:space="preserve">OpenMed/OpenMed-NER-SpeciesDetect-SuperMedical-355M</t>
  </si>
  <si>
    <t xml:space="preserve">https://huggingface.co/OpenMed/OpenMed-NER-SpeciesDetect-SuperMedical-355M</t>
  </si>
  <si>
    <t xml:space="preserve">OpenMed/OpenMed-NER-PathologyDetect-SuperMedical-125M</t>
  </si>
  <si>
    <t xml:space="preserve">https://huggingface.co/OpenMed/OpenMed-NER-PathologyDetect-SuperMedical-125M</t>
  </si>
  <si>
    <t xml:space="preserve">OpenMed/OpenMed-NER-GenomeDetect-BigMed-278M</t>
  </si>
  <si>
    <t xml:space="preserve">https://huggingface.co/OpenMed/OpenMed-NER-GenomeDetect-BigMed-278M</t>
  </si>
  <si>
    <t xml:space="preserve">OpenMed/OpenMed-NER-PharmaDetect-ElectraMed-335M</t>
  </si>
  <si>
    <t xml:space="preserve">https://huggingface.co/OpenMed/OpenMed-NER-PharmaDetect-ElectraMed-335M</t>
  </si>
  <si>
    <t xml:space="preserve">unsloth/Devstral-Small-2505-GGUF</t>
  </si>
  <si>
    <t xml:space="preserve">mistralai/Devstral-Small-2505</t>
  </si>
  <si>
    <t xml:space="preserve">https://huggingface.co/unsloth/Devstral-Small-2505-GGUF</t>
  </si>
  <si>
    <t xml:space="preserve">OpenMed/OpenMed-NER-SpeciesDetect-MultiMed-335M</t>
  </si>
  <si>
    <t xml:space="preserve">https://huggingface.co/OpenMed/OpenMed-NER-SpeciesDetect-MultiMed-335M</t>
  </si>
  <si>
    <t xml:space="preserve">google/siglip2-base-patch16-256</t>
  </si>
  <si>
    <t xml:space="preserve">https://huggingface.co/google/siglip2-base-patch16-256</t>
  </si>
  <si>
    <t xml:space="preserve">AnkitAI/Parable-Granite-4.1-3B-Claude-Fable-5-GGUF</t>
  </si>
  <si>
    <t xml:space="preserve">AnkitAI</t>
  </si>
  <si>
    <t xml:space="preserve">https://huggingface.co/AnkitAI/Parable-Granite-4.1-3B-Claude-Fable-5-GGUF</t>
  </si>
  <si>
    <t xml:space="preserve">OpenMed/OpenMed-NER-ProteinDetect-MultiMed-335M</t>
  </si>
  <si>
    <t xml:space="preserve">https://huggingface.co/OpenMed/OpenMed-NER-ProteinDetect-MultiMed-335M</t>
  </si>
  <si>
    <t xml:space="preserve">OpenMed/OpenMed-NER-GenomicDetect-TinyMed-66M</t>
  </si>
  <si>
    <t xml:space="preserve">https://huggingface.co/OpenMed/OpenMed-NER-GenomicDetect-TinyMed-66M</t>
  </si>
  <si>
    <t xml:space="preserve">OpenMed/OpenMed-NER-BloodCancerDetect-BioClinical-108M</t>
  </si>
  <si>
    <t xml:space="preserve">https://huggingface.co/OpenMed/OpenMed-NER-BloodCancerDetect-BioClinical-108M</t>
  </si>
  <si>
    <t xml:space="preserve">meta-models/Muse-Glimmer-30B-GGUF</t>
  </si>
  <si>
    <t xml:space="preserve">meta-models</t>
  </si>
  <si>
    <t xml:space="preserve">https://huggingface.co/meta-models/Muse-Glimmer-30B-GGUF</t>
  </si>
  <si>
    <t xml:space="preserve">OpenMed/OpenMed-NER-ProteinDetect-ModernClinical-395M</t>
  </si>
  <si>
    <t xml:space="preserve">https://huggingface.co/OpenMed/OpenMed-NER-ProteinDetect-ModernClinical-395M</t>
  </si>
  <si>
    <t xml:space="preserve">OpenMed/OpenMed-NER-DNADetect-MultiMed-335M</t>
  </si>
  <si>
    <t xml:space="preserve">https://huggingface.co/OpenMed/OpenMed-NER-DNADetect-MultiMed-335M</t>
  </si>
  <si>
    <t xml:space="preserve">OpenMed/OpenMed-NER-OncologyDetect-ModernClinical-395M</t>
  </si>
  <si>
    <t xml:space="preserve">https://huggingface.co/OpenMed/OpenMed-NER-OncologyDetect-ModernClinical-395M</t>
  </si>
  <si>
    <t xml:space="preserve">OpenMed/OpenMed-NER-ProteinDetect-SuperClinical-184M</t>
  </si>
  <si>
    <t xml:space="preserve">https://huggingface.co/OpenMed/OpenMed-NER-ProteinDetect-SuperClinical-184M</t>
  </si>
  <si>
    <t xml:space="preserve">jamal-ibrahim/risk_assesment</t>
  </si>
  <si>
    <t xml:space="preserve">jamal-ibrahim</t>
  </si>
  <si>
    <t xml:space="preserve">https://huggingface.co/jamal-ibrahim/risk_assesment</t>
  </si>
  <si>
    <t xml:space="preserve">OpenMed/OpenMed-NER-DNADetect-ElectraMed-33M</t>
  </si>
  <si>
    <t xml:space="preserve">https://huggingface.co/OpenMed/OpenMed-NER-DNADetect-ElectraMed-33M</t>
  </si>
  <si>
    <t xml:space="preserve">unslothai/other</t>
  </si>
  <si>
    <t xml:space="preserve">https://huggingface.co/unslothai/other</t>
  </si>
  <si>
    <t xml:space="preserve">dragonkue/snowflake-arctic-embed-l-v2.0-ko</t>
  </si>
  <si>
    <t xml:space="preserve">dragonkue</t>
  </si>
  <si>
    <t xml:space="preserve">https://huggingface.co/dragonkue/snowflake-arctic-embed-l-v2.0-ko</t>
  </si>
  <si>
    <t xml:space="preserve">Helsinki-NLP/opus-mt-fr-en</t>
  </si>
  <si>
    <t xml:space="preserve">Helsinki-NLP</t>
  </si>
  <si>
    <t xml:space="preserve">https://huggingface.co/Helsinki-NLP/opus-mt-fr-en</t>
  </si>
  <si>
    <t xml:space="preserve">autogluon/mitra-classifier</t>
  </si>
  <si>
    <t xml:space="preserve">https://huggingface.co/autogluon/mitra-classifier</t>
  </si>
  <si>
    <t xml:space="preserve">avsolatorio/GIST-all-MiniLM-L6-v2</t>
  </si>
  <si>
    <t xml:space="preserve">https://huggingface.co/avsolatorio/GIST-all-MiniLM-L6-v2</t>
  </si>
  <si>
    <t xml:space="preserve">bartowski/thomsonreuters_Thomson-1.0-Small-GGUF</t>
  </si>
  <si>
    <t xml:space="preserve">thomsonreuters/Thomson-1.0-Small</t>
  </si>
  <si>
    <t xml:space="preserve">https://huggingface.co/bartowski/thomsonreuters_Thomson-1.0-Small-GGUF</t>
  </si>
  <si>
    <t xml:space="preserve">AnkitAI/Parable-Granite-4.1-8B-Claude-Fable-5-GGUF</t>
  </si>
  <si>
    <t xml:space="preserve">https://huggingface.co/AnkitAI/Parable-Granite-4.1-8B-Claude-Fable-5-GGUF</t>
  </si>
  <si>
    <t xml:space="preserve">bigcode/starcoder2-7b</t>
  </si>
  <si>
    <t xml:space="preserve">https://huggingface.co/bigcode/starcoder2-7b</t>
  </si>
  <si>
    <t xml:space="preserve">ibm-granite/granite-timeseries-patchtst</t>
  </si>
  <si>
    <t xml:space="preserve">https://huggingface.co/ibm-granite/granite-timeseries-patchtst</t>
  </si>
  <si>
    <t xml:space="preserve">bg-digitalservices/Gemma-4-26B-A4B-it-NVFP4</t>
  </si>
  <si>
    <t xml:space="preserve">bg-digitalservices</t>
  </si>
  <si>
    <t xml:space="preserve">https://huggingface.co/bg-digitalservices/Gemma-4-26B-A4B-it-NVFP4</t>
  </si>
  <si>
    <t xml:space="preserve">QuantFactory/SmolLM2-135M-GGUF</t>
  </si>
  <si>
    <t xml:space="preserve">QuantFactory</t>
  </si>
  <si>
    <t xml:space="preserve">https://huggingface.co/QuantFactory/SmolLM2-135M-GGUF</t>
  </si>
  <si>
    <t xml:space="preserve">microsoft/VibeVoice-ASR</t>
  </si>
  <si>
    <t xml:space="preserve">https://huggingface.co/microsoft/VibeVoice-ASR</t>
  </si>
  <si>
    <t xml:space="preserve">Hate-speech-CNERG/indic-abusive-allInOne-MuRIL</t>
  </si>
  <si>
    <t xml:space="preserve">Hate-speech-CNERG</t>
  </si>
  <si>
    <t xml:space="preserve">https://huggingface.co/Hate-speech-CNERG/indic-abusive-allInOne-MuRIL</t>
  </si>
  <si>
    <t xml:space="preserve">EleutherAI/pythia-1b-deduped</t>
  </si>
  <si>
    <t xml:space="preserve">https://huggingface.co/EleutherAI/pythia-1b-deduped</t>
  </si>
  <si>
    <t xml:space="preserve">unsloth/Mistral-Small-3.2-24B-Instruct-2506-GGUF</t>
  </si>
  <si>
    <t xml:space="preserve">https://huggingface.co/unsloth/Mistral-Small-3.2-24B-Instruct-2506-GGUF</t>
  </si>
  <si>
    <t xml:space="preserve">haywoodsloan/ai-image-detector-dev-deploy</t>
  </si>
  <si>
    <t xml:space="preserve">haywoodsloan</t>
  </si>
  <si>
    <t xml:space="preserve">haywoodsloan/ai-image-detector-deploy</t>
  </si>
  <si>
    <t xml:space="preserve">https://huggingface.co/haywoodsloan/ai-image-detector-dev-deploy</t>
  </si>
  <si>
    <t xml:space="preserve">lmstudio-community/gemma-3-1b-it-GGUF</t>
  </si>
  <si>
    <t xml:space="preserve">https://huggingface.co/lmstudio-community/gemma-3-1b-it-GGUF</t>
  </si>
  <si>
    <t xml:space="preserve">Zyphra/ZAYA1-8B</t>
  </si>
  <si>
    <t xml:space="preserve">Zyphra/ZAYA1-reasoning-base</t>
  </si>
  <si>
    <t xml:space="preserve">https://huggingface.co/Zyphra/ZAYA1-8B</t>
  </si>
  <si>
    <t xml:space="preserve">stelterlab/Mistral-Small-24B-Instruct-2501-AWQ</t>
  </si>
  <si>
    <t xml:space="preserve">stelterlab</t>
  </si>
  <si>
    <t xml:space="preserve">https://huggingface.co/stelterlab/Mistral-Small-24B-Instruct-2501-AWQ</t>
  </si>
  <si>
    <t xml:space="preserve">avsolatorio/GIST-small-Embedding-v0</t>
  </si>
  <si>
    <t xml:space="preserve">https://huggingface.co/avsolatorio/GIST-small-Embedding-v0</t>
  </si>
  <si>
    <t xml:space="preserve">RedHatAI/Llama-3.2-1B-Instruct-FP8-dynamic</t>
  </si>
  <si>
    <t xml:space="preserve">https://huggingface.co/RedHatAI/Llama-3.2-1B-Instruct-FP8-dynamic</t>
  </si>
  <si>
    <t xml:space="preserve">unsloth/gemma-3-1b-it</t>
  </si>
  <si>
    <t xml:space="preserve">https://huggingface.co/unsloth/gemma-3-1b-it</t>
  </si>
  <si>
    <t xml:space="preserve">ibm-granite/granite-vision-3.3-2b</t>
  </si>
  <si>
    <t xml:space="preserve">https://huggingface.co/ibm-granite/granite-vision-3.3-2b</t>
  </si>
  <si>
    <t xml:space="preserve">prism-ml/Bonsai-8B-gguf</t>
  </si>
  <si>
    <t xml:space="preserve">prism-ml/Bonsai-8B-unpacked</t>
  </si>
  <si>
    <t xml:space="preserve">https://huggingface.co/prism-ml/Bonsai-8B-gguf</t>
  </si>
  <si>
    <t xml:space="preserve">TheBloke/Mistral-7B-Instruct-v0.1-GGUF</t>
  </si>
  <si>
    <t xml:space="preserve">https://huggingface.co/TheBloke/Mistral-7B-Instruct-v0.1-GGUF</t>
  </si>
  <si>
    <t xml:space="preserve">openai/whisper-large-v3-turbo</t>
  </si>
  <si>
    <t xml:space="preserve">openai/whisper-large-v3</t>
  </si>
  <si>
    <t xml:space="preserve">https://huggingface.co/openai/whisper-large-v3-turbo</t>
  </si>
  <si>
    <t xml:space="preserve">kyutai/moshiko-candle-q8</t>
  </si>
  <si>
    <t xml:space="preserve">kyutai</t>
  </si>
  <si>
    <t xml:space="preserve">https://huggingface.co/kyutai/moshiko-candle-q8</t>
  </si>
  <si>
    <t xml:space="preserve">Infomaniak-AI/vllm-translategemma-4b-it</t>
  </si>
  <si>
    <t xml:space="preserve">Infomaniak-AI</t>
  </si>
  <si>
    <t xml:space="preserve">https://huggingface.co/Infomaniak-AI/vllm-translategemma-4b-it</t>
  </si>
  <si>
    <t xml:space="preserve">openai/whisper-base</t>
  </si>
  <si>
    <t xml:space="preserve">https://huggingface.co/openai/whisper-base</t>
  </si>
  <si>
    <t xml:space="preserve">unsloth/Llama-3.1-8B-Instruct</t>
  </si>
  <si>
    <t xml:space="preserve">https://huggingface.co/unsloth/Llama-3.1-8B-Instruct</t>
  </si>
  <si>
    <t xml:space="preserve">google/gemma-3-12b-it-qat-q4_0-unquantized</t>
  </si>
  <si>
    <t xml:space="preserve">https://huggingface.co/google/gemma-3-12b-it-qat-q4_0-unquantized</t>
  </si>
  <si>
    <t xml:space="preserve">laion/CLIP-ViT-H-14-laion2B-s32B-b79K</t>
  </si>
  <si>
    <t xml:space="preserve">https://huggingface.co/laion/CLIP-ViT-H-14-laion2B-s32B-b79K</t>
  </si>
  <si>
    <t xml:space="preserve">https://huggingface.co/meta-models/Muse-Glimmer-30B</t>
  </si>
  <si>
    <t xml:space="preserve">mlx-community/gemma-4-e4b-it-4bit</t>
  </si>
  <si>
    <t xml:space="preserve">https://huggingface.co/mlx-community/gemma-4-e4b-it-4bit</t>
  </si>
  <si>
    <t xml:space="preserve">openai/whisper-small</t>
  </si>
  <si>
    <t xml:space="preserve">https://huggingface.co/openai/whisper-small</t>
  </si>
  <si>
    <t xml:space="preserve">unsloth/Llama-3.2-3B-Instruct-GGUF</t>
  </si>
  <si>
    <t xml:space="preserve">https://huggingface.co/unsloth/Llama-3.2-3B-Instruct-GGUF</t>
  </si>
  <si>
    <t xml:space="preserve">microsoft/trocr-base-handwritten</t>
  </si>
  <si>
    <t xml:space="preserve">https://huggingface.co/microsoft/trocr-base-handwritten</t>
  </si>
  <si>
    <t xml:space="preserve">farbodtavakkoli/OTel-Embedding-300M</t>
  </si>
  <si>
    <t xml:space="preserve">farbodtavakkoli</t>
  </si>
  <si>
    <t xml:space="preserve">https://huggingface.co/farbodtavakkoli/OTel-Embedding-300M</t>
  </si>
  <si>
    <t xml:space="preserve">Comfy-Org/OmniGen-2</t>
  </si>
  <si>
    <t xml:space="preserve">OmniGen2/OmniGen2</t>
  </si>
  <si>
    <t xml:space="preserve">https://huggingface.co/Comfy-Org/OmniGen-2</t>
  </si>
  <si>
    <t xml:space="preserve">NeoQuasar/Kronos-Tokenizer-base</t>
  </si>
  <si>
    <t xml:space="preserve">NeoQuasar</t>
  </si>
  <si>
    <t xml:space="preserve">https://huggingface.co/NeoQuasar/Kronos-Tokenizer-base</t>
  </si>
  <si>
    <t xml:space="preserve">lmstudio-community/NVIDIA-Nemotron-3-Nano-4B-GGUF</t>
  </si>
  <si>
    <t xml:space="preserve">nvidia/NVIDIA-Nemotron-3-Nano-4B-BF16</t>
  </si>
  <si>
    <t xml:space="preserve">https://huggingface.co/lmstudio-community/NVIDIA-Nemotron-3-Nano-4B-GGUF</t>
  </si>
  <si>
    <t xml:space="preserve">TheBloke/TinyLlama-1.1B-Chat-v0.3-AWQ</t>
  </si>
  <si>
    <t xml:space="preserve">https://huggingface.co/TheBloke/TinyLlama-1.1B-Chat-v0.3-AWQ</t>
  </si>
  <si>
    <t xml:space="preserve">google/gemma-7b-it</t>
  </si>
  <si>
    <t xml:space="preserve">https://huggingface.co/google/gemma-7b-it</t>
  </si>
  <si>
    <t xml:space="preserve">MaziyarPanahi/gemma-3-1b-it-GGUF</t>
  </si>
  <si>
    <t xml:space="preserve">https://huggingface.co/MaziyarPanahi/gemma-3-1b-it-GGUF</t>
  </si>
  <si>
    <t xml:space="preserve">sentence-transformers/multi-qa-distilbert-cos-v1</t>
  </si>
  <si>
    <t xml:space="preserve">https://huggingface.co/sentence-transformers/multi-qa-distilbert-cos-v1</t>
  </si>
  <si>
    <t xml:space="preserve">alpindale/Llama-Guard-3-1B</t>
  </si>
  <si>
    <t xml:space="preserve">alpindale</t>
  </si>
  <si>
    <t xml:space="preserve">https://huggingface.co/alpindale/Llama-Guard-3-1B</t>
  </si>
  <si>
    <t xml:space="preserve">lmstudio-community/Ministral-3-14B-Reasoning-2512-GGUF</t>
  </si>
  <si>
    <t xml:space="preserve">https://huggingface.co/lmstudio-community/Ministral-3-14B-Reasoning-2512-GGUF</t>
  </si>
  <si>
    <t xml:space="preserve">bartowski/SmolLM2-135M-Instruct-GGUF</t>
  </si>
  <si>
    <t xml:space="preserve">https://huggingface.co/bartowski/SmolLM2-135M-Instruct-GGUF</t>
  </si>
  <si>
    <t xml:space="preserve">Xenova/bert-base-NER</t>
  </si>
  <si>
    <t xml:space="preserve">https://huggingface.co/Xenova/bert-base-NER</t>
  </si>
  <si>
    <t xml:space="preserve">mistralai/Mistral-Small-Instruct-2409</t>
  </si>
  <si>
    <t xml:space="preserve">https://huggingface.co/mistralai/Mistral-Small-Instruct-2409</t>
  </si>
  <si>
    <t xml:space="preserve">ggml-org/SmolVLM2-2.2B-Instruct-GGUF</t>
  </si>
  <si>
    <t xml:space="preserve">https://huggingface.co/ggml-org/SmolVLM2-2.2B-Instruct-GGUF</t>
  </si>
  <si>
    <t xml:space="preserve">Zyphra/ZAYA1-VL-8B</t>
  </si>
  <si>
    <t xml:space="preserve">Zyphra/ZAYA1-base</t>
  </si>
  <si>
    <t xml:space="preserve">https://huggingface.co/Zyphra/ZAYA1-VL-8B</t>
  </si>
  <si>
    <t xml:space="preserve">NeuML/colbert-bert-tiny</t>
  </si>
  <si>
    <t xml:space="preserve">https://huggingface.co/NeuML/colbert-bert-tiny</t>
  </si>
  <si>
    <t xml:space="preserve">google-t5/t5-3b</t>
  </si>
  <si>
    <t xml:space="preserve">https://huggingface.co/google-t5/t5-3b</t>
  </si>
  <si>
    <t xml:space="preserve">mlx-community/gemma-4-31b-it-4bit</t>
  </si>
  <si>
    <t xml:space="preserve">https://huggingface.co/mlx-community/gemma-4-31b-it-4bit</t>
  </si>
  <si>
    <t xml:space="preserve">unsloth/Llama-3.2-3B-Instruct</t>
  </si>
  <si>
    <t xml:space="preserve">https://huggingface.co/unsloth/Llama-3.2-3B-Instruct</t>
  </si>
  <si>
    <t xml:space="preserve">ggml-org/NVIDIA-Nemotron-3.5-Lightning-30B-A3B-GGUF</t>
  </si>
  <si>
    <t xml:space="preserve">https://huggingface.co/ggml-org/NVIDIA-Nemotron-3.5-Lightning-30B-A3B-GGUF</t>
  </si>
  <si>
    <t xml:space="preserve">openai/whisper-tiny</t>
  </si>
  <si>
    <t xml:space="preserve">https://huggingface.co/openai/whisper-tiny</t>
  </si>
  <si>
    <t xml:space="preserve">bartowski/Mistral-7B-Instruct-v0.3-GGUF</t>
  </si>
  <si>
    <t xml:space="preserve">https://huggingface.co/bartowski/Mistral-7B-Instruct-v0.3-GGUF</t>
  </si>
  <si>
    <t xml:space="preserve">unslothai/vram-24</t>
  </si>
  <si>
    <t xml:space="preserve">https://huggingface.co/unslothai/vram-24</t>
  </si>
  <si>
    <t xml:space="preserve">mlx-community/Llama-3.1-8B-Instruct-4bit</t>
  </si>
  <si>
    <t xml:space="preserve">https://huggingface.co/mlx-community/Llama-3.1-8B-Instruct-4bit</t>
  </si>
  <si>
    <t xml:space="preserve">timm/mobilenetv3_small_100.lamb_in1k</t>
  </si>
  <si>
    <t xml:space="preserve">timm</t>
  </si>
  <si>
    <t xml:space="preserve">https://huggingface.co/timm/mobilenetv3_small_100.lamb_in1k</t>
  </si>
  <si>
    <t xml:space="preserve">CohereLabs/command-a-plus-05-2026-bf16</t>
  </si>
  <si>
    <t xml:space="preserve">https://huggingface.co/CohereLabs/command-a-plus-05-2026-bf16</t>
  </si>
  <si>
    <t xml:space="preserve">LiquidAI/LFM2-VL-1.6B</t>
  </si>
  <si>
    <t xml:space="preserve">https://huggingface.co/LiquidAI/LFM2-VL-1.6B</t>
  </si>
  <si>
    <t xml:space="preserve">laion/clap-htsat-fused</t>
  </si>
  <si>
    <t xml:space="preserve">https://huggingface.co/laion/clap-htsat-fused</t>
  </si>
  <si>
    <t xml:space="preserve">nvidia/NVIDIA-Nemotron-Nano-12B-v2</t>
  </si>
  <si>
    <t xml:space="preserve">nvidia/NVIDIA-Nemotron-Nano-12B-v2-Base</t>
  </si>
  <si>
    <t xml:space="preserve">https://huggingface.co/nvidia/NVIDIA-Nemotron-Nano-12B-v2</t>
  </si>
  <si>
    <t xml:space="preserve">ibm-granite/granite-speech-3.3-2b</t>
  </si>
  <si>
    <t xml:space="preserve">https://huggingface.co/ibm-granite/granite-speech-3.3-2b</t>
  </si>
  <si>
    <t xml:space="preserve">IAMJB/RadEvalModernBERT</t>
  </si>
  <si>
    <t xml:space="preserve">IAMJB</t>
  </si>
  <si>
    <t xml:space="preserve">https://huggingface.co/IAMJB/RadEvalModernBERT</t>
  </si>
  <si>
    <t xml:space="preserve">NeoQuasar/Kronos-small</t>
  </si>
  <si>
    <t xml:space="preserve">https://huggingface.co/NeoQuasar/Kronos-small</t>
  </si>
  <si>
    <t xml:space="preserve">utter-project/EuroLLM-22B-Instruct-2512</t>
  </si>
  <si>
    <t xml:space="preserve">utter-project</t>
  </si>
  <si>
    <t xml:space="preserve">utter-project/EuroLLM-22B-2512</t>
  </si>
  <si>
    <t xml:space="preserve">https://huggingface.co/utter-project/EuroLLM-22B-Instruct-2512</t>
  </si>
  <si>
    <t xml:space="preserve">google/mt5-small</t>
  </si>
  <si>
    <t xml:space="preserve">pytorch;onnx;tensorflow;flax</t>
  </si>
  <si>
    <t xml:space="preserve">https://huggingface.co/google/mt5-small</t>
  </si>
  <si>
    <t xml:space="preserve">ReadyArt/Melody1437-26B-A4B-v2.0-GGUF</t>
  </si>
  <si>
    <t xml:space="preserve">ReadyArt</t>
  </si>
  <si>
    <t xml:space="preserve">ReadyArt/Melody1437-26B-A4B-v2.0</t>
  </si>
  <si>
    <t xml:space="preserve">https://huggingface.co/ReadyArt/Melody1437-26B-A4B-v2.0-GGUF</t>
  </si>
  <si>
    <t xml:space="preserve">meta-llama/Llama-3.2-11B-Vision-Instruct</t>
  </si>
  <si>
    <t xml:space="preserve">https://huggingface.co/meta-llama/Llama-3.2-11B-Vision-Instruct</t>
  </si>
  <si>
    <t xml:space="preserve">microsoft/Phi-4-reasoning</t>
  </si>
  <si>
    <t xml:space="preserve">https://huggingface.co/microsoft/Phi-4-reasoning</t>
  </si>
  <si>
    <t xml:space="preserve">unsloth/Mistral-Small-3.2-24B-Instruct-2506-bnb-4bit</t>
  </si>
  <si>
    <t xml:space="preserve">https://huggingface.co/unsloth/Mistral-Small-3.2-24B-Instruct-2506-bnb-4bit</t>
  </si>
  <si>
    <t xml:space="preserve">chopratejas/technique-router</t>
  </si>
  <si>
    <t xml:space="preserve">chopratejas</t>
  </si>
  <si>
    <t xml:space="preserve">https://huggingface.co/chopratejas/technique-router</t>
  </si>
  <si>
    <t xml:space="preserve">jukofyork/creative-writing-control-vectors-v3.0</t>
  </si>
  <si>
    <t xml:space="preserve">jukofyork</t>
  </si>
  <si>
    <t xml:space="preserve">https://huggingface.co/jukofyork/creative-writing-control-vectors-v3.0</t>
  </si>
  <si>
    <t xml:space="preserve">boltuix/NeuroBERT-NER</t>
  </si>
  <si>
    <t xml:space="preserve">boltuix</t>
  </si>
  <si>
    <t xml:space="preserve">boltuix/NeuroBERT-Mini</t>
  </si>
  <si>
    <t xml:space="preserve">https://huggingface.co/boltuix/NeuroBERT-NER</t>
  </si>
  <si>
    <t xml:space="preserve">unsloth/gemma-3-270m-it</t>
  </si>
  <si>
    <t xml:space="preserve">https://huggingface.co/unsloth/gemma-3-270m-it</t>
  </si>
  <si>
    <t xml:space="preserve">nvidia/Llama-3.3-70B-Instruct-NVFP4</t>
  </si>
  <si>
    <t xml:space="preserve">llama3.3</t>
  </si>
  <si>
    <t xml:space="preserve">meta-llama/Llama-3.3-70B-Instruct</t>
  </si>
  <si>
    <t xml:space="preserve">https://huggingface.co/nvidia/Llama-3.3-70B-Instruct-NVFP4</t>
  </si>
  <si>
    <t xml:space="preserve">ReadyArt/Dark-Scarlett-v0.3-26B-A4B-GGUF</t>
  </si>
  <si>
    <t xml:space="preserve">https://huggingface.co/ReadyArt/Dark-Scarlett-v0.3-26B-A4B-GGUF</t>
  </si>
  <si>
    <t xml:space="preserve">bartowski/mistralai_Mistral-Small-3.2-24B-Instruct-2506-GGUF</t>
  </si>
  <si>
    <t xml:space="preserve">https://huggingface.co/bartowski/mistralai_Mistral-Small-3.2-24B-Instruct-2506-GGUF</t>
  </si>
  <si>
    <t xml:space="preserve">ibm-granite/granite-docling-258M</t>
  </si>
  <si>
    <t xml:space="preserve">https://huggingface.co/ibm-granite/granite-docling-258M</t>
  </si>
  <si>
    <t xml:space="preserve">allenai/Olmo-3.1-32B-Instruct</t>
  </si>
  <si>
    <t xml:space="preserve">allenai/Olmo-3.1-32B-Instruct-DPO</t>
  </si>
  <si>
    <t xml:space="preserve">https://huggingface.co/allenai/Olmo-3.1-32B-Instruct</t>
  </si>
  <si>
    <t xml:space="preserve">NeoQuasar/Kronos-base</t>
  </si>
  <si>
    <t xml:space="preserve">https://huggingface.co/NeoQuasar/Kronos-base</t>
  </si>
  <si>
    <t xml:space="preserve">MoritzLaurer/deberta-v3-large-zeroshot-v2.0</t>
  </si>
  <si>
    <t xml:space="preserve">https://huggingface.co/MoritzLaurer/deberta-v3-large-zeroshot-v2.0</t>
  </si>
  <si>
    <t xml:space="preserve">ReadyArt/Serenity-26B-A4B-GGUF</t>
  </si>
  <si>
    <t xml:space="preserve">ReadyArt/Serenity-26B-A4B</t>
  </si>
  <si>
    <t xml:space="preserve">https://huggingface.co/ReadyArt/Serenity-26B-A4B-GGUF</t>
  </si>
  <si>
    <t xml:space="preserve">TheBloke/Mistral-7B-Instruct-v0.2-GPTQ</t>
  </si>
  <si>
    <t xml:space="preserve">https://huggingface.co/TheBloke/Mistral-7B-Instruct-v0.2-GPTQ</t>
  </si>
  <si>
    <t xml:space="preserve">rippertnt/HyperCLOVAX-SEED-Text-Instruct-1.5B-Q4_K_M-GGUF</t>
  </si>
  <si>
    <t xml:space="preserve">rippertnt</t>
  </si>
  <si>
    <t xml:space="preserve">naver-hyperclovax/HyperCLOVAX-SEED-Text-Instruct-1.5B</t>
  </si>
  <si>
    <t xml:space="preserve">https://huggingface.co/rippertnt/HyperCLOVAX-SEED-Text-Instruct-1.5B-Q4_K_M-GGUF</t>
  </si>
  <si>
    <t xml:space="preserve">unsloth/gemma-4-31B-it-qat-w4a16</t>
  </si>
  <si>
    <t xml:space="preserve">https://huggingface.co/unsloth/gemma-4-31B-it-qat-w4a16</t>
  </si>
  <si>
    <t xml:space="preserve">mlx-community/gemma-4-26b-a4b-it-4bit</t>
  </si>
  <si>
    <t xml:space="preserve">https://huggingface.co/mlx-community/gemma-4-26b-a4b-it-4bit</t>
  </si>
  <si>
    <t xml:space="preserve">unsloth/Inkling-Small-GGUF</t>
  </si>
  <si>
    <t xml:space="preserve">thinkingmachines/Inkling-Small</t>
  </si>
  <si>
    <t xml:space="preserve">https://huggingface.co/unsloth/Inkling-Small-GGUF</t>
  </si>
  <si>
    <t xml:space="preserve">RedHatAI/gemma-3-27b-it-quantized.w4a16</t>
  </si>
  <si>
    <t xml:space="preserve">https://huggingface.co/RedHatAI/gemma-3-27b-it-quantized.w4a16</t>
  </si>
  <si>
    <t xml:space="preserve">microsoft/table-transformer-structure-recognition-v1.1-all</t>
  </si>
  <si>
    <t xml:space="preserve">https://huggingface.co/microsoft/table-transformer-structure-recognition-v1.1-all</t>
  </si>
  <si>
    <t xml:space="preserve">timm/resnet50.a1_in1k</t>
  </si>
  <si>
    <t xml:space="preserve">https://huggingface.co/timm/resnet50.a1_in1k</t>
  </si>
  <si>
    <t xml:space="preserve">timm/efficientnet_b3.ra2_in1k</t>
  </si>
  <si>
    <t xml:space="preserve">https://huggingface.co/timm/efficientnet_b3.ra2_in1k</t>
  </si>
  <si>
    <t xml:space="preserve">utter-project/EuroLLM-1.7B-Instruct</t>
  </si>
  <si>
    <t xml:space="preserve">utter-project/EuroLLM-1.7B</t>
  </si>
  <si>
    <t xml:space="preserve">https://huggingface.co/utter-project/EuroLLM-1.7B-Instruct</t>
  </si>
  <si>
    <t xml:space="preserve">NousResearch/Hermes-3-Llama-3.1-8B</t>
  </si>
  <si>
    <t xml:space="preserve">NousResearch</t>
  </si>
  <si>
    <t xml:space="preserve">https://huggingface.co/NousResearch/Hermes-3-Llama-3.1-8B</t>
  </si>
  <si>
    <t xml:space="preserve">cyankiwi/Ministral-3-8B-Instruct-2512-AWQ-4bit</t>
  </si>
  <si>
    <t xml:space="preserve">https://huggingface.co/cyankiwi/Ministral-3-8B-Instruct-2512-AWQ-4bit</t>
  </si>
  <si>
    <t xml:space="preserve">timm/resnet18.a1_in1k</t>
  </si>
  <si>
    <t xml:space="preserve">https://huggingface.co/timm/resnet18.a1_in1k</t>
  </si>
  <si>
    <t xml:space="preserve">unsloth/mistral-7b-instruct-v0.3-bnb-4bit</t>
  </si>
  <si>
    <t xml:space="preserve">https://huggingface.co/unsloth/mistral-7b-instruct-v0.3-bnb-4bit</t>
  </si>
  <si>
    <t xml:space="preserve">minishlab/potion-code-16M-v2</t>
  </si>
  <si>
    <t xml:space="preserve">https://huggingface.co/minishlab/potion-code-16M-v2</t>
  </si>
  <si>
    <t xml:space="preserve">MaziyarPanahi/Ministral-3-3B-Reasoning-2512-GGUF</t>
  </si>
  <si>
    <t xml:space="preserve">https://huggingface.co/MaziyarPanahi/Ministral-3-3B-Reasoning-2512-GGUF</t>
  </si>
  <si>
    <t xml:space="preserve">FremyCompany/BioLORD-2023</t>
  </si>
  <si>
    <t xml:space="preserve">FremyCompany</t>
  </si>
  <si>
    <t xml:space="preserve">https://huggingface.co/FremyCompany/BioLORD-2023</t>
  </si>
  <si>
    <t xml:space="preserve">farbodtavakkoli/OTel-2.0-LLM-31B-IT</t>
  </si>
  <si>
    <t xml:space="preserve">https://huggingface.co/farbodtavakkoli/OTel-2.0-LLM-31B-IT</t>
  </si>
  <si>
    <t xml:space="preserve">lmstudio-community/Phi-4-mini-reasoning-MLX-4bit</t>
  </si>
  <si>
    <t xml:space="preserve">https://huggingface.co/lmstudio-community/Phi-4-mini-reasoning-MLX-4bit</t>
  </si>
  <si>
    <t xml:space="preserve">FINAL-Bench/POCKET-26B-GGUF</t>
  </si>
  <si>
    <t xml:space="preserve">FINAL-Bench</t>
  </si>
  <si>
    <t xml:space="preserve">https://huggingface.co/FINAL-Bench/POCKET-26B-GGUF</t>
  </si>
  <si>
    <t xml:space="preserve">google-bert/bert-large-cased</t>
  </si>
  <si>
    <t xml:space="preserve">https://huggingface.co/google-bert/bert-large-cased</t>
  </si>
  <si>
    <t xml:space="preserve">unslothai/vram-40</t>
  </si>
  <si>
    <t xml:space="preserve">https://huggingface.co/unslothai/vram-40</t>
  </si>
  <si>
    <t xml:space="preserve">uctnlp/mzansilm-125m</t>
  </si>
  <si>
    <t xml:space="preserve">uctnlp</t>
  </si>
  <si>
    <t xml:space="preserve">https://huggingface.co/uctnlp/mzansilm-125m</t>
  </si>
  <si>
    <t xml:space="preserve">google/siglip-so400m-patch14-384</t>
  </si>
  <si>
    <t xml:space="preserve">https://huggingface.co/google/siglip-so400m-patch14-384</t>
  </si>
  <si>
    <t xml:space="preserve">TheBloke/TinyLlama-1.1B-Chat-v1.0-GPTQ</t>
  </si>
  <si>
    <t xml:space="preserve">https://huggingface.co/TheBloke/TinyLlama-1.1B-Chat-v1.0-GPTQ</t>
  </si>
  <si>
    <t xml:space="preserve">nlpai-lab/KoE5</t>
  </si>
  <si>
    <t xml:space="preserve">nlpai-lab</t>
  </si>
  <si>
    <t xml:space="preserve">https://huggingface.co/nlpai-lab/KoE5</t>
  </si>
  <si>
    <t xml:space="preserve">RedHatAI/gemma-3-27b-it-FP8-dynamic</t>
  </si>
  <si>
    <t xml:space="preserve">https://huggingface.co/RedHatAI/gemma-3-27b-it-FP8-dynamic</t>
  </si>
  <si>
    <t xml:space="preserve">google/siglip-base-patch16-224</t>
  </si>
  <si>
    <t xml:space="preserve">https://huggingface.co/google/siglip-base-patch16-224</t>
  </si>
  <si>
    <t xml:space="preserve">nvidia/nemotron-3.5-asr-streaming-0.6b</t>
  </si>
  <si>
    <t xml:space="preserve">safetensors;gguf;other</t>
  </si>
  <si>
    <t xml:space="preserve">https://huggingface.co/nvidia/nemotron-3.5-asr-streaming-0.6b</t>
  </si>
  <si>
    <t xml:space="preserve">Voicelab/vlt5-base-keywords</t>
  </si>
  <si>
    <t xml:space="preserve">Voicelab</t>
  </si>
  <si>
    <t xml:space="preserve">https://huggingface.co/Voicelab/vlt5-base-keywords</t>
  </si>
  <si>
    <t xml:space="preserve">timm/tf_efficientnetv2_s.in21k_ft_in1k</t>
  </si>
  <si>
    <t xml:space="preserve">https://huggingface.co/timm/tf_efficientnetv2_s.in21k_ft_in1k</t>
  </si>
  <si>
    <t xml:space="preserve">laion/CLIP-ViT-L-14-laion2B-s32B-b82K</t>
  </si>
  <si>
    <t xml:space="preserve">https://huggingface.co/laion/CLIP-ViT-L-14-laion2B-s32B-b82K</t>
  </si>
  <si>
    <t xml:space="preserve">RedHatAI/Meta-Llama-3.1-8B-FP8</t>
  </si>
  <si>
    <t xml:space="preserve">https://huggingface.co/RedHatAI/Meta-Llama-3.1-8B-FP8</t>
  </si>
  <si>
    <t xml:space="preserve">ciocan/gemma-4-E4B-it-W4A16</t>
  </si>
  <si>
    <t xml:space="preserve">ciocan</t>
  </si>
  <si>
    <t xml:space="preserve">https://huggingface.co/ciocan/gemma-4-E4B-it-W4A16</t>
  </si>
  <si>
    <t xml:space="preserve">lmstudio-community/gemma-3-4b-it-GGUF</t>
  </si>
  <si>
    <t xml:space="preserve">https://huggingface.co/lmstudio-community/gemma-3-4b-it-GGUF</t>
  </si>
  <si>
    <t xml:space="preserve">https://huggingface.co/distilbert/distilbert-base-cased</t>
  </si>
  <si>
    <t xml:space="preserve">unsloth/gemma-3n-E4B-it</t>
  </si>
  <si>
    <t xml:space="preserve">https://huggingface.co/unsloth/gemma-3n-E4B-it</t>
  </si>
  <si>
    <t xml:space="preserve">Dongjin-kr/ko-reranker</t>
  </si>
  <si>
    <t xml:space="preserve">Dongjin-kr</t>
  </si>
  <si>
    <t xml:space="preserve">https://huggingface.co/Dongjin-kr/ko-reranker</t>
  </si>
  <si>
    <t xml:space="preserve">cyankiwi/Devstral-Small-2-24B-Instruct-2512-AWQ-4bit</t>
  </si>
  <si>
    <t xml:space="preserve">https://huggingface.co/cyankiwi/Devstral-Small-2-24B-Instruct-2512-AWQ-4bit</t>
  </si>
  <si>
    <t xml:space="preserve">solidrust/Mistral-7B-Instruct-v0.3-AWQ</t>
  </si>
  <si>
    <t xml:space="preserve">solidrust</t>
  </si>
  <si>
    <t xml:space="preserve">https://huggingface.co/solidrust/Mistral-7B-Instruct-v0.3-AWQ</t>
  </si>
  <si>
    <t xml:space="preserve">timm/vit_small_patch14_dinov2.lvd142m</t>
  </si>
  <si>
    <t xml:space="preserve">https://huggingface.co/timm/vit_small_patch14_dinov2.lvd142m</t>
  </si>
  <si>
    <t xml:space="preserve">leliuga/all-MiniLM-L6-v2-GGUF</t>
  </si>
  <si>
    <t xml:space="preserve">leliuga</t>
  </si>
  <si>
    <t xml:space="preserve">https://huggingface.co/leliuga/all-MiniLM-L6-v2-GGUF</t>
  </si>
  <si>
    <t xml:space="preserve">meta-models/Muse-Glimmer-30B-assistant</t>
  </si>
  <si>
    <t xml:space="preserve">https://huggingface.co/meta-models/Muse-Glimmer-30B-assistant</t>
  </si>
  <si>
    <t xml:space="preserve">cyankiwi/gemma-4-12B-it-AWQ-INT4</t>
  </si>
  <si>
    <t xml:space="preserve">https://huggingface.co/cyankiwi/gemma-4-12B-it-AWQ-INT4</t>
  </si>
  <si>
    <t xml:space="preserve">ggml-org/gemma-3-4b-it-GGUF</t>
  </si>
  <si>
    <t xml:space="preserve">https://huggingface.co/ggml-org/gemma-3-4b-it-GGUF</t>
  </si>
  <si>
    <t xml:space="preserve">mlx-community/Mistral-7B-Instruct-v0.3-4bit</t>
  </si>
  <si>
    <t xml:space="preserve">https://huggingface.co/mlx-community/Mistral-7B-Instruct-v0.3-4bit</t>
  </si>
  <si>
    <t xml:space="preserve">bartowski/endless-frontier_BigBang-v1-GGUF</t>
  </si>
  <si>
    <t xml:space="preserve">endless-frontier/BigBang-v1</t>
  </si>
  <si>
    <t xml:space="preserve">https://huggingface.co/bartowski/endless-frontier_BigBang-v1-GGUF</t>
  </si>
  <si>
    <t xml:space="preserve">NeoQuasar/Kronos-mini</t>
  </si>
  <si>
    <t xml:space="preserve">https://huggingface.co/NeoQuasar/Kronos-mini</t>
  </si>
  <si>
    <t xml:space="preserve">minishlab/potion-code-16M</t>
  </si>
  <si>
    <t xml:space="preserve">https://huggingface.co/minishlab/potion-code-16M</t>
  </si>
  <si>
    <t xml:space="preserve">smthem/LTX-2.3-test-gguf</t>
  </si>
  <si>
    <t xml:space="preserve">smthem</t>
  </si>
  <si>
    <t xml:space="preserve">https://huggingface.co/smthem/LTX-2.3-test-gguf</t>
  </si>
  <si>
    <t xml:space="preserve">cointegrated/rubert-tiny2</t>
  </si>
  <si>
    <t xml:space="preserve">https://huggingface.co/cointegrated/rubert-tiny2</t>
  </si>
  <si>
    <t xml:space="preserve">AdamCodd/vit-base-nsfw-detector</t>
  </si>
  <si>
    <t xml:space="preserve">AdamCodd</t>
  </si>
  <si>
    <t xml:space="preserve">google/vit-base-patch16-384</t>
  </si>
  <si>
    <t xml:space="preserve">https://huggingface.co/AdamCodd/vit-base-nsfw-detector</t>
  </si>
  <si>
    <t xml:space="preserve">timm/efficientnet_b0.ra_in1k</t>
  </si>
  <si>
    <t xml:space="preserve">https://huggingface.co/timm/efficientnet_b0.ra_in1k</t>
  </si>
  <si>
    <t xml:space="preserve">ggml-org/gemma-4-31B-it-GGUF</t>
  </si>
  <si>
    <t xml:space="preserve">https://huggingface.co/ggml-org/gemma-4-31B-it-GGUF</t>
  </si>
  <si>
    <t xml:space="preserve">HuggingFaceFW/fineweb-edu-classifier</t>
  </si>
  <si>
    <t xml:space="preserve">HuggingFaceFW</t>
  </si>
  <si>
    <t xml:space="preserve">https://huggingface.co/HuggingFaceFW/fineweb-edu-classifier</t>
  </si>
  <si>
    <t xml:space="preserve">kyutai/mimi</t>
  </si>
  <si>
    <t xml:space="preserve">https://huggingface.co/kyutai/mimi</t>
  </si>
  <si>
    <t xml:space="preserve">utter-project/EuroLLM-9B-Instruct-2512</t>
  </si>
  <si>
    <t xml:space="preserve">utter-project/EuroLLM-9B-2512</t>
  </si>
  <si>
    <t xml:space="preserve">https://huggingface.co/utter-project/EuroLLM-9B-Instruct-2512</t>
  </si>
  <si>
    <t xml:space="preserve">bg-digitalservices/Gemma-4-E4B-it-NVFP4</t>
  </si>
  <si>
    <t xml:space="preserve">https://huggingface.co/bg-digitalservices/Gemma-4-E4B-it-NVFP4</t>
  </si>
  <si>
    <t xml:space="preserve">cyankiwi/gemma-4-26B-A4B-it-AWQ-8bit</t>
  </si>
  <si>
    <t xml:space="preserve">https://huggingface.co/cyankiwi/gemma-4-26B-A4B-it-AWQ-8bit</t>
  </si>
  <si>
    <t xml:space="preserve">google/codegemma-2b</t>
  </si>
  <si>
    <t xml:space="preserve">https://huggingface.co/google/codegemma-2b</t>
  </si>
  <si>
    <t xml:space="preserve">openai/whisper-medium</t>
  </si>
  <si>
    <t xml:space="preserve">https://huggingface.co/openai/whisper-medium</t>
  </si>
  <si>
    <t xml:space="preserve">ncbi/MedCPT-Query-Encoder</t>
  </si>
  <si>
    <t xml:space="preserve">ncbi</t>
  </si>
  <si>
    <t xml:space="preserve">https://huggingface.co/ncbi/MedCPT-Query-Encoder</t>
  </si>
  <si>
    <t xml:space="preserve">NousResearch/Meta-Llama-3.1-8B-Instruct</t>
  </si>
  <si>
    <t xml:space="preserve">https://huggingface.co/NousResearch/Meta-Llama-3.1-8B-Instruct</t>
  </si>
  <si>
    <t xml:space="preserve">timm/vit_small_patch14_reg4_dinov2.lvd142m</t>
  </si>
  <si>
    <t xml:space="preserve">https://huggingface.co/timm/vit_small_patch14_reg4_dinov2.lvd142m</t>
  </si>
  <si>
    <t xml:space="preserve">prithivMLmods/gemma-4-E4B-it-NVFP4</t>
  </si>
  <si>
    <t xml:space="preserve">prithivMLmods</t>
  </si>
  <si>
    <t xml:space="preserve">https://huggingface.co/prithivMLmods/gemma-4-E4B-it-NVFP4</t>
  </si>
  <si>
    <t xml:space="preserve">unsloth/gemma-4-31B-it</t>
  </si>
  <si>
    <t xml:space="preserve">https://huggingface.co/unsloth/gemma-4-31B-it</t>
  </si>
  <si>
    <t xml:space="preserve">google/siglip2-giant-opt-patch16-384</t>
  </si>
  <si>
    <t xml:space="preserve">https://huggingface.co/google/siglip2-giant-opt-patch16-384</t>
  </si>
  <si>
    <t xml:space="preserve">sparse-encoder-testing/splade-bert-tiny-nq</t>
  </si>
  <si>
    <t xml:space="preserve">sparse-encoder-testing</t>
  </si>
  <si>
    <t xml:space="preserve">https://huggingface.co/sparse-encoder-testing/splade-bert-tiny-nq</t>
  </si>
  <si>
    <t xml:space="preserve">poolside/Laguna-XS-2.1-GGUF</t>
  </si>
  <si>
    <t xml:space="preserve">poolside</t>
  </si>
  <si>
    <t xml:space="preserve">https://huggingface.co/poolside/Laguna-XS-2.1-GGUF</t>
  </si>
  <si>
    <t xml:space="preserve">meta-llama/Llama-2-13b-chat-hf</t>
  </si>
  <si>
    <t xml:space="preserve">https://huggingface.co/meta-llama/Llama-2-13b-chat-hf</t>
  </si>
  <si>
    <t xml:space="preserve">MongoDB/mdbr-leaf-mt</t>
  </si>
  <si>
    <t xml:space="preserve">https://huggingface.co/MongoDB/mdbr-leaf-mt</t>
  </si>
  <si>
    <t xml:space="preserve">unsloth/inkling-GGUF</t>
  </si>
  <si>
    <t xml:space="preserve">thinkingmachines/Inkling</t>
  </si>
  <si>
    <t xml:space="preserve">https://huggingface.co/unsloth/inkling-GGUF</t>
  </si>
  <si>
    <t xml:space="preserve">arnir0/Tiny-LLM</t>
  </si>
  <si>
    <t xml:space="preserve">arnir0</t>
  </si>
  <si>
    <t xml:space="preserve">https://huggingface.co/arnir0/Tiny-LLM</t>
  </si>
  <si>
    <t xml:space="preserve">togatogah/jinen-v1-small.gguf</t>
  </si>
  <si>
    <t xml:space="preserve">togatogah</t>
  </si>
  <si>
    <t xml:space="preserve">https://huggingface.co/togatogah/jinen-v1-small.gguf</t>
  </si>
  <si>
    <t xml:space="preserve">NeoQuasar/Kronos-Tokenizer-2k</t>
  </si>
  <si>
    <t xml:space="preserve">https://huggingface.co/NeoQuasar/Kronos-Tokenizer-2k</t>
  </si>
  <si>
    <t xml:space="preserve">Hai929/The_GuageLLM_23M</t>
  </si>
  <si>
    <t xml:space="preserve">Hai929</t>
  </si>
  <si>
    <t xml:space="preserve">https://huggingface.co/Hai929/The_GuageLLM_23M</t>
  </si>
  <si>
    <t xml:space="preserve">VLTX/VertaLily-1.2-1B-GGUF</t>
  </si>
  <si>
    <t xml:space="preserve">VLTX</t>
  </si>
  <si>
    <t xml:space="preserve">https://huggingface.co/VLTX/VertaLily-1.2-1B-GGUF</t>
  </si>
  <si>
    <t xml:space="preserve">timm/vit_base_patch14_dinov2.lvd142m</t>
  </si>
  <si>
    <t xml:space="preserve">https://huggingface.co/timm/vit_base_patch14_dinov2.lvd142m</t>
  </si>
  <si>
    <t xml:space="preserve">florence-community/Florence-2-base</t>
  </si>
  <si>
    <t xml:space="preserve">https://huggingface.co/florence-community/Florence-2-base</t>
  </si>
  <si>
    <t xml:space="preserve">lmstudio-community/Devstral-Small-2-24B-Instruct-2512-GGUF</t>
  </si>
  <si>
    <t xml:space="preserve">https://huggingface.co/lmstudio-community/Devstral-Small-2-24B-Instruct-2512-GGUF</t>
  </si>
  <si>
    <t xml:space="preserve">JackFram/llama-160m</t>
  </si>
  <si>
    <t xml:space="preserve">JackFram</t>
  </si>
  <si>
    <t xml:space="preserve">https://huggingface.co/JackFram/llama-160m</t>
  </si>
  <si>
    <t xml:space="preserve">timm/resnet34.a1_in1k</t>
  </si>
  <si>
    <t xml:space="preserve">https://huggingface.co/timm/resnet34.a1_in1k</t>
  </si>
  <si>
    <t xml:space="preserve">google/gemma-2-27b-it</t>
  </si>
  <si>
    <t xml:space="preserve">google/gemma-2-27b</t>
  </si>
  <si>
    <t xml:space="preserve">https://huggingface.co/google/gemma-2-27b-it</t>
  </si>
  <si>
    <t xml:space="preserve">mlx-community/Devstral-Small-2505-4bit</t>
  </si>
  <si>
    <t xml:space="preserve">https://huggingface.co/mlx-community/Devstral-Small-2505-4bit</t>
  </si>
  <si>
    <t xml:space="preserve">llava-hf/llava-v1.6-vicuna-7b-hf</t>
  </si>
  <si>
    <t xml:space="preserve">https://huggingface.co/llava-hf/llava-v1.6-vicuna-7b-hf</t>
  </si>
  <si>
    <t xml:space="preserve">RedHatAI/Muse-Glimmer-30B-FP8-block</t>
  </si>
  <si>
    <t xml:space="preserve">https://huggingface.co/RedHatAI/Muse-Glimmer-30B-FP8-block</t>
  </si>
  <si>
    <t xml:space="preserve">Intel/gemma-4-26B-A4B-it-int4-AutoRound</t>
  </si>
  <si>
    <t xml:space="preserve">https://huggingface.co/Intel/gemma-4-26B-A4B-it-int4-AutoRound</t>
  </si>
  <si>
    <t xml:space="preserve">cnmoro/nomic-embed-text-v2-moe-distilled-high-quality</t>
  </si>
  <si>
    <t xml:space="preserve">cnmoro</t>
  </si>
  <si>
    <t xml:space="preserve">https://huggingface.co/cnmoro/nomic-embed-text-v2-moe-distilled-high-quality</t>
  </si>
  <si>
    <t xml:space="preserve">google/madlad400-3b-mt</t>
  </si>
  <si>
    <t xml:space="preserve">https://huggingface.co/google/madlad400-3b-mt</t>
  </si>
  <si>
    <t xml:space="preserve">google/translategemma-12b-it</t>
  </si>
  <si>
    <t xml:space="preserve">https://huggingface.co/google/translategemma-12b-it</t>
  </si>
  <si>
    <t xml:space="preserve">timm/convnext_tiny.in12k_ft_in1k</t>
  </si>
  <si>
    <t xml:space="preserve">https://huggingface.co/timm/convnext_tiny.in12k_ft_in1k</t>
  </si>
  <si>
    <t xml:space="preserve">lmstudio-community/gemma-3n-E4B-it-MLX-bf16</t>
  </si>
  <si>
    <t xml:space="preserve">https://huggingface.co/lmstudio-community/gemma-3n-E4B-it-MLX-bf16</t>
  </si>
  <si>
    <t xml:space="preserve">autogluon/mitra-regressor</t>
  </si>
  <si>
    <t xml:space="preserve">https://huggingface.co/autogluon/mitra-regressor</t>
  </si>
  <si>
    <t xml:space="preserve">unslothai/aws</t>
  </si>
  <si>
    <t xml:space="preserve">https://huggingface.co/unslothai/aws</t>
  </si>
  <si>
    <t xml:space="preserve">RedHatAI/Meta-Llama-3.1-8B-Instruct-quantized.w4a16</t>
  </si>
  <si>
    <t xml:space="preserve">https://huggingface.co/RedHatAI/Meta-Llama-3.1-8B-Instruct-quantized.w4a16</t>
  </si>
  <si>
    <t xml:space="preserve">timm/wide_resnet50_2.racm_in1k</t>
  </si>
  <si>
    <t xml:space="preserve">https://huggingface.co/timm/wide_resnet50_2.racm_in1k</t>
  </si>
  <si>
    <t xml:space="preserve">timm/repvgg_a0.rvgg_in1k</t>
  </si>
  <si>
    <t xml:space="preserve">https://huggingface.co/timm/repvgg_a0.rvgg_in1k</t>
  </si>
  <si>
    <t xml:space="preserve">unsloth/Meta-Llama-3.1-8B-Instruct-bnb-4bit</t>
  </si>
  <si>
    <t xml:space="preserve">https://huggingface.co/unsloth/Meta-Llama-3.1-8B-Instruct-bnb-4bit</t>
  </si>
  <si>
    <t xml:space="preserve">MoritzLaurer/deberta-v3-base-zeroshot-v2.0</t>
  </si>
  <si>
    <t xml:space="preserve">https://huggingface.co/MoritzLaurer/deberta-v3-base-zeroshot-v2.0</t>
  </si>
  <si>
    <t xml:space="preserve">microsoft/BiomedVLP-CXR-BERT-general</t>
  </si>
  <si>
    <t xml:space="preserve">https://huggingface.co/microsoft/BiomedVLP-CXR-BERT-general</t>
  </si>
  <si>
    <t xml:space="preserve">city96/umt5-xxl-encoder-gguf</t>
  </si>
  <si>
    <t xml:space="preserve">city96</t>
  </si>
  <si>
    <t xml:space="preserve">google/umt5-xxl</t>
  </si>
  <si>
    <t xml:space="preserve">https://huggingface.co/city96/umt5-xxl-encoder-gguf</t>
  </si>
  <si>
    <t xml:space="preserve">docling-project/DocumentFigureClassifier-v2.5</t>
  </si>
  <si>
    <t xml:space="preserve">google/efficientnet-b0</t>
  </si>
  <si>
    <t xml:space="preserve">https://huggingface.co/docling-project/DocumentFigureClassifier-v2.5</t>
  </si>
  <si>
    <t xml:space="preserve">deepset/xlm-roberta-base-squad2</t>
  </si>
  <si>
    <t xml:space="preserve">https://huggingface.co/deepset/xlm-roberta-base-squad2</t>
  </si>
  <si>
    <t xml:space="preserve">bartowski/Fara1.5-27B-GGUF</t>
  </si>
  <si>
    <t xml:space="preserve">microsoft/Fara1.5-27B</t>
  </si>
  <si>
    <t xml:space="preserve">https://huggingface.co/bartowski/Fara1.5-27B-GGUF</t>
  </si>
  <si>
    <t xml:space="preserve">AutonLab/MOMENT-1-small</t>
  </si>
  <si>
    <t xml:space="preserve">AutonLab</t>
  </si>
  <si>
    <t xml:space="preserve">https://huggingface.co/AutonLab/MOMENT-1-small</t>
  </si>
  <si>
    <t xml:space="preserve">prism-ml/Bonsai-1.7B-gguf</t>
  </si>
  <si>
    <t xml:space="preserve">prism-ml/Bonsai-1.7B-unpacked</t>
  </si>
  <si>
    <t xml:space="preserve">https://huggingface.co/prism-ml/Bonsai-1.7B-gguf</t>
  </si>
  <si>
    <t xml:space="preserve">google/siglip2-so400m-patch14-384</t>
  </si>
  <si>
    <t xml:space="preserve">https://huggingface.co/google/siglip2-so400m-patch14-384</t>
  </si>
  <si>
    <t xml:space="preserve">lmstudio-community/Llama-3.2-3B-Instruct-GGUF</t>
  </si>
  <si>
    <t xml:space="preserve">https://huggingface.co/lmstudio-community/Llama-3.2-3B-Instruct-GGUF</t>
  </si>
  <si>
    <t xml:space="preserve">timm/vit_base_patch16_224.augreg2_in21k_ft_in1k</t>
  </si>
  <si>
    <t xml:space="preserve">https://huggingface.co/timm/vit_base_patch16_224.augreg2_in21k_ft_in1k</t>
  </si>
  <si>
    <t xml:space="preserve">gratefulasi/lumeleto</t>
  </si>
  <si>
    <t xml:space="preserve">gratefulasi</t>
  </si>
  <si>
    <t xml:space="preserve">https://huggingface.co/gratefulasi/lumeleto</t>
  </si>
  <si>
    <t xml:space="preserve">khyentsevision/minilm-bo-en-sim</t>
  </si>
  <si>
    <t xml:space="preserve">khyentsevision</t>
  </si>
  <si>
    <t xml:space="preserve">bsd</t>
  </si>
  <si>
    <t xml:space="preserve">https://huggingface.co/khyentsevision/minilm-bo-en-sim</t>
  </si>
  <si>
    <t xml:space="preserve">timm/vit_small_patch16_224.augreg_in21k_ft_in1k</t>
  </si>
  <si>
    <t xml:space="preserve">https://huggingface.co/timm/vit_small_patch16_224.augreg_in21k_ft_in1k</t>
  </si>
  <si>
    <t xml:space="preserve">cyankiwi/gemma-4-E2B-it-AWQ-INT4</t>
  </si>
  <si>
    <t xml:space="preserve">https://huggingface.co/cyankiwi/gemma-4-E2B-it-AWQ-INT4</t>
  </si>
  <si>
    <t xml:space="preserve">google/siglip2-base-patch16-512</t>
  </si>
  <si>
    <t xml:space="preserve">https://huggingface.co/google/siglip2-base-patch16-512</t>
  </si>
  <si>
    <t xml:space="preserve">google/medgemma-27b-text-it</t>
  </si>
  <si>
    <t xml:space="preserve">https://huggingface.co/google/medgemma-27b-text-it</t>
  </si>
  <si>
    <t xml:space="preserve">bartowski/Llama-3.2-3B-Instruct-GGUF</t>
  </si>
  <si>
    <t xml:space="preserve">https://huggingface.co/bartowski/Llama-3.2-3B-Instruct-GGUF</t>
  </si>
  <si>
    <t xml:space="preserve">google/siglip2-so400m-patch16-256</t>
  </si>
  <si>
    <t xml:space="preserve">https://huggingface.co/google/siglip2-so400m-patch16-256</t>
  </si>
  <si>
    <t xml:space="preserve">lightonai/LightOnOCR-1B-1025</t>
  </si>
  <si>
    <t xml:space="preserve">https://huggingface.co/lightonai/LightOnOCR-1B-1025</t>
  </si>
  <si>
    <t xml:space="preserve">farbodtavakkoli/OTel-Embedding-109M</t>
  </si>
  <si>
    <t xml:space="preserve">https://huggingface.co/farbodtavakkoli/OTel-Embedding-109M</t>
  </si>
  <si>
    <t xml:space="preserve">timm/resnet18.a3_in1k</t>
  </si>
  <si>
    <t xml:space="preserve">https://huggingface.co/timm/resnet18.a3_in1k</t>
  </si>
  <si>
    <t xml:space="preserve">unsloth/llama-3-8b-Instruct-bnb-4bit</t>
  </si>
  <si>
    <t xml:space="preserve">https://huggingface.co/unsloth/llama-3-8b-Instruct-bnb-4bit</t>
  </si>
  <si>
    <t xml:space="preserve">facebook/bart-large-mnli</t>
  </si>
  <si>
    <t xml:space="preserve">專精領域與資安無關</t>
  </si>
  <si>
    <t xml:space="preserve">https://huggingface.co/facebook/bart-large-mnli</t>
  </si>
  <si>
    <t xml:space="preserve">bartowski/Llama-3.2-1B-Instruct-GGUF</t>
  </si>
  <si>
    <t xml:space="preserve">https://huggingface.co/bartowski/Llama-3.2-1B-Instruct-GGUF</t>
  </si>
  <si>
    <t xml:space="preserve">nvidia/Llama-4-Scout-17B-16E-Instruct-FP8</t>
  </si>
  <si>
    <t xml:space="preserve">meta-llama/Llama-4-Scout-17B-16E-Instruct</t>
  </si>
  <si>
    <t xml:space="preserve">https://huggingface.co/nvidia/Llama-4-Scout-17B-16E-Instruct-FP8</t>
  </si>
  <si>
    <t xml:space="preserve">EleutherAI/pythia-12b</t>
  </si>
  <si>
    <t xml:space="preserve">https://huggingface.co/EleutherAI/pythia-12b</t>
  </si>
  <si>
    <t xml:space="preserve">unsloth/tinyllama-bnb-4bit</t>
  </si>
  <si>
    <t xml:space="preserve">https://huggingface.co/unsloth/tinyllama-bnb-4bit</t>
  </si>
  <si>
    <t xml:space="preserve">unslothai/vram-96</t>
  </si>
  <si>
    <t xml:space="preserve">https://huggingface.co/unslothai/vram-96</t>
  </si>
  <si>
    <t xml:space="preserve">jjzha/escoxlmr_skill_extraction</t>
  </si>
  <si>
    <t xml:space="preserve">jjzha</t>
  </si>
  <si>
    <t xml:space="preserve">https://huggingface.co/jjzha/escoxlmr_skill_extraction</t>
  </si>
  <si>
    <t xml:space="preserve">facebook/audiobox-aesthetics</t>
  </si>
  <si>
    <t xml:space="preserve">https://huggingface.co/facebook/audiobox-aesthetics</t>
  </si>
  <si>
    <t xml:space="preserve">CohereLabs/command-a-plus-05-2026-w4a4</t>
  </si>
  <si>
    <t xml:space="preserve">https://huggingface.co/CohereLabs/command-a-plus-05-2026-w4a4</t>
  </si>
  <si>
    <t xml:space="preserve">meta-llama/Llama-3.1-70B</t>
  </si>
  <si>
    <t xml:space="preserve">https://huggingface.co/meta-llama/Llama-3.3-70B-Instruct</t>
  </si>
  <si>
    <t xml:space="preserve">google/siglip2-so400m-patch16-naflex</t>
  </si>
  <si>
    <t xml:space="preserve">https://huggingface.co/google/siglip2-so400m-patch16-naflex</t>
  </si>
  <si>
    <t xml:space="preserve">unsloth/Llama-3.2-1B</t>
  </si>
  <si>
    <t xml:space="preserve">https://huggingface.co/unsloth/Llama-3.2-1B</t>
  </si>
  <si>
    <t xml:space="preserve">MaziyarPanahi/gemma-3-4b-it-GGUF</t>
  </si>
  <si>
    <t xml:space="preserve">https://huggingface.co/MaziyarPanahi/gemma-3-4b-it-GGUF</t>
  </si>
  <si>
    <t xml:space="preserve">Jean-Baptiste/roberta-large-ner-english</t>
  </si>
  <si>
    <t xml:space="preserve">Jean-Baptiste</t>
  </si>
  <si>
    <t xml:space="preserve">https://huggingface.co/Jean-Baptiste/roberta-large-ner-english</t>
  </si>
  <si>
    <t xml:space="preserve">jackaduma/SecBERT</t>
  </si>
  <si>
    <t xml:space="preserve">jackaduma</t>
  </si>
  <si>
    <t xml:space="preserve">https://huggingface.co/jackaduma/SecBERT</t>
  </si>
  <si>
    <t xml:space="preserve">meta-llama/Llama-3.1-70B-Instruct</t>
  </si>
  <si>
    <t xml:space="preserve">https://huggingface.co/meta-llama/Llama-3.1-70B-Instruct</t>
  </si>
  <si>
    <t xml:space="preserve">https://huggingface.co/openai/whisper-large-v3</t>
  </si>
  <si>
    <t xml:space="preserve">rv2307/electra-small-ner</t>
  </si>
  <si>
    <t xml:space="preserve">rv2307</t>
  </si>
  <si>
    <t xml:space="preserve">https://huggingface.co/rv2307/electra-small-ner</t>
  </si>
  <si>
    <t xml:space="preserve">timm/vit_base_patch8_224.augreg2_in21k_ft_in1k</t>
  </si>
  <si>
    <t xml:space="preserve">https://huggingface.co/timm/vit_base_patch8_224.augreg2_in21k_ft_in1k</t>
  </si>
  <si>
    <t xml:space="preserve">google/vit-base-patch16-224</t>
  </si>
  <si>
    <t xml:space="preserve">https://huggingface.co/google/vit-base-patch16-224</t>
  </si>
  <si>
    <t xml:space="preserve">ggml-org/gpt-oss-120b-GGUF</t>
  </si>
  <si>
    <t xml:space="preserve">https://huggingface.co/ggml-org/gpt-oss-120b-GGUF</t>
  </si>
  <si>
    <t xml:space="preserve">bartowski/Mistral-Nemo-Instruct-2407-GGUF</t>
  </si>
  <si>
    <t xml:space="preserve">https://huggingface.co/bartowski/Mistral-Nemo-Instruct-2407-GGUF</t>
  </si>
  <si>
    <t xml:space="preserve">https://huggingface.co/google/gemma-3-12b-pt</t>
  </si>
  <si>
    <t xml:space="preserve">https://huggingface.co/swiss-ai/Apertus-8B-2509</t>
  </si>
  <si>
    <t xml:space="preserve">nvidia/NVIDIA-Nemotron-3.5-Lightning-30B-A3B-Base-BF16</t>
  </si>
  <si>
    <t xml:space="preserve">https://huggingface.co/nvidia/NVIDIA-Nemotron-3.5-Lightning-30B-A3B-Base-BF16</t>
  </si>
  <si>
    <t xml:space="preserve">distilbert/distilbert-base-uncased-finetuned-sst-2-english</t>
  </si>
  <si>
    <t xml:space="preserve">https://huggingface.co/distilbert/distilbert-base-uncased-finetuned-sst-2-english</t>
  </si>
  <si>
    <t xml:space="preserve">facebook/dinov2-small</t>
  </si>
  <si>
    <t xml:space="preserve">https://huggingface.co/facebook/dinov2-small</t>
  </si>
  <si>
    <t xml:space="preserve">google/translategemma-27b-it</t>
  </si>
  <si>
    <t xml:space="preserve">https://huggingface.co/google/translategemma-27b-it</t>
  </si>
  <si>
    <t xml:space="preserve">facebook/xlm-roberta-xl</t>
  </si>
  <si>
    <t xml:space="preserve">https://huggingface.co/facebook/xlm-roberta-xl</t>
  </si>
  <si>
    <t xml:space="preserve">MaziyarPanahi/Phi-4-mini-instruct-GGUF</t>
  </si>
  <si>
    <t xml:space="preserve">microsoft/Phi-4-mini-instruct</t>
  </si>
  <si>
    <t xml:space="preserve">https://huggingface.co/MaziyarPanahi/Phi-4-mini-instruct-GGUF</t>
  </si>
  <si>
    <t xml:space="preserve">vikp/texify</t>
  </si>
  <si>
    <t xml:space="preserve">vikp</t>
  </si>
  <si>
    <t xml:space="preserve">https://huggingface.co/vikp/texify</t>
  </si>
  <si>
    <t xml:space="preserve">facebook/dinov2-base</t>
  </si>
  <si>
    <t xml:space="preserve">https://huggingface.co/facebook/dinov2-base</t>
  </si>
  <si>
    <t xml:space="preserve">google-t5/t5-base</t>
  </si>
  <si>
    <t xml:space="preserve">https://huggingface.co/google-t5/t5-base</t>
  </si>
  <si>
    <t xml:space="preserve">OpenMed/OpenMed-PII-Italian-SuperClinical-Large-434M-v1</t>
  </si>
  <si>
    <t xml:space="preserve">https://huggingface.co/OpenMed/OpenMed-PII-Italian-SuperClinical-Large-434M-v1</t>
  </si>
  <si>
    <t xml:space="preserve">timm/vit_large_patch14_reg4_dinov2.lvd142m</t>
  </si>
  <si>
    <t xml:space="preserve">https://huggingface.co/timm/vit_large_patch14_reg4_dinov2.lvd142m</t>
  </si>
  <si>
    <t xml:space="preserve">deepset/bert-base-cased-squad2</t>
  </si>
  <si>
    <t xml:space="preserve">https://huggingface.co/deepset/bert-base-cased-squad2</t>
  </si>
  <si>
    <t xml:space="preserve">timm/vit_base_patch32_clip_224.laion400m_e32</t>
  </si>
  <si>
    <t xml:space="preserve">https://huggingface.co/timm/vit_base_patch32_clip_224.laion400m_e32</t>
  </si>
  <si>
    <t xml:space="preserve">unsloth/gpt-oss-20b</t>
  </si>
  <si>
    <t xml:space="preserve">https://huggingface.co/unsloth/gpt-oss-20b</t>
  </si>
  <si>
    <t xml:space="preserve">timm/vit_tiny_patch16_224.augreg_in21k_ft_in1k</t>
  </si>
  <si>
    <t xml:space="preserve">https://huggingface.co/timm/vit_tiny_patch16_224.augreg_in21k_ft_in1k</t>
  </si>
  <si>
    <t xml:space="preserve">timm/vit_base_patch14_reg4_dinov2.lvd142m</t>
  </si>
  <si>
    <t xml:space="preserve">https://huggingface.co/timm/vit_base_patch14_reg4_dinov2.lvd142m</t>
  </si>
  <si>
    <t xml:space="preserve">BigDannyPt/Illustrious-GGUF-Collection</t>
  </si>
  <si>
    <t xml:space="preserve">BigDannyPt</t>
  </si>
  <si>
    <t xml:space="preserve">https://huggingface.co/BigDannyPt/Illustrious-GGUF-Collection</t>
  </si>
  <si>
    <t xml:space="preserve">lmstudio-community/LFM2-1.2B-MLX-8bit</t>
  </si>
  <si>
    <t xml:space="preserve">https://huggingface.co/lmstudio-community/LFM2-1.2B-MLX-8bit</t>
  </si>
  <si>
    <t xml:space="preserve">unslothai/vram-48</t>
  </si>
  <si>
    <t xml:space="preserve">https://huggingface.co/unslothai/vram-48</t>
  </si>
  <si>
    <t xml:space="preserve">lmstudio-community/LFM2-1.2B-MLX-bf16</t>
  </si>
  <si>
    <t xml:space="preserve">https://huggingface.co/lmstudio-community/LFM2-1.2B-MLX-bf16</t>
  </si>
  <si>
    <t xml:space="preserve">unslothai/vram-80</t>
  </si>
  <si>
    <t xml:space="preserve">https://huggingface.co/unslothai/vram-80</t>
  </si>
  <si>
    <t xml:space="preserve">timm/edgenext_small.usi_in1k</t>
  </si>
  <si>
    <t xml:space="preserve">https://huggingface.co/timm/edgenext_small.usi_in1k</t>
  </si>
  <si>
    <t xml:space="preserve">facebook/dinov2-large</t>
  </si>
  <si>
    <t xml:space="preserve">https://huggingface.co/facebook/dinov2-large</t>
  </si>
  <si>
    <t xml:space="preserve">LazarusNLP/all-indo-e5-small-v4</t>
  </si>
  <si>
    <t xml:space="preserve">LazarusNLP</t>
  </si>
  <si>
    <t xml:space="preserve">https://huggingface.co/LazarusNLP/all-indo-e5-small-v4</t>
  </si>
  <si>
    <t xml:space="preserve">google/vit-base-patch16-224-in21k</t>
  </si>
  <si>
    <t xml:space="preserve">https://huggingface.co/google/vit-base-patch16-224-in21k</t>
  </si>
  <si>
    <t xml:space="preserve">mlx-community/gemma-3-1b-it-qat-4bit</t>
  </si>
  <si>
    <t xml:space="preserve">https://huggingface.co/mlx-community/gemma-3-1b-it-qat-4bit</t>
  </si>
  <si>
    <t xml:space="preserve">nvidia/parakeet-tdt-0.6b-v3</t>
  </si>
  <si>
    <t xml:space="preserve">https://huggingface.co/nvidia/parakeet-tdt-0.6b-v3</t>
  </si>
  <si>
    <t xml:space="preserve">bartowski/SmolLM2-1.7B-Instruct-GGUF</t>
  </si>
  <si>
    <t xml:space="preserve">https://huggingface.co/bartowski/SmolLM2-1.7B-Instruct-GGUF</t>
  </si>
  <si>
    <t xml:space="preserve">RedHatAI/Llama-3.2-3B-Instruct-FP8-dynamic</t>
  </si>
  <si>
    <t xml:space="preserve">https://huggingface.co/RedHatAI/Llama-3.2-3B-Instruct-FP8-dynamic</t>
  </si>
  <si>
    <t xml:space="preserve">RedHatAI/NVIDIA-Nemotron-3.5-Lightning-30B-A3B-FP8</t>
  </si>
  <si>
    <t xml:space="preserve">https://huggingface.co/RedHatAI/NVIDIA-Nemotron-3.5-Lightning-30B-A3B-FP8</t>
  </si>
  <si>
    <t xml:space="preserve">allenai/OLMo-2-0325-32B-Instruct</t>
  </si>
  <si>
    <t xml:space="preserve">allenai/OLMo-2-0325-32B-DPO</t>
  </si>
  <si>
    <t xml:space="preserve">https://huggingface.co/allenai/OLMo-2-0325-32B-Instruct</t>
  </si>
  <si>
    <t xml:space="preserve">llm-jp/llm-jp-3-150m</t>
  </si>
  <si>
    <t xml:space="preserve">llm-jp</t>
  </si>
  <si>
    <t xml:space="preserve">https://huggingface.co/llm-jp/llm-jp-3-150m</t>
  </si>
  <si>
    <t xml:space="preserve">nvidia/Llama-4-Scout-17B-16E-Instruct-NVFP4</t>
  </si>
  <si>
    <t xml:space="preserve">https://huggingface.co/nvidia/Llama-4-Scout-17B-16E-Instruct-NVFP4</t>
  </si>
  <si>
    <t xml:space="preserve">allenai/Llama-3.1-Tulu-3-8B-SFT</t>
  </si>
  <si>
    <t xml:space="preserve">https://huggingface.co/allenai/Llama-3.1-Tulu-3-8B-SFT</t>
  </si>
  <si>
    <t xml:space="preserve">cyankiwi/gemma-4-26B-A4B-it-qat-AWQ-INT4</t>
  </si>
  <si>
    <t xml:space="preserve">https://huggingface.co/cyankiwi/gemma-4-26B-A4B-it-qat-AWQ-INT4</t>
  </si>
  <si>
    <t xml:space="preserve">Marqo/nsfw-image-detection-384</t>
  </si>
  <si>
    <t xml:space="preserve">Marqo</t>
  </si>
  <si>
    <t xml:space="preserve">https://huggingface.co/Marqo/nsfw-image-detection-384</t>
  </si>
  <si>
    <t xml:space="preserve">freelawproject/modernbert-embed-base_finetune_512</t>
  </si>
  <si>
    <t xml:space="preserve">freelawproject</t>
  </si>
  <si>
    <t xml:space="preserve">cc0-1.0</t>
  </si>
  <si>
    <t xml:space="preserve">https://huggingface.co/freelawproject/modernbert-embed-base_finetune_512</t>
  </si>
  <si>
    <t xml:space="preserve">timm/resnet50.ram_in1k</t>
  </si>
  <si>
    <t xml:space="preserve">https://huggingface.co/timm/resnet50.ram_in1k</t>
  </si>
  <si>
    <t xml:space="preserve">RedHatAI/Meta-Llama-3.1-8B-Instruct-FP8-dynamic</t>
  </si>
  <si>
    <t xml:space="preserve">https://huggingface.co/RedHatAI/Meta-Llama-3.1-8B-Instruct-FP8-dynamic</t>
  </si>
  <si>
    <t xml:space="preserve">timm/convnext_femto.d1_in1k</t>
  </si>
  <si>
    <t xml:space="preserve">https://huggingface.co/timm/convnext_femto.d1_in1k</t>
  </si>
  <si>
    <t xml:space="preserve">MaziyarPanahi/Meta-Llama-3.1-8B-Instruct-GGUF</t>
  </si>
  <si>
    <t xml:space="preserve">https://huggingface.co/MaziyarPanahi/Meta-Llama-3.1-8B-Instruct-GGUF</t>
  </si>
  <si>
    <t xml:space="preserve">QCRI/Fanar-1-9B-Instruct</t>
  </si>
  <si>
    <t xml:space="preserve">QCRI</t>
  </si>
  <si>
    <t xml:space="preserve">QCRI/Fanar-1-9B</t>
  </si>
  <si>
    <t xml:space="preserve">https://huggingface.co/QCRI/Fanar-1-9B-Instruct</t>
  </si>
  <si>
    <t xml:space="preserve">OpenMed/OpenMed-PII-Spanish-SuperClinical-Large-434M-v1</t>
  </si>
  <si>
    <t xml:space="preserve">https://huggingface.co/OpenMed/OpenMed-PII-Spanish-SuperClinical-Large-434M-v1</t>
  </si>
  <si>
    <t xml:space="preserve">lmstudio-community/Nemotron-3-Nano-Omni-30B-A3B-Reasoning-GGUF</t>
  </si>
  <si>
    <t xml:space="preserve">nvidia/Nemotron-3-Nano-Omni-30B-A3B-Reasoning-BF16</t>
  </si>
  <si>
    <t xml:space="preserve">https://huggingface.co/lmstudio-community/Nemotron-3-Nano-Omni-30B-A3B-Reasoning-GGUF</t>
  </si>
  <si>
    <t xml:space="preserve">erwanf/gpt2-mini</t>
  </si>
  <si>
    <t xml:space="preserve">erwanf</t>
  </si>
  <si>
    <t xml:space="preserve">https://huggingface.co/erwanf/gpt2-mini</t>
  </si>
  <si>
    <t xml:space="preserve">ibm-granite/granite-4.0-1b-speech</t>
  </si>
  <si>
    <t xml:space="preserve">https://huggingface.co/ibm-granite/granite-4.0-1b-speech</t>
  </si>
  <si>
    <t xml:space="preserve">mistral-experimental/pixtral-12b</t>
  </si>
  <si>
    <t xml:space="preserve">mistral-experimental</t>
  </si>
  <si>
    <t xml:space="preserve">https://huggingface.co/mistral-experimental/pixtral-12b</t>
  </si>
  <si>
    <t xml:space="preserve">DeepMount00/Italian_NER_XXL_v2</t>
  </si>
  <si>
    <t xml:space="preserve">DeepMount00</t>
  </si>
  <si>
    <t xml:space="preserve">https://huggingface.co/DeepMount00/Italian_NER_XXL_v2</t>
  </si>
  <si>
    <t xml:space="preserve">cyankiwi/gemma-4-31B-it-qat-AWQ-INT4</t>
  </si>
  <si>
    <t xml:space="preserve">https://huggingface.co/cyankiwi/gemma-4-31B-it-qat-AWQ-INT4</t>
  </si>
  <si>
    <t xml:space="preserve">wfzyx/von</t>
  </si>
  <si>
    <t xml:space="preserve">wfzyx</t>
  </si>
  <si>
    <t xml:space="preserve">https://huggingface.co/wfzyx/von</t>
  </si>
  <si>
    <t xml:space="preserve">Datadog/Toto-2.0-22m</t>
  </si>
  <si>
    <t xml:space="preserve">Datadog</t>
  </si>
  <si>
    <t xml:space="preserve">https://huggingface.co/Datadog/Toto-2.0-22m</t>
  </si>
  <si>
    <t xml:space="preserve">Agnuxo/CAJAL-4B</t>
  </si>
  <si>
    <t xml:space="preserve">Agnuxo</t>
  </si>
  <si>
    <t xml:space="preserve">https://huggingface.co/Agnuxo/CAJAL-4B</t>
  </si>
  <si>
    <t xml:space="preserve">deepset/deberta-v3-base-squad2</t>
  </si>
  <si>
    <t xml:space="preserve">https://huggingface.co/deepset/deberta-v3-base-squad2</t>
  </si>
  <si>
    <t xml:space="preserve">distilbert/distilbert-base-uncased-distilled-squad</t>
  </si>
  <si>
    <t xml:space="preserve">safetensors;pytorch;tensorflow;other</t>
  </si>
  <si>
    <t xml:space="preserve">https://huggingface.co/distilbert/distilbert-base-uncased-distilled-squad</t>
  </si>
  <si>
    <t xml:space="preserve">nm-testing/tinysmokellama-3.2</t>
  </si>
  <si>
    <t xml:space="preserve">https://huggingface.co/nm-testing/tinysmokellama-3.2</t>
  </si>
  <si>
    <t xml:space="preserve">timpal0l/mdeberta-v3-base-squad2</t>
  </si>
  <si>
    <t xml:space="preserve">timpal0l</t>
  </si>
  <si>
    <t xml:space="preserve">https://huggingface.co/timpal0l/mdeberta-v3-base-squad2</t>
  </si>
  <si>
    <t xml:space="preserve">allenai/OLMo-2-1124-13B</t>
  </si>
  <si>
    <t xml:space="preserve">https://huggingface.co/allenai/OLMo-2-1124-13B</t>
  </si>
  <si>
    <t xml:space="preserve">lmstudio-community/NVIDIA-Nemotron-3-Nano-30B-A3B-MLX-4bit</t>
  </si>
  <si>
    <t xml:space="preserve">nvidia/NVIDIA-Nemotron-3-Nano-30B-A3B-BF16</t>
  </si>
  <si>
    <t xml:space="preserve">https://huggingface.co/lmstudio-community/NVIDIA-Nemotron-3-Nano-30B-A3B-MLX-4bit</t>
  </si>
  <si>
    <t xml:space="preserve">microsoft/resnet-50</t>
  </si>
  <si>
    <t xml:space="preserve">https://huggingface.co/microsoft/resnet-50</t>
  </si>
  <si>
    <t xml:space="preserve">google/siglip2-base-patch16-384</t>
  </si>
  <si>
    <t xml:space="preserve">https://huggingface.co/google/siglip2-base-patch16-384</t>
  </si>
  <si>
    <t xml:space="preserve">XLabs-AI/xflux_text_encoders</t>
  </si>
  <si>
    <t xml:space="preserve">XLabs-AI</t>
  </si>
  <si>
    <t xml:space="preserve">https://huggingface.co/XLabs-AI/xflux_text_encoders</t>
  </si>
  <si>
    <t xml:space="preserve">timm/efficientnet_b2.ra_in1k</t>
  </si>
  <si>
    <t xml:space="preserve">https://huggingface.co/timm/efficientnet_b2.ra_in1k</t>
  </si>
  <si>
    <t xml:space="preserve">TheBloke/TinyLlama-1.1B-Chat-v0.3-GGUF</t>
  </si>
  <si>
    <t xml:space="preserve">https://huggingface.co/TheBloke/TinyLlama-1.1B-Chat-v0.3-GGUF</t>
  </si>
  <si>
    <t xml:space="preserve">timm/mobilenetv3_large_100.ra_in1k</t>
  </si>
  <si>
    <t xml:space="preserve">https://huggingface.co/timm/mobilenetv3_large_100.ra_in1k</t>
  </si>
  <si>
    <t xml:space="preserve">onnx-community/embeddinggemma-300m-ONNX</t>
  </si>
  <si>
    <t xml:space="preserve">https://huggingface.co/onnx-community/embeddinggemma-300m-ONNX</t>
  </si>
  <si>
    <t xml:space="preserve">timm/convnext_base.fb_in22k_ft_in1k</t>
  </si>
  <si>
    <t xml:space="preserve">https://huggingface.co/timm/convnext_base.fb_in22k_ft_in1k</t>
  </si>
  <si>
    <t xml:space="preserve">codellama/CodeLlama-7b-hf</t>
  </si>
  <si>
    <t xml:space="preserve">codellama</t>
  </si>
  <si>
    <t xml:space="preserve">https://huggingface.co/codellama/CodeLlama-7b-hf</t>
  </si>
  <si>
    <t xml:space="preserve">k-chirkunov/gemma4-e4b-claims-comparison</t>
  </si>
  <si>
    <t xml:space="preserve">k-chirkunov</t>
  </si>
  <si>
    <t xml:space="preserve">https://huggingface.co/k-chirkunov/gemma4-e4b-claims-comparison</t>
  </si>
  <si>
    <t xml:space="preserve">MaziyarPanahi/Phi-3.5-mini-instruct-GGUF</t>
  </si>
  <si>
    <t xml:space="preserve">https://huggingface.co/MaziyarPanahi/Phi-3.5-mini-instruct-GGUF</t>
  </si>
  <si>
    <t xml:space="preserve">docling-project/CodeFormulaV2</t>
  </si>
  <si>
    <t xml:space="preserve">cdla-permissive-2.0</t>
  </si>
  <si>
    <t xml:space="preserve">https://huggingface.co/docling-project/CodeFormulaV2</t>
  </si>
  <si>
    <t xml:space="preserve">disham993/electrical-ner-ModernBERT-base</t>
  </si>
  <si>
    <t xml:space="preserve">disham993</t>
  </si>
  <si>
    <t xml:space="preserve">https://huggingface.co/disham993/electrical-ner-ModernBERT-base</t>
  </si>
  <si>
    <t xml:space="preserve">facebook/convnextv2-base-22k-384</t>
  </si>
  <si>
    <t xml:space="preserve">https://huggingface.co/facebook/convnextv2-base-22k-384</t>
  </si>
  <si>
    <t xml:space="preserve">p208p2002/zh-wiki-punctuation-restore</t>
  </si>
  <si>
    <t xml:space="preserve">p208p2002</t>
  </si>
  <si>
    <t xml:space="preserve">https://huggingface.co/p208p2002/zh-wiki-punctuation-restore</t>
  </si>
  <si>
    <t xml:space="preserve">https://huggingface.co/mistralai/Mixtral-8x7B-v0.1</t>
  </si>
  <si>
    <t xml:space="preserve">unsloth/gemma-3-1b-it-GGUF</t>
  </si>
  <si>
    <t xml:space="preserve">https://huggingface.co/unsloth/gemma-3-1b-it-GGUF</t>
  </si>
  <si>
    <t xml:space="preserve">docling-project/docling-layout-heron-101</t>
  </si>
  <si>
    <t xml:space="preserve">https://huggingface.co/docling-project/docling-layout-heron-101</t>
  </si>
  <si>
    <t xml:space="preserve">Datadog/Toto-Open-Base-1.0</t>
  </si>
  <si>
    <t xml:space="preserve">https://huggingface.co/Datadog/Toto-Open-Base-1.0</t>
  </si>
  <si>
    <t xml:space="preserve">microsoft/layoutlm-base-uncased</t>
  </si>
  <si>
    <t xml:space="preserve">https://huggingface.co/microsoft/layoutlm-base-uncased</t>
  </si>
  <si>
    <t xml:space="preserve">lmstudio-community/NVIDIA-Nemotron-3-Nano-30B-A3B-MLX-8bit</t>
  </si>
  <si>
    <t xml:space="preserve">https://huggingface.co/lmstudio-community/NVIDIA-Nemotron-3-Nano-30B-A3B-MLX-8bit</t>
  </si>
  <si>
    <t xml:space="preserve">ChristianAzinn/mxbai-embed-large-v1-gguf</t>
  </si>
  <si>
    <t xml:space="preserve">ChristianAzinn</t>
  </si>
  <si>
    <t xml:space="preserve">https://huggingface.co/ChristianAzinn/mxbai-embed-large-v1-gguf</t>
  </si>
  <si>
    <t xml:space="preserve">unsloth/NVIDIA-Nemotron-3-Nano-Omni-30B-A3B-Reasoning-GGUF</t>
  </si>
  <si>
    <t xml:space="preserve">https://huggingface.co/unsloth/NVIDIA-Nemotron-3-Nano-Omni-30B-A3B-Reasoning-GGUF</t>
  </si>
  <si>
    <t xml:space="preserve">lmstudio-community/NVIDIA-Nemotron-3-Nano-30B-A3B-MLX-6bit</t>
  </si>
  <si>
    <t xml:space="preserve">https://huggingface.co/lmstudio-community/NVIDIA-Nemotron-3-Nano-30B-A3B-MLX-6bit</t>
  </si>
  <si>
    <t xml:space="preserve">Xenova/ms-marco-MiniLM-L-6-v2</t>
  </si>
  <si>
    <t xml:space="preserve">https://huggingface.co/Xenova/ms-marco-MiniLM-L-6-v2</t>
  </si>
  <si>
    <t xml:space="preserve">lmstudio-community/NVIDIA-Nemotron-3-Nano-30B-A3B-MLX-5bit</t>
  </si>
  <si>
    <t xml:space="preserve">https://huggingface.co/lmstudio-community/NVIDIA-Nemotron-3-Nano-30B-A3B-MLX-5bit</t>
  </si>
  <si>
    <t xml:space="preserve">programasweights/paw-programs</t>
  </si>
  <si>
    <t xml:space="preserve">programasweights</t>
  </si>
  <si>
    <t xml:space="preserve">safetensors;gguf;pytorch</t>
  </si>
  <si>
    <t xml:space="preserve">https://huggingface.co/programasweights/paw-programs</t>
  </si>
  <si>
    <t xml:space="preserve">MoritzLaurer/deberta-v3-xsmall-zeroshot-v1.1-all-33</t>
  </si>
  <si>
    <t xml:space="preserve">https://huggingface.co/MoritzLaurer/deberta-v3-xsmall-zeroshot-v1.1-all-33</t>
  </si>
  <si>
    <t xml:space="preserve">PleIAs/Pleias-350m-Preview</t>
  </si>
  <si>
    <t xml:space="preserve">PleIAs</t>
  </si>
  <si>
    <t xml:space="preserve">https://huggingface.co/PleIAs/Pleias-350m-Preview</t>
  </si>
  <si>
    <t xml:space="preserve">utter-project/EuroLLM-9B-Instruct</t>
  </si>
  <si>
    <t xml:space="preserve">utter-project/EuroLLM-9B</t>
  </si>
  <si>
    <t xml:space="preserve">https://huggingface.co/utter-project/EuroLLM-9B-Instruct</t>
  </si>
  <si>
    <t xml:space="preserve">NousResearch/Meta-Llama-3-8B</t>
  </si>
  <si>
    <t xml:space="preserve">https://huggingface.co/NousResearch/Meta-Llama-3-8B</t>
  </si>
  <si>
    <t xml:space="preserve">ReadyArt/gemma-4-31B-it-scotoma-2-GGUF</t>
  </si>
  <si>
    <t xml:space="preserve">ReadyArt/gemma-4-31B-it-scotoma-2</t>
  </si>
  <si>
    <t xml:space="preserve">https://huggingface.co/ReadyArt/gemma-4-31B-it-scotoma-2-GGUF</t>
  </si>
  <si>
    <t xml:space="preserve">timm/vit_base_patch16_224.dino</t>
  </si>
  <si>
    <t xml:space="preserve">https://huggingface.co/timm/vit_base_patch16_224.dino</t>
  </si>
  <si>
    <t xml:space="preserve">timm/swin_tiny_patch4_window7_224.ms_in1k</t>
  </si>
  <si>
    <t xml:space="preserve">https://huggingface.co/timm/swin_tiny_patch4_window7_224.ms_in1k</t>
  </si>
  <si>
    <t xml:space="preserve">timm/vit_large_patch14_dinov2.lvd142m</t>
  </si>
  <si>
    <t xml:space="preserve">https://huggingface.co/timm/vit_large_patch14_dinov2.lvd142m</t>
  </si>
  <si>
    <t xml:space="preserve">facebook/dinov2-with-registers-base</t>
  </si>
  <si>
    <t xml:space="preserve">https://huggingface.co/facebook/dinov2-with-registers-base</t>
  </si>
  <si>
    <t xml:space="preserve">melcheikh/gemma-4-31B-it-qat-NVFP4-Blackwell</t>
  </si>
  <si>
    <t xml:space="preserve">melcheikh</t>
  </si>
  <si>
    <t xml:space="preserve">https://huggingface.co/melcheikh/gemma-4-31B-it-qat-NVFP4-Blackwell</t>
  </si>
  <si>
    <t xml:space="preserve">google-bert/bert-large-uncased-whole-word-masking-finetuned-squad</t>
  </si>
  <si>
    <t xml:space="preserve">https://huggingface.co/google-bert/bert-large-uncased-whole-word-masking-finetuned-squad</t>
  </si>
  <si>
    <t xml:space="preserve">GozdeA/finetuned-bertweet-poskd3</t>
  </si>
  <si>
    <t xml:space="preserve">GozdeA</t>
  </si>
  <si>
    <t xml:space="preserve">https://huggingface.co/GozdeA/finetuned-bertweet-poskd3</t>
  </si>
  <si>
    <t xml:space="preserve">Datadog/Toto-2.0-4m</t>
  </si>
  <si>
    <t xml:space="preserve">https://huggingface.co/Datadog/Toto-2.0-4m</t>
  </si>
  <si>
    <t xml:space="preserve">NousResearch/Meta-Llama-3-8B-Instruct</t>
  </si>
  <si>
    <t xml:space="preserve">https://huggingface.co/NousResearch/Meta-Llama-3-8B-Instruct</t>
  </si>
  <si>
    <t xml:space="preserve">timm/convnext_tiny.fb_in22k_ft_in1k</t>
  </si>
  <si>
    <t xml:space="preserve">https://huggingface.co/timm/convnext_tiny.fb_in22k_ft_in1k</t>
  </si>
  <si>
    <t xml:space="preserve">open-unlearning/tofu_Llama-3.2-1B-Instruct_full</t>
  </si>
  <si>
    <t xml:space="preserve">open-unlearning</t>
  </si>
  <si>
    <t xml:space="preserve">https://huggingface.co/open-unlearning/tofu_Llama-3.2-1B-Instruct_full</t>
  </si>
  <si>
    <t xml:space="preserve">microsoft/llmlingua-2-bert-base-multilingual-cased-meetingbank</t>
  </si>
  <si>
    <t xml:space="preserve">用途為提示詞壓縮</t>
  </si>
  <si>
    <t xml:space="preserve">https://huggingface.co/microsoft/llmlingua-2-bert-base-multilingual-cased-meetingbank</t>
  </si>
  <si>
    <t xml:space="preserve">timm/vit_base_patch16_224.augreg_in21k</t>
  </si>
  <si>
    <t xml:space="preserve">https://huggingface.co/timm/vit_base_patch16_224.augreg_in21k</t>
  </si>
  <si>
    <t xml:space="preserve">Efficient-Large-Model/gemma-2-2b-it</t>
  </si>
  <si>
    <t xml:space="preserve">Efficient-Large-Model</t>
  </si>
  <si>
    <t xml:space="preserve">https://huggingface.co/Efficient-Large-Model/gemma-2-2b-it</t>
  </si>
  <si>
    <t xml:space="preserve">NousResearch/Hermes-2-Pro-Mistral-7B-GGUF</t>
  </si>
  <si>
    <t xml:space="preserve">https://huggingface.co/NousResearch/Hermes-2-Pro-Mistral-7B-GGUF</t>
  </si>
  <si>
    <t xml:space="preserve">timm/regnety_032.ra_in1k</t>
  </si>
  <si>
    <t xml:space="preserve">https://huggingface.co/timm/regnety_032.ra_in1k</t>
  </si>
  <si>
    <t xml:space="preserve">ibm-granite/granite-speech-4.1-2b-plus</t>
  </si>
  <si>
    <t xml:space="preserve">https://huggingface.co/ibm-granite/granite-speech-4.1-2b-plus</t>
  </si>
  <si>
    <t xml:space="preserve">RedHatAI/Llama-3.2-3B-Instruct-FP8</t>
  </si>
  <si>
    <t xml:space="preserve">https://huggingface.co/RedHatAI/Llama-3.2-3B-Instruct-FP8</t>
  </si>
  <si>
    <t xml:space="preserve">timm/vit_tiny_r_s16_p8_224.augreg_in21k</t>
  </si>
  <si>
    <t xml:space="preserve">https://huggingface.co/timm/vit_tiny_r_s16_p8_224.augreg_in21k</t>
  </si>
  <si>
    <t xml:space="preserve">MaziyarPanahi/Nemotron-Orchestrator-8B-GGUF</t>
  </si>
  <si>
    <t xml:space="preserve">nvidia/Nemotron-Orchestrator-8B</t>
  </si>
  <si>
    <t xml:space="preserve">https://huggingface.co/MaziyarPanahi/Nemotron-Orchestrator-8B-GGUF</t>
  </si>
  <si>
    <t xml:space="preserve">farbodtavakkoli/OTel-LLM-270M-IT</t>
  </si>
  <si>
    <t xml:space="preserve">https://huggingface.co/farbodtavakkoli/OTel-LLM-270M-IT</t>
  </si>
  <si>
    <t xml:space="preserve">deepset/bert-medium-squad2-distilled</t>
  </si>
  <si>
    <t xml:space="preserve">https://huggingface.co/deepset/bert-medium-squad2-distilled</t>
  </si>
  <si>
    <t xml:space="preserve">sapientinc/HRM-Text-1B</t>
  </si>
  <si>
    <t xml:space="preserve">sapientinc</t>
  </si>
  <si>
    <t xml:space="preserve">https://huggingface.co/sapientinc/HRM-Text-1B</t>
  </si>
  <si>
    <t xml:space="preserve">OpenMed/OpenMed-PII-German-SuperClinical-Small-44M-v1</t>
  </si>
  <si>
    <t xml:space="preserve">https://huggingface.co/OpenMed/OpenMed-PII-German-SuperClinical-Small-44M-v1</t>
  </si>
  <si>
    <t xml:space="preserve">huggyllama/llama-7b</t>
  </si>
  <si>
    <t xml:space="preserve">huggyllama</t>
  </si>
  <si>
    <t xml:space="preserve">https://huggingface.co/huggyllama/llama-7b</t>
  </si>
  <si>
    <t xml:space="preserve">google/deplot</t>
  </si>
  <si>
    <t xml:space="preserve">https://huggingface.co/google/deplot</t>
  </si>
  <si>
    <t xml:space="preserve">nvidia/parakeet-ctc-1.1b</t>
  </si>
  <si>
    <t xml:space="preserve">https://huggingface.co/nvidia/parakeet-ctc-1.1b</t>
  </si>
  <si>
    <t xml:space="preserve">timm/swin_base_patch4_window7_224.ms_in22k_ft_in1k</t>
  </si>
  <si>
    <t xml:space="preserve">https://huggingface.co/timm/swin_base_patch4_window7_224.ms_in22k_ft_in1k</t>
  </si>
  <si>
    <t xml:space="preserve">distil-labs/distil-lfm25-shellper</t>
  </si>
  <si>
    <t xml:space="preserve">distil-labs</t>
  </si>
  <si>
    <t xml:space="preserve">https://huggingface.co/distil-labs/distil-lfm25-shellper</t>
  </si>
  <si>
    <t xml:space="preserve">MaziyarPanahi/Llama-3-8B-Instruct-32k-v0.1-GGUF</t>
  </si>
  <si>
    <t xml:space="preserve">https://huggingface.co/MaziyarPanahi/Llama-3-8B-Instruct-32k-v0.1-GGUF</t>
  </si>
  <si>
    <t xml:space="preserve">google-bert/bert-large-cased-whole-word-masking-finetuned-squad</t>
  </si>
  <si>
    <t xml:space="preserve">https://huggingface.co/google-bert/bert-large-cased-whole-word-masking-finetuned-squad</t>
  </si>
  <si>
    <t xml:space="preserve">MaziyarPanahi/Llama-3.2-1B-Instruct-GGUF</t>
  </si>
  <si>
    <t xml:space="preserve">https://huggingface.co/MaziyarPanahi/Llama-3.2-1B-Instruct-GGUF</t>
  </si>
  <si>
    <t xml:space="preserve">HuggingFaceH4/zephyr-7b-beta</t>
  </si>
  <si>
    <t xml:space="preserve">HuggingFaceH4</t>
  </si>
  <si>
    <t xml:space="preserve">https://huggingface.co/HuggingFaceH4/zephyr-7b-beta</t>
  </si>
  <si>
    <t xml:space="preserve">Ralriki/multilingual-e5-large-instruct-GGUF</t>
  </si>
  <si>
    <t xml:space="preserve">Ralriki</t>
  </si>
  <si>
    <t xml:space="preserve">https://huggingface.co/Ralriki/multilingual-e5-large-instruct-GGUF</t>
  </si>
  <si>
    <t xml:space="preserve">unsloth/Llama-3.2-3B-Instruct-unsloth-bnb-4bit</t>
  </si>
  <si>
    <t xml:space="preserve">https://huggingface.co/unsloth/Llama-3.2-3B-Instruct-unsloth-bnb-4bit</t>
  </si>
  <si>
    <t xml:space="preserve">cyankiwi/diffusiongemma-26B-A4B-it-AWQ-INT4</t>
  </si>
  <si>
    <t xml:space="preserve">https://huggingface.co/cyankiwi/diffusiongemma-26B-A4B-it-AWQ-INT4</t>
  </si>
  <si>
    <t xml:space="preserve">stabilityai/stablelm-zephyr-3b</t>
  </si>
  <si>
    <t xml:space="preserve">https://huggingface.co/stabilityai/stablelm-zephyr-3b</t>
  </si>
  <si>
    <t xml:space="preserve">timm/deit_tiny_patch16_224.fb_in1k</t>
  </si>
  <si>
    <t xml:space="preserve">https://huggingface.co/timm/deit_tiny_patch16_224.fb_in1k</t>
  </si>
  <si>
    <t xml:space="preserve">tasksource/ModernBERT-base-nli</t>
  </si>
  <si>
    <t xml:space="preserve">tasksource</t>
  </si>
  <si>
    <t xml:space="preserve">https://huggingface.co/tasksource/ModernBERT-base-nli</t>
  </si>
  <si>
    <t xml:space="preserve">MaziyarPanahi/gemma-2-2b-it-GGUF</t>
  </si>
  <si>
    <t xml:space="preserve">https://huggingface.co/MaziyarPanahi/gemma-2-2b-it-GGUF</t>
  </si>
  <si>
    <t xml:space="preserve">mlx-community/gemma-2-9b-it-4bit</t>
  </si>
  <si>
    <t xml:space="preserve">https://huggingface.co/mlx-community/gemma-2-9b-it-4bit</t>
  </si>
  <si>
    <t xml:space="preserve">MaziyarPanahi/Llama-3.2-3B-Instruct-GGUF</t>
  </si>
  <si>
    <t xml:space="preserve">https://huggingface.co/MaziyarPanahi/Llama-3.2-3B-Instruct-GGUF</t>
  </si>
  <si>
    <t xml:space="preserve">unsloth/gemma-3-4b-it-GGUF</t>
  </si>
  <si>
    <t xml:space="preserve">https://huggingface.co/unsloth/gemma-3-4b-it-GGUF</t>
  </si>
  <si>
    <t xml:space="preserve">davebulaval/MeaningBERT</t>
  </si>
  <si>
    <t xml:space="preserve">davebulaval</t>
  </si>
  <si>
    <t xml:space="preserve">https://huggingface.co/davebulaval/MeaningBERT</t>
  </si>
  <si>
    <t xml:space="preserve">unslothai/2</t>
  </si>
  <si>
    <t xml:space="preserve">https://huggingface.co/unslothai/2</t>
  </si>
  <si>
    <t xml:space="preserve">Doradus-AI/RnJ-1-Instruct-FP8</t>
  </si>
  <si>
    <t xml:space="preserve">Doradus-AI</t>
  </si>
  <si>
    <t xml:space="preserve">https://huggingface.co/Doradus-AI/RnJ-1-Instruct-FP8</t>
  </si>
  <si>
    <t xml:space="preserve">FacebookAI/roberta-large-mnli</t>
  </si>
  <si>
    <t xml:space="preserve">https://huggingface.co/FacebookAI/roberta-large-mnli</t>
  </si>
  <si>
    <t xml:space="preserve">webAI-Official/TwIL-LM3</t>
  </si>
  <si>
    <t xml:space="preserve">webAI-Official</t>
  </si>
  <si>
    <t xml:space="preserve">https://huggingface.co/webAI-Official/TwIL-LM3</t>
  </si>
  <si>
    <t xml:space="preserve">lmstudio-community/Mistral-Small-3.2-24B-Instruct-2506-MLX-6bit</t>
  </si>
  <si>
    <t xml:space="preserve">https://huggingface.co/lmstudio-community/Mistral-Small-3.2-24B-Instruct-2506-MLX-6bit</t>
  </si>
  <si>
    <t xml:space="preserve">dbmdz/bert-base-cased-finetuned-conll03-english</t>
  </si>
  <si>
    <t xml:space="preserve">https://huggingface.co/dbmdz/bert-base-cased-finetuned-conll03-english</t>
  </si>
  <si>
    <t xml:space="preserve">MaziyarPanahi/Llama-3-8B-Instruct-64k-GGUF</t>
  </si>
  <si>
    <t xml:space="preserve">MaziyarPanahi/Llama-3-8B-Instruct-64k</t>
  </si>
  <si>
    <t xml:space="preserve">https://huggingface.co/MaziyarPanahi/Llama-3-8B-Instruct-64k-GGUF</t>
  </si>
  <si>
    <t xml:space="preserve">onnx-community/punctuate-all-ONNX</t>
  </si>
  <si>
    <t xml:space="preserve">kredor/punctuate-all</t>
  </si>
  <si>
    <t xml:space="preserve">https://huggingface.co/onnx-community/punctuate-all-ONNX</t>
  </si>
  <si>
    <t xml:space="preserve">MaziyarPanahi/mathstral-7B-v0.1-GGUF</t>
  </si>
  <si>
    <t xml:space="preserve">mistralai/Mathstral-7B-v0.1</t>
  </si>
  <si>
    <t xml:space="preserve">https://huggingface.co/MaziyarPanahi/mathstral-7B-v0.1-GGUF</t>
  </si>
  <si>
    <t xml:space="preserve">sentinet/suicidality</t>
  </si>
  <si>
    <t xml:space="preserve">sentinet</t>
  </si>
  <si>
    <t xml:space="preserve">https://huggingface.co/sentinet/suicidality</t>
  </si>
  <si>
    <t xml:space="preserve">hamishivi/tess2-v0.1</t>
  </si>
  <si>
    <t xml:space="preserve">hamishivi</t>
  </si>
  <si>
    <t xml:space="preserve">hamishivi/tess2-v0.1-base</t>
  </si>
  <si>
    <t xml:space="preserve">https://huggingface.co/hamishivi/tess2-v0.1</t>
  </si>
  <si>
    <t xml:space="preserve">syafiqfaray/indobert-model-ner</t>
  </si>
  <si>
    <t xml:space="preserve">syafiqfaray</t>
  </si>
  <si>
    <t xml:space="preserve">indolem/indobert-base-uncased</t>
  </si>
  <si>
    <t xml:space="preserve">https://huggingface.co/syafiqfaray/indobert-model-ner</t>
  </si>
  <si>
    <t xml:space="preserve">TechWolf/JobBERT-v2</t>
  </si>
  <si>
    <t xml:space="preserve">https://huggingface.co/TechWolf/JobBERT-v2</t>
  </si>
  <si>
    <t xml:space="preserve">KRLabsOrg/lettucedect-base-modernbert-en-v1</t>
  </si>
  <si>
    <t xml:space="preserve">KRLabsOrg</t>
  </si>
  <si>
    <t xml:space="preserve">https://huggingface.co/KRLabsOrg/lettucedect-base-modernbert-en-v1</t>
  </si>
  <si>
    <t xml:space="preserve">google/gemma-3-27b-it-qat-q4_0-unquantized</t>
  </si>
  <si>
    <t xml:space="preserve">https://huggingface.co/google/gemma-3-27b-it-qat-q4_0-unquantized</t>
  </si>
  <si>
    <t xml:space="preserve">microsoft/kosmos-2-patch14-224</t>
  </si>
  <si>
    <t xml:space="preserve">https://huggingface.co/microsoft/kosmos-2-patch14-224</t>
  </si>
  <si>
    <t xml:space="preserve">google/owlv2-base-patch16-ensemble</t>
  </si>
  <si>
    <t xml:space="preserve">https://huggingface.co/google/owlv2-base-patch16-ensemble</t>
  </si>
  <si>
    <t xml:space="preserve">timm/tf_efficientnetv2_s.in21k</t>
  </si>
  <si>
    <t xml:space="preserve">https://huggingface.co/timm/tf_efficientnetv2_s.in21k</t>
  </si>
  <si>
    <t xml:space="preserve">timm/beitv2_base_patch16_224.in1k_ft_in22k</t>
  </si>
  <si>
    <t xml:space="preserve">https://huggingface.co/timm/beitv2_base_patch16_224.in1k_ft_in22k</t>
  </si>
  <si>
    <t xml:space="preserve">timm/convnext_base.clip_laion2b_augreg_ft_in12k_in1k</t>
  </si>
  <si>
    <t xml:space="preserve">https://huggingface.co/timm/convnext_base.clip_laion2b_augreg_ft_in12k_in1k</t>
  </si>
  <si>
    <t xml:space="preserve">sentence-transformers-testing/stsb-bert-tiny-safetensors</t>
  </si>
  <si>
    <t xml:space="preserve">sentence-transformers-testing</t>
  </si>
  <si>
    <t xml:space="preserve">https://huggingface.co/sentence-transformers-testing/stsb-bert-tiny-safetensors</t>
  </si>
  <si>
    <t xml:space="preserve">mradermacher/translategemma-4b-it-GGUF</t>
  </si>
  <si>
    <t xml:space="preserve">https://huggingface.co/mradermacher/translategemma-4b-it-GGUF</t>
  </si>
  <si>
    <t xml:space="preserve">timm/convnext_small.fb_in22k_ft_in1k_384</t>
  </si>
  <si>
    <t xml:space="preserve">https://huggingface.co/timm/convnext_small.fb_in22k_ft_in1k_384</t>
  </si>
  <si>
    <t xml:space="preserve">LocalAI-io/Llama-3-Kimodo-GGML</t>
  </si>
  <si>
    <t xml:space="preserve">https://huggingface.co/LocalAI-io/Llama-3-Kimodo-GGML</t>
  </si>
  <si>
    <t xml:space="preserve">timm/tf_mobilenetv3_large_minimal_100.in1k</t>
  </si>
  <si>
    <t xml:space="preserve">https://huggingface.co/timm/tf_mobilenetv3_large_minimal_100.in1k</t>
  </si>
  <si>
    <t xml:space="preserve">google/siglip2-large-patch16-256</t>
  </si>
  <si>
    <t xml:space="preserve">https://huggingface.co/google/siglip2-large-patch16-256</t>
  </si>
  <si>
    <t xml:space="preserve">Vishva007/gemma-4-E4B-it-W4A16-AutoRound-GPTQ</t>
  </si>
  <si>
    <t xml:space="preserve">Vishva007</t>
  </si>
  <si>
    <t xml:space="preserve">https://huggingface.co/Vishva007/gemma-4-E4B-it-W4A16-AutoRound-GPTQ</t>
  </si>
  <si>
    <t xml:space="preserve">farbodtavakkoli/OTel-2.0-Decision-26B-A4B-4bit</t>
  </si>
  <si>
    <t xml:space="preserve">https://huggingface.co/farbodtavakkoli/OTel-2.0-Decision-26B-A4B-4bit</t>
  </si>
  <si>
    <t xml:space="preserve">google/siglip2-so400m-patch16-384</t>
  </si>
  <si>
    <t xml:space="preserve">https://huggingface.co/google/siglip2-so400m-patch16-384</t>
  </si>
  <si>
    <t xml:space="preserve">yuxinlu1/gemma-4-12B-agentic-fable5-composer2.5-v2-3.5x-tau2</t>
  </si>
  <si>
    <t xml:space="preserve">https://huggingface.co/yuxinlu1/gemma-4-12B-agentic-fable5-composer2.5-v2-3.5x-tau2</t>
  </si>
  <si>
    <t xml:space="preserve">lmstudio-community/Magistral-Small-2509-MLX-8bit</t>
  </si>
  <si>
    <t xml:space="preserve">https://huggingface.co/lmstudio-community/Magistral-Small-2509-MLX-8bit</t>
  </si>
  <si>
    <t xml:space="preserve">mudler/face-detect-gguf</t>
  </si>
  <si>
    <t xml:space="preserve">https://huggingface.co/mudler/face-detect-gguf</t>
  </si>
  <si>
    <t xml:space="preserve">docling-project/docling-models</t>
  </si>
  <si>
    <t xml:space="preserve">cdla-permissive-2.0;apache-2.0</t>
  </si>
  <si>
    <t xml:space="preserve">https://huggingface.co/docling-project/docling-models</t>
  </si>
  <si>
    <t xml:space="preserve">timm/naflexvit_so400m_patch16_siglip.v2_webli</t>
  </si>
  <si>
    <t xml:space="preserve">https://huggingface.co/timm/naflexvit_so400m_patch16_siglip.v2_webli</t>
  </si>
  <si>
    <t xml:space="preserve">lmstudio-community/Magistral-Small-2509-MLX-4bit</t>
  </si>
  <si>
    <t xml:space="preserve">https://huggingface.co/lmstudio-community/Magistral-Small-2509-MLX-4bit</t>
  </si>
  <si>
    <t xml:space="preserve">timm/swin_base_patch4_window12_384.ms_in22k_ft_in1k</t>
  </si>
  <si>
    <t xml:space="preserve">https://huggingface.co/timm/swin_base_patch4_window12_384.ms_in22k_ft_in1k</t>
  </si>
  <si>
    <t xml:space="preserve">timm/densenet121.ra_in1k</t>
  </si>
  <si>
    <t xml:space="preserve">https://huggingface.co/timm/densenet121.ra_in1k</t>
  </si>
  <si>
    <t xml:space="preserve">timm/convnext_base.clip_laion2b</t>
  </si>
  <si>
    <t xml:space="preserve">https://huggingface.co/timm/convnext_base.clip_laion2b</t>
  </si>
  <si>
    <t xml:space="preserve">unsloth/Llama-3.2-3B-Instruct-bnb-4bit</t>
  </si>
  <si>
    <t xml:space="preserve">https://huggingface.co/unsloth/Llama-3.2-3B-Instruct-bnb-4bit</t>
  </si>
  <si>
    <t xml:space="preserve">MaziyarPanahi/Mistral-7B-v0.1-GGUF</t>
  </si>
  <si>
    <t xml:space="preserve">https://huggingface.co/MaziyarPanahi/Mistral-7B-v0.1-GGUF</t>
  </si>
  <si>
    <t xml:space="preserve">lmstudio-community/Magistral-Small-2509-MLX-6bit</t>
  </si>
  <si>
    <t xml:space="preserve">https://huggingface.co/lmstudio-community/Magistral-Small-2509-MLX-6bit</t>
  </si>
  <si>
    <t xml:space="preserve">unslothai/colab</t>
  </si>
  <si>
    <t xml:space="preserve">https://huggingface.co/unslothai/colab</t>
  </si>
  <si>
    <t xml:space="preserve">lmstudio-community/Magistral-Small-2509-MLX-5bit</t>
  </si>
  <si>
    <t xml:space="preserve">https://huggingface.co/lmstudio-community/Magistral-Small-2509-MLX-5bit</t>
  </si>
  <si>
    <t xml:space="preserve">h2oai/h2o-danube3-500m-chat</t>
  </si>
  <si>
    <t xml:space="preserve">h2oai</t>
  </si>
  <si>
    <t xml:space="preserve">https://huggingface.co/h2oai/h2o-danube3-500m-chat</t>
  </si>
  <si>
    <t xml:space="preserve">unsloth/Devstral-Small-2-24B-Instruct-2512-GGUF</t>
  </si>
  <si>
    <r>
      <rPr>
        <sz val="11"/>
        <color rgb="FF000000"/>
        <rFont val="Noto Sans CJK SC"/>
        <family val="2"/>
      </rPr>
      <t xml:space="preserve">任務類型依模型架構推定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量化版本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授權需確認</t>
    </r>
  </si>
  <si>
    <t xml:space="preserve">https://huggingface.co/unsloth/Devstral-Small-2-24B-Instruct-2512-GGUF</t>
  </si>
  <si>
    <t xml:space="preserve">cosmicproc/gemma-4-E4B-it-NVFP4</t>
  </si>
  <si>
    <t xml:space="preserve">cosmicproc</t>
  </si>
  <si>
    <t xml:space="preserve">https://huggingface.co/cosmicproc/gemma-4-E4B-it-NVFP4</t>
  </si>
  <si>
    <t xml:space="preserve">timm/vit_large_patch16_siglip_256.v2_webli</t>
  </si>
  <si>
    <t xml:space="preserve">https://huggingface.co/timm/vit_large_patch16_siglip_256.v2_webli</t>
  </si>
  <si>
    <t xml:space="preserve">lmstudio-community/Muse-Glimmer-30B-GGUF</t>
  </si>
  <si>
    <t xml:space="preserve">https://huggingface.co/lmstudio-community/Muse-Glimmer-30B-GGUF</t>
  </si>
  <si>
    <t xml:space="preserve">timm/convnext_small.in12k_ft_in1k</t>
  </si>
  <si>
    <t xml:space="preserve">https://huggingface.co/timm/convnext_small.in12k_ft_in1k</t>
  </si>
  <si>
    <t xml:space="preserve">unsloth/llava-1.5-7b-hf-bnb-4bit</t>
  </si>
  <si>
    <t xml:space="preserve">https://huggingface.co/unsloth/llava-1.5-7b-hf-bnb-4bit</t>
  </si>
  <si>
    <t xml:space="preserve">cyankiwi/gemma-4-31B-it-AWQ-8bit</t>
  </si>
  <si>
    <t xml:space="preserve">https://huggingface.co/cyankiwi/gemma-4-31B-it-AWQ-8bit</t>
  </si>
  <si>
    <t xml:space="preserve">lmstudio-community/Meta-Llama-3.1-8B-Instruct-GGUF</t>
  </si>
  <si>
    <t xml:space="preserve">https://huggingface.co/lmstudio-community/Meta-Llama-3.1-8B-Instruct-GGUF</t>
  </si>
  <si>
    <t xml:space="preserve">humarin/chatgpt_paraphraser_on_T5_base</t>
  </si>
  <si>
    <t xml:space="preserve">humarin</t>
  </si>
  <si>
    <t xml:space="preserve">https://huggingface.co/humarin/chatgpt_paraphraser_on_T5_base</t>
  </si>
  <si>
    <t xml:space="preserve">lmstudio-community/Mistral-Small-3.2-24B-Instruct-2506-MLX-4bit</t>
  </si>
  <si>
    <t xml:space="preserve">https://huggingface.co/lmstudio-community/Mistral-Small-3.2-24B-Instruct-2506-MLX-4bit</t>
  </si>
  <si>
    <t xml:space="preserve">NeuML/glove-6B-quantized</t>
  </si>
  <si>
    <t xml:space="preserve">pddl</t>
  </si>
  <si>
    <t xml:space="preserve">NeuML/glove-6B</t>
  </si>
  <si>
    <t xml:space="preserve">https://huggingface.co/NeuML/glove-6B-quantized</t>
  </si>
  <si>
    <t xml:space="preserve">StyleDistance/styledistance</t>
  </si>
  <si>
    <t xml:space="preserve">StyleDistance</t>
  </si>
  <si>
    <t xml:space="preserve">https://huggingface.co/StyleDistance/styledistance</t>
  </si>
  <si>
    <t xml:space="preserve">timm/tf_efficientnet_b0.ns_jft_in1k</t>
  </si>
  <si>
    <t xml:space="preserve">https://huggingface.co/timm/tf_efficientnet_b0.ns_jft_in1k</t>
  </si>
  <si>
    <t xml:space="preserve">microsoft/resnet-18</t>
  </si>
  <si>
    <t xml:space="preserve">https://huggingface.co/microsoft/resnet-18</t>
  </si>
  <si>
    <t xml:space="preserve">RedHatAI/Llama-3.2-1B-Instruct-quantized.w8a8</t>
  </si>
  <si>
    <t xml:space="preserve">https://huggingface.co/RedHatAI/Llama-3.2-1B-Instruct-quantized.w8a8</t>
  </si>
  <si>
    <t xml:space="preserve">RedHatAI/phi-4-FP8-dynamic</t>
  </si>
  <si>
    <t xml:space="preserve">https://huggingface.co/RedHatAI/phi-4-FP8-dynamic</t>
  </si>
  <si>
    <t xml:space="preserve">neuralcrew/neutrino-instruct</t>
  </si>
  <si>
    <t xml:space="preserve">neuralcrew</t>
  </si>
  <si>
    <t xml:space="preserve">https://huggingface.co/neuralcrew/neutrino-instruct</t>
  </si>
  <si>
    <t xml:space="preserve">llava-hf/llava-1.5-13b-hf</t>
  </si>
  <si>
    <t xml:space="preserve">https://huggingface.co/llava-hf/llava-1.5-13b-hf</t>
  </si>
  <si>
    <t xml:space="preserve">timm/test_resnet.r160_in1k</t>
  </si>
  <si>
    <t xml:space="preserve">https://huggingface.co/timm/test_resnet.r160_in1k</t>
  </si>
  <si>
    <t xml:space="preserve">microsoft/llmlingua-2-xlm-roberta-large-meetingbank</t>
  </si>
  <si>
    <t xml:space="preserve">https://huggingface.co/microsoft/llmlingua-2-xlm-roberta-large-meetingbank</t>
  </si>
  <si>
    <t xml:space="preserve">timm/vit_so400m_patch16_siglip_256.v2_webli</t>
  </si>
  <si>
    <t xml:space="preserve">https://huggingface.co/timm/vit_so400m_patch16_siglip_256.v2_webli</t>
  </si>
  <si>
    <t xml:space="preserve">timm/mobilenetv4_conv_small.e2400_r224_in1k</t>
  </si>
  <si>
    <t xml:space="preserve">https://huggingface.co/timm/mobilenetv4_conv_small.e2400_r224_in1k</t>
  </si>
  <si>
    <t xml:space="preserve">lmstudio-community/Mistral-Small-3.2-24B-Instruct-2506-MLX-8bit</t>
  </si>
  <si>
    <t xml:space="preserve">https://huggingface.co/lmstudio-community/Mistral-Small-3.2-24B-Instruct-2506-MLX-8bit</t>
  </si>
  <si>
    <t xml:space="preserve">state-spaces/mamba-130m-hf</t>
  </si>
  <si>
    <t xml:space="preserve">state-spaces</t>
  </si>
  <si>
    <t xml:space="preserve">https://huggingface.co/state-spaces/mamba-130m-hf</t>
  </si>
  <si>
    <t xml:space="preserve">badtheorylabs/BTL-4-Compact</t>
  </si>
  <si>
    <t xml:space="preserve">badtheorylabs</t>
  </si>
  <si>
    <t xml:space="preserve">badtheorylabs/BTL-4</t>
  </si>
  <si>
    <t xml:space="preserve">https://huggingface.co/badtheorylabs/BTL-4-Compact</t>
  </si>
  <si>
    <t xml:space="preserve">jialinyyzz/humanizer</t>
  </si>
  <si>
    <t xml:space="preserve">jialinyyzz</t>
  </si>
  <si>
    <t xml:space="preserve">https://huggingface.co/jialinyyzz/humanizer</t>
  </si>
  <si>
    <t xml:space="preserve">unsloth/Llama-3.2-1B-Instruct-unsloth-bnb-4bit</t>
  </si>
  <si>
    <t xml:space="preserve">https://huggingface.co/unsloth/Llama-3.2-1B-Instruct-unsloth-bnb-4bit</t>
  </si>
  <si>
    <t xml:space="preserve">RedHatAI/Meta-Llama-3.1-8B-Instruct-quantized.w8a8</t>
  </si>
  <si>
    <t xml:space="preserve">https://huggingface.co/RedHatAI/Meta-Llama-3.1-8B-Instruct-quantized.w8a8</t>
  </si>
  <si>
    <t xml:space="preserve">trklou/audio.cpp</t>
  </si>
  <si>
    <t xml:space="preserve">trklou</t>
  </si>
  <si>
    <t xml:space="preserve">https://huggingface.co/trklou/audio.cpp</t>
  </si>
  <si>
    <t xml:space="preserve">janhq/Jan-v2-VL-high-gguf</t>
  </si>
  <si>
    <t xml:space="preserve">janhq/Jan-v2-VL-high</t>
  </si>
  <si>
    <t xml:space="preserve">https://huggingface.co/janhq/Jan-v2-VL-high-gguf</t>
  </si>
  <si>
    <t xml:space="preserve">unsloth/Llama-3.2-3B</t>
  </si>
  <si>
    <t xml:space="preserve">https://huggingface.co/unsloth/Llama-3.2-3B</t>
  </si>
  <si>
    <t xml:space="preserve">unsloth/Meta-Llama-3.1-8B</t>
  </si>
  <si>
    <t xml:space="preserve">https://huggingface.co/unsloth/Meta-Llama-3.1-8B</t>
  </si>
  <si>
    <t xml:space="preserve">ibm-ai-platform/micro-g3.3-8b-instruct-1b</t>
  </si>
  <si>
    <t xml:space="preserve">ibm-ai-platform</t>
  </si>
  <si>
    <t xml:space="preserve">https://huggingface.co/ibm-ai-platform/micro-g3.3-8b-instruct-1b</t>
  </si>
  <si>
    <t xml:space="preserve">LeaderboardModel1/zeta-2.1-autoround-W4A16</t>
  </si>
  <si>
    <t xml:space="preserve">LeaderboardModel1</t>
  </si>
  <si>
    <t xml:space="preserve">zed-industries/zeta-2.1</t>
  </si>
  <si>
    <t xml:space="preserve">https://huggingface.co/LeaderboardModel1/zeta-2.1-autoround-W4A16</t>
  </si>
  <si>
    <t xml:space="preserve">joe32140/ModernBERT-base-msmarco</t>
  </si>
  <si>
    <t xml:space="preserve">joe32140</t>
  </si>
  <si>
    <t xml:space="preserve">https://huggingface.co/joe32140/ModernBERT-base-msmarco</t>
  </si>
  <si>
    <t xml:space="preserve">unsloth/gemma-2b-it</t>
  </si>
  <si>
    <t xml:space="preserve">https://huggingface.co/unsloth/gemma-2b-it</t>
  </si>
  <si>
    <t xml:space="preserve">gaunernst/gemma-3-27b-it-int4-awq</t>
  </si>
  <si>
    <t xml:space="preserve">gaunernst</t>
  </si>
  <si>
    <t xml:space="preserve">https://huggingface.co/gaunernst/gemma-3-27b-it-int4-awq</t>
  </si>
  <si>
    <t xml:space="preserve">google/siglip2-so400m-patch16-512</t>
  </si>
  <si>
    <t xml:space="preserve">https://huggingface.co/google/siglip2-so400m-patch16-512</t>
  </si>
  <si>
    <t xml:space="preserve">mlx-community/Llama-3.2-1B-Instruct-4bit</t>
  </si>
  <si>
    <t xml:space="preserve">mlx-community/Llama-3.2-1B-Instruct-bf16</t>
  </si>
  <si>
    <t xml:space="preserve">https://huggingface.co/mlx-community/Llama-3.2-1B-Instruct-4bit</t>
  </si>
  <si>
    <t xml:space="preserve">bartowski/gemma-2-9b-it-GGUF</t>
  </si>
  <si>
    <t xml:space="preserve">https://huggingface.co/bartowski/gemma-2-9b-it-GGUF</t>
  </si>
  <si>
    <t xml:space="preserve">facebook/convnextv2-tiny-1k-224</t>
  </si>
  <si>
    <t xml:space="preserve">https://huggingface.co/facebook/convnextv2-tiny-1k-224</t>
  </si>
  <si>
    <t xml:space="preserve">Zyphra/Zamba2-7B-Instruct</t>
  </si>
  <si>
    <t xml:space="preserve">Zyphra/Zamba2-7B</t>
  </si>
  <si>
    <t xml:space="preserve">https://huggingface.co/Zyphra/Zamba2-7B-Instruct</t>
  </si>
  <si>
    <t xml:space="preserve">daekeun-ml/koelectra-small-v3-nsmc</t>
  </si>
  <si>
    <t xml:space="preserve">daekeun-ml</t>
  </si>
  <si>
    <t xml:space="preserve">https://huggingface.co/daekeun-ml/koelectra-small-v3-nsmc</t>
  </si>
  <si>
    <t xml:space="preserve">opensearch-project/opensearch-neural-sparse-encoding-v2-distill</t>
  </si>
  <si>
    <t xml:space="preserve">https://huggingface.co/opensearch-project/opensearch-neural-sparse-encoding-v2-distill</t>
  </si>
  <si>
    <t xml:space="preserve">unsloth/gpt-oss-120b-GGUF</t>
  </si>
  <si>
    <t xml:space="preserve">https://huggingface.co/unsloth/gpt-oss-120b-GGUF</t>
  </si>
  <si>
    <t xml:space="preserve">timm/densenet201.tv_in1k</t>
  </si>
  <si>
    <t xml:space="preserve">https://huggingface.co/timm/densenet201.tv_in1k</t>
  </si>
  <si>
    <t xml:space="preserve">timm/vit_base_patch16_384.augreg_in21k_ft_in1k</t>
  </si>
  <si>
    <t xml:space="preserve">https://huggingface.co/timm/vit_base_patch16_384.augreg_in21k_ft_in1k</t>
  </si>
  <si>
    <t xml:space="preserve">timm/resnet50d.ra2_in1k</t>
  </si>
  <si>
    <t xml:space="preserve">https://huggingface.co/timm/resnet50d.ra2_in1k</t>
  </si>
  <si>
    <t xml:space="preserve">lmstudio-community/Olmo-3-32B-Think-MLX-4bit</t>
  </si>
  <si>
    <t xml:space="preserve">allenai/Olmo-3-32B-Think</t>
  </si>
  <si>
    <t xml:space="preserve">https://huggingface.co/lmstudio-community/Olmo-3-32B-Think-MLX-4bit</t>
  </si>
  <si>
    <t xml:space="preserve">city96/t5-v1_1-xxl-encoder-gguf</t>
  </si>
  <si>
    <t xml:space="preserve">google/t5-v1_1-xxl</t>
  </si>
  <si>
    <t xml:space="preserve">https://huggingface.co/city96/t5-v1_1-xxl-encoder-gguf</t>
  </si>
  <si>
    <t xml:space="preserve">lmstudio-community/Olmo-3-32B-Think-MLX-8bit</t>
  </si>
  <si>
    <t xml:space="preserve">https://huggingface.co/lmstudio-community/Olmo-3-32B-Think-MLX-8bit</t>
  </si>
  <si>
    <t xml:space="preserve">ibm-granite/granite-speech-3.3-8b</t>
  </si>
  <si>
    <t xml:space="preserve">https://huggingface.co/ibm-granite/granite-speech-3.3-8b</t>
  </si>
  <si>
    <t xml:space="preserve">K-intelligence/Midm-2.0-Mini-Instruct</t>
  </si>
  <si>
    <t xml:space="preserve">K-intelligence</t>
  </si>
  <si>
    <t xml:space="preserve">https://huggingface.co/K-intelligence/Midm-2.0-Mini-Instruct</t>
  </si>
  <si>
    <t xml:space="preserve">lmstudio-community/Olmo-3-32B-Think-MLX-6bit</t>
  </si>
  <si>
    <t xml:space="preserve">https://huggingface.co/lmstudio-community/Olmo-3-32B-Think-MLX-6bit</t>
  </si>
  <si>
    <t xml:space="preserve">unsloth/gemma-3-4b-it-bnb-4bit</t>
  </si>
  <si>
    <t xml:space="preserve">https://huggingface.co/unsloth/gemma-3-4b-it-bnb-4bit</t>
  </si>
  <si>
    <t xml:space="preserve">mudler/gemma-4-26B-A4B-it-APEX-GGUF</t>
  </si>
  <si>
    <t xml:space="preserve">https://huggingface.co/mudler/gemma-4-26B-A4B-it-APEX-GGUF</t>
  </si>
  <si>
    <t xml:space="preserve">fla-hub/transformer-1.3B-100B</t>
  </si>
  <si>
    <t xml:space="preserve">fla-hub</t>
  </si>
  <si>
    <t xml:space="preserve">https://huggingface.co/fla-hub/transformer-1.3B-100B</t>
  </si>
  <si>
    <t xml:space="preserve">unsloth/Meta-Llama-3.1-8B-Instruct-unsloth-bnb-4bit</t>
  </si>
  <si>
    <t xml:space="preserve">https://huggingface.co/unsloth/Meta-Llama-3.1-8B-Instruct-unsloth-bnb-4bit</t>
  </si>
  <si>
    <t xml:space="preserve">elastic/distilbert-base-uncased-finetuned-conll03-english</t>
  </si>
  <si>
    <t xml:space="preserve">elastic</t>
  </si>
  <si>
    <t xml:space="preserve">https://huggingface.co/elastic/distilbert-base-uncased-finetuned-conll03-english</t>
  </si>
  <si>
    <t xml:space="preserve">Helsinki-NLP/opus-mt-tc-big-tr-en</t>
  </si>
  <si>
    <t xml:space="preserve">https://huggingface.co/Helsinki-NLP/opus-mt-tc-big-tr-en</t>
  </si>
  <si>
    <t xml:space="preserve">unslothai/kaggle</t>
  </si>
  <si>
    <t xml:space="preserve">https://huggingface.co/unslothai/kaggle</t>
  </si>
  <si>
    <t xml:space="preserve">PleIAs/Pleias-1.2b-Preview</t>
  </si>
  <si>
    <t xml:space="preserve">https://huggingface.co/PleIAs/Pleias-1.2b-Preview</t>
  </si>
  <si>
    <t xml:space="preserve">unsloth/llama-2-7b</t>
  </si>
  <si>
    <t xml:space="preserve">https://huggingface.co/unsloth/llama-2-7b</t>
  </si>
  <si>
    <t xml:space="preserve">facebook/convnextv2-tiny-22k-224</t>
  </si>
  <si>
    <t xml:space="preserve">https://huggingface.co/facebook/convnextv2-tiny-22k-224</t>
  </si>
  <si>
    <t xml:space="preserve">PleIAs/Pleias-3b-Preview</t>
  </si>
  <si>
    <t xml:space="preserve">https://huggingface.co/PleIAs/Pleias-3b-Preview</t>
  </si>
  <si>
    <t xml:space="preserve">Datadog/Toto-2.0-313m</t>
  </si>
  <si>
    <t xml:space="preserve">https://huggingface.co/Datadog/Toto-2.0-313m</t>
  </si>
  <si>
    <t xml:space="preserve">unslothai/runpod</t>
  </si>
  <si>
    <t xml:space="preserve">https://huggingface.co/unslothai/runpod</t>
  </si>
  <si>
    <t xml:space="preserve">microsoft/VibeVoice-ASR-BitNet</t>
  </si>
  <si>
    <t xml:space="preserve">https://huggingface.co/microsoft/VibeVoice-ASR-BitNet</t>
  </si>
  <si>
    <t xml:space="preserve">ncbi/MedCPT-Article-Encoder</t>
  </si>
  <si>
    <t xml:space="preserve">https://huggingface.co/ncbi/MedCPT-Article-Encoder</t>
  </si>
  <si>
    <t xml:space="preserve">fahmisyaifudin/indobert_ner_p1</t>
  </si>
  <si>
    <t xml:space="preserve">fahmisyaifudin</t>
  </si>
  <si>
    <t xml:space="preserve">indobenchmark/indobert-base-p2</t>
  </si>
  <si>
    <r>
      <rPr>
        <sz val="11"/>
        <color rgb="FF000000"/>
        <rFont val="Noto Sans CJK SC"/>
        <family val="2"/>
      </rPr>
      <t xml:space="preserve">任務類型依上游模型推定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只支援特定外語</t>
    </r>
  </si>
  <si>
    <t xml:space="preserve">https://huggingface.co/fahmisyaifudin/indobert_ner_p1</t>
  </si>
  <si>
    <t xml:space="preserve">lcu0312/gemma-4-26B-A4B-it-AWQ-4bit</t>
  </si>
  <si>
    <t xml:space="preserve">lcu0312</t>
  </si>
  <si>
    <t xml:space="preserve">https://huggingface.co/lcu0312/gemma-4-26B-A4B-it-AWQ-4bit</t>
  </si>
  <si>
    <t xml:space="preserve">ISTA-DASLab/gemma-3-27b-it-GPTQ-4b-128g</t>
  </si>
  <si>
    <t xml:space="preserve">ISTA-DASLab</t>
  </si>
  <si>
    <t xml:space="preserve">https://huggingface.co/ISTA-DASLab/gemma-3-27b-it-GPTQ-4b-128g</t>
  </si>
  <si>
    <t xml:space="preserve">timm/vit_base_patch16_224.augreg_in21k_ft_in1k</t>
  </si>
  <si>
    <t xml:space="preserve">https://huggingface.co/timm/vit_base_patch16_224.augreg_in21k_ft_in1k</t>
  </si>
  <si>
    <t xml:space="preserve">unsloth/gemma-3-12b-it-qat-GGUF</t>
  </si>
  <si>
    <t xml:space="preserve">https://huggingface.co/unsloth/gemma-3-12b-it-qat-GGUF</t>
  </si>
  <si>
    <t xml:space="preserve">xCloudinfo/xGemable-12B-coder-v1.5-GGUF</t>
  </si>
  <si>
    <t xml:space="preserve">xCloudinfo</t>
  </si>
  <si>
    <t xml:space="preserve">https://huggingface.co/xCloudinfo/xGemable-12B-coder-v1.5-GGUF</t>
  </si>
  <si>
    <t xml:space="preserve">nvidia/canary-1b-v2</t>
  </si>
  <si>
    <t xml:space="preserve">safetensors;other</t>
  </si>
  <si>
    <t xml:space="preserve">https://huggingface.co/nvidia/canary-1b-v2</t>
  </si>
  <si>
    <t xml:space="preserve">QuantFactory/Meta-Llama-3-8B-Instruct-GGUF</t>
  </si>
  <si>
    <t xml:space="preserve">https://huggingface.co/QuantFactory/Meta-Llama-3-8B-Instruct-GGUF</t>
  </si>
  <si>
    <t xml:space="preserve">unslothai/vram-8</t>
  </si>
  <si>
    <t xml:space="preserve">https://huggingface.co/unslothai/vram-8</t>
  </si>
  <si>
    <t xml:space="preserve">facebook/wav2vec2-base-960h</t>
  </si>
  <si>
    <t xml:space="preserve">https://huggingface.co/facebook/wav2vec2-base-960h</t>
  </si>
  <si>
    <t xml:space="preserve">deepset/minilm-uncased-squad2</t>
  </si>
  <si>
    <t xml:space="preserve">https://huggingface.co/deepset/minilm-uncased-squad2</t>
  </si>
  <si>
    <t xml:space="preserve">emrecan/bert-base-turkish-cased-mean-nli-stsb-tr</t>
  </si>
  <si>
    <t xml:space="preserve">emrecan</t>
  </si>
  <si>
    <t xml:space="preserve">https://huggingface.co/emrecan/bert-base-turkish-cased-mean-nli-stsb-tr</t>
  </si>
  <si>
    <t xml:space="preserve">unsloth/gemma-3-4b-it-unsloth-bnb-4bit</t>
  </si>
  <si>
    <t xml:space="preserve">https://huggingface.co/unsloth/gemma-3-4b-it-unsloth-bnb-4bit</t>
  </si>
  <si>
    <t xml:space="preserve">meta-llama/Llama-4-Scout-17B-16E</t>
  </si>
  <si>
    <t xml:space="preserve">https://huggingface.co/meta-llama/Llama-4-Scout-17B-16E-Instruct</t>
  </si>
  <si>
    <t xml:space="preserve">cyankiwi/gemma-4-12B-it-qat-AWQ-INT4</t>
  </si>
  <si>
    <t xml:space="preserve">https://huggingface.co/cyankiwi/gemma-4-12B-it-qat-AWQ-INT4</t>
  </si>
  <si>
    <t xml:space="preserve">bartowski/microsoft_Phi-4-mini-instruct-GGUF</t>
  </si>
  <si>
    <t xml:space="preserve">https://huggingface.co/bartowski/microsoft_Phi-4-mini-instruct-GGUF</t>
  </si>
  <si>
    <t xml:space="preserve">facebook/vjepa2-vitl-fpc64-256</t>
  </si>
  <si>
    <t xml:space="preserve">https://huggingface.co/facebook/vjepa2-vitl-fpc64-256</t>
  </si>
  <si>
    <t xml:space="preserve">TitanML/tiny-mixtral</t>
  </si>
  <si>
    <t xml:space="preserve">TitanML</t>
  </si>
  <si>
    <t xml:space="preserve">https://huggingface.co/TitanML/tiny-mixtral</t>
  </si>
  <si>
    <t xml:space="preserve">timm/resnet50_clip.openai</t>
  </si>
  <si>
    <t xml:space="preserve">https://huggingface.co/timm/resnet50_clip.openai</t>
  </si>
  <si>
    <t xml:space="preserve">ebircak/gemma-4-31B-it-4bit-W4A16-AWQ</t>
  </si>
  <si>
    <t xml:space="preserve">ebircak</t>
  </si>
  <si>
    <t xml:space="preserve">https://huggingface.co/ebircak/gemma-4-31B-it-4bit-W4A16-AWQ</t>
  </si>
  <si>
    <t xml:space="preserve">Mungert/UI-TARS-1.5-7B-GGUF</t>
  </si>
  <si>
    <t xml:space="preserve">Mungert</t>
  </si>
  <si>
    <t xml:space="preserve">https://huggingface.co/Mungert/UI-TARS-1.5-7B-GGUF</t>
  </si>
  <si>
    <t xml:space="preserve">RedHatAI/Llama-3.2-1B-FP8</t>
  </si>
  <si>
    <t xml:space="preserve">https://huggingface.co/RedHatAI/Llama-3.2-1B-FP8</t>
  </si>
  <si>
    <t xml:space="preserve">NousResearch/Meta-Llama-3.1-8B</t>
  </si>
  <si>
    <t xml:space="preserve">https://huggingface.co/NousResearch/Meta-Llama-3.1-8B</t>
  </si>
  <si>
    <t xml:space="preserve">dima806/fairface_age_image_detection</t>
  </si>
  <si>
    <t xml:space="preserve">dima806</t>
  </si>
  <si>
    <t xml:space="preserve">https://huggingface.co/dima806/fairface_age_image_detection</t>
  </si>
  <si>
    <t xml:space="preserve">timm/convnext_small.fb_in22k_ft_in1k</t>
  </si>
  <si>
    <t xml:space="preserve">https://huggingface.co/timm/convnext_small.fb_in22k_ft_in1k</t>
  </si>
  <si>
    <t xml:space="preserve">bartowski/google_gemma-3-4b-it-GGUF</t>
  </si>
  <si>
    <t xml:space="preserve">https://huggingface.co/bartowski/google_gemma-3-4b-it-GGUF</t>
  </si>
  <si>
    <t xml:space="preserve">qandos0/SentimentArEng</t>
  </si>
  <si>
    <t xml:space="preserve">qandos0</t>
  </si>
  <si>
    <t xml:space="preserve">cardiffnlp/twitter-xlm-roberta-base-sentiment</t>
  </si>
  <si>
    <t xml:space="preserve">https://huggingface.co/qandos0/SentimentArEng</t>
  </si>
  <si>
    <t xml:space="preserve">meta-llama/Meta-Llama-3-70B</t>
  </si>
  <si>
    <t xml:space="preserve">https://huggingface.co/meta-llama/Meta-Llama-3-70B</t>
  </si>
  <si>
    <t xml:space="preserve">timm/mobilenetv2_100.ra_in1k</t>
  </si>
  <si>
    <t xml:space="preserve">https://huggingface.co/timm/mobilenetv2_100.ra_in1k</t>
  </si>
  <si>
    <t xml:space="preserve">docling-project/docling-layout-old</t>
  </si>
  <si>
    <t xml:space="preserve">https://huggingface.co/docling-project/docling-layout-old</t>
  </si>
  <si>
    <t xml:space="preserve">llm-jp/llm-jp-4-33b-thinking-gguf</t>
  </si>
  <si>
    <t xml:space="preserve">https://huggingface.co/llm-jp/llm-jp-4-33b-thinking-gguf</t>
  </si>
  <si>
    <t xml:space="preserve">timm/convnext_base.fb_in22k_ft_in1k_384</t>
  </si>
  <si>
    <t xml:space="preserve">https://huggingface.co/timm/convnext_base.fb_in22k_ft_in1k_384</t>
  </si>
  <si>
    <t xml:space="preserve">meta-llama/Llama-3.1-405B-FP8</t>
  </si>
  <si>
    <t xml:space="preserve">https://huggingface.co/meta-llama/Llama-3.1-405B-FP8</t>
  </si>
  <si>
    <t xml:space="preserve">Xenova/multilingual-e5-small</t>
  </si>
  <si>
    <t xml:space="preserve">https://huggingface.co/Xenova/multilingual-e5-small</t>
  </si>
  <si>
    <t xml:space="preserve">ibm-ai-platform/Bamba-9B-v1</t>
  </si>
  <si>
    <t xml:space="preserve">https://huggingface.co/ibm-ai-platform/Bamba-9B-v1</t>
  </si>
  <si>
    <t xml:space="preserve">NousResearch/Llama-2-7b-hf</t>
  </si>
  <si>
    <t xml:space="preserve">https://huggingface.co/NousResearch/Llama-2-7b-hf</t>
  </si>
  <si>
    <t xml:space="preserve">JetBrains/Mellum2-12B-A2.5B-Instruct-GGUF-Q8_0</t>
  </si>
  <si>
    <t xml:space="preserve">JetBrains</t>
  </si>
  <si>
    <t xml:space="preserve">JetBrains/Mellum2-12B-A2.5B-Instruct</t>
  </si>
  <si>
    <t xml:space="preserve">https://huggingface.co/JetBrains/Mellum2-12B-A2.5B-Instruct-GGUF-Q8_0</t>
  </si>
  <si>
    <t xml:space="preserve">RedHatAI/Llama-3.2-1B-quantized.w8a8</t>
  </si>
  <si>
    <t xml:space="preserve">https://huggingface.co/RedHatAI/Llama-3.2-1B-quantized.w8a8</t>
  </si>
  <si>
    <t xml:space="preserve">cambridgeltl/SapBERT-UMLS-2020AB-all-lang-from-XLMR</t>
  </si>
  <si>
    <t xml:space="preserve">https://huggingface.co/cambridgeltl/SapBERT-UMLS-2020AB-all-lang-from-XLMR</t>
  </si>
  <si>
    <t xml:space="preserve">sdadas/mmlw-retrieval-roberta-large</t>
  </si>
  <si>
    <t xml:space="preserve">sdadas</t>
  </si>
  <si>
    <t xml:space="preserve">https://huggingface.co/sdadas/mmlw-retrieval-roberta-large</t>
  </si>
  <si>
    <t xml:space="preserve">facebook/detr-resnet-50</t>
  </si>
  <si>
    <t xml:space="preserve">https://huggingface.co/facebook/detr-resnet-50</t>
  </si>
  <si>
    <t xml:space="preserve">garak-llm/toxic-comment-model</t>
  </si>
  <si>
    <t xml:space="preserve">https://huggingface.co/garak-llm/toxic-comment-model</t>
  </si>
  <si>
    <t xml:space="preserve">TheBloke/Llama-2-7B-Chat-GGUF</t>
  </si>
  <si>
    <t xml:space="preserve">https://huggingface.co/TheBloke/Llama-2-7B-Chat-GGUF</t>
  </si>
  <si>
    <t xml:space="preserve">timm/inception_v4.tf_in1k</t>
  </si>
  <si>
    <t xml:space="preserve">https://huggingface.co/timm/inception_v4.tf_in1k</t>
  </si>
  <si>
    <t xml:space="preserve">timm/vit_large_patch14_clip_336.openai</t>
  </si>
  <si>
    <t xml:space="preserve">https://huggingface.co/timm/vit_large_patch14_clip_336.openai</t>
  </si>
  <si>
    <t xml:space="preserve">BSC-LT/salamandra-7b-instruct</t>
  </si>
  <si>
    <t xml:space="preserve">BSC-LT</t>
  </si>
  <si>
    <t xml:space="preserve">BSC-LT/salamandra-7b</t>
  </si>
  <si>
    <t xml:space="preserve">https://huggingface.co/BSC-LT/salamandra-7b-instruct</t>
  </si>
  <si>
    <t xml:space="preserve">AutonLab/MOMENT-1-large</t>
  </si>
  <si>
    <t xml:space="preserve">https://huggingface.co/AutonLab/MOMENT-1-large</t>
  </si>
  <si>
    <t xml:space="preserve">cambridgeltl/SapBERT-from-PubMedBERT-fulltext-mean-token</t>
  </si>
  <si>
    <t xml:space="preserve">https://huggingface.co/cambridgeltl/SapBERT-from-PubMedBERT-fulltext-mean-token</t>
  </si>
  <si>
    <t xml:space="preserve">unsloth/Llama-3.2-1B-Instruct-bnb-4bit</t>
  </si>
  <si>
    <t xml:space="preserve">https://huggingface.co/unsloth/Llama-3.2-1B-Instruct-bnb-4bit</t>
  </si>
  <si>
    <t xml:space="preserve">defog/sqlcoder-7b-2</t>
  </si>
  <si>
    <t xml:space="preserve">defog</t>
  </si>
  <si>
    <t xml:space="preserve">https://huggingface.co/defog/sqlcoder-7b-2</t>
  </si>
  <si>
    <t xml:space="preserve">thinkingmachines</t>
  </si>
  <si>
    <t xml:space="preserve">https://huggingface.co/thinkingmachines/Inkling</t>
  </si>
  <si>
    <t xml:space="preserve">vicgalle/Humanish-Roleplay-Llama-3.1-8B</t>
  </si>
  <si>
    <t xml:space="preserve">vicgalle</t>
  </si>
  <si>
    <t xml:space="preserve">https://huggingface.co/vicgalle/Humanish-Roleplay-Llama-3.1-8B</t>
  </si>
  <si>
    <t xml:space="preserve">facebook/dinov2-giant</t>
  </si>
  <si>
    <t xml:space="preserve">https://huggingface.co/facebook/dinov2-giant</t>
  </si>
  <si>
    <t xml:space="preserve">cointegrated/LaBSE-en-ru</t>
  </si>
  <si>
    <t xml:space="preserve">https://huggingface.co/cointegrated/LaBSE-en-ru</t>
  </si>
  <si>
    <t xml:space="preserve">MoritzLaurer/deberta-v3-large-zeroshot-v1</t>
  </si>
  <si>
    <t xml:space="preserve">https://huggingface.co/MoritzLaurer/deberta-v3-large-zeroshot-v1</t>
  </si>
  <si>
    <t xml:space="preserve">Team-ACE/ToolACE-8B</t>
  </si>
  <si>
    <t xml:space="preserve">Team-ACE</t>
  </si>
  <si>
    <t xml:space="preserve">https://huggingface.co/Team-ACE/ToolACE-8B</t>
  </si>
  <si>
    <t xml:space="preserve">unsloth/Llama-3.2-1B-Instruct-GGUF</t>
  </si>
  <si>
    <t xml:space="preserve">https://huggingface.co/unsloth/Llama-3.2-1B-Instruct-GGUF</t>
  </si>
  <si>
    <t xml:space="preserve">deepgrove/maple-preview-GGUF</t>
  </si>
  <si>
    <t xml:space="preserve">deepgrove</t>
  </si>
  <si>
    <t xml:space="preserve">https://huggingface.co/deepgrove/maple-preview-GGUF</t>
  </si>
  <si>
    <t xml:space="preserve">lmsys/gpt-oss-20b-bf16</t>
  </si>
  <si>
    <t xml:space="preserve">lmsys</t>
  </si>
  <si>
    <t xml:space="preserve">https://huggingface.co/lmsys/gpt-oss-20b-bf16</t>
  </si>
  <si>
    <t xml:space="preserve">google-bert/bert-base-german-cased</t>
  </si>
  <si>
    <t xml:space="preserve">https://huggingface.co/google-bert/bert-base-german-cased</t>
  </si>
  <si>
    <t xml:space="preserve">timm/rexnet_150.nav_in1k</t>
  </si>
  <si>
    <t xml:space="preserve">https://huggingface.co/timm/rexnet_150.nav_in1k</t>
  </si>
  <si>
    <t xml:space="preserve">autogluon/mitra-classifier-2</t>
  </si>
  <si>
    <t xml:space="preserve">https://huggingface.co/autogluon/mitra-classifier-2</t>
  </si>
  <si>
    <t xml:space="preserve">mlx-community/gemma-3-12b-it-4bit</t>
  </si>
  <si>
    <t xml:space="preserve">https://huggingface.co/mlx-community/gemma-3-12b-it-4bit</t>
  </si>
  <si>
    <t xml:space="preserve">openai/whisper-large-v2</t>
  </si>
  <si>
    <t xml:space="preserve">https://huggingface.co/openai/whisper-large-v2</t>
  </si>
  <si>
    <t xml:space="preserve">MaziyarPanahi/Mistral-Small-Instruct-2409-GGUF</t>
  </si>
  <si>
    <t xml:space="preserve">https://huggingface.co/MaziyarPanahi/Mistral-Small-Instruct-2409-GGUF</t>
  </si>
  <si>
    <t xml:space="preserve">liuhaotian/llava-v1.6-mistral-7b</t>
  </si>
  <si>
    <t xml:space="preserve">liuhaotian</t>
  </si>
  <si>
    <t xml:space="preserve">https://huggingface.co/liuhaotian/llava-v1.6-mistral-7b</t>
  </si>
  <si>
    <t xml:space="preserve">w11wo/indonesian-roberta-base-posp-tagger</t>
  </si>
  <si>
    <t xml:space="preserve">w11wo</t>
  </si>
  <si>
    <t xml:space="preserve">flax-community/indonesian-roberta-base</t>
  </si>
  <si>
    <t xml:space="preserve">https://huggingface.co/w11wo/indonesian-roberta-base-posp-tagger</t>
  </si>
  <si>
    <t xml:space="preserve">timm/convnext_nano.in12k_ft_in1k</t>
  </si>
  <si>
    <t xml:space="preserve">https://huggingface.co/timm/convnext_nano.in12k_ft_in1k</t>
  </si>
  <si>
    <t xml:space="preserve">google/siglip2-large-patch16-384</t>
  </si>
  <si>
    <t xml:space="preserve">https://huggingface.co/google/siglip2-large-patch16-384</t>
  </si>
  <si>
    <t xml:space="preserve">timm/vit_small_patch16_dinov3.lvd1689m</t>
  </si>
  <si>
    <t xml:space="preserve">https://huggingface.co/timm/vit_small_patch16_dinov3.lvd1689m</t>
  </si>
  <si>
    <t xml:space="preserve">timm/vit_base_patch32_384.augreg_in21k_ft_in1k</t>
  </si>
  <si>
    <t xml:space="preserve">https://huggingface.co/timm/vit_base_patch32_384.augreg_in21k_ft_in1k</t>
  </si>
  <si>
    <t xml:space="preserve">MaziyarPanahi/gemma-3-12b-it-GGUF</t>
  </si>
  <si>
    <t xml:space="preserve">https://huggingface.co/MaziyarPanahi/gemma-3-12b-it-GGUF</t>
  </si>
  <si>
    <t xml:space="preserve">unsloth/llama-3-8b-bnb-4bit</t>
  </si>
  <si>
    <t xml:space="preserve">https://huggingface.co/unsloth/llama-3-8b-bnb-4bit</t>
  </si>
  <si>
    <t xml:space="preserve">MaziyarPanahi/phi-4-GGUF</t>
  </si>
  <si>
    <t xml:space="preserve">https://huggingface.co/MaziyarPanahi/phi-4-GGUF</t>
  </si>
  <si>
    <t xml:space="preserve">timm/deit_small_patch16_224.fb_in1k</t>
  </si>
  <si>
    <t xml:space="preserve">https://huggingface.co/timm/deit_small_patch16_224.fb_in1k</t>
  </si>
  <si>
    <t xml:space="preserve">meta-llama/Meta-Llama-3-70B-Instruct</t>
  </si>
  <si>
    <t xml:space="preserve">https://huggingface.co/meta-llama/Meta-Llama-3-70B-Instruct</t>
  </si>
  <si>
    <t xml:space="preserve">MaziyarPanahi/mistral-small-3.1-24b-instruct-2503-hf-GGUF</t>
  </si>
  <si>
    <t xml:space="preserve">mrfakename/mistral-small-3.1-24b-instruct-2503-hf</t>
  </si>
  <si>
    <t xml:space="preserve">https://huggingface.co/MaziyarPanahi/mistral-small-3.1-24b-instruct-2503-hf-GGUF</t>
  </si>
  <si>
    <t xml:space="preserve">hugging-quants/Meta-Llama-3.1-8B-Instruct-AWQ-INT4</t>
  </si>
  <si>
    <t xml:space="preserve">hugging-quants</t>
  </si>
  <si>
    <t xml:space="preserve">https://huggingface.co/hugging-quants/Meta-Llama-3.1-8B-Instruct-AWQ-INT4</t>
  </si>
  <si>
    <t xml:space="preserve">timm/swinv2_tiny_window8_256.ms_in1k</t>
  </si>
  <si>
    <t xml:space="preserve">https://huggingface.co/timm/swinv2_tiny_window8_256.ms_in1k</t>
  </si>
  <si>
    <t xml:space="preserve">MaziyarPanahi/gemma-3-27b-it-GGUF</t>
  </si>
  <si>
    <t xml:space="preserve">https://huggingface.co/MaziyarPanahi/gemma-3-27b-it-GGUF</t>
  </si>
  <si>
    <t xml:space="preserve">MaziyarPanahi/INTELLECT-2-GGUF</t>
  </si>
  <si>
    <t xml:space="preserve">PrimeIntellect/INTELLECT-2</t>
  </si>
  <si>
    <t xml:space="preserve">https://huggingface.co/MaziyarPanahi/INTELLECT-2-GGUF</t>
  </si>
  <si>
    <t xml:space="preserve">https://huggingface.co/thinkingmachines/Inkling-Small</t>
  </si>
  <si>
    <t xml:space="preserve">mlx-community/Llama-3.2-3B-Instruct-4bit</t>
  </si>
  <si>
    <t xml:space="preserve">mlx-community/Llama-3.2-3B-Instruct</t>
  </si>
  <si>
    <t xml:space="preserve">https://huggingface.co/mlx-community/Llama-3.2-3B-Instruct-4bit</t>
  </si>
  <si>
    <t xml:space="preserve">timm/efficientnet_b4.ra2_in1k</t>
  </si>
  <si>
    <t xml:space="preserve">https://huggingface.co/timm/efficientnet_b4.ra2_in1k</t>
  </si>
  <si>
    <t xml:space="preserve">llm-jp/llm-jp-4-8b-thinking</t>
  </si>
  <si>
    <t xml:space="preserve">https://huggingface.co/llm-jp/llm-jp-4-8b-thinking</t>
  </si>
  <si>
    <t xml:space="preserve">MaziyarPanahi/Meta-Llama-3-8B-Instruct-GGUF</t>
  </si>
  <si>
    <t xml:space="preserve">https://huggingface.co/MaziyarPanahi/Meta-Llama-3-8B-Instruct-GGUF</t>
  </si>
  <si>
    <t xml:space="preserve">hugging-quants/gemma-2-9b-it-AWQ-INT4</t>
  </si>
  <si>
    <t xml:space="preserve">https://huggingface.co/hugging-quants/gemma-2-9b-it-AWQ-INT4</t>
  </si>
  <si>
    <t xml:space="preserve">timm/resnet34d.ra2_in1k</t>
  </si>
  <si>
    <t xml:space="preserve">https://huggingface.co/timm/resnet34d.ra2_in1k</t>
  </si>
  <si>
    <t xml:space="preserve">yentinglin/Llama-3-Taiwan-8B-Instruct</t>
  </si>
  <si>
    <t xml:space="preserve">yentinglin</t>
  </si>
  <si>
    <t xml:space="preserve">https://huggingface.co/yentinglin/Llama-3-Taiwan-8B-Instruct</t>
  </si>
  <si>
    <t xml:space="preserve">LGAI-EXAONE/EXAONE-4.5-33B</t>
  </si>
  <si>
    <t xml:space="preserve">LGAI-EXAONE</t>
  </si>
  <si>
    <t xml:space="preserve">https://huggingface.co/LGAI-EXAONE/EXAONE-4.5-33B</t>
  </si>
  <si>
    <t xml:space="preserve">cais/HarmBench-Llama-2-13b-cls</t>
  </si>
  <si>
    <t xml:space="preserve">cais</t>
  </si>
  <si>
    <t xml:space="preserve">https://huggingface.co/cais/HarmBench-Llama-2-13b-cls</t>
  </si>
  <si>
    <t xml:space="preserve">PyrTools/Ministral-8B-Instruct-2410-AWQ</t>
  </si>
  <si>
    <t xml:space="preserve">PyrTools</t>
  </si>
  <si>
    <t xml:space="preserve">https://huggingface.co/PyrTools/Ministral-8B-Instruct-2410-AWQ</t>
  </si>
  <si>
    <t xml:space="preserve">nvidia/nemotron-speech-streaming-en-0.6b</t>
  </si>
  <si>
    <t xml:space="preserve">https://huggingface.co/nvidia/nemotron-speech-streaming-en-0.6b</t>
  </si>
  <si>
    <t xml:space="preserve">descript/dac_44khz</t>
  </si>
  <si>
    <t xml:space="preserve">descript</t>
  </si>
  <si>
    <t xml:space="preserve">https://huggingface.co/descript/dac_44khz</t>
  </si>
  <si>
    <t xml:space="preserve">timm/tf_mobilenetv3_small_minimal_100.in1k</t>
  </si>
  <si>
    <t xml:space="preserve">https://huggingface.co/timm/tf_mobilenetv3_small_minimal_100.in1k</t>
  </si>
  <si>
    <t xml:space="preserve">lmstudio-community/Phi-4-reasoning-plus-MLX-4bit</t>
  </si>
  <si>
    <t xml:space="preserve">https://huggingface.co/lmstudio-community/Phi-4-reasoning-plus-MLX-4bit</t>
  </si>
  <si>
    <t xml:space="preserve">timm/vit_base_patch16_dinov3.lvd1689m</t>
  </si>
  <si>
    <t xml:space="preserve">https://huggingface.co/timm/vit_base_patch16_dinov3.lvd1689m</t>
  </si>
  <si>
    <t xml:space="preserve">timm/efficientnetv2_rw_m.agc_in1k</t>
  </si>
  <si>
    <t xml:space="preserve">https://huggingface.co/timm/efficientnetv2_rw_m.agc_in1k</t>
  </si>
  <si>
    <t xml:space="preserve">Aero-Ex/Trellis2-GGUF</t>
  </si>
  <si>
    <t xml:space="preserve">Aero-Ex</t>
  </si>
  <si>
    <t xml:space="preserve">https://huggingface.co/Aero-Ex/Trellis2-GGUF</t>
  </si>
  <si>
    <t xml:space="preserve">timm/vit_large_patch16_dinov3.lvd1689m</t>
  </si>
  <si>
    <t xml:space="preserve">https://huggingface.co/timm/vit_large_patch16_dinov3.lvd1689m</t>
  </si>
  <si>
    <t xml:space="preserve">unsloth/gemma-3-12b-it-GGUF</t>
  </si>
  <si>
    <t xml:space="preserve">https://huggingface.co/unsloth/gemma-3-12b-it-GGUF</t>
  </si>
  <si>
    <t xml:space="preserve">Sahabat-AI/gemma2-9b-cpt-sahabatai-v1-instruct</t>
  </si>
  <si>
    <t xml:space="preserve">Sahabat-AI</t>
  </si>
  <si>
    <t xml:space="preserve">GoToCompany/gemma2-9b-cpt-sahabatai-v1-base</t>
  </si>
  <si>
    <t xml:space="preserve">https://huggingface.co/Sahabat-AI/gemma2-9b-cpt-sahabatai-v1-instruct</t>
  </si>
  <si>
    <t xml:space="preserve">timm/twins_svt_large.in1k</t>
  </si>
  <si>
    <t xml:space="preserve">https://huggingface.co/timm/twins_svt_large.in1k</t>
  </si>
  <si>
    <t xml:space="preserve">Xenova/paraphrase-multilingual-MiniLM-L12-v2</t>
  </si>
  <si>
    <t xml:space="preserve">https://huggingface.co/Xenova/paraphrase-multilingual-MiniLM-L12-v2</t>
  </si>
  <si>
    <t xml:space="preserve">google/owlv2-large-patch14-ensemble</t>
  </si>
  <si>
    <t xml:space="preserve">https://huggingface.co/google/owlv2-large-patch14-ensemble</t>
  </si>
  <si>
    <t xml:space="preserve">MoritzLaurer/deberta-v3-base-zeroshot-v1.1-all-33</t>
  </si>
  <si>
    <t xml:space="preserve">https://huggingface.co/MoritzLaurer/deberta-v3-base-zeroshot-v1.1-all-33</t>
  </si>
  <si>
    <t xml:space="preserve">google/siglip2-so400m-patch14-224</t>
  </si>
  <si>
    <t xml:space="preserve">https://huggingface.co/google/siglip2-so400m-patch14-224</t>
  </si>
  <si>
    <t xml:space="preserve">unsloth/gemma-3n-E2B-it-GGUF</t>
  </si>
  <si>
    <t xml:space="preserve">https://huggingface.co/unsloth/gemma-3n-E2B-it-GGUF</t>
  </si>
  <si>
    <t xml:space="preserve">gmunkhtur/paraphrase-multilingual-minilm-l12-v3-mn</t>
  </si>
  <si>
    <t xml:space="preserve">gmunkhtur</t>
  </si>
  <si>
    <t xml:space="preserve">https://huggingface.co/gmunkhtur/paraphrase-multilingual-minilm-l12-v3-mn</t>
  </si>
  <si>
    <t xml:space="preserve">Freepik/nsfw_image_detector</t>
  </si>
  <si>
    <t xml:space="preserve">Freepik</t>
  </si>
  <si>
    <t xml:space="preserve">timm/eva02_base_patch14_448.mim_in22k_ft_in22k_in1k</t>
  </si>
  <si>
    <t xml:space="preserve">https://huggingface.co/Freepik/nsfw_image_detector</t>
  </si>
  <si>
    <t xml:space="preserve">nvidia/Llama-3.1-70B-Instruct-FP8</t>
  </si>
  <si>
    <t xml:space="preserve">https://huggingface.co/nvidia/Llama-3.1-70B-Instruct-FP8</t>
  </si>
  <si>
    <t xml:space="preserve">timm/convnext_tiny.fb_in22k</t>
  </si>
  <si>
    <t xml:space="preserve">https://huggingface.co/timm/convnext_tiny.fb_in22k</t>
  </si>
  <si>
    <t xml:space="preserve">timm/inception_resnet_v2.tf_in1k</t>
  </si>
  <si>
    <t xml:space="preserve">https://huggingface.co/timm/inception_resnet_v2.tf_in1k</t>
  </si>
  <si>
    <t xml:space="preserve">facebook/dinov3-vitl16-pretrain-lvd1689m</t>
  </si>
  <si>
    <t xml:space="preserve">facebook/dinov3-vit7b16-pretrain-lvd1689m</t>
  </si>
  <si>
    <t xml:space="preserve">https://huggingface.co/facebook/dinov3-vitl16-pretrain-lvd1689m</t>
  </si>
  <si>
    <t xml:space="preserve">timm/vit_tiny_patch16_224.augreg_in21k</t>
  </si>
  <si>
    <t xml:space="preserve">https://huggingface.co/timm/vit_tiny_patch16_224.augreg_in21k</t>
  </si>
  <si>
    <t xml:space="preserve">naver-hyperclovax/HyperCLOVAX-SEED-Think-32B</t>
  </si>
  <si>
    <t xml:space="preserve">naver-hyperclovax</t>
  </si>
  <si>
    <t xml:space="preserve">https://huggingface.co/naver-hyperclovax/HyperCLOVAX-SEED-Think-32B</t>
  </si>
  <si>
    <t xml:space="preserve">abhishekchohan/gemma-3-12b-it-quantized-W4A16</t>
  </si>
  <si>
    <t xml:space="preserve">abhishekchohan</t>
  </si>
  <si>
    <t xml:space="preserve">https://huggingface.co/abhishekchohan/gemma-3-12b-it-quantized-W4A16</t>
  </si>
  <si>
    <t xml:space="preserve">unsloth/Laguna-S-2.1-GGUF</t>
  </si>
  <si>
    <t xml:space="preserve">poolside/Laguna-S-2.1</t>
  </si>
  <si>
    <t xml:space="preserve">https://huggingface.co/unsloth/Laguna-S-2.1-GGUF</t>
  </si>
  <si>
    <t xml:space="preserve">facebook/dinov2-with-registers-small</t>
  </si>
  <si>
    <t xml:space="preserve">https://huggingface.co/facebook/dinov2-with-registers-small</t>
  </si>
  <si>
    <t xml:space="preserve">unslothai/colabpro</t>
  </si>
  <si>
    <t xml:space="preserve">https://huggingface.co/unslothai/colabpro</t>
  </si>
  <si>
    <t xml:space="preserve">routellm/bert_gpt4_augmented</t>
  </si>
  <si>
    <t xml:space="preserve">routellm</t>
  </si>
  <si>
    <t xml:space="preserve">https://huggingface.co/routellm/bert_gpt4_augmented</t>
  </si>
  <si>
    <t xml:space="preserve">facebook/dinov3-vitb16-pretrain-lvd1689m</t>
  </si>
  <si>
    <t xml:space="preserve">https://huggingface.co/facebook/dinov3-vitb16-pretrain-lvd1689m</t>
  </si>
  <si>
    <t xml:space="preserve">FremyCompany/BioLORD-2023-M</t>
  </si>
  <si>
    <t xml:space="preserve">https://huggingface.co/FremyCompany/BioLORD-2023-M</t>
  </si>
  <si>
    <t xml:space="preserve">timm/repvit_m1.dist_in1k</t>
  </si>
  <si>
    <t xml:space="preserve">https://huggingface.co/timm/repvit_m1.dist_in1k</t>
  </si>
  <si>
    <t xml:space="preserve">timm/levit_256.fb_dist_in1k</t>
  </si>
  <si>
    <t xml:space="preserve">https://huggingface.co/timm/levit_256.fb_dist_in1k</t>
  </si>
  <si>
    <t xml:space="preserve">meta-llama/Llama-2-13b-hf</t>
  </si>
  <si>
    <t xml:space="preserve">https://huggingface.co/meta-llama/Llama-2-13b-hf</t>
  </si>
  <si>
    <t xml:space="preserve">mistralai/Mixtral-8x22B-Instruct-v0.1</t>
  </si>
  <si>
    <t xml:space="preserve">mistralai/Mixtral-8x22B-v0.1</t>
  </si>
  <si>
    <t xml:space="preserve">https://huggingface.co/mistralai/Mixtral-8x22B-Instruct-v0.1</t>
  </si>
  <si>
    <t xml:space="preserve">unsloth/NVIDIA-Nemotron-3.5-Lightning-30B-A3B-GGUF</t>
  </si>
  <si>
    <t xml:space="preserve">https://huggingface.co/unsloth/NVIDIA-Nemotron-3.5-Lightning-30B-A3B-GGUF</t>
  </si>
  <si>
    <t xml:space="preserve">thinkingmachines/Inkling-Small-NVFP4</t>
  </si>
  <si>
    <t xml:space="preserve">https://huggingface.co/thinkingmachines/Inkling-Small-NVFP4</t>
  </si>
  <si>
    <t xml:space="preserve">Aitrepreneur/FLX</t>
  </si>
  <si>
    <t xml:space="preserve">Aitrepreneur</t>
  </si>
  <si>
    <t xml:space="preserve">https://huggingface.co/Aitrepreneur/FLX</t>
  </si>
  <si>
    <t xml:space="preserve">timm/convnext_large.fb_in22k_ft_in1k_384</t>
  </si>
  <si>
    <t xml:space="preserve">https://huggingface.co/timm/convnext_large.fb_in22k_ft_in1k_384</t>
  </si>
  <si>
    <t xml:space="preserve">timm/vit_base_patch16_siglip_256.v2_webli</t>
  </si>
  <si>
    <t xml:space="preserve">https://huggingface.co/timm/vit_base_patch16_siglip_256.v2_webli</t>
  </si>
  <si>
    <t xml:space="preserve">mirek190/audio.cpp</t>
  </si>
  <si>
    <t xml:space="preserve">mirek190</t>
  </si>
  <si>
    <t xml:space="preserve">https://huggingface.co/mirek190/audio.cpp</t>
  </si>
  <si>
    <t xml:space="preserve">Orion-zhen/aya-expanse-8b-AWQ</t>
  </si>
  <si>
    <t xml:space="preserve">Orion-zhen</t>
  </si>
  <si>
    <t xml:space="preserve">gpl-3.0</t>
  </si>
  <si>
    <t xml:space="preserve">copyleft</t>
  </si>
  <si>
    <t xml:space="preserve">CohereLabs/aya-expanse-8b</t>
  </si>
  <si>
    <t xml:space="preserve">https://huggingface.co/Orion-zhen/aya-expanse-8b-AWQ</t>
  </si>
  <si>
    <t xml:space="preserve">unsloth/medgemma-27b-text-it-bnb-4bit</t>
  </si>
  <si>
    <t xml:space="preserve">https://huggingface.co/unsloth/medgemma-27b-text-it-bnb-4bit</t>
  </si>
  <si>
    <t xml:space="preserve">timm/tf_efficientnet_b3.ns_jft_in1k</t>
  </si>
  <si>
    <t xml:space="preserve">https://huggingface.co/timm/tf_efficientnet_b3.ns_jft_in1k</t>
  </si>
  <si>
    <t xml:space="preserve">mradermacher/Mistral-Nemo-Instruct-2407-12B-Thinking-M-Claude-Opus-High-Reasoning-i1-GGUF</t>
  </si>
  <si>
    <t xml:space="preserve">DavidAU/Mistral-Nemo-Instruct-2407-12B-Thinking-M-Claude-Opus-High-Reasoning</t>
  </si>
  <si>
    <t xml:space="preserve">https://huggingface.co/mradermacher/Mistral-Nemo-Instruct-2407-12B-Thinking-M-Claude-Opus-High-Reasoning-i1-GGUF</t>
  </si>
  <si>
    <t xml:space="preserve">Vikhrmodels/Vikhr-Nemo-12B-Instruct-R-21-09-24</t>
  </si>
  <si>
    <t xml:space="preserve">Vikhrmodels</t>
  </si>
  <si>
    <t xml:space="preserve">https://huggingface.co/Vikhrmodels/Vikhr-Nemo-12B-Instruct-R-21-09-24</t>
  </si>
  <si>
    <t xml:space="preserve">timm/deit_base_patch16_224.fb_in1k</t>
  </si>
  <si>
    <t xml:space="preserve">https://huggingface.co/timm/deit_base_patch16_224.fb_in1k</t>
  </si>
  <si>
    <t xml:space="preserve">unsloth/gemma-2-2b-it-bnb-4bit</t>
  </si>
  <si>
    <t xml:space="preserve">https://huggingface.co/unsloth/gemma-2-2b-it-bnb-4bit</t>
  </si>
  <si>
    <t xml:space="preserve">unsloth/Llama-3.1-8B-Instruct-bnb-4bit</t>
  </si>
  <si>
    <t xml:space="preserve">https://huggingface.co/unsloth/Llama-3.1-8B-Instruct-bnb-4bit</t>
  </si>
  <si>
    <t xml:space="preserve">NousResearch/Llama-3.2-1B</t>
  </si>
  <si>
    <t xml:space="preserve">https://huggingface.co/NousResearch/Llama-3.2-1B</t>
  </si>
  <si>
    <t xml:space="preserve">https://huggingface.co/timm/eva02_base_patch14_448.mim_in22k_ft_in22k_in1k</t>
  </si>
  <si>
    <t xml:space="preserve">ggml-org/tiny-llamas</t>
  </si>
  <si>
    <t xml:space="preserve">https://huggingface.co/ggml-org/tiny-llamas</t>
  </si>
  <si>
    <t xml:space="preserve">NousResearch/Hermes-3-Llama-3.1-8B-GGUF</t>
  </si>
  <si>
    <t xml:space="preserve">https://huggingface.co/NousResearch/Hermes-3-Llama-3.1-8B-GGUF</t>
  </si>
  <si>
    <t xml:space="preserve">facebook/wav2vec2-conformer-rope-large-960h-ft</t>
  </si>
  <si>
    <t xml:space="preserve">https://huggingface.co/facebook/wav2vec2-conformer-rope-large-960h-ft</t>
  </si>
  <si>
    <t xml:space="preserve">docling-project/SmolDocling-256M-preview</t>
  </si>
  <si>
    <t xml:space="preserve">https://huggingface.co/docling-project/SmolDocling-256M-preview</t>
  </si>
  <si>
    <t xml:space="preserve">unsloth/llama-3-8b-Instruct</t>
  </si>
  <si>
    <t xml:space="preserve">https://huggingface.co/unsloth/llama-3-8b-Instruct</t>
  </si>
  <si>
    <t xml:space="preserve">timm/maxvit_nano_rw_256.sw_in1k</t>
  </si>
  <si>
    <t xml:space="preserve">https://huggingface.co/timm/maxvit_nano_rw_256.sw_in1k</t>
  </si>
  <si>
    <t xml:space="preserve">Mia-AiLab/Gemmable-4-12B-MTP-GGUF</t>
  </si>
  <si>
    <t xml:space="preserve">Mia-AiLab</t>
  </si>
  <si>
    <t xml:space="preserve">https://huggingface.co/Mia-AiLab/Gemmable-4-12B-MTP-GGUF</t>
  </si>
  <si>
    <t xml:space="preserve">cl-nagoya/ruri-v3-310m</t>
  </si>
  <si>
    <t xml:space="preserve">cl-nagoya</t>
  </si>
  <si>
    <t xml:space="preserve">cl-nagoya/ruri-v3-pt-310m</t>
  </si>
  <si>
    <t xml:space="preserve">https://huggingface.co/cl-nagoya/ruri-v3-310m</t>
  </si>
  <si>
    <t xml:space="preserve">google/owlvit-base-patch32</t>
  </si>
  <si>
    <t xml:space="preserve">https://huggingface.co/google/owlvit-base-patch32</t>
  </si>
  <si>
    <t xml:space="preserve">nvidia/diar_streaming_sortformer_4spk-v2</t>
  </si>
  <si>
    <t xml:space="preserve">https://huggingface.co/nvidia/diar_streaming_sortformer_4spk-v2</t>
  </si>
  <si>
    <t xml:space="preserve">timm/convnext_tiny.in12k</t>
  </si>
  <si>
    <t xml:space="preserve">https://huggingface.co/timm/convnext_tiny.in12k</t>
  </si>
  <si>
    <t xml:space="preserve">facebook/mbart-large-en-ro</t>
  </si>
  <si>
    <t xml:space="preserve">https://huggingface.co/facebook/mbart-large-en-ro</t>
  </si>
  <si>
    <t xml:space="preserve">facebook/convnextv2-tiny-22k-384</t>
  </si>
  <si>
    <t xml:space="preserve">https://huggingface.co/facebook/convnextv2-tiny-22k-384</t>
  </si>
  <si>
    <t xml:space="preserve">timm/resnet50_gn.a1h_in1k</t>
  </si>
  <si>
    <t xml:space="preserve">https://huggingface.co/timm/resnet50_gn.a1h_in1k</t>
  </si>
  <si>
    <t xml:space="preserve">handy-computer/parakeet-tdt-0.6b-v3-gguf</t>
  </si>
  <si>
    <t xml:space="preserve">handy-computer</t>
  </si>
  <si>
    <t xml:space="preserve">https://huggingface.co/handy-computer/parakeet-tdt-0.6b-v3-gguf</t>
  </si>
  <si>
    <t xml:space="preserve">google/siglip-large-patch16-384</t>
  </si>
  <si>
    <t xml:space="preserve">https://huggingface.co/google/siglip-large-patch16-384</t>
  </si>
  <si>
    <t xml:space="preserve">chbae624/vllm-translategemma-12b-it</t>
  </si>
  <si>
    <t xml:space="preserve">chbae624</t>
  </si>
  <si>
    <t xml:space="preserve">https://huggingface.co/chbae624/vllm-translategemma-12b-it</t>
  </si>
  <si>
    <t xml:space="preserve">autogluon/mitra-regressor-2</t>
  </si>
  <si>
    <t xml:space="preserve">https://huggingface.co/autogluon/mitra-regressor-2</t>
  </si>
  <si>
    <t xml:space="preserve">mlx-community/parakeet-tdt-0.6b-v2</t>
  </si>
  <si>
    <t xml:space="preserve">nvidia/parakeet-tdt-0.6b-v2</t>
  </si>
  <si>
    <t xml:space="preserve">https://huggingface.co/mlx-community/parakeet-tdt-0.6b-v2</t>
  </si>
  <si>
    <t xml:space="preserve">fancyfeast/llama-joycaption-beta-one-hf-llava</t>
  </si>
  <si>
    <t xml:space="preserve">fancyfeast</t>
  </si>
  <si>
    <t xml:space="preserve">https://huggingface.co/fancyfeast/llama-joycaption-beta-one-hf-llava</t>
  </si>
  <si>
    <t xml:space="preserve">JetBrains/Mellum2-12B-A2.5B-Instruct-GGUF-Q4_K_M</t>
  </si>
  <si>
    <t xml:space="preserve">https://huggingface.co/JetBrains/Mellum2-12B-A2.5B-Instruct-GGUF-Q4_K_M</t>
  </si>
  <si>
    <t xml:space="preserve">prithivMLmods/Gender-Classifier-Mini</t>
  </si>
  <si>
    <t xml:space="preserve">https://huggingface.co/prithivMLmods/Gender-Classifier-Mini</t>
  </si>
  <si>
    <t xml:space="preserve">google/vit-large-patch16-224-in21k</t>
  </si>
  <si>
    <t xml:space="preserve">https://huggingface.co/google/vit-large-patch16-224-in21k</t>
  </si>
  <si>
    <t xml:space="preserve">handy-computer/whisper-medium-gguf</t>
  </si>
  <si>
    <t xml:space="preserve">https://huggingface.co/handy-computer/whisper-medium-gguf</t>
  </si>
  <si>
    <t xml:space="preserve">MaziyarPanahi/gpt-oss-20b-Derestricted-GGUF</t>
  </si>
  <si>
    <t xml:space="preserve">ArliAI/gpt-oss-20b-Derestricted</t>
  </si>
  <si>
    <t xml:space="preserve">https://huggingface.co/MaziyarPanahi/gpt-oss-20b-Derestricted-GGUF</t>
  </si>
  <si>
    <t xml:space="preserve">facebook/dinov3-vits16-pretrain-lvd1689m</t>
  </si>
  <si>
    <t xml:space="preserve">https://huggingface.co/facebook/dinov3-vits16-pretrain-lvd1689m</t>
  </si>
  <si>
    <t xml:space="preserve">distilbert/distilbert-base-german-cased</t>
  </si>
  <si>
    <t xml:space="preserve">https://huggingface.co/distilbert/distilbert-base-german-cased</t>
  </si>
  <si>
    <t xml:space="preserve">lmstudio-community/gemma-3n-E4B-it-MLX-4bit</t>
  </si>
  <si>
    <t xml:space="preserve">https://huggingface.co/lmstudio-community/gemma-3n-E4B-it-MLX-4bit</t>
  </si>
  <si>
    <t xml:space="preserve">deepvk/USER2-base</t>
  </si>
  <si>
    <t xml:space="preserve">deepvk</t>
  </si>
  <si>
    <t xml:space="preserve">deepvk/RuModernBERT-base</t>
  </si>
  <si>
    <r>
      <rPr>
        <sz val="11"/>
        <color rgb="FF000000"/>
        <rFont val="Noto Sans CJK SC"/>
        <family val="2"/>
      </rPr>
      <t xml:space="preserve">只支援特定外語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量化版本</t>
    </r>
  </si>
  <si>
    <t xml:space="preserve">https://huggingface.co/deepvk/USER2-base</t>
  </si>
  <si>
    <t xml:space="preserve">gaunernst/gemma-3-12b-it-int4-awq</t>
  </si>
  <si>
    <t xml:space="preserve">https://huggingface.co/gaunernst/gemma-3-12b-it-int4-awq</t>
  </si>
  <si>
    <t xml:space="preserve">timm/vgg19.tv_in1k</t>
  </si>
  <si>
    <t xml:space="preserve">https://huggingface.co/timm/vgg19.tv_in1k</t>
  </si>
  <si>
    <t xml:space="preserve">google/siglip-base-patch16-384</t>
  </si>
  <si>
    <t xml:space="preserve">https://huggingface.co/google/siglip-base-patch16-384</t>
  </si>
  <si>
    <t xml:space="preserve">lmstudio-community/gemma-3n-E4B-it-MLX-8bit</t>
  </si>
  <si>
    <t xml:space="preserve">https://huggingface.co/lmstudio-community/gemma-3n-E4B-it-MLX-8bit</t>
  </si>
  <si>
    <t xml:space="preserve">lmstudio-community/gemma-3n-E4B-it-MLX-6bit</t>
  </si>
  <si>
    <t xml:space="preserve">https://huggingface.co/lmstudio-community/gemma-3n-E4B-it-MLX-6bit</t>
  </si>
  <si>
    <t xml:space="preserve">unsloth/Llama-3.1-8B-Instruct-unsloth-bnb-4bit</t>
  </si>
  <si>
    <t xml:space="preserve">https://huggingface.co/unsloth/Llama-3.1-8B-Instruct-unsloth-bnb-4bit</t>
  </si>
  <si>
    <t xml:space="preserve">Helsinki-NLP/opus-mt-tc-big-ko-en</t>
  </si>
  <si>
    <t xml:space="preserve">https://huggingface.co/Helsinki-NLP/opus-mt-tc-big-ko-en</t>
  </si>
  <si>
    <t xml:space="preserve">timm/hrnet_w18.ms_aug_in1k</t>
  </si>
  <si>
    <t xml:space="preserve">https://huggingface.co/timm/hrnet_w18.ms_aug_in1k</t>
  </si>
  <si>
    <t xml:space="preserve">unsloth/gemma-2-9b-it</t>
  </si>
  <si>
    <t xml:space="preserve">https://huggingface.co/unsloth/gemma-2-9b-it</t>
  </si>
  <si>
    <t xml:space="preserve">unsloth/gpt-oss-120b</t>
  </si>
  <si>
    <t xml:space="preserve">https://huggingface.co/unsloth/gpt-oss-120b</t>
  </si>
  <si>
    <t xml:space="preserve">MaziyarPanahi/Mistral-Nemo-Instruct-2407-GGUF</t>
  </si>
  <si>
    <t xml:space="preserve">https://huggingface.co/MaziyarPanahi/Mistral-Nemo-Instruct-2407-GGUF</t>
  </si>
  <si>
    <t xml:space="preserve">rhymes-ai/Aria</t>
  </si>
  <si>
    <t xml:space="preserve">rhymes-ai</t>
  </si>
  <si>
    <t xml:space="preserve">rhymes-ai/Aria-Base-64K</t>
  </si>
  <si>
    <t xml:space="preserve">https://huggingface.co/rhymes-ai/Aria</t>
  </si>
  <si>
    <t xml:space="preserve">facebook/deit-base-distilled-patch16-384</t>
  </si>
  <si>
    <t xml:space="preserve">https://huggingface.co/facebook/deit-base-distilled-patch16-384</t>
  </si>
  <si>
    <t xml:space="preserve">Gherman/bert-base-NER-Russian</t>
  </si>
  <si>
    <t xml:space="preserve">Gherman</t>
  </si>
  <si>
    <t xml:space="preserve">https://huggingface.co/Gherman/bert-base-NER-Russian</t>
  </si>
  <si>
    <t xml:space="preserve">M4-ai/TinyMistral-248M-v2-Instruct-GGUF</t>
  </si>
  <si>
    <t xml:space="preserve">M4-ai</t>
  </si>
  <si>
    <t xml:space="preserve">Locutusque/TinyMistral-248M-v2-Instruct</t>
  </si>
  <si>
    <t xml:space="preserve">https://huggingface.co/M4-ai/TinyMistral-248M-v2-Instruct-GGUF</t>
  </si>
  <si>
    <t xml:space="preserve">MaziyarPanahi/NVIDIA-Nemotron-Nano-12B-v2-GGUF</t>
  </si>
  <si>
    <t xml:space="preserve">https://huggingface.co/MaziyarPanahi/NVIDIA-Nemotron-Nano-12B-v2-GGUF</t>
  </si>
  <si>
    <t xml:space="preserve">timm/swinv2_tiny_window16_256.ms_in1k</t>
  </si>
  <si>
    <t xml:space="preserve">https://huggingface.co/timm/swinv2_tiny_window16_256.ms_in1k</t>
  </si>
  <si>
    <t xml:space="preserve">MaziyarPanahi/Ministral-3-14B-Reasoning-2512-GGUF</t>
  </si>
  <si>
    <t xml:space="preserve">https://huggingface.co/MaziyarPanahi/Ministral-3-14B-Reasoning-2512-GGUF</t>
  </si>
  <si>
    <t xml:space="preserve">Cactus-Compute/needle3</t>
  </si>
  <si>
    <t xml:space="preserve">Cactus-Compute</t>
  </si>
  <si>
    <t xml:space="preserve">https://huggingface.co/Cactus-Compute/needle3</t>
  </si>
  <si>
    <t xml:space="preserve">timm/seresnext50_32x4d.racm_in1k</t>
  </si>
  <si>
    <t xml:space="preserve">https://huggingface.co/timm/seresnext50_32x4d.racm_in1k</t>
  </si>
  <si>
    <t xml:space="preserve">humain-ai/ALLaM-7B-Instruct-preview</t>
  </si>
  <si>
    <t xml:space="preserve">humain-ai</t>
  </si>
  <si>
    <t xml:space="preserve">https://huggingface.co/humain-ai/ALLaM-7B-Instruct-preview</t>
  </si>
  <si>
    <t xml:space="preserve">meta-llama/Llama-3.2-90B-Vision-Instruct</t>
  </si>
  <si>
    <t xml:space="preserve">https://huggingface.co/meta-llama/Llama-3.2-90B-Vision-Instruct</t>
  </si>
  <si>
    <t xml:space="preserve">FremyCompany/BioLORD-2023-C</t>
  </si>
  <si>
    <t xml:space="preserve">https://huggingface.co/FremyCompany/BioLORD-2023-C</t>
  </si>
  <si>
    <t xml:space="preserve">orbis-marianne/deberta-v3-sta-class</t>
  </si>
  <si>
    <t xml:space="preserve">orbis-marianne</t>
  </si>
  <si>
    <t xml:space="preserve">https://huggingface.co/orbis-marianne/deberta-v3-sta-class</t>
  </si>
  <si>
    <t xml:space="preserve">orbis-marianne/deberta-v3-sta-rel</t>
  </si>
  <si>
    <t xml:space="preserve">https://huggingface.co/orbis-marianne/deberta-v3-sta-rel</t>
  </si>
  <si>
    <t xml:space="preserve">orbis-marianne/deberta-v3-rel-class</t>
  </si>
  <si>
    <t xml:space="preserve">https://huggingface.co/orbis-marianne/deberta-v3-rel-class</t>
  </si>
  <si>
    <t xml:space="preserve">MaziyarPanahi/solar-pro-preview-instruct-GGUF</t>
  </si>
  <si>
    <t xml:space="preserve">upstage/solar-pro-preview-instruct</t>
  </si>
  <si>
    <t xml:space="preserve">https://huggingface.co/MaziyarPanahi/solar-pro-preview-instruct-GGUF</t>
  </si>
  <si>
    <t xml:space="preserve">timm/tf_efficientnet_b4.ns_jft_in1k</t>
  </si>
  <si>
    <t xml:space="preserve">https://huggingface.co/timm/tf_efficientnet_b4.ns_jft_in1k</t>
  </si>
  <si>
    <t xml:space="preserve">omni-research/Tarsier-7b</t>
  </si>
  <si>
    <t xml:space="preserve">omni-research</t>
  </si>
  <si>
    <t xml:space="preserve">https://huggingface.co/omni-research/Tarsier-7b</t>
  </si>
  <si>
    <t xml:space="preserve">nvidia/audio-flamingo-3-hf</t>
  </si>
  <si>
    <t xml:space="preserve">https://huggingface.co/nvidia/audio-flamingo-3-hf</t>
  </si>
  <si>
    <t xml:space="preserve">facebook/vjepa2-vitg-fpc64-256</t>
  </si>
  <si>
    <t xml:space="preserve">https://huggingface.co/facebook/vjepa2-vitg-fpc64-256</t>
  </si>
  <si>
    <t xml:space="preserve">zgpu-ai/zlm-v1-iab-classify-edge</t>
  </si>
  <si>
    <t xml:space="preserve">zgpu-ai</t>
  </si>
  <si>
    <t xml:space="preserve">https://huggingface.co/zgpu-ai/zlm-v1-iab-classify-edge</t>
  </si>
  <si>
    <t xml:space="preserve">MaziyarPanahi/firefunction-v2-GGUF</t>
  </si>
  <si>
    <t xml:space="preserve">fireworks-ai/llama-3-firefunction-v2</t>
  </si>
  <si>
    <t xml:space="preserve">https://huggingface.co/MaziyarPanahi/firefunction-v2-GGUF</t>
  </si>
  <si>
    <t xml:space="preserve">google/siglip-base-patch16-256</t>
  </si>
  <si>
    <t xml:space="preserve">https://huggingface.co/google/siglip-base-patch16-256</t>
  </si>
  <si>
    <t xml:space="preserve">timm/tf_efficientnet_b5.ns_jft_in1k</t>
  </si>
  <si>
    <t xml:space="preserve">https://huggingface.co/timm/tf_efficientnet_b5.ns_jft_in1k</t>
  </si>
  <si>
    <t xml:space="preserve">mistralai/Devstral-2-123B-Instruct-2512</t>
  </si>
  <si>
    <t xml:space="preserve">https://huggingface.co/mistralai/Devstral-2-123B-Instruct-2512</t>
  </si>
  <si>
    <t xml:space="preserve">unsloth/gemma-3-12b-it</t>
  </si>
  <si>
    <t xml:space="preserve">https://huggingface.co/unsloth/gemma-3-12b-it</t>
  </si>
  <si>
    <t xml:space="preserve">typhoon-ai/llama3.1-typhoon2-8b-instruct</t>
  </si>
  <si>
    <t xml:space="preserve">typhoon-ai</t>
  </si>
  <si>
    <t xml:space="preserve">https://huggingface.co/typhoon-ai/llama3.1-typhoon2-8b-instruct</t>
  </si>
  <si>
    <t xml:space="preserve">pearl-ai/Llama-3.1-8B-Instruct-pearl</t>
  </si>
  <si>
    <t xml:space="preserve">pearl-ai</t>
  </si>
  <si>
    <t xml:space="preserve">https://huggingface.co/pearl-ai/Llama-3.1-8B-Instruct-pearl</t>
  </si>
  <si>
    <t xml:space="preserve">Falconsai/text_summarization</t>
  </si>
  <si>
    <t xml:space="preserve">safetensors;pytorch;onnx;other</t>
  </si>
  <si>
    <t xml:space="preserve">https://huggingface.co/Falconsai/text_summarization</t>
  </si>
  <si>
    <t xml:space="preserve">swiss-ai/Apertus-70B-2509</t>
  </si>
  <si>
    <t xml:space="preserve">https://huggingface.co/swiss-ai/Apertus-70B-Instruct-2509</t>
  </si>
  <si>
    <t xml:space="preserve">prithivMLmods/Common-Voice-Gender-Detection</t>
  </si>
  <si>
    <t xml:space="preserve">https://huggingface.co/prithivMLmods/Common-Voice-Gender-Detection</t>
  </si>
  <si>
    <t xml:space="preserve">nvidia/NVIDIA-Nemotron-3.5-Bolt-74B-A9B-24GB-GGUF</t>
  </si>
  <si>
    <t xml:space="preserve">nvidia/NVIDIA-Nemotron-3.5-Bolt-74B-A9B-BF16</t>
  </si>
  <si>
    <t xml:space="preserve">https://huggingface.co/nvidia/NVIDIA-Nemotron-3.5-Bolt-74B-A9B-24GB-GGUF</t>
  </si>
  <si>
    <t xml:space="preserve">openai/whisper-tiny.en</t>
  </si>
  <si>
    <t xml:space="preserve">https://huggingface.co/openai/whisper-tiny.en</t>
  </si>
  <si>
    <t xml:space="preserve">jadeonrails/marlin-2b-gguf</t>
  </si>
  <si>
    <t xml:space="preserve">jadeonrails</t>
  </si>
  <si>
    <t xml:space="preserve">https://huggingface.co/jadeonrails/marlin-2b-gguf</t>
  </si>
  <si>
    <t xml:space="preserve">facebook/nougat-small</t>
  </si>
  <si>
    <t xml:space="preserve">https://huggingface.co/facebook/nougat-small</t>
  </si>
  <si>
    <t xml:space="preserve">bbarn4/medgemma-27b-text-it-GPTQ</t>
  </si>
  <si>
    <t xml:space="preserve">bbarn4</t>
  </si>
  <si>
    <t xml:space="preserve">https://huggingface.co/bbarn4/medgemma-27b-text-it-GPTQ</t>
  </si>
  <si>
    <t xml:space="preserve">ArliAI</t>
  </si>
  <si>
    <t xml:space="preserve">https://huggingface.co/ArliAI/gpt-oss-20b-Derestricted</t>
  </si>
  <si>
    <t xml:space="preserve">rahul7star/gemma-gguf</t>
  </si>
  <si>
    <t xml:space="preserve">rahul7star</t>
  </si>
  <si>
    <t xml:space="preserve">https://huggingface.co/rahul7star/gemma-gguf</t>
  </si>
  <si>
    <t xml:space="preserve">stelterlab/Mistral-Small-3.2-24B-Instruct-2506-FP8</t>
  </si>
  <si>
    <t xml:space="preserve">https://huggingface.co/stelterlab/Mistral-Small-3.2-24B-Instruct-2506-FP8</t>
  </si>
  <si>
    <t xml:space="preserve">facebook/dinov2-with-registers-large</t>
  </si>
  <si>
    <t xml:space="preserve">https://huggingface.co/facebook/dinov2-with-registers-large</t>
  </si>
  <si>
    <t xml:space="preserve">handy-computer/whisper-large-v3-turbo-gguf</t>
  </si>
  <si>
    <t xml:space="preserve">https://huggingface.co/handy-computer/whisper-large-v3-turbo-gguf</t>
  </si>
  <si>
    <t xml:space="preserve">farbodtavakkoli/OTel-2.0-LLM-31B-IT-QLoRA</t>
  </si>
  <si>
    <t xml:space="preserve">https://huggingface.co/farbodtavakkoli/OTel-2.0-LLM-31B-IT-QLoRA</t>
  </si>
  <si>
    <t xml:space="preserve">casperhansen/llama-3-8b-instruct-awq</t>
  </si>
  <si>
    <t xml:space="preserve">casperhansen</t>
  </si>
  <si>
    <t xml:space="preserve">https://huggingface.co/casperhansen/llama-3-8b-instruct-awq</t>
  </si>
  <si>
    <t xml:space="preserve">timm/vgg16.tv_in1k</t>
  </si>
  <si>
    <t xml:space="preserve">https://huggingface.co/timm/vgg16.tv_in1k</t>
  </si>
  <si>
    <t xml:space="preserve">trmteb/turkish-embedding-model</t>
  </si>
  <si>
    <t xml:space="preserve">trmteb</t>
  </si>
  <si>
    <t xml:space="preserve">dbmdz/bert-base-turkish-uncased</t>
  </si>
  <si>
    <t xml:space="preserve">https://huggingface.co/trmteb/turkish-embedding-model</t>
  </si>
  <si>
    <t xml:space="preserve">prometheus-eval/prometheus-7b-v2.0</t>
  </si>
  <si>
    <t xml:space="preserve">prometheus-eval</t>
  </si>
  <si>
    <t xml:space="preserve">https://huggingface.co/prometheus-eval/prometheus-7b-v2.0</t>
  </si>
  <si>
    <t xml:space="preserve">nvidia/parakeet-rnnt-0.6b</t>
  </si>
  <si>
    <t xml:space="preserve">https://huggingface.co/nvidia/parakeet-rnnt-0.6b</t>
  </si>
  <si>
    <t xml:space="preserve">fixie-ai/turntaking-pretraining-it-multilingual-3c</t>
  </si>
  <si>
    <t xml:space="preserve">fixie-ai</t>
  </si>
  <si>
    <t xml:space="preserve">https://huggingface.co/fixie-ai/turntaking-pretraining-it-multilingual-3c</t>
  </si>
  <si>
    <t xml:space="preserve">unsloth/gpt-oss-120b-BF16</t>
  </si>
  <si>
    <t xml:space="preserve">https://huggingface.co/unsloth/gpt-oss-120b-BF16</t>
  </si>
  <si>
    <t xml:space="preserve">shahrukhx01/question-vs-statement-classifier</t>
  </si>
  <si>
    <t xml:space="preserve">shahrukhx01</t>
  </si>
  <si>
    <t xml:space="preserve">https://huggingface.co/shahrukhx01/question-vs-statement-classifier</t>
  </si>
  <si>
    <t xml:space="preserve">JetBrains/Mellum2.1-12B-A2.5B-Thinking-GGUF</t>
  </si>
  <si>
    <t xml:space="preserve">JetBrains/Mellum2.1-12B-A2.5B-Thinking</t>
  </si>
  <si>
    <t xml:space="preserve">https://huggingface.co/JetBrains/Mellum2.1-12B-A2.5B-Thinking-GGUF</t>
  </si>
  <si>
    <t xml:space="preserve">LargitData/gemma-4-26b-a4b-it-fp8</t>
  </si>
  <si>
    <t xml:space="preserve">LargitData</t>
  </si>
  <si>
    <t xml:space="preserve">https://huggingface.co/LargitData/gemma-4-26b-a4b-it-fp8</t>
  </si>
  <si>
    <t xml:space="preserve">https://huggingface.co/google/vit-base-patch16-384</t>
  </si>
  <si>
    <t xml:space="preserve">cl-nagoya/ruri-v3-reranker-310m</t>
  </si>
  <si>
    <t xml:space="preserve">https://huggingface.co/cl-nagoya/ruri-v3-reranker-310m</t>
  </si>
  <si>
    <t xml:space="preserve">lmstudio-community/gemma-3-12b-it-GGUF</t>
  </si>
  <si>
    <t xml:space="preserve">https://huggingface.co/lmstudio-community/gemma-3-12b-it-GGUF</t>
  </si>
  <si>
    <t xml:space="preserve">McGill-NLP/LLM2Vec-Meta-Llama-3-8B-Instruct-mntp-supervised</t>
  </si>
  <si>
    <t xml:space="preserve">McGill-NLP</t>
  </si>
  <si>
    <t xml:space="preserve">https://huggingface.co/McGill-NLP/LLM2Vec-Meta-Llama-3-8B-Instruct-mntp-supervised</t>
  </si>
  <si>
    <t xml:space="preserve">timm/convnext_pico.d1_in1k</t>
  </si>
  <si>
    <t xml:space="preserve">https://huggingface.co/timm/convnext_pico.d1_in1k</t>
  </si>
  <si>
    <t xml:space="preserve">timm/ghostnet_100.in1k</t>
  </si>
  <si>
    <t xml:space="preserve">https://huggingface.co/timm/ghostnet_100.in1k</t>
  </si>
  <si>
    <t xml:space="preserve">KBlueLeaf/TIPO-500M-ft</t>
  </si>
  <si>
    <t xml:space="preserve">KBlueLeaf</t>
  </si>
  <si>
    <t xml:space="preserve">https://huggingface.co/KBlueLeaf/TIPO-500M-ft</t>
  </si>
  <si>
    <t xml:space="preserve">owkin/phikon</t>
  </si>
  <si>
    <t xml:space="preserve">owkin</t>
  </si>
  <si>
    <t xml:space="preserve">https://huggingface.co/owkin/phikon</t>
  </si>
  <si>
    <t xml:space="preserve">openai/whisper-base.en</t>
  </si>
  <si>
    <t xml:space="preserve">https://huggingface.co/openai/whisper-base.en</t>
  </si>
  <si>
    <t xml:space="preserve">AutonLab/MOMENT-1-base</t>
  </si>
  <si>
    <t xml:space="preserve">https://huggingface.co/AutonLab/MOMENT-1-base</t>
  </si>
  <si>
    <t xml:space="preserve">timm/vit_small_patch16_224.dino</t>
  </si>
  <si>
    <t xml:space="preserve">https://huggingface.co/timm/vit_small_patch16_224.dino</t>
  </si>
  <si>
    <t xml:space="preserve">axolotl-ai-co/tiny-mixtral-30m</t>
  </si>
  <si>
    <t xml:space="preserve">axolotl-ai-co</t>
  </si>
  <si>
    <t xml:space="preserve">https://huggingface.co/axolotl-ai-co/tiny-mixtral-30m</t>
  </si>
  <si>
    <t xml:space="preserve">timm/wide_resnet101_2.tv_in1k</t>
  </si>
  <si>
    <t xml:space="preserve">https://huggingface.co/timm/wide_resnet101_2.tv_in1k</t>
  </si>
  <si>
    <t xml:space="preserve">cl-nagoya/ruri-v3-30m</t>
  </si>
  <si>
    <t xml:space="preserve">cl-nagoya/ruri-v3-pt-30m</t>
  </si>
  <si>
    <t xml:space="preserve">https://huggingface.co/cl-nagoya/ruri-v3-30m</t>
  </si>
  <si>
    <t xml:space="preserve">timm/tf_efficientnetv2_m.in21k_ft_in1k</t>
  </si>
  <si>
    <t xml:space="preserve">https://huggingface.co/timm/tf_efficientnetv2_m.in21k_ft_in1k</t>
  </si>
  <si>
    <t xml:space="preserve">Vamsi/T5_Paraphrase_Paws</t>
  </si>
  <si>
    <t xml:space="preserve">Vamsi</t>
  </si>
  <si>
    <t xml:space="preserve">https://huggingface.co/Vamsi/T5_Paraphrase_Paws</t>
  </si>
  <si>
    <t xml:space="preserve">mistralai/Voxtral-Small-24B-2507</t>
  </si>
  <si>
    <t xml:space="preserve">https://huggingface.co/mistralai/Voxtral-Small-24B-2507</t>
  </si>
  <si>
    <t xml:space="preserve">openai/clip-vit-large-patch14</t>
  </si>
  <si>
    <t xml:space="preserve">https://huggingface.co/openai/clip-vit-large-patch14</t>
  </si>
  <si>
    <t xml:space="preserve">timm/swin_small_patch4_window7_224.ms_in22k_ft_in1k</t>
  </si>
  <si>
    <t xml:space="preserve">https://huggingface.co/timm/swin_small_patch4_window7_224.ms_in22k_ft_in1k</t>
  </si>
  <si>
    <t xml:space="preserve">michaelw9999/Qwopus3.6-27B-Coder-MTP-NVFP4-GGUF</t>
  </si>
  <si>
    <t xml:space="preserve">michaelw9999</t>
  </si>
  <si>
    <t xml:space="preserve">Jackrong/Qwopus3.6-27B-Coder-MTP-GGUF</t>
  </si>
  <si>
    <t xml:space="preserve">https://huggingface.co/michaelw9999/Qwopus3.6-27B-Coder-MTP-NVFP4-GGUF</t>
  </si>
  <si>
    <t xml:space="preserve">RedHatAI/Llama-3.3-70B-Instruct-FP8-dynamic</t>
  </si>
  <si>
    <t xml:space="preserve">https://huggingface.co/RedHatAI/Llama-3.3-70B-Instruct-FP8-dynamic</t>
  </si>
  <si>
    <t xml:space="preserve">meta-llama/Llama-3.1-405B</t>
  </si>
  <si>
    <t xml:space="preserve">https://huggingface.co/meta-llama/Llama-3.1-405B</t>
  </si>
  <si>
    <t xml:space="preserve">fabiochiu/t5-base-tag-generation</t>
  </si>
  <si>
    <t xml:space="preserve">fabiochiu</t>
  </si>
  <si>
    <t xml:space="preserve">https://huggingface.co/fabiochiu/t5-base-tag-generation</t>
  </si>
  <si>
    <t xml:space="preserve">Chunity/gemma-4-E4B-it-AWQ-4bit</t>
  </si>
  <si>
    <t xml:space="preserve">Chunity</t>
  </si>
  <si>
    <t xml:space="preserve">https://huggingface.co/Chunity/gemma-4-E4B-it-AWQ-4bit</t>
  </si>
  <si>
    <t xml:space="preserve">timm/resnest50d.in1k</t>
  </si>
  <si>
    <t xml:space="preserve">https://huggingface.co/timm/resnest50d.in1k</t>
  </si>
  <si>
    <t xml:space="preserve">timm/inception_v3.tv_in1k</t>
  </si>
  <si>
    <t xml:space="preserve">https://huggingface.co/timm/inception_v3.tv_in1k</t>
  </si>
  <si>
    <t xml:space="preserve">microsoft/trocr-base-printed</t>
  </si>
  <si>
    <t xml:space="preserve">https://huggingface.co/microsoft/trocr-base-printed</t>
  </si>
  <si>
    <t xml:space="preserve">unsloth/Nemotron-3-Nano-30B-A3B</t>
  </si>
  <si>
    <t xml:space="preserve">https://huggingface.co/unsloth/Nemotron-3-Nano-30B-A3B</t>
  </si>
  <si>
    <t xml:space="preserve">bartowski/gemma-2-27b-it-GGUF</t>
  </si>
  <si>
    <t xml:space="preserve">https://huggingface.co/bartowski/gemma-2-27b-it-GGUF</t>
  </si>
  <si>
    <t xml:space="preserve">rinna/japanese-gpt-neox-small</t>
  </si>
  <si>
    <t xml:space="preserve">rinna</t>
  </si>
  <si>
    <t xml:space="preserve">https://huggingface.co/rinna/japanese-gpt-neox-small</t>
  </si>
  <si>
    <t xml:space="preserve">hyper-accel/ci-2layer-llama2-7b</t>
  </si>
  <si>
    <t xml:space="preserve">hyper-accel</t>
  </si>
  <si>
    <t xml:space="preserve">https://huggingface.co/hyper-accel/ci-2layer-llama2-7b</t>
  </si>
  <si>
    <t xml:space="preserve">timm/convnext_small.fb_in22k</t>
  </si>
  <si>
    <t xml:space="preserve">https://huggingface.co/timm/convnext_small.fb_in22k</t>
  </si>
  <si>
    <t xml:space="preserve">unsloth/Nemotron-3-Nano-30B-A3B-GGUF</t>
  </si>
  <si>
    <t xml:space="preserve">https://huggingface.co/unsloth/Nemotron-3-Nano-30B-A3B-GGUF</t>
  </si>
  <si>
    <t xml:space="preserve">TheDrummer/Gemmasutra-Mini-2B-v1-GGUF</t>
  </si>
  <si>
    <t xml:space="preserve">TheDrummer</t>
  </si>
  <si>
    <t xml:space="preserve">https://huggingface.co/TheDrummer/Gemmasutra-Mini-2B-v1-GGUF</t>
  </si>
  <si>
    <t xml:space="preserve">timm/convnext_large_mlp.clip_laion2b_soup_ft_in12k_in1k_320</t>
  </si>
  <si>
    <t xml:space="preserve">https://huggingface.co/timm/convnext_large_mlp.clip_laion2b_soup_ft_in12k_in1k_320</t>
  </si>
  <si>
    <t xml:space="preserve">ggml-org/gemma-3-12b-it-GGUF</t>
  </si>
  <si>
    <t xml:space="preserve">https://huggingface.co/ggml-org/gemma-3-12b-it-GGUF</t>
  </si>
  <si>
    <t xml:space="preserve">Vikhrmodels/Vikhr-Llama3.1-8B-Instruct-R-21-09-24</t>
  </si>
  <si>
    <t xml:space="preserve">https://huggingface.co/Vikhrmodels/Vikhr-Llama3.1-8B-Instruct-R-21-09-24</t>
  </si>
  <si>
    <t xml:space="preserve">timm/resnext50_32x4d.a1h_in1k</t>
  </si>
  <si>
    <t xml:space="preserve">https://huggingface.co/timm/resnext50_32x4d.a1h_in1k</t>
  </si>
  <si>
    <t xml:space="preserve">timm/visformer_small.in1k</t>
  </si>
  <si>
    <t xml:space="preserve">https://huggingface.co/timm/visformer_small.in1k</t>
  </si>
  <si>
    <t xml:space="preserve">RedHatAI/Meta-Llama-3-8B-Instruct-FP8-KV</t>
  </si>
  <si>
    <t xml:space="preserve">https://huggingface.co/RedHatAI/Meta-Llama-3-8B-Instruct-FP8-KV</t>
  </si>
  <si>
    <t xml:space="preserve">mlx-community/parakeet-tdt-0.6b-v3</t>
  </si>
  <si>
    <t xml:space="preserve">https://huggingface.co/mlx-community/parakeet-tdt-0.6b-v3</t>
  </si>
  <si>
    <t xml:space="preserve">timm/tf_efficientnetv2_b0.in1k</t>
  </si>
  <si>
    <t xml:space="preserve">https://huggingface.co/timm/tf_efficientnetv2_b0.in1k</t>
  </si>
  <si>
    <t xml:space="preserve">meta-llama/Llama-4-Maverick-17B-128E-Instruct-FP8</t>
  </si>
  <si>
    <t xml:space="preserve">https://huggingface.co/meta-llama/Llama-4-Maverick-17B-128E-Instruct-FP8</t>
  </si>
  <si>
    <t xml:space="preserve">nm-testing/tinyllama-oneshot-w8w8-test-static-shape-change</t>
  </si>
  <si>
    <t xml:space="preserve">https://huggingface.co/nm-testing/tinyllama-oneshot-w8w8-test-static-shape-change</t>
  </si>
  <si>
    <t xml:space="preserve">timm/convnext_atto.d2_in1k</t>
  </si>
  <si>
    <t xml:space="preserve">https://huggingface.co/timm/convnext_atto.d2_in1k</t>
  </si>
  <si>
    <t xml:space="preserve">handy-computer/cohere-transcribe-03-2026-gguf</t>
  </si>
  <si>
    <t xml:space="preserve">CohereLabs/cohere-transcribe-03-2026</t>
  </si>
  <si>
    <t xml:space="preserve">https://huggingface.co/handy-computer/cohere-transcribe-03-2026-gguf</t>
  </si>
  <si>
    <t xml:space="preserve">bartowski/NVIDIA-Nemotron-3.5-Lightning-30B-A3B-GGUF</t>
  </si>
  <si>
    <t xml:space="preserve">https://huggingface.co/bartowski/NVIDIA-Nemotron-3.5-Lightning-30B-A3B-GGUF</t>
  </si>
  <si>
    <t xml:space="preserve">https://huggingface.co/meta-llama/Llama-3.1-70B</t>
  </si>
  <si>
    <t xml:space="preserve">TheBloke/phi-2-GGUF</t>
  </si>
  <si>
    <t xml:space="preserve">https://huggingface.co/TheBloke/phi-2-GGUF</t>
  </si>
  <si>
    <t xml:space="preserve">microsoft/mpnet-base</t>
  </si>
  <si>
    <t xml:space="preserve">https://huggingface.co/microsoft/mpnet-base</t>
  </si>
  <si>
    <t xml:space="preserve">abhishekchohan/gemma-4-E4B-it-W4A16</t>
  </si>
  <si>
    <t xml:space="preserve">https://huggingface.co/abhishekchohan/gemma-4-E4B-it-W4A16</t>
  </si>
  <si>
    <t xml:space="preserve">royokong/e5-v</t>
  </si>
  <si>
    <t xml:space="preserve">royokong</t>
  </si>
  <si>
    <t xml:space="preserve">https://huggingface.co/royokong/e5-v</t>
  </si>
  <si>
    <t xml:space="preserve">timm/vit_so400m_patch16_siglip_512.v2_webli</t>
  </si>
  <si>
    <t xml:space="preserve">https://huggingface.co/timm/vit_so400m_patch16_siglip_512.v2_webli</t>
  </si>
  <si>
    <t xml:space="preserve">timm/resnet50_clip.cc12m</t>
  </si>
  <si>
    <t xml:space="preserve">https://huggingface.co/timm/resnet50_clip.cc12m</t>
  </si>
  <si>
    <t xml:space="preserve">unsloth/gemma-2-2b-it</t>
  </si>
  <si>
    <t xml:space="preserve">https://huggingface.co/unsloth/gemma-2-2b-it</t>
  </si>
  <si>
    <t xml:space="preserve">microsoft/prophetnet-large-uncased</t>
  </si>
  <si>
    <r>
      <rPr>
        <sz val="11"/>
        <color rgb="FF000000"/>
        <rFont val="Noto Sans CJK SC"/>
        <family val="2"/>
      </rPr>
      <t xml:space="preserve">任務類型依框架設定推定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授權需確認</t>
    </r>
  </si>
  <si>
    <t xml:space="preserve">https://huggingface.co/microsoft/prophetnet-large-uncased</t>
  </si>
  <si>
    <t xml:space="preserve">bkai-foundation-models/vietnamese-bi-encoder</t>
  </si>
  <si>
    <t xml:space="preserve">bkai-foundation-models</t>
  </si>
  <si>
    <t xml:space="preserve">https://huggingface.co/bkai-foundation-models/vietnamese-bi-encoder</t>
  </si>
  <si>
    <t xml:space="preserve">codellama/CodeLlama-7b-Instruct-hf</t>
  </si>
  <si>
    <t xml:space="preserve">https://huggingface.co/codellama/CodeLlama-7b-Instruct-hf</t>
  </si>
  <si>
    <t xml:space="preserve">hermoine1234/fine_tuned_model_v3</t>
  </si>
  <si>
    <t xml:space="preserve">hermoine1234</t>
  </si>
  <si>
    <t xml:space="preserve">https://huggingface.co/hermoine1234/fine_tuned_model_v3</t>
  </si>
  <si>
    <t xml:space="preserve">stelterlab/NVIDIA-Nemotron-3-Nano-30B-A3B-AWQ</t>
  </si>
  <si>
    <t xml:space="preserve">https://huggingface.co/stelterlab/NVIDIA-Nemotron-3-Nano-30B-A3B-AWQ</t>
  </si>
  <si>
    <t xml:space="preserve">laion/CLIP-convnext_base_w-laion2B-s13B-b82K-augreg</t>
  </si>
  <si>
    <t xml:space="preserve">https://huggingface.co/laion/CLIP-convnext_base_w-laion2B-s13B-b82K-augreg</t>
  </si>
  <si>
    <t xml:space="preserve">Helsinki-NLP/opus-mt-tc-big-en-pt</t>
  </si>
  <si>
    <t xml:space="preserve">https://huggingface.co/Helsinki-NLP/opus-mt-tc-big-en-pt</t>
  </si>
  <si>
    <t xml:space="preserve">thinkingmachines/Inkling-NVFP4</t>
  </si>
  <si>
    <t xml:space="preserve">https://huggingface.co/thinkingmachines/Inkling-NVFP4</t>
  </si>
  <si>
    <t xml:space="preserve">KBlueLeaf/TIPO-500M</t>
  </si>
  <si>
    <t xml:space="preserve">https://huggingface.co/KBlueLeaf/TIPO-500M</t>
  </si>
  <si>
    <t xml:space="preserve">facebook/s2t-small-librispeech-asr</t>
  </si>
  <si>
    <t xml:space="preserve">https://huggingface.co/facebook/s2t-small-librispeech-asr</t>
  </si>
  <si>
    <t xml:space="preserve">microsoft/beit-base-patch16-224</t>
  </si>
  <si>
    <t xml:space="preserve">https://huggingface.co/microsoft/beit-base-patch16-224</t>
  </si>
  <si>
    <t xml:space="preserve">timm/mobilenetv3_small_050.lamb_in1k</t>
  </si>
  <si>
    <t xml:space="preserve">https://huggingface.co/timm/mobilenetv3_small_050.lamb_in1k</t>
  </si>
  <si>
    <t xml:space="preserve">KBlueLeaf/DanTagGen-delta-rev2</t>
  </si>
  <si>
    <t xml:space="preserve">https://huggingface.co/KBlueLeaf/DanTagGen-delta-rev2</t>
  </si>
  <si>
    <t xml:space="preserve">nvidia/Llama-3.3-70B-Instruct-FP8</t>
  </si>
  <si>
    <t xml:space="preserve">https://huggingface.co/nvidia/Llama-3.3-70B-Instruct-FP8</t>
  </si>
  <si>
    <t xml:space="preserve">timm/regnetx_002.pycls_in1k</t>
  </si>
  <si>
    <t xml:space="preserve">https://huggingface.co/timm/regnetx_002.pycls_in1k</t>
  </si>
  <si>
    <t xml:space="preserve">timm/regnety_002.pycls_in1k</t>
  </si>
  <si>
    <t xml:space="preserve">https://huggingface.co/timm/regnety_002.pycls_in1k</t>
  </si>
  <si>
    <t xml:space="preserve">hotchpotch/japanese-reranker-cross-encoder-small-v1</t>
  </si>
  <si>
    <t xml:space="preserve">hotchpotch</t>
  </si>
  <si>
    <t xml:space="preserve">https://huggingface.co/hotchpotch/japanese-reranker-cross-encoder-small-v1</t>
  </si>
  <si>
    <t xml:space="preserve">microsoft/swin-base-patch4-window7-224</t>
  </si>
  <si>
    <t xml:space="preserve">https://huggingface.co/microsoft/swin-base-patch4-window7-224</t>
  </si>
  <si>
    <t xml:space="preserve">timm/resnet10t.c3_in1k</t>
  </si>
  <si>
    <t xml:space="preserve">https://huggingface.co/timm/resnet10t.c3_in1k</t>
  </si>
  <si>
    <t xml:space="preserve">timm/pvt_v2_b2.in1k</t>
  </si>
  <si>
    <t xml:space="preserve">https://huggingface.co/timm/pvt_v2_b2.in1k</t>
  </si>
  <si>
    <t xml:space="preserve">timm/resnet50.tv_in1k</t>
  </si>
  <si>
    <t xml:space="preserve">https://huggingface.co/timm/resnet50.tv_in1k</t>
  </si>
  <si>
    <t xml:space="preserve">VlSav/Vikhr-Nemo-12B-Instruct-R-21-09-24-Q8_0-GGUF</t>
  </si>
  <si>
    <t xml:space="preserve">VlSav</t>
  </si>
  <si>
    <t xml:space="preserve">https://huggingface.co/VlSav/Vikhr-Nemo-12B-Instruct-R-21-09-24-Q8_0-GGUF</t>
  </si>
  <si>
    <t xml:space="preserve">QCRI/Fanar-2-27B-Instruct</t>
  </si>
  <si>
    <t xml:space="preserve">https://huggingface.co/QCRI/Fanar-2-27B-Instruct</t>
  </si>
  <si>
    <t xml:space="preserve">unsloth/Mistral-Medium-3.5-128B-GGUF</t>
  </si>
  <si>
    <t xml:space="preserve">https://huggingface.co/unsloth/Mistral-Medium-3.5-128B-GGUF</t>
  </si>
  <si>
    <t xml:space="preserve">TheBloke/Llama-2-7B-GGUF</t>
  </si>
  <si>
    <t xml:space="preserve">https://huggingface.co/TheBloke/Llama-2-7B-GGUF</t>
  </si>
  <si>
    <t xml:space="preserve">timm/convnext_large.fb_in22k_ft_in1k</t>
  </si>
  <si>
    <t xml:space="preserve">https://huggingface.co/timm/convnext_large.fb_in22k_ft_in1k</t>
  </si>
  <si>
    <t xml:space="preserve">timm/swinv2_base_window8_256.ms_in1k</t>
  </si>
  <si>
    <t xml:space="preserve">https://huggingface.co/timm/swinv2_base_window8_256.ms_in1k</t>
  </si>
  <si>
    <t xml:space="preserve">orbis-marianne/deberta-v3-seq-tag</t>
  </si>
  <si>
    <t xml:space="preserve">https://huggingface.co/orbis-marianne/deberta-v3-seq-tag</t>
  </si>
  <si>
    <t xml:space="preserve">facebook/dinov2-giant-imagenet1k-1-layer</t>
  </si>
  <si>
    <t xml:space="preserve">https://huggingface.co/facebook/dinov2-giant-imagenet1k-1-layer</t>
  </si>
  <si>
    <t xml:space="preserve">mattbucci/gemma-4-12B-AWQ</t>
  </si>
  <si>
    <t xml:space="preserve">mattbucci</t>
  </si>
  <si>
    <t xml:space="preserve">https://huggingface.co/mattbucci/gemma-4-12B-AWQ</t>
  </si>
  <si>
    <t xml:space="preserve">OrdalieTech/Solon-embeddings-large-0.1</t>
  </si>
  <si>
    <t xml:space="preserve">OrdalieTech</t>
  </si>
  <si>
    <t xml:space="preserve">https://huggingface.co/OrdalieTech/Solon-embeddings-large-0.1</t>
  </si>
  <si>
    <t xml:space="preserve">microsoft/rad-dino</t>
  </si>
  <si>
    <t xml:space="preserve">https://huggingface.co/microsoft/rad-dino</t>
  </si>
  <si>
    <t xml:space="preserve">meta-llama/Llama-3.1-405B-Instruct</t>
  </si>
  <si>
    <t xml:space="preserve">https://huggingface.co/meta-llama/Llama-3.1-405B-Instruct</t>
  </si>
  <si>
    <t xml:space="preserve">lmstudio-community/gpt-oss-120b-MLX-8bit</t>
  </si>
  <si>
    <t xml:space="preserve">https://huggingface.co/lmstudio-community/gpt-oss-120b-MLX-8bit</t>
  </si>
  <si>
    <t xml:space="preserve">timm/deit_base_distilled_patch16_224.fb_in1k</t>
  </si>
  <si>
    <t xml:space="preserve">https://huggingface.co/timm/deit_base_distilled_patch16_224.fb_in1k</t>
  </si>
  <si>
    <t xml:space="preserve">timm/mobilenetv4_conv_large.e600_r384_in1k</t>
  </si>
  <si>
    <t xml:space="preserve">https://huggingface.co/timm/mobilenetv4_conv_large.e600_r384_in1k</t>
  </si>
  <si>
    <t xml:space="preserve">mlx-community/parakeet-tdt_ctc-110m</t>
  </si>
  <si>
    <t xml:space="preserve">nvidia/parakeet-tdt_ctc-110m</t>
  </si>
  <si>
    <t xml:space="preserve">https://huggingface.co/mlx-community/parakeet-tdt_ctc-110m</t>
  </si>
  <si>
    <t xml:space="preserve">nvidia/canary-1b-flash</t>
  </si>
  <si>
    <t xml:space="preserve">https://huggingface.co/nvidia/canary-1b-flash</t>
  </si>
  <si>
    <t xml:space="preserve">LocalAI-Community/piper-voices-GGUF</t>
  </si>
  <si>
    <t xml:space="preserve">LocalAI-Community</t>
  </si>
  <si>
    <t xml:space="preserve">https://huggingface.co/LocalAI-Community/piper-voices-GGUF</t>
  </si>
  <si>
    <t xml:space="preserve">laion/CLIP-ViT-B-16-laion2B-s34B-b88K</t>
  </si>
  <si>
    <t xml:space="preserve">https://huggingface.co/laion/CLIP-ViT-B-16-laion2B-s34B-b88K</t>
  </si>
  <si>
    <t xml:space="preserve">hotchpotch/japanese-reranker-xsmall-v2</t>
  </si>
  <si>
    <t xml:space="preserve">https://huggingface.co/hotchpotch/japanese-reranker-xsmall-v2</t>
  </si>
  <si>
    <t xml:space="preserve">Infomaniak-AI/vllm-translategemma-12b-it</t>
  </si>
  <si>
    <t xml:space="preserve">https://huggingface.co/Infomaniak-AI/vllm-translategemma-12b-it</t>
  </si>
  <si>
    <t xml:space="preserve">K-intelligence/Midm-2.0-Base-Instruct</t>
  </si>
  <si>
    <t xml:space="preserve">https://huggingface.co/K-intelligence/Midm-2.0-Base-Instruct</t>
  </si>
  <si>
    <t xml:space="preserve">timm/tf_efficientnet_lite0.in1k</t>
  </si>
  <si>
    <t xml:space="preserve">https://huggingface.co/timm/tf_efficientnet_lite0.in1k</t>
  </si>
  <si>
    <t xml:space="preserve">timm/vit_base_patch16_224.augreg_in1k</t>
  </si>
  <si>
    <t xml:space="preserve">https://huggingface.co/timm/vit_base_patch16_224.augreg_in1k</t>
  </si>
  <si>
    <t xml:space="preserve">MaziyarPanahi/Mixtral-8x22B-v0.1-GGUF</t>
  </si>
  <si>
    <t xml:space="preserve">v2ray/Mixtral-8x22B-v0.1</t>
  </si>
  <si>
    <t xml:space="preserve">https://huggingface.co/MaziyarPanahi/Mixtral-8x22B-v0.1-GGUF</t>
  </si>
  <si>
    <t xml:space="preserve">timm/densenet121.tv_in1k</t>
  </si>
  <si>
    <t xml:space="preserve">https://huggingface.co/timm/densenet121.tv_in1k</t>
  </si>
  <si>
    <t xml:space="preserve">timm/resnet18d.ra2_in1k</t>
  </si>
  <si>
    <t xml:space="preserve">https://huggingface.co/timm/resnet18d.ra2_in1k</t>
  </si>
  <si>
    <t xml:space="preserve">LGAI-EXAONE/EXAONE-4.5-33B-AWQ</t>
  </si>
  <si>
    <t xml:space="preserve">https://huggingface.co/LGAI-EXAONE/EXAONE-4.5-33B-AWQ</t>
  </si>
  <si>
    <t xml:space="preserve">unsloth/gemma-3-27b-it</t>
  </si>
  <si>
    <t xml:space="preserve">https://huggingface.co/unsloth/gemma-3-27b-it</t>
  </si>
  <si>
    <t xml:space="preserve">timm/resnet101.a1h_in1k</t>
  </si>
  <si>
    <t xml:space="preserve">https://huggingface.co/timm/resnet101.a1h_in1k</t>
  </si>
  <si>
    <t xml:space="preserve">CohereLabs/cohere-transcribe-arabic-07-2026</t>
  </si>
  <si>
    <t xml:space="preserve">https://huggingface.co/CohereLabs/cohere-transcribe-arabic-07-2026</t>
  </si>
  <si>
    <t xml:space="preserve">modularai/SmolLM-135M-Instruct-FP32</t>
  </si>
  <si>
    <t xml:space="preserve">modularai</t>
  </si>
  <si>
    <t xml:space="preserve">https://huggingface.co/modularai/SmolLM-135M-Instruct-FP32</t>
  </si>
  <si>
    <t xml:space="preserve">timm/vit_large_patch16_224.augreg_in21k_ft_in1k</t>
  </si>
  <si>
    <t xml:space="preserve">https://huggingface.co/timm/vit_large_patch16_224.augreg_in21k_ft_in1k</t>
  </si>
  <si>
    <t xml:space="preserve">danielheinz/e5-base-sts-en-de</t>
  </si>
  <si>
    <t xml:space="preserve">danielheinz</t>
  </si>
  <si>
    <t xml:space="preserve">https://huggingface.co/danielheinz/e5-base-sts-en-de</t>
  </si>
  <si>
    <t xml:space="preserve">nvidia/Cosmos3-Edge</t>
  </si>
  <si>
    <t xml:space="preserve">https://huggingface.co/nvidia/Cosmos3-Edge</t>
  </si>
  <si>
    <t xml:space="preserve">timm/convnext_tiny.fb_in1k</t>
  </si>
  <si>
    <t xml:space="preserve">https://huggingface.co/timm/convnext_tiny.fb_in1k</t>
  </si>
  <si>
    <t xml:space="preserve">mudler/ced-gguf</t>
  </si>
  <si>
    <t xml:space="preserve">mispeech/ced-base</t>
  </si>
  <si>
    <t xml:space="preserve">https://huggingface.co/mudler/ced-gguf</t>
  </si>
  <si>
    <t xml:space="preserve">ISTA-DASLab/Mistral-Small-3.1-24B-Instruct-2503-GPTQ-4b-128g</t>
  </si>
  <si>
    <t xml:space="preserve">https://huggingface.co/ISTA-DASLab/Mistral-Small-3.1-24B-Instruct-2503-GPTQ-4b-128g</t>
  </si>
  <si>
    <t xml:space="preserve">handy-computer/Voxtral-Mini-4B-Realtime-2602-gguf</t>
  </si>
  <si>
    <t xml:space="preserve">https://huggingface.co/handy-computer/Voxtral-Mini-4B-Realtime-2602-gguf</t>
  </si>
  <si>
    <t xml:space="preserve">mistralai/Voxtral-Mini-3B-2507</t>
  </si>
  <si>
    <t xml:space="preserve">https://huggingface.co/mistralai/Voxtral-Mini-3B-2507</t>
  </si>
  <si>
    <t xml:space="preserve">albert/albert-base-v2</t>
  </si>
  <si>
    <t xml:space="preserve">albert</t>
  </si>
  <si>
    <t xml:space="preserve">https://huggingface.co/albert/albert-base-v2</t>
  </si>
  <si>
    <t xml:space="preserve">prithivida/Splade_PP_en_v2</t>
  </si>
  <si>
    <t xml:space="preserve">prithivida</t>
  </si>
  <si>
    <t xml:space="preserve">pytorch;onnx</t>
  </si>
  <si>
    <t xml:space="preserve">https://huggingface.co/prithivida/Splade_PP_en_v2</t>
  </si>
  <si>
    <t xml:space="preserve">RedHatAI/Meta-Llama-3.1-70B-Instruct-FP8</t>
  </si>
  <si>
    <t xml:space="preserve">https://huggingface.co/RedHatAI/Meta-Llama-3.1-70B-Instruct-FP8</t>
  </si>
  <si>
    <t xml:space="preserve">leon-se/gemma-4-E4B-it-FP8-Dynamic</t>
  </si>
  <si>
    <t xml:space="preserve">leon-se</t>
  </si>
  <si>
    <t xml:space="preserve">https://huggingface.co/leon-se/gemma-4-E4B-it-FP8-Dynamic</t>
  </si>
  <si>
    <t xml:space="preserve">skt/A.X-K2-NVFP4</t>
  </si>
  <si>
    <t xml:space="preserve">skt</t>
  </si>
  <si>
    <t xml:space="preserve">skt/A.X-K2</t>
  </si>
  <si>
    <t xml:space="preserve">https://huggingface.co/skt/A.X-K2-NVFP4</t>
  </si>
  <si>
    <t xml:space="preserve">timm/beit_base_patch16_224.in22k_ft_in22k_in1k</t>
  </si>
  <si>
    <t xml:space="preserve">https://huggingface.co/timm/beit_base_patch16_224.in22k_ft_in22k_in1k</t>
  </si>
  <si>
    <t xml:space="preserve">timm/efficientnet_b1.ra4_e3600_r240_in1k</t>
  </si>
  <si>
    <t xml:space="preserve">https://huggingface.co/timm/efficientnet_b1.ra4_e3600_r240_in1k</t>
  </si>
  <si>
    <t xml:space="preserve">TIGER-Lab/Mantis-8B-siglip-llama3</t>
  </si>
  <si>
    <t xml:space="preserve">TIGER-Lab</t>
  </si>
  <si>
    <t xml:space="preserve">TIGER-Lab/Mantis-8B-siglip-llama3-pretraind</t>
  </si>
  <si>
    <t xml:space="preserve">https://huggingface.co/TIGER-Lab/Mantis-8B-siglip-llama3</t>
  </si>
  <si>
    <t xml:space="preserve">google/medasr</t>
  </si>
  <si>
    <t xml:space="preserve">https://huggingface.co/google/medasr</t>
  </si>
  <si>
    <t xml:space="preserve">poolside/Laguna-S-2.1-DFlash-NVFP4</t>
  </si>
  <si>
    <t xml:space="preserve">poolside/Laguna-S-2.1-NVFP4</t>
  </si>
  <si>
    <t xml:space="preserve">https://huggingface.co/poolside/Laguna-S-2.1-DFlash-NVFP4</t>
  </si>
  <si>
    <t xml:space="preserve">bigscience/T0pp</t>
  </si>
  <si>
    <t xml:space="preserve">https://huggingface.co/bigscience/T0pp</t>
  </si>
  <si>
    <t xml:space="preserve">google/siglip-so400m-patch14-224</t>
  </si>
  <si>
    <t xml:space="preserve">https://huggingface.co/google/siglip-so400m-patch14-224</t>
  </si>
  <si>
    <t xml:space="preserve">bartowski/TheDrummer_Cydonia-24B-v4.3-GGUF</t>
  </si>
  <si>
    <t xml:space="preserve">TheDrummer/Cydonia-24B-v4.3</t>
  </si>
  <si>
    <t xml:space="preserve">https://huggingface.co/bartowski/TheDrummer_Cydonia-24B-v4.3-GGUF</t>
  </si>
  <si>
    <t xml:space="preserve">openai/whisper-large</t>
  </si>
  <si>
    <t xml:space="preserve">https://huggingface.co/openai/whisper-large</t>
  </si>
  <si>
    <t xml:space="preserve">facebook/dinov3-vits16plus-pretrain-lvd1689m</t>
  </si>
  <si>
    <t xml:space="preserve">https://huggingface.co/facebook/dinov3-vits16plus-pretrain-lvd1689m</t>
  </si>
  <si>
    <t xml:space="preserve">timm/vit_base_patch16_224.orig_in21k</t>
  </si>
  <si>
    <t xml:space="preserve">https://huggingface.co/timm/vit_base_patch16_224.orig_in21k</t>
  </si>
  <si>
    <t xml:space="preserve">hugging-quants/Llama-3.2-1B-Instruct-Q8_0-GGUF</t>
  </si>
  <si>
    <t xml:space="preserve">https://huggingface.co/hugging-quants/Llama-3.2-1B-Instruct-Q8_0-GGUF</t>
  </si>
  <si>
    <t xml:space="preserve">laion/CLIP-convnext_large_d_320.laion2B-s29B-b131K-ft-soup</t>
  </si>
  <si>
    <t xml:space="preserve">https://huggingface.co/laion/CLIP-convnext_large_d_320.laion2B-s29B-b131K-ft-soup</t>
  </si>
  <si>
    <t xml:space="preserve">timm/repvgg_a2.rvgg_in1k</t>
  </si>
  <si>
    <t xml:space="preserve">https://huggingface.co/timm/repvgg_a2.rvgg_in1k</t>
  </si>
  <si>
    <t xml:space="preserve">handy-computer/whisper-large-v3-gguf</t>
  </si>
  <si>
    <t xml:space="preserve">https://huggingface.co/handy-computer/whisper-large-v3-gguf</t>
  </si>
  <si>
    <t xml:space="preserve">microsoft/swin-tiny-patch4-window7-224</t>
  </si>
  <si>
    <t xml:space="preserve">https://huggingface.co/microsoft/swin-tiny-patch4-window7-224</t>
  </si>
  <si>
    <t xml:space="preserve">timm/tf_efficientnetv2_xl.in21k</t>
  </si>
  <si>
    <t xml:space="preserve">https://huggingface.co/timm/tf_efficientnetv2_xl.in21k</t>
  </si>
  <si>
    <t xml:space="preserve">MoritzLaurer/mDeBERTa-v3-base-mnli-xnli</t>
  </si>
  <si>
    <t xml:space="preserve">https://huggingface.co/MoritzLaurer/mDeBERTa-v3-base-mnli-xnli</t>
  </si>
  <si>
    <t xml:space="preserve">google/siglip-base-patch16-256-multilingual</t>
  </si>
  <si>
    <t xml:space="preserve">https://huggingface.co/google/siglip-base-patch16-256-multilingual</t>
  </si>
  <si>
    <t xml:space="preserve">timm/ViT-B-16-SigLIP2-256</t>
  </si>
  <si>
    <t xml:space="preserve">https://huggingface.co/timm/ViT-B-16-SigLIP2-256</t>
  </si>
  <si>
    <t xml:space="preserve">microsoft/git-base</t>
  </si>
  <si>
    <t xml:space="preserve">https://huggingface.co/microsoft/git-base</t>
  </si>
  <si>
    <t xml:space="preserve">shafire/Zero-Gemma4-E4B-OpenZero-GGUF</t>
  </si>
  <si>
    <t xml:space="preserve">shafire</t>
  </si>
  <si>
    <t xml:space="preserve">https://huggingface.co/shafire/Zero-Gemma4-E4B-OpenZero-GGUF</t>
  </si>
  <si>
    <t xml:space="preserve">prithivida/Splade_PP_en_v1</t>
  </si>
  <si>
    <t xml:space="preserve">https://huggingface.co/prithivida/Splade_PP_en_v1</t>
  </si>
  <si>
    <t xml:space="preserve">timm/vit_base_patch16_plus_clip_240.laion400m_e31</t>
  </si>
  <si>
    <t xml:space="preserve">https://huggingface.co/timm/vit_base_patch16_plus_clip_240.laion400m_e31</t>
  </si>
  <si>
    <t xml:space="preserve">timm/dm_nfnet_f0.dm_in1k</t>
  </si>
  <si>
    <t xml:space="preserve">https://huggingface.co/timm/dm_nfnet_f0.dm_in1k</t>
  </si>
  <si>
    <t xml:space="preserve">sdadas/mmlw-roberta-large</t>
  </si>
  <si>
    <t xml:space="preserve">https://huggingface.co/sdadas/mmlw-roberta-large</t>
  </si>
  <si>
    <t xml:space="preserve">syssec-utd/py311-pylingual-v1-segmenter</t>
  </si>
  <si>
    <t xml:space="preserve">syssec-utd</t>
  </si>
  <si>
    <t xml:space="preserve">syssec-utd/py311-pylingual-v1-mlm</t>
  </si>
  <si>
    <t xml:space="preserve">https://huggingface.co/syssec-utd/py311-pylingual-v1-segmenter</t>
  </si>
  <si>
    <t xml:space="preserve">timm/efficientnetv2_rw_s.ra2_in1k</t>
  </si>
  <si>
    <t xml:space="preserve">https://huggingface.co/timm/efficientnetv2_rw_s.ra2_in1k</t>
  </si>
  <si>
    <t xml:space="preserve">DevQuasar/amd.Instella-MoE-16B-A3B-Think-GGUF</t>
  </si>
  <si>
    <t xml:space="preserve">DevQuasar</t>
  </si>
  <si>
    <t xml:space="preserve">amd/Instella-MoE-16B-A3B-Think</t>
  </si>
  <si>
    <t xml:space="preserve">https://huggingface.co/DevQuasar/amd.Instella-MoE-16B-A3B-Think-GGUF</t>
  </si>
  <si>
    <t xml:space="preserve">MaziyarPanahi/Llama-3.3-70B-Instruct-GGUF</t>
  </si>
  <si>
    <t xml:space="preserve">https://huggingface.co/MaziyarPanahi/Llama-3.3-70B-Instruct-GGUF</t>
  </si>
  <si>
    <t xml:space="preserve">timm/convnext_base.fb_in22k</t>
  </si>
  <si>
    <t xml:space="preserve">https://huggingface.co/timm/convnext_base.fb_in22k</t>
  </si>
  <si>
    <t xml:space="preserve">timm/resnet34.tv_in1k</t>
  </si>
  <si>
    <t xml:space="preserve">https://huggingface.co/timm/resnet34.tv_in1k</t>
  </si>
  <si>
    <t xml:space="preserve">bespin-global/klue-sroberta-base-continue-learning-by-mnr</t>
  </si>
  <si>
    <t xml:space="preserve">bespin-global</t>
  </si>
  <si>
    <t xml:space="preserve">https://huggingface.co/bespin-global/klue-sroberta-base-continue-learning-by-mnr</t>
  </si>
  <si>
    <t xml:space="preserve">DeverDever/index-cp0-v0</t>
  </si>
  <si>
    <t xml:space="preserve">DeverDever</t>
  </si>
  <si>
    <t xml:space="preserve">https://huggingface.co/DeverDever/index-cp0-v0</t>
  </si>
  <si>
    <t xml:space="preserve">timm/mobilenetv3_large_100.miil_in21k_ft_in1k</t>
  </si>
  <si>
    <t xml:space="preserve">https://huggingface.co/timm/mobilenetv3_large_100.miil_in21k_ft_in1k</t>
  </si>
  <si>
    <t xml:space="preserve">timm/inception_v3.tf_adv_in1k</t>
  </si>
  <si>
    <t xml:space="preserve">https://huggingface.co/timm/inception_v3.tf_adv_in1k</t>
  </si>
  <si>
    <t xml:space="preserve">liuhaotian/llava-v1.6-34b</t>
  </si>
  <si>
    <t xml:space="preserve">https://huggingface.co/liuhaotian/llava-v1.6-34b</t>
  </si>
  <si>
    <t xml:space="preserve">dima806/man_woman_face_image_detection</t>
  </si>
  <si>
    <t xml:space="preserve">https://huggingface.co/dima806/man_woman_face_image_detection</t>
  </si>
  <si>
    <t xml:space="preserve">timm/caformer_s36.sail_in22k_ft_in1k_384</t>
  </si>
  <si>
    <t xml:space="preserve">https://huggingface.co/timm/caformer_s36.sail_in22k_ft_in1k_384</t>
  </si>
  <si>
    <t xml:space="preserve">facebook/dinov3-vith16plus-pretrain-lvd1689m</t>
  </si>
  <si>
    <t xml:space="preserve">https://huggingface.co/facebook/dinov3-vith16plus-pretrain-lvd1689m</t>
  </si>
  <si>
    <t xml:space="preserve">Comfy-Org/sigclip_vision_384</t>
  </si>
  <si>
    <t xml:space="preserve">https://huggingface.co/Comfy-Org/sigclip_vision_384</t>
  </si>
  <si>
    <t xml:space="preserve">timm/efficientnet_b5.sw_in12k_ft_in1k</t>
  </si>
  <si>
    <t xml:space="preserve">https://huggingface.co/timm/efficientnet_b5.sw_in12k_ft_in1k</t>
  </si>
  <si>
    <t xml:space="preserve">timm/densenet161.tv_in1k</t>
  </si>
  <si>
    <t xml:space="preserve">https://huggingface.co/timm/densenet161.tv_in1k</t>
  </si>
  <si>
    <t xml:space="preserve">abdur197/fine-tuned-column-mapper</t>
  </si>
  <si>
    <t xml:space="preserve">abdur197</t>
  </si>
  <si>
    <t xml:space="preserve">https://huggingface.co/abdur197/fine-tuned-column-mapper</t>
  </si>
  <si>
    <t xml:space="preserve">facebook/sam-vit-base</t>
  </si>
  <si>
    <t xml:space="preserve">https://huggingface.co/facebook/sam-vit-base</t>
  </si>
  <si>
    <t xml:space="preserve">microsoft/trocr-large-printed</t>
  </si>
  <si>
    <t xml:space="preserve">https://huggingface.co/microsoft/trocr-large-printed</t>
  </si>
  <si>
    <t xml:space="preserve">unsloth/gemma-3-27b-it-GGUF</t>
  </si>
  <si>
    <t xml:space="preserve">https://huggingface.co/unsloth/gemma-3-27b-it-GGUF</t>
  </si>
  <si>
    <t xml:space="preserve">meta-llama/Llama-2-70b-chat-hf</t>
  </si>
  <si>
    <t xml:space="preserve">https://huggingface.co/meta-llama/Llama-2-70b-chat-hf</t>
  </si>
  <si>
    <t xml:space="preserve">microsoft/xclip-base-patch32</t>
  </si>
  <si>
    <t xml:space="preserve">https://huggingface.co/microsoft/xclip-base-patch32</t>
  </si>
  <si>
    <t xml:space="preserve">handy-computer/nemotron-3.5-asr-streaming-0.6b-gguf</t>
  </si>
  <si>
    <t xml:space="preserve">https://huggingface.co/handy-computer/nemotron-3.5-asr-streaming-0.6b-gguf</t>
  </si>
  <si>
    <t xml:space="preserve">timm/vit_base_patch16_dinov3_qkvb.lvd1689m</t>
  </si>
  <si>
    <t xml:space="preserve">https://huggingface.co/timm/vit_base_patch16_dinov3_qkvb.lvd1689m</t>
  </si>
  <si>
    <t xml:space="preserve">timm/convnext_tiny.dinov3_lvd1689m</t>
  </si>
  <si>
    <t xml:space="preserve">https://huggingface.co/timm/convnext_tiny.dinov3_lvd1689m</t>
  </si>
  <si>
    <t xml:space="preserve">openai/whisper-small.en</t>
  </si>
  <si>
    <t xml:space="preserve">https://huggingface.co/openai/whisper-small.en</t>
  </si>
  <si>
    <t xml:space="preserve">pszemraj/long-t5-tglobal-base-sci-simplify</t>
  </si>
  <si>
    <t xml:space="preserve">pszemraj</t>
  </si>
  <si>
    <t xml:space="preserve">google/long-t5-tglobal-base</t>
  </si>
  <si>
    <t xml:space="preserve">https://huggingface.co/pszemraj/long-t5-tglobal-base-sci-simplify</t>
  </si>
  <si>
    <t xml:space="preserve">facebook/wav2vec2-large-robust-ft-libri-960h</t>
  </si>
  <si>
    <t xml:space="preserve">https://huggingface.co/facebook/wav2vec2-large-robust-ft-libri-960h</t>
  </si>
  <si>
    <t xml:space="preserve">Lightricks/gemma-3-12b-it-qat-q4_0-unquantized</t>
  </si>
  <si>
    <t xml:space="preserve">Lightricks</t>
  </si>
  <si>
    <t xml:space="preserve">https://huggingface.co/Lightricks/gemma-3-12b-it-qat-q4_0-unquantized</t>
  </si>
  <si>
    <t xml:space="preserve">syssec-utd/py311-pylingual-v1-statement</t>
  </si>
  <si>
    <t xml:space="preserve">Salesforce/codet5-base</t>
  </si>
  <si>
    <t xml:space="preserve">https://huggingface.co/syssec-utd/py311-pylingual-v1-statement</t>
  </si>
  <si>
    <t xml:space="preserve">skt/kobert-base-v1</t>
  </si>
  <si>
    <t xml:space="preserve">https://huggingface.co/skt/kobert-base-v1</t>
  </si>
  <si>
    <t xml:space="preserve">alvanlii/whisper-small-cantonese</t>
  </si>
  <si>
    <t xml:space="preserve">alvanlii</t>
  </si>
  <si>
    <t xml:space="preserve">https://huggingface.co/alvanlii/whisper-small-cantonese</t>
  </si>
  <si>
    <t xml:space="preserve">Jean-Baptiste/camembert-ner</t>
  </si>
  <si>
    <t xml:space="preserve">https://huggingface.co/Jean-Baptiste/camembert-ner</t>
  </si>
  <si>
    <t xml:space="preserve">Salesforce/blip2-itm-vit-g</t>
  </si>
  <si>
    <t xml:space="preserve">https://huggingface.co/Salesforce/blip2-itm-vit-g</t>
  </si>
  <si>
    <t xml:space="preserve">mlsa-iai-msu-lab/sci-rus-tiny3</t>
  </si>
  <si>
    <t xml:space="preserve">mlsa-iai-msu-lab</t>
  </si>
  <si>
    <t xml:space="preserve">https://huggingface.co/mlsa-iai-msu-lab/sci-rus-tiny3</t>
  </si>
  <si>
    <t xml:space="preserve">facebook/sam-vit-huge</t>
  </si>
  <si>
    <t xml:space="preserve">https://huggingface.co/facebook/sam-vit-huge</t>
  </si>
  <si>
    <t xml:space="preserve">TechxGenus/gemma-1.1-2b-it-GPTQ</t>
  </si>
  <si>
    <t xml:space="preserve">TechxGenus</t>
  </si>
  <si>
    <t xml:space="preserve">https://huggingface.co/TechxGenus/gemma-1.1-2b-it-GPTQ</t>
  </si>
  <si>
    <t xml:space="preserve">nvidia/Llama-3.1-Nemotron-70B-Instruct-HF</t>
  </si>
  <si>
    <t xml:space="preserve">https://huggingface.co/nvidia/Llama-3.1-Nemotron-70B-Instruct-HF</t>
  </si>
  <si>
    <t xml:space="preserve">timm/ViT-SO400M-14-SigLIP-384</t>
  </si>
  <si>
    <t xml:space="preserve">https://huggingface.co/timm/ViT-SO400M-14-SigLIP-384</t>
  </si>
  <si>
    <t xml:space="preserve">KBLab/sentence-bert-swedish-cased</t>
  </si>
  <si>
    <t xml:space="preserve">KBLab</t>
  </si>
  <si>
    <t xml:space="preserve">https://huggingface.co/KBLab/sentence-bert-swedish-cased</t>
  </si>
  <si>
    <t xml:space="preserve">docling-project/docling-layout-heron-onnx</t>
  </si>
  <si>
    <r>
      <rPr>
        <sz val="11"/>
        <color rgb="FF000000"/>
        <rFont val="Noto Sans CJK SC"/>
        <family val="2"/>
      </rPr>
      <t xml:space="preserve">任務類型依名稱推定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量化版本</t>
    </r>
  </si>
  <si>
    <t xml:space="preserve">https://huggingface.co/docling-project/docling-layout-heron-onnx</t>
  </si>
  <si>
    <t xml:space="preserve">Myric/Laguna-S-2.1-APEX-GGUF</t>
  </si>
  <si>
    <t xml:space="preserve">Myric</t>
  </si>
  <si>
    <t xml:space="preserve">https://huggingface.co/Myric/Laguna-S-2.1-APEX-GGUF</t>
  </si>
  <si>
    <t xml:space="preserve">YarvixPA/FLUX.1-Fill-dev-GGUF</t>
  </si>
  <si>
    <t xml:space="preserve">YarvixPA</t>
  </si>
  <si>
    <t xml:space="preserve">black-forest-labs/FLUX.1-Fill-dev</t>
  </si>
  <si>
    <r>
      <rPr>
        <sz val="11"/>
        <color rgb="FF000000"/>
        <rFont val="Noto Sans CJK SC"/>
        <family val="2"/>
      </rPr>
      <t xml:space="preserve">任務類型依框架推定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量化版本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授權需確認</t>
    </r>
  </si>
  <si>
    <t xml:space="preserve">https://huggingface.co/YarvixPA/FLUX.1-Fill-dev-GGUF</t>
  </si>
  <si>
    <t xml:space="preserve">facebook/mbart-large-50-many-to-many-mmt</t>
  </si>
  <si>
    <t xml:space="preserve">https://huggingface.co/facebook/mbart-large-50-many-to-many-mmt</t>
  </si>
  <si>
    <t xml:space="preserve">lmstudio-community/gpt-oss-120b-GGUF</t>
  </si>
  <si>
    <t xml:space="preserve">https://huggingface.co/lmstudio-community/gpt-oss-120b-GGUF</t>
  </si>
  <si>
    <t xml:space="preserve">timm/vit_base_patch16_clip_224.openai</t>
  </si>
  <si>
    <t xml:space="preserve">https://huggingface.co/timm/vit_base_patch16_clip_224.openai</t>
  </si>
  <si>
    <t xml:space="preserve">sbintuitions/sarashina-embedding-v1-1b</t>
  </si>
  <si>
    <t xml:space="preserve">sbintuitions</t>
  </si>
  <si>
    <t xml:space="preserve">https://huggingface.co/sbintuitions/sarashina-embedding-v1-1b</t>
  </si>
  <si>
    <t xml:space="preserve">saattrupdan/nbailab-base-ner-scandi</t>
  </si>
  <si>
    <t xml:space="preserve">saattrupdan</t>
  </si>
  <si>
    <t xml:space="preserve">https://huggingface.co/saattrupdan/nbailab-base-ner-scandi</t>
  </si>
  <si>
    <t xml:space="preserve">cyankiwi/Devstral-2-123B-Instruct-2512-AWQ-4bit</t>
  </si>
  <si>
    <t xml:space="preserve">https://huggingface.co/cyankiwi/Devstral-2-123B-Instruct-2512-AWQ-4bit</t>
  </si>
  <si>
    <t xml:space="preserve">antoinelouis/crossencoder-camembert-base-mmarcoFR</t>
  </si>
  <si>
    <t xml:space="preserve">antoinelouis</t>
  </si>
  <si>
    <t xml:space="preserve">almanach/camembert-base</t>
  </si>
  <si>
    <t xml:space="preserve">https://huggingface.co/antoinelouis/crossencoder-camembert-base-mmarcoFR</t>
  </si>
  <si>
    <t xml:space="preserve">TheBloke/MythoMax-L2-13B-GGUF</t>
  </si>
  <si>
    <t xml:space="preserve">Gryphe/MythoMax-L2-13b</t>
  </si>
  <si>
    <t xml:space="preserve">https://huggingface.co/TheBloke/MythoMax-L2-13B-GGUF</t>
  </si>
  <si>
    <t xml:space="preserve">PickyBinders/tea</t>
  </si>
  <si>
    <t xml:space="preserve">PickyBinders</t>
  </si>
  <si>
    <t xml:space="preserve">https://huggingface.co/PickyBinders/tea</t>
  </si>
  <si>
    <t xml:space="preserve">nlptown/bert-base-multilingual-uncased-sentiment</t>
  </si>
  <si>
    <t xml:space="preserve">nlptown</t>
  </si>
  <si>
    <t xml:space="preserve">https://huggingface.co/nlptown/bert-base-multilingual-uncased-sentiment</t>
  </si>
  <si>
    <t xml:space="preserve">douyamv/Gemma-4-31B-JANG_4M-CRACK-GGUF</t>
  </si>
  <si>
    <t xml:space="preserve">douyamv</t>
  </si>
  <si>
    <t xml:space="preserve">https://huggingface.co/douyamv/Gemma-4-31B-JANG_4M-CRACK-GGUF</t>
  </si>
  <si>
    <t xml:space="preserve">Twitter/twhin-bert-base</t>
  </si>
  <si>
    <t xml:space="preserve">Twitter</t>
  </si>
  <si>
    <t xml:space="preserve">https://huggingface.co/Twitter/twhin-bert-base</t>
  </si>
  <si>
    <t xml:space="preserve">timm/ViT-B-16-SigLIP</t>
  </si>
  <si>
    <t xml:space="preserve">https://huggingface.co/timm/ViT-B-16-SigLIP</t>
  </si>
  <si>
    <t xml:space="preserve">NorwAI/NorwAI-Magistral-24B-reasoning</t>
  </si>
  <si>
    <t xml:space="preserve">NorwAI</t>
  </si>
  <si>
    <t xml:space="preserve">https://huggingface.co/NorwAI/NorwAI-Magistral-24B-reasoning</t>
  </si>
  <si>
    <t xml:space="preserve">RedHatAI/Mixtral-8x7B-Instruct-v0.1-FP8</t>
  </si>
  <si>
    <t xml:space="preserve">https://huggingface.co/RedHatAI/Mixtral-8x7B-Instruct-v0.1-FP8</t>
  </si>
  <si>
    <t xml:space="preserve">https://huggingface.co/skt/A.X-K2</t>
  </si>
  <si>
    <t xml:space="preserve">https://huggingface.co/cointegrated/rubert-tiny</t>
  </si>
  <si>
    <t xml:space="preserve">Arunavaonly/Bangla-twoclass-Sentiment-Analyzer</t>
  </si>
  <si>
    <t xml:space="preserve">Arunavaonly</t>
  </si>
  <si>
    <t xml:space="preserve">https://huggingface.co/Arunavaonly/Bangla-twoclass-Sentiment-Analyzer</t>
  </si>
  <si>
    <t xml:space="preserve">facebook/sam2.1-hiera-large</t>
  </si>
  <si>
    <t xml:space="preserve">https://huggingface.co/facebook/sam2.1-hiera-large</t>
  </si>
  <si>
    <t xml:space="preserve">bartowski/NousResearch_Hermes-4-14B-GGUF</t>
  </si>
  <si>
    <t xml:space="preserve">NousResearch/Hermes-4-14B</t>
  </si>
  <si>
    <t xml:space="preserve">https://huggingface.co/bartowski/NousResearch_Hermes-4-14B-GGUF</t>
  </si>
  <si>
    <t xml:space="preserve">laion/CLIP-ViT-g-14-laion2B-s12B-b42K</t>
  </si>
  <si>
    <t xml:space="preserve">https://huggingface.co/laion/CLIP-ViT-g-14-laion2B-s12B-b42K</t>
  </si>
  <si>
    <t xml:space="preserve">koboldcpp/tts</t>
  </si>
  <si>
    <t xml:space="preserve">koboldcpp</t>
  </si>
  <si>
    <t xml:space="preserve">https://huggingface.co/koboldcpp/tts</t>
  </si>
  <si>
    <t xml:space="preserve">facebook/convnext-small-224</t>
  </si>
  <si>
    <t xml:space="preserve">https://huggingface.co/facebook/convnext-small-224</t>
  </si>
  <si>
    <t xml:space="preserve">cortecs/Llama-3.3-70B-Instruct-FP8-Dynamic</t>
  </si>
  <si>
    <t xml:space="preserve">cortecs</t>
  </si>
  <si>
    <t xml:space="preserve">https://huggingface.co/cortecs/Llama-3.3-70B-Instruct-FP8-Dynamic</t>
  </si>
  <si>
    <t xml:space="preserve">facebook/vjepa2-vith-fpc64-256</t>
  </si>
  <si>
    <t xml:space="preserve">https://huggingface.co/facebook/vjepa2-vith-fpc64-256</t>
  </si>
  <si>
    <t xml:space="preserve">Helsinki-NLP/opus-mt-tc-big-en-bg</t>
  </si>
  <si>
    <t xml:space="preserve">https://huggingface.co/Helsinki-NLP/opus-mt-tc-big-en-bg</t>
  </si>
  <si>
    <t xml:space="preserve">PORTULAN/serafim-900m-portuguese-pt-sentence-encoder-ir</t>
  </si>
  <si>
    <t xml:space="preserve">PORTULAN</t>
  </si>
  <si>
    <t xml:space="preserve">https://huggingface.co/PORTULAN/serafim-900m-portuguese-pt-sentence-encoder-ir</t>
  </si>
  <si>
    <t xml:space="preserve">google/owlv2-base-patch16</t>
  </si>
  <si>
    <t xml:space="preserve">https://huggingface.co/google/owlv2-base-patch16</t>
  </si>
  <si>
    <t xml:space="preserve">facebook/sam2-hiera-base-plus</t>
  </si>
  <si>
    <t xml:space="preserve">https://huggingface.co/facebook/sam2-hiera-base-plus</t>
  </si>
  <si>
    <t xml:space="preserve">timm/ViT-SO400M-16-SigLIP2-384</t>
  </si>
  <si>
    <t xml:space="preserve">https://huggingface.co/timm/ViT-SO400M-16-SigLIP2-384</t>
  </si>
  <si>
    <t xml:space="preserve">sentence-transformers-testing/stsb-bert-tiny-openvino</t>
  </si>
  <si>
    <t xml:space="preserve">https://huggingface.co/sentence-transformers-testing/stsb-bert-tiny-openvino</t>
  </si>
  <si>
    <t xml:space="preserve">RedHatAI/Meta-Llama-3.1-70B-Instruct-quantized.w4a16</t>
  </si>
  <si>
    <t xml:space="preserve">https://huggingface.co/RedHatAI/Meta-Llama-3.1-70B-Instruct-quantized.w4a16</t>
  </si>
  <si>
    <t xml:space="preserve">Infomaniak-AI/vllm-translategemma-27b-it</t>
  </si>
  <si>
    <t xml:space="preserve">https://huggingface.co/Infomaniak-AI/vllm-translategemma-27b-it</t>
  </si>
  <si>
    <t xml:space="preserve">Xenova/paraphrase-multilingual-mpnet-base-v2</t>
  </si>
  <si>
    <t xml:space="preserve">https://huggingface.co/Xenova/paraphrase-multilingual-mpnet-base-v2</t>
  </si>
  <si>
    <t xml:space="preserve">Kijai/LTXV2_comfy</t>
  </si>
  <si>
    <t xml:space="preserve">Kijai</t>
  </si>
  <si>
    <t xml:space="preserve">https://huggingface.co/Kijai/LTXV2_comfy</t>
  </si>
  <si>
    <t xml:space="preserve">noneUsername/Mistral-Nemo-Instruct-2407-W8A8-Dynamic-Per-Token</t>
  </si>
  <si>
    <t xml:space="preserve">noneUsername</t>
  </si>
  <si>
    <t xml:space="preserve">unsloth/Mistral-Nemo-Instruct-2407</t>
  </si>
  <si>
    <t xml:space="preserve">https://huggingface.co/noneUsername/Mistral-Nemo-Instruct-2407-W8A8-Dynamic-Per-Token</t>
  </si>
  <si>
    <t xml:space="preserve">s2593817/sft-sql-embedding</t>
  </si>
  <si>
    <t xml:space="preserve">s2593817</t>
  </si>
  <si>
    <t xml:space="preserve">https://huggingface.co/s2593817/sft-sql-embedding</t>
  </si>
  <si>
    <t xml:space="preserve">pythainlp/thainer-corpus-v2-base-model</t>
  </si>
  <si>
    <t xml:space="preserve">pythainlp</t>
  </si>
  <si>
    <t xml:space="preserve">https://huggingface.co/pythainlp/thainer-corpus-v2-base-model</t>
  </si>
  <si>
    <t xml:space="preserve">jaranohaal/vit-base-violence-detection</t>
  </si>
  <si>
    <t xml:space="preserve">jaranohaal</t>
  </si>
  <si>
    <t xml:space="preserve">https://huggingface.co/jaranohaal/vit-base-violence-detection</t>
  </si>
  <si>
    <t xml:space="preserve">laion/CLIP-ViT-bigG-14-laion2B-39B-b160k</t>
  </si>
  <si>
    <t xml:space="preserve">https://huggingface.co/laion/CLIP-ViT-bigG-14-laion2B-39B-b160k</t>
  </si>
  <si>
    <t xml:space="preserve">buddhist-nlp/gemma-2-mitra-e-fp8</t>
  </si>
  <si>
    <t xml:space="preserve">buddhist-nlp</t>
  </si>
  <si>
    <t xml:space="preserve">https://huggingface.co/buddhist-nlp/gemma-2-mitra-e-fp8</t>
  </si>
  <si>
    <t xml:space="preserve">facebook/encodec_24khz</t>
  </si>
  <si>
    <t xml:space="preserve">https://huggingface.co/facebook/encodec_24khz</t>
  </si>
  <si>
    <t xml:space="preserve">timm/mobilevit_s.cvnets_in1k</t>
  </si>
  <si>
    <t xml:space="preserve">https://huggingface.co/timm/mobilevit_s.cvnets_in1k</t>
  </si>
  <si>
    <t xml:space="preserve">rtila-corporation/rtila-assistant-lite-1.5</t>
  </si>
  <si>
    <t xml:space="preserve">rtila-corporation</t>
  </si>
  <si>
    <t xml:space="preserve">https://huggingface.co/rtila-corporation/rtila-assistant-lite-1.5</t>
  </si>
  <si>
    <t xml:space="preserve">pkshatech/GLuCoSE-base-ja-v2</t>
  </si>
  <si>
    <t xml:space="preserve">pkshatech</t>
  </si>
  <si>
    <t xml:space="preserve">pkshatech/GLuCoSE-base-ja</t>
  </si>
  <si>
    <t xml:space="preserve">https://huggingface.co/pkshatech/GLuCoSE-base-ja-v2</t>
  </si>
  <si>
    <t xml:space="preserve">tokyotech-llm/Llama-3.1-Swallow-8B-Instruct-v0.5</t>
  </si>
  <si>
    <t xml:space="preserve">tokyotech-llm</t>
  </si>
  <si>
    <t xml:space="preserve">llama3.3;gemma</t>
  </si>
  <si>
    <t xml:space="preserve">tokyotech-llm/Llama-3.1-Swallow-8B-v0.5</t>
  </si>
  <si>
    <t xml:space="preserve">https://huggingface.co/tokyotech-llm/Llama-3.1-Swallow-8B-Instruct-v0.5</t>
  </si>
  <si>
    <t xml:space="preserve">google/medsiglip-448</t>
  </si>
  <si>
    <t xml:space="preserve">https://huggingface.co/google/medsiglip-448</t>
  </si>
  <si>
    <t xml:space="preserve">nvidia/parakeet-ctc-0.6b</t>
  </si>
  <si>
    <t xml:space="preserve">https://huggingface.co/nvidia/parakeet-ctc-0.6b</t>
  </si>
  <si>
    <t xml:space="preserve">prihodad/biophi-sapiens1-vh</t>
  </si>
  <si>
    <t xml:space="preserve">prihodad</t>
  </si>
  <si>
    <t xml:space="preserve">https://huggingface.co/prihodad/biophi-sapiens1-vh</t>
  </si>
  <si>
    <t xml:space="preserve">deepset/gbert-base</t>
  </si>
  <si>
    <t xml:space="preserve">https://huggingface.co/deepset/gbert-base</t>
  </si>
  <si>
    <t xml:space="preserve">gradientai/Llama-3-8B-Instruct-Gradient-1048k</t>
  </si>
  <si>
    <t xml:space="preserve">gradientai</t>
  </si>
  <si>
    <t xml:space="preserve">https://huggingface.co/gradientai/Llama-3-8B-Instruct-Gradient-1048k</t>
  </si>
  <si>
    <t xml:space="preserve">google/mobilenet_v2_1.0_224</t>
  </si>
  <si>
    <t xml:space="preserve">https://huggingface.co/google/mobilenet_v2_1.0_224</t>
  </si>
  <si>
    <t xml:space="preserve">casperhansen/llama-3.3-70b-instruct-awq</t>
  </si>
  <si>
    <t xml:space="preserve">https://huggingface.co/casperhansen/llama-3.3-70b-instruct-awq</t>
  </si>
  <si>
    <t xml:space="preserve">akdeniz27/bert-base-turkish-cased-ner</t>
  </si>
  <si>
    <t xml:space="preserve">akdeniz27</t>
  </si>
  <si>
    <t xml:space="preserve">https://huggingface.co/akdeniz27/bert-base-turkish-cased-ner</t>
  </si>
  <si>
    <t xml:space="preserve">handy-computer/canary-1b-v2-gguf</t>
  </si>
  <si>
    <t xml:space="preserve">https://huggingface.co/handy-computer/canary-1b-v2-gguf</t>
  </si>
  <si>
    <t xml:space="preserve">facebook/sam3</t>
  </si>
  <si>
    <t xml:space="preserve">https://huggingface.co/facebook/sam3</t>
  </si>
  <si>
    <t xml:space="preserve">NX-AI/TiRex</t>
  </si>
  <si>
    <t xml:space="preserve">NX-AI</t>
  </si>
  <si>
    <t xml:space="preserve">https://huggingface.co/NX-AI/TiRex</t>
  </si>
  <si>
    <t xml:space="preserve">patrickjohncyh/fashion-clip</t>
  </si>
  <si>
    <t xml:space="preserve">patrickjohncyh</t>
  </si>
  <si>
    <t xml:space="preserve">https://huggingface.co/patrickjohncyh/fashion-clip</t>
  </si>
  <si>
    <t xml:space="preserve">openai/whisper-medium.en</t>
  </si>
  <si>
    <t xml:space="preserve">https://huggingface.co/openai/whisper-medium.en</t>
  </si>
  <si>
    <t xml:space="preserve">cl-nagoya/ruri-v3-130m</t>
  </si>
  <si>
    <t xml:space="preserve">cl-nagoya/ruri-v3-pt-130m</t>
  </si>
  <si>
    <t xml:space="preserve">https://huggingface.co/cl-nagoya/ruri-v3-130m</t>
  </si>
  <si>
    <t xml:space="preserve">Supabase/gte-small</t>
  </si>
  <si>
    <t xml:space="preserve">Supabase</t>
  </si>
  <si>
    <t xml:space="preserve">https://huggingface.co/Supabase/gte-small</t>
  </si>
  <si>
    <t xml:space="preserve">unsloth/Llama-3.3-70B-Instruct</t>
  </si>
  <si>
    <t xml:space="preserve">https://huggingface.co/unsloth/Llama-3.3-70B-Instruct</t>
  </si>
  <si>
    <t xml:space="preserve">ai-forever/sbert_large_nlu_ru</t>
  </si>
  <si>
    <t xml:space="preserve">https://huggingface.co/ai-forever/sbert_large_nlu_ru</t>
  </si>
  <si>
    <t xml:space="preserve">bartowski/TheDrummer_Cydonia-24B-v4.2.0-GGUF</t>
  </si>
  <si>
    <t xml:space="preserve">TheDrummer/Cydonia-24B-v4.2.0</t>
  </si>
  <si>
    <t xml:space="preserve">https://huggingface.co/bartowski/TheDrummer_Cydonia-24B-v4.2.0-GGUF</t>
  </si>
  <si>
    <t xml:space="preserve">NousResearch/Llama-2-7b-chat-hf</t>
  </si>
  <si>
    <t xml:space="preserve">https://huggingface.co/NousResearch/Llama-2-7b-chat-hf</t>
  </si>
  <si>
    <t xml:space="preserve">jhgan/ko-sroberta-multitask</t>
  </si>
  <si>
    <t xml:space="preserve">jhgan</t>
  </si>
  <si>
    <r>
      <rPr>
        <sz val="11"/>
        <color rgb="FF000000"/>
        <rFont val="Noto Sans CJK SC"/>
        <family val="2"/>
      </rPr>
      <t xml:space="preserve">只支援特定外語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授權需確認</t>
    </r>
  </si>
  <si>
    <t xml:space="preserve">https://huggingface.co/jhgan/ko-sroberta-multitask</t>
  </si>
  <si>
    <t xml:space="preserve">kyutai/moshiko-pytorch-bf16</t>
  </si>
  <si>
    <t xml:space="preserve">https://huggingface.co/kyutai/moshiko-pytorch-bf16</t>
  </si>
  <si>
    <t xml:space="preserve">timm/fastvit_t8.apple_in1k</t>
  </si>
  <si>
    <t xml:space="preserve">https://huggingface.co/timm/fastvit_t8.apple_in1k</t>
  </si>
  <si>
    <t xml:space="preserve">mrm8488/distilroberta-finetuned-financial-news-sentiment-analysis</t>
  </si>
  <si>
    <t xml:space="preserve">https://huggingface.co/mrm8488/distilroberta-finetuned-financial-news-sentiment-analysis</t>
  </si>
  <si>
    <t xml:space="preserve">meta-llama/Llama-4-Maverick-17B-128E-Instruct</t>
  </si>
  <si>
    <t xml:space="preserve">meta-llama/Llama-4-Maverick-17B-128E</t>
  </si>
  <si>
    <t xml:space="preserve">https://huggingface.co/meta-llama/Llama-4-Maverick-17B-128E-Instruct</t>
  </si>
  <si>
    <t xml:space="preserve">microsoft/xclip-base-patch16-zero-shot</t>
  </si>
  <si>
    <t xml:space="preserve">https://huggingface.co/microsoft/xclip-base-patch16-zero-shot</t>
  </si>
  <si>
    <t xml:space="preserve">wkcn/TinyCLIP-ViT-8M-16-Text-3M-YFCC15M</t>
  </si>
  <si>
    <t xml:space="preserve">wkcn</t>
  </si>
  <si>
    <t xml:space="preserve">https://huggingface.co/wkcn/TinyCLIP-ViT-8M-16-Text-3M-YFCC15M</t>
  </si>
  <si>
    <t xml:space="preserve">antoinelouis/crossencoder-distilcamembert-mmarcoFR</t>
  </si>
  <si>
    <t xml:space="preserve">cmarkea/distilcamembert-base</t>
  </si>
  <si>
    <t xml:space="preserve">https://huggingface.co/antoinelouis/crossencoder-distilcamembert-mmarcoFR</t>
  </si>
  <si>
    <t xml:space="preserve">zerofata/L3.3-GeneticLemonade-Final-v2-70B</t>
  </si>
  <si>
    <t xml:space="preserve">zerofata</t>
  </si>
  <si>
    <t xml:space="preserve">zerofata/L3.3-GeneticLemonade-Final-70B</t>
  </si>
  <si>
    <t xml:space="preserve">https://huggingface.co/zerofata/L3.3-GeneticLemonade-Final-v2-70B</t>
  </si>
  <si>
    <t xml:space="preserve">unsloth/Llama-3.3-70B-Instruct-GGUF</t>
  </si>
  <si>
    <t xml:space="preserve">https://huggingface.co/unsloth/Llama-3.3-70B-Instruct-GGUF</t>
  </si>
  <si>
    <t xml:space="preserve">sonoisa/sentence-bert-base-ja-mean-tokens-v2</t>
  </si>
  <si>
    <t xml:space="preserve">sonoisa</t>
  </si>
  <si>
    <t xml:space="preserve">https://huggingface.co/sonoisa/sentence-bert-base-ja-mean-tokens-v2</t>
  </si>
  <si>
    <t xml:space="preserve">facebook/detr-resnet-101</t>
  </si>
  <si>
    <t xml:space="preserve">https://huggingface.co/facebook/detr-resnet-101</t>
  </si>
  <si>
    <t xml:space="preserve">distil-whisper/distil-large-v3</t>
  </si>
  <si>
    <t xml:space="preserve">distil-whisper</t>
  </si>
  <si>
    <t xml:space="preserve">safetensors;onnx;flax</t>
  </si>
  <si>
    <t xml:space="preserve">https://huggingface.co/distil-whisper/distil-large-v3</t>
  </si>
  <si>
    <t xml:space="preserve">amunchet/rorshark-vit-base</t>
  </si>
  <si>
    <t xml:space="preserve">amunchet</t>
  </si>
  <si>
    <t xml:space="preserve">https://huggingface.co/amunchet/rorshark-vit-base</t>
  </si>
  <si>
    <t xml:space="preserve">MIT/ast-finetuned-audioset-10-10-0.4593</t>
  </si>
  <si>
    <t xml:space="preserve">MIT</t>
  </si>
  <si>
    <t xml:space="preserve">https://huggingface.co/MIT/ast-finetuned-audioset-10-10-0.4593</t>
  </si>
  <si>
    <t xml:space="preserve">NbAiLab/nb-wav2vec2-1b-bokmaal-v2</t>
  </si>
  <si>
    <t xml:space="preserve">NbAiLab</t>
  </si>
  <si>
    <t xml:space="preserve">https://huggingface.co/NbAiLab/nb-wav2vec2-1b-bokmaal-v2</t>
  </si>
  <si>
    <t xml:space="preserve">LGAI-EXAONE/EXAONE-4.0-1.2B</t>
  </si>
  <si>
    <t xml:space="preserve">https://huggingface.co/LGAI-EXAONE/EXAONE-4.0-1.2B</t>
  </si>
  <si>
    <t xml:space="preserve">RadixArk/Muse-Glimmer-NVFP4</t>
  </si>
  <si>
    <t xml:space="preserve">RadixArk</t>
  </si>
  <si>
    <t xml:space="preserve">https://huggingface.co/RadixArk/Muse-Glimmer-NVFP4</t>
  </si>
  <si>
    <t xml:space="preserve">NeuralNotwerk/Mistral-Medium-3.5-128B-NVFP4</t>
  </si>
  <si>
    <t xml:space="preserve">NeuralNotwerk</t>
  </si>
  <si>
    <t xml:space="preserve">https://huggingface.co/NeuralNotwerk/Mistral-Medium-3.5-128B-NVFP4</t>
  </si>
  <si>
    <t xml:space="preserve">NbAiLab/nb-sbert-base</t>
  </si>
  <si>
    <t xml:space="preserve">https://huggingface.co/NbAiLab/nb-sbert-base</t>
  </si>
  <si>
    <t xml:space="preserve">facebook/dinov3-convnext-tiny-pretrain-lvd1689m</t>
  </si>
  <si>
    <t xml:space="preserve">https://huggingface.co/facebook/dinov3-convnext-tiny-pretrain-lvd1689m</t>
  </si>
  <si>
    <t xml:space="preserve">alvanlii/wav2vec2-BERT-cantonese</t>
  </si>
  <si>
    <t xml:space="preserve">https://huggingface.co/alvanlii/wav2vec2-BERT-cantonese</t>
  </si>
  <si>
    <t xml:space="preserve">solidrust/Hermes-3-Llama-3.1-8B-AWQ</t>
  </si>
  <si>
    <t xml:space="preserve">https://huggingface.co/solidrust/Hermes-3-Llama-3.1-8B-AWQ</t>
  </si>
  <si>
    <t xml:space="preserve">deepvk/USER-base</t>
  </si>
  <si>
    <t xml:space="preserve">https://huggingface.co/deepvk/USER-base</t>
  </si>
  <si>
    <t xml:space="preserve">lmstudio-community/Hermes-4-70B-MLX-4bit</t>
  </si>
  <si>
    <t xml:space="preserve">NousResearch/Hermes-4-70B</t>
  </si>
  <si>
    <t xml:space="preserve">https://huggingface.co/lmstudio-community/Hermes-4-70B-MLX-4bit</t>
  </si>
  <si>
    <t xml:space="preserve">Dampfinchen/google-gemma-3-12b-it-qat-q4_0-gguf-small-fix</t>
  </si>
  <si>
    <t xml:space="preserve">Dampfinchen</t>
  </si>
  <si>
    <t xml:space="preserve">https://huggingface.co/Dampfinchen/google-gemma-3-12b-it-qat-q4_0-gguf-small-fix</t>
  </si>
  <si>
    <t xml:space="preserve">prithivMLmods/siglip2-x256-explicit-content</t>
  </si>
  <si>
    <t xml:space="preserve">https://huggingface.co/prithivMLmods/siglip2-x256-explicit-content</t>
  </si>
  <si>
    <t xml:space="preserve">facebook/vjepa2-vitl-fpc16-256-ssv2</t>
  </si>
  <si>
    <t xml:space="preserve">https://huggingface.co/facebook/vjepa2-vitl-fpc16-256-ssv2</t>
  </si>
  <si>
    <t xml:space="preserve">albert/albert-base-v1</t>
  </si>
  <si>
    <t xml:space="preserve">https://huggingface.co/albert/albert-base-v1</t>
  </si>
  <si>
    <t xml:space="preserve">alefiury/wav2vec2-large-xlsr-53-gender-recognition-librispeech</t>
  </si>
  <si>
    <t xml:space="preserve">alefiury</t>
  </si>
  <si>
    <t xml:space="preserve">facebook/wav2vec2-xls-r-300m</t>
  </si>
  <si>
    <t xml:space="preserve">https://huggingface.co/alefiury/wav2vec2-large-xlsr-53-gender-recognition-librispeech</t>
  </si>
  <si>
    <t xml:space="preserve">LukeJacob2023/nsfw-image-detector</t>
  </si>
  <si>
    <t xml:space="preserve">LukeJacob2023</t>
  </si>
  <si>
    <t xml:space="preserve">https://huggingface.co/LukeJacob2023/nsfw-image-detector</t>
  </si>
  <si>
    <t xml:space="preserve">lmstudio-community/Hermes-4-70B-MLX-8bit</t>
  </si>
  <si>
    <t xml:space="preserve">https://huggingface.co/lmstudio-community/Hermes-4-70B-MLX-8bit</t>
  </si>
  <si>
    <t xml:space="preserve">lmstudio-community/Hermes-4-70B-MLX-6bit</t>
  </si>
  <si>
    <t xml:space="preserve">https://huggingface.co/lmstudio-community/Hermes-4-70B-MLX-6bit</t>
  </si>
  <si>
    <t xml:space="preserve">lmstudio-community/Hermes-4-70B-MLX-5bit</t>
  </si>
  <si>
    <t xml:space="preserve">https://huggingface.co/lmstudio-community/Hermes-4-70B-MLX-5bit</t>
  </si>
  <si>
    <t xml:space="preserve">facebook/detr-resnet-50-dc5</t>
  </si>
  <si>
    <t xml:space="preserve">https://huggingface.co/facebook/detr-resnet-50-dc5</t>
  </si>
  <si>
    <t xml:space="preserve">dbmdz/bert-base-italian-xxl-cased</t>
  </si>
  <si>
    <t xml:space="preserve">https://huggingface.co/dbmdz/bert-base-italian-xxl-cased</t>
  </si>
  <si>
    <t xml:space="preserve">impira/layoutlm-document-qa</t>
  </si>
  <si>
    <t xml:space="preserve">impira</t>
  </si>
  <si>
    <t xml:space="preserve">https://huggingface.co/impira/layoutlm-document-qa</t>
  </si>
  <si>
    <t xml:space="preserve">DiTy/cross-encoder-russian-msmarco</t>
  </si>
  <si>
    <t xml:space="preserve">DiTy</t>
  </si>
  <si>
    <t xml:space="preserve">DeepPavlov/rubert-base-cased</t>
  </si>
  <si>
    <t xml:space="preserve">https://huggingface.co/DiTy/cross-encoder-russian-msmarco</t>
  </si>
  <si>
    <t xml:space="preserve">NousResearch/Nous-Hermes-2-Mixtral-8x7B-DPO</t>
  </si>
  <si>
    <t xml:space="preserve">https://huggingface.co/NousResearch/Nous-Hermes-2-Mixtral-8x7B-DPO</t>
  </si>
  <si>
    <t xml:space="preserve">hotchpotch/japanese-reranker-cross-encoder-xsmall-v1</t>
  </si>
  <si>
    <t xml:space="preserve">https://huggingface.co/hotchpotch/japanese-reranker-cross-encoder-xsmall-v1</t>
  </si>
  <si>
    <t xml:space="preserve">sonoisa/t5-base-japanese</t>
  </si>
  <si>
    <t xml:space="preserve">https://huggingface.co/sonoisa/t5-base-japanese</t>
  </si>
  <si>
    <t xml:space="preserve">bartowski/NemoMix-Unleashed-12B-GGUF</t>
  </si>
  <si>
    <t xml:space="preserve">MarinaraSpaghetti/NemoMix-Unleashed-12B</t>
  </si>
  <si>
    <t xml:space="preserve">https://huggingface.co/bartowski/NemoMix-Unleashed-12B-GGUF</t>
  </si>
  <si>
    <t xml:space="preserve">TheBloke/Mixtral-8x7B-Instruct-v0.1-GGUF</t>
  </si>
  <si>
    <t xml:space="preserve">https://huggingface.co/TheBloke/Mixtral-8x7B-Instruct-v0.1-GGUF</t>
  </si>
  <si>
    <t xml:space="preserve">facebook/mask2former-swin-large-ade-semantic</t>
  </si>
  <si>
    <t xml:space="preserve">https://huggingface.co/facebook/mask2former-swin-large-ade-semantic</t>
  </si>
  <si>
    <t xml:space="preserve">knkarthick/MEETING_SUMMARY</t>
  </si>
  <si>
    <t xml:space="preserve">knkarthick</t>
  </si>
  <si>
    <t xml:space="preserve">https://huggingface.co/knkarthick/MEETING_SUMMARY</t>
  </si>
  <si>
    <t xml:space="preserve">microsoft/trocr-base-stage1</t>
  </si>
  <si>
    <t xml:space="preserve">https://huggingface.co/microsoft/trocr-base-stage1</t>
  </si>
  <si>
    <t xml:space="preserve">timm/convnext_base.dinov3_lvd1689m</t>
  </si>
  <si>
    <t xml:space="preserve">https://huggingface.co/timm/convnext_base.dinov3_lvd1689m</t>
  </si>
  <si>
    <t xml:space="preserve">ISxOdin/vit-base-oxford-iiit-pets</t>
  </si>
  <si>
    <t xml:space="preserve">ISxOdin</t>
  </si>
  <si>
    <t xml:space="preserve">https://huggingface.co/ISxOdin/vit-base-oxford-iiit-pets</t>
  </si>
  <si>
    <t xml:space="preserve">nvidia/Nemotron-3-Diarization</t>
  </si>
  <si>
    <t xml:space="preserve">https://huggingface.co/nvidia/Nemotron-3-Diarization</t>
  </si>
  <si>
    <t xml:space="preserve">timm/vit_small_plus_patch16_dinov3.lvd1689m</t>
  </si>
  <si>
    <t xml:space="preserve">https://huggingface.co/timm/vit_small_plus_patch16_dinov3.lvd1689m</t>
  </si>
  <si>
    <t xml:space="preserve">facebook/sam2.1-hiera-tiny</t>
  </si>
  <si>
    <t xml:space="preserve">https://huggingface.co/facebook/sam2.1-hiera-tiny</t>
  </si>
  <si>
    <t xml:space="preserve">handy-computer/canary-180m-flash-gguf</t>
  </si>
  <si>
    <t xml:space="preserve">nvidia/canary-180m-flash</t>
  </si>
  <si>
    <t xml:space="preserve">https://huggingface.co/handy-computer/canary-180m-flash-gguf</t>
  </si>
  <si>
    <t xml:space="preserve">aufklarer/WeSpeaker-ResNet34-LM-MLX</t>
  </si>
  <si>
    <t xml:space="preserve">aufklarer</t>
  </si>
  <si>
    <t xml:space="preserve">pyannote/wespeaker-voxceleb-resnet34-LM</t>
  </si>
  <si>
    <t xml:space="preserve">https://huggingface.co/aufklarer/WeSpeaker-ResNet34-LM-MLX</t>
  </si>
  <si>
    <t xml:space="preserve">facebook/vit-mae-base</t>
  </si>
  <si>
    <t xml:space="preserve">https://huggingface.co/facebook/vit-mae-base</t>
  </si>
  <si>
    <t xml:space="preserve">MaziyarPanahi/Mistral-Large-Instruct-2411-GGUF</t>
  </si>
  <si>
    <t xml:space="preserve">mistralai/Mistral-Large-Instruct-2411</t>
  </si>
  <si>
    <t xml:space="preserve">https://huggingface.co/MaziyarPanahi/Mistral-Large-Instruct-2411-GGUF</t>
  </si>
  <si>
    <t xml:space="preserve">nvidia/segformer-b0-finetuned-ade-512-512</t>
  </si>
  <si>
    <t xml:space="preserve">https://huggingface.co/nvidia/segformer-b0-finetuned-ade-512-512</t>
  </si>
  <si>
    <t xml:space="preserve">fyaronskiy/ruRoberta-large-ru-go-emotions</t>
  </si>
  <si>
    <t xml:space="preserve">fyaronskiy</t>
  </si>
  <si>
    <t xml:space="preserve">https://huggingface.co/fyaronskiy/ruRoberta-large-ru-go-emotions</t>
  </si>
  <si>
    <t xml:space="preserve">nvidia/KVzap-mlp-Llama-3.1-8B-Instruct</t>
  </si>
  <si>
    <t xml:space="preserve">https://huggingface.co/nvidia/KVzap-mlp-Llama-3.1-8B-Instruct</t>
  </si>
  <si>
    <t xml:space="preserve">timm/vit_huge_plus_patch16_dinov3.lvd1689m</t>
  </si>
  <si>
    <t xml:space="preserve">https://huggingface.co/timm/vit_huge_plus_patch16_dinov3.lvd1689m</t>
  </si>
  <si>
    <t xml:space="preserve">OpenMed/OpenMed-NER-DiseaseDetect-BioMed-335M</t>
  </si>
  <si>
    <t xml:space="preserve">https://huggingface.co/OpenMed/OpenMed-NER-DiseaseDetect-BioMed-335M</t>
  </si>
  <si>
    <t xml:space="preserve">ramadita/indo-islamic-sentence-bert-v2</t>
  </si>
  <si>
    <t xml:space="preserve">ramadita</t>
  </si>
  <si>
    <t xml:space="preserve">firqaaa/indo-sentence-bert-large</t>
  </si>
  <si>
    <t xml:space="preserve">https://huggingface.co/ramadita/indo-islamic-sentence-bert-v2</t>
  </si>
  <si>
    <t xml:space="preserve">timm/convnext_small.dinov3_lvd1689m</t>
  </si>
  <si>
    <t xml:space="preserve">https://huggingface.co/timm/convnext_small.dinov3_lvd1689m</t>
  </si>
  <si>
    <t xml:space="preserve">sbintuitions/modernbert-ja-130m</t>
  </si>
  <si>
    <t xml:space="preserve">https://huggingface.co/sbintuitions/modernbert-ja-130m</t>
  </si>
  <si>
    <t xml:space="preserve">badrex/Ethio-ASR-multilingual-600M</t>
  </si>
  <si>
    <t xml:space="preserve">badrex</t>
  </si>
  <si>
    <t xml:space="preserve">https://huggingface.co/badrex/Ethio-ASR-multilingual-600M</t>
  </si>
  <si>
    <t xml:space="preserve">ISTA-DASLab/gemma-3-12b-it-GPTQ-4b-128g</t>
  </si>
  <si>
    <t xml:space="preserve">https://huggingface.co/ISTA-DASLab/gemma-3-12b-it-GPTQ-4b-128g</t>
  </si>
  <si>
    <t xml:space="preserve">Jean-Baptiste/camembert-ner-with-dates</t>
  </si>
  <si>
    <t xml:space="preserve">https://huggingface.co/Jean-Baptiste/camembert-ner-with-dates</t>
  </si>
  <si>
    <t xml:space="preserve">liuhaotian/llava-v1.6-vicuna-7b</t>
  </si>
  <si>
    <t xml:space="preserve">https://huggingface.co/liuhaotian/llava-v1.6-vicuna-7b</t>
  </si>
  <si>
    <t xml:space="preserve">OpenMed/OpenMed-NER-GenomicDetect-PubMed-109M</t>
  </si>
  <si>
    <t xml:space="preserve">https://huggingface.co/OpenMed/OpenMed-NER-GenomicDetect-PubMed-109M</t>
  </si>
  <si>
    <t xml:space="preserve">TheDrummer/Cydonia-24B-v4.3-GGUF</t>
  </si>
  <si>
    <t xml:space="preserve">https://huggingface.co/TheDrummer/Cydonia-24B-v4.3-GGUF</t>
  </si>
  <si>
    <t xml:space="preserve">sdadas/st-polish-paraphrase-from-mpnet</t>
  </si>
  <si>
    <t xml:space="preserve">lgpl</t>
  </si>
  <si>
    <t xml:space="preserve">https://huggingface.co/sdadas/st-polish-paraphrase-from-mpnet</t>
  </si>
  <si>
    <t xml:space="preserve">AxelPCG/splade-pt-br</t>
  </si>
  <si>
    <t xml:space="preserve">AxelPCG</t>
  </si>
  <si>
    <t xml:space="preserve">neuralmind/bert-base-portuguese-cased</t>
  </si>
  <si>
    <t xml:space="preserve">https://huggingface.co/AxelPCG/splade-pt-br</t>
  </si>
  <si>
    <t xml:space="preserve">facebook/mask2former-swin-large-cityscapes-semantic</t>
  </si>
  <si>
    <t xml:space="preserve">https://huggingface.co/facebook/mask2former-swin-large-cityscapes-semantic</t>
  </si>
  <si>
    <t xml:space="preserve">OpenMed/OpenMed-NER-GenomicDetect-PubMed-335M</t>
  </si>
  <si>
    <t xml:space="preserve">https://huggingface.co/OpenMed/OpenMed-NER-GenomicDetect-PubMed-335M</t>
  </si>
  <si>
    <t xml:space="preserve">FINAL-Bench/POCKET-Darwin-180B-GGUF</t>
  </si>
  <si>
    <t xml:space="preserve">FINAL-Bench/Darwin-180B-RSI-R3</t>
  </si>
  <si>
    <t xml:space="preserve">https://huggingface.co/FINAL-Bench/POCKET-Darwin-180B-GGUF</t>
  </si>
  <si>
    <t xml:space="preserve">MaziyarPanahi/Meta-Llama-3.1-405B-Instruct-GGUF</t>
  </si>
  <si>
    <t xml:space="preserve">https://huggingface.co/MaziyarPanahi/Meta-Llama-3.1-405B-Instruct-GGUF</t>
  </si>
  <si>
    <t xml:space="preserve">gberton/MegaLoc</t>
  </si>
  <si>
    <t xml:space="preserve">gberton</t>
  </si>
  <si>
    <t xml:space="preserve">https://huggingface.co/gberton/MegaLoc</t>
  </si>
  <si>
    <t xml:space="preserve">sagawa/ReactionT5v2-retrosynthesis</t>
  </si>
  <si>
    <t xml:space="preserve">sagawa</t>
  </si>
  <si>
    <t xml:space="preserve">https://huggingface.co/sagawa/ReactionT5v2-retrosynthesis</t>
  </si>
  <si>
    <t xml:space="preserve">facebook/pe-av-large</t>
  </si>
  <si>
    <t xml:space="preserve">https://huggingface.co/facebook/pe-av-large</t>
  </si>
  <si>
    <t xml:space="preserve">rinna/japanese-clip-vit-b-16</t>
  </si>
  <si>
    <t xml:space="preserve">https://huggingface.co/rinna/japanese-clip-vit-b-16</t>
  </si>
  <si>
    <t xml:space="preserve">dbmdz/bert-base-turkish-cased</t>
  </si>
  <si>
    <r>
      <rPr>
        <sz val="11"/>
        <color rgb="FF000000"/>
        <rFont val="Noto Sans CJK SC"/>
        <family val="2"/>
      </rPr>
      <t xml:space="preserve">任務類型依模型架構推定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只支援特定外語</t>
    </r>
  </si>
  <si>
    <t xml:space="preserve">https://huggingface.co/dbmdz/bert-base-turkish-cased</t>
  </si>
  <si>
    <t xml:space="preserve">sbintuitions/sarashina2.2-0.5b-instruct-v0.1</t>
  </si>
  <si>
    <t xml:space="preserve">sbintuitions/sarashina2.2-0.5b</t>
  </si>
  <si>
    <t xml:space="preserve">https://huggingface.co/sbintuitions/sarashina2.2-0.5b-instruct-v0.1</t>
  </si>
  <si>
    <t xml:space="preserve">sagawa/ReactionT5v2-forward</t>
  </si>
  <si>
    <t xml:space="preserve">https://huggingface.co/sagawa/ReactionT5v2-forward</t>
  </si>
  <si>
    <t xml:space="preserve">PORTULAN/serafim-335m-portuguese-pt-sentence-encoder-ir</t>
  </si>
  <si>
    <t xml:space="preserve">https://huggingface.co/PORTULAN/serafim-335m-portuguese-pt-sentence-encoder-ir</t>
  </si>
  <si>
    <t xml:space="preserve">almanach</t>
  </si>
  <si>
    <t xml:space="preserve">https://huggingface.co/almanach/camembert-base</t>
  </si>
  <si>
    <t xml:space="preserve">OpenMed/OpenMed-NER-OrganismDetect-BioMed-109M</t>
  </si>
  <si>
    <t xml:space="preserve">https://huggingface.co/OpenMed/OpenMed-NER-OrganismDetect-BioMed-109M</t>
  </si>
  <si>
    <t xml:space="preserve">facebook/dinov3-vitl16-pretrain-sat493m</t>
  </si>
  <si>
    <t xml:space="preserve">facebook/dinov3-vit7b16-pretrain-sat493m</t>
  </si>
  <si>
    <t xml:space="preserve">https://huggingface.co/facebook/dinov3-vitl16-pretrain-sat493m</t>
  </si>
  <si>
    <t xml:space="preserve">timm/ViT-SO400M-14-SigLIP</t>
  </si>
  <si>
    <t xml:space="preserve">https://huggingface.co/timm/ViT-SO400M-14-SigLIP</t>
  </si>
  <si>
    <t xml:space="preserve">handy-computer/whisper-small-gguf</t>
  </si>
  <si>
    <t xml:space="preserve">https://huggingface.co/handy-computer/whisper-small-gguf</t>
  </si>
  <si>
    <t xml:space="preserve">dreamgen/lucid-v1-nemo</t>
  </si>
  <si>
    <t xml:space="preserve">dreamgen</t>
  </si>
  <si>
    <t xml:space="preserve">https://huggingface.co/dreamgen/lucid-v1-nemo</t>
  </si>
  <si>
    <t xml:space="preserve">TahaDouaji/detr-doc-table-detection</t>
  </si>
  <si>
    <t xml:space="preserve">TahaDouaji</t>
  </si>
  <si>
    <t xml:space="preserve">https://huggingface.co/TahaDouaji/detr-doc-table-detection</t>
  </si>
  <si>
    <t xml:space="preserve">cl-nagoya/ruri-v3-70m</t>
  </si>
  <si>
    <t xml:space="preserve">cl-nagoya/ruri-v3-pt-70m</t>
  </si>
  <si>
    <t xml:space="preserve">https://huggingface.co/cl-nagoya/ruri-v3-70m</t>
  </si>
  <si>
    <t xml:space="preserve">jitesh/emotion-english</t>
  </si>
  <si>
    <t xml:space="preserve">jitesh</t>
  </si>
  <si>
    <t xml:space="preserve">https://huggingface.co/jitesh/emotion-english</t>
  </si>
  <si>
    <t xml:space="preserve">deepmind/language-perceiver</t>
  </si>
  <si>
    <t xml:space="preserve">deepmind</t>
  </si>
  <si>
    <t xml:space="preserve">https://huggingface.co/deepmind/language-perceiver</t>
  </si>
  <si>
    <t xml:space="preserve">facebook/sam2.1-hiera-small</t>
  </si>
  <si>
    <t xml:space="preserve">https://huggingface.co/facebook/sam2.1-hiera-small</t>
  </si>
  <si>
    <t xml:space="preserve">kosbu/Llama-3.3-70B-Instruct-AWQ</t>
  </si>
  <si>
    <t xml:space="preserve">kosbu</t>
  </si>
  <si>
    <t xml:space="preserve">https://huggingface.co/kosbu/Llama-3.3-70B-Instruct-AWQ</t>
  </si>
  <si>
    <t xml:space="preserve">anuashok/ocr-captcha-v3</t>
  </si>
  <si>
    <t xml:space="preserve">anuashok</t>
  </si>
  <si>
    <t xml:space="preserve">https://huggingface.co/anuashok/ocr-captcha-v3</t>
  </si>
  <si>
    <t xml:space="preserve">poolside/Laguna-S-2.1-GGUF</t>
  </si>
  <si>
    <t xml:space="preserve">https://huggingface.co/poolside/Laguna-S-2.1-GGUF</t>
  </si>
  <si>
    <t xml:space="preserve">bartowski/Llama-3.3-70B-Instruct-GGUF</t>
  </si>
  <si>
    <t xml:space="preserve">https://huggingface.co/bartowski/Llama-3.3-70B-Instruct-GGUF</t>
  </si>
  <si>
    <t xml:space="preserve">ToastyPigeon/Gemma4-Test-GGUFs</t>
  </si>
  <si>
    <t xml:space="preserve">ToastyPigeon</t>
  </si>
  <si>
    <t xml:space="preserve">https://huggingface.co/ToastyPigeon/Gemma4-Test-GGUFs</t>
  </si>
  <si>
    <t xml:space="preserve">facebook/pe-av-base-16-frame</t>
  </si>
  <si>
    <t xml:space="preserve">https://huggingface.co/facebook/pe-av-base-16-frame</t>
  </si>
  <si>
    <t xml:space="preserve">timm/ViT-B-16-SigLIP2</t>
  </si>
  <si>
    <t xml:space="preserve">https://huggingface.co/timm/ViT-B-16-SigLIP2</t>
  </si>
  <si>
    <t xml:space="preserve">Xenova/all-mpnet-base-v2</t>
  </si>
  <si>
    <t xml:space="preserve">https://huggingface.co/Xenova/all-mpnet-base-v2</t>
  </si>
  <si>
    <t xml:space="preserve">bartowski/Meta-Llama-3.1-70B-Instruct-GGUF</t>
  </si>
  <si>
    <t xml:space="preserve">https://huggingface.co/bartowski/Meta-Llama-3.1-70B-Instruct-GGUF</t>
  </si>
  <si>
    <t xml:space="preserve">Xenova/whisper-tiny.en</t>
  </si>
  <si>
    <t xml:space="preserve">https://huggingface.co/Xenova/whisper-tiny.en</t>
  </si>
  <si>
    <t xml:space="preserve">jhu-clsp/ettin-encoder-17m</t>
  </si>
  <si>
    <t xml:space="preserve">jhu-clsp</t>
  </si>
  <si>
    <t xml:space="preserve">https://huggingface.co/jhu-clsp/ettin-encoder-17m</t>
  </si>
  <si>
    <t xml:space="preserve">codellama/CodeLlama-34b-Instruct-hf</t>
  </si>
  <si>
    <t xml:space="preserve">https://huggingface.co/codellama/CodeLlama-34b-Instruct-hf</t>
  </si>
  <si>
    <t xml:space="preserve">kontur-ai/sbert_punc_case_ru</t>
  </si>
  <si>
    <t xml:space="preserve">kontur-ai</t>
  </si>
  <si>
    <t xml:space="preserve">https://huggingface.co/kontur-ai/sbert_punc_case_ru</t>
  </si>
  <si>
    <t xml:space="preserve">casperhansen/mistral-nemo-instruct-2407-awq</t>
  </si>
  <si>
    <t xml:space="preserve">https://huggingface.co/casperhansen/mistral-nemo-instruct-2407-awq</t>
  </si>
  <si>
    <t xml:space="preserve">OpenMed/OpenMed-NER-ChemicalDetect-PubMed-335M</t>
  </si>
  <si>
    <t xml:space="preserve">https://huggingface.co/OpenMed/OpenMed-NER-ChemicalDetect-PubMed-335M</t>
  </si>
  <si>
    <t xml:space="preserve">hugging-quants/Meta-Llama-3.1-70B-Instruct-AWQ-INT4</t>
  </si>
  <si>
    <t xml:space="preserve">https://huggingface.co/hugging-quants/Meta-Llama-3.1-70B-Instruct-AWQ-INT4</t>
  </si>
  <si>
    <t xml:space="preserve">hugging-quants/Llama-3.2-1B-Instruct-Q4_K_M-GGUF</t>
  </si>
  <si>
    <t xml:space="preserve">https://huggingface.co/hugging-quants/Llama-3.2-1B-Instruct-Q4_K_M-GGUF</t>
  </si>
  <si>
    <t xml:space="preserve">sarvamai/sarvam-translate</t>
  </si>
  <si>
    <t xml:space="preserve">sarvamai</t>
  </si>
  <si>
    <t xml:space="preserve">https://huggingface.co/sarvamai/sarvam-translate</t>
  </si>
  <si>
    <t xml:space="preserve">timm/ViT-B-16-SigLIP2-512</t>
  </si>
  <si>
    <t xml:space="preserve">https://huggingface.co/timm/ViT-B-16-SigLIP2-512</t>
  </si>
  <si>
    <t xml:space="preserve">Xenova/whisper-tiny</t>
  </si>
  <si>
    <t xml:space="preserve">https://huggingface.co/Xenova/whisper-tiny</t>
  </si>
  <si>
    <t xml:space="preserve">facebook/dinov3-convnext-small-pretrain-lvd1689m</t>
  </si>
  <si>
    <t xml:space="preserve">https://huggingface.co/facebook/dinov3-convnext-small-pretrain-lvd1689m</t>
  </si>
  <si>
    <t xml:space="preserve">rinna/japanese-roberta-base</t>
  </si>
  <si>
    <t xml:space="preserve">https://huggingface.co/rinna/japanese-roberta-base</t>
  </si>
  <si>
    <t xml:space="preserve">laion/CLIP-ViT-L-14-CommonPool.XL-s13B-b90K</t>
  </si>
  <si>
    <t xml:space="preserve">https://huggingface.co/laion/CLIP-ViT-L-14-CommonPool.XL-s13B-b90K</t>
  </si>
  <si>
    <t xml:space="preserve">DeepMount00/Italian_NER_XXL</t>
  </si>
  <si>
    <t xml:space="preserve">https://huggingface.co/DeepMount00/Italian_NER_XXL</t>
  </si>
  <si>
    <t xml:space="preserve">microsoft/trocr-small-printed</t>
  </si>
  <si>
    <t xml:space="preserve">https://huggingface.co/microsoft/trocr-small-printed</t>
  </si>
  <si>
    <t xml:space="preserve">JaesungHuh/voice-gender-classifier</t>
  </si>
  <si>
    <t xml:space="preserve">JaesungHuh</t>
  </si>
  <si>
    <t xml:space="preserve">https://huggingface.co/JaesungHuh/voice-gender-classifier</t>
  </si>
  <si>
    <t xml:space="preserve">OpenMed/OpenMed-NER-GenomeDetect-PubMed-109M</t>
  </si>
  <si>
    <t xml:space="preserve">https://huggingface.co/OpenMed/OpenMed-NER-GenomeDetect-PubMed-109M</t>
  </si>
  <si>
    <t xml:space="preserve">MaziyarPanahi/Meta-Llama-3.1-70B-Instruct-GGUF</t>
  </si>
  <si>
    <t xml:space="preserve">https://huggingface.co/MaziyarPanahi/Meta-Llama-3.1-70B-Instruct-GGUF</t>
  </si>
  <si>
    <t xml:space="preserve">Intel/zoedepth-nyu-kitti</t>
  </si>
  <si>
    <t xml:space="preserve">https://huggingface.co/Intel/zoedepth-nyu-kitti</t>
  </si>
  <si>
    <t xml:space="preserve">bosonai/hubert_base</t>
  </si>
  <si>
    <t xml:space="preserve">bosonai</t>
  </si>
  <si>
    <t xml:space="preserve">https://huggingface.co/bosonai/hubert_base</t>
  </si>
  <si>
    <t xml:space="preserve">timm/ViT-SO400M-16-SigLIP2-512</t>
  </si>
  <si>
    <t xml:space="preserve">https://huggingface.co/timm/ViT-SO400M-16-SigLIP2-512</t>
  </si>
  <si>
    <t xml:space="preserve">OpenMed/OpenMed-NER-PathologyDetect-PubMed-v2-109M</t>
  </si>
  <si>
    <t xml:space="preserve">https://huggingface.co/OpenMed/OpenMed-NER-PathologyDetect-PubMed-v2-109M</t>
  </si>
  <si>
    <t xml:space="preserve">OpenMed/OpenMed-NER-PathologyDetect-PubMed-109M</t>
  </si>
  <si>
    <t xml:space="preserve">https://huggingface.co/OpenMed/OpenMed-NER-PathologyDetect-PubMed-109M</t>
  </si>
  <si>
    <t xml:space="preserve">NetherlandsForensicInstitute/robbert-2022-dutch-sentence-transformers</t>
  </si>
  <si>
    <t xml:space="preserve">NetherlandsForensicInstitute</t>
  </si>
  <si>
    <t xml:space="preserve">DTAI-KULeuven/robbert-2022-dutch-base</t>
  </si>
  <si>
    <t xml:space="preserve">https://huggingface.co/NetherlandsForensicInstitute/robbert-2022-dutch-sentence-transformers</t>
  </si>
  <si>
    <t xml:space="preserve">deadbydawn101/gemma-4-E4B-Agentic-Opus-Reasoning-GeminiCLI-mlx-4bit</t>
  </si>
  <si>
    <t xml:space="preserve">deadbydawn101</t>
  </si>
  <si>
    <t xml:space="preserve">deadbydawn101/gemma-4-E4B-mlx-4bit</t>
  </si>
  <si>
    <t xml:space="preserve">https://huggingface.co/deadbydawn101/gemma-4-E4B-Agentic-Opus-Reasoning-GeminiCLI-mlx-4bit</t>
  </si>
  <si>
    <t xml:space="preserve">flavour/CLIP-ViT-B-16-DataComp.XL-s13B-b90K</t>
  </si>
  <si>
    <t xml:space="preserve">flavour</t>
  </si>
  <si>
    <t xml:space="preserve">https://huggingface.co/flavour/CLIP-ViT-B-16-DataComp.XL-s13B-b90K</t>
  </si>
  <si>
    <t xml:space="preserve">MoritzLaurer/DeBERTa-v3-base-mnli-fever-anli</t>
  </si>
  <si>
    <t xml:space="preserve">https://huggingface.co/MoritzLaurer/DeBERTa-v3-base-mnli-fever-anli</t>
  </si>
  <si>
    <t xml:space="preserve">timm/PE-Core-L-14-336</t>
  </si>
  <si>
    <t xml:space="preserve">https://huggingface.co/timm/PE-Core-L-14-336</t>
  </si>
  <si>
    <t xml:space="preserve">alana89/TabSTAR</t>
  </si>
  <si>
    <t xml:space="preserve">alana89</t>
  </si>
  <si>
    <t xml:space="preserve">https://huggingface.co/alana89/TabSTAR</t>
  </si>
  <si>
    <t xml:space="preserve">ibnzterrell/Meta-Llama-3.3-70B-Instruct-AWQ-INT4</t>
  </si>
  <si>
    <t xml:space="preserve">ibnzterrell</t>
  </si>
  <si>
    <t xml:space="preserve">https://huggingface.co/ibnzterrell/Meta-Llama-3.3-70B-Instruct-AWQ-INT4</t>
  </si>
  <si>
    <t xml:space="preserve">vidore/colpali-v1.3-hf</t>
  </si>
  <si>
    <t xml:space="preserve">vidore</t>
  </si>
  <si>
    <t xml:space="preserve">vidore/colpaligemma-3b-pt-448-base</t>
  </si>
  <si>
    <t xml:space="preserve">https://huggingface.co/vidore/colpali-v1.3-hf</t>
  </si>
  <si>
    <t xml:space="preserve">kingabzpro/wav2vec2-large-xls-r-300m-Urdu</t>
  </si>
  <si>
    <t xml:space="preserve">kingabzpro</t>
  </si>
  <si>
    <t xml:space="preserve">https://huggingface.co/kingabzpro/wav2vec2-large-xls-r-300m-Urdu</t>
  </si>
  <si>
    <t xml:space="preserve">OpenMed/OpenMed-NER-ChemicalDetect-BioMed-335M</t>
  </si>
  <si>
    <t xml:space="preserve">https://huggingface.co/OpenMed/OpenMed-NER-ChemicalDetect-BioMed-335M</t>
  </si>
  <si>
    <t xml:space="preserve">ProCreations/grug-27b-gguf</t>
  </si>
  <si>
    <t xml:space="preserve">ProCreations</t>
  </si>
  <si>
    <t xml:space="preserve">ProCreations/grug-27b</t>
  </si>
  <si>
    <t xml:space="preserve">https://huggingface.co/ProCreations/grug-27b-gguf</t>
  </si>
  <si>
    <t xml:space="preserve">nvidia/Cosmos3-Nano</t>
  </si>
  <si>
    <t xml:space="preserve">https://huggingface.co/nvidia/Cosmos3-Nano</t>
  </si>
  <si>
    <t xml:space="preserve">qylu4156/strongreject-15k-v1</t>
  </si>
  <si>
    <t xml:space="preserve">qylu4156</t>
  </si>
  <si>
    <t xml:space="preserve">https://huggingface.co/qylu4156/strongreject-15k-v1</t>
  </si>
  <si>
    <t xml:space="preserve">dangvantuan/sentence-camembert-base</t>
  </si>
  <si>
    <t xml:space="preserve">dangvantuan</t>
  </si>
  <si>
    <t xml:space="preserve">https://huggingface.co/dangvantuan/sentence-camembert-base</t>
  </si>
  <si>
    <t xml:space="preserve">OpenMed/OpenMed-NER-OrganismDetect-PubMed-335M</t>
  </si>
  <si>
    <t xml:space="preserve">https://huggingface.co/OpenMed/OpenMed-NER-OrganismDetect-PubMed-335M</t>
  </si>
  <si>
    <t xml:space="preserve">OpenMed/OpenMed-NER-SpeciesDetect-PubMed-109M</t>
  </si>
  <si>
    <t xml:space="preserve">https://huggingface.co/OpenMed/OpenMed-NER-SpeciesDetect-PubMed-109M</t>
  </si>
  <si>
    <t xml:space="preserve">dima806/facial_emotions_image_detection</t>
  </si>
  <si>
    <t xml:space="preserve">https://huggingface.co/dima806/facial_emotions_image_detection</t>
  </si>
  <si>
    <t xml:space="preserve">OpenMed/OpenMed-NER-BloodCancerDetect-PubMed-335M</t>
  </si>
  <si>
    <t xml:space="preserve">https://huggingface.co/OpenMed/OpenMed-NER-BloodCancerDetect-PubMed-335M</t>
  </si>
  <si>
    <t xml:space="preserve">monologg/koelectra-small-v2-distilled-korquad-384</t>
  </si>
  <si>
    <t xml:space="preserve">monologg</t>
  </si>
  <si>
    <t xml:space="preserve">https://huggingface.co/monologg/koelectra-small-v2-distilled-korquad-384</t>
  </si>
  <si>
    <t xml:space="preserve">l3cube-pune/hindi-sentence-similarity-sbert</t>
  </si>
  <si>
    <t xml:space="preserve">l3cube-pune</t>
  </si>
  <si>
    <t xml:space="preserve">https://huggingface.co/l3cube-pune/hindi-sentence-similarity-sbert</t>
  </si>
  <si>
    <t xml:space="preserve">OpenMed/OpenMed-NER-BloodCancerDetect-BioMed-335M</t>
  </si>
  <si>
    <t xml:space="preserve">https://huggingface.co/OpenMed/OpenMed-NER-BloodCancerDetect-BioMed-335M</t>
  </si>
  <si>
    <t xml:space="preserve">OpenMed/OpenMed-NER-DNADetect-BioMed-335M</t>
  </si>
  <si>
    <t xml:space="preserve">https://huggingface.co/OpenMed/OpenMed-NER-DNADetect-BioMed-335M</t>
  </si>
  <si>
    <t xml:space="preserve">PM-AI/bi-encoder_msmarco_bert-base_german</t>
  </si>
  <si>
    <t xml:space="preserve">PM-AI</t>
  </si>
  <si>
    <t xml:space="preserve">https://huggingface.co/PM-AI/bi-encoder_msmarco_bert-base_german</t>
  </si>
  <si>
    <t xml:space="preserve">csarron/mobilebert-uncased-squad-v2</t>
  </si>
  <si>
    <t xml:space="preserve">csarron</t>
  </si>
  <si>
    <t xml:space="preserve">https://huggingface.co/csarron/mobilebert-uncased-squad-v2</t>
  </si>
  <si>
    <t xml:space="preserve">OpenMed/OpenMed-NER-DiseaseDetect-PubMed-335M</t>
  </si>
  <si>
    <t xml:space="preserve">https://huggingface.co/OpenMed/OpenMed-NER-DiseaseDetect-PubMed-335M</t>
  </si>
  <si>
    <t xml:space="preserve">TechxGenus/Mistral-Large-Instruct-2411-AWQ</t>
  </si>
  <si>
    <t xml:space="preserve">https://huggingface.co/TechxGenus/Mistral-Large-Instruct-2411-AWQ</t>
  </si>
  <si>
    <t xml:space="preserve">dangvantuan/sentence-camembert-large</t>
  </si>
  <si>
    <t xml:space="preserve">https://huggingface.co/dangvantuan/sentence-camembert-large</t>
  </si>
  <si>
    <t xml:space="preserve">LSX-UniWue/LLaMmlein_1B_prerelease</t>
  </si>
  <si>
    <t xml:space="preserve">LSX-UniWue</t>
  </si>
  <si>
    <t xml:space="preserve">https://huggingface.co/LSX-UniWue/LLaMmlein_1B_prerelease</t>
  </si>
  <si>
    <t xml:space="preserve">mradermacher/MN-12B-Mag-Mell-R1-GGUF</t>
  </si>
  <si>
    <t xml:space="preserve">inflatebot/MN-12B-Mag-Mell-R1</t>
  </si>
  <si>
    <t xml:space="preserve">https://huggingface.co/mradermacher/MN-12B-Mag-Mell-R1-GGUF</t>
  </si>
  <si>
    <t xml:space="preserve">LGAI-EXAONE/EXAONE-4.0-32B</t>
  </si>
  <si>
    <t xml:space="preserve">https://huggingface.co/LGAI-EXAONE/EXAONE-4.0-32B</t>
  </si>
  <si>
    <t xml:space="preserve">OpenMed/OpenMed-NER-BloodCancerDetect-BioMed-109M</t>
  </si>
  <si>
    <t xml:space="preserve">https://huggingface.co/OpenMed/OpenMed-NER-BloodCancerDetect-BioMed-109M</t>
  </si>
  <si>
    <t xml:space="preserve">OpenMed/OpenMed-NER-OrganismDetect-PubMed-109M</t>
  </si>
  <si>
    <t xml:space="preserve">https://huggingface.co/OpenMed/OpenMed-NER-OrganismDetect-PubMed-109M</t>
  </si>
  <si>
    <t xml:space="preserve">OpenMed/OpenMed-NER-DNADetect-PubMed-v2-109M</t>
  </si>
  <si>
    <t xml:space="preserve">https://huggingface.co/OpenMed/OpenMed-NER-DNADetect-PubMed-v2-109M</t>
  </si>
  <si>
    <t xml:space="preserve">w11wo/indonesian-roberta-base-sentiment-classifier</t>
  </si>
  <si>
    <r>
      <rPr>
        <sz val="11"/>
        <color rgb="FF000000"/>
        <rFont val="Noto Sans CJK SC"/>
        <family val="2"/>
      </rPr>
      <t xml:space="preserve">專精領域與資安無關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只支援特定外語</t>
    </r>
  </si>
  <si>
    <t xml:space="preserve">https://huggingface.co/w11wo/indonesian-roberta-base-sentiment-classifier</t>
  </si>
  <si>
    <t xml:space="preserve">timm/ViT-B-16-SigLIP-i18n-256</t>
  </si>
  <si>
    <t xml:space="preserve">https://huggingface.co/timm/ViT-B-16-SigLIP-i18n-256</t>
  </si>
  <si>
    <t xml:space="preserve">sonoisa/sentence-bert-base-ja-mean-tokens</t>
  </si>
  <si>
    <t xml:space="preserve">https://huggingface.co/sonoisa/sentence-bert-base-ja-mean-tokens</t>
  </si>
  <si>
    <t xml:space="preserve">monologg/koelectra-base-v3-finetuned-korquad</t>
  </si>
  <si>
    <t xml:space="preserve">https://huggingface.co/monologg/koelectra-base-v3-finetuned-korquad</t>
  </si>
  <si>
    <t xml:space="preserve">prithivMLmods/open-age-detection</t>
  </si>
  <si>
    <t xml:space="preserve">https://huggingface.co/prithivMLmods/open-age-detection</t>
  </si>
  <si>
    <t xml:space="preserve">OVHaiLLM/ClassiFin</t>
  </si>
  <si>
    <t xml:space="preserve">OVHaiLLM</t>
  </si>
  <si>
    <t xml:space="preserve">https://huggingface.co/OVHaiLLM/ClassiFin</t>
  </si>
  <si>
    <t xml:space="preserve">scragnog/MOSS-Music-8B-Instruct-GGUF</t>
  </si>
  <si>
    <t xml:space="preserve">scragnog</t>
  </si>
  <si>
    <t xml:space="preserve">OpenMOSS-Team/MOSS-Music-8B-Instruct</t>
  </si>
  <si>
    <r>
      <rPr>
        <sz val="11"/>
        <color rgb="FF000000"/>
        <rFont val="Noto Sans CJK SC"/>
        <family val="2"/>
      </rPr>
      <t xml:space="preserve">專精領域與資安無關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量化版本</t>
    </r>
  </si>
  <si>
    <t xml:space="preserve">https://huggingface.co/scragnog/MOSS-Music-8B-Instruct-GGUF</t>
  </si>
  <si>
    <t xml:space="preserve">OpenMed/OpenMed-NER-ChemicalDetect-BioMed-109M</t>
  </si>
  <si>
    <t xml:space="preserve">https://huggingface.co/OpenMed/OpenMed-NER-ChemicalDetect-BioMed-109M</t>
  </si>
  <si>
    <t xml:space="preserve">handy-computer/parakeet-unified-en-0.6b-gguf</t>
  </si>
  <si>
    <t xml:space="preserve">nvidia/parakeet-unified-en-0.6b</t>
  </si>
  <si>
    <t xml:space="preserve">https://huggingface.co/handy-computer/parakeet-unified-en-0.6b-gguf</t>
  </si>
  <si>
    <t xml:space="preserve">facebook/mask2former-swin-tiny-coco-instance</t>
  </si>
  <si>
    <t xml:space="preserve">https://huggingface.co/facebook/mask2former-swin-tiny-coco-instance</t>
  </si>
  <si>
    <t xml:space="preserve">OpenMed/OpenMed-NER-AnatomyDetect-BioMed-109M</t>
  </si>
  <si>
    <t xml:space="preserve">https://huggingface.co/OpenMed/OpenMed-NER-AnatomyDetect-BioMed-109M</t>
  </si>
  <si>
    <t xml:space="preserve">OpenMed/OpenMed-NER-PharmaDetect-PubMed-335M</t>
  </si>
  <si>
    <t xml:space="preserve">https://huggingface.co/OpenMed/OpenMed-NER-PharmaDetect-PubMed-335M</t>
  </si>
  <si>
    <t xml:space="preserve">camenduru/dinov3-vitl16-pretrain-lvd1689m</t>
  </si>
  <si>
    <t xml:space="preserve">camenduru</t>
  </si>
  <si>
    <t xml:space="preserve">https://huggingface.co/camenduru/dinov3-vitl16-pretrain-lvd1689m</t>
  </si>
  <si>
    <t xml:space="preserve">hiiamsid/sentence_similarity_spanish_es</t>
  </si>
  <si>
    <t xml:space="preserve">hiiamsid</t>
  </si>
  <si>
    <t xml:space="preserve">https://huggingface.co/hiiamsid/sentence_similarity_spanish_es</t>
  </si>
  <si>
    <t xml:space="preserve">documentazione/Mistral-Small-3.2-24B-Instruct-2506-int8</t>
  </si>
  <si>
    <t xml:space="preserve">documentazione</t>
  </si>
  <si>
    <t xml:space="preserve">https://huggingface.co/documentazione/Mistral-Small-3.2-24B-Instruct-2506-int8</t>
  </si>
  <si>
    <t xml:space="preserve">Alimzhan/wav2vec2-large-xls-r-300m-albanian-colab</t>
  </si>
  <si>
    <t xml:space="preserve">Alimzhan</t>
  </si>
  <si>
    <t xml:space="preserve">https://huggingface.co/Alimzhan/wav2vec2-large-xls-r-300m-albanian-colab</t>
  </si>
  <si>
    <t xml:space="preserve">OpenMed/OpenMed-NER-DNADetect-PubMed-109M</t>
  </si>
  <si>
    <t xml:space="preserve">https://huggingface.co/OpenMed/OpenMed-NER-DNADetect-PubMed-109M</t>
  </si>
  <si>
    <t xml:space="preserve">NousResearch/Hermes-3-Llama-3.1-70B-FP8</t>
  </si>
  <si>
    <t xml:space="preserve">https://huggingface.co/NousResearch/Hermes-3-Llama-3.1-70B-FP8</t>
  </si>
  <si>
    <t xml:space="preserve">tristayqc/my_zh_CN_asr_cv13_model</t>
  </si>
  <si>
    <t xml:space="preserve">tristayqc</t>
  </si>
  <si>
    <t xml:space="preserve">jonatasgrosman/wav2vec2-large-xlsr-53-chinese-zh-cn</t>
  </si>
  <si>
    <t xml:space="preserve">https://huggingface.co/tristayqc/my_zh_CN_asr_cv13_model</t>
  </si>
  <si>
    <t xml:space="preserve">OpenMed/OpenMed-NER-ProteinDetect-PubMed-109M</t>
  </si>
  <si>
    <t xml:space="preserve">https://huggingface.co/OpenMed/OpenMed-NER-ProteinDetect-PubMed-109M</t>
  </si>
  <si>
    <t xml:space="preserve">OpenMed/OpenMed-NER-DiseaseDetect-BioMed-109M</t>
  </si>
  <si>
    <t xml:space="preserve">https://huggingface.co/OpenMed/OpenMed-NER-DiseaseDetect-BioMed-109M</t>
  </si>
  <si>
    <t xml:space="preserve">OpenMed/OpenMed-NER-PathologyDetect-PubMed-335M</t>
  </si>
  <si>
    <t xml:space="preserve">https://huggingface.co/OpenMed/OpenMed-NER-PathologyDetect-PubMed-335M</t>
  </si>
  <si>
    <t xml:space="preserve">OpenMed/OpenMed-NER-ChemicalDetect-PubMed-109M</t>
  </si>
  <si>
    <t xml:space="preserve">https://huggingface.co/OpenMed/OpenMed-NER-ChemicalDetect-PubMed-109M</t>
  </si>
  <si>
    <t xml:space="preserve">OpenMed/OpenMed-NER-PharmaDetect-PubMed-109M</t>
  </si>
  <si>
    <t xml:space="preserve">https://huggingface.co/OpenMed/OpenMed-NER-PharmaDetect-PubMed-109M</t>
  </si>
  <si>
    <t xml:space="preserve">OpenMed/OpenMed-NER-ProteinDetect-PubMed-335M</t>
  </si>
  <si>
    <t xml:space="preserve">https://huggingface.co/OpenMed/OpenMed-NER-ProteinDetect-PubMed-335M</t>
  </si>
  <si>
    <t xml:space="preserve">OpenMed/OpenMed-NER-AnatomyDetect-PubMed-v2-109M</t>
  </si>
  <si>
    <t xml:space="preserve">https://huggingface.co/OpenMed/OpenMed-NER-AnatomyDetect-PubMed-v2-109M</t>
  </si>
  <si>
    <t xml:space="preserve">microsoft/rad-dino-maira-2</t>
  </si>
  <si>
    <t xml:space="preserve">https://huggingface.co/microsoft/rad-dino-maira-2</t>
  </si>
  <si>
    <t xml:space="preserve">ibm-research/biomed.omics.bl.sm.ma-ted-458m.dti_bindingdb_pkd</t>
  </si>
  <si>
    <t xml:space="preserve">ibm-research/biomed.omics.bl.sm.ma-ted-458m</t>
  </si>
  <si>
    <t xml:space="preserve">https://huggingface.co/ibm-research/biomed.omics.bl.sm.ma-ted-458m.dti_bindingdb_pkd</t>
  </si>
  <si>
    <t xml:space="preserve">OpenMed/OpenMed-NER-OncologyDetect-PubMed-335M</t>
  </si>
  <si>
    <t xml:space="preserve">https://huggingface.co/OpenMed/OpenMed-NER-OncologyDetect-PubMed-335M</t>
  </si>
  <si>
    <t xml:space="preserve">bartowski/Hermes-3-Llama-3.1-70B-GGUF</t>
  </si>
  <si>
    <t xml:space="preserve">NousResearch/Hermes-3-Llama-3.1-70B</t>
  </si>
  <si>
    <t xml:space="preserve">https://huggingface.co/bartowski/Hermes-3-Llama-3.1-70B-GGUF</t>
  </si>
  <si>
    <t xml:space="preserve">jeffcookio/Mistral-Small-3.2-24B-Instruct-2506-awq-sym</t>
  </si>
  <si>
    <t xml:space="preserve">jeffcookio</t>
  </si>
  <si>
    <t xml:space="preserve">https://huggingface.co/jeffcookio/Mistral-Small-3.2-24B-Instruct-2506-awq-sym</t>
  </si>
  <si>
    <t xml:space="preserve">OpenMed/OpenMed-NER-AnatomyDetect-BioMed-335M</t>
  </si>
  <si>
    <t xml:space="preserve">https://huggingface.co/OpenMed/OpenMed-NER-AnatomyDetect-BioMed-335M</t>
  </si>
  <si>
    <t xml:space="preserve">nvidia/prompt-task-and-complexity-classifier</t>
  </si>
  <si>
    <t xml:space="preserve">https://huggingface.co/nvidia/prompt-task-and-complexity-classifier</t>
  </si>
  <si>
    <t xml:space="preserve">facebook/sam2.1-hiera-base-plus</t>
  </si>
  <si>
    <t xml:space="preserve">https://huggingface.co/facebook/sam2.1-hiera-base-plus</t>
  </si>
  <si>
    <t xml:space="preserve">IlyaGusev/saiga_llama3_8b</t>
  </si>
  <si>
    <t xml:space="preserve">IlyaGusev</t>
  </si>
  <si>
    <t xml:space="preserve">https://huggingface.co/IlyaGusev/saiga_llama3_8b</t>
  </si>
  <si>
    <t xml:space="preserve">OpenMed/OpenMed-NER-ProteinDetect-PubMed-v2-109M</t>
  </si>
  <si>
    <t xml:space="preserve">https://huggingface.co/OpenMed/OpenMed-NER-ProteinDetect-PubMed-v2-109M</t>
  </si>
  <si>
    <t xml:space="preserve">OpenMed/OpenMed-NER-OncologyDetect-BioMed-335M</t>
  </si>
  <si>
    <t xml:space="preserve">https://huggingface.co/OpenMed/OpenMed-NER-OncologyDetect-BioMed-335M</t>
  </si>
  <si>
    <t xml:space="preserve">OpenMed/OpenMed-NER-AnatomyDetect-PubMed-335M</t>
  </si>
  <si>
    <t xml:space="preserve">https://huggingface.co/OpenMed/OpenMed-NER-AnatomyDetect-PubMed-335M</t>
  </si>
  <si>
    <t xml:space="preserve">latam-gpt/Llama-3.1-70B-LatamGPT-SFT-1.0</t>
  </si>
  <si>
    <t xml:space="preserve">latam-gpt</t>
  </si>
  <si>
    <t xml:space="preserve">https://huggingface.co/latam-gpt/Llama-3.1-70B-LatamGPT-SFT-1.0</t>
  </si>
  <si>
    <t xml:space="preserve">jonatasgrosman/wav2vec2-large-xlsr-53-english</t>
  </si>
  <si>
    <t xml:space="preserve">jonatasgrosman</t>
  </si>
  <si>
    <t xml:space="preserve">https://huggingface.co/jonatasgrosman/wav2vec2-large-xlsr-53-english</t>
  </si>
  <si>
    <t xml:space="preserve">prithivMLmods/Age-Classification-SigLIP2</t>
  </si>
  <si>
    <t xml:space="preserve">https://huggingface.co/prithivMLmods/Age-Classification-SigLIP2</t>
  </si>
  <si>
    <t xml:space="preserve">OpenMed/OpenMed-NER-PharmaDetect-BioMed-335M</t>
  </si>
  <si>
    <t xml:space="preserve">https://huggingface.co/OpenMed/OpenMed-NER-PharmaDetect-BioMed-335M</t>
  </si>
  <si>
    <t xml:space="preserve">zer0int/CLIP-GmP-ViT-L-14</t>
  </si>
  <si>
    <t xml:space="preserve">zer0int</t>
  </si>
  <si>
    <t xml:space="preserve">https://huggingface.co/zer0int/CLIP-GmP-ViT-L-14</t>
  </si>
  <si>
    <t xml:space="preserve">mrm8488/deberta-v3-ft-financial-news-sentiment-analysis</t>
  </si>
  <si>
    <t xml:space="preserve">https://huggingface.co/mrm8488/deberta-v3-ft-financial-news-sentiment-analysis</t>
  </si>
  <si>
    <t xml:space="preserve">handy-computer/parakeet-tdt-0.6b-v2-gguf</t>
  </si>
  <si>
    <t xml:space="preserve">https://huggingface.co/handy-computer/parakeet-tdt-0.6b-v2-gguf</t>
  </si>
  <si>
    <t xml:space="preserve">biohub/ESMFold2-Experimental-Fast</t>
  </si>
  <si>
    <t xml:space="preserve">biohub</t>
  </si>
  <si>
    <t xml:space="preserve">https://huggingface.co/biohub/ESMFold2-Experimental-Fast</t>
  </si>
  <si>
    <t xml:space="preserve">dascim/juribert-base</t>
  </si>
  <si>
    <t xml:space="preserve">dascim</t>
  </si>
  <si>
    <t xml:space="preserve">https://huggingface.co/dascim/juribert-base</t>
  </si>
  <si>
    <t xml:space="preserve">OpenMed/OpenMed-NER-DNADetect-PubMed-335M</t>
  </si>
  <si>
    <t xml:space="preserve">https://huggingface.co/OpenMed/OpenMed-NER-DNADetect-PubMed-335M</t>
  </si>
  <si>
    <t xml:space="preserve">MoritzLaurer/DeBERTa-v3-large-mnli-fever-anli-ling-wanli</t>
  </si>
  <si>
    <t xml:space="preserve">https://huggingface.co/MoritzLaurer/DeBERTa-v3-large-mnli-fever-anli-ling-wanli</t>
  </si>
  <si>
    <t xml:space="preserve">prithivMLmods/Watermark-Detection-SigLIP2</t>
  </si>
  <si>
    <t xml:space="preserve">https://huggingface.co/prithivMLmods/Watermark-Detection-SigLIP2</t>
  </si>
  <si>
    <t xml:space="preserve">OpenMed/OpenMed-NER-DiseaseDetect-PubMed-109M</t>
  </si>
  <si>
    <t xml:space="preserve">https://huggingface.co/OpenMed/OpenMed-NER-DiseaseDetect-PubMed-109M</t>
  </si>
  <si>
    <t xml:space="preserve">biohub/ESMFold2-Experimental-Fast-Cutoff2025</t>
  </si>
  <si>
    <t xml:space="preserve">https://huggingface.co/biohub/ESMFold2-Experimental-Fast-Cutoff2025</t>
  </si>
  <si>
    <t xml:space="preserve">monologg/kobert</t>
  </si>
  <si>
    <t xml:space="preserve">https://huggingface.co/monologg/kobert</t>
  </si>
  <si>
    <t xml:space="preserve">sergeyzh/rubert-tiny-turbo</t>
  </si>
  <si>
    <t xml:space="preserve">sergeyzh</t>
  </si>
  <si>
    <t xml:space="preserve">https://huggingface.co/sergeyzh/rubert-tiny-turbo</t>
  </si>
  <si>
    <t xml:space="preserve">OpenMed/OpenMed-NER-SpeciesDetect-BioMed-109M</t>
  </si>
  <si>
    <t xml:space="preserve">https://huggingface.co/OpenMed/OpenMed-NER-SpeciesDetect-BioMed-109M</t>
  </si>
  <si>
    <t xml:space="preserve">inflatebot</t>
  </si>
  <si>
    <t xml:space="preserve">Fizzarolli/MN-12b-Sunrose</t>
  </si>
  <si>
    <t xml:space="preserve">https://huggingface.co/inflatebot/MN-12B-Mag-Mell-R1</t>
  </si>
  <si>
    <t xml:space="preserve">https://huggingface.co/NousResearch/Hermes-3-Llama-3.1-70B</t>
  </si>
  <si>
    <t xml:space="preserve">OpenMed/OpenMed-NER-OrganismDetect-BioMed-335M</t>
  </si>
  <si>
    <t xml:space="preserve">https://huggingface.co/OpenMed/OpenMed-NER-OrganismDetect-BioMed-335M</t>
  </si>
  <si>
    <t xml:space="preserve">OpenMed/OpenMed-NER-GenomicDetect-BioMed-335M</t>
  </si>
  <si>
    <t xml:space="preserve">https://huggingface.co/OpenMed/OpenMed-NER-GenomicDetect-BioMed-335M</t>
  </si>
  <si>
    <t xml:space="preserve">mudler/vibevoice.cpp-models</t>
  </si>
  <si>
    <t xml:space="preserve">https://huggingface.co/mudler/vibevoice.cpp-models</t>
  </si>
  <si>
    <t xml:space="preserve">sbintuitions/modernbert-ja-310m</t>
  </si>
  <si>
    <t xml:space="preserve">https://huggingface.co/sbintuitions/modernbert-ja-310m</t>
  </si>
  <si>
    <t xml:space="preserve">OpenMed/OpenMed-NER-ProteinDetect-BioMed-109M</t>
  </si>
  <si>
    <t xml:space="preserve">https://huggingface.co/OpenMed/OpenMed-NER-ProteinDetect-BioMed-109M</t>
  </si>
  <si>
    <t xml:space="preserve">OpenMed/OpenMed-NER-DiseaseDetect-PubMed-v2-109M</t>
  </si>
  <si>
    <t xml:space="preserve">https://huggingface.co/OpenMed/OpenMed-NER-DiseaseDetect-PubMed-v2-109M</t>
  </si>
  <si>
    <t xml:space="preserve">OpenMed/OpenMed-NER-BloodCancerDetect-PubMed-v2-109M</t>
  </si>
  <si>
    <t xml:space="preserve">https://huggingface.co/OpenMed/OpenMed-NER-BloodCancerDetect-PubMed-v2-109M</t>
  </si>
  <si>
    <t xml:space="preserve">handy-computer/granite-speech-4.1-2b-nar-gguf</t>
  </si>
  <si>
    <t xml:space="preserve">ibm-granite/granite-speech-4.1-2b-nar</t>
  </si>
  <si>
    <t xml:space="preserve">https://huggingface.co/handy-computer/granite-speech-4.1-2b-nar-gguf</t>
  </si>
  <si>
    <t xml:space="preserve">OpenMed/OpenMed-NER-DNADetect-BioMed-109M</t>
  </si>
  <si>
    <t xml:space="preserve">https://huggingface.co/OpenMed/OpenMed-NER-DNADetect-BioMed-109M</t>
  </si>
  <si>
    <t xml:space="preserve">OpenMed/OpenMed-NER-OncologyDetect-PubMed-v2-109M</t>
  </si>
  <si>
    <t xml:space="preserve">https://huggingface.co/OpenMed/OpenMed-NER-OncologyDetect-PubMed-v2-109M</t>
  </si>
  <si>
    <t xml:space="preserve">OpenMed/OpenMed-NER-ProteinDetect-BioMed-335M</t>
  </si>
  <si>
    <t xml:space="preserve">https://huggingface.co/OpenMed/OpenMed-NER-ProteinDetect-BioMed-335M</t>
  </si>
  <si>
    <t xml:space="preserve">unsloth/Llama-4-Scout-17B-16E-Instruct-GGUF</t>
  </si>
  <si>
    <t xml:space="preserve">https://huggingface.co/unsloth/Llama-4-Scout-17B-16E-Instruct-GGUF</t>
  </si>
  <si>
    <t xml:space="preserve">SAVSNET/PetBERT</t>
  </si>
  <si>
    <t xml:space="preserve">SAVSNET</t>
  </si>
  <si>
    <t xml:space="preserve">https://huggingface.co/SAVSNET/PetBERT</t>
  </si>
  <si>
    <t xml:space="preserve">OpenMed/OpenMed-NER-GenomicDetect-BioMed-109M</t>
  </si>
  <si>
    <t xml:space="preserve">https://huggingface.co/OpenMed/OpenMed-NER-GenomicDetect-BioMed-109M</t>
  </si>
  <si>
    <t xml:space="preserve">dbmdz/bert-base-german-cased</t>
  </si>
  <si>
    <t xml:space="preserve">https://huggingface.co/dbmdz/bert-base-german-cased</t>
  </si>
  <si>
    <t xml:space="preserve">handy-computer/Voxtral-Small-24B-2507-gguf</t>
  </si>
  <si>
    <t xml:space="preserve">https://huggingface.co/handy-computer/Voxtral-Small-24B-2507-gguf</t>
  </si>
  <si>
    <t xml:space="preserve">OpenMed/OpenMed-NER-GenomeDetect-PubMed-335M</t>
  </si>
  <si>
    <t xml:space="preserve">https://huggingface.co/OpenMed/OpenMed-NER-GenomeDetect-PubMed-335M</t>
  </si>
  <si>
    <t xml:space="preserve">hugging-quants/Llama-3.2-3B-Instruct-Q4_K_M-GGUF</t>
  </si>
  <si>
    <t xml:space="preserve">https://huggingface.co/hugging-quants/Llama-3.2-3B-Instruct-Q4_K_M-GGUF</t>
  </si>
  <si>
    <t xml:space="preserve">MoritzLaurer/multilingual-MiniLMv2-L12-mnli-xnli</t>
  </si>
  <si>
    <t xml:space="preserve">https://huggingface.co/MoritzLaurer/multilingual-MiniLMv2-L12-mnli-xnli</t>
  </si>
  <si>
    <t xml:space="preserve">timm/ViT-B-16-SigLIP-384</t>
  </si>
  <si>
    <t xml:space="preserve">https://huggingface.co/timm/ViT-B-16-SigLIP-384</t>
  </si>
  <si>
    <t xml:space="preserve">Aratako/MioCodec-25Hz-44.1kHz-v2</t>
  </si>
  <si>
    <t xml:space="preserve">Aratako</t>
  </si>
  <si>
    <t xml:space="preserve">Aratako/MioCodec-25Hz-24kHz</t>
  </si>
  <si>
    <t xml:space="preserve">https://huggingface.co/Aratako/MioCodec-25Hz-44.1kHz-v2</t>
  </si>
  <si>
    <t xml:space="preserve">OpenMed/OpenMed-NER-AnatomyDetect-PubMed-109M</t>
  </si>
  <si>
    <t xml:space="preserve">https://huggingface.co/OpenMed/OpenMed-NER-AnatomyDetect-PubMed-109M</t>
  </si>
  <si>
    <t xml:space="preserve">facebook/encodec_32khz</t>
  </si>
  <si>
    <t xml:space="preserve">https://huggingface.co/facebook/encodec_32khz</t>
  </si>
  <si>
    <t xml:space="preserve">handy-computer/granite-speech-4.1-2b-gguf</t>
  </si>
  <si>
    <t xml:space="preserve">https://huggingface.co/handy-computer/granite-speech-4.1-2b-gguf</t>
  </si>
  <si>
    <t xml:space="preserve">google/tabfm-1.0.0-pytorch</t>
  </si>
  <si>
    <t xml:space="preserve">https://huggingface.co/google/tabfm-1.0.0-pytorch</t>
  </si>
  <si>
    <t xml:space="preserve">timm/vit_base_patch32_clip_224.laion400m_e31</t>
  </si>
  <si>
    <t xml:space="preserve">https://huggingface.co/timm/vit_base_patch32_clip_224.laion400m_e31</t>
  </si>
  <si>
    <t xml:space="preserve">ac0hik/Sentiment_Analysis_French</t>
  </si>
  <si>
    <t xml:space="preserve">ac0hik</t>
  </si>
  <si>
    <t xml:space="preserve">https://huggingface.co/ac0hik/Sentiment_Analysis_French</t>
  </si>
  <si>
    <t xml:space="preserve">nie3e/sentiment-polish-gpt2-small</t>
  </si>
  <si>
    <t xml:space="preserve">nie3e</t>
  </si>
  <si>
    <t xml:space="preserve">sdadas/polish-gpt2-small</t>
  </si>
  <si>
    <t xml:space="preserve">https://huggingface.co/nie3e/sentiment-polish-gpt2-small</t>
  </si>
  <si>
    <t xml:space="preserve">CIDAS/clipseg-rd64-refined</t>
  </si>
  <si>
    <t xml:space="preserve">CIDAS</t>
  </si>
  <si>
    <t xml:space="preserve">https://huggingface.co/CIDAS/clipseg-rd64-refined</t>
  </si>
  <si>
    <t xml:space="preserve">biohub/ESMFold2-Experimental-Cutoff2025</t>
  </si>
  <si>
    <t xml:space="preserve">https://huggingface.co/biohub/ESMFold2-Experimental-Cutoff2025</t>
  </si>
  <si>
    <t xml:space="preserve">handy-computer/whisper-large-gguf</t>
  </si>
  <si>
    <t xml:space="preserve">https://huggingface.co/handy-computer/whisper-large-gguf</t>
  </si>
  <si>
    <t xml:space="preserve">Arki05/Grok-1-GGUF</t>
  </si>
  <si>
    <t xml:space="preserve">Arki05</t>
  </si>
  <si>
    <t xml:space="preserve">https://huggingface.co/Arki05/Grok-1-GGUF</t>
  </si>
  <si>
    <t xml:space="preserve">skt/A.X-K1</t>
  </si>
  <si>
    <t xml:space="preserve">https://huggingface.co/skt/A.X-K1</t>
  </si>
  <si>
    <t xml:space="preserve">VoVanPhuc/sup-SimCSE-VietNamese-phobert-base</t>
  </si>
  <si>
    <t xml:space="preserve">VoVanPhuc</t>
  </si>
  <si>
    <t xml:space="preserve">https://huggingface.co/VoVanPhuc/sup-SimCSE-VietNamese-phobert-base</t>
  </si>
  <si>
    <t xml:space="preserve">neulab/codebert-python</t>
  </si>
  <si>
    <t xml:space="preserve">neulab</t>
  </si>
  <si>
    <t xml:space="preserve">https://huggingface.co/neulab/codebert-python</t>
  </si>
  <si>
    <t xml:space="preserve">AdamCodd/tinybert-emotion-balanced</t>
  </si>
  <si>
    <t xml:space="preserve">https://huggingface.co/AdamCodd/tinybert-emotion-balanced</t>
  </si>
  <si>
    <t xml:space="preserve">mudler/locate-anything.cpp-gguf</t>
  </si>
  <si>
    <t xml:space="preserve">nvidia/LocateAnything-3B</t>
  </si>
  <si>
    <t xml:space="preserve">https://huggingface.co/mudler/locate-anything.cpp-gguf</t>
  </si>
  <si>
    <t xml:space="preserve">dominguesm/legal-bert-base-cased-ptbr</t>
  </si>
  <si>
    <t xml:space="preserve">dominguesm</t>
  </si>
  <si>
    <t xml:space="preserve">https://huggingface.co/dominguesm/legal-bert-base-cased-ptbr</t>
  </si>
  <si>
    <t xml:space="preserve">ntu-spml/distilhubert</t>
  </si>
  <si>
    <t xml:space="preserve">ntu-spml</t>
  </si>
  <si>
    <t xml:space="preserve">https://huggingface.co/ntu-spml/distilhubert</t>
  </si>
  <si>
    <t xml:space="preserve">facebook/sam2-hiera-large</t>
  </si>
  <si>
    <t xml:space="preserve">https://huggingface.co/facebook/sam2-hiera-large</t>
  </si>
  <si>
    <t xml:space="preserve">laion/CLIP-convnext_base_w_320-laion_aesthetic-s13B-b82K-augreg</t>
  </si>
  <si>
    <t xml:space="preserve">https://huggingface.co/laion/CLIP-convnext_base_w_320-laion_aesthetic-s13B-b82K-augreg</t>
  </si>
  <si>
    <t xml:space="preserve">nvidia/personaplex-7b-v1</t>
  </si>
  <si>
    <t xml:space="preserve">https://huggingface.co/nvidia/personaplex-7b-v1</t>
  </si>
  <si>
    <t xml:space="preserve">oliverguhr/german-sentiment-bert</t>
  </si>
  <si>
    <t xml:space="preserve">https://huggingface.co/oliverguhr/german-sentiment-bert</t>
  </si>
  <si>
    <t xml:space="preserve">laion/CLIP-ViT-B-32-DataComp.XL-s13B-b90K</t>
  </si>
  <si>
    <t xml:space="preserve">https://huggingface.co/laion/CLIP-ViT-B-32-DataComp.XL-s13B-b90K</t>
  </si>
  <si>
    <t xml:space="preserve">Leo97/KoELECTRA-small-v3-modu-ner</t>
  </si>
  <si>
    <t xml:space="preserve">Leo97</t>
  </si>
  <si>
    <t xml:space="preserve">https://huggingface.co/Leo97/KoELECTRA-small-v3-modu-ner</t>
  </si>
  <si>
    <t xml:space="preserve">dbmdz/bert-base-turkish-128k-uncased</t>
  </si>
  <si>
    <t xml:space="preserve">https://huggingface.co/dbmdz/bert-base-turkish-128k-uncased</t>
  </si>
  <si>
    <t xml:space="preserve">pearl-ai/Llama-3.3-70B-Instruct-pearl</t>
  </si>
  <si>
    <t xml:space="preserve">https://huggingface.co/pearl-ai/Llama-3.3-70B-Instruct-pearl</t>
  </si>
  <si>
    <t xml:space="preserve">nvidia/music-flamingo-2601-hf</t>
  </si>
  <si>
    <r>
      <rPr>
        <sz val="11"/>
        <color rgb="FF000000"/>
        <rFont val="Noto Sans CJK SC"/>
        <family val="2"/>
      </rPr>
      <t xml:space="preserve">專精領域與資安無關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授權需確認</t>
    </r>
  </si>
  <si>
    <t xml:space="preserve">https://huggingface.co/nvidia/music-flamingo-2601-hf</t>
  </si>
  <si>
    <t xml:space="preserve">handy-computer/whisper-large-v2-gguf</t>
  </si>
  <si>
    <t xml:space="preserve">https://huggingface.co/handy-computer/whisper-large-v2-gguf</t>
  </si>
  <si>
    <t xml:space="preserve">KBLab/wav2vec2-large-voxrex-swedish</t>
  </si>
  <si>
    <t xml:space="preserve">https://huggingface.co/KBLab/wav2vec2-large-voxrex-swedish</t>
  </si>
  <si>
    <t xml:space="preserve">lmg-anon/vntl-llama3-8b-v2-gguf</t>
  </si>
  <si>
    <t xml:space="preserve">lmg-anon</t>
  </si>
  <si>
    <t xml:space="preserve">rinna/llama-3-youko-8b</t>
  </si>
  <si>
    <t xml:space="preserve">https://huggingface.co/lmg-anon/vntl-llama3-8b-v2-gguf</t>
  </si>
  <si>
    <t xml:space="preserve">Xenova/whisper-base.en</t>
  </si>
  <si>
    <t xml:space="preserve">https://huggingface.co/Xenova/whisper-base.en</t>
  </si>
  <si>
    <t xml:space="preserve">bhadresh-savani/distilbert-base-uncased-emotion</t>
  </si>
  <si>
    <t xml:space="preserve">bhadresh-savani</t>
  </si>
  <si>
    <t xml:space="preserve">https://huggingface.co/bhadresh-savani/distilbert-base-uncased-emotion</t>
  </si>
  <si>
    <t xml:space="preserve">pszemraj/electra-small-discriminator-CoLA</t>
  </si>
  <si>
    <t xml:space="preserve">google/electra-small-discriminator</t>
  </si>
  <si>
    <t xml:space="preserve">https://huggingface.co/pszemraj/electra-small-discriminator-CoLA</t>
  </si>
  <si>
    <t xml:space="preserve">SmilingWolf/wd-swinv2-tagger-v3</t>
  </si>
  <si>
    <t xml:space="preserve">SmilingWolf</t>
  </si>
  <si>
    <t xml:space="preserve">https://huggingface.co/SmilingWolf/wd-swinv2-tagger-v3</t>
  </si>
  <si>
    <t xml:space="preserve">PKOBP/polish-roberta-8k</t>
  </si>
  <si>
    <t xml:space="preserve">PKOBP</t>
  </si>
  <si>
    <t xml:space="preserve">https://huggingface.co/PKOBP/polish-roberta-8k</t>
  </si>
  <si>
    <t xml:space="preserve">handy-computer/Voxtral-Mini-3B-2507-gguf</t>
  </si>
  <si>
    <t xml:space="preserve">https://huggingface.co/handy-computer/Voxtral-Mini-3B-2507-gguf</t>
  </si>
  <si>
    <t xml:space="preserve">Comfy-Org/BiRefNet</t>
  </si>
  <si>
    <t xml:space="preserve">ZhengPeng7/BiRefNet</t>
  </si>
  <si>
    <t xml:space="preserve">https://huggingface.co/Comfy-Org/BiRefNet</t>
  </si>
  <si>
    <t xml:space="preserve">facebook/sam-audio-judge</t>
  </si>
  <si>
    <t xml:space="preserve">https://huggingface.co/facebook/sam-audio-judge</t>
  </si>
  <si>
    <t xml:space="preserve">Yehor/w2v-xls-r-uk</t>
  </si>
  <si>
    <t xml:space="preserve">Yehor</t>
  </si>
  <si>
    <t xml:space="preserve">https://huggingface.co/Yehor/w2v-xls-r-uk</t>
  </si>
  <si>
    <t xml:space="preserve">NbAiLab/nb-wav2vec2-1b-nynorsk</t>
  </si>
  <si>
    <t xml:space="preserve">https://huggingface.co/NbAiLab/nb-wav2vec2-1b-nynorsk</t>
  </si>
  <si>
    <t xml:space="preserve">handy-computer/Breeze-ASR-25-gguf</t>
  </si>
  <si>
    <t xml:space="preserve">MediaTek-Research/Breeze-ASR-25</t>
  </si>
  <si>
    <t xml:space="preserve">https://huggingface.co/handy-computer/Breeze-ASR-25-gguf</t>
  </si>
  <si>
    <t xml:space="preserve">Riksarkivet/trocr-base-handwritten-hist-swe-2</t>
  </si>
  <si>
    <t xml:space="preserve">Riksarkivet</t>
  </si>
  <si>
    <t xml:space="preserve">https://huggingface.co/Riksarkivet/trocr-base-handwritten-hist-swe-2</t>
  </si>
  <si>
    <t xml:space="preserve">biohub/ESMFold2-Experimental</t>
  </si>
  <si>
    <t xml:space="preserve">https://huggingface.co/biohub/ESMFold2-Experimental</t>
  </si>
  <si>
    <t xml:space="preserve">Modotte/AIRealNet</t>
  </si>
  <si>
    <t xml:space="preserve">Modotte</t>
  </si>
  <si>
    <t xml:space="preserve">microsoft/swinv2-tiny-patch4-window16-256</t>
  </si>
  <si>
    <t xml:space="preserve">https://huggingface.co/Modotte/AIRealNet</t>
  </si>
  <si>
    <t xml:space="preserve">human-centered-summarization/financial-summarization-pegasus</t>
  </si>
  <si>
    <t xml:space="preserve">human-centered-summarization</t>
  </si>
  <si>
    <t xml:space="preserve">https://huggingface.co/human-centered-summarization/financial-summarization-pegasus</t>
  </si>
  <si>
    <t xml:space="preserve">MediaTek-Research</t>
  </si>
  <si>
    <t xml:space="preserve">https://huggingface.co/MediaTek-Research/Breeze-ASR-25</t>
  </si>
  <si>
    <t xml:space="preserve">gilf/french-camembert-postag-model</t>
  </si>
  <si>
    <t xml:space="preserve">gilf</t>
  </si>
  <si>
    <t xml:space="preserve">https://huggingface.co/gilf/french-camembert-postag-model</t>
  </si>
  <si>
    <t xml:space="preserve">Intel/dpt-large</t>
  </si>
  <si>
    <t xml:space="preserve">https://huggingface.co/Intel/dpt-large</t>
  </si>
  <si>
    <t xml:space="preserve">biglab/uiclip_jitteredwebsites-2-224-paraphrased_webpairs_humanpairs</t>
  </si>
  <si>
    <t xml:space="preserve">biglab</t>
  </si>
  <si>
    <t xml:space="preserve">biglab/uiclip_jitteredwebsites-2-224-paraphrased_webpairs</t>
  </si>
  <si>
    <t xml:space="preserve">https://huggingface.co/biglab/uiclip_jitteredwebsites-2-224-paraphrased_webpairs_humanpairs</t>
  </si>
  <si>
    <t xml:space="preserve">vidore/colSmol-500M</t>
  </si>
  <si>
    <t xml:space="preserve">vidore/ColSmolVLM-Instruct-500M-base</t>
  </si>
  <si>
    <t xml:space="preserve">https://huggingface.co/vidore/colSmol-500M</t>
  </si>
  <si>
    <t xml:space="preserve">StephanAkkerman/FinTwitBERT-sentiment</t>
  </si>
  <si>
    <t xml:space="preserve">StephanAkkerman</t>
  </si>
  <si>
    <t xml:space="preserve">StephanAkkerman/FinTwitBERT</t>
  </si>
  <si>
    <t xml:space="preserve">https://huggingface.co/StephanAkkerman/FinTwitBERT-sentiment</t>
  </si>
  <si>
    <t xml:space="preserve">Oriserve/Whisper-Hindi2Hinglish-Prime</t>
  </si>
  <si>
    <t xml:space="preserve">Oriserve</t>
  </si>
  <si>
    <t xml:space="preserve">https://huggingface.co/Oriserve/Whisper-Hindi2Hinglish-Prime</t>
  </si>
  <si>
    <t xml:space="preserve">bosonai/higgs-audio-v2-tokenizer</t>
  </si>
  <si>
    <t xml:space="preserve">https://huggingface.co/bosonai/higgs-audio-v2-tokenizer</t>
  </si>
  <si>
    <t xml:space="preserve">manuelgutierrez/WhiteRabbitNeo-33B-v1.5-GGUF</t>
  </si>
  <si>
    <t xml:space="preserve">manuelgutierrez</t>
  </si>
  <si>
    <t xml:space="preserve">https://huggingface.co/manuelgutierrez/WhiteRabbitNeo-33B-v1.5-GGUF</t>
  </si>
  <si>
    <t xml:space="preserve">ProCreations/grug-27b-mtp-gguf</t>
  </si>
  <si>
    <t xml:space="preserve">ProCreations/grug-27b-mtp</t>
  </si>
  <si>
    <t xml:space="preserve">https://huggingface.co/ProCreations/grug-27b-mtp-gguf</t>
  </si>
  <si>
    <t xml:space="preserve">lmsys/gpt-oss-120b-bf16</t>
  </si>
  <si>
    <t xml:space="preserve">https://huggingface.co/lmsys/gpt-oss-120b-bf16</t>
  </si>
  <si>
    <t xml:space="preserve">m3rg-iitd/matscibert</t>
  </si>
  <si>
    <t xml:space="preserve">m3rg-iitd</t>
  </si>
  <si>
    <t xml:space="preserve">https://huggingface.co/m3rg-iitd/matscibert</t>
  </si>
  <si>
    <t xml:space="preserve">openmmlab/upernet-swin-large</t>
  </si>
  <si>
    <t xml:space="preserve">openmmlab</t>
  </si>
  <si>
    <t xml:space="preserve">https://huggingface.co/openmmlab/upernet-swin-large</t>
  </si>
  <si>
    <t xml:space="preserve">beomi/kcbert-base</t>
  </si>
  <si>
    <t xml:space="preserve">beomi</t>
  </si>
  <si>
    <t xml:space="preserve">https://huggingface.co/beomi/kcbert-base</t>
  </si>
  <si>
    <t xml:space="preserve">stefan-it/wav2vec2-large-xlsr-53-basque</t>
  </si>
  <si>
    <t xml:space="preserve">stefan-it</t>
  </si>
  <si>
    <t xml:space="preserve">https://huggingface.co/stefan-it/wav2vec2-large-xlsr-53-basque</t>
  </si>
  <si>
    <t xml:space="preserve">owkin/phikon-v2</t>
  </si>
  <si>
    <t xml:space="preserve">https://huggingface.co/owkin/phikon-v2</t>
  </si>
  <si>
    <t xml:space="preserve">sumedh/wav2vec2-large-xlsr-marathi</t>
  </si>
  <si>
    <t xml:space="preserve">sumedh</t>
  </si>
  <si>
    <t xml:space="preserve">facebook/wav2vec2-large-xlsr-53</t>
  </si>
  <si>
    <t xml:space="preserve">https://huggingface.co/sumedh/wav2vec2-large-xlsr-marathi</t>
  </si>
  <si>
    <t xml:space="preserve">ogkalu/comic-text-and-bubble-detector</t>
  </si>
  <si>
    <t xml:space="preserve">ogkalu</t>
  </si>
  <si>
    <t xml:space="preserve">https://huggingface.co/ogkalu/comic-text-and-bubble-detector</t>
  </si>
  <si>
    <t xml:space="preserve">casperhansen/llama-3-70b-instruct-awq</t>
  </si>
  <si>
    <t xml:space="preserve">https://huggingface.co/casperhansen/llama-3-70b-instruct-awq</t>
  </si>
  <si>
    <t xml:space="preserve">ku-nlp/deberta-v2-large-japanese-char-wwm</t>
  </si>
  <si>
    <t xml:space="preserve">ku-nlp</t>
  </si>
  <si>
    <t xml:space="preserve">https://huggingface.co/ku-nlp/deberta-v2-large-japanese-char-wwm</t>
  </si>
  <si>
    <t xml:space="preserve">aari1995/German_Semantic_STS_V2</t>
  </si>
  <si>
    <t xml:space="preserve">aari1995</t>
  </si>
  <si>
    <t xml:space="preserve">https://huggingface.co/aari1995/German_Semantic_STS_V2</t>
  </si>
  <si>
    <t xml:space="preserve">joeddav/bart-large-mnli-yahoo-answers</t>
  </si>
  <si>
    <t xml:space="preserve">https://huggingface.co/joeddav/bart-large-mnli-yahoo-answers</t>
  </si>
  <si>
    <t xml:space="preserve">gigant/romanian-wav2vec2</t>
  </si>
  <si>
    <t xml:space="preserve">gigant</t>
  </si>
  <si>
    <t xml:space="preserve">https://huggingface.co/gigant/romanian-wav2vec2</t>
  </si>
  <si>
    <t xml:space="preserve">scerz/VibeVoice-ASR-4bit</t>
  </si>
  <si>
    <t xml:space="preserve">scerz</t>
  </si>
  <si>
    <t xml:space="preserve">https://huggingface.co/scerz/VibeVoice-ASR-4bit</t>
  </si>
  <si>
    <t xml:space="preserve">moonshine-ai/moonshine-tiny</t>
  </si>
  <si>
    <t xml:space="preserve">moonshine-ai</t>
  </si>
  <si>
    <t xml:space="preserve">https://huggingface.co/moonshine-ai/moonshine-tiny</t>
  </si>
  <si>
    <t xml:space="preserve">liuhaotian/llava-v1.6-vicuna-13b</t>
  </si>
  <si>
    <t xml:space="preserve">https://huggingface.co/liuhaotian/llava-v1.6-vicuna-13b</t>
  </si>
  <si>
    <t xml:space="preserve">timm/vit_base_patch32_clip_224.openai</t>
  </si>
  <si>
    <t xml:space="preserve">https://huggingface.co/timm/vit_base_patch32_clip_224.openai</t>
  </si>
  <si>
    <t xml:space="preserve">comodoro/wav2vec2-xls-r-300m-cs-250</t>
  </si>
  <si>
    <t xml:space="preserve">comodoro</t>
  </si>
  <si>
    <t xml:space="preserve">https://huggingface.co/comodoro/wav2vec2-xls-r-300m-cs-250</t>
  </si>
  <si>
    <t xml:space="preserve">jimregan/wav2vec2-large-xlsr-latvian-cv</t>
  </si>
  <si>
    <t xml:space="preserve">jimregan</t>
  </si>
  <si>
    <t xml:space="preserve">https://huggingface.co/jimregan/wav2vec2-large-xlsr-latvian-cv</t>
  </si>
  <si>
    <t xml:space="preserve">facebook/mask2former-swin-small-coco-instance</t>
  </si>
  <si>
    <t xml:space="preserve">https://huggingface.co/facebook/mask2former-swin-small-coco-instance</t>
  </si>
  <si>
    <t xml:space="preserve">Comfy-Org/HiDream-O1-Image</t>
  </si>
  <si>
    <t xml:space="preserve">HiDream-ai/HiDream-O1-Image</t>
  </si>
  <si>
    <t xml:space="preserve">image-text-to-image</t>
  </si>
  <si>
    <t xml:space="preserve">https://huggingface.co/Comfy-Org/HiDream-O1-Image</t>
  </si>
  <si>
    <t xml:space="preserve">blaze999/Medical-NER</t>
  </si>
  <si>
    <t xml:space="preserve">blaze999</t>
  </si>
  <si>
    <t xml:space="preserve">https://huggingface.co/blaze999/Medical-NER</t>
  </si>
  <si>
    <t xml:space="preserve">Xenova/whisper-base</t>
  </si>
  <si>
    <t xml:space="preserve">https://huggingface.co/Xenova/whisper-base</t>
  </si>
  <si>
    <t xml:space="preserve">Oriserve/Whisper-Hindi2Hinglish-Apex</t>
  </si>
  <si>
    <t xml:space="preserve">https://huggingface.co/Oriserve/Whisper-Hindi2Hinglish-Apex</t>
  </si>
  <si>
    <t xml:space="preserve">kresnik/wav2vec2-large-xlsr-korean</t>
  </si>
  <si>
    <t xml:space="preserve">kresnik</t>
  </si>
  <si>
    <t xml:space="preserve">https://huggingface.co/kresnik/wav2vec2-large-xlsr-korean</t>
  </si>
  <si>
    <t xml:space="preserve">MoritzLaurer/DeBERTa-v3-base-mnli-fever-docnli-ling-2c</t>
  </si>
  <si>
    <t xml:space="preserve">https://huggingface.co/MoritzLaurer/DeBERTa-v3-base-mnli-fever-docnli-ling-2c</t>
  </si>
  <si>
    <t xml:space="preserve">ProCreations/grug-27b-qat-q4-gguf</t>
  </si>
  <si>
    <t xml:space="preserve">https://huggingface.co/ProCreations/grug-27b-qat-q4-gguf</t>
  </si>
  <si>
    <t xml:space="preserve">LGAI-EXAONE/K-EXAONE-236B-A23B</t>
  </si>
  <si>
    <t xml:space="preserve">https://huggingface.co/LGAI-EXAONE/K-EXAONE-236B-A23B</t>
  </si>
  <si>
    <t xml:space="preserve">yuvalkirstain/PickScore_v1</t>
  </si>
  <si>
    <t xml:space="preserve">yuvalkirstain</t>
  </si>
  <si>
    <t xml:space="preserve">https://huggingface.co/yuvalkirstain/PickScore_v1</t>
  </si>
  <si>
    <t xml:space="preserve">primeline/whisper-large-v3-turbo-german</t>
  </si>
  <si>
    <t xml:space="preserve">primeline</t>
  </si>
  <si>
    <t xml:space="preserve">primeline/whisper-large-v3-german</t>
  </si>
  <si>
    <t xml:space="preserve">https://huggingface.co/primeline/whisper-large-v3-turbo-german</t>
  </si>
  <si>
    <t xml:space="preserve">agufsamudra/indo-sentiment-analysis</t>
  </si>
  <si>
    <t xml:space="preserve">agufsamudra</t>
  </si>
  <si>
    <t xml:space="preserve">indobenchmark/indobert-base-p1</t>
  </si>
  <si>
    <t xml:space="preserve">https://huggingface.co/agufsamudra/indo-sentiment-analysis</t>
  </si>
  <si>
    <t xml:space="preserve">TBOGamer22/wav2vec2-quran-phonetics</t>
  </si>
  <si>
    <t xml:space="preserve">TBOGamer22</t>
  </si>
  <si>
    <t xml:space="preserve">facebook/wav2vec2-base</t>
  </si>
  <si>
    <t xml:space="preserve">https://huggingface.co/TBOGamer22/wav2vec2-quran-phonetics</t>
  </si>
  <si>
    <t xml:space="preserve">paris-noah/MantisV2</t>
  </si>
  <si>
    <t xml:space="preserve">paris-noah</t>
  </si>
  <si>
    <t xml:space="preserve">https://huggingface.co/paris-noah/MantisV2</t>
  </si>
  <si>
    <t xml:space="preserve">eddiegulay/wav2vec2-large-xlsr-mvc-swahili</t>
  </si>
  <si>
    <t xml:space="preserve">eddiegulay</t>
  </si>
  <si>
    <t xml:space="preserve">https://huggingface.co/eddiegulay/wav2vec2-large-xlsr-mvc-swahili</t>
  </si>
  <si>
    <t xml:space="preserve">neuphonic/neucodec</t>
  </si>
  <si>
    <t xml:space="preserve">neuphonic</t>
  </si>
  <si>
    <t xml:space="preserve">https://huggingface.co/neuphonic/neucodec</t>
  </si>
  <si>
    <t xml:space="preserve">AbelZimba/whisper-bemba-stt</t>
  </si>
  <si>
    <t xml:space="preserve">AbelZimba</t>
  </si>
  <si>
    <t xml:space="preserve">https://huggingface.co/AbelZimba/whisper-bemba-stt</t>
  </si>
  <si>
    <t xml:space="preserve">babybirdprd/Experiment26-7B-passthrough-10slice-GGUF</t>
  </si>
  <si>
    <t xml:space="preserve">babybirdprd</t>
  </si>
  <si>
    <t xml:space="preserve">https://huggingface.co/babybirdprd/Experiment26-7B-passthrough-10slice-GGUF</t>
  </si>
  <si>
    <t xml:space="preserve">facebook/mask2former-swin-large-mapillary-vistas-semantic</t>
  </si>
  <si>
    <t xml:space="preserve">https://huggingface.co/facebook/mask2former-swin-large-mapillary-vistas-semantic</t>
  </si>
  <si>
    <t xml:space="preserve">sugoitoolkit/Sugoi-14B-Ultra-GGUF</t>
  </si>
  <si>
    <t xml:space="preserve">sugoitoolkit</t>
  </si>
  <si>
    <t xml:space="preserve">sugoitoolkit/Sugoi-14B-Ultra-HF</t>
  </si>
  <si>
    <t xml:space="preserve">https://huggingface.co/sugoitoolkit/Sugoi-14B-Ultra-GGUF</t>
  </si>
  <si>
    <t xml:space="preserve">PramaLLC/BEN2</t>
  </si>
  <si>
    <t xml:space="preserve">PramaLLC</t>
  </si>
  <si>
    <t xml:space="preserve">https://huggingface.co/PramaLLC/BEN2</t>
  </si>
  <si>
    <t xml:space="preserve">cc200188/syr_model_bert_final_3</t>
  </si>
  <si>
    <t xml:space="preserve">cc200188</t>
  </si>
  <si>
    <t xml:space="preserve">unknown</t>
  </si>
  <si>
    <t xml:space="preserve">其他或未知</t>
  </si>
  <si>
    <t xml:space="preserve">https://huggingface.co/cc200188/syr_model_bert_final_3</t>
  </si>
  <si>
    <t xml:space="preserve">LnL-AI/TinyLlama-1.1B-Chat-v1.0-GPTQ-4bit</t>
  </si>
  <si>
    <t xml:space="preserve">LnL-AI</t>
  </si>
  <si>
    <t xml:space="preserve">https://huggingface.co/LnL-AI/TinyLlama-1.1B-Chat-v1.0-GPTQ-4bit</t>
  </si>
  <si>
    <t xml:space="preserve">vidore/colpali-v1.2</t>
  </si>
  <si>
    <t xml:space="preserve">https://huggingface.co/vidore/colpali-v1.2</t>
  </si>
  <si>
    <t xml:space="preserve">flaubert/flaubert_base_cased</t>
  </si>
  <si>
    <t xml:space="preserve">flaubert</t>
  </si>
  <si>
    <t xml:space="preserve">https://huggingface.co/flaubert/flaubert_base_cased</t>
  </si>
  <si>
    <t xml:space="preserve">MMADS/MoralFoundationsClassifier</t>
  </si>
  <si>
    <t xml:space="preserve">MMADS</t>
  </si>
  <si>
    <t xml:space="preserve">https://huggingface.co/MMADS/MoralFoundationsClassifier</t>
  </si>
  <si>
    <t xml:space="preserve">dima806/music_genres_classification</t>
  </si>
  <si>
    <t xml:space="preserve">https://huggingface.co/dima806/music_genres_classification</t>
  </si>
  <si>
    <t xml:space="preserve">kingabzpro/wav2vec2-large-xlsr-53-punjabi</t>
  </si>
  <si>
    <t xml:space="preserve">Harveenchadha/vakyansh-wav2vec2-punjabi-pam-10</t>
  </si>
  <si>
    <t xml:space="preserve">https://huggingface.co/kingabzpro/wav2vec2-large-xlsr-53-punjabi</t>
  </si>
  <si>
    <t xml:space="preserve">wkcn/TinyCLIP-ViT-39M-16-Text-19M-YFCC15M</t>
  </si>
  <si>
    <t xml:space="preserve">https://huggingface.co/wkcn/TinyCLIP-ViT-39M-16-Text-19M-YFCC15M</t>
  </si>
  <si>
    <t xml:space="preserve">aismlv/wav2vec2-large-xlsr-kazakh</t>
  </si>
  <si>
    <t xml:space="preserve">aismlv</t>
  </si>
  <si>
    <t xml:space="preserve">https://huggingface.co/aismlv/wav2vec2-large-xlsr-kazakh</t>
  </si>
  <si>
    <t xml:space="preserve">facebook/mask2former-swin-large-coco-instance</t>
  </si>
  <si>
    <t xml:space="preserve">https://huggingface.co/facebook/mask2former-swin-large-coco-instance</t>
  </si>
  <si>
    <t xml:space="preserve">rizvandwiki/gender-classification</t>
  </si>
  <si>
    <t xml:space="preserve">rizvandwiki</t>
  </si>
  <si>
    <t xml:space="preserve">https://huggingface.co/rizvandwiki/gender-classification</t>
  </si>
  <si>
    <t xml:space="preserve">handy-computer/canary-1b-flash-gguf</t>
  </si>
  <si>
    <t xml:space="preserve">https://huggingface.co/handy-computer/canary-1b-flash-gguf</t>
  </si>
  <si>
    <t xml:space="preserve">OliBomby/Mapperatorinator-v32</t>
  </si>
  <si>
    <t xml:space="preserve">OliBomby</t>
  </si>
  <si>
    <t xml:space="preserve">https://huggingface.co/OliBomby/Mapperatorinator-v32</t>
  </si>
  <si>
    <t xml:space="preserve">timm/vit_large_patch14_clip_224.openai</t>
  </si>
  <si>
    <t xml:space="preserve">https://huggingface.co/timm/vit_large_patch14_clip_224.openai</t>
  </si>
  <si>
    <t xml:space="preserve">WinKawaks/vit-tiny-patch16-224</t>
  </si>
  <si>
    <t xml:space="preserve">WinKawaks</t>
  </si>
  <si>
    <t xml:space="preserve">https://huggingface.co/WinKawaks/vit-tiny-patch16-224</t>
  </si>
  <si>
    <t xml:space="preserve">speakleash/Bielik-11B-v2.3-Instruct</t>
  </si>
  <si>
    <t xml:space="preserve">speakleash/Bielik-11B-v2</t>
  </si>
  <si>
    <t xml:space="preserve">https://huggingface.co/speakleash/Bielik-11B-v2.3-Instruct</t>
  </si>
  <si>
    <t xml:space="preserve">johahi/flashzoi-replicate-0</t>
  </si>
  <si>
    <t xml:space="preserve">johahi</t>
  </si>
  <si>
    <t xml:space="preserve">https://huggingface.co/johahi/flashzoi-replicate-0</t>
  </si>
  <si>
    <t xml:space="preserve">ihanif/wav2vec2-xls-r-300m-pashto</t>
  </si>
  <si>
    <t xml:space="preserve">ihanif</t>
  </si>
  <si>
    <t xml:space="preserve">https://huggingface.co/ihanif/wav2vec2-xls-r-300m-pashto</t>
  </si>
  <si>
    <t xml:space="preserve">Qualcomm-AI-Research/BamiBERT</t>
  </si>
  <si>
    <t xml:space="preserve">Qualcomm-AI-Research</t>
  </si>
  <si>
    <t xml:space="preserve">bsd-3-clause-clear;other</t>
  </si>
  <si>
    <t xml:space="preserve">https://huggingface.co/Qualcomm-AI-Research/BamiBERT</t>
  </si>
  <si>
    <t xml:space="preserve">openmmlab-community/mm_grounding_dino_large_all</t>
  </si>
  <si>
    <t xml:space="preserve">openmmlab-community</t>
  </si>
  <si>
    <t xml:space="preserve">https://huggingface.co/openmmlab-community/mm_grounding_dino_large_all</t>
  </si>
  <si>
    <t xml:space="preserve">MIT/ast-finetuned-audioset-14-14-0.443</t>
  </si>
  <si>
    <t xml:space="preserve">https://huggingface.co/MIT/ast-finetuned-audioset-14-14-0.443</t>
  </si>
  <si>
    <t xml:space="preserve">ModernVBERT/colmodernvbert</t>
  </si>
  <si>
    <t xml:space="preserve">ModernVBERT</t>
  </si>
  <si>
    <t xml:space="preserve">https://huggingface.co/ModernVBERT/colmodernvbert</t>
  </si>
  <si>
    <t xml:space="preserve">paris-noah/Mantis-8M</t>
  </si>
  <si>
    <t xml:space="preserve">https://huggingface.co/paris-noah/Mantis-8M</t>
  </si>
  <si>
    <t xml:space="preserve">eustlb/higgs-audio-v2-tokenizer</t>
  </si>
  <si>
    <t xml:space="preserve">eustlb</t>
  </si>
  <si>
    <t xml:space="preserve">https://huggingface.co/eustlb/higgs-audio-v2-tokenizer</t>
  </si>
  <si>
    <t xml:space="preserve">Comfy-Org/sam3.1</t>
  </si>
  <si>
    <t xml:space="preserve">facebook/sam3.1</t>
  </si>
  <si>
    <t xml:space="preserve">https://huggingface.co/Comfy-Org/sam3.1</t>
  </si>
  <si>
    <t xml:space="preserve">imageomics/bioclip-2</t>
  </si>
  <si>
    <t xml:space="preserve">imageomics</t>
  </si>
  <si>
    <t xml:space="preserve">https://huggingface.co/imageomics/bioclip-2</t>
  </si>
  <si>
    <t xml:space="preserve">jakeBland/wav2vec-vm-finetune</t>
  </si>
  <si>
    <t xml:space="preserve">jakeBland</t>
  </si>
  <si>
    <t xml:space="preserve">https://huggingface.co/jakeBland/wav2vec-vm-finetune</t>
  </si>
  <si>
    <t xml:space="preserve">moonshine-ai/moonshine-streaming-tiny</t>
  </si>
  <si>
    <t xml:space="preserve">https://huggingface.co/moonshine-ai/moonshine-streaming-tiny</t>
  </si>
  <si>
    <t xml:space="preserve">tartuNLP/Llammas-base-p1-GPT-4o-human-error-mix-paragraph-GEC</t>
  </si>
  <si>
    <t xml:space="preserve">tartuNLP</t>
  </si>
  <si>
    <t xml:space="preserve">tartuNLP/Llammas-base</t>
  </si>
  <si>
    <t xml:space="preserve">https://huggingface.co/tartuNLP/Llammas-base-p1-GPT-4o-human-error-mix-paragraph-GEC</t>
  </si>
  <si>
    <t xml:space="preserve">facebook/mask2former-swin-base-coco-panoptic</t>
  </si>
  <si>
    <t xml:space="preserve">https://huggingface.co/facebook/mask2former-swin-base-coco-panoptic</t>
  </si>
  <si>
    <t xml:space="preserve">smp-hub/resnet34.imagenet</t>
  </si>
  <si>
    <t xml:space="preserve">smp-hub</t>
  </si>
  <si>
    <t xml:space="preserve">https://huggingface.co/smp-hub/resnet34.imagenet</t>
  </si>
  <si>
    <t xml:space="preserve">Comfy-Org/SDPose</t>
  </si>
  <si>
    <t xml:space="preserve">teemosliang/SDPose-Wholebody</t>
  </si>
  <si>
    <t xml:space="preserve">https://huggingface.co/Comfy-Org/SDPose</t>
  </si>
  <si>
    <t xml:space="preserve">facebook/mask2former-swin-small-ade-semantic</t>
  </si>
  <si>
    <t xml:space="preserve">https://huggingface.co/facebook/mask2former-swin-small-ade-semantic</t>
  </si>
  <si>
    <t xml:space="preserve">weecology/deepforest-tree</t>
  </si>
  <si>
    <t xml:space="preserve">weecology</t>
  </si>
  <si>
    <t xml:space="preserve">https://huggingface.co/weecology/deepforest-tree</t>
  </si>
  <si>
    <t xml:space="preserve">usyd-community/vitpose-plus-base</t>
  </si>
  <si>
    <t xml:space="preserve">usyd-community</t>
  </si>
  <si>
    <t xml:space="preserve">https://huggingface.co/usyd-community/vitpose-plus-base</t>
  </si>
  <si>
    <t xml:space="preserve">smp-hub/resnet18.imagenet</t>
  </si>
  <si>
    <t xml:space="preserve">https://huggingface.co/smp-hub/resnet18.imagenet</t>
  </si>
  <si>
    <t xml:space="preserve">braindecode/labram-pretrained</t>
  </si>
  <si>
    <t xml:space="preserve">https://huggingface.co/braindecode/labram-pretrained</t>
  </si>
  <si>
    <t xml:space="preserve">smp-hub/efficientnet-b3.imagenet</t>
  </si>
  <si>
    <t xml:space="preserve">https://huggingface.co/smp-hub/efficientnet-b3.imagenet</t>
  </si>
  <si>
    <t xml:space="preserve">LiquidAI/LFM2.5-Audio-1.5B-GGUF</t>
  </si>
  <si>
    <t xml:space="preserve">LiquidAI/LFM2.5-Audio-1.5B</t>
  </si>
  <si>
    <t xml:space="preserve">https://huggingface.co/LiquidAI/LFM2.5-Audio-1.5B-GGUF</t>
  </si>
  <si>
    <t xml:space="preserve">monologg/distilkobert</t>
  </si>
  <si>
    <t xml:space="preserve">https://huggingface.co/monologg/distilkobert</t>
  </si>
  <si>
    <t xml:space="preserve">snunlp/KR-SBERT-Medium-klueNLI-klueSTS</t>
  </si>
  <si>
    <t xml:space="preserve">snunlp</t>
  </si>
  <si>
    <t xml:space="preserve">https://huggingface.co/snunlp/KR-SBERT-Medium-klueNLI-klueSTS</t>
  </si>
  <si>
    <t xml:space="preserve">shyngys879/kazakh-whisper-large-v3-turbo</t>
  </si>
  <si>
    <t xml:space="preserve">shyngys879</t>
  </si>
  <si>
    <t xml:space="preserve">https://huggingface.co/shyngys879/kazakh-whisper-large-v3-turbo</t>
  </si>
  <si>
    <t xml:space="preserve">seara/rubert-base-cased-russian-sentiment</t>
  </si>
  <si>
    <t xml:space="preserve">seara</t>
  </si>
  <si>
    <t xml:space="preserve">https://huggingface.co/seara/rubert-base-cased-russian-sentiment</t>
  </si>
  <si>
    <t xml:space="preserve">handy-computer/gigaam-v3-e2e-rnnt-gguf</t>
  </si>
  <si>
    <t xml:space="preserve">ai-sage/GigaAM-v3</t>
  </si>
  <si>
    <t xml:space="preserve">https://huggingface.co/handy-computer/gigaam-v3-e2e-rnnt-gguf</t>
  </si>
  <si>
    <t xml:space="preserve">chopratejas/technique-router-onnx</t>
  </si>
  <si>
    <t xml:space="preserve">https://huggingface.co/chopratejas/technique-router-onnx</t>
  </si>
  <si>
    <t xml:space="preserve">nvidia/Cosmos3-Super</t>
  </si>
  <si>
    <t xml:space="preserve">https://huggingface.co/nvidia/Cosmos3-Super</t>
  </si>
  <si>
    <t xml:space="preserve">crypter70/IndoBERT-Sentiment-Analysis</t>
  </si>
  <si>
    <t xml:space="preserve">crypter70</t>
  </si>
  <si>
    <t xml:space="preserve">https://huggingface.co/crypter70/IndoBERT-Sentiment-Analysis</t>
  </si>
  <si>
    <t xml:space="preserve">kotoba-tech/kotoba-whisper-v2.2</t>
  </si>
  <si>
    <t xml:space="preserve">kotoba-tech</t>
  </si>
  <si>
    <t xml:space="preserve">https://huggingface.co/kotoba-tech/kotoba-whisper-v2.2</t>
  </si>
  <si>
    <t xml:space="preserve">smp-hub/mit_b1.imagenet</t>
  </si>
  <si>
    <t xml:space="preserve">https://huggingface.co/smp-hub/mit_b1.imagenet</t>
  </si>
  <si>
    <t xml:space="preserve">vumichien/wav2vec2-large-xlsr-japanese-hiragana</t>
  </si>
  <si>
    <t xml:space="preserve">vumichien</t>
  </si>
  <si>
    <t xml:space="preserve">https://huggingface.co/vumichien/wav2vec2-large-xlsr-japanese-hiragana</t>
  </si>
  <si>
    <t xml:space="preserve">johahi/borzoi-replicate-0</t>
  </si>
  <si>
    <t xml:space="preserve">https://huggingface.co/johahi/borzoi-replicate-0</t>
  </si>
  <si>
    <t xml:space="preserve">yatharth97/T5-base-10K-summarization</t>
  </si>
  <si>
    <t xml:space="preserve">yatharth97</t>
  </si>
  <si>
    <t xml:space="preserve">https://huggingface.co/yatharth97/T5-base-10K-summarization</t>
  </si>
  <si>
    <t xml:space="preserve">Xenova/whisper-small</t>
  </si>
  <si>
    <t xml:space="preserve">https://huggingface.co/Xenova/whisper-small</t>
  </si>
  <si>
    <t xml:space="preserve">LiquidAI/LFM2.5-Audio-1.5B-JP-GGUF</t>
  </si>
  <si>
    <t xml:space="preserve">LiquidAI/LFM2.5-Audio-1.5B-JP</t>
  </si>
  <si>
    <r>
      <rPr>
        <sz val="11"/>
        <color rgb="FF000000"/>
        <rFont val="Noto Sans CJK SC"/>
        <family val="2"/>
      </rPr>
      <t xml:space="preserve">只支援特定外語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量化版本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授權需確認</t>
    </r>
  </si>
  <si>
    <t xml:space="preserve">https://huggingface.co/LiquidAI/LFM2.5-Audio-1.5B-JP-GGUF</t>
  </si>
  <si>
    <t xml:space="preserve">braindecode/cbramod-pretrained</t>
  </si>
  <si>
    <t xml:space="preserve">https://huggingface.co/braindecode/cbramod-pretrained</t>
  </si>
  <si>
    <t xml:space="preserve">mattmdjaga/segformer_b2_clothes</t>
  </si>
  <si>
    <t xml:space="preserve">mattmdjaga</t>
  </si>
  <si>
    <t xml:space="preserve">https://huggingface.co/mattmdjaga/segformer_b2_clothes</t>
  </si>
  <si>
    <t xml:space="preserve">1-800-BAD-CODE/xlm-roberta_punctuation_fullstop_truecase</t>
  </si>
  <si>
    <t xml:space="preserve">1-800-BAD-CODE</t>
  </si>
  <si>
    <t xml:space="preserve">onnx;other</t>
  </si>
  <si>
    <t xml:space="preserve">https://huggingface.co/1-800-BAD-CODE/xlm-roberta_punctuation_fullstop_truecase</t>
  </si>
  <si>
    <t xml:space="preserve">Xenova/clip-vit-base-patch32</t>
  </si>
  <si>
    <t xml:space="preserve">openai/clip-vit-base-patch32</t>
  </si>
  <si>
    <t xml:space="preserve">https://huggingface.co/Xenova/clip-vit-base-patch32</t>
  </si>
  <si>
    <t xml:space="preserve">jensenlwt/whisper-small-singlish-122k</t>
  </si>
  <si>
    <t xml:space="preserve">jensenlwt</t>
  </si>
  <si>
    <t xml:space="preserve">https://huggingface.co/jensenlwt/whisper-small-singlish-122k</t>
  </si>
  <si>
    <t xml:space="preserve">KISTI-KONI/KONI-Llama3.1-8B-Instruct-20241024</t>
  </si>
  <si>
    <t xml:space="preserve">KISTI-KONI</t>
  </si>
  <si>
    <t xml:space="preserve">https://huggingface.co/KISTI-KONI/KONI-Llama3.1-8B-Instruct-20241024</t>
  </si>
  <si>
    <t xml:space="preserve">yky-h/japanese-hubert-base</t>
  </si>
  <si>
    <t xml:space="preserve">yky-h</t>
  </si>
  <si>
    <t xml:space="preserve">https://huggingface.co/yky-h/japanese-hubert-base</t>
  </si>
  <si>
    <t xml:space="preserve">MMG/xlm-roberta-large-ner-spanish</t>
  </si>
  <si>
    <t xml:space="preserve">MMG</t>
  </si>
  <si>
    <t xml:space="preserve">https://huggingface.co/MMG/xlm-roberta-large-ner-spanish</t>
  </si>
  <si>
    <t xml:space="preserve">tue-mps/coco_panoptic_eomt_large_640</t>
  </si>
  <si>
    <t xml:space="preserve">tue-mps</t>
  </si>
  <si>
    <t xml:space="preserve">https://huggingface.co/tue-mps/coco_panoptic_eomt_large_640</t>
  </si>
  <si>
    <t xml:space="preserve">mudler/parakeet-cpp-gguf</t>
  </si>
  <si>
    <t xml:space="preserve">FermionResearch/Phonon-2.5</t>
  </si>
  <si>
    <t xml:space="preserve">https://huggingface.co/mudler/parakeet-cpp-gguf</t>
  </si>
  <si>
    <t xml:space="preserve">Aryn/deformable-detr-DocLayNet</t>
  </si>
  <si>
    <t xml:space="preserve">Aryn</t>
  </si>
  <si>
    <t xml:space="preserve">https://huggingface.co/Aryn/deformable-detr-DocLayNet</t>
  </si>
  <si>
    <t xml:space="preserve">typeform/distilbert-base-uncased-mnli</t>
  </si>
  <si>
    <t xml:space="preserve">typeform</t>
  </si>
  <si>
    <t xml:space="preserve">https://huggingface.co/typeform/distilbert-base-uncased-mnli</t>
  </si>
  <si>
    <t xml:space="preserve">lpiccinelli/unidepth-v2-vitl14</t>
  </si>
  <si>
    <t xml:space="preserve">lpiccinelli</t>
  </si>
  <si>
    <t xml:space="preserve">https://huggingface.co/lpiccinelli/unidepth-v2-vitl14</t>
  </si>
  <si>
    <t xml:space="preserve">SpideyDLK/wav2vec2-large-xls-r-300m-sinhala-low-LR-part1</t>
  </si>
  <si>
    <t xml:space="preserve">SpideyDLK</t>
  </si>
  <si>
    <t xml:space="preserve">https://huggingface.co/SpideyDLK/wav2vec2-large-xls-r-300m-sinhala-low-LR-part1</t>
  </si>
  <si>
    <t xml:space="preserve">rizvandwiki/gender-classification-2</t>
  </si>
  <si>
    <t xml:space="preserve">https://huggingface.co/rizvandwiki/gender-classification-2</t>
  </si>
  <si>
    <t xml:space="preserve">moonshine-ai/moonshine-base</t>
  </si>
  <si>
    <t xml:space="preserve">https://huggingface.co/moonshine-ai/moonshine-base</t>
  </si>
  <si>
    <t xml:space="preserve">theainerd/Wav2Vec2-large-xlsr-hindi</t>
  </si>
  <si>
    <t xml:space="preserve">theainerd</t>
  </si>
  <si>
    <t xml:space="preserve">https://huggingface.co/theainerd/Wav2Vec2-large-xlsr-hindi</t>
  </si>
  <si>
    <t xml:space="preserve">nateraw/vit-age-classifier</t>
  </si>
  <si>
    <t xml:space="preserve">nateraw</t>
  </si>
  <si>
    <t xml:space="preserve">https://huggingface.co/nateraw/vit-age-classifier</t>
  </si>
  <si>
    <t xml:space="preserve">smp-hub/efficientnet-b0.imagenet</t>
  </si>
  <si>
    <t xml:space="preserve">https://huggingface.co/smp-hub/efficientnet-b0.imagenet</t>
  </si>
  <si>
    <t xml:space="preserve">audio-cpp/VibeVoice-ASR-Streaming-7B-GGUF</t>
  </si>
  <si>
    <t xml:space="preserve">audio-cpp</t>
  </si>
  <si>
    <t xml:space="preserve">microsoft/VibeVoice-ASR-Streaming-7B</t>
  </si>
  <si>
    <t xml:space="preserve">https://huggingface.co/audio-cpp/VibeVoice-ASR-Streaming-7B-GGUF</t>
  </si>
  <si>
    <t xml:space="preserve">vidore/colpali-v1.3</t>
  </si>
  <si>
    <t xml:space="preserve">https://huggingface.co/vidore/colpali-v1.3</t>
  </si>
  <si>
    <t xml:space="preserve">Xenova/modnet</t>
  </si>
  <si>
    <t xml:space="preserve">https://huggingface.co/Xenova/modnet</t>
  </si>
  <si>
    <t xml:space="preserve">xbgoose/hubert-large-speech-emotion-recognition-russian-dusha-finetuned</t>
  </si>
  <si>
    <t xml:space="preserve">xbgoose</t>
  </si>
  <si>
    <t xml:space="preserve">facebook/hubert-large-ls960-ft</t>
  </si>
  <si>
    <t xml:space="preserve">https://huggingface.co/xbgoose/hubert-large-speech-emotion-recognition-russian-dusha-finetuned</t>
  </si>
  <si>
    <t xml:space="preserve">saattrupdan/wav2vec2-xls-r-300m-ftspeech</t>
  </si>
  <si>
    <t xml:space="preserve">https://huggingface.co/saattrupdan/wav2vec2-xls-r-300m-ftspeech</t>
  </si>
  <si>
    <t xml:space="preserve">jayashreedevi2020/wav2vec2-large-xls-r-300m-assamese</t>
  </si>
  <si>
    <t xml:space="preserve">jayashreedevi2020</t>
  </si>
  <si>
    <t xml:space="preserve">https://huggingface.co/jayashreedevi2020/wav2vec2-large-xls-r-300m-assamese</t>
  </si>
  <si>
    <t xml:space="preserve">BM-K/KoSimCSE-roberta</t>
  </si>
  <si>
    <t xml:space="preserve">BM-K</t>
  </si>
  <si>
    <t xml:space="preserve">https://huggingface.co/BM-K/KoSimCSE-roberta</t>
  </si>
  <si>
    <t xml:space="preserve">hasnain43/bert-stock-sentiment-v1</t>
  </si>
  <si>
    <t xml:space="preserve">hasnain43</t>
  </si>
  <si>
    <r>
      <rPr>
        <sz val="11"/>
        <color rgb="FF000000"/>
        <rFont val="Noto Sans CJK SC"/>
        <family val="2"/>
      </rPr>
      <t xml:space="preserve">任務類型依模型架構推定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專精領域與資安無關</t>
    </r>
  </si>
  <si>
    <t xml:space="preserve">https://huggingface.co/hasnain43/bert-stock-sentiment-v1</t>
  </si>
  <si>
    <t xml:space="preserve">smp-hub/resnet50.imagenet</t>
  </si>
  <si>
    <t xml:space="preserve">https://huggingface.co/smp-hub/resnet50.imagenet</t>
  </si>
  <si>
    <t xml:space="preserve">Comfy-Org/lotus</t>
  </si>
  <si>
    <t xml:space="preserve">jingheya/lotus-depth-d-v1-1</t>
  </si>
  <si>
    <t xml:space="preserve">https://huggingface.co/Comfy-Org/lotus</t>
  </si>
  <si>
    <t xml:space="preserve">klue/bert-base</t>
  </si>
  <si>
    <t xml:space="preserve">klue</t>
  </si>
  <si>
    <t xml:space="preserve">https://huggingface.co/klue/bert-base</t>
  </si>
  <si>
    <t xml:space="preserve">agkphysics/wav2vec2-large-xlsr-53-amharic</t>
  </si>
  <si>
    <t xml:space="preserve">agkphysics</t>
  </si>
  <si>
    <t xml:space="preserve">https://huggingface.co/agkphysics/wav2vec2-large-xlsr-53-amharic</t>
  </si>
  <si>
    <t xml:space="preserve">petals-team/StableBeluga2</t>
  </si>
  <si>
    <t xml:space="preserve">petals-team</t>
  </si>
  <si>
    <t xml:space="preserve">https://huggingface.co/petals-team/StableBeluga2</t>
  </si>
  <si>
    <t xml:space="preserve">BM-K/KoSimCSE-roberta-multitask</t>
  </si>
  <si>
    <t xml:space="preserve">https://huggingface.co/BM-K/KoSimCSE-roberta-multitask</t>
  </si>
  <si>
    <t xml:space="preserve">seara/rubert-tiny2-russian-sentiment</t>
  </si>
  <si>
    <t xml:space="preserve">https://huggingface.co/seara/rubert-tiny2-russian-sentiment</t>
  </si>
  <si>
    <t xml:space="preserve">johahi/borzoi-replicate-0-mouse</t>
  </si>
  <si>
    <t xml:space="preserve">https://huggingface.co/johahi/borzoi-replicate-0-mouse</t>
  </si>
  <si>
    <t xml:space="preserve">slplab/wav2vec2-large-robust-L2-english-phoneme-recognition</t>
  </si>
  <si>
    <t xml:space="preserve">slplab</t>
  </si>
  <si>
    <t xml:space="preserve">https://huggingface.co/slplab/wav2vec2-large-robust-L2-english-phoneme-recognition</t>
  </si>
  <si>
    <t xml:space="preserve">aubmindlab/bert-base-arabertv02</t>
  </si>
  <si>
    <t xml:space="preserve">aubmindlab</t>
  </si>
  <si>
    <t xml:space="preserve">https://huggingface.co/aubmindlab/bert-base-arabertv02</t>
  </si>
  <si>
    <t xml:space="preserve">cmarkea/distilcamembert-base-sentiment</t>
  </si>
  <si>
    <t xml:space="preserve">cmarkea</t>
  </si>
  <si>
    <r>
      <rPr>
        <sz val="11"/>
        <color rgb="FF000000"/>
        <rFont val="Noto Sans CJK SC"/>
        <family val="2"/>
      </rPr>
      <t xml:space="preserve">專精領域與資安無關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只支援特定外語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量化版本</t>
    </r>
  </si>
  <si>
    <t xml:space="preserve">https://huggingface.co/cmarkea/distilcamembert-base-sentiment</t>
  </si>
  <si>
    <t xml:space="preserve">SmilingWolf/wd-vit-tagger-v3</t>
  </si>
  <si>
    <t xml:space="preserve">https://huggingface.co/SmilingWolf/wd-vit-tagger-v3</t>
  </si>
  <si>
    <t xml:space="preserve">johahi/borzoi-replicate-1-mouse</t>
  </si>
  <si>
    <t xml:space="preserve">https://huggingface.co/johahi/borzoi-replicate-1-mouse</t>
  </si>
  <si>
    <t xml:space="preserve">PlanTL-GOB-ES/bsc-bio-ehr-es</t>
  </si>
  <si>
    <t xml:space="preserve">PlanTL-GOB-ES</t>
  </si>
  <si>
    <t xml:space="preserve">https://huggingface.co/PlanTL-GOB-ES/bsc-bio-ehr-es</t>
  </si>
  <si>
    <t xml:space="preserve">johahi/borzoi-replicate-2-mouse</t>
  </si>
  <si>
    <t xml:space="preserve">https://huggingface.co/johahi/borzoi-replicate-2-mouse</t>
  </si>
  <si>
    <t xml:space="preserve">johahi/borzoi-replicate-3-mouse</t>
  </si>
  <si>
    <t xml:space="preserve">https://huggingface.co/johahi/borzoi-replicate-3-mouse</t>
  </si>
  <si>
    <t xml:space="preserve">aufklarer/Silero-VAD-v5-MLX</t>
  </si>
  <si>
    <t xml:space="preserve">https://huggingface.co/aufklarer/Silero-VAD-v5-MLX</t>
  </si>
  <si>
    <t xml:space="preserve">usyd-community/vitpose-base-simple</t>
  </si>
  <si>
    <t xml:space="preserve">https://huggingface.co/usyd-community/vitpose-base-simple</t>
  </si>
  <si>
    <t xml:space="preserve">smp-hub/mobilenet_v2.imagenet</t>
  </si>
  <si>
    <t xml:space="preserve">https://huggingface.co/smp-hub/mobilenet_v2.imagenet</t>
  </si>
  <si>
    <t xml:space="preserve">alsgyu/sentiment-analysis-fine-tuned-model</t>
  </si>
  <si>
    <t xml:space="preserve">alsgyu</t>
  </si>
  <si>
    <r>
      <rPr>
        <sz val="11"/>
        <color rgb="FF000000"/>
        <rFont val="Noto Sans CJK SC"/>
        <family val="2"/>
      </rPr>
      <t xml:space="preserve">任務類型依模型架構推定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專精領域與資安無關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授權需確認</t>
    </r>
  </si>
  <si>
    <t xml:space="preserve">https://huggingface.co/alsgyu/sentiment-analysis-fine-tuned-model</t>
  </si>
  <si>
    <t xml:space="preserve">sbintuitions/kana-whisper</t>
  </si>
  <si>
    <t xml:space="preserve">https://huggingface.co/sbintuitions/kana-whisper</t>
  </si>
  <si>
    <t xml:space="preserve">handy-computer/gigaam-v3-e2e-ctc-gguf</t>
  </si>
  <si>
    <t xml:space="preserve">https://huggingface.co/handy-computer/gigaam-v3-e2e-ctc-gguf</t>
  </si>
  <si>
    <t xml:space="preserve">diarizers-community/speaker-segmentation-fine-tuned-callhome-jpn</t>
  </si>
  <si>
    <t xml:space="preserve">diarizers-community</t>
  </si>
  <si>
    <t xml:space="preserve">pyannote/segmentation-3.0</t>
  </si>
  <si>
    <t xml:space="preserve">https://huggingface.co/diarizers-community/speaker-segmentation-fine-tuned-callhome-jpn</t>
  </si>
  <si>
    <t xml:space="preserve">sagorsarker/bangla-bert-base</t>
  </si>
  <si>
    <t xml:space="preserve">sagorsarker</t>
  </si>
  <si>
    <t xml:space="preserve">https://huggingface.co/sagorsarker/bangla-bert-base</t>
  </si>
  <si>
    <t xml:space="preserve">vblagoje/bert-english-uncased-finetuned-pos</t>
  </si>
  <si>
    <t xml:space="preserve">vblagoje</t>
  </si>
  <si>
    <t xml:space="preserve">https://huggingface.co/vblagoje/bert-english-uncased-finetuned-pos</t>
  </si>
  <si>
    <t xml:space="preserve">mlx-community/whisper-large-v3-turbo</t>
  </si>
  <si>
    <t xml:space="preserve">https://huggingface.co/mlx-community/whisper-large-v3-turbo</t>
  </si>
  <si>
    <t xml:space="preserve">GroNLP/gpt2-small-dutch</t>
  </si>
  <si>
    <t xml:space="preserve">GroNLP</t>
  </si>
  <si>
    <t xml:space="preserve">https://huggingface.co/GroNLP/gpt2-small-dutch</t>
  </si>
  <si>
    <t xml:space="preserve">usyd-community/vitpose-plus-huge</t>
  </si>
  <si>
    <t xml:space="preserve">https://huggingface.co/usyd-community/vitpose-plus-huge</t>
  </si>
  <si>
    <t xml:space="preserve">tals/albert-xlarge-vitaminc-mnli</t>
  </si>
  <si>
    <t xml:space="preserve">tals</t>
  </si>
  <si>
    <t xml:space="preserve">https://huggingface.co/tals/albert-xlarge-vitaminc-mnli</t>
  </si>
  <si>
    <t xml:space="preserve">Xenova/clip-vit-base-patch16</t>
  </si>
  <si>
    <t xml:space="preserve">openai/clip-vit-base-patch16</t>
  </si>
  <si>
    <t xml:space="preserve">https://huggingface.co/Xenova/clip-vit-base-patch16</t>
  </si>
  <si>
    <t xml:space="preserve">fancyfeast/llama-joycaption-alpha-two-hf-llava</t>
  </si>
  <si>
    <t xml:space="preserve">https://huggingface.co/fancyfeast/llama-joycaption-alpha-two-hf-llava</t>
  </si>
  <si>
    <t xml:space="preserve">F1nnSBK/lunar-dinov3-lora</t>
  </si>
  <si>
    <t xml:space="preserve">F1nnSBK</t>
  </si>
  <si>
    <t xml:space="preserve">https://huggingface.co/F1nnSBK/lunar-dinov3-lora</t>
  </si>
  <si>
    <t xml:space="preserve">pysentimiento/robertuito-sentiment-analysis</t>
  </si>
  <si>
    <t xml:space="preserve">pysentimiento</t>
  </si>
  <si>
    <r>
      <rPr>
        <sz val="11"/>
        <color rgb="FF000000"/>
        <rFont val="Noto Sans CJK SC"/>
        <family val="2"/>
      </rPr>
      <t xml:space="preserve">專精領域與資安無關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只支援特定外語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授權需確認</t>
    </r>
  </si>
  <si>
    <t xml:space="preserve">https://huggingface.co/pysentimiento/robertuito-sentiment-analysis</t>
  </si>
  <si>
    <t xml:space="preserve">Voicelab/herbert-base-cased-sentiment</t>
  </si>
  <si>
    <t xml:space="preserve">https://huggingface.co/Voicelab/herbert-base-cased-sentiment</t>
  </si>
  <si>
    <t xml:space="preserve">SmilingWolf/wd-eva02-large-tagger-v3</t>
  </si>
  <si>
    <t xml:space="preserve">https://huggingface.co/SmilingWolf/wd-eva02-large-tagger-v3</t>
  </si>
  <si>
    <t xml:space="preserve">nielsr/layoutlmv3-finetuned-funsd</t>
  </si>
  <si>
    <t xml:space="preserve">nielsr</t>
  </si>
  <si>
    <t xml:space="preserve">microsoft/layoutlmv3-base</t>
  </si>
  <si>
    <t xml:space="preserve">https://huggingface.co/nielsr/layoutlmv3-finetuned-funsd</t>
  </si>
  <si>
    <t xml:space="preserve">classla/wav2vec2-xls-r-parlaspeech-hr</t>
  </si>
  <si>
    <t xml:space="preserve">https://huggingface.co/classla/wav2vec2-xls-r-parlaspeech-hr</t>
  </si>
  <si>
    <t xml:space="preserve">protonx-models/protonx-legal-tc</t>
  </si>
  <si>
    <t xml:space="preserve">protonx-models</t>
  </si>
  <si>
    <r>
      <rPr>
        <sz val="11"/>
        <color rgb="FF000000"/>
        <rFont val="Noto Sans CJK SC"/>
        <family val="2"/>
      </rPr>
      <t xml:space="preserve">任務類型依模型架構推定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只支援特定外語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授權需確認</t>
    </r>
  </si>
  <si>
    <t xml:space="preserve">https://huggingface.co/protonx-models/protonx-legal-tc</t>
  </si>
  <si>
    <t xml:space="preserve">airesearch/wangchanberta-base-att-spm-uncased</t>
  </si>
  <si>
    <t xml:space="preserve">airesearch</t>
  </si>
  <si>
    <t xml:space="preserve">https://huggingface.co/airesearch/wangchanberta-base-att-spm-uncased</t>
  </si>
  <si>
    <t xml:space="preserve">aubmindlab/aragpt2-base</t>
  </si>
  <si>
    <t xml:space="preserve">https://huggingface.co/aubmindlab/aragpt2-base</t>
  </si>
  <si>
    <t xml:space="preserve">Xenova/slimsam-77-uniform</t>
  </si>
  <si>
    <t xml:space="preserve">nielsr/slimsam-77-uniform</t>
  </si>
  <si>
    <t xml:space="preserve">https://huggingface.co/Xenova/slimsam-77-uniform</t>
  </si>
  <si>
    <t xml:space="preserve">1-800-BAD-CODE/punct_cap_seg_47_language</t>
  </si>
  <si>
    <t xml:space="preserve">https://huggingface.co/1-800-BAD-CODE/punct_cap_seg_47_language</t>
  </si>
  <si>
    <t xml:space="preserve">JacobLinCool/MP-SENet-DNS</t>
  </si>
  <si>
    <t xml:space="preserve">JacobLinCool</t>
  </si>
  <si>
    <t xml:space="preserve">https://huggingface.co/JacobLinCool/MP-SENet-DNS</t>
  </si>
  <si>
    <t xml:space="preserve">rtr46/meiki.txt.recognition.v0</t>
  </si>
  <si>
    <t xml:space="preserve">rtr46</t>
  </si>
  <si>
    <t xml:space="preserve">lgpl-3.0</t>
  </si>
  <si>
    <t xml:space="preserve">https://huggingface.co/rtr46/meiki.txt.recognition.v0</t>
  </si>
  <si>
    <t xml:space="preserve">yonigozlan/EdgeTAM-hf</t>
  </si>
  <si>
    <t xml:space="preserve">yonigozlan</t>
  </si>
  <si>
    <t xml:space="preserve">https://huggingface.co/yonigozlan/EdgeTAM-hf</t>
  </si>
  <si>
    <t xml:space="preserve">Xenova/siglip-base-patch16-224</t>
  </si>
  <si>
    <t xml:space="preserve">https://huggingface.co/Xenova/siglip-base-patch16-224</t>
  </si>
  <si>
    <t xml:space="preserve">LG-AI-Research/EXAONE-Tabular</t>
  </si>
  <si>
    <t xml:space="preserve">LG-AI-Research</t>
  </si>
  <si>
    <t xml:space="preserve">https://huggingface.co/LG-AI-Research/EXAONE-Tabular</t>
  </si>
  <si>
    <t xml:space="preserve">sarahai/uzbek-stt-3</t>
  </si>
  <si>
    <t xml:space="preserve">sarahai</t>
  </si>
  <si>
    <t xml:space="preserve">https://huggingface.co/sarahai/uzbek-stt-3</t>
  </si>
  <si>
    <t xml:space="preserve">istupakov/parakeet-tdt-0.6b-v3-onnx</t>
  </si>
  <si>
    <t xml:space="preserve">istupakov</t>
  </si>
  <si>
    <t xml:space="preserve">https://huggingface.co/istupakov/parakeet-tdt-0.6b-v3-onnx</t>
  </si>
  <si>
    <t xml:space="preserve">onnx-community/whisper-small</t>
  </si>
  <si>
    <t xml:space="preserve">https://huggingface.co/onnx-community/whisper-small</t>
  </si>
  <si>
    <t xml:space="preserve">Dpngtm/wav2vec2-emotion-recognition</t>
  </si>
  <si>
    <t xml:space="preserve">Dpngtm</t>
  </si>
  <si>
    <t xml:space="preserve">https://huggingface.co/Dpngtm/wav2vec2-emotion-recognition</t>
  </si>
  <si>
    <t xml:space="preserve">fashn-ai/fashn-human-parser</t>
  </si>
  <si>
    <t xml:space="preserve">fashn-ai</t>
  </si>
  <si>
    <t xml:space="preserve">https://huggingface.co/fashn-ai/fashn-human-parser</t>
  </si>
  <si>
    <t xml:space="preserve">hadramibegnoug/mms-hassaniya-asr</t>
  </si>
  <si>
    <t xml:space="preserve">hadramibegnoug</t>
  </si>
  <si>
    <t xml:space="preserve">https://huggingface.co/hadramibegnoug/mms-hassaniya-asr</t>
  </si>
  <si>
    <t xml:space="preserve">jonathandinu/face-parsing</t>
  </si>
  <si>
    <t xml:space="preserve">jonathandinu</t>
  </si>
  <si>
    <t xml:space="preserve">https://huggingface.co/jonathandinu/face-parsing</t>
  </si>
  <si>
    <t xml:space="preserve">omni-research/Tarsier2-Recap-7b</t>
  </si>
  <si>
    <t xml:space="preserve">https://huggingface.co/omni-research/Tarsier2-Recap-7b</t>
  </si>
  <si>
    <t xml:space="preserve">Saidakbar01/whisper-uz-finetuned</t>
  </si>
  <si>
    <t xml:space="preserve">Saidakbar01</t>
  </si>
  <si>
    <t xml:space="preserve">https://huggingface.co/Saidakbar01/whisper-uz-finetuned</t>
  </si>
  <si>
    <t xml:space="preserve">dbdmg/wav2vec2-xls-r-300m-italian</t>
  </si>
  <si>
    <t xml:space="preserve">dbdmg</t>
  </si>
  <si>
    <t xml:space="preserve">https://huggingface.co/dbdmg/wav2vec2-xls-r-300m-italian</t>
  </si>
  <si>
    <t xml:space="preserve">usyd-community/vitpose-plus-small</t>
  </si>
  <si>
    <t xml:space="preserve">https://huggingface.co/usyd-community/vitpose-plus-small</t>
  </si>
  <si>
    <t xml:space="preserve">Xenova/bart-large-mnli</t>
  </si>
  <si>
    <r>
      <rPr>
        <sz val="11"/>
        <color rgb="FF000000"/>
        <rFont val="Noto Sans CJK SC"/>
        <family val="2"/>
      </rPr>
      <t xml:space="preserve">專精領域與資安無關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量化版本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授權需確認</t>
    </r>
  </si>
  <si>
    <t xml:space="preserve">https://huggingface.co/Xenova/bart-large-mnli</t>
  </si>
  <si>
    <t xml:space="preserve">litagin/anime-whisper</t>
  </si>
  <si>
    <t xml:space="preserve">litagin</t>
  </si>
  <si>
    <t xml:space="preserve">kotoba-tech/kotoba-whisper-v2.0</t>
  </si>
  <si>
    <t xml:space="preserve">https://huggingface.co/litagin/anime-whisper</t>
  </si>
  <si>
    <t xml:space="preserve">imvladikon/wav2vec2-xls-r-300m-hebrew</t>
  </si>
  <si>
    <t xml:space="preserve">imvladikon</t>
  </si>
  <si>
    <t xml:space="preserve">https://huggingface.co/imvladikon/wav2vec2-xls-r-300m-hebrew</t>
  </si>
  <si>
    <t xml:space="preserve">usyd-community/vitpose-plus-large</t>
  </si>
  <si>
    <t xml:space="preserve">https://huggingface.co/usyd-community/vitpose-plus-large</t>
  </si>
  <si>
    <t xml:space="preserve">umutbozdag/plant-identity</t>
  </si>
  <si>
    <t xml:space="preserve">umutbozdag</t>
  </si>
  <si>
    <t xml:space="preserve">https://huggingface.co/umutbozdag/plant-identity</t>
  </si>
  <si>
    <t xml:space="preserve">xezpeleta/whisper-large-v3-eu</t>
  </si>
  <si>
    <t xml:space="preserve">xezpeleta</t>
  </si>
  <si>
    <t xml:space="preserve">https://huggingface.co/xezpeleta/whisper-large-v3-eu</t>
  </si>
  <si>
    <t xml:space="preserve">ehcalabres/wav2vec2-lg-xlsr-en-speech-emotion-recognition</t>
  </si>
  <si>
    <t xml:space="preserve">ehcalabres</t>
  </si>
  <si>
    <t xml:space="preserve">https://huggingface.co/ehcalabres/wav2vec2-lg-xlsr-en-speech-emotion-recognition</t>
  </si>
  <si>
    <t xml:space="preserve">KBLab/kb-whisper-large</t>
  </si>
  <si>
    <t xml:space="preserve">https://huggingface.co/KBLab/kb-whisper-large</t>
  </si>
  <si>
    <t xml:space="preserve">syscv-community/sam-hq-vit-base</t>
  </si>
  <si>
    <t xml:space="preserve">syscv-community</t>
  </si>
  <si>
    <t xml:space="preserve">https://huggingface.co/syscv-community/sam-hq-vit-base</t>
  </si>
  <si>
    <t xml:space="preserve">blanchefort/rubert-base-cased-sentiment</t>
  </si>
  <si>
    <t xml:space="preserve">blanchefort</t>
  </si>
  <si>
    <t xml:space="preserve">https://huggingface.co/blanchefort/rubert-base-cased-sentiment</t>
  </si>
  <si>
    <t xml:space="preserve">blanchefort/rubert-base-cased-sentiment-rusentiment</t>
  </si>
  <si>
    <t xml:space="preserve">https://huggingface.co/blanchefort/rubert-base-cased-sentiment-rusentiment</t>
  </si>
  <si>
    <t xml:space="preserve">cointegrated/rubert-tiny-sentiment-balanced</t>
  </si>
  <si>
    <t xml:space="preserve">https://huggingface.co/cointegrated/rubert-tiny-sentiment-balanced</t>
  </si>
  <si>
    <t xml:space="preserve">rtr46/meiki.text.detect.v0</t>
  </si>
  <si>
    <t xml:space="preserve">https://huggingface.co/rtr46/meiki.text.detect.v0</t>
  </si>
  <si>
    <t xml:space="preserve">KittenML/kitten-tts-nano-0.8-int8</t>
  </si>
  <si>
    <t xml:space="preserve">KittenML</t>
  </si>
  <si>
    <t xml:space="preserve">https://huggingface.co/KittenML/kitten-tts-nano-0.8-int8</t>
  </si>
  <si>
    <t xml:space="preserve">ivrit-ai/whisper-large-v3</t>
  </si>
  <si>
    <t xml:space="preserve">ivrit-ai</t>
  </si>
  <si>
    <t xml:space="preserve">https://huggingface.co/ivrit-ai/whisper-large-v3</t>
  </si>
  <si>
    <t xml:space="preserve">almanach/camembert-large</t>
  </si>
  <si>
    <t xml:space="preserve">https://huggingface.co/almanach/camembert-large</t>
  </si>
  <si>
    <t xml:space="preserve">mesolitica/sentiment-analysis-nanot5-small-malaysian-cased</t>
  </si>
  <si>
    <t xml:space="preserve">mesolitica</t>
  </si>
  <si>
    <t xml:space="preserve">https://huggingface.co/mesolitica/sentiment-analysis-nanot5-small-malaysian-cased</t>
  </si>
  <si>
    <t xml:space="preserve">prs-eth/marigold-depth-v1-0</t>
  </si>
  <si>
    <t xml:space="preserve">prs-eth</t>
  </si>
  <si>
    <t xml:space="preserve">https://huggingface.co/prs-eth/marigold-depth-v1-0</t>
  </si>
  <si>
    <t xml:space="preserve">klue/roberta-base</t>
  </si>
  <si>
    <t xml:space="preserve">https://huggingface.co/klue/roberta-base</t>
  </si>
  <si>
    <t xml:space="preserve">anonauthors/stanford_cars-ConvNeXt-base</t>
  </si>
  <si>
    <t xml:space="preserve">anonauthors</t>
  </si>
  <si>
    <t xml:space="preserve">https://huggingface.co/anonauthors/stanford_cars-ConvNeXt-base</t>
  </si>
  <si>
    <t xml:space="preserve">Xenova/distilbert-base-uncased-finetuned-sst-2-english</t>
  </si>
  <si>
    <t xml:space="preserve">https://huggingface.co/Xenova/distilbert-base-uncased-finetuned-sst-2-english</t>
  </si>
  <si>
    <t xml:space="preserve">onnx-community/whisper-base</t>
  </si>
  <si>
    <t xml:space="preserve">https://huggingface.co/onnx-community/whisper-base</t>
  </si>
  <si>
    <t xml:space="preserve">KittenML/kitten-tts-mini-0.8</t>
  </si>
  <si>
    <t xml:space="preserve">https://huggingface.co/KittenML/kitten-tts-mini-0.8</t>
  </si>
  <si>
    <t xml:space="preserve">Mavkif/m2m100_rup_ur_to_rur</t>
  </si>
  <si>
    <t xml:space="preserve">Mavkif</t>
  </si>
  <si>
    <t xml:space="preserve">facebook/m2m100_418M</t>
  </si>
  <si>
    <t xml:space="preserve">https://huggingface.co/Mavkif/m2m100_rup_ur_to_rur</t>
  </si>
  <si>
    <t xml:space="preserve">KittenML/kitten-tts-nano-0.8-fp32</t>
  </si>
  <si>
    <t xml:space="preserve">https://huggingface.co/KittenML/kitten-tts-nano-0.8-fp32</t>
  </si>
  <si>
    <t xml:space="preserve">EbanLee/kobart-summary-v3</t>
  </si>
  <si>
    <t xml:space="preserve">EbanLee</t>
  </si>
  <si>
    <t xml:space="preserve">https://huggingface.co/EbanLee/kobart-summary-v3</t>
  </si>
  <si>
    <t xml:space="preserve">recursionpharma/nesso</t>
  </si>
  <si>
    <t xml:space="preserve">recursionpharma</t>
  </si>
  <si>
    <t xml:space="preserve">https://huggingface.co/recursionpharma/nesso</t>
  </si>
  <si>
    <t xml:space="preserve">Xenova/segformer-b0-finetuned-ade-512-512</t>
  </si>
  <si>
    <t xml:space="preserve">https://huggingface.co/Xenova/segformer-b0-finetuned-ade-512-512</t>
  </si>
  <si>
    <t xml:space="preserve">bibabobbb/kronons-token-eth-recent-new-long-lbk</t>
  </si>
  <si>
    <t xml:space="preserve">bibabobbb</t>
  </si>
  <si>
    <t xml:space="preserve">https://huggingface.co/bibabobbb/kronons-token-eth-recent-new-long-lbk</t>
  </si>
  <si>
    <t xml:space="preserve">bibabobbb/kronons-eth-recent-new-long-lbk</t>
  </si>
  <si>
    <t xml:space="preserve">https://huggingface.co/bibabobbb/kronons-eth-recent-new-long-lbk</t>
  </si>
  <si>
    <t xml:space="preserve">videosdk-live/Namo-Turn-Detector-v1-Korean</t>
  </si>
  <si>
    <t xml:space="preserve">videosdk-live</t>
  </si>
  <si>
    <t xml:space="preserve">https://huggingface.co/videosdk-live/Namo-Turn-Detector-v1-Korean</t>
  </si>
  <si>
    <t xml:space="preserve">mzbac/voxtral-mini-3b-4bit-mixed</t>
  </si>
  <si>
    <t xml:space="preserve">mzbac</t>
  </si>
  <si>
    <t xml:space="preserve">https://huggingface.co/mzbac/voxtral-mini-3b-4bit-mixed</t>
  </si>
  <si>
    <t xml:space="preserve">onnx-community/whisper-tiny.en</t>
  </si>
  <si>
    <t xml:space="preserve">https://huggingface.co/onnx-community/whisper-tiny.en</t>
  </si>
  <si>
    <t xml:space="preserve">shashu2325/resume-job-matcher-lora</t>
  </si>
  <si>
    <t xml:space="preserve">shashu2325</t>
  </si>
  <si>
    <t xml:space="preserve">https://huggingface.co/shashu2325/resume-job-matcher-lora</t>
  </si>
  <si>
    <t xml:space="preserve">AntonV/Dia-1.6B</t>
  </si>
  <si>
    <t xml:space="preserve">AntonV</t>
  </si>
  <si>
    <t xml:space="preserve">https://huggingface.co/AntonV/Dia-1.6B</t>
  </si>
  <si>
    <t xml:space="preserve">onnx-community/whisper-tiny</t>
  </si>
  <si>
    <t xml:space="preserve">https://huggingface.co/onnx-community/whisper-tiny</t>
  </si>
  <si>
    <t xml:space="preserve">lpiccinelli/unik3d-vitl</t>
  </si>
  <si>
    <t xml:space="preserve">https://huggingface.co/lpiccinelli/unik3d-vitl</t>
  </si>
  <si>
    <t xml:space="preserve">KB/bert-base-swedish-cased</t>
  </si>
  <si>
    <t xml:space="preserve">KB</t>
  </si>
  <si>
    <t xml:space="preserve">https://huggingface.co/KB/bert-base-swedish-cased</t>
  </si>
  <si>
    <t xml:space="preserve">mit-han-lab/dc-ae-f32c32-sana-1.0</t>
  </si>
  <si>
    <t xml:space="preserve">mit-han-lab</t>
  </si>
  <si>
    <t xml:space="preserve">https://huggingface.co/mit-han-lab/dc-ae-f32c32-sana-1.0</t>
  </si>
  <si>
    <t xml:space="preserve">vikp/surya_det2</t>
  </si>
  <si>
    <t xml:space="preserve">https://huggingface.co/vikp/surya_det2</t>
  </si>
  <si>
    <t xml:space="preserve">Xenova/dinov2-small</t>
  </si>
  <si>
    <t xml:space="preserve">https://huggingface.co/Xenova/dinov2-small</t>
  </si>
  <si>
    <t xml:space="preserve">aubmindlab/bert-base-arabertv2</t>
  </si>
  <si>
    <t xml:space="preserve">https://huggingface.co/aubmindlab/bert-base-arabertv2</t>
  </si>
  <si>
    <t xml:space="preserve">lpiccinelli/unidepth-v2-vits14</t>
  </si>
  <si>
    <t xml:space="preserve">https://huggingface.co/lpiccinelli/unidepth-v2-vits14</t>
  </si>
  <si>
    <t xml:space="preserve">ETH-CVG/lightglue_superpoint</t>
  </si>
  <si>
    <t xml:space="preserve">ETH-CVG</t>
  </si>
  <si>
    <t xml:space="preserve">https://huggingface.co/ETH-CVG/lightglue_superpoint</t>
  </si>
  <si>
    <t xml:space="preserve">savasy/bert-base-turkish-sentiment-cased</t>
  </si>
  <si>
    <t xml:space="preserve">savasy</t>
  </si>
  <si>
    <t xml:space="preserve">https://huggingface.co/savasy/bert-base-turkish-sentiment-cased</t>
  </si>
  <si>
    <t xml:space="preserve">KittenML/kitten-tts-nano-0.1</t>
  </si>
  <si>
    <t xml:space="preserve">https://huggingface.co/KittenML/kitten-tts-nano-0.1</t>
  </si>
  <si>
    <t xml:space="preserve">morsetechlab/yolov11-license-plate-detection</t>
  </si>
  <si>
    <t xml:space="preserve">morsetechlab</t>
  </si>
  <si>
    <t xml:space="preserve">agpl-3.0</t>
  </si>
  <si>
    <t xml:space="preserve">https://huggingface.co/morsetechlab/yolov11-license-plate-detection</t>
  </si>
  <si>
    <t xml:space="preserve">klue/roberta-large</t>
  </si>
  <si>
    <t xml:space="preserve">https://huggingface.co/klue/roberta-large</t>
  </si>
  <si>
    <t xml:space="preserve">aubmindlab/bert-base-arabertv02-twitter</t>
  </si>
  <si>
    <t xml:space="preserve">https://huggingface.co/aubmindlab/bert-base-arabertv02-twitter</t>
  </si>
  <si>
    <t xml:space="preserve">AleksanderObuchowski/whisper-large-v3-turbo-med-pl-lora-r64-enc-dec-lr2e-04-ep5-whisper_bigos10k_fair-filtered</t>
  </si>
  <si>
    <t xml:space="preserve">AleksanderObuchowski</t>
  </si>
  <si>
    <r>
      <rPr>
        <sz val="11"/>
        <color rgb="FF000000"/>
        <rFont val="Noto Sans CJK SC"/>
        <family val="2"/>
      </rPr>
      <t xml:space="preserve">任務類型依上游模型推定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專精領域與資安無關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只支援特定外語</t>
    </r>
  </si>
  <si>
    <t xml:space="preserve">https://huggingface.co/AleksanderObuchowski/whisper-large-v3-turbo-med-pl-lora-r64-enc-dec-lr2e-04-ep5-whisper_bigos10k_fair-filtered</t>
  </si>
  <si>
    <t xml:space="preserve">onnx-community/whisper-base.en</t>
  </si>
  <si>
    <t xml:space="preserve">https://huggingface.co/onnx-community/whisper-base.en</t>
  </si>
  <si>
    <t xml:space="preserve">immich-app/ViT-B-32__openai</t>
  </si>
  <si>
    <t xml:space="preserve">immich-app</t>
  </si>
  <si>
    <t xml:space="preserve">https://huggingface.co/immich-app/ViT-B-32__openai</t>
  </si>
  <si>
    <t xml:space="preserve">pysentimiento/bertweet-pt-sentiment</t>
  </si>
  <si>
    <r>
      <rPr>
        <sz val="11"/>
        <color rgb="FF000000"/>
        <rFont val="Noto Sans CJK SC"/>
        <family val="2"/>
      </rPr>
      <t xml:space="preserve">任務類型依模型架構推定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專精領域與資安無關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只支援特定外語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授權需確認</t>
    </r>
  </si>
  <si>
    <t xml:space="preserve">https://huggingface.co/pysentimiento/bertweet-pt-sentiment</t>
  </si>
  <si>
    <t xml:space="preserve">1-800-BAD-CODE/punctuation_fullstop_truecase_english</t>
  </si>
  <si>
    <t xml:space="preserve">https://huggingface.co/1-800-BAD-CODE/punctuation_fullstop_truecase_english</t>
  </si>
  <si>
    <t xml:space="preserve">audio-cpp/SAM-Audio-GGUF</t>
  </si>
  <si>
    <t xml:space="preserve">facebook/sam-audio-large</t>
  </si>
  <si>
    <t xml:space="preserve">https://huggingface.co/audio-cpp/SAM-Audio-GGUF</t>
  </si>
  <si>
    <t xml:space="preserve">xai-org/grok-2</t>
  </si>
  <si>
    <t xml:space="preserve">xai-org</t>
  </si>
  <si>
    <t xml:space="preserve">https://huggingface.co/xai-org/grok-2</t>
  </si>
  <si>
    <t xml:space="preserve">各資安用途類別的前十名</t>
  </si>
  <si>
    <r>
      <rPr>
        <sz val="11"/>
        <color rgb="FF000000"/>
        <rFont val="Noto Sans CJK SC"/>
        <family val="2"/>
      </rPr>
      <t xml:space="preserve">依「資安適用排名」分頁的類別內排名查詢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修改權重後會自動更新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類別依通過篩選模型中的最高分排序</t>
    </r>
    <r>
      <rPr>
        <sz val="11"/>
        <color rgb="FF000000"/>
        <rFont val="Calibri"/>
        <family val="0"/>
        <charset val="1"/>
      </rPr>
      <t xml:space="preserve">.</t>
    </r>
  </si>
  <si>
    <t xml:space="preserve">主要排除原因</t>
  </si>
  <si>
    <t xml:space="preserve">全部不符條件</t>
  </si>
  <si>
    <t xml:space="preserve">條件代號</t>
  </si>
  <si>
    <r>
      <rPr>
        <sz val="11"/>
        <color rgb="FF000000"/>
        <rFont val="Noto Sans CJK SC"/>
        <family val="2"/>
      </rPr>
      <t xml:space="preserve">只提供可執行程式碼的權重格式 </t>
    </r>
    <r>
      <rPr>
        <sz val="11"/>
        <color rgb="FF000000"/>
        <rFont val="Calibri"/>
        <family val="0"/>
        <charset val="1"/>
      </rPr>
      <t xml:space="preserve">(pickle </t>
    </r>
    <r>
      <rPr>
        <sz val="11"/>
        <color rgb="FF000000"/>
        <rFont val="Noto Sans CJK SC"/>
        <family val="2"/>
      </rPr>
      <t xml:space="preserve">等</t>
    </r>
    <r>
      <rPr>
        <sz val="11"/>
        <color rgb="FF000000"/>
        <rFont val="Calibri"/>
        <family val="0"/>
        <charset val="1"/>
      </rPr>
      <t xml:space="preserve">)</t>
    </r>
  </si>
  <si>
    <t xml:space="preserve">https://huggingface.co/google/electra-base-discriminator</t>
  </si>
  <si>
    <t xml:space="preserve">https://huggingface.co/openai/clip-vit-base-patch32</t>
  </si>
  <si>
    <r>
      <rPr>
        <sz val="11"/>
        <color rgb="FF000000"/>
        <rFont val="Noto Sans CJK SC"/>
        <family val="2"/>
      </rPr>
      <t xml:space="preserve">需開啟 </t>
    </r>
    <r>
      <rPr>
        <sz val="11"/>
        <color rgb="FF000000"/>
        <rFont val="Calibri"/>
        <family val="0"/>
        <charset val="1"/>
      </rPr>
      <t xml:space="preserve">trust_remote_code</t>
    </r>
  </si>
  <si>
    <t xml:space="preserve">https://huggingface.co/nomic-ai/nomic-embed-text-v1.5</t>
  </si>
  <si>
    <t xml:space="preserve">hexgrad/Kokoro-82M</t>
  </si>
  <si>
    <t xml:space="preserve">hexgrad</t>
  </si>
  <si>
    <r>
      <rPr>
        <sz val="11"/>
        <color rgb="FF000000"/>
        <rFont val="Noto Sans CJK SC"/>
        <family val="2"/>
      </rPr>
      <t xml:space="preserve">只提供可執行程式碼的權重格式 </t>
    </r>
    <r>
      <rPr>
        <sz val="11"/>
        <color rgb="FF000000"/>
        <rFont val="Calibri"/>
        <family val="0"/>
        <charset val="1"/>
      </rPr>
      <t xml:space="preserve">(pickle </t>
    </r>
    <r>
      <rPr>
        <sz val="11"/>
        <color rgb="FF000000"/>
        <rFont val="Noto Sans CJK SC"/>
        <family val="2"/>
      </rPr>
      <t xml:space="preserve">等</t>
    </r>
    <r>
      <rPr>
        <sz val="11"/>
        <color rgb="FF000000"/>
        <rFont val="Calibri"/>
        <family val="0"/>
        <charset val="1"/>
      </rPr>
      <t xml:space="preserve">); </t>
    </r>
    <r>
      <rPr>
        <sz val="11"/>
        <color rgb="FF000000"/>
        <rFont val="Noto Sans CJK SC"/>
        <family val="2"/>
      </rPr>
      <t xml:space="preserve">生成影像、影音或語音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無防禦用途</t>
    </r>
  </si>
  <si>
    <t xml:space="preserve">G3;G6</t>
  </si>
  <si>
    <t xml:space="preserve">https://huggingface.co/hexgrad/Kokoro-82M</t>
  </si>
  <si>
    <t xml:space="preserve">Bingsu/adetailer</t>
  </si>
  <si>
    <t xml:space="preserve">Bingsu</t>
  </si>
  <si>
    <t xml:space="preserve">https://huggingface.co/Bingsu/adetailer</t>
  </si>
  <si>
    <t xml:space="preserve">facebook/opt-125m</t>
  </si>
  <si>
    <t xml:space="preserve">https://huggingface.co/facebook/opt-125m</t>
  </si>
  <si>
    <t xml:space="preserve">argmaxinc/whisperkit-coreml</t>
  </si>
  <si>
    <t xml:space="preserve">argmaxinc</t>
  </si>
  <si>
    <t xml:space="preserve">https://huggingface.co/argmaxinc/whisperkit-coreml</t>
  </si>
  <si>
    <t xml:space="preserve">pyannote/speaker-diarization-3.1</t>
  </si>
  <si>
    <t xml:space="preserve">pyannote</t>
  </si>
  <si>
    <t xml:space="preserve">無可辨識的權重檔</t>
  </si>
  <si>
    <t xml:space="preserve">https://huggingface.co/pyannote/speaker-diarization-3.1</t>
  </si>
  <si>
    <t xml:space="preserve">jonatasgrosman/wav2vec2-large-xlsr-53-japanese</t>
  </si>
  <si>
    <t xml:space="preserve">https://huggingface.co/jonatasgrosman/wav2vec2-large-xlsr-53-japanese</t>
  </si>
  <si>
    <t xml:space="preserve">coqui/XTTS-v2</t>
  </si>
  <si>
    <t xml:space="preserve">coqui</t>
  </si>
  <si>
    <t xml:space="preserve">https://huggingface.co/coqui/XTTS-v2</t>
  </si>
  <si>
    <t xml:space="preserve">facebook/contriever</t>
  </si>
  <si>
    <t xml:space="preserve">https://huggingface.co/facebook/contriever</t>
  </si>
  <si>
    <t xml:space="preserve">https://huggingface.co/pyannote/wespeaker-voxceleb-resnet34-LM</t>
  </si>
  <si>
    <t xml:space="preserve">https://huggingface.co/pyannote/segmentation-3.0</t>
  </si>
  <si>
    <t xml:space="preserve">Comfy-Org/stable-diffusion-1.5</t>
  </si>
  <si>
    <r>
      <rPr>
        <sz val="11"/>
        <color rgb="FF000000"/>
        <rFont val="Noto Sans CJK SC"/>
        <family val="2"/>
      </rPr>
      <t xml:space="preserve">生成影像、影音或語音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無防禦用途</t>
    </r>
  </si>
  <si>
    <t xml:space="preserve">https://huggingface.co/Comfy-Org/stable-diffusion-1.5</t>
  </si>
  <si>
    <t xml:space="preserve">ProsusAI/finbert</t>
  </si>
  <si>
    <t xml:space="preserve">ProsusAI</t>
  </si>
  <si>
    <t xml:space="preserve">https://huggingface.co/ProsusAI/finbert</t>
  </si>
  <si>
    <t xml:space="preserve">Comfy-Org/Z-Image-Turbo</t>
  </si>
  <si>
    <t xml:space="preserve">https://huggingface.co/Comfy-Org/Z-Image-Turbo</t>
  </si>
  <si>
    <t xml:space="preserve">pyannote/speaker-diarization-community-1</t>
  </si>
  <si>
    <t xml:space="preserve">https://huggingface.co/pyannote/speaker-diarization-community-1</t>
  </si>
  <si>
    <t xml:space="preserve">nomic-ai/nomic-embed-text-v1</t>
  </si>
  <si>
    <t xml:space="preserve">https://huggingface.co/nomic-ai/nomic-embed-text-v1</t>
  </si>
  <si>
    <t xml:space="preserve">jonatasgrosman/wav2vec2-large-xlsr-53-portuguese</t>
  </si>
  <si>
    <t xml:space="preserve">https://huggingface.co/jonatasgrosman/wav2vec2-large-xlsr-53-portuguese</t>
  </si>
  <si>
    <t xml:space="preserve">jonatasgrosman/wav2vec2-large-xlsr-53-russian</t>
  </si>
  <si>
    <t xml:space="preserve">https://huggingface.co/jonatasgrosman/wav2vec2-large-xlsr-53-russian</t>
  </si>
  <si>
    <t xml:space="preserve">https://huggingface.co/microsoft/mdeberta-v3-base</t>
  </si>
  <si>
    <t xml:space="preserve">openai/clip-vit-large-patch14-336</t>
  </si>
  <si>
    <t xml:space="preserve">https://huggingface.co/openai/clip-vit-large-patch14-336</t>
  </si>
  <si>
    <t xml:space="preserve">cardiffnlp/twitter-roberta-base-sentiment-latest</t>
  </si>
  <si>
    <t xml:space="preserve">cardiffnlp</t>
  </si>
  <si>
    <t xml:space="preserve">https://huggingface.co/cardiffnlp/twitter-roberta-base-sentiment-latest</t>
  </si>
  <si>
    <t xml:space="preserve">jonatasgrosman/wav2vec2-large-xlsr-53-polish</t>
  </si>
  <si>
    <t xml:space="preserve">https://huggingface.co/jonatasgrosman/wav2vec2-large-xlsr-53-polish</t>
  </si>
  <si>
    <t xml:space="preserve">hmellor/tiny-random-LlamaForCausalLM</t>
  </si>
  <si>
    <t xml:space="preserve">hmellor</t>
  </si>
  <si>
    <r>
      <rPr>
        <sz val="11"/>
        <color rgb="FF000000"/>
        <rFont val="Noto Sans CJK SC"/>
        <family val="2"/>
      </rPr>
      <t xml:space="preserve">測試用模型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非正式用途</t>
    </r>
  </si>
  <si>
    <t xml:space="preserve">https://huggingface.co/hmellor/tiny-random-LlamaForCausalLM</t>
  </si>
  <si>
    <t xml:space="preserve">microsoft/Florence-2-base</t>
  </si>
  <si>
    <t xml:space="preserve">https://huggingface.co/microsoft/Florence-2-base</t>
  </si>
  <si>
    <t xml:space="preserve">charactr/vocos-mel-24khz</t>
  </si>
  <si>
    <t xml:space="preserve">charactr</t>
  </si>
  <si>
    <t xml:space="preserve">https://huggingface.co/charactr/vocos-mel-24khz</t>
  </si>
  <si>
    <t xml:space="preserve">https://huggingface.co/microsoft/deberta-v3-base</t>
  </si>
  <si>
    <t xml:space="preserve">jinaai/jina-embeddings-v3</t>
  </si>
  <si>
    <t xml:space="preserve">jinaai</t>
  </si>
  <si>
    <r>
      <rPr>
        <sz val="11"/>
        <color rgb="FF000000"/>
        <rFont val="Noto Sans CJK SC"/>
        <family val="2"/>
      </rPr>
      <t xml:space="preserve">需開啟 </t>
    </r>
    <r>
      <rPr>
        <sz val="11"/>
        <color rgb="FF000000"/>
        <rFont val="Calibri"/>
        <family val="0"/>
        <charset val="1"/>
      </rPr>
      <t xml:space="preserve">trust_remote_code; </t>
    </r>
    <r>
      <rPr>
        <sz val="11"/>
        <color rgb="FF000000"/>
        <rFont val="Noto Sans CJK SC"/>
        <family val="2"/>
      </rPr>
      <t xml:space="preserve">授權不允許商用</t>
    </r>
  </si>
  <si>
    <t xml:space="preserve">G4;G5</t>
  </si>
  <si>
    <t xml:space="preserve">https://huggingface.co/jinaai/jina-embeddings-v3</t>
  </si>
  <si>
    <t xml:space="preserve">MahmoudAshraf/mms-300m-1130-forced-aligner</t>
  </si>
  <si>
    <t xml:space="preserve">MahmoudAshraf</t>
  </si>
  <si>
    <t xml:space="preserve">https://huggingface.co/MahmoudAshraf/mms-300m-1130-forced-aligner</t>
  </si>
  <si>
    <t xml:space="preserve">https://huggingface.co/facebook/wav2vec2-base</t>
  </si>
  <si>
    <t xml:space="preserve">E-MIMIC/inclusively-reformulation-it5</t>
  </si>
  <si>
    <t xml:space="preserve">E-MIMIC</t>
  </si>
  <si>
    <t xml:space="preserve">https://huggingface.co/E-MIMIC/inclusively-reformulation-it5</t>
  </si>
  <si>
    <t xml:space="preserve">pyannote/segmentation</t>
  </si>
  <si>
    <t xml:space="preserve">https://huggingface.co/pyannote/segmentation</t>
  </si>
  <si>
    <t xml:space="preserve">emilyalsentzer/Bio_ClinicalBERT</t>
  </si>
  <si>
    <t xml:space="preserve">emilyalsentzer</t>
  </si>
  <si>
    <t xml:space="preserve">https://huggingface.co/emilyalsentzer/Bio_ClinicalBERT</t>
  </si>
  <si>
    <t xml:space="preserve">Comfy-Org/Krea-2</t>
  </si>
  <si>
    <t xml:space="preserve">https://huggingface.co/Comfy-Org/Krea-2</t>
  </si>
  <si>
    <t xml:space="preserve">jonatasgrosman/wav2vec2-large-xlsr-53-dutch</t>
  </si>
  <si>
    <t xml:space="preserve">https://huggingface.co/jonatasgrosman/wav2vec2-large-xlsr-53-dutch</t>
  </si>
  <si>
    <t xml:space="preserve">stabilityai/stable-diffusion-xl-base-1.0</t>
  </si>
  <si>
    <t xml:space="preserve">https://huggingface.co/stabilityai/stable-diffusion-xl-base-1.0</t>
  </si>
  <si>
    <t xml:space="preserve">pyannote/voice-activity-detection</t>
  </si>
  <si>
    <t xml:space="preserve">https://huggingface.co/pyannote/voice-activity-detection</t>
  </si>
  <si>
    <t xml:space="preserve">indonesian-nlp/wav2vec2-indonesian-javanese-sundanese</t>
  </si>
  <si>
    <t xml:space="preserve">indonesian-nlp</t>
  </si>
  <si>
    <t xml:space="preserve">https://huggingface.co/indonesian-nlp/wav2vec2-indonesian-javanese-sundanese</t>
  </si>
  <si>
    <t xml:space="preserve">Systran/faster-whisper-small</t>
  </si>
  <si>
    <t xml:space="preserve">Systran</t>
  </si>
  <si>
    <t xml:space="preserve">https://huggingface.co/Systran/faster-whisper-small</t>
  </si>
  <si>
    <t xml:space="preserve">TostAI/nsfw-image-detection-large</t>
  </si>
  <si>
    <t xml:space="preserve">TostAI</t>
  </si>
  <si>
    <t xml:space="preserve">https://huggingface.co/TostAI/nsfw-image-detection-large</t>
  </si>
  <si>
    <t xml:space="preserve">vikhyatk/moondream2</t>
  </si>
  <si>
    <t xml:space="preserve">vikhyatk</t>
  </si>
  <si>
    <t xml:space="preserve">https://huggingface.co/vikhyatk/moondream2</t>
  </si>
  <si>
    <t xml:space="preserve">speechbrain/spkrec-ecapa-voxceleb</t>
  </si>
  <si>
    <t xml:space="preserve">speechbrain</t>
  </si>
  <si>
    <t xml:space="preserve">https://huggingface.co/speechbrain/spkrec-ecapa-voxceleb</t>
  </si>
  <si>
    <t xml:space="preserve">jonatasgrosman/wav2vec2-large-xlsr-53-greek</t>
  </si>
  <si>
    <t xml:space="preserve">https://huggingface.co/jonatasgrosman/wav2vec2-large-xlsr-53-greek</t>
  </si>
  <si>
    <t xml:space="preserve">ResembleAI/chatterbox</t>
  </si>
  <si>
    <t xml:space="preserve">ResembleAI</t>
  </si>
  <si>
    <t xml:space="preserve">https://huggingface.co/ResembleAI/chatterbox</t>
  </si>
  <si>
    <t xml:space="preserve">microsoft/TRELLIS-image-large</t>
  </si>
  <si>
    <t xml:space="preserve">https://huggingface.co/microsoft/TRELLIS-image-large</t>
  </si>
  <si>
    <t xml:space="preserve">jonatasgrosman/wav2vec2-large-xlsr-53-arabic</t>
  </si>
  <si>
    <t xml:space="preserve">https://huggingface.co/jonatasgrosman/wav2vec2-large-xlsr-53-arabic</t>
  </si>
  <si>
    <t xml:space="preserve">rhasspy/faster-whisper-tiny-int8</t>
  </si>
  <si>
    <t xml:space="preserve">rhasspy</t>
  </si>
  <si>
    <t xml:space="preserve">https://huggingface.co/rhasspy/faster-whisper-tiny-int8</t>
  </si>
  <si>
    <t xml:space="preserve">Salesforce/blip-image-captioning-base</t>
  </si>
  <si>
    <t xml:space="preserve">https://huggingface.co/Salesforce/blip-image-captioning-base</t>
  </si>
  <si>
    <t xml:space="preserve">facebook/musicgen-medium</t>
  </si>
  <si>
    <r>
      <rPr>
        <sz val="11"/>
        <color rgb="FF000000"/>
        <rFont val="Noto Sans CJK SC"/>
        <family val="2"/>
      </rPr>
      <t xml:space="preserve">只提供可執行程式碼的權重格式 </t>
    </r>
    <r>
      <rPr>
        <sz val="11"/>
        <color rgb="FF000000"/>
        <rFont val="Calibri"/>
        <family val="0"/>
        <charset val="1"/>
      </rPr>
      <t xml:space="preserve">(pickle </t>
    </r>
    <r>
      <rPr>
        <sz val="11"/>
        <color rgb="FF000000"/>
        <rFont val="Noto Sans CJK SC"/>
        <family val="2"/>
      </rPr>
      <t xml:space="preserve">等</t>
    </r>
    <r>
      <rPr>
        <sz val="11"/>
        <color rgb="FF000000"/>
        <rFont val="Calibri"/>
        <family val="0"/>
        <charset val="1"/>
      </rPr>
      <t xml:space="preserve">); </t>
    </r>
    <r>
      <rPr>
        <sz val="11"/>
        <color rgb="FF000000"/>
        <rFont val="Noto Sans CJK SC"/>
        <family val="2"/>
      </rPr>
      <t xml:space="preserve">授權不允許商用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生成影像、影音或語音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無防禦用途</t>
    </r>
  </si>
  <si>
    <t xml:space="preserve">G3;G5;G6</t>
  </si>
  <si>
    <t xml:space="preserve">https://huggingface.co/facebook/musicgen-medium</t>
  </si>
  <si>
    <t xml:space="preserve">facebook/esmfold_v1</t>
  </si>
  <si>
    <t xml:space="preserve">https://huggingface.co/facebook/esmfold_v1</t>
  </si>
  <si>
    <t xml:space="preserve">jonatasgrosman/wav2vec2-large-xlsr-53-hungarian</t>
  </si>
  <si>
    <t xml:space="preserve">https://huggingface.co/jonatasgrosman/wav2vec2-large-xlsr-53-hungarian</t>
  </si>
  <si>
    <t xml:space="preserve">dropbox-dash/faster-whisper-large-v3-turbo</t>
  </si>
  <si>
    <t xml:space="preserve">dropbox-dash</t>
  </si>
  <si>
    <t xml:space="preserve">https://huggingface.co/dropbox-dash/faster-whisper-large-v3-turbo</t>
  </si>
  <si>
    <t xml:space="preserve">Bingsu/yolo-world-mirror</t>
  </si>
  <si>
    <t xml:space="preserve">https://huggingface.co/Bingsu/yolo-world-mirror</t>
  </si>
  <si>
    <t xml:space="preserve">microsoft/TRELLIS.2-4B</t>
  </si>
  <si>
    <t xml:space="preserve">https://huggingface.co/microsoft/TRELLIS.2-4B</t>
  </si>
  <si>
    <t xml:space="preserve">nvidia/bigvgan_v2_22khz_80band_256x</t>
  </si>
  <si>
    <t xml:space="preserve">https://huggingface.co/nvidia/bigvgan_v2_22khz_80band_256x</t>
  </si>
  <si>
    <t xml:space="preserve">Lightricks/LTX-2.3</t>
  </si>
  <si>
    <t xml:space="preserve">https://huggingface.co/Lightricks/LTX-2.3</t>
  </si>
  <si>
    <t xml:space="preserve">stable-diffusion-v1-5/stable-diffusion-v1-5</t>
  </si>
  <si>
    <t xml:space="preserve">stable-diffusion-v1-5</t>
  </si>
  <si>
    <t xml:space="preserve">https://huggingface.co/stable-diffusion-v1-5/stable-diffusion-v1-5</t>
  </si>
  <si>
    <t xml:space="preserve">https://huggingface.co/openai/clip-vit-base-patch16</t>
  </si>
  <si>
    <t xml:space="preserve">https://huggingface.co/nvidia/NVIDIA-Nemotron-3-Nano-4B-BF16</t>
  </si>
  <si>
    <t xml:space="preserve">StanfordAIMI/stanford-deidentifier-base</t>
  </si>
  <si>
    <t xml:space="preserve">StanfordAIMI</t>
  </si>
  <si>
    <t xml:space="preserve">https://huggingface.co/StanfordAIMI/stanford-deidentifier-base</t>
  </si>
  <si>
    <t xml:space="preserve">neuralmind/bert-large-portuguese-cased</t>
  </si>
  <si>
    <t xml:space="preserve">neuralmind</t>
  </si>
  <si>
    <t xml:space="preserve">https://huggingface.co/neuralmind/bert-large-portuguese-cased</t>
  </si>
  <si>
    <t xml:space="preserve">Systran/faster-whisper-tiny</t>
  </si>
  <si>
    <t xml:space="preserve">https://huggingface.co/Systran/faster-whisper-tiny</t>
  </si>
  <si>
    <t xml:space="preserve">farbodtavakkoli/OTel-LLM-E4B-IT</t>
  </si>
  <si>
    <t xml:space="preserve">https://huggingface.co/farbodtavakkoli/OTel-LLM-E4B-IT</t>
  </si>
  <si>
    <t xml:space="preserve">Systran/faster-whisper-base</t>
  </si>
  <si>
    <t xml:space="preserve">https://huggingface.co/Systran/faster-whisper-base</t>
  </si>
  <si>
    <t xml:space="preserve">audeering/wav2vec2-large-robust-24-ft-age-gender</t>
  </si>
  <si>
    <t xml:space="preserve">audeering</t>
  </si>
  <si>
    <t xml:space="preserve">https://huggingface.co/audeering/wav2vec2-large-robust-24-ft-age-gender</t>
  </si>
  <si>
    <t xml:space="preserve">https://huggingface.co/jonatasgrosman/wav2vec2-large-xlsr-53-chinese-zh-cn</t>
  </si>
  <si>
    <t xml:space="preserve">jinaai/jina-reranker-v2-base-multilingual</t>
  </si>
  <si>
    <t xml:space="preserve">https://huggingface.co/jinaai/jina-reranker-v2-base-multilingual</t>
  </si>
  <si>
    <t xml:space="preserve">anuragshas/wav2vec2-large-xlsr-53-telugu</t>
  </si>
  <si>
    <t xml:space="preserve">anuragshas</t>
  </si>
  <si>
    <t xml:space="preserve">https://huggingface.co/anuragshas/wav2vec2-large-xlsr-53-telugu</t>
  </si>
  <si>
    <t xml:space="preserve">https://huggingface.co/microsoft/deberta-v3-large</t>
  </si>
  <si>
    <t xml:space="preserve">prithivida/parrot_paraphraser_on_T5</t>
  </si>
  <si>
    <t xml:space="preserve">https://huggingface.co/prithivida/parrot_paraphraser_on_T5</t>
  </si>
  <si>
    <t xml:space="preserve">nvidia/NVIDIA-Nemotron-3-Super-120B-A12B-NVFP4</t>
  </si>
  <si>
    <t xml:space="preserve">https://huggingface.co/nvidia/NVIDIA-Nemotron-3-Super-120B-A12B-NVFP4</t>
  </si>
  <si>
    <t xml:space="preserve">facebook/nllb-200-distilled-600M</t>
  </si>
  <si>
    <r>
      <rPr>
        <sz val="11"/>
        <color rgb="FF000000"/>
        <rFont val="Noto Sans CJK SC"/>
        <family val="2"/>
      </rPr>
      <t xml:space="preserve">只提供可執行程式碼的權重格式 </t>
    </r>
    <r>
      <rPr>
        <sz val="11"/>
        <color rgb="FF000000"/>
        <rFont val="Calibri"/>
        <family val="0"/>
        <charset val="1"/>
      </rPr>
      <t xml:space="preserve">(pickle </t>
    </r>
    <r>
      <rPr>
        <sz val="11"/>
        <color rgb="FF000000"/>
        <rFont val="Noto Sans CJK SC"/>
        <family val="2"/>
      </rPr>
      <t xml:space="preserve">等</t>
    </r>
    <r>
      <rPr>
        <sz val="11"/>
        <color rgb="FF000000"/>
        <rFont val="Calibri"/>
        <family val="0"/>
        <charset val="1"/>
      </rPr>
      <t xml:space="preserve">); </t>
    </r>
    <r>
      <rPr>
        <sz val="11"/>
        <color rgb="FF000000"/>
        <rFont val="Noto Sans CJK SC"/>
        <family val="2"/>
      </rPr>
      <t xml:space="preserve">授權不允許商用</t>
    </r>
  </si>
  <si>
    <t xml:space="preserve">G3;G5</t>
  </si>
  <si>
    <t xml:space="preserve">https://huggingface.co/facebook/nllb-200-distilled-600M</t>
  </si>
  <si>
    <t xml:space="preserve">https://huggingface.co/nomic-ai/nomic-embed-text-v2-moe</t>
  </si>
  <si>
    <t xml:space="preserve">prajjwal1</t>
  </si>
  <si>
    <t xml:space="preserve">https://huggingface.co/prajjwal1/bert-tiny</t>
  </si>
  <si>
    <t xml:space="preserve">iitolstykh/mivolo_v2</t>
  </si>
  <si>
    <t xml:space="preserve">iitolstykh</t>
  </si>
  <si>
    <t xml:space="preserve">https://huggingface.co/iitolstykh/mivolo_v2</t>
  </si>
  <si>
    <t xml:space="preserve">Khalsuu/filipino-wav2vec2-l-xls-r-300m-official</t>
  </si>
  <si>
    <t xml:space="preserve">Khalsuu</t>
  </si>
  <si>
    <t xml:space="preserve">https://huggingface.co/Khalsuu/filipino-wav2vec2-l-xls-r-300m-official</t>
  </si>
  <si>
    <t xml:space="preserve">apple/OpenELM-1_1B-Instruct</t>
  </si>
  <si>
    <t xml:space="preserve">apple</t>
  </si>
  <si>
    <t xml:space="preserve">https://huggingface.co/apple/OpenELM-1_1B-Instruct</t>
  </si>
  <si>
    <t xml:space="preserve">airesearch/wav2vec2-large-xlsr-53-th</t>
  </si>
  <si>
    <t xml:space="preserve">https://huggingface.co/airesearch/wav2vec2-large-xlsr-53-th</t>
  </si>
  <si>
    <t xml:space="preserve">jonatasgrosman/wav2vec2-large-xlsr-53-persian</t>
  </si>
  <si>
    <t xml:space="preserve">https://huggingface.co/jonatasgrosman/wav2vec2-large-xlsr-53-persian</t>
  </si>
  <si>
    <t xml:space="preserve">https://huggingface.co/microsoft/layoutlmv3-base</t>
  </si>
  <si>
    <t xml:space="preserve">Comfy-Org/Flux-2-Dev</t>
  </si>
  <si>
    <t xml:space="preserve">https://huggingface.co/Comfy-Org/Flux-2-Dev</t>
  </si>
  <si>
    <t xml:space="preserve">Helsinki-NLP/opus-mt-nl-en</t>
  </si>
  <si>
    <t xml:space="preserve">https://huggingface.co/Helsinki-NLP/opus-mt-nl-en</t>
  </si>
  <si>
    <t xml:space="preserve">biohub/ESMC-6B</t>
  </si>
  <si>
    <t xml:space="preserve">https://huggingface.co/biohub/ESMC-6B</t>
  </si>
  <si>
    <t xml:space="preserve">microsoft/Phi-3.5-vision-instruct</t>
  </si>
  <si>
    <t xml:space="preserve">https://huggingface.co/microsoft/Phi-3.5-vision-instruct</t>
  </si>
  <si>
    <t xml:space="preserve">litert-community/gemma-4-E2B-it-litert-lm</t>
  </si>
  <si>
    <t xml:space="preserve">litert-community</t>
  </si>
  <si>
    <t xml:space="preserve">https://huggingface.co/litert-community/gemma-4-E2B-it-litert-lm</t>
  </si>
  <si>
    <t xml:space="preserve">sshleifer/tiny-gpt2</t>
  </si>
  <si>
    <t xml:space="preserve">sshleifer</t>
  </si>
  <si>
    <t xml:space="preserve">https://huggingface.co/sshleifer/tiny-gpt2</t>
  </si>
  <si>
    <t xml:space="preserve">HauhauCS/Gemma-4-E4B-Uncensored-HauhauCS-Aggressive</t>
  </si>
  <si>
    <t xml:space="preserve">HauhauCS</t>
  </si>
  <si>
    <t xml:space="preserve">移除安全護欄或攻擊、成人內容用途</t>
  </si>
  <si>
    <t xml:space="preserve">https://huggingface.co/HauhauCS/Gemma-4-E4B-Uncensored-HauhauCS-Aggressive</t>
  </si>
  <si>
    <t xml:space="preserve">microsoft/BiomedNLP-BiomedBERT-base-uncased-abstract</t>
  </si>
  <si>
    <t xml:space="preserve">https://huggingface.co/microsoft/BiomedNLP-BiomedBERT-base-uncased-abstract</t>
  </si>
  <si>
    <t xml:space="preserve">https://huggingface.co/nvidia/NVIDIA-Nemotron-3-Nano-30B-A3B-BF16</t>
  </si>
  <si>
    <t xml:space="preserve">https://huggingface.co/cardiffnlp/twitter-xlm-roberta-base-sentiment</t>
  </si>
  <si>
    <t xml:space="preserve">allenai/longformer-base-4096</t>
  </si>
  <si>
    <t xml:space="preserve">https://huggingface.co/allenai/longformer-base-4096</t>
  </si>
  <si>
    <t xml:space="preserve">nvidia/Nemotron-3-Nano-Omni-30B-A3B-Reasoning-NVFP4</t>
  </si>
  <si>
    <t xml:space="preserve">https://huggingface.co/nvidia/Nemotron-3-Nano-Omni-30B-A3B-Reasoning-NVFP4</t>
  </si>
  <si>
    <t xml:space="preserve">Systran/faster-whisper-large-v3</t>
  </si>
  <si>
    <t xml:space="preserve">https://huggingface.co/Systran/faster-whisper-large-v3</t>
  </si>
  <si>
    <t xml:space="preserve">apple/mobilevit-small</t>
  </si>
  <si>
    <t xml:space="preserve">https://huggingface.co/apple/mobilevit-small</t>
  </si>
  <si>
    <t xml:space="preserve">jinaai/jina-embeddings-v2-small-en</t>
  </si>
  <si>
    <t xml:space="preserve">https://huggingface.co/jinaai/jina-embeddings-v2-small-en</t>
  </si>
  <si>
    <t xml:space="preserve">Harveenchadha/vakyansh-wav2vec2-tamil-tam-250</t>
  </si>
  <si>
    <t xml:space="preserve">Harveenchadha</t>
  </si>
  <si>
    <t xml:space="preserve">https://huggingface.co/Harveenchadha/vakyansh-wav2vec2-tamil-tam-250</t>
  </si>
  <si>
    <t xml:space="preserve">nvidia/NVIDIA-Nemotron-3-Super-120B-A12B-BF16</t>
  </si>
  <si>
    <t xml:space="preserve">https://huggingface.co/nvidia/NVIDIA-Nemotron-3-Super-120B-A12B-BF16</t>
  </si>
  <si>
    <t xml:space="preserve">timm/convnextv2_nano.fcmae_ft_in22k_in1k</t>
  </si>
  <si>
    <t xml:space="preserve">https://huggingface.co/timm/convnextv2_nano.fcmae_ft_in22k_in1k</t>
  </si>
  <si>
    <t xml:space="preserve">rhasspy/faster-whisper-base-int8</t>
  </si>
  <si>
    <t xml:space="preserve">https://huggingface.co/rhasspy/faster-whisper-base-int8</t>
  </si>
  <si>
    <t xml:space="preserve">Kijai/LTX2.3_comfy</t>
  </si>
  <si>
    <t xml:space="preserve">https://huggingface.co/Kijai/LTX2.3_comfy</t>
  </si>
  <si>
    <t xml:space="preserve">Serveurperso/YuE2-GGUF</t>
  </si>
  <si>
    <t xml:space="preserve">Serveurperso</t>
  </si>
  <si>
    <t xml:space="preserve">https://huggingface.co/Serveurperso/YuE2-GGUF</t>
  </si>
  <si>
    <t xml:space="preserve">jonatasgrosman/wav2vec2-large-xlsr-53-finnish</t>
  </si>
  <si>
    <t xml:space="preserve">https://huggingface.co/jonatasgrosman/wav2vec2-large-xlsr-53-finnish</t>
  </si>
  <si>
    <t xml:space="preserve">mesolitica/wav2vec2-xls-r-300m-mixed</t>
  </si>
  <si>
    <t xml:space="preserve">https://huggingface.co/mesolitica/wav2vec2-xls-r-300m-mixed</t>
  </si>
  <si>
    <t xml:space="preserve">circlestone-labs/Anima</t>
  </si>
  <si>
    <t xml:space="preserve">circlestone-labs</t>
  </si>
  <si>
    <t xml:space="preserve">https://huggingface.co/circlestone-labs/Anima</t>
  </si>
  <si>
    <t xml:space="preserve">NN-Dataset/tflite</t>
  </si>
  <si>
    <t xml:space="preserve">NN-Dataset</t>
  </si>
  <si>
    <t xml:space="preserve">https://huggingface.co/NN-Dataset/tflite</t>
  </si>
  <si>
    <t xml:space="preserve">nguyenvulebinh/wav2vec2-base-vi-vlsp2020</t>
  </si>
  <si>
    <t xml:space="preserve">nguyenvulebinh</t>
  </si>
  <si>
    <t xml:space="preserve">https://huggingface.co/nguyenvulebinh/wav2vec2-base-vi-vlsp2020</t>
  </si>
  <si>
    <t xml:space="preserve">peft-internal-testing/tiny-clip-text-2</t>
  </si>
  <si>
    <t xml:space="preserve">peft-internal-testing</t>
  </si>
  <si>
    <t xml:space="preserve">https://huggingface.co/peft-internal-testing/tiny-clip-text-2</t>
  </si>
  <si>
    <t xml:space="preserve">nvidia/NVIDIA-Nemotron-3-Nano-30B-A3B-NVFP4</t>
  </si>
  <si>
    <t xml:space="preserve">https://huggingface.co/nvidia/NVIDIA-Nemotron-3-Nano-30B-A3B-NVFP4</t>
  </si>
  <si>
    <t xml:space="preserve">stabilityai/sdxl-turbo</t>
  </si>
  <si>
    <t xml:space="preserve">https://huggingface.co/stabilityai/sdxl-turbo</t>
  </si>
  <si>
    <t xml:space="preserve">Tongyi-MAI/Z-Image-Turbo</t>
  </si>
  <si>
    <t xml:space="preserve">Tongyi-MAI</t>
  </si>
  <si>
    <t xml:space="preserve">https://huggingface.co/Tongyi-MAI/Z-Image-Turbo</t>
  </si>
  <si>
    <t xml:space="preserve">google/mobilebert-uncased</t>
  </si>
  <si>
    <t xml:space="preserve">https://huggingface.co/google/mobilebert-uncased</t>
  </si>
  <si>
    <t xml:space="preserve">Qdrant/bm25</t>
  </si>
  <si>
    <t xml:space="preserve">https://huggingface.co/Qdrant/bm25</t>
  </si>
  <si>
    <t xml:space="preserve">TrustSafeAI/RADAR-Vicuna-7B</t>
  </si>
  <si>
    <t xml:space="preserve">TrustSafeAI</t>
  </si>
  <si>
    <t xml:space="preserve">https://huggingface.co/TrustSafeAI/RADAR-Vicuna-7B</t>
  </si>
  <si>
    <t xml:space="preserve">ZhengPeng7</t>
  </si>
  <si>
    <t xml:space="preserve">https://huggingface.co/ZhengPeng7/BiRefNet</t>
  </si>
  <si>
    <t xml:space="preserve">onnx-community/Kokoro-82M-v1.0-ONNX</t>
  </si>
  <si>
    <t xml:space="preserve">https://huggingface.co/onnx-community/Kokoro-82M-v1.0-ONNX</t>
  </si>
  <si>
    <t xml:space="preserve">microsoft/wavlm-large</t>
  </si>
  <si>
    <t xml:space="preserve">https://huggingface.co/microsoft/wavlm-large</t>
  </si>
  <si>
    <t xml:space="preserve">Systran/faster-whisper-tiny.en</t>
  </si>
  <si>
    <t xml:space="preserve">https://huggingface.co/Systran/faster-whisper-tiny.en</t>
  </si>
  <si>
    <t xml:space="preserve">https://huggingface.co/microsoft/deberta-v3-small</t>
  </si>
  <si>
    <t xml:space="preserve">sshleifer/distilbart-cnn-12-6</t>
  </si>
  <si>
    <t xml:space="preserve">https://huggingface.co/sshleifer/distilbart-cnn-12-6</t>
  </si>
  <si>
    <t xml:space="preserve">Lightricks/LTX-2.3-fp8</t>
  </si>
  <si>
    <t xml:space="preserve">https://huggingface.co/Lightricks/LTX-2.3-fp8</t>
  </si>
  <si>
    <t xml:space="preserve">YituTech/conv-bert-base</t>
  </si>
  <si>
    <t xml:space="preserve">YituTech</t>
  </si>
  <si>
    <t xml:space="preserve">https://huggingface.co/YituTech/conv-bert-base</t>
  </si>
  <si>
    <t xml:space="preserve">allenai/specter2_base</t>
  </si>
  <si>
    <t xml:space="preserve">https://huggingface.co/allenai/specter2_base</t>
  </si>
  <si>
    <t xml:space="preserve">google/fnet-base</t>
  </si>
  <si>
    <t xml:space="preserve">https://huggingface.co/google/fnet-base</t>
  </si>
  <si>
    <t xml:space="preserve">SWivid/F5-TTS</t>
  </si>
  <si>
    <t xml:space="preserve">SWivid</t>
  </si>
  <si>
    <r>
      <rPr>
        <sz val="11"/>
        <color rgb="FF000000"/>
        <rFont val="Noto Sans CJK SC"/>
        <family val="2"/>
      </rPr>
      <t xml:space="preserve">授權不允許商用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生成影像、影音或語音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無防禦用途</t>
    </r>
  </si>
  <si>
    <t xml:space="preserve">G5;G6</t>
  </si>
  <si>
    <t xml:space="preserve">https://huggingface.co/SWivid/F5-TTS</t>
  </si>
  <si>
    <t xml:space="preserve">https://huggingface.co/google/electra-small-discriminator</t>
  </si>
  <si>
    <t xml:space="preserve">arijitx/wav2vec2-xls-r-300m-bengali</t>
  </si>
  <si>
    <t xml:space="preserve">arijitx</t>
  </si>
  <si>
    <t xml:space="preserve">https://huggingface.co/arijitx/wav2vec2-xls-r-300m-bengali</t>
  </si>
  <si>
    <t xml:space="preserve">Lykon/dreamshaper-7</t>
  </si>
  <si>
    <t xml:space="preserve">Lykon</t>
  </si>
  <si>
    <t xml:space="preserve">https://huggingface.co/Lykon/dreamshaper-7</t>
  </si>
  <si>
    <t xml:space="preserve">llamafactory/tiny-random-Llama-3</t>
  </si>
  <si>
    <t xml:space="preserve">llamafactory</t>
  </si>
  <si>
    <t xml:space="preserve">https://huggingface.co/llamafactory/tiny-random-Llama-3</t>
  </si>
  <si>
    <t xml:space="preserve">microsoft/tapex-base-finetuned-wikisql</t>
  </si>
  <si>
    <t xml:space="preserve">https://huggingface.co/microsoft/tapex-base-finetuned-wikisql</t>
  </si>
  <si>
    <t xml:space="preserve">nvidia/bigvgan_v2_44khz_128band_512x</t>
  </si>
  <si>
    <t xml:space="preserve">https://huggingface.co/nvidia/bigvgan_v2_44khz_128band_512x</t>
  </si>
  <si>
    <t xml:space="preserve">laion/clap-htsat-unfused</t>
  </si>
  <si>
    <t xml:space="preserve">https://huggingface.co/laion/clap-htsat-unfused</t>
  </si>
  <si>
    <t xml:space="preserve">openvla/openvla-7b</t>
  </si>
  <si>
    <t xml:space="preserve">openvla</t>
  </si>
  <si>
    <r>
      <rPr>
        <sz val="11"/>
        <color rgb="FF000000"/>
        <rFont val="Noto Sans CJK SC"/>
        <family val="2"/>
      </rPr>
      <t xml:space="preserve">需開啟 </t>
    </r>
    <r>
      <rPr>
        <sz val="11"/>
        <color rgb="FF000000"/>
        <rFont val="Calibri"/>
        <family val="0"/>
        <charset val="1"/>
      </rPr>
      <t xml:space="preserve">trust_remote_code; </t>
    </r>
    <r>
      <rPr>
        <sz val="11"/>
        <color rgb="FF000000"/>
        <rFont val="Noto Sans CJK SC"/>
        <family val="2"/>
      </rPr>
      <t xml:space="preserve">生成影像、影音或語音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無防禦用途</t>
    </r>
  </si>
  <si>
    <t xml:space="preserve">G4;G6</t>
  </si>
  <si>
    <t xml:space="preserve">https://huggingface.co/openvla/openvla-7b</t>
  </si>
  <si>
    <t xml:space="preserve">CompVis/stable-diffusion-safety-checker</t>
  </si>
  <si>
    <t xml:space="preserve">CompVis</t>
  </si>
  <si>
    <t xml:space="preserve">https://huggingface.co/CompVis/stable-diffusion-safety-checker</t>
  </si>
  <si>
    <t xml:space="preserve">Lightricks/LTX-2.5</t>
  </si>
  <si>
    <t xml:space="preserve">https://huggingface.co/Lightricks/LTX-2.5</t>
  </si>
  <si>
    <t xml:space="preserve">apple/DFN5B-CLIP-ViT-H-14-378</t>
  </si>
  <si>
    <t xml:space="preserve">https://huggingface.co/apple/DFN5B-CLIP-ViT-H-14-378</t>
  </si>
  <si>
    <t xml:space="preserve">https://huggingface.co/facebook/wav2vec2-xls-r-300m</t>
  </si>
  <si>
    <t xml:space="preserve">black-forest-labs/FLUX.1-dev</t>
  </si>
  <si>
    <t xml:space="preserve">black-forest-labs</t>
  </si>
  <si>
    <t xml:space="preserve">https://huggingface.co/black-forest-labs/FLUX.1-dev</t>
  </si>
  <si>
    <t xml:space="preserve">pyannote/embedding</t>
  </si>
  <si>
    <t xml:space="preserve">https://huggingface.co/pyannote/embedding</t>
  </si>
  <si>
    <t xml:space="preserve">FinLang/finance-embeddings-investopedia</t>
  </si>
  <si>
    <t xml:space="preserve">FinLang</t>
  </si>
  <si>
    <t xml:space="preserve">https://huggingface.co/FinLang/finance-embeddings-investopedia</t>
  </si>
  <si>
    <t xml:space="preserve">ahotrod/electra_large_discriminator_squad2_512</t>
  </si>
  <si>
    <t xml:space="preserve">ahotrod</t>
  </si>
  <si>
    <t xml:space="preserve">https://huggingface.co/ahotrod/electra_large_discriminator_squad2_512</t>
  </si>
  <si>
    <t xml:space="preserve">audeering/wav2vec2-large-robust-12-ft-emotion-msp-dim</t>
  </si>
  <si>
    <t xml:space="preserve">https://huggingface.co/audeering/wav2vec2-large-robust-12-ft-emotion-msp-dim</t>
  </si>
  <si>
    <t xml:space="preserve">jinaai/jina-bert-flash-implementation</t>
  </si>
  <si>
    <r>
      <rPr>
        <sz val="11"/>
        <color rgb="FF000000"/>
        <rFont val="Noto Sans CJK SC"/>
        <family val="2"/>
      </rPr>
      <t xml:space="preserve">無可辨識的權重檔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需開啟 </t>
    </r>
    <r>
      <rPr>
        <sz val="11"/>
        <color rgb="FF000000"/>
        <rFont val="Calibri"/>
        <family val="0"/>
        <charset val="1"/>
      </rPr>
      <t xml:space="preserve">trust_remote_code</t>
    </r>
  </si>
  <si>
    <t xml:space="preserve">G3;G4</t>
  </si>
  <si>
    <t xml:space="preserve">https://huggingface.co/jinaai/jina-bert-flash-implementation</t>
  </si>
  <si>
    <t xml:space="preserve">facebook/fasttext-language-identification</t>
  </si>
  <si>
    <t xml:space="preserve">https://huggingface.co/facebook/fasttext-language-identification</t>
  </si>
  <si>
    <t xml:space="preserve">microsoft/wavlm-base-plus</t>
  </si>
  <si>
    <t xml:space="preserve">https://huggingface.co/microsoft/wavlm-base-plus</t>
  </si>
  <si>
    <t xml:space="preserve">https://huggingface.co/microsoft/Phi-3.5-mini-instruct</t>
  </si>
  <si>
    <t xml:space="preserve">h2oai/h2ovl-mississippi-800m</t>
  </si>
  <si>
    <t xml:space="preserve">https://huggingface.co/h2oai/h2ovl-mississippi-800m</t>
  </si>
  <si>
    <t xml:space="preserve">hubertsiuzdak/snac_24khz</t>
  </si>
  <si>
    <t xml:space="preserve">hubertsiuzdak</t>
  </si>
  <si>
    <t xml:space="preserve">https://huggingface.co/hubertsiuzdak/snac_24khz</t>
  </si>
  <si>
    <t xml:space="preserve">fixie-ai/ultravox-v0_5-llama-3_2-1b</t>
  </si>
  <si>
    <t xml:space="preserve">https://huggingface.co/fixie-ai/ultravox-v0_5-llama-3_2-1b</t>
  </si>
  <si>
    <t xml:space="preserve">Systran/faster-whisper-medium</t>
  </si>
  <si>
    <t xml:space="preserve">https://huggingface.co/Systran/faster-whisper-medium</t>
  </si>
  <si>
    <t xml:space="preserve">h2oai/h2ovl-mississippi-2b</t>
  </si>
  <si>
    <t xml:space="preserve">https://huggingface.co/h2oai/h2ovl-mississippi-2b</t>
  </si>
  <si>
    <t xml:space="preserve">https://huggingface.co/microsoft/Phi-4-mini-instruct</t>
  </si>
  <si>
    <t xml:space="preserve">Marqo/marqo-fashionSigLIP</t>
  </si>
  <si>
    <t xml:space="preserve">https://huggingface.co/Marqo/marqo-fashionSigLIP</t>
  </si>
  <si>
    <t xml:space="preserve">peft-internal-testing/tiny-random-OPTForCausalLM</t>
  </si>
  <si>
    <t xml:space="preserve">https://huggingface.co/peft-internal-testing/tiny-random-OPTForCausalLM</t>
  </si>
  <si>
    <t xml:space="preserve">gagan3012/wav2vec2-xlsr-nepali</t>
  </si>
  <si>
    <t xml:space="preserve">gagan3012</t>
  </si>
  <si>
    <t xml:space="preserve">https://huggingface.co/gagan3012/wav2vec2-xlsr-nepali</t>
  </si>
  <si>
    <t xml:space="preserve">j-hartmann/emotion-english-distilroberta-base</t>
  </si>
  <si>
    <t xml:space="preserve">j-hartmann</t>
  </si>
  <si>
    <t xml:space="preserve">https://huggingface.co/j-hartmann/emotion-english-distilroberta-base</t>
  </si>
  <si>
    <t xml:space="preserve">Babelscape/wikineural-multilingual-ner</t>
  </si>
  <si>
    <t xml:space="preserve">Babelscape</t>
  </si>
  <si>
    <t xml:space="preserve">https://huggingface.co/Babelscape/wikineural-multilingual-ner</t>
  </si>
  <si>
    <t xml:space="preserve">kha-white/manga-ocr-base</t>
  </si>
  <si>
    <t xml:space="preserve">kha-white</t>
  </si>
  <si>
    <t xml:space="preserve">https://huggingface.co/kha-white/manga-ocr-base</t>
  </si>
  <si>
    <t xml:space="preserve">mpoyraz/wav2vec2-xls-r-300m-cv7-turkish</t>
  </si>
  <si>
    <t xml:space="preserve">mpoyraz</t>
  </si>
  <si>
    <t xml:space="preserve">https://huggingface.co/mpoyraz/wav2vec2-xls-r-300m-cv7-turkish</t>
  </si>
  <si>
    <t xml:space="preserve">trl-internal-testing/tiny-GptOssForCausalLM</t>
  </si>
  <si>
    <t xml:space="preserve">trl-internal-testing</t>
  </si>
  <si>
    <t xml:space="preserve">https://huggingface.co/trl-internal-testing/tiny-GptOssForCausalLM</t>
  </si>
  <si>
    <t xml:space="preserve">kredor</t>
  </si>
  <si>
    <t xml:space="preserve">https://huggingface.co/kredor/punctuate-all</t>
  </si>
  <si>
    <t xml:space="preserve">Helsinki-NLP/opus-mt-en-de</t>
  </si>
  <si>
    <t xml:space="preserve">https://huggingface.co/Helsinki-NLP/opus-mt-en-de</t>
  </si>
  <si>
    <t xml:space="preserve">nvidia/llama-nemotron-rerank-1b-v2</t>
  </si>
  <si>
    <t xml:space="preserve">https://huggingface.co/nvidia/llama-nemotron-rerank-1b-v2</t>
  </si>
  <si>
    <t xml:space="preserve">Lightricks/LTX-Video</t>
  </si>
  <si>
    <t xml:space="preserve">https://huggingface.co/Lightricks/LTX-Video</t>
  </si>
  <si>
    <t xml:space="preserve">nvidia/llama-nemotron-embed-1b-v2</t>
  </si>
  <si>
    <t xml:space="preserve">https://huggingface.co/nvidia/llama-nemotron-embed-1b-v2</t>
  </si>
  <si>
    <t xml:space="preserve">Rostlab/prot_t5_xl_half_uniref50-enc</t>
  </si>
  <si>
    <t xml:space="preserve">Rostlab</t>
  </si>
  <si>
    <t xml:space="preserve">https://huggingface.co/Rostlab/prot_t5_xl_half_uniref50-enc</t>
  </si>
  <si>
    <t xml:space="preserve">indobenchmark</t>
  </si>
  <si>
    <t xml:space="preserve">https://huggingface.co/indobenchmark/indobert-base-p1</t>
  </si>
  <si>
    <t xml:space="preserve">softcatala/wav2vec2-large-xlsr-catala</t>
  </si>
  <si>
    <t xml:space="preserve">softcatala</t>
  </si>
  <si>
    <t xml:space="preserve">https://huggingface.co/softcatala/wav2vec2-large-xlsr-catala</t>
  </si>
  <si>
    <t xml:space="preserve">briaai/RMBG-2.0</t>
  </si>
  <si>
    <t xml:space="preserve">briaai</t>
  </si>
  <si>
    <t xml:space="preserve">https://huggingface.co/briaai/RMBG-2.0</t>
  </si>
  <si>
    <t xml:space="preserve">Comfy-Org/Flux-1-Dev</t>
  </si>
  <si>
    <t xml:space="preserve">https://huggingface.co/Comfy-Org/Flux-1-Dev</t>
  </si>
  <si>
    <t xml:space="preserve">microsoft/BiomedCLIP-PubMedBERT_256-vit_base_patch16_224</t>
  </si>
  <si>
    <t xml:space="preserve">https://huggingface.co/microsoft/BiomedCLIP-PubMedBERT_256-vit_base_patch16_224</t>
  </si>
  <si>
    <t xml:space="preserve">stabilityai/sd-turbo</t>
  </si>
  <si>
    <t xml:space="preserve">https://huggingface.co/stabilityai/sd-turbo</t>
  </si>
  <si>
    <t xml:space="preserve">microsoft/Florence-2-large</t>
  </si>
  <si>
    <t xml:space="preserve">https://huggingface.co/microsoft/Florence-2-large</t>
  </si>
  <si>
    <t xml:space="preserve">trl-internal-testing/tiny-random-LlamaForCausalLM</t>
  </si>
  <si>
    <t xml:space="preserve">https://huggingface.co/trl-internal-testing/tiny-random-LlamaForCausalLM</t>
  </si>
  <si>
    <t xml:space="preserve">allenai/unifiedqa-t5-small</t>
  </si>
  <si>
    <t xml:space="preserve">https://huggingface.co/allenai/unifiedqa-t5-small</t>
  </si>
  <si>
    <t xml:space="preserve">circulus/canvers-ko2en-v1</t>
  </si>
  <si>
    <t xml:space="preserve">circulus</t>
  </si>
  <si>
    <t xml:space="preserve">https://huggingface.co/circulus/canvers-ko2en-v1</t>
  </si>
  <si>
    <t xml:space="preserve">circulus/canvers-en2ko-v1</t>
  </si>
  <si>
    <t xml:space="preserve">https://huggingface.co/circulus/canvers-en2ko-v1</t>
  </si>
  <si>
    <t xml:space="preserve">facebook/m2m100_1.2B</t>
  </si>
  <si>
    <t xml:space="preserve">https://huggingface.co/facebook/m2m100_1.2B</t>
  </si>
  <si>
    <t xml:space="preserve">nomic-ai/nomic-embed-vision-v1.5</t>
  </si>
  <si>
    <t xml:space="preserve">https://huggingface.co/nomic-ai/nomic-embed-vision-v1.5</t>
  </si>
  <si>
    <t xml:space="preserve">nvidia/Nemotron-3-Nano-Omni-30B-A3B-Reasoning-FP8</t>
  </si>
  <si>
    <t xml:space="preserve">https://huggingface.co/nvidia/Nemotron-3-Nano-Omni-30B-A3B-Reasoning-FP8</t>
  </si>
  <si>
    <t xml:space="preserve">Rostlab/prot_t5_xl_uniref50</t>
  </si>
  <si>
    <t xml:space="preserve">https://huggingface.co/Rostlab/prot_t5_xl_uniref50</t>
  </si>
  <si>
    <t xml:space="preserve">cardiffnlp/twitter-roberta-base-sentiment</t>
  </si>
  <si>
    <t xml:space="preserve">https://huggingface.co/cardiffnlp/twitter-roberta-base-sentiment</t>
  </si>
  <si>
    <t xml:space="preserve">tiiuae/falcon-7b</t>
  </si>
  <si>
    <t xml:space="preserve">https://huggingface.co/tiiuae/falcon-7b</t>
  </si>
  <si>
    <t xml:space="preserve">finiteautomata/bertweet-base-sentiment-analysis</t>
  </si>
  <si>
    <t xml:space="preserve">finiteautomata</t>
  </si>
  <si>
    <t xml:space="preserve">https://huggingface.co/finiteautomata/bertweet-base-sentiment-analysis</t>
  </si>
  <si>
    <t xml:space="preserve">microsoft/Phi-3-mini-4k-instruct</t>
  </si>
  <si>
    <t xml:space="preserve">https://huggingface.co/microsoft/Phi-3-mini-4k-instruct</t>
  </si>
  <si>
    <t xml:space="preserve">SulphurAI/Sulphur-2-base</t>
  </si>
  <si>
    <t xml:space="preserve">SulphurAI</t>
  </si>
  <si>
    <t xml:space="preserve">https://huggingface.co/SulphurAI/Sulphur-2-base</t>
  </si>
  <si>
    <t xml:space="preserve">black-forest-labs/FLUX.2-dev</t>
  </si>
  <si>
    <t xml:space="preserve">https://huggingface.co/black-forest-labs/FLUX.2-dev</t>
  </si>
  <si>
    <t xml:space="preserve">gvs/wav2vec2-large-xlsr-malayalam</t>
  </si>
  <si>
    <t xml:space="preserve">gvs</t>
  </si>
  <si>
    <t xml:space="preserve">https://huggingface.co/gvs/wav2vec2-large-xlsr-malayalam</t>
  </si>
  <si>
    <t xml:space="preserve">optimum-intel-internal-testing/tiny-random-LlamaForCausalLM</t>
  </si>
  <si>
    <t xml:space="preserve">optimum-intel-internal-testing</t>
  </si>
  <si>
    <r>
      <rPr>
        <sz val="11"/>
        <color rgb="FF000000"/>
        <rFont val="Noto Sans CJK SC"/>
        <family val="2"/>
      </rPr>
      <t xml:space="preserve">測試用模型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非正式用途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只提供可執行程式碼的權重格式 </t>
    </r>
    <r>
      <rPr>
        <sz val="11"/>
        <color rgb="FF000000"/>
        <rFont val="Calibri"/>
        <family val="0"/>
        <charset val="1"/>
      </rPr>
      <t xml:space="preserve">(pickle </t>
    </r>
    <r>
      <rPr>
        <sz val="11"/>
        <color rgb="FF000000"/>
        <rFont val="Noto Sans CJK SC"/>
        <family val="2"/>
      </rPr>
      <t xml:space="preserve">等</t>
    </r>
    <r>
      <rPr>
        <sz val="11"/>
        <color rgb="FF000000"/>
        <rFont val="Calibri"/>
        <family val="0"/>
        <charset val="1"/>
      </rPr>
      <t xml:space="preserve">)</t>
    </r>
  </si>
  <si>
    <t xml:space="preserve">G2;G3</t>
  </si>
  <si>
    <t xml:space="preserve">https://huggingface.co/optimum-intel-internal-testing/tiny-random-LlamaForCausalLM</t>
  </si>
  <si>
    <t xml:space="preserve">optimum-intel-internal-testing/tiny-random-gpt2</t>
  </si>
  <si>
    <t xml:space="preserve">https://huggingface.co/optimum-intel-internal-testing/tiny-random-gpt2</t>
  </si>
  <si>
    <t xml:space="preserve">CompVis/stable-diffusion-v1-4</t>
  </si>
  <si>
    <t xml:space="preserve">https://huggingface.co/CompVis/stable-diffusion-v1-4</t>
  </si>
  <si>
    <t xml:space="preserve">microsoft/Phi-tiny-MoE-instruct</t>
  </si>
  <si>
    <t xml:space="preserve">https://huggingface.co/microsoft/Phi-tiny-MoE-instruct</t>
  </si>
  <si>
    <t xml:space="preserve">hmellor/tiny-random-Gemma2ForCausalLM</t>
  </si>
  <si>
    <t xml:space="preserve">https://huggingface.co/hmellor/tiny-random-Gemma2ForCausalLM</t>
  </si>
  <si>
    <t xml:space="preserve">boltzgen/boltzgen-1</t>
  </si>
  <si>
    <t xml:space="preserve">boltzgen</t>
  </si>
  <si>
    <t xml:space="preserve">https://huggingface.co/boltzgen/boltzgen-1</t>
  </si>
  <si>
    <t xml:space="preserve">Comfy-Org/Flux-2-Klein-9B</t>
  </si>
  <si>
    <t xml:space="preserve">https://huggingface.co/Comfy-Org/Flux-2-Klein-9B</t>
  </si>
  <si>
    <t xml:space="preserve">nvidia/NVIDIA-Nemotron-3-Nano-30B-A3B-FP8</t>
  </si>
  <si>
    <t xml:space="preserve">https://huggingface.co/nvidia/NVIDIA-Nemotron-3-Nano-30B-A3B-FP8</t>
  </si>
  <si>
    <t xml:space="preserve">pyannote/speaker-diarization</t>
  </si>
  <si>
    <t xml:space="preserve">https://huggingface.co/pyannote/speaker-diarization</t>
  </si>
  <si>
    <t xml:space="preserve">https://huggingface.co/CohereLabs/cohere-transcribe-03-2026</t>
  </si>
  <si>
    <t xml:space="preserve">facebook/dino-vitb16</t>
  </si>
  <si>
    <t xml:space="preserve">https://huggingface.co/facebook/dino-vitb16</t>
  </si>
  <si>
    <t xml:space="preserve">yikuan8/Clinical-Longformer</t>
  </si>
  <si>
    <t xml:space="preserve">yikuan8</t>
  </si>
  <si>
    <t xml:space="preserve">https://huggingface.co/yikuan8/Clinical-Longformer</t>
  </si>
  <si>
    <t xml:space="preserve">ncbi/MedCPT-Cross-Encoder</t>
  </si>
  <si>
    <t xml:space="preserve">https://huggingface.co/ncbi/MedCPT-Cross-Encoder</t>
  </si>
  <si>
    <t xml:space="preserve">facebook/wav2vec2-lv-60-espeak-cv-ft</t>
  </si>
  <si>
    <t xml:space="preserve">https://huggingface.co/facebook/wav2vec2-lv-60-espeak-cv-ft</t>
  </si>
  <si>
    <t xml:space="preserve">nvidia/Nemotron-Labs-Diffusion-8B-Base</t>
  </si>
  <si>
    <t xml:space="preserve">https://huggingface.co/nvidia/Nemotron-Labs-Diffusion-8B-Base</t>
  </si>
  <si>
    <t xml:space="preserve">ai4bharat/indic-parler-tts</t>
  </si>
  <si>
    <t xml:space="preserve">ai4bharat</t>
  </si>
  <si>
    <t xml:space="preserve">https://huggingface.co/ai4bharat/indic-parler-tts</t>
  </si>
  <si>
    <t xml:space="preserve">microsoft/layoutlmv2-base-uncased</t>
  </si>
  <si>
    <t xml:space="preserve">https://huggingface.co/microsoft/layoutlmv2-base-uncased</t>
  </si>
  <si>
    <t xml:space="preserve">pnnbao-ump/VieNeu-TTS-v3-Turbo</t>
  </si>
  <si>
    <t xml:space="preserve">pnnbao-ump</t>
  </si>
  <si>
    <t xml:space="preserve">https://huggingface.co/pnnbao-ump/VieNeu-TTS-v3-Turbo</t>
  </si>
  <si>
    <t xml:space="preserve">Systran/faster-whisper-small.en</t>
  </si>
  <si>
    <t xml:space="preserve">https://huggingface.co/Systran/faster-whisper-small.en</t>
  </si>
  <si>
    <t xml:space="preserve">comodoro/wav2vec2-xls-r-300m-sk-cv8</t>
  </si>
  <si>
    <t xml:space="preserve">https://huggingface.co/comodoro/wav2vec2-xls-r-300m-sk-cv8</t>
  </si>
  <si>
    <t xml:space="preserve">https://huggingface.co/nvidia/Nemotron-3-Nano-Omni-30B-A3B-Reasoning-BF16</t>
  </si>
  <si>
    <t xml:space="preserve">Intel/dpt-hybrid-midas</t>
  </si>
  <si>
    <t xml:space="preserve">https://huggingface.co/Intel/dpt-hybrid-midas</t>
  </si>
  <si>
    <t xml:space="preserve">apple/DFN2B-CLIP-ViT-B-16</t>
  </si>
  <si>
    <t xml:space="preserve">https://huggingface.co/apple/DFN2B-CLIP-ViT-B-16</t>
  </si>
  <si>
    <t xml:space="preserve">SG161222/Realistic_Vision_V5.1_noVAE</t>
  </si>
  <si>
    <t xml:space="preserve">SG161222</t>
  </si>
  <si>
    <t xml:space="preserve">https://huggingface.co/SG161222/Realistic_Vision_V5.1_noVAE</t>
  </si>
  <si>
    <t xml:space="preserve">m3hrdadfi/wav2vec2-large-xlsr-lithuanian</t>
  </si>
  <si>
    <t xml:space="preserve">m3hrdadfi</t>
  </si>
  <si>
    <t xml:space="preserve">https://huggingface.co/m3hrdadfi/wav2vec2-large-xlsr-lithuanian</t>
  </si>
  <si>
    <t xml:space="preserve">snunlp/KR-SBERT-V40K-klueNLI-augSTS</t>
  </si>
  <si>
    <t xml:space="preserve">https://huggingface.co/snunlp/KR-SBERT-V40K-klueNLI-augSTS</t>
  </si>
  <si>
    <t xml:space="preserve">jinaai/jina-embeddings-v4</t>
  </si>
  <si>
    <t xml:space="preserve">https://huggingface.co/jinaai/jina-embeddings-v4</t>
  </si>
  <si>
    <t xml:space="preserve">infinitejoy/wav2vec2-large-xls-r-300m-welsh</t>
  </si>
  <si>
    <t xml:space="preserve">infinitejoy</t>
  </si>
  <si>
    <t xml:space="preserve">https://huggingface.co/infinitejoy/wav2vec2-large-xls-r-300m-welsh</t>
  </si>
  <si>
    <t xml:space="preserve">black-forest-labs/FLUX.1-schnell</t>
  </si>
  <si>
    <t xml:space="preserve">https://huggingface.co/black-forest-labs/FLUX.1-schnell</t>
  </si>
  <si>
    <t xml:space="preserve">jinaai/jina-embeddings-v5-text-nano</t>
  </si>
  <si>
    <t xml:space="preserve">https://huggingface.co/jinaai/jina-embeddings-v5-text-nano</t>
  </si>
  <si>
    <t xml:space="preserve">zhihan1996/DNABERT-2-117M</t>
  </si>
  <si>
    <t xml:space="preserve">zhihan1996</t>
  </si>
  <si>
    <r>
      <rPr>
        <sz val="11"/>
        <color rgb="FF000000"/>
        <rFont val="Noto Sans CJK SC"/>
        <family val="2"/>
      </rPr>
      <t xml:space="preserve">只提供可執行程式碼的權重格式 </t>
    </r>
    <r>
      <rPr>
        <sz val="11"/>
        <color rgb="FF000000"/>
        <rFont val="Calibri"/>
        <family val="0"/>
        <charset val="1"/>
      </rPr>
      <t xml:space="preserve">(pickle </t>
    </r>
    <r>
      <rPr>
        <sz val="11"/>
        <color rgb="FF000000"/>
        <rFont val="Noto Sans CJK SC"/>
        <family val="2"/>
      </rPr>
      <t xml:space="preserve">等</t>
    </r>
    <r>
      <rPr>
        <sz val="11"/>
        <color rgb="FF000000"/>
        <rFont val="Calibri"/>
        <family val="0"/>
        <charset val="1"/>
      </rPr>
      <t xml:space="preserve">); </t>
    </r>
    <r>
      <rPr>
        <sz val="11"/>
        <color rgb="FF000000"/>
        <rFont val="Noto Sans CJK SC"/>
        <family val="2"/>
      </rPr>
      <t xml:space="preserve">需開啟 </t>
    </r>
    <r>
      <rPr>
        <sz val="11"/>
        <color rgb="FF000000"/>
        <rFont val="Calibri"/>
        <family val="0"/>
        <charset val="1"/>
      </rPr>
      <t xml:space="preserve">trust_remote_code</t>
    </r>
  </si>
  <si>
    <t xml:space="preserve">https://huggingface.co/zhihan1996/DNABERT-2-117M</t>
  </si>
  <si>
    <t xml:space="preserve">dccuchile/bert-base-spanish-wwm-uncased</t>
  </si>
  <si>
    <t xml:space="preserve">dccuchile</t>
  </si>
  <si>
    <t xml:space="preserve">https://huggingface.co/dccuchile/bert-base-spanish-wwm-uncased</t>
  </si>
  <si>
    <t xml:space="preserve">nvidia/NVIDIA-Nemotron-Nano-9B-v2</t>
  </si>
  <si>
    <t xml:space="preserve">https://huggingface.co/nvidia/NVIDIA-Nemotron-Nano-9B-v2</t>
  </si>
  <si>
    <t xml:space="preserve">naver/splade-cocondenser-ensembledistil</t>
  </si>
  <si>
    <t xml:space="preserve">naver</t>
  </si>
  <si>
    <t xml:space="preserve">https://huggingface.co/naver/splade-cocondenser-ensembledistil</t>
  </si>
  <si>
    <t xml:space="preserve">anton-l/wav2vec2-large-xlsr-53-estonian</t>
  </si>
  <si>
    <t xml:space="preserve">anton-l</t>
  </si>
  <si>
    <t xml:space="preserve">https://huggingface.co/anton-l/wav2vec2-large-xlsr-53-estonian</t>
  </si>
  <si>
    <t xml:space="preserve">facebook/wav2vec2-xlsr-53-espeak-cv-ft</t>
  </si>
  <si>
    <t xml:space="preserve">https://huggingface.co/facebook/wav2vec2-xlsr-53-espeak-cv-ft</t>
  </si>
  <si>
    <t xml:space="preserve">Lightricks/LTX-2</t>
  </si>
  <si>
    <t xml:space="preserve">https://huggingface.co/Lightricks/LTX-2</t>
  </si>
  <si>
    <t xml:space="preserve">emilyalsentzer/Bio_Discharge_Summary_BERT</t>
  </si>
  <si>
    <t xml:space="preserve">https://huggingface.co/emilyalsentzer/Bio_Discharge_Summary_BERT</t>
  </si>
  <si>
    <t xml:space="preserve">black-forest-labs/FLUX.2-klein-4B</t>
  </si>
  <si>
    <t xml:space="preserve">https://huggingface.co/black-forest-labs/FLUX.2-klein-4B</t>
  </si>
  <si>
    <t xml:space="preserve">Helsinki-NLP/opus-mt-en-ru</t>
  </si>
  <si>
    <t xml:space="preserve">https://huggingface.co/Helsinki-NLP/opus-mt-en-ru</t>
  </si>
  <si>
    <t xml:space="preserve">E-MIMIC/inclusively-classification</t>
  </si>
  <si>
    <t xml:space="preserve">https://huggingface.co/E-MIMIC/inclusively-classification</t>
  </si>
  <si>
    <t xml:space="preserve">Helsinki-NLP/opus-mt-de-en</t>
  </si>
  <si>
    <t xml:space="preserve">https://huggingface.co/Helsinki-NLP/opus-mt-de-en</t>
  </si>
  <si>
    <t xml:space="preserve">jhu-clsp/mmBERT-base</t>
  </si>
  <si>
    <t xml:space="preserve">https://huggingface.co/jhu-clsp/mmBERT-base</t>
  </si>
  <si>
    <t xml:space="preserve">https://huggingface.co/microsoft/swinv2-tiny-patch4-window16-256</t>
  </si>
  <si>
    <t xml:space="preserve">litert-community/gemma-4-E4B-it-litert-lm</t>
  </si>
  <si>
    <t xml:space="preserve">https://huggingface.co/litert-community/gemma-4-E4B-it-litert-lm</t>
  </si>
  <si>
    <t xml:space="preserve">GSAI-ML/LLaDA-8B-Instruct</t>
  </si>
  <si>
    <t xml:space="preserve">GSAI-ML</t>
  </si>
  <si>
    <t xml:space="preserve">https://huggingface.co/GSAI-ML/LLaDA-8B-Instruct</t>
  </si>
  <si>
    <t xml:space="preserve">facebook/VGGT-1B</t>
  </si>
  <si>
    <t xml:space="preserve">https://huggingface.co/facebook/VGGT-1B</t>
  </si>
  <si>
    <t xml:space="preserve">rhasspy/faster-whisper-small-int8</t>
  </si>
  <si>
    <t xml:space="preserve">https://huggingface.co/rhasspy/faster-whisper-small-int8</t>
  </si>
  <si>
    <t xml:space="preserve">Synaptics/yolo</t>
  </si>
  <si>
    <t xml:space="preserve">Synaptics</t>
  </si>
  <si>
    <t xml:space="preserve">https://huggingface.co/Synaptics/yolo</t>
  </si>
  <si>
    <t xml:space="preserve">MilaNLProc/xlm-emo-t</t>
  </si>
  <si>
    <t xml:space="preserve">MilaNLProc</t>
  </si>
  <si>
    <t xml:space="preserve">https://huggingface.co/MilaNLProc/xlm-emo-t</t>
  </si>
  <si>
    <t xml:space="preserve">julien-c/dummy-unknown</t>
  </si>
  <si>
    <t xml:space="preserve">julien-c</t>
  </si>
  <si>
    <t xml:space="preserve">https://huggingface.co/julien-c/dummy-unknown</t>
  </si>
  <si>
    <t xml:space="preserve">facebook/hubert-base-ls960</t>
  </si>
  <si>
    <t xml:space="preserve">https://huggingface.co/facebook/hubert-base-ls960</t>
  </si>
  <si>
    <t xml:space="preserve">onecxi/open-vakgyata</t>
  </si>
  <si>
    <t xml:space="preserve">onecxi</t>
  </si>
  <si>
    <t xml:space="preserve">https://huggingface.co/onecxi/open-vakgyata</t>
  </si>
  <si>
    <t xml:space="preserve">microsoft/Phi-4-multimodal-instruct</t>
  </si>
  <si>
    <t xml:space="preserve">https://huggingface.co/microsoft/Phi-4-multimodal-instruct</t>
  </si>
  <si>
    <t xml:space="preserve">Salesforce/moirai-2.0-R-small</t>
  </si>
  <si>
    <t xml:space="preserve">https://huggingface.co/Salesforce/moirai-2.0-R-small</t>
  </si>
  <si>
    <t xml:space="preserve">DeepBeepMeep/LTX-2</t>
  </si>
  <si>
    <t xml:space="preserve">DeepBeepMeep</t>
  </si>
  <si>
    <t xml:space="preserve">https://huggingface.co/DeepBeepMeep/LTX-2</t>
  </si>
  <si>
    <t xml:space="preserve">Harveenchadha/vakyansh-wav2vec2-sanskrit-sam-60</t>
  </si>
  <si>
    <t xml:space="preserve">https://huggingface.co/Harveenchadha/vakyansh-wav2vec2-sanskrit-sam-60</t>
  </si>
  <si>
    <t xml:space="preserve">TencentBAC/Conan-embedding-v1</t>
  </si>
  <si>
    <t xml:space="preserve">TencentBAC</t>
  </si>
  <si>
    <t xml:space="preserve">https://huggingface.co/TencentBAC/Conan-embedding-v1</t>
  </si>
  <si>
    <t xml:space="preserve">tohoku-nlp/bert-base-japanese-whole-word-masking</t>
  </si>
  <si>
    <t xml:space="preserve">tohoku-nlp</t>
  </si>
  <si>
    <t xml:space="preserve">https://huggingface.co/tohoku-nlp/bert-base-japanese-whole-word-masking</t>
  </si>
  <si>
    <t xml:space="preserve">gagan3012/wav2vec2-xlsr-khmer</t>
  </si>
  <si>
    <t xml:space="preserve">https://huggingface.co/gagan3012/wav2vec2-xlsr-khmer</t>
  </si>
  <si>
    <t xml:space="preserve">facebook/esm2_t36_3B_UR50D</t>
  </si>
  <si>
    <t xml:space="preserve">https://huggingface.co/facebook/esm2_t36_3B_UR50D</t>
  </si>
  <si>
    <t xml:space="preserve">microsoft/deberta-xlarge-mnli</t>
  </si>
  <si>
    <t xml:space="preserve">https://huggingface.co/microsoft/deberta-xlarge-mnli</t>
  </si>
  <si>
    <t xml:space="preserve">https://huggingface.co/facebook/m2m100_418M</t>
  </si>
  <si>
    <t xml:space="preserve">farbodtavakkoli/OTel-LLM-8B-A1B-IT</t>
  </si>
  <si>
    <t xml:space="preserve">https://huggingface.co/farbodtavakkoli/OTel-LLM-8B-A1B-IT</t>
  </si>
  <si>
    <t xml:space="preserve">jinaai/jina-embeddings-v2-base-code</t>
  </si>
  <si>
    <t xml:space="preserve">https://huggingface.co/jinaai/jina-embeddings-v2-base-code</t>
  </si>
  <si>
    <t xml:space="preserve">nlpaueb/legal-bert-base-uncased</t>
  </si>
  <si>
    <t xml:space="preserve">nlpaueb</t>
  </si>
  <si>
    <t xml:space="preserve">https://huggingface.co/nlpaueb/legal-bert-base-uncased</t>
  </si>
  <si>
    <t xml:space="preserve">briaai/RMBG-1.4</t>
  </si>
  <si>
    <t xml:space="preserve">https://huggingface.co/briaai/RMBG-1.4</t>
  </si>
  <si>
    <t xml:space="preserve">kernels-community/flash-attn3</t>
  </si>
  <si>
    <t xml:space="preserve">kernels-community</t>
  </si>
  <si>
    <t xml:space="preserve">https://huggingface.co/kernels-community/flash-attn3</t>
  </si>
  <si>
    <t xml:space="preserve">Systran/faster-whisper-base.en</t>
  </si>
  <si>
    <t xml:space="preserve">https://huggingface.co/Systran/faster-whisper-base.en</t>
  </si>
  <si>
    <t xml:space="preserve">Comfy-Org/MOSS-Image</t>
  </si>
  <si>
    <t xml:space="preserve">https://huggingface.co/Comfy-Org/MOSS-Image</t>
  </si>
  <si>
    <t xml:space="preserve">farbodtavakkoli/OTel-LLM-27B-IT</t>
  </si>
  <si>
    <t xml:space="preserve">https://huggingface.co/farbodtavakkoli/OTel-LLM-27B-IT</t>
  </si>
  <si>
    <t xml:space="preserve">https://huggingface.co/nvidia/parakeet-tdt-0.6b-v2</t>
  </si>
  <si>
    <t xml:space="preserve">KomeijiForce/bart-large-emojilm</t>
  </si>
  <si>
    <t xml:space="preserve">KomeijiForce</t>
  </si>
  <si>
    <t xml:space="preserve">https://huggingface.co/KomeijiForce/bart-large-emojilm</t>
  </si>
  <si>
    <t xml:space="preserve">anton-l/wav2vec2-large-xlsr-53-slovenian</t>
  </si>
  <si>
    <t xml:space="preserve">https://huggingface.co/anton-l/wav2vec2-large-xlsr-53-slovenian</t>
  </si>
  <si>
    <t xml:space="preserve">SG161222/RealVisXL_V5.0</t>
  </si>
  <si>
    <t xml:space="preserve">https://huggingface.co/SG161222/RealVisXL_V5.0</t>
  </si>
  <si>
    <t xml:space="preserve">lfcc/bert-portuguese-ner</t>
  </si>
  <si>
    <t xml:space="preserve">lfcc</t>
  </si>
  <si>
    <t xml:space="preserve">https://huggingface.co/lfcc/bert-portuguese-ner</t>
  </si>
  <si>
    <t xml:space="preserve">HauhauCS/Gemma4-12B-QAT-Uncensored-HauhauCS-Balanced</t>
  </si>
  <si>
    <t xml:space="preserve">https://huggingface.co/HauhauCS/Gemma4-12B-QAT-Uncensored-HauhauCS-Balanced</t>
  </si>
  <si>
    <t xml:space="preserve">LGAI-EXAONE/EXAONE-3.5-7.8B-Instruct-AWQ</t>
  </si>
  <si>
    <t xml:space="preserve">https://huggingface.co/LGAI-EXAONE/EXAONE-3.5-7.8B-Instruct-AWQ</t>
  </si>
  <si>
    <t xml:space="preserve">nvidia/NVIDIA-Nemotron-Parse-v1.1</t>
  </si>
  <si>
    <t xml:space="preserve">https://huggingface.co/nvidia/NVIDIA-Nemotron-Parse-v1.1</t>
  </si>
  <si>
    <t xml:space="preserve">OpenMuQ/MuQ-large-msd-iter</t>
  </si>
  <si>
    <t xml:space="preserve">OpenMuQ</t>
  </si>
  <si>
    <t xml:space="preserve">https://huggingface.co/OpenMuQ/MuQ-large-msd-iter</t>
  </si>
  <si>
    <t xml:space="preserve">facebook/PE-Core-L14-336</t>
  </si>
  <si>
    <t xml:space="preserve">https://huggingface.co/facebook/PE-Core-L14-336</t>
  </si>
  <si>
    <t xml:space="preserve">cagliostrolab/animagine-xl-4.0</t>
  </si>
  <si>
    <t xml:space="preserve">cagliostrolab</t>
  </si>
  <si>
    <t xml:space="preserve">https://huggingface.co/cagliostrolab/animagine-xl-4.0</t>
  </si>
  <si>
    <t xml:space="preserve">RunDiffusion/Juggernaut-XL-v9</t>
  </si>
  <si>
    <t xml:space="preserve">RunDiffusion</t>
  </si>
  <si>
    <t xml:space="preserve">https://huggingface.co/RunDiffusion/Juggernaut-XL-v9</t>
  </si>
  <si>
    <t xml:space="preserve">wangzhang/gemma-4-31B-it-abliterated</t>
  </si>
  <si>
    <t xml:space="preserve">wangzhang</t>
  </si>
  <si>
    <t xml:space="preserve">https://huggingface.co/wangzhang/gemma-4-31B-it-abliterated</t>
  </si>
  <si>
    <t xml:space="preserve">DrishtiSharma/wav2vec2-large-xls-r-300m-bg-d2</t>
  </si>
  <si>
    <t xml:space="preserve">DrishtiSharma</t>
  </si>
  <si>
    <t xml:space="preserve">https://huggingface.co/DrishtiSharma/wav2vec2-large-xls-r-300m-bg-d2</t>
  </si>
  <si>
    <t xml:space="preserve">TIGER-Lab/VLM2Vec-Full</t>
  </si>
  <si>
    <t xml:space="preserve">https://huggingface.co/TIGER-Lab/VLM2Vec-Full</t>
  </si>
  <si>
    <t xml:space="preserve">https://huggingface.co/microsoft/BiomedNLP-BiomedBERT-base-uncased-abstract-fulltext</t>
  </si>
  <si>
    <t xml:space="preserve">nomic-ai/CodeRankEmbed</t>
  </si>
  <si>
    <t xml:space="preserve">https://huggingface.co/nomic-ai/CodeRankEmbed</t>
  </si>
  <si>
    <t xml:space="preserve">comfyicu/LTX-2.5</t>
  </si>
  <si>
    <t xml:space="preserve">comfyicu</t>
  </si>
  <si>
    <t xml:space="preserve">https://huggingface.co/comfyicu/LTX-2.5</t>
  </si>
  <si>
    <t xml:space="preserve">flair/ner-english-fast</t>
  </si>
  <si>
    <t xml:space="preserve">flair</t>
  </si>
  <si>
    <t xml:space="preserve">https://huggingface.co/flair/ner-english-fast</t>
  </si>
  <si>
    <t xml:space="preserve">optimum-intel-internal-testing/tiny-random-BlenderbotModel</t>
  </si>
  <si>
    <t xml:space="preserve">https://huggingface.co/optimum-intel-internal-testing/tiny-random-BlenderbotModel</t>
  </si>
  <si>
    <t xml:space="preserve">Helsinki-NLP/opus-mt-es-en</t>
  </si>
  <si>
    <t xml:space="preserve">https://huggingface.co/Helsinki-NLP/opus-mt-es-en</t>
  </si>
  <si>
    <t xml:space="preserve">google/byt5-small</t>
  </si>
  <si>
    <t xml:space="preserve">https://huggingface.co/google/byt5-small</t>
  </si>
  <si>
    <t xml:space="preserve">nvidia/mit-b2</t>
  </si>
  <si>
    <t xml:space="preserve">https://huggingface.co/nvidia/mit-b2</t>
  </si>
  <si>
    <t xml:space="preserve">Revai/reverb-diarization-v1</t>
  </si>
  <si>
    <t xml:space="preserve">Revai</t>
  </si>
  <si>
    <t xml:space="preserve">https://huggingface.co/Revai/reverb-diarization-v1</t>
  </si>
  <si>
    <t xml:space="preserve">MCG-NJU/videomae-base</t>
  </si>
  <si>
    <t xml:space="preserve">MCG-NJU</t>
  </si>
  <si>
    <t xml:space="preserve">https://huggingface.co/MCG-NJU/videomae-base</t>
  </si>
  <si>
    <t xml:space="preserve">unsloth/LTX-2.3-GGUF</t>
  </si>
  <si>
    <t xml:space="preserve">https://huggingface.co/unsloth/LTX-2.3-GGUF</t>
  </si>
  <si>
    <t xml:space="preserve">facebook/nllb-200-distilled-1.3B</t>
  </si>
  <si>
    <t xml:space="preserve">https://huggingface.co/facebook/nllb-200-distilled-1.3B</t>
  </si>
  <si>
    <t xml:space="preserve">Salesforce/SFR-Embedding-2_R</t>
  </si>
  <si>
    <t xml:space="preserve">https://huggingface.co/Salesforce/SFR-Embedding-2_R</t>
  </si>
  <si>
    <t xml:space="preserve">madebyollin/sdxl-vae-fp16-fix</t>
  </si>
  <si>
    <t xml:space="preserve">madebyollin</t>
  </si>
  <si>
    <t xml:space="preserve">https://huggingface.co/madebyollin/sdxl-vae-fp16-fix</t>
  </si>
  <si>
    <t xml:space="preserve">amoghsgopadi/wav2vec2-large-xlsr-kn</t>
  </si>
  <si>
    <t xml:space="preserve">amoghsgopadi</t>
  </si>
  <si>
    <t xml:space="preserve">https://huggingface.co/amoghsgopadi/wav2vec2-large-xlsr-kn</t>
  </si>
  <si>
    <t xml:space="preserve">FluidInference/parakeet-tdt-0.6b-v3-coreml</t>
  </si>
  <si>
    <t xml:space="preserve">FluidInference</t>
  </si>
  <si>
    <t xml:space="preserve">https://huggingface.co/FluidInference/parakeet-tdt-0.6b-v3-coreml</t>
  </si>
  <si>
    <t xml:space="preserve">LGAI-EXAONE/EXAONE-3.5-7.8B-Instruct</t>
  </si>
  <si>
    <t xml:space="preserve">https://huggingface.co/LGAI-EXAONE/EXAONE-3.5-7.8B-Instruct</t>
  </si>
  <si>
    <t xml:space="preserve">Comfy-Org/Flux-1-Schnell</t>
  </si>
  <si>
    <t xml:space="preserve">https://huggingface.co/Comfy-Org/Flux-1-Schnell</t>
  </si>
  <si>
    <t xml:space="preserve">microsoft/trocr-small-handwritten</t>
  </si>
  <si>
    <t xml:space="preserve">https://huggingface.co/microsoft/trocr-small-handwritten</t>
  </si>
  <si>
    <t xml:space="preserve">https://huggingface.co/neuralmind/bert-base-portuguese-cased</t>
  </si>
  <si>
    <t xml:space="preserve">wikeeyang/Flux2-Klein-9B-True-V2</t>
  </si>
  <si>
    <t xml:space="preserve">wikeeyang</t>
  </si>
  <si>
    <t xml:space="preserve">https://huggingface.co/wikeeyang/Flux2-Klein-9B-True-V2</t>
  </si>
  <si>
    <t xml:space="preserve">microsoft/deberta-large-mnli</t>
  </si>
  <si>
    <t xml:space="preserve">https://huggingface.co/microsoft/deberta-large-mnli</t>
  </si>
  <si>
    <t xml:space="preserve">unsloth/Z-Image-Turbo-GGUF</t>
  </si>
  <si>
    <t xml:space="preserve">https://huggingface.co/unsloth/Z-Image-Turbo-GGUF</t>
  </si>
  <si>
    <t xml:space="preserve">playgroundai/playground-v2.5-1024px-aesthetic</t>
  </si>
  <si>
    <t xml:space="preserve">playgroundai</t>
  </si>
  <si>
    <t xml:space="preserve">https://huggingface.co/playgroundai/playground-v2.5-1024px-aesthetic</t>
  </si>
  <si>
    <t xml:space="preserve">optimum-intel-internal-testing/tiny-random-t5</t>
  </si>
  <si>
    <t xml:space="preserve">https://huggingface.co/optimum-intel-internal-testing/tiny-random-t5</t>
  </si>
  <si>
    <t xml:space="preserve">yuhuili/EAGLE-LLaMA3.1-Instruct-8B</t>
  </si>
  <si>
    <t xml:space="preserve">yuhuili</t>
  </si>
  <si>
    <t xml:space="preserve">https://huggingface.co/yuhuili/EAGLE-LLaMA3.1-Instruct-8B</t>
  </si>
  <si>
    <t xml:space="preserve">facebook/seamless-m4t-v2-large</t>
  </si>
  <si>
    <t xml:space="preserve">https://huggingface.co/facebook/seamless-m4t-v2-large</t>
  </si>
  <si>
    <t xml:space="preserve">trl-internal-testing/tiny-LlamaForCausalLM-3.2</t>
  </si>
  <si>
    <t xml:space="preserve">https://huggingface.co/trl-internal-testing/tiny-LlamaForCausalLM-3.2</t>
  </si>
  <si>
    <t xml:space="preserve">ai-sage</t>
  </si>
  <si>
    <t xml:space="preserve">https://huggingface.co/ai-sage/GigaAM-v3</t>
  </si>
  <si>
    <t xml:space="preserve">circulus/koelectra-polite-v1</t>
  </si>
  <si>
    <t xml:space="preserve">https://huggingface.co/circulus/koelectra-polite-v1</t>
  </si>
  <si>
    <t xml:space="preserve">s-nlp/roberta_toxicity_classifier</t>
  </si>
  <si>
    <t xml:space="preserve">s-nlp</t>
  </si>
  <si>
    <t xml:space="preserve">https://huggingface.co/s-nlp/roberta_toxicity_classifier</t>
  </si>
  <si>
    <t xml:space="preserve">optimum-intel-internal-testing/tiny-random-bert</t>
  </si>
  <si>
    <t xml:space="preserve">https://huggingface.co/optimum-intel-internal-testing/tiny-random-bert</t>
  </si>
  <si>
    <t xml:space="preserve">Comfy-Org/Flux-2-Klein-4B</t>
  </si>
  <si>
    <t xml:space="preserve">https://huggingface.co/Comfy-Org/Flux-2-Klein-4B</t>
  </si>
  <si>
    <t xml:space="preserve">microsoft/codebert-base</t>
  </si>
  <si>
    <t xml:space="preserve">https://huggingface.co/microsoft/codebert-base</t>
  </si>
  <si>
    <t xml:space="preserve">https://huggingface.co/facebook/hubert-large-ls960-ft</t>
  </si>
  <si>
    <t xml:space="preserve">xlnet/xlnet-base-cased</t>
  </si>
  <si>
    <t xml:space="preserve">xlnet</t>
  </si>
  <si>
    <t xml:space="preserve">https://huggingface.co/xlnet/xlnet-base-cased</t>
  </si>
  <si>
    <t xml:space="preserve">facebook/mms-1b-all</t>
  </si>
  <si>
    <t xml:space="preserve">https://huggingface.co/facebook/mms-1b-all</t>
  </si>
  <si>
    <t xml:space="preserve">Musixmatch/umberto-commoncrawl-cased-v1</t>
  </si>
  <si>
    <t xml:space="preserve">Musixmatch</t>
  </si>
  <si>
    <t xml:space="preserve">https://huggingface.co/Musixmatch/umberto-commoncrawl-cased-v1</t>
  </si>
  <si>
    <t xml:space="preserve">microsoft/deberta-base</t>
  </si>
  <si>
    <t xml:space="preserve">https://huggingface.co/microsoft/deberta-base</t>
  </si>
  <si>
    <t xml:space="preserve">EleutherAI/gpt-j-6b</t>
  </si>
  <si>
    <t xml:space="preserve">https://huggingface.co/EleutherAI/gpt-j-6b</t>
  </si>
  <si>
    <t xml:space="preserve">optimum-intel-internal-testing/tiny-random-roberta</t>
  </si>
  <si>
    <t xml:space="preserve">https://huggingface.co/optimum-intel-internal-testing/tiny-random-roberta</t>
  </si>
  <si>
    <t xml:space="preserve">Helsinki-NLP/opus-mt-en-fr</t>
  </si>
  <si>
    <t xml:space="preserve">https://huggingface.co/Helsinki-NLP/opus-mt-en-fr</t>
  </si>
  <si>
    <t xml:space="preserve">remsky/kokoro-inno-clone-tuner</t>
  </si>
  <si>
    <t xml:space="preserve">remsky</t>
  </si>
  <si>
    <t xml:space="preserve">https://huggingface.co/remsky/kokoro-inno-clone-tuner</t>
  </si>
  <si>
    <t xml:space="preserve">black-forest-labs/FLUX.2-klein-base-4B</t>
  </si>
  <si>
    <t xml:space="preserve">https://huggingface.co/black-forest-labs/FLUX.2-klein-base-4B</t>
  </si>
  <si>
    <t xml:space="preserve">allenai/scibert_scivocab_uncased</t>
  </si>
  <si>
    <t xml:space="preserve">https://huggingface.co/allenai/scibert_scivocab_uncased</t>
  </si>
  <si>
    <t xml:space="preserve">facebook/PE-Core-S16-384</t>
  </si>
  <si>
    <t xml:space="preserve">https://huggingface.co/facebook/PE-Core-S16-384</t>
  </si>
  <si>
    <t xml:space="preserve">google/bigbird-roberta-base</t>
  </si>
  <si>
    <t xml:space="preserve">https://huggingface.co/google/bigbird-roberta-base</t>
  </si>
  <si>
    <t xml:space="preserve">lengyue233/content-vec-best</t>
  </si>
  <si>
    <t xml:space="preserve">lengyue233</t>
  </si>
  <si>
    <t xml:space="preserve">https://huggingface.co/lengyue233/content-vec-best</t>
  </si>
  <si>
    <t xml:space="preserve">GPTCache/paraphrase-albert-small-v2</t>
  </si>
  <si>
    <t xml:space="preserve">GPTCache</t>
  </si>
  <si>
    <t xml:space="preserve">https://huggingface.co/GPTCache/paraphrase-albert-small-v2</t>
  </si>
  <si>
    <t xml:space="preserve">ibm-research/MoLFormer-XL-both-10pct</t>
  </si>
  <si>
    <t xml:space="preserve">https://huggingface.co/ibm-research/MoLFormer-XL-both-10pct</t>
  </si>
  <si>
    <t xml:space="preserve">microsoft/VibeVoice-1.5B</t>
  </si>
  <si>
    <t xml:space="preserve">https://huggingface.co/microsoft/VibeVoice-1.5B</t>
  </si>
  <si>
    <t xml:space="preserve">stabilityai/sdxl-vae</t>
  </si>
  <si>
    <t xml:space="preserve">https://huggingface.co/stabilityai/sdxl-vae</t>
  </si>
  <si>
    <t xml:space="preserve">trl-internal-testing/tiny-Gemma3ForConditionalGeneration</t>
  </si>
  <si>
    <t xml:space="preserve">https://huggingface.co/trl-internal-testing/tiny-Gemma3ForConditionalGeneration</t>
  </si>
  <si>
    <t xml:space="preserve">biohub/ESMFold2</t>
  </si>
  <si>
    <t xml:space="preserve">https://huggingface.co/biohub/ESMFold2</t>
  </si>
  <si>
    <t xml:space="preserve">hantian/layoutreader</t>
  </si>
  <si>
    <t xml:space="preserve">hantian</t>
  </si>
  <si>
    <t xml:space="preserve">https://huggingface.co/hantian/layoutreader</t>
  </si>
  <si>
    <t xml:space="preserve">unsloth/FLUX.2-klein-4B-GGUF</t>
  </si>
  <si>
    <t xml:space="preserve">https://huggingface.co/unsloth/FLUX.2-klein-4B-GGUF</t>
  </si>
  <si>
    <t xml:space="preserve">Helsinki-NLP/opus-mt-en-es</t>
  </si>
  <si>
    <t xml:space="preserve">https://huggingface.co/Helsinki-NLP/opus-mt-en-es</t>
  </si>
  <si>
    <t xml:space="preserve">kaitchup/Phi-3-mini-4k-instruct-gptq-4bit</t>
  </si>
  <si>
    <t xml:space="preserve">kaitchup</t>
  </si>
  <si>
    <t xml:space="preserve">https://huggingface.co/kaitchup/Phi-3-mini-4k-instruct-gptq-4bit</t>
  </si>
  <si>
    <t xml:space="preserve">laion/larger_clap_general</t>
  </si>
  <si>
    <t xml:space="preserve">https://huggingface.co/laion/larger_clap_general</t>
  </si>
  <si>
    <t xml:space="preserve">trl-internal-testing/tiny-Cohere2ForCausalLM</t>
  </si>
  <si>
    <t xml:space="preserve">https://huggingface.co/trl-internal-testing/tiny-Cohere2ForCausalLM</t>
  </si>
  <si>
    <t xml:space="preserve">xsway/wav2vec2-large-xlsr-georgian</t>
  </si>
  <si>
    <t xml:space="preserve">xsway</t>
  </si>
  <si>
    <t xml:space="preserve">https://huggingface.co/xsway/wav2vec2-large-xlsr-georgian</t>
  </si>
  <si>
    <t xml:space="preserve">McGill-NLP/LLM2Vec-Meta-Llama-3-8B-Instruct-mntp</t>
  </si>
  <si>
    <t xml:space="preserve">https://huggingface.co/McGill-NLP/LLM2Vec-Meta-Llama-3-8B-Instruct-mntp</t>
  </si>
  <si>
    <t xml:space="preserve">microsoft/graphcodebert-base</t>
  </si>
  <si>
    <t xml:space="preserve">https://huggingface.co/microsoft/graphcodebert-base</t>
  </si>
  <si>
    <t xml:space="preserve">allegro/herbert-base-cased</t>
  </si>
  <si>
    <t xml:space="preserve">allegro</t>
  </si>
  <si>
    <t xml:space="preserve">https://huggingface.co/allegro/herbert-base-cased</t>
  </si>
  <si>
    <t xml:space="preserve">mesolitica/llama2-embedding-1b-8k</t>
  </si>
  <si>
    <t xml:space="preserve">https://huggingface.co/mesolitica/llama2-embedding-1b-8k</t>
  </si>
  <si>
    <t xml:space="preserve">studio-ousia/luke-large-finetuned-tacred</t>
  </si>
  <si>
    <t xml:space="preserve">studio-ousia</t>
  </si>
  <si>
    <t xml:space="preserve">https://huggingface.co/studio-ousia/luke-large-finetuned-tacred</t>
  </si>
  <si>
    <t xml:space="preserve">m-a-p/MERT-v1-330M</t>
  </si>
  <si>
    <t xml:space="preserve">m-a-p</t>
  </si>
  <si>
    <r>
      <rPr>
        <sz val="11"/>
        <color rgb="FF000000"/>
        <rFont val="Noto Sans CJK SC"/>
        <family val="2"/>
      </rPr>
      <t xml:space="preserve">只提供可執行程式碼的權重格式 </t>
    </r>
    <r>
      <rPr>
        <sz val="11"/>
        <color rgb="FF000000"/>
        <rFont val="Calibri"/>
        <family val="0"/>
        <charset val="1"/>
      </rPr>
      <t xml:space="preserve">(pickle </t>
    </r>
    <r>
      <rPr>
        <sz val="11"/>
        <color rgb="FF000000"/>
        <rFont val="Noto Sans CJK SC"/>
        <family val="2"/>
      </rPr>
      <t xml:space="preserve">等</t>
    </r>
    <r>
      <rPr>
        <sz val="11"/>
        <color rgb="FF000000"/>
        <rFont val="Calibri"/>
        <family val="0"/>
        <charset val="1"/>
      </rPr>
      <t xml:space="preserve">); </t>
    </r>
    <r>
      <rPr>
        <sz val="11"/>
        <color rgb="FF000000"/>
        <rFont val="Noto Sans CJK SC"/>
        <family val="2"/>
      </rPr>
      <t xml:space="preserve">需開啟 </t>
    </r>
    <r>
      <rPr>
        <sz val="11"/>
        <color rgb="FF000000"/>
        <rFont val="Calibri"/>
        <family val="0"/>
        <charset val="1"/>
      </rPr>
      <t xml:space="preserve">trust_remote_code; </t>
    </r>
    <r>
      <rPr>
        <sz val="11"/>
        <color rgb="FF000000"/>
        <rFont val="Noto Sans CJK SC"/>
        <family val="2"/>
      </rPr>
      <t xml:space="preserve">授權不允許商用</t>
    </r>
  </si>
  <si>
    <t xml:space="preserve">G3;G4;G5</t>
  </si>
  <si>
    <t xml:space="preserve">https://huggingface.co/m-a-p/MERT-v1-330M</t>
  </si>
  <si>
    <t xml:space="preserve">ai4bharat/IndicBART</t>
  </si>
  <si>
    <t xml:space="preserve">https://huggingface.co/ai4bharat/IndicBART</t>
  </si>
  <si>
    <t xml:space="preserve">microsoft/Phi-3-mini-128k-instruct</t>
  </si>
  <si>
    <t xml:space="preserve">https://huggingface.co/microsoft/Phi-3-mini-128k-instruct</t>
  </si>
  <si>
    <t xml:space="preserve">jinaai/jina-embeddings-v2-base-en</t>
  </si>
  <si>
    <t xml:space="preserve">https://huggingface.co/jinaai/jina-embeddings-v2-base-en</t>
  </si>
  <si>
    <t xml:space="preserve">pyannote/speaker-diarization-3.0</t>
  </si>
  <si>
    <t xml:space="preserve">https://huggingface.co/pyannote/speaker-diarization-3.0</t>
  </si>
  <si>
    <t xml:space="preserve">ai-sage/Giga-Embeddings-instruct</t>
  </si>
  <si>
    <t xml:space="preserve">https://huggingface.co/ai-sage/Giga-Embeddings-instruct</t>
  </si>
  <si>
    <t xml:space="preserve">Helsinki-NLP/opus-mt-tr-en</t>
  </si>
  <si>
    <t xml:space="preserve">https://huggingface.co/Helsinki-NLP/opus-mt-tr-en</t>
  </si>
  <si>
    <t xml:space="preserve">peft-internal-testing/opt-125m</t>
  </si>
  <si>
    <t xml:space="preserve">https://huggingface.co/peft-internal-testing/opt-125m</t>
  </si>
  <si>
    <t xml:space="preserve">tabularisai/multilingual-sentiment-analysis</t>
  </si>
  <si>
    <t xml:space="preserve">tabularisai</t>
  </si>
  <si>
    <t xml:space="preserve">https://huggingface.co/tabularisai/multilingual-sentiment-analysis</t>
  </si>
  <si>
    <t xml:space="preserve">infinitejoy/wav2vec2-large-xls-r-300m-armenian</t>
  </si>
  <si>
    <t xml:space="preserve">https://huggingface.co/infinitejoy/wav2vec2-large-xls-r-300m-armenian</t>
  </si>
  <si>
    <t xml:space="preserve">nphSi/Z-Image-Lora</t>
  </si>
  <si>
    <t xml:space="preserve">nphSi</t>
  </si>
  <si>
    <t xml:space="preserve">https://huggingface.co/nphSi/Z-Image-Lora</t>
  </si>
  <si>
    <t xml:space="preserve">Helsinki-NLP/opus-mt-ru-en</t>
  </si>
  <si>
    <t xml:space="preserve">https://huggingface.co/Helsinki-NLP/opus-mt-ru-en</t>
  </si>
  <si>
    <t xml:space="preserve">DeepChem/ChemBERTa-77M-MTR</t>
  </si>
  <si>
    <t xml:space="preserve">DeepChem</t>
  </si>
  <si>
    <t xml:space="preserve">https://huggingface.co/DeepChem/ChemBERTa-77M-MTR</t>
  </si>
  <si>
    <t xml:space="preserve">https://huggingface.co/google/t5-v1_1-xxl</t>
  </si>
  <si>
    <t xml:space="preserve">facebook/opt-1.3b</t>
  </si>
  <si>
    <t xml:space="preserve">https://huggingface.co/facebook/opt-1.3b</t>
  </si>
  <si>
    <t xml:space="preserve">prajjwal1/bert-medium</t>
  </si>
  <si>
    <t xml:space="preserve">https://huggingface.co/prajjwal1/bert-medium</t>
  </si>
  <si>
    <t xml:space="preserve">HadrianSecurity/subwiz</t>
  </si>
  <si>
    <t xml:space="preserve">HadrianSecurity</t>
  </si>
  <si>
    <t xml:space="preserve">https://huggingface.co/HadrianSecurity/subwiz</t>
  </si>
  <si>
    <t xml:space="preserve">pysentimiento/robertuito-emotion-analysis</t>
  </si>
  <si>
    <t xml:space="preserve">https://huggingface.co/pysentimiento/robertuito-emotion-analysis</t>
  </si>
  <si>
    <t xml:space="preserve">nvidia/NVIDIA-Nemotron-3-Super-120B-A12B-FP8</t>
  </si>
  <si>
    <t xml:space="preserve">https://huggingface.co/nvidia/NVIDIA-Nemotron-3-Super-120B-A12B-FP8</t>
  </si>
  <si>
    <t xml:space="preserve">https://huggingface.co/unitary/unbiased-toxic-roberta</t>
  </si>
  <si>
    <t xml:space="preserve">https://huggingface.co/facebook/wav2vec2-large-xlsr-53</t>
  </si>
  <si>
    <t xml:space="preserve">DeepPavlov</t>
  </si>
  <si>
    <t xml:space="preserve">https://huggingface.co/DeepPavlov/rubert-base-cased</t>
  </si>
  <si>
    <t xml:space="preserve">LyliaEngine/Pony_Diffusion_V6_XL</t>
  </si>
  <si>
    <t xml:space="preserve">LyliaEngine</t>
  </si>
  <si>
    <t xml:space="preserve">https://huggingface.co/LyliaEngine/Pony_Diffusion_V6_XL</t>
  </si>
  <si>
    <t xml:space="preserve">stabilityai/stable-diffusion-3.5-medium</t>
  </si>
  <si>
    <t xml:space="preserve">https://huggingface.co/stabilityai/stable-diffusion-3.5-medium</t>
  </si>
  <si>
    <t xml:space="preserve">black-forest-labs/FLUX.1-Kontext-dev</t>
  </si>
  <si>
    <t xml:space="preserve">https://huggingface.co/black-forest-labs/FLUX.1-Kontext-dev</t>
  </si>
  <si>
    <t xml:space="preserve">trl-internal-testing/tiny-NemotronHForCausalLM-nano</t>
  </si>
  <si>
    <t xml:space="preserve">https://huggingface.co/trl-internal-testing/tiny-NemotronHForCausalLM-nano</t>
  </si>
  <si>
    <t xml:space="preserve">nvidia/speakerverification_en_titanet_large</t>
  </si>
  <si>
    <t xml:space="preserve">https://huggingface.co/nvidia/speakerverification_en_titanet_large</t>
  </si>
  <si>
    <t xml:space="preserve">argmaxinc/parakeetkit-pro</t>
  </si>
  <si>
    <t xml:space="preserve">https://huggingface.co/argmaxinc/parakeetkit-pro</t>
  </si>
  <si>
    <t xml:space="preserve">software-mansion/react-native-executorch-whisper-tiny</t>
  </si>
  <si>
    <t xml:space="preserve">software-mansion</t>
  </si>
  <si>
    <t xml:space="preserve">https://huggingface.co/software-mansion/react-native-executorch-whisper-tiny</t>
  </si>
  <si>
    <t xml:space="preserve">hmellor/Ilama-3.2-1B</t>
  </si>
  <si>
    <t xml:space="preserve">https://huggingface.co/hmellor/Ilama-3.2-1B</t>
  </si>
  <si>
    <t xml:space="preserve">ifrz/wav2vec2-large-xlsr-galician</t>
  </si>
  <si>
    <t xml:space="preserve">ifrz</t>
  </si>
  <si>
    <t xml:space="preserve">https://huggingface.co/ifrz/wav2vec2-large-xlsr-galician</t>
  </si>
  <si>
    <t xml:space="preserve">microsoft/wavlm-base-plus-sv</t>
  </si>
  <si>
    <t xml:space="preserve">audio-xvector</t>
  </si>
  <si>
    <t xml:space="preserve">https://huggingface.co/microsoft/wavlm-base-plus-sv</t>
  </si>
  <si>
    <t xml:space="preserve">hmellor/tiny-random-BambaForCausalLM</t>
  </si>
  <si>
    <t xml:space="preserve">https://huggingface.co/hmellor/tiny-random-BambaForCausalLM</t>
  </si>
  <si>
    <t xml:space="preserve">laion/larger_clap_music_and_speech</t>
  </si>
  <si>
    <t xml:space="preserve">https://huggingface.co/laion/larger_clap_music_and_speech</t>
  </si>
  <si>
    <t xml:space="preserve">trl-internal-testing/tiny-Gemma2ForCausalLM</t>
  </si>
  <si>
    <t xml:space="preserve">https://huggingface.co/trl-internal-testing/tiny-Gemma2ForCausalLM</t>
  </si>
  <si>
    <t xml:space="preserve">Helsinki-NLP/opus-mt-ko-en</t>
  </si>
  <si>
    <t xml:space="preserve">https://huggingface.co/Helsinki-NLP/opus-mt-ko-en</t>
  </si>
  <si>
    <t xml:space="preserve">pritamdeka/S-PubMedBert-MS-MARCO</t>
  </si>
  <si>
    <t xml:space="preserve">pritamdeka</t>
  </si>
  <si>
    <t xml:space="preserve">https://huggingface.co/pritamdeka/S-PubMedBert-MS-MARCO</t>
  </si>
  <si>
    <t xml:space="preserve">naver/splade-cocondenser-selfdistil</t>
  </si>
  <si>
    <t xml:space="preserve">https://huggingface.co/naver/splade-cocondenser-selfdistil</t>
  </si>
  <si>
    <t xml:space="preserve">facebook/musicgen-small</t>
  </si>
  <si>
    <t xml:space="preserve">https://huggingface.co/facebook/musicgen-small</t>
  </si>
  <si>
    <t xml:space="preserve">kakaocorp/kanana-1.5-v-3b-instruct</t>
  </si>
  <si>
    <t xml:space="preserve">kakaocorp</t>
  </si>
  <si>
    <t xml:space="preserve">https://huggingface.co/kakaocorp/kanana-1.5-v-3b-instruct</t>
  </si>
  <si>
    <t xml:space="preserve">circulus/koelectra-emotion-v1</t>
  </si>
  <si>
    <t xml:space="preserve">https://huggingface.co/circulus/koelectra-emotion-v1</t>
  </si>
  <si>
    <t xml:space="preserve">liuhaotian/llava-v1.5-7b</t>
  </si>
  <si>
    <t xml:space="preserve">https://huggingface.co/liuhaotian/llava-v1.5-7b</t>
  </si>
  <si>
    <t xml:space="preserve">trl-internal-testing/tiny-CohereForCausalLM</t>
  </si>
  <si>
    <t xml:space="preserve">https://huggingface.co/trl-internal-testing/tiny-CohereForCausalLM</t>
  </si>
  <si>
    <t xml:space="preserve">OpenMOSS-Team/MOSS-TTS</t>
  </si>
  <si>
    <t xml:space="preserve">OpenMOSS-Team</t>
  </si>
  <si>
    <t xml:space="preserve">https://huggingface.co/OpenMOSS-Team/MOSS-TTS</t>
  </si>
  <si>
    <t xml:space="preserve">nvidia/segformer-b2-finetuned-ade-512-512</t>
  </si>
  <si>
    <t xml:space="preserve">https://huggingface.co/nvidia/segformer-b2-finetuned-ade-512-512</t>
  </si>
  <si>
    <t xml:space="preserve">Comfy-Org/Pixal3D</t>
  </si>
  <si>
    <t xml:space="preserve">https://huggingface.co/Comfy-Org/Pixal3D</t>
  </si>
  <si>
    <t xml:space="preserve">Helsinki-NLP/opus-mt-ar-en</t>
  </si>
  <si>
    <t xml:space="preserve">https://huggingface.co/Helsinki-NLP/opus-mt-ar-en</t>
  </si>
  <si>
    <t xml:space="preserve">giacomoarienti/nsfw-classifier</t>
  </si>
  <si>
    <t xml:space="preserve">giacomoarienti</t>
  </si>
  <si>
    <t xml:space="preserve">https://huggingface.co/giacomoarienti/nsfw-classifier</t>
  </si>
  <si>
    <t xml:space="preserve">nvidia/dragon-multiturn-query-encoder</t>
  </si>
  <si>
    <t xml:space="preserve">https://huggingface.co/nvidia/dragon-multiturn-query-encoder</t>
  </si>
  <si>
    <t xml:space="preserve">nvidia/dragon-multiturn-context-encoder</t>
  </si>
  <si>
    <t xml:space="preserve">https://huggingface.co/nvidia/dragon-multiturn-context-encoder</t>
  </si>
  <si>
    <t xml:space="preserve">datajuicer/LLaMA-1B-dj-refine-150B</t>
  </si>
  <si>
    <t xml:space="preserve">datajuicer</t>
  </si>
  <si>
    <t xml:space="preserve">https://huggingface.co/datajuicer/LLaMA-1B-dj-refine-150B</t>
  </si>
  <si>
    <t xml:space="preserve">nijatzeynalov/wav2vec2-large-mms-1b-azerbaijani-common_voice15.0</t>
  </si>
  <si>
    <t xml:space="preserve">nijatzeynalov</t>
  </si>
  <si>
    <t xml:space="preserve">https://huggingface.co/nijatzeynalov/wav2vec2-large-mms-1b-azerbaijani-common_voice15.0</t>
  </si>
  <si>
    <t xml:space="preserve">black-forest-labs/FLUX.2-klein-9B</t>
  </si>
  <si>
    <t xml:space="preserve">https://huggingface.co/black-forest-labs/FLUX.2-klein-9B</t>
  </si>
  <si>
    <t xml:space="preserve">Helsinki-NLP/opus-mt-zh-en</t>
  </si>
  <si>
    <t xml:space="preserve">https://huggingface.co/Helsinki-NLP/opus-mt-zh-en</t>
  </si>
  <si>
    <t xml:space="preserve">optimum-intel-internal-testing/tiny-random-distilbert</t>
  </si>
  <si>
    <t xml:space="preserve">https://huggingface.co/optimum-intel-internal-testing/tiny-random-distilbert</t>
  </si>
  <si>
    <t xml:space="preserve">microsoft/DialoGPT-medium</t>
  </si>
  <si>
    <t xml:space="preserve">https://huggingface.co/microsoft/DialoGPT-medium</t>
  </si>
  <si>
    <t xml:space="preserve">Helsinki-NLP/opus-mt-it-en</t>
  </si>
  <si>
    <t xml:space="preserve">https://huggingface.co/Helsinki-NLP/opus-mt-it-en</t>
  </si>
  <si>
    <t xml:space="preserve">facebook/opt-350m</t>
  </si>
  <si>
    <t xml:space="preserve">https://huggingface.co/facebook/opt-350m</t>
  </si>
  <si>
    <t xml:space="preserve">HuggingFaceM4/tiny-random-LlamaForCausalLM</t>
  </si>
  <si>
    <t xml:space="preserve">https://huggingface.co/HuggingFaceM4/tiny-random-LlamaForCausalLM</t>
  </si>
  <si>
    <t xml:space="preserve">HauhauCS/Gemma4-26B-A4B-QAT-Uncensored-HauhauCS-Balanced-MTP</t>
  </si>
  <si>
    <t xml:space="preserve">https://huggingface.co/HauhauCS/Gemma4-26B-A4B-QAT-Uncensored-HauhauCS-Balanced-MTP</t>
  </si>
  <si>
    <t xml:space="preserve">frankjoshua/novaAnimeXL_ilV140</t>
  </si>
  <si>
    <t xml:space="preserve">frankjoshua</t>
  </si>
  <si>
    <t xml:space="preserve">https://huggingface.co/frankjoshua/novaAnimeXL_ilV140</t>
  </si>
  <si>
    <t xml:space="preserve">iarfmoose/t5-base-question-generator</t>
  </si>
  <si>
    <t xml:space="preserve">iarfmoose</t>
  </si>
  <si>
    <t xml:space="preserve">https://huggingface.co/iarfmoose/t5-base-question-generator</t>
  </si>
  <si>
    <t xml:space="preserve">vikp/surya_det3</t>
  </si>
  <si>
    <t xml:space="preserve">https://huggingface.co/vikp/surya_det3</t>
  </si>
  <si>
    <t xml:space="preserve">stabilityai/stable-video-diffusion-img2vid-xt</t>
  </si>
  <si>
    <t xml:space="preserve">https://huggingface.co/stabilityai/stable-video-diffusion-img2vid-xt</t>
  </si>
  <si>
    <t xml:space="preserve">bosonai/higgs-tts-2-3b-base</t>
  </si>
  <si>
    <t xml:space="preserve">https://huggingface.co/bosonai/higgs-tts-2-3b-base</t>
  </si>
  <si>
    <t xml:space="preserve">gchhablani/wav2vec2-large-xlsr-gu</t>
  </si>
  <si>
    <t xml:space="preserve">gchhablani</t>
  </si>
  <si>
    <t xml:space="preserve">https://huggingface.co/gchhablani/wav2vec2-large-xlsr-gu</t>
  </si>
  <si>
    <t xml:space="preserve">jinaai/jina-embeddings-v2-base-de</t>
  </si>
  <si>
    <t xml:space="preserve">https://huggingface.co/jinaai/jina-embeddings-v2-base-de</t>
  </si>
  <si>
    <t xml:space="preserve">mtgv/MobileLLaMA-1.4B-Chat</t>
  </si>
  <si>
    <t xml:space="preserve">mtgv</t>
  </si>
  <si>
    <t xml:space="preserve">https://huggingface.co/mtgv/MobileLLaMA-1.4B-Chat</t>
  </si>
  <si>
    <t xml:space="preserve">NovaSearch/stella_en_400M_v5</t>
  </si>
  <si>
    <t xml:space="preserve">NovaSearch</t>
  </si>
  <si>
    <t xml:space="preserve">https://huggingface.co/NovaSearch/stella_en_400M_v5</t>
  </si>
  <si>
    <t xml:space="preserve">h94/IP-Adapter-FaceID</t>
  </si>
  <si>
    <t xml:space="preserve">h94</t>
  </si>
  <si>
    <t xml:space="preserve">https://huggingface.co/h94/IP-Adapter-FaceID</t>
  </si>
  <si>
    <t xml:space="preserve">sesame/csm-1b</t>
  </si>
  <si>
    <t xml:space="preserve">sesame</t>
  </si>
  <si>
    <t xml:space="preserve">https://huggingface.co/sesame/csm-1b</t>
  </si>
  <si>
    <t xml:space="preserve">yyfz233/Pi3X</t>
  </si>
  <si>
    <t xml:space="preserve">yyfz233</t>
  </si>
  <si>
    <t xml:space="preserve">https://huggingface.co/yyfz233/Pi3X</t>
  </si>
  <si>
    <t xml:space="preserve">speechbrain/emotion-recognition-wav2vec2-IEMOCAP</t>
  </si>
  <si>
    <t xml:space="preserve">https://huggingface.co/speechbrain/emotion-recognition-wav2vec2-IEMOCAP</t>
  </si>
  <si>
    <t xml:space="preserve">microsoft/BiomedVLP-CXR-BERT-specialized</t>
  </si>
  <si>
    <t xml:space="preserve">https://huggingface.co/microsoft/BiomedVLP-CXR-BERT-specialized</t>
  </si>
  <si>
    <t xml:space="preserve">facebook/wav2vec2-large-960h-lv60-self</t>
  </si>
  <si>
    <t xml:space="preserve">https://huggingface.co/facebook/wav2vec2-large-960h-lv60-self</t>
  </si>
  <si>
    <t xml:space="preserve">biu-nlp/f-coref</t>
  </si>
  <si>
    <t xml:space="preserve">biu-nlp</t>
  </si>
  <si>
    <t xml:space="preserve">https://huggingface.co/biu-nlp/f-coref</t>
  </si>
  <si>
    <t xml:space="preserve">black-forest-labs/FLUX.2-small-decoder</t>
  </si>
  <si>
    <t xml:space="preserve">https://huggingface.co/black-forest-labs/FLUX.2-small-decoder</t>
  </si>
  <si>
    <t xml:space="preserve">paperscarecrow/Gemma-4-31B-it-abliterated</t>
  </si>
  <si>
    <t xml:space="preserve">paperscarecrow</t>
  </si>
  <si>
    <t xml:space="preserve">https://huggingface.co/paperscarecrow/Gemma-4-31B-it-abliterated</t>
  </si>
  <si>
    <t xml:space="preserve">mlx-community/whisper-tiny</t>
  </si>
  <si>
    <t xml:space="preserve">https://huggingface.co/mlx-community/whisper-tiny</t>
  </si>
  <si>
    <t xml:space="preserve">prajjwal1/bert-mini</t>
  </si>
  <si>
    <t xml:space="preserve">https://huggingface.co/prajjwal1/bert-mini</t>
  </si>
  <si>
    <t xml:space="preserve">trl-internal-testing/tiny-GemmaForCausalLM</t>
  </si>
  <si>
    <t xml:space="preserve">https://huggingface.co/trl-internal-testing/tiny-GemmaForCausalLM</t>
  </si>
  <si>
    <t xml:space="preserve">OFA-Sys/chinese-clip-vit-base-patch16</t>
  </si>
  <si>
    <t xml:space="preserve">OFA-Sys</t>
  </si>
  <si>
    <t xml:space="preserve">https://huggingface.co/OFA-Sys/chinese-clip-vit-base-patch16</t>
  </si>
  <si>
    <t xml:space="preserve">moondream/moondream3-preview</t>
  </si>
  <si>
    <t xml:space="preserve">moondream</t>
  </si>
  <si>
    <t xml:space="preserve">https://huggingface.co/moondream/moondream3-preview</t>
  </si>
  <si>
    <t xml:space="preserve">yuhuili/EAGLE3-LLaMA3.1-Instruct-8B</t>
  </si>
  <si>
    <t xml:space="preserve">https://huggingface.co/yuhuili/EAGLE3-LLaMA3.1-Instruct-8B</t>
  </si>
  <si>
    <t xml:space="preserve">trl-internal-testing/tiny-LlamaForCausalLM-3</t>
  </si>
  <si>
    <t xml:space="preserve">https://huggingface.co/trl-internal-testing/tiny-LlamaForCausalLM-3</t>
  </si>
  <si>
    <t xml:space="preserve">cis-lmu/glotlid</t>
  </si>
  <si>
    <t xml:space="preserve">cis-lmu</t>
  </si>
  <si>
    <t xml:space="preserve">https://huggingface.co/cis-lmu/glotlid</t>
  </si>
  <si>
    <t xml:space="preserve">hkunlp/instructor-large</t>
  </si>
  <si>
    <t xml:space="preserve">hkunlp</t>
  </si>
  <si>
    <t xml:space="preserve">https://huggingface.co/hkunlp/instructor-large</t>
  </si>
  <si>
    <t xml:space="preserve">tohoku-nlp/bert-base-japanese</t>
  </si>
  <si>
    <t xml:space="preserve">https://huggingface.co/tohoku-nlp/bert-base-japanese</t>
  </si>
  <si>
    <t xml:space="preserve">optimum-intel-internal-testing/tiny-stable-diffusion-torch</t>
  </si>
  <si>
    <r>
      <rPr>
        <sz val="11"/>
        <color rgb="FF000000"/>
        <rFont val="Noto Sans CJK SC"/>
        <family val="2"/>
      </rPr>
      <t xml:space="preserve">測試用模型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非正式用途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只提供可執行程式碼的權重格式 </t>
    </r>
    <r>
      <rPr>
        <sz val="11"/>
        <color rgb="FF000000"/>
        <rFont val="Calibri"/>
        <family val="0"/>
        <charset val="1"/>
      </rPr>
      <t xml:space="preserve">(pickle </t>
    </r>
    <r>
      <rPr>
        <sz val="11"/>
        <color rgb="FF000000"/>
        <rFont val="Noto Sans CJK SC"/>
        <family val="2"/>
      </rPr>
      <t xml:space="preserve">等</t>
    </r>
    <r>
      <rPr>
        <sz val="11"/>
        <color rgb="FF000000"/>
        <rFont val="Calibri"/>
        <family val="0"/>
        <charset val="1"/>
      </rPr>
      <t xml:space="preserve">); </t>
    </r>
    <r>
      <rPr>
        <sz val="11"/>
        <color rgb="FF000000"/>
        <rFont val="Noto Sans CJK SC"/>
        <family val="2"/>
      </rPr>
      <t xml:space="preserve">生成影像、影音或語音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無防禦用途</t>
    </r>
  </si>
  <si>
    <t xml:space="preserve">G2;G3;G6</t>
  </si>
  <si>
    <t xml:space="preserve">https://huggingface.co/optimum-intel-internal-testing/tiny-stable-diffusion-torch</t>
  </si>
  <si>
    <t xml:space="preserve">trl-internal-testing/tiny-RemoteForCausalLM</t>
  </si>
  <si>
    <r>
      <rPr>
        <sz val="11"/>
        <color rgb="FF000000"/>
        <rFont val="Noto Sans CJK SC"/>
        <family val="2"/>
      </rPr>
      <t xml:space="preserve">測試用模型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非正式用途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需開啟 </t>
    </r>
    <r>
      <rPr>
        <sz val="11"/>
        <color rgb="FF000000"/>
        <rFont val="Calibri"/>
        <family val="0"/>
        <charset val="1"/>
      </rPr>
      <t xml:space="preserve">trust_remote_code</t>
    </r>
  </si>
  <si>
    <t xml:space="preserve">G2;G4</t>
  </si>
  <si>
    <t xml:space="preserve">https://huggingface.co/trl-internal-testing/tiny-RemoteForCausalLM</t>
  </si>
  <si>
    <t xml:space="preserve">Lykon/DreamShaper</t>
  </si>
  <si>
    <t xml:space="preserve">https://huggingface.co/Lykon/DreamShaper</t>
  </si>
  <si>
    <t xml:space="preserve">stabilityai/TripoSR</t>
  </si>
  <si>
    <t xml:space="preserve">https://huggingface.co/stabilityai/TripoSR</t>
  </si>
  <si>
    <t xml:space="preserve">poolside/Laguna-XS.2</t>
  </si>
  <si>
    <t xml:space="preserve">https://huggingface.co/poolside/Laguna-XS.2</t>
  </si>
  <si>
    <t xml:space="preserve">jinaai/jina-clip-v2</t>
  </si>
  <si>
    <t xml:space="preserve">https://huggingface.co/jinaai/jina-clip-v2</t>
  </si>
  <si>
    <t xml:space="preserve">flair/ner-english</t>
  </si>
  <si>
    <t xml:space="preserve">https://huggingface.co/flair/ner-english</t>
  </si>
  <si>
    <t xml:space="preserve">drbaph/Higgs-Audio-v3-Studio</t>
  </si>
  <si>
    <t xml:space="preserve">drbaph</t>
  </si>
  <si>
    <t xml:space="preserve">https://huggingface.co/drbaph/Higgs-Audio-v3-Studio</t>
  </si>
  <si>
    <t xml:space="preserve">Maple728/TimeMoE-50M</t>
  </si>
  <si>
    <t xml:space="preserve">Maple728</t>
  </si>
  <si>
    <t xml:space="preserve">https://huggingface.co/Maple728/TimeMoE-50M</t>
  </si>
  <si>
    <t xml:space="preserve">nreimers/TinyBERT_L-4_H-312_v2</t>
  </si>
  <si>
    <t xml:space="preserve">nreimers</t>
  </si>
  <si>
    <t xml:space="preserve">https://huggingface.co/nreimers/TinyBERT_L-4_H-312_v2</t>
  </si>
  <si>
    <t xml:space="preserve">vennify/t5-base-grammar-correction</t>
  </si>
  <si>
    <t xml:space="preserve">vennify</t>
  </si>
  <si>
    <t xml:space="preserve">https://huggingface.co/vennify/t5-base-grammar-correction</t>
  </si>
  <si>
    <t xml:space="preserve">https://huggingface.co/poolside/Laguna-S-2.1-NVFP4</t>
  </si>
  <si>
    <t xml:space="preserve">elgeish/wav2vec2-large-xlsr-53-arabic</t>
  </si>
  <si>
    <t xml:space="preserve">elgeish</t>
  </si>
  <si>
    <t xml:space="preserve">https://huggingface.co/elgeish/wav2vec2-large-xlsr-53-arabic</t>
  </si>
  <si>
    <t xml:space="preserve">nvidia/Llama-3_3-Nemotron-Super-49B-v1_5-FP8</t>
  </si>
  <si>
    <t xml:space="preserve">https://huggingface.co/nvidia/Llama-3_3-Nemotron-Super-49B-v1_5-FP8</t>
  </si>
  <si>
    <t xml:space="preserve">Comfy-Org/Z-Image</t>
  </si>
  <si>
    <t xml:space="preserve">https://huggingface.co/Comfy-Org/Z-Image</t>
  </si>
  <si>
    <t xml:space="preserve">nvidia/Nemotron-Mini-4B-Instruct</t>
  </si>
  <si>
    <t xml:space="preserve">https://huggingface.co/nvidia/Nemotron-Mini-4B-Instruct</t>
  </si>
  <si>
    <t xml:space="preserve">nvidia/NVIDIA-Nemotron-Nano-9B-v2-FP8</t>
  </si>
  <si>
    <t xml:space="preserve">https://huggingface.co/nvidia/NVIDIA-Nemotron-Nano-9B-v2-FP8</t>
  </si>
  <si>
    <t xml:space="preserve">https://huggingface.co/black-forest-labs/FLUX.1-Fill-dev</t>
  </si>
  <si>
    <t xml:space="preserve">DeepChem/ChemBERTa-77M-MLM</t>
  </si>
  <si>
    <t xml:space="preserve">https://huggingface.co/DeepChem/ChemBERTa-77M-MLM</t>
  </si>
  <si>
    <t xml:space="preserve">trl-internal-testing/tiny-MistralForCausalLM-0.2</t>
  </si>
  <si>
    <t xml:space="preserve">https://huggingface.co/trl-internal-testing/tiny-MistralForCausalLM-0.2</t>
  </si>
  <si>
    <t xml:space="preserve">classla/wav2vec2-xls-r-juznevesti-sr</t>
  </si>
  <si>
    <t xml:space="preserve">https://huggingface.co/classla/wav2vec2-xls-r-juznevesti-sr</t>
  </si>
  <si>
    <t xml:space="preserve">vinai/phobert-base</t>
  </si>
  <si>
    <t xml:space="preserve">vinai</t>
  </si>
  <si>
    <t xml:space="preserve">https://huggingface.co/vinai/phobert-base</t>
  </si>
  <si>
    <t xml:space="preserve">google/pegasus-xsum</t>
  </si>
  <si>
    <t xml:space="preserve">https://huggingface.co/google/pegasus-xsum</t>
  </si>
  <si>
    <t xml:space="preserve">dangvantuan/vietnamese-document-embedding</t>
  </si>
  <si>
    <t xml:space="preserve">https://huggingface.co/dangvantuan/vietnamese-document-embedding</t>
  </si>
  <si>
    <t xml:space="preserve">google/mt5-large</t>
  </si>
  <si>
    <t xml:space="preserve">https://huggingface.co/google/mt5-large</t>
  </si>
  <si>
    <t xml:space="preserve">microsoft/layoutxlm-base</t>
  </si>
  <si>
    <t xml:space="preserve">https://huggingface.co/microsoft/layoutxlm-base</t>
  </si>
  <si>
    <t xml:space="preserve">speechbrain/tts-hifigan-libritts-22050Hz</t>
  </si>
  <si>
    <t xml:space="preserve">https://huggingface.co/speechbrain/tts-hifigan-libritts-22050Hz</t>
  </si>
  <si>
    <t xml:space="preserve">software-mansion/react-native-executorch-all-MiniLM-L6-v2</t>
  </si>
  <si>
    <t xml:space="preserve">https://huggingface.co/software-mansion/react-native-executorch-all-MiniLM-L6-v2</t>
  </si>
  <si>
    <t xml:space="preserve">cagliostrolab/animagine-xl-3.1</t>
  </si>
  <si>
    <t xml:space="preserve">https://huggingface.co/cagliostrolab/animagine-xl-3.1</t>
  </si>
  <si>
    <t xml:space="preserve">microsoft/unixcoder-base</t>
  </si>
  <si>
    <t xml:space="preserve">https://huggingface.co/microsoft/unixcoder-base</t>
  </si>
  <si>
    <t xml:space="preserve">facebook/mbart-large-50-one-to-many-mmt</t>
  </si>
  <si>
    <t xml:space="preserve">https://huggingface.co/facebook/mbart-large-50-one-to-many-mmt</t>
  </si>
  <si>
    <t xml:space="preserve">optimum-intel-internal-testing/tiny-random-stable-diffusion-xl</t>
  </si>
  <si>
    <t xml:space="preserve">https://huggingface.co/optimum-intel-internal-testing/tiny-random-stable-diffusion-xl</t>
  </si>
  <si>
    <t xml:space="preserve">jinaai/jina-colbert-v2</t>
  </si>
  <si>
    <t xml:space="preserve">https://huggingface.co/jinaai/jina-colbert-v2</t>
  </si>
  <si>
    <t xml:space="preserve">patrickvonplaten/t5-tiny-random</t>
  </si>
  <si>
    <t xml:space="preserve">patrickvonplaten</t>
  </si>
  <si>
    <t xml:space="preserve">https://huggingface.co/patrickvonplaten/t5-tiny-random</t>
  </si>
  <si>
    <t xml:space="preserve">ai4bharat/indic-conformer-600m-multilingual</t>
  </si>
  <si>
    <t xml:space="preserve">https://huggingface.co/ai4bharat/indic-conformer-600m-multilingual</t>
  </si>
  <si>
    <t xml:space="preserve">unsloth/FLUX.2-klein-9B-GGUF</t>
  </si>
  <si>
    <t xml:space="preserve">https://huggingface.co/unsloth/FLUX.2-klein-9B-GGUF</t>
  </si>
  <si>
    <t xml:space="preserve">trl-internal-testing/tiny-LlavaNextForConditionalGeneration</t>
  </si>
  <si>
    <t xml:space="preserve">https://huggingface.co/trl-internal-testing/tiny-LlavaNextForConditionalGeneration</t>
  </si>
  <si>
    <t xml:space="preserve">flair/ner-german-large</t>
  </si>
  <si>
    <t xml:space="preserve">https://huggingface.co/flair/ner-german-large</t>
  </si>
  <si>
    <t xml:space="preserve">optimum-intel-internal-testing/tiny-random-CLIPModel</t>
  </si>
  <si>
    <t xml:space="preserve">https://huggingface.co/optimum-intel-internal-testing/tiny-random-CLIPModel</t>
  </si>
  <si>
    <t xml:space="preserve">vikp/surya_order</t>
  </si>
  <si>
    <t xml:space="preserve">https://huggingface.co/vikp/surya_order</t>
  </si>
  <si>
    <t xml:space="preserve">optimum-intel-internal-testing/tiny-random-whisper</t>
  </si>
  <si>
    <t xml:space="preserve">https://huggingface.co/optimum-intel-internal-testing/tiny-random-whisper</t>
  </si>
  <si>
    <t xml:space="preserve">nvidia/Phi-4-multimodal-instruct-NVFP4</t>
  </si>
  <si>
    <t xml:space="preserve">https://huggingface.co/nvidia/Phi-4-multimodal-instruct-NVFP4</t>
  </si>
  <si>
    <t xml:space="preserve">q-future/one-align</t>
  </si>
  <si>
    <t xml:space="preserve">q-future</t>
  </si>
  <si>
    <t xml:space="preserve">https://huggingface.co/q-future/one-align</t>
  </si>
  <si>
    <t xml:space="preserve">trl-internal-testing/tiny-LlavaForConditionalGeneration</t>
  </si>
  <si>
    <t xml:space="preserve">https://huggingface.co/trl-internal-testing/tiny-LlavaForConditionalGeneration</t>
  </si>
  <si>
    <t xml:space="preserve">black-forest-labs/FLUX.2-klein-4b-fp8</t>
  </si>
  <si>
    <t xml:space="preserve">https://huggingface.co/black-forest-labs/FLUX.2-klein-4b-fp8</t>
  </si>
  <si>
    <t xml:space="preserve">imvladikon/sentence-transformers-alephbert</t>
  </si>
  <si>
    <t xml:space="preserve">https://huggingface.co/imvladikon/sentence-transformers-alephbert</t>
  </si>
  <si>
    <t xml:space="preserve">facebook/dpr-ctx_encoder-single-nq-base</t>
  </si>
  <si>
    <t xml:space="preserve">https://huggingface.co/facebook/dpr-ctx_encoder-single-nq-base</t>
  </si>
  <si>
    <t xml:space="preserve">nvidia/Llama-3_3-Nemotron-Super-49B-v1_5</t>
  </si>
  <si>
    <t xml:space="preserve">https://huggingface.co/nvidia/Llama-3_3-Nemotron-Super-49B-v1_5</t>
  </si>
  <si>
    <t xml:space="preserve">martin-ha/toxic-comment-model</t>
  </si>
  <si>
    <t xml:space="preserve">martin-ha</t>
  </si>
  <si>
    <t xml:space="preserve">https://huggingface.co/martin-ha/toxic-comment-model</t>
  </si>
  <si>
    <t xml:space="preserve">city96/FLUX.1-dev-gguf</t>
  </si>
  <si>
    <t xml:space="preserve">https://huggingface.co/city96/FLUX.1-dev-gguf</t>
  </si>
  <si>
    <t xml:space="preserve">stable-diffusion-v1-5/stable-diffusion-inpainting</t>
  </si>
  <si>
    <t xml:space="preserve">https://huggingface.co/stable-diffusion-v1-5/stable-diffusion-inpainting</t>
  </si>
  <si>
    <t xml:space="preserve">Comfy-Org/stable-diffusion-3.5</t>
  </si>
  <si>
    <t xml:space="preserve">https://huggingface.co/Comfy-Org/stable-diffusion-3.5</t>
  </si>
  <si>
    <t xml:space="preserve">ybelkada/tiny-random-T5ForConditionalGeneration-calibrated</t>
  </si>
  <si>
    <t xml:space="preserve">ybelkada</t>
  </si>
  <si>
    <t xml:space="preserve">https://huggingface.co/ybelkada/tiny-random-T5ForConditionalGeneration-calibrated</t>
  </si>
  <si>
    <t xml:space="preserve">Maple728/TimeMoE-200M</t>
  </si>
  <si>
    <t xml:space="preserve">https://huggingface.co/Maple728/TimeMoE-200M</t>
  </si>
  <si>
    <t xml:space="preserve">microsoft/Phi-3-vision-128k-instruct</t>
  </si>
  <si>
    <t xml:space="preserve">https://huggingface.co/microsoft/Phi-3-vision-128k-instruct</t>
  </si>
  <si>
    <t xml:space="preserve">facebook/bart-large</t>
  </si>
  <si>
    <t xml:space="preserve">https://huggingface.co/facebook/bart-large</t>
  </si>
  <si>
    <t xml:space="preserve">Anzhc/Anzhcs-VAEs</t>
  </si>
  <si>
    <t xml:space="preserve">Anzhc</t>
  </si>
  <si>
    <t xml:space="preserve">https://huggingface.co/Anzhc/Anzhcs-VAEs</t>
  </si>
  <si>
    <t xml:space="preserve">trl-internal-testing/tiny-Phi3ForCausalLM-3</t>
  </si>
  <si>
    <t xml:space="preserve">https://huggingface.co/trl-internal-testing/tiny-Phi3ForCausalLM-3</t>
  </si>
  <si>
    <t xml:space="preserve">thuml/sundial-base-128m</t>
  </si>
  <si>
    <t xml:space="preserve">thuml</t>
  </si>
  <si>
    <t xml:space="preserve">https://huggingface.co/thuml/sundial-base-128m</t>
  </si>
  <si>
    <t xml:space="preserve">trl-internal-testing/tiny-LlamaForCausalLM-3.1</t>
  </si>
  <si>
    <t xml:space="preserve">https://huggingface.co/trl-internal-testing/tiny-LlamaForCausalLM-3.1</t>
  </si>
  <si>
    <t xml:space="preserve">John6666/nova-furry-xl-il-v120-sdxl</t>
  </si>
  <si>
    <t xml:space="preserve">John6666</t>
  </si>
  <si>
    <t xml:space="preserve">https://huggingface.co/John6666/nova-furry-xl-il-v120-sdxl</t>
  </si>
  <si>
    <t xml:space="preserve">vectara/hallucination_evaluation_model</t>
  </si>
  <si>
    <t xml:space="preserve">vectara</t>
  </si>
  <si>
    <t xml:space="preserve">https://huggingface.co/vectara/hallucination_evaluation_model</t>
  </si>
  <si>
    <t xml:space="preserve">seyonec/ChemBERTa-zinc-base-v1</t>
  </si>
  <si>
    <t xml:space="preserve">seyonec</t>
  </si>
  <si>
    <t xml:space="preserve">https://huggingface.co/seyonec/ChemBERTa-zinc-base-v1</t>
  </si>
  <si>
    <t xml:space="preserve">roneneldan/TinyStories-1M</t>
  </si>
  <si>
    <t xml:space="preserve">roneneldan</t>
  </si>
  <si>
    <t xml:space="preserve">https://huggingface.co/roneneldan/TinyStories-1M</t>
  </si>
  <si>
    <t xml:space="preserve">OpenMOSS-Team/MOSS-TTS-v1.5</t>
  </si>
  <si>
    <t xml:space="preserve">https://huggingface.co/OpenMOSS-Team/MOSS-TTS-v1.5</t>
  </si>
  <si>
    <t xml:space="preserve">martineux/dvine82-xl</t>
  </si>
  <si>
    <t xml:space="preserve">martineux</t>
  </si>
  <si>
    <t xml:space="preserve">https://huggingface.co/martineux/dvine82-xl</t>
  </si>
  <si>
    <t xml:space="preserve">tner/roberta-large-tweetner7-all</t>
  </si>
  <si>
    <t xml:space="preserve">tner</t>
  </si>
  <si>
    <t xml:space="preserve">https://huggingface.co/tner/roberta-large-tweetner7-all</t>
  </si>
  <si>
    <t xml:space="preserve">facebook/mms-lid-256</t>
  </si>
  <si>
    <t xml:space="preserve">https://huggingface.co/facebook/mms-lid-256</t>
  </si>
  <si>
    <t xml:space="preserve">myshell-ai/MeloTTS-English</t>
  </si>
  <si>
    <t xml:space="preserve">myshell-ai</t>
  </si>
  <si>
    <t xml:space="preserve">https://huggingface.co/myshell-ai/MeloTTS-English</t>
  </si>
  <si>
    <t xml:space="preserve">trl-internal-testing/tiny-Phi3ForCausalLM-3.5</t>
  </si>
  <si>
    <t xml:space="preserve">https://huggingface.co/trl-internal-testing/tiny-Phi3ForCausalLM-3.5</t>
  </si>
  <si>
    <t xml:space="preserve">google/tipsv2-so400m14</t>
  </si>
  <si>
    <t xml:space="preserve">https://huggingface.co/google/tipsv2-so400m14</t>
  </si>
  <si>
    <t xml:space="preserve">Rostlab/prot_bert</t>
  </si>
  <si>
    <t xml:space="preserve">https://huggingface.co/Rostlab/prot_bert</t>
  </si>
  <si>
    <t xml:space="preserve">facebook/nllb-200-3.3B</t>
  </si>
  <si>
    <t xml:space="preserve">https://huggingface.co/facebook/nllb-200-3.3B</t>
  </si>
  <si>
    <t xml:space="preserve">trl-internal-testing/dummy-GPT2-correct-vocab</t>
  </si>
  <si>
    <t xml:space="preserve">https://huggingface.co/trl-internal-testing/dummy-GPT2-correct-vocab</t>
  </si>
  <si>
    <t xml:space="preserve">lvwerra/distilbert-imdb</t>
  </si>
  <si>
    <t xml:space="preserve">lvwerra</t>
  </si>
  <si>
    <t xml:space="preserve">https://huggingface.co/lvwerra/distilbert-imdb</t>
  </si>
  <si>
    <t xml:space="preserve">microsoft/Florence-2-base-ft</t>
  </si>
  <si>
    <t xml:space="preserve">https://huggingface.co/microsoft/Florence-2-base-ft</t>
  </si>
  <si>
    <t xml:space="preserve">biohub/ESMFold2-Fast</t>
  </si>
  <si>
    <t xml:space="preserve">https://huggingface.co/biohub/ESMFold2-Fast</t>
  </si>
  <si>
    <t xml:space="preserve">timm/resnet50.fb_swsl_ig1b_ft_in1k</t>
  </si>
  <si>
    <t xml:space="preserve">https://huggingface.co/timm/resnet50.fb_swsl_ig1b_ft_in1k</t>
  </si>
  <si>
    <t xml:space="preserve">vinai/bertweet-base</t>
  </si>
  <si>
    <t xml:space="preserve">https://huggingface.co/vinai/bertweet-base</t>
  </si>
  <si>
    <t xml:space="preserve">Jiunsong/supergemma4-26b-uncensored-gguf-v2</t>
  </si>
  <si>
    <t xml:space="preserve">Jiunsong</t>
  </si>
  <si>
    <t xml:space="preserve">https://huggingface.co/Jiunsong/supergemma4-26b-uncensored-gguf-v2</t>
  </si>
  <si>
    <t xml:space="preserve">optimum-intel-internal-testing/sam-vit-tiny-random</t>
  </si>
  <si>
    <t xml:space="preserve">https://huggingface.co/optimum-intel-internal-testing/sam-vit-tiny-random</t>
  </si>
  <si>
    <t xml:space="preserve">Stern5497/sbert-legal-xlm-roberta-base</t>
  </si>
  <si>
    <t xml:space="preserve">Stern5497</t>
  </si>
  <si>
    <t xml:space="preserve">https://huggingface.co/Stern5497/sbert-legal-xlm-roberta-base</t>
  </si>
  <si>
    <t xml:space="preserve">John6666/one-obsession-17-red-sdxl</t>
  </si>
  <si>
    <t xml:space="preserve">https://huggingface.co/John6666/one-obsession-17-red-sdxl</t>
  </si>
  <si>
    <t xml:space="preserve">ales/wav2vec2-cv-be</t>
  </si>
  <si>
    <t xml:space="preserve">ales</t>
  </si>
  <si>
    <t xml:space="preserve">https://huggingface.co/ales/wav2vec2-cv-be</t>
  </si>
  <si>
    <t xml:space="preserve">cardiffnlp/twitter-xlm-roberta-base-sentiment-multilingual</t>
  </si>
  <si>
    <t xml:space="preserve">https://huggingface.co/cardiffnlp/twitter-xlm-roberta-base-sentiment-multilingual</t>
  </si>
  <si>
    <t xml:space="preserve">Revai/pyannote-wespeaker-voxceleb-resnet34-LM</t>
  </si>
  <si>
    <t xml:space="preserve">https://huggingface.co/Revai/pyannote-wespeaker-voxceleb-resnet34-LM</t>
  </si>
  <si>
    <t xml:space="preserve">TenStrip/LTX2.3-10Eros</t>
  </si>
  <si>
    <t xml:space="preserve">TenStrip</t>
  </si>
  <si>
    <t xml:space="preserve">https://huggingface.co/TenStrip/LTX2.3-10Eros</t>
  </si>
  <si>
    <t xml:space="preserve">fixie-ai/ultravox-v0_6-llama-3_1-8b</t>
  </si>
  <si>
    <t xml:space="preserve">https://huggingface.co/fixie-ai/ultravox-v0_6-llama-3_1-8b</t>
  </si>
  <si>
    <t xml:space="preserve">yyfz233/Pi3</t>
  </si>
  <si>
    <t xml:space="preserve">https://huggingface.co/yyfz233/Pi3</t>
  </si>
  <si>
    <t xml:space="preserve">optimum-intel-internal-testing/tiny-random-albert</t>
  </si>
  <si>
    <t xml:space="preserve">https://huggingface.co/optimum-intel-internal-testing/tiny-random-albert</t>
  </si>
  <si>
    <t xml:space="preserve">dmis-lab/biobert-v1.1</t>
  </si>
  <si>
    <t xml:space="preserve">dmis-lab</t>
  </si>
  <si>
    <t xml:space="preserve">https://huggingface.co/dmis-lab/biobert-v1.1</t>
  </si>
  <si>
    <t xml:space="preserve">stabilityai/sd-vae-ft-mse</t>
  </si>
  <si>
    <t xml:space="preserve">https://huggingface.co/stabilityai/sd-vae-ft-mse</t>
  </si>
  <si>
    <t xml:space="preserve">optimum-intel-internal-testing/stable-diffusion-3-tiny-random</t>
  </si>
  <si>
    <r>
      <rPr>
        <sz val="11"/>
        <color rgb="FF000000"/>
        <rFont val="Noto Sans CJK SC"/>
        <family val="2"/>
      </rPr>
      <t xml:space="preserve">測試用模型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非正式用途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生成影像、影音或語音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無防禦用途</t>
    </r>
  </si>
  <si>
    <t xml:space="preserve">G2;G6</t>
  </si>
  <si>
    <t xml:space="preserve">https://huggingface.co/optimum-intel-internal-testing/stable-diffusion-3-tiny-random</t>
  </si>
  <si>
    <t xml:space="preserve">https://huggingface.co/google/umt5-xxl</t>
  </si>
  <si>
    <t xml:space="preserve">diffusers/stable-diffusion-xl-1.0-inpainting-0.1</t>
  </si>
  <si>
    <t xml:space="preserve">diffusers</t>
  </si>
  <si>
    <t xml:space="preserve">https://huggingface.co/diffusers/stable-diffusion-xl-1.0-inpainting-0.1</t>
  </si>
  <si>
    <t xml:space="preserve">ibm-granite/granite-vision-4.1-4b</t>
  </si>
  <si>
    <t xml:space="preserve">https://huggingface.co/ibm-granite/granite-vision-4.1-4b</t>
  </si>
  <si>
    <t xml:space="preserve">eugenesiow/edsr-base</t>
  </si>
  <si>
    <t xml:space="preserve">eugenesiow</t>
  </si>
  <si>
    <t xml:space="preserve">https://huggingface.co/eugenesiow/edsr-base</t>
  </si>
  <si>
    <t xml:space="preserve">Dream-org/Dream-v0-Instruct-7B</t>
  </si>
  <si>
    <t xml:space="preserve">Dream-org</t>
  </si>
  <si>
    <t xml:space="preserve">https://huggingface.co/Dream-org/Dream-v0-Instruct-7B</t>
  </si>
  <si>
    <t xml:space="preserve">SicariusSicariiStuff/Assistant_Pepe_8B</t>
  </si>
  <si>
    <t xml:space="preserve">SicariusSicariiStuff</t>
  </si>
  <si>
    <t xml:space="preserve">https://huggingface.co/SicariusSicariiStuff/Assistant_Pepe_8B</t>
  </si>
  <si>
    <t xml:space="preserve">trl-internal-testing/tiny-Gemma4ForConditionalGeneration</t>
  </si>
  <si>
    <t xml:space="preserve">https://huggingface.co/trl-internal-testing/tiny-Gemma4ForConditionalGeneration</t>
  </si>
  <si>
    <t xml:space="preserve">stabilityai/stable-diffusion-xl-refiner-1.0</t>
  </si>
  <si>
    <t xml:space="preserve">https://huggingface.co/stabilityai/stable-diffusion-xl-refiner-1.0</t>
  </si>
  <si>
    <t xml:space="preserve">vasista22/whisper-tamil-small</t>
  </si>
  <si>
    <t xml:space="preserve">vasista22</t>
  </si>
  <si>
    <t xml:space="preserve">https://huggingface.co/vasista22/whisper-tamil-small</t>
  </si>
  <si>
    <t xml:space="preserve">facebook/mms-lid-1024</t>
  </si>
  <si>
    <t xml:space="preserve">https://huggingface.co/facebook/mms-lid-1024</t>
  </si>
  <si>
    <t xml:space="preserve">trl-internal-testing/tiny-MistralForCausalLM-0.1</t>
  </si>
  <si>
    <t xml:space="preserve">https://huggingface.co/trl-internal-testing/tiny-MistralForCausalLM-0.1</t>
  </si>
  <si>
    <t xml:space="preserve">huggingface/autoformer-tourism-monthly</t>
  </si>
  <si>
    <t xml:space="preserve">huggingface</t>
  </si>
  <si>
    <t xml:space="preserve">https://huggingface.co/huggingface/autoformer-tourism-monthly</t>
  </si>
  <si>
    <t xml:space="preserve">Helsinki-NLP/opus-mt-tc-big-en-tr</t>
  </si>
  <si>
    <t xml:space="preserve">https://huggingface.co/Helsinki-NLP/opus-mt-tc-big-en-tr</t>
  </si>
  <si>
    <t xml:space="preserve">microsoft/trocr-large-handwritten</t>
  </si>
  <si>
    <t xml:space="preserve">https://huggingface.co/microsoft/trocr-large-handwritten</t>
  </si>
  <si>
    <t xml:space="preserve">OpenMOSS-Team/MOSS-Audio-Tokenizer</t>
  </si>
  <si>
    <t xml:space="preserve">https://huggingface.co/OpenMOSS-Team/MOSS-Audio-Tokenizer</t>
  </si>
  <si>
    <t xml:space="preserve">mlx-community/Kokoro-82M-bf16</t>
  </si>
  <si>
    <t xml:space="preserve">https://huggingface.co/mlx-community/Kokoro-82M-bf16</t>
  </si>
  <si>
    <t xml:space="preserve">Salesforce/moirai-1.1-R-large</t>
  </si>
  <si>
    <t xml:space="preserve">https://huggingface.co/Salesforce/moirai-1.1-R-large</t>
  </si>
  <si>
    <t xml:space="preserve">iiiorg/piiranha-v1-detect-personal-information</t>
  </si>
  <si>
    <t xml:space="preserve">iiiorg</t>
  </si>
  <si>
    <t xml:space="preserve">https://huggingface.co/iiiorg/piiranha-v1-detect-personal-information</t>
  </si>
  <si>
    <t xml:space="preserve">philschmid/bart-large-cnn-samsum</t>
  </si>
  <si>
    <t xml:space="preserve">philschmid</t>
  </si>
  <si>
    <t xml:space="preserve">https://huggingface.co/philschmid/bart-large-cnn-samsum</t>
  </si>
  <si>
    <t xml:space="preserve">valhalla/distilbart-mnli-12-1</t>
  </si>
  <si>
    <t xml:space="preserve">valhalla</t>
  </si>
  <si>
    <t xml:space="preserve">https://huggingface.co/valhalla/distilbart-mnli-12-1</t>
  </si>
  <si>
    <t xml:space="preserve">optimum-intel-internal-testing/tiny-random-llava</t>
  </si>
  <si>
    <t xml:space="preserve">https://huggingface.co/optimum-intel-internal-testing/tiny-random-llava</t>
  </si>
  <si>
    <t xml:space="preserve">keremberke/yolov8m-table-extraction</t>
  </si>
  <si>
    <t xml:space="preserve">keremberke</t>
  </si>
  <si>
    <t xml:space="preserve">https://huggingface.co/keremberke/yolov8m-table-extraction</t>
  </si>
  <si>
    <t xml:space="preserve">mradermacher/gemma-4-26B-A4B-it-ultra-uncensored-heretic-i1-GGUF</t>
  </si>
  <si>
    <t xml:space="preserve">https://huggingface.co/mradermacher/gemma-4-26B-A4B-it-ultra-uncensored-heretic-i1-GGUF</t>
  </si>
  <si>
    <t xml:space="preserve">language-and-voice-lab/wav2vec2-large-xlsr-53-icelandic-ep30-967h</t>
  </si>
  <si>
    <t xml:space="preserve">language-and-voice-lab</t>
  </si>
  <si>
    <t xml:space="preserve">https://huggingface.co/language-and-voice-lab/wav2vec2-large-xlsr-53-icelandic-ep30-967h</t>
  </si>
  <si>
    <t xml:space="preserve">circulus/koelectra-sentiment-v1</t>
  </si>
  <si>
    <t xml:space="preserve">https://huggingface.co/circulus/koelectra-sentiment-v1</t>
  </si>
  <si>
    <t xml:space="preserve">optimum-intel-internal-testing/tiny-random-flux</t>
  </si>
  <si>
    <t xml:space="preserve">https://huggingface.co/optimum-intel-internal-testing/tiny-random-flux</t>
  </si>
  <si>
    <t xml:space="preserve">Snowflake/snowflake-arctic-embed-m-v2.0</t>
  </si>
  <si>
    <t xml:space="preserve">https://huggingface.co/Snowflake/snowflake-arctic-embed-m-v2.0</t>
  </si>
  <si>
    <t xml:space="preserve">Synaptics/MobileNetV2</t>
  </si>
  <si>
    <t xml:space="preserve">https://huggingface.co/Synaptics/MobileNetV2</t>
  </si>
  <si>
    <t xml:space="preserve">HuggingFaceH4/tiny-random-LlamaForCausalLM</t>
  </si>
  <si>
    <t xml:space="preserve">https://huggingface.co/HuggingFaceH4/tiny-random-LlamaForCausalLM</t>
  </si>
  <si>
    <t xml:space="preserve">Helsinki-NLP/opus-mt-ROMANCE-en</t>
  </si>
  <si>
    <t xml:space="preserve">https://huggingface.co/Helsinki-NLP/opus-mt-ROMANCE-en</t>
  </si>
  <si>
    <t xml:space="preserve">m-a-p/MERT-v1-95M</t>
  </si>
  <si>
    <t xml:space="preserve">https://huggingface.co/m-a-p/MERT-v1-95M</t>
  </si>
  <si>
    <t xml:space="preserve">JackFram/llama-68m</t>
  </si>
  <si>
    <t xml:space="preserve">https://huggingface.co/JackFram/llama-68m</t>
  </si>
  <si>
    <t xml:space="preserve">dphn/Dolphin-Mistral-24B-Venice-Edition</t>
  </si>
  <si>
    <t xml:space="preserve">dphn</t>
  </si>
  <si>
    <t xml:space="preserve">https://huggingface.co/dphn/Dolphin-Mistral-24B-Venice-Edition</t>
  </si>
  <si>
    <t xml:space="preserve">nvidia/NVIDIA-Nemotron-Parse-v1.2</t>
  </si>
  <si>
    <t xml:space="preserve">https://huggingface.co/nvidia/NVIDIA-Nemotron-Parse-v1.2</t>
  </si>
  <si>
    <t xml:space="preserve">Marxav/wav2vec2-large-xlsr-53-breton</t>
  </si>
  <si>
    <t xml:space="preserve">Marxav</t>
  </si>
  <si>
    <t xml:space="preserve">https://huggingface.co/Marxav/wav2vec2-large-xlsr-53-breton</t>
  </si>
  <si>
    <t xml:space="preserve">Marqo/marqo-ecommerce-embeddings-B</t>
  </si>
  <si>
    <t xml:space="preserve">https://huggingface.co/Marqo/marqo-ecommerce-embeddings-B</t>
  </si>
  <si>
    <t xml:space="preserve">facebook/nougat-base</t>
  </si>
  <si>
    <t xml:space="preserve">https://huggingface.co/facebook/nougat-base</t>
  </si>
  <si>
    <t xml:space="preserve">optimum-intel-internal-testing/tiny-random-aya-base</t>
  </si>
  <si>
    <t xml:space="preserve">https://huggingface.co/optimum-intel-internal-testing/tiny-random-aya-base</t>
  </si>
  <si>
    <t xml:space="preserve">tarteel-ai/whisper-base-ar-quran</t>
  </si>
  <si>
    <t xml:space="preserve">tarteel-ai</t>
  </si>
  <si>
    <t xml:space="preserve">https://huggingface.co/tarteel-ai/whisper-base-ar-quran</t>
  </si>
  <si>
    <t xml:space="preserve">SimianLuo/LCM_Dreamshaper_v7</t>
  </si>
  <si>
    <t xml:space="preserve">SimianLuo</t>
  </si>
  <si>
    <t xml:space="preserve">https://huggingface.co/SimianLuo/LCM_Dreamshaper_v7</t>
  </si>
  <si>
    <t xml:space="preserve">software-mansion/react-native-executorch-whisper-tiny.en</t>
  </si>
  <si>
    <t xml:space="preserve">https://huggingface.co/software-mansion/react-native-executorch-whisper-tiny.en</t>
  </si>
  <si>
    <t xml:space="preserve">biohub/ESMC-600M</t>
  </si>
  <si>
    <t xml:space="preserve">https://huggingface.co/biohub/ESMC-600M</t>
  </si>
  <si>
    <t xml:space="preserve">microsoft/Phi-3.5-MoE-instruct</t>
  </si>
  <si>
    <t xml:space="preserve">https://huggingface.co/microsoft/Phi-3.5-MoE-instruct</t>
  </si>
  <si>
    <t xml:space="preserve">HauhauCS/Gemma-4-E2B-Uncensored-HauhauCS-Aggressive</t>
  </si>
  <si>
    <t xml:space="preserve">https://huggingface.co/HauhauCS/Gemma-4-E2B-Uncensored-HauhauCS-Aggressive</t>
  </si>
  <si>
    <t xml:space="preserve">iarfmoose/bert-base-cased-qa-evaluator</t>
  </si>
  <si>
    <t xml:space="preserve">https://huggingface.co/iarfmoose/bert-base-cased-qa-evaluator</t>
  </si>
  <si>
    <t xml:space="preserve">Helsinki-NLP/opus-mt-en-ar</t>
  </si>
  <si>
    <t xml:space="preserve">https://huggingface.co/Helsinki-NLP/opus-mt-en-ar</t>
  </si>
  <si>
    <t xml:space="preserve">ampixa/sanoTTS</t>
  </si>
  <si>
    <t xml:space="preserve">ampixa</t>
  </si>
  <si>
    <t xml:space="preserve">https://huggingface.co/ampixa/sanoTTS</t>
  </si>
  <si>
    <t xml:space="preserve">https://huggingface.co/facebook/sam3.1</t>
  </si>
  <si>
    <t xml:space="preserve">flair/ner-english-ontonotes-large</t>
  </si>
  <si>
    <t xml:space="preserve">https://huggingface.co/flair/ner-english-ontonotes-large</t>
  </si>
  <si>
    <t xml:space="preserve">ivrit-ai/pyannote-speaker-diarization-3.1</t>
  </si>
  <si>
    <t xml:space="preserve">https://huggingface.co/ivrit-ai/pyannote-speaker-diarization-3.1</t>
  </si>
  <si>
    <t xml:space="preserve">OBLITERATUS/gemma-4-E4B-it-OBLITERATED</t>
  </si>
  <si>
    <t xml:space="preserve">OBLITERATUS</t>
  </si>
  <si>
    <t xml:space="preserve">https://huggingface.co/OBLITERATUS/gemma-4-E4B-it-OBLITERATED</t>
  </si>
  <si>
    <t xml:space="preserve">FastFlowLM/GPT-OSS-20B-NPU2</t>
  </si>
  <si>
    <t xml:space="preserve">FastFlowLM</t>
  </si>
  <si>
    <t xml:space="preserve">https://huggingface.co/FastFlowLM/GPT-OSS-20B-NPU2</t>
  </si>
  <si>
    <t xml:space="preserve">speechbrain/lang-id-voxlingua107-ecapa</t>
  </si>
  <si>
    <t xml:space="preserve">https://huggingface.co/speechbrain/lang-id-voxlingua107-ecapa</t>
  </si>
  <si>
    <t xml:space="preserve">tohoku-nlp/bert-base-japanese-char-v3</t>
  </si>
  <si>
    <t xml:space="preserve">https://huggingface.co/tohoku-nlp/bert-base-japanese-char-v3</t>
  </si>
  <si>
    <t xml:space="preserve">trl-internal-testing/tiny-BloomForCausalLM</t>
  </si>
  <si>
    <t xml:space="preserve">https://huggingface.co/trl-internal-testing/tiny-BloomForCausalLM</t>
  </si>
  <si>
    <t xml:space="preserve">facebook/dino-vits16</t>
  </si>
  <si>
    <t xml:space="preserve">https://huggingface.co/facebook/dino-vits16</t>
  </si>
  <si>
    <t xml:space="preserve">timm/convnextv2_tiny.fcmae_ft_in22k_in1k</t>
  </si>
  <si>
    <t xml:space="preserve">https://huggingface.co/timm/convnextv2_tiny.fcmae_ft_in22k_in1k</t>
  </si>
  <si>
    <t xml:space="preserve">xinsir/controlnet-union-sdxl-1.0</t>
  </si>
  <si>
    <t xml:space="preserve">xinsir</t>
  </si>
  <si>
    <t xml:space="preserve">https://huggingface.co/xinsir/controlnet-union-sdxl-1.0</t>
  </si>
  <si>
    <t xml:space="preserve">Comfy-Org/Ideogram-4</t>
  </si>
  <si>
    <t xml:space="preserve">https://huggingface.co/Comfy-Org/Ideogram-4</t>
  </si>
  <si>
    <t xml:space="preserve">ivrit-ai/pyannote-segmentation-3.0</t>
  </si>
  <si>
    <t xml:space="preserve">https://huggingface.co/ivrit-ai/pyannote-segmentation-3.0</t>
  </si>
  <si>
    <t xml:space="preserve">stablediffusionapi/revanimated</t>
  </si>
  <si>
    <t xml:space="preserve">stablediffusionapi</t>
  </si>
  <si>
    <t xml:space="preserve">https://huggingface.co/stablediffusionapi/revanimated</t>
  </si>
  <si>
    <t xml:space="preserve">MaxJeblick/llama2-0b-unit-test</t>
  </si>
  <si>
    <t xml:space="preserve">MaxJeblick</t>
  </si>
  <si>
    <t xml:space="preserve">https://huggingface.co/MaxJeblick/llama2-0b-unit-test</t>
  </si>
  <si>
    <t xml:space="preserve">microsoft/deberta-v2-xlarge</t>
  </si>
  <si>
    <t xml:space="preserve">https://huggingface.co/microsoft/deberta-v2-xlarge</t>
  </si>
  <si>
    <t xml:space="preserve">SWivid/E2-TTS</t>
  </si>
  <si>
    <t xml:space="preserve">https://huggingface.co/SWivid/E2-TTS</t>
  </si>
  <si>
    <t xml:space="preserve">ahmedrachid/FinancialBERT-Sentiment-Analysis</t>
  </si>
  <si>
    <t xml:space="preserve">ahmedrachid</t>
  </si>
  <si>
    <t xml:space="preserve">https://huggingface.co/ahmedrachid/FinancialBERT-Sentiment-Analysis</t>
  </si>
  <si>
    <t xml:space="preserve">naver/splade-v3</t>
  </si>
  <si>
    <t xml:space="preserve">https://huggingface.co/naver/splade-v3</t>
  </si>
  <si>
    <t xml:space="preserve">culturerevolt/gemma-4-12b-heretic-abliterated-GGUF</t>
  </si>
  <si>
    <t xml:space="preserve">culturerevolt</t>
  </si>
  <si>
    <t xml:space="preserve">https://huggingface.co/culturerevolt/gemma-4-12b-heretic-abliterated-GGUF</t>
  </si>
  <si>
    <t xml:space="preserve">Systran/faster-whisper-large-v2</t>
  </si>
  <si>
    <t xml:space="preserve">https://huggingface.co/Systran/faster-whisper-large-v2</t>
  </si>
  <si>
    <t xml:space="preserve">optimum-intel-internal-testing/tiny-random-llava-next</t>
  </si>
  <si>
    <t xml:space="preserve">https://huggingface.co/optimum-intel-internal-testing/tiny-random-llava-next</t>
  </si>
  <si>
    <t xml:space="preserve">Comfy-Org/Lumina-Image-2</t>
  </si>
  <si>
    <t xml:space="preserve">https://huggingface.co/Comfy-Org/Lumina-Image-2</t>
  </si>
  <si>
    <t xml:space="preserve">microsoft/Phi-mini-MoE-instruct</t>
  </si>
  <si>
    <t xml:space="preserve">https://huggingface.co/microsoft/Phi-mini-MoE-instruct</t>
  </si>
  <si>
    <t xml:space="preserve">microsoft/infoxlm-large</t>
  </si>
  <si>
    <t xml:space="preserve">https://huggingface.co/microsoft/infoxlm-large</t>
  </si>
  <si>
    <t xml:space="preserve">Laxhar/noobai-XL-1.1</t>
  </si>
  <si>
    <t xml:space="preserve">Laxhar</t>
  </si>
  <si>
    <t xml:space="preserve">https://huggingface.co/Laxhar/noobai-XL-1.1</t>
  </si>
  <si>
    <t xml:space="preserve">John6666/amanatsu-illustrious-v11-sdxl</t>
  </si>
  <si>
    <t xml:space="preserve">https://huggingface.co/John6666/amanatsu-illustrious-v11-sdxl</t>
  </si>
  <si>
    <t xml:space="preserve">OpenMOSS-Team/MOSS-Transcribe-Diarize</t>
  </si>
  <si>
    <t xml:space="preserve">https://huggingface.co/OpenMOSS-Team/MOSS-Transcribe-Diarize</t>
  </si>
  <si>
    <t xml:space="preserve">optimum-intel-internal-testing/tiny-random-lfm2</t>
  </si>
  <si>
    <t xml:space="preserve">https://huggingface.co/optimum-intel-internal-testing/tiny-random-lfm2</t>
  </si>
  <si>
    <t xml:space="preserve">deepdml/faster-whisper-large-v3-turbo-ct2</t>
  </si>
  <si>
    <t xml:space="preserve">deepdml</t>
  </si>
  <si>
    <t xml:space="preserve">https://huggingface.co/deepdml/faster-whisper-large-v3-turbo-ct2</t>
  </si>
  <si>
    <t xml:space="preserve">kenpath/svara-tts-v1</t>
  </si>
  <si>
    <t xml:space="preserve">kenpath</t>
  </si>
  <si>
    <t xml:space="preserve">https://huggingface.co/kenpath/svara-tts-v1</t>
  </si>
  <si>
    <t xml:space="preserve">jhgan/ko-sbert-nli</t>
  </si>
  <si>
    <t xml:space="preserve">https://huggingface.co/jhgan/ko-sbert-nli</t>
  </si>
  <si>
    <t xml:space="preserve">cahya/bert-base-indonesian-NER</t>
  </si>
  <si>
    <t xml:space="preserve">cahya</t>
  </si>
  <si>
    <t xml:space="preserve">https://huggingface.co/cahya/bert-base-indonesian-NER</t>
  </si>
  <si>
    <t xml:space="preserve">OpenMOSS-Team/MOVA-360p</t>
  </si>
  <si>
    <t xml:space="preserve">https://huggingface.co/OpenMOSS-Team/MOVA-360p</t>
  </si>
  <si>
    <t xml:space="preserve">poolside/Laguna-M.1</t>
  </si>
  <si>
    <t xml:space="preserve">https://huggingface.co/poolside/Laguna-M.1</t>
  </si>
  <si>
    <t xml:space="preserve">timm/resnet18.fb_swsl_ig1b_ft_in1k</t>
  </si>
  <si>
    <t xml:space="preserve">https://huggingface.co/timm/resnet18.fb_swsl_ig1b_ft_in1k</t>
  </si>
  <si>
    <t xml:space="preserve">optimum-intel-internal-testing/wav2vec2-random-tiny-classifier</t>
  </si>
  <si>
    <t xml:space="preserve">https://huggingface.co/optimum-intel-internal-testing/wav2vec2-random-tiny-classifier</t>
  </si>
  <si>
    <t xml:space="preserve">facebook/mms-tts-eng</t>
  </si>
  <si>
    <t xml:space="preserve">https://huggingface.co/facebook/mms-tts-eng</t>
  </si>
  <si>
    <t xml:space="preserve">pysentimiento/robertuito-hate-speech</t>
  </si>
  <si>
    <t xml:space="preserve">https://huggingface.co/pysentimiento/robertuito-hate-speech</t>
  </si>
  <si>
    <t xml:space="preserve">vikp/surya_rec2</t>
  </si>
  <si>
    <t xml:space="preserve">https://huggingface.co/vikp/surya_rec2</t>
  </si>
  <si>
    <t xml:space="preserve">kyutai/tts-1.6b-en_fr</t>
  </si>
  <si>
    <t xml:space="preserve">https://huggingface.co/kyutai/tts-1.6b-en_fr</t>
  </si>
  <si>
    <t xml:space="preserve">vikp/surya_layout3</t>
  </si>
  <si>
    <t xml:space="preserve">https://huggingface.co/vikp/surya_layout3</t>
  </si>
  <si>
    <t xml:space="preserve">nvidia/Llama-3_3-Nemotron-Super-49B-v1</t>
  </si>
  <si>
    <t xml:space="preserve">https://huggingface.co/nvidia/Llama-3_3-Nemotron-Super-49B-v1</t>
  </si>
  <si>
    <t xml:space="preserve">Ransaka/sinlib</t>
  </si>
  <si>
    <t xml:space="preserve">Ransaka</t>
  </si>
  <si>
    <t xml:space="preserve">https://huggingface.co/Ransaka/sinlib</t>
  </si>
  <si>
    <t xml:space="preserve">trl-internal-testing/tiny-NemotronHForCausalLM-super</t>
  </si>
  <si>
    <t xml:space="preserve">https://huggingface.co/trl-internal-testing/tiny-NemotronHForCausalLM-super</t>
  </si>
  <si>
    <t xml:space="preserve">trl-internal-testing/tiny-NemotronHForCausalLM-ultra</t>
  </si>
  <si>
    <t xml:space="preserve">https://huggingface.co/trl-internal-testing/tiny-NemotronHForCausalLM-ultra</t>
  </si>
  <si>
    <t xml:space="preserve">optimum-intel-internal-testing/tiny-random-latent-consistency</t>
  </si>
  <si>
    <t xml:space="preserve">https://huggingface.co/optimum-intel-internal-testing/tiny-random-latent-consistency</t>
  </si>
  <si>
    <t xml:space="preserve">lucas-leme/FinBERT-PT-BR</t>
  </si>
  <si>
    <t xml:space="preserve">lucas-leme</t>
  </si>
  <si>
    <t xml:space="preserve">https://huggingface.co/lucas-leme/FinBERT-PT-BR</t>
  </si>
  <si>
    <t xml:space="preserve">Salesforce/codegen-350M-mono</t>
  </si>
  <si>
    <t xml:space="preserve">https://huggingface.co/Salesforce/codegen-350M-mono</t>
  </si>
  <si>
    <t xml:space="preserve">https://huggingface.co/poolside/Laguna-XS-2.1</t>
  </si>
  <si>
    <t xml:space="preserve">Organika/sdxl-detector</t>
  </si>
  <si>
    <t xml:space="preserve">Organika</t>
  </si>
  <si>
    <t xml:space="preserve">https://huggingface.co/Organika/sdxl-detector</t>
  </si>
  <si>
    <t xml:space="preserve">snunlp/KR-FinBert-SC</t>
  </si>
  <si>
    <t xml:space="preserve">https://huggingface.co/snunlp/KR-FinBert-SC</t>
  </si>
  <si>
    <t xml:space="preserve">Synthefy/Nori</t>
  </si>
  <si>
    <t xml:space="preserve">Synthefy</t>
  </si>
  <si>
    <t xml:space="preserve">https://huggingface.co/Synthefy/Nori</t>
  </si>
  <si>
    <t xml:space="preserve">kykim/albert-kor-base</t>
  </si>
  <si>
    <t xml:space="preserve">kykim</t>
  </si>
  <si>
    <t xml:space="preserve">https://huggingface.co/kykim/albert-kor-base</t>
  </si>
  <si>
    <t xml:space="preserve">optimum-intel-internal-testing/tiny-random-vit</t>
  </si>
  <si>
    <t xml:space="preserve">https://huggingface.co/optimum-intel-internal-testing/tiny-random-vit</t>
  </si>
  <si>
    <t xml:space="preserve">MahmoodLab/TITAN</t>
  </si>
  <si>
    <t xml:space="preserve">MahmoodLab</t>
  </si>
  <si>
    <t xml:space="preserve">https://huggingface.co/MahmoodLab/TITAN</t>
  </si>
  <si>
    <t xml:space="preserve">city96/FLUX.2-dev-gguf</t>
  </si>
  <si>
    <t xml:space="preserve">https://huggingface.co/city96/FLUX.2-dev-gguf</t>
  </si>
  <si>
    <t xml:space="preserve">CAMeL-Lab/bert-base-arabic-camelbert-mix-sentiment</t>
  </si>
  <si>
    <t xml:space="preserve">CAMeL-Lab</t>
  </si>
  <si>
    <t xml:space="preserve">https://huggingface.co/CAMeL-Lab/bert-base-arabic-camelbert-mix-sentiment</t>
  </si>
  <si>
    <t xml:space="preserve">ibm-research/ttm-r3</t>
  </si>
  <si>
    <t xml:space="preserve">https://huggingface.co/ibm-research/ttm-r3</t>
  </si>
  <si>
    <t xml:space="preserve">trl-internal-testing/tiny-Olmo3ForCausalLM</t>
  </si>
  <si>
    <t xml:space="preserve">https://huggingface.co/trl-internal-testing/tiny-Olmo3ForCausalLM</t>
  </si>
  <si>
    <t xml:space="preserve">naver/efficient-splade-VI-BT-large-doc</t>
  </si>
  <si>
    <t xml:space="preserve">https://huggingface.co/naver/efficient-splade-VI-BT-large-doc</t>
  </si>
  <si>
    <t xml:space="preserve">j-hartmann/sentiment-roberta-large-english-3-classes</t>
  </si>
  <si>
    <t xml:space="preserve">https://huggingface.co/j-hartmann/sentiment-roberta-large-english-3-classes</t>
  </si>
  <si>
    <t xml:space="preserve">Salesforce/moirai-1.0-R-base</t>
  </si>
  <si>
    <t xml:space="preserve">https://huggingface.co/Salesforce/moirai-1.0-R-base</t>
  </si>
  <si>
    <t xml:space="preserve">Salesforce/moirai-moe-1.0-R-small</t>
  </si>
  <si>
    <t xml:space="preserve">https://huggingface.co/Salesforce/moirai-moe-1.0-R-small</t>
  </si>
  <si>
    <t xml:space="preserve">faisalq/bert-base-arapoembert</t>
  </si>
  <si>
    <t xml:space="preserve">faisalq</t>
  </si>
  <si>
    <t xml:space="preserve">https://huggingface.co/faisalq/bert-base-arapoembert</t>
  </si>
  <si>
    <t xml:space="preserve">cardiffnlp/twitter-xlm-roberta-base</t>
  </si>
  <si>
    <t xml:space="preserve">https://huggingface.co/cardiffnlp/twitter-xlm-roberta-base</t>
  </si>
  <si>
    <t xml:space="preserve">efederici/e5-base-multilingual-4096</t>
  </si>
  <si>
    <t xml:space="preserve">efederici</t>
  </si>
  <si>
    <t xml:space="preserve">https://huggingface.co/efederici/e5-base-multilingual-4096</t>
  </si>
  <si>
    <t xml:space="preserve">John6666/diving-illustrious-real-asian-v50-sdxl</t>
  </si>
  <si>
    <t xml:space="preserve">https://huggingface.co/John6666/diving-illustrious-real-asian-v50-sdxl</t>
  </si>
  <si>
    <t xml:space="preserve">siebert/sentiment-roberta-large-english</t>
  </si>
  <si>
    <t xml:space="preserve">siebert</t>
  </si>
  <si>
    <t xml:space="preserve">https://huggingface.co/siebert/sentiment-roberta-large-english</t>
  </si>
  <si>
    <t xml:space="preserve">facebook/hubert-large-ll60k</t>
  </si>
  <si>
    <t xml:space="preserve">https://huggingface.co/facebook/hubert-large-ll60k</t>
  </si>
  <si>
    <t xml:space="preserve">jonatasgrosman/wav2vec2-large-xlsr-53-german</t>
  </si>
  <si>
    <t xml:space="preserve">https://huggingface.co/jonatasgrosman/wav2vec2-large-xlsr-53-german</t>
  </si>
  <si>
    <t xml:space="preserve">SG161222/RealVisXL_V4.0</t>
  </si>
  <si>
    <t xml:space="preserve">https://huggingface.co/SG161222/RealVisXL_V4.0</t>
  </si>
  <si>
    <t xml:space="preserve">microsoft/deberta-base-mnli</t>
  </si>
  <si>
    <t xml:space="preserve">https://huggingface.co/microsoft/deberta-base-mnli</t>
  </si>
  <si>
    <t xml:space="preserve">MonsterMMORPG/Wan_GGUF</t>
  </si>
  <si>
    <t xml:space="preserve">MonsterMMORPG</t>
  </si>
  <si>
    <t xml:space="preserve">https://huggingface.co/MonsterMMORPG/Wan_GGUF</t>
  </si>
  <si>
    <t xml:space="preserve">optimum-intel-internal-testing/tiny-random-SpeechT5ForTextToSpeech</t>
  </si>
  <si>
    <t xml:space="preserve">https://huggingface.co/optimum-intel-internal-testing/tiny-random-SpeechT5ForTextToSpeech</t>
  </si>
  <si>
    <t xml:space="preserve">nvidia/llama-embed-nemotron-8b</t>
  </si>
  <si>
    <t xml:space="preserve">https://huggingface.co/nvidia/llama-embed-nemotron-8b</t>
  </si>
  <si>
    <t xml:space="preserve">Comfy-Org/YuE2</t>
  </si>
  <si>
    <t xml:space="preserve">https://huggingface.co/Comfy-Org/YuE2</t>
  </si>
  <si>
    <t xml:space="preserve">https://huggingface.co/poolside/Laguna-S-2.1</t>
  </si>
  <si>
    <t xml:space="preserve">xinsir/controlnet-openpose-sdxl-1.0</t>
  </si>
  <si>
    <t xml:space="preserve">https://huggingface.co/xinsir/controlnet-openpose-sdxl-1.0</t>
  </si>
  <si>
    <t xml:space="preserve">PirateXX/AI-Content-Detector</t>
  </si>
  <si>
    <t xml:space="preserve">PirateXX</t>
  </si>
  <si>
    <t xml:space="preserve">https://huggingface.co/PirateXX/AI-Content-Detector</t>
  </si>
  <si>
    <t xml:space="preserve">nreimers/MiniLM-L3-H384-uncased</t>
  </si>
  <si>
    <t xml:space="preserve">https://huggingface.co/nreimers/MiniLM-L3-H384-uncased</t>
  </si>
  <si>
    <t xml:space="preserve">ai-sage/GigaChat3.1-Audio-10B-A1.8B</t>
  </si>
  <si>
    <t xml:space="preserve">https://huggingface.co/ai-sage/GigaChat3.1-Audio-10B-A1.8B</t>
  </si>
  <si>
    <t xml:space="preserve">umm-maybe/AI-image-detector</t>
  </si>
  <si>
    <t xml:space="preserve">umm-maybe</t>
  </si>
  <si>
    <t xml:space="preserve">https://huggingface.co/umm-maybe/AI-image-detector</t>
  </si>
  <si>
    <t xml:space="preserve">HauhauCS/Gemma4-31B-QAT-Uncensored-HauhauCS-Balanced-MTP</t>
  </si>
  <si>
    <t xml:space="preserve">https://huggingface.co/HauhauCS/Gemma4-31B-QAT-Uncensored-HauhauCS-Balanced-MTP</t>
  </si>
  <si>
    <t xml:space="preserve">city96/FLUX.1-schnell-gguf</t>
  </si>
  <si>
    <t xml:space="preserve">https://huggingface.co/city96/FLUX.1-schnell-gguf</t>
  </si>
  <si>
    <t xml:space="preserve">HauhauCS/Gemma4-26B-A4B-Uncensored-HauhauCS-Balanced</t>
  </si>
  <si>
    <t xml:space="preserve">https://huggingface.co/HauhauCS/Gemma4-26B-A4B-Uncensored-HauhauCS-Balanced</t>
  </si>
  <si>
    <t xml:space="preserve">black-forest-labs/flux-3-image-klein-comfy</t>
  </si>
  <si>
    <t xml:space="preserve">https://huggingface.co/black-forest-labs/flux-3-image-klein-comfy</t>
  </si>
  <si>
    <t xml:space="preserve">microsoft/biogpt</t>
  </si>
  <si>
    <t xml:space="preserve">https://huggingface.co/microsoft/biogpt</t>
  </si>
  <si>
    <t xml:space="preserve">https://huggingface.co/dbmdz/bert-base-turkish-uncased</t>
  </si>
  <si>
    <t xml:space="preserve">SpanBERT/spanbert-large-cased</t>
  </si>
  <si>
    <t xml:space="preserve">SpanBERT</t>
  </si>
  <si>
    <t xml:space="preserve">https://huggingface.co/SpanBERT/spanbert-large-cased</t>
  </si>
  <si>
    <t xml:space="preserve">IlyaGusev/rut5_base_headline_gen_telegram</t>
  </si>
  <si>
    <t xml:space="preserve">https://huggingface.co/IlyaGusev/rut5_base_headline_gen_telegram</t>
  </si>
  <si>
    <t xml:space="preserve">MahmoodLab/UNI2-h</t>
  </si>
  <si>
    <t xml:space="preserve">https://huggingface.co/MahmoodLab/UNI2-h</t>
  </si>
  <si>
    <t xml:space="preserve">OpenMOSS-Team/MOSS-Audio-Tokenizer-Nano</t>
  </si>
  <si>
    <t xml:space="preserve">https://huggingface.co/OpenMOSS-Team/MOSS-Audio-Tokenizer-Nano</t>
  </si>
  <si>
    <t xml:space="preserve">optimum-intel-internal-testing/tiny-random-mistral</t>
  </si>
  <si>
    <t xml:space="preserve">https://huggingface.co/optimum-intel-internal-testing/tiny-random-mistral</t>
  </si>
  <si>
    <t xml:space="preserve">Salesforce/moirai-moe-1.0-R-base</t>
  </si>
  <si>
    <t xml:space="preserve">https://huggingface.co/Salesforce/moirai-moe-1.0-R-base</t>
  </si>
  <si>
    <t xml:space="preserve">Helsinki-NLP/opus-mt-en-it</t>
  </si>
  <si>
    <t xml:space="preserve">https://huggingface.co/Helsinki-NLP/opus-mt-en-it</t>
  </si>
  <si>
    <t xml:space="preserve">Mustafaa4a/ASR-Somali</t>
  </si>
  <si>
    <t xml:space="preserve">Mustafaa4a</t>
  </si>
  <si>
    <t xml:space="preserve">https://huggingface.co/Mustafaa4a/ASR-Somali</t>
  </si>
  <si>
    <t xml:space="preserve">CAMeL-Lab/bert-base-arabic-camelbert-da-sentiment</t>
  </si>
  <si>
    <t xml:space="preserve">https://huggingface.co/CAMeL-Lab/bert-base-arabic-camelbert-da-sentiment</t>
  </si>
  <si>
    <t xml:space="preserve">facebook/mms-tts-hat</t>
  </si>
  <si>
    <t xml:space="preserve">https://huggingface.co/facebook/mms-tts-hat</t>
  </si>
  <si>
    <t xml:space="preserve">argmaxinc/speakerkit-pro</t>
  </si>
  <si>
    <t xml:space="preserve">https://huggingface.co/argmaxinc/speakerkit-pro</t>
  </si>
  <si>
    <t xml:space="preserve">nlpconnect/vit-gpt2-image-captioning</t>
  </si>
  <si>
    <t xml:space="preserve">nlpconnect</t>
  </si>
  <si>
    <t xml:space="preserve">https://huggingface.co/nlpconnect/vit-gpt2-image-captioning</t>
  </si>
  <si>
    <t xml:space="preserve">allenai/Molmo2-O-7B</t>
  </si>
  <si>
    <t xml:space="preserve">https://huggingface.co/allenai/Molmo2-O-7B</t>
  </si>
  <si>
    <t xml:space="preserve">timm/convnextv2_large.fcmae_ft_in22k_in1k_384</t>
  </si>
  <si>
    <t xml:space="preserve">https://huggingface.co/timm/convnextv2_large.fcmae_ft_in22k_in1k_384</t>
  </si>
  <si>
    <t xml:space="preserve">neuralbioinfo/prokbert-mini-promoter</t>
  </si>
  <si>
    <t xml:space="preserve">neuralbioinfo</t>
  </si>
  <si>
    <t xml:space="preserve">https://huggingface.co/neuralbioinfo/prokbert-mini-promoter</t>
  </si>
  <si>
    <t xml:space="preserve">https://huggingface.co/ibm-granite/granite-speech-4.1-2b-nar</t>
  </si>
  <si>
    <t xml:space="preserve">Helsinki-NLP/opus-mt-en-zh</t>
  </si>
  <si>
    <t xml:space="preserve">https://huggingface.co/Helsinki-NLP/opus-mt-en-zh</t>
  </si>
  <si>
    <t xml:space="preserve">nvidia/segformer-b1-finetuned-ade-512-512</t>
  </si>
  <si>
    <t xml:space="preserve">https://huggingface.co/nvidia/segformer-b1-finetuned-ade-512-512</t>
  </si>
  <si>
    <t xml:space="preserve">fidel1234/Krea2_Asian_Character</t>
  </si>
  <si>
    <t xml:space="preserve">fidel1234</t>
  </si>
  <si>
    <t xml:space="preserve">https://huggingface.co/fidel1234/Krea2_Asian_Character</t>
  </si>
  <si>
    <t xml:space="preserve">facebook/hf-seamless-m4t-medium</t>
  </si>
  <si>
    <t xml:space="preserve">https://huggingface.co/facebook/hf-seamless-m4t-medium</t>
  </si>
  <si>
    <t xml:space="preserve">trl-internal-testing/tiny-FalconMambaForCausalLM</t>
  </si>
  <si>
    <t xml:space="preserve">https://huggingface.co/trl-internal-testing/tiny-FalconMambaForCausalLM</t>
  </si>
  <si>
    <t xml:space="preserve">llmfan46/gemma-4-E4B-it-uncensored-heretic</t>
  </si>
  <si>
    <t xml:space="preserve">llmfan46</t>
  </si>
  <si>
    <t xml:space="preserve">https://huggingface.co/llmfan46/gemma-4-E4B-it-uncensored-heretic</t>
  </si>
  <si>
    <t xml:space="preserve">Comfy-Org/TRELLIS.2</t>
  </si>
  <si>
    <t xml:space="preserve">https://huggingface.co/Comfy-Org/TRELLIS.2</t>
  </si>
  <si>
    <t xml:space="preserve">pytorch/gemma-3-27b-it-AWQ-INT4</t>
  </si>
  <si>
    <t xml:space="preserve">pytorch</t>
  </si>
  <si>
    <t xml:space="preserve">https://huggingface.co/pytorch/gemma-3-27b-it-AWQ-INT4</t>
  </si>
  <si>
    <t xml:space="preserve">tohoku-nlp/bert-base-japanese-char-v2</t>
  </si>
  <si>
    <t xml:space="preserve">https://huggingface.co/tohoku-nlp/bert-base-japanese-char-v2</t>
  </si>
  <si>
    <t xml:space="preserve">Salesforce/ctrl</t>
  </si>
  <si>
    <t xml:space="preserve">https://huggingface.co/Salesforce/ctrl</t>
  </si>
  <si>
    <t xml:space="preserve">ZhengPeng7/BiRefNet_lite</t>
  </si>
  <si>
    <t xml:space="preserve">https://huggingface.co/ZhengPeng7/BiRefNet_lite</t>
  </si>
  <si>
    <t xml:space="preserve">google/tipsv2-b14</t>
  </si>
  <si>
    <t xml:space="preserve">https://huggingface.co/google/tipsv2-b14</t>
  </si>
  <si>
    <t xml:space="preserve">laion/CLIP-convnext_xxlarge-laion2B-s34B-b82K-augreg-soup</t>
  </si>
  <si>
    <t xml:space="preserve">https://huggingface.co/laion/CLIP-convnext_xxlarge-laion2B-s34B-b82K-augreg-soup</t>
  </si>
  <si>
    <t xml:space="preserve">OpenMed/OpenMed-NER-GenomeDetect-EuroMed-212M</t>
  </si>
  <si>
    <t xml:space="preserve">https://huggingface.co/OpenMed/OpenMed-NER-GenomeDetect-EuroMed-212M</t>
  </si>
  <si>
    <t xml:space="preserve">nvidia/Nemotron-Labs-Diffusion-8B</t>
  </si>
  <si>
    <t xml:space="preserve">https://huggingface.co/nvidia/Nemotron-Labs-Diffusion-8B</t>
  </si>
  <si>
    <t xml:space="preserve">Comfy-Org/Flux-1-Kontext-Dev</t>
  </si>
  <si>
    <t xml:space="preserve">https://huggingface.co/Comfy-Org/Flux-1-Kontext-Dev</t>
  </si>
  <si>
    <t xml:space="preserve">OpenMOSS-Team/MOSS-TTS-Nano-100M</t>
  </si>
  <si>
    <r>
      <rPr>
        <sz val="11"/>
        <color rgb="FF000000"/>
        <rFont val="Noto Sans CJK SC"/>
        <family val="2"/>
      </rPr>
      <t xml:space="preserve">只提供可執行程式碼的權重格式 </t>
    </r>
    <r>
      <rPr>
        <sz val="11"/>
        <color rgb="FF000000"/>
        <rFont val="Calibri"/>
        <family val="0"/>
        <charset val="1"/>
      </rPr>
      <t xml:space="preserve">(pickle </t>
    </r>
    <r>
      <rPr>
        <sz val="11"/>
        <color rgb="FF000000"/>
        <rFont val="Noto Sans CJK SC"/>
        <family val="2"/>
      </rPr>
      <t xml:space="preserve">等</t>
    </r>
    <r>
      <rPr>
        <sz val="11"/>
        <color rgb="FF000000"/>
        <rFont val="Calibri"/>
        <family val="0"/>
        <charset val="1"/>
      </rPr>
      <t xml:space="preserve">); </t>
    </r>
    <r>
      <rPr>
        <sz val="11"/>
        <color rgb="FF000000"/>
        <rFont val="Noto Sans CJK SC"/>
        <family val="2"/>
      </rPr>
      <t xml:space="preserve">需開啟 </t>
    </r>
    <r>
      <rPr>
        <sz val="11"/>
        <color rgb="FF000000"/>
        <rFont val="Calibri"/>
        <family val="0"/>
        <charset val="1"/>
      </rPr>
      <t xml:space="preserve">trust_remote_code; </t>
    </r>
    <r>
      <rPr>
        <sz val="11"/>
        <color rgb="FF000000"/>
        <rFont val="Noto Sans CJK SC"/>
        <family val="2"/>
      </rPr>
      <t xml:space="preserve">生成影像、影音或語音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無防禦用途</t>
    </r>
  </si>
  <si>
    <t xml:space="preserve">G3;G4;G6</t>
  </si>
  <si>
    <t xml:space="preserve">https://huggingface.co/OpenMOSS-Team/MOSS-TTS-Nano-100M</t>
  </si>
  <si>
    <t xml:space="preserve">facebook/mms-lid-126</t>
  </si>
  <si>
    <t xml:space="preserve">https://huggingface.co/facebook/mms-lid-126</t>
  </si>
  <si>
    <t xml:space="preserve">OpenMed/OpenMed-NER-ChemicalDetect-EuroMed-212M</t>
  </si>
  <si>
    <t xml:space="preserve">https://huggingface.co/OpenMed/OpenMed-NER-ChemicalDetect-EuroMed-212M</t>
  </si>
  <si>
    <t xml:space="preserve">shi-labs/oneformer_ade20k_swin_large</t>
  </si>
  <si>
    <t xml:space="preserve">shi-labs</t>
  </si>
  <si>
    <t xml:space="preserve">https://huggingface.co/shi-labs/oneformer_ade20k_swin_large</t>
  </si>
  <si>
    <t xml:space="preserve">nvidia/NVLM-D-72B</t>
  </si>
  <si>
    <t xml:space="preserve">https://huggingface.co/nvidia/NVLM-D-72B</t>
  </si>
  <si>
    <t xml:space="preserve">shi-labs/oneformer_cityscapes_swin_large</t>
  </si>
  <si>
    <t xml:space="preserve">https://huggingface.co/shi-labs/oneformer_cityscapes_swin_large</t>
  </si>
  <si>
    <t xml:space="preserve">Abiray/Sulphur-2-base-GGUF</t>
  </si>
  <si>
    <t xml:space="preserve">https://huggingface.co/Abiray/Sulphur-2-base-GGUF</t>
  </si>
  <si>
    <t xml:space="preserve">OpenMed/OpenMed-NER-PharmaDetect-EuroMed-212M</t>
  </si>
  <si>
    <t xml:space="preserve">https://huggingface.co/OpenMed/OpenMed-NER-PharmaDetect-EuroMed-212M</t>
  </si>
  <si>
    <t xml:space="preserve">pfnet/plamo-embedding-1b</t>
  </si>
  <si>
    <t xml:space="preserve">pfnet</t>
  </si>
  <si>
    <t xml:space="preserve">https://huggingface.co/pfnet/plamo-embedding-1b</t>
  </si>
  <si>
    <t xml:space="preserve">huggingface/informer-tourism-monthly</t>
  </si>
  <si>
    <t xml:space="preserve">https://huggingface.co/huggingface/informer-tourism-monthly</t>
  </si>
  <si>
    <t xml:space="preserve">Kijai/flux-fp8</t>
  </si>
  <si>
    <t xml:space="preserve">https://huggingface.co/Kijai/flux-fp8</t>
  </si>
  <si>
    <t xml:space="preserve">ElnaggarLab/ankh-base</t>
  </si>
  <si>
    <t xml:space="preserve">ElnaggarLab</t>
  </si>
  <si>
    <t xml:space="preserve">https://huggingface.co/ElnaggarLab/ankh-base</t>
  </si>
  <si>
    <t xml:space="preserve">M-CLIP/XLM-Roberta-Large-Vit-B-16Plus</t>
  </si>
  <si>
    <t xml:space="preserve">M-CLIP</t>
  </si>
  <si>
    <t xml:space="preserve">https://huggingface.co/M-CLIP/XLM-Roberta-Large-Vit-B-16Plus</t>
  </si>
  <si>
    <t xml:space="preserve">uclanlp/plbart-base</t>
  </si>
  <si>
    <t xml:space="preserve">uclanlp</t>
  </si>
  <si>
    <t xml:space="preserve">https://huggingface.co/uclanlp/plbart-base</t>
  </si>
  <si>
    <t xml:space="preserve">Lykon/dreamshaper-8</t>
  </si>
  <si>
    <t xml:space="preserve">https://huggingface.co/Lykon/dreamshaper-8</t>
  </si>
  <si>
    <t xml:space="preserve">laion/larger_clap_music</t>
  </si>
  <si>
    <t xml:space="preserve">https://huggingface.co/laion/larger_clap_music</t>
  </si>
  <si>
    <t xml:space="preserve">dmis-lab/biobert-base-cased-v1.1</t>
  </si>
  <si>
    <t xml:space="preserve">https://huggingface.co/dmis-lab/biobert-base-cased-v1.1</t>
  </si>
  <si>
    <t xml:space="preserve">lerobot/smolvla_base</t>
  </si>
  <si>
    <t xml:space="preserve">lerobot</t>
  </si>
  <si>
    <t xml:space="preserve">https://huggingface.co/lerobot/smolvla_base</t>
  </si>
  <si>
    <t xml:space="preserve">peft-internal-testing/tiny-OPTForCausalLM-lora</t>
  </si>
  <si>
    <t xml:space="preserve">https://huggingface.co/peft-internal-testing/tiny-OPTForCausalLM-lora</t>
  </si>
  <si>
    <t xml:space="preserve">Kijai/MelBandRoFormer_comfy</t>
  </si>
  <si>
    <t xml:space="preserve">https://huggingface.co/Kijai/MelBandRoFormer_comfy</t>
  </si>
  <si>
    <t xml:space="preserve">trl-internal-testing/tiny-GPTNeoXForCausalLM</t>
  </si>
  <si>
    <t xml:space="preserve">https://huggingface.co/trl-internal-testing/tiny-GPTNeoXForCausalLM</t>
  </si>
  <si>
    <t xml:space="preserve">facebook/xglm-564M</t>
  </si>
  <si>
    <t xml:space="preserve">https://huggingface.co/facebook/xglm-564M</t>
  </si>
  <si>
    <t xml:space="preserve">google/rembert</t>
  </si>
  <si>
    <t xml:space="preserve">https://huggingface.co/google/rembert</t>
  </si>
  <si>
    <t xml:space="preserve">naver-clova-ix/donut-base</t>
  </si>
  <si>
    <t xml:space="preserve">naver-clova-ix</t>
  </si>
  <si>
    <t xml:space="preserve">https://huggingface.co/naver-clova-ix/donut-base</t>
  </si>
  <si>
    <t xml:space="preserve">John6666/janku-v5-nsfw-trained-noobai-rou-wei-illustrious-xl-v50-sdxl</t>
  </si>
  <si>
    <r>
      <rPr>
        <sz val="11"/>
        <color rgb="FF000000"/>
        <rFont val="Noto Sans CJK SC"/>
        <family val="2"/>
      </rPr>
      <t xml:space="preserve">移除安全護欄或攻擊、成人內容用途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生成影像、影音或語音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無防禦用途</t>
    </r>
  </si>
  <si>
    <t xml:space="preserve">G1;G6</t>
  </si>
  <si>
    <t xml:space="preserve">https://huggingface.co/John6666/janku-v5-nsfw-trained-noobai-rou-wei-illustrious-xl-v50-sdxl</t>
  </si>
  <si>
    <t xml:space="preserve">LGAI-EXAONE/EXAONE-3.5-32B-Instruct-AWQ</t>
  </si>
  <si>
    <t xml:space="preserve">https://huggingface.co/LGAI-EXAONE/EXAONE-3.5-32B-Instruct-AWQ</t>
  </si>
  <si>
    <t xml:space="preserve">stabilityai/sd-x2-latent-upscaler</t>
  </si>
  <si>
    <t xml:space="preserve">https://huggingface.co/stabilityai/sd-x2-latent-upscaler</t>
  </si>
  <si>
    <t xml:space="preserve">FacebookAI/xlm-mlm-en-2048</t>
  </si>
  <si>
    <t xml:space="preserve">https://huggingface.co/FacebookAI/xlm-mlm-en-2048</t>
  </si>
  <si>
    <t xml:space="preserve">MCG-NJU/videomae-base-finetuned-kinetics</t>
  </si>
  <si>
    <t xml:space="preserve">https://huggingface.co/MCG-NJU/videomae-base-finetuned-kinetics</t>
  </si>
  <si>
    <t xml:space="preserve">TrevorJS/gemma-4-26B-A4B-it-uncensored</t>
  </si>
  <si>
    <t xml:space="preserve">TrevorJS</t>
  </si>
  <si>
    <t xml:space="preserve">https://huggingface.co/TrevorJS/gemma-4-26B-A4B-it-uncensored</t>
  </si>
  <si>
    <t xml:space="preserve">griko/gender_cls_svm_ecapa_voxceleb</t>
  </si>
  <si>
    <t xml:space="preserve">griko</t>
  </si>
  <si>
    <t xml:space="preserve">https://huggingface.co/griko/gender_cls_svm_ecapa_voxceleb</t>
  </si>
  <si>
    <t xml:space="preserve">OpenMed/OpenMed-NER-DNADetect-EuroMed-212M</t>
  </si>
  <si>
    <t xml:space="preserve">https://huggingface.co/OpenMed/OpenMed-NER-DNADetect-EuroMed-212M</t>
  </si>
  <si>
    <t xml:space="preserve">facebook/mms-tts-bam</t>
  </si>
  <si>
    <t xml:space="preserve">https://huggingface.co/facebook/mms-tts-bam</t>
  </si>
  <si>
    <t xml:space="preserve">weiweishi/roc-bert-base-zh</t>
  </si>
  <si>
    <t xml:space="preserve">weiweishi</t>
  </si>
  <si>
    <t xml:space="preserve">https://huggingface.co/weiweishi/roc-bert-base-zh</t>
  </si>
  <si>
    <t xml:space="preserve">OpenMed/OpenMed-NER-PathologyDetect-EuroMed-212M</t>
  </si>
  <si>
    <t xml:space="preserve">https://huggingface.co/OpenMed/OpenMed-NER-PathologyDetect-EuroMed-212M</t>
  </si>
  <si>
    <t xml:space="preserve">optimum-intel-internal-testing/opt-125m</t>
  </si>
  <si>
    <t xml:space="preserve">https://huggingface.co/optimum-intel-internal-testing/opt-125m</t>
  </si>
  <si>
    <t xml:space="preserve">nvidia/NVIDIA-Nemotron-Nano-12B-v2-VL-NVFP4-QAD</t>
  </si>
  <si>
    <t xml:space="preserve">https://huggingface.co/nvidia/NVIDIA-Nemotron-Nano-12B-v2-VL-NVFP4-QAD</t>
  </si>
  <si>
    <t xml:space="preserve">jinaai/jina-clip-v1</t>
  </si>
  <si>
    <t xml:space="preserve">https://huggingface.co/jinaai/jina-clip-v1</t>
  </si>
  <si>
    <t xml:space="preserve">google/reformer-crime-and-punishment</t>
  </si>
  <si>
    <t xml:space="preserve">https://huggingface.co/google/reformer-crime-and-punishment</t>
  </si>
  <si>
    <t xml:space="preserve">optimum-intel-internal-testing/tiny-random-lfm2-moe</t>
  </si>
  <si>
    <t xml:space="preserve">https://huggingface.co/optimum-intel-internal-testing/tiny-random-lfm2-moe</t>
  </si>
  <si>
    <t xml:space="preserve">segmind/small-sd</t>
  </si>
  <si>
    <t xml:space="preserve">segmind</t>
  </si>
  <si>
    <t xml:space="preserve">https://huggingface.co/segmind/small-sd</t>
  </si>
  <si>
    <t xml:space="preserve">microsoft/skala-1.1</t>
  </si>
  <si>
    <t xml:space="preserve">https://huggingface.co/microsoft/skala-1.1</t>
  </si>
  <si>
    <t xml:space="preserve">timm/convnextv2_base.fcmae_ft_in22k_in1k</t>
  </si>
  <si>
    <t xml:space="preserve">https://huggingface.co/timm/convnextv2_base.fcmae_ft_in22k_in1k</t>
  </si>
  <si>
    <t xml:space="preserve">apple/MobileCLIP-S2-OpenCLIP</t>
  </si>
  <si>
    <t xml:space="preserve">https://huggingface.co/apple/MobileCLIP-S2-OpenCLIP</t>
  </si>
  <si>
    <t xml:space="preserve">finiteautomata/beto-sentiment-analysis</t>
  </si>
  <si>
    <t xml:space="preserve">https://huggingface.co/finiteautomata/beto-sentiment-analysis</t>
  </si>
  <si>
    <t xml:space="preserve">llmfan46/gemma-4-31B-it-uncensored-heretic-GGUF</t>
  </si>
  <si>
    <t xml:space="preserve">https://huggingface.co/llmfan46/gemma-4-31B-it-uncensored-heretic-GGUF</t>
  </si>
  <si>
    <t xml:space="preserve">susnato/clvp_dev</t>
  </si>
  <si>
    <t xml:space="preserve">susnato</t>
  </si>
  <si>
    <t xml:space="preserve">https://huggingface.co/susnato/clvp_dev</t>
  </si>
  <si>
    <t xml:space="preserve">microsoft/speecht5_asr</t>
  </si>
  <si>
    <t xml:space="preserve">https://huggingface.co/microsoft/speecht5_asr</t>
  </si>
  <si>
    <t xml:space="preserve">facebook/blenderbot_small-90M</t>
  </si>
  <si>
    <t xml:space="preserve">https://huggingface.co/facebook/blenderbot_small-90M</t>
  </si>
  <si>
    <t xml:space="preserve">lllyasviel/FramePackI2V_HY</t>
  </si>
  <si>
    <t xml:space="preserve">lllyasviel</t>
  </si>
  <si>
    <t xml:space="preserve">https://huggingface.co/lllyasviel/FramePackI2V_HY</t>
  </si>
  <si>
    <t xml:space="preserve">vinai/bartpho-syllable</t>
  </si>
  <si>
    <t xml:space="preserve">https://huggingface.co/vinai/bartpho-syllable</t>
  </si>
  <si>
    <t xml:space="preserve">HumanCompatibleAI/ppo-seals-CartPole-v0</t>
  </si>
  <si>
    <t xml:space="preserve">HumanCompatibleAI</t>
  </si>
  <si>
    <t xml:space="preserve">https://huggingface.co/HumanCompatibleAI/ppo-seals-CartPole-v0</t>
  </si>
  <si>
    <t xml:space="preserve">google/mt5-base</t>
  </si>
  <si>
    <t xml:space="preserve">https://huggingface.co/google/mt5-base</t>
  </si>
  <si>
    <t xml:space="preserve">ai9stars/Cheers</t>
  </si>
  <si>
    <t xml:space="preserve">ai9stars</t>
  </si>
  <si>
    <t xml:space="preserve">https://huggingface.co/ai9stars/Cheers</t>
  </si>
  <si>
    <t xml:space="preserve">nvidia/Nemotron-Labs-Diffusion-3B-Base</t>
  </si>
  <si>
    <t xml:space="preserve">https://huggingface.co/nvidia/Nemotron-Labs-Diffusion-3B-Base</t>
  </si>
  <si>
    <t xml:space="preserve">optimum-intel-internal-testing/tiny-random-ltx-video</t>
  </si>
  <si>
    <t xml:space="preserve">https://huggingface.co/optimum-intel-internal-testing/tiny-random-ltx-video</t>
  </si>
  <si>
    <t xml:space="preserve">paige-ai/Virchow2</t>
  </si>
  <si>
    <t xml:space="preserve">paige-ai</t>
  </si>
  <si>
    <t xml:space="preserve">https://huggingface.co/paige-ai/Virchow2</t>
  </si>
  <si>
    <t xml:space="preserve">studio-ousia/luke-base</t>
  </si>
  <si>
    <t xml:space="preserve">https://huggingface.co/studio-ousia/luke-base</t>
  </si>
  <si>
    <t xml:space="preserve">black-forest-labs/FLUX.2-klein-base-9B</t>
  </si>
  <si>
    <t xml:space="preserve">https://huggingface.co/black-forest-labs/FLUX.2-klein-base-9B</t>
  </si>
  <si>
    <t xml:space="preserve">funnel-transformer/small</t>
  </si>
  <si>
    <t xml:space="preserve">funnel-transformer</t>
  </si>
  <si>
    <t xml:space="preserve">https://huggingface.co/funnel-transformer/small</t>
  </si>
  <si>
    <t xml:space="preserve">fixie-ai/ultraVAD</t>
  </si>
  <si>
    <t xml:space="preserve">https://huggingface.co/fixie-ai/ultraVAD</t>
  </si>
  <si>
    <t xml:space="preserve">mlx-community/whisper-small-mlx</t>
  </si>
  <si>
    <t xml:space="preserve">https://huggingface.co/mlx-community/whisper-small-mlx</t>
  </si>
  <si>
    <t xml:space="preserve">naver/efficient-splade-VI-BT-large-query</t>
  </si>
  <si>
    <t xml:space="preserve">https://huggingface.co/naver/efficient-splade-VI-BT-large-query</t>
  </si>
  <si>
    <t xml:space="preserve">optimum-intel-internal-testing/tiny-random-bigbird_pegasus</t>
  </si>
  <si>
    <t xml:space="preserve">https://huggingface.co/optimum-intel-internal-testing/tiny-random-bigbird_pegasus</t>
  </si>
  <si>
    <t xml:space="preserve">microsoft/Mage-VL</t>
  </si>
  <si>
    <t xml:space="preserve">https://huggingface.co/microsoft/Mage-VL</t>
  </si>
  <si>
    <t xml:space="preserve">nvidia/llama-nemotron-embed-vl-1b-v2</t>
  </si>
  <si>
    <t xml:space="preserve">https://huggingface.co/nvidia/llama-nemotron-embed-vl-1b-v2</t>
  </si>
  <si>
    <t xml:space="preserve">jinaai/jina-embeddings-v5-text-nano-retrieval</t>
  </si>
  <si>
    <t xml:space="preserve">https://huggingface.co/jinaai/jina-embeddings-v5-text-nano-retrieval</t>
  </si>
  <si>
    <t xml:space="preserve">BridgeTower/bridgetower-large-itm-mlm-itc</t>
  </si>
  <si>
    <t xml:space="preserve">BridgeTower</t>
  </si>
  <si>
    <t xml:space="preserve">https://huggingface.co/BridgeTower/bridgetower-large-itm-mlm-itc</t>
  </si>
  <si>
    <t xml:space="preserve">OpenMed/OpenMed-NER-AnatomyDetect-EuroMed-212M</t>
  </si>
  <si>
    <t xml:space="preserve">https://huggingface.co/OpenMed/OpenMed-NER-AnatomyDetect-EuroMed-212M</t>
  </si>
  <si>
    <t xml:space="preserve">nvidia/Cosmos-Predict2-2B-Video2World</t>
  </si>
  <si>
    <t xml:space="preserve">https://huggingface.co/nvidia/Cosmos-Predict2-2B-Video2World</t>
  </si>
  <si>
    <t xml:space="preserve">nvidia/NVIDIA-Nemotron-Labs-3-Puzzle-75B-A9B-NVFP4</t>
  </si>
  <si>
    <t xml:space="preserve">https://huggingface.co/nvidia/NVIDIA-Nemotron-Labs-3-Puzzle-75B-A9B-NVFP4</t>
  </si>
  <si>
    <t xml:space="preserve">jhgan/ko-sbert-sts</t>
  </si>
  <si>
    <t xml:space="preserve">https://huggingface.co/jhgan/ko-sbert-sts</t>
  </si>
  <si>
    <t xml:space="preserve">optimum-intel-internal-testing/tiny-random-smollm3</t>
  </si>
  <si>
    <t xml:space="preserve">https://huggingface.co/optimum-intel-internal-testing/tiny-random-smollm3</t>
  </si>
  <si>
    <t xml:space="preserve">jonatasgrosman/wav2vec2-large-xlsr-53-spanish</t>
  </si>
  <si>
    <t xml:space="preserve">https://huggingface.co/jonatasgrosman/wav2vec2-large-xlsr-53-spanish</t>
  </si>
  <si>
    <t xml:space="preserve">ai4bharat/indictrans2-en-indic-dist-200M</t>
  </si>
  <si>
    <t xml:space="preserve">https://huggingface.co/ai4bharat/indictrans2-en-indic-dist-200M</t>
  </si>
  <si>
    <t xml:space="preserve">Salesforce/moirai-1.1-R-small</t>
  </si>
  <si>
    <t xml:space="preserve">https://huggingface.co/Salesforce/moirai-1.1-R-small</t>
  </si>
  <si>
    <t xml:space="preserve">peft-internal-testing/tiny-random-ResNetForImageClassification</t>
  </si>
  <si>
    <t xml:space="preserve">https://huggingface.co/peft-internal-testing/tiny-random-ResNetForImageClassification</t>
  </si>
  <si>
    <t xml:space="preserve">facebook/deit-tiny-patch16-224</t>
  </si>
  <si>
    <t xml:space="preserve">https://huggingface.co/facebook/deit-tiny-patch16-224</t>
  </si>
  <si>
    <t xml:space="preserve">timm/convnextv2_pico.fcmae_ft_in1k</t>
  </si>
  <si>
    <t xml:space="preserve">https://huggingface.co/timm/convnextv2_pico.fcmae_ft_in1k</t>
  </si>
  <si>
    <t xml:space="preserve">vinai/phobert-base-v2</t>
  </si>
  <si>
    <t xml:space="preserve">https://huggingface.co/vinai/phobert-base-v2</t>
  </si>
  <si>
    <t xml:space="preserve">OpenMed/OpenMed-NER-OncologyDetect-EuroMed-212M</t>
  </si>
  <si>
    <t xml:space="preserve">https://huggingface.co/OpenMed/OpenMed-NER-OncologyDetect-EuroMed-212M</t>
  </si>
  <si>
    <t xml:space="preserve">facebook/blenderbot-3B</t>
  </si>
  <si>
    <t xml:space="preserve">https://huggingface.co/facebook/blenderbot-3B</t>
  </si>
  <si>
    <t xml:space="preserve">myshell-ai/MeloTTS-Korean</t>
  </si>
  <si>
    <t xml:space="preserve">https://huggingface.co/myshell-ai/MeloTTS-Korean</t>
  </si>
  <si>
    <t xml:space="preserve">Synaptics/yolov26n_od</t>
  </si>
  <si>
    <t xml:space="preserve">https://huggingface.co/Synaptics/yolov26n_od</t>
  </si>
  <si>
    <t xml:space="preserve">scragnog/YuE2-GGUF</t>
  </si>
  <si>
    <t xml:space="preserve">https://huggingface.co/scragnog/YuE2-GGUF</t>
  </si>
  <si>
    <t xml:space="preserve">OnomaAIResearch/Illustrious-xl-early-release-v0</t>
  </si>
  <si>
    <t xml:space="preserve">OnomaAIResearch</t>
  </si>
  <si>
    <t xml:space="preserve">https://huggingface.co/OnomaAIResearch/Illustrious-xl-early-release-v0</t>
  </si>
  <si>
    <t xml:space="preserve">mlx-community/whisper-large-v3-mlx</t>
  </si>
  <si>
    <t xml:space="preserve">https://huggingface.co/mlx-community/whisper-large-v3-mlx</t>
  </si>
  <si>
    <t xml:space="preserve">JungleLee/bert-toxic-comment-classification</t>
  </si>
  <si>
    <t xml:space="preserve">JungleLee</t>
  </si>
  <si>
    <t xml:space="preserve">https://huggingface.co/JungleLee/bert-toxic-comment-classification</t>
  </si>
  <si>
    <t xml:space="preserve">BioMistral/BioMistral-7B</t>
  </si>
  <si>
    <t xml:space="preserve">BioMistral</t>
  </si>
  <si>
    <t xml:space="preserve">https://huggingface.co/BioMistral/BioMistral-7B</t>
  </si>
  <si>
    <t xml:space="preserve">OpenMed/OpenMed-ZeroShot-NER-Disease-Multi-209M</t>
  </si>
  <si>
    <t xml:space="preserve">https://huggingface.co/OpenMed/OpenMed-ZeroShot-NER-Disease-Multi-209M</t>
  </si>
  <si>
    <t xml:space="preserve">google/bert_for_seq_generation_L-24_bbc_encoder</t>
  </si>
  <si>
    <t xml:space="preserve">https://huggingface.co/google/bert_for_seq_generation_L-24_bbc_encoder</t>
  </si>
  <si>
    <t xml:space="preserve">software-mansion/react-native-executorch-kokoro</t>
  </si>
  <si>
    <t xml:space="preserve">https://huggingface.co/software-mansion/react-native-executorch-kokoro</t>
  </si>
  <si>
    <t xml:space="preserve">Jzuluaga/accent-id-commonaccent_ecapa</t>
  </si>
  <si>
    <t xml:space="preserve">Jzuluaga</t>
  </si>
  <si>
    <t xml:space="preserve">https://huggingface.co/Jzuluaga/accent-id-commonaccent_ecapa</t>
  </si>
  <si>
    <t xml:space="preserve">trl-internal-testing/tiny-Lfm2ForCausalLM</t>
  </si>
  <si>
    <t xml:space="preserve">https://huggingface.co/trl-internal-testing/tiny-Lfm2ForCausalLM</t>
  </si>
  <si>
    <t xml:space="preserve">nvidia/mit-b0</t>
  </si>
  <si>
    <t xml:space="preserve">https://huggingface.co/nvidia/mit-b0</t>
  </si>
  <si>
    <t xml:space="preserve">stas/tiny-wmt19-en-de</t>
  </si>
  <si>
    <t xml:space="preserve">stas</t>
  </si>
  <si>
    <t xml:space="preserve">https://huggingface.co/stas/tiny-wmt19-en-de</t>
  </si>
  <si>
    <t xml:space="preserve">Salesforce/moirai-1.0-R-small</t>
  </si>
  <si>
    <t xml:space="preserve">https://huggingface.co/Salesforce/moirai-1.0-R-small</t>
  </si>
  <si>
    <t xml:space="preserve">tau/splinter-base</t>
  </si>
  <si>
    <t xml:space="preserve">tau</t>
  </si>
  <si>
    <t xml:space="preserve">https://huggingface.co/tau/splinter-base</t>
  </si>
  <si>
    <t xml:space="preserve">vibhorag101/roberta-base-suicide-prediction-phr</t>
  </si>
  <si>
    <t xml:space="preserve">vibhorag101</t>
  </si>
  <si>
    <t xml:space="preserve">https://huggingface.co/vibhorag101/roberta-base-suicide-prediction-phr</t>
  </si>
  <si>
    <t xml:space="preserve">Babelscape/rebel-large</t>
  </si>
  <si>
    <t xml:space="preserve">https://huggingface.co/Babelscape/rebel-large</t>
  </si>
  <si>
    <t xml:space="preserve">embaas/sentence-transformers-e5-large-v2</t>
  </si>
  <si>
    <t xml:space="preserve">embaas</t>
  </si>
  <si>
    <t xml:space="preserve">https://huggingface.co/embaas/sentence-transformers-e5-large-v2</t>
  </si>
  <si>
    <t xml:space="preserve">Systran/faster-whisper-medium.en</t>
  </si>
  <si>
    <t xml:space="preserve">https://huggingface.co/Systran/faster-whisper-medium.en</t>
  </si>
  <si>
    <t xml:space="preserve">dmis-lab/biobert-base-cased-v1.2</t>
  </si>
  <si>
    <t xml:space="preserve">https://huggingface.co/dmis-lab/biobert-base-cased-v1.2</t>
  </si>
  <si>
    <t xml:space="preserve">abeja/gpt-neox-japanese-2.7b</t>
  </si>
  <si>
    <t xml:space="preserve">abeja</t>
  </si>
  <si>
    <t xml:space="preserve">https://huggingface.co/abeja/gpt-neox-japanese-2.7b</t>
  </si>
  <si>
    <t xml:space="preserve">audeering/wav2vec2-large-robust-6-ft-age-gender</t>
  </si>
  <si>
    <t xml:space="preserve">https://huggingface.co/audeering/wav2vec2-large-robust-6-ft-age-gender</t>
  </si>
  <si>
    <t xml:space="preserve">sarvamai/sarvam-30b</t>
  </si>
  <si>
    <t xml:space="preserve">https://huggingface.co/sarvamai/sarvam-30b</t>
  </si>
  <si>
    <t xml:space="preserve">l3cube-pune/telugu-sentence-bert-nli</t>
  </si>
  <si>
    <t xml:space="preserve">https://huggingface.co/l3cube-pune/telugu-sentence-bert-nli</t>
  </si>
  <si>
    <t xml:space="preserve">junnyu/roformer_chinese_small</t>
  </si>
  <si>
    <t xml:space="preserve">junnyu</t>
  </si>
  <si>
    <t xml:space="preserve">https://huggingface.co/junnyu/roformer_chinese_small</t>
  </si>
  <si>
    <t xml:space="preserve">optimum-intel-internal-testing/tiny-random-granitemoehybrid</t>
  </si>
  <si>
    <t xml:space="preserve">https://huggingface.co/optimum-intel-internal-testing/tiny-random-granitemoehybrid</t>
  </si>
  <si>
    <t xml:space="preserve">google/vit-large-patch16-224</t>
  </si>
  <si>
    <t xml:space="preserve">https://huggingface.co/google/vit-large-patch16-224</t>
  </si>
  <si>
    <t xml:space="preserve">UBC-NLP/MARBERTv2</t>
  </si>
  <si>
    <t xml:space="preserve">UBC-NLP</t>
  </si>
  <si>
    <t xml:space="preserve">https://huggingface.co/UBC-NLP/MARBERTv2</t>
  </si>
  <si>
    <t xml:space="preserve">llmfan46/gemma-4-E4B-it-ultra-uncensored-heretic-GGUF</t>
  </si>
  <si>
    <t xml:space="preserve">https://huggingface.co/llmfan46/gemma-4-E4B-it-ultra-uncensored-heretic-GGUF</t>
  </si>
  <si>
    <t xml:space="preserve">lmsys/vicuna-7b-v1.5</t>
  </si>
  <si>
    <t xml:space="preserve">https://huggingface.co/lmsys/vicuna-7b-v1.5</t>
  </si>
  <si>
    <t xml:space="preserve">trl-internal-testing/tiny-T5ForConditionalGeneration</t>
  </si>
  <si>
    <t xml:space="preserve">https://huggingface.co/trl-internal-testing/tiny-T5ForConditionalGeneration</t>
  </si>
  <si>
    <t xml:space="preserve">black-forest-labs/FLUX.2-klein-base-4b-fp8</t>
  </si>
  <si>
    <t xml:space="preserve">https://huggingface.co/black-forest-labs/FLUX.2-klein-base-4b-fp8</t>
  </si>
  <si>
    <t xml:space="preserve">OpenMed/OpenMed-NER-ProteinDetect-EuroMed-212M</t>
  </si>
  <si>
    <t xml:space="preserve">https://huggingface.co/OpenMed/OpenMed-NER-ProteinDetect-EuroMed-212M</t>
  </si>
  <si>
    <t xml:space="preserve">unsloth/Phi-4-mini-instruct-GGUF</t>
  </si>
  <si>
    <t xml:space="preserve">https://huggingface.co/unsloth/Phi-4-mini-instruct-GGUF</t>
  </si>
  <si>
    <t xml:space="preserve">hiaoxui/sembscore</t>
  </si>
  <si>
    <t xml:space="preserve">hiaoxui</t>
  </si>
  <si>
    <t xml:space="preserve">https://huggingface.co/hiaoxui/sembscore</t>
  </si>
  <si>
    <t xml:space="preserve">trl-internal-testing/tiny-Phi3ForCausalLM</t>
  </si>
  <si>
    <t xml:space="preserve">https://huggingface.co/trl-internal-testing/tiny-Phi3ForCausalLM</t>
  </si>
  <si>
    <t xml:space="preserve">keepitreal/vietnamese-sbert</t>
  </si>
  <si>
    <t xml:space="preserve">keepitreal</t>
  </si>
  <si>
    <t xml:space="preserve">https://huggingface.co/keepitreal/vietnamese-sbert</t>
  </si>
  <si>
    <t xml:space="preserve">moussaKam/mbarthez</t>
  </si>
  <si>
    <t xml:space="preserve">moussaKam</t>
  </si>
  <si>
    <t xml:space="preserve">https://huggingface.co/moussaKam/mbarthez</t>
  </si>
  <si>
    <t xml:space="preserve">Anzhc/Anzhcs_YOLOs</t>
  </si>
  <si>
    <t xml:space="preserve">https://huggingface.co/Anzhc/Anzhcs_YOLOs</t>
  </si>
  <si>
    <t xml:space="preserve">MahmoodLab/UNI</t>
  </si>
  <si>
    <t xml:space="preserve">https://huggingface.co/MahmoodLab/UNI</t>
  </si>
  <si>
    <t xml:space="preserve">optimum-intel-internal-testing/pix2struct-tiny-random</t>
  </si>
  <si>
    <t xml:space="preserve">https://huggingface.co/optimum-intel-internal-testing/pix2struct-tiny-random</t>
  </si>
  <si>
    <t xml:space="preserve">optimum-intel-internal-testing/tiny-falcon-mamba</t>
  </si>
  <si>
    <t xml:space="preserve">https://huggingface.co/optimum-intel-internal-testing/tiny-falcon-mamba</t>
  </si>
  <si>
    <t xml:space="preserve">OpenMed/OpenMed-ZeroShot-NER-Disease-Large-459M</t>
  </si>
  <si>
    <t xml:space="preserve">https://huggingface.co/OpenMed/OpenMed-ZeroShot-NER-Disease-Large-459M</t>
  </si>
  <si>
    <t xml:space="preserve">OpenMuQ/MuQ-MuLan-large</t>
  </si>
  <si>
    <t xml:space="preserve">https://huggingface.co/OpenMuQ/MuQ-MuLan-large</t>
  </si>
  <si>
    <t xml:space="preserve">dphn/Dolphin3.0-Llama3.1-8B</t>
  </si>
  <si>
    <t xml:space="preserve">https://huggingface.co/dphn/Dolphin3.0-Llama3.1-8B</t>
  </si>
  <si>
    <t xml:space="preserve">nvidia/segformer-b3-finetuned-ade-512-512</t>
  </si>
  <si>
    <t xml:space="preserve">https://huggingface.co/nvidia/segformer-b3-finetuned-ade-512-512</t>
  </si>
  <si>
    <t xml:space="preserve">Comfy-Org/PixelDiT</t>
  </si>
  <si>
    <t xml:space="preserve">https://huggingface.co/Comfy-Org/PixelDiT</t>
  </si>
  <si>
    <t xml:space="preserve">nvidia/llama-nemotron-rerank-vl-1b-v2</t>
  </si>
  <si>
    <t xml:space="preserve">https://huggingface.co/nvidia/llama-nemotron-rerank-vl-1b-v2</t>
  </si>
  <si>
    <t xml:space="preserve">ayameRushia/bert-base-indonesian-1.5G-sentiment-analysis-smsa</t>
  </si>
  <si>
    <t xml:space="preserve">ayameRushia</t>
  </si>
  <si>
    <t xml:space="preserve">https://huggingface.co/ayameRushia/bert-base-indonesian-1.5G-sentiment-analysis-smsa</t>
  </si>
  <si>
    <t xml:space="preserve">stablediffusionapi/juggernaut-reborn</t>
  </si>
  <si>
    <t xml:space="preserve">https://huggingface.co/stablediffusionapi/juggernaut-reborn</t>
  </si>
  <si>
    <t xml:space="preserve">ckiplab/albert-tiny-chinese-ws</t>
  </si>
  <si>
    <t xml:space="preserve">ckiplab</t>
  </si>
  <si>
    <t xml:space="preserve">https://huggingface.co/ckiplab/albert-tiny-chinese-ws</t>
  </si>
  <si>
    <t xml:space="preserve">kykim/bert-kor-base</t>
  </si>
  <si>
    <t xml:space="preserve">https://huggingface.co/kykim/bert-kor-base</t>
  </si>
  <si>
    <t xml:space="preserve">tohoku-nlp/bert-base-japanese-v3</t>
  </si>
  <si>
    <t xml:space="preserve">https://huggingface.co/tohoku-nlp/bert-base-japanese-v3</t>
  </si>
  <si>
    <t xml:space="preserve">SakuraLLM/Sakura-GalTransl-7B-v3.7</t>
  </si>
  <si>
    <t xml:space="preserve">SakuraLLM</t>
  </si>
  <si>
    <t xml:space="preserve">https://huggingface.co/SakuraLLM/Sakura-GalTransl-7B-v3.7</t>
  </si>
  <si>
    <t xml:space="preserve">SAP/sap-rpt-1-oss</t>
  </si>
  <si>
    <t xml:space="preserve">SAP</t>
  </si>
  <si>
    <t xml:space="preserve">https://huggingface.co/SAP/sap-rpt-1-oss</t>
  </si>
  <si>
    <t xml:space="preserve">krea/Krea-2-Turbo</t>
  </si>
  <si>
    <t xml:space="preserve">krea</t>
  </si>
  <si>
    <t xml:space="preserve">https://huggingface.co/krea/Krea-2-Turbo</t>
  </si>
  <si>
    <t xml:space="preserve">mradermacher/Llama3.3-8B-Instruct-Thinking-Heretic-Uncensored-Claude-4.5-Opus-High-Reasoning-i1-GGUF</t>
  </si>
  <si>
    <t xml:space="preserve">https://huggingface.co/mradermacher/Llama3.3-8B-Instruct-Thinking-Heretic-Uncensored-Claude-4.5-Opus-High-Reasoning-i1-GGUF</t>
  </si>
  <si>
    <t xml:space="preserve">OpenMOSS-Team/MOSS-TTS-Local-Transformer-v1.5</t>
  </si>
  <si>
    <t xml:space="preserve">https://huggingface.co/OpenMOSS-Team/MOSS-TTS-Local-Transformer-v1.5</t>
  </si>
  <si>
    <t xml:space="preserve">T5B/Z-Image-Turbo-FP8</t>
  </si>
  <si>
    <t xml:space="preserve">T5B</t>
  </si>
  <si>
    <t xml:space="preserve">https://huggingface.co/T5B/Z-Image-Turbo-FP8</t>
  </si>
  <si>
    <t xml:space="preserve">valentinafevu/yolos-fashionpedia</t>
  </si>
  <si>
    <t xml:space="preserve">valentinafevu</t>
  </si>
  <si>
    <t xml:space="preserve">https://huggingface.co/valentinafevu/yolos-fashionpedia</t>
  </si>
  <si>
    <t xml:space="preserve">optimum-intel-internal-testing/tiny-mamba</t>
  </si>
  <si>
    <t xml:space="preserve">https://huggingface.co/optimum-intel-internal-testing/tiny-mamba</t>
  </si>
  <si>
    <t xml:space="preserve">rhasspy/faster-whisper-medium-int8</t>
  </si>
  <si>
    <t xml:space="preserve">https://huggingface.co/rhasspy/faster-whisper-medium-int8</t>
  </si>
  <si>
    <t xml:space="preserve">Comfy-Org/Mage-Flow</t>
  </si>
  <si>
    <t xml:space="preserve">https://huggingface.co/Comfy-Org/Mage-Flow</t>
  </si>
  <si>
    <t xml:space="preserve">optimum-intel-internal-testing/tiny-random-mbart</t>
  </si>
  <si>
    <t xml:space="preserve">https://huggingface.co/optimum-intel-internal-testing/tiny-random-mbart</t>
  </si>
  <si>
    <t xml:space="preserve">John6666/obsession-illustriousxl-v10-sdxl</t>
  </si>
  <si>
    <t xml:space="preserve">https://huggingface.co/John6666/obsession-illustriousxl-v10-sdxl</t>
  </si>
  <si>
    <t xml:space="preserve">nielsr/canine-s</t>
  </si>
  <si>
    <t xml:space="preserve">https://huggingface.co/nielsr/canine-s</t>
  </si>
  <si>
    <t xml:space="preserve">anton-l/wav2vec2-large-xlsr-53-mongolian</t>
  </si>
  <si>
    <t xml:space="preserve">https://huggingface.co/anton-l/wav2vec2-large-xlsr-53-mongolian</t>
  </si>
  <si>
    <t xml:space="preserve">facebook/tribev2</t>
  </si>
  <si>
    <t xml:space="preserve">https://huggingface.co/facebook/tribev2</t>
  </si>
  <si>
    <t xml:space="preserve">ckiplab/bert-base-chinese-ws</t>
  </si>
  <si>
    <t xml:space="preserve">https://huggingface.co/ckiplab/bert-base-chinese-ws</t>
  </si>
  <si>
    <t xml:space="preserve">microsoft/speecht5_tts</t>
  </si>
  <si>
    <t xml:space="preserve">https://huggingface.co/microsoft/speecht5_tts</t>
  </si>
  <si>
    <t xml:space="preserve">facebook/wav2vec2-large-es-voxpopuli</t>
  </si>
  <si>
    <t xml:space="preserve">https://huggingface.co/facebook/wav2vec2-large-es-voxpopuli</t>
  </si>
  <si>
    <t xml:space="preserve">biohub/ESMC-300M</t>
  </si>
  <si>
    <t xml:space="preserve">https://huggingface.co/biohub/ESMC-300M</t>
  </si>
  <si>
    <t xml:space="preserve">Leilab/gender_class</t>
  </si>
  <si>
    <t xml:space="preserve">Leilab</t>
  </si>
  <si>
    <t xml:space="preserve">https://huggingface.co/Leilab/gender_class</t>
  </si>
  <si>
    <t xml:space="preserve">naver-hyperclovax/HyperCLOVAX-SEED-Vision-Instruct-3B</t>
  </si>
  <si>
    <t xml:space="preserve">https://huggingface.co/naver-hyperclovax/HyperCLOVAX-SEED-Vision-Instruct-3B</t>
  </si>
  <si>
    <t xml:space="preserve">krpraveen/sanskrit-en-custom-transformer</t>
  </si>
  <si>
    <t xml:space="preserve">krpraveen</t>
  </si>
  <si>
    <t xml:space="preserve">https://huggingface.co/krpraveen/sanskrit-en-custom-transformer</t>
  </si>
  <si>
    <t xml:space="preserve">latent-consistency/lcm-lora-sdv1-5</t>
  </si>
  <si>
    <t xml:space="preserve">latent-consistency</t>
  </si>
  <si>
    <t xml:space="preserve">https://huggingface.co/latent-consistency/lcm-lora-sdv1-5</t>
  </si>
  <si>
    <t xml:space="preserve">cagliostrolab/animagine-xl-3.0</t>
  </si>
  <si>
    <t xml:space="preserve">https://huggingface.co/cagliostrolab/animagine-xl-3.0</t>
  </si>
  <si>
    <t xml:space="preserve">ckiplab/bert-base-chinese-ner</t>
  </si>
  <si>
    <t xml:space="preserve">https://huggingface.co/ckiplab/bert-base-chinese-ner</t>
  </si>
  <si>
    <t xml:space="preserve">tohoku-nlp/bert-large-japanese-v2</t>
  </si>
  <si>
    <t xml:space="preserve">https://huggingface.co/tohoku-nlp/bert-large-japanese-v2</t>
  </si>
  <si>
    <t xml:space="preserve">microsoft/layoutlmv3-large</t>
  </si>
  <si>
    <t xml:space="preserve">https://huggingface.co/microsoft/layoutlmv3-large</t>
  </si>
  <si>
    <t xml:space="preserve">nreimers/mmarco-mMiniLMv2-L6-H384-v1</t>
  </si>
  <si>
    <t xml:space="preserve">https://huggingface.co/nreimers/mmarco-mMiniLMv2-L6-H384-v1</t>
  </si>
  <si>
    <t xml:space="preserve">Jonjew/GetphatFLUXRealityNSFW</t>
  </si>
  <si>
    <t xml:space="preserve">Jonjew</t>
  </si>
  <si>
    <t xml:space="preserve">https://huggingface.co/Jonjew/GetphatFLUXRealityNSFW</t>
  </si>
  <si>
    <t xml:space="preserve">superb/wav2vec2-base-superb-er</t>
  </si>
  <si>
    <t xml:space="preserve">superb</t>
  </si>
  <si>
    <t xml:space="preserve">https://huggingface.co/superb/wav2vec2-base-superb-er</t>
  </si>
  <si>
    <t xml:space="preserve">dandelin/vilt-b32-finetuned-vqa</t>
  </si>
  <si>
    <t xml:space="preserve">dandelin</t>
  </si>
  <si>
    <t xml:space="preserve">https://huggingface.co/dandelin/vilt-b32-finetuned-vqa</t>
  </si>
  <si>
    <t xml:space="preserve">MahmoodLab/CONCH</t>
  </si>
  <si>
    <t xml:space="preserve">https://huggingface.co/MahmoodLab/CONCH</t>
  </si>
  <si>
    <t xml:space="preserve">jbetker/wav2vec2-large-robust-ft-libritts-voxpopuli</t>
  </si>
  <si>
    <t xml:space="preserve">jbetker</t>
  </si>
  <si>
    <t xml:space="preserve">https://huggingface.co/jbetker/wav2vec2-large-robust-ft-libritts-voxpopuli</t>
  </si>
  <si>
    <t xml:space="preserve">krea/Krea-2-Raw</t>
  </si>
  <si>
    <t xml:space="preserve">https://huggingface.co/krea/Krea-2-Raw</t>
  </si>
  <si>
    <t xml:space="preserve">padmajabfrl/Gender-Classification</t>
  </si>
  <si>
    <t xml:space="preserve">padmajabfrl</t>
  </si>
  <si>
    <t xml:space="preserve">https://huggingface.co/padmajabfrl/Gender-Classification</t>
  </si>
  <si>
    <t xml:space="preserve">canopylabs/orpheus-3b-0.1-ft</t>
  </si>
  <si>
    <t xml:space="preserve">canopylabs</t>
  </si>
  <si>
    <t xml:space="preserve">https://huggingface.co/canopylabs/orpheus-3b-0.1-ft</t>
  </si>
  <si>
    <t xml:space="preserve">stabilityai/stable-diffusion-3-medium-diffusers</t>
  </si>
  <si>
    <t xml:space="preserve">https://huggingface.co/stabilityai/stable-diffusion-3-medium-diffusers</t>
  </si>
  <si>
    <t xml:space="preserve">pysentimiento/bert-it-sentiment</t>
  </si>
  <si>
    <t xml:space="preserve">https://huggingface.co/pysentimiento/bert-it-sentiment</t>
  </si>
  <si>
    <t xml:space="preserve">s-nlp/roberta-base-formality-ranker</t>
  </si>
  <si>
    <t xml:space="preserve">https://huggingface.co/s-nlp/roberta-base-formality-ranker</t>
  </si>
  <si>
    <t xml:space="preserve">SexGod1979/PinkCherry_NSFW_LTX23</t>
  </si>
  <si>
    <t xml:space="preserve">SexGod1979</t>
  </si>
  <si>
    <t xml:space="preserve">https://huggingface.co/SexGod1979/PinkCherry_NSFW_LTX23</t>
  </si>
  <si>
    <t xml:space="preserve">jinaai/jina-colbert-v1-en</t>
  </si>
  <si>
    <t xml:space="preserve">https://huggingface.co/jinaai/jina-colbert-v1-en</t>
  </si>
  <si>
    <t xml:space="preserve">jeffcookio/gemma-3-12b-it-abliterated-gptqmodel-4b-128g</t>
  </si>
  <si>
    <t xml:space="preserve">https://huggingface.co/jeffcookio/gemma-3-12b-it-abliterated-gptqmodel-4b-128g</t>
  </si>
  <si>
    <t xml:space="preserve">nickmuchi/finbert-tone-finetuned-finance-topic-classification</t>
  </si>
  <si>
    <t xml:space="preserve">nickmuchi</t>
  </si>
  <si>
    <t xml:space="preserve">https://huggingface.co/nickmuchi/finbert-tone-finetuned-finance-topic-classification</t>
  </si>
  <si>
    <t xml:space="preserve">OpenVINO/Phi-3.5-vision-instruct-int8-ov</t>
  </si>
  <si>
    <t xml:space="preserve">OpenVINO</t>
  </si>
  <si>
    <t xml:space="preserve">https://huggingface.co/OpenVINO/Phi-3.5-vision-instruct-int8-ov</t>
  </si>
  <si>
    <t xml:space="preserve">Comfy-Org/Boogu-Image</t>
  </si>
  <si>
    <t xml:space="preserve">https://huggingface.co/Comfy-Org/Boogu-Image</t>
  </si>
  <si>
    <t xml:space="preserve">CohereLabs/aya-vision-8b</t>
  </si>
  <si>
    <t xml:space="preserve">https://huggingface.co/CohereLabs/aya-vision-8b</t>
  </si>
  <si>
    <t xml:space="preserve">Synthefy/Nori-30M</t>
  </si>
  <si>
    <t xml:space="preserve">https://huggingface.co/Synthefy/Nori-30M</t>
  </si>
  <si>
    <t xml:space="preserve">Synthyra/Profluent-E1-300M</t>
  </si>
  <si>
    <t xml:space="preserve">Synthyra</t>
  </si>
  <si>
    <t xml:space="preserve">https://huggingface.co/Synthyra/Profluent-E1-300M</t>
  </si>
  <si>
    <t xml:space="preserve">aipib/Florence-2-VQAJP2</t>
  </si>
  <si>
    <t xml:space="preserve">aipib</t>
  </si>
  <si>
    <t xml:space="preserve">https://huggingface.co/aipib/Florence-2-VQAJP2</t>
  </si>
  <si>
    <t xml:space="preserve">laion/CLIP-ViT-B-32-xlm-roberta-base-laion5B-s13B-b90k</t>
  </si>
  <si>
    <t xml:space="preserve">https://huggingface.co/laion/CLIP-ViT-B-32-xlm-roberta-base-laion5B-s13B-b90k</t>
  </si>
  <si>
    <t xml:space="preserve">optimum-intel-internal-testing/tiny-random-Phi3ForCausalLM</t>
  </si>
  <si>
    <t xml:space="preserve">https://huggingface.co/optimum-intel-internal-testing/tiny-random-Phi3ForCausalLM</t>
  </si>
  <si>
    <t xml:space="preserve">llmfan46/gemma-4-Ortenzya-The-Creative-Wordsmith-31B-it-uncensored-heretic-GGUF</t>
  </si>
  <si>
    <t xml:space="preserve">https://huggingface.co/llmfan46/gemma-4-Ortenzya-The-Creative-Wordsmith-31B-it-uncensored-heretic-GGUF</t>
  </si>
  <si>
    <t xml:space="preserve">OpenMed/OpenMed-ZeroShot-NER-Disease-Medium-209M</t>
  </si>
  <si>
    <t xml:space="preserve">https://huggingface.co/OpenMed/OpenMed-ZeroShot-NER-Disease-Medium-209M</t>
  </si>
  <si>
    <t xml:space="preserve">pnnbao-ump/VieNeu-TTS-0.3B-q4-gguf</t>
  </si>
  <si>
    <t xml:space="preserve">https://huggingface.co/pnnbao-ump/VieNeu-TTS-0.3B-q4-gguf</t>
  </si>
  <si>
    <t xml:space="preserve">optimum-intel-internal-testing/tiny-random-GPTBigCodeModel</t>
  </si>
  <si>
    <t xml:space="preserve">https://huggingface.co/optimum-intel-internal-testing/tiny-random-GPTBigCodeModel</t>
  </si>
  <si>
    <t xml:space="preserve">Misha24-10/F5-TTS_RUSSIAN</t>
  </si>
  <si>
    <t xml:space="preserve">Misha24-10</t>
  </si>
  <si>
    <t xml:space="preserve">https://huggingface.co/Misha24-10/F5-TTS_RUSSIAN</t>
  </si>
  <si>
    <t xml:space="preserve">tiiuae/falcon-7b-instruct</t>
  </si>
  <si>
    <t xml:space="preserve">https://huggingface.co/tiiuae/falcon-7b-instruct</t>
  </si>
  <si>
    <t xml:space="preserve">optimum-intel-internal-testing/tiny-random-maira2</t>
  </si>
  <si>
    <t xml:space="preserve">https://huggingface.co/optimum-intel-internal-testing/tiny-random-maira2</t>
  </si>
  <si>
    <t xml:space="preserve">peft-internal-testing/tiny-random-BertModel</t>
  </si>
  <si>
    <t xml:space="preserve">https://huggingface.co/peft-internal-testing/tiny-random-BertModel</t>
  </si>
  <si>
    <t xml:space="preserve">madebyollin/taesd</t>
  </si>
  <si>
    <t xml:space="preserve">https://huggingface.co/madebyollin/taesd</t>
  </si>
  <si>
    <t xml:space="preserve">trl-internal-testing/tiny-LlamaForSequenceClassification-3.2</t>
  </si>
  <si>
    <t xml:space="preserve">https://huggingface.co/trl-internal-testing/tiny-LlamaForSequenceClassification-3.2</t>
  </si>
  <si>
    <t xml:space="preserve">trl-internal-testing/tiny-Lfm2ForCausalLM-2.5</t>
  </si>
  <si>
    <t xml:space="preserve">https://huggingface.co/trl-internal-testing/tiny-Lfm2ForCausalLM-2.5</t>
  </si>
  <si>
    <t xml:space="preserve">tomaarsen/span-marker-mbert-base-multinerd</t>
  </si>
  <si>
    <t xml:space="preserve">https://huggingface.co/tomaarsen/span-marker-mbert-base-multinerd</t>
  </si>
  <si>
    <t xml:space="preserve">Snowflake/snowflake-arctic-embed-m-long</t>
  </si>
  <si>
    <t xml:space="preserve">https://huggingface.co/Snowflake/snowflake-arctic-embed-m-long</t>
  </si>
  <si>
    <t xml:space="preserve">BVRA/MegaDescriptor-T-224</t>
  </si>
  <si>
    <t xml:space="preserve">BVRA</t>
  </si>
  <si>
    <t xml:space="preserve">https://huggingface.co/BVRA/MegaDescriptor-T-224</t>
  </si>
  <si>
    <t xml:space="preserve">optimum-intel-internal-testing/tiny-random-sana</t>
  </si>
  <si>
    <t xml:space="preserve">https://huggingface.co/optimum-intel-internal-testing/tiny-random-sana</t>
  </si>
  <si>
    <t xml:space="preserve">nvidia/diar_sortformer_4spk-v1</t>
  </si>
  <si>
    <t xml:space="preserve">https://huggingface.co/nvidia/diar_sortformer_4spk-v1</t>
  </si>
  <si>
    <t xml:space="preserve">hunkim/sentence-transformer-klue</t>
  </si>
  <si>
    <t xml:space="preserve">hunkim</t>
  </si>
  <si>
    <t xml:space="preserve">https://huggingface.co/hunkim/sentence-transformer-klue</t>
  </si>
  <si>
    <t xml:space="preserve">https://huggingface.co/microsoft/deberta-v3-xsmall</t>
  </si>
  <si>
    <t xml:space="preserve">cardiffnlp/twitter-roberta-base-emotion</t>
  </si>
  <si>
    <t xml:space="preserve">https://huggingface.co/cardiffnlp/twitter-roberta-base-emotion</t>
  </si>
  <si>
    <t xml:space="preserve">kernels-community/triton-layer-norm</t>
  </si>
  <si>
    <t xml:space="preserve">https://huggingface.co/kernels-community/triton-layer-norm</t>
  </si>
  <si>
    <t xml:space="preserve">nvidia/diar_streaming_sortformer_4spk-v2.1</t>
  </si>
  <si>
    <t xml:space="preserve">https://huggingface.co/nvidia/diar_streaming_sortformer_4spk-v2.1</t>
  </si>
  <si>
    <t xml:space="preserve">apple/DFN5B-CLIP-ViT-H-14</t>
  </si>
  <si>
    <t xml:space="preserve">https://huggingface.co/apple/DFN5B-CLIP-ViT-H-14</t>
  </si>
  <si>
    <t xml:space="preserve">flair/ner-english-large</t>
  </si>
  <si>
    <t xml:space="preserve">https://huggingface.co/flair/ner-english-large</t>
  </si>
  <si>
    <t xml:space="preserve">Comfy-Org/stable-audio-3</t>
  </si>
  <si>
    <t xml:space="preserve">https://huggingface.co/Comfy-Org/stable-audio-3</t>
  </si>
  <si>
    <t xml:space="preserve">John6666/prefect-illustrious-xl-v3-sdxl</t>
  </si>
  <si>
    <t xml:space="preserve">https://huggingface.co/John6666/prefect-illustrious-xl-v3-sdxl</t>
  </si>
  <si>
    <t xml:space="preserve">nvidia/NV-Embed-v2</t>
  </si>
  <si>
    <t xml:space="preserve">https://huggingface.co/nvidia/NV-Embed-v2</t>
  </si>
  <si>
    <t xml:space="preserve">nvidia/GR00T-N1.7-3B</t>
  </si>
  <si>
    <t xml:space="preserve">https://huggingface.co/nvidia/GR00T-N1.7-3B</t>
  </si>
  <si>
    <t xml:space="preserve">cyberagent/open-calm-3b</t>
  </si>
  <si>
    <t xml:space="preserve">cyberagent</t>
  </si>
  <si>
    <t xml:space="preserve">https://huggingface.co/cyberagent/open-calm-3b</t>
  </si>
  <si>
    <t xml:space="preserve">nlpaueb/bert-base-uncased-contracts</t>
  </si>
  <si>
    <t xml:space="preserve">https://huggingface.co/nlpaueb/bert-base-uncased-contracts</t>
  </si>
  <si>
    <t xml:space="preserve">HiDream-ai/HiDream-I1-Fast</t>
  </si>
  <si>
    <t xml:space="preserve">HiDream-ai</t>
  </si>
  <si>
    <t xml:space="preserve">https://huggingface.co/HiDream-ai/HiDream-I1-Fast</t>
  </si>
  <si>
    <t xml:space="preserve">ChantalPellegrini/RaDialog-interactive-radiology-report-generation</t>
  </si>
  <si>
    <t xml:space="preserve">ChantalPellegrini</t>
  </si>
  <si>
    <t xml:space="preserve">https://huggingface.co/ChantalPellegrini/RaDialog-interactive-radiology-report-generation</t>
  </si>
  <si>
    <t xml:space="preserve">nm-testing/Llama3_2_1B_speculator.eagle3</t>
  </si>
  <si>
    <t xml:space="preserve">https://huggingface.co/nm-testing/Llama3_2_1B_speculator.eagle3</t>
  </si>
  <si>
    <t xml:space="preserve">shi-labs/oneformer_ade20k_swin_tiny</t>
  </si>
  <si>
    <t xml:space="preserve">https://huggingface.co/shi-labs/oneformer_ade20k_swin_tiny</t>
  </si>
  <si>
    <t xml:space="preserve">Elron/bleurt-tiny-512</t>
  </si>
  <si>
    <t xml:space="preserve">Elron</t>
  </si>
  <si>
    <t xml:space="preserve">https://huggingface.co/Elron/bleurt-tiny-512</t>
  </si>
  <si>
    <t xml:space="preserve">optimum-intel-internal-testing/tiny-random-PhiForCausalLM</t>
  </si>
  <si>
    <t xml:space="preserve">https://huggingface.co/optimum-intel-internal-testing/tiny-random-PhiForCausalLM</t>
  </si>
  <si>
    <t xml:space="preserve">bond005/wav2vec2-large-ru-golos</t>
  </si>
  <si>
    <t xml:space="preserve">bond005</t>
  </si>
  <si>
    <t xml:space="preserve">https://huggingface.co/bond005/wav2vec2-large-ru-golos</t>
  </si>
  <si>
    <t xml:space="preserve">urchade/gliner_multi_pii-v1</t>
  </si>
  <si>
    <t xml:space="preserve">https://huggingface.co/urchade/gliner_multi_pii-v1</t>
  </si>
  <si>
    <t xml:space="preserve">yuhuili/EAGLE-LLaMA3-Instruct-8B</t>
  </si>
  <si>
    <t xml:space="preserve">https://huggingface.co/yuhuili/EAGLE-LLaMA3-Instruct-8B</t>
  </si>
  <si>
    <t xml:space="preserve">facebook/opt-6.7b</t>
  </si>
  <si>
    <t xml:space="preserve">https://huggingface.co/facebook/opt-6.7b</t>
  </si>
  <si>
    <t xml:space="preserve">circulus/koelectra-dialect-v1</t>
  </si>
  <si>
    <t xml:space="preserve">https://huggingface.co/circulus/koelectra-dialect-v1</t>
  </si>
  <si>
    <t xml:space="preserve">circulus/koelectra-act-v1</t>
  </si>
  <si>
    <t xml:space="preserve">https://huggingface.co/circulus/koelectra-act-v1</t>
  </si>
  <si>
    <t xml:space="preserve">circulus/koelectra-ethics-v1</t>
  </si>
  <si>
    <t xml:space="preserve">https://huggingface.co/circulus/koelectra-ethics-v1</t>
  </si>
  <si>
    <t xml:space="preserve">kuleshov-group/caduceus-ps_seqlen-131k_d_model-256_n_layer-16</t>
  </si>
  <si>
    <t xml:space="preserve">kuleshov-group</t>
  </si>
  <si>
    <t xml:space="preserve">https://huggingface.co/kuleshov-group/caduceus-ps_seqlen-131k_d_model-256_n_layer-16</t>
  </si>
  <si>
    <t xml:space="preserve">datificate/gpt2-small-spanish</t>
  </si>
  <si>
    <t xml:space="preserve">datificate</t>
  </si>
  <si>
    <t xml:space="preserve">https://huggingface.co/datificate/gpt2-small-spanish</t>
  </si>
  <si>
    <t xml:space="preserve">microsoft/markuplm-base</t>
  </si>
  <si>
    <t xml:space="preserve">https://huggingface.co/microsoft/markuplm-base</t>
  </si>
  <si>
    <t xml:space="preserve">GSAI-ML/LLaDA-8B-Base</t>
  </si>
  <si>
    <t xml:space="preserve">https://huggingface.co/GSAI-ML/LLaDA-8B-Base</t>
  </si>
  <si>
    <t xml:space="preserve">OrcaDB/gte-base-en-v1.5</t>
  </si>
  <si>
    <t xml:space="preserve">OrcaDB</t>
  </si>
  <si>
    <t xml:space="preserve">https://huggingface.co/OrcaDB/gte-base-en-v1.5</t>
  </si>
  <si>
    <t xml:space="preserve">circulus/kobart-chat-all-v2</t>
  </si>
  <si>
    <t xml:space="preserve">https://huggingface.co/circulus/kobart-chat-all-v2</t>
  </si>
  <si>
    <t xml:space="preserve">patrickquick/BERTicelli</t>
  </si>
  <si>
    <t xml:space="preserve">patrickquick</t>
  </si>
  <si>
    <t xml:space="preserve">https://huggingface.co/patrickquick/BERTicelli</t>
  </si>
  <si>
    <t xml:space="preserve">silveroxides/Chroma-GGUF</t>
  </si>
  <si>
    <t xml:space="preserve">silveroxides</t>
  </si>
  <si>
    <t xml:space="preserve">https://huggingface.co/silveroxides/Chroma-GGUF</t>
  </si>
  <si>
    <t xml:space="preserve">adept/fuyu-8b</t>
  </si>
  <si>
    <t xml:space="preserve">adept</t>
  </si>
  <si>
    <t xml:space="preserve">https://huggingface.co/adept/fuyu-8b</t>
  </si>
  <si>
    <t xml:space="preserve">circulus/koelectra-wellness-v1</t>
  </si>
  <si>
    <t xml:space="preserve">https://huggingface.co/circulus/koelectra-wellness-v1</t>
  </si>
  <si>
    <t xml:space="preserve">AstraMindAI/xtts2-gpt</t>
  </si>
  <si>
    <t xml:space="preserve">AstraMindAI</t>
  </si>
  <si>
    <t xml:space="preserve">https://huggingface.co/AstraMindAI/xtts2-gpt</t>
  </si>
  <si>
    <t xml:space="preserve">worstchan/EAT-base_epoch30_finetune_AS2M</t>
  </si>
  <si>
    <t xml:space="preserve">worstchan</t>
  </si>
  <si>
    <t xml:space="preserve">https://huggingface.co/worstchan/EAT-base_epoch30_finetune_AS2M</t>
  </si>
  <si>
    <t xml:space="preserve">optimum-intel-internal-testing/tiny-random-llava-next-mistral</t>
  </si>
  <si>
    <t xml:space="preserve">https://huggingface.co/optimum-intel-internal-testing/tiny-random-llava-next-mistral</t>
  </si>
  <si>
    <t xml:space="preserve">katuni4ka/tiny-random-phi3</t>
  </si>
  <si>
    <t xml:space="preserve">katuni4ka</t>
  </si>
  <si>
    <t xml:space="preserve">https://huggingface.co/katuni4ka/tiny-random-phi3</t>
  </si>
  <si>
    <t xml:space="preserve">prov-gigapath/prov-gigapath</t>
  </si>
  <si>
    <t xml:space="preserve">prov-gigapath</t>
  </si>
  <si>
    <t xml:space="preserve">https://huggingface.co/prov-gigapath/prov-gigapath</t>
  </si>
  <si>
    <t xml:space="preserve">nvidia/segformer-b5-finetuned-ade-640-640</t>
  </si>
  <si>
    <t xml:space="preserve">https://huggingface.co/nvidia/segformer-b5-finetuned-ade-640-640</t>
  </si>
  <si>
    <t xml:space="preserve">princeton-nlp/sup-simcse-bert-base-uncased</t>
  </si>
  <si>
    <t xml:space="preserve">princeton-nlp</t>
  </si>
  <si>
    <t xml:space="preserve">https://huggingface.co/princeton-nlp/sup-simcse-bert-base-uncased</t>
  </si>
  <si>
    <t xml:space="preserve">FluidInference/parakeet-ctc-110m-coreml</t>
  </si>
  <si>
    <t xml:space="preserve">https://huggingface.co/FluidInference/parakeet-ctc-110m-coreml</t>
  </si>
  <si>
    <t xml:space="preserve">lytang/MiniCheck-Flan-T5-Large</t>
  </si>
  <si>
    <t xml:space="preserve">lytang</t>
  </si>
  <si>
    <t xml:space="preserve">https://huggingface.co/lytang/MiniCheck-Flan-T5-Large</t>
  </si>
  <si>
    <t xml:space="preserve">thibaud/controlnet-openpose-sdxl-1.0</t>
  </si>
  <si>
    <t xml:space="preserve">thibaud</t>
  </si>
  <si>
    <t xml:space="preserve">https://huggingface.co/thibaud/controlnet-openpose-sdxl-1.0</t>
  </si>
  <si>
    <t xml:space="preserve">optimum-intel-internal-testing/tiny-random-olmo-hf</t>
  </si>
  <si>
    <t xml:space="preserve">https://huggingface.co/optimum-intel-internal-testing/tiny-random-olmo-hf</t>
  </si>
  <si>
    <t xml:space="preserve">sshleifer/bart-tiny-random</t>
  </si>
  <si>
    <t xml:space="preserve">https://huggingface.co/sshleifer/bart-tiny-random</t>
  </si>
  <si>
    <t xml:space="preserve">Helsinki-NLP/opus-mt-mul-en</t>
  </si>
  <si>
    <t xml:space="preserve">https://huggingface.co/Helsinki-NLP/opus-mt-mul-en</t>
  </si>
  <si>
    <t xml:space="preserve">optimum-intel-internal-testing/tiny-random-xlm-roberta</t>
  </si>
  <si>
    <t xml:space="preserve">https://huggingface.co/optimum-intel-internal-testing/tiny-random-xlm-roberta</t>
  </si>
  <si>
    <t xml:space="preserve">tuner007/pegasus_paraphrase</t>
  </si>
  <si>
    <t xml:space="preserve">tuner007</t>
  </si>
  <si>
    <t xml:space="preserve">https://huggingface.co/tuner007/pegasus_paraphrase</t>
  </si>
  <si>
    <t xml:space="preserve">optimum-intel-internal-testing/tiny-random-BloomModel</t>
  </si>
  <si>
    <t xml:space="preserve">https://huggingface.co/optimum-intel-internal-testing/tiny-random-BloomModel</t>
  </si>
  <si>
    <t xml:space="preserve">zenosai/MonkeyOCRv2-B-Parsing</t>
  </si>
  <si>
    <t xml:space="preserve">zenosai</t>
  </si>
  <si>
    <t xml:space="preserve">https://huggingface.co/zenosai/MonkeyOCRv2-B-Parsing</t>
  </si>
  <si>
    <t xml:space="preserve">Helsinki-NLP/opus-mt-da-en</t>
  </si>
  <si>
    <t xml:space="preserve">https://huggingface.co/Helsinki-NLP/opus-mt-da-en</t>
  </si>
  <si>
    <t xml:space="preserve">optimum-intel-internal-testing/tiny-random-StableLmForCausalLM</t>
  </si>
  <si>
    <t xml:space="preserve">https://huggingface.co/optimum-intel-internal-testing/tiny-random-StableLmForCausalLM</t>
  </si>
  <si>
    <t xml:space="preserve">Helsinki-NLP/opus-mt-fr-es</t>
  </si>
  <si>
    <t xml:space="preserve">https://huggingface.co/Helsinki-NLP/opus-mt-fr-es</t>
  </si>
  <si>
    <t xml:space="preserve">vantagewithai/LTX2.3-10Eros-GGUF</t>
  </si>
  <si>
    <t xml:space="preserve">vantagewithai</t>
  </si>
  <si>
    <t xml:space="preserve">https://huggingface.co/vantagewithai/LTX2.3-10Eros-GGUF</t>
  </si>
  <si>
    <t xml:space="preserve">stabilityai/stable-diffusion-3.5-large</t>
  </si>
  <si>
    <t xml:space="preserve">https://huggingface.co/stabilityai/stable-diffusion-3.5-large</t>
  </si>
  <si>
    <t xml:space="preserve">optimum-intel-internal-testing/tiny-random-Starcoder2ForCausalLM</t>
  </si>
  <si>
    <t xml:space="preserve">https://huggingface.co/optimum-intel-internal-testing/tiny-random-Starcoder2ForCausalLM</t>
  </si>
  <si>
    <t xml:space="preserve">replicate/flash-attn3</t>
  </si>
  <si>
    <t xml:space="preserve">replicate</t>
  </si>
  <si>
    <t xml:space="preserve">https://huggingface.co/replicate/flash-attn3</t>
  </si>
  <si>
    <t xml:space="preserve">nvidia/NVIDIA-Nemotron-Nano-9B-v2-Japanese</t>
  </si>
  <si>
    <t xml:space="preserve">https://huggingface.co/nvidia/NVIDIA-Nemotron-Nano-9B-v2-Japanese</t>
  </si>
  <si>
    <t xml:space="preserve">lodestones/Chroma1-HD</t>
  </si>
  <si>
    <t xml:space="preserve">lodestones</t>
  </si>
  <si>
    <t xml:space="preserve">https://huggingface.co/lodestones/Chroma1-HD</t>
  </si>
  <si>
    <t xml:space="preserve">pparasurama/raceBERT-ethnicity</t>
  </si>
  <si>
    <t xml:space="preserve">pparasurama</t>
  </si>
  <si>
    <t xml:space="preserve">https://huggingface.co/pparasurama/raceBERT-ethnicity</t>
  </si>
  <si>
    <t xml:space="preserve">QuantStack/LTX-2.3-GGUF</t>
  </si>
  <si>
    <t xml:space="preserve">QuantStack</t>
  </si>
  <si>
    <t xml:space="preserve">https://huggingface.co/QuantStack/LTX-2.3-GGUF</t>
  </si>
  <si>
    <t xml:space="preserve">optimum-intel-internal-testing/tiny-random-granite</t>
  </si>
  <si>
    <t xml:space="preserve">https://huggingface.co/optimum-intel-internal-testing/tiny-random-granite</t>
  </si>
  <si>
    <t xml:space="preserve">Helsinki-NLP/opus-mt-it-es</t>
  </si>
  <si>
    <t xml:space="preserve">https://huggingface.co/Helsinki-NLP/opus-mt-it-es</t>
  </si>
  <si>
    <t xml:space="preserve">vikp/surya_tablerec</t>
  </si>
  <si>
    <t xml:space="preserve">https://huggingface.co/vikp/surya_tablerec</t>
  </si>
  <si>
    <t xml:space="preserve">optimum-intel-internal-testing/tiny-random-CodeGenForCausalLM</t>
  </si>
  <si>
    <t xml:space="preserve">https://huggingface.co/optimum-intel-internal-testing/tiny-random-CodeGenForCausalLM</t>
  </si>
  <si>
    <t xml:space="preserve">microsoft/dit-base</t>
  </si>
  <si>
    <t xml:space="preserve">https://huggingface.co/microsoft/dit-base</t>
  </si>
  <si>
    <t xml:space="preserve">michelleli99/NSFW_text_classifier</t>
  </si>
  <si>
    <t xml:space="preserve">michelleli99</t>
  </si>
  <si>
    <t xml:space="preserve">https://huggingface.co/michelleli99/NSFW_text_classifier</t>
  </si>
  <si>
    <t xml:space="preserve">kuleshov-group/caduceus-ph_seqlen-131k_d_model-256_n_layer-16</t>
  </si>
  <si>
    <t xml:space="preserve">https://huggingface.co/kuleshov-group/caduceus-ph_seqlen-131k_d_model-256_n_layer-16</t>
  </si>
  <si>
    <t xml:space="preserve">peft-internal-testing/tiny-random-GPTJForCausalLM</t>
  </si>
  <si>
    <t xml:space="preserve">https://huggingface.co/peft-internal-testing/tiny-random-GPTJForCausalLM</t>
  </si>
  <si>
    <t xml:space="preserve">sshleifer/distilbart-xsum-12-6</t>
  </si>
  <si>
    <t xml:space="preserve">https://huggingface.co/sshleifer/distilbart-xsum-12-6</t>
  </si>
  <si>
    <t xml:space="preserve">SG161222/Realistic_Vision_V6.0_B1_noVAE</t>
  </si>
  <si>
    <t xml:space="preserve">https://huggingface.co/SG161222/Realistic_Vision_V6.0_B1_noVAE</t>
  </si>
  <si>
    <t xml:space="preserve">InstantX/InstantID</t>
  </si>
  <si>
    <t xml:space="preserve">InstantX</t>
  </si>
  <si>
    <t xml:space="preserve">https://huggingface.co/InstantX/InstantID</t>
  </si>
  <si>
    <t xml:space="preserve">crynux-network/sdxl-turbo</t>
  </si>
  <si>
    <t xml:space="preserve">crynux-network</t>
  </si>
  <si>
    <t xml:space="preserve">https://huggingface.co/crynux-network/sdxl-turbo</t>
  </si>
  <si>
    <t xml:space="preserve">shi-labs/oneformer_coco_swin_large</t>
  </si>
  <si>
    <t xml:space="preserve">https://huggingface.co/shi-labs/oneformer_coco_swin_large</t>
  </si>
  <si>
    <t xml:space="preserve">relik-ie/encoder-e5-small-v2-wikipedia-relations</t>
  </si>
  <si>
    <t xml:space="preserve">relik-ie</t>
  </si>
  <si>
    <t xml:space="preserve">https://huggingface.co/relik-ie/encoder-e5-small-v2-wikipedia-relations</t>
  </si>
  <si>
    <t xml:space="preserve">ali-vilab/text-to-video-ms-1.7b</t>
  </si>
  <si>
    <t xml:space="preserve">ali-vilab</t>
  </si>
  <si>
    <t xml:space="preserve">https://huggingface.co/ali-vilab/text-to-video-ms-1.7b</t>
  </si>
  <si>
    <t xml:space="preserve">optimum-intel-internal-testing/tiny-random-granite-moe</t>
  </si>
  <si>
    <t xml:space="preserve">https://huggingface.co/optimum-intel-internal-testing/tiny-random-granite-moe</t>
  </si>
  <si>
    <t xml:space="preserve">BVRA/MegaDescriptor-L-384</t>
  </si>
  <si>
    <t xml:space="preserve">https://huggingface.co/BVRA/MegaDescriptor-L-384</t>
  </si>
  <si>
    <t xml:space="preserve">dccuchile/bert-base-spanish-wwm-cased</t>
  </si>
  <si>
    <t xml:space="preserve">https://huggingface.co/dccuchile/bert-base-spanish-wwm-cased</t>
  </si>
  <si>
    <t xml:space="preserve">ZhengPeng7/BiRefNet_HR</t>
  </si>
  <si>
    <t xml:space="preserve">https://huggingface.co/ZhengPeng7/BiRefNet_HR</t>
  </si>
  <si>
    <t xml:space="preserve">Helsinki-NLP/opus-mt-eu-es</t>
  </si>
  <si>
    <t xml:space="preserve">https://huggingface.co/Helsinki-NLP/opus-mt-eu-es</t>
  </si>
  <si>
    <t xml:space="preserve">InstantX/FLUX.1-dev-Controlnet-Union</t>
  </si>
  <si>
    <t xml:space="preserve">https://huggingface.co/InstantX/FLUX.1-dev-Controlnet-Union</t>
  </si>
  <si>
    <t xml:space="preserve">optimum-intel-internal-testing/really-tiny-falcon-testing</t>
  </si>
  <si>
    <r>
      <rPr>
        <sz val="11"/>
        <color rgb="FF000000"/>
        <rFont val="Noto Sans CJK SC"/>
        <family val="2"/>
      </rPr>
      <t xml:space="preserve">測試用模型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非正式用途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只提供可執行程式碼的權重格式 </t>
    </r>
    <r>
      <rPr>
        <sz val="11"/>
        <color rgb="FF000000"/>
        <rFont val="Calibri"/>
        <family val="0"/>
        <charset val="1"/>
      </rPr>
      <t xml:space="preserve">(pickle </t>
    </r>
    <r>
      <rPr>
        <sz val="11"/>
        <color rgb="FF000000"/>
        <rFont val="Noto Sans CJK SC"/>
        <family val="2"/>
      </rPr>
      <t xml:space="preserve">等</t>
    </r>
    <r>
      <rPr>
        <sz val="11"/>
        <color rgb="FF000000"/>
        <rFont val="Calibri"/>
        <family val="0"/>
        <charset val="1"/>
      </rPr>
      <t xml:space="preserve">); </t>
    </r>
    <r>
      <rPr>
        <sz val="11"/>
        <color rgb="FF000000"/>
        <rFont val="Noto Sans CJK SC"/>
        <family val="2"/>
      </rPr>
      <t xml:space="preserve">需開啟 </t>
    </r>
    <r>
      <rPr>
        <sz val="11"/>
        <color rgb="FF000000"/>
        <rFont val="Calibri"/>
        <family val="0"/>
        <charset val="1"/>
      </rPr>
      <t xml:space="preserve">trust_remote_code</t>
    </r>
  </si>
  <si>
    <t xml:space="preserve">G2;G3;G4</t>
  </si>
  <si>
    <t xml:space="preserve">https://huggingface.co/optimum-intel-internal-testing/really-tiny-falcon-testing</t>
  </si>
  <si>
    <t xml:space="preserve">optimum-intel-internal-testing/tiny-random-CohereForCausalLM</t>
  </si>
  <si>
    <t xml:space="preserve">https://huggingface.co/optimum-intel-internal-testing/tiny-random-CohereForCausalLM</t>
  </si>
  <si>
    <t xml:space="preserve">AEON-7/Gemma-4-26B-A4B-it-Uncensored-NVFP4</t>
  </si>
  <si>
    <t xml:space="preserve">AEON-7</t>
  </si>
  <si>
    <t xml:space="preserve">https://huggingface.co/AEON-7/Gemma-4-26B-A4B-it-Uncensored-NVFP4</t>
  </si>
  <si>
    <t xml:space="preserve">suno/bark-small</t>
  </si>
  <si>
    <t xml:space="preserve">suno</t>
  </si>
  <si>
    <t xml:space="preserve">https://huggingface.co/suno/bark-small</t>
  </si>
  <si>
    <t xml:space="preserve">HooshvareLab/bert-base-parsbert-uncased</t>
  </si>
  <si>
    <t xml:space="preserve">HooshvareLab</t>
  </si>
  <si>
    <t xml:space="preserve">https://huggingface.co/HooshvareLab/bert-base-parsbert-uncased</t>
  </si>
  <si>
    <t xml:space="preserve">nvidia/Nemotron-Labs-Diffusion-3B</t>
  </si>
  <si>
    <t xml:space="preserve">https://huggingface.co/nvidia/Nemotron-Labs-Diffusion-3B</t>
  </si>
  <si>
    <t xml:space="preserve">optimum-intel-internal-testing/tiny-random-GPTJModel</t>
  </si>
  <si>
    <t xml:space="preserve">https://huggingface.co/optimum-intel-internal-testing/tiny-random-GPTJModel</t>
  </si>
  <si>
    <t xml:space="preserve">Serveurperso/OmniVoice-GGUF</t>
  </si>
  <si>
    <t xml:space="preserve">https://huggingface.co/Serveurperso/OmniVoice-GGUF</t>
  </si>
  <si>
    <t xml:space="preserve">Zyphra/Zonos-v0.1-transformer</t>
  </si>
  <si>
    <t xml:space="preserve">https://huggingface.co/Zyphra/Zonos-v0.1-transformer</t>
  </si>
  <si>
    <t xml:space="preserve">microsoft/speecht5_hifigan</t>
  </si>
  <si>
    <t xml:space="preserve">https://huggingface.co/microsoft/speecht5_hifigan</t>
  </si>
  <si>
    <t xml:space="preserve">leejet/Z-Image-Turbo-GGUF</t>
  </si>
  <si>
    <t xml:space="preserve">leejet</t>
  </si>
  <si>
    <t xml:space="preserve">https://huggingface.co/leejet/Z-Image-Turbo-GGUF</t>
  </si>
  <si>
    <t xml:space="preserve">drhyrum/bert-tiny-torch-picklebomb</t>
  </si>
  <si>
    <t xml:space="preserve">drhyrum</t>
  </si>
  <si>
    <t xml:space="preserve">https://huggingface.co/drhyrum/bert-tiny-torch-picklebomb</t>
  </si>
  <si>
    <t xml:space="preserve">optimum-intel-internal-testing/tiny-random-ArceeForCausalLM</t>
  </si>
  <si>
    <t xml:space="preserve">https://huggingface.co/optimum-intel-internal-testing/tiny-random-ArceeForCausalLM</t>
  </si>
  <si>
    <t xml:space="preserve">microsoft/Multilingual-MiniLM-L12-H384</t>
  </si>
  <si>
    <t xml:space="preserve">https://huggingface.co/microsoft/Multilingual-MiniLM-L12-H384</t>
  </si>
  <si>
    <t xml:space="preserve">John6666/hassaku-xl-illustrious-v31-sdxl</t>
  </si>
  <si>
    <t xml:space="preserve">https://huggingface.co/John6666/hassaku-xl-illustrious-v31-sdxl</t>
  </si>
  <si>
    <t xml:space="preserve">crynux-network/stable-diffusion-v1-5</t>
  </si>
  <si>
    <t xml:space="preserve">https://huggingface.co/crynux-network/stable-diffusion-v1-5</t>
  </si>
  <si>
    <t xml:space="preserve">google/bert_uncased_L-4_H-512_A-8</t>
  </si>
  <si>
    <t xml:space="preserve">https://huggingface.co/google/bert_uncased_L-4_H-512_A-8</t>
  </si>
  <si>
    <t xml:space="preserve">flair/ner-spanish-large</t>
  </si>
  <si>
    <t xml:space="preserve">https://huggingface.co/flair/ner-spanish-large</t>
  </si>
  <si>
    <t xml:space="preserve">https://huggingface.co/microsoft/MiniLM-L12-H384-uncased</t>
  </si>
  <si>
    <t xml:space="preserve">ilintar/trellis2-gguf</t>
  </si>
  <si>
    <t xml:space="preserve">ilintar</t>
  </si>
  <si>
    <t xml:space="preserve">https://huggingface.co/ilintar/trellis2-gguf</t>
  </si>
  <si>
    <t xml:space="preserve">TheReprinter/WAI-NSFW-illustrious-SDXL</t>
  </si>
  <si>
    <t xml:space="preserve">TheReprinter</t>
  </si>
  <si>
    <t xml:space="preserve">https://huggingface.co/TheReprinter/WAI-NSFW-illustrious-SDXL</t>
  </si>
  <si>
    <t xml:space="preserve">naver-clova-ocr/bros-base-uncased</t>
  </si>
  <si>
    <t xml:space="preserve">naver-clova-ocr</t>
  </si>
  <si>
    <t xml:space="preserve">https://huggingface.co/naver-clova-ocr/bros-base-uncased</t>
  </si>
  <si>
    <t xml:space="preserve">OpenMed/OpenMed-ZeroShot-NER-Pathology-Large-459M</t>
  </si>
  <si>
    <t xml:space="preserve">https://huggingface.co/OpenMed/OpenMed-ZeroShot-NER-Pathology-Large-459M</t>
  </si>
  <si>
    <t xml:space="preserve">bioptimus/H-optimus-0</t>
  </si>
  <si>
    <t xml:space="preserve">bioptimus</t>
  </si>
  <si>
    <t xml:space="preserve">https://huggingface.co/bioptimus/H-optimus-0</t>
  </si>
  <si>
    <t xml:space="preserve">siddharthtumre/biobert-finetuned-ner</t>
  </si>
  <si>
    <t xml:space="preserve">siddharthtumre</t>
  </si>
  <si>
    <t xml:space="preserve">https://huggingface.co/siddharthtumre/biobert-finetuned-ner</t>
  </si>
  <si>
    <t xml:space="preserve">wonrax/phobert-base-vietnamese-sentiment</t>
  </si>
  <si>
    <t xml:space="preserve">wonrax</t>
  </si>
  <si>
    <t xml:space="preserve">https://huggingface.co/wonrax/phobert-base-vietnamese-sentiment</t>
  </si>
  <si>
    <t xml:space="preserve">hkuds/easyrec-roberta-large</t>
  </si>
  <si>
    <t xml:space="preserve">hkuds</t>
  </si>
  <si>
    <t xml:space="preserve">https://huggingface.co/hkuds/easyrec-roberta-large</t>
  </si>
  <si>
    <t xml:space="preserve">timm/vit_large_patch14_clip_224.metaclip_2pt5b</t>
  </si>
  <si>
    <t xml:space="preserve">https://huggingface.co/timm/vit_large_patch14_clip_224.metaclip_2pt5b</t>
  </si>
  <si>
    <t xml:space="preserve">stabilityai/stable-audio-3-medium</t>
  </si>
  <si>
    <t xml:space="preserve">https://huggingface.co/stabilityai/stable-audio-3-medium</t>
  </si>
  <si>
    <t xml:space="preserve">LGAI-EXAONE/EXAONE-3.5-2.4B-Instruct</t>
  </si>
  <si>
    <t xml:space="preserve">https://huggingface.co/LGAI-EXAONE/EXAONE-3.5-2.4B-Instruct</t>
  </si>
  <si>
    <t xml:space="preserve">jonatasgrosman/wav2vec2-xls-r-1b-portuguese</t>
  </si>
  <si>
    <t xml:space="preserve">https://huggingface.co/jonatasgrosman/wav2vec2-xls-r-1b-portuguese</t>
  </si>
  <si>
    <t xml:space="preserve">optimum-intel-internal-testing/tiny-random-GPTNeoXForCausalLM</t>
  </si>
  <si>
    <t xml:space="preserve">https://huggingface.co/optimum-intel-internal-testing/tiny-random-GPTNeoXForCausalLM</t>
  </si>
  <si>
    <t xml:space="preserve">cloud19/gemma-4-26B-A4B-it-heretic-FP8-Static</t>
  </si>
  <si>
    <t xml:space="preserve">cloud19</t>
  </si>
  <si>
    <t xml:space="preserve">https://huggingface.co/cloud19/gemma-4-26B-A4B-it-heretic-FP8-Static</t>
  </si>
  <si>
    <t xml:space="preserve">facebook/esm1v_t33_650M_UR90S_1</t>
  </si>
  <si>
    <t xml:space="preserve">https://huggingface.co/facebook/esm1v_t33_650M_UR90S_1</t>
  </si>
  <si>
    <t xml:space="preserve">kekusprod/WAI-NSFW-illustrious-SDXL-v110-GGUF</t>
  </si>
  <si>
    <t xml:space="preserve">kekusprod</t>
  </si>
  <si>
    <t xml:space="preserve">https://huggingface.co/kekusprod/WAI-NSFW-illustrious-SDXL-v110-GGUF</t>
  </si>
  <si>
    <t xml:space="preserve">Xenova/jina-embeddings-v2-small-en</t>
  </si>
  <si>
    <t xml:space="preserve">https://huggingface.co/Xenova/jina-embeddings-v2-small-en</t>
  </si>
  <si>
    <t xml:space="preserve">garak-llm/roberta_toxicity_classifier</t>
  </si>
  <si>
    <t xml:space="preserve">https://huggingface.co/garak-llm/roberta_toxicity_classifier</t>
  </si>
  <si>
    <t xml:space="preserve">CohereLabs/command-a-vision-07-2025</t>
  </si>
  <si>
    <t xml:space="preserve">https://huggingface.co/CohereLabs/command-a-vision-07-2025</t>
  </si>
  <si>
    <t xml:space="preserve">llmfan46/gemma-4-26B-A4B-it-ultra-uncensored-heretic-GGUF</t>
  </si>
  <si>
    <t xml:space="preserve">https://huggingface.co/llmfan46/gemma-4-26B-A4B-it-ultra-uncensored-heretic-GGUF</t>
  </si>
  <si>
    <t xml:space="preserve">jdopensource/JoyAI-Image-Edit-Diffusers</t>
  </si>
  <si>
    <t xml:space="preserve">jdopensource</t>
  </si>
  <si>
    <t xml:space="preserve">https://huggingface.co/jdopensource/JoyAI-Image-Edit-Diffusers</t>
  </si>
  <si>
    <t xml:space="preserve">optimum-intel-internal-testing/tiny-mixtral</t>
  </si>
  <si>
    <t xml:space="preserve">https://huggingface.co/optimum-intel-internal-testing/tiny-mixtral</t>
  </si>
  <si>
    <t xml:space="preserve">onnx-community/Kokoro-82M-ONNX</t>
  </si>
  <si>
    <t xml:space="preserve">https://huggingface.co/onnx-community/Kokoro-82M-ONNX</t>
  </si>
  <si>
    <t xml:space="preserve">canopylabs/3b-de-ft-research_release</t>
  </si>
  <si>
    <t xml:space="preserve">https://huggingface.co/canopylabs/3b-de-ft-research_release</t>
  </si>
  <si>
    <t xml:space="preserve">flaubert/flaubert_base_uncased</t>
  </si>
  <si>
    <t xml:space="preserve">https://huggingface.co/flaubert/flaubert_base_uncased</t>
  </si>
  <si>
    <t xml:space="preserve">mradermacher/gemma-4-31B-it-The-DECKARD-HERETIC-UNCENSORED-Thinking-i1-GGUF</t>
  </si>
  <si>
    <t xml:space="preserve">https://huggingface.co/mradermacher/gemma-4-31B-it-The-DECKARD-HERETIC-UNCENSORED-Thinking-i1-GGUF</t>
  </si>
  <si>
    <t xml:space="preserve">google/muril-base-cased</t>
  </si>
  <si>
    <t xml:space="preserve">https://huggingface.co/google/muril-base-cased</t>
  </si>
  <si>
    <t xml:space="preserve">jinaai/jina-embeddings-v3-hf</t>
  </si>
  <si>
    <t xml:space="preserve">https://huggingface.co/jinaai/jina-embeddings-v3-hf</t>
  </si>
  <si>
    <t xml:space="preserve">ostris/zimage_turbo_training_adapter</t>
  </si>
  <si>
    <t xml:space="preserve">ostris</t>
  </si>
  <si>
    <t xml:space="preserve">https://huggingface.co/ostris/zimage_turbo_training_adapter</t>
  </si>
  <si>
    <t xml:space="preserve">peft-internal-testing/tiny-random-GPT2LMHeadModel</t>
  </si>
  <si>
    <t xml:space="preserve">https://huggingface.co/peft-internal-testing/tiny-random-GPT2LMHeadModel</t>
  </si>
  <si>
    <t xml:space="preserve">facebook/musicgen-large</t>
  </si>
  <si>
    <t xml:space="preserve">https://huggingface.co/facebook/musicgen-large</t>
  </si>
  <si>
    <t xml:space="preserve">jonatasgrosman/wav2vec2-large-xlsr-53-french</t>
  </si>
  <si>
    <t xml:space="preserve">https://huggingface.co/jonatasgrosman/wav2vec2-large-xlsr-53-french</t>
  </si>
  <si>
    <t xml:space="preserve">christian-phu/bert-finetuned-japanese-sentiment</t>
  </si>
  <si>
    <t xml:space="preserve">christian-phu</t>
  </si>
  <si>
    <t xml:space="preserve">https://huggingface.co/christian-phu/bert-finetuned-japanese-sentiment</t>
  </si>
  <si>
    <t xml:space="preserve">Marqo/marqo-ecommerce-embeddings-L</t>
  </si>
  <si>
    <t xml:space="preserve">https://huggingface.co/Marqo/marqo-ecommerce-embeddings-L</t>
  </si>
  <si>
    <t xml:space="preserve">zaakirio/gemma-4-12b-it-uncensored-GGUF</t>
  </si>
  <si>
    <t xml:space="preserve">zaakirio</t>
  </si>
  <si>
    <t xml:space="preserve">https://huggingface.co/zaakirio/gemma-4-12b-it-uncensored-GGUF</t>
  </si>
  <si>
    <t xml:space="preserve">black-forest-labs/FLUX.2-klein-9b-kv-fp8</t>
  </si>
  <si>
    <t xml:space="preserve">https://huggingface.co/black-forest-labs/FLUX.2-klein-9b-kv-fp8</t>
  </si>
  <si>
    <t xml:space="preserve">AlperKTS/Krea2_FP8</t>
  </si>
  <si>
    <t xml:space="preserve">AlperKTS</t>
  </si>
  <si>
    <t xml:space="preserve">https://huggingface.co/AlperKTS/Krea2_FP8</t>
  </si>
  <si>
    <t xml:space="preserve">optimum-intel-internal-testing/tiny-random-gemma3</t>
  </si>
  <si>
    <t xml:space="preserve">https://huggingface.co/optimum-intel-internal-testing/tiny-random-gemma3</t>
  </si>
  <si>
    <t xml:space="preserve">siyan824/reloc3r-512</t>
  </si>
  <si>
    <t xml:space="preserve">siyan824</t>
  </si>
  <si>
    <t xml:space="preserve">https://huggingface.co/siyan824/reloc3r-512</t>
  </si>
  <si>
    <t xml:space="preserve">google/tapas-large-finetuned-sqa</t>
  </si>
  <si>
    <t xml:space="preserve">https://huggingface.co/google/tapas-large-finetuned-sqa</t>
  </si>
  <si>
    <t xml:space="preserve">Helsinki-NLP/opus-mt-tc-big-ar-en</t>
  </si>
  <si>
    <t xml:space="preserve">https://huggingface.co/Helsinki-NLP/opus-mt-tc-big-ar-en</t>
  </si>
  <si>
    <t xml:space="preserve">Comfy-Org/Real-ESRGAN</t>
  </si>
  <si>
    <t xml:space="preserve">https://huggingface.co/Comfy-Org/Real-ESRGAN</t>
  </si>
  <si>
    <t xml:space="preserve">trl-internal-testing/tiny-DiffusionGemmaForBlockDiffusion</t>
  </si>
  <si>
    <t xml:space="preserve">https://huggingface.co/trl-internal-testing/tiny-DiffusionGemmaForBlockDiffusion</t>
  </si>
  <si>
    <t xml:space="preserve">aufklarer/PersonaPlex-7B-MLX-4bit</t>
  </si>
  <si>
    <t xml:space="preserve">https://huggingface.co/aufklarer/PersonaPlex-7B-MLX-4bit</t>
  </si>
  <si>
    <t xml:space="preserve">Aratako/MioTTS-2.6B</t>
  </si>
  <si>
    <t xml:space="preserve">https://huggingface.co/Aratako/MioTTS-2.6B</t>
  </si>
  <si>
    <t xml:space="preserve">realrebelai/KREA-2_GGUFs</t>
  </si>
  <si>
    <t xml:space="preserve">realrebelai</t>
  </si>
  <si>
    <t xml:space="preserve">https://huggingface.co/realrebelai/KREA-2_GGUFs</t>
  </si>
  <si>
    <t xml:space="preserve">ggml-org/test-model-stories260K</t>
  </si>
  <si>
    <t xml:space="preserve">https://huggingface.co/ggml-org/test-model-stories260K</t>
  </si>
  <si>
    <t xml:space="preserve">peft-internal-testing/tiny-random-gpt2</t>
  </si>
  <si>
    <t xml:space="preserve">https://huggingface.co/peft-internal-testing/tiny-random-gpt2</t>
  </si>
  <si>
    <t xml:space="preserve">indolem</t>
  </si>
  <si>
    <t xml:space="preserve">https://huggingface.co/indolem/indobert-base-uncased</t>
  </si>
  <si>
    <t xml:space="preserve">laion/CLIP-ViT-L-14-DataComp.XL-s13B-b90K</t>
  </si>
  <si>
    <t xml:space="preserve">https://huggingface.co/laion/CLIP-ViT-L-14-DataComp.XL-s13B-b90K</t>
  </si>
  <si>
    <t xml:space="preserve">jamesheald/joint-space-empowerment</t>
  </si>
  <si>
    <t xml:space="preserve">jamesheald</t>
  </si>
  <si>
    <r>
      <rPr>
        <sz val="11"/>
        <color rgb="FF000000"/>
        <rFont val="Noto Sans CJK SC"/>
        <family val="2"/>
      </rPr>
      <t xml:space="preserve">無可辨識的權重檔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生成影像、影音或語音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無防禦用途</t>
    </r>
  </si>
  <si>
    <t xml:space="preserve">https://huggingface.co/jamesheald/joint-space-empowerment</t>
  </si>
  <si>
    <t xml:space="preserve">OpenMOSS-Team/MOSS-Audio-4B-Instruct</t>
  </si>
  <si>
    <t xml:space="preserve">https://huggingface.co/OpenMOSS-Team/MOSS-Audio-4B-Instruct</t>
  </si>
  <si>
    <t xml:space="preserve">biu-nlp/lingmess-coref</t>
  </si>
  <si>
    <t xml:space="preserve">https://huggingface.co/biu-nlp/lingmess-coref</t>
  </si>
  <si>
    <t xml:space="preserve">Salesforce/moirai-1.0-R-large</t>
  </si>
  <si>
    <t xml:space="preserve">https://huggingface.co/Salesforce/moirai-1.0-R-large</t>
  </si>
  <si>
    <t xml:space="preserve">google/bert_uncased_L-4_H-256_A-4</t>
  </si>
  <si>
    <t xml:space="preserve">https://huggingface.co/google/bert_uncased_L-4_H-256_A-4</t>
  </si>
  <si>
    <t xml:space="preserve">timm/vit_base_patch16_224.mae</t>
  </si>
  <si>
    <t xml:space="preserve">https://huggingface.co/timm/vit_base_patch16_224.mae</t>
  </si>
  <si>
    <t xml:space="preserve">nikolamilosevic/SCIFACT_xlm_roberta_large</t>
  </si>
  <si>
    <t xml:space="preserve">nikolamilosevic</t>
  </si>
  <si>
    <t xml:space="preserve">https://huggingface.co/nikolamilosevic/SCIFACT_xlm_roberta_large</t>
  </si>
  <si>
    <t xml:space="preserve">Synthyra/ESMplusplus_small</t>
  </si>
  <si>
    <t xml:space="preserve">https://huggingface.co/Synthyra/ESMplusplus_small</t>
  </si>
  <si>
    <t xml:space="preserve">pyannote/overlapped-speech-detection</t>
  </si>
  <si>
    <t xml:space="preserve">https://huggingface.co/pyannote/overlapped-speech-detection</t>
  </si>
  <si>
    <t xml:space="preserve">firqaaa/indo-sentence-bert-base</t>
  </si>
  <si>
    <t xml:space="preserve">firqaaa</t>
  </si>
  <si>
    <t xml:space="preserve">https://huggingface.co/firqaaa/indo-sentence-bert-base</t>
  </si>
  <si>
    <t xml:space="preserve">timbrooks/instruct-pix2pix</t>
  </si>
  <si>
    <t xml:space="preserve">timbrooks</t>
  </si>
  <si>
    <t xml:space="preserve">https://huggingface.co/timbrooks/instruct-pix2pix</t>
  </si>
  <si>
    <t xml:space="preserve">OBLITERATUS/Gemma-4-12B-OBLITERATED</t>
  </si>
  <si>
    <t xml:space="preserve">https://huggingface.co/OBLITERATUS/Gemma-4-12B-OBLITERATED</t>
  </si>
  <si>
    <t xml:space="preserve">Systran/faster-distil-whisper-large-v3</t>
  </si>
  <si>
    <t xml:space="preserve">https://huggingface.co/Systran/faster-distil-whisper-large-v3</t>
  </si>
  <si>
    <t xml:space="preserve">Rostlab/ProstT5</t>
  </si>
  <si>
    <t xml:space="preserve">https://huggingface.co/Rostlab/ProstT5</t>
  </si>
  <si>
    <t xml:space="preserve">microsoft/wavlm-base</t>
  </si>
  <si>
    <t xml:space="preserve">https://huggingface.co/microsoft/wavlm-base</t>
  </si>
  <si>
    <t xml:space="preserve">black-forest-labs/FLUX.2-klein-9b-fp8</t>
  </si>
  <si>
    <t xml:space="preserve">https://huggingface.co/black-forest-labs/FLUX.2-klein-9b-fp8</t>
  </si>
  <si>
    <t xml:space="preserve">cyberdelia/CyberRealistic</t>
  </si>
  <si>
    <t xml:space="preserve">cyberdelia</t>
  </si>
  <si>
    <t xml:space="preserve">https://huggingface.co/cyberdelia/CyberRealistic</t>
  </si>
  <si>
    <t xml:space="preserve">optimum-intel-internal-testing/tiny-random-ConvBertForSequenceClassification</t>
  </si>
  <si>
    <t xml:space="preserve">https://huggingface.co/optimum-intel-internal-testing/tiny-random-ConvBertForSequenceClassification</t>
  </si>
  <si>
    <t xml:space="preserve">facebook/dpr-question_encoder-single-nq-base</t>
  </si>
  <si>
    <t xml:space="preserve">https://huggingface.co/facebook/dpr-question_encoder-single-nq-base</t>
  </si>
  <si>
    <t xml:space="preserve">optimum-intel-internal-testing/tiny-random-OPTModel</t>
  </si>
  <si>
    <t xml:space="preserve">https://huggingface.co/optimum-intel-internal-testing/tiny-random-OPTModel</t>
  </si>
  <si>
    <t xml:space="preserve">vikp/surya_rec</t>
  </si>
  <si>
    <t xml:space="preserve">https://huggingface.co/vikp/surya_rec</t>
  </si>
  <si>
    <t xml:space="preserve">vantagewithai/Krea-2-Turbo-GGUF</t>
  </si>
  <si>
    <t xml:space="preserve">https://huggingface.co/vantagewithai/Krea-2-Turbo-GGUF</t>
  </si>
  <si>
    <t xml:space="preserve">nreimers/MiniLMv2-L6-H384-distilled-from-BERT-Large</t>
  </si>
  <si>
    <t xml:space="preserve">https://huggingface.co/nreimers/MiniLMv2-L6-H384-distilled-from-BERT-Large</t>
  </si>
  <si>
    <t xml:space="preserve">kernels-community/relu</t>
  </si>
  <si>
    <t xml:space="preserve">https://huggingface.co/kernels-community/relu</t>
  </si>
  <si>
    <t xml:space="preserve">jhu-clsp/mmBERT-small</t>
  </si>
  <si>
    <t xml:space="preserve">https://huggingface.co/jhu-clsp/mmBERT-small</t>
  </si>
  <si>
    <t xml:space="preserve">tattabio/flashppi</t>
  </si>
  <si>
    <t xml:space="preserve">tattabio</t>
  </si>
  <si>
    <t xml:space="preserve">https://huggingface.co/tattabio/flashppi</t>
  </si>
  <si>
    <t xml:space="preserve">cardiffnlp/twitter-roberta-base-irony</t>
  </si>
  <si>
    <t xml:space="preserve">https://huggingface.co/cardiffnlp/twitter-roberta-base-irony</t>
  </si>
  <si>
    <t xml:space="preserve">vinid/plip</t>
  </si>
  <si>
    <t xml:space="preserve">vinid</t>
  </si>
  <si>
    <t xml:space="preserve">https://huggingface.co/vinid/plip</t>
  </si>
  <si>
    <t xml:space="preserve">optimum-intel-internal-testing/tiny-GptOssForCausalLM</t>
  </si>
  <si>
    <t xml:space="preserve">https://huggingface.co/optimum-intel-internal-testing/tiny-GptOssForCausalLM</t>
  </si>
  <si>
    <t xml:space="preserve">farbodtavakkoli/OTel-LLM-8.3B-IT</t>
  </si>
  <si>
    <t xml:space="preserve">https://huggingface.co/farbodtavakkoli/OTel-LLM-8.3B-IT</t>
  </si>
  <si>
    <t xml:space="preserve">CohereLabs/c4ai-command-r-v01</t>
  </si>
  <si>
    <t xml:space="preserve">https://huggingface.co/CohereLabs/c4ai-command-r-v01</t>
  </si>
  <si>
    <t xml:space="preserve">CompVis/stable-diffusion-v1-1</t>
  </si>
  <si>
    <t xml:space="preserve">https://huggingface.co/CompVis/stable-diffusion-v1-1</t>
  </si>
  <si>
    <t xml:space="preserve">csebuetnlp/banglabert</t>
  </si>
  <si>
    <t xml:space="preserve">csebuetnlp</t>
  </si>
  <si>
    <t xml:space="preserve">https://huggingface.co/csebuetnlp/banglabert</t>
  </si>
  <si>
    <t xml:space="preserve">optimum-intel-internal-testing/phi-3.5-moe-tiny-random</t>
  </si>
  <si>
    <t xml:space="preserve">https://huggingface.co/optimum-intel-internal-testing/phi-3.5-moe-tiny-random</t>
  </si>
  <si>
    <t xml:space="preserve">myshell-ai/MeloTTS-Chinese</t>
  </si>
  <si>
    <t xml:space="preserve">https://huggingface.co/myshell-ai/MeloTTS-Chinese</t>
  </si>
  <si>
    <t xml:space="preserve">textattack/bert-base-uncased-SST-2</t>
  </si>
  <si>
    <t xml:space="preserve">textattack</t>
  </si>
  <si>
    <t xml:space="preserve">https://huggingface.co/textattack/bert-base-uncased-SST-2</t>
  </si>
  <si>
    <t xml:space="preserve">audio-cpp/Yue2-3B-GGUF</t>
  </si>
  <si>
    <t xml:space="preserve">https://huggingface.co/audio-cpp/Yue2-3B-GGUF</t>
  </si>
  <si>
    <t xml:space="preserve">optimum-intel-internal-testing/tiny-random-electra</t>
  </si>
  <si>
    <t xml:space="preserve">https://huggingface.co/optimum-intel-internal-testing/tiny-random-electra</t>
  </si>
  <si>
    <t xml:space="preserve">princeton-nlp/sup-simcse-roberta-base</t>
  </si>
  <si>
    <t xml:space="preserve">https://huggingface.co/princeton-nlp/sup-simcse-roberta-base</t>
  </si>
  <si>
    <t xml:space="preserve">google/vivit-b-16x2-kinetics400</t>
  </si>
  <si>
    <t xml:space="preserve">https://huggingface.co/google/vivit-b-16x2-kinetics400</t>
  </si>
  <si>
    <t xml:space="preserve">Milos/slovak-gpt-j-405M</t>
  </si>
  <si>
    <t xml:space="preserve">Milos</t>
  </si>
  <si>
    <t xml:space="preserve">https://huggingface.co/Milos/slovak-gpt-j-405M</t>
  </si>
  <si>
    <t xml:space="preserve">RunDiffusion/Juggernaut-XI-v11</t>
  </si>
  <si>
    <t xml:space="preserve">https://huggingface.co/RunDiffusion/Juggernaut-XI-v11</t>
  </si>
  <si>
    <t xml:space="preserve">optimum-intel-internal-testing/tiny-random-flux-fill</t>
  </si>
  <si>
    <t xml:space="preserve">https://huggingface.co/optimum-intel-internal-testing/tiny-random-flux-fill</t>
  </si>
  <si>
    <t xml:space="preserve">facebook/nllb-200-1.3B</t>
  </si>
  <si>
    <t xml:space="preserve">https://huggingface.co/facebook/nllb-200-1.3B</t>
  </si>
  <si>
    <t xml:space="preserve">upstage/SOLAR-10.7B-Instruct-v1.0</t>
  </si>
  <si>
    <t xml:space="preserve">upstage</t>
  </si>
  <si>
    <t xml:space="preserve">https://huggingface.co/upstage/SOLAR-10.7B-Instruct-v1.0</t>
  </si>
  <si>
    <t xml:space="preserve">optimum-intel-internal-testing/tiny-random-ibert</t>
  </si>
  <si>
    <t xml:space="preserve">https://huggingface.co/optimum-intel-internal-testing/tiny-random-ibert</t>
  </si>
  <si>
    <t xml:space="preserve">nvidia/segformer-b5-finetuned-cityscapes-1024-1024</t>
  </si>
  <si>
    <t xml:space="preserve">https://huggingface.co/nvidia/segformer-b5-finetuned-cityscapes-1024-1024</t>
  </si>
  <si>
    <t xml:space="preserve">arkohut/jina-embeddings-v2-base-en</t>
  </si>
  <si>
    <t xml:space="preserve">arkohut</t>
  </si>
  <si>
    <t xml:space="preserve">https://huggingface.co/arkohut/jina-embeddings-v2-base-en</t>
  </si>
  <si>
    <t xml:space="preserve">Jmica/Drama-3-GGUF</t>
  </si>
  <si>
    <t xml:space="preserve">Jmica</t>
  </si>
  <si>
    <t xml:space="preserve">https://huggingface.co/Jmica/Drama-3-GGUF</t>
  </si>
  <si>
    <t xml:space="preserve">digit82/kobart-summarization</t>
  </si>
  <si>
    <t xml:space="preserve">digit82</t>
  </si>
  <si>
    <t xml:space="preserve">https://huggingface.co/digit82/kobart-summarization</t>
  </si>
  <si>
    <t xml:space="preserve">BVRA/MegaDescriptor-B-224</t>
  </si>
  <si>
    <t xml:space="preserve">https://huggingface.co/BVRA/MegaDescriptor-B-224</t>
  </si>
  <si>
    <t xml:space="preserve">Comfy-Org/MoGe</t>
  </si>
  <si>
    <t xml:space="preserve">https://huggingface.co/Comfy-Org/MoGe</t>
  </si>
  <si>
    <t xml:space="preserve">emarro/pcad2-200M-cnet-baseline</t>
  </si>
  <si>
    <t xml:space="preserve">emarro</t>
  </si>
  <si>
    <t xml:space="preserve">https://huggingface.co/emarro/pcad2-200M-cnet-baseline</t>
  </si>
  <si>
    <t xml:space="preserve">TrevorJS/gemma-4-31B-it-uncensored</t>
  </si>
  <si>
    <t xml:space="preserve">https://huggingface.co/TrevorJS/gemma-4-31B-it-uncensored</t>
  </si>
  <si>
    <t xml:space="preserve">Laxhar/noobai-XL-Vpred-1.0</t>
  </si>
  <si>
    <t xml:space="preserve">https://huggingface.co/Laxhar/noobai-XL-Vpred-1.0</t>
  </si>
  <si>
    <t xml:space="preserve">ggml-org/test-model-stories260K-infill</t>
  </si>
  <si>
    <t xml:space="preserve">https://huggingface.co/ggml-org/test-model-stories260K-infill</t>
  </si>
  <si>
    <t xml:space="preserve">optimum-intel-internal-testing/tiny-random-GemmaForCausalLM</t>
  </si>
  <si>
    <t xml:space="preserve">https://huggingface.co/optimum-intel-internal-testing/tiny-random-GemmaForCausalLM</t>
  </si>
  <si>
    <t xml:space="preserve">optimum-intel-internal-testing/tiny-random-PersimmonForCausalLM</t>
  </si>
  <si>
    <t xml:space="preserve">https://huggingface.co/optimum-intel-internal-testing/tiny-random-PersimmonForCausalLM</t>
  </si>
  <si>
    <t xml:space="preserve">ggml-org/test-model-router-download</t>
  </si>
  <si>
    <t xml:space="preserve">https://huggingface.co/ggml-org/test-model-router-download</t>
  </si>
  <si>
    <t xml:space="preserve">flax-sentence-embeddings/st-codesearch-distilroberta-base</t>
  </si>
  <si>
    <t xml:space="preserve">flax-sentence-embeddings</t>
  </si>
  <si>
    <t xml:space="preserve">https://huggingface.co/flax-sentence-embeddings/st-codesearch-distilroberta-base</t>
  </si>
  <si>
    <t xml:space="preserve">DeepBeepMeep/TTS</t>
  </si>
  <si>
    <t xml:space="preserve">https://huggingface.co/DeepBeepMeep/TTS</t>
  </si>
  <si>
    <t xml:space="preserve">unsloth/Z-Image-GGUF</t>
  </si>
  <si>
    <t xml:space="preserve">https://huggingface.co/unsloth/Z-Image-GGUF</t>
  </si>
  <si>
    <t xml:space="preserve">nvidia/Cosmos-Transfer2.5-2B</t>
  </si>
  <si>
    <t xml:space="preserve">https://huggingface.co/nvidia/Cosmos-Transfer2.5-2B</t>
  </si>
  <si>
    <t xml:space="preserve">optimum-intel-internal-testing/tiny-random-roformer</t>
  </si>
  <si>
    <t xml:space="preserve">https://huggingface.co/optimum-intel-internal-testing/tiny-random-roformer</t>
  </si>
  <si>
    <t xml:space="preserve">argmaxinc/speakerkit-coreml</t>
  </si>
  <si>
    <t xml:space="preserve">https://huggingface.co/argmaxinc/speakerkit-coreml</t>
  </si>
  <si>
    <t xml:space="preserve">vikp/surya_layout2</t>
  </si>
  <si>
    <t xml:space="preserve">https://huggingface.co/vikp/surya_layout2</t>
  </si>
  <si>
    <t xml:space="preserve">OpenMed/OpenMed-ZeroShot-NER-Anatomy-Medium-209M</t>
  </si>
  <si>
    <t xml:space="preserve">https://huggingface.co/OpenMed/OpenMed-ZeroShot-NER-Anatomy-Medium-209M</t>
  </si>
  <si>
    <t xml:space="preserve">GSAI-ML/LLaDA-1.5</t>
  </si>
  <si>
    <t xml:space="preserve">https://huggingface.co/GSAI-ML/LLaDA-1.5</t>
  </si>
  <si>
    <t xml:space="preserve">optimum-intel-internal-testing/tiny-random-squeezebert</t>
  </si>
  <si>
    <t xml:space="preserve">https://huggingface.co/optimum-intel-internal-testing/tiny-random-squeezebert</t>
  </si>
  <si>
    <t xml:space="preserve">optimum-intel-internal-testing/stsb-bert-tiny-safetensors</t>
  </si>
  <si>
    <t xml:space="preserve">https://huggingface.co/optimum-intel-internal-testing/stsb-bert-tiny-safetensors</t>
  </si>
  <si>
    <t xml:space="preserve">OpenMed/OpenMed-ZeroShot-NER-Disease-XLarge-770M</t>
  </si>
  <si>
    <t xml:space="preserve">https://huggingface.co/OpenMed/OpenMed-ZeroShot-NER-Disease-XLarge-770M</t>
  </si>
  <si>
    <t xml:space="preserve">bartowski/Llama-3.3-70B-Instruct-abliterated-GGUF</t>
  </si>
  <si>
    <t xml:space="preserve">https://huggingface.co/bartowski/Llama-3.3-70B-Instruct-abliterated-GGUF</t>
  </si>
  <si>
    <t xml:space="preserve">MilaNLProc/bert-base-uncased-ear-misogyny</t>
  </si>
  <si>
    <t xml:space="preserve">https://huggingface.co/MilaNLProc/bert-base-uncased-ear-misogyny</t>
  </si>
  <si>
    <t xml:space="preserve">ai-sage/GigaAM-Multilingual</t>
  </si>
  <si>
    <t xml:space="preserve">https://huggingface.co/ai-sage/GigaAM-Multilingual</t>
  </si>
  <si>
    <t xml:space="preserve">optimum-intel-internal-testing/tiny-random-pegasus</t>
  </si>
  <si>
    <t xml:space="preserve">https://huggingface.co/optimum-intel-internal-testing/tiny-random-pegasus</t>
  </si>
  <si>
    <t xml:space="preserve">google/byt5-base</t>
  </si>
  <si>
    <t xml:space="preserve">https://huggingface.co/google/byt5-base</t>
  </si>
  <si>
    <t xml:space="preserve">valhalla/t5-base-qg-hl</t>
  </si>
  <si>
    <t xml:space="preserve">https://huggingface.co/valhalla/t5-base-qg-hl</t>
  </si>
  <si>
    <t xml:space="preserve">aufklarer/DeepFilterNet3-CoreML</t>
  </si>
  <si>
    <t xml:space="preserve">https://huggingface.co/aufklarer/DeepFilterNet3-CoreML</t>
  </si>
  <si>
    <t xml:space="preserve">notmax123/Zonos-Hebrew</t>
  </si>
  <si>
    <t xml:space="preserve">notmax123</t>
  </si>
  <si>
    <t xml:space="preserve">https://huggingface.co/notmax123/Zonos-Hebrew</t>
  </si>
  <si>
    <t xml:space="preserve">mlc-ai/Llama-3.2-1B-Instruct-q4f16_1-MLC</t>
  </si>
  <si>
    <t xml:space="preserve">mlc-ai</t>
  </si>
  <si>
    <t xml:space="preserve">https://huggingface.co/mlc-ai/Llama-3.2-1B-Instruct-q4f16_1-MLC</t>
  </si>
  <si>
    <t xml:space="preserve">m-ric/Aria_hf_2</t>
  </si>
  <si>
    <t xml:space="preserve">m-ric</t>
  </si>
  <si>
    <t xml:space="preserve">https://huggingface.co/m-ric/Aria_hf_2</t>
  </si>
  <si>
    <t xml:space="preserve">utter-project/mHuBERT-147</t>
  </si>
  <si>
    <t xml:space="preserve">https://huggingface.co/utter-project/mHuBERT-147</t>
  </si>
  <si>
    <t xml:space="preserve">llamafactory/tiny-random-Llama-3-lora</t>
  </si>
  <si>
    <t xml:space="preserve">https://huggingface.co/llamafactory/tiny-random-Llama-3-lora</t>
  </si>
  <si>
    <t xml:space="preserve">optimum-intel-internal-testing/tiny-random-GPTNeoXJapaneseForCausalLM</t>
  </si>
  <si>
    <t xml:space="preserve">https://huggingface.co/optimum-intel-internal-testing/tiny-random-GPTNeoXJapaneseForCausalLM</t>
  </si>
  <si>
    <t xml:space="preserve">naver/MASt3R_ViTLarge_BaseDecoder_512_catmlpdpt_metric</t>
  </si>
  <si>
    <t xml:space="preserve">https://huggingface.co/naver/MASt3R_ViTLarge_BaseDecoder_512_catmlpdpt_metric</t>
  </si>
  <si>
    <t xml:space="preserve">LyliaEngine/waiIllustriousSDXL_v170</t>
  </si>
  <si>
    <t xml:space="preserve">https://huggingface.co/LyliaEngine/waiIllustriousSDXL_v170</t>
  </si>
  <si>
    <t xml:space="preserve">google/electra-large-discriminator</t>
  </si>
  <si>
    <t xml:space="preserve">https://huggingface.co/google/electra-large-discriminator</t>
  </si>
  <si>
    <t xml:space="preserve">latent-consistency/lcm-lora-sdxl</t>
  </si>
  <si>
    <t xml:space="preserve">https://huggingface.co/latent-consistency/lcm-lora-sdxl</t>
  </si>
  <si>
    <t xml:space="preserve">Manojb/stable-diffusion-2-1-base</t>
  </si>
  <si>
    <t xml:space="preserve">Manojb</t>
  </si>
  <si>
    <t xml:space="preserve">https://huggingface.co/Manojb/stable-diffusion-2-1-base</t>
  </si>
  <si>
    <t xml:space="preserve">timm/vit_large_patch16_224.mae</t>
  </si>
  <si>
    <t xml:space="preserve">https://huggingface.co/timm/vit_large_patch16_224.mae</t>
  </si>
  <si>
    <t xml:space="preserve">cyberdelia/CyberRealisticPony</t>
  </si>
  <si>
    <t xml:space="preserve">https://huggingface.co/cyberdelia/CyberRealisticPony</t>
  </si>
  <si>
    <t xml:space="preserve">google/metricx-24-hybrid-xl-v2p6</t>
  </si>
  <si>
    <t xml:space="preserve">https://huggingface.co/google/metricx-24-hybrid-xl-v2p6</t>
  </si>
  <si>
    <t xml:space="preserve">persiannlp/mt5-small-parsinlu-opus-translation_fa_en</t>
  </si>
  <si>
    <t xml:space="preserve">persiannlp</t>
  </si>
  <si>
    <t xml:space="preserve">https://huggingface.co/persiannlp/mt5-small-parsinlu-opus-translation_fa_en</t>
  </si>
  <si>
    <t xml:space="preserve">nyralabs/CrisperWhisper</t>
  </si>
  <si>
    <t xml:space="preserve">nyralabs</t>
  </si>
  <si>
    <t xml:space="preserve">https://huggingface.co/nyralabs/CrisperWhisper</t>
  </si>
  <si>
    <t xml:space="preserve">Isotr0py/test-gguf-sample</t>
  </si>
  <si>
    <t xml:space="preserve">Isotr0py</t>
  </si>
  <si>
    <t xml:space="preserve">https://huggingface.co/Isotr0py/test-gguf-sample</t>
  </si>
  <si>
    <t xml:space="preserve">peft-internal-testing/tiny-random-BartForConditionalGeneration</t>
  </si>
  <si>
    <t xml:space="preserve">https://huggingface.co/peft-internal-testing/tiny-random-BartForConditionalGeneration</t>
  </si>
  <si>
    <t xml:space="preserve">nvidia/Alpamayo-1.5-10B</t>
  </si>
  <si>
    <t xml:space="preserve">https://huggingface.co/nvidia/Alpamayo-1.5-10B</t>
  </si>
  <si>
    <t xml:space="preserve">List-cloud/List-3.0-Ultra-Coder-Brain</t>
  </si>
  <si>
    <t xml:space="preserve">List-cloud</t>
  </si>
  <si>
    <t xml:space="preserve">https://huggingface.co/List-cloud/List-3.0-Ultra-Coder-Brain</t>
  </si>
  <si>
    <t xml:space="preserve">DavidAU/Llama-3.2-8X3B-MOE-Dark-Champion-Instruct-uncensored-abliterated-18.4B-GGUF</t>
  </si>
  <si>
    <t xml:space="preserve">DavidAU</t>
  </si>
  <si>
    <t xml:space="preserve">https://huggingface.co/DavidAU/Llama-3.2-8X3B-MOE-Dark-Champion-Instruct-uncensored-abliterated-18.4B-GGUF</t>
  </si>
  <si>
    <t xml:space="preserve">Rostlab/ProstT5_fp16</t>
  </si>
  <si>
    <t xml:space="preserve">https://huggingface.co/Rostlab/ProstT5_fp16</t>
  </si>
  <si>
    <t xml:space="preserve">histai/hibou-L</t>
  </si>
  <si>
    <t xml:space="preserve">histai</t>
  </si>
  <si>
    <t xml:space="preserve">https://huggingface.co/histai/hibou-L</t>
  </si>
  <si>
    <t xml:space="preserve">stabilityai/stable-video-diffusion-img2vid</t>
  </si>
  <si>
    <t xml:space="preserve">https://huggingface.co/stabilityai/stable-video-diffusion-img2vid</t>
  </si>
  <si>
    <t xml:space="preserve">neuphonic/distill-neucodec</t>
  </si>
  <si>
    <t xml:space="preserve">https://huggingface.co/neuphonic/distill-neucodec</t>
  </si>
  <si>
    <t xml:space="preserve">microsoft/wavlm-base-plus-sd</t>
  </si>
  <si>
    <t xml:space="preserve">audio-frame-classification</t>
  </si>
  <si>
    <t xml:space="preserve">https://huggingface.co/microsoft/wavlm-base-plus-sd</t>
  </si>
  <si>
    <t xml:space="preserve">Supertone/supertonic-3</t>
  </si>
  <si>
    <t xml:space="preserve">Supertone</t>
  </si>
  <si>
    <t xml:space="preserve">https://huggingface.co/Supertone/supertonic-3</t>
  </si>
  <si>
    <t xml:space="preserve">echarlaix/tiny-random-PhiForCausalLM</t>
  </si>
  <si>
    <t xml:space="preserve">echarlaix</t>
  </si>
  <si>
    <t xml:space="preserve">https://huggingface.co/echarlaix/tiny-random-PhiForCausalLM</t>
  </si>
  <si>
    <t xml:space="preserve">optimum-intel-internal-testing/tiny-random-olmo2</t>
  </si>
  <si>
    <t xml:space="preserve">https://huggingface.co/optimum-intel-internal-testing/tiny-random-olmo2</t>
  </si>
  <si>
    <t xml:space="preserve">EleutherAI/enformer-official-rough</t>
  </si>
  <si>
    <t xml:space="preserve">https://huggingface.co/EleutherAI/enformer-official-rough</t>
  </si>
  <si>
    <t xml:space="preserve">parler-tts/parler-tts-mini-multilingual-v1.1</t>
  </si>
  <si>
    <t xml:space="preserve">parler-tts</t>
  </si>
  <si>
    <t xml:space="preserve">https://huggingface.co/parler-tts/parler-tts-mini-multilingual-v1.1</t>
  </si>
  <si>
    <t xml:space="preserve">pyannote-community/speaker-diarization-community-1</t>
  </si>
  <si>
    <t xml:space="preserve">pyannote-community</t>
  </si>
  <si>
    <t xml:space="preserve">https://huggingface.co/pyannote-community/speaker-diarization-community-1</t>
  </si>
  <si>
    <t xml:space="preserve">lllyasviel/FramePack_F1_I2V_HY_20250503</t>
  </si>
  <si>
    <t xml:space="preserve">https://huggingface.co/lllyasviel/FramePack_F1_I2V_HY_20250503</t>
  </si>
  <si>
    <t xml:space="preserve">optimum-intel-internal-testing/tiny-random-trinity</t>
  </si>
  <si>
    <t xml:space="preserve">https://huggingface.co/optimum-intel-internal-testing/tiny-random-trinity</t>
  </si>
  <si>
    <t xml:space="preserve">imageomics/bioclip</t>
  </si>
  <si>
    <t xml:space="preserve">https://huggingface.co/imageomics/bioclip</t>
  </si>
  <si>
    <t xml:space="preserve">duongve/NetaYume-Lumina-Image-2.0</t>
  </si>
  <si>
    <t xml:space="preserve">duongve</t>
  </si>
  <si>
    <t xml:space="preserve">https://huggingface.co/duongve/NetaYume-Lumina-Image-2.0</t>
  </si>
  <si>
    <t xml:space="preserve">nlpaueb/sec-bert-base</t>
  </si>
  <si>
    <t xml:space="preserve">https://huggingface.co/nlpaueb/sec-bert-base</t>
  </si>
  <si>
    <t xml:space="preserve">peft-internal-testing/tiny-random-RobertaForSequenceClassification</t>
  </si>
  <si>
    <t xml:space="preserve">https://huggingface.co/peft-internal-testing/tiny-random-RobertaForSequenceClassification</t>
  </si>
  <si>
    <t xml:space="preserve">vikp/surya_det</t>
  </si>
  <si>
    <t xml:space="preserve">https://huggingface.co/vikp/surya_det</t>
  </si>
  <si>
    <t xml:space="preserve">optimum-intel-internal-testing/tiny-random-gemma2</t>
  </si>
  <si>
    <t xml:space="preserve">https://huggingface.co/optimum-intel-internal-testing/tiny-random-gemma2</t>
  </si>
  <si>
    <t xml:space="preserve">Helsinki-NLP/opus-mt-fi-en</t>
  </si>
  <si>
    <t xml:space="preserve">https://huggingface.co/Helsinki-NLP/opus-mt-fi-en</t>
  </si>
  <si>
    <t xml:space="preserve">OFA-Sys/chinese-clip-vit-large-patch14</t>
  </si>
  <si>
    <t xml:space="preserve">https://huggingface.co/OFA-Sys/chinese-clip-vit-large-patch14</t>
  </si>
  <si>
    <t xml:space="preserve">patrickvonplaten/bert2bert-cnn_dailymail-fp16</t>
  </si>
  <si>
    <t xml:space="preserve">https://huggingface.co/patrickvonplaten/bert2bert-cnn_dailymail-fp16</t>
  </si>
  <si>
    <t xml:space="preserve">myshell-ai/MeloTTS-Spanish</t>
  </si>
  <si>
    <t xml:space="preserve">https://huggingface.co/myshell-ai/MeloTTS-Spanish</t>
  </si>
  <si>
    <t xml:space="preserve">Salesforce/codet5p-110m-embedding</t>
  </si>
  <si>
    <t xml:space="preserve">https://huggingface.co/Salesforce/codet5p-110m-embedding</t>
  </si>
  <si>
    <t xml:space="preserve">Flux9665/ToucanTTS</t>
  </si>
  <si>
    <t xml:space="preserve">Flux9665</t>
  </si>
  <si>
    <t xml:space="preserve">https://huggingface.co/Flux9665/ToucanTTS</t>
  </si>
  <si>
    <t xml:space="preserve">Helsinki-NLP/opus-mt-pl-en</t>
  </si>
  <si>
    <t xml:space="preserve">https://huggingface.co/Helsinki-NLP/opus-mt-pl-en</t>
  </si>
  <si>
    <t xml:space="preserve">ml-resources/flux-3-image-klein-comfy</t>
  </si>
  <si>
    <t xml:space="preserve">ml-resources</t>
  </si>
  <si>
    <t xml:space="preserve">https://huggingface.co/ml-resources/flux-3-image-klein-comfy</t>
  </si>
  <si>
    <t xml:space="preserve">brain-bzh/reve-base</t>
  </si>
  <si>
    <t xml:space="preserve">brain-bzh</t>
  </si>
  <si>
    <t xml:space="preserve">https://huggingface.co/brain-bzh/reve-base</t>
  </si>
  <si>
    <t xml:space="preserve">facebook/mbart-large-50</t>
  </si>
  <si>
    <t xml:space="preserve">https://huggingface.co/facebook/mbart-large-50</t>
  </si>
  <si>
    <t xml:space="preserve">optimum-intel-internal-testing/tiny-random-BioGptForCausalLM</t>
  </si>
  <si>
    <t xml:space="preserve">https://huggingface.co/optimum-intel-internal-testing/tiny-random-BioGptForCausalLM</t>
  </si>
  <si>
    <t xml:space="preserve">wasmdashai/lahja-sa-ahmad-v1</t>
  </si>
  <si>
    <t xml:space="preserve">wasmdashai</t>
  </si>
  <si>
    <t xml:space="preserve">https://huggingface.co/wasmdashai/lahja-sa-ahmad-v1</t>
  </si>
  <si>
    <t xml:space="preserve">skt/kogpt2-base-v2</t>
  </si>
  <si>
    <t xml:space="preserve">https://huggingface.co/skt/kogpt2-base-v2</t>
  </si>
  <si>
    <t xml:space="preserve">RavichandranJ/Dolphin3-Cyber-8B-GGUF</t>
  </si>
  <si>
    <t xml:space="preserve">RavichandranJ</t>
  </si>
  <si>
    <t xml:space="preserve">https://huggingface.co/RavichandranJ/Dolphin3-Cyber-8B-GGUF</t>
  </si>
  <si>
    <t xml:space="preserve">wangfuyun/AnimateLCM</t>
  </si>
  <si>
    <t xml:space="preserve">wangfuyun</t>
  </si>
  <si>
    <t xml:space="preserve">https://huggingface.co/wangfuyun/AnimateLCM</t>
  </si>
  <si>
    <t xml:space="preserve">PerceptronAI/Isaac-0.2-2B-Preview</t>
  </si>
  <si>
    <t xml:space="preserve">PerceptronAI</t>
  </si>
  <si>
    <t xml:space="preserve">https://huggingface.co/PerceptronAI/Isaac-0.2-2B-Preview</t>
  </si>
  <si>
    <t xml:space="preserve">peft-internal-testing/tiny-random-BertForSequenceClassification</t>
  </si>
  <si>
    <t xml:space="preserve">https://huggingface.co/peft-internal-testing/tiny-random-BertForSequenceClassification</t>
  </si>
  <si>
    <t xml:space="preserve">bioptimus/H-optimus-1</t>
  </si>
  <si>
    <t xml:space="preserve">https://huggingface.co/bioptimus/H-optimus-1</t>
  </si>
  <si>
    <t xml:space="preserve">baffo32/decapoda-research-llama-7B-hf</t>
  </si>
  <si>
    <t xml:space="preserve">baffo32</t>
  </si>
  <si>
    <t xml:space="preserve">https://huggingface.co/baffo32/decapoda-research-llama-7B-hf</t>
  </si>
  <si>
    <t xml:space="preserve">unsloth/FLUX.2-dev-GGUF</t>
  </si>
  <si>
    <t xml:space="preserve">https://huggingface.co/unsloth/FLUX.2-dev-GGUF</t>
  </si>
  <si>
    <t xml:space="preserve">Danswer/intent-model</t>
  </si>
  <si>
    <t xml:space="preserve">Danswer</t>
  </si>
  <si>
    <t xml:space="preserve">https://huggingface.co/Danswer/intent-model</t>
  </si>
  <si>
    <t xml:space="preserve">peft-internal-testing/tiny-random-RobertaModel</t>
  </si>
  <si>
    <t xml:space="preserve">https://huggingface.co/peft-internal-testing/tiny-random-RobertaModel</t>
  </si>
  <si>
    <t xml:space="preserve">failspy/Meta-Llama-3-8B-Instruct-abliterated-v3</t>
  </si>
  <si>
    <t xml:space="preserve">failspy</t>
  </si>
  <si>
    <t xml:space="preserve">https://huggingface.co/failspy/Meta-Llama-3-8B-Instruct-abliterated-v3</t>
  </si>
  <si>
    <t xml:space="preserve">cafeai/cafe_style</t>
  </si>
  <si>
    <t xml:space="preserve">cafeai</t>
  </si>
  <si>
    <t xml:space="preserve">https://huggingface.co/cafeai/cafe_style</t>
  </si>
  <si>
    <t xml:space="preserve">ideogram-ai/ideogram-4-fp8</t>
  </si>
  <si>
    <t xml:space="preserve">ideogram-ai</t>
  </si>
  <si>
    <t xml:space="preserve">https://huggingface.co/ideogram-ai/ideogram-4-fp8</t>
  </si>
  <si>
    <t xml:space="preserve">RedHatAI/gemma-4-31B-it-speculator.eagle3</t>
  </si>
  <si>
    <t xml:space="preserve">https://huggingface.co/RedHatAI/gemma-4-31B-it-speculator.eagle3</t>
  </si>
  <si>
    <t xml:space="preserve">unsloth/orpheus-3b-0.1-ft</t>
  </si>
  <si>
    <t xml:space="preserve">https://huggingface.co/unsloth/orpheus-3b-0.1-ft</t>
  </si>
  <si>
    <t xml:space="preserve">facebook/wav2vec2-large-960h</t>
  </si>
  <si>
    <t xml:space="preserve">https://huggingface.co/facebook/wav2vec2-large-960h</t>
  </si>
  <si>
    <t xml:space="preserve">delphi-suite/v0-llama2-100k</t>
  </si>
  <si>
    <t xml:space="preserve">delphi-suite</t>
  </si>
  <si>
    <t xml:space="preserve">https://huggingface.co/delphi-suite/v0-llama2-100k</t>
  </si>
  <si>
    <t xml:space="preserve">Rostlab/prot_bert_bfd</t>
  </si>
  <si>
    <t xml:space="preserve">https://huggingface.co/Rostlab/prot_bert_bfd</t>
  </si>
  <si>
    <t xml:space="preserve">AEON-7/Gemma-4-E4B-DECKARD-HERETIC-NVFP4</t>
  </si>
  <si>
    <t xml:space="preserve">https://huggingface.co/AEON-7/Gemma-4-E4B-DECKARD-HERETIC-NVFP4</t>
  </si>
  <si>
    <t xml:space="preserve">dx8152/Flux2-Klein-9B-Consistency</t>
  </si>
  <si>
    <t xml:space="preserve">dx8152</t>
  </si>
  <si>
    <t xml:space="preserve">https://huggingface.co/dx8152/Flux2-Klein-9B-Consistency</t>
  </si>
  <si>
    <t xml:space="preserve">billatsectorflow/stella_en_400M_v5</t>
  </si>
  <si>
    <t xml:space="preserve">billatsectorflow</t>
  </si>
  <si>
    <t xml:space="preserve">https://huggingface.co/billatsectorflow/stella_en_400M_v5</t>
  </si>
  <si>
    <t xml:space="preserve">TinyLlama/TinyLlama_v1.1</t>
  </si>
  <si>
    <t xml:space="preserve">https://huggingface.co/TinyLlama/TinyLlama_v1.1</t>
  </si>
  <si>
    <t xml:space="preserve">nvidia/Nemotron-Cascade-2-30B-A3B</t>
  </si>
  <si>
    <t xml:space="preserve">https://huggingface.co/nvidia/Nemotron-Cascade-2-30B-A3B</t>
  </si>
  <si>
    <t xml:space="preserve">ibm-granite/granite-4.0-3b-vision</t>
  </si>
  <si>
    <t xml:space="preserve">https://huggingface.co/ibm-granite/granite-4.0-3b-vision</t>
  </si>
  <si>
    <t xml:space="preserve">nvidia/bigvgan_v2_24khz_100band_256x</t>
  </si>
  <si>
    <t xml:space="preserve">https://huggingface.co/nvidia/bigvgan_v2_24khz_100band_256x</t>
  </si>
  <si>
    <t xml:space="preserve">dphn/Dolphin3.0-Llama3.1-8B-GGUF</t>
  </si>
  <si>
    <t xml:space="preserve">https://huggingface.co/dphn/Dolphin3.0-Llama3.1-8B-GGUF</t>
  </si>
  <si>
    <t xml:space="preserve">Comfy-Org/NewBie-Image-Exp0.1</t>
  </si>
  <si>
    <t xml:space="preserve">https://huggingface.co/Comfy-Org/NewBie-Image-Exp0.1</t>
  </si>
  <si>
    <t xml:space="preserve">pritamdeka/BioBERT-mnli-snli-scinli-scitail-mednli-stsb</t>
  </si>
  <si>
    <t xml:space="preserve">https://huggingface.co/pritamdeka/BioBERT-mnli-snli-scinli-scitail-mednli-stsb</t>
  </si>
  <si>
    <t xml:space="preserve">software-mansion/react-native-executorch-fsmn-vad</t>
  </si>
  <si>
    <t xml:space="preserve">https://huggingface.co/software-mansion/react-native-executorch-fsmn-vad</t>
  </si>
  <si>
    <t xml:space="preserve">Helsinki-NLP/opus-mt-ja-en</t>
  </si>
  <si>
    <t xml:space="preserve">https://huggingface.co/Helsinki-NLP/opus-mt-ja-en</t>
  </si>
  <si>
    <t xml:space="preserve">microsoft/infoxlm-base</t>
  </si>
  <si>
    <t xml:space="preserve">https://huggingface.co/microsoft/infoxlm-base</t>
  </si>
  <si>
    <t xml:space="preserve">optimum-intel-internal-testing/tiny-random-WavlmModel</t>
  </si>
  <si>
    <t xml:space="preserve">https://huggingface.co/optimum-intel-internal-testing/tiny-random-WavlmModel</t>
  </si>
  <si>
    <t xml:space="preserve">optimum-intel-internal-testing/tiny-random-UnispeechSatModel</t>
  </si>
  <si>
    <t xml:space="preserve">https://huggingface.co/optimum-intel-internal-testing/tiny-random-UnispeechSatModel</t>
  </si>
  <si>
    <t xml:space="preserve">optimum-intel-internal-testing/tiny-random-Data2VecAudioModel</t>
  </si>
  <si>
    <t xml:space="preserve">https://huggingface.co/optimum-intel-internal-testing/tiny-random-Data2VecAudioModel</t>
  </si>
  <si>
    <t xml:space="preserve">poolside/Laguna-S-2.1-INT4</t>
  </si>
  <si>
    <t xml:space="preserve">https://huggingface.co/poolside/Laguna-S-2.1-INT4</t>
  </si>
  <si>
    <t xml:space="preserve">kernels-community/vllm-flash-attn3</t>
  </si>
  <si>
    <t xml:space="preserve">https://huggingface.co/kernels-community/vllm-flash-attn3</t>
  </si>
  <si>
    <t xml:space="preserve">neuphonic/neutts-nano</t>
  </si>
  <si>
    <t xml:space="preserve">https://huggingface.co/neuphonic/neutts-nano</t>
  </si>
  <si>
    <t xml:space="preserve">nvidia/difix</t>
  </si>
  <si>
    <t xml:space="preserve">https://huggingface.co/nvidia/difix</t>
  </si>
  <si>
    <t xml:space="preserve">snunlp/KR-ELECTRA-generator</t>
  </si>
  <si>
    <t xml:space="preserve">https://huggingface.co/snunlp/KR-ELECTRA-generator</t>
  </si>
  <si>
    <t xml:space="preserve">Systran/faster-distil-whisper-medium.en</t>
  </si>
  <si>
    <t xml:space="preserve">https://huggingface.co/Systran/faster-distil-whisper-medium.en</t>
  </si>
  <si>
    <t xml:space="preserve">LykosAI/GPT-Prompt-Expansion-Fooocus-v2</t>
  </si>
  <si>
    <t xml:space="preserve">LykosAI</t>
  </si>
  <si>
    <t xml:space="preserve">https://huggingface.co/LykosAI/GPT-Prompt-Expansion-Fooocus-v2</t>
  </si>
  <si>
    <t xml:space="preserve">trl-internal-testing/tiny-Idefics3ForConditionalGeneration</t>
  </si>
  <si>
    <t xml:space="preserve">https://huggingface.co/trl-internal-testing/tiny-Idefics3ForConditionalGeneration</t>
  </si>
  <si>
    <t xml:space="preserve">datalab-to/surya_layout</t>
  </si>
  <si>
    <t xml:space="preserve">datalab-to</t>
  </si>
  <si>
    <t xml:space="preserve">https://huggingface.co/datalab-to/surya_layout</t>
  </si>
  <si>
    <t xml:space="preserve">GilpinLab/panda-72M</t>
  </si>
  <si>
    <t xml:space="preserve">GilpinLab</t>
  </si>
  <si>
    <t xml:space="preserve">https://huggingface.co/GilpinLab/panda-72M</t>
  </si>
  <si>
    <t xml:space="preserve">facebook/wav2vec2-xls-r-1b</t>
  </si>
  <si>
    <t xml:space="preserve">https://huggingface.co/facebook/wav2vec2-xls-r-1b</t>
  </si>
  <si>
    <t xml:space="preserve">facebook/wav2vec2-large-xlsr-53-dutch</t>
  </si>
  <si>
    <t xml:space="preserve">https://huggingface.co/facebook/wav2vec2-large-xlsr-53-dutch</t>
  </si>
  <si>
    <t xml:space="preserve">poolside/Laguna-XS-2.1-NVFP4</t>
  </si>
  <si>
    <t xml:space="preserve">https://huggingface.co/poolside/Laguna-XS-2.1-NVFP4</t>
  </si>
  <si>
    <t xml:space="preserve">apple/DFN2B-CLIP-ViT-L-14</t>
  </si>
  <si>
    <t xml:space="preserve">https://huggingface.co/apple/DFN2B-CLIP-ViT-L-14</t>
  </si>
  <si>
    <t xml:space="preserve">optimum-intel-internal-testing/tiny-random-MptForCausalLM</t>
  </si>
  <si>
    <t xml:space="preserve">https://huggingface.co/optimum-intel-internal-testing/tiny-random-MptForCausalLM</t>
  </si>
  <si>
    <t xml:space="preserve">jayn7/Z-Image-Turbo-GGUF</t>
  </si>
  <si>
    <t xml:space="preserve">jayn7</t>
  </si>
  <si>
    <t xml:space="preserve">https://huggingface.co/jayn7/Z-Image-Turbo-GGUF</t>
  </si>
  <si>
    <t xml:space="preserve">OpenMed/OpenMed-ZeroShot-NER-Genomic-Medium-209M</t>
  </si>
  <si>
    <t xml:space="preserve">https://huggingface.co/OpenMed/OpenMed-ZeroShot-NER-Genomic-Medium-209M</t>
  </si>
  <si>
    <t xml:space="preserve">ai4bharat/IndicNER</t>
  </si>
  <si>
    <t xml:space="preserve">https://huggingface.co/ai4bharat/IndicNER</t>
  </si>
  <si>
    <t xml:space="preserve">qujincheng/Z-Image-Lora</t>
  </si>
  <si>
    <t xml:space="preserve">qujincheng</t>
  </si>
  <si>
    <t xml:space="preserve">https://huggingface.co/qujincheng/Z-Image-Lora</t>
  </si>
  <si>
    <t xml:space="preserve">jinaai/jina-embeddings-v5-omni-nano</t>
  </si>
  <si>
    <t xml:space="preserve">https://huggingface.co/jinaai/jina-embeddings-v5-omni-nano</t>
  </si>
  <si>
    <t xml:space="preserve">AI-Growth-Lab/PatentSBERTa</t>
  </si>
  <si>
    <t xml:space="preserve">AI-Growth-Lab</t>
  </si>
  <si>
    <t xml:space="preserve">https://huggingface.co/AI-Growth-Lab/PatentSBERTa</t>
  </si>
  <si>
    <t xml:space="preserve">fxmarty/speecht5-hifigan-tiny</t>
  </si>
  <si>
    <t xml:space="preserve">fxmarty</t>
  </si>
  <si>
    <t xml:space="preserve">https://huggingface.co/fxmarty/speecht5-hifigan-tiny</t>
  </si>
  <si>
    <t xml:space="preserve">InstaDeepAI/nucleotide-transformer-500m-human-ref</t>
  </si>
  <si>
    <t xml:space="preserve">InstaDeepAI</t>
  </si>
  <si>
    <t xml:space="preserve">https://huggingface.co/InstaDeepAI/nucleotide-transformer-500m-human-ref</t>
  </si>
  <si>
    <t xml:space="preserve">https://huggingface.co/nreimers/BERT-Tiny_L-2_H-128_A-2</t>
  </si>
  <si>
    <t xml:space="preserve">ZhengPeng7/BiRefNet-portrait</t>
  </si>
  <si>
    <t xml:space="preserve">https://huggingface.co/ZhengPeng7/BiRefNet-portrait</t>
  </si>
  <si>
    <t xml:space="preserve">iitolstykh/YOLO-Face-Person-Detector</t>
  </si>
  <si>
    <t xml:space="preserve">https://huggingface.co/iitolstykh/YOLO-Face-Person-Detector</t>
  </si>
  <si>
    <t xml:space="preserve">https://huggingface.co/prajjwal1/bert-small</t>
  </si>
  <si>
    <t xml:space="preserve">DeepBeepMeep/Flux2</t>
  </si>
  <si>
    <t xml:space="preserve">https://huggingface.co/DeepBeepMeep/Flux2</t>
  </si>
  <si>
    <t xml:space="preserve">Salesforce/blip-itm-base-coco</t>
  </si>
  <si>
    <t xml:space="preserve">https://huggingface.co/Salesforce/blip-itm-base-coco</t>
  </si>
  <si>
    <t xml:space="preserve">bartowski/gemma-2-2b-it-abliterated-GGUF</t>
  </si>
  <si>
    <t xml:space="preserve">https://huggingface.co/bartowski/gemma-2-2b-it-abliterated-GGUF</t>
  </si>
  <si>
    <t xml:space="preserve">datalab-to/ocr_error_detection</t>
  </si>
  <si>
    <t xml:space="preserve">https://huggingface.co/datalab-to/ocr_error_detection</t>
  </si>
  <si>
    <t xml:space="preserve">facebook/map-anything-apache</t>
  </si>
  <si>
    <t xml:space="preserve">https://huggingface.co/facebook/map-anything-apache</t>
  </si>
  <si>
    <t xml:space="preserve">optimum-intel-internal-testing/tiny-random-mistral-nemo</t>
  </si>
  <si>
    <t xml:space="preserve">https://huggingface.co/optimum-intel-internal-testing/tiny-random-mistral-nemo</t>
  </si>
  <si>
    <t xml:space="preserve">farbodtavakkoli/OTel-LLM-1.2B-IT</t>
  </si>
  <si>
    <t xml:space="preserve">https://huggingface.co/farbodtavakkoli/OTel-LLM-1.2B-IT</t>
  </si>
  <si>
    <t xml:space="preserve">optimum-intel-internal-testing/tiny-random-GPTNeoModel</t>
  </si>
  <si>
    <t xml:space="preserve">https://huggingface.co/optimum-intel-internal-testing/tiny-random-GPTNeoModel</t>
  </si>
  <si>
    <t xml:space="preserve">OpenMed/OpenMed-ZeroShot-NER-Species-Base-220M</t>
  </si>
  <si>
    <t xml:space="preserve">https://huggingface.co/OpenMed/OpenMed-ZeroShot-NER-Species-Base-220M</t>
  </si>
  <si>
    <t xml:space="preserve">openlm-research/open_llama_7b</t>
  </si>
  <si>
    <t xml:space="preserve">openlm-research</t>
  </si>
  <si>
    <t xml:space="preserve">https://huggingface.co/openlm-research/open_llama_7b</t>
  </si>
  <si>
    <t xml:space="preserve">deepset/sentence_bert</t>
  </si>
  <si>
    <t xml:space="preserve">https://huggingface.co/deepset/sentence_bert</t>
  </si>
  <si>
    <t xml:space="preserve">OS-Software/Ternary-Bonsai-2-27B-Uncensored-Heretic-GGUF</t>
  </si>
  <si>
    <t xml:space="preserve">OS-Software</t>
  </si>
  <si>
    <t xml:space="preserve">https://huggingface.co/OS-Software/Ternary-Bonsai-2-27B-Uncensored-Heretic-GGUF</t>
  </si>
  <si>
    <t xml:space="preserve">peft-internal-testing/tiny-random-T5ForConditionalGeneration-calibrated</t>
  </si>
  <si>
    <t xml:space="preserve">https://huggingface.co/peft-internal-testing/tiny-random-T5ForConditionalGeneration-calibrated</t>
  </si>
  <si>
    <t xml:space="preserve">facebook/map-anything</t>
  </si>
  <si>
    <t xml:space="preserve">https://huggingface.co/facebook/map-anything</t>
  </si>
  <si>
    <t xml:space="preserve">LongSafari/hyenadna-medium-450k-seqlen-hf</t>
  </si>
  <si>
    <t xml:space="preserve">LongSafari</t>
  </si>
  <si>
    <t xml:space="preserve">https://huggingface.co/LongSafari/hyenadna-medium-450k-seqlen-hf</t>
  </si>
  <si>
    <t xml:space="preserve">dbmdz/bert-base-french-europeana-cased</t>
  </si>
  <si>
    <t xml:space="preserve">https://huggingface.co/dbmdz/bert-base-french-europeana-cased</t>
  </si>
  <si>
    <t xml:space="preserve">silveroxides/Chroma1-HD-GGUF</t>
  </si>
  <si>
    <t xml:space="preserve">https://huggingface.co/silveroxides/Chroma1-HD-GGUF</t>
  </si>
  <si>
    <t xml:space="preserve">OpenMed/OpenMed-ZeroShot-NER-Pathology-Small-166M</t>
  </si>
  <si>
    <t xml:space="preserve">https://huggingface.co/OpenMed/OpenMed-ZeroShot-NER-Pathology-Small-166M</t>
  </si>
  <si>
    <t xml:space="preserve">kyujinpy/Ko-PlatYi-6B</t>
  </si>
  <si>
    <t xml:space="preserve">kyujinpy</t>
  </si>
  <si>
    <t xml:space="preserve">https://huggingface.co/kyujinpy/Ko-PlatYi-6B</t>
  </si>
  <si>
    <t xml:space="preserve">facebook/mms-lid-4017</t>
  </si>
  <si>
    <t xml:space="preserve">https://huggingface.co/facebook/mms-lid-4017</t>
  </si>
  <si>
    <t xml:space="preserve">eracle/campaign-kit</t>
  </si>
  <si>
    <t xml:space="preserve">eracle</t>
  </si>
  <si>
    <t xml:space="preserve">https://huggingface.co/eracle/campaign-kit</t>
  </si>
  <si>
    <t xml:space="preserve">chandar-lab/NeoBERT</t>
  </si>
  <si>
    <t xml:space="preserve">chandar-lab</t>
  </si>
  <si>
    <t xml:space="preserve">https://huggingface.co/chandar-lab/NeoBERT</t>
  </si>
  <si>
    <t xml:space="preserve">ragavsachdeva/magi</t>
  </si>
  <si>
    <t xml:space="preserve">ragavsachdeva</t>
  </si>
  <si>
    <t xml:space="preserve">https://huggingface.co/ragavsachdeva/magi</t>
  </si>
  <si>
    <t xml:space="preserve">ai-forever/mGPT</t>
  </si>
  <si>
    <t xml:space="preserve">https://huggingface.co/ai-forever/mGPT</t>
  </si>
  <si>
    <t xml:space="preserve">mrm8488/bert-spanish-cased-finetuned-ner</t>
  </si>
  <si>
    <t xml:space="preserve">https://huggingface.co/mrm8488/bert-spanish-cased-finetuned-ner</t>
  </si>
  <si>
    <t xml:space="preserve">optimum-intel-internal-testing/tiny-random-wav2vec2-conformer</t>
  </si>
  <si>
    <t xml:space="preserve">https://huggingface.co/optimum-intel-internal-testing/tiny-random-wav2vec2-conformer</t>
  </si>
  <si>
    <t xml:space="preserve">Hello-SimpleAI/chatgpt-detector-roberta</t>
  </si>
  <si>
    <t xml:space="preserve">Hello-SimpleAI</t>
  </si>
  <si>
    <t xml:space="preserve">https://huggingface.co/Hello-SimpleAI/chatgpt-detector-roberta</t>
  </si>
  <si>
    <t xml:space="preserve">cuhkaih/rhofold</t>
  </si>
  <si>
    <t xml:space="preserve">cuhkaih</t>
  </si>
  <si>
    <t xml:space="preserve">https://huggingface.co/cuhkaih/rhofold</t>
  </si>
  <si>
    <t xml:space="preserve">Helsinki-NLP/opus-mt-sv-en</t>
  </si>
  <si>
    <t xml:space="preserve">https://huggingface.co/Helsinki-NLP/opus-mt-sv-en</t>
  </si>
  <si>
    <t xml:space="preserve">Tongyi-MAI/Z-Image</t>
  </si>
  <si>
    <t xml:space="preserve">https://huggingface.co/Tongyi-MAI/Z-Image</t>
  </si>
  <si>
    <t xml:space="preserve">ai-forever/rugpt3small_based_on_gpt2</t>
  </si>
  <si>
    <t xml:space="preserve">https://huggingface.co/ai-forever/rugpt3small_based_on_gpt2</t>
  </si>
  <si>
    <t xml:space="preserve">Ttimofeyka/MistralRP-Noromaid-NSFW-Mistral-7B-GGUF</t>
  </si>
  <si>
    <t xml:space="preserve">Ttimofeyka</t>
  </si>
  <si>
    <t xml:space="preserve">https://huggingface.co/Ttimofeyka/MistralRP-Noromaid-NSFW-Mistral-7B-GGUF</t>
  </si>
  <si>
    <t xml:space="preserve">timm/convnextv2_nano.fcmae_ft_in1k</t>
  </si>
  <si>
    <t xml:space="preserve">https://huggingface.co/timm/convnextv2_nano.fcmae_ft_in1k</t>
  </si>
  <si>
    <t xml:space="preserve">OpenMed/OpenMed-ZeroShot-NER-Organism-Large-459M</t>
  </si>
  <si>
    <t xml:space="preserve">https://huggingface.co/OpenMed/OpenMed-ZeroShot-NER-Organism-Large-459M</t>
  </si>
  <si>
    <t xml:space="preserve">optimum-intel-internal-testing/tiny-random-falcon-40b</t>
  </si>
  <si>
    <t xml:space="preserve">https://huggingface.co/optimum-intel-internal-testing/tiny-random-falcon-40b</t>
  </si>
  <si>
    <t xml:space="preserve">OpenMed/OpenMed-ZeroShot-NER-Pathology-Medium-209M</t>
  </si>
  <si>
    <t xml:space="preserve">https://huggingface.co/OpenMed/OpenMed-ZeroShot-NER-Pathology-Medium-209M</t>
  </si>
  <si>
    <t xml:space="preserve">rrivera1849/LUAR-MUD</t>
  </si>
  <si>
    <t xml:space="preserve">rrivera1849</t>
  </si>
  <si>
    <t xml:space="preserve">https://huggingface.co/rrivera1849/LUAR-MUD</t>
  </si>
  <si>
    <t xml:space="preserve">parasail-ai/GritLM-7B-vllm</t>
  </si>
  <si>
    <t xml:space="preserve">parasail-ai</t>
  </si>
  <si>
    <t xml:space="preserve">https://huggingface.co/parasail-ai/GritLM-7B-vllm</t>
  </si>
  <si>
    <t xml:space="preserve">michelleli99/emotion_text_classifier</t>
  </si>
  <si>
    <t xml:space="preserve">https://huggingface.co/michelleli99/emotion_text_classifier</t>
  </si>
  <si>
    <t xml:space="preserve">facebook/audioseal</t>
  </si>
  <si>
    <t xml:space="preserve">https://huggingface.co/facebook/audioseal</t>
  </si>
  <si>
    <t xml:space="preserve">google/t5-v1_1-base</t>
  </si>
  <si>
    <t xml:space="preserve">https://huggingface.co/google/t5-v1_1-base</t>
  </si>
  <si>
    <t xml:space="preserve">lodestones/Chroma1-Flash</t>
  </si>
  <si>
    <t xml:space="preserve">https://huggingface.co/lodestones/Chroma1-Flash</t>
  </si>
  <si>
    <t xml:space="preserve">OpenMed/OpenMed-ZeroShot-NER-Oncology-Base-220M</t>
  </si>
  <si>
    <t xml:space="preserve">https://huggingface.co/OpenMed/OpenMed-ZeroShot-NER-Oncology-Base-220M</t>
  </si>
  <si>
    <t xml:space="preserve">bartowski/Llama-3.2-3B-Instruct-uncensored-GGUF</t>
  </si>
  <si>
    <t xml:space="preserve">https://huggingface.co/bartowski/Llama-3.2-3B-Instruct-uncensored-GGUF</t>
  </si>
  <si>
    <t xml:space="preserve">superb/hubert-large-superb-er</t>
  </si>
  <si>
    <t xml:space="preserve">https://huggingface.co/superb/hubert-large-superb-er</t>
  </si>
  <si>
    <t xml:space="preserve">huggingface/CodeBERTa-small-v1</t>
  </si>
  <si>
    <t xml:space="preserve">https://huggingface.co/huggingface/CodeBERTa-small-v1</t>
  </si>
  <si>
    <t xml:space="preserve">Prior-Labs/TabPFN-v2-reg</t>
  </si>
  <si>
    <t xml:space="preserve">Prior-Labs</t>
  </si>
  <si>
    <t xml:space="preserve">https://huggingface.co/Prior-Labs/TabPFN-v2-reg</t>
  </si>
  <si>
    <t xml:space="preserve">OpenMed/OpenMed-ZeroShot-NER-Species-Small-166M</t>
  </si>
  <si>
    <t xml:space="preserve">https://huggingface.co/OpenMed/OpenMed-ZeroShot-NER-Species-Small-166M</t>
  </si>
  <si>
    <t xml:space="preserve">OpenMed/OpenMed-ZeroShot-NER-Protein-Large-459M</t>
  </si>
  <si>
    <t xml:space="preserve">https://huggingface.co/OpenMed/OpenMed-ZeroShot-NER-Protein-Large-459M</t>
  </si>
  <si>
    <t xml:space="preserve">xinsir/controlnet-scribble-sdxl-1.0</t>
  </si>
  <si>
    <t xml:space="preserve">https://huggingface.co/xinsir/controlnet-scribble-sdxl-1.0</t>
  </si>
  <si>
    <t xml:space="preserve">OpenMed/OpenMed-ZeroShot-NER-Chemical-Large-459M</t>
  </si>
  <si>
    <t xml:space="preserve">https://huggingface.co/OpenMed/OpenMed-ZeroShot-NER-Chemical-Large-459M</t>
  </si>
  <si>
    <t xml:space="preserve">facebook/EUPE-ViT-B</t>
  </si>
  <si>
    <t xml:space="preserve">https://huggingface.co/facebook/EUPE-ViT-B</t>
  </si>
  <si>
    <t xml:space="preserve">textattack/bert-base-uncased-MNLI</t>
  </si>
  <si>
    <t xml:space="preserve">https://huggingface.co/textattack/bert-base-uncased-MNLI</t>
  </si>
  <si>
    <t xml:space="preserve">conradlocke/krea2-identity-edit</t>
  </si>
  <si>
    <t xml:space="preserve">conradlocke</t>
  </si>
  <si>
    <t xml:space="preserve">https://huggingface.co/conradlocke/krea2-identity-edit</t>
  </si>
  <si>
    <t xml:space="preserve">kernels-community/cv-utils</t>
  </si>
  <si>
    <t xml:space="preserve">https://huggingface.co/kernels-community/cv-utils</t>
  </si>
  <si>
    <t xml:space="preserve">Comfy-Org/Frame-Interpolation</t>
  </si>
  <si>
    <t xml:space="preserve">https://huggingface.co/Comfy-Org/Frame-Interpolation</t>
  </si>
  <si>
    <t xml:space="preserve">gqk/TRELLIS-image-large-fork</t>
  </si>
  <si>
    <t xml:space="preserve">gqk</t>
  </si>
  <si>
    <t xml:space="preserve">https://huggingface.co/gqk/TRELLIS-image-large-fork</t>
  </si>
  <si>
    <t xml:space="preserve">OpenMed/OpenMed-ZeroShot-NER-Pharma-Multi-209M</t>
  </si>
  <si>
    <t xml:space="preserve">https://huggingface.co/OpenMed/OpenMed-ZeroShot-NER-Pharma-Multi-209M</t>
  </si>
  <si>
    <t xml:space="preserve">optimum-intel-internal-testing/tiny-random-gemma3-text</t>
  </si>
  <si>
    <t xml:space="preserve">https://huggingface.co/optimum-intel-internal-testing/tiny-random-gemma3-text</t>
  </si>
  <si>
    <t xml:space="preserve">AbeHou/SemStamp-c4-sbert</t>
  </si>
  <si>
    <t xml:space="preserve">AbeHou</t>
  </si>
  <si>
    <t xml:space="preserve">https://huggingface.co/AbeHou/SemStamp-c4-sbert</t>
  </si>
  <si>
    <t xml:space="preserve">Lykon/dreamshaper-xl-lightning</t>
  </si>
  <si>
    <t xml:space="preserve">https://huggingface.co/Lykon/dreamshaper-xl-lightning</t>
  </si>
  <si>
    <t xml:space="preserve">wasmdashai/lahja-sa-huba-v1</t>
  </si>
  <si>
    <t xml:space="preserve">https://huggingface.co/wasmdashai/lahja-sa-huba-v1</t>
  </si>
  <si>
    <t xml:space="preserve">QuantStack/FLUX.1-Kontext-dev-GGUF</t>
  </si>
  <si>
    <t xml:space="preserve">https://huggingface.co/QuantStack/FLUX.1-Kontext-dev-GGUF</t>
  </si>
  <si>
    <t xml:space="preserve">hyrelabs/Homura-30B-GGUF</t>
  </si>
  <si>
    <t xml:space="preserve">hyrelabs</t>
  </si>
  <si>
    <t xml:space="preserve">https://huggingface.co/hyrelabs/Homura-30B-GGUF</t>
  </si>
  <si>
    <t xml:space="preserve">Salesforce/moirai-1.1-R-base</t>
  </si>
  <si>
    <t xml:space="preserve">https://huggingface.co/Salesforce/moirai-1.1-R-base</t>
  </si>
  <si>
    <t xml:space="preserve">neulab/codebert-javascript</t>
  </si>
  <si>
    <t xml:space="preserve">https://huggingface.co/neulab/codebert-javascript</t>
  </si>
  <si>
    <t xml:space="preserve">OpenMed/OpenMed-ZeroShot-NER-Genome-Tiny-60M</t>
  </si>
  <si>
    <t xml:space="preserve">https://huggingface.co/OpenMed/OpenMed-ZeroShot-NER-Genome-Tiny-60M</t>
  </si>
  <si>
    <t xml:space="preserve">tomh/toxigen_roberta</t>
  </si>
  <si>
    <t xml:space="preserve">tomh</t>
  </si>
  <si>
    <t xml:space="preserve">https://huggingface.co/tomh/toxigen_roberta</t>
  </si>
  <si>
    <t xml:space="preserve">stanford-crfm/alias-gpt2-small-x21</t>
  </si>
  <si>
    <t xml:space="preserve">stanford-crfm</t>
  </si>
  <si>
    <t xml:space="preserve">https://huggingface.co/stanford-crfm/alias-gpt2-small-x21</t>
  </si>
  <si>
    <t xml:space="preserve">kernels-community/activation</t>
  </si>
  <si>
    <t xml:space="preserve">https://huggingface.co/kernels-community/activation</t>
  </si>
  <si>
    <t xml:space="preserve">OpenMed/OpenMed-ZeroShot-NER-BloodCancer-Large-459M</t>
  </si>
  <si>
    <t xml:space="preserve">https://huggingface.co/OpenMed/OpenMed-ZeroShot-NER-BloodCancer-Large-459M</t>
  </si>
  <si>
    <t xml:space="preserve">mlc-ai/SmolLM2-360M-Instruct-q4f16_1-MLC</t>
  </si>
  <si>
    <t xml:space="preserve">https://huggingface.co/mlc-ai/SmolLM2-360M-Instruct-q4f16_1-MLC</t>
  </si>
  <si>
    <t xml:space="preserve">microsoft/swin-base-patch4-window12-384-in22k</t>
  </si>
  <si>
    <t xml:space="preserve">https://huggingface.co/microsoft/swin-base-patch4-window12-384-in22k</t>
  </si>
  <si>
    <t xml:space="preserve">joyfox/LTX2.3-ICEdit-Insight</t>
  </si>
  <si>
    <t xml:space="preserve">joyfox</t>
  </si>
  <si>
    <t xml:space="preserve">https://huggingface.co/joyfox/LTX2.3-ICEdit-Insight</t>
  </si>
  <si>
    <t xml:space="preserve">richarrrddd/lama_testing.ptl</t>
  </si>
  <si>
    <t xml:space="preserve">richarrrddd</t>
  </si>
  <si>
    <t xml:space="preserve">https://huggingface.co/richarrrddd/lama_testing.ptl</t>
  </si>
  <si>
    <t xml:space="preserve">black-forest-labs/FLUX.1-Krea-dev</t>
  </si>
  <si>
    <t xml:space="preserve">https://huggingface.co/black-forest-labs/FLUX.1-Krea-dev</t>
  </si>
  <si>
    <t xml:space="preserve">LGAI-EXAONE/EXAONE-3.5-32B-Instruct</t>
  </si>
  <si>
    <t xml:space="preserve">https://huggingface.co/LGAI-EXAONE/EXAONE-3.5-32B-Instruct</t>
  </si>
  <si>
    <t xml:space="preserve">TencentGameMate/chinese-wav2vec2-base</t>
  </si>
  <si>
    <t xml:space="preserve">TencentGameMate</t>
  </si>
  <si>
    <t xml:space="preserve">https://huggingface.co/TencentGameMate/chinese-wav2vec2-base</t>
  </si>
  <si>
    <t xml:space="preserve">KoichiYasuoka/bert-base-thai-upos</t>
  </si>
  <si>
    <t xml:space="preserve">KoichiYasuoka</t>
  </si>
  <si>
    <t xml:space="preserve">https://huggingface.co/KoichiYasuoka/bert-base-thai-upos</t>
  </si>
  <si>
    <t xml:space="preserve">FluidInference/silero-vad-coreml</t>
  </si>
  <si>
    <t xml:space="preserve">https://huggingface.co/FluidInference/silero-vad-coreml</t>
  </si>
  <si>
    <t xml:space="preserve">OpenMed/OpenMed-ZeroShot-NER-Genomic-Small-166M</t>
  </si>
  <si>
    <t xml:space="preserve">https://huggingface.co/OpenMed/OpenMed-ZeroShot-NER-Genomic-Small-166M</t>
  </si>
  <si>
    <t xml:space="preserve">KoichiYasuoka/roberta-base-thai-spm-upos</t>
  </si>
  <si>
    <t xml:space="preserve">https://huggingface.co/KoichiYasuoka/roberta-base-thai-spm-upos</t>
  </si>
  <si>
    <t xml:space="preserve">OpenMed/OpenMed-ZeroShot-NER-Pharma-XLarge-770M</t>
  </si>
  <si>
    <t xml:space="preserve">https://huggingface.co/OpenMed/OpenMed-ZeroShot-NER-Pharma-XLarge-770M</t>
  </si>
  <si>
    <t xml:space="preserve">ChrisColeTech/LTX-2.3-uncensored-v1.4-FP8</t>
  </si>
  <si>
    <t xml:space="preserve">ChrisColeTech</t>
  </si>
  <si>
    <t xml:space="preserve">https://huggingface.co/ChrisColeTech/LTX-2.3-uncensored-v1.4-FP8</t>
  </si>
  <si>
    <t xml:space="preserve">facebook/convnext-tiny-224</t>
  </si>
  <si>
    <t xml:space="preserve">https://huggingface.co/facebook/convnext-tiny-224</t>
  </si>
  <si>
    <t xml:space="preserve">OpenMed/OpenMed-ZeroShot-NER-Chemical-Tiny-60M</t>
  </si>
  <si>
    <t xml:space="preserve">https://huggingface.co/OpenMed/OpenMed-ZeroShot-NER-Chemical-Tiny-60M</t>
  </si>
  <si>
    <t xml:space="preserve">relik-ie/relik-reader-deberta-v3-small-re-wikipedia</t>
  </si>
  <si>
    <t xml:space="preserve">https://huggingface.co/relik-ie/relik-reader-deberta-v3-small-re-wikipedia</t>
  </si>
  <si>
    <t xml:space="preserve">myshell-ai/MeloTTS-Japanese</t>
  </si>
  <si>
    <t xml:space="preserve">https://huggingface.co/myshell-ai/MeloTTS-Japanese</t>
  </si>
  <si>
    <t xml:space="preserve">OpenMed/OpenMed-ZeroShot-NER-Genome-Small-166M</t>
  </si>
  <si>
    <t xml:space="preserve">https://huggingface.co/OpenMed/OpenMed-ZeroShot-NER-Genome-Small-166M</t>
  </si>
  <si>
    <t xml:space="preserve">OpenMed/OpenMed-ZeroShot-NER-Chemical-Multi-209M</t>
  </si>
  <si>
    <t xml:space="preserve">https://huggingface.co/OpenMed/OpenMed-ZeroShot-NER-Chemical-Multi-209M</t>
  </si>
  <si>
    <t xml:space="preserve">diroverflo/FLux_Klein_9B_NSFW</t>
  </si>
  <si>
    <t xml:space="preserve">diroverflo</t>
  </si>
  <si>
    <t xml:space="preserve">https://huggingface.co/diroverflo/FLux_Klein_9B_NSFW</t>
  </si>
  <si>
    <t xml:space="preserve">dealignai/Gemma-4-31B-JANG_4M-CRACK</t>
  </si>
  <si>
    <t xml:space="preserve">dealignai</t>
  </si>
  <si>
    <t xml:space="preserve">https://huggingface.co/dealignai/Gemma-4-31B-JANG_4M-CRACK</t>
  </si>
  <si>
    <t xml:space="preserve">EleutherAI/pythia-160m-data-seed1</t>
  </si>
  <si>
    <t xml:space="preserve">https://huggingface.co/EleutherAI/pythia-160m-data-seed1</t>
  </si>
  <si>
    <t xml:space="preserve">flair/ner-multi-fast</t>
  </si>
  <si>
    <t xml:space="preserve">https://huggingface.co/flair/ner-multi-fast</t>
  </si>
  <si>
    <t xml:space="preserve">alonsoko/gemma-4-31b-it-abliterated-heretic-AWQ-W4A16</t>
  </si>
  <si>
    <t xml:space="preserve">alonsoko</t>
  </si>
  <si>
    <t xml:space="preserve">https://huggingface.co/alonsoko/gemma-4-31b-it-abliterated-heretic-AWQ-W4A16</t>
  </si>
  <si>
    <t xml:space="preserve">marieke93/MiniLM-evidence-types</t>
  </si>
  <si>
    <t xml:space="preserve">marieke93</t>
  </si>
  <si>
    <t xml:space="preserve">https://huggingface.co/marieke93/MiniLM-evidence-types</t>
  </si>
  <si>
    <t xml:space="preserve">OpenMed/OpenMed-ZeroShot-NER-Protein-Multi-209M</t>
  </si>
  <si>
    <t xml:space="preserve">https://huggingface.co/OpenMed/OpenMed-ZeroShot-NER-Protein-Multi-209M</t>
  </si>
  <si>
    <t xml:space="preserve">Comfy-Org/Flux-1-Krea-Dev</t>
  </si>
  <si>
    <t xml:space="preserve">https://huggingface.co/Comfy-Org/Flux-1-Krea-Dev</t>
  </si>
  <si>
    <t xml:space="preserve">google/ddpm-cifar10-32</t>
  </si>
  <si>
    <t xml:space="preserve">https://huggingface.co/google/ddpm-cifar10-32</t>
  </si>
  <si>
    <t xml:space="preserve">optimum-intel-internal-testing/tiny-random-llava-next-video</t>
  </si>
  <si>
    <t xml:space="preserve">https://huggingface.co/optimum-intel-internal-testing/tiny-random-llava-next-video</t>
  </si>
  <si>
    <t xml:space="preserve">mlabonne/Meta-Llama-3.1-8B-Instruct-abliterated-GGUF</t>
  </si>
  <si>
    <t xml:space="preserve">mlabonne</t>
  </si>
  <si>
    <t xml:space="preserve">https://huggingface.co/mlabonne/Meta-Llama-3.1-8B-Instruct-abliterated-GGUF</t>
  </si>
  <si>
    <t xml:space="preserve">Helsinki-NLP/opus-mt-nl-fr</t>
  </si>
  <si>
    <t xml:space="preserve">https://huggingface.co/Helsinki-NLP/opus-mt-nl-fr</t>
  </si>
  <si>
    <t xml:space="preserve">microsoft/Florence-2-large-ft</t>
  </si>
  <si>
    <t xml:space="preserve">https://huggingface.co/microsoft/Florence-2-large-ft</t>
  </si>
  <si>
    <t xml:space="preserve">flair/pos-english</t>
  </si>
  <si>
    <t xml:space="preserve">https://huggingface.co/flair/pos-english</t>
  </si>
  <si>
    <t xml:space="preserve">https://huggingface.co/indobenchmark/indobert-base-p2</t>
  </si>
  <si>
    <t xml:space="preserve">stabilityai/stable-fast-3d</t>
  </si>
  <si>
    <t xml:space="preserve">https://huggingface.co/stabilityai/stable-fast-3d</t>
  </si>
  <si>
    <t xml:space="preserve">OpenMed/OpenMed-ZeroShot-NER-Oncology-Large-459M</t>
  </si>
  <si>
    <t xml:space="preserve">https://huggingface.co/OpenMed/OpenMed-ZeroShot-NER-Oncology-Large-459M</t>
  </si>
  <si>
    <t xml:space="preserve">lewtun/talkie-1930-13b-it-hf</t>
  </si>
  <si>
    <t xml:space="preserve">lewtun</t>
  </si>
  <si>
    <t xml:space="preserve">https://huggingface.co/lewtun/talkie-1930-13b-it-hf</t>
  </si>
  <si>
    <t xml:space="preserve">tohoku-nlp/bert-base-japanese-char</t>
  </si>
  <si>
    <t xml:space="preserve">https://huggingface.co/tohoku-nlp/bert-base-japanese-char</t>
  </si>
  <si>
    <t xml:space="preserve">ai4bharat/indictrans2-indic-en-1B</t>
  </si>
  <si>
    <t xml:space="preserve">https://huggingface.co/ai4bharat/indictrans2-indic-en-1B</t>
  </si>
  <si>
    <t xml:space="preserve">OpenMed/OpenMed-ZeroShot-NER-Genomic-XLarge-770M</t>
  </si>
  <si>
    <t xml:space="preserve">https://huggingface.co/OpenMed/OpenMed-ZeroShot-NER-Genomic-XLarge-770M</t>
  </si>
  <si>
    <t xml:space="preserve">OpenMed/OpenMed-ZeroShot-NER-Pathology-Base-220M</t>
  </si>
  <si>
    <t xml:space="preserve">https://huggingface.co/OpenMed/OpenMed-ZeroShot-NER-Pathology-Base-220M</t>
  </si>
  <si>
    <t xml:space="preserve">Vikhrmodels/Borealis</t>
  </si>
  <si>
    <t xml:space="preserve">https://huggingface.co/Vikhrmodels/Borealis</t>
  </si>
  <si>
    <t xml:space="preserve">OpenMed/OpenMed-ZeroShot-NER-DNA-Large-459M</t>
  </si>
  <si>
    <t xml:space="preserve">https://huggingface.co/OpenMed/OpenMed-ZeroShot-NER-DNA-Large-459M</t>
  </si>
  <si>
    <t xml:space="preserve">kakaocorp/kanana-nano-2.1b-embedding</t>
  </si>
  <si>
    <t xml:space="preserve">https://huggingface.co/kakaocorp/kanana-nano-2.1b-embedding</t>
  </si>
  <si>
    <t xml:space="preserve">naver-hyperclovax/HyperCLOVAX-SEED-Think-14B</t>
  </si>
  <si>
    <t xml:space="preserve">https://huggingface.co/naver-hyperclovax/HyperCLOVAX-SEED-Think-14B</t>
  </si>
  <si>
    <t xml:space="preserve">microsoft/dit-base-finetuned-rvlcdip</t>
  </si>
  <si>
    <t xml:space="preserve">https://huggingface.co/microsoft/dit-base-finetuned-rvlcdip</t>
  </si>
  <si>
    <t xml:space="preserve">OpenMed/OpenMed-ZeroShot-NER-Pharma-Tiny-60M</t>
  </si>
  <si>
    <t xml:space="preserve">https://huggingface.co/OpenMed/OpenMed-ZeroShot-NER-Pharma-Tiny-60M</t>
  </si>
  <si>
    <t xml:space="preserve">peft-internal-testing/tiny_OPTForFeatureExtraction-lora</t>
  </si>
  <si>
    <t xml:space="preserve">https://huggingface.co/peft-internal-testing/tiny_OPTForFeatureExtraction-lora</t>
  </si>
  <si>
    <t xml:space="preserve">facebook/opt-2.7b</t>
  </si>
  <si>
    <t xml:space="preserve">https://huggingface.co/facebook/opt-2.7b</t>
  </si>
  <si>
    <t xml:space="preserve">cyankiwi/NVIDIA-Nemotron-3-Super-120B-A12B-AWQ-4bit</t>
  </si>
  <si>
    <t xml:space="preserve">https://huggingface.co/cyankiwi/NVIDIA-Nemotron-3-Super-120B-A12B-AWQ-4bit</t>
  </si>
  <si>
    <t xml:space="preserve">kuleshov-group/mdlm-owt</t>
  </si>
  <si>
    <t xml:space="preserve">https://huggingface.co/kuleshov-group/mdlm-owt</t>
  </si>
  <si>
    <t xml:space="preserve">google/mt5-xl</t>
  </si>
  <si>
    <t xml:space="preserve">https://huggingface.co/google/mt5-xl</t>
  </si>
  <si>
    <t xml:space="preserve">optimum-intel-internal-testing/tiny-random-gemma4-moe</t>
  </si>
  <si>
    <t xml:space="preserve">https://huggingface.co/optimum-intel-internal-testing/tiny-random-gemma4-moe</t>
  </si>
  <si>
    <t xml:space="preserve">peft-internal-testing/tiny_OPTForQuestionAnswering-lora</t>
  </si>
  <si>
    <t xml:space="preserve">https://huggingface.co/peft-internal-testing/tiny_OPTForQuestionAnswering-lora</t>
  </si>
  <si>
    <t xml:space="preserve">unsloth/Krea-2-Turbo</t>
  </si>
  <si>
    <t xml:space="preserve">https://huggingface.co/unsloth/Krea-2-Turbo</t>
  </si>
  <si>
    <t xml:space="preserve">MilaNLProc/feel-it-italian-emotion</t>
  </si>
  <si>
    <t xml:space="preserve">https://huggingface.co/MilaNLProc/feel-it-italian-emotion</t>
  </si>
  <si>
    <t xml:space="preserve">marcmendez-aily/BertMeshTerms</t>
  </si>
  <si>
    <t xml:space="preserve">marcmendez-aily</t>
  </si>
  <si>
    <t xml:space="preserve">https://huggingface.co/marcmendez-aily/BertMeshTerms</t>
  </si>
  <si>
    <t xml:space="preserve">nvidia/Cosmos-Predict2.5-2B</t>
  </si>
  <si>
    <t xml:space="preserve">https://huggingface.co/nvidia/Cosmos-Predict2.5-2B</t>
  </si>
  <si>
    <t xml:space="preserve">vantagewithai/LTX-2.3-GGUF</t>
  </si>
  <si>
    <t xml:space="preserve">https://huggingface.co/vantagewithai/LTX-2.3-GGUF</t>
  </si>
  <si>
    <t xml:space="preserve">LGAI-EXAONE/EXAONE-3.0-7.8B-Instruct</t>
  </si>
  <si>
    <t xml:space="preserve">https://huggingface.co/LGAI-EXAONE/EXAONE-3.0-7.8B-Instruct</t>
  </si>
  <si>
    <t xml:space="preserve">HumanCompatibleAI/ppo-Pendulum-v1</t>
  </si>
  <si>
    <t xml:space="preserve">https://huggingface.co/HumanCompatibleAI/ppo-Pendulum-v1</t>
  </si>
  <si>
    <t xml:space="preserve">SkywalkerLu/TransHLA_I</t>
  </si>
  <si>
    <t xml:space="preserve">SkywalkerLu</t>
  </si>
  <si>
    <t xml:space="preserve">https://huggingface.co/SkywalkerLu/TransHLA_I</t>
  </si>
  <si>
    <t xml:space="preserve">yuchenlin/BART0</t>
  </si>
  <si>
    <t xml:space="preserve">yuchenlin</t>
  </si>
  <si>
    <t xml:space="preserve">https://huggingface.co/yuchenlin/BART0</t>
  </si>
  <si>
    <t xml:space="preserve">xinsir/controlnet-canny-sdxl-1.0</t>
  </si>
  <si>
    <t xml:space="preserve">https://huggingface.co/xinsir/controlnet-canny-sdxl-1.0</t>
  </si>
  <si>
    <t xml:space="preserve">LGAI-EXAONE/EXAONE-Deep-7.8B</t>
  </si>
  <si>
    <t xml:space="preserve">https://huggingface.co/LGAI-EXAONE/EXAONE-Deep-7.8B</t>
  </si>
  <si>
    <t xml:space="preserve">nvidia/Cosmos3-Super-Image2Video</t>
  </si>
  <si>
    <t xml:space="preserve">https://huggingface.co/nvidia/Cosmos3-Super-Image2Video</t>
  </si>
  <si>
    <t xml:space="preserve">scottykwok/wav2vec2-large-xlsr-cantonese</t>
  </si>
  <si>
    <t xml:space="preserve">scottykwok</t>
  </si>
  <si>
    <t xml:space="preserve">https://huggingface.co/scottykwok/wav2vec2-large-xlsr-cantonese</t>
  </si>
  <si>
    <t xml:space="preserve">google/vit-large-patch16-384</t>
  </si>
  <si>
    <t xml:space="preserve">https://huggingface.co/google/vit-large-patch16-384</t>
  </si>
  <si>
    <t xml:space="preserve">OpenMed/OpenMed-ZeroShot-NER-Protein-XLarge-770M</t>
  </si>
  <si>
    <t xml:space="preserve">https://huggingface.co/OpenMed/OpenMed-ZeroShot-NER-Protein-XLarge-770M</t>
  </si>
  <si>
    <t xml:space="preserve">https://huggingface.co/google/long-t5-tglobal-base</t>
  </si>
  <si>
    <t xml:space="preserve">apple/DepthPro-hf</t>
  </si>
  <si>
    <t xml:space="preserve">https://huggingface.co/apple/DepthPro-hf</t>
  </si>
  <si>
    <t xml:space="preserve">apple/MobileCLIP-S1-OpenCLIP</t>
  </si>
  <si>
    <t xml:space="preserve">https://huggingface.co/apple/MobileCLIP-S1-OpenCLIP</t>
  </si>
  <si>
    <t xml:space="preserve">nvidia/segformer-b4-finetuned-ade-512-512</t>
  </si>
  <si>
    <t xml:space="preserve">https://huggingface.co/nvidia/segformer-b4-finetuned-ade-512-512</t>
  </si>
  <si>
    <t xml:space="preserve">facebook/xlm-v-base</t>
  </si>
  <si>
    <t xml:space="preserve">https://huggingface.co/facebook/xlm-v-base</t>
  </si>
  <si>
    <t xml:space="preserve">peft-internal-testing/tiny-random-DebertaModel</t>
  </si>
  <si>
    <t xml:space="preserve">https://huggingface.co/peft-internal-testing/tiny-random-DebertaModel</t>
  </si>
  <si>
    <t xml:space="preserve">nvidia/NVIDIA-Nemotron-3-Nano-4B-FP8</t>
  </si>
  <si>
    <t xml:space="preserve">https://huggingface.co/nvidia/NVIDIA-Nemotron-3-Nano-4B-FP8</t>
  </si>
  <si>
    <t xml:space="preserve">peft-internal-testing/tiny-random-DebertaV2Model</t>
  </si>
  <si>
    <t xml:space="preserve">https://huggingface.co/peft-internal-testing/tiny-random-DebertaV2Model</t>
  </si>
  <si>
    <t xml:space="preserve">urchade/gliner_small-v2.1</t>
  </si>
  <si>
    <t xml:space="preserve">https://huggingface.co/urchade/gliner_small-v2.1</t>
  </si>
  <si>
    <t xml:space="preserve">kwoncho/ko-sroberta-multitask-stockmatching</t>
  </si>
  <si>
    <t xml:space="preserve">kwoncho</t>
  </si>
  <si>
    <t xml:space="preserve">https://huggingface.co/kwoncho/ko-sroberta-multitask-stockmatching</t>
  </si>
  <si>
    <t xml:space="preserve">lmsys/sglang-EAGLE3-LLaMA3.1-Instruct-8B</t>
  </si>
  <si>
    <t xml:space="preserve">https://huggingface.co/lmsys/sglang-EAGLE3-LLaMA3.1-Instruct-8B</t>
  </si>
  <si>
    <t xml:space="preserve">conservationxlabs/miewid-msv3</t>
  </si>
  <si>
    <t xml:space="preserve">conservationxlabs</t>
  </si>
  <si>
    <t xml:space="preserve">https://huggingface.co/conservationxlabs/miewid-msv3</t>
  </si>
  <si>
    <t xml:space="preserve">Prior-Labs/TabPFN-v2-clf</t>
  </si>
  <si>
    <t xml:space="preserve">https://huggingface.co/Prior-Labs/TabPFN-v2-clf</t>
  </si>
  <si>
    <t xml:space="preserve">optimum-intel-internal-testing/tiny-random-sana-sprint</t>
  </si>
  <si>
    <t xml:space="preserve">https://huggingface.co/optimum-intel-internal-testing/tiny-random-sana-sprint</t>
  </si>
  <si>
    <t xml:space="preserve">microsoft/Phi-4-reasoning-vision-15B</t>
  </si>
  <si>
    <t xml:space="preserve">https://huggingface.co/microsoft/Phi-4-reasoning-vision-15B</t>
  </si>
  <si>
    <t xml:space="preserve">optimum-intel-internal-testing/tiny-random-language_perceiver</t>
  </si>
  <si>
    <t xml:space="preserve">https://huggingface.co/optimum-intel-internal-testing/tiny-random-language_perceiver</t>
  </si>
  <si>
    <t xml:space="preserve">optimum-intel-internal-testing/tiny-random-longt5</t>
  </si>
  <si>
    <t xml:space="preserve">https://huggingface.co/optimum-intel-internal-testing/tiny-random-longt5</t>
  </si>
  <si>
    <t xml:space="preserve">peft-internal-testing/tiny_GPT2ForTokenClassification-lora</t>
  </si>
  <si>
    <t xml:space="preserve">https://huggingface.co/peft-internal-testing/tiny_GPT2ForTokenClassification-lora</t>
  </si>
  <si>
    <t xml:space="preserve">Omnico/Krea2_turbo_diff_loras</t>
  </si>
  <si>
    <t xml:space="preserve">Omnico</t>
  </si>
  <si>
    <t xml:space="preserve">https://huggingface.co/Omnico/Krea2_turbo_diff_loras</t>
  </si>
  <si>
    <t xml:space="preserve">upstage/SOLAR-0-70b-16bit</t>
  </si>
  <si>
    <t xml:space="preserve">https://huggingface.co/upstage/SOLAR-0-70b-16bit</t>
  </si>
  <si>
    <t xml:space="preserve">google/byt5-large</t>
  </si>
  <si>
    <t xml:space="preserve">https://huggingface.co/google/byt5-large</t>
  </si>
  <si>
    <t xml:space="preserve">facebook/deit-base-patch16-224</t>
  </si>
  <si>
    <t xml:space="preserve">https://huggingface.co/facebook/deit-base-patch16-224</t>
  </si>
  <si>
    <t xml:space="preserve">peft-internal-testing/tiny_OPTForSequenceClassification-lora</t>
  </si>
  <si>
    <t xml:space="preserve">https://huggingface.co/peft-internal-testing/tiny_OPTForSequenceClassification-lora</t>
  </si>
  <si>
    <t xml:space="preserve">trl-internal-testing/tiny-NemotronHForCausalLM-3.5-lightning</t>
  </si>
  <si>
    <t xml:space="preserve">https://huggingface.co/trl-internal-testing/tiny-NemotronHForCausalLM-3.5-lightning</t>
  </si>
  <si>
    <t xml:space="preserve">https://huggingface.co/ai-forever/ruRoberta-large</t>
  </si>
  <si>
    <t xml:space="preserve">Lykon/dreamshaper-xl-v2-turbo</t>
  </si>
  <si>
    <t xml:space="preserve">https://huggingface.co/Lykon/dreamshaper-xl-v2-turbo</t>
  </si>
  <si>
    <t xml:space="preserve">Runpod/FLUX.2-klein-4B-mflux-4bit</t>
  </si>
  <si>
    <t xml:space="preserve">Runpod</t>
  </si>
  <si>
    <t xml:space="preserve">https://huggingface.co/Runpod/FLUX.2-klein-4B-mflux-4bit</t>
  </si>
  <si>
    <t xml:space="preserve">trl-internal-testing/tiny-GPT2LMHeadModel</t>
  </si>
  <si>
    <t xml:space="preserve">https://huggingface.co/trl-internal-testing/tiny-GPT2LMHeadModel</t>
  </si>
  <si>
    <t xml:space="preserve">OpenMed/OpenMed-ZeroShot-NER-Pharma-Base-220M</t>
  </si>
  <si>
    <t xml:space="preserve">https://huggingface.co/OpenMed/OpenMed-ZeroShot-NER-Pharma-Base-220M</t>
  </si>
  <si>
    <t xml:space="preserve">optimum-intel-internal-testing/tiny-random-m2m_100</t>
  </si>
  <si>
    <t xml:space="preserve">https://huggingface.co/optimum-intel-internal-testing/tiny-random-m2m_100</t>
  </si>
  <si>
    <t xml:space="preserve">nostrbuild/nsfw-image-detection-large</t>
  </si>
  <si>
    <t xml:space="preserve">nostrbuild</t>
  </si>
  <si>
    <t xml:space="preserve">https://huggingface.co/nostrbuild/nsfw-image-detection-large</t>
  </si>
  <si>
    <t xml:space="preserve">Helsinki-NLP/opus-mt-fr-de</t>
  </si>
  <si>
    <t xml:space="preserve">https://huggingface.co/Helsinki-NLP/opus-mt-fr-de</t>
  </si>
  <si>
    <t xml:space="preserve">Abiray/LTX-2.5-Distilled-GGUF</t>
  </si>
  <si>
    <t xml:space="preserve">https://huggingface.co/Abiray/LTX-2.5-Distilled-GGUF</t>
  </si>
  <si>
    <t xml:space="preserve">microsoft/wavlm-base-sv</t>
  </si>
  <si>
    <t xml:space="preserve">https://huggingface.co/microsoft/wavlm-base-sv</t>
  </si>
  <si>
    <t xml:space="preserve">black-forest-labs/FLUX.2-klein-base-9b-fp8</t>
  </si>
  <si>
    <t xml:space="preserve">https://huggingface.co/black-forest-labs/FLUX.2-klein-base-9b-fp8</t>
  </si>
  <si>
    <t xml:space="preserve">XLabs-AI/flux-ip-adapter</t>
  </si>
  <si>
    <t xml:space="preserve">https://huggingface.co/XLabs-AI/flux-ip-adapter</t>
  </si>
  <si>
    <t xml:space="preserve">mlabonne/gemma-3-27b-it-abliterated</t>
  </si>
  <si>
    <t xml:space="preserve">https://huggingface.co/mlabonne/gemma-3-27b-it-abliterated</t>
  </si>
  <si>
    <t xml:space="preserve">optimum-intel-internal-testing/tiny-random-gemma4</t>
  </si>
  <si>
    <t xml:space="preserve">https://huggingface.co/optimum-intel-internal-testing/tiny-random-gemma4</t>
  </si>
  <si>
    <t xml:space="preserve">indonesian-nlp/wav2vec2-large-xlsr-indonesian</t>
  </si>
  <si>
    <t xml:space="preserve">https://huggingface.co/indonesian-nlp/wav2vec2-large-xlsr-indonesian</t>
  </si>
  <si>
    <t xml:space="preserve">Helsinki-NLP/opus-mt-en-nl</t>
  </si>
  <si>
    <t xml:space="preserve">https://huggingface.co/Helsinki-NLP/opus-mt-en-nl</t>
  </si>
  <si>
    <t xml:space="preserve">textattack/bert-base-uncased-STS-B</t>
  </si>
  <si>
    <t xml:space="preserve">https://huggingface.co/textattack/bert-base-uncased-STS-B</t>
  </si>
  <si>
    <t xml:space="preserve">OpenMed/OpenMed-ZeroShot-NER-Genomic-Tiny-60M</t>
  </si>
  <si>
    <t xml:space="preserve">https://huggingface.co/OpenMed/OpenMed-ZeroShot-NER-Genomic-Tiny-60M</t>
  </si>
  <si>
    <t xml:space="preserve">RedHatAI/gpt-oss-20b-speculator.eagle3</t>
  </si>
  <si>
    <t xml:space="preserve">https://huggingface.co/RedHatAI/gpt-oss-20b-speculator.eagle3</t>
  </si>
  <si>
    <t xml:space="preserve">l3cube-pune/indic-sentence-similarity-sbert</t>
  </si>
  <si>
    <t xml:space="preserve">https://huggingface.co/l3cube-pune/indic-sentence-similarity-sbert</t>
  </si>
  <si>
    <t xml:space="preserve">neuphonic/neutts-air-q4-gguf</t>
  </si>
  <si>
    <t xml:space="preserve">https://huggingface.co/neuphonic/neutts-air-q4-gguf</t>
  </si>
  <si>
    <t xml:space="preserve">facebook/mms-300m</t>
  </si>
  <si>
    <t xml:space="preserve">https://huggingface.co/facebook/mms-300m</t>
  </si>
  <si>
    <t xml:space="preserve">monadical-labs/minecraft-skin-generator-sdxl</t>
  </si>
  <si>
    <t xml:space="preserve">monadical-labs</t>
  </si>
  <si>
    <t xml:space="preserve">https://huggingface.co/monadical-labs/minecraft-skin-generator-sdxl</t>
  </si>
  <si>
    <t xml:space="preserve">OpenMed/OpenMed-ZeroShot-NER-Protein-Base-220M</t>
  </si>
  <si>
    <t xml:space="preserve">https://huggingface.co/OpenMed/OpenMed-ZeroShot-NER-Protein-Base-220M</t>
  </si>
  <si>
    <t xml:space="preserve">LoliRimuru/moeFussion</t>
  </si>
  <si>
    <t xml:space="preserve">LoliRimuru</t>
  </si>
  <si>
    <t xml:space="preserve">https://huggingface.co/LoliRimuru/moeFussion</t>
  </si>
  <si>
    <t xml:space="preserve">trl-internal-testing/tiny-Llama4ForCausalLM</t>
  </si>
  <si>
    <t xml:space="preserve">https://huggingface.co/trl-internal-testing/tiny-Llama4ForCausalLM</t>
  </si>
  <si>
    <t xml:space="preserve">hexgrad/Kokoro-82M-v1.1-zh</t>
  </si>
  <si>
    <t xml:space="preserve">https://huggingface.co/hexgrad/Kokoro-82M-v1.1-zh</t>
  </si>
  <si>
    <t xml:space="preserve">SkywalkerLu/TransHLA_II</t>
  </si>
  <si>
    <t xml:space="preserve">https://huggingface.co/SkywalkerLu/TransHLA_II</t>
  </si>
  <si>
    <t xml:space="preserve">jinaai/jina-reranker-v1-turbo-en</t>
  </si>
  <si>
    <t xml:space="preserve">https://huggingface.co/jinaai/jina-reranker-v1-turbo-en</t>
  </si>
  <si>
    <t xml:space="preserve">ibm-granite/granite-speech-3.2-8b</t>
  </si>
  <si>
    <t xml:space="preserve">https://huggingface.co/ibm-granite/granite-speech-3.2-8b</t>
  </si>
  <si>
    <t xml:space="preserve">vantagewithai/Sulphur-2-Base-GGUF</t>
  </si>
  <si>
    <t xml:space="preserve">https://huggingface.co/vantagewithai/Sulphur-2-Base-GGUF</t>
  </si>
  <si>
    <t xml:space="preserve">optimum-intel-internal-testing/tiny-random-gpt-oss-mxfp4</t>
  </si>
  <si>
    <t xml:space="preserve">https://huggingface.co/optimum-intel-internal-testing/tiny-random-gpt-oss-mxfp4</t>
  </si>
  <si>
    <t xml:space="preserve">Lightricks/LTX-Video-ICLoRA-detailer-13b-0.9.8</t>
  </si>
  <si>
    <t xml:space="preserve">https://huggingface.co/Lightricks/LTX-Video-ICLoRA-detailer-13b-0.9.8</t>
  </si>
  <si>
    <t xml:space="preserve">google/t5-efficient-tiny</t>
  </si>
  <si>
    <t xml:space="preserve">https://huggingface.co/google/t5-efficient-tiny</t>
  </si>
  <si>
    <t xml:space="preserve">optimum-intel-internal-testing/tiny-random-VisionEncoderDecoderModel-vit-gpt2</t>
  </si>
  <si>
    <t xml:space="preserve">https://huggingface.co/optimum-intel-internal-testing/tiny-random-VisionEncoderDecoderModel-vit-gpt2</t>
  </si>
  <si>
    <t xml:space="preserve">naver/DUSt3R_ViTLarge_BaseDecoder_512_dpt</t>
  </si>
  <si>
    <t xml:space="preserve">https://huggingface.co/naver/DUSt3R_ViTLarge_BaseDecoder_512_dpt</t>
  </si>
  <si>
    <t xml:space="preserve">OpenMed/OpenMed-ZeroShot-NER-Organism-Tiny-60M</t>
  </si>
  <si>
    <t xml:space="preserve">https://huggingface.co/OpenMed/OpenMed-ZeroShot-NER-Organism-Tiny-60M</t>
  </si>
  <si>
    <t xml:space="preserve">trl-internal-testing/tiny-BartModel</t>
  </si>
  <si>
    <t xml:space="preserve">https://huggingface.co/trl-internal-testing/tiny-BartModel</t>
  </si>
  <si>
    <t xml:space="preserve">Helsinki-NLP/opus-mt-de-fr</t>
  </si>
  <si>
    <t xml:space="preserve">https://huggingface.co/Helsinki-NLP/opus-mt-de-fr</t>
  </si>
  <si>
    <t xml:space="preserve">lmms-lab/LLaVA-OneVision-1.5-8B-Instruct</t>
  </si>
  <si>
    <t xml:space="preserve">lmms-lab</t>
  </si>
  <si>
    <t xml:space="preserve">https://huggingface.co/lmms-lab/LLaVA-OneVision-1.5-8B-Instruct</t>
  </si>
  <si>
    <t xml:space="preserve">John6666/true-pencil-xl-v100-sdxl</t>
  </si>
  <si>
    <t xml:space="preserve">https://huggingface.co/John6666/true-pencil-xl-v100-sdxl</t>
  </si>
  <si>
    <t xml:space="preserve">OpenMed/OpenMed-ZeroShot-NER-Genomic-Large-459M</t>
  </si>
  <si>
    <t xml:space="preserve">https://huggingface.co/OpenMed/OpenMed-ZeroShot-NER-Genomic-Large-459M</t>
  </si>
  <si>
    <t xml:space="preserve">lovis93/testllm</t>
  </si>
  <si>
    <t xml:space="preserve">lovis93</t>
  </si>
  <si>
    <t xml:space="preserve">https://huggingface.co/lovis93/testllm</t>
  </si>
  <si>
    <t xml:space="preserve">nguyenvulebinh/wav2vec2-base-vietnamese-250h</t>
  </si>
  <si>
    <t xml:space="preserve">https://huggingface.co/nguyenvulebinh/wav2vec2-base-vietnamese-250h</t>
  </si>
  <si>
    <t xml:space="preserve">peft-internal-testing/tiny_WhisperForConditionalGeneration-lora</t>
  </si>
  <si>
    <t xml:space="preserve">https://huggingface.co/peft-internal-testing/tiny_WhisperForConditionalGeneration-lora</t>
  </si>
  <si>
    <t xml:space="preserve">unsloth/Z-Image-Turbo</t>
  </si>
  <si>
    <t xml:space="preserve">https://huggingface.co/unsloth/Z-Image-Turbo</t>
  </si>
  <si>
    <t xml:space="preserve">OpenMed/OpenMed-ZeroShot-NER-Disease-Tiny-60M</t>
  </si>
  <si>
    <t xml:space="preserve">https://huggingface.co/OpenMed/OpenMed-ZeroShot-NER-Disease-Tiny-60M</t>
  </si>
  <si>
    <t xml:space="preserve">prithivida/grammar_error_correcter_v1</t>
  </si>
  <si>
    <t xml:space="preserve">https://huggingface.co/prithivida/grammar_error_correcter_v1</t>
  </si>
  <si>
    <t xml:space="preserve">leejet/FLUX.2-klein-4B-GGUF</t>
  </si>
  <si>
    <t xml:space="preserve">https://huggingface.co/leejet/FLUX.2-klein-4B-GGUF</t>
  </si>
  <si>
    <t xml:space="preserve">optimum-intel-internal-testing/tiny-random-gemma3n</t>
  </si>
  <si>
    <t xml:space="preserve">https://huggingface.co/optimum-intel-internal-testing/tiny-random-gemma3n</t>
  </si>
  <si>
    <t xml:space="preserve">peft-internal-testing/tiny-T5ForConditionalGeneration</t>
  </si>
  <si>
    <t xml:space="preserve">https://huggingface.co/peft-internal-testing/tiny-T5ForConditionalGeneration</t>
  </si>
  <si>
    <t xml:space="preserve">second-state/stable-diffusion-v1-5-GGUF</t>
  </si>
  <si>
    <t xml:space="preserve">https://huggingface.co/second-state/stable-diffusion-v1-5-GGUF</t>
  </si>
  <si>
    <t xml:space="preserve">microsoft/codebert-base-mlm</t>
  </si>
  <si>
    <t xml:space="preserve">https://huggingface.co/microsoft/codebert-base-mlm</t>
  </si>
  <si>
    <t xml:space="preserve">cahya/bert-base-indonesian-1.5G</t>
  </si>
  <si>
    <t xml:space="preserve">https://huggingface.co/cahya/bert-base-indonesian-1.5G</t>
  </si>
  <si>
    <t xml:space="preserve">kernels-community/flash-attn2</t>
  </si>
  <si>
    <t xml:space="preserve">https://huggingface.co/kernels-community/flash-attn2</t>
  </si>
  <si>
    <t xml:space="preserve">ashawkey/zero123-xl-diffusers</t>
  </si>
  <si>
    <t xml:space="preserve">ashawkey</t>
  </si>
  <si>
    <t xml:space="preserve">https://huggingface.co/ashawkey/zero123-xl-diffusers</t>
  </si>
  <si>
    <t xml:space="preserve">ibm-esa-geospatial/TerraMind-1.0-base</t>
  </si>
  <si>
    <t xml:space="preserve">ibm-esa-geospatial</t>
  </si>
  <si>
    <t xml:space="preserve">https://huggingface.co/ibm-esa-geospatial/TerraMind-1.0-base</t>
  </si>
  <si>
    <t xml:space="preserve">Salesforce/SFR-Embedding-Mistral</t>
  </si>
  <si>
    <t xml:space="preserve">https://huggingface.co/Salesforce/SFR-Embedding-Mistral</t>
  </si>
  <si>
    <t xml:space="preserve">nvidia/mit-b5</t>
  </si>
  <si>
    <t xml:space="preserve">https://huggingface.co/nvidia/mit-b5</t>
  </si>
  <si>
    <t xml:space="preserve">AstraMindAI/xttsv2</t>
  </si>
  <si>
    <t xml:space="preserve">https://huggingface.co/AstraMindAI/xttsv2</t>
  </si>
  <si>
    <t xml:space="preserve">mudler/MOSS-TTS-Local-Transformer-v1.5-GGUF</t>
  </si>
  <si>
    <t xml:space="preserve">https://huggingface.co/mudler/MOSS-TTS-Local-Transformer-v1.5-GGUF</t>
  </si>
  <si>
    <t xml:space="preserve">HuggingFaceVLA/smolvla_libero</t>
  </si>
  <si>
    <t xml:space="preserve">HuggingFaceVLA</t>
  </si>
  <si>
    <t xml:space="preserve">https://huggingface.co/HuggingFaceVLA/smolvla_libero</t>
  </si>
  <si>
    <t xml:space="preserve">OpenMOSS-Team/MOSS-TTS-Realtime</t>
  </si>
  <si>
    <t xml:space="preserve">https://huggingface.co/OpenMOSS-Team/MOSS-TTS-Realtime</t>
  </si>
  <si>
    <t xml:space="preserve">lodestones/Chroma1-Base</t>
  </si>
  <si>
    <t xml:space="preserve">https://huggingface.co/lodestones/Chroma1-Base</t>
  </si>
  <si>
    <t xml:space="preserve">ZhengPeng7/BiRefNet_HR-matting</t>
  </si>
  <si>
    <t xml:space="preserve">https://huggingface.co/ZhengPeng7/BiRefNet_HR-matting</t>
  </si>
  <si>
    <t xml:space="preserve">Comfy-Org/Mochi-Preview</t>
  </si>
  <si>
    <t xml:space="preserve">https://huggingface.co/Comfy-Org/Mochi-Preview</t>
  </si>
  <si>
    <t xml:space="preserve">OpenMed/OpenMed-ZeroShot-NER-Species-XLarge-770M</t>
  </si>
  <si>
    <t xml:space="preserve">https://huggingface.co/OpenMed/OpenMed-ZeroShot-NER-Species-XLarge-770M</t>
  </si>
  <si>
    <t xml:space="preserve">Biociphers/g4mer</t>
  </si>
  <si>
    <t xml:space="preserve">Biociphers</t>
  </si>
  <si>
    <t xml:space="preserve">https://huggingface.co/Biociphers/g4mer</t>
  </si>
  <si>
    <t xml:space="preserve">RUPunct/RUPunct_big</t>
  </si>
  <si>
    <t xml:space="preserve">RUPunct</t>
  </si>
  <si>
    <t xml:space="preserve">https://huggingface.co/RUPunct/RUPunct_big</t>
  </si>
  <si>
    <t xml:space="preserve">timm/MobileCLIP2-S4-OpenCLIP</t>
  </si>
  <si>
    <t xml:space="preserve">https://huggingface.co/timm/MobileCLIP2-S4-OpenCLIP</t>
  </si>
  <si>
    <t xml:space="preserve">google-t5/t5-11b</t>
  </si>
  <si>
    <t xml:space="preserve">https://huggingface.co/google-t5/t5-11b</t>
  </si>
  <si>
    <t xml:space="preserve">hf-tiny-model-private/tiny-random-MCTCTModel</t>
  </si>
  <si>
    <t xml:space="preserve">hf-tiny-model-private</t>
  </si>
  <si>
    <t xml:space="preserve">https://huggingface.co/hf-tiny-model-private/tiny-random-MCTCTModel</t>
  </si>
  <si>
    <t xml:space="preserve">michiyasunaga/BioLinkBERT-base</t>
  </si>
  <si>
    <t xml:space="preserve">michiyasunaga</t>
  </si>
  <si>
    <t xml:space="preserve">https://huggingface.co/michiyasunaga/BioLinkBERT-base</t>
  </si>
  <si>
    <t xml:space="preserve">optimum-intel-internal-testing/tiny-random-ltx2</t>
  </si>
  <si>
    <t xml:space="preserve">https://huggingface.co/optimum-intel-internal-testing/tiny-random-ltx2</t>
  </si>
  <si>
    <t xml:space="preserve">facebook/mms-tts-hin</t>
  </si>
  <si>
    <t xml:space="preserve">https://huggingface.co/facebook/mms-tts-hin</t>
  </si>
  <si>
    <t xml:space="preserve">KaptainKris/ppo-LunarLander-v3-flip</t>
  </si>
  <si>
    <t xml:space="preserve">KaptainKris</t>
  </si>
  <si>
    <t xml:space="preserve">https://huggingface.co/KaptainKris/ppo-LunarLander-v3-flip</t>
  </si>
  <si>
    <t xml:space="preserve">nvidia/Cosmos-Embed1-224p</t>
  </si>
  <si>
    <t xml:space="preserve">https://huggingface.co/nvidia/Cosmos-Embed1-224p</t>
  </si>
  <si>
    <t xml:space="preserve">wikeeyang/Flux2-Klein-9B-True-V3</t>
  </si>
  <si>
    <t xml:space="preserve">https://huggingface.co/wikeeyang/Flux2-Klein-9B-True-V3</t>
  </si>
  <si>
    <t xml:space="preserve">naver-clova-ix/donut-base-finetuned-docvqa</t>
  </si>
  <si>
    <t xml:space="preserve">https://huggingface.co/naver-clova-ix/donut-base-finetuned-docvqa</t>
  </si>
  <si>
    <t xml:space="preserve">OpenMed/OpenMed-ZeroShot-NER-Anatomy-XLarge-770M</t>
  </si>
  <si>
    <t xml:space="preserve">https://huggingface.co/OpenMed/OpenMed-ZeroShot-NER-Anatomy-XLarge-770M</t>
  </si>
  <si>
    <t xml:space="preserve">SG161222/RealVisXL_V5.0_Lightning</t>
  </si>
  <si>
    <t xml:space="preserve">https://huggingface.co/SG161222/RealVisXL_V5.0_Lightning</t>
  </si>
  <si>
    <t xml:space="preserve">suno/bark</t>
  </si>
  <si>
    <t xml:space="preserve">https://huggingface.co/suno/bark</t>
  </si>
  <si>
    <t xml:space="preserve">DeepBeepMeep/LTX_Video</t>
  </si>
  <si>
    <t xml:space="preserve">https://huggingface.co/DeepBeepMeep/LTX_Video</t>
  </si>
  <si>
    <t xml:space="preserve">purplesmartai/pony-v7-base</t>
  </si>
  <si>
    <t xml:space="preserve">purplesmartai</t>
  </si>
  <si>
    <t xml:space="preserve">https://huggingface.co/purplesmartai/pony-v7-base</t>
  </si>
  <si>
    <t xml:space="preserve">michiyasunaga/BioLinkBERT-large</t>
  </si>
  <si>
    <t xml:space="preserve">https://huggingface.co/michiyasunaga/BioLinkBERT-large</t>
  </si>
  <si>
    <t xml:space="preserve">OpenMed/OpenMed-ZeroShot-NER-DNA-XLarge-770M</t>
  </si>
  <si>
    <t xml:space="preserve">https://huggingface.co/OpenMed/OpenMed-ZeroShot-NER-DNA-XLarge-770M</t>
  </si>
  <si>
    <t xml:space="preserve">line-corporation/clip-japanese-base</t>
  </si>
  <si>
    <t xml:space="preserve">line-corporation</t>
  </si>
  <si>
    <t xml:space="preserve">https://huggingface.co/line-corporation/clip-japanese-base</t>
  </si>
  <si>
    <t xml:space="preserve">lllyasviel/sd-controlnet-canny</t>
  </si>
  <si>
    <t xml:space="preserve">https://huggingface.co/lllyasviel/sd-controlnet-canny</t>
  </si>
  <si>
    <t xml:space="preserve">sarvamai/sarvam-105b</t>
  </si>
  <si>
    <t xml:space="preserve">https://huggingface.co/sarvamai/sarvam-105b</t>
  </si>
  <si>
    <t xml:space="preserve">Comfy-Org/Chroma1-HD</t>
  </si>
  <si>
    <t xml:space="preserve">https://huggingface.co/Comfy-Org/Chroma1-HD</t>
  </si>
  <si>
    <t xml:space="preserve">ai-forever/ruElectra-small</t>
  </si>
  <si>
    <t xml:space="preserve">https://huggingface.co/ai-forever/ruElectra-small</t>
  </si>
  <si>
    <t xml:space="preserve">contextboxai/Kokoro-Vietnamese</t>
  </si>
  <si>
    <t xml:space="preserve">contextboxai</t>
  </si>
  <si>
    <t xml:space="preserve">https://huggingface.co/contextboxai/Kokoro-Vietnamese</t>
  </si>
  <si>
    <t xml:space="preserve">Intel/bert-base-uncased-mrpc</t>
  </si>
  <si>
    <t xml:space="preserve">https://huggingface.co/Intel/bert-base-uncased-mrpc</t>
  </si>
  <si>
    <t xml:space="preserve">nvidia/stt_ar_fastconformer_hybrid_large_pcd_v1.0</t>
  </si>
  <si>
    <t xml:space="preserve">https://huggingface.co/nvidia/stt_ar_fastconformer_hybrid_large_pcd_v1.0</t>
  </si>
  <si>
    <t xml:space="preserve">diffusers/controlnet-canny-sdxl-1.0</t>
  </si>
  <si>
    <t xml:space="preserve">https://huggingface.co/diffusers/controlnet-canny-sdxl-1.0</t>
  </si>
  <si>
    <t xml:space="preserve">wangzhang/gemma-4-E2B-it-abliterated</t>
  </si>
  <si>
    <t xml:space="preserve">https://huggingface.co/wangzhang/gemma-4-E2B-it-abliterated</t>
  </si>
  <si>
    <t xml:space="preserve">bartowski/L3-8B-Stheno-v3.2-GGUF</t>
  </si>
  <si>
    <t xml:space="preserve">https://huggingface.co/bartowski/L3-8B-Stheno-v3.2-GGUF</t>
  </si>
  <si>
    <t xml:space="preserve">ai4bharat/IndicBERTv2-MLM-only</t>
  </si>
  <si>
    <t xml:space="preserve">https://huggingface.co/ai4bharat/IndicBERTv2-MLM-only</t>
  </si>
  <si>
    <t xml:space="preserve">foduucom/stockmarket-pattern-detection-yolov8</t>
  </si>
  <si>
    <t xml:space="preserve">foduucom</t>
  </si>
  <si>
    <t xml:space="preserve">https://huggingface.co/foduucom/stockmarket-pattern-detection-yolov8</t>
  </si>
  <si>
    <t xml:space="preserve">huihui-ai/Huihui-gemma-4-12B-it-qat-q4_0-unquantized-abliterated-GGUF</t>
  </si>
  <si>
    <t xml:space="preserve">huihui-ai</t>
  </si>
  <si>
    <t xml:space="preserve">https://huggingface.co/huihui-ai/Huihui-gemma-4-12B-it-qat-q4_0-unquantized-abliterated-GGUF</t>
  </si>
  <si>
    <t xml:space="preserve">OpenMed/OpenMed-ZeroShot-NER-Genome-Base-220M</t>
  </si>
  <si>
    <t xml:space="preserve">https://huggingface.co/OpenMed/OpenMed-ZeroShot-NER-Genome-Base-220M</t>
  </si>
  <si>
    <t xml:space="preserve">leolee99/PIGuard</t>
  </si>
  <si>
    <t xml:space="preserve">leolee99</t>
  </si>
  <si>
    <t xml:space="preserve">https://huggingface.co/leolee99/PIGuard</t>
  </si>
  <si>
    <t xml:space="preserve">allenai/led-base-16384</t>
  </si>
  <si>
    <t xml:space="preserve">https://huggingface.co/allenai/led-base-16384</t>
  </si>
  <si>
    <t xml:space="preserve">allenai/biomed_roberta_base</t>
  </si>
  <si>
    <t xml:space="preserve">https://huggingface.co/allenai/biomed_roberta_base</t>
  </si>
  <si>
    <t xml:space="preserve">silveroxides/FLUX.2-dev-fp8_scaled</t>
  </si>
  <si>
    <t xml:space="preserve">https://huggingface.co/silveroxides/FLUX.2-dev-fp8_scaled</t>
  </si>
  <si>
    <t xml:space="preserve">groxaxo/Huihui-gemma-4-26B-A4B-it-abliterated-GGUF</t>
  </si>
  <si>
    <t xml:space="preserve">groxaxo</t>
  </si>
  <si>
    <t xml:space="preserve">https://huggingface.co/groxaxo/Huihui-gemma-4-26B-A4B-it-abliterated-GGUF</t>
  </si>
  <si>
    <t xml:space="preserve">google/metricx-24-hybrid-xxl-v2p6-bfloat16</t>
  </si>
  <si>
    <t xml:space="preserve">https://huggingface.co/google/metricx-24-hybrid-xxl-v2p6-bfloat16</t>
  </si>
  <si>
    <t xml:space="preserve">l3cube-pune/bengali-sentence-similarity-sbert</t>
  </si>
  <si>
    <t xml:space="preserve">https://huggingface.co/l3cube-pune/bengali-sentence-similarity-sbert</t>
  </si>
  <si>
    <t xml:space="preserve">vibevoice/VibeVoice-1.5B</t>
  </si>
  <si>
    <t xml:space="preserve">vibevoice</t>
  </si>
  <si>
    <t xml:space="preserve">https://huggingface.co/vibevoice/VibeVoice-1.5B</t>
  </si>
  <si>
    <t xml:space="preserve">OpenMed/OpenMed-ZeroShot-NER-Disease-Base-220M</t>
  </si>
  <si>
    <t xml:space="preserve">https://huggingface.co/OpenMed/OpenMed-ZeroShot-NER-Disease-Base-220M</t>
  </si>
  <si>
    <t xml:space="preserve">valhalla/distilbart-mnli-12-3</t>
  </si>
  <si>
    <t xml:space="preserve">https://huggingface.co/valhalla/distilbart-mnli-12-3</t>
  </si>
  <si>
    <t xml:space="preserve">joyfox/LTX-2.3-Transition-LORA</t>
  </si>
  <si>
    <t xml:space="preserve">https://huggingface.co/joyfox/LTX-2.3-Transition-LORA</t>
  </si>
  <si>
    <t xml:space="preserve">fancyfeast/bigaspv2-5</t>
  </si>
  <si>
    <t xml:space="preserve">https://huggingface.co/fancyfeast/bigaspv2-5</t>
  </si>
  <si>
    <t xml:space="preserve">blueflame749/Z-Image-Lora</t>
  </si>
  <si>
    <t xml:space="preserve">blueflame749</t>
  </si>
  <si>
    <t xml:space="preserve">https://huggingface.co/blueflame749/Z-Image-Lora</t>
  </si>
  <si>
    <t xml:space="preserve">optimum-intel-internal-testing/tiny-random-XGLMForCausalLM</t>
  </si>
  <si>
    <t xml:space="preserve">https://huggingface.co/optimum-intel-internal-testing/tiny-random-XGLMForCausalLM</t>
  </si>
  <si>
    <t xml:space="preserve">NeelNanda/SoLU_2L512W_C4_Code</t>
  </si>
  <si>
    <t xml:space="preserve">NeelNanda</t>
  </si>
  <si>
    <t xml:space="preserve">https://huggingface.co/NeelNanda/SoLU_2L512W_C4_Code</t>
  </si>
  <si>
    <t xml:space="preserve">ai4bharat/indictrans2-en-indic-1B</t>
  </si>
  <si>
    <t xml:space="preserve">https://huggingface.co/ai4bharat/indictrans2-en-indic-1B</t>
  </si>
  <si>
    <t xml:space="preserve">Comfy-Org/Lens</t>
  </si>
  <si>
    <t xml:space="preserve">https://huggingface.co/Comfy-Org/Lens</t>
  </si>
  <si>
    <t xml:space="preserve">facebook/dinov2-base-imagenet1k-1-layer</t>
  </si>
  <si>
    <t xml:space="preserve">https://huggingface.co/facebook/dinov2-base-imagenet1k-1-layer</t>
  </si>
  <si>
    <t xml:space="preserve">McGill-NLP/LLM2Vec-Mistral-7B-Instruct-v2-mntp</t>
  </si>
  <si>
    <t xml:space="preserve">https://huggingface.co/McGill-NLP/LLM2Vec-Mistral-7B-Instruct-v2-mntp</t>
  </si>
  <si>
    <t xml:space="preserve">Marqo/marqo-fashionCLIP</t>
  </si>
  <si>
    <t xml:space="preserve">https://huggingface.co/Marqo/marqo-fashionCLIP</t>
  </si>
  <si>
    <t xml:space="preserve">optimum-intel-internal-testing/tiny-random-deberta</t>
  </si>
  <si>
    <t xml:space="preserve">https://huggingface.co/optimum-intel-internal-testing/tiny-random-deberta</t>
  </si>
  <si>
    <t xml:space="preserve">microsoft/deberta-large</t>
  </si>
  <si>
    <t xml:space="preserve">https://huggingface.co/microsoft/deberta-large</t>
  </si>
  <si>
    <t xml:space="preserve">optimum-intel-internal-testing/tiny-random-camembert</t>
  </si>
  <si>
    <t xml:space="preserve">https://huggingface.co/optimum-intel-internal-testing/tiny-random-camembert</t>
  </si>
  <si>
    <t xml:space="preserve">sshleifer/tiny-distilbert-base-cased</t>
  </si>
  <si>
    <t xml:space="preserve">https://huggingface.co/sshleifer/tiny-distilbert-base-cased</t>
  </si>
  <si>
    <t xml:space="preserve">ifmylove2011/girlslike-zimage</t>
  </si>
  <si>
    <t xml:space="preserve">ifmylove2011</t>
  </si>
  <si>
    <t xml:space="preserve">https://huggingface.co/ifmylove2011/girlslike-zimage</t>
  </si>
  <si>
    <t xml:space="preserve">mlabonne/NeuralMonarch-7B</t>
  </si>
  <si>
    <t xml:space="preserve">https://huggingface.co/mlabonne/NeuralMonarch-7B</t>
  </si>
  <si>
    <t xml:space="preserve">optimum-intel-internal-testing/tiny-random-DebertaV2Model</t>
  </si>
  <si>
    <t xml:space="preserve">https://huggingface.co/optimum-intel-internal-testing/tiny-random-DebertaV2Model</t>
  </si>
  <si>
    <t xml:space="preserve">lmsys/sglang-EAGLE-llama2-chat-7B</t>
  </si>
  <si>
    <t xml:space="preserve">https://huggingface.co/lmsys/sglang-EAGLE-llama2-chat-7B</t>
  </si>
  <si>
    <t xml:space="preserve">ai4bharat/IndicF5</t>
  </si>
  <si>
    <t xml:space="preserve">https://huggingface.co/ai4bharat/IndicF5</t>
  </si>
  <si>
    <t xml:space="preserve">trl-internal-testing/tiny-MuseGlimmerForConditionalGeneration</t>
  </si>
  <si>
    <t xml:space="preserve">https://huggingface.co/trl-internal-testing/tiny-MuseGlimmerForConditionalGeneration</t>
  </si>
  <si>
    <t xml:space="preserve">kakaobank/kf-deberta-base</t>
  </si>
  <si>
    <t xml:space="preserve">kakaobank</t>
  </si>
  <si>
    <t xml:space="preserve">https://huggingface.co/kakaobank/kf-deberta-base</t>
  </si>
  <si>
    <t xml:space="preserve">google/vivit-b-16x2</t>
  </si>
  <si>
    <t xml:space="preserve">https://huggingface.co/google/vivit-b-16x2</t>
  </si>
  <si>
    <t xml:space="preserve">sshleifer/tiny-dbmdz-bert-large-cased-finetuned-conll03-english</t>
  </si>
  <si>
    <t xml:space="preserve">https://huggingface.co/sshleifer/tiny-dbmdz-bert-large-cased-finetuned-conll03-english</t>
  </si>
  <si>
    <t xml:space="preserve">basel/ATTACK-BERT</t>
  </si>
  <si>
    <t xml:space="preserve">basel</t>
  </si>
  <si>
    <t xml:space="preserve">https://huggingface.co/basel/ATTACK-BERT</t>
  </si>
  <si>
    <t xml:space="preserve">apple/DFN2B-CLIP-ViT-L-14-39B</t>
  </si>
  <si>
    <t xml:space="preserve">https://huggingface.co/apple/DFN2B-CLIP-ViT-L-14-39B</t>
  </si>
  <si>
    <t xml:space="preserve">ifmylove2011/girlslike-krea2</t>
  </si>
  <si>
    <t xml:space="preserve">https://huggingface.co/ifmylove2011/girlslike-krea2</t>
  </si>
  <si>
    <t xml:space="preserve">optimum-internal-testing/tiny-random-llama</t>
  </si>
  <si>
    <t xml:space="preserve">optimum-internal-testing</t>
  </si>
  <si>
    <t xml:space="preserve">https://huggingface.co/optimum-internal-testing/tiny-random-llama</t>
  </si>
  <si>
    <t xml:space="preserve">OpenMed/OpenMed-ZeroShot-NER-Pharma-Large-459M</t>
  </si>
  <si>
    <t xml:space="preserve">https://huggingface.co/OpenMed/OpenMed-ZeroShot-NER-Pharma-Large-459M</t>
  </si>
  <si>
    <t xml:space="preserve">John6666/autismmix-sdxl-autismmix-pony-sdxl</t>
  </si>
  <si>
    <t xml:space="preserve">https://huggingface.co/John6666/autismmix-sdxl-autismmix-pony-sdxl</t>
  </si>
  <si>
    <t xml:space="preserve">facebook/contriever-msmarco</t>
  </si>
  <si>
    <t xml:space="preserve">https://huggingface.co/facebook/contriever-msmarco</t>
  </si>
  <si>
    <t xml:space="preserve">optimum-intel-internal-testing/tiny-random-EsmModel</t>
  </si>
  <si>
    <t xml:space="preserve">https://huggingface.co/optimum-intel-internal-testing/tiny-random-EsmModel</t>
  </si>
  <si>
    <t xml:space="preserve">optimum-intel-internal-testing/tiny-random-Wav2Vec2Model</t>
  </si>
  <si>
    <t xml:space="preserve">https://huggingface.co/optimum-intel-internal-testing/tiny-random-Wav2Vec2Model</t>
  </si>
  <si>
    <t xml:space="preserve">facebook/metaclip-2-worldwide-giant-378</t>
  </si>
  <si>
    <t xml:space="preserve">https://huggingface.co/facebook/metaclip-2-worldwide-giant-378</t>
  </si>
  <si>
    <t xml:space="preserve">optimum-intel-internal-testing/trocr-small-handwritten</t>
  </si>
  <si>
    <t xml:space="preserve">https://huggingface.co/optimum-intel-internal-testing/trocr-small-handwritten</t>
  </si>
  <si>
    <t xml:space="preserve">pysentimiento/bert-pt-emotion</t>
  </si>
  <si>
    <t xml:space="preserve">https://huggingface.co/pysentimiento/bert-pt-emotion</t>
  </si>
  <si>
    <t xml:space="preserve">sshleifer/tiny-mbart</t>
  </si>
  <si>
    <t xml:space="preserve">https://huggingface.co/sshleifer/tiny-mbart</t>
  </si>
  <si>
    <t xml:space="preserve">yujiepan/llama-2-tiny-random</t>
  </si>
  <si>
    <t xml:space="preserve">yujiepan</t>
  </si>
  <si>
    <t xml:space="preserve">https://huggingface.co/yujiepan/llama-2-tiny-random</t>
  </si>
  <si>
    <t xml:space="preserve">indolem/indobertweet-base-uncased</t>
  </si>
  <si>
    <t xml:space="preserve">https://huggingface.co/indolem/indobertweet-base-uncased</t>
  </si>
  <si>
    <t xml:space="preserve">optimum-intel-internal-testing/tiny-random-MobileBertModel</t>
  </si>
  <si>
    <t xml:space="preserve">https://huggingface.co/optimum-intel-internal-testing/tiny-random-MobileBertModel</t>
  </si>
  <si>
    <t xml:space="preserve">optimum-intel-internal-testing/tiny-random-MPNetModel</t>
  </si>
  <si>
    <t xml:space="preserve">https://huggingface.co/optimum-intel-internal-testing/tiny-random-MPNetModel</t>
  </si>
  <si>
    <t xml:space="preserve">stabilityai/stable-audio-open-1.0</t>
  </si>
  <si>
    <t xml:space="preserve">https://huggingface.co/stabilityai/stable-audio-open-1.0</t>
  </si>
  <si>
    <t xml:space="preserve">https://huggingface.co/upstage/solar-pro-preview-instruct</t>
  </si>
  <si>
    <t xml:space="preserve">Granddyser/flux-klein-9b-Biglove-Collection</t>
  </si>
  <si>
    <t xml:space="preserve">Granddyser</t>
  </si>
  <si>
    <t xml:space="preserve">https://huggingface.co/Granddyser/flux-klein-9b-Biglove-Collection</t>
  </si>
  <si>
    <t xml:space="preserve">Lightricks/LTX-2.5-Diffusers</t>
  </si>
  <si>
    <t xml:space="preserve">https://huggingface.co/Lightricks/LTX-2.5-Diffusers</t>
  </si>
  <si>
    <t xml:space="preserve">corto-ai/nomic-embed-text-v1</t>
  </si>
  <si>
    <t xml:space="preserve">corto-ai</t>
  </si>
  <si>
    <t xml:space="preserve">https://huggingface.co/corto-ai/nomic-embed-text-v1</t>
  </si>
  <si>
    <t xml:space="preserve">diffusers/controlnet-depth-sdxl-1.0</t>
  </si>
  <si>
    <t xml:space="preserve">https://huggingface.co/diffusers/controlnet-depth-sdxl-1.0</t>
  </si>
  <si>
    <t xml:space="preserve">software-mansion/react-native-executorch-recognizer-crnn.en</t>
  </si>
  <si>
    <t xml:space="preserve">https://huggingface.co/software-mansion/react-native-executorch-recognizer-crnn.en</t>
  </si>
  <si>
    <t xml:space="preserve">Isotonic/deberta-v3-base_finetuned_ai4privacy_v2</t>
  </si>
  <si>
    <t xml:space="preserve">Isotonic</t>
  </si>
  <si>
    <t xml:space="preserve">https://huggingface.co/Isotonic/deberta-v3-base_finetuned_ai4privacy_v2</t>
  </si>
  <si>
    <t xml:space="preserve">TrevorJS/gemma-4-26B-A4B-it-uncensored-GGUF</t>
  </si>
  <si>
    <t xml:space="preserve">https://huggingface.co/TrevorJS/gemma-4-26B-A4B-it-uncensored-GGUF</t>
  </si>
  <si>
    <t xml:space="preserve">laion/CLIP-ViT-B-16-DataComp.XL-s13B-b90K</t>
  </si>
  <si>
    <t xml:space="preserve">https://huggingface.co/laion/CLIP-ViT-B-16-DataComp.XL-s13B-b90K</t>
  </si>
  <si>
    <t xml:space="preserve">law-ai/InLegalBERT</t>
  </si>
  <si>
    <t xml:space="preserve">law-ai</t>
  </si>
  <si>
    <t xml:space="preserve">https://huggingface.co/law-ai/InLegalBERT</t>
  </si>
  <si>
    <t xml:space="preserve">tanjina284/puma_model</t>
  </si>
  <si>
    <t xml:space="preserve">tanjina284</t>
  </si>
  <si>
    <t xml:space="preserve">https://huggingface.co/tanjina284/puma_model</t>
  </si>
  <si>
    <t xml:space="preserve">optimum-intel-internal-testing/tiny-random-rembert</t>
  </si>
  <si>
    <t xml:space="preserve">https://huggingface.co/optimum-intel-internal-testing/tiny-random-rembert</t>
  </si>
  <si>
    <t xml:space="preserve">huihui-ai/Huihui-gpt-oss-20b-BF16-abliterated</t>
  </si>
  <si>
    <t xml:space="preserve">https://huggingface.co/huihui-ai/Huihui-gpt-oss-20b-BF16-abliterated</t>
  </si>
  <si>
    <t xml:space="preserve">lustlyai/Flux_Lustly.ai_Uncensored_nsfw_v1</t>
  </si>
  <si>
    <t xml:space="preserve">lustlyai</t>
  </si>
  <si>
    <t xml:space="preserve">https://huggingface.co/lustlyai/Flux_Lustly.ai_Uncensored_nsfw_v1</t>
  </si>
  <si>
    <t xml:space="preserve">hkunlp/instructor-base</t>
  </si>
  <si>
    <t xml:space="preserve">https://huggingface.co/hkunlp/instructor-base</t>
  </si>
  <si>
    <t xml:space="preserve">cahya/wav2vec2-large-xlsr-indonesian</t>
  </si>
  <si>
    <t xml:space="preserve">https://huggingface.co/cahya/wav2vec2-large-xlsr-indonesian</t>
  </si>
  <si>
    <t xml:space="preserve">black-forest-labs/FLUX.2-klein-9b-kv</t>
  </si>
  <si>
    <t xml:space="preserve">https://huggingface.co/black-forest-labs/FLUX.2-klein-9b-kv</t>
  </si>
  <si>
    <t xml:space="preserve">lmms-lab/LLaVA-OneVision-1.5-4B-Base</t>
  </si>
  <si>
    <t xml:space="preserve">https://huggingface.co/lmms-lab/LLaVA-OneVision-1.5-4B-Base</t>
  </si>
  <si>
    <t xml:space="preserve">caidas/swin2SR-classical-sr-x2-64</t>
  </si>
  <si>
    <t xml:space="preserve">caidas</t>
  </si>
  <si>
    <t xml:space="preserve">https://huggingface.co/caidas/swin2SR-classical-sr-x2-64</t>
  </si>
  <si>
    <t xml:space="preserve">OpenMOSS-Team/MOSS-TTS-Local-Transformer</t>
  </si>
  <si>
    <t xml:space="preserve">https://huggingface.co/OpenMOSS-Team/MOSS-TTS-Local-Transformer</t>
  </si>
  <si>
    <t xml:space="preserve">relik-ie/relik-relation-extraction-small</t>
  </si>
  <si>
    <t xml:space="preserve">https://huggingface.co/relik-ie/relik-relation-extraction-small</t>
  </si>
  <si>
    <t xml:space="preserve">ZhengPeng7/BiRefNet-matting</t>
  </si>
  <si>
    <t xml:space="preserve">https://huggingface.co/ZhengPeng7/BiRefNet-matting</t>
  </si>
  <si>
    <t xml:space="preserve">yisol/IDM-VTON</t>
  </si>
  <si>
    <t xml:space="preserve">yisol</t>
  </si>
  <si>
    <t xml:space="preserve">https://huggingface.co/yisol/IDM-VTON</t>
  </si>
  <si>
    <t xml:space="preserve">mlx-community/chatterbox-turbo-4bit</t>
  </si>
  <si>
    <t xml:space="preserve">https://huggingface.co/mlx-community/chatterbox-turbo-4bit</t>
  </si>
  <si>
    <t xml:space="preserve">Qdrant/minicoil-v1</t>
  </si>
  <si>
    <t xml:space="preserve">https://huggingface.co/Qdrant/minicoil-v1</t>
  </si>
  <si>
    <t xml:space="preserve">tianweiy/DMD2</t>
  </si>
  <si>
    <t xml:space="preserve">tianweiy</t>
  </si>
  <si>
    <t xml:space="preserve">https://huggingface.co/tianweiy/DMD2</t>
  </si>
  <si>
    <t xml:space="preserve">myshell-ai/MeloTTS-French</t>
  </si>
  <si>
    <t xml:space="preserve">https://huggingface.co/myshell-ai/MeloTTS-French</t>
  </si>
  <si>
    <t xml:space="preserve">facebook/ijepa_vith14_1k</t>
  </si>
  <si>
    <t xml:space="preserve">https://huggingface.co/facebook/ijepa_vith14_1k</t>
  </si>
  <si>
    <t xml:space="preserve">MykolaL/DelineateAnything</t>
  </si>
  <si>
    <t xml:space="preserve">MykolaL</t>
  </si>
  <si>
    <t xml:space="preserve">https://huggingface.co/MykolaL/DelineateAnything</t>
  </si>
  <si>
    <t xml:space="preserve">software-mansion/react-native-executorch-detector-craft</t>
  </si>
  <si>
    <t xml:space="preserve">https://huggingface.co/software-mansion/react-native-executorch-detector-craft</t>
  </si>
  <si>
    <t xml:space="preserve">peft-internal-testing/tiny_T5ForSeq2SeqLM-lora</t>
  </si>
  <si>
    <t xml:space="preserve">https://huggingface.co/peft-internal-testing/tiny_T5ForSeq2SeqLM-lora</t>
  </si>
  <si>
    <t xml:space="preserve">OpenMed/OpenMed-ZeroShot-NER-BloodCancer-Medium-209M</t>
  </si>
  <si>
    <t xml:space="preserve">https://huggingface.co/OpenMed/OpenMed-ZeroShot-NER-BloodCancer-Medium-209M</t>
  </si>
  <si>
    <t xml:space="preserve">echarlaix/distilbert-base-uncased-finetuned-sst-2-english-openvino</t>
  </si>
  <si>
    <t xml:space="preserve">https://huggingface.co/echarlaix/distilbert-base-uncased-finetuned-sst-2-english-openvino</t>
  </si>
  <si>
    <t xml:space="preserve">facebook/wav2vec2-large</t>
  </si>
  <si>
    <t xml:space="preserve">https://huggingface.co/facebook/wav2vec2-large</t>
  </si>
  <si>
    <t xml:space="preserve">optimum-intel-internal-testing/tiny-random-SEWModel</t>
  </si>
  <si>
    <t xml:space="preserve">https://huggingface.co/optimum-intel-internal-testing/tiny-random-SEWModel</t>
  </si>
  <si>
    <t xml:space="preserve">kukidevalml/Z-Image-Lora</t>
  </si>
  <si>
    <t xml:space="preserve">kukidevalml</t>
  </si>
  <si>
    <t xml:space="preserve">https://huggingface.co/kukidevalml/Z-Image-Lora</t>
  </si>
  <si>
    <t xml:space="preserve">optimum-intel-internal-testing/tiny-random-unispeech</t>
  </si>
  <si>
    <t xml:space="preserve">https://huggingface.co/optimum-intel-internal-testing/tiny-random-unispeech</t>
  </si>
  <si>
    <t xml:space="preserve">optimum-intel-internal-testing/sew-d-tiny-100k-ft-ls100h</t>
  </si>
  <si>
    <t xml:space="preserve">https://huggingface.co/optimum-intel-internal-testing/sew-d-tiny-100k-ft-ls100h</t>
  </si>
  <si>
    <t xml:space="preserve">ScanMe/test-models</t>
  </si>
  <si>
    <t xml:space="preserve">ScanMe</t>
  </si>
  <si>
    <t xml:space="preserve">https://huggingface.co/ScanMe/test-models</t>
  </si>
  <si>
    <t xml:space="preserve">optimum-intel-internal-testing/tiny-random-HubertModel</t>
  </si>
  <si>
    <t xml:space="preserve">https://huggingface.co/optimum-intel-internal-testing/tiny-random-HubertModel</t>
  </si>
  <si>
    <t xml:space="preserve">projecte-aina/roberta-base-ca-v2-cased-ner</t>
  </si>
  <si>
    <t xml:space="preserve">projecte-aina</t>
  </si>
  <si>
    <t xml:space="preserve">https://huggingface.co/projecte-aina/roberta-base-ca-v2-cased-ner</t>
  </si>
  <si>
    <t xml:space="preserve">nvidia/gpt-oss-puzzle-88B</t>
  </si>
  <si>
    <t xml:space="preserve">https://huggingface.co/nvidia/gpt-oss-puzzle-88B</t>
  </si>
  <si>
    <t xml:space="preserve">bartowski/cognitivecomputations_Dolphin-Mistral-24B-Venice-Edition-GGUF</t>
  </si>
  <si>
    <t xml:space="preserve">https://huggingface.co/bartowski/cognitivecomputations_Dolphin-Mistral-24B-Venice-Edition-GGUF</t>
  </si>
  <si>
    <t xml:space="preserve">unsloth/FLUX.2-klein-base-9B-GGUF</t>
  </si>
  <si>
    <t xml:space="preserve">https://huggingface.co/unsloth/FLUX.2-klein-base-9B-GGUF</t>
  </si>
  <si>
    <t xml:space="preserve">wajidlinux99/gibberish-text-detector</t>
  </si>
  <si>
    <t xml:space="preserve">wajidlinux99</t>
  </si>
  <si>
    <t xml:space="preserve">https://huggingface.co/wajidlinux99/gibberish-text-detector</t>
  </si>
  <si>
    <t xml:space="preserve">facebook/metaclip-2-worldwide-huge-quickgelu</t>
  </si>
  <si>
    <t xml:space="preserve">https://huggingface.co/facebook/metaclip-2-worldwide-huge-quickgelu</t>
  </si>
  <si>
    <t xml:space="preserve">OpenMed/OpenMed-ZeroShot-NER-Pharma-Medium-209M</t>
  </si>
  <si>
    <t xml:space="preserve">https://huggingface.co/OpenMed/OpenMed-ZeroShot-NER-Pharma-Medium-209M</t>
  </si>
  <si>
    <t xml:space="preserve">katuni4ka/tiny-random-siglip</t>
  </si>
  <si>
    <t xml:space="preserve">https://huggingface.co/katuni4ka/tiny-random-siglip</t>
  </si>
  <si>
    <t xml:space="preserve">DeepBeepMeep/Z-Image</t>
  </si>
  <si>
    <t xml:space="preserve">https://huggingface.co/DeepBeepMeep/Z-Image</t>
  </si>
  <si>
    <t xml:space="preserve">SDim1973/Z-Image-Loras</t>
  </si>
  <si>
    <t xml:space="preserve">SDim1973</t>
  </si>
  <si>
    <t xml:space="preserve">https://huggingface.co/SDim1973/Z-Image-Loras</t>
  </si>
  <si>
    <t xml:space="preserve">Abiray/LTX-2.3-22B-DISTILLED-1.1-GGUF</t>
  </si>
  <si>
    <t xml:space="preserve">https://huggingface.co/Abiray/LTX-2.3-22B-DISTILLED-1.1-GGUF</t>
  </si>
  <si>
    <t xml:space="preserve">google/reformer-enwik8</t>
  </si>
  <si>
    <t xml:space="preserve">https://huggingface.co/google/reformer-enwik8</t>
  </si>
  <si>
    <t xml:space="preserve">Salesforce/codet5-small</t>
  </si>
  <si>
    <t xml:space="preserve">https://huggingface.co/Salesforce/codet5-small</t>
  </si>
  <si>
    <t xml:space="preserve">nguyenvulebinh/wav2vec2-base-vi</t>
  </si>
  <si>
    <t xml:space="preserve">https://huggingface.co/nguyenvulebinh/wav2vec2-base-vi</t>
  </si>
  <si>
    <t xml:space="preserve">hcaeryks/bert-crf-harem</t>
  </si>
  <si>
    <t xml:space="preserve">hcaeryks</t>
  </si>
  <si>
    <t xml:space="preserve">https://huggingface.co/hcaeryks/bert-crf-harem</t>
  </si>
  <si>
    <t xml:space="preserve">uer/gpt2-chinese-cluecorpussmall</t>
  </si>
  <si>
    <t xml:space="preserve">uer</t>
  </si>
  <si>
    <t xml:space="preserve">https://huggingface.co/uer/gpt2-chinese-cluecorpussmall</t>
  </si>
  <si>
    <t xml:space="preserve">lodestones/MOSS-Image-SFT-8-steps-dmd</t>
  </si>
  <si>
    <t xml:space="preserve">https://huggingface.co/lodestones/MOSS-Image-SFT-8-steps-dmd</t>
  </si>
  <si>
    <t xml:space="preserve">Lajavaness/bilingual-embedding-large</t>
  </si>
  <si>
    <t xml:space="preserve">Lajavaness</t>
  </si>
  <si>
    <t xml:space="preserve">https://huggingface.co/Lajavaness/bilingual-embedding-large</t>
  </si>
  <si>
    <t xml:space="preserve">cardiffnlp/twitter-roberta-base-emotion-multilabel-latest</t>
  </si>
  <si>
    <t xml:space="preserve">https://huggingface.co/cardiffnlp/twitter-roberta-base-emotion-multilabel-latest</t>
  </si>
  <si>
    <t xml:space="preserve">nvidia/NVIDIA-Nemotron-Parse-2.0</t>
  </si>
  <si>
    <t xml:space="preserve">https://huggingface.co/nvidia/NVIDIA-Nemotron-Parse-2.0</t>
  </si>
  <si>
    <t xml:space="preserve">https://huggingface.co/pkshatech/GLuCoSE-base-ja</t>
  </si>
  <si>
    <t xml:space="preserve">jpgallegoar/F5-Spanish</t>
  </si>
  <si>
    <t xml:space="preserve">jpgallegoar</t>
  </si>
  <si>
    <t xml:space="preserve">https://huggingface.co/jpgallegoar/F5-Spanish</t>
  </si>
  <si>
    <t xml:space="preserve">OpenMed/OpenMed-ZeroShot-NER-BloodCancer-Base-220M</t>
  </si>
  <si>
    <t xml:space="preserve">https://huggingface.co/OpenMed/OpenMed-ZeroShot-NER-BloodCancer-Base-220M</t>
  </si>
  <si>
    <t xml:space="preserve">julien-c/bert-xsmall-dummy</t>
  </si>
  <si>
    <t xml:space="preserve">https://huggingface.co/julien-c/bert-xsmall-dummy</t>
  </si>
  <si>
    <t xml:space="preserve">facebook/esm1v_t33_650M_UR90S_2</t>
  </si>
  <si>
    <t xml:space="preserve">https://huggingface.co/facebook/esm1v_t33_650M_UR90S_2</t>
  </si>
  <si>
    <t xml:space="preserve">FluidInference/parakeet-realtime-eou-120m-coreml</t>
  </si>
  <si>
    <t xml:space="preserve">https://huggingface.co/FluidInference/parakeet-realtime-eou-120m-coreml</t>
  </si>
  <si>
    <t xml:space="preserve">JoaoZaokk/LTX-2.5-22B-distilled-W4A8-ConvRot</t>
  </si>
  <si>
    <t xml:space="preserve">JoaoZaokk</t>
  </si>
  <si>
    <t xml:space="preserve">https://huggingface.co/JoaoZaokk/LTX-2.5-22B-distilled-W4A8-ConvRot</t>
  </si>
  <si>
    <t xml:space="preserve">OpenMed/OpenMed-ZeroShot-NER-Organism-Small-166M</t>
  </si>
  <si>
    <t xml:space="preserve">https://huggingface.co/OpenMed/OpenMed-ZeroShot-NER-Organism-Small-166M</t>
  </si>
  <si>
    <t xml:space="preserve">pritamdeka/PubMedBERT-mnli-snli-scinli-scitail-mednli-stsb</t>
  </si>
  <si>
    <t xml:space="preserve">https://huggingface.co/pritamdeka/PubMedBERT-mnli-snli-scinli-scitail-mednli-stsb</t>
  </si>
  <si>
    <t xml:space="preserve">OpenMOSS-Team/MOSS-VoiceGenerator</t>
  </si>
  <si>
    <t xml:space="preserve">https://huggingface.co/OpenMOSS-Team/MOSS-VoiceGenerator</t>
  </si>
  <si>
    <t xml:space="preserve">optimum-intel-internal-testing/all-MiniLM-L6-v2</t>
  </si>
  <si>
    <t xml:space="preserve">https://huggingface.co/optimum-intel-internal-testing/all-MiniLM-L6-v2</t>
  </si>
  <si>
    <t xml:space="preserve">naver/splade_v2_distil</t>
  </si>
  <si>
    <t xml:space="preserve">https://huggingface.co/naver/splade_v2_distil</t>
  </si>
  <si>
    <t xml:space="preserve">cyberdelia/CyberRealisticXL</t>
  </si>
  <si>
    <t xml:space="preserve">https://huggingface.co/cyberdelia/CyberRealisticXL</t>
  </si>
  <si>
    <t xml:space="preserve">CofeAI/FLM-2-52B-Instruct-2407</t>
  </si>
  <si>
    <t xml:space="preserve">CofeAI</t>
  </si>
  <si>
    <t xml:space="preserve">https://huggingface.co/CofeAI/FLM-2-52B-Instruct-2407</t>
  </si>
  <si>
    <t xml:space="preserve">mradermacher/Dirty-Muse-Writer-v01-Uncensored-Erotica-NSFW-i1-GGUF</t>
  </si>
  <si>
    <t xml:space="preserve">https://huggingface.co/mradermacher/Dirty-Muse-Writer-v01-Uncensored-Erotica-NSFW-i1-GGUF</t>
  </si>
  <si>
    <t xml:space="preserve">bharatgenai/Param2-17B-A2.4B-Thinking</t>
  </si>
  <si>
    <t xml:space="preserve">bharatgenai</t>
  </si>
  <si>
    <t xml:space="preserve">https://huggingface.co/bharatgenai/Param2-17B-A2.4B-Thinking</t>
  </si>
  <si>
    <t xml:space="preserve">51la5/roberta-large-NER</t>
  </si>
  <si>
    <t xml:space="preserve">51la5</t>
  </si>
  <si>
    <t xml:space="preserve">https://huggingface.co/51la5/roberta-large-NER</t>
  </si>
  <si>
    <t xml:space="preserve">https://huggingface.co/CohereLabs/aya-expanse-8b</t>
  </si>
  <si>
    <t xml:space="preserve">nm-testing/Meta-Llama-3-8B-Instruct-nonuniform-test</t>
  </si>
  <si>
    <t xml:space="preserve">https://huggingface.co/nm-testing/Meta-Llama-3-8B-Instruct-nonuniform-test</t>
  </si>
  <si>
    <t xml:space="preserve">ibm-research/patchtst-fm-r1</t>
  </si>
  <si>
    <t xml:space="preserve">https://huggingface.co/ibm-research/patchtst-fm-r1</t>
  </si>
  <si>
    <t xml:space="preserve">facebook/mms-tts-bod</t>
  </si>
  <si>
    <t xml:space="preserve">https://huggingface.co/facebook/mms-tts-bod</t>
  </si>
  <si>
    <t xml:space="preserve">solidrust/Meta-Llama-3.1-8B-Instruct-abliterated-AWQ</t>
  </si>
  <si>
    <t xml:space="preserve">https://huggingface.co/solidrust/Meta-Llama-3.1-8B-Instruct-abliterated-AWQ</t>
  </si>
  <si>
    <t xml:space="preserve">GritLM/GritLM-7B</t>
  </si>
  <si>
    <t xml:space="preserve">GritLM</t>
  </si>
  <si>
    <t xml:space="preserve">https://huggingface.co/GritLM/GritLM-7B</t>
  </si>
  <si>
    <t xml:space="preserve">second-state/stable-diffusion-3.5-large-GGUF</t>
  </si>
  <si>
    <t xml:space="preserve">https://huggingface.co/second-state/stable-diffusion-3.5-large-GGUF</t>
  </si>
  <si>
    <t xml:space="preserve">google/umt5-base</t>
  </si>
  <si>
    <t xml:space="preserve">https://huggingface.co/google/umt5-base</t>
  </si>
  <si>
    <t xml:space="preserve">sshleifer/tiny-distilroberta-base</t>
  </si>
  <si>
    <t xml:space="preserve">https://huggingface.co/sshleifer/tiny-distilroberta-base</t>
  </si>
  <si>
    <t xml:space="preserve">TencentARC/InstantMesh</t>
  </si>
  <si>
    <t xml:space="preserve">TencentARC</t>
  </si>
  <si>
    <t xml:space="preserve">https://huggingface.co/TencentARC/InstantMesh</t>
  </si>
  <si>
    <t xml:space="preserve">OpenMed/OpenMed-ZeroShot-NER-Oncology-Multi-209M</t>
  </si>
  <si>
    <t xml:space="preserve">https://huggingface.co/OpenMed/OpenMed-ZeroShot-NER-Oncology-Multi-209M</t>
  </si>
  <si>
    <t xml:space="preserve">1038lab/BiRefNet</t>
  </si>
  <si>
    <t xml:space="preserve">1038lab</t>
  </si>
  <si>
    <t xml:space="preserve">https://huggingface.co/1038lab/BiRefNet</t>
  </si>
  <si>
    <t xml:space="preserve">optimum-intel-internal-testing/all-mpnet-base-v2</t>
  </si>
  <si>
    <t xml:space="preserve">https://huggingface.co/optimum-intel-internal-testing/all-mpnet-base-v2</t>
  </si>
  <si>
    <t xml:space="preserve">robbyant/lingbot-world-fast</t>
  </si>
  <si>
    <t xml:space="preserve">robbyant</t>
  </si>
  <si>
    <t xml:space="preserve">https://huggingface.co/robbyant/lingbot-world-fast</t>
  </si>
  <si>
    <t xml:space="preserve">OpenMed/OpenMed-ZeroShot-NER-DNA-Tiny-60M</t>
  </si>
  <si>
    <t xml:space="preserve">https://huggingface.co/OpenMed/OpenMed-ZeroShot-NER-DNA-Tiny-60M</t>
  </si>
  <si>
    <t xml:space="preserve">kevinscaria/atsc_tk-instruct-base-def-pos-neg-neut-combined</t>
  </si>
  <si>
    <t xml:space="preserve">kevinscaria</t>
  </si>
  <si>
    <t xml:space="preserve">https://huggingface.co/kevinscaria/atsc_tk-instruct-base-def-pos-neg-neut-combined</t>
  </si>
  <si>
    <t xml:space="preserve">facebook/cotracker3</t>
  </si>
  <si>
    <t xml:space="preserve">https://huggingface.co/facebook/cotracker3</t>
  </si>
  <si>
    <t xml:space="preserve">Synthyra/ESM2-35M</t>
  </si>
  <si>
    <t xml:space="preserve">https://huggingface.co/Synthyra/ESM2-35M</t>
  </si>
  <si>
    <t xml:space="preserve">diffusers/FLUX.2-dev-bnb-4bit</t>
  </si>
  <si>
    <t xml:space="preserve">https://huggingface.co/diffusers/FLUX.2-dev-bnb-4bit</t>
  </si>
  <si>
    <t xml:space="preserve">dataautogpt3/ProteusV0.3</t>
  </si>
  <si>
    <t xml:space="preserve">dataautogpt3</t>
  </si>
  <si>
    <t xml:space="preserve">https://huggingface.co/dataautogpt3/ProteusV0.3</t>
  </si>
  <si>
    <t xml:space="preserve">Gazingstars123/Anima-2.9B</t>
  </si>
  <si>
    <t xml:space="preserve">Gazingstars123</t>
  </si>
  <si>
    <t xml:space="preserve">https://huggingface.co/Gazingstars123/Anima-2.9B</t>
  </si>
  <si>
    <t xml:space="preserve">nvidia/GR00T-N1.6-3B</t>
  </si>
  <si>
    <t xml:space="preserve">https://huggingface.co/nvidia/GR00T-N1.6-3B</t>
  </si>
  <si>
    <t xml:space="preserve">optimum-intel-internal-testing/tiny-random-stable-diffusion-with-safety-checker</t>
  </si>
  <si>
    <t xml:space="preserve">https://huggingface.co/optimum-intel-internal-testing/tiny-random-stable-diffusion-with-safety-checker</t>
  </si>
  <si>
    <t xml:space="preserve">RunDiffusion/Juggernaut-X-v10</t>
  </si>
  <si>
    <t xml:space="preserve">https://huggingface.co/RunDiffusion/Juggernaut-X-v10</t>
  </si>
  <si>
    <t xml:space="preserve">NovaSearch/jasper_en_vision_language_v1</t>
  </si>
  <si>
    <t xml:space="preserve">https://huggingface.co/NovaSearch/jasper_en_vision_language_v1</t>
  </si>
  <si>
    <t xml:space="preserve">qihoo360/fg-clip-base</t>
  </si>
  <si>
    <t xml:space="preserve">qihoo360</t>
  </si>
  <si>
    <t xml:space="preserve">https://huggingface.co/qihoo360/fg-clip-base</t>
  </si>
  <si>
    <t xml:space="preserve">sudo-ai/zero123plus-v1.2</t>
  </si>
  <si>
    <t xml:space="preserve">sudo-ai</t>
  </si>
  <si>
    <t xml:space="preserve">https://huggingface.co/sudo-ai/zero123plus-v1.2</t>
  </si>
  <si>
    <t xml:space="preserve">pfnet/plamo-2-1b</t>
  </si>
  <si>
    <t xml:space="preserve">https://huggingface.co/pfnet/plamo-2-1b</t>
  </si>
  <si>
    <t xml:space="preserve">google/t5_11b_trueteacher_and_anli</t>
  </si>
  <si>
    <t xml:space="preserve">https://huggingface.co/google/t5_11b_trueteacher_and_anli</t>
  </si>
  <si>
    <t xml:space="preserve">optimum-intel-internal-testing/tiny-random-exaone4</t>
  </si>
  <si>
    <t xml:space="preserve">https://huggingface.co/optimum-intel-internal-testing/tiny-random-exaone4</t>
  </si>
  <si>
    <t xml:space="preserve">nvidia/C-RADIOv4-H</t>
  </si>
  <si>
    <t xml:space="preserve">https://huggingface.co/nvidia/C-RADIOv4-H</t>
  </si>
  <si>
    <t xml:space="preserve">OpenMed/OpenMed-ZeroShot-NER-Protein-Small-166M</t>
  </si>
  <si>
    <t xml:space="preserve">https://huggingface.co/OpenMed/OpenMed-ZeroShot-NER-Protein-Small-166M</t>
  </si>
  <si>
    <t xml:space="preserve">camenduru/AnimateDiff</t>
  </si>
  <si>
    <t xml:space="preserve">https://huggingface.co/camenduru/AnimateDiff</t>
  </si>
  <si>
    <t xml:space="preserve">OpenMed/OpenMed-ZeroShot-NER-Genomic-Multi-209M</t>
  </si>
  <si>
    <t xml:space="preserve">https://huggingface.co/OpenMed/OpenMed-ZeroShot-NER-Genomic-Multi-209M</t>
  </si>
  <si>
    <t xml:space="preserve">litert-community/embeddinggemma-2-740m-litert-lm</t>
  </si>
  <si>
    <t xml:space="preserve">https://huggingface.co/litert-community/embeddinggemma-2-740m-litert-lm</t>
  </si>
  <si>
    <t xml:space="preserve">CAMeL-Lab/bert-base-arabic-camelbert-mix-ner</t>
  </si>
  <si>
    <t xml:space="preserve">https://huggingface.co/CAMeL-Lab/bert-base-arabic-camelbert-mix-ner</t>
  </si>
  <si>
    <t xml:space="preserve">avichr/heBERT_sentiment_analysis</t>
  </si>
  <si>
    <t xml:space="preserve">avichr</t>
  </si>
  <si>
    <t xml:space="preserve">https://huggingface.co/avichr/heBERT_sentiment_analysis</t>
  </si>
  <si>
    <t xml:space="preserve">OpenMed/OpenMed-ZeroShot-NER-Genome-Large-459M</t>
  </si>
  <si>
    <t xml:space="preserve">https://huggingface.co/OpenMed/OpenMed-ZeroShot-NER-Genome-Large-459M</t>
  </si>
  <si>
    <t xml:space="preserve">hugohrban/progen2-small</t>
  </si>
  <si>
    <t xml:space="preserve">hugohrban</t>
  </si>
  <si>
    <t xml:space="preserve">https://huggingface.co/hugohrban/progen2-small</t>
  </si>
  <si>
    <t xml:space="preserve">brain-bzh/reve-positions</t>
  </si>
  <si>
    <t xml:space="preserve">https://huggingface.co/brain-bzh/reve-positions</t>
  </si>
  <si>
    <t xml:space="preserve">aymurai/anonymizer-beto-cased-flair</t>
  </si>
  <si>
    <t xml:space="preserve">aymurai</t>
  </si>
  <si>
    <t xml:space="preserve">https://huggingface.co/aymurai/anonymizer-beto-cased-flair</t>
  </si>
  <si>
    <t xml:space="preserve">keremberke/yolov5m-license-plate</t>
  </si>
  <si>
    <t xml:space="preserve">https://huggingface.co/keremberke/yolov5m-license-plate</t>
  </si>
  <si>
    <t xml:space="preserve">GraydientPlatformAPI/picx-real</t>
  </si>
  <si>
    <t xml:space="preserve">GraydientPlatformAPI</t>
  </si>
  <si>
    <t xml:space="preserve">https://huggingface.co/GraydientPlatformAPI/picx-real</t>
  </si>
  <si>
    <t xml:space="preserve">black-forest-labs/FLUX.1-Depth-dev-lora</t>
  </si>
  <si>
    <t xml:space="preserve">https://huggingface.co/black-forest-labs/FLUX.1-Depth-dev-lora</t>
  </si>
  <si>
    <t xml:space="preserve">RedHatAI/sarvam-30b-FP8-dynamic</t>
  </si>
  <si>
    <t xml:space="preserve">https://huggingface.co/RedHatAI/sarvam-30b-FP8-dynamic</t>
  </si>
  <si>
    <t xml:space="preserve">ealvaradob/bert-finetuned-phishing</t>
  </si>
  <si>
    <t xml:space="preserve">ealvaradob</t>
  </si>
  <si>
    <t xml:space="preserve">https://huggingface.co/ealvaradob/bert-finetuned-phishing</t>
  </si>
  <si>
    <t xml:space="preserve">YalaLab/Pillar0-ChestCT</t>
  </si>
  <si>
    <t xml:space="preserve">YalaLab</t>
  </si>
  <si>
    <t xml:space="preserve">https://huggingface.co/YalaLab/Pillar0-ChestCT</t>
  </si>
  <si>
    <t xml:space="preserve">relik-ie/encoder-e5-small-v2-wikipedia-relations-index</t>
  </si>
  <si>
    <t xml:space="preserve">https://huggingface.co/relik-ie/encoder-e5-small-v2-wikipedia-relations-index</t>
  </si>
  <si>
    <t xml:space="preserve">optimum-internal-testing/tiny-random-VisionEncoderDecoderModel-donut</t>
  </si>
  <si>
    <t xml:space="preserve">https://huggingface.co/optimum-internal-testing/tiny-random-VisionEncoderDecoderModel-donut</t>
  </si>
  <si>
    <t xml:space="preserve">cocktailpeanut/rm</t>
  </si>
  <si>
    <t xml:space="preserve">cocktailpeanut</t>
  </si>
  <si>
    <t xml:space="preserve">https://huggingface.co/cocktailpeanut/rm</t>
  </si>
  <si>
    <t xml:space="preserve">ignacio-ave/beto-sentiment-analysis-spanish</t>
  </si>
  <si>
    <t xml:space="preserve">ignacio-ave</t>
  </si>
  <si>
    <t xml:space="preserve">https://huggingface.co/ignacio-ave/beto-sentiment-analysis-spanish</t>
  </si>
  <si>
    <t xml:space="preserve">ynie/roberta-large-snli_mnli_fever_anli_R1_R2_R3-nli</t>
  </si>
  <si>
    <t xml:space="preserve">ynie</t>
  </si>
  <si>
    <t xml:space="preserve">https://huggingface.co/ynie/roberta-large-snli_mnli_fever_anli_R1_R2_R3-nli</t>
  </si>
  <si>
    <t xml:space="preserve">timm/MobileCLIP2-S2-OpenCLIP</t>
  </si>
  <si>
    <t xml:space="preserve">https://huggingface.co/timm/MobileCLIP2-S2-OpenCLIP</t>
  </si>
  <si>
    <t xml:space="preserve">OpenMed/OpenMed-ZeroShot-NER-DNA-Small-166M</t>
  </si>
  <si>
    <t xml:space="preserve">https://huggingface.co/OpenMed/OpenMed-ZeroShot-NER-DNA-Small-166M</t>
  </si>
  <si>
    <t xml:space="preserve">MultiSynt/nemotron-cc-norwegian-tower9b</t>
  </si>
  <si>
    <t xml:space="preserve">MultiSynt</t>
  </si>
  <si>
    <t xml:space="preserve">https://huggingface.co/MultiSynt/nemotron-cc-norwegian-tower9b</t>
  </si>
  <si>
    <t xml:space="preserve">peft-internal-testing/tiny-random-t5</t>
  </si>
  <si>
    <t xml:space="preserve">https://huggingface.co/peft-internal-testing/tiny-random-t5</t>
  </si>
  <si>
    <t xml:space="preserve">OpenMed/OpenMed-ZeroShot-NER-Oncology-Medium-209M</t>
  </si>
  <si>
    <t xml:space="preserve">https://huggingface.co/OpenMed/OpenMed-ZeroShot-NER-Oncology-Medium-209M</t>
  </si>
  <si>
    <t xml:space="preserve">peft-internal-testing/gpt2-lora-random</t>
  </si>
  <si>
    <t xml:space="preserve">https://huggingface.co/peft-internal-testing/gpt2-lora-random</t>
  </si>
  <si>
    <t xml:space="preserve">TencentGameMate/chinese-wav2vec2-large</t>
  </si>
  <si>
    <t xml:space="preserve">https://huggingface.co/TencentGameMate/chinese-wav2vec2-large</t>
  </si>
  <si>
    <t xml:space="preserve">Dream-org/Dream-v0-Base-7B</t>
  </si>
  <si>
    <t xml:space="preserve">https://huggingface.co/Dream-org/Dream-v0-Base-7B</t>
  </si>
  <si>
    <t xml:space="preserve">WizardLMTeam/WizardLM-70B-V1.0</t>
  </si>
  <si>
    <t xml:space="preserve">WizardLMTeam</t>
  </si>
  <si>
    <t xml:space="preserve">https://huggingface.co/WizardLMTeam/WizardLM-70B-V1.0</t>
  </si>
  <si>
    <t xml:space="preserve">OpenMed/OpenMed-ZeroShot-NER-Species-Tiny-60M</t>
  </si>
  <si>
    <t xml:space="preserve">https://huggingface.co/OpenMed/OpenMed-ZeroShot-NER-Species-Tiny-60M</t>
  </si>
  <si>
    <t xml:space="preserve">HPLT/hplt2c_nob_checkpoints</t>
  </si>
  <si>
    <t xml:space="preserve">HPLT</t>
  </si>
  <si>
    <t xml:space="preserve">https://huggingface.co/HPLT/hplt2c_nob_checkpoints</t>
  </si>
  <si>
    <t xml:space="preserve">OpenMed/OpenMed-ZeroShot-NER-Oncology-XLarge-770M</t>
  </si>
  <si>
    <t xml:space="preserve">https://huggingface.co/OpenMed/OpenMed-ZeroShot-NER-Oncology-XLarge-770M</t>
  </si>
  <si>
    <t xml:space="preserve">onlplab/alephbert-base</t>
  </si>
  <si>
    <t xml:space="preserve">onlplab</t>
  </si>
  <si>
    <t xml:space="preserve">https://huggingface.co/onlplab/alephbert-base</t>
  </si>
  <si>
    <t xml:space="preserve">lerobot/pi05_base</t>
  </si>
  <si>
    <t xml:space="preserve">https://huggingface.co/lerobot/pi05_base</t>
  </si>
  <si>
    <t xml:space="preserve">lerobot/pi05_libero_finetuned_v044</t>
  </si>
  <si>
    <t xml:space="preserve">https://huggingface.co/lerobot/pi05_libero_finetuned_v044</t>
  </si>
  <si>
    <t xml:space="preserve">allenai/OlmoEarth-v1-Base</t>
  </si>
  <si>
    <t xml:space="preserve">https://huggingface.co/allenai/OlmoEarth-v1-Base</t>
  </si>
  <si>
    <t xml:space="preserve">google/t5-base-lm-adapt</t>
  </si>
  <si>
    <t xml:space="preserve">https://huggingface.co/google/t5-base-lm-adapt</t>
  </si>
  <si>
    <t xml:space="preserve">Comfy-Org/Anima-LLLite</t>
  </si>
  <si>
    <t xml:space="preserve">https://huggingface.co/Comfy-Org/Anima-LLLite</t>
  </si>
  <si>
    <t xml:space="preserve">CBLKG/Z-Image-Lora</t>
  </si>
  <si>
    <t xml:space="preserve">CBLKG</t>
  </si>
  <si>
    <t xml:space="preserve">https://huggingface.co/CBLKG/Z-Image-Lora</t>
  </si>
  <si>
    <t xml:space="preserve">DeepBeepMeep/krea-2</t>
  </si>
  <si>
    <t xml:space="preserve">https://huggingface.co/DeepBeepMeep/krea-2</t>
  </si>
  <si>
    <t xml:space="preserve">optimum-intel-internal-testing/tiny-random-flux.2-klein</t>
  </si>
  <si>
    <t xml:space="preserve">https://huggingface.co/optimum-intel-internal-testing/tiny-random-flux.2-klein</t>
  </si>
  <si>
    <t xml:space="preserve">llmfan46/Gemma-4-Garnet-V2-31B-it-ultra-uncensored-heretic-GGUF</t>
  </si>
  <si>
    <t xml:space="preserve">https://huggingface.co/llmfan46/Gemma-4-Garnet-V2-31B-it-ultra-uncensored-heretic-GGUF</t>
  </si>
  <si>
    <t xml:space="preserve">lyf/Huihui-gemma-4-31B-it-abliterated-v2-NVFP4</t>
  </si>
  <si>
    <t xml:space="preserve">lyf</t>
  </si>
  <si>
    <t xml:space="preserve">https://huggingface.co/lyf/Huihui-gemma-4-31B-it-abliterated-v2-NVFP4</t>
  </si>
  <si>
    <t xml:space="preserve">nvidia/NV-Generate-CT</t>
  </si>
  <si>
    <t xml:space="preserve">https://huggingface.co/nvidia/NV-Generate-CT</t>
  </si>
  <si>
    <t xml:space="preserve">flair/ner-dutch-large</t>
  </si>
  <si>
    <t xml:space="preserve">https://huggingface.co/flair/ner-dutch-large</t>
  </si>
  <si>
    <t xml:space="preserve">facebook/esm1v_t33_650M_UR90S_3</t>
  </si>
  <si>
    <t xml:space="preserve">https://huggingface.co/facebook/esm1v_t33_650M_UR90S_3</t>
  </si>
  <si>
    <t xml:space="preserve">stabilityai/stable-audio-3-small-sfx</t>
  </si>
  <si>
    <t xml:space="preserve">https://huggingface.co/stabilityai/stable-audio-3-small-sfx</t>
  </si>
  <si>
    <t xml:space="preserve">OpenMed/OpenMed-ZeroShot-NER-Oncology-Small-166M</t>
  </si>
  <si>
    <t xml:space="preserve">https://huggingface.co/OpenMed/OpenMed-ZeroShot-NER-Oncology-Small-166M</t>
  </si>
  <si>
    <t xml:space="preserve">facebook/blenderbot-400M-distill</t>
  </si>
  <si>
    <t xml:space="preserve">https://huggingface.co/facebook/blenderbot-400M-distill</t>
  </si>
  <si>
    <t xml:space="preserve">google/bert_uncased_L-2_H-256_A-4</t>
  </si>
  <si>
    <t xml:space="preserve">https://huggingface.co/google/bert_uncased_L-2_H-256_A-4</t>
  </si>
  <si>
    <t xml:space="preserve">facebook/PE-Core-B16-224</t>
  </si>
  <si>
    <t xml:space="preserve">https://huggingface.co/facebook/PE-Core-B16-224</t>
  </si>
  <si>
    <t xml:space="preserve">1038lab/RMBG-2.0</t>
  </si>
  <si>
    <t xml:space="preserve">https://huggingface.co/1038lab/RMBG-2.0</t>
  </si>
  <si>
    <t xml:space="preserve">TrevorJS/gemma-4-E4B-it-uncensored-GGUF</t>
  </si>
  <si>
    <t xml:space="preserve">https://huggingface.co/TrevorJS/gemma-4-E4B-it-uncensored-GGUF</t>
  </si>
  <si>
    <t xml:space="preserve">kakaobrain/align-base</t>
  </si>
  <si>
    <t xml:space="preserve">kakaobrain</t>
  </si>
  <si>
    <t xml:space="preserve">https://huggingface.co/kakaobrain/align-base</t>
  </si>
  <si>
    <t xml:space="preserve">zhiqiulin/clip-flant5-xl</t>
  </si>
  <si>
    <t xml:space="preserve">zhiqiulin</t>
  </si>
  <si>
    <t xml:space="preserve">https://huggingface.co/zhiqiulin/clip-flant5-xl</t>
  </si>
  <si>
    <t xml:space="preserve">RLHFlow/ArmoRM-Llama3-8B-v0.1</t>
  </si>
  <si>
    <t xml:space="preserve">RLHFlow</t>
  </si>
  <si>
    <t xml:space="preserve">https://huggingface.co/RLHFlow/ArmoRM-Llama3-8B-v0.1</t>
  </si>
  <si>
    <t xml:space="preserve">facebook/detr-resnet-50-panoptic</t>
  </si>
  <si>
    <t xml:space="preserve">https://huggingface.co/facebook/detr-resnet-50-panoptic</t>
  </si>
  <si>
    <t xml:space="preserve">lllyasviel/sd-controlnet-openpose</t>
  </si>
  <si>
    <t xml:space="preserve">https://huggingface.co/lllyasviel/sd-controlnet-openpose</t>
  </si>
  <si>
    <t xml:space="preserve">castorini/monot5-base-msmarco</t>
  </si>
  <si>
    <t xml:space="preserve">castorini</t>
  </si>
  <si>
    <t xml:space="preserve">https://huggingface.co/castorini/monot5-base-msmarco</t>
  </si>
  <si>
    <t xml:space="preserve">poolside/Laguna-S-2.1-FP8</t>
  </si>
  <si>
    <t xml:space="preserve">https://huggingface.co/poolside/Laguna-S-2.1-FP8</t>
  </si>
  <si>
    <t xml:space="preserve">facebook/PE-Core-G14-448</t>
  </si>
  <si>
    <t xml:space="preserve">https://huggingface.co/facebook/PE-Core-G14-448</t>
  </si>
  <si>
    <t xml:space="preserve">cvssp/audioldm2</t>
  </si>
  <si>
    <t xml:space="preserve">cvssp</t>
  </si>
  <si>
    <t xml:space="preserve">https://huggingface.co/cvssp/audioldm2</t>
  </si>
  <si>
    <t xml:space="preserve">ibyteohdear/Lightricks-LTX-2-DISTILLED-10-Eros</t>
  </si>
  <si>
    <t xml:space="preserve">ibyteohdear</t>
  </si>
  <si>
    <t xml:space="preserve">https://huggingface.co/ibyteohdear/Lightricks-LTX-2-DISTILLED-10-Eros</t>
  </si>
  <si>
    <t xml:space="preserve">Salesforce/codet5p-220m</t>
  </si>
  <si>
    <t xml:space="preserve">https://huggingface.co/Salesforce/codet5p-220m</t>
  </si>
  <si>
    <t xml:space="preserve">allenai/Molmo2-ER</t>
  </si>
  <si>
    <t xml:space="preserve">https://huggingface.co/allenai/Molmo2-ER</t>
  </si>
  <si>
    <t xml:space="preserve">SebastianBodza/Kartoffel_Orpheus-3B_german_natural-v0.1</t>
  </si>
  <si>
    <t xml:space="preserve">SebastianBodza</t>
  </si>
  <si>
    <t xml:space="preserve">https://huggingface.co/SebastianBodza/Kartoffel_Orpheus-3B_german_natural-v0.1</t>
  </si>
  <si>
    <t xml:space="preserve">OpenMed/OpenMed-ZeroShot-NER-Genome-XLarge-770M</t>
  </si>
  <si>
    <t xml:space="preserve">https://huggingface.co/OpenMed/OpenMed-ZeroShot-NER-Genome-XLarge-770M</t>
  </si>
  <si>
    <t xml:space="preserve">roneneldan/TinyStories-33M</t>
  </si>
  <si>
    <t xml:space="preserve">https://huggingface.co/roneneldan/TinyStories-33M</t>
  </si>
  <si>
    <t xml:space="preserve">tiiuae/falcon-40b</t>
  </si>
  <si>
    <t xml:space="preserve">https://huggingface.co/tiiuae/falcon-40b</t>
  </si>
  <si>
    <t xml:space="preserve">argmaxinc/whisperkit-pro</t>
  </si>
  <si>
    <t xml:space="preserve">https://huggingface.co/argmaxinc/whisperkit-pro</t>
  </si>
  <si>
    <t xml:space="preserve">OrionStarAI/Orion-14B-Chat</t>
  </si>
  <si>
    <t xml:space="preserve">OrionStarAI</t>
  </si>
  <si>
    <t xml:space="preserve">https://huggingface.co/OrionStarAI/Orion-14B-Chat</t>
  </si>
  <si>
    <t xml:space="preserve">peft-internal-testing/tiny-random-OPTForCausalLM-extended-vocab</t>
  </si>
  <si>
    <t xml:space="preserve">https://huggingface.co/peft-internal-testing/tiny-random-OPTForCausalLM-extended-vocab</t>
  </si>
  <si>
    <t xml:space="preserve">Comfy-Org/stable-audio-open-1.0</t>
  </si>
  <si>
    <t xml:space="preserve">https://huggingface.co/Comfy-Org/stable-audio-open-1.0</t>
  </si>
  <si>
    <t xml:space="preserve">jinaai/jina-embeddings-v2-base-zh</t>
  </si>
  <si>
    <t xml:space="preserve">https://huggingface.co/jinaai/jina-embeddings-v2-base-zh</t>
  </si>
  <si>
    <t xml:space="preserve">OpenMed/OpenMed-ZeroShot-NER-Anatomy-Tiny-60M</t>
  </si>
  <si>
    <t xml:space="preserve">https://huggingface.co/OpenMed/OpenMed-ZeroShot-NER-Anatomy-Tiny-60M</t>
  </si>
  <si>
    <t xml:space="preserve">zhiqiulin/clip-flant5-xxl</t>
  </si>
  <si>
    <t xml:space="preserve">https://huggingface.co/zhiqiulin/clip-flant5-xxl</t>
  </si>
  <si>
    <t xml:space="preserve">ehsanaghaei/SecureBERT</t>
  </si>
  <si>
    <t xml:space="preserve">ehsanaghaei</t>
  </si>
  <si>
    <t xml:space="preserve">https://huggingface.co/ehsanaghaei/SecureBERT</t>
  </si>
  <si>
    <t xml:space="preserve">optimum-intel-internal-testing/tiny-random-vision_perceiver_conv</t>
  </si>
  <si>
    <t xml:space="preserve">https://huggingface.co/optimum-intel-internal-testing/tiny-random-vision_perceiver_conv</t>
  </si>
  <si>
    <t xml:space="preserve">trl-internal-testing/tiny-OPTForCausalLM</t>
  </si>
  <si>
    <t xml:space="preserve">https://huggingface.co/trl-internal-testing/tiny-OPTForCausalLM</t>
  </si>
  <si>
    <t xml:space="preserve">VietAI/envit5-translation</t>
  </si>
  <si>
    <t xml:space="preserve">VietAI</t>
  </si>
  <si>
    <t xml:space="preserve">https://huggingface.co/VietAI/envit5-translation</t>
  </si>
  <si>
    <t xml:space="preserve">justin1983/wav2vec2-base-finetuned-amd</t>
  </si>
  <si>
    <t xml:space="preserve">justin1983</t>
  </si>
  <si>
    <t xml:space="preserve">https://huggingface.co/justin1983/wav2vec2-base-finetuned-amd</t>
  </si>
  <si>
    <t xml:space="preserve">sd2-community/stable-diffusion-2-inpainting</t>
  </si>
  <si>
    <t xml:space="preserve">sd2-community</t>
  </si>
  <si>
    <t xml:space="preserve">https://huggingface.co/sd2-community/stable-diffusion-2-inpainting</t>
  </si>
  <si>
    <t xml:space="preserve">Lightricks/LTX-2.3-nvfp4</t>
  </si>
  <si>
    <t xml:space="preserve">https://huggingface.co/Lightricks/LTX-2.3-nvfp4</t>
  </si>
  <si>
    <t xml:space="preserve">epwalsh/bert-xsmall-dummy</t>
  </si>
  <si>
    <t xml:space="preserve">epwalsh</t>
  </si>
  <si>
    <t xml:space="preserve">https://huggingface.co/epwalsh/bert-xsmall-dummy</t>
  </si>
  <si>
    <t xml:space="preserve">Comfy-Org/Fibo-2.0</t>
  </si>
  <si>
    <t xml:space="preserve">https://huggingface.co/Comfy-Org/Fibo-2.0</t>
  </si>
  <si>
    <t xml:space="preserve">ZhengPeng7/BiRefNet_dynamic</t>
  </si>
  <si>
    <t xml:space="preserve">https://huggingface.co/ZhengPeng7/BiRefNet_dynamic</t>
  </si>
  <si>
    <t xml:space="preserve">amazon/MistralLite</t>
  </si>
  <si>
    <t xml:space="preserve">https://huggingface.co/amazon/MistralLite</t>
  </si>
  <si>
    <t xml:space="preserve">timm/convnextv2_base.fcmae_ft_in22k_in1k_384</t>
  </si>
  <si>
    <t xml:space="preserve">https://huggingface.co/timm/convnextv2_base.fcmae_ft_in22k_in1k_384</t>
  </si>
  <si>
    <t xml:space="preserve">TencentGameMate/chinese-hubert-large</t>
  </si>
  <si>
    <t xml:space="preserve">https://huggingface.co/TencentGameMate/chinese-hubert-large</t>
  </si>
  <si>
    <t xml:space="preserve">shunk031/aesthetics-predictor-v2-sac-logos-ava1-l14-linearMSE</t>
  </si>
  <si>
    <t xml:space="preserve">shunk031</t>
  </si>
  <si>
    <t xml:space="preserve">https://huggingface.co/shunk031/aesthetics-predictor-v2-sac-logos-ava1-l14-linearMSE</t>
  </si>
  <si>
    <t xml:space="preserve">impira/layoutlm-invoices</t>
  </si>
  <si>
    <t xml:space="preserve">https://huggingface.co/impira/layoutlm-invoices</t>
  </si>
  <si>
    <t xml:space="preserve">jinaai/jina-reranker-v1-tiny-en</t>
  </si>
  <si>
    <t xml:space="preserve">https://huggingface.co/jinaai/jina-reranker-v1-tiny-en</t>
  </si>
  <si>
    <t xml:space="preserve">charsiu/g2p_multilingual_byT5_small_100</t>
  </si>
  <si>
    <t xml:space="preserve">charsiu</t>
  </si>
  <si>
    <t xml:space="preserve">https://huggingface.co/charsiu/g2p_multilingual_byT5_small_100</t>
  </si>
  <si>
    <t xml:space="preserve">pekkAi/Gemma-4-12B-it-abliterated-NVFP4</t>
  </si>
  <si>
    <t xml:space="preserve">pekkAi</t>
  </si>
  <si>
    <t xml:space="preserve">https://huggingface.co/pekkAi/Gemma-4-12B-it-abliterated-NVFP4</t>
  </si>
  <si>
    <t xml:space="preserve">xinsir/controlnet-depth-sdxl-1.0</t>
  </si>
  <si>
    <t xml:space="preserve">https://huggingface.co/xinsir/controlnet-depth-sdxl-1.0</t>
  </si>
  <si>
    <t xml:space="preserve">katuni4ka/sam-vit-tiny-random-ov</t>
  </si>
  <si>
    <t xml:space="preserve">https://huggingface.co/katuni4ka/sam-vit-tiny-random-ov</t>
  </si>
  <si>
    <t xml:space="preserve">nvidia/NVIDIA-Nemotron-Nano-9B-v2-NVFP4</t>
  </si>
  <si>
    <t xml:space="preserve">https://huggingface.co/nvidia/NVIDIA-Nemotron-Nano-9B-v2-NVFP4</t>
  </si>
  <si>
    <t xml:space="preserve">Comfy-Org/void-model</t>
  </si>
  <si>
    <t xml:space="preserve">https://huggingface.co/Comfy-Org/void-model</t>
  </si>
  <si>
    <t xml:space="preserve">facebook/wav2vec2-large-robust-ft-swbd-300h</t>
  </si>
  <si>
    <t xml:space="preserve">https://huggingface.co/facebook/wav2vec2-large-robust-ft-swbd-300h</t>
  </si>
  <si>
    <t xml:space="preserve">Astaxanthin/KEEP</t>
  </si>
  <si>
    <t xml:space="preserve">Astaxanthin</t>
  </si>
  <si>
    <t xml:space="preserve">https://huggingface.co/Astaxanthin/KEEP</t>
  </si>
  <si>
    <t xml:space="preserve">The-freezer/Muse-Glimmer-30B-Abliterated-GGUF</t>
  </si>
  <si>
    <t xml:space="preserve">The-freezer</t>
  </si>
  <si>
    <t xml:space="preserve">https://huggingface.co/The-freezer/Muse-Glimmer-30B-Abliterated-GGUF</t>
  </si>
  <si>
    <t xml:space="preserve">myshell-ai/MeloTTS-English-v3</t>
  </si>
  <si>
    <t xml:space="preserve">https://huggingface.co/myshell-ai/MeloTTS-English-v3</t>
  </si>
  <si>
    <t xml:space="preserve">OpenMed/OpenMed-ZeroShot-NER-Organism-Base-220M</t>
  </si>
  <si>
    <t xml:space="preserve">https://huggingface.co/OpenMed/OpenMed-ZeroShot-NER-Organism-Base-220M</t>
  </si>
  <si>
    <t xml:space="preserve">llmfan46/Gemma-4-Garnet-V2-31B-it-ultra-uncensored-heretic</t>
  </si>
  <si>
    <t xml:space="preserve">https://huggingface.co/llmfan46/Gemma-4-Garnet-V2-31B-it-ultra-uncensored-heretic</t>
  </si>
  <si>
    <t xml:space="preserve">LuckyOda/comfyui-full-pack</t>
  </si>
  <si>
    <t xml:space="preserve">LuckyOda</t>
  </si>
  <si>
    <t xml:space="preserve">https://huggingface.co/LuckyOda/comfyui-full-pack</t>
  </si>
  <si>
    <t xml:space="preserve">Helsinki-NLP/opus-mt-id-en</t>
  </si>
  <si>
    <t xml:space="preserve">https://huggingface.co/Helsinki-NLP/opus-mt-id-en</t>
  </si>
  <si>
    <t xml:space="preserve">OpenMed/OpenMed-ZeroShot-NER-Anatomy-Base-220M</t>
  </si>
  <si>
    <t xml:space="preserve">https://huggingface.co/OpenMed/OpenMed-ZeroShot-NER-Anatomy-Base-220M</t>
  </si>
  <si>
    <t xml:space="preserve">explosion-testing/falcon-test</t>
  </si>
  <si>
    <t xml:space="preserve">explosion-testing</t>
  </si>
  <si>
    <t xml:space="preserve">https://huggingface.co/explosion-testing/falcon-test</t>
  </si>
  <si>
    <t xml:space="preserve">huanngzh/mv-adapter</t>
  </si>
  <si>
    <t xml:space="preserve">huanngzh</t>
  </si>
  <si>
    <t xml:space="preserve">https://huggingface.co/huanngzh/mv-adapter</t>
  </si>
  <si>
    <t xml:space="preserve">pritamdeka/S-BioBert-snli-multinli-stsb</t>
  </si>
  <si>
    <t xml:space="preserve">https://huggingface.co/pritamdeka/S-BioBert-snli-multinli-stsb</t>
  </si>
  <si>
    <t xml:space="preserve">nvidia/segformer-b0-finetuned-cityscapes-1024-1024</t>
  </si>
  <si>
    <t xml:space="preserve">https://huggingface.co/nvidia/segformer-b0-finetuned-cityscapes-1024-1024</t>
  </si>
  <si>
    <t xml:space="preserve">optimum-intel-internal-testing/tiny-random-gemma4-unified</t>
  </si>
  <si>
    <t xml:space="preserve">https://huggingface.co/optimum-intel-internal-testing/tiny-random-gemma4-unified</t>
  </si>
  <si>
    <t xml:space="preserve">Salesforce/codegen2-16B_P</t>
  </si>
  <si>
    <t xml:space="preserve">https://huggingface.co/Salesforce/codegen2-16B_P</t>
  </si>
  <si>
    <t xml:space="preserve">Helsinki-NLP/opus-mt-bg-en</t>
  </si>
  <si>
    <t xml:space="preserve">https://huggingface.co/Helsinki-NLP/opus-mt-bg-en</t>
  </si>
  <si>
    <t xml:space="preserve">nvidia/Minitron-8B-Base</t>
  </si>
  <si>
    <t xml:space="preserve">https://huggingface.co/nvidia/Minitron-8B-Base</t>
  </si>
  <si>
    <t xml:space="preserve">trl-internal-testing/tiny-Lfm2VlForConditionalGeneration-2.5</t>
  </si>
  <si>
    <t xml:space="preserve">https://huggingface.co/trl-internal-testing/tiny-Lfm2VlForConditionalGeneration-2.5</t>
  </si>
  <si>
    <t xml:space="preserve">cnicu/t5-small-booksum</t>
  </si>
  <si>
    <t xml:space="preserve">cnicu</t>
  </si>
  <si>
    <t xml:space="preserve">https://huggingface.co/cnicu/t5-small-booksum</t>
  </si>
  <si>
    <t xml:space="preserve">facebook/esm1v_t33_650M_UR90S_4</t>
  </si>
  <si>
    <t xml:space="preserve">https://huggingface.co/facebook/esm1v_t33_650M_UR90S_4</t>
  </si>
  <si>
    <t xml:space="preserve">OpenMed/OpenMed-ZeroShot-NER-BloodCancer-Multi-209M</t>
  </si>
  <si>
    <t xml:space="preserve">https://huggingface.co/OpenMed/OpenMed-ZeroShot-NER-BloodCancer-Multi-209M</t>
  </si>
  <si>
    <t xml:space="preserve">second-state/stable-diffusion-3.5-medium-GGUF</t>
  </si>
  <si>
    <t xml:space="preserve">https://huggingface.co/second-state/stable-diffusion-3.5-medium-GGUF</t>
  </si>
  <si>
    <t xml:space="preserve">OpenMed/OpenMed-ZeroShot-NER-Anatomy-Small-166M</t>
  </si>
  <si>
    <t xml:space="preserve">https://huggingface.co/OpenMed/OpenMed-ZeroShot-NER-Anatomy-Small-166M</t>
  </si>
  <si>
    <t xml:space="preserve">arcee-ai</t>
  </si>
  <si>
    <t xml:space="preserve">https://huggingface.co/arcee-ai/Trinity-Mini</t>
  </si>
  <si>
    <t xml:space="preserve">Beinsezii/Krea-2-Turbo-Projector-Scale-LoRA-Diffusers</t>
  </si>
  <si>
    <t xml:space="preserve">Beinsezii</t>
  </si>
  <si>
    <t xml:space="preserve">https://huggingface.co/Beinsezii/Krea-2-Turbo-Projector-Scale-LoRA-Diffusers</t>
  </si>
  <si>
    <t xml:space="preserve">FastVideo/FastVideo-FastH3-Trim-Comfy</t>
  </si>
  <si>
    <t xml:space="preserve">FastVideo</t>
  </si>
  <si>
    <t xml:space="preserve">https://huggingface.co/FastVideo/FastVideo-FastH3-Trim-Comfy</t>
  </si>
  <si>
    <t xml:space="preserve">allenai/scibert_scivocab_cased</t>
  </si>
  <si>
    <t xml:space="preserve">https://huggingface.co/allenai/scibert_scivocab_cased</t>
  </si>
  <si>
    <t xml:space="preserve">facebook/mgenre-wiki</t>
  </si>
  <si>
    <t xml:space="preserve">https://huggingface.co/facebook/mgenre-wiki</t>
  </si>
  <si>
    <t xml:space="preserve">facebook/esm1v_t33_650M_UR90S_5</t>
  </si>
  <si>
    <t xml:space="preserve">https://huggingface.co/facebook/esm1v_t33_650M_UR90S_5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</si>
</sst>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"/>
    <numFmt numFmtId="168" formatCode="0.0"/>
    <numFmt numFmtId="169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微軟正黑體"/>
      <family val="0"/>
      <charset val="1"/>
    </font>
    <font>
      <b val="true"/>
      <sz val="14"/>
      <color rgb="FF000000"/>
      <name val="Noto Sans CJK SC"/>
      <family val="2"/>
    </font>
    <font>
      <b val="true"/>
      <sz val="11"/>
      <color rgb="FF000000"/>
      <name val="Noto Sans CJK SC"/>
      <family val="2"/>
    </font>
    <font>
      <b val="true"/>
      <sz val="11"/>
      <color rgb="FF000000"/>
      <name val="Calibri"/>
      <family val="0"/>
      <charset val="1"/>
    </font>
    <font>
      <sz val="11"/>
      <color rgb="FF000000"/>
      <name val="Noto Sans CJK SC"/>
      <family val="2"/>
    </font>
    <font>
      <sz val="11"/>
      <color rgb="FF000000"/>
      <name val="Calibri"/>
      <family val="0"/>
      <charset val="1"/>
    </font>
    <font>
      <b val="true"/>
      <sz val="11"/>
      <color rgb="FF000000"/>
      <name val="微軟正黑體"/>
      <family val="0"/>
      <charset val="1"/>
    </font>
    <font>
      <sz val="10"/>
      <name val="Noto Sans CJK SC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44"/>
  </cols>
  <sheetData>
    <row r="1" customFormat="false" ht="21.6" hidden="false" customHeight="false" outlineLevel="0" collapsed="false">
      <c r="A1" s="1" t="s">
        <v>0</v>
      </c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33.7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7.15" hidden="false" customHeight="false" outlineLevel="0" collapsed="false">
      <c r="A5" s="4" t="s">
        <v>3</v>
      </c>
      <c r="B5" s="4" t="s">
        <v>4</v>
      </c>
      <c r="C5" s="4" t="s">
        <v>5</v>
      </c>
      <c r="D5" s="4"/>
      <c r="E5" s="4"/>
      <c r="F5" s="4" t="s">
        <v>6</v>
      </c>
    </row>
    <row r="6" customFormat="false" ht="17.15" hidden="false" customHeight="false" outlineLevel="0" collapsed="false">
      <c r="A6" s="5" t="s">
        <v>7</v>
      </c>
      <c r="B6" s="6" t="n">
        <f aca="false">B7+B8</f>
        <v>4289</v>
      </c>
      <c r="C6" s="7" t="n">
        <f aca="false">B6/B6</f>
        <v>1</v>
      </c>
      <c r="D6" s="5"/>
      <c r="E6" s="5"/>
      <c r="F6" s="5" t="s">
        <v>8</v>
      </c>
    </row>
    <row r="7" customFormat="false" ht="15" hidden="false" customHeight="false" outlineLevel="0" collapsed="false">
      <c r="A7" s="5" t="s">
        <v>9</v>
      </c>
      <c r="B7" s="6" t="n">
        <f aca="false">COUNTA(排除清單!A2:A1790)</f>
        <v>1789</v>
      </c>
      <c r="C7" s="7" t="n">
        <f aca="false">B7/B6</f>
        <v>0.417113546281184</v>
      </c>
      <c r="D7" s="5"/>
      <c r="E7" s="5"/>
      <c r="F7" s="5" t="s">
        <v>10</v>
      </c>
    </row>
    <row r="8" customFormat="false" ht="15" hidden="false" customHeight="false" outlineLevel="0" collapsed="false">
      <c r="A8" s="8" t="s">
        <v>11</v>
      </c>
      <c r="B8" s="9" t="n">
        <f aca="false">COUNTA(資安適用排名!B2:B2501)</f>
        <v>2500</v>
      </c>
      <c r="C8" s="10" t="n">
        <f aca="false">B8/B6</f>
        <v>0.582886453718816</v>
      </c>
      <c r="D8" s="5"/>
      <c r="E8" s="5"/>
      <c r="F8" s="5" t="s">
        <v>12</v>
      </c>
    </row>
    <row r="10" customFormat="false" ht="17.15" hidden="false" customHeight="false" outlineLevel="0" collapsed="false">
      <c r="A10" s="4" t="s">
        <v>13</v>
      </c>
      <c r="B10" s="4" t="s">
        <v>14</v>
      </c>
      <c r="C10" s="4" t="s">
        <v>15</v>
      </c>
      <c r="D10" s="4"/>
      <c r="E10" s="4"/>
      <c r="F10" s="4" t="s">
        <v>6</v>
      </c>
    </row>
    <row r="11" customFormat="false" ht="32.8" hidden="false" customHeight="false" outlineLevel="0" collapsed="false">
      <c r="A11" s="11" t="s">
        <v>16</v>
      </c>
      <c r="B11" s="6" t="n">
        <f aca="false">COUNTIF(排除清單!$G$2:$G$1790,"*G1*")</f>
        <v>66</v>
      </c>
      <c r="C11" s="7" t="n">
        <f aca="false">B11/$B$6</f>
        <v>0.0153882023781767</v>
      </c>
      <c r="D11" s="5"/>
      <c r="E11" s="5"/>
      <c r="F11" s="12" t="s">
        <v>17</v>
      </c>
    </row>
    <row r="12" customFormat="false" ht="17.15" hidden="false" customHeight="false" outlineLevel="0" collapsed="false">
      <c r="A12" s="11" t="s">
        <v>18</v>
      </c>
      <c r="B12" s="6" t="n">
        <f aca="false">COUNTIF(排除清單!$G$2:$G$1790,"*G2*")</f>
        <v>209</v>
      </c>
      <c r="C12" s="7" t="n">
        <f aca="false">B12/$B$6</f>
        <v>0.048729307530893</v>
      </c>
      <c r="D12" s="5"/>
      <c r="E12" s="5"/>
      <c r="F12" s="12" t="s">
        <v>19</v>
      </c>
    </row>
    <row r="13" customFormat="false" ht="32.8" hidden="false" customHeight="false" outlineLevel="0" collapsed="false">
      <c r="A13" s="11" t="s">
        <v>20</v>
      </c>
      <c r="B13" s="6" t="n">
        <f aca="false">COUNTIF(排除清單!$G$2:$G$1790,"*G3*")</f>
        <v>909</v>
      </c>
      <c r="C13" s="7" t="n">
        <f aca="false">B13/$B$6</f>
        <v>0.211937514572161</v>
      </c>
      <c r="D13" s="5"/>
      <c r="E13" s="5"/>
      <c r="F13" s="12" t="s">
        <v>21</v>
      </c>
    </row>
    <row r="14" customFormat="false" ht="30.55" hidden="false" customHeight="false" outlineLevel="0" collapsed="false">
      <c r="A14" s="11" t="s">
        <v>22</v>
      </c>
      <c r="B14" s="6" t="n">
        <f aca="false">COUNTIF(排除清單!$G$2:$G$1790,"*G4*")</f>
        <v>277</v>
      </c>
      <c r="C14" s="7" t="n">
        <f aca="false">B14/$B$6</f>
        <v>0.0645838190720448</v>
      </c>
      <c r="D14" s="5"/>
      <c r="E14" s="5"/>
      <c r="F14" s="12" t="s">
        <v>23</v>
      </c>
    </row>
    <row r="15" customFormat="false" ht="17.15" hidden="false" customHeight="false" outlineLevel="0" collapsed="false">
      <c r="A15" s="11" t="s">
        <v>24</v>
      </c>
      <c r="B15" s="6" t="n">
        <f aca="false">COUNTIF(排除清單!$G$2:$G$1790,"*G5*")</f>
        <v>191</v>
      </c>
      <c r="C15" s="7" t="n">
        <f aca="false">B15/$B$6</f>
        <v>0.0445325250641175</v>
      </c>
      <c r="D15" s="5"/>
      <c r="E15" s="5"/>
      <c r="F15" s="13" t="s">
        <v>25</v>
      </c>
    </row>
    <row r="16" customFormat="false" ht="17.15" hidden="false" customHeight="false" outlineLevel="0" collapsed="false">
      <c r="A16" s="11" t="s">
        <v>26</v>
      </c>
      <c r="B16" s="6" t="n">
        <f aca="false">COUNTIF(排除清單!$G$2:$G$1790,"*G6*")</f>
        <v>373</v>
      </c>
      <c r="C16" s="7" t="n">
        <f aca="false">B16/$B$6</f>
        <v>0.0869666588948473</v>
      </c>
      <c r="D16" s="5"/>
      <c r="E16" s="5"/>
      <c r="F16" s="12" t="s">
        <v>27</v>
      </c>
    </row>
    <row r="18" customFormat="false" ht="17.15" hidden="false" customHeight="true" outlineLevel="0" collapsed="false">
      <c r="A18" s="3" t="s">
        <v>28</v>
      </c>
      <c r="B18" s="3"/>
      <c r="C18" s="3"/>
      <c r="D18" s="3"/>
      <c r="E18" s="3"/>
      <c r="F18" s="3"/>
    </row>
    <row r="20" customFormat="false" ht="17.15" hidden="false" customHeight="false" outlineLevel="0" collapsed="false">
      <c r="A20" s="4" t="s">
        <v>29</v>
      </c>
      <c r="B20" s="4" t="s">
        <v>4</v>
      </c>
      <c r="C20" s="4" t="s">
        <v>30</v>
      </c>
      <c r="D20" s="4" t="s">
        <v>31</v>
      </c>
      <c r="E20" s="4"/>
      <c r="F20" s="4" t="s">
        <v>32</v>
      </c>
    </row>
    <row r="21" customFormat="false" ht="17.15" hidden="false" customHeight="false" outlineLevel="0" collapsed="false">
      <c r="A21" s="5" t="s">
        <v>33</v>
      </c>
      <c r="B21" s="6" t="n">
        <f aca="false">COUNTIF(資安適用排名!$H$2:$H$2501,A21)</f>
        <v>54</v>
      </c>
      <c r="C21" s="7" t="n">
        <f aca="false">B21/$B$8</f>
        <v>0.0216</v>
      </c>
      <c r="D21" s="14" t="n">
        <f aca="false">評分方法!$C$16</f>
        <v>80</v>
      </c>
      <c r="E21" s="5"/>
      <c r="F21" s="12" t="s">
        <v>34</v>
      </c>
    </row>
    <row r="22" customFormat="false" ht="17.15" hidden="false" customHeight="false" outlineLevel="0" collapsed="false">
      <c r="A22" s="5" t="s">
        <v>35</v>
      </c>
      <c r="B22" s="6" t="n">
        <f aca="false">COUNTIF(資安適用排名!$H$2:$H$2501,A22)</f>
        <v>412</v>
      </c>
      <c r="C22" s="7" t="n">
        <f aca="false">B22/$B$8</f>
        <v>0.1648</v>
      </c>
      <c r="D22" s="14" t="n">
        <f aca="false">評分方法!$C$17</f>
        <v>70</v>
      </c>
      <c r="E22" s="5"/>
      <c r="F22" s="12" t="s">
        <v>36</v>
      </c>
    </row>
    <row r="23" customFormat="false" ht="17.15" hidden="false" customHeight="false" outlineLevel="0" collapsed="false">
      <c r="A23" s="5" t="s">
        <v>37</v>
      </c>
      <c r="B23" s="6" t="n">
        <f aca="false">COUNTIF(資安適用排名!$H$2:$H$2501,A23)</f>
        <v>993</v>
      </c>
      <c r="C23" s="7" t="n">
        <f aca="false">B23/$B$8</f>
        <v>0.3972</v>
      </c>
      <c r="D23" s="14" t="n">
        <f aca="false">評分方法!$C$18</f>
        <v>60</v>
      </c>
      <c r="E23" s="5"/>
      <c r="F23" s="12" t="s">
        <v>38</v>
      </c>
    </row>
    <row r="24" customFormat="false" ht="17.15" hidden="false" customHeight="false" outlineLevel="0" collapsed="false">
      <c r="A24" s="5" t="s">
        <v>39</v>
      </c>
      <c r="B24" s="6" t="n">
        <f aca="false">COUNTIF(資安適用排名!$H$2:$H$2501,A24)</f>
        <v>1041</v>
      </c>
      <c r="C24" s="7" t="n">
        <f aca="false">B24/$B$8</f>
        <v>0.4164</v>
      </c>
      <c r="D24" s="14" t="n">
        <f aca="false">評分方法!$C$19</f>
        <v>0</v>
      </c>
      <c r="E24" s="5"/>
      <c r="F24" s="12" t="s">
        <v>40</v>
      </c>
    </row>
    <row r="26" customFormat="false" ht="17.15" hidden="false" customHeight="false" outlineLevel="0" collapsed="false">
      <c r="A26" s="4" t="s">
        <v>41</v>
      </c>
      <c r="B26" s="4" t="s">
        <v>4</v>
      </c>
      <c r="C26" s="4" t="s">
        <v>42</v>
      </c>
      <c r="D26" s="4" t="s">
        <v>43</v>
      </c>
      <c r="E26" s="4" t="s">
        <v>44</v>
      </c>
      <c r="F26" s="4" t="s">
        <v>45</v>
      </c>
    </row>
    <row r="27" customFormat="false" ht="17.15" hidden="false" customHeight="false" outlineLevel="0" collapsed="false">
      <c r="A27" s="11" t="s">
        <v>46</v>
      </c>
      <c r="B27" s="6" t="n">
        <f aca="false">COUNTIF(資安適用排名!$D$2:$D$2501,A27)</f>
        <v>19</v>
      </c>
      <c r="C27" s="15" t="n">
        <f aca="false">_xlfn.MAXIFS(資安適用排名!$G$2:$G$2501,資安適用排名!$D$2:$D$2501,A27)</f>
        <v>93.848</v>
      </c>
      <c r="D27" s="15" t="n">
        <f aca="false">AVERAGEIF(資安適用排名!$D$2:$D$2501,A27,資安適用排名!$G$2:$G$2501)</f>
        <v>77.9458947368421</v>
      </c>
      <c r="E27" s="6" t="n">
        <f aca="false">COUNTIFS(資安適用排名!$D$2:$D$2501,A27,資安適用排名!$H$2:$H$2501,"優先評估")</f>
        <v>9</v>
      </c>
      <c r="F27" s="13" t="s">
        <v>47</v>
      </c>
    </row>
    <row r="28" customFormat="false" ht="17.15" hidden="false" customHeight="false" outlineLevel="0" collapsed="false">
      <c r="A28" s="5" t="s">
        <v>48</v>
      </c>
      <c r="B28" s="6" t="n">
        <f aca="false">COUNTIF(資安適用排名!$D$2:$D$2501,A28)</f>
        <v>15</v>
      </c>
      <c r="C28" s="15" t="n">
        <f aca="false">_xlfn.MAXIFS(資安適用排名!$G$2:$G$2501,資安適用排名!$D$2:$D$2501,A28)</f>
        <v>91.272</v>
      </c>
      <c r="D28" s="15" t="n">
        <f aca="false">AVERAGEIF(資安適用排名!$D$2:$D$2501,A28,資安適用排名!$G$2:$G$2501)</f>
        <v>77.2298666666667</v>
      </c>
      <c r="E28" s="6" t="n">
        <f aca="false">COUNTIFS(資安適用排名!$D$2:$D$2501,A28,資安適用排名!$H$2:$H$2501,"優先評估")</f>
        <v>5</v>
      </c>
      <c r="F28" s="12" t="s">
        <v>49</v>
      </c>
    </row>
    <row r="29" customFormat="false" ht="17.15" hidden="false" customHeight="false" outlineLevel="0" collapsed="false">
      <c r="A29" s="5" t="s">
        <v>50</v>
      </c>
      <c r="B29" s="6" t="n">
        <f aca="false">COUNTIF(資安適用排名!$D$2:$D$2501,A29)</f>
        <v>3</v>
      </c>
      <c r="C29" s="15" t="n">
        <f aca="false">_xlfn.MAXIFS(資安適用排名!$G$2:$G$2501,資安適用排名!$D$2:$D$2501,A29)</f>
        <v>88.632</v>
      </c>
      <c r="D29" s="15" t="n">
        <f aca="false">AVERAGEIF(資安適用排名!$D$2:$D$2501,A29,資安適用排名!$G$2:$G$2501)</f>
        <v>79.6193333333333</v>
      </c>
      <c r="E29" s="6" t="n">
        <f aca="false">COUNTIFS(資安適用排名!$D$2:$D$2501,A29,資安適用排名!$H$2:$H$2501,"優先評估")</f>
        <v>2</v>
      </c>
      <c r="F29" s="12" t="s">
        <v>51</v>
      </c>
    </row>
    <row r="30" customFormat="false" ht="32.8" hidden="false" customHeight="false" outlineLevel="0" collapsed="false">
      <c r="A30" s="5" t="s">
        <v>52</v>
      </c>
      <c r="B30" s="6" t="n">
        <f aca="false">COUNTIF(資安適用排名!$D$2:$D$2501,A30)</f>
        <v>4</v>
      </c>
      <c r="C30" s="15" t="n">
        <f aca="false">_xlfn.MAXIFS(資安適用排名!$G$2:$G$2501,資安適用排名!$D$2:$D$2501,A30)</f>
        <v>86.384</v>
      </c>
      <c r="D30" s="15" t="n">
        <f aca="false">AVERAGEIF(資安適用排名!$D$2:$D$2501,A30,資安適用排名!$G$2:$G$2501)</f>
        <v>72.4795</v>
      </c>
      <c r="E30" s="6" t="n">
        <f aca="false">COUNTIFS(資安適用排名!$D$2:$D$2501,A30,資安適用排名!$H$2:$H$2501,"優先評估")</f>
        <v>1</v>
      </c>
      <c r="F30" s="12" t="s">
        <v>53</v>
      </c>
    </row>
    <row r="31" customFormat="false" ht="32.8" hidden="false" customHeight="false" outlineLevel="0" collapsed="false">
      <c r="A31" s="5" t="s">
        <v>54</v>
      </c>
      <c r="B31" s="6" t="n">
        <f aca="false">COUNTIF(資安適用排名!$D$2:$D$2501,A31)</f>
        <v>270</v>
      </c>
      <c r="C31" s="15" t="n">
        <f aca="false">_xlfn.MAXIFS(資安適用排名!$G$2:$G$2501,資安適用排名!$D$2:$D$2501,A31)</f>
        <v>85.988</v>
      </c>
      <c r="D31" s="15" t="n">
        <f aca="false">AVERAGEIF(資安適用排名!$D$2:$D$2501,A31,資安適用排名!$G$2:$G$2501)</f>
        <v>67.0099851851852</v>
      </c>
      <c r="E31" s="6" t="n">
        <f aca="false">COUNTIFS(資安適用排名!$D$2:$D$2501,A31,資安適用排名!$H$2:$H$2501,"優先評估")</f>
        <v>25</v>
      </c>
      <c r="F31" s="12" t="s">
        <v>55</v>
      </c>
    </row>
    <row r="32" customFormat="false" ht="32.8" hidden="false" customHeight="false" outlineLevel="0" collapsed="false">
      <c r="A32" s="5" t="s">
        <v>56</v>
      </c>
      <c r="B32" s="6" t="n">
        <f aca="false">COUNTIF(資安適用排名!$D$2:$D$2501,A32)</f>
        <v>981</v>
      </c>
      <c r="C32" s="15" t="n">
        <f aca="false">_xlfn.MAXIFS(資安適用排名!$G$2:$G$2501,資安適用排名!$D$2:$D$2501,A32)</f>
        <v>82.322</v>
      </c>
      <c r="D32" s="15" t="n">
        <f aca="false">AVERAGEIF(資安適用排名!$D$2:$D$2501,A32,資安適用排名!$G$2:$G$2501)</f>
        <v>64.069498470948</v>
      </c>
      <c r="E32" s="6" t="n">
        <f aca="false">COUNTIFS(資安適用排名!$D$2:$D$2501,A32,資安適用排名!$H$2:$H$2501,"優先評估")</f>
        <v>6</v>
      </c>
      <c r="F32" s="12" t="s">
        <v>57</v>
      </c>
    </row>
    <row r="33" customFormat="false" ht="17.15" hidden="false" customHeight="false" outlineLevel="0" collapsed="false">
      <c r="A33" s="5" t="s">
        <v>58</v>
      </c>
      <c r="B33" s="6" t="n">
        <f aca="false">COUNTIF(資安適用排名!$D$2:$D$2501,A33)</f>
        <v>357</v>
      </c>
      <c r="C33" s="15" t="n">
        <f aca="false">_xlfn.MAXIFS(資安適用排名!$G$2:$G$2501,資安適用排名!$D$2:$D$2501,A33)</f>
        <v>82.32</v>
      </c>
      <c r="D33" s="15" t="n">
        <f aca="false">AVERAGEIF(資安適用排名!$D$2:$D$2501,A33,資安適用排名!$G$2:$G$2501)</f>
        <v>63.6472492997199</v>
      </c>
      <c r="E33" s="6" t="n">
        <f aca="false">COUNTIFS(資安適用排名!$D$2:$D$2501,A33,資安適用排名!$H$2:$H$2501,"優先評估")</f>
        <v>3</v>
      </c>
      <c r="F33" s="12" t="s">
        <v>59</v>
      </c>
    </row>
    <row r="34" customFormat="false" ht="17.15" hidden="false" customHeight="false" outlineLevel="0" collapsed="false">
      <c r="A34" s="11" t="s">
        <v>60</v>
      </c>
      <c r="B34" s="6" t="n">
        <f aca="false">COUNTIF(資安適用排名!$D$2:$D$2501,A34)</f>
        <v>7</v>
      </c>
      <c r="C34" s="15" t="n">
        <f aca="false">_xlfn.MAXIFS(資安適用排名!$G$2:$G$2501,資安適用排名!$D$2:$D$2501,A34)</f>
        <v>82.04</v>
      </c>
      <c r="D34" s="15" t="n">
        <f aca="false">AVERAGEIF(資安適用排名!$D$2:$D$2501,A34,資安適用排名!$G$2:$G$2501)</f>
        <v>70.8565714285714</v>
      </c>
      <c r="E34" s="6" t="n">
        <f aca="false">COUNTIFS(資安適用排名!$D$2:$D$2501,A34,資安適用排名!$H$2:$H$2501,"優先評估")</f>
        <v>1</v>
      </c>
      <c r="F34" s="13" t="s">
        <v>61</v>
      </c>
    </row>
    <row r="35" customFormat="false" ht="17.15" hidden="false" customHeight="false" outlineLevel="0" collapsed="false">
      <c r="A35" s="5" t="s">
        <v>62</v>
      </c>
      <c r="B35" s="6" t="n">
        <f aca="false">COUNTIF(資安適用排名!$D$2:$D$2501,A35)</f>
        <v>1</v>
      </c>
      <c r="C35" s="15" t="n">
        <f aca="false">_xlfn.MAXIFS(資安適用排名!$G$2:$G$2501,資安適用排名!$D$2:$D$2501,A35)</f>
        <v>81.654</v>
      </c>
      <c r="D35" s="15" t="n">
        <f aca="false">AVERAGEIF(資安適用排名!$D$2:$D$2501,A35,資安適用排名!$G$2:$G$2501)</f>
        <v>81.654</v>
      </c>
      <c r="E35" s="6" t="n">
        <f aca="false">COUNTIFS(資安適用排名!$D$2:$D$2501,A35,資安適用排名!$H$2:$H$2501,"優先評估")</f>
        <v>1</v>
      </c>
      <c r="F35" s="12" t="s">
        <v>63</v>
      </c>
    </row>
    <row r="36" customFormat="false" ht="17.15" hidden="false" customHeight="false" outlineLevel="0" collapsed="false">
      <c r="A36" s="5" t="s">
        <v>64</v>
      </c>
      <c r="B36" s="6" t="n">
        <f aca="false">COUNTIF(資安適用排名!$D$2:$D$2501,A36)</f>
        <v>3</v>
      </c>
      <c r="C36" s="15" t="n">
        <f aca="false">_xlfn.MAXIFS(資安適用排名!$G$2:$G$2501,資安適用排名!$D$2:$D$2501,A36)</f>
        <v>80.734</v>
      </c>
      <c r="D36" s="15" t="n">
        <f aca="false">AVERAGEIF(資安適用排名!$D$2:$D$2501,A36,資安適用排名!$G$2:$G$2501)</f>
        <v>72.1713333333333</v>
      </c>
      <c r="E36" s="6" t="n">
        <f aca="false">COUNTIFS(資安適用排名!$D$2:$D$2501,A36,資安適用排名!$H$2:$H$2501,"優先評估")</f>
        <v>1</v>
      </c>
      <c r="F36" s="12" t="s">
        <v>65</v>
      </c>
    </row>
    <row r="37" customFormat="false" ht="32.8" hidden="false" customHeight="false" outlineLevel="0" collapsed="false">
      <c r="A37" s="5" t="s">
        <v>66</v>
      </c>
      <c r="B37" s="6" t="n">
        <f aca="false">COUNTIF(資安適用排名!$D$2:$D$2501,A37)</f>
        <v>88</v>
      </c>
      <c r="C37" s="15" t="n">
        <f aca="false">_xlfn.MAXIFS(資安適用排名!$G$2:$G$2501,資安適用排名!$D$2:$D$2501,A37)</f>
        <v>78.266</v>
      </c>
      <c r="D37" s="15" t="n">
        <f aca="false">AVERAGEIF(資安適用排名!$D$2:$D$2501,A37,資安適用排名!$G$2:$G$2501)</f>
        <v>57.4618636363636</v>
      </c>
      <c r="E37" s="6" t="n">
        <f aca="false">COUNTIFS(資安適用排名!$D$2:$D$2501,A37,資安適用排名!$H$2:$H$2501,"優先評估")</f>
        <v>0</v>
      </c>
      <c r="F37" s="12" t="s">
        <v>67</v>
      </c>
    </row>
    <row r="38" customFormat="false" ht="17.15" hidden="false" customHeight="false" outlineLevel="0" collapsed="false">
      <c r="A38" s="5" t="s">
        <v>68</v>
      </c>
      <c r="B38" s="6" t="n">
        <f aca="false">COUNTIF(資安適用排名!$D$2:$D$2501,A38)</f>
        <v>53</v>
      </c>
      <c r="C38" s="15" t="n">
        <f aca="false">_xlfn.MAXIFS(資安適用排名!$G$2:$G$2501,資安適用排名!$D$2:$D$2501,A38)</f>
        <v>77.48</v>
      </c>
      <c r="D38" s="15" t="n">
        <f aca="false">AVERAGEIF(資安適用排名!$D$2:$D$2501,A38,資安適用排名!$G$2:$G$2501)</f>
        <v>67.8409811320755</v>
      </c>
      <c r="E38" s="6" t="n">
        <f aca="false">COUNTIFS(資安適用排名!$D$2:$D$2501,A38,資安適用排名!$H$2:$H$2501,"優先評估")</f>
        <v>0</v>
      </c>
      <c r="F38" s="13" t="s">
        <v>69</v>
      </c>
    </row>
    <row r="39" customFormat="false" ht="17.15" hidden="false" customHeight="false" outlineLevel="0" collapsed="false">
      <c r="A39" s="5" t="s">
        <v>70</v>
      </c>
      <c r="B39" s="6" t="n">
        <f aca="false">COUNTIF(資安適用排名!$D$2:$D$2501,A39)</f>
        <v>12</v>
      </c>
      <c r="C39" s="15" t="n">
        <f aca="false">_xlfn.MAXIFS(資安適用排名!$G$2:$G$2501,資安適用排名!$D$2:$D$2501,A39)</f>
        <v>77.298</v>
      </c>
      <c r="D39" s="15" t="n">
        <f aca="false">AVERAGEIF(資安適用排名!$D$2:$D$2501,A39,資安適用排名!$G$2:$G$2501)</f>
        <v>65.1635</v>
      </c>
      <c r="E39" s="6" t="n">
        <f aca="false">COUNTIFS(資安適用排名!$D$2:$D$2501,A39,資安適用排名!$H$2:$H$2501,"優先評估")</f>
        <v>0</v>
      </c>
      <c r="F39" s="12" t="s">
        <v>71</v>
      </c>
    </row>
    <row r="40" customFormat="false" ht="17.15" hidden="false" customHeight="false" outlineLevel="0" collapsed="false">
      <c r="A40" s="5" t="s">
        <v>72</v>
      </c>
      <c r="B40" s="6" t="n">
        <f aca="false">COUNTIF(資安適用排名!$D$2:$D$2501,A40)</f>
        <v>74</v>
      </c>
      <c r="C40" s="15" t="n">
        <f aca="false">_xlfn.MAXIFS(資安適用排名!$G$2:$G$2501,資安適用排名!$D$2:$D$2501,A40)</f>
        <v>71.668</v>
      </c>
      <c r="D40" s="15" t="n">
        <f aca="false">AVERAGEIF(資安適用排名!$D$2:$D$2501,A40,資安適用排名!$G$2:$G$2501)</f>
        <v>52.9483783783784</v>
      </c>
      <c r="E40" s="6" t="n">
        <f aca="false">COUNTIFS(資安適用排名!$D$2:$D$2501,A40,資安適用排名!$H$2:$H$2501,"優先評估")</f>
        <v>0</v>
      </c>
      <c r="F40" s="12" t="s">
        <v>73</v>
      </c>
    </row>
    <row r="41" customFormat="false" ht="17.15" hidden="false" customHeight="false" outlineLevel="0" collapsed="false">
      <c r="A41" s="5" t="s">
        <v>74</v>
      </c>
      <c r="B41" s="6" t="n">
        <f aca="false">COUNTIF(資安適用排名!$D$2:$D$2501,A41)</f>
        <v>352</v>
      </c>
      <c r="C41" s="15" t="n">
        <f aca="false">_xlfn.MAXIFS(資安適用排名!$G$2:$G$2501,資安適用排名!$D$2:$D$2501,A41)</f>
        <v>70.074</v>
      </c>
      <c r="D41" s="15" t="n">
        <f aca="false">AVERAGEIF(資安適用排名!$D$2:$D$2501,A41,資安適用排名!$G$2:$G$2501)</f>
        <v>55.2345170454545</v>
      </c>
      <c r="E41" s="6" t="n">
        <f aca="false">COUNTIFS(資安適用排名!$D$2:$D$2501,A41,資安適用排名!$H$2:$H$2501,"優先評估")</f>
        <v>0</v>
      </c>
      <c r="F41" s="12" t="s">
        <v>75</v>
      </c>
    </row>
    <row r="42" customFormat="false" ht="17.15" hidden="false" customHeight="false" outlineLevel="0" collapsed="false">
      <c r="A42" s="5" t="s">
        <v>76</v>
      </c>
      <c r="B42" s="6" t="n">
        <f aca="false">COUNTIF(資安適用排名!$D$2:$D$2501,A42)</f>
        <v>15</v>
      </c>
      <c r="C42" s="15" t="n">
        <f aca="false">_xlfn.MAXIFS(資安適用排名!$G$2:$G$2501,資安適用排名!$D$2:$D$2501,A42)</f>
        <v>67.972</v>
      </c>
      <c r="D42" s="15" t="n">
        <f aca="false">AVERAGEIF(資安適用排名!$D$2:$D$2501,A42,資安適用排名!$G$2:$G$2501)</f>
        <v>58.0253333333333</v>
      </c>
      <c r="E42" s="6" t="n">
        <f aca="false">COUNTIFS(資安適用排名!$D$2:$D$2501,A42,資安適用排名!$H$2:$H$2501,"優先評估")</f>
        <v>0</v>
      </c>
      <c r="F42" s="12" t="s">
        <v>77</v>
      </c>
    </row>
    <row r="43" customFormat="false" ht="32.8" hidden="false" customHeight="false" outlineLevel="0" collapsed="false">
      <c r="A43" s="5" t="s">
        <v>78</v>
      </c>
      <c r="B43" s="6" t="n">
        <f aca="false">COUNTIF(資安適用排名!$D$2:$D$2501,A43)</f>
        <v>156</v>
      </c>
      <c r="C43" s="15" t="n">
        <f aca="false">_xlfn.MAXIFS(資安適用排名!$G$2:$G$2501,資安適用排名!$D$2:$D$2501,A43)</f>
        <v>66.228</v>
      </c>
      <c r="D43" s="15" t="n">
        <f aca="false">AVERAGEIF(資安適用排名!$D$2:$D$2501,A43,資安適用排名!$G$2:$G$2501)</f>
        <v>49.3005897435897</v>
      </c>
      <c r="E43" s="6" t="n">
        <f aca="false">COUNTIFS(資安適用排名!$D$2:$D$2501,A43,資安適用排名!$H$2:$H$2501,"優先評估")</f>
        <v>0</v>
      </c>
      <c r="F43" s="12" t="s">
        <v>79</v>
      </c>
    </row>
    <row r="44" customFormat="false" ht="17.15" hidden="false" customHeight="false" outlineLevel="0" collapsed="false">
      <c r="A44" s="5" t="s">
        <v>80</v>
      </c>
      <c r="B44" s="6" t="n">
        <f aca="false">COUNTIF(資安適用排名!$D$2:$D$2501,A44)</f>
        <v>90</v>
      </c>
      <c r="C44" s="15" t="n">
        <f aca="false">_xlfn.MAXIFS(資安適用排名!$G$2:$G$2501,資安適用排名!$D$2:$D$2501,A44)</f>
        <v>61.504</v>
      </c>
      <c r="D44" s="15" t="n">
        <f aca="false">AVERAGEIF(資安適用排名!$D$2:$D$2501,A44,資安適用排名!$G$2:$G$2501)</f>
        <v>43.1723111111111</v>
      </c>
      <c r="E44" s="6" t="n">
        <f aca="false">COUNTIFS(資安適用排名!$D$2:$D$2501,A44,資安適用排名!$H$2:$H$2501,"優先評估")</f>
        <v>0</v>
      </c>
      <c r="F44" s="12" t="s">
        <v>81</v>
      </c>
    </row>
    <row r="46" customFormat="false" ht="17.15" hidden="false" customHeight="false" outlineLevel="0" collapsed="false">
      <c r="A46" s="4" t="s">
        <v>82</v>
      </c>
      <c r="B46" s="4" t="s">
        <v>83</v>
      </c>
      <c r="C46" s="4" t="s">
        <v>29</v>
      </c>
      <c r="D46" s="4"/>
      <c r="E46" s="4"/>
      <c r="F46" s="4" t="s">
        <v>84</v>
      </c>
    </row>
    <row r="47" customFormat="false" ht="15" hidden="false" customHeight="false" outlineLevel="0" collapsed="false">
      <c r="A47" s="16" t="n">
        <v>1</v>
      </c>
      <c r="B47" s="15" t="n">
        <f aca="false">INDEX(資安適用排名!$G$2:$G$2501,MATCH(A47,資安適用排名!$A$2:$A$2501,0))</f>
        <v>93.848</v>
      </c>
      <c r="C47" s="5" t="str">
        <f aca="false">INDEX(資安適用排名!$H$2:$H$2501,MATCH(A47,資安適用排名!$A$2:$A$2501,0))</f>
        <v>優先評估</v>
      </c>
      <c r="D47" s="5"/>
      <c r="E47" s="5"/>
      <c r="F47" s="5" t="str">
        <f aca="false">INDEX(資安適用排名!$B$2:$B$2501,MATCH(A47,資安適用排名!$A$2:$A$2501,0))</f>
        <v>protectai/deberta-v3-base-prompt-injection-v2</v>
      </c>
    </row>
    <row r="48" customFormat="false" ht="15" hidden="false" customHeight="false" outlineLevel="0" collapsed="false">
      <c r="A48" s="16" t="n">
        <v>2</v>
      </c>
      <c r="B48" s="15" t="n">
        <f aca="false">INDEX(資安適用排名!$G$2:$G$2501,MATCH(A48,資安適用排名!$A$2:$A$2501,0))</f>
        <v>91.272</v>
      </c>
      <c r="C48" s="5" t="str">
        <f aca="false">INDEX(資安適用排名!$H$2:$H$2501,MATCH(A48,資安適用排名!$A$2:$A$2501,0))</f>
        <v>優先評估</v>
      </c>
      <c r="D48" s="5"/>
      <c r="E48" s="5"/>
      <c r="F48" s="5" t="str">
        <f aca="false">INDEX(資安適用排名!$B$2:$B$2501,MATCH(A48,資安適用排名!$A$2:$A$2501,0))</f>
        <v>gravitee-io/bert-small-pii-detection</v>
      </c>
    </row>
    <row r="49" customFormat="false" ht="15" hidden="false" customHeight="false" outlineLevel="0" collapsed="false">
      <c r="A49" s="16" t="n">
        <v>3</v>
      </c>
      <c r="B49" s="15" t="n">
        <f aca="false">INDEX(資安適用排名!$G$2:$G$2501,MATCH(A49,資安適用排名!$A$2:$A$2501,0))</f>
        <v>90.486</v>
      </c>
      <c r="C49" s="5" t="str">
        <f aca="false">INDEX(資安適用排名!$H$2:$H$2501,MATCH(A49,資安適用排名!$A$2:$A$2501,0))</f>
        <v>優先評估</v>
      </c>
      <c r="D49" s="5"/>
      <c r="E49" s="5"/>
      <c r="F49" s="5" t="str">
        <f aca="false">INDEX(資安適用排名!$B$2:$B$2501,MATCH(A49,資安適用排名!$A$2:$A$2501,0))</f>
        <v>openai/privacy-filter</v>
      </c>
    </row>
    <row r="50" customFormat="false" ht="15" hidden="false" customHeight="false" outlineLevel="0" collapsed="false">
      <c r="A50" s="16" t="n">
        <v>4</v>
      </c>
      <c r="B50" s="15" t="n">
        <f aca="false">INDEX(資安適用排名!$G$2:$G$2501,MATCH(A50,資安適用排名!$A$2:$A$2501,0))</f>
        <v>89.792</v>
      </c>
      <c r="C50" s="5" t="str">
        <f aca="false">INDEX(資安適用排名!$H$2:$H$2501,MATCH(A50,資安適用排名!$A$2:$A$2501,0))</f>
        <v>優先評估</v>
      </c>
      <c r="D50" s="5"/>
      <c r="E50" s="5"/>
      <c r="F50" s="5" t="str">
        <f aca="false">INDEX(資安適用排名!$B$2:$B$2501,MATCH(A50,資安適用排名!$A$2:$A$2501,0))</f>
        <v>meta-llama/Prompt-Guard-86M</v>
      </c>
    </row>
    <row r="51" customFormat="false" ht="15" hidden="false" customHeight="false" outlineLevel="0" collapsed="false">
      <c r="A51" s="16" t="n">
        <v>5</v>
      </c>
      <c r="B51" s="15" t="n">
        <f aca="false">INDEX(資安適用排名!$G$2:$G$2501,MATCH(A51,資安適用排名!$A$2:$A$2501,0))</f>
        <v>89.14</v>
      </c>
      <c r="C51" s="5" t="str">
        <f aca="false">INDEX(資安適用排名!$H$2:$H$2501,MATCH(A51,資安適用排名!$A$2:$A$2501,0))</f>
        <v>優先評估</v>
      </c>
      <c r="D51" s="5"/>
      <c r="E51" s="5"/>
      <c r="F51" s="5" t="str">
        <f aca="false">INDEX(資安適用排名!$B$2:$B$2501,MATCH(A51,資安適用排名!$A$2:$A$2501,0))</f>
        <v>fastino/gliner2-privacy-filter-PII-multi</v>
      </c>
    </row>
    <row r="52" customFormat="false" ht="15" hidden="false" customHeight="false" outlineLevel="0" collapsed="false">
      <c r="A52" s="16" t="n">
        <v>6</v>
      </c>
      <c r="B52" s="15" t="n">
        <f aca="false">INDEX(資安適用排名!$G$2:$G$2501,MATCH(A52,資安適用排名!$A$2:$A$2501,0))</f>
        <v>88.632</v>
      </c>
      <c r="C52" s="5" t="str">
        <f aca="false">INDEX(資安適用排名!$H$2:$H$2501,MATCH(A52,資安適用排名!$A$2:$A$2501,0))</f>
        <v>優先評估</v>
      </c>
      <c r="D52" s="5"/>
      <c r="E52" s="5"/>
      <c r="F52" s="5" t="str">
        <f aca="false">INDEX(資安適用排名!$B$2:$B$2501,MATCH(A52,資安適用排名!$A$2:$A$2501,0))</f>
        <v>cisco-ai/SecureBERT2.0-biencoder</v>
      </c>
    </row>
    <row r="53" customFormat="false" ht="15" hidden="false" customHeight="false" outlineLevel="0" collapsed="false">
      <c r="A53" s="16" t="n">
        <v>7</v>
      </c>
      <c r="B53" s="15" t="n">
        <f aca="false">INDEX(資安適用排名!$G$2:$G$2501,MATCH(A53,資安適用排名!$A$2:$A$2501,0))</f>
        <v>88.328</v>
      </c>
      <c r="C53" s="5" t="str">
        <f aca="false">INDEX(資安適用排名!$H$2:$H$2501,MATCH(A53,資安適用排名!$A$2:$A$2501,0))</f>
        <v>優先評估</v>
      </c>
      <c r="D53" s="5"/>
      <c r="E53" s="5"/>
      <c r="F53" s="5" t="str">
        <f aca="false">INDEX(資安適用排名!$B$2:$B$2501,MATCH(A53,資安適用排名!$A$2:$A$2501,0))</f>
        <v>protectai/deberta-v3-base-prompt-injection</v>
      </c>
    </row>
    <row r="54" customFormat="false" ht="15" hidden="false" customHeight="false" outlineLevel="0" collapsed="false">
      <c r="A54" s="16" t="n">
        <v>8</v>
      </c>
      <c r="B54" s="15" t="n">
        <f aca="false">INDEX(資安適用排名!$G$2:$G$2501,MATCH(A54,資安適用排名!$A$2:$A$2501,0))</f>
        <v>87.304</v>
      </c>
      <c r="C54" s="5" t="str">
        <f aca="false">INDEX(資安適用排名!$H$2:$H$2501,MATCH(A54,資安適用排名!$A$2:$A$2501,0))</f>
        <v>優先評估</v>
      </c>
      <c r="D54" s="5"/>
      <c r="E54" s="5"/>
      <c r="F54" s="5" t="str">
        <f aca="false">INDEX(資安適用排名!$B$2:$B$2501,MATCH(A54,資安適用排名!$A$2:$A$2501,0))</f>
        <v>cisco-ai/SecureBERT2.0-cross_encoder</v>
      </c>
    </row>
    <row r="55" customFormat="false" ht="15" hidden="false" customHeight="false" outlineLevel="0" collapsed="false">
      <c r="A55" s="16" t="n">
        <v>9</v>
      </c>
      <c r="B55" s="15" t="n">
        <f aca="false">INDEX(資安適用排名!$G$2:$G$2501,MATCH(A55,資安適用排名!$A$2:$A$2501,0))</f>
        <v>86.384</v>
      </c>
      <c r="C55" s="5" t="str">
        <f aca="false">INDEX(資安適用排名!$H$2:$H$2501,MATCH(A55,資安適用排名!$A$2:$A$2501,0))</f>
        <v>優先評估</v>
      </c>
      <c r="D55" s="5"/>
      <c r="E55" s="5"/>
      <c r="F55" s="5" t="str">
        <f aca="false">INDEX(資安適用排名!$B$2:$B$2501,MATCH(A55,資安適用排名!$A$2:$A$2501,0))</f>
        <v>openai-community/roberta-base-openai-detector</v>
      </c>
    </row>
    <row r="56" customFormat="false" ht="15" hidden="false" customHeight="false" outlineLevel="0" collapsed="false">
      <c r="A56" s="16" t="n">
        <v>10</v>
      </c>
      <c r="B56" s="15" t="n">
        <f aca="false">INDEX(資安適用排名!$G$2:$G$2501,MATCH(A56,資安適用排名!$A$2:$A$2501,0))</f>
        <v>85.988</v>
      </c>
      <c r="C56" s="5" t="str">
        <f aca="false">INDEX(資安適用排名!$H$2:$H$2501,MATCH(A56,資安適用排名!$A$2:$A$2501,0))</f>
        <v>優先評估</v>
      </c>
      <c r="D56" s="5"/>
      <c r="E56" s="5"/>
      <c r="F56" s="5" t="str">
        <f aca="false">INDEX(資安適用排名!$B$2:$B$2501,MATCH(A56,資安適用排名!$A$2:$A$2501,0))</f>
        <v>sentence-transformers/paraphrase-multilingual-MiniLM-L12-v2</v>
      </c>
    </row>
    <row r="57" customFormat="false" ht="15" hidden="false" customHeight="false" outlineLevel="0" collapsed="false">
      <c r="A57" s="16" t="n">
        <v>11</v>
      </c>
      <c r="B57" s="15" t="n">
        <f aca="false">INDEX(資安適用排名!$G$2:$G$2501,MATCH(A57,資安適用排名!$A$2:$A$2501,0))</f>
        <v>85.952</v>
      </c>
      <c r="C57" s="5" t="str">
        <f aca="false">INDEX(資安適用排名!$H$2:$H$2501,MATCH(A57,資安適用排名!$A$2:$A$2501,0))</f>
        <v>優先評估</v>
      </c>
      <c r="D57" s="5"/>
      <c r="E57" s="5"/>
      <c r="F57" s="5" t="str">
        <f aca="false">INDEX(資安適用排名!$B$2:$B$2501,MATCH(A57,資安適用排名!$A$2:$A$2501,0))</f>
        <v>intfloat/multilingual-e5-small</v>
      </c>
    </row>
    <row r="58" customFormat="false" ht="15" hidden="false" customHeight="false" outlineLevel="0" collapsed="false">
      <c r="A58" s="16" t="n">
        <v>12</v>
      </c>
      <c r="B58" s="15" t="n">
        <f aca="false">INDEX(資安適用排名!$G$2:$G$2501,MATCH(A58,資安適用排名!$A$2:$A$2501,0))</f>
        <v>85.912</v>
      </c>
      <c r="C58" s="5" t="str">
        <f aca="false">INDEX(資安適用排名!$H$2:$H$2501,MATCH(A58,資安適用排名!$A$2:$A$2501,0))</f>
        <v>優先評估</v>
      </c>
      <c r="D58" s="5"/>
      <c r="E58" s="5"/>
      <c r="F58" s="5" t="str">
        <f aca="false">INDEX(資安適用排名!$B$2:$B$2501,MATCH(A58,資安適用排名!$A$2:$A$2501,0))</f>
        <v>intfloat/multilingual-e5-large</v>
      </c>
    </row>
    <row r="59" customFormat="false" ht="15" hidden="false" customHeight="false" outlineLevel="0" collapsed="false">
      <c r="A59" s="16" t="n">
        <v>13</v>
      </c>
      <c r="B59" s="15" t="n">
        <f aca="false">INDEX(資安適用排名!$G$2:$G$2501,MATCH(A59,資安適用排名!$A$2:$A$2501,0))</f>
        <v>85.884</v>
      </c>
      <c r="C59" s="5" t="str">
        <f aca="false">INDEX(資安適用排名!$H$2:$H$2501,MATCH(A59,資安適用排名!$A$2:$A$2501,0))</f>
        <v>優先評估</v>
      </c>
      <c r="D59" s="5"/>
      <c r="E59" s="5"/>
      <c r="F59" s="5" t="str">
        <f aca="false">INDEX(資安適用排名!$B$2:$B$2501,MATCH(A59,資安適用排名!$A$2:$A$2501,0))</f>
        <v>intfloat/multilingual-e5-base</v>
      </c>
    </row>
    <row r="60" customFormat="false" ht="15" hidden="false" customHeight="false" outlineLevel="0" collapsed="false">
      <c r="A60" s="16" t="n">
        <v>14</v>
      </c>
      <c r="B60" s="15" t="n">
        <f aca="false">INDEX(資安適用排名!$G$2:$G$2501,MATCH(A60,資安適用排名!$A$2:$A$2501,0))</f>
        <v>84.908</v>
      </c>
      <c r="C60" s="5" t="str">
        <f aca="false">INDEX(資安適用排名!$H$2:$H$2501,MATCH(A60,資安適用排名!$A$2:$A$2501,0))</f>
        <v>優先評估</v>
      </c>
      <c r="D60" s="5"/>
      <c r="E60" s="5"/>
      <c r="F60" s="5" t="str">
        <f aca="false">INDEX(資安適用排名!$B$2:$B$2501,MATCH(A60,資安適用排名!$A$2:$A$2501,0))</f>
        <v>meta-llama/Llama-Prompt-Guard-2-86M</v>
      </c>
    </row>
    <row r="61" customFormat="false" ht="15" hidden="false" customHeight="false" outlineLevel="0" collapsed="false">
      <c r="A61" s="16" t="n">
        <v>15</v>
      </c>
      <c r="B61" s="15" t="n">
        <f aca="false">INDEX(資安適用排名!$G$2:$G$2501,MATCH(A61,資安適用排名!$A$2:$A$2501,0))</f>
        <v>84.42</v>
      </c>
      <c r="C61" s="5" t="str">
        <f aca="false">INDEX(資安適用排名!$H$2:$H$2501,MATCH(A61,資安適用排名!$A$2:$A$2501,0))</f>
        <v>優先評估</v>
      </c>
      <c r="D61" s="5"/>
      <c r="E61" s="5"/>
      <c r="F61" s="5" t="str">
        <f aca="false">INDEX(資安適用排名!$B$2:$B$2501,MATCH(A61,資安適用排名!$A$2:$A$2501,0))</f>
        <v>sentence-transformers/paraphrase-multilingual-mpnet-base-v2</v>
      </c>
    </row>
    <row r="62" customFormat="false" ht="15" hidden="false" customHeight="false" outlineLevel="0" collapsed="false">
      <c r="A62" s="16" t="n">
        <v>16</v>
      </c>
      <c r="B62" s="15" t="n">
        <f aca="false">INDEX(資安適用排名!$G$2:$G$2501,MATCH(A62,資安適用排名!$A$2:$A$2501,0))</f>
        <v>84.172</v>
      </c>
      <c r="C62" s="5" t="str">
        <f aca="false">INDEX(資安適用排名!$H$2:$H$2501,MATCH(A62,資安適用排名!$A$2:$A$2501,0))</f>
        <v>優先評估</v>
      </c>
      <c r="D62" s="5"/>
      <c r="E62" s="5"/>
      <c r="F62" s="5" t="str">
        <f aca="false">INDEX(資安適用排名!$B$2:$B$2501,MATCH(A62,資安適用排名!$A$2:$A$2501,0))</f>
        <v>ibm-granite/granite-embedding-97m-multilingual-r2</v>
      </c>
    </row>
    <row r="63" customFormat="false" ht="15" hidden="false" customHeight="false" outlineLevel="0" collapsed="false">
      <c r="A63" s="16" t="n">
        <v>17</v>
      </c>
      <c r="B63" s="15" t="n">
        <f aca="false">INDEX(資安適用排名!$G$2:$G$2501,MATCH(A63,資安適用排名!$A$2:$A$2501,0))</f>
        <v>84.148</v>
      </c>
      <c r="C63" s="5" t="str">
        <f aca="false">INDEX(資安適用排名!$H$2:$H$2501,MATCH(A63,資安適用排名!$A$2:$A$2501,0))</f>
        <v>優先評估</v>
      </c>
      <c r="D63" s="5"/>
      <c r="E63" s="5"/>
      <c r="F63" s="5" t="str">
        <f aca="false">INDEX(資安適用排名!$B$2:$B$2501,MATCH(A63,資安適用排名!$A$2:$A$2501,0))</f>
        <v>cross-encoder/mmarco-mMiniLMv2-L12-H384-v1</v>
      </c>
    </row>
    <row r="64" customFormat="false" ht="15" hidden="false" customHeight="false" outlineLevel="0" collapsed="false">
      <c r="A64" s="16" t="n">
        <v>18</v>
      </c>
      <c r="B64" s="15" t="n">
        <f aca="false">INDEX(資安適用排名!$G$2:$G$2501,MATCH(A64,資安適用排名!$A$2:$A$2501,0))</f>
        <v>84.132</v>
      </c>
      <c r="C64" s="5" t="str">
        <f aca="false">INDEX(資安適用排名!$H$2:$H$2501,MATCH(A64,資安適用排名!$A$2:$A$2501,0))</f>
        <v>優先評估</v>
      </c>
      <c r="D64" s="5"/>
      <c r="E64" s="5"/>
      <c r="F64" s="5" t="str">
        <f aca="false">INDEX(資安適用排名!$B$2:$B$2501,MATCH(A64,資安適用排名!$A$2:$A$2501,0))</f>
        <v>intfloat/multilingual-e5-large-instruct</v>
      </c>
    </row>
    <row r="65" customFormat="false" ht="15" hidden="false" customHeight="false" outlineLevel="0" collapsed="false">
      <c r="A65" s="16" t="n">
        <v>19</v>
      </c>
      <c r="B65" s="15" t="n">
        <f aca="false">INDEX(資安適用排名!$G$2:$G$2501,MATCH(A65,資安適用排名!$A$2:$A$2501,0))</f>
        <v>84.12</v>
      </c>
      <c r="C65" s="5" t="str">
        <f aca="false">INDEX(資安適用排名!$H$2:$H$2501,MATCH(A65,資安適用排名!$A$2:$A$2501,0))</f>
        <v>優先評估</v>
      </c>
      <c r="D65" s="5"/>
      <c r="E65" s="5"/>
      <c r="F65" s="5" t="str">
        <f aca="false">INDEX(資安適用排名!$B$2:$B$2501,MATCH(A65,資安適用排名!$A$2:$A$2501,0))</f>
        <v>microsoft/harrier-oss-v1-270m</v>
      </c>
    </row>
    <row r="66" customFormat="false" ht="15" hidden="false" customHeight="false" outlineLevel="0" collapsed="false">
      <c r="A66" s="16" t="n">
        <v>20</v>
      </c>
      <c r="B66" s="15" t="n">
        <f aca="false">INDEX(資安適用排名!$G$2:$G$2501,MATCH(A66,資安適用排名!$A$2:$A$2501,0))</f>
        <v>84.028</v>
      </c>
      <c r="C66" s="5" t="str">
        <f aca="false">INDEX(資安適用排名!$H$2:$H$2501,MATCH(A66,資安適用排名!$A$2:$A$2501,0))</f>
        <v>優先評估</v>
      </c>
      <c r="D66" s="5"/>
      <c r="E66" s="5"/>
      <c r="F66" s="5" t="str">
        <f aca="false">INDEX(資安適用排名!$B$2:$B$2501,MATCH(A66,資安適用排名!$A$2:$A$2501,0))</f>
        <v>ibm-granite/granite-embedding-311m-multilingual-r2</v>
      </c>
    </row>
  </sheetData>
  <mergeCells count="3">
    <mergeCell ref="A2:F2"/>
    <mergeCell ref="A3:F3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70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7" t="s">
        <v>85</v>
      </c>
    </row>
    <row r="2" customFormat="false" ht="33.75" hidden="false" customHeight="true" outlineLevel="0" collapsed="false">
      <c r="A2" s="3" t="s">
        <v>86</v>
      </c>
      <c r="B2" s="3"/>
      <c r="C2" s="3"/>
      <c r="D2" s="3"/>
      <c r="E2" s="3"/>
    </row>
    <row r="4" customFormat="false" ht="17.15" hidden="false" customHeight="false" outlineLevel="0" collapsed="false">
      <c r="A4" s="4" t="s">
        <v>87</v>
      </c>
      <c r="B4" s="4" t="s">
        <v>88</v>
      </c>
      <c r="C4" s="4" t="s">
        <v>89</v>
      </c>
      <c r="D4" s="4" t="s">
        <v>90</v>
      </c>
      <c r="E4" s="4" t="s">
        <v>91</v>
      </c>
    </row>
    <row r="5" customFormat="false" ht="48" hidden="false" customHeight="true" outlineLevel="0" collapsed="false">
      <c r="A5" s="18" t="s">
        <v>92</v>
      </c>
      <c r="B5" s="5" t="s">
        <v>93</v>
      </c>
      <c r="C5" s="19" t="n">
        <v>30</v>
      </c>
      <c r="D5" s="12" t="s">
        <v>94</v>
      </c>
      <c r="E5" s="12" t="s">
        <v>95</v>
      </c>
    </row>
    <row r="6" customFormat="false" ht="48" hidden="false" customHeight="true" outlineLevel="0" collapsed="false">
      <c r="A6" s="18" t="s">
        <v>96</v>
      </c>
      <c r="B6" s="5" t="s">
        <v>97</v>
      </c>
      <c r="C6" s="19" t="n">
        <v>10</v>
      </c>
      <c r="D6" s="12" t="s">
        <v>98</v>
      </c>
      <c r="E6" s="12" t="s">
        <v>99</v>
      </c>
    </row>
    <row r="7" customFormat="false" ht="48" hidden="false" customHeight="true" outlineLevel="0" collapsed="false">
      <c r="A7" s="18" t="s">
        <v>100</v>
      </c>
      <c r="B7" s="5" t="s">
        <v>101</v>
      </c>
      <c r="C7" s="19" t="n">
        <v>15</v>
      </c>
      <c r="D7" s="12" t="s">
        <v>102</v>
      </c>
      <c r="E7" s="12" t="s">
        <v>103</v>
      </c>
    </row>
    <row r="8" customFormat="false" ht="48" hidden="false" customHeight="true" outlineLevel="0" collapsed="false">
      <c r="A8" s="18" t="s">
        <v>104</v>
      </c>
      <c r="B8" s="5" t="s">
        <v>105</v>
      </c>
      <c r="C8" s="19" t="n">
        <v>15</v>
      </c>
      <c r="D8" s="12" t="s">
        <v>106</v>
      </c>
      <c r="E8" s="12" t="s">
        <v>107</v>
      </c>
    </row>
    <row r="9" customFormat="false" ht="48" hidden="false" customHeight="true" outlineLevel="0" collapsed="false">
      <c r="A9" s="18" t="s">
        <v>108</v>
      </c>
      <c r="B9" s="5" t="s">
        <v>109</v>
      </c>
      <c r="C9" s="19" t="n">
        <v>10</v>
      </c>
      <c r="D9" s="13" t="s">
        <v>110</v>
      </c>
      <c r="E9" s="12" t="s">
        <v>111</v>
      </c>
    </row>
    <row r="10" customFormat="false" ht="48" hidden="false" customHeight="true" outlineLevel="0" collapsed="false">
      <c r="A10" s="18" t="s">
        <v>112</v>
      </c>
      <c r="B10" s="5" t="s">
        <v>113</v>
      </c>
      <c r="C10" s="19" t="n">
        <v>10</v>
      </c>
      <c r="D10" s="12" t="s">
        <v>114</v>
      </c>
      <c r="E10" s="12" t="s">
        <v>115</v>
      </c>
    </row>
    <row r="11" customFormat="false" ht="48" hidden="false" customHeight="true" outlineLevel="0" collapsed="false">
      <c r="A11" s="18" t="s">
        <v>116</v>
      </c>
      <c r="B11" s="5" t="s">
        <v>117</v>
      </c>
      <c r="C11" s="19" t="n">
        <v>5</v>
      </c>
      <c r="D11" s="12" t="s">
        <v>118</v>
      </c>
      <c r="E11" s="12" t="s">
        <v>119</v>
      </c>
    </row>
    <row r="12" customFormat="false" ht="48" hidden="false" customHeight="true" outlineLevel="0" collapsed="false">
      <c r="A12" s="18" t="s">
        <v>120</v>
      </c>
      <c r="B12" s="5" t="s">
        <v>121</v>
      </c>
      <c r="C12" s="19" t="n">
        <v>5</v>
      </c>
      <c r="D12" s="12" t="s">
        <v>122</v>
      </c>
      <c r="E12" s="12" t="s">
        <v>123</v>
      </c>
    </row>
    <row r="13" customFormat="false" ht="17.15" hidden="false" customHeight="false" outlineLevel="0" collapsed="false">
      <c r="B13" s="8" t="s">
        <v>124</v>
      </c>
      <c r="C13" s="19" t="n">
        <f aca="false">SUM(C5:C12)</f>
        <v>100</v>
      </c>
      <c r="D13" s="12" t="s">
        <v>125</v>
      </c>
      <c r="E13" s="5"/>
    </row>
    <row r="15" customFormat="false" ht="17.15" hidden="false" customHeight="false" outlineLevel="0" collapsed="false">
      <c r="A15" s="4"/>
      <c r="B15" s="4" t="s">
        <v>29</v>
      </c>
      <c r="C15" s="4" t="s">
        <v>126</v>
      </c>
      <c r="D15" s="4" t="s">
        <v>32</v>
      </c>
      <c r="E15" s="4"/>
    </row>
    <row r="16" customFormat="false" ht="17.15" hidden="false" customHeight="false" outlineLevel="0" collapsed="false">
      <c r="A16" s="5"/>
      <c r="B16" s="5" t="s">
        <v>33</v>
      </c>
      <c r="C16" s="19" t="n">
        <v>80</v>
      </c>
      <c r="D16" s="12" t="s">
        <v>34</v>
      </c>
      <c r="E16" s="5"/>
    </row>
    <row r="17" customFormat="false" ht="17.15" hidden="false" customHeight="false" outlineLevel="0" collapsed="false">
      <c r="A17" s="5"/>
      <c r="B17" s="5" t="s">
        <v>35</v>
      </c>
      <c r="C17" s="19" t="n">
        <v>70</v>
      </c>
      <c r="D17" s="12" t="s">
        <v>36</v>
      </c>
      <c r="E17" s="5"/>
    </row>
    <row r="18" customFormat="false" ht="17.15" hidden="false" customHeight="false" outlineLevel="0" collapsed="false">
      <c r="A18" s="5"/>
      <c r="B18" s="5" t="s">
        <v>37</v>
      </c>
      <c r="C18" s="19" t="n">
        <v>60</v>
      </c>
      <c r="D18" s="12" t="s">
        <v>38</v>
      </c>
      <c r="E18" s="5"/>
    </row>
    <row r="19" customFormat="false" ht="17.15" hidden="false" customHeight="false" outlineLevel="0" collapsed="false">
      <c r="A19" s="5"/>
      <c r="B19" s="5" t="s">
        <v>39</v>
      </c>
      <c r="C19" s="19" t="n">
        <v>0</v>
      </c>
      <c r="D19" s="12" t="s">
        <v>40</v>
      </c>
      <c r="E19" s="5"/>
    </row>
    <row r="21" customFormat="false" ht="17.15" hidden="false" customHeight="false" outlineLevel="0" collapsed="false">
      <c r="A21" s="4" t="s">
        <v>87</v>
      </c>
      <c r="B21" s="4" t="s">
        <v>13</v>
      </c>
      <c r="C21" s="4"/>
      <c r="D21" s="4" t="s">
        <v>6</v>
      </c>
      <c r="E21" s="4" t="s">
        <v>127</v>
      </c>
    </row>
    <row r="22" customFormat="false" ht="33.75" hidden="false" customHeight="true" outlineLevel="0" collapsed="false">
      <c r="A22" s="18" t="s">
        <v>128</v>
      </c>
      <c r="B22" s="5" t="s">
        <v>129</v>
      </c>
      <c r="C22" s="5"/>
      <c r="D22" s="12" t="s">
        <v>17</v>
      </c>
      <c r="E22" s="12" t="s">
        <v>130</v>
      </c>
    </row>
    <row r="23" customFormat="false" ht="33.75" hidden="false" customHeight="true" outlineLevel="0" collapsed="false">
      <c r="A23" s="18" t="s">
        <v>131</v>
      </c>
      <c r="B23" s="5" t="s">
        <v>132</v>
      </c>
      <c r="C23" s="5"/>
      <c r="D23" s="12" t="s">
        <v>19</v>
      </c>
      <c r="E23" s="12" t="s">
        <v>133</v>
      </c>
    </row>
    <row r="24" customFormat="false" ht="33.75" hidden="false" customHeight="true" outlineLevel="0" collapsed="false">
      <c r="A24" s="18" t="s">
        <v>134</v>
      </c>
      <c r="B24" s="5" t="s">
        <v>135</v>
      </c>
      <c r="C24" s="5"/>
      <c r="D24" s="12" t="s">
        <v>21</v>
      </c>
      <c r="E24" s="13" t="s">
        <v>136</v>
      </c>
    </row>
    <row r="25" customFormat="false" ht="33.75" hidden="false" customHeight="true" outlineLevel="0" collapsed="false">
      <c r="A25" s="18" t="s">
        <v>137</v>
      </c>
      <c r="B25" s="5" t="s">
        <v>138</v>
      </c>
      <c r="C25" s="5"/>
      <c r="D25" s="12" t="s">
        <v>23</v>
      </c>
      <c r="E25" s="12" t="s">
        <v>139</v>
      </c>
    </row>
    <row r="26" customFormat="false" ht="33.75" hidden="false" customHeight="true" outlineLevel="0" collapsed="false">
      <c r="A26" s="18" t="s">
        <v>140</v>
      </c>
      <c r="B26" s="5" t="s">
        <v>141</v>
      </c>
      <c r="C26" s="5"/>
      <c r="D26" s="13" t="s">
        <v>25</v>
      </c>
      <c r="E26" s="12" t="s">
        <v>142</v>
      </c>
    </row>
    <row r="27" customFormat="false" ht="33.75" hidden="false" customHeight="true" outlineLevel="0" collapsed="false">
      <c r="A27" s="18" t="s">
        <v>143</v>
      </c>
      <c r="B27" s="5" t="s">
        <v>144</v>
      </c>
      <c r="C27" s="5"/>
      <c r="D27" s="12" t="s">
        <v>27</v>
      </c>
      <c r="E27" s="12" t="s">
        <v>145</v>
      </c>
    </row>
    <row r="30" customFormat="false" ht="17.15" hidden="false" customHeight="false" outlineLevel="0" collapsed="false">
      <c r="A30" s="4"/>
      <c r="B30" s="4" t="s">
        <v>146</v>
      </c>
      <c r="C30" s="4" t="s">
        <v>147</v>
      </c>
      <c r="D30" s="4" t="s">
        <v>148</v>
      </c>
      <c r="E30" s="4"/>
    </row>
    <row r="31" customFormat="false" ht="15" hidden="false" customHeight="false" outlineLevel="0" collapsed="false">
      <c r="A31" s="5"/>
      <c r="B31" s="11" t="s">
        <v>149</v>
      </c>
      <c r="C31" s="20" t="n">
        <v>1</v>
      </c>
      <c r="D31" s="5" t="s">
        <v>66</v>
      </c>
      <c r="E31" s="5"/>
    </row>
    <row r="32" customFormat="false" ht="15" hidden="false" customHeight="false" outlineLevel="0" collapsed="false">
      <c r="A32" s="5"/>
      <c r="B32" s="11" t="s">
        <v>150</v>
      </c>
      <c r="C32" s="20" t="n">
        <v>0.95</v>
      </c>
      <c r="D32" s="5" t="s">
        <v>58</v>
      </c>
      <c r="E32" s="5"/>
    </row>
    <row r="33" customFormat="false" ht="15" hidden="false" customHeight="false" outlineLevel="0" collapsed="false">
      <c r="A33" s="5"/>
      <c r="B33" s="11" t="s">
        <v>151</v>
      </c>
      <c r="C33" s="20" t="n">
        <v>0.9</v>
      </c>
      <c r="D33" s="5" t="s">
        <v>66</v>
      </c>
      <c r="E33" s="5"/>
    </row>
    <row r="34" customFormat="false" ht="15" hidden="false" customHeight="false" outlineLevel="0" collapsed="false">
      <c r="A34" s="5"/>
      <c r="B34" s="11" t="s">
        <v>152</v>
      </c>
      <c r="C34" s="20" t="n">
        <v>0.9</v>
      </c>
      <c r="D34" s="5" t="s">
        <v>54</v>
      </c>
      <c r="E34" s="5"/>
    </row>
    <row r="35" customFormat="false" ht="15" hidden="false" customHeight="false" outlineLevel="0" collapsed="false">
      <c r="A35" s="5"/>
      <c r="B35" s="11" t="s">
        <v>153</v>
      </c>
      <c r="C35" s="20" t="n">
        <v>0.9</v>
      </c>
      <c r="D35" s="5" t="s">
        <v>54</v>
      </c>
      <c r="E35" s="5"/>
    </row>
    <row r="36" customFormat="false" ht="15" hidden="false" customHeight="false" outlineLevel="0" collapsed="false">
      <c r="A36" s="5"/>
      <c r="B36" s="11" t="s">
        <v>154</v>
      </c>
      <c r="C36" s="20" t="n">
        <v>0.9</v>
      </c>
      <c r="D36" s="5" t="s">
        <v>54</v>
      </c>
      <c r="E36" s="5"/>
    </row>
    <row r="37" customFormat="false" ht="15" hidden="false" customHeight="false" outlineLevel="0" collapsed="false">
      <c r="A37" s="5"/>
      <c r="B37" s="11" t="s">
        <v>155</v>
      </c>
      <c r="C37" s="20" t="n">
        <v>0.85</v>
      </c>
      <c r="D37" s="5" t="s">
        <v>56</v>
      </c>
      <c r="E37" s="5"/>
    </row>
    <row r="38" customFormat="false" ht="15" hidden="false" customHeight="false" outlineLevel="0" collapsed="false">
      <c r="A38" s="5"/>
      <c r="B38" s="11" t="s">
        <v>156</v>
      </c>
      <c r="C38" s="20" t="n">
        <v>0.85</v>
      </c>
      <c r="D38" s="5" t="s">
        <v>56</v>
      </c>
      <c r="E38" s="5"/>
    </row>
    <row r="39" customFormat="false" ht="15" hidden="false" customHeight="false" outlineLevel="0" collapsed="false">
      <c r="A39" s="5"/>
      <c r="B39" s="11" t="s">
        <v>157</v>
      </c>
      <c r="C39" s="20" t="n">
        <v>0.8</v>
      </c>
      <c r="D39" s="5" t="s">
        <v>56</v>
      </c>
      <c r="E39" s="5"/>
    </row>
    <row r="40" customFormat="false" ht="15" hidden="false" customHeight="false" outlineLevel="0" collapsed="false">
      <c r="A40" s="5"/>
      <c r="B40" s="11" t="s">
        <v>158</v>
      </c>
      <c r="C40" s="20" t="n">
        <v>0.7</v>
      </c>
      <c r="D40" s="5" t="s">
        <v>68</v>
      </c>
      <c r="E40" s="5"/>
    </row>
    <row r="41" customFormat="false" ht="15" hidden="false" customHeight="false" outlineLevel="0" collapsed="false">
      <c r="A41" s="5"/>
      <c r="B41" s="11" t="s">
        <v>159</v>
      </c>
      <c r="C41" s="20" t="n">
        <v>0.6</v>
      </c>
      <c r="D41" s="5" t="s">
        <v>56</v>
      </c>
      <c r="E41" s="5"/>
    </row>
    <row r="42" customFormat="false" ht="15" hidden="false" customHeight="false" outlineLevel="0" collapsed="false">
      <c r="A42" s="5"/>
      <c r="B42" s="11" t="s">
        <v>160</v>
      </c>
      <c r="C42" s="20" t="n">
        <v>0.6</v>
      </c>
      <c r="D42" s="5" t="s">
        <v>56</v>
      </c>
      <c r="E42" s="5"/>
    </row>
    <row r="43" customFormat="false" ht="15" hidden="false" customHeight="false" outlineLevel="0" collapsed="false">
      <c r="A43" s="5"/>
      <c r="B43" s="11" t="s">
        <v>161</v>
      </c>
      <c r="C43" s="20" t="n">
        <v>0.6</v>
      </c>
      <c r="D43" s="5" t="s">
        <v>56</v>
      </c>
      <c r="E43" s="5"/>
    </row>
    <row r="44" customFormat="false" ht="15" hidden="false" customHeight="false" outlineLevel="0" collapsed="false">
      <c r="A44" s="5"/>
      <c r="B44" s="11" t="s">
        <v>162</v>
      </c>
      <c r="C44" s="20" t="n">
        <v>0.5</v>
      </c>
      <c r="D44" s="5" t="s">
        <v>72</v>
      </c>
      <c r="E44" s="5"/>
    </row>
    <row r="45" customFormat="false" ht="15" hidden="false" customHeight="false" outlineLevel="0" collapsed="false">
      <c r="A45" s="5"/>
      <c r="B45" s="11" t="s">
        <v>163</v>
      </c>
      <c r="C45" s="20" t="n">
        <v>0.45</v>
      </c>
      <c r="D45" s="5" t="s">
        <v>74</v>
      </c>
      <c r="E45" s="5"/>
    </row>
    <row r="46" customFormat="false" ht="15" hidden="false" customHeight="false" outlineLevel="0" collapsed="false">
      <c r="A46" s="5"/>
      <c r="B46" s="11" t="s">
        <v>164</v>
      </c>
      <c r="C46" s="20" t="n">
        <v>0.45</v>
      </c>
      <c r="D46" s="5" t="s">
        <v>74</v>
      </c>
      <c r="E46" s="5"/>
    </row>
    <row r="47" customFormat="false" ht="15" hidden="false" customHeight="false" outlineLevel="0" collapsed="false">
      <c r="A47" s="5"/>
      <c r="B47" s="11" t="s">
        <v>165</v>
      </c>
      <c r="C47" s="20" t="n">
        <v>0.45</v>
      </c>
      <c r="D47" s="5" t="s">
        <v>74</v>
      </c>
      <c r="E47" s="5"/>
    </row>
    <row r="48" customFormat="false" ht="15" hidden="false" customHeight="false" outlineLevel="0" collapsed="false">
      <c r="A48" s="5"/>
      <c r="B48" s="11" t="s">
        <v>166</v>
      </c>
      <c r="C48" s="20" t="n">
        <v>0.45</v>
      </c>
      <c r="D48" s="5" t="s">
        <v>74</v>
      </c>
      <c r="E48" s="5"/>
    </row>
    <row r="49" customFormat="false" ht="15" hidden="false" customHeight="false" outlineLevel="0" collapsed="false">
      <c r="A49" s="5"/>
      <c r="B49" s="11" t="s">
        <v>167</v>
      </c>
      <c r="C49" s="20" t="n">
        <v>0.4</v>
      </c>
      <c r="D49" s="5" t="s">
        <v>74</v>
      </c>
      <c r="E49" s="5"/>
    </row>
    <row r="50" customFormat="false" ht="15" hidden="false" customHeight="false" outlineLevel="0" collapsed="false">
      <c r="A50" s="5"/>
      <c r="B50" s="11" t="s">
        <v>168</v>
      </c>
      <c r="C50" s="20" t="n">
        <v>0.4</v>
      </c>
      <c r="D50" s="5" t="s">
        <v>76</v>
      </c>
      <c r="E50" s="5"/>
    </row>
    <row r="51" customFormat="false" ht="15" hidden="false" customHeight="false" outlineLevel="0" collapsed="false">
      <c r="A51" s="5"/>
      <c r="B51" s="11" t="s">
        <v>169</v>
      </c>
      <c r="C51" s="20" t="n">
        <v>0.4</v>
      </c>
      <c r="D51" s="5" t="s">
        <v>68</v>
      </c>
      <c r="E51" s="5"/>
    </row>
    <row r="52" customFormat="false" ht="15" hidden="false" customHeight="false" outlineLevel="0" collapsed="false">
      <c r="A52" s="5"/>
      <c r="B52" s="11" t="s">
        <v>170</v>
      </c>
      <c r="C52" s="20" t="n">
        <v>0.4</v>
      </c>
      <c r="D52" s="5" t="s">
        <v>56</v>
      </c>
      <c r="E52" s="5"/>
    </row>
    <row r="53" customFormat="false" ht="15" hidden="false" customHeight="false" outlineLevel="0" collapsed="false">
      <c r="A53" s="5"/>
      <c r="B53" s="11" t="s">
        <v>171</v>
      </c>
      <c r="C53" s="20" t="n">
        <v>0.4</v>
      </c>
      <c r="D53" s="5" t="s">
        <v>56</v>
      </c>
      <c r="E53" s="5"/>
    </row>
    <row r="54" customFormat="false" ht="15" hidden="false" customHeight="false" outlineLevel="0" collapsed="false">
      <c r="A54" s="5"/>
      <c r="B54" s="11" t="s">
        <v>172</v>
      </c>
      <c r="C54" s="20" t="n">
        <v>0.35</v>
      </c>
      <c r="D54" s="5" t="s">
        <v>74</v>
      </c>
      <c r="E54" s="5"/>
    </row>
    <row r="55" customFormat="false" ht="15" hidden="false" customHeight="false" outlineLevel="0" collapsed="false">
      <c r="A55" s="5"/>
      <c r="B55" s="11" t="s">
        <v>173</v>
      </c>
      <c r="C55" s="20" t="n">
        <v>0.35</v>
      </c>
      <c r="D55" s="5" t="s">
        <v>74</v>
      </c>
      <c r="E55" s="5"/>
    </row>
    <row r="56" customFormat="false" ht="15" hidden="false" customHeight="false" outlineLevel="0" collapsed="false">
      <c r="A56" s="5"/>
      <c r="B56" s="11" t="s">
        <v>174</v>
      </c>
      <c r="C56" s="20" t="n">
        <v>0.35</v>
      </c>
      <c r="D56" s="5" t="s">
        <v>78</v>
      </c>
      <c r="E56" s="5"/>
    </row>
    <row r="57" customFormat="false" ht="15" hidden="false" customHeight="false" outlineLevel="0" collapsed="false">
      <c r="A57" s="5"/>
      <c r="B57" s="11" t="s">
        <v>175</v>
      </c>
      <c r="C57" s="20" t="n">
        <v>0.3</v>
      </c>
      <c r="D57" s="5" t="s">
        <v>78</v>
      </c>
      <c r="E57" s="5"/>
    </row>
    <row r="58" customFormat="false" ht="15" hidden="false" customHeight="false" outlineLevel="0" collapsed="false">
      <c r="A58" s="5"/>
      <c r="B58" s="11" t="s">
        <v>176</v>
      </c>
      <c r="C58" s="20" t="n">
        <v>0.3</v>
      </c>
      <c r="D58" s="5" t="s">
        <v>74</v>
      </c>
      <c r="E58" s="5"/>
    </row>
    <row r="59" customFormat="false" ht="15" hidden="false" customHeight="false" outlineLevel="0" collapsed="false">
      <c r="A59" s="5"/>
      <c r="B59" s="11" t="s">
        <v>177</v>
      </c>
      <c r="C59" s="20" t="n">
        <v>0.3</v>
      </c>
      <c r="D59" s="5" t="s">
        <v>68</v>
      </c>
      <c r="E59" s="5"/>
    </row>
    <row r="60" customFormat="false" ht="15" hidden="false" customHeight="false" outlineLevel="0" collapsed="false">
      <c r="A60" s="5"/>
      <c r="B60" s="11" t="s">
        <v>178</v>
      </c>
      <c r="C60" s="20" t="n">
        <v>0.25</v>
      </c>
      <c r="D60" s="5" t="s">
        <v>74</v>
      </c>
      <c r="E60" s="5"/>
    </row>
    <row r="61" customFormat="false" ht="15" hidden="false" customHeight="false" outlineLevel="0" collapsed="false">
      <c r="A61" s="5"/>
      <c r="B61" s="11" t="s">
        <v>179</v>
      </c>
      <c r="C61" s="20" t="n">
        <v>0.25</v>
      </c>
      <c r="D61" s="5" t="s">
        <v>74</v>
      </c>
      <c r="E61" s="5"/>
    </row>
    <row r="62" customFormat="false" ht="15" hidden="false" customHeight="false" outlineLevel="0" collapsed="false">
      <c r="A62" s="5"/>
      <c r="B62" s="11" t="s">
        <v>180</v>
      </c>
      <c r="C62" s="20" t="n">
        <v>0.25</v>
      </c>
      <c r="D62" s="5" t="s">
        <v>74</v>
      </c>
      <c r="E62" s="5"/>
    </row>
    <row r="63" customFormat="false" ht="15" hidden="false" customHeight="false" outlineLevel="0" collapsed="false">
      <c r="A63" s="5"/>
      <c r="B63" s="11" t="s">
        <v>181</v>
      </c>
      <c r="C63" s="20" t="n">
        <v>0.2</v>
      </c>
      <c r="D63" s="5" t="s">
        <v>80</v>
      </c>
      <c r="E63" s="5"/>
    </row>
    <row r="64" customFormat="false" ht="15" hidden="false" customHeight="false" outlineLevel="0" collapsed="false">
      <c r="A64" s="5"/>
      <c r="B64" s="11" t="s">
        <v>182</v>
      </c>
      <c r="C64" s="20" t="n">
        <v>0.15</v>
      </c>
      <c r="D64" s="5" t="s">
        <v>78</v>
      </c>
      <c r="E64" s="5"/>
    </row>
    <row r="65" customFormat="false" ht="15" hidden="false" customHeight="false" outlineLevel="0" collapsed="false">
      <c r="A65" s="5"/>
      <c r="B65" s="11" t="s">
        <v>183</v>
      </c>
      <c r="C65" s="20" t="n">
        <v>0.15</v>
      </c>
      <c r="D65" s="5" t="s">
        <v>74</v>
      </c>
      <c r="E65" s="5"/>
    </row>
    <row r="66" customFormat="false" ht="15" hidden="false" customHeight="false" outlineLevel="0" collapsed="false">
      <c r="A66" s="5"/>
      <c r="B66" s="11" t="s">
        <v>184</v>
      </c>
      <c r="C66" s="20" t="n">
        <v>0.1</v>
      </c>
      <c r="D66" s="5" t="s">
        <v>80</v>
      </c>
      <c r="E66" s="5"/>
    </row>
    <row r="67" customFormat="false" ht="15" hidden="false" customHeight="false" outlineLevel="0" collapsed="false">
      <c r="A67" s="5"/>
      <c r="B67" s="11" t="s">
        <v>185</v>
      </c>
      <c r="C67" s="20" t="n">
        <v>0.1</v>
      </c>
      <c r="D67" s="5" t="s">
        <v>80</v>
      </c>
      <c r="E67" s="5"/>
    </row>
    <row r="68" customFormat="false" ht="15" hidden="false" customHeight="false" outlineLevel="0" collapsed="false">
      <c r="A68" s="5"/>
      <c r="B68" s="11" t="s">
        <v>186</v>
      </c>
      <c r="C68" s="20" t="n">
        <v>0.05</v>
      </c>
      <c r="D68" s="5" t="s">
        <v>80</v>
      </c>
      <c r="E68" s="5"/>
    </row>
    <row r="69" customFormat="false" ht="15" hidden="false" customHeight="false" outlineLevel="0" collapsed="false">
      <c r="A69" s="5"/>
      <c r="B69" s="11" t="s">
        <v>187</v>
      </c>
      <c r="C69" s="20" t="n">
        <v>0.05</v>
      </c>
      <c r="D69" s="5" t="s">
        <v>80</v>
      </c>
      <c r="E69" s="5"/>
    </row>
    <row r="70" customFormat="false" ht="15" hidden="false" customHeight="false" outlineLevel="0" collapsed="false">
      <c r="A70" s="5"/>
      <c r="B70" s="11" t="s">
        <v>188</v>
      </c>
      <c r="C70" s="20" t="n">
        <v>0.05</v>
      </c>
      <c r="D70" s="5" t="s">
        <v>80</v>
      </c>
      <c r="E70" s="5"/>
    </row>
    <row r="71" customFormat="false" ht="17.15" hidden="false" customHeight="false" outlineLevel="0" collapsed="false">
      <c r="A71" s="5"/>
      <c r="B71" s="11" t="s">
        <v>189</v>
      </c>
      <c r="C71" s="20" t="n">
        <v>0</v>
      </c>
      <c r="D71" s="5" t="s">
        <v>190</v>
      </c>
      <c r="E71" s="5"/>
    </row>
    <row r="72" customFormat="false" ht="17.15" hidden="false" customHeight="false" outlineLevel="0" collapsed="false">
      <c r="A72" s="5"/>
      <c r="B72" s="11" t="s">
        <v>191</v>
      </c>
      <c r="C72" s="20" t="n">
        <v>0</v>
      </c>
      <c r="D72" s="5" t="s">
        <v>190</v>
      </c>
      <c r="E72" s="5"/>
    </row>
    <row r="73" customFormat="false" ht="17.15" hidden="false" customHeight="false" outlineLevel="0" collapsed="false">
      <c r="A73" s="5"/>
      <c r="B73" s="11" t="s">
        <v>192</v>
      </c>
      <c r="C73" s="20" t="n">
        <v>0</v>
      </c>
      <c r="D73" s="5" t="s">
        <v>190</v>
      </c>
      <c r="E73" s="5"/>
    </row>
    <row r="74" customFormat="false" ht="17.15" hidden="false" customHeight="false" outlineLevel="0" collapsed="false">
      <c r="A74" s="5"/>
      <c r="B74" s="11" t="s">
        <v>193</v>
      </c>
      <c r="C74" s="20" t="n">
        <v>0</v>
      </c>
      <c r="D74" s="5" t="s">
        <v>190</v>
      </c>
      <c r="E74" s="5"/>
    </row>
    <row r="75" customFormat="false" ht="17.15" hidden="false" customHeight="false" outlineLevel="0" collapsed="false">
      <c r="A75" s="5"/>
      <c r="B75" s="11" t="s">
        <v>194</v>
      </c>
      <c r="C75" s="20" t="n">
        <v>0</v>
      </c>
      <c r="D75" s="5" t="s">
        <v>190</v>
      </c>
      <c r="E75" s="5"/>
    </row>
    <row r="76" customFormat="false" ht="17.15" hidden="false" customHeight="false" outlineLevel="0" collapsed="false">
      <c r="A76" s="5"/>
      <c r="B76" s="11" t="s">
        <v>195</v>
      </c>
      <c r="C76" s="20" t="n">
        <v>0</v>
      </c>
      <c r="D76" s="5" t="s">
        <v>190</v>
      </c>
      <c r="E76" s="5"/>
    </row>
    <row r="77" customFormat="false" ht="17.15" hidden="false" customHeight="false" outlineLevel="0" collapsed="false">
      <c r="A77" s="5"/>
      <c r="B77" s="11" t="s">
        <v>196</v>
      </c>
      <c r="C77" s="20" t="n">
        <v>0</v>
      </c>
      <c r="D77" s="5" t="s">
        <v>190</v>
      </c>
      <c r="E77" s="5"/>
    </row>
    <row r="78" customFormat="false" ht="17.15" hidden="false" customHeight="false" outlineLevel="0" collapsed="false">
      <c r="A78" s="5"/>
      <c r="B78" s="11" t="s">
        <v>197</v>
      </c>
      <c r="C78" s="20" t="n">
        <v>0</v>
      </c>
      <c r="D78" s="5" t="s">
        <v>190</v>
      </c>
      <c r="E78" s="5"/>
    </row>
    <row r="79" customFormat="false" ht="17.15" hidden="false" customHeight="false" outlineLevel="0" collapsed="false">
      <c r="A79" s="5"/>
      <c r="B79" s="11" t="s">
        <v>198</v>
      </c>
      <c r="C79" s="20" t="n">
        <v>0</v>
      </c>
      <c r="D79" s="5" t="s">
        <v>190</v>
      </c>
      <c r="E79" s="5"/>
    </row>
    <row r="80" customFormat="false" ht="17.15" hidden="false" customHeight="false" outlineLevel="0" collapsed="false">
      <c r="A80" s="5"/>
      <c r="B80" s="11" t="s">
        <v>199</v>
      </c>
      <c r="C80" s="20" t="n">
        <v>0</v>
      </c>
      <c r="D80" s="5" t="s">
        <v>190</v>
      </c>
      <c r="E80" s="5"/>
    </row>
    <row r="81" customFormat="false" ht="17.15" hidden="false" customHeight="false" outlineLevel="0" collapsed="false">
      <c r="A81" s="5"/>
      <c r="B81" s="11" t="s">
        <v>200</v>
      </c>
      <c r="C81" s="20" t="n">
        <v>0</v>
      </c>
      <c r="D81" s="5" t="s">
        <v>190</v>
      </c>
      <c r="E81" s="5"/>
    </row>
    <row r="82" customFormat="false" ht="17.15" hidden="false" customHeight="false" outlineLevel="0" collapsed="false">
      <c r="A82" s="5"/>
      <c r="B82" s="11" t="s">
        <v>201</v>
      </c>
      <c r="C82" s="20" t="n">
        <v>0</v>
      </c>
      <c r="D82" s="5" t="s">
        <v>190</v>
      </c>
      <c r="E82" s="5"/>
    </row>
    <row r="83" customFormat="false" ht="17.15" hidden="false" customHeight="false" outlineLevel="0" collapsed="false">
      <c r="A83" s="5"/>
      <c r="B83" s="11" t="s">
        <v>202</v>
      </c>
      <c r="C83" s="20" t="n">
        <v>0</v>
      </c>
      <c r="D83" s="5" t="s">
        <v>190</v>
      </c>
      <c r="E83" s="5"/>
    </row>
    <row r="85" customFormat="false" ht="17.15" hidden="false" customHeight="false" outlineLevel="0" collapsed="false">
      <c r="A85" s="4"/>
      <c r="B85" s="4" t="s">
        <v>203</v>
      </c>
      <c r="C85" s="4"/>
      <c r="D85" s="4" t="s">
        <v>204</v>
      </c>
      <c r="E85" s="4"/>
    </row>
    <row r="86" customFormat="false" ht="150" hidden="false" customHeight="true" outlineLevel="0" collapsed="false">
      <c r="A86" s="5"/>
      <c r="B86" s="5" t="s">
        <v>205</v>
      </c>
      <c r="C86" s="5"/>
      <c r="D86" s="13" t="s">
        <v>206</v>
      </c>
      <c r="E86" s="5"/>
    </row>
    <row r="87" customFormat="false" ht="90" hidden="false" customHeight="true" outlineLevel="0" collapsed="false">
      <c r="A87" s="5"/>
      <c r="B87" s="5" t="s">
        <v>207</v>
      </c>
      <c r="C87" s="5"/>
      <c r="D87" s="13" t="s">
        <v>208</v>
      </c>
      <c r="E87" s="5"/>
    </row>
    <row r="89" customFormat="false" ht="79.5" hidden="false" customHeight="true" outlineLevel="0" collapsed="false">
      <c r="A89" s="3" t="s">
        <v>209</v>
      </c>
      <c r="B89" s="3"/>
      <c r="C89" s="3"/>
      <c r="D89" s="3"/>
      <c r="E89" s="3"/>
    </row>
  </sheetData>
  <mergeCells count="2">
    <mergeCell ref="A2:E2"/>
    <mergeCell ref="A89:E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16" min="9" style="0" width="9"/>
    <col collapsed="false" customWidth="true" hidden="false" outlineLevel="0" max="17" min="17" style="0" width="14"/>
    <col collapsed="false" customWidth="true" hidden="false" outlineLevel="0" max="18" min="18" style="0" width="15"/>
    <col collapsed="false" customWidth="true" hidden="false" outlineLevel="0" max="20" min="19" style="0" width="14"/>
    <col collapsed="false" customWidth="true" hidden="false" outlineLevel="0" max="21" min="21" style="0" width="16"/>
    <col collapsed="false" customWidth="true" hidden="false" outlineLevel="0" max="22" min="22" style="0" width="22"/>
    <col collapsed="false" customWidth="true" hidden="false" outlineLevel="0" max="23" min="23" style="0" width="16"/>
    <col collapsed="false" customWidth="true" hidden="false" outlineLevel="0" max="24" min="24" style="0" width="18"/>
    <col collapsed="false" customWidth="true" hidden="false" outlineLevel="0" max="25" min="25" style="0" width="34"/>
    <col collapsed="false" customWidth="true" hidden="false" outlineLevel="0" max="26" min="26" style="0" width="10"/>
    <col collapsed="false" customWidth="true" hidden="false" outlineLevel="0" max="27" min="27" style="0" width="22"/>
    <col collapsed="false" customWidth="true" hidden="false" outlineLevel="0" max="28" min="28" style="0" width="14"/>
    <col collapsed="false" customWidth="true" hidden="false" outlineLevel="0" max="29" min="29" style="0" width="26"/>
    <col collapsed="false" customWidth="true" hidden="false" outlineLevel="0" max="30" min="30" style="0" width="48"/>
    <col collapsed="false" customWidth="true" hidden="false" outlineLevel="0" max="38" min="31" style="0" width="8"/>
    <col collapsed="false" customWidth="true" hidden="false" outlineLevel="0" max="39" min="39" style="0" width="9"/>
    <col collapsed="false" customWidth="true" hidden="false" outlineLevel="0" max="40" min="40" style="0" width="22"/>
  </cols>
  <sheetData>
    <row r="1" customFormat="false" ht="33.75" hidden="false" customHeight="true" outlineLevel="0" collapsed="false">
      <c r="A1" s="4" t="s">
        <v>210</v>
      </c>
      <c r="B1" s="4" t="s">
        <v>84</v>
      </c>
      <c r="C1" s="4" t="s">
        <v>211</v>
      </c>
      <c r="D1" s="4" t="s">
        <v>41</v>
      </c>
      <c r="E1" s="4" t="s">
        <v>212</v>
      </c>
      <c r="F1" s="4" t="s">
        <v>213</v>
      </c>
      <c r="G1" s="4" t="s">
        <v>83</v>
      </c>
      <c r="H1" s="4" t="s">
        <v>29</v>
      </c>
      <c r="I1" s="4" t="s">
        <v>93</v>
      </c>
      <c r="J1" s="4" t="s">
        <v>97</v>
      </c>
      <c r="K1" s="4" t="s">
        <v>101</v>
      </c>
      <c r="L1" s="4" t="s">
        <v>105</v>
      </c>
      <c r="M1" s="4" t="s">
        <v>109</v>
      </c>
      <c r="N1" s="4" t="s">
        <v>113</v>
      </c>
      <c r="O1" s="4" t="s">
        <v>117</v>
      </c>
      <c r="P1" s="4" t="s">
        <v>121</v>
      </c>
      <c r="Q1" s="4" t="s">
        <v>214</v>
      </c>
      <c r="R1" s="4" t="s">
        <v>215</v>
      </c>
      <c r="S1" s="4" t="s">
        <v>216</v>
      </c>
      <c r="T1" s="4" t="s">
        <v>217</v>
      </c>
      <c r="U1" s="4" t="s">
        <v>218</v>
      </c>
      <c r="V1" s="4" t="s">
        <v>219</v>
      </c>
      <c r="W1" s="4" t="s">
        <v>203</v>
      </c>
      <c r="X1" s="4" t="s">
        <v>220</v>
      </c>
      <c r="Y1" s="21" t="s">
        <v>221</v>
      </c>
      <c r="Z1" s="4" t="s">
        <v>222</v>
      </c>
      <c r="AA1" s="4" t="s">
        <v>146</v>
      </c>
      <c r="AB1" s="4" t="s">
        <v>223</v>
      </c>
      <c r="AC1" s="4" t="s">
        <v>224</v>
      </c>
      <c r="AD1" s="4" t="s">
        <v>225</v>
      </c>
      <c r="AE1" s="21" t="s">
        <v>226</v>
      </c>
      <c r="AF1" s="21" t="s">
        <v>227</v>
      </c>
      <c r="AG1" s="21" t="s">
        <v>228</v>
      </c>
      <c r="AH1" s="21" t="s">
        <v>229</v>
      </c>
      <c r="AI1" s="21" t="s">
        <v>230</v>
      </c>
      <c r="AJ1" s="21" t="s">
        <v>231</v>
      </c>
      <c r="AK1" s="21" t="s">
        <v>232</v>
      </c>
      <c r="AL1" s="21" t="s">
        <v>233</v>
      </c>
      <c r="AM1" s="4" t="s">
        <v>234</v>
      </c>
      <c r="AN1" s="4" t="s">
        <v>235</v>
      </c>
    </row>
    <row r="2" customFormat="false" ht="17.15" hidden="false" customHeight="false" outlineLevel="0" collapsed="false">
      <c r="A2" s="16" t="n">
        <f aca="false">RANK(G2,$G$2:$G$2501)+COUNTIF($G$2:G2,G2)-1</f>
        <v>1</v>
      </c>
      <c r="B2" s="11" t="s">
        <v>236</v>
      </c>
      <c r="C2" s="11" t="s">
        <v>237</v>
      </c>
      <c r="D2" s="11" t="s">
        <v>46</v>
      </c>
      <c r="E2" s="11" t="s">
        <v>47</v>
      </c>
      <c r="F2" s="11" t="s">
        <v>46</v>
      </c>
      <c r="G2" s="22" t="n">
        <f aca="false">ROUND(SUM(I2:P2),3)</f>
        <v>93.848</v>
      </c>
      <c r="H2" s="5" t="str">
        <f aca="false">IF(G2&gt;=評分方法!$C$16,"優先評估",IF(G2&gt;=評分方法!$C$17,"列入候選",IF(G2&gt;=評分方法!$C$18,"特定情境","不建議")))</f>
        <v>優先評估</v>
      </c>
      <c r="I2" s="15" t="n">
        <f aca="false">AE2*評分方法!$C$5</f>
        <v>30</v>
      </c>
      <c r="J2" s="15" t="n">
        <f aca="false">AF2*評分方法!$C$6</f>
        <v>10</v>
      </c>
      <c r="K2" s="15" t="n">
        <f aca="false">AG2*評分方法!$C$7</f>
        <v>15</v>
      </c>
      <c r="L2" s="15" t="n">
        <f aca="false">AH2*評分方法!$C$8</f>
        <v>15</v>
      </c>
      <c r="M2" s="15" t="n">
        <f aca="false">AI2*評分方法!$C$9</f>
        <v>10</v>
      </c>
      <c r="N2" s="15" t="n">
        <f aca="false">AJ2*評分方法!$C$10</f>
        <v>8.848</v>
      </c>
      <c r="O2" s="15" t="n">
        <f aca="false">AK2*評分方法!$C$11</f>
        <v>5</v>
      </c>
      <c r="P2" s="15" t="n">
        <f aca="false">AL2*評分方法!$C$12</f>
        <v>0</v>
      </c>
      <c r="Q2" s="6" t="n">
        <v>3175433</v>
      </c>
      <c r="R2" s="6" t="n">
        <v>184423682</v>
      </c>
      <c r="S2" s="11" t="s">
        <v>238</v>
      </c>
      <c r="T2" s="11" t="s">
        <v>239</v>
      </c>
      <c r="U2" s="5" t="s">
        <v>240</v>
      </c>
      <c r="V2" s="11" t="s">
        <v>241</v>
      </c>
      <c r="W2" s="5" t="s">
        <v>205</v>
      </c>
      <c r="X2" s="5" t="s">
        <v>242</v>
      </c>
      <c r="Y2" s="11" t="s">
        <v>243</v>
      </c>
      <c r="Z2" s="11" t="s">
        <v>244</v>
      </c>
      <c r="AA2" s="11" t="s">
        <v>149</v>
      </c>
      <c r="AB2" s="5" t="s">
        <v>245</v>
      </c>
      <c r="AC2" s="5" t="s">
        <v>246</v>
      </c>
      <c r="AD2" s="11" t="s">
        <v>247</v>
      </c>
      <c r="AE2" s="23" t="n">
        <v>1</v>
      </c>
      <c r="AF2" s="23" t="n">
        <v>1</v>
      </c>
      <c r="AG2" s="23" t="n">
        <v>1</v>
      </c>
      <c r="AH2" s="23" t="n">
        <v>1</v>
      </c>
      <c r="AI2" s="23" t="n">
        <v>1</v>
      </c>
      <c r="AJ2" s="23" t="n">
        <v>0.8848</v>
      </c>
      <c r="AK2" s="23" t="n">
        <v>1</v>
      </c>
      <c r="AL2" s="23" t="n">
        <v>0</v>
      </c>
      <c r="AM2" s="16" t="n">
        <f aca="false">COUNTIFS($D$2:$D$2501,D2,$G$2:$G$2501,"&gt;"&amp;G2)+COUNTIFS($D$2:D2,D2,$G$2:G2,G2)</f>
        <v>1</v>
      </c>
      <c r="AN2" s="5" t="str">
        <f aca="false">D2&amp;"|"&amp;AM2</f>
        <v>AI 應用防護|1</v>
      </c>
    </row>
    <row r="3" customFormat="false" ht="17.15" hidden="false" customHeight="false" outlineLevel="0" collapsed="false">
      <c r="A3" s="16" t="n">
        <f aca="false">RANK(G3,$G$2:$G$2501)+COUNTIF($G$2:G3,G3)-1</f>
        <v>2</v>
      </c>
      <c r="B3" s="11" t="s">
        <v>248</v>
      </c>
      <c r="C3" s="11" t="s">
        <v>249</v>
      </c>
      <c r="D3" s="5" t="s">
        <v>48</v>
      </c>
      <c r="E3" s="5" t="s">
        <v>49</v>
      </c>
      <c r="F3" s="5" t="s">
        <v>48</v>
      </c>
      <c r="G3" s="22" t="n">
        <f aca="false">ROUND(SUM(I3:P3),3)</f>
        <v>91.272</v>
      </c>
      <c r="H3" s="5" t="str">
        <f aca="false">IF(G3&gt;=評分方法!$C$16,"優先評估",IF(G3&gt;=評分方法!$C$17,"列入候選",IF(G3&gt;=評分方法!$C$18,"特定情境","不建議")))</f>
        <v>優先評估</v>
      </c>
      <c r="I3" s="15" t="n">
        <f aca="false">AE3*評分方法!$C$5</f>
        <v>28.5</v>
      </c>
      <c r="J3" s="15" t="n">
        <f aca="false">AF3*評分方法!$C$6</f>
        <v>10</v>
      </c>
      <c r="K3" s="15" t="n">
        <f aca="false">AG3*評分方法!$C$7</f>
        <v>15</v>
      </c>
      <c r="L3" s="15" t="n">
        <f aca="false">AH3*評分方法!$C$8</f>
        <v>15</v>
      </c>
      <c r="M3" s="15" t="n">
        <f aca="false">AI3*評分方法!$C$9</f>
        <v>10</v>
      </c>
      <c r="N3" s="15" t="n">
        <f aca="false">AJ3*評分方法!$C$10</f>
        <v>7.772</v>
      </c>
      <c r="O3" s="15" t="n">
        <f aca="false">AK3*評分方法!$C$11</f>
        <v>5</v>
      </c>
      <c r="P3" s="15" t="n">
        <f aca="false">AL3*評分方法!$C$12</f>
        <v>0</v>
      </c>
      <c r="Q3" s="6" t="n">
        <v>1349477</v>
      </c>
      <c r="R3" s="6" t="n">
        <v>28527155</v>
      </c>
      <c r="S3" s="11" t="s">
        <v>238</v>
      </c>
      <c r="T3" s="11" t="s">
        <v>239</v>
      </c>
      <c r="U3" s="5" t="s">
        <v>240</v>
      </c>
      <c r="V3" s="11" t="s">
        <v>241</v>
      </c>
      <c r="W3" s="5" t="s">
        <v>205</v>
      </c>
      <c r="X3" s="5" t="s">
        <v>242</v>
      </c>
      <c r="Y3" s="11" t="s">
        <v>250</v>
      </c>
      <c r="Z3" s="11" t="s">
        <v>244</v>
      </c>
      <c r="AA3" s="11" t="s">
        <v>150</v>
      </c>
      <c r="AB3" s="5" t="s">
        <v>245</v>
      </c>
      <c r="AC3" s="5" t="s">
        <v>246</v>
      </c>
      <c r="AD3" s="11" t="s">
        <v>251</v>
      </c>
      <c r="AE3" s="23" t="n">
        <v>0.95</v>
      </c>
      <c r="AF3" s="23" t="n">
        <v>1</v>
      </c>
      <c r="AG3" s="23" t="n">
        <v>1</v>
      </c>
      <c r="AH3" s="23" t="n">
        <v>1</v>
      </c>
      <c r="AI3" s="23" t="n">
        <v>1</v>
      </c>
      <c r="AJ3" s="23" t="n">
        <v>0.7772</v>
      </c>
      <c r="AK3" s="23" t="n">
        <v>1</v>
      </c>
      <c r="AL3" s="23" t="n">
        <v>0</v>
      </c>
      <c r="AM3" s="16" t="n">
        <f aca="false">COUNTIFS($D$2:$D$2501,D3,$G$2:$G$2501,"&gt;"&amp;G3)+COUNTIFS($D$2:D3,D3,$G$2:G3,G3)</f>
        <v>1</v>
      </c>
      <c r="AN3" s="5" t="str">
        <f aca="false">D3&amp;"|"&amp;AM3</f>
        <v>個資偵測與去識別化|1</v>
      </c>
    </row>
    <row r="4" customFormat="false" ht="17.15" hidden="false" customHeight="false" outlineLevel="0" collapsed="false">
      <c r="A4" s="16" t="n">
        <f aca="false">RANK(G4,$G$2:$G$2501)+COUNTIF($G$2:G4,G4)-1</f>
        <v>3</v>
      </c>
      <c r="B4" s="11" t="s">
        <v>252</v>
      </c>
      <c r="C4" s="11" t="s">
        <v>253</v>
      </c>
      <c r="D4" s="5" t="s">
        <v>48</v>
      </c>
      <c r="E4" s="5" t="s">
        <v>49</v>
      </c>
      <c r="F4" s="5" t="s">
        <v>48</v>
      </c>
      <c r="G4" s="22" t="n">
        <f aca="false">ROUND(SUM(I4:P4),3)</f>
        <v>90.486</v>
      </c>
      <c r="H4" s="5" t="str">
        <f aca="false">IF(G4&gt;=評分方法!$C$16,"優先評估",IF(G4&gt;=評分方法!$C$17,"列入候選",IF(G4&gt;=評分方法!$C$18,"特定情境","不建議")))</f>
        <v>優先評估</v>
      </c>
      <c r="I4" s="15" t="n">
        <f aca="false">AE4*評分方法!$C$5</f>
        <v>28.5</v>
      </c>
      <c r="J4" s="15" t="n">
        <f aca="false">AF4*評分方法!$C$6</f>
        <v>10</v>
      </c>
      <c r="K4" s="15" t="n">
        <f aca="false">AG4*評分方法!$C$7</f>
        <v>15</v>
      </c>
      <c r="L4" s="15" t="n">
        <f aca="false">AH4*評分方法!$C$8</f>
        <v>13.05</v>
      </c>
      <c r="M4" s="15" t="n">
        <f aca="false">AI4*評分方法!$C$9</f>
        <v>10</v>
      </c>
      <c r="N4" s="15" t="n">
        <f aca="false">AJ4*評分方法!$C$10</f>
        <v>8.436</v>
      </c>
      <c r="O4" s="15" t="n">
        <f aca="false">AK4*評分方法!$C$11</f>
        <v>4</v>
      </c>
      <c r="P4" s="15" t="n">
        <f aca="false">AL4*評分方法!$C$12</f>
        <v>1.5</v>
      </c>
      <c r="Q4" s="6" t="n">
        <v>2096057</v>
      </c>
      <c r="R4" s="6" t="n">
        <v>1399486865</v>
      </c>
      <c r="S4" s="11" t="s">
        <v>254</v>
      </c>
      <c r="T4" s="11" t="s">
        <v>239</v>
      </c>
      <c r="U4" s="5" t="s">
        <v>240</v>
      </c>
      <c r="V4" s="11" t="s">
        <v>241</v>
      </c>
      <c r="W4" s="5" t="s">
        <v>205</v>
      </c>
      <c r="X4" s="5" t="s">
        <v>255</v>
      </c>
      <c r="Y4" s="5"/>
      <c r="Z4" s="5"/>
      <c r="AA4" s="11" t="s">
        <v>150</v>
      </c>
      <c r="AB4" s="5" t="s">
        <v>245</v>
      </c>
      <c r="AC4" s="5"/>
      <c r="AD4" s="11" t="s">
        <v>256</v>
      </c>
      <c r="AE4" s="23" t="n">
        <v>0.95</v>
      </c>
      <c r="AF4" s="23" t="n">
        <v>1</v>
      </c>
      <c r="AG4" s="23" t="n">
        <v>1</v>
      </c>
      <c r="AH4" s="23" t="n">
        <v>0.87</v>
      </c>
      <c r="AI4" s="23" t="n">
        <v>1</v>
      </c>
      <c r="AJ4" s="23" t="n">
        <v>0.8436</v>
      </c>
      <c r="AK4" s="23" t="n">
        <v>0.8</v>
      </c>
      <c r="AL4" s="23" t="n">
        <v>0.3</v>
      </c>
      <c r="AM4" s="16" t="n">
        <f aca="false">COUNTIFS($D$2:$D$2501,D4,$G$2:$G$2501,"&gt;"&amp;G4)+COUNTIFS($D$2:D4,D4,$G$2:G4,G4)</f>
        <v>2</v>
      </c>
      <c r="AN4" s="5" t="str">
        <f aca="false">D4&amp;"|"&amp;AM4</f>
        <v>個資偵測與去識別化|2</v>
      </c>
    </row>
    <row r="5" customFormat="false" ht="17.15" hidden="false" customHeight="false" outlineLevel="0" collapsed="false">
      <c r="A5" s="16" t="n">
        <f aca="false">RANK(G5,$G$2:$G$2501)+COUNTIF($G$2:G5,G5)-1</f>
        <v>4</v>
      </c>
      <c r="B5" s="11" t="s">
        <v>257</v>
      </c>
      <c r="C5" s="11" t="s">
        <v>258</v>
      </c>
      <c r="D5" s="11" t="s">
        <v>46</v>
      </c>
      <c r="E5" s="11" t="s">
        <v>47</v>
      </c>
      <c r="F5" s="11" t="s">
        <v>46</v>
      </c>
      <c r="G5" s="22" t="n">
        <f aca="false">ROUND(SUM(I5:P5),3)</f>
        <v>89.792</v>
      </c>
      <c r="H5" s="5" t="str">
        <f aca="false">IF(G5&gt;=評分方法!$C$16,"優先評估",IF(G5&gt;=評分方法!$C$17,"列入候選",IF(G5&gt;=評分方法!$C$18,"特定情境","不建議")))</f>
        <v>優先評估</v>
      </c>
      <c r="I5" s="15" t="n">
        <f aca="false">AE5*評分方法!$C$5</f>
        <v>30</v>
      </c>
      <c r="J5" s="15" t="n">
        <f aca="false">AF5*評分方法!$C$6</f>
        <v>10</v>
      </c>
      <c r="K5" s="15" t="n">
        <f aca="false">AG5*評分方法!$C$7</f>
        <v>15</v>
      </c>
      <c r="L5" s="15" t="n">
        <f aca="false">AH5*評分方法!$C$8</f>
        <v>15</v>
      </c>
      <c r="M5" s="15" t="n">
        <f aca="false">AI5*評分方法!$C$9</f>
        <v>6</v>
      </c>
      <c r="N5" s="15" t="n">
        <f aca="false">AJ5*評分方法!$C$10</f>
        <v>9.792</v>
      </c>
      <c r="O5" s="15" t="n">
        <f aca="false">AK5*評分方法!$C$11</f>
        <v>4</v>
      </c>
      <c r="P5" s="15" t="n">
        <f aca="false">AL5*評分方法!$C$12</f>
        <v>0</v>
      </c>
      <c r="Q5" s="6" t="n">
        <v>19784811</v>
      </c>
      <c r="R5" s="6" t="n">
        <v>278811651</v>
      </c>
      <c r="S5" s="11" t="s">
        <v>238</v>
      </c>
      <c r="T5" s="11" t="s">
        <v>259</v>
      </c>
      <c r="U5" s="5" t="s">
        <v>260</v>
      </c>
      <c r="V5" s="11" t="s">
        <v>261</v>
      </c>
      <c r="W5" s="5" t="s">
        <v>205</v>
      </c>
      <c r="X5" s="5" t="s">
        <v>242</v>
      </c>
      <c r="Y5" s="5"/>
      <c r="Z5" s="5"/>
      <c r="AA5" s="11" t="s">
        <v>149</v>
      </c>
      <c r="AB5" s="5" t="s">
        <v>245</v>
      </c>
      <c r="AC5" s="5" t="s">
        <v>262</v>
      </c>
      <c r="AD5" s="11" t="s">
        <v>263</v>
      </c>
      <c r="AE5" s="23" t="n">
        <v>1</v>
      </c>
      <c r="AF5" s="23" t="n">
        <v>1</v>
      </c>
      <c r="AG5" s="23" t="n">
        <v>1</v>
      </c>
      <c r="AH5" s="23" t="n">
        <v>1</v>
      </c>
      <c r="AI5" s="23" t="n">
        <v>0.6</v>
      </c>
      <c r="AJ5" s="23" t="n">
        <v>0.9792</v>
      </c>
      <c r="AK5" s="23" t="n">
        <v>0.8</v>
      </c>
      <c r="AL5" s="23" t="n">
        <v>0</v>
      </c>
      <c r="AM5" s="16" t="n">
        <f aca="false">COUNTIFS($D$2:$D$2501,D5,$G$2:$G$2501,"&gt;"&amp;G5)+COUNTIFS($D$2:D5,D5,$G$2:G5,G5)</f>
        <v>2</v>
      </c>
      <c r="AN5" s="5" t="str">
        <f aca="false">D5&amp;"|"&amp;AM5</f>
        <v>AI 應用防護|2</v>
      </c>
    </row>
    <row r="6" customFormat="false" ht="17.15" hidden="false" customHeight="false" outlineLevel="0" collapsed="false">
      <c r="A6" s="16" t="n">
        <f aca="false">RANK(G6,$G$2:$G$2501)+COUNTIF($G$2:G6,G6)-1</f>
        <v>5</v>
      </c>
      <c r="B6" s="11" t="s">
        <v>264</v>
      </c>
      <c r="C6" s="11" t="s">
        <v>265</v>
      </c>
      <c r="D6" s="5" t="s">
        <v>48</v>
      </c>
      <c r="E6" s="5" t="s">
        <v>49</v>
      </c>
      <c r="F6" s="5" t="s">
        <v>48</v>
      </c>
      <c r="G6" s="22" t="n">
        <f aca="false">ROUND(SUM(I6:P6),3)</f>
        <v>89.14</v>
      </c>
      <c r="H6" s="5" t="str">
        <f aca="false">IF(G6&gt;=評分方法!$C$16,"優先評估",IF(G6&gt;=評分方法!$C$17,"列入候選",IF(G6&gt;=評分方法!$C$18,"特定情境","不建議")))</f>
        <v>優先評估</v>
      </c>
      <c r="I6" s="15" t="n">
        <f aca="false">AE6*評分方法!$C$5</f>
        <v>28.5</v>
      </c>
      <c r="J6" s="15" t="n">
        <f aca="false">AF6*評分方法!$C$6</f>
        <v>10</v>
      </c>
      <c r="K6" s="15" t="n">
        <f aca="false">AG6*評分方法!$C$7</f>
        <v>15</v>
      </c>
      <c r="L6" s="15" t="n">
        <f aca="false">AH6*評分方法!$C$8</f>
        <v>15</v>
      </c>
      <c r="M6" s="15" t="n">
        <f aca="false">AI6*評分方法!$C$9</f>
        <v>10</v>
      </c>
      <c r="N6" s="15" t="n">
        <f aca="false">AJ6*評分方法!$C$10</f>
        <v>5.64</v>
      </c>
      <c r="O6" s="15" t="n">
        <f aca="false">AK6*評分方法!$C$11</f>
        <v>5</v>
      </c>
      <c r="P6" s="15" t="n">
        <f aca="false">AL6*評分方法!$C$12</f>
        <v>0</v>
      </c>
      <c r="Q6" s="6" t="n">
        <v>584868</v>
      </c>
      <c r="R6" s="6" t="n">
        <v>307098645</v>
      </c>
      <c r="S6" s="11" t="s">
        <v>238</v>
      </c>
      <c r="T6" s="11" t="s">
        <v>239</v>
      </c>
      <c r="U6" s="5" t="s">
        <v>240</v>
      </c>
      <c r="V6" s="11" t="s">
        <v>261</v>
      </c>
      <c r="W6" s="5" t="s">
        <v>205</v>
      </c>
      <c r="X6" s="5" t="s">
        <v>242</v>
      </c>
      <c r="Y6" s="5"/>
      <c r="Z6" s="5"/>
      <c r="AA6" s="11" t="s">
        <v>150</v>
      </c>
      <c r="AB6" s="5" t="s">
        <v>245</v>
      </c>
      <c r="AC6" s="5"/>
      <c r="AD6" s="11" t="s">
        <v>266</v>
      </c>
      <c r="AE6" s="23" t="n">
        <v>0.95</v>
      </c>
      <c r="AF6" s="23" t="n">
        <v>1</v>
      </c>
      <c r="AG6" s="23" t="n">
        <v>1</v>
      </c>
      <c r="AH6" s="23" t="n">
        <v>1</v>
      </c>
      <c r="AI6" s="23" t="n">
        <v>1</v>
      </c>
      <c r="AJ6" s="23" t="n">
        <v>0.564</v>
      </c>
      <c r="AK6" s="23" t="n">
        <v>1</v>
      </c>
      <c r="AL6" s="23" t="n">
        <v>0</v>
      </c>
      <c r="AM6" s="16" t="n">
        <f aca="false">COUNTIFS($D$2:$D$2501,D6,$G$2:$G$2501,"&gt;"&amp;G6)+COUNTIFS($D$2:D6,D6,$G$2:G6,G6)</f>
        <v>3</v>
      </c>
      <c r="AN6" s="5" t="str">
        <f aca="false">D6&amp;"|"&amp;AM6</f>
        <v>個資偵測與去識別化|3</v>
      </c>
    </row>
    <row r="7" customFormat="false" ht="17.15" hidden="false" customHeight="false" outlineLevel="0" collapsed="false">
      <c r="A7" s="16" t="n">
        <f aca="false">RANK(G7,$G$2:$G$2501)+COUNTIF($G$2:G7,G7)-1</f>
        <v>6</v>
      </c>
      <c r="B7" s="11" t="s">
        <v>267</v>
      </c>
      <c r="C7" s="11" t="s">
        <v>268</v>
      </c>
      <c r="D7" s="5" t="s">
        <v>50</v>
      </c>
      <c r="E7" s="5" t="s">
        <v>51</v>
      </c>
      <c r="F7" s="5" t="s">
        <v>50</v>
      </c>
      <c r="G7" s="22" t="n">
        <f aca="false">ROUND(SUM(I7:P7),3)</f>
        <v>88.632</v>
      </c>
      <c r="H7" s="5" t="str">
        <f aca="false">IF(G7&gt;=評分方法!$C$16,"優先評估",IF(G7&gt;=評分方法!$C$17,"列入候選",IF(G7&gt;=評分方法!$C$18,"特定情境","不建議")))</f>
        <v>優先評估</v>
      </c>
      <c r="I7" s="15" t="n">
        <f aca="false">AE7*評分方法!$C$5</f>
        <v>27</v>
      </c>
      <c r="J7" s="15" t="n">
        <f aca="false">AF7*評分方法!$C$6</f>
        <v>10</v>
      </c>
      <c r="K7" s="15" t="n">
        <f aca="false">AG7*評分方法!$C$7</f>
        <v>15</v>
      </c>
      <c r="L7" s="15" t="n">
        <f aca="false">AH7*評分方法!$C$8</f>
        <v>15</v>
      </c>
      <c r="M7" s="15" t="n">
        <f aca="false">AI7*評分方法!$C$9</f>
        <v>10</v>
      </c>
      <c r="N7" s="15" t="n">
        <f aca="false">AJ7*評分方法!$C$10</f>
        <v>6.632</v>
      </c>
      <c r="O7" s="15" t="n">
        <f aca="false">AK7*評分方法!$C$11</f>
        <v>5</v>
      </c>
      <c r="P7" s="15" t="n">
        <f aca="false">AL7*評分方法!$C$12</f>
        <v>0</v>
      </c>
      <c r="Q7" s="6" t="n">
        <v>786528</v>
      </c>
      <c r="R7" s="6" t="n">
        <v>149014272</v>
      </c>
      <c r="S7" s="11" t="s">
        <v>238</v>
      </c>
      <c r="T7" s="11" t="s">
        <v>239</v>
      </c>
      <c r="U7" s="5" t="s">
        <v>240</v>
      </c>
      <c r="V7" s="11" t="s">
        <v>261</v>
      </c>
      <c r="W7" s="5" t="s">
        <v>205</v>
      </c>
      <c r="X7" s="5" t="s">
        <v>242</v>
      </c>
      <c r="Y7" s="11" t="s">
        <v>269</v>
      </c>
      <c r="Z7" s="11" t="s">
        <v>270</v>
      </c>
      <c r="AA7" s="11" t="s">
        <v>152</v>
      </c>
      <c r="AB7" s="5" t="s">
        <v>245</v>
      </c>
      <c r="AC7" s="5"/>
      <c r="AD7" s="11" t="s">
        <v>271</v>
      </c>
      <c r="AE7" s="23" t="n">
        <v>0.9</v>
      </c>
      <c r="AF7" s="23" t="n">
        <v>1</v>
      </c>
      <c r="AG7" s="23" t="n">
        <v>1</v>
      </c>
      <c r="AH7" s="23" t="n">
        <v>1</v>
      </c>
      <c r="AI7" s="23" t="n">
        <v>1</v>
      </c>
      <c r="AJ7" s="23" t="n">
        <v>0.6632</v>
      </c>
      <c r="AK7" s="23" t="n">
        <v>1</v>
      </c>
      <c r="AL7" s="23" t="n">
        <v>0</v>
      </c>
      <c r="AM7" s="16" t="n">
        <f aca="false">COUNTIFS($D$2:$D$2501,D7,$G$2:$G$2501,"&gt;"&amp;G7)+COUNTIFS($D$2:D7,D7,$G$2:G7,G7)</f>
        <v>1</v>
      </c>
      <c r="AN7" s="5" t="str">
        <f aca="false">D7&amp;"|"&amp;AM7</f>
        <v>威脅情資與資安語言|1</v>
      </c>
    </row>
    <row r="8" customFormat="false" ht="17.15" hidden="false" customHeight="false" outlineLevel="0" collapsed="false">
      <c r="A8" s="16" t="n">
        <f aca="false">RANK(G8,$G$2:$G$2501)+COUNTIF($G$2:G8,G8)-1</f>
        <v>7</v>
      </c>
      <c r="B8" s="11" t="s">
        <v>272</v>
      </c>
      <c r="C8" s="11" t="s">
        <v>237</v>
      </c>
      <c r="D8" s="11" t="s">
        <v>46</v>
      </c>
      <c r="E8" s="11" t="s">
        <v>47</v>
      </c>
      <c r="F8" s="11" t="s">
        <v>46</v>
      </c>
      <c r="G8" s="22" t="n">
        <f aca="false">ROUND(SUM(I8:P8),3)</f>
        <v>88.328</v>
      </c>
      <c r="H8" s="5" t="str">
        <f aca="false">IF(G8&gt;=評分方法!$C$16,"優先評估",IF(G8&gt;=評分方法!$C$17,"列入候選",IF(G8&gt;=評分方法!$C$18,"特定情境","不建議")))</f>
        <v>優先評估</v>
      </c>
      <c r="I8" s="15" t="n">
        <f aca="false">AE8*評分方法!$C$5</f>
        <v>30</v>
      </c>
      <c r="J8" s="15" t="n">
        <f aca="false">AF8*評分方法!$C$6</f>
        <v>10</v>
      </c>
      <c r="K8" s="15" t="n">
        <f aca="false">AG8*評分方法!$C$7</f>
        <v>15</v>
      </c>
      <c r="L8" s="15" t="n">
        <f aca="false">AH8*評分方法!$C$8</f>
        <v>15</v>
      </c>
      <c r="M8" s="15" t="n">
        <f aca="false">AI8*評分方法!$C$9</f>
        <v>10</v>
      </c>
      <c r="N8" s="15" t="n">
        <f aca="false">AJ8*評分方法!$C$10</f>
        <v>3.328</v>
      </c>
      <c r="O8" s="15" t="n">
        <f aca="false">AK8*評分方法!$C$11</f>
        <v>5</v>
      </c>
      <c r="P8" s="15" t="n">
        <f aca="false">AL8*評分方法!$C$12</f>
        <v>0</v>
      </c>
      <c r="Q8" s="6" t="n">
        <v>330365</v>
      </c>
      <c r="R8" s="6" t="n">
        <v>184423682</v>
      </c>
      <c r="S8" s="11" t="s">
        <v>238</v>
      </c>
      <c r="T8" s="11" t="s">
        <v>239</v>
      </c>
      <c r="U8" s="5" t="s">
        <v>240</v>
      </c>
      <c r="V8" s="11" t="s">
        <v>241</v>
      </c>
      <c r="W8" s="5" t="s">
        <v>205</v>
      </c>
      <c r="X8" s="5" t="s">
        <v>242</v>
      </c>
      <c r="Y8" s="11" t="s">
        <v>243</v>
      </c>
      <c r="Z8" s="11" t="s">
        <v>244</v>
      </c>
      <c r="AA8" s="11" t="s">
        <v>149</v>
      </c>
      <c r="AB8" s="5" t="s">
        <v>245</v>
      </c>
      <c r="AC8" s="5" t="s">
        <v>246</v>
      </c>
      <c r="AD8" s="11" t="s">
        <v>273</v>
      </c>
      <c r="AE8" s="23" t="n">
        <v>1</v>
      </c>
      <c r="AF8" s="23" t="n">
        <v>1</v>
      </c>
      <c r="AG8" s="23" t="n">
        <v>1</v>
      </c>
      <c r="AH8" s="23" t="n">
        <v>1</v>
      </c>
      <c r="AI8" s="23" t="n">
        <v>1</v>
      </c>
      <c r="AJ8" s="23" t="n">
        <v>0.3328</v>
      </c>
      <c r="AK8" s="23" t="n">
        <v>1</v>
      </c>
      <c r="AL8" s="23" t="n">
        <v>0</v>
      </c>
      <c r="AM8" s="16" t="n">
        <f aca="false">COUNTIFS($D$2:$D$2501,D8,$G$2:$G$2501,"&gt;"&amp;G8)+COUNTIFS($D$2:D8,D8,$G$2:G8,G8)</f>
        <v>3</v>
      </c>
      <c r="AN8" s="5" t="str">
        <f aca="false">D8&amp;"|"&amp;AM8</f>
        <v>AI 應用防護|3</v>
      </c>
    </row>
    <row r="9" customFormat="false" ht="17.15" hidden="false" customHeight="false" outlineLevel="0" collapsed="false">
      <c r="A9" s="16" t="n">
        <f aca="false">RANK(G9,$G$2:$G$2501)+COUNTIF($G$2:G9,G9)-1</f>
        <v>8</v>
      </c>
      <c r="B9" s="11" t="s">
        <v>274</v>
      </c>
      <c r="C9" s="11" t="s">
        <v>268</v>
      </c>
      <c r="D9" s="5" t="s">
        <v>50</v>
      </c>
      <c r="E9" s="5" t="s">
        <v>51</v>
      </c>
      <c r="F9" s="5" t="s">
        <v>50</v>
      </c>
      <c r="G9" s="22" t="n">
        <f aca="false">ROUND(SUM(I9:P9),3)</f>
        <v>87.304</v>
      </c>
      <c r="H9" s="5" t="str">
        <f aca="false">IF(G9&gt;=評分方法!$C$16,"優先評估",IF(G9&gt;=評分方法!$C$17,"列入候選",IF(G9&gt;=評分方法!$C$18,"特定情境","不建議")))</f>
        <v>優先評估</v>
      </c>
      <c r="I9" s="15" t="n">
        <f aca="false">AE9*評分方法!$C$5</f>
        <v>27</v>
      </c>
      <c r="J9" s="15" t="n">
        <f aca="false">AF9*評分方法!$C$6</f>
        <v>10</v>
      </c>
      <c r="K9" s="15" t="n">
        <f aca="false">AG9*評分方法!$C$7</f>
        <v>15</v>
      </c>
      <c r="L9" s="15" t="n">
        <f aca="false">AH9*評分方法!$C$8</f>
        <v>15</v>
      </c>
      <c r="M9" s="15" t="n">
        <f aca="false">AI9*評分方法!$C$9</f>
        <v>10</v>
      </c>
      <c r="N9" s="15" t="n">
        <f aca="false">AJ9*評分方法!$C$10</f>
        <v>6.304</v>
      </c>
      <c r="O9" s="15" t="n">
        <f aca="false">AK9*評分方法!$C$11</f>
        <v>4</v>
      </c>
      <c r="P9" s="15" t="n">
        <f aca="false">AL9*評分方法!$C$12</f>
        <v>0</v>
      </c>
      <c r="Q9" s="6" t="n">
        <v>696971</v>
      </c>
      <c r="R9" s="6" t="n">
        <v>149605633</v>
      </c>
      <c r="S9" s="11" t="s">
        <v>238</v>
      </c>
      <c r="T9" s="11" t="s">
        <v>239</v>
      </c>
      <c r="U9" s="5" t="s">
        <v>240</v>
      </c>
      <c r="V9" s="11" t="s">
        <v>261</v>
      </c>
      <c r="W9" s="5" t="s">
        <v>205</v>
      </c>
      <c r="X9" s="5" t="s">
        <v>242</v>
      </c>
      <c r="Y9" s="11" t="s">
        <v>269</v>
      </c>
      <c r="Z9" s="11" t="s">
        <v>270</v>
      </c>
      <c r="AA9" s="11" t="s">
        <v>152</v>
      </c>
      <c r="AB9" s="5" t="s">
        <v>245</v>
      </c>
      <c r="AC9" s="5"/>
      <c r="AD9" s="11" t="s">
        <v>275</v>
      </c>
      <c r="AE9" s="23" t="n">
        <v>0.9</v>
      </c>
      <c r="AF9" s="23" t="n">
        <v>1</v>
      </c>
      <c r="AG9" s="23" t="n">
        <v>1</v>
      </c>
      <c r="AH9" s="23" t="n">
        <v>1</v>
      </c>
      <c r="AI9" s="23" t="n">
        <v>1</v>
      </c>
      <c r="AJ9" s="23" t="n">
        <v>0.6304</v>
      </c>
      <c r="AK9" s="23" t="n">
        <v>0.8</v>
      </c>
      <c r="AL9" s="23" t="n">
        <v>0</v>
      </c>
      <c r="AM9" s="16" t="n">
        <f aca="false">COUNTIFS($D$2:$D$2501,D9,$G$2:$G$2501,"&gt;"&amp;G9)+COUNTIFS($D$2:D9,D9,$G$2:G9,G9)</f>
        <v>2</v>
      </c>
      <c r="AN9" s="5" t="str">
        <f aca="false">D9&amp;"|"&amp;AM9</f>
        <v>威脅情資與資安語言|2</v>
      </c>
    </row>
    <row r="10" customFormat="false" ht="17.15" hidden="false" customHeight="false" outlineLevel="0" collapsed="false">
      <c r="A10" s="16" t="n">
        <f aca="false">RANK(G10,$G$2:$G$2501)+COUNTIF($G$2:G10,G10)-1</f>
        <v>9</v>
      </c>
      <c r="B10" s="11" t="s">
        <v>276</v>
      </c>
      <c r="C10" s="11" t="s">
        <v>277</v>
      </c>
      <c r="D10" s="5" t="s">
        <v>52</v>
      </c>
      <c r="E10" s="5" t="s">
        <v>53</v>
      </c>
      <c r="F10" s="5" t="s">
        <v>52</v>
      </c>
      <c r="G10" s="22" t="n">
        <f aca="false">ROUND(SUM(I10:P10),3)</f>
        <v>86.384</v>
      </c>
      <c r="H10" s="5" t="str">
        <f aca="false">IF(G10&gt;=評分方法!$C$16,"優先評估",IF(G10&gt;=評分方法!$C$17,"列入候選",IF(G10&gt;=評分方法!$C$18,"特定情境","不建議")))</f>
        <v>優先評估</v>
      </c>
      <c r="I10" s="15" t="n">
        <f aca="false">AE10*評分方法!$C$5</f>
        <v>30</v>
      </c>
      <c r="J10" s="15" t="n">
        <f aca="false">AF10*評分方法!$C$6</f>
        <v>7</v>
      </c>
      <c r="K10" s="15" t="n">
        <f aca="false">AG10*評分方法!$C$7</f>
        <v>15</v>
      </c>
      <c r="L10" s="15" t="n">
        <f aca="false">AH10*評分方法!$C$8</f>
        <v>15</v>
      </c>
      <c r="M10" s="15" t="n">
        <f aca="false">AI10*評分方法!$C$9</f>
        <v>10</v>
      </c>
      <c r="N10" s="15" t="n">
        <f aca="false">AJ10*評分方法!$C$10</f>
        <v>8.384</v>
      </c>
      <c r="O10" s="15" t="n">
        <f aca="false">AK10*評分方法!$C$11</f>
        <v>1</v>
      </c>
      <c r="P10" s="15" t="n">
        <f aca="false">AL10*評分方法!$C$12</f>
        <v>0</v>
      </c>
      <c r="Q10" s="6" t="n">
        <v>2038974</v>
      </c>
      <c r="R10" s="6" t="n">
        <v>125237762</v>
      </c>
      <c r="S10" s="11" t="s">
        <v>238</v>
      </c>
      <c r="T10" s="11" t="s">
        <v>278</v>
      </c>
      <c r="U10" s="5" t="s">
        <v>240</v>
      </c>
      <c r="V10" s="11" t="s">
        <v>279</v>
      </c>
      <c r="W10" s="5" t="s">
        <v>205</v>
      </c>
      <c r="X10" s="5" t="s">
        <v>242</v>
      </c>
      <c r="Y10" s="5"/>
      <c r="Z10" s="5"/>
      <c r="AA10" s="11" t="s">
        <v>149</v>
      </c>
      <c r="AB10" s="5" t="s">
        <v>245</v>
      </c>
      <c r="AC10" s="5"/>
      <c r="AD10" s="11" t="s">
        <v>280</v>
      </c>
      <c r="AE10" s="23" t="n">
        <v>1</v>
      </c>
      <c r="AF10" s="23" t="n">
        <v>0.7</v>
      </c>
      <c r="AG10" s="23" t="n">
        <v>1</v>
      </c>
      <c r="AH10" s="23" t="n">
        <v>1</v>
      </c>
      <c r="AI10" s="23" t="n">
        <v>1</v>
      </c>
      <c r="AJ10" s="23" t="n">
        <v>0.8384</v>
      </c>
      <c r="AK10" s="23" t="n">
        <v>0.2</v>
      </c>
      <c r="AL10" s="23" t="n">
        <v>0</v>
      </c>
      <c r="AM10" s="16" t="n">
        <f aca="false">COUNTIFS($D$2:$D$2501,D10,$G$2:$G$2501,"&gt;"&amp;G10)+COUNTIFS($D$2:D10,D10,$G$2:G10,G10)</f>
        <v>1</v>
      </c>
      <c r="AN10" s="5" t="str">
        <f aca="false">D10&amp;"|"&amp;AM10</f>
        <v>深偽與生成內容偵測|1</v>
      </c>
    </row>
    <row r="11" customFormat="false" ht="17.15" hidden="false" customHeight="false" outlineLevel="0" collapsed="false">
      <c r="A11" s="16" t="n">
        <f aca="false">RANK(G11,$G$2:$G$2501)+COUNTIF($G$2:G11,G11)-1</f>
        <v>10</v>
      </c>
      <c r="B11" s="11" t="s">
        <v>281</v>
      </c>
      <c r="C11" s="11" t="s">
        <v>282</v>
      </c>
      <c r="D11" s="5" t="s">
        <v>54</v>
      </c>
      <c r="E11" s="5" t="s">
        <v>55</v>
      </c>
      <c r="F11" s="5"/>
      <c r="G11" s="22" t="n">
        <f aca="false">ROUND(SUM(I11:P11),3)</f>
        <v>85.988</v>
      </c>
      <c r="H11" s="5" t="str">
        <f aca="false">IF(G11&gt;=評分方法!$C$16,"優先評估",IF(G11&gt;=評分方法!$C$17,"列入候選",IF(G11&gt;=評分方法!$C$18,"特定情境","不建議")))</f>
        <v>優先評估</v>
      </c>
      <c r="I11" s="15" t="n">
        <f aca="false">AE11*評分方法!$C$5</f>
        <v>27</v>
      </c>
      <c r="J11" s="15" t="n">
        <f aca="false">AF11*評分方法!$C$6</f>
        <v>0</v>
      </c>
      <c r="K11" s="15" t="n">
        <f aca="false">AG11*評分方法!$C$7</f>
        <v>15</v>
      </c>
      <c r="L11" s="15" t="n">
        <f aca="false">AH11*評分方法!$C$8</f>
        <v>15</v>
      </c>
      <c r="M11" s="15" t="n">
        <f aca="false">AI11*評分方法!$C$9</f>
        <v>10</v>
      </c>
      <c r="N11" s="15" t="n">
        <f aca="false">AJ11*評分方法!$C$10</f>
        <v>9.988</v>
      </c>
      <c r="O11" s="15" t="n">
        <f aca="false">AK11*評分方法!$C$11</f>
        <v>4</v>
      </c>
      <c r="P11" s="15" t="n">
        <f aca="false">AL11*評分方法!$C$12</f>
        <v>5</v>
      </c>
      <c r="Q11" s="6" t="n">
        <v>307740420</v>
      </c>
      <c r="R11" s="6" t="n">
        <v>117654272</v>
      </c>
      <c r="S11" s="11" t="s">
        <v>238</v>
      </c>
      <c r="T11" s="11" t="s">
        <v>239</v>
      </c>
      <c r="U11" s="5" t="s">
        <v>240</v>
      </c>
      <c r="V11" s="11" t="s">
        <v>283</v>
      </c>
      <c r="W11" s="5" t="s">
        <v>205</v>
      </c>
      <c r="X11" s="5" t="s">
        <v>284</v>
      </c>
      <c r="Y11" s="5"/>
      <c r="Z11" s="5"/>
      <c r="AA11" s="11" t="s">
        <v>152</v>
      </c>
      <c r="AB11" s="5" t="s">
        <v>245</v>
      </c>
      <c r="AC11" s="5"/>
      <c r="AD11" s="11" t="s">
        <v>285</v>
      </c>
      <c r="AE11" s="23" t="n">
        <v>0.9</v>
      </c>
      <c r="AF11" s="23" t="n">
        <v>0</v>
      </c>
      <c r="AG11" s="23" t="n">
        <v>1</v>
      </c>
      <c r="AH11" s="23" t="n">
        <v>1</v>
      </c>
      <c r="AI11" s="23" t="n">
        <v>1</v>
      </c>
      <c r="AJ11" s="23" t="n">
        <v>0.9988</v>
      </c>
      <c r="AK11" s="23" t="n">
        <v>0.8</v>
      </c>
      <c r="AL11" s="23" t="n">
        <v>1</v>
      </c>
      <c r="AM11" s="16" t="n">
        <f aca="false">COUNTIFS($D$2:$D$2501,D11,$G$2:$G$2501,"&gt;"&amp;G11)+COUNTIFS($D$2:D11,D11,$G$2:G11,G11)</f>
        <v>1</v>
      </c>
      <c r="AN11" s="5" t="str">
        <f aca="false">D11&amp;"|"&amp;AM11</f>
        <v>檢索與情資關聯|1</v>
      </c>
    </row>
    <row r="12" customFormat="false" ht="17.15" hidden="false" customHeight="false" outlineLevel="0" collapsed="false">
      <c r="A12" s="16" t="n">
        <f aca="false">RANK(G12,$G$2:$G$2501)+COUNTIF($G$2:G12,G12)-1</f>
        <v>11</v>
      </c>
      <c r="B12" s="11" t="s">
        <v>286</v>
      </c>
      <c r="C12" s="11" t="s">
        <v>287</v>
      </c>
      <c r="D12" s="5" t="s">
        <v>54</v>
      </c>
      <c r="E12" s="5" t="s">
        <v>55</v>
      </c>
      <c r="F12" s="5"/>
      <c r="G12" s="22" t="n">
        <f aca="false">ROUND(SUM(I12:P12),3)</f>
        <v>85.952</v>
      </c>
      <c r="H12" s="5" t="str">
        <f aca="false">IF(G12&gt;=評分方法!$C$16,"優先評估",IF(G12&gt;=評分方法!$C$17,"列入候選",IF(G12&gt;=評分方法!$C$18,"特定情境","不建議")))</f>
        <v>優先評估</v>
      </c>
      <c r="I12" s="15" t="n">
        <f aca="false">AE12*評分方法!$C$5</f>
        <v>27</v>
      </c>
      <c r="J12" s="15" t="n">
        <f aca="false">AF12*評分方法!$C$6</f>
        <v>0</v>
      </c>
      <c r="K12" s="15" t="n">
        <f aca="false">AG12*評分方法!$C$7</f>
        <v>15</v>
      </c>
      <c r="L12" s="15" t="n">
        <f aca="false">AH12*評分方法!$C$8</f>
        <v>15</v>
      </c>
      <c r="M12" s="15" t="n">
        <f aca="false">AI12*評分方法!$C$9</f>
        <v>10</v>
      </c>
      <c r="N12" s="15" t="n">
        <f aca="false">AJ12*評分方法!$C$10</f>
        <v>9.952</v>
      </c>
      <c r="O12" s="15" t="n">
        <f aca="false">AK12*評分方法!$C$11</f>
        <v>4</v>
      </c>
      <c r="P12" s="15" t="n">
        <f aca="false">AL12*評分方法!$C$12</f>
        <v>5</v>
      </c>
      <c r="Q12" s="6" t="n">
        <v>71482081</v>
      </c>
      <c r="R12" s="6" t="n">
        <v>117654272</v>
      </c>
      <c r="S12" s="11" t="s">
        <v>238</v>
      </c>
      <c r="T12" s="11" t="s">
        <v>278</v>
      </c>
      <c r="U12" s="5" t="s">
        <v>240</v>
      </c>
      <c r="V12" s="11" t="s">
        <v>288</v>
      </c>
      <c r="W12" s="5" t="s">
        <v>205</v>
      </c>
      <c r="X12" s="5" t="s">
        <v>284</v>
      </c>
      <c r="Y12" s="5"/>
      <c r="Z12" s="5"/>
      <c r="AA12" s="11" t="s">
        <v>152</v>
      </c>
      <c r="AB12" s="5" t="s">
        <v>245</v>
      </c>
      <c r="AC12" s="5"/>
      <c r="AD12" s="11" t="s">
        <v>289</v>
      </c>
      <c r="AE12" s="23" t="n">
        <v>0.9</v>
      </c>
      <c r="AF12" s="23" t="n">
        <v>0</v>
      </c>
      <c r="AG12" s="23" t="n">
        <v>1</v>
      </c>
      <c r="AH12" s="23" t="n">
        <v>1</v>
      </c>
      <c r="AI12" s="23" t="n">
        <v>1</v>
      </c>
      <c r="AJ12" s="23" t="n">
        <v>0.9952</v>
      </c>
      <c r="AK12" s="23" t="n">
        <v>0.8</v>
      </c>
      <c r="AL12" s="23" t="n">
        <v>1</v>
      </c>
      <c r="AM12" s="16" t="n">
        <f aca="false">COUNTIFS($D$2:$D$2501,D12,$G$2:$G$2501,"&gt;"&amp;G12)+COUNTIFS($D$2:D12,D12,$G$2:G12,G12)</f>
        <v>2</v>
      </c>
      <c r="AN12" s="5" t="str">
        <f aca="false">D12&amp;"|"&amp;AM12</f>
        <v>檢索與情資關聯|2</v>
      </c>
    </row>
    <row r="13" customFormat="false" ht="17.15" hidden="false" customHeight="false" outlineLevel="0" collapsed="false">
      <c r="A13" s="16" t="n">
        <f aca="false">RANK(G13,$G$2:$G$2501)+COUNTIF($G$2:G13,G13)-1</f>
        <v>12</v>
      </c>
      <c r="B13" s="11" t="s">
        <v>290</v>
      </c>
      <c r="C13" s="11" t="s">
        <v>287</v>
      </c>
      <c r="D13" s="5" t="s">
        <v>54</v>
      </c>
      <c r="E13" s="5" t="s">
        <v>55</v>
      </c>
      <c r="F13" s="5"/>
      <c r="G13" s="22" t="n">
        <f aca="false">ROUND(SUM(I13:P13),3)</f>
        <v>85.912</v>
      </c>
      <c r="H13" s="5" t="str">
        <f aca="false">IF(G13&gt;=評分方法!$C$16,"優先評估",IF(G13&gt;=評分方法!$C$17,"列入候選",IF(G13&gt;=評分方法!$C$18,"特定情境","不建議")))</f>
        <v>優先評估</v>
      </c>
      <c r="I13" s="15" t="n">
        <f aca="false">AE13*評分方法!$C$5</f>
        <v>27</v>
      </c>
      <c r="J13" s="15" t="n">
        <f aca="false">AF13*評分方法!$C$6</f>
        <v>0</v>
      </c>
      <c r="K13" s="15" t="n">
        <f aca="false">AG13*評分方法!$C$7</f>
        <v>15</v>
      </c>
      <c r="L13" s="15" t="n">
        <f aca="false">AH13*評分方法!$C$8</f>
        <v>15</v>
      </c>
      <c r="M13" s="15" t="n">
        <f aca="false">AI13*評分方法!$C$9</f>
        <v>10</v>
      </c>
      <c r="N13" s="15" t="n">
        <f aca="false">AJ13*評分方法!$C$10</f>
        <v>9.912</v>
      </c>
      <c r="O13" s="15" t="n">
        <f aca="false">AK13*評分方法!$C$11</f>
        <v>4</v>
      </c>
      <c r="P13" s="15" t="n">
        <f aca="false">AL13*評分方法!$C$12</f>
        <v>5</v>
      </c>
      <c r="Q13" s="6" t="n">
        <v>50955167</v>
      </c>
      <c r="R13" s="6" t="n">
        <v>559890946</v>
      </c>
      <c r="S13" s="11" t="s">
        <v>238</v>
      </c>
      <c r="T13" s="11" t="s">
        <v>278</v>
      </c>
      <c r="U13" s="5" t="s">
        <v>240</v>
      </c>
      <c r="V13" s="11" t="s">
        <v>288</v>
      </c>
      <c r="W13" s="5" t="s">
        <v>205</v>
      </c>
      <c r="X13" s="5" t="s">
        <v>284</v>
      </c>
      <c r="Y13" s="5"/>
      <c r="Z13" s="5"/>
      <c r="AA13" s="11" t="s">
        <v>153</v>
      </c>
      <c r="AB13" s="5" t="s">
        <v>245</v>
      </c>
      <c r="AC13" s="5"/>
      <c r="AD13" s="11" t="s">
        <v>291</v>
      </c>
      <c r="AE13" s="23" t="n">
        <v>0.9</v>
      </c>
      <c r="AF13" s="23" t="n">
        <v>0</v>
      </c>
      <c r="AG13" s="23" t="n">
        <v>1</v>
      </c>
      <c r="AH13" s="23" t="n">
        <v>1</v>
      </c>
      <c r="AI13" s="23" t="n">
        <v>1</v>
      </c>
      <c r="AJ13" s="23" t="n">
        <v>0.9912</v>
      </c>
      <c r="AK13" s="23" t="n">
        <v>0.8</v>
      </c>
      <c r="AL13" s="23" t="n">
        <v>1</v>
      </c>
      <c r="AM13" s="16" t="n">
        <f aca="false">COUNTIFS($D$2:$D$2501,D13,$G$2:$G$2501,"&gt;"&amp;G13)+COUNTIFS($D$2:D13,D13,$G$2:G13,G13)</f>
        <v>3</v>
      </c>
      <c r="AN13" s="5" t="str">
        <f aca="false">D13&amp;"|"&amp;AM13</f>
        <v>檢索與情資關聯|3</v>
      </c>
    </row>
    <row r="14" customFormat="false" ht="17.15" hidden="false" customHeight="false" outlineLevel="0" collapsed="false">
      <c r="A14" s="16" t="n">
        <f aca="false">RANK(G14,$G$2:$G$2501)+COUNTIF($G$2:G14,G14)-1</f>
        <v>13</v>
      </c>
      <c r="B14" s="11" t="s">
        <v>292</v>
      </c>
      <c r="C14" s="11" t="s">
        <v>287</v>
      </c>
      <c r="D14" s="5" t="s">
        <v>54</v>
      </c>
      <c r="E14" s="5" t="s">
        <v>55</v>
      </c>
      <c r="F14" s="5"/>
      <c r="G14" s="22" t="n">
        <f aca="false">ROUND(SUM(I14:P14),3)</f>
        <v>85.884</v>
      </c>
      <c r="H14" s="5" t="str">
        <f aca="false">IF(G14&gt;=評分方法!$C$16,"優先評估",IF(G14&gt;=評分方法!$C$17,"列入候選",IF(G14&gt;=評分方法!$C$18,"特定情境","不建議")))</f>
        <v>優先評估</v>
      </c>
      <c r="I14" s="15" t="n">
        <f aca="false">AE14*評分方法!$C$5</f>
        <v>27</v>
      </c>
      <c r="J14" s="15" t="n">
        <f aca="false">AF14*評分方法!$C$6</f>
        <v>0</v>
      </c>
      <c r="K14" s="15" t="n">
        <f aca="false">AG14*評分方法!$C$7</f>
        <v>15</v>
      </c>
      <c r="L14" s="15" t="n">
        <f aca="false">AH14*評分方法!$C$8</f>
        <v>15</v>
      </c>
      <c r="M14" s="15" t="n">
        <f aca="false">AI14*評分方法!$C$9</f>
        <v>10</v>
      </c>
      <c r="N14" s="15" t="n">
        <f aca="false">AJ14*評分方法!$C$10</f>
        <v>9.884</v>
      </c>
      <c r="O14" s="15" t="n">
        <f aca="false">AK14*評分方法!$C$11</f>
        <v>4</v>
      </c>
      <c r="P14" s="15" t="n">
        <f aca="false">AL14*評分方法!$C$12</f>
        <v>5</v>
      </c>
      <c r="Q14" s="6" t="n">
        <v>41221524</v>
      </c>
      <c r="R14" s="6" t="n">
        <v>278044162</v>
      </c>
      <c r="S14" s="11" t="s">
        <v>238</v>
      </c>
      <c r="T14" s="11" t="s">
        <v>278</v>
      </c>
      <c r="U14" s="5" t="s">
        <v>240</v>
      </c>
      <c r="V14" s="11" t="s">
        <v>288</v>
      </c>
      <c r="W14" s="5" t="s">
        <v>205</v>
      </c>
      <c r="X14" s="5" t="s">
        <v>284</v>
      </c>
      <c r="Y14" s="5"/>
      <c r="Z14" s="5"/>
      <c r="AA14" s="11" t="s">
        <v>152</v>
      </c>
      <c r="AB14" s="5" t="s">
        <v>245</v>
      </c>
      <c r="AC14" s="5"/>
      <c r="AD14" s="11" t="s">
        <v>293</v>
      </c>
      <c r="AE14" s="23" t="n">
        <v>0.9</v>
      </c>
      <c r="AF14" s="23" t="n">
        <v>0</v>
      </c>
      <c r="AG14" s="23" t="n">
        <v>1</v>
      </c>
      <c r="AH14" s="23" t="n">
        <v>1</v>
      </c>
      <c r="AI14" s="23" t="n">
        <v>1</v>
      </c>
      <c r="AJ14" s="23" t="n">
        <v>0.9884</v>
      </c>
      <c r="AK14" s="23" t="n">
        <v>0.8</v>
      </c>
      <c r="AL14" s="23" t="n">
        <v>1</v>
      </c>
      <c r="AM14" s="16" t="n">
        <f aca="false">COUNTIFS($D$2:$D$2501,D14,$G$2:$G$2501,"&gt;"&amp;G14)+COUNTIFS($D$2:D14,D14,$G$2:G14,G14)</f>
        <v>4</v>
      </c>
      <c r="AN14" s="5" t="str">
        <f aca="false">D14&amp;"|"&amp;AM14</f>
        <v>檢索與情資關聯|4</v>
      </c>
    </row>
    <row r="15" customFormat="false" ht="17.15" hidden="false" customHeight="false" outlineLevel="0" collapsed="false">
      <c r="A15" s="16" t="n">
        <f aca="false">RANK(G15,$G$2:$G$2501)+COUNTIF($G$2:G15,G15)-1</f>
        <v>14</v>
      </c>
      <c r="B15" s="11" t="s">
        <v>294</v>
      </c>
      <c r="C15" s="11" t="s">
        <v>258</v>
      </c>
      <c r="D15" s="11" t="s">
        <v>46</v>
      </c>
      <c r="E15" s="11" t="s">
        <v>47</v>
      </c>
      <c r="F15" s="11" t="s">
        <v>46</v>
      </c>
      <c r="G15" s="22" t="n">
        <f aca="false">ROUND(SUM(I15:P15),3)</f>
        <v>84.908</v>
      </c>
      <c r="H15" s="5" t="str">
        <f aca="false">IF(G15&gt;=評分方法!$C$16,"優先評估",IF(G15&gt;=評分方法!$C$17,"列入候選",IF(G15&gt;=評分方法!$C$18,"特定情境","不建議")))</f>
        <v>優先評估</v>
      </c>
      <c r="I15" s="15" t="n">
        <f aca="false">AE15*評分方法!$C$5</f>
        <v>30</v>
      </c>
      <c r="J15" s="15" t="n">
        <f aca="false">AF15*評分方法!$C$6</f>
        <v>10</v>
      </c>
      <c r="K15" s="15" t="n">
        <f aca="false">AG15*評分方法!$C$7</f>
        <v>15</v>
      </c>
      <c r="L15" s="15" t="n">
        <f aca="false">AH15*評分方法!$C$8</f>
        <v>15</v>
      </c>
      <c r="M15" s="15" t="n">
        <f aca="false">AI15*評分方法!$C$9</f>
        <v>6</v>
      </c>
      <c r="N15" s="15" t="n">
        <f aca="false">AJ15*評分方法!$C$10</f>
        <v>6.408</v>
      </c>
      <c r="O15" s="15" t="n">
        <f aca="false">AK15*評分方法!$C$11</f>
        <v>2.5</v>
      </c>
      <c r="P15" s="15" t="n">
        <f aca="false">AL15*評分方法!$C$12</f>
        <v>0</v>
      </c>
      <c r="Q15" s="6" t="n">
        <v>726773</v>
      </c>
      <c r="R15" s="6" t="n">
        <v>278810882</v>
      </c>
      <c r="S15" s="11" t="s">
        <v>238</v>
      </c>
      <c r="T15" s="11" t="s">
        <v>185</v>
      </c>
      <c r="U15" s="5" t="s">
        <v>260</v>
      </c>
      <c r="V15" s="11" t="s">
        <v>261</v>
      </c>
      <c r="W15" s="5" t="s">
        <v>205</v>
      </c>
      <c r="X15" s="5" t="s">
        <v>242</v>
      </c>
      <c r="Y15" s="5"/>
      <c r="Z15" s="5"/>
      <c r="AA15" s="11" t="s">
        <v>149</v>
      </c>
      <c r="AB15" s="5" t="s">
        <v>245</v>
      </c>
      <c r="AC15" s="5" t="s">
        <v>262</v>
      </c>
      <c r="AD15" s="11" t="s">
        <v>295</v>
      </c>
      <c r="AE15" s="23" t="n">
        <v>1</v>
      </c>
      <c r="AF15" s="23" t="n">
        <v>1</v>
      </c>
      <c r="AG15" s="23" t="n">
        <v>1</v>
      </c>
      <c r="AH15" s="23" t="n">
        <v>1</v>
      </c>
      <c r="AI15" s="23" t="n">
        <v>0.6</v>
      </c>
      <c r="AJ15" s="23" t="n">
        <v>0.6408</v>
      </c>
      <c r="AK15" s="23" t="n">
        <v>0.5</v>
      </c>
      <c r="AL15" s="23" t="n">
        <v>0</v>
      </c>
      <c r="AM15" s="16" t="n">
        <f aca="false">COUNTIFS($D$2:$D$2501,D15,$G$2:$G$2501,"&gt;"&amp;G15)+COUNTIFS($D$2:D15,D15,$G$2:G15,G15)</f>
        <v>4</v>
      </c>
      <c r="AN15" s="5" t="str">
        <f aca="false">D15&amp;"|"&amp;AM15</f>
        <v>AI 應用防護|4</v>
      </c>
    </row>
    <row r="16" customFormat="false" ht="17.15" hidden="false" customHeight="false" outlineLevel="0" collapsed="false">
      <c r="A16" s="16" t="n">
        <f aca="false">RANK(G16,$G$2:$G$2501)+COUNTIF($G$2:G16,G16)-1</f>
        <v>15</v>
      </c>
      <c r="B16" s="11" t="s">
        <v>296</v>
      </c>
      <c r="C16" s="11" t="s">
        <v>282</v>
      </c>
      <c r="D16" s="5" t="s">
        <v>54</v>
      </c>
      <c r="E16" s="5" t="s">
        <v>55</v>
      </c>
      <c r="F16" s="5"/>
      <c r="G16" s="22" t="n">
        <f aca="false">ROUND(SUM(I16:P16),3)</f>
        <v>84.42</v>
      </c>
      <c r="H16" s="5" t="str">
        <f aca="false">IF(G16&gt;=評分方法!$C$16,"優先評估",IF(G16&gt;=評分方法!$C$17,"列入候選",IF(G16&gt;=評分方法!$C$18,"特定情境","不建議")))</f>
        <v>優先評估</v>
      </c>
      <c r="I16" s="15" t="n">
        <f aca="false">AE16*評分方法!$C$5</f>
        <v>27</v>
      </c>
      <c r="J16" s="15" t="n">
        <f aca="false">AF16*評分方法!$C$6</f>
        <v>0</v>
      </c>
      <c r="K16" s="15" t="n">
        <f aca="false">AG16*評分方法!$C$7</f>
        <v>15</v>
      </c>
      <c r="L16" s="15" t="n">
        <f aca="false">AH16*評分方法!$C$8</f>
        <v>15</v>
      </c>
      <c r="M16" s="15" t="n">
        <f aca="false">AI16*評分方法!$C$9</f>
        <v>10</v>
      </c>
      <c r="N16" s="15" t="n">
        <f aca="false">AJ16*評分方法!$C$10</f>
        <v>9.92</v>
      </c>
      <c r="O16" s="15" t="n">
        <f aca="false">AK16*評分方法!$C$11</f>
        <v>2.5</v>
      </c>
      <c r="P16" s="15" t="n">
        <f aca="false">AL16*評分方法!$C$12</f>
        <v>5</v>
      </c>
      <c r="Q16" s="6" t="n">
        <v>58178404</v>
      </c>
      <c r="R16" s="6" t="n">
        <v>278044162</v>
      </c>
      <c r="S16" s="11" t="s">
        <v>238</v>
      </c>
      <c r="T16" s="11" t="s">
        <v>239</v>
      </c>
      <c r="U16" s="5" t="s">
        <v>240</v>
      </c>
      <c r="V16" s="11" t="s">
        <v>283</v>
      </c>
      <c r="W16" s="5" t="s">
        <v>205</v>
      </c>
      <c r="X16" s="5" t="s">
        <v>284</v>
      </c>
      <c r="Y16" s="5"/>
      <c r="Z16" s="5"/>
      <c r="AA16" s="11" t="s">
        <v>152</v>
      </c>
      <c r="AB16" s="5" t="s">
        <v>245</v>
      </c>
      <c r="AC16" s="5"/>
      <c r="AD16" s="11" t="s">
        <v>297</v>
      </c>
      <c r="AE16" s="23" t="n">
        <v>0.9</v>
      </c>
      <c r="AF16" s="23" t="n">
        <v>0</v>
      </c>
      <c r="AG16" s="23" t="n">
        <v>1</v>
      </c>
      <c r="AH16" s="23" t="n">
        <v>1</v>
      </c>
      <c r="AI16" s="23" t="n">
        <v>1</v>
      </c>
      <c r="AJ16" s="23" t="n">
        <v>0.992</v>
      </c>
      <c r="AK16" s="23" t="n">
        <v>0.5</v>
      </c>
      <c r="AL16" s="23" t="n">
        <v>1</v>
      </c>
      <c r="AM16" s="16" t="n">
        <f aca="false">COUNTIFS($D$2:$D$2501,D16,$G$2:$G$2501,"&gt;"&amp;G16)+COUNTIFS($D$2:D16,D16,$G$2:G16,G16)</f>
        <v>5</v>
      </c>
      <c r="AN16" s="5" t="str">
        <f aca="false">D16&amp;"|"&amp;AM16</f>
        <v>檢索與情資關聯|5</v>
      </c>
    </row>
    <row r="17" customFormat="false" ht="17.15" hidden="false" customHeight="false" outlineLevel="0" collapsed="false">
      <c r="A17" s="16" t="n">
        <f aca="false">RANK(G17,$G$2:$G$2501)+COUNTIF($G$2:G17,G17)-1</f>
        <v>16</v>
      </c>
      <c r="B17" s="11" t="s">
        <v>298</v>
      </c>
      <c r="C17" s="11" t="s">
        <v>299</v>
      </c>
      <c r="D17" s="5" t="s">
        <v>54</v>
      </c>
      <c r="E17" s="5" t="s">
        <v>55</v>
      </c>
      <c r="F17" s="5"/>
      <c r="G17" s="22" t="n">
        <f aca="false">ROUND(SUM(I17:P17),3)</f>
        <v>84.172</v>
      </c>
      <c r="H17" s="5" t="str">
        <f aca="false">IF(G17&gt;=評分方法!$C$16,"優先評估",IF(G17&gt;=評分方法!$C$17,"列入候選",IF(G17&gt;=評分方法!$C$18,"特定情境","不建議")))</f>
        <v>優先評估</v>
      </c>
      <c r="I17" s="15" t="n">
        <f aca="false">AE17*評分方法!$C$5</f>
        <v>27</v>
      </c>
      <c r="J17" s="15" t="n">
        <f aca="false">AF17*評分方法!$C$6</f>
        <v>0</v>
      </c>
      <c r="K17" s="15" t="n">
        <f aca="false">AG17*評分方法!$C$7</f>
        <v>15</v>
      </c>
      <c r="L17" s="15" t="n">
        <f aca="false">AH17*評分方法!$C$8</f>
        <v>15</v>
      </c>
      <c r="M17" s="15" t="n">
        <f aca="false">AI17*評分方法!$C$9</f>
        <v>10</v>
      </c>
      <c r="N17" s="15" t="n">
        <f aca="false">AJ17*評分方法!$C$10</f>
        <v>7.172</v>
      </c>
      <c r="O17" s="15" t="n">
        <f aca="false">AK17*評分方法!$C$11</f>
        <v>5</v>
      </c>
      <c r="P17" s="15" t="n">
        <f aca="false">AL17*評分方法!$C$12</f>
        <v>5</v>
      </c>
      <c r="Q17" s="6" t="n">
        <v>985430</v>
      </c>
      <c r="R17" s="6" t="n">
        <v>97441152</v>
      </c>
      <c r="S17" s="11" t="s">
        <v>238</v>
      </c>
      <c r="T17" s="11" t="s">
        <v>239</v>
      </c>
      <c r="U17" s="5" t="s">
        <v>240</v>
      </c>
      <c r="V17" s="11" t="s">
        <v>288</v>
      </c>
      <c r="W17" s="5" t="s">
        <v>205</v>
      </c>
      <c r="X17" s="5" t="s">
        <v>284</v>
      </c>
      <c r="Y17" s="5"/>
      <c r="Z17" s="5"/>
      <c r="AA17" s="11" t="s">
        <v>153</v>
      </c>
      <c r="AB17" s="5" t="s">
        <v>245</v>
      </c>
      <c r="AC17" s="5"/>
      <c r="AD17" s="11" t="s">
        <v>300</v>
      </c>
      <c r="AE17" s="23" t="n">
        <v>0.9</v>
      </c>
      <c r="AF17" s="23" t="n">
        <v>0</v>
      </c>
      <c r="AG17" s="23" t="n">
        <v>1</v>
      </c>
      <c r="AH17" s="23" t="n">
        <v>1</v>
      </c>
      <c r="AI17" s="23" t="n">
        <v>1</v>
      </c>
      <c r="AJ17" s="23" t="n">
        <v>0.7172</v>
      </c>
      <c r="AK17" s="23" t="n">
        <v>1</v>
      </c>
      <c r="AL17" s="23" t="n">
        <v>1</v>
      </c>
      <c r="AM17" s="16" t="n">
        <f aca="false">COUNTIFS($D$2:$D$2501,D17,$G$2:$G$2501,"&gt;"&amp;G17)+COUNTIFS($D$2:D17,D17,$G$2:G17,G17)</f>
        <v>6</v>
      </c>
      <c r="AN17" s="5" t="str">
        <f aca="false">D17&amp;"|"&amp;AM17</f>
        <v>檢索與情資關聯|6</v>
      </c>
    </row>
    <row r="18" customFormat="false" ht="17.15" hidden="false" customHeight="false" outlineLevel="0" collapsed="false">
      <c r="A18" s="16" t="n">
        <f aca="false">RANK(G18,$G$2:$G$2501)+COUNTIF($G$2:G18,G18)-1</f>
        <v>17</v>
      </c>
      <c r="B18" s="11" t="s">
        <v>301</v>
      </c>
      <c r="C18" s="11" t="s">
        <v>302</v>
      </c>
      <c r="D18" s="5" t="s">
        <v>54</v>
      </c>
      <c r="E18" s="5" t="s">
        <v>55</v>
      </c>
      <c r="F18" s="5"/>
      <c r="G18" s="22" t="n">
        <f aca="false">ROUND(SUM(I18:P18),3)</f>
        <v>84.148</v>
      </c>
      <c r="H18" s="5" t="str">
        <f aca="false">IF(G18&gt;=評分方法!$C$16,"優先評估",IF(G18&gt;=評分方法!$C$17,"列入候選",IF(G18&gt;=評分方法!$C$18,"特定情境","不建議")))</f>
        <v>優先評估</v>
      </c>
      <c r="I18" s="15" t="n">
        <f aca="false">AE18*評分方法!$C$5</f>
        <v>27</v>
      </c>
      <c r="J18" s="15" t="n">
        <f aca="false">AF18*評分方法!$C$6</f>
        <v>0</v>
      </c>
      <c r="K18" s="15" t="n">
        <f aca="false">AG18*評分方法!$C$7</f>
        <v>15</v>
      </c>
      <c r="L18" s="15" t="n">
        <f aca="false">AH18*評分方法!$C$8</f>
        <v>15</v>
      </c>
      <c r="M18" s="15" t="n">
        <f aca="false">AI18*評分方法!$C$9</f>
        <v>10</v>
      </c>
      <c r="N18" s="15" t="n">
        <f aca="false">AJ18*評分方法!$C$10</f>
        <v>9.648</v>
      </c>
      <c r="O18" s="15" t="n">
        <f aca="false">AK18*評分方法!$C$11</f>
        <v>2.5</v>
      </c>
      <c r="P18" s="15" t="n">
        <f aca="false">AL18*評分方法!$C$12</f>
        <v>5</v>
      </c>
      <c r="Q18" s="6" t="n">
        <v>11870990</v>
      </c>
      <c r="R18" s="6" t="n">
        <v>117641603</v>
      </c>
      <c r="S18" s="11" t="s">
        <v>238</v>
      </c>
      <c r="T18" s="11" t="s">
        <v>239</v>
      </c>
      <c r="U18" s="5" t="s">
        <v>240</v>
      </c>
      <c r="V18" s="11" t="s">
        <v>288</v>
      </c>
      <c r="W18" s="5" t="s">
        <v>205</v>
      </c>
      <c r="X18" s="5" t="s">
        <v>284</v>
      </c>
      <c r="Y18" s="11" t="s">
        <v>303</v>
      </c>
      <c r="Z18" s="11" t="s">
        <v>244</v>
      </c>
      <c r="AA18" s="11" t="s">
        <v>154</v>
      </c>
      <c r="AB18" s="5" t="s">
        <v>245</v>
      </c>
      <c r="AC18" s="5" t="s">
        <v>246</v>
      </c>
      <c r="AD18" s="11" t="s">
        <v>304</v>
      </c>
      <c r="AE18" s="23" t="n">
        <v>0.9</v>
      </c>
      <c r="AF18" s="23" t="n">
        <v>0</v>
      </c>
      <c r="AG18" s="23" t="n">
        <v>1</v>
      </c>
      <c r="AH18" s="23" t="n">
        <v>1</v>
      </c>
      <c r="AI18" s="23" t="n">
        <v>1</v>
      </c>
      <c r="AJ18" s="23" t="n">
        <v>0.9648</v>
      </c>
      <c r="AK18" s="23" t="n">
        <v>0.5</v>
      </c>
      <c r="AL18" s="23" t="n">
        <v>1</v>
      </c>
      <c r="AM18" s="16" t="n">
        <f aca="false">COUNTIFS($D$2:$D$2501,D18,$G$2:$G$2501,"&gt;"&amp;G18)+COUNTIFS($D$2:D18,D18,$G$2:G18,G18)</f>
        <v>7</v>
      </c>
      <c r="AN18" s="5" t="str">
        <f aca="false">D18&amp;"|"&amp;AM18</f>
        <v>檢索與情資關聯|7</v>
      </c>
    </row>
    <row r="19" customFormat="false" ht="17.15" hidden="false" customHeight="false" outlineLevel="0" collapsed="false">
      <c r="A19" s="16" t="n">
        <f aca="false">RANK(G19,$G$2:$G$2501)+COUNTIF($G$2:G19,G19)-1</f>
        <v>18</v>
      </c>
      <c r="B19" s="11" t="s">
        <v>305</v>
      </c>
      <c r="C19" s="11" t="s">
        <v>287</v>
      </c>
      <c r="D19" s="5" t="s">
        <v>54</v>
      </c>
      <c r="E19" s="5" t="s">
        <v>55</v>
      </c>
      <c r="F19" s="5"/>
      <c r="G19" s="22" t="n">
        <f aca="false">ROUND(SUM(I19:P19),3)</f>
        <v>84.132</v>
      </c>
      <c r="H19" s="5" t="str">
        <f aca="false">IF(G19&gt;=評分方法!$C$16,"優先評估",IF(G19&gt;=評分方法!$C$17,"列入候選",IF(G19&gt;=評分方法!$C$18,"特定情境","不建議")))</f>
        <v>優先評估</v>
      </c>
      <c r="I19" s="15" t="n">
        <f aca="false">AE19*評分方法!$C$5</f>
        <v>27</v>
      </c>
      <c r="J19" s="15" t="n">
        <f aca="false">AF19*評分方法!$C$6</f>
        <v>0</v>
      </c>
      <c r="K19" s="15" t="n">
        <f aca="false">AG19*評分方法!$C$7</f>
        <v>15</v>
      </c>
      <c r="L19" s="15" t="n">
        <f aca="false">AH19*評分方法!$C$8</f>
        <v>15</v>
      </c>
      <c r="M19" s="15" t="n">
        <f aca="false">AI19*評分方法!$C$9</f>
        <v>10</v>
      </c>
      <c r="N19" s="15" t="n">
        <f aca="false">AJ19*評分方法!$C$10</f>
        <v>9.632</v>
      </c>
      <c r="O19" s="15" t="n">
        <f aca="false">AK19*評分方法!$C$11</f>
        <v>2.5</v>
      </c>
      <c r="P19" s="15" t="n">
        <f aca="false">AL19*評分方法!$C$12</f>
        <v>5</v>
      </c>
      <c r="Q19" s="6" t="n">
        <v>11123160</v>
      </c>
      <c r="R19" s="6" t="n">
        <v>559890432</v>
      </c>
      <c r="S19" s="11" t="s">
        <v>238</v>
      </c>
      <c r="T19" s="11" t="s">
        <v>278</v>
      </c>
      <c r="U19" s="5" t="s">
        <v>240</v>
      </c>
      <c r="V19" s="11" t="s">
        <v>241</v>
      </c>
      <c r="W19" s="5" t="s">
        <v>205</v>
      </c>
      <c r="X19" s="5" t="s">
        <v>284</v>
      </c>
      <c r="Y19" s="5"/>
      <c r="Z19" s="5"/>
      <c r="AA19" s="11" t="s">
        <v>153</v>
      </c>
      <c r="AB19" s="5" t="s">
        <v>245</v>
      </c>
      <c r="AC19" s="5"/>
      <c r="AD19" s="11" t="s">
        <v>306</v>
      </c>
      <c r="AE19" s="23" t="n">
        <v>0.9</v>
      </c>
      <c r="AF19" s="23" t="n">
        <v>0</v>
      </c>
      <c r="AG19" s="23" t="n">
        <v>1</v>
      </c>
      <c r="AH19" s="23" t="n">
        <v>1</v>
      </c>
      <c r="AI19" s="23" t="n">
        <v>1</v>
      </c>
      <c r="AJ19" s="23" t="n">
        <v>0.9632</v>
      </c>
      <c r="AK19" s="23" t="n">
        <v>0.5</v>
      </c>
      <c r="AL19" s="23" t="n">
        <v>1</v>
      </c>
      <c r="AM19" s="16" t="n">
        <f aca="false">COUNTIFS($D$2:$D$2501,D19,$G$2:$G$2501,"&gt;"&amp;G19)+COUNTIFS($D$2:D19,D19,$G$2:G19,G19)</f>
        <v>8</v>
      </c>
      <c r="AN19" s="5" t="str">
        <f aca="false">D19&amp;"|"&amp;AM19</f>
        <v>檢索與情資關聯|8</v>
      </c>
    </row>
    <row r="20" customFormat="false" ht="17.15" hidden="false" customHeight="false" outlineLevel="0" collapsed="false">
      <c r="A20" s="16" t="n">
        <f aca="false">RANK(G20,$G$2:$G$2501)+COUNTIF($G$2:G20,G20)-1</f>
        <v>19</v>
      </c>
      <c r="B20" s="11" t="s">
        <v>307</v>
      </c>
      <c r="C20" s="11" t="s">
        <v>308</v>
      </c>
      <c r="D20" s="5" t="s">
        <v>54</v>
      </c>
      <c r="E20" s="5" t="s">
        <v>55</v>
      </c>
      <c r="F20" s="5"/>
      <c r="G20" s="22" t="n">
        <f aca="false">ROUND(SUM(I20:P20),3)</f>
        <v>84.12</v>
      </c>
      <c r="H20" s="5" t="str">
        <f aca="false">IF(G20&gt;=評分方法!$C$16,"優先評估",IF(G20&gt;=評分方法!$C$17,"列入候選",IF(G20&gt;=評分方法!$C$18,"特定情境","不建議")))</f>
        <v>優先評估</v>
      </c>
      <c r="I20" s="15" t="n">
        <f aca="false">AE20*評分方法!$C$5</f>
        <v>27</v>
      </c>
      <c r="J20" s="15" t="n">
        <f aca="false">AF20*評分方法!$C$6</f>
        <v>0</v>
      </c>
      <c r="K20" s="15" t="n">
        <f aca="false">AG20*評分方法!$C$7</f>
        <v>15</v>
      </c>
      <c r="L20" s="15" t="n">
        <f aca="false">AH20*評分方法!$C$8</f>
        <v>15</v>
      </c>
      <c r="M20" s="15" t="n">
        <f aca="false">AI20*評分方法!$C$9</f>
        <v>10</v>
      </c>
      <c r="N20" s="15" t="n">
        <f aca="false">AJ20*評分方法!$C$10</f>
        <v>8.12</v>
      </c>
      <c r="O20" s="15" t="n">
        <f aca="false">AK20*評分方法!$C$11</f>
        <v>4</v>
      </c>
      <c r="P20" s="15" t="n">
        <f aca="false">AL20*評分方法!$C$12</f>
        <v>5</v>
      </c>
      <c r="Q20" s="6" t="n">
        <v>1729392</v>
      </c>
      <c r="R20" s="6" t="n">
        <v>268098176</v>
      </c>
      <c r="S20" s="11" t="s">
        <v>238</v>
      </c>
      <c r="T20" s="11" t="s">
        <v>278</v>
      </c>
      <c r="U20" s="5" t="s">
        <v>240</v>
      </c>
      <c r="V20" s="11" t="s">
        <v>261</v>
      </c>
      <c r="W20" s="5" t="s">
        <v>205</v>
      </c>
      <c r="X20" s="5" t="s">
        <v>284</v>
      </c>
      <c r="Y20" s="5"/>
      <c r="Z20" s="5"/>
      <c r="AA20" s="11" t="s">
        <v>153</v>
      </c>
      <c r="AB20" s="5" t="s">
        <v>245</v>
      </c>
      <c r="AC20" s="5"/>
      <c r="AD20" s="11" t="s">
        <v>309</v>
      </c>
      <c r="AE20" s="23" t="n">
        <v>0.9</v>
      </c>
      <c r="AF20" s="23" t="n">
        <v>0</v>
      </c>
      <c r="AG20" s="23" t="n">
        <v>1</v>
      </c>
      <c r="AH20" s="23" t="n">
        <v>1</v>
      </c>
      <c r="AI20" s="23" t="n">
        <v>1</v>
      </c>
      <c r="AJ20" s="23" t="n">
        <v>0.812</v>
      </c>
      <c r="AK20" s="23" t="n">
        <v>0.8</v>
      </c>
      <c r="AL20" s="23" t="n">
        <v>1</v>
      </c>
      <c r="AM20" s="16" t="n">
        <f aca="false">COUNTIFS($D$2:$D$2501,D20,$G$2:$G$2501,"&gt;"&amp;G20)+COUNTIFS($D$2:D20,D20,$G$2:G20,G20)</f>
        <v>9</v>
      </c>
      <c r="AN20" s="5" t="str">
        <f aca="false">D20&amp;"|"&amp;AM20</f>
        <v>檢索與情資關聯|9</v>
      </c>
    </row>
    <row r="21" customFormat="false" ht="17.15" hidden="false" customHeight="false" outlineLevel="0" collapsed="false">
      <c r="A21" s="16" t="n">
        <f aca="false">RANK(G21,$G$2:$G$2501)+COUNTIF($G$2:G21,G21)-1</f>
        <v>20</v>
      </c>
      <c r="B21" s="11" t="s">
        <v>310</v>
      </c>
      <c r="C21" s="11" t="s">
        <v>299</v>
      </c>
      <c r="D21" s="5" t="s">
        <v>54</v>
      </c>
      <c r="E21" s="5" t="s">
        <v>55</v>
      </c>
      <c r="F21" s="5"/>
      <c r="G21" s="22" t="n">
        <f aca="false">ROUND(SUM(I21:P21),3)</f>
        <v>84.028</v>
      </c>
      <c r="H21" s="5" t="str">
        <f aca="false">IF(G21&gt;=評分方法!$C$16,"優先評估",IF(G21&gt;=評分方法!$C$17,"列入候選",IF(G21&gt;=評分方法!$C$18,"特定情境","不建議")))</f>
        <v>優先評估</v>
      </c>
      <c r="I21" s="15" t="n">
        <f aca="false">AE21*評分方法!$C$5</f>
        <v>27</v>
      </c>
      <c r="J21" s="15" t="n">
        <f aca="false">AF21*評分方法!$C$6</f>
        <v>0</v>
      </c>
      <c r="K21" s="15" t="n">
        <f aca="false">AG21*評分方法!$C$7</f>
        <v>15</v>
      </c>
      <c r="L21" s="15" t="n">
        <f aca="false">AH21*評分方法!$C$8</f>
        <v>15</v>
      </c>
      <c r="M21" s="15" t="n">
        <f aca="false">AI21*評分方法!$C$9</f>
        <v>10</v>
      </c>
      <c r="N21" s="15" t="n">
        <f aca="false">AJ21*評分方法!$C$10</f>
        <v>7.028</v>
      </c>
      <c r="O21" s="15" t="n">
        <f aca="false">AK21*評分方法!$C$11</f>
        <v>5</v>
      </c>
      <c r="P21" s="15" t="n">
        <f aca="false">AL21*評分方法!$C$12</f>
        <v>5</v>
      </c>
      <c r="Q21" s="6" t="n">
        <v>930953</v>
      </c>
      <c r="R21" s="6" t="n">
        <v>311664384</v>
      </c>
      <c r="S21" s="11" t="s">
        <v>238</v>
      </c>
      <c r="T21" s="11" t="s">
        <v>239</v>
      </c>
      <c r="U21" s="5" t="s">
        <v>240</v>
      </c>
      <c r="V21" s="11" t="s">
        <v>288</v>
      </c>
      <c r="W21" s="5" t="s">
        <v>205</v>
      </c>
      <c r="X21" s="5" t="s">
        <v>284</v>
      </c>
      <c r="Y21" s="5"/>
      <c r="Z21" s="5"/>
      <c r="AA21" s="11" t="s">
        <v>153</v>
      </c>
      <c r="AB21" s="5" t="s">
        <v>245</v>
      </c>
      <c r="AC21" s="5"/>
      <c r="AD21" s="11" t="s">
        <v>311</v>
      </c>
      <c r="AE21" s="23" t="n">
        <v>0.9</v>
      </c>
      <c r="AF21" s="23" t="n">
        <v>0</v>
      </c>
      <c r="AG21" s="23" t="n">
        <v>1</v>
      </c>
      <c r="AH21" s="23" t="n">
        <v>1</v>
      </c>
      <c r="AI21" s="23" t="n">
        <v>1</v>
      </c>
      <c r="AJ21" s="23" t="n">
        <v>0.7028</v>
      </c>
      <c r="AK21" s="23" t="n">
        <v>1</v>
      </c>
      <c r="AL21" s="23" t="n">
        <v>1</v>
      </c>
      <c r="AM21" s="16" t="n">
        <f aca="false">COUNTIFS($D$2:$D$2501,D21,$G$2:$G$2501,"&gt;"&amp;G21)+COUNTIFS($D$2:D21,D21,$G$2:G21,G21)</f>
        <v>10</v>
      </c>
      <c r="AN21" s="5" t="str">
        <f aca="false">D21&amp;"|"&amp;AM21</f>
        <v>檢索與情資關聯|10</v>
      </c>
    </row>
    <row r="22" customFormat="false" ht="17.15" hidden="false" customHeight="false" outlineLevel="0" collapsed="false">
      <c r="A22" s="16" t="n">
        <f aca="false">RANK(G22,$G$2:$G$2501)+COUNTIF($G$2:G22,G22)-1</f>
        <v>21</v>
      </c>
      <c r="B22" s="11" t="s">
        <v>312</v>
      </c>
      <c r="C22" s="11" t="s">
        <v>313</v>
      </c>
      <c r="D22" s="5" t="s">
        <v>54</v>
      </c>
      <c r="E22" s="5" t="s">
        <v>55</v>
      </c>
      <c r="F22" s="5"/>
      <c r="G22" s="22" t="n">
        <f aca="false">ROUND(SUM(I22:P22),3)</f>
        <v>83.952</v>
      </c>
      <c r="H22" s="5" t="str">
        <f aca="false">IF(G22&gt;=評分方法!$C$16,"優先評估",IF(G22&gt;=評分方法!$C$17,"列入候選",IF(G22&gt;=評分方法!$C$18,"特定情境","不建議")))</f>
        <v>優先評估</v>
      </c>
      <c r="I22" s="15" t="n">
        <f aca="false">AE22*評分方法!$C$5</f>
        <v>27</v>
      </c>
      <c r="J22" s="15" t="n">
        <f aca="false">AF22*評分方法!$C$6</f>
        <v>0</v>
      </c>
      <c r="K22" s="15" t="n">
        <f aca="false">AG22*評分方法!$C$7</f>
        <v>15</v>
      </c>
      <c r="L22" s="15" t="n">
        <f aca="false">AH22*評分方法!$C$8</f>
        <v>15</v>
      </c>
      <c r="M22" s="15" t="n">
        <f aca="false">AI22*評分方法!$C$9</f>
        <v>10</v>
      </c>
      <c r="N22" s="15" t="n">
        <f aca="false">AJ22*評分方法!$C$10</f>
        <v>9.452</v>
      </c>
      <c r="O22" s="15" t="n">
        <f aca="false">AK22*評分方法!$C$11</f>
        <v>2.5</v>
      </c>
      <c r="P22" s="15" t="n">
        <f aca="false">AL22*評分方法!$C$12</f>
        <v>5</v>
      </c>
      <c r="Q22" s="6" t="n">
        <v>8047966</v>
      </c>
      <c r="R22" s="6" t="n">
        <v>567754752</v>
      </c>
      <c r="S22" s="11" t="s">
        <v>238</v>
      </c>
      <c r="T22" s="11" t="s">
        <v>239</v>
      </c>
      <c r="U22" s="5" t="s">
        <v>240</v>
      </c>
      <c r="V22" s="11" t="s">
        <v>241</v>
      </c>
      <c r="W22" s="5" t="s">
        <v>205</v>
      </c>
      <c r="X22" s="5" t="s">
        <v>284</v>
      </c>
      <c r="Y22" s="5"/>
      <c r="Z22" s="5"/>
      <c r="AA22" s="11" t="s">
        <v>152</v>
      </c>
      <c r="AB22" s="5" t="s">
        <v>245</v>
      </c>
      <c r="AC22" s="5"/>
      <c r="AD22" s="11" t="s">
        <v>314</v>
      </c>
      <c r="AE22" s="23" t="n">
        <v>0.9</v>
      </c>
      <c r="AF22" s="23" t="n">
        <v>0</v>
      </c>
      <c r="AG22" s="23" t="n">
        <v>1</v>
      </c>
      <c r="AH22" s="23" t="n">
        <v>1</v>
      </c>
      <c r="AI22" s="23" t="n">
        <v>1</v>
      </c>
      <c r="AJ22" s="23" t="n">
        <v>0.9452</v>
      </c>
      <c r="AK22" s="23" t="n">
        <v>0.5</v>
      </c>
      <c r="AL22" s="23" t="n">
        <v>1</v>
      </c>
      <c r="AM22" s="16" t="n">
        <f aca="false">COUNTIFS($D$2:$D$2501,D22,$G$2:$G$2501,"&gt;"&amp;G22)+COUNTIFS($D$2:D22,D22,$G$2:G22,G22)</f>
        <v>11</v>
      </c>
      <c r="AN22" s="5" t="str">
        <f aca="false">D22&amp;"|"&amp;AM22</f>
        <v>檢索與情資關聯|11</v>
      </c>
    </row>
    <row r="23" customFormat="false" ht="17.15" hidden="false" customHeight="false" outlineLevel="0" collapsed="false">
      <c r="A23" s="16" t="n">
        <f aca="false">RANK(G23,$G$2:$G$2501)+COUNTIF($G$2:G23,G23)-1</f>
        <v>22</v>
      </c>
      <c r="B23" s="11" t="s">
        <v>315</v>
      </c>
      <c r="C23" s="11" t="s">
        <v>282</v>
      </c>
      <c r="D23" s="5" t="s">
        <v>54</v>
      </c>
      <c r="E23" s="5" t="s">
        <v>55</v>
      </c>
      <c r="F23" s="5"/>
      <c r="G23" s="22" t="n">
        <f aca="false">ROUND(SUM(I23:P23),3)</f>
        <v>83.908</v>
      </c>
      <c r="H23" s="5" t="str">
        <f aca="false">IF(G23&gt;=評分方法!$C$16,"優先評估",IF(G23&gt;=評分方法!$C$17,"列入候選",IF(G23&gt;=評分方法!$C$18,"特定情境","不建議")))</f>
        <v>優先評估</v>
      </c>
      <c r="I23" s="15" t="n">
        <f aca="false">AE23*評分方法!$C$5</f>
        <v>27</v>
      </c>
      <c r="J23" s="15" t="n">
        <f aca="false">AF23*評分方法!$C$6</f>
        <v>0</v>
      </c>
      <c r="K23" s="15" t="n">
        <f aca="false">AG23*評分方法!$C$7</f>
        <v>15</v>
      </c>
      <c r="L23" s="15" t="n">
        <f aca="false">AH23*評分方法!$C$8</f>
        <v>15</v>
      </c>
      <c r="M23" s="15" t="n">
        <f aca="false">AI23*評分方法!$C$9</f>
        <v>10</v>
      </c>
      <c r="N23" s="15" t="n">
        <f aca="false">AJ23*評分方法!$C$10</f>
        <v>9.408</v>
      </c>
      <c r="O23" s="15" t="n">
        <f aca="false">AK23*評分方法!$C$11</f>
        <v>2.5</v>
      </c>
      <c r="P23" s="15" t="n">
        <f aca="false">AL23*評分方法!$C$12</f>
        <v>5</v>
      </c>
      <c r="Q23" s="6" t="n">
        <v>7375555</v>
      </c>
      <c r="R23" s="6" t="n">
        <v>134734080</v>
      </c>
      <c r="S23" s="11" t="s">
        <v>238</v>
      </c>
      <c r="T23" s="11" t="s">
        <v>239</v>
      </c>
      <c r="U23" s="5" t="s">
        <v>240</v>
      </c>
      <c r="V23" s="11" t="s">
        <v>283</v>
      </c>
      <c r="W23" s="5" t="s">
        <v>205</v>
      </c>
      <c r="X23" s="5" t="s">
        <v>284</v>
      </c>
      <c r="Y23" s="5"/>
      <c r="Z23" s="5"/>
      <c r="AA23" s="11" t="s">
        <v>152</v>
      </c>
      <c r="AB23" s="5" t="s">
        <v>245</v>
      </c>
      <c r="AC23" s="5"/>
      <c r="AD23" s="11" t="s">
        <v>316</v>
      </c>
      <c r="AE23" s="23" t="n">
        <v>0.9</v>
      </c>
      <c r="AF23" s="23" t="n">
        <v>0</v>
      </c>
      <c r="AG23" s="23" t="n">
        <v>1</v>
      </c>
      <c r="AH23" s="23" t="n">
        <v>1</v>
      </c>
      <c r="AI23" s="23" t="n">
        <v>1</v>
      </c>
      <c r="AJ23" s="23" t="n">
        <v>0.9408</v>
      </c>
      <c r="AK23" s="23" t="n">
        <v>0.5</v>
      </c>
      <c r="AL23" s="23" t="n">
        <v>1</v>
      </c>
      <c r="AM23" s="16" t="n">
        <f aca="false">COUNTIFS($D$2:$D$2501,D23,$G$2:$G$2501,"&gt;"&amp;G23)+COUNTIFS($D$2:D23,D23,$G$2:G23,G23)</f>
        <v>12</v>
      </c>
      <c r="AN23" s="5" t="str">
        <f aca="false">D23&amp;"|"&amp;AM23</f>
        <v>檢索與情資關聯|12</v>
      </c>
    </row>
    <row r="24" customFormat="false" ht="17.15" hidden="false" customHeight="false" outlineLevel="0" collapsed="false">
      <c r="A24" s="16" t="n">
        <f aca="false">RANK(G24,$G$2:$G$2501)+COUNTIF($G$2:G24,G24)-1</f>
        <v>23</v>
      </c>
      <c r="B24" s="11" t="s">
        <v>317</v>
      </c>
      <c r="C24" s="11" t="s">
        <v>282</v>
      </c>
      <c r="D24" s="5" t="s">
        <v>54</v>
      </c>
      <c r="E24" s="5" t="s">
        <v>55</v>
      </c>
      <c r="F24" s="5"/>
      <c r="G24" s="22" t="n">
        <f aca="false">ROUND(SUM(I24:P24),3)</f>
        <v>83.84</v>
      </c>
      <c r="H24" s="5" t="str">
        <f aca="false">IF(G24&gt;=評分方法!$C$16,"優先評估",IF(G24&gt;=評分方法!$C$17,"列入候選",IF(G24&gt;=評分方法!$C$18,"特定情境","不建議")))</f>
        <v>優先評估</v>
      </c>
      <c r="I24" s="15" t="n">
        <f aca="false">AE24*評分方法!$C$5</f>
        <v>27</v>
      </c>
      <c r="J24" s="15" t="n">
        <f aca="false">AF24*評分方法!$C$6</f>
        <v>0</v>
      </c>
      <c r="K24" s="15" t="n">
        <f aca="false">AG24*評分方法!$C$7</f>
        <v>15</v>
      </c>
      <c r="L24" s="15" t="n">
        <f aca="false">AH24*評分方法!$C$8</f>
        <v>15</v>
      </c>
      <c r="M24" s="15" t="n">
        <f aca="false">AI24*評分方法!$C$9</f>
        <v>10</v>
      </c>
      <c r="N24" s="15" t="n">
        <f aca="false">AJ24*評分方法!$C$10</f>
        <v>9.34</v>
      </c>
      <c r="O24" s="15" t="n">
        <f aca="false">AK24*評分方法!$C$11</f>
        <v>2.5</v>
      </c>
      <c r="P24" s="15" t="n">
        <f aca="false">AL24*評分方法!$C$12</f>
        <v>5</v>
      </c>
      <c r="Q24" s="6" t="n">
        <v>6560606</v>
      </c>
      <c r="R24" s="6" t="n">
        <v>134734080</v>
      </c>
      <c r="S24" s="11" t="s">
        <v>238</v>
      </c>
      <c r="T24" s="11" t="s">
        <v>239</v>
      </c>
      <c r="U24" s="5" t="s">
        <v>240</v>
      </c>
      <c r="V24" s="11" t="s">
        <v>283</v>
      </c>
      <c r="W24" s="5" t="s">
        <v>205</v>
      </c>
      <c r="X24" s="5" t="s">
        <v>284</v>
      </c>
      <c r="Y24" s="5"/>
      <c r="Z24" s="5"/>
      <c r="AA24" s="11" t="s">
        <v>152</v>
      </c>
      <c r="AB24" s="5" t="s">
        <v>245</v>
      </c>
      <c r="AC24" s="5"/>
      <c r="AD24" s="11" t="s">
        <v>318</v>
      </c>
      <c r="AE24" s="23" t="n">
        <v>0.9</v>
      </c>
      <c r="AF24" s="23" t="n">
        <v>0</v>
      </c>
      <c r="AG24" s="23" t="n">
        <v>1</v>
      </c>
      <c r="AH24" s="23" t="n">
        <v>1</v>
      </c>
      <c r="AI24" s="23" t="n">
        <v>1</v>
      </c>
      <c r="AJ24" s="23" t="n">
        <v>0.934</v>
      </c>
      <c r="AK24" s="23" t="n">
        <v>0.5</v>
      </c>
      <c r="AL24" s="23" t="n">
        <v>1</v>
      </c>
      <c r="AM24" s="16" t="n">
        <f aca="false">COUNTIFS($D$2:$D$2501,D24,$G$2:$G$2501,"&gt;"&amp;G24)+COUNTIFS($D$2:D24,D24,$G$2:G24,G24)</f>
        <v>13</v>
      </c>
      <c r="AN24" s="5" t="str">
        <f aca="false">D24&amp;"|"&amp;AM24</f>
        <v>檢索與情資關聯|13</v>
      </c>
    </row>
    <row r="25" customFormat="false" ht="17.15" hidden="false" customHeight="false" outlineLevel="0" collapsed="false">
      <c r="A25" s="16" t="n">
        <f aca="false">RANK(G25,$G$2:$G$2501)+COUNTIF($G$2:G25,G25)-1</f>
        <v>24</v>
      </c>
      <c r="B25" s="11" t="s">
        <v>319</v>
      </c>
      <c r="C25" s="11" t="s">
        <v>282</v>
      </c>
      <c r="D25" s="5" t="s">
        <v>54</v>
      </c>
      <c r="E25" s="5" t="s">
        <v>55</v>
      </c>
      <c r="F25" s="5"/>
      <c r="G25" s="22" t="n">
        <f aca="false">ROUND(SUM(I25:P25),3)</f>
        <v>83.7</v>
      </c>
      <c r="H25" s="5" t="str">
        <f aca="false">IF(G25&gt;=評分方法!$C$16,"優先評估",IF(G25&gt;=評分方法!$C$17,"列入候選",IF(G25&gt;=評分方法!$C$18,"特定情境","不建議")))</f>
        <v>優先評估</v>
      </c>
      <c r="I25" s="15" t="n">
        <f aca="false">AE25*評分方法!$C$5</f>
        <v>27</v>
      </c>
      <c r="J25" s="15" t="n">
        <f aca="false">AF25*評分方法!$C$6</f>
        <v>0</v>
      </c>
      <c r="K25" s="15" t="n">
        <f aca="false">AG25*評分方法!$C$7</f>
        <v>15</v>
      </c>
      <c r="L25" s="15" t="n">
        <f aca="false">AH25*評分方法!$C$8</f>
        <v>15</v>
      </c>
      <c r="M25" s="15" t="n">
        <f aca="false">AI25*評分方法!$C$9</f>
        <v>10</v>
      </c>
      <c r="N25" s="15" t="n">
        <f aca="false">AJ25*評分方法!$C$10</f>
        <v>9.2</v>
      </c>
      <c r="O25" s="15" t="n">
        <f aca="false">AK25*評分方法!$C$11</f>
        <v>2.5</v>
      </c>
      <c r="P25" s="15" t="n">
        <f aca="false">AL25*評分方法!$C$12</f>
        <v>5</v>
      </c>
      <c r="Q25" s="6" t="n">
        <v>5106553</v>
      </c>
      <c r="R25" s="6" t="n">
        <v>470927360</v>
      </c>
      <c r="S25" s="11" t="s">
        <v>238</v>
      </c>
      <c r="T25" s="11" t="s">
        <v>239</v>
      </c>
      <c r="U25" s="5" t="s">
        <v>240</v>
      </c>
      <c r="V25" s="11" t="s">
        <v>320</v>
      </c>
      <c r="W25" s="5" t="s">
        <v>205</v>
      </c>
      <c r="X25" s="5" t="s">
        <v>284</v>
      </c>
      <c r="Y25" s="5"/>
      <c r="Z25" s="5"/>
      <c r="AA25" s="11" t="s">
        <v>152</v>
      </c>
      <c r="AB25" s="5" t="s">
        <v>245</v>
      </c>
      <c r="AC25" s="5"/>
      <c r="AD25" s="11" t="s">
        <v>321</v>
      </c>
      <c r="AE25" s="23" t="n">
        <v>0.9</v>
      </c>
      <c r="AF25" s="23" t="n">
        <v>0</v>
      </c>
      <c r="AG25" s="23" t="n">
        <v>1</v>
      </c>
      <c r="AH25" s="23" t="n">
        <v>1</v>
      </c>
      <c r="AI25" s="23" t="n">
        <v>1</v>
      </c>
      <c r="AJ25" s="23" t="n">
        <v>0.92</v>
      </c>
      <c r="AK25" s="23" t="n">
        <v>0.5</v>
      </c>
      <c r="AL25" s="23" t="n">
        <v>1</v>
      </c>
      <c r="AM25" s="16" t="n">
        <f aca="false">COUNTIFS($D$2:$D$2501,D25,$G$2:$G$2501,"&gt;"&amp;G25)+COUNTIFS($D$2:D25,D25,$G$2:G25,G25)</f>
        <v>14</v>
      </c>
      <c r="AN25" s="5" t="str">
        <f aca="false">D25&amp;"|"&amp;AM25</f>
        <v>檢索與情資關聯|14</v>
      </c>
    </row>
    <row r="26" customFormat="false" ht="17.15" hidden="false" customHeight="false" outlineLevel="0" collapsed="false">
      <c r="A26" s="16" t="n">
        <f aca="false">RANK(G26,$G$2:$G$2501)+COUNTIF($G$2:G26,G26)-1</f>
        <v>25</v>
      </c>
      <c r="B26" s="11" t="s">
        <v>322</v>
      </c>
      <c r="C26" s="11" t="s">
        <v>323</v>
      </c>
      <c r="D26" s="11" t="s">
        <v>46</v>
      </c>
      <c r="E26" s="11" t="s">
        <v>47</v>
      </c>
      <c r="F26" s="11" t="s">
        <v>46</v>
      </c>
      <c r="G26" s="22" t="n">
        <f aca="false">ROUND(SUM(I26:P26),3)</f>
        <v>83.138</v>
      </c>
      <c r="H26" s="5" t="str">
        <f aca="false">IF(G26&gt;=評分方法!$C$16,"優先評估",IF(G26&gt;=評分方法!$C$17,"列入候選",IF(G26&gt;=評分方法!$C$18,"特定情境","不建議")))</f>
        <v>優先評估</v>
      </c>
      <c r="I26" s="15" t="n">
        <f aca="false">AE26*評分方法!$C$5</f>
        <v>25.5</v>
      </c>
      <c r="J26" s="15" t="n">
        <f aca="false">AF26*評分方法!$C$6</f>
        <v>10</v>
      </c>
      <c r="K26" s="15" t="n">
        <f aca="false">AG26*評分方法!$C$7</f>
        <v>15</v>
      </c>
      <c r="L26" s="15" t="n">
        <f aca="false">AH26*評分方法!$C$8</f>
        <v>13.05</v>
      </c>
      <c r="M26" s="15" t="n">
        <f aca="false">AI26*評分方法!$C$9</f>
        <v>10</v>
      </c>
      <c r="N26" s="15" t="n">
        <f aca="false">AJ26*評分方法!$C$10</f>
        <v>7.088</v>
      </c>
      <c r="O26" s="15" t="n">
        <f aca="false">AK26*評分方法!$C$11</f>
        <v>2.5</v>
      </c>
      <c r="P26" s="15" t="n">
        <f aca="false">AL26*評分方法!$C$12</f>
        <v>0</v>
      </c>
      <c r="Q26" s="6" t="n">
        <v>954952</v>
      </c>
      <c r="R26" s="6" t="n">
        <v>7248031744</v>
      </c>
      <c r="S26" s="11" t="s">
        <v>254</v>
      </c>
      <c r="T26" s="11" t="s">
        <v>239</v>
      </c>
      <c r="U26" s="5" t="s">
        <v>240</v>
      </c>
      <c r="V26" s="11" t="s">
        <v>324</v>
      </c>
      <c r="W26" s="5" t="s">
        <v>205</v>
      </c>
      <c r="X26" s="5" t="s">
        <v>242</v>
      </c>
      <c r="Y26" s="5"/>
      <c r="Z26" s="5"/>
      <c r="AA26" s="11" t="s">
        <v>155</v>
      </c>
      <c r="AB26" s="5" t="s">
        <v>245</v>
      </c>
      <c r="AC26" s="5"/>
      <c r="AD26" s="11" t="s">
        <v>325</v>
      </c>
      <c r="AE26" s="23" t="n">
        <v>0.85</v>
      </c>
      <c r="AF26" s="23" t="n">
        <v>1</v>
      </c>
      <c r="AG26" s="23" t="n">
        <v>1</v>
      </c>
      <c r="AH26" s="23" t="n">
        <v>0.87</v>
      </c>
      <c r="AI26" s="23" t="n">
        <v>1</v>
      </c>
      <c r="AJ26" s="23" t="n">
        <v>0.7088</v>
      </c>
      <c r="AK26" s="23" t="n">
        <v>0.5</v>
      </c>
      <c r="AL26" s="23" t="n">
        <v>0</v>
      </c>
      <c r="AM26" s="16" t="n">
        <f aca="false">COUNTIFS($D$2:$D$2501,D26,$G$2:$G$2501,"&gt;"&amp;G26)+COUNTIFS($D$2:D26,D26,$G$2:G26,G26)</f>
        <v>5</v>
      </c>
      <c r="AN26" s="5" t="str">
        <f aca="false">D26&amp;"|"&amp;AM26</f>
        <v>AI 應用防護|5</v>
      </c>
    </row>
    <row r="27" customFormat="false" ht="17.15" hidden="false" customHeight="false" outlineLevel="0" collapsed="false">
      <c r="A27" s="16" t="n">
        <f aca="false">RANK(G27,$G$2:$G$2501)+COUNTIF($G$2:G27,G27)-1</f>
        <v>26</v>
      </c>
      <c r="B27" s="11" t="s">
        <v>326</v>
      </c>
      <c r="C27" s="11" t="s">
        <v>327</v>
      </c>
      <c r="D27" s="11" t="s">
        <v>46</v>
      </c>
      <c r="E27" s="11" t="s">
        <v>47</v>
      </c>
      <c r="F27" s="11" t="s">
        <v>46</v>
      </c>
      <c r="G27" s="22" t="n">
        <f aca="false">ROUND(SUM(I27:P27),3)</f>
        <v>83.09</v>
      </c>
      <c r="H27" s="5" t="str">
        <f aca="false">IF(G27&gt;=評分方法!$C$16,"優先評估",IF(G27&gt;=評分方法!$C$17,"列入候選",IF(G27&gt;=評分方法!$C$18,"特定情境","不建議")))</f>
        <v>優先評估</v>
      </c>
      <c r="I27" s="15" t="n">
        <f aca="false">AE27*評分方法!$C$5</f>
        <v>25.5</v>
      </c>
      <c r="J27" s="15" t="n">
        <f aca="false">AF27*評分方法!$C$6</f>
        <v>10</v>
      </c>
      <c r="K27" s="15" t="n">
        <f aca="false">AG27*評分方法!$C$7</f>
        <v>15</v>
      </c>
      <c r="L27" s="15" t="n">
        <f aca="false">AH27*評分方法!$C$8</f>
        <v>13.05</v>
      </c>
      <c r="M27" s="15" t="n">
        <f aca="false">AI27*評分方法!$C$9</f>
        <v>6</v>
      </c>
      <c r="N27" s="15" t="n">
        <f aca="false">AJ27*評分方法!$C$10</f>
        <v>3.54</v>
      </c>
      <c r="O27" s="15" t="n">
        <f aca="false">AK27*評分方法!$C$11</f>
        <v>5</v>
      </c>
      <c r="P27" s="15" t="n">
        <f aca="false">AL27*評分方法!$C$12</f>
        <v>5</v>
      </c>
      <c r="Q27" s="6" t="n">
        <v>354945</v>
      </c>
      <c r="R27" s="6" t="n">
        <v>4300079472</v>
      </c>
      <c r="S27" s="11" t="s">
        <v>254</v>
      </c>
      <c r="T27" s="11" t="s">
        <v>185</v>
      </c>
      <c r="U27" s="5" t="s">
        <v>260</v>
      </c>
      <c r="V27" s="11" t="s">
        <v>261</v>
      </c>
      <c r="W27" s="5" t="s">
        <v>205</v>
      </c>
      <c r="X27" s="5" t="s">
        <v>284</v>
      </c>
      <c r="Y27" s="5"/>
      <c r="Z27" s="5"/>
      <c r="AA27" s="11" t="s">
        <v>155</v>
      </c>
      <c r="AB27" s="5" t="s">
        <v>328</v>
      </c>
      <c r="AC27" s="5" t="s">
        <v>329</v>
      </c>
      <c r="AD27" s="11" t="s">
        <v>330</v>
      </c>
      <c r="AE27" s="23" t="n">
        <v>0.85</v>
      </c>
      <c r="AF27" s="23" t="n">
        <v>1</v>
      </c>
      <c r="AG27" s="23" t="n">
        <v>1</v>
      </c>
      <c r="AH27" s="23" t="n">
        <v>0.87</v>
      </c>
      <c r="AI27" s="23" t="n">
        <v>0.6</v>
      </c>
      <c r="AJ27" s="23" t="n">
        <v>0.354</v>
      </c>
      <c r="AK27" s="23" t="n">
        <v>1</v>
      </c>
      <c r="AL27" s="23" t="n">
        <v>1</v>
      </c>
      <c r="AM27" s="16" t="n">
        <f aca="false">COUNTIFS($D$2:$D$2501,D27,$G$2:$G$2501,"&gt;"&amp;G27)+COUNTIFS($D$2:D27,D27,$G$2:G27,G27)</f>
        <v>6</v>
      </c>
      <c r="AN27" s="5" t="str">
        <f aca="false">D27&amp;"|"&amp;AM27</f>
        <v>AI 應用防護|6</v>
      </c>
    </row>
    <row r="28" customFormat="false" ht="17.15" hidden="false" customHeight="false" outlineLevel="0" collapsed="false">
      <c r="A28" s="16" t="n">
        <f aca="false">RANK(G28,$G$2:$G$2501)+COUNTIF($G$2:G28,G28)-1</f>
        <v>27</v>
      </c>
      <c r="B28" s="11" t="s">
        <v>331</v>
      </c>
      <c r="C28" s="11" t="s">
        <v>332</v>
      </c>
      <c r="D28" s="5" t="s">
        <v>48</v>
      </c>
      <c r="E28" s="5" t="s">
        <v>49</v>
      </c>
      <c r="F28" s="5" t="s">
        <v>48</v>
      </c>
      <c r="G28" s="22" t="n">
        <f aca="false">ROUND(SUM(I28:P28),3)</f>
        <v>82.676</v>
      </c>
      <c r="H28" s="5" t="str">
        <f aca="false">IF(G28&gt;=評分方法!$C$16,"優先評估",IF(G28&gt;=評分方法!$C$17,"列入候選",IF(G28&gt;=評分方法!$C$18,"特定情境","不建議")))</f>
        <v>優先評估</v>
      </c>
      <c r="I28" s="15" t="n">
        <f aca="false">AE28*評分方法!$C$5</f>
        <v>28.5</v>
      </c>
      <c r="J28" s="15" t="n">
        <f aca="false">AF28*評分方法!$C$6</f>
        <v>10</v>
      </c>
      <c r="K28" s="15" t="n">
        <f aca="false">AG28*評分方法!$C$7</f>
        <v>4.95</v>
      </c>
      <c r="L28" s="15" t="n">
        <f aca="false">AH28*評分方法!$C$8</f>
        <v>13.05</v>
      </c>
      <c r="M28" s="15" t="n">
        <f aca="false">AI28*評分方法!$C$9</f>
        <v>10</v>
      </c>
      <c r="N28" s="15" t="n">
        <f aca="false">AJ28*評分方法!$C$10</f>
        <v>6.176</v>
      </c>
      <c r="O28" s="15" t="n">
        <f aca="false">AK28*評分方法!$C$11</f>
        <v>5</v>
      </c>
      <c r="P28" s="15" t="n">
        <f aca="false">AL28*評分方法!$C$12</f>
        <v>5</v>
      </c>
      <c r="Q28" s="6" t="n">
        <v>661379</v>
      </c>
      <c r="R28" s="6" t="n">
        <v>1399604809</v>
      </c>
      <c r="S28" s="11" t="s">
        <v>254</v>
      </c>
      <c r="T28" s="11" t="s">
        <v>239</v>
      </c>
      <c r="U28" s="5" t="s">
        <v>240</v>
      </c>
      <c r="V28" s="11" t="s">
        <v>333</v>
      </c>
      <c r="W28" s="5" t="s">
        <v>334</v>
      </c>
      <c r="X28" s="5" t="s">
        <v>284</v>
      </c>
      <c r="Y28" s="11" t="s">
        <v>335</v>
      </c>
      <c r="Z28" s="11" t="s">
        <v>244</v>
      </c>
      <c r="AA28" s="11" t="s">
        <v>150</v>
      </c>
      <c r="AB28" s="5" t="s">
        <v>245</v>
      </c>
      <c r="AC28" s="5" t="s">
        <v>246</v>
      </c>
      <c r="AD28" s="11" t="s">
        <v>336</v>
      </c>
      <c r="AE28" s="23" t="n">
        <v>0.95</v>
      </c>
      <c r="AF28" s="23" t="n">
        <v>1</v>
      </c>
      <c r="AG28" s="23" t="n">
        <v>0.33</v>
      </c>
      <c r="AH28" s="23" t="n">
        <v>0.87</v>
      </c>
      <c r="AI28" s="23" t="n">
        <v>1</v>
      </c>
      <c r="AJ28" s="23" t="n">
        <v>0.6176</v>
      </c>
      <c r="AK28" s="23" t="n">
        <v>1</v>
      </c>
      <c r="AL28" s="23" t="n">
        <v>1</v>
      </c>
      <c r="AM28" s="16" t="n">
        <f aca="false">COUNTIFS($D$2:$D$2501,D28,$G$2:$G$2501,"&gt;"&amp;G28)+COUNTIFS($D$2:D28,D28,$G$2:G28,G28)</f>
        <v>4</v>
      </c>
      <c r="AN28" s="5" t="str">
        <f aca="false">D28&amp;"|"&amp;AM28</f>
        <v>個資偵測與去識別化|4</v>
      </c>
    </row>
    <row r="29" customFormat="false" ht="17.15" hidden="false" customHeight="false" outlineLevel="0" collapsed="false">
      <c r="A29" s="16" t="n">
        <f aca="false">RANK(G29,$G$2:$G$2501)+COUNTIF($G$2:G29,G29)-1</f>
        <v>28</v>
      </c>
      <c r="B29" s="11" t="s">
        <v>337</v>
      </c>
      <c r="C29" s="11" t="s">
        <v>338</v>
      </c>
      <c r="D29" s="5" t="s">
        <v>56</v>
      </c>
      <c r="E29" s="5" t="s">
        <v>57</v>
      </c>
      <c r="F29" s="5"/>
      <c r="G29" s="22" t="n">
        <f aca="false">ROUND(SUM(I29:P29),3)</f>
        <v>82.322</v>
      </c>
      <c r="H29" s="5" t="str">
        <f aca="false">IF(G29&gt;=評分方法!$C$16,"優先評估",IF(G29&gt;=評分方法!$C$17,"列入候選",IF(G29&gt;=評分方法!$C$18,"特定情境","不建議")))</f>
        <v>優先評估</v>
      </c>
      <c r="I29" s="15" t="n">
        <f aca="false">AE29*評分方法!$C$5</f>
        <v>25.5</v>
      </c>
      <c r="J29" s="15" t="n">
        <f aca="false">AF29*評分方法!$C$6</f>
        <v>0</v>
      </c>
      <c r="K29" s="15" t="n">
        <f aca="false">AG29*評分方法!$C$7</f>
        <v>15</v>
      </c>
      <c r="L29" s="15" t="n">
        <f aca="false">AH29*評分方法!$C$8</f>
        <v>13.05</v>
      </c>
      <c r="M29" s="15" t="n">
        <f aca="false">AI29*評分方法!$C$9</f>
        <v>10</v>
      </c>
      <c r="N29" s="15" t="n">
        <f aca="false">AJ29*評分方法!$C$10</f>
        <v>8.772</v>
      </c>
      <c r="O29" s="15" t="n">
        <f aca="false">AK29*評分方法!$C$11</f>
        <v>5</v>
      </c>
      <c r="P29" s="15" t="n">
        <f aca="false">AL29*評分方法!$C$12</f>
        <v>5</v>
      </c>
      <c r="Q29" s="6" t="n">
        <v>2978637</v>
      </c>
      <c r="R29" s="6" t="n">
        <v>3849090048</v>
      </c>
      <c r="S29" s="11" t="s">
        <v>254</v>
      </c>
      <c r="T29" s="11" t="s">
        <v>239</v>
      </c>
      <c r="U29" s="5" t="s">
        <v>240</v>
      </c>
      <c r="V29" s="11" t="s">
        <v>261</v>
      </c>
      <c r="W29" s="5" t="s">
        <v>205</v>
      </c>
      <c r="X29" s="5" t="s">
        <v>284</v>
      </c>
      <c r="Y29" s="11" t="s">
        <v>339</v>
      </c>
      <c r="Z29" s="11" t="s">
        <v>244</v>
      </c>
      <c r="AA29" s="11" t="s">
        <v>155</v>
      </c>
      <c r="AB29" s="5" t="s">
        <v>328</v>
      </c>
      <c r="AC29" s="5" t="s">
        <v>340</v>
      </c>
      <c r="AD29" s="11" t="s">
        <v>341</v>
      </c>
      <c r="AE29" s="23" t="n">
        <v>0.85</v>
      </c>
      <c r="AF29" s="23" t="n">
        <v>0</v>
      </c>
      <c r="AG29" s="23" t="n">
        <v>1</v>
      </c>
      <c r="AH29" s="23" t="n">
        <v>0.87</v>
      </c>
      <c r="AI29" s="23" t="n">
        <v>1</v>
      </c>
      <c r="AJ29" s="23" t="n">
        <v>0.8772</v>
      </c>
      <c r="AK29" s="23" t="n">
        <v>1</v>
      </c>
      <c r="AL29" s="23" t="n">
        <v>1</v>
      </c>
      <c r="AM29" s="16" t="n">
        <f aca="false">COUNTIFS($D$2:$D$2501,D29,$G$2:$G$2501,"&gt;"&amp;G29)+COUNTIFS($D$2:D29,D29,$G$2:G29,G29)</f>
        <v>1</v>
      </c>
      <c r="AN29" s="5" t="str">
        <f aca="false">D29&amp;"|"&amp;AM29</f>
        <v>分析與報告生成|1</v>
      </c>
    </row>
    <row r="30" customFormat="false" ht="17.15" hidden="false" customHeight="false" outlineLevel="0" collapsed="false">
      <c r="A30" s="16" t="n">
        <f aca="false">RANK(G30,$G$2:$G$2501)+COUNTIF($G$2:G30,G30)-1</f>
        <v>29</v>
      </c>
      <c r="B30" s="11" t="s">
        <v>342</v>
      </c>
      <c r="C30" s="11" t="s">
        <v>265</v>
      </c>
      <c r="D30" s="5" t="s">
        <v>58</v>
      </c>
      <c r="E30" s="5" t="s">
        <v>59</v>
      </c>
      <c r="F30" s="5"/>
      <c r="G30" s="22" t="n">
        <f aca="false">ROUND(SUM(I30:P30),3)</f>
        <v>82.32</v>
      </c>
      <c r="H30" s="5" t="str">
        <f aca="false">IF(G30&gt;=評分方法!$C$16,"優先評估",IF(G30&gt;=評分方法!$C$17,"列入候選",IF(G30&gt;=評分方法!$C$18,"特定情境","不建議")))</f>
        <v>優先評估</v>
      </c>
      <c r="I30" s="15" t="n">
        <f aca="false">AE30*評分方法!$C$5</f>
        <v>28.5</v>
      </c>
      <c r="J30" s="15" t="n">
        <f aca="false">AF30*評分方法!$C$6</f>
        <v>0</v>
      </c>
      <c r="K30" s="15" t="n">
        <f aca="false">AG30*評分方法!$C$7</f>
        <v>15</v>
      </c>
      <c r="L30" s="15" t="n">
        <f aca="false">AH30*評分方法!$C$8</f>
        <v>15</v>
      </c>
      <c r="M30" s="15" t="n">
        <f aca="false">AI30*評分方法!$C$9</f>
        <v>10</v>
      </c>
      <c r="N30" s="15" t="n">
        <f aca="false">AJ30*評分方法!$C$10</f>
        <v>3.82</v>
      </c>
      <c r="O30" s="15" t="n">
        <f aca="false">AK30*評分方法!$C$11</f>
        <v>5</v>
      </c>
      <c r="P30" s="15" t="n">
        <f aca="false">AL30*評分方法!$C$12</f>
        <v>5</v>
      </c>
      <c r="Q30" s="6" t="n">
        <v>392554</v>
      </c>
      <c r="R30" s="6" t="n">
        <v>287355159</v>
      </c>
      <c r="S30" s="11" t="s">
        <v>238</v>
      </c>
      <c r="T30" s="11" t="s">
        <v>239</v>
      </c>
      <c r="U30" s="5" t="s">
        <v>240</v>
      </c>
      <c r="V30" s="11" t="s">
        <v>261</v>
      </c>
      <c r="W30" s="5" t="s">
        <v>205</v>
      </c>
      <c r="X30" s="5" t="s">
        <v>284</v>
      </c>
      <c r="Y30" s="5"/>
      <c r="Z30" s="5"/>
      <c r="AA30" s="11" t="s">
        <v>150</v>
      </c>
      <c r="AB30" s="5" t="s">
        <v>343</v>
      </c>
      <c r="AC30" s="5" t="s">
        <v>344</v>
      </c>
      <c r="AD30" s="11" t="s">
        <v>345</v>
      </c>
      <c r="AE30" s="23" t="n">
        <v>0.95</v>
      </c>
      <c r="AF30" s="23" t="n">
        <v>0</v>
      </c>
      <c r="AG30" s="23" t="n">
        <v>1</v>
      </c>
      <c r="AH30" s="23" t="n">
        <v>1</v>
      </c>
      <c r="AI30" s="23" t="n">
        <v>1</v>
      </c>
      <c r="AJ30" s="23" t="n">
        <v>0.382</v>
      </c>
      <c r="AK30" s="23" t="n">
        <v>1</v>
      </c>
      <c r="AL30" s="23" t="n">
        <v>1</v>
      </c>
      <c r="AM30" s="16" t="n">
        <f aca="false">COUNTIFS($D$2:$D$2501,D30,$G$2:$G$2501,"&gt;"&amp;G30)+COUNTIFS($D$2:D30,D30,$G$2:G30,G30)</f>
        <v>1</v>
      </c>
      <c r="AN30" s="5" t="str">
        <f aca="false">D30&amp;"|"&amp;AM30</f>
        <v>實體擷取與去識別化|1</v>
      </c>
    </row>
    <row r="31" customFormat="false" ht="17.15" hidden="false" customHeight="false" outlineLevel="0" collapsed="false">
      <c r="A31" s="16" t="n">
        <f aca="false">RANK(G31,$G$2:$G$2501)+COUNTIF($G$2:G31,G31)-1</f>
        <v>30</v>
      </c>
      <c r="B31" s="11" t="s">
        <v>346</v>
      </c>
      <c r="C31" s="11" t="s">
        <v>265</v>
      </c>
      <c r="D31" s="5" t="s">
        <v>58</v>
      </c>
      <c r="E31" s="5" t="s">
        <v>59</v>
      </c>
      <c r="F31" s="5"/>
      <c r="G31" s="22" t="n">
        <f aca="false">ROUND(SUM(I31:P31),3)</f>
        <v>82.284</v>
      </c>
      <c r="H31" s="5" t="str">
        <f aca="false">IF(G31&gt;=評分方法!$C$16,"優先評估",IF(G31&gt;=評分方法!$C$17,"列入候選",IF(G31&gt;=評分方法!$C$18,"特定情境","不建議")))</f>
        <v>優先評估</v>
      </c>
      <c r="I31" s="15" t="n">
        <f aca="false">AE31*評分方法!$C$5</f>
        <v>28.5</v>
      </c>
      <c r="J31" s="15" t="n">
        <f aca="false">AF31*評分方法!$C$6</f>
        <v>0</v>
      </c>
      <c r="K31" s="15" t="n">
        <f aca="false">AG31*評分方法!$C$7</f>
        <v>15</v>
      </c>
      <c r="L31" s="15" t="n">
        <f aca="false">AH31*評分方法!$C$8</f>
        <v>15</v>
      </c>
      <c r="M31" s="15" t="n">
        <f aca="false">AI31*評分方法!$C$9</f>
        <v>10</v>
      </c>
      <c r="N31" s="15" t="n">
        <f aca="false">AJ31*評分方法!$C$10</f>
        <v>8.784</v>
      </c>
      <c r="O31" s="15" t="n">
        <f aca="false">AK31*評分方法!$C$11</f>
        <v>5</v>
      </c>
      <c r="P31" s="15" t="n">
        <f aca="false">AL31*評分方法!$C$12</f>
        <v>0</v>
      </c>
      <c r="Q31" s="6" t="n">
        <v>3031150</v>
      </c>
      <c r="R31" s="6" t="n">
        <v>208476821</v>
      </c>
      <c r="S31" s="11" t="s">
        <v>238</v>
      </c>
      <c r="T31" s="11" t="s">
        <v>239</v>
      </c>
      <c r="U31" s="5" t="s">
        <v>240</v>
      </c>
      <c r="V31" s="11" t="s">
        <v>261</v>
      </c>
      <c r="W31" s="5" t="s">
        <v>205</v>
      </c>
      <c r="X31" s="5" t="s">
        <v>242</v>
      </c>
      <c r="Y31" s="5"/>
      <c r="Z31" s="5"/>
      <c r="AA31" s="11" t="s">
        <v>150</v>
      </c>
      <c r="AB31" s="5" t="s">
        <v>343</v>
      </c>
      <c r="AC31" s="5" t="s">
        <v>344</v>
      </c>
      <c r="AD31" s="11" t="s">
        <v>347</v>
      </c>
      <c r="AE31" s="23" t="n">
        <v>0.95</v>
      </c>
      <c r="AF31" s="23" t="n">
        <v>0</v>
      </c>
      <c r="AG31" s="23" t="n">
        <v>1</v>
      </c>
      <c r="AH31" s="23" t="n">
        <v>1</v>
      </c>
      <c r="AI31" s="23" t="n">
        <v>1</v>
      </c>
      <c r="AJ31" s="23" t="n">
        <v>0.8784</v>
      </c>
      <c r="AK31" s="23" t="n">
        <v>1</v>
      </c>
      <c r="AL31" s="23" t="n">
        <v>0</v>
      </c>
      <c r="AM31" s="16" t="n">
        <f aca="false">COUNTIFS($D$2:$D$2501,D31,$G$2:$G$2501,"&gt;"&amp;G31)+COUNTIFS($D$2:D31,D31,$G$2:G31,G31)</f>
        <v>2</v>
      </c>
      <c r="AN31" s="5" t="str">
        <f aca="false">D31&amp;"|"&amp;AM31</f>
        <v>實體擷取與去識別化|2</v>
      </c>
    </row>
    <row r="32" customFormat="false" ht="17.15" hidden="false" customHeight="false" outlineLevel="0" collapsed="false">
      <c r="A32" s="16" t="n">
        <f aca="false">RANK(G32,$G$2:$G$2501)+COUNTIF($G$2:G32,G32)-1</f>
        <v>31</v>
      </c>
      <c r="B32" s="11" t="s">
        <v>348</v>
      </c>
      <c r="C32" s="11" t="s">
        <v>349</v>
      </c>
      <c r="D32" s="11" t="s">
        <v>60</v>
      </c>
      <c r="E32" s="11" t="s">
        <v>61</v>
      </c>
      <c r="F32" s="11" t="s">
        <v>60</v>
      </c>
      <c r="G32" s="22" t="n">
        <f aca="false">ROUND(SUM(I32:P32),3)</f>
        <v>82.04</v>
      </c>
      <c r="H32" s="5" t="str">
        <f aca="false">IF(G32&gt;=評分方法!$C$16,"優先評估",IF(G32&gt;=評分方法!$C$17,"列入候選",IF(G32&gt;=評分方法!$C$18,"特定情境","不建議")))</f>
        <v>優先評估</v>
      </c>
      <c r="I32" s="15" t="n">
        <f aca="false">AE32*評分方法!$C$5</f>
        <v>30</v>
      </c>
      <c r="J32" s="15" t="n">
        <f aca="false">AF32*評分方法!$C$6</f>
        <v>10</v>
      </c>
      <c r="K32" s="15" t="n">
        <f aca="false">AG32*評分方法!$C$7</f>
        <v>15</v>
      </c>
      <c r="L32" s="15" t="n">
        <f aca="false">AH32*評分方法!$C$8</f>
        <v>15</v>
      </c>
      <c r="M32" s="15" t="n">
        <f aca="false">AI32*評分方法!$C$9</f>
        <v>6</v>
      </c>
      <c r="N32" s="15" t="n">
        <f aca="false">AJ32*評分方法!$C$10</f>
        <v>2.04</v>
      </c>
      <c r="O32" s="15" t="n">
        <f aca="false">AK32*評分方法!$C$11</f>
        <v>4</v>
      </c>
      <c r="P32" s="15" t="n">
        <f aca="false">AL32*評分方法!$C$12</f>
        <v>0</v>
      </c>
      <c r="Q32" s="6" t="n">
        <v>213425</v>
      </c>
      <c r="R32" s="6" t="n">
        <v>149606402</v>
      </c>
      <c r="S32" s="11" t="s">
        <v>238</v>
      </c>
      <c r="T32" s="11" t="s">
        <v>185</v>
      </c>
      <c r="U32" s="5" t="s">
        <v>260</v>
      </c>
      <c r="V32" s="11" t="s">
        <v>261</v>
      </c>
      <c r="W32" s="5" t="s">
        <v>205</v>
      </c>
      <c r="X32" s="5" t="s">
        <v>242</v>
      </c>
      <c r="Y32" s="11" t="s">
        <v>350</v>
      </c>
      <c r="Z32" s="11" t="s">
        <v>270</v>
      </c>
      <c r="AA32" s="11" t="s">
        <v>149</v>
      </c>
      <c r="AB32" s="5" t="s">
        <v>245</v>
      </c>
      <c r="AC32" s="5" t="s">
        <v>262</v>
      </c>
      <c r="AD32" s="11" t="s">
        <v>351</v>
      </c>
      <c r="AE32" s="23" t="n">
        <v>1</v>
      </c>
      <c r="AF32" s="23" t="n">
        <v>1</v>
      </c>
      <c r="AG32" s="23" t="n">
        <v>1</v>
      </c>
      <c r="AH32" s="23" t="n">
        <v>1</v>
      </c>
      <c r="AI32" s="23" t="n">
        <v>0.6</v>
      </c>
      <c r="AJ32" s="23" t="n">
        <v>0.204</v>
      </c>
      <c r="AK32" s="23" t="n">
        <v>0.8</v>
      </c>
      <c r="AL32" s="23" t="n">
        <v>0</v>
      </c>
      <c r="AM32" s="16" t="n">
        <f aca="false">COUNTIFS($D$2:$D$2501,D32,$G$2:$G$2501,"&gt;"&amp;G32)+COUNTIFS($D$2:D32,D32,$G$2:G32,G32)</f>
        <v>1</v>
      </c>
      <c r="AN32" s="5" t="str">
        <f aca="false">D32&amp;"|"&amp;AM32</f>
        <v>AI 紅隊評估|1</v>
      </c>
    </row>
    <row r="33" customFormat="false" ht="17.15" hidden="false" customHeight="false" outlineLevel="0" collapsed="false">
      <c r="A33" s="16" t="n">
        <f aca="false">RANK(G33,$G$2:$G$2501)+COUNTIF($G$2:G33,G33)-1</f>
        <v>32</v>
      </c>
      <c r="B33" s="11" t="s">
        <v>352</v>
      </c>
      <c r="C33" s="11" t="s">
        <v>282</v>
      </c>
      <c r="D33" s="5" t="s">
        <v>54</v>
      </c>
      <c r="E33" s="5" t="s">
        <v>55</v>
      </c>
      <c r="F33" s="5"/>
      <c r="G33" s="22" t="n">
        <f aca="false">ROUND(SUM(I33:P33),3)</f>
        <v>82</v>
      </c>
      <c r="H33" s="5" t="str">
        <f aca="false">IF(G33&gt;=評分方法!$C$16,"優先評估",IF(G33&gt;=評分方法!$C$17,"列入候選",IF(G33&gt;=評分方法!$C$18,"特定情境","不建議")))</f>
        <v>優先評估</v>
      </c>
      <c r="I33" s="15" t="n">
        <f aca="false">AE33*評分方法!$C$5</f>
        <v>27</v>
      </c>
      <c r="J33" s="15" t="n">
        <f aca="false">AF33*評分方法!$C$6</f>
        <v>0</v>
      </c>
      <c r="K33" s="15" t="n">
        <f aca="false">AG33*評分方法!$C$7</f>
        <v>15</v>
      </c>
      <c r="L33" s="15" t="n">
        <f aca="false">AH33*評分方法!$C$8</f>
        <v>15</v>
      </c>
      <c r="M33" s="15" t="n">
        <f aca="false">AI33*評分方法!$C$9</f>
        <v>10</v>
      </c>
      <c r="N33" s="15" t="n">
        <f aca="false">AJ33*評分方法!$C$10</f>
        <v>10</v>
      </c>
      <c r="O33" s="15" t="n">
        <f aca="false">AK33*評分方法!$C$11</f>
        <v>5</v>
      </c>
      <c r="P33" s="15" t="n">
        <f aca="false">AL33*評分方法!$C$12</f>
        <v>0</v>
      </c>
      <c r="Q33" s="6" t="n">
        <v>1541997836</v>
      </c>
      <c r="R33" s="6" t="n">
        <v>22713728</v>
      </c>
      <c r="S33" s="11" t="s">
        <v>238</v>
      </c>
      <c r="T33" s="11" t="s">
        <v>239</v>
      </c>
      <c r="U33" s="5" t="s">
        <v>240</v>
      </c>
      <c r="V33" s="11" t="s">
        <v>283</v>
      </c>
      <c r="W33" s="5" t="s">
        <v>205</v>
      </c>
      <c r="X33" s="5" t="s">
        <v>242</v>
      </c>
      <c r="Y33" s="11" t="s">
        <v>353</v>
      </c>
      <c r="Z33" s="11" t="s">
        <v>244</v>
      </c>
      <c r="AA33" s="11" t="s">
        <v>152</v>
      </c>
      <c r="AB33" s="5" t="s">
        <v>245</v>
      </c>
      <c r="AC33" s="5" t="s">
        <v>246</v>
      </c>
      <c r="AD33" s="11" t="s">
        <v>354</v>
      </c>
      <c r="AE33" s="23" t="n">
        <v>0.9</v>
      </c>
      <c r="AF33" s="23" t="n">
        <v>0</v>
      </c>
      <c r="AG33" s="23" t="n">
        <v>1</v>
      </c>
      <c r="AH33" s="23" t="n">
        <v>1</v>
      </c>
      <c r="AI33" s="23" t="n">
        <v>1</v>
      </c>
      <c r="AJ33" s="23" t="n">
        <v>1</v>
      </c>
      <c r="AK33" s="23" t="n">
        <v>1</v>
      </c>
      <c r="AL33" s="23" t="n">
        <v>0</v>
      </c>
      <c r="AM33" s="16" t="n">
        <f aca="false">COUNTIFS($D$2:$D$2501,D33,$G$2:$G$2501,"&gt;"&amp;G33)+COUNTIFS($D$2:D33,D33,$G$2:G33,G33)</f>
        <v>15</v>
      </c>
      <c r="AN33" s="5" t="str">
        <f aca="false">D33&amp;"|"&amp;AM33</f>
        <v>檢索與情資關聯|15</v>
      </c>
    </row>
    <row r="34" customFormat="false" ht="17.15" hidden="false" customHeight="false" outlineLevel="0" collapsed="false">
      <c r="A34" s="16" t="n">
        <f aca="false">RANK(G34,$G$2:$G$2501)+COUNTIF($G$2:G34,G34)-1</f>
        <v>33</v>
      </c>
      <c r="B34" s="11" t="s">
        <v>355</v>
      </c>
      <c r="C34" s="11" t="s">
        <v>302</v>
      </c>
      <c r="D34" s="5" t="s">
        <v>54</v>
      </c>
      <c r="E34" s="5" t="s">
        <v>55</v>
      </c>
      <c r="F34" s="5"/>
      <c r="G34" s="22" t="n">
        <f aca="false">ROUND(SUM(I34:P34),3)</f>
        <v>81.996</v>
      </c>
      <c r="H34" s="5" t="str">
        <f aca="false">IF(G34&gt;=評分方法!$C$16,"優先評估",IF(G34&gt;=評分方法!$C$17,"列入候選",IF(G34&gt;=評分方法!$C$18,"特定情境","不建議")))</f>
        <v>優先評估</v>
      </c>
      <c r="I34" s="15" t="n">
        <f aca="false">AE34*評分方法!$C$5</f>
        <v>27</v>
      </c>
      <c r="J34" s="15" t="n">
        <f aca="false">AF34*評分方法!$C$6</f>
        <v>0</v>
      </c>
      <c r="K34" s="15" t="n">
        <f aca="false">AG34*評分方法!$C$7</f>
        <v>15</v>
      </c>
      <c r="L34" s="15" t="n">
        <f aca="false">AH34*評分方法!$C$8</f>
        <v>15</v>
      </c>
      <c r="M34" s="15" t="n">
        <f aca="false">AI34*評分方法!$C$9</f>
        <v>10</v>
      </c>
      <c r="N34" s="15" t="n">
        <f aca="false">AJ34*評分方法!$C$10</f>
        <v>9.996</v>
      </c>
      <c r="O34" s="15" t="n">
        <f aca="false">AK34*評分方法!$C$11</f>
        <v>5</v>
      </c>
      <c r="P34" s="15" t="n">
        <f aca="false">AL34*評分方法!$C$12</f>
        <v>0</v>
      </c>
      <c r="Q34" s="6" t="n">
        <v>503002254</v>
      </c>
      <c r="R34" s="6" t="n">
        <v>22714113</v>
      </c>
      <c r="S34" s="11" t="s">
        <v>238</v>
      </c>
      <c r="T34" s="11" t="s">
        <v>239</v>
      </c>
      <c r="U34" s="5" t="s">
        <v>240</v>
      </c>
      <c r="V34" s="11" t="s">
        <v>356</v>
      </c>
      <c r="W34" s="5" t="s">
        <v>205</v>
      </c>
      <c r="X34" s="5" t="s">
        <v>242</v>
      </c>
      <c r="Y34" s="11" t="s">
        <v>357</v>
      </c>
      <c r="Z34" s="11" t="s">
        <v>244</v>
      </c>
      <c r="AA34" s="11" t="s">
        <v>154</v>
      </c>
      <c r="AB34" s="5" t="s">
        <v>245</v>
      </c>
      <c r="AC34" s="5" t="s">
        <v>246</v>
      </c>
      <c r="AD34" s="11" t="s">
        <v>358</v>
      </c>
      <c r="AE34" s="23" t="n">
        <v>0.9</v>
      </c>
      <c r="AF34" s="23" t="n">
        <v>0</v>
      </c>
      <c r="AG34" s="23" t="n">
        <v>1</v>
      </c>
      <c r="AH34" s="23" t="n">
        <v>1</v>
      </c>
      <c r="AI34" s="23" t="n">
        <v>1</v>
      </c>
      <c r="AJ34" s="23" t="n">
        <v>0.9996</v>
      </c>
      <c r="AK34" s="23" t="n">
        <v>1</v>
      </c>
      <c r="AL34" s="23" t="n">
        <v>0</v>
      </c>
      <c r="AM34" s="16" t="n">
        <f aca="false">COUNTIFS($D$2:$D$2501,D34,$G$2:$G$2501,"&gt;"&amp;G34)+COUNTIFS($D$2:D34,D34,$G$2:G34,G34)</f>
        <v>16</v>
      </c>
      <c r="AN34" s="5" t="str">
        <f aca="false">D34&amp;"|"&amp;AM34</f>
        <v>檢索與情資關聯|16</v>
      </c>
    </row>
    <row r="35" customFormat="false" ht="17.15" hidden="false" customHeight="false" outlineLevel="0" collapsed="false">
      <c r="A35" s="16" t="n">
        <f aca="false">RANK(G35,$G$2:$G$2501)+COUNTIF($G$2:G35,G35)-1</f>
        <v>34</v>
      </c>
      <c r="B35" s="11" t="s">
        <v>359</v>
      </c>
      <c r="C35" s="11" t="s">
        <v>265</v>
      </c>
      <c r="D35" s="5" t="s">
        <v>58</v>
      </c>
      <c r="E35" s="5" t="s">
        <v>59</v>
      </c>
      <c r="F35" s="5"/>
      <c r="G35" s="22" t="n">
        <f aca="false">ROUND(SUM(I35:P35),3)</f>
        <v>81.788</v>
      </c>
      <c r="H35" s="5" t="str">
        <f aca="false">IF(G35&gt;=評分方法!$C$16,"優先評估",IF(G35&gt;=評分方法!$C$17,"列入候選",IF(G35&gt;=評分方法!$C$18,"特定情境","不建議")))</f>
        <v>優先評估</v>
      </c>
      <c r="I35" s="15" t="n">
        <f aca="false">AE35*評分方法!$C$5</f>
        <v>28.5</v>
      </c>
      <c r="J35" s="15" t="n">
        <f aca="false">AF35*評分方法!$C$6</f>
        <v>0</v>
      </c>
      <c r="K35" s="15" t="n">
        <f aca="false">AG35*評分方法!$C$7</f>
        <v>15</v>
      </c>
      <c r="L35" s="15" t="n">
        <f aca="false">AH35*評分方法!$C$8</f>
        <v>15</v>
      </c>
      <c r="M35" s="15" t="n">
        <f aca="false">AI35*評分方法!$C$9</f>
        <v>10</v>
      </c>
      <c r="N35" s="15" t="n">
        <f aca="false">AJ35*評分方法!$C$10</f>
        <v>8.288</v>
      </c>
      <c r="O35" s="15" t="n">
        <f aca="false">AK35*評分方法!$C$11</f>
        <v>5</v>
      </c>
      <c r="P35" s="15" t="n">
        <f aca="false">AL35*評分方法!$C$12</f>
        <v>0</v>
      </c>
      <c r="Q35" s="6" t="n">
        <v>1925638</v>
      </c>
      <c r="R35" s="6" t="n">
        <v>486444053</v>
      </c>
      <c r="S35" s="11" t="s">
        <v>238</v>
      </c>
      <c r="T35" s="11" t="s">
        <v>239</v>
      </c>
      <c r="U35" s="5" t="s">
        <v>240</v>
      </c>
      <c r="V35" s="11" t="s">
        <v>261</v>
      </c>
      <c r="W35" s="5" t="s">
        <v>205</v>
      </c>
      <c r="X35" s="5" t="s">
        <v>242</v>
      </c>
      <c r="Y35" s="5"/>
      <c r="Z35" s="5"/>
      <c r="AA35" s="11" t="s">
        <v>150</v>
      </c>
      <c r="AB35" s="5" t="s">
        <v>343</v>
      </c>
      <c r="AC35" s="5" t="s">
        <v>344</v>
      </c>
      <c r="AD35" s="11" t="s">
        <v>360</v>
      </c>
      <c r="AE35" s="23" t="n">
        <v>0.95</v>
      </c>
      <c r="AF35" s="23" t="n">
        <v>0</v>
      </c>
      <c r="AG35" s="23" t="n">
        <v>1</v>
      </c>
      <c r="AH35" s="23" t="n">
        <v>1</v>
      </c>
      <c r="AI35" s="23" t="n">
        <v>1</v>
      </c>
      <c r="AJ35" s="23" t="n">
        <v>0.8288</v>
      </c>
      <c r="AK35" s="23" t="n">
        <v>1</v>
      </c>
      <c r="AL35" s="23" t="n">
        <v>0</v>
      </c>
      <c r="AM35" s="16" t="n">
        <f aca="false">COUNTIFS($D$2:$D$2501,D35,$G$2:$G$2501,"&gt;"&amp;G35)+COUNTIFS($D$2:D35,D35,$G$2:G35,G35)</f>
        <v>3</v>
      </c>
      <c r="AN35" s="5" t="str">
        <f aca="false">D35&amp;"|"&amp;AM35</f>
        <v>實體擷取與去識別化|3</v>
      </c>
    </row>
    <row r="36" customFormat="false" ht="17.15" hidden="false" customHeight="false" outlineLevel="0" collapsed="false">
      <c r="A36" s="16" t="n">
        <f aca="false">RANK(G36,$G$2:$G$2501)+COUNTIF($G$2:G36,G36)-1</f>
        <v>35</v>
      </c>
      <c r="B36" s="11" t="s">
        <v>361</v>
      </c>
      <c r="C36" s="11" t="s">
        <v>362</v>
      </c>
      <c r="D36" s="5" t="s">
        <v>62</v>
      </c>
      <c r="E36" s="5" t="s">
        <v>63</v>
      </c>
      <c r="F36" s="5" t="s">
        <v>62</v>
      </c>
      <c r="G36" s="22" t="n">
        <f aca="false">ROUND(SUM(I36:P36),3)</f>
        <v>81.654</v>
      </c>
      <c r="H36" s="5" t="str">
        <f aca="false">IF(G36&gt;=評分方法!$C$16,"優先評估",IF(G36&gt;=評分方法!$C$17,"列入候選",IF(G36&gt;=評分方法!$C$18,"特定情境","不建議")))</f>
        <v>優先評估</v>
      </c>
      <c r="I36" s="15" t="n">
        <f aca="false">AE36*評分方法!$C$5</f>
        <v>30</v>
      </c>
      <c r="J36" s="15" t="n">
        <f aca="false">AF36*評分方法!$C$6</f>
        <v>10</v>
      </c>
      <c r="K36" s="15" t="n">
        <f aca="false">AG36*評分方法!$C$7</f>
        <v>4.95</v>
      </c>
      <c r="L36" s="15" t="n">
        <f aca="false">AH36*評分方法!$C$8</f>
        <v>15</v>
      </c>
      <c r="M36" s="15" t="n">
        <f aca="false">AI36*評分方法!$C$9</f>
        <v>10</v>
      </c>
      <c r="N36" s="15" t="n">
        <f aca="false">AJ36*評分方法!$C$10</f>
        <v>6.204</v>
      </c>
      <c r="O36" s="15" t="n">
        <f aca="false">AK36*評分方法!$C$11</f>
        <v>4</v>
      </c>
      <c r="P36" s="15" t="n">
        <f aca="false">AL36*評分方法!$C$12</f>
        <v>1.5</v>
      </c>
      <c r="Q36" s="6" t="n">
        <v>669544</v>
      </c>
      <c r="R36" s="6" t="n">
        <v>109483778</v>
      </c>
      <c r="S36" s="11" t="s">
        <v>238</v>
      </c>
      <c r="T36" s="11" t="s">
        <v>239</v>
      </c>
      <c r="U36" s="5" t="s">
        <v>240</v>
      </c>
      <c r="V36" s="11" t="s">
        <v>261</v>
      </c>
      <c r="W36" s="5" t="s">
        <v>334</v>
      </c>
      <c r="X36" s="5" t="s">
        <v>255</v>
      </c>
      <c r="Y36" s="11" t="s">
        <v>363</v>
      </c>
      <c r="Z36" s="11" t="s">
        <v>270</v>
      </c>
      <c r="AA36" s="11" t="s">
        <v>149</v>
      </c>
      <c r="AB36" s="5" t="s">
        <v>245</v>
      </c>
      <c r="AC36" s="5"/>
      <c r="AD36" s="11" t="s">
        <v>364</v>
      </c>
      <c r="AE36" s="23" t="n">
        <v>1</v>
      </c>
      <c r="AF36" s="23" t="n">
        <v>1</v>
      </c>
      <c r="AG36" s="23" t="n">
        <v>0.33</v>
      </c>
      <c r="AH36" s="23" t="n">
        <v>1</v>
      </c>
      <c r="AI36" s="23" t="n">
        <v>1</v>
      </c>
      <c r="AJ36" s="23" t="n">
        <v>0.6204</v>
      </c>
      <c r="AK36" s="23" t="n">
        <v>0.8</v>
      </c>
      <c r="AL36" s="23" t="n">
        <v>0.3</v>
      </c>
      <c r="AM36" s="16" t="n">
        <f aca="false">COUNTIFS($D$2:$D$2501,D36,$G$2:$G$2501,"&gt;"&amp;G36)+COUNTIFS($D$2:D36,D36,$G$2:G36,G36)</f>
        <v>1</v>
      </c>
      <c r="AN36" s="5" t="str">
        <f aca="false">D36&amp;"|"&amp;AM36</f>
        <v>日誌異常偵測|1</v>
      </c>
    </row>
    <row r="37" customFormat="false" ht="17.15" hidden="false" customHeight="false" outlineLevel="0" collapsed="false">
      <c r="A37" s="16" t="n">
        <f aca="false">RANK(G37,$G$2:$G$2501)+COUNTIF($G$2:G37,G37)-1</f>
        <v>36</v>
      </c>
      <c r="B37" s="11" t="s">
        <v>365</v>
      </c>
      <c r="C37" s="11" t="s">
        <v>282</v>
      </c>
      <c r="D37" s="5" t="s">
        <v>54</v>
      </c>
      <c r="E37" s="5" t="s">
        <v>55</v>
      </c>
      <c r="F37" s="5"/>
      <c r="G37" s="22" t="n">
        <f aca="false">ROUND(SUM(I37:P37),3)</f>
        <v>81.58</v>
      </c>
      <c r="H37" s="5" t="str">
        <f aca="false">IF(G37&gt;=評分方法!$C$16,"優先評估",IF(G37&gt;=評分方法!$C$17,"列入候選",IF(G37&gt;=評分方法!$C$18,"特定情境","不建議")))</f>
        <v>優先評估</v>
      </c>
      <c r="I37" s="15" t="n">
        <f aca="false">AE37*評分方法!$C$5</f>
        <v>27</v>
      </c>
      <c r="J37" s="15" t="n">
        <f aca="false">AF37*評分方法!$C$6</f>
        <v>0</v>
      </c>
      <c r="K37" s="15" t="n">
        <f aca="false">AG37*評分方法!$C$7</f>
        <v>15</v>
      </c>
      <c r="L37" s="15" t="n">
        <f aca="false">AH37*評分方法!$C$8</f>
        <v>15</v>
      </c>
      <c r="M37" s="15" t="n">
        <f aca="false">AI37*評分方法!$C$9</f>
        <v>10</v>
      </c>
      <c r="N37" s="15" t="n">
        <f aca="false">AJ37*評分方法!$C$10</f>
        <v>7.08</v>
      </c>
      <c r="O37" s="15" t="n">
        <f aca="false">AK37*評分方法!$C$11</f>
        <v>2.5</v>
      </c>
      <c r="P37" s="15" t="n">
        <f aca="false">AL37*評分方法!$C$12</f>
        <v>5</v>
      </c>
      <c r="Q37" s="6" t="n">
        <v>951107</v>
      </c>
      <c r="R37" s="6" t="n">
        <v>134734080</v>
      </c>
      <c r="S37" s="11" t="s">
        <v>238</v>
      </c>
      <c r="T37" s="11" t="s">
        <v>239</v>
      </c>
      <c r="U37" s="5" t="s">
        <v>240</v>
      </c>
      <c r="V37" s="11" t="s">
        <v>283</v>
      </c>
      <c r="W37" s="5" t="s">
        <v>205</v>
      </c>
      <c r="X37" s="5" t="s">
        <v>284</v>
      </c>
      <c r="Y37" s="5"/>
      <c r="Z37" s="5"/>
      <c r="AA37" s="11" t="s">
        <v>152</v>
      </c>
      <c r="AB37" s="5" t="s">
        <v>245</v>
      </c>
      <c r="AC37" s="5"/>
      <c r="AD37" s="11" t="s">
        <v>366</v>
      </c>
      <c r="AE37" s="23" t="n">
        <v>0.9</v>
      </c>
      <c r="AF37" s="23" t="n">
        <v>0</v>
      </c>
      <c r="AG37" s="23" t="n">
        <v>1</v>
      </c>
      <c r="AH37" s="23" t="n">
        <v>1</v>
      </c>
      <c r="AI37" s="23" t="n">
        <v>1</v>
      </c>
      <c r="AJ37" s="23" t="n">
        <v>0.708</v>
      </c>
      <c r="AK37" s="23" t="n">
        <v>0.5</v>
      </c>
      <c r="AL37" s="23" t="n">
        <v>1</v>
      </c>
      <c r="AM37" s="16" t="n">
        <f aca="false">COUNTIFS($D$2:$D$2501,D37,$G$2:$G$2501,"&gt;"&amp;G37)+COUNTIFS($D$2:D37,D37,$G$2:G37,G37)</f>
        <v>17</v>
      </c>
      <c r="AN37" s="5" t="str">
        <f aca="false">D37&amp;"|"&amp;AM37</f>
        <v>檢索與情資關聯|17</v>
      </c>
    </row>
    <row r="38" customFormat="false" ht="17.15" hidden="false" customHeight="false" outlineLevel="0" collapsed="false">
      <c r="A38" s="16" t="n">
        <f aca="false">RANK(G38,$G$2:$G$2501)+COUNTIF($G$2:G38,G38)-1</f>
        <v>37</v>
      </c>
      <c r="B38" s="11" t="s">
        <v>367</v>
      </c>
      <c r="C38" s="11" t="s">
        <v>368</v>
      </c>
      <c r="D38" s="5" t="s">
        <v>54</v>
      </c>
      <c r="E38" s="5" t="s">
        <v>55</v>
      </c>
      <c r="F38" s="5"/>
      <c r="G38" s="22" t="n">
        <f aca="false">ROUND(SUM(I38:P38),3)</f>
        <v>81.28</v>
      </c>
      <c r="H38" s="5" t="str">
        <f aca="false">IF(G38&gt;=評分方法!$C$16,"優先評估",IF(G38&gt;=評分方法!$C$17,"列入候選",IF(G38&gt;=評分方法!$C$18,"特定情境","不建議")))</f>
        <v>優先評估</v>
      </c>
      <c r="I38" s="15" t="n">
        <f aca="false">AE38*評分方法!$C$5</f>
        <v>27</v>
      </c>
      <c r="J38" s="15" t="n">
        <f aca="false">AF38*評分方法!$C$6</f>
        <v>0</v>
      </c>
      <c r="K38" s="15" t="n">
        <f aca="false">AG38*評分方法!$C$7</f>
        <v>15</v>
      </c>
      <c r="L38" s="15" t="n">
        <f aca="false">AH38*評分方法!$C$8</f>
        <v>15</v>
      </c>
      <c r="M38" s="15" t="n">
        <f aca="false">AI38*評分方法!$C$9</f>
        <v>10</v>
      </c>
      <c r="N38" s="15" t="n">
        <f aca="false">AJ38*評分方法!$C$10</f>
        <v>8.28</v>
      </c>
      <c r="O38" s="15" t="n">
        <f aca="false">AK38*評分方法!$C$11</f>
        <v>1</v>
      </c>
      <c r="P38" s="15" t="n">
        <f aca="false">AL38*評分方法!$C$12</f>
        <v>5</v>
      </c>
      <c r="Q38" s="6" t="n">
        <v>1923921</v>
      </c>
      <c r="R38" s="6" t="n">
        <v>132099328</v>
      </c>
      <c r="S38" s="11" t="s">
        <v>238</v>
      </c>
      <c r="T38" s="11" t="s">
        <v>239</v>
      </c>
      <c r="U38" s="5" t="s">
        <v>240</v>
      </c>
      <c r="V38" s="11" t="s">
        <v>324</v>
      </c>
      <c r="W38" s="5" t="s">
        <v>205</v>
      </c>
      <c r="X38" s="5" t="s">
        <v>284</v>
      </c>
      <c r="Y38" s="5"/>
      <c r="Z38" s="5"/>
      <c r="AA38" s="11" t="s">
        <v>153</v>
      </c>
      <c r="AB38" s="5" t="s">
        <v>245</v>
      </c>
      <c r="AC38" s="5"/>
      <c r="AD38" s="11" t="s">
        <v>369</v>
      </c>
      <c r="AE38" s="23" t="n">
        <v>0.9</v>
      </c>
      <c r="AF38" s="23" t="n">
        <v>0</v>
      </c>
      <c r="AG38" s="23" t="n">
        <v>1</v>
      </c>
      <c r="AH38" s="23" t="n">
        <v>1</v>
      </c>
      <c r="AI38" s="23" t="n">
        <v>1</v>
      </c>
      <c r="AJ38" s="23" t="n">
        <v>0.828</v>
      </c>
      <c r="AK38" s="23" t="n">
        <v>0.2</v>
      </c>
      <c r="AL38" s="23" t="n">
        <v>1</v>
      </c>
      <c r="AM38" s="16" t="n">
        <f aca="false">COUNTIFS($D$2:$D$2501,D38,$G$2:$G$2501,"&gt;"&amp;G38)+COUNTIFS($D$2:D38,D38,$G$2:G38,G38)</f>
        <v>18</v>
      </c>
      <c r="AN38" s="5" t="str">
        <f aca="false">D38&amp;"|"&amp;AM38</f>
        <v>檢索與情資關聯|18</v>
      </c>
    </row>
    <row r="39" customFormat="false" ht="17.15" hidden="false" customHeight="false" outlineLevel="0" collapsed="false">
      <c r="A39" s="16" t="n">
        <f aca="false">RANK(G39,$G$2:$G$2501)+COUNTIF($G$2:G39,G39)-1</f>
        <v>38</v>
      </c>
      <c r="B39" s="11" t="s">
        <v>370</v>
      </c>
      <c r="C39" s="11" t="s">
        <v>368</v>
      </c>
      <c r="D39" s="5" t="s">
        <v>56</v>
      </c>
      <c r="E39" s="5" t="s">
        <v>57</v>
      </c>
      <c r="F39" s="5"/>
      <c r="G39" s="22" t="n">
        <f aca="false">ROUND(SUM(I39:P39),3)</f>
        <v>80.924</v>
      </c>
      <c r="H39" s="5" t="str">
        <f aca="false">IF(G39&gt;=評分方法!$C$16,"優先評估",IF(G39&gt;=評分方法!$C$17,"列入候選",IF(G39&gt;=評分方法!$C$18,"特定情境","不建議")))</f>
        <v>優先評估</v>
      </c>
      <c r="I39" s="15" t="n">
        <f aca="false">AE39*評分方法!$C$5</f>
        <v>24</v>
      </c>
      <c r="J39" s="15" t="n">
        <f aca="false">AF39*評分方法!$C$6</f>
        <v>0</v>
      </c>
      <c r="K39" s="15" t="n">
        <f aca="false">AG39*評分方法!$C$7</f>
        <v>15</v>
      </c>
      <c r="L39" s="15" t="n">
        <f aca="false">AH39*評分方法!$C$8</f>
        <v>15</v>
      </c>
      <c r="M39" s="15" t="n">
        <f aca="false">AI39*評分方法!$C$9</f>
        <v>10</v>
      </c>
      <c r="N39" s="15" t="n">
        <f aca="false">AJ39*評分方法!$C$10</f>
        <v>8.924</v>
      </c>
      <c r="O39" s="15" t="n">
        <f aca="false">AK39*評分方法!$C$11</f>
        <v>5</v>
      </c>
      <c r="P39" s="15" t="n">
        <f aca="false">AL39*評分方法!$C$12</f>
        <v>3</v>
      </c>
      <c r="Q39" s="6" t="n">
        <v>3586594</v>
      </c>
      <c r="R39" s="6" t="n">
        <v>469518596</v>
      </c>
      <c r="S39" s="11" t="s">
        <v>238</v>
      </c>
      <c r="T39" s="11" t="s">
        <v>239</v>
      </c>
      <c r="U39" s="5" t="s">
        <v>240</v>
      </c>
      <c r="V39" s="11" t="s">
        <v>261</v>
      </c>
      <c r="W39" s="5" t="s">
        <v>205</v>
      </c>
      <c r="X39" s="5" t="s">
        <v>371</v>
      </c>
      <c r="Y39" s="5"/>
      <c r="Z39" s="5"/>
      <c r="AA39" s="11" t="s">
        <v>157</v>
      </c>
      <c r="AB39" s="5" t="s">
        <v>245</v>
      </c>
      <c r="AC39" s="5"/>
      <c r="AD39" s="11" t="s">
        <v>372</v>
      </c>
      <c r="AE39" s="23" t="n">
        <v>0.8</v>
      </c>
      <c r="AF39" s="23" t="n">
        <v>0</v>
      </c>
      <c r="AG39" s="23" t="n">
        <v>1</v>
      </c>
      <c r="AH39" s="23" t="n">
        <v>1</v>
      </c>
      <c r="AI39" s="23" t="n">
        <v>1</v>
      </c>
      <c r="AJ39" s="23" t="n">
        <v>0.8924</v>
      </c>
      <c r="AK39" s="23" t="n">
        <v>1</v>
      </c>
      <c r="AL39" s="23" t="n">
        <v>0.6</v>
      </c>
      <c r="AM39" s="16" t="n">
        <f aca="false">COUNTIFS($D$2:$D$2501,D39,$G$2:$G$2501,"&gt;"&amp;G39)+COUNTIFS($D$2:D39,D39,$G$2:G39,G39)</f>
        <v>2</v>
      </c>
      <c r="AN39" s="5" t="str">
        <f aca="false">D39&amp;"|"&amp;AM39</f>
        <v>分析與報告生成|2</v>
      </c>
    </row>
    <row r="40" customFormat="false" ht="17.15" hidden="false" customHeight="false" outlineLevel="0" collapsed="false">
      <c r="A40" s="16" t="n">
        <f aca="false">RANK(G40,$G$2:$G$2501)+COUNTIF($G$2:G40,G40)-1</f>
        <v>39</v>
      </c>
      <c r="B40" s="11" t="s">
        <v>373</v>
      </c>
      <c r="C40" s="11" t="s">
        <v>374</v>
      </c>
      <c r="D40" s="11" t="s">
        <v>46</v>
      </c>
      <c r="E40" s="11" t="s">
        <v>47</v>
      </c>
      <c r="F40" s="11" t="s">
        <v>46</v>
      </c>
      <c r="G40" s="22" t="n">
        <f aca="false">ROUND(SUM(I40:P40),3)</f>
        <v>80.852</v>
      </c>
      <c r="H40" s="5" t="str">
        <f aca="false">IF(G40&gt;=評分方法!$C$16,"優先評估",IF(G40&gt;=評分方法!$C$17,"列入候選",IF(G40&gt;=評分方法!$C$18,"特定情境","不建議")))</f>
        <v>優先評估</v>
      </c>
      <c r="I40" s="15" t="n">
        <f aca="false">AE40*評分方法!$C$5</f>
        <v>30</v>
      </c>
      <c r="J40" s="15" t="n">
        <f aca="false">AF40*評分方法!$C$6</f>
        <v>10</v>
      </c>
      <c r="K40" s="15" t="n">
        <f aca="false">AG40*評分方法!$C$7</f>
        <v>15</v>
      </c>
      <c r="L40" s="15" t="n">
        <f aca="false">AH40*評分方法!$C$8</f>
        <v>15</v>
      </c>
      <c r="M40" s="15" t="n">
        <f aca="false">AI40*評分方法!$C$9</f>
        <v>2</v>
      </c>
      <c r="N40" s="15" t="n">
        <f aca="false">AJ40*評分方法!$C$10</f>
        <v>6.352</v>
      </c>
      <c r="O40" s="15" t="n">
        <f aca="false">AK40*評分方法!$C$11</f>
        <v>2.5</v>
      </c>
      <c r="P40" s="15" t="n">
        <f aca="false">AL40*評分方法!$C$12</f>
        <v>0</v>
      </c>
      <c r="Q40" s="6" t="n">
        <v>709808</v>
      </c>
      <c r="R40" s="6" t="n">
        <v>4386178</v>
      </c>
      <c r="S40" s="11" t="s">
        <v>238</v>
      </c>
      <c r="T40" s="5"/>
      <c r="U40" s="5" t="s">
        <v>375</v>
      </c>
      <c r="V40" s="11" t="s">
        <v>324</v>
      </c>
      <c r="W40" s="5" t="s">
        <v>205</v>
      </c>
      <c r="X40" s="5" t="s">
        <v>242</v>
      </c>
      <c r="Y40" s="11" t="s">
        <v>363</v>
      </c>
      <c r="Z40" s="11" t="s">
        <v>270</v>
      </c>
      <c r="AA40" s="11" t="s">
        <v>149</v>
      </c>
      <c r="AB40" s="5" t="s">
        <v>245</v>
      </c>
      <c r="AC40" s="5" t="s">
        <v>262</v>
      </c>
      <c r="AD40" s="11" t="s">
        <v>376</v>
      </c>
      <c r="AE40" s="23" t="n">
        <v>1</v>
      </c>
      <c r="AF40" s="23" t="n">
        <v>1</v>
      </c>
      <c r="AG40" s="23" t="n">
        <v>1</v>
      </c>
      <c r="AH40" s="23" t="n">
        <v>1</v>
      </c>
      <c r="AI40" s="23" t="n">
        <v>0.2</v>
      </c>
      <c r="AJ40" s="23" t="n">
        <v>0.6352</v>
      </c>
      <c r="AK40" s="23" t="n">
        <v>0.5</v>
      </c>
      <c r="AL40" s="23" t="n">
        <v>0</v>
      </c>
      <c r="AM40" s="16" t="n">
        <f aca="false">COUNTIFS($D$2:$D$2501,D40,$G$2:$G$2501,"&gt;"&amp;G40)+COUNTIFS($D$2:D40,D40,$G$2:G40,G40)</f>
        <v>7</v>
      </c>
      <c r="AN40" s="5" t="str">
        <f aca="false">D40&amp;"|"&amp;AM40</f>
        <v>AI 應用防護|7</v>
      </c>
    </row>
    <row r="41" customFormat="false" ht="17.15" hidden="false" customHeight="false" outlineLevel="0" collapsed="false">
      <c r="A41" s="16" t="n">
        <f aca="false">RANK(G41,$G$2:$G$2501)+COUNTIF($G$2:G41,G41)-1</f>
        <v>40</v>
      </c>
      <c r="B41" s="11" t="s">
        <v>377</v>
      </c>
      <c r="C41" s="11" t="s">
        <v>299</v>
      </c>
      <c r="D41" s="5" t="s">
        <v>56</v>
      </c>
      <c r="E41" s="5" t="s">
        <v>57</v>
      </c>
      <c r="F41" s="5"/>
      <c r="G41" s="22" t="n">
        <f aca="false">ROUND(SUM(I41:P41),3)</f>
        <v>80.85</v>
      </c>
      <c r="H41" s="5" t="str">
        <f aca="false">IF(G41&gt;=評分方法!$C$16,"優先評估",IF(G41&gt;=評分方法!$C$17,"列入候選",IF(G41&gt;=評分方法!$C$18,"特定情境","不建議")))</f>
        <v>優先評估</v>
      </c>
      <c r="I41" s="15" t="n">
        <f aca="false">AE41*評分方法!$C$5</f>
        <v>25.5</v>
      </c>
      <c r="J41" s="15" t="n">
        <f aca="false">AF41*評分方法!$C$6</f>
        <v>0</v>
      </c>
      <c r="K41" s="15" t="n">
        <f aca="false">AG41*評分方法!$C$7</f>
        <v>15</v>
      </c>
      <c r="L41" s="15" t="n">
        <f aca="false">AH41*評分方法!$C$8</f>
        <v>13.05</v>
      </c>
      <c r="M41" s="15" t="n">
        <f aca="false">AI41*評分方法!$C$9</f>
        <v>10</v>
      </c>
      <c r="N41" s="15" t="n">
        <f aca="false">AJ41*評分方法!$C$10</f>
        <v>9.3</v>
      </c>
      <c r="O41" s="15" t="n">
        <f aca="false">AK41*評分方法!$C$11</f>
        <v>5</v>
      </c>
      <c r="P41" s="15" t="n">
        <f aca="false">AL41*評分方法!$C$12</f>
        <v>3</v>
      </c>
      <c r="Q41" s="6" t="n">
        <v>6169151</v>
      </c>
      <c r="R41" s="6" t="n">
        <v>8791592960</v>
      </c>
      <c r="S41" s="11" t="s">
        <v>254</v>
      </c>
      <c r="T41" s="11" t="s">
        <v>239</v>
      </c>
      <c r="U41" s="5" t="s">
        <v>240</v>
      </c>
      <c r="V41" s="11" t="s">
        <v>261</v>
      </c>
      <c r="W41" s="5" t="s">
        <v>205</v>
      </c>
      <c r="X41" s="5" t="s">
        <v>371</v>
      </c>
      <c r="Y41" s="5"/>
      <c r="Z41" s="5"/>
      <c r="AA41" s="11" t="s">
        <v>155</v>
      </c>
      <c r="AB41" s="5" t="s">
        <v>245</v>
      </c>
      <c r="AC41" s="5"/>
      <c r="AD41" s="11" t="s">
        <v>378</v>
      </c>
      <c r="AE41" s="23" t="n">
        <v>0.85</v>
      </c>
      <c r="AF41" s="23" t="n">
        <v>0</v>
      </c>
      <c r="AG41" s="23" t="n">
        <v>1</v>
      </c>
      <c r="AH41" s="23" t="n">
        <v>0.87</v>
      </c>
      <c r="AI41" s="23" t="n">
        <v>1</v>
      </c>
      <c r="AJ41" s="23" t="n">
        <v>0.93</v>
      </c>
      <c r="AK41" s="23" t="n">
        <v>1</v>
      </c>
      <c r="AL41" s="23" t="n">
        <v>0.6</v>
      </c>
      <c r="AM41" s="16" t="n">
        <f aca="false">COUNTIFS($D$2:$D$2501,D41,$G$2:$G$2501,"&gt;"&amp;G41)+COUNTIFS($D$2:D41,D41,$G$2:G41,G41)</f>
        <v>3</v>
      </c>
      <c r="AN41" s="5" t="str">
        <f aca="false">D41&amp;"|"&amp;AM41</f>
        <v>分析與報告生成|3</v>
      </c>
    </row>
    <row r="42" customFormat="false" ht="17.15" hidden="false" customHeight="false" outlineLevel="0" collapsed="false">
      <c r="A42" s="16" t="n">
        <f aca="false">RANK(G42,$G$2:$G$2501)+COUNTIF($G$2:G42,G42)-1</f>
        <v>41</v>
      </c>
      <c r="B42" s="11" t="s">
        <v>379</v>
      </c>
      <c r="C42" s="11" t="s">
        <v>299</v>
      </c>
      <c r="D42" s="5" t="s">
        <v>54</v>
      </c>
      <c r="E42" s="5" t="s">
        <v>55</v>
      </c>
      <c r="F42" s="5"/>
      <c r="G42" s="22" t="n">
        <f aca="false">ROUND(SUM(I42:P42),3)</f>
        <v>80.848</v>
      </c>
      <c r="H42" s="5" t="str">
        <f aca="false">IF(G42&gt;=評分方法!$C$16,"優先評估",IF(G42&gt;=評分方法!$C$17,"列入候選",IF(G42&gt;=評分方法!$C$18,"特定情境","不建議")))</f>
        <v>優先評估</v>
      </c>
      <c r="I42" s="15" t="n">
        <f aca="false">AE42*評分方法!$C$5</f>
        <v>27</v>
      </c>
      <c r="J42" s="15" t="n">
        <f aca="false">AF42*評分方法!$C$6</f>
        <v>0</v>
      </c>
      <c r="K42" s="15" t="n">
        <f aca="false">AG42*評分方法!$C$7</f>
        <v>15</v>
      </c>
      <c r="L42" s="15" t="n">
        <f aca="false">AH42*評分方法!$C$8</f>
        <v>15</v>
      </c>
      <c r="M42" s="15" t="n">
        <f aca="false">AI42*評分方法!$C$9</f>
        <v>10</v>
      </c>
      <c r="N42" s="15" t="n">
        <f aca="false">AJ42*評分方法!$C$10</f>
        <v>9.848</v>
      </c>
      <c r="O42" s="15" t="n">
        <f aca="false">AK42*評分方法!$C$11</f>
        <v>4</v>
      </c>
      <c r="P42" s="15" t="n">
        <f aca="false">AL42*評分方法!$C$12</f>
        <v>0</v>
      </c>
      <c r="Q42" s="6" t="n">
        <v>25285010</v>
      </c>
      <c r="R42" s="6" t="n">
        <v>47662464</v>
      </c>
      <c r="S42" s="11" t="s">
        <v>238</v>
      </c>
      <c r="T42" s="11" t="s">
        <v>239</v>
      </c>
      <c r="U42" s="5" t="s">
        <v>240</v>
      </c>
      <c r="V42" s="11" t="s">
        <v>324</v>
      </c>
      <c r="W42" s="5" t="s">
        <v>205</v>
      </c>
      <c r="X42" s="5" t="s">
        <v>242</v>
      </c>
      <c r="Y42" s="5"/>
      <c r="Z42" s="5"/>
      <c r="AA42" s="11" t="s">
        <v>153</v>
      </c>
      <c r="AB42" s="5" t="s">
        <v>245</v>
      </c>
      <c r="AC42" s="5"/>
      <c r="AD42" s="11" t="s">
        <v>380</v>
      </c>
      <c r="AE42" s="23" t="n">
        <v>0.9</v>
      </c>
      <c r="AF42" s="23" t="n">
        <v>0</v>
      </c>
      <c r="AG42" s="23" t="n">
        <v>1</v>
      </c>
      <c r="AH42" s="23" t="n">
        <v>1</v>
      </c>
      <c r="AI42" s="23" t="n">
        <v>1</v>
      </c>
      <c r="AJ42" s="23" t="n">
        <v>0.9848</v>
      </c>
      <c r="AK42" s="23" t="n">
        <v>0.8</v>
      </c>
      <c r="AL42" s="23" t="n">
        <v>0</v>
      </c>
      <c r="AM42" s="16" t="n">
        <f aca="false">COUNTIFS($D$2:$D$2501,D42,$G$2:$G$2501,"&gt;"&amp;G42)+COUNTIFS($D$2:D42,D42,$G$2:G42,G42)</f>
        <v>19</v>
      </c>
      <c r="AN42" s="5" t="str">
        <f aca="false">D42&amp;"|"&amp;AM42</f>
        <v>檢索與情資關聯|19</v>
      </c>
    </row>
    <row r="43" customFormat="false" ht="17.15" hidden="false" customHeight="false" outlineLevel="0" collapsed="false">
      <c r="A43" s="16" t="n">
        <f aca="false">RANK(G43,$G$2:$G$2501)+COUNTIF($G$2:G43,G43)-1</f>
        <v>42</v>
      </c>
      <c r="B43" s="11" t="s">
        <v>381</v>
      </c>
      <c r="C43" s="11" t="s">
        <v>382</v>
      </c>
      <c r="D43" s="5" t="s">
        <v>54</v>
      </c>
      <c r="E43" s="5" t="s">
        <v>55</v>
      </c>
      <c r="F43" s="5"/>
      <c r="G43" s="22" t="n">
        <f aca="false">ROUND(SUM(I43:P43),3)</f>
        <v>80.844</v>
      </c>
      <c r="H43" s="5" t="str">
        <f aca="false">IF(G43&gt;=評分方法!$C$16,"優先評估",IF(G43&gt;=評分方法!$C$17,"列入候選",IF(G43&gt;=評分方法!$C$18,"特定情境","不建議")))</f>
        <v>優先評估</v>
      </c>
      <c r="I43" s="15" t="n">
        <f aca="false">AE43*評分方法!$C$5</f>
        <v>27</v>
      </c>
      <c r="J43" s="15" t="n">
        <f aca="false">AF43*評分方法!$C$6</f>
        <v>0</v>
      </c>
      <c r="K43" s="15" t="n">
        <f aca="false">AG43*評分方法!$C$7</f>
        <v>15</v>
      </c>
      <c r="L43" s="15" t="n">
        <f aca="false">AH43*評分方法!$C$8</f>
        <v>15</v>
      </c>
      <c r="M43" s="15" t="n">
        <f aca="false">AI43*評分方法!$C$9</f>
        <v>10</v>
      </c>
      <c r="N43" s="15" t="n">
        <f aca="false">AJ43*評分方法!$C$10</f>
        <v>9.844</v>
      </c>
      <c r="O43" s="15" t="n">
        <f aca="false">AK43*評分方法!$C$11</f>
        <v>4</v>
      </c>
      <c r="P43" s="15" t="n">
        <f aca="false">AL43*評分方法!$C$12</f>
        <v>0</v>
      </c>
      <c r="Q43" s="6" t="n">
        <v>24665385</v>
      </c>
      <c r="R43" s="6" t="n">
        <v>335141888</v>
      </c>
      <c r="S43" s="11" t="s">
        <v>238</v>
      </c>
      <c r="T43" s="11" t="s">
        <v>239</v>
      </c>
      <c r="U43" s="5" t="s">
        <v>240</v>
      </c>
      <c r="V43" s="11" t="s">
        <v>383</v>
      </c>
      <c r="W43" s="5" t="s">
        <v>205</v>
      </c>
      <c r="X43" s="5" t="s">
        <v>242</v>
      </c>
      <c r="Y43" s="5"/>
      <c r="Z43" s="5"/>
      <c r="AA43" s="11" t="s">
        <v>153</v>
      </c>
      <c r="AB43" s="5" t="s">
        <v>245</v>
      </c>
      <c r="AC43" s="5"/>
      <c r="AD43" s="11" t="s">
        <v>384</v>
      </c>
      <c r="AE43" s="23" t="n">
        <v>0.9</v>
      </c>
      <c r="AF43" s="23" t="n">
        <v>0</v>
      </c>
      <c r="AG43" s="23" t="n">
        <v>1</v>
      </c>
      <c r="AH43" s="23" t="n">
        <v>1</v>
      </c>
      <c r="AI43" s="23" t="n">
        <v>1</v>
      </c>
      <c r="AJ43" s="23" t="n">
        <v>0.9844</v>
      </c>
      <c r="AK43" s="23" t="n">
        <v>0.8</v>
      </c>
      <c r="AL43" s="23" t="n">
        <v>0</v>
      </c>
      <c r="AM43" s="16" t="n">
        <f aca="false">COUNTIFS($D$2:$D$2501,D43,$G$2:$G$2501,"&gt;"&amp;G43)+COUNTIFS($D$2:D43,D43,$G$2:G43,G43)</f>
        <v>20</v>
      </c>
      <c r="AN43" s="5" t="str">
        <f aca="false">D43&amp;"|"&amp;AM43</f>
        <v>檢索與情資關聯|20</v>
      </c>
    </row>
    <row r="44" customFormat="false" ht="17.15" hidden="false" customHeight="false" outlineLevel="0" collapsed="false">
      <c r="A44" s="16" t="n">
        <f aca="false">RANK(G44,$G$2:$G$2501)+COUNTIF($G$2:G44,G44)-1</f>
        <v>43</v>
      </c>
      <c r="B44" s="11" t="s">
        <v>385</v>
      </c>
      <c r="C44" s="11" t="s">
        <v>282</v>
      </c>
      <c r="D44" s="5" t="s">
        <v>54</v>
      </c>
      <c r="E44" s="5" t="s">
        <v>55</v>
      </c>
      <c r="F44" s="5"/>
      <c r="G44" s="22" t="n">
        <f aca="false">ROUND(SUM(I44:P44),3)</f>
        <v>80.84</v>
      </c>
      <c r="H44" s="5" t="str">
        <f aca="false">IF(G44&gt;=評分方法!$C$16,"優先評估",IF(G44&gt;=評分方法!$C$17,"列入候選",IF(G44&gt;=評分方法!$C$18,"特定情境","不建議")))</f>
        <v>優先評估</v>
      </c>
      <c r="I44" s="15" t="n">
        <f aca="false">AE44*評分方法!$C$5</f>
        <v>27</v>
      </c>
      <c r="J44" s="15" t="n">
        <f aca="false">AF44*評分方法!$C$6</f>
        <v>0</v>
      </c>
      <c r="K44" s="15" t="n">
        <f aca="false">AG44*評分方法!$C$7</f>
        <v>15</v>
      </c>
      <c r="L44" s="15" t="n">
        <f aca="false">AH44*評分方法!$C$8</f>
        <v>15</v>
      </c>
      <c r="M44" s="15" t="n">
        <f aca="false">AI44*評分方法!$C$9</f>
        <v>10</v>
      </c>
      <c r="N44" s="15" t="n">
        <f aca="false">AJ44*評分方法!$C$10</f>
        <v>9.84</v>
      </c>
      <c r="O44" s="15" t="n">
        <f aca="false">AK44*評分方法!$C$11</f>
        <v>4</v>
      </c>
      <c r="P44" s="15" t="n">
        <f aca="false">AL44*評分方法!$C$12</f>
        <v>0</v>
      </c>
      <c r="Q44" s="6" t="n">
        <v>23859858</v>
      </c>
      <c r="R44" s="6" t="n">
        <v>33360512</v>
      </c>
      <c r="S44" s="11" t="s">
        <v>238</v>
      </c>
      <c r="T44" s="11" t="s">
        <v>239</v>
      </c>
      <c r="U44" s="5" t="s">
        <v>240</v>
      </c>
      <c r="V44" s="11" t="s">
        <v>288</v>
      </c>
      <c r="W44" s="5" t="s">
        <v>205</v>
      </c>
      <c r="X44" s="5" t="s">
        <v>242</v>
      </c>
      <c r="Y44" s="11" t="s">
        <v>386</v>
      </c>
      <c r="Z44" s="11" t="s">
        <v>244</v>
      </c>
      <c r="AA44" s="11" t="s">
        <v>152</v>
      </c>
      <c r="AB44" s="5" t="s">
        <v>245</v>
      </c>
      <c r="AC44" s="5" t="s">
        <v>246</v>
      </c>
      <c r="AD44" s="11" t="s">
        <v>387</v>
      </c>
      <c r="AE44" s="23" t="n">
        <v>0.9</v>
      </c>
      <c r="AF44" s="23" t="n">
        <v>0</v>
      </c>
      <c r="AG44" s="23" t="n">
        <v>1</v>
      </c>
      <c r="AH44" s="23" t="n">
        <v>1</v>
      </c>
      <c r="AI44" s="23" t="n">
        <v>1</v>
      </c>
      <c r="AJ44" s="23" t="n">
        <v>0.984</v>
      </c>
      <c r="AK44" s="23" t="n">
        <v>0.8</v>
      </c>
      <c r="AL44" s="23" t="n">
        <v>0</v>
      </c>
      <c r="AM44" s="16" t="n">
        <f aca="false">COUNTIFS($D$2:$D$2501,D44,$G$2:$G$2501,"&gt;"&amp;G44)+COUNTIFS($D$2:D44,D44,$G$2:G44,G44)</f>
        <v>21</v>
      </c>
      <c r="AN44" s="5" t="str">
        <f aca="false">D44&amp;"|"&amp;AM44</f>
        <v>檢索與情資關聯|21</v>
      </c>
    </row>
    <row r="45" customFormat="false" ht="17.15" hidden="false" customHeight="false" outlineLevel="0" collapsed="false">
      <c r="A45" s="16" t="n">
        <f aca="false">RANK(G45,$G$2:$G$2501)+COUNTIF($G$2:G45,G45)-1</f>
        <v>44</v>
      </c>
      <c r="B45" s="11" t="s">
        <v>388</v>
      </c>
      <c r="C45" s="11" t="s">
        <v>253</v>
      </c>
      <c r="D45" s="11" t="s">
        <v>46</v>
      </c>
      <c r="E45" s="11" t="s">
        <v>47</v>
      </c>
      <c r="F45" s="11" t="s">
        <v>46</v>
      </c>
      <c r="G45" s="22" t="n">
        <f aca="false">ROUND(SUM(I45:P45),3)</f>
        <v>80.84</v>
      </c>
      <c r="H45" s="5" t="str">
        <f aca="false">IF(G45&gt;=評分方法!$C$16,"優先評估",IF(G45&gt;=評分方法!$C$17,"列入候選",IF(G45&gt;=評分方法!$C$18,"特定情境","不建議")))</f>
        <v>優先評估</v>
      </c>
      <c r="I45" s="15" t="n">
        <f aca="false">AE45*評分方法!$C$5</f>
        <v>25.5</v>
      </c>
      <c r="J45" s="15" t="n">
        <f aca="false">AF45*評分方法!$C$6</f>
        <v>10</v>
      </c>
      <c r="K45" s="15" t="n">
        <f aca="false">AG45*評分方法!$C$7</f>
        <v>15</v>
      </c>
      <c r="L45" s="15" t="n">
        <f aca="false">AH45*評分方法!$C$8</f>
        <v>9</v>
      </c>
      <c r="M45" s="15" t="n">
        <f aca="false">AI45*評分方法!$C$9</f>
        <v>10</v>
      </c>
      <c r="N45" s="15" t="n">
        <f aca="false">AJ45*評分方法!$C$10</f>
        <v>4.34</v>
      </c>
      <c r="O45" s="15" t="n">
        <f aca="false">AK45*評分方法!$C$11</f>
        <v>4</v>
      </c>
      <c r="P45" s="15" t="n">
        <f aca="false">AL45*評分方法!$C$12</f>
        <v>3</v>
      </c>
      <c r="Q45" s="6" t="n">
        <v>476771</v>
      </c>
      <c r="R45" s="6" t="n">
        <v>21511953984</v>
      </c>
      <c r="S45" s="11" t="s">
        <v>389</v>
      </c>
      <c r="T45" s="11" t="s">
        <v>239</v>
      </c>
      <c r="U45" s="5" t="s">
        <v>240</v>
      </c>
      <c r="V45" s="11" t="s">
        <v>261</v>
      </c>
      <c r="W45" s="5" t="s">
        <v>205</v>
      </c>
      <c r="X45" s="5" t="s">
        <v>371</v>
      </c>
      <c r="Y45" s="11" t="s">
        <v>390</v>
      </c>
      <c r="Z45" s="11" t="s">
        <v>270</v>
      </c>
      <c r="AA45" s="11" t="s">
        <v>155</v>
      </c>
      <c r="AB45" s="5" t="s">
        <v>245</v>
      </c>
      <c r="AC45" s="5"/>
      <c r="AD45" s="11" t="s">
        <v>391</v>
      </c>
      <c r="AE45" s="23" t="n">
        <v>0.85</v>
      </c>
      <c r="AF45" s="23" t="n">
        <v>1</v>
      </c>
      <c r="AG45" s="23" t="n">
        <v>1</v>
      </c>
      <c r="AH45" s="23" t="n">
        <v>0.6</v>
      </c>
      <c r="AI45" s="23" t="n">
        <v>1</v>
      </c>
      <c r="AJ45" s="23" t="n">
        <v>0.434</v>
      </c>
      <c r="AK45" s="23" t="n">
        <v>0.8</v>
      </c>
      <c r="AL45" s="23" t="n">
        <v>0.6</v>
      </c>
      <c r="AM45" s="16" t="n">
        <f aca="false">COUNTIFS($D$2:$D$2501,D45,$G$2:$G$2501,"&gt;"&amp;G45)+COUNTIFS($D$2:D45,D45,$G$2:G45,G45)</f>
        <v>8</v>
      </c>
      <c r="AN45" s="5" t="str">
        <f aca="false">D45&amp;"|"&amp;AM45</f>
        <v>AI 應用防護|8</v>
      </c>
    </row>
    <row r="46" customFormat="false" ht="17.15" hidden="false" customHeight="false" outlineLevel="0" collapsed="false">
      <c r="A46" s="16" t="n">
        <f aca="false">RANK(G46,$G$2:$G$2501)+COUNTIF($G$2:G46,G46)-1</f>
        <v>45</v>
      </c>
      <c r="B46" s="11" t="s">
        <v>392</v>
      </c>
      <c r="C46" s="11" t="s">
        <v>282</v>
      </c>
      <c r="D46" s="5" t="s">
        <v>54</v>
      </c>
      <c r="E46" s="5" t="s">
        <v>55</v>
      </c>
      <c r="F46" s="5"/>
      <c r="G46" s="22" t="n">
        <f aca="false">ROUND(SUM(I46:P46),3)</f>
        <v>80.752</v>
      </c>
      <c r="H46" s="5" t="str">
        <f aca="false">IF(G46&gt;=評分方法!$C$16,"優先評估",IF(G46&gt;=評分方法!$C$17,"列入候選",IF(G46&gt;=評分方法!$C$18,"特定情境","不建議")))</f>
        <v>優先評估</v>
      </c>
      <c r="I46" s="15" t="n">
        <f aca="false">AE46*評分方法!$C$5</f>
        <v>27</v>
      </c>
      <c r="J46" s="15" t="n">
        <f aca="false">AF46*評分方法!$C$6</f>
        <v>0</v>
      </c>
      <c r="K46" s="15" t="n">
        <f aca="false">AG46*評分方法!$C$7</f>
        <v>15</v>
      </c>
      <c r="L46" s="15" t="n">
        <f aca="false">AH46*評分方法!$C$8</f>
        <v>15</v>
      </c>
      <c r="M46" s="15" t="n">
        <f aca="false">AI46*評分方法!$C$9</f>
        <v>10</v>
      </c>
      <c r="N46" s="15" t="n">
        <f aca="false">AJ46*評分方法!$C$10</f>
        <v>9.752</v>
      </c>
      <c r="O46" s="15" t="n">
        <f aca="false">AK46*評分方法!$C$11</f>
        <v>2.5</v>
      </c>
      <c r="P46" s="15" t="n">
        <f aca="false">AL46*評分方法!$C$12</f>
        <v>1.5</v>
      </c>
      <c r="Q46" s="6" t="n">
        <v>16401812</v>
      </c>
      <c r="R46" s="6" t="n">
        <v>22713728</v>
      </c>
      <c r="S46" s="11" t="s">
        <v>238</v>
      </c>
      <c r="T46" s="11" t="s">
        <v>239</v>
      </c>
      <c r="U46" s="5" t="s">
        <v>240</v>
      </c>
      <c r="V46" s="11" t="s">
        <v>283</v>
      </c>
      <c r="W46" s="5" t="s">
        <v>205</v>
      </c>
      <c r="X46" s="5" t="s">
        <v>255</v>
      </c>
      <c r="Y46" s="5"/>
      <c r="Z46" s="5"/>
      <c r="AA46" s="11" t="s">
        <v>152</v>
      </c>
      <c r="AB46" s="5" t="s">
        <v>245</v>
      </c>
      <c r="AC46" s="5"/>
      <c r="AD46" s="11" t="s">
        <v>393</v>
      </c>
      <c r="AE46" s="23" t="n">
        <v>0.9</v>
      </c>
      <c r="AF46" s="23" t="n">
        <v>0</v>
      </c>
      <c r="AG46" s="23" t="n">
        <v>1</v>
      </c>
      <c r="AH46" s="23" t="n">
        <v>1</v>
      </c>
      <c r="AI46" s="23" t="n">
        <v>1</v>
      </c>
      <c r="AJ46" s="23" t="n">
        <v>0.9752</v>
      </c>
      <c r="AK46" s="23" t="n">
        <v>0.5</v>
      </c>
      <c r="AL46" s="23" t="n">
        <v>0.3</v>
      </c>
      <c r="AM46" s="16" t="n">
        <f aca="false">COUNTIFS($D$2:$D$2501,D46,$G$2:$G$2501,"&gt;"&amp;G46)+COUNTIFS($D$2:D46,D46,$G$2:G46,G46)</f>
        <v>22</v>
      </c>
      <c r="AN46" s="5" t="str">
        <f aca="false">D46&amp;"|"&amp;AM46</f>
        <v>檢索與情資關聯|22</v>
      </c>
    </row>
    <row r="47" customFormat="false" ht="17.15" hidden="false" customHeight="false" outlineLevel="0" collapsed="false">
      <c r="A47" s="16" t="n">
        <f aca="false">RANK(G47,$G$2:$G$2501)+COUNTIF($G$2:G47,G47)-1</f>
        <v>46</v>
      </c>
      <c r="B47" s="11" t="s">
        <v>394</v>
      </c>
      <c r="C47" s="11" t="s">
        <v>395</v>
      </c>
      <c r="D47" s="5" t="s">
        <v>64</v>
      </c>
      <c r="E47" s="5" t="s">
        <v>65</v>
      </c>
      <c r="F47" s="5" t="s">
        <v>64</v>
      </c>
      <c r="G47" s="22" t="n">
        <f aca="false">ROUND(SUM(I47:P47),3)</f>
        <v>80.734</v>
      </c>
      <c r="H47" s="5" t="str">
        <f aca="false">IF(G47&gt;=評分方法!$C$16,"優先評估",IF(G47&gt;=評分方法!$C$17,"列入候選",IF(G47&gt;=評分方法!$C$18,"特定情境","不建議")))</f>
        <v>優先評估</v>
      </c>
      <c r="I47" s="15" t="n">
        <f aca="false">AE47*評分方法!$C$5</f>
        <v>30</v>
      </c>
      <c r="J47" s="15" t="n">
        <f aca="false">AF47*評分方法!$C$6</f>
        <v>10</v>
      </c>
      <c r="K47" s="15" t="n">
        <f aca="false">AG47*評分方法!$C$7</f>
        <v>4.95</v>
      </c>
      <c r="L47" s="15" t="n">
        <f aca="false">AH47*評分方法!$C$8</f>
        <v>15</v>
      </c>
      <c r="M47" s="15" t="n">
        <f aca="false">AI47*評分方法!$C$9</f>
        <v>10</v>
      </c>
      <c r="N47" s="15" t="n">
        <f aca="false">AJ47*評分方法!$C$10</f>
        <v>8.284</v>
      </c>
      <c r="O47" s="15" t="n">
        <f aca="false">AK47*評分方法!$C$11</f>
        <v>2.5</v>
      </c>
      <c r="P47" s="15" t="n">
        <f aca="false">AL47*評分方法!$C$12</f>
        <v>0</v>
      </c>
      <c r="Q47" s="6" t="n">
        <v>1924730</v>
      </c>
      <c r="R47" s="6" t="n">
        <v>66956548</v>
      </c>
      <c r="S47" s="11" t="s">
        <v>238</v>
      </c>
      <c r="T47" s="11" t="s">
        <v>239</v>
      </c>
      <c r="U47" s="5" t="s">
        <v>240</v>
      </c>
      <c r="V47" s="11" t="s">
        <v>261</v>
      </c>
      <c r="W47" s="5" t="s">
        <v>334</v>
      </c>
      <c r="X47" s="5" t="s">
        <v>242</v>
      </c>
      <c r="Y47" s="11" t="s">
        <v>396</v>
      </c>
      <c r="Z47" s="11" t="s">
        <v>270</v>
      </c>
      <c r="AA47" s="11" t="s">
        <v>149</v>
      </c>
      <c r="AB47" s="5" t="s">
        <v>245</v>
      </c>
      <c r="AC47" s="5"/>
      <c r="AD47" s="11" t="s">
        <v>397</v>
      </c>
      <c r="AE47" s="23" t="n">
        <v>1</v>
      </c>
      <c r="AF47" s="23" t="n">
        <v>1</v>
      </c>
      <c r="AG47" s="23" t="n">
        <v>0.33</v>
      </c>
      <c r="AH47" s="23" t="n">
        <v>1</v>
      </c>
      <c r="AI47" s="23" t="n">
        <v>1</v>
      </c>
      <c r="AJ47" s="23" t="n">
        <v>0.8284</v>
      </c>
      <c r="AK47" s="23" t="n">
        <v>0.5</v>
      </c>
      <c r="AL47" s="23" t="n">
        <v>0</v>
      </c>
      <c r="AM47" s="16" t="n">
        <f aca="false">COUNTIFS($D$2:$D$2501,D47,$G$2:$G$2501,"&gt;"&amp;G47)+COUNTIFS($D$2:D47,D47,$G$2:G47,G47)</f>
        <v>1</v>
      </c>
      <c r="AN47" s="5" t="str">
        <f aca="false">D47&amp;"|"&amp;AM47</f>
        <v>釣魚與垃圾訊息偵測|1</v>
      </c>
    </row>
    <row r="48" customFormat="false" ht="17.15" hidden="false" customHeight="false" outlineLevel="0" collapsed="false">
      <c r="A48" s="16" t="n">
        <f aca="false">RANK(G48,$G$2:$G$2501)+COUNTIF($G$2:G48,G48)-1</f>
        <v>47</v>
      </c>
      <c r="B48" s="11" t="s">
        <v>398</v>
      </c>
      <c r="C48" s="11" t="s">
        <v>399</v>
      </c>
      <c r="D48" s="5" t="s">
        <v>54</v>
      </c>
      <c r="E48" s="5" t="s">
        <v>55</v>
      </c>
      <c r="F48" s="5"/>
      <c r="G48" s="22" t="n">
        <f aca="false">ROUND(SUM(I48:P48),3)</f>
        <v>80.712</v>
      </c>
      <c r="H48" s="5" t="str">
        <f aca="false">IF(G48&gt;=評分方法!$C$16,"優先評估",IF(G48&gt;=評分方法!$C$17,"列入候選",IF(G48&gt;=評分方法!$C$18,"特定情境","不建議")))</f>
        <v>優先評估</v>
      </c>
      <c r="I48" s="15" t="n">
        <f aca="false">AE48*評分方法!$C$5</f>
        <v>27</v>
      </c>
      <c r="J48" s="15" t="n">
        <f aca="false">AF48*評分方法!$C$6</f>
        <v>0</v>
      </c>
      <c r="K48" s="15" t="n">
        <f aca="false">AG48*評分方法!$C$7</f>
        <v>15</v>
      </c>
      <c r="L48" s="15" t="n">
        <f aca="false">AH48*評分方法!$C$8</f>
        <v>15</v>
      </c>
      <c r="M48" s="15" t="n">
        <f aca="false">AI48*評分方法!$C$9</f>
        <v>10</v>
      </c>
      <c r="N48" s="15" t="n">
        <f aca="false">AJ48*評分方法!$C$10</f>
        <v>8.712</v>
      </c>
      <c r="O48" s="15" t="n">
        <f aca="false">AK48*評分方法!$C$11</f>
        <v>5</v>
      </c>
      <c r="P48" s="15" t="n">
        <f aca="false">AL48*評分方法!$C$12</f>
        <v>0</v>
      </c>
      <c r="Q48" s="6" t="n">
        <v>2814197</v>
      </c>
      <c r="R48" s="6" t="n">
        <v>33396864</v>
      </c>
      <c r="S48" s="11" t="s">
        <v>238</v>
      </c>
      <c r="T48" s="11" t="s">
        <v>239</v>
      </c>
      <c r="U48" s="5" t="s">
        <v>240</v>
      </c>
      <c r="V48" s="11" t="s">
        <v>241</v>
      </c>
      <c r="W48" s="5" t="s">
        <v>205</v>
      </c>
      <c r="X48" s="5" t="s">
        <v>242</v>
      </c>
      <c r="Y48" s="5"/>
      <c r="Z48" s="5"/>
      <c r="AA48" s="11" t="s">
        <v>152</v>
      </c>
      <c r="AB48" s="5" t="s">
        <v>328</v>
      </c>
      <c r="AC48" s="5" t="s">
        <v>400</v>
      </c>
      <c r="AD48" s="11" t="s">
        <v>401</v>
      </c>
      <c r="AE48" s="23" t="n">
        <v>0.9</v>
      </c>
      <c r="AF48" s="23" t="n">
        <v>0</v>
      </c>
      <c r="AG48" s="23" t="n">
        <v>1</v>
      </c>
      <c r="AH48" s="23" t="n">
        <v>1</v>
      </c>
      <c r="AI48" s="23" t="n">
        <v>1</v>
      </c>
      <c r="AJ48" s="23" t="n">
        <v>0.8712</v>
      </c>
      <c r="AK48" s="23" t="n">
        <v>1</v>
      </c>
      <c r="AL48" s="23" t="n">
        <v>0</v>
      </c>
      <c r="AM48" s="16" t="n">
        <f aca="false">COUNTIFS($D$2:$D$2501,D48,$G$2:$G$2501,"&gt;"&amp;G48)+COUNTIFS($D$2:D48,D48,$G$2:G48,G48)</f>
        <v>23</v>
      </c>
      <c r="AN48" s="5" t="str">
        <f aca="false">D48&amp;"|"&amp;AM48</f>
        <v>檢索與情資關聯|23</v>
      </c>
    </row>
    <row r="49" customFormat="false" ht="17.15" hidden="false" customHeight="false" outlineLevel="0" collapsed="false">
      <c r="A49" s="16" t="n">
        <f aca="false">RANK(G49,$G$2:$G$2501)+COUNTIF($G$2:G49,G49)-1</f>
        <v>48</v>
      </c>
      <c r="B49" s="11" t="s">
        <v>335</v>
      </c>
      <c r="C49" s="11" t="s">
        <v>402</v>
      </c>
      <c r="D49" s="5" t="s">
        <v>48</v>
      </c>
      <c r="E49" s="5" t="s">
        <v>49</v>
      </c>
      <c r="F49" s="5" t="s">
        <v>48</v>
      </c>
      <c r="G49" s="22" t="n">
        <f aca="false">ROUND(SUM(I49:P49),3)</f>
        <v>80.676</v>
      </c>
      <c r="H49" s="5" t="str">
        <f aca="false">IF(G49&gt;=評分方法!$C$16,"優先評估",IF(G49&gt;=評分方法!$C$17,"列入候選",IF(G49&gt;=評分方法!$C$18,"特定情境","不建議")))</f>
        <v>優先評估</v>
      </c>
      <c r="I49" s="15" t="n">
        <f aca="false">AE49*評分方法!$C$5</f>
        <v>28.5</v>
      </c>
      <c r="J49" s="15" t="n">
        <f aca="false">AF49*評分方法!$C$6</f>
        <v>10</v>
      </c>
      <c r="K49" s="15" t="n">
        <f aca="false">AG49*評分方法!$C$7</f>
        <v>4.95</v>
      </c>
      <c r="L49" s="15" t="n">
        <f aca="false">AH49*評分方法!$C$8</f>
        <v>13.05</v>
      </c>
      <c r="M49" s="15" t="n">
        <f aca="false">AI49*評分方法!$C$9</f>
        <v>10</v>
      </c>
      <c r="N49" s="15" t="n">
        <f aca="false">AJ49*評分方法!$C$10</f>
        <v>4.176</v>
      </c>
      <c r="O49" s="15" t="n">
        <f aca="false">AK49*評分方法!$C$11</f>
        <v>5</v>
      </c>
      <c r="P49" s="15" t="n">
        <f aca="false">AL49*評分方法!$C$12</f>
        <v>5</v>
      </c>
      <c r="Q49" s="6" t="n">
        <v>451497</v>
      </c>
      <c r="R49" s="6" t="n">
        <v>1399604809</v>
      </c>
      <c r="S49" s="11" t="s">
        <v>254</v>
      </c>
      <c r="T49" s="11" t="s">
        <v>239</v>
      </c>
      <c r="U49" s="5" t="s">
        <v>240</v>
      </c>
      <c r="V49" s="11" t="s">
        <v>261</v>
      </c>
      <c r="W49" s="5" t="s">
        <v>334</v>
      </c>
      <c r="X49" s="5" t="s">
        <v>284</v>
      </c>
      <c r="Y49" s="11" t="s">
        <v>252</v>
      </c>
      <c r="Z49" s="11" t="s">
        <v>270</v>
      </c>
      <c r="AA49" s="11" t="s">
        <v>150</v>
      </c>
      <c r="AB49" s="5" t="s">
        <v>245</v>
      </c>
      <c r="AC49" s="5"/>
      <c r="AD49" s="11" t="s">
        <v>403</v>
      </c>
      <c r="AE49" s="23" t="n">
        <v>0.95</v>
      </c>
      <c r="AF49" s="23" t="n">
        <v>1</v>
      </c>
      <c r="AG49" s="23" t="n">
        <v>0.33</v>
      </c>
      <c r="AH49" s="23" t="n">
        <v>0.87</v>
      </c>
      <c r="AI49" s="23" t="n">
        <v>1</v>
      </c>
      <c r="AJ49" s="23" t="n">
        <v>0.4176</v>
      </c>
      <c r="AK49" s="23" t="n">
        <v>1</v>
      </c>
      <c r="AL49" s="23" t="n">
        <v>1</v>
      </c>
      <c r="AM49" s="16" t="n">
        <f aca="false">COUNTIFS($D$2:$D$2501,D49,$G$2:$G$2501,"&gt;"&amp;G49)+COUNTIFS($D$2:D49,D49,$G$2:G49,G49)</f>
        <v>5</v>
      </c>
      <c r="AN49" s="5" t="str">
        <f aca="false">D49&amp;"|"&amp;AM49</f>
        <v>個資偵測與去識別化|5</v>
      </c>
    </row>
    <row r="50" customFormat="false" ht="17.15" hidden="false" customHeight="false" outlineLevel="0" collapsed="false">
      <c r="A50" s="16" t="n">
        <f aca="false">RANK(G50,$G$2:$G$2501)+COUNTIF($G$2:G50,G50)-1</f>
        <v>49</v>
      </c>
      <c r="B50" s="11" t="s">
        <v>404</v>
      </c>
      <c r="C50" s="11" t="s">
        <v>299</v>
      </c>
      <c r="D50" s="11" t="s">
        <v>46</v>
      </c>
      <c r="E50" s="11" t="s">
        <v>47</v>
      </c>
      <c r="F50" s="11" t="s">
        <v>46</v>
      </c>
      <c r="G50" s="22" t="n">
        <f aca="false">ROUND(SUM(I50:P50),3)</f>
        <v>80.642</v>
      </c>
      <c r="H50" s="5" t="str">
        <f aca="false">IF(G50&gt;=評分方法!$C$16,"優先評估",IF(G50&gt;=評分方法!$C$17,"列入候選",IF(G50&gt;=評分方法!$C$18,"特定情境","不建議")))</f>
        <v>優先評估</v>
      </c>
      <c r="I50" s="15" t="n">
        <f aca="false">AE50*評分方法!$C$5</f>
        <v>25.5</v>
      </c>
      <c r="J50" s="15" t="n">
        <f aca="false">AF50*評分方法!$C$6</f>
        <v>10</v>
      </c>
      <c r="K50" s="15" t="n">
        <f aca="false">AG50*評分方法!$C$7</f>
        <v>15</v>
      </c>
      <c r="L50" s="15" t="n">
        <f aca="false">AH50*評分方法!$C$8</f>
        <v>13.05</v>
      </c>
      <c r="M50" s="15" t="n">
        <f aca="false">AI50*評分方法!$C$9</f>
        <v>10</v>
      </c>
      <c r="N50" s="15" t="n">
        <f aca="false">AJ50*評分方法!$C$10</f>
        <v>2.092</v>
      </c>
      <c r="O50" s="15" t="n">
        <f aca="false">AK50*評分方法!$C$11</f>
        <v>5</v>
      </c>
      <c r="P50" s="15" t="n">
        <f aca="false">AL50*評分方法!$C$12</f>
        <v>0</v>
      </c>
      <c r="Q50" s="6" t="n">
        <v>216790</v>
      </c>
      <c r="R50" s="6" t="n">
        <v>8380551168</v>
      </c>
      <c r="S50" s="11" t="s">
        <v>254</v>
      </c>
      <c r="T50" s="11" t="s">
        <v>239</v>
      </c>
      <c r="U50" s="5" t="s">
        <v>240</v>
      </c>
      <c r="V50" s="11" t="s">
        <v>261</v>
      </c>
      <c r="W50" s="5" t="s">
        <v>205</v>
      </c>
      <c r="X50" s="5" t="s">
        <v>242</v>
      </c>
      <c r="Y50" s="11" t="s">
        <v>377</v>
      </c>
      <c r="Z50" s="11" t="s">
        <v>270</v>
      </c>
      <c r="AA50" s="11" t="s">
        <v>155</v>
      </c>
      <c r="AB50" s="5" t="s">
        <v>245</v>
      </c>
      <c r="AC50" s="5"/>
      <c r="AD50" s="11" t="s">
        <v>405</v>
      </c>
      <c r="AE50" s="23" t="n">
        <v>0.85</v>
      </c>
      <c r="AF50" s="23" t="n">
        <v>1</v>
      </c>
      <c r="AG50" s="23" t="n">
        <v>1</v>
      </c>
      <c r="AH50" s="23" t="n">
        <v>0.87</v>
      </c>
      <c r="AI50" s="23" t="n">
        <v>1</v>
      </c>
      <c r="AJ50" s="23" t="n">
        <v>0.2092</v>
      </c>
      <c r="AK50" s="23" t="n">
        <v>1</v>
      </c>
      <c r="AL50" s="23" t="n">
        <v>0</v>
      </c>
      <c r="AM50" s="16" t="n">
        <f aca="false">COUNTIFS($D$2:$D$2501,D50,$G$2:$G$2501,"&gt;"&amp;G50)+COUNTIFS($D$2:D50,D50,$G$2:G50,G50)</f>
        <v>9</v>
      </c>
      <c r="AN50" s="5" t="str">
        <f aca="false">D50&amp;"|"&amp;AM50</f>
        <v>AI 應用防護|9</v>
      </c>
    </row>
    <row r="51" customFormat="false" ht="17.15" hidden="false" customHeight="false" outlineLevel="0" collapsed="false">
      <c r="A51" s="16" t="n">
        <f aca="false">RANK(G51,$G$2:$G$2501)+COUNTIF($G$2:G51,G51)-1</f>
        <v>50</v>
      </c>
      <c r="B51" s="11" t="s">
        <v>406</v>
      </c>
      <c r="C51" s="11" t="s">
        <v>282</v>
      </c>
      <c r="D51" s="5" t="s">
        <v>54</v>
      </c>
      <c r="E51" s="5" t="s">
        <v>55</v>
      </c>
      <c r="F51" s="5"/>
      <c r="G51" s="22" t="n">
        <f aca="false">ROUND(SUM(I51:P51),3)</f>
        <v>80.608</v>
      </c>
      <c r="H51" s="5" t="str">
        <f aca="false">IF(G51&gt;=評分方法!$C$16,"優先評估",IF(G51&gt;=評分方法!$C$17,"列入候選",IF(G51&gt;=評分方法!$C$18,"特定情境","不建議")))</f>
        <v>優先評估</v>
      </c>
      <c r="I51" s="15" t="n">
        <f aca="false">AE51*評分方法!$C$5</f>
        <v>27</v>
      </c>
      <c r="J51" s="15" t="n">
        <f aca="false">AF51*評分方法!$C$6</f>
        <v>0</v>
      </c>
      <c r="K51" s="15" t="n">
        <f aca="false">AG51*評分方法!$C$7</f>
        <v>15</v>
      </c>
      <c r="L51" s="15" t="n">
        <f aca="false">AH51*評分方法!$C$8</f>
        <v>15</v>
      </c>
      <c r="M51" s="15" t="n">
        <f aca="false">AI51*評分方法!$C$9</f>
        <v>10</v>
      </c>
      <c r="N51" s="15" t="n">
        <f aca="false">AJ51*評分方法!$C$10</f>
        <v>9.608</v>
      </c>
      <c r="O51" s="15" t="n">
        <f aca="false">AK51*評分方法!$C$11</f>
        <v>2.5</v>
      </c>
      <c r="P51" s="15" t="n">
        <f aca="false">AL51*評分方法!$C$12</f>
        <v>1.5</v>
      </c>
      <c r="Q51" s="6" t="n">
        <v>10434318</v>
      </c>
      <c r="R51" s="6" t="n">
        <v>109486978</v>
      </c>
      <c r="S51" s="11" t="s">
        <v>238</v>
      </c>
      <c r="T51" s="11" t="s">
        <v>239</v>
      </c>
      <c r="U51" s="5" t="s">
        <v>240</v>
      </c>
      <c r="V51" s="11" t="s">
        <v>283</v>
      </c>
      <c r="W51" s="5" t="s">
        <v>205</v>
      </c>
      <c r="X51" s="5" t="s">
        <v>255</v>
      </c>
      <c r="Y51" s="5"/>
      <c r="Z51" s="5"/>
      <c r="AA51" s="11" t="s">
        <v>152</v>
      </c>
      <c r="AB51" s="5" t="s">
        <v>245</v>
      </c>
      <c r="AC51" s="5"/>
      <c r="AD51" s="11" t="s">
        <v>407</v>
      </c>
      <c r="AE51" s="23" t="n">
        <v>0.9</v>
      </c>
      <c r="AF51" s="23" t="n">
        <v>0</v>
      </c>
      <c r="AG51" s="23" t="n">
        <v>1</v>
      </c>
      <c r="AH51" s="23" t="n">
        <v>1</v>
      </c>
      <c r="AI51" s="23" t="n">
        <v>1</v>
      </c>
      <c r="AJ51" s="23" t="n">
        <v>0.9608</v>
      </c>
      <c r="AK51" s="23" t="n">
        <v>0.5</v>
      </c>
      <c r="AL51" s="23" t="n">
        <v>0.3</v>
      </c>
      <c r="AM51" s="16" t="n">
        <f aca="false">COUNTIFS($D$2:$D$2501,D51,$G$2:$G$2501,"&gt;"&amp;G51)+COUNTIFS($D$2:D51,D51,$G$2:G51,G51)</f>
        <v>24</v>
      </c>
      <c r="AN51" s="5" t="str">
        <f aca="false">D51&amp;"|"&amp;AM51</f>
        <v>檢索與情資關聯|24</v>
      </c>
    </row>
    <row r="52" customFormat="false" ht="17.15" hidden="false" customHeight="false" outlineLevel="0" collapsed="false">
      <c r="A52" s="16" t="n">
        <f aca="false">RANK(G52,$G$2:$G$2501)+COUNTIF($G$2:G52,G52)-1</f>
        <v>51</v>
      </c>
      <c r="B52" s="11" t="s">
        <v>408</v>
      </c>
      <c r="C52" s="11" t="s">
        <v>338</v>
      </c>
      <c r="D52" s="5" t="s">
        <v>56</v>
      </c>
      <c r="E52" s="5" t="s">
        <v>57</v>
      </c>
      <c r="F52" s="5"/>
      <c r="G52" s="22" t="n">
        <f aca="false">ROUND(SUM(I52:P52),3)</f>
        <v>80.37</v>
      </c>
      <c r="H52" s="5" t="str">
        <f aca="false">IF(G52&gt;=評分方法!$C$16,"優先評估",IF(G52&gt;=評分方法!$C$17,"列入候選",IF(G52&gt;=評分方法!$C$18,"特定情境","不建議")))</f>
        <v>優先評估</v>
      </c>
      <c r="I52" s="15" t="n">
        <f aca="false">AE52*評分方法!$C$5</f>
        <v>25.5</v>
      </c>
      <c r="J52" s="15" t="n">
        <f aca="false">AF52*評分方法!$C$6</f>
        <v>0</v>
      </c>
      <c r="K52" s="15" t="n">
        <f aca="false">AG52*評分方法!$C$7</f>
        <v>15</v>
      </c>
      <c r="L52" s="15" t="n">
        <f aca="false">AH52*評分方法!$C$8</f>
        <v>13.05</v>
      </c>
      <c r="M52" s="15" t="n">
        <f aca="false">AI52*評分方法!$C$9</f>
        <v>10</v>
      </c>
      <c r="N52" s="15" t="n">
        <f aca="false">AJ52*評分方法!$C$10</f>
        <v>9.82</v>
      </c>
      <c r="O52" s="15" t="n">
        <f aca="false">AK52*評分方法!$C$11</f>
        <v>4</v>
      </c>
      <c r="P52" s="15" t="n">
        <f aca="false">AL52*評分方法!$C$12</f>
        <v>3</v>
      </c>
      <c r="Q52" s="6" t="n">
        <v>21370579</v>
      </c>
      <c r="R52" s="6" t="n">
        <v>7248023552</v>
      </c>
      <c r="S52" s="11" t="s">
        <v>254</v>
      </c>
      <c r="T52" s="11" t="s">
        <v>239</v>
      </c>
      <c r="U52" s="5" t="s">
        <v>240</v>
      </c>
      <c r="V52" s="11" t="s">
        <v>261</v>
      </c>
      <c r="W52" s="5" t="s">
        <v>205</v>
      </c>
      <c r="X52" s="5" t="s">
        <v>371</v>
      </c>
      <c r="Y52" s="11" t="s">
        <v>409</v>
      </c>
      <c r="Z52" s="11" t="s">
        <v>270</v>
      </c>
      <c r="AA52" s="11" t="s">
        <v>155</v>
      </c>
      <c r="AB52" s="5" t="s">
        <v>328</v>
      </c>
      <c r="AC52" s="5" t="s">
        <v>400</v>
      </c>
      <c r="AD52" s="11" t="s">
        <v>410</v>
      </c>
      <c r="AE52" s="23" t="n">
        <v>0.85</v>
      </c>
      <c r="AF52" s="23" t="n">
        <v>0</v>
      </c>
      <c r="AG52" s="23" t="n">
        <v>1</v>
      </c>
      <c r="AH52" s="23" t="n">
        <v>0.87</v>
      </c>
      <c r="AI52" s="23" t="n">
        <v>1</v>
      </c>
      <c r="AJ52" s="23" t="n">
        <v>0.982</v>
      </c>
      <c r="AK52" s="23" t="n">
        <v>0.8</v>
      </c>
      <c r="AL52" s="23" t="n">
        <v>0.6</v>
      </c>
      <c r="AM52" s="16" t="n">
        <f aca="false">COUNTIFS($D$2:$D$2501,D52,$G$2:$G$2501,"&gt;"&amp;G52)+COUNTIFS($D$2:D52,D52,$G$2:G52,G52)</f>
        <v>4</v>
      </c>
      <c r="AN52" s="5" t="str">
        <f aca="false">D52&amp;"|"&amp;AM52</f>
        <v>分析與報告生成|4</v>
      </c>
    </row>
    <row r="53" customFormat="false" ht="17.15" hidden="false" customHeight="false" outlineLevel="0" collapsed="false">
      <c r="A53" s="16" t="n">
        <f aca="false">RANK(G53,$G$2:$G$2501)+COUNTIF($G$2:G53,G53)-1</f>
        <v>52</v>
      </c>
      <c r="B53" s="11" t="s">
        <v>411</v>
      </c>
      <c r="C53" s="11" t="s">
        <v>282</v>
      </c>
      <c r="D53" s="5" t="s">
        <v>54</v>
      </c>
      <c r="E53" s="5" t="s">
        <v>55</v>
      </c>
      <c r="F53" s="5"/>
      <c r="G53" s="22" t="n">
        <f aca="false">ROUND(SUM(I53:P53),3)</f>
        <v>80.36</v>
      </c>
      <c r="H53" s="5" t="str">
        <f aca="false">IF(G53&gt;=評分方法!$C$16,"優先評估",IF(G53&gt;=評分方法!$C$17,"列入候選",IF(G53&gt;=評分方法!$C$18,"特定情境","不建議")))</f>
        <v>優先評估</v>
      </c>
      <c r="I53" s="15" t="n">
        <f aca="false">AE53*評分方法!$C$5</f>
        <v>27</v>
      </c>
      <c r="J53" s="15" t="n">
        <f aca="false">AF53*評分方法!$C$6</f>
        <v>0</v>
      </c>
      <c r="K53" s="15" t="n">
        <f aca="false">AG53*評分方法!$C$7</f>
        <v>15</v>
      </c>
      <c r="L53" s="15" t="n">
        <f aca="false">AH53*評分方法!$C$8</f>
        <v>15</v>
      </c>
      <c r="M53" s="15" t="n">
        <f aca="false">AI53*評分方法!$C$9</f>
        <v>10</v>
      </c>
      <c r="N53" s="15" t="n">
        <f aca="false">AJ53*評分方法!$C$10</f>
        <v>9.36</v>
      </c>
      <c r="O53" s="15" t="n">
        <f aca="false">AK53*評分方法!$C$11</f>
        <v>2.5</v>
      </c>
      <c r="P53" s="15" t="n">
        <f aca="false">AL53*評分方法!$C$12</f>
        <v>1.5</v>
      </c>
      <c r="Q53" s="6" t="n">
        <v>6994700</v>
      </c>
      <c r="R53" s="6" t="n">
        <v>17390336</v>
      </c>
      <c r="S53" s="11" t="s">
        <v>238</v>
      </c>
      <c r="T53" s="11" t="s">
        <v>239</v>
      </c>
      <c r="U53" s="5" t="s">
        <v>240</v>
      </c>
      <c r="V53" s="11" t="s">
        <v>283</v>
      </c>
      <c r="W53" s="5" t="s">
        <v>205</v>
      </c>
      <c r="X53" s="5" t="s">
        <v>255</v>
      </c>
      <c r="Y53" s="5"/>
      <c r="Z53" s="5"/>
      <c r="AA53" s="11" t="s">
        <v>152</v>
      </c>
      <c r="AB53" s="5" t="s">
        <v>245</v>
      </c>
      <c r="AC53" s="5"/>
      <c r="AD53" s="11" t="s">
        <v>412</v>
      </c>
      <c r="AE53" s="23" t="n">
        <v>0.9</v>
      </c>
      <c r="AF53" s="23" t="n">
        <v>0</v>
      </c>
      <c r="AG53" s="23" t="n">
        <v>1</v>
      </c>
      <c r="AH53" s="23" t="n">
        <v>1</v>
      </c>
      <c r="AI53" s="23" t="n">
        <v>1</v>
      </c>
      <c r="AJ53" s="23" t="n">
        <v>0.936</v>
      </c>
      <c r="AK53" s="23" t="n">
        <v>0.5</v>
      </c>
      <c r="AL53" s="23" t="n">
        <v>0.3</v>
      </c>
      <c r="AM53" s="16" t="n">
        <f aca="false">COUNTIFS($D$2:$D$2501,D53,$G$2:$G$2501,"&gt;"&amp;G53)+COUNTIFS($D$2:D53,D53,$G$2:G53,G53)</f>
        <v>25</v>
      </c>
      <c r="AN53" s="5" t="str">
        <f aca="false">D53&amp;"|"&amp;AM53</f>
        <v>檢索與情資關聯|25</v>
      </c>
    </row>
    <row r="54" customFormat="false" ht="17.15" hidden="false" customHeight="false" outlineLevel="0" collapsed="false">
      <c r="A54" s="16" t="n">
        <f aca="false">RANK(G54,$G$2:$G$2501)+COUNTIF($G$2:G54,G54)-1</f>
        <v>53</v>
      </c>
      <c r="B54" s="11" t="s">
        <v>413</v>
      </c>
      <c r="C54" s="11" t="s">
        <v>338</v>
      </c>
      <c r="D54" s="5" t="s">
        <v>56</v>
      </c>
      <c r="E54" s="5" t="s">
        <v>57</v>
      </c>
      <c r="F54" s="5"/>
      <c r="G54" s="22" t="n">
        <f aca="false">ROUND(SUM(I54:P54),3)</f>
        <v>80.254</v>
      </c>
      <c r="H54" s="5" t="str">
        <f aca="false">IF(G54&gt;=評分方法!$C$16,"優先評估",IF(G54&gt;=評分方法!$C$17,"列入候選",IF(G54&gt;=評分方法!$C$18,"特定情境","不建議")))</f>
        <v>優先評估</v>
      </c>
      <c r="I54" s="15" t="n">
        <f aca="false">AE54*評分方法!$C$5</f>
        <v>25.5</v>
      </c>
      <c r="J54" s="15" t="n">
        <f aca="false">AF54*評分方法!$C$6</f>
        <v>0</v>
      </c>
      <c r="K54" s="15" t="n">
        <f aca="false">AG54*評分方法!$C$7</f>
        <v>15</v>
      </c>
      <c r="L54" s="15" t="n">
        <f aca="false">AH54*評分方法!$C$8</f>
        <v>13.05</v>
      </c>
      <c r="M54" s="15" t="n">
        <f aca="false">AI54*評分方法!$C$9</f>
        <v>10</v>
      </c>
      <c r="N54" s="15" t="n">
        <f aca="false">AJ54*評分方法!$C$10</f>
        <v>6.704</v>
      </c>
      <c r="O54" s="15" t="n">
        <f aca="false">AK54*評分方法!$C$11</f>
        <v>5</v>
      </c>
      <c r="P54" s="15" t="n">
        <f aca="false">AL54*評分方法!$C$12</f>
        <v>5</v>
      </c>
      <c r="Q54" s="6" t="n">
        <v>814948</v>
      </c>
      <c r="R54" s="6" t="n">
        <v>8918026716</v>
      </c>
      <c r="S54" s="11" t="s">
        <v>254</v>
      </c>
      <c r="T54" s="11" t="s">
        <v>239</v>
      </c>
      <c r="U54" s="5" t="s">
        <v>240</v>
      </c>
      <c r="V54" s="11" t="s">
        <v>261</v>
      </c>
      <c r="W54" s="5" t="s">
        <v>205</v>
      </c>
      <c r="X54" s="5" t="s">
        <v>284</v>
      </c>
      <c r="Y54" s="11" t="s">
        <v>414</v>
      </c>
      <c r="Z54" s="11" t="s">
        <v>244</v>
      </c>
      <c r="AA54" s="11" t="s">
        <v>155</v>
      </c>
      <c r="AB54" s="5" t="s">
        <v>328</v>
      </c>
      <c r="AC54" s="5" t="s">
        <v>340</v>
      </c>
      <c r="AD54" s="11" t="s">
        <v>415</v>
      </c>
      <c r="AE54" s="23" t="n">
        <v>0.85</v>
      </c>
      <c r="AF54" s="23" t="n">
        <v>0</v>
      </c>
      <c r="AG54" s="23" t="n">
        <v>1</v>
      </c>
      <c r="AH54" s="23" t="n">
        <v>0.87</v>
      </c>
      <c r="AI54" s="23" t="n">
        <v>1</v>
      </c>
      <c r="AJ54" s="23" t="n">
        <v>0.6704</v>
      </c>
      <c r="AK54" s="23" t="n">
        <v>1</v>
      </c>
      <c r="AL54" s="23" t="n">
        <v>1</v>
      </c>
      <c r="AM54" s="16" t="n">
        <f aca="false">COUNTIFS($D$2:$D$2501,D54,$G$2:$G$2501,"&gt;"&amp;G54)+COUNTIFS($D$2:D54,D54,$G$2:G54,G54)</f>
        <v>5</v>
      </c>
      <c r="AN54" s="5" t="str">
        <f aca="false">D54&amp;"|"&amp;AM54</f>
        <v>分析與報告生成|5</v>
      </c>
    </row>
    <row r="55" customFormat="false" ht="17.15" hidden="false" customHeight="false" outlineLevel="0" collapsed="false">
      <c r="A55" s="16" t="n">
        <f aca="false">RANK(G55,$G$2:$G$2501)+COUNTIF($G$2:G55,G55)-1</f>
        <v>54</v>
      </c>
      <c r="B55" s="11" t="s">
        <v>416</v>
      </c>
      <c r="C55" s="11" t="s">
        <v>417</v>
      </c>
      <c r="D55" s="5" t="s">
        <v>56</v>
      </c>
      <c r="E55" s="5" t="s">
        <v>57</v>
      </c>
      <c r="F55" s="5"/>
      <c r="G55" s="22" t="n">
        <f aca="false">ROUND(SUM(I55:P55),3)</f>
        <v>80.086</v>
      </c>
      <c r="H55" s="5" t="str">
        <f aca="false">IF(G55&gt;=評分方法!$C$16,"優先評估",IF(G55&gt;=評分方法!$C$17,"列入候選",IF(G55&gt;=評分方法!$C$18,"特定情境","不建議")))</f>
        <v>優先評估</v>
      </c>
      <c r="I55" s="15" t="n">
        <f aca="false">AE55*評分方法!$C$5</f>
        <v>25.5</v>
      </c>
      <c r="J55" s="15" t="n">
        <f aca="false">AF55*評分方法!$C$6</f>
        <v>0</v>
      </c>
      <c r="K55" s="15" t="n">
        <f aca="false">AG55*評分方法!$C$7</f>
        <v>15</v>
      </c>
      <c r="L55" s="15" t="n">
        <f aca="false">AH55*評分方法!$C$8</f>
        <v>13.05</v>
      </c>
      <c r="M55" s="15" t="n">
        <f aca="false">AI55*評分方法!$C$9</f>
        <v>10</v>
      </c>
      <c r="N55" s="15" t="n">
        <f aca="false">AJ55*評分方法!$C$10</f>
        <v>9.036</v>
      </c>
      <c r="O55" s="15" t="n">
        <f aca="false">AK55*評分方法!$C$11</f>
        <v>2.5</v>
      </c>
      <c r="P55" s="15" t="n">
        <f aca="false">AL55*評分方法!$C$12</f>
        <v>5</v>
      </c>
      <c r="Q55" s="6" t="n">
        <v>4011021</v>
      </c>
      <c r="R55" s="6" t="n">
        <v>3075098624</v>
      </c>
      <c r="S55" s="11" t="s">
        <v>254</v>
      </c>
      <c r="T55" s="11" t="s">
        <v>239</v>
      </c>
      <c r="U55" s="5" t="s">
        <v>240</v>
      </c>
      <c r="V55" s="11" t="s">
        <v>261</v>
      </c>
      <c r="W55" s="5" t="s">
        <v>205</v>
      </c>
      <c r="X55" s="5" t="s">
        <v>284</v>
      </c>
      <c r="Y55" s="11" t="s">
        <v>418</v>
      </c>
      <c r="Z55" s="11" t="s">
        <v>270</v>
      </c>
      <c r="AA55" s="11" t="s">
        <v>155</v>
      </c>
      <c r="AB55" s="5" t="s">
        <v>245</v>
      </c>
      <c r="AC55" s="5"/>
      <c r="AD55" s="11" t="s">
        <v>419</v>
      </c>
      <c r="AE55" s="23" t="n">
        <v>0.85</v>
      </c>
      <c r="AF55" s="23" t="n">
        <v>0</v>
      </c>
      <c r="AG55" s="23" t="n">
        <v>1</v>
      </c>
      <c r="AH55" s="23" t="n">
        <v>0.87</v>
      </c>
      <c r="AI55" s="23" t="n">
        <v>1</v>
      </c>
      <c r="AJ55" s="23" t="n">
        <v>0.9036</v>
      </c>
      <c r="AK55" s="23" t="n">
        <v>0.5</v>
      </c>
      <c r="AL55" s="23" t="n">
        <v>1</v>
      </c>
      <c r="AM55" s="16" t="n">
        <f aca="false">COUNTIFS($D$2:$D$2501,D55,$G$2:$G$2501,"&gt;"&amp;G55)+COUNTIFS($D$2:D55,D55,$G$2:G55,G55)</f>
        <v>6</v>
      </c>
      <c r="AN55" s="5" t="str">
        <f aca="false">D55&amp;"|"&amp;AM55</f>
        <v>分析與報告生成|6</v>
      </c>
    </row>
    <row r="56" customFormat="false" ht="17.15" hidden="false" customHeight="false" outlineLevel="0" collapsed="false">
      <c r="A56" s="16" t="n">
        <f aca="false">RANK(G56,$G$2:$G$2501)+COUNTIF($G$2:G56,G56)-1</f>
        <v>55</v>
      </c>
      <c r="B56" s="11" t="s">
        <v>420</v>
      </c>
      <c r="C56" s="11" t="s">
        <v>299</v>
      </c>
      <c r="D56" s="5" t="s">
        <v>56</v>
      </c>
      <c r="E56" s="5" t="s">
        <v>57</v>
      </c>
      <c r="F56" s="5"/>
      <c r="G56" s="22" t="n">
        <f aca="false">ROUND(SUM(I56:P56),3)</f>
        <v>79.97</v>
      </c>
      <c r="H56" s="5" t="str">
        <f aca="false">IF(G56&gt;=評分方法!$C$16,"優先評估",IF(G56&gt;=評分方法!$C$17,"列入候選",IF(G56&gt;=評分方法!$C$18,"特定情境","不建議")))</f>
        <v>列入候選</v>
      </c>
      <c r="I56" s="15" t="n">
        <f aca="false">AE56*評分方法!$C$5</f>
        <v>25.5</v>
      </c>
      <c r="J56" s="15" t="n">
        <f aca="false">AF56*評分方法!$C$6</f>
        <v>0</v>
      </c>
      <c r="K56" s="15" t="n">
        <f aca="false">AG56*評分方法!$C$7</f>
        <v>15</v>
      </c>
      <c r="L56" s="15" t="n">
        <f aca="false">AH56*評分方法!$C$8</f>
        <v>13.05</v>
      </c>
      <c r="M56" s="15" t="n">
        <f aca="false">AI56*評分方法!$C$9</f>
        <v>10</v>
      </c>
      <c r="N56" s="15" t="n">
        <f aca="false">AJ56*評分方法!$C$10</f>
        <v>8.42</v>
      </c>
      <c r="O56" s="15" t="n">
        <f aca="false">AK56*評分方法!$C$11</f>
        <v>5</v>
      </c>
      <c r="P56" s="15" t="n">
        <f aca="false">AL56*評分方法!$C$12</f>
        <v>3</v>
      </c>
      <c r="Q56" s="6" t="n">
        <v>2079473</v>
      </c>
      <c r="R56" s="6" t="n">
        <v>3402836480</v>
      </c>
      <c r="S56" s="11" t="s">
        <v>254</v>
      </c>
      <c r="T56" s="11" t="s">
        <v>239</v>
      </c>
      <c r="U56" s="5" t="s">
        <v>240</v>
      </c>
      <c r="V56" s="11" t="s">
        <v>261</v>
      </c>
      <c r="W56" s="5" t="s">
        <v>205</v>
      </c>
      <c r="X56" s="5" t="s">
        <v>371</v>
      </c>
      <c r="Y56" s="5"/>
      <c r="Z56" s="5"/>
      <c r="AA56" s="11" t="s">
        <v>155</v>
      </c>
      <c r="AB56" s="5" t="s">
        <v>245</v>
      </c>
      <c r="AC56" s="5"/>
      <c r="AD56" s="11" t="s">
        <v>421</v>
      </c>
      <c r="AE56" s="23" t="n">
        <v>0.85</v>
      </c>
      <c r="AF56" s="23" t="n">
        <v>0</v>
      </c>
      <c r="AG56" s="23" t="n">
        <v>1</v>
      </c>
      <c r="AH56" s="23" t="n">
        <v>0.87</v>
      </c>
      <c r="AI56" s="23" t="n">
        <v>1</v>
      </c>
      <c r="AJ56" s="23" t="n">
        <v>0.842</v>
      </c>
      <c r="AK56" s="23" t="n">
        <v>1</v>
      </c>
      <c r="AL56" s="23" t="n">
        <v>0.6</v>
      </c>
      <c r="AM56" s="16" t="n">
        <f aca="false">COUNTIFS($D$2:$D$2501,D56,$G$2:$G$2501,"&gt;"&amp;G56)+COUNTIFS($D$2:D56,D56,$G$2:G56,G56)</f>
        <v>7</v>
      </c>
      <c r="AN56" s="5" t="str">
        <f aca="false">D56&amp;"|"&amp;AM56</f>
        <v>分析與報告生成|7</v>
      </c>
    </row>
    <row r="57" customFormat="false" ht="17.15" hidden="false" customHeight="false" outlineLevel="0" collapsed="false">
      <c r="A57" s="16" t="n">
        <f aca="false">RANK(G57,$G$2:$G$2501)+COUNTIF($G$2:G57,G57)-1</f>
        <v>56</v>
      </c>
      <c r="B57" s="11" t="s">
        <v>422</v>
      </c>
      <c r="C57" s="11" t="s">
        <v>368</v>
      </c>
      <c r="D57" s="5" t="s">
        <v>56</v>
      </c>
      <c r="E57" s="5" t="s">
        <v>57</v>
      </c>
      <c r="F57" s="5"/>
      <c r="G57" s="22" t="n">
        <f aca="false">ROUND(SUM(I57:P57),3)</f>
        <v>79.918</v>
      </c>
      <c r="H57" s="5" t="str">
        <f aca="false">IF(G57&gt;=評分方法!$C$16,"優先評估",IF(G57&gt;=評分方法!$C$17,"列入候選",IF(G57&gt;=評分方法!$C$18,"特定情境","不建議")))</f>
        <v>列入候選</v>
      </c>
      <c r="I57" s="15" t="n">
        <f aca="false">AE57*評分方法!$C$5</f>
        <v>24</v>
      </c>
      <c r="J57" s="15" t="n">
        <f aca="false">AF57*評分方法!$C$6</f>
        <v>0</v>
      </c>
      <c r="K57" s="15" t="n">
        <f aca="false">AG57*評分方法!$C$7</f>
        <v>15</v>
      </c>
      <c r="L57" s="15" t="n">
        <f aca="false">AH57*評分方法!$C$8</f>
        <v>13.05</v>
      </c>
      <c r="M57" s="15" t="n">
        <f aca="false">AI57*評分方法!$C$9</f>
        <v>10</v>
      </c>
      <c r="N57" s="15" t="n">
        <f aca="false">AJ57*評分方法!$C$10</f>
        <v>9.868</v>
      </c>
      <c r="O57" s="15" t="n">
        <f aca="false">AK57*評分方法!$C$11</f>
        <v>5</v>
      </c>
      <c r="P57" s="15" t="n">
        <f aca="false">AL57*評分方法!$C$12</f>
        <v>3</v>
      </c>
      <c r="Q57" s="6" t="n">
        <v>33314404</v>
      </c>
      <c r="R57" s="6" t="n">
        <v>7996156490</v>
      </c>
      <c r="S57" s="11" t="s">
        <v>254</v>
      </c>
      <c r="T57" s="11" t="s">
        <v>239</v>
      </c>
      <c r="U57" s="5" t="s">
        <v>240</v>
      </c>
      <c r="V57" s="11" t="s">
        <v>261</v>
      </c>
      <c r="W57" s="5" t="s">
        <v>205</v>
      </c>
      <c r="X57" s="5" t="s">
        <v>371</v>
      </c>
      <c r="Y57" s="11" t="s">
        <v>423</v>
      </c>
      <c r="Z57" s="11" t="s">
        <v>270</v>
      </c>
      <c r="AA57" s="11" t="s">
        <v>157</v>
      </c>
      <c r="AB57" s="5" t="s">
        <v>245</v>
      </c>
      <c r="AC57" s="5"/>
      <c r="AD57" s="11" t="s">
        <v>424</v>
      </c>
      <c r="AE57" s="23" t="n">
        <v>0.8</v>
      </c>
      <c r="AF57" s="23" t="n">
        <v>0</v>
      </c>
      <c r="AG57" s="23" t="n">
        <v>1</v>
      </c>
      <c r="AH57" s="23" t="n">
        <v>0.87</v>
      </c>
      <c r="AI57" s="23" t="n">
        <v>1</v>
      </c>
      <c r="AJ57" s="23" t="n">
        <v>0.9868</v>
      </c>
      <c r="AK57" s="23" t="n">
        <v>1</v>
      </c>
      <c r="AL57" s="23" t="n">
        <v>0.6</v>
      </c>
      <c r="AM57" s="16" t="n">
        <f aca="false">COUNTIFS($D$2:$D$2501,D57,$G$2:$G$2501,"&gt;"&amp;G57)+COUNTIFS($D$2:D57,D57,$G$2:G57,G57)</f>
        <v>8</v>
      </c>
      <c r="AN57" s="5" t="str">
        <f aca="false">D57&amp;"|"&amp;AM57</f>
        <v>分析與報告生成|8</v>
      </c>
    </row>
    <row r="58" customFormat="false" ht="17.15" hidden="false" customHeight="false" outlineLevel="0" collapsed="false">
      <c r="A58" s="16" t="n">
        <f aca="false">RANK(G58,$G$2:$G$2501)+COUNTIF($G$2:G58,G58)-1</f>
        <v>57</v>
      </c>
      <c r="B58" s="11" t="s">
        <v>425</v>
      </c>
      <c r="C58" s="11" t="s">
        <v>368</v>
      </c>
      <c r="D58" s="5" t="s">
        <v>56</v>
      </c>
      <c r="E58" s="5" t="s">
        <v>57</v>
      </c>
      <c r="F58" s="5"/>
      <c r="G58" s="22" t="n">
        <f aca="false">ROUND(SUM(I58:P58),3)</f>
        <v>79.846</v>
      </c>
      <c r="H58" s="5" t="str">
        <f aca="false">IF(G58&gt;=評分方法!$C$16,"優先評估",IF(G58&gt;=評分方法!$C$17,"列入候選",IF(G58&gt;=評分方法!$C$18,"特定情境","不建議")))</f>
        <v>列入候選</v>
      </c>
      <c r="I58" s="15" t="n">
        <f aca="false">AE58*評分方法!$C$5</f>
        <v>24</v>
      </c>
      <c r="J58" s="15" t="n">
        <f aca="false">AF58*評分方法!$C$6</f>
        <v>0</v>
      </c>
      <c r="K58" s="15" t="n">
        <f aca="false">AG58*評分方法!$C$7</f>
        <v>15</v>
      </c>
      <c r="L58" s="15" t="n">
        <f aca="false">AH58*評分方法!$C$8</f>
        <v>13.05</v>
      </c>
      <c r="M58" s="15" t="n">
        <f aca="false">AI58*評分方法!$C$9</f>
        <v>10</v>
      </c>
      <c r="N58" s="15" t="n">
        <f aca="false">AJ58*評分方法!$C$10</f>
        <v>9.796</v>
      </c>
      <c r="O58" s="15" t="n">
        <f aca="false">AK58*評分方法!$C$11</f>
        <v>5</v>
      </c>
      <c r="P58" s="15" t="n">
        <f aca="false">AL58*評分方法!$C$12</f>
        <v>3</v>
      </c>
      <c r="Q58" s="6" t="n">
        <v>19887491</v>
      </c>
      <c r="R58" s="6" t="n">
        <v>5123178051</v>
      </c>
      <c r="S58" s="11" t="s">
        <v>254</v>
      </c>
      <c r="T58" s="11" t="s">
        <v>239</v>
      </c>
      <c r="U58" s="5" t="s">
        <v>240</v>
      </c>
      <c r="V58" s="11" t="s">
        <v>261</v>
      </c>
      <c r="W58" s="5" t="s">
        <v>205</v>
      </c>
      <c r="X58" s="5" t="s">
        <v>371</v>
      </c>
      <c r="Y58" s="11" t="s">
        <v>426</v>
      </c>
      <c r="Z58" s="11" t="s">
        <v>270</v>
      </c>
      <c r="AA58" s="11" t="s">
        <v>157</v>
      </c>
      <c r="AB58" s="5" t="s">
        <v>245</v>
      </c>
      <c r="AC58" s="5"/>
      <c r="AD58" s="11" t="s">
        <v>427</v>
      </c>
      <c r="AE58" s="23" t="n">
        <v>0.8</v>
      </c>
      <c r="AF58" s="23" t="n">
        <v>0</v>
      </c>
      <c r="AG58" s="23" t="n">
        <v>1</v>
      </c>
      <c r="AH58" s="23" t="n">
        <v>0.87</v>
      </c>
      <c r="AI58" s="23" t="n">
        <v>1</v>
      </c>
      <c r="AJ58" s="23" t="n">
        <v>0.9796</v>
      </c>
      <c r="AK58" s="23" t="n">
        <v>1</v>
      </c>
      <c r="AL58" s="23" t="n">
        <v>0.6</v>
      </c>
      <c r="AM58" s="16" t="n">
        <f aca="false">COUNTIFS($D$2:$D$2501,D58,$G$2:$G$2501,"&gt;"&amp;G58)+COUNTIFS($D$2:D58,D58,$G$2:G58,G58)</f>
        <v>9</v>
      </c>
      <c r="AN58" s="5" t="str">
        <f aca="false">D58&amp;"|"&amp;AM58</f>
        <v>分析與報告生成|9</v>
      </c>
    </row>
    <row r="59" customFormat="false" ht="17.15" hidden="false" customHeight="false" outlineLevel="0" collapsed="false">
      <c r="A59" s="16" t="n">
        <f aca="false">RANK(G59,$G$2:$G$2501)+COUNTIF($G$2:G59,G59)-1</f>
        <v>58</v>
      </c>
      <c r="B59" s="11" t="s">
        <v>428</v>
      </c>
      <c r="C59" s="11" t="s">
        <v>282</v>
      </c>
      <c r="D59" s="5" t="s">
        <v>54</v>
      </c>
      <c r="E59" s="5" t="s">
        <v>55</v>
      </c>
      <c r="F59" s="5"/>
      <c r="G59" s="22" t="n">
        <f aca="false">ROUND(SUM(I59:P59),3)</f>
        <v>79.792</v>
      </c>
      <c r="H59" s="5" t="str">
        <f aca="false">IF(G59&gt;=評分方法!$C$16,"優先評估",IF(G59&gt;=評分方法!$C$17,"列入候選",IF(G59&gt;=評分方法!$C$18,"特定情境","不建議")))</f>
        <v>列入候選</v>
      </c>
      <c r="I59" s="15" t="n">
        <f aca="false">AE59*評分方法!$C$5</f>
        <v>27</v>
      </c>
      <c r="J59" s="15" t="n">
        <f aca="false">AF59*評分方法!$C$6</f>
        <v>0</v>
      </c>
      <c r="K59" s="15" t="n">
        <f aca="false">AG59*評分方法!$C$7</f>
        <v>15</v>
      </c>
      <c r="L59" s="15" t="n">
        <f aca="false">AH59*評分方法!$C$8</f>
        <v>15</v>
      </c>
      <c r="M59" s="15" t="n">
        <f aca="false">AI59*評分方法!$C$9</f>
        <v>10</v>
      </c>
      <c r="N59" s="15" t="n">
        <f aca="false">AJ59*評分方法!$C$10</f>
        <v>8.792</v>
      </c>
      <c r="O59" s="15" t="n">
        <f aca="false">AK59*評分方法!$C$11</f>
        <v>2.5</v>
      </c>
      <c r="P59" s="15" t="n">
        <f aca="false">AL59*評分方法!$C$12</f>
        <v>1.5</v>
      </c>
      <c r="Q59" s="6" t="n">
        <v>3045976</v>
      </c>
      <c r="R59" s="6" t="n">
        <v>109486978</v>
      </c>
      <c r="S59" s="11" t="s">
        <v>238</v>
      </c>
      <c r="T59" s="11" t="s">
        <v>239</v>
      </c>
      <c r="U59" s="5" t="s">
        <v>240</v>
      </c>
      <c r="V59" s="11" t="s">
        <v>283</v>
      </c>
      <c r="W59" s="5" t="s">
        <v>205</v>
      </c>
      <c r="X59" s="5" t="s">
        <v>255</v>
      </c>
      <c r="Y59" s="5"/>
      <c r="Z59" s="5"/>
      <c r="AA59" s="11" t="s">
        <v>152</v>
      </c>
      <c r="AB59" s="5" t="s">
        <v>245</v>
      </c>
      <c r="AC59" s="5"/>
      <c r="AD59" s="11" t="s">
        <v>429</v>
      </c>
      <c r="AE59" s="23" t="n">
        <v>0.9</v>
      </c>
      <c r="AF59" s="23" t="n">
        <v>0</v>
      </c>
      <c r="AG59" s="23" t="n">
        <v>1</v>
      </c>
      <c r="AH59" s="23" t="n">
        <v>1</v>
      </c>
      <c r="AI59" s="23" t="n">
        <v>1</v>
      </c>
      <c r="AJ59" s="23" t="n">
        <v>0.8792</v>
      </c>
      <c r="AK59" s="23" t="n">
        <v>0.5</v>
      </c>
      <c r="AL59" s="23" t="n">
        <v>0.3</v>
      </c>
      <c r="AM59" s="16" t="n">
        <f aca="false">COUNTIFS($D$2:$D$2501,D59,$G$2:$G$2501,"&gt;"&amp;G59)+COUNTIFS($D$2:D59,D59,$G$2:G59,G59)</f>
        <v>26</v>
      </c>
      <c r="AN59" s="5" t="str">
        <f aca="false">D59&amp;"|"&amp;AM59</f>
        <v>檢索與情資關聯|26</v>
      </c>
    </row>
    <row r="60" customFormat="false" ht="17.15" hidden="false" customHeight="false" outlineLevel="0" collapsed="false">
      <c r="A60" s="16" t="n">
        <f aca="false">RANK(G60,$G$2:$G$2501)+COUNTIF($G$2:G60,G60)-1</f>
        <v>59</v>
      </c>
      <c r="B60" s="11" t="s">
        <v>430</v>
      </c>
      <c r="C60" s="11" t="s">
        <v>368</v>
      </c>
      <c r="D60" s="5" t="s">
        <v>56</v>
      </c>
      <c r="E60" s="5" t="s">
        <v>57</v>
      </c>
      <c r="F60" s="5"/>
      <c r="G60" s="22" t="n">
        <f aca="false">ROUND(SUM(I60:P60),3)</f>
        <v>79.788</v>
      </c>
      <c r="H60" s="5" t="str">
        <f aca="false">IF(G60&gt;=評分方法!$C$16,"優先評估",IF(G60&gt;=評分方法!$C$17,"列入候選",IF(G60&gt;=評分方法!$C$18,"特定情境","不建議")))</f>
        <v>列入候選</v>
      </c>
      <c r="I60" s="15" t="n">
        <f aca="false">AE60*評分方法!$C$5</f>
        <v>24</v>
      </c>
      <c r="J60" s="15" t="n">
        <f aca="false">AF60*評分方法!$C$6</f>
        <v>0</v>
      </c>
      <c r="K60" s="15" t="n">
        <f aca="false">AG60*評分方法!$C$7</f>
        <v>15</v>
      </c>
      <c r="L60" s="15" t="n">
        <f aca="false">AH60*評分方法!$C$8</f>
        <v>15</v>
      </c>
      <c r="M60" s="15" t="n">
        <f aca="false">AI60*評分方法!$C$9</f>
        <v>10</v>
      </c>
      <c r="N60" s="15" t="n">
        <f aca="false">AJ60*評分方法!$C$10</f>
        <v>7.788</v>
      </c>
      <c r="O60" s="15" t="n">
        <f aca="false">AK60*評分方法!$C$11</f>
        <v>5</v>
      </c>
      <c r="P60" s="15" t="n">
        <f aca="false">AL60*評分方法!$C$12</f>
        <v>3</v>
      </c>
      <c r="Q60" s="6" t="n">
        <v>1366026</v>
      </c>
      <c r="R60" s="6" t="n">
        <v>419711236</v>
      </c>
      <c r="S60" s="11" t="s">
        <v>238</v>
      </c>
      <c r="T60" s="11" t="s">
        <v>239</v>
      </c>
      <c r="U60" s="5" t="s">
        <v>240</v>
      </c>
      <c r="V60" s="11" t="s">
        <v>261</v>
      </c>
      <c r="W60" s="5" t="s">
        <v>205</v>
      </c>
      <c r="X60" s="5" t="s">
        <v>371</v>
      </c>
      <c r="Y60" s="5"/>
      <c r="Z60" s="5"/>
      <c r="AA60" s="11" t="s">
        <v>157</v>
      </c>
      <c r="AB60" s="5" t="s">
        <v>245</v>
      </c>
      <c r="AC60" s="5"/>
      <c r="AD60" s="11" t="s">
        <v>431</v>
      </c>
      <c r="AE60" s="23" t="n">
        <v>0.8</v>
      </c>
      <c r="AF60" s="23" t="n">
        <v>0</v>
      </c>
      <c r="AG60" s="23" t="n">
        <v>1</v>
      </c>
      <c r="AH60" s="23" t="n">
        <v>1</v>
      </c>
      <c r="AI60" s="23" t="n">
        <v>1</v>
      </c>
      <c r="AJ60" s="23" t="n">
        <v>0.7788</v>
      </c>
      <c r="AK60" s="23" t="n">
        <v>1</v>
      </c>
      <c r="AL60" s="23" t="n">
        <v>0.6</v>
      </c>
      <c r="AM60" s="16" t="n">
        <f aca="false">COUNTIFS($D$2:$D$2501,D60,$G$2:$G$2501,"&gt;"&amp;G60)+COUNTIFS($D$2:D60,D60,$G$2:G60,G60)</f>
        <v>10</v>
      </c>
      <c r="AN60" s="5" t="str">
        <f aca="false">D60&amp;"|"&amp;AM60</f>
        <v>分析與報告生成|10</v>
      </c>
    </row>
    <row r="61" customFormat="false" ht="17.15" hidden="false" customHeight="false" outlineLevel="0" collapsed="false">
      <c r="A61" s="16" t="n">
        <f aca="false">RANK(G61,$G$2:$G$2501)+COUNTIF($G$2:G61,G61)-1</f>
        <v>60</v>
      </c>
      <c r="B61" s="11" t="s">
        <v>432</v>
      </c>
      <c r="C61" s="11" t="s">
        <v>265</v>
      </c>
      <c r="D61" s="5" t="s">
        <v>58</v>
      </c>
      <c r="E61" s="5" t="s">
        <v>59</v>
      </c>
      <c r="F61" s="5"/>
      <c r="G61" s="22" t="n">
        <f aca="false">ROUND(SUM(I61:P61),3)</f>
        <v>79.764</v>
      </c>
      <c r="H61" s="5" t="str">
        <f aca="false">IF(G61&gt;=評分方法!$C$16,"優先評估",IF(G61&gt;=評分方法!$C$17,"列入候選",IF(G61&gt;=評分方法!$C$18,"特定情境","不建議")))</f>
        <v>列入候選</v>
      </c>
      <c r="I61" s="15" t="n">
        <f aca="false">AE61*評分方法!$C$5</f>
        <v>28.5</v>
      </c>
      <c r="J61" s="15" t="n">
        <f aca="false">AF61*評分方法!$C$6</f>
        <v>0</v>
      </c>
      <c r="K61" s="15" t="n">
        <f aca="false">AG61*評分方法!$C$7</f>
        <v>15</v>
      </c>
      <c r="L61" s="15" t="n">
        <f aca="false">AH61*評分方法!$C$8</f>
        <v>15</v>
      </c>
      <c r="M61" s="15" t="n">
        <f aca="false">AI61*評分方法!$C$9</f>
        <v>10</v>
      </c>
      <c r="N61" s="15" t="n">
        <f aca="false">AJ61*評分方法!$C$10</f>
        <v>6.264</v>
      </c>
      <c r="O61" s="15" t="n">
        <f aca="false">AK61*評分方法!$C$11</f>
        <v>5</v>
      </c>
      <c r="P61" s="15" t="n">
        <f aca="false">AL61*評分方法!$C$12</f>
        <v>0</v>
      </c>
      <c r="Q61" s="6" t="n">
        <v>685514</v>
      </c>
      <c r="R61" s="6" t="n">
        <v>307098645</v>
      </c>
      <c r="S61" s="11" t="s">
        <v>238</v>
      </c>
      <c r="T61" s="11" t="s">
        <v>239</v>
      </c>
      <c r="U61" s="5" t="s">
        <v>240</v>
      </c>
      <c r="V61" s="11" t="s">
        <v>261</v>
      </c>
      <c r="W61" s="5" t="s">
        <v>205</v>
      </c>
      <c r="X61" s="5" t="s">
        <v>242</v>
      </c>
      <c r="Y61" s="5"/>
      <c r="Z61" s="5"/>
      <c r="AA61" s="11" t="s">
        <v>150</v>
      </c>
      <c r="AB61" s="5" t="s">
        <v>343</v>
      </c>
      <c r="AC61" s="5" t="s">
        <v>344</v>
      </c>
      <c r="AD61" s="11" t="s">
        <v>433</v>
      </c>
      <c r="AE61" s="23" t="n">
        <v>0.95</v>
      </c>
      <c r="AF61" s="23" t="n">
        <v>0</v>
      </c>
      <c r="AG61" s="23" t="n">
        <v>1</v>
      </c>
      <c r="AH61" s="23" t="n">
        <v>1</v>
      </c>
      <c r="AI61" s="23" t="n">
        <v>1</v>
      </c>
      <c r="AJ61" s="23" t="n">
        <v>0.6264</v>
      </c>
      <c r="AK61" s="23" t="n">
        <v>1</v>
      </c>
      <c r="AL61" s="23" t="n">
        <v>0</v>
      </c>
      <c r="AM61" s="16" t="n">
        <f aca="false">COUNTIFS($D$2:$D$2501,D61,$G$2:$G$2501,"&gt;"&amp;G61)+COUNTIFS($D$2:D61,D61,$G$2:G61,G61)</f>
        <v>4</v>
      </c>
      <c r="AN61" s="5" t="str">
        <f aca="false">D61&amp;"|"&amp;AM61</f>
        <v>實體擷取與去識別化|4</v>
      </c>
    </row>
    <row r="62" customFormat="false" ht="17.15" hidden="false" customHeight="false" outlineLevel="0" collapsed="false">
      <c r="A62" s="16" t="n">
        <f aca="false">RANK(G62,$G$2:$G$2501)+COUNTIF($G$2:G62,G62)-1</f>
        <v>61</v>
      </c>
      <c r="B62" s="11" t="s">
        <v>434</v>
      </c>
      <c r="C62" s="11" t="s">
        <v>282</v>
      </c>
      <c r="D62" s="5" t="s">
        <v>54</v>
      </c>
      <c r="E62" s="5" t="s">
        <v>55</v>
      </c>
      <c r="F62" s="5"/>
      <c r="G62" s="22" t="n">
        <f aca="false">ROUND(SUM(I62:P62),3)</f>
        <v>79.676</v>
      </c>
      <c r="H62" s="5" t="str">
        <f aca="false">IF(G62&gt;=評分方法!$C$16,"優先評估",IF(G62&gt;=評分方法!$C$17,"列入候選",IF(G62&gt;=評分方法!$C$18,"特定情境","不建議")))</f>
        <v>列入候選</v>
      </c>
      <c r="I62" s="15" t="n">
        <f aca="false">AE62*評分方法!$C$5</f>
        <v>27</v>
      </c>
      <c r="J62" s="15" t="n">
        <f aca="false">AF62*評分方法!$C$6</f>
        <v>0</v>
      </c>
      <c r="K62" s="15" t="n">
        <f aca="false">AG62*評分方法!$C$7</f>
        <v>15</v>
      </c>
      <c r="L62" s="15" t="n">
        <f aca="false">AH62*評分方法!$C$8</f>
        <v>15</v>
      </c>
      <c r="M62" s="15" t="n">
        <f aca="false">AI62*評分方法!$C$9</f>
        <v>10</v>
      </c>
      <c r="N62" s="15" t="n">
        <f aca="false">AJ62*評分方法!$C$10</f>
        <v>8.676</v>
      </c>
      <c r="O62" s="15" t="n">
        <f aca="false">AK62*評分方法!$C$11</f>
        <v>2.5</v>
      </c>
      <c r="P62" s="15" t="n">
        <f aca="false">AL62*評分方法!$C$12</f>
        <v>1.5</v>
      </c>
      <c r="Q62" s="6" t="n">
        <v>2701713</v>
      </c>
      <c r="R62" s="6" t="n">
        <v>11684096</v>
      </c>
      <c r="S62" s="11" t="s">
        <v>238</v>
      </c>
      <c r="T62" s="11" t="s">
        <v>239</v>
      </c>
      <c r="U62" s="5" t="s">
        <v>240</v>
      </c>
      <c r="V62" s="11" t="s">
        <v>283</v>
      </c>
      <c r="W62" s="5" t="s">
        <v>205</v>
      </c>
      <c r="X62" s="5" t="s">
        <v>255</v>
      </c>
      <c r="Y62" s="5"/>
      <c r="Z62" s="5"/>
      <c r="AA62" s="11" t="s">
        <v>152</v>
      </c>
      <c r="AB62" s="5" t="s">
        <v>245</v>
      </c>
      <c r="AC62" s="5"/>
      <c r="AD62" s="11" t="s">
        <v>435</v>
      </c>
      <c r="AE62" s="23" t="n">
        <v>0.9</v>
      </c>
      <c r="AF62" s="23" t="n">
        <v>0</v>
      </c>
      <c r="AG62" s="23" t="n">
        <v>1</v>
      </c>
      <c r="AH62" s="23" t="n">
        <v>1</v>
      </c>
      <c r="AI62" s="23" t="n">
        <v>1</v>
      </c>
      <c r="AJ62" s="23" t="n">
        <v>0.8676</v>
      </c>
      <c r="AK62" s="23" t="n">
        <v>0.5</v>
      </c>
      <c r="AL62" s="23" t="n">
        <v>0.3</v>
      </c>
      <c r="AM62" s="16" t="n">
        <f aca="false">COUNTIFS($D$2:$D$2501,D62,$G$2:$G$2501,"&gt;"&amp;G62)+COUNTIFS($D$2:D62,D62,$G$2:G62,G62)</f>
        <v>27</v>
      </c>
      <c r="AN62" s="5" t="str">
        <f aca="false">D62&amp;"|"&amp;AM62</f>
        <v>檢索與情資關聯|27</v>
      </c>
    </row>
    <row r="63" customFormat="false" ht="17.15" hidden="false" customHeight="false" outlineLevel="0" collapsed="false">
      <c r="A63" s="16" t="n">
        <f aca="false">RANK(G63,$G$2:$G$2501)+COUNTIF($G$2:G63,G63)-1</f>
        <v>62</v>
      </c>
      <c r="B63" s="11" t="s">
        <v>436</v>
      </c>
      <c r="C63" s="11" t="s">
        <v>313</v>
      </c>
      <c r="D63" s="5" t="s">
        <v>54</v>
      </c>
      <c r="E63" s="5" t="s">
        <v>55</v>
      </c>
      <c r="F63" s="5"/>
      <c r="G63" s="22" t="n">
        <f aca="false">ROUND(SUM(I63:P63),3)</f>
        <v>79.644</v>
      </c>
      <c r="H63" s="5" t="str">
        <f aca="false">IF(G63&gt;=評分方法!$C$16,"優先評估",IF(G63&gt;=評分方法!$C$17,"列入候選",IF(G63&gt;=評分方法!$C$18,"特定情境","不建議")))</f>
        <v>列入候選</v>
      </c>
      <c r="I63" s="15" t="n">
        <f aca="false">AE63*評分方法!$C$5</f>
        <v>27</v>
      </c>
      <c r="J63" s="15" t="n">
        <f aca="false">AF63*評分方法!$C$6</f>
        <v>0</v>
      </c>
      <c r="K63" s="15" t="n">
        <f aca="false">AG63*評分方法!$C$7</f>
        <v>15</v>
      </c>
      <c r="L63" s="15" t="n">
        <f aca="false">AH63*評分方法!$C$8</f>
        <v>15</v>
      </c>
      <c r="M63" s="15" t="n">
        <f aca="false">AI63*評分方法!$C$9</f>
        <v>10</v>
      </c>
      <c r="N63" s="15" t="n">
        <f aca="false">AJ63*評分方法!$C$10</f>
        <v>8.644</v>
      </c>
      <c r="O63" s="15" t="n">
        <f aca="false">AK63*評分方法!$C$11</f>
        <v>2.5</v>
      </c>
      <c r="P63" s="15" t="n">
        <f aca="false">AL63*評分方法!$C$12</f>
        <v>1.5</v>
      </c>
      <c r="Q63" s="6" t="n">
        <v>2619176</v>
      </c>
      <c r="R63" s="6" t="n">
        <v>108891648</v>
      </c>
      <c r="S63" s="11" t="s">
        <v>238</v>
      </c>
      <c r="T63" s="11" t="s">
        <v>239</v>
      </c>
      <c r="U63" s="5" t="s">
        <v>240</v>
      </c>
      <c r="V63" s="11" t="s">
        <v>241</v>
      </c>
      <c r="W63" s="5" t="s">
        <v>205</v>
      </c>
      <c r="X63" s="5" t="s">
        <v>255</v>
      </c>
      <c r="Y63" s="5"/>
      <c r="Z63" s="5"/>
      <c r="AA63" s="11" t="s">
        <v>152</v>
      </c>
      <c r="AB63" s="5" t="s">
        <v>245</v>
      </c>
      <c r="AC63" s="5"/>
      <c r="AD63" s="11" t="s">
        <v>437</v>
      </c>
      <c r="AE63" s="23" t="n">
        <v>0.9</v>
      </c>
      <c r="AF63" s="23" t="n">
        <v>0</v>
      </c>
      <c r="AG63" s="23" t="n">
        <v>1</v>
      </c>
      <c r="AH63" s="23" t="n">
        <v>1</v>
      </c>
      <c r="AI63" s="23" t="n">
        <v>1</v>
      </c>
      <c r="AJ63" s="23" t="n">
        <v>0.8644</v>
      </c>
      <c r="AK63" s="23" t="n">
        <v>0.5</v>
      </c>
      <c r="AL63" s="23" t="n">
        <v>0.3</v>
      </c>
      <c r="AM63" s="16" t="n">
        <f aca="false">COUNTIFS($D$2:$D$2501,D63,$G$2:$G$2501,"&gt;"&amp;G63)+COUNTIFS($D$2:D63,D63,$G$2:G63,G63)</f>
        <v>28</v>
      </c>
      <c r="AN63" s="5" t="str">
        <f aca="false">D63&amp;"|"&amp;AM63</f>
        <v>檢索與情資關聯|28</v>
      </c>
    </row>
    <row r="64" customFormat="false" ht="17.15" hidden="false" customHeight="false" outlineLevel="0" collapsed="false">
      <c r="A64" s="16" t="n">
        <f aca="false">RANK(G64,$G$2:$G$2501)+COUNTIF($G$2:G64,G64)-1</f>
        <v>63</v>
      </c>
      <c r="B64" s="11" t="s">
        <v>438</v>
      </c>
      <c r="C64" s="11" t="s">
        <v>332</v>
      </c>
      <c r="D64" s="5" t="s">
        <v>48</v>
      </c>
      <c r="E64" s="5" t="s">
        <v>49</v>
      </c>
      <c r="F64" s="5" t="s">
        <v>48</v>
      </c>
      <c r="G64" s="22" t="n">
        <f aca="false">ROUND(SUM(I64:P64),3)</f>
        <v>79.56</v>
      </c>
      <c r="H64" s="5" t="str">
        <f aca="false">IF(G64&gt;=評分方法!$C$16,"優先評估",IF(G64&gt;=評分方法!$C$17,"列入候選",IF(G64&gt;=評分方法!$C$18,"特定情境","不建議")))</f>
        <v>列入候選</v>
      </c>
      <c r="I64" s="15" t="n">
        <f aca="false">AE64*評分方法!$C$5</f>
        <v>28.5</v>
      </c>
      <c r="J64" s="15" t="n">
        <f aca="false">AF64*評分方法!$C$6</f>
        <v>10</v>
      </c>
      <c r="K64" s="15" t="n">
        <f aca="false">AG64*評分方法!$C$7</f>
        <v>4.95</v>
      </c>
      <c r="L64" s="15" t="n">
        <f aca="false">AH64*評分方法!$C$8</f>
        <v>13.05</v>
      </c>
      <c r="M64" s="15" t="n">
        <f aca="false">AI64*評分方法!$C$9</f>
        <v>10</v>
      </c>
      <c r="N64" s="15" t="n">
        <f aca="false">AJ64*評分方法!$C$10</f>
        <v>8.06</v>
      </c>
      <c r="O64" s="15" t="n">
        <f aca="false">AK64*評分方法!$C$11</f>
        <v>5</v>
      </c>
      <c r="P64" s="15" t="n">
        <f aca="false">AL64*評分方法!$C$12</f>
        <v>0</v>
      </c>
      <c r="Q64" s="6" t="n">
        <v>1646317</v>
      </c>
      <c r="R64" s="6" t="n">
        <v>1399607373</v>
      </c>
      <c r="S64" s="11" t="s">
        <v>254</v>
      </c>
      <c r="T64" s="11" t="s">
        <v>239</v>
      </c>
      <c r="U64" s="5" t="s">
        <v>240</v>
      </c>
      <c r="V64" s="11" t="s">
        <v>333</v>
      </c>
      <c r="W64" s="5" t="s">
        <v>334</v>
      </c>
      <c r="X64" s="5" t="s">
        <v>242</v>
      </c>
      <c r="Y64" s="11" t="s">
        <v>439</v>
      </c>
      <c r="Z64" s="11" t="s">
        <v>244</v>
      </c>
      <c r="AA64" s="11" t="s">
        <v>150</v>
      </c>
      <c r="AB64" s="5" t="s">
        <v>245</v>
      </c>
      <c r="AC64" s="5" t="s">
        <v>246</v>
      </c>
      <c r="AD64" s="11" t="s">
        <v>440</v>
      </c>
      <c r="AE64" s="23" t="n">
        <v>0.95</v>
      </c>
      <c r="AF64" s="23" t="n">
        <v>1</v>
      </c>
      <c r="AG64" s="23" t="n">
        <v>0.33</v>
      </c>
      <c r="AH64" s="23" t="n">
        <v>0.87</v>
      </c>
      <c r="AI64" s="23" t="n">
        <v>1</v>
      </c>
      <c r="AJ64" s="23" t="n">
        <v>0.806</v>
      </c>
      <c r="AK64" s="23" t="n">
        <v>1</v>
      </c>
      <c r="AL64" s="23" t="n">
        <v>0</v>
      </c>
      <c r="AM64" s="16" t="n">
        <f aca="false">COUNTIFS($D$2:$D$2501,D64,$G$2:$G$2501,"&gt;"&amp;G64)+COUNTIFS($D$2:D64,D64,$G$2:G64,G64)</f>
        <v>6</v>
      </c>
      <c r="AN64" s="5" t="str">
        <f aca="false">D64&amp;"|"&amp;AM64</f>
        <v>個資偵測與去識別化|6</v>
      </c>
    </row>
    <row r="65" customFormat="false" ht="17.15" hidden="false" customHeight="false" outlineLevel="0" collapsed="false">
      <c r="A65" s="16" t="n">
        <f aca="false">RANK(G65,$G$2:$G$2501)+COUNTIF($G$2:G65,G65)-1</f>
        <v>64</v>
      </c>
      <c r="B65" s="11" t="s">
        <v>441</v>
      </c>
      <c r="C65" s="11" t="s">
        <v>282</v>
      </c>
      <c r="D65" s="5" t="s">
        <v>54</v>
      </c>
      <c r="E65" s="5" t="s">
        <v>55</v>
      </c>
      <c r="F65" s="5"/>
      <c r="G65" s="22" t="n">
        <f aca="false">ROUND(SUM(I65:P65),3)</f>
        <v>79.484</v>
      </c>
      <c r="H65" s="5" t="str">
        <f aca="false">IF(G65&gt;=評分方法!$C$16,"優先評估",IF(G65&gt;=評分方法!$C$17,"列入候選",IF(G65&gt;=評分方法!$C$18,"特定情境","不建議")))</f>
        <v>列入候選</v>
      </c>
      <c r="I65" s="15" t="n">
        <f aca="false">AE65*評分方法!$C$5</f>
        <v>27</v>
      </c>
      <c r="J65" s="15" t="n">
        <f aca="false">AF65*評分方法!$C$6</f>
        <v>0</v>
      </c>
      <c r="K65" s="15" t="n">
        <f aca="false">AG65*評分方法!$C$7</f>
        <v>15</v>
      </c>
      <c r="L65" s="15" t="n">
        <f aca="false">AH65*評分方法!$C$8</f>
        <v>15</v>
      </c>
      <c r="M65" s="15" t="n">
        <f aca="false">AI65*評分方法!$C$9</f>
        <v>10</v>
      </c>
      <c r="N65" s="15" t="n">
        <f aca="false">AJ65*評分方法!$C$10</f>
        <v>9.984</v>
      </c>
      <c r="O65" s="15" t="n">
        <f aca="false">AK65*評分方法!$C$11</f>
        <v>2.5</v>
      </c>
      <c r="P65" s="15" t="n">
        <f aca="false">AL65*評分方法!$C$12</f>
        <v>0</v>
      </c>
      <c r="Q65" s="6" t="n">
        <v>172189985</v>
      </c>
      <c r="R65" s="6" t="n">
        <v>109486978</v>
      </c>
      <c r="S65" s="11" t="s">
        <v>238</v>
      </c>
      <c r="T65" s="11" t="s">
        <v>239</v>
      </c>
      <c r="U65" s="5" t="s">
        <v>240</v>
      </c>
      <c r="V65" s="11" t="s">
        <v>288</v>
      </c>
      <c r="W65" s="5" t="s">
        <v>205</v>
      </c>
      <c r="X65" s="5" t="s">
        <v>242</v>
      </c>
      <c r="Y65" s="5"/>
      <c r="Z65" s="5"/>
      <c r="AA65" s="11" t="s">
        <v>152</v>
      </c>
      <c r="AB65" s="5" t="s">
        <v>245</v>
      </c>
      <c r="AC65" s="5"/>
      <c r="AD65" s="11" t="s">
        <v>442</v>
      </c>
      <c r="AE65" s="23" t="n">
        <v>0.9</v>
      </c>
      <c r="AF65" s="23" t="n">
        <v>0</v>
      </c>
      <c r="AG65" s="23" t="n">
        <v>1</v>
      </c>
      <c r="AH65" s="23" t="n">
        <v>1</v>
      </c>
      <c r="AI65" s="23" t="n">
        <v>1</v>
      </c>
      <c r="AJ65" s="23" t="n">
        <v>0.9984</v>
      </c>
      <c r="AK65" s="23" t="n">
        <v>0.5</v>
      </c>
      <c r="AL65" s="23" t="n">
        <v>0</v>
      </c>
      <c r="AM65" s="16" t="n">
        <f aca="false">COUNTIFS($D$2:$D$2501,D65,$G$2:$G$2501,"&gt;"&amp;G65)+COUNTIFS($D$2:D65,D65,$G$2:G65,G65)</f>
        <v>29</v>
      </c>
      <c r="AN65" s="5" t="str">
        <f aca="false">D65&amp;"|"&amp;AM65</f>
        <v>檢索與情資關聯|29</v>
      </c>
    </row>
    <row r="66" customFormat="false" ht="17.15" hidden="false" customHeight="false" outlineLevel="0" collapsed="false">
      <c r="A66" s="16" t="n">
        <f aca="false">RANK(G66,$G$2:$G$2501)+COUNTIF($G$2:G66,G66)-1</f>
        <v>65</v>
      </c>
      <c r="B66" s="11" t="s">
        <v>443</v>
      </c>
      <c r="C66" s="11" t="s">
        <v>282</v>
      </c>
      <c r="D66" s="5" t="s">
        <v>54</v>
      </c>
      <c r="E66" s="5" t="s">
        <v>55</v>
      </c>
      <c r="F66" s="5"/>
      <c r="G66" s="22" t="n">
        <f aca="false">ROUND(SUM(I66:P66),3)</f>
        <v>79.404</v>
      </c>
      <c r="H66" s="5" t="str">
        <f aca="false">IF(G66&gt;=評分方法!$C$16,"優先評估",IF(G66&gt;=評分方法!$C$17,"列入候選",IF(G66&gt;=評分方法!$C$18,"特定情境","不建議")))</f>
        <v>列入候選</v>
      </c>
      <c r="I66" s="15" t="n">
        <f aca="false">AE66*評分方法!$C$5</f>
        <v>27</v>
      </c>
      <c r="J66" s="15" t="n">
        <f aca="false">AF66*評分方法!$C$6</f>
        <v>0</v>
      </c>
      <c r="K66" s="15" t="n">
        <f aca="false">AG66*評分方法!$C$7</f>
        <v>15</v>
      </c>
      <c r="L66" s="15" t="n">
        <f aca="false">AH66*評分方法!$C$8</f>
        <v>15</v>
      </c>
      <c r="M66" s="15" t="n">
        <f aca="false">AI66*評分方法!$C$9</f>
        <v>10</v>
      </c>
      <c r="N66" s="15" t="n">
        <f aca="false">AJ66*評分方法!$C$10</f>
        <v>8.404</v>
      </c>
      <c r="O66" s="15" t="n">
        <f aca="false">AK66*評分方法!$C$11</f>
        <v>2.5</v>
      </c>
      <c r="P66" s="15" t="n">
        <f aca="false">AL66*評分方法!$C$12</f>
        <v>1.5</v>
      </c>
      <c r="Q66" s="6" t="n">
        <v>2066252</v>
      </c>
      <c r="R66" s="6" t="n">
        <v>33360512</v>
      </c>
      <c r="S66" s="11" t="s">
        <v>238</v>
      </c>
      <c r="T66" s="11" t="s">
        <v>239</v>
      </c>
      <c r="U66" s="5" t="s">
        <v>240</v>
      </c>
      <c r="V66" s="11" t="s">
        <v>283</v>
      </c>
      <c r="W66" s="5" t="s">
        <v>205</v>
      </c>
      <c r="X66" s="5" t="s">
        <v>255</v>
      </c>
      <c r="Y66" s="5"/>
      <c r="Z66" s="5"/>
      <c r="AA66" s="11" t="s">
        <v>152</v>
      </c>
      <c r="AB66" s="5" t="s">
        <v>245</v>
      </c>
      <c r="AC66" s="5"/>
      <c r="AD66" s="11" t="s">
        <v>444</v>
      </c>
      <c r="AE66" s="23" t="n">
        <v>0.9</v>
      </c>
      <c r="AF66" s="23" t="n">
        <v>0</v>
      </c>
      <c r="AG66" s="23" t="n">
        <v>1</v>
      </c>
      <c r="AH66" s="23" t="n">
        <v>1</v>
      </c>
      <c r="AI66" s="23" t="n">
        <v>1</v>
      </c>
      <c r="AJ66" s="23" t="n">
        <v>0.8404</v>
      </c>
      <c r="AK66" s="23" t="n">
        <v>0.5</v>
      </c>
      <c r="AL66" s="23" t="n">
        <v>0.3</v>
      </c>
      <c r="AM66" s="16" t="n">
        <f aca="false">COUNTIFS($D$2:$D$2501,D66,$G$2:$G$2501,"&gt;"&amp;G66)+COUNTIFS($D$2:D66,D66,$G$2:G66,G66)</f>
        <v>30</v>
      </c>
      <c r="AN66" s="5" t="str">
        <f aca="false">D66&amp;"|"&amp;AM66</f>
        <v>檢索與情資關聯|30</v>
      </c>
    </row>
    <row r="67" customFormat="false" ht="17.15" hidden="false" customHeight="false" outlineLevel="0" collapsed="false">
      <c r="A67" s="16" t="n">
        <f aca="false">RANK(G67,$G$2:$G$2501)+COUNTIF($G$2:G67,G67)-1</f>
        <v>66</v>
      </c>
      <c r="B67" s="11" t="s">
        <v>445</v>
      </c>
      <c r="C67" s="11" t="s">
        <v>302</v>
      </c>
      <c r="D67" s="5" t="s">
        <v>54</v>
      </c>
      <c r="E67" s="5" t="s">
        <v>55</v>
      </c>
      <c r="F67" s="5"/>
      <c r="G67" s="22" t="n">
        <f aca="false">ROUND(SUM(I67:P67),3)</f>
        <v>79.38</v>
      </c>
      <c r="H67" s="5" t="str">
        <f aca="false">IF(G67&gt;=評分方法!$C$16,"優先評估",IF(G67&gt;=評分方法!$C$17,"列入候選",IF(G67&gt;=評分方法!$C$18,"特定情境","不建議")))</f>
        <v>列入候選</v>
      </c>
      <c r="I67" s="15" t="n">
        <f aca="false">AE67*評分方法!$C$5</f>
        <v>27</v>
      </c>
      <c r="J67" s="15" t="n">
        <f aca="false">AF67*評分方法!$C$6</f>
        <v>0</v>
      </c>
      <c r="K67" s="15" t="n">
        <f aca="false">AG67*評分方法!$C$7</f>
        <v>15</v>
      </c>
      <c r="L67" s="15" t="n">
        <f aca="false">AH67*評分方法!$C$8</f>
        <v>15</v>
      </c>
      <c r="M67" s="15" t="n">
        <f aca="false">AI67*評分方法!$C$9</f>
        <v>10</v>
      </c>
      <c r="N67" s="15" t="n">
        <f aca="false">AJ67*評分方法!$C$10</f>
        <v>9.88</v>
      </c>
      <c r="O67" s="15" t="n">
        <f aca="false">AK67*評分方法!$C$11</f>
        <v>2.5</v>
      </c>
      <c r="P67" s="15" t="n">
        <f aca="false">AL67*評分方法!$C$12</f>
        <v>0</v>
      </c>
      <c r="Q67" s="6" t="n">
        <v>37556429</v>
      </c>
      <c r="R67" s="6" t="n">
        <v>19165185</v>
      </c>
      <c r="S67" s="11" t="s">
        <v>238</v>
      </c>
      <c r="T67" s="11" t="s">
        <v>239</v>
      </c>
      <c r="U67" s="5" t="s">
        <v>240</v>
      </c>
      <c r="V67" s="11" t="s">
        <v>356</v>
      </c>
      <c r="W67" s="5" t="s">
        <v>205</v>
      </c>
      <c r="X67" s="5" t="s">
        <v>242</v>
      </c>
      <c r="Y67" s="11" t="s">
        <v>357</v>
      </c>
      <c r="Z67" s="11" t="s">
        <v>244</v>
      </c>
      <c r="AA67" s="11" t="s">
        <v>154</v>
      </c>
      <c r="AB67" s="5" t="s">
        <v>245</v>
      </c>
      <c r="AC67" s="5" t="s">
        <v>246</v>
      </c>
      <c r="AD67" s="11" t="s">
        <v>446</v>
      </c>
      <c r="AE67" s="23" t="n">
        <v>0.9</v>
      </c>
      <c r="AF67" s="23" t="n">
        <v>0</v>
      </c>
      <c r="AG67" s="23" t="n">
        <v>1</v>
      </c>
      <c r="AH67" s="23" t="n">
        <v>1</v>
      </c>
      <c r="AI67" s="23" t="n">
        <v>1</v>
      </c>
      <c r="AJ67" s="23" t="n">
        <v>0.988</v>
      </c>
      <c r="AK67" s="23" t="n">
        <v>0.5</v>
      </c>
      <c r="AL67" s="23" t="n">
        <v>0</v>
      </c>
      <c r="AM67" s="16" t="n">
        <f aca="false">COUNTIFS($D$2:$D$2501,D67,$G$2:$G$2501,"&gt;"&amp;G67)+COUNTIFS($D$2:D67,D67,$G$2:G67,G67)</f>
        <v>31</v>
      </c>
      <c r="AN67" s="5" t="str">
        <f aca="false">D67&amp;"|"&amp;AM67</f>
        <v>檢索與情資關聯|31</v>
      </c>
    </row>
    <row r="68" customFormat="false" ht="17.15" hidden="false" customHeight="false" outlineLevel="0" collapsed="false">
      <c r="A68" s="16" t="n">
        <f aca="false">RANK(G68,$G$2:$G$2501)+COUNTIF($G$2:G68,G68)-1</f>
        <v>67</v>
      </c>
      <c r="B68" s="11" t="s">
        <v>447</v>
      </c>
      <c r="C68" s="11" t="s">
        <v>282</v>
      </c>
      <c r="D68" s="5" t="s">
        <v>54</v>
      </c>
      <c r="E68" s="5" t="s">
        <v>55</v>
      </c>
      <c r="F68" s="5"/>
      <c r="G68" s="22" t="n">
        <f aca="false">ROUND(SUM(I68:P68),3)</f>
        <v>79.24</v>
      </c>
      <c r="H68" s="5" t="str">
        <f aca="false">IF(G68&gt;=評分方法!$C$16,"優先評估",IF(G68&gt;=評分方法!$C$17,"列入候選",IF(G68&gt;=評分方法!$C$18,"特定情境","不建議")))</f>
        <v>列入候選</v>
      </c>
      <c r="I68" s="15" t="n">
        <f aca="false">AE68*評分方法!$C$5</f>
        <v>27</v>
      </c>
      <c r="J68" s="15" t="n">
        <f aca="false">AF68*評分方法!$C$6</f>
        <v>0</v>
      </c>
      <c r="K68" s="15" t="n">
        <f aca="false">AG68*評分方法!$C$7</f>
        <v>15</v>
      </c>
      <c r="L68" s="15" t="n">
        <f aca="false">AH68*評分方法!$C$8</f>
        <v>15</v>
      </c>
      <c r="M68" s="15" t="n">
        <f aca="false">AI68*評分方法!$C$9</f>
        <v>10</v>
      </c>
      <c r="N68" s="15" t="n">
        <f aca="false">AJ68*評分方法!$C$10</f>
        <v>9.74</v>
      </c>
      <c r="O68" s="15" t="n">
        <f aca="false">AK68*評分方法!$C$11</f>
        <v>2.5</v>
      </c>
      <c r="P68" s="15" t="n">
        <f aca="false">AL68*評分方法!$C$12</f>
        <v>0</v>
      </c>
      <c r="Q68" s="6" t="n">
        <v>16093150</v>
      </c>
      <c r="R68" s="6" t="n">
        <v>82118914</v>
      </c>
      <c r="S68" s="11" t="s">
        <v>238</v>
      </c>
      <c r="T68" s="11" t="s">
        <v>239</v>
      </c>
      <c r="U68" s="5" t="s">
        <v>240</v>
      </c>
      <c r="V68" s="11" t="s">
        <v>288</v>
      </c>
      <c r="W68" s="5" t="s">
        <v>205</v>
      </c>
      <c r="X68" s="5" t="s">
        <v>242</v>
      </c>
      <c r="Y68" s="5"/>
      <c r="Z68" s="5"/>
      <c r="AA68" s="11" t="s">
        <v>152</v>
      </c>
      <c r="AB68" s="5" t="s">
        <v>245</v>
      </c>
      <c r="AC68" s="5"/>
      <c r="AD68" s="11" t="s">
        <v>448</v>
      </c>
      <c r="AE68" s="23" t="n">
        <v>0.9</v>
      </c>
      <c r="AF68" s="23" t="n">
        <v>0</v>
      </c>
      <c r="AG68" s="23" t="n">
        <v>1</v>
      </c>
      <c r="AH68" s="23" t="n">
        <v>1</v>
      </c>
      <c r="AI68" s="23" t="n">
        <v>1</v>
      </c>
      <c r="AJ68" s="23" t="n">
        <v>0.974</v>
      </c>
      <c r="AK68" s="23" t="n">
        <v>0.5</v>
      </c>
      <c r="AL68" s="23" t="n">
        <v>0</v>
      </c>
      <c r="AM68" s="16" t="n">
        <f aca="false">COUNTIFS($D$2:$D$2501,D68,$G$2:$G$2501,"&gt;"&amp;G68)+COUNTIFS($D$2:D68,D68,$G$2:G68,G68)</f>
        <v>32</v>
      </c>
      <c r="AN68" s="5" t="str">
        <f aca="false">D68&amp;"|"&amp;AM68</f>
        <v>檢索與情資關聯|32</v>
      </c>
    </row>
    <row r="69" customFormat="false" ht="17.15" hidden="false" customHeight="false" outlineLevel="0" collapsed="false">
      <c r="A69" s="16" t="n">
        <f aca="false">RANK(G69,$G$2:$G$2501)+COUNTIF($G$2:G69,G69)-1</f>
        <v>68</v>
      </c>
      <c r="B69" s="11" t="s">
        <v>449</v>
      </c>
      <c r="C69" s="11" t="s">
        <v>313</v>
      </c>
      <c r="D69" s="5" t="s">
        <v>54</v>
      </c>
      <c r="E69" s="5" t="s">
        <v>55</v>
      </c>
      <c r="F69" s="5"/>
      <c r="G69" s="22" t="n">
        <f aca="false">ROUND(SUM(I69:P69),3)</f>
        <v>79.22</v>
      </c>
      <c r="H69" s="5" t="str">
        <f aca="false">IF(G69&gt;=評分方法!$C$16,"優先評估",IF(G69&gt;=評分方法!$C$17,"列入候選",IF(G69&gt;=評分方法!$C$18,"特定情境","不建議")))</f>
        <v>列入候選</v>
      </c>
      <c r="I69" s="15" t="n">
        <f aca="false">AE69*評分方法!$C$5</f>
        <v>27</v>
      </c>
      <c r="J69" s="15" t="n">
        <f aca="false">AF69*評分方法!$C$6</f>
        <v>0</v>
      </c>
      <c r="K69" s="15" t="n">
        <f aca="false">AG69*評分方法!$C$7</f>
        <v>15</v>
      </c>
      <c r="L69" s="15" t="n">
        <f aca="false">AH69*評分方法!$C$8</f>
        <v>15</v>
      </c>
      <c r="M69" s="15" t="n">
        <f aca="false">AI69*評分方法!$C$9</f>
        <v>10</v>
      </c>
      <c r="N69" s="15" t="n">
        <f aca="false">AJ69*評分方法!$C$10</f>
        <v>8.22</v>
      </c>
      <c r="O69" s="15" t="n">
        <f aca="false">AK69*評分方法!$C$11</f>
        <v>2.5</v>
      </c>
      <c r="P69" s="15" t="n">
        <f aca="false">AL69*評分方法!$C$12</f>
        <v>1.5</v>
      </c>
      <c r="Q69" s="6" t="n">
        <v>1828828</v>
      </c>
      <c r="R69" s="6" t="n">
        <v>108891648</v>
      </c>
      <c r="S69" s="11" t="s">
        <v>238</v>
      </c>
      <c r="T69" s="11" t="s">
        <v>239</v>
      </c>
      <c r="U69" s="5" t="s">
        <v>240</v>
      </c>
      <c r="V69" s="11" t="s">
        <v>450</v>
      </c>
      <c r="W69" s="5" t="s">
        <v>205</v>
      </c>
      <c r="X69" s="5" t="s">
        <v>255</v>
      </c>
      <c r="Y69" s="5"/>
      <c r="Z69" s="5"/>
      <c r="AA69" s="11" t="s">
        <v>152</v>
      </c>
      <c r="AB69" s="5" t="s">
        <v>245</v>
      </c>
      <c r="AC69" s="5"/>
      <c r="AD69" s="11" t="s">
        <v>451</v>
      </c>
      <c r="AE69" s="23" t="n">
        <v>0.9</v>
      </c>
      <c r="AF69" s="23" t="n">
        <v>0</v>
      </c>
      <c r="AG69" s="23" t="n">
        <v>1</v>
      </c>
      <c r="AH69" s="23" t="n">
        <v>1</v>
      </c>
      <c r="AI69" s="23" t="n">
        <v>1</v>
      </c>
      <c r="AJ69" s="23" t="n">
        <v>0.822</v>
      </c>
      <c r="AK69" s="23" t="n">
        <v>0.5</v>
      </c>
      <c r="AL69" s="23" t="n">
        <v>0.3</v>
      </c>
      <c r="AM69" s="16" t="n">
        <f aca="false">COUNTIFS($D$2:$D$2501,D69,$G$2:$G$2501,"&gt;"&amp;G69)+COUNTIFS($D$2:D69,D69,$G$2:G69,G69)</f>
        <v>33</v>
      </c>
      <c r="AN69" s="5" t="str">
        <f aca="false">D69&amp;"|"&amp;AM69</f>
        <v>檢索與情資關聯|33</v>
      </c>
    </row>
    <row r="70" customFormat="false" ht="17.15" hidden="false" customHeight="false" outlineLevel="0" collapsed="false">
      <c r="A70" s="16" t="n">
        <f aca="false">RANK(G70,$G$2:$G$2501)+COUNTIF($G$2:G70,G70)-1</f>
        <v>69</v>
      </c>
      <c r="B70" s="11" t="s">
        <v>357</v>
      </c>
      <c r="C70" s="11" t="s">
        <v>302</v>
      </c>
      <c r="D70" s="5" t="s">
        <v>54</v>
      </c>
      <c r="E70" s="5" t="s">
        <v>55</v>
      </c>
      <c r="F70" s="5"/>
      <c r="G70" s="22" t="n">
        <f aca="false">ROUND(SUM(I70:P70),3)</f>
        <v>79.208</v>
      </c>
      <c r="H70" s="5" t="str">
        <f aca="false">IF(G70&gt;=評分方法!$C$16,"優先評估",IF(G70&gt;=評分方法!$C$17,"列入候選",IF(G70&gt;=評分方法!$C$18,"特定情境","不建議")))</f>
        <v>列入候選</v>
      </c>
      <c r="I70" s="15" t="n">
        <f aca="false">AE70*評分方法!$C$5</f>
        <v>27</v>
      </c>
      <c r="J70" s="15" t="n">
        <f aca="false">AF70*評分方法!$C$6</f>
        <v>0</v>
      </c>
      <c r="K70" s="15" t="n">
        <f aca="false">AG70*評分方法!$C$7</f>
        <v>15</v>
      </c>
      <c r="L70" s="15" t="n">
        <f aca="false">AH70*評分方法!$C$8</f>
        <v>15</v>
      </c>
      <c r="M70" s="15" t="n">
        <f aca="false">AI70*評分方法!$C$9</f>
        <v>10</v>
      </c>
      <c r="N70" s="15" t="n">
        <f aca="false">AJ70*評分方法!$C$10</f>
        <v>9.708</v>
      </c>
      <c r="O70" s="15" t="n">
        <f aca="false">AK70*評分方法!$C$11</f>
        <v>2.5</v>
      </c>
      <c r="P70" s="15" t="n">
        <f aca="false">AL70*評分方法!$C$12</f>
        <v>0</v>
      </c>
      <c r="Q70" s="6" t="n">
        <v>14631906</v>
      </c>
      <c r="R70" s="6" t="n">
        <v>33360897</v>
      </c>
      <c r="S70" s="11" t="s">
        <v>238</v>
      </c>
      <c r="T70" s="11" t="s">
        <v>239</v>
      </c>
      <c r="U70" s="5" t="s">
        <v>240</v>
      </c>
      <c r="V70" s="11" t="s">
        <v>356</v>
      </c>
      <c r="W70" s="5" t="s">
        <v>205</v>
      </c>
      <c r="X70" s="5" t="s">
        <v>242</v>
      </c>
      <c r="Y70" s="11" t="s">
        <v>386</v>
      </c>
      <c r="Z70" s="11" t="s">
        <v>244</v>
      </c>
      <c r="AA70" s="11" t="s">
        <v>154</v>
      </c>
      <c r="AB70" s="5" t="s">
        <v>245</v>
      </c>
      <c r="AC70" s="5" t="s">
        <v>246</v>
      </c>
      <c r="AD70" s="11" t="s">
        <v>452</v>
      </c>
      <c r="AE70" s="23" t="n">
        <v>0.9</v>
      </c>
      <c r="AF70" s="23" t="n">
        <v>0</v>
      </c>
      <c r="AG70" s="23" t="n">
        <v>1</v>
      </c>
      <c r="AH70" s="23" t="n">
        <v>1</v>
      </c>
      <c r="AI70" s="23" t="n">
        <v>1</v>
      </c>
      <c r="AJ70" s="23" t="n">
        <v>0.9708</v>
      </c>
      <c r="AK70" s="23" t="n">
        <v>0.5</v>
      </c>
      <c r="AL70" s="23" t="n">
        <v>0</v>
      </c>
      <c r="AM70" s="16" t="n">
        <f aca="false">COUNTIFS($D$2:$D$2501,D70,$G$2:$G$2501,"&gt;"&amp;G70)+COUNTIFS($D$2:D70,D70,$G$2:G70,G70)</f>
        <v>34</v>
      </c>
      <c r="AN70" s="5" t="str">
        <f aca="false">D70&amp;"|"&amp;AM70</f>
        <v>檢索與情資關聯|34</v>
      </c>
    </row>
    <row r="71" customFormat="false" ht="17.15" hidden="false" customHeight="false" outlineLevel="0" collapsed="false">
      <c r="A71" s="16" t="n">
        <f aca="false">RANK(G71,$G$2:$G$2501)+COUNTIF($G$2:G71,G71)-1</f>
        <v>70</v>
      </c>
      <c r="B71" s="11" t="s">
        <v>453</v>
      </c>
      <c r="C71" s="11" t="s">
        <v>287</v>
      </c>
      <c r="D71" s="5" t="s">
        <v>54</v>
      </c>
      <c r="E71" s="5" t="s">
        <v>55</v>
      </c>
      <c r="F71" s="5"/>
      <c r="G71" s="22" t="n">
        <f aca="false">ROUND(SUM(I71:P71),3)</f>
        <v>79.192</v>
      </c>
      <c r="H71" s="5" t="str">
        <f aca="false">IF(G71&gt;=評分方法!$C$16,"優先評估",IF(G71&gt;=評分方法!$C$17,"列入候選",IF(G71&gt;=評分方法!$C$18,"特定情境","不建議")))</f>
        <v>列入候選</v>
      </c>
      <c r="I71" s="15" t="n">
        <f aca="false">AE71*評分方法!$C$5</f>
        <v>27</v>
      </c>
      <c r="J71" s="15" t="n">
        <f aca="false">AF71*評分方法!$C$6</f>
        <v>0</v>
      </c>
      <c r="K71" s="15" t="n">
        <f aca="false">AG71*評分方法!$C$7</f>
        <v>15</v>
      </c>
      <c r="L71" s="15" t="n">
        <f aca="false">AH71*評分方法!$C$8</f>
        <v>15</v>
      </c>
      <c r="M71" s="15" t="n">
        <f aca="false">AI71*評分方法!$C$9</f>
        <v>10</v>
      </c>
      <c r="N71" s="15" t="n">
        <f aca="false">AJ71*評分方法!$C$10</f>
        <v>9.692</v>
      </c>
      <c r="O71" s="15" t="n">
        <f aca="false">AK71*評分方法!$C$11</f>
        <v>2.5</v>
      </c>
      <c r="P71" s="15" t="n">
        <f aca="false">AL71*評分方法!$C$12</f>
        <v>0</v>
      </c>
      <c r="Q71" s="6" t="n">
        <v>13667277</v>
      </c>
      <c r="R71" s="6" t="n">
        <v>335142400</v>
      </c>
      <c r="S71" s="11" t="s">
        <v>238</v>
      </c>
      <c r="T71" s="11" t="s">
        <v>278</v>
      </c>
      <c r="U71" s="5" t="s">
        <v>240</v>
      </c>
      <c r="V71" s="11" t="s">
        <v>288</v>
      </c>
      <c r="W71" s="5" t="s">
        <v>205</v>
      </c>
      <c r="X71" s="5" t="s">
        <v>242</v>
      </c>
      <c r="Y71" s="5"/>
      <c r="Z71" s="5"/>
      <c r="AA71" s="11" t="s">
        <v>152</v>
      </c>
      <c r="AB71" s="5" t="s">
        <v>245</v>
      </c>
      <c r="AC71" s="5"/>
      <c r="AD71" s="11" t="s">
        <v>454</v>
      </c>
      <c r="AE71" s="23" t="n">
        <v>0.9</v>
      </c>
      <c r="AF71" s="23" t="n">
        <v>0</v>
      </c>
      <c r="AG71" s="23" t="n">
        <v>1</v>
      </c>
      <c r="AH71" s="23" t="n">
        <v>1</v>
      </c>
      <c r="AI71" s="23" t="n">
        <v>1</v>
      </c>
      <c r="AJ71" s="23" t="n">
        <v>0.9692</v>
      </c>
      <c r="AK71" s="23" t="n">
        <v>0.5</v>
      </c>
      <c r="AL71" s="23" t="n">
        <v>0</v>
      </c>
      <c r="AM71" s="16" t="n">
        <f aca="false">COUNTIFS($D$2:$D$2501,D71,$G$2:$G$2501,"&gt;"&amp;G71)+COUNTIFS($D$2:D71,D71,$G$2:G71,G71)</f>
        <v>35</v>
      </c>
      <c r="AN71" s="5" t="str">
        <f aca="false">D71&amp;"|"&amp;AM71</f>
        <v>檢索與情資關聯|35</v>
      </c>
    </row>
    <row r="72" customFormat="false" ht="17.15" hidden="false" customHeight="false" outlineLevel="0" collapsed="false">
      <c r="A72" s="16" t="n">
        <f aca="false">RANK(G72,$G$2:$G$2501)+COUNTIF($G$2:G72,G72)-1</f>
        <v>71</v>
      </c>
      <c r="B72" s="11" t="s">
        <v>455</v>
      </c>
      <c r="C72" s="11" t="s">
        <v>313</v>
      </c>
      <c r="D72" s="5" t="s">
        <v>54</v>
      </c>
      <c r="E72" s="5" t="s">
        <v>55</v>
      </c>
      <c r="F72" s="5"/>
      <c r="G72" s="22" t="n">
        <f aca="false">ROUND(SUM(I72:P72),3)</f>
        <v>79.18</v>
      </c>
      <c r="H72" s="5" t="str">
        <f aca="false">IF(G72&gt;=評分方法!$C$16,"優先評估",IF(G72&gt;=評分方法!$C$17,"列入候選",IF(G72&gt;=評分方法!$C$18,"特定情境","不建議")))</f>
        <v>列入候選</v>
      </c>
      <c r="I72" s="15" t="n">
        <f aca="false">AE72*評分方法!$C$5</f>
        <v>27</v>
      </c>
      <c r="J72" s="15" t="n">
        <f aca="false">AF72*評分方法!$C$6</f>
        <v>0</v>
      </c>
      <c r="K72" s="15" t="n">
        <f aca="false">AG72*評分方法!$C$7</f>
        <v>15</v>
      </c>
      <c r="L72" s="15" t="n">
        <f aca="false">AH72*評分方法!$C$8</f>
        <v>15</v>
      </c>
      <c r="M72" s="15" t="n">
        <f aca="false">AI72*評分方法!$C$9</f>
        <v>10</v>
      </c>
      <c r="N72" s="15" t="n">
        <f aca="false">AJ72*評分方法!$C$10</f>
        <v>8.18</v>
      </c>
      <c r="O72" s="15" t="n">
        <f aca="false">AK72*評分方法!$C$11</f>
        <v>2.5</v>
      </c>
      <c r="P72" s="15" t="n">
        <f aca="false">AL72*評分方法!$C$12</f>
        <v>1.5</v>
      </c>
      <c r="Q72" s="6" t="n">
        <v>1798038</v>
      </c>
      <c r="R72" s="6" t="n">
        <v>334092288</v>
      </c>
      <c r="S72" s="11" t="s">
        <v>238</v>
      </c>
      <c r="T72" s="11" t="s">
        <v>239</v>
      </c>
      <c r="U72" s="5" t="s">
        <v>240</v>
      </c>
      <c r="V72" s="11" t="s">
        <v>241</v>
      </c>
      <c r="W72" s="5" t="s">
        <v>205</v>
      </c>
      <c r="X72" s="5" t="s">
        <v>255</v>
      </c>
      <c r="Y72" s="5"/>
      <c r="Z72" s="5"/>
      <c r="AA72" s="11" t="s">
        <v>152</v>
      </c>
      <c r="AB72" s="5" t="s">
        <v>245</v>
      </c>
      <c r="AC72" s="5"/>
      <c r="AD72" s="11" t="s">
        <v>456</v>
      </c>
      <c r="AE72" s="23" t="n">
        <v>0.9</v>
      </c>
      <c r="AF72" s="23" t="n">
        <v>0</v>
      </c>
      <c r="AG72" s="23" t="n">
        <v>1</v>
      </c>
      <c r="AH72" s="23" t="n">
        <v>1</v>
      </c>
      <c r="AI72" s="23" t="n">
        <v>1</v>
      </c>
      <c r="AJ72" s="23" t="n">
        <v>0.818</v>
      </c>
      <c r="AK72" s="23" t="n">
        <v>0.5</v>
      </c>
      <c r="AL72" s="23" t="n">
        <v>0.3</v>
      </c>
      <c r="AM72" s="16" t="n">
        <f aca="false">COUNTIFS($D$2:$D$2501,D72,$G$2:$G$2501,"&gt;"&amp;G72)+COUNTIFS($D$2:D72,D72,$G$2:G72,G72)</f>
        <v>36</v>
      </c>
      <c r="AN72" s="5" t="str">
        <f aca="false">D72&amp;"|"&amp;AM72</f>
        <v>檢索與情資關聯|36</v>
      </c>
    </row>
    <row r="73" customFormat="false" ht="17.15" hidden="false" customHeight="false" outlineLevel="0" collapsed="false">
      <c r="A73" s="16" t="n">
        <f aca="false">RANK(G73,$G$2:$G$2501)+COUNTIF($G$2:G73,G73)-1</f>
        <v>72</v>
      </c>
      <c r="B73" s="11" t="s">
        <v>418</v>
      </c>
      <c r="C73" s="11" t="s">
        <v>417</v>
      </c>
      <c r="D73" s="5" t="s">
        <v>56</v>
      </c>
      <c r="E73" s="5" t="s">
        <v>57</v>
      </c>
      <c r="F73" s="5"/>
      <c r="G73" s="22" t="n">
        <f aca="false">ROUND(SUM(I73:P73),3)</f>
        <v>79.158</v>
      </c>
      <c r="H73" s="5" t="str">
        <f aca="false">IF(G73&gt;=評分方法!$C$16,"優先評估",IF(G73&gt;=評分方法!$C$17,"列入候選",IF(G73&gt;=評分方法!$C$18,"特定情境","不建議")))</f>
        <v>列入候選</v>
      </c>
      <c r="I73" s="15" t="n">
        <f aca="false">AE73*評分方法!$C$5</f>
        <v>25.5</v>
      </c>
      <c r="J73" s="15" t="n">
        <f aca="false">AF73*評分方法!$C$6</f>
        <v>0</v>
      </c>
      <c r="K73" s="15" t="n">
        <f aca="false">AG73*評分方法!$C$7</f>
        <v>15</v>
      </c>
      <c r="L73" s="15" t="n">
        <f aca="false">AH73*評分方法!$C$8</f>
        <v>13.05</v>
      </c>
      <c r="M73" s="15" t="n">
        <f aca="false">AI73*評分方法!$C$9</f>
        <v>10</v>
      </c>
      <c r="N73" s="15" t="n">
        <f aca="false">AJ73*評分方法!$C$10</f>
        <v>8.108</v>
      </c>
      <c r="O73" s="15" t="n">
        <f aca="false">AK73*評分方法!$C$11</f>
        <v>2.5</v>
      </c>
      <c r="P73" s="15" t="n">
        <f aca="false">AL73*評分方法!$C$12</f>
        <v>5</v>
      </c>
      <c r="Q73" s="6" t="n">
        <v>1719481</v>
      </c>
      <c r="R73" s="6" t="n">
        <v>3075098624</v>
      </c>
      <c r="S73" s="11" t="s">
        <v>254</v>
      </c>
      <c r="T73" s="11" t="s">
        <v>239</v>
      </c>
      <c r="U73" s="5" t="s">
        <v>240</v>
      </c>
      <c r="V73" s="11" t="s">
        <v>241</v>
      </c>
      <c r="W73" s="5" t="s">
        <v>205</v>
      </c>
      <c r="X73" s="5" t="s">
        <v>284</v>
      </c>
      <c r="Y73" s="5"/>
      <c r="Z73" s="5"/>
      <c r="AA73" s="11" t="s">
        <v>155</v>
      </c>
      <c r="AB73" s="5" t="s">
        <v>245</v>
      </c>
      <c r="AC73" s="5"/>
      <c r="AD73" s="11" t="s">
        <v>457</v>
      </c>
      <c r="AE73" s="23" t="n">
        <v>0.85</v>
      </c>
      <c r="AF73" s="23" t="n">
        <v>0</v>
      </c>
      <c r="AG73" s="23" t="n">
        <v>1</v>
      </c>
      <c r="AH73" s="23" t="n">
        <v>0.87</v>
      </c>
      <c r="AI73" s="23" t="n">
        <v>1</v>
      </c>
      <c r="AJ73" s="23" t="n">
        <v>0.8108</v>
      </c>
      <c r="AK73" s="23" t="n">
        <v>0.5</v>
      </c>
      <c r="AL73" s="23" t="n">
        <v>1</v>
      </c>
      <c r="AM73" s="16" t="n">
        <f aca="false">COUNTIFS($D$2:$D$2501,D73,$G$2:$G$2501,"&gt;"&amp;G73)+COUNTIFS($D$2:D73,D73,$G$2:G73,G73)</f>
        <v>11</v>
      </c>
      <c r="AN73" s="5" t="str">
        <f aca="false">D73&amp;"|"&amp;AM73</f>
        <v>分析與報告生成|11</v>
      </c>
    </row>
    <row r="74" customFormat="false" ht="17.15" hidden="false" customHeight="false" outlineLevel="0" collapsed="false">
      <c r="A74" s="16" t="n">
        <f aca="false">RANK(G74,$G$2:$G$2501)+COUNTIF($G$2:G74,G74)-1</f>
        <v>73</v>
      </c>
      <c r="B74" s="11" t="s">
        <v>458</v>
      </c>
      <c r="C74" s="11" t="s">
        <v>282</v>
      </c>
      <c r="D74" s="5" t="s">
        <v>54</v>
      </c>
      <c r="E74" s="5" t="s">
        <v>55</v>
      </c>
      <c r="F74" s="5"/>
      <c r="G74" s="22" t="n">
        <f aca="false">ROUND(SUM(I74:P74),3)</f>
        <v>79.128</v>
      </c>
      <c r="H74" s="5" t="str">
        <f aca="false">IF(G74&gt;=評分方法!$C$16,"優先評估",IF(G74&gt;=評分方法!$C$17,"列入候選",IF(G74&gt;=評分方法!$C$18,"特定情境","不建議")))</f>
        <v>列入候選</v>
      </c>
      <c r="I74" s="15" t="n">
        <f aca="false">AE74*評分方法!$C$5</f>
        <v>27</v>
      </c>
      <c r="J74" s="15" t="n">
        <f aca="false">AF74*評分方法!$C$6</f>
        <v>0</v>
      </c>
      <c r="K74" s="15" t="n">
        <f aca="false">AG74*評分方法!$C$7</f>
        <v>15</v>
      </c>
      <c r="L74" s="15" t="n">
        <f aca="false">AH74*評分方法!$C$8</f>
        <v>15</v>
      </c>
      <c r="M74" s="15" t="n">
        <f aca="false">AI74*評分方法!$C$9</f>
        <v>10</v>
      </c>
      <c r="N74" s="15" t="n">
        <f aca="false">AJ74*評分方法!$C$10</f>
        <v>8.128</v>
      </c>
      <c r="O74" s="15" t="n">
        <f aca="false">AK74*評分方法!$C$11</f>
        <v>2.5</v>
      </c>
      <c r="P74" s="15" t="n">
        <f aca="false">AL74*評分方法!$C$12</f>
        <v>1.5</v>
      </c>
      <c r="Q74" s="6" t="n">
        <v>1731789</v>
      </c>
      <c r="R74" s="6" t="n">
        <v>22713728</v>
      </c>
      <c r="S74" s="11" t="s">
        <v>238</v>
      </c>
      <c r="T74" s="11" t="s">
        <v>239</v>
      </c>
      <c r="U74" s="5" t="s">
        <v>240</v>
      </c>
      <c r="V74" s="11" t="s">
        <v>320</v>
      </c>
      <c r="W74" s="5" t="s">
        <v>205</v>
      </c>
      <c r="X74" s="5" t="s">
        <v>255</v>
      </c>
      <c r="Y74" s="5"/>
      <c r="Z74" s="5"/>
      <c r="AA74" s="11" t="s">
        <v>152</v>
      </c>
      <c r="AB74" s="5" t="s">
        <v>245</v>
      </c>
      <c r="AC74" s="5"/>
      <c r="AD74" s="11" t="s">
        <v>459</v>
      </c>
      <c r="AE74" s="23" t="n">
        <v>0.9</v>
      </c>
      <c r="AF74" s="23" t="n">
        <v>0</v>
      </c>
      <c r="AG74" s="23" t="n">
        <v>1</v>
      </c>
      <c r="AH74" s="23" t="n">
        <v>1</v>
      </c>
      <c r="AI74" s="23" t="n">
        <v>1</v>
      </c>
      <c r="AJ74" s="23" t="n">
        <v>0.8128</v>
      </c>
      <c r="AK74" s="23" t="n">
        <v>0.5</v>
      </c>
      <c r="AL74" s="23" t="n">
        <v>0.3</v>
      </c>
      <c r="AM74" s="16" t="n">
        <f aca="false">COUNTIFS($D$2:$D$2501,D74,$G$2:$G$2501,"&gt;"&amp;G74)+COUNTIFS($D$2:D74,D74,$G$2:G74,G74)</f>
        <v>37</v>
      </c>
      <c r="AN74" s="5" t="str">
        <f aca="false">D74&amp;"|"&amp;AM74</f>
        <v>檢索與情資關聯|37</v>
      </c>
    </row>
    <row r="75" customFormat="false" ht="17.15" hidden="false" customHeight="false" outlineLevel="0" collapsed="false">
      <c r="A75" s="16" t="n">
        <f aca="false">RANK(G75,$G$2:$G$2501)+COUNTIF($G$2:G75,G75)-1</f>
        <v>74</v>
      </c>
      <c r="B75" s="11" t="s">
        <v>460</v>
      </c>
      <c r="C75" s="11" t="s">
        <v>461</v>
      </c>
      <c r="D75" s="5" t="s">
        <v>56</v>
      </c>
      <c r="E75" s="5" t="s">
        <v>57</v>
      </c>
      <c r="F75" s="5"/>
      <c r="G75" s="22" t="n">
        <f aca="false">ROUND(SUM(I75:P75),3)</f>
        <v>79.068</v>
      </c>
      <c r="H75" s="5" t="str">
        <f aca="false">IF(G75&gt;=評分方法!$C$16,"優先評估",IF(G75&gt;=評分方法!$C$17,"列入候選",IF(G75&gt;=評分方法!$C$18,"特定情境","不建議")))</f>
        <v>列入候選</v>
      </c>
      <c r="I75" s="15" t="n">
        <f aca="false">AE75*評分方法!$C$5</f>
        <v>25.5</v>
      </c>
      <c r="J75" s="15" t="n">
        <f aca="false">AF75*評分方法!$C$6</f>
        <v>0</v>
      </c>
      <c r="K75" s="15" t="n">
        <f aca="false">AG75*評分方法!$C$7</f>
        <v>15</v>
      </c>
      <c r="L75" s="15" t="n">
        <f aca="false">AH75*評分方法!$C$8</f>
        <v>15</v>
      </c>
      <c r="M75" s="15" t="n">
        <f aca="false">AI75*評分方法!$C$9</f>
        <v>6</v>
      </c>
      <c r="N75" s="15" t="n">
        <f aca="false">AJ75*評分方法!$C$10</f>
        <v>7.568</v>
      </c>
      <c r="O75" s="15" t="n">
        <f aca="false">AK75*評分方法!$C$11</f>
        <v>5</v>
      </c>
      <c r="P75" s="15" t="n">
        <f aca="false">AL75*評分方法!$C$12</f>
        <v>5</v>
      </c>
      <c r="Q75" s="6" t="n">
        <v>1199816</v>
      </c>
      <c r="R75" s="6" t="n">
        <v>229693184</v>
      </c>
      <c r="S75" s="11" t="s">
        <v>238</v>
      </c>
      <c r="T75" s="11" t="s">
        <v>185</v>
      </c>
      <c r="U75" s="5" t="s">
        <v>260</v>
      </c>
      <c r="V75" s="11" t="s">
        <v>462</v>
      </c>
      <c r="W75" s="5" t="s">
        <v>205</v>
      </c>
      <c r="X75" s="5" t="s">
        <v>284</v>
      </c>
      <c r="Y75" s="11" t="s">
        <v>463</v>
      </c>
      <c r="Z75" s="11" t="s">
        <v>244</v>
      </c>
      <c r="AA75" s="11" t="s">
        <v>155</v>
      </c>
      <c r="AB75" s="5" t="s">
        <v>245</v>
      </c>
      <c r="AC75" s="5" t="s">
        <v>464</v>
      </c>
      <c r="AD75" s="11" t="s">
        <v>465</v>
      </c>
      <c r="AE75" s="23" t="n">
        <v>0.85</v>
      </c>
      <c r="AF75" s="23" t="n">
        <v>0</v>
      </c>
      <c r="AG75" s="23" t="n">
        <v>1</v>
      </c>
      <c r="AH75" s="23" t="n">
        <v>1</v>
      </c>
      <c r="AI75" s="23" t="n">
        <v>0.6</v>
      </c>
      <c r="AJ75" s="23" t="n">
        <v>0.7568</v>
      </c>
      <c r="AK75" s="23" t="n">
        <v>1</v>
      </c>
      <c r="AL75" s="23" t="n">
        <v>1</v>
      </c>
      <c r="AM75" s="16" t="n">
        <f aca="false">COUNTIFS($D$2:$D$2501,D75,$G$2:$G$2501,"&gt;"&amp;G75)+COUNTIFS($D$2:D75,D75,$G$2:G75,G75)</f>
        <v>12</v>
      </c>
      <c r="AN75" s="5" t="str">
        <f aca="false">D75&amp;"|"&amp;AM75</f>
        <v>分析與報告生成|12</v>
      </c>
    </row>
    <row r="76" customFormat="false" ht="17.15" hidden="false" customHeight="false" outlineLevel="0" collapsed="false">
      <c r="A76" s="16" t="n">
        <f aca="false">RANK(G76,$G$2:$G$2501)+COUNTIF($G$2:G76,G76)-1</f>
        <v>75</v>
      </c>
      <c r="B76" s="11" t="s">
        <v>423</v>
      </c>
      <c r="C76" s="11" t="s">
        <v>368</v>
      </c>
      <c r="D76" s="5" t="s">
        <v>56</v>
      </c>
      <c r="E76" s="5" t="s">
        <v>57</v>
      </c>
      <c r="F76" s="5"/>
      <c r="G76" s="22" t="n">
        <f aca="false">ROUND(SUM(I76:P76),3)</f>
        <v>79.066</v>
      </c>
      <c r="H76" s="5" t="str">
        <f aca="false">IF(G76&gt;=評分方法!$C$16,"優先評估",IF(G76&gt;=評分方法!$C$17,"列入候選",IF(G76&gt;=評分方法!$C$18,"特定情境","不建議")))</f>
        <v>列入候選</v>
      </c>
      <c r="I76" s="15" t="n">
        <f aca="false">AE76*評分方法!$C$5</f>
        <v>24</v>
      </c>
      <c r="J76" s="15" t="n">
        <f aca="false">AF76*評分方法!$C$6</f>
        <v>0</v>
      </c>
      <c r="K76" s="15" t="n">
        <f aca="false">AG76*評分方法!$C$7</f>
        <v>15</v>
      </c>
      <c r="L76" s="15" t="n">
        <f aca="false">AH76*評分方法!$C$8</f>
        <v>13.05</v>
      </c>
      <c r="M76" s="15" t="n">
        <f aca="false">AI76*評分方法!$C$9</f>
        <v>10</v>
      </c>
      <c r="N76" s="15" t="n">
        <f aca="false">AJ76*評分方法!$C$10</f>
        <v>9.016</v>
      </c>
      <c r="O76" s="15" t="n">
        <f aca="false">AK76*評分方法!$C$11</f>
        <v>5</v>
      </c>
      <c r="P76" s="15" t="n">
        <f aca="false">AL76*評分方法!$C$12</f>
        <v>3</v>
      </c>
      <c r="Q76" s="6" t="n">
        <v>3964561</v>
      </c>
      <c r="R76" s="6" t="n">
        <v>7996156490</v>
      </c>
      <c r="S76" s="11" t="s">
        <v>254</v>
      </c>
      <c r="T76" s="11" t="s">
        <v>239</v>
      </c>
      <c r="U76" s="5" t="s">
        <v>240</v>
      </c>
      <c r="V76" s="11" t="s">
        <v>261</v>
      </c>
      <c r="W76" s="5" t="s">
        <v>205</v>
      </c>
      <c r="X76" s="5" t="s">
        <v>371</v>
      </c>
      <c r="Y76" s="5"/>
      <c r="Z76" s="5"/>
      <c r="AA76" s="11" t="s">
        <v>157</v>
      </c>
      <c r="AB76" s="5" t="s">
        <v>245</v>
      </c>
      <c r="AC76" s="5"/>
      <c r="AD76" s="11" t="s">
        <v>466</v>
      </c>
      <c r="AE76" s="23" t="n">
        <v>0.8</v>
      </c>
      <c r="AF76" s="23" t="n">
        <v>0</v>
      </c>
      <c r="AG76" s="23" t="n">
        <v>1</v>
      </c>
      <c r="AH76" s="23" t="n">
        <v>0.87</v>
      </c>
      <c r="AI76" s="23" t="n">
        <v>1</v>
      </c>
      <c r="AJ76" s="23" t="n">
        <v>0.9016</v>
      </c>
      <c r="AK76" s="23" t="n">
        <v>1</v>
      </c>
      <c r="AL76" s="23" t="n">
        <v>0.6</v>
      </c>
      <c r="AM76" s="16" t="n">
        <f aca="false">COUNTIFS($D$2:$D$2501,D76,$G$2:$G$2501,"&gt;"&amp;G76)+COUNTIFS($D$2:D76,D76,$G$2:G76,G76)</f>
        <v>13</v>
      </c>
      <c r="AN76" s="5" t="str">
        <f aca="false">D76&amp;"|"&amp;AM76</f>
        <v>分析與報告生成|13</v>
      </c>
    </row>
    <row r="77" customFormat="false" ht="17.15" hidden="false" customHeight="false" outlineLevel="0" collapsed="false">
      <c r="A77" s="16" t="n">
        <f aca="false">RANK(G77,$G$2:$G$2501)+COUNTIF($G$2:G77,G77)-1</f>
        <v>76</v>
      </c>
      <c r="B77" s="11" t="s">
        <v>467</v>
      </c>
      <c r="C77" s="11" t="s">
        <v>287</v>
      </c>
      <c r="D77" s="5" t="s">
        <v>54</v>
      </c>
      <c r="E77" s="5" t="s">
        <v>55</v>
      </c>
      <c r="F77" s="5"/>
      <c r="G77" s="22" t="n">
        <f aca="false">ROUND(SUM(I77:P77),3)</f>
        <v>79.048</v>
      </c>
      <c r="H77" s="5" t="str">
        <f aca="false">IF(G77&gt;=評分方法!$C$16,"優先評估",IF(G77&gt;=評分方法!$C$17,"列入候選",IF(G77&gt;=評分方法!$C$18,"特定情境","不建議")))</f>
        <v>列入候選</v>
      </c>
      <c r="I77" s="15" t="n">
        <f aca="false">AE77*評分方法!$C$5</f>
        <v>27</v>
      </c>
      <c r="J77" s="15" t="n">
        <f aca="false">AF77*評分方法!$C$6</f>
        <v>0</v>
      </c>
      <c r="K77" s="15" t="n">
        <f aca="false">AG77*評分方法!$C$7</f>
        <v>15</v>
      </c>
      <c r="L77" s="15" t="n">
        <f aca="false">AH77*評分方法!$C$8</f>
        <v>15</v>
      </c>
      <c r="M77" s="15" t="n">
        <f aca="false">AI77*評分方法!$C$9</f>
        <v>10</v>
      </c>
      <c r="N77" s="15" t="n">
        <f aca="false">AJ77*評分方法!$C$10</f>
        <v>9.548</v>
      </c>
      <c r="O77" s="15" t="n">
        <f aca="false">AK77*評分方法!$C$11</f>
        <v>2.5</v>
      </c>
      <c r="P77" s="15" t="n">
        <f aca="false">AL77*評分方法!$C$12</f>
        <v>0</v>
      </c>
      <c r="Q77" s="6" t="n">
        <v>9383235</v>
      </c>
      <c r="R77" s="6" t="n">
        <v>109482752</v>
      </c>
      <c r="S77" s="11" t="s">
        <v>238</v>
      </c>
      <c r="T77" s="11" t="s">
        <v>278</v>
      </c>
      <c r="U77" s="5" t="s">
        <v>240</v>
      </c>
      <c r="V77" s="11" t="s">
        <v>288</v>
      </c>
      <c r="W77" s="5" t="s">
        <v>205</v>
      </c>
      <c r="X77" s="5" t="s">
        <v>242</v>
      </c>
      <c r="Y77" s="5"/>
      <c r="Z77" s="5"/>
      <c r="AA77" s="11" t="s">
        <v>152</v>
      </c>
      <c r="AB77" s="5" t="s">
        <v>245</v>
      </c>
      <c r="AC77" s="5"/>
      <c r="AD77" s="11" t="s">
        <v>468</v>
      </c>
      <c r="AE77" s="23" t="n">
        <v>0.9</v>
      </c>
      <c r="AF77" s="23" t="n">
        <v>0</v>
      </c>
      <c r="AG77" s="23" t="n">
        <v>1</v>
      </c>
      <c r="AH77" s="23" t="n">
        <v>1</v>
      </c>
      <c r="AI77" s="23" t="n">
        <v>1</v>
      </c>
      <c r="AJ77" s="23" t="n">
        <v>0.9548</v>
      </c>
      <c r="AK77" s="23" t="n">
        <v>0.5</v>
      </c>
      <c r="AL77" s="23" t="n">
        <v>0</v>
      </c>
      <c r="AM77" s="16" t="n">
        <f aca="false">COUNTIFS($D$2:$D$2501,D77,$G$2:$G$2501,"&gt;"&amp;G77)+COUNTIFS($D$2:D77,D77,$G$2:G77,G77)</f>
        <v>38</v>
      </c>
      <c r="AN77" s="5" t="str">
        <f aca="false">D77&amp;"|"&amp;AM77</f>
        <v>檢索與情資關聯|38</v>
      </c>
    </row>
    <row r="78" customFormat="false" ht="17.15" hidden="false" customHeight="false" outlineLevel="0" collapsed="false">
      <c r="A78" s="16" t="n">
        <f aca="false">RANK(G78,$G$2:$G$2501)+COUNTIF($G$2:G78,G78)-1</f>
        <v>77</v>
      </c>
      <c r="B78" s="11" t="s">
        <v>469</v>
      </c>
      <c r="C78" s="11" t="s">
        <v>368</v>
      </c>
      <c r="D78" s="5" t="s">
        <v>54</v>
      </c>
      <c r="E78" s="5" t="s">
        <v>55</v>
      </c>
      <c r="F78" s="5"/>
      <c r="G78" s="22" t="n">
        <f aca="false">ROUND(SUM(I78:P78),3)</f>
        <v>79.032</v>
      </c>
      <c r="H78" s="5" t="str">
        <f aca="false">IF(G78&gt;=評分方法!$C$16,"優先評估",IF(G78&gt;=評分方法!$C$17,"列入候選",IF(G78&gt;=評分方法!$C$18,"特定情境","不建議")))</f>
        <v>列入候選</v>
      </c>
      <c r="I78" s="15" t="n">
        <f aca="false">AE78*評分方法!$C$5</f>
        <v>27</v>
      </c>
      <c r="J78" s="15" t="n">
        <f aca="false">AF78*評分方法!$C$6</f>
        <v>0</v>
      </c>
      <c r="K78" s="15" t="n">
        <f aca="false">AG78*評分方法!$C$7</f>
        <v>15</v>
      </c>
      <c r="L78" s="15" t="n">
        <f aca="false">AH78*評分方法!$C$8</f>
        <v>15</v>
      </c>
      <c r="M78" s="15" t="n">
        <f aca="false">AI78*評分方法!$C$9</f>
        <v>10</v>
      </c>
      <c r="N78" s="15" t="n">
        <f aca="false">AJ78*評分方法!$C$10</f>
        <v>2.032</v>
      </c>
      <c r="O78" s="15" t="n">
        <f aca="false">AK78*評分方法!$C$11</f>
        <v>5</v>
      </c>
      <c r="P78" s="15" t="n">
        <f aca="false">AL78*評分方法!$C$12</f>
        <v>5</v>
      </c>
      <c r="Q78" s="6" t="n">
        <v>212955</v>
      </c>
      <c r="R78" s="6" t="n">
        <v>744371512</v>
      </c>
      <c r="S78" s="11" t="s">
        <v>238</v>
      </c>
      <c r="T78" s="11" t="s">
        <v>239</v>
      </c>
      <c r="U78" s="5" t="s">
        <v>240</v>
      </c>
      <c r="V78" s="11" t="s">
        <v>261</v>
      </c>
      <c r="W78" s="5" t="s">
        <v>205</v>
      </c>
      <c r="X78" s="5" t="s">
        <v>284</v>
      </c>
      <c r="Y78" s="5"/>
      <c r="Z78" s="5"/>
      <c r="AA78" s="11" t="s">
        <v>153</v>
      </c>
      <c r="AB78" s="5" t="s">
        <v>245</v>
      </c>
      <c r="AC78" s="5"/>
      <c r="AD78" s="11" t="s">
        <v>470</v>
      </c>
      <c r="AE78" s="23" t="n">
        <v>0.9</v>
      </c>
      <c r="AF78" s="23" t="n">
        <v>0</v>
      </c>
      <c r="AG78" s="23" t="n">
        <v>1</v>
      </c>
      <c r="AH78" s="23" t="n">
        <v>1</v>
      </c>
      <c r="AI78" s="23" t="n">
        <v>1</v>
      </c>
      <c r="AJ78" s="23" t="n">
        <v>0.2032</v>
      </c>
      <c r="AK78" s="23" t="n">
        <v>1</v>
      </c>
      <c r="AL78" s="23" t="n">
        <v>1</v>
      </c>
      <c r="AM78" s="16" t="n">
        <f aca="false">COUNTIFS($D$2:$D$2501,D78,$G$2:$G$2501,"&gt;"&amp;G78)+COUNTIFS($D$2:D78,D78,$G$2:G78,G78)</f>
        <v>39</v>
      </c>
      <c r="AN78" s="5" t="str">
        <f aca="false">D78&amp;"|"&amp;AM78</f>
        <v>檢索與情資關聯|39</v>
      </c>
    </row>
    <row r="79" customFormat="false" ht="17.15" hidden="false" customHeight="false" outlineLevel="0" collapsed="false">
      <c r="A79" s="16" t="n">
        <f aca="false">RANK(G79,$G$2:$G$2501)+COUNTIF($G$2:G79,G79)-1</f>
        <v>78</v>
      </c>
      <c r="B79" s="11" t="s">
        <v>471</v>
      </c>
      <c r="C79" s="11" t="s">
        <v>327</v>
      </c>
      <c r="D79" s="5" t="s">
        <v>54</v>
      </c>
      <c r="E79" s="5" t="s">
        <v>55</v>
      </c>
      <c r="F79" s="5"/>
      <c r="G79" s="22" t="n">
        <f aca="false">ROUND(SUM(I79:P79),3)</f>
        <v>78.978</v>
      </c>
      <c r="H79" s="5" t="str">
        <f aca="false">IF(G79&gt;=評分方法!$C$16,"優先評估",IF(G79&gt;=評分方法!$C$17,"列入候選",IF(G79&gt;=評分方法!$C$18,"特定情境","不建議")))</f>
        <v>列入候選</v>
      </c>
      <c r="I79" s="15" t="n">
        <f aca="false">AE79*評分方法!$C$5</f>
        <v>27</v>
      </c>
      <c r="J79" s="15" t="n">
        <f aca="false">AF79*評分方法!$C$6</f>
        <v>0</v>
      </c>
      <c r="K79" s="15" t="n">
        <f aca="false">AG79*評分方法!$C$7</f>
        <v>15</v>
      </c>
      <c r="L79" s="15" t="n">
        <f aca="false">AH79*評分方法!$C$8</f>
        <v>13.05</v>
      </c>
      <c r="M79" s="15" t="n">
        <f aca="false">AI79*評分方法!$C$9</f>
        <v>6</v>
      </c>
      <c r="N79" s="15" t="n">
        <f aca="false">AJ79*評分方法!$C$10</f>
        <v>7.928</v>
      </c>
      <c r="O79" s="15" t="n">
        <f aca="false">AK79*評分方法!$C$11</f>
        <v>5</v>
      </c>
      <c r="P79" s="15" t="n">
        <f aca="false">AL79*評分方法!$C$12</f>
        <v>5</v>
      </c>
      <c r="Q79" s="6" t="n">
        <v>1490148</v>
      </c>
      <c r="R79" s="6" t="n">
        <v>1140918272</v>
      </c>
      <c r="S79" s="11" t="s">
        <v>254</v>
      </c>
      <c r="T79" s="11" t="s">
        <v>185</v>
      </c>
      <c r="U79" s="5" t="s">
        <v>260</v>
      </c>
      <c r="V79" s="11" t="s">
        <v>261</v>
      </c>
      <c r="W79" s="5" t="s">
        <v>205</v>
      </c>
      <c r="X79" s="5" t="s">
        <v>284</v>
      </c>
      <c r="Y79" s="11" t="s">
        <v>337</v>
      </c>
      <c r="Z79" s="11" t="s">
        <v>270</v>
      </c>
      <c r="AA79" s="11" t="s">
        <v>152</v>
      </c>
      <c r="AB79" s="5" t="s">
        <v>245</v>
      </c>
      <c r="AC79" s="5" t="s">
        <v>262</v>
      </c>
      <c r="AD79" s="11" t="s">
        <v>472</v>
      </c>
      <c r="AE79" s="23" t="n">
        <v>0.9</v>
      </c>
      <c r="AF79" s="23" t="n">
        <v>0</v>
      </c>
      <c r="AG79" s="23" t="n">
        <v>1</v>
      </c>
      <c r="AH79" s="23" t="n">
        <v>0.87</v>
      </c>
      <c r="AI79" s="23" t="n">
        <v>0.6</v>
      </c>
      <c r="AJ79" s="23" t="n">
        <v>0.7928</v>
      </c>
      <c r="AK79" s="23" t="n">
        <v>1</v>
      </c>
      <c r="AL79" s="23" t="n">
        <v>1</v>
      </c>
      <c r="AM79" s="16" t="n">
        <f aca="false">COUNTIFS($D$2:$D$2501,D79,$G$2:$G$2501,"&gt;"&amp;G79)+COUNTIFS($D$2:D79,D79,$G$2:G79,G79)</f>
        <v>40</v>
      </c>
      <c r="AN79" s="5" t="str">
        <f aca="false">D79&amp;"|"&amp;AM79</f>
        <v>檢索與情資關聯|40</v>
      </c>
    </row>
    <row r="80" customFormat="false" ht="17.15" hidden="false" customHeight="false" outlineLevel="0" collapsed="false">
      <c r="A80" s="16" t="n">
        <f aca="false">RANK(G80,$G$2:$G$2501)+COUNTIF($G$2:G80,G80)-1</f>
        <v>79</v>
      </c>
      <c r="B80" s="11" t="s">
        <v>473</v>
      </c>
      <c r="C80" s="11" t="s">
        <v>402</v>
      </c>
      <c r="D80" s="5" t="s">
        <v>48</v>
      </c>
      <c r="E80" s="5" t="s">
        <v>49</v>
      </c>
      <c r="F80" s="5" t="s">
        <v>48</v>
      </c>
      <c r="G80" s="22" t="n">
        <f aca="false">ROUND(SUM(I80:P80),3)</f>
        <v>78.89</v>
      </c>
      <c r="H80" s="5" t="str">
        <f aca="false">IF(G80&gt;=評分方法!$C$16,"優先評估",IF(G80&gt;=評分方法!$C$17,"列入候選",IF(G80&gt;=評分方法!$C$18,"特定情境","不建議")))</f>
        <v>列入候選</v>
      </c>
      <c r="I80" s="15" t="n">
        <f aca="false">AE80*評分方法!$C$5</f>
        <v>28.5</v>
      </c>
      <c r="J80" s="15" t="n">
        <f aca="false">AF80*評分方法!$C$6</f>
        <v>10</v>
      </c>
      <c r="K80" s="15" t="n">
        <f aca="false">AG80*評分方法!$C$7</f>
        <v>4.95</v>
      </c>
      <c r="L80" s="15" t="n">
        <f aca="false">AH80*評分方法!$C$8</f>
        <v>15</v>
      </c>
      <c r="M80" s="15" t="n">
        <f aca="false">AI80*評分方法!$C$9</f>
        <v>10</v>
      </c>
      <c r="N80" s="15" t="n">
        <f aca="false">AJ80*評分方法!$C$10</f>
        <v>6.44</v>
      </c>
      <c r="O80" s="15" t="n">
        <f aca="false">AK80*評分方法!$C$11</f>
        <v>4</v>
      </c>
      <c r="P80" s="15" t="n">
        <f aca="false">AL80*評分方法!$C$12</f>
        <v>0</v>
      </c>
      <c r="Q80" s="6" t="n">
        <v>734376</v>
      </c>
      <c r="R80" s="6" t="n">
        <v>141385834</v>
      </c>
      <c r="S80" s="11" t="s">
        <v>238</v>
      </c>
      <c r="T80" s="11" t="s">
        <v>239</v>
      </c>
      <c r="U80" s="5" t="s">
        <v>240</v>
      </c>
      <c r="V80" s="11" t="s">
        <v>261</v>
      </c>
      <c r="W80" s="5" t="s">
        <v>334</v>
      </c>
      <c r="X80" s="5" t="s">
        <v>242</v>
      </c>
      <c r="Y80" s="11" t="s">
        <v>474</v>
      </c>
      <c r="Z80" s="11" t="s">
        <v>270</v>
      </c>
      <c r="AA80" s="11" t="s">
        <v>150</v>
      </c>
      <c r="AB80" s="5" t="s">
        <v>245</v>
      </c>
      <c r="AC80" s="5"/>
      <c r="AD80" s="11" t="s">
        <v>475</v>
      </c>
      <c r="AE80" s="23" t="n">
        <v>0.95</v>
      </c>
      <c r="AF80" s="23" t="n">
        <v>1</v>
      </c>
      <c r="AG80" s="23" t="n">
        <v>0.33</v>
      </c>
      <c r="AH80" s="23" t="n">
        <v>1</v>
      </c>
      <c r="AI80" s="23" t="n">
        <v>1</v>
      </c>
      <c r="AJ80" s="23" t="n">
        <v>0.644</v>
      </c>
      <c r="AK80" s="23" t="n">
        <v>0.8</v>
      </c>
      <c r="AL80" s="23" t="n">
        <v>0</v>
      </c>
      <c r="AM80" s="16" t="n">
        <f aca="false">COUNTIFS($D$2:$D$2501,D80,$G$2:$G$2501,"&gt;"&amp;G80)+COUNTIFS($D$2:D80,D80,$G$2:G80,G80)</f>
        <v>7</v>
      </c>
      <c r="AN80" s="5" t="str">
        <f aca="false">D80&amp;"|"&amp;AM80</f>
        <v>個資偵測與去識別化|7</v>
      </c>
    </row>
    <row r="81" customFormat="false" ht="17.15" hidden="false" customHeight="false" outlineLevel="0" collapsed="false">
      <c r="A81" s="16" t="n">
        <f aca="false">RANK(G81,$G$2:$G$2501)+COUNTIF($G$2:G81,G81)-1</f>
        <v>80</v>
      </c>
      <c r="B81" s="11" t="s">
        <v>476</v>
      </c>
      <c r="C81" s="11" t="s">
        <v>282</v>
      </c>
      <c r="D81" s="5" t="s">
        <v>54</v>
      </c>
      <c r="E81" s="5" t="s">
        <v>55</v>
      </c>
      <c r="F81" s="5"/>
      <c r="G81" s="22" t="n">
        <f aca="false">ROUND(SUM(I81:P81),3)</f>
        <v>78.872</v>
      </c>
      <c r="H81" s="5" t="str">
        <f aca="false">IF(G81&gt;=評分方法!$C$16,"優先評估",IF(G81&gt;=評分方法!$C$17,"列入候選",IF(G81&gt;=評分方法!$C$18,"特定情境","不建議")))</f>
        <v>列入候選</v>
      </c>
      <c r="I81" s="15" t="n">
        <f aca="false">AE81*評分方法!$C$5</f>
        <v>27</v>
      </c>
      <c r="J81" s="15" t="n">
        <f aca="false">AF81*評分方法!$C$6</f>
        <v>0</v>
      </c>
      <c r="K81" s="15" t="n">
        <f aca="false">AG81*評分方法!$C$7</f>
        <v>15</v>
      </c>
      <c r="L81" s="15" t="n">
        <f aca="false">AH81*評分方法!$C$8</f>
        <v>15</v>
      </c>
      <c r="M81" s="15" t="n">
        <f aca="false">AI81*評分方法!$C$9</f>
        <v>10</v>
      </c>
      <c r="N81" s="15" t="n">
        <f aca="false">AJ81*評分方法!$C$10</f>
        <v>7.872</v>
      </c>
      <c r="O81" s="15" t="n">
        <f aca="false">AK81*評分方法!$C$11</f>
        <v>2.5</v>
      </c>
      <c r="P81" s="15" t="n">
        <f aca="false">AL81*評分方法!$C$12</f>
        <v>1.5</v>
      </c>
      <c r="Q81" s="6" t="n">
        <v>1454567</v>
      </c>
      <c r="R81" s="6" t="n">
        <v>109482752</v>
      </c>
      <c r="S81" s="11" t="s">
        <v>238</v>
      </c>
      <c r="T81" s="11" t="s">
        <v>239</v>
      </c>
      <c r="U81" s="5" t="s">
        <v>240</v>
      </c>
      <c r="V81" s="11" t="s">
        <v>320</v>
      </c>
      <c r="W81" s="5" t="s">
        <v>205</v>
      </c>
      <c r="X81" s="5" t="s">
        <v>255</v>
      </c>
      <c r="Y81" s="5"/>
      <c r="Z81" s="5"/>
      <c r="AA81" s="11" t="s">
        <v>152</v>
      </c>
      <c r="AB81" s="5" t="s">
        <v>245</v>
      </c>
      <c r="AC81" s="5"/>
      <c r="AD81" s="11" t="s">
        <v>477</v>
      </c>
      <c r="AE81" s="23" t="n">
        <v>0.9</v>
      </c>
      <c r="AF81" s="23" t="n">
        <v>0</v>
      </c>
      <c r="AG81" s="23" t="n">
        <v>1</v>
      </c>
      <c r="AH81" s="23" t="n">
        <v>1</v>
      </c>
      <c r="AI81" s="23" t="n">
        <v>1</v>
      </c>
      <c r="AJ81" s="23" t="n">
        <v>0.7872</v>
      </c>
      <c r="AK81" s="23" t="n">
        <v>0.5</v>
      </c>
      <c r="AL81" s="23" t="n">
        <v>0.3</v>
      </c>
      <c r="AM81" s="16" t="n">
        <f aca="false">COUNTIFS($D$2:$D$2501,D81,$G$2:$G$2501,"&gt;"&amp;G81)+COUNTIFS($D$2:D81,D81,$G$2:G81,G81)</f>
        <v>41</v>
      </c>
      <c r="AN81" s="5" t="str">
        <f aca="false">D81&amp;"|"&amp;AM81</f>
        <v>檢索與情資關聯|41</v>
      </c>
    </row>
    <row r="82" customFormat="false" ht="17.15" hidden="false" customHeight="false" outlineLevel="0" collapsed="false">
      <c r="A82" s="16" t="n">
        <f aca="false">RANK(G82,$G$2:$G$2501)+COUNTIF($G$2:G82,G82)-1</f>
        <v>81</v>
      </c>
      <c r="B82" s="11" t="s">
        <v>478</v>
      </c>
      <c r="C82" s="11" t="s">
        <v>313</v>
      </c>
      <c r="D82" s="5" t="s">
        <v>54</v>
      </c>
      <c r="E82" s="5" t="s">
        <v>55</v>
      </c>
      <c r="F82" s="5"/>
      <c r="G82" s="22" t="n">
        <f aca="false">ROUND(SUM(I82:P82),3)</f>
        <v>78.816</v>
      </c>
      <c r="H82" s="5" t="str">
        <f aca="false">IF(G82&gt;=評分方法!$C$16,"優先評估",IF(G82&gt;=評分方法!$C$17,"列入候選",IF(G82&gt;=評分方法!$C$18,"特定情境","不建議")))</f>
        <v>列入候選</v>
      </c>
      <c r="I82" s="15" t="n">
        <f aca="false">AE82*評分方法!$C$5</f>
        <v>27</v>
      </c>
      <c r="J82" s="15" t="n">
        <f aca="false">AF82*評分方法!$C$6</f>
        <v>0</v>
      </c>
      <c r="K82" s="15" t="n">
        <f aca="false">AG82*評分方法!$C$7</f>
        <v>15</v>
      </c>
      <c r="L82" s="15" t="n">
        <f aca="false">AH82*評分方法!$C$8</f>
        <v>15</v>
      </c>
      <c r="M82" s="15" t="n">
        <f aca="false">AI82*評分方法!$C$9</f>
        <v>10</v>
      </c>
      <c r="N82" s="15" t="n">
        <f aca="false">AJ82*評分方法!$C$10</f>
        <v>7.816</v>
      </c>
      <c r="O82" s="15" t="n">
        <f aca="false">AK82*評分方法!$C$11</f>
        <v>2.5</v>
      </c>
      <c r="P82" s="15" t="n">
        <f aca="false">AL82*評分方法!$C$12</f>
        <v>1.5</v>
      </c>
      <c r="Q82" s="6" t="n">
        <v>1407125</v>
      </c>
      <c r="R82" s="6" t="n">
        <v>33212160</v>
      </c>
      <c r="S82" s="11" t="s">
        <v>238</v>
      </c>
      <c r="T82" s="11" t="s">
        <v>239</v>
      </c>
      <c r="U82" s="5" t="s">
        <v>240</v>
      </c>
      <c r="V82" s="11" t="s">
        <v>241</v>
      </c>
      <c r="W82" s="5" t="s">
        <v>205</v>
      </c>
      <c r="X82" s="5" t="s">
        <v>255</v>
      </c>
      <c r="Y82" s="5"/>
      <c r="Z82" s="5"/>
      <c r="AA82" s="11" t="s">
        <v>152</v>
      </c>
      <c r="AB82" s="5" t="s">
        <v>245</v>
      </c>
      <c r="AC82" s="5"/>
      <c r="AD82" s="11" t="s">
        <v>479</v>
      </c>
      <c r="AE82" s="23" t="n">
        <v>0.9</v>
      </c>
      <c r="AF82" s="23" t="n">
        <v>0</v>
      </c>
      <c r="AG82" s="23" t="n">
        <v>1</v>
      </c>
      <c r="AH82" s="23" t="n">
        <v>1</v>
      </c>
      <c r="AI82" s="23" t="n">
        <v>1</v>
      </c>
      <c r="AJ82" s="23" t="n">
        <v>0.7816</v>
      </c>
      <c r="AK82" s="23" t="n">
        <v>0.5</v>
      </c>
      <c r="AL82" s="23" t="n">
        <v>0.3</v>
      </c>
      <c r="AM82" s="16" t="n">
        <f aca="false">COUNTIFS($D$2:$D$2501,D82,$G$2:$G$2501,"&gt;"&amp;G82)+COUNTIFS($D$2:D82,D82,$G$2:G82,G82)</f>
        <v>42</v>
      </c>
      <c r="AN82" s="5" t="str">
        <f aca="false">D82&amp;"|"&amp;AM82</f>
        <v>檢索與情資關聯|42</v>
      </c>
    </row>
    <row r="83" customFormat="false" ht="17.15" hidden="false" customHeight="false" outlineLevel="0" collapsed="false">
      <c r="A83" s="16" t="n">
        <f aca="false">RANK(G83,$G$2:$G$2501)+COUNTIF($G$2:G83,G83)-1</f>
        <v>82</v>
      </c>
      <c r="B83" s="11" t="s">
        <v>480</v>
      </c>
      <c r="C83" s="11" t="s">
        <v>481</v>
      </c>
      <c r="D83" s="5" t="s">
        <v>56</v>
      </c>
      <c r="E83" s="5" t="s">
        <v>57</v>
      </c>
      <c r="F83" s="5"/>
      <c r="G83" s="22" t="n">
        <f aca="false">ROUND(SUM(I83:P83),3)</f>
        <v>78.756</v>
      </c>
      <c r="H83" s="5" t="str">
        <f aca="false">IF(G83&gt;=評分方法!$C$16,"優先評估",IF(G83&gt;=評分方法!$C$17,"列入候選",IF(G83&gt;=評分方法!$C$18,"特定情境","不建議")))</f>
        <v>列入候選</v>
      </c>
      <c r="I83" s="15" t="n">
        <f aca="false">AE83*評分方法!$C$5</f>
        <v>25.5</v>
      </c>
      <c r="J83" s="15" t="n">
        <f aca="false">AF83*評分方法!$C$6</f>
        <v>0</v>
      </c>
      <c r="K83" s="15" t="n">
        <f aca="false">AG83*評分方法!$C$7</f>
        <v>15</v>
      </c>
      <c r="L83" s="15" t="n">
        <f aca="false">AH83*評分方法!$C$8</f>
        <v>15</v>
      </c>
      <c r="M83" s="15" t="n">
        <f aca="false">AI83*評分方法!$C$9</f>
        <v>10</v>
      </c>
      <c r="N83" s="15" t="n">
        <f aca="false">AJ83*評分方法!$C$10</f>
        <v>9.256</v>
      </c>
      <c r="O83" s="15" t="n">
        <f aca="false">AK83*評分方法!$C$11</f>
        <v>1</v>
      </c>
      <c r="P83" s="15" t="n">
        <f aca="false">AL83*評分方法!$C$12</f>
        <v>3</v>
      </c>
      <c r="Q83" s="6" t="n">
        <v>5613235</v>
      </c>
      <c r="R83" s="6" t="n">
        <v>318688640</v>
      </c>
      <c r="S83" s="11" t="s">
        <v>238</v>
      </c>
      <c r="T83" s="11" t="s">
        <v>239</v>
      </c>
      <c r="U83" s="5" t="s">
        <v>240</v>
      </c>
      <c r="V83" s="11" t="s">
        <v>261</v>
      </c>
      <c r="W83" s="5" t="s">
        <v>205</v>
      </c>
      <c r="X83" s="5" t="s">
        <v>371</v>
      </c>
      <c r="Y83" s="5"/>
      <c r="Z83" s="5"/>
      <c r="AA83" s="11" t="s">
        <v>155</v>
      </c>
      <c r="AB83" s="5" t="s">
        <v>328</v>
      </c>
      <c r="AC83" s="5" t="s">
        <v>400</v>
      </c>
      <c r="AD83" s="11" t="s">
        <v>482</v>
      </c>
      <c r="AE83" s="23" t="n">
        <v>0.85</v>
      </c>
      <c r="AF83" s="23" t="n">
        <v>0</v>
      </c>
      <c r="AG83" s="23" t="n">
        <v>1</v>
      </c>
      <c r="AH83" s="23" t="n">
        <v>1</v>
      </c>
      <c r="AI83" s="23" t="n">
        <v>1</v>
      </c>
      <c r="AJ83" s="23" t="n">
        <v>0.9256</v>
      </c>
      <c r="AK83" s="23" t="n">
        <v>0.2</v>
      </c>
      <c r="AL83" s="23" t="n">
        <v>0.6</v>
      </c>
      <c r="AM83" s="16" t="n">
        <f aca="false">COUNTIFS($D$2:$D$2501,D83,$G$2:$G$2501,"&gt;"&amp;G83)+COUNTIFS($D$2:D83,D83,$G$2:G83,G83)</f>
        <v>14</v>
      </c>
      <c r="AN83" s="5" t="str">
        <f aca="false">D83&amp;"|"&amp;AM83</f>
        <v>分析與報告生成|14</v>
      </c>
    </row>
    <row r="84" customFormat="false" ht="17.15" hidden="false" customHeight="false" outlineLevel="0" collapsed="false">
      <c r="A84" s="16" t="n">
        <f aca="false">RANK(G84,$G$2:$G$2501)+COUNTIF($G$2:G84,G84)-1</f>
        <v>83</v>
      </c>
      <c r="B84" s="11" t="s">
        <v>483</v>
      </c>
      <c r="C84" s="11" t="s">
        <v>302</v>
      </c>
      <c r="D84" s="5" t="s">
        <v>54</v>
      </c>
      <c r="E84" s="5" t="s">
        <v>55</v>
      </c>
      <c r="F84" s="5"/>
      <c r="G84" s="22" t="n">
        <f aca="false">ROUND(SUM(I84:P84),3)</f>
        <v>78.736</v>
      </c>
      <c r="H84" s="5" t="str">
        <f aca="false">IF(G84&gt;=評分方法!$C$16,"優先評估",IF(G84&gt;=評分方法!$C$17,"列入候選",IF(G84&gt;=評分方法!$C$18,"特定情境","不建議")))</f>
        <v>列入候選</v>
      </c>
      <c r="I84" s="15" t="n">
        <f aca="false">AE84*評分方法!$C$5</f>
        <v>27</v>
      </c>
      <c r="J84" s="15" t="n">
        <f aca="false">AF84*評分方法!$C$6</f>
        <v>0</v>
      </c>
      <c r="K84" s="15" t="n">
        <f aca="false">AG84*評分方法!$C$7</f>
        <v>15</v>
      </c>
      <c r="L84" s="15" t="n">
        <f aca="false">AH84*評分方法!$C$8</f>
        <v>15</v>
      </c>
      <c r="M84" s="15" t="n">
        <f aca="false">AI84*評分方法!$C$9</f>
        <v>10</v>
      </c>
      <c r="N84" s="15" t="n">
        <f aca="false">AJ84*評分方法!$C$10</f>
        <v>9.236</v>
      </c>
      <c r="O84" s="15" t="n">
        <f aca="false">AK84*評分方法!$C$11</f>
        <v>2.5</v>
      </c>
      <c r="P84" s="15" t="n">
        <f aca="false">AL84*評分方法!$C$12</f>
        <v>0</v>
      </c>
      <c r="Q84" s="6" t="n">
        <v>5459181</v>
      </c>
      <c r="R84" s="6" t="n">
        <v>15616257</v>
      </c>
      <c r="S84" s="11" t="s">
        <v>238</v>
      </c>
      <c r="T84" s="11" t="s">
        <v>239</v>
      </c>
      <c r="U84" s="5" t="s">
        <v>240</v>
      </c>
      <c r="V84" s="11" t="s">
        <v>356</v>
      </c>
      <c r="W84" s="5" t="s">
        <v>205</v>
      </c>
      <c r="X84" s="5" t="s">
        <v>242</v>
      </c>
      <c r="Y84" s="11" t="s">
        <v>357</v>
      </c>
      <c r="Z84" s="11" t="s">
        <v>244</v>
      </c>
      <c r="AA84" s="11" t="s">
        <v>154</v>
      </c>
      <c r="AB84" s="5" t="s">
        <v>245</v>
      </c>
      <c r="AC84" s="5" t="s">
        <v>246</v>
      </c>
      <c r="AD84" s="11" t="s">
        <v>484</v>
      </c>
      <c r="AE84" s="23" t="n">
        <v>0.9</v>
      </c>
      <c r="AF84" s="23" t="n">
        <v>0</v>
      </c>
      <c r="AG84" s="23" t="n">
        <v>1</v>
      </c>
      <c r="AH84" s="23" t="n">
        <v>1</v>
      </c>
      <c r="AI84" s="23" t="n">
        <v>1</v>
      </c>
      <c r="AJ84" s="23" t="n">
        <v>0.9236</v>
      </c>
      <c r="AK84" s="23" t="n">
        <v>0.5</v>
      </c>
      <c r="AL84" s="23" t="n">
        <v>0</v>
      </c>
      <c r="AM84" s="16" t="n">
        <f aca="false">COUNTIFS($D$2:$D$2501,D84,$G$2:$G$2501,"&gt;"&amp;G84)+COUNTIFS($D$2:D84,D84,$G$2:G84,G84)</f>
        <v>43</v>
      </c>
      <c r="AN84" s="5" t="str">
        <f aca="false">D84&amp;"|"&amp;AM84</f>
        <v>檢索與情資關聯|43</v>
      </c>
    </row>
    <row r="85" customFormat="false" ht="17.15" hidden="false" customHeight="false" outlineLevel="0" collapsed="false">
      <c r="A85" s="16" t="n">
        <f aca="false">RANK(G85,$G$2:$G$2501)+COUNTIF($G$2:G85,G85)-1</f>
        <v>84</v>
      </c>
      <c r="B85" s="11" t="s">
        <v>485</v>
      </c>
      <c r="C85" s="11" t="s">
        <v>368</v>
      </c>
      <c r="D85" s="5" t="s">
        <v>56</v>
      </c>
      <c r="E85" s="5" t="s">
        <v>57</v>
      </c>
      <c r="F85" s="5"/>
      <c r="G85" s="22" t="n">
        <f aca="false">ROUND(SUM(I85:P85),3)</f>
        <v>78.702</v>
      </c>
      <c r="H85" s="5" t="str">
        <f aca="false">IF(G85&gt;=評分方法!$C$16,"優先評估",IF(G85&gt;=評分方法!$C$17,"列入候選",IF(G85&gt;=評分方法!$C$18,"特定情境","不建議")))</f>
        <v>列入候選</v>
      </c>
      <c r="I85" s="15" t="n">
        <f aca="false">AE85*評分方法!$C$5</f>
        <v>24</v>
      </c>
      <c r="J85" s="15" t="n">
        <f aca="false">AF85*評分方法!$C$6</f>
        <v>0</v>
      </c>
      <c r="K85" s="15" t="n">
        <f aca="false">AG85*評分方法!$C$7</f>
        <v>15</v>
      </c>
      <c r="L85" s="15" t="n">
        <f aca="false">AH85*評分方法!$C$8</f>
        <v>13.05</v>
      </c>
      <c r="M85" s="15" t="n">
        <f aca="false">AI85*評分方法!$C$9</f>
        <v>10</v>
      </c>
      <c r="N85" s="15" t="n">
        <f aca="false">AJ85*評分方法!$C$10</f>
        <v>8.652</v>
      </c>
      <c r="O85" s="15" t="n">
        <f aca="false">AK85*評分方法!$C$11</f>
        <v>5</v>
      </c>
      <c r="P85" s="15" t="n">
        <f aca="false">AL85*評分方法!$C$12</f>
        <v>3</v>
      </c>
      <c r="Q85" s="6" t="n">
        <v>2648924</v>
      </c>
      <c r="R85" s="6" t="n">
        <v>7463013674</v>
      </c>
      <c r="S85" s="11" t="s">
        <v>254</v>
      </c>
      <c r="T85" s="11" t="s">
        <v>239</v>
      </c>
      <c r="U85" s="5" t="s">
        <v>240</v>
      </c>
      <c r="V85" s="11" t="s">
        <v>333</v>
      </c>
      <c r="W85" s="5" t="s">
        <v>205</v>
      </c>
      <c r="X85" s="5" t="s">
        <v>371</v>
      </c>
      <c r="Y85" s="11" t="s">
        <v>486</v>
      </c>
      <c r="Z85" s="11" t="s">
        <v>244</v>
      </c>
      <c r="AA85" s="11" t="s">
        <v>157</v>
      </c>
      <c r="AB85" s="5" t="s">
        <v>245</v>
      </c>
      <c r="AC85" s="5" t="s">
        <v>246</v>
      </c>
      <c r="AD85" s="11" t="s">
        <v>487</v>
      </c>
      <c r="AE85" s="23" t="n">
        <v>0.8</v>
      </c>
      <c r="AF85" s="23" t="n">
        <v>0</v>
      </c>
      <c r="AG85" s="23" t="n">
        <v>1</v>
      </c>
      <c r="AH85" s="23" t="n">
        <v>0.87</v>
      </c>
      <c r="AI85" s="23" t="n">
        <v>1</v>
      </c>
      <c r="AJ85" s="23" t="n">
        <v>0.8652</v>
      </c>
      <c r="AK85" s="23" t="n">
        <v>1</v>
      </c>
      <c r="AL85" s="23" t="n">
        <v>0.6</v>
      </c>
      <c r="AM85" s="16" t="n">
        <f aca="false">COUNTIFS($D$2:$D$2501,D85,$G$2:$G$2501,"&gt;"&amp;G85)+COUNTIFS($D$2:D85,D85,$G$2:G85,G85)</f>
        <v>15</v>
      </c>
      <c r="AN85" s="5" t="str">
        <f aca="false">D85&amp;"|"&amp;AM85</f>
        <v>分析與報告生成|15</v>
      </c>
    </row>
    <row r="86" customFormat="false" ht="17.15" hidden="false" customHeight="false" outlineLevel="0" collapsed="false">
      <c r="A86" s="16" t="n">
        <f aca="false">RANK(G86,$G$2:$G$2501)+COUNTIF($G$2:G86,G86)-1</f>
        <v>85</v>
      </c>
      <c r="B86" s="11" t="s">
        <v>488</v>
      </c>
      <c r="C86" s="11" t="s">
        <v>338</v>
      </c>
      <c r="D86" s="5" t="s">
        <v>56</v>
      </c>
      <c r="E86" s="5" t="s">
        <v>57</v>
      </c>
      <c r="F86" s="5"/>
      <c r="G86" s="22" t="n">
        <f aca="false">ROUND(SUM(I86:P86),3)</f>
        <v>78.674</v>
      </c>
      <c r="H86" s="5" t="str">
        <f aca="false">IF(G86&gt;=評分方法!$C$16,"優先評估",IF(G86&gt;=評分方法!$C$17,"列入候選",IF(G86&gt;=評分方法!$C$18,"特定情境","不建議")))</f>
        <v>列入候選</v>
      </c>
      <c r="I86" s="15" t="n">
        <f aca="false">AE86*評分方法!$C$5</f>
        <v>25.5</v>
      </c>
      <c r="J86" s="15" t="n">
        <f aca="false">AF86*評分方法!$C$6</f>
        <v>0</v>
      </c>
      <c r="K86" s="15" t="n">
        <f aca="false">AG86*評分方法!$C$7</f>
        <v>15</v>
      </c>
      <c r="L86" s="15" t="n">
        <f aca="false">AH86*評分方法!$C$8</f>
        <v>13.05</v>
      </c>
      <c r="M86" s="15" t="n">
        <f aca="false">AI86*評分方法!$C$9</f>
        <v>10</v>
      </c>
      <c r="N86" s="15" t="n">
        <f aca="false">AJ86*評分方法!$C$10</f>
        <v>9.624</v>
      </c>
      <c r="O86" s="15" t="n">
        <f aca="false">AK86*評分方法!$C$11</f>
        <v>2.5</v>
      </c>
      <c r="P86" s="15" t="n">
        <f aca="false">AL86*評分方法!$C$12</f>
        <v>3</v>
      </c>
      <c r="Q86" s="6" t="n">
        <v>10599529</v>
      </c>
      <c r="R86" s="6" t="n">
        <v>7241732096</v>
      </c>
      <c r="S86" s="11" t="s">
        <v>254</v>
      </c>
      <c r="T86" s="11" t="s">
        <v>239</v>
      </c>
      <c r="U86" s="5" t="s">
        <v>240</v>
      </c>
      <c r="V86" s="11" t="s">
        <v>324</v>
      </c>
      <c r="W86" s="5" t="s">
        <v>205</v>
      </c>
      <c r="X86" s="5" t="s">
        <v>371</v>
      </c>
      <c r="Y86" s="5"/>
      <c r="Z86" s="5"/>
      <c r="AA86" s="11" t="s">
        <v>155</v>
      </c>
      <c r="AB86" s="5" t="s">
        <v>245</v>
      </c>
      <c r="AC86" s="5"/>
      <c r="AD86" s="11" t="s">
        <v>489</v>
      </c>
      <c r="AE86" s="23" t="n">
        <v>0.85</v>
      </c>
      <c r="AF86" s="23" t="n">
        <v>0</v>
      </c>
      <c r="AG86" s="23" t="n">
        <v>1</v>
      </c>
      <c r="AH86" s="23" t="n">
        <v>0.87</v>
      </c>
      <c r="AI86" s="23" t="n">
        <v>1</v>
      </c>
      <c r="AJ86" s="23" t="n">
        <v>0.9624</v>
      </c>
      <c r="AK86" s="23" t="n">
        <v>0.5</v>
      </c>
      <c r="AL86" s="23" t="n">
        <v>0.6</v>
      </c>
      <c r="AM86" s="16" t="n">
        <f aca="false">COUNTIFS($D$2:$D$2501,D86,$G$2:$G$2501,"&gt;"&amp;G86)+COUNTIFS($D$2:D86,D86,$G$2:G86,G86)</f>
        <v>16</v>
      </c>
      <c r="AN86" s="5" t="str">
        <f aca="false">D86&amp;"|"&amp;AM86</f>
        <v>分析與報告生成|16</v>
      </c>
    </row>
    <row r="87" customFormat="false" ht="17.15" hidden="false" customHeight="false" outlineLevel="0" collapsed="false">
      <c r="A87" s="16" t="n">
        <f aca="false">RANK(G87,$G$2:$G$2501)+COUNTIF($G$2:G87,G87)-1</f>
        <v>86</v>
      </c>
      <c r="B87" s="11" t="s">
        <v>490</v>
      </c>
      <c r="C87" s="11" t="s">
        <v>287</v>
      </c>
      <c r="D87" s="5" t="s">
        <v>54</v>
      </c>
      <c r="E87" s="5" t="s">
        <v>55</v>
      </c>
      <c r="F87" s="5"/>
      <c r="G87" s="22" t="n">
        <f aca="false">ROUND(SUM(I87:P87),3)</f>
        <v>78.64</v>
      </c>
      <c r="H87" s="5" t="str">
        <f aca="false">IF(G87&gt;=評分方法!$C$16,"優先評估",IF(G87&gt;=評分方法!$C$17,"列入候選",IF(G87&gt;=評分方法!$C$18,"特定情境","不建議")))</f>
        <v>列入候選</v>
      </c>
      <c r="I87" s="15" t="n">
        <f aca="false">AE87*評分方法!$C$5</f>
        <v>27</v>
      </c>
      <c r="J87" s="15" t="n">
        <f aca="false">AF87*評分方法!$C$6</f>
        <v>0</v>
      </c>
      <c r="K87" s="15" t="n">
        <f aca="false">AG87*評分方法!$C$7</f>
        <v>15</v>
      </c>
      <c r="L87" s="15" t="n">
        <f aca="false">AH87*評分方法!$C$8</f>
        <v>15</v>
      </c>
      <c r="M87" s="15" t="n">
        <f aca="false">AI87*評分方法!$C$9</f>
        <v>10</v>
      </c>
      <c r="N87" s="15" t="n">
        <f aca="false">AJ87*評分方法!$C$10</f>
        <v>9.14</v>
      </c>
      <c r="O87" s="15" t="n">
        <f aca="false">AK87*評分方法!$C$11</f>
        <v>2.5</v>
      </c>
      <c r="P87" s="15" t="n">
        <f aca="false">AL87*評分方法!$C$12</f>
        <v>0</v>
      </c>
      <c r="Q87" s="6" t="n">
        <v>4701047</v>
      </c>
      <c r="R87" s="6" t="n">
        <v>33360512</v>
      </c>
      <c r="S87" s="11" t="s">
        <v>238</v>
      </c>
      <c r="T87" s="11" t="s">
        <v>278</v>
      </c>
      <c r="U87" s="5" t="s">
        <v>240</v>
      </c>
      <c r="V87" s="11" t="s">
        <v>283</v>
      </c>
      <c r="W87" s="5" t="s">
        <v>205</v>
      </c>
      <c r="X87" s="5" t="s">
        <v>242</v>
      </c>
      <c r="Y87" s="5"/>
      <c r="Z87" s="5"/>
      <c r="AA87" s="11" t="s">
        <v>152</v>
      </c>
      <c r="AB87" s="5" t="s">
        <v>245</v>
      </c>
      <c r="AC87" s="5"/>
      <c r="AD87" s="11" t="s">
        <v>491</v>
      </c>
      <c r="AE87" s="23" t="n">
        <v>0.9</v>
      </c>
      <c r="AF87" s="23" t="n">
        <v>0</v>
      </c>
      <c r="AG87" s="23" t="n">
        <v>1</v>
      </c>
      <c r="AH87" s="23" t="n">
        <v>1</v>
      </c>
      <c r="AI87" s="23" t="n">
        <v>1</v>
      </c>
      <c r="AJ87" s="23" t="n">
        <v>0.914</v>
      </c>
      <c r="AK87" s="23" t="n">
        <v>0.5</v>
      </c>
      <c r="AL87" s="23" t="n">
        <v>0</v>
      </c>
      <c r="AM87" s="16" t="n">
        <f aca="false">COUNTIFS($D$2:$D$2501,D87,$G$2:$G$2501,"&gt;"&amp;G87)+COUNTIFS($D$2:D87,D87,$G$2:G87,G87)</f>
        <v>44</v>
      </c>
      <c r="AN87" s="5" t="str">
        <f aca="false">D87&amp;"|"&amp;AM87</f>
        <v>檢索與情資關聯|44</v>
      </c>
    </row>
    <row r="88" customFormat="false" ht="17.15" hidden="false" customHeight="false" outlineLevel="0" collapsed="false">
      <c r="A88" s="16" t="n">
        <f aca="false">RANK(G88,$G$2:$G$2501)+COUNTIF($G$2:G88,G88)-1</f>
        <v>87</v>
      </c>
      <c r="B88" s="11" t="s">
        <v>492</v>
      </c>
      <c r="C88" s="11" t="s">
        <v>282</v>
      </c>
      <c r="D88" s="5" t="s">
        <v>54</v>
      </c>
      <c r="E88" s="5" t="s">
        <v>55</v>
      </c>
      <c r="F88" s="5"/>
      <c r="G88" s="22" t="n">
        <f aca="false">ROUND(SUM(I88:P88),3)</f>
        <v>78.608</v>
      </c>
      <c r="H88" s="5" t="str">
        <f aca="false">IF(G88&gt;=評分方法!$C$16,"優先評估",IF(G88&gt;=評分方法!$C$17,"列入候選",IF(G88&gt;=評分方法!$C$18,"特定情境","不建議")))</f>
        <v>列入候選</v>
      </c>
      <c r="I88" s="15" t="n">
        <f aca="false">AE88*評分方法!$C$5</f>
        <v>27</v>
      </c>
      <c r="J88" s="15" t="n">
        <f aca="false">AF88*評分方法!$C$6</f>
        <v>0</v>
      </c>
      <c r="K88" s="15" t="n">
        <f aca="false">AG88*評分方法!$C$7</f>
        <v>15</v>
      </c>
      <c r="L88" s="15" t="n">
        <f aca="false">AH88*評分方法!$C$8</f>
        <v>15</v>
      </c>
      <c r="M88" s="15" t="n">
        <f aca="false">AI88*評分方法!$C$9</f>
        <v>10</v>
      </c>
      <c r="N88" s="15" t="n">
        <f aca="false">AJ88*評分方法!$C$10</f>
        <v>9.108</v>
      </c>
      <c r="O88" s="15" t="n">
        <f aca="false">AK88*評分方法!$C$11</f>
        <v>2.5</v>
      </c>
      <c r="P88" s="15" t="n">
        <f aca="false">AL88*評分方法!$C$12</f>
        <v>0</v>
      </c>
      <c r="Q88" s="6" t="n">
        <v>4510801</v>
      </c>
      <c r="R88" s="6" t="n">
        <v>355360258</v>
      </c>
      <c r="S88" s="11" t="s">
        <v>238</v>
      </c>
      <c r="T88" s="11" t="s">
        <v>239</v>
      </c>
      <c r="U88" s="5" t="s">
        <v>240</v>
      </c>
      <c r="V88" s="11" t="s">
        <v>288</v>
      </c>
      <c r="W88" s="5" t="s">
        <v>205</v>
      </c>
      <c r="X88" s="5" t="s">
        <v>242</v>
      </c>
      <c r="Y88" s="5"/>
      <c r="Z88" s="5"/>
      <c r="AA88" s="11" t="s">
        <v>152</v>
      </c>
      <c r="AB88" s="5" t="s">
        <v>245</v>
      </c>
      <c r="AC88" s="5"/>
      <c r="AD88" s="11" t="s">
        <v>493</v>
      </c>
      <c r="AE88" s="23" t="n">
        <v>0.9</v>
      </c>
      <c r="AF88" s="23" t="n">
        <v>0</v>
      </c>
      <c r="AG88" s="23" t="n">
        <v>1</v>
      </c>
      <c r="AH88" s="23" t="n">
        <v>1</v>
      </c>
      <c r="AI88" s="23" t="n">
        <v>1</v>
      </c>
      <c r="AJ88" s="23" t="n">
        <v>0.9108</v>
      </c>
      <c r="AK88" s="23" t="n">
        <v>0.5</v>
      </c>
      <c r="AL88" s="23" t="n">
        <v>0</v>
      </c>
      <c r="AM88" s="16" t="n">
        <f aca="false">COUNTIFS($D$2:$D$2501,D88,$G$2:$G$2501,"&gt;"&amp;G88)+COUNTIFS($D$2:D88,D88,$G$2:G88,G88)</f>
        <v>45</v>
      </c>
      <c r="AN88" s="5" t="str">
        <f aca="false">D88&amp;"|"&amp;AM88</f>
        <v>檢索與情資關聯|45</v>
      </c>
    </row>
    <row r="89" customFormat="false" ht="17.15" hidden="false" customHeight="false" outlineLevel="0" collapsed="false">
      <c r="A89" s="16" t="n">
        <f aca="false">RANK(G89,$G$2:$G$2501)+COUNTIF($G$2:G89,G89)-1</f>
        <v>88</v>
      </c>
      <c r="B89" s="11" t="s">
        <v>494</v>
      </c>
      <c r="C89" s="11" t="s">
        <v>349</v>
      </c>
      <c r="D89" s="11" t="s">
        <v>60</v>
      </c>
      <c r="E89" s="11" t="s">
        <v>61</v>
      </c>
      <c r="F89" s="11" t="s">
        <v>60</v>
      </c>
      <c r="G89" s="22" t="n">
        <f aca="false">ROUND(SUM(I89:P89),3)</f>
        <v>78.596</v>
      </c>
      <c r="H89" s="5" t="str">
        <f aca="false">IF(G89&gt;=評分方法!$C$16,"優先評估",IF(G89&gt;=評分方法!$C$17,"列入候選",IF(G89&gt;=評分方法!$C$18,"特定情境","不建議")))</f>
        <v>列入候選</v>
      </c>
      <c r="I89" s="15" t="n">
        <f aca="false">AE89*評分方法!$C$5</f>
        <v>25.5</v>
      </c>
      <c r="J89" s="15" t="n">
        <f aca="false">AF89*評分方法!$C$6</f>
        <v>10</v>
      </c>
      <c r="K89" s="15" t="n">
        <f aca="false">AG89*評分方法!$C$7</f>
        <v>15</v>
      </c>
      <c r="L89" s="15" t="n">
        <f aca="false">AH89*評分方法!$C$8</f>
        <v>15</v>
      </c>
      <c r="M89" s="15" t="n">
        <f aca="false">AI89*評分方法!$C$9</f>
        <v>10</v>
      </c>
      <c r="N89" s="15" t="n">
        <f aca="false">AJ89*評分方法!$C$10</f>
        <v>0.596</v>
      </c>
      <c r="O89" s="15" t="n">
        <f aca="false">AK89*評分方法!$C$11</f>
        <v>2.5</v>
      </c>
      <c r="P89" s="15" t="n">
        <f aca="false">AL89*評分方法!$C$12</f>
        <v>0</v>
      </c>
      <c r="Q89" s="6" t="n">
        <v>137873</v>
      </c>
      <c r="R89" s="6" t="n">
        <v>124439808</v>
      </c>
      <c r="S89" s="11" t="s">
        <v>238</v>
      </c>
      <c r="T89" s="11" t="s">
        <v>239</v>
      </c>
      <c r="U89" s="5" t="s">
        <v>240</v>
      </c>
      <c r="V89" s="11" t="s">
        <v>261</v>
      </c>
      <c r="W89" s="5" t="s">
        <v>205</v>
      </c>
      <c r="X89" s="5" t="s">
        <v>242</v>
      </c>
      <c r="Y89" s="11" t="s">
        <v>495</v>
      </c>
      <c r="Z89" s="11" t="s">
        <v>270</v>
      </c>
      <c r="AA89" s="11" t="s">
        <v>155</v>
      </c>
      <c r="AB89" s="5" t="s">
        <v>496</v>
      </c>
      <c r="AC89" s="5" t="s">
        <v>497</v>
      </c>
      <c r="AD89" s="11" t="s">
        <v>498</v>
      </c>
      <c r="AE89" s="23" t="n">
        <v>0.85</v>
      </c>
      <c r="AF89" s="23" t="n">
        <v>1</v>
      </c>
      <c r="AG89" s="23" t="n">
        <v>1</v>
      </c>
      <c r="AH89" s="23" t="n">
        <v>1</v>
      </c>
      <c r="AI89" s="23" t="n">
        <v>1</v>
      </c>
      <c r="AJ89" s="23" t="n">
        <v>0.0596</v>
      </c>
      <c r="AK89" s="23" t="n">
        <v>0.5</v>
      </c>
      <c r="AL89" s="23" t="n">
        <v>0</v>
      </c>
      <c r="AM89" s="16" t="n">
        <f aca="false">COUNTIFS($D$2:$D$2501,D89,$G$2:$G$2501,"&gt;"&amp;G89)+COUNTIFS($D$2:D89,D89,$G$2:G89,G89)</f>
        <v>2</v>
      </c>
      <c r="AN89" s="5" t="str">
        <f aca="false">D89&amp;"|"&amp;AM89</f>
        <v>AI 紅隊評估|2</v>
      </c>
    </row>
    <row r="90" customFormat="false" ht="17.15" hidden="false" customHeight="false" outlineLevel="0" collapsed="false">
      <c r="A90" s="16" t="n">
        <f aca="false">RANK(G90,$G$2:$G$2501)+COUNTIF($G$2:G90,G90)-1</f>
        <v>89</v>
      </c>
      <c r="B90" s="11" t="s">
        <v>499</v>
      </c>
      <c r="C90" s="11" t="s">
        <v>338</v>
      </c>
      <c r="D90" s="5" t="s">
        <v>56</v>
      </c>
      <c r="E90" s="5" t="s">
        <v>57</v>
      </c>
      <c r="F90" s="5"/>
      <c r="G90" s="22" t="n">
        <f aca="false">ROUND(SUM(I90:P90),3)</f>
        <v>78.582</v>
      </c>
      <c r="H90" s="5" t="str">
        <f aca="false">IF(G90&gt;=評分方法!$C$16,"優先評估",IF(G90&gt;=評分方法!$C$17,"列入候選",IF(G90&gt;=評分方法!$C$18,"特定情境","不建議")))</f>
        <v>列入候選</v>
      </c>
      <c r="I90" s="15" t="n">
        <f aca="false">AE90*評分方法!$C$5</f>
        <v>25.5</v>
      </c>
      <c r="J90" s="15" t="n">
        <f aca="false">AF90*評分方法!$C$6</f>
        <v>0</v>
      </c>
      <c r="K90" s="15" t="n">
        <f aca="false">AG90*評分方法!$C$7</f>
        <v>15</v>
      </c>
      <c r="L90" s="15" t="n">
        <f aca="false">AH90*評分方法!$C$8</f>
        <v>13.05</v>
      </c>
      <c r="M90" s="15" t="n">
        <f aca="false">AI90*評分方法!$C$9</f>
        <v>10</v>
      </c>
      <c r="N90" s="15" t="n">
        <f aca="false">AJ90*評分方法!$C$10</f>
        <v>5.032</v>
      </c>
      <c r="O90" s="15" t="n">
        <f aca="false">AK90*評分方法!$C$11</f>
        <v>5</v>
      </c>
      <c r="P90" s="15" t="n">
        <f aca="false">AL90*評分方法!$C$12</f>
        <v>5</v>
      </c>
      <c r="Q90" s="6" t="n">
        <v>542586</v>
      </c>
      <c r="R90" s="6" t="n">
        <v>4251743232</v>
      </c>
      <c r="S90" s="11" t="s">
        <v>254</v>
      </c>
      <c r="T90" s="11" t="s">
        <v>239</v>
      </c>
      <c r="U90" s="5" t="s">
        <v>240</v>
      </c>
      <c r="V90" s="11" t="s">
        <v>261</v>
      </c>
      <c r="W90" s="5" t="s">
        <v>205</v>
      </c>
      <c r="X90" s="5" t="s">
        <v>284</v>
      </c>
      <c r="Y90" s="11" t="s">
        <v>339</v>
      </c>
      <c r="Z90" s="11" t="s">
        <v>270</v>
      </c>
      <c r="AA90" s="11" t="s">
        <v>155</v>
      </c>
      <c r="AB90" s="5" t="s">
        <v>328</v>
      </c>
      <c r="AC90" s="5" t="s">
        <v>400</v>
      </c>
      <c r="AD90" s="11" t="s">
        <v>500</v>
      </c>
      <c r="AE90" s="23" t="n">
        <v>0.85</v>
      </c>
      <c r="AF90" s="23" t="n">
        <v>0</v>
      </c>
      <c r="AG90" s="23" t="n">
        <v>1</v>
      </c>
      <c r="AH90" s="23" t="n">
        <v>0.87</v>
      </c>
      <c r="AI90" s="23" t="n">
        <v>1</v>
      </c>
      <c r="AJ90" s="23" t="n">
        <v>0.5032</v>
      </c>
      <c r="AK90" s="23" t="n">
        <v>1</v>
      </c>
      <c r="AL90" s="23" t="n">
        <v>1</v>
      </c>
      <c r="AM90" s="16" t="n">
        <f aca="false">COUNTIFS($D$2:$D$2501,D90,$G$2:$G$2501,"&gt;"&amp;G90)+COUNTIFS($D$2:D90,D90,$G$2:G90,G90)</f>
        <v>17</v>
      </c>
      <c r="AN90" s="5" t="str">
        <f aca="false">D90&amp;"|"&amp;AM90</f>
        <v>分析與報告生成|17</v>
      </c>
    </row>
    <row r="91" customFormat="false" ht="17.15" hidden="false" customHeight="false" outlineLevel="0" collapsed="false">
      <c r="A91" s="16" t="n">
        <f aca="false">RANK(G91,$G$2:$G$2501)+COUNTIF($G$2:G91,G91)-1</f>
        <v>90</v>
      </c>
      <c r="B91" s="11" t="s">
        <v>501</v>
      </c>
      <c r="C91" s="11" t="s">
        <v>299</v>
      </c>
      <c r="D91" s="11" t="s">
        <v>46</v>
      </c>
      <c r="E91" s="11" t="s">
        <v>47</v>
      </c>
      <c r="F91" s="11" t="s">
        <v>46</v>
      </c>
      <c r="G91" s="22" t="n">
        <f aca="false">ROUND(SUM(I91:P91),3)</f>
        <v>78.558</v>
      </c>
      <c r="H91" s="5" t="str">
        <f aca="false">IF(G91&gt;=評分方法!$C$16,"優先評估",IF(G91&gt;=評分方法!$C$17,"列入候選",IF(G91&gt;=評分方法!$C$18,"特定情境","不建議")))</f>
        <v>列入候選</v>
      </c>
      <c r="I91" s="15" t="n">
        <f aca="false">AE91*評分方法!$C$5</f>
        <v>25.5</v>
      </c>
      <c r="J91" s="15" t="n">
        <f aca="false">AF91*評分方法!$C$6</f>
        <v>10</v>
      </c>
      <c r="K91" s="15" t="n">
        <f aca="false">AG91*評分方法!$C$7</f>
        <v>15</v>
      </c>
      <c r="L91" s="15" t="n">
        <f aca="false">AH91*評分方法!$C$8</f>
        <v>13.05</v>
      </c>
      <c r="M91" s="15" t="n">
        <f aca="false">AI91*評分方法!$C$9</f>
        <v>10</v>
      </c>
      <c r="N91" s="15" t="n">
        <f aca="false">AJ91*評分方法!$C$10</f>
        <v>2.508</v>
      </c>
      <c r="O91" s="15" t="n">
        <f aca="false">AK91*評分方法!$C$11</f>
        <v>2.5</v>
      </c>
      <c r="P91" s="15" t="n">
        <f aca="false">AL91*評分方法!$C$12</f>
        <v>0</v>
      </c>
      <c r="Q91" s="6" t="n">
        <v>250352</v>
      </c>
      <c r="R91" s="6" t="n">
        <v>8170864640</v>
      </c>
      <c r="S91" s="11" t="s">
        <v>254</v>
      </c>
      <c r="T91" s="11" t="s">
        <v>239</v>
      </c>
      <c r="U91" s="5" t="s">
        <v>240</v>
      </c>
      <c r="V91" s="11" t="s">
        <v>261</v>
      </c>
      <c r="W91" s="5" t="s">
        <v>205</v>
      </c>
      <c r="X91" s="5" t="s">
        <v>242</v>
      </c>
      <c r="Y91" s="5"/>
      <c r="Z91" s="5"/>
      <c r="AA91" s="11" t="s">
        <v>155</v>
      </c>
      <c r="AB91" s="5" t="s">
        <v>245</v>
      </c>
      <c r="AC91" s="5"/>
      <c r="AD91" s="11" t="s">
        <v>502</v>
      </c>
      <c r="AE91" s="23" t="n">
        <v>0.85</v>
      </c>
      <c r="AF91" s="23" t="n">
        <v>1</v>
      </c>
      <c r="AG91" s="23" t="n">
        <v>1</v>
      </c>
      <c r="AH91" s="23" t="n">
        <v>0.87</v>
      </c>
      <c r="AI91" s="23" t="n">
        <v>1</v>
      </c>
      <c r="AJ91" s="23" t="n">
        <v>0.2508</v>
      </c>
      <c r="AK91" s="23" t="n">
        <v>0.5</v>
      </c>
      <c r="AL91" s="23" t="n">
        <v>0</v>
      </c>
      <c r="AM91" s="16" t="n">
        <f aca="false">COUNTIFS($D$2:$D$2501,D91,$G$2:$G$2501,"&gt;"&amp;G91)+COUNTIFS($D$2:D91,D91,$G$2:G91,G91)</f>
        <v>10</v>
      </c>
      <c r="AN91" s="5" t="str">
        <f aca="false">D91&amp;"|"&amp;AM91</f>
        <v>AI 應用防護|10</v>
      </c>
    </row>
    <row r="92" customFormat="false" ht="17.15" hidden="false" customHeight="false" outlineLevel="0" collapsed="false">
      <c r="A92" s="16" t="n">
        <f aca="false">RANK(G92,$G$2:$G$2501)+COUNTIF($G$2:G92,G92)-1</f>
        <v>91</v>
      </c>
      <c r="B92" s="11" t="s">
        <v>503</v>
      </c>
      <c r="C92" s="11" t="s">
        <v>382</v>
      </c>
      <c r="D92" s="5" t="s">
        <v>54</v>
      </c>
      <c r="E92" s="5" t="s">
        <v>55</v>
      </c>
      <c r="F92" s="5"/>
      <c r="G92" s="22" t="n">
        <f aca="false">ROUND(SUM(I92:P92),3)</f>
        <v>78.528</v>
      </c>
      <c r="H92" s="5" t="str">
        <f aca="false">IF(G92&gt;=評分方法!$C$16,"優先評估",IF(G92&gt;=評分方法!$C$17,"列入候選",IF(G92&gt;=評分方法!$C$18,"特定情境","不建議")))</f>
        <v>列入候選</v>
      </c>
      <c r="I92" s="15" t="n">
        <f aca="false">AE92*評分方法!$C$5</f>
        <v>27</v>
      </c>
      <c r="J92" s="15" t="n">
        <f aca="false">AF92*評分方法!$C$6</f>
        <v>0</v>
      </c>
      <c r="K92" s="15" t="n">
        <f aca="false">AG92*評分方法!$C$7</f>
        <v>15</v>
      </c>
      <c r="L92" s="15" t="n">
        <f aca="false">AH92*評分方法!$C$8</f>
        <v>15</v>
      </c>
      <c r="M92" s="15" t="n">
        <f aca="false">AI92*評分方法!$C$9</f>
        <v>10</v>
      </c>
      <c r="N92" s="15" t="n">
        <f aca="false">AJ92*評分方法!$C$10</f>
        <v>9.028</v>
      </c>
      <c r="O92" s="15" t="n">
        <f aca="false">AK92*評分方法!$C$11</f>
        <v>2.5</v>
      </c>
      <c r="P92" s="15" t="n">
        <f aca="false">AL92*評分方法!$C$12</f>
        <v>0</v>
      </c>
      <c r="Q92" s="6" t="n">
        <v>3989372</v>
      </c>
      <c r="R92" s="6" t="n">
        <v>70830337</v>
      </c>
      <c r="S92" s="11" t="s">
        <v>238</v>
      </c>
      <c r="T92" s="11" t="s">
        <v>239</v>
      </c>
      <c r="U92" s="5" t="s">
        <v>240</v>
      </c>
      <c r="V92" s="11" t="s">
        <v>241</v>
      </c>
      <c r="W92" s="5" t="s">
        <v>205</v>
      </c>
      <c r="X92" s="5" t="s">
        <v>242</v>
      </c>
      <c r="Y92" s="5"/>
      <c r="Z92" s="5"/>
      <c r="AA92" s="11" t="s">
        <v>154</v>
      </c>
      <c r="AB92" s="5" t="s">
        <v>245</v>
      </c>
      <c r="AC92" s="5"/>
      <c r="AD92" s="11" t="s">
        <v>504</v>
      </c>
      <c r="AE92" s="23" t="n">
        <v>0.9</v>
      </c>
      <c r="AF92" s="23" t="n">
        <v>0</v>
      </c>
      <c r="AG92" s="23" t="n">
        <v>1</v>
      </c>
      <c r="AH92" s="23" t="n">
        <v>1</v>
      </c>
      <c r="AI92" s="23" t="n">
        <v>1</v>
      </c>
      <c r="AJ92" s="23" t="n">
        <v>0.9028</v>
      </c>
      <c r="AK92" s="23" t="n">
        <v>0.5</v>
      </c>
      <c r="AL92" s="23" t="n">
        <v>0</v>
      </c>
      <c r="AM92" s="16" t="n">
        <f aca="false">COUNTIFS($D$2:$D$2501,D92,$G$2:$G$2501,"&gt;"&amp;G92)+COUNTIFS($D$2:D92,D92,$G$2:G92,G92)</f>
        <v>46</v>
      </c>
      <c r="AN92" s="5" t="str">
        <f aca="false">D92&amp;"|"&amp;AM92</f>
        <v>檢索與情資關聯|46</v>
      </c>
    </row>
    <row r="93" customFormat="false" ht="17.15" hidden="false" customHeight="false" outlineLevel="0" collapsed="false">
      <c r="A93" s="16" t="n">
        <f aca="false">RANK(G93,$G$2:$G$2501)+COUNTIF($G$2:G93,G93)-1</f>
        <v>92</v>
      </c>
      <c r="B93" s="11" t="s">
        <v>505</v>
      </c>
      <c r="C93" s="11" t="s">
        <v>402</v>
      </c>
      <c r="D93" s="5" t="s">
        <v>48</v>
      </c>
      <c r="E93" s="5" t="s">
        <v>49</v>
      </c>
      <c r="F93" s="5" t="s">
        <v>48</v>
      </c>
      <c r="G93" s="22" t="n">
        <f aca="false">ROUND(SUM(I93:P93),3)</f>
        <v>78.516</v>
      </c>
      <c r="H93" s="5" t="str">
        <f aca="false">IF(G93&gt;=評分方法!$C$16,"優先評估",IF(G93&gt;=評分方法!$C$17,"列入候選",IF(G93&gt;=評分方法!$C$18,"特定情境","不建議")))</f>
        <v>列入候選</v>
      </c>
      <c r="I93" s="15" t="n">
        <f aca="false">AE93*評分方法!$C$5</f>
        <v>28.5</v>
      </c>
      <c r="J93" s="15" t="n">
        <f aca="false">AF93*評分方法!$C$6</f>
        <v>10</v>
      </c>
      <c r="K93" s="15" t="n">
        <f aca="false">AG93*評分方法!$C$7</f>
        <v>4.95</v>
      </c>
      <c r="L93" s="15" t="n">
        <f aca="false">AH93*評分方法!$C$8</f>
        <v>13.05</v>
      </c>
      <c r="M93" s="15" t="n">
        <f aca="false">AI93*評分方法!$C$9</f>
        <v>10</v>
      </c>
      <c r="N93" s="15" t="n">
        <f aca="false">AJ93*評分方法!$C$10</f>
        <v>2.016</v>
      </c>
      <c r="O93" s="15" t="n">
        <f aca="false">AK93*評分方法!$C$11</f>
        <v>5</v>
      </c>
      <c r="P93" s="15" t="n">
        <f aca="false">AL93*評分方法!$C$12</f>
        <v>5</v>
      </c>
      <c r="Q93" s="6" t="n">
        <v>212123</v>
      </c>
      <c r="R93" s="6" t="n">
        <v>1399604809</v>
      </c>
      <c r="S93" s="11" t="s">
        <v>254</v>
      </c>
      <c r="T93" s="11" t="s">
        <v>239</v>
      </c>
      <c r="U93" s="5" t="s">
        <v>240</v>
      </c>
      <c r="V93" s="11" t="s">
        <v>261</v>
      </c>
      <c r="W93" s="5" t="s">
        <v>334</v>
      </c>
      <c r="X93" s="5" t="s">
        <v>284</v>
      </c>
      <c r="Y93" s="11" t="s">
        <v>252</v>
      </c>
      <c r="Z93" s="11" t="s">
        <v>270</v>
      </c>
      <c r="AA93" s="11" t="s">
        <v>150</v>
      </c>
      <c r="AB93" s="5" t="s">
        <v>245</v>
      </c>
      <c r="AC93" s="5"/>
      <c r="AD93" s="11" t="s">
        <v>506</v>
      </c>
      <c r="AE93" s="23" t="n">
        <v>0.95</v>
      </c>
      <c r="AF93" s="23" t="n">
        <v>1</v>
      </c>
      <c r="AG93" s="23" t="n">
        <v>0.33</v>
      </c>
      <c r="AH93" s="23" t="n">
        <v>0.87</v>
      </c>
      <c r="AI93" s="23" t="n">
        <v>1</v>
      </c>
      <c r="AJ93" s="23" t="n">
        <v>0.2016</v>
      </c>
      <c r="AK93" s="23" t="n">
        <v>1</v>
      </c>
      <c r="AL93" s="23" t="n">
        <v>1</v>
      </c>
      <c r="AM93" s="16" t="n">
        <f aca="false">COUNTIFS($D$2:$D$2501,D93,$G$2:$G$2501,"&gt;"&amp;G93)+COUNTIFS($D$2:D93,D93,$G$2:G93,G93)</f>
        <v>8</v>
      </c>
      <c r="AN93" s="5" t="str">
        <f aca="false">D93&amp;"|"&amp;AM93</f>
        <v>個資偵測與去識別化|8</v>
      </c>
    </row>
    <row r="94" customFormat="false" ht="17.15" hidden="false" customHeight="false" outlineLevel="0" collapsed="false">
      <c r="A94" s="16" t="n">
        <f aca="false">RANK(G94,$G$2:$G$2501)+COUNTIF($G$2:G94,G94)-1</f>
        <v>93</v>
      </c>
      <c r="B94" s="11" t="s">
        <v>426</v>
      </c>
      <c r="C94" s="11" t="s">
        <v>368</v>
      </c>
      <c r="D94" s="5" t="s">
        <v>56</v>
      </c>
      <c r="E94" s="5" t="s">
        <v>57</v>
      </c>
      <c r="F94" s="5"/>
      <c r="G94" s="22" t="n">
        <f aca="false">ROUND(SUM(I94:P94),3)</f>
        <v>78.502</v>
      </c>
      <c r="H94" s="5" t="str">
        <f aca="false">IF(G94&gt;=評分方法!$C$16,"優先評估",IF(G94&gt;=評分方法!$C$17,"列入候選",IF(G94&gt;=評分方法!$C$18,"特定情境","不建議")))</f>
        <v>列入候選</v>
      </c>
      <c r="I94" s="15" t="n">
        <f aca="false">AE94*評分方法!$C$5</f>
        <v>24</v>
      </c>
      <c r="J94" s="15" t="n">
        <f aca="false">AF94*評分方法!$C$6</f>
        <v>0</v>
      </c>
      <c r="K94" s="15" t="n">
        <f aca="false">AG94*評分方法!$C$7</f>
        <v>15</v>
      </c>
      <c r="L94" s="15" t="n">
        <f aca="false">AH94*評分方法!$C$8</f>
        <v>13.05</v>
      </c>
      <c r="M94" s="15" t="n">
        <f aca="false">AI94*評分方法!$C$9</f>
        <v>10</v>
      </c>
      <c r="N94" s="15" t="n">
        <f aca="false">AJ94*評分方法!$C$10</f>
        <v>8.452</v>
      </c>
      <c r="O94" s="15" t="n">
        <f aca="false">AK94*評分方法!$C$11</f>
        <v>5</v>
      </c>
      <c r="P94" s="15" t="n">
        <f aca="false">AL94*評分方法!$C$12</f>
        <v>3</v>
      </c>
      <c r="Q94" s="6" t="n">
        <v>2125757</v>
      </c>
      <c r="R94" s="6" t="n">
        <v>5123178051</v>
      </c>
      <c r="S94" s="11" t="s">
        <v>254</v>
      </c>
      <c r="T94" s="11" t="s">
        <v>239</v>
      </c>
      <c r="U94" s="5" t="s">
        <v>240</v>
      </c>
      <c r="V94" s="11" t="s">
        <v>261</v>
      </c>
      <c r="W94" s="5" t="s">
        <v>205</v>
      </c>
      <c r="X94" s="5" t="s">
        <v>371</v>
      </c>
      <c r="Y94" s="5"/>
      <c r="Z94" s="5"/>
      <c r="AA94" s="11" t="s">
        <v>157</v>
      </c>
      <c r="AB94" s="5" t="s">
        <v>245</v>
      </c>
      <c r="AC94" s="5"/>
      <c r="AD94" s="11" t="s">
        <v>507</v>
      </c>
      <c r="AE94" s="23" t="n">
        <v>0.8</v>
      </c>
      <c r="AF94" s="23" t="n">
        <v>0</v>
      </c>
      <c r="AG94" s="23" t="n">
        <v>1</v>
      </c>
      <c r="AH94" s="23" t="n">
        <v>0.87</v>
      </c>
      <c r="AI94" s="23" t="n">
        <v>1</v>
      </c>
      <c r="AJ94" s="23" t="n">
        <v>0.8452</v>
      </c>
      <c r="AK94" s="23" t="n">
        <v>1</v>
      </c>
      <c r="AL94" s="23" t="n">
        <v>0.6</v>
      </c>
      <c r="AM94" s="16" t="n">
        <f aca="false">COUNTIFS($D$2:$D$2501,D94,$G$2:$G$2501,"&gt;"&amp;G94)+COUNTIFS($D$2:D94,D94,$G$2:G94,G94)</f>
        <v>18</v>
      </c>
      <c r="AN94" s="5" t="str">
        <f aca="false">D94&amp;"|"&amp;AM94</f>
        <v>分析與報告生成|18</v>
      </c>
    </row>
    <row r="95" customFormat="false" ht="17.15" hidden="false" customHeight="false" outlineLevel="0" collapsed="false">
      <c r="A95" s="16" t="n">
        <f aca="false">RANK(G95,$G$2:$G$2501)+COUNTIF($G$2:G95,G95)-1</f>
        <v>94</v>
      </c>
      <c r="B95" s="11" t="s">
        <v>508</v>
      </c>
      <c r="C95" s="11" t="s">
        <v>368</v>
      </c>
      <c r="D95" s="5" t="s">
        <v>56</v>
      </c>
      <c r="E95" s="5" t="s">
        <v>57</v>
      </c>
      <c r="F95" s="5"/>
      <c r="G95" s="22" t="n">
        <f aca="false">ROUND(SUM(I95:P95),3)</f>
        <v>78.346</v>
      </c>
      <c r="H95" s="5" t="str">
        <f aca="false">IF(G95&gt;=評分方法!$C$16,"優先評估",IF(G95&gt;=評分方法!$C$17,"列入候選",IF(G95&gt;=評分方法!$C$18,"特定情境","不建議")))</f>
        <v>列入候選</v>
      </c>
      <c r="I95" s="15" t="n">
        <f aca="false">AE95*評分方法!$C$5</f>
        <v>24</v>
      </c>
      <c r="J95" s="15" t="n">
        <f aca="false">AF95*評分方法!$C$6</f>
        <v>0</v>
      </c>
      <c r="K95" s="15" t="n">
        <f aca="false">AG95*評分方法!$C$7</f>
        <v>15</v>
      </c>
      <c r="L95" s="15" t="n">
        <f aca="false">AH95*評分方法!$C$8</f>
        <v>13.05</v>
      </c>
      <c r="M95" s="15" t="n">
        <f aca="false">AI95*評分方法!$C$9</f>
        <v>10</v>
      </c>
      <c r="N95" s="15" t="n">
        <f aca="false">AJ95*評分方法!$C$10</f>
        <v>8.296</v>
      </c>
      <c r="O95" s="15" t="n">
        <f aca="false">AK95*評分方法!$C$11</f>
        <v>5</v>
      </c>
      <c r="P95" s="15" t="n">
        <f aca="false">AL95*評分方法!$C$12</f>
        <v>3</v>
      </c>
      <c r="Q95" s="6" t="n">
        <v>1931454</v>
      </c>
      <c r="R95" s="6" t="n">
        <v>5506950723</v>
      </c>
      <c r="S95" s="11" t="s">
        <v>254</v>
      </c>
      <c r="T95" s="11" t="s">
        <v>239</v>
      </c>
      <c r="U95" s="5" t="s">
        <v>240</v>
      </c>
      <c r="V95" s="11" t="s">
        <v>261</v>
      </c>
      <c r="W95" s="5" t="s">
        <v>205</v>
      </c>
      <c r="X95" s="5" t="s">
        <v>371</v>
      </c>
      <c r="Y95" s="11" t="s">
        <v>509</v>
      </c>
      <c r="Z95" s="11" t="s">
        <v>244</v>
      </c>
      <c r="AA95" s="11" t="s">
        <v>157</v>
      </c>
      <c r="AB95" s="5" t="s">
        <v>245</v>
      </c>
      <c r="AC95" s="5" t="s">
        <v>246</v>
      </c>
      <c r="AD95" s="11" t="s">
        <v>510</v>
      </c>
      <c r="AE95" s="23" t="n">
        <v>0.8</v>
      </c>
      <c r="AF95" s="23" t="n">
        <v>0</v>
      </c>
      <c r="AG95" s="23" t="n">
        <v>1</v>
      </c>
      <c r="AH95" s="23" t="n">
        <v>0.87</v>
      </c>
      <c r="AI95" s="23" t="n">
        <v>1</v>
      </c>
      <c r="AJ95" s="23" t="n">
        <v>0.8296</v>
      </c>
      <c r="AK95" s="23" t="n">
        <v>1</v>
      </c>
      <c r="AL95" s="23" t="n">
        <v>0.6</v>
      </c>
      <c r="AM95" s="16" t="n">
        <f aca="false">COUNTIFS($D$2:$D$2501,D95,$G$2:$G$2501,"&gt;"&amp;G95)+COUNTIFS($D$2:D95,D95,$G$2:G95,G95)</f>
        <v>19</v>
      </c>
      <c r="AN95" s="5" t="str">
        <f aca="false">D95&amp;"|"&amp;AM95</f>
        <v>分析與報告生成|19</v>
      </c>
    </row>
    <row r="96" customFormat="false" ht="17.15" hidden="false" customHeight="false" outlineLevel="0" collapsed="false">
      <c r="A96" s="16" t="n">
        <f aca="false">RANK(G96,$G$2:$G$2501)+COUNTIF($G$2:G96,G96)-1</f>
        <v>95</v>
      </c>
      <c r="B96" s="11" t="s">
        <v>511</v>
      </c>
      <c r="C96" s="11" t="s">
        <v>368</v>
      </c>
      <c r="D96" s="5" t="s">
        <v>56</v>
      </c>
      <c r="E96" s="5" t="s">
        <v>57</v>
      </c>
      <c r="F96" s="5"/>
      <c r="G96" s="22" t="n">
        <f aca="false">ROUND(SUM(I96:P96),3)</f>
        <v>78.326</v>
      </c>
      <c r="H96" s="5" t="str">
        <f aca="false">IF(G96&gt;=評分方法!$C$16,"優先評估",IF(G96&gt;=評分方法!$C$17,"列入候選",IF(G96&gt;=評分方法!$C$18,"特定情境","不建議")))</f>
        <v>列入候選</v>
      </c>
      <c r="I96" s="15" t="n">
        <f aca="false">AE96*評分方法!$C$5</f>
        <v>24</v>
      </c>
      <c r="J96" s="15" t="n">
        <f aca="false">AF96*評分方法!$C$6</f>
        <v>0</v>
      </c>
      <c r="K96" s="15" t="n">
        <f aca="false">AG96*評分方法!$C$7</f>
        <v>15</v>
      </c>
      <c r="L96" s="15" t="n">
        <f aca="false">AH96*評分方法!$C$8</f>
        <v>13.05</v>
      </c>
      <c r="M96" s="15" t="n">
        <f aca="false">AI96*評分方法!$C$9</f>
        <v>10</v>
      </c>
      <c r="N96" s="15" t="n">
        <f aca="false">AJ96*評分方法!$C$10</f>
        <v>8.276</v>
      </c>
      <c r="O96" s="15" t="n">
        <f aca="false">AK96*評分方法!$C$11</f>
        <v>5</v>
      </c>
      <c r="P96" s="15" t="n">
        <f aca="false">AL96*評分方法!$C$12</f>
        <v>3</v>
      </c>
      <c r="Q96" s="6" t="n">
        <v>1923768</v>
      </c>
      <c r="R96" s="6" t="n">
        <v>8612189514</v>
      </c>
      <c r="S96" s="11" t="s">
        <v>254</v>
      </c>
      <c r="T96" s="11" t="s">
        <v>239</v>
      </c>
      <c r="U96" s="5" t="s">
        <v>240</v>
      </c>
      <c r="V96" s="11" t="s">
        <v>261</v>
      </c>
      <c r="W96" s="5" t="s">
        <v>205</v>
      </c>
      <c r="X96" s="5" t="s">
        <v>371</v>
      </c>
      <c r="Y96" s="11" t="s">
        <v>486</v>
      </c>
      <c r="Z96" s="11" t="s">
        <v>244</v>
      </c>
      <c r="AA96" s="11" t="s">
        <v>157</v>
      </c>
      <c r="AB96" s="5" t="s">
        <v>245</v>
      </c>
      <c r="AC96" s="5" t="s">
        <v>246</v>
      </c>
      <c r="AD96" s="11" t="s">
        <v>512</v>
      </c>
      <c r="AE96" s="23" t="n">
        <v>0.8</v>
      </c>
      <c r="AF96" s="23" t="n">
        <v>0</v>
      </c>
      <c r="AG96" s="23" t="n">
        <v>1</v>
      </c>
      <c r="AH96" s="23" t="n">
        <v>0.87</v>
      </c>
      <c r="AI96" s="23" t="n">
        <v>1</v>
      </c>
      <c r="AJ96" s="23" t="n">
        <v>0.8276</v>
      </c>
      <c r="AK96" s="23" t="n">
        <v>1</v>
      </c>
      <c r="AL96" s="23" t="n">
        <v>0.6</v>
      </c>
      <c r="AM96" s="16" t="n">
        <f aca="false">COUNTIFS($D$2:$D$2501,D96,$G$2:$G$2501,"&gt;"&amp;G96)+COUNTIFS($D$2:D96,D96,$G$2:G96,G96)</f>
        <v>20</v>
      </c>
      <c r="AN96" s="5" t="str">
        <f aca="false">D96&amp;"|"&amp;AM96</f>
        <v>分析與報告生成|20</v>
      </c>
    </row>
    <row r="97" customFormat="false" ht="17.15" hidden="false" customHeight="false" outlineLevel="0" collapsed="false">
      <c r="A97" s="16" t="n">
        <f aca="false">RANK(G97,$G$2:$G$2501)+COUNTIF($G$2:G97,G97)-1</f>
        <v>96</v>
      </c>
      <c r="B97" s="11" t="s">
        <v>513</v>
      </c>
      <c r="C97" s="11" t="s">
        <v>237</v>
      </c>
      <c r="D97" s="5" t="s">
        <v>66</v>
      </c>
      <c r="E97" s="5" t="s">
        <v>67</v>
      </c>
      <c r="F97" s="5"/>
      <c r="G97" s="22" t="n">
        <f aca="false">ROUND(SUM(I97:P97),3)</f>
        <v>78.266</v>
      </c>
      <c r="H97" s="5" t="str">
        <f aca="false">IF(G97&gt;=評分方法!$C$16,"優先評估",IF(G97&gt;=評分方法!$C$17,"列入候選",IF(G97&gt;=評分方法!$C$18,"特定情境","不建議")))</f>
        <v>列入候選</v>
      </c>
      <c r="I97" s="15" t="n">
        <f aca="false">AE97*評分方法!$C$5</f>
        <v>30</v>
      </c>
      <c r="J97" s="15" t="n">
        <f aca="false">AF97*評分方法!$C$6</f>
        <v>0</v>
      </c>
      <c r="K97" s="15" t="n">
        <f aca="false">AG97*評分方法!$C$7</f>
        <v>15</v>
      </c>
      <c r="L97" s="15" t="n">
        <f aca="false">AH97*評分方法!$C$8</f>
        <v>7.05</v>
      </c>
      <c r="M97" s="15" t="n">
        <f aca="false">AI97*評分方法!$C$9</f>
        <v>10</v>
      </c>
      <c r="N97" s="15" t="n">
        <f aca="false">AJ97*評分方法!$C$10</f>
        <v>6.216</v>
      </c>
      <c r="O97" s="15" t="n">
        <f aca="false">AK97*評分方法!$C$11</f>
        <v>5</v>
      </c>
      <c r="P97" s="15" t="n">
        <f aca="false">AL97*評分方法!$C$12</f>
        <v>5</v>
      </c>
      <c r="Q97" s="6" t="n">
        <v>672586</v>
      </c>
      <c r="R97" s="6"/>
      <c r="S97" s="5" t="s">
        <v>255</v>
      </c>
      <c r="T97" s="11" t="s">
        <v>278</v>
      </c>
      <c r="U97" s="5" t="s">
        <v>240</v>
      </c>
      <c r="V97" s="11" t="s">
        <v>514</v>
      </c>
      <c r="W97" s="5" t="s">
        <v>205</v>
      </c>
      <c r="X97" s="5" t="s">
        <v>284</v>
      </c>
      <c r="Y97" s="11" t="s">
        <v>515</v>
      </c>
      <c r="Z97" s="11" t="s">
        <v>244</v>
      </c>
      <c r="AA97" s="11" t="s">
        <v>149</v>
      </c>
      <c r="AB97" s="5" t="s">
        <v>245</v>
      </c>
      <c r="AC97" s="5" t="s">
        <v>246</v>
      </c>
      <c r="AD97" s="11" t="s">
        <v>516</v>
      </c>
      <c r="AE97" s="23" t="n">
        <v>1</v>
      </c>
      <c r="AF97" s="23" t="n">
        <v>0</v>
      </c>
      <c r="AG97" s="23" t="n">
        <v>1</v>
      </c>
      <c r="AH97" s="23" t="n">
        <v>0.47</v>
      </c>
      <c r="AI97" s="23" t="n">
        <v>1</v>
      </c>
      <c r="AJ97" s="23" t="n">
        <v>0.6216</v>
      </c>
      <c r="AK97" s="23" t="n">
        <v>1</v>
      </c>
      <c r="AL97" s="23" t="n">
        <v>1</v>
      </c>
      <c r="AM97" s="16" t="n">
        <f aca="false">COUNTIFS($D$2:$D$2501,D97,$G$2:$G$2501,"&gt;"&amp;G97)+COUNTIFS($D$2:D97,D97,$G$2:G97,G97)</f>
        <v>1</v>
      </c>
      <c r="AN97" s="5" t="str">
        <f aca="false">D97&amp;"|"&amp;AM97</f>
        <v>分類與偵測|1</v>
      </c>
    </row>
    <row r="98" customFormat="false" ht="17.15" hidden="false" customHeight="false" outlineLevel="0" collapsed="false">
      <c r="A98" s="16" t="n">
        <f aca="false">RANK(G98,$G$2:$G$2501)+COUNTIF($G$2:G98,G98)-1</f>
        <v>97</v>
      </c>
      <c r="B98" s="11" t="s">
        <v>517</v>
      </c>
      <c r="C98" s="11" t="s">
        <v>302</v>
      </c>
      <c r="D98" s="5" t="s">
        <v>66</v>
      </c>
      <c r="E98" s="5" t="s">
        <v>67</v>
      </c>
      <c r="F98" s="5"/>
      <c r="G98" s="22" t="n">
        <f aca="false">ROUND(SUM(I98:P98),3)</f>
        <v>78.26</v>
      </c>
      <c r="H98" s="5" t="str">
        <f aca="false">IF(G98&gt;=評分方法!$C$16,"優先評估",IF(G98&gt;=評分方法!$C$17,"列入候選",IF(G98&gt;=評分方法!$C$18,"特定情境","不建議")))</f>
        <v>列入候選</v>
      </c>
      <c r="I98" s="15" t="n">
        <f aca="false">AE98*評分方法!$C$5</f>
        <v>27</v>
      </c>
      <c r="J98" s="15" t="n">
        <f aca="false">AF98*評分方法!$C$6</f>
        <v>0</v>
      </c>
      <c r="K98" s="15" t="n">
        <f aca="false">AG98*評分方法!$C$7</f>
        <v>15</v>
      </c>
      <c r="L98" s="15" t="n">
        <f aca="false">AH98*評分方法!$C$8</f>
        <v>15</v>
      </c>
      <c r="M98" s="15" t="n">
        <f aca="false">AI98*評分方法!$C$9</f>
        <v>10</v>
      </c>
      <c r="N98" s="15" t="n">
        <f aca="false">AJ98*評分方法!$C$10</f>
        <v>8.76</v>
      </c>
      <c r="O98" s="15" t="n">
        <f aca="false">AK98*評分方法!$C$11</f>
        <v>2.5</v>
      </c>
      <c r="P98" s="15" t="n">
        <f aca="false">AL98*評分方法!$C$12</f>
        <v>0</v>
      </c>
      <c r="Q98" s="6" t="n">
        <v>2913723</v>
      </c>
      <c r="R98" s="6" t="n">
        <v>141897731</v>
      </c>
      <c r="S98" s="11" t="s">
        <v>238</v>
      </c>
      <c r="T98" s="11" t="s">
        <v>239</v>
      </c>
      <c r="U98" s="5" t="s">
        <v>240</v>
      </c>
      <c r="V98" s="11" t="s">
        <v>288</v>
      </c>
      <c r="W98" s="5" t="s">
        <v>205</v>
      </c>
      <c r="X98" s="5" t="s">
        <v>242</v>
      </c>
      <c r="Y98" s="11" t="s">
        <v>474</v>
      </c>
      <c r="Z98" s="11" t="s">
        <v>244</v>
      </c>
      <c r="AA98" s="11" t="s">
        <v>151</v>
      </c>
      <c r="AB98" s="5" t="s">
        <v>245</v>
      </c>
      <c r="AC98" s="5" t="s">
        <v>246</v>
      </c>
      <c r="AD98" s="11" t="s">
        <v>518</v>
      </c>
      <c r="AE98" s="23" t="n">
        <v>0.9</v>
      </c>
      <c r="AF98" s="23" t="n">
        <v>0</v>
      </c>
      <c r="AG98" s="23" t="n">
        <v>1</v>
      </c>
      <c r="AH98" s="23" t="n">
        <v>1</v>
      </c>
      <c r="AI98" s="23" t="n">
        <v>1</v>
      </c>
      <c r="AJ98" s="23" t="n">
        <v>0.876</v>
      </c>
      <c r="AK98" s="23" t="n">
        <v>0.5</v>
      </c>
      <c r="AL98" s="23" t="n">
        <v>0</v>
      </c>
      <c r="AM98" s="16" t="n">
        <f aca="false">COUNTIFS($D$2:$D$2501,D98,$G$2:$G$2501,"&gt;"&amp;G98)+COUNTIFS($D$2:D98,D98,$G$2:G98,G98)</f>
        <v>2</v>
      </c>
      <c r="AN98" s="5" t="str">
        <f aca="false">D98&amp;"|"&amp;AM98</f>
        <v>分類與偵測|2</v>
      </c>
    </row>
    <row r="99" customFormat="false" ht="17.15" hidden="false" customHeight="false" outlineLevel="0" collapsed="false">
      <c r="A99" s="16" t="n">
        <f aca="false">RANK(G99,$G$2:$G$2501)+COUNTIF($G$2:G99,G99)-1</f>
        <v>98</v>
      </c>
      <c r="B99" s="11" t="s">
        <v>519</v>
      </c>
      <c r="C99" s="11" t="s">
        <v>282</v>
      </c>
      <c r="D99" s="5" t="s">
        <v>54</v>
      </c>
      <c r="E99" s="5" t="s">
        <v>55</v>
      </c>
      <c r="F99" s="5"/>
      <c r="G99" s="22" t="n">
        <f aca="false">ROUND(SUM(I99:P99),3)</f>
        <v>78.184</v>
      </c>
      <c r="H99" s="5" t="str">
        <f aca="false">IF(G99&gt;=評分方法!$C$16,"優先評估",IF(G99&gt;=評分方法!$C$17,"列入候選",IF(G99&gt;=評分方法!$C$18,"特定情境","不建議")))</f>
        <v>列入候選</v>
      </c>
      <c r="I99" s="15" t="n">
        <f aca="false">AE99*評分方法!$C$5</f>
        <v>27</v>
      </c>
      <c r="J99" s="15" t="n">
        <f aca="false">AF99*評分方法!$C$6</f>
        <v>0</v>
      </c>
      <c r="K99" s="15" t="n">
        <f aca="false">AG99*評分方法!$C$7</f>
        <v>15</v>
      </c>
      <c r="L99" s="15" t="n">
        <f aca="false">AH99*評分方法!$C$8</f>
        <v>15</v>
      </c>
      <c r="M99" s="15" t="n">
        <f aca="false">AI99*評分方法!$C$9</f>
        <v>10</v>
      </c>
      <c r="N99" s="15" t="n">
        <f aca="false">AJ99*評分方法!$C$10</f>
        <v>7.184</v>
      </c>
      <c r="O99" s="15" t="n">
        <f aca="false">AK99*評分方法!$C$11</f>
        <v>2.5</v>
      </c>
      <c r="P99" s="15" t="n">
        <f aca="false">AL99*評分方法!$C$12</f>
        <v>1.5</v>
      </c>
      <c r="Q99" s="6" t="n">
        <v>992384</v>
      </c>
      <c r="R99" s="6" t="n">
        <v>66362880</v>
      </c>
      <c r="S99" s="11" t="s">
        <v>238</v>
      </c>
      <c r="T99" s="11" t="s">
        <v>239</v>
      </c>
      <c r="U99" s="5" t="s">
        <v>240</v>
      </c>
      <c r="V99" s="11" t="s">
        <v>283</v>
      </c>
      <c r="W99" s="5" t="s">
        <v>205</v>
      </c>
      <c r="X99" s="5" t="s">
        <v>255</v>
      </c>
      <c r="Y99" s="5"/>
      <c r="Z99" s="5"/>
      <c r="AA99" s="11" t="s">
        <v>153</v>
      </c>
      <c r="AB99" s="5" t="s">
        <v>245</v>
      </c>
      <c r="AC99" s="5"/>
      <c r="AD99" s="11" t="s">
        <v>520</v>
      </c>
      <c r="AE99" s="23" t="n">
        <v>0.9</v>
      </c>
      <c r="AF99" s="23" t="n">
        <v>0</v>
      </c>
      <c r="AG99" s="23" t="n">
        <v>1</v>
      </c>
      <c r="AH99" s="23" t="n">
        <v>1</v>
      </c>
      <c r="AI99" s="23" t="n">
        <v>1</v>
      </c>
      <c r="AJ99" s="23" t="n">
        <v>0.7184</v>
      </c>
      <c r="AK99" s="23" t="n">
        <v>0.5</v>
      </c>
      <c r="AL99" s="23" t="n">
        <v>0.3</v>
      </c>
      <c r="AM99" s="16" t="n">
        <f aca="false">COUNTIFS($D$2:$D$2501,D99,$G$2:$G$2501,"&gt;"&amp;G99)+COUNTIFS($D$2:D99,D99,$G$2:G99,G99)</f>
        <v>47</v>
      </c>
      <c r="AN99" s="5" t="str">
        <f aca="false">D99&amp;"|"&amp;AM99</f>
        <v>檢索與情資關聯|47</v>
      </c>
    </row>
    <row r="100" customFormat="false" ht="17.15" hidden="false" customHeight="false" outlineLevel="0" collapsed="false">
      <c r="A100" s="16" t="n">
        <f aca="false">RANK(G100,$G$2:$G$2501)+COUNTIF($G$2:G100,G100)-1</f>
        <v>99</v>
      </c>
      <c r="B100" s="11" t="s">
        <v>521</v>
      </c>
      <c r="C100" s="11" t="s">
        <v>461</v>
      </c>
      <c r="D100" s="5" t="s">
        <v>56</v>
      </c>
      <c r="E100" s="5" t="s">
        <v>57</v>
      </c>
      <c r="F100" s="5"/>
      <c r="G100" s="22" t="n">
        <f aca="false">ROUND(SUM(I100:P100),3)</f>
        <v>78.146</v>
      </c>
      <c r="H100" s="5" t="str">
        <f aca="false">IF(G100&gt;=評分方法!$C$16,"優先評估",IF(G100&gt;=評分方法!$C$17,"列入候選",IF(G100&gt;=評分方法!$C$18,"特定情境","不建議")))</f>
        <v>列入候選</v>
      </c>
      <c r="I100" s="15" t="n">
        <f aca="false">AE100*評分方法!$C$5</f>
        <v>25.5</v>
      </c>
      <c r="J100" s="15" t="n">
        <f aca="false">AF100*評分方法!$C$6</f>
        <v>0</v>
      </c>
      <c r="K100" s="15" t="n">
        <f aca="false">AG100*評分方法!$C$7</f>
        <v>15</v>
      </c>
      <c r="L100" s="15" t="n">
        <f aca="false">AH100*評分方法!$C$8</f>
        <v>13.05</v>
      </c>
      <c r="M100" s="15" t="n">
        <f aca="false">AI100*評分方法!$C$9</f>
        <v>6</v>
      </c>
      <c r="N100" s="15" t="n">
        <f aca="false">AJ100*評分方法!$C$10</f>
        <v>8.596</v>
      </c>
      <c r="O100" s="15" t="n">
        <f aca="false">AK100*評分方法!$C$11</f>
        <v>5</v>
      </c>
      <c r="P100" s="15" t="n">
        <f aca="false">AL100*評分方法!$C$12</f>
        <v>5</v>
      </c>
      <c r="Q100" s="6" t="n">
        <v>2488754</v>
      </c>
      <c r="R100" s="6" t="n">
        <v>2697198592</v>
      </c>
      <c r="S100" s="11" t="s">
        <v>254</v>
      </c>
      <c r="T100" s="11" t="s">
        <v>185</v>
      </c>
      <c r="U100" s="5" t="s">
        <v>260</v>
      </c>
      <c r="V100" s="11" t="s">
        <v>462</v>
      </c>
      <c r="W100" s="5" t="s">
        <v>205</v>
      </c>
      <c r="X100" s="5" t="s">
        <v>284</v>
      </c>
      <c r="Y100" s="11" t="s">
        <v>522</v>
      </c>
      <c r="Z100" s="11" t="s">
        <v>244</v>
      </c>
      <c r="AA100" s="11" t="s">
        <v>155</v>
      </c>
      <c r="AB100" s="5" t="s">
        <v>245</v>
      </c>
      <c r="AC100" s="5" t="s">
        <v>464</v>
      </c>
      <c r="AD100" s="11" t="s">
        <v>523</v>
      </c>
      <c r="AE100" s="23" t="n">
        <v>0.85</v>
      </c>
      <c r="AF100" s="23" t="n">
        <v>0</v>
      </c>
      <c r="AG100" s="23" t="n">
        <v>1</v>
      </c>
      <c r="AH100" s="23" t="n">
        <v>0.87</v>
      </c>
      <c r="AI100" s="23" t="n">
        <v>0.6</v>
      </c>
      <c r="AJ100" s="23" t="n">
        <v>0.8596</v>
      </c>
      <c r="AK100" s="23" t="n">
        <v>1</v>
      </c>
      <c r="AL100" s="23" t="n">
        <v>1</v>
      </c>
      <c r="AM100" s="16" t="n">
        <f aca="false">COUNTIFS($D$2:$D$2501,D100,$G$2:$G$2501,"&gt;"&amp;G100)+COUNTIFS($D$2:D100,D100,$G$2:G100,G100)</f>
        <v>21</v>
      </c>
      <c r="AN100" s="5" t="str">
        <f aca="false">D100&amp;"|"&amp;AM100</f>
        <v>分析與報告生成|21</v>
      </c>
    </row>
    <row r="101" customFormat="false" ht="17.15" hidden="false" customHeight="false" outlineLevel="0" collapsed="false">
      <c r="A101" s="16" t="n">
        <f aca="false">RANK(G101,$G$2:$G$2501)+COUNTIF($G$2:G101,G101)-1</f>
        <v>100</v>
      </c>
      <c r="B101" s="11" t="s">
        <v>524</v>
      </c>
      <c r="C101" s="11" t="s">
        <v>302</v>
      </c>
      <c r="D101" s="5" t="s">
        <v>66</v>
      </c>
      <c r="E101" s="5" t="s">
        <v>67</v>
      </c>
      <c r="F101" s="5"/>
      <c r="G101" s="22" t="n">
        <f aca="false">ROUND(SUM(I101:P101),3)</f>
        <v>78.124</v>
      </c>
      <c r="H101" s="5" t="str">
        <f aca="false">IF(G101&gt;=評分方法!$C$16,"優先評估",IF(G101&gt;=評分方法!$C$17,"列入候選",IF(G101&gt;=評分方法!$C$18,"特定情境","不建議")))</f>
        <v>列入候選</v>
      </c>
      <c r="I101" s="15" t="n">
        <f aca="false">AE101*評分方法!$C$5</f>
        <v>27</v>
      </c>
      <c r="J101" s="15" t="n">
        <f aca="false">AF101*評分方法!$C$6</f>
        <v>0</v>
      </c>
      <c r="K101" s="15" t="n">
        <f aca="false">AG101*評分方法!$C$7</f>
        <v>15</v>
      </c>
      <c r="L101" s="15" t="n">
        <f aca="false">AH101*評分方法!$C$8</f>
        <v>15</v>
      </c>
      <c r="M101" s="15" t="n">
        <f aca="false">AI101*評分方法!$C$9</f>
        <v>10</v>
      </c>
      <c r="N101" s="15" t="n">
        <f aca="false">AJ101*評分方法!$C$10</f>
        <v>8.624</v>
      </c>
      <c r="O101" s="15" t="n">
        <f aca="false">AK101*評分方法!$C$11</f>
        <v>2.5</v>
      </c>
      <c r="P101" s="15" t="n">
        <f aca="false">AL101*評分方法!$C$12</f>
        <v>0</v>
      </c>
      <c r="Q101" s="6" t="n">
        <v>2561849</v>
      </c>
      <c r="R101" s="6" t="n">
        <v>184424963</v>
      </c>
      <c r="S101" s="11" t="s">
        <v>238</v>
      </c>
      <c r="T101" s="11" t="s">
        <v>239</v>
      </c>
      <c r="U101" s="5" t="s">
        <v>240</v>
      </c>
      <c r="V101" s="11" t="s">
        <v>288</v>
      </c>
      <c r="W101" s="5" t="s">
        <v>205</v>
      </c>
      <c r="X101" s="5" t="s">
        <v>242</v>
      </c>
      <c r="Y101" s="11" t="s">
        <v>243</v>
      </c>
      <c r="Z101" s="11" t="s">
        <v>244</v>
      </c>
      <c r="AA101" s="11" t="s">
        <v>151</v>
      </c>
      <c r="AB101" s="5" t="s">
        <v>245</v>
      </c>
      <c r="AC101" s="5" t="s">
        <v>246</v>
      </c>
      <c r="AD101" s="11" t="s">
        <v>525</v>
      </c>
      <c r="AE101" s="23" t="n">
        <v>0.9</v>
      </c>
      <c r="AF101" s="23" t="n">
        <v>0</v>
      </c>
      <c r="AG101" s="23" t="n">
        <v>1</v>
      </c>
      <c r="AH101" s="23" t="n">
        <v>1</v>
      </c>
      <c r="AI101" s="23" t="n">
        <v>1</v>
      </c>
      <c r="AJ101" s="23" t="n">
        <v>0.8624</v>
      </c>
      <c r="AK101" s="23" t="n">
        <v>0.5</v>
      </c>
      <c r="AL101" s="23" t="n">
        <v>0</v>
      </c>
      <c r="AM101" s="16" t="n">
        <f aca="false">COUNTIFS($D$2:$D$2501,D101,$G$2:$G$2501,"&gt;"&amp;G101)+COUNTIFS($D$2:D101,D101,$G$2:G101,G101)</f>
        <v>3</v>
      </c>
      <c r="AN101" s="5" t="str">
        <f aca="false">D101&amp;"|"&amp;AM101</f>
        <v>分類與偵測|3</v>
      </c>
    </row>
    <row r="102" customFormat="false" ht="17.15" hidden="false" customHeight="false" outlineLevel="0" collapsed="false">
      <c r="A102" s="16" t="n">
        <f aca="false">RANK(G102,$G$2:$G$2501)+COUNTIF($G$2:G102,G102)-1</f>
        <v>101</v>
      </c>
      <c r="B102" s="11" t="s">
        <v>526</v>
      </c>
      <c r="C102" s="11" t="s">
        <v>368</v>
      </c>
      <c r="D102" s="5" t="s">
        <v>56</v>
      </c>
      <c r="E102" s="5" t="s">
        <v>57</v>
      </c>
      <c r="F102" s="5"/>
      <c r="G102" s="22" t="n">
        <f aca="false">ROUND(SUM(I102:P102),3)</f>
        <v>78.116</v>
      </c>
      <c r="H102" s="5" t="str">
        <f aca="false">IF(G102&gt;=評分方法!$C$16,"優先評估",IF(G102&gt;=評分方法!$C$17,"列入候選",IF(G102&gt;=評分方法!$C$18,"特定情境","不建議")))</f>
        <v>列入候選</v>
      </c>
      <c r="I102" s="15" t="n">
        <f aca="false">AE102*評分方法!$C$5</f>
        <v>24</v>
      </c>
      <c r="J102" s="15" t="n">
        <f aca="false">AF102*評分方法!$C$6</f>
        <v>0</v>
      </c>
      <c r="K102" s="15" t="n">
        <f aca="false">AG102*評分方法!$C$7</f>
        <v>15</v>
      </c>
      <c r="L102" s="15" t="n">
        <f aca="false">AH102*評分方法!$C$8</f>
        <v>15</v>
      </c>
      <c r="M102" s="15" t="n">
        <f aca="false">AI102*評分方法!$C$9</f>
        <v>10</v>
      </c>
      <c r="N102" s="15" t="n">
        <f aca="false">AJ102*評分方法!$C$10</f>
        <v>6.116</v>
      </c>
      <c r="O102" s="15" t="n">
        <f aca="false">AK102*評分方法!$C$11</f>
        <v>5</v>
      </c>
      <c r="P102" s="15" t="n">
        <f aca="false">AL102*評分方法!$C$12</f>
        <v>3</v>
      </c>
      <c r="Q102" s="6" t="n">
        <v>646724</v>
      </c>
      <c r="R102" s="6" t="n">
        <v>78779908</v>
      </c>
      <c r="S102" s="11" t="s">
        <v>238</v>
      </c>
      <c r="T102" s="11" t="s">
        <v>239</v>
      </c>
      <c r="U102" s="5" t="s">
        <v>240</v>
      </c>
      <c r="V102" s="11" t="s">
        <v>261</v>
      </c>
      <c r="W102" s="5" t="s">
        <v>205</v>
      </c>
      <c r="X102" s="5" t="s">
        <v>371</v>
      </c>
      <c r="Y102" s="5"/>
      <c r="Z102" s="5"/>
      <c r="AA102" s="11" t="s">
        <v>157</v>
      </c>
      <c r="AB102" s="5" t="s">
        <v>245</v>
      </c>
      <c r="AC102" s="5"/>
      <c r="AD102" s="11" t="s">
        <v>527</v>
      </c>
      <c r="AE102" s="23" t="n">
        <v>0.8</v>
      </c>
      <c r="AF102" s="23" t="n">
        <v>0</v>
      </c>
      <c r="AG102" s="23" t="n">
        <v>1</v>
      </c>
      <c r="AH102" s="23" t="n">
        <v>1</v>
      </c>
      <c r="AI102" s="23" t="n">
        <v>1</v>
      </c>
      <c r="AJ102" s="23" t="n">
        <v>0.6116</v>
      </c>
      <c r="AK102" s="23" t="n">
        <v>1</v>
      </c>
      <c r="AL102" s="23" t="n">
        <v>0.6</v>
      </c>
      <c r="AM102" s="16" t="n">
        <f aca="false">COUNTIFS($D$2:$D$2501,D102,$G$2:$G$2501,"&gt;"&amp;G102)+COUNTIFS($D$2:D102,D102,$G$2:G102,G102)</f>
        <v>22</v>
      </c>
      <c r="AN102" s="5" t="str">
        <f aca="false">D102&amp;"|"&amp;AM102</f>
        <v>分析與報告生成|22</v>
      </c>
    </row>
    <row r="103" customFormat="false" ht="17.15" hidden="false" customHeight="false" outlineLevel="0" collapsed="false">
      <c r="A103" s="16" t="n">
        <f aca="false">RANK(G103,$G$2:$G$2501)+COUNTIF($G$2:G103,G103)-1</f>
        <v>102</v>
      </c>
      <c r="B103" s="11" t="s">
        <v>528</v>
      </c>
      <c r="C103" s="11" t="s">
        <v>302</v>
      </c>
      <c r="D103" s="5" t="s">
        <v>54</v>
      </c>
      <c r="E103" s="5" t="s">
        <v>55</v>
      </c>
      <c r="F103" s="5"/>
      <c r="G103" s="22" t="n">
        <f aca="false">ROUND(SUM(I103:P103),3)</f>
        <v>78.112</v>
      </c>
      <c r="H103" s="5" t="str">
        <f aca="false">IF(G103&gt;=評分方法!$C$16,"優先評估",IF(G103&gt;=評分方法!$C$17,"列入候選",IF(G103&gt;=評分方法!$C$18,"特定情境","不建議")))</f>
        <v>列入候選</v>
      </c>
      <c r="I103" s="15" t="n">
        <f aca="false">AE103*評分方法!$C$5</f>
        <v>27</v>
      </c>
      <c r="J103" s="15" t="n">
        <f aca="false">AF103*評分方法!$C$6</f>
        <v>0</v>
      </c>
      <c r="K103" s="15" t="n">
        <f aca="false">AG103*評分方法!$C$7</f>
        <v>15</v>
      </c>
      <c r="L103" s="15" t="n">
        <f aca="false">AH103*評分方法!$C$8</f>
        <v>15</v>
      </c>
      <c r="M103" s="15" t="n">
        <f aca="false">AI103*評分方法!$C$9</f>
        <v>10</v>
      </c>
      <c r="N103" s="15" t="n">
        <f aca="false">AJ103*評分方法!$C$10</f>
        <v>8.612</v>
      </c>
      <c r="O103" s="15" t="n">
        <f aca="false">AK103*評分方法!$C$11</f>
        <v>2.5</v>
      </c>
      <c r="P103" s="15" t="n">
        <f aca="false">AL103*評分方法!$C$12</f>
        <v>0</v>
      </c>
      <c r="Q103" s="6" t="n">
        <v>2547720</v>
      </c>
      <c r="R103" s="6" t="n">
        <v>4386561</v>
      </c>
      <c r="S103" s="11" t="s">
        <v>238</v>
      </c>
      <c r="T103" s="11" t="s">
        <v>239</v>
      </c>
      <c r="U103" s="5" t="s">
        <v>240</v>
      </c>
      <c r="V103" s="11" t="s">
        <v>356</v>
      </c>
      <c r="W103" s="5" t="s">
        <v>205</v>
      </c>
      <c r="X103" s="5" t="s">
        <v>242</v>
      </c>
      <c r="Y103" s="11" t="s">
        <v>529</v>
      </c>
      <c r="Z103" s="11" t="s">
        <v>244</v>
      </c>
      <c r="AA103" s="11" t="s">
        <v>154</v>
      </c>
      <c r="AB103" s="5" t="s">
        <v>245</v>
      </c>
      <c r="AC103" s="5" t="s">
        <v>246</v>
      </c>
      <c r="AD103" s="11" t="s">
        <v>530</v>
      </c>
      <c r="AE103" s="23" t="n">
        <v>0.9</v>
      </c>
      <c r="AF103" s="23" t="n">
        <v>0</v>
      </c>
      <c r="AG103" s="23" t="n">
        <v>1</v>
      </c>
      <c r="AH103" s="23" t="n">
        <v>1</v>
      </c>
      <c r="AI103" s="23" t="n">
        <v>1</v>
      </c>
      <c r="AJ103" s="23" t="n">
        <v>0.8612</v>
      </c>
      <c r="AK103" s="23" t="n">
        <v>0.5</v>
      </c>
      <c r="AL103" s="23" t="n">
        <v>0</v>
      </c>
      <c r="AM103" s="16" t="n">
        <f aca="false">COUNTIFS($D$2:$D$2501,D103,$G$2:$G$2501,"&gt;"&amp;G103)+COUNTIFS($D$2:D103,D103,$G$2:G103,G103)</f>
        <v>48</v>
      </c>
      <c r="AN103" s="5" t="str">
        <f aca="false">D103&amp;"|"&amp;AM103</f>
        <v>檢索與情資關聯|48</v>
      </c>
    </row>
    <row r="104" customFormat="false" ht="17.15" hidden="false" customHeight="false" outlineLevel="0" collapsed="false">
      <c r="A104" s="16" t="n">
        <f aca="false">RANK(G104,$G$2:$G$2501)+COUNTIF($G$2:G104,G104)-1</f>
        <v>103</v>
      </c>
      <c r="B104" s="11" t="s">
        <v>531</v>
      </c>
      <c r="C104" s="11" t="s">
        <v>368</v>
      </c>
      <c r="D104" s="5" t="s">
        <v>56</v>
      </c>
      <c r="E104" s="5" t="s">
        <v>57</v>
      </c>
      <c r="F104" s="5"/>
      <c r="G104" s="22" t="n">
        <f aca="false">ROUND(SUM(I104:P104),3)</f>
        <v>78.106</v>
      </c>
      <c r="H104" s="5" t="str">
        <f aca="false">IF(G104&gt;=評分方法!$C$16,"優先評估",IF(G104&gt;=評分方法!$C$17,"列入候選",IF(G104&gt;=評分方法!$C$18,"特定情境","不建議")))</f>
        <v>列入候選</v>
      </c>
      <c r="I104" s="15" t="n">
        <f aca="false">AE104*評分方法!$C$5</f>
        <v>24</v>
      </c>
      <c r="J104" s="15" t="n">
        <f aca="false">AF104*評分方法!$C$6</f>
        <v>0</v>
      </c>
      <c r="K104" s="15" t="n">
        <f aca="false">AG104*評分方法!$C$7</f>
        <v>15</v>
      </c>
      <c r="L104" s="15" t="n">
        <f aca="false">AH104*評分方法!$C$8</f>
        <v>13.05</v>
      </c>
      <c r="M104" s="15" t="n">
        <f aca="false">AI104*評分方法!$C$9</f>
        <v>10</v>
      </c>
      <c r="N104" s="15" t="n">
        <f aca="false">AJ104*評分方法!$C$10</f>
        <v>8.056</v>
      </c>
      <c r="O104" s="15" t="n">
        <f aca="false">AK104*評分方法!$C$11</f>
        <v>5</v>
      </c>
      <c r="P104" s="15" t="n">
        <f aca="false">AL104*評分方法!$C$12</f>
        <v>3</v>
      </c>
      <c r="Q104" s="6" t="n">
        <v>1644173</v>
      </c>
      <c r="R104" s="6" t="n">
        <v>4628569635</v>
      </c>
      <c r="S104" s="11" t="s">
        <v>254</v>
      </c>
      <c r="T104" s="11" t="s">
        <v>239</v>
      </c>
      <c r="U104" s="5" t="s">
        <v>240</v>
      </c>
      <c r="V104" s="11" t="s">
        <v>333</v>
      </c>
      <c r="W104" s="5" t="s">
        <v>205</v>
      </c>
      <c r="X104" s="5" t="s">
        <v>371</v>
      </c>
      <c r="Y104" s="11" t="s">
        <v>509</v>
      </c>
      <c r="Z104" s="11" t="s">
        <v>244</v>
      </c>
      <c r="AA104" s="11" t="s">
        <v>157</v>
      </c>
      <c r="AB104" s="5" t="s">
        <v>245</v>
      </c>
      <c r="AC104" s="5" t="s">
        <v>246</v>
      </c>
      <c r="AD104" s="11" t="s">
        <v>532</v>
      </c>
      <c r="AE104" s="23" t="n">
        <v>0.8</v>
      </c>
      <c r="AF104" s="23" t="n">
        <v>0</v>
      </c>
      <c r="AG104" s="23" t="n">
        <v>1</v>
      </c>
      <c r="AH104" s="23" t="n">
        <v>0.87</v>
      </c>
      <c r="AI104" s="23" t="n">
        <v>1</v>
      </c>
      <c r="AJ104" s="23" t="n">
        <v>0.8056</v>
      </c>
      <c r="AK104" s="23" t="n">
        <v>1</v>
      </c>
      <c r="AL104" s="23" t="n">
        <v>0.6</v>
      </c>
      <c r="AM104" s="16" t="n">
        <f aca="false">COUNTIFS($D$2:$D$2501,D104,$G$2:$G$2501,"&gt;"&amp;G104)+COUNTIFS($D$2:D104,D104,$G$2:G104,G104)</f>
        <v>23</v>
      </c>
      <c r="AN104" s="5" t="str">
        <f aca="false">D104&amp;"|"&amp;AM104</f>
        <v>分析與報告生成|23</v>
      </c>
    </row>
    <row r="105" customFormat="false" ht="17.15" hidden="false" customHeight="false" outlineLevel="0" collapsed="false">
      <c r="A105" s="16" t="n">
        <f aca="false">RANK(G105,$G$2:$G$2501)+COUNTIF($G$2:G105,G105)-1</f>
        <v>104</v>
      </c>
      <c r="B105" s="11" t="s">
        <v>533</v>
      </c>
      <c r="C105" s="11" t="s">
        <v>282</v>
      </c>
      <c r="D105" s="5" t="s">
        <v>54</v>
      </c>
      <c r="E105" s="5" t="s">
        <v>55</v>
      </c>
      <c r="F105" s="5"/>
      <c r="G105" s="22" t="n">
        <f aca="false">ROUND(SUM(I105:P105),3)</f>
        <v>78.068</v>
      </c>
      <c r="H105" s="5" t="str">
        <f aca="false">IF(G105&gt;=評分方法!$C$16,"優先評估",IF(G105&gt;=評分方法!$C$17,"列入候選",IF(G105&gt;=評分方法!$C$18,"特定情境","不建議")))</f>
        <v>列入候選</v>
      </c>
      <c r="I105" s="15" t="n">
        <f aca="false">AE105*評分方法!$C$5</f>
        <v>27</v>
      </c>
      <c r="J105" s="15" t="n">
        <f aca="false">AF105*評分方法!$C$6</f>
        <v>0</v>
      </c>
      <c r="K105" s="15" t="n">
        <f aca="false">AG105*評分方法!$C$7</f>
        <v>15</v>
      </c>
      <c r="L105" s="15" t="n">
        <f aca="false">AH105*評分方法!$C$8</f>
        <v>15</v>
      </c>
      <c r="M105" s="15" t="n">
        <f aca="false">AI105*評分方法!$C$9</f>
        <v>10</v>
      </c>
      <c r="N105" s="15" t="n">
        <f aca="false">AJ105*評分方法!$C$10</f>
        <v>7.068</v>
      </c>
      <c r="O105" s="15" t="n">
        <f aca="false">AK105*評分方法!$C$11</f>
        <v>2.5</v>
      </c>
      <c r="P105" s="15" t="n">
        <f aca="false">AL105*評分方法!$C$12</f>
        <v>1.5</v>
      </c>
      <c r="Q105" s="6" t="n">
        <v>944926</v>
      </c>
      <c r="R105" s="6" t="n">
        <v>124646146</v>
      </c>
      <c r="S105" s="11" t="s">
        <v>238</v>
      </c>
      <c r="T105" s="11" t="s">
        <v>239</v>
      </c>
      <c r="U105" s="5" t="s">
        <v>240</v>
      </c>
      <c r="V105" s="11" t="s">
        <v>320</v>
      </c>
      <c r="W105" s="5" t="s">
        <v>205</v>
      </c>
      <c r="X105" s="5" t="s">
        <v>255</v>
      </c>
      <c r="Y105" s="5"/>
      <c r="Z105" s="5"/>
      <c r="AA105" s="11" t="s">
        <v>152</v>
      </c>
      <c r="AB105" s="5" t="s">
        <v>245</v>
      </c>
      <c r="AC105" s="5"/>
      <c r="AD105" s="11" t="s">
        <v>534</v>
      </c>
      <c r="AE105" s="23" t="n">
        <v>0.9</v>
      </c>
      <c r="AF105" s="23" t="n">
        <v>0</v>
      </c>
      <c r="AG105" s="23" t="n">
        <v>1</v>
      </c>
      <c r="AH105" s="23" t="n">
        <v>1</v>
      </c>
      <c r="AI105" s="23" t="n">
        <v>1</v>
      </c>
      <c r="AJ105" s="23" t="n">
        <v>0.7068</v>
      </c>
      <c r="AK105" s="23" t="n">
        <v>0.5</v>
      </c>
      <c r="AL105" s="23" t="n">
        <v>0.3</v>
      </c>
      <c r="AM105" s="16" t="n">
        <f aca="false">COUNTIFS($D$2:$D$2501,D105,$G$2:$G$2501,"&gt;"&amp;G105)+COUNTIFS($D$2:D105,D105,$G$2:G105,G105)</f>
        <v>49</v>
      </c>
      <c r="AN105" s="5" t="str">
        <f aca="false">D105&amp;"|"&amp;AM105</f>
        <v>檢索與情資關聯|49</v>
      </c>
    </row>
    <row r="106" customFormat="false" ht="17.15" hidden="false" customHeight="false" outlineLevel="0" collapsed="false">
      <c r="A106" s="16" t="n">
        <f aca="false">RANK(G106,$G$2:$G$2501)+COUNTIF($G$2:G106,G106)-1</f>
        <v>105</v>
      </c>
      <c r="B106" s="11" t="s">
        <v>535</v>
      </c>
      <c r="C106" s="11" t="s">
        <v>299</v>
      </c>
      <c r="D106" s="5" t="s">
        <v>54</v>
      </c>
      <c r="E106" s="5" t="s">
        <v>55</v>
      </c>
      <c r="F106" s="5"/>
      <c r="G106" s="22" t="n">
        <f aca="false">ROUND(SUM(I106:P106),3)</f>
        <v>78.052</v>
      </c>
      <c r="H106" s="5" t="str">
        <f aca="false">IF(G106&gt;=評分方法!$C$16,"優先評估",IF(G106&gt;=評分方法!$C$17,"列入候選",IF(G106&gt;=評分方法!$C$18,"特定情境","不建議")))</f>
        <v>列入候選</v>
      </c>
      <c r="I106" s="15" t="n">
        <f aca="false">AE106*評分方法!$C$5</f>
        <v>27</v>
      </c>
      <c r="J106" s="15" t="n">
        <f aca="false">AF106*評分方法!$C$6</f>
        <v>0</v>
      </c>
      <c r="K106" s="15" t="n">
        <f aca="false">AG106*評分方法!$C$7</f>
        <v>15</v>
      </c>
      <c r="L106" s="15" t="n">
        <f aca="false">AH106*評分方法!$C$8</f>
        <v>15</v>
      </c>
      <c r="M106" s="15" t="n">
        <f aca="false">AI106*評分方法!$C$9</f>
        <v>10</v>
      </c>
      <c r="N106" s="15" t="n">
        <f aca="false">AJ106*評分方法!$C$10</f>
        <v>3.552</v>
      </c>
      <c r="O106" s="15" t="n">
        <f aca="false">AK106*評分方法!$C$11</f>
        <v>2.5</v>
      </c>
      <c r="P106" s="15" t="n">
        <f aca="false">AL106*評分方法!$C$12</f>
        <v>5</v>
      </c>
      <c r="Q106" s="6" t="n">
        <v>356223</v>
      </c>
      <c r="R106" s="6" t="n">
        <v>278043648</v>
      </c>
      <c r="S106" s="11" t="s">
        <v>238</v>
      </c>
      <c r="T106" s="11" t="s">
        <v>239</v>
      </c>
      <c r="U106" s="5" t="s">
        <v>240</v>
      </c>
      <c r="V106" s="11" t="s">
        <v>288</v>
      </c>
      <c r="W106" s="5" t="s">
        <v>205</v>
      </c>
      <c r="X106" s="5" t="s">
        <v>284</v>
      </c>
      <c r="Y106" s="5"/>
      <c r="Z106" s="5"/>
      <c r="AA106" s="11" t="s">
        <v>152</v>
      </c>
      <c r="AB106" s="5" t="s">
        <v>245</v>
      </c>
      <c r="AC106" s="5"/>
      <c r="AD106" s="11" t="s">
        <v>536</v>
      </c>
      <c r="AE106" s="23" t="n">
        <v>0.9</v>
      </c>
      <c r="AF106" s="23" t="n">
        <v>0</v>
      </c>
      <c r="AG106" s="23" t="n">
        <v>1</v>
      </c>
      <c r="AH106" s="23" t="n">
        <v>1</v>
      </c>
      <c r="AI106" s="23" t="n">
        <v>1</v>
      </c>
      <c r="AJ106" s="23" t="n">
        <v>0.3552</v>
      </c>
      <c r="AK106" s="23" t="n">
        <v>0.5</v>
      </c>
      <c r="AL106" s="23" t="n">
        <v>1</v>
      </c>
      <c r="AM106" s="16" t="n">
        <f aca="false">COUNTIFS($D$2:$D$2501,D106,$G$2:$G$2501,"&gt;"&amp;G106)+COUNTIFS($D$2:D106,D106,$G$2:G106,G106)</f>
        <v>50</v>
      </c>
      <c r="AN106" s="5" t="str">
        <f aca="false">D106&amp;"|"&amp;AM106</f>
        <v>檢索與情資關聯|50</v>
      </c>
    </row>
    <row r="107" customFormat="false" ht="17.15" hidden="false" customHeight="false" outlineLevel="0" collapsed="false">
      <c r="A107" s="16" t="n">
        <f aca="false">RANK(G107,$G$2:$G$2501)+COUNTIF($G$2:G107,G107)-1</f>
        <v>106</v>
      </c>
      <c r="B107" s="11" t="s">
        <v>537</v>
      </c>
      <c r="C107" s="11" t="s">
        <v>382</v>
      </c>
      <c r="D107" s="5" t="s">
        <v>54</v>
      </c>
      <c r="E107" s="5" t="s">
        <v>55</v>
      </c>
      <c r="F107" s="5"/>
      <c r="G107" s="22" t="n">
        <f aca="false">ROUND(SUM(I107:P107),3)</f>
        <v>77.96</v>
      </c>
      <c r="H107" s="5" t="str">
        <f aca="false">IF(G107&gt;=評分方法!$C$16,"優先評估",IF(G107&gt;=評分方法!$C$17,"列入候選",IF(G107&gt;=評分方法!$C$18,"特定情境","不建議")))</f>
        <v>列入候選</v>
      </c>
      <c r="I107" s="15" t="n">
        <f aca="false">AE107*評分方法!$C$5</f>
        <v>27</v>
      </c>
      <c r="J107" s="15" t="n">
        <f aca="false">AF107*評分方法!$C$6</f>
        <v>0</v>
      </c>
      <c r="K107" s="15" t="n">
        <f aca="false">AG107*評分方法!$C$7</f>
        <v>15</v>
      </c>
      <c r="L107" s="15" t="n">
        <f aca="false">AH107*評分方法!$C$8</f>
        <v>15</v>
      </c>
      <c r="M107" s="15" t="n">
        <f aca="false">AI107*評分方法!$C$9</f>
        <v>10</v>
      </c>
      <c r="N107" s="15" t="n">
        <f aca="false">AJ107*評分方法!$C$10</f>
        <v>8.46</v>
      </c>
      <c r="O107" s="15" t="n">
        <f aca="false">AK107*評分方法!$C$11</f>
        <v>2.5</v>
      </c>
      <c r="P107" s="15" t="n">
        <f aca="false">AL107*評分方法!$C$12</f>
        <v>0</v>
      </c>
      <c r="Q107" s="6" t="n">
        <v>2140889</v>
      </c>
      <c r="R107" s="6" t="n">
        <v>184422913</v>
      </c>
      <c r="S107" s="11" t="s">
        <v>238</v>
      </c>
      <c r="T107" s="11" t="s">
        <v>239</v>
      </c>
      <c r="U107" s="5" t="s">
        <v>240</v>
      </c>
      <c r="V107" s="11" t="s">
        <v>241</v>
      </c>
      <c r="W107" s="5" t="s">
        <v>205</v>
      </c>
      <c r="X107" s="5" t="s">
        <v>242</v>
      </c>
      <c r="Y107" s="5"/>
      <c r="Z107" s="5"/>
      <c r="AA107" s="11" t="s">
        <v>154</v>
      </c>
      <c r="AB107" s="5" t="s">
        <v>245</v>
      </c>
      <c r="AC107" s="5"/>
      <c r="AD107" s="11" t="s">
        <v>538</v>
      </c>
      <c r="AE107" s="23" t="n">
        <v>0.9</v>
      </c>
      <c r="AF107" s="23" t="n">
        <v>0</v>
      </c>
      <c r="AG107" s="23" t="n">
        <v>1</v>
      </c>
      <c r="AH107" s="23" t="n">
        <v>1</v>
      </c>
      <c r="AI107" s="23" t="n">
        <v>1</v>
      </c>
      <c r="AJ107" s="23" t="n">
        <v>0.846</v>
      </c>
      <c r="AK107" s="23" t="n">
        <v>0.5</v>
      </c>
      <c r="AL107" s="23" t="n">
        <v>0</v>
      </c>
      <c r="AM107" s="16" t="n">
        <f aca="false">COUNTIFS($D$2:$D$2501,D107,$G$2:$G$2501,"&gt;"&amp;G107)+COUNTIFS($D$2:D107,D107,$G$2:G107,G107)</f>
        <v>51</v>
      </c>
      <c r="AN107" s="5" t="str">
        <f aca="false">D107&amp;"|"&amp;AM107</f>
        <v>檢索與情資關聯|51</v>
      </c>
    </row>
    <row r="108" customFormat="false" ht="17.15" hidden="false" customHeight="false" outlineLevel="0" collapsed="false">
      <c r="A108" s="16" t="n">
        <f aca="false">RANK(G108,$G$2:$G$2501)+COUNTIF($G$2:G108,G108)-1</f>
        <v>107</v>
      </c>
      <c r="B108" s="11" t="s">
        <v>539</v>
      </c>
      <c r="C108" s="11" t="s">
        <v>540</v>
      </c>
      <c r="D108" s="5" t="s">
        <v>54</v>
      </c>
      <c r="E108" s="5" t="s">
        <v>55</v>
      </c>
      <c r="F108" s="5"/>
      <c r="G108" s="22" t="n">
        <f aca="false">ROUND(SUM(I108:P108),3)</f>
        <v>77.888</v>
      </c>
      <c r="H108" s="5" t="str">
        <f aca="false">IF(G108&gt;=評分方法!$C$16,"優先評估",IF(G108&gt;=評分方法!$C$17,"列入候選",IF(G108&gt;=評分方法!$C$18,"特定情境","不建議")))</f>
        <v>列入候選</v>
      </c>
      <c r="I108" s="15" t="n">
        <f aca="false">AE108*評分方法!$C$5</f>
        <v>27</v>
      </c>
      <c r="J108" s="15" t="n">
        <f aca="false">AF108*評分方法!$C$6</f>
        <v>0</v>
      </c>
      <c r="K108" s="15" t="n">
        <f aca="false">AG108*評分方法!$C$7</f>
        <v>15</v>
      </c>
      <c r="L108" s="15" t="n">
        <f aca="false">AH108*評分方法!$C$8</f>
        <v>15</v>
      </c>
      <c r="M108" s="15" t="n">
        <f aca="false">AI108*評分方法!$C$9</f>
        <v>10</v>
      </c>
      <c r="N108" s="15" t="n">
        <f aca="false">AJ108*評分方法!$C$10</f>
        <v>9.888</v>
      </c>
      <c r="O108" s="15" t="n">
        <f aca="false">AK108*評分方法!$C$11</f>
        <v>1</v>
      </c>
      <c r="P108" s="15" t="n">
        <f aca="false">AL108*評分方法!$C$12</f>
        <v>0</v>
      </c>
      <c r="Q108" s="6" t="n">
        <v>42000061</v>
      </c>
      <c r="R108" s="6" t="n">
        <v>109581056</v>
      </c>
      <c r="S108" s="11" t="s">
        <v>238</v>
      </c>
      <c r="T108" s="11" t="s">
        <v>278</v>
      </c>
      <c r="U108" s="5" t="s">
        <v>240</v>
      </c>
      <c r="V108" s="11" t="s">
        <v>288</v>
      </c>
      <c r="W108" s="5" t="s">
        <v>205</v>
      </c>
      <c r="X108" s="5" t="s">
        <v>242</v>
      </c>
      <c r="Y108" s="5"/>
      <c r="Z108" s="5"/>
      <c r="AA108" s="11" t="s">
        <v>152</v>
      </c>
      <c r="AB108" s="5" t="s">
        <v>328</v>
      </c>
      <c r="AC108" s="5" t="s">
        <v>400</v>
      </c>
      <c r="AD108" s="11" t="s">
        <v>541</v>
      </c>
      <c r="AE108" s="23" t="n">
        <v>0.9</v>
      </c>
      <c r="AF108" s="23" t="n">
        <v>0</v>
      </c>
      <c r="AG108" s="23" t="n">
        <v>1</v>
      </c>
      <c r="AH108" s="23" t="n">
        <v>1</v>
      </c>
      <c r="AI108" s="23" t="n">
        <v>1</v>
      </c>
      <c r="AJ108" s="23" t="n">
        <v>0.9888</v>
      </c>
      <c r="AK108" s="23" t="n">
        <v>0.2</v>
      </c>
      <c r="AL108" s="23" t="n">
        <v>0</v>
      </c>
      <c r="AM108" s="16" t="n">
        <f aca="false">COUNTIFS($D$2:$D$2501,D108,$G$2:$G$2501,"&gt;"&amp;G108)+COUNTIFS($D$2:D108,D108,$G$2:G108,G108)</f>
        <v>52</v>
      </c>
      <c r="AN108" s="5" t="str">
        <f aca="false">D108&amp;"|"&amp;AM108</f>
        <v>檢索與情資關聯|52</v>
      </c>
    </row>
    <row r="109" customFormat="false" ht="17.15" hidden="false" customHeight="false" outlineLevel="0" collapsed="false">
      <c r="A109" s="16" t="n">
        <f aca="false">RANK(G109,$G$2:$G$2501)+COUNTIF($G$2:G109,G109)-1</f>
        <v>108</v>
      </c>
      <c r="B109" s="11" t="s">
        <v>542</v>
      </c>
      <c r="C109" s="11" t="s">
        <v>299</v>
      </c>
      <c r="D109" s="5" t="s">
        <v>54</v>
      </c>
      <c r="E109" s="5" t="s">
        <v>55</v>
      </c>
      <c r="F109" s="5"/>
      <c r="G109" s="22" t="n">
        <f aca="false">ROUND(SUM(I109:P109),3)</f>
        <v>77.848</v>
      </c>
      <c r="H109" s="5" t="str">
        <f aca="false">IF(G109&gt;=評分方法!$C$16,"優先評估",IF(G109&gt;=評分方法!$C$17,"列入候選",IF(G109&gt;=評分方法!$C$18,"特定情境","不建議")))</f>
        <v>列入候選</v>
      </c>
      <c r="I109" s="15" t="n">
        <f aca="false">AE109*評分方法!$C$5</f>
        <v>27</v>
      </c>
      <c r="J109" s="15" t="n">
        <f aca="false">AF109*評分方法!$C$6</f>
        <v>0</v>
      </c>
      <c r="K109" s="15" t="n">
        <f aca="false">AG109*評分方法!$C$7</f>
        <v>15</v>
      </c>
      <c r="L109" s="15" t="n">
        <f aca="false">AH109*評分方法!$C$8</f>
        <v>15</v>
      </c>
      <c r="M109" s="15" t="n">
        <f aca="false">AI109*評分方法!$C$9</f>
        <v>10</v>
      </c>
      <c r="N109" s="15" t="n">
        <f aca="false">AJ109*評分方法!$C$10</f>
        <v>3.348</v>
      </c>
      <c r="O109" s="15" t="n">
        <f aca="false">AK109*評分方法!$C$11</f>
        <v>2.5</v>
      </c>
      <c r="P109" s="15" t="n">
        <f aca="false">AL109*評分方法!$C$12</f>
        <v>5</v>
      </c>
      <c r="Q109" s="6" t="n">
        <v>333756</v>
      </c>
      <c r="R109" s="6" t="n">
        <v>106994304</v>
      </c>
      <c r="S109" s="11" t="s">
        <v>238</v>
      </c>
      <c r="T109" s="11" t="s">
        <v>239</v>
      </c>
      <c r="U109" s="5" t="s">
        <v>240</v>
      </c>
      <c r="V109" s="11" t="s">
        <v>288</v>
      </c>
      <c r="W109" s="5" t="s">
        <v>205</v>
      </c>
      <c r="X109" s="5" t="s">
        <v>284</v>
      </c>
      <c r="Y109" s="5"/>
      <c r="Z109" s="5"/>
      <c r="AA109" s="11" t="s">
        <v>152</v>
      </c>
      <c r="AB109" s="5" t="s">
        <v>245</v>
      </c>
      <c r="AC109" s="5"/>
      <c r="AD109" s="11" t="s">
        <v>543</v>
      </c>
      <c r="AE109" s="23" t="n">
        <v>0.9</v>
      </c>
      <c r="AF109" s="23" t="n">
        <v>0</v>
      </c>
      <c r="AG109" s="23" t="n">
        <v>1</v>
      </c>
      <c r="AH109" s="23" t="n">
        <v>1</v>
      </c>
      <c r="AI109" s="23" t="n">
        <v>1</v>
      </c>
      <c r="AJ109" s="23" t="n">
        <v>0.3348</v>
      </c>
      <c r="AK109" s="23" t="n">
        <v>0.5</v>
      </c>
      <c r="AL109" s="23" t="n">
        <v>1</v>
      </c>
      <c r="AM109" s="16" t="n">
        <f aca="false">COUNTIFS($D$2:$D$2501,D109,$G$2:$G$2501,"&gt;"&amp;G109)+COUNTIFS($D$2:D109,D109,$G$2:G109,G109)</f>
        <v>53</v>
      </c>
      <c r="AN109" s="5" t="str">
        <f aca="false">D109&amp;"|"&amp;AM109</f>
        <v>檢索與情資關聯|53</v>
      </c>
    </row>
    <row r="110" customFormat="false" ht="17.15" hidden="false" customHeight="false" outlineLevel="0" collapsed="false">
      <c r="A110" s="16" t="n">
        <f aca="false">RANK(G110,$G$2:$G$2501)+COUNTIF($G$2:G110,G110)-1</f>
        <v>109</v>
      </c>
      <c r="B110" s="11" t="s">
        <v>544</v>
      </c>
      <c r="C110" s="11" t="s">
        <v>461</v>
      </c>
      <c r="D110" s="5" t="s">
        <v>56</v>
      </c>
      <c r="E110" s="5" t="s">
        <v>57</v>
      </c>
      <c r="F110" s="5"/>
      <c r="G110" s="22" t="n">
        <f aca="false">ROUND(SUM(I110:P110),3)</f>
        <v>77.824</v>
      </c>
      <c r="H110" s="5" t="str">
        <f aca="false">IF(G110&gt;=評分方法!$C$16,"優先評估",IF(G110&gt;=評分方法!$C$17,"列入候選",IF(G110&gt;=評分方法!$C$18,"特定情境","不建議")))</f>
        <v>列入候選</v>
      </c>
      <c r="I110" s="15" t="n">
        <f aca="false">AE110*評分方法!$C$5</f>
        <v>25.5</v>
      </c>
      <c r="J110" s="15" t="n">
        <f aca="false">AF110*評分方法!$C$6</f>
        <v>0</v>
      </c>
      <c r="K110" s="15" t="n">
        <f aca="false">AG110*評分方法!$C$7</f>
        <v>15</v>
      </c>
      <c r="L110" s="15" t="n">
        <f aca="false">AH110*評分方法!$C$8</f>
        <v>15</v>
      </c>
      <c r="M110" s="15" t="n">
        <f aca="false">AI110*評分方法!$C$9</f>
        <v>6</v>
      </c>
      <c r="N110" s="15" t="n">
        <f aca="false">AJ110*評分方法!$C$10</f>
        <v>7.324</v>
      </c>
      <c r="O110" s="15" t="n">
        <f aca="false">AK110*評分方法!$C$11</f>
        <v>4</v>
      </c>
      <c r="P110" s="15" t="n">
        <f aca="false">AL110*評分方法!$C$12</f>
        <v>5</v>
      </c>
      <c r="Q110" s="6" t="n">
        <v>1059851</v>
      </c>
      <c r="R110" s="6" t="n">
        <v>448718848</v>
      </c>
      <c r="S110" s="11" t="s">
        <v>238</v>
      </c>
      <c r="T110" s="11" t="s">
        <v>185</v>
      </c>
      <c r="U110" s="5" t="s">
        <v>260</v>
      </c>
      <c r="V110" s="11" t="s">
        <v>261</v>
      </c>
      <c r="W110" s="5" t="s">
        <v>205</v>
      </c>
      <c r="X110" s="5" t="s">
        <v>284</v>
      </c>
      <c r="Y110" s="11" t="s">
        <v>545</v>
      </c>
      <c r="Z110" s="11" t="s">
        <v>270</v>
      </c>
      <c r="AA110" s="11" t="s">
        <v>156</v>
      </c>
      <c r="AB110" s="5" t="s">
        <v>245</v>
      </c>
      <c r="AC110" s="5" t="s">
        <v>262</v>
      </c>
      <c r="AD110" s="11" t="s">
        <v>546</v>
      </c>
      <c r="AE110" s="23" t="n">
        <v>0.85</v>
      </c>
      <c r="AF110" s="23" t="n">
        <v>0</v>
      </c>
      <c r="AG110" s="23" t="n">
        <v>1</v>
      </c>
      <c r="AH110" s="23" t="n">
        <v>1</v>
      </c>
      <c r="AI110" s="23" t="n">
        <v>0.6</v>
      </c>
      <c r="AJ110" s="23" t="n">
        <v>0.7324</v>
      </c>
      <c r="AK110" s="23" t="n">
        <v>0.8</v>
      </c>
      <c r="AL110" s="23" t="n">
        <v>1</v>
      </c>
      <c r="AM110" s="16" t="n">
        <f aca="false">COUNTIFS($D$2:$D$2501,D110,$G$2:$G$2501,"&gt;"&amp;G110)+COUNTIFS($D$2:D110,D110,$G$2:G110,G110)</f>
        <v>24</v>
      </c>
      <c r="AN110" s="5" t="str">
        <f aca="false">D110&amp;"|"&amp;AM110</f>
        <v>分析與報告生成|24</v>
      </c>
    </row>
    <row r="111" customFormat="false" ht="17.15" hidden="false" customHeight="false" outlineLevel="0" collapsed="false">
      <c r="A111" s="16" t="n">
        <f aca="false">RANK(G111,$G$2:$G$2501)+COUNTIF($G$2:G111,G111)-1</f>
        <v>110</v>
      </c>
      <c r="B111" s="11" t="s">
        <v>547</v>
      </c>
      <c r="C111" s="11" t="s">
        <v>548</v>
      </c>
      <c r="D111" s="5" t="s">
        <v>56</v>
      </c>
      <c r="E111" s="5" t="s">
        <v>57</v>
      </c>
      <c r="F111" s="5"/>
      <c r="G111" s="22" t="n">
        <f aca="false">ROUND(SUM(I111:P111),3)</f>
        <v>77.816</v>
      </c>
      <c r="H111" s="5" t="str">
        <f aca="false">IF(G111&gt;=評分方法!$C$16,"優先評估",IF(G111&gt;=評分方法!$C$17,"列入候選",IF(G111&gt;=評分方法!$C$18,"特定情境","不建議")))</f>
        <v>列入候選</v>
      </c>
      <c r="I111" s="15" t="n">
        <f aca="false">AE111*評分方法!$C$5</f>
        <v>25.5</v>
      </c>
      <c r="J111" s="15" t="n">
        <f aca="false">AF111*評分方法!$C$6</f>
        <v>0</v>
      </c>
      <c r="K111" s="15" t="n">
        <f aca="false">AG111*評分方法!$C$7</f>
        <v>15</v>
      </c>
      <c r="L111" s="15" t="n">
        <f aca="false">AH111*評分方法!$C$8</f>
        <v>15</v>
      </c>
      <c r="M111" s="15" t="n">
        <f aca="false">AI111*評分方法!$C$9</f>
        <v>10</v>
      </c>
      <c r="N111" s="15" t="n">
        <f aca="false">AJ111*評分方法!$C$10</f>
        <v>8.316</v>
      </c>
      <c r="O111" s="15" t="n">
        <f aca="false">AK111*評分方法!$C$11</f>
        <v>4</v>
      </c>
      <c r="P111" s="15" t="n">
        <f aca="false">AL111*評分方法!$C$12</f>
        <v>0</v>
      </c>
      <c r="Q111" s="6" t="n">
        <v>1941945</v>
      </c>
      <c r="R111" s="6" t="n">
        <v>14067712</v>
      </c>
      <c r="S111" s="11" t="s">
        <v>238</v>
      </c>
      <c r="T111" s="11" t="s">
        <v>239</v>
      </c>
      <c r="U111" s="5" t="s">
        <v>240</v>
      </c>
      <c r="V111" s="11" t="s">
        <v>324</v>
      </c>
      <c r="W111" s="5" t="s">
        <v>205</v>
      </c>
      <c r="X111" s="5" t="s">
        <v>242</v>
      </c>
      <c r="Y111" s="5"/>
      <c r="Z111" s="5"/>
      <c r="AA111" s="11" t="s">
        <v>155</v>
      </c>
      <c r="AB111" s="5" t="s">
        <v>245</v>
      </c>
      <c r="AC111" s="5"/>
      <c r="AD111" s="11" t="s">
        <v>549</v>
      </c>
      <c r="AE111" s="23" t="n">
        <v>0.85</v>
      </c>
      <c r="AF111" s="23" t="n">
        <v>0</v>
      </c>
      <c r="AG111" s="23" t="n">
        <v>1</v>
      </c>
      <c r="AH111" s="23" t="n">
        <v>1</v>
      </c>
      <c r="AI111" s="23" t="n">
        <v>1</v>
      </c>
      <c r="AJ111" s="23" t="n">
        <v>0.8316</v>
      </c>
      <c r="AK111" s="23" t="n">
        <v>0.8</v>
      </c>
      <c r="AL111" s="23" t="n">
        <v>0</v>
      </c>
      <c r="AM111" s="16" t="n">
        <f aca="false">COUNTIFS($D$2:$D$2501,D111,$G$2:$G$2501,"&gt;"&amp;G111)+COUNTIFS($D$2:D111,D111,$G$2:G111,G111)</f>
        <v>25</v>
      </c>
      <c r="AN111" s="5" t="str">
        <f aca="false">D111&amp;"|"&amp;AM111</f>
        <v>分析與報告生成|25</v>
      </c>
    </row>
    <row r="112" customFormat="false" ht="17.15" hidden="false" customHeight="false" outlineLevel="0" collapsed="false">
      <c r="A112" s="16" t="n">
        <f aca="false">RANK(G112,$G$2:$G$2501)+COUNTIF($G$2:G112,G112)-1</f>
        <v>111</v>
      </c>
      <c r="B112" s="11" t="s">
        <v>550</v>
      </c>
      <c r="C112" s="11" t="s">
        <v>461</v>
      </c>
      <c r="D112" s="5" t="s">
        <v>56</v>
      </c>
      <c r="E112" s="5" t="s">
        <v>57</v>
      </c>
      <c r="F112" s="5"/>
      <c r="G112" s="22" t="n">
        <f aca="false">ROUND(SUM(I112:P112),3)</f>
        <v>77.79</v>
      </c>
      <c r="H112" s="5" t="str">
        <f aca="false">IF(G112&gt;=評分方法!$C$16,"優先評估",IF(G112&gt;=評分方法!$C$17,"列入候選",IF(G112&gt;=評分方法!$C$18,"特定情境","不建議")))</f>
        <v>列入候選</v>
      </c>
      <c r="I112" s="15" t="n">
        <f aca="false">AE112*評分方法!$C$5</f>
        <v>25.5</v>
      </c>
      <c r="J112" s="15" t="n">
        <f aca="false">AF112*評分方法!$C$6</f>
        <v>0</v>
      </c>
      <c r="K112" s="15" t="n">
        <f aca="false">AG112*評分方法!$C$7</f>
        <v>15</v>
      </c>
      <c r="L112" s="15" t="n">
        <f aca="false">AH112*評分方法!$C$8</f>
        <v>13.05</v>
      </c>
      <c r="M112" s="15" t="n">
        <f aca="false">AI112*評分方法!$C$9</f>
        <v>6</v>
      </c>
      <c r="N112" s="15" t="n">
        <f aca="false">AJ112*評分方法!$C$10</f>
        <v>8.24</v>
      </c>
      <c r="O112" s="15" t="n">
        <f aca="false">AK112*評分方法!$C$11</f>
        <v>5</v>
      </c>
      <c r="P112" s="15" t="n">
        <f aca="false">AL112*評分方法!$C$12</f>
        <v>5</v>
      </c>
      <c r="Q112" s="6" t="n">
        <v>1863982</v>
      </c>
      <c r="R112" s="6" t="n">
        <v>1170340608</v>
      </c>
      <c r="S112" s="11" t="s">
        <v>254</v>
      </c>
      <c r="T112" s="11" t="s">
        <v>185</v>
      </c>
      <c r="U112" s="5" t="s">
        <v>260</v>
      </c>
      <c r="V112" s="11" t="s">
        <v>261</v>
      </c>
      <c r="W112" s="5" t="s">
        <v>205</v>
      </c>
      <c r="X112" s="5" t="s">
        <v>284</v>
      </c>
      <c r="Y112" s="11" t="s">
        <v>551</v>
      </c>
      <c r="Z112" s="11" t="s">
        <v>270</v>
      </c>
      <c r="AA112" s="11" t="s">
        <v>155</v>
      </c>
      <c r="AB112" s="5" t="s">
        <v>245</v>
      </c>
      <c r="AC112" s="5" t="s">
        <v>262</v>
      </c>
      <c r="AD112" s="11" t="s">
        <v>552</v>
      </c>
      <c r="AE112" s="23" t="n">
        <v>0.85</v>
      </c>
      <c r="AF112" s="23" t="n">
        <v>0</v>
      </c>
      <c r="AG112" s="23" t="n">
        <v>1</v>
      </c>
      <c r="AH112" s="23" t="n">
        <v>0.87</v>
      </c>
      <c r="AI112" s="23" t="n">
        <v>0.6</v>
      </c>
      <c r="AJ112" s="23" t="n">
        <v>0.824</v>
      </c>
      <c r="AK112" s="23" t="n">
        <v>1</v>
      </c>
      <c r="AL112" s="23" t="n">
        <v>1</v>
      </c>
      <c r="AM112" s="16" t="n">
        <f aca="false">COUNTIFS($D$2:$D$2501,D112,$G$2:$G$2501,"&gt;"&amp;G112)+COUNTIFS($D$2:D112,D112,$G$2:G112,G112)</f>
        <v>26</v>
      </c>
      <c r="AN112" s="5" t="str">
        <f aca="false">D112&amp;"|"&amp;AM112</f>
        <v>分析與報告生成|26</v>
      </c>
    </row>
    <row r="113" customFormat="false" ht="17.15" hidden="false" customHeight="false" outlineLevel="0" collapsed="false">
      <c r="A113" s="16" t="n">
        <f aca="false">RANK(G113,$G$2:$G$2501)+COUNTIF($G$2:G113,G113)-1</f>
        <v>112</v>
      </c>
      <c r="B113" s="11" t="s">
        <v>553</v>
      </c>
      <c r="C113" s="11" t="s">
        <v>299</v>
      </c>
      <c r="D113" s="5" t="s">
        <v>56</v>
      </c>
      <c r="E113" s="5" t="s">
        <v>57</v>
      </c>
      <c r="F113" s="5"/>
      <c r="G113" s="22" t="n">
        <f aca="false">ROUND(SUM(I113:P113),3)</f>
        <v>77.654</v>
      </c>
      <c r="H113" s="5" t="str">
        <f aca="false">IF(G113&gt;=評分方法!$C$16,"優先評估",IF(G113&gt;=評分方法!$C$17,"列入候選",IF(G113&gt;=評分方法!$C$18,"特定情境","不建議")))</f>
        <v>列入候選</v>
      </c>
      <c r="I113" s="15" t="n">
        <f aca="false">AE113*評分方法!$C$5</f>
        <v>25.5</v>
      </c>
      <c r="J113" s="15" t="n">
        <f aca="false">AF113*評分方法!$C$6</f>
        <v>0</v>
      </c>
      <c r="K113" s="15" t="n">
        <f aca="false">AG113*評分方法!$C$7</f>
        <v>15</v>
      </c>
      <c r="L113" s="15" t="n">
        <f aca="false">AH113*評分方法!$C$8</f>
        <v>13.05</v>
      </c>
      <c r="M113" s="15" t="n">
        <f aca="false">AI113*評分方法!$C$9</f>
        <v>10</v>
      </c>
      <c r="N113" s="15" t="n">
        <f aca="false">AJ113*評分方法!$C$10</f>
        <v>6.104</v>
      </c>
      <c r="O113" s="15" t="n">
        <f aca="false">AK113*評分方法!$C$11</f>
        <v>5</v>
      </c>
      <c r="P113" s="15" t="n">
        <f aca="false">AL113*評分方法!$C$12</f>
        <v>3</v>
      </c>
      <c r="Q113" s="6" t="n">
        <v>646140</v>
      </c>
      <c r="R113" s="6" t="n">
        <v>8791592960</v>
      </c>
      <c r="S113" s="11" t="s">
        <v>254</v>
      </c>
      <c r="T113" s="11" t="s">
        <v>239</v>
      </c>
      <c r="U113" s="5" t="s">
        <v>240</v>
      </c>
      <c r="V113" s="11" t="s">
        <v>333</v>
      </c>
      <c r="W113" s="5" t="s">
        <v>205</v>
      </c>
      <c r="X113" s="5" t="s">
        <v>371</v>
      </c>
      <c r="Y113" s="11" t="s">
        <v>554</v>
      </c>
      <c r="Z113" s="11" t="s">
        <v>244</v>
      </c>
      <c r="AA113" s="11" t="s">
        <v>155</v>
      </c>
      <c r="AB113" s="5" t="s">
        <v>496</v>
      </c>
      <c r="AC113" s="5" t="s">
        <v>555</v>
      </c>
      <c r="AD113" s="11" t="s">
        <v>556</v>
      </c>
      <c r="AE113" s="23" t="n">
        <v>0.85</v>
      </c>
      <c r="AF113" s="23" t="n">
        <v>0</v>
      </c>
      <c r="AG113" s="23" t="n">
        <v>1</v>
      </c>
      <c r="AH113" s="23" t="n">
        <v>0.87</v>
      </c>
      <c r="AI113" s="23" t="n">
        <v>1</v>
      </c>
      <c r="AJ113" s="23" t="n">
        <v>0.6104</v>
      </c>
      <c r="AK113" s="23" t="n">
        <v>1</v>
      </c>
      <c r="AL113" s="23" t="n">
        <v>0.6</v>
      </c>
      <c r="AM113" s="16" t="n">
        <f aca="false">COUNTIFS($D$2:$D$2501,D113,$G$2:$G$2501,"&gt;"&amp;G113)+COUNTIFS($D$2:D113,D113,$G$2:G113,G113)</f>
        <v>27</v>
      </c>
      <c r="AN113" s="5" t="str">
        <f aca="false">D113&amp;"|"&amp;AM113</f>
        <v>分析與報告生成|27</v>
      </c>
    </row>
    <row r="114" customFormat="false" ht="17.15" hidden="false" customHeight="false" outlineLevel="0" collapsed="false">
      <c r="A114" s="16" t="n">
        <f aca="false">RANK(G114,$G$2:$G$2501)+COUNTIF($G$2:G114,G114)-1</f>
        <v>113</v>
      </c>
      <c r="B114" s="11" t="s">
        <v>557</v>
      </c>
      <c r="C114" s="11" t="s">
        <v>417</v>
      </c>
      <c r="D114" s="5" t="s">
        <v>56</v>
      </c>
      <c r="E114" s="5" t="s">
        <v>57</v>
      </c>
      <c r="F114" s="5"/>
      <c r="G114" s="22" t="n">
        <f aca="false">ROUND(SUM(I114:P114),3)</f>
        <v>77.636</v>
      </c>
      <c r="H114" s="5" t="str">
        <f aca="false">IF(G114&gt;=評分方法!$C$16,"優先評估",IF(G114&gt;=評分方法!$C$17,"列入候選",IF(G114&gt;=評分方法!$C$18,"特定情境","不建議")))</f>
        <v>列入候選</v>
      </c>
      <c r="I114" s="15" t="n">
        <f aca="false">AE114*評分方法!$C$5</f>
        <v>25.5</v>
      </c>
      <c r="J114" s="15" t="n">
        <f aca="false">AF114*評分方法!$C$6</f>
        <v>0</v>
      </c>
      <c r="K114" s="15" t="n">
        <f aca="false">AG114*評分方法!$C$7</f>
        <v>15</v>
      </c>
      <c r="L114" s="15" t="n">
        <f aca="false">AH114*評分方法!$C$8</f>
        <v>15</v>
      </c>
      <c r="M114" s="15" t="n">
        <f aca="false">AI114*評分方法!$C$9</f>
        <v>10</v>
      </c>
      <c r="N114" s="15" t="n">
        <f aca="false">AJ114*評分方法!$C$10</f>
        <v>9.636</v>
      </c>
      <c r="O114" s="15" t="n">
        <f aca="false">AK114*評分方法!$C$11</f>
        <v>2.5</v>
      </c>
      <c r="P114" s="15" t="n">
        <f aca="false">AL114*評分方法!$C$12</f>
        <v>0</v>
      </c>
      <c r="Q114" s="6" t="n">
        <v>11275697</v>
      </c>
      <c r="R114" s="6" t="n">
        <v>134515008</v>
      </c>
      <c r="S114" s="11" t="s">
        <v>238</v>
      </c>
      <c r="T114" s="11" t="s">
        <v>239</v>
      </c>
      <c r="U114" s="5" t="s">
        <v>240</v>
      </c>
      <c r="V114" s="11" t="s">
        <v>261</v>
      </c>
      <c r="W114" s="5" t="s">
        <v>205</v>
      </c>
      <c r="X114" s="5" t="s">
        <v>242</v>
      </c>
      <c r="Y114" s="5"/>
      <c r="Z114" s="5"/>
      <c r="AA114" s="11" t="s">
        <v>155</v>
      </c>
      <c r="AB114" s="5" t="s">
        <v>245</v>
      </c>
      <c r="AC114" s="5"/>
      <c r="AD114" s="11" t="s">
        <v>558</v>
      </c>
      <c r="AE114" s="23" t="n">
        <v>0.85</v>
      </c>
      <c r="AF114" s="23" t="n">
        <v>0</v>
      </c>
      <c r="AG114" s="23" t="n">
        <v>1</v>
      </c>
      <c r="AH114" s="23" t="n">
        <v>1</v>
      </c>
      <c r="AI114" s="23" t="n">
        <v>1</v>
      </c>
      <c r="AJ114" s="23" t="n">
        <v>0.9636</v>
      </c>
      <c r="AK114" s="23" t="n">
        <v>0.5</v>
      </c>
      <c r="AL114" s="23" t="n">
        <v>0</v>
      </c>
      <c r="AM114" s="16" t="n">
        <f aca="false">COUNTIFS($D$2:$D$2501,D114,$G$2:$G$2501,"&gt;"&amp;G114)+COUNTIFS($D$2:D114,D114,$G$2:G114,G114)</f>
        <v>28</v>
      </c>
      <c r="AN114" s="5" t="str">
        <f aca="false">D114&amp;"|"&amp;AM114</f>
        <v>分析與報告生成|28</v>
      </c>
    </row>
    <row r="115" customFormat="false" ht="17.15" hidden="false" customHeight="false" outlineLevel="0" collapsed="false">
      <c r="A115" s="16" t="n">
        <f aca="false">RANK(G115,$G$2:$G$2501)+COUNTIF($G$2:G115,G115)-1</f>
        <v>114</v>
      </c>
      <c r="B115" s="11" t="s">
        <v>559</v>
      </c>
      <c r="C115" s="11" t="s">
        <v>417</v>
      </c>
      <c r="D115" s="5" t="s">
        <v>56</v>
      </c>
      <c r="E115" s="5" t="s">
        <v>57</v>
      </c>
      <c r="F115" s="5"/>
      <c r="G115" s="22" t="n">
        <f aca="false">ROUND(SUM(I115:P115),3)</f>
        <v>77.62</v>
      </c>
      <c r="H115" s="5" t="str">
        <f aca="false">IF(G115&gt;=評分方法!$C$16,"優先評估",IF(G115&gt;=評分方法!$C$17,"列入候選",IF(G115&gt;=評分方法!$C$18,"特定情境","不建議")))</f>
        <v>列入候選</v>
      </c>
      <c r="I115" s="15" t="n">
        <f aca="false">AE115*評分方法!$C$5</f>
        <v>25.5</v>
      </c>
      <c r="J115" s="15" t="n">
        <f aca="false">AF115*評分方法!$C$6</f>
        <v>0</v>
      </c>
      <c r="K115" s="15" t="n">
        <f aca="false">AG115*評分方法!$C$7</f>
        <v>15</v>
      </c>
      <c r="L115" s="15" t="n">
        <f aca="false">AH115*評分方法!$C$8</f>
        <v>15</v>
      </c>
      <c r="M115" s="15" t="n">
        <f aca="false">AI115*評分方法!$C$9</f>
        <v>10</v>
      </c>
      <c r="N115" s="15" t="n">
        <f aca="false">AJ115*評分方法!$C$10</f>
        <v>9.62</v>
      </c>
      <c r="O115" s="15" t="n">
        <f aca="false">AK115*評分方法!$C$11</f>
        <v>2.5</v>
      </c>
      <c r="P115" s="15" t="n">
        <f aca="false">AL115*評分方法!$C$12</f>
        <v>0</v>
      </c>
      <c r="Q115" s="6" t="n">
        <v>10578156</v>
      </c>
      <c r="R115" s="6" t="n">
        <v>134515008</v>
      </c>
      <c r="S115" s="11" t="s">
        <v>238</v>
      </c>
      <c r="T115" s="11" t="s">
        <v>239</v>
      </c>
      <c r="U115" s="5" t="s">
        <v>240</v>
      </c>
      <c r="V115" s="11" t="s">
        <v>241</v>
      </c>
      <c r="W115" s="5" t="s">
        <v>205</v>
      </c>
      <c r="X115" s="5" t="s">
        <v>242</v>
      </c>
      <c r="Y115" s="11" t="s">
        <v>557</v>
      </c>
      <c r="Z115" s="11" t="s">
        <v>244</v>
      </c>
      <c r="AA115" s="11" t="s">
        <v>155</v>
      </c>
      <c r="AB115" s="5" t="s">
        <v>245</v>
      </c>
      <c r="AC115" s="5" t="s">
        <v>246</v>
      </c>
      <c r="AD115" s="11" t="s">
        <v>560</v>
      </c>
      <c r="AE115" s="23" t="n">
        <v>0.85</v>
      </c>
      <c r="AF115" s="23" t="n">
        <v>0</v>
      </c>
      <c r="AG115" s="23" t="n">
        <v>1</v>
      </c>
      <c r="AH115" s="23" t="n">
        <v>1</v>
      </c>
      <c r="AI115" s="23" t="n">
        <v>1</v>
      </c>
      <c r="AJ115" s="23" t="n">
        <v>0.962</v>
      </c>
      <c r="AK115" s="23" t="n">
        <v>0.5</v>
      </c>
      <c r="AL115" s="23" t="n">
        <v>0</v>
      </c>
      <c r="AM115" s="16" t="n">
        <f aca="false">COUNTIFS($D$2:$D$2501,D115,$G$2:$G$2501,"&gt;"&amp;G115)+COUNTIFS($D$2:D115,D115,$G$2:G115,G115)</f>
        <v>29</v>
      </c>
      <c r="AN115" s="5" t="str">
        <f aca="false">D115&amp;"|"&amp;AM115</f>
        <v>分析與報告生成|29</v>
      </c>
    </row>
    <row r="116" customFormat="false" ht="17.15" hidden="false" customHeight="false" outlineLevel="0" collapsed="false">
      <c r="A116" s="16" t="n">
        <f aca="false">RANK(G116,$G$2:$G$2501)+COUNTIF($G$2:G116,G116)-1</f>
        <v>115</v>
      </c>
      <c r="B116" s="11" t="s">
        <v>561</v>
      </c>
      <c r="C116" s="11" t="s">
        <v>299</v>
      </c>
      <c r="D116" s="5" t="s">
        <v>56</v>
      </c>
      <c r="E116" s="5" t="s">
        <v>57</v>
      </c>
      <c r="F116" s="5"/>
      <c r="G116" s="22" t="n">
        <f aca="false">ROUND(SUM(I116:P116),3)</f>
        <v>77.59</v>
      </c>
      <c r="H116" s="5" t="str">
        <f aca="false">IF(G116&gt;=評分方法!$C$16,"優先評估",IF(G116&gt;=評分方法!$C$17,"列入候選",IF(G116&gt;=評分方法!$C$18,"特定情境","不建議")))</f>
        <v>列入候選</v>
      </c>
      <c r="I116" s="15" t="n">
        <f aca="false">AE116*評分方法!$C$5</f>
        <v>25.5</v>
      </c>
      <c r="J116" s="15" t="n">
        <f aca="false">AF116*評分方法!$C$6</f>
        <v>0</v>
      </c>
      <c r="K116" s="15" t="n">
        <f aca="false">AG116*評分方法!$C$7</f>
        <v>15</v>
      </c>
      <c r="L116" s="15" t="n">
        <f aca="false">AH116*評分方法!$C$8</f>
        <v>13.05</v>
      </c>
      <c r="M116" s="15" t="n">
        <f aca="false">AI116*評分方法!$C$9</f>
        <v>10</v>
      </c>
      <c r="N116" s="15" t="n">
        <f aca="false">AJ116*評分方法!$C$10</f>
        <v>6.04</v>
      </c>
      <c r="O116" s="15" t="n">
        <f aca="false">AK116*評分方法!$C$11</f>
        <v>5</v>
      </c>
      <c r="P116" s="15" t="n">
        <f aca="false">AL116*評分方法!$C$12</f>
        <v>3</v>
      </c>
      <c r="Q116" s="6" t="n">
        <v>635051</v>
      </c>
      <c r="R116" s="6" t="n">
        <v>3659737600</v>
      </c>
      <c r="S116" s="11" t="s">
        <v>254</v>
      </c>
      <c r="T116" s="11" t="s">
        <v>239</v>
      </c>
      <c r="U116" s="5" t="s">
        <v>240</v>
      </c>
      <c r="V116" s="11" t="s">
        <v>333</v>
      </c>
      <c r="W116" s="5" t="s">
        <v>205</v>
      </c>
      <c r="X116" s="5" t="s">
        <v>371</v>
      </c>
      <c r="Y116" s="11" t="s">
        <v>562</v>
      </c>
      <c r="Z116" s="11" t="s">
        <v>244</v>
      </c>
      <c r="AA116" s="11" t="s">
        <v>155</v>
      </c>
      <c r="AB116" s="5" t="s">
        <v>496</v>
      </c>
      <c r="AC116" s="5" t="s">
        <v>555</v>
      </c>
      <c r="AD116" s="11" t="s">
        <v>563</v>
      </c>
      <c r="AE116" s="23" t="n">
        <v>0.85</v>
      </c>
      <c r="AF116" s="23" t="n">
        <v>0</v>
      </c>
      <c r="AG116" s="23" t="n">
        <v>1</v>
      </c>
      <c r="AH116" s="23" t="n">
        <v>0.87</v>
      </c>
      <c r="AI116" s="23" t="n">
        <v>1</v>
      </c>
      <c r="AJ116" s="23" t="n">
        <v>0.604</v>
      </c>
      <c r="AK116" s="23" t="n">
        <v>1</v>
      </c>
      <c r="AL116" s="23" t="n">
        <v>0.6</v>
      </c>
      <c r="AM116" s="16" t="n">
        <f aca="false">COUNTIFS($D$2:$D$2501,D116,$G$2:$G$2501,"&gt;"&amp;G116)+COUNTIFS($D$2:D116,D116,$G$2:G116,G116)</f>
        <v>30</v>
      </c>
      <c r="AN116" s="5" t="str">
        <f aca="false">D116&amp;"|"&amp;AM116</f>
        <v>分析與報告生成|30</v>
      </c>
    </row>
    <row r="117" customFormat="false" ht="17.15" hidden="false" customHeight="false" outlineLevel="0" collapsed="false">
      <c r="A117" s="16" t="n">
        <f aca="false">RANK(G117,$G$2:$G$2501)+COUNTIF($G$2:G117,G117)-1</f>
        <v>116</v>
      </c>
      <c r="B117" s="11" t="s">
        <v>564</v>
      </c>
      <c r="C117" s="11" t="s">
        <v>287</v>
      </c>
      <c r="D117" s="5" t="s">
        <v>54</v>
      </c>
      <c r="E117" s="5" t="s">
        <v>55</v>
      </c>
      <c r="F117" s="5"/>
      <c r="G117" s="22" t="n">
        <f aca="false">ROUND(SUM(I117:P117),3)</f>
        <v>77.578</v>
      </c>
      <c r="H117" s="5" t="str">
        <f aca="false">IF(G117&gt;=評分方法!$C$16,"優先評估",IF(G117&gt;=評分方法!$C$17,"列入候選",IF(G117&gt;=評分方法!$C$18,"特定情境","不建議")))</f>
        <v>列入候選</v>
      </c>
      <c r="I117" s="15" t="n">
        <f aca="false">AE117*評分方法!$C$5</f>
        <v>27</v>
      </c>
      <c r="J117" s="15" t="n">
        <f aca="false">AF117*評分方法!$C$6</f>
        <v>0</v>
      </c>
      <c r="K117" s="15" t="n">
        <f aca="false">AG117*評分方法!$C$7</f>
        <v>15</v>
      </c>
      <c r="L117" s="15" t="n">
        <f aca="false">AH117*評分方法!$C$8</f>
        <v>13.05</v>
      </c>
      <c r="M117" s="15" t="n">
        <f aca="false">AI117*評分方法!$C$9</f>
        <v>10</v>
      </c>
      <c r="N117" s="15" t="n">
        <f aca="false">AJ117*評分方法!$C$10</f>
        <v>8.528</v>
      </c>
      <c r="O117" s="15" t="n">
        <f aca="false">AK117*評分方法!$C$11</f>
        <v>4</v>
      </c>
      <c r="P117" s="15" t="n">
        <f aca="false">AL117*評分方法!$C$12</f>
        <v>0</v>
      </c>
      <c r="Q117" s="6" t="n">
        <v>2344454</v>
      </c>
      <c r="R117" s="6" t="n">
        <v>7110660096</v>
      </c>
      <c r="S117" s="11" t="s">
        <v>254</v>
      </c>
      <c r="T117" s="11" t="s">
        <v>278</v>
      </c>
      <c r="U117" s="5" t="s">
        <v>240</v>
      </c>
      <c r="V117" s="11" t="s">
        <v>324</v>
      </c>
      <c r="W117" s="5" t="s">
        <v>205</v>
      </c>
      <c r="X117" s="5" t="s">
        <v>242</v>
      </c>
      <c r="Y117" s="5"/>
      <c r="Z117" s="5"/>
      <c r="AA117" s="11" t="s">
        <v>153</v>
      </c>
      <c r="AB117" s="5" t="s">
        <v>245</v>
      </c>
      <c r="AC117" s="5"/>
      <c r="AD117" s="11" t="s">
        <v>565</v>
      </c>
      <c r="AE117" s="23" t="n">
        <v>0.9</v>
      </c>
      <c r="AF117" s="23" t="n">
        <v>0</v>
      </c>
      <c r="AG117" s="23" t="n">
        <v>1</v>
      </c>
      <c r="AH117" s="23" t="n">
        <v>0.87</v>
      </c>
      <c r="AI117" s="23" t="n">
        <v>1</v>
      </c>
      <c r="AJ117" s="23" t="n">
        <v>0.8528</v>
      </c>
      <c r="AK117" s="23" t="n">
        <v>0.8</v>
      </c>
      <c r="AL117" s="23" t="n">
        <v>0</v>
      </c>
      <c r="AM117" s="16" t="n">
        <f aca="false">COUNTIFS($D$2:$D$2501,D117,$G$2:$G$2501,"&gt;"&amp;G117)+COUNTIFS($D$2:D117,D117,$G$2:G117,G117)</f>
        <v>54</v>
      </c>
      <c r="AN117" s="5" t="str">
        <f aca="false">D117&amp;"|"&amp;AM117</f>
        <v>檢索與情資關聯|54</v>
      </c>
    </row>
    <row r="118" customFormat="false" ht="17.15" hidden="false" customHeight="false" outlineLevel="0" collapsed="false">
      <c r="A118" s="16" t="n">
        <f aca="false">RANK(G118,$G$2:$G$2501)+COUNTIF($G$2:G118,G118)-1</f>
        <v>117</v>
      </c>
      <c r="B118" s="11" t="s">
        <v>566</v>
      </c>
      <c r="C118" s="11" t="s">
        <v>338</v>
      </c>
      <c r="D118" s="5" t="s">
        <v>56</v>
      </c>
      <c r="E118" s="5" t="s">
        <v>57</v>
      </c>
      <c r="F118" s="5"/>
      <c r="G118" s="22" t="n">
        <f aca="false">ROUND(SUM(I118:P118),3)</f>
        <v>77.574</v>
      </c>
      <c r="H118" s="5" t="str">
        <f aca="false">IF(G118&gt;=評分方法!$C$16,"優先評估",IF(G118&gt;=評分方法!$C$17,"列入候選",IF(G118&gt;=評分方法!$C$18,"特定情境","不建議")))</f>
        <v>列入候選</v>
      </c>
      <c r="I118" s="15" t="n">
        <f aca="false">AE118*評分方法!$C$5</f>
        <v>25.5</v>
      </c>
      <c r="J118" s="15" t="n">
        <f aca="false">AF118*評分方法!$C$6</f>
        <v>0</v>
      </c>
      <c r="K118" s="15" t="n">
        <f aca="false">AG118*評分方法!$C$7</f>
        <v>15</v>
      </c>
      <c r="L118" s="15" t="n">
        <f aca="false">AH118*評分方法!$C$8</f>
        <v>13.05</v>
      </c>
      <c r="M118" s="15" t="n">
        <f aca="false">AI118*評分方法!$C$9</f>
        <v>10</v>
      </c>
      <c r="N118" s="15" t="n">
        <f aca="false">AJ118*評分方法!$C$10</f>
        <v>4.024</v>
      </c>
      <c r="O118" s="15" t="n">
        <f aca="false">AK118*評分方法!$C$11</f>
        <v>5</v>
      </c>
      <c r="P118" s="15" t="n">
        <f aca="false">AL118*評分方法!$C$12</f>
        <v>5</v>
      </c>
      <c r="Q118" s="6" t="n">
        <v>421345</v>
      </c>
      <c r="R118" s="6" t="n">
        <v>4251743232</v>
      </c>
      <c r="S118" s="11" t="s">
        <v>254</v>
      </c>
      <c r="T118" s="11" t="s">
        <v>239</v>
      </c>
      <c r="U118" s="5" t="s">
        <v>240</v>
      </c>
      <c r="V118" s="11" t="s">
        <v>261</v>
      </c>
      <c r="W118" s="5" t="s">
        <v>205</v>
      </c>
      <c r="X118" s="5" t="s">
        <v>284</v>
      </c>
      <c r="Y118" s="11" t="s">
        <v>339</v>
      </c>
      <c r="Z118" s="11" t="s">
        <v>270</v>
      </c>
      <c r="AA118" s="11" t="s">
        <v>155</v>
      </c>
      <c r="AB118" s="5" t="s">
        <v>328</v>
      </c>
      <c r="AC118" s="5" t="s">
        <v>400</v>
      </c>
      <c r="AD118" s="11" t="s">
        <v>567</v>
      </c>
      <c r="AE118" s="23" t="n">
        <v>0.85</v>
      </c>
      <c r="AF118" s="23" t="n">
        <v>0</v>
      </c>
      <c r="AG118" s="23" t="n">
        <v>1</v>
      </c>
      <c r="AH118" s="23" t="n">
        <v>0.87</v>
      </c>
      <c r="AI118" s="23" t="n">
        <v>1</v>
      </c>
      <c r="AJ118" s="23" t="n">
        <v>0.4024</v>
      </c>
      <c r="AK118" s="23" t="n">
        <v>1</v>
      </c>
      <c r="AL118" s="23" t="n">
        <v>1</v>
      </c>
      <c r="AM118" s="16" t="n">
        <f aca="false">COUNTIFS($D$2:$D$2501,D118,$G$2:$G$2501,"&gt;"&amp;G118)+COUNTIFS($D$2:D118,D118,$G$2:G118,G118)</f>
        <v>31</v>
      </c>
      <c r="AN118" s="5" t="str">
        <f aca="false">D118&amp;"|"&amp;AM118</f>
        <v>分析與報告生成|31</v>
      </c>
    </row>
    <row r="119" customFormat="false" ht="17.15" hidden="false" customHeight="false" outlineLevel="0" collapsed="false">
      <c r="A119" s="16" t="n">
        <f aca="false">RANK(G119,$G$2:$G$2501)+COUNTIF($G$2:G119,G119)-1</f>
        <v>118</v>
      </c>
      <c r="B119" s="11" t="s">
        <v>568</v>
      </c>
      <c r="C119" s="11" t="s">
        <v>569</v>
      </c>
      <c r="D119" s="5" t="s">
        <v>68</v>
      </c>
      <c r="E119" s="11" t="s">
        <v>69</v>
      </c>
      <c r="F119" s="5"/>
      <c r="G119" s="22" t="n">
        <f aca="false">ROUND(SUM(I119:P119),3)</f>
        <v>77.48</v>
      </c>
      <c r="H119" s="5" t="str">
        <f aca="false">IF(G119&gt;=評分方法!$C$16,"優先評估",IF(G119&gt;=評分方法!$C$17,"列入候選",IF(G119&gt;=評分方法!$C$18,"特定情境","不建議")))</f>
        <v>列入候選</v>
      </c>
      <c r="I119" s="15" t="n">
        <f aca="false">AE119*評分方法!$C$5</f>
        <v>21</v>
      </c>
      <c r="J119" s="15" t="n">
        <f aca="false">AF119*評分方法!$C$6</f>
        <v>0</v>
      </c>
      <c r="K119" s="15" t="n">
        <f aca="false">AG119*評分方法!$C$7</f>
        <v>15</v>
      </c>
      <c r="L119" s="15" t="n">
        <f aca="false">AH119*評分方法!$C$8</f>
        <v>15</v>
      </c>
      <c r="M119" s="15" t="n">
        <f aca="false">AI119*評分方法!$C$9</f>
        <v>10</v>
      </c>
      <c r="N119" s="15" t="n">
        <f aca="false">AJ119*評分方法!$C$10</f>
        <v>9.98</v>
      </c>
      <c r="O119" s="15" t="n">
        <f aca="false">AK119*評分方法!$C$11</f>
        <v>5</v>
      </c>
      <c r="P119" s="15" t="n">
        <f aca="false">AL119*評分方法!$C$12</f>
        <v>1.5</v>
      </c>
      <c r="Q119" s="6" t="n">
        <v>127264368</v>
      </c>
      <c r="R119" s="6" t="n">
        <v>119477664</v>
      </c>
      <c r="S119" s="11" t="s">
        <v>238</v>
      </c>
      <c r="T119" s="11" t="s">
        <v>239</v>
      </c>
      <c r="U119" s="5" t="s">
        <v>240</v>
      </c>
      <c r="V119" s="11" t="s">
        <v>261</v>
      </c>
      <c r="W119" s="5" t="s">
        <v>205</v>
      </c>
      <c r="X119" s="5" t="s">
        <v>255</v>
      </c>
      <c r="Y119" s="5"/>
      <c r="Z119" s="5"/>
      <c r="AA119" s="11" t="s">
        <v>158</v>
      </c>
      <c r="AB119" s="5" t="s">
        <v>245</v>
      </c>
      <c r="AC119" s="5"/>
      <c r="AD119" s="11" t="s">
        <v>570</v>
      </c>
      <c r="AE119" s="23" t="n">
        <v>0.7</v>
      </c>
      <c r="AF119" s="23" t="n">
        <v>0</v>
      </c>
      <c r="AG119" s="23" t="n">
        <v>1</v>
      </c>
      <c r="AH119" s="23" t="n">
        <v>1</v>
      </c>
      <c r="AI119" s="23" t="n">
        <v>1</v>
      </c>
      <c r="AJ119" s="23" t="n">
        <v>0.998</v>
      </c>
      <c r="AK119" s="23" t="n">
        <v>1</v>
      </c>
      <c r="AL119" s="23" t="n">
        <v>0.3</v>
      </c>
      <c r="AM119" s="16" t="n">
        <f aca="false">COUNTIFS($D$2:$D$2501,D119,$G$2:$G$2501,"&gt;"&amp;G119)+COUNTIFS($D$2:D119,D119,$G$2:G119,G119)</f>
        <v>1</v>
      </c>
      <c r="AN119" s="5" t="str">
        <f aca="false">D119&amp;"|"&amp;AM119</f>
        <v>時序異常偵測|1</v>
      </c>
    </row>
    <row r="120" customFormat="false" ht="17.15" hidden="false" customHeight="false" outlineLevel="0" collapsed="false">
      <c r="A120" s="16" t="n">
        <f aca="false">RANK(G120,$G$2:$G$2501)+COUNTIF($G$2:G120,G120)-1</f>
        <v>119</v>
      </c>
      <c r="B120" s="11" t="s">
        <v>571</v>
      </c>
      <c r="C120" s="11" t="s">
        <v>461</v>
      </c>
      <c r="D120" s="5" t="s">
        <v>56</v>
      </c>
      <c r="E120" s="5" t="s">
        <v>57</v>
      </c>
      <c r="F120" s="5"/>
      <c r="G120" s="22" t="n">
        <f aca="false">ROUND(SUM(I120:P120),3)</f>
        <v>77.466</v>
      </c>
      <c r="H120" s="5" t="str">
        <f aca="false">IF(G120&gt;=評分方法!$C$16,"優先評估",IF(G120&gt;=評分方法!$C$17,"列入候選",IF(G120&gt;=評分方法!$C$18,"特定情境","不建議")))</f>
        <v>列入候選</v>
      </c>
      <c r="I120" s="15" t="n">
        <f aca="false">AE120*評分方法!$C$5</f>
        <v>25.5</v>
      </c>
      <c r="J120" s="15" t="n">
        <f aca="false">AF120*評分方法!$C$6</f>
        <v>0</v>
      </c>
      <c r="K120" s="15" t="n">
        <f aca="false">AG120*評分方法!$C$7</f>
        <v>15</v>
      </c>
      <c r="L120" s="15" t="n">
        <f aca="false">AH120*評分方法!$C$8</f>
        <v>13.05</v>
      </c>
      <c r="M120" s="15" t="n">
        <f aca="false">AI120*評分方法!$C$9</f>
        <v>6</v>
      </c>
      <c r="N120" s="15" t="n">
        <f aca="false">AJ120*評分方法!$C$10</f>
        <v>7.916</v>
      </c>
      <c r="O120" s="15" t="n">
        <f aca="false">AK120*評分方法!$C$11</f>
        <v>5</v>
      </c>
      <c r="P120" s="15" t="n">
        <f aca="false">AL120*評分方法!$C$12</f>
        <v>5</v>
      </c>
      <c r="Q120" s="6" t="n">
        <v>1486443</v>
      </c>
      <c r="R120" s="6" t="n">
        <v>1170340608</v>
      </c>
      <c r="S120" s="11" t="s">
        <v>254</v>
      </c>
      <c r="T120" s="11" t="s">
        <v>185</v>
      </c>
      <c r="U120" s="5" t="s">
        <v>260</v>
      </c>
      <c r="V120" s="11" t="s">
        <v>462</v>
      </c>
      <c r="W120" s="5" t="s">
        <v>205</v>
      </c>
      <c r="X120" s="5" t="s">
        <v>284</v>
      </c>
      <c r="Y120" s="11" t="s">
        <v>550</v>
      </c>
      <c r="Z120" s="11" t="s">
        <v>244</v>
      </c>
      <c r="AA120" s="11" t="s">
        <v>155</v>
      </c>
      <c r="AB120" s="5" t="s">
        <v>245</v>
      </c>
      <c r="AC120" s="5" t="s">
        <v>464</v>
      </c>
      <c r="AD120" s="11" t="s">
        <v>572</v>
      </c>
      <c r="AE120" s="23" t="n">
        <v>0.85</v>
      </c>
      <c r="AF120" s="23" t="n">
        <v>0</v>
      </c>
      <c r="AG120" s="23" t="n">
        <v>1</v>
      </c>
      <c r="AH120" s="23" t="n">
        <v>0.87</v>
      </c>
      <c r="AI120" s="23" t="n">
        <v>0.6</v>
      </c>
      <c r="AJ120" s="23" t="n">
        <v>0.7916</v>
      </c>
      <c r="AK120" s="23" t="n">
        <v>1</v>
      </c>
      <c r="AL120" s="23" t="n">
        <v>1</v>
      </c>
      <c r="AM120" s="16" t="n">
        <f aca="false">COUNTIFS($D$2:$D$2501,D120,$G$2:$G$2501,"&gt;"&amp;G120)+COUNTIFS($D$2:D120,D120,$G$2:G120,G120)</f>
        <v>32</v>
      </c>
      <c r="AN120" s="5" t="str">
        <f aca="false">D120&amp;"|"&amp;AM120</f>
        <v>分析與報告生成|32</v>
      </c>
    </row>
    <row r="121" customFormat="false" ht="17.15" hidden="false" customHeight="false" outlineLevel="0" collapsed="false">
      <c r="A121" s="16" t="n">
        <f aca="false">RANK(G121,$G$2:$G$2501)+COUNTIF($G$2:G121,G121)-1</f>
        <v>120</v>
      </c>
      <c r="B121" s="11" t="s">
        <v>573</v>
      </c>
      <c r="C121" s="11" t="s">
        <v>382</v>
      </c>
      <c r="D121" s="5" t="s">
        <v>54</v>
      </c>
      <c r="E121" s="5" t="s">
        <v>55</v>
      </c>
      <c r="F121" s="5"/>
      <c r="G121" s="22" t="n">
        <f aca="false">ROUND(SUM(I121:P121),3)</f>
        <v>77.464</v>
      </c>
      <c r="H121" s="5" t="str">
        <f aca="false">IF(G121&gt;=評分方法!$C$16,"優先評估",IF(G121&gt;=評分方法!$C$17,"列入候選",IF(G121&gt;=評分方法!$C$18,"特定情境","不建議")))</f>
        <v>列入候選</v>
      </c>
      <c r="I121" s="15" t="n">
        <f aca="false">AE121*評分方法!$C$5</f>
        <v>27</v>
      </c>
      <c r="J121" s="15" t="n">
        <f aca="false">AF121*評分方法!$C$6</f>
        <v>0</v>
      </c>
      <c r="K121" s="15" t="n">
        <f aca="false">AG121*評分方法!$C$7</f>
        <v>15</v>
      </c>
      <c r="L121" s="15" t="n">
        <f aca="false">AH121*評分方法!$C$8</f>
        <v>15</v>
      </c>
      <c r="M121" s="15" t="n">
        <f aca="false">AI121*評分方法!$C$9</f>
        <v>10</v>
      </c>
      <c r="N121" s="15" t="n">
        <f aca="false">AJ121*評分方法!$C$10</f>
        <v>7.964</v>
      </c>
      <c r="O121" s="15" t="n">
        <f aca="false">AK121*評分方法!$C$11</f>
        <v>2.5</v>
      </c>
      <c r="P121" s="15" t="n">
        <f aca="false">AL121*評分方法!$C$12</f>
        <v>0</v>
      </c>
      <c r="Q121" s="6" t="n">
        <v>1519258</v>
      </c>
      <c r="R121" s="6" t="n">
        <v>487066624</v>
      </c>
      <c r="S121" s="11" t="s">
        <v>238</v>
      </c>
      <c r="T121" s="11" t="s">
        <v>239</v>
      </c>
      <c r="U121" s="5" t="s">
        <v>240</v>
      </c>
      <c r="V121" s="11" t="s">
        <v>241</v>
      </c>
      <c r="W121" s="5" t="s">
        <v>205</v>
      </c>
      <c r="X121" s="5" t="s">
        <v>242</v>
      </c>
      <c r="Y121" s="5"/>
      <c r="Z121" s="5"/>
      <c r="AA121" s="11" t="s">
        <v>153</v>
      </c>
      <c r="AB121" s="5" t="s">
        <v>245</v>
      </c>
      <c r="AC121" s="5"/>
      <c r="AD121" s="11" t="s">
        <v>574</v>
      </c>
      <c r="AE121" s="23" t="n">
        <v>0.9</v>
      </c>
      <c r="AF121" s="23" t="n">
        <v>0</v>
      </c>
      <c r="AG121" s="23" t="n">
        <v>1</v>
      </c>
      <c r="AH121" s="23" t="n">
        <v>1</v>
      </c>
      <c r="AI121" s="23" t="n">
        <v>1</v>
      </c>
      <c r="AJ121" s="23" t="n">
        <v>0.7964</v>
      </c>
      <c r="AK121" s="23" t="n">
        <v>0.5</v>
      </c>
      <c r="AL121" s="23" t="n">
        <v>0</v>
      </c>
      <c r="AM121" s="16" t="n">
        <f aca="false">COUNTIFS($D$2:$D$2501,D121,$G$2:$G$2501,"&gt;"&amp;G121)+COUNTIFS($D$2:D121,D121,$G$2:G121,G121)</f>
        <v>55</v>
      </c>
      <c r="AN121" s="5" t="str">
        <f aca="false">D121&amp;"|"&amp;AM121</f>
        <v>檢索與情資關聯|55</v>
      </c>
    </row>
    <row r="122" customFormat="false" ht="17.15" hidden="false" customHeight="false" outlineLevel="0" collapsed="false">
      <c r="A122" s="16" t="n">
        <f aca="false">RANK(G122,$G$2:$G$2501)+COUNTIF($G$2:G122,G122)-1</f>
        <v>121</v>
      </c>
      <c r="B122" s="11" t="s">
        <v>575</v>
      </c>
      <c r="C122" s="11" t="s">
        <v>368</v>
      </c>
      <c r="D122" s="5" t="s">
        <v>56</v>
      </c>
      <c r="E122" s="5" t="s">
        <v>57</v>
      </c>
      <c r="F122" s="5"/>
      <c r="G122" s="22" t="n">
        <f aca="false">ROUND(SUM(I122:P122),3)</f>
        <v>77.436</v>
      </c>
      <c r="H122" s="5" t="str">
        <f aca="false">IF(G122&gt;=評分方法!$C$16,"優先評估",IF(G122&gt;=評分方法!$C$17,"列入候選",IF(G122&gt;=評分方法!$C$18,"特定情境","不建議")))</f>
        <v>列入候選</v>
      </c>
      <c r="I122" s="15" t="n">
        <f aca="false">AE122*評分方法!$C$5</f>
        <v>25.5</v>
      </c>
      <c r="J122" s="15" t="n">
        <f aca="false">AF122*評分方法!$C$6</f>
        <v>0</v>
      </c>
      <c r="K122" s="15" t="n">
        <f aca="false">AG122*評分方法!$C$7</f>
        <v>15</v>
      </c>
      <c r="L122" s="15" t="n">
        <f aca="false">AH122*評分方法!$C$8</f>
        <v>9</v>
      </c>
      <c r="M122" s="15" t="n">
        <f aca="false">AI122*評分方法!$C$9</f>
        <v>10</v>
      </c>
      <c r="N122" s="15" t="n">
        <f aca="false">AJ122*評分方法!$C$10</f>
        <v>9.936</v>
      </c>
      <c r="O122" s="15" t="n">
        <f aca="false">AK122*評分方法!$C$11</f>
        <v>5</v>
      </c>
      <c r="P122" s="15" t="n">
        <f aca="false">AL122*評分方法!$C$12</f>
        <v>3</v>
      </c>
      <c r="Q122" s="6" t="n">
        <v>68622501</v>
      </c>
      <c r="R122" s="6" t="n">
        <v>25805936206</v>
      </c>
      <c r="S122" s="11" t="s">
        <v>389</v>
      </c>
      <c r="T122" s="11" t="s">
        <v>239</v>
      </c>
      <c r="U122" s="5" t="s">
        <v>240</v>
      </c>
      <c r="V122" s="11" t="s">
        <v>261</v>
      </c>
      <c r="W122" s="5" t="s">
        <v>205</v>
      </c>
      <c r="X122" s="5" t="s">
        <v>371</v>
      </c>
      <c r="Y122" s="11" t="s">
        <v>576</v>
      </c>
      <c r="Z122" s="11" t="s">
        <v>270</v>
      </c>
      <c r="AA122" s="11" t="s">
        <v>156</v>
      </c>
      <c r="AB122" s="5" t="s">
        <v>245</v>
      </c>
      <c r="AC122" s="5"/>
      <c r="AD122" s="11" t="s">
        <v>577</v>
      </c>
      <c r="AE122" s="23" t="n">
        <v>0.85</v>
      </c>
      <c r="AF122" s="23" t="n">
        <v>0</v>
      </c>
      <c r="AG122" s="23" t="n">
        <v>1</v>
      </c>
      <c r="AH122" s="23" t="n">
        <v>0.6</v>
      </c>
      <c r="AI122" s="23" t="n">
        <v>1</v>
      </c>
      <c r="AJ122" s="23" t="n">
        <v>0.9936</v>
      </c>
      <c r="AK122" s="23" t="n">
        <v>1</v>
      </c>
      <c r="AL122" s="23" t="n">
        <v>0.6</v>
      </c>
      <c r="AM122" s="16" t="n">
        <f aca="false">COUNTIFS($D$2:$D$2501,D122,$G$2:$G$2501,"&gt;"&amp;G122)+COUNTIFS($D$2:D122,D122,$G$2:G122,G122)</f>
        <v>33</v>
      </c>
      <c r="AN122" s="5" t="str">
        <f aca="false">D122&amp;"|"&amp;AM122</f>
        <v>分析與報告生成|33</v>
      </c>
    </row>
    <row r="123" customFormat="false" ht="17.15" hidden="false" customHeight="false" outlineLevel="0" collapsed="false">
      <c r="A123" s="16" t="n">
        <f aca="false">RANK(G123,$G$2:$G$2501)+COUNTIF($G$2:G123,G123)-1</f>
        <v>122</v>
      </c>
      <c r="B123" s="11" t="s">
        <v>578</v>
      </c>
      <c r="C123" s="11" t="s">
        <v>579</v>
      </c>
      <c r="D123" s="5" t="s">
        <v>68</v>
      </c>
      <c r="E123" s="11" t="s">
        <v>69</v>
      </c>
      <c r="F123" s="5"/>
      <c r="G123" s="22" t="n">
        <f aca="false">ROUND(SUM(I123:P123),3)</f>
        <v>77.432</v>
      </c>
      <c r="H123" s="5" t="str">
        <f aca="false">IF(G123&gt;=評分方法!$C$16,"優先評估",IF(G123&gt;=評分方法!$C$17,"列入候選",IF(G123&gt;=評分方法!$C$18,"特定情境","不建議")))</f>
        <v>列入候選</v>
      </c>
      <c r="I123" s="15" t="n">
        <f aca="false">AE123*評分方法!$C$5</f>
        <v>21</v>
      </c>
      <c r="J123" s="15" t="n">
        <f aca="false">AF123*評分方法!$C$6</f>
        <v>0</v>
      </c>
      <c r="K123" s="15" t="n">
        <f aca="false">AG123*評分方法!$C$7</f>
        <v>15</v>
      </c>
      <c r="L123" s="15" t="n">
        <f aca="false">AH123*評分方法!$C$8</f>
        <v>15</v>
      </c>
      <c r="M123" s="15" t="n">
        <f aca="false">AI123*評分方法!$C$9</f>
        <v>10</v>
      </c>
      <c r="N123" s="15" t="n">
        <f aca="false">AJ123*評分方法!$C$10</f>
        <v>9.932</v>
      </c>
      <c r="O123" s="15" t="n">
        <f aca="false">AK123*評分方法!$C$11</f>
        <v>5</v>
      </c>
      <c r="P123" s="15" t="n">
        <f aca="false">AL123*評分方法!$C$12</f>
        <v>1.5</v>
      </c>
      <c r="Q123" s="6" t="n">
        <v>65553823</v>
      </c>
      <c r="R123" s="6" t="n">
        <v>119477664</v>
      </c>
      <c r="S123" s="11" t="s">
        <v>238</v>
      </c>
      <c r="T123" s="11" t="s">
        <v>239</v>
      </c>
      <c r="U123" s="5" t="s">
        <v>240</v>
      </c>
      <c r="V123" s="11" t="s">
        <v>261</v>
      </c>
      <c r="W123" s="5" t="s">
        <v>205</v>
      </c>
      <c r="X123" s="5" t="s">
        <v>255</v>
      </c>
      <c r="Y123" s="5"/>
      <c r="Z123" s="5"/>
      <c r="AA123" s="11" t="s">
        <v>158</v>
      </c>
      <c r="AB123" s="5" t="s">
        <v>245</v>
      </c>
      <c r="AC123" s="5"/>
      <c r="AD123" s="11" t="s">
        <v>580</v>
      </c>
      <c r="AE123" s="23" t="n">
        <v>0.7</v>
      </c>
      <c r="AF123" s="23" t="n">
        <v>0</v>
      </c>
      <c r="AG123" s="23" t="n">
        <v>1</v>
      </c>
      <c r="AH123" s="23" t="n">
        <v>1</v>
      </c>
      <c r="AI123" s="23" t="n">
        <v>1</v>
      </c>
      <c r="AJ123" s="23" t="n">
        <v>0.9932</v>
      </c>
      <c r="AK123" s="23" t="n">
        <v>1</v>
      </c>
      <c r="AL123" s="23" t="n">
        <v>0.3</v>
      </c>
      <c r="AM123" s="16" t="n">
        <f aca="false">COUNTIFS($D$2:$D$2501,D123,$G$2:$G$2501,"&gt;"&amp;G123)+COUNTIFS($D$2:D123,D123,$G$2:G123,G123)</f>
        <v>2</v>
      </c>
      <c r="AN123" s="5" t="str">
        <f aca="false">D123&amp;"|"&amp;AM123</f>
        <v>時序異常偵測|2</v>
      </c>
    </row>
    <row r="124" customFormat="false" ht="17.15" hidden="false" customHeight="false" outlineLevel="0" collapsed="false">
      <c r="A124" s="16" t="n">
        <f aca="false">RANK(G124,$G$2:$G$2501)+COUNTIF($G$2:G124,G124)-1</f>
        <v>123</v>
      </c>
      <c r="B124" s="11" t="s">
        <v>581</v>
      </c>
      <c r="C124" s="11" t="s">
        <v>299</v>
      </c>
      <c r="D124" s="5" t="s">
        <v>56</v>
      </c>
      <c r="E124" s="5" t="s">
        <v>57</v>
      </c>
      <c r="F124" s="5"/>
      <c r="G124" s="22" t="n">
        <f aca="false">ROUND(SUM(I124:P124),3)</f>
        <v>77.43</v>
      </c>
      <c r="H124" s="5" t="str">
        <f aca="false">IF(G124&gt;=評分方法!$C$16,"優先評估",IF(G124&gt;=評分方法!$C$17,"列入候選",IF(G124&gt;=評分方法!$C$18,"特定情境","不建議")))</f>
        <v>列入候選</v>
      </c>
      <c r="I124" s="15" t="n">
        <f aca="false">AE124*評分方法!$C$5</f>
        <v>25.5</v>
      </c>
      <c r="J124" s="15" t="n">
        <f aca="false">AF124*評分方法!$C$6</f>
        <v>0</v>
      </c>
      <c r="K124" s="15" t="n">
        <f aca="false">AG124*評分方法!$C$7</f>
        <v>15</v>
      </c>
      <c r="L124" s="15" t="n">
        <f aca="false">AH124*評分方法!$C$8</f>
        <v>13.05</v>
      </c>
      <c r="M124" s="15" t="n">
        <f aca="false">AI124*評分方法!$C$9</f>
        <v>10</v>
      </c>
      <c r="N124" s="15" t="n">
        <f aca="false">AJ124*評分方法!$C$10</f>
        <v>6.88</v>
      </c>
      <c r="O124" s="15" t="n">
        <f aca="false">AK124*評分方法!$C$11</f>
        <v>4</v>
      </c>
      <c r="P124" s="15" t="n">
        <f aca="false">AL124*評分方法!$C$12</f>
        <v>3</v>
      </c>
      <c r="Q124" s="6" t="n">
        <v>863956</v>
      </c>
      <c r="R124" s="6" t="n">
        <v>6939037248</v>
      </c>
      <c r="S124" s="11" t="s">
        <v>254</v>
      </c>
      <c r="T124" s="11" t="s">
        <v>239</v>
      </c>
      <c r="U124" s="5" t="s">
        <v>240</v>
      </c>
      <c r="V124" s="11" t="s">
        <v>261</v>
      </c>
      <c r="W124" s="5" t="s">
        <v>205</v>
      </c>
      <c r="X124" s="5" t="s">
        <v>371</v>
      </c>
      <c r="Y124" s="5"/>
      <c r="Z124" s="5"/>
      <c r="AA124" s="11" t="s">
        <v>155</v>
      </c>
      <c r="AB124" s="5" t="s">
        <v>245</v>
      </c>
      <c r="AC124" s="5"/>
      <c r="AD124" s="11" t="s">
        <v>582</v>
      </c>
      <c r="AE124" s="23" t="n">
        <v>0.85</v>
      </c>
      <c r="AF124" s="23" t="n">
        <v>0</v>
      </c>
      <c r="AG124" s="23" t="n">
        <v>1</v>
      </c>
      <c r="AH124" s="23" t="n">
        <v>0.87</v>
      </c>
      <c r="AI124" s="23" t="n">
        <v>1</v>
      </c>
      <c r="AJ124" s="23" t="n">
        <v>0.688</v>
      </c>
      <c r="AK124" s="23" t="n">
        <v>0.8</v>
      </c>
      <c r="AL124" s="23" t="n">
        <v>0.6</v>
      </c>
      <c r="AM124" s="16" t="n">
        <f aca="false">COUNTIFS($D$2:$D$2501,D124,$G$2:$G$2501,"&gt;"&amp;G124)+COUNTIFS($D$2:D124,D124,$G$2:G124,G124)</f>
        <v>34</v>
      </c>
      <c r="AN124" s="5" t="str">
        <f aca="false">D124&amp;"|"&amp;AM124</f>
        <v>分析與報告生成|34</v>
      </c>
    </row>
    <row r="125" customFormat="false" ht="17.15" hidden="false" customHeight="false" outlineLevel="0" collapsed="false">
      <c r="A125" s="16" t="n">
        <f aca="false">RANK(G125,$G$2:$G$2501)+COUNTIF($G$2:G125,G125)-1</f>
        <v>124</v>
      </c>
      <c r="B125" s="11" t="s">
        <v>583</v>
      </c>
      <c r="C125" s="11" t="s">
        <v>368</v>
      </c>
      <c r="D125" s="5" t="s">
        <v>56</v>
      </c>
      <c r="E125" s="5" t="s">
        <v>57</v>
      </c>
      <c r="F125" s="5"/>
      <c r="G125" s="22" t="n">
        <f aca="false">ROUND(SUM(I125:P125),3)</f>
        <v>77.428</v>
      </c>
      <c r="H125" s="5" t="str">
        <f aca="false">IF(G125&gt;=評分方法!$C$16,"優先評估",IF(G125&gt;=評分方法!$C$17,"列入候選",IF(G125&gt;=評分方法!$C$18,"特定情境","不建議")))</f>
        <v>列入候選</v>
      </c>
      <c r="I125" s="15" t="n">
        <f aca="false">AE125*評分方法!$C$5</f>
        <v>25.5</v>
      </c>
      <c r="J125" s="15" t="n">
        <f aca="false">AF125*評分方法!$C$6</f>
        <v>0</v>
      </c>
      <c r="K125" s="15" t="n">
        <f aca="false">AG125*評分方法!$C$7</f>
        <v>15</v>
      </c>
      <c r="L125" s="15" t="n">
        <f aca="false">AH125*評分方法!$C$8</f>
        <v>9</v>
      </c>
      <c r="M125" s="15" t="n">
        <f aca="false">AI125*評分方法!$C$9</f>
        <v>10</v>
      </c>
      <c r="N125" s="15" t="n">
        <f aca="false">AJ125*評分方法!$C$10</f>
        <v>9.928</v>
      </c>
      <c r="O125" s="15" t="n">
        <f aca="false">AK125*評分方法!$C$11</f>
        <v>5</v>
      </c>
      <c r="P125" s="15" t="n">
        <f aca="false">AL125*評分方法!$C$12</f>
        <v>3</v>
      </c>
      <c r="Q125" s="6" t="n">
        <v>64138114</v>
      </c>
      <c r="R125" s="6" t="n">
        <v>31273088876</v>
      </c>
      <c r="S125" s="11" t="s">
        <v>389</v>
      </c>
      <c r="T125" s="11" t="s">
        <v>239</v>
      </c>
      <c r="U125" s="5" t="s">
        <v>240</v>
      </c>
      <c r="V125" s="11" t="s">
        <v>261</v>
      </c>
      <c r="W125" s="5" t="s">
        <v>205</v>
      </c>
      <c r="X125" s="5" t="s">
        <v>371</v>
      </c>
      <c r="Y125" s="11" t="s">
        <v>584</v>
      </c>
      <c r="Z125" s="11" t="s">
        <v>270</v>
      </c>
      <c r="AA125" s="11" t="s">
        <v>156</v>
      </c>
      <c r="AB125" s="5" t="s">
        <v>245</v>
      </c>
      <c r="AC125" s="5"/>
      <c r="AD125" s="11" t="s">
        <v>585</v>
      </c>
      <c r="AE125" s="23" t="n">
        <v>0.85</v>
      </c>
      <c r="AF125" s="23" t="n">
        <v>0</v>
      </c>
      <c r="AG125" s="23" t="n">
        <v>1</v>
      </c>
      <c r="AH125" s="23" t="n">
        <v>0.6</v>
      </c>
      <c r="AI125" s="23" t="n">
        <v>1</v>
      </c>
      <c r="AJ125" s="23" t="n">
        <v>0.9928</v>
      </c>
      <c r="AK125" s="23" t="n">
        <v>1</v>
      </c>
      <c r="AL125" s="23" t="n">
        <v>0.6</v>
      </c>
      <c r="AM125" s="16" t="n">
        <f aca="false">COUNTIFS($D$2:$D$2501,D125,$G$2:$G$2501,"&gt;"&amp;G125)+COUNTIFS($D$2:D125,D125,$G$2:G125,G125)</f>
        <v>35</v>
      </c>
      <c r="AN125" s="5" t="str">
        <f aca="false">D125&amp;"|"&amp;AM125</f>
        <v>分析與報告生成|35</v>
      </c>
    </row>
    <row r="126" customFormat="false" ht="17.15" hidden="false" customHeight="false" outlineLevel="0" collapsed="false">
      <c r="A126" s="16" t="n">
        <f aca="false">RANK(G126,$G$2:$G$2501)+COUNTIF($G$2:G126,G126)-1</f>
        <v>125</v>
      </c>
      <c r="B126" s="11" t="s">
        <v>586</v>
      </c>
      <c r="C126" s="11" t="s">
        <v>282</v>
      </c>
      <c r="D126" s="5" t="s">
        <v>54</v>
      </c>
      <c r="E126" s="5" t="s">
        <v>55</v>
      </c>
      <c r="F126" s="5"/>
      <c r="G126" s="22" t="n">
        <f aca="false">ROUND(SUM(I126:P126),3)</f>
        <v>77.36</v>
      </c>
      <c r="H126" s="5" t="str">
        <f aca="false">IF(G126&gt;=評分方法!$C$16,"優先評估",IF(G126&gt;=評分方法!$C$17,"列入候選",IF(G126&gt;=評分方法!$C$18,"特定情境","不建議")))</f>
        <v>列入候選</v>
      </c>
      <c r="I126" s="15" t="n">
        <f aca="false">AE126*評分方法!$C$5</f>
        <v>27</v>
      </c>
      <c r="J126" s="15" t="n">
        <f aca="false">AF126*評分方法!$C$6</f>
        <v>0</v>
      </c>
      <c r="K126" s="15" t="n">
        <f aca="false">AG126*評分方法!$C$7</f>
        <v>15</v>
      </c>
      <c r="L126" s="15" t="n">
        <f aca="false">AH126*評分方法!$C$8</f>
        <v>15</v>
      </c>
      <c r="M126" s="15" t="n">
        <f aca="false">AI126*評分方法!$C$9</f>
        <v>10</v>
      </c>
      <c r="N126" s="15" t="n">
        <f aca="false">AJ126*評分方法!$C$10</f>
        <v>7.86</v>
      </c>
      <c r="O126" s="15" t="n">
        <f aca="false">AK126*評分方法!$C$11</f>
        <v>2.5</v>
      </c>
      <c r="P126" s="15" t="n">
        <f aca="false">AL126*評分方法!$C$12</f>
        <v>0</v>
      </c>
      <c r="Q126" s="6" t="n">
        <v>1444334</v>
      </c>
      <c r="R126" s="6" t="n">
        <v>66362880</v>
      </c>
      <c r="S126" s="11" t="s">
        <v>238</v>
      </c>
      <c r="T126" s="11" t="s">
        <v>239</v>
      </c>
      <c r="U126" s="5" t="s">
        <v>240</v>
      </c>
      <c r="V126" s="11" t="s">
        <v>283</v>
      </c>
      <c r="W126" s="5" t="s">
        <v>205</v>
      </c>
      <c r="X126" s="5" t="s">
        <v>242</v>
      </c>
      <c r="Y126" s="5"/>
      <c r="Z126" s="5"/>
      <c r="AA126" s="11" t="s">
        <v>152</v>
      </c>
      <c r="AB126" s="5" t="s">
        <v>245</v>
      </c>
      <c r="AC126" s="5"/>
      <c r="AD126" s="11" t="s">
        <v>587</v>
      </c>
      <c r="AE126" s="23" t="n">
        <v>0.9</v>
      </c>
      <c r="AF126" s="23" t="n">
        <v>0</v>
      </c>
      <c r="AG126" s="23" t="n">
        <v>1</v>
      </c>
      <c r="AH126" s="23" t="n">
        <v>1</v>
      </c>
      <c r="AI126" s="23" t="n">
        <v>1</v>
      </c>
      <c r="AJ126" s="23" t="n">
        <v>0.786</v>
      </c>
      <c r="AK126" s="23" t="n">
        <v>0.5</v>
      </c>
      <c r="AL126" s="23" t="n">
        <v>0</v>
      </c>
      <c r="AM126" s="16" t="n">
        <f aca="false">COUNTIFS($D$2:$D$2501,D126,$G$2:$G$2501,"&gt;"&amp;G126)+COUNTIFS($D$2:D126,D126,$G$2:G126,G126)</f>
        <v>56</v>
      </c>
      <c r="AN126" s="5" t="str">
        <f aca="false">D126&amp;"|"&amp;AM126</f>
        <v>檢索與情資關聯|56</v>
      </c>
    </row>
    <row r="127" customFormat="false" ht="17.15" hidden="false" customHeight="false" outlineLevel="0" collapsed="false">
      <c r="A127" s="16" t="n">
        <f aca="false">RANK(G127,$G$2:$G$2501)+COUNTIF($G$2:G127,G127)-1</f>
        <v>126</v>
      </c>
      <c r="B127" s="11" t="s">
        <v>588</v>
      </c>
      <c r="C127" s="11" t="s">
        <v>417</v>
      </c>
      <c r="D127" s="5" t="s">
        <v>56</v>
      </c>
      <c r="E127" s="5" t="s">
        <v>57</v>
      </c>
      <c r="F127" s="5"/>
      <c r="G127" s="22" t="n">
        <f aca="false">ROUND(SUM(I127:P127),3)</f>
        <v>77.348</v>
      </c>
      <c r="H127" s="5" t="str">
        <f aca="false">IF(G127&gt;=評分方法!$C$16,"優先評估",IF(G127&gt;=評分方法!$C$17,"列入候選",IF(G127&gt;=評分方法!$C$18,"特定情境","不建議")))</f>
        <v>列入候選</v>
      </c>
      <c r="I127" s="15" t="n">
        <f aca="false">AE127*評分方法!$C$5</f>
        <v>25.5</v>
      </c>
      <c r="J127" s="15" t="n">
        <f aca="false">AF127*評分方法!$C$6</f>
        <v>0</v>
      </c>
      <c r="K127" s="15" t="n">
        <f aca="false">AG127*評分方法!$C$7</f>
        <v>15</v>
      </c>
      <c r="L127" s="15" t="n">
        <f aca="false">AH127*評分方法!$C$8</f>
        <v>15</v>
      </c>
      <c r="M127" s="15" t="n">
        <f aca="false">AI127*評分方法!$C$9</f>
        <v>10</v>
      </c>
      <c r="N127" s="15" t="n">
        <f aca="false">AJ127*評分方法!$C$10</f>
        <v>9.348</v>
      </c>
      <c r="O127" s="15" t="n">
        <f aca="false">AK127*評分方法!$C$11</f>
        <v>2.5</v>
      </c>
      <c r="P127" s="15" t="n">
        <f aca="false">AL127*評分方法!$C$12</f>
        <v>0</v>
      </c>
      <c r="Q127" s="6" t="n">
        <v>6678687</v>
      </c>
      <c r="R127" s="6" t="n">
        <v>507482304</v>
      </c>
      <c r="S127" s="11" t="s">
        <v>238</v>
      </c>
      <c r="T127" s="11" t="s">
        <v>239</v>
      </c>
      <c r="U127" s="5" t="s">
        <v>240</v>
      </c>
      <c r="V127" s="11" t="s">
        <v>241</v>
      </c>
      <c r="W127" s="5" t="s">
        <v>205</v>
      </c>
      <c r="X127" s="5" t="s">
        <v>242</v>
      </c>
      <c r="Y127" s="11" t="s">
        <v>589</v>
      </c>
      <c r="Z127" s="11" t="s">
        <v>244</v>
      </c>
      <c r="AA127" s="11" t="s">
        <v>156</v>
      </c>
      <c r="AB127" s="5" t="s">
        <v>245</v>
      </c>
      <c r="AC127" s="5" t="s">
        <v>246</v>
      </c>
      <c r="AD127" s="11" t="s">
        <v>590</v>
      </c>
      <c r="AE127" s="23" t="n">
        <v>0.85</v>
      </c>
      <c r="AF127" s="23" t="n">
        <v>0</v>
      </c>
      <c r="AG127" s="23" t="n">
        <v>1</v>
      </c>
      <c r="AH127" s="23" t="n">
        <v>1</v>
      </c>
      <c r="AI127" s="23" t="n">
        <v>1</v>
      </c>
      <c r="AJ127" s="23" t="n">
        <v>0.9348</v>
      </c>
      <c r="AK127" s="23" t="n">
        <v>0.5</v>
      </c>
      <c r="AL127" s="23" t="n">
        <v>0</v>
      </c>
      <c r="AM127" s="16" t="n">
        <f aca="false">COUNTIFS($D$2:$D$2501,D127,$G$2:$G$2501,"&gt;"&amp;G127)+COUNTIFS($D$2:D127,D127,$G$2:G127,G127)</f>
        <v>36</v>
      </c>
      <c r="AN127" s="5" t="str">
        <f aca="false">D127&amp;"|"&amp;AM127</f>
        <v>分析與報告生成|36</v>
      </c>
    </row>
    <row r="128" customFormat="false" ht="17.15" hidden="false" customHeight="false" outlineLevel="0" collapsed="false">
      <c r="A128" s="16" t="n">
        <f aca="false">RANK(G128,$G$2:$G$2501)+COUNTIF($G$2:G128,G128)-1</f>
        <v>127</v>
      </c>
      <c r="B128" s="11" t="s">
        <v>591</v>
      </c>
      <c r="C128" s="11" t="s">
        <v>237</v>
      </c>
      <c r="D128" s="5" t="s">
        <v>70</v>
      </c>
      <c r="E128" s="5" t="s">
        <v>71</v>
      </c>
      <c r="F128" s="5" t="s">
        <v>70</v>
      </c>
      <c r="G128" s="22" t="n">
        <f aca="false">ROUND(SUM(I128:P128),3)</f>
        <v>77.298</v>
      </c>
      <c r="H128" s="5" t="str">
        <f aca="false">IF(G128&gt;=評分方法!$C$16,"優先評估",IF(G128&gt;=評分方法!$C$17,"列入候選",IF(G128&gt;=評分方法!$C$18,"特定情境","不建議")))</f>
        <v>列入候選</v>
      </c>
      <c r="I128" s="15" t="n">
        <f aca="false">AE128*評分方法!$C$5</f>
        <v>28.5</v>
      </c>
      <c r="J128" s="15" t="n">
        <f aca="false">AF128*評分方法!$C$6</f>
        <v>5</v>
      </c>
      <c r="K128" s="15" t="n">
        <f aca="false">AG128*評分方法!$C$7</f>
        <v>15</v>
      </c>
      <c r="L128" s="15" t="n">
        <f aca="false">AH128*評分方法!$C$8</f>
        <v>7.05</v>
      </c>
      <c r="M128" s="15" t="n">
        <f aca="false">AI128*評分方法!$C$9</f>
        <v>10</v>
      </c>
      <c r="N128" s="15" t="n">
        <f aca="false">AJ128*評分方法!$C$10</f>
        <v>6.748</v>
      </c>
      <c r="O128" s="15" t="n">
        <f aca="false">AK128*評分方法!$C$11</f>
        <v>5</v>
      </c>
      <c r="P128" s="15" t="n">
        <f aca="false">AL128*評分方法!$C$12</f>
        <v>0</v>
      </c>
      <c r="Q128" s="6" t="n">
        <v>828091</v>
      </c>
      <c r="R128" s="6"/>
      <c r="S128" s="5" t="s">
        <v>255</v>
      </c>
      <c r="T128" s="11" t="s">
        <v>239</v>
      </c>
      <c r="U128" s="5" t="s">
        <v>240</v>
      </c>
      <c r="V128" s="11" t="s">
        <v>514</v>
      </c>
      <c r="W128" s="5" t="s">
        <v>205</v>
      </c>
      <c r="X128" s="5" t="s">
        <v>242</v>
      </c>
      <c r="Y128" s="11" t="s">
        <v>592</v>
      </c>
      <c r="Z128" s="11" t="s">
        <v>244</v>
      </c>
      <c r="AA128" s="11" t="s">
        <v>150</v>
      </c>
      <c r="AB128" s="5" t="s">
        <v>245</v>
      </c>
      <c r="AC128" s="5" t="s">
        <v>246</v>
      </c>
      <c r="AD128" s="11" t="s">
        <v>593</v>
      </c>
      <c r="AE128" s="23" t="n">
        <v>0.95</v>
      </c>
      <c r="AF128" s="23" t="n">
        <v>0.5</v>
      </c>
      <c r="AG128" s="23" t="n">
        <v>1</v>
      </c>
      <c r="AH128" s="23" t="n">
        <v>0.47</v>
      </c>
      <c r="AI128" s="23" t="n">
        <v>1</v>
      </c>
      <c r="AJ128" s="23" t="n">
        <v>0.6748</v>
      </c>
      <c r="AK128" s="23" t="n">
        <v>1</v>
      </c>
      <c r="AL128" s="23" t="n">
        <v>0</v>
      </c>
      <c r="AM128" s="16" t="n">
        <f aca="false">COUNTIFS($D$2:$D$2501,D128,$G$2:$G$2501,"&gt;"&amp;G128)+COUNTIFS($D$2:D128,D128,$G$2:G128,G128)</f>
        <v>1</v>
      </c>
      <c r="AN128" s="5" t="str">
        <f aca="false">D128&amp;"|"&amp;AM128</f>
        <v>內容安全審查|1</v>
      </c>
    </row>
    <row r="129" customFormat="false" ht="17.15" hidden="false" customHeight="false" outlineLevel="0" collapsed="false">
      <c r="A129" s="16" t="n">
        <f aca="false">RANK(G129,$G$2:$G$2501)+COUNTIF($G$2:G129,G129)-1</f>
        <v>128</v>
      </c>
      <c r="B129" s="11" t="s">
        <v>594</v>
      </c>
      <c r="C129" s="11" t="s">
        <v>402</v>
      </c>
      <c r="D129" s="5" t="s">
        <v>48</v>
      </c>
      <c r="E129" s="5" t="s">
        <v>49</v>
      </c>
      <c r="F129" s="5" t="s">
        <v>48</v>
      </c>
      <c r="G129" s="22" t="n">
        <f aca="false">ROUND(SUM(I129:P129),3)</f>
        <v>77.282</v>
      </c>
      <c r="H129" s="5" t="str">
        <f aca="false">IF(G129&gt;=評分方法!$C$16,"優先評估",IF(G129&gt;=評分方法!$C$17,"列入候選",IF(G129&gt;=評分方法!$C$18,"特定情境","不建議")))</f>
        <v>列入候選</v>
      </c>
      <c r="I129" s="15" t="n">
        <f aca="false">AE129*評分方法!$C$5</f>
        <v>28.5</v>
      </c>
      <c r="J129" s="15" t="n">
        <f aca="false">AF129*評分方法!$C$6</f>
        <v>10</v>
      </c>
      <c r="K129" s="15" t="n">
        <f aca="false">AG129*評分方法!$C$7</f>
        <v>4.95</v>
      </c>
      <c r="L129" s="15" t="n">
        <f aca="false">AH129*評分方法!$C$8</f>
        <v>15</v>
      </c>
      <c r="M129" s="15" t="n">
        <f aca="false">AI129*評分方法!$C$9</f>
        <v>10</v>
      </c>
      <c r="N129" s="15" t="n">
        <f aca="false">AJ129*評分方法!$C$10</f>
        <v>4.832</v>
      </c>
      <c r="O129" s="15" t="n">
        <f aca="false">AK129*評分方法!$C$11</f>
        <v>4</v>
      </c>
      <c r="P129" s="15" t="n">
        <f aca="false">AL129*評分方法!$C$12</f>
        <v>0</v>
      </c>
      <c r="Q129" s="6" t="n">
        <v>526530</v>
      </c>
      <c r="R129" s="6" t="n">
        <v>434120810</v>
      </c>
      <c r="S129" s="11" t="s">
        <v>238</v>
      </c>
      <c r="T129" s="11" t="s">
        <v>239</v>
      </c>
      <c r="U129" s="5" t="s">
        <v>240</v>
      </c>
      <c r="V129" s="11" t="s">
        <v>261</v>
      </c>
      <c r="W129" s="5" t="s">
        <v>334</v>
      </c>
      <c r="X129" s="5" t="s">
        <v>242</v>
      </c>
      <c r="Y129" s="11" t="s">
        <v>595</v>
      </c>
      <c r="Z129" s="11" t="s">
        <v>270</v>
      </c>
      <c r="AA129" s="11" t="s">
        <v>150</v>
      </c>
      <c r="AB129" s="5" t="s">
        <v>245</v>
      </c>
      <c r="AC129" s="5"/>
      <c r="AD129" s="11" t="s">
        <v>596</v>
      </c>
      <c r="AE129" s="23" t="n">
        <v>0.95</v>
      </c>
      <c r="AF129" s="23" t="n">
        <v>1</v>
      </c>
      <c r="AG129" s="23" t="n">
        <v>0.33</v>
      </c>
      <c r="AH129" s="23" t="n">
        <v>1</v>
      </c>
      <c r="AI129" s="23" t="n">
        <v>1</v>
      </c>
      <c r="AJ129" s="23" t="n">
        <v>0.4832</v>
      </c>
      <c r="AK129" s="23" t="n">
        <v>0.8</v>
      </c>
      <c r="AL129" s="23" t="n">
        <v>0</v>
      </c>
      <c r="AM129" s="16" t="n">
        <f aca="false">COUNTIFS($D$2:$D$2501,D129,$G$2:$G$2501,"&gt;"&amp;G129)+COUNTIFS($D$2:D129,D129,$G$2:G129,G129)</f>
        <v>9</v>
      </c>
      <c r="AN129" s="5" t="str">
        <f aca="false">D129&amp;"|"&amp;AM129</f>
        <v>個資偵測與去識別化|9</v>
      </c>
    </row>
    <row r="130" customFormat="false" ht="17.15" hidden="false" customHeight="false" outlineLevel="0" collapsed="false">
      <c r="A130" s="16" t="n">
        <f aca="false">RANK(G130,$G$2:$G$2501)+COUNTIF($G$2:G130,G130)-1</f>
        <v>129</v>
      </c>
      <c r="B130" s="11" t="s">
        <v>597</v>
      </c>
      <c r="C130" s="11" t="s">
        <v>598</v>
      </c>
      <c r="D130" s="5" t="s">
        <v>54</v>
      </c>
      <c r="E130" s="5" t="s">
        <v>55</v>
      </c>
      <c r="F130" s="5"/>
      <c r="G130" s="22" t="n">
        <f aca="false">ROUND(SUM(I130:P130),3)</f>
        <v>77.26</v>
      </c>
      <c r="H130" s="5" t="str">
        <f aca="false">IF(G130&gt;=評分方法!$C$16,"優先評估",IF(G130&gt;=評分方法!$C$17,"列入候選",IF(G130&gt;=評分方法!$C$18,"特定情境","不建議")))</f>
        <v>列入候選</v>
      </c>
      <c r="I130" s="15" t="n">
        <f aca="false">AE130*評分方法!$C$5</f>
        <v>27</v>
      </c>
      <c r="J130" s="15" t="n">
        <f aca="false">AF130*評分方法!$C$6</f>
        <v>0</v>
      </c>
      <c r="K130" s="15" t="n">
        <f aca="false">AG130*評分方法!$C$7</f>
        <v>15</v>
      </c>
      <c r="L130" s="15" t="n">
        <f aca="false">AH130*評分方法!$C$8</f>
        <v>15</v>
      </c>
      <c r="M130" s="15" t="n">
        <f aca="false">AI130*評分方法!$C$9</f>
        <v>10</v>
      </c>
      <c r="N130" s="15" t="n">
        <f aca="false">AJ130*評分方法!$C$10</f>
        <v>7.76</v>
      </c>
      <c r="O130" s="15" t="n">
        <f aca="false">AK130*評分方法!$C$11</f>
        <v>2.5</v>
      </c>
      <c r="P130" s="15" t="n">
        <f aca="false">AL130*評分方法!$C$12</f>
        <v>0</v>
      </c>
      <c r="Q130" s="6" t="n">
        <v>1338954</v>
      </c>
      <c r="R130" s="6" t="n">
        <v>149014272</v>
      </c>
      <c r="S130" s="11" t="s">
        <v>238</v>
      </c>
      <c r="T130" s="11" t="s">
        <v>239</v>
      </c>
      <c r="U130" s="5" t="s">
        <v>240</v>
      </c>
      <c r="V130" s="11" t="s">
        <v>241</v>
      </c>
      <c r="W130" s="5" t="s">
        <v>205</v>
      </c>
      <c r="X130" s="5" t="s">
        <v>242</v>
      </c>
      <c r="Y130" s="11" t="s">
        <v>350</v>
      </c>
      <c r="Z130" s="11" t="s">
        <v>270</v>
      </c>
      <c r="AA130" s="11" t="s">
        <v>152</v>
      </c>
      <c r="AB130" s="5" t="s">
        <v>245</v>
      </c>
      <c r="AC130" s="5"/>
      <c r="AD130" s="11" t="s">
        <v>599</v>
      </c>
      <c r="AE130" s="23" t="n">
        <v>0.9</v>
      </c>
      <c r="AF130" s="23" t="n">
        <v>0</v>
      </c>
      <c r="AG130" s="23" t="n">
        <v>1</v>
      </c>
      <c r="AH130" s="23" t="n">
        <v>1</v>
      </c>
      <c r="AI130" s="23" t="n">
        <v>1</v>
      </c>
      <c r="AJ130" s="23" t="n">
        <v>0.776</v>
      </c>
      <c r="AK130" s="23" t="n">
        <v>0.5</v>
      </c>
      <c r="AL130" s="23" t="n">
        <v>0</v>
      </c>
      <c r="AM130" s="16" t="n">
        <f aca="false">COUNTIFS($D$2:$D$2501,D130,$G$2:$G$2501,"&gt;"&amp;G130)+COUNTIFS($D$2:D130,D130,$G$2:G130,G130)</f>
        <v>57</v>
      </c>
      <c r="AN130" s="5" t="str">
        <f aca="false">D130&amp;"|"&amp;AM130</f>
        <v>檢索與情資關聯|57</v>
      </c>
    </row>
    <row r="131" customFormat="false" ht="17.15" hidden="false" customHeight="false" outlineLevel="0" collapsed="false">
      <c r="A131" s="16" t="n">
        <f aca="false">RANK(G131,$G$2:$G$2501)+COUNTIF($G$2:G131,G131)-1</f>
        <v>130</v>
      </c>
      <c r="B131" s="11" t="s">
        <v>600</v>
      </c>
      <c r="C131" s="11" t="s">
        <v>302</v>
      </c>
      <c r="D131" s="5" t="s">
        <v>54</v>
      </c>
      <c r="E131" s="5" t="s">
        <v>55</v>
      </c>
      <c r="F131" s="5"/>
      <c r="G131" s="22" t="n">
        <f aca="false">ROUND(SUM(I131:P131),3)</f>
        <v>77.232</v>
      </c>
      <c r="H131" s="5" t="str">
        <f aca="false">IF(G131&gt;=評分方法!$C$16,"優先評估",IF(G131&gt;=評分方法!$C$17,"列入候選",IF(G131&gt;=評分方法!$C$18,"特定情境","不建議")))</f>
        <v>列入候選</v>
      </c>
      <c r="I131" s="15" t="n">
        <f aca="false">AE131*評分方法!$C$5</f>
        <v>27</v>
      </c>
      <c r="J131" s="15" t="n">
        <f aca="false">AF131*評分方法!$C$6</f>
        <v>0</v>
      </c>
      <c r="K131" s="15" t="n">
        <f aca="false">AG131*評分方法!$C$7</f>
        <v>15</v>
      </c>
      <c r="L131" s="15" t="n">
        <f aca="false">AH131*評分方法!$C$8</f>
        <v>15</v>
      </c>
      <c r="M131" s="15" t="n">
        <f aca="false">AI131*評分方法!$C$9</f>
        <v>10</v>
      </c>
      <c r="N131" s="15" t="n">
        <f aca="false">AJ131*評分方法!$C$10</f>
        <v>7.732</v>
      </c>
      <c r="O131" s="15" t="n">
        <f aca="false">AK131*評分方法!$C$11</f>
        <v>2.5</v>
      </c>
      <c r="P131" s="15" t="n">
        <f aca="false">AL131*評分方法!$C$12</f>
        <v>0</v>
      </c>
      <c r="Q131" s="6" t="n">
        <v>1312526</v>
      </c>
      <c r="R131" s="6" t="n">
        <v>109483521</v>
      </c>
      <c r="S131" s="11" t="s">
        <v>238</v>
      </c>
      <c r="T131" s="11" t="s">
        <v>239</v>
      </c>
      <c r="U131" s="5" t="s">
        <v>240</v>
      </c>
      <c r="V131" s="11" t="s">
        <v>288</v>
      </c>
      <c r="W131" s="5" t="s">
        <v>205</v>
      </c>
      <c r="X131" s="5" t="s">
        <v>242</v>
      </c>
      <c r="Y131" s="11" t="s">
        <v>601</v>
      </c>
      <c r="Z131" s="11" t="s">
        <v>244</v>
      </c>
      <c r="AA131" s="11" t="s">
        <v>154</v>
      </c>
      <c r="AB131" s="5" t="s">
        <v>245</v>
      </c>
      <c r="AC131" s="5" t="s">
        <v>246</v>
      </c>
      <c r="AD131" s="11" t="s">
        <v>602</v>
      </c>
      <c r="AE131" s="23" t="n">
        <v>0.9</v>
      </c>
      <c r="AF131" s="23" t="n">
        <v>0</v>
      </c>
      <c r="AG131" s="23" t="n">
        <v>1</v>
      </c>
      <c r="AH131" s="23" t="n">
        <v>1</v>
      </c>
      <c r="AI131" s="23" t="n">
        <v>1</v>
      </c>
      <c r="AJ131" s="23" t="n">
        <v>0.7732</v>
      </c>
      <c r="AK131" s="23" t="n">
        <v>0.5</v>
      </c>
      <c r="AL131" s="23" t="n">
        <v>0</v>
      </c>
      <c r="AM131" s="16" t="n">
        <f aca="false">COUNTIFS($D$2:$D$2501,D131,$G$2:$G$2501,"&gt;"&amp;G131)+COUNTIFS($D$2:D131,D131,$G$2:G131,G131)</f>
        <v>58</v>
      </c>
      <c r="AN131" s="5" t="str">
        <f aca="false">D131&amp;"|"&amp;AM131</f>
        <v>檢索與情資關聯|58</v>
      </c>
    </row>
    <row r="132" customFormat="false" ht="17.15" hidden="false" customHeight="false" outlineLevel="0" collapsed="false">
      <c r="A132" s="16" t="n">
        <f aca="false">RANK(G132,$G$2:$G$2501)+COUNTIF($G$2:G132,G132)-1</f>
        <v>131</v>
      </c>
      <c r="B132" s="11" t="s">
        <v>603</v>
      </c>
      <c r="C132" s="11" t="s">
        <v>282</v>
      </c>
      <c r="D132" s="5" t="s">
        <v>54</v>
      </c>
      <c r="E132" s="5" t="s">
        <v>55</v>
      </c>
      <c r="F132" s="5"/>
      <c r="G132" s="22" t="n">
        <f aca="false">ROUND(SUM(I132:P132),3)</f>
        <v>77.22</v>
      </c>
      <c r="H132" s="5" t="str">
        <f aca="false">IF(G132&gt;=評分方法!$C$16,"優先評估",IF(G132&gt;=評分方法!$C$17,"列入候選",IF(G132&gt;=評分方法!$C$18,"特定情境","不建議")))</f>
        <v>列入候選</v>
      </c>
      <c r="I132" s="15" t="n">
        <f aca="false">AE132*評分方法!$C$5</f>
        <v>27</v>
      </c>
      <c r="J132" s="15" t="n">
        <f aca="false">AF132*評分方法!$C$6</f>
        <v>0</v>
      </c>
      <c r="K132" s="15" t="n">
        <f aca="false">AG132*評分方法!$C$7</f>
        <v>15</v>
      </c>
      <c r="L132" s="15" t="n">
        <f aca="false">AH132*評分方法!$C$8</f>
        <v>15</v>
      </c>
      <c r="M132" s="15" t="n">
        <f aca="false">AI132*評分方法!$C$9</f>
        <v>10</v>
      </c>
      <c r="N132" s="15" t="n">
        <f aca="false">AJ132*評分方法!$C$10</f>
        <v>6.22</v>
      </c>
      <c r="O132" s="15" t="n">
        <f aca="false">AK132*評分方法!$C$11</f>
        <v>2.5</v>
      </c>
      <c r="P132" s="15" t="n">
        <f aca="false">AL132*評分方法!$C$12</f>
        <v>1.5</v>
      </c>
      <c r="Q132" s="6" t="n">
        <v>673066</v>
      </c>
      <c r="R132" s="6" t="n">
        <v>278044162</v>
      </c>
      <c r="S132" s="11" t="s">
        <v>238</v>
      </c>
      <c r="T132" s="11" t="s">
        <v>239</v>
      </c>
      <c r="U132" s="5" t="s">
        <v>240</v>
      </c>
      <c r="V132" s="11" t="s">
        <v>283</v>
      </c>
      <c r="W132" s="5" t="s">
        <v>205</v>
      </c>
      <c r="X132" s="5" t="s">
        <v>255</v>
      </c>
      <c r="Y132" s="5"/>
      <c r="Z132" s="5"/>
      <c r="AA132" s="11" t="s">
        <v>152</v>
      </c>
      <c r="AB132" s="5" t="s">
        <v>245</v>
      </c>
      <c r="AC132" s="5"/>
      <c r="AD132" s="11" t="s">
        <v>604</v>
      </c>
      <c r="AE132" s="23" t="n">
        <v>0.9</v>
      </c>
      <c r="AF132" s="23" t="n">
        <v>0</v>
      </c>
      <c r="AG132" s="23" t="n">
        <v>1</v>
      </c>
      <c r="AH132" s="23" t="n">
        <v>1</v>
      </c>
      <c r="AI132" s="23" t="n">
        <v>1</v>
      </c>
      <c r="AJ132" s="23" t="n">
        <v>0.622</v>
      </c>
      <c r="AK132" s="23" t="n">
        <v>0.5</v>
      </c>
      <c r="AL132" s="23" t="n">
        <v>0.3</v>
      </c>
      <c r="AM132" s="16" t="n">
        <f aca="false">COUNTIFS($D$2:$D$2501,D132,$G$2:$G$2501,"&gt;"&amp;G132)+COUNTIFS($D$2:D132,D132,$G$2:G132,G132)</f>
        <v>59</v>
      </c>
      <c r="AN132" s="5" t="str">
        <f aca="false">D132&amp;"|"&amp;AM132</f>
        <v>檢索與情資關聯|59</v>
      </c>
    </row>
    <row r="133" customFormat="false" ht="17.15" hidden="false" customHeight="false" outlineLevel="0" collapsed="false">
      <c r="A133" s="16" t="n">
        <f aca="false">RANK(G133,$G$2:$G$2501)+COUNTIF($G$2:G133,G133)-1</f>
        <v>132</v>
      </c>
      <c r="B133" s="11" t="s">
        <v>605</v>
      </c>
      <c r="C133" s="11" t="s">
        <v>461</v>
      </c>
      <c r="D133" s="5" t="s">
        <v>56</v>
      </c>
      <c r="E133" s="5" t="s">
        <v>57</v>
      </c>
      <c r="F133" s="5"/>
      <c r="G133" s="22" t="n">
        <f aca="false">ROUND(SUM(I133:P133),3)</f>
        <v>77.194</v>
      </c>
      <c r="H133" s="5" t="str">
        <f aca="false">IF(G133&gt;=評分方法!$C$16,"優先評估",IF(G133&gt;=評分方法!$C$17,"列入候選",IF(G133&gt;=評分方法!$C$18,"特定情境","不建議")))</f>
        <v>列入候選</v>
      </c>
      <c r="I133" s="15" t="n">
        <f aca="false">AE133*評分方法!$C$5</f>
        <v>25.5</v>
      </c>
      <c r="J133" s="15" t="n">
        <f aca="false">AF133*評分方法!$C$6</f>
        <v>0</v>
      </c>
      <c r="K133" s="15" t="n">
        <f aca="false">AG133*評分方法!$C$7</f>
        <v>15</v>
      </c>
      <c r="L133" s="15" t="n">
        <f aca="false">AH133*評分方法!$C$8</f>
        <v>13.05</v>
      </c>
      <c r="M133" s="15" t="n">
        <f aca="false">AI133*評分方法!$C$9</f>
        <v>6</v>
      </c>
      <c r="N133" s="15" t="n">
        <f aca="false">AJ133*評分方法!$C$10</f>
        <v>7.644</v>
      </c>
      <c r="O133" s="15" t="n">
        <f aca="false">AK133*評分方法!$C$11</f>
        <v>5</v>
      </c>
      <c r="P133" s="15" t="n">
        <f aca="false">AL133*評分方法!$C$12</f>
        <v>5</v>
      </c>
      <c r="Q133" s="6" t="n">
        <v>1234073</v>
      </c>
      <c r="R133" s="6" t="n">
        <v>8467856832</v>
      </c>
      <c r="S133" s="11" t="s">
        <v>254</v>
      </c>
      <c r="T133" s="11" t="s">
        <v>185</v>
      </c>
      <c r="U133" s="5" t="s">
        <v>260</v>
      </c>
      <c r="V133" s="11" t="s">
        <v>333</v>
      </c>
      <c r="W133" s="5" t="s">
        <v>205</v>
      </c>
      <c r="X133" s="5" t="s">
        <v>284</v>
      </c>
      <c r="Y133" s="11" t="s">
        <v>606</v>
      </c>
      <c r="Z133" s="11" t="s">
        <v>244</v>
      </c>
      <c r="AA133" s="11" t="s">
        <v>155</v>
      </c>
      <c r="AB133" s="5" t="s">
        <v>245</v>
      </c>
      <c r="AC133" s="5" t="s">
        <v>464</v>
      </c>
      <c r="AD133" s="11" t="s">
        <v>607</v>
      </c>
      <c r="AE133" s="23" t="n">
        <v>0.85</v>
      </c>
      <c r="AF133" s="23" t="n">
        <v>0</v>
      </c>
      <c r="AG133" s="23" t="n">
        <v>1</v>
      </c>
      <c r="AH133" s="23" t="n">
        <v>0.87</v>
      </c>
      <c r="AI133" s="23" t="n">
        <v>0.6</v>
      </c>
      <c r="AJ133" s="23" t="n">
        <v>0.7644</v>
      </c>
      <c r="AK133" s="23" t="n">
        <v>1</v>
      </c>
      <c r="AL133" s="23" t="n">
        <v>1</v>
      </c>
      <c r="AM133" s="16" t="n">
        <f aca="false">COUNTIFS($D$2:$D$2501,D133,$G$2:$G$2501,"&gt;"&amp;G133)+COUNTIFS($D$2:D133,D133,$G$2:G133,G133)</f>
        <v>37</v>
      </c>
      <c r="AN133" s="5" t="str">
        <f aca="false">D133&amp;"|"&amp;AM133</f>
        <v>分析與報告生成|37</v>
      </c>
    </row>
    <row r="134" customFormat="false" ht="17.15" hidden="false" customHeight="false" outlineLevel="0" collapsed="false">
      <c r="A134" s="16" t="n">
        <f aca="false">RANK(G134,$G$2:$G$2501)+COUNTIF($G$2:G134,G134)-1</f>
        <v>133</v>
      </c>
      <c r="B134" s="11" t="s">
        <v>608</v>
      </c>
      <c r="C134" s="11" t="s">
        <v>287</v>
      </c>
      <c r="D134" s="5" t="s">
        <v>54</v>
      </c>
      <c r="E134" s="5" t="s">
        <v>55</v>
      </c>
      <c r="F134" s="5"/>
      <c r="G134" s="22" t="n">
        <f aca="false">ROUND(SUM(I134:P134),3)</f>
        <v>77.184</v>
      </c>
      <c r="H134" s="5" t="str">
        <f aca="false">IF(G134&gt;=評分方法!$C$16,"優先評估",IF(G134&gt;=評分方法!$C$17,"列入候選",IF(G134&gt;=評分方法!$C$18,"特定情境","不建議")))</f>
        <v>列入候選</v>
      </c>
      <c r="I134" s="15" t="n">
        <f aca="false">AE134*評分方法!$C$5</f>
        <v>27</v>
      </c>
      <c r="J134" s="15" t="n">
        <f aca="false">AF134*評分方法!$C$6</f>
        <v>0</v>
      </c>
      <c r="K134" s="15" t="n">
        <f aca="false">AG134*評分方法!$C$7</f>
        <v>15</v>
      </c>
      <c r="L134" s="15" t="n">
        <f aca="false">AH134*評分方法!$C$8</f>
        <v>15</v>
      </c>
      <c r="M134" s="15" t="n">
        <f aca="false">AI134*評分方法!$C$9</f>
        <v>10</v>
      </c>
      <c r="N134" s="15" t="n">
        <f aca="false">AJ134*評分方法!$C$10</f>
        <v>9.184</v>
      </c>
      <c r="O134" s="15" t="n">
        <f aca="false">AK134*評分方法!$C$11</f>
        <v>1</v>
      </c>
      <c r="P134" s="15" t="n">
        <f aca="false">AL134*評分方法!$C$12</f>
        <v>0</v>
      </c>
      <c r="Q134" s="6" t="n">
        <v>5009386</v>
      </c>
      <c r="R134" s="6" t="n">
        <v>109482752</v>
      </c>
      <c r="S134" s="11" t="s">
        <v>238</v>
      </c>
      <c r="T134" s="11" t="s">
        <v>278</v>
      </c>
      <c r="U134" s="5" t="s">
        <v>240</v>
      </c>
      <c r="V134" s="11" t="s">
        <v>324</v>
      </c>
      <c r="W134" s="5" t="s">
        <v>205</v>
      </c>
      <c r="X134" s="5" t="s">
        <v>242</v>
      </c>
      <c r="Y134" s="5"/>
      <c r="Z134" s="5"/>
      <c r="AA134" s="11" t="s">
        <v>152</v>
      </c>
      <c r="AB134" s="5" t="s">
        <v>245</v>
      </c>
      <c r="AC134" s="5"/>
      <c r="AD134" s="11" t="s">
        <v>609</v>
      </c>
      <c r="AE134" s="23" t="n">
        <v>0.9</v>
      </c>
      <c r="AF134" s="23" t="n">
        <v>0</v>
      </c>
      <c r="AG134" s="23" t="n">
        <v>1</v>
      </c>
      <c r="AH134" s="23" t="n">
        <v>1</v>
      </c>
      <c r="AI134" s="23" t="n">
        <v>1</v>
      </c>
      <c r="AJ134" s="23" t="n">
        <v>0.9184</v>
      </c>
      <c r="AK134" s="23" t="n">
        <v>0.2</v>
      </c>
      <c r="AL134" s="23" t="n">
        <v>0</v>
      </c>
      <c r="AM134" s="16" t="n">
        <f aca="false">COUNTIFS($D$2:$D$2501,D134,$G$2:$G$2501,"&gt;"&amp;G134)+COUNTIFS($D$2:D134,D134,$G$2:G134,G134)</f>
        <v>60</v>
      </c>
      <c r="AN134" s="5" t="str">
        <f aca="false">D134&amp;"|"&amp;AM134</f>
        <v>檢索與情資關聯|60</v>
      </c>
    </row>
    <row r="135" customFormat="false" ht="17.15" hidden="false" customHeight="false" outlineLevel="0" collapsed="false">
      <c r="A135" s="16" t="n">
        <f aca="false">RANK(G135,$G$2:$G$2501)+COUNTIF($G$2:G135,G135)-1</f>
        <v>134</v>
      </c>
      <c r="B135" s="11" t="s">
        <v>610</v>
      </c>
      <c r="C135" s="11" t="s">
        <v>417</v>
      </c>
      <c r="D135" s="5" t="s">
        <v>56</v>
      </c>
      <c r="E135" s="5" t="s">
        <v>57</v>
      </c>
      <c r="F135" s="5"/>
      <c r="G135" s="22" t="n">
        <f aca="false">ROUND(SUM(I135:P135),3)</f>
        <v>77.124</v>
      </c>
      <c r="H135" s="5" t="str">
        <f aca="false">IF(G135&gt;=評分方法!$C$16,"優先評估",IF(G135&gt;=評分方法!$C$17,"列入候選",IF(G135&gt;=評分方法!$C$18,"特定情境","不建議")))</f>
        <v>列入候選</v>
      </c>
      <c r="I135" s="15" t="n">
        <f aca="false">AE135*評分方法!$C$5</f>
        <v>25.5</v>
      </c>
      <c r="J135" s="15" t="n">
        <f aca="false">AF135*評分方法!$C$6</f>
        <v>0</v>
      </c>
      <c r="K135" s="15" t="n">
        <f aca="false">AG135*評分方法!$C$7</f>
        <v>15</v>
      </c>
      <c r="L135" s="15" t="n">
        <f aca="false">AH135*評分方法!$C$8</f>
        <v>15</v>
      </c>
      <c r="M135" s="15" t="n">
        <f aca="false">AI135*評分方法!$C$9</f>
        <v>10</v>
      </c>
      <c r="N135" s="15" t="n">
        <f aca="false">AJ135*評分方法!$C$10</f>
        <v>9.124</v>
      </c>
      <c r="O135" s="15" t="n">
        <f aca="false">AK135*評分方法!$C$11</f>
        <v>2.5</v>
      </c>
      <c r="P135" s="15" t="n">
        <f aca="false">AL135*評分方法!$C$12</f>
        <v>0</v>
      </c>
      <c r="Q135" s="6" t="n">
        <v>4564580</v>
      </c>
      <c r="R135" s="6" t="n">
        <v>256484928</v>
      </c>
      <c r="S135" s="11" t="s">
        <v>238</v>
      </c>
      <c r="T135" s="11" t="s">
        <v>239</v>
      </c>
      <c r="U135" s="5" t="s">
        <v>240</v>
      </c>
      <c r="V135" s="11" t="s">
        <v>241</v>
      </c>
      <c r="W135" s="5" t="s">
        <v>205</v>
      </c>
      <c r="X135" s="5" t="s">
        <v>242</v>
      </c>
      <c r="Y135" s="11" t="s">
        <v>559</v>
      </c>
      <c r="Z135" s="11" t="s">
        <v>244</v>
      </c>
      <c r="AA135" s="11" t="s">
        <v>156</v>
      </c>
      <c r="AB135" s="5" t="s">
        <v>245</v>
      </c>
      <c r="AC135" s="5" t="s">
        <v>246</v>
      </c>
      <c r="AD135" s="11" t="s">
        <v>611</v>
      </c>
      <c r="AE135" s="23" t="n">
        <v>0.85</v>
      </c>
      <c r="AF135" s="23" t="n">
        <v>0</v>
      </c>
      <c r="AG135" s="23" t="n">
        <v>1</v>
      </c>
      <c r="AH135" s="23" t="n">
        <v>1</v>
      </c>
      <c r="AI135" s="23" t="n">
        <v>1</v>
      </c>
      <c r="AJ135" s="23" t="n">
        <v>0.9124</v>
      </c>
      <c r="AK135" s="23" t="n">
        <v>0.5</v>
      </c>
      <c r="AL135" s="23" t="n">
        <v>0</v>
      </c>
      <c r="AM135" s="16" t="n">
        <f aca="false">COUNTIFS($D$2:$D$2501,D135,$G$2:$G$2501,"&gt;"&amp;G135)+COUNTIFS($D$2:D135,D135,$G$2:G135,G135)</f>
        <v>38</v>
      </c>
      <c r="AN135" s="5" t="str">
        <f aca="false">D135&amp;"|"&amp;AM135</f>
        <v>分析與報告生成|38</v>
      </c>
    </row>
    <row r="136" customFormat="false" ht="17.15" hidden="false" customHeight="false" outlineLevel="0" collapsed="false">
      <c r="A136" s="16" t="n">
        <f aca="false">RANK(G136,$G$2:$G$2501)+COUNTIF($G$2:G136,G136)-1</f>
        <v>135</v>
      </c>
      <c r="B136" s="11" t="s">
        <v>612</v>
      </c>
      <c r="C136" s="11" t="s">
        <v>338</v>
      </c>
      <c r="D136" s="5" t="s">
        <v>56</v>
      </c>
      <c r="E136" s="5" t="s">
        <v>57</v>
      </c>
      <c r="F136" s="5"/>
      <c r="G136" s="22" t="n">
        <f aca="false">ROUND(SUM(I136:P136),3)</f>
        <v>77.1</v>
      </c>
      <c r="H136" s="5" t="str">
        <f aca="false">IF(G136&gt;=評分方法!$C$16,"優先評估",IF(G136&gt;=評分方法!$C$17,"列入候選",IF(G136&gt;=評分方法!$C$18,"特定情境","不建議")))</f>
        <v>列入候選</v>
      </c>
      <c r="I136" s="15" t="n">
        <f aca="false">AE136*評分方法!$C$5</f>
        <v>25.5</v>
      </c>
      <c r="J136" s="15" t="n">
        <f aca="false">AF136*評分方法!$C$6</f>
        <v>0</v>
      </c>
      <c r="K136" s="15" t="n">
        <f aca="false">AG136*評分方法!$C$7</f>
        <v>15</v>
      </c>
      <c r="L136" s="15" t="n">
        <f aca="false">AH136*評分方法!$C$8</f>
        <v>9</v>
      </c>
      <c r="M136" s="15" t="n">
        <f aca="false">AI136*評分方法!$C$9</f>
        <v>10</v>
      </c>
      <c r="N136" s="15" t="n">
        <f aca="false">AJ136*評分方法!$C$10</f>
        <v>8.6</v>
      </c>
      <c r="O136" s="15" t="n">
        <f aca="false">AK136*評分方法!$C$11</f>
        <v>4</v>
      </c>
      <c r="P136" s="15" t="n">
        <f aca="false">AL136*評分方法!$C$12</f>
        <v>5</v>
      </c>
      <c r="Q136" s="6" t="n">
        <v>2494346</v>
      </c>
      <c r="R136" s="6" t="n">
        <v>24011361280</v>
      </c>
      <c r="S136" s="11" t="s">
        <v>389</v>
      </c>
      <c r="T136" s="11" t="s">
        <v>239</v>
      </c>
      <c r="U136" s="5" t="s">
        <v>240</v>
      </c>
      <c r="V136" s="11" t="s">
        <v>261</v>
      </c>
      <c r="W136" s="5" t="s">
        <v>205</v>
      </c>
      <c r="X136" s="5" t="s">
        <v>284</v>
      </c>
      <c r="Y136" s="11" t="s">
        <v>613</v>
      </c>
      <c r="Z136" s="11" t="s">
        <v>270</v>
      </c>
      <c r="AA136" s="11" t="s">
        <v>155</v>
      </c>
      <c r="AB136" s="5" t="s">
        <v>328</v>
      </c>
      <c r="AC136" s="5" t="s">
        <v>400</v>
      </c>
      <c r="AD136" s="11" t="s">
        <v>614</v>
      </c>
      <c r="AE136" s="23" t="n">
        <v>0.85</v>
      </c>
      <c r="AF136" s="23" t="n">
        <v>0</v>
      </c>
      <c r="AG136" s="23" t="n">
        <v>1</v>
      </c>
      <c r="AH136" s="23" t="n">
        <v>0.6</v>
      </c>
      <c r="AI136" s="23" t="n">
        <v>1</v>
      </c>
      <c r="AJ136" s="23" t="n">
        <v>0.86</v>
      </c>
      <c r="AK136" s="23" t="n">
        <v>0.8</v>
      </c>
      <c r="AL136" s="23" t="n">
        <v>1</v>
      </c>
      <c r="AM136" s="16" t="n">
        <f aca="false">COUNTIFS($D$2:$D$2501,D136,$G$2:$G$2501,"&gt;"&amp;G136)+COUNTIFS($D$2:D136,D136,$G$2:G136,G136)</f>
        <v>39</v>
      </c>
      <c r="AN136" s="5" t="str">
        <f aca="false">D136&amp;"|"&amp;AM136</f>
        <v>分析與報告生成|39</v>
      </c>
    </row>
    <row r="137" customFormat="false" ht="17.15" hidden="false" customHeight="false" outlineLevel="0" collapsed="false">
      <c r="A137" s="16" t="n">
        <f aca="false">RANK(G137,$G$2:$G$2501)+COUNTIF($G$2:G137,G137)-1</f>
        <v>136</v>
      </c>
      <c r="B137" s="11" t="s">
        <v>615</v>
      </c>
      <c r="C137" s="11" t="s">
        <v>258</v>
      </c>
      <c r="D137" s="11" t="s">
        <v>46</v>
      </c>
      <c r="E137" s="11" t="s">
        <v>47</v>
      </c>
      <c r="F137" s="11" t="s">
        <v>46</v>
      </c>
      <c r="G137" s="22" t="n">
        <f aca="false">ROUND(SUM(I137:P137),3)</f>
        <v>77.07</v>
      </c>
      <c r="H137" s="5" t="str">
        <f aca="false">IF(G137&gt;=評分方法!$C$16,"優先評估",IF(G137&gt;=評分方法!$C$17,"列入候選",IF(G137&gt;=評分方法!$C$18,"特定情境","不建議")))</f>
        <v>列入候選</v>
      </c>
      <c r="I137" s="15" t="n">
        <f aca="false">AE137*評分方法!$C$5</f>
        <v>25.5</v>
      </c>
      <c r="J137" s="15" t="n">
        <f aca="false">AF137*評分方法!$C$6</f>
        <v>10</v>
      </c>
      <c r="K137" s="15" t="n">
        <f aca="false">AG137*評分方法!$C$7</f>
        <v>15</v>
      </c>
      <c r="L137" s="15" t="n">
        <f aca="false">AH137*評分方法!$C$8</f>
        <v>13.05</v>
      </c>
      <c r="M137" s="15" t="n">
        <f aca="false">AI137*評分方法!$C$9</f>
        <v>6</v>
      </c>
      <c r="N137" s="15" t="n">
        <f aca="false">AJ137*評分方法!$C$10</f>
        <v>6.52</v>
      </c>
      <c r="O137" s="15" t="n">
        <f aca="false">AK137*評分方法!$C$11</f>
        <v>1</v>
      </c>
      <c r="P137" s="15" t="n">
        <f aca="false">AL137*評分方法!$C$12</f>
        <v>0</v>
      </c>
      <c r="Q137" s="6" t="n">
        <v>759083</v>
      </c>
      <c r="R137" s="6" t="n">
        <v>8030261248</v>
      </c>
      <c r="S137" s="11" t="s">
        <v>254</v>
      </c>
      <c r="T137" s="11" t="s">
        <v>259</v>
      </c>
      <c r="U137" s="5" t="s">
        <v>260</v>
      </c>
      <c r="V137" s="11" t="s">
        <v>324</v>
      </c>
      <c r="W137" s="5" t="s">
        <v>205</v>
      </c>
      <c r="X137" s="5" t="s">
        <v>242</v>
      </c>
      <c r="Y137" s="11" t="s">
        <v>616</v>
      </c>
      <c r="Z137" s="11" t="s">
        <v>270</v>
      </c>
      <c r="AA137" s="11" t="s">
        <v>155</v>
      </c>
      <c r="AB137" s="5" t="s">
        <v>245</v>
      </c>
      <c r="AC137" s="5" t="s">
        <v>262</v>
      </c>
      <c r="AD137" s="11" t="s">
        <v>617</v>
      </c>
      <c r="AE137" s="23" t="n">
        <v>0.85</v>
      </c>
      <c r="AF137" s="23" t="n">
        <v>1</v>
      </c>
      <c r="AG137" s="23" t="n">
        <v>1</v>
      </c>
      <c r="AH137" s="23" t="n">
        <v>0.87</v>
      </c>
      <c r="AI137" s="23" t="n">
        <v>0.6</v>
      </c>
      <c r="AJ137" s="23" t="n">
        <v>0.652</v>
      </c>
      <c r="AK137" s="23" t="n">
        <v>0.2</v>
      </c>
      <c r="AL137" s="23" t="n">
        <v>0</v>
      </c>
      <c r="AM137" s="16" t="n">
        <f aca="false">COUNTIFS($D$2:$D$2501,D137,$G$2:$G$2501,"&gt;"&amp;G137)+COUNTIFS($D$2:D137,D137,$G$2:G137,G137)</f>
        <v>11</v>
      </c>
      <c r="AN137" s="5" t="str">
        <f aca="false">D137&amp;"|"&amp;AM137</f>
        <v>AI 應用防護|11</v>
      </c>
    </row>
    <row r="138" customFormat="false" ht="17.15" hidden="false" customHeight="false" outlineLevel="0" collapsed="false">
      <c r="A138" s="16" t="n">
        <f aca="false">RANK(G138,$G$2:$G$2501)+COUNTIF($G$2:G138,G138)-1</f>
        <v>137</v>
      </c>
      <c r="B138" s="11" t="s">
        <v>618</v>
      </c>
      <c r="C138" s="11" t="s">
        <v>302</v>
      </c>
      <c r="D138" s="5" t="s">
        <v>54</v>
      </c>
      <c r="E138" s="5" t="s">
        <v>55</v>
      </c>
      <c r="F138" s="5"/>
      <c r="G138" s="22" t="n">
        <f aca="false">ROUND(SUM(I138:P138),3)</f>
        <v>77.032</v>
      </c>
      <c r="H138" s="5" t="str">
        <f aca="false">IF(G138&gt;=評分方法!$C$16,"優先評估",IF(G138&gt;=評分方法!$C$17,"列入候選",IF(G138&gt;=評分方法!$C$18,"特定情境","不建議")))</f>
        <v>列入候選</v>
      </c>
      <c r="I138" s="15" t="n">
        <f aca="false">AE138*評分方法!$C$5</f>
        <v>27</v>
      </c>
      <c r="J138" s="15" t="n">
        <f aca="false">AF138*評分方法!$C$6</f>
        <v>0</v>
      </c>
      <c r="K138" s="15" t="n">
        <f aca="false">AG138*評分方法!$C$7</f>
        <v>15</v>
      </c>
      <c r="L138" s="15" t="n">
        <f aca="false">AH138*評分方法!$C$8</f>
        <v>15</v>
      </c>
      <c r="M138" s="15" t="n">
        <f aca="false">AI138*評分方法!$C$9</f>
        <v>10</v>
      </c>
      <c r="N138" s="15" t="n">
        <f aca="false">AJ138*評分方法!$C$10</f>
        <v>7.532</v>
      </c>
      <c r="O138" s="15" t="n">
        <f aca="false">AK138*評分方法!$C$11</f>
        <v>2.5</v>
      </c>
      <c r="P138" s="15" t="n">
        <f aca="false">AL138*評分方法!$C$12</f>
        <v>0</v>
      </c>
      <c r="Q138" s="6" t="n">
        <v>1184440</v>
      </c>
      <c r="R138" s="6" t="n">
        <v>355361283</v>
      </c>
      <c r="S138" s="11" t="s">
        <v>238</v>
      </c>
      <c r="T138" s="11" t="s">
        <v>239</v>
      </c>
      <c r="U138" s="5" t="s">
        <v>240</v>
      </c>
      <c r="V138" s="11" t="s">
        <v>356</v>
      </c>
      <c r="W138" s="5" t="s">
        <v>205</v>
      </c>
      <c r="X138" s="5" t="s">
        <v>242</v>
      </c>
      <c r="Y138" s="11" t="s">
        <v>619</v>
      </c>
      <c r="Z138" s="11" t="s">
        <v>244</v>
      </c>
      <c r="AA138" s="11" t="s">
        <v>154</v>
      </c>
      <c r="AB138" s="5" t="s">
        <v>245</v>
      </c>
      <c r="AC138" s="5" t="s">
        <v>246</v>
      </c>
      <c r="AD138" s="11" t="s">
        <v>620</v>
      </c>
      <c r="AE138" s="23" t="n">
        <v>0.9</v>
      </c>
      <c r="AF138" s="23" t="n">
        <v>0</v>
      </c>
      <c r="AG138" s="23" t="n">
        <v>1</v>
      </c>
      <c r="AH138" s="23" t="n">
        <v>1</v>
      </c>
      <c r="AI138" s="23" t="n">
        <v>1</v>
      </c>
      <c r="AJ138" s="23" t="n">
        <v>0.7532</v>
      </c>
      <c r="AK138" s="23" t="n">
        <v>0.5</v>
      </c>
      <c r="AL138" s="23" t="n">
        <v>0</v>
      </c>
      <c r="AM138" s="16" t="n">
        <f aca="false">COUNTIFS($D$2:$D$2501,D138,$G$2:$G$2501,"&gt;"&amp;G138)+COUNTIFS($D$2:D138,D138,$G$2:G138,G138)</f>
        <v>61</v>
      </c>
      <c r="AN138" s="5" t="str">
        <f aca="false">D138&amp;"|"&amp;AM138</f>
        <v>檢索與情資關聯|61</v>
      </c>
    </row>
    <row r="139" customFormat="false" ht="17.15" hidden="false" customHeight="false" outlineLevel="0" collapsed="false">
      <c r="A139" s="16" t="n">
        <f aca="false">RANK(G139,$G$2:$G$2501)+COUNTIF($G$2:G139,G139)-1</f>
        <v>138</v>
      </c>
      <c r="B139" s="11" t="s">
        <v>621</v>
      </c>
      <c r="C139" s="11" t="s">
        <v>598</v>
      </c>
      <c r="D139" s="5" t="s">
        <v>54</v>
      </c>
      <c r="E139" s="5" t="s">
        <v>55</v>
      </c>
      <c r="F139" s="5"/>
      <c r="G139" s="22" t="n">
        <f aca="false">ROUND(SUM(I139:P139),3)</f>
        <v>77.028</v>
      </c>
      <c r="H139" s="5" t="str">
        <f aca="false">IF(G139&gt;=評分方法!$C$16,"優先評估",IF(G139&gt;=評分方法!$C$17,"列入候選",IF(G139&gt;=評分方法!$C$18,"特定情境","不建議")))</f>
        <v>列入候選</v>
      </c>
      <c r="I139" s="15" t="n">
        <f aca="false">AE139*評分方法!$C$5</f>
        <v>27</v>
      </c>
      <c r="J139" s="15" t="n">
        <f aca="false">AF139*評分方法!$C$6</f>
        <v>0</v>
      </c>
      <c r="K139" s="15" t="n">
        <f aca="false">AG139*評分方法!$C$7</f>
        <v>15</v>
      </c>
      <c r="L139" s="15" t="n">
        <f aca="false">AH139*評分方法!$C$8</f>
        <v>15</v>
      </c>
      <c r="M139" s="15" t="n">
        <f aca="false">AI139*評分方法!$C$9</f>
        <v>10</v>
      </c>
      <c r="N139" s="15" t="n">
        <f aca="false">AJ139*評分方法!$C$10</f>
        <v>7.528</v>
      </c>
      <c r="O139" s="15" t="n">
        <f aca="false">AK139*評分方法!$C$11</f>
        <v>2.5</v>
      </c>
      <c r="P139" s="15" t="n">
        <f aca="false">AL139*評分方法!$C$12</f>
        <v>0</v>
      </c>
      <c r="Q139" s="6" t="n">
        <v>1183486</v>
      </c>
      <c r="R139" s="6" t="n">
        <v>136727040</v>
      </c>
      <c r="S139" s="11" t="s">
        <v>238</v>
      </c>
      <c r="T139" s="11" t="s">
        <v>239</v>
      </c>
      <c r="U139" s="5" t="s">
        <v>240</v>
      </c>
      <c r="V139" s="11" t="s">
        <v>333</v>
      </c>
      <c r="W139" s="5" t="s">
        <v>205</v>
      </c>
      <c r="X139" s="5" t="s">
        <v>242</v>
      </c>
      <c r="Y139" s="11" t="s">
        <v>622</v>
      </c>
      <c r="Z139" s="11" t="s">
        <v>244</v>
      </c>
      <c r="AA139" s="11" t="s">
        <v>152</v>
      </c>
      <c r="AB139" s="5" t="s">
        <v>245</v>
      </c>
      <c r="AC139" s="5" t="s">
        <v>246</v>
      </c>
      <c r="AD139" s="11" t="s">
        <v>623</v>
      </c>
      <c r="AE139" s="23" t="n">
        <v>0.9</v>
      </c>
      <c r="AF139" s="23" t="n">
        <v>0</v>
      </c>
      <c r="AG139" s="23" t="n">
        <v>1</v>
      </c>
      <c r="AH139" s="23" t="n">
        <v>1</v>
      </c>
      <c r="AI139" s="23" t="n">
        <v>1</v>
      </c>
      <c r="AJ139" s="23" t="n">
        <v>0.7528</v>
      </c>
      <c r="AK139" s="23" t="n">
        <v>0.5</v>
      </c>
      <c r="AL139" s="23" t="n">
        <v>0</v>
      </c>
      <c r="AM139" s="16" t="n">
        <f aca="false">COUNTIFS($D$2:$D$2501,D139,$G$2:$G$2501,"&gt;"&amp;G139)+COUNTIFS($D$2:D139,D139,$G$2:G139,G139)</f>
        <v>62</v>
      </c>
      <c r="AN139" s="5" t="str">
        <f aca="false">D139&amp;"|"&amp;AM139</f>
        <v>檢索與情資關聯|62</v>
      </c>
    </row>
    <row r="140" customFormat="false" ht="17.15" hidden="false" customHeight="false" outlineLevel="0" collapsed="false">
      <c r="A140" s="16" t="n">
        <f aca="false">RANK(G140,$G$2:$G$2501)+COUNTIF($G$2:G140,G140)-1</f>
        <v>139</v>
      </c>
      <c r="B140" s="11" t="s">
        <v>624</v>
      </c>
      <c r="C140" s="11" t="s">
        <v>302</v>
      </c>
      <c r="D140" s="5" t="s">
        <v>66</v>
      </c>
      <c r="E140" s="5" t="s">
        <v>67</v>
      </c>
      <c r="F140" s="5"/>
      <c r="G140" s="22" t="n">
        <f aca="false">ROUND(SUM(I140:P140),3)</f>
        <v>77.024</v>
      </c>
      <c r="H140" s="5" t="str">
        <f aca="false">IF(G140&gt;=評分方法!$C$16,"優先評估",IF(G140&gt;=評分方法!$C$17,"列入候選",IF(G140&gt;=評分方法!$C$18,"特定情境","不建議")))</f>
        <v>列入候選</v>
      </c>
      <c r="I140" s="15" t="n">
        <f aca="false">AE140*評分方法!$C$5</f>
        <v>27</v>
      </c>
      <c r="J140" s="15" t="n">
        <f aca="false">AF140*評分方法!$C$6</f>
        <v>0</v>
      </c>
      <c r="K140" s="15" t="n">
        <f aca="false">AG140*評分方法!$C$7</f>
        <v>15</v>
      </c>
      <c r="L140" s="15" t="n">
        <f aca="false">AH140*評分方法!$C$8</f>
        <v>15</v>
      </c>
      <c r="M140" s="15" t="n">
        <f aca="false">AI140*評分方法!$C$9</f>
        <v>10</v>
      </c>
      <c r="N140" s="15" t="n">
        <f aca="false">AJ140*評分方法!$C$10</f>
        <v>7.524</v>
      </c>
      <c r="O140" s="15" t="n">
        <f aca="false">AK140*評分方法!$C$11</f>
        <v>2.5</v>
      </c>
      <c r="P140" s="15" t="n">
        <f aca="false">AL140*評分方法!$C$12</f>
        <v>0</v>
      </c>
      <c r="Q140" s="6" t="n">
        <v>1182585</v>
      </c>
      <c r="R140" s="6" t="n">
        <v>82121221</v>
      </c>
      <c r="S140" s="11" t="s">
        <v>238</v>
      </c>
      <c r="T140" s="11" t="s">
        <v>239</v>
      </c>
      <c r="U140" s="5" t="s">
        <v>240</v>
      </c>
      <c r="V140" s="11" t="s">
        <v>288</v>
      </c>
      <c r="W140" s="5" t="s">
        <v>205</v>
      </c>
      <c r="X140" s="5" t="s">
        <v>242</v>
      </c>
      <c r="Y140" s="11" t="s">
        <v>625</v>
      </c>
      <c r="Z140" s="11" t="s">
        <v>244</v>
      </c>
      <c r="AA140" s="11" t="s">
        <v>151</v>
      </c>
      <c r="AB140" s="5" t="s">
        <v>245</v>
      </c>
      <c r="AC140" s="5" t="s">
        <v>246</v>
      </c>
      <c r="AD140" s="11" t="s">
        <v>626</v>
      </c>
      <c r="AE140" s="23" t="n">
        <v>0.9</v>
      </c>
      <c r="AF140" s="23" t="n">
        <v>0</v>
      </c>
      <c r="AG140" s="23" t="n">
        <v>1</v>
      </c>
      <c r="AH140" s="23" t="n">
        <v>1</v>
      </c>
      <c r="AI140" s="23" t="n">
        <v>1</v>
      </c>
      <c r="AJ140" s="23" t="n">
        <v>0.7524</v>
      </c>
      <c r="AK140" s="23" t="n">
        <v>0.5</v>
      </c>
      <c r="AL140" s="23" t="n">
        <v>0</v>
      </c>
      <c r="AM140" s="16" t="n">
        <f aca="false">COUNTIFS($D$2:$D$2501,D140,$G$2:$G$2501,"&gt;"&amp;G140)+COUNTIFS($D$2:D140,D140,$G$2:G140,G140)</f>
        <v>4</v>
      </c>
      <c r="AN140" s="5" t="str">
        <f aca="false">D140&amp;"|"&amp;AM140</f>
        <v>分類與偵測|4</v>
      </c>
    </row>
    <row r="141" customFormat="false" ht="17.15" hidden="false" customHeight="false" outlineLevel="0" collapsed="false">
      <c r="A141" s="16" t="n">
        <f aca="false">RANK(G141,$G$2:$G$2501)+COUNTIF($G$2:G141,G141)-1</f>
        <v>140</v>
      </c>
      <c r="B141" s="11" t="s">
        <v>627</v>
      </c>
      <c r="C141" s="11" t="s">
        <v>282</v>
      </c>
      <c r="D141" s="5" t="s">
        <v>54</v>
      </c>
      <c r="E141" s="5" t="s">
        <v>55</v>
      </c>
      <c r="F141" s="5"/>
      <c r="G141" s="22" t="n">
        <f aca="false">ROUND(SUM(I141:P141),3)</f>
        <v>77.024</v>
      </c>
      <c r="H141" s="5" t="str">
        <f aca="false">IF(G141&gt;=評分方法!$C$16,"優先評估",IF(G141&gt;=評分方法!$C$17,"列入候選",IF(G141&gt;=評分方法!$C$18,"特定情境","不建議")))</f>
        <v>列入候選</v>
      </c>
      <c r="I141" s="15" t="n">
        <f aca="false">AE141*評分方法!$C$5</f>
        <v>27</v>
      </c>
      <c r="J141" s="15" t="n">
        <f aca="false">AF141*評分方法!$C$6</f>
        <v>0</v>
      </c>
      <c r="K141" s="15" t="n">
        <f aca="false">AG141*評分方法!$C$7</f>
        <v>15</v>
      </c>
      <c r="L141" s="15" t="n">
        <f aca="false">AH141*評分方法!$C$8</f>
        <v>15</v>
      </c>
      <c r="M141" s="15" t="n">
        <f aca="false">AI141*評分方法!$C$9</f>
        <v>10</v>
      </c>
      <c r="N141" s="15" t="n">
        <f aca="false">AJ141*評分方法!$C$10</f>
        <v>6.024</v>
      </c>
      <c r="O141" s="15" t="n">
        <f aca="false">AK141*評分方法!$C$11</f>
        <v>2.5</v>
      </c>
      <c r="P141" s="15" t="n">
        <f aca="false">AL141*評分方法!$C$12</f>
        <v>1.5</v>
      </c>
      <c r="Q141" s="6" t="n">
        <v>630075</v>
      </c>
      <c r="R141" s="6" t="n">
        <v>66362880</v>
      </c>
      <c r="S141" s="11" t="s">
        <v>238</v>
      </c>
      <c r="T141" s="11" t="s">
        <v>239</v>
      </c>
      <c r="U141" s="5" t="s">
        <v>240</v>
      </c>
      <c r="V141" s="11" t="s">
        <v>283</v>
      </c>
      <c r="W141" s="5" t="s">
        <v>205</v>
      </c>
      <c r="X141" s="5" t="s">
        <v>255</v>
      </c>
      <c r="Y141" s="5"/>
      <c r="Z141" s="5"/>
      <c r="AA141" s="11" t="s">
        <v>152</v>
      </c>
      <c r="AB141" s="5" t="s">
        <v>245</v>
      </c>
      <c r="AC141" s="5"/>
      <c r="AD141" s="11" t="s">
        <v>628</v>
      </c>
      <c r="AE141" s="23" t="n">
        <v>0.9</v>
      </c>
      <c r="AF141" s="23" t="n">
        <v>0</v>
      </c>
      <c r="AG141" s="23" t="n">
        <v>1</v>
      </c>
      <c r="AH141" s="23" t="n">
        <v>1</v>
      </c>
      <c r="AI141" s="23" t="n">
        <v>1</v>
      </c>
      <c r="AJ141" s="23" t="n">
        <v>0.6024</v>
      </c>
      <c r="AK141" s="23" t="n">
        <v>0.5</v>
      </c>
      <c r="AL141" s="23" t="n">
        <v>0.3</v>
      </c>
      <c r="AM141" s="16" t="n">
        <f aca="false">COUNTIFS($D$2:$D$2501,D141,$G$2:$G$2501,"&gt;"&amp;G141)+COUNTIFS($D$2:D141,D141,$G$2:G141,G141)</f>
        <v>63</v>
      </c>
      <c r="AN141" s="5" t="str">
        <f aca="false">D141&amp;"|"&amp;AM141</f>
        <v>檢索與情資關聯|63</v>
      </c>
    </row>
    <row r="142" customFormat="false" ht="17.15" hidden="false" customHeight="false" outlineLevel="0" collapsed="false">
      <c r="A142" s="16" t="n">
        <f aca="false">RANK(G142,$G$2:$G$2501)+COUNTIF($G$2:G142,G142)-1</f>
        <v>141</v>
      </c>
      <c r="B142" s="11" t="s">
        <v>629</v>
      </c>
      <c r="C142" s="11" t="s">
        <v>327</v>
      </c>
      <c r="D142" s="5" t="s">
        <v>56</v>
      </c>
      <c r="E142" s="5" t="s">
        <v>57</v>
      </c>
      <c r="F142" s="5"/>
      <c r="G142" s="22" t="n">
        <f aca="false">ROUND(SUM(I142:P142),3)</f>
        <v>77.02</v>
      </c>
      <c r="H142" s="5" t="str">
        <f aca="false">IF(G142&gt;=評分方法!$C$16,"優先評估",IF(G142&gt;=評分方法!$C$17,"列入候選",IF(G142&gt;=評分方法!$C$18,"特定情境","不建議")))</f>
        <v>列入候選</v>
      </c>
      <c r="I142" s="15" t="n">
        <f aca="false">AE142*評分方法!$C$5</f>
        <v>25.5</v>
      </c>
      <c r="J142" s="15" t="n">
        <f aca="false">AF142*評分方法!$C$6</f>
        <v>0</v>
      </c>
      <c r="K142" s="15" t="n">
        <f aca="false">AG142*評分方法!$C$7</f>
        <v>15</v>
      </c>
      <c r="L142" s="15" t="n">
        <f aca="false">AH142*評分方法!$C$8</f>
        <v>9</v>
      </c>
      <c r="M142" s="15" t="n">
        <f aca="false">AI142*評分方法!$C$9</f>
        <v>10</v>
      </c>
      <c r="N142" s="15" t="n">
        <f aca="false">AJ142*評分方法!$C$10</f>
        <v>9.52</v>
      </c>
      <c r="O142" s="15" t="n">
        <f aca="false">AK142*評分方法!$C$11</f>
        <v>5</v>
      </c>
      <c r="P142" s="15" t="n">
        <f aca="false">AL142*評分方法!$C$12</f>
        <v>3</v>
      </c>
      <c r="Q142" s="6" t="n">
        <v>9059586</v>
      </c>
      <c r="R142" s="6" t="n">
        <v>14386941232</v>
      </c>
      <c r="S142" s="11" t="s">
        <v>389</v>
      </c>
      <c r="T142" s="11" t="s">
        <v>239</v>
      </c>
      <c r="U142" s="5" t="s">
        <v>240</v>
      </c>
      <c r="V142" s="11" t="s">
        <v>261</v>
      </c>
      <c r="W142" s="5" t="s">
        <v>205</v>
      </c>
      <c r="X142" s="5" t="s">
        <v>371</v>
      </c>
      <c r="Y142" s="11" t="s">
        <v>575</v>
      </c>
      <c r="Z142" s="11" t="s">
        <v>244</v>
      </c>
      <c r="AA142" s="11" t="s">
        <v>155</v>
      </c>
      <c r="AB142" s="5" t="s">
        <v>245</v>
      </c>
      <c r="AC142" s="5" t="s">
        <v>246</v>
      </c>
      <c r="AD142" s="11" t="s">
        <v>630</v>
      </c>
      <c r="AE142" s="23" t="n">
        <v>0.85</v>
      </c>
      <c r="AF142" s="23" t="n">
        <v>0</v>
      </c>
      <c r="AG142" s="23" t="n">
        <v>1</v>
      </c>
      <c r="AH142" s="23" t="n">
        <v>0.6</v>
      </c>
      <c r="AI142" s="23" t="n">
        <v>1</v>
      </c>
      <c r="AJ142" s="23" t="n">
        <v>0.952</v>
      </c>
      <c r="AK142" s="23" t="n">
        <v>1</v>
      </c>
      <c r="AL142" s="23" t="n">
        <v>0.6</v>
      </c>
      <c r="AM142" s="16" t="n">
        <f aca="false">COUNTIFS($D$2:$D$2501,D142,$G$2:$G$2501,"&gt;"&amp;G142)+COUNTIFS($D$2:D142,D142,$G$2:G142,G142)</f>
        <v>40</v>
      </c>
      <c r="AN142" s="5" t="str">
        <f aca="false">D142&amp;"|"&amp;AM142</f>
        <v>分析與報告生成|40</v>
      </c>
    </row>
    <row r="143" customFormat="false" ht="17.15" hidden="false" customHeight="false" outlineLevel="0" collapsed="false">
      <c r="A143" s="16" t="n">
        <f aca="false">RANK(G143,$G$2:$G$2501)+COUNTIF($G$2:G143,G143)-1</f>
        <v>142</v>
      </c>
      <c r="B143" s="11" t="s">
        <v>631</v>
      </c>
      <c r="C143" s="11" t="s">
        <v>632</v>
      </c>
      <c r="D143" s="5" t="s">
        <v>56</v>
      </c>
      <c r="E143" s="5" t="s">
        <v>57</v>
      </c>
      <c r="F143" s="5"/>
      <c r="G143" s="22" t="n">
        <f aca="false">ROUND(SUM(I143:P143),3)</f>
        <v>76.978</v>
      </c>
      <c r="H143" s="5" t="str">
        <f aca="false">IF(G143&gt;=評分方法!$C$16,"優先評估",IF(G143&gt;=評分方法!$C$17,"列入候選",IF(G143&gt;=評分方法!$C$18,"特定情境","不建議")))</f>
        <v>列入候選</v>
      </c>
      <c r="I143" s="15" t="n">
        <f aca="false">AE143*評分方法!$C$5</f>
        <v>25.5</v>
      </c>
      <c r="J143" s="15" t="n">
        <f aca="false">AF143*評分方法!$C$6</f>
        <v>0</v>
      </c>
      <c r="K143" s="15" t="n">
        <f aca="false">AG143*評分方法!$C$7</f>
        <v>15</v>
      </c>
      <c r="L143" s="15" t="n">
        <f aca="false">AH143*評分方法!$C$8</f>
        <v>13.05</v>
      </c>
      <c r="M143" s="15" t="n">
        <f aca="false">AI143*評分方法!$C$9</f>
        <v>10</v>
      </c>
      <c r="N143" s="15" t="n">
        <f aca="false">AJ143*評分方法!$C$10</f>
        <v>9.428</v>
      </c>
      <c r="O143" s="15" t="n">
        <f aca="false">AK143*評分方法!$C$11</f>
        <v>1</v>
      </c>
      <c r="P143" s="15" t="n">
        <f aca="false">AL143*評分方法!$C$12</f>
        <v>3</v>
      </c>
      <c r="Q143" s="6" t="n">
        <v>7634293</v>
      </c>
      <c r="R143" s="6" t="n">
        <v>3374286336</v>
      </c>
      <c r="S143" s="11" t="s">
        <v>254</v>
      </c>
      <c r="T143" s="11" t="s">
        <v>239</v>
      </c>
      <c r="U143" s="5" t="s">
        <v>240</v>
      </c>
      <c r="V143" s="11" t="s">
        <v>261</v>
      </c>
      <c r="W143" s="5" t="s">
        <v>205</v>
      </c>
      <c r="X143" s="5" t="s">
        <v>371</v>
      </c>
      <c r="Y143" s="5"/>
      <c r="Z143" s="5"/>
      <c r="AA143" s="11" t="s">
        <v>155</v>
      </c>
      <c r="AB143" s="5" t="s">
        <v>245</v>
      </c>
      <c r="AC143" s="5"/>
      <c r="AD143" s="11" t="s">
        <v>633</v>
      </c>
      <c r="AE143" s="23" t="n">
        <v>0.85</v>
      </c>
      <c r="AF143" s="23" t="n">
        <v>0</v>
      </c>
      <c r="AG143" s="23" t="n">
        <v>1</v>
      </c>
      <c r="AH143" s="23" t="n">
        <v>0.87</v>
      </c>
      <c r="AI143" s="23" t="n">
        <v>1</v>
      </c>
      <c r="AJ143" s="23" t="n">
        <v>0.9428</v>
      </c>
      <c r="AK143" s="23" t="n">
        <v>0.2</v>
      </c>
      <c r="AL143" s="23" t="n">
        <v>0.6</v>
      </c>
      <c r="AM143" s="16" t="n">
        <f aca="false">COUNTIFS($D$2:$D$2501,D143,$G$2:$G$2501,"&gt;"&amp;G143)+COUNTIFS($D$2:D143,D143,$G$2:G143,G143)</f>
        <v>41</v>
      </c>
      <c r="AN143" s="5" t="str">
        <f aca="false">D143&amp;"|"&amp;AM143</f>
        <v>分析與報告生成|41</v>
      </c>
    </row>
    <row r="144" customFormat="false" ht="17.15" hidden="false" customHeight="false" outlineLevel="0" collapsed="false">
      <c r="A144" s="16" t="n">
        <f aca="false">RANK(G144,$G$2:$G$2501)+COUNTIF($G$2:G144,G144)-1</f>
        <v>143</v>
      </c>
      <c r="B144" s="11" t="s">
        <v>545</v>
      </c>
      <c r="C144" s="11" t="s">
        <v>461</v>
      </c>
      <c r="D144" s="5" t="s">
        <v>56</v>
      </c>
      <c r="E144" s="5" t="s">
        <v>57</v>
      </c>
      <c r="F144" s="5"/>
      <c r="G144" s="22" t="n">
        <f aca="false">ROUND(SUM(I144:P144),3)</f>
        <v>76.972</v>
      </c>
      <c r="H144" s="5" t="str">
        <f aca="false">IF(G144&gt;=評分方法!$C$16,"優先評估",IF(G144&gt;=評分方法!$C$17,"列入候選",IF(G144&gt;=評分方法!$C$18,"特定情境","不建議")))</f>
        <v>列入候選</v>
      </c>
      <c r="I144" s="15" t="n">
        <f aca="false">AE144*評分方法!$C$5</f>
        <v>25.5</v>
      </c>
      <c r="J144" s="15" t="n">
        <f aca="false">AF144*評分方法!$C$6</f>
        <v>0</v>
      </c>
      <c r="K144" s="15" t="n">
        <f aca="false">AG144*評分方法!$C$7</f>
        <v>15</v>
      </c>
      <c r="L144" s="15" t="n">
        <f aca="false">AH144*評分方法!$C$8</f>
        <v>15</v>
      </c>
      <c r="M144" s="15" t="n">
        <f aca="false">AI144*評分方法!$C$9</f>
        <v>6</v>
      </c>
      <c r="N144" s="15" t="n">
        <f aca="false">AJ144*評分方法!$C$10</f>
        <v>5.472</v>
      </c>
      <c r="O144" s="15" t="n">
        <f aca="false">AK144*評分方法!$C$11</f>
        <v>5</v>
      </c>
      <c r="P144" s="15" t="n">
        <f aca="false">AL144*評分方法!$C$12</f>
        <v>5</v>
      </c>
      <c r="Q144" s="6" t="n">
        <v>574857</v>
      </c>
      <c r="R144" s="6" t="n">
        <v>354483968</v>
      </c>
      <c r="S144" s="11" t="s">
        <v>238</v>
      </c>
      <c r="T144" s="11" t="s">
        <v>185</v>
      </c>
      <c r="U144" s="5" t="s">
        <v>260</v>
      </c>
      <c r="V144" s="11" t="s">
        <v>261</v>
      </c>
      <c r="W144" s="5" t="s">
        <v>205</v>
      </c>
      <c r="X144" s="5" t="s">
        <v>284</v>
      </c>
      <c r="Y144" s="11" t="s">
        <v>634</v>
      </c>
      <c r="Z144" s="11" t="s">
        <v>270</v>
      </c>
      <c r="AA144" s="11" t="s">
        <v>155</v>
      </c>
      <c r="AB144" s="5" t="s">
        <v>245</v>
      </c>
      <c r="AC144" s="5" t="s">
        <v>262</v>
      </c>
      <c r="AD144" s="11" t="s">
        <v>635</v>
      </c>
      <c r="AE144" s="23" t="n">
        <v>0.85</v>
      </c>
      <c r="AF144" s="23" t="n">
        <v>0</v>
      </c>
      <c r="AG144" s="23" t="n">
        <v>1</v>
      </c>
      <c r="AH144" s="23" t="n">
        <v>1</v>
      </c>
      <c r="AI144" s="23" t="n">
        <v>0.6</v>
      </c>
      <c r="AJ144" s="23" t="n">
        <v>0.5472</v>
      </c>
      <c r="AK144" s="23" t="n">
        <v>1</v>
      </c>
      <c r="AL144" s="23" t="n">
        <v>1</v>
      </c>
      <c r="AM144" s="16" t="n">
        <f aca="false">COUNTIFS($D$2:$D$2501,D144,$G$2:$G$2501,"&gt;"&amp;G144)+COUNTIFS($D$2:D144,D144,$G$2:G144,G144)</f>
        <v>42</v>
      </c>
      <c r="AN144" s="5" t="str">
        <f aca="false">D144&amp;"|"&amp;AM144</f>
        <v>分析與報告生成|42</v>
      </c>
    </row>
    <row r="145" customFormat="false" ht="17.15" hidden="false" customHeight="false" outlineLevel="0" collapsed="false">
      <c r="A145" s="16" t="n">
        <f aca="false">RANK(G145,$G$2:$G$2501)+COUNTIF($G$2:G145,G145)-1</f>
        <v>144</v>
      </c>
      <c r="B145" s="11" t="s">
        <v>636</v>
      </c>
      <c r="C145" s="11" t="s">
        <v>302</v>
      </c>
      <c r="D145" s="5" t="s">
        <v>54</v>
      </c>
      <c r="E145" s="5" t="s">
        <v>55</v>
      </c>
      <c r="F145" s="5"/>
      <c r="G145" s="22" t="n">
        <f aca="false">ROUND(SUM(I145:P145),3)</f>
        <v>76.928</v>
      </c>
      <c r="H145" s="5" t="str">
        <f aca="false">IF(G145&gt;=評分方法!$C$16,"優先評估",IF(G145&gt;=評分方法!$C$17,"列入候選",IF(G145&gt;=評分方法!$C$18,"特定情境","不建議")))</f>
        <v>列入候選</v>
      </c>
      <c r="I145" s="15" t="n">
        <f aca="false">AE145*評分方法!$C$5</f>
        <v>27</v>
      </c>
      <c r="J145" s="15" t="n">
        <f aca="false">AF145*評分方法!$C$6</f>
        <v>0</v>
      </c>
      <c r="K145" s="15" t="n">
        <f aca="false">AG145*評分方法!$C$7</f>
        <v>15</v>
      </c>
      <c r="L145" s="15" t="n">
        <f aca="false">AH145*評分方法!$C$8</f>
        <v>15</v>
      </c>
      <c r="M145" s="15" t="n">
        <f aca="false">AI145*評分方法!$C$9</f>
        <v>10</v>
      </c>
      <c r="N145" s="15" t="n">
        <f aca="false">AJ145*評分方法!$C$10</f>
        <v>7.428</v>
      </c>
      <c r="O145" s="15" t="n">
        <f aca="false">AK145*評分方法!$C$11</f>
        <v>2.5</v>
      </c>
      <c r="P145" s="15" t="n">
        <f aca="false">AL145*評分方法!$C$12</f>
        <v>0</v>
      </c>
      <c r="Q145" s="6" t="n">
        <v>1118612</v>
      </c>
      <c r="R145" s="6" t="n">
        <v>124646915</v>
      </c>
      <c r="S145" s="11" t="s">
        <v>238</v>
      </c>
      <c r="T145" s="11" t="s">
        <v>239</v>
      </c>
      <c r="U145" s="5" t="s">
        <v>240</v>
      </c>
      <c r="V145" s="11" t="s">
        <v>356</v>
      </c>
      <c r="W145" s="5" t="s">
        <v>205</v>
      </c>
      <c r="X145" s="5" t="s">
        <v>242</v>
      </c>
      <c r="Y145" s="11" t="s">
        <v>637</v>
      </c>
      <c r="Z145" s="11" t="s">
        <v>244</v>
      </c>
      <c r="AA145" s="11" t="s">
        <v>154</v>
      </c>
      <c r="AB145" s="5" t="s">
        <v>245</v>
      </c>
      <c r="AC145" s="5" t="s">
        <v>246</v>
      </c>
      <c r="AD145" s="11" t="s">
        <v>638</v>
      </c>
      <c r="AE145" s="23" t="n">
        <v>0.9</v>
      </c>
      <c r="AF145" s="23" t="n">
        <v>0</v>
      </c>
      <c r="AG145" s="23" t="n">
        <v>1</v>
      </c>
      <c r="AH145" s="23" t="n">
        <v>1</v>
      </c>
      <c r="AI145" s="23" t="n">
        <v>1</v>
      </c>
      <c r="AJ145" s="23" t="n">
        <v>0.7428</v>
      </c>
      <c r="AK145" s="23" t="n">
        <v>0.5</v>
      </c>
      <c r="AL145" s="23" t="n">
        <v>0</v>
      </c>
      <c r="AM145" s="16" t="n">
        <f aca="false">COUNTIFS($D$2:$D$2501,D145,$G$2:$G$2501,"&gt;"&amp;G145)+COUNTIFS($D$2:D145,D145,$G$2:G145,G145)</f>
        <v>64</v>
      </c>
      <c r="AN145" s="5" t="str">
        <f aca="false">D145&amp;"|"&amp;AM145</f>
        <v>檢索與情資關聯|64</v>
      </c>
    </row>
    <row r="146" customFormat="false" ht="17.15" hidden="false" customHeight="false" outlineLevel="0" collapsed="false">
      <c r="A146" s="16" t="n">
        <f aca="false">RANK(G146,$G$2:$G$2501)+COUNTIF($G$2:G146,G146)-1</f>
        <v>145</v>
      </c>
      <c r="B146" s="11" t="s">
        <v>639</v>
      </c>
      <c r="C146" s="11" t="s">
        <v>282</v>
      </c>
      <c r="D146" s="5" t="s">
        <v>54</v>
      </c>
      <c r="E146" s="5" t="s">
        <v>55</v>
      </c>
      <c r="F146" s="5"/>
      <c r="G146" s="22" t="n">
        <f aca="false">ROUND(SUM(I146:P146),3)</f>
        <v>76.9</v>
      </c>
      <c r="H146" s="5" t="str">
        <f aca="false">IF(G146&gt;=評分方法!$C$16,"優先評估",IF(G146&gt;=評分方法!$C$17,"列入候選",IF(G146&gt;=評分方法!$C$18,"特定情境","不建議")))</f>
        <v>列入候選</v>
      </c>
      <c r="I146" s="15" t="n">
        <f aca="false">AE146*評分方法!$C$5</f>
        <v>27</v>
      </c>
      <c r="J146" s="15" t="n">
        <f aca="false">AF146*評分方法!$C$6</f>
        <v>0</v>
      </c>
      <c r="K146" s="15" t="n">
        <f aca="false">AG146*評分方法!$C$7</f>
        <v>15</v>
      </c>
      <c r="L146" s="15" t="n">
        <f aca="false">AH146*評分方法!$C$8</f>
        <v>15</v>
      </c>
      <c r="M146" s="15" t="n">
        <f aca="false">AI146*評分方法!$C$9</f>
        <v>10</v>
      </c>
      <c r="N146" s="15" t="n">
        <f aca="false">AJ146*評分方法!$C$10</f>
        <v>2.4</v>
      </c>
      <c r="O146" s="15" t="n">
        <f aca="false">AK146*評分方法!$C$11</f>
        <v>2.5</v>
      </c>
      <c r="P146" s="15" t="n">
        <f aca="false">AL146*評分方法!$C$12</f>
        <v>5</v>
      </c>
      <c r="Q146" s="6" t="n">
        <v>241028</v>
      </c>
      <c r="R146" s="6" t="n">
        <v>134734080</v>
      </c>
      <c r="S146" s="11" t="s">
        <v>238</v>
      </c>
      <c r="T146" s="11" t="s">
        <v>239</v>
      </c>
      <c r="U146" s="5" t="s">
        <v>240</v>
      </c>
      <c r="V146" s="11" t="s">
        <v>283</v>
      </c>
      <c r="W146" s="5" t="s">
        <v>205</v>
      </c>
      <c r="X146" s="5" t="s">
        <v>284</v>
      </c>
      <c r="Y146" s="5"/>
      <c r="Z146" s="5"/>
      <c r="AA146" s="11" t="s">
        <v>152</v>
      </c>
      <c r="AB146" s="5" t="s">
        <v>245</v>
      </c>
      <c r="AC146" s="5"/>
      <c r="AD146" s="11" t="s">
        <v>640</v>
      </c>
      <c r="AE146" s="23" t="n">
        <v>0.9</v>
      </c>
      <c r="AF146" s="23" t="n">
        <v>0</v>
      </c>
      <c r="AG146" s="23" t="n">
        <v>1</v>
      </c>
      <c r="AH146" s="23" t="n">
        <v>1</v>
      </c>
      <c r="AI146" s="23" t="n">
        <v>1</v>
      </c>
      <c r="AJ146" s="23" t="n">
        <v>0.24</v>
      </c>
      <c r="AK146" s="23" t="n">
        <v>0.5</v>
      </c>
      <c r="AL146" s="23" t="n">
        <v>1</v>
      </c>
      <c r="AM146" s="16" t="n">
        <f aca="false">COUNTIFS($D$2:$D$2501,D146,$G$2:$G$2501,"&gt;"&amp;G146)+COUNTIFS($D$2:D146,D146,$G$2:G146,G146)</f>
        <v>65</v>
      </c>
      <c r="AN146" s="5" t="str">
        <f aca="false">D146&amp;"|"&amp;AM146</f>
        <v>檢索與情資關聯|65</v>
      </c>
    </row>
    <row r="147" customFormat="false" ht="17.15" hidden="false" customHeight="false" outlineLevel="0" collapsed="false">
      <c r="A147" s="16" t="n">
        <f aca="false">RANK(G147,$G$2:$G$2501)+COUNTIF($G$2:G147,G147)-1</f>
        <v>146</v>
      </c>
      <c r="B147" s="11" t="s">
        <v>641</v>
      </c>
      <c r="C147" s="11" t="s">
        <v>338</v>
      </c>
      <c r="D147" s="5" t="s">
        <v>56</v>
      </c>
      <c r="E147" s="5" t="s">
        <v>57</v>
      </c>
      <c r="F147" s="5"/>
      <c r="G147" s="22" t="n">
        <f aca="false">ROUND(SUM(I147:P147),3)</f>
        <v>76.88</v>
      </c>
      <c r="H147" s="5" t="str">
        <f aca="false">IF(G147&gt;=評分方法!$C$16,"優先評估",IF(G147&gt;=評分方法!$C$17,"列入候選",IF(G147&gt;=評分方法!$C$18,"特定情境","不建議")))</f>
        <v>列入候選</v>
      </c>
      <c r="I147" s="15" t="n">
        <f aca="false">AE147*評分方法!$C$5</f>
        <v>25.5</v>
      </c>
      <c r="J147" s="15" t="n">
        <f aca="false">AF147*評分方法!$C$6</f>
        <v>0</v>
      </c>
      <c r="K147" s="15" t="n">
        <f aca="false">AG147*評分方法!$C$7</f>
        <v>15</v>
      </c>
      <c r="L147" s="15" t="n">
        <f aca="false">AH147*評分方法!$C$8</f>
        <v>9</v>
      </c>
      <c r="M147" s="15" t="n">
        <f aca="false">AI147*評分方法!$C$9</f>
        <v>10</v>
      </c>
      <c r="N147" s="15" t="n">
        <f aca="false">AJ147*評分方法!$C$10</f>
        <v>7.38</v>
      </c>
      <c r="O147" s="15" t="n">
        <f aca="false">AK147*評分方法!$C$11</f>
        <v>5</v>
      </c>
      <c r="P147" s="15" t="n">
        <f aca="false">AL147*評分方法!$C$12</f>
        <v>5</v>
      </c>
      <c r="Q147" s="6" t="n">
        <v>1097125</v>
      </c>
      <c r="R147" s="6" t="n">
        <v>13945032240</v>
      </c>
      <c r="S147" s="11" t="s">
        <v>389</v>
      </c>
      <c r="T147" s="11" t="s">
        <v>239</v>
      </c>
      <c r="U147" s="5" t="s">
        <v>240</v>
      </c>
      <c r="V147" s="11" t="s">
        <v>261</v>
      </c>
      <c r="W147" s="5" t="s">
        <v>205</v>
      </c>
      <c r="X147" s="5" t="s">
        <v>284</v>
      </c>
      <c r="Y147" s="11" t="s">
        <v>642</v>
      </c>
      <c r="Z147" s="11" t="s">
        <v>244</v>
      </c>
      <c r="AA147" s="11" t="s">
        <v>155</v>
      </c>
      <c r="AB147" s="5" t="s">
        <v>328</v>
      </c>
      <c r="AC147" s="5" t="s">
        <v>340</v>
      </c>
      <c r="AD147" s="11" t="s">
        <v>643</v>
      </c>
      <c r="AE147" s="23" t="n">
        <v>0.85</v>
      </c>
      <c r="AF147" s="23" t="n">
        <v>0</v>
      </c>
      <c r="AG147" s="23" t="n">
        <v>1</v>
      </c>
      <c r="AH147" s="23" t="n">
        <v>0.6</v>
      </c>
      <c r="AI147" s="23" t="n">
        <v>1</v>
      </c>
      <c r="AJ147" s="23" t="n">
        <v>0.738</v>
      </c>
      <c r="AK147" s="23" t="n">
        <v>1</v>
      </c>
      <c r="AL147" s="23" t="n">
        <v>1</v>
      </c>
      <c r="AM147" s="16" t="n">
        <f aca="false">COUNTIFS($D$2:$D$2501,D147,$G$2:$G$2501,"&gt;"&amp;G147)+COUNTIFS($D$2:D147,D147,$G$2:G147,G147)</f>
        <v>43</v>
      </c>
      <c r="AN147" s="5" t="str">
        <f aca="false">D147&amp;"|"&amp;AM147</f>
        <v>分析與報告生成|43</v>
      </c>
    </row>
    <row r="148" customFormat="false" ht="17.15" hidden="false" customHeight="false" outlineLevel="0" collapsed="false">
      <c r="A148" s="16" t="n">
        <f aca="false">RANK(G148,$G$2:$G$2501)+COUNTIF($G$2:G148,G148)-1</f>
        <v>147</v>
      </c>
      <c r="B148" s="11" t="s">
        <v>644</v>
      </c>
      <c r="C148" s="11" t="s">
        <v>338</v>
      </c>
      <c r="D148" s="5" t="s">
        <v>56</v>
      </c>
      <c r="E148" s="5" t="s">
        <v>57</v>
      </c>
      <c r="F148" s="5"/>
      <c r="G148" s="22" t="n">
        <f aca="false">ROUND(SUM(I148:P148),3)</f>
        <v>76.874</v>
      </c>
      <c r="H148" s="5" t="str">
        <f aca="false">IF(G148&gt;=評分方法!$C$16,"優先評估",IF(G148&gt;=評分方法!$C$17,"列入候選",IF(G148&gt;=評分方法!$C$18,"特定情境","不建議")))</f>
        <v>列入候選</v>
      </c>
      <c r="I148" s="15" t="n">
        <f aca="false">AE148*評分方法!$C$5</f>
        <v>25.5</v>
      </c>
      <c r="J148" s="15" t="n">
        <f aca="false">AF148*評分方法!$C$6</f>
        <v>0</v>
      </c>
      <c r="K148" s="15" t="n">
        <f aca="false">AG148*評分方法!$C$7</f>
        <v>15</v>
      </c>
      <c r="L148" s="15" t="n">
        <f aca="false">AH148*評分方法!$C$8</f>
        <v>13.05</v>
      </c>
      <c r="M148" s="15" t="n">
        <f aca="false">AI148*評分方法!$C$9</f>
        <v>10</v>
      </c>
      <c r="N148" s="15" t="n">
        <f aca="false">AJ148*評分方法!$C$10</f>
        <v>7.824</v>
      </c>
      <c r="O148" s="15" t="n">
        <f aca="false">AK148*評分方法!$C$11</f>
        <v>2.5</v>
      </c>
      <c r="P148" s="15" t="n">
        <f aca="false">AL148*評分方法!$C$12</f>
        <v>3</v>
      </c>
      <c r="Q148" s="6" t="n">
        <v>1414170</v>
      </c>
      <c r="R148" s="6" t="n">
        <v>7241732096</v>
      </c>
      <c r="S148" s="11" t="s">
        <v>254</v>
      </c>
      <c r="T148" s="11" t="s">
        <v>239</v>
      </c>
      <c r="U148" s="5" t="s">
        <v>240</v>
      </c>
      <c r="V148" s="11" t="s">
        <v>324</v>
      </c>
      <c r="W148" s="5" t="s">
        <v>205</v>
      </c>
      <c r="X148" s="5" t="s">
        <v>371</v>
      </c>
      <c r="Y148" s="11" t="s">
        <v>645</v>
      </c>
      <c r="Z148" s="11" t="s">
        <v>270</v>
      </c>
      <c r="AA148" s="11" t="s">
        <v>155</v>
      </c>
      <c r="AB148" s="5" t="s">
        <v>245</v>
      </c>
      <c r="AC148" s="5"/>
      <c r="AD148" s="11" t="s">
        <v>646</v>
      </c>
      <c r="AE148" s="23" t="n">
        <v>0.85</v>
      </c>
      <c r="AF148" s="23" t="n">
        <v>0</v>
      </c>
      <c r="AG148" s="23" t="n">
        <v>1</v>
      </c>
      <c r="AH148" s="23" t="n">
        <v>0.87</v>
      </c>
      <c r="AI148" s="23" t="n">
        <v>1</v>
      </c>
      <c r="AJ148" s="23" t="n">
        <v>0.7824</v>
      </c>
      <c r="AK148" s="23" t="n">
        <v>0.5</v>
      </c>
      <c r="AL148" s="23" t="n">
        <v>0.6</v>
      </c>
      <c r="AM148" s="16" t="n">
        <f aca="false">COUNTIFS($D$2:$D$2501,D148,$G$2:$G$2501,"&gt;"&amp;G148)+COUNTIFS($D$2:D148,D148,$G$2:G148,G148)</f>
        <v>44</v>
      </c>
      <c r="AN148" s="5" t="str">
        <f aca="false">D148&amp;"|"&amp;AM148</f>
        <v>分析與報告生成|44</v>
      </c>
    </row>
    <row r="149" customFormat="false" ht="17.15" hidden="false" customHeight="false" outlineLevel="0" collapsed="false">
      <c r="A149" s="16" t="n">
        <f aca="false">RANK(G149,$G$2:$G$2501)+COUNTIF($G$2:G149,G149)-1</f>
        <v>148</v>
      </c>
      <c r="B149" s="11" t="s">
        <v>647</v>
      </c>
      <c r="C149" s="11" t="s">
        <v>382</v>
      </c>
      <c r="D149" s="5" t="s">
        <v>54</v>
      </c>
      <c r="E149" s="5" t="s">
        <v>55</v>
      </c>
      <c r="F149" s="5"/>
      <c r="G149" s="22" t="n">
        <f aca="false">ROUND(SUM(I149:P149),3)</f>
        <v>76.864</v>
      </c>
      <c r="H149" s="5" t="str">
        <f aca="false">IF(G149&gt;=評分方法!$C$16,"優先評估",IF(G149&gt;=評分方法!$C$17,"列入候選",IF(G149&gt;=評分方法!$C$18,"特定情境","不建議")))</f>
        <v>列入候選</v>
      </c>
      <c r="I149" s="15" t="n">
        <f aca="false">AE149*評分方法!$C$5</f>
        <v>27</v>
      </c>
      <c r="J149" s="15" t="n">
        <f aca="false">AF149*評分方法!$C$6</f>
        <v>0</v>
      </c>
      <c r="K149" s="15" t="n">
        <f aca="false">AG149*評分方法!$C$7</f>
        <v>15</v>
      </c>
      <c r="L149" s="15" t="n">
        <f aca="false">AH149*評分方法!$C$8</f>
        <v>15</v>
      </c>
      <c r="M149" s="15" t="n">
        <f aca="false">AI149*評分方法!$C$9</f>
        <v>10</v>
      </c>
      <c r="N149" s="15" t="n">
        <f aca="false">AJ149*評分方法!$C$10</f>
        <v>7.364</v>
      </c>
      <c r="O149" s="15" t="n">
        <f aca="false">AK149*評分方法!$C$11</f>
        <v>2.5</v>
      </c>
      <c r="P149" s="15" t="n">
        <f aca="false">AL149*評分方法!$C$12</f>
        <v>0</v>
      </c>
      <c r="Q149" s="6" t="n">
        <v>1078900</v>
      </c>
      <c r="R149" s="6" t="n">
        <v>335141888</v>
      </c>
      <c r="S149" s="11" t="s">
        <v>238</v>
      </c>
      <c r="T149" s="11" t="s">
        <v>239</v>
      </c>
      <c r="U149" s="5" t="s">
        <v>240</v>
      </c>
      <c r="V149" s="11" t="s">
        <v>241</v>
      </c>
      <c r="W149" s="5" t="s">
        <v>205</v>
      </c>
      <c r="X149" s="5" t="s">
        <v>242</v>
      </c>
      <c r="Y149" s="5"/>
      <c r="Z149" s="5"/>
      <c r="AA149" s="11" t="s">
        <v>153</v>
      </c>
      <c r="AB149" s="5" t="s">
        <v>245</v>
      </c>
      <c r="AC149" s="5"/>
      <c r="AD149" s="11" t="s">
        <v>648</v>
      </c>
      <c r="AE149" s="23" t="n">
        <v>0.9</v>
      </c>
      <c r="AF149" s="23" t="n">
        <v>0</v>
      </c>
      <c r="AG149" s="23" t="n">
        <v>1</v>
      </c>
      <c r="AH149" s="23" t="n">
        <v>1</v>
      </c>
      <c r="AI149" s="23" t="n">
        <v>1</v>
      </c>
      <c r="AJ149" s="23" t="n">
        <v>0.7364</v>
      </c>
      <c r="AK149" s="23" t="n">
        <v>0.5</v>
      </c>
      <c r="AL149" s="23" t="n">
        <v>0</v>
      </c>
      <c r="AM149" s="16" t="n">
        <f aca="false">COUNTIFS($D$2:$D$2501,D149,$G$2:$G$2501,"&gt;"&amp;G149)+COUNTIFS($D$2:D149,D149,$G$2:G149,G149)</f>
        <v>66</v>
      </c>
      <c r="AN149" s="5" t="str">
        <f aca="false">D149&amp;"|"&amp;AM149</f>
        <v>檢索與情資關聯|66</v>
      </c>
    </row>
    <row r="150" customFormat="false" ht="17.15" hidden="false" customHeight="false" outlineLevel="0" collapsed="false">
      <c r="A150" s="16" t="n">
        <f aca="false">RANK(G150,$G$2:$G$2501)+COUNTIF($G$2:G150,G150)-1</f>
        <v>149</v>
      </c>
      <c r="B150" s="11" t="s">
        <v>409</v>
      </c>
      <c r="C150" s="11" t="s">
        <v>338</v>
      </c>
      <c r="D150" s="5" t="s">
        <v>56</v>
      </c>
      <c r="E150" s="5" t="s">
        <v>57</v>
      </c>
      <c r="F150" s="5"/>
      <c r="G150" s="22" t="n">
        <f aca="false">ROUND(SUM(I150:P150),3)</f>
        <v>76.858</v>
      </c>
      <c r="H150" s="5" t="str">
        <f aca="false">IF(G150&gt;=評分方法!$C$16,"優先評估",IF(G150&gt;=評分方法!$C$17,"列入候選",IF(G150&gt;=評分方法!$C$18,"特定情境","不建議")))</f>
        <v>列入候選</v>
      </c>
      <c r="I150" s="15" t="n">
        <f aca="false">AE150*評分方法!$C$5</f>
        <v>25.5</v>
      </c>
      <c r="J150" s="15" t="n">
        <f aca="false">AF150*評分方法!$C$6</f>
        <v>0</v>
      </c>
      <c r="K150" s="15" t="n">
        <f aca="false">AG150*評分方法!$C$7</f>
        <v>15</v>
      </c>
      <c r="L150" s="15" t="n">
        <f aca="false">AH150*評分方法!$C$8</f>
        <v>13.05</v>
      </c>
      <c r="M150" s="15" t="n">
        <f aca="false">AI150*評分方法!$C$9</f>
        <v>10</v>
      </c>
      <c r="N150" s="15" t="n">
        <f aca="false">AJ150*評分方法!$C$10</f>
        <v>7.808</v>
      </c>
      <c r="O150" s="15" t="n">
        <f aca="false">AK150*評分方法!$C$11</f>
        <v>2.5</v>
      </c>
      <c r="P150" s="15" t="n">
        <f aca="false">AL150*評分方法!$C$12</f>
        <v>3</v>
      </c>
      <c r="Q150" s="6" t="n">
        <v>1390974</v>
      </c>
      <c r="R150" s="6" t="n">
        <v>7248023552</v>
      </c>
      <c r="S150" s="11" t="s">
        <v>254</v>
      </c>
      <c r="T150" s="11" t="s">
        <v>239</v>
      </c>
      <c r="U150" s="5" t="s">
        <v>240</v>
      </c>
      <c r="V150" s="11" t="s">
        <v>261</v>
      </c>
      <c r="W150" s="5" t="s">
        <v>205</v>
      </c>
      <c r="X150" s="5" t="s">
        <v>371</v>
      </c>
      <c r="Y150" s="5"/>
      <c r="Z150" s="5"/>
      <c r="AA150" s="11" t="s">
        <v>155</v>
      </c>
      <c r="AB150" s="5" t="s">
        <v>328</v>
      </c>
      <c r="AC150" s="5" t="s">
        <v>400</v>
      </c>
      <c r="AD150" s="11" t="s">
        <v>649</v>
      </c>
      <c r="AE150" s="23" t="n">
        <v>0.85</v>
      </c>
      <c r="AF150" s="23" t="n">
        <v>0</v>
      </c>
      <c r="AG150" s="23" t="n">
        <v>1</v>
      </c>
      <c r="AH150" s="23" t="n">
        <v>0.87</v>
      </c>
      <c r="AI150" s="23" t="n">
        <v>1</v>
      </c>
      <c r="AJ150" s="23" t="n">
        <v>0.7808</v>
      </c>
      <c r="AK150" s="23" t="n">
        <v>0.5</v>
      </c>
      <c r="AL150" s="23" t="n">
        <v>0.6</v>
      </c>
      <c r="AM150" s="16" t="n">
        <f aca="false">COUNTIFS($D$2:$D$2501,D150,$G$2:$G$2501,"&gt;"&amp;G150)+COUNTIFS($D$2:D150,D150,$G$2:G150,G150)</f>
        <v>45</v>
      </c>
      <c r="AN150" s="5" t="str">
        <f aca="false">D150&amp;"|"&amp;AM150</f>
        <v>分析與報告生成|45</v>
      </c>
    </row>
    <row r="151" customFormat="false" ht="17.15" hidden="false" customHeight="false" outlineLevel="0" collapsed="false">
      <c r="A151" s="16" t="n">
        <f aca="false">RANK(G151,$G$2:$G$2501)+COUNTIF($G$2:G151,G151)-1</f>
        <v>150</v>
      </c>
      <c r="B151" s="11" t="s">
        <v>650</v>
      </c>
      <c r="C151" s="11" t="s">
        <v>323</v>
      </c>
      <c r="D151" s="5" t="s">
        <v>56</v>
      </c>
      <c r="E151" s="5" t="s">
        <v>57</v>
      </c>
      <c r="F151" s="5"/>
      <c r="G151" s="22" t="n">
        <f aca="false">ROUND(SUM(I151:P151),3)</f>
        <v>76.85</v>
      </c>
      <c r="H151" s="5" t="str">
        <f aca="false">IF(G151&gt;=評分方法!$C$16,"優先評估",IF(G151&gt;=評分方法!$C$17,"列入候選",IF(G151&gt;=評分方法!$C$18,"特定情境","不建議")))</f>
        <v>列入候選</v>
      </c>
      <c r="I151" s="15" t="n">
        <f aca="false">AE151*評分方法!$C$5</f>
        <v>25.5</v>
      </c>
      <c r="J151" s="15" t="n">
        <f aca="false">AF151*評分方法!$C$6</f>
        <v>0</v>
      </c>
      <c r="K151" s="15" t="n">
        <f aca="false">AG151*評分方法!$C$7</f>
        <v>15</v>
      </c>
      <c r="L151" s="15" t="n">
        <f aca="false">AH151*評分方法!$C$8</f>
        <v>13.05</v>
      </c>
      <c r="M151" s="15" t="n">
        <f aca="false">AI151*評分方法!$C$9</f>
        <v>10</v>
      </c>
      <c r="N151" s="15" t="n">
        <f aca="false">AJ151*評分方法!$C$10</f>
        <v>8.3</v>
      </c>
      <c r="O151" s="15" t="n">
        <f aca="false">AK151*評分方法!$C$11</f>
        <v>5</v>
      </c>
      <c r="P151" s="15" t="n">
        <f aca="false">AL151*評分方法!$C$12</f>
        <v>0</v>
      </c>
      <c r="Q151" s="6" t="n">
        <v>1937822</v>
      </c>
      <c r="R151" s="6" t="n">
        <v>7298011136</v>
      </c>
      <c r="S151" s="11" t="s">
        <v>254</v>
      </c>
      <c r="T151" s="11" t="s">
        <v>239</v>
      </c>
      <c r="U151" s="5" t="s">
        <v>240</v>
      </c>
      <c r="V151" s="11" t="s">
        <v>261</v>
      </c>
      <c r="W151" s="5" t="s">
        <v>205</v>
      </c>
      <c r="X151" s="5" t="s">
        <v>242</v>
      </c>
      <c r="Y151" s="11" t="s">
        <v>651</v>
      </c>
      <c r="Z151" s="11" t="s">
        <v>270</v>
      </c>
      <c r="AA151" s="11" t="s">
        <v>155</v>
      </c>
      <c r="AB151" s="5" t="s">
        <v>245</v>
      </c>
      <c r="AC151" s="5"/>
      <c r="AD151" s="11" t="s">
        <v>652</v>
      </c>
      <c r="AE151" s="23" t="n">
        <v>0.85</v>
      </c>
      <c r="AF151" s="23" t="n">
        <v>0</v>
      </c>
      <c r="AG151" s="23" t="n">
        <v>1</v>
      </c>
      <c r="AH151" s="23" t="n">
        <v>0.87</v>
      </c>
      <c r="AI151" s="23" t="n">
        <v>1</v>
      </c>
      <c r="AJ151" s="23" t="n">
        <v>0.83</v>
      </c>
      <c r="AK151" s="23" t="n">
        <v>1</v>
      </c>
      <c r="AL151" s="23" t="n">
        <v>0</v>
      </c>
      <c r="AM151" s="16" t="n">
        <f aca="false">COUNTIFS($D$2:$D$2501,D151,$G$2:$G$2501,"&gt;"&amp;G151)+COUNTIFS($D$2:D151,D151,$G$2:G151,G151)</f>
        <v>46</v>
      </c>
      <c r="AN151" s="5" t="str">
        <f aca="false">D151&amp;"|"&amp;AM151</f>
        <v>分析與報告生成|46</v>
      </c>
    </row>
    <row r="152" customFormat="false" ht="17.15" hidden="false" customHeight="false" outlineLevel="0" collapsed="false">
      <c r="A152" s="16" t="n">
        <f aca="false">RANK(G152,$G$2:$G$2501)+COUNTIF($G$2:G152,G152)-1</f>
        <v>151</v>
      </c>
      <c r="B152" s="11" t="s">
        <v>653</v>
      </c>
      <c r="C152" s="11" t="s">
        <v>368</v>
      </c>
      <c r="D152" s="5" t="s">
        <v>56</v>
      </c>
      <c r="E152" s="5" t="s">
        <v>57</v>
      </c>
      <c r="F152" s="5"/>
      <c r="G152" s="22" t="n">
        <f aca="false">ROUND(SUM(I152:P152),3)</f>
        <v>76.796</v>
      </c>
      <c r="H152" s="5" t="str">
        <f aca="false">IF(G152&gt;=評分方法!$C$16,"優先評估",IF(G152&gt;=評分方法!$C$17,"列入候選",IF(G152&gt;=評分方法!$C$18,"特定情境","不建議")))</f>
        <v>列入候選</v>
      </c>
      <c r="I152" s="15" t="n">
        <f aca="false">AE152*評分方法!$C$5</f>
        <v>25.5</v>
      </c>
      <c r="J152" s="15" t="n">
        <f aca="false">AF152*評分方法!$C$6</f>
        <v>0</v>
      </c>
      <c r="K152" s="15" t="n">
        <f aca="false">AG152*評分方法!$C$7</f>
        <v>15</v>
      </c>
      <c r="L152" s="15" t="n">
        <f aca="false">AH152*評分方法!$C$8</f>
        <v>9</v>
      </c>
      <c r="M152" s="15" t="n">
        <f aca="false">AI152*評分方法!$C$9</f>
        <v>10</v>
      </c>
      <c r="N152" s="15" t="n">
        <f aca="false">AJ152*評分方法!$C$10</f>
        <v>9.296</v>
      </c>
      <c r="O152" s="15" t="n">
        <f aca="false">AK152*評分方法!$C$11</f>
        <v>5</v>
      </c>
      <c r="P152" s="15" t="n">
        <f aca="false">AL152*評分方法!$C$12</f>
        <v>3</v>
      </c>
      <c r="Q152" s="6" t="n">
        <v>6143449</v>
      </c>
      <c r="R152" s="6" t="n">
        <v>25823778864</v>
      </c>
      <c r="S152" s="11" t="s">
        <v>389</v>
      </c>
      <c r="T152" s="11" t="s">
        <v>239</v>
      </c>
      <c r="U152" s="5" t="s">
        <v>240</v>
      </c>
      <c r="V152" s="11" t="s">
        <v>261</v>
      </c>
      <c r="W152" s="5" t="s">
        <v>205</v>
      </c>
      <c r="X152" s="5" t="s">
        <v>371</v>
      </c>
      <c r="Y152" s="5"/>
      <c r="Z152" s="5"/>
      <c r="AA152" s="11" t="s">
        <v>156</v>
      </c>
      <c r="AB152" s="5" t="s">
        <v>245</v>
      </c>
      <c r="AC152" s="5"/>
      <c r="AD152" s="11" t="s">
        <v>654</v>
      </c>
      <c r="AE152" s="23" t="n">
        <v>0.85</v>
      </c>
      <c r="AF152" s="23" t="n">
        <v>0</v>
      </c>
      <c r="AG152" s="23" t="n">
        <v>1</v>
      </c>
      <c r="AH152" s="23" t="n">
        <v>0.6</v>
      </c>
      <c r="AI152" s="23" t="n">
        <v>1</v>
      </c>
      <c r="AJ152" s="23" t="n">
        <v>0.9296</v>
      </c>
      <c r="AK152" s="23" t="n">
        <v>1</v>
      </c>
      <c r="AL152" s="23" t="n">
        <v>0.6</v>
      </c>
      <c r="AM152" s="16" t="n">
        <f aca="false">COUNTIFS($D$2:$D$2501,D152,$G$2:$G$2501,"&gt;"&amp;G152)+COUNTIFS($D$2:D152,D152,$G$2:G152,G152)</f>
        <v>47</v>
      </c>
      <c r="AN152" s="5" t="str">
        <f aca="false">D152&amp;"|"&amp;AM152</f>
        <v>分析與報告生成|47</v>
      </c>
    </row>
    <row r="153" customFormat="false" ht="17.15" hidden="false" customHeight="false" outlineLevel="0" collapsed="false">
      <c r="A153" s="16" t="n">
        <f aca="false">RANK(G153,$G$2:$G$2501)+COUNTIF($G$2:G153,G153)-1</f>
        <v>152</v>
      </c>
      <c r="B153" s="11" t="s">
        <v>655</v>
      </c>
      <c r="C153" s="11" t="s">
        <v>308</v>
      </c>
      <c r="D153" s="5" t="s">
        <v>56</v>
      </c>
      <c r="E153" s="5" t="s">
        <v>57</v>
      </c>
      <c r="F153" s="5"/>
      <c r="G153" s="22" t="n">
        <f aca="false">ROUND(SUM(I153:P153),3)</f>
        <v>76.784</v>
      </c>
      <c r="H153" s="5" t="str">
        <f aca="false">IF(G153&gt;=評分方法!$C$16,"優先評估",IF(G153&gt;=評分方法!$C$17,"列入候選",IF(G153&gt;=評分方法!$C$18,"特定情境","不建議")))</f>
        <v>列入候選</v>
      </c>
      <c r="I153" s="15" t="n">
        <f aca="false">AE153*評分方法!$C$5</f>
        <v>25.5</v>
      </c>
      <c r="J153" s="15" t="n">
        <f aca="false">AF153*評分方法!$C$6</f>
        <v>0</v>
      </c>
      <c r="K153" s="15" t="n">
        <f aca="false">AG153*評分方法!$C$7</f>
        <v>15</v>
      </c>
      <c r="L153" s="15" t="n">
        <f aca="false">AH153*評分方法!$C$8</f>
        <v>15</v>
      </c>
      <c r="M153" s="15" t="n">
        <f aca="false">AI153*評分方法!$C$9</f>
        <v>10</v>
      </c>
      <c r="N153" s="15" t="n">
        <f aca="false">AJ153*評分方法!$C$10</f>
        <v>4.284</v>
      </c>
      <c r="O153" s="15" t="n">
        <f aca="false">AK153*評分方法!$C$11</f>
        <v>4</v>
      </c>
      <c r="P153" s="15" t="n">
        <f aca="false">AL153*評分方法!$C$12</f>
        <v>3</v>
      </c>
      <c r="Q153" s="6" t="n">
        <v>472964</v>
      </c>
      <c r="R153" s="6" t="n">
        <v>741653504</v>
      </c>
      <c r="S153" s="11" t="s">
        <v>238</v>
      </c>
      <c r="T153" s="11" t="s">
        <v>278</v>
      </c>
      <c r="U153" s="5" t="s">
        <v>240</v>
      </c>
      <c r="V153" s="11" t="s">
        <v>261</v>
      </c>
      <c r="W153" s="5" t="s">
        <v>205</v>
      </c>
      <c r="X153" s="5" t="s">
        <v>371</v>
      </c>
      <c r="Y153" s="5"/>
      <c r="Z153" s="5"/>
      <c r="AA153" s="11" t="s">
        <v>156</v>
      </c>
      <c r="AB153" s="5" t="s">
        <v>245</v>
      </c>
      <c r="AC153" s="5"/>
      <c r="AD153" s="11" t="s">
        <v>656</v>
      </c>
      <c r="AE153" s="23" t="n">
        <v>0.85</v>
      </c>
      <c r="AF153" s="23" t="n">
        <v>0</v>
      </c>
      <c r="AG153" s="23" t="n">
        <v>1</v>
      </c>
      <c r="AH153" s="23" t="n">
        <v>1</v>
      </c>
      <c r="AI153" s="23" t="n">
        <v>1</v>
      </c>
      <c r="AJ153" s="23" t="n">
        <v>0.4284</v>
      </c>
      <c r="AK153" s="23" t="n">
        <v>0.8</v>
      </c>
      <c r="AL153" s="23" t="n">
        <v>0.6</v>
      </c>
      <c r="AM153" s="16" t="n">
        <f aca="false">COUNTIFS($D$2:$D$2501,D153,$G$2:$G$2501,"&gt;"&amp;G153)+COUNTIFS($D$2:D153,D153,$G$2:G153,G153)</f>
        <v>48</v>
      </c>
      <c r="AN153" s="5" t="str">
        <f aca="false">D153&amp;"|"&amp;AM153</f>
        <v>分析與報告生成|48</v>
      </c>
    </row>
    <row r="154" customFormat="false" ht="17.15" hidden="false" customHeight="false" outlineLevel="0" collapsed="false">
      <c r="A154" s="16" t="n">
        <f aca="false">RANK(G154,$G$2:$G$2501)+COUNTIF($G$2:G154,G154)-1</f>
        <v>153</v>
      </c>
      <c r="B154" s="11" t="s">
        <v>657</v>
      </c>
      <c r="C154" s="11" t="s">
        <v>368</v>
      </c>
      <c r="D154" s="5" t="s">
        <v>56</v>
      </c>
      <c r="E154" s="5" t="s">
        <v>57</v>
      </c>
      <c r="F154" s="5"/>
      <c r="G154" s="22" t="n">
        <f aca="false">ROUND(SUM(I154:P154),3)</f>
        <v>76.772</v>
      </c>
      <c r="H154" s="5" t="str">
        <f aca="false">IF(G154&gt;=評分方法!$C$16,"優先評估",IF(G154&gt;=評分方法!$C$17,"列入候選",IF(G154&gt;=評分方法!$C$18,"特定情境","不建議")))</f>
        <v>列入候選</v>
      </c>
      <c r="I154" s="15" t="n">
        <f aca="false">AE154*評分方法!$C$5</f>
        <v>25.5</v>
      </c>
      <c r="J154" s="15" t="n">
        <f aca="false">AF154*評分方法!$C$6</f>
        <v>0</v>
      </c>
      <c r="K154" s="15" t="n">
        <f aca="false">AG154*評分方法!$C$7</f>
        <v>15</v>
      </c>
      <c r="L154" s="15" t="n">
        <f aca="false">AH154*評分方法!$C$8</f>
        <v>15</v>
      </c>
      <c r="M154" s="15" t="n">
        <f aca="false">AI154*評分方法!$C$9</f>
        <v>6</v>
      </c>
      <c r="N154" s="15" t="n">
        <f aca="false">AJ154*評分方法!$C$10</f>
        <v>9.772</v>
      </c>
      <c r="O154" s="15" t="n">
        <f aca="false">AK154*評分方法!$C$11</f>
        <v>2.5</v>
      </c>
      <c r="P154" s="15" t="n">
        <f aca="false">AL154*評分方法!$C$12</f>
        <v>3</v>
      </c>
      <c r="Q154" s="6" t="n">
        <v>17720014</v>
      </c>
      <c r="R154" s="6" t="n">
        <v>999885952</v>
      </c>
      <c r="S154" s="11" t="s">
        <v>238</v>
      </c>
      <c r="T154" s="11" t="s">
        <v>658</v>
      </c>
      <c r="U154" s="5" t="s">
        <v>260</v>
      </c>
      <c r="V154" s="11" t="s">
        <v>261</v>
      </c>
      <c r="W154" s="5" t="s">
        <v>205</v>
      </c>
      <c r="X154" s="5" t="s">
        <v>371</v>
      </c>
      <c r="Y154" s="11" t="s">
        <v>659</v>
      </c>
      <c r="Z154" s="11" t="s">
        <v>270</v>
      </c>
      <c r="AA154" s="11" t="s">
        <v>155</v>
      </c>
      <c r="AB154" s="5" t="s">
        <v>245</v>
      </c>
      <c r="AC154" s="5" t="s">
        <v>262</v>
      </c>
      <c r="AD154" s="11" t="s">
        <v>660</v>
      </c>
      <c r="AE154" s="23" t="n">
        <v>0.85</v>
      </c>
      <c r="AF154" s="23" t="n">
        <v>0</v>
      </c>
      <c r="AG154" s="23" t="n">
        <v>1</v>
      </c>
      <c r="AH154" s="23" t="n">
        <v>1</v>
      </c>
      <c r="AI154" s="23" t="n">
        <v>0.6</v>
      </c>
      <c r="AJ154" s="23" t="n">
        <v>0.9772</v>
      </c>
      <c r="AK154" s="23" t="n">
        <v>0.5</v>
      </c>
      <c r="AL154" s="23" t="n">
        <v>0.6</v>
      </c>
      <c r="AM154" s="16" t="n">
        <f aca="false">COUNTIFS($D$2:$D$2501,D154,$G$2:$G$2501,"&gt;"&amp;G154)+COUNTIFS($D$2:D154,D154,$G$2:G154,G154)</f>
        <v>49</v>
      </c>
      <c r="AN154" s="5" t="str">
        <f aca="false">D154&amp;"|"&amp;AM154</f>
        <v>分析與報告生成|49</v>
      </c>
    </row>
    <row r="155" customFormat="false" ht="17.15" hidden="false" customHeight="false" outlineLevel="0" collapsed="false">
      <c r="A155" s="16" t="n">
        <f aca="false">RANK(G155,$G$2:$G$2501)+COUNTIF($G$2:G155,G155)-1</f>
        <v>154</v>
      </c>
      <c r="B155" s="11" t="s">
        <v>661</v>
      </c>
      <c r="C155" s="11" t="s">
        <v>282</v>
      </c>
      <c r="D155" s="5" t="s">
        <v>54</v>
      </c>
      <c r="E155" s="5" t="s">
        <v>55</v>
      </c>
      <c r="F155" s="5"/>
      <c r="G155" s="22" t="n">
        <f aca="false">ROUND(SUM(I155:P155),3)</f>
        <v>76.768</v>
      </c>
      <c r="H155" s="5" t="str">
        <f aca="false">IF(G155&gt;=評分方法!$C$16,"優先評估",IF(G155&gt;=評分方法!$C$17,"列入候選",IF(G155&gt;=評分方法!$C$18,"特定情境","不建議")))</f>
        <v>列入候選</v>
      </c>
      <c r="I155" s="15" t="n">
        <f aca="false">AE155*評分方法!$C$5</f>
        <v>27</v>
      </c>
      <c r="J155" s="15" t="n">
        <f aca="false">AF155*評分方法!$C$6</f>
        <v>0</v>
      </c>
      <c r="K155" s="15" t="n">
        <f aca="false">AG155*評分方法!$C$7</f>
        <v>15</v>
      </c>
      <c r="L155" s="15" t="n">
        <f aca="false">AH155*評分方法!$C$8</f>
        <v>15</v>
      </c>
      <c r="M155" s="15" t="n">
        <f aca="false">AI155*評分方法!$C$9</f>
        <v>10</v>
      </c>
      <c r="N155" s="15" t="n">
        <f aca="false">AJ155*評分方法!$C$10</f>
        <v>7.268</v>
      </c>
      <c r="O155" s="15" t="n">
        <f aca="false">AK155*評分方法!$C$11</f>
        <v>2.5</v>
      </c>
      <c r="P155" s="15" t="n">
        <f aca="false">AL155*評分方法!$C$12</f>
        <v>0</v>
      </c>
      <c r="Q155" s="6" t="n">
        <v>1031236</v>
      </c>
      <c r="R155" s="6" t="n">
        <v>109628544</v>
      </c>
      <c r="S155" s="11" t="s">
        <v>238</v>
      </c>
      <c r="T155" s="11" t="s">
        <v>239</v>
      </c>
      <c r="U155" s="5" t="s">
        <v>240</v>
      </c>
      <c r="V155" s="11" t="s">
        <v>324</v>
      </c>
      <c r="W155" s="5" t="s">
        <v>205</v>
      </c>
      <c r="X155" s="5" t="s">
        <v>242</v>
      </c>
      <c r="Y155" s="5"/>
      <c r="Z155" s="5"/>
      <c r="AA155" s="11" t="s">
        <v>152</v>
      </c>
      <c r="AB155" s="5" t="s">
        <v>245</v>
      </c>
      <c r="AC155" s="5"/>
      <c r="AD155" s="11" t="s">
        <v>662</v>
      </c>
      <c r="AE155" s="23" t="n">
        <v>0.9</v>
      </c>
      <c r="AF155" s="23" t="n">
        <v>0</v>
      </c>
      <c r="AG155" s="23" t="n">
        <v>1</v>
      </c>
      <c r="AH155" s="23" t="n">
        <v>1</v>
      </c>
      <c r="AI155" s="23" t="n">
        <v>1</v>
      </c>
      <c r="AJ155" s="23" t="n">
        <v>0.7268</v>
      </c>
      <c r="AK155" s="23" t="n">
        <v>0.5</v>
      </c>
      <c r="AL155" s="23" t="n">
        <v>0</v>
      </c>
      <c r="AM155" s="16" t="n">
        <f aca="false">COUNTIFS($D$2:$D$2501,D155,$G$2:$G$2501,"&gt;"&amp;G155)+COUNTIFS($D$2:D155,D155,$G$2:G155,G155)</f>
        <v>67</v>
      </c>
      <c r="AN155" s="5" t="str">
        <f aca="false">D155&amp;"|"&amp;AM155</f>
        <v>檢索與情資關聯|67</v>
      </c>
    </row>
    <row r="156" customFormat="false" ht="17.15" hidden="false" customHeight="false" outlineLevel="0" collapsed="false">
      <c r="A156" s="16" t="n">
        <f aca="false">RANK(G156,$G$2:$G$2501)+COUNTIF($G$2:G156,G156)-1</f>
        <v>155</v>
      </c>
      <c r="B156" s="11" t="s">
        <v>663</v>
      </c>
      <c r="C156" s="11" t="s">
        <v>368</v>
      </c>
      <c r="D156" s="5" t="s">
        <v>56</v>
      </c>
      <c r="E156" s="5" t="s">
        <v>57</v>
      </c>
      <c r="F156" s="5"/>
      <c r="G156" s="22" t="n">
        <f aca="false">ROUND(SUM(I156:P156),3)</f>
        <v>76.748</v>
      </c>
      <c r="H156" s="5" t="str">
        <f aca="false">IF(G156&gt;=評分方法!$C$16,"優先評估",IF(G156&gt;=評分方法!$C$17,"列入候選",IF(G156&gt;=評分方法!$C$18,"特定情境","不建議")))</f>
        <v>列入候選</v>
      </c>
      <c r="I156" s="15" t="n">
        <f aca="false">AE156*評分方法!$C$5</f>
        <v>25.5</v>
      </c>
      <c r="J156" s="15" t="n">
        <f aca="false">AF156*評分方法!$C$6</f>
        <v>0</v>
      </c>
      <c r="K156" s="15" t="n">
        <f aca="false">AG156*評分方法!$C$7</f>
        <v>15</v>
      </c>
      <c r="L156" s="15" t="n">
        <f aca="false">AH156*評分方法!$C$8</f>
        <v>15</v>
      </c>
      <c r="M156" s="15" t="n">
        <f aca="false">AI156*評分方法!$C$9</f>
        <v>6</v>
      </c>
      <c r="N156" s="15" t="n">
        <f aca="false">AJ156*評分方法!$C$10</f>
        <v>9.748</v>
      </c>
      <c r="O156" s="15" t="n">
        <f aca="false">AK156*評分方法!$C$11</f>
        <v>2.5</v>
      </c>
      <c r="P156" s="15" t="n">
        <f aca="false">AL156*評分方法!$C$12</f>
        <v>3</v>
      </c>
      <c r="Q156" s="6" t="n">
        <v>16363023</v>
      </c>
      <c r="R156" s="6" t="n">
        <v>268098176</v>
      </c>
      <c r="S156" s="11" t="s">
        <v>238</v>
      </c>
      <c r="T156" s="11" t="s">
        <v>658</v>
      </c>
      <c r="U156" s="5" t="s">
        <v>260</v>
      </c>
      <c r="V156" s="11" t="s">
        <v>261</v>
      </c>
      <c r="W156" s="5" t="s">
        <v>205</v>
      </c>
      <c r="X156" s="5" t="s">
        <v>371</v>
      </c>
      <c r="Y156" s="5"/>
      <c r="Z156" s="5"/>
      <c r="AA156" s="11" t="s">
        <v>155</v>
      </c>
      <c r="AB156" s="5" t="s">
        <v>245</v>
      </c>
      <c r="AC156" s="5" t="s">
        <v>262</v>
      </c>
      <c r="AD156" s="11" t="s">
        <v>664</v>
      </c>
      <c r="AE156" s="23" t="n">
        <v>0.85</v>
      </c>
      <c r="AF156" s="23" t="n">
        <v>0</v>
      </c>
      <c r="AG156" s="23" t="n">
        <v>1</v>
      </c>
      <c r="AH156" s="23" t="n">
        <v>1</v>
      </c>
      <c r="AI156" s="23" t="n">
        <v>0.6</v>
      </c>
      <c r="AJ156" s="23" t="n">
        <v>0.9748</v>
      </c>
      <c r="AK156" s="23" t="n">
        <v>0.5</v>
      </c>
      <c r="AL156" s="23" t="n">
        <v>0.6</v>
      </c>
      <c r="AM156" s="16" t="n">
        <f aca="false">COUNTIFS($D$2:$D$2501,D156,$G$2:$G$2501,"&gt;"&amp;G156)+COUNTIFS($D$2:D156,D156,$G$2:G156,G156)</f>
        <v>50</v>
      </c>
      <c r="AN156" s="5" t="str">
        <f aca="false">D156&amp;"|"&amp;AM156</f>
        <v>分析與報告生成|50</v>
      </c>
    </row>
    <row r="157" customFormat="false" ht="17.15" hidden="false" customHeight="false" outlineLevel="0" collapsed="false">
      <c r="A157" s="16" t="n">
        <f aca="false">RANK(G157,$G$2:$G$2501)+COUNTIF($G$2:G157,G157)-1</f>
        <v>156</v>
      </c>
      <c r="B157" s="11" t="s">
        <v>665</v>
      </c>
      <c r="C157" s="11" t="s">
        <v>338</v>
      </c>
      <c r="D157" s="5" t="s">
        <v>56</v>
      </c>
      <c r="E157" s="5" t="s">
        <v>57</v>
      </c>
      <c r="F157" s="5"/>
      <c r="G157" s="22" t="n">
        <f aca="false">ROUND(SUM(I157:P157),3)</f>
        <v>76.712</v>
      </c>
      <c r="H157" s="5" t="str">
        <f aca="false">IF(G157&gt;=評分方法!$C$16,"優先評估",IF(G157&gt;=評分方法!$C$17,"列入候選",IF(G157&gt;=評分方法!$C$18,"特定情境","不建議")))</f>
        <v>列入候選</v>
      </c>
      <c r="I157" s="15" t="n">
        <f aca="false">AE157*評分方法!$C$5</f>
        <v>25.5</v>
      </c>
      <c r="J157" s="15" t="n">
        <f aca="false">AF157*評分方法!$C$6</f>
        <v>0</v>
      </c>
      <c r="K157" s="15" t="n">
        <f aca="false">AG157*評分方法!$C$7</f>
        <v>15</v>
      </c>
      <c r="L157" s="15" t="n">
        <f aca="false">AH157*評分方法!$C$8</f>
        <v>9</v>
      </c>
      <c r="M157" s="15" t="n">
        <f aca="false">AI157*評分方法!$C$9</f>
        <v>10</v>
      </c>
      <c r="N157" s="15" t="n">
        <f aca="false">AJ157*評分方法!$C$10</f>
        <v>8.212</v>
      </c>
      <c r="O157" s="15" t="n">
        <f aca="false">AK157*評分方法!$C$11</f>
        <v>4</v>
      </c>
      <c r="P157" s="15" t="n">
        <f aca="false">AL157*評分方法!$C$12</f>
        <v>5</v>
      </c>
      <c r="Q157" s="6" t="n">
        <v>1823955</v>
      </c>
      <c r="R157" s="6" t="n">
        <v>24011361280</v>
      </c>
      <c r="S157" s="11" t="s">
        <v>389</v>
      </c>
      <c r="T157" s="11" t="s">
        <v>239</v>
      </c>
      <c r="U157" s="5" t="s">
        <v>240</v>
      </c>
      <c r="V157" s="11" t="s">
        <v>261</v>
      </c>
      <c r="W157" s="5" t="s">
        <v>205</v>
      </c>
      <c r="X157" s="5" t="s">
        <v>284</v>
      </c>
      <c r="Y157" s="11" t="s">
        <v>613</v>
      </c>
      <c r="Z157" s="11" t="s">
        <v>270</v>
      </c>
      <c r="AA157" s="11" t="s">
        <v>155</v>
      </c>
      <c r="AB157" s="5" t="s">
        <v>328</v>
      </c>
      <c r="AC157" s="5" t="s">
        <v>400</v>
      </c>
      <c r="AD157" s="11" t="s">
        <v>666</v>
      </c>
      <c r="AE157" s="23" t="n">
        <v>0.85</v>
      </c>
      <c r="AF157" s="23" t="n">
        <v>0</v>
      </c>
      <c r="AG157" s="23" t="n">
        <v>1</v>
      </c>
      <c r="AH157" s="23" t="n">
        <v>0.6</v>
      </c>
      <c r="AI157" s="23" t="n">
        <v>1</v>
      </c>
      <c r="AJ157" s="23" t="n">
        <v>0.8212</v>
      </c>
      <c r="AK157" s="23" t="n">
        <v>0.8</v>
      </c>
      <c r="AL157" s="23" t="n">
        <v>1</v>
      </c>
      <c r="AM157" s="16" t="n">
        <f aca="false">COUNTIFS($D$2:$D$2501,D157,$G$2:$G$2501,"&gt;"&amp;G157)+COUNTIFS($D$2:D157,D157,$G$2:G157,G157)</f>
        <v>51</v>
      </c>
      <c r="AN157" s="5" t="str">
        <f aca="false">D157&amp;"|"&amp;AM157</f>
        <v>分析與報告生成|51</v>
      </c>
    </row>
    <row r="158" customFormat="false" ht="17.15" hidden="false" customHeight="false" outlineLevel="0" collapsed="false">
      <c r="A158" s="16" t="n">
        <f aca="false">RANK(G158,$G$2:$G$2501)+COUNTIF($G$2:G158,G158)-1</f>
        <v>157</v>
      </c>
      <c r="B158" s="11" t="s">
        <v>667</v>
      </c>
      <c r="C158" s="11" t="s">
        <v>368</v>
      </c>
      <c r="D158" s="5" t="s">
        <v>56</v>
      </c>
      <c r="E158" s="5" t="s">
        <v>57</v>
      </c>
      <c r="F158" s="5"/>
      <c r="G158" s="22" t="n">
        <f aca="false">ROUND(SUM(I158:P158),3)</f>
        <v>76.708</v>
      </c>
      <c r="H158" s="5" t="str">
        <f aca="false">IF(G158&gt;=評分方法!$C$16,"優先評估",IF(G158&gt;=評分方法!$C$17,"列入候選",IF(G158&gt;=評分方法!$C$18,"特定情境","不建議")))</f>
        <v>列入候選</v>
      </c>
      <c r="I158" s="15" t="n">
        <f aca="false">AE158*評分方法!$C$5</f>
        <v>25.5</v>
      </c>
      <c r="J158" s="15" t="n">
        <f aca="false">AF158*評分方法!$C$6</f>
        <v>0</v>
      </c>
      <c r="K158" s="15" t="n">
        <f aca="false">AG158*評分方法!$C$7</f>
        <v>15</v>
      </c>
      <c r="L158" s="15" t="n">
        <f aca="false">AH158*評分方法!$C$8</f>
        <v>9</v>
      </c>
      <c r="M158" s="15" t="n">
        <f aca="false">AI158*評分方法!$C$9</f>
        <v>10</v>
      </c>
      <c r="N158" s="15" t="n">
        <f aca="false">AJ158*評分方法!$C$10</f>
        <v>9.208</v>
      </c>
      <c r="O158" s="15" t="n">
        <f aca="false">AK158*評分方法!$C$11</f>
        <v>5</v>
      </c>
      <c r="P158" s="15" t="n">
        <f aca="false">AL158*評分方法!$C$12</f>
        <v>3</v>
      </c>
      <c r="Q158" s="6" t="n">
        <v>5209920</v>
      </c>
      <c r="R158" s="6" t="n">
        <v>32682375020</v>
      </c>
      <c r="S158" s="11" t="s">
        <v>389</v>
      </c>
      <c r="T158" s="11" t="s">
        <v>239</v>
      </c>
      <c r="U158" s="5" t="s">
        <v>240</v>
      </c>
      <c r="V158" s="11" t="s">
        <v>261</v>
      </c>
      <c r="W158" s="5" t="s">
        <v>205</v>
      </c>
      <c r="X158" s="5" t="s">
        <v>371</v>
      </c>
      <c r="Y158" s="11" t="s">
        <v>668</v>
      </c>
      <c r="Z158" s="11" t="s">
        <v>244</v>
      </c>
      <c r="AA158" s="11" t="s">
        <v>156</v>
      </c>
      <c r="AB158" s="5" t="s">
        <v>245</v>
      </c>
      <c r="AC158" s="5" t="s">
        <v>246</v>
      </c>
      <c r="AD158" s="11" t="s">
        <v>669</v>
      </c>
      <c r="AE158" s="23" t="n">
        <v>0.85</v>
      </c>
      <c r="AF158" s="23" t="n">
        <v>0</v>
      </c>
      <c r="AG158" s="23" t="n">
        <v>1</v>
      </c>
      <c r="AH158" s="23" t="n">
        <v>0.6</v>
      </c>
      <c r="AI158" s="23" t="n">
        <v>1</v>
      </c>
      <c r="AJ158" s="23" t="n">
        <v>0.9208</v>
      </c>
      <c r="AK158" s="23" t="n">
        <v>1</v>
      </c>
      <c r="AL158" s="23" t="n">
        <v>0.6</v>
      </c>
      <c r="AM158" s="16" t="n">
        <f aca="false">COUNTIFS($D$2:$D$2501,D158,$G$2:$G$2501,"&gt;"&amp;G158)+COUNTIFS($D$2:D158,D158,$G$2:G158,G158)</f>
        <v>52</v>
      </c>
      <c r="AN158" s="5" t="str">
        <f aca="false">D158&amp;"|"&amp;AM158</f>
        <v>分析與報告生成|52</v>
      </c>
    </row>
    <row r="159" customFormat="false" ht="17.15" hidden="false" customHeight="false" outlineLevel="0" collapsed="false">
      <c r="A159" s="16" t="n">
        <f aca="false">RANK(G159,$G$2:$G$2501)+COUNTIF($G$2:G159,G159)-1</f>
        <v>158</v>
      </c>
      <c r="B159" s="11" t="s">
        <v>670</v>
      </c>
      <c r="C159" s="11" t="s">
        <v>308</v>
      </c>
      <c r="D159" s="5" t="s">
        <v>56</v>
      </c>
      <c r="E159" s="5" t="s">
        <v>57</v>
      </c>
      <c r="F159" s="5"/>
      <c r="G159" s="22" t="n">
        <f aca="false">ROUND(SUM(I159:P159),3)</f>
        <v>76.694</v>
      </c>
      <c r="H159" s="5" t="str">
        <f aca="false">IF(G159&gt;=評分方法!$C$16,"優先評估",IF(G159&gt;=評分方法!$C$17,"列入候選",IF(G159&gt;=評分方法!$C$18,"特定情境","不建議")))</f>
        <v>列入候選</v>
      </c>
      <c r="I159" s="15" t="n">
        <f aca="false">AE159*評分方法!$C$5</f>
        <v>25.5</v>
      </c>
      <c r="J159" s="15" t="n">
        <f aca="false">AF159*評分方法!$C$6</f>
        <v>0</v>
      </c>
      <c r="K159" s="15" t="n">
        <f aca="false">AG159*評分方法!$C$7</f>
        <v>15</v>
      </c>
      <c r="L159" s="15" t="n">
        <f aca="false">AH159*評分方法!$C$8</f>
        <v>13.05</v>
      </c>
      <c r="M159" s="15" t="n">
        <f aca="false">AI159*評分方法!$C$9</f>
        <v>10</v>
      </c>
      <c r="N159" s="15" t="n">
        <f aca="false">AJ159*評分方法!$C$10</f>
        <v>9.144</v>
      </c>
      <c r="O159" s="15" t="n">
        <f aca="false">AK159*評分方法!$C$11</f>
        <v>4</v>
      </c>
      <c r="P159" s="15" t="n">
        <f aca="false">AL159*評分方法!$C$12</f>
        <v>0</v>
      </c>
      <c r="Q159" s="6" t="n">
        <v>4717901</v>
      </c>
      <c r="R159" s="6" t="n">
        <v>2779683840</v>
      </c>
      <c r="S159" s="11" t="s">
        <v>254</v>
      </c>
      <c r="T159" s="11" t="s">
        <v>278</v>
      </c>
      <c r="U159" s="5" t="s">
        <v>240</v>
      </c>
      <c r="V159" s="11" t="s">
        <v>261</v>
      </c>
      <c r="W159" s="5" t="s">
        <v>205</v>
      </c>
      <c r="X159" s="5" t="s">
        <v>242</v>
      </c>
      <c r="Y159" s="5"/>
      <c r="Z159" s="5"/>
      <c r="AA159" s="11" t="s">
        <v>155</v>
      </c>
      <c r="AB159" s="5" t="s">
        <v>245</v>
      </c>
      <c r="AC159" s="5"/>
      <c r="AD159" s="11" t="s">
        <v>671</v>
      </c>
      <c r="AE159" s="23" t="n">
        <v>0.85</v>
      </c>
      <c r="AF159" s="23" t="n">
        <v>0</v>
      </c>
      <c r="AG159" s="23" t="n">
        <v>1</v>
      </c>
      <c r="AH159" s="23" t="n">
        <v>0.87</v>
      </c>
      <c r="AI159" s="23" t="n">
        <v>1</v>
      </c>
      <c r="AJ159" s="23" t="n">
        <v>0.9144</v>
      </c>
      <c r="AK159" s="23" t="n">
        <v>0.8</v>
      </c>
      <c r="AL159" s="23" t="n">
        <v>0</v>
      </c>
      <c r="AM159" s="16" t="n">
        <f aca="false">COUNTIFS($D$2:$D$2501,D159,$G$2:$G$2501,"&gt;"&amp;G159)+COUNTIFS($D$2:D159,D159,$G$2:G159,G159)</f>
        <v>53</v>
      </c>
      <c r="AN159" s="5" t="str">
        <f aca="false">D159&amp;"|"&amp;AM159</f>
        <v>分析與報告生成|53</v>
      </c>
    </row>
    <row r="160" customFormat="false" ht="17.15" hidden="false" customHeight="false" outlineLevel="0" collapsed="false">
      <c r="A160" s="16" t="n">
        <f aca="false">RANK(G160,$G$2:$G$2501)+COUNTIF($G$2:G160,G160)-1</f>
        <v>159</v>
      </c>
      <c r="B160" s="11" t="s">
        <v>672</v>
      </c>
      <c r="C160" s="11" t="s">
        <v>368</v>
      </c>
      <c r="D160" s="5" t="s">
        <v>54</v>
      </c>
      <c r="E160" s="5" t="s">
        <v>55</v>
      </c>
      <c r="F160" s="5"/>
      <c r="G160" s="22" t="n">
        <f aca="false">ROUND(SUM(I160:P160),3)</f>
        <v>76.684</v>
      </c>
      <c r="H160" s="5" t="str">
        <f aca="false">IF(G160&gt;=評分方法!$C$16,"優先評估",IF(G160&gt;=評分方法!$C$17,"列入候選",IF(G160&gt;=評分方法!$C$18,"特定情境","不建議")))</f>
        <v>列入候選</v>
      </c>
      <c r="I160" s="15" t="n">
        <f aca="false">AE160*評分方法!$C$5</f>
        <v>27</v>
      </c>
      <c r="J160" s="15" t="n">
        <f aca="false">AF160*評分方法!$C$6</f>
        <v>0</v>
      </c>
      <c r="K160" s="15" t="n">
        <f aca="false">AG160*評分方法!$C$7</f>
        <v>15</v>
      </c>
      <c r="L160" s="15" t="n">
        <f aca="false">AH160*評分方法!$C$8</f>
        <v>15</v>
      </c>
      <c r="M160" s="15" t="n">
        <f aca="false">AI160*評分方法!$C$9</f>
        <v>6</v>
      </c>
      <c r="N160" s="15" t="n">
        <f aca="false">AJ160*評分方法!$C$10</f>
        <v>9.684</v>
      </c>
      <c r="O160" s="15" t="n">
        <f aca="false">AK160*評分方法!$C$11</f>
        <v>2.5</v>
      </c>
      <c r="P160" s="15" t="n">
        <f aca="false">AL160*評分方法!$C$12</f>
        <v>1.5</v>
      </c>
      <c r="Q160" s="6" t="n">
        <v>13576507</v>
      </c>
      <c r="R160" s="6" t="n">
        <v>302863104</v>
      </c>
      <c r="S160" s="11" t="s">
        <v>238</v>
      </c>
      <c r="T160" s="11" t="s">
        <v>658</v>
      </c>
      <c r="U160" s="5" t="s">
        <v>260</v>
      </c>
      <c r="V160" s="11" t="s">
        <v>261</v>
      </c>
      <c r="W160" s="5" t="s">
        <v>205</v>
      </c>
      <c r="X160" s="5" t="s">
        <v>255</v>
      </c>
      <c r="Y160" s="5"/>
      <c r="Z160" s="5"/>
      <c r="AA160" s="11" t="s">
        <v>152</v>
      </c>
      <c r="AB160" s="5" t="s">
        <v>245</v>
      </c>
      <c r="AC160" s="5" t="s">
        <v>262</v>
      </c>
      <c r="AD160" s="11" t="s">
        <v>673</v>
      </c>
      <c r="AE160" s="23" t="n">
        <v>0.9</v>
      </c>
      <c r="AF160" s="23" t="n">
        <v>0</v>
      </c>
      <c r="AG160" s="23" t="n">
        <v>1</v>
      </c>
      <c r="AH160" s="23" t="n">
        <v>1</v>
      </c>
      <c r="AI160" s="23" t="n">
        <v>0.6</v>
      </c>
      <c r="AJ160" s="23" t="n">
        <v>0.9684</v>
      </c>
      <c r="AK160" s="23" t="n">
        <v>0.5</v>
      </c>
      <c r="AL160" s="23" t="n">
        <v>0.3</v>
      </c>
      <c r="AM160" s="16" t="n">
        <f aca="false">COUNTIFS($D$2:$D$2501,D160,$G$2:$G$2501,"&gt;"&amp;G160)+COUNTIFS($D$2:D160,D160,$G$2:G160,G160)</f>
        <v>68</v>
      </c>
      <c r="AN160" s="5" t="str">
        <f aca="false">D160&amp;"|"&amp;AM160</f>
        <v>檢索與情資關聯|68</v>
      </c>
    </row>
    <row r="161" customFormat="false" ht="17.15" hidden="false" customHeight="false" outlineLevel="0" collapsed="false">
      <c r="A161" s="16" t="n">
        <f aca="false">RANK(G161,$G$2:$G$2501)+COUNTIF($G$2:G161,G161)-1</f>
        <v>160</v>
      </c>
      <c r="B161" s="11" t="s">
        <v>674</v>
      </c>
      <c r="C161" s="11" t="s">
        <v>675</v>
      </c>
      <c r="D161" s="5" t="s">
        <v>56</v>
      </c>
      <c r="E161" s="5" t="s">
        <v>57</v>
      </c>
      <c r="F161" s="5"/>
      <c r="G161" s="22" t="n">
        <f aca="false">ROUND(SUM(I161:P161),3)</f>
        <v>76.66</v>
      </c>
      <c r="H161" s="5" t="str">
        <f aca="false">IF(G161&gt;=評分方法!$C$16,"優先評估",IF(G161&gt;=評分方法!$C$17,"列入候選",IF(G161&gt;=評分方法!$C$18,"特定情境","不建議")))</f>
        <v>列入候選</v>
      </c>
      <c r="I161" s="15" t="n">
        <f aca="false">AE161*評分方法!$C$5</f>
        <v>25.5</v>
      </c>
      <c r="J161" s="15" t="n">
        <f aca="false">AF161*評分方法!$C$6</f>
        <v>0</v>
      </c>
      <c r="K161" s="15" t="n">
        <f aca="false">AG161*評分方法!$C$7</f>
        <v>15</v>
      </c>
      <c r="L161" s="15" t="n">
        <f aca="false">AH161*評分方法!$C$8</f>
        <v>15</v>
      </c>
      <c r="M161" s="15" t="n">
        <f aca="false">AI161*評分方法!$C$9</f>
        <v>6</v>
      </c>
      <c r="N161" s="15" t="n">
        <f aca="false">AJ161*評分方法!$C$10</f>
        <v>9.16</v>
      </c>
      <c r="O161" s="15" t="n">
        <f aca="false">AK161*評分方法!$C$11</f>
        <v>1</v>
      </c>
      <c r="P161" s="15" t="n">
        <f aca="false">AL161*評分方法!$C$12</f>
        <v>5</v>
      </c>
      <c r="Q161" s="6" t="n">
        <v>4787366</v>
      </c>
      <c r="R161" s="6" t="n">
        <v>559214592</v>
      </c>
      <c r="S161" s="11" t="s">
        <v>238</v>
      </c>
      <c r="T161" s="11" t="s">
        <v>676</v>
      </c>
      <c r="U161" s="5" t="s">
        <v>260</v>
      </c>
      <c r="V161" s="11" t="s">
        <v>324</v>
      </c>
      <c r="W161" s="5" t="s">
        <v>205</v>
      </c>
      <c r="X161" s="5" t="s">
        <v>284</v>
      </c>
      <c r="Y161" s="5"/>
      <c r="Z161" s="5"/>
      <c r="AA161" s="11" t="s">
        <v>155</v>
      </c>
      <c r="AB161" s="5" t="s">
        <v>245</v>
      </c>
      <c r="AC161" s="5" t="s">
        <v>262</v>
      </c>
      <c r="AD161" s="11" t="s">
        <v>677</v>
      </c>
      <c r="AE161" s="23" t="n">
        <v>0.85</v>
      </c>
      <c r="AF161" s="23" t="n">
        <v>0</v>
      </c>
      <c r="AG161" s="23" t="n">
        <v>1</v>
      </c>
      <c r="AH161" s="23" t="n">
        <v>1</v>
      </c>
      <c r="AI161" s="23" t="n">
        <v>0.6</v>
      </c>
      <c r="AJ161" s="23" t="n">
        <v>0.916</v>
      </c>
      <c r="AK161" s="23" t="n">
        <v>0.2</v>
      </c>
      <c r="AL161" s="23" t="n">
        <v>1</v>
      </c>
      <c r="AM161" s="16" t="n">
        <f aca="false">COUNTIFS($D$2:$D$2501,D161,$G$2:$G$2501,"&gt;"&amp;G161)+COUNTIFS($D$2:D161,D161,$G$2:G161,G161)</f>
        <v>54</v>
      </c>
      <c r="AN161" s="5" t="str">
        <f aca="false">D161&amp;"|"&amp;AM161</f>
        <v>分析與報告生成|54</v>
      </c>
    </row>
    <row r="162" customFormat="false" ht="17.15" hidden="false" customHeight="false" outlineLevel="0" collapsed="false">
      <c r="A162" s="16" t="n">
        <f aca="false">RANK(G162,$G$2:$G$2501)+COUNTIF($G$2:G162,G162)-1</f>
        <v>161</v>
      </c>
      <c r="B162" s="11" t="s">
        <v>678</v>
      </c>
      <c r="C162" s="11" t="s">
        <v>287</v>
      </c>
      <c r="D162" s="5" t="s">
        <v>54</v>
      </c>
      <c r="E162" s="5" t="s">
        <v>55</v>
      </c>
      <c r="F162" s="5"/>
      <c r="G162" s="22" t="n">
        <f aca="false">ROUND(SUM(I162:P162),3)</f>
        <v>76.66</v>
      </c>
      <c r="H162" s="5" t="str">
        <f aca="false">IF(G162&gt;=評分方法!$C$16,"優先評估",IF(G162&gt;=評分方法!$C$17,"列入候選",IF(G162&gt;=評分方法!$C$18,"特定情境","不建議")))</f>
        <v>列入候選</v>
      </c>
      <c r="I162" s="15" t="n">
        <f aca="false">AE162*評分方法!$C$5</f>
        <v>27</v>
      </c>
      <c r="J162" s="15" t="n">
        <f aca="false">AF162*評分方法!$C$6</f>
        <v>0</v>
      </c>
      <c r="K162" s="15" t="n">
        <f aca="false">AG162*評分方法!$C$7</f>
        <v>15</v>
      </c>
      <c r="L162" s="15" t="n">
        <f aca="false">AH162*評分方法!$C$8</f>
        <v>15</v>
      </c>
      <c r="M162" s="15" t="n">
        <f aca="false">AI162*評分方法!$C$9</f>
        <v>10</v>
      </c>
      <c r="N162" s="15" t="n">
        <f aca="false">AJ162*評分方法!$C$10</f>
        <v>8.66</v>
      </c>
      <c r="O162" s="15" t="n">
        <f aca="false">AK162*評分方法!$C$11</f>
        <v>1</v>
      </c>
      <c r="P162" s="15" t="n">
        <f aca="false">AL162*評分方法!$C$12</f>
        <v>0</v>
      </c>
      <c r="Q162" s="6" t="n">
        <v>2656737</v>
      </c>
      <c r="R162" s="6" t="n">
        <v>335142400</v>
      </c>
      <c r="S162" s="11" t="s">
        <v>238</v>
      </c>
      <c r="T162" s="11" t="s">
        <v>278</v>
      </c>
      <c r="U162" s="5" t="s">
        <v>240</v>
      </c>
      <c r="V162" s="11" t="s">
        <v>324</v>
      </c>
      <c r="W162" s="5" t="s">
        <v>205</v>
      </c>
      <c r="X162" s="5" t="s">
        <v>242</v>
      </c>
      <c r="Y162" s="5"/>
      <c r="Z162" s="5"/>
      <c r="AA162" s="11" t="s">
        <v>152</v>
      </c>
      <c r="AB162" s="5" t="s">
        <v>245</v>
      </c>
      <c r="AC162" s="5"/>
      <c r="AD162" s="11" t="s">
        <v>679</v>
      </c>
      <c r="AE162" s="23" t="n">
        <v>0.9</v>
      </c>
      <c r="AF162" s="23" t="n">
        <v>0</v>
      </c>
      <c r="AG162" s="23" t="n">
        <v>1</v>
      </c>
      <c r="AH162" s="23" t="n">
        <v>1</v>
      </c>
      <c r="AI162" s="23" t="n">
        <v>1</v>
      </c>
      <c r="AJ162" s="23" t="n">
        <v>0.866</v>
      </c>
      <c r="AK162" s="23" t="n">
        <v>0.2</v>
      </c>
      <c r="AL162" s="23" t="n">
        <v>0</v>
      </c>
      <c r="AM162" s="16" t="n">
        <f aca="false">COUNTIFS($D$2:$D$2501,D162,$G$2:$G$2501,"&gt;"&amp;G162)+COUNTIFS($D$2:D162,D162,$G$2:G162,G162)</f>
        <v>69</v>
      </c>
      <c r="AN162" s="5" t="str">
        <f aca="false">D162&amp;"|"&amp;AM162</f>
        <v>檢索與情資關聯|69</v>
      </c>
    </row>
    <row r="163" customFormat="false" ht="17.15" hidden="false" customHeight="false" outlineLevel="0" collapsed="false">
      <c r="A163" s="16" t="n">
        <f aca="false">RANK(G163,$G$2:$G$2501)+COUNTIF($G$2:G163,G163)-1</f>
        <v>162</v>
      </c>
      <c r="B163" s="11" t="s">
        <v>680</v>
      </c>
      <c r="C163" s="11" t="s">
        <v>681</v>
      </c>
      <c r="D163" s="5" t="s">
        <v>54</v>
      </c>
      <c r="E163" s="5" t="s">
        <v>55</v>
      </c>
      <c r="F163" s="5"/>
      <c r="G163" s="22" t="n">
        <f aca="false">ROUND(SUM(I163:P163),3)</f>
        <v>76.648</v>
      </c>
      <c r="H163" s="5" t="str">
        <f aca="false">IF(G163&gt;=評分方法!$C$16,"優先評估",IF(G163&gt;=評分方法!$C$17,"列入候選",IF(G163&gt;=評分方法!$C$18,"特定情境","不建議")))</f>
        <v>列入候選</v>
      </c>
      <c r="I163" s="15" t="n">
        <f aca="false">AE163*評分方法!$C$5</f>
        <v>27</v>
      </c>
      <c r="J163" s="15" t="n">
        <f aca="false">AF163*評分方法!$C$6</f>
        <v>0</v>
      </c>
      <c r="K163" s="15" t="n">
        <f aca="false">AG163*評分方法!$C$7</f>
        <v>15</v>
      </c>
      <c r="L163" s="15" t="n">
        <f aca="false">AH163*評分方法!$C$8</f>
        <v>15</v>
      </c>
      <c r="M163" s="15" t="n">
        <f aca="false">AI163*評分方法!$C$9</f>
        <v>10</v>
      </c>
      <c r="N163" s="15" t="n">
        <f aca="false">AJ163*評分方法!$C$10</f>
        <v>8.648</v>
      </c>
      <c r="O163" s="15" t="n">
        <f aca="false">AK163*評分方法!$C$11</f>
        <v>1</v>
      </c>
      <c r="P163" s="15" t="n">
        <f aca="false">AL163*評分方法!$C$12</f>
        <v>0</v>
      </c>
      <c r="Q163" s="6" t="n">
        <v>2644390</v>
      </c>
      <c r="R163" s="6" t="n">
        <v>139420416</v>
      </c>
      <c r="S163" s="11" t="s">
        <v>238</v>
      </c>
      <c r="T163" s="11" t="s">
        <v>239</v>
      </c>
      <c r="U163" s="5" t="s">
        <v>240</v>
      </c>
      <c r="V163" s="11" t="s">
        <v>279</v>
      </c>
      <c r="W163" s="5" t="s">
        <v>205</v>
      </c>
      <c r="X163" s="5" t="s">
        <v>242</v>
      </c>
      <c r="Y163" s="5"/>
      <c r="Z163" s="5"/>
      <c r="AA163" s="11" t="s">
        <v>153</v>
      </c>
      <c r="AB163" s="5" t="s">
        <v>245</v>
      </c>
      <c r="AC163" s="5"/>
      <c r="AD163" s="11" t="s">
        <v>682</v>
      </c>
      <c r="AE163" s="23" t="n">
        <v>0.9</v>
      </c>
      <c r="AF163" s="23" t="n">
        <v>0</v>
      </c>
      <c r="AG163" s="23" t="n">
        <v>1</v>
      </c>
      <c r="AH163" s="23" t="n">
        <v>1</v>
      </c>
      <c r="AI163" s="23" t="n">
        <v>1</v>
      </c>
      <c r="AJ163" s="23" t="n">
        <v>0.8648</v>
      </c>
      <c r="AK163" s="23" t="n">
        <v>0.2</v>
      </c>
      <c r="AL163" s="23" t="n">
        <v>0</v>
      </c>
      <c r="AM163" s="16" t="n">
        <f aca="false">COUNTIFS($D$2:$D$2501,D163,$G$2:$G$2501,"&gt;"&amp;G163)+COUNTIFS($D$2:D163,D163,$G$2:G163,G163)</f>
        <v>70</v>
      </c>
      <c r="AN163" s="5" t="str">
        <f aca="false">D163&amp;"|"&amp;AM163</f>
        <v>檢索與情資關聯|70</v>
      </c>
    </row>
    <row r="164" customFormat="false" ht="17.15" hidden="false" customHeight="false" outlineLevel="0" collapsed="false">
      <c r="A164" s="16" t="n">
        <f aca="false">RANK(G164,$G$2:$G$2501)+COUNTIF($G$2:G164,G164)-1</f>
        <v>163</v>
      </c>
      <c r="B164" s="11" t="s">
        <v>683</v>
      </c>
      <c r="C164" s="11" t="s">
        <v>684</v>
      </c>
      <c r="D164" s="5" t="s">
        <v>66</v>
      </c>
      <c r="E164" s="5" t="s">
        <v>67</v>
      </c>
      <c r="F164" s="5"/>
      <c r="G164" s="22" t="n">
        <f aca="false">ROUND(SUM(I164:P164),3)</f>
        <v>76.614</v>
      </c>
      <c r="H164" s="5" t="str">
        <f aca="false">IF(G164&gt;=評分方法!$C$16,"優先評估",IF(G164&gt;=評分方法!$C$17,"列入候選",IF(G164&gt;=評分方法!$C$18,"特定情境","不建議")))</f>
        <v>列入候選</v>
      </c>
      <c r="I164" s="15" t="n">
        <f aca="false">AE164*評分方法!$C$5</f>
        <v>30</v>
      </c>
      <c r="J164" s="15" t="n">
        <f aca="false">AF164*評分方法!$C$6</f>
        <v>0</v>
      </c>
      <c r="K164" s="15" t="n">
        <f aca="false">AG164*評分方法!$C$7</f>
        <v>4.95</v>
      </c>
      <c r="L164" s="15" t="n">
        <f aca="false">AH164*評分方法!$C$8</f>
        <v>15</v>
      </c>
      <c r="M164" s="15" t="n">
        <f aca="false">AI164*評分方法!$C$9</f>
        <v>10</v>
      </c>
      <c r="N164" s="15" t="n">
        <f aca="false">AJ164*評分方法!$C$10</f>
        <v>9.164</v>
      </c>
      <c r="O164" s="15" t="n">
        <f aca="false">AK164*評分方法!$C$11</f>
        <v>2.5</v>
      </c>
      <c r="P164" s="15" t="n">
        <f aca="false">AL164*評分方法!$C$12</f>
        <v>5</v>
      </c>
      <c r="Q164" s="6" t="n">
        <v>4798488</v>
      </c>
      <c r="R164" s="6" t="n">
        <v>135326979</v>
      </c>
      <c r="S164" s="11" t="s">
        <v>238</v>
      </c>
      <c r="T164" s="11" t="s">
        <v>239</v>
      </c>
      <c r="U164" s="5" t="s">
        <v>240</v>
      </c>
      <c r="V164" s="11" t="s">
        <v>288</v>
      </c>
      <c r="W164" s="5" t="s">
        <v>334</v>
      </c>
      <c r="X164" s="5" t="s">
        <v>284</v>
      </c>
      <c r="Y164" s="5"/>
      <c r="Z164" s="5"/>
      <c r="AA164" s="11" t="s">
        <v>149</v>
      </c>
      <c r="AB164" s="5" t="s">
        <v>245</v>
      </c>
      <c r="AC164" s="5"/>
      <c r="AD164" s="11" t="s">
        <v>685</v>
      </c>
      <c r="AE164" s="23" t="n">
        <v>1</v>
      </c>
      <c r="AF164" s="23" t="n">
        <v>0</v>
      </c>
      <c r="AG164" s="23" t="n">
        <v>0.33</v>
      </c>
      <c r="AH164" s="23" t="n">
        <v>1</v>
      </c>
      <c r="AI164" s="23" t="n">
        <v>1</v>
      </c>
      <c r="AJ164" s="23" t="n">
        <v>0.9164</v>
      </c>
      <c r="AK164" s="23" t="n">
        <v>0.5</v>
      </c>
      <c r="AL164" s="23" t="n">
        <v>1</v>
      </c>
      <c r="AM164" s="16" t="n">
        <f aca="false">COUNTIFS($D$2:$D$2501,D164,$G$2:$G$2501,"&gt;"&amp;G164)+COUNTIFS($D$2:D164,D164,$G$2:G164,G164)</f>
        <v>5</v>
      </c>
      <c r="AN164" s="5" t="str">
        <f aca="false">D164&amp;"|"&amp;AM164</f>
        <v>分類與偵測|5</v>
      </c>
    </row>
    <row r="165" customFormat="false" ht="17.15" hidden="false" customHeight="false" outlineLevel="0" collapsed="false">
      <c r="A165" s="16" t="n">
        <f aca="false">RANK(G165,$G$2:$G$2501)+COUNTIF($G$2:G165,G165)-1</f>
        <v>164</v>
      </c>
      <c r="B165" s="11" t="s">
        <v>686</v>
      </c>
      <c r="C165" s="11" t="s">
        <v>299</v>
      </c>
      <c r="D165" s="5" t="s">
        <v>56</v>
      </c>
      <c r="E165" s="5" t="s">
        <v>57</v>
      </c>
      <c r="F165" s="5"/>
      <c r="G165" s="22" t="n">
        <f aca="false">ROUND(SUM(I165:P165),3)</f>
        <v>76.57</v>
      </c>
      <c r="H165" s="5" t="str">
        <f aca="false">IF(G165&gt;=評分方法!$C$16,"優先評估",IF(G165&gt;=評分方法!$C$17,"列入候選",IF(G165&gt;=評分方法!$C$18,"特定情境","不建議")))</f>
        <v>列入候選</v>
      </c>
      <c r="I165" s="15" t="n">
        <f aca="false">AE165*評分方法!$C$5</f>
        <v>25.5</v>
      </c>
      <c r="J165" s="15" t="n">
        <f aca="false">AF165*評分方法!$C$6</f>
        <v>0</v>
      </c>
      <c r="K165" s="15" t="n">
        <f aca="false">AG165*評分方法!$C$7</f>
        <v>15</v>
      </c>
      <c r="L165" s="15" t="n">
        <f aca="false">AH165*評分方法!$C$8</f>
        <v>13.05</v>
      </c>
      <c r="M165" s="15" t="n">
        <f aca="false">AI165*評分方法!$C$9</f>
        <v>10</v>
      </c>
      <c r="N165" s="15" t="n">
        <f aca="false">AJ165*評分方法!$C$10</f>
        <v>6.02</v>
      </c>
      <c r="O165" s="15" t="n">
        <f aca="false">AK165*評分方法!$C$11</f>
        <v>4</v>
      </c>
      <c r="P165" s="15" t="n">
        <f aca="false">AL165*評分方法!$C$12</f>
        <v>3</v>
      </c>
      <c r="Q165" s="6" t="n">
        <v>629649</v>
      </c>
      <c r="R165" s="6" t="n">
        <v>6671539776</v>
      </c>
      <c r="S165" s="11" t="s">
        <v>254</v>
      </c>
      <c r="T165" s="11" t="s">
        <v>239</v>
      </c>
      <c r="U165" s="5" t="s">
        <v>240</v>
      </c>
      <c r="V165" s="11" t="s">
        <v>261</v>
      </c>
      <c r="W165" s="5" t="s">
        <v>205</v>
      </c>
      <c r="X165" s="5" t="s">
        <v>371</v>
      </c>
      <c r="Y165" s="11" t="s">
        <v>687</v>
      </c>
      <c r="Z165" s="11" t="s">
        <v>270</v>
      </c>
      <c r="AA165" s="11" t="s">
        <v>155</v>
      </c>
      <c r="AB165" s="5" t="s">
        <v>245</v>
      </c>
      <c r="AC165" s="5"/>
      <c r="AD165" s="11" t="s">
        <v>688</v>
      </c>
      <c r="AE165" s="23" t="n">
        <v>0.85</v>
      </c>
      <c r="AF165" s="23" t="n">
        <v>0</v>
      </c>
      <c r="AG165" s="23" t="n">
        <v>1</v>
      </c>
      <c r="AH165" s="23" t="n">
        <v>0.87</v>
      </c>
      <c r="AI165" s="23" t="n">
        <v>1</v>
      </c>
      <c r="AJ165" s="23" t="n">
        <v>0.602</v>
      </c>
      <c r="AK165" s="23" t="n">
        <v>0.8</v>
      </c>
      <c r="AL165" s="23" t="n">
        <v>0.6</v>
      </c>
      <c r="AM165" s="16" t="n">
        <f aca="false">COUNTIFS($D$2:$D$2501,D165,$G$2:$G$2501,"&gt;"&amp;G165)+COUNTIFS($D$2:D165,D165,$G$2:G165,G165)</f>
        <v>55</v>
      </c>
      <c r="AN165" s="5" t="str">
        <f aca="false">D165&amp;"|"&amp;AM165</f>
        <v>分析與報告生成|55</v>
      </c>
    </row>
    <row r="166" customFormat="false" ht="17.15" hidden="false" customHeight="false" outlineLevel="0" collapsed="false">
      <c r="A166" s="16" t="n">
        <f aca="false">RANK(G166,$G$2:$G$2501)+COUNTIF($G$2:G166,G166)-1</f>
        <v>165</v>
      </c>
      <c r="B166" s="11" t="s">
        <v>689</v>
      </c>
      <c r="C166" s="11" t="s">
        <v>690</v>
      </c>
      <c r="D166" s="5" t="s">
        <v>58</v>
      </c>
      <c r="E166" s="5" t="s">
        <v>59</v>
      </c>
      <c r="F166" s="5"/>
      <c r="G166" s="22" t="n">
        <f aca="false">ROUND(SUM(I166:P166),3)</f>
        <v>76.49</v>
      </c>
      <c r="H166" s="5" t="str">
        <f aca="false">IF(G166&gt;=評分方法!$C$16,"優先評估",IF(G166&gt;=評分方法!$C$17,"列入候選",IF(G166&gt;=評分方法!$C$18,"特定情境","不建議")))</f>
        <v>列入候選</v>
      </c>
      <c r="I166" s="15" t="n">
        <f aca="false">AE166*評分方法!$C$5</f>
        <v>28.5</v>
      </c>
      <c r="J166" s="15" t="n">
        <f aca="false">AF166*評分方法!$C$6</f>
        <v>0</v>
      </c>
      <c r="K166" s="15" t="n">
        <f aca="false">AG166*評分方法!$C$7</f>
        <v>10.05</v>
      </c>
      <c r="L166" s="15" t="n">
        <f aca="false">AH166*評分方法!$C$8</f>
        <v>15</v>
      </c>
      <c r="M166" s="15" t="n">
        <f aca="false">AI166*評分方法!$C$9</f>
        <v>10</v>
      </c>
      <c r="N166" s="15" t="n">
        <f aca="false">AJ166*評分方法!$C$10</f>
        <v>3.94</v>
      </c>
      <c r="O166" s="15" t="n">
        <f aca="false">AK166*評分方法!$C$11</f>
        <v>4</v>
      </c>
      <c r="P166" s="15" t="n">
        <f aca="false">AL166*評分方法!$C$12</f>
        <v>5</v>
      </c>
      <c r="Q166" s="6" t="n">
        <v>408411</v>
      </c>
      <c r="R166" s="6" t="n">
        <v>288949504</v>
      </c>
      <c r="S166" s="11" t="s">
        <v>238</v>
      </c>
      <c r="T166" s="11" t="s">
        <v>239</v>
      </c>
      <c r="U166" s="5" t="s">
        <v>240</v>
      </c>
      <c r="V166" s="11" t="s">
        <v>324</v>
      </c>
      <c r="W166" s="5" t="s">
        <v>207</v>
      </c>
      <c r="X166" s="5" t="s">
        <v>284</v>
      </c>
      <c r="Y166" s="5"/>
      <c r="Z166" s="5"/>
      <c r="AA166" s="11" t="s">
        <v>150</v>
      </c>
      <c r="AB166" s="5" t="s">
        <v>245</v>
      </c>
      <c r="AC166" s="5"/>
      <c r="AD166" s="11" t="s">
        <v>691</v>
      </c>
      <c r="AE166" s="23" t="n">
        <v>0.95</v>
      </c>
      <c r="AF166" s="23" t="n">
        <v>0</v>
      </c>
      <c r="AG166" s="23" t="n">
        <v>0.67</v>
      </c>
      <c r="AH166" s="23" t="n">
        <v>1</v>
      </c>
      <c r="AI166" s="23" t="n">
        <v>1</v>
      </c>
      <c r="AJ166" s="23" t="n">
        <v>0.394</v>
      </c>
      <c r="AK166" s="23" t="n">
        <v>0.8</v>
      </c>
      <c r="AL166" s="23" t="n">
        <v>1</v>
      </c>
      <c r="AM166" s="16" t="n">
        <f aca="false">COUNTIFS($D$2:$D$2501,D166,$G$2:$G$2501,"&gt;"&amp;G166)+COUNTIFS($D$2:D166,D166,$G$2:G166,G166)</f>
        <v>5</v>
      </c>
      <c r="AN166" s="5" t="str">
        <f aca="false">D166&amp;"|"&amp;AM166</f>
        <v>實體擷取與去識別化|5</v>
      </c>
    </row>
    <row r="167" customFormat="false" ht="17.15" hidden="false" customHeight="false" outlineLevel="0" collapsed="false">
      <c r="A167" s="16" t="n">
        <f aca="false">RANK(G167,$G$2:$G$2501)+COUNTIF($G$2:G167,G167)-1</f>
        <v>166</v>
      </c>
      <c r="B167" s="11" t="s">
        <v>495</v>
      </c>
      <c r="C167" s="11" t="s">
        <v>277</v>
      </c>
      <c r="D167" s="5" t="s">
        <v>56</v>
      </c>
      <c r="E167" s="5" t="s">
        <v>57</v>
      </c>
      <c r="F167" s="5"/>
      <c r="G167" s="22" t="n">
        <f aca="false">ROUND(SUM(I167:P167),3)</f>
        <v>76.464</v>
      </c>
      <c r="H167" s="5" t="str">
        <f aca="false">IF(G167&gt;=評分方法!$C$16,"優先評估",IF(G167&gt;=評分方法!$C$17,"列入候選",IF(G167&gt;=評分方法!$C$18,"特定情境","不建議")))</f>
        <v>列入候選</v>
      </c>
      <c r="I167" s="15" t="n">
        <f aca="false">AE167*評分方法!$C$5</f>
        <v>25.5</v>
      </c>
      <c r="J167" s="15" t="n">
        <f aca="false">AF167*評分方法!$C$6</f>
        <v>0</v>
      </c>
      <c r="K167" s="15" t="n">
        <f aca="false">AG167*評分方法!$C$7</f>
        <v>15</v>
      </c>
      <c r="L167" s="15" t="n">
        <f aca="false">AH167*評分方法!$C$8</f>
        <v>15</v>
      </c>
      <c r="M167" s="15" t="n">
        <f aca="false">AI167*評分方法!$C$9</f>
        <v>10</v>
      </c>
      <c r="N167" s="15" t="n">
        <f aca="false">AJ167*評分方法!$C$10</f>
        <v>9.964</v>
      </c>
      <c r="O167" s="15" t="n">
        <f aca="false">AK167*評分方法!$C$11</f>
        <v>1</v>
      </c>
      <c r="P167" s="15" t="n">
        <f aca="false">AL167*評分方法!$C$12</f>
        <v>0</v>
      </c>
      <c r="Q167" s="6" t="n">
        <v>99521118</v>
      </c>
      <c r="R167" s="6" t="n">
        <v>137022720</v>
      </c>
      <c r="S167" s="11" t="s">
        <v>238</v>
      </c>
      <c r="T167" s="11" t="s">
        <v>278</v>
      </c>
      <c r="U167" s="5" t="s">
        <v>240</v>
      </c>
      <c r="V167" s="11" t="s">
        <v>320</v>
      </c>
      <c r="W167" s="5" t="s">
        <v>205</v>
      </c>
      <c r="X167" s="5" t="s">
        <v>242</v>
      </c>
      <c r="Y167" s="5"/>
      <c r="Z167" s="5"/>
      <c r="AA167" s="11" t="s">
        <v>155</v>
      </c>
      <c r="AB167" s="5" t="s">
        <v>245</v>
      </c>
      <c r="AC167" s="5"/>
      <c r="AD167" s="11" t="s">
        <v>692</v>
      </c>
      <c r="AE167" s="23" t="n">
        <v>0.85</v>
      </c>
      <c r="AF167" s="23" t="n">
        <v>0</v>
      </c>
      <c r="AG167" s="23" t="n">
        <v>1</v>
      </c>
      <c r="AH167" s="23" t="n">
        <v>1</v>
      </c>
      <c r="AI167" s="23" t="n">
        <v>1</v>
      </c>
      <c r="AJ167" s="23" t="n">
        <v>0.9964</v>
      </c>
      <c r="AK167" s="23" t="n">
        <v>0.2</v>
      </c>
      <c r="AL167" s="23" t="n">
        <v>0</v>
      </c>
      <c r="AM167" s="16" t="n">
        <f aca="false">COUNTIFS($D$2:$D$2501,D167,$G$2:$G$2501,"&gt;"&amp;G167)+COUNTIFS($D$2:D167,D167,$G$2:G167,G167)</f>
        <v>56</v>
      </c>
      <c r="AN167" s="5" t="str">
        <f aca="false">D167&amp;"|"&amp;AM167</f>
        <v>分析與報告生成|56</v>
      </c>
    </row>
    <row r="168" customFormat="false" ht="17.15" hidden="false" customHeight="false" outlineLevel="0" collapsed="false">
      <c r="A168" s="16" t="n">
        <f aca="false">RANK(G168,$G$2:$G$2501)+COUNTIF($G$2:G168,G168)-1</f>
        <v>167</v>
      </c>
      <c r="B168" s="11" t="s">
        <v>693</v>
      </c>
      <c r="C168" s="11" t="s">
        <v>694</v>
      </c>
      <c r="D168" s="5" t="s">
        <v>56</v>
      </c>
      <c r="E168" s="5" t="s">
        <v>57</v>
      </c>
      <c r="F168" s="5"/>
      <c r="G168" s="22" t="n">
        <f aca="false">ROUND(SUM(I168:P168),3)</f>
        <v>76.462</v>
      </c>
      <c r="H168" s="5" t="str">
        <f aca="false">IF(G168&gt;=評分方法!$C$16,"優先評估",IF(G168&gt;=評分方法!$C$17,"列入候選",IF(G168&gt;=評分方法!$C$18,"特定情境","不建議")))</f>
        <v>列入候選</v>
      </c>
      <c r="I168" s="15" t="n">
        <f aca="false">AE168*評分方法!$C$5</f>
        <v>25.5</v>
      </c>
      <c r="J168" s="15" t="n">
        <f aca="false">AF168*評分方法!$C$6</f>
        <v>0</v>
      </c>
      <c r="K168" s="15" t="n">
        <f aca="false">AG168*評分方法!$C$7</f>
        <v>15</v>
      </c>
      <c r="L168" s="15" t="n">
        <f aca="false">AH168*評分方法!$C$8</f>
        <v>13.05</v>
      </c>
      <c r="M168" s="15" t="n">
        <f aca="false">AI168*評分方法!$C$9</f>
        <v>10</v>
      </c>
      <c r="N168" s="15" t="n">
        <f aca="false">AJ168*評分方法!$C$10</f>
        <v>8.912</v>
      </c>
      <c r="O168" s="15" t="n">
        <f aca="false">AK168*評分方法!$C$11</f>
        <v>4</v>
      </c>
      <c r="P168" s="15" t="n">
        <f aca="false">AL168*評分方法!$C$12</f>
        <v>0</v>
      </c>
      <c r="Q168" s="6" t="n">
        <v>3468862</v>
      </c>
      <c r="R168" s="6" t="n">
        <v>7566747648</v>
      </c>
      <c r="S168" s="11" t="s">
        <v>254</v>
      </c>
      <c r="T168" s="11" t="s">
        <v>239</v>
      </c>
      <c r="U168" s="5" t="s">
        <v>240</v>
      </c>
      <c r="V168" s="11" t="s">
        <v>261</v>
      </c>
      <c r="W168" s="5" t="s">
        <v>205</v>
      </c>
      <c r="X168" s="5" t="s">
        <v>242</v>
      </c>
      <c r="Y168" s="5"/>
      <c r="Z168" s="5"/>
      <c r="AA168" s="11" t="s">
        <v>156</v>
      </c>
      <c r="AB168" s="5" t="s">
        <v>245</v>
      </c>
      <c r="AC168" s="5"/>
      <c r="AD168" s="11" t="s">
        <v>695</v>
      </c>
      <c r="AE168" s="23" t="n">
        <v>0.85</v>
      </c>
      <c r="AF168" s="23" t="n">
        <v>0</v>
      </c>
      <c r="AG168" s="23" t="n">
        <v>1</v>
      </c>
      <c r="AH168" s="23" t="n">
        <v>0.87</v>
      </c>
      <c r="AI168" s="23" t="n">
        <v>1</v>
      </c>
      <c r="AJ168" s="23" t="n">
        <v>0.8912</v>
      </c>
      <c r="AK168" s="23" t="n">
        <v>0.8</v>
      </c>
      <c r="AL168" s="23" t="n">
        <v>0</v>
      </c>
      <c r="AM168" s="16" t="n">
        <f aca="false">COUNTIFS($D$2:$D$2501,D168,$G$2:$G$2501,"&gt;"&amp;G168)+COUNTIFS($D$2:D168,D168,$G$2:G168,G168)</f>
        <v>57</v>
      </c>
      <c r="AN168" s="5" t="str">
        <f aca="false">D168&amp;"|"&amp;AM168</f>
        <v>分析與報告生成|57</v>
      </c>
    </row>
    <row r="169" customFormat="false" ht="17.15" hidden="false" customHeight="false" outlineLevel="0" collapsed="false">
      <c r="A169" s="16" t="n">
        <f aca="false">RANK(G169,$G$2:$G$2501)+COUNTIF($G$2:G169,G169)-1</f>
        <v>168</v>
      </c>
      <c r="B169" s="11" t="s">
        <v>584</v>
      </c>
      <c r="C169" s="11" t="s">
        <v>368</v>
      </c>
      <c r="D169" s="5" t="s">
        <v>56</v>
      </c>
      <c r="E169" s="5" t="s">
        <v>57</v>
      </c>
      <c r="F169" s="5"/>
      <c r="G169" s="22" t="n">
        <f aca="false">ROUND(SUM(I169:P169),3)</f>
        <v>76.448</v>
      </c>
      <c r="H169" s="5" t="str">
        <f aca="false">IF(G169&gt;=評分方法!$C$16,"優先評估",IF(G169&gt;=評分方法!$C$17,"列入候選",IF(G169&gt;=評分方法!$C$18,"特定情境","不建議")))</f>
        <v>列入候選</v>
      </c>
      <c r="I169" s="15" t="n">
        <f aca="false">AE169*評分方法!$C$5</f>
        <v>25.5</v>
      </c>
      <c r="J169" s="15" t="n">
        <f aca="false">AF169*評分方法!$C$6</f>
        <v>0</v>
      </c>
      <c r="K169" s="15" t="n">
        <f aca="false">AG169*評分方法!$C$7</f>
        <v>15</v>
      </c>
      <c r="L169" s="15" t="n">
        <f aca="false">AH169*評分方法!$C$8</f>
        <v>9</v>
      </c>
      <c r="M169" s="15" t="n">
        <f aca="false">AI169*評分方法!$C$9</f>
        <v>10</v>
      </c>
      <c r="N169" s="15" t="n">
        <f aca="false">AJ169*評分方法!$C$10</f>
        <v>8.948</v>
      </c>
      <c r="O169" s="15" t="n">
        <f aca="false">AK169*評分方法!$C$11</f>
        <v>5</v>
      </c>
      <c r="P169" s="15" t="n">
        <f aca="false">AL169*評分方法!$C$12</f>
        <v>3</v>
      </c>
      <c r="Q169" s="6" t="n">
        <v>3650297</v>
      </c>
      <c r="R169" s="6" t="n">
        <v>31273088876</v>
      </c>
      <c r="S169" s="11" t="s">
        <v>389</v>
      </c>
      <c r="T169" s="11" t="s">
        <v>239</v>
      </c>
      <c r="U169" s="5" t="s">
        <v>240</v>
      </c>
      <c r="V169" s="11" t="s">
        <v>261</v>
      </c>
      <c r="W169" s="5" t="s">
        <v>205</v>
      </c>
      <c r="X169" s="5" t="s">
        <v>371</v>
      </c>
      <c r="Y169" s="5"/>
      <c r="Z169" s="5"/>
      <c r="AA169" s="11" t="s">
        <v>156</v>
      </c>
      <c r="AB169" s="5" t="s">
        <v>245</v>
      </c>
      <c r="AC169" s="5"/>
      <c r="AD169" s="11" t="s">
        <v>696</v>
      </c>
      <c r="AE169" s="23" t="n">
        <v>0.85</v>
      </c>
      <c r="AF169" s="23" t="n">
        <v>0</v>
      </c>
      <c r="AG169" s="23" t="n">
        <v>1</v>
      </c>
      <c r="AH169" s="23" t="n">
        <v>0.6</v>
      </c>
      <c r="AI169" s="23" t="n">
        <v>1</v>
      </c>
      <c r="AJ169" s="23" t="n">
        <v>0.8948</v>
      </c>
      <c r="AK169" s="23" t="n">
        <v>1</v>
      </c>
      <c r="AL169" s="23" t="n">
        <v>0.6</v>
      </c>
      <c r="AM169" s="16" t="n">
        <f aca="false">COUNTIFS($D$2:$D$2501,D169,$G$2:$G$2501,"&gt;"&amp;G169)+COUNTIFS($D$2:D169,D169,$G$2:G169,G169)</f>
        <v>58</v>
      </c>
      <c r="AN169" s="5" t="str">
        <f aca="false">D169&amp;"|"&amp;AM169</f>
        <v>分析與報告生成|58</v>
      </c>
    </row>
    <row r="170" customFormat="false" ht="17.15" hidden="false" customHeight="false" outlineLevel="0" collapsed="false">
      <c r="A170" s="16" t="n">
        <f aca="false">RANK(G170,$G$2:$G$2501)+COUNTIF($G$2:G170,G170)-1</f>
        <v>169</v>
      </c>
      <c r="B170" s="11" t="s">
        <v>697</v>
      </c>
      <c r="C170" s="11" t="s">
        <v>327</v>
      </c>
      <c r="D170" s="5" t="s">
        <v>56</v>
      </c>
      <c r="E170" s="5" t="s">
        <v>57</v>
      </c>
      <c r="F170" s="5"/>
      <c r="G170" s="22" t="n">
        <f aca="false">ROUND(SUM(I170:P170),3)</f>
        <v>76.444</v>
      </c>
      <c r="H170" s="5" t="str">
        <f aca="false">IF(G170&gt;=評分方法!$C$16,"優先評估",IF(G170&gt;=評分方法!$C$17,"列入候選",IF(G170&gt;=評分方法!$C$18,"特定情境","不建議")))</f>
        <v>列入候選</v>
      </c>
      <c r="I170" s="15" t="n">
        <f aca="false">AE170*評分方法!$C$5</f>
        <v>25.5</v>
      </c>
      <c r="J170" s="15" t="n">
        <f aca="false">AF170*評分方法!$C$6</f>
        <v>0</v>
      </c>
      <c r="K170" s="15" t="n">
        <f aca="false">AG170*評分方法!$C$7</f>
        <v>15</v>
      </c>
      <c r="L170" s="15" t="n">
        <f aca="false">AH170*評分方法!$C$8</f>
        <v>9</v>
      </c>
      <c r="M170" s="15" t="n">
        <f aca="false">AI170*評分方法!$C$9</f>
        <v>10</v>
      </c>
      <c r="N170" s="15" t="n">
        <f aca="false">AJ170*評分方法!$C$10</f>
        <v>8.944</v>
      </c>
      <c r="O170" s="15" t="n">
        <f aca="false">AK170*評分方法!$C$11</f>
        <v>5</v>
      </c>
      <c r="P170" s="15" t="n">
        <f aca="false">AL170*評分方法!$C$12</f>
        <v>3</v>
      </c>
      <c r="Q170" s="6" t="n">
        <v>3638141</v>
      </c>
      <c r="R170" s="6" t="n">
        <v>14404786224</v>
      </c>
      <c r="S170" s="11" t="s">
        <v>389</v>
      </c>
      <c r="T170" s="11" t="s">
        <v>239</v>
      </c>
      <c r="U170" s="5" t="s">
        <v>240</v>
      </c>
      <c r="V170" s="11" t="s">
        <v>261</v>
      </c>
      <c r="W170" s="5" t="s">
        <v>205</v>
      </c>
      <c r="X170" s="5" t="s">
        <v>371</v>
      </c>
      <c r="Y170" s="11" t="s">
        <v>653</v>
      </c>
      <c r="Z170" s="11" t="s">
        <v>244</v>
      </c>
      <c r="AA170" s="11" t="s">
        <v>155</v>
      </c>
      <c r="AB170" s="5" t="s">
        <v>245</v>
      </c>
      <c r="AC170" s="5" t="s">
        <v>246</v>
      </c>
      <c r="AD170" s="11" t="s">
        <v>698</v>
      </c>
      <c r="AE170" s="23" t="n">
        <v>0.85</v>
      </c>
      <c r="AF170" s="23" t="n">
        <v>0</v>
      </c>
      <c r="AG170" s="23" t="n">
        <v>1</v>
      </c>
      <c r="AH170" s="23" t="n">
        <v>0.6</v>
      </c>
      <c r="AI170" s="23" t="n">
        <v>1</v>
      </c>
      <c r="AJ170" s="23" t="n">
        <v>0.8944</v>
      </c>
      <c r="AK170" s="23" t="n">
        <v>1</v>
      </c>
      <c r="AL170" s="23" t="n">
        <v>0.6</v>
      </c>
      <c r="AM170" s="16" t="n">
        <f aca="false">COUNTIFS($D$2:$D$2501,D170,$G$2:$G$2501,"&gt;"&amp;G170)+COUNTIFS($D$2:D170,D170,$G$2:G170,G170)</f>
        <v>59</v>
      </c>
      <c r="AN170" s="5" t="str">
        <f aca="false">D170&amp;"|"&amp;AM170</f>
        <v>分析與報告生成|59</v>
      </c>
    </row>
    <row r="171" customFormat="false" ht="17.15" hidden="false" customHeight="false" outlineLevel="0" collapsed="false">
      <c r="A171" s="16" t="n">
        <f aca="false">RANK(G171,$G$2:$G$2501)+COUNTIF($G$2:G171,G171)-1</f>
        <v>170</v>
      </c>
      <c r="B171" s="11" t="s">
        <v>699</v>
      </c>
      <c r="C171" s="11" t="s">
        <v>579</v>
      </c>
      <c r="D171" s="5" t="s">
        <v>68</v>
      </c>
      <c r="E171" s="11" t="s">
        <v>69</v>
      </c>
      <c r="F171" s="5"/>
      <c r="G171" s="22" t="n">
        <f aca="false">ROUND(SUM(I171:P171),3)</f>
        <v>76.416</v>
      </c>
      <c r="H171" s="5" t="str">
        <f aca="false">IF(G171&gt;=評分方法!$C$16,"優先評估",IF(G171&gt;=評分方法!$C$17,"列入候選",IF(G171&gt;=評分方法!$C$18,"特定情境","不建議")))</f>
        <v>列入候選</v>
      </c>
      <c r="I171" s="15" t="n">
        <f aca="false">AE171*評分方法!$C$5</f>
        <v>21</v>
      </c>
      <c r="J171" s="15" t="n">
        <f aca="false">AF171*評分方法!$C$6</f>
        <v>0</v>
      </c>
      <c r="K171" s="15" t="n">
        <f aca="false">AG171*評分方法!$C$7</f>
        <v>15</v>
      </c>
      <c r="L171" s="15" t="n">
        <f aca="false">AH171*評分方法!$C$8</f>
        <v>15</v>
      </c>
      <c r="M171" s="15" t="n">
        <f aca="false">AI171*評分方法!$C$9</f>
        <v>10</v>
      </c>
      <c r="N171" s="15" t="n">
        <f aca="false">AJ171*評分方法!$C$10</f>
        <v>9.916</v>
      </c>
      <c r="O171" s="15" t="n">
        <f aca="false">AK171*評分方法!$C$11</f>
        <v>4</v>
      </c>
      <c r="P171" s="15" t="n">
        <f aca="false">AL171*評分方法!$C$12</f>
        <v>1.5</v>
      </c>
      <c r="Q171" s="6" t="n">
        <v>57279426</v>
      </c>
      <c r="R171" s="6" t="n">
        <v>47718016</v>
      </c>
      <c r="S171" s="11" t="s">
        <v>238</v>
      </c>
      <c r="T171" s="11" t="s">
        <v>239</v>
      </c>
      <c r="U171" s="5" t="s">
        <v>240</v>
      </c>
      <c r="V171" s="11" t="s">
        <v>261</v>
      </c>
      <c r="W171" s="5" t="s">
        <v>205</v>
      </c>
      <c r="X171" s="5" t="s">
        <v>255</v>
      </c>
      <c r="Y171" s="5"/>
      <c r="Z171" s="5"/>
      <c r="AA171" s="11" t="s">
        <v>158</v>
      </c>
      <c r="AB171" s="5" t="s">
        <v>245</v>
      </c>
      <c r="AC171" s="5"/>
      <c r="AD171" s="11" t="s">
        <v>700</v>
      </c>
      <c r="AE171" s="23" t="n">
        <v>0.7</v>
      </c>
      <c r="AF171" s="23" t="n">
        <v>0</v>
      </c>
      <c r="AG171" s="23" t="n">
        <v>1</v>
      </c>
      <c r="AH171" s="23" t="n">
        <v>1</v>
      </c>
      <c r="AI171" s="23" t="n">
        <v>1</v>
      </c>
      <c r="AJ171" s="23" t="n">
        <v>0.9916</v>
      </c>
      <c r="AK171" s="23" t="n">
        <v>0.8</v>
      </c>
      <c r="AL171" s="23" t="n">
        <v>0.3</v>
      </c>
      <c r="AM171" s="16" t="n">
        <f aca="false">COUNTIFS($D$2:$D$2501,D171,$G$2:$G$2501,"&gt;"&amp;G171)+COUNTIFS($D$2:D171,D171,$G$2:G171,G171)</f>
        <v>3</v>
      </c>
      <c r="AN171" s="5" t="str">
        <f aca="false">D171&amp;"|"&amp;AM171</f>
        <v>時序異常偵測|3</v>
      </c>
    </row>
    <row r="172" customFormat="false" ht="17.15" hidden="false" customHeight="false" outlineLevel="0" collapsed="false">
      <c r="A172" s="16" t="n">
        <f aca="false">RANK(G172,$G$2:$G$2501)+COUNTIF($G$2:G172,G172)-1</f>
        <v>171</v>
      </c>
      <c r="B172" s="11" t="s">
        <v>701</v>
      </c>
      <c r="C172" s="11" t="s">
        <v>302</v>
      </c>
      <c r="D172" s="5" t="s">
        <v>66</v>
      </c>
      <c r="E172" s="5" t="s">
        <v>67</v>
      </c>
      <c r="F172" s="5"/>
      <c r="G172" s="22" t="n">
        <f aca="false">ROUND(SUM(I172:P172),3)</f>
        <v>76.36</v>
      </c>
      <c r="H172" s="5" t="str">
        <f aca="false">IF(G172&gt;=評分方法!$C$16,"優先評估",IF(G172&gt;=評分方法!$C$17,"列入候選",IF(G172&gt;=評分方法!$C$18,"特定情境","不建議")))</f>
        <v>列入候選</v>
      </c>
      <c r="I172" s="15" t="n">
        <f aca="false">AE172*評分方法!$C$5</f>
        <v>27</v>
      </c>
      <c r="J172" s="15" t="n">
        <f aca="false">AF172*評分方法!$C$6</f>
        <v>0</v>
      </c>
      <c r="K172" s="15" t="n">
        <f aca="false">AG172*評分方法!$C$7</f>
        <v>15</v>
      </c>
      <c r="L172" s="15" t="n">
        <f aca="false">AH172*評分方法!$C$8</f>
        <v>15</v>
      </c>
      <c r="M172" s="15" t="n">
        <f aca="false">AI172*評分方法!$C$9</f>
        <v>10</v>
      </c>
      <c r="N172" s="15" t="n">
        <f aca="false">AJ172*評分方法!$C$10</f>
        <v>6.86</v>
      </c>
      <c r="O172" s="15" t="n">
        <f aca="false">AK172*評分方法!$C$11</f>
        <v>2.5</v>
      </c>
      <c r="P172" s="15" t="n">
        <f aca="false">AL172*評分方法!$C$12</f>
        <v>0</v>
      </c>
      <c r="Q172" s="6" t="n">
        <v>857132</v>
      </c>
      <c r="R172" s="6" t="n">
        <v>435065347</v>
      </c>
      <c r="S172" s="11" t="s">
        <v>238</v>
      </c>
      <c r="T172" s="11" t="s">
        <v>239</v>
      </c>
      <c r="U172" s="5" t="s">
        <v>240</v>
      </c>
      <c r="V172" s="11" t="s">
        <v>288</v>
      </c>
      <c r="W172" s="5" t="s">
        <v>205</v>
      </c>
      <c r="X172" s="5" t="s">
        <v>242</v>
      </c>
      <c r="Y172" s="11" t="s">
        <v>595</v>
      </c>
      <c r="Z172" s="11" t="s">
        <v>244</v>
      </c>
      <c r="AA172" s="11" t="s">
        <v>151</v>
      </c>
      <c r="AB172" s="5" t="s">
        <v>245</v>
      </c>
      <c r="AC172" s="5" t="s">
        <v>246</v>
      </c>
      <c r="AD172" s="11" t="s">
        <v>702</v>
      </c>
      <c r="AE172" s="23" t="n">
        <v>0.9</v>
      </c>
      <c r="AF172" s="23" t="n">
        <v>0</v>
      </c>
      <c r="AG172" s="23" t="n">
        <v>1</v>
      </c>
      <c r="AH172" s="23" t="n">
        <v>1</v>
      </c>
      <c r="AI172" s="23" t="n">
        <v>1</v>
      </c>
      <c r="AJ172" s="23" t="n">
        <v>0.686</v>
      </c>
      <c r="AK172" s="23" t="n">
        <v>0.5</v>
      </c>
      <c r="AL172" s="23" t="n">
        <v>0</v>
      </c>
      <c r="AM172" s="16" t="n">
        <f aca="false">COUNTIFS($D$2:$D$2501,D172,$G$2:$G$2501,"&gt;"&amp;G172)+COUNTIFS($D$2:D172,D172,$G$2:G172,G172)</f>
        <v>6</v>
      </c>
      <c r="AN172" s="5" t="str">
        <f aca="false">D172&amp;"|"&amp;AM172</f>
        <v>分類與偵測|6</v>
      </c>
    </row>
    <row r="173" customFormat="false" ht="17.15" hidden="false" customHeight="false" outlineLevel="0" collapsed="false">
      <c r="A173" s="16" t="n">
        <f aca="false">RANK(G173,$G$2:$G$2501)+COUNTIF($G$2:G173,G173)-1</f>
        <v>172</v>
      </c>
      <c r="B173" s="11" t="s">
        <v>703</v>
      </c>
      <c r="C173" s="11" t="s">
        <v>569</v>
      </c>
      <c r="D173" s="5" t="s">
        <v>68</v>
      </c>
      <c r="E173" s="11" t="s">
        <v>69</v>
      </c>
      <c r="F173" s="5"/>
      <c r="G173" s="22" t="n">
        <f aca="false">ROUND(SUM(I173:P173),3)</f>
        <v>76.352</v>
      </c>
      <c r="H173" s="5" t="str">
        <f aca="false">IF(G173&gt;=評分方法!$C$16,"優先評估",IF(G173&gt;=評分方法!$C$17,"列入候選",IF(G173&gt;=評分方法!$C$18,"特定情境","不建議")))</f>
        <v>列入候選</v>
      </c>
      <c r="I173" s="15" t="n">
        <f aca="false">AE173*評分方法!$C$5</f>
        <v>21</v>
      </c>
      <c r="J173" s="15" t="n">
        <f aca="false">AF173*評分方法!$C$6</f>
        <v>0</v>
      </c>
      <c r="K173" s="15" t="n">
        <f aca="false">AG173*評分方法!$C$7</f>
        <v>15</v>
      </c>
      <c r="L173" s="15" t="n">
        <f aca="false">AH173*評分方法!$C$8</f>
        <v>15</v>
      </c>
      <c r="M173" s="15" t="n">
        <f aca="false">AI173*評分方法!$C$9</f>
        <v>10</v>
      </c>
      <c r="N173" s="15" t="n">
        <f aca="false">AJ173*評分方法!$C$10</f>
        <v>9.852</v>
      </c>
      <c r="O173" s="15" t="n">
        <f aca="false">AK173*評分方法!$C$11</f>
        <v>4</v>
      </c>
      <c r="P173" s="15" t="n">
        <f aca="false">AL173*評分方法!$C$12</f>
        <v>1.5</v>
      </c>
      <c r="Q173" s="6" t="n">
        <v>26480992</v>
      </c>
      <c r="R173" s="6" t="n">
        <v>47718016</v>
      </c>
      <c r="S173" s="11" t="s">
        <v>238</v>
      </c>
      <c r="T173" s="11" t="s">
        <v>239</v>
      </c>
      <c r="U173" s="5" t="s">
        <v>240</v>
      </c>
      <c r="V173" s="11" t="s">
        <v>261</v>
      </c>
      <c r="W173" s="5" t="s">
        <v>205</v>
      </c>
      <c r="X173" s="5" t="s">
        <v>255</v>
      </c>
      <c r="Y173" s="5"/>
      <c r="Z173" s="5"/>
      <c r="AA173" s="11" t="s">
        <v>158</v>
      </c>
      <c r="AB173" s="5" t="s">
        <v>245</v>
      </c>
      <c r="AC173" s="5"/>
      <c r="AD173" s="11" t="s">
        <v>704</v>
      </c>
      <c r="AE173" s="23" t="n">
        <v>0.7</v>
      </c>
      <c r="AF173" s="23" t="n">
        <v>0</v>
      </c>
      <c r="AG173" s="23" t="n">
        <v>1</v>
      </c>
      <c r="AH173" s="23" t="n">
        <v>1</v>
      </c>
      <c r="AI173" s="23" t="n">
        <v>1</v>
      </c>
      <c r="AJ173" s="23" t="n">
        <v>0.9852</v>
      </c>
      <c r="AK173" s="23" t="n">
        <v>0.8</v>
      </c>
      <c r="AL173" s="23" t="n">
        <v>0.3</v>
      </c>
      <c r="AM173" s="16" t="n">
        <f aca="false">COUNTIFS($D$2:$D$2501,D173,$G$2:$G$2501,"&gt;"&amp;G173)+COUNTIFS($D$2:D173,D173,$G$2:G173,G173)</f>
        <v>4</v>
      </c>
      <c r="AN173" s="5" t="str">
        <f aca="false">D173&amp;"|"&amp;AM173</f>
        <v>時序異常偵測|4</v>
      </c>
    </row>
    <row r="174" customFormat="false" ht="17.15" hidden="false" customHeight="false" outlineLevel="0" collapsed="false">
      <c r="A174" s="16" t="n">
        <f aca="false">RANK(G174,$G$2:$G$2501)+COUNTIF($G$2:G174,G174)-1</f>
        <v>173</v>
      </c>
      <c r="B174" s="11" t="s">
        <v>705</v>
      </c>
      <c r="C174" s="11" t="s">
        <v>675</v>
      </c>
      <c r="D174" s="5" t="s">
        <v>56</v>
      </c>
      <c r="E174" s="5" t="s">
        <v>57</v>
      </c>
      <c r="F174" s="5"/>
      <c r="G174" s="22" t="n">
        <f aca="false">ROUND(SUM(I174:P174),3)</f>
        <v>76.344</v>
      </c>
      <c r="H174" s="5" t="str">
        <f aca="false">IF(G174&gt;=評分方法!$C$16,"優先評估",IF(G174&gt;=評分方法!$C$17,"列入候選",IF(G174&gt;=評分方法!$C$18,"特定情境","不建議")))</f>
        <v>列入候選</v>
      </c>
      <c r="I174" s="15" t="n">
        <f aca="false">AE174*評分方法!$C$5</f>
        <v>25.5</v>
      </c>
      <c r="J174" s="15" t="n">
        <f aca="false">AF174*評分方法!$C$6</f>
        <v>0</v>
      </c>
      <c r="K174" s="15" t="n">
        <f aca="false">AG174*評分方法!$C$7</f>
        <v>15</v>
      </c>
      <c r="L174" s="15" t="n">
        <f aca="false">AH174*評分方法!$C$8</f>
        <v>15</v>
      </c>
      <c r="M174" s="15" t="n">
        <f aca="false">AI174*評分方法!$C$9</f>
        <v>6</v>
      </c>
      <c r="N174" s="15" t="n">
        <f aca="false">AJ174*評分方法!$C$10</f>
        <v>8.844</v>
      </c>
      <c r="O174" s="15" t="n">
        <f aca="false">AK174*評分方法!$C$11</f>
        <v>1</v>
      </c>
      <c r="P174" s="15" t="n">
        <f aca="false">AL174*評分方法!$C$12</f>
        <v>5</v>
      </c>
      <c r="Q174" s="6" t="n">
        <v>3175185</v>
      </c>
      <c r="R174" s="6" t="n">
        <v>559214592</v>
      </c>
      <c r="S174" s="11" t="s">
        <v>238</v>
      </c>
      <c r="T174" s="11" t="s">
        <v>676</v>
      </c>
      <c r="U174" s="5" t="s">
        <v>260</v>
      </c>
      <c r="V174" s="11" t="s">
        <v>356</v>
      </c>
      <c r="W174" s="5" t="s">
        <v>205</v>
      </c>
      <c r="X174" s="5" t="s">
        <v>284</v>
      </c>
      <c r="Y174" s="5"/>
      <c r="Z174" s="5"/>
      <c r="AA174" s="11" t="s">
        <v>155</v>
      </c>
      <c r="AB174" s="5" t="s">
        <v>245</v>
      </c>
      <c r="AC174" s="5" t="s">
        <v>262</v>
      </c>
      <c r="AD174" s="11" t="s">
        <v>706</v>
      </c>
      <c r="AE174" s="23" t="n">
        <v>0.85</v>
      </c>
      <c r="AF174" s="23" t="n">
        <v>0</v>
      </c>
      <c r="AG174" s="23" t="n">
        <v>1</v>
      </c>
      <c r="AH174" s="23" t="n">
        <v>1</v>
      </c>
      <c r="AI174" s="23" t="n">
        <v>0.6</v>
      </c>
      <c r="AJ174" s="23" t="n">
        <v>0.8844</v>
      </c>
      <c r="AK174" s="23" t="n">
        <v>0.2</v>
      </c>
      <c r="AL174" s="23" t="n">
        <v>1</v>
      </c>
      <c r="AM174" s="16" t="n">
        <f aca="false">COUNTIFS($D$2:$D$2501,D174,$G$2:$G$2501,"&gt;"&amp;G174)+COUNTIFS($D$2:D174,D174,$G$2:G174,G174)</f>
        <v>60</v>
      </c>
      <c r="AN174" s="5" t="str">
        <f aca="false">D174&amp;"|"&amp;AM174</f>
        <v>分析與報告生成|60</v>
      </c>
    </row>
    <row r="175" customFormat="false" ht="17.15" hidden="false" customHeight="false" outlineLevel="0" collapsed="false">
      <c r="A175" s="16" t="n">
        <f aca="false">RANK(G175,$G$2:$G$2501)+COUNTIF($G$2:G175,G175)-1</f>
        <v>174</v>
      </c>
      <c r="B175" s="11" t="s">
        <v>707</v>
      </c>
      <c r="C175" s="11" t="s">
        <v>579</v>
      </c>
      <c r="D175" s="5" t="s">
        <v>68</v>
      </c>
      <c r="E175" s="11" t="s">
        <v>69</v>
      </c>
      <c r="F175" s="5"/>
      <c r="G175" s="22" t="n">
        <f aca="false">ROUND(SUM(I175:P175),3)</f>
        <v>76.308</v>
      </c>
      <c r="H175" s="5" t="str">
        <f aca="false">IF(G175&gt;=評分方法!$C$16,"優先評估",IF(G175&gt;=評分方法!$C$17,"列入候選",IF(G175&gt;=評分方法!$C$18,"特定情境","不建議")))</f>
        <v>列入候選</v>
      </c>
      <c r="I175" s="15" t="n">
        <f aca="false">AE175*評分方法!$C$5</f>
        <v>21</v>
      </c>
      <c r="J175" s="15" t="n">
        <f aca="false">AF175*評分方法!$C$6</f>
        <v>0</v>
      </c>
      <c r="K175" s="15" t="n">
        <f aca="false">AG175*評分方法!$C$7</f>
        <v>15</v>
      </c>
      <c r="L175" s="15" t="n">
        <f aca="false">AH175*評分方法!$C$8</f>
        <v>15</v>
      </c>
      <c r="M175" s="15" t="n">
        <f aca="false">AI175*評分方法!$C$9</f>
        <v>10</v>
      </c>
      <c r="N175" s="15" t="n">
        <f aca="false">AJ175*評分方法!$C$10</f>
        <v>9.808</v>
      </c>
      <c r="O175" s="15" t="n">
        <f aca="false">AK175*評分方法!$C$11</f>
        <v>4</v>
      </c>
      <c r="P175" s="15" t="n">
        <f aca="false">AL175*評分方法!$C$12</f>
        <v>1.5</v>
      </c>
      <c r="Q175" s="6" t="n">
        <v>20599715</v>
      </c>
      <c r="R175" s="6" t="n">
        <v>27934624</v>
      </c>
      <c r="S175" s="11" t="s">
        <v>238</v>
      </c>
      <c r="T175" s="11" t="s">
        <v>239</v>
      </c>
      <c r="U175" s="5" t="s">
        <v>240</v>
      </c>
      <c r="V175" s="11" t="s">
        <v>261</v>
      </c>
      <c r="W175" s="5" t="s">
        <v>205</v>
      </c>
      <c r="X175" s="5" t="s">
        <v>255</v>
      </c>
      <c r="Y175" s="5"/>
      <c r="Z175" s="5"/>
      <c r="AA175" s="11" t="s">
        <v>158</v>
      </c>
      <c r="AB175" s="5" t="s">
        <v>245</v>
      </c>
      <c r="AC175" s="5"/>
      <c r="AD175" s="11" t="s">
        <v>708</v>
      </c>
      <c r="AE175" s="23" t="n">
        <v>0.7</v>
      </c>
      <c r="AF175" s="23" t="n">
        <v>0</v>
      </c>
      <c r="AG175" s="23" t="n">
        <v>1</v>
      </c>
      <c r="AH175" s="23" t="n">
        <v>1</v>
      </c>
      <c r="AI175" s="23" t="n">
        <v>1</v>
      </c>
      <c r="AJ175" s="23" t="n">
        <v>0.9808</v>
      </c>
      <c r="AK175" s="23" t="n">
        <v>0.8</v>
      </c>
      <c r="AL175" s="23" t="n">
        <v>0.3</v>
      </c>
      <c r="AM175" s="16" t="n">
        <f aca="false">COUNTIFS($D$2:$D$2501,D175,$G$2:$G$2501,"&gt;"&amp;G175)+COUNTIFS($D$2:D175,D175,$G$2:G175,G175)</f>
        <v>5</v>
      </c>
      <c r="AN175" s="5" t="str">
        <f aca="false">D175&amp;"|"&amp;AM175</f>
        <v>時序異常偵測|5</v>
      </c>
    </row>
    <row r="176" customFormat="false" ht="17.15" hidden="false" customHeight="false" outlineLevel="0" collapsed="false">
      <c r="A176" s="16" t="n">
        <f aca="false">RANK(G176,$G$2:$G$2501)+COUNTIF($G$2:G176,G176)-1</f>
        <v>175</v>
      </c>
      <c r="B176" s="11" t="s">
        <v>709</v>
      </c>
      <c r="C176" s="11" t="s">
        <v>548</v>
      </c>
      <c r="D176" s="5" t="s">
        <v>56</v>
      </c>
      <c r="E176" s="5" t="s">
        <v>57</v>
      </c>
      <c r="F176" s="5"/>
      <c r="G176" s="22" t="n">
        <f aca="false">ROUND(SUM(I176:P176),3)</f>
        <v>76.288</v>
      </c>
      <c r="H176" s="5" t="str">
        <f aca="false">IF(G176&gt;=評分方法!$C$16,"優先評估",IF(G176&gt;=評分方法!$C$17,"列入候選",IF(G176&gt;=評分方法!$C$18,"特定情境","不建議")))</f>
        <v>列入候選</v>
      </c>
      <c r="I176" s="15" t="n">
        <f aca="false">AE176*評分方法!$C$5</f>
        <v>25.5</v>
      </c>
      <c r="J176" s="15" t="n">
        <f aca="false">AF176*評分方法!$C$6</f>
        <v>0</v>
      </c>
      <c r="K176" s="15" t="n">
        <f aca="false">AG176*評分方法!$C$7</f>
        <v>15</v>
      </c>
      <c r="L176" s="15" t="n">
        <f aca="false">AH176*評分方法!$C$8</f>
        <v>15</v>
      </c>
      <c r="M176" s="15" t="n">
        <f aca="false">AI176*評分方法!$C$9</f>
        <v>10</v>
      </c>
      <c r="N176" s="15" t="n">
        <f aca="false">AJ176*評分方法!$C$10</f>
        <v>9.788</v>
      </c>
      <c r="O176" s="15" t="n">
        <f aca="false">AK176*評分方法!$C$11</f>
        <v>1</v>
      </c>
      <c r="P176" s="15" t="n">
        <f aca="false">AL176*評分方法!$C$12</f>
        <v>0</v>
      </c>
      <c r="Q176" s="6" t="n">
        <v>19740492</v>
      </c>
      <c r="R176" s="6" t="n">
        <v>212654688</v>
      </c>
      <c r="S176" s="11" t="s">
        <v>238</v>
      </c>
      <c r="T176" s="11" t="s">
        <v>239</v>
      </c>
      <c r="U176" s="5" t="s">
        <v>240</v>
      </c>
      <c r="V176" s="11" t="s">
        <v>324</v>
      </c>
      <c r="W176" s="5" t="s">
        <v>205</v>
      </c>
      <c r="X176" s="5" t="s">
        <v>242</v>
      </c>
      <c r="Y176" s="5"/>
      <c r="Z176" s="5"/>
      <c r="AA176" s="11" t="s">
        <v>155</v>
      </c>
      <c r="AB176" s="5" t="s">
        <v>245</v>
      </c>
      <c r="AC176" s="5"/>
      <c r="AD176" s="11" t="s">
        <v>710</v>
      </c>
      <c r="AE176" s="23" t="n">
        <v>0.85</v>
      </c>
      <c r="AF176" s="23" t="n">
        <v>0</v>
      </c>
      <c r="AG176" s="23" t="n">
        <v>1</v>
      </c>
      <c r="AH176" s="23" t="n">
        <v>1</v>
      </c>
      <c r="AI176" s="23" t="n">
        <v>1</v>
      </c>
      <c r="AJ176" s="23" t="n">
        <v>0.9788</v>
      </c>
      <c r="AK176" s="23" t="n">
        <v>0.2</v>
      </c>
      <c r="AL176" s="23" t="n">
        <v>0</v>
      </c>
      <c r="AM176" s="16" t="n">
        <f aca="false">COUNTIFS($D$2:$D$2501,D176,$G$2:$G$2501,"&gt;"&amp;G176)+COUNTIFS($D$2:D176,D176,$G$2:G176,G176)</f>
        <v>61</v>
      </c>
      <c r="AN176" s="5" t="str">
        <f aca="false">D176&amp;"|"&amp;AM176</f>
        <v>分析與報告生成|61</v>
      </c>
    </row>
    <row r="177" customFormat="false" ht="17.15" hidden="false" customHeight="false" outlineLevel="0" collapsed="false">
      <c r="A177" s="16" t="n">
        <f aca="false">RANK(G177,$G$2:$G$2501)+COUNTIF($G$2:G177,G177)-1</f>
        <v>176</v>
      </c>
      <c r="B177" s="11" t="s">
        <v>711</v>
      </c>
      <c r="C177" s="11" t="s">
        <v>712</v>
      </c>
      <c r="D177" s="5" t="s">
        <v>56</v>
      </c>
      <c r="E177" s="5" t="s">
        <v>57</v>
      </c>
      <c r="F177" s="5"/>
      <c r="G177" s="22" t="n">
        <f aca="false">ROUND(SUM(I177:P177),3)</f>
        <v>76.268</v>
      </c>
      <c r="H177" s="5" t="str">
        <f aca="false">IF(G177&gt;=評分方法!$C$16,"優先評估",IF(G177&gt;=評分方法!$C$17,"列入候選",IF(G177&gt;=評分方法!$C$18,"特定情境","不建議")))</f>
        <v>列入候選</v>
      </c>
      <c r="I177" s="15" t="n">
        <f aca="false">AE177*評分方法!$C$5</f>
        <v>25.5</v>
      </c>
      <c r="J177" s="15" t="n">
        <f aca="false">AF177*評分方法!$C$6</f>
        <v>0</v>
      </c>
      <c r="K177" s="15" t="n">
        <f aca="false">AG177*評分方法!$C$7</f>
        <v>15</v>
      </c>
      <c r="L177" s="15" t="n">
        <f aca="false">AH177*評分方法!$C$8</f>
        <v>15</v>
      </c>
      <c r="M177" s="15" t="n">
        <f aca="false">AI177*評分方法!$C$9</f>
        <v>10</v>
      </c>
      <c r="N177" s="15" t="n">
        <f aca="false">AJ177*評分方法!$C$10</f>
        <v>9.768</v>
      </c>
      <c r="O177" s="15" t="n">
        <f aca="false">AK177*評分方法!$C$11</f>
        <v>1</v>
      </c>
      <c r="P177" s="15" t="n">
        <f aca="false">AL177*評分方法!$C$12</f>
        <v>0</v>
      </c>
      <c r="Q177" s="6" t="n">
        <v>17354897</v>
      </c>
      <c r="R177" s="6" t="n">
        <v>88204032</v>
      </c>
      <c r="S177" s="11" t="s">
        <v>238</v>
      </c>
      <c r="T177" s="11" t="s">
        <v>239</v>
      </c>
      <c r="U177" s="5" t="s">
        <v>240</v>
      </c>
      <c r="V177" s="11" t="s">
        <v>713</v>
      </c>
      <c r="W177" s="5" t="s">
        <v>205</v>
      </c>
      <c r="X177" s="5" t="s">
        <v>242</v>
      </c>
      <c r="Y177" s="5"/>
      <c r="Z177" s="5"/>
      <c r="AA177" s="11" t="s">
        <v>155</v>
      </c>
      <c r="AB177" s="5" t="s">
        <v>245</v>
      </c>
      <c r="AC177" s="5"/>
      <c r="AD177" s="11" t="s">
        <v>714</v>
      </c>
      <c r="AE177" s="23" t="n">
        <v>0.85</v>
      </c>
      <c r="AF177" s="23" t="n">
        <v>0</v>
      </c>
      <c r="AG177" s="23" t="n">
        <v>1</v>
      </c>
      <c r="AH177" s="23" t="n">
        <v>1</v>
      </c>
      <c r="AI177" s="23" t="n">
        <v>1</v>
      </c>
      <c r="AJ177" s="23" t="n">
        <v>0.9768</v>
      </c>
      <c r="AK177" s="23" t="n">
        <v>0.2</v>
      </c>
      <c r="AL177" s="23" t="n">
        <v>0</v>
      </c>
      <c r="AM177" s="16" t="n">
        <f aca="false">COUNTIFS($D$2:$D$2501,D177,$G$2:$G$2501,"&gt;"&amp;G177)+COUNTIFS($D$2:D177,D177,$G$2:G177,G177)</f>
        <v>62</v>
      </c>
      <c r="AN177" s="5" t="str">
        <f aca="false">D177&amp;"|"&amp;AM177</f>
        <v>分析與報告生成|62</v>
      </c>
    </row>
    <row r="178" customFormat="false" ht="17.15" hidden="false" customHeight="false" outlineLevel="0" collapsed="false">
      <c r="A178" s="16" t="n">
        <f aca="false">RANK(G178,$G$2:$G$2501)+COUNTIF($G$2:G178,G178)-1</f>
        <v>177</v>
      </c>
      <c r="B178" s="11" t="s">
        <v>715</v>
      </c>
      <c r="C178" s="11" t="s">
        <v>282</v>
      </c>
      <c r="D178" s="5" t="s">
        <v>54</v>
      </c>
      <c r="E178" s="5" t="s">
        <v>55</v>
      </c>
      <c r="F178" s="5"/>
      <c r="G178" s="22" t="n">
        <f aca="false">ROUND(SUM(I178:P178),3)</f>
        <v>76.268</v>
      </c>
      <c r="H178" s="5" t="str">
        <f aca="false">IF(G178&gt;=評分方法!$C$16,"優先評估",IF(G178&gt;=評分方法!$C$17,"列入候選",IF(G178&gt;=評分方法!$C$18,"特定情境","不建議")))</f>
        <v>列入候選</v>
      </c>
      <c r="I178" s="15" t="n">
        <f aca="false">AE178*評分方法!$C$5</f>
        <v>27</v>
      </c>
      <c r="J178" s="15" t="n">
        <f aca="false">AF178*評分方法!$C$6</f>
        <v>0</v>
      </c>
      <c r="K178" s="15" t="n">
        <f aca="false">AG178*評分方法!$C$7</f>
        <v>15</v>
      </c>
      <c r="L178" s="15" t="n">
        <f aca="false">AH178*評分方法!$C$8</f>
        <v>15</v>
      </c>
      <c r="M178" s="15" t="n">
        <f aca="false">AI178*評分方法!$C$9</f>
        <v>10</v>
      </c>
      <c r="N178" s="15" t="n">
        <f aca="false">AJ178*評分方法!$C$10</f>
        <v>5.268</v>
      </c>
      <c r="O178" s="15" t="n">
        <f aca="false">AK178*評分方法!$C$11</f>
        <v>2.5</v>
      </c>
      <c r="P178" s="15" t="n">
        <f aca="false">AL178*評分方法!$C$12</f>
        <v>1.5</v>
      </c>
      <c r="Q178" s="6" t="n">
        <v>556017</v>
      </c>
      <c r="R178" s="6" t="n">
        <v>278044162</v>
      </c>
      <c r="S178" s="11" t="s">
        <v>238</v>
      </c>
      <c r="T178" s="11" t="s">
        <v>239</v>
      </c>
      <c r="U178" s="5" t="s">
        <v>240</v>
      </c>
      <c r="V178" s="11" t="s">
        <v>283</v>
      </c>
      <c r="W178" s="5" t="s">
        <v>205</v>
      </c>
      <c r="X178" s="5" t="s">
        <v>255</v>
      </c>
      <c r="Y178" s="5"/>
      <c r="Z178" s="5"/>
      <c r="AA178" s="11" t="s">
        <v>152</v>
      </c>
      <c r="AB178" s="5" t="s">
        <v>245</v>
      </c>
      <c r="AC178" s="5"/>
      <c r="AD178" s="11" t="s">
        <v>716</v>
      </c>
      <c r="AE178" s="23" t="n">
        <v>0.9</v>
      </c>
      <c r="AF178" s="23" t="n">
        <v>0</v>
      </c>
      <c r="AG178" s="23" t="n">
        <v>1</v>
      </c>
      <c r="AH178" s="23" t="n">
        <v>1</v>
      </c>
      <c r="AI178" s="23" t="n">
        <v>1</v>
      </c>
      <c r="AJ178" s="23" t="n">
        <v>0.5268</v>
      </c>
      <c r="AK178" s="23" t="n">
        <v>0.5</v>
      </c>
      <c r="AL178" s="23" t="n">
        <v>0.3</v>
      </c>
      <c r="AM178" s="16" t="n">
        <f aca="false">COUNTIFS($D$2:$D$2501,D178,$G$2:$G$2501,"&gt;"&amp;G178)+COUNTIFS($D$2:D178,D178,$G$2:G178,G178)</f>
        <v>71</v>
      </c>
      <c r="AN178" s="5" t="str">
        <f aca="false">D178&amp;"|"&amp;AM178</f>
        <v>檢索與情資關聯|71</v>
      </c>
    </row>
    <row r="179" customFormat="false" ht="17.15" hidden="false" customHeight="false" outlineLevel="0" collapsed="false">
      <c r="A179" s="16" t="n">
        <f aca="false">RANK(G179,$G$2:$G$2501)+COUNTIF($G$2:G179,G179)-1</f>
        <v>178</v>
      </c>
      <c r="B179" s="11" t="s">
        <v>717</v>
      </c>
      <c r="C179" s="11" t="s">
        <v>417</v>
      </c>
      <c r="D179" s="5" t="s">
        <v>56</v>
      </c>
      <c r="E179" s="5" t="s">
        <v>57</v>
      </c>
      <c r="F179" s="5"/>
      <c r="G179" s="22" t="n">
        <f aca="false">ROUND(SUM(I179:P179),3)</f>
        <v>76.264</v>
      </c>
      <c r="H179" s="5" t="str">
        <f aca="false">IF(G179&gt;=評分方法!$C$16,"優先評估",IF(G179&gt;=評分方法!$C$17,"列入候選",IF(G179&gt;=評分方法!$C$18,"特定情境","不建議")))</f>
        <v>列入候選</v>
      </c>
      <c r="I179" s="15" t="n">
        <f aca="false">AE179*評分方法!$C$5</f>
        <v>25.5</v>
      </c>
      <c r="J179" s="15" t="n">
        <f aca="false">AF179*評分方法!$C$6</f>
        <v>0</v>
      </c>
      <c r="K179" s="15" t="n">
        <f aca="false">AG179*評分方法!$C$7</f>
        <v>15</v>
      </c>
      <c r="L179" s="15" t="n">
        <f aca="false">AH179*評分方法!$C$8</f>
        <v>15</v>
      </c>
      <c r="M179" s="15" t="n">
        <f aca="false">AI179*評分方法!$C$9</f>
        <v>10</v>
      </c>
      <c r="N179" s="15" t="n">
        <f aca="false">AJ179*評分方法!$C$10</f>
        <v>8.264</v>
      </c>
      <c r="O179" s="15" t="n">
        <f aca="false">AK179*評分方法!$C$11</f>
        <v>2.5</v>
      </c>
      <c r="P179" s="15" t="n">
        <f aca="false">AL179*評分方法!$C$12</f>
        <v>0</v>
      </c>
      <c r="Q179" s="6" t="n">
        <v>1902001</v>
      </c>
      <c r="R179" s="6" t="n">
        <v>361821120</v>
      </c>
      <c r="S179" s="11" t="s">
        <v>238</v>
      </c>
      <c r="T179" s="11" t="s">
        <v>239</v>
      </c>
      <c r="U179" s="5" t="s">
        <v>240</v>
      </c>
      <c r="V179" s="11" t="s">
        <v>241</v>
      </c>
      <c r="W179" s="5" t="s">
        <v>205</v>
      </c>
      <c r="X179" s="5" t="s">
        <v>242</v>
      </c>
      <c r="Y179" s="11" t="s">
        <v>718</v>
      </c>
      <c r="Z179" s="11" t="s">
        <v>244</v>
      </c>
      <c r="AA179" s="11" t="s">
        <v>155</v>
      </c>
      <c r="AB179" s="5" t="s">
        <v>245</v>
      </c>
      <c r="AC179" s="5" t="s">
        <v>246</v>
      </c>
      <c r="AD179" s="11" t="s">
        <v>719</v>
      </c>
      <c r="AE179" s="23" t="n">
        <v>0.85</v>
      </c>
      <c r="AF179" s="23" t="n">
        <v>0</v>
      </c>
      <c r="AG179" s="23" t="n">
        <v>1</v>
      </c>
      <c r="AH179" s="23" t="n">
        <v>1</v>
      </c>
      <c r="AI179" s="23" t="n">
        <v>1</v>
      </c>
      <c r="AJ179" s="23" t="n">
        <v>0.8264</v>
      </c>
      <c r="AK179" s="23" t="n">
        <v>0.5</v>
      </c>
      <c r="AL179" s="23" t="n">
        <v>0</v>
      </c>
      <c r="AM179" s="16" t="n">
        <f aca="false">COUNTIFS($D$2:$D$2501,D179,$G$2:$G$2501,"&gt;"&amp;G179)+COUNTIFS($D$2:D179,D179,$G$2:G179,G179)</f>
        <v>63</v>
      </c>
      <c r="AN179" s="5" t="str">
        <f aca="false">D179&amp;"|"&amp;AM179</f>
        <v>分析與報告生成|63</v>
      </c>
    </row>
    <row r="180" customFormat="false" ht="17.15" hidden="false" customHeight="false" outlineLevel="0" collapsed="false">
      <c r="A180" s="16" t="n">
        <f aca="false">RANK(G180,$G$2:$G$2501)+COUNTIF($G$2:G180,G180)-1</f>
        <v>179</v>
      </c>
      <c r="B180" s="11" t="s">
        <v>720</v>
      </c>
      <c r="C180" s="11" t="s">
        <v>579</v>
      </c>
      <c r="D180" s="5" t="s">
        <v>68</v>
      </c>
      <c r="E180" s="11" t="s">
        <v>69</v>
      </c>
      <c r="F180" s="5"/>
      <c r="G180" s="22" t="n">
        <f aca="false">ROUND(SUM(I180:P180),3)</f>
        <v>76.212</v>
      </c>
      <c r="H180" s="5" t="str">
        <f aca="false">IF(G180&gt;=評分方法!$C$16,"優先評估",IF(G180&gt;=評分方法!$C$17,"列入候選",IF(G180&gt;=評分方法!$C$18,"特定情境","不建議")))</f>
        <v>列入候選</v>
      </c>
      <c r="I180" s="15" t="n">
        <f aca="false">AE180*評分方法!$C$5</f>
        <v>21</v>
      </c>
      <c r="J180" s="15" t="n">
        <f aca="false">AF180*評分方法!$C$6</f>
        <v>0</v>
      </c>
      <c r="K180" s="15" t="n">
        <f aca="false">AG180*評分方法!$C$7</f>
        <v>15</v>
      </c>
      <c r="L180" s="15" t="n">
        <f aca="false">AH180*評分方法!$C$8</f>
        <v>15</v>
      </c>
      <c r="M180" s="15" t="n">
        <f aca="false">AI180*評分方法!$C$9</f>
        <v>10</v>
      </c>
      <c r="N180" s="15" t="n">
        <f aca="false">AJ180*評分方法!$C$10</f>
        <v>9.712</v>
      </c>
      <c r="O180" s="15" t="n">
        <f aca="false">AK180*評分方法!$C$11</f>
        <v>4</v>
      </c>
      <c r="P180" s="15" t="n">
        <f aca="false">AL180*評分方法!$C$12</f>
        <v>1.5</v>
      </c>
      <c r="Q180" s="6" t="n">
        <v>15252871</v>
      </c>
      <c r="R180" s="6" t="n">
        <v>8652672</v>
      </c>
      <c r="S180" s="11" t="s">
        <v>238</v>
      </c>
      <c r="T180" s="11" t="s">
        <v>239</v>
      </c>
      <c r="U180" s="5" t="s">
        <v>240</v>
      </c>
      <c r="V180" s="11" t="s">
        <v>261</v>
      </c>
      <c r="W180" s="5" t="s">
        <v>205</v>
      </c>
      <c r="X180" s="5" t="s">
        <v>255</v>
      </c>
      <c r="Y180" s="5"/>
      <c r="Z180" s="5"/>
      <c r="AA180" s="11" t="s">
        <v>158</v>
      </c>
      <c r="AB180" s="5" t="s">
        <v>245</v>
      </c>
      <c r="AC180" s="5"/>
      <c r="AD180" s="11" t="s">
        <v>721</v>
      </c>
      <c r="AE180" s="23" t="n">
        <v>0.7</v>
      </c>
      <c r="AF180" s="23" t="n">
        <v>0</v>
      </c>
      <c r="AG180" s="23" t="n">
        <v>1</v>
      </c>
      <c r="AH180" s="23" t="n">
        <v>1</v>
      </c>
      <c r="AI180" s="23" t="n">
        <v>1</v>
      </c>
      <c r="AJ180" s="23" t="n">
        <v>0.9712</v>
      </c>
      <c r="AK180" s="23" t="n">
        <v>0.8</v>
      </c>
      <c r="AL180" s="23" t="n">
        <v>0.3</v>
      </c>
      <c r="AM180" s="16" t="n">
        <f aca="false">COUNTIFS($D$2:$D$2501,D180,$G$2:$G$2501,"&gt;"&amp;G180)+COUNTIFS($D$2:D180,D180,$G$2:G180,G180)</f>
        <v>6</v>
      </c>
      <c r="AN180" s="5" t="str">
        <f aca="false">D180&amp;"|"&amp;AM180</f>
        <v>時序異常偵測|6</v>
      </c>
    </row>
    <row r="181" customFormat="false" ht="17.15" hidden="false" customHeight="false" outlineLevel="0" collapsed="false">
      <c r="A181" s="16" t="n">
        <f aca="false">RANK(G181,$G$2:$G$2501)+COUNTIF($G$2:G181,G181)-1</f>
        <v>180</v>
      </c>
      <c r="B181" s="11" t="s">
        <v>722</v>
      </c>
      <c r="C181" s="11" t="s">
        <v>579</v>
      </c>
      <c r="D181" s="5" t="s">
        <v>68</v>
      </c>
      <c r="E181" s="11" t="s">
        <v>69</v>
      </c>
      <c r="F181" s="5"/>
      <c r="G181" s="22" t="n">
        <f aca="false">ROUND(SUM(I181:P181),3)</f>
        <v>76.204</v>
      </c>
      <c r="H181" s="5" t="str">
        <f aca="false">IF(G181&gt;=評分方法!$C$16,"優先評估",IF(G181&gt;=評分方法!$C$17,"列入候選",IF(G181&gt;=評分方法!$C$18,"特定情境","不建議")))</f>
        <v>列入候選</v>
      </c>
      <c r="I181" s="15" t="n">
        <f aca="false">AE181*評分方法!$C$5</f>
        <v>21</v>
      </c>
      <c r="J181" s="15" t="n">
        <f aca="false">AF181*評分方法!$C$6</f>
        <v>0</v>
      </c>
      <c r="K181" s="15" t="n">
        <f aca="false">AG181*評分方法!$C$7</f>
        <v>15</v>
      </c>
      <c r="L181" s="15" t="n">
        <f aca="false">AH181*評分方法!$C$8</f>
        <v>15</v>
      </c>
      <c r="M181" s="15" t="n">
        <f aca="false">AI181*評分方法!$C$9</f>
        <v>10</v>
      </c>
      <c r="N181" s="15" t="n">
        <f aca="false">AJ181*評分方法!$C$10</f>
        <v>9.704</v>
      </c>
      <c r="O181" s="15" t="n">
        <f aca="false">AK181*評分方法!$C$11</f>
        <v>4</v>
      </c>
      <c r="P181" s="15" t="n">
        <f aca="false">AL181*評分方法!$C$12</f>
        <v>1.5</v>
      </c>
      <c r="Q181" s="6" t="n">
        <v>14508593</v>
      </c>
      <c r="R181" s="6" t="n">
        <v>205292928</v>
      </c>
      <c r="S181" s="11" t="s">
        <v>238</v>
      </c>
      <c r="T181" s="11" t="s">
        <v>239</v>
      </c>
      <c r="U181" s="5" t="s">
        <v>240</v>
      </c>
      <c r="V181" s="11" t="s">
        <v>261</v>
      </c>
      <c r="W181" s="5" t="s">
        <v>205</v>
      </c>
      <c r="X181" s="5" t="s">
        <v>255</v>
      </c>
      <c r="Y181" s="5"/>
      <c r="Z181" s="5"/>
      <c r="AA181" s="11" t="s">
        <v>158</v>
      </c>
      <c r="AB181" s="5" t="s">
        <v>245</v>
      </c>
      <c r="AC181" s="5"/>
      <c r="AD181" s="11" t="s">
        <v>723</v>
      </c>
      <c r="AE181" s="23" t="n">
        <v>0.7</v>
      </c>
      <c r="AF181" s="23" t="n">
        <v>0</v>
      </c>
      <c r="AG181" s="23" t="n">
        <v>1</v>
      </c>
      <c r="AH181" s="23" t="n">
        <v>1</v>
      </c>
      <c r="AI181" s="23" t="n">
        <v>1</v>
      </c>
      <c r="AJ181" s="23" t="n">
        <v>0.9704</v>
      </c>
      <c r="AK181" s="23" t="n">
        <v>0.8</v>
      </c>
      <c r="AL181" s="23" t="n">
        <v>0.3</v>
      </c>
      <c r="AM181" s="16" t="n">
        <f aca="false">COUNTIFS($D$2:$D$2501,D181,$G$2:$G$2501,"&gt;"&amp;G181)+COUNTIFS($D$2:D181,D181,$G$2:G181,G181)</f>
        <v>7</v>
      </c>
      <c r="AN181" s="5" t="str">
        <f aca="false">D181&amp;"|"&amp;AM181</f>
        <v>時序異常偵測|7</v>
      </c>
    </row>
    <row r="182" customFormat="false" ht="17.15" hidden="false" customHeight="false" outlineLevel="0" collapsed="false">
      <c r="A182" s="16" t="n">
        <f aca="false">RANK(G182,$G$2:$G$2501)+COUNTIF($G$2:G182,G182)-1</f>
        <v>181</v>
      </c>
      <c r="B182" s="11" t="s">
        <v>724</v>
      </c>
      <c r="C182" s="11" t="s">
        <v>569</v>
      </c>
      <c r="D182" s="5" t="s">
        <v>68</v>
      </c>
      <c r="E182" s="11" t="s">
        <v>69</v>
      </c>
      <c r="F182" s="5"/>
      <c r="G182" s="22" t="n">
        <f aca="false">ROUND(SUM(I182:P182),3)</f>
        <v>76.168</v>
      </c>
      <c r="H182" s="5" t="str">
        <f aca="false">IF(G182&gt;=評分方法!$C$16,"優先評估",IF(G182&gt;=評分方法!$C$17,"列入候選",IF(G182&gt;=評分方法!$C$18,"特定情境","不建議")))</f>
        <v>列入候選</v>
      </c>
      <c r="I182" s="15" t="n">
        <f aca="false">AE182*評分方法!$C$5</f>
        <v>21</v>
      </c>
      <c r="J182" s="15" t="n">
        <f aca="false">AF182*評分方法!$C$6</f>
        <v>0</v>
      </c>
      <c r="K182" s="15" t="n">
        <f aca="false">AG182*評分方法!$C$7</f>
        <v>15</v>
      </c>
      <c r="L182" s="15" t="n">
        <f aca="false">AH182*評分方法!$C$8</f>
        <v>15</v>
      </c>
      <c r="M182" s="15" t="n">
        <f aca="false">AI182*評分方法!$C$9</f>
        <v>10</v>
      </c>
      <c r="N182" s="15" t="n">
        <f aca="false">AJ182*評分方法!$C$10</f>
        <v>9.668</v>
      </c>
      <c r="O182" s="15" t="n">
        <f aca="false">AK182*評分方法!$C$11</f>
        <v>4</v>
      </c>
      <c r="P182" s="15" t="n">
        <f aca="false">AL182*評分方法!$C$12</f>
        <v>1.5</v>
      </c>
      <c r="Q182" s="6" t="n">
        <v>12773228</v>
      </c>
      <c r="R182" s="6" t="n">
        <v>205292928</v>
      </c>
      <c r="S182" s="11" t="s">
        <v>238</v>
      </c>
      <c r="T182" s="11" t="s">
        <v>239</v>
      </c>
      <c r="U182" s="5" t="s">
        <v>240</v>
      </c>
      <c r="V182" s="11" t="s">
        <v>261</v>
      </c>
      <c r="W182" s="5" t="s">
        <v>205</v>
      </c>
      <c r="X182" s="5" t="s">
        <v>255</v>
      </c>
      <c r="Y182" s="5"/>
      <c r="Z182" s="5"/>
      <c r="AA182" s="11" t="s">
        <v>158</v>
      </c>
      <c r="AB182" s="5" t="s">
        <v>245</v>
      </c>
      <c r="AC182" s="5"/>
      <c r="AD182" s="11" t="s">
        <v>725</v>
      </c>
      <c r="AE182" s="23" t="n">
        <v>0.7</v>
      </c>
      <c r="AF182" s="23" t="n">
        <v>0</v>
      </c>
      <c r="AG182" s="23" t="n">
        <v>1</v>
      </c>
      <c r="AH182" s="23" t="n">
        <v>1</v>
      </c>
      <c r="AI182" s="23" t="n">
        <v>1</v>
      </c>
      <c r="AJ182" s="23" t="n">
        <v>0.9668</v>
      </c>
      <c r="AK182" s="23" t="n">
        <v>0.8</v>
      </c>
      <c r="AL182" s="23" t="n">
        <v>0.3</v>
      </c>
      <c r="AM182" s="16" t="n">
        <f aca="false">COUNTIFS($D$2:$D$2501,D182,$G$2:$G$2501,"&gt;"&amp;G182)+COUNTIFS($D$2:D182,D182,$G$2:G182,G182)</f>
        <v>8</v>
      </c>
      <c r="AN182" s="5" t="str">
        <f aca="false">D182&amp;"|"&amp;AM182</f>
        <v>時序異常偵測|8</v>
      </c>
    </row>
    <row r="183" customFormat="false" ht="17.15" hidden="false" customHeight="false" outlineLevel="0" collapsed="false">
      <c r="A183" s="16" t="n">
        <f aca="false">RANK(G183,$G$2:$G$2501)+COUNTIF($G$2:G183,G183)-1</f>
        <v>182</v>
      </c>
      <c r="B183" s="11" t="s">
        <v>726</v>
      </c>
      <c r="C183" s="11" t="s">
        <v>277</v>
      </c>
      <c r="D183" s="5" t="s">
        <v>56</v>
      </c>
      <c r="E183" s="5" t="s">
        <v>57</v>
      </c>
      <c r="F183" s="5"/>
      <c r="G183" s="22" t="n">
        <f aca="false">ROUND(SUM(I183:P183),3)</f>
        <v>75.976</v>
      </c>
      <c r="H183" s="5" t="str">
        <f aca="false">IF(G183&gt;=評分方法!$C$16,"優先評估",IF(G183&gt;=評分方法!$C$17,"列入候選",IF(G183&gt;=評分方法!$C$18,"特定情境","不建議")))</f>
        <v>列入候選</v>
      </c>
      <c r="I183" s="15" t="n">
        <f aca="false">AE183*評分方法!$C$5</f>
        <v>25.5</v>
      </c>
      <c r="J183" s="15" t="n">
        <f aca="false">AF183*評分方法!$C$6</f>
        <v>0</v>
      </c>
      <c r="K183" s="15" t="n">
        <f aca="false">AG183*評分方法!$C$7</f>
        <v>15</v>
      </c>
      <c r="L183" s="15" t="n">
        <f aca="false">AH183*評分方法!$C$8</f>
        <v>15</v>
      </c>
      <c r="M183" s="15" t="n">
        <f aca="false">AI183*評分方法!$C$9</f>
        <v>10</v>
      </c>
      <c r="N183" s="15" t="n">
        <f aca="false">AJ183*評分方法!$C$10</f>
        <v>9.476</v>
      </c>
      <c r="O183" s="15" t="n">
        <f aca="false">AK183*評分方法!$C$11</f>
        <v>1</v>
      </c>
      <c r="P183" s="15" t="n">
        <f aca="false">AL183*評分方法!$C$12</f>
        <v>0</v>
      </c>
      <c r="Q183" s="6" t="n">
        <v>8397224</v>
      </c>
      <c r="R183" s="6" t="n">
        <v>811778816</v>
      </c>
      <c r="S183" s="11" t="s">
        <v>238</v>
      </c>
      <c r="T183" s="11" t="s">
        <v>278</v>
      </c>
      <c r="U183" s="5" t="s">
        <v>240</v>
      </c>
      <c r="V183" s="11" t="s">
        <v>320</v>
      </c>
      <c r="W183" s="5" t="s">
        <v>205</v>
      </c>
      <c r="X183" s="5" t="s">
        <v>242</v>
      </c>
      <c r="Y183" s="5"/>
      <c r="Z183" s="5"/>
      <c r="AA183" s="11" t="s">
        <v>155</v>
      </c>
      <c r="AB183" s="5" t="s">
        <v>245</v>
      </c>
      <c r="AC183" s="5"/>
      <c r="AD183" s="11" t="s">
        <v>727</v>
      </c>
      <c r="AE183" s="23" t="n">
        <v>0.85</v>
      </c>
      <c r="AF183" s="23" t="n">
        <v>0</v>
      </c>
      <c r="AG183" s="23" t="n">
        <v>1</v>
      </c>
      <c r="AH183" s="23" t="n">
        <v>1</v>
      </c>
      <c r="AI183" s="23" t="n">
        <v>1</v>
      </c>
      <c r="AJ183" s="23" t="n">
        <v>0.9476</v>
      </c>
      <c r="AK183" s="23" t="n">
        <v>0.2</v>
      </c>
      <c r="AL183" s="23" t="n">
        <v>0</v>
      </c>
      <c r="AM183" s="16" t="n">
        <f aca="false">COUNTIFS($D$2:$D$2501,D183,$G$2:$G$2501,"&gt;"&amp;G183)+COUNTIFS($D$2:D183,D183,$G$2:G183,G183)</f>
        <v>64</v>
      </c>
      <c r="AN183" s="5" t="str">
        <f aca="false">D183&amp;"|"&amp;AM183</f>
        <v>分析與報告生成|64</v>
      </c>
    </row>
    <row r="184" customFormat="false" ht="17.15" hidden="false" customHeight="false" outlineLevel="0" collapsed="false">
      <c r="A184" s="16" t="n">
        <f aca="false">RANK(G184,$G$2:$G$2501)+COUNTIF($G$2:G184,G184)-1</f>
        <v>183</v>
      </c>
      <c r="B184" s="11" t="s">
        <v>728</v>
      </c>
      <c r="C184" s="11" t="s">
        <v>548</v>
      </c>
      <c r="D184" s="5" t="s">
        <v>56</v>
      </c>
      <c r="E184" s="5" t="s">
        <v>57</v>
      </c>
      <c r="F184" s="5"/>
      <c r="G184" s="22" t="n">
        <f aca="false">ROUND(SUM(I184:P184),3)</f>
        <v>75.972</v>
      </c>
      <c r="H184" s="5" t="str">
        <f aca="false">IF(G184&gt;=評分方法!$C$16,"優先評估",IF(G184&gt;=評分方法!$C$17,"列入候選",IF(G184&gt;=評分方法!$C$18,"特定情境","不建議")))</f>
        <v>列入候選</v>
      </c>
      <c r="I184" s="15" t="n">
        <f aca="false">AE184*評分方法!$C$5</f>
        <v>25.5</v>
      </c>
      <c r="J184" s="15" t="n">
        <f aca="false">AF184*評分方法!$C$6</f>
        <v>0</v>
      </c>
      <c r="K184" s="15" t="n">
        <f aca="false">AG184*評分方法!$C$7</f>
        <v>15</v>
      </c>
      <c r="L184" s="15" t="n">
        <f aca="false">AH184*評分方法!$C$8</f>
        <v>15</v>
      </c>
      <c r="M184" s="15" t="n">
        <f aca="false">AI184*評分方法!$C$9</f>
        <v>10</v>
      </c>
      <c r="N184" s="15" t="n">
        <f aca="false">AJ184*評分方法!$C$10</f>
        <v>9.472</v>
      </c>
      <c r="O184" s="15" t="n">
        <f aca="false">AK184*評分方法!$C$11</f>
        <v>1</v>
      </c>
      <c r="P184" s="15" t="n">
        <f aca="false">AL184*評分方法!$C$12</f>
        <v>0</v>
      </c>
      <c r="Q184" s="6" t="n">
        <v>8245815</v>
      </c>
      <c r="R184" s="6" t="n">
        <v>95592496</v>
      </c>
      <c r="S184" s="11" t="s">
        <v>238</v>
      </c>
      <c r="T184" s="11" t="s">
        <v>239</v>
      </c>
      <c r="U184" s="5" t="s">
        <v>240</v>
      </c>
      <c r="V184" s="11" t="s">
        <v>324</v>
      </c>
      <c r="W184" s="5" t="s">
        <v>205</v>
      </c>
      <c r="X184" s="5" t="s">
        <v>242</v>
      </c>
      <c r="Y184" s="5"/>
      <c r="Z184" s="5"/>
      <c r="AA184" s="11" t="s">
        <v>155</v>
      </c>
      <c r="AB184" s="5" t="s">
        <v>245</v>
      </c>
      <c r="AC184" s="5"/>
      <c r="AD184" s="11" t="s">
        <v>729</v>
      </c>
      <c r="AE184" s="23" t="n">
        <v>0.85</v>
      </c>
      <c r="AF184" s="23" t="n">
        <v>0</v>
      </c>
      <c r="AG184" s="23" t="n">
        <v>1</v>
      </c>
      <c r="AH184" s="23" t="n">
        <v>1</v>
      </c>
      <c r="AI184" s="23" t="n">
        <v>1</v>
      </c>
      <c r="AJ184" s="23" t="n">
        <v>0.9472</v>
      </c>
      <c r="AK184" s="23" t="n">
        <v>0.2</v>
      </c>
      <c r="AL184" s="23" t="n">
        <v>0</v>
      </c>
      <c r="AM184" s="16" t="n">
        <f aca="false">COUNTIFS($D$2:$D$2501,D184,$G$2:$G$2501,"&gt;"&amp;G184)+COUNTIFS($D$2:D184,D184,$G$2:G184,G184)</f>
        <v>65</v>
      </c>
      <c r="AN184" s="5" t="str">
        <f aca="false">D184&amp;"|"&amp;AM184</f>
        <v>分析與報告生成|65</v>
      </c>
    </row>
    <row r="185" customFormat="false" ht="17.15" hidden="false" customHeight="false" outlineLevel="0" collapsed="false">
      <c r="A185" s="16" t="n">
        <f aca="false">RANK(G185,$G$2:$G$2501)+COUNTIF($G$2:G185,G185)-1</f>
        <v>184</v>
      </c>
      <c r="B185" s="11" t="s">
        <v>730</v>
      </c>
      <c r="C185" s="11" t="s">
        <v>569</v>
      </c>
      <c r="D185" s="5" t="s">
        <v>68</v>
      </c>
      <c r="E185" s="11" t="s">
        <v>69</v>
      </c>
      <c r="F185" s="5"/>
      <c r="G185" s="22" t="n">
        <f aca="false">ROUND(SUM(I185:P185),3)</f>
        <v>75.964</v>
      </c>
      <c r="H185" s="5" t="str">
        <f aca="false">IF(G185&gt;=評分方法!$C$16,"優先評估",IF(G185&gt;=評分方法!$C$17,"列入候選",IF(G185&gt;=評分方法!$C$18,"特定情境","不建議")))</f>
        <v>列入候選</v>
      </c>
      <c r="I185" s="15" t="n">
        <f aca="false">AE185*評分方法!$C$5</f>
        <v>21</v>
      </c>
      <c r="J185" s="15" t="n">
        <f aca="false">AF185*評分方法!$C$6</f>
        <v>0</v>
      </c>
      <c r="K185" s="15" t="n">
        <f aca="false">AG185*評分方法!$C$7</f>
        <v>15</v>
      </c>
      <c r="L185" s="15" t="n">
        <f aca="false">AH185*評分方法!$C$8</f>
        <v>15</v>
      </c>
      <c r="M185" s="15" t="n">
        <f aca="false">AI185*評分方法!$C$9</f>
        <v>10</v>
      </c>
      <c r="N185" s="15" t="n">
        <f aca="false">AJ185*評分方法!$C$10</f>
        <v>9.464</v>
      </c>
      <c r="O185" s="15" t="n">
        <f aca="false">AK185*評分方法!$C$11</f>
        <v>4</v>
      </c>
      <c r="P185" s="15" t="n">
        <f aca="false">AL185*評分方法!$C$12</f>
        <v>1.5</v>
      </c>
      <c r="Q185" s="6" t="n">
        <v>8145423</v>
      </c>
      <c r="R185" s="6" t="n">
        <v>8652672</v>
      </c>
      <c r="S185" s="11" t="s">
        <v>238</v>
      </c>
      <c r="T185" s="11" t="s">
        <v>239</v>
      </c>
      <c r="U185" s="5" t="s">
        <v>240</v>
      </c>
      <c r="V185" s="11" t="s">
        <v>261</v>
      </c>
      <c r="W185" s="5" t="s">
        <v>205</v>
      </c>
      <c r="X185" s="5" t="s">
        <v>255</v>
      </c>
      <c r="Y185" s="5"/>
      <c r="Z185" s="5"/>
      <c r="AA185" s="11" t="s">
        <v>158</v>
      </c>
      <c r="AB185" s="5" t="s">
        <v>245</v>
      </c>
      <c r="AC185" s="5"/>
      <c r="AD185" s="11" t="s">
        <v>731</v>
      </c>
      <c r="AE185" s="23" t="n">
        <v>0.7</v>
      </c>
      <c r="AF185" s="23" t="n">
        <v>0</v>
      </c>
      <c r="AG185" s="23" t="n">
        <v>1</v>
      </c>
      <c r="AH185" s="23" t="n">
        <v>1</v>
      </c>
      <c r="AI185" s="23" t="n">
        <v>1</v>
      </c>
      <c r="AJ185" s="23" t="n">
        <v>0.9464</v>
      </c>
      <c r="AK185" s="23" t="n">
        <v>0.8</v>
      </c>
      <c r="AL185" s="23" t="n">
        <v>0.3</v>
      </c>
      <c r="AM185" s="16" t="n">
        <f aca="false">COUNTIFS($D$2:$D$2501,D185,$G$2:$G$2501,"&gt;"&amp;G185)+COUNTIFS($D$2:D185,D185,$G$2:G185,G185)</f>
        <v>9</v>
      </c>
      <c r="AN185" s="5" t="str">
        <f aca="false">D185&amp;"|"&amp;AM185</f>
        <v>時序異常偵測|9</v>
      </c>
    </row>
    <row r="186" customFormat="false" ht="17.15" hidden="false" customHeight="false" outlineLevel="0" collapsed="false">
      <c r="A186" s="16" t="n">
        <f aca="false">RANK(G186,$G$2:$G$2501)+COUNTIF($G$2:G186,G186)-1</f>
        <v>185</v>
      </c>
      <c r="B186" s="11" t="s">
        <v>732</v>
      </c>
      <c r="C186" s="11" t="s">
        <v>569</v>
      </c>
      <c r="D186" s="5" t="s">
        <v>68</v>
      </c>
      <c r="E186" s="11" t="s">
        <v>69</v>
      </c>
      <c r="F186" s="5"/>
      <c r="G186" s="22" t="n">
        <f aca="false">ROUND(SUM(I186:P186),3)</f>
        <v>75.936</v>
      </c>
      <c r="H186" s="5" t="str">
        <f aca="false">IF(G186&gt;=評分方法!$C$16,"優先評估",IF(G186&gt;=評分方法!$C$17,"列入候選",IF(G186&gt;=評分方法!$C$18,"特定情境","不建議")))</f>
        <v>列入候選</v>
      </c>
      <c r="I186" s="15" t="n">
        <f aca="false">AE186*評分方法!$C$5</f>
        <v>21</v>
      </c>
      <c r="J186" s="15" t="n">
        <f aca="false">AF186*評分方法!$C$6</f>
        <v>0</v>
      </c>
      <c r="K186" s="15" t="n">
        <f aca="false">AG186*評分方法!$C$7</f>
        <v>15</v>
      </c>
      <c r="L186" s="15" t="n">
        <f aca="false">AH186*評分方法!$C$8</f>
        <v>15</v>
      </c>
      <c r="M186" s="15" t="n">
        <f aca="false">AI186*評分方法!$C$9</f>
        <v>10</v>
      </c>
      <c r="N186" s="15" t="n">
        <f aca="false">AJ186*評分方法!$C$10</f>
        <v>9.436</v>
      </c>
      <c r="O186" s="15" t="n">
        <f aca="false">AK186*評分方法!$C$11</f>
        <v>4</v>
      </c>
      <c r="P186" s="15" t="n">
        <f aca="false">AL186*評分方法!$C$12</f>
        <v>1.5</v>
      </c>
      <c r="Q186" s="6" t="n">
        <v>7666797</v>
      </c>
      <c r="R186" s="6" t="n">
        <v>46154240</v>
      </c>
      <c r="S186" s="11" t="s">
        <v>238</v>
      </c>
      <c r="T186" s="11" t="s">
        <v>239</v>
      </c>
      <c r="U186" s="5" t="s">
        <v>240</v>
      </c>
      <c r="V186" s="11" t="s">
        <v>261</v>
      </c>
      <c r="W186" s="5" t="s">
        <v>205</v>
      </c>
      <c r="X186" s="5" t="s">
        <v>255</v>
      </c>
      <c r="Y186" s="5"/>
      <c r="Z186" s="5"/>
      <c r="AA186" s="11" t="s">
        <v>158</v>
      </c>
      <c r="AB186" s="5" t="s">
        <v>245</v>
      </c>
      <c r="AC186" s="5"/>
      <c r="AD186" s="11" t="s">
        <v>733</v>
      </c>
      <c r="AE186" s="23" t="n">
        <v>0.7</v>
      </c>
      <c r="AF186" s="23" t="n">
        <v>0</v>
      </c>
      <c r="AG186" s="23" t="n">
        <v>1</v>
      </c>
      <c r="AH186" s="23" t="n">
        <v>1</v>
      </c>
      <c r="AI186" s="23" t="n">
        <v>1</v>
      </c>
      <c r="AJ186" s="23" t="n">
        <v>0.9436</v>
      </c>
      <c r="AK186" s="23" t="n">
        <v>0.8</v>
      </c>
      <c r="AL186" s="23" t="n">
        <v>0.3</v>
      </c>
      <c r="AM186" s="16" t="n">
        <f aca="false">COUNTIFS($D$2:$D$2501,D186,$G$2:$G$2501,"&gt;"&amp;G186)+COUNTIFS($D$2:D186,D186,$G$2:G186,G186)</f>
        <v>10</v>
      </c>
      <c r="AN186" s="5" t="str">
        <f aca="false">D186&amp;"|"&amp;AM186</f>
        <v>時序異常偵測|10</v>
      </c>
    </row>
    <row r="187" customFormat="false" ht="17.15" hidden="false" customHeight="false" outlineLevel="0" collapsed="false">
      <c r="A187" s="16" t="n">
        <f aca="false">RANK(G187,$G$2:$G$2501)+COUNTIF($G$2:G187,G187)-1</f>
        <v>186</v>
      </c>
      <c r="B187" s="11" t="s">
        <v>734</v>
      </c>
      <c r="C187" s="11" t="s">
        <v>569</v>
      </c>
      <c r="D187" s="5" t="s">
        <v>68</v>
      </c>
      <c r="E187" s="11" t="s">
        <v>69</v>
      </c>
      <c r="F187" s="5"/>
      <c r="G187" s="22" t="n">
        <f aca="false">ROUND(SUM(I187:P187),3)</f>
        <v>75.912</v>
      </c>
      <c r="H187" s="5" t="str">
        <f aca="false">IF(G187&gt;=評分方法!$C$16,"優先評估",IF(G187&gt;=評分方法!$C$17,"列入候選",IF(G187&gt;=評分方法!$C$18,"特定情境","不建議")))</f>
        <v>列入候選</v>
      </c>
      <c r="I187" s="15" t="n">
        <f aca="false">AE187*評分方法!$C$5</f>
        <v>21</v>
      </c>
      <c r="J187" s="15" t="n">
        <f aca="false">AF187*評分方法!$C$6</f>
        <v>0</v>
      </c>
      <c r="K187" s="15" t="n">
        <f aca="false">AG187*評分方法!$C$7</f>
        <v>15</v>
      </c>
      <c r="L187" s="15" t="n">
        <f aca="false">AH187*評分方法!$C$8</f>
        <v>15</v>
      </c>
      <c r="M187" s="15" t="n">
        <f aca="false">AI187*評分方法!$C$9</f>
        <v>10</v>
      </c>
      <c r="N187" s="15" t="n">
        <f aca="false">AJ187*評分方法!$C$10</f>
        <v>9.412</v>
      </c>
      <c r="O187" s="15" t="n">
        <f aca="false">AK187*評分方法!$C$11</f>
        <v>4</v>
      </c>
      <c r="P187" s="15" t="n">
        <f aca="false">AL187*評分方法!$C$12</f>
        <v>1.5</v>
      </c>
      <c r="Q187" s="6" t="n">
        <v>7396463</v>
      </c>
      <c r="R187" s="6" t="n">
        <v>8394496</v>
      </c>
      <c r="S187" s="11" t="s">
        <v>238</v>
      </c>
      <c r="T187" s="11" t="s">
        <v>239</v>
      </c>
      <c r="U187" s="5" t="s">
        <v>240</v>
      </c>
      <c r="V187" s="11" t="s">
        <v>261</v>
      </c>
      <c r="W187" s="5" t="s">
        <v>205</v>
      </c>
      <c r="X187" s="5" t="s">
        <v>255</v>
      </c>
      <c r="Y187" s="5"/>
      <c r="Z187" s="5"/>
      <c r="AA187" s="11" t="s">
        <v>158</v>
      </c>
      <c r="AB187" s="5" t="s">
        <v>245</v>
      </c>
      <c r="AC187" s="5"/>
      <c r="AD187" s="11" t="s">
        <v>735</v>
      </c>
      <c r="AE187" s="23" t="n">
        <v>0.7</v>
      </c>
      <c r="AF187" s="23" t="n">
        <v>0</v>
      </c>
      <c r="AG187" s="23" t="n">
        <v>1</v>
      </c>
      <c r="AH187" s="23" t="n">
        <v>1</v>
      </c>
      <c r="AI187" s="23" t="n">
        <v>1</v>
      </c>
      <c r="AJ187" s="23" t="n">
        <v>0.9412</v>
      </c>
      <c r="AK187" s="23" t="n">
        <v>0.8</v>
      </c>
      <c r="AL187" s="23" t="n">
        <v>0.3</v>
      </c>
      <c r="AM187" s="16" t="n">
        <f aca="false">COUNTIFS($D$2:$D$2501,D187,$G$2:$G$2501,"&gt;"&amp;G187)+COUNTIFS($D$2:D187,D187,$G$2:G187,G187)</f>
        <v>11</v>
      </c>
      <c r="AN187" s="5" t="str">
        <f aca="false">D187&amp;"|"&amp;AM187</f>
        <v>時序異常偵測|11</v>
      </c>
    </row>
    <row r="188" customFormat="false" ht="17.15" hidden="false" customHeight="false" outlineLevel="0" collapsed="false">
      <c r="A188" s="16" t="n">
        <f aca="false">RANK(G188,$G$2:$G$2501)+COUNTIF($G$2:G188,G188)-1</f>
        <v>187</v>
      </c>
      <c r="B188" s="11" t="s">
        <v>736</v>
      </c>
      <c r="C188" s="11" t="s">
        <v>737</v>
      </c>
      <c r="D188" s="5" t="s">
        <v>56</v>
      </c>
      <c r="E188" s="5" t="s">
        <v>57</v>
      </c>
      <c r="F188" s="5"/>
      <c r="G188" s="22" t="n">
        <f aca="false">ROUND(SUM(I188:P188),3)</f>
        <v>75.882</v>
      </c>
      <c r="H188" s="5" t="str">
        <f aca="false">IF(G188&gt;=評分方法!$C$16,"優先評估",IF(G188&gt;=評分方法!$C$17,"列入候選",IF(G188&gt;=評分方法!$C$18,"特定情境","不建議")))</f>
        <v>列入候選</v>
      </c>
      <c r="I188" s="15" t="n">
        <f aca="false">AE188*評分方法!$C$5</f>
        <v>25.5</v>
      </c>
      <c r="J188" s="15" t="n">
        <f aca="false">AF188*評分方法!$C$6</f>
        <v>0</v>
      </c>
      <c r="K188" s="15" t="n">
        <f aca="false">AG188*評分方法!$C$7</f>
        <v>15</v>
      </c>
      <c r="L188" s="15" t="n">
        <f aca="false">AH188*評分方法!$C$8</f>
        <v>13.05</v>
      </c>
      <c r="M188" s="15" t="n">
        <f aca="false">AI188*評分方法!$C$9</f>
        <v>10</v>
      </c>
      <c r="N188" s="15" t="n">
        <f aca="false">AJ188*評分方法!$C$10</f>
        <v>2.332</v>
      </c>
      <c r="O188" s="15" t="n">
        <f aca="false">AK188*評分方法!$C$11</f>
        <v>5</v>
      </c>
      <c r="P188" s="15" t="n">
        <f aca="false">AL188*評分方法!$C$12</f>
        <v>5</v>
      </c>
      <c r="Q188" s="6" t="n">
        <v>235289</v>
      </c>
      <c r="R188" s="6" t="n">
        <v>2484847856</v>
      </c>
      <c r="S188" s="11" t="s">
        <v>254</v>
      </c>
      <c r="T188" s="11" t="s">
        <v>239</v>
      </c>
      <c r="U188" s="5" t="s">
        <v>240</v>
      </c>
      <c r="V188" s="11" t="s">
        <v>261</v>
      </c>
      <c r="W188" s="5" t="s">
        <v>205</v>
      </c>
      <c r="X188" s="5" t="s">
        <v>284</v>
      </c>
      <c r="Y188" s="5"/>
      <c r="Z188" s="5"/>
      <c r="AA188" s="11" t="s">
        <v>156</v>
      </c>
      <c r="AB188" s="5" t="s">
        <v>245</v>
      </c>
      <c r="AC188" s="5"/>
      <c r="AD188" s="11" t="s">
        <v>738</v>
      </c>
      <c r="AE188" s="23" t="n">
        <v>0.85</v>
      </c>
      <c r="AF188" s="23" t="n">
        <v>0</v>
      </c>
      <c r="AG188" s="23" t="n">
        <v>1</v>
      </c>
      <c r="AH188" s="23" t="n">
        <v>0.87</v>
      </c>
      <c r="AI188" s="23" t="n">
        <v>1</v>
      </c>
      <c r="AJ188" s="23" t="n">
        <v>0.2332</v>
      </c>
      <c r="AK188" s="23" t="n">
        <v>1</v>
      </c>
      <c r="AL188" s="23" t="n">
        <v>1</v>
      </c>
      <c r="AM188" s="16" t="n">
        <f aca="false">COUNTIFS($D$2:$D$2501,D188,$G$2:$G$2501,"&gt;"&amp;G188)+COUNTIFS($D$2:D188,D188,$G$2:G188,G188)</f>
        <v>66</v>
      </c>
      <c r="AN188" s="5" t="str">
        <f aca="false">D188&amp;"|"&amp;AM188</f>
        <v>分析與報告生成|66</v>
      </c>
    </row>
    <row r="189" customFormat="false" ht="17.15" hidden="false" customHeight="false" outlineLevel="0" collapsed="false">
      <c r="A189" s="16" t="n">
        <f aca="false">RANK(G189,$G$2:$G$2501)+COUNTIF($G$2:G189,G189)-1</f>
        <v>188</v>
      </c>
      <c r="B189" s="11" t="s">
        <v>576</v>
      </c>
      <c r="C189" s="11" t="s">
        <v>368</v>
      </c>
      <c r="D189" s="5" t="s">
        <v>56</v>
      </c>
      <c r="E189" s="5" t="s">
        <v>57</v>
      </c>
      <c r="F189" s="5"/>
      <c r="G189" s="22" t="n">
        <f aca="false">ROUND(SUM(I189:P189),3)</f>
        <v>75.876</v>
      </c>
      <c r="H189" s="5" t="str">
        <f aca="false">IF(G189&gt;=評分方法!$C$16,"優先評估",IF(G189&gt;=評分方法!$C$17,"列入候選",IF(G189&gt;=評分方法!$C$18,"特定情境","不建議")))</f>
        <v>列入候選</v>
      </c>
      <c r="I189" s="15" t="n">
        <f aca="false">AE189*評分方法!$C$5</f>
        <v>25.5</v>
      </c>
      <c r="J189" s="15" t="n">
        <f aca="false">AF189*評分方法!$C$6</f>
        <v>0</v>
      </c>
      <c r="K189" s="15" t="n">
        <f aca="false">AG189*評分方法!$C$7</f>
        <v>15</v>
      </c>
      <c r="L189" s="15" t="n">
        <f aca="false">AH189*評分方法!$C$8</f>
        <v>9</v>
      </c>
      <c r="M189" s="15" t="n">
        <f aca="false">AI189*評分方法!$C$9</f>
        <v>10</v>
      </c>
      <c r="N189" s="15" t="n">
        <f aca="false">AJ189*評分方法!$C$10</f>
        <v>8.376</v>
      </c>
      <c r="O189" s="15" t="n">
        <f aca="false">AK189*評分方法!$C$11</f>
        <v>5</v>
      </c>
      <c r="P189" s="15" t="n">
        <f aca="false">AL189*評分方法!$C$12</f>
        <v>3</v>
      </c>
      <c r="Q189" s="6" t="n">
        <v>2022542</v>
      </c>
      <c r="R189" s="6" t="n">
        <v>25805936206</v>
      </c>
      <c r="S189" s="11" t="s">
        <v>389</v>
      </c>
      <c r="T189" s="11" t="s">
        <v>239</v>
      </c>
      <c r="U189" s="5" t="s">
        <v>240</v>
      </c>
      <c r="V189" s="11" t="s">
        <v>261</v>
      </c>
      <c r="W189" s="5" t="s">
        <v>205</v>
      </c>
      <c r="X189" s="5" t="s">
        <v>371</v>
      </c>
      <c r="Y189" s="5"/>
      <c r="Z189" s="5"/>
      <c r="AA189" s="11" t="s">
        <v>156</v>
      </c>
      <c r="AB189" s="5" t="s">
        <v>245</v>
      </c>
      <c r="AC189" s="5"/>
      <c r="AD189" s="11" t="s">
        <v>739</v>
      </c>
      <c r="AE189" s="23" t="n">
        <v>0.85</v>
      </c>
      <c r="AF189" s="23" t="n">
        <v>0</v>
      </c>
      <c r="AG189" s="23" t="n">
        <v>1</v>
      </c>
      <c r="AH189" s="23" t="n">
        <v>0.6</v>
      </c>
      <c r="AI189" s="23" t="n">
        <v>1</v>
      </c>
      <c r="AJ189" s="23" t="n">
        <v>0.8376</v>
      </c>
      <c r="AK189" s="23" t="n">
        <v>1</v>
      </c>
      <c r="AL189" s="23" t="n">
        <v>0.6</v>
      </c>
      <c r="AM189" s="16" t="n">
        <f aca="false">COUNTIFS($D$2:$D$2501,D189,$G$2:$G$2501,"&gt;"&amp;G189)+COUNTIFS($D$2:D189,D189,$G$2:G189,G189)</f>
        <v>67</v>
      </c>
      <c r="AN189" s="5" t="str">
        <f aca="false">D189&amp;"|"&amp;AM189</f>
        <v>分析與報告生成|67</v>
      </c>
    </row>
    <row r="190" customFormat="false" ht="17.15" hidden="false" customHeight="false" outlineLevel="0" collapsed="false">
      <c r="A190" s="16" t="n">
        <f aca="false">RANK(G190,$G$2:$G$2501)+COUNTIF($G$2:G190,G190)-1</f>
        <v>189</v>
      </c>
      <c r="B190" s="11" t="s">
        <v>740</v>
      </c>
      <c r="C190" s="11" t="s">
        <v>461</v>
      </c>
      <c r="D190" s="5" t="s">
        <v>54</v>
      </c>
      <c r="E190" s="5" t="s">
        <v>55</v>
      </c>
      <c r="F190" s="5"/>
      <c r="G190" s="22" t="n">
        <f aca="false">ROUND(SUM(I190:P190),3)</f>
        <v>75.788</v>
      </c>
      <c r="H190" s="5" t="str">
        <f aca="false">IF(G190&gt;=評分方法!$C$16,"優先評估",IF(G190&gt;=評分方法!$C$17,"列入候選",IF(G190&gt;=評分方法!$C$18,"特定情境","不建議")))</f>
        <v>列入候選</v>
      </c>
      <c r="I190" s="15" t="n">
        <f aca="false">AE190*評分方法!$C$5</f>
        <v>27</v>
      </c>
      <c r="J190" s="15" t="n">
        <f aca="false">AF190*評分方法!$C$6</f>
        <v>0</v>
      </c>
      <c r="K190" s="15" t="n">
        <f aca="false">AG190*評分方法!$C$7</f>
        <v>15</v>
      </c>
      <c r="L190" s="15" t="n">
        <f aca="false">AH190*評分方法!$C$8</f>
        <v>15</v>
      </c>
      <c r="M190" s="15" t="n">
        <f aca="false">AI190*評分方法!$C$9</f>
        <v>6</v>
      </c>
      <c r="N190" s="15" t="n">
        <f aca="false">AJ190*評分方法!$C$10</f>
        <v>2.788</v>
      </c>
      <c r="O190" s="15" t="n">
        <f aca="false">AK190*評分方法!$C$11</f>
        <v>5</v>
      </c>
      <c r="P190" s="15" t="n">
        <f aca="false">AL190*評分方法!$C$12</f>
        <v>5</v>
      </c>
      <c r="Q190" s="6" t="n">
        <v>273054</v>
      </c>
      <c r="R190" s="6" t="n">
        <v>353322752</v>
      </c>
      <c r="S190" s="11" t="s">
        <v>238</v>
      </c>
      <c r="T190" s="11" t="s">
        <v>185</v>
      </c>
      <c r="U190" s="5" t="s">
        <v>260</v>
      </c>
      <c r="V190" s="11" t="s">
        <v>261</v>
      </c>
      <c r="W190" s="5" t="s">
        <v>205</v>
      </c>
      <c r="X190" s="5" t="s">
        <v>284</v>
      </c>
      <c r="Y190" s="5"/>
      <c r="Z190" s="5"/>
      <c r="AA190" s="11" t="s">
        <v>152</v>
      </c>
      <c r="AB190" s="5" t="s">
        <v>245</v>
      </c>
      <c r="AC190" s="5" t="s">
        <v>262</v>
      </c>
      <c r="AD190" s="11" t="s">
        <v>741</v>
      </c>
      <c r="AE190" s="23" t="n">
        <v>0.9</v>
      </c>
      <c r="AF190" s="23" t="n">
        <v>0</v>
      </c>
      <c r="AG190" s="23" t="n">
        <v>1</v>
      </c>
      <c r="AH190" s="23" t="n">
        <v>1</v>
      </c>
      <c r="AI190" s="23" t="n">
        <v>0.6</v>
      </c>
      <c r="AJ190" s="23" t="n">
        <v>0.2788</v>
      </c>
      <c r="AK190" s="23" t="n">
        <v>1</v>
      </c>
      <c r="AL190" s="23" t="n">
        <v>1</v>
      </c>
      <c r="AM190" s="16" t="n">
        <f aca="false">COUNTIFS($D$2:$D$2501,D190,$G$2:$G$2501,"&gt;"&amp;G190)+COUNTIFS($D$2:D190,D190,$G$2:G190,G190)</f>
        <v>72</v>
      </c>
      <c r="AN190" s="5" t="str">
        <f aca="false">D190&amp;"|"&amp;AM190</f>
        <v>檢索與情資關聯|72</v>
      </c>
    </row>
    <row r="191" customFormat="false" ht="17.15" hidden="false" customHeight="false" outlineLevel="0" collapsed="false">
      <c r="A191" s="16" t="n">
        <f aca="false">RANK(G191,$G$2:$G$2501)+COUNTIF($G$2:G191,G191)-1</f>
        <v>190</v>
      </c>
      <c r="B191" s="11" t="s">
        <v>589</v>
      </c>
      <c r="C191" s="11" t="s">
        <v>417</v>
      </c>
      <c r="D191" s="5" t="s">
        <v>56</v>
      </c>
      <c r="E191" s="5" t="s">
        <v>57</v>
      </c>
      <c r="F191" s="5"/>
      <c r="G191" s="22" t="n">
        <f aca="false">ROUND(SUM(I191:P191),3)</f>
        <v>75.78</v>
      </c>
      <c r="H191" s="5" t="str">
        <f aca="false">IF(G191&gt;=評分方法!$C$16,"優先評估",IF(G191&gt;=評分方法!$C$17,"列入候選",IF(G191&gt;=評分方法!$C$18,"特定情境","不建議")))</f>
        <v>列入候選</v>
      </c>
      <c r="I191" s="15" t="n">
        <f aca="false">AE191*評分方法!$C$5</f>
        <v>25.5</v>
      </c>
      <c r="J191" s="15" t="n">
        <f aca="false">AF191*評分方法!$C$6</f>
        <v>0</v>
      </c>
      <c r="K191" s="15" t="n">
        <f aca="false">AG191*評分方法!$C$7</f>
        <v>15</v>
      </c>
      <c r="L191" s="15" t="n">
        <f aca="false">AH191*評分方法!$C$8</f>
        <v>15</v>
      </c>
      <c r="M191" s="15" t="n">
        <f aca="false">AI191*評分方法!$C$9</f>
        <v>10</v>
      </c>
      <c r="N191" s="15" t="n">
        <f aca="false">AJ191*評分方法!$C$10</f>
        <v>7.78</v>
      </c>
      <c r="O191" s="15" t="n">
        <f aca="false">AK191*評分方法!$C$11</f>
        <v>2.5</v>
      </c>
      <c r="P191" s="15" t="n">
        <f aca="false">AL191*評分方法!$C$12</f>
        <v>0</v>
      </c>
      <c r="Q191" s="6" t="n">
        <v>1359813</v>
      </c>
      <c r="R191" s="6" t="n">
        <v>507482304</v>
      </c>
      <c r="S191" s="11" t="s">
        <v>238</v>
      </c>
      <c r="T191" s="11" t="s">
        <v>239</v>
      </c>
      <c r="U191" s="5" t="s">
        <v>240</v>
      </c>
      <c r="V191" s="11" t="s">
        <v>241</v>
      </c>
      <c r="W191" s="5" t="s">
        <v>205</v>
      </c>
      <c r="X191" s="5" t="s">
        <v>242</v>
      </c>
      <c r="Y191" s="11" t="s">
        <v>717</v>
      </c>
      <c r="Z191" s="11" t="s">
        <v>244</v>
      </c>
      <c r="AA191" s="11" t="s">
        <v>156</v>
      </c>
      <c r="AB191" s="5" t="s">
        <v>245</v>
      </c>
      <c r="AC191" s="5" t="s">
        <v>246</v>
      </c>
      <c r="AD191" s="11" t="s">
        <v>742</v>
      </c>
      <c r="AE191" s="23" t="n">
        <v>0.85</v>
      </c>
      <c r="AF191" s="23" t="n">
        <v>0</v>
      </c>
      <c r="AG191" s="23" t="n">
        <v>1</v>
      </c>
      <c r="AH191" s="23" t="n">
        <v>1</v>
      </c>
      <c r="AI191" s="23" t="n">
        <v>1</v>
      </c>
      <c r="AJ191" s="23" t="n">
        <v>0.778</v>
      </c>
      <c r="AK191" s="23" t="n">
        <v>0.5</v>
      </c>
      <c r="AL191" s="23" t="n">
        <v>0</v>
      </c>
      <c r="AM191" s="16" t="n">
        <f aca="false">COUNTIFS($D$2:$D$2501,D191,$G$2:$G$2501,"&gt;"&amp;G191)+COUNTIFS($D$2:D191,D191,$G$2:G191,G191)</f>
        <v>68</v>
      </c>
      <c r="AN191" s="5" t="str">
        <f aca="false">D191&amp;"|"&amp;AM191</f>
        <v>分析與報告生成|68</v>
      </c>
    </row>
    <row r="192" customFormat="false" ht="17.15" hidden="false" customHeight="false" outlineLevel="0" collapsed="false">
      <c r="A192" s="16" t="n">
        <f aca="false">RANK(G192,$G$2:$G$2501)+COUNTIF($G$2:G192,G192)-1</f>
        <v>191</v>
      </c>
      <c r="B192" s="11" t="s">
        <v>743</v>
      </c>
      <c r="C192" s="11" t="s">
        <v>302</v>
      </c>
      <c r="D192" s="5" t="s">
        <v>54</v>
      </c>
      <c r="E192" s="5" t="s">
        <v>55</v>
      </c>
      <c r="F192" s="5"/>
      <c r="G192" s="22" t="n">
        <f aca="false">ROUND(SUM(I192:P192),3)</f>
        <v>75.748</v>
      </c>
      <c r="H192" s="5" t="str">
        <f aca="false">IF(G192&gt;=評分方法!$C$16,"優先評估",IF(G192&gt;=評分方法!$C$17,"列入候選",IF(G192&gt;=評分方法!$C$18,"特定情境","不建議")))</f>
        <v>列入候選</v>
      </c>
      <c r="I192" s="15" t="n">
        <f aca="false">AE192*評分方法!$C$5</f>
        <v>27</v>
      </c>
      <c r="J192" s="15" t="n">
        <f aca="false">AF192*評分方法!$C$6</f>
        <v>0</v>
      </c>
      <c r="K192" s="15" t="n">
        <f aca="false">AG192*評分方法!$C$7</f>
        <v>15</v>
      </c>
      <c r="L192" s="15" t="n">
        <f aca="false">AH192*評分方法!$C$8</f>
        <v>15</v>
      </c>
      <c r="M192" s="15" t="n">
        <f aca="false">AI192*評分方法!$C$9</f>
        <v>10</v>
      </c>
      <c r="N192" s="15" t="n">
        <f aca="false">AJ192*評分方法!$C$10</f>
        <v>6.248</v>
      </c>
      <c r="O192" s="15" t="n">
        <f aca="false">AK192*評分方法!$C$11</f>
        <v>2.5</v>
      </c>
      <c r="P192" s="15" t="n">
        <f aca="false">AL192*評分方法!$C$12</f>
        <v>0</v>
      </c>
      <c r="Q192" s="6" t="n">
        <v>679599</v>
      </c>
      <c r="R192" s="6" t="n">
        <v>82119683</v>
      </c>
      <c r="S192" s="11" t="s">
        <v>238</v>
      </c>
      <c r="T192" s="11" t="s">
        <v>239</v>
      </c>
      <c r="U192" s="5" t="s">
        <v>240</v>
      </c>
      <c r="V192" s="11" t="s">
        <v>356</v>
      </c>
      <c r="W192" s="5" t="s">
        <v>205</v>
      </c>
      <c r="X192" s="5" t="s">
        <v>242</v>
      </c>
      <c r="Y192" s="11" t="s">
        <v>744</v>
      </c>
      <c r="Z192" s="11" t="s">
        <v>244</v>
      </c>
      <c r="AA192" s="11" t="s">
        <v>154</v>
      </c>
      <c r="AB192" s="5" t="s">
        <v>245</v>
      </c>
      <c r="AC192" s="5" t="s">
        <v>246</v>
      </c>
      <c r="AD192" s="11" t="s">
        <v>745</v>
      </c>
      <c r="AE192" s="23" t="n">
        <v>0.9</v>
      </c>
      <c r="AF192" s="23" t="n">
        <v>0</v>
      </c>
      <c r="AG192" s="23" t="n">
        <v>1</v>
      </c>
      <c r="AH192" s="23" t="n">
        <v>1</v>
      </c>
      <c r="AI192" s="23" t="n">
        <v>1</v>
      </c>
      <c r="AJ192" s="23" t="n">
        <v>0.6248</v>
      </c>
      <c r="AK192" s="23" t="n">
        <v>0.5</v>
      </c>
      <c r="AL192" s="23" t="n">
        <v>0</v>
      </c>
      <c r="AM192" s="16" t="n">
        <f aca="false">COUNTIFS($D$2:$D$2501,D192,$G$2:$G$2501,"&gt;"&amp;G192)+COUNTIFS($D$2:D192,D192,$G$2:G192,G192)</f>
        <v>73</v>
      </c>
      <c r="AN192" s="5" t="str">
        <f aca="false">D192&amp;"|"&amp;AM192</f>
        <v>檢索與情資關聯|73</v>
      </c>
    </row>
    <row r="193" customFormat="false" ht="17.15" hidden="false" customHeight="false" outlineLevel="0" collapsed="false">
      <c r="A193" s="16" t="n">
        <f aca="false">RANK(G193,$G$2:$G$2501)+COUNTIF($G$2:G193,G193)-1</f>
        <v>192</v>
      </c>
      <c r="B193" s="11" t="s">
        <v>718</v>
      </c>
      <c r="C193" s="11" t="s">
        <v>417</v>
      </c>
      <c r="D193" s="5" t="s">
        <v>56</v>
      </c>
      <c r="E193" s="5" t="s">
        <v>57</v>
      </c>
      <c r="F193" s="5"/>
      <c r="G193" s="22" t="n">
        <f aca="false">ROUND(SUM(I193:P193),3)</f>
        <v>75.74</v>
      </c>
      <c r="H193" s="5" t="str">
        <f aca="false">IF(G193&gt;=評分方法!$C$16,"優先評估",IF(G193&gt;=評分方法!$C$17,"列入候選",IF(G193&gt;=評分方法!$C$18,"特定情境","不建議")))</f>
        <v>列入候選</v>
      </c>
      <c r="I193" s="15" t="n">
        <f aca="false">AE193*評分方法!$C$5</f>
        <v>25.5</v>
      </c>
      <c r="J193" s="15" t="n">
        <f aca="false">AF193*評分方法!$C$6</f>
        <v>0</v>
      </c>
      <c r="K193" s="15" t="n">
        <f aca="false">AG193*評分方法!$C$7</f>
        <v>15</v>
      </c>
      <c r="L193" s="15" t="n">
        <f aca="false">AH193*評分方法!$C$8</f>
        <v>15</v>
      </c>
      <c r="M193" s="15" t="n">
        <f aca="false">AI193*評分方法!$C$9</f>
        <v>10</v>
      </c>
      <c r="N193" s="15" t="n">
        <f aca="false">AJ193*評分方法!$C$10</f>
        <v>7.74</v>
      </c>
      <c r="O193" s="15" t="n">
        <f aca="false">AK193*評分方法!$C$11</f>
        <v>2.5</v>
      </c>
      <c r="P193" s="15" t="n">
        <f aca="false">AL193*評分方法!$C$12</f>
        <v>0</v>
      </c>
      <c r="Q193" s="6" t="n">
        <v>1319898</v>
      </c>
      <c r="R193" s="6" t="n">
        <v>361821120</v>
      </c>
      <c r="S193" s="11" t="s">
        <v>238</v>
      </c>
      <c r="T193" s="11" t="s">
        <v>239</v>
      </c>
      <c r="U193" s="5" t="s">
        <v>240</v>
      </c>
      <c r="V193" s="11" t="s">
        <v>261</v>
      </c>
      <c r="W193" s="5" t="s">
        <v>205</v>
      </c>
      <c r="X193" s="5" t="s">
        <v>242</v>
      </c>
      <c r="Y193" s="5"/>
      <c r="Z193" s="5"/>
      <c r="AA193" s="11" t="s">
        <v>155</v>
      </c>
      <c r="AB193" s="5" t="s">
        <v>245</v>
      </c>
      <c r="AC193" s="5"/>
      <c r="AD193" s="11" t="s">
        <v>746</v>
      </c>
      <c r="AE193" s="23" t="n">
        <v>0.85</v>
      </c>
      <c r="AF193" s="23" t="n">
        <v>0</v>
      </c>
      <c r="AG193" s="23" t="n">
        <v>1</v>
      </c>
      <c r="AH193" s="23" t="n">
        <v>1</v>
      </c>
      <c r="AI193" s="23" t="n">
        <v>1</v>
      </c>
      <c r="AJ193" s="23" t="n">
        <v>0.774</v>
      </c>
      <c r="AK193" s="23" t="n">
        <v>0.5</v>
      </c>
      <c r="AL193" s="23" t="n">
        <v>0</v>
      </c>
      <c r="AM193" s="16" t="n">
        <f aca="false">COUNTIFS($D$2:$D$2501,D193,$G$2:$G$2501,"&gt;"&amp;G193)+COUNTIFS($D$2:D193,D193,$G$2:G193,G193)</f>
        <v>69</v>
      </c>
      <c r="AN193" s="5" t="str">
        <f aca="false">D193&amp;"|"&amp;AM193</f>
        <v>分析與報告生成|69</v>
      </c>
    </row>
    <row r="194" customFormat="false" ht="17.15" hidden="false" customHeight="false" outlineLevel="0" collapsed="false">
      <c r="A194" s="16" t="n">
        <f aca="false">RANK(G194,$G$2:$G$2501)+COUNTIF($G$2:G194,G194)-1</f>
        <v>193</v>
      </c>
      <c r="B194" s="11" t="s">
        <v>747</v>
      </c>
      <c r="C194" s="11" t="s">
        <v>302</v>
      </c>
      <c r="D194" s="5" t="s">
        <v>66</v>
      </c>
      <c r="E194" s="5" t="s">
        <v>67</v>
      </c>
      <c r="F194" s="5"/>
      <c r="G194" s="22" t="n">
        <f aca="false">ROUND(SUM(I194:P194),3)</f>
        <v>75.708</v>
      </c>
      <c r="H194" s="5" t="str">
        <f aca="false">IF(G194&gt;=評分方法!$C$16,"優先評估",IF(G194&gt;=評分方法!$C$17,"列入候選",IF(G194&gt;=評分方法!$C$18,"特定情境","不建議")))</f>
        <v>列入候選</v>
      </c>
      <c r="I194" s="15" t="n">
        <f aca="false">AE194*評分方法!$C$5</f>
        <v>27</v>
      </c>
      <c r="J194" s="15" t="n">
        <f aca="false">AF194*評分方法!$C$6</f>
        <v>0</v>
      </c>
      <c r="K194" s="15" t="n">
        <f aca="false">AG194*評分方法!$C$7</f>
        <v>15</v>
      </c>
      <c r="L194" s="15" t="n">
        <f aca="false">AH194*評分方法!$C$8</f>
        <v>15</v>
      </c>
      <c r="M194" s="15" t="n">
        <f aca="false">AI194*評分方法!$C$9</f>
        <v>10</v>
      </c>
      <c r="N194" s="15" t="n">
        <f aca="false">AJ194*評分方法!$C$10</f>
        <v>6.208</v>
      </c>
      <c r="O194" s="15" t="n">
        <f aca="false">AK194*評分方法!$C$11</f>
        <v>2.5</v>
      </c>
      <c r="P194" s="15" t="n">
        <f aca="false">AL194*評分方法!$C$12</f>
        <v>0</v>
      </c>
      <c r="Q194" s="6" t="n">
        <v>670813</v>
      </c>
      <c r="R194" s="6" t="n">
        <v>70831619</v>
      </c>
      <c r="S194" s="11" t="s">
        <v>238</v>
      </c>
      <c r="T194" s="11" t="s">
        <v>239</v>
      </c>
      <c r="U194" s="5" t="s">
        <v>240</v>
      </c>
      <c r="V194" s="11" t="s">
        <v>288</v>
      </c>
      <c r="W194" s="5" t="s">
        <v>205</v>
      </c>
      <c r="X194" s="5" t="s">
        <v>242</v>
      </c>
      <c r="Y194" s="11" t="s">
        <v>748</v>
      </c>
      <c r="Z194" s="11" t="s">
        <v>244</v>
      </c>
      <c r="AA194" s="11" t="s">
        <v>151</v>
      </c>
      <c r="AB194" s="5" t="s">
        <v>245</v>
      </c>
      <c r="AC194" s="5" t="s">
        <v>246</v>
      </c>
      <c r="AD194" s="11" t="s">
        <v>749</v>
      </c>
      <c r="AE194" s="23" t="n">
        <v>0.9</v>
      </c>
      <c r="AF194" s="23" t="n">
        <v>0</v>
      </c>
      <c r="AG194" s="23" t="n">
        <v>1</v>
      </c>
      <c r="AH194" s="23" t="n">
        <v>1</v>
      </c>
      <c r="AI194" s="23" t="n">
        <v>1</v>
      </c>
      <c r="AJ194" s="23" t="n">
        <v>0.6208</v>
      </c>
      <c r="AK194" s="23" t="n">
        <v>0.5</v>
      </c>
      <c r="AL194" s="23" t="n">
        <v>0</v>
      </c>
      <c r="AM194" s="16" t="n">
        <f aca="false">COUNTIFS($D$2:$D$2501,D194,$G$2:$G$2501,"&gt;"&amp;G194)+COUNTIFS($D$2:D194,D194,$G$2:G194,G194)</f>
        <v>7</v>
      </c>
      <c r="AN194" s="5" t="str">
        <f aca="false">D194&amp;"|"&amp;AM194</f>
        <v>分類與偵測|7</v>
      </c>
    </row>
    <row r="195" customFormat="false" ht="17.15" hidden="false" customHeight="false" outlineLevel="0" collapsed="false">
      <c r="A195" s="16" t="n">
        <f aca="false">RANK(G195,$G$2:$G$2501)+COUNTIF($G$2:G195,G195)-1</f>
        <v>194</v>
      </c>
      <c r="B195" s="11" t="s">
        <v>750</v>
      </c>
      <c r="C195" s="11" t="s">
        <v>327</v>
      </c>
      <c r="D195" s="5" t="s">
        <v>56</v>
      </c>
      <c r="E195" s="5" t="s">
        <v>57</v>
      </c>
      <c r="F195" s="5"/>
      <c r="G195" s="22" t="n">
        <f aca="false">ROUND(SUM(I195:P195),3)</f>
        <v>75.702</v>
      </c>
      <c r="H195" s="5" t="str">
        <f aca="false">IF(G195&gt;=評分方法!$C$16,"優先評估",IF(G195&gt;=評分方法!$C$17,"列入候選",IF(G195&gt;=評分方法!$C$18,"特定情境","不建議")))</f>
        <v>列入候選</v>
      </c>
      <c r="I195" s="15" t="n">
        <f aca="false">AE195*評分方法!$C$5</f>
        <v>25.5</v>
      </c>
      <c r="J195" s="15" t="n">
        <f aca="false">AF195*評分方法!$C$6</f>
        <v>0</v>
      </c>
      <c r="K195" s="15" t="n">
        <f aca="false">AG195*評分方法!$C$7</f>
        <v>15</v>
      </c>
      <c r="L195" s="15" t="n">
        <f aca="false">AH195*評分方法!$C$8</f>
        <v>13.05</v>
      </c>
      <c r="M195" s="15" t="n">
        <f aca="false">AI195*評分方法!$C$9</f>
        <v>6</v>
      </c>
      <c r="N195" s="15" t="n">
        <f aca="false">AJ195*評分方法!$C$10</f>
        <v>9.152</v>
      </c>
      <c r="O195" s="15" t="n">
        <f aca="false">AK195*評分方法!$C$11</f>
        <v>4</v>
      </c>
      <c r="P195" s="15" t="n">
        <f aca="false">AL195*評分方法!$C$12</f>
        <v>3</v>
      </c>
      <c r="Q195" s="6" t="n">
        <v>4729688</v>
      </c>
      <c r="R195" s="6" t="n">
        <v>8721768454</v>
      </c>
      <c r="S195" s="11" t="s">
        <v>254</v>
      </c>
      <c r="T195" s="11" t="s">
        <v>185</v>
      </c>
      <c r="U195" s="5" t="s">
        <v>260</v>
      </c>
      <c r="V195" s="11" t="s">
        <v>261</v>
      </c>
      <c r="W195" s="5" t="s">
        <v>205</v>
      </c>
      <c r="X195" s="5" t="s">
        <v>371</v>
      </c>
      <c r="Y195" s="5"/>
      <c r="Z195" s="5"/>
      <c r="AA195" s="11" t="s">
        <v>156</v>
      </c>
      <c r="AB195" s="5" t="s">
        <v>245</v>
      </c>
      <c r="AC195" s="5" t="s">
        <v>262</v>
      </c>
      <c r="AD195" s="11" t="s">
        <v>751</v>
      </c>
      <c r="AE195" s="23" t="n">
        <v>0.85</v>
      </c>
      <c r="AF195" s="23" t="n">
        <v>0</v>
      </c>
      <c r="AG195" s="23" t="n">
        <v>1</v>
      </c>
      <c r="AH195" s="23" t="n">
        <v>0.87</v>
      </c>
      <c r="AI195" s="23" t="n">
        <v>0.6</v>
      </c>
      <c r="AJ195" s="23" t="n">
        <v>0.9152</v>
      </c>
      <c r="AK195" s="23" t="n">
        <v>0.8</v>
      </c>
      <c r="AL195" s="23" t="n">
        <v>0.6</v>
      </c>
      <c r="AM195" s="16" t="n">
        <f aca="false">COUNTIFS($D$2:$D$2501,D195,$G$2:$G$2501,"&gt;"&amp;G195)+COUNTIFS($D$2:D195,D195,$G$2:G195,G195)</f>
        <v>70</v>
      </c>
      <c r="AN195" s="5" t="str">
        <f aca="false">D195&amp;"|"&amp;AM195</f>
        <v>分析與報告生成|70</v>
      </c>
    </row>
    <row r="196" customFormat="false" ht="17.15" hidden="false" customHeight="false" outlineLevel="0" collapsed="false">
      <c r="A196" s="16" t="n">
        <f aca="false">RANK(G196,$G$2:$G$2501)+COUNTIF($G$2:G196,G196)-1</f>
        <v>195</v>
      </c>
      <c r="B196" s="11" t="s">
        <v>752</v>
      </c>
      <c r="C196" s="11" t="s">
        <v>753</v>
      </c>
      <c r="D196" s="5" t="s">
        <v>56</v>
      </c>
      <c r="E196" s="5" t="s">
        <v>57</v>
      </c>
      <c r="F196" s="5"/>
      <c r="G196" s="22" t="n">
        <f aca="false">ROUND(SUM(I196:P196),3)</f>
        <v>75.692</v>
      </c>
      <c r="H196" s="5" t="str">
        <f aca="false">IF(G196&gt;=評分方法!$C$16,"優先評估",IF(G196&gt;=評分方法!$C$17,"列入候選",IF(G196&gt;=評分方法!$C$18,"特定情境","不建議")))</f>
        <v>列入候選</v>
      </c>
      <c r="I196" s="15" t="n">
        <f aca="false">AE196*評分方法!$C$5</f>
        <v>25.5</v>
      </c>
      <c r="J196" s="15" t="n">
        <f aca="false">AF196*評分方法!$C$6</f>
        <v>0</v>
      </c>
      <c r="K196" s="15" t="n">
        <f aca="false">AG196*評分方法!$C$7</f>
        <v>10.05</v>
      </c>
      <c r="L196" s="15" t="n">
        <f aca="false">AH196*評分方法!$C$8</f>
        <v>13.05</v>
      </c>
      <c r="M196" s="15" t="n">
        <f aca="false">AI196*評分方法!$C$9</f>
        <v>10</v>
      </c>
      <c r="N196" s="15" t="n">
        <f aca="false">AJ196*評分方法!$C$10</f>
        <v>9.092</v>
      </c>
      <c r="O196" s="15" t="n">
        <f aca="false">AK196*評分方法!$C$11</f>
        <v>5</v>
      </c>
      <c r="P196" s="15" t="n">
        <f aca="false">AL196*評分方法!$C$12</f>
        <v>3</v>
      </c>
      <c r="Q196" s="6" t="n">
        <v>4404008</v>
      </c>
      <c r="R196" s="6" t="n">
        <v>7518069290</v>
      </c>
      <c r="S196" s="11" t="s">
        <v>254</v>
      </c>
      <c r="T196" s="11" t="s">
        <v>239</v>
      </c>
      <c r="U196" s="5" t="s">
        <v>240</v>
      </c>
      <c r="V196" s="11" t="s">
        <v>333</v>
      </c>
      <c r="W196" s="5" t="s">
        <v>207</v>
      </c>
      <c r="X196" s="5" t="s">
        <v>371</v>
      </c>
      <c r="Y196" s="11" t="s">
        <v>422</v>
      </c>
      <c r="Z196" s="11" t="s">
        <v>244</v>
      </c>
      <c r="AA196" s="11" t="s">
        <v>156</v>
      </c>
      <c r="AB196" s="5" t="s">
        <v>245</v>
      </c>
      <c r="AC196" s="5" t="s">
        <v>246</v>
      </c>
      <c r="AD196" s="11" t="s">
        <v>754</v>
      </c>
      <c r="AE196" s="23" t="n">
        <v>0.85</v>
      </c>
      <c r="AF196" s="23" t="n">
        <v>0</v>
      </c>
      <c r="AG196" s="23" t="n">
        <v>0.67</v>
      </c>
      <c r="AH196" s="23" t="n">
        <v>0.87</v>
      </c>
      <c r="AI196" s="23" t="n">
        <v>1</v>
      </c>
      <c r="AJ196" s="23" t="n">
        <v>0.9092</v>
      </c>
      <c r="AK196" s="23" t="n">
        <v>1</v>
      </c>
      <c r="AL196" s="23" t="n">
        <v>0.6</v>
      </c>
      <c r="AM196" s="16" t="n">
        <f aca="false">COUNTIFS($D$2:$D$2501,D196,$G$2:$G$2501,"&gt;"&amp;G196)+COUNTIFS($D$2:D196,D196,$G$2:G196,G196)</f>
        <v>71</v>
      </c>
      <c r="AN196" s="5" t="str">
        <f aca="false">D196&amp;"|"&amp;AM196</f>
        <v>分析與報告生成|71</v>
      </c>
    </row>
    <row r="197" customFormat="false" ht="17.15" hidden="false" customHeight="false" outlineLevel="0" collapsed="false">
      <c r="A197" s="16" t="n">
        <f aca="false">RANK(G197,$G$2:$G$2501)+COUNTIF($G$2:G197,G197)-1</f>
        <v>196</v>
      </c>
      <c r="B197" s="11" t="s">
        <v>755</v>
      </c>
      <c r="C197" s="11" t="s">
        <v>368</v>
      </c>
      <c r="D197" s="5" t="s">
        <v>56</v>
      </c>
      <c r="E197" s="5" t="s">
        <v>57</v>
      </c>
      <c r="F197" s="5"/>
      <c r="G197" s="22" t="n">
        <f aca="false">ROUND(SUM(I197:P197),3)</f>
        <v>75.672</v>
      </c>
      <c r="H197" s="5" t="str">
        <f aca="false">IF(G197&gt;=評分方法!$C$16,"優先評估",IF(G197&gt;=評分方法!$C$17,"列入候選",IF(G197&gt;=評分方法!$C$18,"特定情境","不建議")))</f>
        <v>列入候選</v>
      </c>
      <c r="I197" s="15" t="n">
        <f aca="false">AE197*評分方法!$C$5</f>
        <v>24</v>
      </c>
      <c r="J197" s="15" t="n">
        <f aca="false">AF197*評分方法!$C$6</f>
        <v>0</v>
      </c>
      <c r="K197" s="15" t="n">
        <f aca="false">AG197*評分方法!$C$7</f>
        <v>15</v>
      </c>
      <c r="L197" s="15" t="n">
        <f aca="false">AH197*評分方法!$C$8</f>
        <v>9</v>
      </c>
      <c r="M197" s="15" t="n">
        <f aca="false">AI197*評分方法!$C$9</f>
        <v>10</v>
      </c>
      <c r="N197" s="15" t="n">
        <f aca="false">AJ197*評分方法!$C$10</f>
        <v>9.672</v>
      </c>
      <c r="O197" s="15" t="n">
        <f aca="false">AK197*評分方法!$C$11</f>
        <v>5</v>
      </c>
      <c r="P197" s="15" t="n">
        <f aca="false">AL197*評分方法!$C$12</f>
        <v>3</v>
      </c>
      <c r="Q197" s="6" t="n">
        <v>13063885</v>
      </c>
      <c r="R197" s="6" t="n">
        <v>11959730224</v>
      </c>
      <c r="S197" s="11" t="s">
        <v>389</v>
      </c>
      <c r="T197" s="11" t="s">
        <v>239</v>
      </c>
      <c r="U197" s="5" t="s">
        <v>240</v>
      </c>
      <c r="V197" s="11" t="s">
        <v>261</v>
      </c>
      <c r="W197" s="5" t="s">
        <v>205</v>
      </c>
      <c r="X197" s="5" t="s">
        <v>371</v>
      </c>
      <c r="Y197" s="11" t="s">
        <v>756</v>
      </c>
      <c r="Z197" s="11" t="s">
        <v>270</v>
      </c>
      <c r="AA197" s="11" t="s">
        <v>157</v>
      </c>
      <c r="AB197" s="5" t="s">
        <v>245</v>
      </c>
      <c r="AC197" s="5"/>
      <c r="AD197" s="11" t="s">
        <v>757</v>
      </c>
      <c r="AE197" s="23" t="n">
        <v>0.8</v>
      </c>
      <c r="AF197" s="23" t="n">
        <v>0</v>
      </c>
      <c r="AG197" s="23" t="n">
        <v>1</v>
      </c>
      <c r="AH197" s="23" t="n">
        <v>0.6</v>
      </c>
      <c r="AI197" s="23" t="n">
        <v>1</v>
      </c>
      <c r="AJ197" s="23" t="n">
        <v>0.9672</v>
      </c>
      <c r="AK197" s="23" t="n">
        <v>1</v>
      </c>
      <c r="AL197" s="23" t="n">
        <v>0.6</v>
      </c>
      <c r="AM197" s="16" t="n">
        <f aca="false">COUNTIFS($D$2:$D$2501,D197,$G$2:$G$2501,"&gt;"&amp;G197)+COUNTIFS($D$2:D197,D197,$G$2:G197,G197)</f>
        <v>72</v>
      </c>
      <c r="AN197" s="5" t="str">
        <f aca="false">D197&amp;"|"&amp;AM197</f>
        <v>分析與報告生成|72</v>
      </c>
    </row>
    <row r="198" customFormat="false" ht="17.15" hidden="false" customHeight="false" outlineLevel="0" collapsed="false">
      <c r="A198" s="16" t="n">
        <f aca="false">RANK(G198,$G$2:$G$2501)+COUNTIF($G$2:G198,G198)-1</f>
        <v>197</v>
      </c>
      <c r="B198" s="11" t="s">
        <v>758</v>
      </c>
      <c r="C198" s="11" t="s">
        <v>753</v>
      </c>
      <c r="D198" s="5" t="s">
        <v>56</v>
      </c>
      <c r="E198" s="5" t="s">
        <v>57</v>
      </c>
      <c r="F198" s="5"/>
      <c r="G198" s="22" t="n">
        <f aca="false">ROUND(SUM(I198:P198),3)</f>
        <v>75.664</v>
      </c>
      <c r="H198" s="5" t="str">
        <f aca="false">IF(G198&gt;=評分方法!$C$16,"優先評估",IF(G198&gt;=評分方法!$C$17,"列入候選",IF(G198&gt;=評分方法!$C$18,"特定情境","不建議")))</f>
        <v>列入候選</v>
      </c>
      <c r="I198" s="15" t="n">
        <f aca="false">AE198*評分方法!$C$5</f>
        <v>25.5</v>
      </c>
      <c r="J198" s="15" t="n">
        <f aca="false">AF198*評分方法!$C$6</f>
        <v>0</v>
      </c>
      <c r="K198" s="15" t="n">
        <f aca="false">AG198*評分方法!$C$7</f>
        <v>10.05</v>
      </c>
      <c r="L198" s="15" t="n">
        <f aca="false">AH198*評分方法!$C$8</f>
        <v>13.05</v>
      </c>
      <c r="M198" s="15" t="n">
        <f aca="false">AI198*評分方法!$C$9</f>
        <v>10</v>
      </c>
      <c r="N198" s="15" t="n">
        <f aca="false">AJ198*評分方法!$C$10</f>
        <v>9.064</v>
      </c>
      <c r="O198" s="15" t="n">
        <f aca="false">AK198*評分方法!$C$11</f>
        <v>5</v>
      </c>
      <c r="P198" s="15" t="n">
        <f aca="false">AL198*評分方法!$C$12</f>
        <v>3</v>
      </c>
      <c r="Q198" s="6" t="n">
        <v>4082802</v>
      </c>
      <c r="R198" s="6" t="n">
        <v>4647450147</v>
      </c>
      <c r="S198" s="11" t="s">
        <v>254</v>
      </c>
      <c r="T198" s="11" t="s">
        <v>239</v>
      </c>
      <c r="U198" s="5" t="s">
        <v>240</v>
      </c>
      <c r="V198" s="11" t="s">
        <v>333</v>
      </c>
      <c r="W198" s="5" t="s">
        <v>207</v>
      </c>
      <c r="X198" s="5" t="s">
        <v>371</v>
      </c>
      <c r="Y198" s="11" t="s">
        <v>425</v>
      </c>
      <c r="Z198" s="11" t="s">
        <v>244</v>
      </c>
      <c r="AA198" s="11" t="s">
        <v>156</v>
      </c>
      <c r="AB198" s="5" t="s">
        <v>245</v>
      </c>
      <c r="AC198" s="5" t="s">
        <v>246</v>
      </c>
      <c r="AD198" s="11" t="s">
        <v>759</v>
      </c>
      <c r="AE198" s="23" t="n">
        <v>0.85</v>
      </c>
      <c r="AF198" s="23" t="n">
        <v>0</v>
      </c>
      <c r="AG198" s="23" t="n">
        <v>0.67</v>
      </c>
      <c r="AH198" s="23" t="n">
        <v>0.87</v>
      </c>
      <c r="AI198" s="23" t="n">
        <v>1</v>
      </c>
      <c r="AJ198" s="23" t="n">
        <v>0.9064</v>
      </c>
      <c r="AK198" s="23" t="n">
        <v>1</v>
      </c>
      <c r="AL198" s="23" t="n">
        <v>0.6</v>
      </c>
      <c r="AM198" s="16" t="n">
        <f aca="false">COUNTIFS($D$2:$D$2501,D198,$G$2:$G$2501,"&gt;"&amp;G198)+COUNTIFS($D$2:D198,D198,$G$2:G198,G198)</f>
        <v>73</v>
      </c>
      <c r="AN198" s="5" t="str">
        <f aca="false">D198&amp;"|"&amp;AM198</f>
        <v>分析與報告生成|73</v>
      </c>
    </row>
    <row r="199" customFormat="false" ht="17.15" hidden="false" customHeight="false" outlineLevel="0" collapsed="false">
      <c r="A199" s="16" t="n">
        <f aca="false">RANK(G199,$G$2:$G$2501)+COUNTIF($G$2:G199,G199)-1</f>
        <v>198</v>
      </c>
      <c r="B199" s="11" t="s">
        <v>760</v>
      </c>
      <c r="C199" s="11" t="s">
        <v>461</v>
      </c>
      <c r="D199" s="5" t="s">
        <v>56</v>
      </c>
      <c r="E199" s="5" t="s">
        <v>57</v>
      </c>
      <c r="F199" s="5"/>
      <c r="G199" s="22" t="n">
        <f aca="false">ROUND(SUM(I199:P199),3)</f>
        <v>75.63</v>
      </c>
      <c r="H199" s="5" t="str">
        <f aca="false">IF(G199&gt;=評分方法!$C$16,"優先評估",IF(G199&gt;=評分方法!$C$17,"列入候選",IF(G199&gt;=評分方法!$C$18,"特定情境","不建議")))</f>
        <v>列入候選</v>
      </c>
      <c r="I199" s="15" t="n">
        <f aca="false">AE199*評分方法!$C$5</f>
        <v>25.5</v>
      </c>
      <c r="J199" s="15" t="n">
        <f aca="false">AF199*評分方法!$C$6</f>
        <v>0</v>
      </c>
      <c r="K199" s="15" t="n">
        <f aca="false">AG199*評分方法!$C$7</f>
        <v>15</v>
      </c>
      <c r="L199" s="15" t="n">
        <f aca="false">AH199*評分方法!$C$8</f>
        <v>13.05</v>
      </c>
      <c r="M199" s="15" t="n">
        <f aca="false">AI199*評分方法!$C$9</f>
        <v>6</v>
      </c>
      <c r="N199" s="15" t="n">
        <f aca="false">AJ199*評分方法!$C$10</f>
        <v>6.08</v>
      </c>
      <c r="O199" s="15" t="n">
        <f aca="false">AK199*評分方法!$C$11</f>
        <v>5</v>
      </c>
      <c r="P199" s="15" t="n">
        <f aca="false">AL199*評分方法!$C$12</f>
        <v>5</v>
      </c>
      <c r="Q199" s="6" t="n">
        <v>643367</v>
      </c>
      <c r="R199" s="6" t="n">
        <v>1170340608</v>
      </c>
      <c r="S199" s="11" t="s">
        <v>254</v>
      </c>
      <c r="T199" s="11" t="s">
        <v>185</v>
      </c>
      <c r="U199" s="5" t="s">
        <v>260</v>
      </c>
      <c r="V199" s="11" t="s">
        <v>261</v>
      </c>
      <c r="W199" s="5" t="s">
        <v>205</v>
      </c>
      <c r="X199" s="5" t="s">
        <v>284</v>
      </c>
      <c r="Y199" s="5"/>
      <c r="Z199" s="5"/>
      <c r="AA199" s="11" t="s">
        <v>155</v>
      </c>
      <c r="AB199" s="5" t="s">
        <v>245</v>
      </c>
      <c r="AC199" s="5" t="s">
        <v>262</v>
      </c>
      <c r="AD199" s="11" t="s">
        <v>761</v>
      </c>
      <c r="AE199" s="23" t="n">
        <v>0.85</v>
      </c>
      <c r="AF199" s="23" t="n">
        <v>0</v>
      </c>
      <c r="AG199" s="23" t="n">
        <v>1</v>
      </c>
      <c r="AH199" s="23" t="n">
        <v>0.87</v>
      </c>
      <c r="AI199" s="23" t="n">
        <v>0.6</v>
      </c>
      <c r="AJ199" s="23" t="n">
        <v>0.608</v>
      </c>
      <c r="AK199" s="23" t="n">
        <v>1</v>
      </c>
      <c r="AL199" s="23" t="n">
        <v>1</v>
      </c>
      <c r="AM199" s="16" t="n">
        <f aca="false">COUNTIFS($D$2:$D$2501,D199,$G$2:$G$2501,"&gt;"&amp;G199)+COUNTIFS($D$2:D199,D199,$G$2:G199,G199)</f>
        <v>74</v>
      </c>
      <c r="AN199" s="5" t="str">
        <f aca="false">D199&amp;"|"&amp;AM199</f>
        <v>分析與報告生成|74</v>
      </c>
    </row>
    <row r="200" customFormat="false" ht="17.15" hidden="false" customHeight="false" outlineLevel="0" collapsed="false">
      <c r="A200" s="16" t="n">
        <f aca="false">RANK(G200,$G$2:$G$2501)+COUNTIF($G$2:G200,G200)-1</f>
        <v>199</v>
      </c>
      <c r="B200" s="11" t="s">
        <v>762</v>
      </c>
      <c r="C200" s="11" t="s">
        <v>368</v>
      </c>
      <c r="D200" s="5" t="s">
        <v>56</v>
      </c>
      <c r="E200" s="5" t="s">
        <v>57</v>
      </c>
      <c r="F200" s="5"/>
      <c r="G200" s="22" t="n">
        <f aca="false">ROUND(SUM(I200:P200),3)</f>
        <v>75.6</v>
      </c>
      <c r="H200" s="5" t="str">
        <f aca="false">IF(G200&gt;=評分方法!$C$16,"優先評估",IF(G200&gt;=評分方法!$C$17,"列入候選",IF(G200&gt;=評分方法!$C$18,"特定情境","不建議")))</f>
        <v>列入候選</v>
      </c>
      <c r="I200" s="15" t="n">
        <f aca="false">AE200*評分方法!$C$5</f>
        <v>25.5</v>
      </c>
      <c r="J200" s="15" t="n">
        <f aca="false">AF200*評分方法!$C$6</f>
        <v>0</v>
      </c>
      <c r="K200" s="15" t="n">
        <f aca="false">AG200*評分方法!$C$7</f>
        <v>15</v>
      </c>
      <c r="L200" s="15" t="n">
        <f aca="false">AH200*評分方法!$C$8</f>
        <v>15</v>
      </c>
      <c r="M200" s="15" t="n">
        <f aca="false">AI200*評分方法!$C$9</f>
        <v>10</v>
      </c>
      <c r="N200" s="15" t="n">
        <f aca="false">AJ200*評分方法!$C$10</f>
        <v>2.1</v>
      </c>
      <c r="O200" s="15" t="n">
        <f aca="false">AK200*評分方法!$C$11</f>
        <v>5</v>
      </c>
      <c r="P200" s="15" t="n">
        <f aca="false">AL200*評分方法!$C$12</f>
        <v>3</v>
      </c>
      <c r="Q200" s="6" t="n">
        <v>217079</v>
      </c>
      <c r="R200" s="6" t="n">
        <v>469518596</v>
      </c>
      <c r="S200" s="11" t="s">
        <v>238</v>
      </c>
      <c r="T200" s="11" t="s">
        <v>239</v>
      </c>
      <c r="U200" s="5" t="s">
        <v>240</v>
      </c>
      <c r="V200" s="11" t="s">
        <v>261</v>
      </c>
      <c r="W200" s="5" t="s">
        <v>205</v>
      </c>
      <c r="X200" s="5" t="s">
        <v>371</v>
      </c>
      <c r="Y200" s="11" t="s">
        <v>370</v>
      </c>
      <c r="Z200" s="11" t="s">
        <v>270</v>
      </c>
      <c r="AA200" s="11" t="s">
        <v>156</v>
      </c>
      <c r="AB200" s="5" t="s">
        <v>245</v>
      </c>
      <c r="AC200" s="5"/>
      <c r="AD200" s="11" t="s">
        <v>763</v>
      </c>
      <c r="AE200" s="23" t="n">
        <v>0.85</v>
      </c>
      <c r="AF200" s="23" t="n">
        <v>0</v>
      </c>
      <c r="AG200" s="23" t="n">
        <v>1</v>
      </c>
      <c r="AH200" s="23" t="n">
        <v>1</v>
      </c>
      <c r="AI200" s="23" t="n">
        <v>1</v>
      </c>
      <c r="AJ200" s="23" t="n">
        <v>0.21</v>
      </c>
      <c r="AK200" s="23" t="n">
        <v>1</v>
      </c>
      <c r="AL200" s="23" t="n">
        <v>0.6</v>
      </c>
      <c r="AM200" s="16" t="n">
        <f aca="false">COUNTIFS($D$2:$D$2501,D200,$G$2:$G$2501,"&gt;"&amp;G200)+COUNTIFS($D$2:D200,D200,$G$2:G200,G200)</f>
        <v>75</v>
      </c>
      <c r="AN200" s="5" t="str">
        <f aca="false">D200&amp;"|"&amp;AM200</f>
        <v>分析與報告生成|75</v>
      </c>
    </row>
    <row r="201" customFormat="false" ht="17.15" hidden="false" customHeight="false" outlineLevel="0" collapsed="false">
      <c r="A201" s="16" t="n">
        <f aca="false">RANK(G201,$G$2:$G$2501)+COUNTIF($G$2:G201,G201)-1</f>
        <v>200</v>
      </c>
      <c r="B201" s="11" t="s">
        <v>764</v>
      </c>
      <c r="C201" s="11" t="s">
        <v>323</v>
      </c>
      <c r="D201" s="5" t="s">
        <v>56</v>
      </c>
      <c r="E201" s="5" t="s">
        <v>57</v>
      </c>
      <c r="F201" s="5"/>
      <c r="G201" s="22" t="n">
        <f aca="false">ROUND(SUM(I201:P201),3)</f>
        <v>75.586</v>
      </c>
      <c r="H201" s="5" t="str">
        <f aca="false">IF(G201&gt;=評分方法!$C$16,"優先評估",IF(G201&gt;=評分方法!$C$17,"列入候選",IF(G201&gt;=評分方法!$C$18,"特定情境","不建議")))</f>
        <v>列入候選</v>
      </c>
      <c r="I201" s="15" t="n">
        <f aca="false">AE201*評分方法!$C$5</f>
        <v>25.5</v>
      </c>
      <c r="J201" s="15" t="n">
        <f aca="false">AF201*評分方法!$C$6</f>
        <v>0</v>
      </c>
      <c r="K201" s="15" t="n">
        <f aca="false">AG201*評分方法!$C$7</f>
        <v>15</v>
      </c>
      <c r="L201" s="15" t="n">
        <f aca="false">AH201*評分方法!$C$8</f>
        <v>13.05</v>
      </c>
      <c r="M201" s="15" t="n">
        <f aca="false">AI201*評分方法!$C$9</f>
        <v>10</v>
      </c>
      <c r="N201" s="15" t="n">
        <f aca="false">AJ201*評分方法!$C$10</f>
        <v>7.036</v>
      </c>
      <c r="O201" s="15" t="n">
        <f aca="false">AK201*評分方法!$C$11</f>
        <v>5</v>
      </c>
      <c r="P201" s="15" t="n">
        <f aca="false">AL201*評分方法!$C$12</f>
        <v>0</v>
      </c>
      <c r="Q201" s="6" t="n">
        <v>932898</v>
      </c>
      <c r="R201" s="6" t="n">
        <v>7298011136</v>
      </c>
      <c r="S201" s="11" t="s">
        <v>254</v>
      </c>
      <c r="T201" s="11" t="s">
        <v>239</v>
      </c>
      <c r="U201" s="5" t="s">
        <v>240</v>
      </c>
      <c r="V201" s="11" t="s">
        <v>261</v>
      </c>
      <c r="W201" s="5" t="s">
        <v>205</v>
      </c>
      <c r="X201" s="5" t="s">
        <v>242</v>
      </c>
      <c r="Y201" s="11" t="s">
        <v>765</v>
      </c>
      <c r="Z201" s="11" t="s">
        <v>270</v>
      </c>
      <c r="AA201" s="11" t="s">
        <v>155</v>
      </c>
      <c r="AB201" s="5" t="s">
        <v>245</v>
      </c>
      <c r="AC201" s="5"/>
      <c r="AD201" s="11" t="s">
        <v>766</v>
      </c>
      <c r="AE201" s="23" t="n">
        <v>0.85</v>
      </c>
      <c r="AF201" s="23" t="n">
        <v>0</v>
      </c>
      <c r="AG201" s="23" t="n">
        <v>1</v>
      </c>
      <c r="AH201" s="23" t="n">
        <v>0.87</v>
      </c>
      <c r="AI201" s="23" t="n">
        <v>1</v>
      </c>
      <c r="AJ201" s="23" t="n">
        <v>0.7036</v>
      </c>
      <c r="AK201" s="23" t="n">
        <v>1</v>
      </c>
      <c r="AL201" s="23" t="n">
        <v>0</v>
      </c>
      <c r="AM201" s="16" t="n">
        <f aca="false">COUNTIFS($D$2:$D$2501,D201,$G$2:$G$2501,"&gt;"&amp;G201)+COUNTIFS($D$2:D201,D201,$G$2:G201,G201)</f>
        <v>76</v>
      </c>
      <c r="AN201" s="5" t="str">
        <f aca="false">D201&amp;"|"&amp;AM201</f>
        <v>分析與報告生成|76</v>
      </c>
    </row>
    <row r="202" customFormat="false" ht="17.15" hidden="false" customHeight="false" outlineLevel="0" collapsed="false">
      <c r="A202" s="16" t="n">
        <f aca="false">RANK(G202,$G$2:$G$2501)+COUNTIF($G$2:G202,G202)-1</f>
        <v>201</v>
      </c>
      <c r="B202" s="11" t="s">
        <v>767</v>
      </c>
      <c r="C202" s="11" t="s">
        <v>569</v>
      </c>
      <c r="D202" s="5" t="s">
        <v>68</v>
      </c>
      <c r="E202" s="11" t="s">
        <v>69</v>
      </c>
      <c r="F202" s="5"/>
      <c r="G202" s="22" t="n">
        <f aca="false">ROUND(SUM(I202:P202),3)</f>
        <v>75.584</v>
      </c>
      <c r="H202" s="5" t="str">
        <f aca="false">IF(G202&gt;=評分方法!$C$16,"優先評估",IF(G202&gt;=評分方法!$C$17,"列入候選",IF(G202&gt;=評分方法!$C$18,"特定情境","不建議")))</f>
        <v>列入候選</v>
      </c>
      <c r="I202" s="15" t="n">
        <f aca="false">AE202*評分方法!$C$5</f>
        <v>21</v>
      </c>
      <c r="J202" s="15" t="n">
        <f aca="false">AF202*評分方法!$C$6</f>
        <v>0</v>
      </c>
      <c r="K202" s="15" t="n">
        <f aca="false">AG202*評分方法!$C$7</f>
        <v>15</v>
      </c>
      <c r="L202" s="15" t="n">
        <f aca="false">AH202*評分方法!$C$8</f>
        <v>15</v>
      </c>
      <c r="M202" s="15" t="n">
        <f aca="false">AI202*評分方法!$C$9</f>
        <v>10</v>
      </c>
      <c r="N202" s="15" t="n">
        <f aca="false">AJ202*評分方法!$C$10</f>
        <v>9.084</v>
      </c>
      <c r="O202" s="15" t="n">
        <f aca="false">AK202*評分方法!$C$11</f>
        <v>4</v>
      </c>
      <c r="P202" s="15" t="n">
        <f aca="false">AL202*評分方法!$C$12</f>
        <v>1.5</v>
      </c>
      <c r="Q202" s="6" t="n">
        <v>4344865</v>
      </c>
      <c r="R202" s="6" t="n">
        <v>201374976</v>
      </c>
      <c r="S202" s="11" t="s">
        <v>238</v>
      </c>
      <c r="T202" s="11" t="s">
        <v>239</v>
      </c>
      <c r="U202" s="5" t="s">
        <v>240</v>
      </c>
      <c r="V202" s="11" t="s">
        <v>261</v>
      </c>
      <c r="W202" s="5" t="s">
        <v>205</v>
      </c>
      <c r="X202" s="5" t="s">
        <v>255</v>
      </c>
      <c r="Y202" s="5"/>
      <c r="Z202" s="5"/>
      <c r="AA202" s="11" t="s">
        <v>158</v>
      </c>
      <c r="AB202" s="5" t="s">
        <v>245</v>
      </c>
      <c r="AC202" s="5"/>
      <c r="AD202" s="11" t="s">
        <v>768</v>
      </c>
      <c r="AE202" s="23" t="n">
        <v>0.7</v>
      </c>
      <c r="AF202" s="23" t="n">
        <v>0</v>
      </c>
      <c r="AG202" s="23" t="n">
        <v>1</v>
      </c>
      <c r="AH202" s="23" t="n">
        <v>1</v>
      </c>
      <c r="AI202" s="23" t="n">
        <v>1</v>
      </c>
      <c r="AJ202" s="23" t="n">
        <v>0.9084</v>
      </c>
      <c r="AK202" s="23" t="n">
        <v>0.8</v>
      </c>
      <c r="AL202" s="23" t="n">
        <v>0.3</v>
      </c>
      <c r="AM202" s="16" t="n">
        <f aca="false">COUNTIFS($D$2:$D$2501,D202,$G$2:$G$2501,"&gt;"&amp;G202)+COUNTIFS($D$2:D202,D202,$G$2:G202,G202)</f>
        <v>12</v>
      </c>
      <c r="AN202" s="5" t="str">
        <f aca="false">D202&amp;"|"&amp;AM202</f>
        <v>時序異常偵測|12</v>
      </c>
    </row>
    <row r="203" customFormat="false" ht="17.15" hidden="false" customHeight="false" outlineLevel="0" collapsed="false">
      <c r="A203" s="16" t="n">
        <f aca="false">RANK(G203,$G$2:$G$2501)+COUNTIF($G$2:G203,G203)-1</f>
        <v>202</v>
      </c>
      <c r="B203" s="11" t="s">
        <v>769</v>
      </c>
      <c r="C203" s="11" t="s">
        <v>753</v>
      </c>
      <c r="D203" s="5" t="s">
        <v>56</v>
      </c>
      <c r="E203" s="5" t="s">
        <v>57</v>
      </c>
      <c r="F203" s="5"/>
      <c r="G203" s="22" t="n">
        <f aca="false">ROUND(SUM(I203:P203),3)</f>
        <v>75.58</v>
      </c>
      <c r="H203" s="5" t="str">
        <f aca="false">IF(G203&gt;=評分方法!$C$16,"優先評估",IF(G203&gt;=評分方法!$C$17,"列入候選",IF(G203&gt;=評分方法!$C$18,"特定情境","不建議")))</f>
        <v>列入候選</v>
      </c>
      <c r="I203" s="15" t="n">
        <f aca="false">AE203*評分方法!$C$5</f>
        <v>25.5</v>
      </c>
      <c r="J203" s="15" t="n">
        <f aca="false">AF203*評分方法!$C$6</f>
        <v>0</v>
      </c>
      <c r="K203" s="15" t="n">
        <f aca="false">AG203*評分方法!$C$7</f>
        <v>10.05</v>
      </c>
      <c r="L203" s="15" t="n">
        <f aca="false">AH203*評分方法!$C$8</f>
        <v>13.05</v>
      </c>
      <c r="M203" s="15" t="n">
        <f aca="false">AI203*評分方法!$C$9</f>
        <v>10</v>
      </c>
      <c r="N203" s="15" t="n">
        <f aca="false">AJ203*評分方法!$C$10</f>
        <v>8.98</v>
      </c>
      <c r="O203" s="15" t="n">
        <f aca="false">AK203*評分方法!$C$11</f>
        <v>5</v>
      </c>
      <c r="P203" s="15" t="n">
        <f aca="false">AL203*評分方法!$C$12</f>
        <v>3</v>
      </c>
      <c r="Q203" s="6" t="n">
        <v>3743871</v>
      </c>
      <c r="R203" s="6" t="n">
        <v>7996156490</v>
      </c>
      <c r="S203" s="11" t="s">
        <v>254</v>
      </c>
      <c r="T203" s="11" t="s">
        <v>239</v>
      </c>
      <c r="U203" s="5" t="s">
        <v>240</v>
      </c>
      <c r="V203" s="11" t="s">
        <v>261</v>
      </c>
      <c r="W203" s="5" t="s">
        <v>207</v>
      </c>
      <c r="X203" s="5" t="s">
        <v>371</v>
      </c>
      <c r="Y203" s="11" t="s">
        <v>422</v>
      </c>
      <c r="Z203" s="11" t="s">
        <v>270</v>
      </c>
      <c r="AA203" s="11" t="s">
        <v>156</v>
      </c>
      <c r="AB203" s="5" t="s">
        <v>245</v>
      </c>
      <c r="AC203" s="5"/>
      <c r="AD203" s="11" t="s">
        <v>770</v>
      </c>
      <c r="AE203" s="23" t="n">
        <v>0.85</v>
      </c>
      <c r="AF203" s="23" t="n">
        <v>0</v>
      </c>
      <c r="AG203" s="23" t="n">
        <v>0.67</v>
      </c>
      <c r="AH203" s="23" t="n">
        <v>0.87</v>
      </c>
      <c r="AI203" s="23" t="n">
        <v>1</v>
      </c>
      <c r="AJ203" s="23" t="n">
        <v>0.898</v>
      </c>
      <c r="AK203" s="23" t="n">
        <v>1</v>
      </c>
      <c r="AL203" s="23" t="n">
        <v>0.6</v>
      </c>
      <c r="AM203" s="16" t="n">
        <f aca="false">COUNTIFS($D$2:$D$2501,D203,$G$2:$G$2501,"&gt;"&amp;G203)+COUNTIFS($D$2:D203,D203,$G$2:G203,G203)</f>
        <v>77</v>
      </c>
      <c r="AN203" s="5" t="str">
        <f aca="false">D203&amp;"|"&amp;AM203</f>
        <v>分析與報告生成|77</v>
      </c>
    </row>
    <row r="204" customFormat="false" ht="17.15" hidden="false" customHeight="false" outlineLevel="0" collapsed="false">
      <c r="A204" s="16" t="n">
        <f aca="false">RANK(G204,$G$2:$G$2501)+COUNTIF($G$2:G204,G204)-1</f>
        <v>203</v>
      </c>
      <c r="B204" s="11" t="s">
        <v>771</v>
      </c>
      <c r="C204" s="11" t="s">
        <v>338</v>
      </c>
      <c r="D204" s="5" t="s">
        <v>56</v>
      </c>
      <c r="E204" s="5" t="s">
        <v>57</v>
      </c>
      <c r="F204" s="5"/>
      <c r="G204" s="22" t="n">
        <f aca="false">ROUND(SUM(I204:P204),3)</f>
        <v>75.572</v>
      </c>
      <c r="H204" s="5" t="str">
        <f aca="false">IF(G204&gt;=評分方法!$C$16,"優先評估",IF(G204&gt;=評分方法!$C$17,"列入候選",IF(G204&gt;=評分方法!$C$18,"特定情境","不建議")))</f>
        <v>列入候選</v>
      </c>
      <c r="I204" s="15" t="n">
        <f aca="false">AE204*評分方法!$C$5</f>
        <v>25.5</v>
      </c>
      <c r="J204" s="15" t="n">
        <f aca="false">AF204*評分方法!$C$6</f>
        <v>0</v>
      </c>
      <c r="K204" s="15" t="n">
        <f aca="false">AG204*評分方法!$C$7</f>
        <v>15</v>
      </c>
      <c r="L204" s="15" t="n">
        <f aca="false">AH204*評分方法!$C$8</f>
        <v>9</v>
      </c>
      <c r="M204" s="15" t="n">
        <f aca="false">AI204*評分方法!$C$9</f>
        <v>10</v>
      </c>
      <c r="N204" s="15" t="n">
        <f aca="false">AJ204*評分方法!$C$10</f>
        <v>8.572</v>
      </c>
      <c r="O204" s="15" t="n">
        <f aca="false">AK204*評分方法!$C$11</f>
        <v>2.5</v>
      </c>
      <c r="P204" s="15" t="n">
        <f aca="false">AL204*評分方法!$C$12</f>
        <v>5</v>
      </c>
      <c r="Q204" s="6" t="n">
        <v>2421241</v>
      </c>
      <c r="R204" s="6" t="n">
        <v>12247782400</v>
      </c>
      <c r="S204" s="11" t="s">
        <v>389</v>
      </c>
      <c r="T204" s="11" t="s">
        <v>239</v>
      </c>
      <c r="U204" s="5" t="s">
        <v>240</v>
      </c>
      <c r="V204" s="11" t="s">
        <v>261</v>
      </c>
      <c r="W204" s="5" t="s">
        <v>205</v>
      </c>
      <c r="X204" s="5" t="s">
        <v>284</v>
      </c>
      <c r="Y204" s="11" t="s">
        <v>772</v>
      </c>
      <c r="Z204" s="11" t="s">
        <v>270</v>
      </c>
      <c r="AA204" s="11" t="s">
        <v>155</v>
      </c>
      <c r="AB204" s="5" t="s">
        <v>328</v>
      </c>
      <c r="AC204" s="5" t="s">
        <v>400</v>
      </c>
      <c r="AD204" s="11" t="s">
        <v>773</v>
      </c>
      <c r="AE204" s="23" t="n">
        <v>0.85</v>
      </c>
      <c r="AF204" s="23" t="n">
        <v>0</v>
      </c>
      <c r="AG204" s="23" t="n">
        <v>1</v>
      </c>
      <c r="AH204" s="23" t="n">
        <v>0.6</v>
      </c>
      <c r="AI204" s="23" t="n">
        <v>1</v>
      </c>
      <c r="AJ204" s="23" t="n">
        <v>0.8572</v>
      </c>
      <c r="AK204" s="23" t="n">
        <v>0.5</v>
      </c>
      <c r="AL204" s="23" t="n">
        <v>1</v>
      </c>
      <c r="AM204" s="16" t="n">
        <f aca="false">COUNTIFS($D$2:$D$2501,D204,$G$2:$G$2501,"&gt;"&amp;G204)+COUNTIFS($D$2:D204,D204,$G$2:G204,G204)</f>
        <v>78</v>
      </c>
      <c r="AN204" s="5" t="str">
        <f aca="false">D204&amp;"|"&amp;AM204</f>
        <v>分析與報告生成|78</v>
      </c>
    </row>
    <row r="205" customFormat="false" ht="17.15" hidden="false" customHeight="false" outlineLevel="0" collapsed="false">
      <c r="A205" s="16" t="n">
        <f aca="false">RANK(G205,$G$2:$G$2501)+COUNTIF($G$2:G205,G205)-1</f>
        <v>204</v>
      </c>
      <c r="B205" s="11" t="s">
        <v>774</v>
      </c>
      <c r="C205" s="11" t="s">
        <v>302</v>
      </c>
      <c r="D205" s="5" t="s">
        <v>54</v>
      </c>
      <c r="E205" s="5" t="s">
        <v>55</v>
      </c>
      <c r="F205" s="5"/>
      <c r="G205" s="22" t="n">
        <f aca="false">ROUND(SUM(I205:P205),3)</f>
        <v>75.572</v>
      </c>
      <c r="H205" s="5" t="str">
        <f aca="false">IF(G205&gt;=評分方法!$C$16,"優先評估",IF(G205&gt;=評分方法!$C$17,"列入候選",IF(G205&gt;=評分方法!$C$18,"特定情境","不建議")))</f>
        <v>列入候選</v>
      </c>
      <c r="I205" s="15" t="n">
        <f aca="false">AE205*評分方法!$C$5</f>
        <v>27</v>
      </c>
      <c r="J205" s="15" t="n">
        <f aca="false">AF205*評分方法!$C$6</f>
        <v>0</v>
      </c>
      <c r="K205" s="15" t="n">
        <f aca="false">AG205*評分方法!$C$7</f>
        <v>15</v>
      </c>
      <c r="L205" s="15" t="n">
        <f aca="false">AH205*評分方法!$C$8</f>
        <v>15</v>
      </c>
      <c r="M205" s="15" t="n">
        <f aca="false">AI205*評分方法!$C$9</f>
        <v>10</v>
      </c>
      <c r="N205" s="15" t="n">
        <f aca="false">AJ205*評分方法!$C$10</f>
        <v>6.072</v>
      </c>
      <c r="O205" s="15" t="n">
        <f aca="false">AK205*評分方法!$C$11</f>
        <v>2.5</v>
      </c>
      <c r="P205" s="15" t="n">
        <f aca="false">AL205*評分方法!$C$12</f>
        <v>0</v>
      </c>
      <c r="Q205" s="6" t="n">
        <v>641607</v>
      </c>
      <c r="R205" s="6" t="n">
        <v>109483521</v>
      </c>
      <c r="S205" s="11" t="s">
        <v>238</v>
      </c>
      <c r="T205" s="11" t="s">
        <v>239</v>
      </c>
      <c r="U205" s="5" t="s">
        <v>240</v>
      </c>
      <c r="V205" s="11" t="s">
        <v>288</v>
      </c>
      <c r="W205" s="5" t="s">
        <v>205</v>
      </c>
      <c r="X205" s="5" t="s">
        <v>242</v>
      </c>
      <c r="Y205" s="11" t="s">
        <v>601</v>
      </c>
      <c r="Z205" s="11" t="s">
        <v>244</v>
      </c>
      <c r="AA205" s="11" t="s">
        <v>154</v>
      </c>
      <c r="AB205" s="5" t="s">
        <v>245</v>
      </c>
      <c r="AC205" s="5" t="s">
        <v>246</v>
      </c>
      <c r="AD205" s="11" t="s">
        <v>775</v>
      </c>
      <c r="AE205" s="23" t="n">
        <v>0.9</v>
      </c>
      <c r="AF205" s="23" t="n">
        <v>0</v>
      </c>
      <c r="AG205" s="23" t="n">
        <v>1</v>
      </c>
      <c r="AH205" s="23" t="n">
        <v>1</v>
      </c>
      <c r="AI205" s="23" t="n">
        <v>1</v>
      </c>
      <c r="AJ205" s="23" t="n">
        <v>0.6072</v>
      </c>
      <c r="AK205" s="23" t="n">
        <v>0.5</v>
      </c>
      <c r="AL205" s="23" t="n">
        <v>0</v>
      </c>
      <c r="AM205" s="16" t="n">
        <f aca="false">COUNTIFS($D$2:$D$2501,D205,$G$2:$G$2501,"&gt;"&amp;G205)+COUNTIFS($D$2:D205,D205,$G$2:G205,G205)</f>
        <v>74</v>
      </c>
      <c r="AN205" s="5" t="str">
        <f aca="false">D205&amp;"|"&amp;AM205</f>
        <v>檢索與情資關聯|74</v>
      </c>
    </row>
    <row r="206" customFormat="false" ht="17.15" hidden="false" customHeight="false" outlineLevel="0" collapsed="false">
      <c r="A206" s="16" t="n">
        <f aca="false">RANK(G206,$G$2:$G$2501)+COUNTIF($G$2:G206,G206)-1</f>
        <v>205</v>
      </c>
      <c r="B206" s="11" t="s">
        <v>776</v>
      </c>
      <c r="C206" s="11" t="s">
        <v>777</v>
      </c>
      <c r="D206" s="5" t="s">
        <v>58</v>
      </c>
      <c r="E206" s="5" t="s">
        <v>59</v>
      </c>
      <c r="F206" s="5"/>
      <c r="G206" s="22" t="n">
        <f aca="false">ROUND(SUM(I206:P206),3)</f>
        <v>75.562</v>
      </c>
      <c r="H206" s="5" t="str">
        <f aca="false">IF(G206&gt;=評分方法!$C$16,"優先評估",IF(G206&gt;=評分方法!$C$17,"列入候選",IF(G206&gt;=評分方法!$C$18,"特定情境","不建議")))</f>
        <v>列入候選</v>
      </c>
      <c r="I206" s="15" t="n">
        <f aca="false">AE206*評分方法!$C$5</f>
        <v>28.5</v>
      </c>
      <c r="J206" s="15" t="n">
        <f aca="false">AF206*評分方法!$C$6</f>
        <v>0</v>
      </c>
      <c r="K206" s="15" t="n">
        <f aca="false">AG206*評分方法!$C$7</f>
        <v>10.05</v>
      </c>
      <c r="L206" s="15" t="n">
        <f aca="false">AH206*評分方法!$C$8</f>
        <v>15</v>
      </c>
      <c r="M206" s="15" t="n">
        <f aca="false">AI206*評分方法!$C$9</f>
        <v>10</v>
      </c>
      <c r="N206" s="15" t="n">
        <f aca="false">AJ206*評分方法!$C$10</f>
        <v>8.012</v>
      </c>
      <c r="O206" s="15" t="n">
        <f aca="false">AK206*評分方法!$C$11</f>
        <v>2.5</v>
      </c>
      <c r="P206" s="15" t="n">
        <f aca="false">AL206*評分方法!$C$12</f>
        <v>1.5</v>
      </c>
      <c r="Q206" s="6" t="n">
        <v>1571521</v>
      </c>
      <c r="R206" s="6" t="n">
        <v>177270281</v>
      </c>
      <c r="S206" s="11" t="s">
        <v>238</v>
      </c>
      <c r="T206" s="11" t="s">
        <v>778</v>
      </c>
      <c r="U206" s="5" t="s">
        <v>240</v>
      </c>
      <c r="V206" s="11" t="s">
        <v>283</v>
      </c>
      <c r="W206" s="5" t="s">
        <v>207</v>
      </c>
      <c r="X206" s="5" t="s">
        <v>255</v>
      </c>
      <c r="Y206" s="5"/>
      <c r="Z206" s="5"/>
      <c r="AA206" s="11" t="s">
        <v>150</v>
      </c>
      <c r="AB206" s="5" t="s">
        <v>245</v>
      </c>
      <c r="AC206" s="5"/>
      <c r="AD206" s="11" t="s">
        <v>779</v>
      </c>
      <c r="AE206" s="23" t="n">
        <v>0.95</v>
      </c>
      <c r="AF206" s="23" t="n">
        <v>0</v>
      </c>
      <c r="AG206" s="23" t="n">
        <v>0.67</v>
      </c>
      <c r="AH206" s="23" t="n">
        <v>1</v>
      </c>
      <c r="AI206" s="23" t="n">
        <v>1</v>
      </c>
      <c r="AJ206" s="23" t="n">
        <v>0.8012</v>
      </c>
      <c r="AK206" s="23" t="n">
        <v>0.5</v>
      </c>
      <c r="AL206" s="23" t="n">
        <v>0.3</v>
      </c>
      <c r="AM206" s="16" t="n">
        <f aca="false">COUNTIFS($D$2:$D$2501,D206,$G$2:$G$2501,"&gt;"&amp;G206)+COUNTIFS($D$2:D206,D206,$G$2:G206,G206)</f>
        <v>6</v>
      </c>
      <c r="AN206" s="5" t="str">
        <f aca="false">D206&amp;"|"&amp;AM206</f>
        <v>實體擷取與去識別化|6</v>
      </c>
    </row>
    <row r="207" customFormat="false" ht="17.15" hidden="false" customHeight="false" outlineLevel="0" collapsed="false">
      <c r="A207" s="16" t="n">
        <f aca="false">RANK(G207,$G$2:$G$2501)+COUNTIF($G$2:G207,G207)-1</f>
        <v>206</v>
      </c>
      <c r="B207" s="11" t="s">
        <v>780</v>
      </c>
      <c r="C207" s="11" t="s">
        <v>579</v>
      </c>
      <c r="D207" s="5" t="s">
        <v>68</v>
      </c>
      <c r="E207" s="11" t="s">
        <v>69</v>
      </c>
      <c r="F207" s="5"/>
      <c r="G207" s="22" t="n">
        <f aca="false">ROUND(SUM(I207:P207),3)</f>
        <v>75.552</v>
      </c>
      <c r="H207" s="5" t="str">
        <f aca="false">IF(G207&gt;=評分方法!$C$16,"優先評估",IF(G207&gt;=評分方法!$C$17,"列入候選",IF(G207&gt;=評分方法!$C$18,"特定情境","不建議")))</f>
        <v>列入候選</v>
      </c>
      <c r="I207" s="15" t="n">
        <f aca="false">AE207*評分方法!$C$5</f>
        <v>21</v>
      </c>
      <c r="J207" s="15" t="n">
        <f aca="false">AF207*評分方法!$C$6</f>
        <v>0</v>
      </c>
      <c r="K207" s="15" t="n">
        <f aca="false">AG207*評分方法!$C$7</f>
        <v>15</v>
      </c>
      <c r="L207" s="15" t="n">
        <f aca="false">AH207*評分方法!$C$8</f>
        <v>15</v>
      </c>
      <c r="M207" s="15" t="n">
        <f aca="false">AI207*評分方法!$C$9</f>
        <v>10</v>
      </c>
      <c r="N207" s="15" t="n">
        <f aca="false">AJ207*評分方法!$C$10</f>
        <v>9.052</v>
      </c>
      <c r="O207" s="15" t="n">
        <f aca="false">AK207*評分方法!$C$11</f>
        <v>4</v>
      </c>
      <c r="P207" s="15" t="n">
        <f aca="false">AL207*評分方法!$C$12</f>
        <v>1.5</v>
      </c>
      <c r="Q207" s="6" t="n">
        <v>4060889</v>
      </c>
      <c r="R207" s="6" t="n">
        <v>21236096</v>
      </c>
      <c r="S207" s="11" t="s">
        <v>238</v>
      </c>
      <c r="T207" s="11" t="s">
        <v>239</v>
      </c>
      <c r="U207" s="5" t="s">
        <v>240</v>
      </c>
      <c r="V207" s="11" t="s">
        <v>261</v>
      </c>
      <c r="W207" s="5" t="s">
        <v>205</v>
      </c>
      <c r="X207" s="5" t="s">
        <v>255</v>
      </c>
      <c r="Y207" s="5"/>
      <c r="Z207" s="5"/>
      <c r="AA207" s="11" t="s">
        <v>158</v>
      </c>
      <c r="AB207" s="5" t="s">
        <v>245</v>
      </c>
      <c r="AC207" s="5"/>
      <c r="AD207" s="11" t="s">
        <v>781</v>
      </c>
      <c r="AE207" s="23" t="n">
        <v>0.7</v>
      </c>
      <c r="AF207" s="23" t="n">
        <v>0</v>
      </c>
      <c r="AG207" s="23" t="n">
        <v>1</v>
      </c>
      <c r="AH207" s="23" t="n">
        <v>1</v>
      </c>
      <c r="AI207" s="23" t="n">
        <v>1</v>
      </c>
      <c r="AJ207" s="23" t="n">
        <v>0.9052</v>
      </c>
      <c r="AK207" s="23" t="n">
        <v>0.8</v>
      </c>
      <c r="AL207" s="23" t="n">
        <v>0.3</v>
      </c>
      <c r="AM207" s="16" t="n">
        <f aca="false">COUNTIFS($D$2:$D$2501,D207,$G$2:$G$2501,"&gt;"&amp;G207)+COUNTIFS($D$2:D207,D207,$G$2:G207,G207)</f>
        <v>13</v>
      </c>
      <c r="AN207" s="5" t="str">
        <f aca="false">D207&amp;"|"&amp;AM207</f>
        <v>時序異常偵測|13</v>
      </c>
    </row>
    <row r="208" customFormat="false" ht="17.15" hidden="false" customHeight="false" outlineLevel="0" collapsed="false">
      <c r="A208" s="16" t="n">
        <f aca="false">RANK(G208,$G$2:$G$2501)+COUNTIF($G$2:G208,G208)-1</f>
        <v>207</v>
      </c>
      <c r="B208" s="11" t="s">
        <v>782</v>
      </c>
      <c r="C208" s="11" t="s">
        <v>338</v>
      </c>
      <c r="D208" s="5" t="s">
        <v>56</v>
      </c>
      <c r="E208" s="5" t="s">
        <v>57</v>
      </c>
      <c r="F208" s="5"/>
      <c r="G208" s="22" t="n">
        <f aca="false">ROUND(SUM(I208:P208),3)</f>
        <v>75.54</v>
      </c>
      <c r="H208" s="5" t="str">
        <f aca="false">IF(G208&gt;=評分方法!$C$16,"優先評估",IF(G208&gt;=評分方法!$C$17,"列入候選",IF(G208&gt;=評分方法!$C$18,"特定情境","不建議")))</f>
        <v>列入候選</v>
      </c>
      <c r="I208" s="15" t="n">
        <f aca="false">AE208*評分方法!$C$5</f>
        <v>25.5</v>
      </c>
      <c r="J208" s="15" t="n">
        <f aca="false">AF208*評分方法!$C$6</f>
        <v>0</v>
      </c>
      <c r="K208" s="15" t="n">
        <f aca="false">AG208*評分方法!$C$7</f>
        <v>15</v>
      </c>
      <c r="L208" s="15" t="n">
        <f aca="false">AH208*評分方法!$C$8</f>
        <v>9</v>
      </c>
      <c r="M208" s="15" t="n">
        <f aca="false">AI208*評分方法!$C$9</f>
        <v>10</v>
      </c>
      <c r="N208" s="15" t="n">
        <f aca="false">AJ208*評分方法!$C$10</f>
        <v>8.04</v>
      </c>
      <c r="O208" s="15" t="n">
        <f aca="false">AK208*評分方法!$C$11</f>
        <v>5</v>
      </c>
      <c r="P208" s="15" t="n">
        <f aca="false">AL208*評分方法!$C$12</f>
        <v>3</v>
      </c>
      <c r="Q208" s="6" t="n">
        <v>1604717</v>
      </c>
      <c r="R208" s="6" t="n">
        <v>24011361840</v>
      </c>
      <c r="S208" s="11" t="s">
        <v>389</v>
      </c>
      <c r="T208" s="11" t="s">
        <v>239</v>
      </c>
      <c r="U208" s="5" t="s">
        <v>240</v>
      </c>
      <c r="V208" s="11" t="s">
        <v>261</v>
      </c>
      <c r="W208" s="5" t="s">
        <v>205</v>
      </c>
      <c r="X208" s="5" t="s">
        <v>371</v>
      </c>
      <c r="Y208" s="11" t="s">
        <v>613</v>
      </c>
      <c r="Z208" s="11" t="s">
        <v>244</v>
      </c>
      <c r="AA208" s="11" t="s">
        <v>155</v>
      </c>
      <c r="AB208" s="5" t="s">
        <v>328</v>
      </c>
      <c r="AC208" s="5" t="s">
        <v>340</v>
      </c>
      <c r="AD208" s="11" t="s">
        <v>783</v>
      </c>
      <c r="AE208" s="23" t="n">
        <v>0.85</v>
      </c>
      <c r="AF208" s="23" t="n">
        <v>0</v>
      </c>
      <c r="AG208" s="23" t="n">
        <v>1</v>
      </c>
      <c r="AH208" s="23" t="n">
        <v>0.6</v>
      </c>
      <c r="AI208" s="23" t="n">
        <v>1</v>
      </c>
      <c r="AJ208" s="23" t="n">
        <v>0.804</v>
      </c>
      <c r="AK208" s="23" t="n">
        <v>1</v>
      </c>
      <c r="AL208" s="23" t="n">
        <v>0.6</v>
      </c>
      <c r="AM208" s="16" t="n">
        <f aca="false">COUNTIFS($D$2:$D$2501,D208,$G$2:$G$2501,"&gt;"&amp;G208)+COUNTIFS($D$2:D208,D208,$G$2:G208,G208)</f>
        <v>79</v>
      </c>
      <c r="AN208" s="5" t="str">
        <f aca="false">D208&amp;"|"&amp;AM208</f>
        <v>分析與報告生成|79</v>
      </c>
    </row>
    <row r="209" customFormat="false" ht="17.15" hidden="false" customHeight="false" outlineLevel="0" collapsed="false">
      <c r="A209" s="16" t="n">
        <f aca="false">RANK(G209,$G$2:$G$2501)+COUNTIF($G$2:G209,G209)-1</f>
        <v>208</v>
      </c>
      <c r="B209" s="11" t="s">
        <v>784</v>
      </c>
      <c r="C209" s="11" t="s">
        <v>368</v>
      </c>
      <c r="D209" s="5" t="s">
        <v>56</v>
      </c>
      <c r="E209" s="5" t="s">
        <v>57</v>
      </c>
      <c r="F209" s="5"/>
      <c r="G209" s="22" t="n">
        <f aca="false">ROUND(SUM(I209:P209),3)</f>
        <v>75.524</v>
      </c>
      <c r="H209" s="5" t="str">
        <f aca="false">IF(G209&gt;=評分方法!$C$16,"優先評估",IF(G209&gt;=評分方法!$C$17,"列入候選",IF(G209&gt;=評分方法!$C$18,"特定情境","不建議")))</f>
        <v>列入候選</v>
      </c>
      <c r="I209" s="15" t="n">
        <f aca="false">AE209*評分方法!$C$5</f>
        <v>25.5</v>
      </c>
      <c r="J209" s="15" t="n">
        <f aca="false">AF209*評分方法!$C$6</f>
        <v>0</v>
      </c>
      <c r="K209" s="15" t="n">
        <f aca="false">AG209*評分方法!$C$7</f>
        <v>15</v>
      </c>
      <c r="L209" s="15" t="n">
        <f aca="false">AH209*評分方法!$C$8</f>
        <v>9</v>
      </c>
      <c r="M209" s="15" t="n">
        <f aca="false">AI209*評分方法!$C$9</f>
        <v>10</v>
      </c>
      <c r="N209" s="15" t="n">
        <f aca="false">AJ209*評分方法!$C$10</f>
        <v>8.024</v>
      </c>
      <c r="O209" s="15" t="n">
        <f aca="false">AK209*評分方法!$C$11</f>
        <v>5</v>
      </c>
      <c r="P209" s="15" t="n">
        <f aca="false">AL209*評分方法!$C$12</f>
        <v>3</v>
      </c>
      <c r="Q209" s="6" t="n">
        <v>1582339</v>
      </c>
      <c r="R209" s="6" t="n">
        <v>25233142046</v>
      </c>
      <c r="S209" s="11" t="s">
        <v>389</v>
      </c>
      <c r="T209" s="11" t="s">
        <v>239</v>
      </c>
      <c r="U209" s="5" t="s">
        <v>240</v>
      </c>
      <c r="V209" s="11" t="s">
        <v>333</v>
      </c>
      <c r="W209" s="5" t="s">
        <v>205</v>
      </c>
      <c r="X209" s="5" t="s">
        <v>371</v>
      </c>
      <c r="Y209" s="11" t="s">
        <v>785</v>
      </c>
      <c r="Z209" s="11" t="s">
        <v>244</v>
      </c>
      <c r="AA209" s="11" t="s">
        <v>156</v>
      </c>
      <c r="AB209" s="5" t="s">
        <v>245</v>
      </c>
      <c r="AC209" s="5" t="s">
        <v>246</v>
      </c>
      <c r="AD209" s="11" t="s">
        <v>786</v>
      </c>
      <c r="AE209" s="23" t="n">
        <v>0.85</v>
      </c>
      <c r="AF209" s="23" t="n">
        <v>0</v>
      </c>
      <c r="AG209" s="23" t="n">
        <v>1</v>
      </c>
      <c r="AH209" s="23" t="n">
        <v>0.6</v>
      </c>
      <c r="AI209" s="23" t="n">
        <v>1</v>
      </c>
      <c r="AJ209" s="23" t="n">
        <v>0.8024</v>
      </c>
      <c r="AK209" s="23" t="n">
        <v>1</v>
      </c>
      <c r="AL209" s="23" t="n">
        <v>0.6</v>
      </c>
      <c r="AM209" s="16" t="n">
        <f aca="false">COUNTIFS($D$2:$D$2501,D209,$G$2:$G$2501,"&gt;"&amp;G209)+COUNTIFS($D$2:D209,D209,$G$2:G209,G209)</f>
        <v>80</v>
      </c>
      <c r="AN209" s="5" t="str">
        <f aca="false">D209&amp;"|"&amp;AM209</f>
        <v>分析與報告生成|80</v>
      </c>
    </row>
    <row r="210" customFormat="false" ht="17.15" hidden="false" customHeight="false" outlineLevel="0" collapsed="false">
      <c r="A210" s="16" t="n">
        <f aca="false">RANK(G210,$G$2:$G$2501)+COUNTIF($G$2:G210,G210)-1</f>
        <v>209</v>
      </c>
      <c r="B210" s="11" t="s">
        <v>787</v>
      </c>
      <c r="C210" s="11" t="s">
        <v>598</v>
      </c>
      <c r="D210" s="5" t="s">
        <v>54</v>
      </c>
      <c r="E210" s="5" t="s">
        <v>55</v>
      </c>
      <c r="F210" s="5"/>
      <c r="G210" s="22" t="n">
        <f aca="false">ROUND(SUM(I210:P210),3)</f>
        <v>75.5</v>
      </c>
      <c r="H210" s="5" t="str">
        <f aca="false">IF(G210&gt;=評分方法!$C$16,"優先評估",IF(G210&gt;=評分方法!$C$17,"列入候選",IF(G210&gt;=評分方法!$C$18,"特定情境","不建議")))</f>
        <v>列入候選</v>
      </c>
      <c r="I210" s="15" t="n">
        <f aca="false">AE210*評分方法!$C$5</f>
        <v>27</v>
      </c>
      <c r="J210" s="15" t="n">
        <f aca="false">AF210*評分方法!$C$6</f>
        <v>0</v>
      </c>
      <c r="K210" s="15" t="n">
        <f aca="false">AG210*評分方法!$C$7</f>
        <v>15</v>
      </c>
      <c r="L210" s="15" t="n">
        <f aca="false">AH210*評分方法!$C$8</f>
        <v>15</v>
      </c>
      <c r="M210" s="15" t="n">
        <f aca="false">AI210*評分方法!$C$9</f>
        <v>10</v>
      </c>
      <c r="N210" s="15" t="n">
        <f aca="false">AJ210*評分方法!$C$10</f>
        <v>1</v>
      </c>
      <c r="O210" s="15" t="n">
        <f aca="false">AK210*評分方法!$C$11</f>
        <v>2.5</v>
      </c>
      <c r="P210" s="15" t="n">
        <f aca="false">AL210*評分方法!$C$12</f>
        <v>5</v>
      </c>
      <c r="Q210" s="6" t="n">
        <v>153442</v>
      </c>
      <c r="R210" s="6" t="n">
        <v>475288320</v>
      </c>
      <c r="S210" s="11" t="s">
        <v>238</v>
      </c>
      <c r="T210" s="11" t="s">
        <v>239</v>
      </c>
      <c r="U210" s="5" t="s">
        <v>240</v>
      </c>
      <c r="V210" s="11" t="s">
        <v>333</v>
      </c>
      <c r="W210" s="5" t="s">
        <v>205</v>
      </c>
      <c r="X210" s="5" t="s">
        <v>284</v>
      </c>
      <c r="Y210" s="11" t="s">
        <v>788</v>
      </c>
      <c r="Z210" s="11" t="s">
        <v>244</v>
      </c>
      <c r="AA210" s="11" t="s">
        <v>152</v>
      </c>
      <c r="AB210" s="5" t="s">
        <v>245</v>
      </c>
      <c r="AC210" s="5" t="s">
        <v>246</v>
      </c>
      <c r="AD210" s="11" t="s">
        <v>789</v>
      </c>
      <c r="AE210" s="23" t="n">
        <v>0.9</v>
      </c>
      <c r="AF210" s="23" t="n">
        <v>0</v>
      </c>
      <c r="AG210" s="23" t="n">
        <v>1</v>
      </c>
      <c r="AH210" s="23" t="n">
        <v>1</v>
      </c>
      <c r="AI210" s="23" t="n">
        <v>1</v>
      </c>
      <c r="AJ210" s="23" t="n">
        <v>0.1</v>
      </c>
      <c r="AK210" s="23" t="n">
        <v>0.5</v>
      </c>
      <c r="AL210" s="23" t="n">
        <v>1</v>
      </c>
      <c r="AM210" s="16" t="n">
        <f aca="false">COUNTIFS($D$2:$D$2501,D210,$G$2:$G$2501,"&gt;"&amp;G210)+COUNTIFS($D$2:D210,D210,$G$2:G210,G210)</f>
        <v>75</v>
      </c>
      <c r="AN210" s="5" t="str">
        <f aca="false">D210&amp;"|"&amp;AM210</f>
        <v>檢索與情資關聯|75</v>
      </c>
    </row>
    <row r="211" customFormat="false" ht="17.15" hidden="false" customHeight="false" outlineLevel="0" collapsed="false">
      <c r="A211" s="16" t="n">
        <f aca="false">RANK(G211,$G$2:$G$2501)+COUNTIF($G$2:G211,G211)-1</f>
        <v>210</v>
      </c>
      <c r="B211" s="11" t="s">
        <v>790</v>
      </c>
      <c r="C211" s="11" t="s">
        <v>327</v>
      </c>
      <c r="D211" s="5" t="s">
        <v>56</v>
      </c>
      <c r="E211" s="5" t="s">
        <v>57</v>
      </c>
      <c r="F211" s="5"/>
      <c r="G211" s="22" t="n">
        <f aca="false">ROUND(SUM(I211:P211),3)</f>
        <v>75.482</v>
      </c>
      <c r="H211" s="5" t="str">
        <f aca="false">IF(G211&gt;=評分方法!$C$16,"優先評估",IF(G211&gt;=評分方法!$C$17,"列入候選",IF(G211&gt;=評分方法!$C$18,"特定情境","不建議")))</f>
        <v>列入候選</v>
      </c>
      <c r="I211" s="15" t="n">
        <f aca="false">AE211*評分方法!$C$5</f>
        <v>25.5</v>
      </c>
      <c r="J211" s="15" t="n">
        <f aca="false">AF211*評分方法!$C$6</f>
        <v>0</v>
      </c>
      <c r="K211" s="15" t="n">
        <f aca="false">AG211*評分方法!$C$7</f>
        <v>15</v>
      </c>
      <c r="L211" s="15" t="n">
        <f aca="false">AH211*評分方法!$C$8</f>
        <v>13.05</v>
      </c>
      <c r="M211" s="15" t="n">
        <f aca="false">AI211*評分方法!$C$9</f>
        <v>10</v>
      </c>
      <c r="N211" s="15" t="n">
        <f aca="false">AJ211*評分方法!$C$10</f>
        <v>6.432</v>
      </c>
      <c r="O211" s="15" t="n">
        <f aca="false">AK211*評分方法!$C$11</f>
        <v>2.5</v>
      </c>
      <c r="P211" s="15" t="n">
        <f aca="false">AL211*評分方法!$C$12</f>
        <v>3</v>
      </c>
      <c r="Q211" s="6" t="n">
        <v>733264</v>
      </c>
      <c r="R211" s="6" t="n">
        <v>7843763200</v>
      </c>
      <c r="S211" s="11" t="s">
        <v>254</v>
      </c>
      <c r="T211" s="11" t="s">
        <v>278</v>
      </c>
      <c r="U211" s="5" t="s">
        <v>240</v>
      </c>
      <c r="V211" s="11" t="s">
        <v>261</v>
      </c>
      <c r="W211" s="5" t="s">
        <v>205</v>
      </c>
      <c r="X211" s="5" t="s">
        <v>371</v>
      </c>
      <c r="Y211" s="11" t="s">
        <v>791</v>
      </c>
      <c r="Z211" s="11" t="s">
        <v>244</v>
      </c>
      <c r="AA211" s="11" t="s">
        <v>155</v>
      </c>
      <c r="AB211" s="5" t="s">
        <v>496</v>
      </c>
      <c r="AC211" s="5" t="s">
        <v>555</v>
      </c>
      <c r="AD211" s="11" t="s">
        <v>792</v>
      </c>
      <c r="AE211" s="23" t="n">
        <v>0.85</v>
      </c>
      <c r="AF211" s="23" t="n">
        <v>0</v>
      </c>
      <c r="AG211" s="23" t="n">
        <v>1</v>
      </c>
      <c r="AH211" s="23" t="n">
        <v>0.87</v>
      </c>
      <c r="AI211" s="23" t="n">
        <v>1</v>
      </c>
      <c r="AJ211" s="23" t="n">
        <v>0.6432</v>
      </c>
      <c r="AK211" s="23" t="n">
        <v>0.5</v>
      </c>
      <c r="AL211" s="23" t="n">
        <v>0.6</v>
      </c>
      <c r="AM211" s="16" t="n">
        <f aca="false">COUNTIFS($D$2:$D$2501,D211,$G$2:$G$2501,"&gt;"&amp;G211)+COUNTIFS($D$2:D211,D211,$G$2:G211,G211)</f>
        <v>81</v>
      </c>
      <c r="AN211" s="5" t="str">
        <f aca="false">D211&amp;"|"&amp;AM211</f>
        <v>分析與報告生成|81</v>
      </c>
    </row>
    <row r="212" customFormat="false" ht="17.15" hidden="false" customHeight="false" outlineLevel="0" collapsed="false">
      <c r="A212" s="16" t="n">
        <f aca="false">RANK(G212,$G$2:$G$2501)+COUNTIF($G$2:G212,G212)-1</f>
        <v>211</v>
      </c>
      <c r="B212" s="11" t="s">
        <v>793</v>
      </c>
      <c r="C212" s="11" t="s">
        <v>368</v>
      </c>
      <c r="D212" s="5" t="s">
        <v>56</v>
      </c>
      <c r="E212" s="5" t="s">
        <v>57</v>
      </c>
      <c r="F212" s="5"/>
      <c r="G212" s="22" t="n">
        <f aca="false">ROUND(SUM(I212:P212),3)</f>
        <v>75.47</v>
      </c>
      <c r="H212" s="5" t="str">
        <f aca="false">IF(G212&gt;=評分方法!$C$16,"優先評估",IF(G212&gt;=評分方法!$C$17,"列入候選",IF(G212&gt;=評分方法!$C$18,"特定情境","不建議")))</f>
        <v>列入候選</v>
      </c>
      <c r="I212" s="15" t="n">
        <f aca="false">AE212*評分方法!$C$5</f>
        <v>25.5</v>
      </c>
      <c r="J212" s="15" t="n">
        <f aca="false">AF212*評分方法!$C$6</f>
        <v>0</v>
      </c>
      <c r="K212" s="15" t="n">
        <f aca="false">AG212*評分方法!$C$7</f>
        <v>15</v>
      </c>
      <c r="L212" s="15" t="n">
        <f aca="false">AH212*評分方法!$C$8</f>
        <v>13.05</v>
      </c>
      <c r="M212" s="15" t="n">
        <f aca="false">AI212*評分方法!$C$9</f>
        <v>6</v>
      </c>
      <c r="N212" s="15" t="n">
        <f aca="false">AJ212*評分方法!$C$10</f>
        <v>8.92</v>
      </c>
      <c r="O212" s="15" t="n">
        <f aca="false">AK212*評分方法!$C$11</f>
        <v>4</v>
      </c>
      <c r="P212" s="15" t="n">
        <f aca="false">AL212*評分方法!$C$12</f>
        <v>3</v>
      </c>
      <c r="Q212" s="6" t="n">
        <v>3542539</v>
      </c>
      <c r="R212" s="6" t="n">
        <v>4300079472</v>
      </c>
      <c r="S212" s="11" t="s">
        <v>254</v>
      </c>
      <c r="T212" s="11" t="s">
        <v>185</v>
      </c>
      <c r="U212" s="5" t="s">
        <v>260</v>
      </c>
      <c r="V212" s="11" t="s">
        <v>261</v>
      </c>
      <c r="W212" s="5" t="s">
        <v>205</v>
      </c>
      <c r="X212" s="5" t="s">
        <v>371</v>
      </c>
      <c r="Y212" s="11" t="s">
        <v>794</v>
      </c>
      <c r="Z212" s="11" t="s">
        <v>270</v>
      </c>
      <c r="AA212" s="11" t="s">
        <v>156</v>
      </c>
      <c r="AB212" s="5" t="s">
        <v>245</v>
      </c>
      <c r="AC212" s="5" t="s">
        <v>262</v>
      </c>
      <c r="AD212" s="11" t="s">
        <v>795</v>
      </c>
      <c r="AE212" s="23" t="n">
        <v>0.85</v>
      </c>
      <c r="AF212" s="23" t="n">
        <v>0</v>
      </c>
      <c r="AG212" s="23" t="n">
        <v>1</v>
      </c>
      <c r="AH212" s="23" t="n">
        <v>0.87</v>
      </c>
      <c r="AI212" s="23" t="n">
        <v>0.6</v>
      </c>
      <c r="AJ212" s="23" t="n">
        <v>0.892</v>
      </c>
      <c r="AK212" s="23" t="n">
        <v>0.8</v>
      </c>
      <c r="AL212" s="23" t="n">
        <v>0.6</v>
      </c>
      <c r="AM212" s="16" t="n">
        <f aca="false">COUNTIFS($D$2:$D$2501,D212,$G$2:$G$2501,"&gt;"&amp;G212)+COUNTIFS($D$2:D212,D212,$G$2:G212,G212)</f>
        <v>82</v>
      </c>
      <c r="AN212" s="5" t="str">
        <f aca="false">D212&amp;"|"&amp;AM212</f>
        <v>分析與報告生成|82</v>
      </c>
    </row>
    <row r="213" customFormat="false" ht="17.15" hidden="false" customHeight="false" outlineLevel="0" collapsed="false">
      <c r="A213" s="16" t="n">
        <f aca="false">RANK(G213,$G$2:$G$2501)+COUNTIF($G$2:G213,G213)-1</f>
        <v>212</v>
      </c>
      <c r="B213" s="11" t="s">
        <v>796</v>
      </c>
      <c r="C213" s="11" t="s">
        <v>548</v>
      </c>
      <c r="D213" s="5" t="s">
        <v>56</v>
      </c>
      <c r="E213" s="5" t="s">
        <v>57</v>
      </c>
      <c r="F213" s="5"/>
      <c r="G213" s="22" t="n">
        <f aca="false">ROUND(SUM(I213:P213),3)</f>
        <v>75.372</v>
      </c>
      <c r="H213" s="5" t="str">
        <f aca="false">IF(G213&gt;=評分方法!$C$16,"優先評估",IF(G213&gt;=評分方法!$C$17,"列入候選",IF(G213&gt;=評分方法!$C$18,"特定情境","不建議")))</f>
        <v>列入候選</v>
      </c>
      <c r="I213" s="15" t="n">
        <f aca="false">AE213*評分方法!$C$5</f>
        <v>25.5</v>
      </c>
      <c r="J213" s="15" t="n">
        <f aca="false">AF213*評分方法!$C$6</f>
        <v>0</v>
      </c>
      <c r="K213" s="15" t="n">
        <f aca="false">AG213*評分方法!$C$7</f>
        <v>15</v>
      </c>
      <c r="L213" s="15" t="n">
        <f aca="false">AH213*評分方法!$C$8</f>
        <v>15</v>
      </c>
      <c r="M213" s="15" t="n">
        <f aca="false">AI213*評分方法!$C$9</f>
        <v>10</v>
      </c>
      <c r="N213" s="15" t="n">
        <f aca="false">AJ213*評分方法!$C$10</f>
        <v>8.872</v>
      </c>
      <c r="O213" s="15" t="n">
        <f aca="false">AK213*評分方法!$C$11</f>
        <v>1</v>
      </c>
      <c r="P213" s="15" t="n">
        <f aca="false">AL213*評分方法!$C$12</f>
        <v>0</v>
      </c>
      <c r="Q213" s="6" t="n">
        <v>3317367</v>
      </c>
      <c r="R213" s="6" t="n">
        <v>95592496</v>
      </c>
      <c r="S213" s="11" t="s">
        <v>238</v>
      </c>
      <c r="T213" s="11" t="s">
        <v>239</v>
      </c>
      <c r="U213" s="5" t="s">
        <v>240</v>
      </c>
      <c r="V213" s="11" t="s">
        <v>324</v>
      </c>
      <c r="W213" s="5" t="s">
        <v>205</v>
      </c>
      <c r="X213" s="5" t="s">
        <v>242</v>
      </c>
      <c r="Y213" s="5"/>
      <c r="Z213" s="5"/>
      <c r="AA213" s="11" t="s">
        <v>155</v>
      </c>
      <c r="AB213" s="5" t="s">
        <v>328</v>
      </c>
      <c r="AC213" s="5" t="s">
        <v>400</v>
      </c>
      <c r="AD213" s="11" t="s">
        <v>797</v>
      </c>
      <c r="AE213" s="23" t="n">
        <v>0.85</v>
      </c>
      <c r="AF213" s="23" t="n">
        <v>0</v>
      </c>
      <c r="AG213" s="23" t="n">
        <v>1</v>
      </c>
      <c r="AH213" s="23" t="n">
        <v>1</v>
      </c>
      <c r="AI213" s="23" t="n">
        <v>1</v>
      </c>
      <c r="AJ213" s="23" t="n">
        <v>0.8872</v>
      </c>
      <c r="AK213" s="23" t="n">
        <v>0.2</v>
      </c>
      <c r="AL213" s="23" t="n">
        <v>0</v>
      </c>
      <c r="AM213" s="16" t="n">
        <f aca="false">COUNTIFS($D$2:$D$2501,D213,$G$2:$G$2501,"&gt;"&amp;G213)+COUNTIFS($D$2:D213,D213,$G$2:G213,G213)</f>
        <v>83</v>
      </c>
      <c r="AN213" s="5" t="str">
        <f aca="false">D213&amp;"|"&amp;AM213</f>
        <v>分析與報告生成|83</v>
      </c>
    </row>
    <row r="214" customFormat="false" ht="17.15" hidden="false" customHeight="false" outlineLevel="0" collapsed="false">
      <c r="A214" s="16" t="n">
        <f aca="false">RANK(G214,$G$2:$G$2501)+COUNTIF($G$2:G214,G214)-1</f>
        <v>213</v>
      </c>
      <c r="B214" s="11" t="s">
        <v>554</v>
      </c>
      <c r="C214" s="11" t="s">
        <v>299</v>
      </c>
      <c r="D214" s="5" t="s">
        <v>56</v>
      </c>
      <c r="E214" s="5" t="s">
        <v>57</v>
      </c>
      <c r="F214" s="5"/>
      <c r="G214" s="22" t="n">
        <f aca="false">ROUND(SUM(I214:P214),3)</f>
        <v>75.358</v>
      </c>
      <c r="H214" s="5" t="str">
        <f aca="false">IF(G214&gt;=評分方法!$C$16,"優先評估",IF(G214&gt;=評分方法!$C$17,"列入候選",IF(G214&gt;=評分方法!$C$18,"特定情境","不建議")))</f>
        <v>列入候選</v>
      </c>
      <c r="I214" s="15" t="n">
        <f aca="false">AE214*評分方法!$C$5</f>
        <v>25.5</v>
      </c>
      <c r="J214" s="15" t="n">
        <f aca="false">AF214*評分方法!$C$6</f>
        <v>0</v>
      </c>
      <c r="K214" s="15" t="n">
        <f aca="false">AG214*評分方法!$C$7</f>
        <v>15</v>
      </c>
      <c r="L214" s="15" t="n">
        <f aca="false">AH214*評分方法!$C$8</f>
        <v>13.05</v>
      </c>
      <c r="M214" s="15" t="n">
        <f aca="false">AI214*評分方法!$C$9</f>
        <v>10</v>
      </c>
      <c r="N214" s="15" t="n">
        <f aca="false">AJ214*評分方法!$C$10</f>
        <v>1.808</v>
      </c>
      <c r="O214" s="15" t="n">
        <f aca="false">AK214*評分方法!$C$11</f>
        <v>5</v>
      </c>
      <c r="P214" s="15" t="n">
        <f aca="false">AL214*評分方法!$C$12</f>
        <v>5</v>
      </c>
      <c r="Q214" s="6" t="n">
        <v>196578</v>
      </c>
      <c r="R214" s="6" t="n">
        <v>8791592960</v>
      </c>
      <c r="S214" s="11" t="s">
        <v>254</v>
      </c>
      <c r="T214" s="11" t="s">
        <v>239</v>
      </c>
      <c r="U214" s="5" t="s">
        <v>240</v>
      </c>
      <c r="V214" s="11" t="s">
        <v>261</v>
      </c>
      <c r="W214" s="5" t="s">
        <v>205</v>
      </c>
      <c r="X214" s="5" t="s">
        <v>284</v>
      </c>
      <c r="Y214" s="11" t="s">
        <v>798</v>
      </c>
      <c r="Z214" s="11" t="s">
        <v>270</v>
      </c>
      <c r="AA214" s="11" t="s">
        <v>155</v>
      </c>
      <c r="AB214" s="5" t="s">
        <v>245</v>
      </c>
      <c r="AC214" s="5"/>
      <c r="AD214" s="11" t="s">
        <v>799</v>
      </c>
      <c r="AE214" s="23" t="n">
        <v>0.85</v>
      </c>
      <c r="AF214" s="23" t="n">
        <v>0</v>
      </c>
      <c r="AG214" s="23" t="n">
        <v>1</v>
      </c>
      <c r="AH214" s="23" t="n">
        <v>0.87</v>
      </c>
      <c r="AI214" s="23" t="n">
        <v>1</v>
      </c>
      <c r="AJ214" s="23" t="n">
        <v>0.1808</v>
      </c>
      <c r="AK214" s="23" t="n">
        <v>1</v>
      </c>
      <c r="AL214" s="23" t="n">
        <v>1</v>
      </c>
      <c r="AM214" s="16" t="n">
        <f aca="false">COUNTIFS($D$2:$D$2501,D214,$G$2:$G$2501,"&gt;"&amp;G214)+COUNTIFS($D$2:D214,D214,$G$2:G214,G214)</f>
        <v>84</v>
      </c>
      <c r="AN214" s="5" t="str">
        <f aca="false">D214&amp;"|"&amp;AM214</f>
        <v>分析與報告生成|84</v>
      </c>
    </row>
    <row r="215" customFormat="false" ht="17.15" hidden="false" customHeight="false" outlineLevel="0" collapsed="false">
      <c r="A215" s="16" t="n">
        <f aca="false">RANK(G215,$G$2:$G$2501)+COUNTIF($G$2:G215,G215)-1</f>
        <v>214</v>
      </c>
      <c r="B215" s="11" t="s">
        <v>800</v>
      </c>
      <c r="C215" s="11" t="s">
        <v>368</v>
      </c>
      <c r="D215" s="5" t="s">
        <v>56</v>
      </c>
      <c r="E215" s="5" t="s">
        <v>57</v>
      </c>
      <c r="F215" s="5"/>
      <c r="G215" s="22" t="n">
        <f aca="false">ROUND(SUM(I215:P215),3)</f>
        <v>75.356</v>
      </c>
      <c r="H215" s="5" t="str">
        <f aca="false">IF(G215&gt;=評分方法!$C$16,"優先評估",IF(G215&gt;=評分方法!$C$17,"列入候選",IF(G215&gt;=評分方法!$C$18,"特定情境","不建議")))</f>
        <v>列入候選</v>
      </c>
      <c r="I215" s="15" t="n">
        <f aca="false">AE215*評分方法!$C$5</f>
        <v>24</v>
      </c>
      <c r="J215" s="15" t="n">
        <f aca="false">AF215*評分方法!$C$6</f>
        <v>0</v>
      </c>
      <c r="K215" s="15" t="n">
        <f aca="false">AG215*評分方法!$C$7</f>
        <v>15</v>
      </c>
      <c r="L215" s="15" t="n">
        <f aca="false">AH215*評分方法!$C$8</f>
        <v>9</v>
      </c>
      <c r="M215" s="15" t="n">
        <f aca="false">AI215*評分方法!$C$9</f>
        <v>10</v>
      </c>
      <c r="N215" s="15" t="n">
        <f aca="false">AJ215*評分方法!$C$10</f>
        <v>9.356</v>
      </c>
      <c r="O215" s="15" t="n">
        <f aca="false">AK215*評分方法!$C$11</f>
        <v>5</v>
      </c>
      <c r="P215" s="15" t="n">
        <f aca="false">AL215*評分方法!$C$12</f>
        <v>3</v>
      </c>
      <c r="Q215" s="6" t="n">
        <v>6760504</v>
      </c>
      <c r="R215" s="6" t="n">
        <v>12966363184</v>
      </c>
      <c r="S215" s="11" t="s">
        <v>389</v>
      </c>
      <c r="T215" s="11" t="s">
        <v>239</v>
      </c>
      <c r="U215" s="5" t="s">
        <v>240</v>
      </c>
      <c r="V215" s="11" t="s">
        <v>261</v>
      </c>
      <c r="W215" s="5" t="s">
        <v>205</v>
      </c>
      <c r="X215" s="5" t="s">
        <v>371</v>
      </c>
      <c r="Y215" s="11" t="s">
        <v>801</v>
      </c>
      <c r="Z215" s="11" t="s">
        <v>244</v>
      </c>
      <c r="AA215" s="11" t="s">
        <v>157</v>
      </c>
      <c r="AB215" s="5" t="s">
        <v>245</v>
      </c>
      <c r="AC215" s="5" t="s">
        <v>246</v>
      </c>
      <c r="AD215" s="11" t="s">
        <v>802</v>
      </c>
      <c r="AE215" s="23" t="n">
        <v>0.8</v>
      </c>
      <c r="AF215" s="23" t="n">
        <v>0</v>
      </c>
      <c r="AG215" s="23" t="n">
        <v>1</v>
      </c>
      <c r="AH215" s="23" t="n">
        <v>0.6</v>
      </c>
      <c r="AI215" s="23" t="n">
        <v>1</v>
      </c>
      <c r="AJ215" s="23" t="n">
        <v>0.9356</v>
      </c>
      <c r="AK215" s="23" t="n">
        <v>1</v>
      </c>
      <c r="AL215" s="23" t="n">
        <v>0.6</v>
      </c>
      <c r="AM215" s="16" t="n">
        <f aca="false">COUNTIFS($D$2:$D$2501,D215,$G$2:$G$2501,"&gt;"&amp;G215)+COUNTIFS($D$2:D215,D215,$G$2:G215,G215)</f>
        <v>85</v>
      </c>
      <c r="AN215" s="5" t="str">
        <f aca="false">D215&amp;"|"&amp;AM215</f>
        <v>分析與報告生成|85</v>
      </c>
    </row>
    <row r="216" customFormat="false" ht="17.15" hidden="false" customHeight="false" outlineLevel="0" collapsed="false">
      <c r="A216" s="16" t="n">
        <f aca="false">RANK(G216,$G$2:$G$2501)+COUNTIF($G$2:G216,G216)-1</f>
        <v>215</v>
      </c>
      <c r="B216" s="11" t="s">
        <v>803</v>
      </c>
      <c r="C216" s="11" t="s">
        <v>338</v>
      </c>
      <c r="D216" s="5" t="s">
        <v>56</v>
      </c>
      <c r="E216" s="5" t="s">
        <v>57</v>
      </c>
      <c r="F216" s="5"/>
      <c r="G216" s="22" t="n">
        <f aca="false">ROUND(SUM(I216:P216),3)</f>
        <v>75.354</v>
      </c>
      <c r="H216" s="5" t="str">
        <f aca="false">IF(G216&gt;=評分方法!$C$16,"優先評估",IF(G216&gt;=評分方法!$C$17,"列入候選",IF(G216&gt;=評分方法!$C$18,"特定情境","不建議")))</f>
        <v>列入候選</v>
      </c>
      <c r="I216" s="15" t="n">
        <f aca="false">AE216*評分方法!$C$5</f>
        <v>25.5</v>
      </c>
      <c r="J216" s="15" t="n">
        <f aca="false">AF216*評分方法!$C$6</f>
        <v>0</v>
      </c>
      <c r="K216" s="15" t="n">
        <f aca="false">AG216*評分方法!$C$7</f>
        <v>15</v>
      </c>
      <c r="L216" s="15" t="n">
        <f aca="false">AH216*評分方法!$C$8</f>
        <v>13.05</v>
      </c>
      <c r="M216" s="15" t="n">
        <f aca="false">AI216*評分方法!$C$9</f>
        <v>10</v>
      </c>
      <c r="N216" s="15" t="n">
        <f aca="false">AJ216*評分方法!$C$10</f>
        <v>1.804</v>
      </c>
      <c r="O216" s="15" t="n">
        <f aca="false">AK216*評分方法!$C$11</f>
        <v>5</v>
      </c>
      <c r="P216" s="15" t="n">
        <f aca="false">AL216*評分方法!$C$12</f>
        <v>5</v>
      </c>
      <c r="Q216" s="6" t="n">
        <v>196501</v>
      </c>
      <c r="R216" s="6" t="n">
        <v>8918026240</v>
      </c>
      <c r="S216" s="11" t="s">
        <v>254</v>
      </c>
      <c r="T216" s="11" t="s">
        <v>239</v>
      </c>
      <c r="U216" s="5" t="s">
        <v>240</v>
      </c>
      <c r="V216" s="11" t="s">
        <v>261</v>
      </c>
      <c r="W216" s="5" t="s">
        <v>205</v>
      </c>
      <c r="X216" s="5" t="s">
        <v>284</v>
      </c>
      <c r="Y216" s="11" t="s">
        <v>414</v>
      </c>
      <c r="Z216" s="11" t="s">
        <v>270</v>
      </c>
      <c r="AA216" s="11" t="s">
        <v>155</v>
      </c>
      <c r="AB216" s="5" t="s">
        <v>328</v>
      </c>
      <c r="AC216" s="5" t="s">
        <v>400</v>
      </c>
      <c r="AD216" s="11" t="s">
        <v>804</v>
      </c>
      <c r="AE216" s="23" t="n">
        <v>0.85</v>
      </c>
      <c r="AF216" s="23" t="n">
        <v>0</v>
      </c>
      <c r="AG216" s="23" t="n">
        <v>1</v>
      </c>
      <c r="AH216" s="23" t="n">
        <v>0.87</v>
      </c>
      <c r="AI216" s="23" t="n">
        <v>1</v>
      </c>
      <c r="AJ216" s="23" t="n">
        <v>0.1804</v>
      </c>
      <c r="AK216" s="23" t="n">
        <v>1</v>
      </c>
      <c r="AL216" s="23" t="n">
        <v>1</v>
      </c>
      <c r="AM216" s="16" t="n">
        <f aca="false">COUNTIFS($D$2:$D$2501,D216,$G$2:$G$2501,"&gt;"&amp;G216)+COUNTIFS($D$2:D216,D216,$G$2:G216,G216)</f>
        <v>86</v>
      </c>
      <c r="AN216" s="5" t="str">
        <f aca="false">D216&amp;"|"&amp;AM216</f>
        <v>分析與報告生成|86</v>
      </c>
    </row>
    <row r="217" customFormat="false" ht="17.15" hidden="false" customHeight="false" outlineLevel="0" collapsed="false">
      <c r="A217" s="16" t="n">
        <f aca="false">RANK(G217,$G$2:$G$2501)+COUNTIF($G$2:G217,G217)-1</f>
        <v>216</v>
      </c>
      <c r="B217" s="11" t="s">
        <v>805</v>
      </c>
      <c r="C217" s="11" t="s">
        <v>299</v>
      </c>
      <c r="D217" s="5" t="s">
        <v>54</v>
      </c>
      <c r="E217" s="5" t="s">
        <v>55</v>
      </c>
      <c r="F217" s="5"/>
      <c r="G217" s="22" t="n">
        <f aca="false">ROUND(SUM(I217:P217),3)</f>
        <v>75.336</v>
      </c>
      <c r="H217" s="5" t="str">
        <f aca="false">IF(G217&gt;=評分方法!$C$16,"優先評估",IF(G217&gt;=評分方法!$C$17,"列入候選",IF(G217&gt;=評分方法!$C$18,"特定情境","不建議")))</f>
        <v>列入候選</v>
      </c>
      <c r="I217" s="15" t="n">
        <f aca="false">AE217*評分方法!$C$5</f>
        <v>27</v>
      </c>
      <c r="J217" s="15" t="n">
        <f aca="false">AF217*評分方法!$C$6</f>
        <v>0</v>
      </c>
      <c r="K217" s="15" t="n">
        <f aca="false">AG217*評分方法!$C$7</f>
        <v>15</v>
      </c>
      <c r="L217" s="15" t="n">
        <f aca="false">AH217*評分方法!$C$8</f>
        <v>15</v>
      </c>
      <c r="M217" s="15" t="n">
        <f aca="false">AI217*評分方法!$C$9</f>
        <v>10</v>
      </c>
      <c r="N217" s="15" t="n">
        <f aca="false">AJ217*評分方法!$C$10</f>
        <v>5.836</v>
      </c>
      <c r="O217" s="15" t="n">
        <f aca="false">AK217*評分方法!$C$11</f>
        <v>2.5</v>
      </c>
      <c r="P217" s="15" t="n">
        <f aca="false">AL217*評分方法!$C$12</f>
        <v>0</v>
      </c>
      <c r="Q217" s="6" t="n">
        <v>600049</v>
      </c>
      <c r="R217" s="6" t="n">
        <v>124645632</v>
      </c>
      <c r="S217" s="11" t="s">
        <v>238</v>
      </c>
      <c r="T217" s="11" t="s">
        <v>239</v>
      </c>
      <c r="U217" s="5" t="s">
        <v>240</v>
      </c>
      <c r="V217" s="11" t="s">
        <v>288</v>
      </c>
      <c r="W217" s="5" t="s">
        <v>205</v>
      </c>
      <c r="X217" s="5" t="s">
        <v>242</v>
      </c>
      <c r="Y217" s="5"/>
      <c r="Z217" s="5"/>
      <c r="AA217" s="11" t="s">
        <v>152</v>
      </c>
      <c r="AB217" s="5" t="s">
        <v>245</v>
      </c>
      <c r="AC217" s="5"/>
      <c r="AD217" s="11" t="s">
        <v>806</v>
      </c>
      <c r="AE217" s="23" t="n">
        <v>0.9</v>
      </c>
      <c r="AF217" s="23" t="n">
        <v>0</v>
      </c>
      <c r="AG217" s="23" t="n">
        <v>1</v>
      </c>
      <c r="AH217" s="23" t="n">
        <v>1</v>
      </c>
      <c r="AI217" s="23" t="n">
        <v>1</v>
      </c>
      <c r="AJ217" s="23" t="n">
        <v>0.5836</v>
      </c>
      <c r="AK217" s="23" t="n">
        <v>0.5</v>
      </c>
      <c r="AL217" s="23" t="n">
        <v>0</v>
      </c>
      <c r="AM217" s="16" t="n">
        <f aca="false">COUNTIFS($D$2:$D$2501,D217,$G$2:$G$2501,"&gt;"&amp;G217)+COUNTIFS($D$2:D217,D217,$G$2:G217,G217)</f>
        <v>76</v>
      </c>
      <c r="AN217" s="5" t="str">
        <f aca="false">D217&amp;"|"&amp;AM217</f>
        <v>檢索與情資關聯|76</v>
      </c>
    </row>
    <row r="218" customFormat="false" ht="17.15" hidden="false" customHeight="false" outlineLevel="0" collapsed="false">
      <c r="A218" s="16" t="n">
        <f aca="false">RANK(G218,$G$2:$G$2501)+COUNTIF($G$2:G218,G218)-1</f>
        <v>217</v>
      </c>
      <c r="B218" s="11" t="s">
        <v>807</v>
      </c>
      <c r="C218" s="11" t="s">
        <v>368</v>
      </c>
      <c r="D218" s="5" t="s">
        <v>54</v>
      </c>
      <c r="E218" s="5" t="s">
        <v>55</v>
      </c>
      <c r="F218" s="5"/>
      <c r="G218" s="22" t="n">
        <f aca="false">ROUND(SUM(I218:P218),3)</f>
        <v>75.308</v>
      </c>
      <c r="H218" s="5" t="str">
        <f aca="false">IF(G218&gt;=評分方法!$C$16,"優先評估",IF(G218&gt;=評分方法!$C$17,"列入候選",IF(G218&gt;=評分方法!$C$18,"特定情境","不建議")))</f>
        <v>列入候選</v>
      </c>
      <c r="I218" s="15" t="n">
        <f aca="false">AE218*評分方法!$C$5</f>
        <v>27</v>
      </c>
      <c r="J218" s="15" t="n">
        <f aca="false">AF218*評分方法!$C$6</f>
        <v>0</v>
      </c>
      <c r="K218" s="15" t="n">
        <f aca="false">AG218*評分方法!$C$7</f>
        <v>15</v>
      </c>
      <c r="L218" s="15" t="n">
        <f aca="false">AH218*評分方法!$C$8</f>
        <v>15</v>
      </c>
      <c r="M218" s="15" t="n">
        <f aca="false">AI218*評分方法!$C$9</f>
        <v>10</v>
      </c>
      <c r="N218" s="15" t="n">
        <f aca="false">AJ218*評分方法!$C$10</f>
        <v>2.308</v>
      </c>
      <c r="O218" s="15" t="n">
        <f aca="false">AK218*評分方法!$C$11</f>
        <v>1</v>
      </c>
      <c r="P218" s="15" t="n">
        <f aca="false">AL218*評分方法!$C$12</f>
        <v>5</v>
      </c>
      <c r="Q218" s="6" t="n">
        <v>233606</v>
      </c>
      <c r="R218" s="6" t="n">
        <v>132099328</v>
      </c>
      <c r="S218" s="11" t="s">
        <v>238</v>
      </c>
      <c r="T218" s="11" t="s">
        <v>239</v>
      </c>
      <c r="U218" s="5" t="s">
        <v>240</v>
      </c>
      <c r="V218" s="11" t="s">
        <v>324</v>
      </c>
      <c r="W218" s="5" t="s">
        <v>205</v>
      </c>
      <c r="X218" s="5" t="s">
        <v>284</v>
      </c>
      <c r="Y218" s="5"/>
      <c r="Z218" s="5"/>
      <c r="AA218" s="11" t="s">
        <v>153</v>
      </c>
      <c r="AB218" s="5" t="s">
        <v>245</v>
      </c>
      <c r="AC218" s="5"/>
      <c r="AD218" s="11" t="s">
        <v>808</v>
      </c>
      <c r="AE218" s="23" t="n">
        <v>0.9</v>
      </c>
      <c r="AF218" s="23" t="n">
        <v>0</v>
      </c>
      <c r="AG218" s="23" t="n">
        <v>1</v>
      </c>
      <c r="AH218" s="23" t="n">
        <v>1</v>
      </c>
      <c r="AI218" s="23" t="n">
        <v>1</v>
      </c>
      <c r="AJ218" s="23" t="n">
        <v>0.2308</v>
      </c>
      <c r="AK218" s="23" t="n">
        <v>0.2</v>
      </c>
      <c r="AL218" s="23" t="n">
        <v>1</v>
      </c>
      <c r="AM218" s="16" t="n">
        <f aca="false">COUNTIFS($D$2:$D$2501,D218,$G$2:$G$2501,"&gt;"&amp;G218)+COUNTIFS($D$2:D218,D218,$G$2:G218,G218)</f>
        <v>77</v>
      </c>
      <c r="AN218" s="5" t="str">
        <f aca="false">D218&amp;"|"&amp;AM218</f>
        <v>檢索與情資關聯|77</v>
      </c>
    </row>
    <row r="219" customFormat="false" ht="17.15" hidden="false" customHeight="false" outlineLevel="0" collapsed="false">
      <c r="A219" s="16" t="n">
        <f aca="false">RANK(G219,$G$2:$G$2501)+COUNTIF($G$2:G219,G219)-1</f>
        <v>218</v>
      </c>
      <c r="B219" s="11" t="s">
        <v>809</v>
      </c>
      <c r="C219" s="11" t="s">
        <v>368</v>
      </c>
      <c r="D219" s="5" t="s">
        <v>56</v>
      </c>
      <c r="E219" s="5" t="s">
        <v>57</v>
      </c>
      <c r="F219" s="5"/>
      <c r="G219" s="22" t="n">
        <f aca="false">ROUND(SUM(I219:P219),3)</f>
        <v>75.256</v>
      </c>
      <c r="H219" s="5" t="str">
        <f aca="false">IF(G219&gt;=評分方法!$C$16,"優先評估",IF(G219&gt;=評分方法!$C$17,"列入候選",IF(G219&gt;=評分方法!$C$18,"特定情境","不建議")))</f>
        <v>列入候選</v>
      </c>
      <c r="I219" s="15" t="n">
        <f aca="false">AE219*評分方法!$C$5</f>
        <v>25.5</v>
      </c>
      <c r="J219" s="15" t="n">
        <f aca="false">AF219*評分方法!$C$6</f>
        <v>0</v>
      </c>
      <c r="K219" s="15" t="n">
        <f aca="false">AG219*評分方法!$C$7</f>
        <v>15</v>
      </c>
      <c r="L219" s="15" t="n">
        <f aca="false">AH219*評分方法!$C$8</f>
        <v>15</v>
      </c>
      <c r="M219" s="15" t="n">
        <f aca="false">AI219*評分方法!$C$9</f>
        <v>6</v>
      </c>
      <c r="N219" s="15" t="n">
        <f aca="false">AJ219*評分方法!$C$10</f>
        <v>8.256</v>
      </c>
      <c r="O219" s="15" t="n">
        <f aca="false">AK219*評分方法!$C$11</f>
        <v>2.5</v>
      </c>
      <c r="P219" s="15" t="n">
        <f aca="false">AL219*評分方法!$C$12</f>
        <v>3</v>
      </c>
      <c r="Q219" s="6" t="n">
        <v>1878555</v>
      </c>
      <c r="R219" s="6" t="n">
        <v>268098176</v>
      </c>
      <c r="S219" s="11" t="s">
        <v>238</v>
      </c>
      <c r="T219" s="11" t="s">
        <v>658</v>
      </c>
      <c r="U219" s="5" t="s">
        <v>260</v>
      </c>
      <c r="V219" s="11" t="s">
        <v>261</v>
      </c>
      <c r="W219" s="5" t="s">
        <v>205</v>
      </c>
      <c r="X219" s="5" t="s">
        <v>371</v>
      </c>
      <c r="Y219" s="11" t="s">
        <v>663</v>
      </c>
      <c r="Z219" s="11" t="s">
        <v>270</v>
      </c>
      <c r="AA219" s="11" t="s">
        <v>155</v>
      </c>
      <c r="AB219" s="5" t="s">
        <v>245</v>
      </c>
      <c r="AC219" s="5" t="s">
        <v>262</v>
      </c>
      <c r="AD219" s="11" t="s">
        <v>810</v>
      </c>
      <c r="AE219" s="23" t="n">
        <v>0.85</v>
      </c>
      <c r="AF219" s="23" t="n">
        <v>0</v>
      </c>
      <c r="AG219" s="23" t="n">
        <v>1</v>
      </c>
      <c r="AH219" s="23" t="n">
        <v>1</v>
      </c>
      <c r="AI219" s="23" t="n">
        <v>0.6</v>
      </c>
      <c r="AJ219" s="23" t="n">
        <v>0.8256</v>
      </c>
      <c r="AK219" s="23" t="n">
        <v>0.5</v>
      </c>
      <c r="AL219" s="23" t="n">
        <v>0.6</v>
      </c>
      <c r="AM219" s="16" t="n">
        <f aca="false">COUNTIFS($D$2:$D$2501,D219,$G$2:$G$2501,"&gt;"&amp;G219)+COUNTIFS($D$2:D219,D219,$G$2:G219,G219)</f>
        <v>87</v>
      </c>
      <c r="AN219" s="5" t="str">
        <f aca="false">D219&amp;"|"&amp;AM219</f>
        <v>分析與報告生成|87</v>
      </c>
    </row>
    <row r="220" customFormat="false" ht="17.15" hidden="false" customHeight="false" outlineLevel="0" collapsed="false">
      <c r="A220" s="16" t="n">
        <f aca="false">RANK(G220,$G$2:$G$2501)+COUNTIF($G$2:G220,G220)-1</f>
        <v>219</v>
      </c>
      <c r="B220" s="11" t="s">
        <v>439</v>
      </c>
      <c r="C220" s="11" t="s">
        <v>402</v>
      </c>
      <c r="D220" s="5" t="s">
        <v>48</v>
      </c>
      <c r="E220" s="5" t="s">
        <v>49</v>
      </c>
      <c r="F220" s="5" t="s">
        <v>48</v>
      </c>
      <c r="G220" s="22" t="n">
        <f aca="false">ROUND(SUM(I220:P220),3)</f>
        <v>75.256</v>
      </c>
      <c r="H220" s="5" t="str">
        <f aca="false">IF(G220&gt;=評分方法!$C$16,"優先評估",IF(G220&gt;=評分方法!$C$17,"列入候選",IF(G220&gt;=評分方法!$C$18,"特定情境","不建議")))</f>
        <v>列入候選</v>
      </c>
      <c r="I220" s="15" t="n">
        <f aca="false">AE220*評分方法!$C$5</f>
        <v>28.5</v>
      </c>
      <c r="J220" s="15" t="n">
        <f aca="false">AF220*評分方法!$C$6</f>
        <v>10</v>
      </c>
      <c r="K220" s="15" t="n">
        <f aca="false">AG220*評分方法!$C$7</f>
        <v>4.95</v>
      </c>
      <c r="L220" s="15" t="n">
        <f aca="false">AH220*評分方法!$C$8</f>
        <v>13.05</v>
      </c>
      <c r="M220" s="15" t="n">
        <f aca="false">AI220*評分方法!$C$9</f>
        <v>10</v>
      </c>
      <c r="N220" s="15" t="n">
        <f aca="false">AJ220*評分方法!$C$10</f>
        <v>3.756</v>
      </c>
      <c r="O220" s="15" t="n">
        <f aca="false">AK220*評分方法!$C$11</f>
        <v>5</v>
      </c>
      <c r="P220" s="15" t="n">
        <f aca="false">AL220*評分方法!$C$12</f>
        <v>0</v>
      </c>
      <c r="Q220" s="6" t="n">
        <v>385086</v>
      </c>
      <c r="R220" s="6" t="n">
        <v>1399607373</v>
      </c>
      <c r="S220" s="11" t="s">
        <v>254</v>
      </c>
      <c r="T220" s="11" t="s">
        <v>239</v>
      </c>
      <c r="U220" s="5" t="s">
        <v>240</v>
      </c>
      <c r="V220" s="11" t="s">
        <v>261</v>
      </c>
      <c r="W220" s="5" t="s">
        <v>334</v>
      </c>
      <c r="X220" s="5" t="s">
        <v>242</v>
      </c>
      <c r="Y220" s="11" t="s">
        <v>252</v>
      </c>
      <c r="Z220" s="11" t="s">
        <v>270</v>
      </c>
      <c r="AA220" s="11" t="s">
        <v>150</v>
      </c>
      <c r="AB220" s="5" t="s">
        <v>245</v>
      </c>
      <c r="AC220" s="5"/>
      <c r="AD220" s="11" t="s">
        <v>811</v>
      </c>
      <c r="AE220" s="23" t="n">
        <v>0.95</v>
      </c>
      <c r="AF220" s="23" t="n">
        <v>1</v>
      </c>
      <c r="AG220" s="23" t="n">
        <v>0.33</v>
      </c>
      <c r="AH220" s="23" t="n">
        <v>0.87</v>
      </c>
      <c r="AI220" s="23" t="n">
        <v>1</v>
      </c>
      <c r="AJ220" s="23" t="n">
        <v>0.3756</v>
      </c>
      <c r="AK220" s="23" t="n">
        <v>1</v>
      </c>
      <c r="AL220" s="23" t="n">
        <v>0</v>
      </c>
      <c r="AM220" s="16" t="n">
        <f aca="false">COUNTIFS($D$2:$D$2501,D220,$G$2:$G$2501,"&gt;"&amp;G220)+COUNTIFS($D$2:D220,D220,$G$2:G220,G220)</f>
        <v>10</v>
      </c>
      <c r="AN220" s="5" t="str">
        <f aca="false">D220&amp;"|"&amp;AM220</f>
        <v>個資偵測與去識別化|10</v>
      </c>
    </row>
    <row r="221" customFormat="false" ht="17.15" hidden="false" customHeight="false" outlineLevel="0" collapsed="false">
      <c r="A221" s="16" t="n">
        <f aca="false">RANK(G221,$G$2:$G$2501)+COUNTIF($G$2:G221,G221)-1</f>
        <v>220</v>
      </c>
      <c r="B221" s="11" t="s">
        <v>812</v>
      </c>
      <c r="C221" s="11" t="s">
        <v>548</v>
      </c>
      <c r="D221" s="5" t="s">
        <v>56</v>
      </c>
      <c r="E221" s="5" t="s">
        <v>57</v>
      </c>
      <c r="F221" s="5"/>
      <c r="G221" s="22" t="n">
        <f aca="false">ROUND(SUM(I221:P221),3)</f>
        <v>75.232</v>
      </c>
      <c r="H221" s="5" t="str">
        <f aca="false">IF(G221&gt;=評分方法!$C$16,"優先評估",IF(G221&gt;=評分方法!$C$17,"列入候選",IF(G221&gt;=評分方法!$C$18,"特定情境","不建議")))</f>
        <v>列入候選</v>
      </c>
      <c r="I221" s="15" t="n">
        <f aca="false">AE221*評分方法!$C$5</f>
        <v>25.5</v>
      </c>
      <c r="J221" s="15" t="n">
        <f aca="false">AF221*評分方法!$C$6</f>
        <v>0</v>
      </c>
      <c r="K221" s="15" t="n">
        <f aca="false">AG221*評分方法!$C$7</f>
        <v>15</v>
      </c>
      <c r="L221" s="15" t="n">
        <f aca="false">AH221*評分方法!$C$8</f>
        <v>15</v>
      </c>
      <c r="M221" s="15" t="n">
        <f aca="false">AI221*評分方法!$C$9</f>
        <v>10</v>
      </c>
      <c r="N221" s="15" t="n">
        <f aca="false">AJ221*評分方法!$C$10</f>
        <v>8.732</v>
      </c>
      <c r="O221" s="15" t="n">
        <f aca="false">AK221*評分方法!$C$11</f>
        <v>1</v>
      </c>
      <c r="P221" s="15" t="n">
        <f aca="false">AL221*評分方法!$C$12</f>
        <v>0</v>
      </c>
      <c r="Q221" s="6" t="n">
        <v>2872345</v>
      </c>
      <c r="R221" s="6" t="n">
        <v>150364416</v>
      </c>
      <c r="S221" s="11" t="s">
        <v>238</v>
      </c>
      <c r="T221" s="11" t="s">
        <v>278</v>
      </c>
      <c r="U221" s="5" t="s">
        <v>240</v>
      </c>
      <c r="V221" s="11" t="s">
        <v>813</v>
      </c>
      <c r="W221" s="5" t="s">
        <v>205</v>
      </c>
      <c r="X221" s="5" t="s">
        <v>242</v>
      </c>
      <c r="Y221" s="5"/>
      <c r="Z221" s="5"/>
      <c r="AA221" s="11" t="s">
        <v>155</v>
      </c>
      <c r="AB221" s="5" t="s">
        <v>245</v>
      </c>
      <c r="AC221" s="5"/>
      <c r="AD221" s="11" t="s">
        <v>814</v>
      </c>
      <c r="AE221" s="23" t="n">
        <v>0.85</v>
      </c>
      <c r="AF221" s="23" t="n">
        <v>0</v>
      </c>
      <c r="AG221" s="23" t="n">
        <v>1</v>
      </c>
      <c r="AH221" s="23" t="n">
        <v>1</v>
      </c>
      <c r="AI221" s="23" t="n">
        <v>1</v>
      </c>
      <c r="AJ221" s="23" t="n">
        <v>0.8732</v>
      </c>
      <c r="AK221" s="23" t="n">
        <v>0.2</v>
      </c>
      <c r="AL221" s="23" t="n">
        <v>0</v>
      </c>
      <c r="AM221" s="16" t="n">
        <f aca="false">COUNTIFS($D$2:$D$2501,D221,$G$2:$G$2501,"&gt;"&amp;G221)+COUNTIFS($D$2:D221,D221,$G$2:G221,G221)</f>
        <v>88</v>
      </c>
      <c r="AN221" s="5" t="str">
        <f aca="false">D221&amp;"|"&amp;AM221</f>
        <v>分析與報告生成|88</v>
      </c>
    </row>
    <row r="222" customFormat="false" ht="17.15" hidden="false" customHeight="false" outlineLevel="0" collapsed="false">
      <c r="A222" s="16" t="n">
        <f aca="false">RANK(G222,$G$2:$G$2501)+COUNTIF($G$2:G222,G222)-1</f>
        <v>221</v>
      </c>
      <c r="B222" s="11" t="s">
        <v>815</v>
      </c>
      <c r="C222" s="11" t="s">
        <v>327</v>
      </c>
      <c r="D222" s="5" t="s">
        <v>54</v>
      </c>
      <c r="E222" s="5" t="s">
        <v>55</v>
      </c>
      <c r="F222" s="5"/>
      <c r="G222" s="22" t="n">
        <f aca="false">ROUND(SUM(I222:P222),3)</f>
        <v>75.194</v>
      </c>
      <c r="H222" s="5" t="str">
        <f aca="false">IF(G222&gt;=評分方法!$C$16,"優先評估",IF(G222&gt;=評分方法!$C$17,"列入候選",IF(G222&gt;=評分方法!$C$18,"特定情境","不建議")))</f>
        <v>列入候選</v>
      </c>
      <c r="I222" s="15" t="n">
        <f aca="false">AE222*評分方法!$C$5</f>
        <v>27</v>
      </c>
      <c r="J222" s="15" t="n">
        <f aca="false">AF222*評分方法!$C$6</f>
        <v>0</v>
      </c>
      <c r="K222" s="15" t="n">
        <f aca="false">AG222*評分方法!$C$7</f>
        <v>15</v>
      </c>
      <c r="L222" s="15" t="n">
        <f aca="false">AH222*評分方法!$C$8</f>
        <v>13.05</v>
      </c>
      <c r="M222" s="15" t="n">
        <f aca="false">AI222*評分方法!$C$9</f>
        <v>6</v>
      </c>
      <c r="N222" s="15" t="n">
        <f aca="false">AJ222*評分方法!$C$10</f>
        <v>4.144</v>
      </c>
      <c r="O222" s="15" t="n">
        <f aca="false">AK222*評分方法!$C$11</f>
        <v>5</v>
      </c>
      <c r="P222" s="15" t="n">
        <f aca="false">AL222*評分方法!$C$12</f>
        <v>5</v>
      </c>
      <c r="Q222" s="6" t="n">
        <v>446337</v>
      </c>
      <c r="R222" s="6" t="n">
        <v>7952683008</v>
      </c>
      <c r="S222" s="11" t="s">
        <v>254</v>
      </c>
      <c r="T222" s="11" t="s">
        <v>185</v>
      </c>
      <c r="U222" s="5" t="s">
        <v>260</v>
      </c>
      <c r="V222" s="11" t="s">
        <v>261</v>
      </c>
      <c r="W222" s="5" t="s">
        <v>205</v>
      </c>
      <c r="X222" s="5" t="s">
        <v>284</v>
      </c>
      <c r="Y222" s="11" t="s">
        <v>413</v>
      </c>
      <c r="Z222" s="11" t="s">
        <v>270</v>
      </c>
      <c r="AA222" s="11" t="s">
        <v>152</v>
      </c>
      <c r="AB222" s="5" t="s">
        <v>245</v>
      </c>
      <c r="AC222" s="5" t="s">
        <v>262</v>
      </c>
      <c r="AD222" s="11" t="s">
        <v>816</v>
      </c>
      <c r="AE222" s="23" t="n">
        <v>0.9</v>
      </c>
      <c r="AF222" s="23" t="n">
        <v>0</v>
      </c>
      <c r="AG222" s="23" t="n">
        <v>1</v>
      </c>
      <c r="AH222" s="23" t="n">
        <v>0.87</v>
      </c>
      <c r="AI222" s="23" t="n">
        <v>0.6</v>
      </c>
      <c r="AJ222" s="23" t="n">
        <v>0.4144</v>
      </c>
      <c r="AK222" s="23" t="n">
        <v>1</v>
      </c>
      <c r="AL222" s="23" t="n">
        <v>1</v>
      </c>
      <c r="AM222" s="16" t="n">
        <f aca="false">COUNTIFS($D$2:$D$2501,D222,$G$2:$G$2501,"&gt;"&amp;G222)+COUNTIFS($D$2:D222,D222,$G$2:G222,G222)</f>
        <v>78</v>
      </c>
      <c r="AN222" s="5" t="str">
        <f aca="false">D222&amp;"|"&amp;AM222</f>
        <v>檢索與情資關聯|78</v>
      </c>
    </row>
    <row r="223" customFormat="false" ht="17.15" hidden="false" customHeight="false" outlineLevel="0" collapsed="false">
      <c r="A223" s="16" t="n">
        <f aca="false">RANK(G223,$G$2:$G$2501)+COUNTIF($G$2:G223,G223)-1</f>
        <v>222</v>
      </c>
      <c r="B223" s="11" t="s">
        <v>817</v>
      </c>
      <c r="C223" s="11" t="s">
        <v>368</v>
      </c>
      <c r="D223" s="5" t="s">
        <v>56</v>
      </c>
      <c r="E223" s="5" t="s">
        <v>57</v>
      </c>
      <c r="F223" s="5"/>
      <c r="G223" s="22" t="n">
        <f aca="false">ROUND(SUM(I223:P223),3)</f>
        <v>75.192</v>
      </c>
      <c r="H223" s="5" t="str">
        <f aca="false">IF(G223&gt;=評分方法!$C$16,"優先評估",IF(G223&gt;=評分方法!$C$17,"列入候選",IF(G223&gt;=評分方法!$C$18,"特定情境","不建議")))</f>
        <v>列入候選</v>
      </c>
      <c r="I223" s="15" t="n">
        <f aca="false">AE223*評分方法!$C$5</f>
        <v>25.5</v>
      </c>
      <c r="J223" s="15" t="n">
        <f aca="false">AF223*評分方法!$C$6</f>
        <v>0</v>
      </c>
      <c r="K223" s="15" t="n">
        <f aca="false">AG223*評分方法!$C$7</f>
        <v>15</v>
      </c>
      <c r="L223" s="15" t="n">
        <f aca="false">AH223*評分方法!$C$8</f>
        <v>9</v>
      </c>
      <c r="M223" s="15" t="n">
        <f aca="false">AI223*評分方法!$C$9</f>
        <v>10</v>
      </c>
      <c r="N223" s="15" t="n">
        <f aca="false">AJ223*評分方法!$C$10</f>
        <v>7.692</v>
      </c>
      <c r="O223" s="15" t="n">
        <f aca="false">AK223*評分方法!$C$11</f>
        <v>5</v>
      </c>
      <c r="P223" s="15" t="n">
        <f aca="false">AL223*評分方法!$C$12</f>
        <v>3</v>
      </c>
      <c r="Q223" s="6" t="n">
        <v>1272982</v>
      </c>
      <c r="R223" s="6" t="n">
        <v>30697345596</v>
      </c>
      <c r="S223" s="11" t="s">
        <v>389</v>
      </c>
      <c r="T223" s="11" t="s">
        <v>239</v>
      </c>
      <c r="U223" s="5" t="s">
        <v>240</v>
      </c>
      <c r="V223" s="11" t="s">
        <v>333</v>
      </c>
      <c r="W223" s="5" t="s">
        <v>205</v>
      </c>
      <c r="X223" s="5" t="s">
        <v>371</v>
      </c>
      <c r="Y223" s="11" t="s">
        <v>668</v>
      </c>
      <c r="Z223" s="11" t="s">
        <v>244</v>
      </c>
      <c r="AA223" s="11" t="s">
        <v>156</v>
      </c>
      <c r="AB223" s="5" t="s">
        <v>245</v>
      </c>
      <c r="AC223" s="5" t="s">
        <v>246</v>
      </c>
      <c r="AD223" s="11" t="s">
        <v>818</v>
      </c>
      <c r="AE223" s="23" t="n">
        <v>0.85</v>
      </c>
      <c r="AF223" s="23" t="n">
        <v>0</v>
      </c>
      <c r="AG223" s="23" t="n">
        <v>1</v>
      </c>
      <c r="AH223" s="23" t="n">
        <v>0.6</v>
      </c>
      <c r="AI223" s="23" t="n">
        <v>1</v>
      </c>
      <c r="AJ223" s="23" t="n">
        <v>0.7692</v>
      </c>
      <c r="AK223" s="23" t="n">
        <v>1</v>
      </c>
      <c r="AL223" s="23" t="n">
        <v>0.6</v>
      </c>
      <c r="AM223" s="16" t="n">
        <f aca="false">COUNTIFS($D$2:$D$2501,D223,$G$2:$G$2501,"&gt;"&amp;G223)+COUNTIFS($D$2:D223,D223,$G$2:G223,G223)</f>
        <v>89</v>
      </c>
      <c r="AN223" s="5" t="str">
        <f aca="false">D223&amp;"|"&amp;AM223</f>
        <v>分析與報告生成|89</v>
      </c>
    </row>
    <row r="224" customFormat="false" ht="17.15" hidden="false" customHeight="false" outlineLevel="0" collapsed="false">
      <c r="A224" s="16" t="n">
        <f aca="false">RANK(G224,$G$2:$G$2501)+COUNTIF($G$2:G224,G224)-1</f>
        <v>223</v>
      </c>
      <c r="B224" s="11" t="s">
        <v>819</v>
      </c>
      <c r="C224" s="11" t="s">
        <v>299</v>
      </c>
      <c r="D224" s="5" t="s">
        <v>56</v>
      </c>
      <c r="E224" s="5" t="s">
        <v>57</v>
      </c>
      <c r="F224" s="5"/>
      <c r="G224" s="22" t="n">
        <f aca="false">ROUND(SUM(I224:P224),3)</f>
        <v>75.174</v>
      </c>
      <c r="H224" s="5" t="str">
        <f aca="false">IF(G224&gt;=評分方法!$C$16,"優先評估",IF(G224&gt;=評分方法!$C$17,"列入候選",IF(G224&gt;=評分方法!$C$18,"特定情境","不建議")))</f>
        <v>列入候選</v>
      </c>
      <c r="I224" s="15" t="n">
        <f aca="false">AE224*評分方法!$C$5</f>
        <v>25.5</v>
      </c>
      <c r="J224" s="15" t="n">
        <f aca="false">AF224*評分方法!$C$6</f>
        <v>0</v>
      </c>
      <c r="K224" s="15" t="n">
        <f aca="false">AG224*評分方法!$C$7</f>
        <v>15</v>
      </c>
      <c r="L224" s="15" t="n">
        <f aca="false">AH224*評分方法!$C$8</f>
        <v>13.05</v>
      </c>
      <c r="M224" s="15" t="n">
        <f aca="false">AI224*評分方法!$C$9</f>
        <v>10</v>
      </c>
      <c r="N224" s="15" t="n">
        <f aca="false">AJ224*評分方法!$C$10</f>
        <v>4.624</v>
      </c>
      <c r="O224" s="15" t="n">
        <f aca="false">AK224*評分方法!$C$11</f>
        <v>4</v>
      </c>
      <c r="P224" s="15" t="n">
        <f aca="false">AL224*評分方法!$C$12</f>
        <v>3</v>
      </c>
      <c r="Q224" s="6" t="n">
        <v>504802</v>
      </c>
      <c r="R224" s="6" t="n">
        <v>3402836480</v>
      </c>
      <c r="S224" s="11" t="s">
        <v>254</v>
      </c>
      <c r="T224" s="11" t="s">
        <v>239</v>
      </c>
      <c r="U224" s="5" t="s">
        <v>240</v>
      </c>
      <c r="V224" s="11" t="s">
        <v>261</v>
      </c>
      <c r="W224" s="5" t="s">
        <v>205</v>
      </c>
      <c r="X224" s="5" t="s">
        <v>371</v>
      </c>
      <c r="Y224" s="5"/>
      <c r="Z224" s="5"/>
      <c r="AA224" s="11" t="s">
        <v>155</v>
      </c>
      <c r="AB224" s="5" t="s">
        <v>245</v>
      </c>
      <c r="AC224" s="5"/>
      <c r="AD224" s="11" t="s">
        <v>820</v>
      </c>
      <c r="AE224" s="23" t="n">
        <v>0.85</v>
      </c>
      <c r="AF224" s="23" t="n">
        <v>0</v>
      </c>
      <c r="AG224" s="23" t="n">
        <v>1</v>
      </c>
      <c r="AH224" s="23" t="n">
        <v>0.87</v>
      </c>
      <c r="AI224" s="23" t="n">
        <v>1</v>
      </c>
      <c r="AJ224" s="23" t="n">
        <v>0.4624</v>
      </c>
      <c r="AK224" s="23" t="n">
        <v>0.8</v>
      </c>
      <c r="AL224" s="23" t="n">
        <v>0.6</v>
      </c>
      <c r="AM224" s="16" t="n">
        <f aca="false">COUNTIFS($D$2:$D$2501,D224,$G$2:$G$2501,"&gt;"&amp;G224)+COUNTIFS($D$2:D224,D224,$G$2:G224,G224)</f>
        <v>90</v>
      </c>
      <c r="AN224" s="5" t="str">
        <f aca="false">D224&amp;"|"&amp;AM224</f>
        <v>分析與報告生成|90</v>
      </c>
    </row>
    <row r="225" customFormat="false" ht="17.15" hidden="false" customHeight="false" outlineLevel="0" collapsed="false">
      <c r="A225" s="16" t="n">
        <f aca="false">RANK(G225,$G$2:$G$2501)+COUNTIF($G$2:G225,G225)-1</f>
        <v>224</v>
      </c>
      <c r="B225" s="11" t="s">
        <v>821</v>
      </c>
      <c r="C225" s="11" t="s">
        <v>299</v>
      </c>
      <c r="D225" s="5" t="s">
        <v>68</v>
      </c>
      <c r="E225" s="11" t="s">
        <v>69</v>
      </c>
      <c r="F225" s="5"/>
      <c r="G225" s="22" t="n">
        <f aca="false">ROUND(SUM(I225:P225),3)</f>
        <v>75.156</v>
      </c>
      <c r="H225" s="5" t="str">
        <f aca="false">IF(G225&gt;=評分方法!$C$16,"優先評估",IF(G225&gt;=評分方法!$C$17,"列入候選",IF(G225&gt;=評分方法!$C$18,"特定情境","不建議")))</f>
        <v>列入候選</v>
      </c>
      <c r="I225" s="15" t="n">
        <f aca="false">AE225*評分方法!$C$5</f>
        <v>21</v>
      </c>
      <c r="J225" s="15" t="n">
        <f aca="false">AF225*評分方法!$C$6</f>
        <v>0</v>
      </c>
      <c r="K225" s="15" t="n">
        <f aca="false">AG225*評分方法!$C$7</f>
        <v>15</v>
      </c>
      <c r="L225" s="15" t="n">
        <f aca="false">AH225*評分方法!$C$8</f>
        <v>15</v>
      </c>
      <c r="M225" s="15" t="n">
        <f aca="false">AI225*評分方法!$C$9</f>
        <v>10</v>
      </c>
      <c r="N225" s="15" t="n">
        <f aca="false">AJ225*評分方法!$C$10</f>
        <v>8.656</v>
      </c>
      <c r="O225" s="15" t="n">
        <f aca="false">AK225*評分方法!$C$11</f>
        <v>4</v>
      </c>
      <c r="P225" s="15" t="n">
        <f aca="false">AL225*評分方法!$C$12</f>
        <v>1.5</v>
      </c>
      <c r="Q225" s="6" t="n">
        <v>2650315</v>
      </c>
      <c r="R225" s="6" t="n">
        <v>1084330</v>
      </c>
      <c r="S225" s="11" t="s">
        <v>238</v>
      </c>
      <c r="T225" s="11" t="s">
        <v>239</v>
      </c>
      <c r="U225" s="5" t="s">
        <v>240</v>
      </c>
      <c r="V225" s="11" t="s">
        <v>261</v>
      </c>
      <c r="W225" s="5" t="s">
        <v>205</v>
      </c>
      <c r="X225" s="5" t="s">
        <v>255</v>
      </c>
      <c r="Y225" s="5"/>
      <c r="Z225" s="5"/>
      <c r="AA225" s="11" t="s">
        <v>158</v>
      </c>
      <c r="AB225" s="5" t="s">
        <v>343</v>
      </c>
      <c r="AC225" s="5" t="s">
        <v>344</v>
      </c>
      <c r="AD225" s="11" t="s">
        <v>822</v>
      </c>
      <c r="AE225" s="23" t="n">
        <v>0.7</v>
      </c>
      <c r="AF225" s="23" t="n">
        <v>0</v>
      </c>
      <c r="AG225" s="23" t="n">
        <v>1</v>
      </c>
      <c r="AH225" s="23" t="n">
        <v>1</v>
      </c>
      <c r="AI225" s="23" t="n">
        <v>1</v>
      </c>
      <c r="AJ225" s="23" t="n">
        <v>0.8656</v>
      </c>
      <c r="AK225" s="23" t="n">
        <v>0.8</v>
      </c>
      <c r="AL225" s="23" t="n">
        <v>0.3</v>
      </c>
      <c r="AM225" s="16" t="n">
        <f aca="false">COUNTIFS($D$2:$D$2501,D225,$G$2:$G$2501,"&gt;"&amp;G225)+COUNTIFS($D$2:D225,D225,$G$2:G225,G225)</f>
        <v>14</v>
      </c>
      <c r="AN225" s="5" t="str">
        <f aca="false">D225&amp;"|"&amp;AM225</f>
        <v>時序異常偵測|14</v>
      </c>
    </row>
    <row r="226" customFormat="false" ht="17.15" hidden="false" customHeight="false" outlineLevel="0" collapsed="false">
      <c r="A226" s="16" t="n">
        <f aca="false">RANK(G226,$G$2:$G$2501)+COUNTIF($G$2:G226,G226)-1</f>
        <v>225</v>
      </c>
      <c r="B226" s="11" t="s">
        <v>823</v>
      </c>
      <c r="C226" s="11" t="s">
        <v>753</v>
      </c>
      <c r="D226" s="5" t="s">
        <v>56</v>
      </c>
      <c r="E226" s="5" t="s">
        <v>57</v>
      </c>
      <c r="F226" s="5"/>
      <c r="G226" s="22" t="n">
        <f aca="false">ROUND(SUM(I226:P226),3)</f>
        <v>75.084</v>
      </c>
      <c r="H226" s="5" t="str">
        <f aca="false">IF(G226&gt;=評分方法!$C$16,"優先評估",IF(G226&gt;=評分方法!$C$17,"列入候選",IF(G226&gt;=評分方法!$C$18,"特定情境","不建議")))</f>
        <v>列入候選</v>
      </c>
      <c r="I226" s="15" t="n">
        <f aca="false">AE226*評分方法!$C$5</f>
        <v>25.5</v>
      </c>
      <c r="J226" s="15" t="n">
        <f aca="false">AF226*評分方法!$C$6</f>
        <v>0</v>
      </c>
      <c r="K226" s="15" t="n">
        <f aca="false">AG226*評分方法!$C$7</f>
        <v>10.05</v>
      </c>
      <c r="L226" s="15" t="n">
        <f aca="false">AH226*評分方法!$C$8</f>
        <v>13.05</v>
      </c>
      <c r="M226" s="15" t="n">
        <f aca="false">AI226*評分方法!$C$9</f>
        <v>10</v>
      </c>
      <c r="N226" s="15" t="n">
        <f aca="false">AJ226*評分方法!$C$10</f>
        <v>8.484</v>
      </c>
      <c r="O226" s="15" t="n">
        <f aca="false">AK226*評分方法!$C$11</f>
        <v>5</v>
      </c>
      <c r="P226" s="15" t="n">
        <f aca="false">AL226*評分方法!$C$12</f>
        <v>3</v>
      </c>
      <c r="Q226" s="6" t="n">
        <v>2187887</v>
      </c>
      <c r="R226" s="6" t="n">
        <v>7996156448</v>
      </c>
      <c r="S226" s="11" t="s">
        <v>254</v>
      </c>
      <c r="T226" s="11" t="s">
        <v>239</v>
      </c>
      <c r="U226" s="5" t="s">
        <v>240</v>
      </c>
      <c r="V226" s="11" t="s">
        <v>261</v>
      </c>
      <c r="W226" s="5" t="s">
        <v>207</v>
      </c>
      <c r="X226" s="5" t="s">
        <v>371</v>
      </c>
      <c r="Y226" s="11" t="s">
        <v>422</v>
      </c>
      <c r="Z226" s="11" t="s">
        <v>244</v>
      </c>
      <c r="AA226" s="11" t="s">
        <v>156</v>
      </c>
      <c r="AB226" s="5" t="s">
        <v>245</v>
      </c>
      <c r="AC226" s="5" t="s">
        <v>246</v>
      </c>
      <c r="AD226" s="11" t="s">
        <v>824</v>
      </c>
      <c r="AE226" s="23" t="n">
        <v>0.85</v>
      </c>
      <c r="AF226" s="23" t="n">
        <v>0</v>
      </c>
      <c r="AG226" s="23" t="n">
        <v>0.67</v>
      </c>
      <c r="AH226" s="23" t="n">
        <v>0.87</v>
      </c>
      <c r="AI226" s="23" t="n">
        <v>1</v>
      </c>
      <c r="AJ226" s="23" t="n">
        <v>0.8484</v>
      </c>
      <c r="AK226" s="23" t="n">
        <v>1</v>
      </c>
      <c r="AL226" s="23" t="n">
        <v>0.6</v>
      </c>
      <c r="AM226" s="16" t="n">
        <f aca="false">COUNTIFS($D$2:$D$2501,D226,$G$2:$G$2501,"&gt;"&amp;G226)+COUNTIFS($D$2:D226,D226,$G$2:G226,G226)</f>
        <v>91</v>
      </c>
      <c r="AN226" s="5" t="str">
        <f aca="false">D226&amp;"|"&amp;AM226</f>
        <v>分析與報告生成|91</v>
      </c>
    </row>
    <row r="227" customFormat="false" ht="17.15" hidden="false" customHeight="false" outlineLevel="0" collapsed="false">
      <c r="A227" s="16" t="n">
        <f aca="false">RANK(G227,$G$2:$G$2501)+COUNTIF($G$2:G227,G227)-1</f>
        <v>226</v>
      </c>
      <c r="B227" s="11" t="s">
        <v>825</v>
      </c>
      <c r="C227" s="11" t="s">
        <v>826</v>
      </c>
      <c r="D227" s="5" t="s">
        <v>70</v>
      </c>
      <c r="E227" s="5" t="s">
        <v>71</v>
      </c>
      <c r="F227" s="5" t="s">
        <v>70</v>
      </c>
      <c r="G227" s="22" t="n">
        <f aca="false">ROUND(SUM(I227:P227),3)</f>
        <v>75.078</v>
      </c>
      <c r="H227" s="5" t="str">
        <f aca="false">IF(G227&gt;=評分方法!$C$16,"優先評估",IF(G227&gt;=評分方法!$C$17,"列入候選",IF(G227&gt;=評分方法!$C$18,"特定情境","不建議")))</f>
        <v>列入候選</v>
      </c>
      <c r="I227" s="15" t="n">
        <f aca="false">AE227*評分方法!$C$5</f>
        <v>30</v>
      </c>
      <c r="J227" s="15" t="n">
        <f aca="false">AF227*評分方法!$C$6</f>
        <v>5</v>
      </c>
      <c r="K227" s="15" t="n">
        <f aca="false">AG227*評分方法!$C$7</f>
        <v>4.95</v>
      </c>
      <c r="L227" s="15" t="n">
        <f aca="false">AH227*評分方法!$C$8</f>
        <v>15</v>
      </c>
      <c r="M227" s="15" t="n">
        <f aca="false">AI227*評分方法!$C$9</f>
        <v>10</v>
      </c>
      <c r="N227" s="15" t="n">
        <f aca="false">AJ227*評分方法!$C$10</f>
        <v>7.628</v>
      </c>
      <c r="O227" s="15" t="n">
        <f aca="false">AK227*評分方法!$C$11</f>
        <v>1</v>
      </c>
      <c r="P227" s="15" t="n">
        <f aca="false">AL227*評分方法!$C$12</f>
        <v>1.5</v>
      </c>
      <c r="Q227" s="6" t="n">
        <v>1224274</v>
      </c>
      <c r="R227" s="6" t="n">
        <v>109487366</v>
      </c>
      <c r="S227" s="11" t="s">
        <v>238</v>
      </c>
      <c r="T227" s="11" t="s">
        <v>239</v>
      </c>
      <c r="U227" s="5" t="s">
        <v>240</v>
      </c>
      <c r="V227" s="11" t="s">
        <v>813</v>
      </c>
      <c r="W227" s="5" t="s">
        <v>334</v>
      </c>
      <c r="X227" s="5" t="s">
        <v>255</v>
      </c>
      <c r="Y227" s="5"/>
      <c r="Z227" s="5"/>
      <c r="AA227" s="11" t="s">
        <v>149</v>
      </c>
      <c r="AB227" s="5" t="s">
        <v>245</v>
      </c>
      <c r="AC227" s="5"/>
      <c r="AD227" s="11" t="s">
        <v>827</v>
      </c>
      <c r="AE227" s="23" t="n">
        <v>1</v>
      </c>
      <c r="AF227" s="23" t="n">
        <v>0.5</v>
      </c>
      <c r="AG227" s="23" t="n">
        <v>0.33</v>
      </c>
      <c r="AH227" s="23" t="n">
        <v>1</v>
      </c>
      <c r="AI227" s="23" t="n">
        <v>1</v>
      </c>
      <c r="AJ227" s="23" t="n">
        <v>0.7628</v>
      </c>
      <c r="AK227" s="23" t="n">
        <v>0.2</v>
      </c>
      <c r="AL227" s="23" t="n">
        <v>0.3</v>
      </c>
      <c r="AM227" s="16" t="n">
        <f aca="false">COUNTIFS($D$2:$D$2501,D227,$G$2:$G$2501,"&gt;"&amp;G227)+COUNTIFS($D$2:D227,D227,$G$2:G227,G227)</f>
        <v>2</v>
      </c>
      <c r="AN227" s="5" t="str">
        <f aca="false">D227&amp;"|"&amp;AM227</f>
        <v>內容安全審查|2</v>
      </c>
    </row>
    <row r="228" customFormat="false" ht="17.15" hidden="false" customHeight="false" outlineLevel="0" collapsed="false">
      <c r="A228" s="16" t="n">
        <f aca="false">RANK(G228,$G$2:$G$2501)+COUNTIF($G$2:G228,G228)-1</f>
        <v>227</v>
      </c>
      <c r="B228" s="11" t="s">
        <v>828</v>
      </c>
      <c r="C228" s="11" t="s">
        <v>338</v>
      </c>
      <c r="D228" s="5" t="s">
        <v>56</v>
      </c>
      <c r="E228" s="5" t="s">
        <v>57</v>
      </c>
      <c r="F228" s="5"/>
      <c r="G228" s="22" t="n">
        <f aca="false">ROUND(SUM(I228:P228),3)</f>
        <v>75.066</v>
      </c>
      <c r="H228" s="5" t="str">
        <f aca="false">IF(G228&gt;=評分方法!$C$16,"優先評估",IF(G228&gt;=評分方法!$C$17,"列入候選",IF(G228&gt;=評分方法!$C$18,"特定情境","不建議")))</f>
        <v>列入候選</v>
      </c>
      <c r="I228" s="15" t="n">
        <f aca="false">AE228*評分方法!$C$5</f>
        <v>25.5</v>
      </c>
      <c r="J228" s="15" t="n">
        <f aca="false">AF228*評分方法!$C$6</f>
        <v>0</v>
      </c>
      <c r="K228" s="15" t="n">
        <f aca="false">AG228*評分方法!$C$7</f>
        <v>15</v>
      </c>
      <c r="L228" s="15" t="n">
        <f aca="false">AH228*評分方法!$C$8</f>
        <v>13.05</v>
      </c>
      <c r="M228" s="15" t="n">
        <f aca="false">AI228*評分方法!$C$9</f>
        <v>6</v>
      </c>
      <c r="N228" s="15" t="n">
        <f aca="false">AJ228*評分方法!$C$10</f>
        <v>8.016</v>
      </c>
      <c r="O228" s="15" t="n">
        <f aca="false">AK228*評分方法!$C$11</f>
        <v>2.5</v>
      </c>
      <c r="P228" s="15" t="n">
        <f aca="false">AL228*評分方法!$C$12</f>
        <v>5</v>
      </c>
      <c r="Q228" s="6" t="n">
        <v>1578488</v>
      </c>
      <c r="R228" s="6" t="n">
        <v>8019808256</v>
      </c>
      <c r="S228" s="11" t="s">
        <v>254</v>
      </c>
      <c r="T228" s="11" t="s">
        <v>185</v>
      </c>
      <c r="U228" s="5" t="s">
        <v>260</v>
      </c>
      <c r="V228" s="11" t="s">
        <v>261</v>
      </c>
      <c r="W228" s="5" t="s">
        <v>205</v>
      </c>
      <c r="X228" s="5" t="s">
        <v>284</v>
      </c>
      <c r="Y228" s="5"/>
      <c r="Z228" s="5"/>
      <c r="AA228" s="11" t="s">
        <v>155</v>
      </c>
      <c r="AB228" s="5" t="s">
        <v>328</v>
      </c>
      <c r="AC228" s="5" t="s">
        <v>329</v>
      </c>
      <c r="AD228" s="11" t="s">
        <v>829</v>
      </c>
      <c r="AE228" s="23" t="n">
        <v>0.85</v>
      </c>
      <c r="AF228" s="23" t="n">
        <v>0</v>
      </c>
      <c r="AG228" s="23" t="n">
        <v>1</v>
      </c>
      <c r="AH228" s="23" t="n">
        <v>0.87</v>
      </c>
      <c r="AI228" s="23" t="n">
        <v>0.6</v>
      </c>
      <c r="AJ228" s="23" t="n">
        <v>0.8016</v>
      </c>
      <c r="AK228" s="23" t="n">
        <v>0.5</v>
      </c>
      <c r="AL228" s="23" t="n">
        <v>1</v>
      </c>
      <c r="AM228" s="16" t="n">
        <f aca="false">COUNTIFS($D$2:$D$2501,D228,$G$2:$G$2501,"&gt;"&amp;G228)+COUNTIFS($D$2:D228,D228,$G$2:G228,G228)</f>
        <v>92</v>
      </c>
      <c r="AN228" s="5" t="str">
        <f aca="false">D228&amp;"|"&amp;AM228</f>
        <v>分析與報告生成|92</v>
      </c>
    </row>
    <row r="229" customFormat="false" ht="17.15" hidden="false" customHeight="false" outlineLevel="0" collapsed="false">
      <c r="A229" s="16" t="n">
        <f aca="false">RANK(G229,$G$2:$G$2501)+COUNTIF($G$2:G229,G229)-1</f>
        <v>228</v>
      </c>
      <c r="B229" s="11" t="s">
        <v>830</v>
      </c>
      <c r="C229" s="11" t="s">
        <v>277</v>
      </c>
      <c r="D229" s="5" t="s">
        <v>56</v>
      </c>
      <c r="E229" s="5" t="s">
        <v>57</v>
      </c>
      <c r="F229" s="5"/>
      <c r="G229" s="22" t="n">
        <f aca="false">ROUND(SUM(I229:P229),3)</f>
        <v>75.064</v>
      </c>
      <c r="H229" s="5" t="str">
        <f aca="false">IF(G229&gt;=評分方法!$C$16,"優先評估",IF(G229&gt;=評分方法!$C$17,"列入候選",IF(G229&gt;=評分方法!$C$18,"特定情境","不建議")))</f>
        <v>列入候選</v>
      </c>
      <c r="I229" s="15" t="n">
        <f aca="false">AE229*評分方法!$C$5</f>
        <v>25.5</v>
      </c>
      <c r="J229" s="15" t="n">
        <f aca="false">AF229*評分方法!$C$6</f>
        <v>0</v>
      </c>
      <c r="K229" s="15" t="n">
        <f aca="false">AG229*評分方法!$C$7</f>
        <v>15</v>
      </c>
      <c r="L229" s="15" t="n">
        <f aca="false">AH229*評分方法!$C$8</f>
        <v>15</v>
      </c>
      <c r="M229" s="15" t="n">
        <f aca="false">AI229*評分方法!$C$9</f>
        <v>10</v>
      </c>
      <c r="N229" s="15" t="n">
        <f aca="false">AJ229*評分方法!$C$10</f>
        <v>8.564</v>
      </c>
      <c r="O229" s="15" t="n">
        <f aca="false">AK229*評分方法!$C$11</f>
        <v>1</v>
      </c>
      <c r="P229" s="15" t="n">
        <f aca="false">AL229*評分方法!$C$12</f>
        <v>0</v>
      </c>
      <c r="Q229" s="6" t="n">
        <v>2403368</v>
      </c>
      <c r="R229" s="6" t="n">
        <v>379988992</v>
      </c>
      <c r="S229" s="11" t="s">
        <v>238</v>
      </c>
      <c r="T229" s="11" t="s">
        <v>278</v>
      </c>
      <c r="U229" s="5" t="s">
        <v>240</v>
      </c>
      <c r="V229" s="11" t="s">
        <v>320</v>
      </c>
      <c r="W229" s="5" t="s">
        <v>205</v>
      </c>
      <c r="X229" s="5" t="s">
        <v>242</v>
      </c>
      <c r="Y229" s="5"/>
      <c r="Z229" s="5"/>
      <c r="AA229" s="11" t="s">
        <v>155</v>
      </c>
      <c r="AB229" s="5" t="s">
        <v>245</v>
      </c>
      <c r="AC229" s="5"/>
      <c r="AD229" s="11" t="s">
        <v>831</v>
      </c>
      <c r="AE229" s="23" t="n">
        <v>0.85</v>
      </c>
      <c r="AF229" s="23" t="n">
        <v>0</v>
      </c>
      <c r="AG229" s="23" t="n">
        <v>1</v>
      </c>
      <c r="AH229" s="23" t="n">
        <v>1</v>
      </c>
      <c r="AI229" s="23" t="n">
        <v>1</v>
      </c>
      <c r="AJ229" s="23" t="n">
        <v>0.8564</v>
      </c>
      <c r="AK229" s="23" t="n">
        <v>0.2</v>
      </c>
      <c r="AL229" s="23" t="n">
        <v>0</v>
      </c>
      <c r="AM229" s="16" t="n">
        <f aca="false">COUNTIFS($D$2:$D$2501,D229,$G$2:$G$2501,"&gt;"&amp;G229)+COUNTIFS($D$2:D229,D229,$G$2:G229,G229)</f>
        <v>93</v>
      </c>
      <c r="AN229" s="5" t="str">
        <f aca="false">D229&amp;"|"&amp;AM229</f>
        <v>分析與報告生成|93</v>
      </c>
    </row>
    <row r="230" customFormat="false" ht="17.15" hidden="false" customHeight="false" outlineLevel="0" collapsed="false">
      <c r="A230" s="16" t="n">
        <f aca="false">RANK(G230,$G$2:$G$2501)+COUNTIF($G$2:G230,G230)-1</f>
        <v>229</v>
      </c>
      <c r="B230" s="11" t="s">
        <v>645</v>
      </c>
      <c r="C230" s="11" t="s">
        <v>338</v>
      </c>
      <c r="D230" s="5" t="s">
        <v>56</v>
      </c>
      <c r="E230" s="5" t="s">
        <v>57</v>
      </c>
      <c r="F230" s="5"/>
      <c r="G230" s="22" t="n">
        <f aca="false">ROUND(SUM(I230:P230),3)</f>
        <v>75.022</v>
      </c>
      <c r="H230" s="5" t="str">
        <f aca="false">IF(G230&gt;=評分方法!$C$16,"優先評估",IF(G230&gt;=評分方法!$C$17,"列入候選",IF(G230&gt;=評分方法!$C$18,"特定情境","不建議")))</f>
        <v>列入候選</v>
      </c>
      <c r="I230" s="15" t="n">
        <f aca="false">AE230*評分方法!$C$5</f>
        <v>25.5</v>
      </c>
      <c r="J230" s="15" t="n">
        <f aca="false">AF230*評分方法!$C$6</f>
        <v>0</v>
      </c>
      <c r="K230" s="15" t="n">
        <f aca="false">AG230*評分方法!$C$7</f>
        <v>15</v>
      </c>
      <c r="L230" s="15" t="n">
        <f aca="false">AH230*評分方法!$C$8</f>
        <v>13.05</v>
      </c>
      <c r="M230" s="15" t="n">
        <f aca="false">AI230*評分方法!$C$9</f>
        <v>10</v>
      </c>
      <c r="N230" s="15" t="n">
        <f aca="false">AJ230*評分方法!$C$10</f>
        <v>8.972</v>
      </c>
      <c r="O230" s="15" t="n">
        <f aca="false">AK230*評分方法!$C$11</f>
        <v>2.5</v>
      </c>
      <c r="P230" s="15" t="n">
        <f aca="false">AL230*評分方法!$C$12</f>
        <v>0</v>
      </c>
      <c r="Q230" s="6" t="n">
        <v>3724375</v>
      </c>
      <c r="R230" s="6" t="n">
        <v>7241732096</v>
      </c>
      <c r="S230" s="11" t="s">
        <v>254</v>
      </c>
      <c r="T230" s="11" t="s">
        <v>239</v>
      </c>
      <c r="U230" s="5" t="s">
        <v>240</v>
      </c>
      <c r="V230" s="11" t="s">
        <v>324</v>
      </c>
      <c r="W230" s="5" t="s">
        <v>205</v>
      </c>
      <c r="X230" s="5" t="s">
        <v>242</v>
      </c>
      <c r="Y230" s="5"/>
      <c r="Z230" s="5"/>
      <c r="AA230" s="11" t="s">
        <v>155</v>
      </c>
      <c r="AB230" s="5" t="s">
        <v>245</v>
      </c>
      <c r="AC230" s="5"/>
      <c r="AD230" s="11" t="s">
        <v>832</v>
      </c>
      <c r="AE230" s="23" t="n">
        <v>0.85</v>
      </c>
      <c r="AF230" s="23" t="n">
        <v>0</v>
      </c>
      <c r="AG230" s="23" t="n">
        <v>1</v>
      </c>
      <c r="AH230" s="23" t="n">
        <v>0.87</v>
      </c>
      <c r="AI230" s="23" t="n">
        <v>1</v>
      </c>
      <c r="AJ230" s="23" t="n">
        <v>0.8972</v>
      </c>
      <c r="AK230" s="23" t="n">
        <v>0.5</v>
      </c>
      <c r="AL230" s="23" t="n">
        <v>0</v>
      </c>
      <c r="AM230" s="16" t="n">
        <f aca="false">COUNTIFS($D$2:$D$2501,D230,$G$2:$G$2501,"&gt;"&amp;G230)+COUNTIFS($D$2:D230,D230,$G$2:G230,G230)</f>
        <v>94</v>
      </c>
      <c r="AN230" s="5" t="str">
        <f aca="false">D230&amp;"|"&amp;AM230</f>
        <v>分析與報告生成|94</v>
      </c>
    </row>
    <row r="231" customFormat="false" ht="17.15" hidden="false" customHeight="false" outlineLevel="0" collapsed="false">
      <c r="A231" s="16" t="n">
        <f aca="false">RANK(G231,$G$2:$G$2501)+COUNTIF($G$2:G231,G231)-1</f>
        <v>230</v>
      </c>
      <c r="B231" s="11" t="s">
        <v>833</v>
      </c>
      <c r="C231" s="11" t="s">
        <v>834</v>
      </c>
      <c r="D231" s="5" t="s">
        <v>54</v>
      </c>
      <c r="E231" s="5" t="s">
        <v>55</v>
      </c>
      <c r="F231" s="5"/>
      <c r="G231" s="22" t="n">
        <f aca="false">ROUND(SUM(I231:P231),3)</f>
        <v>74.994</v>
      </c>
      <c r="H231" s="5" t="str">
        <f aca="false">IF(G231&gt;=評分方法!$C$16,"優先評估",IF(G231&gt;=評分方法!$C$17,"列入候選",IF(G231&gt;=評分方法!$C$18,"特定情境","不建議")))</f>
        <v>列入候選</v>
      </c>
      <c r="I231" s="15" t="n">
        <f aca="false">AE231*評分方法!$C$5</f>
        <v>27</v>
      </c>
      <c r="J231" s="15" t="n">
        <f aca="false">AF231*評分方法!$C$6</f>
        <v>0</v>
      </c>
      <c r="K231" s="15" t="n">
        <f aca="false">AG231*評分方法!$C$7</f>
        <v>15</v>
      </c>
      <c r="L231" s="15" t="n">
        <f aca="false">AH231*評分方法!$C$8</f>
        <v>7.05</v>
      </c>
      <c r="M231" s="15" t="n">
        <f aca="false">AI231*評分方法!$C$9</f>
        <v>10</v>
      </c>
      <c r="N231" s="15" t="n">
        <f aca="false">AJ231*評分方法!$C$10</f>
        <v>9.444</v>
      </c>
      <c r="O231" s="15" t="n">
        <f aca="false">AK231*評分方法!$C$11</f>
        <v>5</v>
      </c>
      <c r="P231" s="15" t="n">
        <f aca="false">AL231*評分方法!$C$12</f>
        <v>1.5</v>
      </c>
      <c r="Q231" s="6" t="n">
        <v>7729027</v>
      </c>
      <c r="R231" s="6"/>
      <c r="S231" s="5" t="s">
        <v>255</v>
      </c>
      <c r="T231" s="11" t="s">
        <v>239</v>
      </c>
      <c r="U231" s="5" t="s">
        <v>240</v>
      </c>
      <c r="V231" s="11" t="s">
        <v>514</v>
      </c>
      <c r="W231" s="5" t="s">
        <v>205</v>
      </c>
      <c r="X231" s="5" t="s">
        <v>255</v>
      </c>
      <c r="Y231" s="5"/>
      <c r="Z231" s="5"/>
      <c r="AA231" s="11" t="s">
        <v>152</v>
      </c>
      <c r="AB231" s="5" t="s">
        <v>245</v>
      </c>
      <c r="AC231" s="5"/>
      <c r="AD231" s="11" t="s">
        <v>835</v>
      </c>
      <c r="AE231" s="23" t="n">
        <v>0.9</v>
      </c>
      <c r="AF231" s="23" t="n">
        <v>0</v>
      </c>
      <c r="AG231" s="23" t="n">
        <v>1</v>
      </c>
      <c r="AH231" s="23" t="n">
        <v>0.47</v>
      </c>
      <c r="AI231" s="23" t="n">
        <v>1</v>
      </c>
      <c r="AJ231" s="23" t="n">
        <v>0.9444</v>
      </c>
      <c r="AK231" s="23" t="n">
        <v>1</v>
      </c>
      <c r="AL231" s="23" t="n">
        <v>0.3</v>
      </c>
      <c r="AM231" s="16" t="n">
        <f aca="false">COUNTIFS($D$2:$D$2501,D231,$G$2:$G$2501,"&gt;"&amp;G231)+COUNTIFS($D$2:D231,D231,$G$2:G231,G231)</f>
        <v>79</v>
      </c>
      <c r="AN231" s="5" t="str">
        <f aca="false">D231&amp;"|"&amp;AM231</f>
        <v>檢索與情資關聯|79</v>
      </c>
    </row>
    <row r="232" customFormat="false" ht="17.15" hidden="false" customHeight="false" outlineLevel="0" collapsed="false">
      <c r="A232" s="16" t="n">
        <f aca="false">RANK(G232,$G$2:$G$2501)+COUNTIF($G$2:G232,G232)-1</f>
        <v>231</v>
      </c>
      <c r="B232" s="11" t="s">
        <v>836</v>
      </c>
      <c r="C232" s="11" t="s">
        <v>338</v>
      </c>
      <c r="D232" s="5" t="s">
        <v>56</v>
      </c>
      <c r="E232" s="5" t="s">
        <v>57</v>
      </c>
      <c r="F232" s="5"/>
      <c r="G232" s="22" t="n">
        <f aca="false">ROUND(SUM(I232:P232),3)</f>
        <v>74.994</v>
      </c>
      <c r="H232" s="5" t="str">
        <f aca="false">IF(G232&gt;=評分方法!$C$16,"優先評估",IF(G232&gt;=評分方法!$C$17,"列入候選",IF(G232&gt;=評分方法!$C$18,"特定情境","不建議")))</f>
        <v>列入候選</v>
      </c>
      <c r="I232" s="15" t="n">
        <f aca="false">AE232*評分方法!$C$5</f>
        <v>25.5</v>
      </c>
      <c r="J232" s="15" t="n">
        <f aca="false">AF232*評分方法!$C$6</f>
        <v>0</v>
      </c>
      <c r="K232" s="15" t="n">
        <f aca="false">AG232*評分方法!$C$7</f>
        <v>15</v>
      </c>
      <c r="L232" s="15" t="n">
        <f aca="false">AH232*評分方法!$C$8</f>
        <v>13.05</v>
      </c>
      <c r="M232" s="15" t="n">
        <f aca="false">AI232*評分方法!$C$9</f>
        <v>10</v>
      </c>
      <c r="N232" s="15" t="n">
        <f aca="false">AJ232*評分方法!$C$10</f>
        <v>1.444</v>
      </c>
      <c r="O232" s="15" t="n">
        <f aca="false">AK232*評分方法!$C$11</f>
        <v>5</v>
      </c>
      <c r="P232" s="15" t="n">
        <f aca="false">AL232*評分方法!$C$12</f>
        <v>5</v>
      </c>
      <c r="Q232" s="6" t="n">
        <v>175966</v>
      </c>
      <c r="R232" s="6" t="n">
        <v>8918026240</v>
      </c>
      <c r="S232" s="11" t="s">
        <v>254</v>
      </c>
      <c r="T232" s="11" t="s">
        <v>239</v>
      </c>
      <c r="U232" s="5" t="s">
        <v>240</v>
      </c>
      <c r="V232" s="11" t="s">
        <v>261</v>
      </c>
      <c r="W232" s="5" t="s">
        <v>205</v>
      </c>
      <c r="X232" s="5" t="s">
        <v>284</v>
      </c>
      <c r="Y232" s="11" t="s">
        <v>414</v>
      </c>
      <c r="Z232" s="11" t="s">
        <v>270</v>
      </c>
      <c r="AA232" s="11" t="s">
        <v>155</v>
      </c>
      <c r="AB232" s="5" t="s">
        <v>328</v>
      </c>
      <c r="AC232" s="5" t="s">
        <v>400</v>
      </c>
      <c r="AD232" s="11" t="s">
        <v>837</v>
      </c>
      <c r="AE232" s="23" t="n">
        <v>0.85</v>
      </c>
      <c r="AF232" s="23" t="n">
        <v>0</v>
      </c>
      <c r="AG232" s="23" t="n">
        <v>1</v>
      </c>
      <c r="AH232" s="23" t="n">
        <v>0.87</v>
      </c>
      <c r="AI232" s="23" t="n">
        <v>1</v>
      </c>
      <c r="AJ232" s="23" t="n">
        <v>0.1444</v>
      </c>
      <c r="AK232" s="23" t="n">
        <v>1</v>
      </c>
      <c r="AL232" s="23" t="n">
        <v>1</v>
      </c>
      <c r="AM232" s="16" t="n">
        <f aca="false">COUNTIFS($D$2:$D$2501,D232,$G$2:$G$2501,"&gt;"&amp;G232)+COUNTIFS($D$2:D232,D232,$G$2:G232,G232)</f>
        <v>95</v>
      </c>
      <c r="AN232" s="5" t="str">
        <f aca="false">D232&amp;"|"&amp;AM232</f>
        <v>分析與報告生成|95</v>
      </c>
    </row>
    <row r="233" customFormat="false" ht="17.15" hidden="false" customHeight="false" outlineLevel="0" collapsed="false">
      <c r="A233" s="16" t="n">
        <f aca="false">RANK(G233,$G$2:$G$2501)+COUNTIF($G$2:G233,G233)-1</f>
        <v>232</v>
      </c>
      <c r="B233" s="11" t="s">
        <v>838</v>
      </c>
      <c r="C233" s="11" t="s">
        <v>839</v>
      </c>
      <c r="D233" s="5" t="s">
        <v>56</v>
      </c>
      <c r="E233" s="5" t="s">
        <v>57</v>
      </c>
      <c r="F233" s="5"/>
      <c r="G233" s="22" t="n">
        <f aca="false">ROUND(SUM(I233:P233),3)</f>
        <v>74.99</v>
      </c>
      <c r="H233" s="5" t="str">
        <f aca="false">IF(G233&gt;=評分方法!$C$16,"優先評估",IF(G233&gt;=評分方法!$C$17,"列入候選",IF(G233&gt;=評分方法!$C$18,"特定情境","不建議")))</f>
        <v>列入候選</v>
      </c>
      <c r="I233" s="15" t="n">
        <f aca="false">AE233*評分方法!$C$5</f>
        <v>25.5</v>
      </c>
      <c r="J233" s="15" t="n">
        <f aca="false">AF233*評分方法!$C$6</f>
        <v>0</v>
      </c>
      <c r="K233" s="15" t="n">
        <f aca="false">AG233*評分方法!$C$7</f>
        <v>15</v>
      </c>
      <c r="L233" s="15" t="n">
        <f aca="false">AH233*評分方法!$C$8</f>
        <v>13.05</v>
      </c>
      <c r="M233" s="15" t="n">
        <f aca="false">AI233*評分方法!$C$9</f>
        <v>10</v>
      </c>
      <c r="N233" s="15" t="n">
        <f aca="false">AJ233*評分方法!$C$10</f>
        <v>8.94</v>
      </c>
      <c r="O233" s="15" t="n">
        <f aca="false">AK233*評分方法!$C$11</f>
        <v>2.5</v>
      </c>
      <c r="P233" s="15" t="n">
        <f aca="false">AL233*評分方法!$C$12</f>
        <v>0</v>
      </c>
      <c r="Q233" s="6" t="n">
        <v>3610071</v>
      </c>
      <c r="R233" s="6" t="n">
        <v>3744761856</v>
      </c>
      <c r="S233" s="11" t="s">
        <v>254</v>
      </c>
      <c r="T233" s="11" t="s">
        <v>278</v>
      </c>
      <c r="U233" s="5" t="s">
        <v>240</v>
      </c>
      <c r="V233" s="11" t="s">
        <v>324</v>
      </c>
      <c r="W233" s="5" t="s">
        <v>205</v>
      </c>
      <c r="X233" s="5" t="s">
        <v>242</v>
      </c>
      <c r="Y233" s="5"/>
      <c r="Z233" s="5"/>
      <c r="AA233" s="11" t="s">
        <v>156</v>
      </c>
      <c r="AB233" s="5" t="s">
        <v>245</v>
      </c>
      <c r="AC233" s="5"/>
      <c r="AD233" s="11" t="s">
        <v>840</v>
      </c>
      <c r="AE233" s="23" t="n">
        <v>0.85</v>
      </c>
      <c r="AF233" s="23" t="n">
        <v>0</v>
      </c>
      <c r="AG233" s="23" t="n">
        <v>1</v>
      </c>
      <c r="AH233" s="23" t="n">
        <v>0.87</v>
      </c>
      <c r="AI233" s="23" t="n">
        <v>1</v>
      </c>
      <c r="AJ233" s="23" t="n">
        <v>0.894</v>
      </c>
      <c r="AK233" s="23" t="n">
        <v>0.5</v>
      </c>
      <c r="AL233" s="23" t="n">
        <v>0</v>
      </c>
      <c r="AM233" s="16" t="n">
        <f aca="false">COUNTIFS($D$2:$D$2501,D233,$G$2:$G$2501,"&gt;"&amp;G233)+COUNTIFS($D$2:D233,D233,$G$2:G233,G233)</f>
        <v>96</v>
      </c>
      <c r="AN233" s="5" t="str">
        <f aca="false">D233&amp;"|"&amp;AM233</f>
        <v>分析與報告生成|96</v>
      </c>
    </row>
    <row r="234" customFormat="false" ht="17.15" hidden="false" customHeight="false" outlineLevel="0" collapsed="false">
      <c r="A234" s="16" t="n">
        <f aca="false">RANK(G234,$G$2:$G$2501)+COUNTIF($G$2:G234,G234)-1</f>
        <v>233</v>
      </c>
      <c r="B234" s="11" t="s">
        <v>841</v>
      </c>
      <c r="C234" s="11" t="s">
        <v>282</v>
      </c>
      <c r="D234" s="5" t="s">
        <v>54</v>
      </c>
      <c r="E234" s="5" t="s">
        <v>55</v>
      </c>
      <c r="F234" s="5"/>
      <c r="G234" s="22" t="n">
        <f aca="false">ROUND(SUM(I234:P234),3)</f>
        <v>74.952</v>
      </c>
      <c r="H234" s="5" t="str">
        <f aca="false">IF(G234&gt;=評分方法!$C$16,"優先評估",IF(G234&gt;=評分方法!$C$17,"列入候選",IF(G234&gt;=評分方法!$C$18,"特定情境","不建議")))</f>
        <v>列入候選</v>
      </c>
      <c r="I234" s="15" t="n">
        <f aca="false">AE234*評分方法!$C$5</f>
        <v>27</v>
      </c>
      <c r="J234" s="15" t="n">
        <f aca="false">AF234*評分方法!$C$6</f>
        <v>0</v>
      </c>
      <c r="K234" s="15" t="n">
        <f aca="false">AG234*評分方法!$C$7</f>
        <v>15</v>
      </c>
      <c r="L234" s="15" t="n">
        <f aca="false">AH234*評分方法!$C$8</f>
        <v>15</v>
      </c>
      <c r="M234" s="15" t="n">
        <f aca="false">AI234*評分方法!$C$9</f>
        <v>10</v>
      </c>
      <c r="N234" s="15" t="n">
        <f aca="false">AJ234*評分方法!$C$10</f>
        <v>3.952</v>
      </c>
      <c r="O234" s="15" t="n">
        <f aca="false">AK234*評分方法!$C$11</f>
        <v>2.5</v>
      </c>
      <c r="P234" s="15" t="n">
        <f aca="false">AL234*評分方法!$C$12</f>
        <v>1.5</v>
      </c>
      <c r="Q234" s="6" t="n">
        <v>410436</v>
      </c>
      <c r="R234" s="6" t="n">
        <v>82118914</v>
      </c>
      <c r="S234" s="11" t="s">
        <v>238</v>
      </c>
      <c r="T234" s="11" t="s">
        <v>239</v>
      </c>
      <c r="U234" s="5" t="s">
        <v>240</v>
      </c>
      <c r="V234" s="11" t="s">
        <v>320</v>
      </c>
      <c r="W234" s="5" t="s">
        <v>205</v>
      </c>
      <c r="X234" s="5" t="s">
        <v>255</v>
      </c>
      <c r="Y234" s="5"/>
      <c r="Z234" s="5"/>
      <c r="AA234" s="11" t="s">
        <v>152</v>
      </c>
      <c r="AB234" s="5" t="s">
        <v>245</v>
      </c>
      <c r="AC234" s="5"/>
      <c r="AD234" s="11" t="s">
        <v>842</v>
      </c>
      <c r="AE234" s="23" t="n">
        <v>0.9</v>
      </c>
      <c r="AF234" s="23" t="n">
        <v>0</v>
      </c>
      <c r="AG234" s="23" t="n">
        <v>1</v>
      </c>
      <c r="AH234" s="23" t="n">
        <v>1</v>
      </c>
      <c r="AI234" s="23" t="n">
        <v>1</v>
      </c>
      <c r="AJ234" s="23" t="n">
        <v>0.3952</v>
      </c>
      <c r="AK234" s="23" t="n">
        <v>0.5</v>
      </c>
      <c r="AL234" s="23" t="n">
        <v>0.3</v>
      </c>
      <c r="AM234" s="16" t="n">
        <f aca="false">COUNTIFS($D$2:$D$2501,D234,$G$2:$G$2501,"&gt;"&amp;G234)+COUNTIFS($D$2:D234,D234,$G$2:G234,G234)</f>
        <v>80</v>
      </c>
      <c r="AN234" s="5" t="str">
        <f aca="false">D234&amp;"|"&amp;AM234</f>
        <v>檢索與情資關聯|80</v>
      </c>
    </row>
    <row r="235" customFormat="false" ht="17.15" hidden="false" customHeight="false" outlineLevel="0" collapsed="false">
      <c r="A235" s="16" t="n">
        <f aca="false">RANK(G235,$G$2:$G$2501)+COUNTIF($G$2:G235,G235)-1</f>
        <v>234</v>
      </c>
      <c r="B235" s="11" t="s">
        <v>606</v>
      </c>
      <c r="C235" s="11" t="s">
        <v>461</v>
      </c>
      <c r="D235" s="5" t="s">
        <v>56</v>
      </c>
      <c r="E235" s="5" t="s">
        <v>57</v>
      </c>
      <c r="F235" s="5"/>
      <c r="G235" s="22" t="n">
        <f aca="false">ROUND(SUM(I235:P235),3)</f>
        <v>74.926</v>
      </c>
      <c r="H235" s="5" t="str">
        <f aca="false">IF(G235&gt;=評分方法!$C$16,"優先評估",IF(G235&gt;=評分方法!$C$17,"列入候選",IF(G235&gt;=評分方法!$C$18,"特定情境","不建議")))</f>
        <v>列入候選</v>
      </c>
      <c r="I235" s="15" t="n">
        <f aca="false">AE235*評分方法!$C$5</f>
        <v>25.5</v>
      </c>
      <c r="J235" s="15" t="n">
        <f aca="false">AF235*評分方法!$C$6</f>
        <v>0</v>
      </c>
      <c r="K235" s="15" t="n">
        <f aca="false">AG235*評分方法!$C$7</f>
        <v>15</v>
      </c>
      <c r="L235" s="15" t="n">
        <f aca="false">AH235*評分方法!$C$8</f>
        <v>13.05</v>
      </c>
      <c r="M235" s="15" t="n">
        <f aca="false">AI235*評分方法!$C$9</f>
        <v>6</v>
      </c>
      <c r="N235" s="15" t="n">
        <f aca="false">AJ235*評分方法!$C$10</f>
        <v>5.376</v>
      </c>
      <c r="O235" s="15" t="n">
        <f aca="false">AK235*評分方法!$C$11</f>
        <v>5</v>
      </c>
      <c r="P235" s="15" t="n">
        <f aca="false">AL235*評分方法!$C$12</f>
        <v>5</v>
      </c>
      <c r="Q235" s="6" t="n">
        <v>566037</v>
      </c>
      <c r="R235" s="6" t="n">
        <v>8467856832</v>
      </c>
      <c r="S235" s="11" t="s">
        <v>254</v>
      </c>
      <c r="T235" s="11" t="s">
        <v>185</v>
      </c>
      <c r="U235" s="5" t="s">
        <v>260</v>
      </c>
      <c r="V235" s="11" t="s">
        <v>261</v>
      </c>
      <c r="W235" s="5" t="s">
        <v>205</v>
      </c>
      <c r="X235" s="5" t="s">
        <v>284</v>
      </c>
      <c r="Y235" s="11" t="s">
        <v>843</v>
      </c>
      <c r="Z235" s="11" t="s">
        <v>270</v>
      </c>
      <c r="AA235" s="11" t="s">
        <v>155</v>
      </c>
      <c r="AB235" s="5" t="s">
        <v>245</v>
      </c>
      <c r="AC235" s="5" t="s">
        <v>262</v>
      </c>
      <c r="AD235" s="11" t="s">
        <v>844</v>
      </c>
      <c r="AE235" s="23" t="n">
        <v>0.85</v>
      </c>
      <c r="AF235" s="23" t="n">
        <v>0</v>
      </c>
      <c r="AG235" s="23" t="n">
        <v>1</v>
      </c>
      <c r="AH235" s="23" t="n">
        <v>0.87</v>
      </c>
      <c r="AI235" s="23" t="n">
        <v>0.6</v>
      </c>
      <c r="AJ235" s="23" t="n">
        <v>0.5376</v>
      </c>
      <c r="AK235" s="23" t="n">
        <v>1</v>
      </c>
      <c r="AL235" s="23" t="n">
        <v>1</v>
      </c>
      <c r="AM235" s="16" t="n">
        <f aca="false">COUNTIFS($D$2:$D$2501,D235,$G$2:$G$2501,"&gt;"&amp;G235)+COUNTIFS($D$2:D235,D235,$G$2:G235,G235)</f>
        <v>97</v>
      </c>
      <c r="AN235" s="5" t="str">
        <f aca="false">D235&amp;"|"&amp;AM235</f>
        <v>分析與報告生成|97</v>
      </c>
    </row>
    <row r="236" customFormat="false" ht="17.15" hidden="false" customHeight="false" outlineLevel="0" collapsed="false">
      <c r="A236" s="16" t="n">
        <f aca="false">RANK(G236,$G$2:$G$2501)+COUNTIF($G$2:G236,G236)-1</f>
        <v>235</v>
      </c>
      <c r="B236" s="11" t="s">
        <v>845</v>
      </c>
      <c r="C236" s="11" t="s">
        <v>282</v>
      </c>
      <c r="D236" s="5" t="s">
        <v>54</v>
      </c>
      <c r="E236" s="5" t="s">
        <v>55</v>
      </c>
      <c r="F236" s="5"/>
      <c r="G236" s="22" t="n">
        <f aca="false">ROUND(SUM(I236:P236),3)</f>
        <v>74.908</v>
      </c>
      <c r="H236" s="5" t="str">
        <f aca="false">IF(G236&gt;=評分方法!$C$16,"優先評估",IF(G236&gt;=評分方法!$C$17,"列入候選",IF(G236&gt;=評分方法!$C$18,"特定情境","不建議")))</f>
        <v>列入候選</v>
      </c>
      <c r="I236" s="15" t="n">
        <f aca="false">AE236*評分方法!$C$5</f>
        <v>27</v>
      </c>
      <c r="J236" s="15" t="n">
        <f aca="false">AF236*評分方法!$C$6</f>
        <v>0</v>
      </c>
      <c r="K236" s="15" t="n">
        <f aca="false">AG236*評分方法!$C$7</f>
        <v>15</v>
      </c>
      <c r="L236" s="15" t="n">
        <f aca="false">AH236*評分方法!$C$8</f>
        <v>15</v>
      </c>
      <c r="M236" s="15" t="n">
        <f aca="false">AI236*評分方法!$C$9</f>
        <v>10</v>
      </c>
      <c r="N236" s="15" t="n">
        <f aca="false">AJ236*評分方法!$C$10</f>
        <v>3.908</v>
      </c>
      <c r="O236" s="15" t="n">
        <f aca="false">AK236*評分方法!$C$11</f>
        <v>2.5</v>
      </c>
      <c r="P236" s="15" t="n">
        <f aca="false">AL236*評分方法!$C$12</f>
        <v>1.5</v>
      </c>
      <c r="Q236" s="6" t="n">
        <v>402511</v>
      </c>
      <c r="R236" s="6" t="n">
        <v>66362880</v>
      </c>
      <c r="S236" s="11" t="s">
        <v>238</v>
      </c>
      <c r="T236" s="11" t="s">
        <v>239</v>
      </c>
      <c r="U236" s="5" t="s">
        <v>240</v>
      </c>
      <c r="V236" s="11" t="s">
        <v>283</v>
      </c>
      <c r="W236" s="5" t="s">
        <v>205</v>
      </c>
      <c r="X236" s="5" t="s">
        <v>255</v>
      </c>
      <c r="Y236" s="5"/>
      <c r="Z236" s="5"/>
      <c r="AA236" s="11" t="s">
        <v>152</v>
      </c>
      <c r="AB236" s="5" t="s">
        <v>245</v>
      </c>
      <c r="AC236" s="5"/>
      <c r="AD236" s="11" t="s">
        <v>846</v>
      </c>
      <c r="AE236" s="23" t="n">
        <v>0.9</v>
      </c>
      <c r="AF236" s="23" t="n">
        <v>0</v>
      </c>
      <c r="AG236" s="23" t="n">
        <v>1</v>
      </c>
      <c r="AH236" s="23" t="n">
        <v>1</v>
      </c>
      <c r="AI236" s="23" t="n">
        <v>1</v>
      </c>
      <c r="AJ236" s="23" t="n">
        <v>0.3908</v>
      </c>
      <c r="AK236" s="23" t="n">
        <v>0.5</v>
      </c>
      <c r="AL236" s="23" t="n">
        <v>0.3</v>
      </c>
      <c r="AM236" s="16" t="n">
        <f aca="false">COUNTIFS($D$2:$D$2501,D236,$G$2:$G$2501,"&gt;"&amp;G236)+COUNTIFS($D$2:D236,D236,$G$2:G236,G236)</f>
        <v>81</v>
      </c>
      <c r="AN236" s="5" t="str">
        <f aca="false">D236&amp;"|"&amp;AM236</f>
        <v>檢索與情資關聯|81</v>
      </c>
    </row>
    <row r="237" customFormat="false" ht="17.15" hidden="false" customHeight="false" outlineLevel="0" collapsed="false">
      <c r="A237" s="16" t="n">
        <f aca="false">RANK(G237,$G$2:$G$2501)+COUNTIF($G$2:G237,G237)-1</f>
        <v>236</v>
      </c>
      <c r="B237" s="11" t="s">
        <v>847</v>
      </c>
      <c r="C237" s="11" t="s">
        <v>368</v>
      </c>
      <c r="D237" s="5" t="s">
        <v>56</v>
      </c>
      <c r="E237" s="5" t="s">
        <v>57</v>
      </c>
      <c r="F237" s="5"/>
      <c r="G237" s="22" t="n">
        <f aca="false">ROUND(SUM(I237:P237),3)</f>
        <v>74.904</v>
      </c>
      <c r="H237" s="5" t="str">
        <f aca="false">IF(G237&gt;=評分方法!$C$16,"優先評估",IF(G237&gt;=評分方法!$C$17,"列入候選",IF(G237&gt;=評分方法!$C$18,"特定情境","不建議")))</f>
        <v>列入候選</v>
      </c>
      <c r="I237" s="15" t="n">
        <f aca="false">AE237*評分方法!$C$5</f>
        <v>24</v>
      </c>
      <c r="J237" s="15" t="n">
        <f aca="false">AF237*評分方法!$C$6</f>
        <v>0</v>
      </c>
      <c r="K237" s="15" t="n">
        <f aca="false">AG237*評分方法!$C$7</f>
        <v>15</v>
      </c>
      <c r="L237" s="15" t="n">
        <f aca="false">AH237*評分方法!$C$8</f>
        <v>15</v>
      </c>
      <c r="M237" s="15" t="n">
        <f aca="false">AI237*評分方法!$C$9</f>
        <v>10</v>
      </c>
      <c r="N237" s="15" t="n">
        <f aca="false">AJ237*評分方法!$C$10</f>
        <v>2.904</v>
      </c>
      <c r="O237" s="15" t="n">
        <f aca="false">AK237*評分方法!$C$11</f>
        <v>5</v>
      </c>
      <c r="P237" s="15" t="n">
        <f aca="false">AL237*評分方法!$C$12</f>
        <v>3</v>
      </c>
      <c r="Q237" s="6" t="n">
        <v>286591</v>
      </c>
      <c r="R237" s="6" t="n">
        <v>422856964</v>
      </c>
      <c r="S237" s="11" t="s">
        <v>238</v>
      </c>
      <c r="T237" s="11" t="s">
        <v>239</v>
      </c>
      <c r="U237" s="5" t="s">
        <v>240</v>
      </c>
      <c r="V237" s="11" t="s">
        <v>261</v>
      </c>
      <c r="W237" s="5" t="s">
        <v>205</v>
      </c>
      <c r="X237" s="5" t="s">
        <v>371</v>
      </c>
      <c r="Y237" s="5"/>
      <c r="Z237" s="5"/>
      <c r="AA237" s="11" t="s">
        <v>157</v>
      </c>
      <c r="AB237" s="5" t="s">
        <v>245</v>
      </c>
      <c r="AC237" s="5"/>
      <c r="AD237" s="11" t="s">
        <v>848</v>
      </c>
      <c r="AE237" s="23" t="n">
        <v>0.8</v>
      </c>
      <c r="AF237" s="23" t="n">
        <v>0</v>
      </c>
      <c r="AG237" s="23" t="n">
        <v>1</v>
      </c>
      <c r="AH237" s="23" t="n">
        <v>1</v>
      </c>
      <c r="AI237" s="23" t="n">
        <v>1</v>
      </c>
      <c r="AJ237" s="23" t="n">
        <v>0.2904</v>
      </c>
      <c r="AK237" s="23" t="n">
        <v>1</v>
      </c>
      <c r="AL237" s="23" t="n">
        <v>0.6</v>
      </c>
      <c r="AM237" s="16" t="n">
        <f aca="false">COUNTIFS($D$2:$D$2501,D237,$G$2:$G$2501,"&gt;"&amp;G237)+COUNTIFS($D$2:D237,D237,$G$2:G237,G237)</f>
        <v>98</v>
      </c>
      <c r="AN237" s="5" t="str">
        <f aca="false">D237&amp;"|"&amp;AM237</f>
        <v>分析與報告生成|98</v>
      </c>
    </row>
    <row r="238" customFormat="false" ht="17.15" hidden="false" customHeight="false" outlineLevel="0" collapsed="false">
      <c r="A238" s="16" t="n">
        <f aca="false">RANK(G238,$G$2:$G$2501)+COUNTIF($G$2:G238,G238)-1</f>
        <v>237</v>
      </c>
      <c r="B238" s="11" t="s">
        <v>390</v>
      </c>
      <c r="C238" s="11" t="s">
        <v>253</v>
      </c>
      <c r="D238" s="5" t="s">
        <v>56</v>
      </c>
      <c r="E238" s="5" t="s">
        <v>57</v>
      </c>
      <c r="F238" s="5"/>
      <c r="G238" s="22" t="n">
        <f aca="false">ROUND(SUM(I238:P238),3)</f>
        <v>74.892</v>
      </c>
      <c r="H238" s="5" t="str">
        <f aca="false">IF(G238&gt;=評分方法!$C$16,"優先評估",IF(G238&gt;=評分方法!$C$17,"列入候選",IF(G238&gt;=評分方法!$C$18,"特定情境","不建議")))</f>
        <v>列入候選</v>
      </c>
      <c r="I238" s="15" t="n">
        <f aca="false">AE238*評分方法!$C$5</f>
        <v>25.5</v>
      </c>
      <c r="J238" s="15" t="n">
        <f aca="false">AF238*評分方法!$C$6</f>
        <v>0</v>
      </c>
      <c r="K238" s="15" t="n">
        <f aca="false">AG238*評分方法!$C$7</f>
        <v>15</v>
      </c>
      <c r="L238" s="15" t="n">
        <f aca="false">AH238*評分方法!$C$8</f>
        <v>9</v>
      </c>
      <c r="M238" s="15" t="n">
        <f aca="false">AI238*評分方法!$C$9</f>
        <v>10</v>
      </c>
      <c r="N238" s="15" t="n">
        <f aca="false">AJ238*評分方法!$C$10</f>
        <v>9.892</v>
      </c>
      <c r="O238" s="15" t="n">
        <f aca="false">AK238*評分方法!$C$11</f>
        <v>2.5</v>
      </c>
      <c r="P238" s="15" t="n">
        <f aca="false">AL238*評分方法!$C$12</f>
        <v>3</v>
      </c>
      <c r="Q238" s="6" t="n">
        <v>44791807</v>
      </c>
      <c r="R238" s="6" t="n">
        <v>20914757184</v>
      </c>
      <c r="S238" s="11" t="s">
        <v>389</v>
      </c>
      <c r="T238" s="11" t="s">
        <v>239</v>
      </c>
      <c r="U238" s="5" t="s">
        <v>240</v>
      </c>
      <c r="V238" s="11" t="s">
        <v>324</v>
      </c>
      <c r="W238" s="5" t="s">
        <v>205</v>
      </c>
      <c r="X238" s="5" t="s">
        <v>371</v>
      </c>
      <c r="Y238" s="5"/>
      <c r="Z238" s="5"/>
      <c r="AA238" s="11" t="s">
        <v>155</v>
      </c>
      <c r="AB238" s="5" t="s">
        <v>245</v>
      </c>
      <c r="AC238" s="5"/>
      <c r="AD238" s="11" t="s">
        <v>849</v>
      </c>
      <c r="AE238" s="23" t="n">
        <v>0.85</v>
      </c>
      <c r="AF238" s="23" t="n">
        <v>0</v>
      </c>
      <c r="AG238" s="23" t="n">
        <v>1</v>
      </c>
      <c r="AH238" s="23" t="n">
        <v>0.6</v>
      </c>
      <c r="AI238" s="23" t="n">
        <v>1</v>
      </c>
      <c r="AJ238" s="23" t="n">
        <v>0.9892</v>
      </c>
      <c r="AK238" s="23" t="n">
        <v>0.5</v>
      </c>
      <c r="AL238" s="23" t="n">
        <v>0.6</v>
      </c>
      <c r="AM238" s="16" t="n">
        <f aca="false">COUNTIFS($D$2:$D$2501,D238,$G$2:$G$2501,"&gt;"&amp;G238)+COUNTIFS($D$2:D238,D238,$G$2:G238,G238)</f>
        <v>99</v>
      </c>
      <c r="AN238" s="5" t="str">
        <f aca="false">D238&amp;"|"&amp;AM238</f>
        <v>分析與報告生成|99</v>
      </c>
    </row>
    <row r="239" customFormat="false" ht="17.15" hidden="false" customHeight="false" outlineLevel="0" collapsed="false">
      <c r="A239" s="16" t="n">
        <f aca="false">RANK(G239,$G$2:$G$2501)+COUNTIF($G$2:G239,G239)-1</f>
        <v>238</v>
      </c>
      <c r="B239" s="11" t="s">
        <v>850</v>
      </c>
      <c r="C239" s="11" t="s">
        <v>265</v>
      </c>
      <c r="D239" s="5" t="s">
        <v>58</v>
      </c>
      <c r="E239" s="5" t="s">
        <v>59</v>
      </c>
      <c r="F239" s="5"/>
      <c r="G239" s="22" t="n">
        <f aca="false">ROUND(SUM(I239:P239),3)</f>
        <v>74.868</v>
      </c>
      <c r="H239" s="5" t="str">
        <f aca="false">IF(G239&gt;=評分方法!$C$16,"優先評估",IF(G239&gt;=評分方法!$C$17,"列入候選",IF(G239&gt;=評分方法!$C$18,"特定情境","不建議")))</f>
        <v>列入候選</v>
      </c>
      <c r="I239" s="15" t="n">
        <f aca="false">AE239*評分方法!$C$5</f>
        <v>28.5</v>
      </c>
      <c r="J239" s="15" t="n">
        <f aca="false">AF239*評分方法!$C$6</f>
        <v>0</v>
      </c>
      <c r="K239" s="15" t="n">
        <f aca="false">AG239*評分方法!$C$7</f>
        <v>15</v>
      </c>
      <c r="L239" s="15" t="n">
        <f aca="false">AH239*評分方法!$C$8</f>
        <v>15</v>
      </c>
      <c r="M239" s="15" t="n">
        <f aca="false">AI239*評分方法!$C$9</f>
        <v>10</v>
      </c>
      <c r="N239" s="15" t="n">
        <f aca="false">AJ239*評分方法!$C$10</f>
        <v>1.368</v>
      </c>
      <c r="O239" s="15" t="n">
        <f aca="false">AK239*評分方法!$C$11</f>
        <v>5</v>
      </c>
      <c r="P239" s="15" t="n">
        <f aca="false">AL239*評分方法!$C$12</f>
        <v>0</v>
      </c>
      <c r="Q239" s="6" t="n">
        <v>172268</v>
      </c>
      <c r="R239" s="6" t="n">
        <v>193581591</v>
      </c>
      <c r="S239" s="11" t="s">
        <v>238</v>
      </c>
      <c r="T239" s="11" t="s">
        <v>239</v>
      </c>
      <c r="U239" s="5" t="s">
        <v>240</v>
      </c>
      <c r="V239" s="11" t="s">
        <v>261</v>
      </c>
      <c r="W239" s="5" t="s">
        <v>205</v>
      </c>
      <c r="X239" s="5" t="s">
        <v>242</v>
      </c>
      <c r="Y239" s="5"/>
      <c r="Z239" s="5"/>
      <c r="AA239" s="11" t="s">
        <v>150</v>
      </c>
      <c r="AB239" s="5" t="s">
        <v>343</v>
      </c>
      <c r="AC239" s="5" t="s">
        <v>344</v>
      </c>
      <c r="AD239" s="11" t="s">
        <v>851</v>
      </c>
      <c r="AE239" s="23" t="n">
        <v>0.95</v>
      </c>
      <c r="AF239" s="23" t="n">
        <v>0</v>
      </c>
      <c r="AG239" s="23" t="n">
        <v>1</v>
      </c>
      <c r="AH239" s="23" t="n">
        <v>1</v>
      </c>
      <c r="AI239" s="23" t="n">
        <v>1</v>
      </c>
      <c r="AJ239" s="23" t="n">
        <v>0.1368</v>
      </c>
      <c r="AK239" s="23" t="n">
        <v>1</v>
      </c>
      <c r="AL239" s="23" t="n">
        <v>0</v>
      </c>
      <c r="AM239" s="16" t="n">
        <f aca="false">COUNTIFS($D$2:$D$2501,D239,$G$2:$G$2501,"&gt;"&amp;G239)+COUNTIFS($D$2:D239,D239,$G$2:G239,G239)</f>
        <v>7</v>
      </c>
      <c r="AN239" s="5" t="str">
        <f aca="false">D239&amp;"|"&amp;AM239</f>
        <v>實體擷取與去識別化|7</v>
      </c>
    </row>
    <row r="240" customFormat="false" ht="17.15" hidden="false" customHeight="false" outlineLevel="0" collapsed="false">
      <c r="A240" s="16" t="n">
        <f aca="false">RANK(G240,$G$2:$G$2501)+COUNTIF($G$2:G240,G240)-1</f>
        <v>239</v>
      </c>
      <c r="B240" s="11" t="s">
        <v>852</v>
      </c>
      <c r="C240" s="11" t="s">
        <v>368</v>
      </c>
      <c r="D240" s="5" t="s">
        <v>56</v>
      </c>
      <c r="E240" s="5" t="s">
        <v>57</v>
      </c>
      <c r="F240" s="5"/>
      <c r="G240" s="22" t="n">
        <f aca="false">ROUND(SUM(I240:P240),3)</f>
        <v>74.832</v>
      </c>
      <c r="H240" s="5" t="str">
        <f aca="false">IF(G240&gt;=評分方法!$C$16,"優先評估",IF(G240&gt;=評分方法!$C$17,"列入候選",IF(G240&gt;=評分方法!$C$18,"特定情境","不建議")))</f>
        <v>列入候選</v>
      </c>
      <c r="I240" s="15" t="n">
        <f aca="false">AE240*評分方法!$C$5</f>
        <v>24</v>
      </c>
      <c r="J240" s="15" t="n">
        <f aca="false">AF240*評分方法!$C$6</f>
        <v>0</v>
      </c>
      <c r="K240" s="15" t="n">
        <f aca="false">AG240*評分方法!$C$7</f>
        <v>15</v>
      </c>
      <c r="L240" s="15" t="n">
        <f aca="false">AH240*評分方法!$C$8</f>
        <v>9</v>
      </c>
      <c r="M240" s="15" t="n">
        <f aca="false">AI240*評分方法!$C$9</f>
        <v>10</v>
      </c>
      <c r="N240" s="15" t="n">
        <f aca="false">AJ240*評分方法!$C$10</f>
        <v>8.832</v>
      </c>
      <c r="O240" s="15" t="n">
        <f aca="false">AK240*評分方法!$C$11</f>
        <v>5</v>
      </c>
      <c r="P240" s="15" t="n">
        <f aca="false">AL240*評分方法!$C$12</f>
        <v>3</v>
      </c>
      <c r="Q240" s="6" t="n">
        <v>3148373</v>
      </c>
      <c r="R240" s="6" t="n">
        <v>11907350576</v>
      </c>
      <c r="S240" s="11" t="s">
        <v>389</v>
      </c>
      <c r="T240" s="11" t="s">
        <v>239</v>
      </c>
      <c r="U240" s="5" t="s">
        <v>240</v>
      </c>
      <c r="V240" s="11" t="s">
        <v>333</v>
      </c>
      <c r="W240" s="5" t="s">
        <v>205</v>
      </c>
      <c r="X240" s="5" t="s">
        <v>371</v>
      </c>
      <c r="Y240" s="11" t="s">
        <v>801</v>
      </c>
      <c r="Z240" s="11" t="s">
        <v>244</v>
      </c>
      <c r="AA240" s="11" t="s">
        <v>157</v>
      </c>
      <c r="AB240" s="5" t="s">
        <v>245</v>
      </c>
      <c r="AC240" s="5" t="s">
        <v>246</v>
      </c>
      <c r="AD240" s="11" t="s">
        <v>853</v>
      </c>
      <c r="AE240" s="23" t="n">
        <v>0.8</v>
      </c>
      <c r="AF240" s="23" t="n">
        <v>0</v>
      </c>
      <c r="AG240" s="23" t="n">
        <v>1</v>
      </c>
      <c r="AH240" s="23" t="n">
        <v>0.6</v>
      </c>
      <c r="AI240" s="23" t="n">
        <v>1</v>
      </c>
      <c r="AJ240" s="23" t="n">
        <v>0.8832</v>
      </c>
      <c r="AK240" s="23" t="n">
        <v>1</v>
      </c>
      <c r="AL240" s="23" t="n">
        <v>0.6</v>
      </c>
      <c r="AM240" s="16" t="n">
        <f aca="false">COUNTIFS($D$2:$D$2501,D240,$G$2:$G$2501,"&gt;"&amp;G240)+COUNTIFS($D$2:D240,D240,$G$2:G240,G240)</f>
        <v>100</v>
      </c>
      <c r="AN240" s="5" t="str">
        <f aca="false">D240&amp;"|"&amp;AM240</f>
        <v>分析與報告生成|100</v>
      </c>
    </row>
    <row r="241" customFormat="false" ht="17.15" hidden="false" customHeight="false" outlineLevel="0" collapsed="false">
      <c r="A241" s="16" t="n">
        <f aca="false">RANK(G241,$G$2:$G$2501)+COUNTIF($G$2:G241,G241)-1</f>
        <v>240</v>
      </c>
      <c r="B241" s="11" t="s">
        <v>515</v>
      </c>
      <c r="C241" s="11" t="s">
        <v>854</v>
      </c>
      <c r="D241" s="5" t="s">
        <v>66</v>
      </c>
      <c r="E241" s="5" t="s">
        <v>67</v>
      </c>
      <c r="F241" s="5"/>
      <c r="G241" s="22" t="n">
        <f aca="false">ROUND(SUM(I241:P241),3)</f>
        <v>74.81</v>
      </c>
      <c r="H241" s="5" t="str">
        <f aca="false">IF(G241&gt;=評分方法!$C$16,"優先評估",IF(G241&gt;=評分方法!$C$17,"列入候選",IF(G241&gt;=評分方法!$C$18,"特定情境","不建議")))</f>
        <v>列入候選</v>
      </c>
      <c r="I241" s="15" t="n">
        <f aca="false">AE241*評分方法!$C$5</f>
        <v>30</v>
      </c>
      <c r="J241" s="15" t="n">
        <f aca="false">AF241*評分方法!$C$6</f>
        <v>0</v>
      </c>
      <c r="K241" s="15" t="n">
        <f aca="false">AG241*評分方法!$C$7</f>
        <v>4.95</v>
      </c>
      <c r="L241" s="15" t="n">
        <f aca="false">AH241*評分方法!$C$8</f>
        <v>15</v>
      </c>
      <c r="M241" s="15" t="n">
        <f aca="false">AI241*評分方法!$C$9</f>
        <v>10</v>
      </c>
      <c r="N241" s="15" t="n">
        <f aca="false">AJ241*評分方法!$C$10</f>
        <v>8.86</v>
      </c>
      <c r="O241" s="15" t="n">
        <f aca="false">AK241*評分方法!$C$11</f>
        <v>1</v>
      </c>
      <c r="P241" s="15" t="n">
        <f aca="false">AL241*評分方法!$C$12</f>
        <v>5</v>
      </c>
      <c r="Q241" s="6" t="n">
        <v>3215963</v>
      </c>
      <c r="R241" s="6" t="n">
        <v>278059542</v>
      </c>
      <c r="S241" s="11" t="s">
        <v>238</v>
      </c>
      <c r="T241" s="11" t="s">
        <v>278</v>
      </c>
      <c r="U241" s="5" t="s">
        <v>240</v>
      </c>
      <c r="V241" s="11" t="s">
        <v>855</v>
      </c>
      <c r="W241" s="5" t="s">
        <v>334</v>
      </c>
      <c r="X241" s="5" t="s">
        <v>284</v>
      </c>
      <c r="Y241" s="11" t="s">
        <v>856</v>
      </c>
      <c r="Z241" s="11" t="s">
        <v>270</v>
      </c>
      <c r="AA241" s="11" t="s">
        <v>149</v>
      </c>
      <c r="AB241" s="5" t="s">
        <v>245</v>
      </c>
      <c r="AC241" s="5"/>
      <c r="AD241" s="11" t="s">
        <v>857</v>
      </c>
      <c r="AE241" s="23" t="n">
        <v>1</v>
      </c>
      <c r="AF241" s="23" t="n">
        <v>0</v>
      </c>
      <c r="AG241" s="23" t="n">
        <v>0.33</v>
      </c>
      <c r="AH241" s="23" t="n">
        <v>1</v>
      </c>
      <c r="AI241" s="23" t="n">
        <v>1</v>
      </c>
      <c r="AJ241" s="23" t="n">
        <v>0.886</v>
      </c>
      <c r="AK241" s="23" t="n">
        <v>0.2</v>
      </c>
      <c r="AL241" s="23" t="n">
        <v>1</v>
      </c>
      <c r="AM241" s="16" t="n">
        <f aca="false">COUNTIFS($D$2:$D$2501,D241,$G$2:$G$2501,"&gt;"&amp;G241)+COUNTIFS($D$2:D241,D241,$G$2:G241,G241)</f>
        <v>8</v>
      </c>
      <c r="AN241" s="5" t="str">
        <f aca="false">D241&amp;"|"&amp;AM241</f>
        <v>分類與偵測|8</v>
      </c>
    </row>
    <row r="242" customFormat="false" ht="17.15" hidden="false" customHeight="false" outlineLevel="0" collapsed="false">
      <c r="A242" s="16" t="n">
        <f aca="false">RANK(G242,$G$2:$G$2501)+COUNTIF($G$2:G242,G242)-1</f>
        <v>241</v>
      </c>
      <c r="B242" s="11" t="s">
        <v>858</v>
      </c>
      <c r="C242" s="11" t="s">
        <v>368</v>
      </c>
      <c r="D242" s="5" t="s">
        <v>56</v>
      </c>
      <c r="E242" s="5" t="s">
        <v>57</v>
      </c>
      <c r="F242" s="5"/>
      <c r="G242" s="22" t="n">
        <f aca="false">ROUND(SUM(I242:P242),3)</f>
        <v>74.81</v>
      </c>
      <c r="H242" s="5" t="str">
        <f aca="false">IF(G242&gt;=評分方法!$C$16,"優先評估",IF(G242&gt;=評分方法!$C$17,"列入候選",IF(G242&gt;=評分方法!$C$18,"特定情境","不建議")))</f>
        <v>列入候選</v>
      </c>
      <c r="I242" s="15" t="n">
        <f aca="false">AE242*評分方法!$C$5</f>
        <v>25.5</v>
      </c>
      <c r="J242" s="15" t="n">
        <f aca="false">AF242*評分方法!$C$6</f>
        <v>0</v>
      </c>
      <c r="K242" s="15" t="n">
        <f aca="false">AG242*評分方法!$C$7</f>
        <v>15</v>
      </c>
      <c r="L242" s="15" t="n">
        <f aca="false">AH242*評分方法!$C$8</f>
        <v>13.05</v>
      </c>
      <c r="M242" s="15" t="n">
        <f aca="false">AI242*評分方法!$C$9</f>
        <v>6</v>
      </c>
      <c r="N242" s="15" t="n">
        <f aca="false">AJ242*評分方法!$C$10</f>
        <v>8.26</v>
      </c>
      <c r="O242" s="15" t="n">
        <f aca="false">AK242*評分方法!$C$11</f>
        <v>4</v>
      </c>
      <c r="P242" s="15" t="n">
        <f aca="false">AL242*評分方法!$C$12</f>
        <v>3</v>
      </c>
      <c r="Q242" s="6" t="n">
        <v>1892741</v>
      </c>
      <c r="R242" s="6" t="n">
        <v>4300079472</v>
      </c>
      <c r="S242" s="11" t="s">
        <v>254</v>
      </c>
      <c r="T242" s="11" t="s">
        <v>185</v>
      </c>
      <c r="U242" s="5" t="s">
        <v>260</v>
      </c>
      <c r="V242" s="11" t="s">
        <v>261</v>
      </c>
      <c r="W242" s="5" t="s">
        <v>205</v>
      </c>
      <c r="X242" s="5" t="s">
        <v>371</v>
      </c>
      <c r="Y242" s="5"/>
      <c r="Z242" s="5"/>
      <c r="AA242" s="11" t="s">
        <v>156</v>
      </c>
      <c r="AB242" s="5" t="s">
        <v>245</v>
      </c>
      <c r="AC242" s="5" t="s">
        <v>262</v>
      </c>
      <c r="AD242" s="11" t="s">
        <v>859</v>
      </c>
      <c r="AE242" s="23" t="n">
        <v>0.85</v>
      </c>
      <c r="AF242" s="23" t="n">
        <v>0</v>
      </c>
      <c r="AG242" s="23" t="n">
        <v>1</v>
      </c>
      <c r="AH242" s="23" t="n">
        <v>0.87</v>
      </c>
      <c r="AI242" s="23" t="n">
        <v>0.6</v>
      </c>
      <c r="AJ242" s="23" t="n">
        <v>0.826</v>
      </c>
      <c r="AK242" s="23" t="n">
        <v>0.8</v>
      </c>
      <c r="AL242" s="23" t="n">
        <v>0.6</v>
      </c>
      <c r="AM242" s="16" t="n">
        <f aca="false">COUNTIFS($D$2:$D$2501,D242,$G$2:$G$2501,"&gt;"&amp;G242)+COUNTIFS($D$2:D242,D242,$G$2:G242,G242)</f>
        <v>101</v>
      </c>
      <c r="AN242" s="5" t="str">
        <f aca="false">D242&amp;"|"&amp;AM242</f>
        <v>分析與報告生成|101</v>
      </c>
    </row>
    <row r="243" customFormat="false" ht="17.15" hidden="false" customHeight="false" outlineLevel="0" collapsed="false">
      <c r="A243" s="16" t="n">
        <f aca="false">RANK(G243,$G$2:$G$2501)+COUNTIF($G$2:G243,G243)-1</f>
        <v>242</v>
      </c>
      <c r="B243" s="11" t="s">
        <v>860</v>
      </c>
      <c r="C243" s="11" t="s">
        <v>323</v>
      </c>
      <c r="D243" s="5" t="s">
        <v>56</v>
      </c>
      <c r="E243" s="5" t="s">
        <v>57</v>
      </c>
      <c r="F243" s="5"/>
      <c r="G243" s="22" t="n">
        <f aca="false">ROUND(SUM(I243:P243),3)</f>
        <v>74.778</v>
      </c>
      <c r="H243" s="5" t="str">
        <f aca="false">IF(G243&gt;=評分方法!$C$16,"優先評估",IF(G243&gt;=評分方法!$C$17,"列入候選",IF(G243&gt;=評分方法!$C$18,"特定情境","不建議")))</f>
        <v>列入候選</v>
      </c>
      <c r="I243" s="15" t="n">
        <f aca="false">AE243*評分方法!$C$5</f>
        <v>25.5</v>
      </c>
      <c r="J243" s="15" t="n">
        <f aca="false">AF243*評分方法!$C$6</f>
        <v>0</v>
      </c>
      <c r="K243" s="15" t="n">
        <f aca="false">AG243*評分方法!$C$7</f>
        <v>15</v>
      </c>
      <c r="L243" s="15" t="n">
        <f aca="false">AH243*評分方法!$C$8</f>
        <v>13.05</v>
      </c>
      <c r="M243" s="15" t="n">
        <f aca="false">AI243*評分方法!$C$9</f>
        <v>10</v>
      </c>
      <c r="N243" s="15" t="n">
        <f aca="false">AJ243*評分方法!$C$10</f>
        <v>8.728</v>
      </c>
      <c r="O243" s="15" t="n">
        <f aca="false">AK243*評分方法!$C$11</f>
        <v>2.5</v>
      </c>
      <c r="P243" s="15" t="n">
        <f aca="false">AL243*評分方法!$C$12</f>
        <v>0</v>
      </c>
      <c r="Q243" s="6" t="n">
        <v>2851496</v>
      </c>
      <c r="R243" s="6" t="n">
        <v>1484916736</v>
      </c>
      <c r="S243" s="11" t="s">
        <v>254</v>
      </c>
      <c r="T243" s="11" t="s">
        <v>239</v>
      </c>
      <c r="U243" s="5" t="s">
        <v>240</v>
      </c>
      <c r="V243" s="11" t="s">
        <v>261</v>
      </c>
      <c r="W243" s="5" t="s">
        <v>205</v>
      </c>
      <c r="X243" s="5" t="s">
        <v>242</v>
      </c>
      <c r="Y243" s="5"/>
      <c r="Z243" s="5"/>
      <c r="AA243" s="11" t="s">
        <v>155</v>
      </c>
      <c r="AB243" s="5" t="s">
        <v>245</v>
      </c>
      <c r="AC243" s="5"/>
      <c r="AD243" s="11" t="s">
        <v>861</v>
      </c>
      <c r="AE243" s="23" t="n">
        <v>0.85</v>
      </c>
      <c r="AF243" s="23" t="n">
        <v>0</v>
      </c>
      <c r="AG243" s="23" t="n">
        <v>1</v>
      </c>
      <c r="AH243" s="23" t="n">
        <v>0.87</v>
      </c>
      <c r="AI243" s="23" t="n">
        <v>1</v>
      </c>
      <c r="AJ243" s="23" t="n">
        <v>0.8728</v>
      </c>
      <c r="AK243" s="23" t="n">
        <v>0.5</v>
      </c>
      <c r="AL243" s="23" t="n">
        <v>0</v>
      </c>
      <c r="AM243" s="16" t="n">
        <f aca="false">COUNTIFS($D$2:$D$2501,D243,$G$2:$G$2501,"&gt;"&amp;G243)+COUNTIFS($D$2:D243,D243,$G$2:G243,G243)</f>
        <v>102</v>
      </c>
      <c r="AN243" s="5" t="str">
        <f aca="false">D243&amp;"|"&amp;AM243</f>
        <v>分析與報告生成|102</v>
      </c>
    </row>
    <row r="244" customFormat="false" ht="17.15" hidden="false" customHeight="false" outlineLevel="0" collapsed="false">
      <c r="A244" s="16" t="n">
        <f aca="false">RANK(G244,$G$2:$G$2501)+COUNTIF($G$2:G244,G244)-1</f>
        <v>243</v>
      </c>
      <c r="B244" s="11" t="s">
        <v>862</v>
      </c>
      <c r="C244" s="11" t="s">
        <v>569</v>
      </c>
      <c r="D244" s="5" t="s">
        <v>68</v>
      </c>
      <c r="E244" s="11" t="s">
        <v>69</v>
      </c>
      <c r="F244" s="5"/>
      <c r="G244" s="22" t="n">
        <f aca="false">ROUND(SUM(I244:P244),3)</f>
        <v>74.736</v>
      </c>
      <c r="H244" s="5" t="str">
        <f aca="false">IF(G244&gt;=評分方法!$C$16,"優先評估",IF(G244&gt;=評分方法!$C$17,"列入候選",IF(G244&gt;=評分方法!$C$18,"特定情境","不建議")))</f>
        <v>列入候選</v>
      </c>
      <c r="I244" s="15" t="n">
        <f aca="false">AE244*評分方法!$C$5</f>
        <v>21</v>
      </c>
      <c r="J244" s="15" t="n">
        <f aca="false">AF244*評分方法!$C$6</f>
        <v>0</v>
      </c>
      <c r="K244" s="15" t="n">
        <f aca="false">AG244*評分方法!$C$7</f>
        <v>15</v>
      </c>
      <c r="L244" s="15" t="n">
        <f aca="false">AH244*評分方法!$C$8</f>
        <v>15</v>
      </c>
      <c r="M244" s="15" t="n">
        <f aca="false">AI244*評分方法!$C$9</f>
        <v>10</v>
      </c>
      <c r="N244" s="15" t="n">
        <f aca="false">AJ244*評分方法!$C$10</f>
        <v>8.236</v>
      </c>
      <c r="O244" s="15" t="n">
        <f aca="false">AK244*評分方法!$C$11</f>
        <v>4</v>
      </c>
      <c r="P244" s="15" t="n">
        <f aca="false">AL244*評分方法!$C$12</f>
        <v>1.5</v>
      </c>
      <c r="Q244" s="6" t="n">
        <v>1845876</v>
      </c>
      <c r="R244" s="6" t="n">
        <v>708963328</v>
      </c>
      <c r="S244" s="11" t="s">
        <v>238</v>
      </c>
      <c r="T244" s="11" t="s">
        <v>239</v>
      </c>
      <c r="U244" s="5" t="s">
        <v>240</v>
      </c>
      <c r="V244" s="11" t="s">
        <v>261</v>
      </c>
      <c r="W244" s="5" t="s">
        <v>205</v>
      </c>
      <c r="X244" s="5" t="s">
        <v>255</v>
      </c>
      <c r="Y244" s="5"/>
      <c r="Z244" s="5"/>
      <c r="AA244" s="11" t="s">
        <v>158</v>
      </c>
      <c r="AB244" s="5" t="s">
        <v>245</v>
      </c>
      <c r="AC244" s="5"/>
      <c r="AD244" s="11" t="s">
        <v>863</v>
      </c>
      <c r="AE244" s="23" t="n">
        <v>0.7</v>
      </c>
      <c r="AF244" s="23" t="n">
        <v>0</v>
      </c>
      <c r="AG244" s="23" t="n">
        <v>1</v>
      </c>
      <c r="AH244" s="23" t="n">
        <v>1</v>
      </c>
      <c r="AI244" s="23" t="n">
        <v>1</v>
      </c>
      <c r="AJ244" s="23" t="n">
        <v>0.8236</v>
      </c>
      <c r="AK244" s="23" t="n">
        <v>0.8</v>
      </c>
      <c r="AL244" s="23" t="n">
        <v>0.3</v>
      </c>
      <c r="AM244" s="16" t="n">
        <f aca="false">COUNTIFS($D$2:$D$2501,D244,$G$2:$G$2501,"&gt;"&amp;G244)+COUNTIFS($D$2:D244,D244,$G$2:G244,G244)</f>
        <v>15</v>
      </c>
      <c r="AN244" s="5" t="str">
        <f aca="false">D244&amp;"|"&amp;AM244</f>
        <v>時序異常偵測|15</v>
      </c>
    </row>
    <row r="245" customFormat="false" ht="17.15" hidden="false" customHeight="false" outlineLevel="0" collapsed="false">
      <c r="A245" s="16" t="n">
        <f aca="false">RANK(G245,$G$2:$G$2501)+COUNTIF($G$2:G245,G245)-1</f>
        <v>244</v>
      </c>
      <c r="B245" s="11" t="s">
        <v>864</v>
      </c>
      <c r="C245" s="11" t="s">
        <v>461</v>
      </c>
      <c r="D245" s="5" t="s">
        <v>56</v>
      </c>
      <c r="E245" s="5" t="s">
        <v>57</v>
      </c>
      <c r="F245" s="5"/>
      <c r="G245" s="22" t="n">
        <f aca="false">ROUND(SUM(I245:P245),3)</f>
        <v>74.7</v>
      </c>
      <c r="H245" s="5" t="str">
        <f aca="false">IF(G245&gt;=評分方法!$C$16,"優先評估",IF(G245&gt;=評分方法!$C$17,"列入候選",IF(G245&gt;=評分方法!$C$18,"特定情境","不建議")))</f>
        <v>列入候選</v>
      </c>
      <c r="I245" s="15" t="n">
        <f aca="false">AE245*評分方法!$C$5</f>
        <v>25.5</v>
      </c>
      <c r="J245" s="15" t="n">
        <f aca="false">AF245*評分方法!$C$6</f>
        <v>0</v>
      </c>
      <c r="K245" s="15" t="n">
        <f aca="false">AG245*評分方法!$C$7</f>
        <v>15</v>
      </c>
      <c r="L245" s="15" t="n">
        <f aca="false">AH245*評分方法!$C$8</f>
        <v>15</v>
      </c>
      <c r="M245" s="15" t="n">
        <f aca="false">AI245*評分方法!$C$9</f>
        <v>6</v>
      </c>
      <c r="N245" s="15" t="n">
        <f aca="false">AJ245*評分方法!$C$10</f>
        <v>3.2</v>
      </c>
      <c r="O245" s="15" t="n">
        <f aca="false">AK245*評分方法!$C$11</f>
        <v>5</v>
      </c>
      <c r="P245" s="15" t="n">
        <f aca="false">AL245*評分方法!$C$12</f>
        <v>5</v>
      </c>
      <c r="Q245" s="6" t="n">
        <v>315597</v>
      </c>
      <c r="R245" s="6" t="n">
        <v>354483968</v>
      </c>
      <c r="S245" s="11" t="s">
        <v>238</v>
      </c>
      <c r="T245" s="11" t="s">
        <v>185</v>
      </c>
      <c r="U245" s="5" t="s">
        <v>260</v>
      </c>
      <c r="V245" s="11" t="s">
        <v>462</v>
      </c>
      <c r="W245" s="5" t="s">
        <v>205</v>
      </c>
      <c r="X245" s="5" t="s">
        <v>284</v>
      </c>
      <c r="Y245" s="11" t="s">
        <v>545</v>
      </c>
      <c r="Z245" s="11" t="s">
        <v>244</v>
      </c>
      <c r="AA245" s="11" t="s">
        <v>155</v>
      </c>
      <c r="AB245" s="5" t="s">
        <v>245</v>
      </c>
      <c r="AC245" s="5" t="s">
        <v>464</v>
      </c>
      <c r="AD245" s="11" t="s">
        <v>865</v>
      </c>
      <c r="AE245" s="23" t="n">
        <v>0.85</v>
      </c>
      <c r="AF245" s="23" t="n">
        <v>0</v>
      </c>
      <c r="AG245" s="23" t="n">
        <v>1</v>
      </c>
      <c r="AH245" s="23" t="n">
        <v>1</v>
      </c>
      <c r="AI245" s="23" t="n">
        <v>0.6</v>
      </c>
      <c r="AJ245" s="23" t="n">
        <v>0.32</v>
      </c>
      <c r="AK245" s="23" t="n">
        <v>1</v>
      </c>
      <c r="AL245" s="23" t="n">
        <v>1</v>
      </c>
      <c r="AM245" s="16" t="n">
        <f aca="false">COUNTIFS($D$2:$D$2501,D245,$G$2:$G$2501,"&gt;"&amp;G245)+COUNTIFS($D$2:D245,D245,$G$2:G245,G245)</f>
        <v>103</v>
      </c>
      <c r="AN245" s="5" t="str">
        <f aca="false">D245&amp;"|"&amp;AM245</f>
        <v>分析與報告生成|103</v>
      </c>
    </row>
    <row r="246" customFormat="false" ht="17.15" hidden="false" customHeight="false" outlineLevel="0" collapsed="false">
      <c r="A246" s="16" t="n">
        <f aca="false">RANK(G246,$G$2:$G$2501)+COUNTIF($G$2:G246,G246)-1</f>
        <v>245</v>
      </c>
      <c r="B246" s="11" t="s">
        <v>866</v>
      </c>
      <c r="C246" s="11" t="s">
        <v>368</v>
      </c>
      <c r="D246" s="5" t="s">
        <v>56</v>
      </c>
      <c r="E246" s="5" t="s">
        <v>57</v>
      </c>
      <c r="F246" s="5"/>
      <c r="G246" s="22" t="n">
        <f aca="false">ROUND(SUM(I246:P246),3)</f>
        <v>74.66</v>
      </c>
      <c r="H246" s="5" t="str">
        <f aca="false">IF(G246&gt;=評分方法!$C$16,"優先評估",IF(G246&gt;=評分方法!$C$17,"列入候選",IF(G246&gt;=評分方法!$C$18,"特定情境","不建議")))</f>
        <v>列入候選</v>
      </c>
      <c r="I246" s="15" t="n">
        <f aca="false">AE246*評分方法!$C$5</f>
        <v>25.5</v>
      </c>
      <c r="J246" s="15" t="n">
        <f aca="false">AF246*評分方法!$C$6</f>
        <v>0</v>
      </c>
      <c r="K246" s="15" t="n">
        <f aca="false">AG246*評分方法!$C$7</f>
        <v>15</v>
      </c>
      <c r="L246" s="15" t="n">
        <f aca="false">AH246*評分方法!$C$8</f>
        <v>15</v>
      </c>
      <c r="M246" s="15" t="n">
        <f aca="false">AI246*評分方法!$C$9</f>
        <v>6</v>
      </c>
      <c r="N246" s="15" t="n">
        <f aca="false">AJ246*評分方法!$C$10</f>
        <v>7.66</v>
      </c>
      <c r="O246" s="15" t="n">
        <f aca="false">AK246*評分方法!$C$11</f>
        <v>2.5</v>
      </c>
      <c r="P246" s="15" t="n">
        <f aca="false">AL246*評分方法!$C$12</f>
        <v>3</v>
      </c>
      <c r="Q246" s="6" t="n">
        <v>1248860</v>
      </c>
      <c r="R246" s="6" t="n">
        <v>312517632</v>
      </c>
      <c r="S246" s="11" t="s">
        <v>238</v>
      </c>
      <c r="T246" s="11" t="s">
        <v>658</v>
      </c>
      <c r="U246" s="5" t="s">
        <v>260</v>
      </c>
      <c r="V246" s="11" t="s">
        <v>261</v>
      </c>
      <c r="W246" s="5" t="s">
        <v>205</v>
      </c>
      <c r="X246" s="5" t="s">
        <v>371</v>
      </c>
      <c r="Y246" s="11" t="s">
        <v>866</v>
      </c>
      <c r="Z246" s="11" t="s">
        <v>270</v>
      </c>
      <c r="AA246" s="11" t="s">
        <v>155</v>
      </c>
      <c r="AB246" s="5" t="s">
        <v>245</v>
      </c>
      <c r="AC246" s="5" t="s">
        <v>262</v>
      </c>
      <c r="AD246" s="11" t="s">
        <v>867</v>
      </c>
      <c r="AE246" s="23" t="n">
        <v>0.85</v>
      </c>
      <c r="AF246" s="23" t="n">
        <v>0</v>
      </c>
      <c r="AG246" s="23" t="n">
        <v>1</v>
      </c>
      <c r="AH246" s="23" t="n">
        <v>1</v>
      </c>
      <c r="AI246" s="23" t="n">
        <v>0.6</v>
      </c>
      <c r="AJ246" s="23" t="n">
        <v>0.766</v>
      </c>
      <c r="AK246" s="23" t="n">
        <v>0.5</v>
      </c>
      <c r="AL246" s="23" t="n">
        <v>0.6</v>
      </c>
      <c r="AM246" s="16" t="n">
        <f aca="false">COUNTIFS($D$2:$D$2501,D246,$G$2:$G$2501,"&gt;"&amp;G246)+COUNTIFS($D$2:D246,D246,$G$2:G246,G246)</f>
        <v>104</v>
      </c>
      <c r="AN246" s="5" t="str">
        <f aca="false">D246&amp;"|"&amp;AM246</f>
        <v>分析與報告生成|104</v>
      </c>
    </row>
    <row r="247" customFormat="false" ht="17.15" hidden="false" customHeight="false" outlineLevel="0" collapsed="false">
      <c r="A247" s="16" t="n">
        <f aca="false">RANK(G247,$G$2:$G$2501)+COUNTIF($G$2:G247,G247)-1</f>
        <v>246</v>
      </c>
      <c r="B247" s="11" t="s">
        <v>868</v>
      </c>
      <c r="C247" s="11" t="s">
        <v>368</v>
      </c>
      <c r="D247" s="5" t="s">
        <v>56</v>
      </c>
      <c r="E247" s="5" t="s">
        <v>57</v>
      </c>
      <c r="F247" s="5"/>
      <c r="G247" s="22" t="n">
        <f aca="false">ROUND(SUM(I247:P247),3)</f>
        <v>74.65</v>
      </c>
      <c r="H247" s="5" t="str">
        <f aca="false">IF(G247&gt;=評分方法!$C$16,"優先評估",IF(G247&gt;=評分方法!$C$17,"列入候選",IF(G247&gt;=評分方法!$C$18,"特定情境","不建議")))</f>
        <v>列入候選</v>
      </c>
      <c r="I247" s="15" t="n">
        <f aca="false">AE247*評分方法!$C$5</f>
        <v>25.5</v>
      </c>
      <c r="J247" s="15" t="n">
        <f aca="false">AF247*評分方法!$C$6</f>
        <v>0</v>
      </c>
      <c r="K247" s="15" t="n">
        <f aca="false">AG247*評分方法!$C$7</f>
        <v>15</v>
      </c>
      <c r="L247" s="15" t="n">
        <f aca="false">AH247*評分方法!$C$8</f>
        <v>13.05</v>
      </c>
      <c r="M247" s="15" t="n">
        <f aca="false">AI247*評分方法!$C$9</f>
        <v>6</v>
      </c>
      <c r="N247" s="15" t="n">
        <f aca="false">AJ247*評分方法!$C$10</f>
        <v>9.6</v>
      </c>
      <c r="O247" s="15" t="n">
        <f aca="false">AK247*評分方法!$C$11</f>
        <v>2.5</v>
      </c>
      <c r="P247" s="15" t="n">
        <f aca="false">AL247*評分方法!$C$12</f>
        <v>3</v>
      </c>
      <c r="Q247" s="6" t="n">
        <v>10273785</v>
      </c>
      <c r="R247" s="6" t="n">
        <v>4300079472</v>
      </c>
      <c r="S247" s="11" t="s">
        <v>254</v>
      </c>
      <c r="T247" s="11" t="s">
        <v>658</v>
      </c>
      <c r="U247" s="5" t="s">
        <v>260</v>
      </c>
      <c r="V247" s="11" t="s">
        <v>261</v>
      </c>
      <c r="W247" s="5" t="s">
        <v>205</v>
      </c>
      <c r="X247" s="5" t="s">
        <v>371</v>
      </c>
      <c r="Y247" s="11" t="s">
        <v>869</v>
      </c>
      <c r="Z247" s="11" t="s">
        <v>270</v>
      </c>
      <c r="AA247" s="11" t="s">
        <v>156</v>
      </c>
      <c r="AB247" s="5" t="s">
        <v>245</v>
      </c>
      <c r="AC247" s="5" t="s">
        <v>262</v>
      </c>
      <c r="AD247" s="11" t="s">
        <v>870</v>
      </c>
      <c r="AE247" s="23" t="n">
        <v>0.85</v>
      </c>
      <c r="AF247" s="23" t="n">
        <v>0</v>
      </c>
      <c r="AG247" s="23" t="n">
        <v>1</v>
      </c>
      <c r="AH247" s="23" t="n">
        <v>0.87</v>
      </c>
      <c r="AI247" s="23" t="n">
        <v>0.6</v>
      </c>
      <c r="AJ247" s="23" t="n">
        <v>0.96</v>
      </c>
      <c r="AK247" s="23" t="n">
        <v>0.5</v>
      </c>
      <c r="AL247" s="23" t="n">
        <v>0.6</v>
      </c>
      <c r="AM247" s="16" t="n">
        <f aca="false">COUNTIFS($D$2:$D$2501,D247,$G$2:$G$2501,"&gt;"&amp;G247)+COUNTIFS($D$2:D247,D247,$G$2:G247,G247)</f>
        <v>105</v>
      </c>
      <c r="AN247" s="5" t="str">
        <f aca="false">D247&amp;"|"&amp;AM247</f>
        <v>分析與報告生成|105</v>
      </c>
    </row>
    <row r="248" customFormat="false" ht="17.15" hidden="false" customHeight="false" outlineLevel="0" collapsed="false">
      <c r="A248" s="16" t="n">
        <f aca="false">RANK(G248,$G$2:$G$2501)+COUNTIF($G$2:G248,G248)-1</f>
        <v>247</v>
      </c>
      <c r="B248" s="11" t="s">
        <v>871</v>
      </c>
      <c r="C248" s="11" t="s">
        <v>299</v>
      </c>
      <c r="D248" s="5" t="s">
        <v>54</v>
      </c>
      <c r="E248" s="5" t="s">
        <v>55</v>
      </c>
      <c r="F248" s="5"/>
      <c r="G248" s="22" t="n">
        <f aca="false">ROUND(SUM(I248:P248),3)</f>
        <v>74.608</v>
      </c>
      <c r="H248" s="5" t="str">
        <f aca="false">IF(G248&gt;=評分方法!$C$16,"優先評估",IF(G248&gt;=評分方法!$C$17,"列入候選",IF(G248&gt;=評分方法!$C$18,"特定情境","不建議")))</f>
        <v>列入候選</v>
      </c>
      <c r="I248" s="15" t="n">
        <f aca="false">AE248*評分方法!$C$5</f>
        <v>27</v>
      </c>
      <c r="J248" s="15" t="n">
        <f aca="false">AF248*評分方法!$C$6</f>
        <v>0</v>
      </c>
      <c r="K248" s="15" t="n">
        <f aca="false">AG248*評分方法!$C$7</f>
        <v>15</v>
      </c>
      <c r="L248" s="15" t="n">
        <f aca="false">AH248*評分方法!$C$8</f>
        <v>15</v>
      </c>
      <c r="M248" s="15" t="n">
        <f aca="false">AI248*評分方法!$C$9</f>
        <v>10</v>
      </c>
      <c r="N248" s="15" t="n">
        <f aca="false">AJ248*評分方法!$C$10</f>
        <v>3.608</v>
      </c>
      <c r="O248" s="15" t="n">
        <f aca="false">AK248*評分方法!$C$11</f>
        <v>4</v>
      </c>
      <c r="P248" s="15" t="n">
        <f aca="false">AL248*評分方法!$C$12</f>
        <v>0</v>
      </c>
      <c r="Q248" s="6" t="n">
        <v>365803</v>
      </c>
      <c r="R248" s="6" t="n">
        <v>149014272</v>
      </c>
      <c r="S248" s="11" t="s">
        <v>238</v>
      </c>
      <c r="T248" s="11" t="s">
        <v>239</v>
      </c>
      <c r="U248" s="5" t="s">
        <v>240</v>
      </c>
      <c r="V248" s="11" t="s">
        <v>324</v>
      </c>
      <c r="W248" s="5" t="s">
        <v>205</v>
      </c>
      <c r="X248" s="5" t="s">
        <v>242</v>
      </c>
      <c r="Y248" s="5"/>
      <c r="Z248" s="5"/>
      <c r="AA248" s="11" t="s">
        <v>153</v>
      </c>
      <c r="AB248" s="5" t="s">
        <v>245</v>
      </c>
      <c r="AC248" s="5"/>
      <c r="AD248" s="11" t="s">
        <v>872</v>
      </c>
      <c r="AE248" s="23" t="n">
        <v>0.9</v>
      </c>
      <c r="AF248" s="23" t="n">
        <v>0</v>
      </c>
      <c r="AG248" s="23" t="n">
        <v>1</v>
      </c>
      <c r="AH248" s="23" t="n">
        <v>1</v>
      </c>
      <c r="AI248" s="23" t="n">
        <v>1</v>
      </c>
      <c r="AJ248" s="23" t="n">
        <v>0.3608</v>
      </c>
      <c r="AK248" s="23" t="n">
        <v>0.8</v>
      </c>
      <c r="AL248" s="23" t="n">
        <v>0</v>
      </c>
      <c r="AM248" s="16" t="n">
        <f aca="false">COUNTIFS($D$2:$D$2501,D248,$G$2:$G$2501,"&gt;"&amp;G248)+COUNTIFS($D$2:D248,D248,$G$2:G248,G248)</f>
        <v>82</v>
      </c>
      <c r="AN248" s="5" t="str">
        <f aca="false">D248&amp;"|"&amp;AM248</f>
        <v>檢索與情資關聯|82</v>
      </c>
    </row>
    <row r="249" customFormat="false" ht="17.15" hidden="false" customHeight="false" outlineLevel="0" collapsed="false">
      <c r="A249" s="16" t="n">
        <f aca="false">RANK(G249,$G$2:$G$2501)+COUNTIF($G$2:G249,G249)-1</f>
        <v>248</v>
      </c>
      <c r="B249" s="11" t="s">
        <v>873</v>
      </c>
      <c r="C249" s="11" t="s">
        <v>265</v>
      </c>
      <c r="D249" s="5" t="s">
        <v>58</v>
      </c>
      <c r="E249" s="5" t="s">
        <v>59</v>
      </c>
      <c r="F249" s="5"/>
      <c r="G249" s="22" t="n">
        <f aca="false">ROUND(SUM(I249:P249),3)</f>
        <v>74.568</v>
      </c>
      <c r="H249" s="5" t="str">
        <f aca="false">IF(G249&gt;=評分方法!$C$16,"優先評估",IF(G249&gt;=評分方法!$C$17,"列入候選",IF(G249&gt;=評分方法!$C$18,"特定情境","不建議")))</f>
        <v>列入候選</v>
      </c>
      <c r="I249" s="15" t="n">
        <f aca="false">AE249*評分方法!$C$5</f>
        <v>28.5</v>
      </c>
      <c r="J249" s="15" t="n">
        <f aca="false">AF249*評分方法!$C$6</f>
        <v>0</v>
      </c>
      <c r="K249" s="15" t="n">
        <f aca="false">AG249*評分方法!$C$7</f>
        <v>15</v>
      </c>
      <c r="L249" s="15" t="n">
        <f aca="false">AH249*評分方法!$C$8</f>
        <v>15</v>
      </c>
      <c r="M249" s="15" t="n">
        <f aca="false">AI249*評分方法!$C$9</f>
        <v>10</v>
      </c>
      <c r="N249" s="15" t="n">
        <f aca="false">AJ249*評分方法!$C$10</f>
        <v>1.068</v>
      </c>
      <c r="O249" s="15" t="n">
        <f aca="false">AK249*評分方法!$C$11</f>
        <v>5</v>
      </c>
      <c r="P249" s="15" t="n">
        <f aca="false">AL249*評分方法!$C$12</f>
        <v>0</v>
      </c>
      <c r="Q249" s="6" t="n">
        <v>156632</v>
      </c>
      <c r="R249" s="6" t="n">
        <v>486444053</v>
      </c>
      <c r="S249" s="11" t="s">
        <v>238</v>
      </c>
      <c r="T249" s="11" t="s">
        <v>239</v>
      </c>
      <c r="U249" s="5" t="s">
        <v>240</v>
      </c>
      <c r="V249" s="11" t="s">
        <v>261</v>
      </c>
      <c r="W249" s="5" t="s">
        <v>205</v>
      </c>
      <c r="X249" s="5" t="s">
        <v>242</v>
      </c>
      <c r="Y249" s="11" t="s">
        <v>359</v>
      </c>
      <c r="Z249" s="11" t="s">
        <v>270</v>
      </c>
      <c r="AA249" s="11" t="s">
        <v>150</v>
      </c>
      <c r="AB249" s="5" t="s">
        <v>245</v>
      </c>
      <c r="AC249" s="5"/>
      <c r="AD249" s="11" t="s">
        <v>874</v>
      </c>
      <c r="AE249" s="23" t="n">
        <v>0.95</v>
      </c>
      <c r="AF249" s="23" t="n">
        <v>0</v>
      </c>
      <c r="AG249" s="23" t="n">
        <v>1</v>
      </c>
      <c r="AH249" s="23" t="n">
        <v>1</v>
      </c>
      <c r="AI249" s="23" t="n">
        <v>1</v>
      </c>
      <c r="AJ249" s="23" t="n">
        <v>0.1068</v>
      </c>
      <c r="AK249" s="23" t="n">
        <v>1</v>
      </c>
      <c r="AL249" s="23" t="n">
        <v>0</v>
      </c>
      <c r="AM249" s="16" t="n">
        <f aca="false">COUNTIFS($D$2:$D$2501,D249,$G$2:$G$2501,"&gt;"&amp;G249)+COUNTIFS($D$2:D249,D249,$G$2:G249,G249)</f>
        <v>8</v>
      </c>
      <c r="AN249" s="5" t="str">
        <f aca="false">D249&amp;"|"&amp;AM249</f>
        <v>實體擷取與去識別化|8</v>
      </c>
    </row>
    <row r="250" customFormat="false" ht="17.15" hidden="false" customHeight="false" outlineLevel="0" collapsed="false">
      <c r="A250" s="16" t="n">
        <f aca="false">RANK(G250,$G$2:$G$2501)+COUNTIF($G$2:G250,G250)-1</f>
        <v>249</v>
      </c>
      <c r="B250" s="11" t="s">
        <v>875</v>
      </c>
      <c r="C250" s="11" t="s">
        <v>876</v>
      </c>
      <c r="D250" s="5" t="s">
        <v>66</v>
      </c>
      <c r="E250" s="5" t="s">
        <v>67</v>
      </c>
      <c r="F250" s="5"/>
      <c r="G250" s="22" t="n">
        <f aca="false">ROUND(SUM(I250:P250),3)</f>
        <v>74.554</v>
      </c>
      <c r="H250" s="5" t="str">
        <f aca="false">IF(G250&gt;=評分方法!$C$16,"優先評估",IF(G250&gt;=評分方法!$C$17,"列入候選",IF(G250&gt;=評分方法!$C$18,"特定情境","不建議")))</f>
        <v>列入候選</v>
      </c>
      <c r="I250" s="15" t="n">
        <f aca="false">AE250*評分方法!$C$5</f>
        <v>30</v>
      </c>
      <c r="J250" s="15" t="n">
        <f aca="false">AF250*評分方法!$C$6</f>
        <v>0</v>
      </c>
      <c r="K250" s="15" t="n">
        <f aca="false">AG250*評分方法!$C$7</f>
        <v>4.95</v>
      </c>
      <c r="L250" s="15" t="n">
        <f aca="false">AH250*評分方法!$C$8</f>
        <v>15</v>
      </c>
      <c r="M250" s="15" t="n">
        <f aca="false">AI250*評分方法!$C$9</f>
        <v>10</v>
      </c>
      <c r="N250" s="15" t="n">
        <f aca="false">AJ250*評分方法!$C$10</f>
        <v>9.604</v>
      </c>
      <c r="O250" s="15" t="n">
        <f aca="false">AK250*評分方法!$C$11</f>
        <v>5</v>
      </c>
      <c r="P250" s="15" t="n">
        <f aca="false">AL250*評分方法!$C$12</f>
        <v>0</v>
      </c>
      <c r="Q250" s="6" t="n">
        <v>10387103</v>
      </c>
      <c r="R250" s="6" t="n">
        <v>124667678</v>
      </c>
      <c r="S250" s="11" t="s">
        <v>238</v>
      </c>
      <c r="T250" s="11" t="s">
        <v>278</v>
      </c>
      <c r="U250" s="5" t="s">
        <v>240</v>
      </c>
      <c r="V250" s="11" t="s">
        <v>324</v>
      </c>
      <c r="W250" s="5" t="s">
        <v>334</v>
      </c>
      <c r="X250" s="5" t="s">
        <v>242</v>
      </c>
      <c r="Y250" s="5"/>
      <c r="Z250" s="5"/>
      <c r="AA250" s="11" t="s">
        <v>149</v>
      </c>
      <c r="AB250" s="5" t="s">
        <v>245</v>
      </c>
      <c r="AC250" s="5"/>
      <c r="AD250" s="11" t="s">
        <v>877</v>
      </c>
      <c r="AE250" s="23" t="n">
        <v>1</v>
      </c>
      <c r="AF250" s="23" t="n">
        <v>0</v>
      </c>
      <c r="AG250" s="23" t="n">
        <v>0.33</v>
      </c>
      <c r="AH250" s="23" t="n">
        <v>1</v>
      </c>
      <c r="AI250" s="23" t="n">
        <v>1</v>
      </c>
      <c r="AJ250" s="23" t="n">
        <v>0.9604</v>
      </c>
      <c r="AK250" s="23" t="n">
        <v>1</v>
      </c>
      <c r="AL250" s="23" t="n">
        <v>0</v>
      </c>
      <c r="AM250" s="16" t="n">
        <f aca="false">COUNTIFS($D$2:$D$2501,D250,$G$2:$G$2501,"&gt;"&amp;G250)+COUNTIFS($D$2:D250,D250,$G$2:G250,G250)</f>
        <v>9</v>
      </c>
      <c r="AN250" s="5" t="str">
        <f aca="false">D250&amp;"|"&amp;AM250</f>
        <v>分類與偵測|9</v>
      </c>
    </row>
    <row r="251" customFormat="false" ht="17.15" hidden="false" customHeight="false" outlineLevel="0" collapsed="false">
      <c r="A251" s="16" t="n">
        <f aca="false">RANK(G251,$G$2:$G$2501)+COUNTIF($G$2:G251,G251)-1</f>
        <v>250</v>
      </c>
      <c r="B251" s="11" t="s">
        <v>878</v>
      </c>
      <c r="C251" s="11" t="s">
        <v>258</v>
      </c>
      <c r="D251" s="11" t="s">
        <v>46</v>
      </c>
      <c r="E251" s="11" t="s">
        <v>47</v>
      </c>
      <c r="F251" s="11" t="s">
        <v>46</v>
      </c>
      <c r="G251" s="22" t="n">
        <f aca="false">ROUND(SUM(I251:P251),3)</f>
        <v>74.552</v>
      </c>
      <c r="H251" s="5" t="str">
        <f aca="false">IF(G251&gt;=評分方法!$C$16,"優先評估",IF(G251&gt;=評分方法!$C$17,"列入候選",IF(G251&gt;=評分方法!$C$18,"特定情境","不建議")))</f>
        <v>列入候選</v>
      </c>
      <c r="I251" s="15" t="n">
        <f aca="false">AE251*評分方法!$C$5</f>
        <v>25.5</v>
      </c>
      <c r="J251" s="15" t="n">
        <f aca="false">AF251*評分方法!$C$6</f>
        <v>10</v>
      </c>
      <c r="K251" s="15" t="n">
        <f aca="false">AG251*評分方法!$C$7</f>
        <v>15</v>
      </c>
      <c r="L251" s="15" t="n">
        <f aca="false">AH251*評分方法!$C$8</f>
        <v>9</v>
      </c>
      <c r="M251" s="15" t="n">
        <f aca="false">AI251*評分方法!$C$9</f>
        <v>6</v>
      </c>
      <c r="N251" s="15" t="n">
        <f aca="false">AJ251*評分方法!$C$10</f>
        <v>6.552</v>
      </c>
      <c r="O251" s="15" t="n">
        <f aca="false">AK251*評分方法!$C$11</f>
        <v>2.5</v>
      </c>
      <c r="P251" s="15" t="n">
        <f aca="false">AL251*評分方法!$C$12</f>
        <v>0</v>
      </c>
      <c r="Q251" s="6" t="n">
        <v>766898</v>
      </c>
      <c r="R251" s="6" t="n">
        <v>12001097216</v>
      </c>
      <c r="S251" s="11" t="s">
        <v>389</v>
      </c>
      <c r="T251" s="11" t="s">
        <v>185</v>
      </c>
      <c r="U251" s="5" t="s">
        <v>260</v>
      </c>
      <c r="V251" s="11" t="s">
        <v>261</v>
      </c>
      <c r="W251" s="5" t="s">
        <v>205</v>
      </c>
      <c r="X251" s="5" t="s">
        <v>242</v>
      </c>
      <c r="Y251" s="5"/>
      <c r="Z251" s="5"/>
      <c r="AA251" s="11" t="s">
        <v>156</v>
      </c>
      <c r="AB251" s="5" t="s">
        <v>245</v>
      </c>
      <c r="AC251" s="5" t="s">
        <v>262</v>
      </c>
      <c r="AD251" s="11" t="s">
        <v>879</v>
      </c>
      <c r="AE251" s="23" t="n">
        <v>0.85</v>
      </c>
      <c r="AF251" s="23" t="n">
        <v>1</v>
      </c>
      <c r="AG251" s="23" t="n">
        <v>1</v>
      </c>
      <c r="AH251" s="23" t="n">
        <v>0.6</v>
      </c>
      <c r="AI251" s="23" t="n">
        <v>0.6</v>
      </c>
      <c r="AJ251" s="23" t="n">
        <v>0.6552</v>
      </c>
      <c r="AK251" s="23" t="n">
        <v>0.5</v>
      </c>
      <c r="AL251" s="23" t="n">
        <v>0</v>
      </c>
      <c r="AM251" s="16" t="n">
        <f aca="false">COUNTIFS($D$2:$D$2501,D251,$G$2:$G$2501,"&gt;"&amp;G251)+COUNTIFS($D$2:D251,D251,$G$2:G251,G251)</f>
        <v>12</v>
      </c>
      <c r="AN251" s="5" t="str">
        <f aca="false">D251&amp;"|"&amp;AM251</f>
        <v>AI 應用防護|12</v>
      </c>
    </row>
    <row r="252" customFormat="false" ht="17.15" hidden="false" customHeight="false" outlineLevel="0" collapsed="false">
      <c r="A252" s="16" t="n">
        <f aca="false">RANK(G252,$G$2:$G$2501)+COUNTIF($G$2:G252,G252)-1</f>
        <v>251</v>
      </c>
      <c r="B252" s="11" t="s">
        <v>880</v>
      </c>
      <c r="C252" s="11" t="s">
        <v>323</v>
      </c>
      <c r="D252" s="5" t="s">
        <v>56</v>
      </c>
      <c r="E252" s="5" t="s">
        <v>57</v>
      </c>
      <c r="F252" s="5"/>
      <c r="G252" s="22" t="n">
        <f aca="false">ROUND(SUM(I252:P252),3)</f>
        <v>74.55</v>
      </c>
      <c r="H252" s="5" t="str">
        <f aca="false">IF(G252&gt;=評分方法!$C$16,"優先評估",IF(G252&gt;=評分方法!$C$17,"列入候選",IF(G252&gt;=評分方法!$C$18,"特定情境","不建議")))</f>
        <v>列入候選</v>
      </c>
      <c r="I252" s="15" t="n">
        <f aca="false">AE252*評分方法!$C$5</f>
        <v>25.5</v>
      </c>
      <c r="J252" s="15" t="n">
        <f aca="false">AF252*評分方法!$C$6</f>
        <v>0</v>
      </c>
      <c r="K252" s="15" t="n">
        <f aca="false">AG252*評分方法!$C$7</f>
        <v>15</v>
      </c>
      <c r="L252" s="15" t="n">
        <f aca="false">AH252*評分方法!$C$8</f>
        <v>13.05</v>
      </c>
      <c r="M252" s="15" t="n">
        <f aca="false">AI252*評分方法!$C$9</f>
        <v>10</v>
      </c>
      <c r="N252" s="15" t="n">
        <f aca="false">AJ252*評分方法!$C$10</f>
        <v>7</v>
      </c>
      <c r="O252" s="15" t="n">
        <f aca="false">AK252*評分方法!$C$11</f>
        <v>4</v>
      </c>
      <c r="P252" s="15" t="n">
        <f aca="false">AL252*評分方法!$C$12</f>
        <v>0</v>
      </c>
      <c r="Q252" s="6" t="n">
        <v>918336</v>
      </c>
      <c r="R252" s="6" t="n">
        <v>7298011136</v>
      </c>
      <c r="S252" s="11" t="s">
        <v>254</v>
      </c>
      <c r="T252" s="11" t="s">
        <v>239</v>
      </c>
      <c r="U252" s="5" t="s">
        <v>240</v>
      </c>
      <c r="V252" s="11" t="s">
        <v>261</v>
      </c>
      <c r="W252" s="5" t="s">
        <v>205</v>
      </c>
      <c r="X252" s="5" t="s">
        <v>242</v>
      </c>
      <c r="Y252" s="5"/>
      <c r="Z252" s="5"/>
      <c r="AA252" s="11" t="s">
        <v>155</v>
      </c>
      <c r="AB252" s="5" t="s">
        <v>245</v>
      </c>
      <c r="AC252" s="5"/>
      <c r="AD252" s="11" t="s">
        <v>881</v>
      </c>
      <c r="AE252" s="23" t="n">
        <v>0.85</v>
      </c>
      <c r="AF252" s="23" t="n">
        <v>0</v>
      </c>
      <c r="AG252" s="23" t="n">
        <v>1</v>
      </c>
      <c r="AH252" s="23" t="n">
        <v>0.87</v>
      </c>
      <c r="AI252" s="23" t="n">
        <v>1</v>
      </c>
      <c r="AJ252" s="23" t="n">
        <v>0.7</v>
      </c>
      <c r="AK252" s="23" t="n">
        <v>0.8</v>
      </c>
      <c r="AL252" s="23" t="n">
        <v>0</v>
      </c>
      <c r="AM252" s="16" t="n">
        <f aca="false">COUNTIFS($D$2:$D$2501,D252,$G$2:$G$2501,"&gt;"&amp;G252)+COUNTIFS($D$2:D252,D252,$G$2:G252,G252)</f>
        <v>106</v>
      </c>
      <c r="AN252" s="5" t="str">
        <f aca="false">D252&amp;"|"&amp;AM252</f>
        <v>分析與報告生成|106</v>
      </c>
    </row>
    <row r="253" customFormat="false" ht="17.15" hidden="false" customHeight="false" outlineLevel="0" collapsed="false">
      <c r="A253" s="16" t="n">
        <f aca="false">RANK(G253,$G$2:$G$2501)+COUNTIF($G$2:G253,G253)-1</f>
        <v>252</v>
      </c>
      <c r="B253" s="11" t="s">
        <v>882</v>
      </c>
      <c r="C253" s="11" t="s">
        <v>299</v>
      </c>
      <c r="D253" s="5" t="s">
        <v>56</v>
      </c>
      <c r="E253" s="5" t="s">
        <v>57</v>
      </c>
      <c r="F253" s="5"/>
      <c r="G253" s="22" t="n">
        <f aca="false">ROUND(SUM(I253:P253),3)</f>
        <v>74.544</v>
      </c>
      <c r="H253" s="5" t="str">
        <f aca="false">IF(G253&gt;=評分方法!$C$16,"優先評估",IF(G253&gt;=評分方法!$C$17,"列入候選",IF(G253&gt;=評分方法!$C$18,"特定情境","不建議")))</f>
        <v>列入候選</v>
      </c>
      <c r="I253" s="15" t="n">
        <f aca="false">AE253*評分方法!$C$5</f>
        <v>25.5</v>
      </c>
      <c r="J253" s="15" t="n">
        <f aca="false">AF253*評分方法!$C$6</f>
        <v>0</v>
      </c>
      <c r="K253" s="15" t="n">
        <f aca="false">AG253*評分方法!$C$7</f>
        <v>15</v>
      </c>
      <c r="L253" s="15" t="n">
        <f aca="false">AH253*評分方法!$C$8</f>
        <v>9</v>
      </c>
      <c r="M253" s="15" t="n">
        <f aca="false">AI253*評分方法!$C$9</f>
        <v>10</v>
      </c>
      <c r="N253" s="15" t="n">
        <f aca="false">AJ253*評分方法!$C$10</f>
        <v>7.044</v>
      </c>
      <c r="O253" s="15" t="n">
        <f aca="false">AK253*評分方法!$C$11</f>
        <v>5</v>
      </c>
      <c r="P253" s="15" t="n">
        <f aca="false">AL253*評分方法!$C$12</f>
        <v>3</v>
      </c>
      <c r="Q253" s="6" t="n">
        <v>933936</v>
      </c>
      <c r="R253" s="6" t="n">
        <v>28865728512</v>
      </c>
      <c r="S253" s="11" t="s">
        <v>389</v>
      </c>
      <c r="T253" s="11" t="s">
        <v>239</v>
      </c>
      <c r="U253" s="5" t="s">
        <v>240</v>
      </c>
      <c r="V253" s="11" t="s">
        <v>261</v>
      </c>
      <c r="W253" s="5" t="s">
        <v>205</v>
      </c>
      <c r="X253" s="5" t="s">
        <v>371</v>
      </c>
      <c r="Y253" s="5"/>
      <c r="Z253" s="5"/>
      <c r="AA253" s="11" t="s">
        <v>155</v>
      </c>
      <c r="AB253" s="5" t="s">
        <v>245</v>
      </c>
      <c r="AC253" s="5"/>
      <c r="AD253" s="11" t="s">
        <v>883</v>
      </c>
      <c r="AE253" s="23" t="n">
        <v>0.85</v>
      </c>
      <c r="AF253" s="23" t="n">
        <v>0</v>
      </c>
      <c r="AG253" s="23" t="n">
        <v>1</v>
      </c>
      <c r="AH253" s="23" t="n">
        <v>0.6</v>
      </c>
      <c r="AI253" s="23" t="n">
        <v>1</v>
      </c>
      <c r="AJ253" s="23" t="n">
        <v>0.7044</v>
      </c>
      <c r="AK253" s="23" t="n">
        <v>1</v>
      </c>
      <c r="AL253" s="23" t="n">
        <v>0.6</v>
      </c>
      <c r="AM253" s="16" t="n">
        <f aca="false">COUNTIFS($D$2:$D$2501,D253,$G$2:$G$2501,"&gt;"&amp;G253)+COUNTIFS($D$2:D253,D253,$G$2:G253,G253)</f>
        <v>107</v>
      </c>
      <c r="AN253" s="5" t="str">
        <f aca="false">D253&amp;"|"&amp;AM253</f>
        <v>分析與報告生成|107</v>
      </c>
    </row>
    <row r="254" customFormat="false" ht="17.15" hidden="false" customHeight="false" outlineLevel="0" collapsed="false">
      <c r="A254" s="16" t="n">
        <f aca="false">RANK(G254,$G$2:$G$2501)+COUNTIF($G$2:G254,G254)-1</f>
        <v>253</v>
      </c>
      <c r="B254" s="11" t="s">
        <v>884</v>
      </c>
      <c r="C254" s="11" t="s">
        <v>579</v>
      </c>
      <c r="D254" s="5" t="s">
        <v>68</v>
      </c>
      <c r="E254" s="11" t="s">
        <v>69</v>
      </c>
      <c r="F254" s="5"/>
      <c r="G254" s="22" t="n">
        <f aca="false">ROUND(SUM(I254:P254),3)</f>
        <v>74.492</v>
      </c>
      <c r="H254" s="5" t="str">
        <f aca="false">IF(G254&gt;=評分方法!$C$16,"優先評估",IF(G254&gt;=評分方法!$C$17,"列入候選",IF(G254&gt;=評分方法!$C$18,"特定情境","不建議")))</f>
        <v>列入候選</v>
      </c>
      <c r="I254" s="15" t="n">
        <f aca="false">AE254*評分方法!$C$5</f>
        <v>21</v>
      </c>
      <c r="J254" s="15" t="n">
        <f aca="false">AF254*評分方法!$C$6</f>
        <v>0</v>
      </c>
      <c r="K254" s="15" t="n">
        <f aca="false">AG254*評分方法!$C$7</f>
        <v>15</v>
      </c>
      <c r="L254" s="15" t="n">
        <f aca="false">AH254*評分方法!$C$8</f>
        <v>15</v>
      </c>
      <c r="M254" s="15" t="n">
        <f aca="false">AI254*評分方法!$C$9</f>
        <v>10</v>
      </c>
      <c r="N254" s="15" t="n">
        <f aca="false">AJ254*評分方法!$C$10</f>
        <v>7.992</v>
      </c>
      <c r="O254" s="15" t="n">
        <f aca="false">AK254*評分方法!$C$11</f>
        <v>4</v>
      </c>
      <c r="P254" s="15" t="n">
        <f aca="false">AL254*評分方法!$C$12</f>
        <v>1.5</v>
      </c>
      <c r="Q254" s="6" t="n">
        <v>1547505</v>
      </c>
      <c r="R254" s="6" t="n">
        <v>118985888</v>
      </c>
      <c r="S254" s="11" t="s">
        <v>238</v>
      </c>
      <c r="T254" s="11" t="s">
        <v>239</v>
      </c>
      <c r="U254" s="5" t="s">
        <v>240</v>
      </c>
      <c r="V254" s="11" t="s">
        <v>261</v>
      </c>
      <c r="W254" s="5" t="s">
        <v>205</v>
      </c>
      <c r="X254" s="5" t="s">
        <v>255</v>
      </c>
      <c r="Y254" s="5"/>
      <c r="Z254" s="5"/>
      <c r="AA254" s="11" t="s">
        <v>158</v>
      </c>
      <c r="AB254" s="5" t="s">
        <v>245</v>
      </c>
      <c r="AC254" s="5"/>
      <c r="AD254" s="11" t="s">
        <v>885</v>
      </c>
      <c r="AE254" s="23" t="n">
        <v>0.7</v>
      </c>
      <c r="AF254" s="23" t="n">
        <v>0</v>
      </c>
      <c r="AG254" s="23" t="n">
        <v>1</v>
      </c>
      <c r="AH254" s="23" t="n">
        <v>1</v>
      </c>
      <c r="AI254" s="23" t="n">
        <v>1</v>
      </c>
      <c r="AJ254" s="23" t="n">
        <v>0.7992</v>
      </c>
      <c r="AK254" s="23" t="n">
        <v>0.8</v>
      </c>
      <c r="AL254" s="23" t="n">
        <v>0.3</v>
      </c>
      <c r="AM254" s="16" t="n">
        <f aca="false">COUNTIFS($D$2:$D$2501,D254,$G$2:$G$2501,"&gt;"&amp;G254)+COUNTIFS($D$2:D254,D254,$G$2:G254,G254)</f>
        <v>16</v>
      </c>
      <c r="AN254" s="5" t="str">
        <f aca="false">D254&amp;"|"&amp;AM254</f>
        <v>時序異常偵測|16</v>
      </c>
    </row>
    <row r="255" customFormat="false" ht="17.15" hidden="false" customHeight="false" outlineLevel="0" collapsed="false">
      <c r="A255" s="16" t="n">
        <f aca="false">RANK(G255,$G$2:$G$2501)+COUNTIF($G$2:G255,G255)-1</f>
        <v>254</v>
      </c>
      <c r="B255" s="11" t="s">
        <v>886</v>
      </c>
      <c r="C255" s="11" t="s">
        <v>569</v>
      </c>
      <c r="D255" s="5" t="s">
        <v>68</v>
      </c>
      <c r="E255" s="11" t="s">
        <v>69</v>
      </c>
      <c r="F255" s="5"/>
      <c r="G255" s="22" t="n">
        <f aca="false">ROUND(SUM(I255:P255),3)</f>
        <v>74.46</v>
      </c>
      <c r="H255" s="5" t="str">
        <f aca="false">IF(G255&gt;=評分方法!$C$16,"優先評估",IF(G255&gt;=評分方法!$C$17,"列入候選",IF(G255&gt;=評分方法!$C$18,"特定情境","不建議")))</f>
        <v>列入候選</v>
      </c>
      <c r="I255" s="15" t="n">
        <f aca="false">AE255*評分方法!$C$5</f>
        <v>21</v>
      </c>
      <c r="J255" s="15" t="n">
        <f aca="false">AF255*評分方法!$C$6</f>
        <v>0</v>
      </c>
      <c r="K255" s="15" t="n">
        <f aca="false">AG255*評分方法!$C$7</f>
        <v>15</v>
      </c>
      <c r="L255" s="15" t="n">
        <f aca="false">AH255*評分方法!$C$8</f>
        <v>15</v>
      </c>
      <c r="M255" s="15" t="n">
        <f aca="false">AI255*評分方法!$C$9</f>
        <v>10</v>
      </c>
      <c r="N255" s="15" t="n">
        <f aca="false">AJ255*評分方法!$C$10</f>
        <v>7.96</v>
      </c>
      <c r="O255" s="15" t="n">
        <f aca="false">AK255*評分方法!$C$11</f>
        <v>4</v>
      </c>
      <c r="P255" s="15" t="n">
        <f aca="false">AL255*評分方法!$C$12</f>
        <v>1.5</v>
      </c>
      <c r="Q255" s="6" t="n">
        <v>1514205</v>
      </c>
      <c r="R255" s="6" t="n">
        <v>21236096</v>
      </c>
      <c r="S255" s="11" t="s">
        <v>238</v>
      </c>
      <c r="T255" s="11" t="s">
        <v>239</v>
      </c>
      <c r="U255" s="5" t="s">
        <v>240</v>
      </c>
      <c r="V255" s="11" t="s">
        <v>261</v>
      </c>
      <c r="W255" s="5" t="s">
        <v>205</v>
      </c>
      <c r="X255" s="5" t="s">
        <v>255</v>
      </c>
      <c r="Y255" s="5"/>
      <c r="Z255" s="5"/>
      <c r="AA255" s="11" t="s">
        <v>158</v>
      </c>
      <c r="AB255" s="5" t="s">
        <v>245</v>
      </c>
      <c r="AC255" s="5"/>
      <c r="AD255" s="11" t="s">
        <v>887</v>
      </c>
      <c r="AE255" s="23" t="n">
        <v>0.7</v>
      </c>
      <c r="AF255" s="23" t="n">
        <v>0</v>
      </c>
      <c r="AG255" s="23" t="n">
        <v>1</v>
      </c>
      <c r="AH255" s="23" t="n">
        <v>1</v>
      </c>
      <c r="AI255" s="23" t="n">
        <v>1</v>
      </c>
      <c r="AJ255" s="23" t="n">
        <v>0.796</v>
      </c>
      <c r="AK255" s="23" t="n">
        <v>0.8</v>
      </c>
      <c r="AL255" s="23" t="n">
        <v>0.3</v>
      </c>
      <c r="AM255" s="16" t="n">
        <f aca="false">COUNTIFS($D$2:$D$2501,D255,$G$2:$G$2501,"&gt;"&amp;G255)+COUNTIFS($D$2:D255,D255,$G$2:G255,G255)</f>
        <v>17</v>
      </c>
      <c r="AN255" s="5" t="str">
        <f aca="false">D255&amp;"|"&amp;AM255</f>
        <v>時序異常偵測|17</v>
      </c>
    </row>
    <row r="256" customFormat="false" ht="17.15" hidden="false" customHeight="false" outlineLevel="0" collapsed="false">
      <c r="A256" s="16" t="n">
        <f aca="false">RANK(G256,$G$2:$G$2501)+COUNTIF($G$2:G256,G256)-1</f>
        <v>255</v>
      </c>
      <c r="B256" s="11" t="s">
        <v>888</v>
      </c>
      <c r="C256" s="11" t="s">
        <v>548</v>
      </c>
      <c r="D256" s="5" t="s">
        <v>56</v>
      </c>
      <c r="E256" s="5" t="s">
        <v>57</v>
      </c>
      <c r="F256" s="5"/>
      <c r="G256" s="22" t="n">
        <f aca="false">ROUND(SUM(I256:P256),3)</f>
        <v>74.448</v>
      </c>
      <c r="H256" s="5" t="str">
        <f aca="false">IF(G256&gt;=評分方法!$C$16,"優先評估",IF(G256&gt;=評分方法!$C$17,"列入候選",IF(G256&gt;=評分方法!$C$18,"特定情境","不建議")))</f>
        <v>列入候選</v>
      </c>
      <c r="I256" s="15" t="n">
        <f aca="false">AE256*評分方法!$C$5</f>
        <v>25.5</v>
      </c>
      <c r="J256" s="15" t="n">
        <f aca="false">AF256*評分方法!$C$6</f>
        <v>0</v>
      </c>
      <c r="K256" s="15" t="n">
        <f aca="false">AG256*評分方法!$C$7</f>
        <v>15</v>
      </c>
      <c r="L256" s="15" t="n">
        <f aca="false">AH256*評分方法!$C$8</f>
        <v>15</v>
      </c>
      <c r="M256" s="15" t="n">
        <f aca="false">AI256*評分方法!$C$9</f>
        <v>10</v>
      </c>
      <c r="N256" s="15" t="n">
        <f aca="false">AJ256*評分方法!$C$10</f>
        <v>7.948</v>
      </c>
      <c r="O256" s="15" t="n">
        <f aca="false">AK256*評分方法!$C$11</f>
        <v>1</v>
      </c>
      <c r="P256" s="15" t="n">
        <f aca="false">AL256*評分方法!$C$12</f>
        <v>0</v>
      </c>
      <c r="Q256" s="6" t="n">
        <v>1508406</v>
      </c>
      <c r="R256" s="6" t="n">
        <v>212654688</v>
      </c>
      <c r="S256" s="11" t="s">
        <v>238</v>
      </c>
      <c r="T256" s="11" t="s">
        <v>239</v>
      </c>
      <c r="U256" s="5" t="s">
        <v>240</v>
      </c>
      <c r="V256" s="11" t="s">
        <v>324</v>
      </c>
      <c r="W256" s="5" t="s">
        <v>205</v>
      </c>
      <c r="X256" s="5" t="s">
        <v>242</v>
      </c>
      <c r="Y256" s="5"/>
      <c r="Z256" s="5"/>
      <c r="AA256" s="11" t="s">
        <v>155</v>
      </c>
      <c r="AB256" s="5" t="s">
        <v>245</v>
      </c>
      <c r="AC256" s="5"/>
      <c r="AD256" s="11" t="s">
        <v>889</v>
      </c>
      <c r="AE256" s="23" t="n">
        <v>0.85</v>
      </c>
      <c r="AF256" s="23" t="n">
        <v>0</v>
      </c>
      <c r="AG256" s="23" t="n">
        <v>1</v>
      </c>
      <c r="AH256" s="23" t="n">
        <v>1</v>
      </c>
      <c r="AI256" s="23" t="n">
        <v>1</v>
      </c>
      <c r="AJ256" s="23" t="n">
        <v>0.7948</v>
      </c>
      <c r="AK256" s="23" t="n">
        <v>0.2</v>
      </c>
      <c r="AL256" s="23" t="n">
        <v>0</v>
      </c>
      <c r="AM256" s="16" t="n">
        <f aca="false">COUNTIFS($D$2:$D$2501,D256,$G$2:$G$2501,"&gt;"&amp;G256)+COUNTIFS($D$2:D256,D256,$G$2:G256,G256)</f>
        <v>108</v>
      </c>
      <c r="AN256" s="5" t="str">
        <f aca="false">D256&amp;"|"&amp;AM256</f>
        <v>分析與報告生成|108</v>
      </c>
    </row>
    <row r="257" customFormat="false" ht="17.15" hidden="false" customHeight="false" outlineLevel="0" collapsed="false">
      <c r="A257" s="16" t="n">
        <f aca="false">RANK(G257,$G$2:$G$2501)+COUNTIF($G$2:G257,G257)-1</f>
        <v>256</v>
      </c>
      <c r="B257" s="11" t="s">
        <v>890</v>
      </c>
      <c r="C257" s="11" t="s">
        <v>891</v>
      </c>
      <c r="D257" s="5" t="s">
        <v>56</v>
      </c>
      <c r="E257" s="5" t="s">
        <v>57</v>
      </c>
      <c r="F257" s="5"/>
      <c r="G257" s="22" t="n">
        <f aca="false">ROUND(SUM(I257:P257),3)</f>
        <v>74.444</v>
      </c>
      <c r="H257" s="5" t="str">
        <f aca="false">IF(G257&gt;=評分方法!$C$16,"優先評估",IF(G257&gt;=評分方法!$C$17,"列入候選",IF(G257&gt;=評分方法!$C$18,"特定情境","不建議")))</f>
        <v>列入候選</v>
      </c>
      <c r="I257" s="15" t="n">
        <f aca="false">AE257*評分方法!$C$5</f>
        <v>24</v>
      </c>
      <c r="J257" s="15" t="n">
        <f aca="false">AF257*評分方法!$C$6</f>
        <v>0</v>
      </c>
      <c r="K257" s="15" t="n">
        <f aca="false">AG257*評分方法!$C$7</f>
        <v>10.05</v>
      </c>
      <c r="L257" s="15" t="n">
        <f aca="false">AH257*評分方法!$C$8</f>
        <v>13.05</v>
      </c>
      <c r="M257" s="15" t="n">
        <f aca="false">AI257*評分方法!$C$9</f>
        <v>10</v>
      </c>
      <c r="N257" s="15" t="n">
        <f aca="false">AJ257*評分方法!$C$10</f>
        <v>9.344</v>
      </c>
      <c r="O257" s="15" t="n">
        <f aca="false">AK257*評分方法!$C$11</f>
        <v>5</v>
      </c>
      <c r="P257" s="15" t="n">
        <f aca="false">AL257*評分方法!$C$12</f>
        <v>3</v>
      </c>
      <c r="Q257" s="6" t="n">
        <v>6571145</v>
      </c>
      <c r="R257" s="6" t="n">
        <v>7996156490</v>
      </c>
      <c r="S257" s="11" t="s">
        <v>254</v>
      </c>
      <c r="T257" s="11" t="s">
        <v>239</v>
      </c>
      <c r="U257" s="5" t="s">
        <v>240</v>
      </c>
      <c r="V257" s="11" t="s">
        <v>261</v>
      </c>
      <c r="W257" s="5" t="s">
        <v>207</v>
      </c>
      <c r="X257" s="5" t="s">
        <v>371</v>
      </c>
      <c r="Y257" s="11" t="s">
        <v>422</v>
      </c>
      <c r="Z257" s="11" t="s">
        <v>244</v>
      </c>
      <c r="AA257" s="11" t="s">
        <v>157</v>
      </c>
      <c r="AB257" s="5" t="s">
        <v>245</v>
      </c>
      <c r="AC257" s="5" t="s">
        <v>246</v>
      </c>
      <c r="AD257" s="11" t="s">
        <v>892</v>
      </c>
      <c r="AE257" s="23" t="n">
        <v>0.8</v>
      </c>
      <c r="AF257" s="23" t="n">
        <v>0</v>
      </c>
      <c r="AG257" s="23" t="n">
        <v>0.67</v>
      </c>
      <c r="AH257" s="23" t="n">
        <v>0.87</v>
      </c>
      <c r="AI257" s="23" t="n">
        <v>1</v>
      </c>
      <c r="AJ257" s="23" t="n">
        <v>0.9344</v>
      </c>
      <c r="AK257" s="23" t="n">
        <v>1</v>
      </c>
      <c r="AL257" s="23" t="n">
        <v>0.6</v>
      </c>
      <c r="AM257" s="16" t="n">
        <f aca="false">COUNTIFS($D$2:$D$2501,D257,$G$2:$G$2501,"&gt;"&amp;G257)+COUNTIFS($D$2:D257,D257,$G$2:G257,G257)</f>
        <v>109</v>
      </c>
      <c r="AN257" s="5" t="str">
        <f aca="false">D257&amp;"|"&amp;AM257</f>
        <v>分析與報告生成|109</v>
      </c>
    </row>
    <row r="258" customFormat="false" ht="17.15" hidden="false" customHeight="false" outlineLevel="0" collapsed="false">
      <c r="A258" s="16" t="n">
        <f aca="false">RANK(G258,$G$2:$G$2501)+COUNTIF($G$2:G258,G258)-1</f>
        <v>257</v>
      </c>
      <c r="B258" s="11" t="s">
        <v>893</v>
      </c>
      <c r="C258" s="11" t="s">
        <v>891</v>
      </c>
      <c r="D258" s="5" t="s">
        <v>56</v>
      </c>
      <c r="E258" s="5" t="s">
        <v>57</v>
      </c>
      <c r="F258" s="5"/>
      <c r="G258" s="22" t="n">
        <f aca="false">ROUND(SUM(I258:P258),3)</f>
        <v>74.424</v>
      </c>
      <c r="H258" s="5" t="str">
        <f aca="false">IF(G258&gt;=評分方法!$C$16,"優先評估",IF(G258&gt;=評分方法!$C$17,"列入候選",IF(G258&gt;=評分方法!$C$18,"特定情境","不建議")))</f>
        <v>列入候選</v>
      </c>
      <c r="I258" s="15" t="n">
        <f aca="false">AE258*評分方法!$C$5</f>
        <v>24</v>
      </c>
      <c r="J258" s="15" t="n">
        <f aca="false">AF258*評分方法!$C$6</f>
        <v>0</v>
      </c>
      <c r="K258" s="15" t="n">
        <f aca="false">AG258*評分方法!$C$7</f>
        <v>10.05</v>
      </c>
      <c r="L258" s="15" t="n">
        <f aca="false">AH258*評分方法!$C$8</f>
        <v>13.05</v>
      </c>
      <c r="M258" s="15" t="n">
        <f aca="false">AI258*評分方法!$C$9</f>
        <v>10</v>
      </c>
      <c r="N258" s="15" t="n">
        <f aca="false">AJ258*評分方法!$C$10</f>
        <v>9.324</v>
      </c>
      <c r="O258" s="15" t="n">
        <f aca="false">AK258*評分方法!$C$11</f>
        <v>5</v>
      </c>
      <c r="P258" s="15" t="n">
        <f aca="false">AL258*評分方法!$C$12</f>
        <v>3</v>
      </c>
      <c r="Q258" s="6" t="n">
        <v>6374930</v>
      </c>
      <c r="R258" s="6" t="n">
        <v>7996156490</v>
      </c>
      <c r="S258" s="11" t="s">
        <v>254</v>
      </c>
      <c r="T258" s="11" t="s">
        <v>239</v>
      </c>
      <c r="U258" s="5" t="s">
        <v>240</v>
      </c>
      <c r="V258" s="11" t="s">
        <v>261</v>
      </c>
      <c r="W258" s="5" t="s">
        <v>207</v>
      </c>
      <c r="X258" s="5" t="s">
        <v>371</v>
      </c>
      <c r="Y258" s="11" t="s">
        <v>422</v>
      </c>
      <c r="Z258" s="11" t="s">
        <v>244</v>
      </c>
      <c r="AA258" s="11" t="s">
        <v>157</v>
      </c>
      <c r="AB258" s="5" t="s">
        <v>245</v>
      </c>
      <c r="AC258" s="5" t="s">
        <v>246</v>
      </c>
      <c r="AD258" s="11" t="s">
        <v>894</v>
      </c>
      <c r="AE258" s="23" t="n">
        <v>0.8</v>
      </c>
      <c r="AF258" s="23" t="n">
        <v>0</v>
      </c>
      <c r="AG258" s="23" t="n">
        <v>0.67</v>
      </c>
      <c r="AH258" s="23" t="n">
        <v>0.87</v>
      </c>
      <c r="AI258" s="23" t="n">
        <v>1</v>
      </c>
      <c r="AJ258" s="23" t="n">
        <v>0.9324</v>
      </c>
      <c r="AK258" s="23" t="n">
        <v>1</v>
      </c>
      <c r="AL258" s="23" t="n">
        <v>0.6</v>
      </c>
      <c r="AM258" s="16" t="n">
        <f aca="false">COUNTIFS($D$2:$D$2501,D258,$G$2:$G$2501,"&gt;"&amp;G258)+COUNTIFS($D$2:D258,D258,$G$2:G258,G258)</f>
        <v>110</v>
      </c>
      <c r="AN258" s="5" t="str">
        <f aca="false">D258&amp;"|"&amp;AM258</f>
        <v>分析與報告生成|110</v>
      </c>
    </row>
    <row r="259" customFormat="false" ht="17.15" hidden="false" customHeight="false" outlineLevel="0" collapsed="false">
      <c r="A259" s="16" t="n">
        <f aca="false">RANK(G259,$G$2:$G$2501)+COUNTIF($G$2:G259,G259)-1</f>
        <v>258</v>
      </c>
      <c r="B259" s="11" t="s">
        <v>895</v>
      </c>
      <c r="C259" s="11" t="s">
        <v>891</v>
      </c>
      <c r="D259" s="5" t="s">
        <v>56</v>
      </c>
      <c r="E259" s="5" t="s">
        <v>57</v>
      </c>
      <c r="F259" s="5"/>
      <c r="G259" s="22" t="n">
        <f aca="false">ROUND(SUM(I259:P259),3)</f>
        <v>74.416</v>
      </c>
      <c r="H259" s="5" t="str">
        <f aca="false">IF(G259&gt;=評分方法!$C$16,"優先評估",IF(G259&gt;=評分方法!$C$17,"列入候選",IF(G259&gt;=評分方法!$C$18,"特定情境","不建議")))</f>
        <v>列入候選</v>
      </c>
      <c r="I259" s="15" t="n">
        <f aca="false">AE259*評分方法!$C$5</f>
        <v>24</v>
      </c>
      <c r="J259" s="15" t="n">
        <f aca="false">AF259*評分方法!$C$6</f>
        <v>0</v>
      </c>
      <c r="K259" s="15" t="n">
        <f aca="false">AG259*評分方法!$C$7</f>
        <v>10.05</v>
      </c>
      <c r="L259" s="15" t="n">
        <f aca="false">AH259*評分方法!$C$8</f>
        <v>13.05</v>
      </c>
      <c r="M259" s="15" t="n">
        <f aca="false">AI259*評分方法!$C$9</f>
        <v>10</v>
      </c>
      <c r="N259" s="15" t="n">
        <f aca="false">AJ259*評分方法!$C$10</f>
        <v>9.316</v>
      </c>
      <c r="O259" s="15" t="n">
        <f aca="false">AK259*評分方法!$C$11</f>
        <v>5</v>
      </c>
      <c r="P259" s="15" t="n">
        <f aca="false">AL259*評分方法!$C$12</f>
        <v>3</v>
      </c>
      <c r="Q259" s="6" t="n">
        <v>6312249</v>
      </c>
      <c r="R259" s="6" t="n">
        <v>7996156490</v>
      </c>
      <c r="S259" s="11" t="s">
        <v>254</v>
      </c>
      <c r="T259" s="11" t="s">
        <v>239</v>
      </c>
      <c r="U259" s="5" t="s">
        <v>240</v>
      </c>
      <c r="V259" s="11" t="s">
        <v>261</v>
      </c>
      <c r="W259" s="5" t="s">
        <v>207</v>
      </c>
      <c r="X259" s="5" t="s">
        <v>371</v>
      </c>
      <c r="Y259" s="11" t="s">
        <v>422</v>
      </c>
      <c r="Z259" s="11" t="s">
        <v>244</v>
      </c>
      <c r="AA259" s="11" t="s">
        <v>157</v>
      </c>
      <c r="AB259" s="5" t="s">
        <v>245</v>
      </c>
      <c r="AC259" s="5" t="s">
        <v>246</v>
      </c>
      <c r="AD259" s="11" t="s">
        <v>896</v>
      </c>
      <c r="AE259" s="23" t="n">
        <v>0.8</v>
      </c>
      <c r="AF259" s="23" t="n">
        <v>0</v>
      </c>
      <c r="AG259" s="23" t="n">
        <v>0.67</v>
      </c>
      <c r="AH259" s="23" t="n">
        <v>0.87</v>
      </c>
      <c r="AI259" s="23" t="n">
        <v>1</v>
      </c>
      <c r="AJ259" s="23" t="n">
        <v>0.9316</v>
      </c>
      <c r="AK259" s="23" t="n">
        <v>1</v>
      </c>
      <c r="AL259" s="23" t="n">
        <v>0.6</v>
      </c>
      <c r="AM259" s="16" t="n">
        <f aca="false">COUNTIFS($D$2:$D$2501,D259,$G$2:$G$2501,"&gt;"&amp;G259)+COUNTIFS($D$2:D259,D259,$G$2:G259,G259)</f>
        <v>111</v>
      </c>
      <c r="AN259" s="5" t="str">
        <f aca="false">D259&amp;"|"&amp;AM259</f>
        <v>分析與報告生成|111</v>
      </c>
    </row>
    <row r="260" customFormat="false" ht="17.15" hidden="false" customHeight="false" outlineLevel="0" collapsed="false">
      <c r="A260" s="16" t="n">
        <f aca="false">RANK(G260,$G$2:$G$2501)+COUNTIF($G$2:G260,G260)-1</f>
        <v>259</v>
      </c>
      <c r="B260" s="11" t="s">
        <v>897</v>
      </c>
      <c r="C260" s="11" t="s">
        <v>891</v>
      </c>
      <c r="D260" s="5" t="s">
        <v>56</v>
      </c>
      <c r="E260" s="5" t="s">
        <v>57</v>
      </c>
      <c r="F260" s="5"/>
      <c r="G260" s="22" t="n">
        <f aca="false">ROUND(SUM(I260:P260),3)</f>
        <v>74.412</v>
      </c>
      <c r="H260" s="5" t="str">
        <f aca="false">IF(G260&gt;=評分方法!$C$16,"優先評估",IF(G260&gt;=評分方法!$C$17,"列入候選",IF(G260&gt;=評分方法!$C$18,"特定情境","不建議")))</f>
        <v>列入候選</v>
      </c>
      <c r="I260" s="15" t="n">
        <f aca="false">AE260*評分方法!$C$5</f>
        <v>24</v>
      </c>
      <c r="J260" s="15" t="n">
        <f aca="false">AF260*評分方法!$C$6</f>
        <v>0</v>
      </c>
      <c r="K260" s="15" t="n">
        <f aca="false">AG260*評分方法!$C$7</f>
        <v>10.05</v>
      </c>
      <c r="L260" s="15" t="n">
        <f aca="false">AH260*評分方法!$C$8</f>
        <v>13.05</v>
      </c>
      <c r="M260" s="15" t="n">
        <f aca="false">AI260*評分方法!$C$9</f>
        <v>10</v>
      </c>
      <c r="N260" s="15" t="n">
        <f aca="false">AJ260*評分方法!$C$10</f>
        <v>9.312</v>
      </c>
      <c r="O260" s="15" t="n">
        <f aca="false">AK260*評分方法!$C$11</f>
        <v>5</v>
      </c>
      <c r="P260" s="15" t="n">
        <f aca="false">AL260*評分方法!$C$12</f>
        <v>3</v>
      </c>
      <c r="Q260" s="6" t="n">
        <v>6309892</v>
      </c>
      <c r="R260" s="6" t="n">
        <v>7996156490</v>
      </c>
      <c r="S260" s="11" t="s">
        <v>254</v>
      </c>
      <c r="T260" s="11" t="s">
        <v>239</v>
      </c>
      <c r="U260" s="5" t="s">
        <v>240</v>
      </c>
      <c r="V260" s="11" t="s">
        <v>261</v>
      </c>
      <c r="W260" s="5" t="s">
        <v>207</v>
      </c>
      <c r="X260" s="5" t="s">
        <v>371</v>
      </c>
      <c r="Y260" s="11" t="s">
        <v>422</v>
      </c>
      <c r="Z260" s="11" t="s">
        <v>244</v>
      </c>
      <c r="AA260" s="11" t="s">
        <v>157</v>
      </c>
      <c r="AB260" s="5" t="s">
        <v>245</v>
      </c>
      <c r="AC260" s="5" t="s">
        <v>246</v>
      </c>
      <c r="AD260" s="11" t="s">
        <v>898</v>
      </c>
      <c r="AE260" s="23" t="n">
        <v>0.8</v>
      </c>
      <c r="AF260" s="23" t="n">
        <v>0</v>
      </c>
      <c r="AG260" s="23" t="n">
        <v>0.67</v>
      </c>
      <c r="AH260" s="23" t="n">
        <v>0.87</v>
      </c>
      <c r="AI260" s="23" t="n">
        <v>1</v>
      </c>
      <c r="AJ260" s="23" t="n">
        <v>0.9312</v>
      </c>
      <c r="AK260" s="23" t="n">
        <v>1</v>
      </c>
      <c r="AL260" s="23" t="n">
        <v>0.6</v>
      </c>
      <c r="AM260" s="16" t="n">
        <f aca="false">COUNTIFS($D$2:$D$2501,D260,$G$2:$G$2501,"&gt;"&amp;G260)+COUNTIFS($D$2:D260,D260,$G$2:G260,G260)</f>
        <v>112</v>
      </c>
      <c r="AN260" s="5" t="str">
        <f aca="false">D260&amp;"|"&amp;AM260</f>
        <v>分析與報告生成|112</v>
      </c>
    </row>
    <row r="261" customFormat="false" ht="17.15" hidden="false" customHeight="false" outlineLevel="0" collapsed="false">
      <c r="A261" s="16" t="n">
        <f aca="false">RANK(G261,$G$2:$G$2501)+COUNTIF($G$2:G261,G261)-1</f>
        <v>260</v>
      </c>
      <c r="B261" s="11" t="s">
        <v>899</v>
      </c>
      <c r="C261" s="11" t="s">
        <v>900</v>
      </c>
      <c r="D261" s="5" t="s">
        <v>56</v>
      </c>
      <c r="E261" s="5" t="s">
        <v>57</v>
      </c>
      <c r="F261" s="5"/>
      <c r="G261" s="22" t="n">
        <f aca="false">ROUND(SUM(I261:P261),3)</f>
        <v>74.392</v>
      </c>
      <c r="H261" s="5" t="str">
        <f aca="false">IF(G261&gt;=評分方法!$C$16,"優先評估",IF(G261&gt;=評分方法!$C$17,"列入候選",IF(G261&gt;=評分方法!$C$18,"特定情境","不建議")))</f>
        <v>列入候選</v>
      </c>
      <c r="I261" s="15" t="n">
        <f aca="false">AE261*評分方法!$C$5</f>
        <v>25.5</v>
      </c>
      <c r="J261" s="15" t="n">
        <f aca="false">AF261*評分方法!$C$6</f>
        <v>0</v>
      </c>
      <c r="K261" s="15" t="n">
        <f aca="false">AG261*評分方法!$C$7</f>
        <v>15</v>
      </c>
      <c r="L261" s="15" t="n">
        <f aca="false">AH261*評分方法!$C$8</f>
        <v>15</v>
      </c>
      <c r="M261" s="15" t="n">
        <f aca="false">AI261*評分方法!$C$9</f>
        <v>7</v>
      </c>
      <c r="N261" s="15" t="n">
        <f aca="false">AJ261*評分方法!$C$10</f>
        <v>7.892</v>
      </c>
      <c r="O261" s="15" t="n">
        <f aca="false">AK261*評分方法!$C$11</f>
        <v>1</v>
      </c>
      <c r="P261" s="15" t="n">
        <f aca="false">AL261*評分方法!$C$12</f>
        <v>3</v>
      </c>
      <c r="Q261" s="6" t="n">
        <v>1467150</v>
      </c>
      <c r="R261" s="6" t="n">
        <v>164144128</v>
      </c>
      <c r="S261" s="11" t="s">
        <v>238</v>
      </c>
      <c r="T261" s="11" t="s">
        <v>901</v>
      </c>
      <c r="U261" s="5" t="s">
        <v>902</v>
      </c>
      <c r="V261" s="11" t="s">
        <v>324</v>
      </c>
      <c r="W261" s="5" t="s">
        <v>205</v>
      </c>
      <c r="X261" s="5" t="s">
        <v>371</v>
      </c>
      <c r="Y261" s="5"/>
      <c r="Z261" s="5"/>
      <c r="AA261" s="11" t="s">
        <v>155</v>
      </c>
      <c r="AB261" s="5" t="s">
        <v>245</v>
      </c>
      <c r="AC261" s="5"/>
      <c r="AD261" s="11" t="s">
        <v>903</v>
      </c>
      <c r="AE261" s="23" t="n">
        <v>0.85</v>
      </c>
      <c r="AF261" s="23" t="n">
        <v>0</v>
      </c>
      <c r="AG261" s="23" t="n">
        <v>1</v>
      </c>
      <c r="AH261" s="23" t="n">
        <v>1</v>
      </c>
      <c r="AI261" s="23" t="n">
        <v>0.7</v>
      </c>
      <c r="AJ261" s="23" t="n">
        <v>0.7892</v>
      </c>
      <c r="AK261" s="23" t="n">
        <v>0.2</v>
      </c>
      <c r="AL261" s="23" t="n">
        <v>0.6</v>
      </c>
      <c r="AM261" s="16" t="n">
        <f aca="false">COUNTIFS($D$2:$D$2501,D261,$G$2:$G$2501,"&gt;"&amp;G261)+COUNTIFS($D$2:D261,D261,$G$2:G261,G261)</f>
        <v>113</v>
      </c>
      <c r="AN261" s="5" t="str">
        <f aca="false">D261&amp;"|"&amp;AM261</f>
        <v>分析與報告生成|113</v>
      </c>
    </row>
    <row r="262" customFormat="false" ht="17.15" hidden="false" customHeight="false" outlineLevel="0" collapsed="false">
      <c r="A262" s="16" t="n">
        <f aca="false">RANK(G262,$G$2:$G$2501)+COUNTIF($G$2:G262,G262)-1</f>
        <v>261</v>
      </c>
      <c r="B262" s="11" t="s">
        <v>904</v>
      </c>
      <c r="C262" s="11" t="s">
        <v>402</v>
      </c>
      <c r="D262" s="5" t="s">
        <v>48</v>
      </c>
      <c r="E262" s="5" t="s">
        <v>49</v>
      </c>
      <c r="F262" s="5" t="s">
        <v>48</v>
      </c>
      <c r="G262" s="22" t="n">
        <f aca="false">ROUND(SUM(I262:P262),3)</f>
        <v>74.324</v>
      </c>
      <c r="H262" s="5" t="str">
        <f aca="false">IF(G262&gt;=評分方法!$C$16,"優先評估",IF(G262&gt;=評分方法!$C$17,"列入候選",IF(G262&gt;=評分方法!$C$18,"特定情境","不建議")))</f>
        <v>列入候選</v>
      </c>
      <c r="I262" s="15" t="n">
        <f aca="false">AE262*評分方法!$C$5</f>
        <v>28.5</v>
      </c>
      <c r="J262" s="15" t="n">
        <f aca="false">AF262*評分方法!$C$6</f>
        <v>10</v>
      </c>
      <c r="K262" s="15" t="n">
        <f aca="false">AG262*評分方法!$C$7</f>
        <v>4.95</v>
      </c>
      <c r="L262" s="15" t="n">
        <f aca="false">AH262*評分方法!$C$8</f>
        <v>13.05</v>
      </c>
      <c r="M262" s="15" t="n">
        <f aca="false">AI262*評分方法!$C$9</f>
        <v>10</v>
      </c>
      <c r="N262" s="15" t="n">
        <f aca="false">AJ262*評分方法!$C$10</f>
        <v>2.824</v>
      </c>
      <c r="O262" s="15" t="n">
        <f aca="false">AK262*評分方法!$C$11</f>
        <v>5</v>
      </c>
      <c r="P262" s="15" t="n">
        <f aca="false">AL262*評分方法!$C$12</f>
        <v>0</v>
      </c>
      <c r="Q262" s="6" t="n">
        <v>276054</v>
      </c>
      <c r="R262" s="6" t="n">
        <v>1399607373</v>
      </c>
      <c r="S262" s="11" t="s">
        <v>254</v>
      </c>
      <c r="T262" s="11" t="s">
        <v>239</v>
      </c>
      <c r="U262" s="5" t="s">
        <v>240</v>
      </c>
      <c r="V262" s="11" t="s">
        <v>261</v>
      </c>
      <c r="W262" s="5" t="s">
        <v>334</v>
      </c>
      <c r="X262" s="5" t="s">
        <v>242</v>
      </c>
      <c r="Y262" s="11" t="s">
        <v>252</v>
      </c>
      <c r="Z262" s="11" t="s">
        <v>270</v>
      </c>
      <c r="AA262" s="11" t="s">
        <v>150</v>
      </c>
      <c r="AB262" s="5" t="s">
        <v>245</v>
      </c>
      <c r="AC262" s="5"/>
      <c r="AD262" s="11" t="s">
        <v>905</v>
      </c>
      <c r="AE262" s="23" t="n">
        <v>0.95</v>
      </c>
      <c r="AF262" s="23" t="n">
        <v>1</v>
      </c>
      <c r="AG262" s="23" t="n">
        <v>0.33</v>
      </c>
      <c r="AH262" s="23" t="n">
        <v>0.87</v>
      </c>
      <c r="AI262" s="23" t="n">
        <v>1</v>
      </c>
      <c r="AJ262" s="23" t="n">
        <v>0.2824</v>
      </c>
      <c r="AK262" s="23" t="n">
        <v>1</v>
      </c>
      <c r="AL262" s="23" t="n">
        <v>0</v>
      </c>
      <c r="AM262" s="16" t="n">
        <f aca="false">COUNTIFS($D$2:$D$2501,D262,$G$2:$G$2501,"&gt;"&amp;G262)+COUNTIFS($D$2:D262,D262,$G$2:G262,G262)</f>
        <v>11</v>
      </c>
      <c r="AN262" s="5" t="str">
        <f aca="false">D262&amp;"|"&amp;AM262</f>
        <v>個資偵測與去識別化|11</v>
      </c>
    </row>
    <row r="263" customFormat="false" ht="17.15" hidden="false" customHeight="false" outlineLevel="0" collapsed="false">
      <c r="A263" s="16" t="n">
        <f aca="false">RANK(G263,$G$2:$G$2501)+COUNTIF($G$2:G263,G263)-1</f>
        <v>262</v>
      </c>
      <c r="B263" s="11" t="s">
        <v>906</v>
      </c>
      <c r="C263" s="11" t="s">
        <v>287</v>
      </c>
      <c r="D263" s="5" t="s">
        <v>54</v>
      </c>
      <c r="E263" s="5" t="s">
        <v>55</v>
      </c>
      <c r="F263" s="5"/>
      <c r="G263" s="22" t="n">
        <f aca="false">ROUND(SUM(I263:P263),3)</f>
        <v>74.32</v>
      </c>
      <c r="H263" s="5" t="str">
        <f aca="false">IF(G263&gt;=評分方法!$C$16,"優先評估",IF(G263&gt;=評分方法!$C$17,"列入候選",IF(G263&gt;=評分方法!$C$18,"特定情境","不建議")))</f>
        <v>列入候選</v>
      </c>
      <c r="I263" s="15" t="n">
        <f aca="false">AE263*評分方法!$C$5</f>
        <v>27</v>
      </c>
      <c r="J263" s="15" t="n">
        <f aca="false">AF263*評分方法!$C$6</f>
        <v>0</v>
      </c>
      <c r="K263" s="15" t="n">
        <f aca="false">AG263*評分方法!$C$7</f>
        <v>15</v>
      </c>
      <c r="L263" s="15" t="n">
        <f aca="false">AH263*評分方法!$C$8</f>
        <v>15</v>
      </c>
      <c r="M263" s="15" t="n">
        <f aca="false">AI263*評分方法!$C$9</f>
        <v>10</v>
      </c>
      <c r="N263" s="15" t="n">
        <f aca="false">AJ263*評分方法!$C$10</f>
        <v>6.32</v>
      </c>
      <c r="O263" s="15" t="n">
        <f aca="false">AK263*評分方法!$C$11</f>
        <v>1</v>
      </c>
      <c r="P263" s="15" t="n">
        <f aca="false">AL263*評分方法!$C$12</f>
        <v>0</v>
      </c>
      <c r="Q263" s="6" t="n">
        <v>700345</v>
      </c>
      <c r="R263" s="6" t="n">
        <v>33360512</v>
      </c>
      <c r="S263" s="11" t="s">
        <v>238</v>
      </c>
      <c r="T263" s="11" t="s">
        <v>278</v>
      </c>
      <c r="U263" s="5" t="s">
        <v>240</v>
      </c>
      <c r="V263" s="11" t="s">
        <v>288</v>
      </c>
      <c r="W263" s="5" t="s">
        <v>205</v>
      </c>
      <c r="X263" s="5" t="s">
        <v>242</v>
      </c>
      <c r="Y263" s="5"/>
      <c r="Z263" s="5"/>
      <c r="AA263" s="11" t="s">
        <v>152</v>
      </c>
      <c r="AB263" s="5" t="s">
        <v>245</v>
      </c>
      <c r="AC263" s="5"/>
      <c r="AD263" s="11" t="s">
        <v>907</v>
      </c>
      <c r="AE263" s="23" t="n">
        <v>0.9</v>
      </c>
      <c r="AF263" s="23" t="n">
        <v>0</v>
      </c>
      <c r="AG263" s="23" t="n">
        <v>1</v>
      </c>
      <c r="AH263" s="23" t="n">
        <v>1</v>
      </c>
      <c r="AI263" s="23" t="n">
        <v>1</v>
      </c>
      <c r="AJ263" s="23" t="n">
        <v>0.632</v>
      </c>
      <c r="AK263" s="23" t="n">
        <v>0.2</v>
      </c>
      <c r="AL263" s="23" t="n">
        <v>0</v>
      </c>
      <c r="AM263" s="16" t="n">
        <f aca="false">COUNTIFS($D$2:$D$2501,D263,$G$2:$G$2501,"&gt;"&amp;G263)+COUNTIFS($D$2:D263,D263,$G$2:G263,G263)</f>
        <v>83</v>
      </c>
      <c r="AN263" s="5" t="str">
        <f aca="false">D263&amp;"|"&amp;AM263</f>
        <v>檢索與情資關聯|83</v>
      </c>
    </row>
    <row r="264" customFormat="false" ht="17.15" hidden="false" customHeight="false" outlineLevel="0" collapsed="false">
      <c r="A264" s="16" t="n">
        <f aca="false">RANK(G264,$G$2:$G$2501)+COUNTIF($G$2:G264,G264)-1</f>
        <v>263</v>
      </c>
      <c r="B264" s="11" t="s">
        <v>463</v>
      </c>
      <c r="C264" s="11" t="s">
        <v>461</v>
      </c>
      <c r="D264" s="5" t="s">
        <v>56</v>
      </c>
      <c r="E264" s="5" t="s">
        <v>57</v>
      </c>
      <c r="F264" s="5"/>
      <c r="G264" s="22" t="n">
        <f aca="false">ROUND(SUM(I264:P264),3)</f>
        <v>74.304</v>
      </c>
      <c r="H264" s="5" t="str">
        <f aca="false">IF(G264&gt;=評分方法!$C$16,"優先評估",IF(G264&gt;=評分方法!$C$17,"列入候選",IF(G264&gt;=評分方法!$C$18,"特定情境","不建議")))</f>
        <v>列入候選</v>
      </c>
      <c r="I264" s="15" t="n">
        <f aca="false">AE264*評分方法!$C$5</f>
        <v>25.5</v>
      </c>
      <c r="J264" s="15" t="n">
        <f aca="false">AF264*評分方法!$C$6</f>
        <v>0</v>
      </c>
      <c r="K264" s="15" t="n">
        <f aca="false">AG264*評分方法!$C$7</f>
        <v>15</v>
      </c>
      <c r="L264" s="15" t="n">
        <f aca="false">AH264*評分方法!$C$8</f>
        <v>15</v>
      </c>
      <c r="M264" s="15" t="n">
        <f aca="false">AI264*評分方法!$C$9</f>
        <v>6</v>
      </c>
      <c r="N264" s="15" t="n">
        <f aca="false">AJ264*評分方法!$C$10</f>
        <v>2.804</v>
      </c>
      <c r="O264" s="15" t="n">
        <f aca="false">AK264*評分方法!$C$11</f>
        <v>5</v>
      </c>
      <c r="P264" s="15" t="n">
        <f aca="false">AL264*評分方法!$C$12</f>
        <v>5</v>
      </c>
      <c r="Q264" s="6" t="n">
        <v>273617</v>
      </c>
      <c r="R264" s="6" t="n">
        <v>229693184</v>
      </c>
      <c r="S264" s="11" t="s">
        <v>238</v>
      </c>
      <c r="T264" s="11" t="s">
        <v>185</v>
      </c>
      <c r="U264" s="5" t="s">
        <v>260</v>
      </c>
      <c r="V264" s="11" t="s">
        <v>261</v>
      </c>
      <c r="W264" s="5" t="s">
        <v>205</v>
      </c>
      <c r="X264" s="5" t="s">
        <v>284</v>
      </c>
      <c r="Y264" s="11" t="s">
        <v>908</v>
      </c>
      <c r="Z264" s="11" t="s">
        <v>270</v>
      </c>
      <c r="AA264" s="11" t="s">
        <v>155</v>
      </c>
      <c r="AB264" s="5" t="s">
        <v>245</v>
      </c>
      <c r="AC264" s="5" t="s">
        <v>262</v>
      </c>
      <c r="AD264" s="11" t="s">
        <v>909</v>
      </c>
      <c r="AE264" s="23" t="n">
        <v>0.85</v>
      </c>
      <c r="AF264" s="23" t="n">
        <v>0</v>
      </c>
      <c r="AG264" s="23" t="n">
        <v>1</v>
      </c>
      <c r="AH264" s="23" t="n">
        <v>1</v>
      </c>
      <c r="AI264" s="23" t="n">
        <v>0.6</v>
      </c>
      <c r="AJ264" s="23" t="n">
        <v>0.2804</v>
      </c>
      <c r="AK264" s="23" t="n">
        <v>1</v>
      </c>
      <c r="AL264" s="23" t="n">
        <v>1</v>
      </c>
      <c r="AM264" s="16" t="n">
        <f aca="false">COUNTIFS($D$2:$D$2501,D264,$G$2:$G$2501,"&gt;"&amp;G264)+COUNTIFS($D$2:D264,D264,$G$2:G264,G264)</f>
        <v>114</v>
      </c>
      <c r="AN264" s="5" t="str">
        <f aca="false">D264&amp;"|"&amp;AM264</f>
        <v>分析與報告生成|114</v>
      </c>
    </row>
    <row r="265" customFormat="false" ht="17.15" hidden="false" customHeight="false" outlineLevel="0" collapsed="false">
      <c r="A265" s="16" t="n">
        <f aca="false">RANK(G265,$G$2:$G$2501)+COUNTIF($G$2:G265,G265)-1</f>
        <v>264</v>
      </c>
      <c r="B265" s="11" t="s">
        <v>910</v>
      </c>
      <c r="C265" s="11" t="s">
        <v>777</v>
      </c>
      <c r="D265" s="5" t="s">
        <v>58</v>
      </c>
      <c r="E265" s="5" t="s">
        <v>59</v>
      </c>
      <c r="F265" s="5"/>
      <c r="G265" s="22" t="n">
        <f aca="false">ROUND(SUM(I265:P265),3)</f>
        <v>74.298</v>
      </c>
      <c r="H265" s="5" t="str">
        <f aca="false">IF(G265&gt;=評分方法!$C$16,"優先評估",IF(G265&gt;=評分方法!$C$17,"列入候選",IF(G265&gt;=評分方法!$C$18,"特定情境","不建議")))</f>
        <v>列入候選</v>
      </c>
      <c r="I265" s="15" t="n">
        <f aca="false">AE265*評分方法!$C$5</f>
        <v>28.5</v>
      </c>
      <c r="J265" s="15" t="n">
        <f aca="false">AF265*評分方法!$C$6</f>
        <v>0</v>
      </c>
      <c r="K265" s="15" t="n">
        <f aca="false">AG265*評分方法!$C$7</f>
        <v>10.05</v>
      </c>
      <c r="L265" s="15" t="n">
        <f aca="false">AH265*評分方法!$C$8</f>
        <v>15</v>
      </c>
      <c r="M265" s="15" t="n">
        <f aca="false">AI265*評分方法!$C$9</f>
        <v>10</v>
      </c>
      <c r="N265" s="15" t="n">
        <f aca="false">AJ265*評分方法!$C$10</f>
        <v>8.248</v>
      </c>
      <c r="O265" s="15" t="n">
        <f aca="false">AK265*評分方法!$C$11</f>
        <v>1</v>
      </c>
      <c r="P265" s="15" t="n">
        <f aca="false">AL265*評分方法!$C$12</f>
        <v>1.5</v>
      </c>
      <c r="Q265" s="6" t="n">
        <v>1866278</v>
      </c>
      <c r="R265" s="6" t="n">
        <v>558850571</v>
      </c>
      <c r="S265" s="11" t="s">
        <v>238</v>
      </c>
      <c r="T265" s="11" t="s">
        <v>778</v>
      </c>
      <c r="U265" s="5" t="s">
        <v>240</v>
      </c>
      <c r="V265" s="11" t="s">
        <v>855</v>
      </c>
      <c r="W265" s="5" t="s">
        <v>207</v>
      </c>
      <c r="X265" s="5" t="s">
        <v>255</v>
      </c>
      <c r="Y265" s="5"/>
      <c r="Z265" s="5"/>
      <c r="AA265" s="11" t="s">
        <v>150</v>
      </c>
      <c r="AB265" s="5" t="s">
        <v>245</v>
      </c>
      <c r="AC265" s="5"/>
      <c r="AD265" s="11" t="s">
        <v>911</v>
      </c>
      <c r="AE265" s="23" t="n">
        <v>0.95</v>
      </c>
      <c r="AF265" s="23" t="n">
        <v>0</v>
      </c>
      <c r="AG265" s="23" t="n">
        <v>0.67</v>
      </c>
      <c r="AH265" s="23" t="n">
        <v>1</v>
      </c>
      <c r="AI265" s="23" t="n">
        <v>1</v>
      </c>
      <c r="AJ265" s="23" t="n">
        <v>0.8248</v>
      </c>
      <c r="AK265" s="23" t="n">
        <v>0.2</v>
      </c>
      <c r="AL265" s="23" t="n">
        <v>0.3</v>
      </c>
      <c r="AM265" s="16" t="n">
        <f aca="false">COUNTIFS($D$2:$D$2501,D265,$G$2:$G$2501,"&gt;"&amp;G265)+COUNTIFS($D$2:D265,D265,$G$2:G265,G265)</f>
        <v>9</v>
      </c>
      <c r="AN265" s="5" t="str">
        <f aca="false">D265&amp;"|"&amp;AM265</f>
        <v>實體擷取與去識別化|9</v>
      </c>
    </row>
    <row r="266" customFormat="false" ht="17.15" hidden="false" customHeight="false" outlineLevel="0" collapsed="false">
      <c r="A266" s="16" t="n">
        <f aca="false">RANK(G266,$G$2:$G$2501)+COUNTIF($G$2:G266,G266)-1</f>
        <v>265</v>
      </c>
      <c r="B266" s="11" t="s">
        <v>912</v>
      </c>
      <c r="C266" s="11" t="s">
        <v>417</v>
      </c>
      <c r="D266" s="5" t="s">
        <v>56</v>
      </c>
      <c r="E266" s="5" t="s">
        <v>57</v>
      </c>
      <c r="F266" s="5"/>
      <c r="G266" s="22" t="n">
        <f aca="false">ROUND(SUM(I266:P266),3)</f>
        <v>74.244</v>
      </c>
      <c r="H266" s="5" t="str">
        <f aca="false">IF(G266&gt;=評分方法!$C$16,"優先評估",IF(G266&gt;=評分方法!$C$17,"列入候選",IF(G266&gt;=評分方法!$C$18,"特定情境","不建議")))</f>
        <v>列入候選</v>
      </c>
      <c r="I266" s="15" t="n">
        <f aca="false">AE266*評分方法!$C$5</f>
        <v>25.5</v>
      </c>
      <c r="J266" s="15" t="n">
        <f aca="false">AF266*評分方法!$C$6</f>
        <v>0</v>
      </c>
      <c r="K266" s="15" t="n">
        <f aca="false">AG266*評分方法!$C$7</f>
        <v>15</v>
      </c>
      <c r="L266" s="15" t="n">
        <f aca="false">AH266*評分方法!$C$8</f>
        <v>15</v>
      </c>
      <c r="M266" s="15" t="n">
        <f aca="false">AI266*評分方法!$C$9</f>
        <v>10</v>
      </c>
      <c r="N266" s="15" t="n">
        <f aca="false">AJ266*評分方法!$C$10</f>
        <v>7.744</v>
      </c>
      <c r="O266" s="15" t="n">
        <f aca="false">AK266*評分方法!$C$11</f>
        <v>1</v>
      </c>
      <c r="P266" s="15" t="n">
        <f aca="false">AL266*評分方法!$C$12</f>
        <v>0</v>
      </c>
      <c r="Q266" s="6" t="n">
        <v>1324243</v>
      </c>
      <c r="R266" s="6" t="n">
        <v>134515008</v>
      </c>
      <c r="S266" s="11" t="s">
        <v>238</v>
      </c>
      <c r="T266" s="11" t="s">
        <v>239</v>
      </c>
      <c r="U266" s="5" t="s">
        <v>240</v>
      </c>
      <c r="V266" s="11" t="s">
        <v>241</v>
      </c>
      <c r="W266" s="5" t="s">
        <v>205</v>
      </c>
      <c r="X266" s="5" t="s">
        <v>242</v>
      </c>
      <c r="Y266" s="5"/>
      <c r="Z266" s="5"/>
      <c r="AA266" s="11" t="s">
        <v>155</v>
      </c>
      <c r="AB266" s="5" t="s">
        <v>245</v>
      </c>
      <c r="AC266" s="5"/>
      <c r="AD266" s="11" t="s">
        <v>913</v>
      </c>
      <c r="AE266" s="23" t="n">
        <v>0.85</v>
      </c>
      <c r="AF266" s="23" t="n">
        <v>0</v>
      </c>
      <c r="AG266" s="23" t="n">
        <v>1</v>
      </c>
      <c r="AH266" s="23" t="n">
        <v>1</v>
      </c>
      <c r="AI266" s="23" t="n">
        <v>1</v>
      </c>
      <c r="AJ266" s="23" t="n">
        <v>0.7744</v>
      </c>
      <c r="AK266" s="23" t="n">
        <v>0.2</v>
      </c>
      <c r="AL266" s="23" t="n">
        <v>0</v>
      </c>
      <c r="AM266" s="16" t="n">
        <f aca="false">COUNTIFS($D$2:$D$2501,D266,$G$2:$G$2501,"&gt;"&amp;G266)+COUNTIFS($D$2:D266,D266,$G$2:G266,G266)</f>
        <v>115</v>
      </c>
      <c r="AN266" s="5" t="str">
        <f aca="false">D266&amp;"|"&amp;AM266</f>
        <v>分析與報告生成|115</v>
      </c>
    </row>
    <row r="267" customFormat="false" ht="17.15" hidden="false" customHeight="false" outlineLevel="0" collapsed="false">
      <c r="A267" s="16" t="n">
        <f aca="false">RANK(G267,$G$2:$G$2501)+COUNTIF($G$2:G267,G267)-1</f>
        <v>266</v>
      </c>
      <c r="B267" s="11" t="s">
        <v>914</v>
      </c>
      <c r="C267" s="11" t="s">
        <v>382</v>
      </c>
      <c r="D267" s="5" t="s">
        <v>54</v>
      </c>
      <c r="E267" s="5" t="s">
        <v>55</v>
      </c>
      <c r="F267" s="5"/>
      <c r="G267" s="22" t="n">
        <f aca="false">ROUND(SUM(I267:P267),3)</f>
        <v>74.236</v>
      </c>
      <c r="H267" s="5" t="str">
        <f aca="false">IF(G267&gt;=評分方法!$C$16,"優先評估",IF(G267&gt;=評分方法!$C$17,"列入候選",IF(G267&gt;=評分方法!$C$18,"特定情境","不建議")))</f>
        <v>列入候選</v>
      </c>
      <c r="I267" s="15" t="n">
        <f aca="false">AE267*評分方法!$C$5</f>
        <v>27</v>
      </c>
      <c r="J267" s="15" t="n">
        <f aca="false">AF267*評分方法!$C$6</f>
        <v>0</v>
      </c>
      <c r="K267" s="15" t="n">
        <f aca="false">AG267*評分方法!$C$7</f>
        <v>15</v>
      </c>
      <c r="L267" s="15" t="n">
        <f aca="false">AH267*評分方法!$C$8</f>
        <v>15</v>
      </c>
      <c r="M267" s="15" t="n">
        <f aca="false">AI267*評分方法!$C$9</f>
        <v>10</v>
      </c>
      <c r="N267" s="15" t="n">
        <f aca="false">AJ267*評分方法!$C$10</f>
        <v>2.236</v>
      </c>
      <c r="O267" s="15" t="n">
        <f aca="false">AK267*評分方法!$C$11</f>
        <v>5</v>
      </c>
      <c r="P267" s="15" t="n">
        <f aca="false">AL267*評分方法!$C$12</f>
        <v>0</v>
      </c>
      <c r="Q267" s="6" t="n">
        <v>228101</v>
      </c>
      <c r="R267" s="6" t="n">
        <v>31883904</v>
      </c>
      <c r="S267" s="11" t="s">
        <v>238</v>
      </c>
      <c r="T267" s="11" t="s">
        <v>239</v>
      </c>
      <c r="U267" s="5" t="s">
        <v>240</v>
      </c>
      <c r="V267" s="11" t="s">
        <v>241</v>
      </c>
      <c r="W267" s="5" t="s">
        <v>205</v>
      </c>
      <c r="X267" s="5" t="s">
        <v>242</v>
      </c>
      <c r="Y267" s="5"/>
      <c r="Z267" s="5"/>
      <c r="AA267" s="11" t="s">
        <v>152</v>
      </c>
      <c r="AB267" s="5" t="s">
        <v>245</v>
      </c>
      <c r="AC267" s="5"/>
      <c r="AD267" s="11" t="s">
        <v>915</v>
      </c>
      <c r="AE267" s="23" t="n">
        <v>0.9</v>
      </c>
      <c r="AF267" s="23" t="n">
        <v>0</v>
      </c>
      <c r="AG267" s="23" t="n">
        <v>1</v>
      </c>
      <c r="AH267" s="23" t="n">
        <v>1</v>
      </c>
      <c r="AI267" s="23" t="n">
        <v>1</v>
      </c>
      <c r="AJ267" s="23" t="n">
        <v>0.2236</v>
      </c>
      <c r="AK267" s="23" t="n">
        <v>1</v>
      </c>
      <c r="AL267" s="23" t="n">
        <v>0</v>
      </c>
      <c r="AM267" s="16" t="n">
        <f aca="false">COUNTIFS($D$2:$D$2501,D267,$G$2:$G$2501,"&gt;"&amp;G267)+COUNTIFS($D$2:D267,D267,$G$2:G267,G267)</f>
        <v>84</v>
      </c>
      <c r="AN267" s="5" t="str">
        <f aca="false">D267&amp;"|"&amp;AM267</f>
        <v>檢索與情資關聯|84</v>
      </c>
    </row>
    <row r="268" customFormat="false" ht="17.15" hidden="false" customHeight="false" outlineLevel="0" collapsed="false">
      <c r="A268" s="16" t="n">
        <f aca="false">RANK(G268,$G$2:$G$2501)+COUNTIF($G$2:G268,G268)-1</f>
        <v>267</v>
      </c>
      <c r="B268" s="11" t="s">
        <v>916</v>
      </c>
      <c r="C268" s="11" t="s">
        <v>548</v>
      </c>
      <c r="D268" s="5" t="s">
        <v>56</v>
      </c>
      <c r="E268" s="5" t="s">
        <v>57</v>
      </c>
      <c r="F268" s="5"/>
      <c r="G268" s="22" t="n">
        <f aca="false">ROUND(SUM(I268:P268),3)</f>
        <v>74.22</v>
      </c>
      <c r="H268" s="5" t="str">
        <f aca="false">IF(G268&gt;=評分方法!$C$16,"優先評估",IF(G268&gt;=評分方法!$C$17,"列入候選",IF(G268&gt;=評分方法!$C$18,"特定情境","不建議")))</f>
        <v>列入候選</v>
      </c>
      <c r="I268" s="15" t="n">
        <f aca="false">AE268*評分方法!$C$5</f>
        <v>25.5</v>
      </c>
      <c r="J268" s="15" t="n">
        <f aca="false">AF268*評分方法!$C$6</f>
        <v>0</v>
      </c>
      <c r="K268" s="15" t="n">
        <f aca="false">AG268*評分方法!$C$7</f>
        <v>15</v>
      </c>
      <c r="L268" s="15" t="n">
        <f aca="false">AH268*評分方法!$C$8</f>
        <v>15</v>
      </c>
      <c r="M268" s="15" t="n">
        <f aca="false">AI268*評分方法!$C$9</f>
        <v>10</v>
      </c>
      <c r="N268" s="15" t="n">
        <f aca="false">AJ268*評分方法!$C$10</f>
        <v>7.72</v>
      </c>
      <c r="O268" s="15" t="n">
        <f aca="false">AK268*評分方法!$C$11</f>
        <v>1</v>
      </c>
      <c r="P268" s="15" t="n">
        <f aca="false">AL268*評分方法!$C$12</f>
        <v>0</v>
      </c>
      <c r="Q268" s="6" t="n">
        <v>1301814</v>
      </c>
      <c r="R268" s="6" t="n">
        <v>505997504</v>
      </c>
      <c r="S268" s="11" t="s">
        <v>238</v>
      </c>
      <c r="T268" s="11" t="s">
        <v>239</v>
      </c>
      <c r="U268" s="5" t="s">
        <v>240</v>
      </c>
      <c r="V268" s="11" t="s">
        <v>324</v>
      </c>
      <c r="W268" s="5" t="s">
        <v>205</v>
      </c>
      <c r="X268" s="5" t="s">
        <v>242</v>
      </c>
      <c r="Y268" s="5"/>
      <c r="Z268" s="5"/>
      <c r="AA268" s="11" t="s">
        <v>155</v>
      </c>
      <c r="AB268" s="5" t="s">
        <v>245</v>
      </c>
      <c r="AC268" s="5"/>
      <c r="AD268" s="11" t="s">
        <v>917</v>
      </c>
      <c r="AE268" s="23" t="n">
        <v>0.85</v>
      </c>
      <c r="AF268" s="23" t="n">
        <v>0</v>
      </c>
      <c r="AG268" s="23" t="n">
        <v>1</v>
      </c>
      <c r="AH268" s="23" t="n">
        <v>1</v>
      </c>
      <c r="AI268" s="23" t="n">
        <v>1</v>
      </c>
      <c r="AJ268" s="23" t="n">
        <v>0.772</v>
      </c>
      <c r="AK268" s="23" t="n">
        <v>0.2</v>
      </c>
      <c r="AL268" s="23" t="n">
        <v>0</v>
      </c>
      <c r="AM268" s="16" t="n">
        <f aca="false">COUNTIFS($D$2:$D$2501,D268,$G$2:$G$2501,"&gt;"&amp;G268)+COUNTIFS($D$2:D268,D268,$G$2:G268,G268)</f>
        <v>116</v>
      </c>
      <c r="AN268" s="5" t="str">
        <f aca="false">D268&amp;"|"&amp;AM268</f>
        <v>分析與報告生成|116</v>
      </c>
    </row>
    <row r="269" customFormat="false" ht="17.15" hidden="false" customHeight="false" outlineLevel="0" collapsed="false">
      <c r="A269" s="16" t="n">
        <f aca="false">RANK(G269,$G$2:$G$2501)+COUNTIF($G$2:G269,G269)-1</f>
        <v>268</v>
      </c>
      <c r="B269" s="11" t="s">
        <v>918</v>
      </c>
      <c r="C269" s="11" t="s">
        <v>891</v>
      </c>
      <c r="D269" s="5" t="s">
        <v>56</v>
      </c>
      <c r="E269" s="5" t="s">
        <v>57</v>
      </c>
      <c r="F269" s="5"/>
      <c r="G269" s="22" t="n">
        <f aca="false">ROUND(SUM(I269:P269),3)</f>
        <v>74.216</v>
      </c>
      <c r="H269" s="5" t="str">
        <f aca="false">IF(G269&gt;=評分方法!$C$16,"優先評估",IF(G269&gt;=評分方法!$C$17,"列入候選",IF(G269&gt;=評分方法!$C$18,"特定情境","不建議")))</f>
        <v>列入候選</v>
      </c>
      <c r="I269" s="15" t="n">
        <f aca="false">AE269*評分方法!$C$5</f>
        <v>24</v>
      </c>
      <c r="J269" s="15" t="n">
        <f aca="false">AF269*評分方法!$C$6</f>
        <v>0</v>
      </c>
      <c r="K269" s="15" t="n">
        <f aca="false">AG269*評分方法!$C$7</f>
        <v>10.05</v>
      </c>
      <c r="L269" s="15" t="n">
        <f aca="false">AH269*評分方法!$C$8</f>
        <v>13.05</v>
      </c>
      <c r="M269" s="15" t="n">
        <f aca="false">AI269*評分方法!$C$9</f>
        <v>10</v>
      </c>
      <c r="N269" s="15" t="n">
        <f aca="false">AJ269*評分方法!$C$10</f>
        <v>9.116</v>
      </c>
      <c r="O269" s="15" t="n">
        <f aca="false">AK269*評分方法!$C$11</f>
        <v>5</v>
      </c>
      <c r="P269" s="15" t="n">
        <f aca="false">AL269*評分方法!$C$12</f>
        <v>3</v>
      </c>
      <c r="Q269" s="6" t="n">
        <v>4537391</v>
      </c>
      <c r="R269" s="6" t="n">
        <v>7518069290</v>
      </c>
      <c r="S269" s="11" t="s">
        <v>254</v>
      </c>
      <c r="T269" s="11" t="s">
        <v>239</v>
      </c>
      <c r="U269" s="5" t="s">
        <v>240</v>
      </c>
      <c r="V269" s="11" t="s">
        <v>333</v>
      </c>
      <c r="W269" s="5" t="s">
        <v>207</v>
      </c>
      <c r="X269" s="5" t="s">
        <v>371</v>
      </c>
      <c r="Y269" s="11" t="s">
        <v>422</v>
      </c>
      <c r="Z269" s="11" t="s">
        <v>244</v>
      </c>
      <c r="AA269" s="11" t="s">
        <v>157</v>
      </c>
      <c r="AB269" s="5" t="s">
        <v>496</v>
      </c>
      <c r="AC269" s="5" t="s">
        <v>555</v>
      </c>
      <c r="AD269" s="11" t="s">
        <v>919</v>
      </c>
      <c r="AE269" s="23" t="n">
        <v>0.8</v>
      </c>
      <c r="AF269" s="23" t="n">
        <v>0</v>
      </c>
      <c r="AG269" s="23" t="n">
        <v>0.67</v>
      </c>
      <c r="AH269" s="23" t="n">
        <v>0.87</v>
      </c>
      <c r="AI269" s="23" t="n">
        <v>1</v>
      </c>
      <c r="AJ269" s="23" t="n">
        <v>0.9116</v>
      </c>
      <c r="AK269" s="23" t="n">
        <v>1</v>
      </c>
      <c r="AL269" s="23" t="n">
        <v>0.6</v>
      </c>
      <c r="AM269" s="16" t="n">
        <f aca="false">COUNTIFS($D$2:$D$2501,D269,$G$2:$G$2501,"&gt;"&amp;G269)+COUNTIFS($D$2:D269,D269,$G$2:G269,G269)</f>
        <v>117</v>
      </c>
      <c r="AN269" s="5" t="str">
        <f aca="false">D269&amp;"|"&amp;AM269</f>
        <v>分析與報告生成|117</v>
      </c>
    </row>
    <row r="270" customFormat="false" ht="17.15" hidden="false" customHeight="false" outlineLevel="0" collapsed="false">
      <c r="A270" s="16" t="n">
        <f aca="false">RANK(G270,$G$2:$G$2501)+COUNTIF($G$2:G270,G270)-1</f>
        <v>269</v>
      </c>
      <c r="B270" s="11" t="s">
        <v>920</v>
      </c>
      <c r="C270" s="11" t="s">
        <v>299</v>
      </c>
      <c r="D270" s="5" t="s">
        <v>56</v>
      </c>
      <c r="E270" s="5" t="s">
        <v>57</v>
      </c>
      <c r="F270" s="5"/>
      <c r="G270" s="22" t="n">
        <f aca="false">ROUND(SUM(I270:P270),3)</f>
        <v>74.196</v>
      </c>
      <c r="H270" s="5" t="str">
        <f aca="false">IF(G270&gt;=評分方法!$C$16,"優先評估",IF(G270&gt;=評分方法!$C$17,"列入候選",IF(G270&gt;=評分方法!$C$18,"特定情境","不建議")))</f>
        <v>列入候選</v>
      </c>
      <c r="I270" s="15" t="n">
        <f aca="false">AE270*評分方法!$C$5</f>
        <v>25.5</v>
      </c>
      <c r="J270" s="15" t="n">
        <f aca="false">AF270*評分方法!$C$6</f>
        <v>0</v>
      </c>
      <c r="K270" s="15" t="n">
        <f aca="false">AG270*評分方法!$C$7</f>
        <v>15</v>
      </c>
      <c r="L270" s="15" t="n">
        <f aca="false">AH270*評分方法!$C$8</f>
        <v>9</v>
      </c>
      <c r="M270" s="15" t="n">
        <f aca="false">AI270*評分方法!$C$9</f>
        <v>10</v>
      </c>
      <c r="N270" s="15" t="n">
        <f aca="false">AJ270*評分方法!$C$10</f>
        <v>7.696</v>
      </c>
      <c r="O270" s="15" t="n">
        <f aca="false">AK270*評分方法!$C$11</f>
        <v>4</v>
      </c>
      <c r="P270" s="15" t="n">
        <f aca="false">AL270*評分方法!$C$12</f>
        <v>3</v>
      </c>
      <c r="Q270" s="6" t="n">
        <v>1273137</v>
      </c>
      <c r="R270" s="6" t="n">
        <v>32207337984</v>
      </c>
      <c r="S270" s="11" t="s">
        <v>389</v>
      </c>
      <c r="T270" s="11" t="s">
        <v>239</v>
      </c>
      <c r="U270" s="5" t="s">
        <v>240</v>
      </c>
      <c r="V270" s="11" t="s">
        <v>261</v>
      </c>
      <c r="W270" s="5" t="s">
        <v>205</v>
      </c>
      <c r="X270" s="5" t="s">
        <v>371</v>
      </c>
      <c r="Y270" s="5"/>
      <c r="Z270" s="5"/>
      <c r="AA270" s="11" t="s">
        <v>155</v>
      </c>
      <c r="AB270" s="5" t="s">
        <v>245</v>
      </c>
      <c r="AC270" s="5"/>
      <c r="AD270" s="11" t="s">
        <v>921</v>
      </c>
      <c r="AE270" s="23" t="n">
        <v>0.85</v>
      </c>
      <c r="AF270" s="23" t="n">
        <v>0</v>
      </c>
      <c r="AG270" s="23" t="n">
        <v>1</v>
      </c>
      <c r="AH270" s="23" t="n">
        <v>0.6</v>
      </c>
      <c r="AI270" s="23" t="n">
        <v>1</v>
      </c>
      <c r="AJ270" s="23" t="n">
        <v>0.7696</v>
      </c>
      <c r="AK270" s="23" t="n">
        <v>0.8</v>
      </c>
      <c r="AL270" s="23" t="n">
        <v>0.6</v>
      </c>
      <c r="AM270" s="16" t="n">
        <f aca="false">COUNTIFS($D$2:$D$2501,D270,$G$2:$G$2501,"&gt;"&amp;G270)+COUNTIFS($D$2:D270,D270,$G$2:G270,G270)</f>
        <v>118</v>
      </c>
      <c r="AN270" s="5" t="str">
        <f aca="false">D270&amp;"|"&amp;AM270</f>
        <v>分析與報告生成|118</v>
      </c>
    </row>
    <row r="271" customFormat="false" ht="17.15" hidden="false" customHeight="false" outlineLevel="0" collapsed="false">
      <c r="A271" s="16" t="n">
        <f aca="false">RANK(G271,$G$2:$G$2501)+COUNTIF($G$2:G271,G271)-1</f>
        <v>270</v>
      </c>
      <c r="B271" s="11" t="s">
        <v>922</v>
      </c>
      <c r="C271" s="11" t="s">
        <v>368</v>
      </c>
      <c r="D271" s="11" t="s">
        <v>46</v>
      </c>
      <c r="E271" s="11" t="s">
        <v>47</v>
      </c>
      <c r="F271" s="11" t="s">
        <v>46</v>
      </c>
      <c r="G271" s="22" t="n">
        <f aca="false">ROUND(SUM(I271:P271),3)</f>
        <v>74.182</v>
      </c>
      <c r="H271" s="5" t="str">
        <f aca="false">IF(G271&gt;=評分方法!$C$16,"優先評估",IF(G271&gt;=評分方法!$C$17,"列入候選",IF(G271&gt;=評分方法!$C$18,"特定情境","不建議")))</f>
        <v>列入候選</v>
      </c>
      <c r="I271" s="15" t="n">
        <f aca="false">AE271*評分方法!$C$5</f>
        <v>25.5</v>
      </c>
      <c r="J271" s="15" t="n">
        <f aca="false">AF271*評分方法!$C$6</f>
        <v>10</v>
      </c>
      <c r="K271" s="15" t="n">
        <f aca="false">AG271*評分方法!$C$7</f>
        <v>15</v>
      </c>
      <c r="L271" s="15" t="n">
        <f aca="false">AH271*評分方法!$C$8</f>
        <v>13.05</v>
      </c>
      <c r="M271" s="15" t="n">
        <f aca="false">AI271*評分方法!$C$9</f>
        <v>6</v>
      </c>
      <c r="N271" s="15" t="n">
        <f aca="false">AJ271*評分方法!$C$10</f>
        <v>0.632</v>
      </c>
      <c r="O271" s="15" t="n">
        <f aca="false">AK271*評分方法!$C$11</f>
        <v>1</v>
      </c>
      <c r="P271" s="15" t="n">
        <f aca="false">AL271*評分方法!$C$12</f>
        <v>3</v>
      </c>
      <c r="Q271" s="6" t="n">
        <v>138723</v>
      </c>
      <c r="R271" s="6" t="n">
        <v>9241705984</v>
      </c>
      <c r="S271" s="11" t="s">
        <v>254</v>
      </c>
      <c r="T271" s="11" t="s">
        <v>658</v>
      </c>
      <c r="U271" s="5" t="s">
        <v>260</v>
      </c>
      <c r="V271" s="11" t="s">
        <v>261</v>
      </c>
      <c r="W271" s="5" t="s">
        <v>205</v>
      </c>
      <c r="X271" s="5" t="s">
        <v>371</v>
      </c>
      <c r="Y271" s="5"/>
      <c r="Z271" s="5"/>
      <c r="AA271" s="11" t="s">
        <v>155</v>
      </c>
      <c r="AB271" s="5" t="s">
        <v>245</v>
      </c>
      <c r="AC271" s="5" t="s">
        <v>262</v>
      </c>
      <c r="AD271" s="11" t="s">
        <v>923</v>
      </c>
      <c r="AE271" s="23" t="n">
        <v>0.85</v>
      </c>
      <c r="AF271" s="23" t="n">
        <v>1</v>
      </c>
      <c r="AG271" s="23" t="n">
        <v>1</v>
      </c>
      <c r="AH271" s="23" t="n">
        <v>0.87</v>
      </c>
      <c r="AI271" s="23" t="n">
        <v>0.6</v>
      </c>
      <c r="AJ271" s="23" t="n">
        <v>0.0632</v>
      </c>
      <c r="AK271" s="23" t="n">
        <v>0.2</v>
      </c>
      <c r="AL271" s="23" t="n">
        <v>0.6</v>
      </c>
      <c r="AM271" s="16" t="n">
        <f aca="false">COUNTIFS($D$2:$D$2501,D271,$G$2:$G$2501,"&gt;"&amp;G271)+COUNTIFS($D$2:D271,D271,$G$2:G271,G271)</f>
        <v>13</v>
      </c>
      <c r="AN271" s="5" t="str">
        <f aca="false">D271&amp;"|"&amp;AM271</f>
        <v>AI 應用防護|13</v>
      </c>
    </row>
    <row r="272" customFormat="false" ht="17.15" hidden="false" customHeight="false" outlineLevel="0" collapsed="false">
      <c r="A272" s="16" t="n">
        <f aca="false">RANK(G272,$G$2:$G$2501)+COUNTIF($G$2:G272,G272)-1</f>
        <v>271</v>
      </c>
      <c r="B272" s="11" t="s">
        <v>924</v>
      </c>
      <c r="C272" s="11" t="s">
        <v>632</v>
      </c>
      <c r="D272" s="5" t="s">
        <v>56</v>
      </c>
      <c r="E272" s="5" t="s">
        <v>57</v>
      </c>
      <c r="F272" s="5"/>
      <c r="G272" s="22" t="n">
        <f aca="false">ROUND(SUM(I272:P272),3)</f>
        <v>74.158</v>
      </c>
      <c r="H272" s="5" t="str">
        <f aca="false">IF(G272&gt;=評分方法!$C$16,"優先評估",IF(G272&gt;=評分方法!$C$17,"列入候選",IF(G272&gt;=評分方法!$C$18,"特定情境","不建議")))</f>
        <v>列入候選</v>
      </c>
      <c r="I272" s="15" t="n">
        <f aca="false">AE272*評分方法!$C$5</f>
        <v>25.5</v>
      </c>
      <c r="J272" s="15" t="n">
        <f aca="false">AF272*評分方法!$C$6</f>
        <v>0</v>
      </c>
      <c r="K272" s="15" t="n">
        <f aca="false">AG272*評分方法!$C$7</f>
        <v>15</v>
      </c>
      <c r="L272" s="15" t="n">
        <f aca="false">AH272*評分方法!$C$8</f>
        <v>13.05</v>
      </c>
      <c r="M272" s="15" t="n">
        <f aca="false">AI272*評分方法!$C$9</f>
        <v>10</v>
      </c>
      <c r="N272" s="15" t="n">
        <f aca="false">AJ272*評分方法!$C$10</f>
        <v>6.608</v>
      </c>
      <c r="O272" s="15" t="n">
        <f aca="false">AK272*評分方法!$C$11</f>
        <v>1</v>
      </c>
      <c r="P272" s="15" t="n">
        <f aca="false">AL272*評分方法!$C$12</f>
        <v>3</v>
      </c>
      <c r="Q272" s="6" t="n">
        <v>782230</v>
      </c>
      <c r="R272" s="6" t="n">
        <v>3512017152</v>
      </c>
      <c r="S272" s="11" t="s">
        <v>254</v>
      </c>
      <c r="T272" s="11" t="s">
        <v>239</v>
      </c>
      <c r="U272" s="5" t="s">
        <v>240</v>
      </c>
      <c r="V272" s="11" t="s">
        <v>261</v>
      </c>
      <c r="W272" s="5" t="s">
        <v>205</v>
      </c>
      <c r="X272" s="5" t="s">
        <v>371</v>
      </c>
      <c r="Y272" s="5"/>
      <c r="Z272" s="5"/>
      <c r="AA272" s="11" t="s">
        <v>155</v>
      </c>
      <c r="AB272" s="5" t="s">
        <v>245</v>
      </c>
      <c r="AC272" s="5"/>
      <c r="AD272" s="11" t="s">
        <v>925</v>
      </c>
      <c r="AE272" s="23" t="n">
        <v>0.85</v>
      </c>
      <c r="AF272" s="23" t="n">
        <v>0</v>
      </c>
      <c r="AG272" s="23" t="n">
        <v>1</v>
      </c>
      <c r="AH272" s="23" t="n">
        <v>0.87</v>
      </c>
      <c r="AI272" s="23" t="n">
        <v>1</v>
      </c>
      <c r="AJ272" s="23" t="n">
        <v>0.6608</v>
      </c>
      <c r="AK272" s="23" t="n">
        <v>0.2</v>
      </c>
      <c r="AL272" s="23" t="n">
        <v>0.6</v>
      </c>
      <c r="AM272" s="16" t="n">
        <f aca="false">COUNTIFS($D$2:$D$2501,D272,$G$2:$G$2501,"&gt;"&amp;G272)+COUNTIFS($D$2:D272,D272,$G$2:G272,G272)</f>
        <v>119</v>
      </c>
      <c r="AN272" s="5" t="str">
        <f aca="false">D272&amp;"|"&amp;AM272</f>
        <v>分析與報告生成|119</v>
      </c>
    </row>
    <row r="273" customFormat="false" ht="17.15" hidden="false" customHeight="false" outlineLevel="0" collapsed="false">
      <c r="A273" s="16" t="n">
        <f aca="false">RANK(G273,$G$2:$G$2501)+COUNTIF($G$2:G273,G273)-1</f>
        <v>272</v>
      </c>
      <c r="B273" s="11" t="s">
        <v>926</v>
      </c>
      <c r="C273" s="11" t="s">
        <v>323</v>
      </c>
      <c r="D273" s="5" t="s">
        <v>56</v>
      </c>
      <c r="E273" s="5" t="s">
        <v>57</v>
      </c>
      <c r="F273" s="5"/>
      <c r="G273" s="22" t="n">
        <f aca="false">ROUND(SUM(I273:P273),3)</f>
        <v>74.15</v>
      </c>
      <c r="H273" s="5" t="str">
        <f aca="false">IF(G273&gt;=評分方法!$C$16,"優先評估",IF(G273&gt;=評分方法!$C$17,"列入候選",IF(G273&gt;=評分方法!$C$18,"特定情境","不建議")))</f>
        <v>列入候選</v>
      </c>
      <c r="I273" s="15" t="n">
        <f aca="false">AE273*評分方法!$C$5</f>
        <v>25.5</v>
      </c>
      <c r="J273" s="15" t="n">
        <f aca="false">AF273*評分方法!$C$6</f>
        <v>0</v>
      </c>
      <c r="K273" s="15" t="n">
        <f aca="false">AG273*評分方法!$C$7</f>
        <v>15</v>
      </c>
      <c r="L273" s="15" t="n">
        <f aca="false">AH273*評分方法!$C$8</f>
        <v>13.05</v>
      </c>
      <c r="M273" s="15" t="n">
        <f aca="false">AI273*評分方法!$C$9</f>
        <v>10</v>
      </c>
      <c r="N273" s="15" t="n">
        <f aca="false">AJ273*評分方法!$C$10</f>
        <v>6.6</v>
      </c>
      <c r="O273" s="15" t="n">
        <f aca="false">AK273*評分方法!$C$11</f>
        <v>4</v>
      </c>
      <c r="P273" s="15" t="n">
        <f aca="false">AL273*評分方法!$C$12</f>
        <v>0</v>
      </c>
      <c r="Q273" s="6" t="n">
        <v>780323</v>
      </c>
      <c r="R273" s="6" t="n">
        <v>7298011136</v>
      </c>
      <c r="S273" s="11" t="s">
        <v>254</v>
      </c>
      <c r="T273" s="11" t="s">
        <v>239</v>
      </c>
      <c r="U273" s="5" t="s">
        <v>240</v>
      </c>
      <c r="V273" s="11" t="s">
        <v>261</v>
      </c>
      <c r="W273" s="5" t="s">
        <v>205</v>
      </c>
      <c r="X273" s="5" t="s">
        <v>242</v>
      </c>
      <c r="Y273" s="11" t="s">
        <v>880</v>
      </c>
      <c r="Z273" s="11" t="s">
        <v>270</v>
      </c>
      <c r="AA273" s="11" t="s">
        <v>155</v>
      </c>
      <c r="AB273" s="5" t="s">
        <v>245</v>
      </c>
      <c r="AC273" s="5"/>
      <c r="AD273" s="11" t="s">
        <v>927</v>
      </c>
      <c r="AE273" s="23" t="n">
        <v>0.85</v>
      </c>
      <c r="AF273" s="23" t="n">
        <v>0</v>
      </c>
      <c r="AG273" s="23" t="n">
        <v>1</v>
      </c>
      <c r="AH273" s="23" t="n">
        <v>0.87</v>
      </c>
      <c r="AI273" s="23" t="n">
        <v>1</v>
      </c>
      <c r="AJ273" s="23" t="n">
        <v>0.66</v>
      </c>
      <c r="AK273" s="23" t="n">
        <v>0.8</v>
      </c>
      <c r="AL273" s="23" t="n">
        <v>0</v>
      </c>
      <c r="AM273" s="16" t="n">
        <f aca="false">COUNTIFS($D$2:$D$2501,D273,$G$2:$G$2501,"&gt;"&amp;G273)+COUNTIFS($D$2:D273,D273,$G$2:G273,G273)</f>
        <v>120</v>
      </c>
      <c r="AN273" s="5" t="str">
        <f aca="false">D273&amp;"|"&amp;AM273</f>
        <v>分析與報告生成|120</v>
      </c>
    </row>
    <row r="274" customFormat="false" ht="17.15" hidden="false" customHeight="false" outlineLevel="0" collapsed="false">
      <c r="A274" s="16" t="n">
        <f aca="false">RANK(G274,$G$2:$G$2501)+COUNTIF($G$2:G274,G274)-1</f>
        <v>273</v>
      </c>
      <c r="B274" s="11" t="s">
        <v>928</v>
      </c>
      <c r="C274" s="11" t="s">
        <v>929</v>
      </c>
      <c r="D274" s="5" t="s">
        <v>58</v>
      </c>
      <c r="E274" s="5" t="s">
        <v>59</v>
      </c>
      <c r="F274" s="5"/>
      <c r="G274" s="22" t="n">
        <f aca="false">ROUND(SUM(I274:P274),3)</f>
        <v>74.138</v>
      </c>
      <c r="H274" s="5" t="str">
        <f aca="false">IF(G274&gt;=評分方法!$C$16,"優先評估",IF(G274&gt;=評分方法!$C$17,"列入候選",IF(G274&gt;=評分方法!$C$18,"特定情境","不建議")))</f>
        <v>列入候選</v>
      </c>
      <c r="I274" s="15" t="n">
        <f aca="false">AE274*評分方法!$C$5</f>
        <v>28.5</v>
      </c>
      <c r="J274" s="15" t="n">
        <f aca="false">AF274*評分方法!$C$6</f>
        <v>0</v>
      </c>
      <c r="K274" s="15" t="n">
        <f aca="false">AG274*評分方法!$C$7</f>
        <v>10.05</v>
      </c>
      <c r="L274" s="15" t="n">
        <f aca="false">AH274*評分方法!$C$8</f>
        <v>15</v>
      </c>
      <c r="M274" s="15" t="n">
        <f aca="false">AI274*評分方法!$C$9</f>
        <v>10</v>
      </c>
      <c r="N274" s="15" t="n">
        <f aca="false">AJ274*評分方法!$C$10</f>
        <v>9.588</v>
      </c>
      <c r="O274" s="15" t="n">
        <f aca="false">AK274*評分方法!$C$11</f>
        <v>1</v>
      </c>
      <c r="P274" s="15" t="n">
        <f aca="false">AL274*評分方法!$C$12</f>
        <v>0</v>
      </c>
      <c r="Q274" s="6" t="n">
        <v>10100686</v>
      </c>
      <c r="R274" s="6" t="n">
        <v>108317193</v>
      </c>
      <c r="S274" s="11" t="s">
        <v>238</v>
      </c>
      <c r="T274" s="11" t="s">
        <v>278</v>
      </c>
      <c r="U274" s="5" t="s">
        <v>240</v>
      </c>
      <c r="V274" s="11" t="s">
        <v>320</v>
      </c>
      <c r="W274" s="5" t="s">
        <v>207</v>
      </c>
      <c r="X274" s="5" t="s">
        <v>242</v>
      </c>
      <c r="Y274" s="5"/>
      <c r="Z274" s="5"/>
      <c r="AA274" s="11" t="s">
        <v>150</v>
      </c>
      <c r="AB274" s="5" t="s">
        <v>245</v>
      </c>
      <c r="AC274" s="5"/>
      <c r="AD274" s="11" t="s">
        <v>930</v>
      </c>
      <c r="AE274" s="23" t="n">
        <v>0.95</v>
      </c>
      <c r="AF274" s="23" t="n">
        <v>0</v>
      </c>
      <c r="AG274" s="23" t="n">
        <v>0.67</v>
      </c>
      <c r="AH274" s="23" t="n">
        <v>1</v>
      </c>
      <c r="AI274" s="23" t="n">
        <v>1</v>
      </c>
      <c r="AJ274" s="23" t="n">
        <v>0.9588</v>
      </c>
      <c r="AK274" s="23" t="n">
        <v>0.2</v>
      </c>
      <c r="AL274" s="23" t="n">
        <v>0</v>
      </c>
      <c r="AM274" s="16" t="n">
        <f aca="false">COUNTIFS($D$2:$D$2501,D274,$G$2:$G$2501,"&gt;"&amp;G274)+COUNTIFS($D$2:D274,D274,$G$2:G274,G274)</f>
        <v>10</v>
      </c>
      <c r="AN274" s="5" t="str">
        <f aca="false">D274&amp;"|"&amp;AM274</f>
        <v>實體擷取與去識別化|10</v>
      </c>
    </row>
    <row r="275" customFormat="false" ht="17.15" hidden="false" customHeight="false" outlineLevel="0" collapsed="false">
      <c r="A275" s="16" t="n">
        <f aca="false">RANK(G275,$G$2:$G$2501)+COUNTIF($G$2:G275,G275)-1</f>
        <v>274</v>
      </c>
      <c r="B275" s="11" t="s">
        <v>931</v>
      </c>
      <c r="C275" s="11" t="s">
        <v>834</v>
      </c>
      <c r="D275" s="5" t="s">
        <v>54</v>
      </c>
      <c r="E275" s="5" t="s">
        <v>55</v>
      </c>
      <c r="F275" s="5"/>
      <c r="G275" s="22" t="n">
        <f aca="false">ROUND(SUM(I275:P275),3)</f>
        <v>74.13</v>
      </c>
      <c r="H275" s="5" t="str">
        <f aca="false">IF(G275&gt;=評分方法!$C$16,"優先評估",IF(G275&gt;=評分方法!$C$17,"列入候選",IF(G275&gt;=評分方法!$C$18,"特定情境","不建議")))</f>
        <v>列入候選</v>
      </c>
      <c r="I275" s="15" t="n">
        <f aca="false">AE275*評分方法!$C$5</f>
        <v>27</v>
      </c>
      <c r="J275" s="15" t="n">
        <f aca="false">AF275*評分方法!$C$6</f>
        <v>0</v>
      </c>
      <c r="K275" s="15" t="n">
        <f aca="false">AG275*評分方法!$C$7</f>
        <v>15</v>
      </c>
      <c r="L275" s="15" t="n">
        <f aca="false">AH275*評分方法!$C$8</f>
        <v>7.05</v>
      </c>
      <c r="M275" s="15" t="n">
        <f aca="false">AI275*評分方法!$C$9</f>
        <v>10</v>
      </c>
      <c r="N275" s="15" t="n">
        <f aca="false">AJ275*評分方法!$C$10</f>
        <v>8.58</v>
      </c>
      <c r="O275" s="15" t="n">
        <f aca="false">AK275*評分方法!$C$11</f>
        <v>5</v>
      </c>
      <c r="P275" s="15" t="n">
        <f aca="false">AL275*評分方法!$C$12</f>
        <v>1.5</v>
      </c>
      <c r="Q275" s="6" t="n">
        <v>2456279</v>
      </c>
      <c r="R275" s="6"/>
      <c r="S275" s="5" t="s">
        <v>255</v>
      </c>
      <c r="T275" s="11" t="s">
        <v>278</v>
      </c>
      <c r="U275" s="5" t="s">
        <v>240</v>
      </c>
      <c r="V275" s="11" t="s">
        <v>514</v>
      </c>
      <c r="W275" s="5" t="s">
        <v>205</v>
      </c>
      <c r="X275" s="5" t="s">
        <v>255</v>
      </c>
      <c r="Y275" s="5"/>
      <c r="Z275" s="5"/>
      <c r="AA275" s="11" t="s">
        <v>152</v>
      </c>
      <c r="AB275" s="5" t="s">
        <v>245</v>
      </c>
      <c r="AC275" s="5"/>
      <c r="AD275" s="11" t="s">
        <v>932</v>
      </c>
      <c r="AE275" s="23" t="n">
        <v>0.9</v>
      </c>
      <c r="AF275" s="23" t="n">
        <v>0</v>
      </c>
      <c r="AG275" s="23" t="n">
        <v>1</v>
      </c>
      <c r="AH275" s="23" t="n">
        <v>0.47</v>
      </c>
      <c r="AI275" s="23" t="n">
        <v>1</v>
      </c>
      <c r="AJ275" s="23" t="n">
        <v>0.858</v>
      </c>
      <c r="AK275" s="23" t="n">
        <v>1</v>
      </c>
      <c r="AL275" s="23" t="n">
        <v>0.3</v>
      </c>
      <c r="AM275" s="16" t="n">
        <f aca="false">COUNTIFS($D$2:$D$2501,D275,$G$2:$G$2501,"&gt;"&amp;G275)+COUNTIFS($D$2:D275,D275,$G$2:G275,G275)</f>
        <v>85</v>
      </c>
      <c r="AN275" s="5" t="str">
        <f aca="false">D275&amp;"|"&amp;AM275</f>
        <v>檢索與情資關聯|85</v>
      </c>
    </row>
    <row r="276" customFormat="false" ht="17.15" hidden="false" customHeight="false" outlineLevel="0" collapsed="false">
      <c r="A276" s="16" t="n">
        <f aca="false">RANK(G276,$G$2:$G$2501)+COUNTIF($G$2:G276,G276)-1</f>
        <v>275</v>
      </c>
      <c r="B276" s="11" t="s">
        <v>933</v>
      </c>
      <c r="C276" s="11" t="s">
        <v>368</v>
      </c>
      <c r="D276" s="5" t="s">
        <v>68</v>
      </c>
      <c r="E276" s="11" t="s">
        <v>69</v>
      </c>
      <c r="F276" s="5"/>
      <c r="G276" s="22" t="n">
        <f aca="false">ROUND(SUM(I276:P276),3)</f>
        <v>74.112</v>
      </c>
      <c r="H276" s="5" t="str">
        <f aca="false">IF(G276&gt;=評分方法!$C$16,"優先評估",IF(G276&gt;=評分方法!$C$17,"列入候選",IF(G276&gt;=評分方法!$C$18,"特定情境","不建議")))</f>
        <v>列入候選</v>
      </c>
      <c r="I276" s="15" t="n">
        <f aca="false">AE276*評分方法!$C$5</f>
        <v>21</v>
      </c>
      <c r="J276" s="15" t="n">
        <f aca="false">AF276*評分方法!$C$6</f>
        <v>0</v>
      </c>
      <c r="K276" s="15" t="n">
        <f aca="false">AG276*評分方法!$C$7</f>
        <v>15</v>
      </c>
      <c r="L276" s="15" t="n">
        <f aca="false">AH276*評分方法!$C$8</f>
        <v>15</v>
      </c>
      <c r="M276" s="15" t="n">
        <f aca="false">AI276*評分方法!$C$9</f>
        <v>10</v>
      </c>
      <c r="N276" s="15" t="n">
        <f aca="false">AJ276*評分方法!$C$10</f>
        <v>9.112</v>
      </c>
      <c r="O276" s="15" t="n">
        <f aca="false">AK276*評分方法!$C$11</f>
        <v>2.5</v>
      </c>
      <c r="P276" s="15" t="n">
        <f aca="false">AL276*評分方法!$C$12</f>
        <v>1.5</v>
      </c>
      <c r="Q276" s="6" t="n">
        <v>4511044</v>
      </c>
      <c r="R276" s="6" t="n">
        <v>231289280</v>
      </c>
      <c r="S276" s="11" t="s">
        <v>238</v>
      </c>
      <c r="T276" s="11" t="s">
        <v>239</v>
      </c>
      <c r="U276" s="5" t="s">
        <v>240</v>
      </c>
      <c r="V276" s="11" t="s">
        <v>261</v>
      </c>
      <c r="W276" s="5" t="s">
        <v>205</v>
      </c>
      <c r="X276" s="5" t="s">
        <v>255</v>
      </c>
      <c r="Y276" s="5"/>
      <c r="Z276" s="5"/>
      <c r="AA276" s="11" t="s">
        <v>158</v>
      </c>
      <c r="AB276" s="5" t="s">
        <v>245</v>
      </c>
      <c r="AC276" s="5"/>
      <c r="AD276" s="11" t="s">
        <v>934</v>
      </c>
      <c r="AE276" s="23" t="n">
        <v>0.7</v>
      </c>
      <c r="AF276" s="23" t="n">
        <v>0</v>
      </c>
      <c r="AG276" s="23" t="n">
        <v>1</v>
      </c>
      <c r="AH276" s="23" t="n">
        <v>1</v>
      </c>
      <c r="AI276" s="23" t="n">
        <v>1</v>
      </c>
      <c r="AJ276" s="23" t="n">
        <v>0.9112</v>
      </c>
      <c r="AK276" s="23" t="n">
        <v>0.5</v>
      </c>
      <c r="AL276" s="23" t="n">
        <v>0.3</v>
      </c>
      <c r="AM276" s="16" t="n">
        <f aca="false">COUNTIFS($D$2:$D$2501,D276,$G$2:$G$2501,"&gt;"&amp;G276)+COUNTIFS($D$2:D276,D276,$G$2:G276,G276)</f>
        <v>18</v>
      </c>
      <c r="AN276" s="5" t="str">
        <f aca="false">D276&amp;"|"&amp;AM276</f>
        <v>時序異常偵測|18</v>
      </c>
    </row>
    <row r="277" customFormat="false" ht="17.15" hidden="false" customHeight="false" outlineLevel="0" collapsed="false">
      <c r="A277" s="16" t="n">
        <f aca="false">RANK(G277,$G$2:$G$2501)+COUNTIF($G$2:G277,G277)-1</f>
        <v>276</v>
      </c>
      <c r="B277" s="11" t="s">
        <v>935</v>
      </c>
      <c r="C277" s="11" t="s">
        <v>277</v>
      </c>
      <c r="D277" s="5" t="s">
        <v>56</v>
      </c>
      <c r="E277" s="5" t="s">
        <v>57</v>
      </c>
      <c r="F277" s="5"/>
      <c r="G277" s="22" t="n">
        <f aca="false">ROUND(SUM(I277:P277),3)</f>
        <v>74.108</v>
      </c>
      <c r="H277" s="5" t="str">
        <f aca="false">IF(G277&gt;=評分方法!$C$16,"優先評估",IF(G277&gt;=評分方法!$C$17,"列入候選",IF(G277&gt;=評分方法!$C$18,"特定情境","不建議")))</f>
        <v>列入候選</v>
      </c>
      <c r="I277" s="15" t="n">
        <f aca="false">AE277*評分方法!$C$5</f>
        <v>25.5</v>
      </c>
      <c r="J277" s="15" t="n">
        <f aca="false">AF277*評分方法!$C$6</f>
        <v>0</v>
      </c>
      <c r="K277" s="15" t="n">
        <f aca="false">AG277*評分方法!$C$7</f>
        <v>15</v>
      </c>
      <c r="L277" s="15" t="n">
        <f aca="false">AH277*評分方法!$C$8</f>
        <v>15</v>
      </c>
      <c r="M277" s="15" t="n">
        <f aca="false">AI277*評分方法!$C$9</f>
        <v>10</v>
      </c>
      <c r="N277" s="15" t="n">
        <f aca="false">AJ277*評分方法!$C$10</f>
        <v>7.608</v>
      </c>
      <c r="O277" s="15" t="n">
        <f aca="false">AK277*評分方法!$C$11</f>
        <v>1</v>
      </c>
      <c r="P277" s="15" t="n">
        <f aca="false">AL277*評分方法!$C$12</f>
        <v>0</v>
      </c>
      <c r="Q277" s="6" t="n">
        <v>1214479</v>
      </c>
      <c r="R277" s="6" t="n">
        <v>119680512</v>
      </c>
      <c r="S277" s="11" t="s">
        <v>238</v>
      </c>
      <c r="T277" s="11" t="s">
        <v>278</v>
      </c>
      <c r="U277" s="5" t="s">
        <v>240</v>
      </c>
      <c r="V277" s="11" t="s">
        <v>855</v>
      </c>
      <c r="W277" s="5" t="s">
        <v>205</v>
      </c>
      <c r="X277" s="5" t="s">
        <v>242</v>
      </c>
      <c r="Y277" s="5"/>
      <c r="Z277" s="5"/>
      <c r="AA277" s="11" t="s">
        <v>155</v>
      </c>
      <c r="AB277" s="5" t="s">
        <v>245</v>
      </c>
      <c r="AC277" s="5"/>
      <c r="AD277" s="11" t="s">
        <v>936</v>
      </c>
      <c r="AE277" s="23" t="n">
        <v>0.85</v>
      </c>
      <c r="AF277" s="23" t="n">
        <v>0</v>
      </c>
      <c r="AG277" s="23" t="n">
        <v>1</v>
      </c>
      <c r="AH277" s="23" t="n">
        <v>1</v>
      </c>
      <c r="AI277" s="23" t="n">
        <v>1</v>
      </c>
      <c r="AJ277" s="23" t="n">
        <v>0.7608</v>
      </c>
      <c r="AK277" s="23" t="n">
        <v>0.2</v>
      </c>
      <c r="AL277" s="23" t="n">
        <v>0</v>
      </c>
      <c r="AM277" s="16" t="n">
        <f aca="false">COUNTIFS($D$2:$D$2501,D277,$G$2:$G$2501,"&gt;"&amp;G277)+COUNTIFS($D$2:D277,D277,$G$2:G277,G277)</f>
        <v>121</v>
      </c>
      <c r="AN277" s="5" t="str">
        <f aca="false">D277&amp;"|"&amp;AM277</f>
        <v>分析與報告生成|121</v>
      </c>
    </row>
    <row r="278" customFormat="false" ht="17.15" hidden="false" customHeight="false" outlineLevel="0" collapsed="false">
      <c r="A278" s="16" t="n">
        <f aca="false">RANK(G278,$G$2:$G$2501)+COUNTIF($G$2:G278,G278)-1</f>
        <v>277</v>
      </c>
      <c r="B278" s="11" t="s">
        <v>937</v>
      </c>
      <c r="C278" s="11" t="s">
        <v>299</v>
      </c>
      <c r="D278" s="5" t="s">
        <v>56</v>
      </c>
      <c r="E278" s="5" t="s">
        <v>57</v>
      </c>
      <c r="F278" s="5"/>
      <c r="G278" s="22" t="n">
        <f aca="false">ROUND(SUM(I278:P278),3)</f>
        <v>74.102</v>
      </c>
      <c r="H278" s="5" t="str">
        <f aca="false">IF(G278&gt;=評分方法!$C$16,"優先評估",IF(G278&gt;=評分方法!$C$17,"列入候選",IF(G278&gt;=評分方法!$C$18,"特定情境","不建議")))</f>
        <v>列入候選</v>
      </c>
      <c r="I278" s="15" t="n">
        <f aca="false">AE278*評分方法!$C$5</f>
        <v>25.5</v>
      </c>
      <c r="J278" s="15" t="n">
        <f aca="false">AF278*評分方法!$C$6</f>
        <v>0</v>
      </c>
      <c r="K278" s="15" t="n">
        <f aca="false">AG278*評分方法!$C$7</f>
        <v>15</v>
      </c>
      <c r="L278" s="15" t="n">
        <f aca="false">AH278*評分方法!$C$8</f>
        <v>13.05</v>
      </c>
      <c r="M278" s="15" t="n">
        <f aca="false">AI278*評分方法!$C$9</f>
        <v>10</v>
      </c>
      <c r="N278" s="15" t="n">
        <f aca="false">AJ278*評分方法!$C$10</f>
        <v>5.052</v>
      </c>
      <c r="O278" s="15" t="n">
        <f aca="false">AK278*評分方法!$C$11</f>
        <v>2.5</v>
      </c>
      <c r="P278" s="15" t="n">
        <f aca="false">AL278*評分方法!$C$12</f>
        <v>3</v>
      </c>
      <c r="Q278" s="6" t="n">
        <v>544954</v>
      </c>
      <c r="R278" s="6" t="n">
        <v>2533539840</v>
      </c>
      <c r="S278" s="11" t="s">
        <v>254</v>
      </c>
      <c r="T278" s="11" t="s">
        <v>239</v>
      </c>
      <c r="U278" s="5" t="s">
        <v>240</v>
      </c>
      <c r="V278" s="11" t="s">
        <v>261</v>
      </c>
      <c r="W278" s="5" t="s">
        <v>205</v>
      </c>
      <c r="X278" s="5" t="s">
        <v>371</v>
      </c>
      <c r="Y278" s="11" t="s">
        <v>938</v>
      </c>
      <c r="Z278" s="11" t="s">
        <v>270</v>
      </c>
      <c r="AA278" s="11" t="s">
        <v>155</v>
      </c>
      <c r="AB278" s="5" t="s">
        <v>245</v>
      </c>
      <c r="AC278" s="5"/>
      <c r="AD278" s="11" t="s">
        <v>939</v>
      </c>
      <c r="AE278" s="23" t="n">
        <v>0.85</v>
      </c>
      <c r="AF278" s="23" t="n">
        <v>0</v>
      </c>
      <c r="AG278" s="23" t="n">
        <v>1</v>
      </c>
      <c r="AH278" s="23" t="n">
        <v>0.87</v>
      </c>
      <c r="AI278" s="23" t="n">
        <v>1</v>
      </c>
      <c r="AJ278" s="23" t="n">
        <v>0.5052</v>
      </c>
      <c r="AK278" s="23" t="n">
        <v>0.5</v>
      </c>
      <c r="AL278" s="23" t="n">
        <v>0.6</v>
      </c>
      <c r="AM278" s="16" t="n">
        <f aca="false">COUNTIFS($D$2:$D$2501,D278,$G$2:$G$2501,"&gt;"&amp;G278)+COUNTIFS($D$2:D278,D278,$G$2:G278,G278)</f>
        <v>122</v>
      </c>
      <c r="AN278" s="5" t="str">
        <f aca="false">D278&amp;"|"&amp;AM278</f>
        <v>分析與報告生成|122</v>
      </c>
    </row>
    <row r="279" customFormat="false" ht="17.15" hidden="false" customHeight="false" outlineLevel="0" collapsed="false">
      <c r="A279" s="16" t="n">
        <f aca="false">RANK(G279,$G$2:$G$2501)+COUNTIF($G$2:G279,G279)-1</f>
        <v>278</v>
      </c>
      <c r="B279" s="11" t="s">
        <v>940</v>
      </c>
      <c r="C279" s="11" t="s">
        <v>941</v>
      </c>
      <c r="D279" s="5" t="s">
        <v>48</v>
      </c>
      <c r="E279" s="5" t="s">
        <v>49</v>
      </c>
      <c r="F279" s="5" t="s">
        <v>48</v>
      </c>
      <c r="G279" s="22" t="n">
        <f aca="false">ROUND(SUM(I279:P279),3)</f>
        <v>74.044</v>
      </c>
      <c r="H279" s="5" t="str">
        <f aca="false">IF(G279&gt;=評分方法!$C$16,"優先評估",IF(G279&gt;=評分方法!$C$17,"列入候選",IF(G279&gt;=評分方法!$C$18,"特定情境","不建議")))</f>
        <v>列入候選</v>
      </c>
      <c r="I279" s="15" t="n">
        <f aca="false">AE279*評分方法!$C$5</f>
        <v>28.5</v>
      </c>
      <c r="J279" s="15" t="n">
        <f aca="false">AF279*評分方法!$C$6</f>
        <v>10</v>
      </c>
      <c r="K279" s="15" t="n">
        <f aca="false">AG279*評分方法!$C$7</f>
        <v>4.95</v>
      </c>
      <c r="L279" s="15" t="n">
        <f aca="false">AH279*評分方法!$C$8</f>
        <v>13.05</v>
      </c>
      <c r="M279" s="15" t="n">
        <f aca="false">AI279*評分方法!$C$9</f>
        <v>10</v>
      </c>
      <c r="N279" s="15" t="n">
        <f aca="false">AJ279*評分方法!$C$10</f>
        <v>2.544</v>
      </c>
      <c r="O279" s="15" t="n">
        <f aca="false">AK279*評分方法!$C$11</f>
        <v>5</v>
      </c>
      <c r="P279" s="15" t="n">
        <f aca="false">AL279*評分方法!$C$12</f>
        <v>0</v>
      </c>
      <c r="Q279" s="6" t="n">
        <v>253772</v>
      </c>
      <c r="R279" s="6" t="n">
        <v>1399489429</v>
      </c>
      <c r="S279" s="11" t="s">
        <v>254</v>
      </c>
      <c r="T279" s="11" t="s">
        <v>239</v>
      </c>
      <c r="U279" s="5" t="s">
        <v>240</v>
      </c>
      <c r="V279" s="11" t="s">
        <v>261</v>
      </c>
      <c r="W279" s="5" t="s">
        <v>334</v>
      </c>
      <c r="X279" s="5" t="s">
        <v>242</v>
      </c>
      <c r="Y279" s="11" t="s">
        <v>252</v>
      </c>
      <c r="Z279" s="11" t="s">
        <v>942</v>
      </c>
      <c r="AA279" s="11" t="s">
        <v>150</v>
      </c>
      <c r="AB279" s="5" t="s">
        <v>245</v>
      </c>
      <c r="AC279" s="5"/>
      <c r="AD279" s="11" t="s">
        <v>943</v>
      </c>
      <c r="AE279" s="23" t="n">
        <v>0.95</v>
      </c>
      <c r="AF279" s="23" t="n">
        <v>1</v>
      </c>
      <c r="AG279" s="23" t="n">
        <v>0.33</v>
      </c>
      <c r="AH279" s="23" t="n">
        <v>0.87</v>
      </c>
      <c r="AI279" s="23" t="n">
        <v>1</v>
      </c>
      <c r="AJ279" s="23" t="n">
        <v>0.2544</v>
      </c>
      <c r="AK279" s="23" t="n">
        <v>1</v>
      </c>
      <c r="AL279" s="23" t="n">
        <v>0</v>
      </c>
      <c r="AM279" s="16" t="n">
        <f aca="false">COUNTIFS($D$2:$D$2501,D279,$G$2:$G$2501,"&gt;"&amp;G279)+COUNTIFS($D$2:D279,D279,$G$2:G279,G279)</f>
        <v>12</v>
      </c>
      <c r="AN279" s="5" t="str">
        <f aca="false">D279&amp;"|"&amp;AM279</f>
        <v>個資偵測與去識別化|12</v>
      </c>
    </row>
    <row r="280" customFormat="false" ht="17.15" hidden="false" customHeight="false" outlineLevel="0" collapsed="false">
      <c r="A280" s="16" t="n">
        <f aca="false">RANK(G280,$G$2:$G$2501)+COUNTIF($G$2:G280,G280)-1</f>
        <v>279</v>
      </c>
      <c r="B280" s="11" t="s">
        <v>944</v>
      </c>
      <c r="C280" s="11" t="s">
        <v>945</v>
      </c>
      <c r="D280" s="5" t="s">
        <v>54</v>
      </c>
      <c r="E280" s="5" t="s">
        <v>55</v>
      </c>
      <c r="F280" s="5"/>
      <c r="G280" s="22" t="n">
        <f aca="false">ROUND(SUM(I280:P280),3)</f>
        <v>74.01</v>
      </c>
      <c r="H280" s="5" t="str">
        <f aca="false">IF(G280&gt;=評分方法!$C$16,"優先評估",IF(G280&gt;=評分方法!$C$17,"列入候選",IF(G280&gt;=評分方法!$C$18,"特定情境","不建議")))</f>
        <v>列入候選</v>
      </c>
      <c r="I280" s="15" t="n">
        <f aca="false">AE280*評分方法!$C$5</f>
        <v>27</v>
      </c>
      <c r="J280" s="15" t="n">
        <f aca="false">AF280*評分方法!$C$6</f>
        <v>0</v>
      </c>
      <c r="K280" s="15" t="n">
        <f aca="false">AG280*評分方法!$C$7</f>
        <v>10.05</v>
      </c>
      <c r="L280" s="15" t="n">
        <f aca="false">AH280*評分方法!$C$8</f>
        <v>15</v>
      </c>
      <c r="M280" s="15" t="n">
        <f aca="false">AI280*評分方法!$C$9</f>
        <v>10</v>
      </c>
      <c r="N280" s="15" t="n">
        <f aca="false">AJ280*評分方法!$C$10</f>
        <v>9.46</v>
      </c>
      <c r="O280" s="15" t="n">
        <f aca="false">AK280*評分方法!$C$11</f>
        <v>2.5</v>
      </c>
      <c r="P280" s="15" t="n">
        <f aca="false">AL280*評分方法!$C$12</f>
        <v>0</v>
      </c>
      <c r="Q280" s="6" t="n">
        <v>8080558</v>
      </c>
      <c r="R280" s="6" t="n">
        <v>335141888</v>
      </c>
      <c r="S280" s="11" t="s">
        <v>238</v>
      </c>
      <c r="T280" s="11" t="s">
        <v>278</v>
      </c>
      <c r="U280" s="5" t="s">
        <v>240</v>
      </c>
      <c r="V280" s="11" t="s">
        <v>288</v>
      </c>
      <c r="W280" s="5" t="s">
        <v>207</v>
      </c>
      <c r="X280" s="5" t="s">
        <v>242</v>
      </c>
      <c r="Y280" s="5"/>
      <c r="Z280" s="5"/>
      <c r="AA280" s="11" t="s">
        <v>153</v>
      </c>
      <c r="AB280" s="5" t="s">
        <v>245</v>
      </c>
      <c r="AC280" s="5"/>
      <c r="AD280" s="11" t="s">
        <v>946</v>
      </c>
      <c r="AE280" s="23" t="n">
        <v>0.9</v>
      </c>
      <c r="AF280" s="23" t="n">
        <v>0</v>
      </c>
      <c r="AG280" s="23" t="n">
        <v>0.67</v>
      </c>
      <c r="AH280" s="23" t="n">
        <v>1</v>
      </c>
      <c r="AI280" s="23" t="n">
        <v>1</v>
      </c>
      <c r="AJ280" s="23" t="n">
        <v>0.946</v>
      </c>
      <c r="AK280" s="23" t="n">
        <v>0.5</v>
      </c>
      <c r="AL280" s="23" t="n">
        <v>0</v>
      </c>
      <c r="AM280" s="16" t="n">
        <f aca="false">COUNTIFS($D$2:$D$2501,D280,$G$2:$G$2501,"&gt;"&amp;G280)+COUNTIFS($D$2:D280,D280,$G$2:G280,G280)</f>
        <v>86</v>
      </c>
      <c r="AN280" s="5" t="str">
        <f aca="false">D280&amp;"|"&amp;AM280</f>
        <v>檢索與情資關聯|86</v>
      </c>
    </row>
    <row r="281" customFormat="false" ht="17.15" hidden="false" customHeight="false" outlineLevel="0" collapsed="false">
      <c r="A281" s="16" t="n">
        <f aca="false">RANK(G281,$G$2:$G$2501)+COUNTIF($G$2:G281,G281)-1</f>
        <v>280</v>
      </c>
      <c r="B281" s="11" t="s">
        <v>947</v>
      </c>
      <c r="C281" s="11" t="s">
        <v>948</v>
      </c>
      <c r="D281" s="5" t="s">
        <v>56</v>
      </c>
      <c r="E281" s="5" t="s">
        <v>57</v>
      </c>
      <c r="F281" s="5"/>
      <c r="G281" s="22" t="n">
        <f aca="false">ROUND(SUM(I281:P281),3)</f>
        <v>74.006</v>
      </c>
      <c r="H281" s="5" t="str">
        <f aca="false">IF(G281&gt;=評分方法!$C$16,"優先評估",IF(G281&gt;=評分方法!$C$17,"列入候選",IF(G281&gt;=評分方法!$C$18,"特定情境","不建議")))</f>
        <v>列入候選</v>
      </c>
      <c r="I281" s="15" t="n">
        <f aca="false">AE281*評分方法!$C$5</f>
        <v>25.5</v>
      </c>
      <c r="J281" s="15" t="n">
        <f aca="false">AF281*評分方法!$C$6</f>
        <v>0</v>
      </c>
      <c r="K281" s="15" t="n">
        <f aca="false">AG281*評分方法!$C$7</f>
        <v>15</v>
      </c>
      <c r="L281" s="15" t="n">
        <f aca="false">AH281*評分方法!$C$8</f>
        <v>13.05</v>
      </c>
      <c r="M281" s="15" t="n">
        <f aca="false">AI281*評分方法!$C$9</f>
        <v>10</v>
      </c>
      <c r="N281" s="15" t="n">
        <f aca="false">AJ281*評分方法!$C$10</f>
        <v>7.956</v>
      </c>
      <c r="O281" s="15" t="n">
        <f aca="false">AK281*評分方法!$C$11</f>
        <v>2.5</v>
      </c>
      <c r="P281" s="15" t="n">
        <f aca="false">AL281*評分方法!$C$12</f>
        <v>0</v>
      </c>
      <c r="Q281" s="6" t="n">
        <v>1510867</v>
      </c>
      <c r="R281" s="6" t="n">
        <v>8462086384</v>
      </c>
      <c r="S281" s="11" t="s">
        <v>254</v>
      </c>
      <c r="T281" s="11" t="s">
        <v>239</v>
      </c>
      <c r="U281" s="5" t="s">
        <v>240</v>
      </c>
      <c r="V281" s="11" t="s">
        <v>261</v>
      </c>
      <c r="W281" s="5" t="s">
        <v>205</v>
      </c>
      <c r="X281" s="5" t="s">
        <v>242</v>
      </c>
      <c r="Y281" s="5"/>
      <c r="Z281" s="5"/>
      <c r="AA281" s="11" t="s">
        <v>156</v>
      </c>
      <c r="AB281" s="5" t="s">
        <v>245</v>
      </c>
      <c r="AC281" s="5"/>
      <c r="AD281" s="11" t="s">
        <v>949</v>
      </c>
      <c r="AE281" s="23" t="n">
        <v>0.85</v>
      </c>
      <c r="AF281" s="23" t="n">
        <v>0</v>
      </c>
      <c r="AG281" s="23" t="n">
        <v>1</v>
      </c>
      <c r="AH281" s="23" t="n">
        <v>0.87</v>
      </c>
      <c r="AI281" s="23" t="n">
        <v>1</v>
      </c>
      <c r="AJ281" s="23" t="n">
        <v>0.7956</v>
      </c>
      <c r="AK281" s="23" t="n">
        <v>0.5</v>
      </c>
      <c r="AL281" s="23" t="n">
        <v>0</v>
      </c>
      <c r="AM281" s="16" t="n">
        <f aca="false">COUNTIFS($D$2:$D$2501,D281,$G$2:$G$2501,"&gt;"&amp;G281)+COUNTIFS($D$2:D281,D281,$G$2:G281,G281)</f>
        <v>123</v>
      </c>
      <c r="AN281" s="5" t="str">
        <f aca="false">D281&amp;"|"&amp;AM281</f>
        <v>分析與報告生成|123</v>
      </c>
    </row>
    <row r="282" customFormat="false" ht="17.15" hidden="false" customHeight="false" outlineLevel="0" collapsed="false">
      <c r="A282" s="16" t="n">
        <f aca="false">RANK(G282,$G$2:$G$2501)+COUNTIF($G$2:G282,G282)-1</f>
        <v>281</v>
      </c>
      <c r="B282" s="11" t="s">
        <v>950</v>
      </c>
      <c r="C282" s="11" t="s">
        <v>299</v>
      </c>
      <c r="D282" s="5" t="s">
        <v>56</v>
      </c>
      <c r="E282" s="5" t="s">
        <v>57</v>
      </c>
      <c r="F282" s="5"/>
      <c r="G282" s="22" t="n">
        <f aca="false">ROUND(SUM(I282:P282),3)</f>
        <v>73.994</v>
      </c>
      <c r="H282" s="5" t="str">
        <f aca="false">IF(G282&gt;=評分方法!$C$16,"優先評估",IF(G282&gt;=評分方法!$C$17,"列入候選",IF(G282&gt;=評分方法!$C$18,"特定情境","不建議")))</f>
        <v>列入候選</v>
      </c>
      <c r="I282" s="15" t="n">
        <f aca="false">AE282*評分方法!$C$5</f>
        <v>25.5</v>
      </c>
      <c r="J282" s="15" t="n">
        <f aca="false">AF282*評分方法!$C$6</f>
        <v>0</v>
      </c>
      <c r="K282" s="15" t="n">
        <f aca="false">AG282*評分方法!$C$7</f>
        <v>15</v>
      </c>
      <c r="L282" s="15" t="n">
        <f aca="false">AH282*評分方法!$C$8</f>
        <v>13.05</v>
      </c>
      <c r="M282" s="15" t="n">
        <f aca="false">AI282*評分方法!$C$9</f>
        <v>10</v>
      </c>
      <c r="N282" s="15" t="n">
        <f aca="false">AJ282*評分方法!$C$10</f>
        <v>4.944</v>
      </c>
      <c r="O282" s="15" t="n">
        <f aca="false">AK282*評分方法!$C$11</f>
        <v>2.5</v>
      </c>
      <c r="P282" s="15" t="n">
        <f aca="false">AL282*評分方法!$C$12</f>
        <v>3</v>
      </c>
      <c r="Q282" s="6" t="n">
        <v>534067</v>
      </c>
      <c r="R282" s="6" t="n">
        <v>8170848256</v>
      </c>
      <c r="S282" s="11" t="s">
        <v>254</v>
      </c>
      <c r="T282" s="11" t="s">
        <v>239</v>
      </c>
      <c r="U282" s="5" t="s">
        <v>240</v>
      </c>
      <c r="V282" s="11" t="s">
        <v>261</v>
      </c>
      <c r="W282" s="5" t="s">
        <v>205</v>
      </c>
      <c r="X282" s="5" t="s">
        <v>371</v>
      </c>
      <c r="Y282" s="11" t="s">
        <v>951</v>
      </c>
      <c r="Z282" s="11" t="s">
        <v>270</v>
      </c>
      <c r="AA282" s="11" t="s">
        <v>155</v>
      </c>
      <c r="AB282" s="5" t="s">
        <v>245</v>
      </c>
      <c r="AC282" s="5"/>
      <c r="AD282" s="11" t="s">
        <v>952</v>
      </c>
      <c r="AE282" s="23" t="n">
        <v>0.85</v>
      </c>
      <c r="AF282" s="23" t="n">
        <v>0</v>
      </c>
      <c r="AG282" s="23" t="n">
        <v>1</v>
      </c>
      <c r="AH282" s="23" t="n">
        <v>0.87</v>
      </c>
      <c r="AI282" s="23" t="n">
        <v>1</v>
      </c>
      <c r="AJ282" s="23" t="n">
        <v>0.4944</v>
      </c>
      <c r="AK282" s="23" t="n">
        <v>0.5</v>
      </c>
      <c r="AL282" s="23" t="n">
        <v>0.6</v>
      </c>
      <c r="AM282" s="16" t="n">
        <f aca="false">COUNTIFS($D$2:$D$2501,D282,$G$2:$G$2501,"&gt;"&amp;G282)+COUNTIFS($D$2:D282,D282,$G$2:G282,G282)</f>
        <v>124</v>
      </c>
      <c r="AN282" s="5" t="str">
        <f aca="false">D282&amp;"|"&amp;AM282</f>
        <v>分析與報告生成|124</v>
      </c>
    </row>
    <row r="283" customFormat="false" ht="17.15" hidden="false" customHeight="false" outlineLevel="0" collapsed="false">
      <c r="A283" s="16" t="n">
        <f aca="false">RANK(G283,$G$2:$G$2501)+COUNTIF($G$2:G283,G283)-1</f>
        <v>282</v>
      </c>
      <c r="B283" s="11" t="s">
        <v>953</v>
      </c>
      <c r="C283" s="11" t="s">
        <v>777</v>
      </c>
      <c r="D283" s="5" t="s">
        <v>58</v>
      </c>
      <c r="E283" s="5" t="s">
        <v>59</v>
      </c>
      <c r="F283" s="5"/>
      <c r="G283" s="22" t="n">
        <f aca="false">ROUND(SUM(I283:P283),3)</f>
        <v>73.926</v>
      </c>
      <c r="H283" s="5" t="str">
        <f aca="false">IF(G283&gt;=評分方法!$C$16,"優先評估",IF(G283&gt;=評分方法!$C$17,"列入候選",IF(G283&gt;=評分方法!$C$18,"特定情境","不建議")))</f>
        <v>列入候選</v>
      </c>
      <c r="I283" s="15" t="n">
        <f aca="false">AE283*評分方法!$C$5</f>
        <v>28.5</v>
      </c>
      <c r="J283" s="15" t="n">
        <f aca="false">AF283*評分方法!$C$6</f>
        <v>0</v>
      </c>
      <c r="K283" s="15" t="n">
        <f aca="false">AG283*評分方法!$C$7</f>
        <v>10.05</v>
      </c>
      <c r="L283" s="15" t="n">
        <f aca="false">AH283*評分方法!$C$8</f>
        <v>15</v>
      </c>
      <c r="M283" s="15" t="n">
        <f aca="false">AI283*評分方法!$C$9</f>
        <v>10</v>
      </c>
      <c r="N283" s="15" t="n">
        <f aca="false">AJ283*評分方法!$C$10</f>
        <v>7.876</v>
      </c>
      <c r="O283" s="15" t="n">
        <f aca="false">AK283*評分方法!$C$11</f>
        <v>1</v>
      </c>
      <c r="P283" s="15" t="n">
        <f aca="false">AL283*評分方法!$C$12</f>
        <v>1.5</v>
      </c>
      <c r="Q283" s="6" t="n">
        <v>1458160</v>
      </c>
      <c r="R283" s="6" t="n">
        <v>277460491</v>
      </c>
      <c r="S283" s="11" t="s">
        <v>238</v>
      </c>
      <c r="T283" s="11" t="s">
        <v>778</v>
      </c>
      <c r="U283" s="5" t="s">
        <v>240</v>
      </c>
      <c r="V283" s="11" t="s">
        <v>324</v>
      </c>
      <c r="W283" s="5" t="s">
        <v>207</v>
      </c>
      <c r="X283" s="5" t="s">
        <v>255</v>
      </c>
      <c r="Y283" s="5"/>
      <c r="Z283" s="5"/>
      <c r="AA283" s="11" t="s">
        <v>150</v>
      </c>
      <c r="AB283" s="5" t="s">
        <v>245</v>
      </c>
      <c r="AC283" s="5"/>
      <c r="AD283" s="11" t="s">
        <v>954</v>
      </c>
      <c r="AE283" s="23" t="n">
        <v>0.95</v>
      </c>
      <c r="AF283" s="23" t="n">
        <v>0</v>
      </c>
      <c r="AG283" s="23" t="n">
        <v>0.67</v>
      </c>
      <c r="AH283" s="23" t="n">
        <v>1</v>
      </c>
      <c r="AI283" s="23" t="n">
        <v>1</v>
      </c>
      <c r="AJ283" s="23" t="n">
        <v>0.7876</v>
      </c>
      <c r="AK283" s="23" t="n">
        <v>0.2</v>
      </c>
      <c r="AL283" s="23" t="n">
        <v>0.3</v>
      </c>
      <c r="AM283" s="16" t="n">
        <f aca="false">COUNTIFS($D$2:$D$2501,D283,$G$2:$G$2501,"&gt;"&amp;G283)+COUNTIFS($D$2:D283,D283,$G$2:G283,G283)</f>
        <v>11</v>
      </c>
      <c r="AN283" s="5" t="str">
        <f aca="false">D283&amp;"|"&amp;AM283</f>
        <v>實體擷取與去識別化|11</v>
      </c>
    </row>
    <row r="284" customFormat="false" ht="17.15" hidden="false" customHeight="false" outlineLevel="0" collapsed="false">
      <c r="A284" s="16" t="n">
        <f aca="false">RANK(G284,$G$2:$G$2501)+COUNTIF($G$2:G284,G284)-1</f>
        <v>283</v>
      </c>
      <c r="B284" s="11" t="s">
        <v>955</v>
      </c>
      <c r="C284" s="11" t="s">
        <v>417</v>
      </c>
      <c r="D284" s="5" t="s">
        <v>56</v>
      </c>
      <c r="E284" s="5" t="s">
        <v>57</v>
      </c>
      <c r="F284" s="5"/>
      <c r="G284" s="22" t="n">
        <f aca="false">ROUND(SUM(I284:P284),3)</f>
        <v>73.898</v>
      </c>
      <c r="H284" s="5" t="str">
        <f aca="false">IF(G284&gt;=評分方法!$C$16,"優先評估",IF(G284&gt;=評分方法!$C$17,"列入候選",IF(G284&gt;=評分方法!$C$18,"特定情境","不建議")))</f>
        <v>列入候選</v>
      </c>
      <c r="I284" s="15" t="n">
        <f aca="false">AE284*評分方法!$C$5</f>
        <v>25.5</v>
      </c>
      <c r="J284" s="15" t="n">
        <f aca="false">AF284*評分方法!$C$6</f>
        <v>0</v>
      </c>
      <c r="K284" s="15" t="n">
        <f aca="false">AG284*評分方法!$C$7</f>
        <v>15</v>
      </c>
      <c r="L284" s="15" t="n">
        <f aca="false">AH284*評分方法!$C$8</f>
        <v>13.05</v>
      </c>
      <c r="M284" s="15" t="n">
        <f aca="false">AI284*評分方法!$C$9</f>
        <v>10</v>
      </c>
      <c r="N284" s="15" t="n">
        <f aca="false">AJ284*評分方法!$C$10</f>
        <v>7.848</v>
      </c>
      <c r="O284" s="15" t="n">
        <f aca="false">AK284*評分方法!$C$11</f>
        <v>2.5</v>
      </c>
      <c r="P284" s="15" t="n">
        <f aca="false">AL284*評分方法!$C$12</f>
        <v>0</v>
      </c>
      <c r="Q284" s="6" t="n">
        <v>1436538</v>
      </c>
      <c r="R284" s="6" t="n">
        <v>2246784880</v>
      </c>
      <c r="S284" s="11" t="s">
        <v>254</v>
      </c>
      <c r="T284" s="11" t="s">
        <v>239</v>
      </c>
      <c r="U284" s="5" t="s">
        <v>240</v>
      </c>
      <c r="V284" s="11" t="s">
        <v>261</v>
      </c>
      <c r="W284" s="5" t="s">
        <v>205</v>
      </c>
      <c r="X284" s="5" t="s">
        <v>242</v>
      </c>
      <c r="Y284" s="11" t="s">
        <v>956</v>
      </c>
      <c r="Z284" s="11" t="s">
        <v>270</v>
      </c>
      <c r="AA284" s="11" t="s">
        <v>156</v>
      </c>
      <c r="AB284" s="5" t="s">
        <v>245</v>
      </c>
      <c r="AC284" s="5"/>
      <c r="AD284" s="11" t="s">
        <v>957</v>
      </c>
      <c r="AE284" s="23" t="n">
        <v>0.85</v>
      </c>
      <c r="AF284" s="23" t="n">
        <v>0</v>
      </c>
      <c r="AG284" s="23" t="n">
        <v>1</v>
      </c>
      <c r="AH284" s="23" t="n">
        <v>0.87</v>
      </c>
      <c r="AI284" s="23" t="n">
        <v>1</v>
      </c>
      <c r="AJ284" s="23" t="n">
        <v>0.7848</v>
      </c>
      <c r="AK284" s="23" t="n">
        <v>0.5</v>
      </c>
      <c r="AL284" s="23" t="n">
        <v>0</v>
      </c>
      <c r="AM284" s="16" t="n">
        <f aca="false">COUNTIFS($D$2:$D$2501,D284,$G$2:$G$2501,"&gt;"&amp;G284)+COUNTIFS($D$2:D284,D284,$G$2:G284,G284)</f>
        <v>125</v>
      </c>
      <c r="AN284" s="5" t="str">
        <f aca="false">D284&amp;"|"&amp;AM284</f>
        <v>分析與報告生成|125</v>
      </c>
    </row>
    <row r="285" customFormat="false" ht="17.15" hidden="false" customHeight="false" outlineLevel="0" collapsed="false">
      <c r="A285" s="16" t="n">
        <f aca="false">RANK(G285,$G$2:$G$2501)+COUNTIF($G$2:G285,G285)-1</f>
        <v>284</v>
      </c>
      <c r="B285" s="11" t="s">
        <v>958</v>
      </c>
      <c r="C285" s="11" t="s">
        <v>368</v>
      </c>
      <c r="D285" s="5" t="s">
        <v>56</v>
      </c>
      <c r="E285" s="5" t="s">
        <v>57</v>
      </c>
      <c r="F285" s="5"/>
      <c r="G285" s="22" t="n">
        <f aca="false">ROUND(SUM(I285:P285),3)</f>
        <v>73.888</v>
      </c>
      <c r="H285" s="5" t="str">
        <f aca="false">IF(G285&gt;=評分方法!$C$16,"優先評估",IF(G285&gt;=評分方法!$C$17,"列入候選",IF(G285&gt;=評分方法!$C$18,"特定情境","不建議")))</f>
        <v>列入候選</v>
      </c>
      <c r="I285" s="15" t="n">
        <f aca="false">AE285*評分方法!$C$5</f>
        <v>24</v>
      </c>
      <c r="J285" s="15" t="n">
        <f aca="false">AF285*評分方法!$C$6</f>
        <v>0</v>
      </c>
      <c r="K285" s="15" t="n">
        <f aca="false">AG285*評分方法!$C$7</f>
        <v>15</v>
      </c>
      <c r="L285" s="15" t="n">
        <f aca="false">AH285*評分方法!$C$8</f>
        <v>15</v>
      </c>
      <c r="M285" s="15" t="n">
        <f aca="false">AI285*評分方法!$C$9</f>
        <v>10</v>
      </c>
      <c r="N285" s="15" t="n">
        <f aca="false">AJ285*評分方法!$C$10</f>
        <v>1.888</v>
      </c>
      <c r="O285" s="15" t="n">
        <f aca="false">AK285*評分方法!$C$11</f>
        <v>5</v>
      </c>
      <c r="P285" s="15" t="n">
        <f aca="false">AL285*評分方法!$C$12</f>
        <v>3</v>
      </c>
      <c r="Q285" s="6" t="n">
        <v>201979</v>
      </c>
      <c r="R285" s="6" t="n">
        <v>422856964</v>
      </c>
      <c r="S285" s="11" t="s">
        <v>238</v>
      </c>
      <c r="T285" s="11" t="s">
        <v>239</v>
      </c>
      <c r="U285" s="5" t="s">
        <v>240</v>
      </c>
      <c r="V285" s="11" t="s">
        <v>261</v>
      </c>
      <c r="W285" s="5" t="s">
        <v>205</v>
      </c>
      <c r="X285" s="5" t="s">
        <v>371</v>
      </c>
      <c r="Y285" s="11" t="s">
        <v>847</v>
      </c>
      <c r="Z285" s="11" t="s">
        <v>270</v>
      </c>
      <c r="AA285" s="11" t="s">
        <v>157</v>
      </c>
      <c r="AB285" s="5" t="s">
        <v>245</v>
      </c>
      <c r="AC285" s="5"/>
      <c r="AD285" s="11" t="s">
        <v>959</v>
      </c>
      <c r="AE285" s="23" t="n">
        <v>0.8</v>
      </c>
      <c r="AF285" s="23" t="n">
        <v>0</v>
      </c>
      <c r="AG285" s="23" t="n">
        <v>1</v>
      </c>
      <c r="AH285" s="23" t="n">
        <v>1</v>
      </c>
      <c r="AI285" s="23" t="n">
        <v>1</v>
      </c>
      <c r="AJ285" s="23" t="n">
        <v>0.1888</v>
      </c>
      <c r="AK285" s="23" t="n">
        <v>1</v>
      </c>
      <c r="AL285" s="23" t="n">
        <v>0.6</v>
      </c>
      <c r="AM285" s="16" t="n">
        <f aca="false">COUNTIFS($D$2:$D$2501,D285,$G$2:$G$2501,"&gt;"&amp;G285)+COUNTIFS($D$2:D285,D285,$G$2:G285,G285)</f>
        <v>126</v>
      </c>
      <c r="AN285" s="5" t="str">
        <f aca="false">D285&amp;"|"&amp;AM285</f>
        <v>分析與報告生成|126</v>
      </c>
    </row>
    <row r="286" customFormat="false" ht="17.15" hidden="false" customHeight="false" outlineLevel="0" collapsed="false">
      <c r="A286" s="16" t="n">
        <f aca="false">RANK(G286,$G$2:$G$2501)+COUNTIF($G$2:G286,G286)-1</f>
        <v>285</v>
      </c>
      <c r="B286" s="11" t="s">
        <v>960</v>
      </c>
      <c r="C286" s="11" t="s">
        <v>338</v>
      </c>
      <c r="D286" s="5" t="s">
        <v>56</v>
      </c>
      <c r="E286" s="5" t="s">
        <v>57</v>
      </c>
      <c r="F286" s="5"/>
      <c r="G286" s="22" t="n">
        <f aca="false">ROUND(SUM(I286:P286),3)</f>
        <v>73.882</v>
      </c>
      <c r="H286" s="5" t="str">
        <f aca="false">IF(G286&gt;=評分方法!$C$16,"優先評估",IF(G286&gt;=評分方法!$C$17,"列入候選",IF(G286&gt;=評分方法!$C$18,"特定情境","不建議")))</f>
        <v>列入候選</v>
      </c>
      <c r="I286" s="15" t="n">
        <f aca="false">AE286*評分方法!$C$5</f>
        <v>25.5</v>
      </c>
      <c r="J286" s="15" t="n">
        <f aca="false">AF286*評分方法!$C$6</f>
        <v>0</v>
      </c>
      <c r="K286" s="15" t="n">
        <f aca="false">AG286*評分方法!$C$7</f>
        <v>15</v>
      </c>
      <c r="L286" s="15" t="n">
        <f aca="false">AH286*評分方法!$C$8</f>
        <v>13.05</v>
      </c>
      <c r="M286" s="15" t="n">
        <f aca="false">AI286*評分方法!$C$9</f>
        <v>10</v>
      </c>
      <c r="N286" s="15" t="n">
        <f aca="false">AJ286*評分方法!$C$10</f>
        <v>1.332</v>
      </c>
      <c r="O286" s="15" t="n">
        <f aca="false">AK286*評分方法!$C$11</f>
        <v>4</v>
      </c>
      <c r="P286" s="15" t="n">
        <f aca="false">AL286*評分方法!$C$12</f>
        <v>5</v>
      </c>
      <c r="Q286" s="6" t="n">
        <v>170280</v>
      </c>
      <c r="R286" s="6" t="n">
        <v>8489553920</v>
      </c>
      <c r="S286" s="11" t="s">
        <v>254</v>
      </c>
      <c r="T286" s="11" t="s">
        <v>239</v>
      </c>
      <c r="U286" s="5" t="s">
        <v>240</v>
      </c>
      <c r="V286" s="11" t="s">
        <v>333</v>
      </c>
      <c r="W286" s="5" t="s">
        <v>205</v>
      </c>
      <c r="X286" s="5" t="s">
        <v>284</v>
      </c>
      <c r="Y286" s="11" t="s">
        <v>413</v>
      </c>
      <c r="Z286" s="11" t="s">
        <v>244</v>
      </c>
      <c r="AA286" s="11" t="s">
        <v>155</v>
      </c>
      <c r="AB286" s="5" t="s">
        <v>961</v>
      </c>
      <c r="AC286" s="5" t="s">
        <v>962</v>
      </c>
      <c r="AD286" s="11" t="s">
        <v>963</v>
      </c>
      <c r="AE286" s="23" t="n">
        <v>0.85</v>
      </c>
      <c r="AF286" s="23" t="n">
        <v>0</v>
      </c>
      <c r="AG286" s="23" t="n">
        <v>1</v>
      </c>
      <c r="AH286" s="23" t="n">
        <v>0.87</v>
      </c>
      <c r="AI286" s="23" t="n">
        <v>1</v>
      </c>
      <c r="AJ286" s="23" t="n">
        <v>0.1332</v>
      </c>
      <c r="AK286" s="23" t="n">
        <v>0.8</v>
      </c>
      <c r="AL286" s="23" t="n">
        <v>1</v>
      </c>
      <c r="AM286" s="16" t="n">
        <f aca="false">COUNTIFS($D$2:$D$2501,D286,$G$2:$G$2501,"&gt;"&amp;G286)+COUNTIFS($D$2:D286,D286,$G$2:G286,G286)</f>
        <v>127</v>
      </c>
      <c r="AN286" s="5" t="str">
        <f aca="false">D286&amp;"|"&amp;AM286</f>
        <v>分析與報告生成|127</v>
      </c>
    </row>
    <row r="287" customFormat="false" ht="17.15" hidden="false" customHeight="false" outlineLevel="0" collapsed="false">
      <c r="A287" s="16" t="n">
        <f aca="false">RANK(G287,$G$2:$G$2501)+COUNTIF($G$2:G287,G287)-1</f>
        <v>286</v>
      </c>
      <c r="B287" s="11" t="s">
        <v>964</v>
      </c>
      <c r="C287" s="11" t="s">
        <v>299</v>
      </c>
      <c r="D287" s="5" t="s">
        <v>56</v>
      </c>
      <c r="E287" s="5" t="s">
        <v>57</v>
      </c>
      <c r="F287" s="5"/>
      <c r="G287" s="22" t="n">
        <f aca="false">ROUND(SUM(I287:P287),3)</f>
        <v>73.87</v>
      </c>
      <c r="H287" s="5" t="str">
        <f aca="false">IF(G287&gt;=評分方法!$C$16,"優先評估",IF(G287&gt;=評分方法!$C$17,"列入候選",IF(G287&gt;=評分方法!$C$18,"特定情境","不建議")))</f>
        <v>列入候選</v>
      </c>
      <c r="I287" s="15" t="n">
        <f aca="false">AE287*評分方法!$C$5</f>
        <v>25.5</v>
      </c>
      <c r="J287" s="15" t="n">
        <f aca="false">AF287*評分方法!$C$6</f>
        <v>0</v>
      </c>
      <c r="K287" s="15" t="n">
        <f aca="false">AG287*評分方法!$C$7</f>
        <v>15</v>
      </c>
      <c r="L287" s="15" t="n">
        <f aca="false">AH287*評分方法!$C$8</f>
        <v>13.05</v>
      </c>
      <c r="M287" s="15" t="n">
        <f aca="false">AI287*評分方法!$C$9</f>
        <v>10</v>
      </c>
      <c r="N287" s="15" t="n">
        <f aca="false">AJ287*評分方法!$C$10</f>
        <v>4.82</v>
      </c>
      <c r="O287" s="15" t="n">
        <f aca="false">AK287*評分方法!$C$11</f>
        <v>2.5</v>
      </c>
      <c r="P287" s="15" t="n">
        <f aca="false">AL287*評分方法!$C$12</f>
        <v>3</v>
      </c>
      <c r="Q287" s="6" t="n">
        <v>524861</v>
      </c>
      <c r="R287" s="6" t="n">
        <v>8170848256</v>
      </c>
      <c r="S287" s="11" t="s">
        <v>254</v>
      </c>
      <c r="T287" s="11" t="s">
        <v>239</v>
      </c>
      <c r="U287" s="5" t="s">
        <v>240</v>
      </c>
      <c r="V287" s="11" t="s">
        <v>261</v>
      </c>
      <c r="W287" s="5" t="s">
        <v>205</v>
      </c>
      <c r="X287" s="5" t="s">
        <v>371</v>
      </c>
      <c r="Y287" s="11" t="s">
        <v>965</v>
      </c>
      <c r="Z287" s="11" t="s">
        <v>270</v>
      </c>
      <c r="AA287" s="11" t="s">
        <v>155</v>
      </c>
      <c r="AB287" s="5" t="s">
        <v>245</v>
      </c>
      <c r="AC287" s="5"/>
      <c r="AD287" s="11" t="s">
        <v>966</v>
      </c>
      <c r="AE287" s="23" t="n">
        <v>0.85</v>
      </c>
      <c r="AF287" s="23" t="n">
        <v>0</v>
      </c>
      <c r="AG287" s="23" t="n">
        <v>1</v>
      </c>
      <c r="AH287" s="23" t="n">
        <v>0.87</v>
      </c>
      <c r="AI287" s="23" t="n">
        <v>1</v>
      </c>
      <c r="AJ287" s="23" t="n">
        <v>0.482</v>
      </c>
      <c r="AK287" s="23" t="n">
        <v>0.5</v>
      </c>
      <c r="AL287" s="23" t="n">
        <v>0.6</v>
      </c>
      <c r="AM287" s="16" t="n">
        <f aca="false">COUNTIFS($D$2:$D$2501,D287,$G$2:$G$2501,"&gt;"&amp;G287)+COUNTIFS($D$2:D287,D287,$G$2:G287,G287)</f>
        <v>128</v>
      </c>
      <c r="AN287" s="5" t="str">
        <f aca="false">D287&amp;"|"&amp;AM287</f>
        <v>分析與報告生成|128</v>
      </c>
    </row>
    <row r="288" customFormat="false" ht="17.15" hidden="false" customHeight="false" outlineLevel="0" collapsed="false">
      <c r="A288" s="16" t="n">
        <f aca="false">RANK(G288,$G$2:$G$2501)+COUNTIF($G$2:G288,G288)-1</f>
        <v>287</v>
      </c>
      <c r="B288" s="11" t="s">
        <v>967</v>
      </c>
      <c r="C288" s="11" t="s">
        <v>417</v>
      </c>
      <c r="D288" s="5" t="s">
        <v>56</v>
      </c>
      <c r="E288" s="5" t="s">
        <v>57</v>
      </c>
      <c r="F288" s="5"/>
      <c r="G288" s="22" t="n">
        <f aca="false">ROUND(SUM(I288:P288),3)</f>
        <v>73.738</v>
      </c>
      <c r="H288" s="5" t="str">
        <f aca="false">IF(G288&gt;=評分方法!$C$16,"優先評估",IF(G288&gt;=評分方法!$C$17,"列入候選",IF(G288&gt;=評分方法!$C$18,"特定情境","不建議")))</f>
        <v>列入候選</v>
      </c>
      <c r="I288" s="15" t="n">
        <f aca="false">AE288*評分方法!$C$5</f>
        <v>25.5</v>
      </c>
      <c r="J288" s="15" t="n">
        <f aca="false">AF288*評分方法!$C$6</f>
        <v>0</v>
      </c>
      <c r="K288" s="15" t="n">
        <f aca="false">AG288*評分方法!$C$7</f>
        <v>15</v>
      </c>
      <c r="L288" s="15" t="n">
        <f aca="false">AH288*評分方法!$C$8</f>
        <v>13.05</v>
      </c>
      <c r="M288" s="15" t="n">
        <f aca="false">AI288*評分方法!$C$9</f>
        <v>10</v>
      </c>
      <c r="N288" s="15" t="n">
        <f aca="false">AJ288*評分方法!$C$10</f>
        <v>7.688</v>
      </c>
      <c r="O288" s="15" t="n">
        <f aca="false">AK288*評分方法!$C$11</f>
        <v>2.5</v>
      </c>
      <c r="P288" s="15" t="n">
        <f aca="false">AL288*評分方法!$C$12</f>
        <v>0</v>
      </c>
      <c r="Q288" s="6" t="n">
        <v>1260949</v>
      </c>
      <c r="R288" s="6" t="n">
        <v>1711376384</v>
      </c>
      <c r="S288" s="11" t="s">
        <v>254</v>
      </c>
      <c r="T288" s="11" t="s">
        <v>239</v>
      </c>
      <c r="U288" s="5" t="s">
        <v>240</v>
      </c>
      <c r="V288" s="11" t="s">
        <v>241</v>
      </c>
      <c r="W288" s="5" t="s">
        <v>205</v>
      </c>
      <c r="X288" s="5" t="s">
        <v>242</v>
      </c>
      <c r="Y288" s="11" t="s">
        <v>968</v>
      </c>
      <c r="Z288" s="11" t="s">
        <v>244</v>
      </c>
      <c r="AA288" s="11" t="s">
        <v>155</v>
      </c>
      <c r="AB288" s="5" t="s">
        <v>245</v>
      </c>
      <c r="AC288" s="5" t="s">
        <v>246</v>
      </c>
      <c r="AD288" s="11" t="s">
        <v>969</v>
      </c>
      <c r="AE288" s="23" t="n">
        <v>0.85</v>
      </c>
      <c r="AF288" s="23" t="n">
        <v>0</v>
      </c>
      <c r="AG288" s="23" t="n">
        <v>1</v>
      </c>
      <c r="AH288" s="23" t="n">
        <v>0.87</v>
      </c>
      <c r="AI288" s="23" t="n">
        <v>1</v>
      </c>
      <c r="AJ288" s="23" t="n">
        <v>0.7688</v>
      </c>
      <c r="AK288" s="23" t="n">
        <v>0.5</v>
      </c>
      <c r="AL288" s="23" t="n">
        <v>0</v>
      </c>
      <c r="AM288" s="16" t="n">
        <f aca="false">COUNTIFS($D$2:$D$2501,D288,$G$2:$G$2501,"&gt;"&amp;G288)+COUNTIFS($D$2:D288,D288,$G$2:G288,G288)</f>
        <v>129</v>
      </c>
      <c r="AN288" s="5" t="str">
        <f aca="false">D288&amp;"|"&amp;AM288</f>
        <v>分析與報告生成|129</v>
      </c>
    </row>
    <row r="289" customFormat="false" ht="17.15" hidden="false" customHeight="false" outlineLevel="0" collapsed="false">
      <c r="A289" s="16" t="n">
        <f aca="false">RANK(G289,$G$2:$G$2501)+COUNTIF($G$2:G289,G289)-1</f>
        <v>288</v>
      </c>
      <c r="B289" s="11" t="s">
        <v>785</v>
      </c>
      <c r="C289" s="11" t="s">
        <v>368</v>
      </c>
      <c r="D289" s="5" t="s">
        <v>56</v>
      </c>
      <c r="E289" s="5" t="s">
        <v>57</v>
      </c>
      <c r="F289" s="5"/>
      <c r="G289" s="22" t="n">
        <f aca="false">ROUND(SUM(I289:P289),3)</f>
        <v>73.692</v>
      </c>
      <c r="H289" s="5" t="str">
        <f aca="false">IF(G289&gt;=評分方法!$C$16,"優先評估",IF(G289&gt;=評分方法!$C$17,"列入候選",IF(G289&gt;=評分方法!$C$18,"特定情境","不建議")))</f>
        <v>列入候選</v>
      </c>
      <c r="I289" s="15" t="n">
        <f aca="false">AE289*評分方法!$C$5</f>
        <v>25.5</v>
      </c>
      <c r="J289" s="15" t="n">
        <f aca="false">AF289*評分方法!$C$6</f>
        <v>0</v>
      </c>
      <c r="K289" s="15" t="n">
        <f aca="false">AG289*評分方法!$C$7</f>
        <v>15</v>
      </c>
      <c r="L289" s="15" t="n">
        <f aca="false">AH289*評分方法!$C$8</f>
        <v>9</v>
      </c>
      <c r="M289" s="15" t="n">
        <f aca="false">AI289*評分方法!$C$9</f>
        <v>10</v>
      </c>
      <c r="N289" s="15" t="n">
        <f aca="false">AJ289*評分方法!$C$10</f>
        <v>6.192</v>
      </c>
      <c r="O289" s="15" t="n">
        <f aca="false">AK289*評分方法!$C$11</f>
        <v>5</v>
      </c>
      <c r="P289" s="15" t="n">
        <f aca="false">AL289*評分方法!$C$12</f>
        <v>3</v>
      </c>
      <c r="Q289" s="6" t="n">
        <v>667459</v>
      </c>
      <c r="R289" s="6" t="n">
        <v>25805936206</v>
      </c>
      <c r="S289" s="11" t="s">
        <v>389</v>
      </c>
      <c r="T289" s="11" t="s">
        <v>239</v>
      </c>
      <c r="U289" s="5" t="s">
        <v>240</v>
      </c>
      <c r="V289" s="11" t="s">
        <v>261</v>
      </c>
      <c r="W289" s="5" t="s">
        <v>205</v>
      </c>
      <c r="X289" s="5" t="s">
        <v>371</v>
      </c>
      <c r="Y289" s="11" t="s">
        <v>575</v>
      </c>
      <c r="Z289" s="11" t="s">
        <v>270</v>
      </c>
      <c r="AA289" s="11" t="s">
        <v>156</v>
      </c>
      <c r="AB289" s="5" t="s">
        <v>245</v>
      </c>
      <c r="AC289" s="5"/>
      <c r="AD289" s="11" t="s">
        <v>970</v>
      </c>
      <c r="AE289" s="23" t="n">
        <v>0.85</v>
      </c>
      <c r="AF289" s="23" t="n">
        <v>0</v>
      </c>
      <c r="AG289" s="23" t="n">
        <v>1</v>
      </c>
      <c r="AH289" s="23" t="n">
        <v>0.6</v>
      </c>
      <c r="AI289" s="23" t="n">
        <v>1</v>
      </c>
      <c r="AJ289" s="23" t="n">
        <v>0.6192</v>
      </c>
      <c r="AK289" s="23" t="n">
        <v>1</v>
      </c>
      <c r="AL289" s="23" t="n">
        <v>0.6</v>
      </c>
      <c r="AM289" s="16" t="n">
        <f aca="false">COUNTIFS($D$2:$D$2501,D289,$G$2:$G$2501,"&gt;"&amp;G289)+COUNTIFS($D$2:D289,D289,$G$2:G289,G289)</f>
        <v>130</v>
      </c>
      <c r="AN289" s="5" t="str">
        <f aca="false">D289&amp;"|"&amp;AM289</f>
        <v>分析與報告生成|130</v>
      </c>
    </row>
    <row r="290" customFormat="false" ht="17.15" hidden="false" customHeight="false" outlineLevel="0" collapsed="false">
      <c r="A290" s="16" t="n">
        <f aca="false">RANK(G290,$G$2:$G$2501)+COUNTIF($G$2:G290,G290)-1</f>
        <v>289</v>
      </c>
      <c r="B290" s="11" t="s">
        <v>971</v>
      </c>
      <c r="C290" s="11" t="s">
        <v>308</v>
      </c>
      <c r="D290" s="5" t="s">
        <v>56</v>
      </c>
      <c r="E290" s="5" t="s">
        <v>57</v>
      </c>
      <c r="F290" s="5"/>
      <c r="G290" s="22" t="n">
        <f aca="false">ROUND(SUM(I290:P290),3)</f>
        <v>73.6</v>
      </c>
      <c r="H290" s="5" t="str">
        <f aca="false">IF(G290&gt;=評分方法!$C$16,"優先評估",IF(G290&gt;=評分方法!$C$17,"列入候選",IF(G290&gt;=評分方法!$C$18,"特定情境","不建議")))</f>
        <v>列入候選</v>
      </c>
      <c r="I290" s="15" t="n">
        <f aca="false">AE290*評分方法!$C$5</f>
        <v>25.5</v>
      </c>
      <c r="J290" s="15" t="n">
        <f aca="false">AF290*評分方法!$C$6</f>
        <v>0</v>
      </c>
      <c r="K290" s="15" t="n">
        <f aca="false">AG290*評分方法!$C$7</f>
        <v>15</v>
      </c>
      <c r="L290" s="15" t="n">
        <f aca="false">AH290*評分方法!$C$8</f>
        <v>9</v>
      </c>
      <c r="M290" s="15" t="n">
        <f aca="false">AI290*評分方法!$C$9</f>
        <v>10</v>
      </c>
      <c r="N290" s="15" t="n">
        <f aca="false">AJ290*評分方法!$C$10</f>
        <v>9.1</v>
      </c>
      <c r="O290" s="15" t="n">
        <f aca="false">AK290*評分方法!$C$11</f>
        <v>5</v>
      </c>
      <c r="P290" s="15" t="n">
        <f aca="false">AL290*評分方法!$C$12</f>
        <v>0</v>
      </c>
      <c r="Q290" s="6" t="n">
        <v>4442102</v>
      </c>
      <c r="R290" s="6" t="n">
        <v>14659507200</v>
      </c>
      <c r="S290" s="11" t="s">
        <v>389</v>
      </c>
      <c r="T290" s="11" t="s">
        <v>278</v>
      </c>
      <c r="U290" s="5" t="s">
        <v>240</v>
      </c>
      <c r="V290" s="11" t="s">
        <v>261</v>
      </c>
      <c r="W290" s="5" t="s">
        <v>205</v>
      </c>
      <c r="X290" s="5" t="s">
        <v>242</v>
      </c>
      <c r="Y290" s="5"/>
      <c r="Z290" s="5"/>
      <c r="AA290" s="11" t="s">
        <v>155</v>
      </c>
      <c r="AB290" s="5" t="s">
        <v>245</v>
      </c>
      <c r="AC290" s="5"/>
      <c r="AD290" s="11" t="s">
        <v>972</v>
      </c>
      <c r="AE290" s="23" t="n">
        <v>0.85</v>
      </c>
      <c r="AF290" s="23" t="n">
        <v>0</v>
      </c>
      <c r="AG290" s="23" t="n">
        <v>1</v>
      </c>
      <c r="AH290" s="23" t="n">
        <v>0.6</v>
      </c>
      <c r="AI290" s="23" t="n">
        <v>1</v>
      </c>
      <c r="AJ290" s="23" t="n">
        <v>0.91</v>
      </c>
      <c r="AK290" s="23" t="n">
        <v>1</v>
      </c>
      <c r="AL290" s="23" t="n">
        <v>0</v>
      </c>
      <c r="AM290" s="16" t="n">
        <f aca="false">COUNTIFS($D$2:$D$2501,D290,$G$2:$G$2501,"&gt;"&amp;G290)+COUNTIFS($D$2:D290,D290,$G$2:G290,G290)</f>
        <v>131</v>
      </c>
      <c r="AN290" s="5" t="str">
        <f aca="false">D290&amp;"|"&amp;AM290</f>
        <v>分析與報告生成|131</v>
      </c>
    </row>
    <row r="291" customFormat="false" ht="17.15" hidden="false" customHeight="false" outlineLevel="0" collapsed="false">
      <c r="A291" s="16" t="n">
        <f aca="false">RANK(G291,$G$2:$G$2501)+COUNTIF($G$2:G291,G291)-1</f>
        <v>290</v>
      </c>
      <c r="B291" s="11" t="s">
        <v>973</v>
      </c>
      <c r="C291" s="11" t="s">
        <v>382</v>
      </c>
      <c r="D291" s="5" t="s">
        <v>54</v>
      </c>
      <c r="E291" s="5" t="s">
        <v>55</v>
      </c>
      <c r="F291" s="5"/>
      <c r="G291" s="22" t="n">
        <f aca="false">ROUND(SUM(I291:P291),3)</f>
        <v>73.596</v>
      </c>
      <c r="H291" s="5" t="str">
        <f aca="false">IF(G291&gt;=評分方法!$C$16,"優先評估",IF(G291&gt;=評分方法!$C$17,"列入候選",IF(G291&gt;=評分方法!$C$18,"特定情境","不建議")))</f>
        <v>列入候選</v>
      </c>
      <c r="I291" s="15" t="n">
        <f aca="false">AE291*評分方法!$C$5</f>
        <v>27</v>
      </c>
      <c r="J291" s="15" t="n">
        <f aca="false">AF291*評分方法!$C$6</f>
        <v>0</v>
      </c>
      <c r="K291" s="15" t="n">
        <f aca="false">AG291*評分方法!$C$7</f>
        <v>15</v>
      </c>
      <c r="L291" s="15" t="n">
        <f aca="false">AH291*評分方法!$C$8</f>
        <v>15</v>
      </c>
      <c r="M291" s="15" t="n">
        <f aca="false">AI291*評分方法!$C$9</f>
        <v>10</v>
      </c>
      <c r="N291" s="15" t="n">
        <f aca="false">AJ291*評分方法!$C$10</f>
        <v>4.096</v>
      </c>
      <c r="O291" s="15" t="n">
        <f aca="false">AK291*評分方法!$C$11</f>
        <v>2.5</v>
      </c>
      <c r="P291" s="15" t="n">
        <f aca="false">AL291*評分方法!$C$12</f>
        <v>0</v>
      </c>
      <c r="Q291" s="6" t="n">
        <v>434320</v>
      </c>
      <c r="R291" s="6" t="n">
        <v>435062785</v>
      </c>
      <c r="S291" s="11" t="s">
        <v>238</v>
      </c>
      <c r="T291" s="11" t="s">
        <v>239</v>
      </c>
      <c r="U291" s="5" t="s">
        <v>240</v>
      </c>
      <c r="V291" s="11" t="s">
        <v>241</v>
      </c>
      <c r="W291" s="5" t="s">
        <v>205</v>
      </c>
      <c r="X291" s="5" t="s">
        <v>242</v>
      </c>
      <c r="Y291" s="5"/>
      <c r="Z291" s="5"/>
      <c r="AA291" s="11" t="s">
        <v>154</v>
      </c>
      <c r="AB291" s="5" t="s">
        <v>245</v>
      </c>
      <c r="AC291" s="5"/>
      <c r="AD291" s="11" t="s">
        <v>974</v>
      </c>
      <c r="AE291" s="23" t="n">
        <v>0.9</v>
      </c>
      <c r="AF291" s="23" t="n">
        <v>0</v>
      </c>
      <c r="AG291" s="23" t="n">
        <v>1</v>
      </c>
      <c r="AH291" s="23" t="n">
        <v>1</v>
      </c>
      <c r="AI291" s="23" t="n">
        <v>1</v>
      </c>
      <c r="AJ291" s="23" t="n">
        <v>0.4096</v>
      </c>
      <c r="AK291" s="23" t="n">
        <v>0.5</v>
      </c>
      <c r="AL291" s="23" t="n">
        <v>0</v>
      </c>
      <c r="AM291" s="16" t="n">
        <f aca="false">COUNTIFS($D$2:$D$2501,D291,$G$2:$G$2501,"&gt;"&amp;G291)+COUNTIFS($D$2:D291,D291,$G$2:G291,G291)</f>
        <v>87</v>
      </c>
      <c r="AN291" s="5" t="str">
        <f aca="false">D291&amp;"|"&amp;AM291</f>
        <v>檢索與情資關聯|87</v>
      </c>
    </row>
    <row r="292" customFormat="false" ht="17.15" hidden="false" customHeight="false" outlineLevel="0" collapsed="false">
      <c r="A292" s="16" t="n">
        <f aca="false">RANK(G292,$G$2:$G$2501)+COUNTIF($G$2:G292,G292)-1</f>
        <v>291</v>
      </c>
      <c r="B292" s="11" t="s">
        <v>975</v>
      </c>
      <c r="C292" s="11" t="s">
        <v>299</v>
      </c>
      <c r="D292" s="5" t="s">
        <v>56</v>
      </c>
      <c r="E292" s="5" t="s">
        <v>57</v>
      </c>
      <c r="F292" s="5"/>
      <c r="G292" s="22" t="n">
        <f aca="false">ROUND(SUM(I292:P292),3)</f>
        <v>73.576</v>
      </c>
      <c r="H292" s="5" t="str">
        <f aca="false">IF(G292&gt;=評分方法!$C$16,"優先評估",IF(G292&gt;=評分方法!$C$17,"列入候選",IF(G292&gt;=評分方法!$C$18,"特定情境","不建議")))</f>
        <v>列入候選</v>
      </c>
      <c r="I292" s="15" t="n">
        <f aca="false">AE292*評分方法!$C$5</f>
        <v>25.5</v>
      </c>
      <c r="J292" s="15" t="n">
        <f aca="false">AF292*評分方法!$C$6</f>
        <v>0</v>
      </c>
      <c r="K292" s="15" t="n">
        <f aca="false">AG292*評分方法!$C$7</f>
        <v>15</v>
      </c>
      <c r="L292" s="15" t="n">
        <f aca="false">AH292*評分方法!$C$8</f>
        <v>9</v>
      </c>
      <c r="M292" s="15" t="n">
        <f aca="false">AI292*評分方法!$C$9</f>
        <v>10</v>
      </c>
      <c r="N292" s="15" t="n">
        <f aca="false">AJ292*評分方法!$C$10</f>
        <v>6.076</v>
      </c>
      <c r="O292" s="15" t="n">
        <f aca="false">AK292*評分方法!$C$11</f>
        <v>5</v>
      </c>
      <c r="P292" s="15" t="n">
        <f aca="false">AL292*評分方法!$C$12</f>
        <v>3</v>
      </c>
      <c r="Q292" s="6" t="n">
        <v>642989</v>
      </c>
      <c r="R292" s="6" t="n">
        <v>29276770304</v>
      </c>
      <c r="S292" s="11" t="s">
        <v>389</v>
      </c>
      <c r="T292" s="11" t="s">
        <v>239</v>
      </c>
      <c r="U292" s="5" t="s">
        <v>240</v>
      </c>
      <c r="V292" s="11" t="s">
        <v>333</v>
      </c>
      <c r="W292" s="5" t="s">
        <v>205</v>
      </c>
      <c r="X292" s="5" t="s">
        <v>371</v>
      </c>
      <c r="Y292" s="11" t="s">
        <v>976</v>
      </c>
      <c r="Z292" s="11" t="s">
        <v>244</v>
      </c>
      <c r="AA292" s="11" t="s">
        <v>155</v>
      </c>
      <c r="AB292" s="5" t="s">
        <v>496</v>
      </c>
      <c r="AC292" s="5" t="s">
        <v>555</v>
      </c>
      <c r="AD292" s="11" t="s">
        <v>977</v>
      </c>
      <c r="AE292" s="23" t="n">
        <v>0.85</v>
      </c>
      <c r="AF292" s="23" t="n">
        <v>0</v>
      </c>
      <c r="AG292" s="23" t="n">
        <v>1</v>
      </c>
      <c r="AH292" s="23" t="n">
        <v>0.6</v>
      </c>
      <c r="AI292" s="23" t="n">
        <v>1</v>
      </c>
      <c r="AJ292" s="23" t="n">
        <v>0.6076</v>
      </c>
      <c r="AK292" s="23" t="n">
        <v>1</v>
      </c>
      <c r="AL292" s="23" t="n">
        <v>0.6</v>
      </c>
      <c r="AM292" s="16" t="n">
        <f aca="false">COUNTIFS($D$2:$D$2501,D292,$G$2:$G$2501,"&gt;"&amp;G292)+COUNTIFS($D$2:D292,D292,$G$2:G292,G292)</f>
        <v>132</v>
      </c>
      <c r="AN292" s="5" t="str">
        <f aca="false">D292&amp;"|"&amp;AM292</f>
        <v>分析與報告生成|132</v>
      </c>
    </row>
    <row r="293" customFormat="false" ht="17.15" hidden="false" customHeight="false" outlineLevel="0" collapsed="false">
      <c r="A293" s="16" t="n">
        <f aca="false">RANK(G293,$G$2:$G$2501)+COUNTIF($G$2:G293,G293)-1</f>
        <v>292</v>
      </c>
      <c r="B293" s="11" t="s">
        <v>978</v>
      </c>
      <c r="C293" s="11" t="s">
        <v>282</v>
      </c>
      <c r="D293" s="5" t="s">
        <v>54</v>
      </c>
      <c r="E293" s="5" t="s">
        <v>55</v>
      </c>
      <c r="F293" s="5"/>
      <c r="G293" s="22" t="n">
        <f aca="false">ROUND(SUM(I293:P293),3)</f>
        <v>73.576</v>
      </c>
      <c r="H293" s="5" t="str">
        <f aca="false">IF(G293&gt;=評分方法!$C$16,"優先評估",IF(G293&gt;=評分方法!$C$17,"列入候選",IF(G293&gt;=評分方法!$C$18,"特定情境","不建議")))</f>
        <v>列入候選</v>
      </c>
      <c r="I293" s="15" t="n">
        <f aca="false">AE293*評分方法!$C$5</f>
        <v>27</v>
      </c>
      <c r="J293" s="15" t="n">
        <f aca="false">AF293*評分方法!$C$6</f>
        <v>0</v>
      </c>
      <c r="K293" s="15" t="n">
        <f aca="false">AG293*評分方法!$C$7</f>
        <v>15</v>
      </c>
      <c r="L293" s="15" t="n">
        <f aca="false">AH293*評分方法!$C$8</f>
        <v>15</v>
      </c>
      <c r="M293" s="15" t="n">
        <f aca="false">AI293*評分方法!$C$9</f>
        <v>10</v>
      </c>
      <c r="N293" s="15" t="n">
        <f aca="false">AJ293*評分方法!$C$10</f>
        <v>4.076</v>
      </c>
      <c r="O293" s="15" t="n">
        <f aca="false">AK293*評分方法!$C$11</f>
        <v>2.5</v>
      </c>
      <c r="P293" s="15" t="n">
        <f aca="false">AL293*評分方法!$C$12</f>
        <v>0</v>
      </c>
      <c r="Q293" s="6" t="n">
        <v>429818</v>
      </c>
      <c r="R293" s="6" t="n">
        <v>109628544</v>
      </c>
      <c r="S293" s="11" t="s">
        <v>238</v>
      </c>
      <c r="T293" s="11" t="s">
        <v>239</v>
      </c>
      <c r="U293" s="5" t="s">
        <v>240</v>
      </c>
      <c r="V293" s="11" t="s">
        <v>324</v>
      </c>
      <c r="W293" s="5" t="s">
        <v>205</v>
      </c>
      <c r="X293" s="5" t="s">
        <v>242</v>
      </c>
      <c r="Y293" s="5"/>
      <c r="Z293" s="5"/>
      <c r="AA293" s="11" t="s">
        <v>152</v>
      </c>
      <c r="AB293" s="5" t="s">
        <v>245</v>
      </c>
      <c r="AC293" s="5"/>
      <c r="AD293" s="11" t="s">
        <v>979</v>
      </c>
      <c r="AE293" s="23" t="n">
        <v>0.9</v>
      </c>
      <c r="AF293" s="23" t="n">
        <v>0</v>
      </c>
      <c r="AG293" s="23" t="n">
        <v>1</v>
      </c>
      <c r="AH293" s="23" t="n">
        <v>1</v>
      </c>
      <c r="AI293" s="23" t="n">
        <v>1</v>
      </c>
      <c r="AJ293" s="23" t="n">
        <v>0.4076</v>
      </c>
      <c r="AK293" s="23" t="n">
        <v>0.5</v>
      </c>
      <c r="AL293" s="23" t="n">
        <v>0</v>
      </c>
      <c r="AM293" s="16" t="n">
        <f aca="false">COUNTIFS($D$2:$D$2501,D293,$G$2:$G$2501,"&gt;"&amp;G293)+COUNTIFS($D$2:D293,D293,$G$2:G293,G293)</f>
        <v>88</v>
      </c>
      <c r="AN293" s="5" t="str">
        <f aca="false">D293&amp;"|"&amp;AM293</f>
        <v>檢索與情資關聯|88</v>
      </c>
    </row>
    <row r="294" customFormat="false" ht="17.15" hidden="false" customHeight="false" outlineLevel="0" collapsed="false">
      <c r="A294" s="16" t="n">
        <f aca="false">RANK(G294,$G$2:$G$2501)+COUNTIF($G$2:G294,G294)-1</f>
        <v>293</v>
      </c>
      <c r="B294" s="11" t="s">
        <v>980</v>
      </c>
      <c r="C294" s="11" t="s">
        <v>368</v>
      </c>
      <c r="D294" s="5" t="s">
        <v>56</v>
      </c>
      <c r="E294" s="5" t="s">
        <v>57</v>
      </c>
      <c r="F294" s="5"/>
      <c r="G294" s="22" t="n">
        <f aca="false">ROUND(SUM(I294:P294),3)</f>
        <v>73.568</v>
      </c>
      <c r="H294" s="5" t="str">
        <f aca="false">IF(G294&gt;=評分方法!$C$16,"優先評估",IF(G294&gt;=評分方法!$C$17,"列入候選",IF(G294&gt;=評分方法!$C$18,"特定情境","不建議")))</f>
        <v>列入候選</v>
      </c>
      <c r="I294" s="15" t="n">
        <f aca="false">AE294*評分方法!$C$5</f>
        <v>24</v>
      </c>
      <c r="J294" s="15" t="n">
        <f aca="false">AF294*評分方法!$C$6</f>
        <v>0</v>
      </c>
      <c r="K294" s="15" t="n">
        <f aca="false">AG294*評分方法!$C$7</f>
        <v>15</v>
      </c>
      <c r="L294" s="15" t="n">
        <f aca="false">AH294*評分方法!$C$8</f>
        <v>15</v>
      </c>
      <c r="M294" s="15" t="n">
        <f aca="false">AI294*評分方法!$C$9</f>
        <v>10</v>
      </c>
      <c r="N294" s="15" t="n">
        <f aca="false">AJ294*評分方法!$C$10</f>
        <v>1.568</v>
      </c>
      <c r="O294" s="15" t="n">
        <f aca="false">AK294*評分方法!$C$11</f>
        <v>5</v>
      </c>
      <c r="P294" s="15" t="n">
        <f aca="false">AL294*評分方法!$C$12</f>
        <v>3</v>
      </c>
      <c r="Q294" s="6" t="n">
        <v>183416</v>
      </c>
      <c r="R294" s="6" t="n">
        <v>77993476</v>
      </c>
      <c r="S294" s="11" t="s">
        <v>238</v>
      </c>
      <c r="T294" s="11" t="s">
        <v>239</v>
      </c>
      <c r="U294" s="5" t="s">
        <v>240</v>
      </c>
      <c r="V294" s="11" t="s">
        <v>261</v>
      </c>
      <c r="W294" s="5" t="s">
        <v>205</v>
      </c>
      <c r="X294" s="5" t="s">
        <v>371</v>
      </c>
      <c r="Y294" s="5"/>
      <c r="Z294" s="5"/>
      <c r="AA294" s="11" t="s">
        <v>157</v>
      </c>
      <c r="AB294" s="5" t="s">
        <v>245</v>
      </c>
      <c r="AC294" s="5"/>
      <c r="AD294" s="11" t="s">
        <v>981</v>
      </c>
      <c r="AE294" s="23" t="n">
        <v>0.8</v>
      </c>
      <c r="AF294" s="23" t="n">
        <v>0</v>
      </c>
      <c r="AG294" s="23" t="n">
        <v>1</v>
      </c>
      <c r="AH294" s="23" t="n">
        <v>1</v>
      </c>
      <c r="AI294" s="23" t="n">
        <v>1</v>
      </c>
      <c r="AJ294" s="23" t="n">
        <v>0.1568</v>
      </c>
      <c r="AK294" s="23" t="n">
        <v>1</v>
      </c>
      <c r="AL294" s="23" t="n">
        <v>0.6</v>
      </c>
      <c r="AM294" s="16" t="n">
        <f aca="false">COUNTIFS($D$2:$D$2501,D294,$G$2:$G$2501,"&gt;"&amp;G294)+COUNTIFS($D$2:D294,D294,$G$2:G294,G294)</f>
        <v>133</v>
      </c>
      <c r="AN294" s="5" t="str">
        <f aca="false">D294&amp;"|"&amp;AM294</f>
        <v>分析與報告生成|133</v>
      </c>
    </row>
    <row r="295" customFormat="false" ht="17.15" hidden="false" customHeight="false" outlineLevel="0" collapsed="false">
      <c r="A295" s="16" t="n">
        <f aca="false">RANK(G295,$G$2:$G$2501)+COUNTIF($G$2:G295,G295)-1</f>
        <v>294</v>
      </c>
      <c r="B295" s="11" t="s">
        <v>982</v>
      </c>
      <c r="C295" s="11" t="s">
        <v>368</v>
      </c>
      <c r="D295" s="5" t="s">
        <v>56</v>
      </c>
      <c r="E295" s="5" t="s">
        <v>57</v>
      </c>
      <c r="F295" s="5"/>
      <c r="G295" s="22" t="n">
        <f aca="false">ROUND(SUM(I295:P295),3)</f>
        <v>73.564</v>
      </c>
      <c r="H295" s="5" t="str">
        <f aca="false">IF(G295&gt;=評分方法!$C$16,"優先評估",IF(G295&gt;=評分方法!$C$17,"列入候選",IF(G295&gt;=評分方法!$C$18,"特定情境","不建議")))</f>
        <v>列入候選</v>
      </c>
      <c r="I295" s="15" t="n">
        <f aca="false">AE295*評分方法!$C$5</f>
        <v>18</v>
      </c>
      <c r="J295" s="15" t="n">
        <f aca="false">AF295*評分方法!$C$6</f>
        <v>0</v>
      </c>
      <c r="K295" s="15" t="n">
        <f aca="false">AG295*評分方法!$C$7</f>
        <v>15</v>
      </c>
      <c r="L295" s="15" t="n">
        <f aca="false">AH295*評分方法!$C$8</f>
        <v>15</v>
      </c>
      <c r="M295" s="15" t="n">
        <f aca="false">AI295*評分方法!$C$9</f>
        <v>10</v>
      </c>
      <c r="N295" s="15" t="n">
        <f aca="false">AJ295*評分方法!$C$10</f>
        <v>9.564</v>
      </c>
      <c r="O295" s="15" t="n">
        <f aca="false">AK295*評分方法!$C$11</f>
        <v>1</v>
      </c>
      <c r="P295" s="15" t="n">
        <f aca="false">AL295*評分方法!$C$12</f>
        <v>5</v>
      </c>
      <c r="Q295" s="6" t="n">
        <v>9632944</v>
      </c>
      <c r="R295" s="6" t="n">
        <v>247577856</v>
      </c>
      <c r="S295" s="11" t="s">
        <v>238</v>
      </c>
      <c r="T295" s="11" t="s">
        <v>239</v>
      </c>
      <c r="U295" s="5" t="s">
        <v>240</v>
      </c>
      <c r="V295" s="11" t="s">
        <v>279</v>
      </c>
      <c r="W295" s="5" t="s">
        <v>205</v>
      </c>
      <c r="X295" s="5" t="s">
        <v>284</v>
      </c>
      <c r="Y295" s="5"/>
      <c r="Z295" s="5"/>
      <c r="AA295" s="11" t="s">
        <v>161</v>
      </c>
      <c r="AB295" s="5" t="s">
        <v>983</v>
      </c>
      <c r="AC295" s="5" t="s">
        <v>984</v>
      </c>
      <c r="AD295" s="11" t="s">
        <v>985</v>
      </c>
      <c r="AE295" s="23" t="n">
        <v>0.6</v>
      </c>
      <c r="AF295" s="23" t="n">
        <v>0</v>
      </c>
      <c r="AG295" s="23" t="n">
        <v>1</v>
      </c>
      <c r="AH295" s="23" t="n">
        <v>1</v>
      </c>
      <c r="AI295" s="23" t="n">
        <v>1</v>
      </c>
      <c r="AJ295" s="23" t="n">
        <v>0.9564</v>
      </c>
      <c r="AK295" s="23" t="n">
        <v>0.2</v>
      </c>
      <c r="AL295" s="23" t="n">
        <v>1</v>
      </c>
      <c r="AM295" s="16" t="n">
        <f aca="false">COUNTIFS($D$2:$D$2501,D295,$G$2:$G$2501,"&gt;"&amp;G295)+COUNTIFS($D$2:D295,D295,$G$2:G295,G295)</f>
        <v>134</v>
      </c>
      <c r="AN295" s="5" t="str">
        <f aca="false">D295&amp;"|"&amp;AM295</f>
        <v>分析與報告生成|134</v>
      </c>
    </row>
    <row r="296" customFormat="false" ht="17.15" hidden="false" customHeight="false" outlineLevel="0" collapsed="false">
      <c r="A296" s="16" t="n">
        <f aca="false">RANK(G296,$G$2:$G$2501)+COUNTIF($G$2:G296,G296)-1</f>
        <v>295</v>
      </c>
      <c r="B296" s="11" t="s">
        <v>986</v>
      </c>
      <c r="C296" s="11" t="s">
        <v>548</v>
      </c>
      <c r="D296" s="5" t="s">
        <v>56</v>
      </c>
      <c r="E296" s="5" t="s">
        <v>57</v>
      </c>
      <c r="F296" s="5"/>
      <c r="G296" s="22" t="n">
        <f aca="false">ROUND(SUM(I296:P296),3)</f>
        <v>73.562</v>
      </c>
      <c r="H296" s="5" t="str">
        <f aca="false">IF(G296&gt;=評分方法!$C$16,"優先評估",IF(G296&gt;=評分方法!$C$17,"列入候選",IF(G296&gt;=評分方法!$C$18,"特定情境","不建議")))</f>
        <v>列入候選</v>
      </c>
      <c r="I296" s="15" t="n">
        <f aca="false">AE296*評分方法!$C$5</f>
        <v>25.5</v>
      </c>
      <c r="J296" s="15" t="n">
        <f aca="false">AF296*評分方法!$C$6</f>
        <v>0</v>
      </c>
      <c r="K296" s="15" t="n">
        <f aca="false">AG296*評分方法!$C$7</f>
        <v>15</v>
      </c>
      <c r="L296" s="15" t="n">
        <f aca="false">AH296*評分方法!$C$8</f>
        <v>13.05</v>
      </c>
      <c r="M296" s="15" t="n">
        <f aca="false">AI296*評分方法!$C$9</f>
        <v>10</v>
      </c>
      <c r="N296" s="15" t="n">
        <f aca="false">AJ296*評分方法!$C$10</f>
        <v>7.512</v>
      </c>
      <c r="O296" s="15" t="n">
        <f aca="false">AK296*評分方法!$C$11</f>
        <v>2.5</v>
      </c>
      <c r="P296" s="15" t="n">
        <f aca="false">AL296*評分方法!$C$12</f>
        <v>0</v>
      </c>
      <c r="Q296" s="6" t="n">
        <v>1166861</v>
      </c>
      <c r="R296" s="6" t="n">
        <v>6991520256</v>
      </c>
      <c r="S296" s="11" t="s">
        <v>254</v>
      </c>
      <c r="T296" s="11" t="s">
        <v>239</v>
      </c>
      <c r="U296" s="5" t="s">
        <v>240</v>
      </c>
      <c r="V296" s="11" t="s">
        <v>324</v>
      </c>
      <c r="W296" s="5" t="s">
        <v>205</v>
      </c>
      <c r="X296" s="5" t="s">
        <v>242</v>
      </c>
      <c r="Y296" s="5"/>
      <c r="Z296" s="5"/>
      <c r="AA296" s="11" t="s">
        <v>155</v>
      </c>
      <c r="AB296" s="5" t="s">
        <v>245</v>
      </c>
      <c r="AC296" s="5"/>
      <c r="AD296" s="11" t="s">
        <v>987</v>
      </c>
      <c r="AE296" s="23" t="n">
        <v>0.85</v>
      </c>
      <c r="AF296" s="23" t="n">
        <v>0</v>
      </c>
      <c r="AG296" s="23" t="n">
        <v>1</v>
      </c>
      <c r="AH296" s="23" t="n">
        <v>0.87</v>
      </c>
      <c r="AI296" s="23" t="n">
        <v>1</v>
      </c>
      <c r="AJ296" s="23" t="n">
        <v>0.7512</v>
      </c>
      <c r="AK296" s="23" t="n">
        <v>0.5</v>
      </c>
      <c r="AL296" s="23" t="n">
        <v>0</v>
      </c>
      <c r="AM296" s="16" t="n">
        <f aca="false">COUNTIFS($D$2:$D$2501,D296,$G$2:$G$2501,"&gt;"&amp;G296)+COUNTIFS($D$2:D296,D296,$G$2:G296,G296)</f>
        <v>135</v>
      </c>
      <c r="AN296" s="5" t="str">
        <f aca="false">D296&amp;"|"&amp;AM296</f>
        <v>分析與報告生成|135</v>
      </c>
    </row>
    <row r="297" customFormat="false" ht="17.15" hidden="false" customHeight="false" outlineLevel="0" collapsed="false">
      <c r="A297" s="16" t="n">
        <f aca="false">RANK(G297,$G$2:$G$2501)+COUNTIF($G$2:G297,G297)-1</f>
        <v>296</v>
      </c>
      <c r="B297" s="11" t="s">
        <v>988</v>
      </c>
      <c r="C297" s="11" t="s">
        <v>989</v>
      </c>
      <c r="D297" s="5" t="s">
        <v>56</v>
      </c>
      <c r="E297" s="5" t="s">
        <v>57</v>
      </c>
      <c r="F297" s="5"/>
      <c r="G297" s="22" t="n">
        <f aca="false">ROUND(SUM(I297:P297),3)</f>
        <v>73.556</v>
      </c>
      <c r="H297" s="5" t="str">
        <f aca="false">IF(G297&gt;=評分方法!$C$16,"優先評估",IF(G297&gt;=評分方法!$C$17,"列入候選",IF(G297&gt;=評分方法!$C$18,"特定情境","不建議")))</f>
        <v>列入候選</v>
      </c>
      <c r="I297" s="15" t="n">
        <f aca="false">AE297*評分方法!$C$5</f>
        <v>25.5</v>
      </c>
      <c r="J297" s="15" t="n">
        <f aca="false">AF297*評分方法!$C$6</f>
        <v>0</v>
      </c>
      <c r="K297" s="15" t="n">
        <f aca="false">AG297*評分方法!$C$7</f>
        <v>10.05</v>
      </c>
      <c r="L297" s="15" t="n">
        <f aca="false">AH297*評分方法!$C$8</f>
        <v>13.05</v>
      </c>
      <c r="M297" s="15" t="n">
        <f aca="false">AI297*評分方法!$C$9</f>
        <v>10</v>
      </c>
      <c r="N297" s="15" t="n">
        <f aca="false">AJ297*評分方法!$C$10</f>
        <v>6.956</v>
      </c>
      <c r="O297" s="15" t="n">
        <f aca="false">AK297*評分方法!$C$11</f>
        <v>5</v>
      </c>
      <c r="P297" s="15" t="n">
        <f aca="false">AL297*評分方法!$C$12</f>
        <v>3</v>
      </c>
      <c r="Q297" s="6" t="n">
        <v>897096</v>
      </c>
      <c r="R297" s="6" t="n">
        <v>4647450147</v>
      </c>
      <c r="S297" s="11" t="s">
        <v>254</v>
      </c>
      <c r="T297" s="11" t="s">
        <v>239</v>
      </c>
      <c r="U297" s="5" t="s">
        <v>240</v>
      </c>
      <c r="V297" s="11" t="s">
        <v>333</v>
      </c>
      <c r="W297" s="5" t="s">
        <v>207</v>
      </c>
      <c r="X297" s="5" t="s">
        <v>371</v>
      </c>
      <c r="Y297" s="11" t="s">
        <v>425</v>
      </c>
      <c r="Z297" s="11" t="s">
        <v>244</v>
      </c>
      <c r="AA297" s="11" t="s">
        <v>156</v>
      </c>
      <c r="AB297" s="5" t="s">
        <v>245</v>
      </c>
      <c r="AC297" s="5" t="s">
        <v>246</v>
      </c>
      <c r="AD297" s="11" t="s">
        <v>990</v>
      </c>
      <c r="AE297" s="23" t="n">
        <v>0.85</v>
      </c>
      <c r="AF297" s="23" t="n">
        <v>0</v>
      </c>
      <c r="AG297" s="23" t="n">
        <v>0.67</v>
      </c>
      <c r="AH297" s="23" t="n">
        <v>0.87</v>
      </c>
      <c r="AI297" s="23" t="n">
        <v>1</v>
      </c>
      <c r="AJ297" s="23" t="n">
        <v>0.6956</v>
      </c>
      <c r="AK297" s="23" t="n">
        <v>1</v>
      </c>
      <c r="AL297" s="23" t="n">
        <v>0.6</v>
      </c>
      <c r="AM297" s="16" t="n">
        <f aca="false">COUNTIFS($D$2:$D$2501,D297,$G$2:$G$2501,"&gt;"&amp;G297)+COUNTIFS($D$2:D297,D297,$G$2:G297,G297)</f>
        <v>136</v>
      </c>
      <c r="AN297" s="5" t="str">
        <f aca="false">D297&amp;"|"&amp;AM297</f>
        <v>分析與報告生成|136</v>
      </c>
    </row>
    <row r="298" customFormat="false" ht="17.15" hidden="false" customHeight="false" outlineLevel="0" collapsed="false">
      <c r="A298" s="16" t="n">
        <f aca="false">RANK(G298,$G$2:$G$2501)+COUNTIF($G$2:G298,G298)-1</f>
        <v>297</v>
      </c>
      <c r="B298" s="11" t="s">
        <v>991</v>
      </c>
      <c r="C298" s="11" t="s">
        <v>338</v>
      </c>
      <c r="D298" s="5" t="s">
        <v>56</v>
      </c>
      <c r="E298" s="5" t="s">
        <v>57</v>
      </c>
      <c r="F298" s="5"/>
      <c r="G298" s="22" t="n">
        <f aca="false">ROUND(SUM(I298:P298),3)</f>
        <v>73.51</v>
      </c>
      <c r="H298" s="5" t="str">
        <f aca="false">IF(G298&gt;=評分方法!$C$16,"優先評估",IF(G298&gt;=評分方法!$C$17,"列入候選",IF(G298&gt;=評分方法!$C$18,"特定情境","不建議")))</f>
        <v>列入候選</v>
      </c>
      <c r="I298" s="15" t="n">
        <f aca="false">AE298*評分方法!$C$5</f>
        <v>25.5</v>
      </c>
      <c r="J298" s="15" t="n">
        <f aca="false">AF298*評分方法!$C$6</f>
        <v>0</v>
      </c>
      <c r="K298" s="15" t="n">
        <f aca="false">AG298*評分方法!$C$7</f>
        <v>15</v>
      </c>
      <c r="L298" s="15" t="n">
        <f aca="false">AH298*評分方法!$C$8</f>
        <v>13.05</v>
      </c>
      <c r="M298" s="15" t="n">
        <f aca="false">AI298*評分方法!$C$9</f>
        <v>10</v>
      </c>
      <c r="N298" s="15" t="n">
        <f aca="false">AJ298*評分方法!$C$10</f>
        <v>0.96</v>
      </c>
      <c r="O298" s="15" t="n">
        <f aca="false">AK298*評分方法!$C$11</f>
        <v>4</v>
      </c>
      <c r="P298" s="15" t="n">
        <f aca="false">AL298*評分方法!$C$12</f>
        <v>5</v>
      </c>
      <c r="Q298" s="6" t="n">
        <v>151547</v>
      </c>
      <c r="R298" s="6" t="n">
        <v>3429006336</v>
      </c>
      <c r="S298" s="11" t="s">
        <v>254</v>
      </c>
      <c r="T298" s="11" t="s">
        <v>239</v>
      </c>
      <c r="U298" s="5" t="s">
        <v>240</v>
      </c>
      <c r="V298" s="11" t="s">
        <v>333</v>
      </c>
      <c r="W298" s="5" t="s">
        <v>205</v>
      </c>
      <c r="X298" s="5" t="s">
        <v>284</v>
      </c>
      <c r="Y298" s="11" t="s">
        <v>337</v>
      </c>
      <c r="Z298" s="11" t="s">
        <v>244</v>
      </c>
      <c r="AA298" s="11" t="s">
        <v>155</v>
      </c>
      <c r="AB298" s="5" t="s">
        <v>961</v>
      </c>
      <c r="AC298" s="5" t="s">
        <v>962</v>
      </c>
      <c r="AD298" s="11" t="s">
        <v>992</v>
      </c>
      <c r="AE298" s="23" t="n">
        <v>0.85</v>
      </c>
      <c r="AF298" s="23" t="n">
        <v>0</v>
      </c>
      <c r="AG298" s="23" t="n">
        <v>1</v>
      </c>
      <c r="AH298" s="23" t="n">
        <v>0.87</v>
      </c>
      <c r="AI298" s="23" t="n">
        <v>1</v>
      </c>
      <c r="AJ298" s="23" t="n">
        <v>0.096</v>
      </c>
      <c r="AK298" s="23" t="n">
        <v>0.8</v>
      </c>
      <c r="AL298" s="23" t="n">
        <v>1</v>
      </c>
      <c r="AM298" s="16" t="n">
        <f aca="false">COUNTIFS($D$2:$D$2501,D298,$G$2:$G$2501,"&gt;"&amp;G298)+COUNTIFS($D$2:D298,D298,$G$2:G298,G298)</f>
        <v>137</v>
      </c>
      <c r="AN298" s="5" t="str">
        <f aca="false">D298&amp;"|"&amp;AM298</f>
        <v>分析與報告生成|137</v>
      </c>
    </row>
    <row r="299" customFormat="false" ht="17.15" hidden="false" customHeight="false" outlineLevel="0" collapsed="false">
      <c r="A299" s="16" t="n">
        <f aca="false">RANK(G299,$G$2:$G$2501)+COUNTIF($G$2:G299,G299)-1</f>
        <v>298</v>
      </c>
      <c r="B299" s="11" t="s">
        <v>993</v>
      </c>
      <c r="C299" s="11" t="s">
        <v>299</v>
      </c>
      <c r="D299" s="5" t="s">
        <v>68</v>
      </c>
      <c r="E299" s="11" t="s">
        <v>69</v>
      </c>
      <c r="F299" s="5"/>
      <c r="G299" s="22" t="n">
        <f aca="false">ROUND(SUM(I299:P299),3)</f>
        <v>73.464</v>
      </c>
      <c r="H299" s="5" t="str">
        <f aca="false">IF(G299&gt;=評分方法!$C$16,"優先評估",IF(G299&gt;=評分方法!$C$17,"列入候選",IF(G299&gt;=評分方法!$C$18,"特定情境","不建議")))</f>
        <v>列入候選</v>
      </c>
      <c r="I299" s="15" t="n">
        <f aca="false">AE299*評分方法!$C$5</f>
        <v>21</v>
      </c>
      <c r="J299" s="15" t="n">
        <f aca="false">AF299*評分方法!$C$6</f>
        <v>0</v>
      </c>
      <c r="K299" s="15" t="n">
        <f aca="false">AG299*評分方法!$C$7</f>
        <v>15</v>
      </c>
      <c r="L299" s="15" t="n">
        <f aca="false">AH299*評分方法!$C$8</f>
        <v>15</v>
      </c>
      <c r="M299" s="15" t="n">
        <f aca="false">AI299*評分方法!$C$9</f>
        <v>10</v>
      </c>
      <c r="N299" s="15" t="n">
        <f aca="false">AJ299*評分方法!$C$10</f>
        <v>8.464</v>
      </c>
      <c r="O299" s="15" t="n">
        <f aca="false">AK299*評分方法!$C$11</f>
        <v>2.5</v>
      </c>
      <c r="P299" s="15" t="n">
        <f aca="false">AL299*評分方法!$C$12</f>
        <v>1.5</v>
      </c>
      <c r="Q299" s="6" t="n">
        <v>2157690</v>
      </c>
      <c r="R299" s="6" t="n">
        <v>805280</v>
      </c>
      <c r="S299" s="11" t="s">
        <v>238</v>
      </c>
      <c r="T299" s="11" t="s">
        <v>239</v>
      </c>
      <c r="U299" s="5" t="s">
        <v>240</v>
      </c>
      <c r="V299" s="11" t="s">
        <v>261</v>
      </c>
      <c r="W299" s="5" t="s">
        <v>205</v>
      </c>
      <c r="X299" s="5" t="s">
        <v>255</v>
      </c>
      <c r="Y299" s="5"/>
      <c r="Z299" s="5"/>
      <c r="AA299" s="11" t="s">
        <v>158</v>
      </c>
      <c r="AB299" s="5" t="s">
        <v>245</v>
      </c>
      <c r="AC299" s="5"/>
      <c r="AD299" s="11" t="s">
        <v>994</v>
      </c>
      <c r="AE299" s="23" t="n">
        <v>0.7</v>
      </c>
      <c r="AF299" s="23" t="n">
        <v>0</v>
      </c>
      <c r="AG299" s="23" t="n">
        <v>1</v>
      </c>
      <c r="AH299" s="23" t="n">
        <v>1</v>
      </c>
      <c r="AI299" s="23" t="n">
        <v>1</v>
      </c>
      <c r="AJ299" s="23" t="n">
        <v>0.8464</v>
      </c>
      <c r="AK299" s="23" t="n">
        <v>0.5</v>
      </c>
      <c r="AL299" s="23" t="n">
        <v>0.3</v>
      </c>
      <c r="AM299" s="16" t="n">
        <f aca="false">COUNTIFS($D$2:$D$2501,D299,$G$2:$G$2501,"&gt;"&amp;G299)+COUNTIFS($D$2:D299,D299,$G$2:G299,G299)</f>
        <v>19</v>
      </c>
      <c r="AN299" s="5" t="str">
        <f aca="false">D299&amp;"|"&amp;AM299</f>
        <v>時序異常偵測|19</v>
      </c>
    </row>
    <row r="300" customFormat="false" ht="17.15" hidden="false" customHeight="false" outlineLevel="0" collapsed="false">
      <c r="A300" s="16" t="n">
        <f aca="false">RANK(G300,$G$2:$G$2501)+COUNTIF($G$2:G300,G300)-1</f>
        <v>299</v>
      </c>
      <c r="B300" s="11" t="s">
        <v>995</v>
      </c>
      <c r="C300" s="11" t="s">
        <v>461</v>
      </c>
      <c r="D300" s="5" t="s">
        <v>56</v>
      </c>
      <c r="E300" s="5" t="s">
        <v>57</v>
      </c>
      <c r="F300" s="5"/>
      <c r="G300" s="22" t="n">
        <f aca="false">ROUND(SUM(I300:P300),3)</f>
        <v>73.378</v>
      </c>
      <c r="H300" s="5" t="str">
        <f aca="false">IF(G300&gt;=評分方法!$C$16,"優先評估",IF(G300&gt;=評分方法!$C$17,"列入候選",IF(G300&gt;=評分方法!$C$18,"特定情境","不建議")))</f>
        <v>列入候選</v>
      </c>
      <c r="I300" s="15" t="n">
        <f aca="false">AE300*評分方法!$C$5</f>
        <v>25.5</v>
      </c>
      <c r="J300" s="15" t="n">
        <f aca="false">AF300*評分方法!$C$6</f>
        <v>0</v>
      </c>
      <c r="K300" s="15" t="n">
        <f aca="false">AG300*評分方法!$C$7</f>
        <v>15</v>
      </c>
      <c r="L300" s="15" t="n">
        <f aca="false">AH300*評分方法!$C$8</f>
        <v>13.05</v>
      </c>
      <c r="M300" s="15" t="n">
        <f aca="false">AI300*評分方法!$C$9</f>
        <v>6</v>
      </c>
      <c r="N300" s="15" t="n">
        <f aca="false">AJ300*評分方法!$C$10</f>
        <v>4.828</v>
      </c>
      <c r="O300" s="15" t="n">
        <f aca="false">AK300*評分方法!$C$11</f>
        <v>4</v>
      </c>
      <c r="P300" s="15" t="n">
        <f aca="false">AL300*評分方法!$C$12</f>
        <v>5</v>
      </c>
      <c r="Q300" s="6" t="n">
        <v>526362</v>
      </c>
      <c r="R300" s="6" t="n">
        <v>1596625904</v>
      </c>
      <c r="S300" s="11" t="s">
        <v>254</v>
      </c>
      <c r="T300" s="11" t="s">
        <v>185</v>
      </c>
      <c r="U300" s="5" t="s">
        <v>260</v>
      </c>
      <c r="V300" s="11" t="s">
        <v>261</v>
      </c>
      <c r="W300" s="5" t="s">
        <v>205</v>
      </c>
      <c r="X300" s="5" t="s">
        <v>284</v>
      </c>
      <c r="Y300" s="11" t="s">
        <v>551</v>
      </c>
      <c r="Z300" s="11" t="s">
        <v>270</v>
      </c>
      <c r="AA300" s="11" t="s">
        <v>156</v>
      </c>
      <c r="AB300" s="5" t="s">
        <v>245</v>
      </c>
      <c r="AC300" s="5" t="s">
        <v>262</v>
      </c>
      <c r="AD300" s="11" t="s">
        <v>996</v>
      </c>
      <c r="AE300" s="23" t="n">
        <v>0.85</v>
      </c>
      <c r="AF300" s="23" t="n">
        <v>0</v>
      </c>
      <c r="AG300" s="23" t="n">
        <v>1</v>
      </c>
      <c r="AH300" s="23" t="n">
        <v>0.87</v>
      </c>
      <c r="AI300" s="23" t="n">
        <v>0.6</v>
      </c>
      <c r="AJ300" s="23" t="n">
        <v>0.4828</v>
      </c>
      <c r="AK300" s="23" t="n">
        <v>0.8</v>
      </c>
      <c r="AL300" s="23" t="n">
        <v>1</v>
      </c>
      <c r="AM300" s="16" t="n">
        <f aca="false">COUNTIFS($D$2:$D$2501,D300,$G$2:$G$2501,"&gt;"&amp;G300)+COUNTIFS($D$2:D300,D300,$G$2:G300,G300)</f>
        <v>138</v>
      </c>
      <c r="AN300" s="5" t="str">
        <f aca="false">D300&amp;"|"&amp;AM300</f>
        <v>分析與報告生成|138</v>
      </c>
    </row>
    <row r="301" customFormat="false" ht="17.15" hidden="false" customHeight="false" outlineLevel="0" collapsed="false">
      <c r="A301" s="16" t="n">
        <f aca="false">RANK(G301,$G$2:$G$2501)+COUNTIF($G$2:G301,G301)-1</f>
        <v>300</v>
      </c>
      <c r="B301" s="11" t="s">
        <v>997</v>
      </c>
      <c r="C301" s="11" t="s">
        <v>998</v>
      </c>
      <c r="D301" s="5" t="s">
        <v>56</v>
      </c>
      <c r="E301" s="5" t="s">
        <v>57</v>
      </c>
      <c r="F301" s="5"/>
      <c r="G301" s="22" t="n">
        <f aca="false">ROUND(SUM(I301:P301),3)</f>
        <v>73.372</v>
      </c>
      <c r="H301" s="5" t="str">
        <f aca="false">IF(G301&gt;=評分方法!$C$16,"優先評估",IF(G301&gt;=評分方法!$C$17,"列入候選",IF(G301&gt;=評分方法!$C$18,"特定情境","不建議")))</f>
        <v>列入候選</v>
      </c>
      <c r="I301" s="15" t="n">
        <f aca="false">AE301*評分方法!$C$5</f>
        <v>24</v>
      </c>
      <c r="J301" s="15" t="n">
        <f aca="false">AF301*評分方法!$C$6</f>
        <v>0</v>
      </c>
      <c r="K301" s="15" t="n">
        <f aca="false">AG301*評分方法!$C$7</f>
        <v>10.05</v>
      </c>
      <c r="L301" s="15" t="n">
        <f aca="false">AH301*評分方法!$C$8</f>
        <v>13.05</v>
      </c>
      <c r="M301" s="15" t="n">
        <f aca="false">AI301*評分方法!$C$9</f>
        <v>10</v>
      </c>
      <c r="N301" s="15" t="n">
        <f aca="false">AJ301*評分方法!$C$10</f>
        <v>8.272</v>
      </c>
      <c r="O301" s="15" t="n">
        <f aca="false">AK301*評分方法!$C$11</f>
        <v>5</v>
      </c>
      <c r="P301" s="15" t="n">
        <f aca="false">AL301*評分方法!$C$12</f>
        <v>3</v>
      </c>
      <c r="Q301" s="6" t="n">
        <v>1917965</v>
      </c>
      <c r="R301" s="6" t="n">
        <v>7518069290</v>
      </c>
      <c r="S301" s="11" t="s">
        <v>254</v>
      </c>
      <c r="T301" s="11" t="s">
        <v>239</v>
      </c>
      <c r="U301" s="5" t="s">
        <v>240</v>
      </c>
      <c r="V301" s="11" t="s">
        <v>333</v>
      </c>
      <c r="W301" s="5" t="s">
        <v>207</v>
      </c>
      <c r="X301" s="5" t="s">
        <v>371</v>
      </c>
      <c r="Y301" s="11" t="s">
        <v>422</v>
      </c>
      <c r="Z301" s="11" t="s">
        <v>244</v>
      </c>
      <c r="AA301" s="11" t="s">
        <v>157</v>
      </c>
      <c r="AB301" s="5" t="s">
        <v>245</v>
      </c>
      <c r="AC301" s="5" t="s">
        <v>246</v>
      </c>
      <c r="AD301" s="11" t="s">
        <v>999</v>
      </c>
      <c r="AE301" s="23" t="n">
        <v>0.8</v>
      </c>
      <c r="AF301" s="23" t="n">
        <v>0</v>
      </c>
      <c r="AG301" s="23" t="n">
        <v>0.67</v>
      </c>
      <c r="AH301" s="23" t="n">
        <v>0.87</v>
      </c>
      <c r="AI301" s="23" t="n">
        <v>1</v>
      </c>
      <c r="AJ301" s="23" t="n">
        <v>0.8272</v>
      </c>
      <c r="AK301" s="23" t="n">
        <v>1</v>
      </c>
      <c r="AL301" s="23" t="n">
        <v>0.6</v>
      </c>
      <c r="AM301" s="16" t="n">
        <f aca="false">COUNTIFS($D$2:$D$2501,D301,$G$2:$G$2501,"&gt;"&amp;G301)+COUNTIFS($D$2:D301,D301,$G$2:G301,G301)</f>
        <v>139</v>
      </c>
      <c r="AN301" s="5" t="str">
        <f aca="false">D301&amp;"|"&amp;AM301</f>
        <v>分析與報告生成|139</v>
      </c>
    </row>
    <row r="302" customFormat="false" ht="17.15" hidden="false" customHeight="false" outlineLevel="0" collapsed="false">
      <c r="A302" s="16" t="n">
        <f aca="false">RANK(G302,$G$2:$G$2501)+COUNTIF($G$2:G302,G302)-1</f>
        <v>301</v>
      </c>
      <c r="B302" s="11" t="s">
        <v>1000</v>
      </c>
      <c r="C302" s="11" t="s">
        <v>299</v>
      </c>
      <c r="D302" s="5" t="s">
        <v>56</v>
      </c>
      <c r="E302" s="5" t="s">
        <v>57</v>
      </c>
      <c r="F302" s="5"/>
      <c r="G302" s="22" t="n">
        <f aca="false">ROUND(SUM(I302:P302),3)</f>
        <v>73.362</v>
      </c>
      <c r="H302" s="5" t="str">
        <f aca="false">IF(G302&gt;=評分方法!$C$16,"優先評估",IF(G302&gt;=評分方法!$C$17,"列入候選",IF(G302&gt;=評分方法!$C$18,"特定情境","不建議")))</f>
        <v>列入候選</v>
      </c>
      <c r="I302" s="15" t="n">
        <f aca="false">AE302*評分方法!$C$5</f>
        <v>25.5</v>
      </c>
      <c r="J302" s="15" t="n">
        <f aca="false">AF302*評分方法!$C$6</f>
        <v>0</v>
      </c>
      <c r="K302" s="15" t="n">
        <f aca="false">AG302*評分方法!$C$7</f>
        <v>15</v>
      </c>
      <c r="L302" s="15" t="n">
        <f aca="false">AH302*評分方法!$C$8</f>
        <v>13.05</v>
      </c>
      <c r="M302" s="15" t="n">
        <f aca="false">AI302*評分方法!$C$9</f>
        <v>10</v>
      </c>
      <c r="N302" s="15" t="n">
        <f aca="false">AJ302*評分方法!$C$10</f>
        <v>1.812</v>
      </c>
      <c r="O302" s="15" t="n">
        <f aca="false">AK302*評分方法!$C$11</f>
        <v>5</v>
      </c>
      <c r="P302" s="15" t="n">
        <f aca="false">AL302*評分方法!$C$12</f>
        <v>3</v>
      </c>
      <c r="Q302" s="6" t="n">
        <v>197122</v>
      </c>
      <c r="R302" s="6" t="n">
        <v>3482503680</v>
      </c>
      <c r="S302" s="11" t="s">
        <v>254</v>
      </c>
      <c r="T302" s="11" t="s">
        <v>239</v>
      </c>
      <c r="U302" s="5" t="s">
        <v>240</v>
      </c>
      <c r="V302" s="11" t="s">
        <v>261</v>
      </c>
      <c r="W302" s="5" t="s">
        <v>205</v>
      </c>
      <c r="X302" s="5" t="s">
        <v>371</v>
      </c>
      <c r="Y302" s="5"/>
      <c r="Z302" s="5"/>
      <c r="AA302" s="11" t="s">
        <v>155</v>
      </c>
      <c r="AB302" s="5" t="s">
        <v>245</v>
      </c>
      <c r="AC302" s="5"/>
      <c r="AD302" s="11" t="s">
        <v>1001</v>
      </c>
      <c r="AE302" s="23" t="n">
        <v>0.85</v>
      </c>
      <c r="AF302" s="23" t="n">
        <v>0</v>
      </c>
      <c r="AG302" s="23" t="n">
        <v>1</v>
      </c>
      <c r="AH302" s="23" t="n">
        <v>0.87</v>
      </c>
      <c r="AI302" s="23" t="n">
        <v>1</v>
      </c>
      <c r="AJ302" s="23" t="n">
        <v>0.1812</v>
      </c>
      <c r="AK302" s="23" t="n">
        <v>1</v>
      </c>
      <c r="AL302" s="23" t="n">
        <v>0.6</v>
      </c>
      <c r="AM302" s="16" t="n">
        <f aca="false">COUNTIFS($D$2:$D$2501,D302,$G$2:$G$2501,"&gt;"&amp;G302)+COUNTIFS($D$2:D302,D302,$G$2:G302,G302)</f>
        <v>140</v>
      </c>
      <c r="AN302" s="5" t="str">
        <f aca="false">D302&amp;"|"&amp;AM302</f>
        <v>分析與報告生成|140</v>
      </c>
    </row>
    <row r="303" customFormat="false" ht="17.15" hidden="false" customHeight="false" outlineLevel="0" collapsed="false">
      <c r="A303" s="16" t="n">
        <f aca="false">RANK(G303,$G$2:$G$2501)+COUNTIF($G$2:G303,G303)-1</f>
        <v>302</v>
      </c>
      <c r="B303" s="11" t="s">
        <v>1002</v>
      </c>
      <c r="C303" s="11" t="s">
        <v>368</v>
      </c>
      <c r="D303" s="5" t="s">
        <v>56</v>
      </c>
      <c r="E303" s="5" t="s">
        <v>57</v>
      </c>
      <c r="F303" s="5"/>
      <c r="G303" s="22" t="n">
        <f aca="false">ROUND(SUM(I303:P303),3)</f>
        <v>73.358</v>
      </c>
      <c r="H303" s="5" t="str">
        <f aca="false">IF(G303&gt;=評分方法!$C$16,"優先評估",IF(G303&gt;=評分方法!$C$17,"列入候選",IF(G303&gt;=評分方法!$C$18,"特定情境","不建議")))</f>
        <v>列入候選</v>
      </c>
      <c r="I303" s="15" t="n">
        <f aca="false">AE303*評分方法!$C$5</f>
        <v>25.5</v>
      </c>
      <c r="J303" s="15" t="n">
        <f aca="false">AF303*評分方法!$C$6</f>
        <v>0</v>
      </c>
      <c r="K303" s="15" t="n">
        <f aca="false">AG303*評分方法!$C$7</f>
        <v>15</v>
      </c>
      <c r="L303" s="15" t="n">
        <f aca="false">AH303*評分方法!$C$8</f>
        <v>13.05</v>
      </c>
      <c r="M303" s="15" t="n">
        <f aca="false">AI303*評分方法!$C$9</f>
        <v>6</v>
      </c>
      <c r="N303" s="15" t="n">
        <f aca="false">AJ303*評分方法!$C$10</f>
        <v>8.308</v>
      </c>
      <c r="O303" s="15" t="n">
        <f aca="false">AK303*評分方法!$C$11</f>
        <v>2.5</v>
      </c>
      <c r="P303" s="15" t="n">
        <f aca="false">AL303*評分方法!$C$12</f>
        <v>3</v>
      </c>
      <c r="Q303" s="6" t="n">
        <v>1939432</v>
      </c>
      <c r="R303" s="6" t="n">
        <v>5439438272</v>
      </c>
      <c r="S303" s="11" t="s">
        <v>254</v>
      </c>
      <c r="T303" s="11" t="s">
        <v>658</v>
      </c>
      <c r="U303" s="5" t="s">
        <v>260</v>
      </c>
      <c r="V303" s="11" t="s">
        <v>261</v>
      </c>
      <c r="W303" s="5" t="s">
        <v>205</v>
      </c>
      <c r="X303" s="5" t="s">
        <v>371</v>
      </c>
      <c r="Y303" s="11" t="s">
        <v>1003</v>
      </c>
      <c r="Z303" s="11" t="s">
        <v>270</v>
      </c>
      <c r="AA303" s="11" t="s">
        <v>156</v>
      </c>
      <c r="AB303" s="5" t="s">
        <v>245</v>
      </c>
      <c r="AC303" s="5" t="s">
        <v>262</v>
      </c>
      <c r="AD303" s="11" t="s">
        <v>1004</v>
      </c>
      <c r="AE303" s="23" t="n">
        <v>0.85</v>
      </c>
      <c r="AF303" s="23" t="n">
        <v>0</v>
      </c>
      <c r="AG303" s="23" t="n">
        <v>1</v>
      </c>
      <c r="AH303" s="23" t="n">
        <v>0.87</v>
      </c>
      <c r="AI303" s="23" t="n">
        <v>0.6</v>
      </c>
      <c r="AJ303" s="23" t="n">
        <v>0.8308</v>
      </c>
      <c r="AK303" s="23" t="n">
        <v>0.5</v>
      </c>
      <c r="AL303" s="23" t="n">
        <v>0.6</v>
      </c>
      <c r="AM303" s="16" t="n">
        <f aca="false">COUNTIFS($D$2:$D$2501,D303,$G$2:$G$2501,"&gt;"&amp;G303)+COUNTIFS($D$2:D303,D303,$G$2:G303,G303)</f>
        <v>141</v>
      </c>
      <c r="AN303" s="5" t="str">
        <f aca="false">D303&amp;"|"&amp;AM303</f>
        <v>分析與報告生成|141</v>
      </c>
    </row>
    <row r="304" customFormat="false" ht="17.15" hidden="false" customHeight="false" outlineLevel="0" collapsed="false">
      <c r="A304" s="16" t="n">
        <f aca="false">RANK(G304,$G$2:$G$2501)+COUNTIF($G$2:G304,G304)-1</f>
        <v>303</v>
      </c>
      <c r="B304" s="11" t="s">
        <v>1005</v>
      </c>
      <c r="C304" s="11" t="s">
        <v>282</v>
      </c>
      <c r="D304" s="5" t="s">
        <v>54</v>
      </c>
      <c r="E304" s="5" t="s">
        <v>55</v>
      </c>
      <c r="F304" s="5"/>
      <c r="G304" s="22" t="n">
        <f aca="false">ROUND(SUM(I304:P304),3)</f>
        <v>73.32</v>
      </c>
      <c r="H304" s="5" t="str">
        <f aca="false">IF(G304&gt;=評分方法!$C$16,"優先評估",IF(G304&gt;=評分方法!$C$17,"列入候選",IF(G304&gt;=評分方法!$C$18,"特定情境","不建議")))</f>
        <v>列入候選</v>
      </c>
      <c r="I304" s="15" t="n">
        <f aca="false">AE304*評分方法!$C$5</f>
        <v>27</v>
      </c>
      <c r="J304" s="15" t="n">
        <f aca="false">AF304*評分方法!$C$6</f>
        <v>0</v>
      </c>
      <c r="K304" s="15" t="n">
        <f aca="false">AG304*評分方法!$C$7</f>
        <v>15</v>
      </c>
      <c r="L304" s="15" t="n">
        <f aca="false">AH304*評分方法!$C$8</f>
        <v>15</v>
      </c>
      <c r="M304" s="15" t="n">
        <f aca="false">AI304*評分方法!$C$9</f>
        <v>10</v>
      </c>
      <c r="N304" s="15" t="n">
        <f aca="false">AJ304*評分方法!$C$10</f>
        <v>2.32</v>
      </c>
      <c r="O304" s="15" t="n">
        <f aca="false">AK304*評分方法!$C$11</f>
        <v>2.5</v>
      </c>
      <c r="P304" s="15" t="n">
        <f aca="false">AL304*評分方法!$C$12</f>
        <v>1.5</v>
      </c>
      <c r="Q304" s="6" t="n">
        <v>234889</v>
      </c>
      <c r="R304" s="6" t="n">
        <v>134734080</v>
      </c>
      <c r="S304" s="11" t="s">
        <v>238</v>
      </c>
      <c r="T304" s="11" t="s">
        <v>239</v>
      </c>
      <c r="U304" s="5" t="s">
        <v>240</v>
      </c>
      <c r="V304" s="11" t="s">
        <v>283</v>
      </c>
      <c r="W304" s="5" t="s">
        <v>205</v>
      </c>
      <c r="X304" s="5" t="s">
        <v>255</v>
      </c>
      <c r="Y304" s="5"/>
      <c r="Z304" s="5"/>
      <c r="AA304" s="11" t="s">
        <v>152</v>
      </c>
      <c r="AB304" s="5" t="s">
        <v>245</v>
      </c>
      <c r="AC304" s="5"/>
      <c r="AD304" s="11" t="s">
        <v>1006</v>
      </c>
      <c r="AE304" s="23" t="n">
        <v>0.9</v>
      </c>
      <c r="AF304" s="23" t="n">
        <v>0</v>
      </c>
      <c r="AG304" s="23" t="n">
        <v>1</v>
      </c>
      <c r="AH304" s="23" t="n">
        <v>1</v>
      </c>
      <c r="AI304" s="23" t="n">
        <v>1</v>
      </c>
      <c r="AJ304" s="23" t="n">
        <v>0.232</v>
      </c>
      <c r="AK304" s="23" t="n">
        <v>0.5</v>
      </c>
      <c r="AL304" s="23" t="n">
        <v>0.3</v>
      </c>
      <c r="AM304" s="16" t="n">
        <f aca="false">COUNTIFS($D$2:$D$2501,D304,$G$2:$G$2501,"&gt;"&amp;G304)+COUNTIFS($D$2:D304,D304,$G$2:G304,G304)</f>
        <v>89</v>
      </c>
      <c r="AN304" s="5" t="str">
        <f aca="false">D304&amp;"|"&amp;AM304</f>
        <v>檢索與情資關聯|89</v>
      </c>
    </row>
    <row r="305" customFormat="false" ht="17.15" hidden="false" customHeight="false" outlineLevel="0" collapsed="false">
      <c r="A305" s="16" t="n">
        <f aca="false">RANK(G305,$G$2:$G$2501)+COUNTIF($G$2:G305,G305)-1</f>
        <v>304</v>
      </c>
      <c r="B305" s="11" t="s">
        <v>801</v>
      </c>
      <c r="C305" s="11" t="s">
        <v>368</v>
      </c>
      <c r="D305" s="5" t="s">
        <v>56</v>
      </c>
      <c r="E305" s="5" t="s">
        <v>57</v>
      </c>
      <c r="F305" s="5"/>
      <c r="G305" s="22" t="n">
        <f aca="false">ROUND(SUM(I305:P305),3)</f>
        <v>73.312</v>
      </c>
      <c r="H305" s="5" t="str">
        <f aca="false">IF(G305&gt;=評分方法!$C$16,"優先評估",IF(G305&gt;=評分方法!$C$17,"列入候選",IF(G305&gt;=評分方法!$C$18,"特定情境","不建議")))</f>
        <v>列入候選</v>
      </c>
      <c r="I305" s="15" t="n">
        <f aca="false">AE305*評分方法!$C$5</f>
        <v>24</v>
      </c>
      <c r="J305" s="15" t="n">
        <f aca="false">AF305*評分方法!$C$6</f>
        <v>0</v>
      </c>
      <c r="K305" s="15" t="n">
        <f aca="false">AG305*評分方法!$C$7</f>
        <v>15</v>
      </c>
      <c r="L305" s="15" t="n">
        <f aca="false">AH305*評分方法!$C$8</f>
        <v>9</v>
      </c>
      <c r="M305" s="15" t="n">
        <f aca="false">AI305*評分方法!$C$9</f>
        <v>10</v>
      </c>
      <c r="N305" s="15" t="n">
        <f aca="false">AJ305*評分方法!$C$10</f>
        <v>7.312</v>
      </c>
      <c r="O305" s="15" t="n">
        <f aca="false">AK305*評分方法!$C$11</f>
        <v>5</v>
      </c>
      <c r="P305" s="15" t="n">
        <f aca="false">AL305*評分方法!$C$12</f>
        <v>3</v>
      </c>
      <c r="Q305" s="6" t="n">
        <v>1053371</v>
      </c>
      <c r="R305" s="6" t="n">
        <v>11959730224</v>
      </c>
      <c r="S305" s="11" t="s">
        <v>389</v>
      </c>
      <c r="T305" s="11" t="s">
        <v>239</v>
      </c>
      <c r="U305" s="5" t="s">
        <v>240</v>
      </c>
      <c r="V305" s="11" t="s">
        <v>261</v>
      </c>
      <c r="W305" s="5" t="s">
        <v>205</v>
      </c>
      <c r="X305" s="5" t="s">
        <v>371</v>
      </c>
      <c r="Y305" s="11" t="s">
        <v>755</v>
      </c>
      <c r="Z305" s="11" t="s">
        <v>270</v>
      </c>
      <c r="AA305" s="11" t="s">
        <v>157</v>
      </c>
      <c r="AB305" s="5" t="s">
        <v>245</v>
      </c>
      <c r="AC305" s="5"/>
      <c r="AD305" s="11" t="s">
        <v>1007</v>
      </c>
      <c r="AE305" s="23" t="n">
        <v>0.8</v>
      </c>
      <c r="AF305" s="23" t="n">
        <v>0</v>
      </c>
      <c r="AG305" s="23" t="n">
        <v>1</v>
      </c>
      <c r="AH305" s="23" t="n">
        <v>0.6</v>
      </c>
      <c r="AI305" s="23" t="n">
        <v>1</v>
      </c>
      <c r="AJ305" s="23" t="n">
        <v>0.7312</v>
      </c>
      <c r="AK305" s="23" t="n">
        <v>1</v>
      </c>
      <c r="AL305" s="23" t="n">
        <v>0.6</v>
      </c>
      <c r="AM305" s="16" t="n">
        <f aca="false">COUNTIFS($D$2:$D$2501,D305,$G$2:$G$2501,"&gt;"&amp;G305)+COUNTIFS($D$2:D305,D305,$G$2:G305,G305)</f>
        <v>142</v>
      </c>
      <c r="AN305" s="5" t="str">
        <f aca="false">D305&amp;"|"&amp;AM305</f>
        <v>分析與報告生成|142</v>
      </c>
    </row>
    <row r="306" customFormat="false" ht="17.15" hidden="false" customHeight="false" outlineLevel="0" collapsed="false">
      <c r="A306" s="16" t="n">
        <f aca="false">RANK(G306,$G$2:$G$2501)+COUNTIF($G$2:G306,G306)-1</f>
        <v>305</v>
      </c>
      <c r="B306" s="11" t="s">
        <v>968</v>
      </c>
      <c r="C306" s="11" t="s">
        <v>417</v>
      </c>
      <c r="D306" s="5" t="s">
        <v>56</v>
      </c>
      <c r="E306" s="5" t="s">
        <v>57</v>
      </c>
      <c r="F306" s="5"/>
      <c r="G306" s="22" t="n">
        <f aca="false">ROUND(SUM(I306:P306),3)</f>
        <v>73.31</v>
      </c>
      <c r="H306" s="5" t="str">
        <f aca="false">IF(G306&gt;=評分方法!$C$16,"優先評估",IF(G306&gt;=評分方法!$C$17,"列入候選",IF(G306&gt;=評分方法!$C$18,"特定情境","不建議")))</f>
        <v>列入候選</v>
      </c>
      <c r="I306" s="15" t="n">
        <f aca="false">AE306*評分方法!$C$5</f>
        <v>25.5</v>
      </c>
      <c r="J306" s="15" t="n">
        <f aca="false">AF306*評分方法!$C$6</f>
        <v>0</v>
      </c>
      <c r="K306" s="15" t="n">
        <f aca="false">AG306*評分方法!$C$7</f>
        <v>15</v>
      </c>
      <c r="L306" s="15" t="n">
        <f aca="false">AH306*評分方法!$C$8</f>
        <v>13.05</v>
      </c>
      <c r="M306" s="15" t="n">
        <f aca="false">AI306*評分方法!$C$9</f>
        <v>10</v>
      </c>
      <c r="N306" s="15" t="n">
        <f aca="false">AJ306*評分方法!$C$10</f>
        <v>7.26</v>
      </c>
      <c r="O306" s="15" t="n">
        <f aca="false">AK306*評分方法!$C$11</f>
        <v>2.5</v>
      </c>
      <c r="P306" s="15" t="n">
        <f aca="false">AL306*評分方法!$C$12</f>
        <v>0</v>
      </c>
      <c r="Q306" s="6" t="n">
        <v>1028873</v>
      </c>
      <c r="R306" s="6" t="n">
        <v>1711376384</v>
      </c>
      <c r="S306" s="11" t="s">
        <v>254</v>
      </c>
      <c r="T306" s="11" t="s">
        <v>239</v>
      </c>
      <c r="U306" s="5" t="s">
        <v>240</v>
      </c>
      <c r="V306" s="11" t="s">
        <v>261</v>
      </c>
      <c r="W306" s="5" t="s">
        <v>205</v>
      </c>
      <c r="X306" s="5" t="s">
        <v>242</v>
      </c>
      <c r="Y306" s="5"/>
      <c r="Z306" s="5"/>
      <c r="AA306" s="11" t="s">
        <v>155</v>
      </c>
      <c r="AB306" s="5" t="s">
        <v>245</v>
      </c>
      <c r="AC306" s="5"/>
      <c r="AD306" s="11" t="s">
        <v>1008</v>
      </c>
      <c r="AE306" s="23" t="n">
        <v>0.85</v>
      </c>
      <c r="AF306" s="23" t="n">
        <v>0</v>
      </c>
      <c r="AG306" s="23" t="n">
        <v>1</v>
      </c>
      <c r="AH306" s="23" t="n">
        <v>0.87</v>
      </c>
      <c r="AI306" s="23" t="n">
        <v>1</v>
      </c>
      <c r="AJ306" s="23" t="n">
        <v>0.726</v>
      </c>
      <c r="AK306" s="23" t="n">
        <v>0.5</v>
      </c>
      <c r="AL306" s="23" t="n">
        <v>0</v>
      </c>
      <c r="AM306" s="16" t="n">
        <f aca="false">COUNTIFS($D$2:$D$2501,D306,$G$2:$G$2501,"&gt;"&amp;G306)+COUNTIFS($D$2:D306,D306,$G$2:G306,G306)</f>
        <v>143</v>
      </c>
      <c r="AN306" s="5" t="str">
        <f aca="false">D306&amp;"|"&amp;AM306</f>
        <v>分析與報告生成|143</v>
      </c>
    </row>
    <row r="307" customFormat="false" ht="17.15" hidden="false" customHeight="false" outlineLevel="0" collapsed="false">
      <c r="A307" s="16" t="n">
        <f aca="false">RANK(G307,$G$2:$G$2501)+COUNTIF($G$2:G307,G307)-1</f>
        <v>306</v>
      </c>
      <c r="B307" s="11" t="s">
        <v>1009</v>
      </c>
      <c r="C307" s="11" t="s">
        <v>299</v>
      </c>
      <c r="D307" s="5" t="s">
        <v>56</v>
      </c>
      <c r="E307" s="5" t="s">
        <v>57</v>
      </c>
      <c r="F307" s="5"/>
      <c r="G307" s="22" t="n">
        <f aca="false">ROUND(SUM(I307:P307),3)</f>
        <v>73.278</v>
      </c>
      <c r="H307" s="5" t="str">
        <f aca="false">IF(G307&gt;=評分方法!$C$16,"優先評估",IF(G307&gt;=評分方法!$C$17,"列入候選",IF(G307&gt;=評分方法!$C$18,"特定情境","不建議")))</f>
        <v>列入候選</v>
      </c>
      <c r="I307" s="15" t="n">
        <f aca="false">AE307*評分方法!$C$5</f>
        <v>25.5</v>
      </c>
      <c r="J307" s="15" t="n">
        <f aca="false">AF307*評分方法!$C$6</f>
        <v>0</v>
      </c>
      <c r="K307" s="15" t="n">
        <f aca="false">AG307*評分方法!$C$7</f>
        <v>15</v>
      </c>
      <c r="L307" s="15" t="n">
        <f aca="false">AH307*評分方法!$C$8</f>
        <v>13.05</v>
      </c>
      <c r="M307" s="15" t="n">
        <f aca="false">AI307*評分方法!$C$9</f>
        <v>10</v>
      </c>
      <c r="N307" s="15" t="n">
        <f aca="false">AJ307*評分方法!$C$10</f>
        <v>2.728</v>
      </c>
      <c r="O307" s="15" t="n">
        <f aca="false">AK307*評分方法!$C$11</f>
        <v>4</v>
      </c>
      <c r="P307" s="15" t="n">
        <f aca="false">AL307*評分方法!$C$12</f>
        <v>3</v>
      </c>
      <c r="Q307" s="6" t="n">
        <v>269054</v>
      </c>
      <c r="R307" s="6" t="n">
        <v>3402836480</v>
      </c>
      <c r="S307" s="11" t="s">
        <v>254</v>
      </c>
      <c r="T307" s="11" t="s">
        <v>239</v>
      </c>
      <c r="U307" s="5" t="s">
        <v>240</v>
      </c>
      <c r="V307" s="11" t="s">
        <v>333</v>
      </c>
      <c r="W307" s="5" t="s">
        <v>205</v>
      </c>
      <c r="X307" s="5" t="s">
        <v>371</v>
      </c>
      <c r="Y307" s="11" t="s">
        <v>420</v>
      </c>
      <c r="Z307" s="11" t="s">
        <v>244</v>
      </c>
      <c r="AA307" s="11" t="s">
        <v>155</v>
      </c>
      <c r="AB307" s="5" t="s">
        <v>245</v>
      </c>
      <c r="AC307" s="5" t="s">
        <v>246</v>
      </c>
      <c r="AD307" s="11" t="s">
        <v>1010</v>
      </c>
      <c r="AE307" s="23" t="n">
        <v>0.85</v>
      </c>
      <c r="AF307" s="23" t="n">
        <v>0</v>
      </c>
      <c r="AG307" s="23" t="n">
        <v>1</v>
      </c>
      <c r="AH307" s="23" t="n">
        <v>0.87</v>
      </c>
      <c r="AI307" s="23" t="n">
        <v>1</v>
      </c>
      <c r="AJ307" s="23" t="n">
        <v>0.2728</v>
      </c>
      <c r="AK307" s="23" t="n">
        <v>0.8</v>
      </c>
      <c r="AL307" s="23" t="n">
        <v>0.6</v>
      </c>
      <c r="AM307" s="16" t="n">
        <f aca="false">COUNTIFS($D$2:$D$2501,D307,$G$2:$G$2501,"&gt;"&amp;G307)+COUNTIFS($D$2:D307,D307,$G$2:G307,G307)</f>
        <v>144</v>
      </c>
      <c r="AN307" s="5" t="str">
        <f aca="false">D307&amp;"|"&amp;AM307</f>
        <v>分析與報告生成|144</v>
      </c>
    </row>
    <row r="308" customFormat="false" ht="17.15" hidden="false" customHeight="false" outlineLevel="0" collapsed="false">
      <c r="A308" s="16" t="n">
        <f aca="false">RANK(G308,$G$2:$G$2501)+COUNTIF($G$2:G308,G308)-1</f>
        <v>307</v>
      </c>
      <c r="B308" s="11" t="s">
        <v>1011</v>
      </c>
      <c r="C308" s="11" t="s">
        <v>1012</v>
      </c>
      <c r="D308" s="5" t="s">
        <v>58</v>
      </c>
      <c r="E308" s="5" t="s">
        <v>59</v>
      </c>
      <c r="F308" s="5"/>
      <c r="G308" s="22" t="n">
        <f aca="false">ROUND(SUM(I308:P308),3)</f>
        <v>73.274</v>
      </c>
      <c r="H308" s="5" t="str">
        <f aca="false">IF(G308&gt;=評分方法!$C$16,"優先評估",IF(G308&gt;=評分方法!$C$17,"列入候選",IF(G308&gt;=評分方法!$C$18,"特定情境","不建議")))</f>
        <v>列入候選</v>
      </c>
      <c r="I308" s="15" t="n">
        <f aca="false">AE308*評分方法!$C$5</f>
        <v>28.5</v>
      </c>
      <c r="J308" s="15" t="n">
        <f aca="false">AF308*評分方法!$C$6</f>
        <v>0</v>
      </c>
      <c r="K308" s="15" t="n">
        <f aca="false">AG308*評分方法!$C$7</f>
        <v>4.95</v>
      </c>
      <c r="L308" s="15" t="n">
        <f aca="false">AH308*評分方法!$C$8</f>
        <v>15</v>
      </c>
      <c r="M308" s="15" t="n">
        <f aca="false">AI308*評分方法!$C$9</f>
        <v>10</v>
      </c>
      <c r="N308" s="15" t="n">
        <f aca="false">AJ308*評分方法!$C$10</f>
        <v>8.824</v>
      </c>
      <c r="O308" s="15" t="n">
        <f aca="false">AK308*評分方法!$C$11</f>
        <v>1</v>
      </c>
      <c r="P308" s="15" t="n">
        <f aca="false">AL308*評分方法!$C$12</f>
        <v>5</v>
      </c>
      <c r="Q308" s="6" t="n">
        <v>3121459</v>
      </c>
      <c r="R308" s="6" t="n">
        <v>213662977</v>
      </c>
      <c r="S308" s="11" t="s">
        <v>238</v>
      </c>
      <c r="T308" s="11" t="s">
        <v>278</v>
      </c>
      <c r="U308" s="5" t="s">
        <v>240</v>
      </c>
      <c r="V308" s="11" t="s">
        <v>241</v>
      </c>
      <c r="W308" s="5" t="s">
        <v>334</v>
      </c>
      <c r="X308" s="5" t="s">
        <v>284</v>
      </c>
      <c r="Y308" s="5"/>
      <c r="Z308" s="5"/>
      <c r="AA308" s="11" t="s">
        <v>150</v>
      </c>
      <c r="AB308" s="5" t="s">
        <v>245</v>
      </c>
      <c r="AC308" s="5"/>
      <c r="AD308" s="11" t="s">
        <v>1013</v>
      </c>
      <c r="AE308" s="23" t="n">
        <v>0.95</v>
      </c>
      <c r="AF308" s="23" t="n">
        <v>0</v>
      </c>
      <c r="AG308" s="23" t="n">
        <v>0.33</v>
      </c>
      <c r="AH308" s="23" t="n">
        <v>1</v>
      </c>
      <c r="AI308" s="23" t="n">
        <v>1</v>
      </c>
      <c r="AJ308" s="23" t="n">
        <v>0.8824</v>
      </c>
      <c r="AK308" s="23" t="n">
        <v>0.2</v>
      </c>
      <c r="AL308" s="23" t="n">
        <v>1</v>
      </c>
      <c r="AM308" s="16" t="n">
        <f aca="false">COUNTIFS($D$2:$D$2501,D308,$G$2:$G$2501,"&gt;"&amp;G308)+COUNTIFS($D$2:D308,D308,$G$2:G308,G308)</f>
        <v>12</v>
      </c>
      <c r="AN308" s="5" t="str">
        <f aca="false">D308&amp;"|"&amp;AM308</f>
        <v>實體擷取與去識別化|12</v>
      </c>
    </row>
    <row r="309" customFormat="false" ht="17.15" hidden="false" customHeight="false" outlineLevel="0" collapsed="false">
      <c r="A309" s="16" t="n">
        <f aca="false">RANK(G309,$G$2:$G$2501)+COUNTIF($G$2:G309,G309)-1</f>
        <v>308</v>
      </c>
      <c r="B309" s="11" t="s">
        <v>522</v>
      </c>
      <c r="C309" s="11" t="s">
        <v>461</v>
      </c>
      <c r="D309" s="5" t="s">
        <v>56</v>
      </c>
      <c r="E309" s="5" t="s">
        <v>57</v>
      </c>
      <c r="F309" s="5"/>
      <c r="G309" s="22" t="n">
        <f aca="false">ROUND(SUM(I309:P309),3)</f>
        <v>73.274</v>
      </c>
      <c r="H309" s="5" t="str">
        <f aca="false">IF(G309&gt;=評分方法!$C$16,"優先評估",IF(G309&gt;=評分方法!$C$17,"列入候選",IF(G309&gt;=評分方法!$C$18,"特定情境","不建議")))</f>
        <v>列入候選</v>
      </c>
      <c r="I309" s="15" t="n">
        <f aca="false">AE309*評分方法!$C$5</f>
        <v>25.5</v>
      </c>
      <c r="J309" s="15" t="n">
        <f aca="false">AF309*評分方法!$C$6</f>
        <v>0</v>
      </c>
      <c r="K309" s="15" t="n">
        <f aca="false">AG309*評分方法!$C$7</f>
        <v>15</v>
      </c>
      <c r="L309" s="15" t="n">
        <f aca="false">AH309*評分方法!$C$8</f>
        <v>13.05</v>
      </c>
      <c r="M309" s="15" t="n">
        <f aca="false">AI309*評分方法!$C$9</f>
        <v>6</v>
      </c>
      <c r="N309" s="15" t="n">
        <f aca="false">AJ309*評分方法!$C$10</f>
        <v>3.724</v>
      </c>
      <c r="O309" s="15" t="n">
        <f aca="false">AK309*評分方法!$C$11</f>
        <v>5</v>
      </c>
      <c r="P309" s="15" t="n">
        <f aca="false">AL309*評分方法!$C$12</f>
        <v>5</v>
      </c>
      <c r="Q309" s="6" t="n">
        <v>379643</v>
      </c>
      <c r="R309" s="6" t="n">
        <v>2697198592</v>
      </c>
      <c r="S309" s="11" t="s">
        <v>254</v>
      </c>
      <c r="T309" s="11" t="s">
        <v>185</v>
      </c>
      <c r="U309" s="5" t="s">
        <v>260</v>
      </c>
      <c r="V309" s="11" t="s">
        <v>261</v>
      </c>
      <c r="W309" s="5" t="s">
        <v>205</v>
      </c>
      <c r="X309" s="5" t="s">
        <v>284</v>
      </c>
      <c r="Y309" s="11" t="s">
        <v>1014</v>
      </c>
      <c r="Z309" s="11" t="s">
        <v>270</v>
      </c>
      <c r="AA309" s="11" t="s">
        <v>155</v>
      </c>
      <c r="AB309" s="5" t="s">
        <v>245</v>
      </c>
      <c r="AC309" s="5" t="s">
        <v>262</v>
      </c>
      <c r="AD309" s="11" t="s">
        <v>1015</v>
      </c>
      <c r="AE309" s="23" t="n">
        <v>0.85</v>
      </c>
      <c r="AF309" s="23" t="n">
        <v>0</v>
      </c>
      <c r="AG309" s="23" t="n">
        <v>1</v>
      </c>
      <c r="AH309" s="23" t="n">
        <v>0.87</v>
      </c>
      <c r="AI309" s="23" t="n">
        <v>0.6</v>
      </c>
      <c r="AJ309" s="23" t="n">
        <v>0.3724</v>
      </c>
      <c r="AK309" s="23" t="n">
        <v>1</v>
      </c>
      <c r="AL309" s="23" t="n">
        <v>1</v>
      </c>
      <c r="AM309" s="16" t="n">
        <f aca="false">COUNTIFS($D$2:$D$2501,D309,$G$2:$G$2501,"&gt;"&amp;G309)+COUNTIFS($D$2:D309,D309,$G$2:G309,G309)</f>
        <v>145</v>
      </c>
      <c r="AN309" s="5" t="str">
        <f aca="false">D309&amp;"|"&amp;AM309</f>
        <v>分析與報告生成|145</v>
      </c>
    </row>
    <row r="310" customFormat="false" ht="17.15" hidden="false" customHeight="false" outlineLevel="0" collapsed="false">
      <c r="A310" s="16" t="n">
        <f aca="false">RANK(G310,$G$2:$G$2501)+COUNTIF($G$2:G310,G310)-1</f>
        <v>309</v>
      </c>
      <c r="B310" s="11" t="s">
        <v>1016</v>
      </c>
      <c r="C310" s="11" t="s">
        <v>299</v>
      </c>
      <c r="D310" s="5" t="s">
        <v>54</v>
      </c>
      <c r="E310" s="5" t="s">
        <v>55</v>
      </c>
      <c r="F310" s="5"/>
      <c r="G310" s="22" t="n">
        <f aca="false">ROUND(SUM(I310:P310),3)</f>
        <v>73.268</v>
      </c>
      <c r="H310" s="5" t="str">
        <f aca="false">IF(G310&gt;=評分方法!$C$16,"優先評估",IF(G310&gt;=評分方法!$C$17,"列入候選",IF(G310&gt;=評分方法!$C$18,"特定情境","不建議")))</f>
        <v>列入候選</v>
      </c>
      <c r="I310" s="15" t="n">
        <f aca="false">AE310*評分方法!$C$5</f>
        <v>27</v>
      </c>
      <c r="J310" s="15" t="n">
        <f aca="false">AF310*評分方法!$C$6</f>
        <v>0</v>
      </c>
      <c r="K310" s="15" t="n">
        <f aca="false">AG310*評分方法!$C$7</f>
        <v>15</v>
      </c>
      <c r="L310" s="15" t="n">
        <f aca="false">AH310*評分方法!$C$8</f>
        <v>15</v>
      </c>
      <c r="M310" s="15" t="n">
        <f aca="false">AI310*評分方法!$C$9</f>
        <v>10</v>
      </c>
      <c r="N310" s="15" t="n">
        <f aca="false">AJ310*評分方法!$C$10</f>
        <v>3.768</v>
      </c>
      <c r="O310" s="15" t="n">
        <f aca="false">AK310*評分方法!$C$11</f>
        <v>2.5</v>
      </c>
      <c r="P310" s="15" t="n">
        <f aca="false">AL310*評分方法!$C$12</f>
        <v>0</v>
      </c>
      <c r="Q310" s="6" t="n">
        <v>386142</v>
      </c>
      <c r="R310" s="6" t="n">
        <v>30295296</v>
      </c>
      <c r="S310" s="11" t="s">
        <v>238</v>
      </c>
      <c r="T310" s="11" t="s">
        <v>239</v>
      </c>
      <c r="U310" s="5" t="s">
        <v>240</v>
      </c>
      <c r="V310" s="11" t="s">
        <v>288</v>
      </c>
      <c r="W310" s="5" t="s">
        <v>205</v>
      </c>
      <c r="X310" s="5" t="s">
        <v>242</v>
      </c>
      <c r="Y310" s="5"/>
      <c r="Z310" s="5"/>
      <c r="AA310" s="11" t="s">
        <v>152</v>
      </c>
      <c r="AB310" s="5" t="s">
        <v>245</v>
      </c>
      <c r="AC310" s="5"/>
      <c r="AD310" s="11" t="s">
        <v>1017</v>
      </c>
      <c r="AE310" s="23" t="n">
        <v>0.9</v>
      </c>
      <c r="AF310" s="23" t="n">
        <v>0</v>
      </c>
      <c r="AG310" s="23" t="n">
        <v>1</v>
      </c>
      <c r="AH310" s="23" t="n">
        <v>1</v>
      </c>
      <c r="AI310" s="23" t="n">
        <v>1</v>
      </c>
      <c r="AJ310" s="23" t="n">
        <v>0.3768</v>
      </c>
      <c r="AK310" s="23" t="n">
        <v>0.5</v>
      </c>
      <c r="AL310" s="23" t="n">
        <v>0</v>
      </c>
      <c r="AM310" s="16" t="n">
        <f aca="false">COUNTIFS($D$2:$D$2501,D310,$G$2:$G$2501,"&gt;"&amp;G310)+COUNTIFS($D$2:D310,D310,$G$2:G310,G310)</f>
        <v>90</v>
      </c>
      <c r="AN310" s="5" t="str">
        <f aca="false">D310&amp;"|"&amp;AM310</f>
        <v>檢索與情資關聯|90</v>
      </c>
    </row>
    <row r="311" customFormat="false" ht="17.15" hidden="false" customHeight="false" outlineLevel="0" collapsed="false">
      <c r="A311" s="16" t="n">
        <f aca="false">RANK(G311,$G$2:$G$2501)+COUNTIF($G$2:G311,G311)-1</f>
        <v>310</v>
      </c>
      <c r="B311" s="11" t="s">
        <v>1018</v>
      </c>
      <c r="C311" s="11" t="s">
        <v>753</v>
      </c>
      <c r="D311" s="5" t="s">
        <v>56</v>
      </c>
      <c r="E311" s="5" t="s">
        <v>57</v>
      </c>
      <c r="F311" s="5"/>
      <c r="G311" s="22" t="n">
        <f aca="false">ROUND(SUM(I311:P311),3)</f>
        <v>73.26</v>
      </c>
      <c r="H311" s="5" t="str">
        <f aca="false">IF(G311&gt;=評分方法!$C$16,"優先評估",IF(G311&gt;=評分方法!$C$17,"列入候選",IF(G311&gt;=評分方法!$C$18,"特定情境","不建議")))</f>
        <v>列入候選</v>
      </c>
      <c r="I311" s="15" t="n">
        <f aca="false">AE311*評分方法!$C$5</f>
        <v>24</v>
      </c>
      <c r="J311" s="15" t="n">
        <f aca="false">AF311*評分方法!$C$6</f>
        <v>0</v>
      </c>
      <c r="K311" s="15" t="n">
        <f aca="false">AG311*評分方法!$C$7</f>
        <v>10.05</v>
      </c>
      <c r="L311" s="15" t="n">
        <f aca="false">AH311*評分方法!$C$8</f>
        <v>13.05</v>
      </c>
      <c r="M311" s="15" t="n">
        <f aca="false">AI311*評分方法!$C$9</f>
        <v>10</v>
      </c>
      <c r="N311" s="15" t="n">
        <f aca="false">AJ311*評分方法!$C$10</f>
        <v>8.16</v>
      </c>
      <c r="O311" s="15" t="n">
        <f aca="false">AK311*評分方法!$C$11</f>
        <v>5</v>
      </c>
      <c r="P311" s="15" t="n">
        <f aca="false">AL311*評分方法!$C$12</f>
        <v>3</v>
      </c>
      <c r="Q311" s="6" t="n">
        <v>1762469</v>
      </c>
      <c r="R311" s="6" t="n">
        <v>7463013674</v>
      </c>
      <c r="S311" s="11" t="s">
        <v>254</v>
      </c>
      <c r="T311" s="11" t="s">
        <v>239</v>
      </c>
      <c r="U311" s="5" t="s">
        <v>240</v>
      </c>
      <c r="V311" s="11" t="s">
        <v>333</v>
      </c>
      <c r="W311" s="5" t="s">
        <v>207</v>
      </c>
      <c r="X311" s="5" t="s">
        <v>371</v>
      </c>
      <c r="Y311" s="11" t="s">
        <v>486</v>
      </c>
      <c r="Z311" s="11" t="s">
        <v>244</v>
      </c>
      <c r="AA311" s="11" t="s">
        <v>157</v>
      </c>
      <c r="AB311" s="5" t="s">
        <v>245</v>
      </c>
      <c r="AC311" s="5" t="s">
        <v>246</v>
      </c>
      <c r="AD311" s="11" t="s">
        <v>1019</v>
      </c>
      <c r="AE311" s="23" t="n">
        <v>0.8</v>
      </c>
      <c r="AF311" s="23" t="n">
        <v>0</v>
      </c>
      <c r="AG311" s="23" t="n">
        <v>0.67</v>
      </c>
      <c r="AH311" s="23" t="n">
        <v>0.87</v>
      </c>
      <c r="AI311" s="23" t="n">
        <v>1</v>
      </c>
      <c r="AJ311" s="23" t="n">
        <v>0.816</v>
      </c>
      <c r="AK311" s="23" t="n">
        <v>1</v>
      </c>
      <c r="AL311" s="23" t="n">
        <v>0.6</v>
      </c>
      <c r="AM311" s="16" t="n">
        <f aca="false">COUNTIFS($D$2:$D$2501,D311,$G$2:$G$2501,"&gt;"&amp;G311)+COUNTIFS($D$2:D311,D311,$G$2:G311,G311)</f>
        <v>146</v>
      </c>
      <c r="AN311" s="5" t="str">
        <f aca="false">D311&amp;"|"&amp;AM311</f>
        <v>分析與報告生成|146</v>
      </c>
    </row>
    <row r="312" customFormat="false" ht="17.15" hidden="false" customHeight="false" outlineLevel="0" collapsed="false">
      <c r="A312" s="16" t="n">
        <f aca="false">RANK(G312,$G$2:$G$2501)+COUNTIF($G$2:G312,G312)-1</f>
        <v>311</v>
      </c>
      <c r="B312" s="11" t="s">
        <v>1020</v>
      </c>
      <c r="C312" s="11" t="s">
        <v>1021</v>
      </c>
      <c r="D312" s="5" t="s">
        <v>58</v>
      </c>
      <c r="E312" s="5" t="s">
        <v>59</v>
      </c>
      <c r="F312" s="5"/>
      <c r="G312" s="22" t="n">
        <f aca="false">ROUND(SUM(I312:P312),3)</f>
        <v>73.218</v>
      </c>
      <c r="H312" s="5" t="str">
        <f aca="false">IF(G312&gt;=評分方法!$C$16,"優先評估",IF(G312&gt;=評分方法!$C$17,"列入候選",IF(G312&gt;=評分方法!$C$18,"特定情境","不建議")))</f>
        <v>列入候選</v>
      </c>
      <c r="I312" s="15" t="n">
        <f aca="false">AE312*評分方法!$C$5</f>
        <v>28.5</v>
      </c>
      <c r="J312" s="15" t="n">
        <f aca="false">AF312*評分方法!$C$6</f>
        <v>0</v>
      </c>
      <c r="K312" s="15" t="n">
        <f aca="false">AG312*評分方法!$C$7</f>
        <v>4.95</v>
      </c>
      <c r="L312" s="15" t="n">
        <f aca="false">AH312*評分方法!$C$8</f>
        <v>15</v>
      </c>
      <c r="M312" s="15" t="n">
        <f aca="false">AI312*評分方法!$C$9</f>
        <v>10</v>
      </c>
      <c r="N312" s="15" t="n">
        <f aca="false">AJ312*評分方法!$C$10</f>
        <v>8.768</v>
      </c>
      <c r="O312" s="15" t="n">
        <f aca="false">AK312*評分方法!$C$11</f>
        <v>1</v>
      </c>
      <c r="P312" s="15" t="n">
        <f aca="false">AL312*評分方法!$C$12</f>
        <v>5</v>
      </c>
      <c r="Q312" s="6" t="n">
        <v>2927838</v>
      </c>
      <c r="R312" s="6" t="n">
        <v>558847496</v>
      </c>
      <c r="S312" s="11" t="s">
        <v>238</v>
      </c>
      <c r="T312" s="11" t="s">
        <v>278</v>
      </c>
      <c r="U312" s="5" t="s">
        <v>240</v>
      </c>
      <c r="V312" s="11" t="s">
        <v>283</v>
      </c>
      <c r="W312" s="5" t="s">
        <v>334</v>
      </c>
      <c r="X312" s="5" t="s">
        <v>284</v>
      </c>
      <c r="Y312" s="5"/>
      <c r="Z312" s="5"/>
      <c r="AA312" s="11" t="s">
        <v>150</v>
      </c>
      <c r="AB312" s="5" t="s">
        <v>245</v>
      </c>
      <c r="AC312" s="5"/>
      <c r="AD312" s="11" t="s">
        <v>1022</v>
      </c>
      <c r="AE312" s="23" t="n">
        <v>0.95</v>
      </c>
      <c r="AF312" s="23" t="n">
        <v>0</v>
      </c>
      <c r="AG312" s="23" t="n">
        <v>0.33</v>
      </c>
      <c r="AH312" s="23" t="n">
        <v>1</v>
      </c>
      <c r="AI312" s="23" t="n">
        <v>1</v>
      </c>
      <c r="AJ312" s="23" t="n">
        <v>0.8768</v>
      </c>
      <c r="AK312" s="23" t="n">
        <v>0.2</v>
      </c>
      <c r="AL312" s="23" t="n">
        <v>1</v>
      </c>
      <c r="AM312" s="16" t="n">
        <f aca="false">COUNTIFS($D$2:$D$2501,D312,$G$2:$G$2501,"&gt;"&amp;G312)+COUNTIFS($D$2:D312,D312,$G$2:G312,G312)</f>
        <v>13</v>
      </c>
      <c r="AN312" s="5" t="str">
        <f aca="false">D312&amp;"|"&amp;AM312</f>
        <v>實體擷取與去識別化|13</v>
      </c>
    </row>
    <row r="313" customFormat="false" ht="17.15" hidden="false" customHeight="false" outlineLevel="0" collapsed="false">
      <c r="A313" s="16" t="n">
        <f aca="false">RANK(G313,$G$2:$G$2501)+COUNTIF($G$2:G313,G313)-1</f>
        <v>312</v>
      </c>
      <c r="B313" s="11" t="s">
        <v>1023</v>
      </c>
      <c r="C313" s="11" t="s">
        <v>461</v>
      </c>
      <c r="D313" s="5" t="s">
        <v>56</v>
      </c>
      <c r="E313" s="5" t="s">
        <v>57</v>
      </c>
      <c r="F313" s="5"/>
      <c r="G313" s="22" t="n">
        <f aca="false">ROUND(SUM(I313:P313),3)</f>
        <v>73.218</v>
      </c>
      <c r="H313" s="5" t="str">
        <f aca="false">IF(G313&gt;=評分方法!$C$16,"優先評估",IF(G313&gt;=評分方法!$C$17,"列入候選",IF(G313&gt;=評分方法!$C$18,"特定情境","不建議")))</f>
        <v>列入候選</v>
      </c>
      <c r="I313" s="15" t="n">
        <f aca="false">AE313*評分方法!$C$5</f>
        <v>25.5</v>
      </c>
      <c r="J313" s="15" t="n">
        <f aca="false">AF313*評分方法!$C$6</f>
        <v>0</v>
      </c>
      <c r="K313" s="15" t="n">
        <f aca="false">AG313*評分方法!$C$7</f>
        <v>15</v>
      </c>
      <c r="L313" s="15" t="n">
        <f aca="false">AH313*評分方法!$C$8</f>
        <v>13.05</v>
      </c>
      <c r="M313" s="15" t="n">
        <f aca="false">AI313*評分方法!$C$9</f>
        <v>6</v>
      </c>
      <c r="N313" s="15" t="n">
        <f aca="false">AJ313*評分方法!$C$10</f>
        <v>3.668</v>
      </c>
      <c r="O313" s="15" t="n">
        <f aca="false">AK313*評分方法!$C$11</f>
        <v>5</v>
      </c>
      <c r="P313" s="15" t="n">
        <f aca="false">AL313*評分方法!$C$12</f>
        <v>5</v>
      </c>
      <c r="Q313" s="6" t="n">
        <v>372040</v>
      </c>
      <c r="R313" s="6" t="n">
        <v>1170340608</v>
      </c>
      <c r="S313" s="11" t="s">
        <v>254</v>
      </c>
      <c r="T313" s="11" t="s">
        <v>185</v>
      </c>
      <c r="U313" s="5" t="s">
        <v>260</v>
      </c>
      <c r="V313" s="11" t="s">
        <v>333</v>
      </c>
      <c r="W313" s="5" t="s">
        <v>205</v>
      </c>
      <c r="X313" s="5" t="s">
        <v>284</v>
      </c>
      <c r="Y313" s="11" t="s">
        <v>995</v>
      </c>
      <c r="Z313" s="11" t="s">
        <v>244</v>
      </c>
      <c r="AA313" s="11" t="s">
        <v>156</v>
      </c>
      <c r="AB313" s="5" t="s">
        <v>245</v>
      </c>
      <c r="AC313" s="5" t="s">
        <v>464</v>
      </c>
      <c r="AD313" s="11" t="s">
        <v>1024</v>
      </c>
      <c r="AE313" s="23" t="n">
        <v>0.85</v>
      </c>
      <c r="AF313" s="23" t="n">
        <v>0</v>
      </c>
      <c r="AG313" s="23" t="n">
        <v>1</v>
      </c>
      <c r="AH313" s="23" t="n">
        <v>0.87</v>
      </c>
      <c r="AI313" s="23" t="n">
        <v>0.6</v>
      </c>
      <c r="AJ313" s="23" t="n">
        <v>0.3668</v>
      </c>
      <c r="AK313" s="23" t="n">
        <v>1</v>
      </c>
      <c r="AL313" s="23" t="n">
        <v>1</v>
      </c>
      <c r="AM313" s="16" t="n">
        <f aca="false">COUNTIFS($D$2:$D$2501,D313,$G$2:$G$2501,"&gt;"&amp;G313)+COUNTIFS($D$2:D313,D313,$G$2:G313,G313)</f>
        <v>147</v>
      </c>
      <c r="AN313" s="5" t="str">
        <f aca="false">D313&amp;"|"&amp;AM313</f>
        <v>分析與報告生成|147</v>
      </c>
    </row>
    <row r="314" customFormat="false" ht="17.15" hidden="false" customHeight="false" outlineLevel="0" collapsed="false">
      <c r="A314" s="16" t="n">
        <f aca="false">RANK(G314,$G$2:$G$2501)+COUNTIF($G$2:G314,G314)-1</f>
        <v>313</v>
      </c>
      <c r="B314" s="11" t="s">
        <v>1025</v>
      </c>
      <c r="C314" s="11" t="s">
        <v>282</v>
      </c>
      <c r="D314" s="5" t="s">
        <v>54</v>
      </c>
      <c r="E314" s="5" t="s">
        <v>55</v>
      </c>
      <c r="F314" s="5"/>
      <c r="G314" s="22" t="n">
        <f aca="false">ROUND(SUM(I314:P314),3)</f>
        <v>73.204</v>
      </c>
      <c r="H314" s="5" t="str">
        <f aca="false">IF(G314&gt;=評分方法!$C$16,"優先評估",IF(G314&gt;=評分方法!$C$17,"列入候選",IF(G314&gt;=評分方法!$C$18,"特定情境","不建議")))</f>
        <v>列入候選</v>
      </c>
      <c r="I314" s="15" t="n">
        <f aca="false">AE314*評分方法!$C$5</f>
        <v>27</v>
      </c>
      <c r="J314" s="15" t="n">
        <f aca="false">AF314*評分方法!$C$6</f>
        <v>0</v>
      </c>
      <c r="K314" s="15" t="n">
        <f aca="false">AG314*評分方法!$C$7</f>
        <v>15</v>
      </c>
      <c r="L314" s="15" t="n">
        <f aca="false">AH314*評分方法!$C$8</f>
        <v>15</v>
      </c>
      <c r="M314" s="15" t="n">
        <f aca="false">AI314*評分方法!$C$9</f>
        <v>10</v>
      </c>
      <c r="N314" s="15" t="n">
        <f aca="false">AJ314*評分方法!$C$10</f>
        <v>2.204</v>
      </c>
      <c r="O314" s="15" t="n">
        <f aca="false">AK314*評分方法!$C$11</f>
        <v>2.5</v>
      </c>
      <c r="P314" s="15" t="n">
        <f aca="false">AL314*評分方法!$C$12</f>
        <v>1.5</v>
      </c>
      <c r="Q314" s="6" t="n">
        <v>225419</v>
      </c>
      <c r="R314" s="6" t="n">
        <v>355360258</v>
      </c>
      <c r="S314" s="11" t="s">
        <v>238</v>
      </c>
      <c r="T314" s="11" t="s">
        <v>239</v>
      </c>
      <c r="U314" s="5" t="s">
        <v>240</v>
      </c>
      <c r="V314" s="11" t="s">
        <v>320</v>
      </c>
      <c r="W314" s="5" t="s">
        <v>205</v>
      </c>
      <c r="X314" s="5" t="s">
        <v>255</v>
      </c>
      <c r="Y314" s="5"/>
      <c r="Z314" s="5"/>
      <c r="AA314" s="11" t="s">
        <v>152</v>
      </c>
      <c r="AB314" s="5" t="s">
        <v>245</v>
      </c>
      <c r="AC314" s="5"/>
      <c r="AD314" s="11" t="s">
        <v>1026</v>
      </c>
      <c r="AE314" s="23" t="n">
        <v>0.9</v>
      </c>
      <c r="AF314" s="23" t="n">
        <v>0</v>
      </c>
      <c r="AG314" s="23" t="n">
        <v>1</v>
      </c>
      <c r="AH314" s="23" t="n">
        <v>1</v>
      </c>
      <c r="AI314" s="23" t="n">
        <v>1</v>
      </c>
      <c r="AJ314" s="23" t="n">
        <v>0.2204</v>
      </c>
      <c r="AK314" s="23" t="n">
        <v>0.5</v>
      </c>
      <c r="AL314" s="23" t="n">
        <v>0.3</v>
      </c>
      <c r="AM314" s="16" t="n">
        <f aca="false">COUNTIFS($D$2:$D$2501,D314,$G$2:$G$2501,"&gt;"&amp;G314)+COUNTIFS($D$2:D314,D314,$G$2:G314,G314)</f>
        <v>91</v>
      </c>
      <c r="AN314" s="5" t="str">
        <f aca="false">D314&amp;"|"&amp;AM314</f>
        <v>檢索與情資關聯|91</v>
      </c>
    </row>
    <row r="315" customFormat="false" ht="17.15" hidden="false" customHeight="false" outlineLevel="0" collapsed="false">
      <c r="A315" s="16" t="n">
        <f aca="false">RANK(G315,$G$2:$G$2501)+COUNTIF($G$2:G315,G315)-1</f>
        <v>314</v>
      </c>
      <c r="B315" s="11" t="s">
        <v>1027</v>
      </c>
      <c r="C315" s="11" t="s">
        <v>299</v>
      </c>
      <c r="D315" s="5" t="s">
        <v>56</v>
      </c>
      <c r="E315" s="5" t="s">
        <v>57</v>
      </c>
      <c r="F315" s="5"/>
      <c r="G315" s="22" t="n">
        <f aca="false">ROUND(SUM(I315:P315),3)</f>
        <v>73.198</v>
      </c>
      <c r="H315" s="5" t="str">
        <f aca="false">IF(G315&gt;=評分方法!$C$16,"優先評估",IF(G315&gt;=評分方法!$C$17,"列入候選",IF(G315&gt;=評分方法!$C$18,"特定情境","不建議")))</f>
        <v>列入候選</v>
      </c>
      <c r="I315" s="15" t="n">
        <f aca="false">AE315*評分方法!$C$5</f>
        <v>25.5</v>
      </c>
      <c r="J315" s="15" t="n">
        <f aca="false">AF315*評分方法!$C$6</f>
        <v>0</v>
      </c>
      <c r="K315" s="15" t="n">
        <f aca="false">AG315*評分方法!$C$7</f>
        <v>15</v>
      </c>
      <c r="L315" s="15" t="n">
        <f aca="false">AH315*評分方法!$C$8</f>
        <v>13.05</v>
      </c>
      <c r="M315" s="15" t="n">
        <f aca="false">AI315*評分方法!$C$9</f>
        <v>10</v>
      </c>
      <c r="N315" s="15" t="n">
        <f aca="false">AJ315*評分方法!$C$10</f>
        <v>4.148</v>
      </c>
      <c r="O315" s="15" t="n">
        <f aca="false">AK315*評分方法!$C$11</f>
        <v>2.5</v>
      </c>
      <c r="P315" s="15" t="n">
        <f aca="false">AL315*評分方法!$C$12</f>
        <v>3</v>
      </c>
      <c r="Q315" s="6" t="n">
        <v>447437</v>
      </c>
      <c r="R315" s="6" t="n">
        <v>8170864640</v>
      </c>
      <c r="S315" s="11" t="s">
        <v>254</v>
      </c>
      <c r="T315" s="11" t="s">
        <v>239</v>
      </c>
      <c r="U315" s="5" t="s">
        <v>240</v>
      </c>
      <c r="V315" s="11" t="s">
        <v>261</v>
      </c>
      <c r="W315" s="5" t="s">
        <v>205</v>
      </c>
      <c r="X315" s="5" t="s">
        <v>371</v>
      </c>
      <c r="Y315" s="11" t="s">
        <v>1028</v>
      </c>
      <c r="Z315" s="11" t="s">
        <v>270</v>
      </c>
      <c r="AA315" s="11" t="s">
        <v>155</v>
      </c>
      <c r="AB315" s="5" t="s">
        <v>245</v>
      </c>
      <c r="AC315" s="5"/>
      <c r="AD315" s="11" t="s">
        <v>1029</v>
      </c>
      <c r="AE315" s="23" t="n">
        <v>0.85</v>
      </c>
      <c r="AF315" s="23" t="n">
        <v>0</v>
      </c>
      <c r="AG315" s="23" t="n">
        <v>1</v>
      </c>
      <c r="AH315" s="23" t="n">
        <v>0.87</v>
      </c>
      <c r="AI315" s="23" t="n">
        <v>1</v>
      </c>
      <c r="AJ315" s="23" t="n">
        <v>0.4148</v>
      </c>
      <c r="AK315" s="23" t="n">
        <v>0.5</v>
      </c>
      <c r="AL315" s="23" t="n">
        <v>0.6</v>
      </c>
      <c r="AM315" s="16" t="n">
        <f aca="false">COUNTIFS($D$2:$D$2501,D315,$G$2:$G$2501,"&gt;"&amp;G315)+COUNTIFS($D$2:D315,D315,$G$2:G315,G315)</f>
        <v>148</v>
      </c>
      <c r="AN315" s="5" t="str">
        <f aca="false">D315&amp;"|"&amp;AM315</f>
        <v>分析與報告生成|148</v>
      </c>
    </row>
    <row r="316" customFormat="false" ht="17.15" hidden="false" customHeight="false" outlineLevel="0" collapsed="false">
      <c r="A316" s="16" t="n">
        <f aca="false">RANK(G316,$G$2:$G$2501)+COUNTIF($G$2:G316,G316)-1</f>
        <v>315</v>
      </c>
      <c r="B316" s="11" t="s">
        <v>1030</v>
      </c>
      <c r="C316" s="11" t="s">
        <v>282</v>
      </c>
      <c r="D316" s="5" t="s">
        <v>54</v>
      </c>
      <c r="E316" s="5" t="s">
        <v>55</v>
      </c>
      <c r="F316" s="5"/>
      <c r="G316" s="22" t="n">
        <f aca="false">ROUND(SUM(I316:P316),3)</f>
        <v>73.192</v>
      </c>
      <c r="H316" s="5" t="str">
        <f aca="false">IF(G316&gt;=評分方法!$C$16,"優先評估",IF(G316&gt;=評分方法!$C$17,"列入候選",IF(G316&gt;=評分方法!$C$18,"特定情境","不建議")))</f>
        <v>列入候選</v>
      </c>
      <c r="I316" s="15" t="n">
        <f aca="false">AE316*評分方法!$C$5</f>
        <v>27</v>
      </c>
      <c r="J316" s="15" t="n">
        <f aca="false">AF316*評分方法!$C$6</f>
        <v>0</v>
      </c>
      <c r="K316" s="15" t="n">
        <f aca="false">AG316*評分方法!$C$7</f>
        <v>15</v>
      </c>
      <c r="L316" s="15" t="n">
        <f aca="false">AH316*評分方法!$C$8</f>
        <v>15</v>
      </c>
      <c r="M316" s="15" t="n">
        <f aca="false">AI316*評分方法!$C$9</f>
        <v>10</v>
      </c>
      <c r="N316" s="15" t="n">
        <f aca="false">AJ316*評分方法!$C$10</f>
        <v>2.192</v>
      </c>
      <c r="O316" s="15" t="n">
        <f aca="false">AK316*評分方法!$C$11</f>
        <v>2.5</v>
      </c>
      <c r="P316" s="15" t="n">
        <f aca="false">AL316*評分方法!$C$12</f>
        <v>1.5</v>
      </c>
      <c r="Q316" s="6" t="n">
        <v>224586</v>
      </c>
      <c r="R316" s="6" t="n">
        <v>335142400</v>
      </c>
      <c r="S316" s="11" t="s">
        <v>238</v>
      </c>
      <c r="T316" s="11" t="s">
        <v>239</v>
      </c>
      <c r="U316" s="5" t="s">
        <v>240</v>
      </c>
      <c r="V316" s="11" t="s">
        <v>320</v>
      </c>
      <c r="W316" s="5" t="s">
        <v>205</v>
      </c>
      <c r="X316" s="5" t="s">
        <v>255</v>
      </c>
      <c r="Y316" s="5"/>
      <c r="Z316" s="5"/>
      <c r="AA316" s="11" t="s">
        <v>152</v>
      </c>
      <c r="AB316" s="5" t="s">
        <v>245</v>
      </c>
      <c r="AC316" s="5"/>
      <c r="AD316" s="11" t="s">
        <v>1031</v>
      </c>
      <c r="AE316" s="23" t="n">
        <v>0.9</v>
      </c>
      <c r="AF316" s="23" t="n">
        <v>0</v>
      </c>
      <c r="AG316" s="23" t="n">
        <v>1</v>
      </c>
      <c r="AH316" s="23" t="n">
        <v>1</v>
      </c>
      <c r="AI316" s="23" t="n">
        <v>1</v>
      </c>
      <c r="AJ316" s="23" t="n">
        <v>0.2192</v>
      </c>
      <c r="AK316" s="23" t="n">
        <v>0.5</v>
      </c>
      <c r="AL316" s="23" t="n">
        <v>0.3</v>
      </c>
      <c r="AM316" s="16" t="n">
        <f aca="false">COUNTIFS($D$2:$D$2501,D316,$G$2:$G$2501,"&gt;"&amp;G316)+COUNTIFS($D$2:D316,D316,$G$2:G316,G316)</f>
        <v>92</v>
      </c>
      <c r="AN316" s="5" t="str">
        <f aca="false">D316&amp;"|"&amp;AM316</f>
        <v>檢索與情資關聯|92</v>
      </c>
    </row>
    <row r="317" customFormat="false" ht="17.15" hidden="false" customHeight="false" outlineLevel="0" collapsed="false">
      <c r="A317" s="16" t="n">
        <f aca="false">RANK(G317,$G$2:$G$2501)+COUNTIF($G$2:G317,G317)-1</f>
        <v>316</v>
      </c>
      <c r="B317" s="11" t="s">
        <v>1032</v>
      </c>
      <c r="C317" s="11" t="s">
        <v>338</v>
      </c>
      <c r="D317" s="5" t="s">
        <v>56</v>
      </c>
      <c r="E317" s="5" t="s">
        <v>57</v>
      </c>
      <c r="F317" s="5"/>
      <c r="G317" s="22" t="n">
        <f aca="false">ROUND(SUM(I317:P317),3)</f>
        <v>73.18</v>
      </c>
      <c r="H317" s="5" t="str">
        <f aca="false">IF(G317&gt;=評分方法!$C$16,"優先評估",IF(G317&gt;=評分方法!$C$17,"列入候選",IF(G317&gt;=評分方法!$C$18,"特定情境","不建議")))</f>
        <v>列入候選</v>
      </c>
      <c r="I317" s="15" t="n">
        <f aca="false">AE317*評分方法!$C$5</f>
        <v>25.5</v>
      </c>
      <c r="J317" s="15" t="n">
        <f aca="false">AF317*評分方法!$C$6</f>
        <v>0</v>
      </c>
      <c r="K317" s="15" t="n">
        <f aca="false">AG317*評分方法!$C$7</f>
        <v>15</v>
      </c>
      <c r="L317" s="15" t="n">
        <f aca="false">AH317*評分方法!$C$8</f>
        <v>9</v>
      </c>
      <c r="M317" s="15" t="n">
        <f aca="false">AI317*評分方法!$C$9</f>
        <v>10</v>
      </c>
      <c r="N317" s="15" t="n">
        <f aca="false">AJ317*評分方法!$C$10</f>
        <v>3.68</v>
      </c>
      <c r="O317" s="15" t="n">
        <f aca="false">AK317*評分方法!$C$11</f>
        <v>5</v>
      </c>
      <c r="P317" s="15" t="n">
        <f aca="false">AL317*評分方法!$C$12</f>
        <v>5</v>
      </c>
      <c r="Q317" s="6" t="n">
        <v>373770</v>
      </c>
      <c r="R317" s="6" t="n">
        <v>13945031680</v>
      </c>
      <c r="S317" s="11" t="s">
        <v>389</v>
      </c>
      <c r="T317" s="11" t="s">
        <v>239</v>
      </c>
      <c r="U317" s="5" t="s">
        <v>240</v>
      </c>
      <c r="V317" s="11" t="s">
        <v>261</v>
      </c>
      <c r="W317" s="5" t="s">
        <v>205</v>
      </c>
      <c r="X317" s="5" t="s">
        <v>284</v>
      </c>
      <c r="Y317" s="11" t="s">
        <v>642</v>
      </c>
      <c r="Z317" s="11" t="s">
        <v>270</v>
      </c>
      <c r="AA317" s="11" t="s">
        <v>155</v>
      </c>
      <c r="AB317" s="5" t="s">
        <v>328</v>
      </c>
      <c r="AC317" s="5" t="s">
        <v>400</v>
      </c>
      <c r="AD317" s="11" t="s">
        <v>1033</v>
      </c>
      <c r="AE317" s="23" t="n">
        <v>0.85</v>
      </c>
      <c r="AF317" s="23" t="n">
        <v>0</v>
      </c>
      <c r="AG317" s="23" t="n">
        <v>1</v>
      </c>
      <c r="AH317" s="23" t="n">
        <v>0.6</v>
      </c>
      <c r="AI317" s="23" t="n">
        <v>1</v>
      </c>
      <c r="AJ317" s="23" t="n">
        <v>0.368</v>
      </c>
      <c r="AK317" s="23" t="n">
        <v>1</v>
      </c>
      <c r="AL317" s="23" t="n">
        <v>1</v>
      </c>
      <c r="AM317" s="16" t="n">
        <f aca="false">COUNTIFS($D$2:$D$2501,D317,$G$2:$G$2501,"&gt;"&amp;G317)+COUNTIFS($D$2:D317,D317,$G$2:G317,G317)</f>
        <v>149</v>
      </c>
      <c r="AN317" s="5" t="str">
        <f aca="false">D317&amp;"|"&amp;AM317</f>
        <v>分析與報告生成|149</v>
      </c>
    </row>
    <row r="318" customFormat="false" ht="17.15" hidden="false" customHeight="false" outlineLevel="0" collapsed="false">
      <c r="A318" s="16" t="n">
        <f aca="false">RANK(G318,$G$2:$G$2501)+COUNTIF($G$2:G318,G318)-1</f>
        <v>317</v>
      </c>
      <c r="B318" s="11" t="s">
        <v>908</v>
      </c>
      <c r="C318" s="11" t="s">
        <v>461</v>
      </c>
      <c r="D318" s="5" t="s">
        <v>56</v>
      </c>
      <c r="E318" s="5" t="s">
        <v>57</v>
      </c>
      <c r="F318" s="5"/>
      <c r="G318" s="22" t="n">
        <f aca="false">ROUND(SUM(I318:P318),3)</f>
        <v>73.18</v>
      </c>
      <c r="H318" s="5" t="str">
        <f aca="false">IF(G318&gt;=評分方法!$C$16,"優先評估",IF(G318&gt;=評分方法!$C$17,"列入候選",IF(G318&gt;=評分方法!$C$18,"特定情境","不建議")))</f>
        <v>列入候選</v>
      </c>
      <c r="I318" s="15" t="n">
        <f aca="false">AE318*評分方法!$C$5</f>
        <v>25.5</v>
      </c>
      <c r="J318" s="15" t="n">
        <f aca="false">AF318*評分方法!$C$6</f>
        <v>0</v>
      </c>
      <c r="K318" s="15" t="n">
        <f aca="false">AG318*評分方法!$C$7</f>
        <v>15</v>
      </c>
      <c r="L318" s="15" t="n">
        <f aca="false">AH318*評分方法!$C$8</f>
        <v>15</v>
      </c>
      <c r="M318" s="15" t="n">
        <f aca="false">AI318*評分方法!$C$9</f>
        <v>6</v>
      </c>
      <c r="N318" s="15" t="n">
        <f aca="false">AJ318*評分方法!$C$10</f>
        <v>1.68</v>
      </c>
      <c r="O318" s="15" t="n">
        <f aca="false">AK318*評分方法!$C$11</f>
        <v>5</v>
      </c>
      <c r="P318" s="15" t="n">
        <f aca="false">AL318*評分方法!$C$12</f>
        <v>5</v>
      </c>
      <c r="Q318" s="6" t="n">
        <v>189785</v>
      </c>
      <c r="R318" s="6" t="n">
        <v>229693184</v>
      </c>
      <c r="S318" s="11" t="s">
        <v>238</v>
      </c>
      <c r="T318" s="11" t="s">
        <v>185</v>
      </c>
      <c r="U318" s="5" t="s">
        <v>260</v>
      </c>
      <c r="V318" s="11" t="s">
        <v>261</v>
      </c>
      <c r="W318" s="5" t="s">
        <v>205</v>
      </c>
      <c r="X318" s="5" t="s">
        <v>284</v>
      </c>
      <c r="Y318" s="5"/>
      <c r="Z318" s="5"/>
      <c r="AA318" s="11" t="s">
        <v>155</v>
      </c>
      <c r="AB318" s="5" t="s">
        <v>245</v>
      </c>
      <c r="AC318" s="5" t="s">
        <v>262</v>
      </c>
      <c r="AD318" s="11" t="s">
        <v>1034</v>
      </c>
      <c r="AE318" s="23" t="n">
        <v>0.85</v>
      </c>
      <c r="AF318" s="23" t="n">
        <v>0</v>
      </c>
      <c r="AG318" s="23" t="n">
        <v>1</v>
      </c>
      <c r="AH318" s="23" t="n">
        <v>1</v>
      </c>
      <c r="AI318" s="23" t="n">
        <v>0.6</v>
      </c>
      <c r="AJ318" s="23" t="n">
        <v>0.168</v>
      </c>
      <c r="AK318" s="23" t="n">
        <v>1</v>
      </c>
      <c r="AL318" s="23" t="n">
        <v>1</v>
      </c>
      <c r="AM318" s="16" t="n">
        <f aca="false">COUNTIFS($D$2:$D$2501,D318,$G$2:$G$2501,"&gt;"&amp;G318)+COUNTIFS($D$2:D318,D318,$G$2:G318,G318)</f>
        <v>150</v>
      </c>
      <c r="AN318" s="5" t="str">
        <f aca="false">D318&amp;"|"&amp;AM318</f>
        <v>分析與報告生成|150</v>
      </c>
    </row>
    <row r="319" customFormat="false" ht="17.15" hidden="false" customHeight="false" outlineLevel="0" collapsed="false">
      <c r="A319" s="16" t="n">
        <f aca="false">RANK(G319,$G$2:$G$2501)+COUNTIF($G$2:G319,G319)-1</f>
        <v>318</v>
      </c>
      <c r="B319" s="11" t="s">
        <v>1035</v>
      </c>
      <c r="C319" s="11" t="s">
        <v>327</v>
      </c>
      <c r="D319" s="5" t="s">
        <v>56</v>
      </c>
      <c r="E319" s="5" t="s">
        <v>57</v>
      </c>
      <c r="F319" s="5"/>
      <c r="G319" s="22" t="n">
        <f aca="false">ROUND(SUM(I319:P319),3)</f>
        <v>73.156</v>
      </c>
      <c r="H319" s="5" t="str">
        <f aca="false">IF(G319&gt;=評分方法!$C$16,"優先評估",IF(G319&gt;=評分方法!$C$17,"列入候選",IF(G319&gt;=評分方法!$C$18,"特定情境","不建議")))</f>
        <v>列入候選</v>
      </c>
      <c r="I319" s="15" t="n">
        <f aca="false">AE319*評分方法!$C$5</f>
        <v>25.5</v>
      </c>
      <c r="J319" s="15" t="n">
        <f aca="false">AF319*評分方法!$C$6</f>
        <v>0</v>
      </c>
      <c r="K319" s="15" t="n">
        <f aca="false">AG319*評分方法!$C$7</f>
        <v>15</v>
      </c>
      <c r="L319" s="15" t="n">
        <f aca="false">AH319*評分方法!$C$8</f>
        <v>9</v>
      </c>
      <c r="M319" s="15" t="n">
        <f aca="false">AI319*評分方法!$C$9</f>
        <v>6</v>
      </c>
      <c r="N319" s="15" t="n">
        <f aca="false">AJ319*評分方法!$C$10</f>
        <v>9.656</v>
      </c>
      <c r="O319" s="15" t="n">
        <f aca="false">AK319*評分方法!$C$11</f>
        <v>5</v>
      </c>
      <c r="P319" s="15" t="n">
        <f aca="false">AL319*評分方法!$C$12</f>
        <v>3</v>
      </c>
      <c r="Q319" s="6" t="n">
        <v>11971489</v>
      </c>
      <c r="R319" s="6" t="n">
        <v>20868591152</v>
      </c>
      <c r="S319" s="11" t="s">
        <v>389</v>
      </c>
      <c r="T319" s="11" t="s">
        <v>185</v>
      </c>
      <c r="U319" s="5" t="s">
        <v>260</v>
      </c>
      <c r="V319" s="11" t="s">
        <v>261</v>
      </c>
      <c r="W319" s="5" t="s">
        <v>205</v>
      </c>
      <c r="X319" s="5" t="s">
        <v>371</v>
      </c>
      <c r="Y319" s="11" t="s">
        <v>583</v>
      </c>
      <c r="Z319" s="11" t="s">
        <v>244</v>
      </c>
      <c r="AA319" s="11" t="s">
        <v>155</v>
      </c>
      <c r="AB319" s="5" t="s">
        <v>245</v>
      </c>
      <c r="AC319" s="5" t="s">
        <v>464</v>
      </c>
      <c r="AD319" s="11" t="s">
        <v>1036</v>
      </c>
      <c r="AE319" s="23" t="n">
        <v>0.85</v>
      </c>
      <c r="AF319" s="23" t="n">
        <v>0</v>
      </c>
      <c r="AG319" s="23" t="n">
        <v>1</v>
      </c>
      <c r="AH319" s="23" t="n">
        <v>0.6</v>
      </c>
      <c r="AI319" s="23" t="n">
        <v>0.6</v>
      </c>
      <c r="AJ319" s="23" t="n">
        <v>0.9656</v>
      </c>
      <c r="AK319" s="23" t="n">
        <v>1</v>
      </c>
      <c r="AL319" s="23" t="n">
        <v>0.6</v>
      </c>
      <c r="AM319" s="16" t="n">
        <f aca="false">COUNTIFS($D$2:$D$2501,D319,$G$2:$G$2501,"&gt;"&amp;G319)+COUNTIFS($D$2:D319,D319,$G$2:G319,G319)</f>
        <v>151</v>
      </c>
      <c r="AN319" s="5" t="str">
        <f aca="false">D319&amp;"|"&amp;AM319</f>
        <v>分析與報告生成|151</v>
      </c>
    </row>
    <row r="320" customFormat="false" ht="17.15" hidden="false" customHeight="false" outlineLevel="0" collapsed="false">
      <c r="A320" s="16" t="n">
        <f aca="false">RANK(G320,$G$2:$G$2501)+COUNTIF($G$2:G320,G320)-1</f>
        <v>319</v>
      </c>
      <c r="B320" s="11" t="s">
        <v>1037</v>
      </c>
      <c r="C320" s="11" t="s">
        <v>299</v>
      </c>
      <c r="D320" s="5" t="s">
        <v>68</v>
      </c>
      <c r="E320" s="11" t="s">
        <v>69</v>
      </c>
      <c r="F320" s="5"/>
      <c r="G320" s="22" t="n">
        <f aca="false">ROUND(SUM(I320:P320),3)</f>
        <v>73.14</v>
      </c>
      <c r="H320" s="5" t="str">
        <f aca="false">IF(G320&gt;=評分方法!$C$16,"優先評估",IF(G320&gt;=評分方法!$C$17,"列入候選",IF(G320&gt;=評分方法!$C$18,"特定情境","不建議")))</f>
        <v>列入候選</v>
      </c>
      <c r="I320" s="15" t="n">
        <f aca="false">AE320*評分方法!$C$5</f>
        <v>21</v>
      </c>
      <c r="J320" s="15" t="n">
        <f aca="false">AF320*評分方法!$C$6</f>
        <v>0</v>
      </c>
      <c r="K320" s="15" t="n">
        <f aca="false">AG320*評分方法!$C$7</f>
        <v>15</v>
      </c>
      <c r="L320" s="15" t="n">
        <f aca="false">AH320*評分方法!$C$8</f>
        <v>15</v>
      </c>
      <c r="M320" s="15" t="n">
        <f aca="false">AI320*評分方法!$C$9</f>
        <v>10</v>
      </c>
      <c r="N320" s="15" t="n">
        <f aca="false">AJ320*評分方法!$C$10</f>
        <v>8.14</v>
      </c>
      <c r="O320" s="15" t="n">
        <f aca="false">AK320*評分方法!$C$11</f>
        <v>2.5</v>
      </c>
      <c r="P320" s="15" t="n">
        <f aca="false">AL320*評分方法!$C$12</f>
        <v>1.5</v>
      </c>
      <c r="Q320" s="6" t="n">
        <v>1750001</v>
      </c>
      <c r="R320" s="6" t="n">
        <v>805280</v>
      </c>
      <c r="S320" s="11" t="s">
        <v>238</v>
      </c>
      <c r="T320" s="11" t="s">
        <v>239</v>
      </c>
      <c r="U320" s="5" t="s">
        <v>240</v>
      </c>
      <c r="V320" s="11" t="s">
        <v>261</v>
      </c>
      <c r="W320" s="5" t="s">
        <v>205</v>
      </c>
      <c r="X320" s="5" t="s">
        <v>255</v>
      </c>
      <c r="Y320" s="5"/>
      <c r="Z320" s="5"/>
      <c r="AA320" s="11" t="s">
        <v>158</v>
      </c>
      <c r="AB320" s="5" t="s">
        <v>245</v>
      </c>
      <c r="AC320" s="5"/>
      <c r="AD320" s="11" t="s">
        <v>1038</v>
      </c>
      <c r="AE320" s="23" t="n">
        <v>0.7</v>
      </c>
      <c r="AF320" s="23" t="n">
        <v>0</v>
      </c>
      <c r="AG320" s="23" t="n">
        <v>1</v>
      </c>
      <c r="AH320" s="23" t="n">
        <v>1</v>
      </c>
      <c r="AI320" s="23" t="n">
        <v>1</v>
      </c>
      <c r="AJ320" s="23" t="n">
        <v>0.814</v>
      </c>
      <c r="AK320" s="23" t="n">
        <v>0.5</v>
      </c>
      <c r="AL320" s="23" t="n">
        <v>0.3</v>
      </c>
      <c r="AM320" s="16" t="n">
        <f aca="false">COUNTIFS($D$2:$D$2501,D320,$G$2:$G$2501,"&gt;"&amp;G320)+COUNTIFS($D$2:D320,D320,$G$2:G320,G320)</f>
        <v>20</v>
      </c>
      <c r="AN320" s="5" t="str">
        <f aca="false">D320&amp;"|"&amp;AM320</f>
        <v>時序異常偵測|20</v>
      </c>
    </row>
    <row r="321" customFormat="false" ht="17.15" hidden="false" customHeight="false" outlineLevel="0" collapsed="false">
      <c r="A321" s="16" t="n">
        <f aca="false">RANK(G321,$G$2:$G$2501)+COUNTIF($G$2:G321,G321)-1</f>
        <v>320</v>
      </c>
      <c r="B321" s="11" t="s">
        <v>1039</v>
      </c>
      <c r="C321" s="11" t="s">
        <v>323</v>
      </c>
      <c r="D321" s="5" t="s">
        <v>56</v>
      </c>
      <c r="E321" s="5" t="s">
        <v>57</v>
      </c>
      <c r="F321" s="5"/>
      <c r="G321" s="22" t="n">
        <f aca="false">ROUND(SUM(I321:P321),3)</f>
        <v>73.114</v>
      </c>
      <c r="H321" s="5" t="str">
        <f aca="false">IF(G321&gt;=評分方法!$C$16,"優先評估",IF(G321&gt;=評分方法!$C$17,"列入候選",IF(G321&gt;=評分方法!$C$18,"特定情境","不建議")))</f>
        <v>列入候選</v>
      </c>
      <c r="I321" s="15" t="n">
        <f aca="false">AE321*評分方法!$C$5</f>
        <v>25.5</v>
      </c>
      <c r="J321" s="15" t="n">
        <f aca="false">AF321*評分方法!$C$6</f>
        <v>0</v>
      </c>
      <c r="K321" s="15" t="n">
        <f aca="false">AG321*評分方法!$C$7</f>
        <v>15</v>
      </c>
      <c r="L321" s="15" t="n">
        <f aca="false">AH321*評分方法!$C$8</f>
        <v>13.05</v>
      </c>
      <c r="M321" s="15" t="n">
        <f aca="false">AI321*評分方法!$C$9</f>
        <v>10</v>
      </c>
      <c r="N321" s="15" t="n">
        <f aca="false">AJ321*評分方法!$C$10</f>
        <v>7.064</v>
      </c>
      <c r="O321" s="15" t="n">
        <f aca="false">AK321*評分方法!$C$11</f>
        <v>2.5</v>
      </c>
      <c r="P321" s="15" t="n">
        <f aca="false">AL321*評分方法!$C$12</f>
        <v>0</v>
      </c>
      <c r="Q321" s="6" t="n">
        <v>942833</v>
      </c>
      <c r="R321" s="6" t="n">
        <v>6919161856</v>
      </c>
      <c r="S321" s="11" t="s">
        <v>254</v>
      </c>
      <c r="T321" s="11" t="s">
        <v>239</v>
      </c>
      <c r="U321" s="5" t="s">
        <v>240</v>
      </c>
      <c r="V321" s="11" t="s">
        <v>261</v>
      </c>
      <c r="W321" s="5" t="s">
        <v>205</v>
      </c>
      <c r="X321" s="5" t="s">
        <v>242</v>
      </c>
      <c r="Y321" s="11" t="s">
        <v>1040</v>
      </c>
      <c r="Z321" s="11" t="s">
        <v>270</v>
      </c>
      <c r="AA321" s="11" t="s">
        <v>155</v>
      </c>
      <c r="AB321" s="5" t="s">
        <v>245</v>
      </c>
      <c r="AC321" s="5"/>
      <c r="AD321" s="11" t="s">
        <v>1041</v>
      </c>
      <c r="AE321" s="23" t="n">
        <v>0.85</v>
      </c>
      <c r="AF321" s="23" t="n">
        <v>0</v>
      </c>
      <c r="AG321" s="23" t="n">
        <v>1</v>
      </c>
      <c r="AH321" s="23" t="n">
        <v>0.87</v>
      </c>
      <c r="AI321" s="23" t="n">
        <v>1</v>
      </c>
      <c r="AJ321" s="23" t="n">
        <v>0.7064</v>
      </c>
      <c r="AK321" s="23" t="n">
        <v>0.5</v>
      </c>
      <c r="AL321" s="23" t="n">
        <v>0</v>
      </c>
      <c r="AM321" s="16" t="n">
        <f aca="false">COUNTIFS($D$2:$D$2501,D321,$G$2:$G$2501,"&gt;"&amp;G321)+COUNTIFS($D$2:D321,D321,$G$2:G321,G321)</f>
        <v>152</v>
      </c>
      <c r="AN321" s="5" t="str">
        <f aca="false">D321&amp;"|"&amp;AM321</f>
        <v>分析與報告生成|152</v>
      </c>
    </row>
    <row r="322" customFormat="false" ht="17.15" hidden="false" customHeight="false" outlineLevel="0" collapsed="false">
      <c r="A322" s="16" t="n">
        <f aca="false">RANK(G322,$G$2:$G$2501)+COUNTIF($G$2:G322,G322)-1</f>
        <v>321</v>
      </c>
      <c r="B322" s="11" t="s">
        <v>756</v>
      </c>
      <c r="C322" s="11" t="s">
        <v>368</v>
      </c>
      <c r="D322" s="5" t="s">
        <v>56</v>
      </c>
      <c r="E322" s="5" t="s">
        <v>57</v>
      </c>
      <c r="F322" s="5"/>
      <c r="G322" s="22" t="n">
        <f aca="false">ROUND(SUM(I322:P322),3)</f>
        <v>73.108</v>
      </c>
      <c r="H322" s="5" t="str">
        <f aca="false">IF(G322&gt;=評分方法!$C$16,"優先評估",IF(G322&gt;=評分方法!$C$17,"列入候選",IF(G322&gt;=評分方法!$C$18,"特定情境","不建議")))</f>
        <v>列入候選</v>
      </c>
      <c r="I322" s="15" t="n">
        <f aca="false">AE322*評分方法!$C$5</f>
        <v>24</v>
      </c>
      <c r="J322" s="15" t="n">
        <f aca="false">AF322*評分方法!$C$6</f>
        <v>0</v>
      </c>
      <c r="K322" s="15" t="n">
        <f aca="false">AG322*評分方法!$C$7</f>
        <v>15</v>
      </c>
      <c r="L322" s="15" t="n">
        <f aca="false">AH322*評分方法!$C$8</f>
        <v>9</v>
      </c>
      <c r="M322" s="15" t="n">
        <f aca="false">AI322*評分方法!$C$9</f>
        <v>10</v>
      </c>
      <c r="N322" s="15" t="n">
        <f aca="false">AJ322*評分方法!$C$10</f>
        <v>7.108</v>
      </c>
      <c r="O322" s="15" t="n">
        <f aca="false">AK322*評分方法!$C$11</f>
        <v>5</v>
      </c>
      <c r="P322" s="15" t="n">
        <f aca="false">AL322*評分方法!$C$12</f>
        <v>3</v>
      </c>
      <c r="Q322" s="6" t="n">
        <v>963702</v>
      </c>
      <c r="R322" s="6" t="n">
        <v>11959730224</v>
      </c>
      <c r="S322" s="11" t="s">
        <v>389</v>
      </c>
      <c r="T322" s="11" t="s">
        <v>239</v>
      </c>
      <c r="U322" s="5" t="s">
        <v>240</v>
      </c>
      <c r="V322" s="11" t="s">
        <v>261</v>
      </c>
      <c r="W322" s="5" t="s">
        <v>205</v>
      </c>
      <c r="X322" s="5" t="s">
        <v>371</v>
      </c>
      <c r="Y322" s="5"/>
      <c r="Z322" s="5"/>
      <c r="AA322" s="11" t="s">
        <v>157</v>
      </c>
      <c r="AB322" s="5" t="s">
        <v>245</v>
      </c>
      <c r="AC322" s="5"/>
      <c r="AD322" s="11" t="s">
        <v>1042</v>
      </c>
      <c r="AE322" s="23" t="n">
        <v>0.8</v>
      </c>
      <c r="AF322" s="23" t="n">
        <v>0</v>
      </c>
      <c r="AG322" s="23" t="n">
        <v>1</v>
      </c>
      <c r="AH322" s="23" t="n">
        <v>0.6</v>
      </c>
      <c r="AI322" s="23" t="n">
        <v>1</v>
      </c>
      <c r="AJ322" s="23" t="n">
        <v>0.7108</v>
      </c>
      <c r="AK322" s="23" t="n">
        <v>1</v>
      </c>
      <c r="AL322" s="23" t="n">
        <v>0.6</v>
      </c>
      <c r="AM322" s="16" t="n">
        <f aca="false">COUNTIFS($D$2:$D$2501,D322,$G$2:$G$2501,"&gt;"&amp;G322)+COUNTIFS($D$2:D322,D322,$G$2:G322,G322)</f>
        <v>153</v>
      </c>
      <c r="AN322" s="5" t="str">
        <f aca="false">D322&amp;"|"&amp;AM322</f>
        <v>分析與報告生成|153</v>
      </c>
    </row>
    <row r="323" customFormat="false" ht="17.15" hidden="false" customHeight="false" outlineLevel="0" collapsed="false">
      <c r="A323" s="16" t="n">
        <f aca="false">RANK(G323,$G$2:$G$2501)+COUNTIF($G$2:G323,G323)-1</f>
        <v>322</v>
      </c>
      <c r="B323" s="11" t="s">
        <v>1043</v>
      </c>
      <c r="C323" s="11" t="s">
        <v>258</v>
      </c>
      <c r="D323" s="11" t="s">
        <v>46</v>
      </c>
      <c r="E323" s="11" t="s">
        <v>47</v>
      </c>
      <c r="F323" s="11" t="s">
        <v>46</v>
      </c>
      <c r="G323" s="22" t="n">
        <f aca="false">ROUND(SUM(I323:P323),3)</f>
        <v>73.078</v>
      </c>
      <c r="H323" s="5" t="str">
        <f aca="false">IF(G323&gt;=評分方法!$C$16,"優先評估",IF(G323&gt;=評分方法!$C$17,"列入候選",IF(G323&gt;=評分方法!$C$18,"特定情境","不建議")))</f>
        <v>列入候選</v>
      </c>
      <c r="I323" s="15" t="n">
        <f aca="false">AE323*評分方法!$C$5</f>
        <v>25.5</v>
      </c>
      <c r="J323" s="15" t="n">
        <f aca="false">AF323*評分方法!$C$6</f>
        <v>10</v>
      </c>
      <c r="K323" s="15" t="n">
        <f aca="false">AG323*評分方法!$C$7</f>
        <v>15</v>
      </c>
      <c r="L323" s="15" t="n">
        <f aca="false">AH323*評分方法!$C$8</f>
        <v>13.05</v>
      </c>
      <c r="M323" s="15" t="n">
        <f aca="false">AI323*評分方法!$C$9</f>
        <v>6</v>
      </c>
      <c r="N323" s="15" t="n">
        <f aca="false">AJ323*評分方法!$C$10</f>
        <v>2.528</v>
      </c>
      <c r="O323" s="15" t="n">
        <f aca="false">AK323*評分方法!$C$11</f>
        <v>1</v>
      </c>
      <c r="P323" s="15" t="n">
        <f aca="false">AL323*評分方法!$C$12</f>
        <v>0</v>
      </c>
      <c r="Q323" s="6" t="n">
        <v>251312</v>
      </c>
      <c r="R323" s="6" t="n">
        <v>1498482688</v>
      </c>
      <c r="S323" s="11" t="s">
        <v>254</v>
      </c>
      <c r="T323" s="11" t="s">
        <v>1044</v>
      </c>
      <c r="U323" s="5" t="s">
        <v>260</v>
      </c>
      <c r="V323" s="11" t="s">
        <v>324</v>
      </c>
      <c r="W323" s="5" t="s">
        <v>205</v>
      </c>
      <c r="X323" s="5" t="s">
        <v>242</v>
      </c>
      <c r="Y323" s="5"/>
      <c r="Z323" s="5"/>
      <c r="AA323" s="11" t="s">
        <v>155</v>
      </c>
      <c r="AB323" s="5" t="s">
        <v>245</v>
      </c>
      <c r="AC323" s="5" t="s">
        <v>262</v>
      </c>
      <c r="AD323" s="11" t="s">
        <v>1045</v>
      </c>
      <c r="AE323" s="23" t="n">
        <v>0.85</v>
      </c>
      <c r="AF323" s="23" t="n">
        <v>1</v>
      </c>
      <c r="AG323" s="23" t="n">
        <v>1</v>
      </c>
      <c r="AH323" s="23" t="n">
        <v>0.87</v>
      </c>
      <c r="AI323" s="23" t="n">
        <v>0.6</v>
      </c>
      <c r="AJ323" s="23" t="n">
        <v>0.2528</v>
      </c>
      <c r="AK323" s="23" t="n">
        <v>0.2</v>
      </c>
      <c r="AL323" s="23" t="n">
        <v>0</v>
      </c>
      <c r="AM323" s="16" t="n">
        <f aca="false">COUNTIFS($D$2:$D$2501,D323,$G$2:$G$2501,"&gt;"&amp;G323)+COUNTIFS($D$2:D323,D323,$G$2:G323,G323)</f>
        <v>14</v>
      </c>
      <c r="AN323" s="5" t="str">
        <f aca="false">D323&amp;"|"&amp;AM323</f>
        <v>AI 應用防護|14</v>
      </c>
    </row>
    <row r="324" customFormat="false" ht="17.15" hidden="false" customHeight="false" outlineLevel="0" collapsed="false">
      <c r="A324" s="16" t="n">
        <f aca="false">RANK(G324,$G$2:$G$2501)+COUNTIF($G$2:G324,G324)-1</f>
        <v>323</v>
      </c>
      <c r="B324" s="11" t="s">
        <v>1046</v>
      </c>
      <c r="C324" s="11" t="s">
        <v>368</v>
      </c>
      <c r="D324" s="5" t="s">
        <v>56</v>
      </c>
      <c r="E324" s="5" t="s">
        <v>57</v>
      </c>
      <c r="F324" s="5"/>
      <c r="G324" s="22" t="n">
        <f aca="false">ROUND(SUM(I324:P324),3)</f>
        <v>72.96</v>
      </c>
      <c r="H324" s="5" t="str">
        <f aca="false">IF(G324&gt;=評分方法!$C$16,"優先評估",IF(G324&gt;=評分方法!$C$17,"列入候選",IF(G324&gt;=評分方法!$C$18,"特定情境","不建議")))</f>
        <v>列入候選</v>
      </c>
      <c r="I324" s="15" t="n">
        <f aca="false">AE324*評分方法!$C$5</f>
        <v>18</v>
      </c>
      <c r="J324" s="15" t="n">
        <f aca="false">AF324*評分方法!$C$6</f>
        <v>0</v>
      </c>
      <c r="K324" s="15" t="n">
        <f aca="false">AG324*評分方法!$C$7</f>
        <v>15</v>
      </c>
      <c r="L324" s="15" t="n">
        <f aca="false">AH324*評分方法!$C$8</f>
        <v>15</v>
      </c>
      <c r="M324" s="15" t="n">
        <f aca="false">AI324*評分方法!$C$9</f>
        <v>10</v>
      </c>
      <c r="N324" s="15" t="n">
        <f aca="false">AJ324*評分方法!$C$10</f>
        <v>8.96</v>
      </c>
      <c r="O324" s="15" t="n">
        <f aca="false">AK324*評分方法!$C$11</f>
        <v>1</v>
      </c>
      <c r="P324" s="15" t="n">
        <f aca="false">AL324*評分方法!$C$12</f>
        <v>5</v>
      </c>
      <c r="Q324" s="6" t="n">
        <v>3691974</v>
      </c>
      <c r="R324" s="6" t="n">
        <v>76961152</v>
      </c>
      <c r="S324" s="11" t="s">
        <v>238</v>
      </c>
      <c r="T324" s="11" t="s">
        <v>239</v>
      </c>
      <c r="U324" s="5" t="s">
        <v>240</v>
      </c>
      <c r="V324" s="11" t="s">
        <v>279</v>
      </c>
      <c r="W324" s="5" t="s">
        <v>205</v>
      </c>
      <c r="X324" s="5" t="s">
        <v>284</v>
      </c>
      <c r="Y324" s="5"/>
      <c r="Z324" s="5"/>
      <c r="AA324" s="11" t="s">
        <v>161</v>
      </c>
      <c r="AB324" s="5" t="s">
        <v>983</v>
      </c>
      <c r="AC324" s="5" t="s">
        <v>984</v>
      </c>
      <c r="AD324" s="11" t="s">
        <v>1047</v>
      </c>
      <c r="AE324" s="23" t="n">
        <v>0.6</v>
      </c>
      <c r="AF324" s="23" t="n">
        <v>0</v>
      </c>
      <c r="AG324" s="23" t="n">
        <v>1</v>
      </c>
      <c r="AH324" s="23" t="n">
        <v>1</v>
      </c>
      <c r="AI324" s="23" t="n">
        <v>1</v>
      </c>
      <c r="AJ324" s="23" t="n">
        <v>0.896</v>
      </c>
      <c r="AK324" s="23" t="n">
        <v>0.2</v>
      </c>
      <c r="AL324" s="23" t="n">
        <v>1</v>
      </c>
      <c r="AM324" s="16" t="n">
        <f aca="false">COUNTIFS($D$2:$D$2501,D324,$G$2:$G$2501,"&gt;"&amp;G324)+COUNTIFS($D$2:D324,D324,$G$2:G324,G324)</f>
        <v>154</v>
      </c>
      <c r="AN324" s="5" t="str">
        <f aca="false">D324&amp;"|"&amp;AM324</f>
        <v>分析與報告生成|154</v>
      </c>
    </row>
    <row r="325" customFormat="false" ht="17.15" hidden="false" customHeight="false" outlineLevel="0" collapsed="false">
      <c r="A325" s="16" t="n">
        <f aca="false">RANK(G325,$G$2:$G$2501)+COUNTIF($G$2:G325,G325)-1</f>
        <v>324</v>
      </c>
      <c r="B325" s="11" t="s">
        <v>1048</v>
      </c>
      <c r="C325" s="11" t="s">
        <v>308</v>
      </c>
      <c r="D325" s="5" t="s">
        <v>56</v>
      </c>
      <c r="E325" s="5" t="s">
        <v>57</v>
      </c>
      <c r="F325" s="5"/>
      <c r="G325" s="22" t="n">
        <f aca="false">ROUND(SUM(I325:P325),3)</f>
        <v>72.888</v>
      </c>
      <c r="H325" s="5" t="str">
        <f aca="false">IF(G325&gt;=評分方法!$C$16,"優先評估",IF(G325&gt;=評分方法!$C$17,"列入候選",IF(G325&gt;=評分方法!$C$18,"特定情境","不建議")))</f>
        <v>列入候選</v>
      </c>
      <c r="I325" s="15" t="n">
        <f aca="false">AE325*評分方法!$C$5</f>
        <v>25.5</v>
      </c>
      <c r="J325" s="15" t="n">
        <f aca="false">AF325*評分方法!$C$6</f>
        <v>0</v>
      </c>
      <c r="K325" s="15" t="n">
        <f aca="false">AG325*評分方法!$C$7</f>
        <v>15</v>
      </c>
      <c r="L325" s="15" t="n">
        <f aca="false">AH325*評分方法!$C$8</f>
        <v>15</v>
      </c>
      <c r="M325" s="15" t="n">
        <f aca="false">AI325*評分方法!$C$9</f>
        <v>10</v>
      </c>
      <c r="N325" s="15" t="n">
        <f aca="false">AJ325*評分方法!$C$10</f>
        <v>3.388</v>
      </c>
      <c r="O325" s="15" t="n">
        <f aca="false">AK325*評分方法!$C$11</f>
        <v>1</v>
      </c>
      <c r="P325" s="15" t="n">
        <f aca="false">AL325*評分方法!$C$12</f>
        <v>3</v>
      </c>
      <c r="Q325" s="6" t="n">
        <v>339627</v>
      </c>
      <c r="R325" s="6" t="n">
        <v>175620096</v>
      </c>
      <c r="S325" s="11" t="s">
        <v>238</v>
      </c>
      <c r="T325" s="11" t="s">
        <v>278</v>
      </c>
      <c r="U325" s="5" t="s">
        <v>240</v>
      </c>
      <c r="V325" s="11" t="s">
        <v>279</v>
      </c>
      <c r="W325" s="5" t="s">
        <v>205</v>
      </c>
      <c r="X325" s="5" t="s">
        <v>371</v>
      </c>
      <c r="Y325" s="5"/>
      <c r="Z325" s="5"/>
      <c r="AA325" s="11" t="s">
        <v>155</v>
      </c>
      <c r="AB325" s="5" t="s">
        <v>245</v>
      </c>
      <c r="AC325" s="5"/>
      <c r="AD325" s="11" t="s">
        <v>1049</v>
      </c>
      <c r="AE325" s="23" t="n">
        <v>0.85</v>
      </c>
      <c r="AF325" s="23" t="n">
        <v>0</v>
      </c>
      <c r="AG325" s="23" t="n">
        <v>1</v>
      </c>
      <c r="AH325" s="23" t="n">
        <v>1</v>
      </c>
      <c r="AI325" s="23" t="n">
        <v>1</v>
      </c>
      <c r="AJ325" s="23" t="n">
        <v>0.3388</v>
      </c>
      <c r="AK325" s="23" t="n">
        <v>0.2</v>
      </c>
      <c r="AL325" s="23" t="n">
        <v>0.6</v>
      </c>
      <c r="AM325" s="16" t="n">
        <f aca="false">COUNTIFS($D$2:$D$2501,D325,$G$2:$G$2501,"&gt;"&amp;G325)+COUNTIFS($D$2:D325,D325,$G$2:G325,G325)</f>
        <v>155</v>
      </c>
      <c r="AN325" s="5" t="str">
        <f aca="false">D325&amp;"|"&amp;AM325</f>
        <v>分析與報告生成|155</v>
      </c>
    </row>
    <row r="326" customFormat="false" ht="17.15" hidden="false" customHeight="false" outlineLevel="0" collapsed="false">
      <c r="A326" s="16" t="n">
        <f aca="false">RANK(G326,$G$2:$G$2501)+COUNTIF($G$2:G326,G326)-1</f>
        <v>325</v>
      </c>
      <c r="B326" s="11" t="s">
        <v>1050</v>
      </c>
      <c r="C326" s="11" t="s">
        <v>368</v>
      </c>
      <c r="D326" s="5" t="s">
        <v>56</v>
      </c>
      <c r="E326" s="5" t="s">
        <v>57</v>
      </c>
      <c r="F326" s="5"/>
      <c r="G326" s="22" t="n">
        <f aca="false">ROUND(SUM(I326:P326),3)</f>
        <v>72.838</v>
      </c>
      <c r="H326" s="5" t="str">
        <f aca="false">IF(G326&gt;=評分方法!$C$16,"優先評估",IF(G326&gt;=評分方法!$C$17,"列入候選",IF(G326&gt;=評分方法!$C$18,"特定情境","不建議")))</f>
        <v>列入候選</v>
      </c>
      <c r="I326" s="15" t="n">
        <f aca="false">AE326*評分方法!$C$5</f>
        <v>25.5</v>
      </c>
      <c r="J326" s="15" t="n">
        <f aca="false">AF326*評分方法!$C$6</f>
        <v>0</v>
      </c>
      <c r="K326" s="15" t="n">
        <f aca="false">AG326*評分方法!$C$7</f>
        <v>15</v>
      </c>
      <c r="L326" s="15" t="n">
        <f aca="false">AH326*評分方法!$C$8</f>
        <v>13.05</v>
      </c>
      <c r="M326" s="15" t="n">
        <f aca="false">AI326*評分方法!$C$9</f>
        <v>6</v>
      </c>
      <c r="N326" s="15" t="n">
        <f aca="false">AJ326*評分方法!$C$10</f>
        <v>6.288</v>
      </c>
      <c r="O326" s="15" t="n">
        <f aca="false">AK326*評分方法!$C$11</f>
        <v>4</v>
      </c>
      <c r="P326" s="15" t="n">
        <f aca="false">AL326*評分方法!$C$12</f>
        <v>3</v>
      </c>
      <c r="Q326" s="6" t="n">
        <v>690817</v>
      </c>
      <c r="R326" s="6" t="n">
        <v>4300079472</v>
      </c>
      <c r="S326" s="11" t="s">
        <v>254</v>
      </c>
      <c r="T326" s="11" t="s">
        <v>658</v>
      </c>
      <c r="U326" s="5" t="s">
        <v>260</v>
      </c>
      <c r="V326" s="11" t="s">
        <v>261</v>
      </c>
      <c r="W326" s="5" t="s">
        <v>205</v>
      </c>
      <c r="X326" s="5" t="s">
        <v>371</v>
      </c>
      <c r="Y326" s="5"/>
      <c r="Z326" s="5"/>
      <c r="AA326" s="11" t="s">
        <v>156</v>
      </c>
      <c r="AB326" s="5" t="s">
        <v>245</v>
      </c>
      <c r="AC326" s="5" t="s">
        <v>262</v>
      </c>
      <c r="AD326" s="11" t="s">
        <v>1051</v>
      </c>
      <c r="AE326" s="23" t="n">
        <v>0.85</v>
      </c>
      <c r="AF326" s="23" t="n">
        <v>0</v>
      </c>
      <c r="AG326" s="23" t="n">
        <v>1</v>
      </c>
      <c r="AH326" s="23" t="n">
        <v>0.87</v>
      </c>
      <c r="AI326" s="23" t="n">
        <v>0.6</v>
      </c>
      <c r="AJ326" s="23" t="n">
        <v>0.6288</v>
      </c>
      <c r="AK326" s="23" t="n">
        <v>0.8</v>
      </c>
      <c r="AL326" s="23" t="n">
        <v>0.6</v>
      </c>
      <c r="AM326" s="16" t="n">
        <f aca="false">COUNTIFS($D$2:$D$2501,D326,$G$2:$G$2501,"&gt;"&amp;G326)+COUNTIFS($D$2:D326,D326,$G$2:G326,G326)</f>
        <v>156</v>
      </c>
      <c r="AN326" s="5" t="str">
        <f aca="false">D326&amp;"|"&amp;AM326</f>
        <v>分析與報告生成|156</v>
      </c>
    </row>
    <row r="327" customFormat="false" ht="17.15" hidden="false" customHeight="false" outlineLevel="0" collapsed="false">
      <c r="A327" s="16" t="n">
        <f aca="false">RANK(G327,$G$2:$G$2501)+COUNTIF($G$2:G327,G327)-1</f>
        <v>326</v>
      </c>
      <c r="B327" s="11" t="s">
        <v>1052</v>
      </c>
      <c r="C327" s="11" t="s">
        <v>753</v>
      </c>
      <c r="D327" s="5" t="s">
        <v>56</v>
      </c>
      <c r="E327" s="5" t="s">
        <v>57</v>
      </c>
      <c r="F327" s="5"/>
      <c r="G327" s="22" t="n">
        <f aca="false">ROUND(SUM(I327:P327),3)</f>
        <v>72.828</v>
      </c>
      <c r="H327" s="5" t="str">
        <f aca="false">IF(G327&gt;=評分方法!$C$16,"優先評估",IF(G327&gt;=評分方法!$C$17,"列入候選",IF(G327&gt;=評分方法!$C$18,"特定情境","不建議")))</f>
        <v>列入候選</v>
      </c>
      <c r="I327" s="15" t="n">
        <f aca="false">AE327*評分方法!$C$5</f>
        <v>24</v>
      </c>
      <c r="J327" s="15" t="n">
        <f aca="false">AF327*評分方法!$C$6</f>
        <v>0</v>
      </c>
      <c r="K327" s="15" t="n">
        <f aca="false">AG327*評分方法!$C$7</f>
        <v>10.05</v>
      </c>
      <c r="L327" s="15" t="n">
        <f aca="false">AH327*評分方法!$C$8</f>
        <v>13.05</v>
      </c>
      <c r="M327" s="15" t="n">
        <f aca="false">AI327*評分方法!$C$9</f>
        <v>10</v>
      </c>
      <c r="N327" s="15" t="n">
        <f aca="false">AJ327*評分方法!$C$10</f>
        <v>7.728</v>
      </c>
      <c r="O327" s="15" t="n">
        <f aca="false">AK327*評分方法!$C$11</f>
        <v>5</v>
      </c>
      <c r="P327" s="15" t="n">
        <f aca="false">AL327*評分方法!$C$12</f>
        <v>3</v>
      </c>
      <c r="Q327" s="6" t="n">
        <v>1310218</v>
      </c>
      <c r="R327" s="6" t="n">
        <v>4628569635</v>
      </c>
      <c r="S327" s="11" t="s">
        <v>254</v>
      </c>
      <c r="T327" s="11" t="s">
        <v>239</v>
      </c>
      <c r="U327" s="5" t="s">
        <v>240</v>
      </c>
      <c r="V327" s="11" t="s">
        <v>333</v>
      </c>
      <c r="W327" s="5" t="s">
        <v>207</v>
      </c>
      <c r="X327" s="5" t="s">
        <v>371</v>
      </c>
      <c r="Y327" s="11" t="s">
        <v>509</v>
      </c>
      <c r="Z327" s="11" t="s">
        <v>244</v>
      </c>
      <c r="AA327" s="11" t="s">
        <v>157</v>
      </c>
      <c r="AB327" s="5" t="s">
        <v>245</v>
      </c>
      <c r="AC327" s="5" t="s">
        <v>246</v>
      </c>
      <c r="AD327" s="11" t="s">
        <v>1053</v>
      </c>
      <c r="AE327" s="23" t="n">
        <v>0.8</v>
      </c>
      <c r="AF327" s="23" t="n">
        <v>0</v>
      </c>
      <c r="AG327" s="23" t="n">
        <v>0.67</v>
      </c>
      <c r="AH327" s="23" t="n">
        <v>0.87</v>
      </c>
      <c r="AI327" s="23" t="n">
        <v>1</v>
      </c>
      <c r="AJ327" s="23" t="n">
        <v>0.7728</v>
      </c>
      <c r="AK327" s="23" t="n">
        <v>1</v>
      </c>
      <c r="AL327" s="23" t="n">
        <v>0.6</v>
      </c>
      <c r="AM327" s="16" t="n">
        <f aca="false">COUNTIFS($D$2:$D$2501,D327,$G$2:$G$2501,"&gt;"&amp;G327)+COUNTIFS($D$2:D327,D327,$G$2:G327,G327)</f>
        <v>157</v>
      </c>
      <c r="AN327" s="5" t="str">
        <f aca="false">D327&amp;"|"&amp;AM327</f>
        <v>分析與報告生成|157</v>
      </c>
    </row>
    <row r="328" customFormat="false" ht="17.15" hidden="false" customHeight="false" outlineLevel="0" collapsed="false">
      <c r="A328" s="16" t="n">
        <f aca="false">RANK(G328,$G$2:$G$2501)+COUNTIF($G$2:G328,G328)-1</f>
        <v>327</v>
      </c>
      <c r="B328" s="11" t="s">
        <v>1054</v>
      </c>
      <c r="C328" s="11" t="s">
        <v>368</v>
      </c>
      <c r="D328" s="5" t="s">
        <v>56</v>
      </c>
      <c r="E328" s="5" t="s">
        <v>57</v>
      </c>
      <c r="F328" s="5"/>
      <c r="G328" s="22" t="n">
        <f aca="false">ROUND(SUM(I328:P328),3)</f>
        <v>72.744</v>
      </c>
      <c r="H328" s="5" t="str">
        <f aca="false">IF(G328&gt;=評分方法!$C$16,"優先評估",IF(G328&gt;=評分方法!$C$17,"列入候選",IF(G328&gt;=評分方法!$C$18,"特定情境","不建議")))</f>
        <v>列入候選</v>
      </c>
      <c r="I328" s="15" t="n">
        <f aca="false">AE328*評分方法!$C$5</f>
        <v>18</v>
      </c>
      <c r="J328" s="15" t="n">
        <f aca="false">AF328*評分方法!$C$6</f>
        <v>0</v>
      </c>
      <c r="K328" s="15" t="n">
        <f aca="false">AG328*評分方法!$C$7</f>
        <v>15</v>
      </c>
      <c r="L328" s="15" t="n">
        <f aca="false">AH328*評分方法!$C$8</f>
        <v>15</v>
      </c>
      <c r="M328" s="15" t="n">
        <f aca="false">AI328*評分方法!$C$9</f>
        <v>10</v>
      </c>
      <c r="N328" s="15" t="n">
        <f aca="false">AJ328*評分方法!$C$10</f>
        <v>8.744</v>
      </c>
      <c r="O328" s="15" t="n">
        <f aca="false">AK328*評分方法!$C$11</f>
        <v>1</v>
      </c>
      <c r="P328" s="15" t="n">
        <f aca="false">AL328*評分方法!$C$12</f>
        <v>5</v>
      </c>
      <c r="Q328" s="6" t="n">
        <v>2877780</v>
      </c>
      <c r="R328" s="6" t="n">
        <v>783150080</v>
      </c>
      <c r="S328" s="11" t="s">
        <v>238</v>
      </c>
      <c r="T328" s="11" t="s">
        <v>239</v>
      </c>
      <c r="U328" s="5" t="s">
        <v>240</v>
      </c>
      <c r="V328" s="11" t="s">
        <v>279</v>
      </c>
      <c r="W328" s="5" t="s">
        <v>205</v>
      </c>
      <c r="X328" s="5" t="s">
        <v>284</v>
      </c>
      <c r="Y328" s="5"/>
      <c r="Z328" s="5"/>
      <c r="AA328" s="11" t="s">
        <v>161</v>
      </c>
      <c r="AB328" s="5" t="s">
        <v>983</v>
      </c>
      <c r="AC328" s="5" t="s">
        <v>984</v>
      </c>
      <c r="AD328" s="11" t="s">
        <v>1055</v>
      </c>
      <c r="AE328" s="23" t="n">
        <v>0.6</v>
      </c>
      <c r="AF328" s="23" t="n">
        <v>0</v>
      </c>
      <c r="AG328" s="23" t="n">
        <v>1</v>
      </c>
      <c r="AH328" s="23" t="n">
        <v>1</v>
      </c>
      <c r="AI328" s="23" t="n">
        <v>1</v>
      </c>
      <c r="AJ328" s="23" t="n">
        <v>0.8744</v>
      </c>
      <c r="AK328" s="23" t="n">
        <v>0.2</v>
      </c>
      <c r="AL328" s="23" t="n">
        <v>1</v>
      </c>
      <c r="AM328" s="16" t="n">
        <f aca="false">COUNTIFS($D$2:$D$2501,D328,$G$2:$G$2501,"&gt;"&amp;G328)+COUNTIFS($D$2:D328,D328,$G$2:G328,G328)</f>
        <v>158</v>
      </c>
      <c r="AN328" s="5" t="str">
        <f aca="false">D328&amp;"|"&amp;AM328</f>
        <v>分析與報告生成|158</v>
      </c>
    </row>
    <row r="329" customFormat="false" ht="17.15" hidden="false" customHeight="false" outlineLevel="0" collapsed="false">
      <c r="A329" s="16" t="n">
        <f aca="false">RANK(G329,$G$2:$G$2501)+COUNTIF($G$2:G329,G329)-1</f>
        <v>328</v>
      </c>
      <c r="B329" s="11" t="s">
        <v>1056</v>
      </c>
      <c r="C329" s="11" t="s">
        <v>753</v>
      </c>
      <c r="D329" s="5" t="s">
        <v>56</v>
      </c>
      <c r="E329" s="5" t="s">
        <v>57</v>
      </c>
      <c r="F329" s="5"/>
      <c r="G329" s="22" t="n">
        <f aca="false">ROUND(SUM(I329:P329),3)</f>
        <v>72.708</v>
      </c>
      <c r="H329" s="5" t="str">
        <f aca="false">IF(G329&gt;=評分方法!$C$16,"優先評估",IF(G329&gt;=評分方法!$C$17,"列入候選",IF(G329&gt;=評分方法!$C$18,"特定情境","不建議")))</f>
        <v>列入候選</v>
      </c>
      <c r="I329" s="15" t="n">
        <f aca="false">AE329*評分方法!$C$5</f>
        <v>25.5</v>
      </c>
      <c r="J329" s="15" t="n">
        <f aca="false">AF329*評分方法!$C$6</f>
        <v>0</v>
      </c>
      <c r="K329" s="15" t="n">
        <f aca="false">AG329*評分方法!$C$7</f>
        <v>10.05</v>
      </c>
      <c r="L329" s="15" t="n">
        <f aca="false">AH329*評分方法!$C$8</f>
        <v>13.05</v>
      </c>
      <c r="M329" s="15" t="n">
        <f aca="false">AI329*評分方法!$C$9</f>
        <v>10</v>
      </c>
      <c r="N329" s="15" t="n">
        <f aca="false">AJ329*評分方法!$C$10</f>
        <v>6.108</v>
      </c>
      <c r="O329" s="15" t="n">
        <f aca="false">AK329*評分方法!$C$11</f>
        <v>5</v>
      </c>
      <c r="P329" s="15" t="n">
        <f aca="false">AL329*評分方法!$C$12</f>
        <v>3</v>
      </c>
      <c r="Q329" s="6" t="n">
        <v>646372</v>
      </c>
      <c r="R329" s="6" t="n">
        <v>5123178016</v>
      </c>
      <c r="S329" s="11" t="s">
        <v>254</v>
      </c>
      <c r="T329" s="11" t="s">
        <v>239</v>
      </c>
      <c r="U329" s="5" t="s">
        <v>240</v>
      </c>
      <c r="V329" s="11" t="s">
        <v>261</v>
      </c>
      <c r="W329" s="5" t="s">
        <v>207</v>
      </c>
      <c r="X329" s="5" t="s">
        <v>371</v>
      </c>
      <c r="Y329" s="11" t="s">
        <v>425</v>
      </c>
      <c r="Z329" s="11" t="s">
        <v>244</v>
      </c>
      <c r="AA329" s="11" t="s">
        <v>156</v>
      </c>
      <c r="AB329" s="5" t="s">
        <v>245</v>
      </c>
      <c r="AC329" s="5" t="s">
        <v>246</v>
      </c>
      <c r="AD329" s="11" t="s">
        <v>1057</v>
      </c>
      <c r="AE329" s="23" t="n">
        <v>0.85</v>
      </c>
      <c r="AF329" s="23" t="n">
        <v>0</v>
      </c>
      <c r="AG329" s="23" t="n">
        <v>0.67</v>
      </c>
      <c r="AH329" s="23" t="n">
        <v>0.87</v>
      </c>
      <c r="AI329" s="23" t="n">
        <v>1</v>
      </c>
      <c r="AJ329" s="23" t="n">
        <v>0.6108</v>
      </c>
      <c r="AK329" s="23" t="n">
        <v>1</v>
      </c>
      <c r="AL329" s="23" t="n">
        <v>0.6</v>
      </c>
      <c r="AM329" s="16" t="n">
        <f aca="false">COUNTIFS($D$2:$D$2501,D329,$G$2:$G$2501,"&gt;"&amp;G329)+COUNTIFS($D$2:D329,D329,$G$2:G329,G329)</f>
        <v>159</v>
      </c>
      <c r="AN329" s="5" t="str">
        <f aca="false">D329&amp;"|"&amp;AM329</f>
        <v>分析與報告生成|159</v>
      </c>
    </row>
    <row r="330" customFormat="false" ht="17.15" hidden="false" customHeight="false" outlineLevel="0" collapsed="false">
      <c r="A330" s="16" t="n">
        <f aca="false">RANK(G330,$G$2:$G$2501)+COUNTIF($G$2:G330,G330)-1</f>
        <v>329</v>
      </c>
      <c r="B330" s="11" t="s">
        <v>1058</v>
      </c>
      <c r="C330" s="11" t="s">
        <v>834</v>
      </c>
      <c r="D330" s="5" t="s">
        <v>54</v>
      </c>
      <c r="E330" s="5" t="s">
        <v>55</v>
      </c>
      <c r="F330" s="5"/>
      <c r="G330" s="22" t="n">
        <f aca="false">ROUND(SUM(I330:P330),3)</f>
        <v>72.666</v>
      </c>
      <c r="H330" s="5" t="str">
        <f aca="false">IF(G330&gt;=評分方法!$C$16,"優先評估",IF(G330&gt;=評分方法!$C$17,"列入候選",IF(G330&gt;=評分方法!$C$18,"特定情境","不建議")))</f>
        <v>列入候選</v>
      </c>
      <c r="I330" s="15" t="n">
        <f aca="false">AE330*評分方法!$C$5</f>
        <v>27</v>
      </c>
      <c r="J330" s="15" t="n">
        <f aca="false">AF330*評分方法!$C$6</f>
        <v>0</v>
      </c>
      <c r="K330" s="15" t="n">
        <f aca="false">AG330*評分方法!$C$7</f>
        <v>15</v>
      </c>
      <c r="L330" s="15" t="n">
        <f aca="false">AH330*評分方法!$C$8</f>
        <v>7.05</v>
      </c>
      <c r="M330" s="15" t="n">
        <f aca="false">AI330*評分方法!$C$9</f>
        <v>10</v>
      </c>
      <c r="N330" s="15" t="n">
        <f aca="false">AJ330*評分方法!$C$10</f>
        <v>7.116</v>
      </c>
      <c r="O330" s="15" t="n">
        <f aca="false">AK330*評分方法!$C$11</f>
        <v>5</v>
      </c>
      <c r="P330" s="15" t="n">
        <f aca="false">AL330*評分方法!$C$12</f>
        <v>1.5</v>
      </c>
      <c r="Q330" s="6" t="n">
        <v>965937</v>
      </c>
      <c r="R330" s="6"/>
      <c r="S330" s="5" t="s">
        <v>255</v>
      </c>
      <c r="T330" s="11" t="s">
        <v>239</v>
      </c>
      <c r="U330" s="5" t="s">
        <v>240</v>
      </c>
      <c r="V330" s="11" t="s">
        <v>514</v>
      </c>
      <c r="W330" s="5" t="s">
        <v>205</v>
      </c>
      <c r="X330" s="5" t="s">
        <v>255</v>
      </c>
      <c r="Y330" s="5"/>
      <c r="Z330" s="5"/>
      <c r="AA330" s="11" t="s">
        <v>152</v>
      </c>
      <c r="AB330" s="5" t="s">
        <v>245</v>
      </c>
      <c r="AC330" s="5"/>
      <c r="AD330" s="11" t="s">
        <v>1059</v>
      </c>
      <c r="AE330" s="23" t="n">
        <v>0.9</v>
      </c>
      <c r="AF330" s="23" t="n">
        <v>0</v>
      </c>
      <c r="AG330" s="23" t="n">
        <v>1</v>
      </c>
      <c r="AH330" s="23" t="n">
        <v>0.47</v>
      </c>
      <c r="AI330" s="23" t="n">
        <v>1</v>
      </c>
      <c r="AJ330" s="23" t="n">
        <v>0.7116</v>
      </c>
      <c r="AK330" s="23" t="n">
        <v>1</v>
      </c>
      <c r="AL330" s="23" t="n">
        <v>0.3</v>
      </c>
      <c r="AM330" s="16" t="n">
        <f aca="false">COUNTIFS($D$2:$D$2501,D330,$G$2:$G$2501,"&gt;"&amp;G330)+COUNTIFS($D$2:D330,D330,$G$2:G330,G330)</f>
        <v>93</v>
      </c>
      <c r="AN330" s="5" t="str">
        <f aca="false">D330&amp;"|"&amp;AM330</f>
        <v>檢索與情資關聯|93</v>
      </c>
    </row>
    <row r="331" customFormat="false" ht="17.15" hidden="false" customHeight="false" outlineLevel="0" collapsed="false">
      <c r="A331" s="16" t="n">
        <f aca="false">RANK(G331,$G$2:$G$2501)+COUNTIF($G$2:G331,G331)-1</f>
        <v>330</v>
      </c>
      <c r="B331" s="11" t="s">
        <v>339</v>
      </c>
      <c r="C331" s="11" t="s">
        <v>338</v>
      </c>
      <c r="D331" s="5" t="s">
        <v>56</v>
      </c>
      <c r="E331" s="5" t="s">
        <v>57</v>
      </c>
      <c r="F331" s="5"/>
      <c r="G331" s="22" t="n">
        <f aca="false">ROUND(SUM(I331:P331),3)</f>
        <v>72.666</v>
      </c>
      <c r="H331" s="5" t="str">
        <f aca="false">IF(G331&gt;=評分方法!$C$16,"優先評估",IF(G331&gt;=評分方法!$C$17,"列入候選",IF(G331&gt;=評分方法!$C$18,"特定情境","不建議")))</f>
        <v>列入候選</v>
      </c>
      <c r="I331" s="15" t="n">
        <f aca="false">AE331*評分方法!$C$5</f>
        <v>25.5</v>
      </c>
      <c r="J331" s="15" t="n">
        <f aca="false">AF331*評分方法!$C$6</f>
        <v>0</v>
      </c>
      <c r="K331" s="15" t="n">
        <f aca="false">AG331*評分方法!$C$7</f>
        <v>15</v>
      </c>
      <c r="L331" s="15" t="n">
        <f aca="false">AH331*評分方法!$C$8</f>
        <v>13.05</v>
      </c>
      <c r="M331" s="15" t="n">
        <f aca="false">AI331*評分方法!$C$9</f>
        <v>10</v>
      </c>
      <c r="N331" s="15" t="n">
        <f aca="false">AJ331*評分方法!$C$10</f>
        <v>0.116</v>
      </c>
      <c r="O331" s="15" t="n">
        <f aca="false">AK331*評分方法!$C$11</f>
        <v>4</v>
      </c>
      <c r="P331" s="15" t="n">
        <f aca="false">AL331*評分方法!$C$12</f>
        <v>5</v>
      </c>
      <c r="Q331" s="6" t="n">
        <v>119593</v>
      </c>
      <c r="R331" s="6" t="n">
        <v>3849090048</v>
      </c>
      <c r="S331" s="11" t="s">
        <v>254</v>
      </c>
      <c r="T331" s="11" t="s">
        <v>239</v>
      </c>
      <c r="U331" s="5" t="s">
        <v>240</v>
      </c>
      <c r="V331" s="11" t="s">
        <v>261</v>
      </c>
      <c r="W331" s="5" t="s">
        <v>205</v>
      </c>
      <c r="X331" s="5" t="s">
        <v>284</v>
      </c>
      <c r="Y331" s="5"/>
      <c r="Z331" s="5"/>
      <c r="AA331" s="11" t="s">
        <v>155</v>
      </c>
      <c r="AB331" s="5" t="s">
        <v>328</v>
      </c>
      <c r="AC331" s="5" t="s">
        <v>400</v>
      </c>
      <c r="AD331" s="11" t="s">
        <v>1060</v>
      </c>
      <c r="AE331" s="23" t="n">
        <v>0.85</v>
      </c>
      <c r="AF331" s="23" t="n">
        <v>0</v>
      </c>
      <c r="AG331" s="23" t="n">
        <v>1</v>
      </c>
      <c r="AH331" s="23" t="n">
        <v>0.87</v>
      </c>
      <c r="AI331" s="23" t="n">
        <v>1</v>
      </c>
      <c r="AJ331" s="23" t="n">
        <v>0.0116</v>
      </c>
      <c r="AK331" s="23" t="n">
        <v>0.8</v>
      </c>
      <c r="AL331" s="23" t="n">
        <v>1</v>
      </c>
      <c r="AM331" s="16" t="n">
        <f aca="false">COUNTIFS($D$2:$D$2501,D331,$G$2:$G$2501,"&gt;"&amp;G331)+COUNTIFS($D$2:D331,D331,$G$2:G331,G331)</f>
        <v>160</v>
      </c>
      <c r="AN331" s="5" t="str">
        <f aca="false">D331&amp;"|"&amp;AM331</f>
        <v>分析與報告生成|160</v>
      </c>
    </row>
    <row r="332" customFormat="false" ht="17.15" hidden="false" customHeight="false" outlineLevel="0" collapsed="false">
      <c r="A332" s="16" t="n">
        <f aca="false">RANK(G332,$G$2:$G$2501)+COUNTIF($G$2:G332,G332)-1</f>
        <v>331</v>
      </c>
      <c r="B332" s="11" t="s">
        <v>1061</v>
      </c>
      <c r="C332" s="11" t="s">
        <v>282</v>
      </c>
      <c r="D332" s="5" t="s">
        <v>54</v>
      </c>
      <c r="E332" s="5" t="s">
        <v>55</v>
      </c>
      <c r="F332" s="5"/>
      <c r="G332" s="22" t="n">
        <f aca="false">ROUND(SUM(I332:P332),3)</f>
        <v>72.652</v>
      </c>
      <c r="H332" s="5" t="str">
        <f aca="false">IF(G332&gt;=評分方法!$C$16,"優先評估",IF(G332&gt;=評分方法!$C$17,"列入候選",IF(G332&gt;=評分方法!$C$18,"特定情境","不建議")))</f>
        <v>列入候選</v>
      </c>
      <c r="I332" s="15" t="n">
        <f aca="false">AE332*評分方法!$C$5</f>
        <v>27</v>
      </c>
      <c r="J332" s="15" t="n">
        <f aca="false">AF332*評分方法!$C$6</f>
        <v>0</v>
      </c>
      <c r="K332" s="15" t="n">
        <f aca="false">AG332*評分方法!$C$7</f>
        <v>15</v>
      </c>
      <c r="L332" s="15" t="n">
        <f aca="false">AH332*評分方法!$C$8</f>
        <v>15</v>
      </c>
      <c r="M332" s="15" t="n">
        <f aca="false">AI332*評分方法!$C$9</f>
        <v>10</v>
      </c>
      <c r="N332" s="15" t="n">
        <f aca="false">AJ332*評分方法!$C$10</f>
        <v>1.652</v>
      </c>
      <c r="O332" s="15" t="n">
        <f aca="false">AK332*評分方法!$C$11</f>
        <v>2.5</v>
      </c>
      <c r="P332" s="15" t="n">
        <f aca="false">AL332*評分方法!$C$12</f>
        <v>1.5</v>
      </c>
      <c r="Q332" s="6" t="n">
        <v>187948</v>
      </c>
      <c r="R332" s="6" t="n">
        <v>124646146</v>
      </c>
      <c r="S332" s="11" t="s">
        <v>238</v>
      </c>
      <c r="T332" s="11" t="s">
        <v>239</v>
      </c>
      <c r="U332" s="5" t="s">
        <v>240</v>
      </c>
      <c r="V332" s="11" t="s">
        <v>283</v>
      </c>
      <c r="W332" s="5" t="s">
        <v>205</v>
      </c>
      <c r="X332" s="5" t="s">
        <v>255</v>
      </c>
      <c r="Y332" s="5"/>
      <c r="Z332" s="5"/>
      <c r="AA332" s="11" t="s">
        <v>152</v>
      </c>
      <c r="AB332" s="5" t="s">
        <v>245</v>
      </c>
      <c r="AC332" s="5"/>
      <c r="AD332" s="11" t="s">
        <v>1062</v>
      </c>
      <c r="AE332" s="23" t="n">
        <v>0.9</v>
      </c>
      <c r="AF332" s="23" t="n">
        <v>0</v>
      </c>
      <c r="AG332" s="23" t="n">
        <v>1</v>
      </c>
      <c r="AH332" s="23" t="n">
        <v>1</v>
      </c>
      <c r="AI332" s="23" t="n">
        <v>1</v>
      </c>
      <c r="AJ332" s="23" t="n">
        <v>0.1652</v>
      </c>
      <c r="AK332" s="23" t="n">
        <v>0.5</v>
      </c>
      <c r="AL332" s="23" t="n">
        <v>0.3</v>
      </c>
      <c r="AM332" s="16" t="n">
        <f aca="false">COUNTIFS($D$2:$D$2501,D332,$G$2:$G$2501,"&gt;"&amp;G332)+COUNTIFS($D$2:D332,D332,$G$2:G332,G332)</f>
        <v>94</v>
      </c>
      <c r="AN332" s="5" t="str">
        <f aca="false">D332&amp;"|"&amp;AM332</f>
        <v>檢索與情資關聯|94</v>
      </c>
    </row>
    <row r="333" customFormat="false" ht="17.15" hidden="false" customHeight="false" outlineLevel="0" collapsed="false">
      <c r="A333" s="16" t="n">
        <f aca="false">RANK(G333,$G$2:$G$2501)+COUNTIF($G$2:G333,G333)-1</f>
        <v>332</v>
      </c>
      <c r="B333" s="11" t="s">
        <v>1063</v>
      </c>
      <c r="C333" s="11" t="s">
        <v>417</v>
      </c>
      <c r="D333" s="5" t="s">
        <v>56</v>
      </c>
      <c r="E333" s="5" t="s">
        <v>57</v>
      </c>
      <c r="F333" s="5"/>
      <c r="G333" s="22" t="n">
        <f aca="false">ROUND(SUM(I333:P333),3)</f>
        <v>72.608</v>
      </c>
      <c r="H333" s="5" t="str">
        <f aca="false">IF(G333&gt;=評分方法!$C$16,"優先評估",IF(G333&gt;=評分方法!$C$17,"列入候選",IF(G333&gt;=評分方法!$C$18,"特定情境","不建議")))</f>
        <v>列入候選</v>
      </c>
      <c r="I333" s="15" t="n">
        <f aca="false">AE333*評分方法!$C$5</f>
        <v>25.5</v>
      </c>
      <c r="J333" s="15" t="n">
        <f aca="false">AF333*評分方法!$C$6</f>
        <v>0</v>
      </c>
      <c r="K333" s="15" t="n">
        <f aca="false">AG333*評分方法!$C$7</f>
        <v>15</v>
      </c>
      <c r="L333" s="15" t="n">
        <f aca="false">AH333*評分方法!$C$8</f>
        <v>15</v>
      </c>
      <c r="M333" s="15" t="n">
        <f aca="false">AI333*評分方法!$C$9</f>
        <v>10</v>
      </c>
      <c r="N333" s="15" t="n">
        <f aca="false">AJ333*評分方法!$C$10</f>
        <v>4.608</v>
      </c>
      <c r="O333" s="15" t="n">
        <f aca="false">AK333*評分方法!$C$11</f>
        <v>2.5</v>
      </c>
      <c r="P333" s="15" t="n">
        <f aca="false">AL333*評分方法!$C$12</f>
        <v>0</v>
      </c>
      <c r="Q333" s="6" t="n">
        <v>502047</v>
      </c>
      <c r="R333" s="6" t="n">
        <v>256484928</v>
      </c>
      <c r="S333" s="11" t="s">
        <v>238</v>
      </c>
      <c r="T333" s="11" t="s">
        <v>239</v>
      </c>
      <c r="U333" s="5" t="s">
        <v>240</v>
      </c>
      <c r="V333" s="11" t="s">
        <v>241</v>
      </c>
      <c r="W333" s="5" t="s">
        <v>205</v>
      </c>
      <c r="X333" s="5" t="s">
        <v>242</v>
      </c>
      <c r="Y333" s="11" t="s">
        <v>610</v>
      </c>
      <c r="Z333" s="11" t="s">
        <v>244</v>
      </c>
      <c r="AA333" s="11" t="s">
        <v>156</v>
      </c>
      <c r="AB333" s="5" t="s">
        <v>245</v>
      </c>
      <c r="AC333" s="5" t="s">
        <v>246</v>
      </c>
      <c r="AD333" s="11" t="s">
        <v>1064</v>
      </c>
      <c r="AE333" s="23" t="n">
        <v>0.85</v>
      </c>
      <c r="AF333" s="23" t="n">
        <v>0</v>
      </c>
      <c r="AG333" s="23" t="n">
        <v>1</v>
      </c>
      <c r="AH333" s="23" t="n">
        <v>1</v>
      </c>
      <c r="AI333" s="23" t="n">
        <v>1</v>
      </c>
      <c r="AJ333" s="23" t="n">
        <v>0.4608</v>
      </c>
      <c r="AK333" s="23" t="n">
        <v>0.5</v>
      </c>
      <c r="AL333" s="23" t="n">
        <v>0</v>
      </c>
      <c r="AM333" s="16" t="n">
        <f aca="false">COUNTIFS($D$2:$D$2501,D333,$G$2:$G$2501,"&gt;"&amp;G333)+COUNTIFS($D$2:D333,D333,$G$2:G333,G333)</f>
        <v>161</v>
      </c>
      <c r="AN333" s="5" t="str">
        <f aca="false">D333&amp;"|"&amp;AM333</f>
        <v>分析與報告生成|161</v>
      </c>
    </row>
    <row r="334" customFormat="false" ht="17.15" hidden="false" customHeight="false" outlineLevel="0" collapsed="false">
      <c r="A334" s="16" t="n">
        <f aca="false">RANK(G334,$G$2:$G$2501)+COUNTIF($G$2:G334,G334)-1</f>
        <v>333</v>
      </c>
      <c r="B334" s="11" t="s">
        <v>1065</v>
      </c>
      <c r="C334" s="11" t="s">
        <v>327</v>
      </c>
      <c r="D334" s="5" t="s">
        <v>56</v>
      </c>
      <c r="E334" s="5" t="s">
        <v>57</v>
      </c>
      <c r="F334" s="5"/>
      <c r="G334" s="22" t="n">
        <f aca="false">ROUND(SUM(I334:P334),3)</f>
        <v>72.558</v>
      </c>
      <c r="H334" s="5" t="str">
        <f aca="false">IF(G334&gt;=評分方法!$C$16,"優先評估",IF(G334&gt;=評分方法!$C$17,"列入候選",IF(G334&gt;=評分方法!$C$18,"特定情境","不建議")))</f>
        <v>列入候選</v>
      </c>
      <c r="I334" s="15" t="n">
        <f aca="false">AE334*評分方法!$C$5</f>
        <v>25.5</v>
      </c>
      <c r="J334" s="15" t="n">
        <f aca="false">AF334*評分方法!$C$6</f>
        <v>0</v>
      </c>
      <c r="K334" s="15" t="n">
        <f aca="false">AG334*評分方法!$C$7</f>
        <v>15</v>
      </c>
      <c r="L334" s="15" t="n">
        <f aca="false">AH334*評分方法!$C$8</f>
        <v>13.05</v>
      </c>
      <c r="M334" s="15" t="n">
        <f aca="false">AI334*評分方法!$C$9</f>
        <v>6</v>
      </c>
      <c r="N334" s="15" t="n">
        <f aca="false">AJ334*評分方法!$C$10</f>
        <v>7.508</v>
      </c>
      <c r="O334" s="15" t="n">
        <f aca="false">AK334*評分方法!$C$11</f>
        <v>2.5</v>
      </c>
      <c r="P334" s="15" t="n">
        <f aca="false">AL334*評分方法!$C$12</f>
        <v>3</v>
      </c>
      <c r="Q334" s="6" t="n">
        <v>1165732</v>
      </c>
      <c r="R334" s="6" t="n">
        <v>8030261248</v>
      </c>
      <c r="S334" s="11" t="s">
        <v>254</v>
      </c>
      <c r="T334" s="11" t="s">
        <v>259</v>
      </c>
      <c r="U334" s="5" t="s">
        <v>260</v>
      </c>
      <c r="V334" s="11" t="s">
        <v>261</v>
      </c>
      <c r="W334" s="5" t="s">
        <v>205</v>
      </c>
      <c r="X334" s="5" t="s">
        <v>371</v>
      </c>
      <c r="Y334" s="11" t="s">
        <v>1066</v>
      </c>
      <c r="Z334" s="11" t="s">
        <v>270</v>
      </c>
      <c r="AA334" s="11" t="s">
        <v>155</v>
      </c>
      <c r="AB334" s="5" t="s">
        <v>245</v>
      </c>
      <c r="AC334" s="5" t="s">
        <v>262</v>
      </c>
      <c r="AD334" s="11" t="s">
        <v>1067</v>
      </c>
      <c r="AE334" s="23" t="n">
        <v>0.85</v>
      </c>
      <c r="AF334" s="23" t="n">
        <v>0</v>
      </c>
      <c r="AG334" s="23" t="n">
        <v>1</v>
      </c>
      <c r="AH334" s="23" t="n">
        <v>0.87</v>
      </c>
      <c r="AI334" s="23" t="n">
        <v>0.6</v>
      </c>
      <c r="AJ334" s="23" t="n">
        <v>0.7508</v>
      </c>
      <c r="AK334" s="23" t="n">
        <v>0.5</v>
      </c>
      <c r="AL334" s="23" t="n">
        <v>0.6</v>
      </c>
      <c r="AM334" s="16" t="n">
        <f aca="false">COUNTIFS($D$2:$D$2501,D334,$G$2:$G$2501,"&gt;"&amp;G334)+COUNTIFS($D$2:D334,D334,$G$2:G334,G334)</f>
        <v>162</v>
      </c>
      <c r="AN334" s="5" t="str">
        <f aca="false">D334&amp;"|"&amp;AM334</f>
        <v>分析與報告生成|162</v>
      </c>
    </row>
    <row r="335" customFormat="false" ht="17.15" hidden="false" customHeight="false" outlineLevel="0" collapsed="false">
      <c r="A335" s="16" t="n">
        <f aca="false">RANK(G335,$G$2:$G$2501)+COUNTIF($G$2:G335,G335)-1</f>
        <v>334</v>
      </c>
      <c r="B335" s="11" t="s">
        <v>869</v>
      </c>
      <c r="C335" s="11" t="s">
        <v>368</v>
      </c>
      <c r="D335" s="5" t="s">
        <v>56</v>
      </c>
      <c r="E335" s="5" t="s">
        <v>57</v>
      </c>
      <c r="F335" s="5"/>
      <c r="G335" s="22" t="n">
        <f aca="false">ROUND(SUM(I335:P335),3)</f>
        <v>72.538</v>
      </c>
      <c r="H335" s="5" t="str">
        <f aca="false">IF(G335&gt;=評分方法!$C$16,"優先評估",IF(G335&gt;=評分方法!$C$17,"列入候選",IF(G335&gt;=評分方法!$C$18,"特定情境","不建議")))</f>
        <v>列入候選</v>
      </c>
      <c r="I335" s="15" t="n">
        <f aca="false">AE335*評分方法!$C$5</f>
        <v>25.5</v>
      </c>
      <c r="J335" s="15" t="n">
        <f aca="false">AF335*評分方法!$C$6</f>
        <v>0</v>
      </c>
      <c r="K335" s="15" t="n">
        <f aca="false">AG335*評分方法!$C$7</f>
        <v>15</v>
      </c>
      <c r="L335" s="15" t="n">
        <f aca="false">AH335*評分方法!$C$8</f>
        <v>13.05</v>
      </c>
      <c r="M335" s="15" t="n">
        <f aca="false">AI335*評分方法!$C$9</f>
        <v>6</v>
      </c>
      <c r="N335" s="15" t="n">
        <f aca="false">AJ335*評分方法!$C$10</f>
        <v>7.488</v>
      </c>
      <c r="O335" s="15" t="n">
        <f aca="false">AK335*評分方法!$C$11</f>
        <v>2.5</v>
      </c>
      <c r="P335" s="15" t="n">
        <f aca="false">AL335*評分方法!$C$12</f>
        <v>3</v>
      </c>
      <c r="Q335" s="6" t="n">
        <v>1147378</v>
      </c>
      <c r="R335" s="6" t="n">
        <v>4300079472</v>
      </c>
      <c r="S335" s="11" t="s">
        <v>254</v>
      </c>
      <c r="T335" s="11" t="s">
        <v>658</v>
      </c>
      <c r="U335" s="5" t="s">
        <v>260</v>
      </c>
      <c r="V335" s="11" t="s">
        <v>261</v>
      </c>
      <c r="W335" s="5" t="s">
        <v>205</v>
      </c>
      <c r="X335" s="5" t="s">
        <v>371</v>
      </c>
      <c r="Y335" s="5"/>
      <c r="Z335" s="5"/>
      <c r="AA335" s="11" t="s">
        <v>156</v>
      </c>
      <c r="AB335" s="5" t="s">
        <v>245</v>
      </c>
      <c r="AC335" s="5" t="s">
        <v>262</v>
      </c>
      <c r="AD335" s="11" t="s">
        <v>1068</v>
      </c>
      <c r="AE335" s="23" t="n">
        <v>0.85</v>
      </c>
      <c r="AF335" s="23" t="n">
        <v>0</v>
      </c>
      <c r="AG335" s="23" t="n">
        <v>1</v>
      </c>
      <c r="AH335" s="23" t="n">
        <v>0.87</v>
      </c>
      <c r="AI335" s="23" t="n">
        <v>0.6</v>
      </c>
      <c r="AJ335" s="23" t="n">
        <v>0.7488</v>
      </c>
      <c r="AK335" s="23" t="n">
        <v>0.5</v>
      </c>
      <c r="AL335" s="23" t="n">
        <v>0.6</v>
      </c>
      <c r="AM335" s="16" t="n">
        <f aca="false">COUNTIFS($D$2:$D$2501,D335,$G$2:$G$2501,"&gt;"&amp;G335)+COUNTIFS($D$2:D335,D335,$G$2:G335,G335)</f>
        <v>163</v>
      </c>
      <c r="AN335" s="5" t="str">
        <f aca="false">D335&amp;"|"&amp;AM335</f>
        <v>分析與報告生成|163</v>
      </c>
    </row>
    <row r="336" customFormat="false" ht="17.15" hidden="false" customHeight="false" outlineLevel="0" collapsed="false">
      <c r="A336" s="16" t="n">
        <f aca="false">RANK(G336,$G$2:$G$2501)+COUNTIF($G$2:G336,G336)-1</f>
        <v>335</v>
      </c>
      <c r="B336" s="11" t="s">
        <v>1069</v>
      </c>
      <c r="C336" s="11" t="s">
        <v>891</v>
      </c>
      <c r="D336" s="5" t="s">
        <v>56</v>
      </c>
      <c r="E336" s="5" t="s">
        <v>57</v>
      </c>
      <c r="F336" s="5"/>
      <c r="G336" s="22" t="n">
        <f aca="false">ROUND(SUM(I336:P336),3)</f>
        <v>72.484</v>
      </c>
      <c r="H336" s="5" t="str">
        <f aca="false">IF(G336&gt;=評分方法!$C$16,"優先評估",IF(G336&gt;=評分方法!$C$17,"列入候選",IF(G336&gt;=評分方法!$C$18,"特定情境","不建議")))</f>
        <v>列入候選</v>
      </c>
      <c r="I336" s="15" t="n">
        <f aca="false">AE336*評分方法!$C$5</f>
        <v>24</v>
      </c>
      <c r="J336" s="15" t="n">
        <f aca="false">AF336*評分方法!$C$6</f>
        <v>0</v>
      </c>
      <c r="K336" s="15" t="n">
        <f aca="false">AG336*評分方法!$C$7</f>
        <v>10.05</v>
      </c>
      <c r="L336" s="15" t="n">
        <f aca="false">AH336*評分方法!$C$8</f>
        <v>13.05</v>
      </c>
      <c r="M336" s="15" t="n">
        <f aca="false">AI336*評分方法!$C$9</f>
        <v>10</v>
      </c>
      <c r="N336" s="15" t="n">
        <f aca="false">AJ336*評分方法!$C$10</f>
        <v>7.384</v>
      </c>
      <c r="O336" s="15" t="n">
        <f aca="false">AK336*評分方法!$C$11</f>
        <v>5</v>
      </c>
      <c r="P336" s="15" t="n">
        <f aca="false">AL336*評分方法!$C$12</f>
        <v>3</v>
      </c>
      <c r="Q336" s="6" t="n">
        <v>1102339</v>
      </c>
      <c r="R336" s="6" t="n">
        <v>5123178051</v>
      </c>
      <c r="S336" s="11" t="s">
        <v>254</v>
      </c>
      <c r="T336" s="11" t="s">
        <v>239</v>
      </c>
      <c r="U336" s="5" t="s">
        <v>240</v>
      </c>
      <c r="V336" s="11" t="s">
        <v>261</v>
      </c>
      <c r="W336" s="5" t="s">
        <v>207</v>
      </c>
      <c r="X336" s="5" t="s">
        <v>371</v>
      </c>
      <c r="Y336" s="11" t="s">
        <v>425</v>
      </c>
      <c r="Z336" s="11" t="s">
        <v>244</v>
      </c>
      <c r="AA336" s="11" t="s">
        <v>157</v>
      </c>
      <c r="AB336" s="5" t="s">
        <v>245</v>
      </c>
      <c r="AC336" s="5" t="s">
        <v>246</v>
      </c>
      <c r="AD336" s="11" t="s">
        <v>1070</v>
      </c>
      <c r="AE336" s="23" t="n">
        <v>0.8</v>
      </c>
      <c r="AF336" s="23" t="n">
        <v>0</v>
      </c>
      <c r="AG336" s="23" t="n">
        <v>0.67</v>
      </c>
      <c r="AH336" s="23" t="n">
        <v>0.87</v>
      </c>
      <c r="AI336" s="23" t="n">
        <v>1</v>
      </c>
      <c r="AJ336" s="23" t="n">
        <v>0.7384</v>
      </c>
      <c r="AK336" s="23" t="n">
        <v>1</v>
      </c>
      <c r="AL336" s="23" t="n">
        <v>0.6</v>
      </c>
      <c r="AM336" s="16" t="n">
        <f aca="false">COUNTIFS($D$2:$D$2501,D336,$G$2:$G$2501,"&gt;"&amp;G336)+COUNTIFS($D$2:D336,D336,$G$2:G336,G336)</f>
        <v>164</v>
      </c>
      <c r="AN336" s="5" t="str">
        <f aca="false">D336&amp;"|"&amp;AM336</f>
        <v>分析與報告生成|164</v>
      </c>
    </row>
    <row r="337" customFormat="false" ht="17.15" hidden="false" customHeight="false" outlineLevel="0" collapsed="false">
      <c r="A337" s="16" t="n">
        <f aca="false">RANK(G337,$G$2:$G$2501)+COUNTIF($G$2:G337,G337)-1</f>
        <v>336</v>
      </c>
      <c r="B337" s="11" t="s">
        <v>1071</v>
      </c>
      <c r="C337" s="11" t="s">
        <v>753</v>
      </c>
      <c r="D337" s="5" t="s">
        <v>54</v>
      </c>
      <c r="E337" s="5" t="s">
        <v>55</v>
      </c>
      <c r="F337" s="5"/>
      <c r="G337" s="22" t="n">
        <f aca="false">ROUND(SUM(I337:P337),3)</f>
        <v>72.426</v>
      </c>
      <c r="H337" s="5" t="str">
        <f aca="false">IF(G337&gt;=評分方法!$C$16,"優先評估",IF(G337&gt;=評分方法!$C$17,"列入候選",IF(G337&gt;=評分方法!$C$18,"特定情境","不建議")))</f>
        <v>列入候選</v>
      </c>
      <c r="I337" s="15" t="n">
        <f aca="false">AE337*評分方法!$C$5</f>
        <v>27</v>
      </c>
      <c r="J337" s="15" t="n">
        <f aca="false">AF337*評分方法!$C$6</f>
        <v>0</v>
      </c>
      <c r="K337" s="15" t="n">
        <f aca="false">AG337*評分方法!$C$7</f>
        <v>10.05</v>
      </c>
      <c r="L337" s="15" t="n">
        <f aca="false">AH337*評分方法!$C$8</f>
        <v>15</v>
      </c>
      <c r="M337" s="15" t="n">
        <f aca="false">AI337*評分方法!$C$9</f>
        <v>10</v>
      </c>
      <c r="N337" s="15" t="n">
        <f aca="false">AJ337*評分方法!$C$10</f>
        <v>0.376</v>
      </c>
      <c r="O337" s="15" t="n">
        <f aca="false">AK337*評分方法!$C$11</f>
        <v>5</v>
      </c>
      <c r="P337" s="15" t="n">
        <f aca="false">AL337*評分方法!$C$12</f>
        <v>5</v>
      </c>
      <c r="Q337" s="6" t="n">
        <v>127440</v>
      </c>
      <c r="R337" s="6" t="n">
        <v>271002648</v>
      </c>
      <c r="S337" s="11" t="s">
        <v>238</v>
      </c>
      <c r="T337" s="11" t="s">
        <v>239</v>
      </c>
      <c r="U337" s="5" t="s">
        <v>240</v>
      </c>
      <c r="V337" s="11" t="s">
        <v>333</v>
      </c>
      <c r="W337" s="5" t="s">
        <v>207</v>
      </c>
      <c r="X337" s="5" t="s">
        <v>284</v>
      </c>
      <c r="Y337" s="11" t="s">
        <v>469</v>
      </c>
      <c r="Z337" s="11" t="s">
        <v>244</v>
      </c>
      <c r="AA337" s="11" t="s">
        <v>153</v>
      </c>
      <c r="AB337" s="5" t="s">
        <v>245</v>
      </c>
      <c r="AC337" s="5" t="s">
        <v>246</v>
      </c>
      <c r="AD337" s="11" t="s">
        <v>1072</v>
      </c>
      <c r="AE337" s="23" t="n">
        <v>0.9</v>
      </c>
      <c r="AF337" s="23" t="n">
        <v>0</v>
      </c>
      <c r="AG337" s="23" t="n">
        <v>0.67</v>
      </c>
      <c r="AH337" s="23" t="n">
        <v>1</v>
      </c>
      <c r="AI337" s="23" t="n">
        <v>1</v>
      </c>
      <c r="AJ337" s="23" t="n">
        <v>0.0376</v>
      </c>
      <c r="AK337" s="23" t="n">
        <v>1</v>
      </c>
      <c r="AL337" s="23" t="n">
        <v>1</v>
      </c>
      <c r="AM337" s="16" t="n">
        <f aca="false">COUNTIFS($D$2:$D$2501,D337,$G$2:$G$2501,"&gt;"&amp;G337)+COUNTIFS($D$2:D337,D337,$G$2:G337,G337)</f>
        <v>95</v>
      </c>
      <c r="AN337" s="5" t="str">
        <f aca="false">D337&amp;"|"&amp;AM337</f>
        <v>檢索與情資關聯|95</v>
      </c>
    </row>
    <row r="338" customFormat="false" ht="17.15" hidden="false" customHeight="false" outlineLevel="0" collapsed="false">
      <c r="A338" s="16" t="n">
        <f aca="false">RANK(G338,$G$2:$G$2501)+COUNTIF($G$2:G338,G338)-1</f>
        <v>337</v>
      </c>
      <c r="B338" s="11" t="s">
        <v>1073</v>
      </c>
      <c r="C338" s="11" t="s">
        <v>299</v>
      </c>
      <c r="D338" s="5" t="s">
        <v>68</v>
      </c>
      <c r="E338" s="11" t="s">
        <v>69</v>
      </c>
      <c r="F338" s="5"/>
      <c r="G338" s="22" t="n">
        <f aca="false">ROUND(SUM(I338:P338),3)</f>
        <v>72.424</v>
      </c>
      <c r="H338" s="5" t="str">
        <f aca="false">IF(G338&gt;=評分方法!$C$16,"優先評估",IF(G338&gt;=評分方法!$C$17,"列入候選",IF(G338&gt;=評分方法!$C$18,"特定情境","不建議")))</f>
        <v>列入候選</v>
      </c>
      <c r="I338" s="15" t="n">
        <f aca="false">AE338*評分方法!$C$5</f>
        <v>21</v>
      </c>
      <c r="J338" s="15" t="n">
        <f aca="false">AF338*評分方法!$C$6</f>
        <v>0</v>
      </c>
      <c r="K338" s="15" t="n">
        <f aca="false">AG338*評分方法!$C$7</f>
        <v>15</v>
      </c>
      <c r="L338" s="15" t="n">
        <f aca="false">AH338*評分方法!$C$8</f>
        <v>15</v>
      </c>
      <c r="M338" s="15" t="n">
        <f aca="false">AI338*評分方法!$C$9</f>
        <v>10</v>
      </c>
      <c r="N338" s="15" t="n">
        <f aca="false">AJ338*評分方法!$C$10</f>
        <v>4.924</v>
      </c>
      <c r="O338" s="15" t="n">
        <f aca="false">AK338*評分方法!$C$11</f>
        <v>5</v>
      </c>
      <c r="P338" s="15" t="n">
        <f aca="false">AL338*評分方法!$C$12</f>
        <v>1.5</v>
      </c>
      <c r="Q338" s="6" t="n">
        <v>531649</v>
      </c>
      <c r="R338" s="6" t="n">
        <v>1414514</v>
      </c>
      <c r="S338" s="11" t="s">
        <v>238</v>
      </c>
      <c r="T338" s="11" t="s">
        <v>239</v>
      </c>
      <c r="U338" s="5" t="s">
        <v>240</v>
      </c>
      <c r="V338" s="11" t="s">
        <v>261</v>
      </c>
      <c r="W338" s="5" t="s">
        <v>205</v>
      </c>
      <c r="X338" s="5" t="s">
        <v>255</v>
      </c>
      <c r="Y338" s="5"/>
      <c r="Z338" s="5"/>
      <c r="AA338" s="11" t="s">
        <v>158</v>
      </c>
      <c r="AB338" s="5" t="s">
        <v>245</v>
      </c>
      <c r="AC338" s="5"/>
      <c r="AD338" s="11" t="s">
        <v>1074</v>
      </c>
      <c r="AE338" s="23" t="n">
        <v>0.7</v>
      </c>
      <c r="AF338" s="23" t="n">
        <v>0</v>
      </c>
      <c r="AG338" s="23" t="n">
        <v>1</v>
      </c>
      <c r="AH338" s="23" t="n">
        <v>1</v>
      </c>
      <c r="AI338" s="23" t="n">
        <v>1</v>
      </c>
      <c r="AJ338" s="23" t="n">
        <v>0.4924</v>
      </c>
      <c r="AK338" s="23" t="n">
        <v>1</v>
      </c>
      <c r="AL338" s="23" t="n">
        <v>0.3</v>
      </c>
      <c r="AM338" s="16" t="n">
        <f aca="false">COUNTIFS($D$2:$D$2501,D338,$G$2:$G$2501,"&gt;"&amp;G338)+COUNTIFS($D$2:D338,D338,$G$2:G338,G338)</f>
        <v>21</v>
      </c>
      <c r="AN338" s="5" t="str">
        <f aca="false">D338&amp;"|"&amp;AM338</f>
        <v>時序異常偵測|21</v>
      </c>
    </row>
    <row r="339" customFormat="false" ht="17.15" hidden="false" customHeight="false" outlineLevel="0" collapsed="false">
      <c r="A339" s="16" t="n">
        <f aca="false">RANK(G339,$G$2:$G$2501)+COUNTIF($G$2:G339,G339)-1</f>
        <v>338</v>
      </c>
      <c r="B339" s="11" t="s">
        <v>1075</v>
      </c>
      <c r="C339" s="11" t="s">
        <v>834</v>
      </c>
      <c r="D339" s="5" t="s">
        <v>54</v>
      </c>
      <c r="E339" s="5" t="s">
        <v>55</v>
      </c>
      <c r="F339" s="5"/>
      <c r="G339" s="22" t="n">
        <f aca="false">ROUND(SUM(I339:P339),3)</f>
        <v>72.422</v>
      </c>
      <c r="H339" s="5" t="str">
        <f aca="false">IF(G339&gt;=評分方法!$C$16,"優先評估",IF(G339&gt;=評分方法!$C$17,"列入候選",IF(G339&gt;=評分方法!$C$18,"特定情境","不建議")))</f>
        <v>列入候選</v>
      </c>
      <c r="I339" s="15" t="n">
        <f aca="false">AE339*評分方法!$C$5</f>
        <v>27</v>
      </c>
      <c r="J339" s="15" t="n">
        <f aca="false">AF339*評分方法!$C$6</f>
        <v>0</v>
      </c>
      <c r="K339" s="15" t="n">
        <f aca="false">AG339*評分方法!$C$7</f>
        <v>15</v>
      </c>
      <c r="L339" s="15" t="n">
        <f aca="false">AH339*評分方法!$C$8</f>
        <v>7.05</v>
      </c>
      <c r="M339" s="15" t="n">
        <f aca="false">AI339*評分方法!$C$9</f>
        <v>10</v>
      </c>
      <c r="N339" s="15" t="n">
        <f aca="false">AJ339*評分方法!$C$10</f>
        <v>8.372</v>
      </c>
      <c r="O339" s="15" t="n">
        <f aca="false">AK339*評分方法!$C$11</f>
        <v>5</v>
      </c>
      <c r="P339" s="15" t="n">
        <f aca="false">AL339*評分方法!$C$12</f>
        <v>0</v>
      </c>
      <c r="Q339" s="6" t="n">
        <v>2018189</v>
      </c>
      <c r="R339" s="6"/>
      <c r="S339" s="5" t="s">
        <v>255</v>
      </c>
      <c r="T339" s="11" t="s">
        <v>239</v>
      </c>
      <c r="U339" s="5" t="s">
        <v>240</v>
      </c>
      <c r="V339" s="11" t="s">
        <v>514</v>
      </c>
      <c r="W339" s="5" t="s">
        <v>205</v>
      </c>
      <c r="X339" s="5" t="s">
        <v>242</v>
      </c>
      <c r="Y339" s="5"/>
      <c r="Z339" s="5"/>
      <c r="AA339" s="11" t="s">
        <v>152</v>
      </c>
      <c r="AB339" s="5" t="s">
        <v>245</v>
      </c>
      <c r="AC339" s="5"/>
      <c r="AD339" s="11" t="s">
        <v>1076</v>
      </c>
      <c r="AE339" s="23" t="n">
        <v>0.9</v>
      </c>
      <c r="AF339" s="23" t="n">
        <v>0</v>
      </c>
      <c r="AG339" s="23" t="n">
        <v>1</v>
      </c>
      <c r="AH339" s="23" t="n">
        <v>0.47</v>
      </c>
      <c r="AI339" s="23" t="n">
        <v>1</v>
      </c>
      <c r="AJ339" s="23" t="n">
        <v>0.8372</v>
      </c>
      <c r="AK339" s="23" t="n">
        <v>1</v>
      </c>
      <c r="AL339" s="23" t="n">
        <v>0</v>
      </c>
      <c r="AM339" s="16" t="n">
        <f aca="false">COUNTIFS($D$2:$D$2501,D339,$G$2:$G$2501,"&gt;"&amp;G339)+COUNTIFS($D$2:D339,D339,$G$2:G339,G339)</f>
        <v>96</v>
      </c>
      <c r="AN339" s="5" t="str">
        <f aca="false">D339&amp;"|"&amp;AM339</f>
        <v>檢索與情資關聯|96</v>
      </c>
    </row>
    <row r="340" customFormat="false" ht="17.15" hidden="false" customHeight="false" outlineLevel="0" collapsed="false">
      <c r="A340" s="16" t="n">
        <f aca="false">RANK(G340,$G$2:$G$2501)+COUNTIF($G$2:G340,G340)-1</f>
        <v>339</v>
      </c>
      <c r="B340" s="11" t="s">
        <v>1077</v>
      </c>
      <c r="C340" s="11" t="s">
        <v>299</v>
      </c>
      <c r="D340" s="5" t="s">
        <v>56</v>
      </c>
      <c r="E340" s="5" t="s">
        <v>57</v>
      </c>
      <c r="F340" s="5"/>
      <c r="G340" s="22" t="n">
        <f aca="false">ROUND(SUM(I340:P340),3)</f>
        <v>72.418</v>
      </c>
      <c r="H340" s="5" t="str">
        <f aca="false">IF(G340&gt;=評分方法!$C$16,"優先評估",IF(G340&gt;=評分方法!$C$17,"列入候選",IF(G340&gt;=評分方法!$C$18,"特定情境","不建議")))</f>
        <v>列入候選</v>
      </c>
      <c r="I340" s="15" t="n">
        <f aca="false">AE340*評分方法!$C$5</f>
        <v>25.5</v>
      </c>
      <c r="J340" s="15" t="n">
        <f aca="false">AF340*評分方法!$C$6</f>
        <v>0</v>
      </c>
      <c r="K340" s="15" t="n">
        <f aca="false">AG340*評分方法!$C$7</f>
        <v>15</v>
      </c>
      <c r="L340" s="15" t="n">
        <f aca="false">AH340*評分方法!$C$8</f>
        <v>13.05</v>
      </c>
      <c r="M340" s="15" t="n">
        <f aca="false">AI340*評分方法!$C$9</f>
        <v>10</v>
      </c>
      <c r="N340" s="15" t="n">
        <f aca="false">AJ340*評分方法!$C$10</f>
        <v>3.368</v>
      </c>
      <c r="O340" s="15" t="n">
        <f aca="false">AK340*評分方法!$C$11</f>
        <v>2.5</v>
      </c>
      <c r="P340" s="15" t="n">
        <f aca="false">AL340*評分方法!$C$12</f>
        <v>3</v>
      </c>
      <c r="Q340" s="6" t="n">
        <v>337219</v>
      </c>
      <c r="R340" s="6" t="n">
        <v>1384956928</v>
      </c>
      <c r="S340" s="11" t="s">
        <v>254</v>
      </c>
      <c r="T340" s="11" t="s">
        <v>239</v>
      </c>
      <c r="U340" s="5" t="s">
        <v>240</v>
      </c>
      <c r="V340" s="11" t="s">
        <v>261</v>
      </c>
      <c r="W340" s="5" t="s">
        <v>205</v>
      </c>
      <c r="X340" s="5" t="s">
        <v>371</v>
      </c>
      <c r="Y340" s="5"/>
      <c r="Z340" s="5"/>
      <c r="AA340" s="11" t="s">
        <v>155</v>
      </c>
      <c r="AB340" s="5" t="s">
        <v>245</v>
      </c>
      <c r="AC340" s="5"/>
      <c r="AD340" s="11" t="s">
        <v>1078</v>
      </c>
      <c r="AE340" s="23" t="n">
        <v>0.85</v>
      </c>
      <c r="AF340" s="23" t="n">
        <v>0</v>
      </c>
      <c r="AG340" s="23" t="n">
        <v>1</v>
      </c>
      <c r="AH340" s="23" t="n">
        <v>0.87</v>
      </c>
      <c r="AI340" s="23" t="n">
        <v>1</v>
      </c>
      <c r="AJ340" s="23" t="n">
        <v>0.3368</v>
      </c>
      <c r="AK340" s="23" t="n">
        <v>0.5</v>
      </c>
      <c r="AL340" s="23" t="n">
        <v>0.6</v>
      </c>
      <c r="AM340" s="16" t="n">
        <f aca="false">COUNTIFS($D$2:$D$2501,D340,$G$2:$G$2501,"&gt;"&amp;G340)+COUNTIFS($D$2:D340,D340,$G$2:G340,G340)</f>
        <v>165</v>
      </c>
      <c r="AN340" s="5" t="str">
        <f aca="false">D340&amp;"|"&amp;AM340</f>
        <v>分析與報告生成|165</v>
      </c>
    </row>
    <row r="341" customFormat="false" ht="17.15" hidden="false" customHeight="false" outlineLevel="0" collapsed="false">
      <c r="A341" s="16" t="n">
        <f aca="false">RANK(G341,$G$2:$G$2501)+COUNTIF($G$2:G341,G341)-1</f>
        <v>340</v>
      </c>
      <c r="B341" s="11" t="s">
        <v>1079</v>
      </c>
      <c r="C341" s="11" t="s">
        <v>368</v>
      </c>
      <c r="D341" s="5" t="s">
        <v>68</v>
      </c>
      <c r="E341" s="11" t="s">
        <v>69</v>
      </c>
      <c r="F341" s="5"/>
      <c r="G341" s="22" t="n">
        <f aca="false">ROUND(SUM(I341:P341),3)</f>
        <v>72.408</v>
      </c>
      <c r="H341" s="5" t="str">
        <f aca="false">IF(G341&gt;=評分方法!$C$16,"優先評估",IF(G341&gt;=評分方法!$C$17,"列入候選",IF(G341&gt;=評分方法!$C$18,"特定情境","不建議")))</f>
        <v>列入候選</v>
      </c>
      <c r="I341" s="15" t="n">
        <f aca="false">AE341*評分方法!$C$5</f>
        <v>21</v>
      </c>
      <c r="J341" s="15" t="n">
        <f aca="false">AF341*評分方法!$C$6</f>
        <v>0</v>
      </c>
      <c r="K341" s="15" t="n">
        <f aca="false">AG341*評分方法!$C$7</f>
        <v>15</v>
      </c>
      <c r="L341" s="15" t="n">
        <f aca="false">AH341*評分方法!$C$8</f>
        <v>15</v>
      </c>
      <c r="M341" s="15" t="n">
        <f aca="false">AI341*評分方法!$C$9</f>
        <v>10</v>
      </c>
      <c r="N341" s="15" t="n">
        <f aca="false">AJ341*評分方法!$C$10</f>
        <v>5.908</v>
      </c>
      <c r="O341" s="15" t="n">
        <f aca="false">AK341*評分方法!$C$11</f>
        <v>4</v>
      </c>
      <c r="P341" s="15" t="n">
        <f aca="false">AL341*評分方法!$C$12</f>
        <v>1.5</v>
      </c>
      <c r="Q341" s="6" t="n">
        <v>608147</v>
      </c>
      <c r="R341" s="6" t="n">
        <v>231289280</v>
      </c>
      <c r="S341" s="11" t="s">
        <v>238</v>
      </c>
      <c r="T341" s="11" t="s">
        <v>239</v>
      </c>
      <c r="U341" s="5" t="s">
        <v>240</v>
      </c>
      <c r="V341" s="11" t="s">
        <v>261</v>
      </c>
      <c r="W341" s="5" t="s">
        <v>205</v>
      </c>
      <c r="X341" s="5" t="s">
        <v>255</v>
      </c>
      <c r="Y341" s="5"/>
      <c r="Z341" s="5"/>
      <c r="AA341" s="11" t="s">
        <v>158</v>
      </c>
      <c r="AB341" s="5" t="s">
        <v>245</v>
      </c>
      <c r="AC341" s="5"/>
      <c r="AD341" s="11" t="s">
        <v>1080</v>
      </c>
      <c r="AE341" s="23" t="n">
        <v>0.7</v>
      </c>
      <c r="AF341" s="23" t="n">
        <v>0</v>
      </c>
      <c r="AG341" s="23" t="n">
        <v>1</v>
      </c>
      <c r="AH341" s="23" t="n">
        <v>1</v>
      </c>
      <c r="AI341" s="23" t="n">
        <v>1</v>
      </c>
      <c r="AJ341" s="23" t="n">
        <v>0.5908</v>
      </c>
      <c r="AK341" s="23" t="n">
        <v>0.8</v>
      </c>
      <c r="AL341" s="23" t="n">
        <v>0.3</v>
      </c>
      <c r="AM341" s="16" t="n">
        <f aca="false">COUNTIFS($D$2:$D$2501,D341,$G$2:$G$2501,"&gt;"&amp;G341)+COUNTIFS($D$2:D341,D341,$G$2:G341,G341)</f>
        <v>22</v>
      </c>
      <c r="AN341" s="5" t="str">
        <f aca="false">D341&amp;"|"&amp;AM341</f>
        <v>時序異常偵測|22</v>
      </c>
    </row>
    <row r="342" customFormat="false" ht="17.15" hidden="false" customHeight="false" outlineLevel="0" collapsed="false">
      <c r="A342" s="16" t="n">
        <f aca="false">RANK(G342,$G$2:$G$2501)+COUNTIF($G$2:G342,G342)-1</f>
        <v>341</v>
      </c>
      <c r="B342" s="11" t="s">
        <v>1081</v>
      </c>
      <c r="C342" s="11" t="s">
        <v>891</v>
      </c>
      <c r="D342" s="5" t="s">
        <v>56</v>
      </c>
      <c r="E342" s="5" t="s">
        <v>57</v>
      </c>
      <c r="F342" s="5"/>
      <c r="G342" s="22" t="n">
        <f aca="false">ROUND(SUM(I342:P342),3)</f>
        <v>72.408</v>
      </c>
      <c r="H342" s="5" t="str">
        <f aca="false">IF(G342&gt;=評分方法!$C$16,"優先評估",IF(G342&gt;=評分方法!$C$17,"列入候選",IF(G342&gt;=評分方法!$C$18,"特定情境","不建議")))</f>
        <v>列入候選</v>
      </c>
      <c r="I342" s="15" t="n">
        <f aca="false">AE342*評分方法!$C$5</f>
        <v>24</v>
      </c>
      <c r="J342" s="15" t="n">
        <f aca="false">AF342*評分方法!$C$6</f>
        <v>0</v>
      </c>
      <c r="K342" s="15" t="n">
        <f aca="false">AG342*評分方法!$C$7</f>
        <v>10.05</v>
      </c>
      <c r="L342" s="15" t="n">
        <f aca="false">AH342*評分方法!$C$8</f>
        <v>13.05</v>
      </c>
      <c r="M342" s="15" t="n">
        <f aca="false">AI342*評分方法!$C$9</f>
        <v>10</v>
      </c>
      <c r="N342" s="15" t="n">
        <f aca="false">AJ342*評分方法!$C$10</f>
        <v>7.308</v>
      </c>
      <c r="O342" s="15" t="n">
        <f aca="false">AK342*評分方法!$C$11</f>
        <v>5</v>
      </c>
      <c r="P342" s="15" t="n">
        <f aca="false">AL342*評分方法!$C$12</f>
        <v>3</v>
      </c>
      <c r="Q342" s="6" t="n">
        <v>1050332</v>
      </c>
      <c r="R342" s="6" t="n">
        <v>5123178051</v>
      </c>
      <c r="S342" s="11" t="s">
        <v>254</v>
      </c>
      <c r="T342" s="11" t="s">
        <v>239</v>
      </c>
      <c r="U342" s="5" t="s">
        <v>240</v>
      </c>
      <c r="V342" s="11" t="s">
        <v>261</v>
      </c>
      <c r="W342" s="5" t="s">
        <v>207</v>
      </c>
      <c r="X342" s="5" t="s">
        <v>371</v>
      </c>
      <c r="Y342" s="11" t="s">
        <v>425</v>
      </c>
      <c r="Z342" s="11" t="s">
        <v>244</v>
      </c>
      <c r="AA342" s="11" t="s">
        <v>157</v>
      </c>
      <c r="AB342" s="5" t="s">
        <v>245</v>
      </c>
      <c r="AC342" s="5" t="s">
        <v>246</v>
      </c>
      <c r="AD342" s="11" t="s">
        <v>1082</v>
      </c>
      <c r="AE342" s="23" t="n">
        <v>0.8</v>
      </c>
      <c r="AF342" s="23" t="n">
        <v>0</v>
      </c>
      <c r="AG342" s="23" t="n">
        <v>0.67</v>
      </c>
      <c r="AH342" s="23" t="n">
        <v>0.87</v>
      </c>
      <c r="AI342" s="23" t="n">
        <v>1</v>
      </c>
      <c r="AJ342" s="23" t="n">
        <v>0.7308</v>
      </c>
      <c r="AK342" s="23" t="n">
        <v>1</v>
      </c>
      <c r="AL342" s="23" t="n">
        <v>0.6</v>
      </c>
      <c r="AM342" s="16" t="n">
        <f aca="false">COUNTIFS($D$2:$D$2501,D342,$G$2:$G$2501,"&gt;"&amp;G342)+COUNTIFS($D$2:D342,D342,$G$2:G342,G342)</f>
        <v>166</v>
      </c>
      <c r="AN342" s="5" t="str">
        <f aca="false">D342&amp;"|"&amp;AM342</f>
        <v>分析與報告生成|166</v>
      </c>
    </row>
    <row r="343" customFormat="false" ht="17.15" hidden="false" customHeight="false" outlineLevel="0" collapsed="false">
      <c r="A343" s="16" t="n">
        <f aca="false">RANK(G343,$G$2:$G$2501)+COUNTIF($G$2:G343,G343)-1</f>
        <v>342</v>
      </c>
      <c r="B343" s="11" t="s">
        <v>1083</v>
      </c>
      <c r="C343" s="11" t="s">
        <v>368</v>
      </c>
      <c r="D343" s="5" t="s">
        <v>56</v>
      </c>
      <c r="E343" s="5" t="s">
        <v>57</v>
      </c>
      <c r="F343" s="5"/>
      <c r="G343" s="22" t="n">
        <f aca="false">ROUND(SUM(I343:P343),3)</f>
        <v>72.402</v>
      </c>
      <c r="H343" s="5" t="str">
        <f aca="false">IF(G343&gt;=評分方法!$C$16,"優先評估",IF(G343&gt;=評分方法!$C$17,"列入候選",IF(G343&gt;=評分方法!$C$18,"特定情境","不建議")))</f>
        <v>列入候選</v>
      </c>
      <c r="I343" s="15" t="n">
        <f aca="false">AE343*評分方法!$C$5</f>
        <v>25.5</v>
      </c>
      <c r="J343" s="15" t="n">
        <f aca="false">AF343*評分方法!$C$6</f>
        <v>0</v>
      </c>
      <c r="K343" s="15" t="n">
        <f aca="false">AG343*評分方法!$C$7</f>
        <v>15</v>
      </c>
      <c r="L343" s="15" t="n">
        <f aca="false">AH343*評分方法!$C$8</f>
        <v>13.05</v>
      </c>
      <c r="M343" s="15" t="n">
        <f aca="false">AI343*評分方法!$C$9</f>
        <v>6</v>
      </c>
      <c r="N343" s="15" t="n">
        <f aca="false">AJ343*評分方法!$C$10</f>
        <v>8.852</v>
      </c>
      <c r="O343" s="15" t="n">
        <f aca="false">AK343*評分方法!$C$11</f>
        <v>1</v>
      </c>
      <c r="P343" s="15" t="n">
        <f aca="false">AL343*評分方法!$C$12</f>
        <v>3</v>
      </c>
      <c r="Q343" s="6" t="n">
        <v>3206411</v>
      </c>
      <c r="R343" s="6" t="n">
        <v>9241705984</v>
      </c>
      <c r="S343" s="11" t="s">
        <v>254</v>
      </c>
      <c r="T343" s="11" t="s">
        <v>658</v>
      </c>
      <c r="U343" s="5" t="s">
        <v>260</v>
      </c>
      <c r="V343" s="11" t="s">
        <v>261</v>
      </c>
      <c r="W343" s="5" t="s">
        <v>205</v>
      </c>
      <c r="X343" s="5" t="s">
        <v>371</v>
      </c>
      <c r="Y343" s="11" t="s">
        <v>1084</v>
      </c>
      <c r="Z343" s="11" t="s">
        <v>270</v>
      </c>
      <c r="AA343" s="11" t="s">
        <v>155</v>
      </c>
      <c r="AB343" s="5" t="s">
        <v>245</v>
      </c>
      <c r="AC343" s="5" t="s">
        <v>262</v>
      </c>
      <c r="AD343" s="11" t="s">
        <v>1085</v>
      </c>
      <c r="AE343" s="23" t="n">
        <v>0.85</v>
      </c>
      <c r="AF343" s="23" t="n">
        <v>0</v>
      </c>
      <c r="AG343" s="23" t="n">
        <v>1</v>
      </c>
      <c r="AH343" s="23" t="n">
        <v>0.87</v>
      </c>
      <c r="AI343" s="23" t="n">
        <v>0.6</v>
      </c>
      <c r="AJ343" s="23" t="n">
        <v>0.8852</v>
      </c>
      <c r="AK343" s="23" t="n">
        <v>0.2</v>
      </c>
      <c r="AL343" s="23" t="n">
        <v>0.6</v>
      </c>
      <c r="AM343" s="16" t="n">
        <f aca="false">COUNTIFS($D$2:$D$2501,D343,$G$2:$G$2501,"&gt;"&amp;G343)+COUNTIFS($D$2:D343,D343,$G$2:G343,G343)</f>
        <v>167</v>
      </c>
      <c r="AN343" s="5" t="str">
        <f aca="false">D343&amp;"|"&amp;AM343</f>
        <v>分析與報告生成|167</v>
      </c>
    </row>
    <row r="344" customFormat="false" ht="17.15" hidden="false" customHeight="false" outlineLevel="0" collapsed="false">
      <c r="A344" s="16" t="n">
        <f aca="false">RANK(G344,$G$2:$G$2501)+COUNTIF($G$2:G344,G344)-1</f>
        <v>343</v>
      </c>
      <c r="B344" s="11" t="s">
        <v>1086</v>
      </c>
      <c r="C344" s="11" t="s">
        <v>891</v>
      </c>
      <c r="D344" s="5" t="s">
        <v>56</v>
      </c>
      <c r="E344" s="5" t="s">
        <v>57</v>
      </c>
      <c r="F344" s="5"/>
      <c r="G344" s="22" t="n">
        <f aca="false">ROUND(SUM(I344:P344),3)</f>
        <v>72.396</v>
      </c>
      <c r="H344" s="5" t="str">
        <f aca="false">IF(G344&gt;=評分方法!$C$16,"優先評估",IF(G344&gt;=評分方法!$C$17,"列入候選",IF(G344&gt;=評分方法!$C$18,"特定情境","不建議")))</f>
        <v>列入候選</v>
      </c>
      <c r="I344" s="15" t="n">
        <f aca="false">AE344*評分方法!$C$5</f>
        <v>24</v>
      </c>
      <c r="J344" s="15" t="n">
        <f aca="false">AF344*評分方法!$C$6</f>
        <v>0</v>
      </c>
      <c r="K344" s="15" t="n">
        <f aca="false">AG344*評分方法!$C$7</f>
        <v>10.05</v>
      </c>
      <c r="L344" s="15" t="n">
        <f aca="false">AH344*評分方法!$C$8</f>
        <v>13.05</v>
      </c>
      <c r="M344" s="15" t="n">
        <f aca="false">AI344*評分方法!$C$9</f>
        <v>10</v>
      </c>
      <c r="N344" s="15" t="n">
        <f aca="false">AJ344*評分方法!$C$10</f>
        <v>7.296</v>
      </c>
      <c r="O344" s="15" t="n">
        <f aca="false">AK344*評分方法!$C$11</f>
        <v>5</v>
      </c>
      <c r="P344" s="15" t="n">
        <f aca="false">AL344*評分方法!$C$12</f>
        <v>3</v>
      </c>
      <c r="Q344" s="6" t="n">
        <v>1042436</v>
      </c>
      <c r="R344" s="6" t="n">
        <v>5123178051</v>
      </c>
      <c r="S344" s="11" t="s">
        <v>254</v>
      </c>
      <c r="T344" s="11" t="s">
        <v>239</v>
      </c>
      <c r="U344" s="5" t="s">
        <v>240</v>
      </c>
      <c r="V344" s="11" t="s">
        <v>261</v>
      </c>
      <c r="W344" s="5" t="s">
        <v>207</v>
      </c>
      <c r="X344" s="5" t="s">
        <v>371</v>
      </c>
      <c r="Y344" s="11" t="s">
        <v>425</v>
      </c>
      <c r="Z344" s="11" t="s">
        <v>244</v>
      </c>
      <c r="AA344" s="11" t="s">
        <v>157</v>
      </c>
      <c r="AB344" s="5" t="s">
        <v>245</v>
      </c>
      <c r="AC344" s="5" t="s">
        <v>246</v>
      </c>
      <c r="AD344" s="11" t="s">
        <v>1087</v>
      </c>
      <c r="AE344" s="23" t="n">
        <v>0.8</v>
      </c>
      <c r="AF344" s="23" t="n">
        <v>0</v>
      </c>
      <c r="AG344" s="23" t="n">
        <v>0.67</v>
      </c>
      <c r="AH344" s="23" t="n">
        <v>0.87</v>
      </c>
      <c r="AI344" s="23" t="n">
        <v>1</v>
      </c>
      <c r="AJ344" s="23" t="n">
        <v>0.7296</v>
      </c>
      <c r="AK344" s="23" t="n">
        <v>1</v>
      </c>
      <c r="AL344" s="23" t="n">
        <v>0.6</v>
      </c>
      <c r="AM344" s="16" t="n">
        <f aca="false">COUNTIFS($D$2:$D$2501,D344,$G$2:$G$2501,"&gt;"&amp;G344)+COUNTIFS($D$2:D344,D344,$G$2:G344,G344)</f>
        <v>168</v>
      </c>
      <c r="AN344" s="5" t="str">
        <f aca="false">D344&amp;"|"&amp;AM344</f>
        <v>分析與報告生成|168</v>
      </c>
    </row>
    <row r="345" customFormat="false" ht="17.15" hidden="false" customHeight="false" outlineLevel="0" collapsed="false">
      <c r="A345" s="16" t="n">
        <f aca="false">RANK(G345,$G$2:$G$2501)+COUNTIF($G$2:G345,G345)-1</f>
        <v>344</v>
      </c>
      <c r="B345" s="11" t="s">
        <v>1088</v>
      </c>
      <c r="C345" s="11" t="s">
        <v>891</v>
      </c>
      <c r="D345" s="5" t="s">
        <v>56</v>
      </c>
      <c r="E345" s="5" t="s">
        <v>57</v>
      </c>
      <c r="F345" s="5"/>
      <c r="G345" s="22" t="n">
        <f aca="false">ROUND(SUM(I345:P345),3)</f>
        <v>72.392</v>
      </c>
      <c r="H345" s="5" t="str">
        <f aca="false">IF(G345&gt;=評分方法!$C$16,"優先評估",IF(G345&gt;=評分方法!$C$17,"列入候選",IF(G345&gt;=評分方法!$C$18,"特定情境","不建議")))</f>
        <v>列入候選</v>
      </c>
      <c r="I345" s="15" t="n">
        <f aca="false">AE345*評分方法!$C$5</f>
        <v>24</v>
      </c>
      <c r="J345" s="15" t="n">
        <f aca="false">AF345*評分方法!$C$6</f>
        <v>0</v>
      </c>
      <c r="K345" s="15" t="n">
        <f aca="false">AG345*評分方法!$C$7</f>
        <v>10.05</v>
      </c>
      <c r="L345" s="15" t="n">
        <f aca="false">AH345*評分方法!$C$8</f>
        <v>13.05</v>
      </c>
      <c r="M345" s="15" t="n">
        <f aca="false">AI345*評分方法!$C$9</f>
        <v>10</v>
      </c>
      <c r="N345" s="15" t="n">
        <f aca="false">AJ345*評分方法!$C$10</f>
        <v>7.292</v>
      </c>
      <c r="O345" s="15" t="n">
        <f aca="false">AK345*評分方法!$C$11</f>
        <v>5</v>
      </c>
      <c r="P345" s="15" t="n">
        <f aca="false">AL345*評分方法!$C$12</f>
        <v>3</v>
      </c>
      <c r="Q345" s="6" t="n">
        <v>1041509</v>
      </c>
      <c r="R345" s="6" t="n">
        <v>5123178051</v>
      </c>
      <c r="S345" s="11" t="s">
        <v>254</v>
      </c>
      <c r="T345" s="11" t="s">
        <v>239</v>
      </c>
      <c r="U345" s="5" t="s">
        <v>240</v>
      </c>
      <c r="V345" s="11" t="s">
        <v>261</v>
      </c>
      <c r="W345" s="5" t="s">
        <v>207</v>
      </c>
      <c r="X345" s="5" t="s">
        <v>371</v>
      </c>
      <c r="Y345" s="11" t="s">
        <v>425</v>
      </c>
      <c r="Z345" s="11" t="s">
        <v>244</v>
      </c>
      <c r="AA345" s="11" t="s">
        <v>157</v>
      </c>
      <c r="AB345" s="5" t="s">
        <v>245</v>
      </c>
      <c r="AC345" s="5" t="s">
        <v>246</v>
      </c>
      <c r="AD345" s="11" t="s">
        <v>1089</v>
      </c>
      <c r="AE345" s="23" t="n">
        <v>0.8</v>
      </c>
      <c r="AF345" s="23" t="n">
        <v>0</v>
      </c>
      <c r="AG345" s="23" t="n">
        <v>0.67</v>
      </c>
      <c r="AH345" s="23" t="n">
        <v>0.87</v>
      </c>
      <c r="AI345" s="23" t="n">
        <v>1</v>
      </c>
      <c r="AJ345" s="23" t="n">
        <v>0.7292</v>
      </c>
      <c r="AK345" s="23" t="n">
        <v>1</v>
      </c>
      <c r="AL345" s="23" t="n">
        <v>0.6</v>
      </c>
      <c r="AM345" s="16" t="n">
        <f aca="false">COUNTIFS($D$2:$D$2501,D345,$G$2:$G$2501,"&gt;"&amp;G345)+COUNTIFS($D$2:D345,D345,$G$2:G345,G345)</f>
        <v>169</v>
      </c>
      <c r="AN345" s="5" t="str">
        <f aca="false">D345&amp;"|"&amp;AM345</f>
        <v>分析與報告生成|169</v>
      </c>
    </row>
    <row r="346" customFormat="false" ht="17.15" hidden="false" customHeight="false" outlineLevel="0" collapsed="false">
      <c r="A346" s="16" t="n">
        <f aca="false">RANK(G346,$G$2:$G$2501)+COUNTIF($G$2:G346,G346)-1</f>
        <v>345</v>
      </c>
      <c r="B346" s="11" t="s">
        <v>1090</v>
      </c>
      <c r="C346" s="11" t="s">
        <v>368</v>
      </c>
      <c r="D346" s="5" t="s">
        <v>56</v>
      </c>
      <c r="E346" s="5" t="s">
        <v>57</v>
      </c>
      <c r="F346" s="5"/>
      <c r="G346" s="22" t="n">
        <f aca="false">ROUND(SUM(I346:P346),3)</f>
        <v>72.386</v>
      </c>
      <c r="H346" s="5" t="str">
        <f aca="false">IF(G346&gt;=評分方法!$C$16,"優先評估",IF(G346&gt;=評分方法!$C$17,"列入候選",IF(G346&gt;=評分方法!$C$18,"特定情境","不建議")))</f>
        <v>列入候選</v>
      </c>
      <c r="I346" s="15" t="n">
        <f aca="false">AE346*評分方法!$C$5</f>
        <v>25.5</v>
      </c>
      <c r="J346" s="15" t="n">
        <f aca="false">AF346*評分方法!$C$6</f>
        <v>0</v>
      </c>
      <c r="K346" s="15" t="n">
        <f aca="false">AG346*評分方法!$C$7</f>
        <v>15</v>
      </c>
      <c r="L346" s="15" t="n">
        <f aca="false">AH346*評分方法!$C$8</f>
        <v>13.05</v>
      </c>
      <c r="M346" s="15" t="n">
        <f aca="false">AI346*評分方法!$C$9</f>
        <v>6</v>
      </c>
      <c r="N346" s="15" t="n">
        <f aca="false">AJ346*評分方法!$C$10</f>
        <v>8.836</v>
      </c>
      <c r="O346" s="15" t="n">
        <f aca="false">AK346*評分方法!$C$11</f>
        <v>1</v>
      </c>
      <c r="P346" s="15" t="n">
        <f aca="false">AL346*評分方法!$C$12</f>
        <v>3</v>
      </c>
      <c r="Q346" s="6" t="n">
        <v>3148677</v>
      </c>
      <c r="R346" s="6" t="n">
        <v>2614341888</v>
      </c>
      <c r="S346" s="11" t="s">
        <v>254</v>
      </c>
      <c r="T346" s="11" t="s">
        <v>658</v>
      </c>
      <c r="U346" s="5" t="s">
        <v>260</v>
      </c>
      <c r="V346" s="11" t="s">
        <v>261</v>
      </c>
      <c r="W346" s="5" t="s">
        <v>205</v>
      </c>
      <c r="X346" s="5" t="s">
        <v>371</v>
      </c>
      <c r="Y346" s="11" t="s">
        <v>1091</v>
      </c>
      <c r="Z346" s="11" t="s">
        <v>270</v>
      </c>
      <c r="AA346" s="11" t="s">
        <v>155</v>
      </c>
      <c r="AB346" s="5" t="s">
        <v>245</v>
      </c>
      <c r="AC346" s="5" t="s">
        <v>262</v>
      </c>
      <c r="AD346" s="11" t="s">
        <v>1092</v>
      </c>
      <c r="AE346" s="23" t="n">
        <v>0.85</v>
      </c>
      <c r="AF346" s="23" t="n">
        <v>0</v>
      </c>
      <c r="AG346" s="23" t="n">
        <v>1</v>
      </c>
      <c r="AH346" s="23" t="n">
        <v>0.87</v>
      </c>
      <c r="AI346" s="23" t="n">
        <v>0.6</v>
      </c>
      <c r="AJ346" s="23" t="n">
        <v>0.8836</v>
      </c>
      <c r="AK346" s="23" t="n">
        <v>0.2</v>
      </c>
      <c r="AL346" s="23" t="n">
        <v>0.6</v>
      </c>
      <c r="AM346" s="16" t="n">
        <f aca="false">COUNTIFS($D$2:$D$2501,D346,$G$2:$G$2501,"&gt;"&amp;G346)+COUNTIFS($D$2:D346,D346,$G$2:G346,G346)</f>
        <v>170</v>
      </c>
      <c r="AN346" s="5" t="str">
        <f aca="false">D346&amp;"|"&amp;AM346</f>
        <v>分析與報告生成|170</v>
      </c>
    </row>
    <row r="347" customFormat="false" ht="17.15" hidden="false" customHeight="false" outlineLevel="0" collapsed="false">
      <c r="A347" s="16" t="n">
        <f aca="false">RANK(G347,$G$2:$G$2501)+COUNTIF($G$2:G347,G347)-1</f>
        <v>346</v>
      </c>
      <c r="B347" s="11" t="s">
        <v>1093</v>
      </c>
      <c r="C347" s="11" t="s">
        <v>338</v>
      </c>
      <c r="D347" s="5" t="s">
        <v>56</v>
      </c>
      <c r="E347" s="5" t="s">
        <v>57</v>
      </c>
      <c r="F347" s="5"/>
      <c r="G347" s="22" t="n">
        <f aca="false">ROUND(SUM(I347:P347),3)</f>
        <v>72.332</v>
      </c>
      <c r="H347" s="5" t="str">
        <f aca="false">IF(G347&gt;=評分方法!$C$16,"優先評估",IF(G347&gt;=評分方法!$C$17,"列入候選",IF(G347&gt;=評分方法!$C$18,"特定情境","不建議")))</f>
        <v>列入候選</v>
      </c>
      <c r="I347" s="15" t="n">
        <f aca="false">AE347*評分方法!$C$5</f>
        <v>25.5</v>
      </c>
      <c r="J347" s="15" t="n">
        <f aca="false">AF347*評分方法!$C$6</f>
        <v>0</v>
      </c>
      <c r="K347" s="15" t="n">
        <f aca="false">AG347*評分方法!$C$7</f>
        <v>15</v>
      </c>
      <c r="L347" s="15" t="n">
        <f aca="false">AH347*評分方法!$C$8</f>
        <v>9</v>
      </c>
      <c r="M347" s="15" t="n">
        <f aca="false">AI347*評分方法!$C$9</f>
        <v>10</v>
      </c>
      <c r="N347" s="15" t="n">
        <f aca="false">AJ347*評分方法!$C$10</f>
        <v>2.832</v>
      </c>
      <c r="O347" s="15" t="n">
        <f aca="false">AK347*評分方法!$C$11</f>
        <v>5</v>
      </c>
      <c r="P347" s="15" t="n">
        <f aca="false">AL347*評分方法!$C$12</f>
        <v>5</v>
      </c>
      <c r="Q347" s="6" t="n">
        <v>276290</v>
      </c>
      <c r="R347" s="6" t="n">
        <v>13945031680</v>
      </c>
      <c r="S347" s="11" t="s">
        <v>389</v>
      </c>
      <c r="T347" s="11" t="s">
        <v>239</v>
      </c>
      <c r="U347" s="5" t="s">
        <v>240</v>
      </c>
      <c r="V347" s="11" t="s">
        <v>261</v>
      </c>
      <c r="W347" s="5" t="s">
        <v>205</v>
      </c>
      <c r="X347" s="5" t="s">
        <v>284</v>
      </c>
      <c r="Y347" s="11" t="s">
        <v>642</v>
      </c>
      <c r="Z347" s="11" t="s">
        <v>270</v>
      </c>
      <c r="AA347" s="11" t="s">
        <v>155</v>
      </c>
      <c r="AB347" s="5" t="s">
        <v>328</v>
      </c>
      <c r="AC347" s="5" t="s">
        <v>400</v>
      </c>
      <c r="AD347" s="11" t="s">
        <v>1094</v>
      </c>
      <c r="AE347" s="23" t="n">
        <v>0.85</v>
      </c>
      <c r="AF347" s="23" t="n">
        <v>0</v>
      </c>
      <c r="AG347" s="23" t="n">
        <v>1</v>
      </c>
      <c r="AH347" s="23" t="n">
        <v>0.6</v>
      </c>
      <c r="AI347" s="23" t="n">
        <v>1</v>
      </c>
      <c r="AJ347" s="23" t="n">
        <v>0.2832</v>
      </c>
      <c r="AK347" s="23" t="n">
        <v>1</v>
      </c>
      <c r="AL347" s="23" t="n">
        <v>1</v>
      </c>
      <c r="AM347" s="16" t="n">
        <f aca="false">COUNTIFS($D$2:$D$2501,D347,$G$2:$G$2501,"&gt;"&amp;G347)+COUNTIFS($D$2:D347,D347,$G$2:G347,G347)</f>
        <v>171</v>
      </c>
      <c r="AN347" s="5" t="str">
        <f aca="false">D347&amp;"|"&amp;AM347</f>
        <v>分析與報告生成|171</v>
      </c>
    </row>
    <row r="348" customFormat="false" ht="17.15" hidden="false" customHeight="false" outlineLevel="0" collapsed="false">
      <c r="A348" s="16" t="n">
        <f aca="false">RANK(G348,$G$2:$G$2501)+COUNTIF($G$2:G348,G348)-1</f>
        <v>347</v>
      </c>
      <c r="B348" s="11" t="s">
        <v>1095</v>
      </c>
      <c r="C348" s="11" t="s">
        <v>998</v>
      </c>
      <c r="D348" s="5" t="s">
        <v>56</v>
      </c>
      <c r="E348" s="5" t="s">
        <v>57</v>
      </c>
      <c r="F348" s="5"/>
      <c r="G348" s="22" t="n">
        <f aca="false">ROUND(SUM(I348:P348),3)</f>
        <v>72.33</v>
      </c>
      <c r="H348" s="5" t="str">
        <f aca="false">IF(G348&gt;=評分方法!$C$16,"優先評估",IF(G348&gt;=評分方法!$C$17,"列入候選",IF(G348&gt;=評分方法!$C$18,"特定情境","不建議")))</f>
        <v>列入候選</v>
      </c>
      <c r="I348" s="15" t="n">
        <f aca="false">AE348*評分方法!$C$5</f>
        <v>25.5</v>
      </c>
      <c r="J348" s="15" t="n">
        <f aca="false">AF348*評分方法!$C$6</f>
        <v>0</v>
      </c>
      <c r="K348" s="15" t="n">
        <f aca="false">AG348*評分方法!$C$7</f>
        <v>10.05</v>
      </c>
      <c r="L348" s="15" t="n">
        <f aca="false">AH348*評分方法!$C$8</f>
        <v>15</v>
      </c>
      <c r="M348" s="15" t="n">
        <f aca="false">AI348*評分方法!$C$9</f>
        <v>10</v>
      </c>
      <c r="N348" s="15" t="n">
        <f aca="false">AJ348*評分方法!$C$10</f>
        <v>6.28</v>
      </c>
      <c r="O348" s="15" t="n">
        <f aca="false">AK348*評分方法!$C$11</f>
        <v>2.5</v>
      </c>
      <c r="P348" s="15" t="n">
        <f aca="false">AL348*評分方法!$C$12</f>
        <v>3</v>
      </c>
      <c r="Q348" s="6" t="n">
        <v>686638</v>
      </c>
      <c r="R348" s="6" t="n">
        <v>38289536</v>
      </c>
      <c r="S348" s="11" t="s">
        <v>238</v>
      </c>
      <c r="T348" s="11" t="s">
        <v>1096</v>
      </c>
      <c r="U348" s="5" t="s">
        <v>240</v>
      </c>
      <c r="V348" s="11" t="s">
        <v>333</v>
      </c>
      <c r="W348" s="5" t="s">
        <v>207</v>
      </c>
      <c r="X348" s="5" t="s">
        <v>371</v>
      </c>
      <c r="Y348" s="11" t="s">
        <v>1097</v>
      </c>
      <c r="Z348" s="11" t="s">
        <v>244</v>
      </c>
      <c r="AA348" s="11" t="s">
        <v>156</v>
      </c>
      <c r="AB348" s="5" t="s">
        <v>496</v>
      </c>
      <c r="AC348" s="5" t="s">
        <v>555</v>
      </c>
      <c r="AD348" s="11" t="s">
        <v>1098</v>
      </c>
      <c r="AE348" s="23" t="n">
        <v>0.85</v>
      </c>
      <c r="AF348" s="23" t="n">
        <v>0</v>
      </c>
      <c r="AG348" s="23" t="n">
        <v>0.67</v>
      </c>
      <c r="AH348" s="23" t="n">
        <v>1</v>
      </c>
      <c r="AI348" s="23" t="n">
        <v>1</v>
      </c>
      <c r="AJ348" s="23" t="n">
        <v>0.628</v>
      </c>
      <c r="AK348" s="23" t="n">
        <v>0.5</v>
      </c>
      <c r="AL348" s="23" t="n">
        <v>0.6</v>
      </c>
      <c r="AM348" s="16" t="n">
        <f aca="false">COUNTIFS($D$2:$D$2501,D348,$G$2:$G$2501,"&gt;"&amp;G348)+COUNTIFS($D$2:D348,D348,$G$2:G348,G348)</f>
        <v>172</v>
      </c>
      <c r="AN348" s="5" t="str">
        <f aca="false">D348&amp;"|"&amp;AM348</f>
        <v>分析與報告生成|172</v>
      </c>
    </row>
    <row r="349" customFormat="false" ht="17.15" hidden="false" customHeight="false" outlineLevel="0" collapsed="false">
      <c r="A349" s="16" t="n">
        <f aca="false">RANK(G349,$G$2:$G$2501)+COUNTIF($G$2:G349,G349)-1</f>
        <v>348</v>
      </c>
      <c r="B349" s="11" t="s">
        <v>1099</v>
      </c>
      <c r="C349" s="11" t="s">
        <v>777</v>
      </c>
      <c r="D349" s="5" t="s">
        <v>58</v>
      </c>
      <c r="E349" s="5" t="s">
        <v>59</v>
      </c>
      <c r="F349" s="5"/>
      <c r="G349" s="22" t="n">
        <f aca="false">ROUND(SUM(I349:P349),3)</f>
        <v>72.326</v>
      </c>
      <c r="H349" s="5" t="str">
        <f aca="false">IF(G349&gt;=評分方法!$C$16,"優先評估",IF(G349&gt;=評分方法!$C$17,"列入候選",IF(G349&gt;=評分方法!$C$18,"特定情境","不建議")))</f>
        <v>列入候選</v>
      </c>
      <c r="I349" s="15" t="n">
        <f aca="false">AE349*評分方法!$C$5</f>
        <v>28.5</v>
      </c>
      <c r="J349" s="15" t="n">
        <f aca="false">AF349*評分方法!$C$6</f>
        <v>0</v>
      </c>
      <c r="K349" s="15" t="n">
        <f aca="false">AG349*評分方法!$C$7</f>
        <v>10.05</v>
      </c>
      <c r="L349" s="15" t="n">
        <f aca="false">AH349*評分方法!$C$8</f>
        <v>15</v>
      </c>
      <c r="M349" s="15" t="n">
        <f aca="false">AI349*評分方法!$C$9</f>
        <v>10</v>
      </c>
      <c r="N349" s="15" t="n">
        <f aca="false">AJ349*評分方法!$C$10</f>
        <v>6.276</v>
      </c>
      <c r="O349" s="15" t="n">
        <f aca="false">AK349*評分方法!$C$11</f>
        <v>1</v>
      </c>
      <c r="P349" s="15" t="n">
        <f aca="false">AL349*評分方法!$C$12</f>
        <v>1.5</v>
      </c>
      <c r="Q349" s="6" t="n">
        <v>686011</v>
      </c>
      <c r="R349" s="6" t="n">
        <v>134741001</v>
      </c>
      <c r="S349" s="11" t="s">
        <v>238</v>
      </c>
      <c r="T349" s="11" t="s">
        <v>778</v>
      </c>
      <c r="U349" s="5" t="s">
        <v>240</v>
      </c>
      <c r="V349" s="11" t="s">
        <v>855</v>
      </c>
      <c r="W349" s="5" t="s">
        <v>207</v>
      </c>
      <c r="X349" s="5" t="s">
        <v>255</v>
      </c>
      <c r="Y349" s="5"/>
      <c r="Z349" s="5"/>
      <c r="AA349" s="11" t="s">
        <v>150</v>
      </c>
      <c r="AB349" s="5" t="s">
        <v>245</v>
      </c>
      <c r="AC349" s="5"/>
      <c r="AD349" s="11" t="s">
        <v>1100</v>
      </c>
      <c r="AE349" s="23" t="n">
        <v>0.95</v>
      </c>
      <c r="AF349" s="23" t="n">
        <v>0</v>
      </c>
      <c r="AG349" s="23" t="n">
        <v>0.67</v>
      </c>
      <c r="AH349" s="23" t="n">
        <v>1</v>
      </c>
      <c r="AI349" s="23" t="n">
        <v>1</v>
      </c>
      <c r="AJ349" s="23" t="n">
        <v>0.6276</v>
      </c>
      <c r="AK349" s="23" t="n">
        <v>0.2</v>
      </c>
      <c r="AL349" s="23" t="n">
        <v>0.3</v>
      </c>
      <c r="AM349" s="16" t="n">
        <f aca="false">COUNTIFS($D$2:$D$2501,D349,$G$2:$G$2501,"&gt;"&amp;G349)+COUNTIFS($D$2:D349,D349,$G$2:G349,G349)</f>
        <v>14</v>
      </c>
      <c r="AN349" s="5" t="str">
        <f aca="false">D349&amp;"|"&amp;AM349</f>
        <v>實體擷取與去識別化|14</v>
      </c>
    </row>
    <row r="350" customFormat="false" ht="17.15" hidden="false" customHeight="false" outlineLevel="0" collapsed="false">
      <c r="A350" s="16" t="n">
        <f aca="false">RANK(G350,$G$2:$G$2501)+COUNTIF($G$2:G350,G350)-1</f>
        <v>349</v>
      </c>
      <c r="B350" s="11" t="s">
        <v>1101</v>
      </c>
      <c r="C350" s="11" t="s">
        <v>299</v>
      </c>
      <c r="D350" s="5" t="s">
        <v>56</v>
      </c>
      <c r="E350" s="5" t="s">
        <v>57</v>
      </c>
      <c r="F350" s="5"/>
      <c r="G350" s="22" t="n">
        <f aca="false">ROUND(SUM(I350:P350),3)</f>
        <v>72.29</v>
      </c>
      <c r="H350" s="5" t="str">
        <f aca="false">IF(G350&gt;=評分方法!$C$16,"優先評估",IF(G350&gt;=評分方法!$C$17,"列入候選",IF(G350&gt;=評分方法!$C$18,"特定情境","不建議")))</f>
        <v>列入候選</v>
      </c>
      <c r="I350" s="15" t="n">
        <f aca="false">AE350*評分方法!$C$5</f>
        <v>25.5</v>
      </c>
      <c r="J350" s="15" t="n">
        <f aca="false">AF350*評分方法!$C$6</f>
        <v>0</v>
      </c>
      <c r="K350" s="15" t="n">
        <f aca="false">AG350*評分方法!$C$7</f>
        <v>15</v>
      </c>
      <c r="L350" s="15" t="n">
        <f aca="false">AH350*評分方法!$C$8</f>
        <v>13.05</v>
      </c>
      <c r="M350" s="15" t="n">
        <f aca="false">AI350*評分方法!$C$9</f>
        <v>10</v>
      </c>
      <c r="N350" s="15" t="n">
        <f aca="false">AJ350*評分方法!$C$10</f>
        <v>0.74</v>
      </c>
      <c r="O350" s="15" t="n">
        <f aca="false">AK350*評分方法!$C$11</f>
        <v>5</v>
      </c>
      <c r="P350" s="15" t="n">
        <f aca="false">AL350*評分方法!$C$12</f>
        <v>3</v>
      </c>
      <c r="Q350" s="6" t="n">
        <v>144745</v>
      </c>
      <c r="R350" s="6" t="n">
        <v>8791592960</v>
      </c>
      <c r="S350" s="11" t="s">
        <v>254</v>
      </c>
      <c r="T350" s="11" t="s">
        <v>239</v>
      </c>
      <c r="U350" s="5" t="s">
        <v>240</v>
      </c>
      <c r="V350" s="11" t="s">
        <v>261</v>
      </c>
      <c r="W350" s="5" t="s">
        <v>205</v>
      </c>
      <c r="X350" s="5" t="s">
        <v>371</v>
      </c>
      <c r="Y350" s="11" t="s">
        <v>377</v>
      </c>
      <c r="Z350" s="11" t="s">
        <v>244</v>
      </c>
      <c r="AA350" s="11" t="s">
        <v>155</v>
      </c>
      <c r="AB350" s="5" t="s">
        <v>245</v>
      </c>
      <c r="AC350" s="5" t="s">
        <v>246</v>
      </c>
      <c r="AD350" s="11" t="s">
        <v>1102</v>
      </c>
      <c r="AE350" s="23" t="n">
        <v>0.85</v>
      </c>
      <c r="AF350" s="23" t="n">
        <v>0</v>
      </c>
      <c r="AG350" s="23" t="n">
        <v>1</v>
      </c>
      <c r="AH350" s="23" t="n">
        <v>0.87</v>
      </c>
      <c r="AI350" s="23" t="n">
        <v>1</v>
      </c>
      <c r="AJ350" s="23" t="n">
        <v>0.074</v>
      </c>
      <c r="AK350" s="23" t="n">
        <v>1</v>
      </c>
      <c r="AL350" s="23" t="n">
        <v>0.6</v>
      </c>
      <c r="AM350" s="16" t="n">
        <f aca="false">COUNTIFS($D$2:$D$2501,D350,$G$2:$G$2501,"&gt;"&amp;G350)+COUNTIFS($D$2:D350,D350,$G$2:G350,G350)</f>
        <v>173</v>
      </c>
      <c r="AN350" s="5" t="str">
        <f aca="false">D350&amp;"|"&amp;AM350</f>
        <v>分析與報告生成|173</v>
      </c>
    </row>
    <row r="351" customFormat="false" ht="17.15" hidden="false" customHeight="false" outlineLevel="0" collapsed="false">
      <c r="A351" s="16" t="n">
        <f aca="false">RANK(G351,$G$2:$G$2501)+COUNTIF($G$2:G351,G351)-1</f>
        <v>350</v>
      </c>
      <c r="B351" s="11" t="s">
        <v>1103</v>
      </c>
      <c r="C351" s="11" t="s">
        <v>382</v>
      </c>
      <c r="D351" s="5" t="s">
        <v>54</v>
      </c>
      <c r="E351" s="5" t="s">
        <v>55</v>
      </c>
      <c r="F351" s="5"/>
      <c r="G351" s="22" t="n">
        <f aca="false">ROUND(SUM(I351:P351),3)</f>
        <v>72.276</v>
      </c>
      <c r="H351" s="5" t="str">
        <f aca="false">IF(G351&gt;=評分方法!$C$16,"優先評估",IF(G351&gt;=評分方法!$C$17,"列入候選",IF(G351&gt;=評分方法!$C$18,"特定情境","不建議")))</f>
        <v>列入候選</v>
      </c>
      <c r="I351" s="15" t="n">
        <f aca="false">AE351*評分方法!$C$5</f>
        <v>27</v>
      </c>
      <c r="J351" s="15" t="n">
        <f aca="false">AF351*評分方法!$C$6</f>
        <v>0</v>
      </c>
      <c r="K351" s="15" t="n">
        <f aca="false">AG351*評分方法!$C$7</f>
        <v>15</v>
      </c>
      <c r="L351" s="15" t="n">
        <f aca="false">AH351*評分方法!$C$8</f>
        <v>15</v>
      </c>
      <c r="M351" s="15" t="n">
        <f aca="false">AI351*評分方法!$C$9</f>
        <v>10</v>
      </c>
      <c r="N351" s="15" t="n">
        <f aca="false">AJ351*評分方法!$C$10</f>
        <v>0.276</v>
      </c>
      <c r="O351" s="15" t="n">
        <f aca="false">AK351*評分方法!$C$11</f>
        <v>5</v>
      </c>
      <c r="P351" s="15" t="n">
        <f aca="false">AL351*評分方法!$C$12</f>
        <v>0</v>
      </c>
      <c r="Q351" s="6" t="n">
        <v>123719</v>
      </c>
      <c r="R351" s="6" t="n">
        <v>16797952</v>
      </c>
      <c r="S351" s="11" t="s">
        <v>238</v>
      </c>
      <c r="T351" s="11" t="s">
        <v>239</v>
      </c>
      <c r="U351" s="5" t="s">
        <v>240</v>
      </c>
      <c r="V351" s="11" t="s">
        <v>241</v>
      </c>
      <c r="W351" s="5" t="s">
        <v>205</v>
      </c>
      <c r="X351" s="5" t="s">
        <v>242</v>
      </c>
      <c r="Y351" s="5"/>
      <c r="Z351" s="5"/>
      <c r="AA351" s="11" t="s">
        <v>152</v>
      </c>
      <c r="AB351" s="5" t="s">
        <v>245</v>
      </c>
      <c r="AC351" s="5"/>
      <c r="AD351" s="11" t="s">
        <v>1104</v>
      </c>
      <c r="AE351" s="23" t="n">
        <v>0.9</v>
      </c>
      <c r="AF351" s="23" t="n">
        <v>0</v>
      </c>
      <c r="AG351" s="23" t="n">
        <v>1</v>
      </c>
      <c r="AH351" s="23" t="n">
        <v>1</v>
      </c>
      <c r="AI351" s="23" t="n">
        <v>1</v>
      </c>
      <c r="AJ351" s="23" t="n">
        <v>0.0276</v>
      </c>
      <c r="AK351" s="23" t="n">
        <v>1</v>
      </c>
      <c r="AL351" s="23" t="n">
        <v>0</v>
      </c>
      <c r="AM351" s="16" t="n">
        <f aca="false">COUNTIFS($D$2:$D$2501,D351,$G$2:$G$2501,"&gt;"&amp;G351)+COUNTIFS($D$2:D351,D351,$G$2:G351,G351)</f>
        <v>97</v>
      </c>
      <c r="AN351" s="5" t="str">
        <f aca="false">D351&amp;"|"&amp;AM351</f>
        <v>檢索與情資關聯|97</v>
      </c>
    </row>
    <row r="352" customFormat="false" ht="17.15" hidden="false" customHeight="false" outlineLevel="0" collapsed="false">
      <c r="A352" s="16" t="n">
        <f aca="false">RANK(G352,$G$2:$G$2501)+COUNTIF($G$2:G352,G352)-1</f>
        <v>351</v>
      </c>
      <c r="B352" s="11" t="s">
        <v>1105</v>
      </c>
      <c r="C352" s="11" t="s">
        <v>313</v>
      </c>
      <c r="D352" s="5" t="s">
        <v>54</v>
      </c>
      <c r="E352" s="5" t="s">
        <v>55</v>
      </c>
      <c r="F352" s="5"/>
      <c r="G352" s="22" t="n">
        <f aca="false">ROUND(SUM(I352:P352),3)</f>
        <v>72.192</v>
      </c>
      <c r="H352" s="5" t="str">
        <f aca="false">IF(G352&gt;=評分方法!$C$16,"優先評估",IF(G352&gt;=評分方法!$C$17,"列入候選",IF(G352&gt;=評分方法!$C$18,"特定情境","不建議")))</f>
        <v>列入候選</v>
      </c>
      <c r="I352" s="15" t="n">
        <f aca="false">AE352*評分方法!$C$5</f>
        <v>27</v>
      </c>
      <c r="J352" s="15" t="n">
        <f aca="false">AF352*評分方法!$C$6</f>
        <v>0</v>
      </c>
      <c r="K352" s="15" t="n">
        <f aca="false">AG352*評分方法!$C$7</f>
        <v>15</v>
      </c>
      <c r="L352" s="15" t="n">
        <f aca="false">AH352*評分方法!$C$8</f>
        <v>15</v>
      </c>
      <c r="M352" s="15" t="n">
        <f aca="false">AI352*評分方法!$C$9</f>
        <v>2</v>
      </c>
      <c r="N352" s="15" t="n">
        <f aca="false">AJ352*評分方法!$C$10</f>
        <v>9.192</v>
      </c>
      <c r="O352" s="15" t="n">
        <f aca="false">AK352*評分方法!$C$11</f>
        <v>2.5</v>
      </c>
      <c r="P352" s="15" t="n">
        <f aca="false">AL352*評分方法!$C$12</f>
        <v>1.5</v>
      </c>
      <c r="Q352" s="6" t="n">
        <v>5040425</v>
      </c>
      <c r="R352" s="6" t="n">
        <v>22565376</v>
      </c>
      <c r="S352" s="11" t="s">
        <v>238</v>
      </c>
      <c r="T352" s="5"/>
      <c r="U352" s="5" t="s">
        <v>375</v>
      </c>
      <c r="V352" s="11" t="s">
        <v>241</v>
      </c>
      <c r="W352" s="5" t="s">
        <v>205</v>
      </c>
      <c r="X352" s="5" t="s">
        <v>255</v>
      </c>
      <c r="Y352" s="5"/>
      <c r="Z352" s="5"/>
      <c r="AA352" s="11" t="s">
        <v>152</v>
      </c>
      <c r="AB352" s="5" t="s">
        <v>245</v>
      </c>
      <c r="AC352" s="5" t="s">
        <v>262</v>
      </c>
      <c r="AD352" s="11" t="s">
        <v>1106</v>
      </c>
      <c r="AE352" s="23" t="n">
        <v>0.9</v>
      </c>
      <c r="AF352" s="23" t="n">
        <v>0</v>
      </c>
      <c r="AG352" s="23" t="n">
        <v>1</v>
      </c>
      <c r="AH352" s="23" t="n">
        <v>1</v>
      </c>
      <c r="AI352" s="23" t="n">
        <v>0.2</v>
      </c>
      <c r="AJ352" s="23" t="n">
        <v>0.9192</v>
      </c>
      <c r="AK352" s="23" t="n">
        <v>0.5</v>
      </c>
      <c r="AL352" s="23" t="n">
        <v>0.3</v>
      </c>
      <c r="AM352" s="16" t="n">
        <f aca="false">COUNTIFS($D$2:$D$2501,D352,$G$2:$G$2501,"&gt;"&amp;G352)+COUNTIFS($D$2:D352,D352,$G$2:G352,G352)</f>
        <v>98</v>
      </c>
      <c r="AN352" s="5" t="str">
        <f aca="false">D352&amp;"|"&amp;AM352</f>
        <v>檢索與情資關聯|98</v>
      </c>
    </row>
    <row r="353" customFormat="false" ht="17.15" hidden="false" customHeight="false" outlineLevel="0" collapsed="false">
      <c r="A353" s="16" t="n">
        <f aca="false">RANK(G353,$G$2:$G$2501)+COUNTIF($G$2:G353,G353)-1</f>
        <v>352</v>
      </c>
      <c r="B353" s="11" t="s">
        <v>1107</v>
      </c>
      <c r="C353" s="11" t="s">
        <v>327</v>
      </c>
      <c r="D353" s="5" t="s">
        <v>56</v>
      </c>
      <c r="E353" s="5" t="s">
        <v>57</v>
      </c>
      <c r="F353" s="5"/>
      <c r="G353" s="22" t="n">
        <f aca="false">ROUND(SUM(I353:P353),3)</f>
        <v>72.178</v>
      </c>
      <c r="H353" s="5" t="str">
        <f aca="false">IF(G353&gt;=評分方法!$C$16,"優先評估",IF(G353&gt;=評分方法!$C$17,"列入候選",IF(G353&gt;=評分方法!$C$18,"特定情境","不建議")))</f>
        <v>列入候選</v>
      </c>
      <c r="I353" s="15" t="n">
        <f aca="false">AE353*評分方法!$C$5</f>
        <v>25.5</v>
      </c>
      <c r="J353" s="15" t="n">
        <f aca="false">AF353*評分方法!$C$6</f>
        <v>0</v>
      </c>
      <c r="K353" s="15" t="n">
        <f aca="false">AG353*評分方法!$C$7</f>
        <v>15</v>
      </c>
      <c r="L353" s="15" t="n">
        <f aca="false">AH353*評分方法!$C$8</f>
        <v>13.05</v>
      </c>
      <c r="M353" s="15" t="n">
        <f aca="false">AI353*評分方法!$C$9</f>
        <v>6</v>
      </c>
      <c r="N353" s="15" t="n">
        <f aca="false">AJ353*評分方法!$C$10</f>
        <v>7.128</v>
      </c>
      <c r="O353" s="15" t="n">
        <f aca="false">AK353*評分方法!$C$11</f>
        <v>2.5</v>
      </c>
      <c r="P353" s="15" t="n">
        <f aca="false">AL353*評分方法!$C$12</f>
        <v>3</v>
      </c>
      <c r="Q353" s="6" t="n">
        <v>970921</v>
      </c>
      <c r="R353" s="6" t="n">
        <v>4540600320</v>
      </c>
      <c r="S353" s="11" t="s">
        <v>254</v>
      </c>
      <c r="T353" s="11" t="s">
        <v>185</v>
      </c>
      <c r="U353" s="5" t="s">
        <v>260</v>
      </c>
      <c r="V353" s="11" t="s">
        <v>261</v>
      </c>
      <c r="W353" s="5" t="s">
        <v>205</v>
      </c>
      <c r="X353" s="5" t="s">
        <v>371</v>
      </c>
      <c r="Y353" s="11" t="s">
        <v>1066</v>
      </c>
      <c r="Z353" s="11" t="s">
        <v>244</v>
      </c>
      <c r="AA353" s="11" t="s">
        <v>155</v>
      </c>
      <c r="AB353" s="5" t="s">
        <v>496</v>
      </c>
      <c r="AC353" s="5" t="s">
        <v>1108</v>
      </c>
      <c r="AD353" s="11" t="s">
        <v>1109</v>
      </c>
      <c r="AE353" s="23" t="n">
        <v>0.85</v>
      </c>
      <c r="AF353" s="23" t="n">
        <v>0</v>
      </c>
      <c r="AG353" s="23" t="n">
        <v>1</v>
      </c>
      <c r="AH353" s="23" t="n">
        <v>0.87</v>
      </c>
      <c r="AI353" s="23" t="n">
        <v>0.6</v>
      </c>
      <c r="AJ353" s="23" t="n">
        <v>0.7128</v>
      </c>
      <c r="AK353" s="23" t="n">
        <v>0.5</v>
      </c>
      <c r="AL353" s="23" t="n">
        <v>0.6</v>
      </c>
      <c r="AM353" s="16" t="n">
        <f aca="false">COUNTIFS($D$2:$D$2501,D353,$G$2:$G$2501,"&gt;"&amp;G353)+COUNTIFS($D$2:D353,D353,$G$2:G353,G353)</f>
        <v>174</v>
      </c>
      <c r="AN353" s="5" t="str">
        <f aca="false">D353&amp;"|"&amp;AM353</f>
        <v>分析與報告生成|174</v>
      </c>
    </row>
    <row r="354" customFormat="false" ht="17.15" hidden="false" customHeight="false" outlineLevel="0" collapsed="false">
      <c r="A354" s="16" t="n">
        <f aca="false">RANK(G354,$G$2:$G$2501)+COUNTIF($G$2:G354,G354)-1</f>
        <v>353</v>
      </c>
      <c r="B354" s="11" t="s">
        <v>1110</v>
      </c>
      <c r="C354" s="11" t="s">
        <v>1111</v>
      </c>
      <c r="D354" s="5" t="s">
        <v>56</v>
      </c>
      <c r="E354" s="5" t="s">
        <v>57</v>
      </c>
      <c r="F354" s="5"/>
      <c r="G354" s="22" t="n">
        <f aca="false">ROUND(SUM(I354:P354),3)</f>
        <v>72.166</v>
      </c>
      <c r="H354" s="5" t="str">
        <f aca="false">IF(G354&gt;=評分方法!$C$16,"優先評估",IF(G354&gt;=評分方法!$C$17,"列入候選",IF(G354&gt;=評分方法!$C$18,"特定情境","不建議")))</f>
        <v>列入候選</v>
      </c>
      <c r="I354" s="15" t="n">
        <f aca="false">AE354*評分方法!$C$5</f>
        <v>25.5</v>
      </c>
      <c r="J354" s="15" t="n">
        <f aca="false">AF354*評分方法!$C$6</f>
        <v>0</v>
      </c>
      <c r="K354" s="15" t="n">
        <f aca="false">AG354*評分方法!$C$7</f>
        <v>10.05</v>
      </c>
      <c r="L354" s="15" t="n">
        <f aca="false">AH354*評分方法!$C$8</f>
        <v>9</v>
      </c>
      <c r="M354" s="15" t="n">
        <f aca="false">AI354*評分方法!$C$9</f>
        <v>10</v>
      </c>
      <c r="N354" s="15" t="n">
        <f aca="false">AJ354*評分方法!$C$10</f>
        <v>9.616</v>
      </c>
      <c r="O354" s="15" t="n">
        <f aca="false">AK354*評分方法!$C$11</f>
        <v>5</v>
      </c>
      <c r="P354" s="15" t="n">
        <f aca="false">AL354*評分方法!$C$12</f>
        <v>3</v>
      </c>
      <c r="Q354" s="6" t="n">
        <v>10542516</v>
      </c>
      <c r="R354" s="6" t="n">
        <v>31273088876</v>
      </c>
      <c r="S354" s="11" t="s">
        <v>389</v>
      </c>
      <c r="T354" s="11" t="s">
        <v>239</v>
      </c>
      <c r="U354" s="5" t="s">
        <v>240</v>
      </c>
      <c r="V354" s="11" t="s">
        <v>261</v>
      </c>
      <c r="W354" s="5" t="s">
        <v>207</v>
      </c>
      <c r="X354" s="5" t="s">
        <v>371</v>
      </c>
      <c r="Y354" s="11" t="s">
        <v>583</v>
      </c>
      <c r="Z354" s="11" t="s">
        <v>244</v>
      </c>
      <c r="AA354" s="11" t="s">
        <v>156</v>
      </c>
      <c r="AB354" s="5" t="s">
        <v>245</v>
      </c>
      <c r="AC354" s="5" t="s">
        <v>246</v>
      </c>
      <c r="AD354" s="11" t="s">
        <v>1112</v>
      </c>
      <c r="AE354" s="23" t="n">
        <v>0.85</v>
      </c>
      <c r="AF354" s="23" t="n">
        <v>0</v>
      </c>
      <c r="AG354" s="23" t="n">
        <v>0.67</v>
      </c>
      <c r="AH354" s="23" t="n">
        <v>0.6</v>
      </c>
      <c r="AI354" s="23" t="n">
        <v>1</v>
      </c>
      <c r="AJ354" s="23" t="n">
        <v>0.9616</v>
      </c>
      <c r="AK354" s="23" t="n">
        <v>1</v>
      </c>
      <c r="AL354" s="23" t="n">
        <v>0.6</v>
      </c>
      <c r="AM354" s="16" t="n">
        <f aca="false">COUNTIFS($D$2:$D$2501,D354,$G$2:$G$2501,"&gt;"&amp;G354)+COUNTIFS($D$2:D354,D354,$G$2:G354,G354)</f>
        <v>175</v>
      </c>
      <c r="AN354" s="5" t="str">
        <f aca="false">D354&amp;"|"&amp;AM354</f>
        <v>分析與報告生成|175</v>
      </c>
    </row>
    <row r="355" customFormat="false" ht="17.15" hidden="false" customHeight="false" outlineLevel="0" collapsed="false">
      <c r="A355" s="16" t="n">
        <f aca="false">RANK(G355,$G$2:$G$2501)+COUNTIF($G$2:G355,G355)-1</f>
        <v>354</v>
      </c>
      <c r="B355" s="11" t="s">
        <v>1113</v>
      </c>
      <c r="C355" s="11" t="s">
        <v>891</v>
      </c>
      <c r="D355" s="5" t="s">
        <v>56</v>
      </c>
      <c r="E355" s="5" t="s">
        <v>57</v>
      </c>
      <c r="F355" s="5"/>
      <c r="G355" s="22" t="n">
        <f aca="false">ROUND(SUM(I355:P355),3)</f>
        <v>72.156</v>
      </c>
      <c r="H355" s="5" t="str">
        <f aca="false">IF(G355&gt;=評分方法!$C$16,"優先評估",IF(G355&gt;=評分方法!$C$17,"列入候選",IF(G355&gt;=評分方法!$C$18,"特定情境","不建議")))</f>
        <v>列入候選</v>
      </c>
      <c r="I355" s="15" t="n">
        <f aca="false">AE355*評分方法!$C$5</f>
        <v>24</v>
      </c>
      <c r="J355" s="15" t="n">
        <f aca="false">AF355*評分方法!$C$6</f>
        <v>0</v>
      </c>
      <c r="K355" s="15" t="n">
        <f aca="false">AG355*評分方法!$C$7</f>
        <v>10.05</v>
      </c>
      <c r="L355" s="15" t="n">
        <f aca="false">AH355*評分方法!$C$8</f>
        <v>13.05</v>
      </c>
      <c r="M355" s="15" t="n">
        <f aca="false">AI355*評分方法!$C$9</f>
        <v>10</v>
      </c>
      <c r="N355" s="15" t="n">
        <f aca="false">AJ355*評分方法!$C$10</f>
        <v>7.056</v>
      </c>
      <c r="O355" s="15" t="n">
        <f aca="false">AK355*評分方法!$C$11</f>
        <v>5</v>
      </c>
      <c r="P355" s="15" t="n">
        <f aca="false">AL355*評分方法!$C$12</f>
        <v>3</v>
      </c>
      <c r="Q355" s="6" t="n">
        <v>940786</v>
      </c>
      <c r="R355" s="6" t="n">
        <v>4647450147</v>
      </c>
      <c r="S355" s="11" t="s">
        <v>254</v>
      </c>
      <c r="T355" s="11" t="s">
        <v>239</v>
      </c>
      <c r="U355" s="5" t="s">
        <v>240</v>
      </c>
      <c r="V355" s="11" t="s">
        <v>333</v>
      </c>
      <c r="W355" s="5" t="s">
        <v>207</v>
      </c>
      <c r="X355" s="5" t="s">
        <v>371</v>
      </c>
      <c r="Y355" s="11" t="s">
        <v>425</v>
      </c>
      <c r="Z355" s="11" t="s">
        <v>244</v>
      </c>
      <c r="AA355" s="11" t="s">
        <v>157</v>
      </c>
      <c r="AB355" s="5" t="s">
        <v>496</v>
      </c>
      <c r="AC355" s="5" t="s">
        <v>555</v>
      </c>
      <c r="AD355" s="11" t="s">
        <v>1114</v>
      </c>
      <c r="AE355" s="23" t="n">
        <v>0.8</v>
      </c>
      <c r="AF355" s="23" t="n">
        <v>0</v>
      </c>
      <c r="AG355" s="23" t="n">
        <v>0.67</v>
      </c>
      <c r="AH355" s="23" t="n">
        <v>0.87</v>
      </c>
      <c r="AI355" s="23" t="n">
        <v>1</v>
      </c>
      <c r="AJ355" s="23" t="n">
        <v>0.7056</v>
      </c>
      <c r="AK355" s="23" t="n">
        <v>1</v>
      </c>
      <c r="AL355" s="23" t="n">
        <v>0.6</v>
      </c>
      <c r="AM355" s="16" t="n">
        <f aca="false">COUNTIFS($D$2:$D$2501,D355,$G$2:$G$2501,"&gt;"&amp;G355)+COUNTIFS($D$2:D355,D355,$G$2:G355,G355)</f>
        <v>176</v>
      </c>
      <c r="AN355" s="5" t="str">
        <f aca="false">D355&amp;"|"&amp;AM355</f>
        <v>分析與報告生成|176</v>
      </c>
    </row>
    <row r="356" customFormat="false" ht="17.15" hidden="false" customHeight="false" outlineLevel="0" collapsed="false">
      <c r="A356" s="16" t="n">
        <f aca="false">RANK(G356,$G$2:$G$2501)+COUNTIF($G$2:G356,G356)-1</f>
        <v>355</v>
      </c>
      <c r="B356" s="11" t="s">
        <v>1115</v>
      </c>
      <c r="C356" s="11" t="s">
        <v>929</v>
      </c>
      <c r="D356" s="5" t="s">
        <v>58</v>
      </c>
      <c r="E356" s="5" t="s">
        <v>59</v>
      </c>
      <c r="F356" s="5"/>
      <c r="G356" s="22" t="n">
        <f aca="false">ROUND(SUM(I356:P356),3)</f>
        <v>72.15</v>
      </c>
      <c r="H356" s="5" t="str">
        <f aca="false">IF(G356&gt;=評分方法!$C$16,"優先評估",IF(G356&gt;=評分方法!$C$17,"列入候選",IF(G356&gt;=評分方法!$C$18,"特定情境","不建議")))</f>
        <v>列入候選</v>
      </c>
      <c r="I356" s="15" t="n">
        <f aca="false">AE356*評分方法!$C$5</f>
        <v>28.5</v>
      </c>
      <c r="J356" s="15" t="n">
        <f aca="false">AF356*評分方法!$C$6</f>
        <v>0</v>
      </c>
      <c r="K356" s="15" t="n">
        <f aca="false">AG356*評分方法!$C$7</f>
        <v>10.05</v>
      </c>
      <c r="L356" s="15" t="n">
        <f aca="false">AH356*評分方法!$C$8</f>
        <v>15</v>
      </c>
      <c r="M356" s="15" t="n">
        <f aca="false">AI356*評分方法!$C$9</f>
        <v>10</v>
      </c>
      <c r="N356" s="15" t="n">
        <f aca="false">AJ356*評分方法!$C$10</f>
        <v>7.6</v>
      </c>
      <c r="O356" s="15" t="n">
        <f aca="false">AK356*評分方法!$C$11</f>
        <v>1</v>
      </c>
      <c r="P356" s="15" t="n">
        <f aca="false">AL356*評分方法!$C$12</f>
        <v>0</v>
      </c>
      <c r="Q356" s="6" t="n">
        <v>1213839</v>
      </c>
      <c r="R356" s="6" t="n">
        <v>65197833</v>
      </c>
      <c r="S356" s="11" t="s">
        <v>238</v>
      </c>
      <c r="T356" s="11" t="s">
        <v>239</v>
      </c>
      <c r="U356" s="5" t="s">
        <v>240</v>
      </c>
      <c r="V356" s="11" t="s">
        <v>241</v>
      </c>
      <c r="W356" s="5" t="s">
        <v>207</v>
      </c>
      <c r="X356" s="5" t="s">
        <v>242</v>
      </c>
      <c r="Y356" s="11" t="s">
        <v>1116</v>
      </c>
      <c r="Z356" s="11" t="s">
        <v>244</v>
      </c>
      <c r="AA356" s="11" t="s">
        <v>150</v>
      </c>
      <c r="AB356" s="5" t="s">
        <v>245</v>
      </c>
      <c r="AC356" s="5" t="s">
        <v>246</v>
      </c>
      <c r="AD356" s="11" t="s">
        <v>1117</v>
      </c>
      <c r="AE356" s="23" t="n">
        <v>0.95</v>
      </c>
      <c r="AF356" s="23" t="n">
        <v>0</v>
      </c>
      <c r="AG356" s="23" t="n">
        <v>0.67</v>
      </c>
      <c r="AH356" s="23" t="n">
        <v>1</v>
      </c>
      <c r="AI356" s="23" t="n">
        <v>1</v>
      </c>
      <c r="AJ356" s="23" t="n">
        <v>0.76</v>
      </c>
      <c r="AK356" s="23" t="n">
        <v>0.2</v>
      </c>
      <c r="AL356" s="23" t="n">
        <v>0</v>
      </c>
      <c r="AM356" s="16" t="n">
        <f aca="false">COUNTIFS($D$2:$D$2501,D356,$G$2:$G$2501,"&gt;"&amp;G356)+COUNTIFS($D$2:D356,D356,$G$2:G356,G356)</f>
        <v>15</v>
      </c>
      <c r="AN356" s="5" t="str">
        <f aca="false">D356&amp;"|"&amp;AM356</f>
        <v>實體擷取與去識別化|15</v>
      </c>
    </row>
    <row r="357" customFormat="false" ht="17.15" hidden="false" customHeight="false" outlineLevel="0" collapsed="false">
      <c r="A357" s="16" t="n">
        <f aca="false">RANK(G357,$G$2:$G$2501)+COUNTIF($G$2:G357,G357)-1</f>
        <v>356</v>
      </c>
      <c r="B357" s="11" t="s">
        <v>1118</v>
      </c>
      <c r="C357" s="11" t="s">
        <v>998</v>
      </c>
      <c r="D357" s="5" t="s">
        <v>56</v>
      </c>
      <c r="E357" s="5" t="s">
        <v>57</v>
      </c>
      <c r="F357" s="5"/>
      <c r="G357" s="22" t="n">
        <f aca="false">ROUND(SUM(I357:P357),3)</f>
        <v>72.15</v>
      </c>
      <c r="H357" s="5" t="str">
        <f aca="false">IF(G357&gt;=評分方法!$C$16,"優先評估",IF(G357&gt;=評分方法!$C$17,"列入候選",IF(G357&gt;=評分方法!$C$18,"特定情境","不建議")))</f>
        <v>列入候選</v>
      </c>
      <c r="I357" s="15" t="n">
        <f aca="false">AE357*評分方法!$C$5</f>
        <v>25.5</v>
      </c>
      <c r="J357" s="15" t="n">
        <f aca="false">AF357*評分方法!$C$6</f>
        <v>0</v>
      </c>
      <c r="K357" s="15" t="n">
        <f aca="false">AG357*評分方法!$C$7</f>
        <v>10.05</v>
      </c>
      <c r="L357" s="15" t="n">
        <f aca="false">AH357*評分方法!$C$8</f>
        <v>15</v>
      </c>
      <c r="M357" s="15" t="n">
        <f aca="false">AI357*評分方法!$C$9</f>
        <v>10</v>
      </c>
      <c r="N357" s="15" t="n">
        <f aca="false">AJ357*評分方法!$C$10</f>
        <v>6.1</v>
      </c>
      <c r="O357" s="15" t="n">
        <f aca="false">AK357*評分方法!$C$11</f>
        <v>2.5</v>
      </c>
      <c r="P357" s="15" t="n">
        <f aca="false">AL357*評分方法!$C$12</f>
        <v>3</v>
      </c>
      <c r="Q357" s="6" t="n">
        <v>645685</v>
      </c>
      <c r="R357" s="6" t="n">
        <v>409252800</v>
      </c>
      <c r="S357" s="11" t="s">
        <v>238</v>
      </c>
      <c r="T357" s="11" t="s">
        <v>239</v>
      </c>
      <c r="U357" s="5" t="s">
        <v>240</v>
      </c>
      <c r="V357" s="11" t="s">
        <v>333</v>
      </c>
      <c r="W357" s="5" t="s">
        <v>207</v>
      </c>
      <c r="X357" s="5" t="s">
        <v>371</v>
      </c>
      <c r="Y357" s="11" t="s">
        <v>589</v>
      </c>
      <c r="Z357" s="11" t="s">
        <v>244</v>
      </c>
      <c r="AA357" s="11" t="s">
        <v>156</v>
      </c>
      <c r="AB357" s="5" t="s">
        <v>496</v>
      </c>
      <c r="AC357" s="5" t="s">
        <v>555</v>
      </c>
      <c r="AD357" s="11" t="s">
        <v>1119</v>
      </c>
      <c r="AE357" s="23" t="n">
        <v>0.85</v>
      </c>
      <c r="AF357" s="23" t="n">
        <v>0</v>
      </c>
      <c r="AG357" s="23" t="n">
        <v>0.67</v>
      </c>
      <c r="AH357" s="23" t="n">
        <v>1</v>
      </c>
      <c r="AI357" s="23" t="n">
        <v>1</v>
      </c>
      <c r="AJ357" s="23" t="n">
        <v>0.61</v>
      </c>
      <c r="AK357" s="23" t="n">
        <v>0.5</v>
      </c>
      <c r="AL357" s="23" t="n">
        <v>0.6</v>
      </c>
      <c r="AM357" s="16" t="n">
        <f aca="false">COUNTIFS($D$2:$D$2501,D357,$G$2:$G$2501,"&gt;"&amp;G357)+COUNTIFS($D$2:D357,D357,$G$2:G357,G357)</f>
        <v>177</v>
      </c>
      <c r="AN357" s="5" t="str">
        <f aca="false">D357&amp;"|"&amp;AM357</f>
        <v>分析與報告生成|177</v>
      </c>
    </row>
    <row r="358" customFormat="false" ht="17.15" hidden="false" customHeight="false" outlineLevel="0" collapsed="false">
      <c r="A358" s="16" t="n">
        <f aca="false">RANK(G358,$G$2:$G$2501)+COUNTIF($G$2:G358,G358)-1</f>
        <v>357</v>
      </c>
      <c r="B358" s="11" t="s">
        <v>1120</v>
      </c>
      <c r="C358" s="11" t="s">
        <v>282</v>
      </c>
      <c r="D358" s="5" t="s">
        <v>54</v>
      </c>
      <c r="E358" s="5" t="s">
        <v>55</v>
      </c>
      <c r="F358" s="5"/>
      <c r="G358" s="22" t="n">
        <f aca="false">ROUND(SUM(I358:P358),3)</f>
        <v>72.092</v>
      </c>
      <c r="H358" s="5" t="str">
        <f aca="false">IF(G358&gt;=評分方法!$C$16,"優先評估",IF(G358&gt;=評分方法!$C$17,"列入候選",IF(G358&gt;=評分方法!$C$18,"特定情境","不建議")))</f>
        <v>列入候選</v>
      </c>
      <c r="I358" s="15" t="n">
        <f aca="false">AE358*評分方法!$C$5</f>
        <v>27</v>
      </c>
      <c r="J358" s="15" t="n">
        <f aca="false">AF358*評分方法!$C$6</f>
        <v>0</v>
      </c>
      <c r="K358" s="15" t="n">
        <f aca="false">AG358*評分方法!$C$7</f>
        <v>15</v>
      </c>
      <c r="L358" s="15" t="n">
        <f aca="false">AH358*評分方法!$C$8</f>
        <v>15</v>
      </c>
      <c r="M358" s="15" t="n">
        <f aca="false">AI358*評分方法!$C$9</f>
        <v>10</v>
      </c>
      <c r="N358" s="15" t="n">
        <f aca="false">AJ358*評分方法!$C$10</f>
        <v>2.592</v>
      </c>
      <c r="O358" s="15" t="n">
        <f aca="false">AK358*評分方法!$C$11</f>
        <v>2.5</v>
      </c>
      <c r="P358" s="15" t="n">
        <f aca="false">AL358*評分方法!$C$12</f>
        <v>0</v>
      </c>
      <c r="Q358" s="6" t="n">
        <v>260568</v>
      </c>
      <c r="R358" s="6" t="n">
        <v>334939648</v>
      </c>
      <c r="S358" s="11" t="s">
        <v>238</v>
      </c>
      <c r="T358" s="11" t="s">
        <v>239</v>
      </c>
      <c r="U358" s="5" t="s">
        <v>240</v>
      </c>
      <c r="V358" s="11" t="s">
        <v>324</v>
      </c>
      <c r="W358" s="5" t="s">
        <v>205</v>
      </c>
      <c r="X358" s="5" t="s">
        <v>242</v>
      </c>
      <c r="Y358" s="5"/>
      <c r="Z358" s="5"/>
      <c r="AA358" s="11" t="s">
        <v>152</v>
      </c>
      <c r="AB358" s="5" t="s">
        <v>245</v>
      </c>
      <c r="AC358" s="5"/>
      <c r="AD358" s="11" t="s">
        <v>1121</v>
      </c>
      <c r="AE358" s="23" t="n">
        <v>0.9</v>
      </c>
      <c r="AF358" s="23" t="n">
        <v>0</v>
      </c>
      <c r="AG358" s="23" t="n">
        <v>1</v>
      </c>
      <c r="AH358" s="23" t="n">
        <v>1</v>
      </c>
      <c r="AI358" s="23" t="n">
        <v>1</v>
      </c>
      <c r="AJ358" s="23" t="n">
        <v>0.2592</v>
      </c>
      <c r="AK358" s="23" t="n">
        <v>0.5</v>
      </c>
      <c r="AL358" s="23" t="n">
        <v>0</v>
      </c>
      <c r="AM358" s="16" t="n">
        <f aca="false">COUNTIFS($D$2:$D$2501,D358,$G$2:$G$2501,"&gt;"&amp;G358)+COUNTIFS($D$2:D358,D358,$G$2:G358,G358)</f>
        <v>99</v>
      </c>
      <c r="AN358" s="5" t="str">
        <f aca="false">D358&amp;"|"&amp;AM358</f>
        <v>檢索與情資關聯|99</v>
      </c>
    </row>
    <row r="359" customFormat="false" ht="17.15" hidden="false" customHeight="false" outlineLevel="0" collapsed="false">
      <c r="A359" s="16" t="n">
        <f aca="false">RANK(G359,$G$2:$G$2501)+COUNTIF($G$2:G359,G359)-1</f>
        <v>358</v>
      </c>
      <c r="B359" s="11" t="s">
        <v>772</v>
      </c>
      <c r="C359" s="11" t="s">
        <v>338</v>
      </c>
      <c r="D359" s="5" t="s">
        <v>56</v>
      </c>
      <c r="E359" s="5" t="s">
        <v>57</v>
      </c>
      <c r="F359" s="5"/>
      <c r="G359" s="22" t="n">
        <f aca="false">ROUND(SUM(I359:P359),3)</f>
        <v>72.088</v>
      </c>
      <c r="H359" s="5" t="str">
        <f aca="false">IF(G359&gt;=評分方法!$C$16,"優先評估",IF(G359&gt;=評分方法!$C$17,"列入候選",IF(G359&gt;=評分方法!$C$18,"特定情境","不建議")))</f>
        <v>列入候選</v>
      </c>
      <c r="I359" s="15" t="n">
        <f aca="false">AE359*評分方法!$C$5</f>
        <v>25.5</v>
      </c>
      <c r="J359" s="15" t="n">
        <f aca="false">AF359*評分方法!$C$6</f>
        <v>0</v>
      </c>
      <c r="K359" s="15" t="n">
        <f aca="false">AG359*評分方法!$C$7</f>
        <v>15</v>
      </c>
      <c r="L359" s="15" t="n">
        <f aca="false">AH359*評分方法!$C$8</f>
        <v>9</v>
      </c>
      <c r="M359" s="15" t="n">
        <f aca="false">AI359*評分方法!$C$9</f>
        <v>10</v>
      </c>
      <c r="N359" s="15" t="n">
        <f aca="false">AJ359*評分方法!$C$10</f>
        <v>5.088</v>
      </c>
      <c r="O359" s="15" t="n">
        <f aca="false">AK359*評分方法!$C$11</f>
        <v>2.5</v>
      </c>
      <c r="P359" s="15" t="n">
        <f aca="false">AL359*評分方法!$C$12</f>
        <v>5</v>
      </c>
      <c r="Q359" s="6" t="n">
        <v>546104</v>
      </c>
      <c r="R359" s="6" t="n">
        <v>12247782400</v>
      </c>
      <c r="S359" s="11" t="s">
        <v>389</v>
      </c>
      <c r="T359" s="11" t="s">
        <v>239</v>
      </c>
      <c r="U359" s="5" t="s">
        <v>240</v>
      </c>
      <c r="V359" s="11" t="s">
        <v>261</v>
      </c>
      <c r="W359" s="5" t="s">
        <v>205</v>
      </c>
      <c r="X359" s="5" t="s">
        <v>284</v>
      </c>
      <c r="Y359" s="5"/>
      <c r="Z359" s="5"/>
      <c r="AA359" s="11" t="s">
        <v>155</v>
      </c>
      <c r="AB359" s="5" t="s">
        <v>328</v>
      </c>
      <c r="AC359" s="5" t="s">
        <v>400</v>
      </c>
      <c r="AD359" s="11" t="s">
        <v>1122</v>
      </c>
      <c r="AE359" s="23" t="n">
        <v>0.85</v>
      </c>
      <c r="AF359" s="23" t="n">
        <v>0</v>
      </c>
      <c r="AG359" s="23" t="n">
        <v>1</v>
      </c>
      <c r="AH359" s="23" t="n">
        <v>0.6</v>
      </c>
      <c r="AI359" s="23" t="n">
        <v>1</v>
      </c>
      <c r="AJ359" s="23" t="n">
        <v>0.5088</v>
      </c>
      <c r="AK359" s="23" t="n">
        <v>0.5</v>
      </c>
      <c r="AL359" s="23" t="n">
        <v>1</v>
      </c>
      <c r="AM359" s="16" t="n">
        <f aca="false">COUNTIFS($D$2:$D$2501,D359,$G$2:$G$2501,"&gt;"&amp;G359)+COUNTIFS($D$2:D359,D359,$G$2:G359,G359)</f>
        <v>178</v>
      </c>
      <c r="AN359" s="5" t="str">
        <f aca="false">D359&amp;"|"&amp;AM359</f>
        <v>分析與報告生成|178</v>
      </c>
    </row>
    <row r="360" customFormat="false" ht="17.15" hidden="false" customHeight="false" outlineLevel="0" collapsed="false">
      <c r="A360" s="16" t="n">
        <f aca="false">RANK(G360,$G$2:$G$2501)+COUNTIF($G$2:G360,G360)-1</f>
        <v>359</v>
      </c>
      <c r="B360" s="11" t="s">
        <v>1123</v>
      </c>
      <c r="C360" s="11" t="s">
        <v>753</v>
      </c>
      <c r="D360" s="5" t="s">
        <v>56</v>
      </c>
      <c r="E360" s="5" t="s">
        <v>57</v>
      </c>
      <c r="F360" s="5"/>
      <c r="G360" s="22" t="n">
        <f aca="false">ROUND(SUM(I360:P360),3)</f>
        <v>72.066</v>
      </c>
      <c r="H360" s="5" t="str">
        <f aca="false">IF(G360&gt;=評分方法!$C$16,"優先評估",IF(G360&gt;=評分方法!$C$17,"列入候選",IF(G360&gt;=評分方法!$C$18,"特定情境","不建議")))</f>
        <v>列入候選</v>
      </c>
      <c r="I360" s="15" t="n">
        <f aca="false">AE360*評分方法!$C$5</f>
        <v>25.5</v>
      </c>
      <c r="J360" s="15" t="n">
        <f aca="false">AF360*評分方法!$C$6</f>
        <v>0</v>
      </c>
      <c r="K360" s="15" t="n">
        <f aca="false">AG360*評分方法!$C$7</f>
        <v>10.05</v>
      </c>
      <c r="L360" s="15" t="n">
        <f aca="false">AH360*評分方法!$C$8</f>
        <v>9</v>
      </c>
      <c r="M360" s="15" t="n">
        <f aca="false">AI360*評分方法!$C$9</f>
        <v>10</v>
      </c>
      <c r="N360" s="15" t="n">
        <f aca="false">AJ360*評分方法!$C$10</f>
        <v>9.516</v>
      </c>
      <c r="O360" s="15" t="n">
        <f aca="false">AK360*評分方法!$C$11</f>
        <v>5</v>
      </c>
      <c r="P360" s="15" t="n">
        <f aca="false">AL360*評分方法!$C$12</f>
        <v>3</v>
      </c>
      <c r="Q360" s="6" t="n">
        <v>9049694</v>
      </c>
      <c r="R360" s="6" t="n">
        <v>25233142046</v>
      </c>
      <c r="S360" s="11" t="s">
        <v>389</v>
      </c>
      <c r="T360" s="11" t="s">
        <v>239</v>
      </c>
      <c r="U360" s="5" t="s">
        <v>240</v>
      </c>
      <c r="V360" s="11" t="s">
        <v>333</v>
      </c>
      <c r="W360" s="5" t="s">
        <v>207</v>
      </c>
      <c r="X360" s="5" t="s">
        <v>371</v>
      </c>
      <c r="Y360" s="11" t="s">
        <v>575</v>
      </c>
      <c r="Z360" s="11" t="s">
        <v>244</v>
      </c>
      <c r="AA360" s="11" t="s">
        <v>156</v>
      </c>
      <c r="AB360" s="5" t="s">
        <v>245</v>
      </c>
      <c r="AC360" s="5" t="s">
        <v>246</v>
      </c>
      <c r="AD360" s="11" t="s">
        <v>1124</v>
      </c>
      <c r="AE360" s="23" t="n">
        <v>0.85</v>
      </c>
      <c r="AF360" s="23" t="n">
        <v>0</v>
      </c>
      <c r="AG360" s="23" t="n">
        <v>0.67</v>
      </c>
      <c r="AH360" s="23" t="n">
        <v>0.6</v>
      </c>
      <c r="AI360" s="23" t="n">
        <v>1</v>
      </c>
      <c r="AJ360" s="23" t="n">
        <v>0.9516</v>
      </c>
      <c r="AK360" s="23" t="n">
        <v>1</v>
      </c>
      <c r="AL360" s="23" t="n">
        <v>0.6</v>
      </c>
      <c r="AM360" s="16" t="n">
        <f aca="false">COUNTIFS($D$2:$D$2501,D360,$G$2:$G$2501,"&gt;"&amp;G360)+COUNTIFS($D$2:D360,D360,$G$2:G360,G360)</f>
        <v>179</v>
      </c>
      <c r="AN360" s="5" t="str">
        <f aca="false">D360&amp;"|"&amp;AM360</f>
        <v>分析與報告生成|179</v>
      </c>
    </row>
    <row r="361" customFormat="false" ht="17.15" hidden="false" customHeight="false" outlineLevel="0" collapsed="false">
      <c r="A361" s="16" t="n">
        <f aca="false">RANK(G361,$G$2:$G$2501)+COUNTIF($G$2:G361,G361)-1</f>
        <v>360</v>
      </c>
      <c r="B361" s="11" t="s">
        <v>1125</v>
      </c>
      <c r="C361" s="11" t="s">
        <v>1126</v>
      </c>
      <c r="D361" s="5" t="s">
        <v>56</v>
      </c>
      <c r="E361" s="5" t="s">
        <v>57</v>
      </c>
      <c r="F361" s="5"/>
      <c r="G361" s="22" t="n">
        <f aca="false">ROUND(SUM(I361:P361),3)</f>
        <v>72.042</v>
      </c>
      <c r="H361" s="5" t="str">
        <f aca="false">IF(G361&gt;=評分方法!$C$16,"優先評估",IF(G361&gt;=評分方法!$C$17,"列入候選",IF(G361&gt;=評分方法!$C$18,"特定情境","不建議")))</f>
        <v>列入候選</v>
      </c>
      <c r="I361" s="15" t="n">
        <f aca="false">AE361*評分方法!$C$5</f>
        <v>25.5</v>
      </c>
      <c r="J361" s="15" t="n">
        <f aca="false">AF361*評分方法!$C$6</f>
        <v>0</v>
      </c>
      <c r="K361" s="15" t="n">
        <f aca="false">AG361*評分方法!$C$7</f>
        <v>15</v>
      </c>
      <c r="L361" s="15" t="n">
        <f aca="false">AH361*評分方法!$C$8</f>
        <v>13.05</v>
      </c>
      <c r="M361" s="15" t="n">
        <f aca="false">AI361*評分方法!$C$9</f>
        <v>10</v>
      </c>
      <c r="N361" s="15" t="n">
        <f aca="false">AJ361*評分方法!$C$10</f>
        <v>1.492</v>
      </c>
      <c r="O361" s="15" t="n">
        <f aca="false">AK361*評分方法!$C$11</f>
        <v>4</v>
      </c>
      <c r="P361" s="15" t="n">
        <f aca="false">AL361*評分方法!$C$12</f>
        <v>3</v>
      </c>
      <c r="Q361" s="6" t="n">
        <v>179116</v>
      </c>
      <c r="R361" s="6" t="n">
        <v>7298011136</v>
      </c>
      <c r="S361" s="11" t="s">
        <v>254</v>
      </c>
      <c r="T361" s="11" t="s">
        <v>239</v>
      </c>
      <c r="U361" s="5" t="s">
        <v>240</v>
      </c>
      <c r="V361" s="11" t="s">
        <v>261</v>
      </c>
      <c r="W361" s="5" t="s">
        <v>205</v>
      </c>
      <c r="X361" s="5" t="s">
        <v>371</v>
      </c>
      <c r="Y361" s="5"/>
      <c r="Z361" s="5"/>
      <c r="AA361" s="11" t="s">
        <v>155</v>
      </c>
      <c r="AB361" s="5" t="s">
        <v>328</v>
      </c>
      <c r="AC361" s="5" t="s">
        <v>400</v>
      </c>
      <c r="AD361" s="11" t="s">
        <v>1127</v>
      </c>
      <c r="AE361" s="23" t="n">
        <v>0.85</v>
      </c>
      <c r="AF361" s="23" t="n">
        <v>0</v>
      </c>
      <c r="AG361" s="23" t="n">
        <v>1</v>
      </c>
      <c r="AH361" s="23" t="n">
        <v>0.87</v>
      </c>
      <c r="AI361" s="23" t="n">
        <v>1</v>
      </c>
      <c r="AJ361" s="23" t="n">
        <v>0.1492</v>
      </c>
      <c r="AK361" s="23" t="n">
        <v>0.8</v>
      </c>
      <c r="AL361" s="23" t="n">
        <v>0.6</v>
      </c>
      <c r="AM361" s="16" t="n">
        <f aca="false">COUNTIFS($D$2:$D$2501,D361,$G$2:$G$2501,"&gt;"&amp;G361)+COUNTIFS($D$2:D361,D361,$G$2:G361,G361)</f>
        <v>180</v>
      </c>
      <c r="AN361" s="5" t="str">
        <f aca="false">D361&amp;"|"&amp;AM361</f>
        <v>分析與報告生成|180</v>
      </c>
    </row>
    <row r="362" customFormat="false" ht="17.15" hidden="false" customHeight="false" outlineLevel="0" collapsed="false">
      <c r="A362" s="16" t="n">
        <f aca="false">RANK(G362,$G$2:$G$2501)+COUNTIF($G$2:G362,G362)-1</f>
        <v>361</v>
      </c>
      <c r="B362" s="11" t="s">
        <v>1128</v>
      </c>
      <c r="C362" s="11" t="s">
        <v>461</v>
      </c>
      <c r="D362" s="5" t="s">
        <v>56</v>
      </c>
      <c r="E362" s="5" t="s">
        <v>57</v>
      </c>
      <c r="F362" s="5"/>
      <c r="G362" s="22" t="n">
        <f aca="false">ROUND(SUM(I362:P362),3)</f>
        <v>72.036</v>
      </c>
      <c r="H362" s="5" t="str">
        <f aca="false">IF(G362&gt;=評分方法!$C$16,"優先評估",IF(G362&gt;=評分方法!$C$17,"列入候選",IF(G362&gt;=評分方法!$C$18,"特定情境","不建議")))</f>
        <v>列入候選</v>
      </c>
      <c r="I362" s="15" t="n">
        <f aca="false">AE362*評分方法!$C$5</f>
        <v>25.5</v>
      </c>
      <c r="J362" s="15" t="n">
        <f aca="false">AF362*評分方法!$C$6</f>
        <v>0</v>
      </c>
      <c r="K362" s="15" t="n">
        <f aca="false">AG362*評分方法!$C$7</f>
        <v>15</v>
      </c>
      <c r="L362" s="15" t="n">
        <f aca="false">AH362*評分方法!$C$8</f>
        <v>15</v>
      </c>
      <c r="M362" s="15" t="n">
        <f aca="false">AI362*評分方法!$C$9</f>
        <v>6</v>
      </c>
      <c r="N362" s="15" t="n">
        <f aca="false">AJ362*評分方法!$C$10</f>
        <v>2.536</v>
      </c>
      <c r="O362" s="15" t="n">
        <f aca="false">AK362*評分方法!$C$11</f>
        <v>5</v>
      </c>
      <c r="P362" s="15" t="n">
        <f aca="false">AL362*評分方法!$C$12</f>
        <v>3</v>
      </c>
      <c r="Q362" s="6" t="n">
        <v>253058</v>
      </c>
      <c r="R362" s="6" t="n">
        <v>327707521</v>
      </c>
      <c r="S362" s="11" t="s">
        <v>238</v>
      </c>
      <c r="T362" s="11" t="s">
        <v>185</v>
      </c>
      <c r="U362" s="5" t="s">
        <v>260</v>
      </c>
      <c r="V362" s="11" t="s">
        <v>333</v>
      </c>
      <c r="W362" s="5" t="s">
        <v>205</v>
      </c>
      <c r="X362" s="5" t="s">
        <v>371</v>
      </c>
      <c r="Y362" s="11" t="s">
        <v>1129</v>
      </c>
      <c r="Z362" s="11" t="s">
        <v>244</v>
      </c>
      <c r="AA362" s="11" t="s">
        <v>155</v>
      </c>
      <c r="AB362" s="5" t="s">
        <v>245</v>
      </c>
      <c r="AC362" s="5" t="s">
        <v>464</v>
      </c>
      <c r="AD362" s="11" t="s">
        <v>1130</v>
      </c>
      <c r="AE362" s="23" t="n">
        <v>0.85</v>
      </c>
      <c r="AF362" s="23" t="n">
        <v>0</v>
      </c>
      <c r="AG362" s="23" t="n">
        <v>1</v>
      </c>
      <c r="AH362" s="23" t="n">
        <v>1</v>
      </c>
      <c r="AI362" s="23" t="n">
        <v>0.6</v>
      </c>
      <c r="AJ362" s="23" t="n">
        <v>0.2536</v>
      </c>
      <c r="AK362" s="23" t="n">
        <v>1</v>
      </c>
      <c r="AL362" s="23" t="n">
        <v>0.6</v>
      </c>
      <c r="AM362" s="16" t="n">
        <f aca="false">COUNTIFS($D$2:$D$2501,D362,$G$2:$G$2501,"&gt;"&amp;G362)+COUNTIFS($D$2:D362,D362,$G$2:G362,G362)</f>
        <v>181</v>
      </c>
      <c r="AN362" s="5" t="str">
        <f aca="false">D362&amp;"|"&amp;AM362</f>
        <v>分析與報告生成|181</v>
      </c>
    </row>
    <row r="363" customFormat="false" ht="17.15" hidden="false" customHeight="false" outlineLevel="0" collapsed="false">
      <c r="A363" s="16" t="n">
        <f aca="false">RANK(G363,$G$2:$G$2501)+COUNTIF($G$2:G363,G363)-1</f>
        <v>362</v>
      </c>
      <c r="B363" s="11" t="s">
        <v>1131</v>
      </c>
      <c r="C363" s="11" t="s">
        <v>1132</v>
      </c>
      <c r="D363" s="5" t="s">
        <v>66</v>
      </c>
      <c r="E363" s="5" t="s">
        <v>67</v>
      </c>
      <c r="F363" s="5"/>
      <c r="G363" s="22" t="n">
        <f aca="false">ROUND(SUM(I363:P363),3)</f>
        <v>72.026</v>
      </c>
      <c r="H363" s="5" t="str">
        <f aca="false">IF(G363&gt;=評分方法!$C$16,"優先評估",IF(G363&gt;=評分方法!$C$17,"列入候選",IF(G363&gt;=評分方法!$C$18,"特定情境","不建議")))</f>
        <v>列入候選</v>
      </c>
      <c r="I363" s="15" t="n">
        <f aca="false">AE363*評分方法!$C$5</f>
        <v>27</v>
      </c>
      <c r="J363" s="15" t="n">
        <f aca="false">AF363*評分方法!$C$6</f>
        <v>0</v>
      </c>
      <c r="K363" s="15" t="n">
        <f aca="false">AG363*評分方法!$C$7</f>
        <v>4.95</v>
      </c>
      <c r="L363" s="15" t="n">
        <f aca="false">AH363*評分方法!$C$8</f>
        <v>15</v>
      </c>
      <c r="M363" s="15" t="n">
        <f aca="false">AI363*評分方法!$C$9</f>
        <v>10</v>
      </c>
      <c r="N363" s="15" t="n">
        <f aca="false">AJ363*評分方法!$C$10</f>
        <v>9.076</v>
      </c>
      <c r="O363" s="15" t="n">
        <f aca="false">AK363*評分方法!$C$11</f>
        <v>1</v>
      </c>
      <c r="P363" s="15" t="n">
        <f aca="false">AL363*評分方法!$C$12</f>
        <v>5</v>
      </c>
      <c r="Q363" s="6" t="n">
        <v>4266993</v>
      </c>
      <c r="R363" s="6" t="n">
        <v>278812163</v>
      </c>
      <c r="S363" s="11" t="s">
        <v>238</v>
      </c>
      <c r="T363" s="11" t="s">
        <v>278</v>
      </c>
      <c r="U363" s="5" t="s">
        <v>240</v>
      </c>
      <c r="V363" s="11" t="s">
        <v>288</v>
      </c>
      <c r="W363" s="5" t="s">
        <v>334</v>
      </c>
      <c r="X363" s="5" t="s">
        <v>284</v>
      </c>
      <c r="Y363" s="5"/>
      <c r="Z363" s="5"/>
      <c r="AA363" s="11" t="s">
        <v>151</v>
      </c>
      <c r="AB363" s="5" t="s">
        <v>245</v>
      </c>
      <c r="AC363" s="5"/>
      <c r="AD363" s="11" t="s">
        <v>1133</v>
      </c>
      <c r="AE363" s="23" t="n">
        <v>0.9</v>
      </c>
      <c r="AF363" s="23" t="n">
        <v>0</v>
      </c>
      <c r="AG363" s="23" t="n">
        <v>0.33</v>
      </c>
      <c r="AH363" s="23" t="n">
        <v>1</v>
      </c>
      <c r="AI363" s="23" t="n">
        <v>1</v>
      </c>
      <c r="AJ363" s="23" t="n">
        <v>0.9076</v>
      </c>
      <c r="AK363" s="23" t="n">
        <v>0.2</v>
      </c>
      <c r="AL363" s="23" t="n">
        <v>1</v>
      </c>
      <c r="AM363" s="16" t="n">
        <f aca="false">COUNTIFS($D$2:$D$2501,D363,$G$2:$G$2501,"&gt;"&amp;G363)+COUNTIFS($D$2:D363,D363,$G$2:G363,G363)</f>
        <v>10</v>
      </c>
      <c r="AN363" s="5" t="str">
        <f aca="false">D363&amp;"|"&amp;AM363</f>
        <v>分類與偵測|10</v>
      </c>
    </row>
    <row r="364" customFormat="false" ht="17.15" hidden="false" customHeight="false" outlineLevel="0" collapsed="false">
      <c r="A364" s="16" t="n">
        <f aca="false">RANK(G364,$G$2:$G$2501)+COUNTIF($G$2:G364,G364)-1</f>
        <v>363</v>
      </c>
      <c r="B364" s="11" t="s">
        <v>1134</v>
      </c>
      <c r="C364" s="11" t="s">
        <v>368</v>
      </c>
      <c r="D364" s="5" t="s">
        <v>56</v>
      </c>
      <c r="E364" s="5" t="s">
        <v>57</v>
      </c>
      <c r="F364" s="5"/>
      <c r="G364" s="22" t="n">
        <f aca="false">ROUND(SUM(I364:P364),3)</f>
        <v>72.024</v>
      </c>
      <c r="H364" s="5" t="str">
        <f aca="false">IF(G364&gt;=評分方法!$C$16,"優先評估",IF(G364&gt;=評分方法!$C$17,"列入候選",IF(G364&gt;=評分方法!$C$18,"特定情境","不建議")))</f>
        <v>列入候選</v>
      </c>
      <c r="I364" s="15" t="n">
        <f aca="false">AE364*評分方法!$C$5</f>
        <v>25.5</v>
      </c>
      <c r="J364" s="15" t="n">
        <f aca="false">AF364*評分方法!$C$6</f>
        <v>0</v>
      </c>
      <c r="K364" s="15" t="n">
        <f aca="false">AG364*評分方法!$C$7</f>
        <v>15</v>
      </c>
      <c r="L364" s="15" t="n">
        <f aca="false">AH364*評分方法!$C$8</f>
        <v>15</v>
      </c>
      <c r="M364" s="15" t="n">
        <f aca="false">AI364*評分方法!$C$9</f>
        <v>6</v>
      </c>
      <c r="N364" s="15" t="n">
        <f aca="false">AJ364*評分方法!$C$10</f>
        <v>3.524</v>
      </c>
      <c r="O364" s="15" t="n">
        <f aca="false">AK364*評分方法!$C$11</f>
        <v>4</v>
      </c>
      <c r="P364" s="15" t="n">
        <f aca="false">AL364*評分方法!$C$12</f>
        <v>3</v>
      </c>
      <c r="Q364" s="6" t="n">
        <v>354368</v>
      </c>
      <c r="R364" s="6" t="n">
        <v>786029296</v>
      </c>
      <c r="S364" s="11" t="s">
        <v>238</v>
      </c>
      <c r="T364" s="11" t="s">
        <v>658</v>
      </c>
      <c r="U364" s="5" t="s">
        <v>260</v>
      </c>
      <c r="V364" s="11" t="s">
        <v>261</v>
      </c>
      <c r="W364" s="5" t="s">
        <v>205</v>
      </c>
      <c r="X364" s="5" t="s">
        <v>371</v>
      </c>
      <c r="Y364" s="5"/>
      <c r="Z364" s="5"/>
      <c r="AA364" s="11" t="s">
        <v>156</v>
      </c>
      <c r="AB364" s="5" t="s">
        <v>245</v>
      </c>
      <c r="AC364" s="5" t="s">
        <v>262</v>
      </c>
      <c r="AD364" s="11" t="s">
        <v>1135</v>
      </c>
      <c r="AE364" s="23" t="n">
        <v>0.85</v>
      </c>
      <c r="AF364" s="23" t="n">
        <v>0</v>
      </c>
      <c r="AG364" s="23" t="n">
        <v>1</v>
      </c>
      <c r="AH364" s="23" t="n">
        <v>1</v>
      </c>
      <c r="AI364" s="23" t="n">
        <v>0.6</v>
      </c>
      <c r="AJ364" s="23" t="n">
        <v>0.3524</v>
      </c>
      <c r="AK364" s="23" t="n">
        <v>0.8</v>
      </c>
      <c r="AL364" s="23" t="n">
        <v>0.6</v>
      </c>
      <c r="AM364" s="16" t="n">
        <f aca="false">COUNTIFS($D$2:$D$2501,D364,$G$2:$G$2501,"&gt;"&amp;G364)+COUNTIFS($D$2:D364,D364,$G$2:G364,G364)</f>
        <v>182</v>
      </c>
      <c r="AN364" s="5" t="str">
        <f aca="false">D364&amp;"|"&amp;AM364</f>
        <v>分析與報告生成|182</v>
      </c>
    </row>
    <row r="365" customFormat="false" ht="17.15" hidden="false" customHeight="false" outlineLevel="0" collapsed="false">
      <c r="A365" s="16" t="n">
        <f aca="false">RANK(G365,$G$2:$G$2501)+COUNTIF($G$2:G365,G365)-1</f>
        <v>364</v>
      </c>
      <c r="B365" s="11" t="s">
        <v>1136</v>
      </c>
      <c r="C365" s="11" t="s">
        <v>368</v>
      </c>
      <c r="D365" s="5" t="s">
        <v>68</v>
      </c>
      <c r="E365" s="11" t="s">
        <v>69</v>
      </c>
      <c r="F365" s="5"/>
      <c r="G365" s="22" t="n">
        <f aca="false">ROUND(SUM(I365:P365),3)</f>
        <v>71.956</v>
      </c>
      <c r="H365" s="5" t="str">
        <f aca="false">IF(G365&gt;=評分方法!$C$16,"優先評估",IF(G365&gt;=評分方法!$C$17,"列入候選",IF(G365&gt;=評分方法!$C$18,"特定情境","不建議")))</f>
        <v>列入候選</v>
      </c>
      <c r="I365" s="15" t="n">
        <f aca="false">AE365*評分方法!$C$5</f>
        <v>21</v>
      </c>
      <c r="J365" s="15" t="n">
        <f aca="false">AF365*評分方法!$C$6</f>
        <v>0</v>
      </c>
      <c r="K365" s="15" t="n">
        <f aca="false">AG365*評分方法!$C$7</f>
        <v>15</v>
      </c>
      <c r="L365" s="15" t="n">
        <f aca="false">AH365*評分方法!$C$8</f>
        <v>15</v>
      </c>
      <c r="M365" s="15" t="n">
        <f aca="false">AI365*評分方法!$C$9</f>
        <v>6</v>
      </c>
      <c r="N365" s="15" t="n">
        <f aca="false">AJ365*評分方法!$C$10</f>
        <v>8.456</v>
      </c>
      <c r="O365" s="15" t="n">
        <f aca="false">AK365*評分方法!$C$11</f>
        <v>5</v>
      </c>
      <c r="P365" s="15" t="n">
        <f aca="false">AL365*評分方法!$C$12</f>
        <v>1.5</v>
      </c>
      <c r="Q365" s="6" t="n">
        <v>2126114</v>
      </c>
      <c r="R365" s="6" t="n">
        <v>330710976</v>
      </c>
      <c r="S365" s="11" t="s">
        <v>238</v>
      </c>
      <c r="T365" s="11" t="s">
        <v>185</v>
      </c>
      <c r="U365" s="5" t="s">
        <v>260</v>
      </c>
      <c r="V365" s="11" t="s">
        <v>261</v>
      </c>
      <c r="W365" s="5" t="s">
        <v>205</v>
      </c>
      <c r="X365" s="5" t="s">
        <v>255</v>
      </c>
      <c r="Y365" s="5"/>
      <c r="Z365" s="5"/>
      <c r="AA365" s="11" t="s">
        <v>158</v>
      </c>
      <c r="AB365" s="5" t="s">
        <v>245</v>
      </c>
      <c r="AC365" s="5" t="s">
        <v>262</v>
      </c>
      <c r="AD365" s="11" t="s">
        <v>1137</v>
      </c>
      <c r="AE365" s="23" t="n">
        <v>0.7</v>
      </c>
      <c r="AF365" s="23" t="n">
        <v>0</v>
      </c>
      <c r="AG365" s="23" t="n">
        <v>1</v>
      </c>
      <c r="AH365" s="23" t="n">
        <v>1</v>
      </c>
      <c r="AI365" s="23" t="n">
        <v>0.6</v>
      </c>
      <c r="AJ365" s="23" t="n">
        <v>0.8456</v>
      </c>
      <c r="AK365" s="23" t="n">
        <v>1</v>
      </c>
      <c r="AL365" s="23" t="n">
        <v>0.3</v>
      </c>
      <c r="AM365" s="16" t="n">
        <f aca="false">COUNTIFS($D$2:$D$2501,D365,$G$2:$G$2501,"&gt;"&amp;G365)+COUNTIFS($D$2:D365,D365,$G$2:G365,G365)</f>
        <v>23</v>
      </c>
      <c r="AN365" s="5" t="str">
        <f aca="false">D365&amp;"|"&amp;AM365</f>
        <v>時序異常偵測|23</v>
      </c>
    </row>
    <row r="366" customFormat="false" ht="17.15" hidden="false" customHeight="false" outlineLevel="0" collapsed="false">
      <c r="A366" s="16" t="n">
        <f aca="false">RANK(G366,$G$2:$G$2501)+COUNTIF($G$2:G366,G366)-1</f>
        <v>365</v>
      </c>
      <c r="B366" s="11" t="s">
        <v>1138</v>
      </c>
      <c r="C366" s="11" t="s">
        <v>548</v>
      </c>
      <c r="D366" s="5" t="s">
        <v>56</v>
      </c>
      <c r="E366" s="5" t="s">
        <v>57</v>
      </c>
      <c r="F366" s="5"/>
      <c r="G366" s="22" t="n">
        <f aca="false">ROUND(SUM(I366:P366),3)</f>
        <v>71.954</v>
      </c>
      <c r="H366" s="5" t="str">
        <f aca="false">IF(G366&gt;=評分方法!$C$16,"優先評估",IF(G366&gt;=評分方法!$C$17,"列入候選",IF(G366&gt;=評分方法!$C$18,"特定情境","不建議")))</f>
        <v>列入候選</v>
      </c>
      <c r="I366" s="15" t="n">
        <f aca="false">AE366*評分方法!$C$5</f>
        <v>25.5</v>
      </c>
      <c r="J366" s="15" t="n">
        <f aca="false">AF366*評分方法!$C$6</f>
        <v>0</v>
      </c>
      <c r="K366" s="15" t="n">
        <f aca="false">AG366*評分方法!$C$7</f>
        <v>15</v>
      </c>
      <c r="L366" s="15" t="n">
        <f aca="false">AH366*評分方法!$C$8</f>
        <v>13.05</v>
      </c>
      <c r="M366" s="15" t="n">
        <f aca="false">AI366*評分方法!$C$9</f>
        <v>10</v>
      </c>
      <c r="N366" s="15" t="n">
        <f aca="false">AJ366*評分方法!$C$10</f>
        <v>7.404</v>
      </c>
      <c r="O366" s="15" t="n">
        <f aca="false">AK366*評分方法!$C$11</f>
        <v>1</v>
      </c>
      <c r="P366" s="15" t="n">
        <f aca="false">AL366*評分方法!$C$12</f>
        <v>0</v>
      </c>
      <c r="Q366" s="6" t="n">
        <v>1109333</v>
      </c>
      <c r="R366" s="6" t="n">
        <v>2718416384</v>
      </c>
      <c r="S366" s="11" t="s">
        <v>254</v>
      </c>
      <c r="T366" s="11" t="s">
        <v>278</v>
      </c>
      <c r="U366" s="5" t="s">
        <v>240</v>
      </c>
      <c r="V366" s="11" t="s">
        <v>813</v>
      </c>
      <c r="W366" s="5" t="s">
        <v>205</v>
      </c>
      <c r="X366" s="5" t="s">
        <v>242</v>
      </c>
      <c r="Y366" s="5"/>
      <c r="Z366" s="5"/>
      <c r="AA366" s="11" t="s">
        <v>155</v>
      </c>
      <c r="AB366" s="5" t="s">
        <v>245</v>
      </c>
      <c r="AC366" s="5"/>
      <c r="AD366" s="11" t="s">
        <v>1139</v>
      </c>
      <c r="AE366" s="23" t="n">
        <v>0.85</v>
      </c>
      <c r="AF366" s="23" t="n">
        <v>0</v>
      </c>
      <c r="AG366" s="23" t="n">
        <v>1</v>
      </c>
      <c r="AH366" s="23" t="n">
        <v>0.87</v>
      </c>
      <c r="AI366" s="23" t="n">
        <v>1</v>
      </c>
      <c r="AJ366" s="23" t="n">
        <v>0.7404</v>
      </c>
      <c r="AK366" s="23" t="n">
        <v>0.2</v>
      </c>
      <c r="AL366" s="23" t="n">
        <v>0</v>
      </c>
      <c r="AM366" s="16" t="n">
        <f aca="false">COUNTIFS($D$2:$D$2501,D366,$G$2:$G$2501,"&gt;"&amp;G366)+COUNTIFS($D$2:D366,D366,$G$2:G366,G366)</f>
        <v>183</v>
      </c>
      <c r="AN366" s="5" t="str">
        <f aca="false">D366&amp;"|"&amp;AM366</f>
        <v>分析與報告生成|183</v>
      </c>
    </row>
    <row r="367" customFormat="false" ht="17.15" hidden="false" customHeight="false" outlineLevel="0" collapsed="false">
      <c r="A367" s="16" t="n">
        <f aca="false">RANK(G367,$G$2:$G$2501)+COUNTIF($G$2:G367,G367)-1</f>
        <v>366</v>
      </c>
      <c r="B367" s="11" t="s">
        <v>1140</v>
      </c>
      <c r="C367" s="11" t="s">
        <v>302</v>
      </c>
      <c r="D367" s="5" t="s">
        <v>54</v>
      </c>
      <c r="E367" s="5" t="s">
        <v>55</v>
      </c>
      <c r="F367" s="5"/>
      <c r="G367" s="22" t="n">
        <f aca="false">ROUND(SUM(I367:P367),3)</f>
        <v>71.936</v>
      </c>
      <c r="H367" s="5" t="str">
        <f aca="false">IF(G367&gt;=評分方法!$C$16,"優先評估",IF(G367&gt;=評分方法!$C$17,"列入候選",IF(G367&gt;=評分方法!$C$18,"特定情境","不建議")))</f>
        <v>列入候選</v>
      </c>
      <c r="I367" s="15" t="n">
        <f aca="false">AE367*評分方法!$C$5</f>
        <v>27</v>
      </c>
      <c r="J367" s="15" t="n">
        <f aca="false">AF367*評分方法!$C$6</f>
        <v>0</v>
      </c>
      <c r="K367" s="15" t="n">
        <f aca="false">AG367*評分方法!$C$7</f>
        <v>15</v>
      </c>
      <c r="L367" s="15" t="n">
        <f aca="false">AH367*評分方法!$C$8</f>
        <v>15</v>
      </c>
      <c r="M367" s="15" t="n">
        <f aca="false">AI367*評分方法!$C$9</f>
        <v>10</v>
      </c>
      <c r="N367" s="15" t="n">
        <f aca="false">AJ367*評分方法!$C$10</f>
        <v>2.436</v>
      </c>
      <c r="O367" s="15" t="n">
        <f aca="false">AK367*評分方法!$C$11</f>
        <v>2.5</v>
      </c>
      <c r="P367" s="15" t="n">
        <f aca="false">AL367*評分方法!$C$12</f>
        <v>0</v>
      </c>
      <c r="Q367" s="6" t="n">
        <v>245528</v>
      </c>
      <c r="R367" s="6" t="n">
        <v>82119683</v>
      </c>
      <c r="S367" s="11" t="s">
        <v>238</v>
      </c>
      <c r="T367" s="11" t="s">
        <v>239</v>
      </c>
      <c r="U367" s="5" t="s">
        <v>240</v>
      </c>
      <c r="V367" s="11" t="s">
        <v>356</v>
      </c>
      <c r="W367" s="5" t="s">
        <v>205</v>
      </c>
      <c r="X367" s="5" t="s">
        <v>242</v>
      </c>
      <c r="Y367" s="11" t="s">
        <v>744</v>
      </c>
      <c r="Z367" s="11" t="s">
        <v>244</v>
      </c>
      <c r="AA367" s="11" t="s">
        <v>154</v>
      </c>
      <c r="AB367" s="5" t="s">
        <v>245</v>
      </c>
      <c r="AC367" s="5" t="s">
        <v>246</v>
      </c>
      <c r="AD367" s="11" t="s">
        <v>1141</v>
      </c>
      <c r="AE367" s="23" t="n">
        <v>0.9</v>
      </c>
      <c r="AF367" s="23" t="n">
        <v>0</v>
      </c>
      <c r="AG367" s="23" t="n">
        <v>1</v>
      </c>
      <c r="AH367" s="23" t="n">
        <v>1</v>
      </c>
      <c r="AI367" s="23" t="n">
        <v>1</v>
      </c>
      <c r="AJ367" s="23" t="n">
        <v>0.2436</v>
      </c>
      <c r="AK367" s="23" t="n">
        <v>0.5</v>
      </c>
      <c r="AL367" s="23" t="n">
        <v>0</v>
      </c>
      <c r="AM367" s="16" t="n">
        <f aca="false">COUNTIFS($D$2:$D$2501,D367,$G$2:$G$2501,"&gt;"&amp;G367)+COUNTIFS($D$2:D367,D367,$G$2:G367,G367)</f>
        <v>100</v>
      </c>
      <c r="AN367" s="5" t="str">
        <f aca="false">D367&amp;"|"&amp;AM367</f>
        <v>檢索與情資關聯|100</v>
      </c>
    </row>
    <row r="368" customFormat="false" ht="17.15" hidden="false" customHeight="false" outlineLevel="0" collapsed="false">
      <c r="A368" s="16" t="n">
        <f aca="false">RANK(G368,$G$2:$G$2501)+COUNTIF($G$2:G368,G368)-1</f>
        <v>367</v>
      </c>
      <c r="B368" s="11" t="s">
        <v>1142</v>
      </c>
      <c r="C368" s="11" t="s">
        <v>1143</v>
      </c>
      <c r="D368" s="5" t="s">
        <v>56</v>
      </c>
      <c r="E368" s="5" t="s">
        <v>57</v>
      </c>
      <c r="F368" s="5"/>
      <c r="G368" s="22" t="n">
        <f aca="false">ROUND(SUM(I368:P368),3)</f>
        <v>71.924</v>
      </c>
      <c r="H368" s="5" t="str">
        <f aca="false">IF(G368&gt;=評分方法!$C$16,"優先評估",IF(G368&gt;=評分方法!$C$17,"列入候選",IF(G368&gt;=評分方法!$C$18,"特定情境","不建議")))</f>
        <v>列入候選</v>
      </c>
      <c r="I368" s="15" t="n">
        <f aca="false">AE368*評分方法!$C$5</f>
        <v>25.5</v>
      </c>
      <c r="J368" s="15" t="n">
        <f aca="false">AF368*評分方法!$C$6</f>
        <v>0</v>
      </c>
      <c r="K368" s="15" t="n">
        <f aca="false">AG368*評分方法!$C$7</f>
        <v>4.95</v>
      </c>
      <c r="L368" s="15" t="n">
        <f aca="false">AH368*評分方法!$C$8</f>
        <v>13.05</v>
      </c>
      <c r="M368" s="15" t="n">
        <f aca="false">AI368*評分方法!$C$9</f>
        <v>10</v>
      </c>
      <c r="N368" s="15" t="n">
        <f aca="false">AJ368*評分方法!$C$10</f>
        <v>8.424</v>
      </c>
      <c r="O368" s="15" t="n">
        <f aca="false">AK368*評分方法!$C$11</f>
        <v>5</v>
      </c>
      <c r="P368" s="15" t="n">
        <f aca="false">AL368*評分方法!$C$12</f>
        <v>5</v>
      </c>
      <c r="Q368" s="6" t="n">
        <v>2080446</v>
      </c>
      <c r="R368" s="6" t="n">
        <v>8053338176</v>
      </c>
      <c r="S368" s="11" t="s">
        <v>254</v>
      </c>
      <c r="T368" s="11" t="s">
        <v>239</v>
      </c>
      <c r="U368" s="5" t="s">
        <v>240</v>
      </c>
      <c r="V368" s="11" t="s">
        <v>261</v>
      </c>
      <c r="W368" s="5" t="s">
        <v>334</v>
      </c>
      <c r="X368" s="5" t="s">
        <v>284</v>
      </c>
      <c r="Y368" s="11" t="s">
        <v>1144</v>
      </c>
      <c r="Z368" s="11" t="s">
        <v>270</v>
      </c>
      <c r="AA368" s="11" t="s">
        <v>155</v>
      </c>
      <c r="AB368" s="5" t="s">
        <v>245</v>
      </c>
      <c r="AC368" s="5"/>
      <c r="AD368" s="11" t="s">
        <v>1145</v>
      </c>
      <c r="AE368" s="23" t="n">
        <v>0.85</v>
      </c>
      <c r="AF368" s="23" t="n">
        <v>0</v>
      </c>
      <c r="AG368" s="23" t="n">
        <v>0.33</v>
      </c>
      <c r="AH368" s="23" t="n">
        <v>0.87</v>
      </c>
      <c r="AI368" s="23" t="n">
        <v>1</v>
      </c>
      <c r="AJ368" s="23" t="n">
        <v>0.8424</v>
      </c>
      <c r="AK368" s="23" t="n">
        <v>1</v>
      </c>
      <c r="AL368" s="23" t="n">
        <v>1</v>
      </c>
      <c r="AM368" s="16" t="n">
        <f aca="false">COUNTIFS($D$2:$D$2501,D368,$G$2:$G$2501,"&gt;"&amp;G368)+COUNTIFS($D$2:D368,D368,$G$2:G368,G368)</f>
        <v>184</v>
      </c>
      <c r="AN368" s="5" t="str">
        <f aca="false">D368&amp;"|"&amp;AM368</f>
        <v>分析與報告生成|184</v>
      </c>
    </row>
    <row r="369" customFormat="false" ht="17.15" hidden="false" customHeight="false" outlineLevel="0" collapsed="false">
      <c r="A369" s="16" t="n">
        <f aca="false">RANK(G369,$G$2:$G$2501)+COUNTIF($G$2:G369,G369)-1</f>
        <v>368</v>
      </c>
      <c r="B369" s="11" t="s">
        <v>1146</v>
      </c>
      <c r="C369" s="11" t="s">
        <v>368</v>
      </c>
      <c r="D369" s="5" t="s">
        <v>56</v>
      </c>
      <c r="E369" s="5" t="s">
        <v>57</v>
      </c>
      <c r="F369" s="5"/>
      <c r="G369" s="22" t="n">
        <f aca="false">ROUND(SUM(I369:P369),3)</f>
        <v>71.904</v>
      </c>
      <c r="H369" s="5" t="str">
        <f aca="false">IF(G369&gt;=評分方法!$C$16,"優先評估",IF(G369&gt;=評分方法!$C$17,"列入候選",IF(G369&gt;=評分方法!$C$18,"特定情境","不建議")))</f>
        <v>列入候選</v>
      </c>
      <c r="I369" s="15" t="n">
        <f aca="false">AE369*評分方法!$C$5</f>
        <v>25.5</v>
      </c>
      <c r="J369" s="15" t="n">
        <f aca="false">AF369*評分方法!$C$6</f>
        <v>0</v>
      </c>
      <c r="K369" s="15" t="n">
        <f aca="false">AG369*評分方法!$C$7</f>
        <v>15</v>
      </c>
      <c r="L369" s="15" t="n">
        <f aca="false">AH369*評分方法!$C$8</f>
        <v>15</v>
      </c>
      <c r="M369" s="15" t="n">
        <f aca="false">AI369*評分方法!$C$9</f>
        <v>6</v>
      </c>
      <c r="N369" s="15" t="n">
        <f aca="false">AJ369*評分方法!$C$10</f>
        <v>3.404</v>
      </c>
      <c r="O369" s="15" t="n">
        <f aca="false">AK369*評分方法!$C$11</f>
        <v>4</v>
      </c>
      <c r="P369" s="15" t="n">
        <f aca="false">AL369*評分方法!$C$12</f>
        <v>3</v>
      </c>
      <c r="Q369" s="6" t="n">
        <v>343551</v>
      </c>
      <c r="R369" s="6" t="n">
        <v>268098176</v>
      </c>
      <c r="S369" s="11" t="s">
        <v>238</v>
      </c>
      <c r="T369" s="11" t="s">
        <v>658</v>
      </c>
      <c r="U369" s="5" t="s">
        <v>260</v>
      </c>
      <c r="V369" s="11" t="s">
        <v>261</v>
      </c>
      <c r="W369" s="5" t="s">
        <v>205</v>
      </c>
      <c r="X369" s="5" t="s">
        <v>371</v>
      </c>
      <c r="Y369" s="5"/>
      <c r="Z369" s="5"/>
      <c r="AA369" s="11" t="s">
        <v>155</v>
      </c>
      <c r="AB369" s="5" t="s">
        <v>245</v>
      </c>
      <c r="AC369" s="5" t="s">
        <v>262</v>
      </c>
      <c r="AD369" s="11" t="s">
        <v>1147</v>
      </c>
      <c r="AE369" s="23" t="n">
        <v>0.85</v>
      </c>
      <c r="AF369" s="23" t="n">
        <v>0</v>
      </c>
      <c r="AG369" s="23" t="n">
        <v>1</v>
      </c>
      <c r="AH369" s="23" t="n">
        <v>1</v>
      </c>
      <c r="AI369" s="23" t="n">
        <v>0.6</v>
      </c>
      <c r="AJ369" s="23" t="n">
        <v>0.3404</v>
      </c>
      <c r="AK369" s="23" t="n">
        <v>0.8</v>
      </c>
      <c r="AL369" s="23" t="n">
        <v>0.6</v>
      </c>
      <c r="AM369" s="16" t="n">
        <f aca="false">COUNTIFS($D$2:$D$2501,D369,$G$2:$G$2501,"&gt;"&amp;G369)+COUNTIFS($D$2:D369,D369,$G$2:G369,G369)</f>
        <v>185</v>
      </c>
      <c r="AN369" s="5" t="str">
        <f aca="false">D369&amp;"|"&amp;AM369</f>
        <v>分析與報告生成|185</v>
      </c>
    </row>
    <row r="370" customFormat="false" ht="17.15" hidden="false" customHeight="false" outlineLevel="0" collapsed="false">
      <c r="A370" s="16" t="n">
        <f aca="false">RANK(G370,$G$2:$G$2501)+COUNTIF($G$2:G370,G370)-1</f>
        <v>369</v>
      </c>
      <c r="B370" s="11" t="s">
        <v>1148</v>
      </c>
      <c r="C370" s="11" t="s">
        <v>1111</v>
      </c>
      <c r="D370" s="5" t="s">
        <v>56</v>
      </c>
      <c r="E370" s="5" t="s">
        <v>57</v>
      </c>
      <c r="F370" s="5"/>
      <c r="G370" s="22" t="n">
        <f aca="false">ROUND(SUM(I370:P370),3)</f>
        <v>71.882</v>
      </c>
      <c r="H370" s="5" t="str">
        <f aca="false">IF(G370&gt;=評分方法!$C$16,"優先評估",IF(G370&gt;=評分方法!$C$17,"列入候選",IF(G370&gt;=評分方法!$C$18,"特定情境","不建議")))</f>
        <v>列入候選</v>
      </c>
      <c r="I370" s="15" t="n">
        <f aca="false">AE370*評分方法!$C$5</f>
        <v>25.5</v>
      </c>
      <c r="J370" s="15" t="n">
        <f aca="false">AF370*評分方法!$C$6</f>
        <v>0</v>
      </c>
      <c r="K370" s="15" t="n">
        <f aca="false">AG370*評分方法!$C$7</f>
        <v>10.05</v>
      </c>
      <c r="L370" s="15" t="n">
        <f aca="false">AH370*評分方法!$C$8</f>
        <v>9</v>
      </c>
      <c r="M370" s="15" t="n">
        <f aca="false">AI370*評分方法!$C$9</f>
        <v>10</v>
      </c>
      <c r="N370" s="15" t="n">
        <f aca="false">AJ370*評分方法!$C$10</f>
        <v>9.332</v>
      </c>
      <c r="O370" s="15" t="n">
        <f aca="false">AK370*評分方法!$C$11</f>
        <v>5</v>
      </c>
      <c r="P370" s="15" t="n">
        <f aca="false">AL370*評分方法!$C$12</f>
        <v>3</v>
      </c>
      <c r="Q370" s="6" t="n">
        <v>6467931</v>
      </c>
      <c r="R370" s="6" t="n">
        <v>26544133710</v>
      </c>
      <c r="S370" s="11" t="s">
        <v>389</v>
      </c>
      <c r="T370" s="11" t="s">
        <v>239</v>
      </c>
      <c r="U370" s="5" t="s">
        <v>240</v>
      </c>
      <c r="V370" s="11" t="s">
        <v>261</v>
      </c>
      <c r="W370" s="5" t="s">
        <v>207</v>
      </c>
      <c r="X370" s="5" t="s">
        <v>371</v>
      </c>
      <c r="Y370" s="11" t="s">
        <v>575</v>
      </c>
      <c r="Z370" s="11" t="s">
        <v>244</v>
      </c>
      <c r="AA370" s="11" t="s">
        <v>156</v>
      </c>
      <c r="AB370" s="5" t="s">
        <v>245</v>
      </c>
      <c r="AC370" s="5" t="s">
        <v>246</v>
      </c>
      <c r="AD370" s="11" t="s">
        <v>1149</v>
      </c>
      <c r="AE370" s="23" t="n">
        <v>0.85</v>
      </c>
      <c r="AF370" s="23" t="n">
        <v>0</v>
      </c>
      <c r="AG370" s="23" t="n">
        <v>0.67</v>
      </c>
      <c r="AH370" s="23" t="n">
        <v>0.6</v>
      </c>
      <c r="AI370" s="23" t="n">
        <v>1</v>
      </c>
      <c r="AJ370" s="23" t="n">
        <v>0.9332</v>
      </c>
      <c r="AK370" s="23" t="n">
        <v>1</v>
      </c>
      <c r="AL370" s="23" t="n">
        <v>0.6</v>
      </c>
      <c r="AM370" s="16" t="n">
        <f aca="false">COUNTIFS($D$2:$D$2501,D370,$G$2:$G$2501,"&gt;"&amp;G370)+COUNTIFS($D$2:D370,D370,$G$2:G370,G370)</f>
        <v>186</v>
      </c>
      <c r="AN370" s="5" t="str">
        <f aca="false">D370&amp;"|"&amp;AM370</f>
        <v>分析與報告生成|186</v>
      </c>
    </row>
    <row r="371" customFormat="false" ht="17.15" hidden="false" customHeight="false" outlineLevel="0" collapsed="false">
      <c r="A371" s="16" t="n">
        <f aca="false">RANK(G371,$G$2:$G$2501)+COUNTIF($G$2:G371,G371)-1</f>
        <v>370</v>
      </c>
      <c r="B371" s="11" t="s">
        <v>1150</v>
      </c>
      <c r="C371" s="11" t="s">
        <v>753</v>
      </c>
      <c r="D371" s="5" t="s">
        <v>56</v>
      </c>
      <c r="E371" s="5" t="s">
        <v>57</v>
      </c>
      <c r="F371" s="5"/>
      <c r="G371" s="22" t="n">
        <f aca="false">ROUND(SUM(I371:P371),3)</f>
        <v>71.778</v>
      </c>
      <c r="H371" s="5" t="str">
        <f aca="false">IF(G371&gt;=評分方法!$C$16,"優先評估",IF(G371&gt;=評分方法!$C$17,"列入候選",IF(G371&gt;=評分方法!$C$18,"特定情境","不建議")))</f>
        <v>列入候選</v>
      </c>
      <c r="I371" s="15" t="n">
        <f aca="false">AE371*評分方法!$C$5</f>
        <v>25.5</v>
      </c>
      <c r="J371" s="15" t="n">
        <f aca="false">AF371*評分方法!$C$6</f>
        <v>0</v>
      </c>
      <c r="K371" s="15" t="n">
        <f aca="false">AG371*評分方法!$C$7</f>
        <v>10.05</v>
      </c>
      <c r="L371" s="15" t="n">
        <f aca="false">AH371*評分方法!$C$8</f>
        <v>9</v>
      </c>
      <c r="M371" s="15" t="n">
        <f aca="false">AI371*評分方法!$C$9</f>
        <v>10</v>
      </c>
      <c r="N371" s="15" t="n">
        <f aca="false">AJ371*評分方法!$C$10</f>
        <v>9.228</v>
      </c>
      <c r="O371" s="15" t="n">
        <f aca="false">AK371*評分方法!$C$11</f>
        <v>5</v>
      </c>
      <c r="P371" s="15" t="n">
        <f aca="false">AL371*評分方法!$C$12</f>
        <v>3</v>
      </c>
      <c r="Q371" s="6" t="n">
        <v>5399708</v>
      </c>
      <c r="R371" s="6" t="n">
        <v>11907350576</v>
      </c>
      <c r="S371" s="11" t="s">
        <v>389</v>
      </c>
      <c r="T371" s="11" t="s">
        <v>239</v>
      </c>
      <c r="U371" s="5" t="s">
        <v>240</v>
      </c>
      <c r="V371" s="11" t="s">
        <v>333</v>
      </c>
      <c r="W371" s="5" t="s">
        <v>207</v>
      </c>
      <c r="X371" s="5" t="s">
        <v>371</v>
      </c>
      <c r="Y371" s="11" t="s">
        <v>755</v>
      </c>
      <c r="Z371" s="11" t="s">
        <v>244</v>
      </c>
      <c r="AA371" s="11" t="s">
        <v>156</v>
      </c>
      <c r="AB371" s="5" t="s">
        <v>245</v>
      </c>
      <c r="AC371" s="5" t="s">
        <v>246</v>
      </c>
      <c r="AD371" s="11" t="s">
        <v>1151</v>
      </c>
      <c r="AE371" s="23" t="n">
        <v>0.85</v>
      </c>
      <c r="AF371" s="23" t="n">
        <v>0</v>
      </c>
      <c r="AG371" s="23" t="n">
        <v>0.67</v>
      </c>
      <c r="AH371" s="23" t="n">
        <v>0.6</v>
      </c>
      <c r="AI371" s="23" t="n">
        <v>1</v>
      </c>
      <c r="AJ371" s="23" t="n">
        <v>0.9228</v>
      </c>
      <c r="AK371" s="23" t="n">
        <v>1</v>
      </c>
      <c r="AL371" s="23" t="n">
        <v>0.6</v>
      </c>
      <c r="AM371" s="16" t="n">
        <f aca="false">COUNTIFS($D$2:$D$2501,D371,$G$2:$G$2501,"&gt;"&amp;G371)+COUNTIFS($D$2:D371,D371,$G$2:G371,G371)</f>
        <v>187</v>
      </c>
      <c r="AN371" s="5" t="str">
        <f aca="false">D371&amp;"|"&amp;AM371</f>
        <v>分析與報告生成|187</v>
      </c>
    </row>
    <row r="372" customFormat="false" ht="17.15" hidden="false" customHeight="false" outlineLevel="0" collapsed="false">
      <c r="A372" s="16" t="n">
        <f aca="false">RANK(G372,$G$2:$G$2501)+COUNTIF($G$2:G372,G372)-1</f>
        <v>371</v>
      </c>
      <c r="B372" s="11" t="s">
        <v>1152</v>
      </c>
      <c r="C372" s="11" t="s">
        <v>694</v>
      </c>
      <c r="D372" s="5" t="s">
        <v>56</v>
      </c>
      <c r="E372" s="5" t="s">
        <v>57</v>
      </c>
      <c r="F372" s="5"/>
      <c r="G372" s="22" t="n">
        <f aca="false">ROUND(SUM(I372:P372),3)</f>
        <v>71.774</v>
      </c>
      <c r="H372" s="5" t="str">
        <f aca="false">IF(G372&gt;=評分方法!$C$16,"優先評估",IF(G372&gt;=評分方法!$C$17,"列入候選",IF(G372&gt;=評分方法!$C$18,"特定情境","不建議")))</f>
        <v>列入候選</v>
      </c>
      <c r="I372" s="15" t="n">
        <f aca="false">AE372*評分方法!$C$5</f>
        <v>25.5</v>
      </c>
      <c r="J372" s="15" t="n">
        <f aca="false">AF372*評分方法!$C$6</f>
        <v>0</v>
      </c>
      <c r="K372" s="15" t="n">
        <f aca="false">AG372*評分方法!$C$7</f>
        <v>15</v>
      </c>
      <c r="L372" s="15" t="n">
        <f aca="false">AH372*評分方法!$C$8</f>
        <v>13.05</v>
      </c>
      <c r="M372" s="15" t="n">
        <f aca="false">AI372*評分方法!$C$9</f>
        <v>6</v>
      </c>
      <c r="N372" s="15" t="n">
        <f aca="false">AJ372*評分方法!$C$10</f>
        <v>9.724</v>
      </c>
      <c r="O372" s="15" t="n">
        <f aca="false">AK372*評分方法!$C$11</f>
        <v>2.5</v>
      </c>
      <c r="P372" s="15" t="n">
        <f aca="false">AL372*評分方法!$C$12</f>
        <v>0</v>
      </c>
      <c r="Q372" s="6" t="n">
        <v>15643130</v>
      </c>
      <c r="R372" s="6" t="n">
        <v>7063427072</v>
      </c>
      <c r="S372" s="11" t="s">
        <v>254</v>
      </c>
      <c r="T372" s="11" t="s">
        <v>1153</v>
      </c>
      <c r="U372" s="5" t="s">
        <v>260</v>
      </c>
      <c r="V372" s="11" t="s">
        <v>261</v>
      </c>
      <c r="W372" s="5" t="s">
        <v>205</v>
      </c>
      <c r="X372" s="5" t="s">
        <v>242</v>
      </c>
      <c r="Y372" s="5"/>
      <c r="Z372" s="5"/>
      <c r="AA372" s="11" t="s">
        <v>156</v>
      </c>
      <c r="AB372" s="5" t="s">
        <v>245</v>
      </c>
      <c r="AC372" s="5" t="s">
        <v>262</v>
      </c>
      <c r="AD372" s="11" t="s">
        <v>1154</v>
      </c>
      <c r="AE372" s="23" t="n">
        <v>0.85</v>
      </c>
      <c r="AF372" s="23" t="n">
        <v>0</v>
      </c>
      <c r="AG372" s="23" t="n">
        <v>1</v>
      </c>
      <c r="AH372" s="23" t="n">
        <v>0.87</v>
      </c>
      <c r="AI372" s="23" t="n">
        <v>0.6</v>
      </c>
      <c r="AJ372" s="23" t="n">
        <v>0.9724</v>
      </c>
      <c r="AK372" s="23" t="n">
        <v>0.5</v>
      </c>
      <c r="AL372" s="23" t="n">
        <v>0</v>
      </c>
      <c r="AM372" s="16" t="n">
        <f aca="false">COUNTIFS($D$2:$D$2501,D372,$G$2:$G$2501,"&gt;"&amp;G372)+COUNTIFS($D$2:D372,D372,$G$2:G372,G372)</f>
        <v>188</v>
      </c>
      <c r="AN372" s="5" t="str">
        <f aca="false">D372&amp;"|"&amp;AM372</f>
        <v>分析與報告生成|188</v>
      </c>
    </row>
    <row r="373" customFormat="false" ht="17.15" hidden="false" customHeight="false" outlineLevel="0" collapsed="false">
      <c r="A373" s="16" t="n">
        <f aca="false">RANK(G373,$G$2:$G$2501)+COUNTIF($G$2:G373,G373)-1</f>
        <v>372</v>
      </c>
      <c r="B373" s="11" t="s">
        <v>1155</v>
      </c>
      <c r="C373" s="11" t="s">
        <v>368</v>
      </c>
      <c r="D373" s="5" t="s">
        <v>56</v>
      </c>
      <c r="E373" s="5" t="s">
        <v>57</v>
      </c>
      <c r="F373" s="5"/>
      <c r="G373" s="22" t="n">
        <f aca="false">ROUND(SUM(I373:P373),3)</f>
        <v>71.75</v>
      </c>
      <c r="H373" s="5" t="str">
        <f aca="false">IF(G373&gt;=評分方法!$C$16,"優先評估",IF(G373&gt;=評分方法!$C$17,"列入候選",IF(G373&gt;=評分方法!$C$18,"特定情境","不建議")))</f>
        <v>列入候選</v>
      </c>
      <c r="I373" s="15" t="n">
        <f aca="false">AE373*評分方法!$C$5</f>
        <v>25.5</v>
      </c>
      <c r="J373" s="15" t="n">
        <f aca="false">AF373*評分方法!$C$6</f>
        <v>0</v>
      </c>
      <c r="K373" s="15" t="n">
        <f aca="false">AG373*評分方法!$C$7</f>
        <v>15</v>
      </c>
      <c r="L373" s="15" t="n">
        <f aca="false">AH373*評分方法!$C$8</f>
        <v>13.05</v>
      </c>
      <c r="M373" s="15" t="n">
        <f aca="false">AI373*評分方法!$C$9</f>
        <v>6</v>
      </c>
      <c r="N373" s="15" t="n">
        <f aca="false">AJ373*評分方法!$C$10</f>
        <v>8.2</v>
      </c>
      <c r="O373" s="15" t="n">
        <f aca="false">AK373*評分方法!$C$11</f>
        <v>1</v>
      </c>
      <c r="P373" s="15" t="n">
        <f aca="false">AL373*評分方法!$C$12</f>
        <v>3</v>
      </c>
      <c r="Q373" s="6" t="n">
        <v>1813171</v>
      </c>
      <c r="R373" s="6" t="n">
        <v>2923466480</v>
      </c>
      <c r="S373" s="11" t="s">
        <v>254</v>
      </c>
      <c r="T373" s="11" t="s">
        <v>658</v>
      </c>
      <c r="U373" s="5" t="s">
        <v>260</v>
      </c>
      <c r="V373" s="11" t="s">
        <v>261</v>
      </c>
      <c r="W373" s="5" t="s">
        <v>205</v>
      </c>
      <c r="X373" s="5" t="s">
        <v>371</v>
      </c>
      <c r="Y373" s="5"/>
      <c r="Z373" s="5"/>
      <c r="AA373" s="11" t="s">
        <v>156</v>
      </c>
      <c r="AB373" s="5" t="s">
        <v>245</v>
      </c>
      <c r="AC373" s="5" t="s">
        <v>262</v>
      </c>
      <c r="AD373" s="11" t="s">
        <v>1156</v>
      </c>
      <c r="AE373" s="23" t="n">
        <v>0.85</v>
      </c>
      <c r="AF373" s="23" t="n">
        <v>0</v>
      </c>
      <c r="AG373" s="23" t="n">
        <v>1</v>
      </c>
      <c r="AH373" s="23" t="n">
        <v>0.87</v>
      </c>
      <c r="AI373" s="23" t="n">
        <v>0.6</v>
      </c>
      <c r="AJ373" s="23" t="n">
        <v>0.82</v>
      </c>
      <c r="AK373" s="23" t="n">
        <v>0.2</v>
      </c>
      <c r="AL373" s="23" t="n">
        <v>0.6</v>
      </c>
      <c r="AM373" s="16" t="n">
        <f aca="false">COUNTIFS($D$2:$D$2501,D373,$G$2:$G$2501,"&gt;"&amp;G373)+COUNTIFS($D$2:D373,D373,$G$2:G373,G373)</f>
        <v>189</v>
      </c>
      <c r="AN373" s="5" t="str">
        <f aca="false">D373&amp;"|"&amp;AM373</f>
        <v>分析與報告生成|189</v>
      </c>
    </row>
    <row r="374" customFormat="false" ht="17.15" hidden="false" customHeight="false" outlineLevel="0" collapsed="false">
      <c r="A374" s="16" t="n">
        <f aca="false">RANK(G374,$G$2:$G$2501)+COUNTIF($G$2:G374,G374)-1</f>
        <v>373</v>
      </c>
      <c r="B374" s="11" t="s">
        <v>1157</v>
      </c>
      <c r="C374" s="11" t="s">
        <v>1158</v>
      </c>
      <c r="D374" s="5" t="s">
        <v>66</v>
      </c>
      <c r="E374" s="5" t="s">
        <v>67</v>
      </c>
      <c r="F374" s="5"/>
      <c r="G374" s="22" t="n">
        <f aca="false">ROUND(SUM(I374:P374),3)</f>
        <v>71.686</v>
      </c>
      <c r="H374" s="5" t="str">
        <f aca="false">IF(G374&gt;=評分方法!$C$16,"優先評估",IF(G374&gt;=評分方法!$C$17,"列入候選",IF(G374&gt;=評分方法!$C$18,"特定情境","不建議")))</f>
        <v>列入候選</v>
      </c>
      <c r="I374" s="15" t="n">
        <f aca="false">AE374*評分方法!$C$5</f>
        <v>27</v>
      </c>
      <c r="J374" s="15" t="n">
        <f aca="false">AF374*評分方法!$C$6</f>
        <v>0</v>
      </c>
      <c r="K374" s="15" t="n">
        <f aca="false">AG374*評分方法!$C$7</f>
        <v>4.95</v>
      </c>
      <c r="L374" s="15" t="n">
        <f aca="false">AH374*評分方法!$C$8</f>
        <v>15</v>
      </c>
      <c r="M374" s="15" t="n">
        <f aca="false">AI374*評分方法!$C$9</f>
        <v>10</v>
      </c>
      <c r="N374" s="15" t="n">
        <f aca="false">AJ374*評分方法!$C$10</f>
        <v>8.736</v>
      </c>
      <c r="O374" s="15" t="n">
        <f aca="false">AK374*評分方法!$C$11</f>
        <v>1</v>
      </c>
      <c r="P374" s="15" t="n">
        <f aca="false">AL374*評分方法!$C$12</f>
        <v>5</v>
      </c>
      <c r="Q374" s="6" t="n">
        <v>2876769</v>
      </c>
      <c r="R374" s="6" t="n">
        <v>560943621</v>
      </c>
      <c r="S374" s="11" t="s">
        <v>238</v>
      </c>
      <c r="T374" s="11" t="s">
        <v>278</v>
      </c>
      <c r="U374" s="5" t="s">
        <v>240</v>
      </c>
      <c r="V374" s="11" t="s">
        <v>855</v>
      </c>
      <c r="W374" s="5" t="s">
        <v>334</v>
      </c>
      <c r="X374" s="5" t="s">
        <v>284</v>
      </c>
      <c r="Y374" s="5"/>
      <c r="Z374" s="5"/>
      <c r="AA374" s="11" t="s">
        <v>151</v>
      </c>
      <c r="AB374" s="5" t="s">
        <v>245</v>
      </c>
      <c r="AC374" s="5"/>
      <c r="AD374" s="11" t="s">
        <v>1159</v>
      </c>
      <c r="AE374" s="23" t="n">
        <v>0.9</v>
      </c>
      <c r="AF374" s="23" t="n">
        <v>0</v>
      </c>
      <c r="AG374" s="23" t="n">
        <v>0.33</v>
      </c>
      <c r="AH374" s="23" t="n">
        <v>1</v>
      </c>
      <c r="AI374" s="23" t="n">
        <v>1</v>
      </c>
      <c r="AJ374" s="23" t="n">
        <v>0.8736</v>
      </c>
      <c r="AK374" s="23" t="n">
        <v>0.2</v>
      </c>
      <c r="AL374" s="23" t="n">
        <v>1</v>
      </c>
      <c r="AM374" s="16" t="n">
        <f aca="false">COUNTIFS($D$2:$D$2501,D374,$G$2:$G$2501,"&gt;"&amp;G374)+COUNTIFS($D$2:D374,D374,$G$2:G374,G374)</f>
        <v>11</v>
      </c>
      <c r="AN374" s="5" t="str">
        <f aca="false">D374&amp;"|"&amp;AM374</f>
        <v>分類與偵測|11</v>
      </c>
    </row>
    <row r="375" customFormat="false" ht="17.15" hidden="false" customHeight="false" outlineLevel="0" collapsed="false">
      <c r="A375" s="16" t="n">
        <f aca="false">RANK(G375,$G$2:$G$2501)+COUNTIF($G$2:G375,G375)-1</f>
        <v>374</v>
      </c>
      <c r="B375" s="11" t="s">
        <v>1160</v>
      </c>
      <c r="C375" s="11" t="s">
        <v>1161</v>
      </c>
      <c r="D375" s="5" t="s">
        <v>72</v>
      </c>
      <c r="E375" s="5" t="s">
        <v>73</v>
      </c>
      <c r="F375" s="5"/>
      <c r="G375" s="22" t="n">
        <f aca="false">ROUND(SUM(I375:P375),3)</f>
        <v>71.668</v>
      </c>
      <c r="H375" s="5" t="str">
        <f aca="false">IF(G375&gt;=評分方法!$C$16,"優先評估",IF(G375&gt;=評分方法!$C$17,"列入候選",IF(G375&gt;=評分方法!$C$18,"特定情境","不建議")))</f>
        <v>列入候選</v>
      </c>
      <c r="I375" s="15" t="n">
        <f aca="false">AE375*評分方法!$C$5</f>
        <v>15</v>
      </c>
      <c r="J375" s="15" t="n">
        <f aca="false">AF375*評分方法!$C$6</f>
        <v>0</v>
      </c>
      <c r="K375" s="15" t="n">
        <f aca="false">AG375*評分方法!$C$7</f>
        <v>15</v>
      </c>
      <c r="L375" s="15" t="n">
        <f aca="false">AH375*評分方法!$C$8</f>
        <v>15</v>
      </c>
      <c r="M375" s="15" t="n">
        <f aca="false">AI375*評分方法!$C$9</f>
        <v>10</v>
      </c>
      <c r="N375" s="15" t="n">
        <f aca="false">AJ375*評分方法!$C$10</f>
        <v>9.168</v>
      </c>
      <c r="O375" s="15" t="n">
        <f aca="false">AK375*評分方法!$C$11</f>
        <v>2.5</v>
      </c>
      <c r="P375" s="15" t="n">
        <f aca="false">AL375*評分方法!$C$12</f>
        <v>5</v>
      </c>
      <c r="Q375" s="6" t="n">
        <v>4857104</v>
      </c>
      <c r="R375" s="6" t="n">
        <v>102882442</v>
      </c>
      <c r="S375" s="11" t="s">
        <v>238</v>
      </c>
      <c r="T375" s="11" t="s">
        <v>239</v>
      </c>
      <c r="U375" s="5" t="s">
        <v>240</v>
      </c>
      <c r="V375" s="11" t="s">
        <v>279</v>
      </c>
      <c r="W375" s="5" t="s">
        <v>205</v>
      </c>
      <c r="X375" s="5" t="s">
        <v>284</v>
      </c>
      <c r="Y375" s="5"/>
      <c r="Z375" s="5"/>
      <c r="AA375" s="11" t="s">
        <v>162</v>
      </c>
      <c r="AB375" s="5" t="s">
        <v>245</v>
      </c>
      <c r="AC375" s="5"/>
      <c r="AD375" s="11" t="s">
        <v>1162</v>
      </c>
      <c r="AE375" s="23" t="n">
        <v>0.5</v>
      </c>
      <c r="AF375" s="23" t="n">
        <v>0</v>
      </c>
      <c r="AG375" s="23" t="n">
        <v>1</v>
      </c>
      <c r="AH375" s="23" t="n">
        <v>1</v>
      </c>
      <c r="AI375" s="23" t="n">
        <v>1</v>
      </c>
      <c r="AJ375" s="23" t="n">
        <v>0.9168</v>
      </c>
      <c r="AK375" s="23" t="n">
        <v>0.5</v>
      </c>
      <c r="AL375" s="23" t="n">
        <v>1</v>
      </c>
      <c r="AM375" s="16" t="n">
        <f aca="false">COUNTIFS($D$2:$D$2501,D375,$G$2:$G$2501,"&gt;"&amp;G375)+COUNTIFS($D$2:D375,D375,$G$2:G375,G375)</f>
        <v>1</v>
      </c>
      <c r="AN375" s="5" t="str">
        <f aca="false">D375&amp;"|"&amp;AM375</f>
        <v>微調基底模型|1</v>
      </c>
    </row>
    <row r="376" customFormat="false" ht="17.15" hidden="false" customHeight="false" outlineLevel="0" collapsed="false">
      <c r="A376" s="16" t="n">
        <f aca="false">RANK(G376,$G$2:$G$2501)+COUNTIF($G$2:G376,G376)-1</f>
        <v>375</v>
      </c>
      <c r="B376" s="11" t="s">
        <v>1163</v>
      </c>
      <c r="C376" s="11" t="s">
        <v>461</v>
      </c>
      <c r="D376" s="5" t="s">
        <v>56</v>
      </c>
      <c r="E376" s="5" t="s">
        <v>57</v>
      </c>
      <c r="F376" s="5"/>
      <c r="G376" s="22" t="n">
        <f aca="false">ROUND(SUM(I376:P376),3)</f>
        <v>71.662</v>
      </c>
      <c r="H376" s="5" t="str">
        <f aca="false">IF(G376&gt;=評分方法!$C$16,"優先評估",IF(G376&gt;=評分方法!$C$17,"列入候選",IF(G376&gt;=評分方法!$C$18,"特定情境","不建議")))</f>
        <v>列入候選</v>
      </c>
      <c r="I376" s="15" t="n">
        <f aca="false">AE376*評分方法!$C$5</f>
        <v>25.5</v>
      </c>
      <c r="J376" s="15" t="n">
        <f aca="false">AF376*評分方法!$C$6</f>
        <v>0</v>
      </c>
      <c r="K376" s="15" t="n">
        <f aca="false">AG376*評分方法!$C$7</f>
        <v>15</v>
      </c>
      <c r="L376" s="15" t="n">
        <f aca="false">AH376*評分方法!$C$8</f>
        <v>13.05</v>
      </c>
      <c r="M376" s="15" t="n">
        <f aca="false">AI376*評分方法!$C$9</f>
        <v>6</v>
      </c>
      <c r="N376" s="15" t="n">
        <f aca="false">AJ376*評分方法!$C$10</f>
        <v>2.112</v>
      </c>
      <c r="O376" s="15" t="n">
        <f aca="false">AK376*評分方法!$C$11</f>
        <v>5</v>
      </c>
      <c r="P376" s="15" t="n">
        <f aca="false">AL376*評分方法!$C$12</f>
        <v>5</v>
      </c>
      <c r="Q376" s="6" t="n">
        <v>217510</v>
      </c>
      <c r="R376" s="6" t="n">
        <v>8339929856</v>
      </c>
      <c r="S376" s="11" t="s">
        <v>254</v>
      </c>
      <c r="T376" s="11" t="s">
        <v>185</v>
      </c>
      <c r="U376" s="5" t="s">
        <v>260</v>
      </c>
      <c r="V376" s="11" t="s">
        <v>261</v>
      </c>
      <c r="W376" s="5" t="s">
        <v>205</v>
      </c>
      <c r="X376" s="5" t="s">
        <v>284</v>
      </c>
      <c r="Y376" s="5"/>
      <c r="Z376" s="5"/>
      <c r="AA376" s="11" t="s">
        <v>155</v>
      </c>
      <c r="AB376" s="5" t="s">
        <v>245</v>
      </c>
      <c r="AC376" s="5" t="s">
        <v>262</v>
      </c>
      <c r="AD376" s="11" t="s">
        <v>1164</v>
      </c>
      <c r="AE376" s="23" t="n">
        <v>0.85</v>
      </c>
      <c r="AF376" s="23" t="n">
        <v>0</v>
      </c>
      <c r="AG376" s="23" t="n">
        <v>1</v>
      </c>
      <c r="AH376" s="23" t="n">
        <v>0.87</v>
      </c>
      <c r="AI376" s="23" t="n">
        <v>0.6</v>
      </c>
      <c r="AJ376" s="23" t="n">
        <v>0.2112</v>
      </c>
      <c r="AK376" s="23" t="n">
        <v>1</v>
      </c>
      <c r="AL376" s="23" t="n">
        <v>1</v>
      </c>
      <c r="AM376" s="16" t="n">
        <f aca="false">COUNTIFS($D$2:$D$2501,D376,$G$2:$G$2501,"&gt;"&amp;G376)+COUNTIFS($D$2:D376,D376,$G$2:G376,G376)</f>
        <v>190</v>
      </c>
      <c r="AN376" s="5" t="str">
        <f aca="false">D376&amp;"|"&amp;AM376</f>
        <v>分析與報告生成|190</v>
      </c>
    </row>
    <row r="377" customFormat="false" ht="17.15" hidden="false" customHeight="false" outlineLevel="0" collapsed="false">
      <c r="A377" s="16" t="n">
        <f aca="false">RANK(G377,$G$2:$G$2501)+COUNTIF($G$2:G377,G377)-1</f>
        <v>376</v>
      </c>
      <c r="B377" s="11" t="s">
        <v>1165</v>
      </c>
      <c r="C377" s="11" t="s">
        <v>929</v>
      </c>
      <c r="D377" s="5" t="s">
        <v>58</v>
      </c>
      <c r="E377" s="5" t="s">
        <v>59</v>
      </c>
      <c r="F377" s="5"/>
      <c r="G377" s="22" t="n">
        <f aca="false">ROUND(SUM(I377:P377),3)</f>
        <v>71.662</v>
      </c>
      <c r="H377" s="5" t="str">
        <f aca="false">IF(G377&gt;=評分方法!$C$16,"優先評估",IF(G377&gt;=評分方法!$C$17,"列入候選",IF(G377&gt;=評分方法!$C$18,"特定情境","不建議")))</f>
        <v>列入候選</v>
      </c>
      <c r="I377" s="15" t="n">
        <f aca="false">AE377*評分方法!$C$5</f>
        <v>28.5</v>
      </c>
      <c r="J377" s="15" t="n">
        <f aca="false">AF377*評分方法!$C$6</f>
        <v>0</v>
      </c>
      <c r="K377" s="15" t="n">
        <f aca="false">AG377*評分方法!$C$7</f>
        <v>10.05</v>
      </c>
      <c r="L377" s="15" t="n">
        <f aca="false">AH377*評分方法!$C$8</f>
        <v>15</v>
      </c>
      <c r="M377" s="15" t="n">
        <f aca="false">AI377*評分方法!$C$9</f>
        <v>10</v>
      </c>
      <c r="N377" s="15" t="n">
        <f aca="false">AJ377*評分方法!$C$10</f>
        <v>7.112</v>
      </c>
      <c r="O377" s="15" t="n">
        <f aca="false">AK377*評分方法!$C$11</f>
        <v>1</v>
      </c>
      <c r="P377" s="15" t="n">
        <f aca="false">AL377*評分方法!$C$12</f>
        <v>0</v>
      </c>
      <c r="Q377" s="6" t="n">
        <v>964597</v>
      </c>
      <c r="R377" s="6" t="n">
        <v>333588489</v>
      </c>
      <c r="S377" s="11" t="s">
        <v>238</v>
      </c>
      <c r="T377" s="11" t="s">
        <v>278</v>
      </c>
      <c r="U377" s="5" t="s">
        <v>240</v>
      </c>
      <c r="V377" s="11" t="s">
        <v>320</v>
      </c>
      <c r="W377" s="5" t="s">
        <v>207</v>
      </c>
      <c r="X377" s="5" t="s">
        <v>242</v>
      </c>
      <c r="Y377" s="5"/>
      <c r="Z377" s="5"/>
      <c r="AA377" s="11" t="s">
        <v>150</v>
      </c>
      <c r="AB377" s="5" t="s">
        <v>245</v>
      </c>
      <c r="AC377" s="5"/>
      <c r="AD377" s="11" t="s">
        <v>1166</v>
      </c>
      <c r="AE377" s="23" t="n">
        <v>0.95</v>
      </c>
      <c r="AF377" s="23" t="n">
        <v>0</v>
      </c>
      <c r="AG377" s="23" t="n">
        <v>0.67</v>
      </c>
      <c r="AH377" s="23" t="n">
        <v>1</v>
      </c>
      <c r="AI377" s="23" t="n">
        <v>1</v>
      </c>
      <c r="AJ377" s="23" t="n">
        <v>0.7112</v>
      </c>
      <c r="AK377" s="23" t="n">
        <v>0.2</v>
      </c>
      <c r="AL377" s="23" t="n">
        <v>0</v>
      </c>
      <c r="AM377" s="16" t="n">
        <f aca="false">COUNTIFS($D$2:$D$2501,D377,$G$2:$G$2501,"&gt;"&amp;G377)+COUNTIFS($D$2:D377,D377,$G$2:G377,G377)</f>
        <v>16</v>
      </c>
      <c r="AN377" s="5" t="str">
        <f aca="false">D377&amp;"|"&amp;AM377</f>
        <v>實體擷取與去識別化|16</v>
      </c>
    </row>
    <row r="378" customFormat="false" ht="17.15" hidden="false" customHeight="false" outlineLevel="0" collapsed="false">
      <c r="A378" s="16" t="n">
        <f aca="false">RANK(G378,$G$2:$G$2501)+COUNTIF($G$2:G378,G378)-1</f>
        <v>377</v>
      </c>
      <c r="B378" s="11" t="s">
        <v>1167</v>
      </c>
      <c r="C378" s="11" t="s">
        <v>282</v>
      </c>
      <c r="D378" s="5" t="s">
        <v>54</v>
      </c>
      <c r="E378" s="5" t="s">
        <v>55</v>
      </c>
      <c r="F378" s="5"/>
      <c r="G378" s="22" t="n">
        <f aca="false">ROUND(SUM(I378:P378),3)</f>
        <v>71.644</v>
      </c>
      <c r="H378" s="5" t="str">
        <f aca="false">IF(G378&gt;=評分方法!$C$16,"優先評估",IF(G378&gt;=評分方法!$C$17,"列入候選",IF(G378&gt;=評分方法!$C$18,"特定情境","不建議")))</f>
        <v>列入候選</v>
      </c>
      <c r="I378" s="15" t="n">
        <f aca="false">AE378*評分方法!$C$5</f>
        <v>27</v>
      </c>
      <c r="J378" s="15" t="n">
        <f aca="false">AF378*評分方法!$C$6</f>
        <v>0</v>
      </c>
      <c r="K378" s="15" t="n">
        <f aca="false">AG378*評分方法!$C$7</f>
        <v>15</v>
      </c>
      <c r="L378" s="15" t="n">
        <f aca="false">AH378*評分方法!$C$8</f>
        <v>15</v>
      </c>
      <c r="M378" s="15" t="n">
        <f aca="false">AI378*評分方法!$C$9</f>
        <v>10</v>
      </c>
      <c r="N378" s="15" t="n">
        <f aca="false">AJ378*評分方法!$C$10</f>
        <v>0.644</v>
      </c>
      <c r="O378" s="15" t="n">
        <f aca="false">AK378*評分方法!$C$11</f>
        <v>2.5</v>
      </c>
      <c r="P378" s="15" t="n">
        <f aca="false">AL378*評分方法!$C$12</f>
        <v>1.5</v>
      </c>
      <c r="Q378" s="6" t="n">
        <v>139527</v>
      </c>
      <c r="R378" s="6" t="n">
        <v>82118914</v>
      </c>
      <c r="S378" s="11" t="s">
        <v>238</v>
      </c>
      <c r="T378" s="11" t="s">
        <v>239</v>
      </c>
      <c r="U378" s="5" t="s">
        <v>240</v>
      </c>
      <c r="V378" s="11" t="s">
        <v>320</v>
      </c>
      <c r="W378" s="5" t="s">
        <v>205</v>
      </c>
      <c r="X378" s="5" t="s">
        <v>255</v>
      </c>
      <c r="Y378" s="5"/>
      <c r="Z378" s="5"/>
      <c r="AA378" s="11" t="s">
        <v>152</v>
      </c>
      <c r="AB378" s="5" t="s">
        <v>245</v>
      </c>
      <c r="AC378" s="5"/>
      <c r="AD378" s="11" t="s">
        <v>1168</v>
      </c>
      <c r="AE378" s="23" t="n">
        <v>0.9</v>
      </c>
      <c r="AF378" s="23" t="n">
        <v>0</v>
      </c>
      <c r="AG378" s="23" t="n">
        <v>1</v>
      </c>
      <c r="AH378" s="23" t="n">
        <v>1</v>
      </c>
      <c r="AI378" s="23" t="n">
        <v>1</v>
      </c>
      <c r="AJ378" s="23" t="n">
        <v>0.0644</v>
      </c>
      <c r="AK378" s="23" t="n">
        <v>0.5</v>
      </c>
      <c r="AL378" s="23" t="n">
        <v>0.3</v>
      </c>
      <c r="AM378" s="16" t="n">
        <f aca="false">COUNTIFS($D$2:$D$2501,D378,$G$2:$G$2501,"&gt;"&amp;G378)+COUNTIFS($D$2:D378,D378,$G$2:G378,G378)</f>
        <v>101</v>
      </c>
      <c r="AN378" s="5" t="str">
        <f aca="false">D378&amp;"|"&amp;AM378</f>
        <v>檢索與情資關聯|101</v>
      </c>
    </row>
    <row r="379" customFormat="false" ht="17.15" hidden="false" customHeight="false" outlineLevel="0" collapsed="false">
      <c r="A379" s="16" t="n">
        <f aca="false">RANK(G379,$G$2:$G$2501)+COUNTIF($G$2:G379,G379)-1</f>
        <v>378</v>
      </c>
      <c r="B379" s="11" t="s">
        <v>1169</v>
      </c>
      <c r="C379" s="11" t="s">
        <v>1170</v>
      </c>
      <c r="D379" s="5" t="s">
        <v>56</v>
      </c>
      <c r="E379" s="5" t="s">
        <v>57</v>
      </c>
      <c r="F379" s="5"/>
      <c r="G379" s="22" t="n">
        <f aca="false">ROUND(SUM(I379:P379),3)</f>
        <v>71.626</v>
      </c>
      <c r="H379" s="5" t="str">
        <f aca="false">IF(G379&gt;=評分方法!$C$16,"優先評估",IF(G379&gt;=評分方法!$C$17,"列入候選",IF(G379&gt;=評分方法!$C$18,"特定情境","不建議")))</f>
        <v>列入候選</v>
      </c>
      <c r="I379" s="15" t="n">
        <f aca="false">AE379*評分方法!$C$5</f>
        <v>25.5</v>
      </c>
      <c r="J379" s="15" t="n">
        <f aca="false">AF379*評分方法!$C$6</f>
        <v>0</v>
      </c>
      <c r="K379" s="15" t="n">
        <f aca="false">AG379*評分方法!$C$7</f>
        <v>15</v>
      </c>
      <c r="L379" s="15" t="n">
        <f aca="false">AH379*評分方法!$C$8</f>
        <v>13.05</v>
      </c>
      <c r="M379" s="15" t="n">
        <f aca="false">AI379*評分方法!$C$9</f>
        <v>10</v>
      </c>
      <c r="N379" s="15" t="n">
        <f aca="false">AJ379*評分方法!$C$10</f>
        <v>0.076</v>
      </c>
      <c r="O379" s="15" t="n">
        <f aca="false">AK379*評分方法!$C$11</f>
        <v>5</v>
      </c>
      <c r="P379" s="15" t="n">
        <f aca="false">AL379*評分方法!$C$12</f>
        <v>3</v>
      </c>
      <c r="Q379" s="6" t="n">
        <v>118719</v>
      </c>
      <c r="R379" s="6" t="n">
        <v>1498482688</v>
      </c>
      <c r="S379" s="11" t="s">
        <v>254</v>
      </c>
      <c r="T379" s="11" t="s">
        <v>278</v>
      </c>
      <c r="U379" s="5" t="s">
        <v>240</v>
      </c>
      <c r="V379" s="11" t="s">
        <v>261</v>
      </c>
      <c r="W379" s="5" t="s">
        <v>205</v>
      </c>
      <c r="X379" s="5" t="s">
        <v>371</v>
      </c>
      <c r="Y379" s="5"/>
      <c r="Z379" s="5"/>
      <c r="AA379" s="11" t="s">
        <v>155</v>
      </c>
      <c r="AB379" s="5" t="s">
        <v>245</v>
      </c>
      <c r="AC379" s="5"/>
      <c r="AD379" s="11" t="s">
        <v>1171</v>
      </c>
      <c r="AE379" s="23" t="n">
        <v>0.85</v>
      </c>
      <c r="AF379" s="23" t="n">
        <v>0</v>
      </c>
      <c r="AG379" s="23" t="n">
        <v>1</v>
      </c>
      <c r="AH379" s="23" t="n">
        <v>0.87</v>
      </c>
      <c r="AI379" s="23" t="n">
        <v>1</v>
      </c>
      <c r="AJ379" s="23" t="n">
        <v>0.0076</v>
      </c>
      <c r="AK379" s="23" t="n">
        <v>1</v>
      </c>
      <c r="AL379" s="23" t="n">
        <v>0.6</v>
      </c>
      <c r="AM379" s="16" t="n">
        <f aca="false">COUNTIFS($D$2:$D$2501,D379,$G$2:$G$2501,"&gt;"&amp;G379)+COUNTIFS($D$2:D379,D379,$G$2:G379,G379)</f>
        <v>191</v>
      </c>
      <c r="AN379" s="5" t="str">
        <f aca="false">D379&amp;"|"&amp;AM379</f>
        <v>分析與報告生成|191</v>
      </c>
    </row>
    <row r="380" customFormat="false" ht="17.15" hidden="false" customHeight="false" outlineLevel="0" collapsed="false">
      <c r="A380" s="16" t="n">
        <f aca="false">RANK(G380,$G$2:$G$2501)+COUNTIF($G$2:G380,G380)-1</f>
        <v>379</v>
      </c>
      <c r="B380" s="11" t="s">
        <v>1172</v>
      </c>
      <c r="C380" s="11" t="s">
        <v>282</v>
      </c>
      <c r="D380" s="5" t="s">
        <v>54</v>
      </c>
      <c r="E380" s="5" t="s">
        <v>55</v>
      </c>
      <c r="F380" s="5"/>
      <c r="G380" s="22" t="n">
        <f aca="false">ROUND(SUM(I380:P380),3)</f>
        <v>71.608</v>
      </c>
      <c r="H380" s="5" t="str">
        <f aca="false">IF(G380&gt;=評分方法!$C$16,"優先評估",IF(G380&gt;=評分方法!$C$17,"列入候選",IF(G380&gt;=評分方法!$C$18,"特定情境","不建議")))</f>
        <v>列入候選</v>
      </c>
      <c r="I380" s="15" t="n">
        <f aca="false">AE380*評分方法!$C$5</f>
        <v>27</v>
      </c>
      <c r="J380" s="15" t="n">
        <f aca="false">AF380*評分方法!$C$6</f>
        <v>0</v>
      </c>
      <c r="K380" s="15" t="n">
        <f aca="false">AG380*評分方法!$C$7</f>
        <v>15</v>
      </c>
      <c r="L380" s="15" t="n">
        <f aca="false">AH380*評分方法!$C$8</f>
        <v>15</v>
      </c>
      <c r="M380" s="15" t="n">
        <f aca="false">AI380*評分方法!$C$9</f>
        <v>10</v>
      </c>
      <c r="N380" s="15" t="n">
        <f aca="false">AJ380*評分方法!$C$10</f>
        <v>0.608</v>
      </c>
      <c r="O380" s="15" t="n">
        <f aca="false">AK380*評分方法!$C$11</f>
        <v>2.5</v>
      </c>
      <c r="P380" s="15" t="n">
        <f aca="false">AL380*評分方法!$C$12</f>
        <v>1.5</v>
      </c>
      <c r="Q380" s="6" t="n">
        <v>137973</v>
      </c>
      <c r="R380" s="6" t="n">
        <v>66955520</v>
      </c>
      <c r="S380" s="11" t="s">
        <v>238</v>
      </c>
      <c r="T380" s="11" t="s">
        <v>239</v>
      </c>
      <c r="U380" s="5" t="s">
        <v>240</v>
      </c>
      <c r="V380" s="11" t="s">
        <v>283</v>
      </c>
      <c r="W380" s="5" t="s">
        <v>205</v>
      </c>
      <c r="X380" s="5" t="s">
        <v>255</v>
      </c>
      <c r="Y380" s="5"/>
      <c r="Z380" s="5"/>
      <c r="AA380" s="11" t="s">
        <v>152</v>
      </c>
      <c r="AB380" s="5" t="s">
        <v>245</v>
      </c>
      <c r="AC380" s="5"/>
      <c r="AD380" s="11" t="s">
        <v>1173</v>
      </c>
      <c r="AE380" s="23" t="n">
        <v>0.9</v>
      </c>
      <c r="AF380" s="23" t="n">
        <v>0</v>
      </c>
      <c r="AG380" s="23" t="n">
        <v>1</v>
      </c>
      <c r="AH380" s="23" t="n">
        <v>1</v>
      </c>
      <c r="AI380" s="23" t="n">
        <v>1</v>
      </c>
      <c r="AJ380" s="23" t="n">
        <v>0.0608</v>
      </c>
      <c r="AK380" s="23" t="n">
        <v>0.5</v>
      </c>
      <c r="AL380" s="23" t="n">
        <v>0.3</v>
      </c>
      <c r="AM380" s="16" t="n">
        <f aca="false">COUNTIFS($D$2:$D$2501,D380,$G$2:$G$2501,"&gt;"&amp;G380)+COUNTIFS($D$2:D380,D380,$G$2:G380,G380)</f>
        <v>102</v>
      </c>
      <c r="AN380" s="5" t="str">
        <f aca="false">D380&amp;"|"&amp;AM380</f>
        <v>檢索與情資關聯|102</v>
      </c>
    </row>
    <row r="381" customFormat="false" ht="17.15" hidden="false" customHeight="false" outlineLevel="0" collapsed="false">
      <c r="A381" s="16" t="n">
        <f aca="false">RANK(G381,$G$2:$G$2501)+COUNTIF($G$2:G381,G381)-1</f>
        <v>380</v>
      </c>
      <c r="B381" s="11" t="s">
        <v>1174</v>
      </c>
      <c r="C381" s="11" t="s">
        <v>1111</v>
      </c>
      <c r="D381" s="5" t="s">
        <v>56</v>
      </c>
      <c r="E381" s="5" t="s">
        <v>57</v>
      </c>
      <c r="F381" s="5"/>
      <c r="G381" s="22" t="n">
        <f aca="false">ROUND(SUM(I381:P381),3)</f>
        <v>71.594</v>
      </c>
      <c r="H381" s="5" t="str">
        <f aca="false">IF(G381&gt;=評分方法!$C$16,"優先評估",IF(G381&gt;=評分方法!$C$17,"列入候選",IF(G381&gt;=評分方法!$C$18,"特定情境","不建議")))</f>
        <v>列入候選</v>
      </c>
      <c r="I381" s="15" t="n">
        <f aca="false">AE381*評分方法!$C$5</f>
        <v>25.5</v>
      </c>
      <c r="J381" s="15" t="n">
        <f aca="false">AF381*評分方法!$C$6</f>
        <v>0</v>
      </c>
      <c r="K381" s="15" t="n">
        <f aca="false">AG381*評分方法!$C$7</f>
        <v>10.05</v>
      </c>
      <c r="L381" s="15" t="n">
        <f aca="false">AH381*評分方法!$C$8</f>
        <v>9</v>
      </c>
      <c r="M381" s="15" t="n">
        <f aca="false">AI381*評分方法!$C$9</f>
        <v>10</v>
      </c>
      <c r="N381" s="15" t="n">
        <f aca="false">AJ381*評分方法!$C$10</f>
        <v>9.044</v>
      </c>
      <c r="O381" s="15" t="n">
        <f aca="false">AK381*評分方法!$C$11</f>
        <v>5</v>
      </c>
      <c r="P381" s="15" t="n">
        <f aca="false">AL381*評分方法!$C$12</f>
        <v>3</v>
      </c>
      <c r="Q381" s="6" t="n">
        <v>4023065</v>
      </c>
      <c r="R381" s="6" t="n">
        <v>25805936206</v>
      </c>
      <c r="S381" s="11" t="s">
        <v>389</v>
      </c>
      <c r="T381" s="11" t="s">
        <v>239</v>
      </c>
      <c r="U381" s="5" t="s">
        <v>240</v>
      </c>
      <c r="V381" s="11" t="s">
        <v>261</v>
      </c>
      <c r="W381" s="5" t="s">
        <v>207</v>
      </c>
      <c r="X381" s="5" t="s">
        <v>371</v>
      </c>
      <c r="Y381" s="11" t="s">
        <v>575</v>
      </c>
      <c r="Z381" s="11" t="s">
        <v>244</v>
      </c>
      <c r="AA381" s="11" t="s">
        <v>156</v>
      </c>
      <c r="AB381" s="5" t="s">
        <v>245</v>
      </c>
      <c r="AC381" s="5" t="s">
        <v>246</v>
      </c>
      <c r="AD381" s="11" t="s">
        <v>1175</v>
      </c>
      <c r="AE381" s="23" t="n">
        <v>0.85</v>
      </c>
      <c r="AF381" s="23" t="n">
        <v>0</v>
      </c>
      <c r="AG381" s="23" t="n">
        <v>0.67</v>
      </c>
      <c r="AH381" s="23" t="n">
        <v>0.6</v>
      </c>
      <c r="AI381" s="23" t="n">
        <v>1</v>
      </c>
      <c r="AJ381" s="23" t="n">
        <v>0.9044</v>
      </c>
      <c r="AK381" s="23" t="n">
        <v>1</v>
      </c>
      <c r="AL381" s="23" t="n">
        <v>0.6</v>
      </c>
      <c r="AM381" s="16" t="n">
        <f aca="false">COUNTIFS($D$2:$D$2501,D381,$G$2:$G$2501,"&gt;"&amp;G381)+COUNTIFS($D$2:D381,D381,$G$2:G381,G381)</f>
        <v>192</v>
      </c>
      <c r="AN381" s="5" t="str">
        <f aca="false">D381&amp;"|"&amp;AM381</f>
        <v>分析與報告生成|192</v>
      </c>
    </row>
    <row r="382" customFormat="false" ht="17.15" hidden="false" customHeight="false" outlineLevel="0" collapsed="false">
      <c r="A382" s="16" t="n">
        <f aca="false">RANK(G382,$G$2:$G$2501)+COUNTIF($G$2:G382,G382)-1</f>
        <v>381</v>
      </c>
      <c r="B382" s="11" t="s">
        <v>1176</v>
      </c>
      <c r="C382" s="11" t="s">
        <v>258</v>
      </c>
      <c r="D382" s="5" t="s">
        <v>56</v>
      </c>
      <c r="E382" s="5" t="s">
        <v>57</v>
      </c>
      <c r="F382" s="5"/>
      <c r="G382" s="22" t="n">
        <f aca="false">ROUND(SUM(I382:P382),3)</f>
        <v>71.53</v>
      </c>
      <c r="H382" s="5" t="str">
        <f aca="false">IF(G382&gt;=評分方法!$C$16,"優先評估",IF(G382&gt;=評分方法!$C$17,"列入候選",IF(G382&gt;=評分方法!$C$18,"特定情境","不建議")))</f>
        <v>列入候選</v>
      </c>
      <c r="I382" s="15" t="n">
        <f aca="false">AE382*評分方法!$C$5</f>
        <v>25.5</v>
      </c>
      <c r="J382" s="15" t="n">
        <f aca="false">AF382*評分方法!$C$6</f>
        <v>0</v>
      </c>
      <c r="K382" s="15" t="n">
        <f aca="false">AG382*評分方法!$C$7</f>
        <v>15</v>
      </c>
      <c r="L382" s="15" t="n">
        <f aca="false">AH382*評分方法!$C$8</f>
        <v>13.05</v>
      </c>
      <c r="M382" s="15" t="n">
        <f aca="false">AI382*評分方法!$C$9</f>
        <v>6</v>
      </c>
      <c r="N382" s="15" t="n">
        <f aca="false">AJ382*評分方法!$C$10</f>
        <v>9.48</v>
      </c>
      <c r="O382" s="15" t="n">
        <f aca="false">AK382*評分方法!$C$11</f>
        <v>2.5</v>
      </c>
      <c r="P382" s="15" t="n">
        <f aca="false">AL382*評分方法!$C$12</f>
        <v>0</v>
      </c>
      <c r="Q382" s="6" t="n">
        <v>8431421</v>
      </c>
      <c r="R382" s="6" t="n">
        <v>8030261248</v>
      </c>
      <c r="S382" s="11" t="s">
        <v>254</v>
      </c>
      <c r="T382" s="11" t="s">
        <v>1177</v>
      </c>
      <c r="U382" s="5" t="s">
        <v>260</v>
      </c>
      <c r="V382" s="11" t="s">
        <v>324</v>
      </c>
      <c r="W382" s="5" t="s">
        <v>205</v>
      </c>
      <c r="X382" s="5" t="s">
        <v>242</v>
      </c>
      <c r="Y382" s="5"/>
      <c r="Z382" s="5"/>
      <c r="AA382" s="11" t="s">
        <v>155</v>
      </c>
      <c r="AB382" s="5" t="s">
        <v>245</v>
      </c>
      <c r="AC382" s="5" t="s">
        <v>262</v>
      </c>
      <c r="AD382" s="11" t="s">
        <v>1178</v>
      </c>
      <c r="AE382" s="23" t="n">
        <v>0.85</v>
      </c>
      <c r="AF382" s="23" t="n">
        <v>0</v>
      </c>
      <c r="AG382" s="23" t="n">
        <v>1</v>
      </c>
      <c r="AH382" s="23" t="n">
        <v>0.87</v>
      </c>
      <c r="AI382" s="23" t="n">
        <v>0.6</v>
      </c>
      <c r="AJ382" s="23" t="n">
        <v>0.948</v>
      </c>
      <c r="AK382" s="23" t="n">
        <v>0.5</v>
      </c>
      <c r="AL382" s="23" t="n">
        <v>0</v>
      </c>
      <c r="AM382" s="16" t="n">
        <f aca="false">COUNTIFS($D$2:$D$2501,D382,$G$2:$G$2501,"&gt;"&amp;G382)+COUNTIFS($D$2:D382,D382,$G$2:G382,G382)</f>
        <v>193</v>
      </c>
      <c r="AN382" s="5" t="str">
        <f aca="false">D382&amp;"|"&amp;AM382</f>
        <v>分析與報告生成|193</v>
      </c>
    </row>
    <row r="383" customFormat="false" ht="17.15" hidden="false" customHeight="false" outlineLevel="0" collapsed="false">
      <c r="A383" s="16" t="n">
        <f aca="false">RANK(G383,$G$2:$G$2501)+COUNTIF($G$2:G383,G383)-1</f>
        <v>382</v>
      </c>
      <c r="B383" s="11" t="s">
        <v>1179</v>
      </c>
      <c r="C383" s="11" t="s">
        <v>1180</v>
      </c>
      <c r="D383" s="5" t="s">
        <v>52</v>
      </c>
      <c r="E383" s="5" t="s">
        <v>53</v>
      </c>
      <c r="F383" s="5" t="s">
        <v>52</v>
      </c>
      <c r="G383" s="22" t="n">
        <f aca="false">ROUND(SUM(I383:P383),3)</f>
        <v>71.506</v>
      </c>
      <c r="H383" s="5" t="str">
        <f aca="false">IF(G383&gt;=評分方法!$C$16,"優先評估",IF(G383&gt;=評分方法!$C$17,"列入候選",IF(G383&gt;=評分方法!$C$18,"特定情境","不建議")))</f>
        <v>列入候選</v>
      </c>
      <c r="I383" s="15" t="n">
        <f aca="false">AE383*評分方法!$C$5</f>
        <v>30</v>
      </c>
      <c r="J383" s="15" t="n">
        <f aca="false">AF383*評分方法!$C$6</f>
        <v>7</v>
      </c>
      <c r="K383" s="15" t="n">
        <f aca="false">AG383*評分方法!$C$7</f>
        <v>4.95</v>
      </c>
      <c r="L383" s="15" t="n">
        <f aca="false">AH383*評分方法!$C$8</f>
        <v>15</v>
      </c>
      <c r="M383" s="15" t="n">
        <f aca="false">AI383*評分方法!$C$9</f>
        <v>10</v>
      </c>
      <c r="N383" s="15" t="n">
        <f aca="false">AJ383*評分方法!$C$10</f>
        <v>2.056</v>
      </c>
      <c r="O383" s="15" t="n">
        <f aca="false">AK383*評分方法!$C$11</f>
        <v>2.5</v>
      </c>
      <c r="P383" s="15" t="n">
        <f aca="false">AL383*評分方法!$C$12</f>
        <v>0</v>
      </c>
      <c r="Q383" s="6" t="n">
        <v>214370</v>
      </c>
      <c r="R383" s="6" t="n">
        <v>434013185</v>
      </c>
      <c r="S383" s="11" t="s">
        <v>238</v>
      </c>
      <c r="T383" s="11" t="s">
        <v>278</v>
      </c>
      <c r="U383" s="5" t="s">
        <v>240</v>
      </c>
      <c r="V383" s="11" t="s">
        <v>261</v>
      </c>
      <c r="W383" s="5" t="s">
        <v>334</v>
      </c>
      <c r="X383" s="5" t="s">
        <v>242</v>
      </c>
      <c r="Y383" s="11" t="s">
        <v>595</v>
      </c>
      <c r="Z383" s="11" t="s">
        <v>270</v>
      </c>
      <c r="AA383" s="11" t="s">
        <v>149</v>
      </c>
      <c r="AB383" s="5" t="s">
        <v>245</v>
      </c>
      <c r="AC383" s="5"/>
      <c r="AD383" s="11" t="s">
        <v>1181</v>
      </c>
      <c r="AE383" s="23" t="n">
        <v>1</v>
      </c>
      <c r="AF383" s="23" t="n">
        <v>0.7</v>
      </c>
      <c r="AG383" s="23" t="n">
        <v>0.33</v>
      </c>
      <c r="AH383" s="23" t="n">
        <v>1</v>
      </c>
      <c r="AI383" s="23" t="n">
        <v>1</v>
      </c>
      <c r="AJ383" s="23" t="n">
        <v>0.2056</v>
      </c>
      <c r="AK383" s="23" t="n">
        <v>0.5</v>
      </c>
      <c r="AL383" s="23" t="n">
        <v>0</v>
      </c>
      <c r="AM383" s="16" t="n">
        <f aca="false">COUNTIFS($D$2:$D$2501,D383,$G$2:$G$2501,"&gt;"&amp;G383)+COUNTIFS($D$2:D383,D383,$G$2:G383,G383)</f>
        <v>2</v>
      </c>
      <c r="AN383" s="5" t="str">
        <f aca="false">D383&amp;"|"&amp;AM383</f>
        <v>深偽與生成內容偵測|2</v>
      </c>
    </row>
    <row r="384" customFormat="false" ht="17.15" hidden="false" customHeight="false" outlineLevel="0" collapsed="false">
      <c r="A384" s="16" t="n">
        <f aca="false">RANK(G384,$G$2:$G$2501)+COUNTIF($G$2:G384,G384)-1</f>
        <v>383</v>
      </c>
      <c r="B384" s="11" t="s">
        <v>1182</v>
      </c>
      <c r="C384" s="11" t="s">
        <v>282</v>
      </c>
      <c r="D384" s="5" t="s">
        <v>54</v>
      </c>
      <c r="E384" s="5" t="s">
        <v>55</v>
      </c>
      <c r="F384" s="5"/>
      <c r="G384" s="22" t="n">
        <f aca="false">ROUND(SUM(I384:P384),3)</f>
        <v>71.492</v>
      </c>
      <c r="H384" s="5" t="str">
        <f aca="false">IF(G384&gt;=評分方法!$C$16,"優先評估",IF(G384&gt;=評分方法!$C$17,"列入候選",IF(G384&gt;=評分方法!$C$18,"特定情境","不建議")))</f>
        <v>列入候選</v>
      </c>
      <c r="I384" s="15" t="n">
        <f aca="false">AE384*評分方法!$C$5</f>
        <v>27</v>
      </c>
      <c r="J384" s="15" t="n">
        <f aca="false">AF384*評分方法!$C$6</f>
        <v>0</v>
      </c>
      <c r="K384" s="15" t="n">
        <f aca="false">AG384*評分方法!$C$7</f>
        <v>15</v>
      </c>
      <c r="L384" s="15" t="n">
        <f aca="false">AH384*評分方法!$C$8</f>
        <v>15</v>
      </c>
      <c r="M384" s="15" t="n">
        <f aca="false">AI384*評分方法!$C$9</f>
        <v>10</v>
      </c>
      <c r="N384" s="15" t="n">
        <f aca="false">AJ384*評分方法!$C$10</f>
        <v>1.992</v>
      </c>
      <c r="O384" s="15" t="n">
        <f aca="false">AK384*評分方法!$C$11</f>
        <v>2.5</v>
      </c>
      <c r="P384" s="15" t="n">
        <f aca="false">AL384*評分方法!$C$12</f>
        <v>0</v>
      </c>
      <c r="Q384" s="6" t="n">
        <v>209573</v>
      </c>
      <c r="R384" s="6" t="n">
        <v>109938944</v>
      </c>
      <c r="S384" s="11" t="s">
        <v>238</v>
      </c>
      <c r="T384" s="11" t="s">
        <v>239</v>
      </c>
      <c r="U384" s="5" t="s">
        <v>240</v>
      </c>
      <c r="V384" s="11" t="s">
        <v>283</v>
      </c>
      <c r="W384" s="5" t="s">
        <v>205</v>
      </c>
      <c r="X384" s="5" t="s">
        <v>242</v>
      </c>
      <c r="Y384" s="5"/>
      <c r="Z384" s="5"/>
      <c r="AA384" s="11" t="s">
        <v>152</v>
      </c>
      <c r="AB384" s="5" t="s">
        <v>245</v>
      </c>
      <c r="AC384" s="5"/>
      <c r="AD384" s="11" t="s">
        <v>1183</v>
      </c>
      <c r="AE384" s="23" t="n">
        <v>0.9</v>
      </c>
      <c r="AF384" s="23" t="n">
        <v>0</v>
      </c>
      <c r="AG384" s="23" t="n">
        <v>1</v>
      </c>
      <c r="AH384" s="23" t="n">
        <v>1</v>
      </c>
      <c r="AI384" s="23" t="n">
        <v>1</v>
      </c>
      <c r="AJ384" s="23" t="n">
        <v>0.1992</v>
      </c>
      <c r="AK384" s="23" t="n">
        <v>0.5</v>
      </c>
      <c r="AL384" s="23" t="n">
        <v>0</v>
      </c>
      <c r="AM384" s="16" t="n">
        <f aca="false">COUNTIFS($D$2:$D$2501,D384,$G$2:$G$2501,"&gt;"&amp;G384)+COUNTIFS($D$2:D384,D384,$G$2:G384,G384)</f>
        <v>103</v>
      </c>
      <c r="AN384" s="5" t="str">
        <f aca="false">D384&amp;"|"&amp;AM384</f>
        <v>檢索與情資關聯|103</v>
      </c>
    </row>
    <row r="385" customFormat="false" ht="17.15" hidden="false" customHeight="false" outlineLevel="0" collapsed="false">
      <c r="A385" s="16" t="n">
        <f aca="false">RANK(G385,$G$2:$G$2501)+COUNTIF($G$2:G385,G385)-1</f>
        <v>384</v>
      </c>
      <c r="B385" s="11" t="s">
        <v>1184</v>
      </c>
      <c r="C385" s="11" t="s">
        <v>753</v>
      </c>
      <c r="D385" s="5" t="s">
        <v>56</v>
      </c>
      <c r="E385" s="5" t="s">
        <v>57</v>
      </c>
      <c r="F385" s="5"/>
      <c r="G385" s="22" t="n">
        <f aca="false">ROUND(SUM(I385:P385),3)</f>
        <v>71.484</v>
      </c>
      <c r="H385" s="5" t="str">
        <f aca="false">IF(G385&gt;=評分方法!$C$16,"優先評估",IF(G385&gt;=評分方法!$C$17,"列入候選",IF(G385&gt;=評分方法!$C$18,"特定情境","不建議")))</f>
        <v>列入候選</v>
      </c>
      <c r="I385" s="15" t="n">
        <f aca="false">AE385*評分方法!$C$5</f>
        <v>24</v>
      </c>
      <c r="J385" s="15" t="n">
        <f aca="false">AF385*評分方法!$C$6</f>
        <v>0</v>
      </c>
      <c r="K385" s="15" t="n">
        <f aca="false">AG385*評分方法!$C$7</f>
        <v>10.05</v>
      </c>
      <c r="L385" s="15" t="n">
        <f aca="false">AH385*評分方法!$C$8</f>
        <v>13.05</v>
      </c>
      <c r="M385" s="15" t="n">
        <f aca="false">AI385*評分方法!$C$9</f>
        <v>10</v>
      </c>
      <c r="N385" s="15" t="n">
        <f aca="false">AJ385*評分方法!$C$10</f>
        <v>6.384</v>
      </c>
      <c r="O385" s="15" t="n">
        <f aca="false">AK385*評分方法!$C$11</f>
        <v>5</v>
      </c>
      <c r="P385" s="15" t="n">
        <f aca="false">AL385*評分方法!$C$12</f>
        <v>3</v>
      </c>
      <c r="Q385" s="6" t="n">
        <v>715541</v>
      </c>
      <c r="R385" s="6" t="n">
        <v>4628569635</v>
      </c>
      <c r="S385" s="11" t="s">
        <v>254</v>
      </c>
      <c r="T385" s="11" t="s">
        <v>239</v>
      </c>
      <c r="U385" s="5" t="s">
        <v>240</v>
      </c>
      <c r="V385" s="11" t="s">
        <v>333</v>
      </c>
      <c r="W385" s="5" t="s">
        <v>207</v>
      </c>
      <c r="X385" s="5" t="s">
        <v>371</v>
      </c>
      <c r="Y385" s="11" t="s">
        <v>1185</v>
      </c>
      <c r="Z385" s="11" t="s">
        <v>244</v>
      </c>
      <c r="AA385" s="11" t="s">
        <v>157</v>
      </c>
      <c r="AB385" s="5" t="s">
        <v>245</v>
      </c>
      <c r="AC385" s="5" t="s">
        <v>246</v>
      </c>
      <c r="AD385" s="11" t="s">
        <v>1186</v>
      </c>
      <c r="AE385" s="23" t="n">
        <v>0.8</v>
      </c>
      <c r="AF385" s="23" t="n">
        <v>0</v>
      </c>
      <c r="AG385" s="23" t="n">
        <v>0.67</v>
      </c>
      <c r="AH385" s="23" t="n">
        <v>0.87</v>
      </c>
      <c r="AI385" s="23" t="n">
        <v>1</v>
      </c>
      <c r="AJ385" s="23" t="n">
        <v>0.6384</v>
      </c>
      <c r="AK385" s="23" t="n">
        <v>1</v>
      </c>
      <c r="AL385" s="23" t="n">
        <v>0.6</v>
      </c>
      <c r="AM385" s="16" t="n">
        <f aca="false">COUNTIFS($D$2:$D$2501,D385,$G$2:$G$2501,"&gt;"&amp;G385)+COUNTIFS($D$2:D385,D385,$G$2:G385,G385)</f>
        <v>194</v>
      </c>
      <c r="AN385" s="5" t="str">
        <f aca="false">D385&amp;"|"&amp;AM385</f>
        <v>分析與報告生成|194</v>
      </c>
    </row>
    <row r="386" customFormat="false" ht="17.15" hidden="false" customHeight="false" outlineLevel="0" collapsed="false">
      <c r="A386" s="16" t="n">
        <f aca="false">RANK(G386,$G$2:$G$2501)+COUNTIF($G$2:G386,G386)-1</f>
        <v>385</v>
      </c>
      <c r="B386" s="11" t="s">
        <v>1187</v>
      </c>
      <c r="C386" s="11" t="s">
        <v>753</v>
      </c>
      <c r="D386" s="5" t="s">
        <v>56</v>
      </c>
      <c r="E386" s="5" t="s">
        <v>57</v>
      </c>
      <c r="F386" s="5"/>
      <c r="G386" s="22" t="n">
        <f aca="false">ROUND(SUM(I386:P386),3)</f>
        <v>71.442</v>
      </c>
      <c r="H386" s="5" t="str">
        <f aca="false">IF(G386&gt;=評分方法!$C$16,"優先評估",IF(G386&gt;=評分方法!$C$17,"列入候選",IF(G386&gt;=評分方法!$C$18,"特定情境","不建議")))</f>
        <v>列入候選</v>
      </c>
      <c r="I386" s="15" t="n">
        <f aca="false">AE386*評分方法!$C$5</f>
        <v>25.5</v>
      </c>
      <c r="J386" s="15" t="n">
        <f aca="false">AF386*評分方法!$C$6</f>
        <v>0</v>
      </c>
      <c r="K386" s="15" t="n">
        <f aca="false">AG386*評分方法!$C$7</f>
        <v>10.05</v>
      </c>
      <c r="L386" s="15" t="n">
        <f aca="false">AH386*評分方法!$C$8</f>
        <v>9</v>
      </c>
      <c r="M386" s="15" t="n">
        <f aca="false">AI386*評分方法!$C$9</f>
        <v>10</v>
      </c>
      <c r="N386" s="15" t="n">
        <f aca="false">AJ386*評分方法!$C$10</f>
        <v>8.892</v>
      </c>
      <c r="O386" s="15" t="n">
        <f aca="false">AK386*評分方法!$C$11</f>
        <v>5</v>
      </c>
      <c r="P386" s="15" t="n">
        <f aca="false">AL386*評分方法!$C$12</f>
        <v>3</v>
      </c>
      <c r="Q386" s="6" t="n">
        <v>3397014</v>
      </c>
      <c r="R386" s="6" t="n">
        <v>30697345596</v>
      </c>
      <c r="S386" s="11" t="s">
        <v>389</v>
      </c>
      <c r="T386" s="11" t="s">
        <v>239</v>
      </c>
      <c r="U386" s="5" t="s">
        <v>240</v>
      </c>
      <c r="V386" s="11" t="s">
        <v>333</v>
      </c>
      <c r="W386" s="5" t="s">
        <v>207</v>
      </c>
      <c r="X386" s="5" t="s">
        <v>371</v>
      </c>
      <c r="Y386" s="11" t="s">
        <v>583</v>
      </c>
      <c r="Z386" s="11" t="s">
        <v>244</v>
      </c>
      <c r="AA386" s="11" t="s">
        <v>156</v>
      </c>
      <c r="AB386" s="5" t="s">
        <v>245</v>
      </c>
      <c r="AC386" s="5" t="s">
        <v>246</v>
      </c>
      <c r="AD386" s="11" t="s">
        <v>1188</v>
      </c>
      <c r="AE386" s="23" t="n">
        <v>0.85</v>
      </c>
      <c r="AF386" s="23" t="n">
        <v>0</v>
      </c>
      <c r="AG386" s="23" t="n">
        <v>0.67</v>
      </c>
      <c r="AH386" s="23" t="n">
        <v>0.6</v>
      </c>
      <c r="AI386" s="23" t="n">
        <v>1</v>
      </c>
      <c r="AJ386" s="23" t="n">
        <v>0.8892</v>
      </c>
      <c r="AK386" s="23" t="n">
        <v>1</v>
      </c>
      <c r="AL386" s="23" t="n">
        <v>0.6</v>
      </c>
      <c r="AM386" s="16" t="n">
        <f aca="false">COUNTIFS($D$2:$D$2501,D386,$G$2:$G$2501,"&gt;"&amp;G386)+COUNTIFS($D$2:D386,D386,$G$2:G386,G386)</f>
        <v>195</v>
      </c>
      <c r="AN386" s="5" t="str">
        <f aca="false">D386&amp;"|"&amp;AM386</f>
        <v>分析與報告生成|195</v>
      </c>
    </row>
    <row r="387" customFormat="false" ht="17.15" hidden="false" customHeight="false" outlineLevel="0" collapsed="false">
      <c r="A387" s="16" t="n">
        <f aca="false">RANK(G387,$G$2:$G$2501)+COUNTIF($G$2:G387,G387)-1</f>
        <v>386</v>
      </c>
      <c r="B387" s="11" t="s">
        <v>1189</v>
      </c>
      <c r="C387" s="11" t="s">
        <v>891</v>
      </c>
      <c r="D387" s="5" t="s">
        <v>56</v>
      </c>
      <c r="E387" s="5" t="s">
        <v>57</v>
      </c>
      <c r="F387" s="5"/>
      <c r="G387" s="22" t="n">
        <f aca="false">ROUND(SUM(I387:P387),3)</f>
        <v>71.438</v>
      </c>
      <c r="H387" s="5" t="str">
        <f aca="false">IF(G387&gt;=評分方法!$C$16,"優先評估",IF(G387&gt;=評分方法!$C$17,"列入候選",IF(G387&gt;=評分方法!$C$18,"特定情境","不建議")))</f>
        <v>列入候選</v>
      </c>
      <c r="I387" s="15" t="n">
        <f aca="false">AE387*評分方法!$C$5</f>
        <v>25.5</v>
      </c>
      <c r="J387" s="15" t="n">
        <f aca="false">AF387*評分方法!$C$6</f>
        <v>0</v>
      </c>
      <c r="K387" s="15" t="n">
        <f aca="false">AG387*評分方法!$C$7</f>
        <v>10.05</v>
      </c>
      <c r="L387" s="15" t="n">
        <f aca="false">AH387*評分方法!$C$8</f>
        <v>9</v>
      </c>
      <c r="M387" s="15" t="n">
        <f aca="false">AI387*評分方法!$C$9</f>
        <v>10</v>
      </c>
      <c r="N387" s="15" t="n">
        <f aca="false">AJ387*評分方法!$C$10</f>
        <v>8.888</v>
      </c>
      <c r="O387" s="15" t="n">
        <f aca="false">AK387*評分方法!$C$11</f>
        <v>5</v>
      </c>
      <c r="P387" s="15" t="n">
        <f aca="false">AL387*評分方法!$C$12</f>
        <v>3</v>
      </c>
      <c r="Q387" s="6" t="n">
        <v>3391118</v>
      </c>
      <c r="R387" s="6" t="n">
        <v>25805936206</v>
      </c>
      <c r="S387" s="11" t="s">
        <v>389</v>
      </c>
      <c r="T387" s="11" t="s">
        <v>239</v>
      </c>
      <c r="U387" s="5" t="s">
        <v>240</v>
      </c>
      <c r="V387" s="11" t="s">
        <v>261</v>
      </c>
      <c r="W387" s="5" t="s">
        <v>207</v>
      </c>
      <c r="X387" s="5" t="s">
        <v>371</v>
      </c>
      <c r="Y387" s="5"/>
      <c r="Z387" s="5"/>
      <c r="AA387" s="11" t="s">
        <v>156</v>
      </c>
      <c r="AB387" s="5" t="s">
        <v>245</v>
      </c>
      <c r="AC387" s="5"/>
      <c r="AD387" s="11" t="s">
        <v>1190</v>
      </c>
      <c r="AE387" s="23" t="n">
        <v>0.85</v>
      </c>
      <c r="AF387" s="23" t="n">
        <v>0</v>
      </c>
      <c r="AG387" s="23" t="n">
        <v>0.67</v>
      </c>
      <c r="AH387" s="23" t="n">
        <v>0.6</v>
      </c>
      <c r="AI387" s="23" t="n">
        <v>1</v>
      </c>
      <c r="AJ387" s="23" t="n">
        <v>0.8888</v>
      </c>
      <c r="AK387" s="23" t="n">
        <v>1</v>
      </c>
      <c r="AL387" s="23" t="n">
        <v>0.6</v>
      </c>
      <c r="AM387" s="16" t="n">
        <f aca="false">COUNTIFS($D$2:$D$2501,D387,$G$2:$G$2501,"&gt;"&amp;G387)+COUNTIFS($D$2:D387,D387,$G$2:G387,G387)</f>
        <v>196</v>
      </c>
      <c r="AN387" s="5" t="str">
        <f aca="false">D387&amp;"|"&amp;AM387</f>
        <v>分析與報告生成|196</v>
      </c>
    </row>
    <row r="388" customFormat="false" ht="17.15" hidden="false" customHeight="false" outlineLevel="0" collapsed="false">
      <c r="A388" s="16" t="n">
        <f aca="false">RANK(G388,$G$2:$G$2501)+COUNTIF($G$2:G388,G388)-1</f>
        <v>387</v>
      </c>
      <c r="B388" s="11" t="s">
        <v>1191</v>
      </c>
      <c r="C388" s="11" t="s">
        <v>299</v>
      </c>
      <c r="D388" s="5" t="s">
        <v>68</v>
      </c>
      <c r="E388" s="11" t="s">
        <v>69</v>
      </c>
      <c r="F388" s="5"/>
      <c r="G388" s="22" t="n">
        <f aca="false">ROUND(SUM(I388:P388),3)</f>
        <v>71.436</v>
      </c>
      <c r="H388" s="5" t="str">
        <f aca="false">IF(G388&gt;=評分方法!$C$16,"優先評估",IF(G388&gt;=評分方法!$C$17,"列入候選",IF(G388&gt;=評分方法!$C$18,"特定情境","不建議")))</f>
        <v>列入候選</v>
      </c>
      <c r="I388" s="15" t="n">
        <f aca="false">AE388*評分方法!$C$5</f>
        <v>21</v>
      </c>
      <c r="J388" s="15" t="n">
        <f aca="false">AF388*評分方法!$C$6</f>
        <v>0</v>
      </c>
      <c r="K388" s="15" t="n">
        <f aca="false">AG388*評分方法!$C$7</f>
        <v>15</v>
      </c>
      <c r="L388" s="15" t="n">
        <f aca="false">AH388*評分方法!$C$8</f>
        <v>15</v>
      </c>
      <c r="M388" s="15" t="n">
        <f aca="false">AI388*評分方法!$C$9</f>
        <v>10</v>
      </c>
      <c r="N388" s="15" t="n">
        <f aca="false">AJ388*評分方法!$C$10</f>
        <v>3.936</v>
      </c>
      <c r="O388" s="15" t="n">
        <f aca="false">AK388*評分方法!$C$11</f>
        <v>5</v>
      </c>
      <c r="P388" s="15" t="n">
        <f aca="false">AL388*評分方法!$C$12</f>
        <v>1.5</v>
      </c>
      <c r="Q388" s="6" t="n">
        <v>408241</v>
      </c>
      <c r="R388" s="6" t="n">
        <v>384600208</v>
      </c>
      <c r="S388" s="11" t="s">
        <v>238</v>
      </c>
      <c r="T388" s="11" t="s">
        <v>1192</v>
      </c>
      <c r="U388" s="5" t="s">
        <v>240</v>
      </c>
      <c r="V388" s="11" t="s">
        <v>261</v>
      </c>
      <c r="W388" s="5" t="s">
        <v>205</v>
      </c>
      <c r="X388" s="5" t="s">
        <v>255</v>
      </c>
      <c r="Y388" s="5"/>
      <c r="Z388" s="5"/>
      <c r="AA388" s="11" t="s">
        <v>158</v>
      </c>
      <c r="AB388" s="5" t="s">
        <v>245</v>
      </c>
      <c r="AC388" s="5"/>
      <c r="AD388" s="11" t="s">
        <v>1193</v>
      </c>
      <c r="AE388" s="23" t="n">
        <v>0.7</v>
      </c>
      <c r="AF388" s="23" t="n">
        <v>0</v>
      </c>
      <c r="AG388" s="23" t="n">
        <v>1</v>
      </c>
      <c r="AH388" s="23" t="n">
        <v>1</v>
      </c>
      <c r="AI388" s="23" t="n">
        <v>1</v>
      </c>
      <c r="AJ388" s="23" t="n">
        <v>0.3936</v>
      </c>
      <c r="AK388" s="23" t="n">
        <v>1</v>
      </c>
      <c r="AL388" s="23" t="n">
        <v>0.3</v>
      </c>
      <c r="AM388" s="16" t="n">
        <f aca="false">COUNTIFS($D$2:$D$2501,D388,$G$2:$G$2501,"&gt;"&amp;G388)+COUNTIFS($D$2:D388,D388,$G$2:G388,G388)</f>
        <v>24</v>
      </c>
      <c r="AN388" s="5" t="str">
        <f aca="false">D388&amp;"|"&amp;AM388</f>
        <v>時序異常偵測|24</v>
      </c>
    </row>
    <row r="389" customFormat="false" ht="17.15" hidden="false" customHeight="false" outlineLevel="0" collapsed="false">
      <c r="A389" s="16" t="n">
        <f aca="false">RANK(G389,$G$2:$G$2501)+COUNTIF($G$2:G389,G389)-1</f>
        <v>388</v>
      </c>
      <c r="B389" s="11" t="s">
        <v>1194</v>
      </c>
      <c r="C389" s="11" t="s">
        <v>1195</v>
      </c>
      <c r="D389" s="5" t="s">
        <v>66</v>
      </c>
      <c r="E389" s="5" t="s">
        <v>67</v>
      </c>
      <c r="F389" s="5"/>
      <c r="G389" s="22" t="n">
        <f aca="false">ROUND(SUM(I389:P389),3)</f>
        <v>71.434</v>
      </c>
      <c r="H389" s="5" t="str">
        <f aca="false">IF(G389&gt;=評分方法!$C$16,"優先評估",IF(G389&gt;=評分方法!$C$17,"列入候選",IF(G389&gt;=評分方法!$C$18,"特定情境","不建議")))</f>
        <v>列入候選</v>
      </c>
      <c r="I389" s="15" t="n">
        <f aca="false">AE389*評分方法!$C$5</f>
        <v>30</v>
      </c>
      <c r="J389" s="15" t="n">
        <f aca="false">AF389*評分方法!$C$6</f>
        <v>0</v>
      </c>
      <c r="K389" s="15" t="n">
        <f aca="false">AG389*評分方法!$C$7</f>
        <v>4.95</v>
      </c>
      <c r="L389" s="15" t="n">
        <f aca="false">AH389*評分方法!$C$8</f>
        <v>15</v>
      </c>
      <c r="M389" s="15" t="n">
        <f aca="false">AI389*評分方法!$C$9</f>
        <v>10</v>
      </c>
      <c r="N389" s="15" t="n">
        <f aca="false">AJ389*評分方法!$C$10</f>
        <v>3.984</v>
      </c>
      <c r="O389" s="15" t="n">
        <f aca="false">AK389*評分方法!$C$11</f>
        <v>2.5</v>
      </c>
      <c r="P389" s="15" t="n">
        <f aca="false">AL389*評分方法!$C$12</f>
        <v>5</v>
      </c>
      <c r="Q389" s="6" t="n">
        <v>413983</v>
      </c>
      <c r="R389" s="6" t="n">
        <v>184424963</v>
      </c>
      <c r="S389" s="11" t="s">
        <v>238</v>
      </c>
      <c r="T389" s="11" t="s">
        <v>278</v>
      </c>
      <c r="U389" s="5" t="s">
        <v>240</v>
      </c>
      <c r="V389" s="11" t="s">
        <v>324</v>
      </c>
      <c r="W389" s="5" t="s">
        <v>334</v>
      </c>
      <c r="X389" s="5" t="s">
        <v>284</v>
      </c>
      <c r="Y389" s="5"/>
      <c r="Z389" s="5"/>
      <c r="AA389" s="11" t="s">
        <v>149</v>
      </c>
      <c r="AB389" s="5" t="s">
        <v>245</v>
      </c>
      <c r="AC389" s="5"/>
      <c r="AD389" s="11" t="s">
        <v>1196</v>
      </c>
      <c r="AE389" s="23" t="n">
        <v>1</v>
      </c>
      <c r="AF389" s="23" t="n">
        <v>0</v>
      </c>
      <c r="AG389" s="23" t="n">
        <v>0.33</v>
      </c>
      <c r="AH389" s="23" t="n">
        <v>1</v>
      </c>
      <c r="AI389" s="23" t="n">
        <v>1</v>
      </c>
      <c r="AJ389" s="23" t="n">
        <v>0.3984</v>
      </c>
      <c r="AK389" s="23" t="n">
        <v>0.5</v>
      </c>
      <c r="AL389" s="23" t="n">
        <v>1</v>
      </c>
      <c r="AM389" s="16" t="n">
        <f aca="false">COUNTIFS($D$2:$D$2501,D389,$G$2:$G$2501,"&gt;"&amp;G389)+COUNTIFS($D$2:D389,D389,$G$2:G389,G389)</f>
        <v>12</v>
      </c>
      <c r="AN389" s="5" t="str">
        <f aca="false">D389&amp;"|"&amp;AM389</f>
        <v>分類與偵測|12</v>
      </c>
    </row>
    <row r="390" customFormat="false" ht="17.15" hidden="false" customHeight="false" outlineLevel="0" collapsed="false">
      <c r="A390" s="16" t="n">
        <f aca="false">RANK(G390,$G$2:$G$2501)+COUNTIF($G$2:G390,G390)-1</f>
        <v>389</v>
      </c>
      <c r="B390" s="11" t="s">
        <v>1197</v>
      </c>
      <c r="C390" s="11" t="s">
        <v>277</v>
      </c>
      <c r="D390" s="5" t="s">
        <v>56</v>
      </c>
      <c r="E390" s="5" t="s">
        <v>57</v>
      </c>
      <c r="F390" s="5"/>
      <c r="G390" s="22" t="n">
        <f aca="false">ROUND(SUM(I390:P390),3)</f>
        <v>71.414</v>
      </c>
      <c r="H390" s="5" t="str">
        <f aca="false">IF(G390&gt;=評分方法!$C$16,"優先評估",IF(G390&gt;=評分方法!$C$17,"列入候選",IF(G390&gt;=評分方法!$C$18,"特定情境","不建議")))</f>
        <v>列入候選</v>
      </c>
      <c r="I390" s="15" t="n">
        <f aca="false">AE390*評分方法!$C$5</f>
        <v>25.5</v>
      </c>
      <c r="J390" s="15" t="n">
        <f aca="false">AF390*評分方法!$C$6</f>
        <v>0</v>
      </c>
      <c r="K390" s="15" t="n">
        <f aca="false">AG390*評分方法!$C$7</f>
        <v>15</v>
      </c>
      <c r="L390" s="15" t="n">
        <f aca="false">AH390*評分方法!$C$8</f>
        <v>13.05</v>
      </c>
      <c r="M390" s="15" t="n">
        <f aca="false">AI390*評分方法!$C$9</f>
        <v>10</v>
      </c>
      <c r="N390" s="15" t="n">
        <f aca="false">AJ390*評分方法!$C$10</f>
        <v>6.864</v>
      </c>
      <c r="O390" s="15" t="n">
        <f aca="false">AK390*評分方法!$C$11</f>
        <v>1</v>
      </c>
      <c r="P390" s="15" t="n">
        <f aca="false">AL390*評分方法!$C$12</f>
        <v>0</v>
      </c>
      <c r="Q390" s="6" t="n">
        <v>858283</v>
      </c>
      <c r="R390" s="6" t="n">
        <v>1607942848</v>
      </c>
      <c r="S390" s="11" t="s">
        <v>254</v>
      </c>
      <c r="T390" s="11" t="s">
        <v>278</v>
      </c>
      <c r="U390" s="5" t="s">
        <v>240</v>
      </c>
      <c r="V390" s="11" t="s">
        <v>279</v>
      </c>
      <c r="W390" s="5" t="s">
        <v>205</v>
      </c>
      <c r="X390" s="5" t="s">
        <v>242</v>
      </c>
      <c r="Y390" s="5"/>
      <c r="Z390" s="5"/>
      <c r="AA390" s="11" t="s">
        <v>155</v>
      </c>
      <c r="AB390" s="5" t="s">
        <v>245</v>
      </c>
      <c r="AC390" s="5"/>
      <c r="AD390" s="11" t="s">
        <v>1198</v>
      </c>
      <c r="AE390" s="23" t="n">
        <v>0.85</v>
      </c>
      <c r="AF390" s="23" t="n">
        <v>0</v>
      </c>
      <c r="AG390" s="23" t="n">
        <v>1</v>
      </c>
      <c r="AH390" s="23" t="n">
        <v>0.87</v>
      </c>
      <c r="AI390" s="23" t="n">
        <v>1</v>
      </c>
      <c r="AJ390" s="23" t="n">
        <v>0.6864</v>
      </c>
      <c r="AK390" s="23" t="n">
        <v>0.2</v>
      </c>
      <c r="AL390" s="23" t="n">
        <v>0</v>
      </c>
      <c r="AM390" s="16" t="n">
        <f aca="false">COUNTIFS($D$2:$D$2501,D390,$G$2:$G$2501,"&gt;"&amp;G390)+COUNTIFS($D$2:D390,D390,$G$2:G390,G390)</f>
        <v>197</v>
      </c>
      <c r="AN390" s="5" t="str">
        <f aca="false">D390&amp;"|"&amp;AM390</f>
        <v>分析與報告生成|197</v>
      </c>
    </row>
    <row r="391" customFormat="false" ht="17.15" hidden="false" customHeight="false" outlineLevel="0" collapsed="false">
      <c r="A391" s="16" t="n">
        <f aca="false">RANK(G391,$G$2:$G$2501)+COUNTIF($G$2:G391,G391)-1</f>
        <v>390</v>
      </c>
      <c r="B391" s="11" t="s">
        <v>1199</v>
      </c>
      <c r="C391" s="11" t="s">
        <v>302</v>
      </c>
      <c r="D391" s="5" t="s">
        <v>66</v>
      </c>
      <c r="E391" s="5" t="s">
        <v>67</v>
      </c>
      <c r="F391" s="5"/>
      <c r="G391" s="22" t="n">
        <f aca="false">ROUND(SUM(I391:P391),3)</f>
        <v>71.408</v>
      </c>
      <c r="H391" s="5" t="str">
        <f aca="false">IF(G391&gt;=評分方法!$C$16,"優先評估",IF(G391&gt;=評分方法!$C$17,"列入候選",IF(G391&gt;=評分方法!$C$18,"特定情境","不建議")))</f>
        <v>列入候選</v>
      </c>
      <c r="I391" s="15" t="n">
        <f aca="false">AE391*評分方法!$C$5</f>
        <v>27</v>
      </c>
      <c r="J391" s="15" t="n">
        <f aca="false">AF391*評分方法!$C$6</f>
        <v>0</v>
      </c>
      <c r="K391" s="15" t="n">
        <f aca="false">AG391*評分方法!$C$7</f>
        <v>15</v>
      </c>
      <c r="L391" s="15" t="n">
        <f aca="false">AH391*評分方法!$C$8</f>
        <v>15</v>
      </c>
      <c r="M391" s="15" t="n">
        <f aca="false">AI391*評分方法!$C$9</f>
        <v>10</v>
      </c>
      <c r="N391" s="15" t="n">
        <f aca="false">AJ391*評分方法!$C$10</f>
        <v>1.908</v>
      </c>
      <c r="O391" s="15" t="n">
        <f aca="false">AK391*評分方法!$C$11</f>
        <v>2.5</v>
      </c>
      <c r="P391" s="15" t="n">
        <f aca="false">AL391*評分方法!$C$12</f>
        <v>0</v>
      </c>
      <c r="Q391" s="6" t="n">
        <v>202595</v>
      </c>
      <c r="R391" s="6" t="n">
        <v>82121221</v>
      </c>
      <c r="S391" s="11" t="s">
        <v>238</v>
      </c>
      <c r="T391" s="11" t="s">
        <v>239</v>
      </c>
      <c r="U391" s="5" t="s">
        <v>240</v>
      </c>
      <c r="V391" s="11" t="s">
        <v>356</v>
      </c>
      <c r="W391" s="5" t="s">
        <v>205</v>
      </c>
      <c r="X391" s="5" t="s">
        <v>242</v>
      </c>
      <c r="Y391" s="11" t="s">
        <v>744</v>
      </c>
      <c r="Z391" s="11" t="s">
        <v>244</v>
      </c>
      <c r="AA391" s="11" t="s">
        <v>151</v>
      </c>
      <c r="AB391" s="5" t="s">
        <v>245</v>
      </c>
      <c r="AC391" s="5" t="s">
        <v>246</v>
      </c>
      <c r="AD391" s="11" t="s">
        <v>1200</v>
      </c>
      <c r="AE391" s="23" t="n">
        <v>0.9</v>
      </c>
      <c r="AF391" s="23" t="n">
        <v>0</v>
      </c>
      <c r="AG391" s="23" t="n">
        <v>1</v>
      </c>
      <c r="AH391" s="23" t="n">
        <v>1</v>
      </c>
      <c r="AI391" s="23" t="n">
        <v>1</v>
      </c>
      <c r="AJ391" s="23" t="n">
        <v>0.1908</v>
      </c>
      <c r="AK391" s="23" t="n">
        <v>0.5</v>
      </c>
      <c r="AL391" s="23" t="n">
        <v>0</v>
      </c>
      <c r="AM391" s="16" t="n">
        <f aca="false">COUNTIFS($D$2:$D$2501,D391,$G$2:$G$2501,"&gt;"&amp;G391)+COUNTIFS($D$2:D391,D391,$G$2:G391,G391)</f>
        <v>13</v>
      </c>
      <c r="AN391" s="5" t="str">
        <f aca="false">D391&amp;"|"&amp;AM391</f>
        <v>分類與偵測|13</v>
      </c>
    </row>
    <row r="392" customFormat="false" ht="17.15" hidden="false" customHeight="false" outlineLevel="0" collapsed="false">
      <c r="A392" s="16" t="n">
        <f aca="false">RANK(G392,$G$2:$G$2501)+COUNTIF($G$2:G392,G392)-1</f>
        <v>391</v>
      </c>
      <c r="B392" s="11" t="s">
        <v>1201</v>
      </c>
      <c r="C392" s="11" t="s">
        <v>1202</v>
      </c>
      <c r="D392" s="5" t="s">
        <v>54</v>
      </c>
      <c r="E392" s="5" t="s">
        <v>55</v>
      </c>
      <c r="F392" s="5"/>
      <c r="G392" s="22" t="n">
        <f aca="false">ROUND(SUM(I392:P392),3)</f>
        <v>71.378</v>
      </c>
      <c r="H392" s="5" t="str">
        <f aca="false">IF(G392&gt;=評分方法!$C$16,"優先評估",IF(G392&gt;=評分方法!$C$17,"列入候選",IF(G392&gt;=評分方法!$C$18,"特定情境","不建議")))</f>
        <v>列入候選</v>
      </c>
      <c r="I392" s="15" t="n">
        <f aca="false">AE392*評分方法!$C$5</f>
        <v>27</v>
      </c>
      <c r="J392" s="15" t="n">
        <f aca="false">AF392*評分方法!$C$6</f>
        <v>0</v>
      </c>
      <c r="K392" s="15" t="n">
        <f aca="false">AG392*評分方法!$C$7</f>
        <v>4.95</v>
      </c>
      <c r="L392" s="15" t="n">
        <f aca="false">AH392*評分方法!$C$8</f>
        <v>15</v>
      </c>
      <c r="M392" s="15" t="n">
        <f aca="false">AI392*評分方法!$C$9</f>
        <v>10</v>
      </c>
      <c r="N392" s="15" t="n">
        <f aca="false">AJ392*評分方法!$C$10</f>
        <v>8.928</v>
      </c>
      <c r="O392" s="15" t="n">
        <f aca="false">AK392*評分方法!$C$11</f>
        <v>4</v>
      </c>
      <c r="P392" s="15" t="n">
        <f aca="false">AL392*評分方法!$C$12</f>
        <v>1.5</v>
      </c>
      <c r="Q392" s="6" t="n">
        <v>3596153</v>
      </c>
      <c r="R392" s="6" t="n">
        <v>7559168</v>
      </c>
      <c r="S392" s="11" t="s">
        <v>238</v>
      </c>
      <c r="T392" s="11" t="s">
        <v>278</v>
      </c>
      <c r="U392" s="5" t="s">
        <v>240</v>
      </c>
      <c r="V392" s="11" t="s">
        <v>241</v>
      </c>
      <c r="W392" s="5" t="s">
        <v>334</v>
      </c>
      <c r="X392" s="5" t="s">
        <v>255</v>
      </c>
      <c r="Y392" s="5"/>
      <c r="Z392" s="5"/>
      <c r="AA392" s="11" t="s">
        <v>152</v>
      </c>
      <c r="AB392" s="5" t="s">
        <v>961</v>
      </c>
      <c r="AC392" s="5" t="s">
        <v>1203</v>
      </c>
      <c r="AD392" s="11" t="s">
        <v>1204</v>
      </c>
      <c r="AE392" s="23" t="n">
        <v>0.9</v>
      </c>
      <c r="AF392" s="23" t="n">
        <v>0</v>
      </c>
      <c r="AG392" s="23" t="n">
        <v>0.33</v>
      </c>
      <c r="AH392" s="23" t="n">
        <v>1</v>
      </c>
      <c r="AI392" s="23" t="n">
        <v>1</v>
      </c>
      <c r="AJ392" s="23" t="n">
        <v>0.8928</v>
      </c>
      <c r="AK392" s="23" t="n">
        <v>0.8</v>
      </c>
      <c r="AL392" s="23" t="n">
        <v>0.3</v>
      </c>
      <c r="AM392" s="16" t="n">
        <f aca="false">COUNTIFS($D$2:$D$2501,D392,$G$2:$G$2501,"&gt;"&amp;G392)+COUNTIFS($D$2:D392,D392,$G$2:G392,G392)</f>
        <v>104</v>
      </c>
      <c r="AN392" s="5" t="str">
        <f aca="false">D392&amp;"|"&amp;AM392</f>
        <v>檢索與情資關聯|104</v>
      </c>
    </row>
    <row r="393" customFormat="false" ht="17.15" hidden="false" customHeight="false" outlineLevel="0" collapsed="false">
      <c r="A393" s="16" t="n">
        <f aca="false">RANK(G393,$G$2:$G$2501)+COUNTIF($G$2:G393,G393)-1</f>
        <v>392</v>
      </c>
      <c r="B393" s="11" t="s">
        <v>1091</v>
      </c>
      <c r="C393" s="11" t="s">
        <v>368</v>
      </c>
      <c r="D393" s="5" t="s">
        <v>56</v>
      </c>
      <c r="E393" s="5" t="s">
        <v>57</v>
      </c>
      <c r="F393" s="5"/>
      <c r="G393" s="22" t="n">
        <f aca="false">ROUND(SUM(I393:P393),3)</f>
        <v>71.362</v>
      </c>
      <c r="H393" s="5" t="str">
        <f aca="false">IF(G393&gt;=評分方法!$C$16,"優先評估",IF(G393&gt;=評分方法!$C$17,"列入候選",IF(G393&gt;=評分方法!$C$18,"特定情境","不建議")))</f>
        <v>列入候選</v>
      </c>
      <c r="I393" s="15" t="n">
        <f aca="false">AE393*評分方法!$C$5</f>
        <v>25.5</v>
      </c>
      <c r="J393" s="15" t="n">
        <f aca="false">AF393*評分方法!$C$6</f>
        <v>0</v>
      </c>
      <c r="K393" s="15" t="n">
        <f aca="false">AG393*評分方法!$C$7</f>
        <v>15</v>
      </c>
      <c r="L393" s="15" t="n">
        <f aca="false">AH393*評分方法!$C$8</f>
        <v>13.05</v>
      </c>
      <c r="M393" s="15" t="n">
        <f aca="false">AI393*評分方法!$C$9</f>
        <v>6</v>
      </c>
      <c r="N393" s="15" t="n">
        <f aca="false">AJ393*評分方法!$C$10</f>
        <v>7.812</v>
      </c>
      <c r="O393" s="15" t="n">
        <f aca="false">AK393*評分方法!$C$11</f>
        <v>1</v>
      </c>
      <c r="P393" s="15" t="n">
        <f aca="false">AL393*評分方法!$C$12</f>
        <v>3</v>
      </c>
      <c r="Q393" s="6" t="n">
        <v>1393892</v>
      </c>
      <c r="R393" s="6" t="n">
        <v>2614341888</v>
      </c>
      <c r="S393" s="11" t="s">
        <v>254</v>
      </c>
      <c r="T393" s="11" t="s">
        <v>658</v>
      </c>
      <c r="U393" s="5" t="s">
        <v>260</v>
      </c>
      <c r="V393" s="11" t="s">
        <v>261</v>
      </c>
      <c r="W393" s="5" t="s">
        <v>205</v>
      </c>
      <c r="X393" s="5" t="s">
        <v>371</v>
      </c>
      <c r="Y393" s="5"/>
      <c r="Z393" s="5"/>
      <c r="AA393" s="11" t="s">
        <v>155</v>
      </c>
      <c r="AB393" s="5" t="s">
        <v>245</v>
      </c>
      <c r="AC393" s="5" t="s">
        <v>262</v>
      </c>
      <c r="AD393" s="11" t="s">
        <v>1205</v>
      </c>
      <c r="AE393" s="23" t="n">
        <v>0.85</v>
      </c>
      <c r="AF393" s="23" t="n">
        <v>0</v>
      </c>
      <c r="AG393" s="23" t="n">
        <v>1</v>
      </c>
      <c r="AH393" s="23" t="n">
        <v>0.87</v>
      </c>
      <c r="AI393" s="23" t="n">
        <v>0.6</v>
      </c>
      <c r="AJ393" s="23" t="n">
        <v>0.7812</v>
      </c>
      <c r="AK393" s="23" t="n">
        <v>0.2</v>
      </c>
      <c r="AL393" s="23" t="n">
        <v>0.6</v>
      </c>
      <c r="AM393" s="16" t="n">
        <f aca="false">COUNTIFS($D$2:$D$2501,D393,$G$2:$G$2501,"&gt;"&amp;G393)+COUNTIFS($D$2:D393,D393,$G$2:G393,G393)</f>
        <v>198</v>
      </c>
      <c r="AN393" s="5" t="str">
        <f aca="false">D393&amp;"|"&amp;AM393</f>
        <v>分析與報告生成|198</v>
      </c>
    </row>
    <row r="394" customFormat="false" ht="17.15" hidden="false" customHeight="false" outlineLevel="0" collapsed="false">
      <c r="A394" s="16" t="n">
        <f aca="false">RANK(G394,$G$2:$G$2501)+COUNTIF($G$2:G394,G394)-1</f>
        <v>393</v>
      </c>
      <c r="B394" s="11" t="s">
        <v>1206</v>
      </c>
      <c r="C394" s="11" t="s">
        <v>1207</v>
      </c>
      <c r="D394" s="5" t="s">
        <v>58</v>
      </c>
      <c r="E394" s="5" t="s">
        <v>59</v>
      </c>
      <c r="F394" s="5"/>
      <c r="G394" s="22" t="n">
        <f aca="false">ROUND(SUM(I394:P394),3)</f>
        <v>71.34</v>
      </c>
      <c r="H394" s="5" t="str">
        <f aca="false">IF(G394&gt;=評分方法!$C$16,"優先評估",IF(G394&gt;=評分方法!$C$17,"列入候選",IF(G394&gt;=評分方法!$C$18,"特定情境","不建議")))</f>
        <v>列入候選</v>
      </c>
      <c r="I394" s="15" t="n">
        <f aca="false">AE394*評分方法!$C$5</f>
        <v>28.5</v>
      </c>
      <c r="J394" s="15" t="n">
        <f aca="false">AF394*評分方法!$C$6</f>
        <v>0</v>
      </c>
      <c r="K394" s="15" t="n">
        <f aca="false">AG394*評分方法!$C$7</f>
        <v>15</v>
      </c>
      <c r="L394" s="15" t="n">
        <f aca="false">AH394*評分方法!$C$8</f>
        <v>15</v>
      </c>
      <c r="M394" s="15" t="n">
        <f aca="false">AI394*評分方法!$C$9</f>
        <v>2</v>
      </c>
      <c r="N394" s="15" t="n">
        <f aca="false">AJ394*評分方法!$C$10</f>
        <v>4.84</v>
      </c>
      <c r="O394" s="15" t="n">
        <f aca="false">AK394*評分方法!$C$11</f>
        <v>1</v>
      </c>
      <c r="P394" s="15" t="n">
        <f aca="false">AL394*評分方法!$C$12</f>
        <v>5</v>
      </c>
      <c r="Q394" s="6" t="n">
        <v>526853</v>
      </c>
      <c r="R394" s="6" t="n">
        <v>559898632</v>
      </c>
      <c r="S394" s="11" t="s">
        <v>238</v>
      </c>
      <c r="T394" s="5"/>
      <c r="U394" s="5" t="s">
        <v>375</v>
      </c>
      <c r="V394" s="11" t="s">
        <v>288</v>
      </c>
      <c r="W394" s="5" t="s">
        <v>205</v>
      </c>
      <c r="X394" s="5" t="s">
        <v>284</v>
      </c>
      <c r="Y394" s="5"/>
      <c r="Z394" s="5"/>
      <c r="AA394" s="11" t="s">
        <v>150</v>
      </c>
      <c r="AB394" s="5" t="s">
        <v>245</v>
      </c>
      <c r="AC394" s="5" t="s">
        <v>262</v>
      </c>
      <c r="AD394" s="11" t="s">
        <v>1208</v>
      </c>
      <c r="AE394" s="23" t="n">
        <v>0.95</v>
      </c>
      <c r="AF394" s="23" t="n">
        <v>0</v>
      </c>
      <c r="AG394" s="23" t="n">
        <v>1</v>
      </c>
      <c r="AH394" s="23" t="n">
        <v>1</v>
      </c>
      <c r="AI394" s="23" t="n">
        <v>0.2</v>
      </c>
      <c r="AJ394" s="23" t="n">
        <v>0.484</v>
      </c>
      <c r="AK394" s="23" t="n">
        <v>0.2</v>
      </c>
      <c r="AL394" s="23" t="n">
        <v>1</v>
      </c>
      <c r="AM394" s="16" t="n">
        <f aca="false">COUNTIFS($D$2:$D$2501,D394,$G$2:$G$2501,"&gt;"&amp;G394)+COUNTIFS($D$2:D394,D394,$G$2:G394,G394)</f>
        <v>17</v>
      </c>
      <c r="AN394" s="5" t="str">
        <f aca="false">D394&amp;"|"&amp;AM394</f>
        <v>實體擷取與去識別化|17</v>
      </c>
    </row>
    <row r="395" customFormat="false" ht="17.15" hidden="false" customHeight="false" outlineLevel="0" collapsed="false">
      <c r="A395" s="16" t="n">
        <f aca="false">RANK(G395,$G$2:$G$2501)+COUNTIF($G$2:G395,G395)-1</f>
        <v>394</v>
      </c>
      <c r="B395" s="11" t="s">
        <v>1209</v>
      </c>
      <c r="C395" s="11" t="s">
        <v>282</v>
      </c>
      <c r="D395" s="5" t="s">
        <v>54</v>
      </c>
      <c r="E395" s="5" t="s">
        <v>55</v>
      </c>
      <c r="F395" s="5"/>
      <c r="G395" s="22" t="n">
        <f aca="false">ROUND(SUM(I395:P395),3)</f>
        <v>71.34</v>
      </c>
      <c r="H395" s="5" t="str">
        <f aca="false">IF(G395&gt;=評分方法!$C$16,"優先評估",IF(G395&gt;=評分方法!$C$17,"列入候選",IF(G395&gt;=評分方法!$C$18,"特定情境","不建議")))</f>
        <v>列入候選</v>
      </c>
      <c r="I395" s="15" t="n">
        <f aca="false">AE395*評分方法!$C$5</f>
        <v>27</v>
      </c>
      <c r="J395" s="15" t="n">
        <f aca="false">AF395*評分方法!$C$6</f>
        <v>0</v>
      </c>
      <c r="K395" s="15" t="n">
        <f aca="false">AG395*評分方法!$C$7</f>
        <v>15</v>
      </c>
      <c r="L395" s="15" t="n">
        <f aca="false">AH395*評分方法!$C$8</f>
        <v>15</v>
      </c>
      <c r="M395" s="15" t="n">
        <f aca="false">AI395*評分方法!$C$9</f>
        <v>10</v>
      </c>
      <c r="N395" s="15" t="n">
        <f aca="false">AJ395*評分方法!$C$10</f>
        <v>1.84</v>
      </c>
      <c r="O395" s="15" t="n">
        <f aca="false">AK395*評分方法!$C$11</f>
        <v>2.5</v>
      </c>
      <c r="P395" s="15" t="n">
        <f aca="false">AL395*評分方法!$C$12</f>
        <v>0</v>
      </c>
      <c r="Q395" s="6" t="n">
        <v>198406</v>
      </c>
      <c r="R395" s="6" t="n">
        <v>66362880</v>
      </c>
      <c r="S395" s="11" t="s">
        <v>238</v>
      </c>
      <c r="T395" s="11" t="s">
        <v>239</v>
      </c>
      <c r="U395" s="5" t="s">
        <v>240</v>
      </c>
      <c r="V395" s="11" t="s">
        <v>283</v>
      </c>
      <c r="W395" s="5" t="s">
        <v>205</v>
      </c>
      <c r="X395" s="5" t="s">
        <v>242</v>
      </c>
      <c r="Y395" s="5"/>
      <c r="Z395" s="5"/>
      <c r="AA395" s="11" t="s">
        <v>152</v>
      </c>
      <c r="AB395" s="5" t="s">
        <v>245</v>
      </c>
      <c r="AC395" s="5"/>
      <c r="AD395" s="11" t="s">
        <v>1210</v>
      </c>
      <c r="AE395" s="23" t="n">
        <v>0.9</v>
      </c>
      <c r="AF395" s="23" t="n">
        <v>0</v>
      </c>
      <c r="AG395" s="23" t="n">
        <v>1</v>
      </c>
      <c r="AH395" s="23" t="n">
        <v>1</v>
      </c>
      <c r="AI395" s="23" t="n">
        <v>1</v>
      </c>
      <c r="AJ395" s="23" t="n">
        <v>0.184</v>
      </c>
      <c r="AK395" s="23" t="n">
        <v>0.5</v>
      </c>
      <c r="AL395" s="23" t="n">
        <v>0</v>
      </c>
      <c r="AM395" s="16" t="n">
        <f aca="false">COUNTIFS($D$2:$D$2501,D395,$G$2:$G$2501,"&gt;"&amp;G395)+COUNTIFS($D$2:D395,D395,$G$2:G395,G395)</f>
        <v>105</v>
      </c>
      <c r="AN395" s="5" t="str">
        <f aca="false">D395&amp;"|"&amp;AM395</f>
        <v>檢索與情資關聯|105</v>
      </c>
    </row>
    <row r="396" customFormat="false" ht="17.15" hidden="false" customHeight="false" outlineLevel="0" collapsed="false">
      <c r="A396" s="16" t="n">
        <f aca="false">RANK(G396,$G$2:$G$2501)+COUNTIF($G$2:G396,G396)-1</f>
        <v>395</v>
      </c>
      <c r="B396" s="11" t="s">
        <v>1211</v>
      </c>
      <c r="C396" s="11" t="s">
        <v>323</v>
      </c>
      <c r="D396" s="5" t="s">
        <v>56</v>
      </c>
      <c r="E396" s="5" t="s">
        <v>57</v>
      </c>
      <c r="F396" s="5"/>
      <c r="G396" s="22" t="n">
        <f aca="false">ROUND(SUM(I396:P396),3)</f>
        <v>71.326</v>
      </c>
      <c r="H396" s="5" t="str">
        <f aca="false">IF(G396&gt;=評分方法!$C$16,"優先評估",IF(G396&gt;=評分方法!$C$17,"列入候選",IF(G396&gt;=評分方法!$C$18,"特定情境","不建議")))</f>
        <v>列入候選</v>
      </c>
      <c r="I396" s="15" t="n">
        <f aca="false">AE396*評分方法!$C$5</f>
        <v>25.5</v>
      </c>
      <c r="J396" s="15" t="n">
        <f aca="false">AF396*評分方法!$C$6</f>
        <v>0</v>
      </c>
      <c r="K396" s="15" t="n">
        <f aca="false">AG396*評分方法!$C$7</f>
        <v>15</v>
      </c>
      <c r="L396" s="15" t="n">
        <f aca="false">AH396*評分方法!$C$8</f>
        <v>13.05</v>
      </c>
      <c r="M396" s="15" t="n">
        <f aca="false">AI396*評分方法!$C$9</f>
        <v>10</v>
      </c>
      <c r="N396" s="15" t="n">
        <f aca="false">AJ396*評分方法!$C$10</f>
        <v>6.776</v>
      </c>
      <c r="O396" s="15" t="n">
        <f aca="false">AK396*評分方法!$C$11</f>
        <v>1</v>
      </c>
      <c r="P396" s="15" t="n">
        <f aca="false">AL396*評分方法!$C$12</f>
        <v>0</v>
      </c>
      <c r="Q396" s="6" t="n">
        <v>834615</v>
      </c>
      <c r="R396" s="6" t="n">
        <v>6919161856</v>
      </c>
      <c r="S396" s="11" t="s">
        <v>254</v>
      </c>
      <c r="T396" s="11" t="s">
        <v>239</v>
      </c>
      <c r="U396" s="5" t="s">
        <v>240</v>
      </c>
      <c r="V396" s="11" t="s">
        <v>261</v>
      </c>
      <c r="W396" s="5" t="s">
        <v>205</v>
      </c>
      <c r="X396" s="5" t="s">
        <v>242</v>
      </c>
      <c r="Y396" s="5"/>
      <c r="Z396" s="5"/>
      <c r="AA396" s="11" t="s">
        <v>155</v>
      </c>
      <c r="AB396" s="5" t="s">
        <v>245</v>
      </c>
      <c r="AC396" s="5"/>
      <c r="AD396" s="11" t="s">
        <v>1212</v>
      </c>
      <c r="AE396" s="23" t="n">
        <v>0.85</v>
      </c>
      <c r="AF396" s="23" t="n">
        <v>0</v>
      </c>
      <c r="AG396" s="23" t="n">
        <v>1</v>
      </c>
      <c r="AH396" s="23" t="n">
        <v>0.87</v>
      </c>
      <c r="AI396" s="23" t="n">
        <v>1</v>
      </c>
      <c r="AJ396" s="23" t="n">
        <v>0.6776</v>
      </c>
      <c r="AK396" s="23" t="n">
        <v>0.2</v>
      </c>
      <c r="AL396" s="23" t="n">
        <v>0</v>
      </c>
      <c r="AM396" s="16" t="n">
        <f aca="false">COUNTIFS($D$2:$D$2501,D396,$G$2:$G$2501,"&gt;"&amp;G396)+COUNTIFS($D$2:D396,D396,$G$2:G396,G396)</f>
        <v>199</v>
      </c>
      <c r="AN396" s="5" t="str">
        <f aca="false">D396&amp;"|"&amp;AM396</f>
        <v>分析與報告生成|199</v>
      </c>
    </row>
    <row r="397" customFormat="false" ht="17.15" hidden="false" customHeight="false" outlineLevel="0" collapsed="false">
      <c r="A397" s="16" t="n">
        <f aca="false">RANK(G397,$G$2:$G$2501)+COUNTIF($G$2:G397,G397)-1</f>
        <v>396</v>
      </c>
      <c r="B397" s="11" t="s">
        <v>1213</v>
      </c>
      <c r="C397" s="11" t="s">
        <v>1214</v>
      </c>
      <c r="D397" s="5" t="s">
        <v>56</v>
      </c>
      <c r="E397" s="5" t="s">
        <v>57</v>
      </c>
      <c r="F397" s="5"/>
      <c r="G397" s="22" t="n">
        <f aca="false">ROUND(SUM(I397:P397),3)</f>
        <v>71.286</v>
      </c>
      <c r="H397" s="5" t="str">
        <f aca="false">IF(G397&gt;=評分方法!$C$16,"優先評估",IF(G397&gt;=評分方法!$C$17,"列入候選",IF(G397&gt;=評分方法!$C$18,"特定情境","不建議")))</f>
        <v>列入候選</v>
      </c>
      <c r="I397" s="15" t="n">
        <f aca="false">AE397*評分方法!$C$5</f>
        <v>24</v>
      </c>
      <c r="J397" s="15" t="n">
        <f aca="false">AF397*評分方法!$C$6</f>
        <v>0</v>
      </c>
      <c r="K397" s="15" t="n">
        <f aca="false">AG397*評分方法!$C$7</f>
        <v>15</v>
      </c>
      <c r="L397" s="15" t="n">
        <f aca="false">AH397*評分方法!$C$8</f>
        <v>7.05</v>
      </c>
      <c r="M397" s="15" t="n">
        <f aca="false">AI397*評分方法!$C$9</f>
        <v>10</v>
      </c>
      <c r="N397" s="15" t="n">
        <f aca="false">AJ397*評分方法!$C$10</f>
        <v>7.236</v>
      </c>
      <c r="O397" s="15" t="n">
        <f aca="false">AK397*評分方法!$C$11</f>
        <v>5</v>
      </c>
      <c r="P397" s="15" t="n">
        <f aca="false">AL397*評分方法!$C$12</f>
        <v>3</v>
      </c>
      <c r="Q397" s="6" t="n">
        <v>1010924</v>
      </c>
      <c r="R397" s="6"/>
      <c r="S397" s="5" t="s">
        <v>255</v>
      </c>
      <c r="T397" s="11" t="s">
        <v>239</v>
      </c>
      <c r="U397" s="5" t="s">
        <v>240</v>
      </c>
      <c r="V397" s="11" t="s">
        <v>261</v>
      </c>
      <c r="W397" s="5" t="s">
        <v>205</v>
      </c>
      <c r="X397" s="5" t="s">
        <v>371</v>
      </c>
      <c r="Y397" s="11" t="s">
        <v>755</v>
      </c>
      <c r="Z397" s="11" t="s">
        <v>270</v>
      </c>
      <c r="AA397" s="11" t="s">
        <v>157</v>
      </c>
      <c r="AB397" s="5" t="s">
        <v>496</v>
      </c>
      <c r="AC397" s="5" t="s">
        <v>497</v>
      </c>
      <c r="AD397" s="11" t="s">
        <v>1215</v>
      </c>
      <c r="AE397" s="23" t="n">
        <v>0.8</v>
      </c>
      <c r="AF397" s="23" t="n">
        <v>0</v>
      </c>
      <c r="AG397" s="23" t="n">
        <v>1</v>
      </c>
      <c r="AH397" s="23" t="n">
        <v>0.47</v>
      </c>
      <c r="AI397" s="23" t="n">
        <v>1</v>
      </c>
      <c r="AJ397" s="23" t="n">
        <v>0.7236</v>
      </c>
      <c r="AK397" s="23" t="n">
        <v>1</v>
      </c>
      <c r="AL397" s="23" t="n">
        <v>0.6</v>
      </c>
      <c r="AM397" s="16" t="n">
        <f aca="false">COUNTIFS($D$2:$D$2501,D397,$G$2:$G$2501,"&gt;"&amp;G397)+COUNTIFS($D$2:D397,D397,$G$2:G397,G397)</f>
        <v>200</v>
      </c>
      <c r="AN397" s="5" t="str">
        <f aca="false">D397&amp;"|"&amp;AM397</f>
        <v>分析與報告生成|200</v>
      </c>
    </row>
    <row r="398" customFormat="false" ht="17.15" hidden="false" customHeight="false" outlineLevel="0" collapsed="false">
      <c r="A398" s="16" t="n">
        <f aca="false">RANK(G398,$G$2:$G$2501)+COUNTIF($G$2:G398,G398)-1</f>
        <v>397</v>
      </c>
      <c r="B398" s="11" t="s">
        <v>1216</v>
      </c>
      <c r="C398" s="11" t="s">
        <v>349</v>
      </c>
      <c r="D398" s="11" t="s">
        <v>60</v>
      </c>
      <c r="E398" s="11" t="s">
        <v>61</v>
      </c>
      <c r="F398" s="11" t="s">
        <v>60</v>
      </c>
      <c r="G398" s="22" t="n">
        <f aca="false">ROUND(SUM(I398:P398),3)</f>
        <v>71.284</v>
      </c>
      <c r="H398" s="5" t="str">
        <f aca="false">IF(G398&gt;=評分方法!$C$16,"優先評估",IF(G398&gt;=評分方法!$C$17,"列入候選",IF(G398&gt;=評分方法!$C$18,"特定情境","不建議")))</f>
        <v>列入候選</v>
      </c>
      <c r="I398" s="15" t="n">
        <f aca="false">AE398*評分方法!$C$5</f>
        <v>15</v>
      </c>
      <c r="J398" s="15" t="n">
        <f aca="false">AF398*評分方法!$C$6</f>
        <v>10</v>
      </c>
      <c r="K398" s="15" t="n">
        <f aca="false">AG398*評分方法!$C$7</f>
        <v>15</v>
      </c>
      <c r="L398" s="15" t="n">
        <f aca="false">AH398*評分方法!$C$8</f>
        <v>15</v>
      </c>
      <c r="M398" s="15" t="n">
        <f aca="false">AI398*評分方法!$C$9</f>
        <v>10</v>
      </c>
      <c r="N398" s="15" t="n">
        <f aca="false">AJ398*評分方法!$C$10</f>
        <v>3.784</v>
      </c>
      <c r="O398" s="15" t="n">
        <f aca="false">AK398*評分方法!$C$11</f>
        <v>1</v>
      </c>
      <c r="P398" s="15" t="n">
        <f aca="false">AL398*評分方法!$C$12</f>
        <v>1.5</v>
      </c>
      <c r="Q398" s="6" t="n">
        <v>387421</v>
      </c>
      <c r="R398" s="6" t="n">
        <v>356412419</v>
      </c>
      <c r="S398" s="11" t="s">
        <v>238</v>
      </c>
      <c r="T398" s="11" t="s">
        <v>278</v>
      </c>
      <c r="U398" s="5" t="s">
        <v>240</v>
      </c>
      <c r="V398" s="11" t="s">
        <v>261</v>
      </c>
      <c r="W398" s="5" t="s">
        <v>205</v>
      </c>
      <c r="X398" s="5" t="s">
        <v>255</v>
      </c>
      <c r="Y398" s="5"/>
      <c r="Z398" s="5"/>
      <c r="AA398" s="11" t="s">
        <v>162</v>
      </c>
      <c r="AB398" s="5" t="s">
        <v>328</v>
      </c>
      <c r="AC398" s="5" t="s">
        <v>400</v>
      </c>
      <c r="AD398" s="11" t="s">
        <v>1217</v>
      </c>
      <c r="AE398" s="23" t="n">
        <v>0.5</v>
      </c>
      <c r="AF398" s="23" t="n">
        <v>1</v>
      </c>
      <c r="AG398" s="23" t="n">
        <v>1</v>
      </c>
      <c r="AH398" s="23" t="n">
        <v>1</v>
      </c>
      <c r="AI398" s="23" t="n">
        <v>1</v>
      </c>
      <c r="AJ398" s="23" t="n">
        <v>0.3784</v>
      </c>
      <c r="AK398" s="23" t="n">
        <v>0.2</v>
      </c>
      <c r="AL398" s="23" t="n">
        <v>0.3</v>
      </c>
      <c r="AM398" s="16" t="n">
        <f aca="false">COUNTIFS($D$2:$D$2501,D398,$G$2:$G$2501,"&gt;"&amp;G398)+COUNTIFS($D$2:D398,D398,$G$2:G398,G398)</f>
        <v>3</v>
      </c>
      <c r="AN398" s="5" t="str">
        <f aca="false">D398&amp;"|"&amp;AM398</f>
        <v>AI 紅隊評估|3</v>
      </c>
    </row>
    <row r="399" customFormat="false" ht="17.15" hidden="false" customHeight="false" outlineLevel="0" collapsed="false">
      <c r="A399" s="16" t="n">
        <f aca="false">RANK(G399,$G$2:$G$2501)+COUNTIF($G$2:G399,G399)-1</f>
        <v>398</v>
      </c>
      <c r="B399" s="11" t="s">
        <v>1218</v>
      </c>
      <c r="C399" s="11" t="s">
        <v>753</v>
      </c>
      <c r="D399" s="5" t="s">
        <v>56</v>
      </c>
      <c r="E399" s="5" t="s">
        <v>57</v>
      </c>
      <c r="F399" s="5"/>
      <c r="G399" s="22" t="n">
        <f aca="false">ROUND(SUM(I399:P399),3)</f>
        <v>71.254</v>
      </c>
      <c r="H399" s="5" t="str">
        <f aca="false">IF(G399&gt;=評分方法!$C$16,"優先評估",IF(G399&gt;=評分方法!$C$17,"列入候選",IF(G399&gt;=評分方法!$C$18,"特定情境","不建議")))</f>
        <v>列入候選</v>
      </c>
      <c r="I399" s="15" t="n">
        <f aca="false">AE399*評分方法!$C$5</f>
        <v>25.5</v>
      </c>
      <c r="J399" s="15" t="n">
        <f aca="false">AF399*評分方法!$C$6</f>
        <v>0</v>
      </c>
      <c r="K399" s="15" t="n">
        <f aca="false">AG399*評分方法!$C$7</f>
        <v>10.05</v>
      </c>
      <c r="L399" s="15" t="n">
        <f aca="false">AH399*評分方法!$C$8</f>
        <v>9</v>
      </c>
      <c r="M399" s="15" t="n">
        <f aca="false">AI399*評分方法!$C$9</f>
        <v>10</v>
      </c>
      <c r="N399" s="15" t="n">
        <f aca="false">AJ399*評分方法!$C$10</f>
        <v>8.704</v>
      </c>
      <c r="O399" s="15" t="n">
        <f aca="false">AK399*評分方法!$C$11</f>
        <v>5</v>
      </c>
      <c r="P399" s="15" t="n">
        <f aca="false">AL399*評分方法!$C$12</f>
        <v>3</v>
      </c>
      <c r="Q399" s="6" t="n">
        <v>2775729</v>
      </c>
      <c r="R399" s="6" t="n">
        <v>25233142046</v>
      </c>
      <c r="S399" s="11" t="s">
        <v>389</v>
      </c>
      <c r="T399" s="11" t="s">
        <v>239</v>
      </c>
      <c r="U399" s="5" t="s">
        <v>240</v>
      </c>
      <c r="V399" s="11" t="s">
        <v>333</v>
      </c>
      <c r="W399" s="5" t="s">
        <v>207</v>
      </c>
      <c r="X399" s="5" t="s">
        <v>371</v>
      </c>
      <c r="Y399" s="11" t="s">
        <v>785</v>
      </c>
      <c r="Z399" s="11" t="s">
        <v>244</v>
      </c>
      <c r="AA399" s="11" t="s">
        <v>156</v>
      </c>
      <c r="AB399" s="5" t="s">
        <v>245</v>
      </c>
      <c r="AC399" s="5" t="s">
        <v>246</v>
      </c>
      <c r="AD399" s="11" t="s">
        <v>1219</v>
      </c>
      <c r="AE399" s="23" t="n">
        <v>0.85</v>
      </c>
      <c r="AF399" s="23" t="n">
        <v>0</v>
      </c>
      <c r="AG399" s="23" t="n">
        <v>0.67</v>
      </c>
      <c r="AH399" s="23" t="n">
        <v>0.6</v>
      </c>
      <c r="AI399" s="23" t="n">
        <v>1</v>
      </c>
      <c r="AJ399" s="23" t="n">
        <v>0.8704</v>
      </c>
      <c r="AK399" s="23" t="n">
        <v>1</v>
      </c>
      <c r="AL399" s="23" t="n">
        <v>0.6</v>
      </c>
      <c r="AM399" s="16" t="n">
        <f aca="false">COUNTIFS($D$2:$D$2501,D399,$G$2:$G$2501,"&gt;"&amp;G399)+COUNTIFS($D$2:D399,D399,$G$2:G399,G399)</f>
        <v>201</v>
      </c>
      <c r="AN399" s="5" t="str">
        <f aca="false">D399&amp;"|"&amp;AM399</f>
        <v>分析與報告生成|201</v>
      </c>
    </row>
    <row r="400" customFormat="false" ht="17.15" hidden="false" customHeight="false" outlineLevel="0" collapsed="false">
      <c r="A400" s="16" t="n">
        <f aca="false">RANK(G400,$G$2:$G$2501)+COUNTIF($G$2:G400,G400)-1</f>
        <v>399</v>
      </c>
      <c r="B400" s="11" t="s">
        <v>1220</v>
      </c>
      <c r="C400" s="11" t="s">
        <v>308</v>
      </c>
      <c r="D400" s="5" t="s">
        <v>56</v>
      </c>
      <c r="E400" s="5" t="s">
        <v>57</v>
      </c>
      <c r="F400" s="5"/>
      <c r="G400" s="22" t="n">
        <f aca="false">ROUND(SUM(I400:P400),3)</f>
        <v>71.214</v>
      </c>
      <c r="H400" s="5" t="str">
        <f aca="false">IF(G400&gt;=評分方法!$C$16,"優先評估",IF(G400&gt;=評分方法!$C$17,"列入候選",IF(G400&gt;=評分方法!$C$18,"特定情境","不建議")))</f>
        <v>列入候選</v>
      </c>
      <c r="I400" s="15" t="n">
        <f aca="false">AE400*評分方法!$C$5</f>
        <v>25.5</v>
      </c>
      <c r="J400" s="15" t="n">
        <f aca="false">AF400*評分方法!$C$6</f>
        <v>0</v>
      </c>
      <c r="K400" s="15" t="n">
        <f aca="false">AG400*評分方法!$C$7</f>
        <v>15</v>
      </c>
      <c r="L400" s="15" t="n">
        <f aca="false">AH400*評分方法!$C$8</f>
        <v>13.05</v>
      </c>
      <c r="M400" s="15" t="n">
        <f aca="false">AI400*評分方法!$C$9</f>
        <v>10</v>
      </c>
      <c r="N400" s="15" t="n">
        <f aca="false">AJ400*評分方法!$C$10</f>
        <v>3.664</v>
      </c>
      <c r="O400" s="15" t="n">
        <f aca="false">AK400*評分方法!$C$11</f>
        <v>4</v>
      </c>
      <c r="P400" s="15" t="n">
        <f aca="false">AL400*評分方法!$C$12</f>
        <v>0</v>
      </c>
      <c r="Q400" s="6" t="n">
        <v>371942</v>
      </c>
      <c r="R400" s="6" t="n">
        <v>1418270720</v>
      </c>
      <c r="S400" s="11" t="s">
        <v>254</v>
      </c>
      <c r="T400" s="11" t="s">
        <v>278</v>
      </c>
      <c r="U400" s="5" t="s">
        <v>240</v>
      </c>
      <c r="V400" s="11" t="s">
        <v>261</v>
      </c>
      <c r="W400" s="5" t="s">
        <v>205</v>
      </c>
      <c r="X400" s="5" t="s">
        <v>242</v>
      </c>
      <c r="Y400" s="5"/>
      <c r="Z400" s="5"/>
      <c r="AA400" s="11" t="s">
        <v>155</v>
      </c>
      <c r="AB400" s="5" t="s">
        <v>245</v>
      </c>
      <c r="AC400" s="5"/>
      <c r="AD400" s="11" t="s">
        <v>1221</v>
      </c>
      <c r="AE400" s="23" t="n">
        <v>0.85</v>
      </c>
      <c r="AF400" s="23" t="n">
        <v>0</v>
      </c>
      <c r="AG400" s="23" t="n">
        <v>1</v>
      </c>
      <c r="AH400" s="23" t="n">
        <v>0.87</v>
      </c>
      <c r="AI400" s="23" t="n">
        <v>1</v>
      </c>
      <c r="AJ400" s="23" t="n">
        <v>0.3664</v>
      </c>
      <c r="AK400" s="23" t="n">
        <v>0.8</v>
      </c>
      <c r="AL400" s="23" t="n">
        <v>0</v>
      </c>
      <c r="AM400" s="16" t="n">
        <f aca="false">COUNTIFS($D$2:$D$2501,D400,$G$2:$G$2501,"&gt;"&amp;G400)+COUNTIFS($D$2:D400,D400,$G$2:G400,G400)</f>
        <v>202</v>
      </c>
      <c r="AN400" s="5" t="str">
        <f aca="false">D400&amp;"|"&amp;AM400</f>
        <v>分析與報告生成|202</v>
      </c>
    </row>
    <row r="401" customFormat="false" ht="17.15" hidden="false" customHeight="false" outlineLevel="0" collapsed="false">
      <c r="A401" s="16" t="n">
        <f aca="false">RANK(G401,$G$2:$G$2501)+COUNTIF($G$2:G401,G401)-1</f>
        <v>400</v>
      </c>
      <c r="B401" s="11" t="s">
        <v>1222</v>
      </c>
      <c r="C401" s="11" t="s">
        <v>282</v>
      </c>
      <c r="D401" s="5" t="s">
        <v>54</v>
      </c>
      <c r="E401" s="5" t="s">
        <v>55</v>
      </c>
      <c r="F401" s="5"/>
      <c r="G401" s="22" t="n">
        <f aca="false">ROUND(SUM(I401:P401),3)</f>
        <v>71.176</v>
      </c>
      <c r="H401" s="5" t="str">
        <f aca="false">IF(G401&gt;=評分方法!$C$16,"優先評估",IF(G401&gt;=評分方法!$C$17,"列入候選",IF(G401&gt;=評分方法!$C$18,"特定情境","不建議")))</f>
        <v>列入候選</v>
      </c>
      <c r="I401" s="15" t="n">
        <f aca="false">AE401*評分方法!$C$5</f>
        <v>27</v>
      </c>
      <c r="J401" s="15" t="n">
        <f aca="false">AF401*評分方法!$C$6</f>
        <v>0</v>
      </c>
      <c r="K401" s="15" t="n">
        <f aca="false">AG401*評分方法!$C$7</f>
        <v>15</v>
      </c>
      <c r="L401" s="15" t="n">
        <f aca="false">AH401*評分方法!$C$8</f>
        <v>15</v>
      </c>
      <c r="M401" s="15" t="n">
        <f aca="false">AI401*評分方法!$C$9</f>
        <v>2</v>
      </c>
      <c r="N401" s="15" t="n">
        <f aca="false">AJ401*評分方法!$C$10</f>
        <v>9.676</v>
      </c>
      <c r="O401" s="15" t="n">
        <f aca="false">AK401*評分方法!$C$11</f>
        <v>2.5</v>
      </c>
      <c r="P401" s="15" t="n">
        <f aca="false">AL401*評分方法!$C$12</f>
        <v>0</v>
      </c>
      <c r="Q401" s="6" t="n">
        <v>13260550</v>
      </c>
      <c r="R401" s="6" t="n">
        <v>109486978</v>
      </c>
      <c r="S401" s="11" t="s">
        <v>238</v>
      </c>
      <c r="T401" s="5"/>
      <c r="U401" s="5" t="s">
        <v>375</v>
      </c>
      <c r="V401" s="11" t="s">
        <v>288</v>
      </c>
      <c r="W401" s="5" t="s">
        <v>205</v>
      </c>
      <c r="X401" s="5" t="s">
        <v>242</v>
      </c>
      <c r="Y401" s="5"/>
      <c r="Z401" s="5"/>
      <c r="AA401" s="11" t="s">
        <v>152</v>
      </c>
      <c r="AB401" s="5" t="s">
        <v>245</v>
      </c>
      <c r="AC401" s="5" t="s">
        <v>262</v>
      </c>
      <c r="AD401" s="11" t="s">
        <v>1223</v>
      </c>
      <c r="AE401" s="23" t="n">
        <v>0.9</v>
      </c>
      <c r="AF401" s="23" t="n">
        <v>0</v>
      </c>
      <c r="AG401" s="23" t="n">
        <v>1</v>
      </c>
      <c r="AH401" s="23" t="n">
        <v>1</v>
      </c>
      <c r="AI401" s="23" t="n">
        <v>0.2</v>
      </c>
      <c r="AJ401" s="23" t="n">
        <v>0.9676</v>
      </c>
      <c r="AK401" s="23" t="n">
        <v>0.5</v>
      </c>
      <c r="AL401" s="23" t="n">
        <v>0</v>
      </c>
      <c r="AM401" s="16" t="n">
        <f aca="false">COUNTIFS($D$2:$D$2501,D401,$G$2:$G$2501,"&gt;"&amp;G401)+COUNTIFS($D$2:D401,D401,$G$2:G401,G401)</f>
        <v>106</v>
      </c>
      <c r="AN401" s="5" t="str">
        <f aca="false">D401&amp;"|"&amp;AM401</f>
        <v>檢索與情資關聯|106</v>
      </c>
    </row>
    <row r="402" customFormat="false" ht="17.15" hidden="false" customHeight="false" outlineLevel="0" collapsed="false">
      <c r="A402" s="16" t="n">
        <f aca="false">RANK(G402,$G$2:$G$2501)+COUNTIF($G$2:G402,G402)-1</f>
        <v>401</v>
      </c>
      <c r="B402" s="11" t="s">
        <v>1224</v>
      </c>
      <c r="C402" s="11" t="s">
        <v>1214</v>
      </c>
      <c r="D402" s="5" t="s">
        <v>56</v>
      </c>
      <c r="E402" s="5" t="s">
        <v>57</v>
      </c>
      <c r="F402" s="5"/>
      <c r="G402" s="22" t="n">
        <f aca="false">ROUND(SUM(I402:P402),3)</f>
        <v>71.15</v>
      </c>
      <c r="H402" s="5" t="str">
        <f aca="false">IF(G402&gt;=評分方法!$C$16,"優先評估",IF(G402&gt;=評分方法!$C$17,"列入候選",IF(G402&gt;=評分方法!$C$18,"特定情境","不建議")))</f>
        <v>列入候選</v>
      </c>
      <c r="I402" s="15" t="n">
        <f aca="false">AE402*評分方法!$C$5</f>
        <v>24</v>
      </c>
      <c r="J402" s="15" t="n">
        <f aca="false">AF402*評分方法!$C$6</f>
        <v>0</v>
      </c>
      <c r="K402" s="15" t="n">
        <f aca="false">AG402*評分方法!$C$7</f>
        <v>15</v>
      </c>
      <c r="L402" s="15" t="n">
        <f aca="false">AH402*評分方法!$C$8</f>
        <v>7.05</v>
      </c>
      <c r="M402" s="15" t="n">
        <f aca="false">AI402*評分方法!$C$9</f>
        <v>10</v>
      </c>
      <c r="N402" s="15" t="n">
        <f aca="false">AJ402*評分方法!$C$10</f>
        <v>7.1</v>
      </c>
      <c r="O402" s="15" t="n">
        <f aca="false">AK402*評分方法!$C$11</f>
        <v>5</v>
      </c>
      <c r="P402" s="15" t="n">
        <f aca="false">AL402*評分方法!$C$12</f>
        <v>3</v>
      </c>
      <c r="Q402" s="6" t="n">
        <v>961992</v>
      </c>
      <c r="R402" s="6"/>
      <c r="S402" s="5" t="s">
        <v>255</v>
      </c>
      <c r="T402" s="11" t="s">
        <v>278</v>
      </c>
      <c r="U402" s="5" t="s">
        <v>240</v>
      </c>
      <c r="V402" s="11" t="s">
        <v>261</v>
      </c>
      <c r="W402" s="5" t="s">
        <v>205</v>
      </c>
      <c r="X402" s="5" t="s">
        <v>371</v>
      </c>
      <c r="Y402" s="11" t="s">
        <v>1225</v>
      </c>
      <c r="Z402" s="11" t="s">
        <v>270</v>
      </c>
      <c r="AA402" s="11" t="s">
        <v>157</v>
      </c>
      <c r="AB402" s="5" t="s">
        <v>496</v>
      </c>
      <c r="AC402" s="5" t="s">
        <v>497</v>
      </c>
      <c r="AD402" s="11" t="s">
        <v>1226</v>
      </c>
      <c r="AE402" s="23" t="n">
        <v>0.8</v>
      </c>
      <c r="AF402" s="23" t="n">
        <v>0</v>
      </c>
      <c r="AG402" s="23" t="n">
        <v>1</v>
      </c>
      <c r="AH402" s="23" t="n">
        <v>0.47</v>
      </c>
      <c r="AI402" s="23" t="n">
        <v>1</v>
      </c>
      <c r="AJ402" s="23" t="n">
        <v>0.71</v>
      </c>
      <c r="AK402" s="23" t="n">
        <v>1</v>
      </c>
      <c r="AL402" s="23" t="n">
        <v>0.6</v>
      </c>
      <c r="AM402" s="16" t="n">
        <f aca="false">COUNTIFS($D$2:$D$2501,D402,$G$2:$G$2501,"&gt;"&amp;G402)+COUNTIFS($D$2:D402,D402,$G$2:G402,G402)</f>
        <v>203</v>
      </c>
      <c r="AN402" s="5" t="str">
        <f aca="false">D402&amp;"|"&amp;AM402</f>
        <v>分析與報告生成|203</v>
      </c>
    </row>
    <row r="403" customFormat="false" ht="17.15" hidden="false" customHeight="false" outlineLevel="0" collapsed="false">
      <c r="A403" s="16" t="n">
        <f aca="false">RANK(G403,$G$2:$G$2501)+COUNTIF($G$2:G403,G403)-1</f>
        <v>402</v>
      </c>
      <c r="B403" s="11" t="s">
        <v>1227</v>
      </c>
      <c r="C403" s="11" t="s">
        <v>1228</v>
      </c>
      <c r="D403" s="5" t="s">
        <v>66</v>
      </c>
      <c r="E403" s="5" t="s">
        <v>67</v>
      </c>
      <c r="F403" s="5"/>
      <c r="G403" s="22" t="n">
        <f aca="false">ROUND(SUM(I403:P403),3)</f>
        <v>71.134</v>
      </c>
      <c r="H403" s="5" t="str">
        <f aca="false">IF(G403&gt;=評分方法!$C$16,"優先評估",IF(G403&gt;=評分方法!$C$17,"列入候選",IF(G403&gt;=評分方法!$C$18,"特定情境","不建議")))</f>
        <v>列入候選</v>
      </c>
      <c r="I403" s="15" t="n">
        <f aca="false">AE403*評分方法!$C$5</f>
        <v>30</v>
      </c>
      <c r="J403" s="15" t="n">
        <f aca="false">AF403*評分方法!$C$6</f>
        <v>0</v>
      </c>
      <c r="K403" s="15" t="n">
        <f aca="false">AG403*評分方法!$C$7</f>
        <v>4.95</v>
      </c>
      <c r="L403" s="15" t="n">
        <f aca="false">AH403*評分方法!$C$8</f>
        <v>15</v>
      </c>
      <c r="M403" s="15" t="n">
        <f aca="false">AI403*評分方法!$C$9</f>
        <v>10</v>
      </c>
      <c r="N403" s="15" t="n">
        <f aca="false">AJ403*評分方法!$C$10</f>
        <v>8.684</v>
      </c>
      <c r="O403" s="15" t="n">
        <f aca="false">AK403*評分方法!$C$11</f>
        <v>2.5</v>
      </c>
      <c r="P403" s="15" t="n">
        <f aca="false">AL403*評分方法!$C$12</f>
        <v>0</v>
      </c>
      <c r="Q403" s="6" t="n">
        <v>2722275</v>
      </c>
      <c r="R403" s="6" t="n">
        <v>124648453</v>
      </c>
      <c r="S403" s="11" t="s">
        <v>238</v>
      </c>
      <c r="T403" s="11" t="s">
        <v>278</v>
      </c>
      <c r="U403" s="5" t="s">
        <v>240</v>
      </c>
      <c r="V403" s="11" t="s">
        <v>324</v>
      </c>
      <c r="W403" s="5" t="s">
        <v>334</v>
      </c>
      <c r="X403" s="5" t="s">
        <v>242</v>
      </c>
      <c r="Y403" s="5"/>
      <c r="Z403" s="5"/>
      <c r="AA403" s="11" t="s">
        <v>149</v>
      </c>
      <c r="AB403" s="5" t="s">
        <v>245</v>
      </c>
      <c r="AC403" s="5"/>
      <c r="AD403" s="11" t="s">
        <v>1229</v>
      </c>
      <c r="AE403" s="23" t="n">
        <v>1</v>
      </c>
      <c r="AF403" s="23" t="n">
        <v>0</v>
      </c>
      <c r="AG403" s="23" t="n">
        <v>0.33</v>
      </c>
      <c r="AH403" s="23" t="n">
        <v>1</v>
      </c>
      <c r="AI403" s="23" t="n">
        <v>1</v>
      </c>
      <c r="AJ403" s="23" t="n">
        <v>0.8684</v>
      </c>
      <c r="AK403" s="23" t="n">
        <v>0.5</v>
      </c>
      <c r="AL403" s="23" t="n">
        <v>0</v>
      </c>
      <c r="AM403" s="16" t="n">
        <f aca="false">COUNTIFS($D$2:$D$2501,D403,$G$2:$G$2501,"&gt;"&amp;G403)+COUNTIFS($D$2:D403,D403,$G$2:G403,G403)</f>
        <v>14</v>
      </c>
      <c r="AN403" s="5" t="str">
        <f aca="false">D403&amp;"|"&amp;AM403</f>
        <v>分類與偵測|14</v>
      </c>
    </row>
    <row r="404" customFormat="false" ht="17.15" hidden="false" customHeight="false" outlineLevel="0" collapsed="false">
      <c r="A404" s="16" t="n">
        <f aca="false">RANK(G404,$G$2:$G$2501)+COUNTIF($G$2:G404,G404)-1</f>
        <v>403</v>
      </c>
      <c r="B404" s="11" t="s">
        <v>668</v>
      </c>
      <c r="C404" s="11" t="s">
        <v>368</v>
      </c>
      <c r="D404" s="5" t="s">
        <v>56</v>
      </c>
      <c r="E404" s="5" t="s">
        <v>57</v>
      </c>
      <c r="F404" s="5"/>
      <c r="G404" s="22" t="n">
        <f aca="false">ROUND(SUM(I404:P404),3)</f>
        <v>71.128</v>
      </c>
      <c r="H404" s="5" t="str">
        <f aca="false">IF(G404&gt;=評分方法!$C$16,"優先評估",IF(G404&gt;=評分方法!$C$17,"列入候選",IF(G404&gt;=評分方法!$C$18,"特定情境","不建議")))</f>
        <v>列入候選</v>
      </c>
      <c r="I404" s="15" t="n">
        <f aca="false">AE404*評分方法!$C$5</f>
        <v>25.5</v>
      </c>
      <c r="J404" s="15" t="n">
        <f aca="false">AF404*評分方法!$C$6</f>
        <v>0</v>
      </c>
      <c r="K404" s="15" t="n">
        <f aca="false">AG404*評分方法!$C$7</f>
        <v>15</v>
      </c>
      <c r="L404" s="15" t="n">
        <f aca="false">AH404*評分方法!$C$8</f>
        <v>9</v>
      </c>
      <c r="M404" s="15" t="n">
        <f aca="false">AI404*評分方法!$C$9</f>
        <v>10</v>
      </c>
      <c r="N404" s="15" t="n">
        <f aca="false">AJ404*評分方法!$C$10</f>
        <v>3.628</v>
      </c>
      <c r="O404" s="15" t="n">
        <f aca="false">AK404*評分方法!$C$11</f>
        <v>5</v>
      </c>
      <c r="P404" s="15" t="n">
        <f aca="false">AL404*評分方法!$C$12</f>
        <v>3</v>
      </c>
      <c r="Q404" s="6" t="n">
        <v>368259</v>
      </c>
      <c r="R404" s="6" t="n">
        <v>31273088876</v>
      </c>
      <c r="S404" s="11" t="s">
        <v>389</v>
      </c>
      <c r="T404" s="11" t="s">
        <v>239</v>
      </c>
      <c r="U404" s="5" t="s">
        <v>240</v>
      </c>
      <c r="V404" s="11" t="s">
        <v>261</v>
      </c>
      <c r="W404" s="5" t="s">
        <v>205</v>
      </c>
      <c r="X404" s="5" t="s">
        <v>371</v>
      </c>
      <c r="Y404" s="11" t="s">
        <v>583</v>
      </c>
      <c r="Z404" s="11" t="s">
        <v>270</v>
      </c>
      <c r="AA404" s="11" t="s">
        <v>156</v>
      </c>
      <c r="AB404" s="5" t="s">
        <v>245</v>
      </c>
      <c r="AC404" s="5"/>
      <c r="AD404" s="11" t="s">
        <v>1230</v>
      </c>
      <c r="AE404" s="23" t="n">
        <v>0.85</v>
      </c>
      <c r="AF404" s="23" t="n">
        <v>0</v>
      </c>
      <c r="AG404" s="23" t="n">
        <v>1</v>
      </c>
      <c r="AH404" s="23" t="n">
        <v>0.6</v>
      </c>
      <c r="AI404" s="23" t="n">
        <v>1</v>
      </c>
      <c r="AJ404" s="23" t="n">
        <v>0.3628</v>
      </c>
      <c r="AK404" s="23" t="n">
        <v>1</v>
      </c>
      <c r="AL404" s="23" t="n">
        <v>0.6</v>
      </c>
      <c r="AM404" s="16" t="n">
        <f aca="false">COUNTIFS($D$2:$D$2501,D404,$G$2:$G$2501,"&gt;"&amp;G404)+COUNTIFS($D$2:D404,D404,$G$2:G404,G404)</f>
        <v>204</v>
      </c>
      <c r="AN404" s="5" t="str">
        <f aca="false">D404&amp;"|"&amp;AM404</f>
        <v>分析與報告生成|204</v>
      </c>
    </row>
    <row r="405" customFormat="false" ht="17.15" hidden="false" customHeight="false" outlineLevel="0" collapsed="false">
      <c r="A405" s="16" t="n">
        <f aca="false">RANK(G405,$G$2:$G$2501)+COUNTIF($G$2:G405,G405)-1</f>
        <v>404</v>
      </c>
      <c r="B405" s="11" t="s">
        <v>1231</v>
      </c>
      <c r="C405" s="11" t="s">
        <v>1170</v>
      </c>
      <c r="D405" s="5" t="s">
        <v>56</v>
      </c>
      <c r="E405" s="5" t="s">
        <v>57</v>
      </c>
      <c r="F405" s="5"/>
      <c r="G405" s="22" t="n">
        <f aca="false">ROUND(SUM(I405:P405),3)</f>
        <v>71.098</v>
      </c>
      <c r="H405" s="5" t="str">
        <f aca="false">IF(G405&gt;=評分方法!$C$16,"優先評估",IF(G405&gt;=評分方法!$C$17,"列入候選",IF(G405&gt;=評分方法!$C$18,"特定情境","不建議")))</f>
        <v>列入候選</v>
      </c>
      <c r="I405" s="15" t="n">
        <f aca="false">AE405*評分方法!$C$5</f>
        <v>25.5</v>
      </c>
      <c r="J405" s="15" t="n">
        <f aca="false">AF405*評分方法!$C$6</f>
        <v>0</v>
      </c>
      <c r="K405" s="15" t="n">
        <f aca="false">AG405*評分方法!$C$7</f>
        <v>15</v>
      </c>
      <c r="L405" s="15" t="n">
        <f aca="false">AH405*評分方法!$C$8</f>
        <v>13.05</v>
      </c>
      <c r="M405" s="15" t="n">
        <f aca="false">AI405*評分方法!$C$9</f>
        <v>6</v>
      </c>
      <c r="N405" s="15" t="n">
        <f aca="false">AJ405*評分方法!$C$10</f>
        <v>3.548</v>
      </c>
      <c r="O405" s="15" t="n">
        <f aca="false">AK405*評分方法!$C$11</f>
        <v>5</v>
      </c>
      <c r="P405" s="15" t="n">
        <f aca="false">AL405*評分方法!$C$12</f>
        <v>3</v>
      </c>
      <c r="Q405" s="6" t="n">
        <v>355861</v>
      </c>
      <c r="R405" s="6" t="n">
        <v>8030261248</v>
      </c>
      <c r="S405" s="11" t="s">
        <v>254</v>
      </c>
      <c r="T405" s="11" t="s">
        <v>185</v>
      </c>
      <c r="U405" s="5" t="s">
        <v>260</v>
      </c>
      <c r="V405" s="11" t="s">
        <v>261</v>
      </c>
      <c r="W405" s="5" t="s">
        <v>205</v>
      </c>
      <c r="X405" s="5" t="s">
        <v>371</v>
      </c>
      <c r="Y405" s="11" t="s">
        <v>1066</v>
      </c>
      <c r="Z405" s="11" t="s">
        <v>244</v>
      </c>
      <c r="AA405" s="11" t="s">
        <v>155</v>
      </c>
      <c r="AB405" s="5" t="s">
        <v>496</v>
      </c>
      <c r="AC405" s="5" t="s">
        <v>1108</v>
      </c>
      <c r="AD405" s="11" t="s">
        <v>1232</v>
      </c>
      <c r="AE405" s="23" t="n">
        <v>0.85</v>
      </c>
      <c r="AF405" s="23" t="n">
        <v>0</v>
      </c>
      <c r="AG405" s="23" t="n">
        <v>1</v>
      </c>
      <c r="AH405" s="23" t="n">
        <v>0.87</v>
      </c>
      <c r="AI405" s="23" t="n">
        <v>0.6</v>
      </c>
      <c r="AJ405" s="23" t="n">
        <v>0.3548</v>
      </c>
      <c r="AK405" s="23" t="n">
        <v>1</v>
      </c>
      <c r="AL405" s="23" t="n">
        <v>0.6</v>
      </c>
      <c r="AM405" s="16" t="n">
        <f aca="false">COUNTIFS($D$2:$D$2501,D405,$G$2:$G$2501,"&gt;"&amp;G405)+COUNTIFS($D$2:D405,D405,$G$2:G405,G405)</f>
        <v>205</v>
      </c>
      <c r="AN405" s="5" t="str">
        <f aca="false">D405&amp;"|"&amp;AM405</f>
        <v>分析與報告生成|205</v>
      </c>
    </row>
    <row r="406" customFormat="false" ht="17.15" hidden="false" customHeight="false" outlineLevel="0" collapsed="false">
      <c r="A406" s="16" t="n">
        <f aca="false">RANK(G406,$G$2:$G$2501)+COUNTIF($G$2:G406,G406)-1</f>
        <v>405</v>
      </c>
      <c r="B406" s="11" t="s">
        <v>659</v>
      </c>
      <c r="C406" s="11" t="s">
        <v>368</v>
      </c>
      <c r="D406" s="5" t="s">
        <v>56</v>
      </c>
      <c r="E406" s="5" t="s">
        <v>57</v>
      </c>
      <c r="F406" s="5"/>
      <c r="G406" s="22" t="n">
        <f aca="false">ROUND(SUM(I406:P406),3)</f>
        <v>71.064</v>
      </c>
      <c r="H406" s="5" t="str">
        <f aca="false">IF(G406&gt;=評分方法!$C$16,"優先評估",IF(G406&gt;=評分方法!$C$17,"列入候選",IF(G406&gt;=評分方法!$C$18,"特定情境","不建議")))</f>
        <v>列入候選</v>
      </c>
      <c r="I406" s="15" t="n">
        <f aca="false">AE406*評分方法!$C$5</f>
        <v>25.5</v>
      </c>
      <c r="J406" s="15" t="n">
        <f aca="false">AF406*評分方法!$C$6</f>
        <v>0</v>
      </c>
      <c r="K406" s="15" t="n">
        <f aca="false">AG406*評分方法!$C$7</f>
        <v>15</v>
      </c>
      <c r="L406" s="15" t="n">
        <f aca="false">AH406*評分方法!$C$8</f>
        <v>15</v>
      </c>
      <c r="M406" s="15" t="n">
        <f aca="false">AI406*評分方法!$C$9</f>
        <v>6</v>
      </c>
      <c r="N406" s="15" t="n">
        <f aca="false">AJ406*評分方法!$C$10</f>
        <v>4.064</v>
      </c>
      <c r="O406" s="15" t="n">
        <f aca="false">AK406*評分方法!$C$11</f>
        <v>2.5</v>
      </c>
      <c r="P406" s="15" t="n">
        <f aca="false">AL406*評分方法!$C$12</f>
        <v>3</v>
      </c>
      <c r="Q406" s="6" t="n">
        <v>426218</v>
      </c>
      <c r="R406" s="6" t="n">
        <v>999885952</v>
      </c>
      <c r="S406" s="11" t="s">
        <v>238</v>
      </c>
      <c r="T406" s="11" t="s">
        <v>658</v>
      </c>
      <c r="U406" s="5" t="s">
        <v>260</v>
      </c>
      <c r="V406" s="11" t="s">
        <v>261</v>
      </c>
      <c r="W406" s="5" t="s">
        <v>205</v>
      </c>
      <c r="X406" s="5" t="s">
        <v>371</v>
      </c>
      <c r="Y406" s="5"/>
      <c r="Z406" s="5"/>
      <c r="AA406" s="11" t="s">
        <v>155</v>
      </c>
      <c r="AB406" s="5" t="s">
        <v>245</v>
      </c>
      <c r="AC406" s="5" t="s">
        <v>262</v>
      </c>
      <c r="AD406" s="11" t="s">
        <v>1233</v>
      </c>
      <c r="AE406" s="23" t="n">
        <v>0.85</v>
      </c>
      <c r="AF406" s="23" t="n">
        <v>0</v>
      </c>
      <c r="AG406" s="23" t="n">
        <v>1</v>
      </c>
      <c r="AH406" s="23" t="n">
        <v>1</v>
      </c>
      <c r="AI406" s="23" t="n">
        <v>0.6</v>
      </c>
      <c r="AJ406" s="23" t="n">
        <v>0.4064</v>
      </c>
      <c r="AK406" s="23" t="n">
        <v>0.5</v>
      </c>
      <c r="AL406" s="23" t="n">
        <v>0.6</v>
      </c>
      <c r="AM406" s="16" t="n">
        <f aca="false">COUNTIFS($D$2:$D$2501,D406,$G$2:$G$2501,"&gt;"&amp;G406)+COUNTIFS($D$2:D406,D406,$G$2:G406,G406)</f>
        <v>206</v>
      </c>
      <c r="AN406" s="5" t="str">
        <f aca="false">D406&amp;"|"&amp;AM406</f>
        <v>分析與報告生成|206</v>
      </c>
    </row>
    <row r="407" customFormat="false" ht="17.15" hidden="false" customHeight="false" outlineLevel="0" collapsed="false">
      <c r="A407" s="16" t="n">
        <f aca="false">RANK(G407,$G$2:$G$2501)+COUNTIF($G$2:G407,G407)-1</f>
        <v>406</v>
      </c>
      <c r="B407" s="11" t="s">
        <v>1234</v>
      </c>
      <c r="C407" s="11" t="s">
        <v>327</v>
      </c>
      <c r="D407" s="5" t="s">
        <v>56</v>
      </c>
      <c r="E407" s="5" t="s">
        <v>57</v>
      </c>
      <c r="F407" s="5"/>
      <c r="G407" s="22" t="n">
        <f aca="false">ROUND(SUM(I407:P407),3)</f>
        <v>71.05</v>
      </c>
      <c r="H407" s="5" t="str">
        <f aca="false">IF(G407&gt;=評分方法!$C$16,"優先評估",IF(G407&gt;=評分方法!$C$17,"列入候選",IF(G407&gt;=評分方法!$C$18,"特定情境","不建議")))</f>
        <v>列入候選</v>
      </c>
      <c r="I407" s="15" t="n">
        <f aca="false">AE407*評分方法!$C$5</f>
        <v>25.5</v>
      </c>
      <c r="J407" s="15" t="n">
        <f aca="false">AF407*評分方法!$C$6</f>
        <v>0</v>
      </c>
      <c r="K407" s="15" t="n">
        <f aca="false">AG407*評分方法!$C$7</f>
        <v>15</v>
      </c>
      <c r="L407" s="15" t="n">
        <f aca="false">AH407*評分方法!$C$8</f>
        <v>13.05</v>
      </c>
      <c r="M407" s="15" t="n">
        <f aca="false">AI407*評分方法!$C$9</f>
        <v>6</v>
      </c>
      <c r="N407" s="15" t="n">
        <f aca="false">AJ407*評分方法!$C$10</f>
        <v>4</v>
      </c>
      <c r="O407" s="15" t="n">
        <f aca="false">AK407*評分方法!$C$11</f>
        <v>2.5</v>
      </c>
      <c r="P407" s="15" t="n">
        <f aca="false">AL407*評分方法!$C$12</f>
        <v>5</v>
      </c>
      <c r="Q407" s="6" t="n">
        <v>416771</v>
      </c>
      <c r="R407" s="6" t="n">
        <v>8100852736</v>
      </c>
      <c r="S407" s="11" t="s">
        <v>254</v>
      </c>
      <c r="T407" s="11" t="s">
        <v>185</v>
      </c>
      <c r="U407" s="5" t="s">
        <v>260</v>
      </c>
      <c r="V407" s="11" t="s">
        <v>324</v>
      </c>
      <c r="W407" s="5" t="s">
        <v>205</v>
      </c>
      <c r="X407" s="5" t="s">
        <v>284</v>
      </c>
      <c r="Y407" s="5"/>
      <c r="Z407" s="5"/>
      <c r="AA407" s="11" t="s">
        <v>155</v>
      </c>
      <c r="AB407" s="5" t="s">
        <v>245</v>
      </c>
      <c r="AC407" s="5" t="s">
        <v>262</v>
      </c>
      <c r="AD407" s="11" t="s">
        <v>1235</v>
      </c>
      <c r="AE407" s="23" t="n">
        <v>0.85</v>
      </c>
      <c r="AF407" s="23" t="n">
        <v>0</v>
      </c>
      <c r="AG407" s="23" t="n">
        <v>1</v>
      </c>
      <c r="AH407" s="23" t="n">
        <v>0.87</v>
      </c>
      <c r="AI407" s="23" t="n">
        <v>0.6</v>
      </c>
      <c r="AJ407" s="23" t="n">
        <v>0.4</v>
      </c>
      <c r="AK407" s="23" t="n">
        <v>0.5</v>
      </c>
      <c r="AL407" s="23" t="n">
        <v>1</v>
      </c>
      <c r="AM407" s="16" t="n">
        <f aca="false">COUNTIFS($D$2:$D$2501,D407,$G$2:$G$2501,"&gt;"&amp;G407)+COUNTIFS($D$2:D407,D407,$G$2:G407,G407)</f>
        <v>207</v>
      </c>
      <c r="AN407" s="5" t="str">
        <f aca="false">D407&amp;"|"&amp;AM407</f>
        <v>分析與報告生成|207</v>
      </c>
    </row>
    <row r="408" customFormat="false" ht="17.15" hidden="false" customHeight="false" outlineLevel="0" collapsed="false">
      <c r="A408" s="16" t="n">
        <f aca="false">RANK(G408,$G$2:$G$2501)+COUNTIF($G$2:G408,G408)-1</f>
        <v>407</v>
      </c>
      <c r="B408" s="11" t="s">
        <v>1236</v>
      </c>
      <c r="C408" s="11" t="s">
        <v>302</v>
      </c>
      <c r="D408" s="5" t="s">
        <v>54</v>
      </c>
      <c r="E408" s="5" t="s">
        <v>55</v>
      </c>
      <c r="F408" s="5"/>
      <c r="G408" s="22" t="n">
        <f aca="false">ROUND(SUM(I408:P408),3)</f>
        <v>71.032</v>
      </c>
      <c r="H408" s="5" t="str">
        <f aca="false">IF(G408&gt;=評分方法!$C$16,"優先評估",IF(G408&gt;=評分方法!$C$17,"列入候選",IF(G408&gt;=評分方法!$C$18,"特定情境","不建議")))</f>
        <v>列入候選</v>
      </c>
      <c r="I408" s="15" t="n">
        <f aca="false">AE408*評分方法!$C$5</f>
        <v>27</v>
      </c>
      <c r="J408" s="15" t="n">
        <f aca="false">AF408*評分方法!$C$6</f>
        <v>0</v>
      </c>
      <c r="K408" s="15" t="n">
        <f aca="false">AG408*評分方法!$C$7</f>
        <v>15</v>
      </c>
      <c r="L408" s="15" t="n">
        <f aca="false">AH408*評分方法!$C$8</f>
        <v>15</v>
      </c>
      <c r="M408" s="15" t="n">
        <f aca="false">AI408*評分方法!$C$9</f>
        <v>10</v>
      </c>
      <c r="N408" s="15" t="n">
        <f aca="false">AJ408*評分方法!$C$10</f>
        <v>1.532</v>
      </c>
      <c r="O408" s="15" t="n">
        <f aca="false">AK408*評分方法!$C$11</f>
        <v>2.5</v>
      </c>
      <c r="P408" s="15" t="n">
        <f aca="false">AL408*評分方法!$C$12</f>
        <v>0</v>
      </c>
      <c r="Q408" s="6" t="n">
        <v>181170</v>
      </c>
      <c r="R408" s="6" t="n">
        <v>14351073</v>
      </c>
      <c r="S408" s="11" t="s">
        <v>238</v>
      </c>
      <c r="T408" s="11" t="s">
        <v>239</v>
      </c>
      <c r="U408" s="5" t="s">
        <v>240</v>
      </c>
      <c r="V408" s="11" t="s">
        <v>356</v>
      </c>
      <c r="W408" s="5" t="s">
        <v>205</v>
      </c>
      <c r="X408" s="5" t="s">
        <v>242</v>
      </c>
      <c r="Y408" s="5"/>
      <c r="Z408" s="5"/>
      <c r="AA408" s="11" t="s">
        <v>154</v>
      </c>
      <c r="AB408" s="5" t="s">
        <v>245</v>
      </c>
      <c r="AC408" s="5"/>
      <c r="AD408" s="11" t="s">
        <v>1237</v>
      </c>
      <c r="AE408" s="23" t="n">
        <v>0.9</v>
      </c>
      <c r="AF408" s="23" t="n">
        <v>0</v>
      </c>
      <c r="AG408" s="23" t="n">
        <v>1</v>
      </c>
      <c r="AH408" s="23" t="n">
        <v>1</v>
      </c>
      <c r="AI408" s="23" t="n">
        <v>1</v>
      </c>
      <c r="AJ408" s="23" t="n">
        <v>0.1532</v>
      </c>
      <c r="AK408" s="23" t="n">
        <v>0.5</v>
      </c>
      <c r="AL408" s="23" t="n">
        <v>0</v>
      </c>
      <c r="AM408" s="16" t="n">
        <f aca="false">COUNTIFS($D$2:$D$2501,D408,$G$2:$G$2501,"&gt;"&amp;G408)+COUNTIFS($D$2:D408,D408,$G$2:G408,G408)</f>
        <v>107</v>
      </c>
      <c r="AN408" s="5" t="str">
        <f aca="false">D408&amp;"|"&amp;AM408</f>
        <v>檢索與情資關聯|107</v>
      </c>
    </row>
    <row r="409" customFormat="false" ht="17.15" hidden="false" customHeight="false" outlineLevel="0" collapsed="false">
      <c r="A409" s="16" t="n">
        <f aca="false">RANK(G409,$G$2:$G$2501)+COUNTIF($G$2:G409,G409)-1</f>
        <v>408</v>
      </c>
      <c r="B409" s="11" t="s">
        <v>1238</v>
      </c>
      <c r="C409" s="11" t="s">
        <v>368</v>
      </c>
      <c r="D409" s="5" t="s">
        <v>56</v>
      </c>
      <c r="E409" s="5" t="s">
        <v>57</v>
      </c>
      <c r="F409" s="5"/>
      <c r="G409" s="22" t="n">
        <f aca="false">ROUND(SUM(I409:P409),3)</f>
        <v>71.006</v>
      </c>
      <c r="H409" s="5" t="str">
        <f aca="false">IF(G409&gt;=評分方法!$C$16,"優先評估",IF(G409&gt;=評分方法!$C$17,"列入候選",IF(G409&gt;=評分方法!$C$18,"特定情境","不建議")))</f>
        <v>列入候選</v>
      </c>
      <c r="I409" s="15" t="n">
        <f aca="false">AE409*評分方法!$C$5</f>
        <v>25.5</v>
      </c>
      <c r="J409" s="15" t="n">
        <f aca="false">AF409*評分方法!$C$6</f>
        <v>0</v>
      </c>
      <c r="K409" s="15" t="n">
        <f aca="false">AG409*評分方法!$C$7</f>
        <v>15</v>
      </c>
      <c r="L409" s="15" t="n">
        <f aca="false">AH409*評分方法!$C$8</f>
        <v>13.05</v>
      </c>
      <c r="M409" s="15" t="n">
        <f aca="false">AI409*評分方法!$C$9</f>
        <v>6</v>
      </c>
      <c r="N409" s="15" t="n">
        <f aca="false">AJ409*評分方法!$C$10</f>
        <v>7.456</v>
      </c>
      <c r="O409" s="15" t="n">
        <f aca="false">AK409*評分方法!$C$11</f>
        <v>1</v>
      </c>
      <c r="P409" s="15" t="n">
        <f aca="false">AL409*評分方法!$C$12</f>
        <v>3</v>
      </c>
      <c r="Q409" s="6" t="n">
        <v>1127711</v>
      </c>
      <c r="R409" s="6" t="n">
        <v>2924351216</v>
      </c>
      <c r="S409" s="11" t="s">
        <v>254</v>
      </c>
      <c r="T409" s="11" t="s">
        <v>658</v>
      </c>
      <c r="U409" s="5" t="s">
        <v>260</v>
      </c>
      <c r="V409" s="11" t="s">
        <v>261</v>
      </c>
      <c r="W409" s="5" t="s">
        <v>205</v>
      </c>
      <c r="X409" s="5" t="s">
        <v>371</v>
      </c>
      <c r="Y409" s="5"/>
      <c r="Z409" s="5"/>
      <c r="AA409" s="11" t="s">
        <v>156</v>
      </c>
      <c r="AB409" s="5" t="s">
        <v>245</v>
      </c>
      <c r="AC409" s="5" t="s">
        <v>262</v>
      </c>
      <c r="AD409" s="11" t="s">
        <v>1239</v>
      </c>
      <c r="AE409" s="23" t="n">
        <v>0.85</v>
      </c>
      <c r="AF409" s="23" t="n">
        <v>0</v>
      </c>
      <c r="AG409" s="23" t="n">
        <v>1</v>
      </c>
      <c r="AH409" s="23" t="n">
        <v>0.87</v>
      </c>
      <c r="AI409" s="23" t="n">
        <v>0.6</v>
      </c>
      <c r="AJ409" s="23" t="n">
        <v>0.7456</v>
      </c>
      <c r="AK409" s="23" t="n">
        <v>0.2</v>
      </c>
      <c r="AL409" s="23" t="n">
        <v>0.6</v>
      </c>
      <c r="AM409" s="16" t="n">
        <f aca="false">COUNTIFS($D$2:$D$2501,D409,$G$2:$G$2501,"&gt;"&amp;G409)+COUNTIFS($D$2:D409,D409,$G$2:G409,G409)</f>
        <v>208</v>
      </c>
      <c r="AN409" s="5" t="str">
        <f aca="false">D409&amp;"|"&amp;AM409</f>
        <v>分析與報告生成|208</v>
      </c>
    </row>
    <row r="410" customFormat="false" ht="17.15" hidden="false" customHeight="false" outlineLevel="0" collapsed="false">
      <c r="A410" s="16" t="n">
        <f aca="false">RANK(G410,$G$2:$G$2501)+COUNTIF($G$2:G410,G410)-1</f>
        <v>409</v>
      </c>
      <c r="B410" s="11" t="s">
        <v>1240</v>
      </c>
      <c r="C410" s="11" t="s">
        <v>308</v>
      </c>
      <c r="D410" s="5" t="s">
        <v>56</v>
      </c>
      <c r="E410" s="5" t="s">
        <v>57</v>
      </c>
      <c r="F410" s="5"/>
      <c r="G410" s="22" t="n">
        <f aca="false">ROUND(SUM(I410:P410),3)</f>
        <v>70.998</v>
      </c>
      <c r="H410" s="5" t="str">
        <f aca="false">IF(G410&gt;=評分方法!$C$16,"優先評估",IF(G410&gt;=評分方法!$C$17,"列入候選",IF(G410&gt;=評分方法!$C$18,"特定情境","不建議")))</f>
        <v>列入候選</v>
      </c>
      <c r="I410" s="15" t="n">
        <f aca="false">AE410*評分方法!$C$5</f>
        <v>25.5</v>
      </c>
      <c r="J410" s="15" t="n">
        <f aca="false">AF410*評分方法!$C$6</f>
        <v>0</v>
      </c>
      <c r="K410" s="15" t="n">
        <f aca="false">AG410*評分方法!$C$7</f>
        <v>15</v>
      </c>
      <c r="L410" s="15" t="n">
        <f aca="false">AH410*評分方法!$C$8</f>
        <v>13.05</v>
      </c>
      <c r="M410" s="15" t="n">
        <f aca="false">AI410*評分方法!$C$9</f>
        <v>10</v>
      </c>
      <c r="N410" s="15" t="n">
        <f aca="false">AJ410*評分方法!$C$10</f>
        <v>3.448</v>
      </c>
      <c r="O410" s="15" t="n">
        <f aca="false">AK410*評分方法!$C$11</f>
        <v>4</v>
      </c>
      <c r="P410" s="15" t="n">
        <f aca="false">AL410*評分方法!$C$12</f>
        <v>0</v>
      </c>
      <c r="Q410" s="6" t="n">
        <v>347311</v>
      </c>
      <c r="R410" s="6" t="n">
        <v>3836021760</v>
      </c>
      <c r="S410" s="11" t="s">
        <v>254</v>
      </c>
      <c r="T410" s="11" t="s">
        <v>278</v>
      </c>
      <c r="U410" s="5" t="s">
        <v>240</v>
      </c>
      <c r="V410" s="11" t="s">
        <v>261</v>
      </c>
      <c r="W410" s="5" t="s">
        <v>205</v>
      </c>
      <c r="X410" s="5" t="s">
        <v>242</v>
      </c>
      <c r="Y410" s="5"/>
      <c r="Z410" s="5"/>
      <c r="AA410" s="11" t="s">
        <v>155</v>
      </c>
      <c r="AB410" s="5" t="s">
        <v>245</v>
      </c>
      <c r="AC410" s="5"/>
      <c r="AD410" s="11" t="s">
        <v>1241</v>
      </c>
      <c r="AE410" s="23" t="n">
        <v>0.85</v>
      </c>
      <c r="AF410" s="23" t="n">
        <v>0</v>
      </c>
      <c r="AG410" s="23" t="n">
        <v>1</v>
      </c>
      <c r="AH410" s="23" t="n">
        <v>0.87</v>
      </c>
      <c r="AI410" s="23" t="n">
        <v>1</v>
      </c>
      <c r="AJ410" s="23" t="n">
        <v>0.3448</v>
      </c>
      <c r="AK410" s="23" t="n">
        <v>0.8</v>
      </c>
      <c r="AL410" s="23" t="n">
        <v>0</v>
      </c>
      <c r="AM410" s="16" t="n">
        <f aca="false">COUNTIFS($D$2:$D$2501,D410,$G$2:$G$2501,"&gt;"&amp;G410)+COUNTIFS($D$2:D410,D410,$G$2:G410,G410)</f>
        <v>209</v>
      </c>
      <c r="AN410" s="5" t="str">
        <f aca="false">D410&amp;"|"&amp;AM410</f>
        <v>分析與報告生成|209</v>
      </c>
    </row>
    <row r="411" customFormat="false" ht="17.15" hidden="false" customHeight="false" outlineLevel="0" collapsed="false">
      <c r="A411" s="16" t="n">
        <f aca="false">RANK(G411,$G$2:$G$2501)+COUNTIF($G$2:G411,G411)-1</f>
        <v>410</v>
      </c>
      <c r="B411" s="11" t="s">
        <v>856</v>
      </c>
      <c r="C411" s="11" t="s">
        <v>1207</v>
      </c>
      <c r="D411" s="5" t="s">
        <v>72</v>
      </c>
      <c r="E411" s="5" t="s">
        <v>73</v>
      </c>
      <c r="F411" s="5"/>
      <c r="G411" s="22" t="n">
        <f aca="false">ROUND(SUM(I411:P411),3)</f>
        <v>70.976</v>
      </c>
      <c r="H411" s="5" t="str">
        <f aca="false">IF(G411&gt;=評分方法!$C$16,"優先評估",IF(G411&gt;=評分方法!$C$17,"列入候選",IF(G411&gt;=評分方法!$C$18,"特定情境","不建議")))</f>
        <v>列入候選</v>
      </c>
      <c r="I411" s="15" t="n">
        <f aca="false">AE411*評分方法!$C$5</f>
        <v>15</v>
      </c>
      <c r="J411" s="15" t="n">
        <f aca="false">AF411*評分方法!$C$6</f>
        <v>0</v>
      </c>
      <c r="K411" s="15" t="n">
        <f aca="false">AG411*評分方法!$C$7</f>
        <v>15</v>
      </c>
      <c r="L411" s="15" t="n">
        <f aca="false">AH411*評分方法!$C$8</f>
        <v>15</v>
      </c>
      <c r="M411" s="15" t="n">
        <f aca="false">AI411*評分方法!$C$9</f>
        <v>10</v>
      </c>
      <c r="N411" s="15" t="n">
        <f aca="false">AJ411*評分方法!$C$10</f>
        <v>9.976</v>
      </c>
      <c r="O411" s="15" t="n">
        <f aca="false">AK411*評分方法!$C$11</f>
        <v>1</v>
      </c>
      <c r="P411" s="15" t="n">
        <f aca="false">AL411*評分方法!$C$12</f>
        <v>5</v>
      </c>
      <c r="Q411" s="6" t="n">
        <v>120043932</v>
      </c>
      <c r="R411" s="6" t="n">
        <v>278885778</v>
      </c>
      <c r="S411" s="11" t="s">
        <v>238</v>
      </c>
      <c r="T411" s="11" t="s">
        <v>278</v>
      </c>
      <c r="U411" s="5" t="s">
        <v>240</v>
      </c>
      <c r="V411" s="11" t="s">
        <v>320</v>
      </c>
      <c r="W411" s="5" t="s">
        <v>205</v>
      </c>
      <c r="X411" s="5" t="s">
        <v>284</v>
      </c>
      <c r="Y411" s="5"/>
      <c r="Z411" s="5"/>
      <c r="AA411" s="11" t="s">
        <v>162</v>
      </c>
      <c r="AB411" s="5" t="s">
        <v>245</v>
      </c>
      <c r="AC411" s="5"/>
      <c r="AD411" s="11" t="s">
        <v>1242</v>
      </c>
      <c r="AE411" s="23" t="n">
        <v>0.5</v>
      </c>
      <c r="AF411" s="23" t="n">
        <v>0</v>
      </c>
      <c r="AG411" s="23" t="n">
        <v>1</v>
      </c>
      <c r="AH411" s="23" t="n">
        <v>1</v>
      </c>
      <c r="AI411" s="23" t="n">
        <v>1</v>
      </c>
      <c r="AJ411" s="23" t="n">
        <v>0.9976</v>
      </c>
      <c r="AK411" s="23" t="n">
        <v>0.2</v>
      </c>
      <c r="AL411" s="23" t="n">
        <v>1</v>
      </c>
      <c r="AM411" s="16" t="n">
        <f aca="false">COUNTIFS($D$2:$D$2501,D411,$G$2:$G$2501,"&gt;"&amp;G411)+COUNTIFS($D$2:D411,D411,$G$2:G411,G411)</f>
        <v>2</v>
      </c>
      <c r="AN411" s="5" t="str">
        <f aca="false">D411&amp;"|"&amp;AM411</f>
        <v>微調基底模型|2</v>
      </c>
    </row>
    <row r="412" customFormat="false" ht="17.15" hidden="false" customHeight="false" outlineLevel="0" collapsed="false">
      <c r="A412" s="16" t="n">
        <f aca="false">RANK(G412,$G$2:$G$2501)+COUNTIF($G$2:G412,G412)-1</f>
        <v>411</v>
      </c>
      <c r="B412" s="11" t="s">
        <v>1243</v>
      </c>
      <c r="C412" s="11" t="s">
        <v>900</v>
      </c>
      <c r="D412" s="5" t="s">
        <v>56</v>
      </c>
      <c r="E412" s="5" t="s">
        <v>57</v>
      </c>
      <c r="F412" s="5"/>
      <c r="G412" s="22" t="n">
        <f aca="false">ROUND(SUM(I412:P412),3)</f>
        <v>70.974</v>
      </c>
      <c r="H412" s="5" t="str">
        <f aca="false">IF(G412&gt;=評分方法!$C$16,"優先評估",IF(G412&gt;=評分方法!$C$17,"列入候選",IF(G412&gt;=評分方法!$C$18,"特定情境","不建議")))</f>
        <v>列入候選</v>
      </c>
      <c r="I412" s="15" t="n">
        <f aca="false">AE412*評分方法!$C$5</f>
        <v>25.5</v>
      </c>
      <c r="J412" s="15" t="n">
        <f aca="false">AF412*評分方法!$C$6</f>
        <v>0</v>
      </c>
      <c r="K412" s="15" t="n">
        <f aca="false">AG412*評分方法!$C$7</f>
        <v>15</v>
      </c>
      <c r="L412" s="15" t="n">
        <f aca="false">AH412*評分方法!$C$8</f>
        <v>13.05</v>
      </c>
      <c r="M412" s="15" t="n">
        <f aca="false">AI412*評分方法!$C$9</f>
        <v>7</v>
      </c>
      <c r="N412" s="15" t="n">
        <f aca="false">AJ412*評分方法!$C$10</f>
        <v>6.424</v>
      </c>
      <c r="O412" s="15" t="n">
        <f aca="false">AK412*評分方法!$C$11</f>
        <v>1</v>
      </c>
      <c r="P412" s="15" t="n">
        <f aca="false">AL412*評分方法!$C$12</f>
        <v>3</v>
      </c>
      <c r="Q412" s="6" t="n">
        <v>731816</v>
      </c>
      <c r="R412" s="6" t="n">
        <v>3030371328</v>
      </c>
      <c r="S412" s="11" t="s">
        <v>254</v>
      </c>
      <c r="T412" s="11" t="s">
        <v>901</v>
      </c>
      <c r="U412" s="5" t="s">
        <v>902</v>
      </c>
      <c r="V412" s="11" t="s">
        <v>261</v>
      </c>
      <c r="W412" s="5" t="s">
        <v>205</v>
      </c>
      <c r="X412" s="5" t="s">
        <v>371</v>
      </c>
      <c r="Y412" s="5"/>
      <c r="Z412" s="5"/>
      <c r="AA412" s="11" t="s">
        <v>155</v>
      </c>
      <c r="AB412" s="5" t="s">
        <v>245</v>
      </c>
      <c r="AC412" s="5"/>
      <c r="AD412" s="11" t="s">
        <v>1244</v>
      </c>
      <c r="AE412" s="23" t="n">
        <v>0.85</v>
      </c>
      <c r="AF412" s="23" t="n">
        <v>0</v>
      </c>
      <c r="AG412" s="23" t="n">
        <v>1</v>
      </c>
      <c r="AH412" s="23" t="n">
        <v>0.87</v>
      </c>
      <c r="AI412" s="23" t="n">
        <v>0.7</v>
      </c>
      <c r="AJ412" s="23" t="n">
        <v>0.6424</v>
      </c>
      <c r="AK412" s="23" t="n">
        <v>0.2</v>
      </c>
      <c r="AL412" s="23" t="n">
        <v>0.6</v>
      </c>
      <c r="AM412" s="16" t="n">
        <f aca="false">COUNTIFS($D$2:$D$2501,D412,$G$2:$G$2501,"&gt;"&amp;G412)+COUNTIFS($D$2:D412,D412,$G$2:G412,G412)</f>
        <v>210</v>
      </c>
      <c r="AN412" s="5" t="str">
        <f aca="false">D412&amp;"|"&amp;AM412</f>
        <v>分析與報告生成|210</v>
      </c>
    </row>
    <row r="413" customFormat="false" ht="17.15" hidden="false" customHeight="false" outlineLevel="0" collapsed="false">
      <c r="A413" s="16" t="n">
        <f aca="false">RANK(G413,$G$2:$G$2501)+COUNTIF($G$2:G413,G413)-1</f>
        <v>412</v>
      </c>
      <c r="B413" s="11" t="s">
        <v>1245</v>
      </c>
      <c r="C413" s="11" t="s">
        <v>548</v>
      </c>
      <c r="D413" s="5" t="s">
        <v>56</v>
      </c>
      <c r="E413" s="5" t="s">
        <v>57</v>
      </c>
      <c r="F413" s="5"/>
      <c r="G413" s="22" t="n">
        <f aca="false">ROUND(SUM(I413:P413),3)</f>
        <v>70.966</v>
      </c>
      <c r="H413" s="5" t="str">
        <f aca="false">IF(G413&gt;=評分方法!$C$16,"優先評估",IF(G413&gt;=評分方法!$C$17,"列入候選",IF(G413&gt;=評分方法!$C$18,"特定情境","不建議")))</f>
        <v>列入候選</v>
      </c>
      <c r="I413" s="15" t="n">
        <f aca="false">AE413*評分方法!$C$5</f>
        <v>25.5</v>
      </c>
      <c r="J413" s="15" t="n">
        <f aca="false">AF413*評分方法!$C$6</f>
        <v>0</v>
      </c>
      <c r="K413" s="15" t="n">
        <f aca="false">AG413*評分方法!$C$7</f>
        <v>15</v>
      </c>
      <c r="L413" s="15" t="n">
        <f aca="false">AH413*評分方法!$C$8</f>
        <v>13.05</v>
      </c>
      <c r="M413" s="15" t="n">
        <f aca="false">AI413*評分方法!$C$9</f>
        <v>10</v>
      </c>
      <c r="N413" s="15" t="n">
        <f aca="false">AJ413*評分方法!$C$10</f>
        <v>6.416</v>
      </c>
      <c r="O413" s="15" t="n">
        <f aca="false">AK413*評分方法!$C$11</f>
        <v>1</v>
      </c>
      <c r="P413" s="15" t="n">
        <f aca="false">AL413*評分方法!$C$12</f>
        <v>0</v>
      </c>
      <c r="Q413" s="6" t="n">
        <v>729290</v>
      </c>
      <c r="R413" s="6" t="n">
        <v>1078891008</v>
      </c>
      <c r="S413" s="11" t="s">
        <v>254</v>
      </c>
      <c r="T413" s="11" t="s">
        <v>239</v>
      </c>
      <c r="U413" s="5" t="s">
        <v>240</v>
      </c>
      <c r="V413" s="11" t="s">
        <v>324</v>
      </c>
      <c r="W413" s="5" t="s">
        <v>205</v>
      </c>
      <c r="X413" s="5" t="s">
        <v>242</v>
      </c>
      <c r="Y413" s="5"/>
      <c r="Z413" s="5"/>
      <c r="AA413" s="11" t="s">
        <v>155</v>
      </c>
      <c r="AB413" s="5" t="s">
        <v>245</v>
      </c>
      <c r="AC413" s="5"/>
      <c r="AD413" s="11" t="s">
        <v>1246</v>
      </c>
      <c r="AE413" s="23" t="n">
        <v>0.85</v>
      </c>
      <c r="AF413" s="23" t="n">
        <v>0</v>
      </c>
      <c r="AG413" s="23" t="n">
        <v>1</v>
      </c>
      <c r="AH413" s="23" t="n">
        <v>0.87</v>
      </c>
      <c r="AI413" s="23" t="n">
        <v>1</v>
      </c>
      <c r="AJ413" s="23" t="n">
        <v>0.6416</v>
      </c>
      <c r="AK413" s="23" t="n">
        <v>0.2</v>
      </c>
      <c r="AL413" s="23" t="n">
        <v>0</v>
      </c>
      <c r="AM413" s="16" t="n">
        <f aca="false">COUNTIFS($D$2:$D$2501,D413,$G$2:$G$2501,"&gt;"&amp;G413)+COUNTIFS($D$2:D413,D413,$G$2:G413,G413)</f>
        <v>211</v>
      </c>
      <c r="AN413" s="5" t="str">
        <f aca="false">D413&amp;"|"&amp;AM413</f>
        <v>分析與報告生成|211</v>
      </c>
    </row>
    <row r="414" customFormat="false" ht="17.15" hidden="false" customHeight="false" outlineLevel="0" collapsed="false">
      <c r="A414" s="16" t="n">
        <f aca="false">RANK(G414,$G$2:$G$2501)+COUNTIF($G$2:G414,G414)-1</f>
        <v>413</v>
      </c>
      <c r="B414" s="11" t="s">
        <v>1247</v>
      </c>
      <c r="C414" s="11" t="s">
        <v>338</v>
      </c>
      <c r="D414" s="5" t="s">
        <v>56</v>
      </c>
      <c r="E414" s="5" t="s">
        <v>57</v>
      </c>
      <c r="F414" s="5"/>
      <c r="G414" s="22" t="n">
        <f aca="false">ROUND(SUM(I414:P414),3)</f>
        <v>70.948</v>
      </c>
      <c r="H414" s="5" t="str">
        <f aca="false">IF(G414&gt;=評分方法!$C$16,"優先評估",IF(G414&gt;=評分方法!$C$17,"列入候選",IF(G414&gt;=評分方法!$C$18,"特定情境","不建議")))</f>
        <v>列入候選</v>
      </c>
      <c r="I414" s="15" t="n">
        <f aca="false">AE414*評分方法!$C$5</f>
        <v>25.5</v>
      </c>
      <c r="J414" s="15" t="n">
        <f aca="false">AF414*評分方法!$C$6</f>
        <v>0</v>
      </c>
      <c r="K414" s="15" t="n">
        <f aca="false">AG414*評分方法!$C$7</f>
        <v>15</v>
      </c>
      <c r="L414" s="15" t="n">
        <f aca="false">AH414*評分方法!$C$8</f>
        <v>9</v>
      </c>
      <c r="M414" s="15" t="n">
        <f aca="false">AI414*評分方法!$C$9</f>
        <v>10</v>
      </c>
      <c r="N414" s="15" t="n">
        <f aca="false">AJ414*評分方法!$C$10</f>
        <v>3.948</v>
      </c>
      <c r="O414" s="15" t="n">
        <f aca="false">AK414*評分方法!$C$11</f>
        <v>2.5</v>
      </c>
      <c r="P414" s="15" t="n">
        <f aca="false">AL414*評分方法!$C$12</f>
        <v>5</v>
      </c>
      <c r="Q414" s="6" t="n">
        <v>409703</v>
      </c>
      <c r="R414" s="6" t="n">
        <v>23572403200</v>
      </c>
      <c r="S414" s="11" t="s">
        <v>389</v>
      </c>
      <c r="T414" s="11" t="s">
        <v>239</v>
      </c>
      <c r="U414" s="5" t="s">
        <v>240</v>
      </c>
      <c r="V414" s="11" t="s">
        <v>261</v>
      </c>
      <c r="W414" s="5" t="s">
        <v>205</v>
      </c>
      <c r="X414" s="5" t="s">
        <v>284</v>
      </c>
      <c r="Y414" s="11" t="s">
        <v>1248</v>
      </c>
      <c r="Z414" s="11" t="s">
        <v>270</v>
      </c>
      <c r="AA414" s="11" t="s">
        <v>155</v>
      </c>
      <c r="AB414" s="5" t="s">
        <v>328</v>
      </c>
      <c r="AC414" s="5" t="s">
        <v>400</v>
      </c>
      <c r="AD414" s="11" t="s">
        <v>1249</v>
      </c>
      <c r="AE414" s="23" t="n">
        <v>0.85</v>
      </c>
      <c r="AF414" s="23" t="n">
        <v>0</v>
      </c>
      <c r="AG414" s="23" t="n">
        <v>1</v>
      </c>
      <c r="AH414" s="23" t="n">
        <v>0.6</v>
      </c>
      <c r="AI414" s="23" t="n">
        <v>1</v>
      </c>
      <c r="AJ414" s="23" t="n">
        <v>0.3948</v>
      </c>
      <c r="AK414" s="23" t="n">
        <v>0.5</v>
      </c>
      <c r="AL414" s="23" t="n">
        <v>1</v>
      </c>
      <c r="AM414" s="16" t="n">
        <f aca="false">COUNTIFS($D$2:$D$2501,D414,$G$2:$G$2501,"&gt;"&amp;G414)+COUNTIFS($D$2:D414,D414,$G$2:G414,G414)</f>
        <v>212</v>
      </c>
      <c r="AN414" s="5" t="str">
        <f aca="false">D414&amp;"|"&amp;AM414</f>
        <v>分析與報告生成|212</v>
      </c>
    </row>
    <row r="415" customFormat="false" ht="17.15" hidden="false" customHeight="false" outlineLevel="0" collapsed="false">
      <c r="A415" s="16" t="n">
        <f aca="false">RANK(G415,$G$2:$G$2501)+COUNTIF($G$2:G415,G415)-1</f>
        <v>414</v>
      </c>
      <c r="B415" s="11" t="s">
        <v>1250</v>
      </c>
      <c r="C415" s="11" t="s">
        <v>1111</v>
      </c>
      <c r="D415" s="5" t="s">
        <v>56</v>
      </c>
      <c r="E415" s="5" t="s">
        <v>57</v>
      </c>
      <c r="F415" s="5"/>
      <c r="G415" s="22" t="n">
        <f aca="false">ROUND(SUM(I415:P415),3)</f>
        <v>70.938</v>
      </c>
      <c r="H415" s="5" t="str">
        <f aca="false">IF(G415&gt;=評分方法!$C$16,"優先評估",IF(G415&gt;=評分方法!$C$17,"列入候選",IF(G415&gt;=評分方法!$C$18,"特定情境","不建議")))</f>
        <v>列入候選</v>
      </c>
      <c r="I415" s="15" t="n">
        <f aca="false">AE415*評分方法!$C$5</f>
        <v>25.5</v>
      </c>
      <c r="J415" s="15" t="n">
        <f aca="false">AF415*評分方法!$C$6</f>
        <v>0</v>
      </c>
      <c r="K415" s="15" t="n">
        <f aca="false">AG415*評分方法!$C$7</f>
        <v>10.05</v>
      </c>
      <c r="L415" s="15" t="n">
        <f aca="false">AH415*評分方法!$C$8</f>
        <v>9</v>
      </c>
      <c r="M415" s="15" t="n">
        <f aca="false">AI415*評分方法!$C$9</f>
        <v>10</v>
      </c>
      <c r="N415" s="15" t="n">
        <f aca="false">AJ415*評分方法!$C$10</f>
        <v>8.388</v>
      </c>
      <c r="O415" s="15" t="n">
        <f aca="false">AK415*評分方法!$C$11</f>
        <v>5</v>
      </c>
      <c r="P415" s="15" t="n">
        <f aca="false">AL415*評分方法!$C$12</f>
        <v>3</v>
      </c>
      <c r="Q415" s="6" t="n">
        <v>2044986</v>
      </c>
      <c r="R415" s="6" t="n">
        <v>32682375020</v>
      </c>
      <c r="S415" s="11" t="s">
        <v>389</v>
      </c>
      <c r="T415" s="11" t="s">
        <v>239</v>
      </c>
      <c r="U415" s="5" t="s">
        <v>240</v>
      </c>
      <c r="V415" s="11" t="s">
        <v>261</v>
      </c>
      <c r="W415" s="5" t="s">
        <v>207</v>
      </c>
      <c r="X415" s="5" t="s">
        <v>371</v>
      </c>
      <c r="Y415" s="11" t="s">
        <v>583</v>
      </c>
      <c r="Z415" s="11" t="s">
        <v>244</v>
      </c>
      <c r="AA415" s="11" t="s">
        <v>156</v>
      </c>
      <c r="AB415" s="5" t="s">
        <v>245</v>
      </c>
      <c r="AC415" s="5" t="s">
        <v>246</v>
      </c>
      <c r="AD415" s="11" t="s">
        <v>1251</v>
      </c>
      <c r="AE415" s="23" t="n">
        <v>0.85</v>
      </c>
      <c r="AF415" s="23" t="n">
        <v>0</v>
      </c>
      <c r="AG415" s="23" t="n">
        <v>0.67</v>
      </c>
      <c r="AH415" s="23" t="n">
        <v>0.6</v>
      </c>
      <c r="AI415" s="23" t="n">
        <v>1</v>
      </c>
      <c r="AJ415" s="23" t="n">
        <v>0.8388</v>
      </c>
      <c r="AK415" s="23" t="n">
        <v>1</v>
      </c>
      <c r="AL415" s="23" t="n">
        <v>0.6</v>
      </c>
      <c r="AM415" s="16" t="n">
        <f aca="false">COUNTIFS($D$2:$D$2501,D415,$G$2:$G$2501,"&gt;"&amp;G415)+COUNTIFS($D$2:D415,D415,$G$2:G415,G415)</f>
        <v>213</v>
      </c>
      <c r="AN415" s="5" t="str">
        <f aca="false">D415&amp;"|"&amp;AM415</f>
        <v>分析與報告生成|213</v>
      </c>
    </row>
    <row r="416" customFormat="false" ht="17.15" hidden="false" customHeight="false" outlineLevel="0" collapsed="false">
      <c r="A416" s="16" t="n">
        <f aca="false">RANK(G416,$G$2:$G$2501)+COUNTIF($G$2:G416,G416)-1</f>
        <v>415</v>
      </c>
      <c r="B416" s="11" t="s">
        <v>1252</v>
      </c>
      <c r="C416" s="11" t="s">
        <v>1207</v>
      </c>
      <c r="D416" s="5" t="s">
        <v>72</v>
      </c>
      <c r="E416" s="5" t="s">
        <v>73</v>
      </c>
      <c r="F416" s="5"/>
      <c r="G416" s="22" t="n">
        <f aca="false">ROUND(SUM(I416:P416),3)</f>
        <v>70.872</v>
      </c>
      <c r="H416" s="5" t="str">
        <f aca="false">IF(G416&gt;=評分方法!$C$16,"優先評估",IF(G416&gt;=評分方法!$C$17,"列入候選",IF(G416&gt;=評分方法!$C$18,"特定情境","不建議")))</f>
        <v>列入候選</v>
      </c>
      <c r="I416" s="15" t="n">
        <f aca="false">AE416*評分方法!$C$5</f>
        <v>15</v>
      </c>
      <c r="J416" s="15" t="n">
        <f aca="false">AF416*評分方法!$C$6</f>
        <v>0</v>
      </c>
      <c r="K416" s="15" t="n">
        <f aca="false">AG416*評分方法!$C$7</f>
        <v>15</v>
      </c>
      <c r="L416" s="15" t="n">
        <f aca="false">AH416*評分方法!$C$8</f>
        <v>15</v>
      </c>
      <c r="M416" s="15" t="n">
        <f aca="false">AI416*評分方法!$C$9</f>
        <v>10</v>
      </c>
      <c r="N416" s="15" t="n">
        <f aca="false">AJ416*評分方法!$C$10</f>
        <v>9.872</v>
      </c>
      <c r="O416" s="15" t="n">
        <f aca="false">AK416*評分方法!$C$11</f>
        <v>1</v>
      </c>
      <c r="P416" s="15" t="n">
        <f aca="false">AL416*評分方法!$C$12</f>
        <v>5</v>
      </c>
      <c r="Q416" s="6" t="n">
        <v>34529992</v>
      </c>
      <c r="R416" s="6" t="n">
        <v>561192082</v>
      </c>
      <c r="S416" s="11" t="s">
        <v>238</v>
      </c>
      <c r="T416" s="11" t="s">
        <v>278</v>
      </c>
      <c r="U416" s="5" t="s">
        <v>240</v>
      </c>
      <c r="V416" s="11" t="s">
        <v>320</v>
      </c>
      <c r="W416" s="5" t="s">
        <v>205</v>
      </c>
      <c r="X416" s="5" t="s">
        <v>284</v>
      </c>
      <c r="Y416" s="5"/>
      <c r="Z416" s="5"/>
      <c r="AA416" s="11" t="s">
        <v>162</v>
      </c>
      <c r="AB416" s="5" t="s">
        <v>245</v>
      </c>
      <c r="AC416" s="5"/>
      <c r="AD416" s="11" t="s">
        <v>1253</v>
      </c>
      <c r="AE416" s="23" t="n">
        <v>0.5</v>
      </c>
      <c r="AF416" s="23" t="n">
        <v>0</v>
      </c>
      <c r="AG416" s="23" t="n">
        <v>1</v>
      </c>
      <c r="AH416" s="23" t="n">
        <v>1</v>
      </c>
      <c r="AI416" s="23" t="n">
        <v>1</v>
      </c>
      <c r="AJ416" s="23" t="n">
        <v>0.9872</v>
      </c>
      <c r="AK416" s="23" t="n">
        <v>0.2</v>
      </c>
      <c r="AL416" s="23" t="n">
        <v>1</v>
      </c>
      <c r="AM416" s="16" t="n">
        <f aca="false">COUNTIFS($D$2:$D$2501,D416,$G$2:$G$2501,"&gt;"&amp;G416)+COUNTIFS($D$2:D416,D416,$G$2:G416,G416)</f>
        <v>3</v>
      </c>
      <c r="AN416" s="5" t="str">
        <f aca="false">D416&amp;"|"&amp;AM416</f>
        <v>微調基底模型|3</v>
      </c>
    </row>
    <row r="417" customFormat="false" ht="17.15" hidden="false" customHeight="false" outlineLevel="0" collapsed="false">
      <c r="A417" s="16" t="n">
        <f aca="false">RANK(G417,$G$2:$G$2501)+COUNTIF($G$2:G417,G417)-1</f>
        <v>416</v>
      </c>
      <c r="B417" s="11" t="s">
        <v>1254</v>
      </c>
      <c r="C417" s="11" t="s">
        <v>998</v>
      </c>
      <c r="D417" s="5" t="s">
        <v>56</v>
      </c>
      <c r="E417" s="5" t="s">
        <v>57</v>
      </c>
      <c r="F417" s="5"/>
      <c r="G417" s="22" t="n">
        <f aca="false">ROUND(SUM(I417:P417),3)</f>
        <v>70.87</v>
      </c>
      <c r="H417" s="5" t="str">
        <f aca="false">IF(G417&gt;=評分方法!$C$16,"優先評估",IF(G417&gt;=評分方法!$C$17,"列入候選",IF(G417&gt;=評分方法!$C$18,"特定情境","不建議")))</f>
        <v>列入候選</v>
      </c>
      <c r="I417" s="15" t="n">
        <f aca="false">AE417*評分方法!$C$5</f>
        <v>25.5</v>
      </c>
      <c r="J417" s="15" t="n">
        <f aca="false">AF417*評分方法!$C$6</f>
        <v>0</v>
      </c>
      <c r="K417" s="15" t="n">
        <f aca="false">AG417*評分方法!$C$7</f>
        <v>10.05</v>
      </c>
      <c r="L417" s="15" t="n">
        <f aca="false">AH417*評分方法!$C$8</f>
        <v>9</v>
      </c>
      <c r="M417" s="15" t="n">
        <f aca="false">AI417*評分方法!$C$9</f>
        <v>10</v>
      </c>
      <c r="N417" s="15" t="n">
        <f aca="false">AJ417*評分方法!$C$10</f>
        <v>8.32</v>
      </c>
      <c r="O417" s="15" t="n">
        <f aca="false">AK417*評分方法!$C$11</f>
        <v>5</v>
      </c>
      <c r="P417" s="15" t="n">
        <f aca="false">AL417*評分方法!$C$12</f>
        <v>3</v>
      </c>
      <c r="Q417" s="6" t="n">
        <v>1942501</v>
      </c>
      <c r="R417" s="6" t="n">
        <v>25233142046</v>
      </c>
      <c r="S417" s="11" t="s">
        <v>389</v>
      </c>
      <c r="T417" s="11" t="s">
        <v>239</v>
      </c>
      <c r="U417" s="5" t="s">
        <v>240</v>
      </c>
      <c r="V417" s="11" t="s">
        <v>333</v>
      </c>
      <c r="W417" s="5" t="s">
        <v>207</v>
      </c>
      <c r="X417" s="5" t="s">
        <v>371</v>
      </c>
      <c r="Y417" s="11" t="s">
        <v>575</v>
      </c>
      <c r="Z417" s="11" t="s">
        <v>244</v>
      </c>
      <c r="AA417" s="11" t="s">
        <v>156</v>
      </c>
      <c r="AB417" s="5" t="s">
        <v>245</v>
      </c>
      <c r="AC417" s="5" t="s">
        <v>246</v>
      </c>
      <c r="AD417" s="11" t="s">
        <v>1255</v>
      </c>
      <c r="AE417" s="23" t="n">
        <v>0.85</v>
      </c>
      <c r="AF417" s="23" t="n">
        <v>0</v>
      </c>
      <c r="AG417" s="23" t="n">
        <v>0.67</v>
      </c>
      <c r="AH417" s="23" t="n">
        <v>0.6</v>
      </c>
      <c r="AI417" s="23" t="n">
        <v>1</v>
      </c>
      <c r="AJ417" s="23" t="n">
        <v>0.832</v>
      </c>
      <c r="AK417" s="23" t="n">
        <v>1</v>
      </c>
      <c r="AL417" s="23" t="n">
        <v>0.6</v>
      </c>
      <c r="AM417" s="16" t="n">
        <f aca="false">COUNTIFS($D$2:$D$2501,D417,$G$2:$G$2501,"&gt;"&amp;G417)+COUNTIFS($D$2:D417,D417,$G$2:G417,G417)</f>
        <v>214</v>
      </c>
      <c r="AN417" s="5" t="str">
        <f aca="false">D417&amp;"|"&amp;AM417</f>
        <v>分析與報告生成|214</v>
      </c>
    </row>
    <row r="418" customFormat="false" ht="17.15" hidden="false" customHeight="false" outlineLevel="0" collapsed="false">
      <c r="A418" s="16" t="n">
        <f aca="false">RANK(G418,$G$2:$G$2501)+COUNTIF($G$2:G418,G418)-1</f>
        <v>417</v>
      </c>
      <c r="B418" s="11" t="s">
        <v>1256</v>
      </c>
      <c r="C418" s="11" t="s">
        <v>338</v>
      </c>
      <c r="D418" s="5" t="s">
        <v>56</v>
      </c>
      <c r="E418" s="5" t="s">
        <v>57</v>
      </c>
      <c r="F418" s="5"/>
      <c r="G418" s="22" t="n">
        <f aca="false">ROUND(SUM(I418:P418),3)</f>
        <v>70.85</v>
      </c>
      <c r="H418" s="5" t="str">
        <f aca="false">IF(G418&gt;=評分方法!$C$16,"優先評估",IF(G418&gt;=評分方法!$C$17,"列入候選",IF(G418&gt;=評分方法!$C$18,"特定情境","不建議")))</f>
        <v>列入候選</v>
      </c>
      <c r="I418" s="15" t="n">
        <f aca="false">AE418*評分方法!$C$5</f>
        <v>25.5</v>
      </c>
      <c r="J418" s="15" t="n">
        <f aca="false">AF418*評分方法!$C$6</f>
        <v>0</v>
      </c>
      <c r="K418" s="15" t="n">
        <f aca="false">AG418*評分方法!$C$7</f>
        <v>15</v>
      </c>
      <c r="L418" s="15" t="n">
        <f aca="false">AH418*評分方法!$C$8</f>
        <v>13.05</v>
      </c>
      <c r="M418" s="15" t="n">
        <f aca="false">AI418*評分方法!$C$9</f>
        <v>10</v>
      </c>
      <c r="N418" s="15" t="n">
        <f aca="false">AJ418*評分方法!$C$10</f>
        <v>1.8</v>
      </c>
      <c r="O418" s="15" t="n">
        <f aca="false">AK418*評分方法!$C$11</f>
        <v>2.5</v>
      </c>
      <c r="P418" s="15" t="n">
        <f aca="false">AL418*評分方法!$C$12</f>
        <v>3</v>
      </c>
      <c r="Q418" s="6" t="n">
        <v>196184</v>
      </c>
      <c r="R418" s="6" t="n">
        <v>7285403648</v>
      </c>
      <c r="S418" s="11" t="s">
        <v>254</v>
      </c>
      <c r="T418" s="11" t="s">
        <v>239</v>
      </c>
      <c r="U418" s="5" t="s">
        <v>240</v>
      </c>
      <c r="V418" s="11" t="s">
        <v>261</v>
      </c>
      <c r="W418" s="5" t="s">
        <v>205</v>
      </c>
      <c r="X418" s="5" t="s">
        <v>371</v>
      </c>
      <c r="Y418" s="5"/>
      <c r="Z418" s="5"/>
      <c r="AA418" s="11" t="s">
        <v>155</v>
      </c>
      <c r="AB418" s="5" t="s">
        <v>961</v>
      </c>
      <c r="AC418" s="5" t="s">
        <v>1203</v>
      </c>
      <c r="AD418" s="11" t="s">
        <v>1257</v>
      </c>
      <c r="AE418" s="23" t="n">
        <v>0.85</v>
      </c>
      <c r="AF418" s="23" t="n">
        <v>0</v>
      </c>
      <c r="AG418" s="23" t="n">
        <v>1</v>
      </c>
      <c r="AH418" s="23" t="n">
        <v>0.87</v>
      </c>
      <c r="AI418" s="23" t="n">
        <v>1</v>
      </c>
      <c r="AJ418" s="23" t="n">
        <v>0.18</v>
      </c>
      <c r="AK418" s="23" t="n">
        <v>0.5</v>
      </c>
      <c r="AL418" s="23" t="n">
        <v>0.6</v>
      </c>
      <c r="AM418" s="16" t="n">
        <f aca="false">COUNTIFS($D$2:$D$2501,D418,$G$2:$G$2501,"&gt;"&amp;G418)+COUNTIFS($D$2:D418,D418,$G$2:G418,G418)</f>
        <v>215</v>
      </c>
      <c r="AN418" s="5" t="str">
        <f aca="false">D418&amp;"|"&amp;AM418</f>
        <v>分析與報告生成|215</v>
      </c>
    </row>
    <row r="419" customFormat="false" ht="17.15" hidden="false" customHeight="false" outlineLevel="0" collapsed="false">
      <c r="A419" s="16" t="n">
        <f aca="false">RANK(G419,$G$2:$G$2501)+COUNTIF($G$2:G419,G419)-1</f>
        <v>418</v>
      </c>
      <c r="B419" s="11" t="s">
        <v>1258</v>
      </c>
      <c r="C419" s="11" t="s">
        <v>461</v>
      </c>
      <c r="D419" s="5" t="s">
        <v>56</v>
      </c>
      <c r="E419" s="5" t="s">
        <v>57</v>
      </c>
      <c r="F419" s="5"/>
      <c r="G419" s="22" t="n">
        <f aca="false">ROUND(SUM(I419:P419),3)</f>
        <v>70.836</v>
      </c>
      <c r="H419" s="5" t="str">
        <f aca="false">IF(G419&gt;=評分方法!$C$16,"優先評估",IF(G419&gt;=評分方法!$C$17,"列入候選",IF(G419&gt;=評分方法!$C$18,"特定情境","不建議")))</f>
        <v>列入候選</v>
      </c>
      <c r="I419" s="15" t="n">
        <f aca="false">AE419*評分方法!$C$5</f>
        <v>25.5</v>
      </c>
      <c r="J419" s="15" t="n">
        <f aca="false">AF419*評分方法!$C$6</f>
        <v>0</v>
      </c>
      <c r="K419" s="15" t="n">
        <f aca="false">AG419*評分方法!$C$7</f>
        <v>15</v>
      </c>
      <c r="L419" s="15" t="n">
        <f aca="false">AH419*評分方法!$C$8</f>
        <v>15</v>
      </c>
      <c r="M419" s="15" t="n">
        <f aca="false">AI419*評分方法!$C$9</f>
        <v>6</v>
      </c>
      <c r="N419" s="15" t="n">
        <f aca="false">AJ419*評分方法!$C$10</f>
        <v>4.336</v>
      </c>
      <c r="O419" s="15" t="n">
        <f aca="false">AK419*評分方法!$C$11</f>
        <v>5</v>
      </c>
      <c r="P419" s="15" t="n">
        <f aca="false">AL419*評分方法!$C$12</f>
        <v>0</v>
      </c>
      <c r="Q419" s="6" t="n">
        <v>476672</v>
      </c>
      <c r="R419" s="6" t="n">
        <v>450822656</v>
      </c>
      <c r="S419" s="11" t="s">
        <v>238</v>
      </c>
      <c r="T419" s="11" t="s">
        <v>185</v>
      </c>
      <c r="U419" s="5" t="s">
        <v>260</v>
      </c>
      <c r="V419" s="11" t="s">
        <v>261</v>
      </c>
      <c r="W419" s="5" t="s">
        <v>205</v>
      </c>
      <c r="X419" s="5" t="s">
        <v>242</v>
      </c>
      <c r="Y419" s="5"/>
      <c r="Z419" s="5"/>
      <c r="AA419" s="11" t="s">
        <v>156</v>
      </c>
      <c r="AB419" s="5" t="s">
        <v>245</v>
      </c>
      <c r="AC419" s="5" t="s">
        <v>262</v>
      </c>
      <c r="AD419" s="11" t="s">
        <v>1259</v>
      </c>
      <c r="AE419" s="23" t="n">
        <v>0.85</v>
      </c>
      <c r="AF419" s="23" t="n">
        <v>0</v>
      </c>
      <c r="AG419" s="23" t="n">
        <v>1</v>
      </c>
      <c r="AH419" s="23" t="n">
        <v>1</v>
      </c>
      <c r="AI419" s="23" t="n">
        <v>0.6</v>
      </c>
      <c r="AJ419" s="23" t="n">
        <v>0.4336</v>
      </c>
      <c r="AK419" s="23" t="n">
        <v>1</v>
      </c>
      <c r="AL419" s="23" t="n">
        <v>0</v>
      </c>
      <c r="AM419" s="16" t="n">
        <f aca="false">COUNTIFS($D$2:$D$2501,D419,$G$2:$G$2501,"&gt;"&amp;G419)+COUNTIFS($D$2:D419,D419,$G$2:G419,G419)</f>
        <v>216</v>
      </c>
      <c r="AN419" s="5" t="str">
        <f aca="false">D419&amp;"|"&amp;AM419</f>
        <v>分析與報告生成|216</v>
      </c>
    </row>
    <row r="420" customFormat="false" ht="17.15" hidden="false" customHeight="false" outlineLevel="0" collapsed="false">
      <c r="A420" s="16" t="n">
        <f aca="false">RANK(G420,$G$2:$G$2501)+COUNTIF($G$2:G420,G420)-1</f>
        <v>419</v>
      </c>
      <c r="B420" s="11" t="s">
        <v>1260</v>
      </c>
      <c r="C420" s="11" t="s">
        <v>1161</v>
      </c>
      <c r="D420" s="5" t="s">
        <v>72</v>
      </c>
      <c r="E420" s="5" t="s">
        <v>73</v>
      </c>
      <c r="F420" s="5"/>
      <c r="G420" s="22" t="n">
        <f aca="false">ROUND(SUM(I420:P420),3)</f>
        <v>70.832</v>
      </c>
      <c r="H420" s="5" t="str">
        <f aca="false">IF(G420&gt;=評分方法!$C$16,"優先評估",IF(G420&gt;=評分方法!$C$17,"列入候選",IF(G420&gt;=評分方法!$C$18,"特定情境","不建議")))</f>
        <v>列入候選</v>
      </c>
      <c r="I420" s="15" t="n">
        <f aca="false">AE420*評分方法!$C$5</f>
        <v>15</v>
      </c>
      <c r="J420" s="15" t="n">
        <f aca="false">AF420*評分方法!$C$6</f>
        <v>0</v>
      </c>
      <c r="K420" s="15" t="n">
        <f aca="false">AG420*評分方法!$C$7</f>
        <v>15</v>
      </c>
      <c r="L420" s="15" t="n">
        <f aca="false">AH420*評分方法!$C$8</f>
        <v>15</v>
      </c>
      <c r="M420" s="15" t="n">
        <f aca="false">AI420*評分方法!$C$9</f>
        <v>10</v>
      </c>
      <c r="N420" s="15" t="n">
        <f aca="false">AJ420*評分方法!$C$10</f>
        <v>9.832</v>
      </c>
      <c r="O420" s="15" t="n">
        <f aca="false">AK420*評分方法!$C$11</f>
        <v>1</v>
      </c>
      <c r="P420" s="15" t="n">
        <f aca="false">AL420*評分方法!$C$12</f>
        <v>5</v>
      </c>
      <c r="Q420" s="6" t="n">
        <v>23659402</v>
      </c>
      <c r="R420" s="6" t="n">
        <v>168055961</v>
      </c>
      <c r="S420" s="11" t="s">
        <v>238</v>
      </c>
      <c r="T420" s="11" t="s">
        <v>239</v>
      </c>
      <c r="U420" s="5" t="s">
        <v>240</v>
      </c>
      <c r="V420" s="11" t="s">
        <v>279</v>
      </c>
      <c r="W420" s="5" t="s">
        <v>205</v>
      </c>
      <c r="X420" s="5" t="s">
        <v>284</v>
      </c>
      <c r="Y420" s="5"/>
      <c r="Z420" s="5"/>
      <c r="AA420" s="11" t="s">
        <v>162</v>
      </c>
      <c r="AB420" s="5" t="s">
        <v>245</v>
      </c>
      <c r="AC420" s="5"/>
      <c r="AD420" s="11" t="s">
        <v>1261</v>
      </c>
      <c r="AE420" s="23" t="n">
        <v>0.5</v>
      </c>
      <c r="AF420" s="23" t="n">
        <v>0</v>
      </c>
      <c r="AG420" s="23" t="n">
        <v>1</v>
      </c>
      <c r="AH420" s="23" t="n">
        <v>1</v>
      </c>
      <c r="AI420" s="23" t="n">
        <v>1</v>
      </c>
      <c r="AJ420" s="23" t="n">
        <v>0.9832</v>
      </c>
      <c r="AK420" s="23" t="n">
        <v>0.2</v>
      </c>
      <c r="AL420" s="23" t="n">
        <v>1</v>
      </c>
      <c r="AM420" s="16" t="n">
        <f aca="false">COUNTIFS($D$2:$D$2501,D420,$G$2:$G$2501,"&gt;"&amp;G420)+COUNTIFS($D$2:D420,D420,$G$2:G420,G420)</f>
        <v>4</v>
      </c>
      <c r="AN420" s="5" t="str">
        <f aca="false">D420&amp;"|"&amp;AM420</f>
        <v>微調基底模型|4</v>
      </c>
    </row>
    <row r="421" customFormat="false" ht="17.15" hidden="false" customHeight="false" outlineLevel="0" collapsed="false">
      <c r="A421" s="16" t="n">
        <f aca="false">RANK(G421,$G$2:$G$2501)+COUNTIF($G$2:G421,G421)-1</f>
        <v>420</v>
      </c>
      <c r="B421" s="11" t="s">
        <v>1262</v>
      </c>
      <c r="C421" s="11" t="s">
        <v>368</v>
      </c>
      <c r="D421" s="5" t="s">
        <v>56</v>
      </c>
      <c r="E421" s="5" t="s">
        <v>57</v>
      </c>
      <c r="F421" s="5"/>
      <c r="G421" s="22" t="n">
        <f aca="false">ROUND(SUM(I421:P421),3)</f>
        <v>70.822</v>
      </c>
      <c r="H421" s="5" t="str">
        <f aca="false">IF(G421&gt;=評分方法!$C$16,"優先評估",IF(G421&gt;=評分方法!$C$17,"列入候選",IF(G421&gt;=評分方法!$C$18,"特定情境","不建議")))</f>
        <v>列入候選</v>
      </c>
      <c r="I421" s="15" t="n">
        <f aca="false">AE421*評分方法!$C$5</f>
        <v>25.5</v>
      </c>
      <c r="J421" s="15" t="n">
        <f aca="false">AF421*評分方法!$C$6</f>
        <v>0</v>
      </c>
      <c r="K421" s="15" t="n">
        <f aca="false">AG421*評分方法!$C$7</f>
        <v>15</v>
      </c>
      <c r="L421" s="15" t="n">
        <f aca="false">AH421*評分方法!$C$8</f>
        <v>13.05</v>
      </c>
      <c r="M421" s="15" t="n">
        <f aca="false">AI421*評分方法!$C$9</f>
        <v>6</v>
      </c>
      <c r="N421" s="15" t="n">
        <f aca="false">AJ421*評分方法!$C$10</f>
        <v>7.272</v>
      </c>
      <c r="O421" s="15" t="n">
        <f aca="false">AK421*評分方法!$C$11</f>
        <v>1</v>
      </c>
      <c r="P421" s="15" t="n">
        <f aca="false">AL421*評分方法!$C$12</f>
        <v>3</v>
      </c>
      <c r="Q421" s="6" t="n">
        <v>1033469</v>
      </c>
      <c r="R421" s="6" t="n">
        <v>2923466480</v>
      </c>
      <c r="S421" s="11" t="s">
        <v>254</v>
      </c>
      <c r="T421" s="11" t="s">
        <v>658</v>
      </c>
      <c r="U421" s="5" t="s">
        <v>260</v>
      </c>
      <c r="V421" s="11" t="s">
        <v>261</v>
      </c>
      <c r="W421" s="5" t="s">
        <v>205</v>
      </c>
      <c r="X421" s="5" t="s">
        <v>371</v>
      </c>
      <c r="Y421" s="5"/>
      <c r="Z421" s="5"/>
      <c r="AA421" s="11" t="s">
        <v>156</v>
      </c>
      <c r="AB421" s="5" t="s">
        <v>245</v>
      </c>
      <c r="AC421" s="5" t="s">
        <v>262</v>
      </c>
      <c r="AD421" s="11" t="s">
        <v>1263</v>
      </c>
      <c r="AE421" s="23" t="n">
        <v>0.85</v>
      </c>
      <c r="AF421" s="23" t="n">
        <v>0</v>
      </c>
      <c r="AG421" s="23" t="n">
        <v>1</v>
      </c>
      <c r="AH421" s="23" t="n">
        <v>0.87</v>
      </c>
      <c r="AI421" s="23" t="n">
        <v>0.6</v>
      </c>
      <c r="AJ421" s="23" t="n">
        <v>0.7272</v>
      </c>
      <c r="AK421" s="23" t="n">
        <v>0.2</v>
      </c>
      <c r="AL421" s="23" t="n">
        <v>0.6</v>
      </c>
      <c r="AM421" s="16" t="n">
        <f aca="false">COUNTIFS($D$2:$D$2501,D421,$G$2:$G$2501,"&gt;"&amp;G421)+COUNTIFS($D$2:D421,D421,$G$2:G421,G421)</f>
        <v>217</v>
      </c>
      <c r="AN421" s="5" t="str">
        <f aca="false">D421&amp;"|"&amp;AM421</f>
        <v>分析與報告生成|217</v>
      </c>
    </row>
    <row r="422" customFormat="false" ht="17.15" hidden="false" customHeight="false" outlineLevel="0" collapsed="false">
      <c r="A422" s="16" t="n">
        <f aca="false">RANK(G422,$G$2:$G$2501)+COUNTIF($G$2:G422,G422)-1</f>
        <v>421</v>
      </c>
      <c r="B422" s="11" t="s">
        <v>1264</v>
      </c>
      <c r="C422" s="11" t="s">
        <v>753</v>
      </c>
      <c r="D422" s="5" t="s">
        <v>56</v>
      </c>
      <c r="E422" s="5" t="s">
        <v>57</v>
      </c>
      <c r="F422" s="5"/>
      <c r="G422" s="22" t="n">
        <f aca="false">ROUND(SUM(I422:P422),3)</f>
        <v>70.818</v>
      </c>
      <c r="H422" s="5" t="str">
        <f aca="false">IF(G422&gt;=評分方法!$C$16,"優先評估",IF(G422&gt;=評分方法!$C$17,"列入候選",IF(G422&gt;=評分方法!$C$18,"特定情境","不建議")))</f>
        <v>列入候選</v>
      </c>
      <c r="I422" s="15" t="n">
        <f aca="false">AE422*評分方法!$C$5</f>
        <v>25.5</v>
      </c>
      <c r="J422" s="15" t="n">
        <f aca="false">AF422*評分方法!$C$6</f>
        <v>0</v>
      </c>
      <c r="K422" s="15" t="n">
        <f aca="false">AG422*評分方法!$C$7</f>
        <v>10.05</v>
      </c>
      <c r="L422" s="15" t="n">
        <f aca="false">AH422*評分方法!$C$8</f>
        <v>9</v>
      </c>
      <c r="M422" s="15" t="n">
        <f aca="false">AI422*評分方法!$C$9</f>
        <v>10</v>
      </c>
      <c r="N422" s="15" t="n">
        <f aca="false">AJ422*評分方法!$C$10</f>
        <v>8.268</v>
      </c>
      <c r="O422" s="15" t="n">
        <f aca="false">AK422*評分方法!$C$11</f>
        <v>5</v>
      </c>
      <c r="P422" s="15" t="n">
        <f aca="false">AL422*評分方法!$C$12</f>
        <v>3</v>
      </c>
      <c r="Q422" s="6" t="n">
        <v>1909457</v>
      </c>
      <c r="R422" s="6" t="n">
        <v>27854794240</v>
      </c>
      <c r="S422" s="11" t="s">
        <v>389</v>
      </c>
      <c r="T422" s="11" t="s">
        <v>239</v>
      </c>
      <c r="U422" s="5" t="s">
        <v>240</v>
      </c>
      <c r="V422" s="11" t="s">
        <v>333</v>
      </c>
      <c r="W422" s="5" t="s">
        <v>207</v>
      </c>
      <c r="X422" s="5" t="s">
        <v>371</v>
      </c>
      <c r="Y422" s="11" t="s">
        <v>1265</v>
      </c>
      <c r="Z422" s="11" t="s">
        <v>244</v>
      </c>
      <c r="AA422" s="11" t="s">
        <v>156</v>
      </c>
      <c r="AB422" s="5" t="s">
        <v>245</v>
      </c>
      <c r="AC422" s="5" t="s">
        <v>246</v>
      </c>
      <c r="AD422" s="11" t="s">
        <v>1266</v>
      </c>
      <c r="AE422" s="23" t="n">
        <v>0.85</v>
      </c>
      <c r="AF422" s="23" t="n">
        <v>0</v>
      </c>
      <c r="AG422" s="23" t="n">
        <v>0.67</v>
      </c>
      <c r="AH422" s="23" t="n">
        <v>0.6</v>
      </c>
      <c r="AI422" s="23" t="n">
        <v>1</v>
      </c>
      <c r="AJ422" s="23" t="n">
        <v>0.8268</v>
      </c>
      <c r="AK422" s="23" t="n">
        <v>1</v>
      </c>
      <c r="AL422" s="23" t="n">
        <v>0.6</v>
      </c>
      <c r="AM422" s="16" t="n">
        <f aca="false">COUNTIFS($D$2:$D$2501,D422,$G$2:$G$2501,"&gt;"&amp;G422)+COUNTIFS($D$2:D422,D422,$G$2:G422,G422)</f>
        <v>218</v>
      </c>
      <c r="AN422" s="5" t="str">
        <f aca="false">D422&amp;"|"&amp;AM422</f>
        <v>分析與報告生成|218</v>
      </c>
    </row>
    <row r="423" customFormat="false" ht="17.15" hidden="false" customHeight="false" outlineLevel="0" collapsed="false">
      <c r="A423" s="16" t="n">
        <f aca="false">RANK(G423,$G$2:$G$2501)+COUNTIF($G$2:G423,G423)-1</f>
        <v>422</v>
      </c>
      <c r="B423" s="11" t="s">
        <v>1267</v>
      </c>
      <c r="C423" s="11" t="s">
        <v>1012</v>
      </c>
      <c r="D423" s="5" t="s">
        <v>58</v>
      </c>
      <c r="E423" s="5" t="s">
        <v>59</v>
      </c>
      <c r="F423" s="5"/>
      <c r="G423" s="22" t="n">
        <f aca="false">ROUND(SUM(I423:P423),3)</f>
        <v>70.778</v>
      </c>
      <c r="H423" s="5" t="str">
        <f aca="false">IF(G423&gt;=評分方法!$C$16,"優先評估",IF(G423&gt;=評分方法!$C$17,"列入候選",IF(G423&gt;=評分方法!$C$18,"特定情境","不建議")))</f>
        <v>列入候選</v>
      </c>
      <c r="I423" s="15" t="n">
        <f aca="false">AE423*評分方法!$C$5</f>
        <v>28.5</v>
      </c>
      <c r="J423" s="15" t="n">
        <f aca="false">AF423*評分方法!$C$6</f>
        <v>0</v>
      </c>
      <c r="K423" s="15" t="n">
        <f aca="false">AG423*評分方法!$C$7</f>
        <v>4.95</v>
      </c>
      <c r="L423" s="15" t="n">
        <f aca="false">AH423*評分方法!$C$8</f>
        <v>15</v>
      </c>
      <c r="M423" s="15" t="n">
        <f aca="false">AI423*評分方法!$C$9</f>
        <v>10</v>
      </c>
      <c r="N423" s="15" t="n">
        <f aca="false">AJ423*評分方法!$C$10</f>
        <v>6.328</v>
      </c>
      <c r="O423" s="15" t="n">
        <f aca="false">AK423*評分方法!$C$11</f>
        <v>1</v>
      </c>
      <c r="P423" s="15" t="n">
        <f aca="false">AL423*評分方法!$C$12</f>
        <v>5</v>
      </c>
      <c r="Q423" s="6" t="n">
        <v>702314</v>
      </c>
      <c r="R423" s="6" t="n">
        <v>277453825</v>
      </c>
      <c r="S423" s="11" t="s">
        <v>238</v>
      </c>
      <c r="T423" s="11" t="s">
        <v>278</v>
      </c>
      <c r="U423" s="5" t="s">
        <v>240</v>
      </c>
      <c r="V423" s="11" t="s">
        <v>241</v>
      </c>
      <c r="W423" s="5" t="s">
        <v>334</v>
      </c>
      <c r="X423" s="5" t="s">
        <v>284</v>
      </c>
      <c r="Y423" s="5"/>
      <c r="Z423" s="5"/>
      <c r="AA423" s="11" t="s">
        <v>150</v>
      </c>
      <c r="AB423" s="5" t="s">
        <v>245</v>
      </c>
      <c r="AC423" s="5"/>
      <c r="AD423" s="11" t="s">
        <v>1268</v>
      </c>
      <c r="AE423" s="23" t="n">
        <v>0.95</v>
      </c>
      <c r="AF423" s="23" t="n">
        <v>0</v>
      </c>
      <c r="AG423" s="23" t="n">
        <v>0.33</v>
      </c>
      <c r="AH423" s="23" t="n">
        <v>1</v>
      </c>
      <c r="AI423" s="23" t="n">
        <v>1</v>
      </c>
      <c r="AJ423" s="23" t="n">
        <v>0.6328</v>
      </c>
      <c r="AK423" s="23" t="n">
        <v>0.2</v>
      </c>
      <c r="AL423" s="23" t="n">
        <v>1</v>
      </c>
      <c r="AM423" s="16" t="n">
        <f aca="false">COUNTIFS($D$2:$D$2501,D423,$G$2:$G$2501,"&gt;"&amp;G423)+COUNTIFS($D$2:D423,D423,$G$2:G423,G423)</f>
        <v>18</v>
      </c>
      <c r="AN423" s="5" t="str">
        <f aca="false">D423&amp;"|"&amp;AM423</f>
        <v>實體擷取與去識別化|18</v>
      </c>
    </row>
    <row r="424" customFormat="false" ht="17.15" hidden="false" customHeight="false" outlineLevel="0" collapsed="false">
      <c r="A424" s="16" t="n">
        <f aca="false">RANK(G424,$G$2:$G$2501)+COUNTIF($G$2:G424,G424)-1</f>
        <v>423</v>
      </c>
      <c r="B424" s="11" t="s">
        <v>1269</v>
      </c>
      <c r="C424" s="11" t="s">
        <v>282</v>
      </c>
      <c r="D424" s="5" t="s">
        <v>54</v>
      </c>
      <c r="E424" s="5" t="s">
        <v>55</v>
      </c>
      <c r="F424" s="5"/>
      <c r="G424" s="22" t="n">
        <f aca="false">ROUND(SUM(I424:P424),3)</f>
        <v>70.772</v>
      </c>
      <c r="H424" s="5" t="str">
        <f aca="false">IF(G424&gt;=評分方法!$C$16,"優先評估",IF(G424&gt;=評分方法!$C$17,"列入候選",IF(G424&gt;=評分方法!$C$18,"特定情境","不建議")))</f>
        <v>列入候選</v>
      </c>
      <c r="I424" s="15" t="n">
        <f aca="false">AE424*評分方法!$C$5</f>
        <v>27</v>
      </c>
      <c r="J424" s="15" t="n">
        <f aca="false">AF424*評分方法!$C$6</f>
        <v>0</v>
      </c>
      <c r="K424" s="15" t="n">
        <f aca="false">AG424*評分方法!$C$7</f>
        <v>15</v>
      </c>
      <c r="L424" s="15" t="n">
        <f aca="false">AH424*評分方法!$C$8</f>
        <v>15</v>
      </c>
      <c r="M424" s="15" t="n">
        <f aca="false">AI424*評分方法!$C$9</f>
        <v>2</v>
      </c>
      <c r="N424" s="15" t="n">
        <f aca="false">AJ424*評分方法!$C$10</f>
        <v>9.272</v>
      </c>
      <c r="O424" s="15" t="n">
        <f aca="false">AK424*評分方法!$C$11</f>
        <v>2.5</v>
      </c>
      <c r="P424" s="15" t="n">
        <f aca="false">AL424*評分方法!$C$12</f>
        <v>0</v>
      </c>
      <c r="Q424" s="6" t="n">
        <v>5827244</v>
      </c>
      <c r="R424" s="6" t="n">
        <v>22713728</v>
      </c>
      <c r="S424" s="11" t="s">
        <v>238</v>
      </c>
      <c r="T424" s="5"/>
      <c r="U424" s="5" t="s">
        <v>375</v>
      </c>
      <c r="V424" s="11" t="s">
        <v>283</v>
      </c>
      <c r="W424" s="5" t="s">
        <v>205</v>
      </c>
      <c r="X424" s="5" t="s">
        <v>242</v>
      </c>
      <c r="Y424" s="5"/>
      <c r="Z424" s="5"/>
      <c r="AA424" s="11" t="s">
        <v>152</v>
      </c>
      <c r="AB424" s="5" t="s">
        <v>245</v>
      </c>
      <c r="AC424" s="5" t="s">
        <v>262</v>
      </c>
      <c r="AD424" s="11" t="s">
        <v>1270</v>
      </c>
      <c r="AE424" s="23" t="n">
        <v>0.9</v>
      </c>
      <c r="AF424" s="23" t="n">
        <v>0</v>
      </c>
      <c r="AG424" s="23" t="n">
        <v>1</v>
      </c>
      <c r="AH424" s="23" t="n">
        <v>1</v>
      </c>
      <c r="AI424" s="23" t="n">
        <v>0.2</v>
      </c>
      <c r="AJ424" s="23" t="n">
        <v>0.9272</v>
      </c>
      <c r="AK424" s="23" t="n">
        <v>0.5</v>
      </c>
      <c r="AL424" s="23" t="n">
        <v>0</v>
      </c>
      <c r="AM424" s="16" t="n">
        <f aca="false">COUNTIFS($D$2:$D$2501,D424,$G$2:$G$2501,"&gt;"&amp;G424)+COUNTIFS($D$2:D424,D424,$G$2:G424,G424)</f>
        <v>108</v>
      </c>
      <c r="AN424" s="5" t="str">
        <f aca="false">D424&amp;"|"&amp;AM424</f>
        <v>檢索與情資關聯|108</v>
      </c>
    </row>
    <row r="425" customFormat="false" ht="17.15" hidden="false" customHeight="false" outlineLevel="0" collapsed="false">
      <c r="A425" s="16" t="n">
        <f aca="false">RANK(G425,$G$2:$G$2501)+COUNTIF($G$2:G425,G425)-1</f>
        <v>424</v>
      </c>
      <c r="B425" s="11" t="s">
        <v>1271</v>
      </c>
      <c r="C425" s="11" t="s">
        <v>1161</v>
      </c>
      <c r="D425" s="5" t="s">
        <v>72</v>
      </c>
      <c r="E425" s="5" t="s">
        <v>73</v>
      </c>
      <c r="F425" s="5"/>
      <c r="G425" s="22" t="n">
        <f aca="false">ROUND(SUM(I425:P425),3)</f>
        <v>70.76</v>
      </c>
      <c r="H425" s="5" t="str">
        <f aca="false">IF(G425&gt;=評分方法!$C$16,"優先評估",IF(G425&gt;=評分方法!$C$17,"列入候選",IF(G425&gt;=評分方法!$C$18,"特定情境","不建議")))</f>
        <v>列入候選</v>
      </c>
      <c r="I425" s="15" t="n">
        <f aca="false">AE425*評分方法!$C$5</f>
        <v>15</v>
      </c>
      <c r="J425" s="15" t="n">
        <f aca="false">AF425*評分方法!$C$6</f>
        <v>0</v>
      </c>
      <c r="K425" s="15" t="n">
        <f aca="false">AG425*評分方法!$C$7</f>
        <v>15</v>
      </c>
      <c r="L425" s="15" t="n">
        <f aca="false">AH425*評分方法!$C$8</f>
        <v>15</v>
      </c>
      <c r="M425" s="15" t="n">
        <f aca="false">AI425*評分方法!$C$9</f>
        <v>10</v>
      </c>
      <c r="N425" s="15" t="n">
        <f aca="false">AJ425*評分方法!$C$10</f>
        <v>9.76</v>
      </c>
      <c r="O425" s="15" t="n">
        <f aca="false">AK425*評分方法!$C$11</f>
        <v>1</v>
      </c>
      <c r="P425" s="15" t="n">
        <f aca="false">AL425*評分方法!$C$12</f>
        <v>5</v>
      </c>
      <c r="Q425" s="6" t="n">
        <v>17135761</v>
      </c>
      <c r="R425" s="6" t="n">
        <v>178566653</v>
      </c>
      <c r="S425" s="11" t="s">
        <v>238</v>
      </c>
      <c r="T425" s="11" t="s">
        <v>239</v>
      </c>
      <c r="U425" s="5" t="s">
        <v>240</v>
      </c>
      <c r="V425" s="11" t="s">
        <v>279</v>
      </c>
      <c r="W425" s="5" t="s">
        <v>205</v>
      </c>
      <c r="X425" s="5" t="s">
        <v>284</v>
      </c>
      <c r="Y425" s="5"/>
      <c r="Z425" s="5"/>
      <c r="AA425" s="11" t="s">
        <v>162</v>
      </c>
      <c r="AB425" s="5" t="s">
        <v>245</v>
      </c>
      <c r="AC425" s="5"/>
      <c r="AD425" s="11" t="s">
        <v>1272</v>
      </c>
      <c r="AE425" s="23" t="n">
        <v>0.5</v>
      </c>
      <c r="AF425" s="23" t="n">
        <v>0</v>
      </c>
      <c r="AG425" s="23" t="n">
        <v>1</v>
      </c>
      <c r="AH425" s="23" t="n">
        <v>1</v>
      </c>
      <c r="AI425" s="23" t="n">
        <v>1</v>
      </c>
      <c r="AJ425" s="23" t="n">
        <v>0.976</v>
      </c>
      <c r="AK425" s="23" t="n">
        <v>0.2</v>
      </c>
      <c r="AL425" s="23" t="n">
        <v>1</v>
      </c>
      <c r="AM425" s="16" t="n">
        <f aca="false">COUNTIFS($D$2:$D$2501,D425,$G$2:$G$2501,"&gt;"&amp;G425)+COUNTIFS($D$2:D425,D425,$G$2:G425,G425)</f>
        <v>5</v>
      </c>
      <c r="AN425" s="5" t="str">
        <f aca="false">D425&amp;"|"&amp;AM425</f>
        <v>微調基底模型|5</v>
      </c>
    </row>
    <row r="426" customFormat="false" ht="17.15" hidden="false" customHeight="false" outlineLevel="0" collapsed="false">
      <c r="A426" s="16" t="n">
        <f aca="false">RANK(G426,$G$2:$G$2501)+COUNTIF($G$2:G426,G426)-1</f>
        <v>425</v>
      </c>
      <c r="B426" s="11" t="s">
        <v>1273</v>
      </c>
      <c r="C426" s="11" t="s">
        <v>368</v>
      </c>
      <c r="D426" s="5" t="s">
        <v>56</v>
      </c>
      <c r="E426" s="5" t="s">
        <v>57</v>
      </c>
      <c r="F426" s="5"/>
      <c r="G426" s="22" t="n">
        <f aca="false">ROUND(SUM(I426:P426),3)</f>
        <v>70.75</v>
      </c>
      <c r="H426" s="5" t="str">
        <f aca="false">IF(G426&gt;=評分方法!$C$16,"優先評估",IF(G426&gt;=評分方法!$C$17,"列入候選",IF(G426&gt;=評分方法!$C$18,"特定情境","不建議")))</f>
        <v>列入候選</v>
      </c>
      <c r="I426" s="15" t="n">
        <f aca="false">AE426*評分方法!$C$5</f>
        <v>25.5</v>
      </c>
      <c r="J426" s="15" t="n">
        <f aca="false">AF426*評分方法!$C$6</f>
        <v>0</v>
      </c>
      <c r="K426" s="15" t="n">
        <f aca="false">AG426*評分方法!$C$7</f>
        <v>15</v>
      </c>
      <c r="L426" s="15" t="n">
        <f aca="false">AH426*評分方法!$C$8</f>
        <v>13.05</v>
      </c>
      <c r="M426" s="15" t="n">
        <f aca="false">AI426*評分方法!$C$9</f>
        <v>6</v>
      </c>
      <c r="N426" s="15" t="n">
        <f aca="false">AJ426*評分方法!$C$10</f>
        <v>7.2</v>
      </c>
      <c r="O426" s="15" t="n">
        <f aca="false">AK426*評分方法!$C$11</f>
        <v>1</v>
      </c>
      <c r="P426" s="15" t="n">
        <f aca="false">AL426*評分方法!$C$12</f>
        <v>3</v>
      </c>
      <c r="Q426" s="6" t="n">
        <v>998118</v>
      </c>
      <c r="R426" s="6" t="n">
        <v>2506172416</v>
      </c>
      <c r="S426" s="11" t="s">
        <v>254</v>
      </c>
      <c r="T426" s="11" t="s">
        <v>658</v>
      </c>
      <c r="U426" s="5" t="s">
        <v>260</v>
      </c>
      <c r="V426" s="11" t="s">
        <v>462</v>
      </c>
      <c r="W426" s="5" t="s">
        <v>205</v>
      </c>
      <c r="X426" s="5" t="s">
        <v>371</v>
      </c>
      <c r="Y426" s="5"/>
      <c r="Z426" s="5"/>
      <c r="AA426" s="11" t="s">
        <v>155</v>
      </c>
      <c r="AB426" s="5" t="s">
        <v>245</v>
      </c>
      <c r="AC426" s="5" t="s">
        <v>262</v>
      </c>
      <c r="AD426" s="11" t="s">
        <v>1274</v>
      </c>
      <c r="AE426" s="23" t="n">
        <v>0.85</v>
      </c>
      <c r="AF426" s="23" t="n">
        <v>0</v>
      </c>
      <c r="AG426" s="23" t="n">
        <v>1</v>
      </c>
      <c r="AH426" s="23" t="n">
        <v>0.87</v>
      </c>
      <c r="AI426" s="23" t="n">
        <v>0.6</v>
      </c>
      <c r="AJ426" s="23" t="n">
        <v>0.72</v>
      </c>
      <c r="AK426" s="23" t="n">
        <v>0.2</v>
      </c>
      <c r="AL426" s="23" t="n">
        <v>0.6</v>
      </c>
      <c r="AM426" s="16" t="n">
        <f aca="false">COUNTIFS($D$2:$D$2501,D426,$G$2:$G$2501,"&gt;"&amp;G426)+COUNTIFS($D$2:D426,D426,$G$2:G426,G426)</f>
        <v>219</v>
      </c>
      <c r="AN426" s="5" t="str">
        <f aca="false">D426&amp;"|"&amp;AM426</f>
        <v>分析與報告生成|219</v>
      </c>
    </row>
    <row r="427" customFormat="false" ht="17.15" hidden="false" customHeight="false" outlineLevel="0" collapsed="false">
      <c r="A427" s="16" t="n">
        <f aca="false">RANK(G427,$G$2:$G$2501)+COUNTIF($G$2:G427,G427)-1</f>
        <v>426</v>
      </c>
      <c r="B427" s="11" t="s">
        <v>1275</v>
      </c>
      <c r="C427" s="11" t="s">
        <v>579</v>
      </c>
      <c r="D427" s="5" t="s">
        <v>68</v>
      </c>
      <c r="E427" s="11" t="s">
        <v>69</v>
      </c>
      <c r="F427" s="5"/>
      <c r="G427" s="22" t="n">
        <f aca="false">ROUND(SUM(I427:P427),3)</f>
        <v>70.744</v>
      </c>
      <c r="H427" s="5" t="str">
        <f aca="false">IF(G427&gt;=評分方法!$C$16,"優先評估",IF(G427&gt;=評分方法!$C$17,"列入候選",IF(G427&gt;=評分方法!$C$18,"特定情境","不建議")))</f>
        <v>列入候選</v>
      </c>
      <c r="I427" s="15" t="n">
        <f aca="false">AE427*評分方法!$C$5</f>
        <v>21</v>
      </c>
      <c r="J427" s="15" t="n">
        <f aca="false">AF427*評分方法!$C$6</f>
        <v>0</v>
      </c>
      <c r="K427" s="15" t="n">
        <f aca="false">AG427*評分方法!$C$7</f>
        <v>15</v>
      </c>
      <c r="L427" s="15" t="n">
        <f aca="false">AH427*評分方法!$C$8</f>
        <v>15</v>
      </c>
      <c r="M427" s="15" t="n">
        <f aca="false">AI427*評分方法!$C$9</f>
        <v>10</v>
      </c>
      <c r="N427" s="15" t="n">
        <f aca="false">AJ427*評分方法!$C$10</f>
        <v>4.244</v>
      </c>
      <c r="O427" s="15" t="n">
        <f aca="false">AK427*評分方法!$C$11</f>
        <v>4</v>
      </c>
      <c r="P427" s="15" t="n">
        <f aca="false">AL427*評分方法!$C$12</f>
        <v>1.5</v>
      </c>
      <c r="Q427" s="6" t="n">
        <v>467049</v>
      </c>
      <c r="R427" s="6" t="n">
        <v>20456192</v>
      </c>
      <c r="S427" s="11" t="s">
        <v>238</v>
      </c>
      <c r="T427" s="11" t="s">
        <v>239</v>
      </c>
      <c r="U427" s="5" t="s">
        <v>240</v>
      </c>
      <c r="V427" s="11" t="s">
        <v>261</v>
      </c>
      <c r="W427" s="5" t="s">
        <v>205</v>
      </c>
      <c r="X427" s="5" t="s">
        <v>255</v>
      </c>
      <c r="Y427" s="5"/>
      <c r="Z427" s="5"/>
      <c r="AA427" s="11" t="s">
        <v>158</v>
      </c>
      <c r="AB427" s="5" t="s">
        <v>245</v>
      </c>
      <c r="AC427" s="5"/>
      <c r="AD427" s="11" t="s">
        <v>1276</v>
      </c>
      <c r="AE427" s="23" t="n">
        <v>0.7</v>
      </c>
      <c r="AF427" s="23" t="n">
        <v>0</v>
      </c>
      <c r="AG427" s="23" t="n">
        <v>1</v>
      </c>
      <c r="AH427" s="23" t="n">
        <v>1</v>
      </c>
      <c r="AI427" s="23" t="n">
        <v>1</v>
      </c>
      <c r="AJ427" s="23" t="n">
        <v>0.4244</v>
      </c>
      <c r="AK427" s="23" t="n">
        <v>0.8</v>
      </c>
      <c r="AL427" s="23" t="n">
        <v>0.3</v>
      </c>
      <c r="AM427" s="16" t="n">
        <f aca="false">COUNTIFS($D$2:$D$2501,D427,$G$2:$G$2501,"&gt;"&amp;G427)+COUNTIFS($D$2:D427,D427,$G$2:G427,G427)</f>
        <v>25</v>
      </c>
      <c r="AN427" s="5" t="str">
        <f aca="false">D427&amp;"|"&amp;AM427</f>
        <v>時序異常偵測|25</v>
      </c>
    </row>
    <row r="428" customFormat="false" ht="17.15" hidden="false" customHeight="false" outlineLevel="0" collapsed="false">
      <c r="A428" s="16" t="n">
        <f aca="false">RANK(G428,$G$2:$G$2501)+COUNTIF($G$2:G428,G428)-1</f>
        <v>427</v>
      </c>
      <c r="B428" s="11" t="s">
        <v>1277</v>
      </c>
      <c r="C428" s="11" t="s">
        <v>382</v>
      </c>
      <c r="D428" s="5" t="s">
        <v>54</v>
      </c>
      <c r="E428" s="5" t="s">
        <v>55</v>
      </c>
      <c r="F428" s="5"/>
      <c r="G428" s="22" t="n">
        <f aca="false">ROUND(SUM(I428:P428),3)</f>
        <v>70.74</v>
      </c>
      <c r="H428" s="5" t="str">
        <f aca="false">IF(G428&gt;=評分方法!$C$16,"優先評估",IF(G428&gt;=評分方法!$C$17,"列入候選",IF(G428&gt;=評分方法!$C$18,"特定情境","不建議")))</f>
        <v>列入候選</v>
      </c>
      <c r="I428" s="15" t="n">
        <f aca="false">AE428*評分方法!$C$5</f>
        <v>27</v>
      </c>
      <c r="J428" s="15" t="n">
        <f aca="false">AF428*評分方法!$C$6</f>
        <v>0</v>
      </c>
      <c r="K428" s="15" t="n">
        <f aca="false">AG428*評分方法!$C$7</f>
        <v>15</v>
      </c>
      <c r="L428" s="15" t="n">
        <f aca="false">AH428*評分方法!$C$8</f>
        <v>15</v>
      </c>
      <c r="M428" s="15" t="n">
        <f aca="false">AI428*評分方法!$C$9</f>
        <v>10</v>
      </c>
      <c r="N428" s="15" t="n">
        <f aca="false">AJ428*評分方法!$C$10</f>
        <v>1.24</v>
      </c>
      <c r="O428" s="15" t="n">
        <f aca="false">AK428*評分方法!$C$11</f>
        <v>2.5</v>
      </c>
      <c r="P428" s="15" t="n">
        <f aca="false">AL428*評分方法!$C$12</f>
        <v>0</v>
      </c>
      <c r="Q428" s="6" t="n">
        <v>163729</v>
      </c>
      <c r="R428" s="6" t="n">
        <v>24089472</v>
      </c>
      <c r="S428" s="11" t="s">
        <v>238</v>
      </c>
      <c r="T428" s="11" t="s">
        <v>239</v>
      </c>
      <c r="U428" s="5" t="s">
        <v>240</v>
      </c>
      <c r="V428" s="11" t="s">
        <v>383</v>
      </c>
      <c r="W428" s="5" t="s">
        <v>205</v>
      </c>
      <c r="X428" s="5" t="s">
        <v>242</v>
      </c>
      <c r="Y428" s="11" t="s">
        <v>1277</v>
      </c>
      <c r="Z428" s="11" t="s">
        <v>244</v>
      </c>
      <c r="AA428" s="11" t="s">
        <v>153</v>
      </c>
      <c r="AB428" s="5" t="s">
        <v>245</v>
      </c>
      <c r="AC428" s="5" t="s">
        <v>246</v>
      </c>
      <c r="AD428" s="11" t="s">
        <v>1278</v>
      </c>
      <c r="AE428" s="23" t="n">
        <v>0.9</v>
      </c>
      <c r="AF428" s="23" t="n">
        <v>0</v>
      </c>
      <c r="AG428" s="23" t="n">
        <v>1</v>
      </c>
      <c r="AH428" s="23" t="n">
        <v>1</v>
      </c>
      <c r="AI428" s="23" t="n">
        <v>1</v>
      </c>
      <c r="AJ428" s="23" t="n">
        <v>0.124</v>
      </c>
      <c r="AK428" s="23" t="n">
        <v>0.5</v>
      </c>
      <c r="AL428" s="23" t="n">
        <v>0</v>
      </c>
      <c r="AM428" s="16" t="n">
        <f aca="false">COUNTIFS($D$2:$D$2501,D428,$G$2:$G$2501,"&gt;"&amp;G428)+COUNTIFS($D$2:D428,D428,$G$2:G428,G428)</f>
        <v>109</v>
      </c>
      <c r="AN428" s="5" t="str">
        <f aca="false">D428&amp;"|"&amp;AM428</f>
        <v>檢索與情資關聯|109</v>
      </c>
    </row>
    <row r="429" customFormat="false" ht="17.15" hidden="false" customHeight="false" outlineLevel="0" collapsed="false">
      <c r="A429" s="16" t="n">
        <f aca="false">RANK(G429,$G$2:$G$2501)+COUNTIF($G$2:G429,G429)-1</f>
        <v>428</v>
      </c>
      <c r="B429" s="11" t="s">
        <v>1279</v>
      </c>
      <c r="C429" s="11" t="s">
        <v>753</v>
      </c>
      <c r="D429" s="5" t="s">
        <v>56</v>
      </c>
      <c r="E429" s="5" t="s">
        <v>57</v>
      </c>
      <c r="F429" s="5"/>
      <c r="G429" s="22" t="n">
        <f aca="false">ROUND(SUM(I429:P429),3)</f>
        <v>70.736</v>
      </c>
      <c r="H429" s="5" t="str">
        <f aca="false">IF(G429&gt;=評分方法!$C$16,"優先評估",IF(G429&gt;=評分方法!$C$17,"列入候選",IF(G429&gt;=評分方法!$C$18,"特定情境","不建議")))</f>
        <v>列入候選</v>
      </c>
      <c r="I429" s="15" t="n">
        <f aca="false">AE429*評分方法!$C$5</f>
        <v>25.5</v>
      </c>
      <c r="J429" s="15" t="n">
        <f aca="false">AF429*評分方法!$C$6</f>
        <v>0</v>
      </c>
      <c r="K429" s="15" t="n">
        <f aca="false">AG429*評分方法!$C$7</f>
        <v>10.05</v>
      </c>
      <c r="L429" s="15" t="n">
        <f aca="false">AH429*評分方法!$C$8</f>
        <v>13.05</v>
      </c>
      <c r="M429" s="15" t="n">
        <f aca="false">AI429*評分方法!$C$9</f>
        <v>10</v>
      </c>
      <c r="N429" s="15" t="n">
        <f aca="false">AJ429*評分方法!$C$10</f>
        <v>4.136</v>
      </c>
      <c r="O429" s="15" t="n">
        <f aca="false">AK429*評分方法!$C$11</f>
        <v>5</v>
      </c>
      <c r="P429" s="15" t="n">
        <f aca="false">AL429*評分方法!$C$12</f>
        <v>3</v>
      </c>
      <c r="Q429" s="6" t="n">
        <v>444114</v>
      </c>
      <c r="R429" s="6" t="n">
        <v>5123178051</v>
      </c>
      <c r="S429" s="11" t="s">
        <v>254</v>
      </c>
      <c r="T429" s="11" t="s">
        <v>239</v>
      </c>
      <c r="U429" s="5" t="s">
        <v>240</v>
      </c>
      <c r="V429" s="11" t="s">
        <v>261</v>
      </c>
      <c r="W429" s="5" t="s">
        <v>207</v>
      </c>
      <c r="X429" s="5" t="s">
        <v>371</v>
      </c>
      <c r="Y429" s="11" t="s">
        <v>425</v>
      </c>
      <c r="Z429" s="11" t="s">
        <v>270</v>
      </c>
      <c r="AA429" s="11" t="s">
        <v>156</v>
      </c>
      <c r="AB429" s="5" t="s">
        <v>245</v>
      </c>
      <c r="AC429" s="5"/>
      <c r="AD429" s="11" t="s">
        <v>1280</v>
      </c>
      <c r="AE429" s="23" t="n">
        <v>0.85</v>
      </c>
      <c r="AF429" s="23" t="n">
        <v>0</v>
      </c>
      <c r="AG429" s="23" t="n">
        <v>0.67</v>
      </c>
      <c r="AH429" s="23" t="n">
        <v>0.87</v>
      </c>
      <c r="AI429" s="23" t="n">
        <v>1</v>
      </c>
      <c r="AJ429" s="23" t="n">
        <v>0.4136</v>
      </c>
      <c r="AK429" s="23" t="n">
        <v>1</v>
      </c>
      <c r="AL429" s="23" t="n">
        <v>0.6</v>
      </c>
      <c r="AM429" s="16" t="n">
        <f aca="false">COUNTIFS($D$2:$D$2501,D429,$G$2:$G$2501,"&gt;"&amp;G429)+COUNTIFS($D$2:D429,D429,$G$2:G429,G429)</f>
        <v>220</v>
      </c>
      <c r="AN429" s="5" t="str">
        <f aca="false">D429&amp;"|"&amp;AM429</f>
        <v>分析與報告生成|220</v>
      </c>
    </row>
    <row r="430" customFormat="false" ht="17.15" hidden="false" customHeight="false" outlineLevel="0" collapsed="false">
      <c r="A430" s="16" t="n">
        <f aca="false">RANK(G430,$G$2:$G$2501)+COUNTIF($G$2:G430,G430)-1</f>
        <v>429</v>
      </c>
      <c r="B430" s="11" t="s">
        <v>1281</v>
      </c>
      <c r="C430" s="11" t="s">
        <v>753</v>
      </c>
      <c r="D430" s="5" t="s">
        <v>56</v>
      </c>
      <c r="E430" s="5" t="s">
        <v>57</v>
      </c>
      <c r="F430" s="5"/>
      <c r="G430" s="22" t="n">
        <f aca="false">ROUND(SUM(I430:P430),3)</f>
        <v>70.706</v>
      </c>
      <c r="H430" s="5" t="str">
        <f aca="false">IF(G430&gt;=評分方法!$C$16,"優先評估",IF(G430&gt;=評分方法!$C$17,"列入候選",IF(G430&gt;=評分方法!$C$18,"特定情境","不建議")))</f>
        <v>列入候選</v>
      </c>
      <c r="I430" s="15" t="n">
        <f aca="false">AE430*評分方法!$C$5</f>
        <v>25.5</v>
      </c>
      <c r="J430" s="15" t="n">
        <f aca="false">AF430*評分方法!$C$6</f>
        <v>0</v>
      </c>
      <c r="K430" s="15" t="n">
        <f aca="false">AG430*評分方法!$C$7</f>
        <v>10.05</v>
      </c>
      <c r="L430" s="15" t="n">
        <f aca="false">AH430*評分方法!$C$8</f>
        <v>9</v>
      </c>
      <c r="M430" s="15" t="n">
        <f aca="false">AI430*評分方法!$C$9</f>
        <v>10</v>
      </c>
      <c r="N430" s="15" t="n">
        <f aca="false">AJ430*評分方法!$C$10</f>
        <v>8.156</v>
      </c>
      <c r="O430" s="15" t="n">
        <f aca="false">AK430*評分方法!$C$11</f>
        <v>5</v>
      </c>
      <c r="P430" s="15" t="n">
        <f aca="false">AL430*評分方法!$C$12</f>
        <v>3</v>
      </c>
      <c r="Q430" s="6" t="n">
        <v>1761643</v>
      </c>
      <c r="R430" s="6" t="n">
        <v>30697345596</v>
      </c>
      <c r="S430" s="11" t="s">
        <v>389</v>
      </c>
      <c r="T430" s="11" t="s">
        <v>239</v>
      </c>
      <c r="U430" s="5" t="s">
        <v>240</v>
      </c>
      <c r="V430" s="11" t="s">
        <v>333</v>
      </c>
      <c r="W430" s="5" t="s">
        <v>207</v>
      </c>
      <c r="X430" s="5" t="s">
        <v>371</v>
      </c>
      <c r="Y430" s="11" t="s">
        <v>668</v>
      </c>
      <c r="Z430" s="11" t="s">
        <v>244</v>
      </c>
      <c r="AA430" s="11" t="s">
        <v>156</v>
      </c>
      <c r="AB430" s="5" t="s">
        <v>245</v>
      </c>
      <c r="AC430" s="5" t="s">
        <v>246</v>
      </c>
      <c r="AD430" s="11" t="s">
        <v>1282</v>
      </c>
      <c r="AE430" s="23" t="n">
        <v>0.85</v>
      </c>
      <c r="AF430" s="23" t="n">
        <v>0</v>
      </c>
      <c r="AG430" s="23" t="n">
        <v>0.67</v>
      </c>
      <c r="AH430" s="23" t="n">
        <v>0.6</v>
      </c>
      <c r="AI430" s="23" t="n">
        <v>1</v>
      </c>
      <c r="AJ430" s="23" t="n">
        <v>0.8156</v>
      </c>
      <c r="AK430" s="23" t="n">
        <v>1</v>
      </c>
      <c r="AL430" s="23" t="n">
        <v>0.6</v>
      </c>
      <c r="AM430" s="16" t="n">
        <f aca="false">COUNTIFS($D$2:$D$2501,D430,$G$2:$G$2501,"&gt;"&amp;G430)+COUNTIFS($D$2:D430,D430,$G$2:G430,G430)</f>
        <v>221</v>
      </c>
      <c r="AN430" s="5" t="str">
        <f aca="false">D430&amp;"|"&amp;AM430</f>
        <v>分析與報告生成|221</v>
      </c>
    </row>
    <row r="431" customFormat="false" ht="17.15" hidden="false" customHeight="false" outlineLevel="0" collapsed="false">
      <c r="A431" s="16" t="n">
        <f aca="false">RANK(G431,$G$2:$G$2501)+COUNTIF($G$2:G431,G431)-1</f>
        <v>430</v>
      </c>
      <c r="B431" s="11" t="s">
        <v>1283</v>
      </c>
      <c r="C431" s="11" t="s">
        <v>753</v>
      </c>
      <c r="D431" s="5" t="s">
        <v>56</v>
      </c>
      <c r="E431" s="5" t="s">
        <v>57</v>
      </c>
      <c r="F431" s="5"/>
      <c r="G431" s="22" t="n">
        <f aca="false">ROUND(SUM(I431:P431),3)</f>
        <v>70.688</v>
      </c>
      <c r="H431" s="5" t="str">
        <f aca="false">IF(G431&gt;=評分方法!$C$16,"優先評估",IF(G431&gt;=評分方法!$C$17,"列入候選",IF(G431&gt;=評分方法!$C$18,"特定情境","不建議")))</f>
        <v>列入候選</v>
      </c>
      <c r="I431" s="15" t="n">
        <f aca="false">AE431*評分方法!$C$5</f>
        <v>25.5</v>
      </c>
      <c r="J431" s="15" t="n">
        <f aca="false">AF431*評分方法!$C$6</f>
        <v>0</v>
      </c>
      <c r="K431" s="15" t="n">
        <f aca="false">AG431*評分方法!$C$7</f>
        <v>10.05</v>
      </c>
      <c r="L431" s="15" t="n">
        <f aca="false">AH431*評分方法!$C$8</f>
        <v>13.05</v>
      </c>
      <c r="M431" s="15" t="n">
        <f aca="false">AI431*評分方法!$C$9</f>
        <v>10</v>
      </c>
      <c r="N431" s="15" t="n">
        <f aca="false">AJ431*評分方法!$C$10</f>
        <v>4.088</v>
      </c>
      <c r="O431" s="15" t="n">
        <f aca="false">AK431*評分方法!$C$11</f>
        <v>5</v>
      </c>
      <c r="P431" s="15" t="n">
        <f aca="false">AL431*評分方法!$C$12</f>
        <v>3</v>
      </c>
      <c r="Q431" s="6" t="n">
        <v>433812</v>
      </c>
      <c r="R431" s="6" t="n">
        <v>4621858069</v>
      </c>
      <c r="S431" s="11" t="s">
        <v>254</v>
      </c>
      <c r="T431" s="11" t="s">
        <v>239</v>
      </c>
      <c r="U431" s="5" t="s">
        <v>240</v>
      </c>
      <c r="V431" s="11" t="s">
        <v>261</v>
      </c>
      <c r="W431" s="5" t="s">
        <v>207</v>
      </c>
      <c r="X431" s="5" t="s">
        <v>371</v>
      </c>
      <c r="Y431" s="11" t="s">
        <v>425</v>
      </c>
      <c r="Z431" s="11" t="s">
        <v>244</v>
      </c>
      <c r="AA431" s="11" t="s">
        <v>156</v>
      </c>
      <c r="AB431" s="5" t="s">
        <v>245</v>
      </c>
      <c r="AC431" s="5" t="s">
        <v>246</v>
      </c>
      <c r="AD431" s="11" t="s">
        <v>1284</v>
      </c>
      <c r="AE431" s="23" t="n">
        <v>0.85</v>
      </c>
      <c r="AF431" s="23" t="n">
        <v>0</v>
      </c>
      <c r="AG431" s="23" t="n">
        <v>0.67</v>
      </c>
      <c r="AH431" s="23" t="n">
        <v>0.87</v>
      </c>
      <c r="AI431" s="23" t="n">
        <v>1</v>
      </c>
      <c r="AJ431" s="23" t="n">
        <v>0.4088</v>
      </c>
      <c r="AK431" s="23" t="n">
        <v>1</v>
      </c>
      <c r="AL431" s="23" t="n">
        <v>0.6</v>
      </c>
      <c r="AM431" s="16" t="n">
        <f aca="false">COUNTIFS($D$2:$D$2501,D431,$G$2:$G$2501,"&gt;"&amp;G431)+COUNTIFS($D$2:D431,D431,$G$2:G431,G431)</f>
        <v>222</v>
      </c>
      <c r="AN431" s="5" t="str">
        <f aca="false">D431&amp;"|"&amp;AM431</f>
        <v>分析與報告生成|222</v>
      </c>
    </row>
    <row r="432" customFormat="false" ht="17.15" hidden="false" customHeight="false" outlineLevel="0" collapsed="false">
      <c r="A432" s="16" t="n">
        <f aca="false">RANK(G432,$G$2:$G$2501)+COUNTIF($G$2:G432,G432)-1</f>
        <v>431</v>
      </c>
      <c r="B432" s="11" t="s">
        <v>1285</v>
      </c>
      <c r="C432" s="11" t="s">
        <v>1286</v>
      </c>
      <c r="D432" s="11" t="s">
        <v>46</v>
      </c>
      <c r="E432" s="11" t="s">
        <v>47</v>
      </c>
      <c r="F432" s="11" t="s">
        <v>46</v>
      </c>
      <c r="G432" s="22" t="n">
        <f aca="false">ROUND(SUM(I432:P432),3)</f>
        <v>70.65</v>
      </c>
      <c r="H432" s="5" t="str">
        <f aca="false">IF(G432&gt;=評分方法!$C$16,"優先評估",IF(G432&gt;=評分方法!$C$17,"列入候選",IF(G432&gt;=評分方法!$C$18,"特定情境","不建議")))</f>
        <v>列入候選</v>
      </c>
      <c r="I432" s="15" t="n">
        <f aca="false">AE432*評分方法!$C$5</f>
        <v>30</v>
      </c>
      <c r="J432" s="15" t="n">
        <f aca="false">AF432*評分方法!$C$6</f>
        <v>10</v>
      </c>
      <c r="K432" s="15" t="n">
        <f aca="false">AG432*評分方法!$C$7</f>
        <v>4.95</v>
      </c>
      <c r="L432" s="15" t="n">
        <f aca="false">AH432*評分方法!$C$8</f>
        <v>15</v>
      </c>
      <c r="M432" s="15" t="n">
        <f aca="false">AI432*評分方法!$C$9</f>
        <v>2</v>
      </c>
      <c r="N432" s="15" t="n">
        <f aca="false">AJ432*評分方法!$C$10</f>
        <v>3.7</v>
      </c>
      <c r="O432" s="15" t="n">
        <f aca="false">AK432*評分方法!$C$11</f>
        <v>5</v>
      </c>
      <c r="P432" s="15" t="n">
        <f aca="false">AL432*評分方法!$C$12</f>
        <v>0</v>
      </c>
      <c r="Q432" s="6" t="n">
        <v>375903</v>
      </c>
      <c r="R432" s="6" t="n">
        <v>268099456</v>
      </c>
      <c r="S432" s="11" t="s">
        <v>238</v>
      </c>
      <c r="T432" s="5"/>
      <c r="U432" s="5" t="s">
        <v>375</v>
      </c>
      <c r="V432" s="11" t="s">
        <v>261</v>
      </c>
      <c r="W432" s="5" t="s">
        <v>334</v>
      </c>
      <c r="X432" s="5" t="s">
        <v>242</v>
      </c>
      <c r="Y432" s="11" t="s">
        <v>307</v>
      </c>
      <c r="Z432" s="11" t="s">
        <v>1287</v>
      </c>
      <c r="AA432" s="11" t="s">
        <v>149</v>
      </c>
      <c r="AB432" s="5" t="s">
        <v>245</v>
      </c>
      <c r="AC432" s="5" t="s">
        <v>262</v>
      </c>
      <c r="AD432" s="11" t="s">
        <v>1288</v>
      </c>
      <c r="AE432" s="23" t="n">
        <v>1</v>
      </c>
      <c r="AF432" s="23" t="n">
        <v>1</v>
      </c>
      <c r="AG432" s="23" t="n">
        <v>0.33</v>
      </c>
      <c r="AH432" s="23" t="n">
        <v>1</v>
      </c>
      <c r="AI432" s="23" t="n">
        <v>0.2</v>
      </c>
      <c r="AJ432" s="23" t="n">
        <v>0.37</v>
      </c>
      <c r="AK432" s="23" t="n">
        <v>1</v>
      </c>
      <c r="AL432" s="23" t="n">
        <v>0</v>
      </c>
      <c r="AM432" s="16" t="n">
        <f aca="false">COUNTIFS($D$2:$D$2501,D432,$G$2:$G$2501,"&gt;"&amp;G432)+COUNTIFS($D$2:D432,D432,$G$2:G432,G432)</f>
        <v>15</v>
      </c>
      <c r="AN432" s="5" t="str">
        <f aca="false">D432&amp;"|"&amp;AM432</f>
        <v>AI 應用防護|15</v>
      </c>
    </row>
    <row r="433" customFormat="false" ht="17.15" hidden="false" customHeight="false" outlineLevel="0" collapsed="false">
      <c r="A433" s="16" t="n">
        <f aca="false">RANK(G433,$G$2:$G$2501)+COUNTIF($G$2:G433,G433)-1</f>
        <v>432</v>
      </c>
      <c r="B433" s="11" t="s">
        <v>1289</v>
      </c>
      <c r="C433" s="11" t="s">
        <v>753</v>
      </c>
      <c r="D433" s="5" t="s">
        <v>56</v>
      </c>
      <c r="E433" s="5" t="s">
        <v>57</v>
      </c>
      <c r="F433" s="5"/>
      <c r="G433" s="22" t="n">
        <f aca="false">ROUND(SUM(I433:P433),3)</f>
        <v>70.642</v>
      </c>
      <c r="H433" s="5" t="str">
        <f aca="false">IF(G433&gt;=評分方法!$C$16,"優先評估",IF(G433&gt;=評分方法!$C$17,"列入候選",IF(G433&gt;=評分方法!$C$18,"特定情境","不建議")))</f>
        <v>列入候選</v>
      </c>
      <c r="I433" s="15" t="n">
        <f aca="false">AE433*評分方法!$C$5</f>
        <v>25.5</v>
      </c>
      <c r="J433" s="15" t="n">
        <f aca="false">AF433*評分方法!$C$6</f>
        <v>0</v>
      </c>
      <c r="K433" s="15" t="n">
        <f aca="false">AG433*評分方法!$C$7</f>
        <v>10.05</v>
      </c>
      <c r="L433" s="15" t="n">
        <f aca="false">AH433*評分方法!$C$8</f>
        <v>9</v>
      </c>
      <c r="M433" s="15" t="n">
        <f aca="false">AI433*評分方法!$C$9</f>
        <v>10</v>
      </c>
      <c r="N433" s="15" t="n">
        <f aca="false">AJ433*評分方法!$C$10</f>
        <v>8.092</v>
      </c>
      <c r="O433" s="15" t="n">
        <f aca="false">AK433*評分方法!$C$11</f>
        <v>5</v>
      </c>
      <c r="P433" s="15" t="n">
        <f aca="false">AL433*評分方法!$C$12</f>
        <v>3</v>
      </c>
      <c r="Q433" s="6" t="n">
        <v>1709085</v>
      </c>
      <c r="R433" s="6" t="n">
        <v>31273086512</v>
      </c>
      <c r="S433" s="11" t="s">
        <v>389</v>
      </c>
      <c r="T433" s="11" t="s">
        <v>239</v>
      </c>
      <c r="U433" s="5" t="s">
        <v>240</v>
      </c>
      <c r="V433" s="11" t="s">
        <v>261</v>
      </c>
      <c r="W433" s="5" t="s">
        <v>207</v>
      </c>
      <c r="X433" s="5" t="s">
        <v>371</v>
      </c>
      <c r="Y433" s="11" t="s">
        <v>583</v>
      </c>
      <c r="Z433" s="11" t="s">
        <v>244</v>
      </c>
      <c r="AA433" s="11" t="s">
        <v>156</v>
      </c>
      <c r="AB433" s="5" t="s">
        <v>245</v>
      </c>
      <c r="AC433" s="5" t="s">
        <v>246</v>
      </c>
      <c r="AD433" s="11" t="s">
        <v>1290</v>
      </c>
      <c r="AE433" s="23" t="n">
        <v>0.85</v>
      </c>
      <c r="AF433" s="23" t="n">
        <v>0</v>
      </c>
      <c r="AG433" s="23" t="n">
        <v>0.67</v>
      </c>
      <c r="AH433" s="23" t="n">
        <v>0.6</v>
      </c>
      <c r="AI433" s="23" t="n">
        <v>1</v>
      </c>
      <c r="AJ433" s="23" t="n">
        <v>0.8092</v>
      </c>
      <c r="AK433" s="23" t="n">
        <v>1</v>
      </c>
      <c r="AL433" s="23" t="n">
        <v>0.6</v>
      </c>
      <c r="AM433" s="16" t="n">
        <f aca="false">COUNTIFS($D$2:$D$2501,D433,$G$2:$G$2501,"&gt;"&amp;G433)+COUNTIFS($D$2:D433,D433,$G$2:G433,G433)</f>
        <v>223</v>
      </c>
      <c r="AN433" s="5" t="str">
        <f aca="false">D433&amp;"|"&amp;AM433</f>
        <v>分析與報告生成|223</v>
      </c>
    </row>
    <row r="434" customFormat="false" ht="17.15" hidden="false" customHeight="false" outlineLevel="0" collapsed="false">
      <c r="A434" s="16" t="n">
        <f aca="false">RANK(G434,$G$2:$G$2501)+COUNTIF($G$2:G434,G434)-1</f>
        <v>433</v>
      </c>
      <c r="B434" s="11" t="s">
        <v>1291</v>
      </c>
      <c r="C434" s="11" t="s">
        <v>1111</v>
      </c>
      <c r="D434" s="5" t="s">
        <v>56</v>
      </c>
      <c r="E434" s="5" t="s">
        <v>57</v>
      </c>
      <c r="F434" s="5"/>
      <c r="G434" s="22" t="n">
        <f aca="false">ROUND(SUM(I434:P434),3)</f>
        <v>70.618</v>
      </c>
      <c r="H434" s="5" t="str">
        <f aca="false">IF(G434&gt;=評分方法!$C$16,"優先評估",IF(G434&gt;=評分方法!$C$17,"列入候選",IF(G434&gt;=評分方法!$C$18,"特定情境","不建議")))</f>
        <v>列入候選</v>
      </c>
      <c r="I434" s="15" t="n">
        <f aca="false">AE434*評分方法!$C$5</f>
        <v>25.5</v>
      </c>
      <c r="J434" s="15" t="n">
        <f aca="false">AF434*評分方法!$C$6</f>
        <v>0</v>
      </c>
      <c r="K434" s="15" t="n">
        <f aca="false">AG434*評分方法!$C$7</f>
        <v>10.05</v>
      </c>
      <c r="L434" s="15" t="n">
        <f aca="false">AH434*評分方法!$C$8</f>
        <v>9</v>
      </c>
      <c r="M434" s="15" t="n">
        <f aca="false">AI434*評分方法!$C$9</f>
        <v>10</v>
      </c>
      <c r="N434" s="15" t="n">
        <f aca="false">AJ434*評分方法!$C$10</f>
        <v>8.068</v>
      </c>
      <c r="O434" s="15" t="n">
        <f aca="false">AK434*評分方法!$C$11</f>
        <v>5</v>
      </c>
      <c r="P434" s="15" t="n">
        <f aca="false">AL434*評分方法!$C$12</f>
        <v>3</v>
      </c>
      <c r="Q434" s="6" t="n">
        <v>1653146</v>
      </c>
      <c r="R434" s="6" t="n">
        <v>31273088876</v>
      </c>
      <c r="S434" s="11" t="s">
        <v>389</v>
      </c>
      <c r="T434" s="11" t="s">
        <v>239</v>
      </c>
      <c r="U434" s="5" t="s">
        <v>240</v>
      </c>
      <c r="V434" s="11" t="s">
        <v>261</v>
      </c>
      <c r="W434" s="5" t="s">
        <v>207</v>
      </c>
      <c r="X434" s="5" t="s">
        <v>371</v>
      </c>
      <c r="Y434" s="11" t="s">
        <v>583</v>
      </c>
      <c r="Z434" s="11" t="s">
        <v>244</v>
      </c>
      <c r="AA434" s="11" t="s">
        <v>156</v>
      </c>
      <c r="AB434" s="5" t="s">
        <v>245</v>
      </c>
      <c r="AC434" s="5" t="s">
        <v>246</v>
      </c>
      <c r="AD434" s="11" t="s">
        <v>1292</v>
      </c>
      <c r="AE434" s="23" t="n">
        <v>0.85</v>
      </c>
      <c r="AF434" s="23" t="n">
        <v>0</v>
      </c>
      <c r="AG434" s="23" t="n">
        <v>0.67</v>
      </c>
      <c r="AH434" s="23" t="n">
        <v>0.6</v>
      </c>
      <c r="AI434" s="23" t="n">
        <v>1</v>
      </c>
      <c r="AJ434" s="23" t="n">
        <v>0.8068</v>
      </c>
      <c r="AK434" s="23" t="n">
        <v>1</v>
      </c>
      <c r="AL434" s="23" t="n">
        <v>0.6</v>
      </c>
      <c r="AM434" s="16" t="n">
        <f aca="false">COUNTIFS($D$2:$D$2501,D434,$G$2:$G$2501,"&gt;"&amp;G434)+COUNTIFS($D$2:D434,D434,$G$2:G434,G434)</f>
        <v>224</v>
      </c>
      <c r="AN434" s="5" t="str">
        <f aca="false">D434&amp;"|"&amp;AM434</f>
        <v>分析與報告生成|224</v>
      </c>
    </row>
    <row r="435" customFormat="false" ht="17.15" hidden="false" customHeight="false" outlineLevel="0" collapsed="false">
      <c r="A435" s="16" t="n">
        <f aca="false">RANK(G435,$G$2:$G$2501)+COUNTIF($G$2:G435,G435)-1</f>
        <v>434</v>
      </c>
      <c r="B435" s="11" t="s">
        <v>1293</v>
      </c>
      <c r="C435" s="11" t="s">
        <v>368</v>
      </c>
      <c r="D435" s="5" t="s">
        <v>56</v>
      </c>
      <c r="E435" s="5" t="s">
        <v>57</v>
      </c>
      <c r="F435" s="5"/>
      <c r="G435" s="22" t="n">
        <f aca="false">ROUND(SUM(I435:P435),3)</f>
        <v>70.61</v>
      </c>
      <c r="H435" s="5" t="str">
        <f aca="false">IF(G435&gt;=評分方法!$C$16,"優先評估",IF(G435&gt;=評分方法!$C$17,"列入候選",IF(G435&gt;=評分方法!$C$18,"特定情境","不建議")))</f>
        <v>列入候選</v>
      </c>
      <c r="I435" s="15" t="n">
        <f aca="false">AE435*評分方法!$C$5</f>
        <v>24</v>
      </c>
      <c r="J435" s="15" t="n">
        <f aca="false">AF435*評分方法!$C$6</f>
        <v>0</v>
      </c>
      <c r="K435" s="15" t="n">
        <f aca="false">AG435*評分方法!$C$7</f>
        <v>15</v>
      </c>
      <c r="L435" s="15" t="n">
        <f aca="false">AH435*評分方法!$C$8</f>
        <v>13.05</v>
      </c>
      <c r="M435" s="15" t="n">
        <f aca="false">AI435*評分方法!$C$9</f>
        <v>10</v>
      </c>
      <c r="N435" s="15" t="n">
        <f aca="false">AJ435*評分方法!$C$10</f>
        <v>0.56</v>
      </c>
      <c r="O435" s="15" t="n">
        <f aca="false">AK435*評分方法!$C$11</f>
        <v>5</v>
      </c>
      <c r="P435" s="15" t="n">
        <f aca="false">AL435*評分方法!$C$12</f>
        <v>3</v>
      </c>
      <c r="Q435" s="6" t="n">
        <v>135642</v>
      </c>
      <c r="R435" s="6" t="n">
        <v>5525825091</v>
      </c>
      <c r="S435" s="11" t="s">
        <v>254</v>
      </c>
      <c r="T435" s="11" t="s">
        <v>239</v>
      </c>
      <c r="U435" s="5" t="s">
        <v>240</v>
      </c>
      <c r="V435" s="11" t="s">
        <v>261</v>
      </c>
      <c r="W435" s="5" t="s">
        <v>205</v>
      </c>
      <c r="X435" s="5" t="s">
        <v>371</v>
      </c>
      <c r="Y435" s="11" t="s">
        <v>1185</v>
      </c>
      <c r="Z435" s="11" t="s">
        <v>244</v>
      </c>
      <c r="AA435" s="11" t="s">
        <v>157</v>
      </c>
      <c r="AB435" s="5" t="s">
        <v>245</v>
      </c>
      <c r="AC435" s="5" t="s">
        <v>246</v>
      </c>
      <c r="AD435" s="11" t="s">
        <v>1294</v>
      </c>
      <c r="AE435" s="23" t="n">
        <v>0.8</v>
      </c>
      <c r="AF435" s="23" t="n">
        <v>0</v>
      </c>
      <c r="AG435" s="23" t="n">
        <v>1</v>
      </c>
      <c r="AH435" s="23" t="n">
        <v>0.87</v>
      </c>
      <c r="AI435" s="23" t="n">
        <v>1</v>
      </c>
      <c r="AJ435" s="23" t="n">
        <v>0.056</v>
      </c>
      <c r="AK435" s="23" t="n">
        <v>1</v>
      </c>
      <c r="AL435" s="23" t="n">
        <v>0.6</v>
      </c>
      <c r="AM435" s="16" t="n">
        <f aca="false">COUNTIFS($D$2:$D$2501,D435,$G$2:$G$2501,"&gt;"&amp;G435)+COUNTIFS($D$2:D435,D435,$G$2:G435,G435)</f>
        <v>225</v>
      </c>
      <c r="AN435" s="5" t="str">
        <f aca="false">D435&amp;"|"&amp;AM435</f>
        <v>分析與報告生成|225</v>
      </c>
    </row>
    <row r="436" customFormat="false" ht="17.15" hidden="false" customHeight="false" outlineLevel="0" collapsed="false">
      <c r="A436" s="16" t="n">
        <f aca="false">RANK(G436,$G$2:$G$2501)+COUNTIF($G$2:G436,G436)-1</f>
        <v>435</v>
      </c>
      <c r="B436" s="11" t="s">
        <v>1295</v>
      </c>
      <c r="C436" s="11" t="s">
        <v>461</v>
      </c>
      <c r="D436" s="5" t="s">
        <v>56</v>
      </c>
      <c r="E436" s="5" t="s">
        <v>57</v>
      </c>
      <c r="F436" s="5"/>
      <c r="G436" s="22" t="n">
        <f aca="false">ROUND(SUM(I436:P436),3)</f>
        <v>70.594</v>
      </c>
      <c r="H436" s="5" t="str">
        <f aca="false">IF(G436&gt;=評分方法!$C$16,"優先評估",IF(G436&gt;=評分方法!$C$17,"列入候選",IF(G436&gt;=評分方法!$C$18,"特定情境","不建議")))</f>
        <v>列入候選</v>
      </c>
      <c r="I436" s="15" t="n">
        <f aca="false">AE436*評分方法!$C$5</f>
        <v>25.5</v>
      </c>
      <c r="J436" s="15" t="n">
        <f aca="false">AF436*評分方法!$C$6</f>
        <v>0</v>
      </c>
      <c r="K436" s="15" t="n">
        <f aca="false">AG436*評分方法!$C$7</f>
        <v>15</v>
      </c>
      <c r="L436" s="15" t="n">
        <f aca="false">AH436*評分方法!$C$8</f>
        <v>13.05</v>
      </c>
      <c r="M436" s="15" t="n">
        <f aca="false">AI436*評分方法!$C$9</f>
        <v>6</v>
      </c>
      <c r="N436" s="15" t="n">
        <f aca="false">AJ436*評分方法!$C$10</f>
        <v>1.044</v>
      </c>
      <c r="O436" s="15" t="n">
        <f aca="false">AK436*評分方法!$C$11</f>
        <v>5</v>
      </c>
      <c r="P436" s="15" t="n">
        <f aca="false">AL436*評分方法!$C$12</f>
        <v>5</v>
      </c>
      <c r="Q436" s="6" t="n">
        <v>155921</v>
      </c>
      <c r="R436" s="6" t="n">
        <v>1170340608</v>
      </c>
      <c r="S436" s="11" t="s">
        <v>254</v>
      </c>
      <c r="T436" s="11" t="s">
        <v>185</v>
      </c>
      <c r="U436" s="5" t="s">
        <v>260</v>
      </c>
      <c r="V436" s="11" t="s">
        <v>261</v>
      </c>
      <c r="W436" s="5" t="s">
        <v>205</v>
      </c>
      <c r="X436" s="5" t="s">
        <v>284</v>
      </c>
      <c r="Y436" s="11" t="s">
        <v>551</v>
      </c>
      <c r="Z436" s="11" t="s">
        <v>270</v>
      </c>
      <c r="AA436" s="11" t="s">
        <v>155</v>
      </c>
      <c r="AB436" s="5" t="s">
        <v>245</v>
      </c>
      <c r="AC436" s="5" t="s">
        <v>262</v>
      </c>
      <c r="AD436" s="11" t="s">
        <v>1296</v>
      </c>
      <c r="AE436" s="23" t="n">
        <v>0.85</v>
      </c>
      <c r="AF436" s="23" t="n">
        <v>0</v>
      </c>
      <c r="AG436" s="23" t="n">
        <v>1</v>
      </c>
      <c r="AH436" s="23" t="n">
        <v>0.87</v>
      </c>
      <c r="AI436" s="23" t="n">
        <v>0.6</v>
      </c>
      <c r="AJ436" s="23" t="n">
        <v>0.1044</v>
      </c>
      <c r="AK436" s="23" t="n">
        <v>1</v>
      </c>
      <c r="AL436" s="23" t="n">
        <v>1</v>
      </c>
      <c r="AM436" s="16" t="n">
        <f aca="false">COUNTIFS($D$2:$D$2501,D436,$G$2:$G$2501,"&gt;"&amp;G436)+COUNTIFS($D$2:D436,D436,$G$2:G436,G436)</f>
        <v>226</v>
      </c>
      <c r="AN436" s="5" t="str">
        <f aca="false">D436&amp;"|"&amp;AM436</f>
        <v>分析與報告生成|226</v>
      </c>
    </row>
    <row r="437" customFormat="false" ht="17.15" hidden="false" customHeight="false" outlineLevel="0" collapsed="false">
      <c r="A437" s="16" t="n">
        <f aca="false">RANK(G437,$G$2:$G$2501)+COUNTIF($G$2:G437,G437)-1</f>
        <v>436</v>
      </c>
      <c r="B437" s="11" t="s">
        <v>1297</v>
      </c>
      <c r="C437" s="11" t="s">
        <v>839</v>
      </c>
      <c r="D437" s="5" t="s">
        <v>56</v>
      </c>
      <c r="E437" s="5" t="s">
        <v>57</v>
      </c>
      <c r="F437" s="5"/>
      <c r="G437" s="22" t="n">
        <f aca="false">ROUND(SUM(I437:P437),3)</f>
        <v>70.578</v>
      </c>
      <c r="H437" s="5" t="str">
        <f aca="false">IF(G437&gt;=評分方法!$C$16,"優先評估",IF(G437&gt;=評分方法!$C$17,"列入候選",IF(G437&gt;=評分方法!$C$18,"特定情境","不建議")))</f>
        <v>列入候選</v>
      </c>
      <c r="I437" s="15" t="n">
        <f aca="false">AE437*評分方法!$C$5</f>
        <v>25.5</v>
      </c>
      <c r="J437" s="15" t="n">
        <f aca="false">AF437*評分方法!$C$6</f>
        <v>0</v>
      </c>
      <c r="K437" s="15" t="n">
        <f aca="false">AG437*評分方法!$C$7</f>
        <v>15</v>
      </c>
      <c r="L437" s="15" t="n">
        <f aca="false">AH437*評分方法!$C$8</f>
        <v>13.05</v>
      </c>
      <c r="M437" s="15" t="n">
        <f aca="false">AI437*評分方法!$C$9</f>
        <v>10</v>
      </c>
      <c r="N437" s="15" t="n">
        <f aca="false">AJ437*評分方法!$C$10</f>
        <v>4.528</v>
      </c>
      <c r="O437" s="15" t="n">
        <f aca="false">AK437*評分方法!$C$11</f>
        <v>2.5</v>
      </c>
      <c r="P437" s="15" t="n">
        <f aca="false">AL437*評分方法!$C$12</f>
        <v>0</v>
      </c>
      <c r="Q437" s="6" t="n">
        <v>493364</v>
      </c>
      <c r="R437" s="6" t="n">
        <v>3942446592</v>
      </c>
      <c r="S437" s="11" t="s">
        <v>254</v>
      </c>
      <c r="T437" s="11" t="s">
        <v>278</v>
      </c>
      <c r="U437" s="5" t="s">
        <v>240</v>
      </c>
      <c r="V437" s="11" t="s">
        <v>324</v>
      </c>
      <c r="W437" s="5" t="s">
        <v>205</v>
      </c>
      <c r="X437" s="5" t="s">
        <v>242</v>
      </c>
      <c r="Y437" s="5"/>
      <c r="Z437" s="5"/>
      <c r="AA437" s="11" t="s">
        <v>156</v>
      </c>
      <c r="AB437" s="5" t="s">
        <v>245</v>
      </c>
      <c r="AC437" s="5"/>
      <c r="AD437" s="11" t="s">
        <v>1298</v>
      </c>
      <c r="AE437" s="23" t="n">
        <v>0.85</v>
      </c>
      <c r="AF437" s="23" t="n">
        <v>0</v>
      </c>
      <c r="AG437" s="23" t="n">
        <v>1</v>
      </c>
      <c r="AH437" s="23" t="n">
        <v>0.87</v>
      </c>
      <c r="AI437" s="23" t="n">
        <v>1</v>
      </c>
      <c r="AJ437" s="23" t="n">
        <v>0.4528</v>
      </c>
      <c r="AK437" s="23" t="n">
        <v>0.5</v>
      </c>
      <c r="AL437" s="23" t="n">
        <v>0</v>
      </c>
      <c r="AM437" s="16" t="n">
        <f aca="false">COUNTIFS($D$2:$D$2501,D437,$G$2:$G$2501,"&gt;"&amp;G437)+COUNTIFS($D$2:D437,D437,$G$2:G437,G437)</f>
        <v>227</v>
      </c>
      <c r="AN437" s="5" t="str">
        <f aca="false">D437&amp;"|"&amp;AM437</f>
        <v>分析與報告生成|227</v>
      </c>
    </row>
    <row r="438" customFormat="false" ht="17.15" hidden="false" customHeight="false" outlineLevel="0" collapsed="false">
      <c r="A438" s="16" t="n">
        <f aca="false">RANK(G438,$G$2:$G$2501)+COUNTIF($G$2:G438,G438)-1</f>
        <v>437</v>
      </c>
      <c r="B438" s="11" t="s">
        <v>1299</v>
      </c>
      <c r="C438" s="11" t="s">
        <v>948</v>
      </c>
      <c r="D438" s="5" t="s">
        <v>56</v>
      </c>
      <c r="E438" s="5" t="s">
        <v>57</v>
      </c>
      <c r="F438" s="5"/>
      <c r="G438" s="22" t="n">
        <f aca="false">ROUND(SUM(I438:P438),3)</f>
        <v>70.522</v>
      </c>
      <c r="H438" s="5" t="str">
        <f aca="false">IF(G438&gt;=評分方法!$C$16,"優先評估",IF(G438&gt;=評分方法!$C$17,"列入候選",IF(G438&gt;=評分方法!$C$18,"特定情境","不建議")))</f>
        <v>列入候選</v>
      </c>
      <c r="I438" s="15" t="n">
        <f aca="false">AE438*評分方法!$C$5</f>
        <v>25.5</v>
      </c>
      <c r="J438" s="15" t="n">
        <f aca="false">AF438*評分方法!$C$6</f>
        <v>0</v>
      </c>
      <c r="K438" s="15" t="n">
        <f aca="false">AG438*評分方法!$C$7</f>
        <v>15</v>
      </c>
      <c r="L438" s="15" t="n">
        <f aca="false">AH438*評分方法!$C$8</f>
        <v>13.05</v>
      </c>
      <c r="M438" s="15" t="n">
        <f aca="false">AI438*評分方法!$C$9</f>
        <v>10</v>
      </c>
      <c r="N438" s="15" t="n">
        <f aca="false">AJ438*評分方法!$C$10</f>
        <v>5.972</v>
      </c>
      <c r="O438" s="15" t="n">
        <f aca="false">AK438*評分方法!$C$11</f>
        <v>1</v>
      </c>
      <c r="P438" s="15" t="n">
        <f aca="false">AL438*評分方法!$C$12</f>
        <v>0</v>
      </c>
      <c r="Q438" s="6" t="n">
        <v>616210</v>
      </c>
      <c r="R438" s="6" t="n">
        <v>8402768112</v>
      </c>
      <c r="S438" s="11" t="s">
        <v>254</v>
      </c>
      <c r="T438" s="11" t="s">
        <v>239</v>
      </c>
      <c r="U438" s="5" t="s">
        <v>240</v>
      </c>
      <c r="V438" s="11" t="s">
        <v>261</v>
      </c>
      <c r="W438" s="5" t="s">
        <v>205</v>
      </c>
      <c r="X438" s="5" t="s">
        <v>242</v>
      </c>
      <c r="Y438" s="5"/>
      <c r="Z438" s="5"/>
      <c r="AA438" s="11" t="s">
        <v>156</v>
      </c>
      <c r="AB438" s="5" t="s">
        <v>245</v>
      </c>
      <c r="AC438" s="5"/>
      <c r="AD438" s="11" t="s">
        <v>1300</v>
      </c>
      <c r="AE438" s="23" t="n">
        <v>0.85</v>
      </c>
      <c r="AF438" s="23" t="n">
        <v>0</v>
      </c>
      <c r="AG438" s="23" t="n">
        <v>1</v>
      </c>
      <c r="AH438" s="23" t="n">
        <v>0.87</v>
      </c>
      <c r="AI438" s="23" t="n">
        <v>1</v>
      </c>
      <c r="AJ438" s="23" t="n">
        <v>0.5972</v>
      </c>
      <c r="AK438" s="23" t="n">
        <v>0.2</v>
      </c>
      <c r="AL438" s="23" t="n">
        <v>0</v>
      </c>
      <c r="AM438" s="16" t="n">
        <f aca="false">COUNTIFS($D$2:$D$2501,D438,$G$2:$G$2501,"&gt;"&amp;G438)+COUNTIFS($D$2:D438,D438,$G$2:G438,G438)</f>
        <v>228</v>
      </c>
      <c r="AN438" s="5" t="str">
        <f aca="false">D438&amp;"|"&amp;AM438</f>
        <v>分析與報告生成|228</v>
      </c>
    </row>
    <row r="439" customFormat="false" ht="17.15" hidden="false" customHeight="false" outlineLevel="0" collapsed="false">
      <c r="A439" s="16" t="n">
        <f aca="false">RANK(G439,$G$2:$G$2501)+COUNTIF($G$2:G439,G439)-1</f>
        <v>438</v>
      </c>
      <c r="B439" s="11" t="s">
        <v>1301</v>
      </c>
      <c r="C439" s="11" t="s">
        <v>1202</v>
      </c>
      <c r="D439" s="5" t="s">
        <v>54</v>
      </c>
      <c r="E439" s="5" t="s">
        <v>55</v>
      </c>
      <c r="F439" s="5"/>
      <c r="G439" s="22" t="n">
        <f aca="false">ROUND(SUM(I439:P439),3)</f>
        <v>70.51</v>
      </c>
      <c r="H439" s="5" t="str">
        <f aca="false">IF(G439&gt;=評分方法!$C$16,"優先評估",IF(G439&gt;=評分方法!$C$17,"列入候選",IF(G439&gt;=評分方法!$C$18,"特定情境","不建議")))</f>
        <v>列入候選</v>
      </c>
      <c r="I439" s="15" t="n">
        <f aca="false">AE439*評分方法!$C$5</f>
        <v>27</v>
      </c>
      <c r="J439" s="15" t="n">
        <f aca="false">AF439*評分方法!$C$6</f>
        <v>0</v>
      </c>
      <c r="K439" s="15" t="n">
        <f aca="false">AG439*評分方法!$C$7</f>
        <v>4.95</v>
      </c>
      <c r="L439" s="15" t="n">
        <f aca="false">AH439*評分方法!$C$8</f>
        <v>15</v>
      </c>
      <c r="M439" s="15" t="n">
        <f aca="false">AI439*評分方法!$C$9</f>
        <v>10</v>
      </c>
      <c r="N439" s="15" t="n">
        <f aca="false">AJ439*評分方法!$C$10</f>
        <v>4.56</v>
      </c>
      <c r="O439" s="15" t="n">
        <f aca="false">AK439*評分方法!$C$11</f>
        <v>4</v>
      </c>
      <c r="P439" s="15" t="n">
        <f aca="false">AL439*評分方法!$C$12</f>
        <v>5</v>
      </c>
      <c r="Q439" s="6" t="n">
        <v>497397</v>
      </c>
      <c r="R439" s="6" t="n">
        <v>128090368</v>
      </c>
      <c r="S439" s="11" t="s">
        <v>238</v>
      </c>
      <c r="T439" s="11" t="s">
        <v>278</v>
      </c>
      <c r="U439" s="5" t="s">
        <v>240</v>
      </c>
      <c r="V439" s="11" t="s">
        <v>241</v>
      </c>
      <c r="W439" s="5" t="s">
        <v>334</v>
      </c>
      <c r="X439" s="5" t="s">
        <v>284</v>
      </c>
      <c r="Y439" s="5"/>
      <c r="Z439" s="5"/>
      <c r="AA439" s="11" t="s">
        <v>152</v>
      </c>
      <c r="AB439" s="5" t="s">
        <v>961</v>
      </c>
      <c r="AC439" s="5" t="s">
        <v>1203</v>
      </c>
      <c r="AD439" s="11" t="s">
        <v>1302</v>
      </c>
      <c r="AE439" s="23" t="n">
        <v>0.9</v>
      </c>
      <c r="AF439" s="23" t="n">
        <v>0</v>
      </c>
      <c r="AG439" s="23" t="n">
        <v>0.33</v>
      </c>
      <c r="AH439" s="23" t="n">
        <v>1</v>
      </c>
      <c r="AI439" s="23" t="n">
        <v>1</v>
      </c>
      <c r="AJ439" s="23" t="n">
        <v>0.456</v>
      </c>
      <c r="AK439" s="23" t="n">
        <v>0.8</v>
      </c>
      <c r="AL439" s="23" t="n">
        <v>1</v>
      </c>
      <c r="AM439" s="16" t="n">
        <f aca="false">COUNTIFS($D$2:$D$2501,D439,$G$2:$G$2501,"&gt;"&amp;G439)+COUNTIFS($D$2:D439,D439,$G$2:G439,G439)</f>
        <v>110</v>
      </c>
      <c r="AN439" s="5" t="str">
        <f aca="false">D439&amp;"|"&amp;AM439</f>
        <v>檢索與情資關聯|110</v>
      </c>
    </row>
    <row r="440" customFormat="false" ht="17.15" hidden="false" customHeight="false" outlineLevel="0" collapsed="false">
      <c r="A440" s="16" t="n">
        <f aca="false">RANK(G440,$G$2:$G$2501)+COUNTIF($G$2:G440,G440)-1</f>
        <v>439</v>
      </c>
      <c r="B440" s="11" t="s">
        <v>1303</v>
      </c>
      <c r="C440" s="11" t="s">
        <v>368</v>
      </c>
      <c r="D440" s="5" t="s">
        <v>56</v>
      </c>
      <c r="E440" s="5" t="s">
        <v>57</v>
      </c>
      <c r="F440" s="5"/>
      <c r="G440" s="22" t="n">
        <f aca="false">ROUND(SUM(I440:P440),3)</f>
        <v>70.496</v>
      </c>
      <c r="H440" s="5" t="str">
        <f aca="false">IF(G440&gt;=評分方法!$C$16,"優先評估",IF(G440&gt;=評分方法!$C$17,"列入候選",IF(G440&gt;=評分方法!$C$18,"特定情境","不建議")))</f>
        <v>列入候選</v>
      </c>
      <c r="I440" s="15" t="n">
        <f aca="false">AE440*評分方法!$C$5</f>
        <v>25.5</v>
      </c>
      <c r="J440" s="15" t="n">
        <f aca="false">AF440*評分方法!$C$6</f>
        <v>0</v>
      </c>
      <c r="K440" s="15" t="n">
        <f aca="false">AG440*評分方法!$C$7</f>
        <v>15</v>
      </c>
      <c r="L440" s="15" t="n">
        <f aca="false">AH440*評分方法!$C$8</f>
        <v>9</v>
      </c>
      <c r="M440" s="15" t="n">
        <f aca="false">AI440*評分方法!$C$9</f>
        <v>6</v>
      </c>
      <c r="N440" s="15" t="n">
        <f aca="false">AJ440*評分方法!$C$10</f>
        <v>9.496</v>
      </c>
      <c r="O440" s="15" t="n">
        <f aca="false">AK440*評分方法!$C$11</f>
        <v>2.5</v>
      </c>
      <c r="P440" s="15" t="n">
        <f aca="false">AL440*評分方法!$C$12</f>
        <v>3</v>
      </c>
      <c r="Q440" s="6" t="n">
        <v>8698236</v>
      </c>
      <c r="R440" s="6" t="n">
        <v>12187325040</v>
      </c>
      <c r="S440" s="11" t="s">
        <v>389</v>
      </c>
      <c r="T440" s="11" t="s">
        <v>658</v>
      </c>
      <c r="U440" s="5" t="s">
        <v>260</v>
      </c>
      <c r="V440" s="11" t="s">
        <v>261</v>
      </c>
      <c r="W440" s="5" t="s">
        <v>205</v>
      </c>
      <c r="X440" s="5" t="s">
        <v>371</v>
      </c>
      <c r="Y440" s="11" t="s">
        <v>1304</v>
      </c>
      <c r="Z440" s="11" t="s">
        <v>270</v>
      </c>
      <c r="AA440" s="11" t="s">
        <v>156</v>
      </c>
      <c r="AB440" s="5" t="s">
        <v>245</v>
      </c>
      <c r="AC440" s="5" t="s">
        <v>262</v>
      </c>
      <c r="AD440" s="11" t="s">
        <v>1305</v>
      </c>
      <c r="AE440" s="23" t="n">
        <v>0.85</v>
      </c>
      <c r="AF440" s="23" t="n">
        <v>0</v>
      </c>
      <c r="AG440" s="23" t="n">
        <v>1</v>
      </c>
      <c r="AH440" s="23" t="n">
        <v>0.6</v>
      </c>
      <c r="AI440" s="23" t="n">
        <v>0.6</v>
      </c>
      <c r="AJ440" s="23" t="n">
        <v>0.9496</v>
      </c>
      <c r="AK440" s="23" t="n">
        <v>0.5</v>
      </c>
      <c r="AL440" s="23" t="n">
        <v>0.6</v>
      </c>
      <c r="AM440" s="16" t="n">
        <f aca="false">COUNTIFS($D$2:$D$2501,D440,$G$2:$G$2501,"&gt;"&amp;G440)+COUNTIFS($D$2:D440,D440,$G$2:G440,G440)</f>
        <v>229</v>
      </c>
      <c r="AN440" s="5" t="str">
        <f aca="false">D440&amp;"|"&amp;AM440</f>
        <v>分析與報告生成|229</v>
      </c>
    </row>
    <row r="441" customFormat="false" ht="17.15" hidden="false" customHeight="false" outlineLevel="0" collapsed="false">
      <c r="A441" s="16" t="n">
        <f aca="false">RANK(G441,$G$2:$G$2501)+COUNTIF($G$2:G441,G441)-1</f>
        <v>440</v>
      </c>
      <c r="B441" s="11" t="s">
        <v>1306</v>
      </c>
      <c r="C441" s="11" t="s">
        <v>1195</v>
      </c>
      <c r="D441" s="5" t="s">
        <v>66</v>
      </c>
      <c r="E441" s="5" t="s">
        <v>67</v>
      </c>
      <c r="F441" s="5"/>
      <c r="G441" s="22" t="n">
        <f aca="false">ROUND(SUM(I441:P441),3)</f>
        <v>70.462</v>
      </c>
      <c r="H441" s="5" t="str">
        <f aca="false">IF(G441&gt;=評分方法!$C$16,"優先評估",IF(G441&gt;=評分方法!$C$17,"列入候選",IF(G441&gt;=評分方法!$C$18,"特定情境","不建議")))</f>
        <v>列入候選</v>
      </c>
      <c r="I441" s="15" t="n">
        <f aca="false">AE441*評分方法!$C$5</f>
        <v>30</v>
      </c>
      <c r="J441" s="15" t="n">
        <f aca="false">AF441*評分方法!$C$6</f>
        <v>0</v>
      </c>
      <c r="K441" s="15" t="n">
        <f aca="false">AG441*評分方法!$C$7</f>
        <v>4.95</v>
      </c>
      <c r="L441" s="15" t="n">
        <f aca="false">AH441*評分方法!$C$8</f>
        <v>15</v>
      </c>
      <c r="M441" s="15" t="n">
        <f aca="false">AI441*評分方法!$C$9</f>
        <v>10</v>
      </c>
      <c r="N441" s="15" t="n">
        <f aca="false">AJ441*評分方法!$C$10</f>
        <v>3.012</v>
      </c>
      <c r="O441" s="15" t="n">
        <f aca="false">AK441*評分方法!$C$11</f>
        <v>2.5</v>
      </c>
      <c r="P441" s="15" t="n">
        <f aca="false">AL441*評分方法!$C$12</f>
        <v>5</v>
      </c>
      <c r="Q441" s="6" t="n">
        <v>296812</v>
      </c>
      <c r="R441" s="6" t="n">
        <v>435065347</v>
      </c>
      <c r="S441" s="11" t="s">
        <v>238</v>
      </c>
      <c r="T441" s="11" t="s">
        <v>278</v>
      </c>
      <c r="U441" s="5" t="s">
        <v>240</v>
      </c>
      <c r="V441" s="11" t="s">
        <v>324</v>
      </c>
      <c r="W441" s="5" t="s">
        <v>334</v>
      </c>
      <c r="X441" s="5" t="s">
        <v>284</v>
      </c>
      <c r="Y441" s="5"/>
      <c r="Z441" s="5"/>
      <c r="AA441" s="11" t="s">
        <v>149</v>
      </c>
      <c r="AB441" s="5" t="s">
        <v>245</v>
      </c>
      <c r="AC441" s="5"/>
      <c r="AD441" s="11" t="s">
        <v>1307</v>
      </c>
      <c r="AE441" s="23" t="n">
        <v>1</v>
      </c>
      <c r="AF441" s="23" t="n">
        <v>0</v>
      </c>
      <c r="AG441" s="23" t="n">
        <v>0.33</v>
      </c>
      <c r="AH441" s="23" t="n">
        <v>1</v>
      </c>
      <c r="AI441" s="23" t="n">
        <v>1</v>
      </c>
      <c r="AJ441" s="23" t="n">
        <v>0.3012</v>
      </c>
      <c r="AK441" s="23" t="n">
        <v>0.5</v>
      </c>
      <c r="AL441" s="23" t="n">
        <v>1</v>
      </c>
      <c r="AM441" s="16" t="n">
        <f aca="false">COUNTIFS($D$2:$D$2501,D441,$G$2:$G$2501,"&gt;"&amp;G441)+COUNTIFS($D$2:D441,D441,$G$2:G441,G441)</f>
        <v>15</v>
      </c>
      <c r="AN441" s="5" t="str">
        <f aca="false">D441&amp;"|"&amp;AM441</f>
        <v>分類與偵測|15</v>
      </c>
    </row>
    <row r="442" customFormat="false" ht="17.15" hidden="false" customHeight="false" outlineLevel="0" collapsed="false">
      <c r="A442" s="16" t="n">
        <f aca="false">RANK(G442,$G$2:$G$2501)+COUNTIF($G$2:G442,G442)-1</f>
        <v>441</v>
      </c>
      <c r="B442" s="11" t="s">
        <v>1066</v>
      </c>
      <c r="C442" s="11" t="s">
        <v>258</v>
      </c>
      <c r="D442" s="5" t="s">
        <v>56</v>
      </c>
      <c r="E442" s="5" t="s">
        <v>57</v>
      </c>
      <c r="F442" s="5"/>
      <c r="G442" s="22" t="n">
        <f aca="false">ROUND(SUM(I442:P442),3)</f>
        <v>70.458</v>
      </c>
      <c r="H442" s="5" t="str">
        <f aca="false">IF(G442&gt;=評分方法!$C$16,"優先評估",IF(G442&gt;=評分方法!$C$17,"列入候選",IF(G442&gt;=評分方法!$C$18,"特定情境","不建議")))</f>
        <v>列入候選</v>
      </c>
      <c r="I442" s="15" t="n">
        <f aca="false">AE442*評分方法!$C$5</f>
        <v>25.5</v>
      </c>
      <c r="J442" s="15" t="n">
        <f aca="false">AF442*評分方法!$C$6</f>
        <v>0</v>
      </c>
      <c r="K442" s="15" t="n">
        <f aca="false">AG442*評分方法!$C$7</f>
        <v>15</v>
      </c>
      <c r="L442" s="15" t="n">
        <f aca="false">AH442*評分方法!$C$8</f>
        <v>13.05</v>
      </c>
      <c r="M442" s="15" t="n">
        <f aca="false">AI442*評分方法!$C$9</f>
        <v>6</v>
      </c>
      <c r="N442" s="15" t="n">
        <f aca="false">AJ442*評分方法!$C$10</f>
        <v>9.908</v>
      </c>
      <c r="O442" s="15" t="n">
        <f aca="false">AK442*評分方法!$C$11</f>
        <v>1</v>
      </c>
      <c r="P442" s="15" t="n">
        <f aca="false">AL442*評分方法!$C$12</f>
        <v>0</v>
      </c>
      <c r="Q442" s="6" t="n">
        <v>48838549</v>
      </c>
      <c r="R442" s="6" t="n">
        <v>8030261248</v>
      </c>
      <c r="S442" s="11" t="s">
        <v>254</v>
      </c>
      <c r="T442" s="11" t="s">
        <v>259</v>
      </c>
      <c r="U442" s="5" t="s">
        <v>260</v>
      </c>
      <c r="V442" s="11" t="s">
        <v>324</v>
      </c>
      <c r="W442" s="5" t="s">
        <v>205</v>
      </c>
      <c r="X442" s="5" t="s">
        <v>242</v>
      </c>
      <c r="Y442" s="11" t="s">
        <v>616</v>
      </c>
      <c r="Z442" s="11" t="s">
        <v>270</v>
      </c>
      <c r="AA442" s="11" t="s">
        <v>155</v>
      </c>
      <c r="AB442" s="5" t="s">
        <v>245</v>
      </c>
      <c r="AC442" s="5" t="s">
        <v>262</v>
      </c>
      <c r="AD442" s="11" t="s">
        <v>1308</v>
      </c>
      <c r="AE442" s="23" t="n">
        <v>0.85</v>
      </c>
      <c r="AF442" s="23" t="n">
        <v>0</v>
      </c>
      <c r="AG442" s="23" t="n">
        <v>1</v>
      </c>
      <c r="AH442" s="23" t="n">
        <v>0.87</v>
      </c>
      <c r="AI442" s="23" t="n">
        <v>0.6</v>
      </c>
      <c r="AJ442" s="23" t="n">
        <v>0.9908</v>
      </c>
      <c r="AK442" s="23" t="n">
        <v>0.2</v>
      </c>
      <c r="AL442" s="23" t="n">
        <v>0</v>
      </c>
      <c r="AM442" s="16" t="n">
        <f aca="false">COUNTIFS($D$2:$D$2501,D442,$G$2:$G$2501,"&gt;"&amp;G442)+COUNTIFS($D$2:D442,D442,$G$2:G442,G442)</f>
        <v>230</v>
      </c>
      <c r="AN442" s="5" t="str">
        <f aca="false">D442&amp;"|"&amp;AM442</f>
        <v>分析與報告生成|230</v>
      </c>
    </row>
    <row r="443" customFormat="false" ht="17.15" hidden="false" customHeight="false" outlineLevel="0" collapsed="false">
      <c r="A443" s="16" t="n">
        <f aca="false">RANK(G443,$G$2:$G$2501)+COUNTIF($G$2:G443,G443)-1</f>
        <v>442</v>
      </c>
      <c r="B443" s="11" t="s">
        <v>1309</v>
      </c>
      <c r="C443" s="11" t="s">
        <v>258</v>
      </c>
      <c r="D443" s="5" t="s">
        <v>56</v>
      </c>
      <c r="E443" s="5" t="s">
        <v>57</v>
      </c>
      <c r="F443" s="5"/>
      <c r="G443" s="22" t="n">
        <f aca="false">ROUND(SUM(I443:P443),3)</f>
        <v>70.454</v>
      </c>
      <c r="H443" s="5" t="str">
        <f aca="false">IF(G443&gt;=評分方法!$C$16,"優先評估",IF(G443&gt;=評分方法!$C$17,"列入候選",IF(G443&gt;=評分方法!$C$18,"特定情境","不建議")))</f>
        <v>列入候選</v>
      </c>
      <c r="I443" s="15" t="n">
        <f aca="false">AE443*評分方法!$C$5</f>
        <v>25.5</v>
      </c>
      <c r="J443" s="15" t="n">
        <f aca="false">AF443*評分方法!$C$6</f>
        <v>0</v>
      </c>
      <c r="K443" s="15" t="n">
        <f aca="false">AG443*評分方法!$C$7</f>
        <v>15</v>
      </c>
      <c r="L443" s="15" t="n">
        <f aca="false">AH443*評分方法!$C$8</f>
        <v>13.05</v>
      </c>
      <c r="M443" s="15" t="n">
        <f aca="false">AI443*評分方法!$C$9</f>
        <v>6</v>
      </c>
      <c r="N443" s="15" t="n">
        <f aca="false">AJ443*評分方法!$C$10</f>
        <v>9.904</v>
      </c>
      <c r="O443" s="15" t="n">
        <f aca="false">AK443*評分方法!$C$11</f>
        <v>1</v>
      </c>
      <c r="P443" s="15" t="n">
        <f aca="false">AL443*評分方法!$C$12</f>
        <v>0</v>
      </c>
      <c r="Q443" s="6" t="n">
        <v>48044857</v>
      </c>
      <c r="R443" s="6" t="n">
        <v>1235814400</v>
      </c>
      <c r="S443" s="11" t="s">
        <v>254</v>
      </c>
      <c r="T443" s="11" t="s">
        <v>1044</v>
      </c>
      <c r="U443" s="5" t="s">
        <v>260</v>
      </c>
      <c r="V443" s="11" t="s">
        <v>324</v>
      </c>
      <c r="W443" s="5" t="s">
        <v>205</v>
      </c>
      <c r="X443" s="5" t="s">
        <v>242</v>
      </c>
      <c r="Y443" s="5"/>
      <c r="Z443" s="5"/>
      <c r="AA443" s="11" t="s">
        <v>155</v>
      </c>
      <c r="AB443" s="5" t="s">
        <v>245</v>
      </c>
      <c r="AC443" s="5" t="s">
        <v>262</v>
      </c>
      <c r="AD443" s="11" t="s">
        <v>1310</v>
      </c>
      <c r="AE443" s="23" t="n">
        <v>0.85</v>
      </c>
      <c r="AF443" s="23" t="n">
        <v>0</v>
      </c>
      <c r="AG443" s="23" t="n">
        <v>1</v>
      </c>
      <c r="AH443" s="23" t="n">
        <v>0.87</v>
      </c>
      <c r="AI443" s="23" t="n">
        <v>0.6</v>
      </c>
      <c r="AJ443" s="23" t="n">
        <v>0.9904</v>
      </c>
      <c r="AK443" s="23" t="n">
        <v>0.2</v>
      </c>
      <c r="AL443" s="23" t="n">
        <v>0</v>
      </c>
      <c r="AM443" s="16" t="n">
        <f aca="false">COUNTIFS($D$2:$D$2501,D443,$G$2:$G$2501,"&gt;"&amp;G443)+COUNTIFS($D$2:D443,D443,$G$2:G443,G443)</f>
        <v>231</v>
      </c>
      <c r="AN443" s="5" t="str">
        <f aca="false">D443&amp;"|"&amp;AM443</f>
        <v>分析與報告生成|231</v>
      </c>
    </row>
    <row r="444" customFormat="false" ht="17.15" hidden="false" customHeight="false" outlineLevel="0" collapsed="false">
      <c r="A444" s="16" t="n">
        <f aca="false">RANK(G444,$G$2:$G$2501)+COUNTIF($G$2:G444,G444)-1</f>
        <v>443</v>
      </c>
      <c r="B444" s="11" t="s">
        <v>1311</v>
      </c>
      <c r="C444" s="11" t="s">
        <v>338</v>
      </c>
      <c r="D444" s="5" t="s">
        <v>56</v>
      </c>
      <c r="E444" s="5" t="s">
        <v>57</v>
      </c>
      <c r="F444" s="5"/>
      <c r="G444" s="22" t="n">
        <f aca="false">ROUND(SUM(I444:P444),3)</f>
        <v>70.428</v>
      </c>
      <c r="H444" s="5" t="str">
        <f aca="false">IF(G444&gt;=評分方法!$C$16,"優先評估",IF(G444&gt;=評分方法!$C$17,"列入候選",IF(G444&gt;=評分方法!$C$18,"特定情境","不建議")))</f>
        <v>列入候選</v>
      </c>
      <c r="I444" s="15" t="n">
        <f aca="false">AE444*評分方法!$C$5</f>
        <v>25.5</v>
      </c>
      <c r="J444" s="15" t="n">
        <f aca="false">AF444*評分方法!$C$6</f>
        <v>0</v>
      </c>
      <c r="K444" s="15" t="n">
        <f aca="false">AG444*評分方法!$C$7</f>
        <v>15</v>
      </c>
      <c r="L444" s="15" t="n">
        <f aca="false">AH444*評分方法!$C$8</f>
        <v>9</v>
      </c>
      <c r="M444" s="15" t="n">
        <f aca="false">AI444*評分方法!$C$9</f>
        <v>10</v>
      </c>
      <c r="N444" s="15" t="n">
        <f aca="false">AJ444*評分方法!$C$10</f>
        <v>3.428</v>
      </c>
      <c r="O444" s="15" t="n">
        <f aca="false">AK444*評分方法!$C$11</f>
        <v>2.5</v>
      </c>
      <c r="P444" s="15" t="n">
        <f aca="false">AL444*評分方法!$C$12</f>
        <v>5</v>
      </c>
      <c r="Q444" s="6" t="n">
        <v>345017</v>
      </c>
      <c r="R444" s="6" t="n">
        <v>23572403200</v>
      </c>
      <c r="S444" s="11" t="s">
        <v>389</v>
      </c>
      <c r="T444" s="11" t="s">
        <v>239</v>
      </c>
      <c r="U444" s="5" t="s">
        <v>240</v>
      </c>
      <c r="V444" s="11" t="s">
        <v>261</v>
      </c>
      <c r="W444" s="5" t="s">
        <v>205</v>
      </c>
      <c r="X444" s="5" t="s">
        <v>284</v>
      </c>
      <c r="Y444" s="11" t="s">
        <v>665</v>
      </c>
      <c r="Z444" s="11" t="s">
        <v>270</v>
      </c>
      <c r="AA444" s="11" t="s">
        <v>155</v>
      </c>
      <c r="AB444" s="5" t="s">
        <v>328</v>
      </c>
      <c r="AC444" s="5" t="s">
        <v>400</v>
      </c>
      <c r="AD444" s="11" t="s">
        <v>1312</v>
      </c>
      <c r="AE444" s="23" t="n">
        <v>0.85</v>
      </c>
      <c r="AF444" s="23" t="n">
        <v>0</v>
      </c>
      <c r="AG444" s="23" t="n">
        <v>1</v>
      </c>
      <c r="AH444" s="23" t="n">
        <v>0.6</v>
      </c>
      <c r="AI444" s="23" t="n">
        <v>1</v>
      </c>
      <c r="AJ444" s="23" t="n">
        <v>0.3428</v>
      </c>
      <c r="AK444" s="23" t="n">
        <v>0.5</v>
      </c>
      <c r="AL444" s="23" t="n">
        <v>1</v>
      </c>
      <c r="AM444" s="16" t="n">
        <f aca="false">COUNTIFS($D$2:$D$2501,D444,$G$2:$G$2501,"&gt;"&amp;G444)+COUNTIFS($D$2:D444,D444,$G$2:G444,G444)</f>
        <v>232</v>
      </c>
      <c r="AN444" s="5" t="str">
        <f aca="false">D444&amp;"|"&amp;AM444</f>
        <v>分析與報告生成|232</v>
      </c>
    </row>
    <row r="445" customFormat="false" ht="17.15" hidden="false" customHeight="false" outlineLevel="0" collapsed="false">
      <c r="A445" s="16" t="n">
        <f aca="false">RANK(G445,$G$2:$G$2501)+COUNTIF($G$2:G445,G445)-1</f>
        <v>444</v>
      </c>
      <c r="B445" s="11" t="s">
        <v>1313</v>
      </c>
      <c r="C445" s="11" t="s">
        <v>1314</v>
      </c>
      <c r="D445" s="5" t="s">
        <v>64</v>
      </c>
      <c r="E445" s="5" t="s">
        <v>65</v>
      </c>
      <c r="F445" s="5" t="s">
        <v>64</v>
      </c>
      <c r="G445" s="22" t="n">
        <f aca="false">ROUND(SUM(I445:P445),3)</f>
        <v>70.422</v>
      </c>
      <c r="H445" s="5" t="str">
        <f aca="false">IF(G445&gt;=評分方法!$C$16,"優先評估",IF(G445&gt;=評分方法!$C$17,"列入候選",IF(G445&gt;=評分方法!$C$18,"特定情境","不建議")))</f>
        <v>列入候選</v>
      </c>
      <c r="I445" s="15" t="n">
        <f aca="false">AE445*評分方法!$C$5</f>
        <v>30</v>
      </c>
      <c r="J445" s="15" t="n">
        <f aca="false">AF445*評分方法!$C$6</f>
        <v>10</v>
      </c>
      <c r="K445" s="15" t="n">
        <f aca="false">AG445*評分方法!$C$7</f>
        <v>4.95</v>
      </c>
      <c r="L445" s="15" t="n">
        <f aca="false">AH445*評分方法!$C$8</f>
        <v>15</v>
      </c>
      <c r="M445" s="15" t="n">
        <f aca="false">AI445*評分方法!$C$9</f>
        <v>2</v>
      </c>
      <c r="N445" s="15" t="n">
        <f aca="false">AJ445*評分方法!$C$10</f>
        <v>2.972</v>
      </c>
      <c r="O445" s="15" t="n">
        <f aca="false">AK445*評分方法!$C$11</f>
        <v>4</v>
      </c>
      <c r="P445" s="15" t="n">
        <f aca="false">AL445*評分方法!$C$12</f>
        <v>1.5</v>
      </c>
      <c r="Q445" s="6" t="n">
        <v>291961</v>
      </c>
      <c r="R445" s="6" t="n">
        <v>66955010</v>
      </c>
      <c r="S445" s="11" t="s">
        <v>238</v>
      </c>
      <c r="T445" s="5"/>
      <c r="U445" s="5" t="s">
        <v>375</v>
      </c>
      <c r="V445" s="11" t="s">
        <v>261</v>
      </c>
      <c r="W445" s="5" t="s">
        <v>334</v>
      </c>
      <c r="X445" s="5" t="s">
        <v>255</v>
      </c>
      <c r="Y445" s="5"/>
      <c r="Z445" s="5"/>
      <c r="AA445" s="11" t="s">
        <v>149</v>
      </c>
      <c r="AB445" s="5" t="s">
        <v>245</v>
      </c>
      <c r="AC445" s="5" t="s">
        <v>262</v>
      </c>
      <c r="AD445" s="11" t="s">
        <v>1315</v>
      </c>
      <c r="AE445" s="23" t="n">
        <v>1</v>
      </c>
      <c r="AF445" s="23" t="n">
        <v>1</v>
      </c>
      <c r="AG445" s="23" t="n">
        <v>0.33</v>
      </c>
      <c r="AH445" s="23" t="n">
        <v>1</v>
      </c>
      <c r="AI445" s="23" t="n">
        <v>0.2</v>
      </c>
      <c r="AJ445" s="23" t="n">
        <v>0.2972</v>
      </c>
      <c r="AK445" s="23" t="n">
        <v>0.8</v>
      </c>
      <c r="AL445" s="23" t="n">
        <v>0.3</v>
      </c>
      <c r="AM445" s="16" t="n">
        <f aca="false">COUNTIFS($D$2:$D$2501,D445,$G$2:$G$2501,"&gt;"&amp;G445)+COUNTIFS($D$2:D445,D445,$G$2:G445,G445)</f>
        <v>2</v>
      </c>
      <c r="AN445" s="5" t="str">
        <f aca="false">D445&amp;"|"&amp;AM445</f>
        <v>釣魚與垃圾訊息偵測|2</v>
      </c>
    </row>
    <row r="446" customFormat="false" ht="17.15" hidden="false" customHeight="false" outlineLevel="0" collapsed="false">
      <c r="A446" s="16" t="n">
        <f aca="false">RANK(G446,$G$2:$G$2501)+COUNTIF($G$2:G446,G446)-1</f>
        <v>445</v>
      </c>
      <c r="B446" s="11" t="s">
        <v>1316</v>
      </c>
      <c r="C446" s="11" t="s">
        <v>282</v>
      </c>
      <c r="D446" s="5" t="s">
        <v>54</v>
      </c>
      <c r="E446" s="5" t="s">
        <v>55</v>
      </c>
      <c r="F446" s="5"/>
      <c r="G446" s="22" t="n">
        <f aca="false">ROUND(SUM(I446:P446),3)</f>
        <v>70.404</v>
      </c>
      <c r="H446" s="5" t="str">
        <f aca="false">IF(G446&gt;=評分方法!$C$16,"優先評估",IF(G446&gt;=評分方法!$C$17,"列入候選",IF(G446&gt;=評分方法!$C$18,"特定情境","不建議")))</f>
        <v>列入候選</v>
      </c>
      <c r="I446" s="15" t="n">
        <f aca="false">AE446*評分方法!$C$5</f>
        <v>27</v>
      </c>
      <c r="J446" s="15" t="n">
        <f aca="false">AF446*評分方法!$C$6</f>
        <v>0</v>
      </c>
      <c r="K446" s="15" t="n">
        <f aca="false">AG446*評分方法!$C$7</f>
        <v>15</v>
      </c>
      <c r="L446" s="15" t="n">
        <f aca="false">AH446*評分方法!$C$8</f>
        <v>15</v>
      </c>
      <c r="M446" s="15" t="n">
        <f aca="false">AI446*評分方法!$C$9</f>
        <v>2</v>
      </c>
      <c r="N446" s="15" t="n">
        <f aca="false">AJ446*評分方法!$C$10</f>
        <v>8.904</v>
      </c>
      <c r="O446" s="15" t="n">
        <f aca="false">AK446*評分方法!$C$11</f>
        <v>2.5</v>
      </c>
      <c r="P446" s="15" t="n">
        <f aca="false">AL446*評分方法!$C$12</f>
        <v>0</v>
      </c>
      <c r="Q446" s="6" t="n">
        <v>3425098</v>
      </c>
      <c r="R446" s="6" t="n">
        <v>109482752</v>
      </c>
      <c r="S446" s="11" t="s">
        <v>238</v>
      </c>
      <c r="T446" s="5"/>
      <c r="U446" s="5" t="s">
        <v>375</v>
      </c>
      <c r="V446" s="11" t="s">
        <v>283</v>
      </c>
      <c r="W446" s="5" t="s">
        <v>205</v>
      </c>
      <c r="X446" s="5" t="s">
        <v>242</v>
      </c>
      <c r="Y446" s="5"/>
      <c r="Z446" s="5"/>
      <c r="AA446" s="11" t="s">
        <v>152</v>
      </c>
      <c r="AB446" s="5" t="s">
        <v>245</v>
      </c>
      <c r="AC446" s="5" t="s">
        <v>262</v>
      </c>
      <c r="AD446" s="11" t="s">
        <v>1317</v>
      </c>
      <c r="AE446" s="23" t="n">
        <v>0.9</v>
      </c>
      <c r="AF446" s="23" t="n">
        <v>0</v>
      </c>
      <c r="AG446" s="23" t="n">
        <v>1</v>
      </c>
      <c r="AH446" s="23" t="n">
        <v>1</v>
      </c>
      <c r="AI446" s="23" t="n">
        <v>0.2</v>
      </c>
      <c r="AJ446" s="23" t="n">
        <v>0.8904</v>
      </c>
      <c r="AK446" s="23" t="n">
        <v>0.5</v>
      </c>
      <c r="AL446" s="23" t="n">
        <v>0</v>
      </c>
      <c r="AM446" s="16" t="n">
        <f aca="false">COUNTIFS($D$2:$D$2501,D446,$G$2:$G$2501,"&gt;"&amp;G446)+COUNTIFS($D$2:D446,D446,$G$2:G446,G446)</f>
        <v>111</v>
      </c>
      <c r="AN446" s="5" t="str">
        <f aca="false">D446&amp;"|"&amp;AM446</f>
        <v>檢索與情資關聯|111</v>
      </c>
    </row>
    <row r="447" customFormat="false" ht="17.15" hidden="false" customHeight="false" outlineLevel="0" collapsed="false">
      <c r="A447" s="16" t="n">
        <f aca="false">RANK(G447,$G$2:$G$2501)+COUNTIF($G$2:G447,G447)-1</f>
        <v>446</v>
      </c>
      <c r="B447" s="11" t="s">
        <v>1318</v>
      </c>
      <c r="C447" s="11" t="s">
        <v>368</v>
      </c>
      <c r="D447" s="5" t="s">
        <v>56</v>
      </c>
      <c r="E447" s="5" t="s">
        <v>57</v>
      </c>
      <c r="F447" s="5"/>
      <c r="G447" s="22" t="n">
        <f aca="false">ROUND(SUM(I447:P447),3)</f>
        <v>70.402</v>
      </c>
      <c r="H447" s="5" t="str">
        <f aca="false">IF(G447&gt;=評分方法!$C$16,"優先評估",IF(G447&gt;=評分方法!$C$17,"列入候選",IF(G447&gt;=評分方法!$C$18,"特定情境","不建議")))</f>
        <v>列入候選</v>
      </c>
      <c r="I447" s="15" t="n">
        <f aca="false">AE447*評分方法!$C$5</f>
        <v>25.5</v>
      </c>
      <c r="J447" s="15" t="n">
        <f aca="false">AF447*評分方法!$C$6</f>
        <v>0</v>
      </c>
      <c r="K447" s="15" t="n">
        <f aca="false">AG447*評分方法!$C$7</f>
        <v>15</v>
      </c>
      <c r="L447" s="15" t="n">
        <f aca="false">AH447*評分方法!$C$8</f>
        <v>13.05</v>
      </c>
      <c r="M447" s="15" t="n">
        <f aca="false">AI447*評分方法!$C$9</f>
        <v>6</v>
      </c>
      <c r="N447" s="15" t="n">
        <f aca="false">AJ447*評分方法!$C$10</f>
        <v>6.852</v>
      </c>
      <c r="O447" s="15" t="n">
        <f aca="false">AK447*評分方法!$C$11</f>
        <v>1</v>
      </c>
      <c r="P447" s="15" t="n">
        <f aca="false">AL447*評分方法!$C$12</f>
        <v>3</v>
      </c>
      <c r="Q447" s="6" t="n">
        <v>853980</v>
      </c>
      <c r="R447" s="6" t="n">
        <v>2506172416</v>
      </c>
      <c r="S447" s="11" t="s">
        <v>254</v>
      </c>
      <c r="T447" s="11" t="s">
        <v>658</v>
      </c>
      <c r="U447" s="5" t="s">
        <v>260</v>
      </c>
      <c r="V447" s="11" t="s">
        <v>261</v>
      </c>
      <c r="W447" s="5" t="s">
        <v>205</v>
      </c>
      <c r="X447" s="5" t="s">
        <v>371</v>
      </c>
      <c r="Y447" s="5"/>
      <c r="Z447" s="5"/>
      <c r="AA447" s="11" t="s">
        <v>155</v>
      </c>
      <c r="AB447" s="5" t="s">
        <v>245</v>
      </c>
      <c r="AC447" s="5" t="s">
        <v>262</v>
      </c>
      <c r="AD447" s="11" t="s">
        <v>1319</v>
      </c>
      <c r="AE447" s="23" t="n">
        <v>0.85</v>
      </c>
      <c r="AF447" s="23" t="n">
        <v>0</v>
      </c>
      <c r="AG447" s="23" t="n">
        <v>1</v>
      </c>
      <c r="AH447" s="23" t="n">
        <v>0.87</v>
      </c>
      <c r="AI447" s="23" t="n">
        <v>0.6</v>
      </c>
      <c r="AJ447" s="23" t="n">
        <v>0.6852</v>
      </c>
      <c r="AK447" s="23" t="n">
        <v>0.2</v>
      </c>
      <c r="AL447" s="23" t="n">
        <v>0.6</v>
      </c>
      <c r="AM447" s="16" t="n">
        <f aca="false">COUNTIFS($D$2:$D$2501,D447,$G$2:$G$2501,"&gt;"&amp;G447)+COUNTIFS($D$2:D447,D447,$G$2:G447,G447)</f>
        <v>233</v>
      </c>
      <c r="AN447" s="5" t="str">
        <f aca="false">D447&amp;"|"&amp;AM447</f>
        <v>分析與報告生成|233</v>
      </c>
    </row>
    <row r="448" customFormat="false" ht="17.15" hidden="false" customHeight="false" outlineLevel="0" collapsed="false">
      <c r="A448" s="16" t="n">
        <f aca="false">RANK(G448,$G$2:$G$2501)+COUNTIF($G$2:G448,G448)-1</f>
        <v>447</v>
      </c>
      <c r="B448" s="11" t="s">
        <v>1320</v>
      </c>
      <c r="C448" s="11" t="s">
        <v>681</v>
      </c>
      <c r="D448" s="5" t="s">
        <v>56</v>
      </c>
      <c r="E448" s="5" t="s">
        <v>57</v>
      </c>
      <c r="F448" s="5"/>
      <c r="G448" s="22" t="n">
        <f aca="false">ROUND(SUM(I448:P448),3)</f>
        <v>70.398</v>
      </c>
      <c r="H448" s="5" t="str">
        <f aca="false">IF(G448&gt;=評分方法!$C$16,"優先評估",IF(G448&gt;=評分方法!$C$17,"列入候選",IF(G448&gt;=評分方法!$C$18,"特定情境","不建議")))</f>
        <v>列入候選</v>
      </c>
      <c r="I448" s="15" t="n">
        <f aca="false">AE448*評分方法!$C$5</f>
        <v>25.5</v>
      </c>
      <c r="J448" s="15" t="n">
        <f aca="false">AF448*評分方法!$C$6</f>
        <v>0</v>
      </c>
      <c r="K448" s="15" t="n">
        <f aca="false">AG448*評分方法!$C$7</f>
        <v>15</v>
      </c>
      <c r="L448" s="15" t="n">
        <f aca="false">AH448*評分方法!$C$8</f>
        <v>13.05</v>
      </c>
      <c r="M448" s="15" t="n">
        <f aca="false">AI448*評分方法!$C$9</f>
        <v>6</v>
      </c>
      <c r="N448" s="15" t="n">
        <f aca="false">AJ448*評分方法!$C$10</f>
        <v>6.848</v>
      </c>
      <c r="O448" s="15" t="n">
        <f aca="false">AK448*評分方法!$C$11</f>
        <v>1</v>
      </c>
      <c r="P448" s="15" t="n">
        <f aca="false">AL448*評分方法!$C$12</f>
        <v>3</v>
      </c>
      <c r="Q448" s="6" t="n">
        <v>853048</v>
      </c>
      <c r="R448" s="6" t="n">
        <v>7043090432</v>
      </c>
      <c r="S448" s="11" t="s">
        <v>254</v>
      </c>
      <c r="T448" s="11" t="s">
        <v>185</v>
      </c>
      <c r="U448" s="5" t="s">
        <v>260</v>
      </c>
      <c r="V448" s="11" t="s">
        <v>261</v>
      </c>
      <c r="W448" s="5" t="s">
        <v>205</v>
      </c>
      <c r="X448" s="5" t="s">
        <v>371</v>
      </c>
      <c r="Y448" s="5"/>
      <c r="Z448" s="5"/>
      <c r="AA448" s="11" t="s">
        <v>156</v>
      </c>
      <c r="AB448" s="5" t="s">
        <v>245</v>
      </c>
      <c r="AC448" s="5" t="s">
        <v>262</v>
      </c>
      <c r="AD448" s="11" t="s">
        <v>1321</v>
      </c>
      <c r="AE448" s="23" t="n">
        <v>0.85</v>
      </c>
      <c r="AF448" s="23" t="n">
        <v>0</v>
      </c>
      <c r="AG448" s="23" t="n">
        <v>1</v>
      </c>
      <c r="AH448" s="23" t="n">
        <v>0.87</v>
      </c>
      <c r="AI448" s="23" t="n">
        <v>0.6</v>
      </c>
      <c r="AJ448" s="23" t="n">
        <v>0.6848</v>
      </c>
      <c r="AK448" s="23" t="n">
        <v>0.2</v>
      </c>
      <c r="AL448" s="23" t="n">
        <v>0.6</v>
      </c>
      <c r="AM448" s="16" t="n">
        <f aca="false">COUNTIFS($D$2:$D$2501,D448,$G$2:$G$2501,"&gt;"&amp;G448)+COUNTIFS($D$2:D448,D448,$G$2:G448,G448)</f>
        <v>234</v>
      </c>
      <c r="AN448" s="5" t="str">
        <f aca="false">D448&amp;"|"&amp;AM448</f>
        <v>分析與報告生成|234</v>
      </c>
    </row>
    <row r="449" customFormat="false" ht="17.15" hidden="false" customHeight="false" outlineLevel="0" collapsed="false">
      <c r="A449" s="16" t="n">
        <f aca="false">RANK(G449,$G$2:$G$2501)+COUNTIF($G$2:G449,G449)-1</f>
        <v>448</v>
      </c>
      <c r="B449" s="11" t="s">
        <v>1322</v>
      </c>
      <c r="C449" s="11" t="s">
        <v>308</v>
      </c>
      <c r="D449" s="5" t="s">
        <v>56</v>
      </c>
      <c r="E449" s="5" t="s">
        <v>57</v>
      </c>
      <c r="F449" s="5"/>
      <c r="G449" s="22" t="n">
        <f aca="false">ROUND(SUM(I449:P449),3)</f>
        <v>70.394</v>
      </c>
      <c r="H449" s="5" t="str">
        <f aca="false">IF(G449&gt;=評分方法!$C$16,"優先評估",IF(G449&gt;=評分方法!$C$17,"列入候選",IF(G449&gt;=評分方法!$C$18,"特定情境","不建議")))</f>
        <v>列入候選</v>
      </c>
      <c r="I449" s="15" t="n">
        <f aca="false">AE449*評分方法!$C$5</f>
        <v>25.5</v>
      </c>
      <c r="J449" s="15" t="n">
        <f aca="false">AF449*評分方法!$C$6</f>
        <v>0</v>
      </c>
      <c r="K449" s="15" t="n">
        <f aca="false">AG449*評分方法!$C$7</f>
        <v>15</v>
      </c>
      <c r="L449" s="15" t="n">
        <f aca="false">AH449*評分方法!$C$8</f>
        <v>13.05</v>
      </c>
      <c r="M449" s="15" t="n">
        <f aca="false">AI449*評分方法!$C$9</f>
        <v>10</v>
      </c>
      <c r="N449" s="15" t="n">
        <f aca="false">AJ449*評分方法!$C$10</f>
        <v>2.844</v>
      </c>
      <c r="O449" s="15" t="n">
        <f aca="false">AK449*評分方法!$C$11</f>
        <v>4</v>
      </c>
      <c r="P449" s="15" t="n">
        <f aca="false">AL449*評分方法!$C$12</f>
        <v>0</v>
      </c>
      <c r="Q449" s="6" t="n">
        <v>276998</v>
      </c>
      <c r="R449" s="6" t="n">
        <v>3821079552</v>
      </c>
      <c r="S449" s="11" t="s">
        <v>254</v>
      </c>
      <c r="T449" s="11" t="s">
        <v>278</v>
      </c>
      <c r="U449" s="5" t="s">
        <v>240</v>
      </c>
      <c r="V449" s="11" t="s">
        <v>333</v>
      </c>
      <c r="W449" s="5" t="s">
        <v>205</v>
      </c>
      <c r="X449" s="5" t="s">
        <v>242</v>
      </c>
      <c r="Y449" s="5"/>
      <c r="Z449" s="5"/>
      <c r="AA449" s="11" t="s">
        <v>155</v>
      </c>
      <c r="AB449" s="5" t="s">
        <v>245</v>
      </c>
      <c r="AC449" s="5"/>
      <c r="AD449" s="11" t="s">
        <v>1323</v>
      </c>
      <c r="AE449" s="23" t="n">
        <v>0.85</v>
      </c>
      <c r="AF449" s="23" t="n">
        <v>0</v>
      </c>
      <c r="AG449" s="23" t="n">
        <v>1</v>
      </c>
      <c r="AH449" s="23" t="n">
        <v>0.87</v>
      </c>
      <c r="AI449" s="23" t="n">
        <v>1</v>
      </c>
      <c r="AJ449" s="23" t="n">
        <v>0.2844</v>
      </c>
      <c r="AK449" s="23" t="n">
        <v>0.8</v>
      </c>
      <c r="AL449" s="23" t="n">
        <v>0</v>
      </c>
      <c r="AM449" s="16" t="n">
        <f aca="false">COUNTIFS($D$2:$D$2501,D449,$G$2:$G$2501,"&gt;"&amp;G449)+COUNTIFS($D$2:D449,D449,$G$2:G449,G449)</f>
        <v>235</v>
      </c>
      <c r="AN449" s="5" t="str">
        <f aca="false">D449&amp;"|"&amp;AM449</f>
        <v>分析與報告生成|235</v>
      </c>
    </row>
    <row r="450" customFormat="false" ht="17.15" hidden="false" customHeight="false" outlineLevel="0" collapsed="false">
      <c r="A450" s="16" t="n">
        <f aca="false">RANK(G450,$G$2:$G$2501)+COUNTIF($G$2:G450,G450)-1</f>
        <v>449</v>
      </c>
      <c r="B450" s="11" t="s">
        <v>1324</v>
      </c>
      <c r="C450" s="11" t="s">
        <v>1325</v>
      </c>
      <c r="D450" s="5" t="s">
        <v>70</v>
      </c>
      <c r="E450" s="5" t="s">
        <v>71</v>
      </c>
      <c r="F450" s="5" t="s">
        <v>70</v>
      </c>
      <c r="G450" s="22" t="n">
        <f aca="false">ROUND(SUM(I450:P450),3)</f>
        <v>70.328</v>
      </c>
      <c r="H450" s="5" t="str">
        <f aca="false">IF(G450&gt;=評分方法!$C$16,"優先評估",IF(G450&gt;=評分方法!$C$17,"列入候選",IF(G450&gt;=評分方法!$C$18,"特定情境","不建議")))</f>
        <v>列入候選</v>
      </c>
      <c r="I450" s="15" t="n">
        <f aca="false">AE450*評分方法!$C$5</f>
        <v>30</v>
      </c>
      <c r="J450" s="15" t="n">
        <f aca="false">AF450*評分方法!$C$6</f>
        <v>5</v>
      </c>
      <c r="K450" s="15" t="n">
        <f aca="false">AG450*評分方法!$C$7</f>
        <v>10.05</v>
      </c>
      <c r="L450" s="15" t="n">
        <f aca="false">AH450*評分方法!$C$8</f>
        <v>7.05</v>
      </c>
      <c r="M450" s="15" t="n">
        <f aca="false">AI450*評分方法!$C$9</f>
        <v>7</v>
      </c>
      <c r="N450" s="15" t="n">
        <f aca="false">AJ450*評分方法!$C$10</f>
        <v>2.228</v>
      </c>
      <c r="O450" s="15" t="n">
        <f aca="false">AK450*評分方法!$C$11</f>
        <v>4</v>
      </c>
      <c r="P450" s="15" t="n">
        <f aca="false">AL450*評分方法!$C$12</f>
        <v>5</v>
      </c>
      <c r="Q450" s="6" t="n">
        <v>227502</v>
      </c>
      <c r="R450" s="6"/>
      <c r="S450" s="5" t="s">
        <v>255</v>
      </c>
      <c r="T450" s="11" t="s">
        <v>1326</v>
      </c>
      <c r="U450" s="5" t="s">
        <v>902</v>
      </c>
      <c r="V450" s="11" t="s">
        <v>514</v>
      </c>
      <c r="W450" s="5" t="s">
        <v>207</v>
      </c>
      <c r="X450" s="5" t="s">
        <v>284</v>
      </c>
      <c r="Y450" s="11" t="s">
        <v>1327</v>
      </c>
      <c r="Z450" s="11" t="s">
        <v>244</v>
      </c>
      <c r="AA450" s="11" t="s">
        <v>149</v>
      </c>
      <c r="AB450" s="5" t="s">
        <v>245</v>
      </c>
      <c r="AC450" s="5" t="s">
        <v>246</v>
      </c>
      <c r="AD450" s="11" t="s">
        <v>1328</v>
      </c>
      <c r="AE450" s="23" t="n">
        <v>1</v>
      </c>
      <c r="AF450" s="23" t="n">
        <v>0.5</v>
      </c>
      <c r="AG450" s="23" t="n">
        <v>0.67</v>
      </c>
      <c r="AH450" s="23" t="n">
        <v>0.47</v>
      </c>
      <c r="AI450" s="23" t="n">
        <v>0.7</v>
      </c>
      <c r="AJ450" s="23" t="n">
        <v>0.2228</v>
      </c>
      <c r="AK450" s="23" t="n">
        <v>0.8</v>
      </c>
      <c r="AL450" s="23" t="n">
        <v>1</v>
      </c>
      <c r="AM450" s="16" t="n">
        <f aca="false">COUNTIFS($D$2:$D$2501,D450,$G$2:$G$2501,"&gt;"&amp;G450)+COUNTIFS($D$2:D450,D450,$G$2:G450,G450)</f>
        <v>3</v>
      </c>
      <c r="AN450" s="5" t="str">
        <f aca="false">D450&amp;"|"&amp;AM450</f>
        <v>內容安全審查|3</v>
      </c>
    </row>
    <row r="451" customFormat="false" ht="17.15" hidden="false" customHeight="false" outlineLevel="0" collapsed="false">
      <c r="A451" s="16" t="n">
        <f aca="false">RANK(G451,$G$2:$G$2501)+COUNTIF($G$2:G451,G451)-1</f>
        <v>450</v>
      </c>
      <c r="B451" s="11" t="s">
        <v>1329</v>
      </c>
      <c r="C451" s="11" t="s">
        <v>1214</v>
      </c>
      <c r="D451" s="5" t="s">
        <v>56</v>
      </c>
      <c r="E451" s="5" t="s">
        <v>57</v>
      </c>
      <c r="F451" s="5"/>
      <c r="G451" s="22" t="n">
        <f aca="false">ROUND(SUM(I451:P451),3)</f>
        <v>70.326</v>
      </c>
      <c r="H451" s="5" t="str">
        <f aca="false">IF(G451&gt;=評分方法!$C$16,"優先評估",IF(G451&gt;=評分方法!$C$17,"列入候選",IF(G451&gt;=評分方法!$C$18,"特定情境","不建議")))</f>
        <v>列入候選</v>
      </c>
      <c r="I451" s="15" t="n">
        <f aca="false">AE451*評分方法!$C$5</f>
        <v>25.5</v>
      </c>
      <c r="J451" s="15" t="n">
        <f aca="false">AF451*評分方法!$C$6</f>
        <v>0</v>
      </c>
      <c r="K451" s="15" t="n">
        <f aca="false">AG451*評分方法!$C$7</f>
        <v>15</v>
      </c>
      <c r="L451" s="15" t="n">
        <f aca="false">AH451*評分方法!$C$8</f>
        <v>7.05</v>
      </c>
      <c r="M451" s="15" t="n">
        <f aca="false">AI451*評分方法!$C$9</f>
        <v>6</v>
      </c>
      <c r="N451" s="15" t="n">
        <f aca="false">AJ451*評分方法!$C$10</f>
        <v>8.776</v>
      </c>
      <c r="O451" s="15" t="n">
        <f aca="false">AK451*評分方法!$C$11</f>
        <v>5</v>
      </c>
      <c r="P451" s="15" t="n">
        <f aca="false">AL451*評分方法!$C$12</f>
        <v>3</v>
      </c>
      <c r="Q451" s="6" t="n">
        <v>3016051</v>
      </c>
      <c r="R451" s="6"/>
      <c r="S451" s="5" t="s">
        <v>255</v>
      </c>
      <c r="T451" s="11" t="s">
        <v>185</v>
      </c>
      <c r="U451" s="5" t="s">
        <v>260</v>
      </c>
      <c r="V451" s="11" t="s">
        <v>261</v>
      </c>
      <c r="W451" s="5" t="s">
        <v>205</v>
      </c>
      <c r="X451" s="5" t="s">
        <v>371</v>
      </c>
      <c r="Y451" s="11" t="s">
        <v>1303</v>
      </c>
      <c r="Z451" s="11" t="s">
        <v>270</v>
      </c>
      <c r="AA451" s="11" t="s">
        <v>156</v>
      </c>
      <c r="AB451" s="5" t="s">
        <v>496</v>
      </c>
      <c r="AC451" s="5" t="s">
        <v>1330</v>
      </c>
      <c r="AD451" s="11" t="s">
        <v>1331</v>
      </c>
      <c r="AE451" s="23" t="n">
        <v>0.85</v>
      </c>
      <c r="AF451" s="23" t="n">
        <v>0</v>
      </c>
      <c r="AG451" s="23" t="n">
        <v>1</v>
      </c>
      <c r="AH451" s="23" t="n">
        <v>0.47</v>
      </c>
      <c r="AI451" s="23" t="n">
        <v>0.6</v>
      </c>
      <c r="AJ451" s="23" t="n">
        <v>0.8776</v>
      </c>
      <c r="AK451" s="23" t="n">
        <v>1</v>
      </c>
      <c r="AL451" s="23" t="n">
        <v>0.6</v>
      </c>
      <c r="AM451" s="16" t="n">
        <f aca="false">COUNTIFS($D$2:$D$2501,D451,$G$2:$G$2501,"&gt;"&amp;G451)+COUNTIFS($D$2:D451,D451,$G$2:G451,G451)</f>
        <v>236</v>
      </c>
      <c r="AN451" s="5" t="str">
        <f aca="false">D451&amp;"|"&amp;AM451</f>
        <v>分析與報告生成|236</v>
      </c>
    </row>
    <row r="452" customFormat="false" ht="17.15" hidden="false" customHeight="false" outlineLevel="0" collapsed="false">
      <c r="A452" s="16" t="n">
        <f aca="false">RANK(G452,$G$2:$G$2501)+COUNTIF($G$2:G452,G452)-1</f>
        <v>451</v>
      </c>
      <c r="B452" s="11" t="s">
        <v>1332</v>
      </c>
      <c r="C452" s="11" t="s">
        <v>299</v>
      </c>
      <c r="D452" s="5" t="s">
        <v>56</v>
      </c>
      <c r="E452" s="5" t="s">
        <v>57</v>
      </c>
      <c r="F452" s="5"/>
      <c r="G452" s="22" t="n">
        <f aca="false">ROUND(SUM(I452:P452),3)</f>
        <v>70.302</v>
      </c>
      <c r="H452" s="5" t="str">
        <f aca="false">IF(G452&gt;=評分方法!$C$16,"優先評估",IF(G452&gt;=評分方法!$C$17,"列入候選",IF(G452&gt;=評分方法!$C$18,"特定情境","不建議")))</f>
        <v>列入候選</v>
      </c>
      <c r="I452" s="15" t="n">
        <f aca="false">AE452*評分方法!$C$5</f>
        <v>25.5</v>
      </c>
      <c r="J452" s="15" t="n">
        <f aca="false">AF452*評分方法!$C$6</f>
        <v>0</v>
      </c>
      <c r="K452" s="15" t="n">
        <f aca="false">AG452*評分方法!$C$7</f>
        <v>15</v>
      </c>
      <c r="L452" s="15" t="n">
        <f aca="false">AH452*評分方法!$C$8</f>
        <v>13.05</v>
      </c>
      <c r="M452" s="15" t="n">
        <f aca="false">AI452*評分方法!$C$9</f>
        <v>10</v>
      </c>
      <c r="N452" s="15" t="n">
        <f aca="false">AJ452*評分方法!$C$10</f>
        <v>1.252</v>
      </c>
      <c r="O452" s="15" t="n">
        <f aca="false">AK452*評分方法!$C$11</f>
        <v>2.5</v>
      </c>
      <c r="P452" s="15" t="n">
        <f aca="false">AL452*評分方法!$C$12</f>
        <v>3</v>
      </c>
      <c r="Q452" s="6" t="n">
        <v>164471</v>
      </c>
      <c r="R452" s="6" t="n">
        <v>1334628352</v>
      </c>
      <c r="S452" s="11" t="s">
        <v>254</v>
      </c>
      <c r="T452" s="11" t="s">
        <v>239</v>
      </c>
      <c r="U452" s="5" t="s">
        <v>240</v>
      </c>
      <c r="V452" s="11" t="s">
        <v>261</v>
      </c>
      <c r="W452" s="5" t="s">
        <v>205</v>
      </c>
      <c r="X452" s="5" t="s">
        <v>371</v>
      </c>
      <c r="Y452" s="11" t="s">
        <v>1077</v>
      </c>
      <c r="Z452" s="11" t="s">
        <v>270</v>
      </c>
      <c r="AA452" s="11" t="s">
        <v>155</v>
      </c>
      <c r="AB452" s="5" t="s">
        <v>245</v>
      </c>
      <c r="AC452" s="5"/>
      <c r="AD452" s="11" t="s">
        <v>1333</v>
      </c>
      <c r="AE452" s="23" t="n">
        <v>0.85</v>
      </c>
      <c r="AF452" s="23" t="n">
        <v>0</v>
      </c>
      <c r="AG452" s="23" t="n">
        <v>1</v>
      </c>
      <c r="AH452" s="23" t="n">
        <v>0.87</v>
      </c>
      <c r="AI452" s="23" t="n">
        <v>1</v>
      </c>
      <c r="AJ452" s="23" t="n">
        <v>0.1252</v>
      </c>
      <c r="AK452" s="23" t="n">
        <v>0.5</v>
      </c>
      <c r="AL452" s="23" t="n">
        <v>0.6</v>
      </c>
      <c r="AM452" s="16" t="n">
        <f aca="false">COUNTIFS($D$2:$D$2501,D452,$G$2:$G$2501,"&gt;"&amp;G452)+COUNTIFS($D$2:D452,D452,$G$2:G452,G452)</f>
        <v>237</v>
      </c>
      <c r="AN452" s="5" t="str">
        <f aca="false">D452&amp;"|"&amp;AM452</f>
        <v>分析與報告生成|237</v>
      </c>
    </row>
    <row r="453" customFormat="false" ht="17.15" hidden="false" customHeight="false" outlineLevel="0" collapsed="false">
      <c r="A453" s="16" t="n">
        <f aca="false">RANK(G453,$G$2:$G$2501)+COUNTIF($G$2:G453,G453)-1</f>
        <v>452</v>
      </c>
      <c r="B453" s="11" t="s">
        <v>1334</v>
      </c>
      <c r="C453" s="11" t="s">
        <v>753</v>
      </c>
      <c r="D453" s="5" t="s">
        <v>56</v>
      </c>
      <c r="E453" s="5" t="s">
        <v>57</v>
      </c>
      <c r="F453" s="5"/>
      <c r="G453" s="22" t="n">
        <f aca="false">ROUND(SUM(I453:P453),3)</f>
        <v>70.274</v>
      </c>
      <c r="H453" s="5" t="str">
        <f aca="false">IF(G453&gt;=評分方法!$C$16,"優先評估",IF(G453&gt;=評分方法!$C$17,"列入候選",IF(G453&gt;=評分方法!$C$18,"特定情境","不建議")))</f>
        <v>列入候選</v>
      </c>
      <c r="I453" s="15" t="n">
        <f aca="false">AE453*評分方法!$C$5</f>
        <v>25.5</v>
      </c>
      <c r="J453" s="15" t="n">
        <f aca="false">AF453*評分方法!$C$6</f>
        <v>0</v>
      </c>
      <c r="K453" s="15" t="n">
        <f aca="false">AG453*評分方法!$C$7</f>
        <v>10.05</v>
      </c>
      <c r="L453" s="15" t="n">
        <f aca="false">AH453*評分方法!$C$8</f>
        <v>9</v>
      </c>
      <c r="M453" s="15" t="n">
        <f aca="false">AI453*評分方法!$C$9</f>
        <v>10</v>
      </c>
      <c r="N453" s="15" t="n">
        <f aca="false">AJ453*評分方法!$C$10</f>
        <v>8.724</v>
      </c>
      <c r="O453" s="15" t="n">
        <f aca="false">AK453*評分方法!$C$11</f>
        <v>4</v>
      </c>
      <c r="P453" s="15" t="n">
        <f aca="false">AL453*評分方法!$C$12</f>
        <v>3</v>
      </c>
      <c r="Q453" s="6" t="n">
        <v>2848194</v>
      </c>
      <c r="R453" s="6" t="n">
        <v>20914757184</v>
      </c>
      <c r="S453" s="11" t="s">
        <v>389</v>
      </c>
      <c r="T453" s="11" t="s">
        <v>239</v>
      </c>
      <c r="U453" s="5" t="s">
        <v>240</v>
      </c>
      <c r="V453" s="11" t="s">
        <v>333</v>
      </c>
      <c r="W453" s="5" t="s">
        <v>207</v>
      </c>
      <c r="X453" s="5" t="s">
        <v>371</v>
      </c>
      <c r="Y453" s="11" t="s">
        <v>390</v>
      </c>
      <c r="Z453" s="11" t="s">
        <v>244</v>
      </c>
      <c r="AA453" s="11" t="s">
        <v>155</v>
      </c>
      <c r="AB453" s="5" t="s">
        <v>245</v>
      </c>
      <c r="AC453" s="5" t="s">
        <v>246</v>
      </c>
      <c r="AD453" s="11" t="s">
        <v>1335</v>
      </c>
      <c r="AE453" s="23" t="n">
        <v>0.85</v>
      </c>
      <c r="AF453" s="23" t="n">
        <v>0</v>
      </c>
      <c r="AG453" s="23" t="n">
        <v>0.67</v>
      </c>
      <c r="AH453" s="23" t="n">
        <v>0.6</v>
      </c>
      <c r="AI453" s="23" t="n">
        <v>1</v>
      </c>
      <c r="AJ453" s="23" t="n">
        <v>0.8724</v>
      </c>
      <c r="AK453" s="23" t="n">
        <v>0.8</v>
      </c>
      <c r="AL453" s="23" t="n">
        <v>0.6</v>
      </c>
      <c r="AM453" s="16" t="n">
        <f aca="false">COUNTIFS($D$2:$D$2501,D453,$G$2:$G$2501,"&gt;"&amp;G453)+COUNTIFS($D$2:D453,D453,$G$2:G453,G453)</f>
        <v>238</v>
      </c>
      <c r="AN453" s="5" t="str">
        <f aca="false">D453&amp;"|"&amp;AM453</f>
        <v>分析與報告生成|238</v>
      </c>
    </row>
    <row r="454" customFormat="false" ht="17.15" hidden="false" customHeight="false" outlineLevel="0" collapsed="false">
      <c r="A454" s="16" t="n">
        <f aca="false">RANK(G454,$G$2:$G$2501)+COUNTIF($G$2:G454,G454)-1</f>
        <v>453</v>
      </c>
      <c r="B454" s="11" t="s">
        <v>1336</v>
      </c>
      <c r="C454" s="11" t="s">
        <v>1337</v>
      </c>
      <c r="D454" s="5" t="s">
        <v>54</v>
      </c>
      <c r="E454" s="5" t="s">
        <v>55</v>
      </c>
      <c r="F454" s="5"/>
      <c r="G454" s="22" t="n">
        <f aca="false">ROUND(SUM(I454:P454),3)</f>
        <v>70.19</v>
      </c>
      <c r="H454" s="5" t="str">
        <f aca="false">IF(G454&gt;=評分方法!$C$16,"優先評估",IF(G454&gt;=評分方法!$C$17,"列入候選",IF(G454&gt;=評分方法!$C$18,"特定情境","不建議")))</f>
        <v>列入候選</v>
      </c>
      <c r="I454" s="15" t="n">
        <f aca="false">AE454*評分方法!$C$5</f>
        <v>27</v>
      </c>
      <c r="J454" s="15" t="n">
        <f aca="false">AF454*評分方法!$C$6</f>
        <v>0</v>
      </c>
      <c r="K454" s="15" t="n">
        <f aca="false">AG454*評分方法!$C$7</f>
        <v>4.95</v>
      </c>
      <c r="L454" s="15" t="n">
        <f aca="false">AH454*評分方法!$C$8</f>
        <v>15</v>
      </c>
      <c r="M454" s="15" t="n">
        <f aca="false">AI454*評分方法!$C$9</f>
        <v>10</v>
      </c>
      <c r="N454" s="15" t="n">
        <f aca="false">AJ454*評分方法!$C$10</f>
        <v>9.24</v>
      </c>
      <c r="O454" s="15" t="n">
        <f aca="false">AK454*評分方法!$C$11</f>
        <v>4</v>
      </c>
      <c r="P454" s="15" t="n">
        <f aca="false">AL454*評分方法!$C$12</f>
        <v>0</v>
      </c>
      <c r="Q454" s="6" t="n">
        <v>5547769</v>
      </c>
      <c r="R454" s="6" t="n">
        <v>109482240</v>
      </c>
      <c r="S454" s="11" t="s">
        <v>238</v>
      </c>
      <c r="T454" s="11" t="s">
        <v>239</v>
      </c>
      <c r="U454" s="5" t="s">
        <v>240</v>
      </c>
      <c r="V454" s="11" t="s">
        <v>324</v>
      </c>
      <c r="W454" s="5" t="s">
        <v>334</v>
      </c>
      <c r="X454" s="5" t="s">
        <v>242</v>
      </c>
      <c r="Y454" s="11" t="s">
        <v>1338</v>
      </c>
      <c r="Z454" s="11" t="s">
        <v>270</v>
      </c>
      <c r="AA454" s="11" t="s">
        <v>152</v>
      </c>
      <c r="AB454" s="5" t="s">
        <v>245</v>
      </c>
      <c r="AC454" s="5"/>
      <c r="AD454" s="11" t="s">
        <v>1339</v>
      </c>
      <c r="AE454" s="23" t="n">
        <v>0.9</v>
      </c>
      <c r="AF454" s="23" t="n">
        <v>0</v>
      </c>
      <c r="AG454" s="23" t="n">
        <v>0.33</v>
      </c>
      <c r="AH454" s="23" t="n">
        <v>1</v>
      </c>
      <c r="AI454" s="23" t="n">
        <v>1</v>
      </c>
      <c r="AJ454" s="23" t="n">
        <v>0.924</v>
      </c>
      <c r="AK454" s="23" t="n">
        <v>0.8</v>
      </c>
      <c r="AL454" s="23" t="n">
        <v>0</v>
      </c>
      <c r="AM454" s="16" t="n">
        <f aca="false">COUNTIFS($D$2:$D$2501,D454,$G$2:$G$2501,"&gt;"&amp;G454)+COUNTIFS($D$2:D454,D454,$G$2:G454,G454)</f>
        <v>112</v>
      </c>
      <c r="AN454" s="5" t="str">
        <f aca="false">D454&amp;"|"&amp;AM454</f>
        <v>檢索與情資關聯|112</v>
      </c>
    </row>
    <row r="455" customFormat="false" ht="17.15" hidden="false" customHeight="false" outlineLevel="0" collapsed="false">
      <c r="A455" s="16" t="n">
        <f aca="false">RANK(G455,$G$2:$G$2501)+COUNTIF($G$2:G455,G455)-1</f>
        <v>454</v>
      </c>
      <c r="B455" s="11" t="s">
        <v>1340</v>
      </c>
      <c r="C455" s="11" t="s">
        <v>258</v>
      </c>
      <c r="D455" s="5" t="s">
        <v>56</v>
      </c>
      <c r="E455" s="5" t="s">
        <v>57</v>
      </c>
      <c r="F455" s="5"/>
      <c r="G455" s="22" t="n">
        <f aca="false">ROUND(SUM(I455:P455),3)</f>
        <v>70.162</v>
      </c>
      <c r="H455" s="5" t="str">
        <f aca="false">IF(G455&gt;=評分方法!$C$16,"優先評估",IF(G455&gt;=評分方法!$C$17,"列入候選",IF(G455&gt;=評分方法!$C$18,"特定情境","不建議")))</f>
        <v>列入候選</v>
      </c>
      <c r="I455" s="15" t="n">
        <f aca="false">AE455*評分方法!$C$5</f>
        <v>25.5</v>
      </c>
      <c r="J455" s="15" t="n">
        <f aca="false">AF455*評分方法!$C$6</f>
        <v>0</v>
      </c>
      <c r="K455" s="15" t="n">
        <f aca="false">AG455*評分方法!$C$7</f>
        <v>15</v>
      </c>
      <c r="L455" s="15" t="n">
        <f aca="false">AH455*評分方法!$C$8</f>
        <v>13.05</v>
      </c>
      <c r="M455" s="15" t="n">
        <f aca="false">AI455*評分方法!$C$9</f>
        <v>6</v>
      </c>
      <c r="N455" s="15" t="n">
        <f aca="false">AJ455*評分方法!$C$10</f>
        <v>9.612</v>
      </c>
      <c r="O455" s="15" t="n">
        <f aca="false">AK455*評分方法!$C$11</f>
        <v>1</v>
      </c>
      <c r="P455" s="15" t="n">
        <f aca="false">AL455*評分方法!$C$12</f>
        <v>0</v>
      </c>
      <c r="Q455" s="6" t="n">
        <v>10464419</v>
      </c>
      <c r="R455" s="6" t="n">
        <v>3212749824</v>
      </c>
      <c r="S455" s="11" t="s">
        <v>254</v>
      </c>
      <c r="T455" s="11" t="s">
        <v>1044</v>
      </c>
      <c r="U455" s="5" t="s">
        <v>260</v>
      </c>
      <c r="V455" s="11" t="s">
        <v>324</v>
      </c>
      <c r="W455" s="5" t="s">
        <v>205</v>
      </c>
      <c r="X455" s="5" t="s">
        <v>242</v>
      </c>
      <c r="Y455" s="5"/>
      <c r="Z455" s="5"/>
      <c r="AA455" s="11" t="s">
        <v>155</v>
      </c>
      <c r="AB455" s="5" t="s">
        <v>245</v>
      </c>
      <c r="AC455" s="5" t="s">
        <v>262</v>
      </c>
      <c r="AD455" s="11" t="s">
        <v>1341</v>
      </c>
      <c r="AE455" s="23" t="n">
        <v>0.85</v>
      </c>
      <c r="AF455" s="23" t="n">
        <v>0</v>
      </c>
      <c r="AG455" s="23" t="n">
        <v>1</v>
      </c>
      <c r="AH455" s="23" t="n">
        <v>0.87</v>
      </c>
      <c r="AI455" s="23" t="n">
        <v>0.6</v>
      </c>
      <c r="AJ455" s="23" t="n">
        <v>0.9612</v>
      </c>
      <c r="AK455" s="23" t="n">
        <v>0.2</v>
      </c>
      <c r="AL455" s="23" t="n">
        <v>0</v>
      </c>
      <c r="AM455" s="16" t="n">
        <f aca="false">COUNTIFS($D$2:$D$2501,D455,$G$2:$G$2501,"&gt;"&amp;G455)+COUNTIFS($D$2:D455,D455,$G$2:G455,G455)</f>
        <v>239</v>
      </c>
      <c r="AN455" s="5" t="str">
        <f aca="false">D455&amp;"|"&amp;AM455</f>
        <v>分析與報告生成|239</v>
      </c>
    </row>
    <row r="456" customFormat="false" ht="17.15" hidden="false" customHeight="false" outlineLevel="0" collapsed="false">
      <c r="A456" s="16" t="n">
        <f aca="false">RANK(G456,$G$2:$G$2501)+COUNTIF($G$2:G456,G456)-1</f>
        <v>455</v>
      </c>
      <c r="B456" s="11" t="s">
        <v>1342</v>
      </c>
      <c r="C456" s="11" t="s">
        <v>569</v>
      </c>
      <c r="D456" s="5" t="s">
        <v>68</v>
      </c>
      <c r="E456" s="11" t="s">
        <v>69</v>
      </c>
      <c r="F456" s="5"/>
      <c r="G456" s="22" t="n">
        <f aca="false">ROUND(SUM(I456:P456),3)</f>
        <v>70.156</v>
      </c>
      <c r="H456" s="5" t="str">
        <f aca="false">IF(G456&gt;=評分方法!$C$16,"優先評估",IF(G456&gt;=評分方法!$C$17,"列入候選",IF(G456&gt;=評分方法!$C$18,"特定情境","不建議")))</f>
        <v>列入候選</v>
      </c>
      <c r="I456" s="15" t="n">
        <f aca="false">AE456*評分方法!$C$5</f>
        <v>21</v>
      </c>
      <c r="J456" s="15" t="n">
        <f aca="false">AF456*評分方法!$C$6</f>
        <v>0</v>
      </c>
      <c r="K456" s="15" t="n">
        <f aca="false">AG456*評分方法!$C$7</f>
        <v>15</v>
      </c>
      <c r="L456" s="15" t="n">
        <f aca="false">AH456*評分方法!$C$8</f>
        <v>15</v>
      </c>
      <c r="M456" s="15" t="n">
        <f aca="false">AI456*評分方法!$C$9</f>
        <v>10</v>
      </c>
      <c r="N456" s="15" t="n">
        <f aca="false">AJ456*評分方法!$C$10</f>
        <v>3.656</v>
      </c>
      <c r="O456" s="15" t="n">
        <f aca="false">AK456*評分方法!$C$11</f>
        <v>4</v>
      </c>
      <c r="P456" s="15" t="n">
        <f aca="false">AL456*評分方法!$C$12</f>
        <v>1.5</v>
      </c>
      <c r="Q456" s="6" t="n">
        <v>371456</v>
      </c>
      <c r="R456" s="6" t="n">
        <v>20456192</v>
      </c>
      <c r="S456" s="11" t="s">
        <v>238</v>
      </c>
      <c r="T456" s="11" t="s">
        <v>239</v>
      </c>
      <c r="U456" s="5" t="s">
        <v>240</v>
      </c>
      <c r="V456" s="11" t="s">
        <v>261</v>
      </c>
      <c r="W456" s="5" t="s">
        <v>205</v>
      </c>
      <c r="X456" s="5" t="s">
        <v>255</v>
      </c>
      <c r="Y456" s="5"/>
      <c r="Z456" s="5"/>
      <c r="AA456" s="11" t="s">
        <v>158</v>
      </c>
      <c r="AB456" s="5" t="s">
        <v>245</v>
      </c>
      <c r="AC456" s="5"/>
      <c r="AD456" s="11" t="s">
        <v>1343</v>
      </c>
      <c r="AE456" s="23" t="n">
        <v>0.7</v>
      </c>
      <c r="AF456" s="23" t="n">
        <v>0</v>
      </c>
      <c r="AG456" s="23" t="n">
        <v>1</v>
      </c>
      <c r="AH456" s="23" t="n">
        <v>1</v>
      </c>
      <c r="AI456" s="23" t="n">
        <v>1</v>
      </c>
      <c r="AJ456" s="23" t="n">
        <v>0.3656</v>
      </c>
      <c r="AK456" s="23" t="n">
        <v>0.8</v>
      </c>
      <c r="AL456" s="23" t="n">
        <v>0.3</v>
      </c>
      <c r="AM456" s="16" t="n">
        <f aca="false">COUNTIFS($D$2:$D$2501,D456,$G$2:$G$2501,"&gt;"&amp;G456)+COUNTIFS($D$2:D456,D456,$G$2:G456,G456)</f>
        <v>26</v>
      </c>
      <c r="AN456" s="5" t="str">
        <f aca="false">D456&amp;"|"&amp;AM456</f>
        <v>時序異常偵測|26</v>
      </c>
    </row>
    <row r="457" customFormat="false" ht="17.15" hidden="false" customHeight="false" outlineLevel="0" collapsed="false">
      <c r="A457" s="16" t="n">
        <f aca="false">RANK(G457,$G$2:$G$2501)+COUNTIF($G$2:G457,G457)-1</f>
        <v>456</v>
      </c>
      <c r="B457" s="11" t="s">
        <v>1344</v>
      </c>
      <c r="C457" s="11" t="s">
        <v>368</v>
      </c>
      <c r="D457" s="5" t="s">
        <v>56</v>
      </c>
      <c r="E457" s="5" t="s">
        <v>57</v>
      </c>
      <c r="F457" s="5"/>
      <c r="G457" s="22" t="n">
        <f aca="false">ROUND(SUM(I457:P457),3)</f>
        <v>70.148</v>
      </c>
      <c r="H457" s="5" t="str">
        <f aca="false">IF(G457&gt;=評分方法!$C$16,"優先評估",IF(G457&gt;=評分方法!$C$17,"列入候選",IF(G457&gt;=評分方法!$C$18,"特定情境","不建議")))</f>
        <v>列入候選</v>
      </c>
      <c r="I457" s="15" t="n">
        <f aca="false">AE457*評分方法!$C$5</f>
        <v>25.5</v>
      </c>
      <c r="J457" s="15" t="n">
        <f aca="false">AF457*評分方法!$C$6</f>
        <v>0</v>
      </c>
      <c r="K457" s="15" t="n">
        <f aca="false">AG457*評分方法!$C$7</f>
        <v>15</v>
      </c>
      <c r="L457" s="15" t="n">
        <f aca="false">AH457*評分方法!$C$8</f>
        <v>9</v>
      </c>
      <c r="M457" s="15" t="n">
        <f aca="false">AI457*評分方法!$C$9</f>
        <v>6</v>
      </c>
      <c r="N457" s="15" t="n">
        <f aca="false">AJ457*評分方法!$C$10</f>
        <v>9.148</v>
      </c>
      <c r="O457" s="15" t="n">
        <f aca="false">AK457*評分方法!$C$11</f>
        <v>2.5</v>
      </c>
      <c r="P457" s="15" t="n">
        <f aca="false">AL457*評分方法!$C$12</f>
        <v>3</v>
      </c>
      <c r="Q457" s="6" t="n">
        <v>4722902</v>
      </c>
      <c r="R457" s="6" t="n">
        <v>27432406640</v>
      </c>
      <c r="S457" s="11" t="s">
        <v>389</v>
      </c>
      <c r="T457" s="11" t="s">
        <v>658</v>
      </c>
      <c r="U457" s="5" t="s">
        <v>260</v>
      </c>
      <c r="V457" s="11" t="s">
        <v>261</v>
      </c>
      <c r="W457" s="5" t="s">
        <v>205</v>
      </c>
      <c r="X457" s="5" t="s">
        <v>371</v>
      </c>
      <c r="Y457" s="11" t="s">
        <v>1345</v>
      </c>
      <c r="Z457" s="11" t="s">
        <v>270</v>
      </c>
      <c r="AA457" s="11" t="s">
        <v>156</v>
      </c>
      <c r="AB457" s="5" t="s">
        <v>245</v>
      </c>
      <c r="AC457" s="5" t="s">
        <v>262</v>
      </c>
      <c r="AD457" s="11" t="s">
        <v>1346</v>
      </c>
      <c r="AE457" s="23" t="n">
        <v>0.85</v>
      </c>
      <c r="AF457" s="23" t="n">
        <v>0</v>
      </c>
      <c r="AG457" s="23" t="n">
        <v>1</v>
      </c>
      <c r="AH457" s="23" t="n">
        <v>0.6</v>
      </c>
      <c r="AI457" s="23" t="n">
        <v>0.6</v>
      </c>
      <c r="AJ457" s="23" t="n">
        <v>0.9148</v>
      </c>
      <c r="AK457" s="23" t="n">
        <v>0.5</v>
      </c>
      <c r="AL457" s="23" t="n">
        <v>0.6</v>
      </c>
      <c r="AM457" s="16" t="n">
        <f aca="false">COUNTIFS($D$2:$D$2501,D457,$G$2:$G$2501,"&gt;"&amp;G457)+COUNTIFS($D$2:D457,D457,$G$2:G457,G457)</f>
        <v>240</v>
      </c>
      <c r="AN457" s="5" t="str">
        <f aca="false">D457&amp;"|"&amp;AM457</f>
        <v>分析與報告生成|240</v>
      </c>
    </row>
    <row r="458" customFormat="false" ht="17.15" hidden="false" customHeight="false" outlineLevel="0" collapsed="false">
      <c r="A458" s="16" t="n">
        <f aca="false">RANK(G458,$G$2:$G$2501)+COUNTIF($G$2:G458,G458)-1</f>
        <v>457</v>
      </c>
      <c r="B458" s="11" t="s">
        <v>1347</v>
      </c>
      <c r="C458" s="11" t="s">
        <v>302</v>
      </c>
      <c r="D458" s="5" t="s">
        <v>54</v>
      </c>
      <c r="E458" s="5" t="s">
        <v>55</v>
      </c>
      <c r="F458" s="5"/>
      <c r="G458" s="22" t="n">
        <f aca="false">ROUND(SUM(I458:P458),3)</f>
        <v>70.136</v>
      </c>
      <c r="H458" s="5" t="str">
        <f aca="false">IF(G458&gt;=評分方法!$C$16,"優先評估",IF(G458&gt;=評分方法!$C$17,"列入候選",IF(G458&gt;=評分方法!$C$18,"特定情境","不建議")))</f>
        <v>列入候選</v>
      </c>
      <c r="I458" s="15" t="n">
        <f aca="false">AE458*評分方法!$C$5</f>
        <v>27</v>
      </c>
      <c r="J458" s="15" t="n">
        <f aca="false">AF458*評分方法!$C$6</f>
        <v>0</v>
      </c>
      <c r="K458" s="15" t="n">
        <f aca="false">AG458*評分方法!$C$7</f>
        <v>15</v>
      </c>
      <c r="L458" s="15" t="n">
        <f aca="false">AH458*評分方法!$C$8</f>
        <v>15</v>
      </c>
      <c r="M458" s="15" t="n">
        <f aca="false">AI458*評分方法!$C$9</f>
        <v>10</v>
      </c>
      <c r="N458" s="15" t="n">
        <f aca="false">AJ458*評分方法!$C$10</f>
        <v>0.636</v>
      </c>
      <c r="O458" s="15" t="n">
        <f aca="false">AK458*評分方法!$C$11</f>
        <v>2.5</v>
      </c>
      <c r="P458" s="15" t="n">
        <f aca="false">AL458*評分方法!$C$12</f>
        <v>0</v>
      </c>
      <c r="Q458" s="6" t="n">
        <v>138953</v>
      </c>
      <c r="R458" s="6" t="n">
        <v>4386561</v>
      </c>
      <c r="S458" s="11" t="s">
        <v>238</v>
      </c>
      <c r="T458" s="11" t="s">
        <v>239</v>
      </c>
      <c r="U458" s="5" t="s">
        <v>240</v>
      </c>
      <c r="V458" s="11" t="s">
        <v>356</v>
      </c>
      <c r="W458" s="5" t="s">
        <v>205</v>
      </c>
      <c r="X458" s="5" t="s">
        <v>242</v>
      </c>
      <c r="Y458" s="11" t="s">
        <v>529</v>
      </c>
      <c r="Z458" s="11" t="s">
        <v>244</v>
      </c>
      <c r="AA458" s="11" t="s">
        <v>154</v>
      </c>
      <c r="AB458" s="5" t="s">
        <v>245</v>
      </c>
      <c r="AC458" s="5" t="s">
        <v>246</v>
      </c>
      <c r="AD458" s="11" t="s">
        <v>1348</v>
      </c>
      <c r="AE458" s="23" t="n">
        <v>0.9</v>
      </c>
      <c r="AF458" s="23" t="n">
        <v>0</v>
      </c>
      <c r="AG458" s="23" t="n">
        <v>1</v>
      </c>
      <c r="AH458" s="23" t="n">
        <v>1</v>
      </c>
      <c r="AI458" s="23" t="n">
        <v>1</v>
      </c>
      <c r="AJ458" s="23" t="n">
        <v>0.0636</v>
      </c>
      <c r="AK458" s="23" t="n">
        <v>0.5</v>
      </c>
      <c r="AL458" s="23" t="n">
        <v>0</v>
      </c>
      <c r="AM458" s="16" t="n">
        <f aca="false">COUNTIFS($D$2:$D$2501,D458,$G$2:$G$2501,"&gt;"&amp;G458)+COUNTIFS($D$2:D458,D458,$G$2:G458,G458)</f>
        <v>113</v>
      </c>
      <c r="AN458" s="5" t="str">
        <f aca="false">D458&amp;"|"&amp;AM458</f>
        <v>檢索與情資關聯|113</v>
      </c>
    </row>
    <row r="459" customFormat="false" ht="17.15" hidden="false" customHeight="false" outlineLevel="0" collapsed="false">
      <c r="A459" s="16" t="n">
        <f aca="false">RANK(G459,$G$2:$G$2501)+COUNTIF($G$2:G459,G459)-1</f>
        <v>458</v>
      </c>
      <c r="B459" s="11" t="s">
        <v>1349</v>
      </c>
      <c r="C459" s="11" t="s">
        <v>323</v>
      </c>
      <c r="D459" s="5" t="s">
        <v>56</v>
      </c>
      <c r="E459" s="5" t="s">
        <v>57</v>
      </c>
      <c r="F459" s="5"/>
      <c r="G459" s="22" t="n">
        <f aca="false">ROUND(SUM(I459:P459),3)</f>
        <v>70.134</v>
      </c>
      <c r="H459" s="5" t="str">
        <f aca="false">IF(G459&gt;=評分方法!$C$16,"優先評估",IF(G459&gt;=評分方法!$C$17,"列入候選",IF(G459&gt;=評分方法!$C$18,"特定情境","不建議")))</f>
        <v>列入候選</v>
      </c>
      <c r="I459" s="15" t="n">
        <f aca="false">AE459*評分方法!$C$5</f>
        <v>25.5</v>
      </c>
      <c r="J459" s="15" t="n">
        <f aca="false">AF459*評分方法!$C$6</f>
        <v>0</v>
      </c>
      <c r="K459" s="15" t="n">
        <f aca="false">AG459*評分方法!$C$7</f>
        <v>15</v>
      </c>
      <c r="L459" s="15" t="n">
        <f aca="false">AH459*評分方法!$C$8</f>
        <v>13.05</v>
      </c>
      <c r="M459" s="15" t="n">
        <f aca="false">AI459*評分方法!$C$9</f>
        <v>10</v>
      </c>
      <c r="N459" s="15" t="n">
        <f aca="false">AJ459*評分方法!$C$10</f>
        <v>1.584</v>
      </c>
      <c r="O459" s="15" t="n">
        <f aca="false">AK459*評分方法!$C$11</f>
        <v>5</v>
      </c>
      <c r="P459" s="15" t="n">
        <f aca="false">AL459*評分方法!$C$12</f>
        <v>0</v>
      </c>
      <c r="Q459" s="6" t="n">
        <v>184134</v>
      </c>
      <c r="R459" s="6" t="n">
        <v>7430870688</v>
      </c>
      <c r="S459" s="11" t="s">
        <v>254</v>
      </c>
      <c r="T459" s="11" t="s">
        <v>239</v>
      </c>
      <c r="U459" s="5" t="s">
        <v>240</v>
      </c>
      <c r="V459" s="11" t="s">
        <v>261</v>
      </c>
      <c r="W459" s="5" t="s">
        <v>205</v>
      </c>
      <c r="X459" s="5" t="s">
        <v>242</v>
      </c>
      <c r="Y459" s="5"/>
      <c r="Z459" s="5"/>
      <c r="AA459" s="11" t="s">
        <v>155</v>
      </c>
      <c r="AB459" s="5" t="s">
        <v>245</v>
      </c>
      <c r="AC459" s="5"/>
      <c r="AD459" s="11" t="s">
        <v>1350</v>
      </c>
      <c r="AE459" s="23" t="n">
        <v>0.85</v>
      </c>
      <c r="AF459" s="23" t="n">
        <v>0</v>
      </c>
      <c r="AG459" s="23" t="n">
        <v>1</v>
      </c>
      <c r="AH459" s="23" t="n">
        <v>0.87</v>
      </c>
      <c r="AI459" s="23" t="n">
        <v>1</v>
      </c>
      <c r="AJ459" s="23" t="n">
        <v>0.1584</v>
      </c>
      <c r="AK459" s="23" t="n">
        <v>1</v>
      </c>
      <c r="AL459" s="23" t="n">
        <v>0</v>
      </c>
      <c r="AM459" s="16" t="n">
        <f aca="false">COUNTIFS($D$2:$D$2501,D459,$G$2:$G$2501,"&gt;"&amp;G459)+COUNTIFS($D$2:D459,D459,$G$2:G459,G459)</f>
        <v>241</v>
      </c>
      <c r="AN459" s="5" t="str">
        <f aca="false">D459&amp;"|"&amp;AM459</f>
        <v>分析與報告生成|241</v>
      </c>
    </row>
    <row r="460" customFormat="false" ht="17.15" hidden="false" customHeight="false" outlineLevel="0" collapsed="false">
      <c r="A460" s="16" t="n">
        <f aca="false">RANK(G460,$G$2:$G$2501)+COUNTIF($G$2:G460,G460)-1</f>
        <v>459</v>
      </c>
      <c r="B460" s="11" t="s">
        <v>1351</v>
      </c>
      <c r="C460" s="11" t="s">
        <v>548</v>
      </c>
      <c r="D460" s="5" t="s">
        <v>56</v>
      </c>
      <c r="E460" s="5" t="s">
        <v>57</v>
      </c>
      <c r="F460" s="5"/>
      <c r="G460" s="22" t="n">
        <f aca="false">ROUND(SUM(I460:P460),3)</f>
        <v>70.126</v>
      </c>
      <c r="H460" s="5" t="str">
        <f aca="false">IF(G460&gt;=評分方法!$C$16,"優先評估",IF(G460&gt;=評分方法!$C$17,"列入候選",IF(G460&gt;=評分方法!$C$18,"特定情境","不建議")))</f>
        <v>列入候選</v>
      </c>
      <c r="I460" s="15" t="n">
        <f aca="false">AE460*評分方法!$C$5</f>
        <v>25.5</v>
      </c>
      <c r="J460" s="15" t="n">
        <f aca="false">AF460*評分方法!$C$6</f>
        <v>0</v>
      </c>
      <c r="K460" s="15" t="n">
        <f aca="false">AG460*評分方法!$C$7</f>
        <v>15</v>
      </c>
      <c r="L460" s="15" t="n">
        <f aca="false">AH460*評分方法!$C$8</f>
        <v>13.05</v>
      </c>
      <c r="M460" s="15" t="n">
        <f aca="false">AI460*評分方法!$C$9</f>
        <v>10</v>
      </c>
      <c r="N460" s="15" t="n">
        <f aca="false">AJ460*評分方法!$C$10</f>
        <v>5.576</v>
      </c>
      <c r="O460" s="15" t="n">
        <f aca="false">AK460*評分方法!$C$11</f>
        <v>1</v>
      </c>
      <c r="P460" s="15" t="n">
        <f aca="false">AL460*評分方法!$C$12</f>
        <v>0</v>
      </c>
      <c r="Q460" s="6" t="n">
        <v>580099</v>
      </c>
      <c r="R460" s="6" t="n">
        <v>1515311488</v>
      </c>
      <c r="S460" s="11" t="s">
        <v>254</v>
      </c>
      <c r="T460" s="11" t="s">
        <v>239</v>
      </c>
      <c r="U460" s="5" t="s">
        <v>240</v>
      </c>
      <c r="V460" s="11" t="s">
        <v>324</v>
      </c>
      <c r="W460" s="5" t="s">
        <v>205</v>
      </c>
      <c r="X460" s="5" t="s">
        <v>242</v>
      </c>
      <c r="Y460" s="5"/>
      <c r="Z460" s="5"/>
      <c r="AA460" s="11" t="s">
        <v>155</v>
      </c>
      <c r="AB460" s="5" t="s">
        <v>245</v>
      </c>
      <c r="AC460" s="5"/>
      <c r="AD460" s="11" t="s">
        <v>1352</v>
      </c>
      <c r="AE460" s="23" t="n">
        <v>0.85</v>
      </c>
      <c r="AF460" s="23" t="n">
        <v>0</v>
      </c>
      <c r="AG460" s="23" t="n">
        <v>1</v>
      </c>
      <c r="AH460" s="23" t="n">
        <v>0.87</v>
      </c>
      <c r="AI460" s="23" t="n">
        <v>1</v>
      </c>
      <c r="AJ460" s="23" t="n">
        <v>0.5576</v>
      </c>
      <c r="AK460" s="23" t="n">
        <v>0.2</v>
      </c>
      <c r="AL460" s="23" t="n">
        <v>0</v>
      </c>
      <c r="AM460" s="16" t="n">
        <f aca="false">COUNTIFS($D$2:$D$2501,D460,$G$2:$G$2501,"&gt;"&amp;G460)+COUNTIFS($D$2:D460,D460,$G$2:G460,G460)</f>
        <v>242</v>
      </c>
      <c r="AN460" s="5" t="str">
        <f aca="false">D460&amp;"|"&amp;AM460</f>
        <v>分析與報告生成|242</v>
      </c>
    </row>
    <row r="461" customFormat="false" ht="17.15" hidden="false" customHeight="false" outlineLevel="0" collapsed="false">
      <c r="A461" s="16" t="n">
        <f aca="false">RANK(G461,$G$2:$G$2501)+COUNTIF($G$2:G461,G461)-1</f>
        <v>460</v>
      </c>
      <c r="B461" s="11" t="s">
        <v>1353</v>
      </c>
      <c r="C461" s="11" t="s">
        <v>548</v>
      </c>
      <c r="D461" s="5" t="s">
        <v>56</v>
      </c>
      <c r="E461" s="5" t="s">
        <v>57</v>
      </c>
      <c r="F461" s="5"/>
      <c r="G461" s="22" t="n">
        <f aca="false">ROUND(SUM(I461:P461),3)</f>
        <v>70.096</v>
      </c>
      <c r="H461" s="5" t="str">
        <f aca="false">IF(G461&gt;=評分方法!$C$16,"優先評估",IF(G461&gt;=評分方法!$C$17,"列入候選",IF(G461&gt;=評分方法!$C$18,"特定情境","不建議")))</f>
        <v>列入候選</v>
      </c>
      <c r="I461" s="15" t="n">
        <f aca="false">AE461*評分方法!$C$5</f>
        <v>25.5</v>
      </c>
      <c r="J461" s="15" t="n">
        <f aca="false">AF461*評分方法!$C$6</f>
        <v>0</v>
      </c>
      <c r="K461" s="15" t="n">
        <f aca="false">AG461*評分方法!$C$7</f>
        <v>15</v>
      </c>
      <c r="L461" s="15" t="n">
        <f aca="false">AH461*評分方法!$C$8</f>
        <v>15</v>
      </c>
      <c r="M461" s="15" t="n">
        <f aca="false">AI461*評分方法!$C$9</f>
        <v>10</v>
      </c>
      <c r="N461" s="15" t="n">
        <f aca="false">AJ461*評分方法!$C$10</f>
        <v>3.596</v>
      </c>
      <c r="O461" s="15" t="n">
        <f aca="false">AK461*評分方法!$C$11</f>
        <v>1</v>
      </c>
      <c r="P461" s="15" t="n">
        <f aca="false">AL461*評分方法!$C$12</f>
        <v>0</v>
      </c>
      <c r="Q461" s="6" t="n">
        <v>365128</v>
      </c>
      <c r="R461" s="6" t="n">
        <v>505997504</v>
      </c>
      <c r="S461" s="11" t="s">
        <v>238</v>
      </c>
      <c r="T461" s="11" t="s">
        <v>239</v>
      </c>
      <c r="U461" s="5" t="s">
        <v>240</v>
      </c>
      <c r="V461" s="11" t="s">
        <v>324</v>
      </c>
      <c r="W461" s="5" t="s">
        <v>205</v>
      </c>
      <c r="X461" s="5" t="s">
        <v>242</v>
      </c>
      <c r="Y461" s="5"/>
      <c r="Z461" s="5"/>
      <c r="AA461" s="11" t="s">
        <v>155</v>
      </c>
      <c r="AB461" s="5" t="s">
        <v>245</v>
      </c>
      <c r="AC461" s="5"/>
      <c r="AD461" s="11" t="s">
        <v>1354</v>
      </c>
      <c r="AE461" s="23" t="n">
        <v>0.85</v>
      </c>
      <c r="AF461" s="23" t="n">
        <v>0</v>
      </c>
      <c r="AG461" s="23" t="n">
        <v>1</v>
      </c>
      <c r="AH461" s="23" t="n">
        <v>1</v>
      </c>
      <c r="AI461" s="23" t="n">
        <v>1</v>
      </c>
      <c r="AJ461" s="23" t="n">
        <v>0.3596</v>
      </c>
      <c r="AK461" s="23" t="n">
        <v>0.2</v>
      </c>
      <c r="AL461" s="23" t="n">
        <v>0</v>
      </c>
      <c r="AM461" s="16" t="n">
        <f aca="false">COUNTIFS($D$2:$D$2501,D461,$G$2:$G$2501,"&gt;"&amp;G461)+COUNTIFS($D$2:D461,D461,$G$2:G461,G461)</f>
        <v>243</v>
      </c>
      <c r="AN461" s="5" t="str">
        <f aca="false">D461&amp;"|"&amp;AM461</f>
        <v>分析與報告生成|243</v>
      </c>
    </row>
    <row r="462" customFormat="false" ht="17.15" hidden="false" customHeight="false" outlineLevel="0" collapsed="false">
      <c r="A462" s="16" t="n">
        <f aca="false">RANK(G462,$G$2:$G$2501)+COUNTIF($G$2:G462,G462)-1</f>
        <v>461</v>
      </c>
      <c r="B462" s="11" t="s">
        <v>1355</v>
      </c>
      <c r="C462" s="11" t="s">
        <v>1111</v>
      </c>
      <c r="D462" s="11" t="s">
        <v>46</v>
      </c>
      <c r="E462" s="11" t="s">
        <v>47</v>
      </c>
      <c r="F462" s="11" t="s">
        <v>46</v>
      </c>
      <c r="G462" s="22" t="n">
        <f aca="false">ROUND(SUM(I462:P462),3)</f>
        <v>70.096</v>
      </c>
      <c r="H462" s="5" t="str">
        <f aca="false">IF(G462&gt;=評分方法!$C$16,"優先評估",IF(G462&gt;=評分方法!$C$17,"列入候選",IF(G462&gt;=評分方法!$C$18,"特定情境","不建議")))</f>
        <v>列入候選</v>
      </c>
      <c r="I462" s="15" t="n">
        <f aca="false">AE462*評分方法!$C$5</f>
        <v>25.5</v>
      </c>
      <c r="J462" s="15" t="n">
        <f aca="false">AF462*評分方法!$C$6</f>
        <v>10</v>
      </c>
      <c r="K462" s="15" t="n">
        <f aca="false">AG462*評分方法!$C$7</f>
        <v>10.05</v>
      </c>
      <c r="L462" s="15" t="n">
        <f aca="false">AH462*評分方法!$C$8</f>
        <v>13.05</v>
      </c>
      <c r="M462" s="15" t="n">
        <f aca="false">AI462*評分方法!$C$9</f>
        <v>2</v>
      </c>
      <c r="N462" s="15" t="n">
        <f aca="false">AJ462*評分方法!$C$10</f>
        <v>2.496</v>
      </c>
      <c r="O462" s="15" t="n">
        <f aca="false">AK462*評分方法!$C$11</f>
        <v>4</v>
      </c>
      <c r="P462" s="15" t="n">
        <f aca="false">AL462*評分方法!$C$12</f>
        <v>3</v>
      </c>
      <c r="Q462" s="6" t="n">
        <v>249894</v>
      </c>
      <c r="R462" s="6" t="n">
        <v>4144642208</v>
      </c>
      <c r="S462" s="11" t="s">
        <v>254</v>
      </c>
      <c r="T462" s="5"/>
      <c r="U462" s="5" t="s">
        <v>375</v>
      </c>
      <c r="V462" s="11" t="s">
        <v>261</v>
      </c>
      <c r="W462" s="5" t="s">
        <v>207</v>
      </c>
      <c r="X462" s="5" t="s">
        <v>371</v>
      </c>
      <c r="Y462" s="5"/>
      <c r="Z462" s="5"/>
      <c r="AA462" s="11" t="s">
        <v>155</v>
      </c>
      <c r="AB462" s="5" t="s">
        <v>328</v>
      </c>
      <c r="AC462" s="5" t="s">
        <v>329</v>
      </c>
      <c r="AD462" s="11" t="s">
        <v>1356</v>
      </c>
      <c r="AE462" s="23" t="n">
        <v>0.85</v>
      </c>
      <c r="AF462" s="23" t="n">
        <v>1</v>
      </c>
      <c r="AG462" s="23" t="n">
        <v>0.67</v>
      </c>
      <c r="AH462" s="23" t="n">
        <v>0.87</v>
      </c>
      <c r="AI462" s="23" t="n">
        <v>0.2</v>
      </c>
      <c r="AJ462" s="23" t="n">
        <v>0.2496</v>
      </c>
      <c r="AK462" s="23" t="n">
        <v>0.8</v>
      </c>
      <c r="AL462" s="23" t="n">
        <v>0.6</v>
      </c>
      <c r="AM462" s="16" t="n">
        <f aca="false">COUNTIFS($D$2:$D$2501,D462,$G$2:$G$2501,"&gt;"&amp;G462)+COUNTIFS($D$2:D462,D462,$G$2:G462,G462)</f>
        <v>16</v>
      </c>
      <c r="AN462" s="5" t="str">
        <f aca="false">D462&amp;"|"&amp;AM462</f>
        <v>AI 應用防護|16</v>
      </c>
    </row>
    <row r="463" customFormat="false" ht="17.15" hidden="false" customHeight="false" outlineLevel="0" collapsed="false">
      <c r="A463" s="16" t="n">
        <f aca="false">RANK(G463,$G$2:$G$2501)+COUNTIF($G$2:G463,G463)-1</f>
        <v>462</v>
      </c>
      <c r="B463" s="11" t="s">
        <v>1357</v>
      </c>
      <c r="C463" s="11" t="s">
        <v>258</v>
      </c>
      <c r="D463" s="5" t="s">
        <v>56</v>
      </c>
      <c r="E463" s="5" t="s">
        <v>57</v>
      </c>
      <c r="F463" s="5"/>
      <c r="G463" s="22" t="n">
        <f aca="false">ROUND(SUM(I463:P463),3)</f>
        <v>70.09</v>
      </c>
      <c r="H463" s="5" t="str">
        <f aca="false">IF(G463&gt;=評分方法!$C$16,"優先評估",IF(G463&gt;=評分方法!$C$17,"列入候選",IF(G463&gt;=評分方法!$C$18,"特定情境","不建議")))</f>
        <v>列入候選</v>
      </c>
      <c r="I463" s="15" t="n">
        <f aca="false">AE463*評分方法!$C$5</f>
        <v>25.5</v>
      </c>
      <c r="J463" s="15" t="n">
        <f aca="false">AF463*評分方法!$C$6</f>
        <v>0</v>
      </c>
      <c r="K463" s="15" t="n">
        <f aca="false">AG463*評分方法!$C$7</f>
        <v>15</v>
      </c>
      <c r="L463" s="15" t="n">
        <f aca="false">AH463*評分方法!$C$8</f>
        <v>13.05</v>
      </c>
      <c r="M463" s="15" t="n">
        <f aca="false">AI463*評分方法!$C$9</f>
        <v>6</v>
      </c>
      <c r="N463" s="15" t="n">
        <f aca="false">AJ463*評分方法!$C$10</f>
        <v>9.54</v>
      </c>
      <c r="O463" s="15" t="n">
        <f aca="false">AK463*評分方法!$C$11</f>
        <v>1</v>
      </c>
      <c r="P463" s="15" t="n">
        <f aca="false">AL463*評分方法!$C$12</f>
        <v>0</v>
      </c>
      <c r="Q463" s="6" t="n">
        <v>9336986</v>
      </c>
      <c r="R463" s="6" t="n">
        <v>1235814400</v>
      </c>
      <c r="S463" s="11" t="s">
        <v>254</v>
      </c>
      <c r="T463" s="11" t="s">
        <v>1044</v>
      </c>
      <c r="U463" s="5" t="s">
        <v>260</v>
      </c>
      <c r="V463" s="11" t="s">
        <v>324</v>
      </c>
      <c r="W463" s="5" t="s">
        <v>205</v>
      </c>
      <c r="X463" s="5" t="s">
        <v>242</v>
      </c>
      <c r="Y463" s="5"/>
      <c r="Z463" s="5"/>
      <c r="AA463" s="11" t="s">
        <v>155</v>
      </c>
      <c r="AB463" s="5" t="s">
        <v>245</v>
      </c>
      <c r="AC463" s="5" t="s">
        <v>262</v>
      </c>
      <c r="AD463" s="11" t="s">
        <v>1358</v>
      </c>
      <c r="AE463" s="23" t="n">
        <v>0.85</v>
      </c>
      <c r="AF463" s="23" t="n">
        <v>0</v>
      </c>
      <c r="AG463" s="23" t="n">
        <v>1</v>
      </c>
      <c r="AH463" s="23" t="n">
        <v>0.87</v>
      </c>
      <c r="AI463" s="23" t="n">
        <v>0.6</v>
      </c>
      <c r="AJ463" s="23" t="n">
        <v>0.954</v>
      </c>
      <c r="AK463" s="23" t="n">
        <v>0.2</v>
      </c>
      <c r="AL463" s="23" t="n">
        <v>0</v>
      </c>
      <c r="AM463" s="16" t="n">
        <f aca="false">COUNTIFS($D$2:$D$2501,D463,$G$2:$G$2501,"&gt;"&amp;G463)+COUNTIFS($D$2:D463,D463,$G$2:G463,G463)</f>
        <v>244</v>
      </c>
      <c r="AN463" s="5" t="str">
        <f aca="false">D463&amp;"|"&amp;AM463</f>
        <v>分析與報告生成|244</v>
      </c>
    </row>
    <row r="464" customFormat="false" ht="17.15" hidden="false" customHeight="false" outlineLevel="0" collapsed="false">
      <c r="A464" s="16" t="n">
        <f aca="false">RANK(G464,$G$2:$G$2501)+COUNTIF($G$2:G464,G464)-1</f>
        <v>463</v>
      </c>
      <c r="B464" s="11" t="s">
        <v>1359</v>
      </c>
      <c r="C464" s="11" t="s">
        <v>712</v>
      </c>
      <c r="D464" s="5" t="s">
        <v>72</v>
      </c>
      <c r="E464" s="5" t="s">
        <v>73</v>
      </c>
      <c r="F464" s="5"/>
      <c r="G464" s="22" t="n">
        <f aca="false">ROUND(SUM(I464:P464),3)</f>
        <v>70.08</v>
      </c>
      <c r="H464" s="5" t="str">
        <f aca="false">IF(G464&gt;=評分方法!$C$16,"優先評估",IF(G464&gt;=評分方法!$C$17,"列入候選",IF(G464&gt;=評分方法!$C$18,"特定情境","不建議")))</f>
        <v>列入候選</v>
      </c>
      <c r="I464" s="15" t="n">
        <f aca="false">AE464*評分方法!$C$5</f>
        <v>15</v>
      </c>
      <c r="J464" s="15" t="n">
        <f aca="false">AF464*評分方法!$C$6</f>
        <v>0</v>
      </c>
      <c r="K464" s="15" t="n">
        <f aca="false">AG464*評分方法!$C$7</f>
        <v>15</v>
      </c>
      <c r="L464" s="15" t="n">
        <f aca="false">AH464*評分方法!$C$8</f>
        <v>15</v>
      </c>
      <c r="M464" s="15" t="n">
        <f aca="false">AI464*評分方法!$C$9</f>
        <v>10</v>
      </c>
      <c r="N464" s="15" t="n">
        <f aca="false">AJ464*評分方法!$C$10</f>
        <v>9.08</v>
      </c>
      <c r="O464" s="15" t="n">
        <f aca="false">AK464*評分方法!$C$11</f>
        <v>1</v>
      </c>
      <c r="P464" s="15" t="n">
        <f aca="false">AL464*評分方法!$C$12</f>
        <v>5</v>
      </c>
      <c r="Q464" s="6" t="n">
        <v>4307179</v>
      </c>
      <c r="R464" s="6" t="n">
        <v>135445755</v>
      </c>
      <c r="S464" s="11" t="s">
        <v>238</v>
      </c>
      <c r="T464" s="11" t="s">
        <v>239</v>
      </c>
      <c r="U464" s="5" t="s">
        <v>240</v>
      </c>
      <c r="V464" s="11" t="s">
        <v>283</v>
      </c>
      <c r="W464" s="5" t="s">
        <v>205</v>
      </c>
      <c r="X464" s="5" t="s">
        <v>284</v>
      </c>
      <c r="Y464" s="5"/>
      <c r="Z464" s="5"/>
      <c r="AA464" s="11" t="s">
        <v>162</v>
      </c>
      <c r="AB464" s="5" t="s">
        <v>245</v>
      </c>
      <c r="AC464" s="5"/>
      <c r="AD464" s="11" t="s">
        <v>1360</v>
      </c>
      <c r="AE464" s="23" t="n">
        <v>0.5</v>
      </c>
      <c r="AF464" s="23" t="n">
        <v>0</v>
      </c>
      <c r="AG464" s="23" t="n">
        <v>1</v>
      </c>
      <c r="AH464" s="23" t="n">
        <v>1</v>
      </c>
      <c r="AI464" s="23" t="n">
        <v>1</v>
      </c>
      <c r="AJ464" s="23" t="n">
        <v>0.908</v>
      </c>
      <c r="AK464" s="23" t="n">
        <v>0.2</v>
      </c>
      <c r="AL464" s="23" t="n">
        <v>1</v>
      </c>
      <c r="AM464" s="16" t="n">
        <f aca="false">COUNTIFS($D$2:$D$2501,D464,$G$2:$G$2501,"&gt;"&amp;G464)+COUNTIFS($D$2:D464,D464,$G$2:G464,G464)</f>
        <v>6</v>
      </c>
      <c r="AN464" s="5" t="str">
        <f aca="false">D464&amp;"|"&amp;AM464</f>
        <v>微調基底模型|6</v>
      </c>
    </row>
    <row r="465" customFormat="false" ht="17.15" hidden="false" customHeight="false" outlineLevel="0" collapsed="false">
      <c r="A465" s="16" t="n">
        <f aca="false">RANK(G465,$G$2:$G$2501)+COUNTIF($G$2:G465,G465)-1</f>
        <v>464</v>
      </c>
      <c r="B465" s="11" t="s">
        <v>1361</v>
      </c>
      <c r="C465" s="11" t="s">
        <v>327</v>
      </c>
      <c r="D465" s="5" t="s">
        <v>56</v>
      </c>
      <c r="E465" s="5" t="s">
        <v>57</v>
      </c>
      <c r="F465" s="5"/>
      <c r="G465" s="22" t="n">
        <f aca="false">ROUND(SUM(I465:P465),3)</f>
        <v>70.08</v>
      </c>
      <c r="H465" s="5" t="str">
        <f aca="false">IF(G465&gt;=評分方法!$C$16,"優先評估",IF(G465&gt;=評分方法!$C$17,"列入候選",IF(G465&gt;=評分方法!$C$18,"特定情境","不建議")))</f>
        <v>列入候選</v>
      </c>
      <c r="I465" s="15" t="n">
        <f aca="false">AE465*評分方法!$C$5</f>
        <v>25.5</v>
      </c>
      <c r="J465" s="15" t="n">
        <f aca="false">AF465*評分方法!$C$6</f>
        <v>0</v>
      </c>
      <c r="K465" s="15" t="n">
        <f aca="false">AG465*評分方法!$C$7</f>
        <v>15</v>
      </c>
      <c r="L465" s="15" t="n">
        <f aca="false">AH465*評分方法!$C$8</f>
        <v>15</v>
      </c>
      <c r="M465" s="15" t="n">
        <f aca="false">AI465*評分方法!$C$9</f>
        <v>6</v>
      </c>
      <c r="N465" s="15" t="n">
        <f aca="false">AJ465*評分方法!$C$10</f>
        <v>1.58</v>
      </c>
      <c r="O465" s="15" t="n">
        <f aca="false">AK465*評分方法!$C$11</f>
        <v>4</v>
      </c>
      <c r="P465" s="15" t="n">
        <f aca="false">AL465*評分方法!$C$12</f>
        <v>3</v>
      </c>
      <c r="Q465" s="6" t="n">
        <v>184117</v>
      </c>
      <c r="R465" s="6" t="n">
        <v>786873600</v>
      </c>
      <c r="S465" s="11" t="s">
        <v>238</v>
      </c>
      <c r="T465" s="11" t="s">
        <v>185</v>
      </c>
      <c r="U465" s="5" t="s">
        <v>260</v>
      </c>
      <c r="V465" s="11" t="s">
        <v>261</v>
      </c>
      <c r="W465" s="5" t="s">
        <v>205</v>
      </c>
      <c r="X465" s="5" t="s">
        <v>371</v>
      </c>
      <c r="Y465" s="11" t="s">
        <v>1362</v>
      </c>
      <c r="Z465" s="11" t="s">
        <v>270</v>
      </c>
      <c r="AA465" s="11" t="s">
        <v>155</v>
      </c>
      <c r="AB465" s="5" t="s">
        <v>245</v>
      </c>
      <c r="AC465" s="5" t="s">
        <v>262</v>
      </c>
      <c r="AD465" s="11" t="s">
        <v>1363</v>
      </c>
      <c r="AE465" s="23" t="n">
        <v>0.85</v>
      </c>
      <c r="AF465" s="23" t="n">
        <v>0</v>
      </c>
      <c r="AG465" s="23" t="n">
        <v>1</v>
      </c>
      <c r="AH465" s="23" t="n">
        <v>1</v>
      </c>
      <c r="AI465" s="23" t="n">
        <v>0.6</v>
      </c>
      <c r="AJ465" s="23" t="n">
        <v>0.158</v>
      </c>
      <c r="AK465" s="23" t="n">
        <v>0.8</v>
      </c>
      <c r="AL465" s="23" t="n">
        <v>0.6</v>
      </c>
      <c r="AM465" s="16" t="n">
        <f aca="false">COUNTIFS($D$2:$D$2501,D465,$G$2:$G$2501,"&gt;"&amp;G465)+COUNTIFS($D$2:D465,D465,$G$2:G465,G465)</f>
        <v>245</v>
      </c>
      <c r="AN465" s="5" t="str">
        <f aca="false">D465&amp;"|"&amp;AM465</f>
        <v>分析與報告生成|245</v>
      </c>
    </row>
    <row r="466" customFormat="false" ht="17.15" hidden="false" customHeight="false" outlineLevel="0" collapsed="false">
      <c r="A466" s="16" t="n">
        <f aca="false">RANK(G466,$G$2:$G$2501)+COUNTIF($G$2:G466,G466)-1</f>
        <v>465</v>
      </c>
      <c r="B466" s="11" t="s">
        <v>1364</v>
      </c>
      <c r="C466" s="11" t="s">
        <v>1365</v>
      </c>
      <c r="D466" s="5" t="s">
        <v>74</v>
      </c>
      <c r="E466" s="5" t="s">
        <v>75</v>
      </c>
      <c r="F466" s="5"/>
      <c r="G466" s="22" t="n">
        <f aca="false">ROUND(SUM(I466:P466),3)</f>
        <v>70.074</v>
      </c>
      <c r="H466" s="5" t="str">
        <f aca="false">IF(G466&gt;=評分方法!$C$16,"優先評估",IF(G466&gt;=評分方法!$C$17,"列入候選",IF(G466&gt;=評分方法!$C$18,"特定情境","不建議")))</f>
        <v>列入候選</v>
      </c>
      <c r="I466" s="15" t="n">
        <f aca="false">AE466*評分方法!$C$5</f>
        <v>13.5</v>
      </c>
      <c r="J466" s="15" t="n">
        <f aca="false">AF466*評分方法!$C$6</f>
        <v>0</v>
      </c>
      <c r="K466" s="15" t="n">
        <f aca="false">AG466*評分方法!$C$7</f>
        <v>15</v>
      </c>
      <c r="L466" s="15" t="n">
        <f aca="false">AH466*評分方法!$C$8</f>
        <v>13.05</v>
      </c>
      <c r="M466" s="15" t="n">
        <f aca="false">AI466*評分方法!$C$9</f>
        <v>10</v>
      </c>
      <c r="N466" s="15" t="n">
        <f aca="false">AJ466*評分方法!$C$10</f>
        <v>8.524</v>
      </c>
      <c r="O466" s="15" t="n">
        <f aca="false">AK466*評分方法!$C$11</f>
        <v>5</v>
      </c>
      <c r="P466" s="15" t="n">
        <f aca="false">AL466*評分方法!$C$12</f>
        <v>5</v>
      </c>
      <c r="Q466" s="6" t="n">
        <v>2324048</v>
      </c>
      <c r="R466" s="6" t="n">
        <v>1005647872</v>
      </c>
      <c r="S466" s="11" t="s">
        <v>254</v>
      </c>
      <c r="T466" s="11" t="s">
        <v>239</v>
      </c>
      <c r="U466" s="5" t="s">
        <v>240</v>
      </c>
      <c r="V466" s="11" t="s">
        <v>261</v>
      </c>
      <c r="W466" s="5" t="s">
        <v>205</v>
      </c>
      <c r="X466" s="5" t="s">
        <v>284</v>
      </c>
      <c r="Y466" s="5"/>
      <c r="Z466" s="5"/>
      <c r="AA466" s="11" t="s">
        <v>164</v>
      </c>
      <c r="AB466" s="5" t="s">
        <v>245</v>
      </c>
      <c r="AC466" s="5"/>
      <c r="AD466" s="11" t="s">
        <v>1366</v>
      </c>
      <c r="AE466" s="23" t="n">
        <v>0.45</v>
      </c>
      <c r="AF466" s="23" t="n">
        <v>0</v>
      </c>
      <c r="AG466" s="23" t="n">
        <v>1</v>
      </c>
      <c r="AH466" s="23" t="n">
        <v>0.87</v>
      </c>
      <c r="AI466" s="23" t="n">
        <v>1</v>
      </c>
      <c r="AJ466" s="23" t="n">
        <v>0.8524</v>
      </c>
      <c r="AK466" s="23" t="n">
        <v>1</v>
      </c>
      <c r="AL466" s="23" t="n">
        <v>1</v>
      </c>
      <c r="AM466" s="16" t="n">
        <f aca="false">COUNTIFS($D$2:$D$2501,D466,$G$2:$G$2501,"&gt;"&amp;G466)+COUNTIFS($D$2:D466,D466,$G$2:G466,G466)</f>
        <v>1</v>
      </c>
      <c r="AN466" s="5" t="str">
        <f aca="false">D466&amp;"|"&amp;AM466</f>
        <v>文件與影像辨識|1</v>
      </c>
    </row>
    <row r="467" customFormat="false" ht="17.15" hidden="false" customHeight="false" outlineLevel="0" collapsed="false">
      <c r="A467" s="16" t="n">
        <f aca="false">RANK(G467,$G$2:$G$2501)+COUNTIF($G$2:G467,G467)-1</f>
        <v>466</v>
      </c>
      <c r="B467" s="11" t="s">
        <v>1367</v>
      </c>
      <c r="C467" s="11" t="s">
        <v>327</v>
      </c>
      <c r="D467" s="5" t="s">
        <v>56</v>
      </c>
      <c r="E467" s="5" t="s">
        <v>57</v>
      </c>
      <c r="F467" s="5"/>
      <c r="G467" s="22" t="n">
        <f aca="false">ROUND(SUM(I467:P467),3)</f>
        <v>70.052</v>
      </c>
      <c r="H467" s="5" t="str">
        <f aca="false">IF(G467&gt;=評分方法!$C$16,"優先評估",IF(G467&gt;=評分方法!$C$17,"列入候選",IF(G467&gt;=評分方法!$C$18,"特定情境","不建議")))</f>
        <v>列入候選</v>
      </c>
      <c r="I467" s="15" t="n">
        <f aca="false">AE467*評分方法!$C$5</f>
        <v>25.5</v>
      </c>
      <c r="J467" s="15" t="n">
        <f aca="false">AF467*評分方法!$C$6</f>
        <v>0</v>
      </c>
      <c r="K467" s="15" t="n">
        <f aca="false">AG467*評分方法!$C$7</f>
        <v>15</v>
      </c>
      <c r="L467" s="15" t="n">
        <f aca="false">AH467*評分方法!$C$8</f>
        <v>9</v>
      </c>
      <c r="M467" s="15" t="n">
        <f aca="false">AI467*評分方法!$C$9</f>
        <v>6</v>
      </c>
      <c r="N467" s="15" t="n">
        <f aca="false">AJ467*評分方法!$C$10</f>
        <v>4.552</v>
      </c>
      <c r="O467" s="15" t="n">
        <f aca="false">AK467*評分方法!$C$11</f>
        <v>5</v>
      </c>
      <c r="P467" s="15" t="n">
        <f aca="false">AL467*評分方法!$C$12</f>
        <v>5</v>
      </c>
      <c r="Q467" s="6" t="n">
        <v>497187</v>
      </c>
      <c r="R467" s="6" t="n">
        <v>31577937344</v>
      </c>
      <c r="S467" s="11" t="s">
        <v>389</v>
      </c>
      <c r="T467" s="11" t="s">
        <v>185</v>
      </c>
      <c r="U467" s="5" t="s">
        <v>260</v>
      </c>
      <c r="V467" s="11" t="s">
        <v>261</v>
      </c>
      <c r="W467" s="5" t="s">
        <v>205</v>
      </c>
      <c r="X467" s="5" t="s">
        <v>284</v>
      </c>
      <c r="Y467" s="5"/>
      <c r="Z467" s="5"/>
      <c r="AA467" s="11" t="s">
        <v>155</v>
      </c>
      <c r="AB467" s="5" t="s">
        <v>245</v>
      </c>
      <c r="AC467" s="5" t="s">
        <v>262</v>
      </c>
      <c r="AD467" s="11" t="s">
        <v>1368</v>
      </c>
      <c r="AE467" s="23" t="n">
        <v>0.85</v>
      </c>
      <c r="AF467" s="23" t="n">
        <v>0</v>
      </c>
      <c r="AG467" s="23" t="n">
        <v>1</v>
      </c>
      <c r="AH467" s="23" t="n">
        <v>0.6</v>
      </c>
      <c r="AI467" s="23" t="n">
        <v>0.6</v>
      </c>
      <c r="AJ467" s="23" t="n">
        <v>0.4552</v>
      </c>
      <c r="AK467" s="23" t="n">
        <v>1</v>
      </c>
      <c r="AL467" s="23" t="n">
        <v>1</v>
      </c>
      <c r="AM467" s="16" t="n">
        <f aca="false">COUNTIFS($D$2:$D$2501,D467,$G$2:$G$2501,"&gt;"&amp;G467)+COUNTIFS($D$2:D467,D467,$G$2:G467,G467)</f>
        <v>246</v>
      </c>
      <c r="AN467" s="5" t="str">
        <f aca="false">D467&amp;"|"&amp;AM467</f>
        <v>分析與報告生成|246</v>
      </c>
    </row>
    <row r="468" customFormat="false" ht="17.15" hidden="false" customHeight="false" outlineLevel="0" collapsed="false">
      <c r="A468" s="16" t="n">
        <f aca="false">RANK(G468,$G$2:$G$2501)+COUNTIF($G$2:G468,G468)-1</f>
        <v>467</v>
      </c>
      <c r="B468" s="11" t="s">
        <v>1369</v>
      </c>
      <c r="C468" s="11" t="s">
        <v>323</v>
      </c>
      <c r="D468" s="5" t="s">
        <v>56</v>
      </c>
      <c r="E468" s="5" t="s">
        <v>57</v>
      </c>
      <c r="F468" s="5"/>
      <c r="G468" s="22" t="n">
        <f aca="false">ROUND(SUM(I468:P468),3)</f>
        <v>69.97</v>
      </c>
      <c r="H468" s="5" t="str">
        <f aca="false">IF(G468&gt;=評分方法!$C$16,"優先評估",IF(G468&gt;=評分方法!$C$17,"列入候選",IF(G468&gt;=評分方法!$C$18,"特定情境","不建議")))</f>
        <v>特定情境</v>
      </c>
      <c r="I468" s="15" t="n">
        <f aca="false">AE468*評分方法!$C$5</f>
        <v>25.5</v>
      </c>
      <c r="J468" s="15" t="n">
        <f aca="false">AF468*評分方法!$C$6</f>
        <v>0</v>
      </c>
      <c r="K468" s="15" t="n">
        <f aca="false">AG468*評分方法!$C$7</f>
        <v>15</v>
      </c>
      <c r="L468" s="15" t="n">
        <f aca="false">AH468*評分方法!$C$8</f>
        <v>13.05</v>
      </c>
      <c r="M468" s="15" t="n">
        <f aca="false">AI468*評分方法!$C$9</f>
        <v>10</v>
      </c>
      <c r="N468" s="15" t="n">
        <f aca="false">AJ468*評分方法!$C$10</f>
        <v>3.92</v>
      </c>
      <c r="O468" s="15" t="n">
        <f aca="false">AK468*評分方法!$C$11</f>
        <v>2.5</v>
      </c>
      <c r="P468" s="15" t="n">
        <f aca="false">AL468*評分方法!$C$12</f>
        <v>0</v>
      </c>
      <c r="Q468" s="6" t="n">
        <v>405409</v>
      </c>
      <c r="R468" s="6" t="n">
        <v>7298617344</v>
      </c>
      <c r="S468" s="11" t="s">
        <v>254</v>
      </c>
      <c r="T468" s="11" t="s">
        <v>239</v>
      </c>
      <c r="U468" s="5" t="s">
        <v>240</v>
      </c>
      <c r="V468" s="11" t="s">
        <v>261</v>
      </c>
      <c r="W468" s="5" t="s">
        <v>205</v>
      </c>
      <c r="X468" s="5" t="s">
        <v>242</v>
      </c>
      <c r="Y468" s="5"/>
      <c r="Z468" s="5"/>
      <c r="AA468" s="11" t="s">
        <v>155</v>
      </c>
      <c r="AB468" s="5" t="s">
        <v>328</v>
      </c>
      <c r="AC468" s="5" t="s">
        <v>400</v>
      </c>
      <c r="AD468" s="11" t="s">
        <v>1370</v>
      </c>
      <c r="AE468" s="23" t="n">
        <v>0.85</v>
      </c>
      <c r="AF468" s="23" t="n">
        <v>0</v>
      </c>
      <c r="AG468" s="23" t="n">
        <v>1</v>
      </c>
      <c r="AH468" s="23" t="n">
        <v>0.87</v>
      </c>
      <c r="AI468" s="23" t="n">
        <v>1</v>
      </c>
      <c r="AJ468" s="23" t="n">
        <v>0.392</v>
      </c>
      <c r="AK468" s="23" t="n">
        <v>0.5</v>
      </c>
      <c r="AL468" s="23" t="n">
        <v>0</v>
      </c>
      <c r="AM468" s="16" t="n">
        <f aca="false">COUNTIFS($D$2:$D$2501,D468,$G$2:$G$2501,"&gt;"&amp;G468)+COUNTIFS($D$2:D468,D468,$G$2:G468,G468)</f>
        <v>247</v>
      </c>
      <c r="AN468" s="5" t="str">
        <f aca="false">D468&amp;"|"&amp;AM468</f>
        <v>分析與報告生成|247</v>
      </c>
    </row>
    <row r="469" customFormat="false" ht="17.15" hidden="false" customHeight="false" outlineLevel="0" collapsed="false">
      <c r="A469" s="16" t="n">
        <f aca="false">RANK(G469,$G$2:$G$2501)+COUNTIF($G$2:G469,G469)-1</f>
        <v>468</v>
      </c>
      <c r="B469" s="11" t="s">
        <v>1371</v>
      </c>
      <c r="C469" s="11" t="s">
        <v>998</v>
      </c>
      <c r="D469" s="5" t="s">
        <v>54</v>
      </c>
      <c r="E469" s="5" t="s">
        <v>55</v>
      </c>
      <c r="F469" s="5"/>
      <c r="G469" s="22" t="n">
        <f aca="false">ROUND(SUM(I469:P469),3)</f>
        <v>69.966</v>
      </c>
      <c r="H469" s="5" t="str">
        <f aca="false">IF(G469&gt;=評分方法!$C$16,"優先評估",IF(G469&gt;=評分方法!$C$17,"列入候選",IF(G469&gt;=評分方法!$C$18,"特定情境","不建議")))</f>
        <v>特定情境</v>
      </c>
      <c r="I469" s="15" t="n">
        <f aca="false">AE469*評分方法!$C$5</f>
        <v>27</v>
      </c>
      <c r="J469" s="15" t="n">
        <f aca="false">AF469*評分方法!$C$6</f>
        <v>0</v>
      </c>
      <c r="K469" s="15" t="n">
        <f aca="false">AG469*評分方法!$C$7</f>
        <v>10.05</v>
      </c>
      <c r="L469" s="15" t="n">
        <f aca="false">AH469*評分方法!$C$8</f>
        <v>15</v>
      </c>
      <c r="M469" s="15" t="n">
        <f aca="false">AI469*評分方法!$C$9</f>
        <v>2</v>
      </c>
      <c r="N469" s="15" t="n">
        <f aca="false">AJ469*評分方法!$C$10</f>
        <v>9.416</v>
      </c>
      <c r="O469" s="15" t="n">
        <f aca="false">AK469*評分方法!$C$11</f>
        <v>5</v>
      </c>
      <c r="P469" s="15" t="n">
        <f aca="false">AL469*評分方法!$C$12</f>
        <v>1.5</v>
      </c>
      <c r="Q469" s="6" t="n">
        <v>7397251</v>
      </c>
      <c r="R469" s="6" t="n">
        <v>307581696</v>
      </c>
      <c r="S469" s="11" t="s">
        <v>238</v>
      </c>
      <c r="T469" s="5"/>
      <c r="U469" s="5" t="s">
        <v>375</v>
      </c>
      <c r="V469" s="11" t="s">
        <v>333</v>
      </c>
      <c r="W469" s="5" t="s">
        <v>207</v>
      </c>
      <c r="X469" s="5" t="s">
        <v>255</v>
      </c>
      <c r="Y469" s="11" t="s">
        <v>672</v>
      </c>
      <c r="Z469" s="11" t="s">
        <v>244</v>
      </c>
      <c r="AA469" s="11" t="s">
        <v>152</v>
      </c>
      <c r="AB469" s="5" t="s">
        <v>496</v>
      </c>
      <c r="AC469" s="5" t="s">
        <v>1108</v>
      </c>
      <c r="AD469" s="11" t="s">
        <v>1372</v>
      </c>
      <c r="AE469" s="23" t="n">
        <v>0.9</v>
      </c>
      <c r="AF469" s="23" t="n">
        <v>0</v>
      </c>
      <c r="AG469" s="23" t="n">
        <v>0.67</v>
      </c>
      <c r="AH469" s="23" t="n">
        <v>1</v>
      </c>
      <c r="AI469" s="23" t="n">
        <v>0.2</v>
      </c>
      <c r="AJ469" s="23" t="n">
        <v>0.9416</v>
      </c>
      <c r="AK469" s="23" t="n">
        <v>1</v>
      </c>
      <c r="AL469" s="23" t="n">
        <v>0.3</v>
      </c>
      <c r="AM469" s="16" t="n">
        <f aca="false">COUNTIFS($D$2:$D$2501,D469,$G$2:$G$2501,"&gt;"&amp;G469)+COUNTIFS($D$2:D469,D469,$G$2:G469,G469)</f>
        <v>114</v>
      </c>
      <c r="AN469" s="5" t="str">
        <f aca="false">D469&amp;"|"&amp;AM469</f>
        <v>檢索與情資關聯|114</v>
      </c>
    </row>
    <row r="470" customFormat="false" ht="17.15" hidden="false" customHeight="false" outlineLevel="0" collapsed="false">
      <c r="A470" s="16" t="n">
        <f aca="false">RANK(G470,$G$2:$G$2501)+COUNTIF($G$2:G470,G470)-1</f>
        <v>469</v>
      </c>
      <c r="B470" s="11" t="s">
        <v>1373</v>
      </c>
      <c r="C470" s="11" t="s">
        <v>1374</v>
      </c>
      <c r="D470" s="5" t="s">
        <v>56</v>
      </c>
      <c r="E470" s="5" t="s">
        <v>57</v>
      </c>
      <c r="F470" s="5"/>
      <c r="G470" s="22" t="n">
        <f aca="false">ROUND(SUM(I470:P470),3)</f>
        <v>69.966</v>
      </c>
      <c r="H470" s="5" t="str">
        <f aca="false">IF(G470&gt;=評分方法!$C$16,"優先評估",IF(G470&gt;=評分方法!$C$17,"列入候選",IF(G470&gt;=評分方法!$C$18,"特定情境","不建議")))</f>
        <v>特定情境</v>
      </c>
      <c r="I470" s="15" t="n">
        <f aca="false">AE470*評分方法!$C$5</f>
        <v>25.5</v>
      </c>
      <c r="J470" s="15" t="n">
        <f aca="false">AF470*評分方法!$C$6</f>
        <v>0</v>
      </c>
      <c r="K470" s="15" t="n">
        <f aca="false">AG470*評分方法!$C$7</f>
        <v>10.05</v>
      </c>
      <c r="L470" s="15" t="n">
        <f aca="false">AH470*評分方法!$C$8</f>
        <v>9</v>
      </c>
      <c r="M470" s="15" t="n">
        <f aca="false">AI470*評分方法!$C$9</f>
        <v>10</v>
      </c>
      <c r="N470" s="15" t="n">
        <f aca="false">AJ470*評分方法!$C$10</f>
        <v>8.416</v>
      </c>
      <c r="O470" s="15" t="n">
        <f aca="false">AK470*評分方法!$C$11</f>
        <v>4</v>
      </c>
      <c r="P470" s="15" t="n">
        <f aca="false">AL470*評分方法!$C$12</f>
        <v>3</v>
      </c>
      <c r="Q470" s="6" t="n">
        <v>2079079</v>
      </c>
      <c r="R470" s="6" t="n">
        <v>20914755648</v>
      </c>
      <c r="S470" s="11" t="s">
        <v>389</v>
      </c>
      <c r="T470" s="11" t="s">
        <v>239</v>
      </c>
      <c r="U470" s="5" t="s">
        <v>240</v>
      </c>
      <c r="V470" s="11" t="s">
        <v>261</v>
      </c>
      <c r="W470" s="5" t="s">
        <v>207</v>
      </c>
      <c r="X470" s="5" t="s">
        <v>371</v>
      </c>
      <c r="Y470" s="11" t="s">
        <v>390</v>
      </c>
      <c r="Z470" s="11" t="s">
        <v>244</v>
      </c>
      <c r="AA470" s="11" t="s">
        <v>155</v>
      </c>
      <c r="AB470" s="5" t="s">
        <v>245</v>
      </c>
      <c r="AC470" s="5" t="s">
        <v>246</v>
      </c>
      <c r="AD470" s="11" t="s">
        <v>1375</v>
      </c>
      <c r="AE470" s="23" t="n">
        <v>0.85</v>
      </c>
      <c r="AF470" s="23" t="n">
        <v>0</v>
      </c>
      <c r="AG470" s="23" t="n">
        <v>0.67</v>
      </c>
      <c r="AH470" s="23" t="n">
        <v>0.6</v>
      </c>
      <c r="AI470" s="23" t="n">
        <v>1</v>
      </c>
      <c r="AJ470" s="23" t="n">
        <v>0.8416</v>
      </c>
      <c r="AK470" s="23" t="n">
        <v>0.8</v>
      </c>
      <c r="AL470" s="23" t="n">
        <v>0.6</v>
      </c>
      <c r="AM470" s="16" t="n">
        <f aca="false">COUNTIFS($D$2:$D$2501,D470,$G$2:$G$2501,"&gt;"&amp;G470)+COUNTIFS($D$2:D470,D470,$G$2:G470,G470)</f>
        <v>248</v>
      </c>
      <c r="AN470" s="5" t="str">
        <f aca="false">D470&amp;"|"&amp;AM470</f>
        <v>分析與報告生成|248</v>
      </c>
    </row>
    <row r="471" customFormat="false" ht="17.15" hidden="false" customHeight="false" outlineLevel="0" collapsed="false">
      <c r="A471" s="16" t="n">
        <f aca="false">RANK(G471,$G$2:$G$2501)+COUNTIF($G$2:G471,G471)-1</f>
        <v>470</v>
      </c>
      <c r="B471" s="11" t="s">
        <v>1376</v>
      </c>
      <c r="C471" s="11" t="s">
        <v>258</v>
      </c>
      <c r="D471" s="5" t="s">
        <v>56</v>
      </c>
      <c r="E471" s="5" t="s">
        <v>57</v>
      </c>
      <c r="F471" s="5"/>
      <c r="G471" s="22" t="n">
        <f aca="false">ROUND(SUM(I471:P471),3)</f>
        <v>69.95</v>
      </c>
      <c r="H471" s="5" t="str">
        <f aca="false">IF(G471&gt;=評分方法!$C$16,"優先評估",IF(G471&gt;=評分方法!$C$17,"列入候選",IF(G471&gt;=評分方法!$C$18,"特定情境","不建議")))</f>
        <v>特定情境</v>
      </c>
      <c r="I471" s="15" t="n">
        <f aca="false">AE471*評分方法!$C$5</f>
        <v>25.5</v>
      </c>
      <c r="J471" s="15" t="n">
        <f aca="false">AF471*評分方法!$C$6</f>
        <v>0</v>
      </c>
      <c r="K471" s="15" t="n">
        <f aca="false">AG471*評分方法!$C$7</f>
        <v>15</v>
      </c>
      <c r="L471" s="15" t="n">
        <f aca="false">AH471*評分方法!$C$8</f>
        <v>13.05</v>
      </c>
      <c r="M471" s="15" t="n">
        <f aca="false">AI471*評分方法!$C$9</f>
        <v>6</v>
      </c>
      <c r="N471" s="15" t="n">
        <f aca="false">AJ471*評分方法!$C$10</f>
        <v>9.4</v>
      </c>
      <c r="O471" s="15" t="n">
        <f aca="false">AK471*評分方法!$C$11</f>
        <v>1</v>
      </c>
      <c r="P471" s="15" t="n">
        <f aca="false">AL471*評分方法!$C$12</f>
        <v>0</v>
      </c>
      <c r="Q471" s="6" t="n">
        <v>7240711</v>
      </c>
      <c r="R471" s="6" t="n">
        <v>8030261248</v>
      </c>
      <c r="S471" s="11" t="s">
        <v>254</v>
      </c>
      <c r="T471" s="11" t="s">
        <v>1177</v>
      </c>
      <c r="U471" s="5" t="s">
        <v>260</v>
      </c>
      <c r="V471" s="11" t="s">
        <v>324</v>
      </c>
      <c r="W471" s="5" t="s">
        <v>205</v>
      </c>
      <c r="X471" s="5" t="s">
        <v>242</v>
      </c>
      <c r="Y471" s="5"/>
      <c r="Z471" s="5"/>
      <c r="AA471" s="11" t="s">
        <v>155</v>
      </c>
      <c r="AB471" s="5" t="s">
        <v>245</v>
      </c>
      <c r="AC471" s="5" t="s">
        <v>262</v>
      </c>
      <c r="AD471" s="11" t="s">
        <v>1377</v>
      </c>
      <c r="AE471" s="23" t="n">
        <v>0.85</v>
      </c>
      <c r="AF471" s="23" t="n">
        <v>0</v>
      </c>
      <c r="AG471" s="23" t="n">
        <v>1</v>
      </c>
      <c r="AH471" s="23" t="n">
        <v>0.87</v>
      </c>
      <c r="AI471" s="23" t="n">
        <v>0.6</v>
      </c>
      <c r="AJ471" s="23" t="n">
        <v>0.94</v>
      </c>
      <c r="AK471" s="23" t="n">
        <v>0.2</v>
      </c>
      <c r="AL471" s="23" t="n">
        <v>0</v>
      </c>
      <c r="AM471" s="16" t="n">
        <f aca="false">COUNTIFS($D$2:$D$2501,D471,$G$2:$G$2501,"&gt;"&amp;G471)+COUNTIFS($D$2:D471,D471,$G$2:G471,G471)</f>
        <v>249</v>
      </c>
      <c r="AN471" s="5" t="str">
        <f aca="false">D471&amp;"|"&amp;AM471</f>
        <v>分析與報告生成|249</v>
      </c>
    </row>
    <row r="472" customFormat="false" ht="17.15" hidden="false" customHeight="false" outlineLevel="0" collapsed="false">
      <c r="A472" s="16" t="n">
        <f aca="false">RANK(G472,$G$2:$G$2501)+COUNTIF($G$2:G472,G472)-1</f>
        <v>471</v>
      </c>
      <c r="B472" s="11" t="s">
        <v>1378</v>
      </c>
      <c r="C472" s="11" t="s">
        <v>1143</v>
      </c>
      <c r="D472" s="5" t="s">
        <v>56</v>
      </c>
      <c r="E472" s="5" t="s">
        <v>57</v>
      </c>
      <c r="F472" s="5"/>
      <c r="G472" s="22" t="n">
        <f aca="false">ROUND(SUM(I472:P472),3)</f>
        <v>69.944</v>
      </c>
      <c r="H472" s="5" t="str">
        <f aca="false">IF(G472&gt;=評分方法!$C$16,"優先評估",IF(G472&gt;=評分方法!$C$17,"列入候選",IF(G472&gt;=評分方法!$C$18,"特定情境","不建議")))</f>
        <v>特定情境</v>
      </c>
      <c r="I472" s="15" t="n">
        <f aca="false">AE472*評分方法!$C$5</f>
        <v>25.5</v>
      </c>
      <c r="J472" s="15" t="n">
        <f aca="false">AF472*評分方法!$C$6</f>
        <v>0</v>
      </c>
      <c r="K472" s="15" t="n">
        <f aca="false">AG472*評分方法!$C$7</f>
        <v>4.95</v>
      </c>
      <c r="L472" s="15" t="n">
        <f aca="false">AH472*評分方法!$C$8</f>
        <v>13.05</v>
      </c>
      <c r="M472" s="15" t="n">
        <f aca="false">AI472*評分方法!$C$9</f>
        <v>10</v>
      </c>
      <c r="N472" s="15" t="n">
        <f aca="false">AJ472*評分方法!$C$10</f>
        <v>6.444</v>
      </c>
      <c r="O472" s="15" t="n">
        <f aca="false">AK472*評分方法!$C$11</f>
        <v>5</v>
      </c>
      <c r="P472" s="15" t="n">
        <f aca="false">AL472*評分方法!$C$12</f>
        <v>5</v>
      </c>
      <c r="Q472" s="6" t="n">
        <v>734635</v>
      </c>
      <c r="R472" s="6" t="n">
        <v>8903547555</v>
      </c>
      <c r="S472" s="11" t="s">
        <v>254</v>
      </c>
      <c r="T472" s="11" t="s">
        <v>239</v>
      </c>
      <c r="U472" s="5" t="s">
        <v>240</v>
      </c>
      <c r="V472" s="11" t="s">
        <v>261</v>
      </c>
      <c r="W472" s="5" t="s">
        <v>334</v>
      </c>
      <c r="X472" s="5" t="s">
        <v>284</v>
      </c>
      <c r="Y472" s="5"/>
      <c r="Z472" s="5"/>
      <c r="AA472" s="11" t="s">
        <v>156</v>
      </c>
      <c r="AB472" s="5" t="s">
        <v>245</v>
      </c>
      <c r="AC472" s="5"/>
      <c r="AD472" s="11" t="s">
        <v>1379</v>
      </c>
      <c r="AE472" s="23" t="n">
        <v>0.85</v>
      </c>
      <c r="AF472" s="23" t="n">
        <v>0</v>
      </c>
      <c r="AG472" s="23" t="n">
        <v>0.33</v>
      </c>
      <c r="AH472" s="23" t="n">
        <v>0.87</v>
      </c>
      <c r="AI472" s="23" t="n">
        <v>1</v>
      </c>
      <c r="AJ472" s="23" t="n">
        <v>0.6444</v>
      </c>
      <c r="AK472" s="23" t="n">
        <v>1</v>
      </c>
      <c r="AL472" s="23" t="n">
        <v>1</v>
      </c>
      <c r="AM472" s="16" t="n">
        <f aca="false">COUNTIFS($D$2:$D$2501,D472,$G$2:$G$2501,"&gt;"&amp;G472)+COUNTIFS($D$2:D472,D472,$G$2:G472,G472)</f>
        <v>250</v>
      </c>
      <c r="AN472" s="5" t="str">
        <f aca="false">D472&amp;"|"&amp;AM472</f>
        <v>分析與報告生成|250</v>
      </c>
    </row>
    <row r="473" customFormat="false" ht="17.15" hidden="false" customHeight="false" outlineLevel="0" collapsed="false">
      <c r="A473" s="16" t="n">
        <f aca="false">RANK(G473,$G$2:$G$2501)+COUNTIF($G$2:G473,G473)-1</f>
        <v>472</v>
      </c>
      <c r="B473" s="11" t="s">
        <v>1380</v>
      </c>
      <c r="C473" s="11" t="s">
        <v>1381</v>
      </c>
      <c r="D473" s="5" t="s">
        <v>54</v>
      </c>
      <c r="E473" s="5" t="s">
        <v>55</v>
      </c>
      <c r="F473" s="5"/>
      <c r="G473" s="22" t="n">
        <f aca="false">ROUND(SUM(I473:P473),3)</f>
        <v>69.934</v>
      </c>
      <c r="H473" s="5" t="str">
        <f aca="false">IF(G473&gt;=評分方法!$C$16,"優先評估",IF(G473&gt;=評分方法!$C$17,"列入候選",IF(G473&gt;=評分方法!$C$18,"特定情境","不建議")))</f>
        <v>特定情境</v>
      </c>
      <c r="I473" s="15" t="n">
        <f aca="false">AE473*評分方法!$C$5</f>
        <v>27</v>
      </c>
      <c r="J473" s="15" t="n">
        <f aca="false">AF473*評分方法!$C$6</f>
        <v>0</v>
      </c>
      <c r="K473" s="15" t="n">
        <f aca="false">AG473*評分方法!$C$7</f>
        <v>4.95</v>
      </c>
      <c r="L473" s="15" t="n">
        <f aca="false">AH473*評分方法!$C$8</f>
        <v>15</v>
      </c>
      <c r="M473" s="15" t="n">
        <f aca="false">AI473*評分方法!$C$9</f>
        <v>10</v>
      </c>
      <c r="N473" s="15" t="n">
        <f aca="false">AJ473*評分方法!$C$10</f>
        <v>7.984</v>
      </c>
      <c r="O473" s="15" t="n">
        <f aca="false">AK473*評分方法!$C$11</f>
        <v>5</v>
      </c>
      <c r="P473" s="15" t="n">
        <f aca="false">AL473*評分方法!$C$12</f>
        <v>0</v>
      </c>
      <c r="Q473" s="6" t="n">
        <v>1546917</v>
      </c>
      <c r="R473" s="6" t="n">
        <v>823401216</v>
      </c>
      <c r="S473" s="11" t="s">
        <v>238</v>
      </c>
      <c r="T473" s="11" t="s">
        <v>278</v>
      </c>
      <c r="U473" s="5" t="s">
        <v>240</v>
      </c>
      <c r="V473" s="11" t="s">
        <v>261</v>
      </c>
      <c r="W473" s="5" t="s">
        <v>334</v>
      </c>
      <c r="X473" s="5" t="s">
        <v>242</v>
      </c>
      <c r="Y473" s="11" t="s">
        <v>1382</v>
      </c>
      <c r="Z473" s="11" t="s">
        <v>270</v>
      </c>
      <c r="AA473" s="11" t="s">
        <v>153</v>
      </c>
      <c r="AB473" s="5" t="s">
        <v>245</v>
      </c>
      <c r="AC473" s="5"/>
      <c r="AD473" s="11" t="s">
        <v>1383</v>
      </c>
      <c r="AE473" s="23" t="n">
        <v>0.9</v>
      </c>
      <c r="AF473" s="23" t="n">
        <v>0</v>
      </c>
      <c r="AG473" s="23" t="n">
        <v>0.33</v>
      </c>
      <c r="AH473" s="23" t="n">
        <v>1</v>
      </c>
      <c r="AI473" s="23" t="n">
        <v>1</v>
      </c>
      <c r="AJ473" s="23" t="n">
        <v>0.7984</v>
      </c>
      <c r="AK473" s="23" t="n">
        <v>1</v>
      </c>
      <c r="AL473" s="23" t="n">
        <v>0</v>
      </c>
      <c r="AM473" s="16" t="n">
        <f aca="false">COUNTIFS($D$2:$D$2501,D473,$G$2:$G$2501,"&gt;"&amp;G473)+COUNTIFS($D$2:D473,D473,$G$2:G473,G473)</f>
        <v>115</v>
      </c>
      <c r="AN473" s="5" t="str">
        <f aca="false">D473&amp;"|"&amp;AM473</f>
        <v>檢索與情資關聯|115</v>
      </c>
    </row>
    <row r="474" customFormat="false" ht="17.15" hidden="false" customHeight="false" outlineLevel="0" collapsed="false">
      <c r="A474" s="16" t="n">
        <f aca="false">RANK(G474,$G$2:$G$2501)+COUNTIF($G$2:G474,G474)-1</f>
        <v>473</v>
      </c>
      <c r="B474" s="11" t="s">
        <v>616</v>
      </c>
      <c r="C474" s="11" t="s">
        <v>258</v>
      </c>
      <c r="D474" s="5" t="s">
        <v>56</v>
      </c>
      <c r="E474" s="5" t="s">
        <v>57</v>
      </c>
      <c r="F474" s="5"/>
      <c r="G474" s="22" t="n">
        <f aca="false">ROUND(SUM(I474:P474),3)</f>
        <v>69.902</v>
      </c>
      <c r="H474" s="5" t="str">
        <f aca="false">IF(G474&gt;=評分方法!$C$16,"優先評估",IF(G474&gt;=評分方法!$C$17,"列入候選",IF(G474&gt;=評分方法!$C$18,"特定情境","不建議")))</f>
        <v>特定情境</v>
      </c>
      <c r="I474" s="15" t="n">
        <f aca="false">AE474*評分方法!$C$5</f>
        <v>25.5</v>
      </c>
      <c r="J474" s="15" t="n">
        <f aca="false">AF474*評分方法!$C$6</f>
        <v>0</v>
      </c>
      <c r="K474" s="15" t="n">
        <f aca="false">AG474*評分方法!$C$7</f>
        <v>15</v>
      </c>
      <c r="L474" s="15" t="n">
        <f aca="false">AH474*評分方法!$C$8</f>
        <v>13.05</v>
      </c>
      <c r="M474" s="15" t="n">
        <f aca="false">AI474*評分方法!$C$9</f>
        <v>6</v>
      </c>
      <c r="N474" s="15" t="n">
        <f aca="false">AJ474*評分方法!$C$10</f>
        <v>9.352</v>
      </c>
      <c r="O474" s="15" t="n">
        <f aca="false">AK474*評分方法!$C$11</f>
        <v>1</v>
      </c>
      <c r="P474" s="15" t="n">
        <f aca="false">AL474*評分方法!$C$12</f>
        <v>0</v>
      </c>
      <c r="Q474" s="6" t="n">
        <v>6744628</v>
      </c>
      <c r="R474" s="6" t="n">
        <v>8030261248</v>
      </c>
      <c r="S474" s="11" t="s">
        <v>254</v>
      </c>
      <c r="T474" s="11" t="s">
        <v>259</v>
      </c>
      <c r="U474" s="5" t="s">
        <v>260</v>
      </c>
      <c r="V474" s="11" t="s">
        <v>324</v>
      </c>
      <c r="W474" s="5" t="s">
        <v>205</v>
      </c>
      <c r="X474" s="5" t="s">
        <v>242</v>
      </c>
      <c r="Y474" s="5"/>
      <c r="Z474" s="5"/>
      <c r="AA474" s="11" t="s">
        <v>155</v>
      </c>
      <c r="AB474" s="5" t="s">
        <v>245</v>
      </c>
      <c r="AC474" s="5" t="s">
        <v>262</v>
      </c>
      <c r="AD474" s="11" t="s">
        <v>1384</v>
      </c>
      <c r="AE474" s="23" t="n">
        <v>0.85</v>
      </c>
      <c r="AF474" s="23" t="n">
        <v>0</v>
      </c>
      <c r="AG474" s="23" t="n">
        <v>1</v>
      </c>
      <c r="AH474" s="23" t="n">
        <v>0.87</v>
      </c>
      <c r="AI474" s="23" t="n">
        <v>0.6</v>
      </c>
      <c r="AJ474" s="23" t="n">
        <v>0.9352</v>
      </c>
      <c r="AK474" s="23" t="n">
        <v>0.2</v>
      </c>
      <c r="AL474" s="23" t="n">
        <v>0</v>
      </c>
      <c r="AM474" s="16" t="n">
        <f aca="false">COUNTIFS($D$2:$D$2501,D474,$G$2:$G$2501,"&gt;"&amp;G474)+COUNTIFS($D$2:D474,D474,$G$2:G474,G474)</f>
        <v>251</v>
      </c>
      <c r="AN474" s="5" t="str">
        <f aca="false">D474&amp;"|"&amp;AM474</f>
        <v>分析與報告生成|251</v>
      </c>
    </row>
    <row r="475" customFormat="false" ht="17.15" hidden="false" customHeight="false" outlineLevel="0" collapsed="false">
      <c r="A475" s="16" t="n">
        <f aca="false">RANK(G475,$G$2:$G$2501)+COUNTIF($G$2:G475,G475)-1</f>
        <v>474</v>
      </c>
      <c r="B475" s="11" t="s">
        <v>1385</v>
      </c>
      <c r="C475" s="11" t="s">
        <v>299</v>
      </c>
      <c r="D475" s="5" t="s">
        <v>68</v>
      </c>
      <c r="E475" s="11" t="s">
        <v>69</v>
      </c>
      <c r="F475" s="5"/>
      <c r="G475" s="22" t="n">
        <f aca="false">ROUND(SUM(I475:P475),3)</f>
        <v>69.896</v>
      </c>
      <c r="H475" s="5" t="str">
        <f aca="false">IF(G475&gt;=評分方法!$C$16,"優先評估",IF(G475&gt;=評分方法!$C$17,"列入候選",IF(G475&gt;=評分方法!$C$18,"特定情境","不建議")))</f>
        <v>特定情境</v>
      </c>
      <c r="I475" s="15" t="n">
        <f aca="false">AE475*評分方法!$C$5</f>
        <v>21</v>
      </c>
      <c r="J475" s="15" t="n">
        <f aca="false">AF475*評分方法!$C$6</f>
        <v>0</v>
      </c>
      <c r="K475" s="15" t="n">
        <f aca="false">AG475*評分方法!$C$7</f>
        <v>15</v>
      </c>
      <c r="L475" s="15" t="n">
        <f aca="false">AH475*評分方法!$C$8</f>
        <v>15</v>
      </c>
      <c r="M475" s="15" t="n">
        <f aca="false">AI475*評分方法!$C$9</f>
        <v>10</v>
      </c>
      <c r="N475" s="15" t="n">
        <f aca="false">AJ475*評分方法!$C$10</f>
        <v>2.396</v>
      </c>
      <c r="O475" s="15" t="n">
        <f aca="false">AK475*評分方法!$C$11</f>
        <v>5</v>
      </c>
      <c r="P475" s="15" t="n">
        <f aca="false">AL475*評分方法!$C$12</f>
        <v>1.5</v>
      </c>
      <c r="Q475" s="6" t="n">
        <v>240962</v>
      </c>
      <c r="R475" s="6" t="n">
        <v>9069312</v>
      </c>
      <c r="S475" s="11" t="s">
        <v>238</v>
      </c>
      <c r="T475" s="11" t="s">
        <v>239</v>
      </c>
      <c r="U475" s="5" t="s">
        <v>240</v>
      </c>
      <c r="V475" s="11" t="s">
        <v>261</v>
      </c>
      <c r="W475" s="5" t="s">
        <v>205</v>
      </c>
      <c r="X475" s="5" t="s">
        <v>255</v>
      </c>
      <c r="Y475" s="5"/>
      <c r="Z475" s="5"/>
      <c r="AA475" s="11" t="s">
        <v>158</v>
      </c>
      <c r="AB475" s="5" t="s">
        <v>245</v>
      </c>
      <c r="AC475" s="5"/>
      <c r="AD475" s="11" t="s">
        <v>1386</v>
      </c>
      <c r="AE475" s="23" t="n">
        <v>0.7</v>
      </c>
      <c r="AF475" s="23" t="n">
        <v>0</v>
      </c>
      <c r="AG475" s="23" t="n">
        <v>1</v>
      </c>
      <c r="AH475" s="23" t="n">
        <v>1</v>
      </c>
      <c r="AI475" s="23" t="n">
        <v>1</v>
      </c>
      <c r="AJ475" s="23" t="n">
        <v>0.2396</v>
      </c>
      <c r="AK475" s="23" t="n">
        <v>1</v>
      </c>
      <c r="AL475" s="23" t="n">
        <v>0.3</v>
      </c>
      <c r="AM475" s="16" t="n">
        <f aca="false">COUNTIFS($D$2:$D$2501,D475,$G$2:$G$2501,"&gt;"&amp;G475)+COUNTIFS($D$2:D475,D475,$G$2:G475,G475)</f>
        <v>27</v>
      </c>
      <c r="AN475" s="5" t="str">
        <f aca="false">D475&amp;"|"&amp;AM475</f>
        <v>時序異常偵測|27</v>
      </c>
    </row>
    <row r="476" customFormat="false" ht="17.15" hidden="false" customHeight="false" outlineLevel="0" collapsed="false">
      <c r="A476" s="16" t="n">
        <f aca="false">RANK(G476,$G$2:$G$2501)+COUNTIF($G$2:G476,G476)-1</f>
        <v>475</v>
      </c>
      <c r="B476" s="11" t="s">
        <v>1387</v>
      </c>
      <c r="C476" s="11" t="s">
        <v>1388</v>
      </c>
      <c r="D476" s="5" t="s">
        <v>56</v>
      </c>
      <c r="E476" s="5" t="s">
        <v>57</v>
      </c>
      <c r="F476" s="5"/>
      <c r="G476" s="22" t="n">
        <f aca="false">ROUND(SUM(I476:P476),3)</f>
        <v>69.852</v>
      </c>
      <c r="H476" s="5" t="str">
        <f aca="false">IF(G476&gt;=評分方法!$C$16,"優先評估",IF(G476&gt;=評分方法!$C$17,"列入候選",IF(G476&gt;=評分方法!$C$18,"特定情境","不建議")))</f>
        <v>特定情境</v>
      </c>
      <c r="I476" s="15" t="n">
        <f aca="false">AE476*評分方法!$C$5</f>
        <v>25.5</v>
      </c>
      <c r="J476" s="15" t="n">
        <f aca="false">AF476*評分方法!$C$6</f>
        <v>0</v>
      </c>
      <c r="K476" s="15" t="n">
        <f aca="false">AG476*評分方法!$C$7</f>
        <v>10.05</v>
      </c>
      <c r="L476" s="15" t="n">
        <f aca="false">AH476*評分方法!$C$8</f>
        <v>13.05</v>
      </c>
      <c r="M476" s="15" t="n">
        <f aca="false">AI476*評分方法!$C$9</f>
        <v>10</v>
      </c>
      <c r="N476" s="15" t="n">
        <f aca="false">AJ476*評分方法!$C$10</f>
        <v>7.252</v>
      </c>
      <c r="O476" s="15" t="n">
        <f aca="false">AK476*評分方法!$C$11</f>
        <v>1</v>
      </c>
      <c r="P476" s="15" t="n">
        <f aca="false">AL476*評分方法!$C$12</f>
        <v>3</v>
      </c>
      <c r="Q476" s="6" t="n">
        <v>1023264</v>
      </c>
      <c r="R476" s="6" t="n">
        <v>7241732096</v>
      </c>
      <c r="S476" s="11" t="s">
        <v>254</v>
      </c>
      <c r="T476" s="11" t="s">
        <v>239</v>
      </c>
      <c r="U476" s="5" t="s">
        <v>240</v>
      </c>
      <c r="V476" s="11" t="s">
        <v>261</v>
      </c>
      <c r="W476" s="5" t="s">
        <v>207</v>
      </c>
      <c r="X476" s="5" t="s">
        <v>371</v>
      </c>
      <c r="Y476" s="11" t="s">
        <v>488</v>
      </c>
      <c r="Z476" s="11" t="s">
        <v>244</v>
      </c>
      <c r="AA476" s="11" t="s">
        <v>155</v>
      </c>
      <c r="AB476" s="5" t="s">
        <v>245</v>
      </c>
      <c r="AC476" s="5" t="s">
        <v>246</v>
      </c>
      <c r="AD476" s="11" t="s">
        <v>1389</v>
      </c>
      <c r="AE476" s="23" t="n">
        <v>0.85</v>
      </c>
      <c r="AF476" s="23" t="n">
        <v>0</v>
      </c>
      <c r="AG476" s="23" t="n">
        <v>0.67</v>
      </c>
      <c r="AH476" s="23" t="n">
        <v>0.87</v>
      </c>
      <c r="AI476" s="23" t="n">
        <v>1</v>
      </c>
      <c r="AJ476" s="23" t="n">
        <v>0.7252</v>
      </c>
      <c r="AK476" s="23" t="n">
        <v>0.2</v>
      </c>
      <c r="AL476" s="23" t="n">
        <v>0.6</v>
      </c>
      <c r="AM476" s="16" t="n">
        <f aca="false">COUNTIFS($D$2:$D$2501,D476,$G$2:$G$2501,"&gt;"&amp;G476)+COUNTIFS($D$2:D476,D476,$G$2:G476,G476)</f>
        <v>252</v>
      </c>
      <c r="AN476" s="5" t="str">
        <f aca="false">D476&amp;"|"&amp;AM476</f>
        <v>分析與報告生成|252</v>
      </c>
    </row>
    <row r="477" customFormat="false" ht="17.15" hidden="false" customHeight="false" outlineLevel="0" collapsed="false">
      <c r="A477" s="16" t="n">
        <f aca="false">RANK(G477,$G$2:$G$2501)+COUNTIF($G$2:G477,G477)-1</f>
        <v>476</v>
      </c>
      <c r="B477" s="11" t="s">
        <v>1390</v>
      </c>
      <c r="C477" s="11" t="s">
        <v>632</v>
      </c>
      <c r="D477" s="5" t="s">
        <v>68</v>
      </c>
      <c r="E477" s="11" t="s">
        <v>69</v>
      </c>
      <c r="F477" s="5"/>
      <c r="G477" s="22" t="n">
        <f aca="false">ROUND(SUM(I477:P477),3)</f>
        <v>69.84</v>
      </c>
      <c r="H477" s="5" t="str">
        <f aca="false">IF(G477&gt;=評分方法!$C$16,"優先評估",IF(G477&gt;=評分方法!$C$17,"列入候選",IF(G477&gt;=評分方法!$C$18,"特定情境","不建議")))</f>
        <v>特定情境</v>
      </c>
      <c r="I477" s="15" t="n">
        <f aca="false">AE477*評分方法!$C$5</f>
        <v>21</v>
      </c>
      <c r="J477" s="15" t="n">
        <f aca="false">AF477*評分方法!$C$6</f>
        <v>0</v>
      </c>
      <c r="K477" s="15" t="n">
        <f aca="false">AG477*評分方法!$C$7</f>
        <v>15</v>
      </c>
      <c r="L477" s="15" t="n">
        <f aca="false">AH477*評分方法!$C$8</f>
        <v>15</v>
      </c>
      <c r="M477" s="15" t="n">
        <f aca="false">AI477*評分方法!$C$9</f>
        <v>10</v>
      </c>
      <c r="N477" s="15" t="n">
        <f aca="false">AJ477*評分方法!$C$10</f>
        <v>3.34</v>
      </c>
      <c r="O477" s="15" t="n">
        <f aca="false">AK477*評分方法!$C$11</f>
        <v>4</v>
      </c>
      <c r="P477" s="15" t="n">
        <f aca="false">AL477*評分方法!$C$12</f>
        <v>1.5</v>
      </c>
      <c r="Q477" s="6" t="n">
        <v>333032</v>
      </c>
      <c r="R477" s="6" t="n">
        <v>9069312</v>
      </c>
      <c r="S477" s="11" t="s">
        <v>238</v>
      </c>
      <c r="T477" s="11" t="s">
        <v>239</v>
      </c>
      <c r="U477" s="5" t="s">
        <v>240</v>
      </c>
      <c r="V477" s="11" t="s">
        <v>261</v>
      </c>
      <c r="W477" s="5" t="s">
        <v>205</v>
      </c>
      <c r="X477" s="5" t="s">
        <v>255</v>
      </c>
      <c r="Y477" s="5"/>
      <c r="Z477" s="5"/>
      <c r="AA477" s="11" t="s">
        <v>158</v>
      </c>
      <c r="AB477" s="5" t="s">
        <v>245</v>
      </c>
      <c r="AC477" s="5"/>
      <c r="AD477" s="11" t="s">
        <v>1391</v>
      </c>
      <c r="AE477" s="23" t="n">
        <v>0.7</v>
      </c>
      <c r="AF477" s="23" t="n">
        <v>0</v>
      </c>
      <c r="AG477" s="23" t="n">
        <v>1</v>
      </c>
      <c r="AH477" s="23" t="n">
        <v>1</v>
      </c>
      <c r="AI477" s="23" t="n">
        <v>1</v>
      </c>
      <c r="AJ477" s="23" t="n">
        <v>0.334</v>
      </c>
      <c r="AK477" s="23" t="n">
        <v>0.8</v>
      </c>
      <c r="AL477" s="23" t="n">
        <v>0.3</v>
      </c>
      <c r="AM477" s="16" t="n">
        <f aca="false">COUNTIFS($D$2:$D$2501,D477,$G$2:$G$2501,"&gt;"&amp;G477)+COUNTIFS($D$2:D477,D477,$G$2:G477,G477)</f>
        <v>28</v>
      </c>
      <c r="AN477" s="5" t="str">
        <f aca="false">D477&amp;"|"&amp;AM477</f>
        <v>時序異常偵測|28</v>
      </c>
    </row>
    <row r="478" customFormat="false" ht="17.15" hidden="false" customHeight="false" outlineLevel="0" collapsed="false">
      <c r="A478" s="16" t="n">
        <f aca="false">RANK(G478,$G$2:$G$2501)+COUNTIF($G$2:G478,G478)-1</f>
        <v>477</v>
      </c>
      <c r="B478" s="11" t="s">
        <v>1392</v>
      </c>
      <c r="C478" s="11" t="s">
        <v>1111</v>
      </c>
      <c r="D478" s="5" t="s">
        <v>56</v>
      </c>
      <c r="E478" s="5" t="s">
        <v>57</v>
      </c>
      <c r="F478" s="5"/>
      <c r="G478" s="22" t="n">
        <f aca="false">ROUND(SUM(I478:P478),3)</f>
        <v>69.838</v>
      </c>
      <c r="H478" s="5" t="str">
        <f aca="false">IF(G478&gt;=評分方法!$C$16,"優先評估",IF(G478&gt;=評分方法!$C$17,"列入候選",IF(G478&gt;=評分方法!$C$18,"特定情境","不建議")))</f>
        <v>特定情境</v>
      </c>
      <c r="I478" s="15" t="n">
        <f aca="false">AE478*評分方法!$C$5</f>
        <v>25.5</v>
      </c>
      <c r="J478" s="15" t="n">
        <f aca="false">AF478*評分方法!$C$6</f>
        <v>0</v>
      </c>
      <c r="K478" s="15" t="n">
        <f aca="false">AG478*評分方法!$C$7</f>
        <v>10.05</v>
      </c>
      <c r="L478" s="15" t="n">
        <f aca="false">AH478*評分方法!$C$8</f>
        <v>9</v>
      </c>
      <c r="M478" s="15" t="n">
        <f aca="false">AI478*評分方法!$C$9</f>
        <v>10</v>
      </c>
      <c r="N478" s="15" t="n">
        <f aca="false">AJ478*評分方法!$C$10</f>
        <v>7.288</v>
      </c>
      <c r="O478" s="15" t="n">
        <f aca="false">AK478*評分方法!$C$11</f>
        <v>5</v>
      </c>
      <c r="P478" s="15" t="n">
        <f aca="false">AL478*評分方法!$C$12</f>
        <v>3</v>
      </c>
      <c r="Q478" s="6" t="n">
        <v>1040519</v>
      </c>
      <c r="R478" s="6" t="n">
        <v>25823781228</v>
      </c>
      <c r="S478" s="11" t="s">
        <v>389</v>
      </c>
      <c r="T478" s="11" t="s">
        <v>239</v>
      </c>
      <c r="U478" s="5" t="s">
        <v>240</v>
      </c>
      <c r="V478" s="11" t="s">
        <v>261</v>
      </c>
      <c r="W478" s="5" t="s">
        <v>207</v>
      </c>
      <c r="X478" s="5" t="s">
        <v>371</v>
      </c>
      <c r="Y478" s="11" t="s">
        <v>653</v>
      </c>
      <c r="Z478" s="11" t="s">
        <v>244</v>
      </c>
      <c r="AA478" s="11" t="s">
        <v>156</v>
      </c>
      <c r="AB478" s="5" t="s">
        <v>245</v>
      </c>
      <c r="AC478" s="5" t="s">
        <v>246</v>
      </c>
      <c r="AD478" s="11" t="s">
        <v>1393</v>
      </c>
      <c r="AE478" s="23" t="n">
        <v>0.85</v>
      </c>
      <c r="AF478" s="23" t="n">
        <v>0</v>
      </c>
      <c r="AG478" s="23" t="n">
        <v>0.67</v>
      </c>
      <c r="AH478" s="23" t="n">
        <v>0.6</v>
      </c>
      <c r="AI478" s="23" t="n">
        <v>1</v>
      </c>
      <c r="AJ478" s="23" t="n">
        <v>0.7288</v>
      </c>
      <c r="AK478" s="23" t="n">
        <v>1</v>
      </c>
      <c r="AL478" s="23" t="n">
        <v>0.6</v>
      </c>
      <c r="AM478" s="16" t="n">
        <f aca="false">COUNTIFS($D$2:$D$2501,D478,$G$2:$G$2501,"&gt;"&amp;G478)+COUNTIFS($D$2:D478,D478,$G$2:G478,G478)</f>
        <v>253</v>
      </c>
      <c r="AN478" s="5" t="str">
        <f aca="false">D478&amp;"|"&amp;AM478</f>
        <v>分析與報告生成|253</v>
      </c>
    </row>
    <row r="479" customFormat="false" ht="17.15" hidden="false" customHeight="false" outlineLevel="0" collapsed="false">
      <c r="A479" s="16" t="n">
        <f aca="false">RANK(G479,$G$2:$G$2501)+COUNTIF($G$2:G479,G479)-1</f>
        <v>478</v>
      </c>
      <c r="B479" s="11" t="s">
        <v>1394</v>
      </c>
      <c r="C479" s="11" t="s">
        <v>327</v>
      </c>
      <c r="D479" s="5" t="s">
        <v>56</v>
      </c>
      <c r="E479" s="5" t="s">
        <v>57</v>
      </c>
      <c r="F479" s="5"/>
      <c r="G479" s="22" t="n">
        <f aca="false">ROUND(SUM(I479:P479),3)</f>
        <v>69.836</v>
      </c>
      <c r="H479" s="5" t="str">
        <f aca="false">IF(G479&gt;=評分方法!$C$16,"優先評估",IF(G479&gt;=評分方法!$C$17,"列入候選",IF(G479&gt;=評分方法!$C$18,"特定情境","不建議")))</f>
        <v>特定情境</v>
      </c>
      <c r="I479" s="15" t="n">
        <f aca="false">AE479*評分方法!$C$5</f>
        <v>25.5</v>
      </c>
      <c r="J479" s="15" t="n">
        <f aca="false">AF479*評分方法!$C$6</f>
        <v>0</v>
      </c>
      <c r="K479" s="15" t="n">
        <f aca="false">AG479*評分方法!$C$7</f>
        <v>15</v>
      </c>
      <c r="L479" s="15" t="n">
        <f aca="false">AH479*評分方法!$C$8</f>
        <v>9</v>
      </c>
      <c r="M479" s="15" t="n">
        <f aca="false">AI479*評分方法!$C$9</f>
        <v>6</v>
      </c>
      <c r="N479" s="15" t="n">
        <f aca="false">AJ479*評分方法!$C$10</f>
        <v>6.336</v>
      </c>
      <c r="O479" s="15" t="n">
        <f aca="false">AK479*評分方法!$C$11</f>
        <v>5</v>
      </c>
      <c r="P479" s="15" t="n">
        <f aca="false">AL479*評分方法!$C$12</f>
        <v>3</v>
      </c>
      <c r="Q479" s="6" t="n">
        <v>705750</v>
      </c>
      <c r="R479" s="6" t="n">
        <v>13181860358</v>
      </c>
      <c r="S479" s="11" t="s">
        <v>389</v>
      </c>
      <c r="T479" s="11" t="s">
        <v>185</v>
      </c>
      <c r="U479" s="5" t="s">
        <v>260</v>
      </c>
      <c r="V479" s="11" t="s">
        <v>261</v>
      </c>
      <c r="W479" s="5" t="s">
        <v>205</v>
      </c>
      <c r="X479" s="5" t="s">
        <v>371</v>
      </c>
      <c r="Y479" s="5"/>
      <c r="Z479" s="5"/>
      <c r="AA479" s="11" t="s">
        <v>156</v>
      </c>
      <c r="AB479" s="5" t="s">
        <v>245</v>
      </c>
      <c r="AC479" s="5" t="s">
        <v>262</v>
      </c>
      <c r="AD479" s="11" t="s">
        <v>1395</v>
      </c>
      <c r="AE479" s="23" t="n">
        <v>0.85</v>
      </c>
      <c r="AF479" s="23" t="n">
        <v>0</v>
      </c>
      <c r="AG479" s="23" t="n">
        <v>1</v>
      </c>
      <c r="AH479" s="23" t="n">
        <v>0.6</v>
      </c>
      <c r="AI479" s="23" t="n">
        <v>0.6</v>
      </c>
      <c r="AJ479" s="23" t="n">
        <v>0.6336</v>
      </c>
      <c r="AK479" s="23" t="n">
        <v>1</v>
      </c>
      <c r="AL479" s="23" t="n">
        <v>0.6</v>
      </c>
      <c r="AM479" s="16" t="n">
        <f aca="false">COUNTIFS($D$2:$D$2501,D479,$G$2:$G$2501,"&gt;"&amp;G479)+COUNTIFS($D$2:D479,D479,$G$2:G479,G479)</f>
        <v>254</v>
      </c>
      <c r="AN479" s="5" t="str">
        <f aca="false">D479&amp;"|"&amp;AM479</f>
        <v>分析與報告生成|254</v>
      </c>
    </row>
    <row r="480" customFormat="false" ht="17.15" hidden="false" customHeight="false" outlineLevel="0" collapsed="false">
      <c r="A480" s="16" t="n">
        <f aca="false">RANK(G480,$G$2:$G$2501)+COUNTIF($G$2:G480,G480)-1</f>
        <v>479</v>
      </c>
      <c r="B480" s="11" t="s">
        <v>1396</v>
      </c>
      <c r="C480" s="11" t="s">
        <v>753</v>
      </c>
      <c r="D480" s="5" t="s">
        <v>56</v>
      </c>
      <c r="E480" s="5" t="s">
        <v>57</v>
      </c>
      <c r="F480" s="5"/>
      <c r="G480" s="22" t="n">
        <f aca="false">ROUND(SUM(I480:P480),3)</f>
        <v>69.79</v>
      </c>
      <c r="H480" s="5" t="str">
        <f aca="false">IF(G480&gt;=評分方法!$C$16,"優先評估",IF(G480&gt;=評分方法!$C$17,"列入候選",IF(G480&gt;=評分方法!$C$18,"特定情境","不建議")))</f>
        <v>特定情境</v>
      </c>
      <c r="I480" s="15" t="n">
        <f aca="false">AE480*評分方法!$C$5</f>
        <v>24</v>
      </c>
      <c r="J480" s="15" t="n">
        <f aca="false">AF480*評分方法!$C$6</f>
        <v>0</v>
      </c>
      <c r="K480" s="15" t="n">
        <f aca="false">AG480*評分方法!$C$7</f>
        <v>10.05</v>
      </c>
      <c r="L480" s="15" t="n">
        <f aca="false">AH480*評分方法!$C$8</f>
        <v>9</v>
      </c>
      <c r="M480" s="15" t="n">
        <f aca="false">AI480*評分方法!$C$9</f>
        <v>10</v>
      </c>
      <c r="N480" s="15" t="n">
        <f aca="false">AJ480*評分方法!$C$10</f>
        <v>8.74</v>
      </c>
      <c r="O480" s="15" t="n">
        <f aca="false">AK480*評分方法!$C$11</f>
        <v>5</v>
      </c>
      <c r="P480" s="15" t="n">
        <f aca="false">AL480*評分方法!$C$12</f>
        <v>3</v>
      </c>
      <c r="Q480" s="6" t="n">
        <v>2876804</v>
      </c>
      <c r="R480" s="6" t="n">
        <v>11907350576</v>
      </c>
      <c r="S480" s="11" t="s">
        <v>389</v>
      </c>
      <c r="T480" s="11" t="s">
        <v>239</v>
      </c>
      <c r="U480" s="5" t="s">
        <v>240</v>
      </c>
      <c r="V480" s="11" t="s">
        <v>333</v>
      </c>
      <c r="W480" s="5" t="s">
        <v>207</v>
      </c>
      <c r="X480" s="5" t="s">
        <v>371</v>
      </c>
      <c r="Y480" s="11" t="s">
        <v>801</v>
      </c>
      <c r="Z480" s="11" t="s">
        <v>244</v>
      </c>
      <c r="AA480" s="11" t="s">
        <v>157</v>
      </c>
      <c r="AB480" s="5" t="s">
        <v>245</v>
      </c>
      <c r="AC480" s="5" t="s">
        <v>246</v>
      </c>
      <c r="AD480" s="11" t="s">
        <v>1397</v>
      </c>
      <c r="AE480" s="23" t="n">
        <v>0.8</v>
      </c>
      <c r="AF480" s="23" t="n">
        <v>0</v>
      </c>
      <c r="AG480" s="23" t="n">
        <v>0.67</v>
      </c>
      <c r="AH480" s="23" t="n">
        <v>0.6</v>
      </c>
      <c r="AI480" s="23" t="n">
        <v>1</v>
      </c>
      <c r="AJ480" s="23" t="n">
        <v>0.874</v>
      </c>
      <c r="AK480" s="23" t="n">
        <v>1</v>
      </c>
      <c r="AL480" s="23" t="n">
        <v>0.6</v>
      </c>
      <c r="AM480" s="16" t="n">
        <f aca="false">COUNTIFS($D$2:$D$2501,D480,$G$2:$G$2501,"&gt;"&amp;G480)+COUNTIFS($D$2:D480,D480,$G$2:G480,G480)</f>
        <v>255</v>
      </c>
      <c r="AN480" s="5" t="str">
        <f aca="false">D480&amp;"|"&amp;AM480</f>
        <v>分析與報告生成|255</v>
      </c>
    </row>
    <row r="481" customFormat="false" ht="17.15" hidden="false" customHeight="false" outlineLevel="0" collapsed="false">
      <c r="A481" s="16" t="n">
        <f aca="false">RANK(G481,$G$2:$G$2501)+COUNTIF($G$2:G481,G481)-1</f>
        <v>480</v>
      </c>
      <c r="B481" s="11" t="s">
        <v>1398</v>
      </c>
      <c r="C481" s="11" t="s">
        <v>834</v>
      </c>
      <c r="D481" s="5" t="s">
        <v>54</v>
      </c>
      <c r="E481" s="5" t="s">
        <v>55</v>
      </c>
      <c r="F481" s="5"/>
      <c r="G481" s="22" t="n">
        <f aca="false">ROUND(SUM(I481:P481),3)</f>
        <v>69.758</v>
      </c>
      <c r="H481" s="5" t="str">
        <f aca="false">IF(G481&gt;=評分方法!$C$16,"優先評估",IF(G481&gt;=評分方法!$C$17,"列入候選",IF(G481&gt;=評分方法!$C$18,"特定情境","不建議")))</f>
        <v>特定情境</v>
      </c>
      <c r="I481" s="15" t="n">
        <f aca="false">AE481*評分方法!$C$5</f>
        <v>27</v>
      </c>
      <c r="J481" s="15" t="n">
        <f aca="false">AF481*評分方法!$C$6</f>
        <v>0</v>
      </c>
      <c r="K481" s="15" t="n">
        <f aca="false">AG481*評分方法!$C$7</f>
        <v>15</v>
      </c>
      <c r="L481" s="15" t="n">
        <f aca="false">AH481*評分方法!$C$8</f>
        <v>7.05</v>
      </c>
      <c r="M481" s="15" t="n">
        <f aca="false">AI481*評分方法!$C$9</f>
        <v>10</v>
      </c>
      <c r="N481" s="15" t="n">
        <f aca="false">AJ481*評分方法!$C$10</f>
        <v>8.208</v>
      </c>
      <c r="O481" s="15" t="n">
        <f aca="false">AK481*評分方法!$C$11</f>
        <v>1</v>
      </c>
      <c r="P481" s="15" t="n">
        <f aca="false">AL481*評分方法!$C$12</f>
        <v>1.5</v>
      </c>
      <c r="Q481" s="6" t="n">
        <v>1820260</v>
      </c>
      <c r="R481" s="6"/>
      <c r="S481" s="5" t="s">
        <v>255</v>
      </c>
      <c r="T481" s="11" t="s">
        <v>239</v>
      </c>
      <c r="U481" s="5" t="s">
        <v>240</v>
      </c>
      <c r="V481" s="11" t="s">
        <v>514</v>
      </c>
      <c r="W481" s="5" t="s">
        <v>205</v>
      </c>
      <c r="X481" s="5" t="s">
        <v>255</v>
      </c>
      <c r="Y481" s="5"/>
      <c r="Z481" s="5"/>
      <c r="AA481" s="11" t="s">
        <v>152</v>
      </c>
      <c r="AB481" s="5" t="s">
        <v>245</v>
      </c>
      <c r="AC481" s="5"/>
      <c r="AD481" s="11" t="s">
        <v>1399</v>
      </c>
      <c r="AE481" s="23" t="n">
        <v>0.9</v>
      </c>
      <c r="AF481" s="23" t="n">
        <v>0</v>
      </c>
      <c r="AG481" s="23" t="n">
        <v>1</v>
      </c>
      <c r="AH481" s="23" t="n">
        <v>0.47</v>
      </c>
      <c r="AI481" s="23" t="n">
        <v>1</v>
      </c>
      <c r="AJ481" s="23" t="n">
        <v>0.8208</v>
      </c>
      <c r="AK481" s="23" t="n">
        <v>0.2</v>
      </c>
      <c r="AL481" s="23" t="n">
        <v>0.3</v>
      </c>
      <c r="AM481" s="16" t="n">
        <f aca="false">COUNTIFS($D$2:$D$2501,D481,$G$2:$G$2501,"&gt;"&amp;G481)+COUNTIFS($D$2:D481,D481,$G$2:G481,G481)</f>
        <v>116</v>
      </c>
      <c r="AN481" s="5" t="str">
        <f aca="false">D481&amp;"|"&amp;AM481</f>
        <v>檢索與情資關聯|116</v>
      </c>
    </row>
    <row r="482" customFormat="false" ht="17.15" hidden="false" customHeight="false" outlineLevel="0" collapsed="false">
      <c r="A482" s="16" t="n">
        <f aca="false">RANK(G482,$G$2:$G$2501)+COUNTIF($G$2:G482,G482)-1</f>
        <v>481</v>
      </c>
      <c r="B482" s="11" t="s">
        <v>1400</v>
      </c>
      <c r="C482" s="11" t="s">
        <v>891</v>
      </c>
      <c r="D482" s="5" t="s">
        <v>56</v>
      </c>
      <c r="E482" s="5" t="s">
        <v>57</v>
      </c>
      <c r="F482" s="5"/>
      <c r="G482" s="22" t="n">
        <f aca="false">ROUND(SUM(I482:P482),3)</f>
        <v>69.738</v>
      </c>
      <c r="H482" s="5" t="str">
        <f aca="false">IF(G482&gt;=評分方法!$C$16,"優先評估",IF(G482&gt;=評分方法!$C$17,"列入候選",IF(G482&gt;=評分方法!$C$18,"特定情境","不建議")))</f>
        <v>特定情境</v>
      </c>
      <c r="I482" s="15" t="n">
        <f aca="false">AE482*評分方法!$C$5</f>
        <v>25.5</v>
      </c>
      <c r="J482" s="15" t="n">
        <f aca="false">AF482*評分方法!$C$6</f>
        <v>0</v>
      </c>
      <c r="K482" s="15" t="n">
        <f aca="false">AG482*評分方法!$C$7</f>
        <v>10.05</v>
      </c>
      <c r="L482" s="15" t="n">
        <f aca="false">AH482*評分方法!$C$8</f>
        <v>9</v>
      </c>
      <c r="M482" s="15" t="n">
        <f aca="false">AI482*評分方法!$C$9</f>
        <v>10</v>
      </c>
      <c r="N482" s="15" t="n">
        <f aca="false">AJ482*評分方法!$C$10</f>
        <v>7.188</v>
      </c>
      <c r="O482" s="15" t="n">
        <f aca="false">AK482*評分方法!$C$11</f>
        <v>5</v>
      </c>
      <c r="P482" s="15" t="n">
        <f aca="false">AL482*評分方法!$C$12</f>
        <v>3</v>
      </c>
      <c r="Q482" s="6" t="n">
        <v>992808</v>
      </c>
      <c r="R482" s="6" t="n">
        <v>25233142046</v>
      </c>
      <c r="S482" s="11" t="s">
        <v>389</v>
      </c>
      <c r="T482" s="11" t="s">
        <v>239</v>
      </c>
      <c r="U482" s="5" t="s">
        <v>240</v>
      </c>
      <c r="V482" s="11" t="s">
        <v>333</v>
      </c>
      <c r="W482" s="5" t="s">
        <v>207</v>
      </c>
      <c r="X482" s="5" t="s">
        <v>371</v>
      </c>
      <c r="Y482" s="11" t="s">
        <v>785</v>
      </c>
      <c r="Z482" s="11" t="s">
        <v>244</v>
      </c>
      <c r="AA482" s="11" t="s">
        <v>156</v>
      </c>
      <c r="AB482" s="5" t="s">
        <v>496</v>
      </c>
      <c r="AC482" s="5" t="s">
        <v>555</v>
      </c>
      <c r="AD482" s="11" t="s">
        <v>1401</v>
      </c>
      <c r="AE482" s="23" t="n">
        <v>0.85</v>
      </c>
      <c r="AF482" s="23" t="n">
        <v>0</v>
      </c>
      <c r="AG482" s="23" t="n">
        <v>0.67</v>
      </c>
      <c r="AH482" s="23" t="n">
        <v>0.6</v>
      </c>
      <c r="AI482" s="23" t="n">
        <v>1</v>
      </c>
      <c r="AJ482" s="23" t="n">
        <v>0.7188</v>
      </c>
      <c r="AK482" s="23" t="n">
        <v>1</v>
      </c>
      <c r="AL482" s="23" t="n">
        <v>0.6</v>
      </c>
      <c r="AM482" s="16" t="n">
        <f aca="false">COUNTIFS($D$2:$D$2501,D482,$G$2:$G$2501,"&gt;"&amp;G482)+COUNTIFS($D$2:D482,D482,$G$2:G482,G482)</f>
        <v>256</v>
      </c>
      <c r="AN482" s="5" t="str">
        <f aca="false">D482&amp;"|"&amp;AM482</f>
        <v>分析與報告生成|256</v>
      </c>
    </row>
    <row r="483" customFormat="false" ht="17.15" hidden="false" customHeight="false" outlineLevel="0" collapsed="false">
      <c r="A483" s="16" t="n">
        <f aca="false">RANK(G483,$G$2:$G$2501)+COUNTIF($G$2:G483,G483)-1</f>
        <v>482</v>
      </c>
      <c r="B483" s="11" t="s">
        <v>1402</v>
      </c>
      <c r="C483" s="11" t="s">
        <v>1403</v>
      </c>
      <c r="D483" s="5" t="s">
        <v>54</v>
      </c>
      <c r="E483" s="5" t="s">
        <v>55</v>
      </c>
      <c r="F483" s="5"/>
      <c r="G483" s="22" t="n">
        <f aca="false">ROUND(SUM(I483:P483),3)</f>
        <v>69.732</v>
      </c>
      <c r="H483" s="5" t="str">
        <f aca="false">IF(G483&gt;=評分方法!$C$16,"優先評估",IF(G483&gt;=評分方法!$C$17,"列入候選",IF(G483&gt;=評分方法!$C$18,"特定情境","不建議")))</f>
        <v>特定情境</v>
      </c>
      <c r="I483" s="15" t="n">
        <f aca="false">AE483*評分方法!$C$5</f>
        <v>27</v>
      </c>
      <c r="J483" s="15" t="n">
        <f aca="false">AF483*評分方法!$C$6</f>
        <v>0</v>
      </c>
      <c r="K483" s="15" t="n">
        <f aca="false">AG483*評分方法!$C$7</f>
        <v>4.95</v>
      </c>
      <c r="L483" s="15" t="n">
        <f aca="false">AH483*評分方法!$C$8</f>
        <v>13.05</v>
      </c>
      <c r="M483" s="15" t="n">
        <f aca="false">AI483*評分方法!$C$9</f>
        <v>10</v>
      </c>
      <c r="N483" s="15" t="n">
        <f aca="false">AJ483*評分方法!$C$10</f>
        <v>4.732</v>
      </c>
      <c r="O483" s="15" t="n">
        <f aca="false">AK483*評分方法!$C$11</f>
        <v>5</v>
      </c>
      <c r="P483" s="15" t="n">
        <f aca="false">AL483*評分方法!$C$12</f>
        <v>5</v>
      </c>
      <c r="Q483" s="6" t="n">
        <v>517137</v>
      </c>
      <c r="R483" s="6" t="n">
        <v>7952683008</v>
      </c>
      <c r="S483" s="11" t="s">
        <v>254</v>
      </c>
      <c r="T483" s="11" t="s">
        <v>1404</v>
      </c>
      <c r="U483" s="5" t="s">
        <v>240</v>
      </c>
      <c r="V483" s="11" t="s">
        <v>333</v>
      </c>
      <c r="W483" s="5" t="s">
        <v>334</v>
      </c>
      <c r="X483" s="5" t="s">
        <v>284</v>
      </c>
      <c r="Y483" s="11" t="s">
        <v>815</v>
      </c>
      <c r="Z483" s="11" t="s">
        <v>244</v>
      </c>
      <c r="AA483" s="11" t="s">
        <v>152</v>
      </c>
      <c r="AB483" s="5" t="s">
        <v>496</v>
      </c>
      <c r="AC483" s="5" t="s">
        <v>555</v>
      </c>
      <c r="AD483" s="11" t="s">
        <v>1405</v>
      </c>
      <c r="AE483" s="23" t="n">
        <v>0.9</v>
      </c>
      <c r="AF483" s="23" t="n">
        <v>0</v>
      </c>
      <c r="AG483" s="23" t="n">
        <v>0.33</v>
      </c>
      <c r="AH483" s="23" t="n">
        <v>0.87</v>
      </c>
      <c r="AI483" s="23" t="n">
        <v>1</v>
      </c>
      <c r="AJ483" s="23" t="n">
        <v>0.4732</v>
      </c>
      <c r="AK483" s="23" t="n">
        <v>1</v>
      </c>
      <c r="AL483" s="23" t="n">
        <v>1</v>
      </c>
      <c r="AM483" s="16" t="n">
        <f aca="false">COUNTIFS($D$2:$D$2501,D483,$G$2:$G$2501,"&gt;"&amp;G483)+COUNTIFS($D$2:D483,D483,$G$2:G483,G483)</f>
        <v>117</v>
      </c>
      <c r="AN483" s="5" t="str">
        <f aca="false">D483&amp;"|"&amp;AM483</f>
        <v>檢索與情資關聯|117</v>
      </c>
    </row>
    <row r="484" customFormat="false" ht="17.15" hidden="false" customHeight="false" outlineLevel="0" collapsed="false">
      <c r="A484" s="16" t="n">
        <f aca="false">RANK(G484,$G$2:$G$2501)+COUNTIF($G$2:G484,G484)-1</f>
        <v>483</v>
      </c>
      <c r="B484" s="11" t="s">
        <v>1406</v>
      </c>
      <c r="C484" s="11" t="s">
        <v>891</v>
      </c>
      <c r="D484" s="5" t="s">
        <v>56</v>
      </c>
      <c r="E484" s="5" t="s">
        <v>57</v>
      </c>
      <c r="F484" s="5"/>
      <c r="G484" s="22" t="n">
        <f aca="false">ROUND(SUM(I484:P484),3)</f>
        <v>69.706</v>
      </c>
      <c r="H484" s="5" t="str">
        <f aca="false">IF(G484&gt;=評分方法!$C$16,"優先評估",IF(G484&gt;=評分方法!$C$17,"列入候選",IF(G484&gt;=評分方法!$C$18,"特定情境","不建議")))</f>
        <v>特定情境</v>
      </c>
      <c r="I484" s="15" t="n">
        <f aca="false">AE484*評分方法!$C$5</f>
        <v>25.5</v>
      </c>
      <c r="J484" s="15" t="n">
        <f aca="false">AF484*評分方法!$C$6</f>
        <v>0</v>
      </c>
      <c r="K484" s="15" t="n">
        <f aca="false">AG484*評分方法!$C$7</f>
        <v>10.05</v>
      </c>
      <c r="L484" s="15" t="n">
        <f aca="false">AH484*評分方法!$C$8</f>
        <v>9</v>
      </c>
      <c r="M484" s="15" t="n">
        <f aca="false">AI484*評分方法!$C$9</f>
        <v>10</v>
      </c>
      <c r="N484" s="15" t="n">
        <f aca="false">AJ484*評分方法!$C$10</f>
        <v>7.156</v>
      </c>
      <c r="O484" s="15" t="n">
        <f aca="false">AK484*評分方法!$C$11</f>
        <v>5</v>
      </c>
      <c r="P484" s="15" t="n">
        <f aca="false">AL484*評分方法!$C$12</f>
        <v>3</v>
      </c>
      <c r="Q484" s="6" t="n">
        <v>980202</v>
      </c>
      <c r="R484" s="6" t="n">
        <v>25805936206</v>
      </c>
      <c r="S484" s="11" t="s">
        <v>389</v>
      </c>
      <c r="T484" s="11" t="s">
        <v>239</v>
      </c>
      <c r="U484" s="5" t="s">
        <v>240</v>
      </c>
      <c r="V484" s="11" t="s">
        <v>261</v>
      </c>
      <c r="W484" s="5" t="s">
        <v>207</v>
      </c>
      <c r="X484" s="5" t="s">
        <v>371</v>
      </c>
      <c r="Y484" s="11" t="s">
        <v>575</v>
      </c>
      <c r="Z484" s="11" t="s">
        <v>244</v>
      </c>
      <c r="AA484" s="11" t="s">
        <v>156</v>
      </c>
      <c r="AB484" s="5" t="s">
        <v>245</v>
      </c>
      <c r="AC484" s="5" t="s">
        <v>246</v>
      </c>
      <c r="AD484" s="11" t="s">
        <v>1407</v>
      </c>
      <c r="AE484" s="23" t="n">
        <v>0.85</v>
      </c>
      <c r="AF484" s="23" t="n">
        <v>0</v>
      </c>
      <c r="AG484" s="23" t="n">
        <v>0.67</v>
      </c>
      <c r="AH484" s="23" t="n">
        <v>0.6</v>
      </c>
      <c r="AI484" s="23" t="n">
        <v>1</v>
      </c>
      <c r="AJ484" s="23" t="n">
        <v>0.7156</v>
      </c>
      <c r="AK484" s="23" t="n">
        <v>1</v>
      </c>
      <c r="AL484" s="23" t="n">
        <v>0.6</v>
      </c>
      <c r="AM484" s="16" t="n">
        <f aca="false">COUNTIFS($D$2:$D$2501,D484,$G$2:$G$2501,"&gt;"&amp;G484)+COUNTIFS($D$2:D484,D484,$G$2:G484,G484)</f>
        <v>257</v>
      </c>
      <c r="AN484" s="5" t="str">
        <f aca="false">D484&amp;"|"&amp;AM484</f>
        <v>分析與報告生成|257</v>
      </c>
    </row>
    <row r="485" customFormat="false" ht="17.15" hidden="false" customHeight="false" outlineLevel="0" collapsed="false">
      <c r="A485" s="16" t="n">
        <f aca="false">RANK(G485,$G$2:$G$2501)+COUNTIF($G$2:G485,G485)-1</f>
        <v>484</v>
      </c>
      <c r="B485" s="11" t="s">
        <v>1408</v>
      </c>
      <c r="C485" s="11" t="s">
        <v>461</v>
      </c>
      <c r="D485" s="5" t="s">
        <v>56</v>
      </c>
      <c r="E485" s="5" t="s">
        <v>57</v>
      </c>
      <c r="F485" s="5"/>
      <c r="G485" s="22" t="n">
        <f aca="false">ROUND(SUM(I485:P485),3)</f>
        <v>69.692</v>
      </c>
      <c r="H485" s="5" t="str">
        <f aca="false">IF(G485&gt;=評分方法!$C$16,"優先評估",IF(G485&gt;=評分方法!$C$17,"列入候選",IF(G485&gt;=評分方法!$C$18,"特定情境","不建議")))</f>
        <v>特定情境</v>
      </c>
      <c r="I485" s="15" t="n">
        <f aca="false">AE485*評分方法!$C$5</f>
        <v>25.5</v>
      </c>
      <c r="J485" s="15" t="n">
        <f aca="false">AF485*評分方法!$C$6</f>
        <v>0</v>
      </c>
      <c r="K485" s="15" t="n">
        <f aca="false">AG485*評分方法!$C$7</f>
        <v>15</v>
      </c>
      <c r="L485" s="15" t="n">
        <f aca="false">AH485*評分方法!$C$8</f>
        <v>15</v>
      </c>
      <c r="M485" s="15" t="n">
        <f aca="false">AI485*評分方法!$C$9</f>
        <v>6</v>
      </c>
      <c r="N485" s="15" t="n">
        <f aca="false">AJ485*評分方法!$C$10</f>
        <v>0.192</v>
      </c>
      <c r="O485" s="15" t="n">
        <f aca="false">AK485*評分方法!$C$11</f>
        <v>5</v>
      </c>
      <c r="P485" s="15" t="n">
        <f aca="false">AL485*評分方法!$C$12</f>
        <v>3</v>
      </c>
      <c r="Q485" s="6" t="n">
        <v>121426</v>
      </c>
      <c r="R485" s="6" t="n">
        <v>327707521</v>
      </c>
      <c r="S485" s="11" t="s">
        <v>238</v>
      </c>
      <c r="T485" s="11" t="s">
        <v>185</v>
      </c>
      <c r="U485" s="5" t="s">
        <v>260</v>
      </c>
      <c r="V485" s="11" t="s">
        <v>333</v>
      </c>
      <c r="W485" s="5" t="s">
        <v>205</v>
      </c>
      <c r="X485" s="5" t="s">
        <v>371</v>
      </c>
      <c r="Y485" s="11" t="s">
        <v>1409</v>
      </c>
      <c r="Z485" s="11" t="s">
        <v>244</v>
      </c>
      <c r="AA485" s="11" t="s">
        <v>155</v>
      </c>
      <c r="AB485" s="5" t="s">
        <v>245</v>
      </c>
      <c r="AC485" s="5" t="s">
        <v>464</v>
      </c>
      <c r="AD485" s="11" t="s">
        <v>1410</v>
      </c>
      <c r="AE485" s="23" t="n">
        <v>0.85</v>
      </c>
      <c r="AF485" s="23" t="n">
        <v>0</v>
      </c>
      <c r="AG485" s="23" t="n">
        <v>1</v>
      </c>
      <c r="AH485" s="23" t="n">
        <v>1</v>
      </c>
      <c r="AI485" s="23" t="n">
        <v>0.6</v>
      </c>
      <c r="AJ485" s="23" t="n">
        <v>0.0192</v>
      </c>
      <c r="AK485" s="23" t="n">
        <v>1</v>
      </c>
      <c r="AL485" s="23" t="n">
        <v>0.6</v>
      </c>
      <c r="AM485" s="16" t="n">
        <f aca="false">COUNTIFS($D$2:$D$2501,D485,$G$2:$G$2501,"&gt;"&amp;G485)+COUNTIFS($D$2:D485,D485,$G$2:G485,G485)</f>
        <v>258</v>
      </c>
      <c r="AN485" s="5" t="str">
        <f aca="false">D485&amp;"|"&amp;AM485</f>
        <v>分析與報告生成|258</v>
      </c>
    </row>
    <row r="486" customFormat="false" ht="17.15" hidden="false" customHeight="false" outlineLevel="0" collapsed="false">
      <c r="A486" s="16" t="n">
        <f aca="false">RANK(G486,$G$2:$G$2501)+COUNTIF($G$2:G486,G486)-1</f>
        <v>485</v>
      </c>
      <c r="B486" s="11" t="s">
        <v>1411</v>
      </c>
      <c r="C486" s="11" t="s">
        <v>989</v>
      </c>
      <c r="D486" s="5" t="s">
        <v>56</v>
      </c>
      <c r="E486" s="5" t="s">
        <v>57</v>
      </c>
      <c r="F486" s="5"/>
      <c r="G486" s="22" t="n">
        <f aca="false">ROUND(SUM(I486:P486),3)</f>
        <v>69.68</v>
      </c>
      <c r="H486" s="5" t="str">
        <f aca="false">IF(G486&gt;=評分方法!$C$16,"優先評估",IF(G486&gt;=評分方法!$C$17,"列入候選",IF(G486&gt;=評分方法!$C$18,"特定情境","不建議")))</f>
        <v>特定情境</v>
      </c>
      <c r="I486" s="15" t="n">
        <f aca="false">AE486*評分方法!$C$5</f>
        <v>25.5</v>
      </c>
      <c r="J486" s="15" t="n">
        <f aca="false">AF486*評分方法!$C$6</f>
        <v>0</v>
      </c>
      <c r="K486" s="15" t="n">
        <f aca="false">AG486*評分方法!$C$7</f>
        <v>10.05</v>
      </c>
      <c r="L486" s="15" t="n">
        <f aca="false">AH486*評分方法!$C$8</f>
        <v>13.05</v>
      </c>
      <c r="M486" s="15" t="n">
        <f aca="false">AI486*評分方法!$C$9</f>
        <v>10</v>
      </c>
      <c r="N486" s="15" t="n">
        <f aca="false">AJ486*評分方法!$C$10</f>
        <v>3.08</v>
      </c>
      <c r="O486" s="15" t="n">
        <f aca="false">AK486*評分方法!$C$11</f>
        <v>5</v>
      </c>
      <c r="P486" s="15" t="n">
        <f aca="false">AL486*評分方法!$C$12</f>
        <v>3</v>
      </c>
      <c r="Q486" s="6" t="n">
        <v>301045</v>
      </c>
      <c r="R486" s="6" t="n">
        <v>7518069290</v>
      </c>
      <c r="S486" s="11" t="s">
        <v>254</v>
      </c>
      <c r="T486" s="11" t="s">
        <v>239</v>
      </c>
      <c r="U486" s="5" t="s">
        <v>240</v>
      </c>
      <c r="V486" s="11" t="s">
        <v>333</v>
      </c>
      <c r="W486" s="5" t="s">
        <v>207</v>
      </c>
      <c r="X486" s="5" t="s">
        <v>371</v>
      </c>
      <c r="Y486" s="11" t="s">
        <v>422</v>
      </c>
      <c r="Z486" s="11" t="s">
        <v>244</v>
      </c>
      <c r="AA486" s="11" t="s">
        <v>156</v>
      </c>
      <c r="AB486" s="5" t="s">
        <v>245</v>
      </c>
      <c r="AC486" s="5" t="s">
        <v>246</v>
      </c>
      <c r="AD486" s="11" t="s">
        <v>1412</v>
      </c>
      <c r="AE486" s="23" t="n">
        <v>0.85</v>
      </c>
      <c r="AF486" s="23" t="n">
        <v>0</v>
      </c>
      <c r="AG486" s="23" t="n">
        <v>0.67</v>
      </c>
      <c r="AH486" s="23" t="n">
        <v>0.87</v>
      </c>
      <c r="AI486" s="23" t="n">
        <v>1</v>
      </c>
      <c r="AJ486" s="23" t="n">
        <v>0.308</v>
      </c>
      <c r="AK486" s="23" t="n">
        <v>1</v>
      </c>
      <c r="AL486" s="23" t="n">
        <v>0.6</v>
      </c>
      <c r="AM486" s="16" t="n">
        <f aca="false">COUNTIFS($D$2:$D$2501,D486,$G$2:$G$2501,"&gt;"&amp;G486)+COUNTIFS($D$2:D486,D486,$G$2:G486,G486)</f>
        <v>259</v>
      </c>
      <c r="AN486" s="5" t="str">
        <f aca="false">D486&amp;"|"&amp;AM486</f>
        <v>分析與報告生成|259</v>
      </c>
    </row>
    <row r="487" customFormat="false" ht="17.15" hidden="false" customHeight="false" outlineLevel="0" collapsed="false">
      <c r="A487" s="16" t="n">
        <f aca="false">RANK(G487,$G$2:$G$2501)+COUNTIF($G$2:G487,G487)-1</f>
        <v>486</v>
      </c>
      <c r="B487" s="11" t="s">
        <v>1413</v>
      </c>
      <c r="C487" s="11" t="s">
        <v>258</v>
      </c>
      <c r="D487" s="5" t="s">
        <v>56</v>
      </c>
      <c r="E487" s="5" t="s">
        <v>57</v>
      </c>
      <c r="F487" s="5"/>
      <c r="G487" s="22" t="n">
        <f aca="false">ROUND(SUM(I487:P487),3)</f>
        <v>69.67</v>
      </c>
      <c r="H487" s="5" t="str">
        <f aca="false">IF(G487&gt;=評分方法!$C$16,"優先評估",IF(G487&gt;=評分方法!$C$17,"列入候選",IF(G487&gt;=評分方法!$C$18,"特定情境","不建議")))</f>
        <v>特定情境</v>
      </c>
      <c r="I487" s="15" t="n">
        <f aca="false">AE487*評分方法!$C$5</f>
        <v>25.5</v>
      </c>
      <c r="J487" s="15" t="n">
        <f aca="false">AF487*評分方法!$C$6</f>
        <v>0</v>
      </c>
      <c r="K487" s="15" t="n">
        <f aca="false">AG487*評分方法!$C$7</f>
        <v>15</v>
      </c>
      <c r="L487" s="15" t="n">
        <f aca="false">AH487*評分方法!$C$8</f>
        <v>13.05</v>
      </c>
      <c r="M487" s="15" t="n">
        <f aca="false">AI487*評分方法!$C$9</f>
        <v>6</v>
      </c>
      <c r="N487" s="15" t="n">
        <f aca="false">AJ487*評分方法!$C$10</f>
        <v>9.12</v>
      </c>
      <c r="O487" s="15" t="n">
        <f aca="false">AK487*評分方法!$C$11</f>
        <v>1</v>
      </c>
      <c r="P487" s="15" t="n">
        <f aca="false">AL487*評分方法!$C$12</f>
        <v>0</v>
      </c>
      <c r="Q487" s="6" t="n">
        <v>4562824</v>
      </c>
      <c r="R487" s="6" t="n">
        <v>6738417664</v>
      </c>
      <c r="S487" s="11" t="s">
        <v>254</v>
      </c>
      <c r="T487" s="11" t="s">
        <v>1153</v>
      </c>
      <c r="U487" s="5" t="s">
        <v>260</v>
      </c>
      <c r="V487" s="11" t="s">
        <v>324</v>
      </c>
      <c r="W487" s="5" t="s">
        <v>205</v>
      </c>
      <c r="X487" s="5" t="s">
        <v>242</v>
      </c>
      <c r="Y487" s="5"/>
      <c r="Z487" s="5"/>
      <c r="AA487" s="11" t="s">
        <v>155</v>
      </c>
      <c r="AB487" s="5" t="s">
        <v>245</v>
      </c>
      <c r="AC487" s="5" t="s">
        <v>262</v>
      </c>
      <c r="AD487" s="11" t="s">
        <v>1414</v>
      </c>
      <c r="AE487" s="23" t="n">
        <v>0.85</v>
      </c>
      <c r="AF487" s="23" t="n">
        <v>0</v>
      </c>
      <c r="AG487" s="23" t="n">
        <v>1</v>
      </c>
      <c r="AH487" s="23" t="n">
        <v>0.87</v>
      </c>
      <c r="AI487" s="23" t="n">
        <v>0.6</v>
      </c>
      <c r="AJ487" s="23" t="n">
        <v>0.912</v>
      </c>
      <c r="AK487" s="23" t="n">
        <v>0.2</v>
      </c>
      <c r="AL487" s="23" t="n">
        <v>0</v>
      </c>
      <c r="AM487" s="16" t="n">
        <f aca="false">COUNTIFS($D$2:$D$2501,D487,$G$2:$G$2501,"&gt;"&amp;G487)+COUNTIFS($D$2:D487,D487,$G$2:G487,G487)</f>
        <v>260</v>
      </c>
      <c r="AN487" s="5" t="str">
        <f aca="false">D487&amp;"|"&amp;AM487</f>
        <v>分析與報告生成|260</v>
      </c>
    </row>
    <row r="488" customFormat="false" ht="17.15" hidden="false" customHeight="false" outlineLevel="0" collapsed="false">
      <c r="A488" s="16" t="n">
        <f aca="false">RANK(G488,$G$2:$G$2501)+COUNTIF($G$2:G488,G488)-1</f>
        <v>487</v>
      </c>
      <c r="B488" s="11" t="s">
        <v>1415</v>
      </c>
      <c r="C488" s="11" t="s">
        <v>753</v>
      </c>
      <c r="D488" s="5" t="s">
        <v>56</v>
      </c>
      <c r="E488" s="5" t="s">
        <v>57</v>
      </c>
      <c r="F488" s="5"/>
      <c r="G488" s="22" t="n">
        <f aca="false">ROUND(SUM(I488:P488),3)</f>
        <v>69.66</v>
      </c>
      <c r="H488" s="5" t="str">
        <f aca="false">IF(G488&gt;=評分方法!$C$16,"優先評估",IF(G488&gt;=評分方法!$C$17,"列入候選",IF(G488&gt;=評分方法!$C$18,"特定情境","不建議")))</f>
        <v>特定情境</v>
      </c>
      <c r="I488" s="15" t="n">
        <f aca="false">AE488*評分方法!$C$5</f>
        <v>25.5</v>
      </c>
      <c r="J488" s="15" t="n">
        <f aca="false">AF488*評分方法!$C$6</f>
        <v>0</v>
      </c>
      <c r="K488" s="15" t="n">
        <f aca="false">AG488*評分方法!$C$7</f>
        <v>10.05</v>
      </c>
      <c r="L488" s="15" t="n">
        <f aca="false">AH488*評分方法!$C$8</f>
        <v>13.05</v>
      </c>
      <c r="M488" s="15" t="n">
        <f aca="false">AI488*評分方法!$C$9</f>
        <v>10</v>
      </c>
      <c r="N488" s="15" t="n">
        <f aca="false">AJ488*評分方法!$C$10</f>
        <v>8.56</v>
      </c>
      <c r="O488" s="15" t="n">
        <f aca="false">AK488*評分方法!$C$11</f>
        <v>2.5</v>
      </c>
      <c r="P488" s="15" t="n">
        <f aca="false">AL488*評分方法!$C$12</f>
        <v>0</v>
      </c>
      <c r="Q488" s="6" t="n">
        <v>2397423</v>
      </c>
      <c r="R488" s="6" t="n">
        <v>7466691914</v>
      </c>
      <c r="S488" s="11" t="s">
        <v>254</v>
      </c>
      <c r="T488" s="11" t="s">
        <v>239</v>
      </c>
      <c r="U488" s="5" t="s">
        <v>240</v>
      </c>
      <c r="V488" s="11" t="s">
        <v>261</v>
      </c>
      <c r="W488" s="5" t="s">
        <v>207</v>
      </c>
      <c r="X488" s="5" t="s">
        <v>242</v>
      </c>
      <c r="Y488" s="11" t="s">
        <v>409</v>
      </c>
      <c r="Z488" s="11" t="s">
        <v>244</v>
      </c>
      <c r="AA488" s="11" t="s">
        <v>155</v>
      </c>
      <c r="AB488" s="5" t="s">
        <v>245</v>
      </c>
      <c r="AC488" s="5" t="s">
        <v>246</v>
      </c>
      <c r="AD488" s="11" t="s">
        <v>1416</v>
      </c>
      <c r="AE488" s="23" t="n">
        <v>0.85</v>
      </c>
      <c r="AF488" s="23" t="n">
        <v>0</v>
      </c>
      <c r="AG488" s="23" t="n">
        <v>0.67</v>
      </c>
      <c r="AH488" s="23" t="n">
        <v>0.87</v>
      </c>
      <c r="AI488" s="23" t="n">
        <v>1</v>
      </c>
      <c r="AJ488" s="23" t="n">
        <v>0.856</v>
      </c>
      <c r="AK488" s="23" t="n">
        <v>0.5</v>
      </c>
      <c r="AL488" s="23" t="n">
        <v>0</v>
      </c>
      <c r="AM488" s="16" t="n">
        <f aca="false">COUNTIFS($D$2:$D$2501,D488,$G$2:$G$2501,"&gt;"&amp;G488)+COUNTIFS($D$2:D488,D488,$G$2:G488,G488)</f>
        <v>261</v>
      </c>
      <c r="AN488" s="5" t="str">
        <f aca="false">D488&amp;"|"&amp;AM488</f>
        <v>分析與報告生成|261</v>
      </c>
    </row>
    <row r="489" customFormat="false" ht="17.15" hidden="false" customHeight="false" outlineLevel="0" collapsed="false">
      <c r="A489" s="16" t="n">
        <f aca="false">RANK(G489,$G$2:$G$2501)+COUNTIF($G$2:G489,G489)-1</f>
        <v>488</v>
      </c>
      <c r="B489" s="11" t="s">
        <v>1417</v>
      </c>
      <c r="C489" s="11" t="s">
        <v>839</v>
      </c>
      <c r="D489" s="5" t="s">
        <v>56</v>
      </c>
      <c r="E489" s="5" t="s">
        <v>57</v>
      </c>
      <c r="F489" s="5"/>
      <c r="G489" s="22" t="n">
        <f aca="false">ROUND(SUM(I489:P489),3)</f>
        <v>69.626</v>
      </c>
      <c r="H489" s="5" t="str">
        <f aca="false">IF(G489&gt;=評分方法!$C$16,"優先評估",IF(G489&gt;=評分方法!$C$17,"列入候選",IF(G489&gt;=評分方法!$C$18,"特定情境","不建議")))</f>
        <v>特定情境</v>
      </c>
      <c r="I489" s="15" t="n">
        <f aca="false">AE489*評分方法!$C$5</f>
        <v>25.5</v>
      </c>
      <c r="J489" s="15" t="n">
        <f aca="false">AF489*評分方法!$C$6</f>
        <v>0</v>
      </c>
      <c r="K489" s="15" t="n">
        <f aca="false">AG489*評分方法!$C$7</f>
        <v>15</v>
      </c>
      <c r="L489" s="15" t="n">
        <f aca="false">AH489*評分方法!$C$8</f>
        <v>13.05</v>
      </c>
      <c r="M489" s="15" t="n">
        <f aca="false">AI489*評分方法!$C$9</f>
        <v>10</v>
      </c>
      <c r="N489" s="15" t="n">
        <f aca="false">AJ489*評分方法!$C$10</f>
        <v>3.576</v>
      </c>
      <c r="O489" s="15" t="n">
        <f aca="false">AK489*評分方法!$C$11</f>
        <v>2.5</v>
      </c>
      <c r="P489" s="15" t="n">
        <f aca="false">AL489*評分方法!$C$12</f>
        <v>0</v>
      </c>
      <c r="Q489" s="6" t="n">
        <v>361659</v>
      </c>
      <c r="R489" s="6" t="n">
        <v>7752869376</v>
      </c>
      <c r="S489" s="11" t="s">
        <v>254</v>
      </c>
      <c r="T489" s="11" t="s">
        <v>278</v>
      </c>
      <c r="U489" s="5" t="s">
        <v>240</v>
      </c>
      <c r="V489" s="11" t="s">
        <v>324</v>
      </c>
      <c r="W489" s="5" t="s">
        <v>205</v>
      </c>
      <c r="X489" s="5" t="s">
        <v>242</v>
      </c>
      <c r="Y489" s="5"/>
      <c r="Z489" s="5"/>
      <c r="AA489" s="11" t="s">
        <v>156</v>
      </c>
      <c r="AB489" s="5" t="s">
        <v>245</v>
      </c>
      <c r="AC489" s="5"/>
      <c r="AD489" s="11" t="s">
        <v>1418</v>
      </c>
      <c r="AE489" s="23" t="n">
        <v>0.85</v>
      </c>
      <c r="AF489" s="23" t="n">
        <v>0</v>
      </c>
      <c r="AG489" s="23" t="n">
        <v>1</v>
      </c>
      <c r="AH489" s="23" t="n">
        <v>0.87</v>
      </c>
      <c r="AI489" s="23" t="n">
        <v>1</v>
      </c>
      <c r="AJ489" s="23" t="n">
        <v>0.3576</v>
      </c>
      <c r="AK489" s="23" t="n">
        <v>0.5</v>
      </c>
      <c r="AL489" s="23" t="n">
        <v>0</v>
      </c>
      <c r="AM489" s="16" t="n">
        <f aca="false">COUNTIFS($D$2:$D$2501,D489,$G$2:$G$2501,"&gt;"&amp;G489)+COUNTIFS($D$2:D489,D489,$G$2:G489,G489)</f>
        <v>262</v>
      </c>
      <c r="AN489" s="5" t="str">
        <f aca="false">D489&amp;"|"&amp;AM489</f>
        <v>分析與報告生成|262</v>
      </c>
    </row>
    <row r="490" customFormat="false" ht="17.15" hidden="false" customHeight="false" outlineLevel="0" collapsed="false">
      <c r="A490" s="16" t="n">
        <f aca="false">RANK(G490,$G$2:$G$2501)+COUNTIF($G$2:G490,G490)-1</f>
        <v>489</v>
      </c>
      <c r="B490" s="11" t="s">
        <v>1419</v>
      </c>
      <c r="C490" s="11" t="s">
        <v>1202</v>
      </c>
      <c r="D490" s="5" t="s">
        <v>54</v>
      </c>
      <c r="E490" s="5" t="s">
        <v>55</v>
      </c>
      <c r="F490" s="5"/>
      <c r="G490" s="22" t="n">
        <f aca="false">ROUND(SUM(I490:P490),3)</f>
        <v>69.614</v>
      </c>
      <c r="H490" s="5" t="str">
        <f aca="false">IF(G490&gt;=評分方法!$C$16,"優先評估",IF(G490&gt;=評分方法!$C$17,"列入候選",IF(G490&gt;=評分方法!$C$18,"特定情境","不建議")))</f>
        <v>特定情境</v>
      </c>
      <c r="I490" s="15" t="n">
        <f aca="false">AE490*評分方法!$C$5</f>
        <v>27</v>
      </c>
      <c r="J490" s="15" t="n">
        <f aca="false">AF490*評分方法!$C$6</f>
        <v>0</v>
      </c>
      <c r="K490" s="15" t="n">
        <f aca="false">AG490*評分方法!$C$7</f>
        <v>4.95</v>
      </c>
      <c r="L490" s="15" t="n">
        <f aca="false">AH490*評分方法!$C$8</f>
        <v>15</v>
      </c>
      <c r="M490" s="15" t="n">
        <f aca="false">AI490*評分方法!$C$9</f>
        <v>10</v>
      </c>
      <c r="N490" s="15" t="n">
        <f aca="false">AJ490*評分方法!$C$10</f>
        <v>7.164</v>
      </c>
      <c r="O490" s="15" t="n">
        <f aca="false">AK490*評分方法!$C$11</f>
        <v>4</v>
      </c>
      <c r="P490" s="15" t="n">
        <f aca="false">AL490*評分方法!$C$12</f>
        <v>1.5</v>
      </c>
      <c r="Q490" s="6" t="n">
        <v>983596</v>
      </c>
      <c r="R490" s="6" t="n">
        <v>3779584</v>
      </c>
      <c r="S490" s="11" t="s">
        <v>238</v>
      </c>
      <c r="T490" s="11" t="s">
        <v>278</v>
      </c>
      <c r="U490" s="5" t="s">
        <v>240</v>
      </c>
      <c r="V490" s="11" t="s">
        <v>241</v>
      </c>
      <c r="W490" s="5" t="s">
        <v>334</v>
      </c>
      <c r="X490" s="5" t="s">
        <v>255</v>
      </c>
      <c r="Y490" s="5"/>
      <c r="Z490" s="5"/>
      <c r="AA490" s="11" t="s">
        <v>152</v>
      </c>
      <c r="AB490" s="5" t="s">
        <v>961</v>
      </c>
      <c r="AC490" s="5" t="s">
        <v>1203</v>
      </c>
      <c r="AD490" s="11" t="s">
        <v>1420</v>
      </c>
      <c r="AE490" s="23" t="n">
        <v>0.9</v>
      </c>
      <c r="AF490" s="23" t="n">
        <v>0</v>
      </c>
      <c r="AG490" s="23" t="n">
        <v>0.33</v>
      </c>
      <c r="AH490" s="23" t="n">
        <v>1</v>
      </c>
      <c r="AI490" s="23" t="n">
        <v>1</v>
      </c>
      <c r="AJ490" s="23" t="n">
        <v>0.7164</v>
      </c>
      <c r="AK490" s="23" t="n">
        <v>0.8</v>
      </c>
      <c r="AL490" s="23" t="n">
        <v>0.3</v>
      </c>
      <c r="AM490" s="16" t="n">
        <f aca="false">COUNTIFS($D$2:$D$2501,D490,$G$2:$G$2501,"&gt;"&amp;G490)+COUNTIFS($D$2:D490,D490,$G$2:G490,G490)</f>
        <v>118</v>
      </c>
      <c r="AN490" s="5" t="str">
        <f aca="false">D490&amp;"|"&amp;AM490</f>
        <v>檢索與情資關聯|118</v>
      </c>
    </row>
    <row r="491" customFormat="false" ht="17.15" hidden="false" customHeight="false" outlineLevel="0" collapsed="false">
      <c r="A491" s="16" t="n">
        <f aca="false">RANK(G491,$G$2:$G$2501)+COUNTIF($G$2:G491,G491)-1</f>
        <v>490</v>
      </c>
      <c r="B491" s="11" t="s">
        <v>1421</v>
      </c>
      <c r="C491" s="11" t="s">
        <v>323</v>
      </c>
      <c r="D491" s="5" t="s">
        <v>56</v>
      </c>
      <c r="E491" s="5" t="s">
        <v>57</v>
      </c>
      <c r="F491" s="5"/>
      <c r="G491" s="22" t="n">
        <f aca="false">ROUND(SUM(I491:P491),3)</f>
        <v>69.61</v>
      </c>
      <c r="H491" s="5" t="str">
        <f aca="false">IF(G491&gt;=評分方法!$C$16,"優先評估",IF(G491&gt;=評分方法!$C$17,"列入候選",IF(G491&gt;=評分方法!$C$18,"特定情境","不建議")))</f>
        <v>特定情境</v>
      </c>
      <c r="I491" s="15" t="n">
        <f aca="false">AE491*評分方法!$C$5</f>
        <v>25.5</v>
      </c>
      <c r="J491" s="15" t="n">
        <f aca="false">AF491*評分方法!$C$6</f>
        <v>0</v>
      </c>
      <c r="K491" s="15" t="n">
        <f aca="false">AG491*評分方法!$C$7</f>
        <v>15</v>
      </c>
      <c r="L491" s="15" t="n">
        <f aca="false">AH491*評分方法!$C$8</f>
        <v>13.05</v>
      </c>
      <c r="M491" s="15" t="n">
        <f aca="false">AI491*評分方法!$C$9</f>
        <v>10</v>
      </c>
      <c r="N491" s="15" t="n">
        <f aca="false">AJ491*評分方法!$C$10</f>
        <v>3.56</v>
      </c>
      <c r="O491" s="15" t="n">
        <f aca="false">AK491*評分方法!$C$11</f>
        <v>2.5</v>
      </c>
      <c r="P491" s="15" t="n">
        <f aca="false">AL491*評分方法!$C$12</f>
        <v>0</v>
      </c>
      <c r="Q491" s="6" t="n">
        <v>357353</v>
      </c>
      <c r="R491" s="6" t="n">
        <v>1484916736</v>
      </c>
      <c r="S491" s="11" t="s">
        <v>254</v>
      </c>
      <c r="T491" s="11" t="s">
        <v>239</v>
      </c>
      <c r="U491" s="5" t="s">
        <v>240</v>
      </c>
      <c r="V491" s="11" t="s">
        <v>261</v>
      </c>
      <c r="W491" s="5" t="s">
        <v>205</v>
      </c>
      <c r="X491" s="5" t="s">
        <v>242</v>
      </c>
      <c r="Y491" s="11" t="s">
        <v>1422</v>
      </c>
      <c r="Z491" s="11" t="s">
        <v>270</v>
      </c>
      <c r="AA491" s="11" t="s">
        <v>155</v>
      </c>
      <c r="AB491" s="5" t="s">
        <v>245</v>
      </c>
      <c r="AC491" s="5"/>
      <c r="AD491" s="11" t="s">
        <v>1423</v>
      </c>
      <c r="AE491" s="23" t="n">
        <v>0.85</v>
      </c>
      <c r="AF491" s="23" t="n">
        <v>0</v>
      </c>
      <c r="AG491" s="23" t="n">
        <v>1</v>
      </c>
      <c r="AH491" s="23" t="n">
        <v>0.87</v>
      </c>
      <c r="AI491" s="23" t="n">
        <v>1</v>
      </c>
      <c r="AJ491" s="23" t="n">
        <v>0.356</v>
      </c>
      <c r="AK491" s="23" t="n">
        <v>0.5</v>
      </c>
      <c r="AL491" s="23" t="n">
        <v>0</v>
      </c>
      <c r="AM491" s="16" t="n">
        <f aca="false">COUNTIFS($D$2:$D$2501,D491,$G$2:$G$2501,"&gt;"&amp;G491)+COUNTIFS($D$2:D491,D491,$G$2:G491,G491)</f>
        <v>263</v>
      </c>
      <c r="AN491" s="5" t="str">
        <f aca="false">D491&amp;"|"&amp;AM491</f>
        <v>分析與報告生成|263</v>
      </c>
    </row>
    <row r="492" customFormat="false" ht="17.15" hidden="false" customHeight="false" outlineLevel="0" collapsed="false">
      <c r="A492" s="16" t="n">
        <f aca="false">RANK(G492,$G$2:$G$2501)+COUNTIF($G$2:G492,G492)-1</f>
        <v>491</v>
      </c>
      <c r="B492" s="11" t="s">
        <v>1424</v>
      </c>
      <c r="C492" s="11" t="s">
        <v>1425</v>
      </c>
      <c r="D492" s="5" t="s">
        <v>54</v>
      </c>
      <c r="E492" s="5" t="s">
        <v>55</v>
      </c>
      <c r="F492" s="5"/>
      <c r="G492" s="22" t="n">
        <f aca="false">ROUND(SUM(I492:P492),3)</f>
        <v>69.602</v>
      </c>
      <c r="H492" s="5" t="str">
        <f aca="false">IF(G492&gt;=評分方法!$C$16,"優先評估",IF(G492&gt;=評分方法!$C$17,"列入候選",IF(G492&gt;=評分方法!$C$18,"特定情境","不建議")))</f>
        <v>特定情境</v>
      </c>
      <c r="I492" s="15" t="n">
        <f aca="false">AE492*評分方法!$C$5</f>
        <v>27</v>
      </c>
      <c r="J492" s="15" t="n">
        <f aca="false">AF492*評分方法!$C$6</f>
        <v>0</v>
      </c>
      <c r="K492" s="15" t="n">
        <f aca="false">AG492*評分方法!$C$7</f>
        <v>4.95</v>
      </c>
      <c r="L492" s="15" t="n">
        <f aca="false">AH492*評分方法!$C$8</f>
        <v>15</v>
      </c>
      <c r="M492" s="15" t="n">
        <f aca="false">AI492*評分方法!$C$9</f>
        <v>10</v>
      </c>
      <c r="N492" s="15" t="n">
        <f aca="false">AJ492*評分方法!$C$10</f>
        <v>6.652</v>
      </c>
      <c r="O492" s="15" t="n">
        <f aca="false">AK492*評分方法!$C$11</f>
        <v>1</v>
      </c>
      <c r="P492" s="15" t="n">
        <f aca="false">AL492*評分方法!$C$12</f>
        <v>5</v>
      </c>
      <c r="Q492" s="6" t="n">
        <v>798340</v>
      </c>
      <c r="R492" s="6" t="n">
        <v>470927360</v>
      </c>
      <c r="S492" s="11" t="s">
        <v>238</v>
      </c>
      <c r="T492" s="11" t="s">
        <v>239</v>
      </c>
      <c r="U492" s="5" t="s">
        <v>240</v>
      </c>
      <c r="V492" s="11" t="s">
        <v>279</v>
      </c>
      <c r="W492" s="5" t="s">
        <v>334</v>
      </c>
      <c r="X492" s="5" t="s">
        <v>284</v>
      </c>
      <c r="Y492" s="5"/>
      <c r="Z492" s="5"/>
      <c r="AA492" s="11" t="s">
        <v>152</v>
      </c>
      <c r="AB492" s="5" t="s">
        <v>245</v>
      </c>
      <c r="AC492" s="5"/>
      <c r="AD492" s="11" t="s">
        <v>1426</v>
      </c>
      <c r="AE492" s="23" t="n">
        <v>0.9</v>
      </c>
      <c r="AF492" s="23" t="n">
        <v>0</v>
      </c>
      <c r="AG492" s="23" t="n">
        <v>0.33</v>
      </c>
      <c r="AH492" s="23" t="n">
        <v>1</v>
      </c>
      <c r="AI492" s="23" t="n">
        <v>1</v>
      </c>
      <c r="AJ492" s="23" t="n">
        <v>0.6652</v>
      </c>
      <c r="AK492" s="23" t="n">
        <v>0.2</v>
      </c>
      <c r="AL492" s="23" t="n">
        <v>1</v>
      </c>
      <c r="AM492" s="16" t="n">
        <f aca="false">COUNTIFS($D$2:$D$2501,D492,$G$2:$G$2501,"&gt;"&amp;G492)+COUNTIFS($D$2:D492,D492,$G$2:G492,G492)</f>
        <v>119</v>
      </c>
      <c r="AN492" s="5" t="str">
        <f aca="false">D492&amp;"|"&amp;AM492</f>
        <v>檢索與情資關聯|119</v>
      </c>
    </row>
    <row r="493" customFormat="false" ht="17.15" hidden="false" customHeight="false" outlineLevel="0" collapsed="false">
      <c r="A493" s="16" t="n">
        <f aca="false">RANK(G493,$G$2:$G$2501)+COUNTIF($G$2:G493,G493)-1</f>
        <v>492</v>
      </c>
      <c r="B493" s="11" t="s">
        <v>1427</v>
      </c>
      <c r="C493" s="11" t="s">
        <v>1428</v>
      </c>
      <c r="D493" s="5" t="s">
        <v>58</v>
      </c>
      <c r="E493" s="5" t="s">
        <v>59</v>
      </c>
      <c r="F493" s="5"/>
      <c r="G493" s="22" t="n">
        <f aca="false">ROUND(SUM(I493:P493),3)</f>
        <v>69.59</v>
      </c>
      <c r="H493" s="5" t="str">
        <f aca="false">IF(G493&gt;=評分方法!$C$16,"優先評估",IF(G493&gt;=評分方法!$C$17,"列入候選",IF(G493&gt;=評分方法!$C$18,"特定情境","不建議")))</f>
        <v>特定情境</v>
      </c>
      <c r="I493" s="15" t="n">
        <f aca="false">AE493*評分方法!$C$5</f>
        <v>28.5</v>
      </c>
      <c r="J493" s="15" t="n">
        <f aca="false">AF493*評分方法!$C$6</f>
        <v>0</v>
      </c>
      <c r="K493" s="15" t="n">
        <f aca="false">AG493*評分方法!$C$7</f>
        <v>4.95</v>
      </c>
      <c r="L493" s="15" t="n">
        <f aca="false">AH493*評分方法!$C$8</f>
        <v>15</v>
      </c>
      <c r="M493" s="15" t="n">
        <f aca="false">AI493*評分方法!$C$9</f>
        <v>10</v>
      </c>
      <c r="N493" s="15" t="n">
        <f aca="false">AJ493*評分方法!$C$10</f>
        <v>8.64</v>
      </c>
      <c r="O493" s="15" t="n">
        <f aca="false">AK493*評分方法!$C$11</f>
        <v>2.5</v>
      </c>
      <c r="P493" s="15" t="n">
        <f aca="false">AL493*評分方法!$C$12</f>
        <v>0</v>
      </c>
      <c r="Q493" s="6" t="n">
        <v>2608973</v>
      </c>
      <c r="R493" s="6" t="n">
        <v>354356783</v>
      </c>
      <c r="S493" s="11" t="s">
        <v>238</v>
      </c>
      <c r="T493" s="11" t="s">
        <v>278</v>
      </c>
      <c r="U493" s="5" t="s">
        <v>240</v>
      </c>
      <c r="V493" s="11" t="s">
        <v>324</v>
      </c>
      <c r="W493" s="5" t="s">
        <v>334</v>
      </c>
      <c r="X493" s="5" t="s">
        <v>242</v>
      </c>
      <c r="Y493" s="5"/>
      <c r="Z493" s="5"/>
      <c r="AA493" s="11" t="s">
        <v>150</v>
      </c>
      <c r="AB493" s="5" t="s">
        <v>245</v>
      </c>
      <c r="AC493" s="5"/>
      <c r="AD493" s="11" t="s">
        <v>1429</v>
      </c>
      <c r="AE493" s="23" t="n">
        <v>0.95</v>
      </c>
      <c r="AF493" s="23" t="n">
        <v>0</v>
      </c>
      <c r="AG493" s="23" t="n">
        <v>0.33</v>
      </c>
      <c r="AH493" s="23" t="n">
        <v>1</v>
      </c>
      <c r="AI493" s="23" t="n">
        <v>1</v>
      </c>
      <c r="AJ493" s="23" t="n">
        <v>0.864</v>
      </c>
      <c r="AK493" s="23" t="n">
        <v>0.5</v>
      </c>
      <c r="AL493" s="23" t="n">
        <v>0</v>
      </c>
      <c r="AM493" s="16" t="n">
        <f aca="false">COUNTIFS($D$2:$D$2501,D493,$G$2:$G$2501,"&gt;"&amp;G493)+COUNTIFS($D$2:D493,D493,$G$2:G493,G493)</f>
        <v>19</v>
      </c>
      <c r="AN493" s="5" t="str">
        <f aca="false">D493&amp;"|"&amp;AM493</f>
        <v>實體擷取與去識別化|19</v>
      </c>
    </row>
    <row r="494" customFormat="false" ht="17.15" hidden="false" customHeight="false" outlineLevel="0" collapsed="false">
      <c r="A494" s="16" t="n">
        <f aca="false">RANK(G494,$G$2:$G$2501)+COUNTIF($G$2:G494,G494)-1</f>
        <v>493</v>
      </c>
      <c r="B494" s="11" t="s">
        <v>1430</v>
      </c>
      <c r="C494" s="11" t="s">
        <v>1021</v>
      </c>
      <c r="D494" s="5" t="s">
        <v>58</v>
      </c>
      <c r="E494" s="5" t="s">
        <v>59</v>
      </c>
      <c r="F494" s="5"/>
      <c r="G494" s="22" t="n">
        <f aca="false">ROUND(SUM(I494:P494),3)</f>
        <v>69.566</v>
      </c>
      <c r="H494" s="5" t="str">
        <f aca="false">IF(G494&gt;=評分方法!$C$16,"優先評估",IF(G494&gt;=評分方法!$C$17,"列入候選",IF(G494&gt;=評分方法!$C$18,"特定情境","不建議")))</f>
        <v>特定情境</v>
      </c>
      <c r="I494" s="15" t="n">
        <f aca="false">AE494*評分方法!$C$5</f>
        <v>28.5</v>
      </c>
      <c r="J494" s="15" t="n">
        <f aca="false">AF494*評分方法!$C$6</f>
        <v>0</v>
      </c>
      <c r="K494" s="15" t="n">
        <f aca="false">AG494*評分方法!$C$7</f>
        <v>4.95</v>
      </c>
      <c r="L494" s="15" t="n">
        <f aca="false">AH494*評分方法!$C$8</f>
        <v>15</v>
      </c>
      <c r="M494" s="15" t="n">
        <f aca="false">AI494*評分方法!$C$9</f>
        <v>10</v>
      </c>
      <c r="N494" s="15" t="n">
        <f aca="false">AJ494*評分方法!$C$10</f>
        <v>5.116</v>
      </c>
      <c r="O494" s="15" t="n">
        <f aca="false">AK494*評分方法!$C$11</f>
        <v>1</v>
      </c>
      <c r="P494" s="15" t="n">
        <f aca="false">AL494*評分方法!$C$12</f>
        <v>5</v>
      </c>
      <c r="Q494" s="6" t="n">
        <v>547401</v>
      </c>
      <c r="R494" s="6" t="n">
        <v>277458184</v>
      </c>
      <c r="S494" s="11" t="s">
        <v>238</v>
      </c>
      <c r="T494" s="11" t="s">
        <v>278</v>
      </c>
      <c r="U494" s="5" t="s">
        <v>240</v>
      </c>
      <c r="V494" s="11" t="s">
        <v>324</v>
      </c>
      <c r="W494" s="5" t="s">
        <v>334</v>
      </c>
      <c r="X494" s="5" t="s">
        <v>284</v>
      </c>
      <c r="Y494" s="5"/>
      <c r="Z494" s="5"/>
      <c r="AA494" s="11" t="s">
        <v>150</v>
      </c>
      <c r="AB494" s="5" t="s">
        <v>245</v>
      </c>
      <c r="AC494" s="5"/>
      <c r="AD494" s="11" t="s">
        <v>1431</v>
      </c>
      <c r="AE494" s="23" t="n">
        <v>0.95</v>
      </c>
      <c r="AF494" s="23" t="n">
        <v>0</v>
      </c>
      <c r="AG494" s="23" t="n">
        <v>0.33</v>
      </c>
      <c r="AH494" s="23" t="n">
        <v>1</v>
      </c>
      <c r="AI494" s="23" t="n">
        <v>1</v>
      </c>
      <c r="AJ494" s="23" t="n">
        <v>0.5116</v>
      </c>
      <c r="AK494" s="23" t="n">
        <v>0.2</v>
      </c>
      <c r="AL494" s="23" t="n">
        <v>1</v>
      </c>
      <c r="AM494" s="16" t="n">
        <f aca="false">COUNTIFS($D$2:$D$2501,D494,$G$2:$G$2501,"&gt;"&amp;G494)+COUNTIFS($D$2:D494,D494,$G$2:G494,G494)</f>
        <v>20</v>
      </c>
      <c r="AN494" s="5" t="str">
        <f aca="false">D494&amp;"|"&amp;AM494</f>
        <v>實體擷取與去識別化|20</v>
      </c>
    </row>
    <row r="495" customFormat="false" ht="17.15" hidden="false" customHeight="false" outlineLevel="0" collapsed="false">
      <c r="A495" s="16" t="n">
        <f aca="false">RANK(G495,$G$2:$G$2501)+COUNTIF($G$2:G495,G495)-1</f>
        <v>494</v>
      </c>
      <c r="B495" s="11" t="s">
        <v>1432</v>
      </c>
      <c r="C495" s="11" t="s">
        <v>338</v>
      </c>
      <c r="D495" s="5" t="s">
        <v>56</v>
      </c>
      <c r="E495" s="5" t="s">
        <v>57</v>
      </c>
      <c r="F495" s="5"/>
      <c r="G495" s="22" t="n">
        <f aca="false">ROUND(SUM(I495:P495),3)</f>
        <v>69.56</v>
      </c>
      <c r="H495" s="5" t="str">
        <f aca="false">IF(G495&gt;=評分方法!$C$16,"優先評估",IF(G495&gt;=評分方法!$C$17,"列入候選",IF(G495&gt;=評分方法!$C$18,"特定情境","不建議")))</f>
        <v>特定情境</v>
      </c>
      <c r="I495" s="15" t="n">
        <f aca="false">AE495*評分方法!$C$5</f>
        <v>25.5</v>
      </c>
      <c r="J495" s="15" t="n">
        <f aca="false">AF495*評分方法!$C$6</f>
        <v>0</v>
      </c>
      <c r="K495" s="15" t="n">
        <f aca="false">AG495*評分方法!$C$7</f>
        <v>15</v>
      </c>
      <c r="L495" s="15" t="n">
        <f aca="false">AH495*評分方法!$C$8</f>
        <v>9</v>
      </c>
      <c r="M495" s="15" t="n">
        <f aca="false">AI495*評分方法!$C$9</f>
        <v>10</v>
      </c>
      <c r="N495" s="15" t="n">
        <f aca="false">AJ495*評分方法!$C$10</f>
        <v>2.56</v>
      </c>
      <c r="O495" s="15" t="n">
        <f aca="false">AK495*評分方法!$C$11</f>
        <v>2.5</v>
      </c>
      <c r="P495" s="15" t="n">
        <f aca="false">AL495*評分方法!$C$12</f>
        <v>5</v>
      </c>
      <c r="Q495" s="6" t="n">
        <v>257047</v>
      </c>
      <c r="R495" s="6" t="n">
        <v>23572403200</v>
      </c>
      <c r="S495" s="11" t="s">
        <v>389</v>
      </c>
      <c r="T495" s="11" t="s">
        <v>239</v>
      </c>
      <c r="U495" s="5" t="s">
        <v>240</v>
      </c>
      <c r="V495" s="11" t="s">
        <v>261</v>
      </c>
      <c r="W495" s="5" t="s">
        <v>205</v>
      </c>
      <c r="X495" s="5" t="s">
        <v>284</v>
      </c>
      <c r="Y495" s="11" t="s">
        <v>665</v>
      </c>
      <c r="Z495" s="11" t="s">
        <v>270</v>
      </c>
      <c r="AA495" s="11" t="s">
        <v>155</v>
      </c>
      <c r="AB495" s="5" t="s">
        <v>328</v>
      </c>
      <c r="AC495" s="5" t="s">
        <v>400</v>
      </c>
      <c r="AD495" s="11" t="s">
        <v>1433</v>
      </c>
      <c r="AE495" s="23" t="n">
        <v>0.85</v>
      </c>
      <c r="AF495" s="23" t="n">
        <v>0</v>
      </c>
      <c r="AG495" s="23" t="n">
        <v>1</v>
      </c>
      <c r="AH495" s="23" t="n">
        <v>0.6</v>
      </c>
      <c r="AI495" s="23" t="n">
        <v>1</v>
      </c>
      <c r="AJ495" s="23" t="n">
        <v>0.256</v>
      </c>
      <c r="AK495" s="23" t="n">
        <v>0.5</v>
      </c>
      <c r="AL495" s="23" t="n">
        <v>1</v>
      </c>
      <c r="AM495" s="16" t="n">
        <f aca="false">COUNTIFS($D$2:$D$2501,D495,$G$2:$G$2501,"&gt;"&amp;G495)+COUNTIFS($D$2:D495,D495,$G$2:G495,G495)</f>
        <v>264</v>
      </c>
      <c r="AN495" s="5" t="str">
        <f aca="false">D495&amp;"|"&amp;AM495</f>
        <v>分析與報告生成|264</v>
      </c>
    </row>
    <row r="496" customFormat="false" ht="17.15" hidden="false" customHeight="false" outlineLevel="0" collapsed="false">
      <c r="A496" s="16" t="n">
        <f aca="false">RANK(G496,$G$2:$G$2501)+COUNTIF($G$2:G496,G496)-1</f>
        <v>495</v>
      </c>
      <c r="B496" s="11" t="s">
        <v>551</v>
      </c>
      <c r="C496" s="11" t="s">
        <v>461</v>
      </c>
      <c r="D496" s="5" t="s">
        <v>56</v>
      </c>
      <c r="E496" s="5" t="s">
        <v>57</v>
      </c>
      <c r="F496" s="5"/>
      <c r="G496" s="22" t="n">
        <f aca="false">ROUND(SUM(I496:P496),3)</f>
        <v>69.554</v>
      </c>
      <c r="H496" s="5" t="str">
        <f aca="false">IF(G496&gt;=評分方法!$C$16,"優先評估",IF(G496&gt;=評分方法!$C$17,"列入候選",IF(G496&gt;=評分方法!$C$18,"特定情境","不建議")))</f>
        <v>特定情境</v>
      </c>
      <c r="I496" s="15" t="n">
        <f aca="false">AE496*評分方法!$C$5</f>
        <v>25.5</v>
      </c>
      <c r="J496" s="15" t="n">
        <f aca="false">AF496*評分方法!$C$6</f>
        <v>0</v>
      </c>
      <c r="K496" s="15" t="n">
        <f aca="false">AG496*評分方法!$C$7</f>
        <v>15</v>
      </c>
      <c r="L496" s="15" t="n">
        <f aca="false">AH496*評分方法!$C$8</f>
        <v>13.05</v>
      </c>
      <c r="M496" s="15" t="n">
        <f aca="false">AI496*評分方法!$C$9</f>
        <v>6</v>
      </c>
      <c r="N496" s="15" t="n">
        <f aca="false">AJ496*評分方法!$C$10</f>
        <v>0.004</v>
      </c>
      <c r="O496" s="15" t="n">
        <f aca="false">AK496*評分方法!$C$11</f>
        <v>5</v>
      </c>
      <c r="P496" s="15" t="n">
        <f aca="false">AL496*評分方法!$C$12</f>
        <v>5</v>
      </c>
      <c r="Q496" s="6" t="n">
        <v>116845</v>
      </c>
      <c r="R496" s="6" t="n">
        <v>1170340608</v>
      </c>
      <c r="S496" s="11" t="s">
        <v>254</v>
      </c>
      <c r="T496" s="11" t="s">
        <v>185</v>
      </c>
      <c r="U496" s="5" t="s">
        <v>260</v>
      </c>
      <c r="V496" s="11" t="s">
        <v>261</v>
      </c>
      <c r="W496" s="5" t="s">
        <v>205</v>
      </c>
      <c r="X496" s="5" t="s">
        <v>284</v>
      </c>
      <c r="Y496" s="5"/>
      <c r="Z496" s="5"/>
      <c r="AA496" s="11" t="s">
        <v>155</v>
      </c>
      <c r="AB496" s="5" t="s">
        <v>245</v>
      </c>
      <c r="AC496" s="5" t="s">
        <v>262</v>
      </c>
      <c r="AD496" s="11" t="s">
        <v>1434</v>
      </c>
      <c r="AE496" s="23" t="n">
        <v>0.85</v>
      </c>
      <c r="AF496" s="23" t="n">
        <v>0</v>
      </c>
      <c r="AG496" s="23" t="n">
        <v>1</v>
      </c>
      <c r="AH496" s="23" t="n">
        <v>0.87</v>
      </c>
      <c r="AI496" s="23" t="n">
        <v>0.6</v>
      </c>
      <c r="AJ496" s="23" t="n">
        <v>0.0004</v>
      </c>
      <c r="AK496" s="23" t="n">
        <v>1</v>
      </c>
      <c r="AL496" s="23" t="n">
        <v>1</v>
      </c>
      <c r="AM496" s="16" t="n">
        <f aca="false">COUNTIFS($D$2:$D$2501,D496,$G$2:$G$2501,"&gt;"&amp;G496)+COUNTIFS($D$2:D496,D496,$G$2:G496,G496)</f>
        <v>265</v>
      </c>
      <c r="AN496" s="5" t="str">
        <f aca="false">D496&amp;"|"&amp;AM496</f>
        <v>分析與報告生成|265</v>
      </c>
    </row>
    <row r="497" customFormat="false" ht="17.15" hidden="false" customHeight="false" outlineLevel="0" collapsed="false">
      <c r="A497" s="16" t="n">
        <f aca="false">RANK(G497,$G$2:$G$2501)+COUNTIF($G$2:G497,G497)-1</f>
        <v>496</v>
      </c>
      <c r="B497" s="11" t="s">
        <v>1435</v>
      </c>
      <c r="C497" s="11" t="s">
        <v>891</v>
      </c>
      <c r="D497" s="5" t="s">
        <v>56</v>
      </c>
      <c r="E497" s="5" t="s">
        <v>57</v>
      </c>
      <c r="F497" s="5"/>
      <c r="G497" s="22" t="n">
        <f aca="false">ROUND(SUM(I497:P497),3)</f>
        <v>69.526</v>
      </c>
      <c r="H497" s="5" t="str">
        <f aca="false">IF(G497&gt;=評分方法!$C$16,"優先評估",IF(G497&gt;=評分方法!$C$17,"列入候選",IF(G497&gt;=評分方法!$C$18,"特定情境","不建議")))</f>
        <v>特定情境</v>
      </c>
      <c r="I497" s="15" t="n">
        <f aca="false">AE497*評分方法!$C$5</f>
        <v>24</v>
      </c>
      <c r="J497" s="15" t="n">
        <f aca="false">AF497*評分方法!$C$6</f>
        <v>0</v>
      </c>
      <c r="K497" s="15" t="n">
        <f aca="false">AG497*評分方法!$C$7</f>
        <v>10.05</v>
      </c>
      <c r="L497" s="15" t="n">
        <f aca="false">AH497*評分方法!$C$8</f>
        <v>9</v>
      </c>
      <c r="M497" s="15" t="n">
        <f aca="false">AI497*評分方法!$C$9</f>
        <v>10</v>
      </c>
      <c r="N497" s="15" t="n">
        <f aca="false">AJ497*評分方法!$C$10</f>
        <v>8.476</v>
      </c>
      <c r="O497" s="15" t="n">
        <f aca="false">AK497*評分方法!$C$11</f>
        <v>5</v>
      </c>
      <c r="P497" s="15" t="n">
        <f aca="false">AL497*評分方法!$C$12</f>
        <v>3</v>
      </c>
      <c r="Q497" s="6" t="n">
        <v>2177409</v>
      </c>
      <c r="R497" s="6" t="n">
        <v>11907350576</v>
      </c>
      <c r="S497" s="11" t="s">
        <v>389</v>
      </c>
      <c r="T497" s="11" t="s">
        <v>239</v>
      </c>
      <c r="U497" s="5" t="s">
        <v>240</v>
      </c>
      <c r="V497" s="11" t="s">
        <v>333</v>
      </c>
      <c r="W497" s="5" t="s">
        <v>207</v>
      </c>
      <c r="X497" s="5" t="s">
        <v>371</v>
      </c>
      <c r="Y497" s="11" t="s">
        <v>801</v>
      </c>
      <c r="Z497" s="11" t="s">
        <v>244</v>
      </c>
      <c r="AA497" s="11" t="s">
        <v>157</v>
      </c>
      <c r="AB497" s="5" t="s">
        <v>496</v>
      </c>
      <c r="AC497" s="5" t="s">
        <v>555</v>
      </c>
      <c r="AD497" s="11" t="s">
        <v>1436</v>
      </c>
      <c r="AE497" s="23" t="n">
        <v>0.8</v>
      </c>
      <c r="AF497" s="23" t="n">
        <v>0</v>
      </c>
      <c r="AG497" s="23" t="n">
        <v>0.67</v>
      </c>
      <c r="AH497" s="23" t="n">
        <v>0.6</v>
      </c>
      <c r="AI497" s="23" t="n">
        <v>1</v>
      </c>
      <c r="AJ497" s="23" t="n">
        <v>0.8476</v>
      </c>
      <c r="AK497" s="23" t="n">
        <v>1</v>
      </c>
      <c r="AL497" s="23" t="n">
        <v>0.6</v>
      </c>
      <c r="AM497" s="16" t="n">
        <f aca="false">COUNTIFS($D$2:$D$2501,D497,$G$2:$G$2501,"&gt;"&amp;G497)+COUNTIFS($D$2:D497,D497,$G$2:G497,G497)</f>
        <v>266</v>
      </c>
      <c r="AN497" s="5" t="str">
        <f aca="false">D497&amp;"|"&amp;AM497</f>
        <v>分析與報告生成|266</v>
      </c>
    </row>
    <row r="498" customFormat="false" ht="17.15" hidden="false" customHeight="false" outlineLevel="0" collapsed="false">
      <c r="A498" s="16" t="n">
        <f aca="false">RANK(G498,$G$2:$G$2501)+COUNTIF($G$2:G498,G498)-1</f>
        <v>497</v>
      </c>
      <c r="B498" s="11" t="s">
        <v>1437</v>
      </c>
      <c r="C498" s="11" t="s">
        <v>1438</v>
      </c>
      <c r="D498" s="5" t="s">
        <v>56</v>
      </c>
      <c r="E498" s="5" t="s">
        <v>57</v>
      </c>
      <c r="F498" s="5"/>
      <c r="G498" s="22" t="n">
        <f aca="false">ROUND(SUM(I498:P498),3)</f>
        <v>69.512</v>
      </c>
      <c r="H498" s="5" t="str">
        <f aca="false">IF(G498&gt;=評分方法!$C$16,"優先評估",IF(G498&gt;=評分方法!$C$17,"列入候選",IF(G498&gt;=評分方法!$C$18,"特定情境","不建議")))</f>
        <v>特定情境</v>
      </c>
      <c r="I498" s="15" t="n">
        <f aca="false">AE498*評分方法!$C$5</f>
        <v>25.5</v>
      </c>
      <c r="J498" s="15" t="n">
        <f aca="false">AF498*評分方法!$C$6</f>
        <v>0</v>
      </c>
      <c r="K498" s="15" t="n">
        <f aca="false">AG498*評分方法!$C$7</f>
        <v>10.05</v>
      </c>
      <c r="L498" s="15" t="n">
        <f aca="false">AH498*評分方法!$C$8</f>
        <v>13.05</v>
      </c>
      <c r="M498" s="15" t="n">
        <f aca="false">AI498*評分方法!$C$9</f>
        <v>10</v>
      </c>
      <c r="N498" s="15" t="n">
        <f aca="false">AJ498*評分方法!$C$10</f>
        <v>6.912</v>
      </c>
      <c r="O498" s="15" t="n">
        <f aca="false">AK498*評分方法!$C$11</f>
        <v>1</v>
      </c>
      <c r="P498" s="15" t="n">
        <f aca="false">AL498*評分方法!$C$12</f>
        <v>3</v>
      </c>
      <c r="Q498" s="6" t="n">
        <v>878523</v>
      </c>
      <c r="R498" s="6" t="n">
        <v>7248023552</v>
      </c>
      <c r="S498" s="11" t="s">
        <v>254</v>
      </c>
      <c r="T498" s="11" t="s">
        <v>239</v>
      </c>
      <c r="U498" s="5" t="s">
        <v>240</v>
      </c>
      <c r="V498" s="11" t="s">
        <v>333</v>
      </c>
      <c r="W498" s="5" t="s">
        <v>207</v>
      </c>
      <c r="X498" s="5" t="s">
        <v>371</v>
      </c>
      <c r="Y498" s="11" t="s">
        <v>408</v>
      </c>
      <c r="Z498" s="11" t="s">
        <v>244</v>
      </c>
      <c r="AA498" s="11" t="s">
        <v>155</v>
      </c>
      <c r="AB498" s="5" t="s">
        <v>245</v>
      </c>
      <c r="AC498" s="5" t="s">
        <v>246</v>
      </c>
      <c r="AD498" s="11" t="s">
        <v>1439</v>
      </c>
      <c r="AE498" s="23" t="n">
        <v>0.85</v>
      </c>
      <c r="AF498" s="23" t="n">
        <v>0</v>
      </c>
      <c r="AG498" s="23" t="n">
        <v>0.67</v>
      </c>
      <c r="AH498" s="23" t="n">
        <v>0.87</v>
      </c>
      <c r="AI498" s="23" t="n">
        <v>1</v>
      </c>
      <c r="AJ498" s="23" t="n">
        <v>0.6912</v>
      </c>
      <c r="AK498" s="23" t="n">
        <v>0.2</v>
      </c>
      <c r="AL498" s="23" t="n">
        <v>0.6</v>
      </c>
      <c r="AM498" s="16" t="n">
        <f aca="false">COUNTIFS($D$2:$D$2501,D498,$G$2:$G$2501,"&gt;"&amp;G498)+COUNTIFS($D$2:D498,D498,$G$2:G498,G498)</f>
        <v>267</v>
      </c>
      <c r="AN498" s="5" t="str">
        <f aca="false">D498&amp;"|"&amp;AM498</f>
        <v>分析與報告生成|267</v>
      </c>
    </row>
    <row r="499" customFormat="false" ht="17.15" hidden="false" customHeight="false" outlineLevel="0" collapsed="false">
      <c r="A499" s="16" t="n">
        <f aca="false">RANK(G499,$G$2:$G$2501)+COUNTIF($G$2:G499,G499)-1</f>
        <v>498</v>
      </c>
      <c r="B499" s="11" t="s">
        <v>1440</v>
      </c>
      <c r="C499" s="11" t="s">
        <v>258</v>
      </c>
      <c r="D499" s="5" t="s">
        <v>56</v>
      </c>
      <c r="E499" s="5" t="s">
        <v>57</v>
      </c>
      <c r="F499" s="5"/>
      <c r="G499" s="22" t="n">
        <f aca="false">ROUND(SUM(I499:P499),3)</f>
        <v>69.502</v>
      </c>
      <c r="H499" s="5" t="str">
        <f aca="false">IF(G499&gt;=評分方法!$C$16,"優先評估",IF(G499&gt;=評分方法!$C$17,"列入候選",IF(G499&gt;=評分方法!$C$18,"特定情境","不建議")))</f>
        <v>特定情境</v>
      </c>
      <c r="I499" s="15" t="n">
        <f aca="false">AE499*評分方法!$C$5</f>
        <v>25.5</v>
      </c>
      <c r="J499" s="15" t="n">
        <f aca="false">AF499*評分方法!$C$6</f>
        <v>0</v>
      </c>
      <c r="K499" s="15" t="n">
        <f aca="false">AG499*評分方法!$C$7</f>
        <v>15</v>
      </c>
      <c r="L499" s="15" t="n">
        <f aca="false">AH499*評分方法!$C$8</f>
        <v>13.05</v>
      </c>
      <c r="M499" s="15" t="n">
        <f aca="false">AI499*評分方法!$C$9</f>
        <v>6</v>
      </c>
      <c r="N499" s="15" t="n">
        <f aca="false">AJ499*評分方法!$C$10</f>
        <v>8.952</v>
      </c>
      <c r="O499" s="15" t="n">
        <f aca="false">AK499*評分方法!$C$11</f>
        <v>1</v>
      </c>
      <c r="P499" s="15" t="n">
        <f aca="false">AL499*評分方法!$C$12</f>
        <v>0</v>
      </c>
      <c r="Q499" s="6" t="n">
        <v>3671400</v>
      </c>
      <c r="R499" s="6" t="n">
        <v>3212749824</v>
      </c>
      <c r="S499" s="11" t="s">
        <v>254</v>
      </c>
      <c r="T499" s="11" t="s">
        <v>1044</v>
      </c>
      <c r="U499" s="5" t="s">
        <v>260</v>
      </c>
      <c r="V499" s="11" t="s">
        <v>324</v>
      </c>
      <c r="W499" s="5" t="s">
        <v>205</v>
      </c>
      <c r="X499" s="5" t="s">
        <v>242</v>
      </c>
      <c r="Y499" s="5"/>
      <c r="Z499" s="5"/>
      <c r="AA499" s="11" t="s">
        <v>155</v>
      </c>
      <c r="AB499" s="5" t="s">
        <v>245</v>
      </c>
      <c r="AC499" s="5" t="s">
        <v>262</v>
      </c>
      <c r="AD499" s="11" t="s">
        <v>1441</v>
      </c>
      <c r="AE499" s="23" t="n">
        <v>0.85</v>
      </c>
      <c r="AF499" s="23" t="n">
        <v>0</v>
      </c>
      <c r="AG499" s="23" t="n">
        <v>1</v>
      </c>
      <c r="AH499" s="23" t="n">
        <v>0.87</v>
      </c>
      <c r="AI499" s="23" t="n">
        <v>0.6</v>
      </c>
      <c r="AJ499" s="23" t="n">
        <v>0.8952</v>
      </c>
      <c r="AK499" s="23" t="n">
        <v>0.2</v>
      </c>
      <c r="AL499" s="23" t="n">
        <v>0</v>
      </c>
      <c r="AM499" s="16" t="n">
        <f aca="false">COUNTIFS($D$2:$D$2501,D499,$G$2:$G$2501,"&gt;"&amp;G499)+COUNTIFS($D$2:D499,D499,$G$2:G499,G499)</f>
        <v>268</v>
      </c>
      <c r="AN499" s="5" t="str">
        <f aca="false">D499&amp;"|"&amp;AM499</f>
        <v>分析與報告生成|268</v>
      </c>
    </row>
    <row r="500" customFormat="false" ht="17.15" hidden="false" customHeight="false" outlineLevel="0" collapsed="false">
      <c r="A500" s="16" t="n">
        <f aca="false">RANK(G500,$G$2:$G$2501)+COUNTIF($G$2:G500,G500)-1</f>
        <v>499</v>
      </c>
      <c r="B500" s="11" t="s">
        <v>1442</v>
      </c>
      <c r="C500" s="11" t="s">
        <v>891</v>
      </c>
      <c r="D500" s="5" t="s">
        <v>56</v>
      </c>
      <c r="E500" s="5" t="s">
        <v>57</v>
      </c>
      <c r="F500" s="5"/>
      <c r="G500" s="22" t="n">
        <f aca="false">ROUND(SUM(I500:P500),3)</f>
        <v>69.494</v>
      </c>
      <c r="H500" s="5" t="str">
        <f aca="false">IF(G500&gt;=評分方法!$C$16,"優先評估",IF(G500&gt;=評分方法!$C$17,"列入候選",IF(G500&gt;=評分方法!$C$18,"特定情境","不建議")))</f>
        <v>特定情境</v>
      </c>
      <c r="I500" s="15" t="n">
        <f aca="false">AE500*評分方法!$C$5</f>
        <v>25.5</v>
      </c>
      <c r="J500" s="15" t="n">
        <f aca="false">AF500*評分方法!$C$6</f>
        <v>0</v>
      </c>
      <c r="K500" s="15" t="n">
        <f aca="false">AG500*評分方法!$C$7</f>
        <v>10.05</v>
      </c>
      <c r="L500" s="15" t="n">
        <f aca="false">AH500*評分方法!$C$8</f>
        <v>9</v>
      </c>
      <c r="M500" s="15" t="n">
        <f aca="false">AI500*評分方法!$C$9</f>
        <v>10</v>
      </c>
      <c r="N500" s="15" t="n">
        <f aca="false">AJ500*評分方法!$C$10</f>
        <v>6.944</v>
      </c>
      <c r="O500" s="15" t="n">
        <f aca="false">AK500*評分方法!$C$11</f>
        <v>5</v>
      </c>
      <c r="P500" s="15" t="n">
        <f aca="false">AL500*評分方法!$C$12</f>
        <v>3</v>
      </c>
      <c r="Q500" s="6" t="n">
        <v>891883</v>
      </c>
      <c r="R500" s="6" t="n">
        <v>25805936206</v>
      </c>
      <c r="S500" s="11" t="s">
        <v>389</v>
      </c>
      <c r="T500" s="11" t="s">
        <v>239</v>
      </c>
      <c r="U500" s="5" t="s">
        <v>240</v>
      </c>
      <c r="V500" s="11" t="s">
        <v>261</v>
      </c>
      <c r="W500" s="5" t="s">
        <v>207</v>
      </c>
      <c r="X500" s="5" t="s">
        <v>371</v>
      </c>
      <c r="Y500" s="11" t="s">
        <v>575</v>
      </c>
      <c r="Z500" s="11" t="s">
        <v>244</v>
      </c>
      <c r="AA500" s="11" t="s">
        <v>156</v>
      </c>
      <c r="AB500" s="5" t="s">
        <v>245</v>
      </c>
      <c r="AC500" s="5" t="s">
        <v>246</v>
      </c>
      <c r="AD500" s="11" t="s">
        <v>1443</v>
      </c>
      <c r="AE500" s="23" t="n">
        <v>0.85</v>
      </c>
      <c r="AF500" s="23" t="n">
        <v>0</v>
      </c>
      <c r="AG500" s="23" t="n">
        <v>0.67</v>
      </c>
      <c r="AH500" s="23" t="n">
        <v>0.6</v>
      </c>
      <c r="AI500" s="23" t="n">
        <v>1</v>
      </c>
      <c r="AJ500" s="23" t="n">
        <v>0.6944</v>
      </c>
      <c r="AK500" s="23" t="n">
        <v>1</v>
      </c>
      <c r="AL500" s="23" t="n">
        <v>0.6</v>
      </c>
      <c r="AM500" s="16" t="n">
        <f aca="false">COUNTIFS($D$2:$D$2501,D500,$G$2:$G$2501,"&gt;"&amp;G500)+COUNTIFS($D$2:D500,D500,$G$2:G500,G500)</f>
        <v>269</v>
      </c>
      <c r="AN500" s="5" t="str">
        <f aca="false">D500&amp;"|"&amp;AM500</f>
        <v>分析與報告生成|269</v>
      </c>
    </row>
    <row r="501" customFormat="false" ht="17.15" hidden="false" customHeight="false" outlineLevel="0" collapsed="false">
      <c r="A501" s="16" t="n">
        <f aca="false">RANK(G501,$G$2:$G$2501)+COUNTIF($G$2:G501,G501)-1</f>
        <v>500</v>
      </c>
      <c r="B501" s="11" t="s">
        <v>1444</v>
      </c>
      <c r="C501" s="11" t="s">
        <v>929</v>
      </c>
      <c r="D501" s="5" t="s">
        <v>58</v>
      </c>
      <c r="E501" s="5" t="s">
        <v>59</v>
      </c>
      <c r="F501" s="5"/>
      <c r="G501" s="22" t="n">
        <f aca="false">ROUND(SUM(I501:P501),3)</f>
        <v>69.494</v>
      </c>
      <c r="H501" s="5" t="str">
        <f aca="false">IF(G501&gt;=評分方法!$C$16,"優先評估",IF(G501&gt;=評分方法!$C$17,"列入候選",IF(G501&gt;=評分方法!$C$18,"特定情境","不建議")))</f>
        <v>特定情境</v>
      </c>
      <c r="I501" s="15" t="n">
        <f aca="false">AE501*評分方法!$C$5</f>
        <v>28.5</v>
      </c>
      <c r="J501" s="15" t="n">
        <f aca="false">AF501*評分方法!$C$6</f>
        <v>0</v>
      </c>
      <c r="K501" s="15" t="n">
        <f aca="false">AG501*評分方法!$C$7</f>
        <v>10.05</v>
      </c>
      <c r="L501" s="15" t="n">
        <f aca="false">AH501*評分方法!$C$8</f>
        <v>15</v>
      </c>
      <c r="M501" s="15" t="n">
        <f aca="false">AI501*評分方法!$C$9</f>
        <v>10</v>
      </c>
      <c r="N501" s="15" t="n">
        <f aca="false">AJ501*評分方法!$C$10</f>
        <v>3.444</v>
      </c>
      <c r="O501" s="15" t="n">
        <f aca="false">AK501*評分方法!$C$11</f>
        <v>1</v>
      </c>
      <c r="P501" s="15" t="n">
        <f aca="false">AL501*評分方法!$C$12</f>
        <v>1.5</v>
      </c>
      <c r="Q501" s="6" t="n">
        <v>346882</v>
      </c>
      <c r="R501" s="6" t="n">
        <v>109489161</v>
      </c>
      <c r="S501" s="11" t="s">
        <v>238</v>
      </c>
      <c r="T501" s="11" t="s">
        <v>278</v>
      </c>
      <c r="U501" s="5" t="s">
        <v>240</v>
      </c>
      <c r="V501" s="11" t="s">
        <v>279</v>
      </c>
      <c r="W501" s="5" t="s">
        <v>207</v>
      </c>
      <c r="X501" s="5" t="s">
        <v>255</v>
      </c>
      <c r="Y501" s="5"/>
      <c r="Z501" s="5"/>
      <c r="AA501" s="11" t="s">
        <v>150</v>
      </c>
      <c r="AB501" s="5" t="s">
        <v>245</v>
      </c>
      <c r="AC501" s="5"/>
      <c r="AD501" s="11" t="s">
        <v>1445</v>
      </c>
      <c r="AE501" s="23" t="n">
        <v>0.95</v>
      </c>
      <c r="AF501" s="23" t="n">
        <v>0</v>
      </c>
      <c r="AG501" s="23" t="n">
        <v>0.67</v>
      </c>
      <c r="AH501" s="23" t="n">
        <v>1</v>
      </c>
      <c r="AI501" s="23" t="n">
        <v>1</v>
      </c>
      <c r="AJ501" s="23" t="n">
        <v>0.3444</v>
      </c>
      <c r="AK501" s="23" t="n">
        <v>0.2</v>
      </c>
      <c r="AL501" s="23" t="n">
        <v>0.3</v>
      </c>
      <c r="AM501" s="16" t="n">
        <f aca="false">COUNTIFS($D$2:$D$2501,D501,$G$2:$G$2501,"&gt;"&amp;G501)+COUNTIFS($D$2:D501,D501,$G$2:G501,G501)</f>
        <v>21</v>
      </c>
      <c r="AN501" s="5" t="str">
        <f aca="false">D501&amp;"|"&amp;AM501</f>
        <v>實體擷取與去識別化|21</v>
      </c>
    </row>
    <row r="502" customFormat="false" ht="17.15" hidden="false" customHeight="false" outlineLevel="0" collapsed="false">
      <c r="A502" s="16" t="n">
        <f aca="false">RANK(G502,$G$2:$G$2501)+COUNTIF($G$2:G502,G502)-1</f>
        <v>501</v>
      </c>
      <c r="B502" s="11" t="s">
        <v>1446</v>
      </c>
      <c r="C502" s="11" t="s">
        <v>1447</v>
      </c>
      <c r="D502" s="5" t="s">
        <v>56</v>
      </c>
      <c r="E502" s="5" t="s">
        <v>57</v>
      </c>
      <c r="F502" s="5"/>
      <c r="G502" s="22" t="n">
        <f aca="false">ROUND(SUM(I502:P502),3)</f>
        <v>69.488</v>
      </c>
      <c r="H502" s="5" t="str">
        <f aca="false">IF(G502&gt;=評分方法!$C$16,"優先評估",IF(G502&gt;=評分方法!$C$17,"列入候選",IF(G502&gt;=評分方法!$C$18,"特定情境","不建議")))</f>
        <v>特定情境</v>
      </c>
      <c r="I502" s="15" t="n">
        <f aca="false">AE502*評分方法!$C$5</f>
        <v>25.5</v>
      </c>
      <c r="J502" s="15" t="n">
        <f aca="false">AF502*評分方法!$C$6</f>
        <v>0</v>
      </c>
      <c r="K502" s="15" t="n">
        <f aca="false">AG502*評分方法!$C$7</f>
        <v>15</v>
      </c>
      <c r="L502" s="15" t="n">
        <f aca="false">AH502*評分方法!$C$8</f>
        <v>15</v>
      </c>
      <c r="M502" s="15" t="n">
        <f aca="false">AI502*評分方法!$C$9</f>
        <v>6</v>
      </c>
      <c r="N502" s="15" t="n">
        <f aca="false">AJ502*評分方法!$C$10</f>
        <v>5.488</v>
      </c>
      <c r="O502" s="15" t="n">
        <f aca="false">AK502*評分方法!$C$11</f>
        <v>2.5</v>
      </c>
      <c r="P502" s="15" t="n">
        <f aca="false">AL502*評分方法!$C$12</f>
        <v>0</v>
      </c>
      <c r="Q502" s="6" t="n">
        <v>575613</v>
      </c>
      <c r="R502" s="6" t="n">
        <v>521411104</v>
      </c>
      <c r="S502" s="11" t="s">
        <v>238</v>
      </c>
      <c r="T502" s="11" t="s">
        <v>185</v>
      </c>
      <c r="U502" s="5" t="s">
        <v>260</v>
      </c>
      <c r="V502" s="11" t="s">
        <v>261</v>
      </c>
      <c r="W502" s="5" t="s">
        <v>205</v>
      </c>
      <c r="X502" s="5" t="s">
        <v>242</v>
      </c>
      <c r="Y502" s="5"/>
      <c r="Z502" s="5"/>
      <c r="AA502" s="11" t="s">
        <v>155</v>
      </c>
      <c r="AB502" s="5" t="s">
        <v>245</v>
      </c>
      <c r="AC502" s="5" t="s">
        <v>262</v>
      </c>
      <c r="AD502" s="11" t="s">
        <v>1448</v>
      </c>
      <c r="AE502" s="23" t="n">
        <v>0.85</v>
      </c>
      <c r="AF502" s="23" t="n">
        <v>0</v>
      </c>
      <c r="AG502" s="23" t="n">
        <v>1</v>
      </c>
      <c r="AH502" s="23" t="n">
        <v>1</v>
      </c>
      <c r="AI502" s="23" t="n">
        <v>0.6</v>
      </c>
      <c r="AJ502" s="23" t="n">
        <v>0.5488</v>
      </c>
      <c r="AK502" s="23" t="n">
        <v>0.5</v>
      </c>
      <c r="AL502" s="23" t="n">
        <v>0</v>
      </c>
      <c r="AM502" s="16" t="n">
        <f aca="false">COUNTIFS($D$2:$D$2501,D502,$G$2:$G$2501,"&gt;"&amp;G502)+COUNTIFS($D$2:D502,D502,$G$2:G502,G502)</f>
        <v>270</v>
      </c>
      <c r="AN502" s="5" t="str">
        <f aca="false">D502&amp;"|"&amp;AM502</f>
        <v>分析與報告生成|270</v>
      </c>
    </row>
    <row r="503" customFormat="false" ht="17.15" hidden="false" customHeight="false" outlineLevel="0" collapsed="false">
      <c r="A503" s="16" t="n">
        <f aca="false">RANK(G503,$G$2:$G$2501)+COUNTIF($G$2:G503,G503)-1</f>
        <v>502</v>
      </c>
      <c r="B503" s="11" t="s">
        <v>1449</v>
      </c>
      <c r="C503" s="11" t="s">
        <v>1450</v>
      </c>
      <c r="D503" s="5" t="s">
        <v>54</v>
      </c>
      <c r="E503" s="5" t="s">
        <v>55</v>
      </c>
      <c r="F503" s="5"/>
      <c r="G503" s="22" t="n">
        <f aca="false">ROUND(SUM(I503:P503),3)</f>
        <v>69.47</v>
      </c>
      <c r="H503" s="5" t="str">
        <f aca="false">IF(G503&gt;=評分方法!$C$16,"優先評估",IF(G503&gt;=評分方法!$C$17,"列入候選",IF(G503&gt;=評分方法!$C$18,"特定情境","不建議")))</f>
        <v>特定情境</v>
      </c>
      <c r="I503" s="15" t="n">
        <f aca="false">AE503*評分方法!$C$5</f>
        <v>27</v>
      </c>
      <c r="J503" s="15" t="n">
        <f aca="false">AF503*評分方法!$C$6</f>
        <v>0</v>
      </c>
      <c r="K503" s="15" t="n">
        <f aca="false">AG503*評分方法!$C$7</f>
        <v>4.95</v>
      </c>
      <c r="L503" s="15" t="n">
        <f aca="false">AH503*評分方法!$C$8</f>
        <v>15</v>
      </c>
      <c r="M503" s="15" t="n">
        <f aca="false">AI503*評分方法!$C$9</f>
        <v>10</v>
      </c>
      <c r="N503" s="15" t="n">
        <f aca="false">AJ503*評分方法!$C$10</f>
        <v>8.52</v>
      </c>
      <c r="O503" s="15" t="n">
        <f aca="false">AK503*評分方法!$C$11</f>
        <v>2.5</v>
      </c>
      <c r="P503" s="15" t="n">
        <f aca="false">AL503*評分方法!$C$12</f>
        <v>1.5</v>
      </c>
      <c r="Q503" s="6" t="n">
        <v>2322742</v>
      </c>
      <c r="R503" s="6" t="n">
        <v>109482752</v>
      </c>
      <c r="S503" s="11" t="s">
        <v>238</v>
      </c>
      <c r="T503" s="11" t="s">
        <v>278</v>
      </c>
      <c r="U503" s="5" t="s">
        <v>240</v>
      </c>
      <c r="V503" s="11" t="s">
        <v>324</v>
      </c>
      <c r="W503" s="5" t="s">
        <v>334</v>
      </c>
      <c r="X503" s="5" t="s">
        <v>255</v>
      </c>
      <c r="Y503" s="5"/>
      <c r="Z503" s="5"/>
      <c r="AA503" s="11" t="s">
        <v>152</v>
      </c>
      <c r="AB503" s="5" t="s">
        <v>245</v>
      </c>
      <c r="AC503" s="5"/>
      <c r="AD503" s="11" t="s">
        <v>1451</v>
      </c>
      <c r="AE503" s="23" t="n">
        <v>0.9</v>
      </c>
      <c r="AF503" s="23" t="n">
        <v>0</v>
      </c>
      <c r="AG503" s="23" t="n">
        <v>0.33</v>
      </c>
      <c r="AH503" s="23" t="n">
        <v>1</v>
      </c>
      <c r="AI503" s="23" t="n">
        <v>1</v>
      </c>
      <c r="AJ503" s="23" t="n">
        <v>0.852</v>
      </c>
      <c r="AK503" s="23" t="n">
        <v>0.5</v>
      </c>
      <c r="AL503" s="23" t="n">
        <v>0.3</v>
      </c>
      <c r="AM503" s="16" t="n">
        <f aca="false">COUNTIFS($D$2:$D$2501,D503,$G$2:$G$2501,"&gt;"&amp;G503)+COUNTIFS($D$2:D503,D503,$G$2:G503,G503)</f>
        <v>120</v>
      </c>
      <c r="AN503" s="5" t="str">
        <f aca="false">D503&amp;"|"&amp;AM503</f>
        <v>檢索與情資關聯|120</v>
      </c>
    </row>
    <row r="504" customFormat="false" ht="17.15" hidden="false" customHeight="false" outlineLevel="0" collapsed="false">
      <c r="A504" s="16" t="n">
        <f aca="false">RANK(G504,$G$2:$G$2501)+COUNTIF($G$2:G504,G504)-1</f>
        <v>503</v>
      </c>
      <c r="B504" s="11" t="s">
        <v>1452</v>
      </c>
      <c r="C504" s="11" t="s">
        <v>282</v>
      </c>
      <c r="D504" s="5" t="s">
        <v>54</v>
      </c>
      <c r="E504" s="5" t="s">
        <v>55</v>
      </c>
      <c r="F504" s="5"/>
      <c r="G504" s="22" t="n">
        <f aca="false">ROUND(SUM(I504:P504),3)</f>
        <v>69.444</v>
      </c>
      <c r="H504" s="5" t="str">
        <f aca="false">IF(G504&gt;=評分方法!$C$16,"優先評估",IF(G504&gt;=評分方法!$C$17,"列入候選",IF(G504&gt;=評分方法!$C$18,"特定情境","不建議")))</f>
        <v>特定情境</v>
      </c>
      <c r="I504" s="15" t="n">
        <f aca="false">AE504*評分方法!$C$5</f>
        <v>27</v>
      </c>
      <c r="J504" s="15" t="n">
        <f aca="false">AF504*評分方法!$C$6</f>
        <v>0</v>
      </c>
      <c r="K504" s="15" t="n">
        <f aca="false">AG504*評分方法!$C$7</f>
        <v>15</v>
      </c>
      <c r="L504" s="15" t="n">
        <f aca="false">AH504*評分方法!$C$8</f>
        <v>15</v>
      </c>
      <c r="M504" s="15" t="n">
        <f aca="false">AI504*評分方法!$C$9</f>
        <v>2</v>
      </c>
      <c r="N504" s="15" t="n">
        <f aca="false">AJ504*評分方法!$C$10</f>
        <v>7.944</v>
      </c>
      <c r="O504" s="15" t="n">
        <f aca="false">AK504*評分方法!$C$11</f>
        <v>2.5</v>
      </c>
      <c r="P504" s="15" t="n">
        <f aca="false">AL504*評分方法!$C$12</f>
        <v>0</v>
      </c>
      <c r="Q504" s="6" t="n">
        <v>1506515</v>
      </c>
      <c r="R504" s="6" t="n">
        <v>33360512</v>
      </c>
      <c r="S504" s="11" t="s">
        <v>238</v>
      </c>
      <c r="T504" s="5"/>
      <c r="U504" s="5" t="s">
        <v>375</v>
      </c>
      <c r="V504" s="11" t="s">
        <v>320</v>
      </c>
      <c r="W504" s="5" t="s">
        <v>205</v>
      </c>
      <c r="X504" s="5" t="s">
        <v>242</v>
      </c>
      <c r="Y504" s="5"/>
      <c r="Z504" s="5"/>
      <c r="AA504" s="11" t="s">
        <v>152</v>
      </c>
      <c r="AB504" s="5" t="s">
        <v>245</v>
      </c>
      <c r="AC504" s="5" t="s">
        <v>262</v>
      </c>
      <c r="AD504" s="11" t="s">
        <v>1453</v>
      </c>
      <c r="AE504" s="23" t="n">
        <v>0.9</v>
      </c>
      <c r="AF504" s="23" t="n">
        <v>0</v>
      </c>
      <c r="AG504" s="23" t="n">
        <v>1</v>
      </c>
      <c r="AH504" s="23" t="n">
        <v>1</v>
      </c>
      <c r="AI504" s="23" t="n">
        <v>0.2</v>
      </c>
      <c r="AJ504" s="23" t="n">
        <v>0.7944</v>
      </c>
      <c r="AK504" s="23" t="n">
        <v>0.5</v>
      </c>
      <c r="AL504" s="23" t="n">
        <v>0</v>
      </c>
      <c r="AM504" s="16" t="n">
        <f aca="false">COUNTIFS($D$2:$D$2501,D504,$G$2:$G$2501,"&gt;"&amp;G504)+COUNTIFS($D$2:D504,D504,$G$2:G504,G504)</f>
        <v>121</v>
      </c>
      <c r="AN504" s="5" t="str">
        <f aca="false">D504&amp;"|"&amp;AM504</f>
        <v>檢索與情資關聯|121</v>
      </c>
    </row>
    <row r="505" customFormat="false" ht="17.15" hidden="false" customHeight="false" outlineLevel="0" collapsed="false">
      <c r="A505" s="16" t="n">
        <f aca="false">RANK(G505,$G$2:$G$2501)+COUNTIF($G$2:G505,G505)-1</f>
        <v>504</v>
      </c>
      <c r="B505" s="11" t="s">
        <v>1454</v>
      </c>
      <c r="C505" s="11" t="s">
        <v>548</v>
      </c>
      <c r="D505" s="5" t="s">
        <v>56</v>
      </c>
      <c r="E505" s="5" t="s">
        <v>57</v>
      </c>
      <c r="F505" s="5"/>
      <c r="G505" s="22" t="n">
        <f aca="false">ROUND(SUM(I505:P505),3)</f>
        <v>69.436</v>
      </c>
      <c r="H505" s="5" t="str">
        <f aca="false">IF(G505&gt;=評分方法!$C$16,"優先評估",IF(G505&gt;=評分方法!$C$17,"列入候選",IF(G505&gt;=評分方法!$C$18,"特定情境","不建議")))</f>
        <v>特定情境</v>
      </c>
      <c r="I505" s="15" t="n">
        <f aca="false">AE505*評分方法!$C$5</f>
        <v>25.5</v>
      </c>
      <c r="J505" s="15" t="n">
        <f aca="false">AF505*評分方法!$C$6</f>
        <v>0</v>
      </c>
      <c r="K505" s="15" t="n">
        <f aca="false">AG505*評分方法!$C$7</f>
        <v>15</v>
      </c>
      <c r="L505" s="15" t="n">
        <f aca="false">AH505*評分方法!$C$8</f>
        <v>9</v>
      </c>
      <c r="M505" s="15" t="n">
        <f aca="false">AI505*評分方法!$C$9</f>
        <v>10</v>
      </c>
      <c r="N505" s="15" t="n">
        <f aca="false">AJ505*評分方法!$C$10</f>
        <v>8.936</v>
      </c>
      <c r="O505" s="15" t="n">
        <f aca="false">AK505*評分方法!$C$11</f>
        <v>1</v>
      </c>
      <c r="P505" s="15" t="n">
        <f aca="false">AL505*評分方法!$C$12</f>
        <v>0</v>
      </c>
      <c r="Q505" s="6" t="n">
        <v>3602328</v>
      </c>
      <c r="R505" s="6" t="n">
        <v>20739117584</v>
      </c>
      <c r="S505" s="11" t="s">
        <v>389</v>
      </c>
      <c r="T505" s="11" t="s">
        <v>239</v>
      </c>
      <c r="U505" s="5" t="s">
        <v>240</v>
      </c>
      <c r="V505" s="11" t="s">
        <v>324</v>
      </c>
      <c r="W505" s="5" t="s">
        <v>205</v>
      </c>
      <c r="X505" s="5" t="s">
        <v>242</v>
      </c>
      <c r="Y505" s="5"/>
      <c r="Z505" s="5"/>
      <c r="AA505" s="11" t="s">
        <v>155</v>
      </c>
      <c r="AB505" s="5" t="s">
        <v>245</v>
      </c>
      <c r="AC505" s="5"/>
      <c r="AD505" s="11" t="s">
        <v>1455</v>
      </c>
      <c r="AE505" s="23" t="n">
        <v>0.85</v>
      </c>
      <c r="AF505" s="23" t="n">
        <v>0</v>
      </c>
      <c r="AG505" s="23" t="n">
        <v>1</v>
      </c>
      <c r="AH505" s="23" t="n">
        <v>0.6</v>
      </c>
      <c r="AI505" s="23" t="n">
        <v>1</v>
      </c>
      <c r="AJ505" s="23" t="n">
        <v>0.8936</v>
      </c>
      <c r="AK505" s="23" t="n">
        <v>0.2</v>
      </c>
      <c r="AL505" s="23" t="n">
        <v>0</v>
      </c>
      <c r="AM505" s="16" t="n">
        <f aca="false">COUNTIFS($D$2:$D$2501,D505,$G$2:$G$2501,"&gt;"&amp;G505)+COUNTIFS($D$2:D505,D505,$G$2:G505,G505)</f>
        <v>271</v>
      </c>
      <c r="AN505" s="5" t="str">
        <f aca="false">D505&amp;"|"&amp;AM505</f>
        <v>分析與報告生成|271</v>
      </c>
    </row>
    <row r="506" customFormat="false" ht="17.15" hidden="false" customHeight="false" outlineLevel="0" collapsed="false">
      <c r="A506" s="16" t="n">
        <f aca="false">RANK(G506,$G$2:$G$2501)+COUNTIF($G$2:G506,G506)-1</f>
        <v>505</v>
      </c>
      <c r="B506" s="11" t="s">
        <v>1456</v>
      </c>
      <c r="C506" s="11" t="s">
        <v>338</v>
      </c>
      <c r="D506" s="5" t="s">
        <v>56</v>
      </c>
      <c r="E506" s="5" t="s">
        <v>57</v>
      </c>
      <c r="F506" s="5"/>
      <c r="G506" s="22" t="n">
        <f aca="false">ROUND(SUM(I506:P506),3)</f>
        <v>69.4</v>
      </c>
      <c r="H506" s="5" t="str">
        <f aca="false">IF(G506&gt;=評分方法!$C$16,"優先評估",IF(G506&gt;=評分方法!$C$17,"列入候選",IF(G506&gt;=評分方法!$C$18,"特定情境","不建議")))</f>
        <v>特定情境</v>
      </c>
      <c r="I506" s="15" t="n">
        <f aca="false">AE506*評分方法!$C$5</f>
        <v>25.5</v>
      </c>
      <c r="J506" s="15" t="n">
        <f aca="false">AF506*評分方法!$C$6</f>
        <v>0</v>
      </c>
      <c r="K506" s="15" t="n">
        <f aca="false">AG506*評分方法!$C$7</f>
        <v>15</v>
      </c>
      <c r="L506" s="15" t="n">
        <f aca="false">AH506*評分方法!$C$8</f>
        <v>9</v>
      </c>
      <c r="M506" s="15" t="n">
        <f aca="false">AI506*評分方法!$C$9</f>
        <v>10</v>
      </c>
      <c r="N506" s="15" t="n">
        <f aca="false">AJ506*評分方法!$C$10</f>
        <v>0.9</v>
      </c>
      <c r="O506" s="15" t="n">
        <f aca="false">AK506*評分方法!$C$11</f>
        <v>4</v>
      </c>
      <c r="P506" s="15" t="n">
        <f aca="false">AL506*評分方法!$C$12</f>
        <v>5</v>
      </c>
      <c r="Q506" s="6" t="n">
        <v>149773</v>
      </c>
      <c r="R506" s="6" t="n">
        <v>24011361280</v>
      </c>
      <c r="S506" s="11" t="s">
        <v>389</v>
      </c>
      <c r="T506" s="11" t="s">
        <v>239</v>
      </c>
      <c r="U506" s="5" t="s">
        <v>240</v>
      </c>
      <c r="V506" s="11" t="s">
        <v>261</v>
      </c>
      <c r="W506" s="5" t="s">
        <v>205</v>
      </c>
      <c r="X506" s="5" t="s">
        <v>284</v>
      </c>
      <c r="Y506" s="11" t="s">
        <v>612</v>
      </c>
      <c r="Z506" s="11" t="s">
        <v>270</v>
      </c>
      <c r="AA506" s="11" t="s">
        <v>155</v>
      </c>
      <c r="AB506" s="5" t="s">
        <v>328</v>
      </c>
      <c r="AC506" s="5" t="s">
        <v>400</v>
      </c>
      <c r="AD506" s="11" t="s">
        <v>1457</v>
      </c>
      <c r="AE506" s="23" t="n">
        <v>0.85</v>
      </c>
      <c r="AF506" s="23" t="n">
        <v>0</v>
      </c>
      <c r="AG506" s="23" t="n">
        <v>1</v>
      </c>
      <c r="AH506" s="23" t="n">
        <v>0.6</v>
      </c>
      <c r="AI506" s="23" t="n">
        <v>1</v>
      </c>
      <c r="AJ506" s="23" t="n">
        <v>0.09</v>
      </c>
      <c r="AK506" s="23" t="n">
        <v>0.8</v>
      </c>
      <c r="AL506" s="23" t="n">
        <v>1</v>
      </c>
      <c r="AM506" s="16" t="n">
        <f aca="false">COUNTIFS($D$2:$D$2501,D506,$G$2:$G$2501,"&gt;"&amp;G506)+COUNTIFS($D$2:D506,D506,$G$2:G506,G506)</f>
        <v>272</v>
      </c>
      <c r="AN506" s="5" t="str">
        <f aca="false">D506&amp;"|"&amp;AM506</f>
        <v>分析與報告生成|272</v>
      </c>
    </row>
    <row r="507" customFormat="false" ht="17.15" hidden="false" customHeight="false" outlineLevel="0" collapsed="false">
      <c r="A507" s="16" t="n">
        <f aca="false">RANK(G507,$G$2:$G$2501)+COUNTIF($G$2:G507,G507)-1</f>
        <v>506</v>
      </c>
      <c r="B507" s="11" t="s">
        <v>1458</v>
      </c>
      <c r="C507" s="11" t="s">
        <v>998</v>
      </c>
      <c r="D507" s="5" t="s">
        <v>56</v>
      </c>
      <c r="E507" s="5" t="s">
        <v>57</v>
      </c>
      <c r="F507" s="5"/>
      <c r="G507" s="22" t="n">
        <f aca="false">ROUND(SUM(I507:P507),3)</f>
        <v>69.398</v>
      </c>
      <c r="H507" s="5" t="str">
        <f aca="false">IF(G507&gt;=評分方法!$C$16,"優先評估",IF(G507&gt;=評分方法!$C$17,"列入候選",IF(G507&gt;=評分方法!$C$18,"特定情境","不建議")))</f>
        <v>特定情境</v>
      </c>
      <c r="I507" s="15" t="n">
        <f aca="false">AE507*評分方法!$C$5</f>
        <v>25.5</v>
      </c>
      <c r="J507" s="15" t="n">
        <f aca="false">AF507*評分方法!$C$6</f>
        <v>0</v>
      </c>
      <c r="K507" s="15" t="n">
        <f aca="false">AG507*評分方法!$C$7</f>
        <v>10.05</v>
      </c>
      <c r="L507" s="15" t="n">
        <f aca="false">AH507*評分方法!$C$8</f>
        <v>15</v>
      </c>
      <c r="M507" s="15" t="n">
        <f aca="false">AI507*評分方法!$C$9</f>
        <v>10</v>
      </c>
      <c r="N507" s="15" t="n">
        <f aca="false">AJ507*評分方法!$C$10</f>
        <v>4.848</v>
      </c>
      <c r="O507" s="15" t="n">
        <f aca="false">AK507*評分方法!$C$11</f>
        <v>1</v>
      </c>
      <c r="P507" s="15" t="n">
        <f aca="false">AL507*評分方法!$C$12</f>
        <v>3</v>
      </c>
      <c r="Q507" s="6" t="n">
        <v>526985</v>
      </c>
      <c r="R507" s="6" t="n">
        <v>36358560</v>
      </c>
      <c r="S507" s="11" t="s">
        <v>238</v>
      </c>
      <c r="T507" s="11" t="s">
        <v>278</v>
      </c>
      <c r="U507" s="5" t="s">
        <v>240</v>
      </c>
      <c r="V507" s="11" t="s">
        <v>462</v>
      </c>
      <c r="W507" s="5" t="s">
        <v>207</v>
      </c>
      <c r="X507" s="5" t="s">
        <v>371</v>
      </c>
      <c r="Y507" s="5"/>
      <c r="Z507" s="5"/>
      <c r="AA507" s="11" t="s">
        <v>155</v>
      </c>
      <c r="AB507" s="5" t="s">
        <v>245</v>
      </c>
      <c r="AC507" s="5"/>
      <c r="AD507" s="11" t="s">
        <v>1459</v>
      </c>
      <c r="AE507" s="23" t="n">
        <v>0.85</v>
      </c>
      <c r="AF507" s="23" t="n">
        <v>0</v>
      </c>
      <c r="AG507" s="23" t="n">
        <v>0.67</v>
      </c>
      <c r="AH507" s="23" t="n">
        <v>1</v>
      </c>
      <c r="AI507" s="23" t="n">
        <v>1</v>
      </c>
      <c r="AJ507" s="23" t="n">
        <v>0.4848</v>
      </c>
      <c r="AK507" s="23" t="n">
        <v>0.2</v>
      </c>
      <c r="AL507" s="23" t="n">
        <v>0.6</v>
      </c>
      <c r="AM507" s="16" t="n">
        <f aca="false">COUNTIFS($D$2:$D$2501,D507,$G$2:$G$2501,"&gt;"&amp;G507)+COUNTIFS($D$2:D507,D507,$G$2:G507,G507)</f>
        <v>273</v>
      </c>
      <c r="AN507" s="5" t="str">
        <f aca="false">D507&amp;"|"&amp;AM507</f>
        <v>分析與報告生成|273</v>
      </c>
    </row>
    <row r="508" customFormat="false" ht="17.15" hidden="false" customHeight="false" outlineLevel="0" collapsed="false">
      <c r="A508" s="16" t="n">
        <f aca="false">RANK(G508,$G$2:$G$2501)+COUNTIF($G$2:G508,G508)-1</f>
        <v>507</v>
      </c>
      <c r="B508" s="11" t="s">
        <v>1460</v>
      </c>
      <c r="C508" s="11" t="s">
        <v>1461</v>
      </c>
      <c r="D508" s="5" t="s">
        <v>70</v>
      </c>
      <c r="E508" s="5" t="s">
        <v>71</v>
      </c>
      <c r="F508" s="5" t="s">
        <v>70</v>
      </c>
      <c r="G508" s="22" t="n">
        <f aca="false">ROUND(SUM(I508:P508),3)</f>
        <v>69.39</v>
      </c>
      <c r="H508" s="5" t="str">
        <f aca="false">IF(G508&gt;=評分方法!$C$16,"優先評估",IF(G508&gt;=評分方法!$C$17,"列入候選",IF(G508&gt;=評分方法!$C$18,"特定情境","不建議")))</f>
        <v>特定情境</v>
      </c>
      <c r="I508" s="15" t="n">
        <f aca="false">AE508*評分方法!$C$5</f>
        <v>18</v>
      </c>
      <c r="J508" s="15" t="n">
        <f aca="false">AF508*評分方法!$C$6</f>
        <v>5</v>
      </c>
      <c r="K508" s="15" t="n">
        <f aca="false">AG508*評分方法!$C$7</f>
        <v>10.05</v>
      </c>
      <c r="L508" s="15" t="n">
        <f aca="false">AH508*評分方法!$C$8</f>
        <v>15</v>
      </c>
      <c r="M508" s="15" t="n">
        <f aca="false">AI508*評分方法!$C$9</f>
        <v>10</v>
      </c>
      <c r="N508" s="15" t="n">
        <f aca="false">AJ508*評分方法!$C$10</f>
        <v>6.34</v>
      </c>
      <c r="O508" s="15" t="n">
        <f aca="false">AK508*評分方法!$C$11</f>
        <v>5</v>
      </c>
      <c r="P508" s="15" t="n">
        <f aca="false">AL508*評分方法!$C$12</f>
        <v>0</v>
      </c>
      <c r="Q508" s="6" t="n">
        <v>706428</v>
      </c>
      <c r="R508" s="6" t="n">
        <v>11786245</v>
      </c>
      <c r="S508" s="11" t="s">
        <v>238</v>
      </c>
      <c r="T508" s="11" t="s">
        <v>278</v>
      </c>
      <c r="U508" s="5" t="s">
        <v>240</v>
      </c>
      <c r="V508" s="11" t="s">
        <v>324</v>
      </c>
      <c r="W508" s="5" t="s">
        <v>207</v>
      </c>
      <c r="X508" s="5" t="s">
        <v>242</v>
      </c>
      <c r="Y508" s="11" t="s">
        <v>1462</v>
      </c>
      <c r="Z508" s="11" t="s">
        <v>270</v>
      </c>
      <c r="AA508" s="11" t="s">
        <v>149</v>
      </c>
      <c r="AB508" s="5" t="s">
        <v>245</v>
      </c>
      <c r="AC508" s="5" t="s">
        <v>1463</v>
      </c>
      <c r="AD508" s="11" t="s">
        <v>1464</v>
      </c>
      <c r="AE508" s="23" t="n">
        <v>0.6</v>
      </c>
      <c r="AF508" s="23" t="n">
        <v>0.5</v>
      </c>
      <c r="AG508" s="23" t="n">
        <v>0.67</v>
      </c>
      <c r="AH508" s="23" t="n">
        <v>1</v>
      </c>
      <c r="AI508" s="23" t="n">
        <v>1</v>
      </c>
      <c r="AJ508" s="23" t="n">
        <v>0.634</v>
      </c>
      <c r="AK508" s="23" t="n">
        <v>1</v>
      </c>
      <c r="AL508" s="23" t="n">
        <v>0</v>
      </c>
      <c r="AM508" s="16" t="n">
        <f aca="false">COUNTIFS($D$2:$D$2501,D508,$G$2:$G$2501,"&gt;"&amp;G508)+COUNTIFS($D$2:D508,D508,$G$2:G508,G508)</f>
        <v>4</v>
      </c>
      <c r="AN508" s="5" t="str">
        <f aca="false">D508&amp;"|"&amp;AM508</f>
        <v>內容安全審查|4</v>
      </c>
    </row>
    <row r="509" customFormat="false" ht="17.15" hidden="false" customHeight="false" outlineLevel="0" collapsed="false">
      <c r="A509" s="16" t="n">
        <f aca="false">RANK(G509,$G$2:$G$2501)+COUNTIF($G$2:G509,G509)-1</f>
        <v>508</v>
      </c>
      <c r="B509" s="11" t="s">
        <v>1465</v>
      </c>
      <c r="C509" s="11" t="s">
        <v>323</v>
      </c>
      <c r="D509" s="5" t="s">
        <v>56</v>
      </c>
      <c r="E509" s="5" t="s">
        <v>57</v>
      </c>
      <c r="F509" s="5"/>
      <c r="G509" s="22" t="n">
        <f aca="false">ROUND(SUM(I509:P509),3)</f>
        <v>69.358</v>
      </c>
      <c r="H509" s="5" t="str">
        <f aca="false">IF(G509&gt;=評分方法!$C$16,"優先評估",IF(G509&gt;=評分方法!$C$17,"列入候選",IF(G509&gt;=評分方法!$C$18,"特定情境","不建議")))</f>
        <v>特定情境</v>
      </c>
      <c r="I509" s="15" t="n">
        <f aca="false">AE509*評分方法!$C$5</f>
        <v>25.5</v>
      </c>
      <c r="J509" s="15" t="n">
        <f aca="false">AF509*評分方法!$C$6</f>
        <v>0</v>
      </c>
      <c r="K509" s="15" t="n">
        <f aca="false">AG509*評分方法!$C$7</f>
        <v>15</v>
      </c>
      <c r="L509" s="15" t="n">
        <f aca="false">AH509*評分方法!$C$8</f>
        <v>13.05</v>
      </c>
      <c r="M509" s="15" t="n">
        <f aca="false">AI509*評分方法!$C$9</f>
        <v>10</v>
      </c>
      <c r="N509" s="15" t="n">
        <f aca="false">AJ509*評分方法!$C$10</f>
        <v>3.308</v>
      </c>
      <c r="O509" s="15" t="n">
        <f aca="false">AK509*評分方法!$C$11</f>
        <v>2.5</v>
      </c>
      <c r="P509" s="15" t="n">
        <f aca="false">AL509*評分方法!$C$12</f>
        <v>0</v>
      </c>
      <c r="Q509" s="6" t="n">
        <v>328973</v>
      </c>
      <c r="R509" s="6" t="n">
        <v>7298617344</v>
      </c>
      <c r="S509" s="11" t="s">
        <v>254</v>
      </c>
      <c r="T509" s="11" t="s">
        <v>239</v>
      </c>
      <c r="U509" s="5" t="s">
        <v>240</v>
      </c>
      <c r="V509" s="11" t="s">
        <v>261</v>
      </c>
      <c r="W509" s="5" t="s">
        <v>205</v>
      </c>
      <c r="X509" s="5" t="s">
        <v>242</v>
      </c>
      <c r="Y509" s="11" t="s">
        <v>1466</v>
      </c>
      <c r="Z509" s="11" t="s">
        <v>270</v>
      </c>
      <c r="AA509" s="11" t="s">
        <v>155</v>
      </c>
      <c r="AB509" s="5" t="s">
        <v>245</v>
      </c>
      <c r="AC509" s="5"/>
      <c r="AD509" s="11" t="s">
        <v>1467</v>
      </c>
      <c r="AE509" s="23" t="n">
        <v>0.85</v>
      </c>
      <c r="AF509" s="23" t="n">
        <v>0</v>
      </c>
      <c r="AG509" s="23" t="n">
        <v>1</v>
      </c>
      <c r="AH509" s="23" t="n">
        <v>0.87</v>
      </c>
      <c r="AI509" s="23" t="n">
        <v>1</v>
      </c>
      <c r="AJ509" s="23" t="n">
        <v>0.3308</v>
      </c>
      <c r="AK509" s="23" t="n">
        <v>0.5</v>
      </c>
      <c r="AL509" s="23" t="n">
        <v>0</v>
      </c>
      <c r="AM509" s="16" t="n">
        <f aca="false">COUNTIFS($D$2:$D$2501,D509,$G$2:$G$2501,"&gt;"&amp;G509)+COUNTIFS($D$2:D509,D509,$G$2:G509,G509)</f>
        <v>274</v>
      </c>
      <c r="AN509" s="5" t="str">
        <f aca="false">D509&amp;"|"&amp;AM509</f>
        <v>分析與報告生成|274</v>
      </c>
    </row>
    <row r="510" customFormat="false" ht="17.15" hidden="false" customHeight="false" outlineLevel="0" collapsed="false">
      <c r="A510" s="16" t="n">
        <f aca="false">RANK(G510,$G$2:$G$2501)+COUNTIF($G$2:G510,G510)-1</f>
        <v>509</v>
      </c>
      <c r="B510" s="11" t="s">
        <v>1468</v>
      </c>
      <c r="C510" s="11" t="s">
        <v>891</v>
      </c>
      <c r="D510" s="5" t="s">
        <v>56</v>
      </c>
      <c r="E510" s="5" t="s">
        <v>57</v>
      </c>
      <c r="F510" s="5"/>
      <c r="G510" s="22" t="n">
        <f aca="false">ROUND(SUM(I510:P510),3)</f>
        <v>69.35</v>
      </c>
      <c r="H510" s="5" t="str">
        <f aca="false">IF(G510&gt;=評分方法!$C$16,"優先評估",IF(G510&gt;=評分方法!$C$17,"列入候選",IF(G510&gt;=評分方法!$C$18,"特定情境","不建議")))</f>
        <v>特定情境</v>
      </c>
      <c r="I510" s="15" t="n">
        <f aca="false">AE510*評分方法!$C$5</f>
        <v>25.5</v>
      </c>
      <c r="J510" s="15" t="n">
        <f aca="false">AF510*評分方法!$C$6</f>
        <v>0</v>
      </c>
      <c r="K510" s="15" t="n">
        <f aca="false">AG510*評分方法!$C$7</f>
        <v>10.05</v>
      </c>
      <c r="L510" s="15" t="n">
        <f aca="false">AH510*評分方法!$C$8</f>
        <v>9</v>
      </c>
      <c r="M510" s="15" t="n">
        <f aca="false">AI510*評分方法!$C$9</f>
        <v>10</v>
      </c>
      <c r="N510" s="15" t="n">
        <f aca="false">AJ510*評分方法!$C$10</f>
        <v>6.8</v>
      </c>
      <c r="O510" s="15" t="n">
        <f aca="false">AK510*評分方法!$C$11</f>
        <v>5</v>
      </c>
      <c r="P510" s="15" t="n">
        <f aca="false">AL510*評分方法!$C$12</f>
        <v>3</v>
      </c>
      <c r="Q510" s="6" t="n">
        <v>840025</v>
      </c>
      <c r="R510" s="6" t="n">
        <v>30697345596</v>
      </c>
      <c r="S510" s="11" t="s">
        <v>389</v>
      </c>
      <c r="T510" s="11" t="s">
        <v>239</v>
      </c>
      <c r="U510" s="5" t="s">
        <v>240</v>
      </c>
      <c r="V510" s="11" t="s">
        <v>333</v>
      </c>
      <c r="W510" s="5" t="s">
        <v>207</v>
      </c>
      <c r="X510" s="5" t="s">
        <v>371</v>
      </c>
      <c r="Y510" s="11" t="s">
        <v>668</v>
      </c>
      <c r="Z510" s="11" t="s">
        <v>244</v>
      </c>
      <c r="AA510" s="11" t="s">
        <v>156</v>
      </c>
      <c r="AB510" s="5" t="s">
        <v>496</v>
      </c>
      <c r="AC510" s="5" t="s">
        <v>555</v>
      </c>
      <c r="AD510" s="11" t="s">
        <v>1469</v>
      </c>
      <c r="AE510" s="23" t="n">
        <v>0.85</v>
      </c>
      <c r="AF510" s="23" t="n">
        <v>0</v>
      </c>
      <c r="AG510" s="23" t="n">
        <v>0.67</v>
      </c>
      <c r="AH510" s="23" t="n">
        <v>0.6</v>
      </c>
      <c r="AI510" s="23" t="n">
        <v>1</v>
      </c>
      <c r="AJ510" s="23" t="n">
        <v>0.68</v>
      </c>
      <c r="AK510" s="23" t="n">
        <v>1</v>
      </c>
      <c r="AL510" s="23" t="n">
        <v>0.6</v>
      </c>
      <c r="AM510" s="16" t="n">
        <f aca="false">COUNTIFS($D$2:$D$2501,D510,$G$2:$G$2501,"&gt;"&amp;G510)+COUNTIFS($D$2:D510,D510,$G$2:G510,G510)</f>
        <v>275</v>
      </c>
      <c r="AN510" s="5" t="str">
        <f aca="false">D510&amp;"|"&amp;AM510</f>
        <v>分析與報告生成|275</v>
      </c>
    </row>
    <row r="511" customFormat="false" ht="17.15" hidden="false" customHeight="false" outlineLevel="0" collapsed="false">
      <c r="A511" s="16" t="n">
        <f aca="false">RANK(G511,$G$2:$G$2501)+COUNTIF($G$2:G511,G511)-1</f>
        <v>510</v>
      </c>
      <c r="B511" s="11" t="s">
        <v>1470</v>
      </c>
      <c r="C511" s="11" t="s">
        <v>308</v>
      </c>
      <c r="D511" s="5" t="s">
        <v>56</v>
      </c>
      <c r="E511" s="5" t="s">
        <v>57</v>
      </c>
      <c r="F511" s="5"/>
      <c r="G511" s="22" t="n">
        <f aca="false">ROUND(SUM(I511:P511),3)</f>
        <v>69.346</v>
      </c>
      <c r="H511" s="5" t="str">
        <f aca="false">IF(G511&gt;=評分方法!$C$16,"優先評估",IF(G511&gt;=評分方法!$C$17,"列入候選",IF(G511&gt;=評分方法!$C$18,"特定情境","不建議")))</f>
        <v>特定情境</v>
      </c>
      <c r="I511" s="15" t="n">
        <f aca="false">AE511*評分方法!$C$5</f>
        <v>25.5</v>
      </c>
      <c r="J511" s="15" t="n">
        <f aca="false">AF511*評分方法!$C$6</f>
        <v>0</v>
      </c>
      <c r="K511" s="15" t="n">
        <f aca="false">AG511*評分方法!$C$7</f>
        <v>15</v>
      </c>
      <c r="L511" s="15" t="n">
        <f aca="false">AH511*評分方法!$C$8</f>
        <v>13.05</v>
      </c>
      <c r="M511" s="15" t="n">
        <f aca="false">AI511*評分方法!$C$9</f>
        <v>10</v>
      </c>
      <c r="N511" s="15" t="n">
        <f aca="false">AJ511*評分方法!$C$10</f>
        <v>3.296</v>
      </c>
      <c r="O511" s="15" t="n">
        <f aca="false">AK511*評分方法!$C$11</f>
        <v>2.5</v>
      </c>
      <c r="P511" s="15" t="n">
        <f aca="false">AL511*評分方法!$C$12</f>
        <v>0</v>
      </c>
      <c r="Q511" s="6" t="n">
        <v>328743</v>
      </c>
      <c r="R511" s="6" t="n">
        <v>1374646272</v>
      </c>
      <c r="S511" s="11" t="s">
        <v>254</v>
      </c>
      <c r="T511" s="11" t="s">
        <v>278</v>
      </c>
      <c r="U511" s="5" t="s">
        <v>240</v>
      </c>
      <c r="V511" s="11" t="s">
        <v>324</v>
      </c>
      <c r="W511" s="5" t="s">
        <v>205</v>
      </c>
      <c r="X511" s="5" t="s">
        <v>242</v>
      </c>
      <c r="Y511" s="5"/>
      <c r="Z511" s="5"/>
      <c r="AA511" s="11" t="s">
        <v>156</v>
      </c>
      <c r="AB511" s="5" t="s">
        <v>245</v>
      </c>
      <c r="AC511" s="5"/>
      <c r="AD511" s="11" t="s">
        <v>1471</v>
      </c>
      <c r="AE511" s="23" t="n">
        <v>0.85</v>
      </c>
      <c r="AF511" s="23" t="n">
        <v>0</v>
      </c>
      <c r="AG511" s="23" t="n">
        <v>1</v>
      </c>
      <c r="AH511" s="23" t="n">
        <v>0.87</v>
      </c>
      <c r="AI511" s="23" t="n">
        <v>1</v>
      </c>
      <c r="AJ511" s="23" t="n">
        <v>0.3296</v>
      </c>
      <c r="AK511" s="23" t="n">
        <v>0.5</v>
      </c>
      <c r="AL511" s="23" t="n">
        <v>0</v>
      </c>
      <c r="AM511" s="16" t="n">
        <f aca="false">COUNTIFS($D$2:$D$2501,D511,$G$2:$G$2501,"&gt;"&amp;G511)+COUNTIFS($D$2:D511,D511,$G$2:G511,G511)</f>
        <v>276</v>
      </c>
      <c r="AN511" s="5" t="str">
        <f aca="false">D511&amp;"|"&amp;AM511</f>
        <v>分析與報告生成|276</v>
      </c>
    </row>
    <row r="512" customFormat="false" ht="17.15" hidden="false" customHeight="false" outlineLevel="0" collapsed="false">
      <c r="A512" s="16" t="n">
        <f aca="false">RANK(G512,$G$2:$G$2501)+COUNTIF($G$2:G512,G512)-1</f>
        <v>511</v>
      </c>
      <c r="B512" s="11" t="s">
        <v>1472</v>
      </c>
      <c r="C512" s="11" t="s">
        <v>891</v>
      </c>
      <c r="D512" s="5" t="s">
        <v>56</v>
      </c>
      <c r="E512" s="5" t="s">
        <v>57</v>
      </c>
      <c r="F512" s="5"/>
      <c r="G512" s="22" t="n">
        <f aca="false">ROUND(SUM(I512:P512),3)</f>
        <v>69.322</v>
      </c>
      <c r="H512" s="5" t="str">
        <f aca="false">IF(G512&gt;=評分方法!$C$16,"優先評估",IF(G512&gt;=評分方法!$C$17,"列入候選",IF(G512&gt;=評分方法!$C$18,"特定情境","不建議")))</f>
        <v>特定情境</v>
      </c>
      <c r="I512" s="15" t="n">
        <f aca="false">AE512*評分方法!$C$5</f>
        <v>25.5</v>
      </c>
      <c r="J512" s="15" t="n">
        <f aca="false">AF512*評分方法!$C$6</f>
        <v>0</v>
      </c>
      <c r="K512" s="15" t="n">
        <f aca="false">AG512*評分方法!$C$7</f>
        <v>10.05</v>
      </c>
      <c r="L512" s="15" t="n">
        <f aca="false">AH512*評分方法!$C$8</f>
        <v>9</v>
      </c>
      <c r="M512" s="15" t="n">
        <f aca="false">AI512*評分方法!$C$9</f>
        <v>10</v>
      </c>
      <c r="N512" s="15" t="n">
        <f aca="false">AJ512*評分方法!$C$10</f>
        <v>6.772</v>
      </c>
      <c r="O512" s="15" t="n">
        <f aca="false">AK512*評分方法!$C$11</f>
        <v>5</v>
      </c>
      <c r="P512" s="15" t="n">
        <f aca="false">AL512*評分方法!$C$12</f>
        <v>3</v>
      </c>
      <c r="Q512" s="6" t="n">
        <v>833872</v>
      </c>
      <c r="R512" s="6" t="n">
        <v>25805936206</v>
      </c>
      <c r="S512" s="11" t="s">
        <v>389</v>
      </c>
      <c r="T512" s="11" t="s">
        <v>239</v>
      </c>
      <c r="U512" s="5" t="s">
        <v>240</v>
      </c>
      <c r="V512" s="11" t="s">
        <v>261</v>
      </c>
      <c r="W512" s="5" t="s">
        <v>207</v>
      </c>
      <c r="X512" s="5" t="s">
        <v>371</v>
      </c>
      <c r="Y512" s="11" t="s">
        <v>575</v>
      </c>
      <c r="Z512" s="11" t="s">
        <v>244</v>
      </c>
      <c r="AA512" s="11" t="s">
        <v>156</v>
      </c>
      <c r="AB512" s="5" t="s">
        <v>245</v>
      </c>
      <c r="AC512" s="5" t="s">
        <v>246</v>
      </c>
      <c r="AD512" s="11" t="s">
        <v>1473</v>
      </c>
      <c r="AE512" s="23" t="n">
        <v>0.85</v>
      </c>
      <c r="AF512" s="23" t="n">
        <v>0</v>
      </c>
      <c r="AG512" s="23" t="n">
        <v>0.67</v>
      </c>
      <c r="AH512" s="23" t="n">
        <v>0.6</v>
      </c>
      <c r="AI512" s="23" t="n">
        <v>1</v>
      </c>
      <c r="AJ512" s="23" t="n">
        <v>0.6772</v>
      </c>
      <c r="AK512" s="23" t="n">
        <v>1</v>
      </c>
      <c r="AL512" s="23" t="n">
        <v>0.6</v>
      </c>
      <c r="AM512" s="16" t="n">
        <f aca="false">COUNTIFS($D$2:$D$2501,D512,$G$2:$G$2501,"&gt;"&amp;G512)+COUNTIFS($D$2:D512,D512,$G$2:G512,G512)</f>
        <v>277</v>
      </c>
      <c r="AN512" s="5" t="str">
        <f aca="false">D512&amp;"|"&amp;AM512</f>
        <v>分析與報告生成|277</v>
      </c>
    </row>
    <row r="513" customFormat="false" ht="17.15" hidden="false" customHeight="false" outlineLevel="0" collapsed="false">
      <c r="A513" s="16" t="n">
        <f aca="false">RANK(G513,$G$2:$G$2501)+COUNTIF($G$2:G513,G513)-1</f>
        <v>512</v>
      </c>
      <c r="B513" s="11" t="s">
        <v>1474</v>
      </c>
      <c r="C513" s="11" t="s">
        <v>349</v>
      </c>
      <c r="D513" s="11" t="s">
        <v>60</v>
      </c>
      <c r="E513" s="11" t="s">
        <v>61</v>
      </c>
      <c r="F513" s="11" t="s">
        <v>60</v>
      </c>
      <c r="G513" s="22" t="n">
        <f aca="false">ROUND(SUM(I513:P513),3)</f>
        <v>69.316</v>
      </c>
      <c r="H513" s="5" t="str">
        <f aca="false">IF(G513&gt;=評分方法!$C$16,"優先評估",IF(G513&gt;=評分方法!$C$17,"列入候選",IF(G513&gt;=評分方法!$C$18,"特定情境","不建議")))</f>
        <v>特定情境</v>
      </c>
      <c r="I513" s="15" t="n">
        <f aca="false">AE513*評分方法!$C$5</f>
        <v>18</v>
      </c>
      <c r="J513" s="15" t="n">
        <f aca="false">AF513*評分方法!$C$6</f>
        <v>10</v>
      </c>
      <c r="K513" s="15" t="n">
        <f aca="false">AG513*評分方法!$C$7</f>
        <v>15</v>
      </c>
      <c r="L513" s="15" t="n">
        <f aca="false">AH513*評分方法!$C$8</f>
        <v>15</v>
      </c>
      <c r="M513" s="15" t="n">
        <f aca="false">AI513*評分方法!$C$9</f>
        <v>10</v>
      </c>
      <c r="N513" s="15" t="n">
        <f aca="false">AJ513*評分方法!$C$10</f>
        <v>0.316</v>
      </c>
      <c r="O513" s="15" t="n">
        <f aca="false">AK513*評分方法!$C$11</f>
        <v>1</v>
      </c>
      <c r="P513" s="15" t="n">
        <f aca="false">AL513*評分方法!$C$12</f>
        <v>0</v>
      </c>
      <c r="Q513" s="6" t="n">
        <v>125050</v>
      </c>
      <c r="R513" s="6" t="n">
        <v>568796007</v>
      </c>
      <c r="S513" s="11" t="s">
        <v>238</v>
      </c>
      <c r="T513" s="11" t="s">
        <v>239</v>
      </c>
      <c r="U513" s="5" t="s">
        <v>240</v>
      </c>
      <c r="V513" s="11" t="s">
        <v>261</v>
      </c>
      <c r="W513" s="5" t="s">
        <v>205</v>
      </c>
      <c r="X513" s="5" t="s">
        <v>242</v>
      </c>
      <c r="Y513" s="5"/>
      <c r="Z513" s="5"/>
      <c r="AA513" s="11" t="s">
        <v>161</v>
      </c>
      <c r="AB513" s="5" t="s">
        <v>328</v>
      </c>
      <c r="AC513" s="5" t="s">
        <v>400</v>
      </c>
      <c r="AD513" s="11" t="s">
        <v>1475</v>
      </c>
      <c r="AE513" s="23" t="n">
        <v>0.6</v>
      </c>
      <c r="AF513" s="23" t="n">
        <v>1</v>
      </c>
      <c r="AG513" s="23" t="n">
        <v>1</v>
      </c>
      <c r="AH513" s="23" t="n">
        <v>1</v>
      </c>
      <c r="AI513" s="23" t="n">
        <v>1</v>
      </c>
      <c r="AJ513" s="23" t="n">
        <v>0.0316</v>
      </c>
      <c r="AK513" s="23" t="n">
        <v>0.2</v>
      </c>
      <c r="AL513" s="23" t="n">
        <v>0</v>
      </c>
      <c r="AM513" s="16" t="n">
        <f aca="false">COUNTIFS($D$2:$D$2501,D513,$G$2:$G$2501,"&gt;"&amp;G513)+COUNTIFS($D$2:D513,D513,$G$2:G513,G513)</f>
        <v>4</v>
      </c>
      <c r="AN513" s="5" t="str">
        <f aca="false">D513&amp;"|"&amp;AM513</f>
        <v>AI 紅隊評估|4</v>
      </c>
    </row>
    <row r="514" customFormat="false" ht="17.15" hidden="false" customHeight="false" outlineLevel="0" collapsed="false">
      <c r="A514" s="16" t="n">
        <f aca="false">RANK(G514,$G$2:$G$2501)+COUNTIF($G$2:G514,G514)-1</f>
        <v>513</v>
      </c>
      <c r="B514" s="11" t="s">
        <v>1476</v>
      </c>
      <c r="C514" s="11" t="s">
        <v>998</v>
      </c>
      <c r="D514" s="5" t="s">
        <v>56</v>
      </c>
      <c r="E514" s="5" t="s">
        <v>57</v>
      </c>
      <c r="F514" s="5"/>
      <c r="G514" s="22" t="n">
        <f aca="false">ROUND(SUM(I514:P514),3)</f>
        <v>69.3</v>
      </c>
      <c r="H514" s="5" t="str">
        <f aca="false">IF(G514&gt;=評分方法!$C$16,"優先評估",IF(G514&gt;=評分方法!$C$17,"列入候選",IF(G514&gt;=評分方法!$C$18,"特定情境","不建議")))</f>
        <v>特定情境</v>
      </c>
      <c r="I514" s="15" t="n">
        <f aca="false">AE514*評分方法!$C$5</f>
        <v>24</v>
      </c>
      <c r="J514" s="15" t="n">
        <f aca="false">AF514*評分方法!$C$6</f>
        <v>0</v>
      </c>
      <c r="K514" s="15" t="n">
        <f aca="false">AG514*評分方法!$C$7</f>
        <v>10.05</v>
      </c>
      <c r="L514" s="15" t="n">
        <f aca="false">AH514*評分方法!$C$8</f>
        <v>13.05</v>
      </c>
      <c r="M514" s="15" t="n">
        <f aca="false">AI514*評分方法!$C$9</f>
        <v>10</v>
      </c>
      <c r="N514" s="15" t="n">
        <f aca="false">AJ514*評分方法!$C$10</f>
        <v>4.2</v>
      </c>
      <c r="O514" s="15" t="n">
        <f aca="false">AK514*評分方法!$C$11</f>
        <v>5</v>
      </c>
      <c r="P514" s="15" t="n">
        <f aca="false">AL514*評分方法!$C$12</f>
        <v>3</v>
      </c>
      <c r="Q514" s="6" t="n">
        <v>456451</v>
      </c>
      <c r="R514" s="6" t="n">
        <v>4647450147</v>
      </c>
      <c r="S514" s="11" t="s">
        <v>254</v>
      </c>
      <c r="T514" s="11" t="s">
        <v>239</v>
      </c>
      <c r="U514" s="5" t="s">
        <v>240</v>
      </c>
      <c r="V514" s="11" t="s">
        <v>333</v>
      </c>
      <c r="W514" s="5" t="s">
        <v>207</v>
      </c>
      <c r="X514" s="5" t="s">
        <v>371</v>
      </c>
      <c r="Y514" s="11" t="s">
        <v>425</v>
      </c>
      <c r="Z514" s="11" t="s">
        <v>244</v>
      </c>
      <c r="AA514" s="11" t="s">
        <v>157</v>
      </c>
      <c r="AB514" s="5" t="s">
        <v>245</v>
      </c>
      <c r="AC514" s="5" t="s">
        <v>246</v>
      </c>
      <c r="AD514" s="11" t="s">
        <v>1477</v>
      </c>
      <c r="AE514" s="23" t="n">
        <v>0.8</v>
      </c>
      <c r="AF514" s="23" t="n">
        <v>0</v>
      </c>
      <c r="AG514" s="23" t="n">
        <v>0.67</v>
      </c>
      <c r="AH514" s="23" t="n">
        <v>0.87</v>
      </c>
      <c r="AI514" s="23" t="n">
        <v>1</v>
      </c>
      <c r="AJ514" s="23" t="n">
        <v>0.42</v>
      </c>
      <c r="AK514" s="23" t="n">
        <v>1</v>
      </c>
      <c r="AL514" s="23" t="n">
        <v>0.6</v>
      </c>
      <c r="AM514" s="16" t="n">
        <f aca="false">COUNTIFS($D$2:$D$2501,D514,$G$2:$G$2501,"&gt;"&amp;G514)+COUNTIFS($D$2:D514,D514,$G$2:G514,G514)</f>
        <v>278</v>
      </c>
      <c r="AN514" s="5" t="str">
        <f aca="false">D514&amp;"|"&amp;AM514</f>
        <v>分析與報告生成|278</v>
      </c>
    </row>
    <row r="515" customFormat="false" ht="17.15" hidden="false" customHeight="false" outlineLevel="0" collapsed="false">
      <c r="A515" s="16" t="n">
        <f aca="false">RANK(G515,$G$2:$G$2501)+COUNTIF($G$2:G515,G515)-1</f>
        <v>514</v>
      </c>
      <c r="B515" s="11" t="s">
        <v>1478</v>
      </c>
      <c r="C515" s="11" t="s">
        <v>891</v>
      </c>
      <c r="D515" s="5" t="s">
        <v>56</v>
      </c>
      <c r="E515" s="5" t="s">
        <v>57</v>
      </c>
      <c r="F515" s="5"/>
      <c r="G515" s="22" t="n">
        <f aca="false">ROUND(SUM(I515:P515),3)</f>
        <v>69.286</v>
      </c>
      <c r="H515" s="5" t="str">
        <f aca="false">IF(G515&gt;=評分方法!$C$16,"優先評估",IF(G515&gt;=評分方法!$C$17,"列入候選",IF(G515&gt;=評分方法!$C$18,"特定情境","不建議")))</f>
        <v>特定情境</v>
      </c>
      <c r="I515" s="15" t="n">
        <f aca="false">AE515*評分方法!$C$5</f>
        <v>25.5</v>
      </c>
      <c r="J515" s="15" t="n">
        <f aca="false">AF515*評分方法!$C$6</f>
        <v>0</v>
      </c>
      <c r="K515" s="15" t="n">
        <f aca="false">AG515*評分方法!$C$7</f>
        <v>10.05</v>
      </c>
      <c r="L515" s="15" t="n">
        <f aca="false">AH515*評分方法!$C$8</f>
        <v>9</v>
      </c>
      <c r="M515" s="15" t="n">
        <f aca="false">AI515*評分方法!$C$9</f>
        <v>10</v>
      </c>
      <c r="N515" s="15" t="n">
        <f aca="false">AJ515*評分方法!$C$10</f>
        <v>6.736</v>
      </c>
      <c r="O515" s="15" t="n">
        <f aca="false">AK515*評分方法!$C$11</f>
        <v>5</v>
      </c>
      <c r="P515" s="15" t="n">
        <f aca="false">AL515*評分方法!$C$12</f>
        <v>3</v>
      </c>
      <c r="Q515" s="6" t="n">
        <v>823513</v>
      </c>
      <c r="R515" s="6" t="n">
        <v>25805936206</v>
      </c>
      <c r="S515" s="11" t="s">
        <v>389</v>
      </c>
      <c r="T515" s="11" t="s">
        <v>239</v>
      </c>
      <c r="U515" s="5" t="s">
        <v>240</v>
      </c>
      <c r="V515" s="11" t="s">
        <v>261</v>
      </c>
      <c r="W515" s="5" t="s">
        <v>207</v>
      </c>
      <c r="X515" s="5" t="s">
        <v>371</v>
      </c>
      <c r="Y515" s="11" t="s">
        <v>575</v>
      </c>
      <c r="Z515" s="11" t="s">
        <v>244</v>
      </c>
      <c r="AA515" s="11" t="s">
        <v>156</v>
      </c>
      <c r="AB515" s="5" t="s">
        <v>245</v>
      </c>
      <c r="AC515" s="5" t="s">
        <v>246</v>
      </c>
      <c r="AD515" s="11" t="s">
        <v>1479</v>
      </c>
      <c r="AE515" s="23" t="n">
        <v>0.85</v>
      </c>
      <c r="AF515" s="23" t="n">
        <v>0</v>
      </c>
      <c r="AG515" s="23" t="n">
        <v>0.67</v>
      </c>
      <c r="AH515" s="23" t="n">
        <v>0.6</v>
      </c>
      <c r="AI515" s="23" t="n">
        <v>1</v>
      </c>
      <c r="AJ515" s="23" t="n">
        <v>0.6736</v>
      </c>
      <c r="AK515" s="23" t="n">
        <v>1</v>
      </c>
      <c r="AL515" s="23" t="n">
        <v>0.6</v>
      </c>
      <c r="AM515" s="16" t="n">
        <f aca="false">COUNTIFS($D$2:$D$2501,D515,$G$2:$G$2501,"&gt;"&amp;G515)+COUNTIFS($D$2:D515,D515,$G$2:G515,G515)</f>
        <v>279</v>
      </c>
      <c r="AN515" s="5" t="str">
        <f aca="false">D515&amp;"|"&amp;AM515</f>
        <v>分析與報告生成|279</v>
      </c>
    </row>
    <row r="516" customFormat="false" ht="17.15" hidden="false" customHeight="false" outlineLevel="0" collapsed="false">
      <c r="A516" s="16" t="n">
        <f aca="false">RANK(G516,$G$2:$G$2501)+COUNTIF($G$2:G516,G516)-1</f>
        <v>515</v>
      </c>
      <c r="B516" s="11" t="s">
        <v>1480</v>
      </c>
      <c r="C516" s="11" t="s">
        <v>1202</v>
      </c>
      <c r="D516" s="5" t="s">
        <v>54</v>
      </c>
      <c r="E516" s="5" t="s">
        <v>55</v>
      </c>
      <c r="F516" s="5"/>
      <c r="G516" s="22" t="n">
        <f aca="false">ROUND(SUM(I516:P516),3)</f>
        <v>69.262</v>
      </c>
      <c r="H516" s="5" t="str">
        <f aca="false">IF(G516&gt;=評分方法!$C$16,"優先評估",IF(G516&gt;=評分方法!$C$17,"列入候選",IF(G516&gt;=評分方法!$C$18,"特定情境","不建議")))</f>
        <v>特定情境</v>
      </c>
      <c r="I516" s="15" t="n">
        <f aca="false">AE516*評分方法!$C$5</f>
        <v>27</v>
      </c>
      <c r="J516" s="15" t="n">
        <f aca="false">AF516*評分方法!$C$6</f>
        <v>0</v>
      </c>
      <c r="K516" s="15" t="n">
        <f aca="false">AG516*評分方法!$C$7</f>
        <v>4.95</v>
      </c>
      <c r="L516" s="15" t="n">
        <f aca="false">AH516*評分方法!$C$8</f>
        <v>15</v>
      </c>
      <c r="M516" s="15" t="n">
        <f aca="false">AI516*評分方法!$C$9</f>
        <v>10</v>
      </c>
      <c r="N516" s="15" t="n">
        <f aca="false">AJ516*評分方法!$C$10</f>
        <v>6.812</v>
      </c>
      <c r="O516" s="15" t="n">
        <f aca="false">AK516*評分方法!$C$11</f>
        <v>4</v>
      </c>
      <c r="P516" s="15" t="n">
        <f aca="false">AL516*評分方法!$C$12</f>
        <v>1.5</v>
      </c>
      <c r="Q516" s="6" t="n">
        <v>843031</v>
      </c>
      <c r="R516" s="6" t="n">
        <v>32302592</v>
      </c>
      <c r="S516" s="11" t="s">
        <v>238</v>
      </c>
      <c r="T516" s="11" t="s">
        <v>278</v>
      </c>
      <c r="U516" s="5" t="s">
        <v>240</v>
      </c>
      <c r="V516" s="11" t="s">
        <v>241</v>
      </c>
      <c r="W516" s="5" t="s">
        <v>334</v>
      </c>
      <c r="X516" s="5" t="s">
        <v>255</v>
      </c>
      <c r="Y516" s="11" t="s">
        <v>1481</v>
      </c>
      <c r="Z516" s="11" t="s">
        <v>270</v>
      </c>
      <c r="AA516" s="11" t="s">
        <v>152</v>
      </c>
      <c r="AB516" s="5" t="s">
        <v>961</v>
      </c>
      <c r="AC516" s="5" t="s">
        <v>1203</v>
      </c>
      <c r="AD516" s="11" t="s">
        <v>1482</v>
      </c>
      <c r="AE516" s="23" t="n">
        <v>0.9</v>
      </c>
      <c r="AF516" s="23" t="n">
        <v>0</v>
      </c>
      <c r="AG516" s="23" t="n">
        <v>0.33</v>
      </c>
      <c r="AH516" s="23" t="n">
        <v>1</v>
      </c>
      <c r="AI516" s="23" t="n">
        <v>1</v>
      </c>
      <c r="AJ516" s="23" t="n">
        <v>0.6812</v>
      </c>
      <c r="AK516" s="23" t="n">
        <v>0.8</v>
      </c>
      <c r="AL516" s="23" t="n">
        <v>0.3</v>
      </c>
      <c r="AM516" s="16" t="n">
        <f aca="false">COUNTIFS($D$2:$D$2501,D516,$G$2:$G$2501,"&gt;"&amp;G516)+COUNTIFS($D$2:D516,D516,$G$2:G516,G516)</f>
        <v>122</v>
      </c>
      <c r="AN516" s="5" t="str">
        <f aca="false">D516&amp;"|"&amp;AM516</f>
        <v>檢索與情資關聯|122</v>
      </c>
    </row>
    <row r="517" customFormat="false" ht="17.15" hidden="false" customHeight="false" outlineLevel="0" collapsed="false">
      <c r="A517" s="16" t="n">
        <f aca="false">RANK(G517,$G$2:$G$2501)+COUNTIF($G$2:G517,G517)-1</f>
        <v>516</v>
      </c>
      <c r="B517" s="11" t="s">
        <v>1483</v>
      </c>
      <c r="C517" s="11" t="s">
        <v>1484</v>
      </c>
      <c r="D517" s="5" t="s">
        <v>56</v>
      </c>
      <c r="E517" s="5" t="s">
        <v>57</v>
      </c>
      <c r="F517" s="5"/>
      <c r="G517" s="22" t="n">
        <f aca="false">ROUND(SUM(I517:P517),3)</f>
        <v>69.26</v>
      </c>
      <c r="H517" s="5" t="str">
        <f aca="false">IF(G517&gt;=評分方法!$C$16,"優先評估",IF(G517&gt;=評分方法!$C$17,"列入候選",IF(G517&gt;=評分方法!$C$18,"特定情境","不建議")))</f>
        <v>特定情境</v>
      </c>
      <c r="I517" s="15" t="n">
        <f aca="false">AE517*評分方法!$C$5</f>
        <v>25.5</v>
      </c>
      <c r="J517" s="15" t="n">
        <f aca="false">AF517*評分方法!$C$6</f>
        <v>0</v>
      </c>
      <c r="K517" s="15" t="n">
        <f aca="false">AG517*評分方法!$C$7</f>
        <v>10.05</v>
      </c>
      <c r="L517" s="15" t="n">
        <f aca="false">AH517*評分方法!$C$8</f>
        <v>13.05</v>
      </c>
      <c r="M517" s="15" t="n">
        <f aca="false">AI517*評分方法!$C$9</f>
        <v>10</v>
      </c>
      <c r="N517" s="15" t="n">
        <f aca="false">AJ517*評分方法!$C$10</f>
        <v>9.66</v>
      </c>
      <c r="O517" s="15" t="n">
        <f aca="false">AK517*評分方法!$C$11</f>
        <v>1</v>
      </c>
      <c r="P517" s="15" t="n">
        <f aca="false">AL517*評分方法!$C$12</f>
        <v>0</v>
      </c>
      <c r="Q517" s="6" t="n">
        <v>12331262</v>
      </c>
      <c r="R517" s="6" t="n">
        <v>1100048384</v>
      </c>
      <c r="S517" s="11" t="s">
        <v>254</v>
      </c>
      <c r="T517" s="11" t="s">
        <v>239</v>
      </c>
      <c r="U517" s="5" t="s">
        <v>240</v>
      </c>
      <c r="V517" s="11" t="s">
        <v>261</v>
      </c>
      <c r="W517" s="5" t="s">
        <v>207</v>
      </c>
      <c r="X517" s="5" t="s">
        <v>242</v>
      </c>
      <c r="Y517" s="5"/>
      <c r="Z517" s="5"/>
      <c r="AA517" s="11" t="s">
        <v>155</v>
      </c>
      <c r="AB517" s="5" t="s">
        <v>245</v>
      </c>
      <c r="AC517" s="5"/>
      <c r="AD517" s="11" t="s">
        <v>1485</v>
      </c>
      <c r="AE517" s="23" t="n">
        <v>0.85</v>
      </c>
      <c r="AF517" s="23" t="n">
        <v>0</v>
      </c>
      <c r="AG517" s="23" t="n">
        <v>0.67</v>
      </c>
      <c r="AH517" s="23" t="n">
        <v>0.87</v>
      </c>
      <c r="AI517" s="23" t="n">
        <v>1</v>
      </c>
      <c r="AJ517" s="23" t="n">
        <v>0.966</v>
      </c>
      <c r="AK517" s="23" t="n">
        <v>0.2</v>
      </c>
      <c r="AL517" s="23" t="n">
        <v>0</v>
      </c>
      <c r="AM517" s="16" t="n">
        <f aca="false">COUNTIFS($D$2:$D$2501,D517,$G$2:$G$2501,"&gt;"&amp;G517)+COUNTIFS($D$2:D517,D517,$G$2:G517,G517)</f>
        <v>280</v>
      </c>
      <c r="AN517" s="5" t="str">
        <f aca="false">D517&amp;"|"&amp;AM517</f>
        <v>分析與報告生成|280</v>
      </c>
    </row>
    <row r="518" customFormat="false" ht="17.15" hidden="false" customHeight="false" outlineLevel="0" collapsed="false">
      <c r="A518" s="16" t="n">
        <f aca="false">RANK(G518,$G$2:$G$2501)+COUNTIF($G$2:G518,G518)-1</f>
        <v>517</v>
      </c>
      <c r="B518" s="11" t="s">
        <v>1486</v>
      </c>
      <c r="C518" s="11" t="s">
        <v>891</v>
      </c>
      <c r="D518" s="5" t="s">
        <v>56</v>
      </c>
      <c r="E518" s="5" t="s">
        <v>57</v>
      </c>
      <c r="F518" s="5"/>
      <c r="G518" s="22" t="n">
        <f aca="false">ROUND(SUM(I518:P518),3)</f>
        <v>69.228</v>
      </c>
      <c r="H518" s="5" t="str">
        <f aca="false">IF(G518&gt;=評分方法!$C$16,"優先評估",IF(G518&gt;=評分方法!$C$17,"列入候選",IF(G518&gt;=評分方法!$C$18,"特定情境","不建議")))</f>
        <v>特定情境</v>
      </c>
      <c r="I518" s="15" t="n">
        <f aca="false">AE518*評分方法!$C$5</f>
        <v>25.5</v>
      </c>
      <c r="J518" s="15" t="n">
        <f aca="false">AF518*評分方法!$C$6</f>
        <v>0</v>
      </c>
      <c r="K518" s="15" t="n">
        <f aca="false">AG518*評分方法!$C$7</f>
        <v>10.05</v>
      </c>
      <c r="L518" s="15" t="n">
        <f aca="false">AH518*評分方法!$C$8</f>
        <v>13.05</v>
      </c>
      <c r="M518" s="15" t="n">
        <f aca="false">AI518*評分方法!$C$9</f>
        <v>6</v>
      </c>
      <c r="N518" s="15" t="n">
        <f aca="false">AJ518*評分方法!$C$10</f>
        <v>5.628</v>
      </c>
      <c r="O518" s="15" t="n">
        <f aca="false">AK518*評分方法!$C$11</f>
        <v>4</v>
      </c>
      <c r="P518" s="15" t="n">
        <f aca="false">AL518*評分方法!$C$12</f>
        <v>5</v>
      </c>
      <c r="Q518" s="6" t="n">
        <v>583145</v>
      </c>
      <c r="R518" s="6" t="n">
        <v>1170340608</v>
      </c>
      <c r="S518" s="11" t="s">
        <v>254</v>
      </c>
      <c r="T518" s="11" t="s">
        <v>185</v>
      </c>
      <c r="U518" s="5" t="s">
        <v>260</v>
      </c>
      <c r="V518" s="11" t="s">
        <v>261</v>
      </c>
      <c r="W518" s="5" t="s">
        <v>207</v>
      </c>
      <c r="X518" s="5" t="s">
        <v>284</v>
      </c>
      <c r="Y518" s="11" t="s">
        <v>550</v>
      </c>
      <c r="Z518" s="11" t="s">
        <v>244</v>
      </c>
      <c r="AA518" s="11" t="s">
        <v>155</v>
      </c>
      <c r="AB518" s="5" t="s">
        <v>245</v>
      </c>
      <c r="AC518" s="5" t="s">
        <v>464</v>
      </c>
      <c r="AD518" s="11" t="s">
        <v>1487</v>
      </c>
      <c r="AE518" s="23" t="n">
        <v>0.85</v>
      </c>
      <c r="AF518" s="23" t="n">
        <v>0</v>
      </c>
      <c r="AG518" s="23" t="n">
        <v>0.67</v>
      </c>
      <c r="AH518" s="23" t="n">
        <v>0.87</v>
      </c>
      <c r="AI518" s="23" t="n">
        <v>0.6</v>
      </c>
      <c r="AJ518" s="23" t="n">
        <v>0.5628</v>
      </c>
      <c r="AK518" s="23" t="n">
        <v>0.8</v>
      </c>
      <c r="AL518" s="23" t="n">
        <v>1</v>
      </c>
      <c r="AM518" s="16" t="n">
        <f aca="false">COUNTIFS($D$2:$D$2501,D518,$G$2:$G$2501,"&gt;"&amp;G518)+COUNTIFS($D$2:D518,D518,$G$2:G518,G518)</f>
        <v>281</v>
      </c>
      <c r="AN518" s="5" t="str">
        <f aca="false">D518&amp;"|"&amp;AM518</f>
        <v>分析與報告生成|281</v>
      </c>
    </row>
    <row r="519" customFormat="false" ht="17.15" hidden="false" customHeight="false" outlineLevel="0" collapsed="false">
      <c r="A519" s="16" t="n">
        <f aca="false">RANK(G519,$G$2:$G$2501)+COUNTIF($G$2:G519,G519)-1</f>
        <v>518</v>
      </c>
      <c r="B519" s="11" t="s">
        <v>1488</v>
      </c>
      <c r="C519" s="11" t="s">
        <v>327</v>
      </c>
      <c r="D519" s="5" t="s">
        <v>56</v>
      </c>
      <c r="E519" s="5" t="s">
        <v>57</v>
      </c>
      <c r="F519" s="5"/>
      <c r="G519" s="22" t="n">
        <f aca="false">ROUND(SUM(I519:P519),3)</f>
        <v>69.164</v>
      </c>
      <c r="H519" s="5" t="str">
        <f aca="false">IF(G519&gt;=評分方法!$C$16,"優先評估",IF(G519&gt;=評分方法!$C$17,"列入候選",IF(G519&gt;=評分方法!$C$18,"特定情境","不建議")))</f>
        <v>特定情境</v>
      </c>
      <c r="I519" s="15" t="n">
        <f aca="false">AE519*評分方法!$C$5</f>
        <v>25.5</v>
      </c>
      <c r="J519" s="15" t="n">
        <f aca="false">AF519*評分方法!$C$6</f>
        <v>0</v>
      </c>
      <c r="K519" s="15" t="n">
        <f aca="false">AG519*評分方法!$C$7</f>
        <v>15</v>
      </c>
      <c r="L519" s="15" t="n">
        <f aca="false">AH519*評分方法!$C$8</f>
        <v>9</v>
      </c>
      <c r="M519" s="15" t="n">
        <f aca="false">AI519*評分方法!$C$9</f>
        <v>6</v>
      </c>
      <c r="N519" s="15" t="n">
        <f aca="false">AJ519*評分方法!$C$10</f>
        <v>8.664</v>
      </c>
      <c r="O519" s="15" t="n">
        <f aca="false">AK519*評分方法!$C$11</f>
        <v>5</v>
      </c>
      <c r="P519" s="15" t="n">
        <f aca="false">AL519*評分方法!$C$12</f>
        <v>0</v>
      </c>
      <c r="Q519" s="6" t="n">
        <v>2661197</v>
      </c>
      <c r="R519" s="6" t="n">
        <v>17820210764</v>
      </c>
      <c r="S519" s="11" t="s">
        <v>389</v>
      </c>
      <c r="T519" s="11" t="s">
        <v>185</v>
      </c>
      <c r="U519" s="5" t="s">
        <v>260</v>
      </c>
      <c r="V519" s="11" t="s">
        <v>261</v>
      </c>
      <c r="W519" s="5" t="s">
        <v>205</v>
      </c>
      <c r="X519" s="5" t="s">
        <v>242</v>
      </c>
      <c r="Y519" s="5"/>
      <c r="Z519" s="5"/>
      <c r="AA519" s="11" t="s">
        <v>155</v>
      </c>
      <c r="AB519" s="5" t="s">
        <v>245</v>
      </c>
      <c r="AC519" s="5" t="s">
        <v>262</v>
      </c>
      <c r="AD519" s="11" t="s">
        <v>1489</v>
      </c>
      <c r="AE519" s="23" t="n">
        <v>0.85</v>
      </c>
      <c r="AF519" s="23" t="n">
        <v>0</v>
      </c>
      <c r="AG519" s="23" t="n">
        <v>1</v>
      </c>
      <c r="AH519" s="23" t="n">
        <v>0.6</v>
      </c>
      <c r="AI519" s="23" t="n">
        <v>0.6</v>
      </c>
      <c r="AJ519" s="23" t="n">
        <v>0.8664</v>
      </c>
      <c r="AK519" s="23" t="n">
        <v>1</v>
      </c>
      <c r="AL519" s="23" t="n">
        <v>0</v>
      </c>
      <c r="AM519" s="16" t="n">
        <f aca="false">COUNTIFS($D$2:$D$2501,D519,$G$2:$G$2501,"&gt;"&amp;G519)+COUNTIFS($D$2:D519,D519,$G$2:G519,G519)</f>
        <v>282</v>
      </c>
      <c r="AN519" s="5" t="str">
        <f aca="false">D519&amp;"|"&amp;AM519</f>
        <v>分析與報告生成|282</v>
      </c>
    </row>
    <row r="520" customFormat="false" ht="17.15" hidden="false" customHeight="false" outlineLevel="0" collapsed="false">
      <c r="A520" s="16" t="n">
        <f aca="false">RANK(G520,$G$2:$G$2501)+COUNTIF($G$2:G520,G520)-1</f>
        <v>519</v>
      </c>
      <c r="B520" s="11" t="s">
        <v>1490</v>
      </c>
      <c r="C520" s="11" t="s">
        <v>1438</v>
      </c>
      <c r="D520" s="5" t="s">
        <v>56</v>
      </c>
      <c r="E520" s="5" t="s">
        <v>57</v>
      </c>
      <c r="F520" s="5"/>
      <c r="G520" s="22" t="n">
        <f aca="false">ROUND(SUM(I520:P520),3)</f>
        <v>69.144</v>
      </c>
      <c r="H520" s="5" t="str">
        <f aca="false">IF(G520&gt;=評分方法!$C$16,"優先評估",IF(G520&gt;=評分方法!$C$17,"列入候選",IF(G520&gt;=評分方法!$C$18,"特定情境","不建議")))</f>
        <v>特定情境</v>
      </c>
      <c r="I520" s="15" t="n">
        <f aca="false">AE520*評分方法!$C$5</f>
        <v>25.5</v>
      </c>
      <c r="J520" s="15" t="n">
        <f aca="false">AF520*評分方法!$C$6</f>
        <v>0</v>
      </c>
      <c r="K520" s="15" t="n">
        <f aca="false">AG520*評分方法!$C$7</f>
        <v>10.05</v>
      </c>
      <c r="L520" s="15" t="n">
        <f aca="false">AH520*評分方法!$C$8</f>
        <v>13.05</v>
      </c>
      <c r="M520" s="15" t="n">
        <f aca="false">AI520*評分方法!$C$9</f>
        <v>10</v>
      </c>
      <c r="N520" s="15" t="n">
        <f aca="false">AJ520*評分方法!$C$10</f>
        <v>6.544</v>
      </c>
      <c r="O520" s="15" t="n">
        <f aca="false">AK520*評分方法!$C$11</f>
        <v>1</v>
      </c>
      <c r="P520" s="15" t="n">
        <f aca="false">AL520*評分方法!$C$12</f>
        <v>3</v>
      </c>
      <c r="Q520" s="6" t="n">
        <v>763988</v>
      </c>
      <c r="R520" s="6" t="n">
        <v>7241732096</v>
      </c>
      <c r="S520" s="11" t="s">
        <v>254</v>
      </c>
      <c r="T520" s="11" t="s">
        <v>239</v>
      </c>
      <c r="U520" s="5" t="s">
        <v>240</v>
      </c>
      <c r="V520" s="11" t="s">
        <v>333</v>
      </c>
      <c r="W520" s="5" t="s">
        <v>207</v>
      </c>
      <c r="X520" s="5" t="s">
        <v>371</v>
      </c>
      <c r="Y520" s="11" t="s">
        <v>1491</v>
      </c>
      <c r="Z520" s="11" t="s">
        <v>244</v>
      </c>
      <c r="AA520" s="11" t="s">
        <v>155</v>
      </c>
      <c r="AB520" s="5" t="s">
        <v>245</v>
      </c>
      <c r="AC520" s="5" t="s">
        <v>246</v>
      </c>
      <c r="AD520" s="11" t="s">
        <v>1492</v>
      </c>
      <c r="AE520" s="23" t="n">
        <v>0.85</v>
      </c>
      <c r="AF520" s="23" t="n">
        <v>0</v>
      </c>
      <c r="AG520" s="23" t="n">
        <v>0.67</v>
      </c>
      <c r="AH520" s="23" t="n">
        <v>0.87</v>
      </c>
      <c r="AI520" s="23" t="n">
        <v>1</v>
      </c>
      <c r="AJ520" s="23" t="n">
        <v>0.6544</v>
      </c>
      <c r="AK520" s="23" t="n">
        <v>0.2</v>
      </c>
      <c r="AL520" s="23" t="n">
        <v>0.6</v>
      </c>
      <c r="AM520" s="16" t="n">
        <f aca="false">COUNTIFS($D$2:$D$2501,D520,$G$2:$G$2501,"&gt;"&amp;G520)+COUNTIFS($D$2:D520,D520,$G$2:G520,G520)</f>
        <v>283</v>
      </c>
      <c r="AN520" s="5" t="str">
        <f aca="false">D520&amp;"|"&amp;AM520</f>
        <v>分析與報告生成|283</v>
      </c>
    </row>
    <row r="521" customFormat="false" ht="17.15" hidden="false" customHeight="false" outlineLevel="0" collapsed="false">
      <c r="A521" s="16" t="n">
        <f aca="false">RANK(G521,$G$2:$G$2501)+COUNTIF($G$2:G521,G521)-1</f>
        <v>520</v>
      </c>
      <c r="B521" s="11" t="s">
        <v>1493</v>
      </c>
      <c r="C521" s="11" t="s">
        <v>258</v>
      </c>
      <c r="D521" s="5" t="s">
        <v>56</v>
      </c>
      <c r="E521" s="5" t="s">
        <v>57</v>
      </c>
      <c r="F521" s="5"/>
      <c r="G521" s="22" t="n">
        <f aca="false">ROUND(SUM(I521:P521),3)</f>
        <v>69.126</v>
      </c>
      <c r="H521" s="5" t="str">
        <f aca="false">IF(G521&gt;=評分方法!$C$16,"優先評估",IF(G521&gt;=評分方法!$C$17,"列入候選",IF(G521&gt;=評分方法!$C$18,"特定情境","不建議")))</f>
        <v>特定情境</v>
      </c>
      <c r="I521" s="15" t="n">
        <f aca="false">AE521*評分方法!$C$5</f>
        <v>25.5</v>
      </c>
      <c r="J521" s="15" t="n">
        <f aca="false">AF521*評分方法!$C$6</f>
        <v>0</v>
      </c>
      <c r="K521" s="15" t="n">
        <f aca="false">AG521*評分方法!$C$7</f>
        <v>15</v>
      </c>
      <c r="L521" s="15" t="n">
        <f aca="false">AH521*評分方法!$C$8</f>
        <v>13.05</v>
      </c>
      <c r="M521" s="15" t="n">
        <f aca="false">AI521*評分方法!$C$9</f>
        <v>6</v>
      </c>
      <c r="N521" s="15" t="n">
        <f aca="false">AJ521*評分方法!$C$10</f>
        <v>8.576</v>
      </c>
      <c r="O521" s="15" t="n">
        <f aca="false">AK521*評分方法!$C$11</f>
        <v>1</v>
      </c>
      <c r="P521" s="15" t="n">
        <f aca="false">AL521*評分方法!$C$12</f>
        <v>0</v>
      </c>
      <c r="Q521" s="6" t="n">
        <v>2427887</v>
      </c>
      <c r="R521" s="6" t="n">
        <v>6738417664</v>
      </c>
      <c r="S521" s="11" t="s">
        <v>254</v>
      </c>
      <c r="T521" s="11" t="s">
        <v>1153</v>
      </c>
      <c r="U521" s="5" t="s">
        <v>260</v>
      </c>
      <c r="V521" s="11" t="s">
        <v>324</v>
      </c>
      <c r="W521" s="5" t="s">
        <v>205</v>
      </c>
      <c r="X521" s="5" t="s">
        <v>242</v>
      </c>
      <c r="Y521" s="5"/>
      <c r="Z521" s="5"/>
      <c r="AA521" s="11" t="s">
        <v>155</v>
      </c>
      <c r="AB521" s="5" t="s">
        <v>245</v>
      </c>
      <c r="AC521" s="5" t="s">
        <v>262</v>
      </c>
      <c r="AD521" s="11" t="s">
        <v>1494</v>
      </c>
      <c r="AE521" s="23" t="n">
        <v>0.85</v>
      </c>
      <c r="AF521" s="23" t="n">
        <v>0</v>
      </c>
      <c r="AG521" s="23" t="n">
        <v>1</v>
      </c>
      <c r="AH521" s="23" t="n">
        <v>0.87</v>
      </c>
      <c r="AI521" s="23" t="n">
        <v>0.6</v>
      </c>
      <c r="AJ521" s="23" t="n">
        <v>0.8576</v>
      </c>
      <c r="AK521" s="23" t="n">
        <v>0.2</v>
      </c>
      <c r="AL521" s="23" t="n">
        <v>0</v>
      </c>
      <c r="AM521" s="16" t="n">
        <f aca="false">COUNTIFS($D$2:$D$2501,D521,$G$2:$G$2501,"&gt;"&amp;G521)+COUNTIFS($D$2:D521,D521,$G$2:G521,G521)</f>
        <v>284</v>
      </c>
      <c r="AN521" s="5" t="str">
        <f aca="false">D521&amp;"|"&amp;AM521</f>
        <v>分析與報告生成|284</v>
      </c>
    </row>
    <row r="522" customFormat="false" ht="17.15" hidden="false" customHeight="false" outlineLevel="0" collapsed="false">
      <c r="A522" s="16" t="n">
        <f aca="false">RANK(G522,$G$2:$G$2501)+COUNTIF($G$2:G522,G522)-1</f>
        <v>521</v>
      </c>
      <c r="B522" s="11" t="s">
        <v>1495</v>
      </c>
      <c r="C522" s="11" t="s">
        <v>891</v>
      </c>
      <c r="D522" s="5" t="s">
        <v>56</v>
      </c>
      <c r="E522" s="5" t="s">
        <v>57</v>
      </c>
      <c r="F522" s="5"/>
      <c r="G522" s="22" t="n">
        <f aca="false">ROUND(SUM(I522:P522),3)</f>
        <v>69.086</v>
      </c>
      <c r="H522" s="5" t="str">
        <f aca="false">IF(G522&gt;=評分方法!$C$16,"優先評估",IF(G522&gt;=評分方法!$C$17,"列入候選",IF(G522&gt;=評分方法!$C$18,"特定情境","不建議")))</f>
        <v>特定情境</v>
      </c>
      <c r="I522" s="15" t="n">
        <f aca="false">AE522*評分方法!$C$5</f>
        <v>25.5</v>
      </c>
      <c r="J522" s="15" t="n">
        <f aca="false">AF522*評分方法!$C$6</f>
        <v>0</v>
      </c>
      <c r="K522" s="15" t="n">
        <f aca="false">AG522*評分方法!$C$7</f>
        <v>10.05</v>
      </c>
      <c r="L522" s="15" t="n">
        <f aca="false">AH522*評分方法!$C$8</f>
        <v>9</v>
      </c>
      <c r="M522" s="15" t="n">
        <f aca="false">AI522*評分方法!$C$9</f>
        <v>10</v>
      </c>
      <c r="N522" s="15" t="n">
        <f aca="false">AJ522*評分方法!$C$10</f>
        <v>6.536</v>
      </c>
      <c r="O522" s="15" t="n">
        <f aca="false">AK522*評分方法!$C$11</f>
        <v>5</v>
      </c>
      <c r="P522" s="15" t="n">
        <f aca="false">AL522*評分方法!$C$12</f>
        <v>3</v>
      </c>
      <c r="Q522" s="6" t="n">
        <v>763381</v>
      </c>
      <c r="R522" s="6" t="n">
        <v>30697345596</v>
      </c>
      <c r="S522" s="11" t="s">
        <v>389</v>
      </c>
      <c r="T522" s="11" t="s">
        <v>239</v>
      </c>
      <c r="U522" s="5" t="s">
        <v>240</v>
      </c>
      <c r="V522" s="11" t="s">
        <v>333</v>
      </c>
      <c r="W522" s="5" t="s">
        <v>207</v>
      </c>
      <c r="X522" s="5" t="s">
        <v>371</v>
      </c>
      <c r="Y522" s="11" t="s">
        <v>583</v>
      </c>
      <c r="Z522" s="11" t="s">
        <v>244</v>
      </c>
      <c r="AA522" s="11" t="s">
        <v>156</v>
      </c>
      <c r="AB522" s="5" t="s">
        <v>496</v>
      </c>
      <c r="AC522" s="5" t="s">
        <v>555</v>
      </c>
      <c r="AD522" s="11" t="s">
        <v>1496</v>
      </c>
      <c r="AE522" s="23" t="n">
        <v>0.85</v>
      </c>
      <c r="AF522" s="23" t="n">
        <v>0</v>
      </c>
      <c r="AG522" s="23" t="n">
        <v>0.67</v>
      </c>
      <c r="AH522" s="23" t="n">
        <v>0.6</v>
      </c>
      <c r="AI522" s="23" t="n">
        <v>1</v>
      </c>
      <c r="AJ522" s="23" t="n">
        <v>0.6536</v>
      </c>
      <c r="AK522" s="23" t="n">
        <v>1</v>
      </c>
      <c r="AL522" s="23" t="n">
        <v>0.6</v>
      </c>
      <c r="AM522" s="16" t="n">
        <f aca="false">COUNTIFS($D$2:$D$2501,D522,$G$2:$G$2501,"&gt;"&amp;G522)+COUNTIFS($D$2:D522,D522,$G$2:G522,G522)</f>
        <v>285</v>
      </c>
      <c r="AN522" s="5" t="str">
        <f aca="false">D522&amp;"|"&amp;AM522</f>
        <v>分析與報告生成|285</v>
      </c>
    </row>
    <row r="523" customFormat="false" ht="17.15" hidden="false" customHeight="false" outlineLevel="0" collapsed="false">
      <c r="A523" s="16" t="n">
        <f aca="false">RANK(G523,$G$2:$G$2501)+COUNTIF($G$2:G523,G523)-1</f>
        <v>522</v>
      </c>
      <c r="B523" s="11" t="s">
        <v>1497</v>
      </c>
      <c r="C523" s="11" t="s">
        <v>368</v>
      </c>
      <c r="D523" s="5" t="s">
        <v>56</v>
      </c>
      <c r="E523" s="5" t="s">
        <v>57</v>
      </c>
      <c r="F523" s="5"/>
      <c r="G523" s="22" t="n">
        <f aca="false">ROUND(SUM(I523:P523),3)</f>
        <v>69.082</v>
      </c>
      <c r="H523" s="5" t="str">
        <f aca="false">IF(G523&gt;=評分方法!$C$16,"優先評估",IF(G523&gt;=評分方法!$C$17,"列入候選",IF(G523&gt;=評分方法!$C$18,"特定情境","不建議")))</f>
        <v>特定情境</v>
      </c>
      <c r="I523" s="15" t="n">
        <f aca="false">AE523*評分方法!$C$5</f>
        <v>18</v>
      </c>
      <c r="J523" s="15" t="n">
        <f aca="false">AF523*評分方法!$C$6</f>
        <v>0</v>
      </c>
      <c r="K523" s="15" t="n">
        <f aca="false">AG523*評分方法!$C$7</f>
        <v>15</v>
      </c>
      <c r="L523" s="15" t="n">
        <f aca="false">AH523*評分方法!$C$8</f>
        <v>13.05</v>
      </c>
      <c r="M523" s="15" t="n">
        <f aca="false">AI523*評分方法!$C$9</f>
        <v>10</v>
      </c>
      <c r="N523" s="15" t="n">
        <f aca="false">AJ523*評分方法!$C$10</f>
        <v>7.032</v>
      </c>
      <c r="O523" s="15" t="n">
        <f aca="false">AK523*評分方法!$C$11</f>
        <v>1</v>
      </c>
      <c r="P523" s="15" t="n">
        <f aca="false">AL523*評分方法!$C$12</f>
        <v>5</v>
      </c>
      <c r="Q523" s="6" t="n">
        <v>931183</v>
      </c>
      <c r="R523" s="6" t="n">
        <v>2849757184</v>
      </c>
      <c r="S523" s="11" t="s">
        <v>254</v>
      </c>
      <c r="T523" s="11" t="s">
        <v>239</v>
      </c>
      <c r="U523" s="5" t="s">
        <v>240</v>
      </c>
      <c r="V523" s="11" t="s">
        <v>279</v>
      </c>
      <c r="W523" s="5" t="s">
        <v>205</v>
      </c>
      <c r="X523" s="5" t="s">
        <v>284</v>
      </c>
      <c r="Y523" s="5"/>
      <c r="Z523" s="5"/>
      <c r="AA523" s="11" t="s">
        <v>161</v>
      </c>
      <c r="AB523" s="5" t="s">
        <v>983</v>
      </c>
      <c r="AC523" s="5" t="s">
        <v>984</v>
      </c>
      <c r="AD523" s="11" t="s">
        <v>1498</v>
      </c>
      <c r="AE523" s="23" t="n">
        <v>0.6</v>
      </c>
      <c r="AF523" s="23" t="n">
        <v>0</v>
      </c>
      <c r="AG523" s="23" t="n">
        <v>1</v>
      </c>
      <c r="AH523" s="23" t="n">
        <v>0.87</v>
      </c>
      <c r="AI523" s="23" t="n">
        <v>1</v>
      </c>
      <c r="AJ523" s="23" t="n">
        <v>0.7032</v>
      </c>
      <c r="AK523" s="23" t="n">
        <v>0.2</v>
      </c>
      <c r="AL523" s="23" t="n">
        <v>1</v>
      </c>
      <c r="AM523" s="16" t="n">
        <f aca="false">COUNTIFS($D$2:$D$2501,D523,$G$2:$G$2501,"&gt;"&amp;G523)+COUNTIFS($D$2:D523,D523,$G$2:G523,G523)</f>
        <v>286</v>
      </c>
      <c r="AN523" s="5" t="str">
        <f aca="false">D523&amp;"|"&amp;AM523</f>
        <v>分析與報告生成|286</v>
      </c>
    </row>
    <row r="524" customFormat="false" ht="17.15" hidden="false" customHeight="false" outlineLevel="0" collapsed="false">
      <c r="A524" s="16" t="n">
        <f aca="false">RANK(G524,$G$2:$G$2501)+COUNTIF($G$2:G524,G524)-1</f>
        <v>523</v>
      </c>
      <c r="B524" s="11" t="s">
        <v>1499</v>
      </c>
      <c r="C524" s="11" t="s">
        <v>753</v>
      </c>
      <c r="D524" s="5" t="s">
        <v>56</v>
      </c>
      <c r="E524" s="5" t="s">
        <v>57</v>
      </c>
      <c r="F524" s="5"/>
      <c r="G524" s="22" t="n">
        <f aca="false">ROUND(SUM(I524:P524),3)</f>
        <v>69.066</v>
      </c>
      <c r="H524" s="5" t="str">
        <f aca="false">IF(G524&gt;=評分方法!$C$16,"優先評估",IF(G524&gt;=評分方法!$C$17,"列入候選",IF(G524&gt;=評分方法!$C$18,"特定情境","不建議")))</f>
        <v>特定情境</v>
      </c>
      <c r="I524" s="15" t="n">
        <f aca="false">AE524*評分方法!$C$5</f>
        <v>25.5</v>
      </c>
      <c r="J524" s="15" t="n">
        <f aca="false">AF524*評分方法!$C$6</f>
        <v>0</v>
      </c>
      <c r="K524" s="15" t="n">
        <f aca="false">AG524*評分方法!$C$7</f>
        <v>10.05</v>
      </c>
      <c r="L524" s="15" t="n">
        <f aca="false">AH524*評分方法!$C$8</f>
        <v>9</v>
      </c>
      <c r="M524" s="15" t="n">
        <f aca="false">AI524*評分方法!$C$9</f>
        <v>10</v>
      </c>
      <c r="N524" s="15" t="n">
        <f aca="false">AJ524*評分方法!$C$10</f>
        <v>6.516</v>
      </c>
      <c r="O524" s="15" t="n">
        <f aca="false">AK524*評分方法!$C$11</f>
        <v>5</v>
      </c>
      <c r="P524" s="15" t="n">
        <f aca="false">AL524*評分方法!$C$12</f>
        <v>3</v>
      </c>
      <c r="Q524" s="6" t="n">
        <v>758451</v>
      </c>
      <c r="R524" s="6" t="n">
        <v>30484303872</v>
      </c>
      <c r="S524" s="11" t="s">
        <v>389</v>
      </c>
      <c r="T524" s="11" t="s">
        <v>239</v>
      </c>
      <c r="U524" s="5" t="s">
        <v>240</v>
      </c>
      <c r="V524" s="11" t="s">
        <v>333</v>
      </c>
      <c r="W524" s="5" t="s">
        <v>207</v>
      </c>
      <c r="X524" s="5" t="s">
        <v>371</v>
      </c>
      <c r="Y524" s="11" t="s">
        <v>1500</v>
      </c>
      <c r="Z524" s="11" t="s">
        <v>244</v>
      </c>
      <c r="AA524" s="11" t="s">
        <v>155</v>
      </c>
      <c r="AB524" s="5" t="s">
        <v>496</v>
      </c>
      <c r="AC524" s="5" t="s">
        <v>555</v>
      </c>
      <c r="AD524" s="11" t="s">
        <v>1501</v>
      </c>
      <c r="AE524" s="23" t="n">
        <v>0.85</v>
      </c>
      <c r="AF524" s="23" t="n">
        <v>0</v>
      </c>
      <c r="AG524" s="23" t="n">
        <v>0.67</v>
      </c>
      <c r="AH524" s="23" t="n">
        <v>0.6</v>
      </c>
      <c r="AI524" s="23" t="n">
        <v>1</v>
      </c>
      <c r="AJ524" s="23" t="n">
        <v>0.6516</v>
      </c>
      <c r="AK524" s="23" t="n">
        <v>1</v>
      </c>
      <c r="AL524" s="23" t="n">
        <v>0.6</v>
      </c>
      <c r="AM524" s="16" t="n">
        <f aca="false">COUNTIFS($D$2:$D$2501,D524,$G$2:$G$2501,"&gt;"&amp;G524)+COUNTIFS($D$2:D524,D524,$G$2:G524,G524)</f>
        <v>287</v>
      </c>
      <c r="AN524" s="5" t="str">
        <f aca="false">D524&amp;"|"&amp;AM524</f>
        <v>分析與報告生成|287</v>
      </c>
    </row>
    <row r="525" customFormat="false" ht="17.15" hidden="false" customHeight="false" outlineLevel="0" collapsed="false">
      <c r="A525" s="16" t="n">
        <f aca="false">RANK(G525,$G$2:$G$2501)+COUNTIF($G$2:G525,G525)-1</f>
        <v>524</v>
      </c>
      <c r="B525" s="11" t="s">
        <v>1502</v>
      </c>
      <c r="C525" s="11" t="s">
        <v>891</v>
      </c>
      <c r="D525" s="5" t="s">
        <v>56</v>
      </c>
      <c r="E525" s="5" t="s">
        <v>57</v>
      </c>
      <c r="F525" s="5"/>
      <c r="G525" s="22" t="n">
        <f aca="false">ROUND(SUM(I525:P525),3)</f>
        <v>69.06</v>
      </c>
      <c r="H525" s="5" t="str">
        <f aca="false">IF(G525&gt;=評分方法!$C$16,"優先評估",IF(G525&gt;=評分方法!$C$17,"列入候選",IF(G525&gt;=評分方法!$C$18,"特定情境","不建議")))</f>
        <v>特定情境</v>
      </c>
      <c r="I525" s="15" t="n">
        <f aca="false">AE525*評分方法!$C$5</f>
        <v>25.5</v>
      </c>
      <c r="J525" s="15" t="n">
        <f aca="false">AF525*評分方法!$C$6</f>
        <v>0</v>
      </c>
      <c r="K525" s="15" t="n">
        <f aca="false">AG525*評分方法!$C$7</f>
        <v>10.05</v>
      </c>
      <c r="L525" s="15" t="n">
        <f aca="false">AH525*評分方法!$C$8</f>
        <v>13.05</v>
      </c>
      <c r="M525" s="15" t="n">
        <f aca="false">AI525*評分方法!$C$9</f>
        <v>6</v>
      </c>
      <c r="N525" s="15" t="n">
        <f aca="false">AJ525*評分方法!$C$10</f>
        <v>5.46</v>
      </c>
      <c r="O525" s="15" t="n">
        <f aca="false">AK525*評分方法!$C$11</f>
        <v>4</v>
      </c>
      <c r="P525" s="15" t="n">
        <f aca="false">AL525*評分方法!$C$12</f>
        <v>5</v>
      </c>
      <c r="Q525" s="6" t="n">
        <v>573526</v>
      </c>
      <c r="R525" s="6" t="n">
        <v>1170340608</v>
      </c>
      <c r="S525" s="11" t="s">
        <v>254</v>
      </c>
      <c r="T525" s="11" t="s">
        <v>185</v>
      </c>
      <c r="U525" s="5" t="s">
        <v>260</v>
      </c>
      <c r="V525" s="11" t="s">
        <v>261</v>
      </c>
      <c r="W525" s="5" t="s">
        <v>207</v>
      </c>
      <c r="X525" s="5" t="s">
        <v>284</v>
      </c>
      <c r="Y525" s="11" t="s">
        <v>550</v>
      </c>
      <c r="Z525" s="11" t="s">
        <v>244</v>
      </c>
      <c r="AA525" s="11" t="s">
        <v>155</v>
      </c>
      <c r="AB525" s="5" t="s">
        <v>245</v>
      </c>
      <c r="AC525" s="5" t="s">
        <v>464</v>
      </c>
      <c r="AD525" s="11" t="s">
        <v>1503</v>
      </c>
      <c r="AE525" s="23" t="n">
        <v>0.85</v>
      </c>
      <c r="AF525" s="23" t="n">
        <v>0</v>
      </c>
      <c r="AG525" s="23" t="n">
        <v>0.67</v>
      </c>
      <c r="AH525" s="23" t="n">
        <v>0.87</v>
      </c>
      <c r="AI525" s="23" t="n">
        <v>0.6</v>
      </c>
      <c r="AJ525" s="23" t="n">
        <v>0.546</v>
      </c>
      <c r="AK525" s="23" t="n">
        <v>0.8</v>
      </c>
      <c r="AL525" s="23" t="n">
        <v>1</v>
      </c>
      <c r="AM525" s="16" t="n">
        <f aca="false">COUNTIFS($D$2:$D$2501,D525,$G$2:$G$2501,"&gt;"&amp;G525)+COUNTIFS($D$2:D525,D525,$G$2:G525,G525)</f>
        <v>288</v>
      </c>
      <c r="AN525" s="5" t="str">
        <f aca="false">D525&amp;"|"&amp;AM525</f>
        <v>分析與報告生成|288</v>
      </c>
    </row>
    <row r="526" customFormat="false" ht="17.15" hidden="false" customHeight="false" outlineLevel="0" collapsed="false">
      <c r="A526" s="16" t="n">
        <f aca="false">RANK(G526,$G$2:$G$2501)+COUNTIF($G$2:G526,G526)-1</f>
        <v>525</v>
      </c>
      <c r="B526" s="11" t="s">
        <v>1504</v>
      </c>
      <c r="C526" s="11" t="s">
        <v>891</v>
      </c>
      <c r="D526" s="5" t="s">
        <v>56</v>
      </c>
      <c r="E526" s="5" t="s">
        <v>57</v>
      </c>
      <c r="F526" s="5"/>
      <c r="G526" s="22" t="n">
        <f aca="false">ROUND(SUM(I526:P526),3)</f>
        <v>69.032</v>
      </c>
      <c r="H526" s="5" t="str">
        <f aca="false">IF(G526&gt;=評分方法!$C$16,"優先評估",IF(G526&gt;=評分方法!$C$17,"列入候選",IF(G526&gt;=評分方法!$C$18,"特定情境","不建議")))</f>
        <v>特定情境</v>
      </c>
      <c r="I526" s="15" t="n">
        <f aca="false">AE526*評分方法!$C$5</f>
        <v>25.5</v>
      </c>
      <c r="J526" s="15" t="n">
        <f aca="false">AF526*評分方法!$C$6</f>
        <v>0</v>
      </c>
      <c r="K526" s="15" t="n">
        <f aca="false">AG526*評分方法!$C$7</f>
        <v>10.05</v>
      </c>
      <c r="L526" s="15" t="n">
        <f aca="false">AH526*評分方法!$C$8</f>
        <v>13.05</v>
      </c>
      <c r="M526" s="15" t="n">
        <f aca="false">AI526*評分方法!$C$9</f>
        <v>6</v>
      </c>
      <c r="N526" s="15" t="n">
        <f aca="false">AJ526*評分方法!$C$10</f>
        <v>5.432</v>
      </c>
      <c r="O526" s="15" t="n">
        <f aca="false">AK526*評分方法!$C$11</f>
        <v>4</v>
      </c>
      <c r="P526" s="15" t="n">
        <f aca="false">AL526*評分方法!$C$12</f>
        <v>5</v>
      </c>
      <c r="Q526" s="6" t="n">
        <v>571403</v>
      </c>
      <c r="R526" s="6" t="n">
        <v>1170340608</v>
      </c>
      <c r="S526" s="11" t="s">
        <v>254</v>
      </c>
      <c r="T526" s="11" t="s">
        <v>185</v>
      </c>
      <c r="U526" s="5" t="s">
        <v>260</v>
      </c>
      <c r="V526" s="11" t="s">
        <v>261</v>
      </c>
      <c r="W526" s="5" t="s">
        <v>207</v>
      </c>
      <c r="X526" s="5" t="s">
        <v>284</v>
      </c>
      <c r="Y526" s="11" t="s">
        <v>550</v>
      </c>
      <c r="Z526" s="11" t="s">
        <v>244</v>
      </c>
      <c r="AA526" s="11" t="s">
        <v>155</v>
      </c>
      <c r="AB526" s="5" t="s">
        <v>245</v>
      </c>
      <c r="AC526" s="5" t="s">
        <v>464</v>
      </c>
      <c r="AD526" s="11" t="s">
        <v>1505</v>
      </c>
      <c r="AE526" s="23" t="n">
        <v>0.85</v>
      </c>
      <c r="AF526" s="23" t="n">
        <v>0</v>
      </c>
      <c r="AG526" s="23" t="n">
        <v>0.67</v>
      </c>
      <c r="AH526" s="23" t="n">
        <v>0.87</v>
      </c>
      <c r="AI526" s="23" t="n">
        <v>0.6</v>
      </c>
      <c r="AJ526" s="23" t="n">
        <v>0.5432</v>
      </c>
      <c r="AK526" s="23" t="n">
        <v>0.8</v>
      </c>
      <c r="AL526" s="23" t="n">
        <v>1</v>
      </c>
      <c r="AM526" s="16" t="n">
        <f aca="false">COUNTIFS($D$2:$D$2501,D526,$G$2:$G$2501,"&gt;"&amp;G526)+COUNTIFS($D$2:D526,D526,$G$2:G526,G526)</f>
        <v>289</v>
      </c>
      <c r="AN526" s="5" t="str">
        <f aca="false">D526&amp;"|"&amp;AM526</f>
        <v>分析與報告生成|289</v>
      </c>
    </row>
    <row r="527" customFormat="false" ht="17.15" hidden="false" customHeight="false" outlineLevel="0" collapsed="false">
      <c r="A527" s="16" t="n">
        <f aca="false">RANK(G527,$G$2:$G$2501)+COUNTIF($G$2:G527,G527)-1</f>
        <v>526</v>
      </c>
      <c r="B527" s="11" t="s">
        <v>1506</v>
      </c>
      <c r="C527" s="11" t="s">
        <v>579</v>
      </c>
      <c r="D527" s="5" t="s">
        <v>68</v>
      </c>
      <c r="E527" s="11" t="s">
        <v>69</v>
      </c>
      <c r="F527" s="5"/>
      <c r="G527" s="22" t="n">
        <f aca="false">ROUND(SUM(I527:P527),3)</f>
        <v>69.02</v>
      </c>
      <c r="H527" s="5" t="str">
        <f aca="false">IF(G527&gt;=評分方法!$C$16,"優先評估",IF(G527&gt;=評分方法!$C$17,"列入候選",IF(G527&gt;=評分方法!$C$18,"特定情境","不建議")))</f>
        <v>特定情境</v>
      </c>
      <c r="I527" s="15" t="n">
        <f aca="false">AE527*評分方法!$C$5</f>
        <v>21</v>
      </c>
      <c r="J527" s="15" t="n">
        <f aca="false">AF527*評分方法!$C$6</f>
        <v>0</v>
      </c>
      <c r="K527" s="15" t="n">
        <f aca="false">AG527*評分方法!$C$7</f>
        <v>15</v>
      </c>
      <c r="L527" s="15" t="n">
        <f aca="false">AH527*評分方法!$C$8</f>
        <v>15</v>
      </c>
      <c r="M527" s="15" t="n">
        <f aca="false">AI527*評分方法!$C$9</f>
        <v>10</v>
      </c>
      <c r="N527" s="15" t="n">
        <f aca="false">AJ527*評分方法!$C$10</f>
        <v>2.52</v>
      </c>
      <c r="O527" s="15" t="n">
        <f aca="false">AK527*評分方法!$C$11</f>
        <v>4</v>
      </c>
      <c r="P527" s="15" t="n">
        <f aca="false">AL527*評分方法!$C$12</f>
        <v>1.5</v>
      </c>
      <c r="Q527" s="6" t="n">
        <v>250869</v>
      </c>
      <c r="R527" s="6" t="n">
        <v>8394496</v>
      </c>
      <c r="S527" s="11" t="s">
        <v>238</v>
      </c>
      <c r="T527" s="11" t="s">
        <v>239</v>
      </c>
      <c r="U527" s="5" t="s">
        <v>240</v>
      </c>
      <c r="V527" s="11" t="s">
        <v>261</v>
      </c>
      <c r="W527" s="5" t="s">
        <v>205</v>
      </c>
      <c r="X527" s="5" t="s">
        <v>255</v>
      </c>
      <c r="Y527" s="5"/>
      <c r="Z527" s="5"/>
      <c r="AA527" s="11" t="s">
        <v>158</v>
      </c>
      <c r="AB527" s="5" t="s">
        <v>245</v>
      </c>
      <c r="AC527" s="5"/>
      <c r="AD527" s="11" t="s">
        <v>1507</v>
      </c>
      <c r="AE527" s="23" t="n">
        <v>0.7</v>
      </c>
      <c r="AF527" s="23" t="n">
        <v>0</v>
      </c>
      <c r="AG527" s="23" t="n">
        <v>1</v>
      </c>
      <c r="AH527" s="23" t="n">
        <v>1</v>
      </c>
      <c r="AI527" s="23" t="n">
        <v>1</v>
      </c>
      <c r="AJ527" s="23" t="n">
        <v>0.252</v>
      </c>
      <c r="AK527" s="23" t="n">
        <v>0.8</v>
      </c>
      <c r="AL527" s="23" t="n">
        <v>0.3</v>
      </c>
      <c r="AM527" s="16" t="n">
        <f aca="false">COUNTIFS($D$2:$D$2501,D527,$G$2:$G$2501,"&gt;"&amp;G527)+COUNTIFS($D$2:D527,D527,$G$2:G527,G527)</f>
        <v>29</v>
      </c>
      <c r="AN527" s="5" t="str">
        <f aca="false">D527&amp;"|"&amp;AM527</f>
        <v>時序異常偵測|29</v>
      </c>
    </row>
    <row r="528" customFormat="false" ht="17.15" hidden="false" customHeight="false" outlineLevel="0" collapsed="false">
      <c r="A528" s="16" t="n">
        <f aca="false">RANK(G528,$G$2:$G$2501)+COUNTIF($G$2:G528,G528)-1</f>
        <v>527</v>
      </c>
      <c r="B528" s="11" t="s">
        <v>1508</v>
      </c>
      <c r="C528" s="11" t="s">
        <v>1509</v>
      </c>
      <c r="D528" s="5" t="s">
        <v>56</v>
      </c>
      <c r="E528" s="5" t="s">
        <v>57</v>
      </c>
      <c r="F528" s="5"/>
      <c r="G528" s="22" t="n">
        <f aca="false">ROUND(SUM(I528:P528),3)</f>
        <v>69</v>
      </c>
      <c r="H528" s="5" t="str">
        <f aca="false">IF(G528&gt;=評分方法!$C$16,"優先評估",IF(G528&gt;=評分方法!$C$17,"列入候選",IF(G528&gt;=評分方法!$C$18,"特定情境","不建議")))</f>
        <v>特定情境</v>
      </c>
      <c r="I528" s="15" t="n">
        <f aca="false">AE528*評分方法!$C$5</f>
        <v>25.5</v>
      </c>
      <c r="J528" s="15" t="n">
        <f aca="false">AF528*評分方法!$C$6</f>
        <v>0</v>
      </c>
      <c r="K528" s="15" t="n">
        <f aca="false">AG528*評分方法!$C$7</f>
        <v>4.95</v>
      </c>
      <c r="L528" s="15" t="n">
        <f aca="false">AH528*評分方法!$C$8</f>
        <v>13.05</v>
      </c>
      <c r="M528" s="15" t="n">
        <f aca="false">AI528*評分方法!$C$9</f>
        <v>10</v>
      </c>
      <c r="N528" s="15" t="n">
        <f aca="false">AJ528*評分方法!$C$10</f>
        <v>7.5</v>
      </c>
      <c r="O528" s="15" t="n">
        <f aca="false">AK528*評分方法!$C$11</f>
        <v>5</v>
      </c>
      <c r="P528" s="15" t="n">
        <f aca="false">AL528*評分方法!$C$12</f>
        <v>3</v>
      </c>
      <c r="Q528" s="6" t="n">
        <v>1158549</v>
      </c>
      <c r="R528" s="6" t="n">
        <v>8188548096</v>
      </c>
      <c r="S528" s="11" t="s">
        <v>254</v>
      </c>
      <c r="T528" s="11" t="s">
        <v>239</v>
      </c>
      <c r="U528" s="5" t="s">
        <v>240</v>
      </c>
      <c r="V528" s="11" t="s">
        <v>333</v>
      </c>
      <c r="W528" s="5" t="s">
        <v>334</v>
      </c>
      <c r="X528" s="5" t="s">
        <v>371</v>
      </c>
      <c r="Y528" s="11" t="s">
        <v>1510</v>
      </c>
      <c r="Z528" s="11" t="s">
        <v>244</v>
      </c>
      <c r="AA528" s="11" t="s">
        <v>155</v>
      </c>
      <c r="AB528" s="5" t="s">
        <v>245</v>
      </c>
      <c r="AC528" s="5" t="s">
        <v>246</v>
      </c>
      <c r="AD528" s="11" t="s">
        <v>1511</v>
      </c>
      <c r="AE528" s="23" t="n">
        <v>0.85</v>
      </c>
      <c r="AF528" s="23" t="n">
        <v>0</v>
      </c>
      <c r="AG528" s="23" t="n">
        <v>0.33</v>
      </c>
      <c r="AH528" s="23" t="n">
        <v>0.87</v>
      </c>
      <c r="AI528" s="23" t="n">
        <v>1</v>
      </c>
      <c r="AJ528" s="23" t="n">
        <v>0.75</v>
      </c>
      <c r="AK528" s="23" t="n">
        <v>1</v>
      </c>
      <c r="AL528" s="23" t="n">
        <v>0.6</v>
      </c>
      <c r="AM528" s="16" t="n">
        <f aca="false">COUNTIFS($D$2:$D$2501,D528,$G$2:$G$2501,"&gt;"&amp;G528)+COUNTIFS($D$2:D528,D528,$G$2:G528,G528)</f>
        <v>290</v>
      </c>
      <c r="AN528" s="5" t="str">
        <f aca="false">D528&amp;"|"&amp;AM528</f>
        <v>分析與報告生成|290</v>
      </c>
    </row>
    <row r="529" customFormat="false" ht="17.15" hidden="false" customHeight="false" outlineLevel="0" collapsed="false">
      <c r="A529" s="16" t="n">
        <f aca="false">RANK(G529,$G$2:$G$2501)+COUNTIF($G$2:G529,G529)-1</f>
        <v>528</v>
      </c>
      <c r="B529" s="11" t="s">
        <v>1512</v>
      </c>
      <c r="C529" s="11" t="s">
        <v>998</v>
      </c>
      <c r="D529" s="5" t="s">
        <v>56</v>
      </c>
      <c r="E529" s="5" t="s">
        <v>57</v>
      </c>
      <c r="F529" s="5"/>
      <c r="G529" s="22" t="n">
        <f aca="false">ROUND(SUM(I529:P529),3)</f>
        <v>68.962</v>
      </c>
      <c r="H529" s="5" t="str">
        <f aca="false">IF(G529&gt;=評分方法!$C$16,"優先評估",IF(G529&gt;=評分方法!$C$17,"列入候選",IF(G529&gt;=評分方法!$C$18,"特定情境","不建議")))</f>
        <v>特定情境</v>
      </c>
      <c r="I529" s="15" t="n">
        <f aca="false">AE529*評分方法!$C$5</f>
        <v>25.5</v>
      </c>
      <c r="J529" s="15" t="n">
        <f aca="false">AF529*評分方法!$C$6</f>
        <v>0</v>
      </c>
      <c r="K529" s="15" t="n">
        <f aca="false">AG529*評分方法!$C$7</f>
        <v>10.05</v>
      </c>
      <c r="L529" s="15" t="n">
        <f aca="false">AH529*評分方法!$C$8</f>
        <v>9</v>
      </c>
      <c r="M529" s="15" t="n">
        <f aca="false">AI529*評分方法!$C$9</f>
        <v>10</v>
      </c>
      <c r="N529" s="15" t="n">
        <f aca="false">AJ529*評分方法!$C$10</f>
        <v>6.412</v>
      </c>
      <c r="O529" s="15" t="n">
        <f aca="false">AK529*評分方法!$C$11</f>
        <v>5</v>
      </c>
      <c r="P529" s="15" t="n">
        <f aca="false">AL529*評分方法!$C$12</f>
        <v>3</v>
      </c>
      <c r="Q529" s="6" t="n">
        <v>727464</v>
      </c>
      <c r="R529" s="6" t="n">
        <v>20914757184</v>
      </c>
      <c r="S529" s="11" t="s">
        <v>389</v>
      </c>
      <c r="T529" s="11" t="s">
        <v>239</v>
      </c>
      <c r="U529" s="5" t="s">
        <v>240</v>
      </c>
      <c r="V529" s="11" t="s">
        <v>333</v>
      </c>
      <c r="W529" s="5" t="s">
        <v>207</v>
      </c>
      <c r="X529" s="5" t="s">
        <v>371</v>
      </c>
      <c r="Y529" s="11" t="s">
        <v>390</v>
      </c>
      <c r="Z529" s="11" t="s">
        <v>244</v>
      </c>
      <c r="AA529" s="11" t="s">
        <v>155</v>
      </c>
      <c r="AB529" s="5" t="s">
        <v>245</v>
      </c>
      <c r="AC529" s="5" t="s">
        <v>246</v>
      </c>
      <c r="AD529" s="11" t="s">
        <v>1513</v>
      </c>
      <c r="AE529" s="23" t="n">
        <v>0.85</v>
      </c>
      <c r="AF529" s="23" t="n">
        <v>0</v>
      </c>
      <c r="AG529" s="23" t="n">
        <v>0.67</v>
      </c>
      <c r="AH529" s="23" t="n">
        <v>0.6</v>
      </c>
      <c r="AI529" s="23" t="n">
        <v>1</v>
      </c>
      <c r="AJ529" s="23" t="n">
        <v>0.6412</v>
      </c>
      <c r="AK529" s="23" t="n">
        <v>1</v>
      </c>
      <c r="AL529" s="23" t="n">
        <v>0.6</v>
      </c>
      <c r="AM529" s="16" t="n">
        <f aca="false">COUNTIFS($D$2:$D$2501,D529,$G$2:$G$2501,"&gt;"&amp;G529)+COUNTIFS($D$2:D529,D529,$G$2:G529,G529)</f>
        <v>291</v>
      </c>
      <c r="AN529" s="5" t="str">
        <f aca="false">D529&amp;"|"&amp;AM529</f>
        <v>分析與報告生成|291</v>
      </c>
    </row>
    <row r="530" customFormat="false" ht="17.15" hidden="false" customHeight="false" outlineLevel="0" collapsed="false">
      <c r="A530" s="16" t="n">
        <f aca="false">RANK(G530,$G$2:$G$2501)+COUNTIF($G$2:G530,G530)-1</f>
        <v>529</v>
      </c>
      <c r="B530" s="11" t="s">
        <v>1514</v>
      </c>
      <c r="C530" s="11" t="s">
        <v>1374</v>
      </c>
      <c r="D530" s="5" t="s">
        <v>56</v>
      </c>
      <c r="E530" s="5" t="s">
        <v>57</v>
      </c>
      <c r="F530" s="5"/>
      <c r="G530" s="22" t="n">
        <f aca="false">ROUND(SUM(I530:P530),3)</f>
        <v>68.954</v>
      </c>
      <c r="H530" s="5" t="str">
        <f aca="false">IF(G530&gt;=評分方法!$C$16,"優先評估",IF(G530&gt;=評分方法!$C$17,"列入候選",IF(G530&gt;=評分方法!$C$18,"特定情境","不建議")))</f>
        <v>特定情境</v>
      </c>
      <c r="I530" s="15" t="n">
        <f aca="false">AE530*評分方法!$C$5</f>
        <v>25.5</v>
      </c>
      <c r="J530" s="15" t="n">
        <f aca="false">AF530*評分方法!$C$6</f>
        <v>0</v>
      </c>
      <c r="K530" s="15" t="n">
        <f aca="false">AG530*評分方法!$C$7</f>
        <v>10.05</v>
      </c>
      <c r="L530" s="15" t="n">
        <f aca="false">AH530*評分方法!$C$8</f>
        <v>9</v>
      </c>
      <c r="M530" s="15" t="n">
        <f aca="false">AI530*評分方法!$C$9</f>
        <v>10</v>
      </c>
      <c r="N530" s="15" t="n">
        <f aca="false">AJ530*評分方法!$C$10</f>
        <v>6.404</v>
      </c>
      <c r="O530" s="15" t="n">
        <f aca="false">AK530*評分方法!$C$11</f>
        <v>5</v>
      </c>
      <c r="P530" s="15" t="n">
        <f aca="false">AL530*評分方法!$C$12</f>
        <v>3</v>
      </c>
      <c r="Q530" s="6" t="n">
        <v>725800</v>
      </c>
      <c r="R530" s="6" t="n">
        <v>24011361280</v>
      </c>
      <c r="S530" s="11" t="s">
        <v>389</v>
      </c>
      <c r="T530" s="11" t="s">
        <v>239</v>
      </c>
      <c r="U530" s="5" t="s">
        <v>240</v>
      </c>
      <c r="V530" s="11" t="s">
        <v>261</v>
      </c>
      <c r="W530" s="5" t="s">
        <v>207</v>
      </c>
      <c r="X530" s="5" t="s">
        <v>371</v>
      </c>
      <c r="Y530" s="11" t="s">
        <v>782</v>
      </c>
      <c r="Z530" s="11" t="s">
        <v>244</v>
      </c>
      <c r="AA530" s="11" t="s">
        <v>156</v>
      </c>
      <c r="AB530" s="5" t="s">
        <v>245</v>
      </c>
      <c r="AC530" s="5" t="s">
        <v>246</v>
      </c>
      <c r="AD530" s="11" t="s">
        <v>1515</v>
      </c>
      <c r="AE530" s="23" t="n">
        <v>0.85</v>
      </c>
      <c r="AF530" s="23" t="n">
        <v>0</v>
      </c>
      <c r="AG530" s="23" t="n">
        <v>0.67</v>
      </c>
      <c r="AH530" s="23" t="n">
        <v>0.6</v>
      </c>
      <c r="AI530" s="23" t="n">
        <v>1</v>
      </c>
      <c r="AJ530" s="23" t="n">
        <v>0.6404</v>
      </c>
      <c r="AK530" s="23" t="n">
        <v>1</v>
      </c>
      <c r="AL530" s="23" t="n">
        <v>0.6</v>
      </c>
      <c r="AM530" s="16" t="n">
        <f aca="false">COUNTIFS($D$2:$D$2501,D530,$G$2:$G$2501,"&gt;"&amp;G530)+COUNTIFS($D$2:D530,D530,$G$2:G530,G530)</f>
        <v>292</v>
      </c>
      <c r="AN530" s="5" t="str">
        <f aca="false">D530&amp;"|"&amp;AM530</f>
        <v>分析與報告生成|292</v>
      </c>
    </row>
    <row r="531" customFormat="false" ht="17.15" hidden="false" customHeight="false" outlineLevel="0" collapsed="false">
      <c r="A531" s="16" t="n">
        <f aca="false">RANK(G531,$G$2:$G$2501)+COUNTIF($G$2:G531,G531)-1</f>
        <v>530</v>
      </c>
      <c r="B531" s="11" t="s">
        <v>1516</v>
      </c>
      <c r="C531" s="11" t="s">
        <v>402</v>
      </c>
      <c r="D531" s="5" t="s">
        <v>58</v>
      </c>
      <c r="E531" s="5" t="s">
        <v>59</v>
      </c>
      <c r="F531" s="5"/>
      <c r="G531" s="22" t="n">
        <f aca="false">ROUND(SUM(I531:P531),3)</f>
        <v>68.87</v>
      </c>
      <c r="H531" s="5" t="str">
        <f aca="false">IF(G531&gt;=評分方法!$C$16,"優先評估",IF(G531&gt;=評分方法!$C$17,"列入候選",IF(G531&gt;=評分方法!$C$18,"特定情境","不建議")))</f>
        <v>特定情境</v>
      </c>
      <c r="I531" s="15" t="n">
        <f aca="false">AE531*評分方法!$C$5</f>
        <v>28.5</v>
      </c>
      <c r="J531" s="15" t="n">
        <f aca="false">AF531*評分方法!$C$6</f>
        <v>0</v>
      </c>
      <c r="K531" s="15" t="n">
        <f aca="false">AG531*評分方法!$C$7</f>
        <v>4.95</v>
      </c>
      <c r="L531" s="15" t="n">
        <f aca="false">AH531*評分方法!$C$8</f>
        <v>15</v>
      </c>
      <c r="M531" s="15" t="n">
        <f aca="false">AI531*評分方法!$C$9</f>
        <v>10</v>
      </c>
      <c r="N531" s="15" t="n">
        <f aca="false">AJ531*評分方法!$C$10</f>
        <v>7.92</v>
      </c>
      <c r="O531" s="15" t="n">
        <f aca="false">AK531*評分方法!$C$11</f>
        <v>2.5</v>
      </c>
      <c r="P531" s="15" t="n">
        <f aca="false">AL531*評分方法!$C$12</f>
        <v>0</v>
      </c>
      <c r="Q531" s="6" t="n">
        <v>1488914</v>
      </c>
      <c r="R531" s="6" t="n">
        <v>434015235</v>
      </c>
      <c r="S531" s="11" t="s">
        <v>238</v>
      </c>
      <c r="T531" s="11" t="s">
        <v>239</v>
      </c>
      <c r="U531" s="5" t="s">
        <v>240</v>
      </c>
      <c r="V531" s="11" t="s">
        <v>261</v>
      </c>
      <c r="W531" s="5" t="s">
        <v>334</v>
      </c>
      <c r="X531" s="5" t="s">
        <v>242</v>
      </c>
      <c r="Y531" s="5"/>
      <c r="Z531" s="5"/>
      <c r="AA531" s="11" t="s">
        <v>150</v>
      </c>
      <c r="AB531" s="5" t="s">
        <v>245</v>
      </c>
      <c r="AC531" s="5"/>
      <c r="AD531" s="11" t="s">
        <v>1517</v>
      </c>
      <c r="AE531" s="23" t="n">
        <v>0.95</v>
      </c>
      <c r="AF531" s="23" t="n">
        <v>0</v>
      </c>
      <c r="AG531" s="23" t="n">
        <v>0.33</v>
      </c>
      <c r="AH531" s="23" t="n">
        <v>1</v>
      </c>
      <c r="AI531" s="23" t="n">
        <v>1</v>
      </c>
      <c r="AJ531" s="23" t="n">
        <v>0.792</v>
      </c>
      <c r="AK531" s="23" t="n">
        <v>0.5</v>
      </c>
      <c r="AL531" s="23" t="n">
        <v>0</v>
      </c>
      <c r="AM531" s="16" t="n">
        <f aca="false">COUNTIFS($D$2:$D$2501,D531,$G$2:$G$2501,"&gt;"&amp;G531)+COUNTIFS($D$2:D531,D531,$G$2:G531,G531)</f>
        <v>22</v>
      </c>
      <c r="AN531" s="5" t="str">
        <f aca="false">D531&amp;"|"&amp;AM531</f>
        <v>實體擷取與去識別化|22</v>
      </c>
    </row>
    <row r="532" customFormat="false" ht="17.15" hidden="false" customHeight="false" outlineLevel="0" collapsed="false">
      <c r="A532" s="16" t="n">
        <f aca="false">RANK(G532,$G$2:$G$2501)+COUNTIF($G$2:G532,G532)-1</f>
        <v>531</v>
      </c>
      <c r="B532" s="11" t="s">
        <v>1518</v>
      </c>
      <c r="C532" s="11" t="s">
        <v>1519</v>
      </c>
      <c r="D532" s="5" t="s">
        <v>66</v>
      </c>
      <c r="E532" s="5" t="s">
        <v>67</v>
      </c>
      <c r="F532" s="5"/>
      <c r="G532" s="22" t="n">
        <f aca="false">ROUND(SUM(I532:P532),3)</f>
        <v>68.814</v>
      </c>
      <c r="H532" s="5" t="str">
        <f aca="false">IF(G532&gt;=評分方法!$C$16,"優先評估",IF(G532&gt;=評分方法!$C$17,"列入候選",IF(G532&gt;=評分方法!$C$18,"特定情境","不建議")))</f>
        <v>特定情境</v>
      </c>
      <c r="I532" s="15" t="n">
        <f aca="false">AE532*評分方法!$C$5</f>
        <v>30</v>
      </c>
      <c r="J532" s="15" t="n">
        <f aca="false">AF532*評分方法!$C$6</f>
        <v>0</v>
      </c>
      <c r="K532" s="15" t="n">
        <f aca="false">AG532*評分方法!$C$7</f>
        <v>4.95</v>
      </c>
      <c r="L532" s="15" t="n">
        <f aca="false">AH532*評分方法!$C$8</f>
        <v>15</v>
      </c>
      <c r="M532" s="15" t="n">
        <f aca="false">AI532*評分方法!$C$9</f>
        <v>10</v>
      </c>
      <c r="N532" s="15" t="n">
        <f aca="false">AJ532*評分方法!$C$10</f>
        <v>6.364</v>
      </c>
      <c r="O532" s="15" t="n">
        <f aca="false">AK532*評分方法!$C$11</f>
        <v>1</v>
      </c>
      <c r="P532" s="15" t="n">
        <f aca="false">AL532*評分方法!$C$12</f>
        <v>1.5</v>
      </c>
      <c r="Q532" s="6" t="n">
        <v>710422</v>
      </c>
      <c r="R532" s="6" t="n">
        <v>355361794</v>
      </c>
      <c r="S532" s="11" t="s">
        <v>238</v>
      </c>
      <c r="T532" s="11" t="s">
        <v>278</v>
      </c>
      <c r="U532" s="5" t="s">
        <v>240</v>
      </c>
      <c r="V532" s="11" t="s">
        <v>261</v>
      </c>
      <c r="W532" s="5" t="s">
        <v>334</v>
      </c>
      <c r="X532" s="5" t="s">
        <v>255</v>
      </c>
      <c r="Y532" s="5"/>
      <c r="Z532" s="5"/>
      <c r="AA532" s="11" t="s">
        <v>149</v>
      </c>
      <c r="AB532" s="5" t="s">
        <v>245</v>
      </c>
      <c r="AC532" s="5"/>
      <c r="AD532" s="11" t="s">
        <v>1520</v>
      </c>
      <c r="AE532" s="23" t="n">
        <v>1</v>
      </c>
      <c r="AF532" s="23" t="n">
        <v>0</v>
      </c>
      <c r="AG532" s="23" t="n">
        <v>0.33</v>
      </c>
      <c r="AH532" s="23" t="n">
        <v>1</v>
      </c>
      <c r="AI532" s="23" t="n">
        <v>1</v>
      </c>
      <c r="AJ532" s="23" t="n">
        <v>0.6364</v>
      </c>
      <c r="AK532" s="23" t="n">
        <v>0.2</v>
      </c>
      <c r="AL532" s="23" t="n">
        <v>0.3</v>
      </c>
      <c r="AM532" s="16" t="n">
        <f aca="false">COUNTIFS($D$2:$D$2501,D532,$G$2:$G$2501,"&gt;"&amp;G532)+COUNTIFS($D$2:D532,D532,$G$2:G532,G532)</f>
        <v>16</v>
      </c>
      <c r="AN532" s="5" t="str">
        <f aca="false">D532&amp;"|"&amp;AM532</f>
        <v>分類與偵測|16</v>
      </c>
    </row>
    <row r="533" customFormat="false" ht="17.15" hidden="false" customHeight="false" outlineLevel="0" collapsed="false">
      <c r="A533" s="16" t="n">
        <f aca="false">RANK(G533,$G$2:$G$2501)+COUNTIF($G$2:G533,G533)-1</f>
        <v>532</v>
      </c>
      <c r="B533" s="11" t="s">
        <v>1521</v>
      </c>
      <c r="C533" s="11" t="s">
        <v>237</v>
      </c>
      <c r="D533" s="5" t="s">
        <v>66</v>
      </c>
      <c r="E533" s="5" t="s">
        <v>67</v>
      </c>
      <c r="F533" s="5"/>
      <c r="G533" s="22" t="n">
        <f aca="false">ROUND(SUM(I533:P533),3)</f>
        <v>68.802</v>
      </c>
      <c r="H533" s="5" t="str">
        <f aca="false">IF(G533&gt;=評分方法!$C$16,"優先評估",IF(G533&gt;=評分方法!$C$17,"列入候選",IF(G533&gt;=評分方法!$C$18,"特定情境","不建議")))</f>
        <v>特定情境</v>
      </c>
      <c r="I533" s="15" t="n">
        <f aca="false">AE533*評分方法!$C$5</f>
        <v>30</v>
      </c>
      <c r="J533" s="15" t="n">
        <f aca="false">AF533*評分方法!$C$6</f>
        <v>0</v>
      </c>
      <c r="K533" s="15" t="n">
        <f aca="false">AG533*評分方法!$C$7</f>
        <v>15</v>
      </c>
      <c r="L533" s="15" t="n">
        <f aca="false">AH533*評分方法!$C$8</f>
        <v>7.05</v>
      </c>
      <c r="M533" s="15" t="n">
        <f aca="false">AI533*評分方法!$C$9</f>
        <v>10</v>
      </c>
      <c r="N533" s="15" t="n">
        <f aca="false">AJ533*評分方法!$C$10</f>
        <v>0.252</v>
      </c>
      <c r="O533" s="15" t="n">
        <f aca="false">AK533*評分方法!$C$11</f>
        <v>5</v>
      </c>
      <c r="P533" s="15" t="n">
        <f aca="false">AL533*評分方法!$C$12</f>
        <v>1.5</v>
      </c>
      <c r="Q533" s="6" t="n">
        <v>122589</v>
      </c>
      <c r="R533" s="6"/>
      <c r="S533" s="5" t="s">
        <v>255</v>
      </c>
      <c r="T533" s="11" t="s">
        <v>239</v>
      </c>
      <c r="U533" s="5" t="s">
        <v>240</v>
      </c>
      <c r="V533" s="11" t="s">
        <v>514</v>
      </c>
      <c r="W533" s="5" t="s">
        <v>205</v>
      </c>
      <c r="X533" s="5" t="s">
        <v>255</v>
      </c>
      <c r="Y533" s="11" t="s">
        <v>1522</v>
      </c>
      <c r="Z533" s="11" t="s">
        <v>244</v>
      </c>
      <c r="AA533" s="11" t="s">
        <v>149</v>
      </c>
      <c r="AB533" s="5" t="s">
        <v>245</v>
      </c>
      <c r="AC533" s="5" t="s">
        <v>246</v>
      </c>
      <c r="AD533" s="11" t="s">
        <v>1523</v>
      </c>
      <c r="AE533" s="23" t="n">
        <v>1</v>
      </c>
      <c r="AF533" s="23" t="n">
        <v>0</v>
      </c>
      <c r="AG533" s="23" t="n">
        <v>1</v>
      </c>
      <c r="AH533" s="23" t="n">
        <v>0.47</v>
      </c>
      <c r="AI533" s="23" t="n">
        <v>1</v>
      </c>
      <c r="AJ533" s="23" t="n">
        <v>0.0252</v>
      </c>
      <c r="AK533" s="23" t="n">
        <v>1</v>
      </c>
      <c r="AL533" s="23" t="n">
        <v>0.3</v>
      </c>
      <c r="AM533" s="16" t="n">
        <f aca="false">COUNTIFS($D$2:$D$2501,D533,$G$2:$G$2501,"&gt;"&amp;G533)+COUNTIFS($D$2:D533,D533,$G$2:G533,G533)</f>
        <v>17</v>
      </c>
      <c r="AN533" s="5" t="str">
        <f aca="false">D533&amp;"|"&amp;AM533</f>
        <v>分類與偵測|17</v>
      </c>
    </row>
    <row r="534" customFormat="false" ht="17.15" hidden="false" customHeight="false" outlineLevel="0" collapsed="false">
      <c r="A534" s="16" t="n">
        <f aca="false">RANK(G534,$G$2:$G$2501)+COUNTIF($G$2:G534,G534)-1</f>
        <v>533</v>
      </c>
      <c r="B534" s="11" t="s">
        <v>1524</v>
      </c>
      <c r="C534" s="11" t="s">
        <v>368</v>
      </c>
      <c r="D534" s="5" t="s">
        <v>56</v>
      </c>
      <c r="E534" s="5" t="s">
        <v>57</v>
      </c>
      <c r="F534" s="5"/>
      <c r="G534" s="22" t="n">
        <f aca="false">ROUND(SUM(I534:P534),3)</f>
        <v>68.794</v>
      </c>
      <c r="H534" s="5" t="str">
        <f aca="false">IF(G534&gt;=評分方法!$C$16,"優先評估",IF(G534&gt;=評分方法!$C$17,"列入候選",IF(G534&gt;=評分方法!$C$18,"特定情境","不建議")))</f>
        <v>特定情境</v>
      </c>
      <c r="I534" s="15" t="n">
        <f aca="false">AE534*評分方法!$C$5</f>
        <v>25.5</v>
      </c>
      <c r="J534" s="15" t="n">
        <f aca="false">AF534*評分方法!$C$6</f>
        <v>0</v>
      </c>
      <c r="K534" s="15" t="n">
        <f aca="false">AG534*評分方法!$C$7</f>
        <v>15</v>
      </c>
      <c r="L534" s="15" t="n">
        <f aca="false">AH534*評分方法!$C$8</f>
        <v>13.05</v>
      </c>
      <c r="M534" s="15" t="n">
        <f aca="false">AI534*評分方法!$C$9</f>
        <v>6</v>
      </c>
      <c r="N534" s="15" t="n">
        <f aca="false">AJ534*評分方法!$C$10</f>
        <v>3.744</v>
      </c>
      <c r="O534" s="15" t="n">
        <f aca="false">AK534*評分方法!$C$11</f>
        <v>2.5</v>
      </c>
      <c r="P534" s="15" t="n">
        <f aca="false">AL534*評分方法!$C$12</f>
        <v>3</v>
      </c>
      <c r="Q534" s="6" t="n">
        <v>383597</v>
      </c>
      <c r="R534" s="6" t="n">
        <v>3033127152</v>
      </c>
      <c r="S534" s="11" t="s">
        <v>254</v>
      </c>
      <c r="T534" s="11" t="s">
        <v>658</v>
      </c>
      <c r="U534" s="5" t="s">
        <v>260</v>
      </c>
      <c r="V534" s="11" t="s">
        <v>261</v>
      </c>
      <c r="W534" s="5" t="s">
        <v>205</v>
      </c>
      <c r="X534" s="5" t="s">
        <v>371</v>
      </c>
      <c r="Y534" s="5"/>
      <c r="Z534" s="5"/>
      <c r="AA534" s="11" t="s">
        <v>156</v>
      </c>
      <c r="AB534" s="5" t="s">
        <v>245</v>
      </c>
      <c r="AC534" s="5" t="s">
        <v>262</v>
      </c>
      <c r="AD534" s="11" t="s">
        <v>1525</v>
      </c>
      <c r="AE534" s="23" t="n">
        <v>0.85</v>
      </c>
      <c r="AF534" s="23" t="n">
        <v>0</v>
      </c>
      <c r="AG534" s="23" t="n">
        <v>1</v>
      </c>
      <c r="AH534" s="23" t="n">
        <v>0.87</v>
      </c>
      <c r="AI534" s="23" t="n">
        <v>0.6</v>
      </c>
      <c r="AJ534" s="23" t="n">
        <v>0.3744</v>
      </c>
      <c r="AK534" s="23" t="n">
        <v>0.5</v>
      </c>
      <c r="AL534" s="23" t="n">
        <v>0.6</v>
      </c>
      <c r="AM534" s="16" t="n">
        <f aca="false">COUNTIFS($D$2:$D$2501,D534,$G$2:$G$2501,"&gt;"&amp;G534)+COUNTIFS($D$2:D534,D534,$G$2:G534,G534)</f>
        <v>293</v>
      </c>
      <c r="AN534" s="5" t="str">
        <f aca="false">D534&amp;"|"&amp;AM534</f>
        <v>分析與報告生成|293</v>
      </c>
    </row>
    <row r="535" customFormat="false" ht="17.15" hidden="false" customHeight="false" outlineLevel="0" collapsed="false">
      <c r="A535" s="16" t="n">
        <f aca="false">RANK(G535,$G$2:$G$2501)+COUNTIF($G$2:G535,G535)-1</f>
        <v>534</v>
      </c>
      <c r="B535" s="11" t="s">
        <v>1526</v>
      </c>
      <c r="C535" s="11" t="s">
        <v>998</v>
      </c>
      <c r="D535" s="5" t="s">
        <v>56</v>
      </c>
      <c r="E535" s="5" t="s">
        <v>57</v>
      </c>
      <c r="F535" s="5"/>
      <c r="G535" s="22" t="n">
        <f aca="false">ROUND(SUM(I535:P535),3)</f>
        <v>68.77</v>
      </c>
      <c r="H535" s="5" t="str">
        <f aca="false">IF(G535&gt;=評分方法!$C$16,"優先評估",IF(G535&gt;=評分方法!$C$17,"列入候選",IF(G535&gt;=評分方法!$C$18,"特定情境","不建議")))</f>
        <v>特定情境</v>
      </c>
      <c r="I535" s="15" t="n">
        <f aca="false">AE535*評分方法!$C$5</f>
        <v>25.5</v>
      </c>
      <c r="J535" s="15" t="n">
        <f aca="false">AF535*評分方法!$C$6</f>
        <v>0</v>
      </c>
      <c r="K535" s="15" t="n">
        <f aca="false">AG535*評分方法!$C$7</f>
        <v>10.05</v>
      </c>
      <c r="L535" s="15" t="n">
        <f aca="false">AH535*評分方法!$C$8</f>
        <v>15</v>
      </c>
      <c r="M535" s="15" t="n">
        <f aca="false">AI535*評分方法!$C$9</f>
        <v>6</v>
      </c>
      <c r="N535" s="15" t="n">
        <f aca="false">AJ535*評分方法!$C$10</f>
        <v>6.72</v>
      </c>
      <c r="O535" s="15" t="n">
        <f aca="false">AK535*評分方法!$C$11</f>
        <v>2.5</v>
      </c>
      <c r="P535" s="15" t="n">
        <f aca="false">AL535*評分方法!$C$12</f>
        <v>3</v>
      </c>
      <c r="Q535" s="6" t="n">
        <v>816862</v>
      </c>
      <c r="R535" s="6" t="n">
        <v>999885952</v>
      </c>
      <c r="S535" s="11" t="s">
        <v>238</v>
      </c>
      <c r="T535" s="11" t="s">
        <v>658</v>
      </c>
      <c r="U535" s="5" t="s">
        <v>260</v>
      </c>
      <c r="V535" s="11" t="s">
        <v>333</v>
      </c>
      <c r="W535" s="5" t="s">
        <v>207</v>
      </c>
      <c r="X535" s="5" t="s">
        <v>371</v>
      </c>
      <c r="Y535" s="11" t="s">
        <v>657</v>
      </c>
      <c r="Z535" s="11" t="s">
        <v>244</v>
      </c>
      <c r="AA535" s="11" t="s">
        <v>155</v>
      </c>
      <c r="AB535" s="5" t="s">
        <v>496</v>
      </c>
      <c r="AC535" s="5" t="s">
        <v>1108</v>
      </c>
      <c r="AD535" s="11" t="s">
        <v>1527</v>
      </c>
      <c r="AE535" s="23" t="n">
        <v>0.85</v>
      </c>
      <c r="AF535" s="23" t="n">
        <v>0</v>
      </c>
      <c r="AG535" s="23" t="n">
        <v>0.67</v>
      </c>
      <c r="AH535" s="23" t="n">
        <v>1</v>
      </c>
      <c r="AI535" s="23" t="n">
        <v>0.6</v>
      </c>
      <c r="AJ535" s="23" t="n">
        <v>0.672</v>
      </c>
      <c r="AK535" s="23" t="n">
        <v>0.5</v>
      </c>
      <c r="AL535" s="23" t="n">
        <v>0.6</v>
      </c>
      <c r="AM535" s="16" t="n">
        <f aca="false">COUNTIFS($D$2:$D$2501,D535,$G$2:$G$2501,"&gt;"&amp;G535)+COUNTIFS($D$2:D535,D535,$G$2:G535,G535)</f>
        <v>294</v>
      </c>
      <c r="AN535" s="5" t="str">
        <f aca="false">D535&amp;"|"&amp;AM535</f>
        <v>分析與報告生成|294</v>
      </c>
    </row>
    <row r="536" customFormat="false" ht="17.15" hidden="false" customHeight="false" outlineLevel="0" collapsed="false">
      <c r="A536" s="16" t="n">
        <f aca="false">RANK(G536,$G$2:$G$2501)+COUNTIF($G$2:G536,G536)-1</f>
        <v>535</v>
      </c>
      <c r="B536" s="11" t="s">
        <v>1481</v>
      </c>
      <c r="C536" s="11" t="s">
        <v>1202</v>
      </c>
      <c r="D536" s="5" t="s">
        <v>54</v>
      </c>
      <c r="E536" s="5" t="s">
        <v>55</v>
      </c>
      <c r="F536" s="5"/>
      <c r="G536" s="22" t="n">
        <f aca="false">ROUND(SUM(I536:P536),3)</f>
        <v>68.758</v>
      </c>
      <c r="H536" s="5" t="str">
        <f aca="false">IF(G536&gt;=評分方法!$C$16,"優先評估",IF(G536&gt;=評分方法!$C$17,"列入候選",IF(G536&gt;=評分方法!$C$18,"特定情境","不建議")))</f>
        <v>特定情境</v>
      </c>
      <c r="I536" s="15" t="n">
        <f aca="false">AE536*評分方法!$C$5</f>
        <v>27</v>
      </c>
      <c r="J536" s="15" t="n">
        <f aca="false">AF536*評分方法!$C$6</f>
        <v>0</v>
      </c>
      <c r="K536" s="15" t="n">
        <f aca="false">AG536*評分方法!$C$7</f>
        <v>4.95</v>
      </c>
      <c r="L536" s="15" t="n">
        <f aca="false">AH536*評分方法!$C$8</f>
        <v>15</v>
      </c>
      <c r="M536" s="15" t="n">
        <f aca="false">AI536*評分方法!$C$9</f>
        <v>10</v>
      </c>
      <c r="N536" s="15" t="n">
        <f aca="false">AJ536*評分方法!$C$10</f>
        <v>6.308</v>
      </c>
      <c r="O536" s="15" t="n">
        <f aca="false">AK536*評分方法!$C$11</f>
        <v>4</v>
      </c>
      <c r="P536" s="15" t="n">
        <f aca="false">AL536*評分方法!$C$12</f>
        <v>1.5</v>
      </c>
      <c r="Q536" s="6" t="n">
        <v>697890</v>
      </c>
      <c r="R536" s="6" t="n">
        <v>32302592</v>
      </c>
      <c r="S536" s="11" t="s">
        <v>238</v>
      </c>
      <c r="T536" s="11" t="s">
        <v>278</v>
      </c>
      <c r="U536" s="5" t="s">
        <v>240</v>
      </c>
      <c r="V536" s="11" t="s">
        <v>241</v>
      </c>
      <c r="W536" s="5" t="s">
        <v>334</v>
      </c>
      <c r="X536" s="5" t="s">
        <v>255</v>
      </c>
      <c r="Y536" s="5"/>
      <c r="Z536" s="5"/>
      <c r="AA536" s="11" t="s">
        <v>152</v>
      </c>
      <c r="AB536" s="5" t="s">
        <v>961</v>
      </c>
      <c r="AC536" s="5" t="s">
        <v>1203</v>
      </c>
      <c r="AD536" s="11" t="s">
        <v>1528</v>
      </c>
      <c r="AE536" s="23" t="n">
        <v>0.9</v>
      </c>
      <c r="AF536" s="23" t="n">
        <v>0</v>
      </c>
      <c r="AG536" s="23" t="n">
        <v>0.33</v>
      </c>
      <c r="AH536" s="23" t="n">
        <v>1</v>
      </c>
      <c r="AI536" s="23" t="n">
        <v>1</v>
      </c>
      <c r="AJ536" s="23" t="n">
        <v>0.6308</v>
      </c>
      <c r="AK536" s="23" t="n">
        <v>0.8</v>
      </c>
      <c r="AL536" s="23" t="n">
        <v>0.3</v>
      </c>
      <c r="AM536" s="16" t="n">
        <f aca="false">COUNTIFS($D$2:$D$2501,D536,$G$2:$G$2501,"&gt;"&amp;G536)+COUNTIFS($D$2:D536,D536,$G$2:G536,G536)</f>
        <v>123</v>
      </c>
      <c r="AN536" s="5" t="str">
        <f aca="false">D536&amp;"|"&amp;AM536</f>
        <v>檢索與情資關聯|123</v>
      </c>
    </row>
    <row r="537" customFormat="false" ht="17.15" hidden="false" customHeight="false" outlineLevel="0" collapsed="false">
      <c r="A537" s="16" t="n">
        <f aca="false">RANK(G537,$G$2:$G$2501)+COUNTIF($G$2:G537,G537)-1</f>
        <v>536</v>
      </c>
      <c r="B537" s="11" t="s">
        <v>1529</v>
      </c>
      <c r="C537" s="11" t="s">
        <v>989</v>
      </c>
      <c r="D537" s="5" t="s">
        <v>56</v>
      </c>
      <c r="E537" s="5" t="s">
        <v>57</v>
      </c>
      <c r="F537" s="5"/>
      <c r="G537" s="22" t="n">
        <f aca="false">ROUND(SUM(I537:P537),3)</f>
        <v>68.756</v>
      </c>
      <c r="H537" s="5" t="str">
        <f aca="false">IF(G537&gt;=評分方法!$C$16,"優先評估",IF(G537&gt;=評分方法!$C$17,"列入候選",IF(G537&gt;=評分方法!$C$18,"特定情境","不建議")))</f>
        <v>特定情境</v>
      </c>
      <c r="I537" s="15" t="n">
        <f aca="false">AE537*評分方法!$C$5</f>
        <v>25.5</v>
      </c>
      <c r="J537" s="15" t="n">
        <f aca="false">AF537*評分方法!$C$6</f>
        <v>0</v>
      </c>
      <c r="K537" s="15" t="n">
        <f aca="false">AG537*評分方法!$C$7</f>
        <v>10.05</v>
      </c>
      <c r="L537" s="15" t="n">
        <f aca="false">AH537*評分方法!$C$8</f>
        <v>13.05</v>
      </c>
      <c r="M537" s="15" t="n">
        <f aca="false">AI537*評分方法!$C$9</f>
        <v>10</v>
      </c>
      <c r="N537" s="15" t="n">
        <f aca="false">AJ537*評分方法!$C$10</f>
        <v>4.156</v>
      </c>
      <c r="O537" s="15" t="n">
        <f aca="false">AK537*評分方法!$C$11</f>
        <v>1</v>
      </c>
      <c r="P537" s="15" t="n">
        <f aca="false">AL537*評分方法!$C$12</f>
        <v>5</v>
      </c>
      <c r="Q537" s="6" t="n">
        <v>448323</v>
      </c>
      <c r="R537" s="6" t="n">
        <v>3821079648</v>
      </c>
      <c r="S537" s="11" t="s">
        <v>254</v>
      </c>
      <c r="T537" s="11" t="s">
        <v>278</v>
      </c>
      <c r="U537" s="5" t="s">
        <v>240</v>
      </c>
      <c r="V537" s="11" t="s">
        <v>333</v>
      </c>
      <c r="W537" s="5" t="s">
        <v>207</v>
      </c>
      <c r="X537" s="5" t="s">
        <v>284</v>
      </c>
      <c r="Y537" s="11" t="s">
        <v>1530</v>
      </c>
      <c r="Z537" s="11" t="s">
        <v>244</v>
      </c>
      <c r="AA537" s="11" t="s">
        <v>155</v>
      </c>
      <c r="AB537" s="5" t="s">
        <v>245</v>
      </c>
      <c r="AC537" s="5" t="s">
        <v>246</v>
      </c>
      <c r="AD537" s="11" t="s">
        <v>1531</v>
      </c>
      <c r="AE537" s="23" t="n">
        <v>0.85</v>
      </c>
      <c r="AF537" s="23" t="n">
        <v>0</v>
      </c>
      <c r="AG537" s="23" t="n">
        <v>0.67</v>
      </c>
      <c r="AH537" s="23" t="n">
        <v>0.87</v>
      </c>
      <c r="AI537" s="23" t="n">
        <v>1</v>
      </c>
      <c r="AJ537" s="23" t="n">
        <v>0.4156</v>
      </c>
      <c r="AK537" s="23" t="n">
        <v>0.2</v>
      </c>
      <c r="AL537" s="23" t="n">
        <v>1</v>
      </c>
      <c r="AM537" s="16" t="n">
        <f aca="false">COUNTIFS($D$2:$D$2501,D537,$G$2:$G$2501,"&gt;"&amp;G537)+COUNTIFS($D$2:D537,D537,$G$2:G537,G537)</f>
        <v>295</v>
      </c>
      <c r="AN537" s="5" t="str">
        <f aca="false">D537&amp;"|"&amp;AM537</f>
        <v>分析與報告生成|295</v>
      </c>
    </row>
    <row r="538" customFormat="false" ht="17.15" hidden="false" customHeight="false" outlineLevel="0" collapsed="false">
      <c r="A538" s="16" t="n">
        <f aca="false">RANK(G538,$G$2:$G$2501)+COUNTIF($G$2:G538,G538)-1</f>
        <v>537</v>
      </c>
      <c r="B538" s="11" t="s">
        <v>1532</v>
      </c>
      <c r="C538" s="11" t="s">
        <v>402</v>
      </c>
      <c r="D538" s="5" t="s">
        <v>58</v>
      </c>
      <c r="E538" s="5" t="s">
        <v>59</v>
      </c>
      <c r="F538" s="5"/>
      <c r="G538" s="22" t="n">
        <f aca="false">ROUND(SUM(I538:P538),3)</f>
        <v>68.75</v>
      </c>
      <c r="H538" s="5" t="str">
        <f aca="false">IF(G538&gt;=評分方法!$C$16,"優先評估",IF(G538&gt;=評分方法!$C$17,"列入候選",IF(G538&gt;=評分方法!$C$18,"特定情境","不建議")))</f>
        <v>特定情境</v>
      </c>
      <c r="I538" s="15" t="n">
        <f aca="false">AE538*評分方法!$C$5</f>
        <v>28.5</v>
      </c>
      <c r="J538" s="15" t="n">
        <f aca="false">AF538*評分方法!$C$6</f>
        <v>0</v>
      </c>
      <c r="K538" s="15" t="n">
        <f aca="false">AG538*評分方法!$C$7</f>
        <v>4.95</v>
      </c>
      <c r="L538" s="15" t="n">
        <f aca="false">AH538*評分方法!$C$8</f>
        <v>15</v>
      </c>
      <c r="M538" s="15" t="n">
        <f aca="false">AI538*評分方法!$C$9</f>
        <v>10</v>
      </c>
      <c r="N538" s="15" t="n">
        <f aca="false">AJ538*評分方法!$C$10</f>
        <v>7.8</v>
      </c>
      <c r="O538" s="15" t="n">
        <f aca="false">AK538*評分方法!$C$11</f>
        <v>2.5</v>
      </c>
      <c r="P538" s="15" t="n">
        <f aca="false">AL538*評分方法!$C$12</f>
        <v>0</v>
      </c>
      <c r="Q538" s="6" t="n">
        <v>1375799</v>
      </c>
      <c r="R538" s="6" t="n">
        <v>149607171</v>
      </c>
      <c r="S538" s="11" t="s">
        <v>238</v>
      </c>
      <c r="T538" s="11" t="s">
        <v>239</v>
      </c>
      <c r="U538" s="5" t="s">
        <v>240</v>
      </c>
      <c r="V538" s="11" t="s">
        <v>261</v>
      </c>
      <c r="W538" s="5" t="s">
        <v>334</v>
      </c>
      <c r="X538" s="5" t="s">
        <v>242</v>
      </c>
      <c r="Y538" s="5"/>
      <c r="Z538" s="5"/>
      <c r="AA538" s="11" t="s">
        <v>150</v>
      </c>
      <c r="AB538" s="5" t="s">
        <v>245</v>
      </c>
      <c r="AC538" s="5"/>
      <c r="AD538" s="11" t="s">
        <v>1533</v>
      </c>
      <c r="AE538" s="23" t="n">
        <v>0.95</v>
      </c>
      <c r="AF538" s="23" t="n">
        <v>0</v>
      </c>
      <c r="AG538" s="23" t="n">
        <v>0.33</v>
      </c>
      <c r="AH538" s="23" t="n">
        <v>1</v>
      </c>
      <c r="AI538" s="23" t="n">
        <v>1</v>
      </c>
      <c r="AJ538" s="23" t="n">
        <v>0.78</v>
      </c>
      <c r="AK538" s="23" t="n">
        <v>0.5</v>
      </c>
      <c r="AL538" s="23" t="n">
        <v>0</v>
      </c>
      <c r="AM538" s="16" t="n">
        <f aca="false">COUNTIFS($D$2:$D$2501,D538,$G$2:$G$2501,"&gt;"&amp;G538)+COUNTIFS($D$2:D538,D538,$G$2:G538,G538)</f>
        <v>23</v>
      </c>
      <c r="AN538" s="5" t="str">
        <f aca="false">D538&amp;"|"&amp;AM538</f>
        <v>實體擷取與去識別化|23</v>
      </c>
    </row>
    <row r="539" customFormat="false" ht="17.15" hidden="false" customHeight="false" outlineLevel="0" collapsed="false">
      <c r="A539" s="16" t="n">
        <f aca="false">RANK(G539,$G$2:$G$2501)+COUNTIF($G$2:G539,G539)-1</f>
        <v>538</v>
      </c>
      <c r="B539" s="11" t="s">
        <v>1534</v>
      </c>
      <c r="C539" s="11" t="s">
        <v>402</v>
      </c>
      <c r="D539" s="5" t="s">
        <v>58</v>
      </c>
      <c r="E539" s="5" t="s">
        <v>59</v>
      </c>
      <c r="F539" s="5"/>
      <c r="G539" s="22" t="n">
        <f aca="false">ROUND(SUM(I539:P539),3)</f>
        <v>68.746</v>
      </c>
      <c r="H539" s="5" t="str">
        <f aca="false">IF(G539&gt;=評分方法!$C$16,"優先評估",IF(G539&gt;=評分方法!$C$17,"列入候選",IF(G539&gt;=評分方法!$C$18,"特定情境","不建議")))</f>
        <v>特定情境</v>
      </c>
      <c r="I539" s="15" t="n">
        <f aca="false">AE539*評分方法!$C$5</f>
        <v>28.5</v>
      </c>
      <c r="J539" s="15" t="n">
        <f aca="false">AF539*評分方法!$C$6</f>
        <v>0</v>
      </c>
      <c r="K539" s="15" t="n">
        <f aca="false">AG539*評分方法!$C$7</f>
        <v>4.95</v>
      </c>
      <c r="L539" s="15" t="n">
        <f aca="false">AH539*評分方法!$C$8</f>
        <v>15</v>
      </c>
      <c r="M539" s="15" t="n">
        <f aca="false">AI539*評分方法!$C$9</f>
        <v>10</v>
      </c>
      <c r="N539" s="15" t="n">
        <f aca="false">AJ539*評分方法!$C$10</f>
        <v>7.796</v>
      </c>
      <c r="O539" s="15" t="n">
        <f aca="false">AK539*評分方法!$C$11</f>
        <v>2.5</v>
      </c>
      <c r="P539" s="15" t="n">
        <f aca="false">AL539*評分方法!$C$12</f>
        <v>0</v>
      </c>
      <c r="Q539" s="6" t="n">
        <v>1368888</v>
      </c>
      <c r="R539" s="6" t="n">
        <v>65193219</v>
      </c>
      <c r="S539" s="11" t="s">
        <v>238</v>
      </c>
      <c r="T539" s="11" t="s">
        <v>239</v>
      </c>
      <c r="U539" s="5" t="s">
        <v>240</v>
      </c>
      <c r="V539" s="11" t="s">
        <v>261</v>
      </c>
      <c r="W539" s="5" t="s">
        <v>334</v>
      </c>
      <c r="X539" s="5" t="s">
        <v>242</v>
      </c>
      <c r="Y539" s="5"/>
      <c r="Z539" s="5"/>
      <c r="AA539" s="11" t="s">
        <v>150</v>
      </c>
      <c r="AB539" s="5" t="s">
        <v>245</v>
      </c>
      <c r="AC539" s="5"/>
      <c r="AD539" s="11" t="s">
        <v>1535</v>
      </c>
      <c r="AE539" s="23" t="n">
        <v>0.95</v>
      </c>
      <c r="AF539" s="23" t="n">
        <v>0</v>
      </c>
      <c r="AG539" s="23" t="n">
        <v>0.33</v>
      </c>
      <c r="AH539" s="23" t="n">
        <v>1</v>
      </c>
      <c r="AI539" s="23" t="n">
        <v>1</v>
      </c>
      <c r="AJ539" s="23" t="n">
        <v>0.7796</v>
      </c>
      <c r="AK539" s="23" t="n">
        <v>0.5</v>
      </c>
      <c r="AL539" s="23" t="n">
        <v>0</v>
      </c>
      <c r="AM539" s="16" t="n">
        <f aca="false">COUNTIFS($D$2:$D$2501,D539,$G$2:$G$2501,"&gt;"&amp;G539)+COUNTIFS($D$2:D539,D539,$G$2:G539,G539)</f>
        <v>24</v>
      </c>
      <c r="AN539" s="5" t="str">
        <f aca="false">D539&amp;"|"&amp;AM539</f>
        <v>實體擷取與去識別化|24</v>
      </c>
    </row>
    <row r="540" customFormat="false" ht="17.15" hidden="false" customHeight="false" outlineLevel="0" collapsed="false">
      <c r="A540" s="16" t="n">
        <f aca="false">RANK(G540,$G$2:$G$2501)+COUNTIF($G$2:G540,G540)-1</f>
        <v>539</v>
      </c>
      <c r="B540" s="11" t="s">
        <v>1536</v>
      </c>
      <c r="C540" s="11" t="s">
        <v>891</v>
      </c>
      <c r="D540" s="5" t="s">
        <v>56</v>
      </c>
      <c r="E540" s="5" t="s">
        <v>57</v>
      </c>
      <c r="F540" s="5"/>
      <c r="G540" s="22" t="n">
        <f aca="false">ROUND(SUM(I540:P540),3)</f>
        <v>68.734</v>
      </c>
      <c r="H540" s="5" t="str">
        <f aca="false">IF(G540&gt;=評分方法!$C$16,"優先評估",IF(G540&gt;=評分方法!$C$17,"列入候選",IF(G540&gt;=評分方法!$C$18,"特定情境","不建議")))</f>
        <v>特定情境</v>
      </c>
      <c r="I540" s="15" t="n">
        <f aca="false">AE540*評分方法!$C$5</f>
        <v>25.5</v>
      </c>
      <c r="J540" s="15" t="n">
        <f aca="false">AF540*評分方法!$C$6</f>
        <v>0</v>
      </c>
      <c r="K540" s="15" t="n">
        <f aca="false">AG540*評分方法!$C$7</f>
        <v>10.05</v>
      </c>
      <c r="L540" s="15" t="n">
        <f aca="false">AH540*評分方法!$C$8</f>
        <v>9</v>
      </c>
      <c r="M540" s="15" t="n">
        <f aca="false">AI540*評分方法!$C$9</f>
        <v>10</v>
      </c>
      <c r="N540" s="15" t="n">
        <f aca="false">AJ540*評分方法!$C$10</f>
        <v>6.184</v>
      </c>
      <c r="O540" s="15" t="n">
        <f aca="false">AK540*評分方法!$C$11</f>
        <v>5</v>
      </c>
      <c r="P540" s="15" t="n">
        <f aca="false">AL540*評分方法!$C$12</f>
        <v>3</v>
      </c>
      <c r="Q540" s="6" t="n">
        <v>663783</v>
      </c>
      <c r="R540" s="6" t="n">
        <v>25233142046</v>
      </c>
      <c r="S540" s="11" t="s">
        <v>389</v>
      </c>
      <c r="T540" s="11" t="s">
        <v>239</v>
      </c>
      <c r="U540" s="5" t="s">
        <v>240</v>
      </c>
      <c r="V540" s="11" t="s">
        <v>333</v>
      </c>
      <c r="W540" s="5" t="s">
        <v>207</v>
      </c>
      <c r="X540" s="5" t="s">
        <v>371</v>
      </c>
      <c r="Y540" s="11" t="s">
        <v>575</v>
      </c>
      <c r="Z540" s="11" t="s">
        <v>244</v>
      </c>
      <c r="AA540" s="11" t="s">
        <v>156</v>
      </c>
      <c r="AB540" s="5" t="s">
        <v>496</v>
      </c>
      <c r="AC540" s="5" t="s">
        <v>555</v>
      </c>
      <c r="AD540" s="11" t="s">
        <v>1537</v>
      </c>
      <c r="AE540" s="23" t="n">
        <v>0.85</v>
      </c>
      <c r="AF540" s="23" t="n">
        <v>0</v>
      </c>
      <c r="AG540" s="23" t="n">
        <v>0.67</v>
      </c>
      <c r="AH540" s="23" t="n">
        <v>0.6</v>
      </c>
      <c r="AI540" s="23" t="n">
        <v>1</v>
      </c>
      <c r="AJ540" s="23" t="n">
        <v>0.6184</v>
      </c>
      <c r="AK540" s="23" t="n">
        <v>1</v>
      </c>
      <c r="AL540" s="23" t="n">
        <v>0.6</v>
      </c>
      <c r="AM540" s="16" t="n">
        <f aca="false">COUNTIFS($D$2:$D$2501,D540,$G$2:$G$2501,"&gt;"&amp;G540)+COUNTIFS($D$2:D540,D540,$G$2:G540,G540)</f>
        <v>296</v>
      </c>
      <c r="AN540" s="5" t="str">
        <f aca="false">D540&amp;"|"&amp;AM540</f>
        <v>分析與報告生成|296</v>
      </c>
    </row>
    <row r="541" customFormat="false" ht="17.15" hidden="false" customHeight="false" outlineLevel="0" collapsed="false">
      <c r="A541" s="16" t="n">
        <f aca="false">RANK(G541,$G$2:$G$2501)+COUNTIF($G$2:G541,G541)-1</f>
        <v>540</v>
      </c>
      <c r="B541" s="11" t="s">
        <v>1538</v>
      </c>
      <c r="C541" s="11" t="s">
        <v>1539</v>
      </c>
      <c r="D541" s="5" t="s">
        <v>54</v>
      </c>
      <c r="E541" s="5" t="s">
        <v>55</v>
      </c>
      <c r="F541" s="5"/>
      <c r="G541" s="22" t="n">
        <f aca="false">ROUND(SUM(I541:P541),3)</f>
        <v>68.714</v>
      </c>
      <c r="H541" s="5" t="str">
        <f aca="false">IF(G541&gt;=評分方法!$C$16,"優先評估",IF(G541&gt;=評分方法!$C$17,"列入候選",IF(G541&gt;=評分方法!$C$18,"特定情境","不建議")))</f>
        <v>特定情境</v>
      </c>
      <c r="I541" s="15" t="n">
        <f aca="false">AE541*評分方法!$C$5</f>
        <v>27</v>
      </c>
      <c r="J541" s="15" t="n">
        <f aca="false">AF541*評分方法!$C$6</f>
        <v>0</v>
      </c>
      <c r="K541" s="15" t="n">
        <f aca="false">AG541*評分方法!$C$7</f>
        <v>4.95</v>
      </c>
      <c r="L541" s="15" t="n">
        <f aca="false">AH541*評分方法!$C$8</f>
        <v>15</v>
      </c>
      <c r="M541" s="15" t="n">
        <f aca="false">AI541*評分方法!$C$9</f>
        <v>10</v>
      </c>
      <c r="N541" s="15" t="n">
        <f aca="false">AJ541*評分方法!$C$10</f>
        <v>6.764</v>
      </c>
      <c r="O541" s="15" t="n">
        <f aca="false">AK541*評分方法!$C$11</f>
        <v>5</v>
      </c>
      <c r="P541" s="15" t="n">
        <f aca="false">AL541*評分方法!$C$12</f>
        <v>0</v>
      </c>
      <c r="Q541" s="6" t="n">
        <v>832158</v>
      </c>
      <c r="R541" s="6" t="n">
        <v>22565376</v>
      </c>
      <c r="S541" s="11" t="s">
        <v>238</v>
      </c>
      <c r="T541" s="11" t="s">
        <v>239</v>
      </c>
      <c r="U541" s="5" t="s">
        <v>240</v>
      </c>
      <c r="V541" s="11" t="s">
        <v>241</v>
      </c>
      <c r="W541" s="5" t="s">
        <v>334</v>
      </c>
      <c r="X541" s="5" t="s">
        <v>242</v>
      </c>
      <c r="Y541" s="5"/>
      <c r="Z541" s="5"/>
      <c r="AA541" s="11" t="s">
        <v>152</v>
      </c>
      <c r="AB541" s="5" t="s">
        <v>245</v>
      </c>
      <c r="AC541" s="5"/>
      <c r="AD541" s="11" t="s">
        <v>1540</v>
      </c>
      <c r="AE541" s="23" t="n">
        <v>0.9</v>
      </c>
      <c r="AF541" s="23" t="n">
        <v>0</v>
      </c>
      <c r="AG541" s="23" t="n">
        <v>0.33</v>
      </c>
      <c r="AH541" s="23" t="n">
        <v>1</v>
      </c>
      <c r="AI541" s="23" t="n">
        <v>1</v>
      </c>
      <c r="AJ541" s="23" t="n">
        <v>0.6764</v>
      </c>
      <c r="AK541" s="23" t="n">
        <v>1</v>
      </c>
      <c r="AL541" s="23" t="n">
        <v>0</v>
      </c>
      <c r="AM541" s="16" t="n">
        <f aca="false">COUNTIFS($D$2:$D$2501,D541,$G$2:$G$2501,"&gt;"&amp;G541)+COUNTIFS($D$2:D541,D541,$G$2:G541,G541)</f>
        <v>124</v>
      </c>
      <c r="AN541" s="5" t="str">
        <f aca="false">D541&amp;"|"&amp;AM541</f>
        <v>檢索與情資關聯|124</v>
      </c>
    </row>
    <row r="542" customFormat="false" ht="17.15" hidden="false" customHeight="false" outlineLevel="0" collapsed="false">
      <c r="A542" s="16" t="n">
        <f aca="false">RANK(G542,$G$2:$G$2501)+COUNTIF($G$2:G542,G542)-1</f>
        <v>541</v>
      </c>
      <c r="B542" s="11" t="s">
        <v>1541</v>
      </c>
      <c r="C542" s="11" t="s">
        <v>1542</v>
      </c>
      <c r="D542" s="5" t="s">
        <v>54</v>
      </c>
      <c r="E542" s="5" t="s">
        <v>55</v>
      </c>
      <c r="F542" s="5"/>
      <c r="G542" s="22" t="n">
        <f aca="false">ROUND(SUM(I542:P542),3)</f>
        <v>68.682</v>
      </c>
      <c r="H542" s="5" t="str">
        <f aca="false">IF(G542&gt;=評分方法!$C$16,"優先評估",IF(G542&gt;=評分方法!$C$17,"列入候選",IF(G542&gt;=評分方法!$C$18,"特定情境","不建議")))</f>
        <v>特定情境</v>
      </c>
      <c r="I542" s="15" t="n">
        <f aca="false">AE542*評分方法!$C$5</f>
        <v>27</v>
      </c>
      <c r="J542" s="15" t="n">
        <f aca="false">AF542*評分方法!$C$6</f>
        <v>0</v>
      </c>
      <c r="K542" s="15" t="n">
        <f aca="false">AG542*評分方法!$C$7</f>
        <v>4.95</v>
      </c>
      <c r="L542" s="15" t="n">
        <f aca="false">AH542*評分方法!$C$8</f>
        <v>15</v>
      </c>
      <c r="M542" s="15" t="n">
        <f aca="false">AI542*評分方法!$C$9</f>
        <v>10</v>
      </c>
      <c r="N542" s="15" t="n">
        <f aca="false">AJ542*評分方法!$C$10</f>
        <v>6.732</v>
      </c>
      <c r="O542" s="15" t="n">
        <f aca="false">AK542*評分方法!$C$11</f>
        <v>5</v>
      </c>
      <c r="P542" s="15" t="n">
        <f aca="false">AL542*評分方法!$C$12</f>
        <v>0</v>
      </c>
      <c r="Q542" s="6" t="n">
        <v>820587</v>
      </c>
      <c r="R542" s="6" t="n">
        <v>30577920</v>
      </c>
      <c r="S542" s="11" t="s">
        <v>238</v>
      </c>
      <c r="T542" s="11" t="s">
        <v>278</v>
      </c>
      <c r="U542" s="5" t="s">
        <v>240</v>
      </c>
      <c r="V542" s="11" t="s">
        <v>261</v>
      </c>
      <c r="W542" s="5" t="s">
        <v>334</v>
      </c>
      <c r="X542" s="5" t="s">
        <v>242</v>
      </c>
      <c r="Y542" s="11" t="s">
        <v>1543</v>
      </c>
      <c r="Z542" s="11" t="s">
        <v>270</v>
      </c>
      <c r="AA542" s="11" t="s">
        <v>152</v>
      </c>
      <c r="AB542" s="5" t="s">
        <v>961</v>
      </c>
      <c r="AC542" s="5" t="s">
        <v>1203</v>
      </c>
      <c r="AD542" s="11" t="s">
        <v>1544</v>
      </c>
      <c r="AE542" s="23" t="n">
        <v>0.9</v>
      </c>
      <c r="AF542" s="23" t="n">
        <v>0</v>
      </c>
      <c r="AG542" s="23" t="n">
        <v>0.33</v>
      </c>
      <c r="AH542" s="23" t="n">
        <v>1</v>
      </c>
      <c r="AI542" s="23" t="n">
        <v>1</v>
      </c>
      <c r="AJ542" s="23" t="n">
        <v>0.6732</v>
      </c>
      <c r="AK542" s="23" t="n">
        <v>1</v>
      </c>
      <c r="AL542" s="23" t="n">
        <v>0</v>
      </c>
      <c r="AM542" s="16" t="n">
        <f aca="false">COUNTIFS($D$2:$D$2501,D542,$G$2:$G$2501,"&gt;"&amp;G542)+COUNTIFS($D$2:D542,D542,$G$2:G542,G542)</f>
        <v>125</v>
      </c>
      <c r="AN542" s="5" t="str">
        <f aca="false">D542&amp;"|"&amp;AM542</f>
        <v>檢索與情資關聯|125</v>
      </c>
    </row>
    <row r="543" customFormat="false" ht="17.15" hidden="false" customHeight="false" outlineLevel="0" collapsed="false">
      <c r="A543" s="16" t="n">
        <f aca="false">RANK(G543,$G$2:$G$2501)+COUNTIF($G$2:G543,G543)-1</f>
        <v>542</v>
      </c>
      <c r="B543" s="11" t="s">
        <v>1545</v>
      </c>
      <c r="C543" s="11" t="s">
        <v>417</v>
      </c>
      <c r="D543" s="5" t="s">
        <v>56</v>
      </c>
      <c r="E543" s="5" t="s">
        <v>57</v>
      </c>
      <c r="F543" s="5"/>
      <c r="G543" s="22" t="n">
        <f aca="false">ROUND(SUM(I543:P543),3)</f>
        <v>68.666</v>
      </c>
      <c r="H543" s="5" t="str">
        <f aca="false">IF(G543&gt;=評分方法!$C$16,"優先評估",IF(G543&gt;=評分方法!$C$17,"列入候選",IF(G543&gt;=評分方法!$C$18,"特定情境","不建議")))</f>
        <v>特定情境</v>
      </c>
      <c r="I543" s="15" t="n">
        <f aca="false">AE543*評分方法!$C$5</f>
        <v>25.5</v>
      </c>
      <c r="J543" s="15" t="n">
        <f aca="false">AF543*評分方法!$C$6</f>
        <v>0</v>
      </c>
      <c r="K543" s="15" t="n">
        <f aca="false">AG543*評分方法!$C$7</f>
        <v>15</v>
      </c>
      <c r="L543" s="15" t="n">
        <f aca="false">AH543*評分方法!$C$8</f>
        <v>13.05</v>
      </c>
      <c r="M543" s="15" t="n">
        <f aca="false">AI543*評分方法!$C$9</f>
        <v>10</v>
      </c>
      <c r="N543" s="15" t="n">
        <f aca="false">AJ543*評分方法!$C$10</f>
        <v>4.116</v>
      </c>
      <c r="O543" s="15" t="n">
        <f aca="false">AK543*評分方法!$C$11</f>
        <v>1</v>
      </c>
      <c r="P543" s="15" t="n">
        <f aca="false">AL543*評分方法!$C$12</f>
        <v>0</v>
      </c>
      <c r="Q543" s="6" t="n">
        <v>439804</v>
      </c>
      <c r="R543" s="6" t="n">
        <v>1711376384</v>
      </c>
      <c r="S543" s="11" t="s">
        <v>254</v>
      </c>
      <c r="T543" s="11" t="s">
        <v>239</v>
      </c>
      <c r="U543" s="5" t="s">
        <v>240</v>
      </c>
      <c r="V543" s="11" t="s">
        <v>241</v>
      </c>
      <c r="W543" s="5" t="s">
        <v>205</v>
      </c>
      <c r="X543" s="5" t="s">
        <v>242</v>
      </c>
      <c r="Y543" s="5"/>
      <c r="Z543" s="5"/>
      <c r="AA543" s="11" t="s">
        <v>155</v>
      </c>
      <c r="AB543" s="5" t="s">
        <v>245</v>
      </c>
      <c r="AC543" s="5"/>
      <c r="AD543" s="11" t="s">
        <v>1546</v>
      </c>
      <c r="AE543" s="23" t="n">
        <v>0.85</v>
      </c>
      <c r="AF543" s="23" t="n">
        <v>0</v>
      </c>
      <c r="AG543" s="23" t="n">
        <v>1</v>
      </c>
      <c r="AH543" s="23" t="n">
        <v>0.87</v>
      </c>
      <c r="AI543" s="23" t="n">
        <v>1</v>
      </c>
      <c r="AJ543" s="23" t="n">
        <v>0.4116</v>
      </c>
      <c r="AK543" s="23" t="n">
        <v>0.2</v>
      </c>
      <c r="AL543" s="23" t="n">
        <v>0</v>
      </c>
      <c r="AM543" s="16" t="n">
        <f aca="false">COUNTIFS($D$2:$D$2501,D543,$G$2:$G$2501,"&gt;"&amp;G543)+COUNTIFS($D$2:D543,D543,$G$2:G543,G543)</f>
        <v>297</v>
      </c>
      <c r="AN543" s="5" t="str">
        <f aca="false">D543&amp;"|"&amp;AM543</f>
        <v>分析與報告生成|297</v>
      </c>
    </row>
    <row r="544" customFormat="false" ht="17.15" hidden="false" customHeight="false" outlineLevel="0" collapsed="false">
      <c r="A544" s="16" t="n">
        <f aca="false">RANK(G544,$G$2:$G$2501)+COUNTIF($G$2:G544,G544)-1</f>
        <v>543</v>
      </c>
      <c r="B544" s="11" t="s">
        <v>1547</v>
      </c>
      <c r="C544" s="11" t="s">
        <v>891</v>
      </c>
      <c r="D544" s="5" t="s">
        <v>56</v>
      </c>
      <c r="E544" s="5" t="s">
        <v>57</v>
      </c>
      <c r="F544" s="5"/>
      <c r="G544" s="22" t="n">
        <f aca="false">ROUND(SUM(I544:P544),3)</f>
        <v>68.638</v>
      </c>
      <c r="H544" s="5" t="str">
        <f aca="false">IF(G544&gt;=評分方法!$C$16,"優先評估",IF(G544&gt;=評分方法!$C$17,"列入候選",IF(G544&gt;=評分方法!$C$18,"特定情境","不建議")))</f>
        <v>特定情境</v>
      </c>
      <c r="I544" s="15" t="n">
        <f aca="false">AE544*評分方法!$C$5</f>
        <v>25.5</v>
      </c>
      <c r="J544" s="15" t="n">
        <f aca="false">AF544*評分方法!$C$6</f>
        <v>0</v>
      </c>
      <c r="K544" s="15" t="n">
        <f aca="false">AG544*評分方法!$C$7</f>
        <v>10.05</v>
      </c>
      <c r="L544" s="15" t="n">
        <f aca="false">AH544*評分方法!$C$8</f>
        <v>9</v>
      </c>
      <c r="M544" s="15" t="n">
        <f aca="false">AI544*評分方法!$C$9</f>
        <v>10</v>
      </c>
      <c r="N544" s="15" t="n">
        <f aca="false">AJ544*評分方法!$C$10</f>
        <v>6.088</v>
      </c>
      <c r="O544" s="15" t="n">
        <f aca="false">AK544*評分方法!$C$11</f>
        <v>5</v>
      </c>
      <c r="P544" s="15" t="n">
        <f aca="false">AL544*評分方法!$C$12</f>
        <v>3</v>
      </c>
      <c r="Q544" s="6" t="n">
        <v>643417</v>
      </c>
      <c r="R544" s="6" t="n">
        <v>31273088876</v>
      </c>
      <c r="S544" s="11" t="s">
        <v>389</v>
      </c>
      <c r="T544" s="11" t="s">
        <v>239</v>
      </c>
      <c r="U544" s="5" t="s">
        <v>240</v>
      </c>
      <c r="V544" s="11" t="s">
        <v>261</v>
      </c>
      <c r="W544" s="5" t="s">
        <v>207</v>
      </c>
      <c r="X544" s="5" t="s">
        <v>371</v>
      </c>
      <c r="Y544" s="11" t="s">
        <v>583</v>
      </c>
      <c r="Z544" s="11" t="s">
        <v>244</v>
      </c>
      <c r="AA544" s="11" t="s">
        <v>156</v>
      </c>
      <c r="AB544" s="5" t="s">
        <v>245</v>
      </c>
      <c r="AC544" s="5" t="s">
        <v>246</v>
      </c>
      <c r="AD544" s="11" t="s">
        <v>1548</v>
      </c>
      <c r="AE544" s="23" t="n">
        <v>0.85</v>
      </c>
      <c r="AF544" s="23" t="n">
        <v>0</v>
      </c>
      <c r="AG544" s="23" t="n">
        <v>0.67</v>
      </c>
      <c r="AH544" s="23" t="n">
        <v>0.6</v>
      </c>
      <c r="AI544" s="23" t="n">
        <v>1</v>
      </c>
      <c r="AJ544" s="23" t="n">
        <v>0.6088</v>
      </c>
      <c r="AK544" s="23" t="n">
        <v>1</v>
      </c>
      <c r="AL544" s="23" t="n">
        <v>0.6</v>
      </c>
      <c r="AM544" s="16" t="n">
        <f aca="false">COUNTIFS($D$2:$D$2501,D544,$G$2:$G$2501,"&gt;"&amp;G544)+COUNTIFS($D$2:D544,D544,$G$2:G544,G544)</f>
        <v>298</v>
      </c>
      <c r="AN544" s="5" t="str">
        <f aca="false">D544&amp;"|"&amp;AM544</f>
        <v>分析與報告生成|298</v>
      </c>
    </row>
    <row r="545" customFormat="false" ht="17.15" hidden="false" customHeight="false" outlineLevel="0" collapsed="false">
      <c r="A545" s="16" t="n">
        <f aca="false">RANK(G545,$G$2:$G$2501)+COUNTIF($G$2:G545,G545)-1</f>
        <v>544</v>
      </c>
      <c r="B545" s="11" t="s">
        <v>1549</v>
      </c>
      <c r="C545" s="11" t="s">
        <v>1550</v>
      </c>
      <c r="D545" s="5" t="s">
        <v>74</v>
      </c>
      <c r="E545" s="5" t="s">
        <v>75</v>
      </c>
      <c r="F545" s="5"/>
      <c r="G545" s="22" t="n">
        <f aca="false">ROUND(SUM(I545:P545),3)</f>
        <v>68.628</v>
      </c>
      <c r="H545" s="5" t="str">
        <f aca="false">IF(G545&gt;=評分方法!$C$16,"優先評估",IF(G545&gt;=評分方法!$C$17,"列入候選",IF(G545&gt;=評分方法!$C$18,"特定情境","不建議")))</f>
        <v>特定情境</v>
      </c>
      <c r="I545" s="15" t="n">
        <f aca="false">AE545*評分方法!$C$5</f>
        <v>13.5</v>
      </c>
      <c r="J545" s="15" t="n">
        <f aca="false">AF545*評分方法!$C$6</f>
        <v>0</v>
      </c>
      <c r="K545" s="15" t="n">
        <f aca="false">AG545*評分方法!$C$7</f>
        <v>15</v>
      </c>
      <c r="L545" s="15" t="n">
        <f aca="false">AH545*評分方法!$C$8</f>
        <v>15</v>
      </c>
      <c r="M545" s="15" t="n">
        <f aca="false">AI545*評分方法!$C$9</f>
        <v>10</v>
      </c>
      <c r="N545" s="15" t="n">
        <f aca="false">AJ545*評分方法!$C$10</f>
        <v>9.628</v>
      </c>
      <c r="O545" s="15" t="n">
        <f aca="false">AK545*評分方法!$C$11</f>
        <v>4</v>
      </c>
      <c r="P545" s="15" t="n">
        <f aca="false">AL545*評分方法!$C$12</f>
        <v>1.5</v>
      </c>
      <c r="Q545" s="6" t="n">
        <v>10961605</v>
      </c>
      <c r="R545" s="6" t="n">
        <v>42889979</v>
      </c>
      <c r="S545" s="11" t="s">
        <v>238</v>
      </c>
      <c r="T545" s="11" t="s">
        <v>239</v>
      </c>
      <c r="U545" s="5" t="s">
        <v>240</v>
      </c>
      <c r="V545" s="11" t="s">
        <v>261</v>
      </c>
      <c r="W545" s="5" t="s">
        <v>205</v>
      </c>
      <c r="X545" s="5" t="s">
        <v>255</v>
      </c>
      <c r="Y545" s="5"/>
      <c r="Z545" s="5"/>
      <c r="AA545" s="11" t="s">
        <v>164</v>
      </c>
      <c r="AB545" s="5" t="s">
        <v>343</v>
      </c>
      <c r="AC545" s="5" t="s">
        <v>344</v>
      </c>
      <c r="AD545" s="11" t="s">
        <v>1551</v>
      </c>
      <c r="AE545" s="23" t="n">
        <v>0.45</v>
      </c>
      <c r="AF545" s="23" t="n">
        <v>0</v>
      </c>
      <c r="AG545" s="23" t="n">
        <v>1</v>
      </c>
      <c r="AH545" s="23" t="n">
        <v>1</v>
      </c>
      <c r="AI545" s="23" t="n">
        <v>1</v>
      </c>
      <c r="AJ545" s="23" t="n">
        <v>0.9628</v>
      </c>
      <c r="AK545" s="23" t="n">
        <v>0.8</v>
      </c>
      <c r="AL545" s="23" t="n">
        <v>0.3</v>
      </c>
      <c r="AM545" s="16" t="n">
        <f aca="false">COUNTIFS($D$2:$D$2501,D545,$G$2:$G$2501,"&gt;"&amp;G545)+COUNTIFS($D$2:D545,D545,$G$2:G545,G545)</f>
        <v>2</v>
      </c>
      <c r="AN545" s="5" t="str">
        <f aca="false">D545&amp;"|"&amp;AM545</f>
        <v>文件與影像辨識|2</v>
      </c>
    </row>
    <row r="546" customFormat="false" ht="17.15" hidden="false" customHeight="false" outlineLevel="0" collapsed="false">
      <c r="A546" s="16" t="n">
        <f aca="false">RANK(G546,$G$2:$G$2501)+COUNTIF($G$2:G546,G546)-1</f>
        <v>545</v>
      </c>
      <c r="B546" s="11" t="s">
        <v>1552</v>
      </c>
      <c r="C546" s="11" t="s">
        <v>402</v>
      </c>
      <c r="D546" s="5" t="s">
        <v>58</v>
      </c>
      <c r="E546" s="5" t="s">
        <v>59</v>
      </c>
      <c r="F546" s="5"/>
      <c r="G546" s="22" t="n">
        <f aca="false">ROUND(SUM(I546:P546),3)</f>
        <v>68.606</v>
      </c>
      <c r="H546" s="5" t="str">
        <f aca="false">IF(G546&gt;=評分方法!$C$16,"優先評估",IF(G546&gt;=評分方法!$C$17,"列入候選",IF(G546&gt;=評分方法!$C$18,"特定情境","不建議")))</f>
        <v>特定情境</v>
      </c>
      <c r="I546" s="15" t="n">
        <f aca="false">AE546*評分方法!$C$5</f>
        <v>28.5</v>
      </c>
      <c r="J546" s="15" t="n">
        <f aca="false">AF546*評分方法!$C$6</f>
        <v>0</v>
      </c>
      <c r="K546" s="15" t="n">
        <f aca="false">AG546*評分方法!$C$7</f>
        <v>4.95</v>
      </c>
      <c r="L546" s="15" t="n">
        <f aca="false">AH546*評分方法!$C$8</f>
        <v>15</v>
      </c>
      <c r="M546" s="15" t="n">
        <f aca="false">AI546*評分方法!$C$9</f>
        <v>10</v>
      </c>
      <c r="N546" s="15" t="n">
        <f aca="false">AJ546*評分方法!$C$10</f>
        <v>7.656</v>
      </c>
      <c r="O546" s="15" t="n">
        <f aca="false">AK546*評分方法!$C$11</f>
        <v>2.5</v>
      </c>
      <c r="P546" s="15" t="n">
        <f aca="false">AL546*評分方法!$C$12</f>
        <v>0</v>
      </c>
      <c r="Q546" s="6" t="n">
        <v>1242668</v>
      </c>
      <c r="R546" s="6" t="n">
        <v>108893955</v>
      </c>
      <c r="S546" s="11" t="s">
        <v>238</v>
      </c>
      <c r="T546" s="11" t="s">
        <v>239</v>
      </c>
      <c r="U546" s="5" t="s">
        <v>240</v>
      </c>
      <c r="V546" s="11" t="s">
        <v>261</v>
      </c>
      <c r="W546" s="5" t="s">
        <v>334</v>
      </c>
      <c r="X546" s="5" t="s">
        <v>242</v>
      </c>
      <c r="Y546" s="5"/>
      <c r="Z546" s="5"/>
      <c r="AA546" s="11" t="s">
        <v>150</v>
      </c>
      <c r="AB546" s="5" t="s">
        <v>245</v>
      </c>
      <c r="AC546" s="5"/>
      <c r="AD546" s="11" t="s">
        <v>1553</v>
      </c>
      <c r="AE546" s="23" t="n">
        <v>0.95</v>
      </c>
      <c r="AF546" s="23" t="n">
        <v>0</v>
      </c>
      <c r="AG546" s="23" t="n">
        <v>0.33</v>
      </c>
      <c r="AH546" s="23" t="n">
        <v>1</v>
      </c>
      <c r="AI546" s="23" t="n">
        <v>1</v>
      </c>
      <c r="AJ546" s="23" t="n">
        <v>0.7656</v>
      </c>
      <c r="AK546" s="23" t="n">
        <v>0.5</v>
      </c>
      <c r="AL546" s="23" t="n">
        <v>0</v>
      </c>
      <c r="AM546" s="16" t="n">
        <f aca="false">COUNTIFS($D$2:$D$2501,D546,$G$2:$G$2501,"&gt;"&amp;G546)+COUNTIFS($D$2:D546,D546,$G$2:G546,G546)</f>
        <v>25</v>
      </c>
      <c r="AN546" s="5" t="str">
        <f aca="false">D546&amp;"|"&amp;AM546</f>
        <v>實體擷取與去識別化|25</v>
      </c>
    </row>
    <row r="547" customFormat="false" ht="17.15" hidden="false" customHeight="false" outlineLevel="0" collapsed="false">
      <c r="A547" s="16" t="n">
        <f aca="false">RANK(G547,$G$2:$G$2501)+COUNTIF($G$2:G547,G547)-1</f>
        <v>546</v>
      </c>
      <c r="B547" s="11" t="s">
        <v>1554</v>
      </c>
      <c r="C547" s="11" t="s">
        <v>402</v>
      </c>
      <c r="D547" s="5" t="s">
        <v>58</v>
      </c>
      <c r="E547" s="5" t="s">
        <v>59</v>
      </c>
      <c r="F547" s="5"/>
      <c r="G547" s="22" t="n">
        <f aca="false">ROUND(SUM(I547:P547),3)</f>
        <v>68.602</v>
      </c>
      <c r="H547" s="5" t="str">
        <f aca="false">IF(G547&gt;=評分方法!$C$16,"優先評估",IF(G547&gt;=評分方法!$C$17,"列入候選",IF(G547&gt;=評分方法!$C$18,"特定情境","不建議")))</f>
        <v>特定情境</v>
      </c>
      <c r="I547" s="15" t="n">
        <f aca="false">AE547*評分方法!$C$5</f>
        <v>28.5</v>
      </c>
      <c r="J547" s="15" t="n">
        <f aca="false">AF547*評分方法!$C$6</f>
        <v>0</v>
      </c>
      <c r="K547" s="15" t="n">
        <f aca="false">AG547*評分方法!$C$7</f>
        <v>4.95</v>
      </c>
      <c r="L547" s="15" t="n">
        <f aca="false">AH547*評分方法!$C$8</f>
        <v>15</v>
      </c>
      <c r="M547" s="15" t="n">
        <f aca="false">AI547*評分方法!$C$9</f>
        <v>10</v>
      </c>
      <c r="N547" s="15" t="n">
        <f aca="false">AJ547*評分方法!$C$10</f>
        <v>7.652</v>
      </c>
      <c r="O547" s="15" t="n">
        <f aca="false">AK547*評分方法!$C$11</f>
        <v>2.5</v>
      </c>
      <c r="P547" s="15" t="n">
        <f aca="false">AL547*評分方法!$C$12</f>
        <v>0</v>
      </c>
      <c r="Q547" s="6" t="n">
        <v>1238846</v>
      </c>
      <c r="R547" s="6" t="n">
        <v>566738977</v>
      </c>
      <c r="S547" s="11" t="s">
        <v>238</v>
      </c>
      <c r="T547" s="11" t="s">
        <v>239</v>
      </c>
      <c r="U547" s="5" t="s">
        <v>240</v>
      </c>
      <c r="V547" s="11" t="s">
        <v>261</v>
      </c>
      <c r="W547" s="5" t="s">
        <v>334</v>
      </c>
      <c r="X547" s="5" t="s">
        <v>242</v>
      </c>
      <c r="Y547" s="5"/>
      <c r="Z547" s="5"/>
      <c r="AA547" s="11" t="s">
        <v>150</v>
      </c>
      <c r="AB547" s="5" t="s">
        <v>245</v>
      </c>
      <c r="AC547" s="5"/>
      <c r="AD547" s="11" t="s">
        <v>1555</v>
      </c>
      <c r="AE547" s="23" t="n">
        <v>0.95</v>
      </c>
      <c r="AF547" s="23" t="n">
        <v>0</v>
      </c>
      <c r="AG547" s="23" t="n">
        <v>0.33</v>
      </c>
      <c r="AH547" s="23" t="n">
        <v>1</v>
      </c>
      <c r="AI547" s="23" t="n">
        <v>1</v>
      </c>
      <c r="AJ547" s="23" t="n">
        <v>0.7652</v>
      </c>
      <c r="AK547" s="23" t="n">
        <v>0.5</v>
      </c>
      <c r="AL547" s="23" t="n">
        <v>0</v>
      </c>
      <c r="AM547" s="16" t="n">
        <f aca="false">COUNTIFS($D$2:$D$2501,D547,$G$2:$G$2501,"&gt;"&amp;G547)+COUNTIFS($D$2:D547,D547,$G$2:G547,G547)</f>
        <v>26</v>
      </c>
      <c r="AN547" s="5" t="str">
        <f aca="false">D547&amp;"|"&amp;AM547</f>
        <v>實體擷取與去識別化|26</v>
      </c>
    </row>
    <row r="548" customFormat="false" ht="17.15" hidden="false" customHeight="false" outlineLevel="0" collapsed="false">
      <c r="A548" s="16" t="n">
        <f aca="false">RANK(G548,$G$2:$G$2501)+COUNTIF($G$2:G548,G548)-1</f>
        <v>547</v>
      </c>
      <c r="B548" s="11" t="s">
        <v>651</v>
      </c>
      <c r="C548" s="11" t="s">
        <v>323</v>
      </c>
      <c r="D548" s="5" t="s">
        <v>56</v>
      </c>
      <c r="E548" s="5" t="s">
        <v>57</v>
      </c>
      <c r="F548" s="5"/>
      <c r="G548" s="22" t="n">
        <f aca="false">ROUND(SUM(I548:P548),3)</f>
        <v>68.602</v>
      </c>
      <c r="H548" s="5" t="str">
        <f aca="false">IF(G548&gt;=評分方法!$C$16,"優先評估",IF(G548&gt;=評分方法!$C$17,"列入候選",IF(G548&gt;=評分方法!$C$18,"特定情境","不建議")))</f>
        <v>特定情境</v>
      </c>
      <c r="I548" s="15" t="n">
        <f aca="false">AE548*評分方法!$C$5</f>
        <v>25.5</v>
      </c>
      <c r="J548" s="15" t="n">
        <f aca="false">AF548*評分方法!$C$6</f>
        <v>0</v>
      </c>
      <c r="K548" s="15" t="n">
        <f aca="false">AG548*評分方法!$C$7</f>
        <v>15</v>
      </c>
      <c r="L548" s="15" t="n">
        <f aca="false">AH548*評分方法!$C$8</f>
        <v>13.05</v>
      </c>
      <c r="M548" s="15" t="n">
        <f aca="false">AI548*評分方法!$C$9</f>
        <v>10</v>
      </c>
      <c r="N548" s="15" t="n">
        <f aca="false">AJ548*評分方法!$C$10</f>
        <v>0.052</v>
      </c>
      <c r="O548" s="15" t="n">
        <f aca="false">AK548*評分方法!$C$11</f>
        <v>5</v>
      </c>
      <c r="P548" s="15" t="n">
        <f aca="false">AL548*評分方法!$C$12</f>
        <v>0</v>
      </c>
      <c r="Q548" s="6" t="n">
        <v>118292</v>
      </c>
      <c r="R548" s="6" t="n">
        <v>7298011136</v>
      </c>
      <c r="S548" s="11" t="s">
        <v>254</v>
      </c>
      <c r="T548" s="11" t="s">
        <v>239</v>
      </c>
      <c r="U548" s="5" t="s">
        <v>240</v>
      </c>
      <c r="V548" s="11" t="s">
        <v>324</v>
      </c>
      <c r="W548" s="5" t="s">
        <v>205</v>
      </c>
      <c r="X548" s="5" t="s">
        <v>242</v>
      </c>
      <c r="Y548" s="11" t="s">
        <v>926</v>
      </c>
      <c r="Z548" s="11" t="s">
        <v>270</v>
      </c>
      <c r="AA548" s="11" t="s">
        <v>155</v>
      </c>
      <c r="AB548" s="5" t="s">
        <v>245</v>
      </c>
      <c r="AC548" s="5"/>
      <c r="AD548" s="11" t="s">
        <v>1556</v>
      </c>
      <c r="AE548" s="23" t="n">
        <v>0.85</v>
      </c>
      <c r="AF548" s="23" t="n">
        <v>0</v>
      </c>
      <c r="AG548" s="23" t="n">
        <v>1</v>
      </c>
      <c r="AH548" s="23" t="n">
        <v>0.87</v>
      </c>
      <c r="AI548" s="23" t="n">
        <v>1</v>
      </c>
      <c r="AJ548" s="23" t="n">
        <v>0.0052</v>
      </c>
      <c r="AK548" s="23" t="n">
        <v>1</v>
      </c>
      <c r="AL548" s="23" t="n">
        <v>0</v>
      </c>
      <c r="AM548" s="16" t="n">
        <f aca="false">COUNTIFS($D$2:$D$2501,D548,$G$2:$G$2501,"&gt;"&amp;G548)+COUNTIFS($D$2:D548,D548,$G$2:G548,G548)</f>
        <v>299</v>
      </c>
      <c r="AN548" s="5" t="str">
        <f aca="false">D548&amp;"|"&amp;AM548</f>
        <v>分析與報告生成|299</v>
      </c>
    </row>
    <row r="549" customFormat="false" ht="17.15" hidden="false" customHeight="false" outlineLevel="0" collapsed="false">
      <c r="A549" s="16" t="n">
        <f aca="false">RANK(G549,$G$2:$G$2501)+COUNTIF($G$2:G549,G549)-1</f>
        <v>548</v>
      </c>
      <c r="B549" s="11" t="s">
        <v>1557</v>
      </c>
      <c r="C549" s="11" t="s">
        <v>1388</v>
      </c>
      <c r="D549" s="5" t="s">
        <v>56</v>
      </c>
      <c r="E549" s="5" t="s">
        <v>57</v>
      </c>
      <c r="F549" s="5"/>
      <c r="G549" s="22" t="n">
        <f aca="false">ROUND(SUM(I549:P549),3)</f>
        <v>68.6</v>
      </c>
      <c r="H549" s="5" t="str">
        <f aca="false">IF(G549&gt;=評分方法!$C$16,"優先評估",IF(G549&gt;=評分方法!$C$17,"列入候選",IF(G549&gt;=評分方法!$C$18,"特定情境","不建議")))</f>
        <v>特定情境</v>
      </c>
      <c r="I549" s="15" t="n">
        <f aca="false">AE549*評分方法!$C$5</f>
        <v>25.5</v>
      </c>
      <c r="J549" s="15" t="n">
        <f aca="false">AF549*評分方法!$C$6</f>
        <v>0</v>
      </c>
      <c r="K549" s="15" t="n">
        <f aca="false">AG549*評分方法!$C$7</f>
        <v>10.05</v>
      </c>
      <c r="L549" s="15" t="n">
        <f aca="false">AH549*評分方法!$C$8</f>
        <v>13.05</v>
      </c>
      <c r="M549" s="15" t="n">
        <f aca="false">AI549*評分方法!$C$9</f>
        <v>10</v>
      </c>
      <c r="N549" s="15" t="n">
        <f aca="false">AJ549*評分方法!$C$10</f>
        <v>9</v>
      </c>
      <c r="O549" s="15" t="n">
        <f aca="false">AK549*評分方法!$C$11</f>
        <v>1</v>
      </c>
      <c r="P549" s="15" t="n">
        <f aca="false">AL549*評分方法!$C$12</f>
        <v>0</v>
      </c>
      <c r="Q549" s="6" t="n">
        <v>3850797</v>
      </c>
      <c r="R549" s="6" t="n">
        <v>1100454912</v>
      </c>
      <c r="S549" s="11" t="s">
        <v>254</v>
      </c>
      <c r="T549" s="11" t="s">
        <v>239</v>
      </c>
      <c r="U549" s="5" t="s">
        <v>240</v>
      </c>
      <c r="V549" s="11" t="s">
        <v>261</v>
      </c>
      <c r="W549" s="5" t="s">
        <v>207</v>
      </c>
      <c r="X549" s="5" t="s">
        <v>242</v>
      </c>
      <c r="Y549" s="11" t="s">
        <v>1558</v>
      </c>
      <c r="Z549" s="11" t="s">
        <v>244</v>
      </c>
      <c r="AA549" s="11" t="s">
        <v>155</v>
      </c>
      <c r="AB549" s="5" t="s">
        <v>245</v>
      </c>
      <c r="AC549" s="5" t="s">
        <v>246</v>
      </c>
      <c r="AD549" s="11" t="s">
        <v>1559</v>
      </c>
      <c r="AE549" s="23" t="n">
        <v>0.85</v>
      </c>
      <c r="AF549" s="23" t="n">
        <v>0</v>
      </c>
      <c r="AG549" s="23" t="n">
        <v>0.67</v>
      </c>
      <c r="AH549" s="23" t="n">
        <v>0.87</v>
      </c>
      <c r="AI549" s="23" t="n">
        <v>1</v>
      </c>
      <c r="AJ549" s="23" t="n">
        <v>0.9</v>
      </c>
      <c r="AK549" s="23" t="n">
        <v>0.2</v>
      </c>
      <c r="AL549" s="23" t="n">
        <v>0</v>
      </c>
      <c r="AM549" s="16" t="n">
        <f aca="false">COUNTIFS($D$2:$D$2501,D549,$G$2:$G$2501,"&gt;"&amp;G549)+COUNTIFS($D$2:D549,D549,$G$2:G549,G549)</f>
        <v>300</v>
      </c>
      <c r="AN549" s="5" t="str">
        <f aca="false">D549&amp;"|"&amp;AM549</f>
        <v>分析與報告生成|300</v>
      </c>
    </row>
    <row r="550" customFormat="false" ht="17.15" hidden="false" customHeight="false" outlineLevel="0" collapsed="false">
      <c r="A550" s="16" t="n">
        <f aca="false">RANK(G550,$G$2:$G$2501)+COUNTIF($G$2:G550,G550)-1</f>
        <v>549</v>
      </c>
      <c r="B550" s="11" t="s">
        <v>1560</v>
      </c>
      <c r="C550" s="11" t="s">
        <v>327</v>
      </c>
      <c r="D550" s="5" t="s">
        <v>56</v>
      </c>
      <c r="E550" s="5" t="s">
        <v>57</v>
      </c>
      <c r="F550" s="5"/>
      <c r="G550" s="22" t="n">
        <f aca="false">ROUND(SUM(I550:P550),3)</f>
        <v>68.572</v>
      </c>
      <c r="H550" s="5" t="str">
        <f aca="false">IF(G550&gt;=評分方法!$C$16,"優先評估",IF(G550&gt;=評分方法!$C$17,"列入候選",IF(G550&gt;=評分方法!$C$18,"特定情境","不建議")))</f>
        <v>特定情境</v>
      </c>
      <c r="I550" s="15" t="n">
        <f aca="false">AE550*評分方法!$C$5</f>
        <v>25.5</v>
      </c>
      <c r="J550" s="15" t="n">
        <f aca="false">AF550*評分方法!$C$6</f>
        <v>0</v>
      </c>
      <c r="K550" s="15" t="n">
        <f aca="false">AG550*評分方法!$C$7</f>
        <v>15</v>
      </c>
      <c r="L550" s="15" t="n">
        <f aca="false">AH550*評分方法!$C$8</f>
        <v>9</v>
      </c>
      <c r="M550" s="15" t="n">
        <f aca="false">AI550*評分方法!$C$9</f>
        <v>6</v>
      </c>
      <c r="N550" s="15" t="n">
        <f aca="false">AJ550*評分方法!$C$10</f>
        <v>8.072</v>
      </c>
      <c r="O550" s="15" t="n">
        <f aca="false">AK550*評分方法!$C$11</f>
        <v>5</v>
      </c>
      <c r="P550" s="15" t="n">
        <f aca="false">AL550*評分方法!$C$12</f>
        <v>0</v>
      </c>
      <c r="Q550" s="6" t="n">
        <v>1678008</v>
      </c>
      <c r="R550" s="6" t="n">
        <v>31577937344</v>
      </c>
      <c r="S550" s="11" t="s">
        <v>389</v>
      </c>
      <c r="T550" s="11" t="s">
        <v>185</v>
      </c>
      <c r="U550" s="5" t="s">
        <v>260</v>
      </c>
      <c r="V550" s="11" t="s">
        <v>261</v>
      </c>
      <c r="W550" s="5" t="s">
        <v>205</v>
      </c>
      <c r="X550" s="5" t="s">
        <v>242</v>
      </c>
      <c r="Y550" s="5"/>
      <c r="Z550" s="5"/>
      <c r="AA550" s="11" t="s">
        <v>155</v>
      </c>
      <c r="AB550" s="5" t="s">
        <v>245</v>
      </c>
      <c r="AC550" s="5" t="s">
        <v>262</v>
      </c>
      <c r="AD550" s="11" t="s">
        <v>1561</v>
      </c>
      <c r="AE550" s="23" t="n">
        <v>0.85</v>
      </c>
      <c r="AF550" s="23" t="n">
        <v>0</v>
      </c>
      <c r="AG550" s="23" t="n">
        <v>1</v>
      </c>
      <c r="AH550" s="23" t="n">
        <v>0.6</v>
      </c>
      <c r="AI550" s="23" t="n">
        <v>0.6</v>
      </c>
      <c r="AJ550" s="23" t="n">
        <v>0.8072</v>
      </c>
      <c r="AK550" s="23" t="n">
        <v>1</v>
      </c>
      <c r="AL550" s="23" t="n">
        <v>0</v>
      </c>
      <c r="AM550" s="16" t="n">
        <f aca="false">COUNTIFS($D$2:$D$2501,D550,$G$2:$G$2501,"&gt;"&amp;G550)+COUNTIFS($D$2:D550,D550,$G$2:G550,G550)</f>
        <v>301</v>
      </c>
      <c r="AN550" s="5" t="str">
        <f aca="false">D550&amp;"|"&amp;AM550</f>
        <v>分析與報告生成|301</v>
      </c>
    </row>
    <row r="551" customFormat="false" ht="17.15" hidden="false" customHeight="false" outlineLevel="0" collapsed="false">
      <c r="A551" s="16" t="n">
        <f aca="false">RANK(G551,$G$2:$G$2501)+COUNTIF($G$2:G551,G551)-1</f>
        <v>550</v>
      </c>
      <c r="B551" s="11" t="s">
        <v>1562</v>
      </c>
      <c r="C551" s="11" t="s">
        <v>1563</v>
      </c>
      <c r="D551" s="5" t="s">
        <v>56</v>
      </c>
      <c r="E551" s="5" t="s">
        <v>57</v>
      </c>
      <c r="F551" s="5"/>
      <c r="G551" s="22" t="n">
        <f aca="false">ROUND(SUM(I551:P551),3)</f>
        <v>68.57</v>
      </c>
      <c r="H551" s="5" t="str">
        <f aca="false">IF(G551&gt;=評分方法!$C$16,"優先評估",IF(G551&gt;=評分方法!$C$17,"列入候選",IF(G551&gt;=評分方法!$C$18,"特定情境","不建議")))</f>
        <v>特定情境</v>
      </c>
      <c r="I551" s="15" t="n">
        <f aca="false">AE551*評分方法!$C$5</f>
        <v>25.5</v>
      </c>
      <c r="J551" s="15" t="n">
        <f aca="false">AF551*評分方法!$C$6</f>
        <v>0</v>
      </c>
      <c r="K551" s="15" t="n">
        <f aca="false">AG551*評分方法!$C$7</f>
        <v>4.95</v>
      </c>
      <c r="L551" s="15" t="n">
        <f aca="false">AH551*評分方法!$C$8</f>
        <v>15</v>
      </c>
      <c r="M551" s="15" t="n">
        <f aca="false">AI551*評分方法!$C$9</f>
        <v>10</v>
      </c>
      <c r="N551" s="15" t="n">
        <f aca="false">AJ551*評分方法!$C$10</f>
        <v>7.62</v>
      </c>
      <c r="O551" s="15" t="n">
        <f aca="false">AK551*評分方法!$C$11</f>
        <v>2.5</v>
      </c>
      <c r="P551" s="15" t="n">
        <f aca="false">AL551*評分方法!$C$12</f>
        <v>3</v>
      </c>
      <c r="Q551" s="6" t="n">
        <v>1217423</v>
      </c>
      <c r="R551" s="6" t="n">
        <v>4621392</v>
      </c>
      <c r="S551" s="11" t="s">
        <v>238</v>
      </c>
      <c r="T551" s="11" t="s">
        <v>239</v>
      </c>
      <c r="U551" s="5" t="s">
        <v>240</v>
      </c>
      <c r="V551" s="11" t="s">
        <v>288</v>
      </c>
      <c r="W551" s="5" t="s">
        <v>334</v>
      </c>
      <c r="X551" s="5" t="s">
        <v>371</v>
      </c>
      <c r="Y551" s="5"/>
      <c r="Z551" s="5"/>
      <c r="AA551" s="11" t="s">
        <v>155</v>
      </c>
      <c r="AB551" s="5" t="s">
        <v>245</v>
      </c>
      <c r="AC551" s="5"/>
      <c r="AD551" s="11" t="s">
        <v>1564</v>
      </c>
      <c r="AE551" s="23" t="n">
        <v>0.85</v>
      </c>
      <c r="AF551" s="23" t="n">
        <v>0</v>
      </c>
      <c r="AG551" s="23" t="n">
        <v>0.33</v>
      </c>
      <c r="AH551" s="23" t="n">
        <v>1</v>
      </c>
      <c r="AI551" s="23" t="n">
        <v>1</v>
      </c>
      <c r="AJ551" s="23" t="n">
        <v>0.762</v>
      </c>
      <c r="AK551" s="23" t="n">
        <v>0.5</v>
      </c>
      <c r="AL551" s="23" t="n">
        <v>0.6</v>
      </c>
      <c r="AM551" s="16" t="n">
        <f aca="false">COUNTIFS($D$2:$D$2501,D551,$G$2:$G$2501,"&gt;"&amp;G551)+COUNTIFS($D$2:D551,D551,$G$2:G551,G551)</f>
        <v>302</v>
      </c>
      <c r="AN551" s="5" t="str">
        <f aca="false">D551&amp;"|"&amp;AM551</f>
        <v>分析與報告生成|302</v>
      </c>
    </row>
    <row r="552" customFormat="false" ht="17.15" hidden="false" customHeight="false" outlineLevel="0" collapsed="false">
      <c r="A552" s="16" t="n">
        <f aca="false">RANK(G552,$G$2:$G$2501)+COUNTIF($G$2:G552,G552)-1</f>
        <v>551</v>
      </c>
      <c r="B552" s="11" t="s">
        <v>1565</v>
      </c>
      <c r="C552" s="11" t="s">
        <v>402</v>
      </c>
      <c r="D552" s="5" t="s">
        <v>58</v>
      </c>
      <c r="E552" s="5" t="s">
        <v>59</v>
      </c>
      <c r="F552" s="5"/>
      <c r="G552" s="22" t="n">
        <f aca="false">ROUND(SUM(I552:P552),3)</f>
        <v>68.566</v>
      </c>
      <c r="H552" s="5" t="str">
        <f aca="false">IF(G552&gt;=評分方法!$C$16,"優先評估",IF(G552&gt;=評分方法!$C$17,"列入候選",IF(G552&gt;=評分方法!$C$18,"特定情境","不建議")))</f>
        <v>特定情境</v>
      </c>
      <c r="I552" s="15" t="n">
        <f aca="false">AE552*評分方法!$C$5</f>
        <v>28.5</v>
      </c>
      <c r="J552" s="15" t="n">
        <f aca="false">AF552*評分方法!$C$6</f>
        <v>0</v>
      </c>
      <c r="K552" s="15" t="n">
        <f aca="false">AG552*評分方法!$C$7</f>
        <v>4.95</v>
      </c>
      <c r="L552" s="15" t="n">
        <f aca="false">AH552*評分方法!$C$8</f>
        <v>15</v>
      </c>
      <c r="M552" s="15" t="n">
        <f aca="false">AI552*評分方法!$C$9</f>
        <v>10</v>
      </c>
      <c r="N552" s="15" t="n">
        <f aca="false">AJ552*評分方法!$C$10</f>
        <v>7.616</v>
      </c>
      <c r="O552" s="15" t="n">
        <f aca="false">AK552*評分方法!$C$11</f>
        <v>2.5</v>
      </c>
      <c r="P552" s="15" t="n">
        <f aca="false">AL552*評分方法!$C$12</f>
        <v>0</v>
      </c>
      <c r="Q552" s="6" t="n">
        <v>1216911</v>
      </c>
      <c r="R552" s="6" t="n">
        <v>134736387</v>
      </c>
      <c r="S552" s="11" t="s">
        <v>238</v>
      </c>
      <c r="T552" s="11" t="s">
        <v>239</v>
      </c>
      <c r="U552" s="5" t="s">
        <v>240</v>
      </c>
      <c r="V552" s="11" t="s">
        <v>261</v>
      </c>
      <c r="W552" s="5" t="s">
        <v>334</v>
      </c>
      <c r="X552" s="5" t="s">
        <v>242</v>
      </c>
      <c r="Y552" s="5"/>
      <c r="Z552" s="5"/>
      <c r="AA552" s="11" t="s">
        <v>150</v>
      </c>
      <c r="AB552" s="5" t="s">
        <v>245</v>
      </c>
      <c r="AC552" s="5"/>
      <c r="AD552" s="11" t="s">
        <v>1566</v>
      </c>
      <c r="AE552" s="23" t="n">
        <v>0.95</v>
      </c>
      <c r="AF552" s="23" t="n">
        <v>0</v>
      </c>
      <c r="AG552" s="23" t="n">
        <v>0.33</v>
      </c>
      <c r="AH552" s="23" t="n">
        <v>1</v>
      </c>
      <c r="AI552" s="23" t="n">
        <v>1</v>
      </c>
      <c r="AJ552" s="23" t="n">
        <v>0.7616</v>
      </c>
      <c r="AK552" s="23" t="n">
        <v>0.5</v>
      </c>
      <c r="AL552" s="23" t="n">
        <v>0</v>
      </c>
      <c r="AM552" s="16" t="n">
        <f aca="false">COUNTIFS($D$2:$D$2501,D552,$G$2:$G$2501,"&gt;"&amp;G552)+COUNTIFS($D$2:D552,D552,$G$2:G552,G552)</f>
        <v>27</v>
      </c>
      <c r="AN552" s="5" t="str">
        <f aca="false">D552&amp;"|"&amp;AM552</f>
        <v>實體擷取與去識別化|27</v>
      </c>
    </row>
    <row r="553" customFormat="false" ht="17.15" hidden="false" customHeight="false" outlineLevel="0" collapsed="false">
      <c r="A553" s="16" t="n">
        <f aca="false">RANK(G553,$G$2:$G$2501)+COUNTIF($G$2:G553,G553)-1</f>
        <v>552</v>
      </c>
      <c r="B553" s="11" t="s">
        <v>1567</v>
      </c>
      <c r="C553" s="11" t="s">
        <v>681</v>
      </c>
      <c r="D553" s="5" t="s">
        <v>56</v>
      </c>
      <c r="E553" s="5" t="s">
        <v>57</v>
      </c>
      <c r="F553" s="5"/>
      <c r="G553" s="22" t="n">
        <f aca="false">ROUND(SUM(I553:P553),3)</f>
        <v>68.556</v>
      </c>
      <c r="H553" s="5" t="str">
        <f aca="false">IF(G553&gt;=評分方法!$C$16,"優先評估",IF(G553&gt;=評分方法!$C$17,"列入候選",IF(G553&gt;=評分方法!$C$18,"特定情境","不建議")))</f>
        <v>特定情境</v>
      </c>
      <c r="I553" s="15" t="n">
        <f aca="false">AE553*評分方法!$C$5</f>
        <v>18</v>
      </c>
      <c r="J553" s="15" t="n">
        <f aca="false">AF553*評分方法!$C$6</f>
        <v>0</v>
      </c>
      <c r="K553" s="15" t="n">
        <f aca="false">AG553*評分方法!$C$7</f>
        <v>15</v>
      </c>
      <c r="L553" s="15" t="n">
        <f aca="false">AH553*評分方法!$C$8</f>
        <v>15</v>
      </c>
      <c r="M553" s="15" t="n">
        <f aca="false">AI553*評分方法!$C$9</f>
        <v>10</v>
      </c>
      <c r="N553" s="15" t="n">
        <f aca="false">AJ553*評分方法!$C$10</f>
        <v>9.556</v>
      </c>
      <c r="O553" s="15" t="n">
        <f aca="false">AK553*評分方法!$C$11</f>
        <v>1</v>
      </c>
      <c r="P553" s="15" t="n">
        <f aca="false">AL553*評分方法!$C$12</f>
        <v>0</v>
      </c>
      <c r="Q553" s="6" t="n">
        <v>9463164</v>
      </c>
      <c r="R553" s="6" t="n">
        <v>406290432</v>
      </c>
      <c r="S553" s="11" t="s">
        <v>238</v>
      </c>
      <c r="T553" s="11" t="s">
        <v>278</v>
      </c>
      <c r="U553" s="5" t="s">
        <v>240</v>
      </c>
      <c r="V553" s="11" t="s">
        <v>279</v>
      </c>
      <c r="W553" s="5" t="s">
        <v>205</v>
      </c>
      <c r="X553" s="5" t="s">
        <v>242</v>
      </c>
      <c r="Y553" s="5"/>
      <c r="Z553" s="5"/>
      <c r="AA553" s="11" t="s">
        <v>160</v>
      </c>
      <c r="AB553" s="5" t="s">
        <v>245</v>
      </c>
      <c r="AC553" s="5"/>
      <c r="AD553" s="11" t="s">
        <v>1568</v>
      </c>
      <c r="AE553" s="23" t="n">
        <v>0.6</v>
      </c>
      <c r="AF553" s="23" t="n">
        <v>0</v>
      </c>
      <c r="AG553" s="23" t="n">
        <v>1</v>
      </c>
      <c r="AH553" s="23" t="n">
        <v>1</v>
      </c>
      <c r="AI553" s="23" t="n">
        <v>1</v>
      </c>
      <c r="AJ553" s="23" t="n">
        <v>0.9556</v>
      </c>
      <c r="AK553" s="23" t="n">
        <v>0.2</v>
      </c>
      <c r="AL553" s="23" t="n">
        <v>0</v>
      </c>
      <c r="AM553" s="16" t="n">
        <f aca="false">COUNTIFS($D$2:$D$2501,D553,$G$2:$G$2501,"&gt;"&amp;G553)+COUNTIFS($D$2:D553,D553,$G$2:G553,G553)</f>
        <v>303</v>
      </c>
      <c r="AN553" s="5" t="str">
        <f aca="false">D553&amp;"|"&amp;AM553</f>
        <v>分析與報告生成|303</v>
      </c>
    </row>
    <row r="554" customFormat="false" ht="17.15" hidden="false" customHeight="false" outlineLevel="0" collapsed="false">
      <c r="A554" s="16" t="n">
        <f aca="false">RANK(G554,$G$2:$G$2501)+COUNTIF($G$2:G554,G554)-1</f>
        <v>553</v>
      </c>
      <c r="B554" s="11" t="s">
        <v>1569</v>
      </c>
      <c r="C554" s="11" t="s">
        <v>402</v>
      </c>
      <c r="D554" s="5" t="s">
        <v>58</v>
      </c>
      <c r="E554" s="5" t="s">
        <v>59</v>
      </c>
      <c r="F554" s="5"/>
      <c r="G554" s="22" t="n">
        <f aca="false">ROUND(SUM(I554:P554),3)</f>
        <v>68.546</v>
      </c>
      <c r="H554" s="5" t="str">
        <f aca="false">IF(G554&gt;=評分方法!$C$16,"優先評估",IF(G554&gt;=評分方法!$C$17,"列入候選",IF(G554&gt;=評分方法!$C$18,"特定情境","不建議")))</f>
        <v>特定情境</v>
      </c>
      <c r="I554" s="15" t="n">
        <f aca="false">AE554*評分方法!$C$5</f>
        <v>28.5</v>
      </c>
      <c r="J554" s="15" t="n">
        <f aca="false">AF554*評分方法!$C$6</f>
        <v>0</v>
      </c>
      <c r="K554" s="15" t="n">
        <f aca="false">AG554*評分方法!$C$7</f>
        <v>4.95</v>
      </c>
      <c r="L554" s="15" t="n">
        <f aca="false">AH554*評分方法!$C$8</f>
        <v>15</v>
      </c>
      <c r="M554" s="15" t="n">
        <f aca="false">AI554*評分方法!$C$9</f>
        <v>10</v>
      </c>
      <c r="N554" s="15" t="n">
        <f aca="false">AJ554*評分方法!$C$10</f>
        <v>7.596</v>
      </c>
      <c r="O554" s="15" t="n">
        <f aca="false">AK554*評分方法!$C$11</f>
        <v>2.5</v>
      </c>
      <c r="P554" s="15" t="n">
        <f aca="false">AL554*評分方法!$C$12</f>
        <v>0</v>
      </c>
      <c r="Q554" s="6" t="n">
        <v>1213627</v>
      </c>
      <c r="R554" s="6" t="n">
        <v>395834371</v>
      </c>
      <c r="S554" s="11" t="s">
        <v>238</v>
      </c>
      <c r="T554" s="11" t="s">
        <v>239</v>
      </c>
      <c r="U554" s="5" t="s">
        <v>240</v>
      </c>
      <c r="V554" s="11" t="s">
        <v>261</v>
      </c>
      <c r="W554" s="5" t="s">
        <v>334</v>
      </c>
      <c r="X554" s="5" t="s">
        <v>242</v>
      </c>
      <c r="Y554" s="5"/>
      <c r="Z554" s="5"/>
      <c r="AA554" s="11" t="s">
        <v>150</v>
      </c>
      <c r="AB554" s="5" t="s">
        <v>245</v>
      </c>
      <c r="AC554" s="5"/>
      <c r="AD554" s="11" t="s">
        <v>1570</v>
      </c>
      <c r="AE554" s="23" t="n">
        <v>0.95</v>
      </c>
      <c r="AF554" s="23" t="n">
        <v>0</v>
      </c>
      <c r="AG554" s="23" t="n">
        <v>0.33</v>
      </c>
      <c r="AH554" s="23" t="n">
        <v>1</v>
      </c>
      <c r="AI554" s="23" t="n">
        <v>1</v>
      </c>
      <c r="AJ554" s="23" t="n">
        <v>0.7596</v>
      </c>
      <c r="AK554" s="23" t="n">
        <v>0.5</v>
      </c>
      <c r="AL554" s="23" t="n">
        <v>0</v>
      </c>
      <c r="AM554" s="16" t="n">
        <f aca="false">COUNTIFS($D$2:$D$2501,D554,$G$2:$G$2501,"&gt;"&amp;G554)+COUNTIFS($D$2:D554,D554,$G$2:G554,G554)</f>
        <v>28</v>
      </c>
      <c r="AN554" s="5" t="str">
        <f aca="false">D554&amp;"|"&amp;AM554</f>
        <v>實體擷取與去識別化|28</v>
      </c>
    </row>
    <row r="555" customFormat="false" ht="17.15" hidden="false" customHeight="false" outlineLevel="0" collapsed="false">
      <c r="A555" s="16" t="n">
        <f aca="false">RANK(G555,$G$2:$G$2501)+COUNTIF($G$2:G555,G555)-1</f>
        <v>554</v>
      </c>
      <c r="B555" s="11" t="s">
        <v>1571</v>
      </c>
      <c r="C555" s="11" t="s">
        <v>402</v>
      </c>
      <c r="D555" s="5" t="s">
        <v>58</v>
      </c>
      <c r="E555" s="5" t="s">
        <v>59</v>
      </c>
      <c r="F555" s="5"/>
      <c r="G555" s="22" t="n">
        <f aca="false">ROUND(SUM(I555:P555),3)</f>
        <v>68.542</v>
      </c>
      <c r="H555" s="5" t="str">
        <f aca="false">IF(G555&gt;=評分方法!$C$16,"優先評估",IF(G555&gt;=評分方法!$C$17,"列入候選",IF(G555&gt;=評分方法!$C$18,"特定情境","不建議")))</f>
        <v>特定情境</v>
      </c>
      <c r="I555" s="15" t="n">
        <f aca="false">AE555*評分方法!$C$5</f>
        <v>28.5</v>
      </c>
      <c r="J555" s="15" t="n">
        <f aca="false">AF555*評分方法!$C$6</f>
        <v>0</v>
      </c>
      <c r="K555" s="15" t="n">
        <f aca="false">AG555*評分方法!$C$7</f>
        <v>4.95</v>
      </c>
      <c r="L555" s="15" t="n">
        <f aca="false">AH555*評分方法!$C$8</f>
        <v>15</v>
      </c>
      <c r="M555" s="15" t="n">
        <f aca="false">AI555*評分方法!$C$9</f>
        <v>10</v>
      </c>
      <c r="N555" s="15" t="n">
        <f aca="false">AJ555*評分方法!$C$10</f>
        <v>7.592</v>
      </c>
      <c r="O555" s="15" t="n">
        <f aca="false">AK555*評分方法!$C$11</f>
        <v>2.5</v>
      </c>
      <c r="P555" s="15" t="n">
        <f aca="false">AL555*評分方法!$C$12</f>
        <v>0</v>
      </c>
      <c r="Q555" s="6" t="n">
        <v>1211365</v>
      </c>
      <c r="R555" s="6" t="n">
        <v>124063499</v>
      </c>
      <c r="S555" s="11" t="s">
        <v>238</v>
      </c>
      <c r="T555" s="11" t="s">
        <v>239</v>
      </c>
      <c r="U555" s="5" t="s">
        <v>240</v>
      </c>
      <c r="V555" s="11" t="s">
        <v>261</v>
      </c>
      <c r="W555" s="5" t="s">
        <v>334</v>
      </c>
      <c r="X555" s="5" t="s">
        <v>242</v>
      </c>
      <c r="Y555" s="5"/>
      <c r="Z555" s="5"/>
      <c r="AA555" s="11" t="s">
        <v>150</v>
      </c>
      <c r="AB555" s="5" t="s">
        <v>245</v>
      </c>
      <c r="AC555" s="5"/>
      <c r="AD555" s="11" t="s">
        <v>1572</v>
      </c>
      <c r="AE555" s="23" t="n">
        <v>0.95</v>
      </c>
      <c r="AF555" s="23" t="n">
        <v>0</v>
      </c>
      <c r="AG555" s="23" t="n">
        <v>0.33</v>
      </c>
      <c r="AH555" s="23" t="n">
        <v>1</v>
      </c>
      <c r="AI555" s="23" t="n">
        <v>1</v>
      </c>
      <c r="AJ555" s="23" t="n">
        <v>0.7592</v>
      </c>
      <c r="AK555" s="23" t="n">
        <v>0.5</v>
      </c>
      <c r="AL555" s="23" t="n">
        <v>0</v>
      </c>
      <c r="AM555" s="16" t="n">
        <f aca="false">COUNTIFS($D$2:$D$2501,D555,$G$2:$G$2501,"&gt;"&amp;G555)+COUNTIFS($D$2:D555,D555,$G$2:G555,G555)</f>
        <v>29</v>
      </c>
      <c r="AN555" s="5" t="str">
        <f aca="false">D555&amp;"|"&amp;AM555</f>
        <v>實體擷取與去識別化|29</v>
      </c>
    </row>
    <row r="556" customFormat="false" ht="17.15" hidden="false" customHeight="false" outlineLevel="0" collapsed="false">
      <c r="A556" s="16" t="n">
        <f aca="false">RANK(G556,$G$2:$G$2501)+COUNTIF($G$2:G556,G556)-1</f>
        <v>555</v>
      </c>
      <c r="B556" s="11" t="s">
        <v>1573</v>
      </c>
      <c r="C556" s="11" t="s">
        <v>753</v>
      </c>
      <c r="D556" s="5" t="s">
        <v>56</v>
      </c>
      <c r="E556" s="5" t="s">
        <v>57</v>
      </c>
      <c r="F556" s="5"/>
      <c r="G556" s="22" t="n">
        <f aca="false">ROUND(SUM(I556:P556),3)</f>
        <v>68.542</v>
      </c>
      <c r="H556" s="5" t="str">
        <f aca="false">IF(G556&gt;=評分方法!$C$16,"優先評估",IF(G556&gt;=評分方法!$C$17,"列入候選",IF(G556&gt;=評分方法!$C$18,"特定情境","不建議")))</f>
        <v>特定情境</v>
      </c>
      <c r="I556" s="15" t="n">
        <f aca="false">AE556*評分方法!$C$5</f>
        <v>25.5</v>
      </c>
      <c r="J556" s="15" t="n">
        <f aca="false">AF556*評分方法!$C$6</f>
        <v>0</v>
      </c>
      <c r="K556" s="15" t="n">
        <f aca="false">AG556*評分方法!$C$7</f>
        <v>10.05</v>
      </c>
      <c r="L556" s="15" t="n">
        <f aca="false">AH556*評分方法!$C$8</f>
        <v>9</v>
      </c>
      <c r="M556" s="15" t="n">
        <f aca="false">AI556*評分方法!$C$9</f>
        <v>10</v>
      </c>
      <c r="N556" s="15" t="n">
        <f aca="false">AJ556*評分方法!$C$10</f>
        <v>5.992</v>
      </c>
      <c r="O556" s="15" t="n">
        <f aca="false">AK556*評分方法!$C$11</f>
        <v>5</v>
      </c>
      <c r="P556" s="15" t="n">
        <f aca="false">AL556*評分方法!$C$12</f>
        <v>3</v>
      </c>
      <c r="Q556" s="6" t="n">
        <v>623832</v>
      </c>
      <c r="R556" s="6" t="n">
        <v>25250987068</v>
      </c>
      <c r="S556" s="11" t="s">
        <v>389</v>
      </c>
      <c r="T556" s="11" t="s">
        <v>239</v>
      </c>
      <c r="U556" s="5" t="s">
        <v>240</v>
      </c>
      <c r="V556" s="11" t="s">
        <v>333</v>
      </c>
      <c r="W556" s="5" t="s">
        <v>207</v>
      </c>
      <c r="X556" s="5" t="s">
        <v>371</v>
      </c>
      <c r="Y556" s="11" t="s">
        <v>653</v>
      </c>
      <c r="Z556" s="11" t="s">
        <v>244</v>
      </c>
      <c r="AA556" s="11" t="s">
        <v>156</v>
      </c>
      <c r="AB556" s="5" t="s">
        <v>245</v>
      </c>
      <c r="AC556" s="5" t="s">
        <v>246</v>
      </c>
      <c r="AD556" s="11" t="s">
        <v>1574</v>
      </c>
      <c r="AE556" s="23" t="n">
        <v>0.85</v>
      </c>
      <c r="AF556" s="23" t="n">
        <v>0</v>
      </c>
      <c r="AG556" s="23" t="n">
        <v>0.67</v>
      </c>
      <c r="AH556" s="23" t="n">
        <v>0.6</v>
      </c>
      <c r="AI556" s="23" t="n">
        <v>1</v>
      </c>
      <c r="AJ556" s="23" t="n">
        <v>0.5992</v>
      </c>
      <c r="AK556" s="23" t="n">
        <v>1</v>
      </c>
      <c r="AL556" s="23" t="n">
        <v>0.6</v>
      </c>
      <c r="AM556" s="16" t="n">
        <f aca="false">COUNTIFS($D$2:$D$2501,D556,$G$2:$G$2501,"&gt;"&amp;G556)+COUNTIFS($D$2:D556,D556,$G$2:G556,G556)</f>
        <v>304</v>
      </c>
      <c r="AN556" s="5" t="str">
        <f aca="false">D556&amp;"|"&amp;AM556</f>
        <v>分析與報告生成|304</v>
      </c>
    </row>
    <row r="557" customFormat="false" ht="17.15" hidden="false" customHeight="false" outlineLevel="0" collapsed="false">
      <c r="A557" s="16" t="n">
        <f aca="false">RANK(G557,$G$2:$G$2501)+COUNTIF($G$2:G557,G557)-1</f>
        <v>556</v>
      </c>
      <c r="B557" s="11" t="s">
        <v>1575</v>
      </c>
      <c r="C557" s="11" t="s">
        <v>402</v>
      </c>
      <c r="D557" s="5" t="s">
        <v>58</v>
      </c>
      <c r="E557" s="5" t="s">
        <v>59</v>
      </c>
      <c r="F557" s="5"/>
      <c r="G557" s="22" t="n">
        <f aca="false">ROUND(SUM(I557:P557),3)</f>
        <v>68.538</v>
      </c>
      <c r="H557" s="5" t="str">
        <f aca="false">IF(G557&gt;=評分方法!$C$16,"優先評估",IF(G557&gt;=評分方法!$C$17,"列入候選",IF(G557&gt;=評分方法!$C$18,"特定情境","不建議")))</f>
        <v>特定情境</v>
      </c>
      <c r="I557" s="15" t="n">
        <f aca="false">AE557*評分方法!$C$5</f>
        <v>28.5</v>
      </c>
      <c r="J557" s="15" t="n">
        <f aca="false">AF557*評分方法!$C$6</f>
        <v>0</v>
      </c>
      <c r="K557" s="15" t="n">
        <f aca="false">AG557*評分方法!$C$7</f>
        <v>4.95</v>
      </c>
      <c r="L557" s="15" t="n">
        <f aca="false">AH557*評分方法!$C$8</f>
        <v>15</v>
      </c>
      <c r="M557" s="15" t="n">
        <f aca="false">AI557*評分方法!$C$9</f>
        <v>10</v>
      </c>
      <c r="N557" s="15" t="n">
        <f aca="false">AJ557*評分方法!$C$10</f>
        <v>7.588</v>
      </c>
      <c r="O557" s="15" t="n">
        <f aca="false">AK557*評分方法!$C$11</f>
        <v>2.5</v>
      </c>
      <c r="P557" s="15" t="n">
        <f aca="false">AL557*評分方法!$C$12</f>
        <v>0</v>
      </c>
      <c r="Q557" s="6" t="n">
        <v>1209453</v>
      </c>
      <c r="R557" s="6" t="n">
        <v>277478433</v>
      </c>
      <c r="S557" s="11" t="s">
        <v>238</v>
      </c>
      <c r="T557" s="11" t="s">
        <v>239</v>
      </c>
      <c r="U557" s="5" t="s">
        <v>240</v>
      </c>
      <c r="V557" s="11" t="s">
        <v>261</v>
      </c>
      <c r="W557" s="5" t="s">
        <v>334</v>
      </c>
      <c r="X557" s="5" t="s">
        <v>242</v>
      </c>
      <c r="Y557" s="5"/>
      <c r="Z557" s="5"/>
      <c r="AA557" s="11" t="s">
        <v>150</v>
      </c>
      <c r="AB557" s="5" t="s">
        <v>245</v>
      </c>
      <c r="AC557" s="5"/>
      <c r="AD557" s="11" t="s">
        <v>1576</v>
      </c>
      <c r="AE557" s="23" t="n">
        <v>0.95</v>
      </c>
      <c r="AF557" s="23" t="n">
        <v>0</v>
      </c>
      <c r="AG557" s="23" t="n">
        <v>0.33</v>
      </c>
      <c r="AH557" s="23" t="n">
        <v>1</v>
      </c>
      <c r="AI557" s="23" t="n">
        <v>1</v>
      </c>
      <c r="AJ557" s="23" t="n">
        <v>0.7588</v>
      </c>
      <c r="AK557" s="23" t="n">
        <v>0.5</v>
      </c>
      <c r="AL557" s="23" t="n">
        <v>0</v>
      </c>
      <c r="AM557" s="16" t="n">
        <f aca="false">COUNTIFS($D$2:$D$2501,D557,$G$2:$G$2501,"&gt;"&amp;G557)+COUNTIFS($D$2:D557,D557,$G$2:G557,G557)</f>
        <v>30</v>
      </c>
      <c r="AN557" s="5" t="str">
        <f aca="false">D557&amp;"|"&amp;AM557</f>
        <v>實體擷取與去識別化|30</v>
      </c>
    </row>
    <row r="558" customFormat="false" ht="17.15" hidden="false" customHeight="false" outlineLevel="0" collapsed="false">
      <c r="A558" s="16" t="n">
        <f aca="false">RANK(G558,$G$2:$G$2501)+COUNTIF($G$2:G558,G558)-1</f>
        <v>557</v>
      </c>
      <c r="B558" s="11" t="s">
        <v>1577</v>
      </c>
      <c r="C558" s="11" t="s">
        <v>402</v>
      </c>
      <c r="D558" s="5" t="s">
        <v>58</v>
      </c>
      <c r="E558" s="5" t="s">
        <v>59</v>
      </c>
      <c r="F558" s="5"/>
      <c r="G558" s="22" t="n">
        <f aca="false">ROUND(SUM(I558:P558),3)</f>
        <v>68.522</v>
      </c>
      <c r="H558" s="5" t="str">
        <f aca="false">IF(G558&gt;=評分方法!$C$16,"優先評估",IF(G558&gt;=評分方法!$C$17,"列入候選",IF(G558&gt;=評分方法!$C$18,"特定情境","不建議")))</f>
        <v>特定情境</v>
      </c>
      <c r="I558" s="15" t="n">
        <f aca="false">AE558*評分方法!$C$5</f>
        <v>28.5</v>
      </c>
      <c r="J558" s="15" t="n">
        <f aca="false">AF558*評分方法!$C$6</f>
        <v>0</v>
      </c>
      <c r="K558" s="15" t="n">
        <f aca="false">AG558*評分方法!$C$7</f>
        <v>4.95</v>
      </c>
      <c r="L558" s="15" t="n">
        <f aca="false">AH558*評分方法!$C$8</f>
        <v>15</v>
      </c>
      <c r="M558" s="15" t="n">
        <f aca="false">AI558*評分方法!$C$9</f>
        <v>10</v>
      </c>
      <c r="N558" s="15" t="n">
        <f aca="false">AJ558*評分方法!$C$10</f>
        <v>7.572</v>
      </c>
      <c r="O558" s="15" t="n">
        <f aca="false">AK558*評分方法!$C$11</f>
        <v>2.5</v>
      </c>
      <c r="P558" s="15" t="n">
        <f aca="false">AL558*評分方法!$C$12</f>
        <v>0</v>
      </c>
      <c r="Q558" s="6" t="n">
        <v>1202649</v>
      </c>
      <c r="R558" s="6" t="n">
        <v>108893955</v>
      </c>
      <c r="S558" s="11" t="s">
        <v>238</v>
      </c>
      <c r="T558" s="11" t="s">
        <v>239</v>
      </c>
      <c r="U558" s="5" t="s">
        <v>240</v>
      </c>
      <c r="V558" s="11" t="s">
        <v>261</v>
      </c>
      <c r="W558" s="5" t="s">
        <v>334</v>
      </c>
      <c r="X558" s="5" t="s">
        <v>242</v>
      </c>
      <c r="Y558" s="5"/>
      <c r="Z558" s="5"/>
      <c r="AA558" s="11" t="s">
        <v>150</v>
      </c>
      <c r="AB558" s="5" t="s">
        <v>245</v>
      </c>
      <c r="AC558" s="5"/>
      <c r="AD558" s="11" t="s">
        <v>1578</v>
      </c>
      <c r="AE558" s="23" t="n">
        <v>0.95</v>
      </c>
      <c r="AF558" s="23" t="n">
        <v>0</v>
      </c>
      <c r="AG558" s="23" t="n">
        <v>0.33</v>
      </c>
      <c r="AH558" s="23" t="n">
        <v>1</v>
      </c>
      <c r="AI558" s="23" t="n">
        <v>1</v>
      </c>
      <c r="AJ558" s="23" t="n">
        <v>0.7572</v>
      </c>
      <c r="AK558" s="23" t="n">
        <v>0.5</v>
      </c>
      <c r="AL558" s="23" t="n">
        <v>0</v>
      </c>
      <c r="AM558" s="16" t="n">
        <f aca="false">COUNTIFS($D$2:$D$2501,D558,$G$2:$G$2501,"&gt;"&amp;G558)+COUNTIFS($D$2:D558,D558,$G$2:G558,G558)</f>
        <v>31</v>
      </c>
      <c r="AN558" s="5" t="str">
        <f aca="false">D558&amp;"|"&amp;AM558</f>
        <v>實體擷取與去識別化|31</v>
      </c>
    </row>
    <row r="559" customFormat="false" ht="17.15" hidden="false" customHeight="false" outlineLevel="0" collapsed="false">
      <c r="A559" s="16" t="n">
        <f aca="false">RANK(G559,$G$2:$G$2501)+COUNTIF($G$2:G559,G559)-1</f>
        <v>558</v>
      </c>
      <c r="B559" s="11" t="s">
        <v>1579</v>
      </c>
      <c r="C559" s="11" t="s">
        <v>891</v>
      </c>
      <c r="D559" s="5" t="s">
        <v>56</v>
      </c>
      <c r="E559" s="5" t="s">
        <v>57</v>
      </c>
      <c r="F559" s="5"/>
      <c r="G559" s="22" t="n">
        <f aca="false">ROUND(SUM(I559:P559),3)</f>
        <v>68.51</v>
      </c>
      <c r="H559" s="5" t="str">
        <f aca="false">IF(G559&gt;=評分方法!$C$16,"優先評估",IF(G559&gt;=評分方法!$C$17,"列入候選",IF(G559&gt;=評分方法!$C$18,"特定情境","不建議")))</f>
        <v>特定情境</v>
      </c>
      <c r="I559" s="15" t="n">
        <f aca="false">AE559*評分方法!$C$5</f>
        <v>24</v>
      </c>
      <c r="J559" s="15" t="n">
        <f aca="false">AF559*評分方法!$C$6</f>
        <v>0</v>
      </c>
      <c r="K559" s="15" t="n">
        <f aca="false">AG559*評分方法!$C$7</f>
        <v>10.05</v>
      </c>
      <c r="L559" s="15" t="n">
        <f aca="false">AH559*評分方法!$C$8</f>
        <v>9</v>
      </c>
      <c r="M559" s="15" t="n">
        <f aca="false">AI559*評分方法!$C$9</f>
        <v>10</v>
      </c>
      <c r="N559" s="15" t="n">
        <f aca="false">AJ559*評分方法!$C$10</f>
        <v>7.46</v>
      </c>
      <c r="O559" s="15" t="n">
        <f aca="false">AK559*評分方法!$C$11</f>
        <v>5</v>
      </c>
      <c r="P559" s="15" t="n">
        <f aca="false">AL559*評分方法!$C$12</f>
        <v>3</v>
      </c>
      <c r="Q559" s="6" t="n">
        <v>1128875</v>
      </c>
      <c r="R559" s="6" t="n">
        <v>11907350576</v>
      </c>
      <c r="S559" s="11" t="s">
        <v>389</v>
      </c>
      <c r="T559" s="11" t="s">
        <v>239</v>
      </c>
      <c r="U559" s="5" t="s">
        <v>240</v>
      </c>
      <c r="V559" s="11" t="s">
        <v>333</v>
      </c>
      <c r="W559" s="5" t="s">
        <v>207</v>
      </c>
      <c r="X559" s="5" t="s">
        <v>371</v>
      </c>
      <c r="Y559" s="11" t="s">
        <v>755</v>
      </c>
      <c r="Z559" s="11" t="s">
        <v>244</v>
      </c>
      <c r="AA559" s="11" t="s">
        <v>157</v>
      </c>
      <c r="AB559" s="5" t="s">
        <v>496</v>
      </c>
      <c r="AC559" s="5" t="s">
        <v>555</v>
      </c>
      <c r="AD559" s="11" t="s">
        <v>1580</v>
      </c>
      <c r="AE559" s="23" t="n">
        <v>0.8</v>
      </c>
      <c r="AF559" s="23" t="n">
        <v>0</v>
      </c>
      <c r="AG559" s="23" t="n">
        <v>0.67</v>
      </c>
      <c r="AH559" s="23" t="n">
        <v>0.6</v>
      </c>
      <c r="AI559" s="23" t="n">
        <v>1</v>
      </c>
      <c r="AJ559" s="23" t="n">
        <v>0.746</v>
      </c>
      <c r="AK559" s="23" t="n">
        <v>1</v>
      </c>
      <c r="AL559" s="23" t="n">
        <v>0.6</v>
      </c>
      <c r="AM559" s="16" t="n">
        <f aca="false">COUNTIFS($D$2:$D$2501,D559,$G$2:$G$2501,"&gt;"&amp;G559)+COUNTIFS($D$2:D559,D559,$G$2:G559,G559)</f>
        <v>305</v>
      </c>
      <c r="AN559" s="5" t="str">
        <f aca="false">D559&amp;"|"&amp;AM559</f>
        <v>分析與報告生成|305</v>
      </c>
    </row>
    <row r="560" customFormat="false" ht="17.15" hidden="false" customHeight="false" outlineLevel="0" collapsed="false">
      <c r="A560" s="16" t="n">
        <f aca="false">RANK(G560,$G$2:$G$2501)+COUNTIF($G$2:G560,G560)-1</f>
        <v>559</v>
      </c>
      <c r="B560" s="11" t="s">
        <v>1581</v>
      </c>
      <c r="C560" s="11" t="s">
        <v>1111</v>
      </c>
      <c r="D560" s="5" t="s">
        <v>56</v>
      </c>
      <c r="E560" s="5" t="s">
        <v>57</v>
      </c>
      <c r="F560" s="5"/>
      <c r="G560" s="22" t="n">
        <f aca="false">ROUND(SUM(I560:P560),3)</f>
        <v>68.5</v>
      </c>
      <c r="H560" s="5" t="str">
        <f aca="false">IF(G560&gt;=評分方法!$C$16,"優先評估",IF(G560&gt;=評分方法!$C$17,"列入候選",IF(G560&gt;=評分方法!$C$18,"特定情境","不建議")))</f>
        <v>特定情境</v>
      </c>
      <c r="I560" s="15" t="n">
        <f aca="false">AE560*評分方法!$C$5</f>
        <v>25.5</v>
      </c>
      <c r="J560" s="15" t="n">
        <f aca="false">AF560*評分方法!$C$6</f>
        <v>0</v>
      </c>
      <c r="K560" s="15" t="n">
        <f aca="false">AG560*評分方法!$C$7</f>
        <v>10.05</v>
      </c>
      <c r="L560" s="15" t="n">
        <f aca="false">AH560*評分方法!$C$8</f>
        <v>13.05</v>
      </c>
      <c r="M560" s="15" t="n">
        <f aca="false">AI560*評分方法!$C$9</f>
        <v>6</v>
      </c>
      <c r="N560" s="15" t="n">
        <f aca="false">AJ560*評分方法!$C$10</f>
        <v>8.9</v>
      </c>
      <c r="O560" s="15" t="n">
        <f aca="false">AK560*評分方法!$C$11</f>
        <v>5</v>
      </c>
      <c r="P560" s="15" t="n">
        <f aca="false">AL560*評分方法!$C$12</f>
        <v>0</v>
      </c>
      <c r="Q560" s="6" t="n">
        <v>3419921</v>
      </c>
      <c r="R560" s="6" t="n">
        <v>1498482688</v>
      </c>
      <c r="S560" s="11" t="s">
        <v>254</v>
      </c>
      <c r="T560" s="11" t="s">
        <v>1044</v>
      </c>
      <c r="U560" s="5" t="s">
        <v>260</v>
      </c>
      <c r="V560" s="11" t="s">
        <v>261</v>
      </c>
      <c r="W560" s="5" t="s">
        <v>207</v>
      </c>
      <c r="X560" s="5" t="s">
        <v>242</v>
      </c>
      <c r="Y560" s="11" t="s">
        <v>1309</v>
      </c>
      <c r="Z560" s="11" t="s">
        <v>244</v>
      </c>
      <c r="AA560" s="11" t="s">
        <v>155</v>
      </c>
      <c r="AB560" s="5" t="s">
        <v>245</v>
      </c>
      <c r="AC560" s="5" t="s">
        <v>464</v>
      </c>
      <c r="AD560" s="11" t="s">
        <v>1582</v>
      </c>
      <c r="AE560" s="23" t="n">
        <v>0.85</v>
      </c>
      <c r="AF560" s="23" t="n">
        <v>0</v>
      </c>
      <c r="AG560" s="23" t="n">
        <v>0.67</v>
      </c>
      <c r="AH560" s="23" t="n">
        <v>0.87</v>
      </c>
      <c r="AI560" s="23" t="n">
        <v>0.6</v>
      </c>
      <c r="AJ560" s="23" t="n">
        <v>0.89</v>
      </c>
      <c r="AK560" s="23" t="n">
        <v>1</v>
      </c>
      <c r="AL560" s="23" t="n">
        <v>0</v>
      </c>
      <c r="AM560" s="16" t="n">
        <f aca="false">COUNTIFS($D$2:$D$2501,D560,$G$2:$G$2501,"&gt;"&amp;G560)+COUNTIFS($D$2:D560,D560,$G$2:G560,G560)</f>
        <v>306</v>
      </c>
      <c r="AN560" s="5" t="str">
        <f aca="false">D560&amp;"|"&amp;AM560</f>
        <v>分析與報告生成|306</v>
      </c>
    </row>
    <row r="561" customFormat="false" ht="17.15" hidden="false" customHeight="false" outlineLevel="0" collapsed="false">
      <c r="A561" s="16" t="n">
        <f aca="false">RANK(G561,$G$2:$G$2501)+COUNTIF($G$2:G561,G561)-1</f>
        <v>560</v>
      </c>
      <c r="B561" s="11" t="s">
        <v>1583</v>
      </c>
      <c r="C561" s="11" t="s">
        <v>753</v>
      </c>
      <c r="D561" s="5" t="s">
        <v>56</v>
      </c>
      <c r="E561" s="5" t="s">
        <v>57</v>
      </c>
      <c r="F561" s="5"/>
      <c r="G561" s="22" t="n">
        <f aca="false">ROUND(SUM(I561:P561),3)</f>
        <v>68.46</v>
      </c>
      <c r="H561" s="5" t="str">
        <f aca="false">IF(G561&gt;=評分方法!$C$16,"優先評估",IF(G561&gt;=評分方法!$C$17,"列入候選",IF(G561&gt;=評分方法!$C$18,"特定情境","不建議")))</f>
        <v>特定情境</v>
      </c>
      <c r="I561" s="15" t="n">
        <f aca="false">AE561*評分方法!$C$5</f>
        <v>25.5</v>
      </c>
      <c r="J561" s="15" t="n">
        <f aca="false">AF561*評分方法!$C$6</f>
        <v>0</v>
      </c>
      <c r="K561" s="15" t="n">
        <f aca="false">AG561*評分方法!$C$7</f>
        <v>10.05</v>
      </c>
      <c r="L561" s="15" t="n">
        <f aca="false">AH561*評分方法!$C$8</f>
        <v>13.05</v>
      </c>
      <c r="M561" s="15" t="n">
        <f aca="false">AI561*評分方法!$C$9</f>
        <v>10</v>
      </c>
      <c r="N561" s="15" t="n">
        <f aca="false">AJ561*評分方法!$C$10</f>
        <v>0.86</v>
      </c>
      <c r="O561" s="15" t="n">
        <f aca="false">AK561*評分方法!$C$11</f>
        <v>4</v>
      </c>
      <c r="P561" s="15" t="n">
        <f aca="false">AL561*評分方法!$C$12</f>
        <v>5</v>
      </c>
      <c r="Q561" s="6" t="n">
        <v>148665</v>
      </c>
      <c r="R561" s="6" t="n">
        <v>3429006336</v>
      </c>
      <c r="S561" s="11" t="s">
        <v>254</v>
      </c>
      <c r="T561" s="11" t="s">
        <v>239</v>
      </c>
      <c r="U561" s="5" t="s">
        <v>240</v>
      </c>
      <c r="V561" s="11" t="s">
        <v>333</v>
      </c>
      <c r="W561" s="5" t="s">
        <v>207</v>
      </c>
      <c r="X561" s="5" t="s">
        <v>284</v>
      </c>
      <c r="Y561" s="11" t="s">
        <v>337</v>
      </c>
      <c r="Z561" s="11" t="s">
        <v>244</v>
      </c>
      <c r="AA561" s="11" t="s">
        <v>155</v>
      </c>
      <c r="AB561" s="5" t="s">
        <v>961</v>
      </c>
      <c r="AC561" s="5" t="s">
        <v>962</v>
      </c>
      <c r="AD561" s="11" t="s">
        <v>1584</v>
      </c>
      <c r="AE561" s="23" t="n">
        <v>0.85</v>
      </c>
      <c r="AF561" s="23" t="n">
        <v>0</v>
      </c>
      <c r="AG561" s="23" t="n">
        <v>0.67</v>
      </c>
      <c r="AH561" s="23" t="n">
        <v>0.87</v>
      </c>
      <c r="AI561" s="23" t="n">
        <v>1</v>
      </c>
      <c r="AJ561" s="23" t="n">
        <v>0.086</v>
      </c>
      <c r="AK561" s="23" t="n">
        <v>0.8</v>
      </c>
      <c r="AL561" s="23" t="n">
        <v>1</v>
      </c>
      <c r="AM561" s="16" t="n">
        <f aca="false">COUNTIFS($D$2:$D$2501,D561,$G$2:$G$2501,"&gt;"&amp;G561)+COUNTIFS($D$2:D561,D561,$G$2:G561,G561)</f>
        <v>307</v>
      </c>
      <c r="AN561" s="5" t="str">
        <f aca="false">D561&amp;"|"&amp;AM561</f>
        <v>分析與報告生成|307</v>
      </c>
    </row>
    <row r="562" customFormat="false" ht="17.15" hidden="false" customHeight="false" outlineLevel="0" collapsed="false">
      <c r="A562" s="16" t="n">
        <f aca="false">RANK(G562,$G$2:$G$2501)+COUNTIF($G$2:G562,G562)-1</f>
        <v>561</v>
      </c>
      <c r="B562" s="11" t="s">
        <v>1585</v>
      </c>
      <c r="C562" s="11" t="s">
        <v>1586</v>
      </c>
      <c r="D562" s="5" t="s">
        <v>56</v>
      </c>
      <c r="E562" s="5" t="s">
        <v>57</v>
      </c>
      <c r="F562" s="5"/>
      <c r="G562" s="22" t="n">
        <f aca="false">ROUND(SUM(I562:P562),3)</f>
        <v>68.426</v>
      </c>
      <c r="H562" s="5" t="str">
        <f aca="false">IF(G562&gt;=評分方法!$C$16,"優先評估",IF(G562&gt;=評分方法!$C$17,"列入候選",IF(G562&gt;=評分方法!$C$18,"特定情境","不建議")))</f>
        <v>特定情境</v>
      </c>
      <c r="I562" s="15" t="n">
        <f aca="false">AE562*評分方法!$C$5</f>
        <v>25.5</v>
      </c>
      <c r="J562" s="15" t="n">
        <f aca="false">AF562*評分方法!$C$6</f>
        <v>0</v>
      </c>
      <c r="K562" s="15" t="n">
        <f aca="false">AG562*評分方法!$C$7</f>
        <v>4.95</v>
      </c>
      <c r="L562" s="15" t="n">
        <f aca="false">AH562*評分方法!$C$8</f>
        <v>15</v>
      </c>
      <c r="M562" s="15" t="n">
        <f aca="false">AI562*評分方法!$C$9</f>
        <v>10</v>
      </c>
      <c r="N562" s="15" t="n">
        <f aca="false">AJ562*評分方法!$C$10</f>
        <v>7.476</v>
      </c>
      <c r="O562" s="15" t="n">
        <f aca="false">AK562*評分方法!$C$11</f>
        <v>2.5</v>
      </c>
      <c r="P562" s="15" t="n">
        <f aca="false">AL562*評分方法!$C$12</f>
        <v>3</v>
      </c>
      <c r="Q562" s="6" t="n">
        <v>1140750</v>
      </c>
      <c r="R562" s="6" t="n">
        <v>776710144</v>
      </c>
      <c r="S562" s="11" t="s">
        <v>238</v>
      </c>
      <c r="T562" s="11" t="s">
        <v>278</v>
      </c>
      <c r="U562" s="5" t="s">
        <v>240</v>
      </c>
      <c r="V562" s="11" t="s">
        <v>261</v>
      </c>
      <c r="W562" s="5" t="s">
        <v>334</v>
      </c>
      <c r="X562" s="5" t="s">
        <v>371</v>
      </c>
      <c r="Y562" s="5"/>
      <c r="Z562" s="5"/>
      <c r="AA562" s="11" t="s">
        <v>156</v>
      </c>
      <c r="AB562" s="5" t="s">
        <v>245</v>
      </c>
      <c r="AC562" s="5"/>
      <c r="AD562" s="11" t="s">
        <v>1587</v>
      </c>
      <c r="AE562" s="23" t="n">
        <v>0.85</v>
      </c>
      <c r="AF562" s="23" t="n">
        <v>0</v>
      </c>
      <c r="AG562" s="23" t="n">
        <v>0.33</v>
      </c>
      <c r="AH562" s="23" t="n">
        <v>1</v>
      </c>
      <c r="AI562" s="23" t="n">
        <v>1</v>
      </c>
      <c r="AJ562" s="23" t="n">
        <v>0.7476</v>
      </c>
      <c r="AK562" s="23" t="n">
        <v>0.5</v>
      </c>
      <c r="AL562" s="23" t="n">
        <v>0.6</v>
      </c>
      <c r="AM562" s="16" t="n">
        <f aca="false">COUNTIFS($D$2:$D$2501,D562,$G$2:$G$2501,"&gt;"&amp;G562)+COUNTIFS($D$2:D562,D562,$G$2:G562,G562)</f>
        <v>308</v>
      </c>
      <c r="AN562" s="5" t="str">
        <f aca="false">D562&amp;"|"&amp;AM562</f>
        <v>分析與報告生成|308</v>
      </c>
    </row>
    <row r="563" customFormat="false" ht="17.15" hidden="false" customHeight="false" outlineLevel="0" collapsed="false">
      <c r="A563" s="16" t="n">
        <f aca="false">RANK(G563,$G$2:$G$2501)+COUNTIF($G$2:G563,G563)-1</f>
        <v>562</v>
      </c>
      <c r="B563" s="11" t="s">
        <v>1588</v>
      </c>
      <c r="C563" s="11" t="s">
        <v>368</v>
      </c>
      <c r="D563" s="5" t="s">
        <v>56</v>
      </c>
      <c r="E563" s="5" t="s">
        <v>57</v>
      </c>
      <c r="F563" s="5"/>
      <c r="G563" s="22" t="n">
        <f aca="false">ROUND(SUM(I563:P563),3)</f>
        <v>68.422</v>
      </c>
      <c r="H563" s="5" t="str">
        <f aca="false">IF(G563&gt;=評分方法!$C$16,"優先評估",IF(G563&gt;=評分方法!$C$17,"列入候選",IF(G563&gt;=評分方法!$C$18,"特定情境","不建議")))</f>
        <v>特定情境</v>
      </c>
      <c r="I563" s="15" t="n">
        <f aca="false">AE563*評分方法!$C$5</f>
        <v>25.5</v>
      </c>
      <c r="J563" s="15" t="n">
        <f aca="false">AF563*評分方法!$C$6</f>
        <v>0</v>
      </c>
      <c r="K563" s="15" t="n">
        <f aca="false">AG563*評分方法!$C$7</f>
        <v>15</v>
      </c>
      <c r="L563" s="15" t="n">
        <f aca="false">AH563*評分方法!$C$8</f>
        <v>13.05</v>
      </c>
      <c r="M563" s="15" t="n">
        <f aca="false">AI563*評分方法!$C$9</f>
        <v>6</v>
      </c>
      <c r="N563" s="15" t="n">
        <f aca="false">AJ563*評分方法!$C$10</f>
        <v>1.872</v>
      </c>
      <c r="O563" s="15" t="n">
        <f aca="false">AK563*評分方法!$C$11</f>
        <v>4</v>
      </c>
      <c r="P563" s="15" t="n">
        <f aca="false">AL563*評分方法!$C$12</f>
        <v>3</v>
      </c>
      <c r="Q563" s="6" t="n">
        <v>201236</v>
      </c>
      <c r="R563" s="6" t="n">
        <v>2115977456</v>
      </c>
      <c r="S563" s="11" t="s">
        <v>254</v>
      </c>
      <c r="T563" s="11" t="s">
        <v>658</v>
      </c>
      <c r="U563" s="5" t="s">
        <v>260</v>
      </c>
      <c r="V563" s="11" t="s">
        <v>261</v>
      </c>
      <c r="W563" s="5" t="s">
        <v>205</v>
      </c>
      <c r="X563" s="5" t="s">
        <v>371</v>
      </c>
      <c r="Y563" s="5"/>
      <c r="Z563" s="5"/>
      <c r="AA563" s="11" t="s">
        <v>156</v>
      </c>
      <c r="AB563" s="5" t="s">
        <v>245</v>
      </c>
      <c r="AC563" s="5" t="s">
        <v>262</v>
      </c>
      <c r="AD563" s="11" t="s">
        <v>1589</v>
      </c>
      <c r="AE563" s="23" t="n">
        <v>0.85</v>
      </c>
      <c r="AF563" s="23" t="n">
        <v>0</v>
      </c>
      <c r="AG563" s="23" t="n">
        <v>1</v>
      </c>
      <c r="AH563" s="23" t="n">
        <v>0.87</v>
      </c>
      <c r="AI563" s="23" t="n">
        <v>0.6</v>
      </c>
      <c r="AJ563" s="23" t="n">
        <v>0.1872</v>
      </c>
      <c r="AK563" s="23" t="n">
        <v>0.8</v>
      </c>
      <c r="AL563" s="23" t="n">
        <v>0.6</v>
      </c>
      <c r="AM563" s="16" t="n">
        <f aca="false">COUNTIFS($D$2:$D$2501,D563,$G$2:$G$2501,"&gt;"&amp;G563)+COUNTIFS($D$2:D563,D563,$G$2:G563,G563)</f>
        <v>309</v>
      </c>
      <c r="AN563" s="5" t="str">
        <f aca="false">D563&amp;"|"&amp;AM563</f>
        <v>分析與報告生成|309</v>
      </c>
    </row>
    <row r="564" customFormat="false" ht="17.15" hidden="false" customHeight="false" outlineLevel="0" collapsed="false">
      <c r="A564" s="16" t="n">
        <f aca="false">RANK(G564,$G$2:$G$2501)+COUNTIF($G$2:G564,G564)-1</f>
        <v>563</v>
      </c>
      <c r="B564" s="11" t="s">
        <v>1590</v>
      </c>
      <c r="C564" s="11" t="s">
        <v>891</v>
      </c>
      <c r="D564" s="5" t="s">
        <v>56</v>
      </c>
      <c r="E564" s="5" t="s">
        <v>57</v>
      </c>
      <c r="F564" s="5"/>
      <c r="G564" s="22" t="n">
        <f aca="false">ROUND(SUM(I564:P564),3)</f>
        <v>68.41</v>
      </c>
      <c r="H564" s="5" t="str">
        <f aca="false">IF(G564&gt;=評分方法!$C$16,"優先評估",IF(G564&gt;=評分方法!$C$17,"列入候選",IF(G564&gt;=評分方法!$C$18,"特定情境","不建議")))</f>
        <v>特定情境</v>
      </c>
      <c r="I564" s="15" t="n">
        <f aca="false">AE564*評分方法!$C$5</f>
        <v>24</v>
      </c>
      <c r="J564" s="15" t="n">
        <f aca="false">AF564*評分方法!$C$6</f>
        <v>0</v>
      </c>
      <c r="K564" s="15" t="n">
        <f aca="false">AG564*評分方法!$C$7</f>
        <v>10.05</v>
      </c>
      <c r="L564" s="15" t="n">
        <f aca="false">AH564*評分方法!$C$8</f>
        <v>9</v>
      </c>
      <c r="M564" s="15" t="n">
        <f aca="false">AI564*評分方法!$C$9</f>
        <v>10</v>
      </c>
      <c r="N564" s="15" t="n">
        <f aca="false">AJ564*評分方法!$C$10</f>
        <v>7.36</v>
      </c>
      <c r="O564" s="15" t="n">
        <f aca="false">AK564*評分方法!$C$11</f>
        <v>5</v>
      </c>
      <c r="P564" s="15" t="n">
        <f aca="false">AL564*評分方法!$C$12</f>
        <v>3</v>
      </c>
      <c r="Q564" s="6" t="n">
        <v>1074537</v>
      </c>
      <c r="R564" s="6" t="n">
        <v>11959730224</v>
      </c>
      <c r="S564" s="11" t="s">
        <v>389</v>
      </c>
      <c r="T564" s="11" t="s">
        <v>239</v>
      </c>
      <c r="U564" s="5" t="s">
        <v>240</v>
      </c>
      <c r="V564" s="11" t="s">
        <v>261</v>
      </c>
      <c r="W564" s="5" t="s">
        <v>207</v>
      </c>
      <c r="X564" s="5" t="s">
        <v>371</v>
      </c>
      <c r="Y564" s="11" t="s">
        <v>755</v>
      </c>
      <c r="Z564" s="11" t="s">
        <v>244</v>
      </c>
      <c r="AA564" s="11" t="s">
        <v>157</v>
      </c>
      <c r="AB564" s="5" t="s">
        <v>245</v>
      </c>
      <c r="AC564" s="5" t="s">
        <v>246</v>
      </c>
      <c r="AD564" s="11" t="s">
        <v>1591</v>
      </c>
      <c r="AE564" s="23" t="n">
        <v>0.8</v>
      </c>
      <c r="AF564" s="23" t="n">
        <v>0</v>
      </c>
      <c r="AG564" s="23" t="n">
        <v>0.67</v>
      </c>
      <c r="AH564" s="23" t="n">
        <v>0.6</v>
      </c>
      <c r="AI564" s="23" t="n">
        <v>1</v>
      </c>
      <c r="AJ564" s="23" t="n">
        <v>0.736</v>
      </c>
      <c r="AK564" s="23" t="n">
        <v>1</v>
      </c>
      <c r="AL564" s="23" t="n">
        <v>0.6</v>
      </c>
      <c r="AM564" s="16" t="n">
        <f aca="false">COUNTIFS($D$2:$D$2501,D564,$G$2:$G$2501,"&gt;"&amp;G564)+COUNTIFS($D$2:D564,D564,$G$2:G564,G564)</f>
        <v>310</v>
      </c>
      <c r="AN564" s="5" t="str">
        <f aca="false">D564&amp;"|"&amp;AM564</f>
        <v>分析與報告生成|310</v>
      </c>
    </row>
    <row r="565" customFormat="false" ht="17.15" hidden="false" customHeight="false" outlineLevel="0" collapsed="false">
      <c r="A565" s="16" t="n">
        <f aca="false">RANK(G565,$G$2:$G$2501)+COUNTIF($G$2:G565,G565)-1</f>
        <v>564</v>
      </c>
      <c r="B565" s="11" t="s">
        <v>1592</v>
      </c>
      <c r="C565" s="11" t="s">
        <v>402</v>
      </c>
      <c r="D565" s="5" t="s">
        <v>58</v>
      </c>
      <c r="E565" s="5" t="s">
        <v>59</v>
      </c>
      <c r="F565" s="5"/>
      <c r="G565" s="22" t="n">
        <f aca="false">ROUND(SUM(I565:P565),3)</f>
        <v>68.398</v>
      </c>
      <c r="H565" s="5" t="str">
        <f aca="false">IF(G565&gt;=評分方法!$C$16,"優先評估",IF(G565&gt;=評分方法!$C$17,"列入候選",IF(G565&gt;=評分方法!$C$18,"特定情境","不建議")))</f>
        <v>特定情境</v>
      </c>
      <c r="I565" s="15" t="n">
        <f aca="false">AE565*評分方法!$C$5</f>
        <v>28.5</v>
      </c>
      <c r="J565" s="15" t="n">
        <f aca="false">AF565*評分方法!$C$6</f>
        <v>0</v>
      </c>
      <c r="K565" s="15" t="n">
        <f aca="false">AG565*評分方法!$C$7</f>
        <v>4.95</v>
      </c>
      <c r="L565" s="15" t="n">
        <f aca="false">AH565*評分方法!$C$8</f>
        <v>15</v>
      </c>
      <c r="M565" s="15" t="n">
        <f aca="false">AI565*評分方法!$C$9</f>
        <v>10</v>
      </c>
      <c r="N565" s="15" t="n">
        <f aca="false">AJ565*評分方法!$C$10</f>
        <v>7.448</v>
      </c>
      <c r="O565" s="15" t="n">
        <f aca="false">AK565*評分方法!$C$11</f>
        <v>2.5</v>
      </c>
      <c r="P565" s="15" t="n">
        <f aca="false">AL565*評分方法!$C$12</f>
        <v>0</v>
      </c>
      <c r="Q565" s="6" t="n">
        <v>1122608</v>
      </c>
      <c r="R565" s="6" t="n">
        <v>277455363</v>
      </c>
      <c r="S565" s="11" t="s">
        <v>238</v>
      </c>
      <c r="T565" s="11" t="s">
        <v>239</v>
      </c>
      <c r="U565" s="5" t="s">
        <v>240</v>
      </c>
      <c r="V565" s="11" t="s">
        <v>261</v>
      </c>
      <c r="W565" s="5" t="s">
        <v>334</v>
      </c>
      <c r="X565" s="5" t="s">
        <v>242</v>
      </c>
      <c r="Y565" s="5"/>
      <c r="Z565" s="5"/>
      <c r="AA565" s="11" t="s">
        <v>150</v>
      </c>
      <c r="AB565" s="5" t="s">
        <v>245</v>
      </c>
      <c r="AC565" s="5"/>
      <c r="AD565" s="11" t="s">
        <v>1593</v>
      </c>
      <c r="AE565" s="23" t="n">
        <v>0.95</v>
      </c>
      <c r="AF565" s="23" t="n">
        <v>0</v>
      </c>
      <c r="AG565" s="23" t="n">
        <v>0.33</v>
      </c>
      <c r="AH565" s="23" t="n">
        <v>1</v>
      </c>
      <c r="AI565" s="23" t="n">
        <v>1</v>
      </c>
      <c r="AJ565" s="23" t="n">
        <v>0.7448</v>
      </c>
      <c r="AK565" s="23" t="n">
        <v>0.5</v>
      </c>
      <c r="AL565" s="23" t="n">
        <v>0</v>
      </c>
      <c r="AM565" s="16" t="n">
        <f aca="false">COUNTIFS($D$2:$D$2501,D565,$G$2:$G$2501,"&gt;"&amp;G565)+COUNTIFS($D$2:D565,D565,$G$2:G565,G565)</f>
        <v>32</v>
      </c>
      <c r="AN565" s="5" t="str">
        <f aca="false">D565&amp;"|"&amp;AM565</f>
        <v>實體擷取與去識別化|32</v>
      </c>
    </row>
    <row r="566" customFormat="false" ht="17.15" hidden="false" customHeight="false" outlineLevel="0" collapsed="false">
      <c r="A566" s="16" t="n">
        <f aca="false">RANK(G566,$G$2:$G$2501)+COUNTIF($G$2:G566,G566)-1</f>
        <v>565</v>
      </c>
      <c r="B566" s="11" t="s">
        <v>1594</v>
      </c>
      <c r="C566" s="11" t="s">
        <v>402</v>
      </c>
      <c r="D566" s="5" t="s">
        <v>58</v>
      </c>
      <c r="E566" s="5" t="s">
        <v>59</v>
      </c>
      <c r="F566" s="5"/>
      <c r="G566" s="22" t="n">
        <f aca="false">ROUND(SUM(I566:P566),3)</f>
        <v>68.394</v>
      </c>
      <c r="H566" s="5" t="str">
        <f aca="false">IF(G566&gt;=評分方法!$C$16,"優先評估",IF(G566&gt;=評分方法!$C$17,"列入候選",IF(G566&gt;=評分方法!$C$18,"特定情境","不建議")))</f>
        <v>特定情境</v>
      </c>
      <c r="I566" s="15" t="n">
        <f aca="false">AE566*評分方法!$C$5</f>
        <v>28.5</v>
      </c>
      <c r="J566" s="15" t="n">
        <f aca="false">AF566*評分方法!$C$6</f>
        <v>0</v>
      </c>
      <c r="K566" s="15" t="n">
        <f aca="false">AG566*評分方法!$C$7</f>
        <v>4.95</v>
      </c>
      <c r="L566" s="15" t="n">
        <f aca="false">AH566*評分方法!$C$8</f>
        <v>15</v>
      </c>
      <c r="M566" s="15" t="n">
        <f aca="false">AI566*評分方法!$C$9</f>
        <v>10</v>
      </c>
      <c r="N566" s="15" t="n">
        <f aca="false">AJ566*評分方法!$C$10</f>
        <v>7.444</v>
      </c>
      <c r="O566" s="15" t="n">
        <f aca="false">AK566*評分方法!$C$11</f>
        <v>2.5</v>
      </c>
      <c r="P566" s="15" t="n">
        <f aca="false">AL566*評分方法!$C$12</f>
        <v>0</v>
      </c>
      <c r="Q566" s="6" t="n">
        <v>1121779</v>
      </c>
      <c r="R566" s="6" t="n">
        <v>107721987</v>
      </c>
      <c r="S566" s="11" t="s">
        <v>238</v>
      </c>
      <c r="T566" s="11" t="s">
        <v>239</v>
      </c>
      <c r="U566" s="5" t="s">
        <v>240</v>
      </c>
      <c r="V566" s="11" t="s">
        <v>261</v>
      </c>
      <c r="W566" s="5" t="s">
        <v>334</v>
      </c>
      <c r="X566" s="5" t="s">
        <v>242</v>
      </c>
      <c r="Y566" s="5"/>
      <c r="Z566" s="5"/>
      <c r="AA566" s="11" t="s">
        <v>150</v>
      </c>
      <c r="AB566" s="5" t="s">
        <v>245</v>
      </c>
      <c r="AC566" s="5"/>
      <c r="AD566" s="11" t="s">
        <v>1595</v>
      </c>
      <c r="AE566" s="23" t="n">
        <v>0.95</v>
      </c>
      <c r="AF566" s="23" t="n">
        <v>0</v>
      </c>
      <c r="AG566" s="23" t="n">
        <v>0.33</v>
      </c>
      <c r="AH566" s="23" t="n">
        <v>1</v>
      </c>
      <c r="AI566" s="23" t="n">
        <v>1</v>
      </c>
      <c r="AJ566" s="23" t="n">
        <v>0.7444</v>
      </c>
      <c r="AK566" s="23" t="n">
        <v>0.5</v>
      </c>
      <c r="AL566" s="23" t="n">
        <v>0</v>
      </c>
      <c r="AM566" s="16" t="n">
        <f aca="false">COUNTIFS($D$2:$D$2501,D566,$G$2:$G$2501,"&gt;"&amp;G566)+COUNTIFS($D$2:D566,D566,$G$2:G566,G566)</f>
        <v>33</v>
      </c>
      <c r="AN566" s="5" t="str">
        <f aca="false">D566&amp;"|"&amp;AM566</f>
        <v>實體擷取與去識別化|33</v>
      </c>
    </row>
    <row r="567" customFormat="false" ht="17.15" hidden="false" customHeight="false" outlineLevel="0" collapsed="false">
      <c r="A567" s="16" t="n">
        <f aca="false">RANK(G567,$G$2:$G$2501)+COUNTIF($G$2:G567,G567)-1</f>
        <v>566</v>
      </c>
      <c r="B567" s="11" t="s">
        <v>1596</v>
      </c>
      <c r="C567" s="11" t="s">
        <v>1597</v>
      </c>
      <c r="D567" s="5" t="s">
        <v>56</v>
      </c>
      <c r="E567" s="5" t="s">
        <v>57</v>
      </c>
      <c r="F567" s="5"/>
      <c r="G567" s="22" t="n">
        <f aca="false">ROUND(SUM(I567:P567),3)</f>
        <v>68.394</v>
      </c>
      <c r="H567" s="5" t="str">
        <f aca="false">IF(G567&gt;=評分方法!$C$16,"優先評估",IF(G567&gt;=評分方法!$C$17,"列入候選",IF(G567&gt;=評分方法!$C$18,"特定情境","不建議")))</f>
        <v>特定情境</v>
      </c>
      <c r="I567" s="15" t="n">
        <f aca="false">AE567*評分方法!$C$5</f>
        <v>25.5</v>
      </c>
      <c r="J567" s="15" t="n">
        <f aca="false">AF567*評分方法!$C$6</f>
        <v>0</v>
      </c>
      <c r="K567" s="15" t="n">
        <f aca="false">AG567*評分方法!$C$7</f>
        <v>15</v>
      </c>
      <c r="L567" s="15" t="n">
        <f aca="false">AH567*評分方法!$C$8</f>
        <v>13.05</v>
      </c>
      <c r="M567" s="15" t="n">
        <f aca="false">AI567*評分方法!$C$9</f>
        <v>2</v>
      </c>
      <c r="N567" s="15" t="n">
        <f aca="false">AJ567*評分方法!$C$10</f>
        <v>4.844</v>
      </c>
      <c r="O567" s="15" t="n">
        <f aca="false">AK567*評分方法!$C$11</f>
        <v>5</v>
      </c>
      <c r="P567" s="15" t="n">
        <f aca="false">AL567*評分方法!$C$12</f>
        <v>3</v>
      </c>
      <c r="Q567" s="6" t="n">
        <v>526857</v>
      </c>
      <c r="R567" s="6" t="n">
        <v>5904605036</v>
      </c>
      <c r="S567" s="11" t="s">
        <v>254</v>
      </c>
      <c r="T567" s="5"/>
      <c r="U567" s="5" t="s">
        <v>375</v>
      </c>
      <c r="V567" s="11" t="s">
        <v>261</v>
      </c>
      <c r="W567" s="5" t="s">
        <v>205</v>
      </c>
      <c r="X567" s="5" t="s">
        <v>371</v>
      </c>
      <c r="Y567" s="11" t="s">
        <v>583</v>
      </c>
      <c r="Z567" s="11" t="s">
        <v>244</v>
      </c>
      <c r="AA567" s="11" t="s">
        <v>156</v>
      </c>
      <c r="AB567" s="5" t="s">
        <v>496</v>
      </c>
      <c r="AC567" s="5" t="s">
        <v>1108</v>
      </c>
      <c r="AD567" s="11" t="s">
        <v>1598</v>
      </c>
      <c r="AE567" s="23" t="n">
        <v>0.85</v>
      </c>
      <c r="AF567" s="23" t="n">
        <v>0</v>
      </c>
      <c r="AG567" s="23" t="n">
        <v>1</v>
      </c>
      <c r="AH567" s="23" t="n">
        <v>0.87</v>
      </c>
      <c r="AI567" s="23" t="n">
        <v>0.2</v>
      </c>
      <c r="AJ567" s="23" t="n">
        <v>0.4844</v>
      </c>
      <c r="AK567" s="23" t="n">
        <v>1</v>
      </c>
      <c r="AL567" s="23" t="n">
        <v>0.6</v>
      </c>
      <c r="AM567" s="16" t="n">
        <f aca="false">COUNTIFS($D$2:$D$2501,D567,$G$2:$G$2501,"&gt;"&amp;G567)+COUNTIFS($D$2:D567,D567,$G$2:G567,G567)</f>
        <v>311</v>
      </c>
      <c r="AN567" s="5" t="str">
        <f aca="false">D567&amp;"|"&amp;AM567</f>
        <v>分析與報告生成|311</v>
      </c>
    </row>
    <row r="568" customFormat="false" ht="17.15" hidden="false" customHeight="false" outlineLevel="0" collapsed="false">
      <c r="A568" s="16" t="n">
        <f aca="false">RANK(G568,$G$2:$G$2501)+COUNTIF($G$2:G568,G568)-1</f>
        <v>567</v>
      </c>
      <c r="B568" s="11" t="s">
        <v>1599</v>
      </c>
      <c r="C568" s="11" t="s">
        <v>891</v>
      </c>
      <c r="D568" s="5" t="s">
        <v>56</v>
      </c>
      <c r="E568" s="5" t="s">
        <v>57</v>
      </c>
      <c r="F568" s="5"/>
      <c r="G568" s="22" t="n">
        <f aca="false">ROUND(SUM(I568:P568),3)</f>
        <v>68.39</v>
      </c>
      <c r="H568" s="5" t="str">
        <f aca="false">IF(G568&gt;=評分方法!$C$16,"優先評估",IF(G568&gt;=評分方法!$C$17,"列入候選",IF(G568&gt;=評分方法!$C$18,"特定情境","不建議")))</f>
        <v>特定情境</v>
      </c>
      <c r="I568" s="15" t="n">
        <f aca="false">AE568*評分方法!$C$5</f>
        <v>24</v>
      </c>
      <c r="J568" s="15" t="n">
        <f aca="false">AF568*評分方法!$C$6</f>
        <v>0</v>
      </c>
      <c r="K568" s="15" t="n">
        <f aca="false">AG568*評分方法!$C$7</f>
        <v>10.05</v>
      </c>
      <c r="L568" s="15" t="n">
        <f aca="false">AH568*評分方法!$C$8</f>
        <v>9</v>
      </c>
      <c r="M568" s="15" t="n">
        <f aca="false">AI568*評分方法!$C$9</f>
        <v>10</v>
      </c>
      <c r="N568" s="15" t="n">
        <f aca="false">AJ568*評分方法!$C$10</f>
        <v>7.34</v>
      </c>
      <c r="O568" s="15" t="n">
        <f aca="false">AK568*評分方法!$C$11</f>
        <v>5</v>
      </c>
      <c r="P568" s="15" t="n">
        <f aca="false">AL568*評分方法!$C$12</f>
        <v>3</v>
      </c>
      <c r="Q568" s="6" t="n">
        <v>1064622</v>
      </c>
      <c r="R568" s="6" t="n">
        <v>11959730224</v>
      </c>
      <c r="S568" s="11" t="s">
        <v>389</v>
      </c>
      <c r="T568" s="11" t="s">
        <v>239</v>
      </c>
      <c r="U568" s="5" t="s">
        <v>240</v>
      </c>
      <c r="V568" s="11" t="s">
        <v>261</v>
      </c>
      <c r="W568" s="5" t="s">
        <v>207</v>
      </c>
      <c r="X568" s="5" t="s">
        <v>371</v>
      </c>
      <c r="Y568" s="11" t="s">
        <v>755</v>
      </c>
      <c r="Z568" s="11" t="s">
        <v>244</v>
      </c>
      <c r="AA568" s="11" t="s">
        <v>157</v>
      </c>
      <c r="AB568" s="5" t="s">
        <v>245</v>
      </c>
      <c r="AC568" s="5" t="s">
        <v>246</v>
      </c>
      <c r="AD568" s="11" t="s">
        <v>1600</v>
      </c>
      <c r="AE568" s="23" t="n">
        <v>0.8</v>
      </c>
      <c r="AF568" s="23" t="n">
        <v>0</v>
      </c>
      <c r="AG568" s="23" t="n">
        <v>0.67</v>
      </c>
      <c r="AH568" s="23" t="n">
        <v>0.6</v>
      </c>
      <c r="AI568" s="23" t="n">
        <v>1</v>
      </c>
      <c r="AJ568" s="23" t="n">
        <v>0.734</v>
      </c>
      <c r="AK568" s="23" t="n">
        <v>1</v>
      </c>
      <c r="AL568" s="23" t="n">
        <v>0.6</v>
      </c>
      <c r="AM568" s="16" t="n">
        <f aca="false">COUNTIFS($D$2:$D$2501,D568,$G$2:$G$2501,"&gt;"&amp;G568)+COUNTIFS($D$2:D568,D568,$G$2:G568,G568)</f>
        <v>312</v>
      </c>
      <c r="AN568" s="5" t="str">
        <f aca="false">D568&amp;"|"&amp;AM568</f>
        <v>分析與報告生成|312</v>
      </c>
    </row>
    <row r="569" customFormat="false" ht="17.15" hidden="false" customHeight="false" outlineLevel="0" collapsed="false">
      <c r="A569" s="16" t="n">
        <f aca="false">RANK(G569,$G$2:$G$2501)+COUNTIF($G$2:G569,G569)-1</f>
        <v>568</v>
      </c>
      <c r="B569" s="11" t="s">
        <v>1601</v>
      </c>
      <c r="C569" s="11" t="s">
        <v>402</v>
      </c>
      <c r="D569" s="5" t="s">
        <v>58</v>
      </c>
      <c r="E569" s="5" t="s">
        <v>59</v>
      </c>
      <c r="F569" s="5"/>
      <c r="G569" s="22" t="n">
        <f aca="false">ROUND(SUM(I569:P569),3)</f>
        <v>68.306</v>
      </c>
      <c r="H569" s="5" t="str">
        <f aca="false">IF(G569&gt;=評分方法!$C$16,"優先評估",IF(G569&gt;=評分方法!$C$17,"列入候選",IF(G569&gt;=評分方法!$C$18,"特定情境","不建議")))</f>
        <v>特定情境</v>
      </c>
      <c r="I569" s="15" t="n">
        <f aca="false">AE569*評分方法!$C$5</f>
        <v>28.5</v>
      </c>
      <c r="J569" s="15" t="n">
        <f aca="false">AF569*評分方法!$C$6</f>
        <v>0</v>
      </c>
      <c r="K569" s="15" t="n">
        <f aca="false">AG569*評分方法!$C$7</f>
        <v>4.95</v>
      </c>
      <c r="L569" s="15" t="n">
        <f aca="false">AH569*評分方法!$C$8</f>
        <v>15</v>
      </c>
      <c r="M569" s="15" t="n">
        <f aca="false">AI569*評分方法!$C$9</f>
        <v>10</v>
      </c>
      <c r="N569" s="15" t="n">
        <f aca="false">AJ569*評分方法!$C$10</f>
        <v>7.356</v>
      </c>
      <c r="O569" s="15" t="n">
        <f aca="false">AK569*評分方法!$C$11</f>
        <v>2.5</v>
      </c>
      <c r="P569" s="15" t="n">
        <f aca="false">AL569*評分方法!$C$12</f>
        <v>0</v>
      </c>
      <c r="Q569" s="6" t="n">
        <v>1074187</v>
      </c>
      <c r="R569" s="6" t="n">
        <v>566708227</v>
      </c>
      <c r="S569" s="11" t="s">
        <v>238</v>
      </c>
      <c r="T569" s="11" t="s">
        <v>239</v>
      </c>
      <c r="U569" s="5" t="s">
        <v>240</v>
      </c>
      <c r="V569" s="11" t="s">
        <v>261</v>
      </c>
      <c r="W569" s="5" t="s">
        <v>334</v>
      </c>
      <c r="X569" s="5" t="s">
        <v>242</v>
      </c>
      <c r="Y569" s="5"/>
      <c r="Z569" s="5"/>
      <c r="AA569" s="11" t="s">
        <v>150</v>
      </c>
      <c r="AB569" s="5" t="s">
        <v>245</v>
      </c>
      <c r="AC569" s="5"/>
      <c r="AD569" s="11" t="s">
        <v>1602</v>
      </c>
      <c r="AE569" s="23" t="n">
        <v>0.95</v>
      </c>
      <c r="AF569" s="23" t="n">
        <v>0</v>
      </c>
      <c r="AG569" s="23" t="n">
        <v>0.33</v>
      </c>
      <c r="AH569" s="23" t="n">
        <v>1</v>
      </c>
      <c r="AI569" s="23" t="n">
        <v>1</v>
      </c>
      <c r="AJ569" s="23" t="n">
        <v>0.7356</v>
      </c>
      <c r="AK569" s="23" t="n">
        <v>0.5</v>
      </c>
      <c r="AL569" s="23" t="n">
        <v>0</v>
      </c>
      <c r="AM569" s="16" t="n">
        <f aca="false">COUNTIFS($D$2:$D$2501,D569,$G$2:$G$2501,"&gt;"&amp;G569)+COUNTIFS($D$2:D569,D569,$G$2:G569,G569)</f>
        <v>34</v>
      </c>
      <c r="AN569" s="5" t="str">
        <f aca="false">D569&amp;"|"&amp;AM569</f>
        <v>實體擷取與去識別化|34</v>
      </c>
    </row>
    <row r="570" customFormat="false" ht="17.15" hidden="false" customHeight="false" outlineLevel="0" collapsed="false">
      <c r="A570" s="16" t="n">
        <f aca="false">RANK(G570,$G$2:$G$2501)+COUNTIF($G$2:G570,G570)-1</f>
        <v>569</v>
      </c>
      <c r="B570" s="11" t="s">
        <v>1603</v>
      </c>
      <c r="C570" s="11" t="s">
        <v>402</v>
      </c>
      <c r="D570" s="5" t="s">
        <v>58</v>
      </c>
      <c r="E570" s="5" t="s">
        <v>59</v>
      </c>
      <c r="F570" s="5"/>
      <c r="G570" s="22" t="n">
        <f aca="false">ROUND(SUM(I570:P570),3)</f>
        <v>68.298</v>
      </c>
      <c r="H570" s="5" t="str">
        <f aca="false">IF(G570&gt;=評分方法!$C$16,"優先評估",IF(G570&gt;=評分方法!$C$17,"列入候選",IF(G570&gt;=評分方法!$C$18,"特定情境","不建議")))</f>
        <v>特定情境</v>
      </c>
      <c r="I570" s="15" t="n">
        <f aca="false">AE570*評分方法!$C$5</f>
        <v>28.5</v>
      </c>
      <c r="J570" s="15" t="n">
        <f aca="false">AF570*評分方法!$C$6</f>
        <v>0</v>
      </c>
      <c r="K570" s="15" t="n">
        <f aca="false">AG570*評分方法!$C$7</f>
        <v>4.95</v>
      </c>
      <c r="L570" s="15" t="n">
        <f aca="false">AH570*評分方法!$C$8</f>
        <v>15</v>
      </c>
      <c r="M570" s="15" t="n">
        <f aca="false">AI570*評分方法!$C$9</f>
        <v>10</v>
      </c>
      <c r="N570" s="15" t="n">
        <f aca="false">AJ570*評分方法!$C$10</f>
        <v>7.348</v>
      </c>
      <c r="O570" s="15" t="n">
        <f aca="false">AK570*評分方法!$C$11</f>
        <v>2.5</v>
      </c>
      <c r="P570" s="15" t="n">
        <f aca="false">AL570*評分方法!$C$12</f>
        <v>0</v>
      </c>
      <c r="Q570" s="6" t="n">
        <v>1067168</v>
      </c>
      <c r="R570" s="6" t="n">
        <v>81530115</v>
      </c>
      <c r="S570" s="11" t="s">
        <v>238</v>
      </c>
      <c r="T570" s="11" t="s">
        <v>239</v>
      </c>
      <c r="U570" s="5" t="s">
        <v>240</v>
      </c>
      <c r="V570" s="11" t="s">
        <v>261</v>
      </c>
      <c r="W570" s="5" t="s">
        <v>334</v>
      </c>
      <c r="X570" s="5" t="s">
        <v>242</v>
      </c>
      <c r="Y570" s="5"/>
      <c r="Z570" s="5"/>
      <c r="AA570" s="11" t="s">
        <v>150</v>
      </c>
      <c r="AB570" s="5" t="s">
        <v>245</v>
      </c>
      <c r="AC570" s="5"/>
      <c r="AD570" s="11" t="s">
        <v>1604</v>
      </c>
      <c r="AE570" s="23" t="n">
        <v>0.95</v>
      </c>
      <c r="AF570" s="23" t="n">
        <v>0</v>
      </c>
      <c r="AG570" s="23" t="n">
        <v>0.33</v>
      </c>
      <c r="AH570" s="23" t="n">
        <v>1</v>
      </c>
      <c r="AI570" s="23" t="n">
        <v>1</v>
      </c>
      <c r="AJ570" s="23" t="n">
        <v>0.7348</v>
      </c>
      <c r="AK570" s="23" t="n">
        <v>0.5</v>
      </c>
      <c r="AL570" s="23" t="n">
        <v>0</v>
      </c>
      <c r="AM570" s="16" t="n">
        <f aca="false">COUNTIFS($D$2:$D$2501,D570,$G$2:$G$2501,"&gt;"&amp;G570)+COUNTIFS($D$2:D570,D570,$G$2:G570,G570)</f>
        <v>35</v>
      </c>
      <c r="AN570" s="5" t="str">
        <f aca="false">D570&amp;"|"&amp;AM570</f>
        <v>實體擷取與去識別化|35</v>
      </c>
    </row>
    <row r="571" customFormat="false" ht="17.15" hidden="false" customHeight="false" outlineLevel="0" collapsed="false">
      <c r="A571" s="16" t="n">
        <f aca="false">RANK(G571,$G$2:$G$2501)+COUNTIF($G$2:G571,G571)-1</f>
        <v>570</v>
      </c>
      <c r="B571" s="11" t="s">
        <v>1605</v>
      </c>
      <c r="C571" s="11" t="s">
        <v>891</v>
      </c>
      <c r="D571" s="5" t="s">
        <v>56</v>
      </c>
      <c r="E571" s="5" t="s">
        <v>57</v>
      </c>
      <c r="F571" s="5"/>
      <c r="G571" s="22" t="n">
        <f aca="false">ROUND(SUM(I571:P571),3)</f>
        <v>68.29</v>
      </c>
      <c r="H571" s="5" t="str">
        <f aca="false">IF(G571&gt;=評分方法!$C$16,"優先評估",IF(G571&gt;=評分方法!$C$17,"列入候選",IF(G571&gt;=評分方法!$C$18,"特定情境","不建議")))</f>
        <v>特定情境</v>
      </c>
      <c r="I571" s="15" t="n">
        <f aca="false">AE571*評分方法!$C$5</f>
        <v>24</v>
      </c>
      <c r="J571" s="15" t="n">
        <f aca="false">AF571*評分方法!$C$6</f>
        <v>0</v>
      </c>
      <c r="K571" s="15" t="n">
        <f aca="false">AG571*評分方法!$C$7</f>
        <v>10.05</v>
      </c>
      <c r="L571" s="15" t="n">
        <f aca="false">AH571*評分方法!$C$8</f>
        <v>9</v>
      </c>
      <c r="M571" s="15" t="n">
        <f aca="false">AI571*評分方法!$C$9</f>
        <v>10</v>
      </c>
      <c r="N571" s="15" t="n">
        <f aca="false">AJ571*評分方法!$C$10</f>
        <v>7.24</v>
      </c>
      <c r="O571" s="15" t="n">
        <f aca="false">AK571*評分方法!$C$11</f>
        <v>5</v>
      </c>
      <c r="P571" s="15" t="n">
        <f aca="false">AL571*評分方法!$C$12</f>
        <v>3</v>
      </c>
      <c r="Q571" s="6" t="n">
        <v>1014305</v>
      </c>
      <c r="R571" s="6" t="n">
        <v>11959730224</v>
      </c>
      <c r="S571" s="11" t="s">
        <v>389</v>
      </c>
      <c r="T571" s="11" t="s">
        <v>239</v>
      </c>
      <c r="U571" s="5" t="s">
        <v>240</v>
      </c>
      <c r="V571" s="11" t="s">
        <v>261</v>
      </c>
      <c r="W571" s="5" t="s">
        <v>207</v>
      </c>
      <c r="X571" s="5" t="s">
        <v>371</v>
      </c>
      <c r="Y571" s="11" t="s">
        <v>755</v>
      </c>
      <c r="Z571" s="11" t="s">
        <v>244</v>
      </c>
      <c r="AA571" s="11" t="s">
        <v>157</v>
      </c>
      <c r="AB571" s="5" t="s">
        <v>245</v>
      </c>
      <c r="AC571" s="5" t="s">
        <v>246</v>
      </c>
      <c r="AD571" s="11" t="s">
        <v>1606</v>
      </c>
      <c r="AE571" s="23" t="n">
        <v>0.8</v>
      </c>
      <c r="AF571" s="23" t="n">
        <v>0</v>
      </c>
      <c r="AG571" s="23" t="n">
        <v>0.67</v>
      </c>
      <c r="AH571" s="23" t="n">
        <v>0.6</v>
      </c>
      <c r="AI571" s="23" t="n">
        <v>1</v>
      </c>
      <c r="AJ571" s="23" t="n">
        <v>0.724</v>
      </c>
      <c r="AK571" s="23" t="n">
        <v>1</v>
      </c>
      <c r="AL571" s="23" t="n">
        <v>0.6</v>
      </c>
      <c r="AM571" s="16" t="n">
        <f aca="false">COUNTIFS($D$2:$D$2501,D571,$G$2:$G$2501,"&gt;"&amp;G571)+COUNTIFS($D$2:D571,D571,$G$2:G571,G571)</f>
        <v>313</v>
      </c>
      <c r="AN571" s="5" t="str">
        <f aca="false">D571&amp;"|"&amp;AM571</f>
        <v>分析與報告生成|313</v>
      </c>
    </row>
    <row r="572" customFormat="false" ht="17.15" hidden="false" customHeight="false" outlineLevel="0" collapsed="false">
      <c r="A572" s="16" t="n">
        <f aca="false">RANK(G572,$G$2:$G$2501)+COUNTIF($G$2:G572,G572)-1</f>
        <v>571</v>
      </c>
      <c r="B572" s="11" t="s">
        <v>1607</v>
      </c>
      <c r="C572" s="11" t="s">
        <v>891</v>
      </c>
      <c r="D572" s="5" t="s">
        <v>56</v>
      </c>
      <c r="E572" s="5" t="s">
        <v>57</v>
      </c>
      <c r="F572" s="5"/>
      <c r="G572" s="22" t="n">
        <f aca="false">ROUND(SUM(I572:P572),3)</f>
        <v>68.258</v>
      </c>
      <c r="H572" s="5" t="str">
        <f aca="false">IF(G572&gt;=評分方法!$C$16,"優先評估",IF(G572&gt;=評分方法!$C$17,"列入候選",IF(G572&gt;=評分方法!$C$18,"特定情境","不建議")))</f>
        <v>特定情境</v>
      </c>
      <c r="I572" s="15" t="n">
        <f aca="false">AE572*評分方法!$C$5</f>
        <v>24</v>
      </c>
      <c r="J572" s="15" t="n">
        <f aca="false">AF572*評分方法!$C$6</f>
        <v>0</v>
      </c>
      <c r="K572" s="15" t="n">
        <f aca="false">AG572*評分方法!$C$7</f>
        <v>10.05</v>
      </c>
      <c r="L572" s="15" t="n">
        <f aca="false">AH572*評分方法!$C$8</f>
        <v>9</v>
      </c>
      <c r="M572" s="15" t="n">
        <f aca="false">AI572*評分方法!$C$9</f>
        <v>10</v>
      </c>
      <c r="N572" s="15" t="n">
        <f aca="false">AJ572*評分方法!$C$10</f>
        <v>7.208</v>
      </c>
      <c r="O572" s="15" t="n">
        <f aca="false">AK572*評分方法!$C$11</f>
        <v>5</v>
      </c>
      <c r="P572" s="15" t="n">
        <f aca="false">AL572*評分方法!$C$12</f>
        <v>3</v>
      </c>
      <c r="Q572" s="6" t="n">
        <v>999322</v>
      </c>
      <c r="R572" s="6" t="n">
        <v>11959730224</v>
      </c>
      <c r="S572" s="11" t="s">
        <v>389</v>
      </c>
      <c r="T572" s="11" t="s">
        <v>239</v>
      </c>
      <c r="U572" s="5" t="s">
        <v>240</v>
      </c>
      <c r="V572" s="11" t="s">
        <v>261</v>
      </c>
      <c r="W572" s="5" t="s">
        <v>207</v>
      </c>
      <c r="X572" s="5" t="s">
        <v>371</v>
      </c>
      <c r="Y572" s="11" t="s">
        <v>755</v>
      </c>
      <c r="Z572" s="11" t="s">
        <v>244</v>
      </c>
      <c r="AA572" s="11" t="s">
        <v>157</v>
      </c>
      <c r="AB572" s="5" t="s">
        <v>245</v>
      </c>
      <c r="AC572" s="5" t="s">
        <v>246</v>
      </c>
      <c r="AD572" s="11" t="s">
        <v>1608</v>
      </c>
      <c r="AE572" s="23" t="n">
        <v>0.8</v>
      </c>
      <c r="AF572" s="23" t="n">
        <v>0</v>
      </c>
      <c r="AG572" s="23" t="n">
        <v>0.67</v>
      </c>
      <c r="AH572" s="23" t="n">
        <v>0.6</v>
      </c>
      <c r="AI572" s="23" t="n">
        <v>1</v>
      </c>
      <c r="AJ572" s="23" t="n">
        <v>0.7208</v>
      </c>
      <c r="AK572" s="23" t="n">
        <v>1</v>
      </c>
      <c r="AL572" s="23" t="n">
        <v>0.6</v>
      </c>
      <c r="AM572" s="16" t="n">
        <f aca="false">COUNTIFS($D$2:$D$2501,D572,$G$2:$G$2501,"&gt;"&amp;G572)+COUNTIFS($D$2:D572,D572,$G$2:G572,G572)</f>
        <v>314</v>
      </c>
      <c r="AN572" s="5" t="str">
        <f aca="false">D572&amp;"|"&amp;AM572</f>
        <v>分析與報告生成|314</v>
      </c>
    </row>
    <row r="573" customFormat="false" ht="17.15" hidden="false" customHeight="false" outlineLevel="0" collapsed="false">
      <c r="A573" s="16" t="n">
        <f aca="false">RANK(G573,$G$2:$G$2501)+COUNTIF($G$2:G573,G573)-1</f>
        <v>572</v>
      </c>
      <c r="B573" s="11" t="s">
        <v>1609</v>
      </c>
      <c r="C573" s="11" t="s">
        <v>368</v>
      </c>
      <c r="D573" s="5" t="s">
        <v>68</v>
      </c>
      <c r="E573" s="11" t="s">
        <v>69</v>
      </c>
      <c r="F573" s="5"/>
      <c r="G573" s="22" t="n">
        <f aca="false">ROUND(SUM(I573:P573),3)</f>
        <v>68.256</v>
      </c>
      <c r="H573" s="5" t="str">
        <f aca="false">IF(G573&gt;=評分方法!$C$16,"優先評估",IF(G573&gt;=評分方法!$C$17,"列入候選",IF(G573&gt;=評分方法!$C$18,"特定情境","不建議")))</f>
        <v>特定情境</v>
      </c>
      <c r="I573" s="15" t="n">
        <f aca="false">AE573*評分方法!$C$5</f>
        <v>21</v>
      </c>
      <c r="J573" s="15" t="n">
        <f aca="false">AF573*評分方法!$C$6</f>
        <v>0</v>
      </c>
      <c r="K573" s="15" t="n">
        <f aca="false">AG573*評分方法!$C$7</f>
        <v>15</v>
      </c>
      <c r="L573" s="15" t="n">
        <f aca="false">AH573*評分方法!$C$8</f>
        <v>15</v>
      </c>
      <c r="M573" s="15" t="n">
        <f aca="false">AI573*評分方法!$C$9</f>
        <v>10</v>
      </c>
      <c r="N573" s="15" t="n">
        <f aca="false">AJ573*評分方法!$C$10</f>
        <v>3.256</v>
      </c>
      <c r="O573" s="15" t="n">
        <f aca="false">AK573*評分方法!$C$11</f>
        <v>2.5</v>
      </c>
      <c r="P573" s="15" t="n">
        <f aca="false">AL573*評分方法!$C$12</f>
        <v>1.5</v>
      </c>
      <c r="Q573" s="6" t="n">
        <v>324155</v>
      </c>
      <c r="R573" s="6" t="n">
        <v>498828960</v>
      </c>
      <c r="S573" s="11" t="s">
        <v>238</v>
      </c>
      <c r="T573" s="11" t="s">
        <v>239</v>
      </c>
      <c r="U573" s="5" t="s">
        <v>240</v>
      </c>
      <c r="V573" s="11" t="s">
        <v>324</v>
      </c>
      <c r="W573" s="5" t="s">
        <v>205</v>
      </c>
      <c r="X573" s="5" t="s">
        <v>255</v>
      </c>
      <c r="Y573" s="5"/>
      <c r="Z573" s="5"/>
      <c r="AA573" s="11" t="s">
        <v>158</v>
      </c>
      <c r="AB573" s="5" t="s">
        <v>245</v>
      </c>
      <c r="AC573" s="5"/>
      <c r="AD573" s="11" t="s">
        <v>1610</v>
      </c>
      <c r="AE573" s="23" t="n">
        <v>0.7</v>
      </c>
      <c r="AF573" s="23" t="n">
        <v>0</v>
      </c>
      <c r="AG573" s="23" t="n">
        <v>1</v>
      </c>
      <c r="AH573" s="23" t="n">
        <v>1</v>
      </c>
      <c r="AI573" s="23" t="n">
        <v>1</v>
      </c>
      <c r="AJ573" s="23" t="n">
        <v>0.3256</v>
      </c>
      <c r="AK573" s="23" t="n">
        <v>0.5</v>
      </c>
      <c r="AL573" s="23" t="n">
        <v>0.3</v>
      </c>
      <c r="AM573" s="16" t="n">
        <f aca="false">COUNTIFS($D$2:$D$2501,D573,$G$2:$G$2501,"&gt;"&amp;G573)+COUNTIFS($D$2:D573,D573,$G$2:G573,G573)</f>
        <v>30</v>
      </c>
      <c r="AN573" s="5" t="str">
        <f aca="false">D573&amp;"|"&amp;AM573</f>
        <v>時序異常偵測|30</v>
      </c>
    </row>
    <row r="574" customFormat="false" ht="17.15" hidden="false" customHeight="false" outlineLevel="0" collapsed="false">
      <c r="A574" s="16" t="n">
        <f aca="false">RANK(G574,$G$2:$G$2501)+COUNTIF($G$2:G574,G574)-1</f>
        <v>573</v>
      </c>
      <c r="B574" s="11" t="s">
        <v>1611</v>
      </c>
      <c r="C574" s="11" t="s">
        <v>891</v>
      </c>
      <c r="D574" s="5" t="s">
        <v>56</v>
      </c>
      <c r="E574" s="5" t="s">
        <v>57</v>
      </c>
      <c r="F574" s="5"/>
      <c r="G574" s="22" t="n">
        <f aca="false">ROUND(SUM(I574:P574),3)</f>
        <v>68.248</v>
      </c>
      <c r="H574" s="5" t="str">
        <f aca="false">IF(G574&gt;=評分方法!$C$16,"優先評估",IF(G574&gt;=評分方法!$C$17,"列入候選",IF(G574&gt;=評分方法!$C$18,"特定情境","不建議")))</f>
        <v>特定情境</v>
      </c>
      <c r="I574" s="15" t="n">
        <f aca="false">AE574*評分方法!$C$5</f>
        <v>25.5</v>
      </c>
      <c r="J574" s="15" t="n">
        <f aca="false">AF574*評分方法!$C$6</f>
        <v>0</v>
      </c>
      <c r="K574" s="15" t="n">
        <f aca="false">AG574*評分方法!$C$7</f>
        <v>10.05</v>
      </c>
      <c r="L574" s="15" t="n">
        <f aca="false">AH574*評分方法!$C$8</f>
        <v>13.05</v>
      </c>
      <c r="M574" s="15" t="n">
        <f aca="false">AI574*評分方法!$C$9</f>
        <v>10</v>
      </c>
      <c r="N574" s="15" t="n">
        <f aca="false">AJ574*評分方法!$C$10</f>
        <v>2.648</v>
      </c>
      <c r="O574" s="15" t="n">
        <f aca="false">AK574*評分方法!$C$11</f>
        <v>4</v>
      </c>
      <c r="P574" s="15" t="n">
        <f aca="false">AL574*評分方法!$C$12</f>
        <v>3</v>
      </c>
      <c r="Q574" s="6" t="n">
        <v>264259</v>
      </c>
      <c r="R574" s="6" t="n">
        <v>3429006336</v>
      </c>
      <c r="S574" s="11" t="s">
        <v>254</v>
      </c>
      <c r="T574" s="11" t="s">
        <v>239</v>
      </c>
      <c r="U574" s="5" t="s">
        <v>240</v>
      </c>
      <c r="V574" s="11" t="s">
        <v>333</v>
      </c>
      <c r="W574" s="5" t="s">
        <v>207</v>
      </c>
      <c r="X574" s="5" t="s">
        <v>371</v>
      </c>
      <c r="Y574" s="11" t="s">
        <v>499</v>
      </c>
      <c r="Z574" s="11" t="s">
        <v>244</v>
      </c>
      <c r="AA574" s="11" t="s">
        <v>155</v>
      </c>
      <c r="AB574" s="5" t="s">
        <v>961</v>
      </c>
      <c r="AC574" s="5" t="s">
        <v>962</v>
      </c>
      <c r="AD574" s="11" t="s">
        <v>1612</v>
      </c>
      <c r="AE574" s="23" t="n">
        <v>0.85</v>
      </c>
      <c r="AF574" s="23" t="n">
        <v>0</v>
      </c>
      <c r="AG574" s="23" t="n">
        <v>0.67</v>
      </c>
      <c r="AH574" s="23" t="n">
        <v>0.87</v>
      </c>
      <c r="AI574" s="23" t="n">
        <v>1</v>
      </c>
      <c r="AJ574" s="23" t="n">
        <v>0.2648</v>
      </c>
      <c r="AK574" s="23" t="n">
        <v>0.8</v>
      </c>
      <c r="AL574" s="23" t="n">
        <v>0.6</v>
      </c>
      <c r="AM574" s="16" t="n">
        <f aca="false">COUNTIFS($D$2:$D$2501,D574,$G$2:$G$2501,"&gt;"&amp;G574)+COUNTIFS($D$2:D574,D574,$G$2:G574,G574)</f>
        <v>315</v>
      </c>
      <c r="AN574" s="5" t="str">
        <f aca="false">D574&amp;"|"&amp;AM574</f>
        <v>分析與報告生成|315</v>
      </c>
    </row>
    <row r="575" customFormat="false" ht="17.15" hidden="false" customHeight="false" outlineLevel="0" collapsed="false">
      <c r="A575" s="16" t="n">
        <f aca="false">RANK(G575,$G$2:$G$2501)+COUNTIF($G$2:G575,G575)-1</f>
        <v>574</v>
      </c>
      <c r="B575" s="11" t="s">
        <v>1613</v>
      </c>
      <c r="C575" s="11" t="s">
        <v>417</v>
      </c>
      <c r="D575" s="5" t="s">
        <v>56</v>
      </c>
      <c r="E575" s="5" t="s">
        <v>57</v>
      </c>
      <c r="F575" s="5"/>
      <c r="G575" s="22" t="n">
        <f aca="false">ROUND(SUM(I575:P575),3)</f>
        <v>68.244</v>
      </c>
      <c r="H575" s="5" t="str">
        <f aca="false">IF(G575&gt;=評分方法!$C$16,"優先評估",IF(G575&gt;=評分方法!$C$17,"列入候選",IF(G575&gt;=評分方法!$C$18,"特定情境","不建議")))</f>
        <v>特定情境</v>
      </c>
      <c r="I575" s="15" t="n">
        <f aca="false">AE575*評分方法!$C$5</f>
        <v>25.5</v>
      </c>
      <c r="J575" s="15" t="n">
        <f aca="false">AF575*評分方法!$C$6</f>
        <v>0</v>
      </c>
      <c r="K575" s="15" t="n">
        <f aca="false">AG575*評分方法!$C$7</f>
        <v>15</v>
      </c>
      <c r="L575" s="15" t="n">
        <f aca="false">AH575*評分方法!$C$8</f>
        <v>15</v>
      </c>
      <c r="M575" s="15" t="n">
        <f aca="false">AI575*評分方法!$C$9</f>
        <v>10</v>
      </c>
      <c r="N575" s="15" t="n">
        <f aca="false">AJ575*評分方法!$C$10</f>
        <v>1.744</v>
      </c>
      <c r="O575" s="15" t="n">
        <f aca="false">AK575*評分方法!$C$11</f>
        <v>1</v>
      </c>
      <c r="P575" s="15" t="n">
        <f aca="false">AL575*評分方法!$C$12</f>
        <v>0</v>
      </c>
      <c r="Q575" s="6" t="n">
        <v>192965</v>
      </c>
      <c r="R575" s="6" t="n">
        <v>134515008</v>
      </c>
      <c r="S575" s="11" t="s">
        <v>238</v>
      </c>
      <c r="T575" s="11" t="s">
        <v>239</v>
      </c>
      <c r="U575" s="5" t="s">
        <v>240</v>
      </c>
      <c r="V575" s="11" t="s">
        <v>241</v>
      </c>
      <c r="W575" s="5" t="s">
        <v>205</v>
      </c>
      <c r="X575" s="5" t="s">
        <v>242</v>
      </c>
      <c r="Y575" s="11" t="s">
        <v>912</v>
      </c>
      <c r="Z575" s="11" t="s">
        <v>244</v>
      </c>
      <c r="AA575" s="11" t="s">
        <v>155</v>
      </c>
      <c r="AB575" s="5" t="s">
        <v>245</v>
      </c>
      <c r="AC575" s="5" t="s">
        <v>246</v>
      </c>
      <c r="AD575" s="11" t="s">
        <v>1614</v>
      </c>
      <c r="AE575" s="23" t="n">
        <v>0.85</v>
      </c>
      <c r="AF575" s="23" t="n">
        <v>0</v>
      </c>
      <c r="AG575" s="23" t="n">
        <v>1</v>
      </c>
      <c r="AH575" s="23" t="n">
        <v>1</v>
      </c>
      <c r="AI575" s="23" t="n">
        <v>1</v>
      </c>
      <c r="AJ575" s="23" t="n">
        <v>0.1744</v>
      </c>
      <c r="AK575" s="23" t="n">
        <v>0.2</v>
      </c>
      <c r="AL575" s="23" t="n">
        <v>0</v>
      </c>
      <c r="AM575" s="16" t="n">
        <f aca="false">COUNTIFS($D$2:$D$2501,D575,$G$2:$G$2501,"&gt;"&amp;G575)+COUNTIFS($D$2:D575,D575,$G$2:G575,G575)</f>
        <v>316</v>
      </c>
      <c r="AN575" s="5" t="str">
        <f aca="false">D575&amp;"|"&amp;AM575</f>
        <v>分析與報告生成|316</v>
      </c>
    </row>
    <row r="576" customFormat="false" ht="17.15" hidden="false" customHeight="false" outlineLevel="0" collapsed="false">
      <c r="A576" s="16" t="n">
        <f aca="false">RANK(G576,$G$2:$G$2501)+COUNTIF($G$2:G576,G576)-1</f>
        <v>575</v>
      </c>
      <c r="B576" s="11" t="s">
        <v>1615</v>
      </c>
      <c r="C576" s="11" t="s">
        <v>338</v>
      </c>
      <c r="D576" s="5" t="s">
        <v>56</v>
      </c>
      <c r="E576" s="5" t="s">
        <v>57</v>
      </c>
      <c r="F576" s="5"/>
      <c r="G576" s="22" t="n">
        <f aca="false">ROUND(SUM(I576:P576),3)</f>
        <v>68.214</v>
      </c>
      <c r="H576" s="5" t="str">
        <f aca="false">IF(G576&gt;=評分方法!$C$16,"優先評估",IF(G576&gt;=評分方法!$C$17,"列入候選",IF(G576&gt;=評分方法!$C$18,"特定情境","不建議")))</f>
        <v>特定情境</v>
      </c>
      <c r="I576" s="15" t="n">
        <f aca="false">AE576*評分方法!$C$5</f>
        <v>25.5</v>
      </c>
      <c r="J576" s="15" t="n">
        <f aca="false">AF576*評分方法!$C$6</f>
        <v>0</v>
      </c>
      <c r="K576" s="15" t="n">
        <f aca="false">AG576*評分方法!$C$7</f>
        <v>15</v>
      </c>
      <c r="L576" s="15" t="n">
        <f aca="false">AH576*評分方法!$C$8</f>
        <v>1.95</v>
      </c>
      <c r="M576" s="15" t="n">
        <f aca="false">AI576*評分方法!$C$9</f>
        <v>10</v>
      </c>
      <c r="N576" s="15" t="n">
        <f aca="false">AJ576*評分方法!$C$10</f>
        <v>5.764</v>
      </c>
      <c r="O576" s="15" t="n">
        <f aca="false">AK576*評分方法!$C$11</f>
        <v>5</v>
      </c>
      <c r="P576" s="15" t="n">
        <f aca="false">AL576*評分方法!$C$12</f>
        <v>5</v>
      </c>
      <c r="Q576" s="6" t="n">
        <v>594358</v>
      </c>
      <c r="R576" s="6" t="n">
        <v>119401317376</v>
      </c>
      <c r="S576" s="11" t="s">
        <v>1616</v>
      </c>
      <c r="T576" s="11" t="s">
        <v>239</v>
      </c>
      <c r="U576" s="5" t="s">
        <v>240</v>
      </c>
      <c r="V576" s="11" t="s">
        <v>261</v>
      </c>
      <c r="W576" s="5" t="s">
        <v>205</v>
      </c>
      <c r="X576" s="5" t="s">
        <v>284</v>
      </c>
      <c r="Y576" s="5"/>
      <c r="Z576" s="5"/>
      <c r="AA576" s="11" t="s">
        <v>155</v>
      </c>
      <c r="AB576" s="5" t="s">
        <v>328</v>
      </c>
      <c r="AC576" s="5" t="s">
        <v>400</v>
      </c>
      <c r="AD576" s="11" t="s">
        <v>1617</v>
      </c>
      <c r="AE576" s="23" t="n">
        <v>0.85</v>
      </c>
      <c r="AF576" s="23" t="n">
        <v>0</v>
      </c>
      <c r="AG576" s="23" t="n">
        <v>1</v>
      </c>
      <c r="AH576" s="23" t="n">
        <v>0.13</v>
      </c>
      <c r="AI576" s="23" t="n">
        <v>1</v>
      </c>
      <c r="AJ576" s="23" t="n">
        <v>0.5764</v>
      </c>
      <c r="AK576" s="23" t="n">
        <v>1</v>
      </c>
      <c r="AL576" s="23" t="n">
        <v>1</v>
      </c>
      <c r="AM576" s="16" t="n">
        <f aca="false">COUNTIFS($D$2:$D$2501,D576,$G$2:$G$2501,"&gt;"&amp;G576)+COUNTIFS($D$2:D576,D576,$G$2:G576,G576)</f>
        <v>317</v>
      </c>
      <c r="AN576" s="5" t="str">
        <f aca="false">D576&amp;"|"&amp;AM576</f>
        <v>分析與報告生成|317</v>
      </c>
    </row>
    <row r="577" customFormat="false" ht="17.15" hidden="false" customHeight="false" outlineLevel="0" collapsed="false">
      <c r="A577" s="16" t="n">
        <f aca="false">RANK(G577,$G$2:$G$2501)+COUNTIF($G$2:G577,G577)-1</f>
        <v>576</v>
      </c>
      <c r="B577" s="11" t="s">
        <v>1618</v>
      </c>
      <c r="C577" s="11" t="s">
        <v>402</v>
      </c>
      <c r="D577" s="5" t="s">
        <v>58</v>
      </c>
      <c r="E577" s="5" t="s">
        <v>59</v>
      </c>
      <c r="F577" s="5"/>
      <c r="G577" s="22" t="n">
        <f aca="false">ROUND(SUM(I577:P577),3)</f>
        <v>68.194</v>
      </c>
      <c r="H577" s="5" t="str">
        <f aca="false">IF(G577&gt;=評分方法!$C$16,"優先評估",IF(G577&gt;=評分方法!$C$17,"列入候選",IF(G577&gt;=評分方法!$C$18,"特定情境","不建議")))</f>
        <v>特定情境</v>
      </c>
      <c r="I577" s="15" t="n">
        <f aca="false">AE577*評分方法!$C$5</f>
        <v>28.5</v>
      </c>
      <c r="J577" s="15" t="n">
        <f aca="false">AF577*評分方法!$C$6</f>
        <v>0</v>
      </c>
      <c r="K577" s="15" t="n">
        <f aca="false">AG577*評分方法!$C$7</f>
        <v>4.95</v>
      </c>
      <c r="L577" s="15" t="n">
        <f aca="false">AH577*評分方法!$C$8</f>
        <v>15</v>
      </c>
      <c r="M577" s="15" t="n">
        <f aca="false">AI577*評分方法!$C$9</f>
        <v>10</v>
      </c>
      <c r="N577" s="15" t="n">
        <f aca="false">AJ577*評分方法!$C$10</f>
        <v>7.244</v>
      </c>
      <c r="O577" s="15" t="n">
        <f aca="false">AK577*評分方法!$C$11</f>
        <v>2.5</v>
      </c>
      <c r="P577" s="15" t="n">
        <f aca="false">AL577*評分方法!$C$12</f>
        <v>0</v>
      </c>
      <c r="Q577" s="6" t="n">
        <v>1014515</v>
      </c>
      <c r="R577" s="6" t="n">
        <v>558843907</v>
      </c>
      <c r="S577" s="11" t="s">
        <v>238</v>
      </c>
      <c r="T577" s="11" t="s">
        <v>239</v>
      </c>
      <c r="U577" s="5" t="s">
        <v>240</v>
      </c>
      <c r="V577" s="11" t="s">
        <v>261</v>
      </c>
      <c r="W577" s="5" t="s">
        <v>334</v>
      </c>
      <c r="X577" s="5" t="s">
        <v>242</v>
      </c>
      <c r="Y577" s="5"/>
      <c r="Z577" s="5"/>
      <c r="AA577" s="11" t="s">
        <v>150</v>
      </c>
      <c r="AB577" s="5" t="s">
        <v>245</v>
      </c>
      <c r="AC577" s="5"/>
      <c r="AD577" s="11" t="s">
        <v>1619</v>
      </c>
      <c r="AE577" s="23" t="n">
        <v>0.95</v>
      </c>
      <c r="AF577" s="23" t="n">
        <v>0</v>
      </c>
      <c r="AG577" s="23" t="n">
        <v>0.33</v>
      </c>
      <c r="AH577" s="23" t="n">
        <v>1</v>
      </c>
      <c r="AI577" s="23" t="n">
        <v>1</v>
      </c>
      <c r="AJ577" s="23" t="n">
        <v>0.7244</v>
      </c>
      <c r="AK577" s="23" t="n">
        <v>0.5</v>
      </c>
      <c r="AL577" s="23" t="n">
        <v>0</v>
      </c>
      <c r="AM577" s="16" t="n">
        <f aca="false">COUNTIFS($D$2:$D$2501,D577,$G$2:$G$2501,"&gt;"&amp;G577)+COUNTIFS($D$2:D577,D577,$G$2:G577,G577)</f>
        <v>36</v>
      </c>
      <c r="AN577" s="5" t="str">
        <f aca="false">D577&amp;"|"&amp;AM577</f>
        <v>實體擷取與去識別化|36</v>
      </c>
    </row>
    <row r="578" customFormat="false" ht="17.15" hidden="false" customHeight="false" outlineLevel="0" collapsed="false">
      <c r="A578" s="16" t="n">
        <f aca="false">RANK(G578,$G$2:$G$2501)+COUNTIF($G$2:G578,G578)-1</f>
        <v>577</v>
      </c>
      <c r="B578" s="11" t="s">
        <v>1620</v>
      </c>
      <c r="C578" s="11" t="s">
        <v>402</v>
      </c>
      <c r="D578" s="5" t="s">
        <v>58</v>
      </c>
      <c r="E578" s="5" t="s">
        <v>59</v>
      </c>
      <c r="F578" s="5"/>
      <c r="G578" s="22" t="n">
        <f aca="false">ROUND(SUM(I578:P578),3)</f>
        <v>68.178</v>
      </c>
      <c r="H578" s="5" t="str">
        <f aca="false">IF(G578&gt;=評分方法!$C$16,"優先評估",IF(G578&gt;=評分方法!$C$17,"列入候選",IF(G578&gt;=評分方法!$C$18,"特定情境","不建議")))</f>
        <v>特定情境</v>
      </c>
      <c r="I578" s="15" t="n">
        <f aca="false">AE578*評分方法!$C$5</f>
        <v>28.5</v>
      </c>
      <c r="J578" s="15" t="n">
        <f aca="false">AF578*評分方法!$C$6</f>
        <v>0</v>
      </c>
      <c r="K578" s="15" t="n">
        <f aca="false">AG578*評分方法!$C$7</f>
        <v>4.95</v>
      </c>
      <c r="L578" s="15" t="n">
        <f aca="false">AH578*評分方法!$C$8</f>
        <v>15</v>
      </c>
      <c r="M578" s="15" t="n">
        <f aca="false">AI578*評分方法!$C$9</f>
        <v>10</v>
      </c>
      <c r="N578" s="15" t="n">
        <f aca="false">AJ578*評分方法!$C$10</f>
        <v>7.228</v>
      </c>
      <c r="O578" s="15" t="n">
        <f aca="false">AK578*評分方法!$C$11</f>
        <v>2.5</v>
      </c>
      <c r="P578" s="15" t="n">
        <f aca="false">AL578*評分方法!$C$12</f>
        <v>0</v>
      </c>
      <c r="Q578" s="6" t="n">
        <v>1008910</v>
      </c>
      <c r="R578" s="6" t="n">
        <v>149607171</v>
      </c>
      <c r="S578" s="11" t="s">
        <v>238</v>
      </c>
      <c r="T578" s="11" t="s">
        <v>239</v>
      </c>
      <c r="U578" s="5" t="s">
        <v>240</v>
      </c>
      <c r="V578" s="11" t="s">
        <v>261</v>
      </c>
      <c r="W578" s="5" t="s">
        <v>334</v>
      </c>
      <c r="X578" s="5" t="s">
        <v>242</v>
      </c>
      <c r="Y578" s="5"/>
      <c r="Z578" s="5"/>
      <c r="AA578" s="11" t="s">
        <v>150</v>
      </c>
      <c r="AB578" s="5" t="s">
        <v>245</v>
      </c>
      <c r="AC578" s="5"/>
      <c r="AD578" s="11" t="s">
        <v>1621</v>
      </c>
      <c r="AE578" s="23" t="n">
        <v>0.95</v>
      </c>
      <c r="AF578" s="23" t="n">
        <v>0</v>
      </c>
      <c r="AG578" s="23" t="n">
        <v>0.33</v>
      </c>
      <c r="AH578" s="23" t="n">
        <v>1</v>
      </c>
      <c r="AI578" s="23" t="n">
        <v>1</v>
      </c>
      <c r="AJ578" s="23" t="n">
        <v>0.7228</v>
      </c>
      <c r="AK578" s="23" t="n">
        <v>0.5</v>
      </c>
      <c r="AL578" s="23" t="n">
        <v>0</v>
      </c>
      <c r="AM578" s="16" t="n">
        <f aca="false">COUNTIFS($D$2:$D$2501,D578,$G$2:$G$2501,"&gt;"&amp;G578)+COUNTIFS($D$2:D578,D578,$G$2:G578,G578)</f>
        <v>37</v>
      </c>
      <c r="AN578" s="5" t="str">
        <f aca="false">D578&amp;"|"&amp;AM578</f>
        <v>實體擷取與去識別化|37</v>
      </c>
    </row>
    <row r="579" customFormat="false" ht="17.15" hidden="false" customHeight="false" outlineLevel="0" collapsed="false">
      <c r="A579" s="16" t="n">
        <f aca="false">RANK(G579,$G$2:$G$2501)+COUNTIF($G$2:G579,G579)-1</f>
        <v>578</v>
      </c>
      <c r="B579" s="11" t="s">
        <v>1622</v>
      </c>
      <c r="C579" s="11" t="s">
        <v>349</v>
      </c>
      <c r="D579" s="11" t="s">
        <v>60</v>
      </c>
      <c r="E579" s="11" t="s">
        <v>61</v>
      </c>
      <c r="F579" s="11" t="s">
        <v>60</v>
      </c>
      <c r="G579" s="22" t="n">
        <f aca="false">ROUND(SUM(I579:P579),3)</f>
        <v>68.164</v>
      </c>
      <c r="H579" s="5" t="str">
        <f aca="false">IF(G579&gt;=評分方法!$C$16,"優先評估",IF(G579&gt;=評分方法!$C$17,"列入候選",IF(G579&gt;=評分方法!$C$18,"特定情境","不建議")))</f>
        <v>特定情境</v>
      </c>
      <c r="I579" s="15" t="n">
        <f aca="false">AE579*評分方法!$C$5</f>
        <v>15</v>
      </c>
      <c r="J579" s="15" t="n">
        <f aca="false">AF579*評分方法!$C$6</f>
        <v>10</v>
      </c>
      <c r="K579" s="15" t="n">
        <f aca="false">AG579*評分方法!$C$7</f>
        <v>15</v>
      </c>
      <c r="L579" s="15" t="n">
        <f aca="false">AH579*評分方法!$C$8</f>
        <v>15</v>
      </c>
      <c r="M579" s="15" t="n">
        <f aca="false">AI579*評分方法!$C$9</f>
        <v>10</v>
      </c>
      <c r="N579" s="15" t="n">
        <f aca="false">AJ579*評分方法!$C$10</f>
        <v>2.164</v>
      </c>
      <c r="O579" s="15" t="n">
        <f aca="false">AK579*評分方法!$C$11</f>
        <v>1</v>
      </c>
      <c r="P579" s="15" t="n">
        <f aca="false">AL579*評分方法!$C$12</f>
        <v>0</v>
      </c>
      <c r="Q579" s="6" t="n">
        <v>220881</v>
      </c>
      <c r="R579" s="6" t="n">
        <v>66955010</v>
      </c>
      <c r="S579" s="11" t="s">
        <v>238</v>
      </c>
      <c r="T579" s="11" t="s">
        <v>239</v>
      </c>
      <c r="U579" s="5" t="s">
        <v>240</v>
      </c>
      <c r="V579" s="11" t="s">
        <v>261</v>
      </c>
      <c r="W579" s="5" t="s">
        <v>205</v>
      </c>
      <c r="X579" s="5" t="s">
        <v>242</v>
      </c>
      <c r="Y579" s="5"/>
      <c r="Z579" s="5"/>
      <c r="AA579" s="11" t="s">
        <v>162</v>
      </c>
      <c r="AB579" s="5" t="s">
        <v>328</v>
      </c>
      <c r="AC579" s="5" t="s">
        <v>400</v>
      </c>
      <c r="AD579" s="11" t="s">
        <v>1623</v>
      </c>
      <c r="AE579" s="23" t="n">
        <v>0.5</v>
      </c>
      <c r="AF579" s="23" t="n">
        <v>1</v>
      </c>
      <c r="AG579" s="23" t="n">
        <v>1</v>
      </c>
      <c r="AH579" s="23" t="n">
        <v>1</v>
      </c>
      <c r="AI579" s="23" t="n">
        <v>1</v>
      </c>
      <c r="AJ579" s="23" t="n">
        <v>0.2164</v>
      </c>
      <c r="AK579" s="23" t="n">
        <v>0.2</v>
      </c>
      <c r="AL579" s="23" t="n">
        <v>0</v>
      </c>
      <c r="AM579" s="16" t="n">
        <f aca="false">COUNTIFS($D$2:$D$2501,D579,$G$2:$G$2501,"&gt;"&amp;G579)+COUNTIFS($D$2:D579,D579,$G$2:G579,G579)</f>
        <v>5</v>
      </c>
      <c r="AN579" s="5" t="str">
        <f aca="false">D579&amp;"|"&amp;AM579</f>
        <v>AI 紅隊評估|5</v>
      </c>
    </row>
    <row r="580" customFormat="false" ht="17.15" hidden="false" customHeight="false" outlineLevel="0" collapsed="false">
      <c r="A580" s="16" t="n">
        <f aca="false">RANK(G580,$G$2:$G$2501)+COUNTIF($G$2:G580,G580)-1</f>
        <v>579</v>
      </c>
      <c r="B580" s="11" t="s">
        <v>1624</v>
      </c>
      <c r="C580" s="11" t="s">
        <v>402</v>
      </c>
      <c r="D580" s="5" t="s">
        <v>58</v>
      </c>
      <c r="E580" s="5" t="s">
        <v>59</v>
      </c>
      <c r="F580" s="5"/>
      <c r="G580" s="22" t="n">
        <f aca="false">ROUND(SUM(I580:P580),3)</f>
        <v>68.162</v>
      </c>
      <c r="H580" s="5" t="str">
        <f aca="false">IF(G580&gt;=評分方法!$C$16,"優先評估",IF(G580&gt;=評分方法!$C$17,"列入候選",IF(G580&gt;=評分方法!$C$18,"特定情境","不建議")))</f>
        <v>特定情境</v>
      </c>
      <c r="I580" s="15" t="n">
        <f aca="false">AE580*評分方法!$C$5</f>
        <v>28.5</v>
      </c>
      <c r="J580" s="15" t="n">
        <f aca="false">AF580*評分方法!$C$6</f>
        <v>0</v>
      </c>
      <c r="K580" s="15" t="n">
        <f aca="false">AG580*評分方法!$C$7</f>
        <v>4.95</v>
      </c>
      <c r="L580" s="15" t="n">
        <f aca="false">AH580*評分方法!$C$8</f>
        <v>15</v>
      </c>
      <c r="M580" s="15" t="n">
        <f aca="false">AI580*評分方法!$C$9</f>
        <v>10</v>
      </c>
      <c r="N580" s="15" t="n">
        <f aca="false">AJ580*評分方法!$C$10</f>
        <v>7.212</v>
      </c>
      <c r="O580" s="15" t="n">
        <f aca="false">AK580*評分方法!$C$11</f>
        <v>2.5</v>
      </c>
      <c r="P580" s="15" t="n">
        <f aca="false">AL580*評分方法!$C$12</f>
        <v>0</v>
      </c>
      <c r="Q580" s="6" t="n">
        <v>1001224</v>
      </c>
      <c r="R580" s="6" t="n">
        <v>149607171</v>
      </c>
      <c r="S580" s="11" t="s">
        <v>238</v>
      </c>
      <c r="T580" s="11" t="s">
        <v>239</v>
      </c>
      <c r="U580" s="5" t="s">
        <v>240</v>
      </c>
      <c r="V580" s="11" t="s">
        <v>261</v>
      </c>
      <c r="W580" s="5" t="s">
        <v>334</v>
      </c>
      <c r="X580" s="5" t="s">
        <v>242</v>
      </c>
      <c r="Y580" s="5"/>
      <c r="Z580" s="5"/>
      <c r="AA580" s="11" t="s">
        <v>150</v>
      </c>
      <c r="AB580" s="5" t="s">
        <v>245</v>
      </c>
      <c r="AC580" s="5"/>
      <c r="AD580" s="11" t="s">
        <v>1625</v>
      </c>
      <c r="AE580" s="23" t="n">
        <v>0.95</v>
      </c>
      <c r="AF580" s="23" t="n">
        <v>0</v>
      </c>
      <c r="AG580" s="23" t="n">
        <v>0.33</v>
      </c>
      <c r="AH580" s="23" t="n">
        <v>1</v>
      </c>
      <c r="AI580" s="23" t="n">
        <v>1</v>
      </c>
      <c r="AJ580" s="23" t="n">
        <v>0.7212</v>
      </c>
      <c r="AK580" s="23" t="n">
        <v>0.5</v>
      </c>
      <c r="AL580" s="23" t="n">
        <v>0</v>
      </c>
      <c r="AM580" s="16" t="n">
        <f aca="false">COUNTIFS($D$2:$D$2501,D580,$G$2:$G$2501,"&gt;"&amp;G580)+COUNTIFS($D$2:D580,D580,$G$2:G580,G580)</f>
        <v>38</v>
      </c>
      <c r="AN580" s="5" t="str">
        <f aca="false">D580&amp;"|"&amp;AM580</f>
        <v>實體擷取與去識別化|38</v>
      </c>
    </row>
    <row r="581" customFormat="false" ht="17.15" hidden="false" customHeight="false" outlineLevel="0" collapsed="false">
      <c r="A581" s="16" t="n">
        <f aca="false">RANK(G581,$G$2:$G$2501)+COUNTIF($G$2:G581,G581)-1</f>
        <v>580</v>
      </c>
      <c r="B581" s="11" t="s">
        <v>1626</v>
      </c>
      <c r="C581" s="11" t="s">
        <v>308</v>
      </c>
      <c r="D581" s="5" t="s">
        <v>56</v>
      </c>
      <c r="E581" s="5" t="s">
        <v>57</v>
      </c>
      <c r="F581" s="5"/>
      <c r="G581" s="22" t="n">
        <f aca="false">ROUND(SUM(I581:P581),3)</f>
        <v>68.15</v>
      </c>
      <c r="H581" s="5" t="str">
        <f aca="false">IF(G581&gt;=評分方法!$C$16,"優先評估",IF(G581&gt;=評分方法!$C$17,"列入候選",IF(G581&gt;=評分方法!$C$18,"特定情境","不建議")))</f>
        <v>特定情境</v>
      </c>
      <c r="I581" s="15" t="n">
        <f aca="false">AE581*評分方法!$C$5</f>
        <v>25.5</v>
      </c>
      <c r="J581" s="15" t="n">
        <f aca="false">AF581*評分方法!$C$6</f>
        <v>0</v>
      </c>
      <c r="K581" s="15" t="n">
        <f aca="false">AG581*評分方法!$C$7</f>
        <v>15</v>
      </c>
      <c r="L581" s="15" t="n">
        <f aca="false">AH581*評分方法!$C$8</f>
        <v>13.05</v>
      </c>
      <c r="M581" s="15" t="n">
        <f aca="false">AI581*評分方法!$C$9</f>
        <v>10</v>
      </c>
      <c r="N581" s="15" t="n">
        <f aca="false">AJ581*評分方法!$C$10</f>
        <v>0.6</v>
      </c>
      <c r="O581" s="15" t="n">
        <f aca="false">AK581*評分方法!$C$11</f>
        <v>4</v>
      </c>
      <c r="P581" s="15" t="n">
        <f aca="false">AL581*評分方法!$C$12</f>
        <v>0</v>
      </c>
      <c r="Q581" s="6" t="n">
        <v>137885</v>
      </c>
      <c r="R581" s="6" t="n">
        <v>2412820480</v>
      </c>
      <c r="S581" s="11" t="s">
        <v>254</v>
      </c>
      <c r="T581" s="11" t="s">
        <v>278</v>
      </c>
      <c r="U581" s="5" t="s">
        <v>240</v>
      </c>
      <c r="V581" s="11" t="s">
        <v>333</v>
      </c>
      <c r="W581" s="5" t="s">
        <v>205</v>
      </c>
      <c r="X581" s="5" t="s">
        <v>242</v>
      </c>
      <c r="Y581" s="5"/>
      <c r="Z581" s="5"/>
      <c r="AA581" s="11" t="s">
        <v>155</v>
      </c>
      <c r="AB581" s="5" t="s">
        <v>245</v>
      </c>
      <c r="AC581" s="5"/>
      <c r="AD581" s="11" t="s">
        <v>1627</v>
      </c>
      <c r="AE581" s="23" t="n">
        <v>0.85</v>
      </c>
      <c r="AF581" s="23" t="n">
        <v>0</v>
      </c>
      <c r="AG581" s="23" t="n">
        <v>1</v>
      </c>
      <c r="AH581" s="23" t="n">
        <v>0.87</v>
      </c>
      <c r="AI581" s="23" t="n">
        <v>1</v>
      </c>
      <c r="AJ581" s="23" t="n">
        <v>0.06</v>
      </c>
      <c r="AK581" s="23" t="n">
        <v>0.8</v>
      </c>
      <c r="AL581" s="23" t="n">
        <v>0</v>
      </c>
      <c r="AM581" s="16" t="n">
        <f aca="false">COUNTIFS($D$2:$D$2501,D581,$G$2:$G$2501,"&gt;"&amp;G581)+COUNTIFS($D$2:D581,D581,$G$2:G581,G581)</f>
        <v>318</v>
      </c>
      <c r="AN581" s="5" t="str">
        <f aca="false">D581&amp;"|"&amp;AM581</f>
        <v>分析與報告生成|318</v>
      </c>
    </row>
    <row r="582" customFormat="false" ht="17.15" hidden="false" customHeight="false" outlineLevel="0" collapsed="false">
      <c r="A582" s="16" t="n">
        <f aca="false">RANK(G582,$G$2:$G$2501)+COUNTIF($G$2:G582,G582)-1</f>
        <v>581</v>
      </c>
      <c r="B582" s="11" t="s">
        <v>1628</v>
      </c>
      <c r="C582" s="11" t="s">
        <v>989</v>
      </c>
      <c r="D582" s="5" t="s">
        <v>56</v>
      </c>
      <c r="E582" s="5" t="s">
        <v>57</v>
      </c>
      <c r="F582" s="5"/>
      <c r="G582" s="22" t="n">
        <f aca="false">ROUND(SUM(I582:P582),3)</f>
        <v>68.146</v>
      </c>
      <c r="H582" s="5" t="str">
        <f aca="false">IF(G582&gt;=評分方法!$C$16,"優先評估",IF(G582&gt;=評分方法!$C$17,"列入候選",IF(G582&gt;=評分方法!$C$18,"特定情境","不建議")))</f>
        <v>特定情境</v>
      </c>
      <c r="I582" s="15" t="n">
        <f aca="false">AE582*評分方法!$C$5</f>
        <v>25.5</v>
      </c>
      <c r="J582" s="15" t="n">
        <f aca="false">AF582*評分方法!$C$6</f>
        <v>0</v>
      </c>
      <c r="K582" s="15" t="n">
        <f aca="false">AG582*評分方法!$C$7</f>
        <v>10.05</v>
      </c>
      <c r="L582" s="15" t="n">
        <f aca="false">AH582*評分方法!$C$8</f>
        <v>9</v>
      </c>
      <c r="M582" s="15" t="n">
        <f aca="false">AI582*評分方法!$C$9</f>
        <v>10</v>
      </c>
      <c r="N582" s="15" t="n">
        <f aca="false">AJ582*評分方法!$C$10</f>
        <v>5.596</v>
      </c>
      <c r="O582" s="15" t="n">
        <f aca="false">AK582*評分方法!$C$11</f>
        <v>5</v>
      </c>
      <c r="P582" s="15" t="n">
        <f aca="false">AL582*評分方法!$C$12</f>
        <v>3</v>
      </c>
      <c r="Q582" s="6" t="n">
        <v>580530</v>
      </c>
      <c r="R582" s="6" t="n">
        <v>25233142046</v>
      </c>
      <c r="S582" s="11" t="s">
        <v>389</v>
      </c>
      <c r="T582" s="11" t="s">
        <v>239</v>
      </c>
      <c r="U582" s="5" t="s">
        <v>240</v>
      </c>
      <c r="V582" s="11" t="s">
        <v>333</v>
      </c>
      <c r="W582" s="5" t="s">
        <v>207</v>
      </c>
      <c r="X582" s="5" t="s">
        <v>371</v>
      </c>
      <c r="Y582" s="11" t="s">
        <v>575</v>
      </c>
      <c r="Z582" s="11" t="s">
        <v>244</v>
      </c>
      <c r="AA582" s="11" t="s">
        <v>156</v>
      </c>
      <c r="AB582" s="5" t="s">
        <v>245</v>
      </c>
      <c r="AC582" s="5" t="s">
        <v>246</v>
      </c>
      <c r="AD582" s="11" t="s">
        <v>1629</v>
      </c>
      <c r="AE582" s="23" t="n">
        <v>0.85</v>
      </c>
      <c r="AF582" s="23" t="n">
        <v>0</v>
      </c>
      <c r="AG582" s="23" t="n">
        <v>0.67</v>
      </c>
      <c r="AH582" s="23" t="n">
        <v>0.6</v>
      </c>
      <c r="AI582" s="23" t="n">
        <v>1</v>
      </c>
      <c r="AJ582" s="23" t="n">
        <v>0.5596</v>
      </c>
      <c r="AK582" s="23" t="n">
        <v>1</v>
      </c>
      <c r="AL582" s="23" t="n">
        <v>0.6</v>
      </c>
      <c r="AM582" s="16" t="n">
        <f aca="false">COUNTIFS($D$2:$D$2501,D582,$G$2:$G$2501,"&gt;"&amp;G582)+COUNTIFS($D$2:D582,D582,$G$2:G582,G582)</f>
        <v>319</v>
      </c>
      <c r="AN582" s="5" t="str">
        <f aca="false">D582&amp;"|"&amp;AM582</f>
        <v>分析與報告生成|319</v>
      </c>
    </row>
    <row r="583" customFormat="false" ht="17.15" hidden="false" customHeight="false" outlineLevel="0" collapsed="false">
      <c r="A583" s="16" t="n">
        <f aca="false">RANK(G583,$G$2:$G$2501)+COUNTIF($G$2:G583,G583)-1</f>
        <v>582</v>
      </c>
      <c r="B583" s="11" t="s">
        <v>1630</v>
      </c>
      <c r="C583" s="11" t="s">
        <v>402</v>
      </c>
      <c r="D583" s="5" t="s">
        <v>58</v>
      </c>
      <c r="E583" s="5" t="s">
        <v>59</v>
      </c>
      <c r="F583" s="5"/>
      <c r="G583" s="22" t="n">
        <f aca="false">ROUND(SUM(I583:P583),3)</f>
        <v>68.142</v>
      </c>
      <c r="H583" s="5" t="str">
        <f aca="false">IF(G583&gt;=評分方法!$C$16,"優先評估",IF(G583&gt;=評分方法!$C$17,"列入候選",IF(G583&gt;=評分方法!$C$18,"特定情境","不建議")))</f>
        <v>特定情境</v>
      </c>
      <c r="I583" s="15" t="n">
        <f aca="false">AE583*評分方法!$C$5</f>
        <v>28.5</v>
      </c>
      <c r="J583" s="15" t="n">
        <f aca="false">AF583*評分方法!$C$6</f>
        <v>0</v>
      </c>
      <c r="K583" s="15" t="n">
        <f aca="false">AG583*評分方法!$C$7</f>
        <v>4.95</v>
      </c>
      <c r="L583" s="15" t="n">
        <f aca="false">AH583*評分方法!$C$8</f>
        <v>15</v>
      </c>
      <c r="M583" s="15" t="n">
        <f aca="false">AI583*評分方法!$C$9</f>
        <v>10</v>
      </c>
      <c r="N583" s="15" t="n">
        <f aca="false">AJ583*評分方法!$C$10</f>
        <v>7.192</v>
      </c>
      <c r="O583" s="15" t="n">
        <f aca="false">AK583*評分方法!$C$11</f>
        <v>2.5</v>
      </c>
      <c r="P583" s="15" t="n">
        <f aca="false">AL583*評分方法!$C$12</f>
        <v>0</v>
      </c>
      <c r="Q583" s="6" t="n">
        <v>993395</v>
      </c>
      <c r="R583" s="6" t="n">
        <v>108893955</v>
      </c>
      <c r="S583" s="11" t="s">
        <v>238</v>
      </c>
      <c r="T583" s="11" t="s">
        <v>239</v>
      </c>
      <c r="U583" s="5" t="s">
        <v>240</v>
      </c>
      <c r="V583" s="11" t="s">
        <v>261</v>
      </c>
      <c r="W583" s="5" t="s">
        <v>334</v>
      </c>
      <c r="X583" s="5" t="s">
        <v>242</v>
      </c>
      <c r="Y583" s="5"/>
      <c r="Z583" s="5"/>
      <c r="AA583" s="11" t="s">
        <v>150</v>
      </c>
      <c r="AB583" s="5" t="s">
        <v>245</v>
      </c>
      <c r="AC583" s="5"/>
      <c r="AD583" s="11" t="s">
        <v>1631</v>
      </c>
      <c r="AE583" s="23" t="n">
        <v>0.95</v>
      </c>
      <c r="AF583" s="23" t="n">
        <v>0</v>
      </c>
      <c r="AG583" s="23" t="n">
        <v>0.33</v>
      </c>
      <c r="AH583" s="23" t="n">
        <v>1</v>
      </c>
      <c r="AI583" s="23" t="n">
        <v>1</v>
      </c>
      <c r="AJ583" s="23" t="n">
        <v>0.7192</v>
      </c>
      <c r="AK583" s="23" t="n">
        <v>0.5</v>
      </c>
      <c r="AL583" s="23" t="n">
        <v>0</v>
      </c>
      <c r="AM583" s="16" t="n">
        <f aca="false">COUNTIFS($D$2:$D$2501,D583,$G$2:$G$2501,"&gt;"&amp;G583)+COUNTIFS($D$2:D583,D583,$G$2:G583,G583)</f>
        <v>39</v>
      </c>
      <c r="AN583" s="5" t="str">
        <f aca="false">D583&amp;"|"&amp;AM583</f>
        <v>實體擷取與去識別化|39</v>
      </c>
    </row>
    <row r="584" customFormat="false" ht="17.15" hidden="false" customHeight="false" outlineLevel="0" collapsed="false">
      <c r="A584" s="16" t="n">
        <f aca="false">RANK(G584,$G$2:$G$2501)+COUNTIF($G$2:G584,G584)-1</f>
        <v>583</v>
      </c>
      <c r="B584" s="11" t="s">
        <v>1632</v>
      </c>
      <c r="C584" s="11" t="s">
        <v>402</v>
      </c>
      <c r="D584" s="5" t="s">
        <v>58</v>
      </c>
      <c r="E584" s="5" t="s">
        <v>59</v>
      </c>
      <c r="F584" s="5"/>
      <c r="G584" s="22" t="n">
        <f aca="false">ROUND(SUM(I584:P584),3)</f>
        <v>68.11</v>
      </c>
      <c r="H584" s="5" t="str">
        <f aca="false">IF(G584&gt;=評分方法!$C$16,"優先評估",IF(G584&gt;=評分方法!$C$17,"列入候選",IF(G584&gt;=評分方法!$C$18,"特定情境","不建議")))</f>
        <v>特定情境</v>
      </c>
      <c r="I584" s="15" t="n">
        <f aca="false">AE584*評分方法!$C$5</f>
        <v>28.5</v>
      </c>
      <c r="J584" s="15" t="n">
        <f aca="false">AF584*評分方法!$C$6</f>
        <v>0</v>
      </c>
      <c r="K584" s="15" t="n">
        <f aca="false">AG584*評分方法!$C$7</f>
        <v>4.95</v>
      </c>
      <c r="L584" s="15" t="n">
        <f aca="false">AH584*評分方法!$C$8</f>
        <v>15</v>
      </c>
      <c r="M584" s="15" t="n">
        <f aca="false">AI584*評分方法!$C$9</f>
        <v>10</v>
      </c>
      <c r="N584" s="15" t="n">
        <f aca="false">AJ584*評分方法!$C$10</f>
        <v>7.16</v>
      </c>
      <c r="O584" s="15" t="n">
        <f aca="false">AK584*評分方法!$C$11</f>
        <v>2.5</v>
      </c>
      <c r="P584" s="15" t="n">
        <f aca="false">AL584*評分方法!$C$12</f>
        <v>0</v>
      </c>
      <c r="Q584" s="6" t="n">
        <v>981514</v>
      </c>
      <c r="R584" s="6" t="n">
        <v>141312779</v>
      </c>
      <c r="S584" s="11" t="s">
        <v>238</v>
      </c>
      <c r="T584" s="11" t="s">
        <v>239</v>
      </c>
      <c r="U584" s="5" t="s">
        <v>240</v>
      </c>
      <c r="V584" s="11" t="s">
        <v>261</v>
      </c>
      <c r="W584" s="5" t="s">
        <v>334</v>
      </c>
      <c r="X584" s="5" t="s">
        <v>242</v>
      </c>
      <c r="Y584" s="5"/>
      <c r="Z584" s="5"/>
      <c r="AA584" s="11" t="s">
        <v>150</v>
      </c>
      <c r="AB584" s="5" t="s">
        <v>245</v>
      </c>
      <c r="AC584" s="5"/>
      <c r="AD584" s="11" t="s">
        <v>1633</v>
      </c>
      <c r="AE584" s="23" t="n">
        <v>0.95</v>
      </c>
      <c r="AF584" s="23" t="n">
        <v>0</v>
      </c>
      <c r="AG584" s="23" t="n">
        <v>0.33</v>
      </c>
      <c r="AH584" s="23" t="n">
        <v>1</v>
      </c>
      <c r="AI584" s="23" t="n">
        <v>1</v>
      </c>
      <c r="AJ584" s="23" t="n">
        <v>0.716</v>
      </c>
      <c r="AK584" s="23" t="n">
        <v>0.5</v>
      </c>
      <c r="AL584" s="23" t="n">
        <v>0</v>
      </c>
      <c r="AM584" s="16" t="n">
        <f aca="false">COUNTIFS($D$2:$D$2501,D584,$G$2:$G$2501,"&gt;"&amp;G584)+COUNTIFS($D$2:D584,D584,$G$2:G584,G584)</f>
        <v>40</v>
      </c>
      <c r="AN584" s="5" t="str">
        <f aca="false">D584&amp;"|"&amp;AM584</f>
        <v>實體擷取與去識別化|40</v>
      </c>
    </row>
    <row r="585" customFormat="false" ht="17.15" hidden="false" customHeight="false" outlineLevel="0" collapsed="false">
      <c r="A585" s="16" t="n">
        <f aca="false">RANK(G585,$G$2:$G$2501)+COUNTIF($G$2:G585,G585)-1</f>
        <v>584</v>
      </c>
      <c r="B585" s="11" t="s">
        <v>1634</v>
      </c>
      <c r="C585" s="11" t="s">
        <v>1635</v>
      </c>
      <c r="D585" s="5" t="s">
        <v>56</v>
      </c>
      <c r="E585" s="5" t="s">
        <v>57</v>
      </c>
      <c r="F585" s="5"/>
      <c r="G585" s="22" t="n">
        <f aca="false">ROUND(SUM(I585:P585),3)</f>
        <v>68.092</v>
      </c>
      <c r="H585" s="5" t="str">
        <f aca="false">IF(G585&gt;=評分方法!$C$16,"優先評估",IF(G585&gt;=評分方法!$C$17,"列入候選",IF(G585&gt;=評分方法!$C$18,"特定情境","不建議")))</f>
        <v>特定情境</v>
      </c>
      <c r="I585" s="15" t="n">
        <f aca="false">AE585*評分方法!$C$5</f>
        <v>18</v>
      </c>
      <c r="J585" s="15" t="n">
        <f aca="false">AF585*評分方法!$C$6</f>
        <v>0</v>
      </c>
      <c r="K585" s="15" t="n">
        <f aca="false">AG585*評分方法!$C$7</f>
        <v>15</v>
      </c>
      <c r="L585" s="15" t="n">
        <f aca="false">AH585*評分方法!$C$8</f>
        <v>15</v>
      </c>
      <c r="M585" s="15" t="n">
        <f aca="false">AI585*評分方法!$C$9</f>
        <v>10</v>
      </c>
      <c r="N585" s="15" t="n">
        <f aca="false">AJ585*評分方法!$C$10</f>
        <v>4.092</v>
      </c>
      <c r="O585" s="15" t="n">
        <f aca="false">AK585*評分方法!$C$11</f>
        <v>1</v>
      </c>
      <c r="P585" s="15" t="n">
        <f aca="false">AL585*評分方法!$C$12</f>
        <v>5</v>
      </c>
      <c r="Q585" s="6" t="n">
        <v>434251</v>
      </c>
      <c r="R585" s="6" t="n">
        <v>559892482</v>
      </c>
      <c r="S585" s="11" t="s">
        <v>238</v>
      </c>
      <c r="T585" s="11" t="s">
        <v>1636</v>
      </c>
      <c r="U585" s="5" t="s">
        <v>240</v>
      </c>
      <c r="V585" s="11" t="s">
        <v>324</v>
      </c>
      <c r="W585" s="5" t="s">
        <v>205</v>
      </c>
      <c r="X585" s="5" t="s">
        <v>284</v>
      </c>
      <c r="Y585" s="5"/>
      <c r="Z585" s="5"/>
      <c r="AA585" s="11" t="s">
        <v>159</v>
      </c>
      <c r="AB585" s="5" t="s">
        <v>245</v>
      </c>
      <c r="AC585" s="5"/>
      <c r="AD585" s="11" t="s">
        <v>1637</v>
      </c>
      <c r="AE585" s="23" t="n">
        <v>0.6</v>
      </c>
      <c r="AF585" s="23" t="n">
        <v>0</v>
      </c>
      <c r="AG585" s="23" t="n">
        <v>1</v>
      </c>
      <c r="AH585" s="23" t="n">
        <v>1</v>
      </c>
      <c r="AI585" s="23" t="n">
        <v>1</v>
      </c>
      <c r="AJ585" s="23" t="n">
        <v>0.4092</v>
      </c>
      <c r="AK585" s="23" t="n">
        <v>0.2</v>
      </c>
      <c r="AL585" s="23" t="n">
        <v>1</v>
      </c>
      <c r="AM585" s="16" t="n">
        <f aca="false">COUNTIFS($D$2:$D$2501,D585,$G$2:$G$2501,"&gt;"&amp;G585)+COUNTIFS($D$2:D585,D585,$G$2:G585,G585)</f>
        <v>320</v>
      </c>
      <c r="AN585" s="5" t="str">
        <f aca="false">D585&amp;"|"&amp;AM585</f>
        <v>分析與報告生成|320</v>
      </c>
    </row>
    <row r="586" customFormat="false" ht="17.15" hidden="false" customHeight="false" outlineLevel="0" collapsed="false">
      <c r="A586" s="16" t="n">
        <f aca="false">RANK(G586,$G$2:$G$2501)+COUNTIF($G$2:G586,G586)-1</f>
        <v>585</v>
      </c>
      <c r="B586" s="11" t="s">
        <v>1638</v>
      </c>
      <c r="C586" s="11" t="s">
        <v>1111</v>
      </c>
      <c r="D586" s="5" t="s">
        <v>56</v>
      </c>
      <c r="E586" s="5" t="s">
        <v>57</v>
      </c>
      <c r="F586" s="5"/>
      <c r="G586" s="22" t="n">
        <f aca="false">ROUND(SUM(I586:P586),3)</f>
        <v>68.068</v>
      </c>
      <c r="H586" s="5" t="str">
        <f aca="false">IF(G586&gt;=評分方法!$C$16,"優先評估",IF(G586&gt;=評分方法!$C$17,"列入候選",IF(G586&gt;=評分方法!$C$18,"特定情境","不建議")))</f>
        <v>特定情境</v>
      </c>
      <c r="I586" s="15" t="n">
        <f aca="false">AE586*評分方法!$C$5</f>
        <v>25.5</v>
      </c>
      <c r="J586" s="15" t="n">
        <f aca="false">AF586*評分方法!$C$6</f>
        <v>0</v>
      </c>
      <c r="K586" s="15" t="n">
        <f aca="false">AG586*評分方法!$C$7</f>
        <v>10.05</v>
      </c>
      <c r="L586" s="15" t="n">
        <f aca="false">AH586*評分方法!$C$8</f>
        <v>13.05</v>
      </c>
      <c r="M586" s="15" t="n">
        <f aca="false">AI586*評分方法!$C$9</f>
        <v>6</v>
      </c>
      <c r="N586" s="15" t="n">
        <f aca="false">AJ586*評分方法!$C$10</f>
        <v>8.468</v>
      </c>
      <c r="O586" s="15" t="n">
        <f aca="false">AK586*評分方法!$C$11</f>
        <v>5</v>
      </c>
      <c r="P586" s="15" t="n">
        <f aca="false">AL586*評分方法!$C$12</f>
        <v>0</v>
      </c>
      <c r="Q586" s="6" t="n">
        <v>2158580</v>
      </c>
      <c r="R586" s="6" t="n">
        <v>8030261248</v>
      </c>
      <c r="S586" s="11" t="s">
        <v>254</v>
      </c>
      <c r="T586" s="11" t="s">
        <v>259</v>
      </c>
      <c r="U586" s="5" t="s">
        <v>260</v>
      </c>
      <c r="V586" s="11" t="s">
        <v>261</v>
      </c>
      <c r="W586" s="5" t="s">
        <v>207</v>
      </c>
      <c r="X586" s="5" t="s">
        <v>242</v>
      </c>
      <c r="Y586" s="11" t="s">
        <v>1066</v>
      </c>
      <c r="Z586" s="11" t="s">
        <v>244</v>
      </c>
      <c r="AA586" s="11" t="s">
        <v>155</v>
      </c>
      <c r="AB586" s="5" t="s">
        <v>245</v>
      </c>
      <c r="AC586" s="5" t="s">
        <v>464</v>
      </c>
      <c r="AD586" s="11" t="s">
        <v>1639</v>
      </c>
      <c r="AE586" s="23" t="n">
        <v>0.85</v>
      </c>
      <c r="AF586" s="23" t="n">
        <v>0</v>
      </c>
      <c r="AG586" s="23" t="n">
        <v>0.67</v>
      </c>
      <c r="AH586" s="23" t="n">
        <v>0.87</v>
      </c>
      <c r="AI586" s="23" t="n">
        <v>0.6</v>
      </c>
      <c r="AJ586" s="23" t="n">
        <v>0.8468</v>
      </c>
      <c r="AK586" s="23" t="n">
        <v>1</v>
      </c>
      <c r="AL586" s="23" t="n">
        <v>0</v>
      </c>
      <c r="AM586" s="16" t="n">
        <f aca="false">COUNTIFS($D$2:$D$2501,D586,$G$2:$G$2501,"&gt;"&amp;G586)+COUNTIFS($D$2:D586,D586,$G$2:G586,G586)</f>
        <v>321</v>
      </c>
      <c r="AN586" s="5" t="str">
        <f aca="false">D586&amp;"|"&amp;AM586</f>
        <v>分析與報告生成|321</v>
      </c>
    </row>
    <row r="587" customFormat="false" ht="17.15" hidden="false" customHeight="false" outlineLevel="0" collapsed="false">
      <c r="A587" s="16" t="n">
        <f aca="false">RANK(G587,$G$2:$G$2501)+COUNTIF($G$2:G587,G587)-1</f>
        <v>586</v>
      </c>
      <c r="B587" s="11" t="s">
        <v>1640</v>
      </c>
      <c r="C587" s="11" t="s">
        <v>402</v>
      </c>
      <c r="D587" s="5" t="s">
        <v>58</v>
      </c>
      <c r="E587" s="5" t="s">
        <v>59</v>
      </c>
      <c r="F587" s="5"/>
      <c r="G587" s="22" t="n">
        <f aca="false">ROUND(SUM(I587:P587),3)</f>
        <v>68.034</v>
      </c>
      <c r="H587" s="5" t="str">
        <f aca="false">IF(G587&gt;=評分方法!$C$16,"優先評估",IF(G587&gt;=評分方法!$C$17,"列入候選",IF(G587&gt;=評分方法!$C$18,"特定情境","不建議")))</f>
        <v>特定情境</v>
      </c>
      <c r="I587" s="15" t="n">
        <f aca="false">AE587*評分方法!$C$5</f>
        <v>28.5</v>
      </c>
      <c r="J587" s="15" t="n">
        <f aca="false">AF587*評分方法!$C$6</f>
        <v>0</v>
      </c>
      <c r="K587" s="15" t="n">
        <f aca="false">AG587*評分方法!$C$7</f>
        <v>4.95</v>
      </c>
      <c r="L587" s="15" t="n">
        <f aca="false">AH587*評分方法!$C$8</f>
        <v>15</v>
      </c>
      <c r="M587" s="15" t="n">
        <f aca="false">AI587*評分方法!$C$9</f>
        <v>10</v>
      </c>
      <c r="N587" s="15" t="n">
        <f aca="false">AJ587*評分方法!$C$10</f>
        <v>7.084</v>
      </c>
      <c r="O587" s="15" t="n">
        <f aca="false">AK587*評分方法!$C$11</f>
        <v>2.5</v>
      </c>
      <c r="P587" s="15" t="n">
        <f aca="false">AL587*評分方法!$C$12</f>
        <v>0</v>
      </c>
      <c r="Q587" s="6" t="n">
        <v>953990</v>
      </c>
      <c r="R587" s="6" t="n">
        <v>558843907</v>
      </c>
      <c r="S587" s="11" t="s">
        <v>238</v>
      </c>
      <c r="T587" s="11" t="s">
        <v>239</v>
      </c>
      <c r="U587" s="5" t="s">
        <v>240</v>
      </c>
      <c r="V587" s="11" t="s">
        <v>261</v>
      </c>
      <c r="W587" s="5" t="s">
        <v>334</v>
      </c>
      <c r="X587" s="5" t="s">
        <v>242</v>
      </c>
      <c r="Y587" s="5"/>
      <c r="Z587" s="5"/>
      <c r="AA587" s="11" t="s">
        <v>150</v>
      </c>
      <c r="AB587" s="5" t="s">
        <v>245</v>
      </c>
      <c r="AC587" s="5"/>
      <c r="AD587" s="11" t="s">
        <v>1641</v>
      </c>
      <c r="AE587" s="23" t="n">
        <v>0.95</v>
      </c>
      <c r="AF587" s="23" t="n">
        <v>0</v>
      </c>
      <c r="AG587" s="23" t="n">
        <v>0.33</v>
      </c>
      <c r="AH587" s="23" t="n">
        <v>1</v>
      </c>
      <c r="AI587" s="23" t="n">
        <v>1</v>
      </c>
      <c r="AJ587" s="23" t="n">
        <v>0.7084</v>
      </c>
      <c r="AK587" s="23" t="n">
        <v>0.5</v>
      </c>
      <c r="AL587" s="23" t="n">
        <v>0</v>
      </c>
      <c r="AM587" s="16" t="n">
        <f aca="false">COUNTIFS($D$2:$D$2501,D587,$G$2:$G$2501,"&gt;"&amp;G587)+COUNTIFS($D$2:D587,D587,$G$2:G587,G587)</f>
        <v>41</v>
      </c>
      <c r="AN587" s="5" t="str">
        <f aca="false">D587&amp;"|"&amp;AM587</f>
        <v>實體擷取與去識別化|41</v>
      </c>
    </row>
    <row r="588" customFormat="false" ht="17.15" hidden="false" customHeight="false" outlineLevel="0" collapsed="false">
      <c r="A588" s="16" t="n">
        <f aca="false">RANK(G588,$G$2:$G$2501)+COUNTIF($G$2:G588,G588)-1</f>
        <v>587</v>
      </c>
      <c r="B588" s="11" t="s">
        <v>1642</v>
      </c>
      <c r="C588" s="11" t="s">
        <v>998</v>
      </c>
      <c r="D588" s="5" t="s">
        <v>54</v>
      </c>
      <c r="E588" s="5" t="s">
        <v>55</v>
      </c>
      <c r="F588" s="5"/>
      <c r="G588" s="22" t="n">
        <f aca="false">ROUND(SUM(I588:P588),3)</f>
        <v>68.026</v>
      </c>
      <c r="H588" s="5" t="str">
        <f aca="false">IF(G588&gt;=評分方法!$C$16,"優先評估",IF(G588&gt;=評分方法!$C$17,"列入候選",IF(G588&gt;=評分方法!$C$18,"特定情境","不建議")))</f>
        <v>特定情境</v>
      </c>
      <c r="I588" s="15" t="n">
        <f aca="false">AE588*評分方法!$C$5</f>
        <v>27</v>
      </c>
      <c r="J588" s="15" t="n">
        <f aca="false">AF588*評分方法!$C$6</f>
        <v>0</v>
      </c>
      <c r="K588" s="15" t="n">
        <f aca="false">AG588*評分方法!$C$7</f>
        <v>10.05</v>
      </c>
      <c r="L588" s="15" t="n">
        <f aca="false">AH588*評分方法!$C$8</f>
        <v>15</v>
      </c>
      <c r="M588" s="15" t="n">
        <f aca="false">AI588*評分方法!$C$9</f>
        <v>6</v>
      </c>
      <c r="N588" s="15" t="n">
        <f aca="false">AJ588*評分方法!$C$10</f>
        <v>5.976</v>
      </c>
      <c r="O588" s="15" t="n">
        <f aca="false">AK588*評分方法!$C$11</f>
        <v>2.5</v>
      </c>
      <c r="P588" s="15" t="n">
        <f aca="false">AL588*評分方法!$C$12</f>
        <v>1.5</v>
      </c>
      <c r="Q588" s="6" t="n">
        <v>616857</v>
      </c>
      <c r="R588" s="6" t="n">
        <v>302863104</v>
      </c>
      <c r="S588" s="11" t="s">
        <v>238</v>
      </c>
      <c r="T588" s="11" t="s">
        <v>658</v>
      </c>
      <c r="U588" s="5" t="s">
        <v>260</v>
      </c>
      <c r="V588" s="11" t="s">
        <v>333</v>
      </c>
      <c r="W588" s="5" t="s">
        <v>207</v>
      </c>
      <c r="X588" s="5" t="s">
        <v>255</v>
      </c>
      <c r="Y588" s="11" t="s">
        <v>1643</v>
      </c>
      <c r="Z588" s="11" t="s">
        <v>244</v>
      </c>
      <c r="AA588" s="11" t="s">
        <v>153</v>
      </c>
      <c r="AB588" s="5" t="s">
        <v>245</v>
      </c>
      <c r="AC588" s="5" t="s">
        <v>464</v>
      </c>
      <c r="AD588" s="11" t="s">
        <v>1644</v>
      </c>
      <c r="AE588" s="23" t="n">
        <v>0.9</v>
      </c>
      <c r="AF588" s="23" t="n">
        <v>0</v>
      </c>
      <c r="AG588" s="23" t="n">
        <v>0.67</v>
      </c>
      <c r="AH588" s="23" t="n">
        <v>1</v>
      </c>
      <c r="AI588" s="23" t="n">
        <v>0.6</v>
      </c>
      <c r="AJ588" s="23" t="n">
        <v>0.5976</v>
      </c>
      <c r="AK588" s="23" t="n">
        <v>0.5</v>
      </c>
      <c r="AL588" s="23" t="n">
        <v>0.3</v>
      </c>
      <c r="AM588" s="16" t="n">
        <f aca="false">COUNTIFS($D$2:$D$2501,D588,$G$2:$G$2501,"&gt;"&amp;G588)+COUNTIFS($D$2:D588,D588,$G$2:G588,G588)</f>
        <v>126</v>
      </c>
      <c r="AN588" s="5" t="str">
        <f aca="false">D588&amp;"|"&amp;AM588</f>
        <v>檢索與情資關聯|126</v>
      </c>
    </row>
    <row r="589" customFormat="false" ht="17.15" hidden="false" customHeight="false" outlineLevel="0" collapsed="false">
      <c r="A589" s="16" t="n">
        <f aca="false">RANK(G589,$G$2:$G$2501)+COUNTIF($G$2:G589,G589)-1</f>
        <v>588</v>
      </c>
      <c r="B589" s="11" t="s">
        <v>1645</v>
      </c>
      <c r="C589" s="11" t="s">
        <v>402</v>
      </c>
      <c r="D589" s="5" t="s">
        <v>58</v>
      </c>
      <c r="E589" s="5" t="s">
        <v>59</v>
      </c>
      <c r="F589" s="5"/>
      <c r="G589" s="22" t="n">
        <f aca="false">ROUND(SUM(I589:P589),3)</f>
        <v>68.022</v>
      </c>
      <c r="H589" s="5" t="str">
        <f aca="false">IF(G589&gt;=評分方法!$C$16,"優先評估",IF(G589&gt;=評分方法!$C$17,"列入候選",IF(G589&gt;=評分方法!$C$18,"特定情境","不建議")))</f>
        <v>特定情境</v>
      </c>
      <c r="I589" s="15" t="n">
        <f aca="false">AE589*評分方法!$C$5</f>
        <v>28.5</v>
      </c>
      <c r="J589" s="15" t="n">
        <f aca="false">AF589*評分方法!$C$6</f>
        <v>0</v>
      </c>
      <c r="K589" s="15" t="n">
        <f aca="false">AG589*評分方法!$C$7</f>
        <v>4.95</v>
      </c>
      <c r="L589" s="15" t="n">
        <f aca="false">AH589*評分方法!$C$8</f>
        <v>15</v>
      </c>
      <c r="M589" s="15" t="n">
        <f aca="false">AI589*評分方法!$C$9</f>
        <v>10</v>
      </c>
      <c r="N589" s="15" t="n">
        <f aca="false">AJ589*評分方法!$C$10</f>
        <v>7.072</v>
      </c>
      <c r="O589" s="15" t="n">
        <f aca="false">AK589*評分方法!$C$11</f>
        <v>2.5</v>
      </c>
      <c r="P589" s="15" t="n">
        <f aca="false">AL589*評分方法!$C$12</f>
        <v>0</v>
      </c>
      <c r="Q589" s="6" t="n">
        <v>947942</v>
      </c>
      <c r="R589" s="6" t="n">
        <v>558843907</v>
      </c>
      <c r="S589" s="11" t="s">
        <v>238</v>
      </c>
      <c r="T589" s="11" t="s">
        <v>239</v>
      </c>
      <c r="U589" s="5" t="s">
        <v>240</v>
      </c>
      <c r="V589" s="11" t="s">
        <v>261</v>
      </c>
      <c r="W589" s="5" t="s">
        <v>334</v>
      </c>
      <c r="X589" s="5" t="s">
        <v>242</v>
      </c>
      <c r="Y589" s="5"/>
      <c r="Z589" s="5"/>
      <c r="AA589" s="11" t="s">
        <v>150</v>
      </c>
      <c r="AB589" s="5" t="s">
        <v>245</v>
      </c>
      <c r="AC589" s="5"/>
      <c r="AD589" s="11" t="s">
        <v>1646</v>
      </c>
      <c r="AE589" s="23" t="n">
        <v>0.95</v>
      </c>
      <c r="AF589" s="23" t="n">
        <v>0</v>
      </c>
      <c r="AG589" s="23" t="n">
        <v>0.33</v>
      </c>
      <c r="AH589" s="23" t="n">
        <v>1</v>
      </c>
      <c r="AI589" s="23" t="n">
        <v>1</v>
      </c>
      <c r="AJ589" s="23" t="n">
        <v>0.7072</v>
      </c>
      <c r="AK589" s="23" t="n">
        <v>0.5</v>
      </c>
      <c r="AL589" s="23" t="n">
        <v>0</v>
      </c>
      <c r="AM589" s="16" t="n">
        <f aca="false">COUNTIFS($D$2:$D$2501,D589,$G$2:$G$2501,"&gt;"&amp;G589)+COUNTIFS($D$2:D589,D589,$G$2:G589,G589)</f>
        <v>42</v>
      </c>
      <c r="AN589" s="5" t="str">
        <f aca="false">D589&amp;"|"&amp;AM589</f>
        <v>實體擷取與去識別化|42</v>
      </c>
    </row>
    <row r="590" customFormat="false" ht="17.15" hidden="false" customHeight="false" outlineLevel="0" collapsed="false">
      <c r="A590" s="16" t="n">
        <f aca="false">RANK(G590,$G$2:$G$2501)+COUNTIF($G$2:G590,G590)-1</f>
        <v>589</v>
      </c>
      <c r="B590" s="11" t="s">
        <v>1647</v>
      </c>
      <c r="C590" s="11" t="s">
        <v>1111</v>
      </c>
      <c r="D590" s="5" t="s">
        <v>56</v>
      </c>
      <c r="E590" s="5" t="s">
        <v>57</v>
      </c>
      <c r="F590" s="5"/>
      <c r="G590" s="22" t="n">
        <f aca="false">ROUND(SUM(I590:P590),3)</f>
        <v>68.014</v>
      </c>
      <c r="H590" s="5" t="str">
        <f aca="false">IF(G590&gt;=評分方法!$C$16,"優先評估",IF(G590&gt;=評分方法!$C$17,"列入候選",IF(G590&gt;=評分方法!$C$18,"特定情境","不建議")))</f>
        <v>特定情境</v>
      </c>
      <c r="I590" s="15" t="n">
        <f aca="false">AE590*評分方法!$C$5</f>
        <v>24</v>
      </c>
      <c r="J590" s="15" t="n">
        <f aca="false">AF590*評分方法!$C$6</f>
        <v>0</v>
      </c>
      <c r="K590" s="15" t="n">
        <f aca="false">AG590*評分方法!$C$7</f>
        <v>10.05</v>
      </c>
      <c r="L590" s="15" t="n">
        <f aca="false">AH590*評分方法!$C$8</f>
        <v>9</v>
      </c>
      <c r="M590" s="15" t="n">
        <f aca="false">AI590*評分方法!$C$9</f>
        <v>10</v>
      </c>
      <c r="N590" s="15" t="n">
        <f aca="false">AJ590*評分方法!$C$10</f>
        <v>6.964</v>
      </c>
      <c r="O590" s="15" t="n">
        <f aca="false">AK590*評分方法!$C$11</f>
        <v>5</v>
      </c>
      <c r="P590" s="15" t="n">
        <f aca="false">AL590*評分方法!$C$12</f>
        <v>3</v>
      </c>
      <c r="Q590" s="6" t="n">
        <v>900000</v>
      </c>
      <c r="R590" s="6" t="n">
        <v>12966363184</v>
      </c>
      <c r="S590" s="11" t="s">
        <v>389</v>
      </c>
      <c r="T590" s="11" t="s">
        <v>239</v>
      </c>
      <c r="U590" s="5" t="s">
        <v>240</v>
      </c>
      <c r="V590" s="11" t="s">
        <v>261</v>
      </c>
      <c r="W590" s="5" t="s">
        <v>207</v>
      </c>
      <c r="X590" s="5" t="s">
        <v>371</v>
      </c>
      <c r="Y590" s="11" t="s">
        <v>755</v>
      </c>
      <c r="Z590" s="11" t="s">
        <v>244</v>
      </c>
      <c r="AA590" s="11" t="s">
        <v>157</v>
      </c>
      <c r="AB590" s="5" t="s">
        <v>245</v>
      </c>
      <c r="AC590" s="5" t="s">
        <v>246</v>
      </c>
      <c r="AD590" s="11" t="s">
        <v>1648</v>
      </c>
      <c r="AE590" s="23" t="n">
        <v>0.8</v>
      </c>
      <c r="AF590" s="23" t="n">
        <v>0</v>
      </c>
      <c r="AG590" s="23" t="n">
        <v>0.67</v>
      </c>
      <c r="AH590" s="23" t="n">
        <v>0.6</v>
      </c>
      <c r="AI590" s="23" t="n">
        <v>1</v>
      </c>
      <c r="AJ590" s="23" t="n">
        <v>0.6964</v>
      </c>
      <c r="AK590" s="23" t="n">
        <v>1</v>
      </c>
      <c r="AL590" s="23" t="n">
        <v>0.6</v>
      </c>
      <c r="AM590" s="16" t="n">
        <f aca="false">COUNTIFS($D$2:$D$2501,D590,$G$2:$G$2501,"&gt;"&amp;G590)+COUNTIFS($D$2:D590,D590,$G$2:G590,G590)</f>
        <v>322</v>
      </c>
      <c r="AN590" s="5" t="str">
        <f aca="false">D590&amp;"|"&amp;AM590</f>
        <v>分析與報告生成|322</v>
      </c>
    </row>
    <row r="591" customFormat="false" ht="17.15" hidden="false" customHeight="false" outlineLevel="0" collapsed="false">
      <c r="A591" s="16" t="n">
        <f aca="false">RANK(G591,$G$2:$G$2501)+COUNTIF($G$2:G591,G591)-1</f>
        <v>590</v>
      </c>
      <c r="B591" s="11" t="s">
        <v>1649</v>
      </c>
      <c r="C591" s="11" t="s">
        <v>1447</v>
      </c>
      <c r="D591" s="5" t="s">
        <v>56</v>
      </c>
      <c r="E591" s="5" t="s">
        <v>57</v>
      </c>
      <c r="F591" s="5"/>
      <c r="G591" s="22" t="n">
        <f aca="false">ROUND(SUM(I591:P591),3)</f>
        <v>67.986</v>
      </c>
      <c r="H591" s="5" t="str">
        <f aca="false">IF(G591&gt;=評分方法!$C$16,"優先評估",IF(G591&gt;=評分方法!$C$17,"列入候選",IF(G591&gt;=評分方法!$C$18,"特定情境","不建議")))</f>
        <v>特定情境</v>
      </c>
      <c r="I591" s="15" t="n">
        <f aca="false">AE591*評分方法!$C$5</f>
        <v>25.5</v>
      </c>
      <c r="J591" s="15" t="n">
        <f aca="false">AF591*評分方法!$C$6</f>
        <v>0</v>
      </c>
      <c r="K591" s="15" t="n">
        <f aca="false">AG591*評分方法!$C$7</f>
        <v>15</v>
      </c>
      <c r="L591" s="15" t="n">
        <f aca="false">AH591*評分方法!$C$8</f>
        <v>13.05</v>
      </c>
      <c r="M591" s="15" t="n">
        <f aca="false">AI591*評分方法!$C$9</f>
        <v>6</v>
      </c>
      <c r="N591" s="15" t="n">
        <f aca="false">AJ591*評分方法!$C$10</f>
        <v>5.936</v>
      </c>
      <c r="O591" s="15" t="n">
        <f aca="false">AK591*評分方法!$C$11</f>
        <v>2.5</v>
      </c>
      <c r="P591" s="15" t="n">
        <f aca="false">AL591*評分方法!$C$12</f>
        <v>0</v>
      </c>
      <c r="Q591" s="6" t="n">
        <v>611737</v>
      </c>
      <c r="R591" s="6" t="n">
        <v>7272665088</v>
      </c>
      <c r="S591" s="11" t="s">
        <v>254</v>
      </c>
      <c r="T591" s="11" t="s">
        <v>185</v>
      </c>
      <c r="U591" s="5" t="s">
        <v>260</v>
      </c>
      <c r="V591" s="11" t="s">
        <v>261</v>
      </c>
      <c r="W591" s="5" t="s">
        <v>205</v>
      </c>
      <c r="X591" s="5" t="s">
        <v>242</v>
      </c>
      <c r="Y591" s="5"/>
      <c r="Z591" s="5"/>
      <c r="AA591" s="11" t="s">
        <v>155</v>
      </c>
      <c r="AB591" s="5" t="s">
        <v>245</v>
      </c>
      <c r="AC591" s="5" t="s">
        <v>262</v>
      </c>
      <c r="AD591" s="11" t="s">
        <v>1650</v>
      </c>
      <c r="AE591" s="23" t="n">
        <v>0.85</v>
      </c>
      <c r="AF591" s="23" t="n">
        <v>0</v>
      </c>
      <c r="AG591" s="23" t="n">
        <v>1</v>
      </c>
      <c r="AH591" s="23" t="n">
        <v>0.87</v>
      </c>
      <c r="AI591" s="23" t="n">
        <v>0.6</v>
      </c>
      <c r="AJ591" s="23" t="n">
        <v>0.5936</v>
      </c>
      <c r="AK591" s="23" t="n">
        <v>0.5</v>
      </c>
      <c r="AL591" s="23" t="n">
        <v>0</v>
      </c>
      <c r="AM591" s="16" t="n">
        <f aca="false">COUNTIFS($D$2:$D$2501,D591,$G$2:$G$2501,"&gt;"&amp;G591)+COUNTIFS($D$2:D591,D591,$G$2:G591,G591)</f>
        <v>323</v>
      </c>
      <c r="AN591" s="5" t="str">
        <f aca="false">D591&amp;"|"&amp;AM591</f>
        <v>分析與報告生成|323</v>
      </c>
    </row>
    <row r="592" customFormat="false" ht="17.15" hidden="false" customHeight="false" outlineLevel="0" collapsed="false">
      <c r="A592" s="16" t="n">
        <f aca="false">RANK(G592,$G$2:$G$2501)+COUNTIF($G$2:G592,G592)-1</f>
        <v>591</v>
      </c>
      <c r="B592" s="11" t="s">
        <v>1651</v>
      </c>
      <c r="C592" s="11" t="s">
        <v>690</v>
      </c>
      <c r="D592" s="5" t="s">
        <v>58</v>
      </c>
      <c r="E592" s="5" t="s">
        <v>59</v>
      </c>
      <c r="F592" s="5"/>
      <c r="G592" s="22" t="n">
        <f aca="false">ROUND(SUM(I592:P592),3)</f>
        <v>67.982</v>
      </c>
      <c r="H592" s="5" t="str">
        <f aca="false">IF(G592&gt;=評分方法!$C$16,"優先評估",IF(G592&gt;=評分方法!$C$17,"列入候選",IF(G592&gt;=評分方法!$C$18,"特定情境","不建議")))</f>
        <v>特定情境</v>
      </c>
      <c r="I592" s="15" t="n">
        <f aca="false">AE592*評分方法!$C$5</f>
        <v>28.5</v>
      </c>
      <c r="J592" s="15" t="n">
        <f aca="false">AF592*評分方法!$C$6</f>
        <v>0</v>
      </c>
      <c r="K592" s="15" t="n">
        <f aca="false">AG592*評分方法!$C$7</f>
        <v>10.05</v>
      </c>
      <c r="L592" s="15" t="n">
        <f aca="false">AH592*評分方法!$C$8</f>
        <v>15</v>
      </c>
      <c r="M592" s="15" t="n">
        <f aca="false">AI592*評分方法!$C$9</f>
        <v>10</v>
      </c>
      <c r="N592" s="15" t="n">
        <f aca="false">AJ592*評分方法!$C$10</f>
        <v>1.932</v>
      </c>
      <c r="O592" s="15" t="n">
        <f aca="false">AK592*評分方法!$C$11</f>
        <v>1</v>
      </c>
      <c r="P592" s="15" t="n">
        <f aca="false">AL592*評分方法!$C$12</f>
        <v>1.5</v>
      </c>
      <c r="Q592" s="6" t="n">
        <v>206433</v>
      </c>
      <c r="R592" s="6" t="n">
        <v>459495168</v>
      </c>
      <c r="S592" s="11" t="s">
        <v>238</v>
      </c>
      <c r="T592" s="11" t="s">
        <v>239</v>
      </c>
      <c r="U592" s="5" t="s">
        <v>240</v>
      </c>
      <c r="V592" s="11" t="s">
        <v>324</v>
      </c>
      <c r="W592" s="5" t="s">
        <v>207</v>
      </c>
      <c r="X592" s="5" t="s">
        <v>255</v>
      </c>
      <c r="Y592" s="5"/>
      <c r="Z592" s="5"/>
      <c r="AA592" s="11" t="s">
        <v>150</v>
      </c>
      <c r="AB592" s="5" t="s">
        <v>245</v>
      </c>
      <c r="AC592" s="5"/>
      <c r="AD592" s="11" t="s">
        <v>1652</v>
      </c>
      <c r="AE592" s="23" t="n">
        <v>0.95</v>
      </c>
      <c r="AF592" s="23" t="n">
        <v>0</v>
      </c>
      <c r="AG592" s="23" t="n">
        <v>0.67</v>
      </c>
      <c r="AH592" s="23" t="n">
        <v>1</v>
      </c>
      <c r="AI592" s="23" t="n">
        <v>1</v>
      </c>
      <c r="AJ592" s="23" t="n">
        <v>0.1932</v>
      </c>
      <c r="AK592" s="23" t="n">
        <v>0.2</v>
      </c>
      <c r="AL592" s="23" t="n">
        <v>0.3</v>
      </c>
      <c r="AM592" s="16" t="n">
        <f aca="false">COUNTIFS($D$2:$D$2501,D592,$G$2:$G$2501,"&gt;"&amp;G592)+COUNTIFS($D$2:D592,D592,$G$2:G592,G592)</f>
        <v>43</v>
      </c>
      <c r="AN592" s="5" t="str">
        <f aca="false">D592&amp;"|"&amp;AM592</f>
        <v>實體擷取與去識別化|43</v>
      </c>
    </row>
    <row r="593" customFormat="false" ht="17.15" hidden="false" customHeight="false" outlineLevel="0" collapsed="false">
      <c r="A593" s="16" t="n">
        <f aca="false">RANK(G593,$G$2:$G$2501)+COUNTIF($G$2:G593,G593)-1</f>
        <v>592</v>
      </c>
      <c r="B593" s="11" t="s">
        <v>1653</v>
      </c>
      <c r="C593" s="11" t="s">
        <v>1654</v>
      </c>
      <c r="D593" s="5" t="s">
        <v>76</v>
      </c>
      <c r="E593" s="5" t="s">
        <v>77</v>
      </c>
      <c r="F593" s="5"/>
      <c r="G593" s="22" t="n">
        <f aca="false">ROUND(SUM(I593:P593),3)</f>
        <v>67.972</v>
      </c>
      <c r="H593" s="5" t="str">
        <f aca="false">IF(G593&gt;=評分方法!$C$16,"優先評估",IF(G593&gt;=評分方法!$C$17,"列入候選",IF(G593&gt;=評分方法!$C$18,"特定情境","不建議")))</f>
        <v>特定情境</v>
      </c>
      <c r="I593" s="15" t="n">
        <f aca="false">AE593*評分方法!$C$5</f>
        <v>12</v>
      </c>
      <c r="J593" s="15" t="n">
        <f aca="false">AF593*評分方法!$C$6</f>
        <v>0</v>
      </c>
      <c r="K593" s="15" t="n">
        <f aca="false">AG593*評分方法!$C$7</f>
        <v>15</v>
      </c>
      <c r="L593" s="15" t="n">
        <f aca="false">AH593*評分方法!$C$8</f>
        <v>15</v>
      </c>
      <c r="M593" s="15" t="n">
        <f aca="false">AI593*評分方法!$C$9</f>
        <v>10</v>
      </c>
      <c r="N593" s="15" t="n">
        <f aca="false">AJ593*評分方法!$C$10</f>
        <v>9.972</v>
      </c>
      <c r="O593" s="15" t="n">
        <f aca="false">AK593*評分方法!$C$11</f>
        <v>1</v>
      </c>
      <c r="P593" s="15" t="n">
        <f aca="false">AL593*評分方法!$C$12</f>
        <v>5</v>
      </c>
      <c r="Q593" s="6" t="n">
        <v>119573802</v>
      </c>
      <c r="R593" s="6" t="n">
        <v>60506880</v>
      </c>
      <c r="S593" s="11" t="s">
        <v>238</v>
      </c>
      <c r="T593" s="11" t="s">
        <v>239</v>
      </c>
      <c r="U593" s="5" t="s">
        <v>240</v>
      </c>
      <c r="V593" s="11" t="s">
        <v>320</v>
      </c>
      <c r="W593" s="5" t="s">
        <v>205</v>
      </c>
      <c r="X593" s="5" t="s">
        <v>284</v>
      </c>
      <c r="Y593" s="5"/>
      <c r="Z593" s="5"/>
      <c r="AA593" s="11" t="s">
        <v>168</v>
      </c>
      <c r="AB593" s="5" t="s">
        <v>245</v>
      </c>
      <c r="AC593" s="5"/>
      <c r="AD593" s="11" t="s">
        <v>1655</v>
      </c>
      <c r="AE593" s="23" t="n">
        <v>0.4</v>
      </c>
      <c r="AF593" s="23" t="n">
        <v>0</v>
      </c>
      <c r="AG593" s="23" t="n">
        <v>1</v>
      </c>
      <c r="AH593" s="23" t="n">
        <v>1</v>
      </c>
      <c r="AI593" s="23" t="n">
        <v>1</v>
      </c>
      <c r="AJ593" s="23" t="n">
        <v>0.9972</v>
      </c>
      <c r="AK593" s="23" t="n">
        <v>0.2</v>
      </c>
      <c r="AL593" s="23" t="n">
        <v>1</v>
      </c>
      <c r="AM593" s="16" t="n">
        <f aca="false">COUNTIFS($D$2:$D$2501,D593,$G$2:$G$2501,"&gt;"&amp;G593)+COUNTIFS($D$2:D593,D593,$G$2:G593,G593)</f>
        <v>1</v>
      </c>
      <c r="AN593" s="5" t="str">
        <f aca="false">D593&amp;"|"&amp;AM593</f>
        <v>情資翻譯|1</v>
      </c>
    </row>
    <row r="594" customFormat="false" ht="17.15" hidden="false" customHeight="false" outlineLevel="0" collapsed="false">
      <c r="A594" s="16" t="n">
        <f aca="false">RANK(G594,$G$2:$G$2501)+COUNTIF($G$2:G594,G594)-1</f>
        <v>593</v>
      </c>
      <c r="B594" s="11" t="s">
        <v>1656</v>
      </c>
      <c r="C594" s="11" t="s">
        <v>1657</v>
      </c>
      <c r="D594" s="5" t="s">
        <v>54</v>
      </c>
      <c r="E594" s="5" t="s">
        <v>55</v>
      </c>
      <c r="F594" s="5"/>
      <c r="G594" s="22" t="n">
        <f aca="false">ROUND(SUM(I594:P594),3)</f>
        <v>67.964</v>
      </c>
      <c r="H594" s="5" t="str">
        <f aca="false">IF(G594&gt;=評分方法!$C$16,"優先評估",IF(G594&gt;=評分方法!$C$17,"列入候選",IF(G594&gt;=評分方法!$C$18,"特定情境","不建議")))</f>
        <v>特定情境</v>
      </c>
      <c r="I594" s="15" t="n">
        <f aca="false">AE594*評分方法!$C$5</f>
        <v>27</v>
      </c>
      <c r="J594" s="15" t="n">
        <f aca="false">AF594*評分方法!$C$6</f>
        <v>0</v>
      </c>
      <c r="K594" s="15" t="n">
        <f aca="false">AG594*評分方法!$C$7</f>
        <v>4.95</v>
      </c>
      <c r="L594" s="15" t="n">
        <f aca="false">AH594*評分方法!$C$8</f>
        <v>13.05</v>
      </c>
      <c r="M594" s="15" t="n">
        <f aca="false">AI594*評分方法!$C$9</f>
        <v>10</v>
      </c>
      <c r="N594" s="15" t="n">
        <f aca="false">AJ594*評分方法!$C$10</f>
        <v>2.964</v>
      </c>
      <c r="O594" s="15" t="n">
        <f aca="false">AK594*評分方法!$C$11</f>
        <v>5</v>
      </c>
      <c r="P594" s="15" t="n">
        <f aca="false">AL594*評分方法!$C$12</f>
        <v>5</v>
      </c>
      <c r="Q594" s="6" t="n">
        <v>291449</v>
      </c>
      <c r="R594" s="6" t="n">
        <v>1140918272</v>
      </c>
      <c r="S594" s="11" t="s">
        <v>254</v>
      </c>
      <c r="T594" s="11" t="s">
        <v>1404</v>
      </c>
      <c r="U594" s="5" t="s">
        <v>240</v>
      </c>
      <c r="V594" s="11" t="s">
        <v>333</v>
      </c>
      <c r="W594" s="5" t="s">
        <v>334</v>
      </c>
      <c r="X594" s="5" t="s">
        <v>284</v>
      </c>
      <c r="Y594" s="11" t="s">
        <v>471</v>
      </c>
      <c r="Z594" s="11" t="s">
        <v>244</v>
      </c>
      <c r="AA594" s="11" t="s">
        <v>152</v>
      </c>
      <c r="AB594" s="5" t="s">
        <v>245</v>
      </c>
      <c r="AC594" s="5" t="s">
        <v>246</v>
      </c>
      <c r="AD594" s="11" t="s">
        <v>1658</v>
      </c>
      <c r="AE594" s="23" t="n">
        <v>0.9</v>
      </c>
      <c r="AF594" s="23" t="n">
        <v>0</v>
      </c>
      <c r="AG594" s="23" t="n">
        <v>0.33</v>
      </c>
      <c r="AH594" s="23" t="n">
        <v>0.87</v>
      </c>
      <c r="AI594" s="23" t="n">
        <v>1</v>
      </c>
      <c r="AJ594" s="23" t="n">
        <v>0.2964</v>
      </c>
      <c r="AK594" s="23" t="n">
        <v>1</v>
      </c>
      <c r="AL594" s="23" t="n">
        <v>1</v>
      </c>
      <c r="AM594" s="16" t="n">
        <f aca="false">COUNTIFS($D$2:$D$2501,D594,$G$2:$G$2501,"&gt;"&amp;G594)+COUNTIFS($D$2:D594,D594,$G$2:G594,G594)</f>
        <v>127</v>
      </c>
      <c r="AN594" s="5" t="str">
        <f aca="false">D594&amp;"|"&amp;AM594</f>
        <v>檢索與情資關聯|127</v>
      </c>
    </row>
    <row r="595" customFormat="false" ht="17.15" hidden="false" customHeight="false" outlineLevel="0" collapsed="false">
      <c r="A595" s="16" t="n">
        <f aca="false">RANK(G595,$G$2:$G$2501)+COUNTIF($G$2:G595,G595)-1</f>
        <v>594</v>
      </c>
      <c r="B595" s="11" t="s">
        <v>1659</v>
      </c>
      <c r="C595" s="11" t="s">
        <v>402</v>
      </c>
      <c r="D595" s="5" t="s">
        <v>58</v>
      </c>
      <c r="E595" s="5" t="s">
        <v>59</v>
      </c>
      <c r="F595" s="5"/>
      <c r="G595" s="22" t="n">
        <f aca="false">ROUND(SUM(I595:P595),3)</f>
        <v>67.946</v>
      </c>
      <c r="H595" s="5" t="str">
        <f aca="false">IF(G595&gt;=評分方法!$C$16,"優先評估",IF(G595&gt;=評分方法!$C$17,"列入候選",IF(G595&gt;=評分方法!$C$18,"特定情境","不建議")))</f>
        <v>特定情境</v>
      </c>
      <c r="I595" s="15" t="n">
        <f aca="false">AE595*評分方法!$C$5</f>
        <v>28.5</v>
      </c>
      <c r="J595" s="15" t="n">
        <f aca="false">AF595*評分方法!$C$6</f>
        <v>0</v>
      </c>
      <c r="K595" s="15" t="n">
        <f aca="false">AG595*評分方法!$C$7</f>
        <v>4.95</v>
      </c>
      <c r="L595" s="15" t="n">
        <f aca="false">AH595*評分方法!$C$8</f>
        <v>15</v>
      </c>
      <c r="M595" s="15" t="n">
        <f aca="false">AI595*評分方法!$C$9</f>
        <v>10</v>
      </c>
      <c r="N595" s="15" t="n">
        <f aca="false">AJ595*評分方法!$C$10</f>
        <v>6.996</v>
      </c>
      <c r="O595" s="15" t="n">
        <f aca="false">AK595*評分方法!$C$11</f>
        <v>2.5</v>
      </c>
      <c r="P595" s="15" t="n">
        <f aca="false">AL595*評分方法!$C$12</f>
        <v>0</v>
      </c>
      <c r="Q595" s="6" t="n">
        <v>917219</v>
      </c>
      <c r="R595" s="6" t="n">
        <v>395834371</v>
      </c>
      <c r="S595" s="11" t="s">
        <v>238</v>
      </c>
      <c r="T595" s="11" t="s">
        <v>239</v>
      </c>
      <c r="U595" s="5" t="s">
        <v>240</v>
      </c>
      <c r="V595" s="11" t="s">
        <v>261</v>
      </c>
      <c r="W595" s="5" t="s">
        <v>334</v>
      </c>
      <c r="X595" s="5" t="s">
        <v>242</v>
      </c>
      <c r="Y595" s="5"/>
      <c r="Z595" s="5"/>
      <c r="AA595" s="11" t="s">
        <v>150</v>
      </c>
      <c r="AB595" s="5" t="s">
        <v>245</v>
      </c>
      <c r="AC595" s="5"/>
      <c r="AD595" s="11" t="s">
        <v>1660</v>
      </c>
      <c r="AE595" s="23" t="n">
        <v>0.95</v>
      </c>
      <c r="AF595" s="23" t="n">
        <v>0</v>
      </c>
      <c r="AG595" s="23" t="n">
        <v>0.33</v>
      </c>
      <c r="AH595" s="23" t="n">
        <v>1</v>
      </c>
      <c r="AI595" s="23" t="n">
        <v>1</v>
      </c>
      <c r="AJ595" s="23" t="n">
        <v>0.6996</v>
      </c>
      <c r="AK595" s="23" t="n">
        <v>0.5</v>
      </c>
      <c r="AL595" s="23" t="n">
        <v>0</v>
      </c>
      <c r="AM595" s="16" t="n">
        <f aca="false">COUNTIFS($D$2:$D$2501,D595,$G$2:$G$2501,"&gt;"&amp;G595)+COUNTIFS($D$2:D595,D595,$G$2:G595,G595)</f>
        <v>44</v>
      </c>
      <c r="AN595" s="5" t="str">
        <f aca="false">D595&amp;"|"&amp;AM595</f>
        <v>實體擷取與去識別化|44</v>
      </c>
    </row>
    <row r="596" customFormat="false" ht="17.15" hidden="false" customHeight="false" outlineLevel="0" collapsed="false">
      <c r="A596" s="16" t="n">
        <f aca="false">RANK(G596,$G$2:$G$2501)+COUNTIF($G$2:G596,G596)-1</f>
        <v>595</v>
      </c>
      <c r="B596" s="11" t="s">
        <v>1661</v>
      </c>
      <c r="C596" s="11" t="s">
        <v>402</v>
      </c>
      <c r="D596" s="5" t="s">
        <v>58</v>
      </c>
      <c r="E596" s="5" t="s">
        <v>59</v>
      </c>
      <c r="F596" s="5"/>
      <c r="G596" s="22" t="n">
        <f aca="false">ROUND(SUM(I596:P596),3)</f>
        <v>67.938</v>
      </c>
      <c r="H596" s="5" t="str">
        <f aca="false">IF(G596&gt;=評分方法!$C$16,"優先評估",IF(G596&gt;=評分方法!$C$17,"列入候選",IF(G596&gt;=評分方法!$C$18,"特定情境","不建議")))</f>
        <v>特定情境</v>
      </c>
      <c r="I596" s="15" t="n">
        <f aca="false">AE596*評分方法!$C$5</f>
        <v>28.5</v>
      </c>
      <c r="J596" s="15" t="n">
        <f aca="false">AF596*評分方法!$C$6</f>
        <v>0</v>
      </c>
      <c r="K596" s="15" t="n">
        <f aca="false">AG596*評分方法!$C$7</f>
        <v>4.95</v>
      </c>
      <c r="L596" s="15" t="n">
        <f aca="false">AH596*評分方法!$C$8</f>
        <v>15</v>
      </c>
      <c r="M596" s="15" t="n">
        <f aca="false">AI596*評分方法!$C$9</f>
        <v>10</v>
      </c>
      <c r="N596" s="15" t="n">
        <f aca="false">AJ596*評分方法!$C$10</f>
        <v>6.988</v>
      </c>
      <c r="O596" s="15" t="n">
        <f aca="false">AK596*評分方法!$C$11</f>
        <v>2.5</v>
      </c>
      <c r="P596" s="15" t="n">
        <f aca="false">AL596*評分方法!$C$12</f>
        <v>0</v>
      </c>
      <c r="Q596" s="6" t="n">
        <v>909508</v>
      </c>
      <c r="R596" s="6" t="n">
        <v>395834371</v>
      </c>
      <c r="S596" s="11" t="s">
        <v>238</v>
      </c>
      <c r="T596" s="11" t="s">
        <v>239</v>
      </c>
      <c r="U596" s="5" t="s">
        <v>240</v>
      </c>
      <c r="V596" s="11" t="s">
        <v>261</v>
      </c>
      <c r="W596" s="5" t="s">
        <v>334</v>
      </c>
      <c r="X596" s="5" t="s">
        <v>242</v>
      </c>
      <c r="Y596" s="5"/>
      <c r="Z596" s="5"/>
      <c r="AA596" s="11" t="s">
        <v>150</v>
      </c>
      <c r="AB596" s="5" t="s">
        <v>245</v>
      </c>
      <c r="AC596" s="5"/>
      <c r="AD596" s="11" t="s">
        <v>1662</v>
      </c>
      <c r="AE596" s="23" t="n">
        <v>0.95</v>
      </c>
      <c r="AF596" s="23" t="n">
        <v>0</v>
      </c>
      <c r="AG596" s="23" t="n">
        <v>0.33</v>
      </c>
      <c r="AH596" s="23" t="n">
        <v>1</v>
      </c>
      <c r="AI596" s="23" t="n">
        <v>1</v>
      </c>
      <c r="AJ596" s="23" t="n">
        <v>0.6988</v>
      </c>
      <c r="AK596" s="23" t="n">
        <v>0.5</v>
      </c>
      <c r="AL596" s="23" t="n">
        <v>0</v>
      </c>
      <c r="AM596" s="16" t="n">
        <f aca="false">COUNTIFS($D$2:$D$2501,D596,$G$2:$G$2501,"&gt;"&amp;G596)+COUNTIFS($D$2:D596,D596,$G$2:G596,G596)</f>
        <v>45</v>
      </c>
      <c r="AN596" s="5" t="str">
        <f aca="false">D596&amp;"|"&amp;AM596</f>
        <v>實體擷取與去識別化|45</v>
      </c>
    </row>
    <row r="597" customFormat="false" ht="17.15" hidden="false" customHeight="false" outlineLevel="0" collapsed="false">
      <c r="A597" s="16" t="n">
        <f aca="false">RANK(G597,$G$2:$G$2501)+COUNTIF($G$2:G597,G597)-1</f>
        <v>596</v>
      </c>
      <c r="B597" s="11" t="s">
        <v>1663</v>
      </c>
      <c r="C597" s="11" t="s">
        <v>1635</v>
      </c>
      <c r="D597" s="5" t="s">
        <v>56</v>
      </c>
      <c r="E597" s="5" t="s">
        <v>57</v>
      </c>
      <c r="F597" s="5"/>
      <c r="G597" s="22" t="n">
        <f aca="false">ROUND(SUM(I597:P597),3)</f>
        <v>67.932</v>
      </c>
      <c r="H597" s="5" t="str">
        <f aca="false">IF(G597&gt;=評分方法!$C$16,"優先評估",IF(G597&gt;=評分方法!$C$17,"列入候選",IF(G597&gt;=評分方法!$C$18,"特定情境","不建議")))</f>
        <v>特定情境</v>
      </c>
      <c r="I597" s="15" t="n">
        <f aca="false">AE597*評分方法!$C$5</f>
        <v>18</v>
      </c>
      <c r="J597" s="15" t="n">
        <f aca="false">AF597*評分方法!$C$6</f>
        <v>0</v>
      </c>
      <c r="K597" s="15" t="n">
        <f aca="false">AG597*評分方法!$C$7</f>
        <v>15</v>
      </c>
      <c r="L597" s="15" t="n">
        <f aca="false">AH597*評分方法!$C$8</f>
        <v>15</v>
      </c>
      <c r="M597" s="15" t="n">
        <f aca="false">AI597*評分方法!$C$9</f>
        <v>10</v>
      </c>
      <c r="N597" s="15" t="n">
        <f aca="false">AJ597*評分方法!$C$10</f>
        <v>8.932</v>
      </c>
      <c r="O597" s="15" t="n">
        <f aca="false">AK597*評分方法!$C$11</f>
        <v>1</v>
      </c>
      <c r="P597" s="15" t="n">
        <f aca="false">AL597*評分方法!$C$12</f>
        <v>0</v>
      </c>
      <c r="Q597" s="6" t="n">
        <v>3598752</v>
      </c>
      <c r="R597" s="6" t="n">
        <v>124057092</v>
      </c>
      <c r="S597" s="11" t="s">
        <v>238</v>
      </c>
      <c r="T597" s="11" t="s">
        <v>1636</v>
      </c>
      <c r="U597" s="5" t="s">
        <v>240</v>
      </c>
      <c r="V597" s="11" t="s">
        <v>279</v>
      </c>
      <c r="W597" s="5" t="s">
        <v>205</v>
      </c>
      <c r="X597" s="5" t="s">
        <v>242</v>
      </c>
      <c r="Y597" s="11" t="s">
        <v>637</v>
      </c>
      <c r="Z597" s="11" t="s">
        <v>270</v>
      </c>
      <c r="AA597" s="11" t="s">
        <v>159</v>
      </c>
      <c r="AB597" s="5" t="s">
        <v>245</v>
      </c>
      <c r="AC597" s="5"/>
      <c r="AD597" s="11" t="s">
        <v>1664</v>
      </c>
      <c r="AE597" s="23" t="n">
        <v>0.6</v>
      </c>
      <c r="AF597" s="23" t="n">
        <v>0</v>
      </c>
      <c r="AG597" s="23" t="n">
        <v>1</v>
      </c>
      <c r="AH597" s="23" t="n">
        <v>1</v>
      </c>
      <c r="AI597" s="23" t="n">
        <v>1</v>
      </c>
      <c r="AJ597" s="23" t="n">
        <v>0.8932</v>
      </c>
      <c r="AK597" s="23" t="n">
        <v>0.2</v>
      </c>
      <c r="AL597" s="23" t="n">
        <v>0</v>
      </c>
      <c r="AM597" s="16" t="n">
        <f aca="false">COUNTIFS($D$2:$D$2501,D597,$G$2:$G$2501,"&gt;"&amp;G597)+COUNTIFS($D$2:D597,D597,$G$2:G597,G597)</f>
        <v>324</v>
      </c>
      <c r="AN597" s="5" t="str">
        <f aca="false">D597&amp;"|"&amp;AM597</f>
        <v>分析與報告生成|324</v>
      </c>
    </row>
    <row r="598" customFormat="false" ht="17.15" hidden="false" customHeight="false" outlineLevel="0" collapsed="false">
      <c r="A598" s="16" t="n">
        <f aca="false">RANK(G598,$G$2:$G$2501)+COUNTIF($G$2:G598,G598)-1</f>
        <v>597</v>
      </c>
      <c r="B598" s="11" t="s">
        <v>1665</v>
      </c>
      <c r="C598" s="11" t="s">
        <v>1666</v>
      </c>
      <c r="D598" s="5" t="s">
        <v>58</v>
      </c>
      <c r="E598" s="5" t="s">
        <v>59</v>
      </c>
      <c r="F598" s="5"/>
      <c r="G598" s="22" t="n">
        <f aca="false">ROUND(SUM(I598:P598),3)</f>
        <v>67.926</v>
      </c>
      <c r="H598" s="5" t="str">
        <f aca="false">IF(G598&gt;=評分方法!$C$16,"優先評估",IF(G598&gt;=評分方法!$C$17,"列入候選",IF(G598&gt;=評分方法!$C$18,"特定情境","不建議")))</f>
        <v>特定情境</v>
      </c>
      <c r="I598" s="15" t="n">
        <f aca="false">AE598*評分方法!$C$5</f>
        <v>28.5</v>
      </c>
      <c r="J598" s="15" t="n">
        <f aca="false">AF598*評分方法!$C$6</f>
        <v>0</v>
      </c>
      <c r="K598" s="15" t="n">
        <f aca="false">AG598*評分方法!$C$7</f>
        <v>4.95</v>
      </c>
      <c r="L598" s="15" t="n">
        <f aca="false">AH598*評分方法!$C$8</f>
        <v>15</v>
      </c>
      <c r="M598" s="15" t="n">
        <f aca="false">AI598*評分方法!$C$9</f>
        <v>10</v>
      </c>
      <c r="N598" s="15" t="n">
        <f aca="false">AJ598*評分方法!$C$10</f>
        <v>3.976</v>
      </c>
      <c r="O598" s="15" t="n">
        <f aca="false">AK598*評分方法!$C$11</f>
        <v>4</v>
      </c>
      <c r="P598" s="15" t="n">
        <f aca="false">AL598*評分方法!$C$12</f>
        <v>1.5</v>
      </c>
      <c r="Q598" s="6" t="n">
        <v>413653</v>
      </c>
      <c r="R598" s="6" t="n">
        <v>89579610</v>
      </c>
      <c r="S598" s="11" t="s">
        <v>238</v>
      </c>
      <c r="T598" s="11" t="s">
        <v>239</v>
      </c>
      <c r="U598" s="5" t="s">
        <v>240</v>
      </c>
      <c r="V598" s="11" t="s">
        <v>261</v>
      </c>
      <c r="W598" s="5" t="s">
        <v>334</v>
      </c>
      <c r="X598" s="5" t="s">
        <v>255</v>
      </c>
      <c r="Y598" s="5"/>
      <c r="Z598" s="5"/>
      <c r="AA598" s="11" t="s">
        <v>150</v>
      </c>
      <c r="AB598" s="5" t="s">
        <v>245</v>
      </c>
      <c r="AC598" s="5"/>
      <c r="AD598" s="11" t="s">
        <v>1667</v>
      </c>
      <c r="AE598" s="23" t="n">
        <v>0.95</v>
      </c>
      <c r="AF598" s="23" t="n">
        <v>0</v>
      </c>
      <c r="AG598" s="23" t="n">
        <v>0.33</v>
      </c>
      <c r="AH598" s="23" t="n">
        <v>1</v>
      </c>
      <c r="AI598" s="23" t="n">
        <v>1</v>
      </c>
      <c r="AJ598" s="23" t="n">
        <v>0.3976</v>
      </c>
      <c r="AK598" s="23" t="n">
        <v>0.8</v>
      </c>
      <c r="AL598" s="23" t="n">
        <v>0.3</v>
      </c>
      <c r="AM598" s="16" t="n">
        <f aca="false">COUNTIFS($D$2:$D$2501,D598,$G$2:$G$2501,"&gt;"&amp;G598)+COUNTIFS($D$2:D598,D598,$G$2:G598,G598)</f>
        <v>46</v>
      </c>
      <c r="AN598" s="5" t="str">
        <f aca="false">D598&amp;"|"&amp;AM598</f>
        <v>實體擷取與去識別化|46</v>
      </c>
    </row>
    <row r="599" customFormat="false" ht="17.15" hidden="false" customHeight="false" outlineLevel="0" collapsed="false">
      <c r="A599" s="16" t="n">
        <f aca="false">RANK(G599,$G$2:$G$2501)+COUNTIF($G$2:G599,G599)-1</f>
        <v>598</v>
      </c>
      <c r="B599" s="11" t="s">
        <v>1668</v>
      </c>
      <c r="C599" s="11" t="s">
        <v>1669</v>
      </c>
      <c r="D599" s="5" t="s">
        <v>54</v>
      </c>
      <c r="E599" s="5" t="s">
        <v>55</v>
      </c>
      <c r="F599" s="5"/>
      <c r="G599" s="22" t="n">
        <f aca="false">ROUND(SUM(I599:P599),3)</f>
        <v>67.922</v>
      </c>
      <c r="H599" s="5" t="str">
        <f aca="false">IF(G599&gt;=評分方法!$C$16,"優先評估",IF(G599&gt;=評分方法!$C$17,"列入候選",IF(G599&gt;=評分方法!$C$18,"特定情境","不建議")))</f>
        <v>特定情境</v>
      </c>
      <c r="I599" s="15" t="n">
        <f aca="false">AE599*評分方法!$C$5</f>
        <v>27</v>
      </c>
      <c r="J599" s="15" t="n">
        <f aca="false">AF599*評分方法!$C$6</f>
        <v>0</v>
      </c>
      <c r="K599" s="15" t="n">
        <f aca="false">AG599*評分方法!$C$7</f>
        <v>4.95</v>
      </c>
      <c r="L599" s="15" t="n">
        <f aca="false">AH599*評分方法!$C$8</f>
        <v>15</v>
      </c>
      <c r="M599" s="15" t="n">
        <f aca="false">AI599*評分方法!$C$9</f>
        <v>10</v>
      </c>
      <c r="N599" s="15" t="n">
        <f aca="false">AJ599*評分方法!$C$10</f>
        <v>3.472</v>
      </c>
      <c r="O599" s="15" t="n">
        <f aca="false">AK599*評分方法!$C$11</f>
        <v>2.5</v>
      </c>
      <c r="P599" s="15" t="n">
        <f aca="false">AL599*評分方法!$C$12</f>
        <v>5</v>
      </c>
      <c r="Q599" s="6" t="n">
        <v>349487</v>
      </c>
      <c r="R599" s="6" t="n">
        <v>278043648</v>
      </c>
      <c r="S599" s="11" t="s">
        <v>238</v>
      </c>
      <c r="T599" s="11" t="s">
        <v>278</v>
      </c>
      <c r="U599" s="5" t="s">
        <v>240</v>
      </c>
      <c r="V599" s="11" t="s">
        <v>261</v>
      </c>
      <c r="W599" s="5" t="s">
        <v>334</v>
      </c>
      <c r="X599" s="5" t="s">
        <v>284</v>
      </c>
      <c r="Y599" s="11" t="s">
        <v>296</v>
      </c>
      <c r="Z599" s="11" t="s">
        <v>270</v>
      </c>
      <c r="AA599" s="11" t="s">
        <v>153</v>
      </c>
      <c r="AB599" s="5" t="s">
        <v>245</v>
      </c>
      <c r="AC599" s="5"/>
      <c r="AD599" s="11" t="s">
        <v>1670</v>
      </c>
      <c r="AE599" s="23" t="n">
        <v>0.9</v>
      </c>
      <c r="AF599" s="23" t="n">
        <v>0</v>
      </c>
      <c r="AG599" s="23" t="n">
        <v>0.33</v>
      </c>
      <c r="AH599" s="23" t="n">
        <v>1</v>
      </c>
      <c r="AI599" s="23" t="n">
        <v>1</v>
      </c>
      <c r="AJ599" s="23" t="n">
        <v>0.3472</v>
      </c>
      <c r="AK599" s="23" t="n">
        <v>0.5</v>
      </c>
      <c r="AL599" s="23" t="n">
        <v>1</v>
      </c>
      <c r="AM599" s="16" t="n">
        <f aca="false">COUNTIFS($D$2:$D$2501,D599,$G$2:$G$2501,"&gt;"&amp;G599)+COUNTIFS($D$2:D599,D599,$G$2:G599,G599)</f>
        <v>128</v>
      </c>
      <c r="AN599" s="5" t="str">
        <f aca="false">D599&amp;"|"&amp;AM599</f>
        <v>檢索與情資關聯|128</v>
      </c>
    </row>
    <row r="600" customFormat="false" ht="17.15" hidden="false" customHeight="false" outlineLevel="0" collapsed="false">
      <c r="A600" s="16" t="n">
        <f aca="false">RANK(G600,$G$2:$G$2501)+COUNTIF($G$2:G600,G600)-1</f>
        <v>599</v>
      </c>
      <c r="B600" s="11" t="s">
        <v>1671</v>
      </c>
      <c r="C600" s="11" t="s">
        <v>1374</v>
      </c>
      <c r="D600" s="5" t="s">
        <v>56</v>
      </c>
      <c r="E600" s="5" t="s">
        <v>57</v>
      </c>
      <c r="F600" s="5"/>
      <c r="G600" s="22" t="n">
        <f aca="false">ROUND(SUM(I600:P600),3)</f>
        <v>67.92</v>
      </c>
      <c r="H600" s="5" t="str">
        <f aca="false">IF(G600&gt;=評分方法!$C$16,"優先評估",IF(G600&gt;=評分方法!$C$17,"列入候選",IF(G600&gt;=評分方法!$C$18,"特定情境","不建議")))</f>
        <v>特定情境</v>
      </c>
      <c r="I600" s="15" t="n">
        <f aca="false">AE600*評分方法!$C$5</f>
        <v>25.5</v>
      </c>
      <c r="J600" s="15" t="n">
        <f aca="false">AF600*評分方法!$C$6</f>
        <v>0</v>
      </c>
      <c r="K600" s="15" t="n">
        <f aca="false">AG600*評分方法!$C$7</f>
        <v>10.05</v>
      </c>
      <c r="L600" s="15" t="n">
        <f aca="false">AH600*評分方法!$C$8</f>
        <v>13.05</v>
      </c>
      <c r="M600" s="15" t="n">
        <f aca="false">AI600*評分方法!$C$9</f>
        <v>10</v>
      </c>
      <c r="N600" s="15" t="n">
        <f aca="false">AJ600*評分方法!$C$10</f>
        <v>0.32</v>
      </c>
      <c r="O600" s="15" t="n">
        <f aca="false">AK600*評分方法!$C$11</f>
        <v>4</v>
      </c>
      <c r="P600" s="15" t="n">
        <f aca="false">AL600*評分方法!$C$12</f>
        <v>5</v>
      </c>
      <c r="Q600" s="6" t="n">
        <v>125208</v>
      </c>
      <c r="R600" s="6" t="n">
        <v>3849090048</v>
      </c>
      <c r="S600" s="11" t="s">
        <v>254</v>
      </c>
      <c r="T600" s="11" t="s">
        <v>239</v>
      </c>
      <c r="U600" s="5" t="s">
        <v>240</v>
      </c>
      <c r="V600" s="11" t="s">
        <v>261</v>
      </c>
      <c r="W600" s="5" t="s">
        <v>207</v>
      </c>
      <c r="X600" s="5" t="s">
        <v>284</v>
      </c>
      <c r="Y600" s="11" t="s">
        <v>339</v>
      </c>
      <c r="Z600" s="11" t="s">
        <v>244</v>
      </c>
      <c r="AA600" s="11" t="s">
        <v>155</v>
      </c>
      <c r="AB600" s="5" t="s">
        <v>328</v>
      </c>
      <c r="AC600" s="5" t="s">
        <v>340</v>
      </c>
      <c r="AD600" s="11" t="s">
        <v>1672</v>
      </c>
      <c r="AE600" s="23" t="n">
        <v>0.85</v>
      </c>
      <c r="AF600" s="23" t="n">
        <v>0</v>
      </c>
      <c r="AG600" s="23" t="n">
        <v>0.67</v>
      </c>
      <c r="AH600" s="23" t="n">
        <v>0.87</v>
      </c>
      <c r="AI600" s="23" t="n">
        <v>1</v>
      </c>
      <c r="AJ600" s="23" t="n">
        <v>0.032</v>
      </c>
      <c r="AK600" s="23" t="n">
        <v>0.8</v>
      </c>
      <c r="AL600" s="23" t="n">
        <v>1</v>
      </c>
      <c r="AM600" s="16" t="n">
        <f aca="false">COUNTIFS($D$2:$D$2501,D600,$G$2:$G$2501,"&gt;"&amp;G600)+COUNTIFS($D$2:D600,D600,$G$2:G600,G600)</f>
        <v>325</v>
      </c>
      <c r="AN600" s="5" t="str">
        <f aca="false">D600&amp;"|"&amp;AM600</f>
        <v>分析與報告生成|325</v>
      </c>
    </row>
    <row r="601" customFormat="false" ht="17.15" hidden="false" customHeight="false" outlineLevel="0" collapsed="false">
      <c r="A601" s="16" t="n">
        <f aca="false">RANK(G601,$G$2:$G$2501)+COUNTIF($G$2:G601,G601)-1</f>
        <v>600</v>
      </c>
      <c r="B601" s="11" t="s">
        <v>1673</v>
      </c>
      <c r="C601" s="11" t="s">
        <v>1674</v>
      </c>
      <c r="D601" s="5" t="s">
        <v>54</v>
      </c>
      <c r="E601" s="5" t="s">
        <v>55</v>
      </c>
      <c r="F601" s="5"/>
      <c r="G601" s="22" t="n">
        <f aca="false">ROUND(SUM(I601:P601),3)</f>
        <v>67.918</v>
      </c>
      <c r="H601" s="5" t="str">
        <f aca="false">IF(G601&gt;=評分方法!$C$16,"優先評估",IF(G601&gt;=評分方法!$C$17,"列入候選",IF(G601&gt;=評分方法!$C$18,"特定情境","不建議")))</f>
        <v>特定情境</v>
      </c>
      <c r="I601" s="15" t="n">
        <f aca="false">AE601*評分方法!$C$5</f>
        <v>27</v>
      </c>
      <c r="J601" s="15" t="n">
        <f aca="false">AF601*評分方法!$C$6</f>
        <v>0</v>
      </c>
      <c r="K601" s="15" t="n">
        <f aca="false">AG601*評分方法!$C$7</f>
        <v>4.95</v>
      </c>
      <c r="L601" s="15" t="n">
        <f aca="false">AH601*評分方法!$C$8</f>
        <v>15</v>
      </c>
      <c r="M601" s="15" t="n">
        <f aca="false">AI601*評分方法!$C$9</f>
        <v>10</v>
      </c>
      <c r="N601" s="15" t="n">
        <f aca="false">AJ601*評分方法!$C$10</f>
        <v>5.468</v>
      </c>
      <c r="O601" s="15" t="n">
        <f aca="false">AK601*評分方法!$C$11</f>
        <v>4</v>
      </c>
      <c r="P601" s="15" t="n">
        <f aca="false">AL601*評分方法!$C$12</f>
        <v>1.5</v>
      </c>
      <c r="Q601" s="6" t="n">
        <v>574856</v>
      </c>
      <c r="R601" s="6" t="n">
        <v>3454992</v>
      </c>
      <c r="S601" s="11" t="s">
        <v>238</v>
      </c>
      <c r="T601" s="11" t="s">
        <v>278</v>
      </c>
      <c r="U601" s="5" t="s">
        <v>240</v>
      </c>
      <c r="V601" s="11" t="s">
        <v>324</v>
      </c>
      <c r="W601" s="5" t="s">
        <v>334</v>
      </c>
      <c r="X601" s="5" t="s">
        <v>255</v>
      </c>
      <c r="Y601" s="5"/>
      <c r="Z601" s="5"/>
      <c r="AA601" s="11" t="s">
        <v>153</v>
      </c>
      <c r="AB601" s="5" t="s">
        <v>245</v>
      </c>
      <c r="AC601" s="5"/>
      <c r="AD601" s="11" t="s">
        <v>1675</v>
      </c>
      <c r="AE601" s="23" t="n">
        <v>0.9</v>
      </c>
      <c r="AF601" s="23" t="n">
        <v>0</v>
      </c>
      <c r="AG601" s="23" t="n">
        <v>0.33</v>
      </c>
      <c r="AH601" s="23" t="n">
        <v>1</v>
      </c>
      <c r="AI601" s="23" t="n">
        <v>1</v>
      </c>
      <c r="AJ601" s="23" t="n">
        <v>0.5468</v>
      </c>
      <c r="AK601" s="23" t="n">
        <v>0.8</v>
      </c>
      <c r="AL601" s="23" t="n">
        <v>0.3</v>
      </c>
      <c r="AM601" s="16" t="n">
        <f aca="false">COUNTIFS($D$2:$D$2501,D601,$G$2:$G$2501,"&gt;"&amp;G601)+COUNTIFS($D$2:D601,D601,$G$2:G601,G601)</f>
        <v>129</v>
      </c>
      <c r="AN601" s="5" t="str">
        <f aca="false">D601&amp;"|"&amp;AM601</f>
        <v>檢索與情資關聯|129</v>
      </c>
    </row>
    <row r="602" customFormat="false" ht="17.15" hidden="false" customHeight="false" outlineLevel="0" collapsed="false">
      <c r="A602" s="16" t="n">
        <f aca="false">RANK(G602,$G$2:$G$2501)+COUNTIF($G$2:G602,G602)-1</f>
        <v>601</v>
      </c>
      <c r="B602" s="11" t="s">
        <v>1676</v>
      </c>
      <c r="C602" s="11" t="s">
        <v>1677</v>
      </c>
      <c r="D602" s="5" t="s">
        <v>54</v>
      </c>
      <c r="E602" s="5" t="s">
        <v>55</v>
      </c>
      <c r="F602" s="5"/>
      <c r="G602" s="22" t="n">
        <f aca="false">ROUND(SUM(I602:P602),3)</f>
        <v>67.912</v>
      </c>
      <c r="H602" s="5" t="str">
        <f aca="false">IF(G602&gt;=評分方法!$C$16,"優先評估",IF(G602&gt;=評分方法!$C$17,"列入候選",IF(G602&gt;=評分方法!$C$18,"特定情境","不建議")))</f>
        <v>特定情境</v>
      </c>
      <c r="I602" s="15" t="n">
        <f aca="false">AE602*評分方法!$C$5</f>
        <v>27</v>
      </c>
      <c r="J602" s="15" t="n">
        <f aca="false">AF602*評分方法!$C$6</f>
        <v>0</v>
      </c>
      <c r="K602" s="15" t="n">
        <f aca="false">AG602*評分方法!$C$7</f>
        <v>10.05</v>
      </c>
      <c r="L602" s="15" t="n">
        <f aca="false">AH602*評分方法!$C$8</f>
        <v>7.05</v>
      </c>
      <c r="M602" s="15" t="n">
        <f aca="false">AI602*評分方法!$C$9</f>
        <v>10</v>
      </c>
      <c r="N602" s="15" t="n">
        <f aca="false">AJ602*評分方法!$C$10</f>
        <v>9.812</v>
      </c>
      <c r="O602" s="15" t="n">
        <f aca="false">AK602*評分方法!$C$11</f>
        <v>2.5</v>
      </c>
      <c r="P602" s="15" t="n">
        <f aca="false">AL602*評分方法!$C$12</f>
        <v>1.5</v>
      </c>
      <c r="Q602" s="6" t="n">
        <v>21145276</v>
      </c>
      <c r="R602" s="6"/>
      <c r="S602" s="5" t="s">
        <v>255</v>
      </c>
      <c r="T602" s="11" t="s">
        <v>239</v>
      </c>
      <c r="U602" s="5" t="s">
        <v>240</v>
      </c>
      <c r="V602" s="11" t="s">
        <v>514</v>
      </c>
      <c r="W602" s="5" t="s">
        <v>207</v>
      </c>
      <c r="X602" s="5" t="s">
        <v>255</v>
      </c>
      <c r="Y602" s="11" t="s">
        <v>352</v>
      </c>
      <c r="Z602" s="11" t="s">
        <v>244</v>
      </c>
      <c r="AA602" s="11" t="s">
        <v>153</v>
      </c>
      <c r="AB602" s="5" t="s">
        <v>245</v>
      </c>
      <c r="AC602" s="5" t="s">
        <v>246</v>
      </c>
      <c r="AD602" s="11" t="s">
        <v>1678</v>
      </c>
      <c r="AE602" s="23" t="n">
        <v>0.9</v>
      </c>
      <c r="AF602" s="23" t="n">
        <v>0</v>
      </c>
      <c r="AG602" s="23" t="n">
        <v>0.67</v>
      </c>
      <c r="AH602" s="23" t="n">
        <v>0.47</v>
      </c>
      <c r="AI602" s="23" t="n">
        <v>1</v>
      </c>
      <c r="AJ602" s="23" t="n">
        <v>0.9812</v>
      </c>
      <c r="AK602" s="23" t="n">
        <v>0.5</v>
      </c>
      <c r="AL602" s="23" t="n">
        <v>0.3</v>
      </c>
      <c r="AM602" s="16" t="n">
        <f aca="false">COUNTIFS($D$2:$D$2501,D602,$G$2:$G$2501,"&gt;"&amp;G602)+COUNTIFS($D$2:D602,D602,$G$2:G602,G602)</f>
        <v>130</v>
      </c>
      <c r="AN602" s="5" t="str">
        <f aca="false">D602&amp;"|"&amp;AM602</f>
        <v>檢索與情資關聯|130</v>
      </c>
    </row>
    <row r="603" customFormat="false" ht="17.15" hidden="false" customHeight="false" outlineLevel="0" collapsed="false">
      <c r="A603" s="16" t="n">
        <f aca="false">RANK(G603,$G$2:$G$2501)+COUNTIF($G$2:G603,G603)-1</f>
        <v>602</v>
      </c>
      <c r="B603" s="11" t="s">
        <v>1679</v>
      </c>
      <c r="C603" s="11" t="s">
        <v>1388</v>
      </c>
      <c r="D603" s="5" t="s">
        <v>56</v>
      </c>
      <c r="E603" s="5" t="s">
        <v>57</v>
      </c>
      <c r="F603" s="5"/>
      <c r="G603" s="22" t="n">
        <f aca="false">ROUND(SUM(I603:P603),3)</f>
        <v>67.856</v>
      </c>
      <c r="H603" s="5" t="str">
        <f aca="false">IF(G603&gt;=評分方法!$C$16,"優先評估",IF(G603&gt;=評分方法!$C$17,"列入候選",IF(G603&gt;=評分方法!$C$18,"特定情境","不建議")))</f>
        <v>特定情境</v>
      </c>
      <c r="I603" s="15" t="n">
        <f aca="false">AE603*評分方法!$C$5</f>
        <v>25.5</v>
      </c>
      <c r="J603" s="15" t="n">
        <f aca="false">AF603*評分方法!$C$6</f>
        <v>0</v>
      </c>
      <c r="K603" s="15" t="n">
        <f aca="false">AG603*評分方法!$C$7</f>
        <v>10.05</v>
      </c>
      <c r="L603" s="15" t="n">
        <f aca="false">AH603*評分方法!$C$8</f>
        <v>13.05</v>
      </c>
      <c r="M603" s="15" t="n">
        <f aca="false">AI603*評分方法!$C$9</f>
        <v>10</v>
      </c>
      <c r="N603" s="15" t="n">
        <f aca="false">AJ603*評分方法!$C$10</f>
        <v>5.256</v>
      </c>
      <c r="O603" s="15" t="n">
        <f aca="false">AK603*評分方法!$C$11</f>
        <v>1</v>
      </c>
      <c r="P603" s="15" t="n">
        <f aca="false">AL603*評分方法!$C$12</f>
        <v>3</v>
      </c>
      <c r="Q603" s="6" t="n">
        <v>554306</v>
      </c>
      <c r="R603" s="6" t="n">
        <v>7241732096</v>
      </c>
      <c r="S603" s="11" t="s">
        <v>254</v>
      </c>
      <c r="T603" s="11" t="s">
        <v>239</v>
      </c>
      <c r="U603" s="5" t="s">
        <v>240</v>
      </c>
      <c r="V603" s="11" t="s">
        <v>333</v>
      </c>
      <c r="W603" s="5" t="s">
        <v>207</v>
      </c>
      <c r="X603" s="5" t="s">
        <v>371</v>
      </c>
      <c r="Y603" s="11" t="s">
        <v>488</v>
      </c>
      <c r="Z603" s="11" t="s">
        <v>244</v>
      </c>
      <c r="AA603" s="11" t="s">
        <v>155</v>
      </c>
      <c r="AB603" s="5" t="s">
        <v>245</v>
      </c>
      <c r="AC603" s="5" t="s">
        <v>246</v>
      </c>
      <c r="AD603" s="11" t="s">
        <v>1680</v>
      </c>
      <c r="AE603" s="23" t="n">
        <v>0.85</v>
      </c>
      <c r="AF603" s="23" t="n">
        <v>0</v>
      </c>
      <c r="AG603" s="23" t="n">
        <v>0.67</v>
      </c>
      <c r="AH603" s="23" t="n">
        <v>0.87</v>
      </c>
      <c r="AI603" s="23" t="n">
        <v>1</v>
      </c>
      <c r="AJ603" s="23" t="n">
        <v>0.5256</v>
      </c>
      <c r="AK603" s="23" t="n">
        <v>0.2</v>
      </c>
      <c r="AL603" s="23" t="n">
        <v>0.6</v>
      </c>
      <c r="AM603" s="16" t="n">
        <f aca="false">COUNTIFS($D$2:$D$2501,D603,$G$2:$G$2501,"&gt;"&amp;G603)+COUNTIFS($D$2:D603,D603,$G$2:G603,G603)</f>
        <v>326</v>
      </c>
      <c r="AN603" s="5" t="str">
        <f aca="false">D603&amp;"|"&amp;AM603</f>
        <v>分析與報告生成|326</v>
      </c>
    </row>
    <row r="604" customFormat="false" ht="17.15" hidden="false" customHeight="false" outlineLevel="0" collapsed="false">
      <c r="A604" s="16" t="n">
        <f aca="false">RANK(G604,$G$2:$G$2501)+COUNTIF($G$2:G604,G604)-1</f>
        <v>603</v>
      </c>
      <c r="B604" s="11" t="s">
        <v>1681</v>
      </c>
      <c r="C604" s="11" t="s">
        <v>402</v>
      </c>
      <c r="D604" s="5" t="s">
        <v>58</v>
      </c>
      <c r="E604" s="5" t="s">
        <v>59</v>
      </c>
      <c r="F604" s="5"/>
      <c r="G604" s="22" t="n">
        <f aca="false">ROUND(SUM(I604:P604),3)</f>
        <v>67.854</v>
      </c>
      <c r="H604" s="5" t="str">
        <f aca="false">IF(G604&gt;=評分方法!$C$16,"優先評估",IF(G604&gt;=評分方法!$C$17,"列入候選",IF(G604&gt;=評分方法!$C$18,"特定情境","不建議")))</f>
        <v>特定情境</v>
      </c>
      <c r="I604" s="15" t="n">
        <f aca="false">AE604*評分方法!$C$5</f>
        <v>28.5</v>
      </c>
      <c r="J604" s="15" t="n">
        <f aca="false">AF604*評分方法!$C$6</f>
        <v>0</v>
      </c>
      <c r="K604" s="15" t="n">
        <f aca="false">AG604*評分方法!$C$7</f>
        <v>4.95</v>
      </c>
      <c r="L604" s="15" t="n">
        <f aca="false">AH604*評分方法!$C$8</f>
        <v>15</v>
      </c>
      <c r="M604" s="15" t="n">
        <f aca="false">AI604*評分方法!$C$9</f>
        <v>10</v>
      </c>
      <c r="N604" s="15" t="n">
        <f aca="false">AJ604*評分方法!$C$10</f>
        <v>6.904</v>
      </c>
      <c r="O604" s="15" t="n">
        <f aca="false">AK604*評分方法!$C$11</f>
        <v>2.5</v>
      </c>
      <c r="P604" s="15" t="n">
        <f aca="false">AL604*評分方法!$C$12</f>
        <v>0</v>
      </c>
      <c r="Q604" s="6" t="n">
        <v>876247</v>
      </c>
      <c r="R604" s="6" t="n">
        <v>434045985</v>
      </c>
      <c r="S604" s="11" t="s">
        <v>238</v>
      </c>
      <c r="T604" s="11" t="s">
        <v>239</v>
      </c>
      <c r="U604" s="5" t="s">
        <v>240</v>
      </c>
      <c r="V604" s="11" t="s">
        <v>261</v>
      </c>
      <c r="W604" s="5" t="s">
        <v>334</v>
      </c>
      <c r="X604" s="5" t="s">
        <v>242</v>
      </c>
      <c r="Y604" s="5"/>
      <c r="Z604" s="5"/>
      <c r="AA604" s="11" t="s">
        <v>150</v>
      </c>
      <c r="AB604" s="5" t="s">
        <v>245</v>
      </c>
      <c r="AC604" s="5"/>
      <c r="AD604" s="11" t="s">
        <v>1682</v>
      </c>
      <c r="AE604" s="23" t="n">
        <v>0.95</v>
      </c>
      <c r="AF604" s="23" t="n">
        <v>0</v>
      </c>
      <c r="AG604" s="23" t="n">
        <v>0.33</v>
      </c>
      <c r="AH604" s="23" t="n">
        <v>1</v>
      </c>
      <c r="AI604" s="23" t="n">
        <v>1</v>
      </c>
      <c r="AJ604" s="23" t="n">
        <v>0.6904</v>
      </c>
      <c r="AK604" s="23" t="n">
        <v>0.5</v>
      </c>
      <c r="AL604" s="23" t="n">
        <v>0</v>
      </c>
      <c r="AM604" s="16" t="n">
        <f aca="false">COUNTIFS($D$2:$D$2501,D604,$G$2:$G$2501,"&gt;"&amp;G604)+COUNTIFS($D$2:D604,D604,$G$2:G604,G604)</f>
        <v>47</v>
      </c>
      <c r="AN604" s="5" t="str">
        <f aca="false">D604&amp;"|"&amp;AM604</f>
        <v>實體擷取與去識別化|47</v>
      </c>
    </row>
    <row r="605" customFormat="false" ht="17.15" hidden="false" customHeight="false" outlineLevel="0" collapsed="false">
      <c r="A605" s="16" t="n">
        <f aca="false">RANK(G605,$G$2:$G$2501)+COUNTIF($G$2:G605,G605)-1</f>
        <v>604</v>
      </c>
      <c r="B605" s="11" t="s">
        <v>1362</v>
      </c>
      <c r="C605" s="11" t="s">
        <v>253</v>
      </c>
      <c r="D605" s="5" t="s">
        <v>56</v>
      </c>
      <c r="E605" s="5" t="s">
        <v>57</v>
      </c>
      <c r="F605" s="5"/>
      <c r="G605" s="22" t="n">
        <f aca="false">ROUND(SUM(I605:P605),3)</f>
        <v>67.806</v>
      </c>
      <c r="H605" s="5" t="str">
        <f aca="false">IF(G605&gt;=評分方法!$C$16,"優先評估",IF(G605&gt;=評分方法!$C$17,"列入候選",IF(G605&gt;=評分方法!$C$18,"特定情境","不建議")))</f>
        <v>特定情境</v>
      </c>
      <c r="I605" s="15" t="n">
        <f aca="false">AE605*評分方法!$C$5</f>
        <v>25.5</v>
      </c>
      <c r="J605" s="15" t="n">
        <f aca="false">AF605*評分方法!$C$6</f>
        <v>0</v>
      </c>
      <c r="K605" s="15" t="n">
        <f aca="false">AG605*評分方法!$C$7</f>
        <v>15</v>
      </c>
      <c r="L605" s="15" t="n">
        <f aca="false">AH605*評分方法!$C$8</f>
        <v>1.95</v>
      </c>
      <c r="M605" s="15" t="n">
        <f aca="false">AI605*評分方法!$C$9</f>
        <v>10</v>
      </c>
      <c r="N605" s="15" t="n">
        <f aca="false">AJ605*評分方法!$C$10</f>
        <v>9.856</v>
      </c>
      <c r="O605" s="15" t="n">
        <f aca="false">AK605*評分方法!$C$11</f>
        <v>2.5</v>
      </c>
      <c r="P605" s="15" t="n">
        <f aca="false">AL605*評分方法!$C$12</f>
        <v>3</v>
      </c>
      <c r="Q605" s="6" t="n">
        <v>27560959</v>
      </c>
      <c r="R605" s="6" t="n">
        <v>116829156672</v>
      </c>
      <c r="S605" s="11" t="s">
        <v>1616</v>
      </c>
      <c r="T605" s="11" t="s">
        <v>239</v>
      </c>
      <c r="U605" s="5" t="s">
        <v>240</v>
      </c>
      <c r="V605" s="11" t="s">
        <v>324</v>
      </c>
      <c r="W605" s="5" t="s">
        <v>205</v>
      </c>
      <c r="X605" s="5" t="s">
        <v>371</v>
      </c>
      <c r="Y605" s="5"/>
      <c r="Z605" s="5"/>
      <c r="AA605" s="11" t="s">
        <v>155</v>
      </c>
      <c r="AB605" s="5" t="s">
        <v>245</v>
      </c>
      <c r="AC605" s="5"/>
      <c r="AD605" s="11" t="s">
        <v>1683</v>
      </c>
      <c r="AE605" s="23" t="n">
        <v>0.85</v>
      </c>
      <c r="AF605" s="23" t="n">
        <v>0</v>
      </c>
      <c r="AG605" s="23" t="n">
        <v>1</v>
      </c>
      <c r="AH605" s="23" t="n">
        <v>0.13</v>
      </c>
      <c r="AI605" s="23" t="n">
        <v>1</v>
      </c>
      <c r="AJ605" s="23" t="n">
        <v>0.9856</v>
      </c>
      <c r="AK605" s="23" t="n">
        <v>0.5</v>
      </c>
      <c r="AL605" s="23" t="n">
        <v>0.6</v>
      </c>
      <c r="AM605" s="16" t="n">
        <f aca="false">COUNTIFS($D$2:$D$2501,D605,$G$2:$G$2501,"&gt;"&amp;G605)+COUNTIFS($D$2:D605,D605,$G$2:G605,G605)</f>
        <v>327</v>
      </c>
      <c r="AN605" s="5" t="str">
        <f aca="false">D605&amp;"|"&amp;AM605</f>
        <v>分析與報告生成|327</v>
      </c>
    </row>
    <row r="606" customFormat="false" ht="17.15" hidden="false" customHeight="false" outlineLevel="0" collapsed="false">
      <c r="A606" s="16" t="n">
        <f aca="false">RANK(G606,$G$2:$G$2501)+COUNTIF($G$2:G606,G606)-1</f>
        <v>605</v>
      </c>
      <c r="B606" s="11" t="s">
        <v>1684</v>
      </c>
      <c r="C606" s="11" t="s">
        <v>282</v>
      </c>
      <c r="D606" s="5" t="s">
        <v>54</v>
      </c>
      <c r="E606" s="5" t="s">
        <v>55</v>
      </c>
      <c r="F606" s="5"/>
      <c r="G606" s="22" t="n">
        <f aca="false">ROUND(SUM(I606:P606),3)</f>
        <v>67.796</v>
      </c>
      <c r="H606" s="5" t="str">
        <f aca="false">IF(G606&gt;=評分方法!$C$16,"優先評估",IF(G606&gt;=評分方法!$C$17,"列入候選",IF(G606&gt;=評分方法!$C$18,"特定情境","不建議")))</f>
        <v>特定情境</v>
      </c>
      <c r="I606" s="15" t="n">
        <f aca="false">AE606*評分方法!$C$5</f>
        <v>27</v>
      </c>
      <c r="J606" s="15" t="n">
        <f aca="false">AF606*評分方法!$C$6</f>
        <v>0</v>
      </c>
      <c r="K606" s="15" t="n">
        <f aca="false">AG606*評分方法!$C$7</f>
        <v>15</v>
      </c>
      <c r="L606" s="15" t="n">
        <f aca="false">AH606*評分方法!$C$8</f>
        <v>15</v>
      </c>
      <c r="M606" s="15" t="n">
        <f aca="false">AI606*評分方法!$C$9</f>
        <v>2</v>
      </c>
      <c r="N606" s="15" t="n">
        <f aca="false">AJ606*評分方法!$C$10</f>
        <v>6.296</v>
      </c>
      <c r="O606" s="15" t="n">
        <f aca="false">AK606*評分方法!$C$11</f>
        <v>2.5</v>
      </c>
      <c r="P606" s="15" t="n">
        <f aca="false">AL606*評分方法!$C$12</f>
        <v>0</v>
      </c>
      <c r="Q606" s="6" t="n">
        <v>695563</v>
      </c>
      <c r="R606" s="6" t="n">
        <v>22713728</v>
      </c>
      <c r="S606" s="11" t="s">
        <v>238</v>
      </c>
      <c r="T606" s="5"/>
      <c r="U606" s="5" t="s">
        <v>375</v>
      </c>
      <c r="V606" s="11" t="s">
        <v>283</v>
      </c>
      <c r="W606" s="5" t="s">
        <v>205</v>
      </c>
      <c r="X606" s="5" t="s">
        <v>242</v>
      </c>
      <c r="Y606" s="5"/>
      <c r="Z606" s="5"/>
      <c r="AA606" s="11" t="s">
        <v>152</v>
      </c>
      <c r="AB606" s="5" t="s">
        <v>245</v>
      </c>
      <c r="AC606" s="5" t="s">
        <v>262</v>
      </c>
      <c r="AD606" s="11" t="s">
        <v>1685</v>
      </c>
      <c r="AE606" s="23" t="n">
        <v>0.9</v>
      </c>
      <c r="AF606" s="23" t="n">
        <v>0</v>
      </c>
      <c r="AG606" s="23" t="n">
        <v>1</v>
      </c>
      <c r="AH606" s="23" t="n">
        <v>1</v>
      </c>
      <c r="AI606" s="23" t="n">
        <v>0.2</v>
      </c>
      <c r="AJ606" s="23" t="n">
        <v>0.6296</v>
      </c>
      <c r="AK606" s="23" t="n">
        <v>0.5</v>
      </c>
      <c r="AL606" s="23" t="n">
        <v>0</v>
      </c>
      <c r="AM606" s="16" t="n">
        <f aca="false">COUNTIFS($D$2:$D$2501,D606,$G$2:$G$2501,"&gt;"&amp;G606)+COUNTIFS($D$2:D606,D606,$G$2:G606,G606)</f>
        <v>131</v>
      </c>
      <c r="AN606" s="5" t="str">
        <f aca="false">D606&amp;"|"&amp;AM606</f>
        <v>檢索與情資關聯|131</v>
      </c>
    </row>
    <row r="607" customFormat="false" ht="17.15" hidden="false" customHeight="false" outlineLevel="0" collapsed="false">
      <c r="A607" s="16" t="n">
        <f aca="false">RANK(G607,$G$2:$G$2501)+COUNTIF($G$2:G607,G607)-1</f>
        <v>606</v>
      </c>
      <c r="B607" s="11" t="s">
        <v>1686</v>
      </c>
      <c r="C607" s="11" t="s">
        <v>402</v>
      </c>
      <c r="D607" s="5" t="s">
        <v>58</v>
      </c>
      <c r="E607" s="5" t="s">
        <v>59</v>
      </c>
      <c r="F607" s="5"/>
      <c r="G607" s="22" t="n">
        <f aca="false">ROUND(SUM(I607:P607),3)</f>
        <v>67.79</v>
      </c>
      <c r="H607" s="5" t="str">
        <f aca="false">IF(G607&gt;=評分方法!$C$16,"優先評估",IF(G607&gt;=評分方法!$C$17,"列入候選",IF(G607&gt;=評分方法!$C$18,"特定情境","不建議")))</f>
        <v>特定情境</v>
      </c>
      <c r="I607" s="15" t="n">
        <f aca="false">AE607*評分方法!$C$5</f>
        <v>28.5</v>
      </c>
      <c r="J607" s="15" t="n">
        <f aca="false">AF607*評分方法!$C$6</f>
        <v>0</v>
      </c>
      <c r="K607" s="15" t="n">
        <f aca="false">AG607*評分方法!$C$7</f>
        <v>4.95</v>
      </c>
      <c r="L607" s="15" t="n">
        <f aca="false">AH607*評分方法!$C$8</f>
        <v>15</v>
      </c>
      <c r="M607" s="15" t="n">
        <f aca="false">AI607*評分方法!$C$9</f>
        <v>10</v>
      </c>
      <c r="N607" s="15" t="n">
        <f aca="false">AJ607*評分方法!$C$10</f>
        <v>6.84</v>
      </c>
      <c r="O607" s="15" t="n">
        <f aca="false">AK607*評分方法!$C$11</f>
        <v>2.5</v>
      </c>
      <c r="P607" s="15" t="n">
        <f aca="false">AL607*評分方法!$C$12</f>
        <v>0</v>
      </c>
      <c r="Q607" s="6" t="n">
        <v>851777</v>
      </c>
      <c r="R607" s="6" t="n">
        <v>149607171</v>
      </c>
      <c r="S607" s="11" t="s">
        <v>238</v>
      </c>
      <c r="T607" s="11" t="s">
        <v>239</v>
      </c>
      <c r="U607" s="5" t="s">
        <v>240</v>
      </c>
      <c r="V607" s="11" t="s">
        <v>261</v>
      </c>
      <c r="W607" s="5" t="s">
        <v>334</v>
      </c>
      <c r="X607" s="5" t="s">
        <v>242</v>
      </c>
      <c r="Y607" s="5"/>
      <c r="Z607" s="5"/>
      <c r="AA607" s="11" t="s">
        <v>150</v>
      </c>
      <c r="AB607" s="5" t="s">
        <v>245</v>
      </c>
      <c r="AC607" s="5"/>
      <c r="AD607" s="11" t="s">
        <v>1687</v>
      </c>
      <c r="AE607" s="23" t="n">
        <v>0.95</v>
      </c>
      <c r="AF607" s="23" t="n">
        <v>0</v>
      </c>
      <c r="AG607" s="23" t="n">
        <v>0.33</v>
      </c>
      <c r="AH607" s="23" t="n">
        <v>1</v>
      </c>
      <c r="AI607" s="23" t="n">
        <v>1</v>
      </c>
      <c r="AJ607" s="23" t="n">
        <v>0.684</v>
      </c>
      <c r="AK607" s="23" t="n">
        <v>0.5</v>
      </c>
      <c r="AL607" s="23" t="n">
        <v>0</v>
      </c>
      <c r="AM607" s="16" t="n">
        <f aca="false">COUNTIFS($D$2:$D$2501,D607,$G$2:$G$2501,"&gt;"&amp;G607)+COUNTIFS($D$2:D607,D607,$G$2:G607,G607)</f>
        <v>48</v>
      </c>
      <c r="AN607" s="5" t="str">
        <f aca="false">D607&amp;"|"&amp;AM607</f>
        <v>實體擷取與去識別化|48</v>
      </c>
    </row>
    <row r="608" customFormat="false" ht="17.15" hidden="false" customHeight="false" outlineLevel="0" collapsed="false">
      <c r="A608" s="16" t="n">
        <f aca="false">RANK(G608,$G$2:$G$2501)+COUNTIF($G$2:G608,G608)-1</f>
        <v>607</v>
      </c>
      <c r="B608" s="11" t="s">
        <v>1688</v>
      </c>
      <c r="C608" s="11" t="s">
        <v>402</v>
      </c>
      <c r="D608" s="5" t="s">
        <v>58</v>
      </c>
      <c r="E608" s="5" t="s">
        <v>59</v>
      </c>
      <c r="F608" s="5"/>
      <c r="G608" s="22" t="n">
        <f aca="false">ROUND(SUM(I608:P608),3)</f>
        <v>67.782</v>
      </c>
      <c r="H608" s="5" t="str">
        <f aca="false">IF(G608&gt;=評分方法!$C$16,"優先評估",IF(G608&gt;=評分方法!$C$17,"列入候選",IF(G608&gt;=評分方法!$C$18,"特定情境","不建議")))</f>
        <v>特定情境</v>
      </c>
      <c r="I608" s="15" t="n">
        <f aca="false">AE608*評分方法!$C$5</f>
        <v>28.5</v>
      </c>
      <c r="J608" s="15" t="n">
        <f aca="false">AF608*評分方法!$C$6</f>
        <v>0</v>
      </c>
      <c r="K608" s="15" t="n">
        <f aca="false">AG608*評分方法!$C$7</f>
        <v>4.95</v>
      </c>
      <c r="L608" s="15" t="n">
        <f aca="false">AH608*評分方法!$C$8</f>
        <v>15</v>
      </c>
      <c r="M608" s="15" t="n">
        <f aca="false">AI608*評分方法!$C$9</f>
        <v>10</v>
      </c>
      <c r="N608" s="15" t="n">
        <f aca="false">AJ608*評分方法!$C$10</f>
        <v>6.832</v>
      </c>
      <c r="O608" s="15" t="n">
        <f aca="false">AK608*評分方法!$C$11</f>
        <v>2.5</v>
      </c>
      <c r="P608" s="15" t="n">
        <f aca="false">AL608*評分方法!$C$12</f>
        <v>0</v>
      </c>
      <c r="Q608" s="6" t="n">
        <v>849562</v>
      </c>
      <c r="R608" s="6" t="n">
        <v>107721987</v>
      </c>
      <c r="S608" s="11" t="s">
        <v>238</v>
      </c>
      <c r="T608" s="11" t="s">
        <v>239</v>
      </c>
      <c r="U608" s="5" t="s">
        <v>240</v>
      </c>
      <c r="V608" s="11" t="s">
        <v>261</v>
      </c>
      <c r="W608" s="5" t="s">
        <v>334</v>
      </c>
      <c r="X608" s="5" t="s">
        <v>242</v>
      </c>
      <c r="Y608" s="5"/>
      <c r="Z608" s="5"/>
      <c r="AA608" s="11" t="s">
        <v>150</v>
      </c>
      <c r="AB608" s="5" t="s">
        <v>245</v>
      </c>
      <c r="AC608" s="5"/>
      <c r="AD608" s="11" t="s">
        <v>1689</v>
      </c>
      <c r="AE608" s="23" t="n">
        <v>0.95</v>
      </c>
      <c r="AF608" s="23" t="n">
        <v>0</v>
      </c>
      <c r="AG608" s="23" t="n">
        <v>0.33</v>
      </c>
      <c r="AH608" s="23" t="n">
        <v>1</v>
      </c>
      <c r="AI608" s="23" t="n">
        <v>1</v>
      </c>
      <c r="AJ608" s="23" t="n">
        <v>0.6832</v>
      </c>
      <c r="AK608" s="23" t="n">
        <v>0.5</v>
      </c>
      <c r="AL608" s="23" t="n">
        <v>0</v>
      </c>
      <c r="AM608" s="16" t="n">
        <f aca="false">COUNTIFS($D$2:$D$2501,D608,$G$2:$G$2501,"&gt;"&amp;G608)+COUNTIFS($D$2:D608,D608,$G$2:G608,G608)</f>
        <v>49</v>
      </c>
      <c r="AN608" s="5" t="str">
        <f aca="false">D608&amp;"|"&amp;AM608</f>
        <v>實體擷取與去識別化|49</v>
      </c>
    </row>
    <row r="609" customFormat="false" ht="17.15" hidden="false" customHeight="false" outlineLevel="0" collapsed="false">
      <c r="A609" s="16" t="n">
        <f aca="false">RANK(G609,$G$2:$G$2501)+COUNTIF($G$2:G609,G609)-1</f>
        <v>608</v>
      </c>
      <c r="B609" s="11" t="s">
        <v>1690</v>
      </c>
      <c r="C609" s="11" t="s">
        <v>753</v>
      </c>
      <c r="D609" s="5" t="s">
        <v>56</v>
      </c>
      <c r="E609" s="5" t="s">
        <v>57</v>
      </c>
      <c r="F609" s="5"/>
      <c r="G609" s="22" t="n">
        <f aca="false">ROUND(SUM(I609:P609),3)</f>
        <v>67.776</v>
      </c>
      <c r="H609" s="5" t="str">
        <f aca="false">IF(G609&gt;=評分方法!$C$16,"優先評估",IF(G609&gt;=評分方法!$C$17,"列入候選",IF(G609&gt;=評分方法!$C$18,"特定情境","不建議")))</f>
        <v>特定情境</v>
      </c>
      <c r="I609" s="15" t="n">
        <f aca="false">AE609*評分方法!$C$5</f>
        <v>25.5</v>
      </c>
      <c r="J609" s="15" t="n">
        <f aca="false">AF609*評分方法!$C$6</f>
        <v>0</v>
      </c>
      <c r="K609" s="15" t="n">
        <f aca="false">AG609*評分方法!$C$7</f>
        <v>10.05</v>
      </c>
      <c r="L609" s="15" t="n">
        <f aca="false">AH609*評分方法!$C$8</f>
        <v>13.05</v>
      </c>
      <c r="M609" s="15" t="n">
        <f aca="false">AI609*評分方法!$C$9</f>
        <v>10</v>
      </c>
      <c r="N609" s="15" t="n">
        <f aca="false">AJ609*評分方法!$C$10</f>
        <v>1.176</v>
      </c>
      <c r="O609" s="15" t="n">
        <f aca="false">AK609*評分方法!$C$11</f>
        <v>5</v>
      </c>
      <c r="P609" s="15" t="n">
        <f aca="false">AL609*評分方法!$C$12</f>
        <v>3</v>
      </c>
      <c r="Q609" s="6" t="n">
        <v>160380</v>
      </c>
      <c r="R609" s="6" t="n">
        <v>6722131358</v>
      </c>
      <c r="S609" s="11" t="s">
        <v>254</v>
      </c>
      <c r="T609" s="11" t="s">
        <v>239</v>
      </c>
      <c r="U609" s="5" t="s">
        <v>240</v>
      </c>
      <c r="V609" s="11" t="s">
        <v>261</v>
      </c>
      <c r="W609" s="5" t="s">
        <v>207</v>
      </c>
      <c r="X609" s="5" t="s">
        <v>371</v>
      </c>
      <c r="Y609" s="11" t="s">
        <v>422</v>
      </c>
      <c r="Z609" s="11" t="s">
        <v>244</v>
      </c>
      <c r="AA609" s="11" t="s">
        <v>156</v>
      </c>
      <c r="AB609" s="5" t="s">
        <v>245</v>
      </c>
      <c r="AC609" s="5" t="s">
        <v>246</v>
      </c>
      <c r="AD609" s="11" t="s">
        <v>1691</v>
      </c>
      <c r="AE609" s="23" t="n">
        <v>0.85</v>
      </c>
      <c r="AF609" s="23" t="n">
        <v>0</v>
      </c>
      <c r="AG609" s="23" t="n">
        <v>0.67</v>
      </c>
      <c r="AH609" s="23" t="n">
        <v>0.87</v>
      </c>
      <c r="AI609" s="23" t="n">
        <v>1</v>
      </c>
      <c r="AJ609" s="23" t="n">
        <v>0.1176</v>
      </c>
      <c r="AK609" s="23" t="n">
        <v>1</v>
      </c>
      <c r="AL609" s="23" t="n">
        <v>0.6</v>
      </c>
      <c r="AM609" s="16" t="n">
        <f aca="false">COUNTIFS($D$2:$D$2501,D609,$G$2:$G$2501,"&gt;"&amp;G609)+COUNTIFS($D$2:D609,D609,$G$2:G609,G609)</f>
        <v>328</v>
      </c>
      <c r="AN609" s="5" t="str">
        <f aca="false">D609&amp;"|"&amp;AM609</f>
        <v>分析與報告生成|328</v>
      </c>
    </row>
    <row r="610" customFormat="false" ht="17.15" hidden="false" customHeight="false" outlineLevel="0" collapsed="false">
      <c r="A610" s="16" t="n">
        <f aca="false">RANK(G610,$G$2:$G$2501)+COUNTIF($G$2:G610,G610)-1</f>
        <v>609</v>
      </c>
      <c r="B610" s="11" t="s">
        <v>1692</v>
      </c>
      <c r="C610" s="11" t="s">
        <v>402</v>
      </c>
      <c r="D610" s="5" t="s">
        <v>58</v>
      </c>
      <c r="E610" s="5" t="s">
        <v>59</v>
      </c>
      <c r="F610" s="5"/>
      <c r="G610" s="22" t="n">
        <f aca="false">ROUND(SUM(I610:P610),3)</f>
        <v>67.774</v>
      </c>
      <c r="H610" s="5" t="str">
        <f aca="false">IF(G610&gt;=評分方法!$C$16,"優先評估",IF(G610&gt;=評分方法!$C$17,"列入候選",IF(G610&gt;=評分方法!$C$18,"特定情境","不建議")))</f>
        <v>特定情境</v>
      </c>
      <c r="I610" s="15" t="n">
        <f aca="false">AE610*評分方法!$C$5</f>
        <v>28.5</v>
      </c>
      <c r="J610" s="15" t="n">
        <f aca="false">AF610*評分方法!$C$6</f>
        <v>0</v>
      </c>
      <c r="K610" s="15" t="n">
        <f aca="false">AG610*評分方法!$C$7</f>
        <v>4.95</v>
      </c>
      <c r="L610" s="15" t="n">
        <f aca="false">AH610*評分方法!$C$8</f>
        <v>15</v>
      </c>
      <c r="M610" s="15" t="n">
        <f aca="false">AI610*評分方法!$C$9</f>
        <v>10</v>
      </c>
      <c r="N610" s="15" t="n">
        <f aca="false">AJ610*評分方法!$C$10</f>
        <v>6.824</v>
      </c>
      <c r="O610" s="15" t="n">
        <f aca="false">AK610*評分方法!$C$11</f>
        <v>2.5</v>
      </c>
      <c r="P610" s="15" t="n">
        <f aca="false">AL610*評分方法!$C$12</f>
        <v>0</v>
      </c>
      <c r="Q610" s="6" t="n">
        <v>848895</v>
      </c>
      <c r="R610" s="6" t="n">
        <v>434015235</v>
      </c>
      <c r="S610" s="11" t="s">
        <v>238</v>
      </c>
      <c r="T610" s="11" t="s">
        <v>239</v>
      </c>
      <c r="U610" s="5" t="s">
        <v>240</v>
      </c>
      <c r="V610" s="11" t="s">
        <v>261</v>
      </c>
      <c r="W610" s="5" t="s">
        <v>334</v>
      </c>
      <c r="X610" s="5" t="s">
        <v>242</v>
      </c>
      <c r="Y610" s="5"/>
      <c r="Z610" s="5"/>
      <c r="AA610" s="11" t="s">
        <v>150</v>
      </c>
      <c r="AB610" s="5" t="s">
        <v>245</v>
      </c>
      <c r="AC610" s="5"/>
      <c r="AD610" s="11" t="s">
        <v>1693</v>
      </c>
      <c r="AE610" s="23" t="n">
        <v>0.95</v>
      </c>
      <c r="AF610" s="23" t="n">
        <v>0</v>
      </c>
      <c r="AG610" s="23" t="n">
        <v>0.33</v>
      </c>
      <c r="AH610" s="23" t="n">
        <v>1</v>
      </c>
      <c r="AI610" s="23" t="n">
        <v>1</v>
      </c>
      <c r="AJ610" s="23" t="n">
        <v>0.6824</v>
      </c>
      <c r="AK610" s="23" t="n">
        <v>0.5</v>
      </c>
      <c r="AL610" s="23" t="n">
        <v>0</v>
      </c>
      <c r="AM610" s="16" t="n">
        <f aca="false">COUNTIFS($D$2:$D$2501,D610,$G$2:$G$2501,"&gt;"&amp;G610)+COUNTIFS($D$2:D610,D610,$G$2:G610,G610)</f>
        <v>50</v>
      </c>
      <c r="AN610" s="5" t="str">
        <f aca="false">D610&amp;"|"&amp;AM610</f>
        <v>實體擷取與去識別化|50</v>
      </c>
    </row>
    <row r="611" customFormat="false" ht="17.15" hidden="false" customHeight="false" outlineLevel="0" collapsed="false">
      <c r="A611" s="16" t="n">
        <f aca="false">RANK(G611,$G$2:$G$2501)+COUNTIF($G$2:G611,G611)-1</f>
        <v>610</v>
      </c>
      <c r="B611" s="11" t="s">
        <v>1694</v>
      </c>
      <c r="C611" s="11" t="s">
        <v>402</v>
      </c>
      <c r="D611" s="5" t="s">
        <v>58</v>
      </c>
      <c r="E611" s="5" t="s">
        <v>59</v>
      </c>
      <c r="F611" s="5"/>
      <c r="G611" s="22" t="n">
        <f aca="false">ROUND(SUM(I611:P611),3)</f>
        <v>67.77</v>
      </c>
      <c r="H611" s="5" t="str">
        <f aca="false">IF(G611&gt;=評分方法!$C$16,"優先評估",IF(G611&gt;=評分方法!$C$17,"列入候選",IF(G611&gt;=評分方法!$C$18,"特定情境","不建議")))</f>
        <v>特定情境</v>
      </c>
      <c r="I611" s="15" t="n">
        <f aca="false">AE611*評分方法!$C$5</f>
        <v>28.5</v>
      </c>
      <c r="J611" s="15" t="n">
        <f aca="false">AF611*評分方法!$C$6</f>
        <v>0</v>
      </c>
      <c r="K611" s="15" t="n">
        <f aca="false">AG611*評分方法!$C$7</f>
        <v>4.95</v>
      </c>
      <c r="L611" s="15" t="n">
        <f aca="false">AH611*評分方法!$C$8</f>
        <v>15</v>
      </c>
      <c r="M611" s="15" t="n">
        <f aca="false">AI611*評分方法!$C$9</f>
        <v>10</v>
      </c>
      <c r="N611" s="15" t="n">
        <f aca="false">AJ611*評分方法!$C$10</f>
        <v>6.82</v>
      </c>
      <c r="O611" s="15" t="n">
        <f aca="false">AK611*評分方法!$C$11</f>
        <v>2.5</v>
      </c>
      <c r="P611" s="15" t="n">
        <f aca="false">AL611*評分方法!$C$12</f>
        <v>0</v>
      </c>
      <c r="Q611" s="6" t="n">
        <v>848156</v>
      </c>
      <c r="R611" s="6" t="n">
        <v>558843907</v>
      </c>
      <c r="S611" s="11" t="s">
        <v>238</v>
      </c>
      <c r="T611" s="11" t="s">
        <v>239</v>
      </c>
      <c r="U611" s="5" t="s">
        <v>240</v>
      </c>
      <c r="V611" s="11" t="s">
        <v>261</v>
      </c>
      <c r="W611" s="5" t="s">
        <v>334</v>
      </c>
      <c r="X611" s="5" t="s">
        <v>242</v>
      </c>
      <c r="Y611" s="5"/>
      <c r="Z611" s="5"/>
      <c r="AA611" s="11" t="s">
        <v>150</v>
      </c>
      <c r="AB611" s="5" t="s">
        <v>245</v>
      </c>
      <c r="AC611" s="5"/>
      <c r="AD611" s="11" t="s">
        <v>1695</v>
      </c>
      <c r="AE611" s="23" t="n">
        <v>0.95</v>
      </c>
      <c r="AF611" s="23" t="n">
        <v>0</v>
      </c>
      <c r="AG611" s="23" t="n">
        <v>0.33</v>
      </c>
      <c r="AH611" s="23" t="n">
        <v>1</v>
      </c>
      <c r="AI611" s="23" t="n">
        <v>1</v>
      </c>
      <c r="AJ611" s="23" t="n">
        <v>0.682</v>
      </c>
      <c r="AK611" s="23" t="n">
        <v>0.5</v>
      </c>
      <c r="AL611" s="23" t="n">
        <v>0</v>
      </c>
      <c r="AM611" s="16" t="n">
        <f aca="false">COUNTIFS($D$2:$D$2501,D611,$G$2:$G$2501,"&gt;"&amp;G611)+COUNTIFS($D$2:D611,D611,$G$2:G611,G611)</f>
        <v>51</v>
      </c>
      <c r="AN611" s="5" t="str">
        <f aca="false">D611&amp;"|"&amp;AM611</f>
        <v>實體擷取與去識別化|51</v>
      </c>
    </row>
    <row r="612" customFormat="false" ht="17.15" hidden="false" customHeight="false" outlineLevel="0" collapsed="false">
      <c r="A612" s="16" t="n">
        <f aca="false">RANK(G612,$G$2:$G$2501)+COUNTIF($G$2:G612,G612)-1</f>
        <v>611</v>
      </c>
      <c r="B612" s="11" t="s">
        <v>1696</v>
      </c>
      <c r="C612" s="11" t="s">
        <v>1697</v>
      </c>
      <c r="D612" s="5" t="s">
        <v>56</v>
      </c>
      <c r="E612" s="5" t="s">
        <v>57</v>
      </c>
      <c r="F612" s="5"/>
      <c r="G612" s="22" t="n">
        <f aca="false">ROUND(SUM(I612:P612),3)</f>
        <v>67.764</v>
      </c>
      <c r="H612" s="5" t="str">
        <f aca="false">IF(G612&gt;=評分方法!$C$16,"優先評估",IF(G612&gt;=評分方法!$C$17,"列入候選",IF(G612&gt;=評分方法!$C$18,"特定情境","不建議")))</f>
        <v>特定情境</v>
      </c>
      <c r="I612" s="15" t="n">
        <f aca="false">AE612*評分方法!$C$5</f>
        <v>25.5</v>
      </c>
      <c r="J612" s="15" t="n">
        <f aca="false">AF612*評分方法!$C$6</f>
        <v>0</v>
      </c>
      <c r="K612" s="15" t="n">
        <f aca="false">AG612*評分方法!$C$7</f>
        <v>4.95</v>
      </c>
      <c r="L612" s="15" t="n">
        <f aca="false">AH612*評分方法!$C$8</f>
        <v>13.05</v>
      </c>
      <c r="M612" s="15" t="n">
        <f aca="false">AI612*評分方法!$C$9</f>
        <v>10</v>
      </c>
      <c r="N612" s="15" t="n">
        <f aca="false">AJ612*評分方法!$C$10</f>
        <v>9.264</v>
      </c>
      <c r="O612" s="15" t="n">
        <f aca="false">AK612*評分方法!$C$11</f>
        <v>5</v>
      </c>
      <c r="P612" s="15" t="n">
        <f aca="false">AL612*評分方法!$C$12</f>
        <v>0</v>
      </c>
      <c r="Q612" s="6" t="n">
        <v>5765672</v>
      </c>
      <c r="R612" s="6" t="n">
        <v>1837205840</v>
      </c>
      <c r="S612" s="11" t="s">
        <v>254</v>
      </c>
      <c r="T612" s="11" t="s">
        <v>239</v>
      </c>
      <c r="U612" s="5" t="s">
        <v>240</v>
      </c>
      <c r="V612" s="11" t="s">
        <v>261</v>
      </c>
      <c r="W612" s="5" t="s">
        <v>334</v>
      </c>
      <c r="X612" s="5" t="s">
        <v>242</v>
      </c>
      <c r="Y612" s="5"/>
      <c r="Z612" s="5"/>
      <c r="AA612" s="11" t="s">
        <v>155</v>
      </c>
      <c r="AB612" s="5" t="s">
        <v>245</v>
      </c>
      <c r="AC612" s="5"/>
      <c r="AD612" s="11" t="s">
        <v>1698</v>
      </c>
      <c r="AE612" s="23" t="n">
        <v>0.85</v>
      </c>
      <c r="AF612" s="23" t="n">
        <v>0</v>
      </c>
      <c r="AG612" s="23" t="n">
        <v>0.33</v>
      </c>
      <c r="AH612" s="23" t="n">
        <v>0.87</v>
      </c>
      <c r="AI612" s="23" t="n">
        <v>1</v>
      </c>
      <c r="AJ612" s="23" t="n">
        <v>0.9264</v>
      </c>
      <c r="AK612" s="23" t="n">
        <v>1</v>
      </c>
      <c r="AL612" s="23" t="n">
        <v>0</v>
      </c>
      <c r="AM612" s="16" t="n">
        <f aca="false">COUNTIFS($D$2:$D$2501,D612,$G$2:$G$2501,"&gt;"&amp;G612)+COUNTIFS($D$2:D612,D612,$G$2:G612,G612)</f>
        <v>329</v>
      </c>
      <c r="AN612" s="5" t="str">
        <f aca="false">D612&amp;"|"&amp;AM612</f>
        <v>分析與報告生成|329</v>
      </c>
    </row>
    <row r="613" customFormat="false" ht="17.15" hidden="false" customHeight="false" outlineLevel="0" collapsed="false">
      <c r="A613" s="16" t="n">
        <f aca="false">RANK(G613,$G$2:$G$2501)+COUNTIF($G$2:G613,G613)-1</f>
        <v>612</v>
      </c>
      <c r="B613" s="11" t="s">
        <v>1699</v>
      </c>
      <c r="C613" s="11" t="s">
        <v>891</v>
      </c>
      <c r="D613" s="5" t="s">
        <v>56</v>
      </c>
      <c r="E613" s="5" t="s">
        <v>57</v>
      </c>
      <c r="F613" s="5"/>
      <c r="G613" s="22" t="n">
        <f aca="false">ROUND(SUM(I613:P613),3)</f>
        <v>67.738</v>
      </c>
      <c r="H613" s="5" t="str">
        <f aca="false">IF(G613&gt;=評分方法!$C$16,"優先評估",IF(G613&gt;=評分方法!$C$17,"列入候選",IF(G613&gt;=評分方法!$C$18,"特定情境","不建議")))</f>
        <v>特定情境</v>
      </c>
      <c r="I613" s="15" t="n">
        <f aca="false">AE613*評分方法!$C$5</f>
        <v>25.5</v>
      </c>
      <c r="J613" s="15" t="n">
        <f aca="false">AF613*評分方法!$C$6</f>
        <v>0</v>
      </c>
      <c r="K613" s="15" t="n">
        <f aca="false">AG613*評分方法!$C$7</f>
        <v>10.05</v>
      </c>
      <c r="L613" s="15" t="n">
        <f aca="false">AH613*評分方法!$C$8</f>
        <v>9</v>
      </c>
      <c r="M613" s="15" t="n">
        <f aca="false">AI613*評分方法!$C$9</f>
        <v>10</v>
      </c>
      <c r="N613" s="15" t="n">
        <f aca="false">AJ613*評分方法!$C$10</f>
        <v>5.188</v>
      </c>
      <c r="O613" s="15" t="n">
        <f aca="false">AK613*評分方法!$C$11</f>
        <v>5</v>
      </c>
      <c r="P613" s="15" t="n">
        <f aca="false">AL613*評分方法!$C$12</f>
        <v>3</v>
      </c>
      <c r="Q613" s="6" t="n">
        <v>549508</v>
      </c>
      <c r="R613" s="6" t="n">
        <v>31273088876</v>
      </c>
      <c r="S613" s="11" t="s">
        <v>389</v>
      </c>
      <c r="T613" s="11" t="s">
        <v>239</v>
      </c>
      <c r="U613" s="5" t="s">
        <v>240</v>
      </c>
      <c r="V613" s="11" t="s">
        <v>261</v>
      </c>
      <c r="W613" s="5" t="s">
        <v>207</v>
      </c>
      <c r="X613" s="5" t="s">
        <v>371</v>
      </c>
      <c r="Y613" s="11" t="s">
        <v>583</v>
      </c>
      <c r="Z613" s="11" t="s">
        <v>244</v>
      </c>
      <c r="AA613" s="11" t="s">
        <v>156</v>
      </c>
      <c r="AB613" s="5" t="s">
        <v>245</v>
      </c>
      <c r="AC613" s="5" t="s">
        <v>246</v>
      </c>
      <c r="AD613" s="11" t="s">
        <v>1700</v>
      </c>
      <c r="AE613" s="23" t="n">
        <v>0.85</v>
      </c>
      <c r="AF613" s="23" t="n">
        <v>0</v>
      </c>
      <c r="AG613" s="23" t="n">
        <v>0.67</v>
      </c>
      <c r="AH613" s="23" t="n">
        <v>0.6</v>
      </c>
      <c r="AI613" s="23" t="n">
        <v>1</v>
      </c>
      <c r="AJ613" s="23" t="n">
        <v>0.5188</v>
      </c>
      <c r="AK613" s="23" t="n">
        <v>1</v>
      </c>
      <c r="AL613" s="23" t="n">
        <v>0.6</v>
      </c>
      <c r="AM613" s="16" t="n">
        <f aca="false">COUNTIFS($D$2:$D$2501,D613,$G$2:$G$2501,"&gt;"&amp;G613)+COUNTIFS($D$2:D613,D613,$G$2:G613,G613)</f>
        <v>330</v>
      </c>
      <c r="AN613" s="5" t="str">
        <f aca="false">D613&amp;"|"&amp;AM613</f>
        <v>分析與報告生成|330</v>
      </c>
    </row>
    <row r="614" customFormat="false" ht="17.15" hidden="false" customHeight="false" outlineLevel="0" collapsed="false">
      <c r="A614" s="16" t="n">
        <f aca="false">RANK(G614,$G$2:$G$2501)+COUNTIF($G$2:G614,G614)-1</f>
        <v>613</v>
      </c>
      <c r="B614" s="11" t="s">
        <v>1701</v>
      </c>
      <c r="C614" s="11" t="s">
        <v>323</v>
      </c>
      <c r="D614" s="5" t="s">
        <v>56</v>
      </c>
      <c r="E614" s="5" t="s">
        <v>57</v>
      </c>
      <c r="F614" s="5"/>
      <c r="G614" s="22" t="n">
        <f aca="false">ROUND(SUM(I614:P614),3)</f>
        <v>67.73</v>
      </c>
      <c r="H614" s="5" t="str">
        <f aca="false">IF(G614&gt;=評分方法!$C$16,"優先評估",IF(G614&gt;=評分方法!$C$17,"列入候選",IF(G614&gt;=評分方法!$C$18,"特定情境","不建議")))</f>
        <v>特定情境</v>
      </c>
      <c r="I614" s="15" t="n">
        <f aca="false">AE614*評分方法!$C$5</f>
        <v>25.5</v>
      </c>
      <c r="J614" s="15" t="n">
        <f aca="false">AF614*評分方法!$C$6</f>
        <v>0</v>
      </c>
      <c r="K614" s="15" t="n">
        <f aca="false">AG614*評分方法!$C$7</f>
        <v>15</v>
      </c>
      <c r="L614" s="15" t="n">
        <f aca="false">AH614*評分方法!$C$8</f>
        <v>13.05</v>
      </c>
      <c r="M614" s="15" t="n">
        <f aca="false">AI614*評分方法!$C$9</f>
        <v>10</v>
      </c>
      <c r="N614" s="15" t="n">
        <f aca="false">AJ614*評分方法!$C$10</f>
        <v>3.18</v>
      </c>
      <c r="O614" s="15" t="n">
        <f aca="false">AK614*評分方法!$C$11</f>
        <v>1</v>
      </c>
      <c r="P614" s="15" t="n">
        <f aca="false">AL614*評分方法!$C$12</f>
        <v>0</v>
      </c>
      <c r="Q614" s="6" t="n">
        <v>310772</v>
      </c>
      <c r="R614" s="6" t="n">
        <v>1176764416</v>
      </c>
      <c r="S614" s="11" t="s">
        <v>254</v>
      </c>
      <c r="T614" s="11" t="s">
        <v>239</v>
      </c>
      <c r="U614" s="5" t="s">
        <v>240</v>
      </c>
      <c r="V614" s="11" t="s">
        <v>261</v>
      </c>
      <c r="W614" s="5" t="s">
        <v>205</v>
      </c>
      <c r="X614" s="5" t="s">
        <v>242</v>
      </c>
      <c r="Y614" s="5"/>
      <c r="Z614" s="5"/>
      <c r="AA614" s="11" t="s">
        <v>155</v>
      </c>
      <c r="AB614" s="5" t="s">
        <v>245</v>
      </c>
      <c r="AC614" s="5"/>
      <c r="AD614" s="11" t="s">
        <v>1702</v>
      </c>
      <c r="AE614" s="23" t="n">
        <v>0.85</v>
      </c>
      <c r="AF614" s="23" t="n">
        <v>0</v>
      </c>
      <c r="AG614" s="23" t="n">
        <v>1</v>
      </c>
      <c r="AH614" s="23" t="n">
        <v>0.87</v>
      </c>
      <c r="AI614" s="23" t="n">
        <v>1</v>
      </c>
      <c r="AJ614" s="23" t="n">
        <v>0.318</v>
      </c>
      <c r="AK614" s="23" t="n">
        <v>0.2</v>
      </c>
      <c r="AL614" s="23" t="n">
        <v>0</v>
      </c>
      <c r="AM614" s="16" t="n">
        <f aca="false">COUNTIFS($D$2:$D$2501,D614,$G$2:$G$2501,"&gt;"&amp;G614)+COUNTIFS($D$2:D614,D614,$G$2:G614,G614)</f>
        <v>331</v>
      </c>
      <c r="AN614" s="5" t="str">
        <f aca="false">D614&amp;"|"&amp;AM614</f>
        <v>分析與報告生成|331</v>
      </c>
    </row>
    <row r="615" customFormat="false" ht="17.15" hidden="false" customHeight="false" outlineLevel="0" collapsed="false">
      <c r="A615" s="16" t="n">
        <f aca="false">RANK(G615,$G$2:$G$2501)+COUNTIF($G$2:G615,G615)-1</f>
        <v>614</v>
      </c>
      <c r="B615" s="11" t="s">
        <v>1703</v>
      </c>
      <c r="C615" s="11" t="s">
        <v>753</v>
      </c>
      <c r="D615" s="5" t="s">
        <v>56</v>
      </c>
      <c r="E615" s="5" t="s">
        <v>57</v>
      </c>
      <c r="F615" s="5"/>
      <c r="G615" s="22" t="n">
        <f aca="false">ROUND(SUM(I615:P615),3)</f>
        <v>67.694</v>
      </c>
      <c r="H615" s="5" t="str">
        <f aca="false">IF(G615&gt;=評分方法!$C$16,"優先評估",IF(G615&gt;=評分方法!$C$17,"列入候選",IF(G615&gt;=評分方法!$C$18,"特定情境","不建議")))</f>
        <v>特定情境</v>
      </c>
      <c r="I615" s="15" t="n">
        <f aca="false">AE615*評分方法!$C$5</f>
        <v>25.5</v>
      </c>
      <c r="J615" s="15" t="n">
        <f aca="false">AF615*評分方法!$C$6</f>
        <v>0</v>
      </c>
      <c r="K615" s="15" t="n">
        <f aca="false">AG615*評分方法!$C$7</f>
        <v>10.05</v>
      </c>
      <c r="L615" s="15" t="n">
        <f aca="false">AH615*評分方法!$C$8</f>
        <v>9</v>
      </c>
      <c r="M615" s="15" t="n">
        <f aca="false">AI615*評分方法!$C$9</f>
        <v>10</v>
      </c>
      <c r="N615" s="15" t="n">
        <f aca="false">AJ615*評分方法!$C$10</f>
        <v>5.144</v>
      </c>
      <c r="O615" s="15" t="n">
        <f aca="false">AK615*評分方法!$C$11</f>
        <v>5</v>
      </c>
      <c r="P615" s="15" t="n">
        <f aca="false">AL615*評分方法!$C$12</f>
        <v>3</v>
      </c>
      <c r="Q615" s="6" t="n">
        <v>548392</v>
      </c>
      <c r="R615" s="6" t="n">
        <v>20914757184</v>
      </c>
      <c r="S615" s="11" t="s">
        <v>389</v>
      </c>
      <c r="T615" s="11" t="s">
        <v>239</v>
      </c>
      <c r="U615" s="5" t="s">
        <v>240</v>
      </c>
      <c r="V615" s="11" t="s">
        <v>261</v>
      </c>
      <c r="W615" s="5" t="s">
        <v>207</v>
      </c>
      <c r="X615" s="5" t="s">
        <v>371</v>
      </c>
      <c r="Y615" s="11" t="s">
        <v>390</v>
      </c>
      <c r="Z615" s="11" t="s">
        <v>270</v>
      </c>
      <c r="AA615" s="11" t="s">
        <v>155</v>
      </c>
      <c r="AB615" s="5" t="s">
        <v>245</v>
      </c>
      <c r="AC615" s="5"/>
      <c r="AD615" s="11" t="s">
        <v>1704</v>
      </c>
      <c r="AE615" s="23" t="n">
        <v>0.85</v>
      </c>
      <c r="AF615" s="23" t="n">
        <v>0</v>
      </c>
      <c r="AG615" s="23" t="n">
        <v>0.67</v>
      </c>
      <c r="AH615" s="23" t="n">
        <v>0.6</v>
      </c>
      <c r="AI615" s="23" t="n">
        <v>1</v>
      </c>
      <c r="AJ615" s="23" t="n">
        <v>0.5144</v>
      </c>
      <c r="AK615" s="23" t="n">
        <v>1</v>
      </c>
      <c r="AL615" s="23" t="n">
        <v>0.6</v>
      </c>
      <c r="AM615" s="16" t="n">
        <f aca="false">COUNTIFS($D$2:$D$2501,D615,$G$2:$G$2501,"&gt;"&amp;G615)+COUNTIFS($D$2:D615,D615,$G$2:G615,G615)</f>
        <v>332</v>
      </c>
      <c r="AN615" s="5" t="str">
        <f aca="false">D615&amp;"|"&amp;AM615</f>
        <v>分析與報告生成|332</v>
      </c>
    </row>
    <row r="616" customFormat="false" ht="17.15" hidden="false" customHeight="false" outlineLevel="0" collapsed="false">
      <c r="A616" s="16" t="n">
        <f aca="false">RANK(G616,$G$2:$G$2501)+COUNTIF($G$2:G616,G616)-1</f>
        <v>615</v>
      </c>
      <c r="B616" s="11" t="s">
        <v>1705</v>
      </c>
      <c r="C616" s="11" t="s">
        <v>681</v>
      </c>
      <c r="D616" s="5" t="s">
        <v>66</v>
      </c>
      <c r="E616" s="5" t="s">
        <v>67</v>
      </c>
      <c r="F616" s="5"/>
      <c r="G616" s="22" t="n">
        <f aca="false">ROUND(SUM(I616:P616),3)</f>
        <v>67.684</v>
      </c>
      <c r="H616" s="5" t="str">
        <f aca="false">IF(G616&gt;=評分方法!$C$16,"優先評估",IF(G616&gt;=評分方法!$C$17,"列入候選",IF(G616&gt;=評分方法!$C$18,"特定情境","不建議")))</f>
        <v>特定情境</v>
      </c>
      <c r="I616" s="15" t="n">
        <f aca="false">AE616*評分方法!$C$5</f>
        <v>30</v>
      </c>
      <c r="J616" s="15" t="n">
        <f aca="false">AF616*評分方法!$C$6</f>
        <v>0</v>
      </c>
      <c r="K616" s="15" t="n">
        <f aca="false">AG616*評分方法!$C$7</f>
        <v>15</v>
      </c>
      <c r="L616" s="15" t="n">
        <f aca="false">AH616*評分方法!$C$8</f>
        <v>15</v>
      </c>
      <c r="M616" s="15" t="n">
        <f aca="false">AI616*評分方法!$C$9</f>
        <v>2</v>
      </c>
      <c r="N616" s="15" t="n">
        <f aca="false">AJ616*評分方法!$C$10</f>
        <v>4.684</v>
      </c>
      <c r="O616" s="15" t="n">
        <f aca="false">AK616*評分方法!$C$11</f>
        <v>1</v>
      </c>
      <c r="P616" s="15" t="n">
        <f aca="false">AL616*評分方法!$C$12</f>
        <v>0</v>
      </c>
      <c r="Q616" s="6" t="n">
        <v>512799</v>
      </c>
      <c r="R616" s="6" t="n">
        <v>124647684</v>
      </c>
      <c r="S616" s="11" t="s">
        <v>238</v>
      </c>
      <c r="T616" s="5"/>
      <c r="U616" s="5" t="s">
        <v>375</v>
      </c>
      <c r="V616" s="11" t="s">
        <v>324</v>
      </c>
      <c r="W616" s="5" t="s">
        <v>205</v>
      </c>
      <c r="X616" s="5" t="s">
        <v>242</v>
      </c>
      <c r="Y616" s="5"/>
      <c r="Z616" s="5"/>
      <c r="AA616" s="11" t="s">
        <v>149</v>
      </c>
      <c r="AB616" s="5" t="s">
        <v>245</v>
      </c>
      <c r="AC616" s="5" t="s">
        <v>262</v>
      </c>
      <c r="AD616" s="11" t="s">
        <v>1706</v>
      </c>
      <c r="AE616" s="23" t="n">
        <v>1</v>
      </c>
      <c r="AF616" s="23" t="n">
        <v>0</v>
      </c>
      <c r="AG616" s="23" t="n">
        <v>1</v>
      </c>
      <c r="AH616" s="23" t="n">
        <v>1</v>
      </c>
      <c r="AI616" s="23" t="n">
        <v>0.2</v>
      </c>
      <c r="AJ616" s="23" t="n">
        <v>0.4684</v>
      </c>
      <c r="AK616" s="23" t="n">
        <v>0.2</v>
      </c>
      <c r="AL616" s="23" t="n">
        <v>0</v>
      </c>
      <c r="AM616" s="16" t="n">
        <f aca="false">COUNTIFS($D$2:$D$2501,D616,$G$2:$G$2501,"&gt;"&amp;G616)+COUNTIFS($D$2:D616,D616,$G$2:G616,G616)</f>
        <v>18</v>
      </c>
      <c r="AN616" s="5" t="str">
        <f aca="false">D616&amp;"|"&amp;AM616</f>
        <v>分類與偵測|18</v>
      </c>
    </row>
    <row r="617" customFormat="false" ht="17.15" hidden="false" customHeight="false" outlineLevel="0" collapsed="false">
      <c r="A617" s="16" t="n">
        <f aca="false">RANK(G617,$G$2:$G$2501)+COUNTIF($G$2:G617,G617)-1</f>
        <v>616</v>
      </c>
      <c r="B617" s="11" t="s">
        <v>1707</v>
      </c>
      <c r="C617" s="11" t="s">
        <v>282</v>
      </c>
      <c r="D617" s="5" t="s">
        <v>54</v>
      </c>
      <c r="E617" s="5" t="s">
        <v>55</v>
      </c>
      <c r="F617" s="5"/>
      <c r="G617" s="22" t="n">
        <f aca="false">ROUND(SUM(I617:P617),3)</f>
        <v>67.624</v>
      </c>
      <c r="H617" s="5" t="str">
        <f aca="false">IF(G617&gt;=評分方法!$C$16,"優先評估",IF(G617&gt;=評分方法!$C$17,"列入候選",IF(G617&gt;=評分方法!$C$18,"特定情境","不建議")))</f>
        <v>特定情境</v>
      </c>
      <c r="I617" s="15" t="n">
        <f aca="false">AE617*評分方法!$C$5</f>
        <v>27</v>
      </c>
      <c r="J617" s="15" t="n">
        <f aca="false">AF617*評分方法!$C$6</f>
        <v>0</v>
      </c>
      <c r="K617" s="15" t="n">
        <f aca="false">AG617*評分方法!$C$7</f>
        <v>15</v>
      </c>
      <c r="L617" s="15" t="n">
        <f aca="false">AH617*評分方法!$C$8</f>
        <v>15</v>
      </c>
      <c r="M617" s="15" t="n">
        <f aca="false">AI617*評分方法!$C$9</f>
        <v>2</v>
      </c>
      <c r="N617" s="15" t="n">
        <f aca="false">AJ617*評分方法!$C$10</f>
        <v>6.124</v>
      </c>
      <c r="O617" s="15" t="n">
        <f aca="false">AK617*評分方法!$C$11</f>
        <v>2.5</v>
      </c>
      <c r="P617" s="15" t="n">
        <f aca="false">AL617*評分方法!$C$12</f>
        <v>0</v>
      </c>
      <c r="Q617" s="6" t="n">
        <v>648891</v>
      </c>
      <c r="R617" s="6" t="n">
        <v>109486978</v>
      </c>
      <c r="S617" s="11" t="s">
        <v>238</v>
      </c>
      <c r="T617" s="5"/>
      <c r="U617" s="5" t="s">
        <v>375</v>
      </c>
      <c r="V617" s="11" t="s">
        <v>288</v>
      </c>
      <c r="W617" s="5" t="s">
        <v>205</v>
      </c>
      <c r="X617" s="5" t="s">
        <v>242</v>
      </c>
      <c r="Y617" s="5"/>
      <c r="Z617" s="5"/>
      <c r="AA617" s="11" t="s">
        <v>152</v>
      </c>
      <c r="AB617" s="5" t="s">
        <v>245</v>
      </c>
      <c r="AC617" s="5" t="s">
        <v>262</v>
      </c>
      <c r="AD617" s="11" t="s">
        <v>1708</v>
      </c>
      <c r="AE617" s="23" t="n">
        <v>0.9</v>
      </c>
      <c r="AF617" s="23" t="n">
        <v>0</v>
      </c>
      <c r="AG617" s="23" t="n">
        <v>1</v>
      </c>
      <c r="AH617" s="23" t="n">
        <v>1</v>
      </c>
      <c r="AI617" s="23" t="n">
        <v>0.2</v>
      </c>
      <c r="AJ617" s="23" t="n">
        <v>0.6124</v>
      </c>
      <c r="AK617" s="23" t="n">
        <v>0.5</v>
      </c>
      <c r="AL617" s="23" t="n">
        <v>0</v>
      </c>
      <c r="AM617" s="16" t="n">
        <f aca="false">COUNTIFS($D$2:$D$2501,D617,$G$2:$G$2501,"&gt;"&amp;G617)+COUNTIFS($D$2:D617,D617,$G$2:G617,G617)</f>
        <v>132</v>
      </c>
      <c r="AN617" s="5" t="str">
        <f aca="false">D617&amp;"|"&amp;AM617</f>
        <v>檢索與情資關聯|132</v>
      </c>
    </row>
    <row r="618" customFormat="false" ht="17.15" hidden="false" customHeight="false" outlineLevel="0" collapsed="false">
      <c r="A618" s="16" t="n">
        <f aca="false">RANK(G618,$G$2:$G$2501)+COUNTIF($G$2:G618,G618)-1</f>
        <v>617</v>
      </c>
      <c r="B618" s="11" t="s">
        <v>1709</v>
      </c>
      <c r="C618" s="11" t="s">
        <v>368</v>
      </c>
      <c r="D618" s="5" t="s">
        <v>56</v>
      </c>
      <c r="E618" s="5" t="s">
        <v>57</v>
      </c>
      <c r="F618" s="5"/>
      <c r="G618" s="22" t="n">
        <f aca="false">ROUND(SUM(I618:P618),3)</f>
        <v>67.59</v>
      </c>
      <c r="H618" s="5" t="str">
        <f aca="false">IF(G618&gt;=評分方法!$C$16,"優先評估",IF(G618&gt;=評分方法!$C$17,"列入候選",IF(G618&gt;=評分方法!$C$18,"特定情境","不建議")))</f>
        <v>特定情境</v>
      </c>
      <c r="I618" s="15" t="n">
        <f aca="false">AE618*評分方法!$C$5</f>
        <v>25.5</v>
      </c>
      <c r="J618" s="15" t="n">
        <f aca="false">AF618*評分方法!$C$6</f>
        <v>0</v>
      </c>
      <c r="K618" s="15" t="n">
        <f aca="false">AG618*評分方法!$C$7</f>
        <v>15</v>
      </c>
      <c r="L618" s="15" t="n">
        <f aca="false">AH618*評分方法!$C$8</f>
        <v>13.05</v>
      </c>
      <c r="M618" s="15" t="n">
        <f aca="false">AI618*評分方法!$C$9</f>
        <v>6</v>
      </c>
      <c r="N618" s="15" t="n">
        <f aca="false">AJ618*評分方法!$C$10</f>
        <v>4.04</v>
      </c>
      <c r="O618" s="15" t="n">
        <f aca="false">AK618*評分方法!$C$11</f>
        <v>1</v>
      </c>
      <c r="P618" s="15" t="n">
        <f aca="false">AL618*評分方法!$C$12</f>
        <v>3</v>
      </c>
      <c r="Q618" s="6" t="n">
        <v>423922</v>
      </c>
      <c r="R618" s="6" t="n">
        <v>2506172416</v>
      </c>
      <c r="S618" s="11" t="s">
        <v>254</v>
      </c>
      <c r="T618" s="11" t="s">
        <v>658</v>
      </c>
      <c r="U618" s="5" t="s">
        <v>260</v>
      </c>
      <c r="V618" s="11" t="s">
        <v>462</v>
      </c>
      <c r="W618" s="5" t="s">
        <v>205</v>
      </c>
      <c r="X618" s="5" t="s">
        <v>371</v>
      </c>
      <c r="Y618" s="5"/>
      <c r="Z618" s="5"/>
      <c r="AA618" s="11" t="s">
        <v>155</v>
      </c>
      <c r="AB618" s="5" t="s">
        <v>245</v>
      </c>
      <c r="AC618" s="5" t="s">
        <v>262</v>
      </c>
      <c r="AD618" s="11" t="s">
        <v>1710</v>
      </c>
      <c r="AE618" s="23" t="n">
        <v>0.85</v>
      </c>
      <c r="AF618" s="23" t="n">
        <v>0</v>
      </c>
      <c r="AG618" s="23" t="n">
        <v>1</v>
      </c>
      <c r="AH618" s="23" t="n">
        <v>0.87</v>
      </c>
      <c r="AI618" s="23" t="n">
        <v>0.6</v>
      </c>
      <c r="AJ618" s="23" t="n">
        <v>0.404</v>
      </c>
      <c r="AK618" s="23" t="n">
        <v>0.2</v>
      </c>
      <c r="AL618" s="23" t="n">
        <v>0.6</v>
      </c>
      <c r="AM618" s="16" t="n">
        <f aca="false">COUNTIFS($D$2:$D$2501,D618,$G$2:$G$2501,"&gt;"&amp;G618)+COUNTIFS($D$2:D618,D618,$G$2:G618,G618)</f>
        <v>333</v>
      </c>
      <c r="AN618" s="5" t="str">
        <f aca="false">D618&amp;"|"&amp;AM618</f>
        <v>分析與報告生成|333</v>
      </c>
    </row>
    <row r="619" customFormat="false" ht="17.15" hidden="false" customHeight="false" outlineLevel="0" collapsed="false">
      <c r="A619" s="16" t="n">
        <f aca="false">RANK(G619,$G$2:$G$2501)+COUNTIF($G$2:G619,G619)-1</f>
        <v>618</v>
      </c>
      <c r="B619" s="11" t="s">
        <v>1084</v>
      </c>
      <c r="C619" s="11" t="s">
        <v>368</v>
      </c>
      <c r="D619" s="5" t="s">
        <v>56</v>
      </c>
      <c r="E619" s="5" t="s">
        <v>57</v>
      </c>
      <c r="F619" s="5"/>
      <c r="G619" s="22" t="n">
        <f aca="false">ROUND(SUM(I619:P619),3)</f>
        <v>67.586</v>
      </c>
      <c r="H619" s="5" t="str">
        <f aca="false">IF(G619&gt;=評分方法!$C$16,"優先評估",IF(G619&gt;=評分方法!$C$17,"列入候選",IF(G619&gt;=評分方法!$C$18,"特定情境","不建議")))</f>
        <v>特定情境</v>
      </c>
      <c r="I619" s="15" t="n">
        <f aca="false">AE619*評分方法!$C$5</f>
        <v>25.5</v>
      </c>
      <c r="J619" s="15" t="n">
        <f aca="false">AF619*評分方法!$C$6</f>
        <v>0</v>
      </c>
      <c r="K619" s="15" t="n">
        <f aca="false">AG619*評分方法!$C$7</f>
        <v>15</v>
      </c>
      <c r="L619" s="15" t="n">
        <f aca="false">AH619*評分方法!$C$8</f>
        <v>13.05</v>
      </c>
      <c r="M619" s="15" t="n">
        <f aca="false">AI619*評分方法!$C$9</f>
        <v>6</v>
      </c>
      <c r="N619" s="15" t="n">
        <f aca="false">AJ619*評分方法!$C$10</f>
        <v>4.036</v>
      </c>
      <c r="O619" s="15" t="n">
        <f aca="false">AK619*評分方法!$C$11</f>
        <v>1</v>
      </c>
      <c r="P619" s="15" t="n">
        <f aca="false">AL619*評分方法!$C$12</f>
        <v>3</v>
      </c>
      <c r="Q619" s="6" t="n">
        <v>423872</v>
      </c>
      <c r="R619" s="6" t="n">
        <v>9241705984</v>
      </c>
      <c r="S619" s="11" t="s">
        <v>254</v>
      </c>
      <c r="T619" s="11" t="s">
        <v>658</v>
      </c>
      <c r="U619" s="5" t="s">
        <v>260</v>
      </c>
      <c r="V619" s="11" t="s">
        <v>261</v>
      </c>
      <c r="W619" s="5" t="s">
        <v>205</v>
      </c>
      <c r="X619" s="5" t="s">
        <v>371</v>
      </c>
      <c r="Y619" s="5"/>
      <c r="Z619" s="5"/>
      <c r="AA619" s="11" t="s">
        <v>155</v>
      </c>
      <c r="AB619" s="5" t="s">
        <v>245</v>
      </c>
      <c r="AC619" s="5" t="s">
        <v>262</v>
      </c>
      <c r="AD619" s="11" t="s">
        <v>1711</v>
      </c>
      <c r="AE619" s="23" t="n">
        <v>0.85</v>
      </c>
      <c r="AF619" s="23" t="n">
        <v>0</v>
      </c>
      <c r="AG619" s="23" t="n">
        <v>1</v>
      </c>
      <c r="AH619" s="23" t="n">
        <v>0.87</v>
      </c>
      <c r="AI619" s="23" t="n">
        <v>0.6</v>
      </c>
      <c r="AJ619" s="23" t="n">
        <v>0.4036</v>
      </c>
      <c r="AK619" s="23" t="n">
        <v>0.2</v>
      </c>
      <c r="AL619" s="23" t="n">
        <v>0.6</v>
      </c>
      <c r="AM619" s="16" t="n">
        <f aca="false">COUNTIFS($D$2:$D$2501,D619,$G$2:$G$2501,"&gt;"&amp;G619)+COUNTIFS($D$2:D619,D619,$G$2:G619,G619)</f>
        <v>334</v>
      </c>
      <c r="AN619" s="5" t="str">
        <f aca="false">D619&amp;"|"&amp;AM619</f>
        <v>分析與報告生成|334</v>
      </c>
    </row>
    <row r="620" customFormat="false" ht="17.15" hidden="false" customHeight="false" outlineLevel="0" collapsed="false">
      <c r="A620" s="16" t="n">
        <f aca="false">RANK(G620,$G$2:$G$2501)+COUNTIF($G$2:G620,G620)-1</f>
        <v>619</v>
      </c>
      <c r="B620" s="11" t="s">
        <v>1712</v>
      </c>
      <c r="C620" s="11" t="s">
        <v>548</v>
      </c>
      <c r="D620" s="5" t="s">
        <v>56</v>
      </c>
      <c r="E620" s="5" t="s">
        <v>57</v>
      </c>
      <c r="F620" s="5"/>
      <c r="G620" s="22" t="n">
        <f aca="false">ROUND(SUM(I620:P620),3)</f>
        <v>67.586</v>
      </c>
      <c r="H620" s="5" t="str">
        <f aca="false">IF(G620&gt;=評分方法!$C$16,"優先評估",IF(G620&gt;=評分方法!$C$17,"列入候選",IF(G620&gt;=評分方法!$C$18,"特定情境","不建議")))</f>
        <v>特定情境</v>
      </c>
      <c r="I620" s="15" t="n">
        <f aca="false">AE620*評分方法!$C$5</f>
        <v>25.5</v>
      </c>
      <c r="J620" s="15" t="n">
        <f aca="false">AF620*評分方法!$C$6</f>
        <v>0</v>
      </c>
      <c r="K620" s="15" t="n">
        <f aca="false">AG620*評分方法!$C$7</f>
        <v>15</v>
      </c>
      <c r="L620" s="15" t="n">
        <f aca="false">AH620*評分方法!$C$8</f>
        <v>13.05</v>
      </c>
      <c r="M620" s="15" t="n">
        <f aca="false">AI620*評分方法!$C$9</f>
        <v>10</v>
      </c>
      <c r="N620" s="15" t="n">
        <f aca="false">AJ620*評分方法!$C$10</f>
        <v>0.036</v>
      </c>
      <c r="O620" s="15" t="n">
        <f aca="false">AK620*評分方法!$C$11</f>
        <v>4</v>
      </c>
      <c r="P620" s="15" t="n">
        <f aca="false">AL620*評分方法!$C$12</f>
        <v>0</v>
      </c>
      <c r="Q620" s="6" t="n">
        <v>118211</v>
      </c>
      <c r="R620" s="6" t="n">
        <v>1414647808</v>
      </c>
      <c r="S620" s="11" t="s">
        <v>254</v>
      </c>
      <c r="T620" s="11" t="s">
        <v>239</v>
      </c>
      <c r="U620" s="5" t="s">
        <v>240</v>
      </c>
      <c r="V620" s="11" t="s">
        <v>324</v>
      </c>
      <c r="W620" s="5" t="s">
        <v>205</v>
      </c>
      <c r="X620" s="5" t="s">
        <v>242</v>
      </c>
      <c r="Y620" s="5"/>
      <c r="Z620" s="5"/>
      <c r="AA620" s="11" t="s">
        <v>155</v>
      </c>
      <c r="AB620" s="5" t="s">
        <v>245</v>
      </c>
      <c r="AC620" s="5"/>
      <c r="AD620" s="11" t="s">
        <v>1713</v>
      </c>
      <c r="AE620" s="23" t="n">
        <v>0.85</v>
      </c>
      <c r="AF620" s="23" t="n">
        <v>0</v>
      </c>
      <c r="AG620" s="23" t="n">
        <v>1</v>
      </c>
      <c r="AH620" s="23" t="n">
        <v>0.87</v>
      </c>
      <c r="AI620" s="23" t="n">
        <v>1</v>
      </c>
      <c r="AJ620" s="23" t="n">
        <v>0.0036</v>
      </c>
      <c r="AK620" s="23" t="n">
        <v>0.8</v>
      </c>
      <c r="AL620" s="23" t="n">
        <v>0</v>
      </c>
      <c r="AM620" s="16" t="n">
        <f aca="false">COUNTIFS($D$2:$D$2501,D620,$G$2:$G$2501,"&gt;"&amp;G620)+COUNTIFS($D$2:D620,D620,$G$2:G620,G620)</f>
        <v>335</v>
      </c>
      <c r="AN620" s="5" t="str">
        <f aca="false">D620&amp;"|"&amp;AM620</f>
        <v>分析與報告生成|335</v>
      </c>
    </row>
    <row r="621" customFormat="false" ht="17.15" hidden="false" customHeight="false" outlineLevel="0" collapsed="false">
      <c r="A621" s="16" t="n">
        <f aca="false">RANK(G621,$G$2:$G$2501)+COUNTIF($G$2:G621,G621)-1</f>
        <v>620</v>
      </c>
      <c r="B621" s="11" t="s">
        <v>1714</v>
      </c>
      <c r="C621" s="11" t="s">
        <v>349</v>
      </c>
      <c r="D621" s="11" t="s">
        <v>60</v>
      </c>
      <c r="E621" s="11" t="s">
        <v>61</v>
      </c>
      <c r="F621" s="11" t="s">
        <v>60</v>
      </c>
      <c r="G621" s="22" t="n">
        <f aca="false">ROUND(SUM(I621:P621),3)</f>
        <v>67.564</v>
      </c>
      <c r="H621" s="5" t="str">
        <f aca="false">IF(G621&gt;=評分方法!$C$16,"優先評估",IF(G621&gt;=評分方法!$C$17,"列入候選",IF(G621&gt;=評分方法!$C$18,"特定情境","不建議")))</f>
        <v>特定情境</v>
      </c>
      <c r="I621" s="15" t="n">
        <f aca="false">AE621*評分方法!$C$5</f>
        <v>18</v>
      </c>
      <c r="J621" s="15" t="n">
        <f aca="false">AF621*評分方法!$C$6</f>
        <v>10</v>
      </c>
      <c r="K621" s="15" t="n">
        <f aca="false">AG621*評分方法!$C$7</f>
        <v>15</v>
      </c>
      <c r="L621" s="15" t="n">
        <f aca="false">AH621*評分方法!$C$8</f>
        <v>15</v>
      </c>
      <c r="M621" s="15" t="n">
        <f aca="false">AI621*評分方法!$C$9</f>
        <v>7</v>
      </c>
      <c r="N621" s="15" t="n">
        <f aca="false">AJ621*評分方法!$C$10</f>
        <v>0.064</v>
      </c>
      <c r="O621" s="15" t="n">
        <f aca="false">AK621*評分方法!$C$11</f>
        <v>1</v>
      </c>
      <c r="P621" s="15" t="n">
        <f aca="false">AL621*評分方法!$C$12</f>
        <v>1.5</v>
      </c>
      <c r="Q621" s="6" t="n">
        <v>118658</v>
      </c>
      <c r="R621" s="6" t="n">
        <v>222903552</v>
      </c>
      <c r="S621" s="11" t="s">
        <v>238</v>
      </c>
      <c r="T621" s="11" t="s">
        <v>1715</v>
      </c>
      <c r="U621" s="5" t="s">
        <v>902</v>
      </c>
      <c r="V621" s="11" t="s">
        <v>261</v>
      </c>
      <c r="W621" s="5" t="s">
        <v>205</v>
      </c>
      <c r="X621" s="5" t="s">
        <v>255</v>
      </c>
      <c r="Y621" s="5"/>
      <c r="Z621" s="5"/>
      <c r="AA621" s="11" t="s">
        <v>161</v>
      </c>
      <c r="AB621" s="5" t="s">
        <v>328</v>
      </c>
      <c r="AC621" s="5" t="s">
        <v>400</v>
      </c>
      <c r="AD621" s="11" t="s">
        <v>1716</v>
      </c>
      <c r="AE621" s="23" t="n">
        <v>0.6</v>
      </c>
      <c r="AF621" s="23" t="n">
        <v>1</v>
      </c>
      <c r="AG621" s="23" t="n">
        <v>1</v>
      </c>
      <c r="AH621" s="23" t="n">
        <v>1</v>
      </c>
      <c r="AI621" s="23" t="n">
        <v>0.7</v>
      </c>
      <c r="AJ621" s="23" t="n">
        <v>0.0064</v>
      </c>
      <c r="AK621" s="23" t="n">
        <v>0.2</v>
      </c>
      <c r="AL621" s="23" t="n">
        <v>0.3</v>
      </c>
      <c r="AM621" s="16" t="n">
        <f aca="false">COUNTIFS($D$2:$D$2501,D621,$G$2:$G$2501,"&gt;"&amp;G621)+COUNTIFS($D$2:D621,D621,$G$2:G621,G621)</f>
        <v>6</v>
      </c>
      <c r="AN621" s="5" t="str">
        <f aca="false">D621&amp;"|"&amp;AM621</f>
        <v>AI 紅隊評估|6</v>
      </c>
    </row>
    <row r="622" customFormat="false" ht="17.15" hidden="false" customHeight="false" outlineLevel="0" collapsed="false">
      <c r="A622" s="16" t="n">
        <f aca="false">RANK(G622,$G$2:$G$2501)+COUNTIF($G$2:G622,G622)-1</f>
        <v>621</v>
      </c>
      <c r="B622" s="11" t="s">
        <v>1717</v>
      </c>
      <c r="C622" s="11" t="s">
        <v>1718</v>
      </c>
      <c r="D622" s="5" t="s">
        <v>56</v>
      </c>
      <c r="E622" s="5" t="s">
        <v>57</v>
      </c>
      <c r="F622" s="5"/>
      <c r="G622" s="22" t="n">
        <f aca="false">ROUND(SUM(I622:P622),3)</f>
        <v>67.56</v>
      </c>
      <c r="H622" s="5" t="str">
        <f aca="false">IF(G622&gt;=評分方法!$C$16,"優先評估",IF(G622&gt;=評分方法!$C$17,"列入候選",IF(G622&gt;=評分方法!$C$18,"特定情境","不建議")))</f>
        <v>特定情境</v>
      </c>
      <c r="I622" s="15" t="n">
        <f aca="false">AE622*評分方法!$C$5</f>
        <v>25.5</v>
      </c>
      <c r="J622" s="15" t="n">
        <f aca="false">AF622*評分方法!$C$6</f>
        <v>0</v>
      </c>
      <c r="K622" s="15" t="n">
        <f aca="false">AG622*評分方法!$C$7</f>
        <v>4.95</v>
      </c>
      <c r="L622" s="15" t="n">
        <f aca="false">AH622*評分方法!$C$8</f>
        <v>13.05</v>
      </c>
      <c r="M622" s="15" t="n">
        <f aca="false">AI622*評分方法!$C$9</f>
        <v>10</v>
      </c>
      <c r="N622" s="15" t="n">
        <f aca="false">AJ622*評分方法!$C$10</f>
        <v>6.06</v>
      </c>
      <c r="O622" s="15" t="n">
        <f aca="false">AK622*評分方法!$C$11</f>
        <v>5</v>
      </c>
      <c r="P622" s="15" t="n">
        <f aca="false">AL622*評分方法!$C$12</f>
        <v>3</v>
      </c>
      <c r="Q622" s="6" t="n">
        <v>640871</v>
      </c>
      <c r="R622" s="6" t="n">
        <v>8255705088</v>
      </c>
      <c r="S622" s="11" t="s">
        <v>254</v>
      </c>
      <c r="T622" s="11" t="s">
        <v>239</v>
      </c>
      <c r="U622" s="5" t="s">
        <v>240</v>
      </c>
      <c r="V622" s="11" t="s">
        <v>333</v>
      </c>
      <c r="W622" s="5" t="s">
        <v>334</v>
      </c>
      <c r="X622" s="5" t="s">
        <v>371</v>
      </c>
      <c r="Y622" s="11" t="s">
        <v>1719</v>
      </c>
      <c r="Z622" s="11" t="s">
        <v>244</v>
      </c>
      <c r="AA622" s="11" t="s">
        <v>155</v>
      </c>
      <c r="AB622" s="5" t="s">
        <v>496</v>
      </c>
      <c r="AC622" s="5" t="s">
        <v>555</v>
      </c>
      <c r="AD622" s="11" t="s">
        <v>1720</v>
      </c>
      <c r="AE622" s="23" t="n">
        <v>0.85</v>
      </c>
      <c r="AF622" s="23" t="n">
        <v>0</v>
      </c>
      <c r="AG622" s="23" t="n">
        <v>0.33</v>
      </c>
      <c r="AH622" s="23" t="n">
        <v>0.87</v>
      </c>
      <c r="AI622" s="23" t="n">
        <v>1</v>
      </c>
      <c r="AJ622" s="23" t="n">
        <v>0.606</v>
      </c>
      <c r="AK622" s="23" t="n">
        <v>1</v>
      </c>
      <c r="AL622" s="23" t="n">
        <v>0.6</v>
      </c>
      <c r="AM622" s="16" t="n">
        <f aca="false">COUNTIFS($D$2:$D$2501,D622,$G$2:$G$2501,"&gt;"&amp;G622)+COUNTIFS($D$2:D622,D622,$G$2:G622,G622)</f>
        <v>336</v>
      </c>
      <c r="AN622" s="5" t="str">
        <f aca="false">D622&amp;"|"&amp;AM622</f>
        <v>分析與報告生成|336</v>
      </c>
    </row>
    <row r="623" customFormat="false" ht="17.15" hidden="false" customHeight="false" outlineLevel="0" collapsed="false">
      <c r="A623" s="16" t="n">
        <f aca="false">RANK(G623,$G$2:$G$2501)+COUNTIF($G$2:G623,G623)-1</f>
        <v>622</v>
      </c>
      <c r="B623" s="11" t="s">
        <v>1721</v>
      </c>
      <c r="C623" s="11" t="s">
        <v>1722</v>
      </c>
      <c r="D623" s="5" t="s">
        <v>54</v>
      </c>
      <c r="E623" s="5" t="s">
        <v>55</v>
      </c>
      <c r="F623" s="5"/>
      <c r="G623" s="22" t="n">
        <f aca="false">ROUND(SUM(I623:P623),3)</f>
        <v>67.542</v>
      </c>
      <c r="H623" s="5" t="str">
        <f aca="false">IF(G623&gt;=評分方法!$C$16,"優先評估",IF(G623&gt;=評分方法!$C$17,"列入候選",IF(G623&gt;=評分方法!$C$18,"特定情境","不建議")))</f>
        <v>特定情境</v>
      </c>
      <c r="I623" s="15" t="n">
        <f aca="false">AE623*評分方法!$C$5</f>
        <v>27</v>
      </c>
      <c r="J623" s="15" t="n">
        <f aca="false">AF623*評分方法!$C$6</f>
        <v>0</v>
      </c>
      <c r="K623" s="15" t="n">
        <f aca="false">AG623*評分方法!$C$7</f>
        <v>4.95</v>
      </c>
      <c r="L623" s="15" t="n">
        <f aca="false">AH623*評分方法!$C$8</f>
        <v>15</v>
      </c>
      <c r="M623" s="15" t="n">
        <f aca="false">AI623*評分方法!$C$9</f>
        <v>10</v>
      </c>
      <c r="N623" s="15" t="n">
        <f aca="false">AJ623*評分方法!$C$10</f>
        <v>9.592</v>
      </c>
      <c r="O623" s="15" t="n">
        <f aca="false">AK623*評分方法!$C$11</f>
        <v>1</v>
      </c>
      <c r="P623" s="15" t="n">
        <f aca="false">AL623*評分方法!$C$12</f>
        <v>0</v>
      </c>
      <c r="Q623" s="6" t="n">
        <v>10111769</v>
      </c>
      <c r="R623" s="6" t="n">
        <v>109482752</v>
      </c>
      <c r="S623" s="11" t="s">
        <v>238</v>
      </c>
      <c r="T623" s="11" t="s">
        <v>239</v>
      </c>
      <c r="U623" s="5" t="s">
        <v>240</v>
      </c>
      <c r="V623" s="11" t="s">
        <v>279</v>
      </c>
      <c r="W623" s="5" t="s">
        <v>334</v>
      </c>
      <c r="X623" s="5" t="s">
        <v>242</v>
      </c>
      <c r="Y623" s="5"/>
      <c r="Z623" s="5"/>
      <c r="AA623" s="11" t="s">
        <v>153</v>
      </c>
      <c r="AB623" s="5" t="s">
        <v>245</v>
      </c>
      <c r="AC623" s="5"/>
      <c r="AD623" s="11" t="s">
        <v>1723</v>
      </c>
      <c r="AE623" s="23" t="n">
        <v>0.9</v>
      </c>
      <c r="AF623" s="23" t="n">
        <v>0</v>
      </c>
      <c r="AG623" s="23" t="n">
        <v>0.33</v>
      </c>
      <c r="AH623" s="23" t="n">
        <v>1</v>
      </c>
      <c r="AI623" s="23" t="n">
        <v>1</v>
      </c>
      <c r="AJ623" s="23" t="n">
        <v>0.9592</v>
      </c>
      <c r="AK623" s="23" t="n">
        <v>0.2</v>
      </c>
      <c r="AL623" s="23" t="n">
        <v>0</v>
      </c>
      <c r="AM623" s="16" t="n">
        <f aca="false">COUNTIFS($D$2:$D$2501,D623,$G$2:$G$2501,"&gt;"&amp;G623)+COUNTIFS($D$2:D623,D623,$G$2:G623,G623)</f>
        <v>133</v>
      </c>
      <c r="AN623" s="5" t="str">
        <f aca="false">D623&amp;"|"&amp;AM623</f>
        <v>檢索與情資關聯|133</v>
      </c>
    </row>
    <row r="624" customFormat="false" ht="17.15" hidden="false" customHeight="false" outlineLevel="0" collapsed="false">
      <c r="A624" s="16" t="n">
        <f aca="false">RANK(G624,$G$2:$G$2501)+COUNTIF($G$2:G624,G624)-1</f>
        <v>623</v>
      </c>
      <c r="B624" s="11" t="s">
        <v>1724</v>
      </c>
      <c r="C624" s="11" t="s">
        <v>1725</v>
      </c>
      <c r="D624" s="5" t="s">
        <v>56</v>
      </c>
      <c r="E624" s="5" t="s">
        <v>57</v>
      </c>
      <c r="F624" s="5"/>
      <c r="G624" s="22" t="n">
        <f aca="false">ROUND(SUM(I624:P624),3)</f>
        <v>67.52</v>
      </c>
      <c r="H624" s="5" t="str">
        <f aca="false">IF(G624&gt;=評分方法!$C$16,"優先評估",IF(G624&gt;=評分方法!$C$17,"列入候選",IF(G624&gt;=評分方法!$C$18,"特定情境","不建議")))</f>
        <v>特定情境</v>
      </c>
      <c r="I624" s="15" t="n">
        <f aca="false">AE624*評分方法!$C$5</f>
        <v>25.5</v>
      </c>
      <c r="J624" s="15" t="n">
        <f aca="false">AF624*評分方法!$C$6</f>
        <v>0</v>
      </c>
      <c r="K624" s="15" t="n">
        <f aca="false">AG624*評分方法!$C$7</f>
        <v>4.95</v>
      </c>
      <c r="L624" s="15" t="n">
        <f aca="false">AH624*評分方法!$C$8</f>
        <v>13.05</v>
      </c>
      <c r="M624" s="15" t="n">
        <f aca="false">AI624*評分方法!$C$9</f>
        <v>10</v>
      </c>
      <c r="N624" s="15" t="n">
        <f aca="false">AJ624*評分方法!$C$10</f>
        <v>4.02</v>
      </c>
      <c r="O624" s="15" t="n">
        <f aca="false">AK624*評分方法!$C$11</f>
        <v>5</v>
      </c>
      <c r="P624" s="15" t="n">
        <f aca="false">AL624*評分方法!$C$12</f>
        <v>5</v>
      </c>
      <c r="Q624" s="6" t="n">
        <v>420714</v>
      </c>
      <c r="R624" s="6" t="n">
        <v>2661173724</v>
      </c>
      <c r="S624" s="11" t="s">
        <v>254</v>
      </c>
      <c r="T624" s="11" t="s">
        <v>239</v>
      </c>
      <c r="U624" s="5" t="s">
        <v>240</v>
      </c>
      <c r="V624" s="11" t="s">
        <v>261</v>
      </c>
      <c r="W624" s="5" t="s">
        <v>334</v>
      </c>
      <c r="X624" s="5" t="s">
        <v>284</v>
      </c>
      <c r="Y624" s="11" t="s">
        <v>836</v>
      </c>
      <c r="Z624" s="11" t="s">
        <v>244</v>
      </c>
      <c r="AA624" s="11" t="s">
        <v>155</v>
      </c>
      <c r="AB624" s="5" t="s">
        <v>328</v>
      </c>
      <c r="AC624" s="5" t="s">
        <v>340</v>
      </c>
      <c r="AD624" s="11" t="s">
        <v>1726</v>
      </c>
      <c r="AE624" s="23" t="n">
        <v>0.85</v>
      </c>
      <c r="AF624" s="23" t="n">
        <v>0</v>
      </c>
      <c r="AG624" s="23" t="n">
        <v>0.33</v>
      </c>
      <c r="AH624" s="23" t="n">
        <v>0.87</v>
      </c>
      <c r="AI624" s="23" t="n">
        <v>1</v>
      </c>
      <c r="AJ624" s="23" t="n">
        <v>0.402</v>
      </c>
      <c r="AK624" s="23" t="n">
        <v>1</v>
      </c>
      <c r="AL624" s="23" t="n">
        <v>1</v>
      </c>
      <c r="AM624" s="16" t="n">
        <f aca="false">COUNTIFS($D$2:$D$2501,D624,$G$2:$G$2501,"&gt;"&amp;G624)+COUNTIFS($D$2:D624,D624,$G$2:G624,G624)</f>
        <v>337</v>
      </c>
      <c r="AN624" s="5" t="str">
        <f aca="false">D624&amp;"|"&amp;AM624</f>
        <v>分析與報告生成|337</v>
      </c>
    </row>
    <row r="625" customFormat="false" ht="17.15" hidden="false" customHeight="false" outlineLevel="0" collapsed="false">
      <c r="A625" s="16" t="n">
        <f aca="false">RANK(G625,$G$2:$G$2501)+COUNTIF($G$2:G625,G625)-1</f>
        <v>624</v>
      </c>
      <c r="B625" s="11" t="s">
        <v>1727</v>
      </c>
      <c r="C625" s="11" t="s">
        <v>1728</v>
      </c>
      <c r="D625" s="5" t="s">
        <v>58</v>
      </c>
      <c r="E625" s="5" t="s">
        <v>59</v>
      </c>
      <c r="F625" s="5"/>
      <c r="G625" s="22" t="n">
        <f aca="false">ROUND(SUM(I625:P625),3)</f>
        <v>67.518</v>
      </c>
      <c r="H625" s="5" t="str">
        <f aca="false">IF(G625&gt;=評分方法!$C$16,"優先評估",IF(G625&gt;=評分方法!$C$17,"列入候選",IF(G625&gt;=評分方法!$C$18,"特定情境","不建議")))</f>
        <v>特定情境</v>
      </c>
      <c r="I625" s="15" t="n">
        <f aca="false">AE625*評分方法!$C$5</f>
        <v>28.5</v>
      </c>
      <c r="J625" s="15" t="n">
        <f aca="false">AF625*評分方法!$C$6</f>
        <v>0</v>
      </c>
      <c r="K625" s="15" t="n">
        <f aca="false">AG625*評分方法!$C$7</f>
        <v>10.05</v>
      </c>
      <c r="L625" s="15" t="n">
        <f aca="false">AH625*評分方法!$C$8</f>
        <v>15</v>
      </c>
      <c r="M625" s="15" t="n">
        <f aca="false">AI625*評分方法!$C$9</f>
        <v>2</v>
      </c>
      <c r="N625" s="15" t="n">
        <f aca="false">AJ625*評分方法!$C$10</f>
        <v>9.468</v>
      </c>
      <c r="O625" s="15" t="n">
        <f aca="false">AK625*評分方法!$C$11</f>
        <v>1</v>
      </c>
      <c r="P625" s="15" t="n">
        <f aca="false">AL625*評分方法!$C$12</f>
        <v>1.5</v>
      </c>
      <c r="Q625" s="6" t="n">
        <v>8241243</v>
      </c>
      <c r="R625" s="6" t="n">
        <v>333588489</v>
      </c>
      <c r="S625" s="11" t="s">
        <v>238</v>
      </c>
      <c r="T625" s="5"/>
      <c r="U625" s="5" t="s">
        <v>375</v>
      </c>
      <c r="V625" s="11" t="s">
        <v>279</v>
      </c>
      <c r="W625" s="5" t="s">
        <v>207</v>
      </c>
      <c r="X625" s="5" t="s">
        <v>255</v>
      </c>
      <c r="Y625" s="5"/>
      <c r="Z625" s="5"/>
      <c r="AA625" s="11" t="s">
        <v>150</v>
      </c>
      <c r="AB625" s="5" t="s">
        <v>245</v>
      </c>
      <c r="AC625" s="5" t="s">
        <v>262</v>
      </c>
      <c r="AD625" s="11" t="s">
        <v>1729</v>
      </c>
      <c r="AE625" s="23" t="n">
        <v>0.95</v>
      </c>
      <c r="AF625" s="23" t="n">
        <v>0</v>
      </c>
      <c r="AG625" s="23" t="n">
        <v>0.67</v>
      </c>
      <c r="AH625" s="23" t="n">
        <v>1</v>
      </c>
      <c r="AI625" s="23" t="n">
        <v>0.2</v>
      </c>
      <c r="AJ625" s="23" t="n">
        <v>0.9468</v>
      </c>
      <c r="AK625" s="23" t="n">
        <v>0.2</v>
      </c>
      <c r="AL625" s="23" t="n">
        <v>0.3</v>
      </c>
      <c r="AM625" s="16" t="n">
        <f aca="false">COUNTIFS($D$2:$D$2501,D625,$G$2:$G$2501,"&gt;"&amp;G625)+COUNTIFS($D$2:D625,D625,$G$2:G625,G625)</f>
        <v>52</v>
      </c>
      <c r="AN625" s="5" t="str">
        <f aca="false">D625&amp;"|"&amp;AM625</f>
        <v>實體擷取與去識別化|52</v>
      </c>
    </row>
    <row r="626" customFormat="false" ht="17.15" hidden="false" customHeight="false" outlineLevel="0" collapsed="false">
      <c r="A626" s="16" t="n">
        <f aca="false">RANK(G626,$G$2:$G$2501)+COUNTIF($G$2:G626,G626)-1</f>
        <v>625</v>
      </c>
      <c r="B626" s="11" t="s">
        <v>1730</v>
      </c>
      <c r="C626" s="11" t="s">
        <v>1202</v>
      </c>
      <c r="D626" s="5" t="s">
        <v>54</v>
      </c>
      <c r="E626" s="5" t="s">
        <v>55</v>
      </c>
      <c r="F626" s="5"/>
      <c r="G626" s="22" t="n">
        <f aca="false">ROUND(SUM(I626:P626),3)</f>
        <v>67.518</v>
      </c>
      <c r="H626" s="5" t="str">
        <f aca="false">IF(G626&gt;=評分方法!$C$16,"優先評估",IF(G626&gt;=評分方法!$C$17,"列入候選",IF(G626&gt;=評分方法!$C$18,"特定情境","不建議")))</f>
        <v>特定情境</v>
      </c>
      <c r="I626" s="15" t="n">
        <f aca="false">AE626*評分方法!$C$5</f>
        <v>27</v>
      </c>
      <c r="J626" s="15" t="n">
        <f aca="false">AF626*評分方法!$C$6</f>
        <v>0</v>
      </c>
      <c r="K626" s="15" t="n">
        <f aca="false">AG626*評分方法!$C$7</f>
        <v>4.95</v>
      </c>
      <c r="L626" s="15" t="n">
        <f aca="false">AH626*評分方法!$C$8</f>
        <v>15</v>
      </c>
      <c r="M626" s="15" t="n">
        <f aca="false">AI626*評分方法!$C$9</f>
        <v>10</v>
      </c>
      <c r="N626" s="15" t="n">
        <f aca="false">AJ626*評分方法!$C$10</f>
        <v>3.068</v>
      </c>
      <c r="O626" s="15" t="n">
        <f aca="false">AK626*評分方法!$C$11</f>
        <v>2.5</v>
      </c>
      <c r="P626" s="15" t="n">
        <f aca="false">AL626*評分方法!$C$12</f>
        <v>5</v>
      </c>
      <c r="Q626" s="6" t="n">
        <v>300471</v>
      </c>
      <c r="R626" s="6" t="n">
        <v>128269824</v>
      </c>
      <c r="S626" s="11" t="s">
        <v>238</v>
      </c>
      <c r="T626" s="11" t="s">
        <v>278</v>
      </c>
      <c r="U626" s="5" t="s">
        <v>240</v>
      </c>
      <c r="V626" s="11" t="s">
        <v>241</v>
      </c>
      <c r="W626" s="5" t="s">
        <v>334</v>
      </c>
      <c r="X626" s="5" t="s">
        <v>284</v>
      </c>
      <c r="Y626" s="11" t="s">
        <v>319</v>
      </c>
      <c r="Z626" s="11" t="s">
        <v>244</v>
      </c>
      <c r="AA626" s="11" t="s">
        <v>152</v>
      </c>
      <c r="AB626" s="5" t="s">
        <v>496</v>
      </c>
      <c r="AC626" s="5" t="s">
        <v>555</v>
      </c>
      <c r="AD626" s="11" t="s">
        <v>1731</v>
      </c>
      <c r="AE626" s="23" t="n">
        <v>0.9</v>
      </c>
      <c r="AF626" s="23" t="n">
        <v>0</v>
      </c>
      <c r="AG626" s="23" t="n">
        <v>0.33</v>
      </c>
      <c r="AH626" s="23" t="n">
        <v>1</v>
      </c>
      <c r="AI626" s="23" t="n">
        <v>1</v>
      </c>
      <c r="AJ626" s="23" t="n">
        <v>0.3068</v>
      </c>
      <c r="AK626" s="23" t="n">
        <v>0.5</v>
      </c>
      <c r="AL626" s="23" t="n">
        <v>1</v>
      </c>
      <c r="AM626" s="16" t="n">
        <f aca="false">COUNTIFS($D$2:$D$2501,D626,$G$2:$G$2501,"&gt;"&amp;G626)+COUNTIFS($D$2:D626,D626,$G$2:G626,G626)</f>
        <v>134</v>
      </c>
      <c r="AN626" s="5" t="str">
        <f aca="false">D626&amp;"|"&amp;AM626</f>
        <v>檢索與情資關聯|134</v>
      </c>
    </row>
    <row r="627" customFormat="false" ht="17.15" hidden="false" customHeight="false" outlineLevel="0" collapsed="false">
      <c r="A627" s="16" t="n">
        <f aca="false">RANK(G627,$G$2:$G$2501)+COUNTIF($G$2:G627,G627)-1</f>
        <v>626</v>
      </c>
      <c r="B627" s="11" t="s">
        <v>1732</v>
      </c>
      <c r="C627" s="11" t="s">
        <v>1733</v>
      </c>
      <c r="D627" s="5" t="s">
        <v>56</v>
      </c>
      <c r="E627" s="5" t="s">
        <v>57</v>
      </c>
      <c r="F627" s="5"/>
      <c r="G627" s="22" t="n">
        <f aca="false">ROUND(SUM(I627:P627),3)</f>
        <v>67.456</v>
      </c>
      <c r="H627" s="5" t="str">
        <f aca="false">IF(G627&gt;=評分方法!$C$16,"優先評估",IF(G627&gt;=評分方法!$C$17,"列入候選",IF(G627&gt;=評分方法!$C$18,"特定情境","不建議")))</f>
        <v>特定情境</v>
      </c>
      <c r="I627" s="15" t="n">
        <f aca="false">AE627*評分方法!$C$5</f>
        <v>25.5</v>
      </c>
      <c r="J627" s="15" t="n">
        <f aca="false">AF627*評分方法!$C$6</f>
        <v>0</v>
      </c>
      <c r="K627" s="15" t="n">
        <f aca="false">AG627*評分方法!$C$7</f>
        <v>10.05</v>
      </c>
      <c r="L627" s="15" t="n">
        <f aca="false">AH627*評分方法!$C$8</f>
        <v>13.05</v>
      </c>
      <c r="M627" s="15" t="n">
        <f aca="false">AI627*評分方法!$C$9</f>
        <v>10</v>
      </c>
      <c r="N627" s="15" t="n">
        <f aca="false">AJ627*評分方法!$C$10</f>
        <v>3.856</v>
      </c>
      <c r="O627" s="15" t="n">
        <f aca="false">AK627*評分方法!$C$11</f>
        <v>5</v>
      </c>
      <c r="P627" s="15" t="n">
        <f aca="false">AL627*評分方法!$C$12</f>
        <v>0</v>
      </c>
      <c r="Q627" s="6" t="n">
        <v>398913</v>
      </c>
      <c r="R627" s="6" t="n">
        <v>3085938688</v>
      </c>
      <c r="S627" s="11" t="s">
        <v>254</v>
      </c>
      <c r="T627" s="11" t="s">
        <v>239</v>
      </c>
      <c r="U627" s="5" t="s">
        <v>240</v>
      </c>
      <c r="V627" s="11" t="s">
        <v>333</v>
      </c>
      <c r="W627" s="5" t="s">
        <v>207</v>
      </c>
      <c r="X627" s="5" t="s">
        <v>242</v>
      </c>
      <c r="Y627" s="11" t="s">
        <v>1734</v>
      </c>
      <c r="Z627" s="11" t="s">
        <v>244</v>
      </c>
      <c r="AA627" s="11" t="s">
        <v>156</v>
      </c>
      <c r="AB627" s="5" t="s">
        <v>496</v>
      </c>
      <c r="AC627" s="5" t="s">
        <v>555</v>
      </c>
      <c r="AD627" s="11" t="s">
        <v>1735</v>
      </c>
      <c r="AE627" s="23" t="n">
        <v>0.85</v>
      </c>
      <c r="AF627" s="23" t="n">
        <v>0</v>
      </c>
      <c r="AG627" s="23" t="n">
        <v>0.67</v>
      </c>
      <c r="AH627" s="23" t="n">
        <v>0.87</v>
      </c>
      <c r="AI627" s="23" t="n">
        <v>1</v>
      </c>
      <c r="AJ627" s="23" t="n">
        <v>0.3856</v>
      </c>
      <c r="AK627" s="23" t="n">
        <v>1</v>
      </c>
      <c r="AL627" s="23" t="n">
        <v>0</v>
      </c>
      <c r="AM627" s="16" t="n">
        <f aca="false">COUNTIFS($D$2:$D$2501,D627,$G$2:$G$2501,"&gt;"&amp;G627)+COUNTIFS($D$2:D627,D627,$G$2:G627,G627)</f>
        <v>338</v>
      </c>
      <c r="AN627" s="5" t="str">
        <f aca="false">D627&amp;"|"&amp;AM627</f>
        <v>分析與報告生成|338</v>
      </c>
    </row>
    <row r="628" customFormat="false" ht="17.15" hidden="false" customHeight="false" outlineLevel="0" collapsed="false">
      <c r="A628" s="16" t="n">
        <f aca="false">RANK(G628,$G$2:$G$2501)+COUNTIF($G$2:G628,G628)-1</f>
        <v>627</v>
      </c>
      <c r="B628" s="11" t="s">
        <v>1736</v>
      </c>
      <c r="C628" s="11" t="s">
        <v>579</v>
      </c>
      <c r="D628" s="5" t="s">
        <v>68</v>
      </c>
      <c r="E628" s="11" t="s">
        <v>69</v>
      </c>
      <c r="F628" s="5"/>
      <c r="G628" s="22" t="n">
        <f aca="false">ROUND(SUM(I628:P628),3)</f>
        <v>67.432</v>
      </c>
      <c r="H628" s="5" t="str">
        <f aca="false">IF(G628&gt;=評分方法!$C$16,"優先評估",IF(G628&gt;=評分方法!$C$17,"列入候選",IF(G628&gt;=評分方法!$C$18,"特定情境","不建議")))</f>
        <v>特定情境</v>
      </c>
      <c r="I628" s="15" t="n">
        <f aca="false">AE628*評分方法!$C$5</f>
        <v>21</v>
      </c>
      <c r="J628" s="15" t="n">
        <f aca="false">AF628*評分方法!$C$6</f>
        <v>0</v>
      </c>
      <c r="K628" s="15" t="n">
        <f aca="false">AG628*評分方法!$C$7</f>
        <v>15</v>
      </c>
      <c r="L628" s="15" t="n">
        <f aca="false">AH628*評分方法!$C$8</f>
        <v>15</v>
      </c>
      <c r="M628" s="15" t="n">
        <f aca="false">AI628*評分方法!$C$9</f>
        <v>10</v>
      </c>
      <c r="N628" s="15" t="n">
        <f aca="false">AJ628*評分方法!$C$10</f>
        <v>0.932</v>
      </c>
      <c r="O628" s="15" t="n">
        <f aca="false">AK628*評分方法!$C$11</f>
        <v>4</v>
      </c>
      <c r="P628" s="15" t="n">
        <f aca="false">AL628*評分方法!$C$12</f>
        <v>1.5</v>
      </c>
      <c r="Q628" s="6" t="n">
        <v>151079</v>
      </c>
      <c r="R628" s="6" t="n">
        <v>201374976</v>
      </c>
      <c r="S628" s="11" t="s">
        <v>238</v>
      </c>
      <c r="T628" s="11" t="s">
        <v>239</v>
      </c>
      <c r="U628" s="5" t="s">
        <v>240</v>
      </c>
      <c r="V628" s="11" t="s">
        <v>261</v>
      </c>
      <c r="W628" s="5" t="s">
        <v>205</v>
      </c>
      <c r="X628" s="5" t="s">
        <v>255</v>
      </c>
      <c r="Y628" s="5"/>
      <c r="Z628" s="5"/>
      <c r="AA628" s="11" t="s">
        <v>158</v>
      </c>
      <c r="AB628" s="5" t="s">
        <v>245</v>
      </c>
      <c r="AC628" s="5"/>
      <c r="AD628" s="11" t="s">
        <v>1737</v>
      </c>
      <c r="AE628" s="23" t="n">
        <v>0.7</v>
      </c>
      <c r="AF628" s="23" t="n">
        <v>0</v>
      </c>
      <c r="AG628" s="23" t="n">
        <v>1</v>
      </c>
      <c r="AH628" s="23" t="n">
        <v>1</v>
      </c>
      <c r="AI628" s="23" t="n">
        <v>1</v>
      </c>
      <c r="AJ628" s="23" t="n">
        <v>0.0932</v>
      </c>
      <c r="AK628" s="23" t="n">
        <v>0.8</v>
      </c>
      <c r="AL628" s="23" t="n">
        <v>0.3</v>
      </c>
      <c r="AM628" s="16" t="n">
        <f aca="false">COUNTIFS($D$2:$D$2501,D628,$G$2:$G$2501,"&gt;"&amp;G628)+COUNTIFS($D$2:D628,D628,$G$2:G628,G628)</f>
        <v>31</v>
      </c>
      <c r="AN628" s="5" t="str">
        <f aca="false">D628&amp;"|"&amp;AM628</f>
        <v>時序異常偵測|31</v>
      </c>
    </row>
    <row r="629" customFormat="false" ht="17.15" hidden="false" customHeight="false" outlineLevel="0" collapsed="false">
      <c r="A629" s="16" t="n">
        <f aca="false">RANK(G629,$G$2:$G$2501)+COUNTIF($G$2:G629,G629)-1</f>
        <v>628</v>
      </c>
      <c r="B629" s="11" t="s">
        <v>1738</v>
      </c>
      <c r="C629" s="11" t="s">
        <v>1739</v>
      </c>
      <c r="D629" s="5" t="s">
        <v>56</v>
      </c>
      <c r="E629" s="5" t="s">
        <v>57</v>
      </c>
      <c r="F629" s="5"/>
      <c r="G629" s="22" t="n">
        <f aca="false">ROUND(SUM(I629:P629),3)</f>
        <v>67.418</v>
      </c>
      <c r="H629" s="5" t="str">
        <f aca="false">IF(G629&gt;=評分方法!$C$16,"優先評估",IF(G629&gt;=評分方法!$C$17,"列入候選",IF(G629&gt;=評分方法!$C$18,"特定情境","不建議")))</f>
        <v>特定情境</v>
      </c>
      <c r="I629" s="15" t="n">
        <f aca="false">AE629*評分方法!$C$5</f>
        <v>25.5</v>
      </c>
      <c r="J629" s="15" t="n">
        <f aca="false">AF629*評分方法!$C$6</f>
        <v>0</v>
      </c>
      <c r="K629" s="15" t="n">
        <f aca="false">AG629*評分方法!$C$7</f>
        <v>4.95</v>
      </c>
      <c r="L629" s="15" t="n">
        <f aca="false">AH629*評分方法!$C$8</f>
        <v>9</v>
      </c>
      <c r="M629" s="15" t="n">
        <f aca="false">AI629*評分方法!$C$9</f>
        <v>10</v>
      </c>
      <c r="N629" s="15" t="n">
        <f aca="false">AJ629*評分方法!$C$10</f>
        <v>7.968</v>
      </c>
      <c r="O629" s="15" t="n">
        <f aca="false">AK629*評分方法!$C$11</f>
        <v>5</v>
      </c>
      <c r="P629" s="15" t="n">
        <f aca="false">AL629*評分方法!$C$12</f>
        <v>5</v>
      </c>
      <c r="Q629" s="6" t="n">
        <v>1525887</v>
      </c>
      <c r="R629" s="6" t="n">
        <v>11168796672</v>
      </c>
      <c r="S629" s="11" t="s">
        <v>389</v>
      </c>
      <c r="T629" s="11" t="s">
        <v>239</v>
      </c>
      <c r="U629" s="5" t="s">
        <v>240</v>
      </c>
      <c r="V629" s="11" t="s">
        <v>261</v>
      </c>
      <c r="W629" s="5" t="s">
        <v>334</v>
      </c>
      <c r="X629" s="5" t="s">
        <v>284</v>
      </c>
      <c r="Y629" s="11" t="s">
        <v>1740</v>
      </c>
      <c r="Z629" s="11" t="s">
        <v>270</v>
      </c>
      <c r="AA629" s="11" t="s">
        <v>155</v>
      </c>
      <c r="AB629" s="5" t="s">
        <v>245</v>
      </c>
      <c r="AC629" s="5"/>
      <c r="AD629" s="11" t="s">
        <v>1741</v>
      </c>
      <c r="AE629" s="23" t="n">
        <v>0.85</v>
      </c>
      <c r="AF629" s="23" t="n">
        <v>0</v>
      </c>
      <c r="AG629" s="23" t="n">
        <v>0.33</v>
      </c>
      <c r="AH629" s="23" t="n">
        <v>0.6</v>
      </c>
      <c r="AI629" s="23" t="n">
        <v>1</v>
      </c>
      <c r="AJ629" s="23" t="n">
        <v>0.7968</v>
      </c>
      <c r="AK629" s="23" t="n">
        <v>1</v>
      </c>
      <c r="AL629" s="23" t="n">
        <v>1</v>
      </c>
      <c r="AM629" s="16" t="n">
        <f aca="false">COUNTIFS($D$2:$D$2501,D629,$G$2:$G$2501,"&gt;"&amp;G629)+COUNTIFS($D$2:D629,D629,$G$2:G629,G629)</f>
        <v>339</v>
      </c>
      <c r="AN629" s="5" t="str">
        <f aca="false">D629&amp;"|"&amp;AM629</f>
        <v>分析與報告生成|339</v>
      </c>
    </row>
    <row r="630" customFormat="false" ht="17.15" hidden="false" customHeight="false" outlineLevel="0" collapsed="false">
      <c r="A630" s="16" t="n">
        <f aca="false">RANK(G630,$G$2:$G$2501)+COUNTIF($G$2:G630,G630)-1</f>
        <v>629</v>
      </c>
      <c r="B630" s="11" t="s">
        <v>1742</v>
      </c>
      <c r="C630" s="11" t="s">
        <v>368</v>
      </c>
      <c r="D630" s="5" t="s">
        <v>56</v>
      </c>
      <c r="E630" s="5" t="s">
        <v>57</v>
      </c>
      <c r="F630" s="5"/>
      <c r="G630" s="22" t="n">
        <f aca="false">ROUND(SUM(I630:P630),3)</f>
        <v>67.414</v>
      </c>
      <c r="H630" s="5" t="str">
        <f aca="false">IF(G630&gt;=評分方法!$C$16,"優先評估",IF(G630&gt;=評分方法!$C$17,"列入候選",IF(G630&gt;=評分方法!$C$18,"特定情境","不建議")))</f>
        <v>特定情境</v>
      </c>
      <c r="I630" s="15" t="n">
        <f aca="false">AE630*評分方法!$C$5</f>
        <v>25.5</v>
      </c>
      <c r="J630" s="15" t="n">
        <f aca="false">AF630*評分方法!$C$6</f>
        <v>0</v>
      </c>
      <c r="K630" s="15" t="n">
        <f aca="false">AG630*評分方法!$C$7</f>
        <v>15</v>
      </c>
      <c r="L630" s="15" t="n">
        <f aca="false">AH630*評分方法!$C$8</f>
        <v>13.05</v>
      </c>
      <c r="M630" s="15" t="n">
        <f aca="false">AI630*評分方法!$C$9</f>
        <v>6</v>
      </c>
      <c r="N630" s="15" t="n">
        <f aca="false">AJ630*評分方法!$C$10</f>
        <v>2.364</v>
      </c>
      <c r="O630" s="15" t="n">
        <f aca="false">AK630*評分方法!$C$11</f>
        <v>2.5</v>
      </c>
      <c r="P630" s="15" t="n">
        <f aca="false">AL630*評分方法!$C$12</f>
        <v>3</v>
      </c>
      <c r="Q630" s="6" t="n">
        <v>237055</v>
      </c>
      <c r="R630" s="6" t="n">
        <v>3033127152</v>
      </c>
      <c r="S630" s="11" t="s">
        <v>254</v>
      </c>
      <c r="T630" s="11" t="s">
        <v>658</v>
      </c>
      <c r="U630" s="5" t="s">
        <v>260</v>
      </c>
      <c r="V630" s="11" t="s">
        <v>261</v>
      </c>
      <c r="W630" s="5" t="s">
        <v>205</v>
      </c>
      <c r="X630" s="5" t="s">
        <v>371</v>
      </c>
      <c r="Y630" s="5"/>
      <c r="Z630" s="5"/>
      <c r="AA630" s="11" t="s">
        <v>156</v>
      </c>
      <c r="AB630" s="5" t="s">
        <v>245</v>
      </c>
      <c r="AC630" s="5" t="s">
        <v>262</v>
      </c>
      <c r="AD630" s="11" t="s">
        <v>1743</v>
      </c>
      <c r="AE630" s="23" t="n">
        <v>0.85</v>
      </c>
      <c r="AF630" s="23" t="n">
        <v>0</v>
      </c>
      <c r="AG630" s="23" t="n">
        <v>1</v>
      </c>
      <c r="AH630" s="23" t="n">
        <v>0.87</v>
      </c>
      <c r="AI630" s="23" t="n">
        <v>0.6</v>
      </c>
      <c r="AJ630" s="23" t="n">
        <v>0.2364</v>
      </c>
      <c r="AK630" s="23" t="n">
        <v>0.5</v>
      </c>
      <c r="AL630" s="23" t="n">
        <v>0.6</v>
      </c>
      <c r="AM630" s="16" t="n">
        <f aca="false">COUNTIFS($D$2:$D$2501,D630,$G$2:$G$2501,"&gt;"&amp;G630)+COUNTIFS($D$2:D630,D630,$G$2:G630,G630)</f>
        <v>340</v>
      </c>
      <c r="AN630" s="5" t="str">
        <f aca="false">D630&amp;"|"&amp;AM630</f>
        <v>分析與報告生成|340</v>
      </c>
    </row>
    <row r="631" customFormat="false" ht="17.15" hidden="false" customHeight="false" outlineLevel="0" collapsed="false">
      <c r="A631" s="16" t="n">
        <f aca="false">RANK(G631,$G$2:$G$2501)+COUNTIF($G$2:G631,G631)-1</f>
        <v>630</v>
      </c>
      <c r="B631" s="11" t="s">
        <v>1744</v>
      </c>
      <c r="C631" s="11" t="s">
        <v>1745</v>
      </c>
      <c r="D631" s="5" t="s">
        <v>54</v>
      </c>
      <c r="E631" s="5" t="s">
        <v>55</v>
      </c>
      <c r="F631" s="5"/>
      <c r="G631" s="22" t="n">
        <f aca="false">ROUND(SUM(I631:P631),3)</f>
        <v>67.412</v>
      </c>
      <c r="H631" s="5" t="str">
        <f aca="false">IF(G631&gt;=評分方法!$C$16,"優先評估",IF(G631&gt;=評分方法!$C$17,"列入候選",IF(G631&gt;=評分方法!$C$18,"特定情境","不建議")))</f>
        <v>特定情境</v>
      </c>
      <c r="I631" s="15" t="n">
        <f aca="false">AE631*評分方法!$C$5</f>
        <v>27</v>
      </c>
      <c r="J631" s="15" t="n">
        <f aca="false">AF631*評分方法!$C$6</f>
        <v>0</v>
      </c>
      <c r="K631" s="15" t="n">
        <f aca="false">AG631*評分方法!$C$7</f>
        <v>4.95</v>
      </c>
      <c r="L631" s="15" t="n">
        <f aca="false">AH631*評分方法!$C$8</f>
        <v>13.05</v>
      </c>
      <c r="M631" s="15" t="n">
        <f aca="false">AI631*評分方法!$C$9</f>
        <v>10</v>
      </c>
      <c r="N631" s="15" t="n">
        <f aca="false">AJ631*評分方法!$C$10</f>
        <v>8.412</v>
      </c>
      <c r="O631" s="15" t="n">
        <f aca="false">AK631*評分方法!$C$11</f>
        <v>4</v>
      </c>
      <c r="P631" s="15" t="n">
        <f aca="false">AL631*評分方法!$C$12</f>
        <v>0</v>
      </c>
      <c r="Q631" s="6" t="n">
        <v>2078161</v>
      </c>
      <c r="R631" s="6" t="n">
        <v>7329328014</v>
      </c>
      <c r="S631" s="11" t="s">
        <v>254</v>
      </c>
      <c r="T631" s="11" t="s">
        <v>278</v>
      </c>
      <c r="U631" s="5" t="s">
        <v>240</v>
      </c>
      <c r="V631" s="11" t="s">
        <v>261</v>
      </c>
      <c r="W631" s="5" t="s">
        <v>334</v>
      </c>
      <c r="X631" s="5" t="s">
        <v>242</v>
      </c>
      <c r="Y631" s="11" t="s">
        <v>564</v>
      </c>
      <c r="Z631" s="11" t="s">
        <v>244</v>
      </c>
      <c r="AA631" s="11" t="s">
        <v>153</v>
      </c>
      <c r="AB631" s="5" t="s">
        <v>245</v>
      </c>
      <c r="AC631" s="5" t="s">
        <v>246</v>
      </c>
      <c r="AD631" s="11" t="s">
        <v>1746</v>
      </c>
      <c r="AE631" s="23" t="n">
        <v>0.9</v>
      </c>
      <c r="AF631" s="23" t="n">
        <v>0</v>
      </c>
      <c r="AG631" s="23" t="n">
        <v>0.33</v>
      </c>
      <c r="AH631" s="23" t="n">
        <v>0.87</v>
      </c>
      <c r="AI631" s="23" t="n">
        <v>1</v>
      </c>
      <c r="AJ631" s="23" t="n">
        <v>0.8412</v>
      </c>
      <c r="AK631" s="23" t="n">
        <v>0.8</v>
      </c>
      <c r="AL631" s="23" t="n">
        <v>0</v>
      </c>
      <c r="AM631" s="16" t="n">
        <f aca="false">COUNTIFS($D$2:$D$2501,D631,$G$2:$G$2501,"&gt;"&amp;G631)+COUNTIFS($D$2:D631,D631,$G$2:G631,G631)</f>
        <v>135</v>
      </c>
      <c r="AN631" s="5" t="str">
        <f aca="false">D631&amp;"|"&amp;AM631</f>
        <v>檢索與情資關聯|135</v>
      </c>
    </row>
    <row r="632" customFormat="false" ht="17.15" hidden="false" customHeight="false" outlineLevel="0" collapsed="false">
      <c r="A632" s="16" t="n">
        <f aca="false">RANK(G632,$G$2:$G$2501)+COUNTIF($G$2:G632,G632)-1</f>
        <v>631</v>
      </c>
      <c r="B632" s="11" t="s">
        <v>1747</v>
      </c>
      <c r="C632" s="11" t="s">
        <v>753</v>
      </c>
      <c r="D632" s="5" t="s">
        <v>56</v>
      </c>
      <c r="E632" s="5" t="s">
        <v>57</v>
      </c>
      <c r="F632" s="5"/>
      <c r="G632" s="22" t="n">
        <f aca="false">ROUND(SUM(I632:P632),3)</f>
        <v>67.41</v>
      </c>
      <c r="H632" s="5" t="str">
        <f aca="false">IF(G632&gt;=評分方法!$C$16,"優先評估",IF(G632&gt;=評分方法!$C$17,"列入候選",IF(G632&gt;=評分方法!$C$18,"特定情境","不建議")))</f>
        <v>特定情境</v>
      </c>
      <c r="I632" s="15" t="n">
        <f aca="false">AE632*評分方法!$C$5</f>
        <v>25.5</v>
      </c>
      <c r="J632" s="15" t="n">
        <f aca="false">AF632*評分方法!$C$6</f>
        <v>0</v>
      </c>
      <c r="K632" s="15" t="n">
        <f aca="false">AG632*評分方法!$C$7</f>
        <v>10.05</v>
      </c>
      <c r="L632" s="15" t="n">
        <f aca="false">AH632*評分方法!$C$8</f>
        <v>15</v>
      </c>
      <c r="M632" s="15" t="n">
        <f aca="false">AI632*評分方法!$C$9</f>
        <v>10</v>
      </c>
      <c r="N632" s="15" t="n">
        <f aca="false">AJ632*評分方法!$C$10</f>
        <v>4.36</v>
      </c>
      <c r="O632" s="15" t="n">
        <f aca="false">AK632*評分方法!$C$11</f>
        <v>2.5</v>
      </c>
      <c r="P632" s="15" t="n">
        <f aca="false">AL632*評分方法!$C$12</f>
        <v>0</v>
      </c>
      <c r="Q632" s="6" t="n">
        <v>477825</v>
      </c>
      <c r="R632" s="6" t="n">
        <v>134515008</v>
      </c>
      <c r="S632" s="11" t="s">
        <v>238</v>
      </c>
      <c r="T632" s="11" t="s">
        <v>239</v>
      </c>
      <c r="U632" s="5" t="s">
        <v>240</v>
      </c>
      <c r="V632" s="11" t="s">
        <v>333</v>
      </c>
      <c r="W632" s="5" t="s">
        <v>207</v>
      </c>
      <c r="X632" s="5" t="s">
        <v>242</v>
      </c>
      <c r="Y632" s="11" t="s">
        <v>559</v>
      </c>
      <c r="Z632" s="11" t="s">
        <v>244</v>
      </c>
      <c r="AA632" s="11" t="s">
        <v>155</v>
      </c>
      <c r="AB632" s="5" t="s">
        <v>496</v>
      </c>
      <c r="AC632" s="5" t="s">
        <v>555</v>
      </c>
      <c r="AD632" s="11" t="s">
        <v>1748</v>
      </c>
      <c r="AE632" s="23" t="n">
        <v>0.85</v>
      </c>
      <c r="AF632" s="23" t="n">
        <v>0</v>
      </c>
      <c r="AG632" s="23" t="n">
        <v>0.67</v>
      </c>
      <c r="AH632" s="23" t="n">
        <v>1</v>
      </c>
      <c r="AI632" s="23" t="n">
        <v>1</v>
      </c>
      <c r="AJ632" s="23" t="n">
        <v>0.436</v>
      </c>
      <c r="AK632" s="23" t="n">
        <v>0.5</v>
      </c>
      <c r="AL632" s="23" t="n">
        <v>0</v>
      </c>
      <c r="AM632" s="16" t="n">
        <f aca="false">COUNTIFS($D$2:$D$2501,D632,$G$2:$G$2501,"&gt;"&amp;G632)+COUNTIFS($D$2:D632,D632,$G$2:G632,G632)</f>
        <v>341</v>
      </c>
      <c r="AN632" s="5" t="str">
        <f aca="false">D632&amp;"|"&amp;AM632</f>
        <v>分析與報告生成|341</v>
      </c>
    </row>
    <row r="633" customFormat="false" ht="17.15" hidden="false" customHeight="false" outlineLevel="0" collapsed="false">
      <c r="A633" s="16" t="n">
        <f aca="false">RANK(G633,$G$2:$G$2501)+COUNTIF($G$2:G633,G633)-1</f>
        <v>632</v>
      </c>
      <c r="B633" s="11" t="s">
        <v>1749</v>
      </c>
      <c r="C633" s="11" t="s">
        <v>753</v>
      </c>
      <c r="D633" s="5" t="s">
        <v>56</v>
      </c>
      <c r="E633" s="5" t="s">
        <v>57</v>
      </c>
      <c r="F633" s="5"/>
      <c r="G633" s="22" t="n">
        <f aca="false">ROUND(SUM(I633:P633),3)</f>
        <v>67.406</v>
      </c>
      <c r="H633" s="5" t="str">
        <f aca="false">IF(G633&gt;=評分方法!$C$16,"優先評估",IF(G633&gt;=評分方法!$C$17,"列入候選",IF(G633&gt;=評分方法!$C$18,"特定情境","不建議")))</f>
        <v>特定情境</v>
      </c>
      <c r="I633" s="15" t="n">
        <f aca="false">AE633*評分方法!$C$5</f>
        <v>25.5</v>
      </c>
      <c r="J633" s="15" t="n">
        <f aca="false">AF633*評分方法!$C$6</f>
        <v>0</v>
      </c>
      <c r="K633" s="15" t="n">
        <f aca="false">AG633*評分方法!$C$7</f>
        <v>10.05</v>
      </c>
      <c r="L633" s="15" t="n">
        <f aca="false">AH633*評分方法!$C$8</f>
        <v>15</v>
      </c>
      <c r="M633" s="15" t="n">
        <f aca="false">AI633*評分方法!$C$9</f>
        <v>6</v>
      </c>
      <c r="N633" s="15" t="n">
        <f aca="false">AJ633*評分方法!$C$10</f>
        <v>5.356</v>
      </c>
      <c r="O633" s="15" t="n">
        <f aca="false">AK633*評分方法!$C$11</f>
        <v>2.5</v>
      </c>
      <c r="P633" s="15" t="n">
        <f aca="false">AL633*評分方法!$C$12</f>
        <v>3</v>
      </c>
      <c r="Q633" s="6" t="n">
        <v>564034</v>
      </c>
      <c r="R633" s="6" t="n">
        <v>268098176</v>
      </c>
      <c r="S633" s="11" t="s">
        <v>238</v>
      </c>
      <c r="T633" s="11" t="s">
        <v>658</v>
      </c>
      <c r="U633" s="5" t="s">
        <v>260</v>
      </c>
      <c r="V633" s="11" t="s">
        <v>333</v>
      </c>
      <c r="W633" s="5" t="s">
        <v>207</v>
      </c>
      <c r="X633" s="5" t="s">
        <v>371</v>
      </c>
      <c r="Y633" s="11" t="s">
        <v>809</v>
      </c>
      <c r="Z633" s="11" t="s">
        <v>244</v>
      </c>
      <c r="AA633" s="11" t="s">
        <v>155</v>
      </c>
      <c r="AB633" s="5" t="s">
        <v>245</v>
      </c>
      <c r="AC633" s="5" t="s">
        <v>464</v>
      </c>
      <c r="AD633" s="11" t="s">
        <v>1750</v>
      </c>
      <c r="AE633" s="23" t="n">
        <v>0.85</v>
      </c>
      <c r="AF633" s="23" t="n">
        <v>0</v>
      </c>
      <c r="AG633" s="23" t="n">
        <v>0.67</v>
      </c>
      <c r="AH633" s="23" t="n">
        <v>1</v>
      </c>
      <c r="AI633" s="23" t="n">
        <v>0.6</v>
      </c>
      <c r="AJ633" s="23" t="n">
        <v>0.5356</v>
      </c>
      <c r="AK633" s="23" t="n">
        <v>0.5</v>
      </c>
      <c r="AL633" s="23" t="n">
        <v>0.6</v>
      </c>
      <c r="AM633" s="16" t="n">
        <f aca="false">COUNTIFS($D$2:$D$2501,D633,$G$2:$G$2501,"&gt;"&amp;G633)+COUNTIFS($D$2:D633,D633,$G$2:G633,G633)</f>
        <v>342</v>
      </c>
      <c r="AN633" s="5" t="str">
        <f aca="false">D633&amp;"|"&amp;AM633</f>
        <v>分析與報告生成|342</v>
      </c>
    </row>
    <row r="634" customFormat="false" ht="17.15" hidden="false" customHeight="false" outlineLevel="0" collapsed="false">
      <c r="A634" s="16" t="n">
        <f aca="false">RANK(G634,$G$2:$G$2501)+COUNTIF($G$2:G634,G634)-1</f>
        <v>633</v>
      </c>
      <c r="B634" s="11" t="s">
        <v>1751</v>
      </c>
      <c r="C634" s="11" t="s">
        <v>1752</v>
      </c>
      <c r="D634" s="5" t="s">
        <v>66</v>
      </c>
      <c r="E634" s="5" t="s">
        <v>67</v>
      </c>
      <c r="F634" s="5"/>
      <c r="G634" s="22" t="n">
        <f aca="false">ROUND(SUM(I634:P634),3)</f>
        <v>67.39</v>
      </c>
      <c r="H634" s="5" t="str">
        <f aca="false">IF(G634&gt;=評分方法!$C$16,"優先評估",IF(G634&gt;=評分方法!$C$17,"列入候選",IF(G634&gt;=評分方法!$C$18,"特定情境","不建議")))</f>
        <v>特定情境</v>
      </c>
      <c r="I634" s="15" t="n">
        <f aca="false">AE634*評分方法!$C$5</f>
        <v>30</v>
      </c>
      <c r="J634" s="15" t="n">
        <f aca="false">AF634*評分方法!$C$6</f>
        <v>0</v>
      </c>
      <c r="K634" s="15" t="n">
        <f aca="false">AG634*評分方法!$C$7</f>
        <v>4.95</v>
      </c>
      <c r="L634" s="15" t="n">
        <f aca="false">AH634*評分方法!$C$8</f>
        <v>15</v>
      </c>
      <c r="M634" s="15" t="n">
        <f aca="false">AI634*評分方法!$C$9</f>
        <v>10</v>
      </c>
      <c r="N634" s="15" t="n">
        <f aca="false">AJ634*評分方法!$C$10</f>
        <v>4.94</v>
      </c>
      <c r="O634" s="15" t="n">
        <f aca="false">AK634*評分方法!$C$11</f>
        <v>2.5</v>
      </c>
      <c r="P634" s="15" t="n">
        <f aca="false">AL634*評分方法!$C$12</f>
        <v>0</v>
      </c>
      <c r="Q634" s="6" t="n">
        <v>533446</v>
      </c>
      <c r="R634" s="6" t="n">
        <v>66956548</v>
      </c>
      <c r="S634" s="11" t="s">
        <v>238</v>
      </c>
      <c r="T634" s="11" t="s">
        <v>278</v>
      </c>
      <c r="U634" s="5" t="s">
        <v>240</v>
      </c>
      <c r="V634" s="11" t="s">
        <v>288</v>
      </c>
      <c r="W634" s="5" t="s">
        <v>334</v>
      </c>
      <c r="X634" s="5" t="s">
        <v>242</v>
      </c>
      <c r="Y634" s="11" t="s">
        <v>396</v>
      </c>
      <c r="Z634" s="11" t="s">
        <v>244</v>
      </c>
      <c r="AA634" s="11" t="s">
        <v>149</v>
      </c>
      <c r="AB634" s="5" t="s">
        <v>245</v>
      </c>
      <c r="AC634" s="5" t="s">
        <v>246</v>
      </c>
      <c r="AD634" s="11" t="s">
        <v>1753</v>
      </c>
      <c r="AE634" s="23" t="n">
        <v>1</v>
      </c>
      <c r="AF634" s="23" t="n">
        <v>0</v>
      </c>
      <c r="AG634" s="23" t="n">
        <v>0.33</v>
      </c>
      <c r="AH634" s="23" t="n">
        <v>1</v>
      </c>
      <c r="AI634" s="23" t="n">
        <v>1</v>
      </c>
      <c r="AJ634" s="23" t="n">
        <v>0.494</v>
      </c>
      <c r="AK634" s="23" t="n">
        <v>0.5</v>
      </c>
      <c r="AL634" s="23" t="n">
        <v>0</v>
      </c>
      <c r="AM634" s="16" t="n">
        <f aca="false">COUNTIFS($D$2:$D$2501,D634,$G$2:$G$2501,"&gt;"&amp;G634)+COUNTIFS($D$2:D634,D634,$G$2:G634,G634)</f>
        <v>19</v>
      </c>
      <c r="AN634" s="5" t="str">
        <f aca="false">D634&amp;"|"&amp;AM634</f>
        <v>分類與偵測|19</v>
      </c>
    </row>
    <row r="635" customFormat="false" ht="17.15" hidden="false" customHeight="false" outlineLevel="0" collapsed="false">
      <c r="A635" s="16" t="n">
        <f aca="false">RANK(G635,$G$2:$G$2501)+COUNTIF($G$2:G635,G635)-1</f>
        <v>634</v>
      </c>
      <c r="B635" s="11" t="s">
        <v>1754</v>
      </c>
      <c r="C635" s="11" t="s">
        <v>548</v>
      </c>
      <c r="D635" s="5" t="s">
        <v>56</v>
      </c>
      <c r="E635" s="5" t="s">
        <v>57</v>
      </c>
      <c r="F635" s="5"/>
      <c r="G635" s="22" t="n">
        <f aca="false">ROUND(SUM(I635:P635),3)</f>
        <v>67.37</v>
      </c>
      <c r="H635" s="5" t="str">
        <f aca="false">IF(G635&gt;=評分方法!$C$16,"優先評估",IF(G635&gt;=評分方法!$C$17,"列入候選",IF(G635&gt;=評分方法!$C$18,"特定情境","不建議")))</f>
        <v>特定情境</v>
      </c>
      <c r="I635" s="15" t="n">
        <f aca="false">AE635*評分方法!$C$5</f>
        <v>25.5</v>
      </c>
      <c r="J635" s="15" t="n">
        <f aca="false">AF635*評分方法!$C$6</f>
        <v>0</v>
      </c>
      <c r="K635" s="15" t="n">
        <f aca="false">AG635*評分方法!$C$7</f>
        <v>15</v>
      </c>
      <c r="L635" s="15" t="n">
        <f aca="false">AH635*評分方法!$C$8</f>
        <v>13.05</v>
      </c>
      <c r="M635" s="15" t="n">
        <f aca="false">AI635*評分方法!$C$9</f>
        <v>10</v>
      </c>
      <c r="N635" s="15" t="n">
        <f aca="false">AJ635*評分方法!$C$10</f>
        <v>2.82</v>
      </c>
      <c r="O635" s="15" t="n">
        <f aca="false">AK635*評分方法!$C$11</f>
        <v>1</v>
      </c>
      <c r="P635" s="15" t="n">
        <f aca="false">AL635*評分方法!$C$12</f>
        <v>0</v>
      </c>
      <c r="Q635" s="6" t="n">
        <v>275684</v>
      </c>
      <c r="R635" s="6" t="n">
        <v>2909427008</v>
      </c>
      <c r="S635" s="11" t="s">
        <v>254</v>
      </c>
      <c r="T635" s="11" t="s">
        <v>239</v>
      </c>
      <c r="U635" s="5" t="s">
        <v>240</v>
      </c>
      <c r="V635" s="11" t="s">
        <v>324</v>
      </c>
      <c r="W635" s="5" t="s">
        <v>205</v>
      </c>
      <c r="X635" s="5" t="s">
        <v>242</v>
      </c>
      <c r="Y635" s="5"/>
      <c r="Z635" s="5"/>
      <c r="AA635" s="11" t="s">
        <v>155</v>
      </c>
      <c r="AB635" s="5" t="s">
        <v>245</v>
      </c>
      <c r="AC635" s="5"/>
      <c r="AD635" s="11" t="s">
        <v>1755</v>
      </c>
      <c r="AE635" s="23" t="n">
        <v>0.85</v>
      </c>
      <c r="AF635" s="23" t="n">
        <v>0</v>
      </c>
      <c r="AG635" s="23" t="n">
        <v>1</v>
      </c>
      <c r="AH635" s="23" t="n">
        <v>0.87</v>
      </c>
      <c r="AI635" s="23" t="n">
        <v>1</v>
      </c>
      <c r="AJ635" s="23" t="n">
        <v>0.282</v>
      </c>
      <c r="AK635" s="23" t="n">
        <v>0.2</v>
      </c>
      <c r="AL635" s="23" t="n">
        <v>0</v>
      </c>
      <c r="AM635" s="16" t="n">
        <f aca="false">COUNTIFS($D$2:$D$2501,D635,$G$2:$G$2501,"&gt;"&amp;G635)+COUNTIFS($D$2:D635,D635,$G$2:G635,G635)</f>
        <v>343</v>
      </c>
      <c r="AN635" s="5" t="str">
        <f aca="false">D635&amp;"|"&amp;AM635</f>
        <v>分析與報告生成|343</v>
      </c>
    </row>
    <row r="636" customFormat="false" ht="17.15" hidden="false" customHeight="false" outlineLevel="0" collapsed="false">
      <c r="A636" s="16" t="n">
        <f aca="false">RANK(G636,$G$2:$G$2501)+COUNTIF($G$2:G636,G636)-1</f>
        <v>635</v>
      </c>
      <c r="B636" s="11" t="s">
        <v>1756</v>
      </c>
      <c r="C636" s="11" t="s">
        <v>1718</v>
      </c>
      <c r="D636" s="5" t="s">
        <v>56</v>
      </c>
      <c r="E636" s="5" t="s">
        <v>57</v>
      </c>
      <c r="F636" s="5"/>
      <c r="G636" s="22" t="n">
        <f aca="false">ROUND(SUM(I636:P636),3)</f>
        <v>67.368</v>
      </c>
      <c r="H636" s="5" t="str">
        <f aca="false">IF(G636&gt;=評分方法!$C$16,"優先評估",IF(G636&gt;=評分方法!$C$17,"列入候選",IF(G636&gt;=評分方法!$C$18,"特定情境","不建議")))</f>
        <v>特定情境</v>
      </c>
      <c r="I636" s="15" t="n">
        <f aca="false">AE636*評分方法!$C$5</f>
        <v>25.5</v>
      </c>
      <c r="J636" s="15" t="n">
        <f aca="false">AF636*評分方法!$C$6</f>
        <v>0</v>
      </c>
      <c r="K636" s="15" t="n">
        <f aca="false">AG636*評分方法!$C$7</f>
        <v>4.95</v>
      </c>
      <c r="L636" s="15" t="n">
        <f aca="false">AH636*評分方法!$C$8</f>
        <v>13.05</v>
      </c>
      <c r="M636" s="15" t="n">
        <f aca="false">AI636*評分方法!$C$9</f>
        <v>10</v>
      </c>
      <c r="N636" s="15" t="n">
        <f aca="false">AJ636*評分方法!$C$10</f>
        <v>5.868</v>
      </c>
      <c r="O636" s="15" t="n">
        <f aca="false">AK636*評分方法!$C$11</f>
        <v>5</v>
      </c>
      <c r="P636" s="15" t="n">
        <f aca="false">AL636*評分方法!$C$12</f>
        <v>3</v>
      </c>
      <c r="Q636" s="6" t="n">
        <v>604333</v>
      </c>
      <c r="R636" s="6" t="n">
        <v>3451444224</v>
      </c>
      <c r="S636" s="11" t="s">
        <v>254</v>
      </c>
      <c r="T636" s="11" t="s">
        <v>239</v>
      </c>
      <c r="U636" s="5" t="s">
        <v>240</v>
      </c>
      <c r="V636" s="11" t="s">
        <v>333</v>
      </c>
      <c r="W636" s="5" t="s">
        <v>334</v>
      </c>
      <c r="X636" s="5" t="s">
        <v>371</v>
      </c>
      <c r="Y636" s="11" t="s">
        <v>1757</v>
      </c>
      <c r="Z636" s="11" t="s">
        <v>244</v>
      </c>
      <c r="AA636" s="11" t="s">
        <v>155</v>
      </c>
      <c r="AB636" s="5" t="s">
        <v>496</v>
      </c>
      <c r="AC636" s="5" t="s">
        <v>555</v>
      </c>
      <c r="AD636" s="11" t="s">
        <v>1758</v>
      </c>
      <c r="AE636" s="23" t="n">
        <v>0.85</v>
      </c>
      <c r="AF636" s="23" t="n">
        <v>0</v>
      </c>
      <c r="AG636" s="23" t="n">
        <v>0.33</v>
      </c>
      <c r="AH636" s="23" t="n">
        <v>0.87</v>
      </c>
      <c r="AI636" s="23" t="n">
        <v>1</v>
      </c>
      <c r="AJ636" s="23" t="n">
        <v>0.5868</v>
      </c>
      <c r="AK636" s="23" t="n">
        <v>1</v>
      </c>
      <c r="AL636" s="23" t="n">
        <v>0.6</v>
      </c>
      <c r="AM636" s="16" t="n">
        <f aca="false">COUNTIFS($D$2:$D$2501,D636,$G$2:$G$2501,"&gt;"&amp;G636)+COUNTIFS($D$2:D636,D636,$G$2:G636,G636)</f>
        <v>344</v>
      </c>
      <c r="AN636" s="5" t="str">
        <f aca="false">D636&amp;"|"&amp;AM636</f>
        <v>分析與報告生成|344</v>
      </c>
    </row>
    <row r="637" customFormat="false" ht="17.15" hidden="false" customHeight="false" outlineLevel="0" collapsed="false">
      <c r="A637" s="16" t="n">
        <f aca="false">RANK(G637,$G$2:$G$2501)+COUNTIF($G$2:G637,G637)-1</f>
        <v>636</v>
      </c>
      <c r="B637" s="11" t="s">
        <v>350</v>
      </c>
      <c r="C637" s="11" t="s">
        <v>399</v>
      </c>
      <c r="D637" s="5" t="s">
        <v>72</v>
      </c>
      <c r="E637" s="5" t="s">
        <v>73</v>
      </c>
      <c r="F637" s="5"/>
      <c r="G637" s="22" t="n">
        <f aca="false">ROUND(SUM(I637:P637),3)</f>
        <v>67.364</v>
      </c>
      <c r="H637" s="5" t="str">
        <f aca="false">IF(G637&gt;=評分方法!$C$16,"優先評估",IF(G637&gt;=評分方法!$C$17,"列入候選",IF(G637&gt;=評分方法!$C$18,"特定情境","不建議")))</f>
        <v>特定情境</v>
      </c>
      <c r="I637" s="15" t="n">
        <f aca="false">AE637*評分方法!$C$5</f>
        <v>15</v>
      </c>
      <c r="J637" s="15" t="n">
        <f aca="false">AF637*評分方法!$C$6</f>
        <v>0</v>
      </c>
      <c r="K637" s="15" t="n">
        <f aca="false">AG637*評分方法!$C$7</f>
        <v>15</v>
      </c>
      <c r="L637" s="15" t="n">
        <f aca="false">AH637*評分方法!$C$8</f>
        <v>15</v>
      </c>
      <c r="M637" s="15" t="n">
        <f aca="false">AI637*評分方法!$C$9</f>
        <v>10</v>
      </c>
      <c r="N637" s="15" t="n">
        <f aca="false">AJ637*評分方法!$C$10</f>
        <v>9.864</v>
      </c>
      <c r="O637" s="15" t="n">
        <f aca="false">AK637*評分方法!$C$11</f>
        <v>2.5</v>
      </c>
      <c r="P637" s="15" t="n">
        <f aca="false">AL637*評分方法!$C$12</f>
        <v>0</v>
      </c>
      <c r="Q637" s="6" t="n">
        <v>33172053</v>
      </c>
      <c r="R637" s="6" t="n">
        <v>149655232</v>
      </c>
      <c r="S637" s="11" t="s">
        <v>238</v>
      </c>
      <c r="T637" s="11" t="s">
        <v>239</v>
      </c>
      <c r="U637" s="5" t="s">
        <v>240</v>
      </c>
      <c r="V637" s="11" t="s">
        <v>288</v>
      </c>
      <c r="W637" s="5" t="s">
        <v>205</v>
      </c>
      <c r="X637" s="5" t="s">
        <v>242</v>
      </c>
      <c r="Y637" s="5"/>
      <c r="Z637" s="5"/>
      <c r="AA637" s="11" t="s">
        <v>162</v>
      </c>
      <c r="AB637" s="5" t="s">
        <v>245</v>
      </c>
      <c r="AC637" s="5"/>
      <c r="AD637" s="11" t="s">
        <v>1759</v>
      </c>
      <c r="AE637" s="23" t="n">
        <v>0.5</v>
      </c>
      <c r="AF637" s="23" t="n">
        <v>0</v>
      </c>
      <c r="AG637" s="23" t="n">
        <v>1</v>
      </c>
      <c r="AH637" s="23" t="n">
        <v>1</v>
      </c>
      <c r="AI637" s="23" t="n">
        <v>1</v>
      </c>
      <c r="AJ637" s="23" t="n">
        <v>0.9864</v>
      </c>
      <c r="AK637" s="23" t="n">
        <v>0.5</v>
      </c>
      <c r="AL637" s="23" t="n">
        <v>0</v>
      </c>
      <c r="AM637" s="16" t="n">
        <f aca="false">COUNTIFS($D$2:$D$2501,D637,$G$2:$G$2501,"&gt;"&amp;G637)+COUNTIFS($D$2:D637,D637,$G$2:G637,G637)</f>
        <v>7</v>
      </c>
      <c r="AN637" s="5" t="str">
        <f aca="false">D637&amp;"|"&amp;AM637</f>
        <v>微調基底模型|7</v>
      </c>
    </row>
    <row r="638" customFormat="false" ht="17.15" hidden="false" customHeight="false" outlineLevel="0" collapsed="false">
      <c r="A638" s="16" t="n">
        <f aca="false">RANK(G638,$G$2:$G$2501)+COUNTIF($G$2:G638,G638)-1</f>
        <v>637</v>
      </c>
      <c r="B638" s="11" t="s">
        <v>1760</v>
      </c>
      <c r="C638" s="11" t="s">
        <v>1761</v>
      </c>
      <c r="D638" s="5" t="s">
        <v>54</v>
      </c>
      <c r="E638" s="5" t="s">
        <v>55</v>
      </c>
      <c r="F638" s="5"/>
      <c r="G638" s="22" t="n">
        <f aca="false">ROUND(SUM(I638:P638),3)</f>
        <v>67.362</v>
      </c>
      <c r="H638" s="5" t="str">
        <f aca="false">IF(G638&gt;=評分方法!$C$16,"優先評估",IF(G638&gt;=評分方法!$C$17,"列入候選",IF(G638&gt;=評分方法!$C$18,"特定情境","不建議")))</f>
        <v>特定情境</v>
      </c>
      <c r="I638" s="15" t="n">
        <f aca="false">AE638*評分方法!$C$5</f>
        <v>27</v>
      </c>
      <c r="J638" s="15" t="n">
        <f aca="false">AF638*評分方法!$C$6</f>
        <v>0</v>
      </c>
      <c r="K638" s="15" t="n">
        <f aca="false">AG638*評分方法!$C$7</f>
        <v>10.05</v>
      </c>
      <c r="L638" s="15" t="n">
        <f aca="false">AH638*評分方法!$C$8</f>
        <v>15</v>
      </c>
      <c r="M638" s="15" t="n">
        <f aca="false">AI638*評分方法!$C$9</f>
        <v>10</v>
      </c>
      <c r="N638" s="15" t="n">
        <f aca="false">AJ638*評分方法!$C$10</f>
        <v>4.312</v>
      </c>
      <c r="O638" s="15" t="n">
        <f aca="false">AK638*評分方法!$C$11</f>
        <v>1</v>
      </c>
      <c r="P638" s="15" t="n">
        <f aca="false">AL638*評分方法!$C$12</f>
        <v>0</v>
      </c>
      <c r="Q638" s="6" t="n">
        <v>475750</v>
      </c>
      <c r="R638" s="6" t="n">
        <v>22565376</v>
      </c>
      <c r="S638" s="11" t="s">
        <v>238</v>
      </c>
      <c r="T638" s="11" t="s">
        <v>239</v>
      </c>
      <c r="U638" s="5" t="s">
        <v>240</v>
      </c>
      <c r="V638" s="11" t="s">
        <v>333</v>
      </c>
      <c r="W638" s="5" t="s">
        <v>207</v>
      </c>
      <c r="X638" s="5" t="s">
        <v>242</v>
      </c>
      <c r="Y638" s="11" t="s">
        <v>352</v>
      </c>
      <c r="Z638" s="11" t="s">
        <v>244</v>
      </c>
      <c r="AA638" s="11" t="s">
        <v>153</v>
      </c>
      <c r="AB638" s="5" t="s">
        <v>245</v>
      </c>
      <c r="AC638" s="5" t="s">
        <v>246</v>
      </c>
      <c r="AD638" s="11" t="s">
        <v>1762</v>
      </c>
      <c r="AE638" s="23" t="n">
        <v>0.9</v>
      </c>
      <c r="AF638" s="23" t="n">
        <v>0</v>
      </c>
      <c r="AG638" s="23" t="n">
        <v>0.67</v>
      </c>
      <c r="AH638" s="23" t="n">
        <v>1</v>
      </c>
      <c r="AI638" s="23" t="n">
        <v>1</v>
      </c>
      <c r="AJ638" s="23" t="n">
        <v>0.4312</v>
      </c>
      <c r="AK638" s="23" t="n">
        <v>0.2</v>
      </c>
      <c r="AL638" s="23" t="n">
        <v>0</v>
      </c>
      <c r="AM638" s="16" t="n">
        <f aca="false">COUNTIFS($D$2:$D$2501,D638,$G$2:$G$2501,"&gt;"&amp;G638)+COUNTIFS($D$2:D638,D638,$G$2:G638,G638)</f>
        <v>136</v>
      </c>
      <c r="AN638" s="5" t="str">
        <f aca="false">D638&amp;"|"&amp;AM638</f>
        <v>檢索與情資關聯|136</v>
      </c>
    </row>
    <row r="639" customFormat="false" ht="17.15" hidden="false" customHeight="false" outlineLevel="0" collapsed="false">
      <c r="A639" s="16" t="n">
        <f aca="false">RANK(G639,$G$2:$G$2501)+COUNTIF($G$2:G639,G639)-1</f>
        <v>638</v>
      </c>
      <c r="B639" s="11" t="s">
        <v>1763</v>
      </c>
      <c r="C639" s="11" t="s">
        <v>1111</v>
      </c>
      <c r="D639" s="5" t="s">
        <v>56</v>
      </c>
      <c r="E639" s="5" t="s">
        <v>57</v>
      </c>
      <c r="F639" s="5"/>
      <c r="G639" s="22" t="n">
        <f aca="false">ROUND(SUM(I639:P639),3)</f>
        <v>67.35</v>
      </c>
      <c r="H639" s="5" t="str">
        <f aca="false">IF(G639&gt;=評分方法!$C$16,"優先評估",IF(G639&gt;=評分方法!$C$17,"列入候選",IF(G639&gt;=評分方法!$C$18,"特定情境","不建議")))</f>
        <v>特定情境</v>
      </c>
      <c r="I639" s="15" t="n">
        <f aca="false">AE639*評分方法!$C$5</f>
        <v>24</v>
      </c>
      <c r="J639" s="15" t="n">
        <f aca="false">AF639*評分方法!$C$6</f>
        <v>0</v>
      </c>
      <c r="K639" s="15" t="n">
        <f aca="false">AG639*評分方法!$C$7</f>
        <v>10.05</v>
      </c>
      <c r="L639" s="15" t="n">
        <f aca="false">AH639*評分方法!$C$8</f>
        <v>9</v>
      </c>
      <c r="M639" s="15" t="n">
        <f aca="false">AI639*評分方法!$C$9</f>
        <v>10</v>
      </c>
      <c r="N639" s="15" t="n">
        <f aca="false">AJ639*評分方法!$C$10</f>
        <v>6.3</v>
      </c>
      <c r="O639" s="15" t="n">
        <f aca="false">AK639*評分方法!$C$11</f>
        <v>5</v>
      </c>
      <c r="P639" s="15" t="n">
        <f aca="false">AL639*評分方法!$C$12</f>
        <v>3</v>
      </c>
      <c r="Q639" s="6" t="n">
        <v>696339</v>
      </c>
      <c r="R639" s="6" t="n">
        <v>12966363184</v>
      </c>
      <c r="S639" s="11" t="s">
        <v>389</v>
      </c>
      <c r="T639" s="11" t="s">
        <v>239</v>
      </c>
      <c r="U639" s="5" t="s">
        <v>240</v>
      </c>
      <c r="V639" s="11" t="s">
        <v>261</v>
      </c>
      <c r="W639" s="5" t="s">
        <v>207</v>
      </c>
      <c r="X639" s="5" t="s">
        <v>371</v>
      </c>
      <c r="Y639" s="11" t="s">
        <v>755</v>
      </c>
      <c r="Z639" s="11" t="s">
        <v>244</v>
      </c>
      <c r="AA639" s="11" t="s">
        <v>157</v>
      </c>
      <c r="AB639" s="5" t="s">
        <v>245</v>
      </c>
      <c r="AC639" s="5" t="s">
        <v>246</v>
      </c>
      <c r="AD639" s="11" t="s">
        <v>1764</v>
      </c>
      <c r="AE639" s="23" t="n">
        <v>0.8</v>
      </c>
      <c r="AF639" s="23" t="n">
        <v>0</v>
      </c>
      <c r="AG639" s="23" t="n">
        <v>0.67</v>
      </c>
      <c r="AH639" s="23" t="n">
        <v>0.6</v>
      </c>
      <c r="AI639" s="23" t="n">
        <v>1</v>
      </c>
      <c r="AJ639" s="23" t="n">
        <v>0.63</v>
      </c>
      <c r="AK639" s="23" t="n">
        <v>1</v>
      </c>
      <c r="AL639" s="23" t="n">
        <v>0.6</v>
      </c>
      <c r="AM639" s="16" t="n">
        <f aca="false">COUNTIFS($D$2:$D$2501,D639,$G$2:$G$2501,"&gt;"&amp;G639)+COUNTIFS($D$2:D639,D639,$G$2:G639,G639)</f>
        <v>345</v>
      </c>
      <c r="AN639" s="5" t="str">
        <f aca="false">D639&amp;"|"&amp;AM639</f>
        <v>分析與報告生成|345</v>
      </c>
    </row>
    <row r="640" customFormat="false" ht="17.15" hidden="false" customHeight="false" outlineLevel="0" collapsed="false">
      <c r="A640" s="16" t="n">
        <f aca="false">RANK(G640,$G$2:$G$2501)+COUNTIF($G$2:G640,G640)-1</f>
        <v>639</v>
      </c>
      <c r="B640" s="11" t="s">
        <v>1765</v>
      </c>
      <c r="C640" s="11" t="s">
        <v>1766</v>
      </c>
      <c r="D640" s="5" t="s">
        <v>70</v>
      </c>
      <c r="E640" s="5" t="s">
        <v>71</v>
      </c>
      <c r="F640" s="5" t="s">
        <v>70</v>
      </c>
      <c r="G640" s="22" t="n">
        <f aca="false">ROUND(SUM(I640:P640),3)</f>
        <v>67.298</v>
      </c>
      <c r="H640" s="5" t="str">
        <f aca="false">IF(G640&gt;=評分方法!$C$16,"優先評估",IF(G640&gt;=評分方法!$C$17,"列入候選",IF(G640&gt;=評分方法!$C$18,"特定情境","不建議")))</f>
        <v>特定情境</v>
      </c>
      <c r="I640" s="15" t="n">
        <f aca="false">AE640*評分方法!$C$5</f>
        <v>30</v>
      </c>
      <c r="J640" s="15" t="n">
        <f aca="false">AF640*評分方法!$C$6</f>
        <v>5</v>
      </c>
      <c r="K640" s="15" t="n">
        <f aca="false">AG640*評分方法!$C$7</f>
        <v>4.95</v>
      </c>
      <c r="L640" s="15" t="n">
        <f aca="false">AH640*評分方法!$C$8</f>
        <v>15</v>
      </c>
      <c r="M640" s="15" t="n">
        <f aca="false">AI640*評分方法!$C$9</f>
        <v>7</v>
      </c>
      <c r="N640" s="15" t="n">
        <f aca="false">AJ640*評分方法!$C$10</f>
        <v>2.848</v>
      </c>
      <c r="O640" s="15" t="n">
        <f aca="false">AK640*評分方法!$C$11</f>
        <v>2.5</v>
      </c>
      <c r="P640" s="15" t="n">
        <f aca="false">AL640*評分方法!$C$12</f>
        <v>0</v>
      </c>
      <c r="Q640" s="6" t="n">
        <v>277041</v>
      </c>
      <c r="R640" s="6" t="n">
        <v>139199753</v>
      </c>
      <c r="S640" s="11" t="s">
        <v>238</v>
      </c>
      <c r="T640" s="11" t="s">
        <v>1715</v>
      </c>
      <c r="U640" s="5" t="s">
        <v>902</v>
      </c>
      <c r="V640" s="11" t="s">
        <v>288</v>
      </c>
      <c r="W640" s="5" t="s">
        <v>334</v>
      </c>
      <c r="X640" s="5" t="s">
        <v>242</v>
      </c>
      <c r="Y640" s="5"/>
      <c r="Z640" s="5"/>
      <c r="AA640" s="11" t="s">
        <v>149</v>
      </c>
      <c r="AB640" s="5" t="s">
        <v>245</v>
      </c>
      <c r="AC640" s="5"/>
      <c r="AD640" s="11" t="s">
        <v>1767</v>
      </c>
      <c r="AE640" s="23" t="n">
        <v>1</v>
      </c>
      <c r="AF640" s="23" t="n">
        <v>0.5</v>
      </c>
      <c r="AG640" s="23" t="n">
        <v>0.33</v>
      </c>
      <c r="AH640" s="23" t="n">
        <v>1</v>
      </c>
      <c r="AI640" s="23" t="n">
        <v>0.7</v>
      </c>
      <c r="AJ640" s="23" t="n">
        <v>0.2848</v>
      </c>
      <c r="AK640" s="23" t="n">
        <v>0.5</v>
      </c>
      <c r="AL640" s="23" t="n">
        <v>0</v>
      </c>
      <c r="AM640" s="16" t="n">
        <f aca="false">COUNTIFS($D$2:$D$2501,D640,$G$2:$G$2501,"&gt;"&amp;G640)+COUNTIFS($D$2:D640,D640,$G$2:G640,G640)</f>
        <v>5</v>
      </c>
      <c r="AN640" s="5" t="str">
        <f aca="false">D640&amp;"|"&amp;AM640</f>
        <v>內容安全審查|5</v>
      </c>
    </row>
    <row r="641" customFormat="false" ht="17.15" hidden="false" customHeight="false" outlineLevel="0" collapsed="false">
      <c r="A641" s="16" t="n">
        <f aca="false">RANK(G641,$G$2:$G$2501)+COUNTIF($G$2:G641,G641)-1</f>
        <v>640</v>
      </c>
      <c r="B641" s="11" t="s">
        <v>956</v>
      </c>
      <c r="C641" s="11" t="s">
        <v>417</v>
      </c>
      <c r="D641" s="5" t="s">
        <v>56</v>
      </c>
      <c r="E641" s="5" t="s">
        <v>57</v>
      </c>
      <c r="F641" s="5"/>
      <c r="G641" s="22" t="n">
        <f aca="false">ROUND(SUM(I641:P641),3)</f>
        <v>67.294</v>
      </c>
      <c r="H641" s="5" t="str">
        <f aca="false">IF(G641&gt;=評分方法!$C$16,"優先評估",IF(G641&gt;=評分方法!$C$17,"列入候選",IF(G641&gt;=評分方法!$C$18,"特定情境","不建議")))</f>
        <v>特定情境</v>
      </c>
      <c r="I641" s="15" t="n">
        <f aca="false">AE641*評分方法!$C$5</f>
        <v>25.5</v>
      </c>
      <c r="J641" s="15" t="n">
        <f aca="false">AF641*評分方法!$C$6</f>
        <v>0</v>
      </c>
      <c r="K641" s="15" t="n">
        <f aca="false">AG641*評分方法!$C$7</f>
        <v>15</v>
      </c>
      <c r="L641" s="15" t="n">
        <f aca="false">AH641*評分方法!$C$8</f>
        <v>13.05</v>
      </c>
      <c r="M641" s="15" t="n">
        <f aca="false">AI641*評分方法!$C$9</f>
        <v>10</v>
      </c>
      <c r="N641" s="15" t="n">
        <f aca="false">AJ641*評分方法!$C$10</f>
        <v>1.244</v>
      </c>
      <c r="O641" s="15" t="n">
        <f aca="false">AK641*評分方法!$C$11</f>
        <v>2.5</v>
      </c>
      <c r="P641" s="15" t="n">
        <f aca="false">AL641*評分方法!$C$12</f>
        <v>0</v>
      </c>
      <c r="Q641" s="6" t="n">
        <v>163997</v>
      </c>
      <c r="R641" s="6" t="n">
        <v>2246272880</v>
      </c>
      <c r="S641" s="11" t="s">
        <v>254</v>
      </c>
      <c r="T641" s="11" t="s">
        <v>239</v>
      </c>
      <c r="U641" s="5" t="s">
        <v>240</v>
      </c>
      <c r="V641" s="11" t="s">
        <v>241</v>
      </c>
      <c r="W641" s="5" t="s">
        <v>205</v>
      </c>
      <c r="X641" s="5" t="s">
        <v>242</v>
      </c>
      <c r="Y641" s="11" t="s">
        <v>967</v>
      </c>
      <c r="Z641" s="11" t="s">
        <v>244</v>
      </c>
      <c r="AA641" s="11" t="s">
        <v>156</v>
      </c>
      <c r="AB641" s="5" t="s">
        <v>245</v>
      </c>
      <c r="AC641" s="5" t="s">
        <v>246</v>
      </c>
      <c r="AD641" s="11" t="s">
        <v>1768</v>
      </c>
      <c r="AE641" s="23" t="n">
        <v>0.85</v>
      </c>
      <c r="AF641" s="23" t="n">
        <v>0</v>
      </c>
      <c r="AG641" s="23" t="n">
        <v>1</v>
      </c>
      <c r="AH641" s="23" t="n">
        <v>0.87</v>
      </c>
      <c r="AI641" s="23" t="n">
        <v>1</v>
      </c>
      <c r="AJ641" s="23" t="n">
        <v>0.1244</v>
      </c>
      <c r="AK641" s="23" t="n">
        <v>0.5</v>
      </c>
      <c r="AL641" s="23" t="n">
        <v>0</v>
      </c>
      <c r="AM641" s="16" t="n">
        <f aca="false">COUNTIFS($D$2:$D$2501,D641,$G$2:$G$2501,"&gt;"&amp;G641)+COUNTIFS($D$2:D641,D641,$G$2:G641,G641)</f>
        <v>346</v>
      </c>
      <c r="AN641" s="5" t="str">
        <f aca="false">D641&amp;"|"&amp;AM641</f>
        <v>分析與報告生成|346</v>
      </c>
    </row>
    <row r="642" customFormat="false" ht="17.15" hidden="false" customHeight="false" outlineLevel="0" collapsed="false">
      <c r="A642" s="16" t="n">
        <f aca="false">RANK(G642,$G$2:$G$2501)+COUNTIF($G$2:G642,G642)-1</f>
        <v>641</v>
      </c>
      <c r="B642" s="11" t="s">
        <v>1769</v>
      </c>
      <c r="C642" s="11" t="s">
        <v>839</v>
      </c>
      <c r="D642" s="5" t="s">
        <v>56</v>
      </c>
      <c r="E642" s="5" t="s">
        <v>57</v>
      </c>
      <c r="F642" s="5"/>
      <c r="G642" s="22" t="n">
        <f aca="false">ROUND(SUM(I642:P642),3)</f>
        <v>67.278</v>
      </c>
      <c r="H642" s="5" t="str">
        <f aca="false">IF(G642&gt;=評分方法!$C$16,"優先評估",IF(G642&gt;=評分方法!$C$17,"列入候選",IF(G642&gt;=評分方法!$C$18,"特定情境","不建議")))</f>
        <v>特定情境</v>
      </c>
      <c r="I642" s="15" t="n">
        <f aca="false">AE642*評分方法!$C$5</f>
        <v>25.5</v>
      </c>
      <c r="J642" s="15" t="n">
        <f aca="false">AF642*評分方法!$C$6</f>
        <v>0</v>
      </c>
      <c r="K642" s="15" t="n">
        <f aca="false">AG642*評分方法!$C$7</f>
        <v>15</v>
      </c>
      <c r="L642" s="15" t="n">
        <f aca="false">AH642*評分方法!$C$8</f>
        <v>13.05</v>
      </c>
      <c r="M642" s="15" t="n">
        <f aca="false">AI642*評分方法!$C$9</f>
        <v>10</v>
      </c>
      <c r="N642" s="15" t="n">
        <f aca="false">AJ642*評分方法!$C$10</f>
        <v>1.228</v>
      </c>
      <c r="O642" s="15" t="n">
        <f aca="false">AK642*評分方法!$C$11</f>
        <v>2.5</v>
      </c>
      <c r="P642" s="15" t="n">
        <f aca="false">AL642*評分方法!$C$12</f>
        <v>0</v>
      </c>
      <c r="Q642" s="6" t="n">
        <v>162223</v>
      </c>
      <c r="R642" s="6" t="n">
        <v>4022969088</v>
      </c>
      <c r="S642" s="11" t="s">
        <v>254</v>
      </c>
      <c r="T642" s="11" t="s">
        <v>278</v>
      </c>
      <c r="U642" s="5" t="s">
        <v>240</v>
      </c>
      <c r="V642" s="11" t="s">
        <v>324</v>
      </c>
      <c r="W642" s="5" t="s">
        <v>205</v>
      </c>
      <c r="X642" s="5" t="s">
        <v>242</v>
      </c>
      <c r="Y642" s="5"/>
      <c r="Z642" s="5"/>
      <c r="AA642" s="11" t="s">
        <v>156</v>
      </c>
      <c r="AB642" s="5" t="s">
        <v>245</v>
      </c>
      <c r="AC642" s="5"/>
      <c r="AD642" s="11" t="s">
        <v>1770</v>
      </c>
      <c r="AE642" s="23" t="n">
        <v>0.85</v>
      </c>
      <c r="AF642" s="23" t="n">
        <v>0</v>
      </c>
      <c r="AG642" s="23" t="n">
        <v>1</v>
      </c>
      <c r="AH642" s="23" t="n">
        <v>0.87</v>
      </c>
      <c r="AI642" s="23" t="n">
        <v>1</v>
      </c>
      <c r="AJ642" s="23" t="n">
        <v>0.1228</v>
      </c>
      <c r="AK642" s="23" t="n">
        <v>0.5</v>
      </c>
      <c r="AL642" s="23" t="n">
        <v>0</v>
      </c>
      <c r="AM642" s="16" t="n">
        <f aca="false">COUNTIFS($D$2:$D$2501,D642,$G$2:$G$2501,"&gt;"&amp;G642)+COUNTIFS($D$2:D642,D642,$G$2:G642,G642)</f>
        <v>347</v>
      </c>
      <c r="AN642" s="5" t="str">
        <f aca="false">D642&amp;"|"&amp;AM642</f>
        <v>分析與報告生成|347</v>
      </c>
    </row>
    <row r="643" customFormat="false" ht="17.15" hidden="false" customHeight="false" outlineLevel="0" collapsed="false">
      <c r="A643" s="16" t="n">
        <f aca="false">RANK(G643,$G$2:$G$2501)+COUNTIF($G$2:G643,G643)-1</f>
        <v>642</v>
      </c>
      <c r="B643" s="11" t="s">
        <v>1771</v>
      </c>
      <c r="C643" s="11" t="s">
        <v>402</v>
      </c>
      <c r="D643" s="5" t="s">
        <v>58</v>
      </c>
      <c r="E643" s="5" t="s">
        <v>59</v>
      </c>
      <c r="F643" s="5"/>
      <c r="G643" s="22" t="n">
        <f aca="false">ROUND(SUM(I643:P643),3)</f>
        <v>67.266</v>
      </c>
      <c r="H643" s="5" t="str">
        <f aca="false">IF(G643&gt;=評分方法!$C$16,"優先評估",IF(G643&gt;=評分方法!$C$17,"列入候選",IF(G643&gt;=評分方法!$C$18,"特定情境","不建議")))</f>
        <v>特定情境</v>
      </c>
      <c r="I643" s="15" t="n">
        <f aca="false">AE643*評分方法!$C$5</f>
        <v>28.5</v>
      </c>
      <c r="J643" s="15" t="n">
        <f aca="false">AF643*評分方法!$C$6</f>
        <v>0</v>
      </c>
      <c r="K643" s="15" t="n">
        <f aca="false">AG643*評分方法!$C$7</f>
        <v>4.95</v>
      </c>
      <c r="L643" s="15" t="n">
        <f aca="false">AH643*評分方法!$C$8</f>
        <v>15</v>
      </c>
      <c r="M643" s="15" t="n">
        <f aca="false">AI643*評分方法!$C$9</f>
        <v>10</v>
      </c>
      <c r="N643" s="15" t="n">
        <f aca="false">AJ643*評分方法!$C$10</f>
        <v>6.316</v>
      </c>
      <c r="O643" s="15" t="n">
        <f aca="false">AK643*評分方法!$C$11</f>
        <v>2.5</v>
      </c>
      <c r="P643" s="15" t="n">
        <f aca="false">AL643*評分方法!$C$12</f>
        <v>0</v>
      </c>
      <c r="Q643" s="6" t="n">
        <v>699849</v>
      </c>
      <c r="R643" s="6" t="n">
        <v>566716427</v>
      </c>
      <c r="S643" s="11" t="s">
        <v>238</v>
      </c>
      <c r="T643" s="11" t="s">
        <v>239</v>
      </c>
      <c r="U643" s="5" t="s">
        <v>240</v>
      </c>
      <c r="V643" s="11" t="s">
        <v>261</v>
      </c>
      <c r="W643" s="5" t="s">
        <v>334</v>
      </c>
      <c r="X643" s="5" t="s">
        <v>242</v>
      </c>
      <c r="Y643" s="5"/>
      <c r="Z643" s="5"/>
      <c r="AA643" s="11" t="s">
        <v>150</v>
      </c>
      <c r="AB643" s="5" t="s">
        <v>245</v>
      </c>
      <c r="AC643" s="5"/>
      <c r="AD643" s="11" t="s">
        <v>1772</v>
      </c>
      <c r="AE643" s="23" t="n">
        <v>0.95</v>
      </c>
      <c r="AF643" s="23" t="n">
        <v>0</v>
      </c>
      <c r="AG643" s="23" t="n">
        <v>0.33</v>
      </c>
      <c r="AH643" s="23" t="n">
        <v>1</v>
      </c>
      <c r="AI643" s="23" t="n">
        <v>1</v>
      </c>
      <c r="AJ643" s="23" t="n">
        <v>0.6316</v>
      </c>
      <c r="AK643" s="23" t="n">
        <v>0.5</v>
      </c>
      <c r="AL643" s="23" t="n">
        <v>0</v>
      </c>
      <c r="AM643" s="16" t="n">
        <f aca="false">COUNTIFS($D$2:$D$2501,D643,$G$2:$G$2501,"&gt;"&amp;G643)+COUNTIFS($D$2:D643,D643,$G$2:G643,G643)</f>
        <v>53</v>
      </c>
      <c r="AN643" s="5" t="str">
        <f aca="false">D643&amp;"|"&amp;AM643</f>
        <v>實體擷取與去識別化|53</v>
      </c>
    </row>
    <row r="644" customFormat="false" ht="17.15" hidden="false" customHeight="false" outlineLevel="0" collapsed="false">
      <c r="A644" s="16" t="n">
        <f aca="false">RANK(G644,$G$2:$G$2501)+COUNTIF($G$2:G644,G644)-1</f>
        <v>643</v>
      </c>
      <c r="B644" s="11" t="s">
        <v>1773</v>
      </c>
      <c r="C644" s="11" t="s">
        <v>402</v>
      </c>
      <c r="D644" s="5" t="s">
        <v>58</v>
      </c>
      <c r="E644" s="5" t="s">
        <v>59</v>
      </c>
      <c r="F644" s="5"/>
      <c r="G644" s="22" t="n">
        <f aca="false">ROUND(SUM(I644:P644),3)</f>
        <v>67.262</v>
      </c>
      <c r="H644" s="5" t="str">
        <f aca="false">IF(G644&gt;=評分方法!$C$16,"優先評估",IF(G644&gt;=評分方法!$C$17,"列入候選",IF(G644&gt;=評分方法!$C$18,"特定情境","不建議")))</f>
        <v>特定情境</v>
      </c>
      <c r="I644" s="15" t="n">
        <f aca="false">AE644*評分方法!$C$5</f>
        <v>28.5</v>
      </c>
      <c r="J644" s="15" t="n">
        <f aca="false">AF644*評分方法!$C$6</f>
        <v>0</v>
      </c>
      <c r="K644" s="15" t="n">
        <f aca="false">AG644*評分方法!$C$7</f>
        <v>4.95</v>
      </c>
      <c r="L644" s="15" t="n">
        <f aca="false">AH644*評分方法!$C$8</f>
        <v>15</v>
      </c>
      <c r="M644" s="15" t="n">
        <f aca="false">AI644*評分方法!$C$9</f>
        <v>10</v>
      </c>
      <c r="N644" s="15" t="n">
        <f aca="false">AJ644*評分方法!$C$10</f>
        <v>6.312</v>
      </c>
      <c r="O644" s="15" t="n">
        <f aca="false">AK644*評分方法!$C$11</f>
        <v>2.5</v>
      </c>
      <c r="P644" s="15" t="n">
        <f aca="false">AL644*評分方法!$C$12</f>
        <v>0</v>
      </c>
      <c r="Q644" s="6" t="n">
        <v>699253</v>
      </c>
      <c r="R644" s="6" t="n">
        <v>566708227</v>
      </c>
      <c r="S644" s="11" t="s">
        <v>238</v>
      </c>
      <c r="T644" s="11" t="s">
        <v>239</v>
      </c>
      <c r="U644" s="5" t="s">
        <v>240</v>
      </c>
      <c r="V644" s="11" t="s">
        <v>261</v>
      </c>
      <c r="W644" s="5" t="s">
        <v>334</v>
      </c>
      <c r="X644" s="5" t="s">
        <v>242</v>
      </c>
      <c r="Y644" s="5"/>
      <c r="Z644" s="5"/>
      <c r="AA644" s="11" t="s">
        <v>150</v>
      </c>
      <c r="AB644" s="5" t="s">
        <v>245</v>
      </c>
      <c r="AC644" s="5"/>
      <c r="AD644" s="11" t="s">
        <v>1774</v>
      </c>
      <c r="AE644" s="23" t="n">
        <v>0.95</v>
      </c>
      <c r="AF644" s="23" t="n">
        <v>0</v>
      </c>
      <c r="AG644" s="23" t="n">
        <v>0.33</v>
      </c>
      <c r="AH644" s="23" t="n">
        <v>1</v>
      </c>
      <c r="AI644" s="23" t="n">
        <v>1</v>
      </c>
      <c r="AJ644" s="23" t="n">
        <v>0.6312</v>
      </c>
      <c r="AK644" s="23" t="n">
        <v>0.5</v>
      </c>
      <c r="AL644" s="23" t="n">
        <v>0</v>
      </c>
      <c r="AM644" s="16" t="n">
        <f aca="false">COUNTIFS($D$2:$D$2501,D644,$G$2:$G$2501,"&gt;"&amp;G644)+COUNTIFS($D$2:D644,D644,$G$2:G644,G644)</f>
        <v>54</v>
      </c>
      <c r="AN644" s="5" t="str">
        <f aca="false">D644&amp;"|"&amp;AM644</f>
        <v>實體擷取與去識別化|54</v>
      </c>
    </row>
    <row r="645" customFormat="false" ht="17.15" hidden="false" customHeight="false" outlineLevel="0" collapsed="false">
      <c r="A645" s="16" t="n">
        <f aca="false">RANK(G645,$G$2:$G$2501)+COUNTIF($G$2:G645,G645)-1</f>
        <v>644</v>
      </c>
      <c r="B645" s="11" t="s">
        <v>1775</v>
      </c>
      <c r="C645" s="11" t="s">
        <v>681</v>
      </c>
      <c r="D645" s="5" t="s">
        <v>72</v>
      </c>
      <c r="E645" s="5" t="s">
        <v>73</v>
      </c>
      <c r="F645" s="5"/>
      <c r="G645" s="22" t="n">
        <f aca="false">ROUND(SUM(I645:P645),3)</f>
        <v>67.256</v>
      </c>
      <c r="H645" s="5" t="str">
        <f aca="false">IF(G645&gt;=評分方法!$C$16,"優先評估",IF(G645&gt;=評分方法!$C$17,"列入候選",IF(G645&gt;=評分方法!$C$18,"特定情境","不建議")))</f>
        <v>特定情境</v>
      </c>
      <c r="I645" s="15" t="n">
        <f aca="false">AE645*評分方法!$C$5</f>
        <v>15</v>
      </c>
      <c r="J645" s="15" t="n">
        <f aca="false">AF645*評分方法!$C$6</f>
        <v>0</v>
      </c>
      <c r="K645" s="15" t="n">
        <f aca="false">AG645*評分方法!$C$7</f>
        <v>15</v>
      </c>
      <c r="L645" s="15" t="n">
        <f aca="false">AH645*評分方法!$C$8</f>
        <v>15</v>
      </c>
      <c r="M645" s="15" t="n">
        <f aca="false">AI645*評分方法!$C$9</f>
        <v>10</v>
      </c>
      <c r="N645" s="15" t="n">
        <f aca="false">AJ645*評分方法!$C$10</f>
        <v>9.756</v>
      </c>
      <c r="O645" s="15" t="n">
        <f aca="false">AK645*評分方法!$C$11</f>
        <v>1</v>
      </c>
      <c r="P645" s="15" t="n">
        <f aca="false">AL645*評分方法!$C$12</f>
        <v>1.5</v>
      </c>
      <c r="Q645" s="6" t="n">
        <v>16625223</v>
      </c>
      <c r="R645" s="6" t="n">
        <v>652358616</v>
      </c>
      <c r="S645" s="11" t="s">
        <v>238</v>
      </c>
      <c r="T645" s="11" t="s">
        <v>278</v>
      </c>
      <c r="U645" s="5" t="s">
        <v>240</v>
      </c>
      <c r="V645" s="11" t="s">
        <v>855</v>
      </c>
      <c r="W645" s="5" t="s">
        <v>205</v>
      </c>
      <c r="X645" s="5" t="s">
        <v>255</v>
      </c>
      <c r="Y645" s="5"/>
      <c r="Z645" s="5"/>
      <c r="AA645" s="11" t="s">
        <v>162</v>
      </c>
      <c r="AB645" s="5" t="s">
        <v>245</v>
      </c>
      <c r="AC645" s="5"/>
      <c r="AD645" s="11" t="s">
        <v>1776</v>
      </c>
      <c r="AE645" s="23" t="n">
        <v>0.5</v>
      </c>
      <c r="AF645" s="23" t="n">
        <v>0</v>
      </c>
      <c r="AG645" s="23" t="n">
        <v>1</v>
      </c>
      <c r="AH645" s="23" t="n">
        <v>1</v>
      </c>
      <c r="AI645" s="23" t="n">
        <v>1</v>
      </c>
      <c r="AJ645" s="23" t="n">
        <v>0.9756</v>
      </c>
      <c r="AK645" s="23" t="n">
        <v>0.2</v>
      </c>
      <c r="AL645" s="23" t="n">
        <v>0.3</v>
      </c>
      <c r="AM645" s="16" t="n">
        <f aca="false">COUNTIFS($D$2:$D$2501,D645,$G$2:$G$2501,"&gt;"&amp;G645)+COUNTIFS($D$2:D645,D645,$G$2:G645,G645)</f>
        <v>8</v>
      </c>
      <c r="AN645" s="5" t="str">
        <f aca="false">D645&amp;"|"&amp;AM645</f>
        <v>微調基底模型|8</v>
      </c>
    </row>
    <row r="646" customFormat="false" ht="17.15" hidden="false" customHeight="false" outlineLevel="0" collapsed="false">
      <c r="A646" s="16" t="n">
        <f aca="false">RANK(G646,$G$2:$G$2501)+COUNTIF($G$2:G646,G646)-1</f>
        <v>645</v>
      </c>
      <c r="B646" s="11" t="s">
        <v>1777</v>
      </c>
      <c r="C646" s="11" t="s">
        <v>1725</v>
      </c>
      <c r="D646" s="5" t="s">
        <v>56</v>
      </c>
      <c r="E646" s="5" t="s">
        <v>57</v>
      </c>
      <c r="F646" s="5"/>
      <c r="G646" s="22" t="n">
        <f aca="false">ROUND(SUM(I646:P646),3)</f>
        <v>67.25</v>
      </c>
      <c r="H646" s="5" t="str">
        <f aca="false">IF(G646&gt;=評分方法!$C$16,"優先評估",IF(G646&gt;=評分方法!$C$17,"列入候選",IF(G646&gt;=評分方法!$C$18,"特定情境","不建議")))</f>
        <v>特定情境</v>
      </c>
      <c r="I646" s="15" t="n">
        <f aca="false">AE646*評分方法!$C$5</f>
        <v>25.5</v>
      </c>
      <c r="J646" s="15" t="n">
        <f aca="false">AF646*評分方法!$C$6</f>
        <v>0</v>
      </c>
      <c r="K646" s="15" t="n">
        <f aca="false">AG646*評分方法!$C$7</f>
        <v>4.95</v>
      </c>
      <c r="L646" s="15" t="n">
        <f aca="false">AH646*評分方法!$C$8</f>
        <v>9</v>
      </c>
      <c r="M646" s="15" t="n">
        <f aca="false">AI646*評分方法!$C$9</f>
        <v>10</v>
      </c>
      <c r="N646" s="15" t="n">
        <f aca="false">AJ646*評分方法!$C$10</f>
        <v>9.8</v>
      </c>
      <c r="O646" s="15" t="n">
        <f aca="false">AK646*評分方法!$C$11</f>
        <v>5</v>
      </c>
      <c r="P646" s="15" t="n">
        <f aca="false">AL646*評分方法!$C$12</f>
        <v>3</v>
      </c>
      <c r="Q646" s="6" t="n">
        <v>20054976</v>
      </c>
      <c r="R646" s="6" t="n">
        <v>25805936206</v>
      </c>
      <c r="S646" s="11" t="s">
        <v>389</v>
      </c>
      <c r="T646" s="11" t="s">
        <v>239</v>
      </c>
      <c r="U646" s="5" t="s">
        <v>240</v>
      </c>
      <c r="V646" s="11" t="s">
        <v>261</v>
      </c>
      <c r="W646" s="5" t="s">
        <v>334</v>
      </c>
      <c r="X646" s="5" t="s">
        <v>371</v>
      </c>
      <c r="Y646" s="11" t="s">
        <v>575</v>
      </c>
      <c r="Z646" s="11" t="s">
        <v>244</v>
      </c>
      <c r="AA646" s="11" t="s">
        <v>156</v>
      </c>
      <c r="AB646" s="5" t="s">
        <v>245</v>
      </c>
      <c r="AC646" s="5" t="s">
        <v>246</v>
      </c>
      <c r="AD646" s="11" t="s">
        <v>1778</v>
      </c>
      <c r="AE646" s="23" t="n">
        <v>0.85</v>
      </c>
      <c r="AF646" s="23" t="n">
        <v>0</v>
      </c>
      <c r="AG646" s="23" t="n">
        <v>0.33</v>
      </c>
      <c r="AH646" s="23" t="n">
        <v>0.6</v>
      </c>
      <c r="AI646" s="23" t="n">
        <v>1</v>
      </c>
      <c r="AJ646" s="23" t="n">
        <v>0.98</v>
      </c>
      <c r="AK646" s="23" t="n">
        <v>1</v>
      </c>
      <c r="AL646" s="23" t="n">
        <v>0.6</v>
      </c>
      <c r="AM646" s="16" t="n">
        <f aca="false">COUNTIFS($D$2:$D$2501,D646,$G$2:$G$2501,"&gt;"&amp;G646)+COUNTIFS($D$2:D646,D646,$G$2:G646,G646)</f>
        <v>348</v>
      </c>
      <c r="AN646" s="5" t="str">
        <f aca="false">D646&amp;"|"&amp;AM646</f>
        <v>分析與報告生成|348</v>
      </c>
    </row>
    <row r="647" customFormat="false" ht="17.15" hidden="false" customHeight="false" outlineLevel="0" collapsed="false">
      <c r="A647" s="16" t="n">
        <f aca="false">RANK(G647,$G$2:$G$2501)+COUNTIF($G$2:G647,G647)-1</f>
        <v>646</v>
      </c>
      <c r="B647" s="11" t="s">
        <v>1779</v>
      </c>
      <c r="C647" s="11" t="s">
        <v>402</v>
      </c>
      <c r="D647" s="5" t="s">
        <v>58</v>
      </c>
      <c r="E647" s="5" t="s">
        <v>59</v>
      </c>
      <c r="F647" s="5"/>
      <c r="G647" s="22" t="n">
        <f aca="false">ROUND(SUM(I647:P647),3)</f>
        <v>67.242</v>
      </c>
      <c r="H647" s="5" t="str">
        <f aca="false">IF(G647&gt;=評分方法!$C$16,"優先評估",IF(G647&gt;=評分方法!$C$17,"列入候選",IF(G647&gt;=評分方法!$C$18,"特定情境","不建議")))</f>
        <v>特定情境</v>
      </c>
      <c r="I647" s="15" t="n">
        <f aca="false">AE647*評分方法!$C$5</f>
        <v>28.5</v>
      </c>
      <c r="J647" s="15" t="n">
        <f aca="false">AF647*評分方法!$C$6</f>
        <v>0</v>
      </c>
      <c r="K647" s="15" t="n">
        <f aca="false">AG647*評分方法!$C$7</f>
        <v>4.95</v>
      </c>
      <c r="L647" s="15" t="n">
        <f aca="false">AH647*評分方法!$C$8</f>
        <v>15</v>
      </c>
      <c r="M647" s="15" t="n">
        <f aca="false">AI647*評分方法!$C$9</f>
        <v>10</v>
      </c>
      <c r="N647" s="15" t="n">
        <f aca="false">AJ647*評分方法!$C$10</f>
        <v>6.292</v>
      </c>
      <c r="O647" s="15" t="n">
        <f aca="false">AK647*評分方法!$C$11</f>
        <v>2.5</v>
      </c>
      <c r="P647" s="15" t="n">
        <f aca="false">AL647*評分方法!$C$12</f>
        <v>0</v>
      </c>
      <c r="Q647" s="6" t="n">
        <v>692477</v>
      </c>
      <c r="R647" s="6" t="n">
        <v>558843907</v>
      </c>
      <c r="S647" s="11" t="s">
        <v>238</v>
      </c>
      <c r="T647" s="11" t="s">
        <v>239</v>
      </c>
      <c r="U647" s="5" t="s">
        <v>240</v>
      </c>
      <c r="V647" s="11" t="s">
        <v>261</v>
      </c>
      <c r="W647" s="5" t="s">
        <v>334</v>
      </c>
      <c r="X647" s="5" t="s">
        <v>242</v>
      </c>
      <c r="Y647" s="5"/>
      <c r="Z647" s="5"/>
      <c r="AA647" s="11" t="s">
        <v>150</v>
      </c>
      <c r="AB647" s="5" t="s">
        <v>245</v>
      </c>
      <c r="AC647" s="5"/>
      <c r="AD647" s="11" t="s">
        <v>1780</v>
      </c>
      <c r="AE647" s="23" t="n">
        <v>0.95</v>
      </c>
      <c r="AF647" s="23" t="n">
        <v>0</v>
      </c>
      <c r="AG647" s="23" t="n">
        <v>0.33</v>
      </c>
      <c r="AH647" s="23" t="n">
        <v>1</v>
      </c>
      <c r="AI647" s="23" t="n">
        <v>1</v>
      </c>
      <c r="AJ647" s="23" t="n">
        <v>0.6292</v>
      </c>
      <c r="AK647" s="23" t="n">
        <v>0.5</v>
      </c>
      <c r="AL647" s="23" t="n">
        <v>0</v>
      </c>
      <c r="AM647" s="16" t="n">
        <f aca="false">COUNTIFS($D$2:$D$2501,D647,$G$2:$G$2501,"&gt;"&amp;G647)+COUNTIFS($D$2:D647,D647,$G$2:G647,G647)</f>
        <v>55</v>
      </c>
      <c r="AN647" s="5" t="str">
        <f aca="false">D647&amp;"|"&amp;AM647</f>
        <v>實體擷取與去識別化|55</v>
      </c>
    </row>
    <row r="648" customFormat="false" ht="17.15" hidden="false" customHeight="false" outlineLevel="0" collapsed="false">
      <c r="A648" s="16" t="n">
        <f aca="false">RANK(G648,$G$2:$G$2501)+COUNTIF($G$2:G648,G648)-1</f>
        <v>647</v>
      </c>
      <c r="B648" s="11" t="s">
        <v>1781</v>
      </c>
      <c r="C648" s="11" t="s">
        <v>891</v>
      </c>
      <c r="D648" s="5" t="s">
        <v>56</v>
      </c>
      <c r="E648" s="5" t="s">
        <v>57</v>
      </c>
      <c r="F648" s="5"/>
      <c r="G648" s="22" t="n">
        <f aca="false">ROUND(SUM(I648:P648),3)</f>
        <v>67.242</v>
      </c>
      <c r="H648" s="5" t="str">
        <f aca="false">IF(G648&gt;=評分方法!$C$16,"優先評估",IF(G648&gt;=評分方法!$C$17,"列入候選",IF(G648&gt;=評分方法!$C$18,"特定情境","不建議")))</f>
        <v>特定情境</v>
      </c>
      <c r="I648" s="15" t="n">
        <f aca="false">AE648*評分方法!$C$5</f>
        <v>25.5</v>
      </c>
      <c r="J648" s="15" t="n">
        <f aca="false">AF648*評分方法!$C$6</f>
        <v>0</v>
      </c>
      <c r="K648" s="15" t="n">
        <f aca="false">AG648*評分方法!$C$7</f>
        <v>10.05</v>
      </c>
      <c r="L648" s="15" t="n">
        <f aca="false">AH648*評分方法!$C$8</f>
        <v>9</v>
      </c>
      <c r="M648" s="15" t="n">
        <f aca="false">AI648*評分方法!$C$9</f>
        <v>10</v>
      </c>
      <c r="N648" s="15" t="n">
        <f aca="false">AJ648*評分方法!$C$10</f>
        <v>4.692</v>
      </c>
      <c r="O648" s="15" t="n">
        <f aca="false">AK648*評分方法!$C$11</f>
        <v>5</v>
      </c>
      <c r="P648" s="15" t="n">
        <f aca="false">AL648*評分方法!$C$12</f>
        <v>3</v>
      </c>
      <c r="Q648" s="6" t="n">
        <v>513264</v>
      </c>
      <c r="R648" s="6" t="n">
        <v>31273088876</v>
      </c>
      <c r="S648" s="11" t="s">
        <v>389</v>
      </c>
      <c r="T648" s="11" t="s">
        <v>239</v>
      </c>
      <c r="U648" s="5" t="s">
        <v>240</v>
      </c>
      <c r="V648" s="11" t="s">
        <v>261</v>
      </c>
      <c r="W648" s="5" t="s">
        <v>207</v>
      </c>
      <c r="X648" s="5" t="s">
        <v>371</v>
      </c>
      <c r="Y648" s="11" t="s">
        <v>583</v>
      </c>
      <c r="Z648" s="11" t="s">
        <v>244</v>
      </c>
      <c r="AA648" s="11" t="s">
        <v>156</v>
      </c>
      <c r="AB648" s="5" t="s">
        <v>245</v>
      </c>
      <c r="AC648" s="5" t="s">
        <v>246</v>
      </c>
      <c r="AD648" s="11" t="s">
        <v>1782</v>
      </c>
      <c r="AE648" s="23" t="n">
        <v>0.85</v>
      </c>
      <c r="AF648" s="23" t="n">
        <v>0</v>
      </c>
      <c r="AG648" s="23" t="n">
        <v>0.67</v>
      </c>
      <c r="AH648" s="23" t="n">
        <v>0.6</v>
      </c>
      <c r="AI648" s="23" t="n">
        <v>1</v>
      </c>
      <c r="AJ648" s="23" t="n">
        <v>0.4692</v>
      </c>
      <c r="AK648" s="23" t="n">
        <v>1</v>
      </c>
      <c r="AL648" s="23" t="n">
        <v>0.6</v>
      </c>
      <c r="AM648" s="16" t="n">
        <f aca="false">COUNTIFS($D$2:$D$2501,D648,$G$2:$G$2501,"&gt;"&amp;G648)+COUNTIFS($D$2:D648,D648,$G$2:G648,G648)</f>
        <v>349</v>
      </c>
      <c r="AN648" s="5" t="str">
        <f aca="false">D648&amp;"|"&amp;AM648</f>
        <v>分析與報告生成|349</v>
      </c>
    </row>
    <row r="649" customFormat="false" ht="17.15" hidden="false" customHeight="false" outlineLevel="0" collapsed="false">
      <c r="A649" s="16" t="n">
        <f aca="false">RANK(G649,$G$2:$G$2501)+COUNTIF($G$2:G649,G649)-1</f>
        <v>648</v>
      </c>
      <c r="B649" s="11" t="s">
        <v>1783</v>
      </c>
      <c r="C649" s="11" t="s">
        <v>402</v>
      </c>
      <c r="D649" s="5" t="s">
        <v>58</v>
      </c>
      <c r="E649" s="5" t="s">
        <v>59</v>
      </c>
      <c r="F649" s="5"/>
      <c r="G649" s="22" t="n">
        <f aca="false">ROUND(SUM(I649:P649),3)</f>
        <v>67.194</v>
      </c>
      <c r="H649" s="5" t="str">
        <f aca="false">IF(G649&gt;=評分方法!$C$16,"優先評估",IF(G649&gt;=評分方法!$C$17,"列入候選",IF(G649&gt;=評分方法!$C$18,"特定情境","不建議")))</f>
        <v>特定情境</v>
      </c>
      <c r="I649" s="15" t="n">
        <f aca="false">AE649*評分方法!$C$5</f>
        <v>28.5</v>
      </c>
      <c r="J649" s="15" t="n">
        <f aca="false">AF649*評分方法!$C$6</f>
        <v>0</v>
      </c>
      <c r="K649" s="15" t="n">
        <f aca="false">AG649*評分方法!$C$7</f>
        <v>4.95</v>
      </c>
      <c r="L649" s="15" t="n">
        <f aca="false">AH649*評分方法!$C$8</f>
        <v>15</v>
      </c>
      <c r="M649" s="15" t="n">
        <f aca="false">AI649*評分方法!$C$9</f>
        <v>10</v>
      </c>
      <c r="N649" s="15" t="n">
        <f aca="false">AJ649*評分方法!$C$10</f>
        <v>6.244</v>
      </c>
      <c r="O649" s="15" t="n">
        <f aca="false">AK649*評分方法!$C$11</f>
        <v>2.5</v>
      </c>
      <c r="P649" s="15" t="n">
        <f aca="false">AL649*評分方法!$C$12</f>
        <v>0</v>
      </c>
      <c r="Q649" s="6" t="n">
        <v>678662</v>
      </c>
      <c r="R649" s="6" t="n">
        <v>124057347</v>
      </c>
      <c r="S649" s="11" t="s">
        <v>238</v>
      </c>
      <c r="T649" s="11" t="s">
        <v>239</v>
      </c>
      <c r="U649" s="5" t="s">
        <v>240</v>
      </c>
      <c r="V649" s="11" t="s">
        <v>261</v>
      </c>
      <c r="W649" s="5" t="s">
        <v>334</v>
      </c>
      <c r="X649" s="5" t="s">
        <v>242</v>
      </c>
      <c r="Y649" s="5"/>
      <c r="Z649" s="5"/>
      <c r="AA649" s="11" t="s">
        <v>150</v>
      </c>
      <c r="AB649" s="5" t="s">
        <v>245</v>
      </c>
      <c r="AC649" s="5"/>
      <c r="AD649" s="11" t="s">
        <v>1784</v>
      </c>
      <c r="AE649" s="23" t="n">
        <v>0.95</v>
      </c>
      <c r="AF649" s="23" t="n">
        <v>0</v>
      </c>
      <c r="AG649" s="23" t="n">
        <v>0.33</v>
      </c>
      <c r="AH649" s="23" t="n">
        <v>1</v>
      </c>
      <c r="AI649" s="23" t="n">
        <v>1</v>
      </c>
      <c r="AJ649" s="23" t="n">
        <v>0.6244</v>
      </c>
      <c r="AK649" s="23" t="n">
        <v>0.5</v>
      </c>
      <c r="AL649" s="23" t="n">
        <v>0</v>
      </c>
      <c r="AM649" s="16" t="n">
        <f aca="false">COUNTIFS($D$2:$D$2501,D649,$G$2:$G$2501,"&gt;"&amp;G649)+COUNTIFS($D$2:D649,D649,$G$2:G649,G649)</f>
        <v>56</v>
      </c>
      <c r="AN649" s="5" t="str">
        <f aca="false">D649&amp;"|"&amp;AM649</f>
        <v>實體擷取與去識別化|56</v>
      </c>
    </row>
    <row r="650" customFormat="false" ht="17.15" hidden="false" customHeight="false" outlineLevel="0" collapsed="false">
      <c r="A650" s="16" t="n">
        <f aca="false">RANK(G650,$G$2:$G$2501)+COUNTIF($G$2:G650,G650)-1</f>
        <v>649</v>
      </c>
      <c r="B650" s="11" t="s">
        <v>1785</v>
      </c>
      <c r="C650" s="11" t="s">
        <v>989</v>
      </c>
      <c r="D650" s="5" t="s">
        <v>56</v>
      </c>
      <c r="E650" s="5" t="s">
        <v>57</v>
      </c>
      <c r="F650" s="5"/>
      <c r="G650" s="22" t="n">
        <f aca="false">ROUND(SUM(I650:P650),3)</f>
        <v>67.188</v>
      </c>
      <c r="H650" s="5" t="str">
        <f aca="false">IF(G650&gt;=評分方法!$C$16,"優先評估",IF(G650&gt;=評分方法!$C$17,"列入候選",IF(G650&gt;=評分方法!$C$18,"特定情境","不建議")))</f>
        <v>特定情境</v>
      </c>
      <c r="I650" s="15" t="n">
        <f aca="false">AE650*評分方法!$C$5</f>
        <v>25.5</v>
      </c>
      <c r="J650" s="15" t="n">
        <f aca="false">AF650*評分方法!$C$6</f>
        <v>0</v>
      </c>
      <c r="K650" s="15" t="n">
        <f aca="false">AG650*評分方法!$C$7</f>
        <v>10.05</v>
      </c>
      <c r="L650" s="15" t="n">
        <f aca="false">AH650*評分方法!$C$8</f>
        <v>13.05</v>
      </c>
      <c r="M650" s="15" t="n">
        <f aca="false">AI650*評分方法!$C$9</f>
        <v>10</v>
      </c>
      <c r="N650" s="15" t="n">
        <f aca="false">AJ650*評分方法!$C$10</f>
        <v>3.588</v>
      </c>
      <c r="O650" s="15" t="n">
        <f aca="false">AK650*評分方法!$C$11</f>
        <v>5</v>
      </c>
      <c r="P650" s="15" t="n">
        <f aca="false">AL650*評分方法!$C$12</f>
        <v>0</v>
      </c>
      <c r="Q650" s="6" t="n">
        <v>362945</v>
      </c>
      <c r="R650" s="6" t="n">
        <v>8953803264</v>
      </c>
      <c r="S650" s="11" t="s">
        <v>254</v>
      </c>
      <c r="T650" s="11" t="s">
        <v>278</v>
      </c>
      <c r="U650" s="5" t="s">
        <v>240</v>
      </c>
      <c r="V650" s="11" t="s">
        <v>333</v>
      </c>
      <c r="W650" s="5" t="s">
        <v>207</v>
      </c>
      <c r="X650" s="5" t="s">
        <v>242</v>
      </c>
      <c r="Y650" s="11" t="s">
        <v>1786</v>
      </c>
      <c r="Z650" s="11" t="s">
        <v>244</v>
      </c>
      <c r="AA650" s="11" t="s">
        <v>156</v>
      </c>
      <c r="AB650" s="5" t="s">
        <v>245</v>
      </c>
      <c r="AC650" s="5" t="s">
        <v>246</v>
      </c>
      <c r="AD650" s="11" t="s">
        <v>1787</v>
      </c>
      <c r="AE650" s="23" t="n">
        <v>0.85</v>
      </c>
      <c r="AF650" s="23" t="n">
        <v>0</v>
      </c>
      <c r="AG650" s="23" t="n">
        <v>0.67</v>
      </c>
      <c r="AH650" s="23" t="n">
        <v>0.87</v>
      </c>
      <c r="AI650" s="23" t="n">
        <v>1</v>
      </c>
      <c r="AJ650" s="23" t="n">
        <v>0.3588</v>
      </c>
      <c r="AK650" s="23" t="n">
        <v>1</v>
      </c>
      <c r="AL650" s="23" t="n">
        <v>0</v>
      </c>
      <c r="AM650" s="16" t="n">
        <f aca="false">COUNTIFS($D$2:$D$2501,D650,$G$2:$G$2501,"&gt;"&amp;G650)+COUNTIFS($D$2:D650,D650,$G$2:G650,G650)</f>
        <v>350</v>
      </c>
      <c r="AN650" s="5" t="str">
        <f aca="false">D650&amp;"|"&amp;AM650</f>
        <v>分析與報告生成|350</v>
      </c>
    </row>
    <row r="651" customFormat="false" ht="17.15" hidden="false" customHeight="false" outlineLevel="0" collapsed="false">
      <c r="A651" s="16" t="n">
        <f aca="false">RANK(G651,$G$2:$G$2501)+COUNTIF($G$2:G651,G651)-1</f>
        <v>650</v>
      </c>
      <c r="B651" s="11" t="s">
        <v>1788</v>
      </c>
      <c r="C651" s="11" t="s">
        <v>1789</v>
      </c>
      <c r="D651" s="5" t="s">
        <v>58</v>
      </c>
      <c r="E651" s="5" t="s">
        <v>59</v>
      </c>
      <c r="F651" s="5"/>
      <c r="G651" s="22" t="n">
        <f aca="false">ROUND(SUM(I651:P651),3)</f>
        <v>67.186</v>
      </c>
      <c r="H651" s="5" t="str">
        <f aca="false">IF(G651&gt;=評分方法!$C$16,"優先評估",IF(G651&gt;=評分方法!$C$17,"列入候選",IF(G651&gt;=評分方法!$C$18,"特定情境","不建議")))</f>
        <v>特定情境</v>
      </c>
      <c r="I651" s="15" t="n">
        <f aca="false">AE651*評分方法!$C$5</f>
        <v>28.5</v>
      </c>
      <c r="J651" s="15" t="n">
        <f aca="false">AF651*評分方法!$C$6</f>
        <v>0</v>
      </c>
      <c r="K651" s="15" t="n">
        <f aca="false">AG651*評分方法!$C$7</f>
        <v>4.95</v>
      </c>
      <c r="L651" s="15" t="n">
        <f aca="false">AH651*評分方法!$C$8</f>
        <v>15</v>
      </c>
      <c r="M651" s="15" t="n">
        <f aca="false">AI651*評分方法!$C$9</f>
        <v>10</v>
      </c>
      <c r="N651" s="15" t="n">
        <f aca="false">AJ651*評分方法!$C$10</f>
        <v>7.736</v>
      </c>
      <c r="O651" s="15" t="n">
        <f aca="false">AK651*評分方法!$C$11</f>
        <v>1</v>
      </c>
      <c r="P651" s="15" t="n">
        <f aca="false">AL651*評分方法!$C$12</f>
        <v>0</v>
      </c>
      <c r="Q651" s="6" t="n">
        <v>1316239</v>
      </c>
      <c r="R651" s="6" t="n">
        <v>109488899</v>
      </c>
      <c r="S651" s="11" t="s">
        <v>238</v>
      </c>
      <c r="T651" s="11" t="s">
        <v>239</v>
      </c>
      <c r="U651" s="5" t="s">
        <v>240</v>
      </c>
      <c r="V651" s="11" t="s">
        <v>324</v>
      </c>
      <c r="W651" s="5" t="s">
        <v>334</v>
      </c>
      <c r="X651" s="5" t="s">
        <v>242</v>
      </c>
      <c r="Y651" s="11" t="s">
        <v>363</v>
      </c>
      <c r="Z651" s="11" t="s">
        <v>270</v>
      </c>
      <c r="AA651" s="11" t="s">
        <v>150</v>
      </c>
      <c r="AB651" s="5" t="s">
        <v>245</v>
      </c>
      <c r="AC651" s="5"/>
      <c r="AD651" s="11" t="s">
        <v>1790</v>
      </c>
      <c r="AE651" s="23" t="n">
        <v>0.95</v>
      </c>
      <c r="AF651" s="23" t="n">
        <v>0</v>
      </c>
      <c r="AG651" s="23" t="n">
        <v>0.33</v>
      </c>
      <c r="AH651" s="23" t="n">
        <v>1</v>
      </c>
      <c r="AI651" s="23" t="n">
        <v>1</v>
      </c>
      <c r="AJ651" s="23" t="n">
        <v>0.7736</v>
      </c>
      <c r="AK651" s="23" t="n">
        <v>0.2</v>
      </c>
      <c r="AL651" s="23" t="n">
        <v>0</v>
      </c>
      <c r="AM651" s="16" t="n">
        <f aca="false">COUNTIFS($D$2:$D$2501,D651,$G$2:$G$2501,"&gt;"&amp;G651)+COUNTIFS($D$2:D651,D651,$G$2:G651,G651)</f>
        <v>57</v>
      </c>
      <c r="AN651" s="5" t="str">
        <f aca="false">D651&amp;"|"&amp;AM651</f>
        <v>實體擷取與去識別化|57</v>
      </c>
    </row>
    <row r="652" customFormat="false" ht="17.15" hidden="false" customHeight="false" outlineLevel="0" collapsed="false">
      <c r="A652" s="16" t="n">
        <f aca="false">RANK(G652,$G$2:$G$2501)+COUNTIF($G$2:G652,G652)-1</f>
        <v>651</v>
      </c>
      <c r="B652" s="11" t="s">
        <v>1791</v>
      </c>
      <c r="C652" s="11" t="s">
        <v>299</v>
      </c>
      <c r="D652" s="5" t="s">
        <v>68</v>
      </c>
      <c r="E652" s="11" t="s">
        <v>69</v>
      </c>
      <c r="F652" s="5"/>
      <c r="G652" s="22" t="n">
        <f aca="false">ROUND(SUM(I652:P652),3)</f>
        <v>67.164</v>
      </c>
      <c r="H652" s="5" t="str">
        <f aca="false">IF(G652&gt;=評分方法!$C$16,"優先評估",IF(G652&gt;=評分方法!$C$17,"列入候選",IF(G652&gt;=評分方法!$C$18,"特定情境","不建議")))</f>
        <v>特定情境</v>
      </c>
      <c r="I652" s="15" t="n">
        <f aca="false">AE652*評分方法!$C$5</f>
        <v>21</v>
      </c>
      <c r="J652" s="15" t="n">
        <f aca="false">AF652*評分方法!$C$6</f>
        <v>0</v>
      </c>
      <c r="K652" s="15" t="n">
        <f aca="false">AG652*評分方法!$C$7</f>
        <v>15</v>
      </c>
      <c r="L652" s="15" t="n">
        <f aca="false">AH652*評分方法!$C$8</f>
        <v>15</v>
      </c>
      <c r="M652" s="15" t="n">
        <f aca="false">AI652*評分方法!$C$9</f>
        <v>10</v>
      </c>
      <c r="N652" s="15" t="n">
        <f aca="false">AJ652*評分方法!$C$10</f>
        <v>0.664</v>
      </c>
      <c r="O652" s="15" t="n">
        <f aca="false">AK652*評分方法!$C$11</f>
        <v>4</v>
      </c>
      <c r="P652" s="15" t="n">
        <f aca="false">AL652*評分方法!$C$12</f>
        <v>1.5</v>
      </c>
      <c r="Q652" s="6" t="n">
        <v>140791</v>
      </c>
      <c r="R652" s="6" t="n">
        <v>257895552</v>
      </c>
      <c r="S652" s="11" t="s">
        <v>238</v>
      </c>
      <c r="T652" s="11" t="s">
        <v>239</v>
      </c>
      <c r="U652" s="5" t="s">
        <v>240</v>
      </c>
      <c r="V652" s="11" t="s">
        <v>261</v>
      </c>
      <c r="W652" s="5" t="s">
        <v>205</v>
      </c>
      <c r="X652" s="5" t="s">
        <v>255</v>
      </c>
      <c r="Y652" s="5"/>
      <c r="Z652" s="5"/>
      <c r="AA652" s="11" t="s">
        <v>158</v>
      </c>
      <c r="AB652" s="5" t="s">
        <v>245</v>
      </c>
      <c r="AC652" s="5"/>
      <c r="AD652" s="11" t="s">
        <v>1792</v>
      </c>
      <c r="AE652" s="23" t="n">
        <v>0.7</v>
      </c>
      <c r="AF652" s="23" t="n">
        <v>0</v>
      </c>
      <c r="AG652" s="23" t="n">
        <v>1</v>
      </c>
      <c r="AH652" s="23" t="n">
        <v>1</v>
      </c>
      <c r="AI652" s="23" t="n">
        <v>1</v>
      </c>
      <c r="AJ652" s="23" t="n">
        <v>0.0664</v>
      </c>
      <c r="AK652" s="23" t="n">
        <v>0.8</v>
      </c>
      <c r="AL652" s="23" t="n">
        <v>0.3</v>
      </c>
      <c r="AM652" s="16" t="n">
        <f aca="false">COUNTIFS($D$2:$D$2501,D652,$G$2:$G$2501,"&gt;"&amp;G652)+COUNTIFS($D$2:D652,D652,$G$2:G652,G652)</f>
        <v>32</v>
      </c>
      <c r="AN652" s="5" t="str">
        <f aca="false">D652&amp;"|"&amp;AM652</f>
        <v>時序異常偵測|32</v>
      </c>
    </row>
    <row r="653" customFormat="false" ht="17.15" hidden="false" customHeight="false" outlineLevel="0" collapsed="false">
      <c r="A653" s="16" t="n">
        <f aca="false">RANK(G653,$G$2:$G$2501)+COUNTIF($G$2:G653,G653)-1</f>
        <v>652</v>
      </c>
      <c r="B653" s="11" t="s">
        <v>1793</v>
      </c>
      <c r="C653" s="11" t="s">
        <v>402</v>
      </c>
      <c r="D653" s="5" t="s">
        <v>58</v>
      </c>
      <c r="E653" s="5" t="s">
        <v>59</v>
      </c>
      <c r="F653" s="5"/>
      <c r="G653" s="22" t="n">
        <f aca="false">ROUND(SUM(I653:P653),3)</f>
        <v>67.162</v>
      </c>
      <c r="H653" s="5" t="str">
        <f aca="false">IF(G653&gt;=評分方法!$C$16,"優先評估",IF(G653&gt;=評分方法!$C$17,"列入候選",IF(G653&gt;=評分方法!$C$18,"特定情境","不建議")))</f>
        <v>特定情境</v>
      </c>
      <c r="I653" s="15" t="n">
        <f aca="false">AE653*評分方法!$C$5</f>
        <v>28.5</v>
      </c>
      <c r="J653" s="15" t="n">
        <f aca="false">AF653*評分方法!$C$6</f>
        <v>0</v>
      </c>
      <c r="K653" s="15" t="n">
        <f aca="false">AG653*評分方法!$C$7</f>
        <v>4.95</v>
      </c>
      <c r="L653" s="15" t="n">
        <f aca="false">AH653*評分方法!$C$8</f>
        <v>15</v>
      </c>
      <c r="M653" s="15" t="n">
        <f aca="false">AI653*評分方法!$C$9</f>
        <v>10</v>
      </c>
      <c r="N653" s="15" t="n">
        <f aca="false">AJ653*評分方法!$C$10</f>
        <v>6.212</v>
      </c>
      <c r="O653" s="15" t="n">
        <f aca="false">AK653*評分方法!$C$11</f>
        <v>2.5</v>
      </c>
      <c r="P653" s="15" t="n">
        <f aca="false">AL653*評分方法!$C$12</f>
        <v>0</v>
      </c>
      <c r="Q653" s="6" t="n">
        <v>670959</v>
      </c>
      <c r="R653" s="6" t="n">
        <v>354343969</v>
      </c>
      <c r="S653" s="11" t="s">
        <v>238</v>
      </c>
      <c r="T653" s="11" t="s">
        <v>239</v>
      </c>
      <c r="U653" s="5" t="s">
        <v>240</v>
      </c>
      <c r="V653" s="11" t="s">
        <v>261</v>
      </c>
      <c r="W653" s="5" t="s">
        <v>334</v>
      </c>
      <c r="X653" s="5" t="s">
        <v>242</v>
      </c>
      <c r="Y653" s="5"/>
      <c r="Z653" s="5"/>
      <c r="AA653" s="11" t="s">
        <v>150</v>
      </c>
      <c r="AB653" s="5" t="s">
        <v>245</v>
      </c>
      <c r="AC653" s="5"/>
      <c r="AD653" s="11" t="s">
        <v>1794</v>
      </c>
      <c r="AE653" s="23" t="n">
        <v>0.95</v>
      </c>
      <c r="AF653" s="23" t="n">
        <v>0</v>
      </c>
      <c r="AG653" s="23" t="n">
        <v>0.33</v>
      </c>
      <c r="AH653" s="23" t="n">
        <v>1</v>
      </c>
      <c r="AI653" s="23" t="n">
        <v>1</v>
      </c>
      <c r="AJ653" s="23" t="n">
        <v>0.6212</v>
      </c>
      <c r="AK653" s="23" t="n">
        <v>0.5</v>
      </c>
      <c r="AL653" s="23" t="n">
        <v>0</v>
      </c>
      <c r="AM653" s="16" t="n">
        <f aca="false">COUNTIFS($D$2:$D$2501,D653,$G$2:$G$2501,"&gt;"&amp;G653)+COUNTIFS($D$2:D653,D653,$G$2:G653,G653)</f>
        <v>58</v>
      </c>
      <c r="AN653" s="5" t="str">
        <f aca="false">D653&amp;"|"&amp;AM653</f>
        <v>實體擷取與去識別化|58</v>
      </c>
    </row>
    <row r="654" customFormat="false" ht="17.15" hidden="false" customHeight="false" outlineLevel="0" collapsed="false">
      <c r="A654" s="16" t="n">
        <f aca="false">RANK(G654,$G$2:$G$2501)+COUNTIF($G$2:G654,G654)-1</f>
        <v>653</v>
      </c>
      <c r="B654" s="11" t="s">
        <v>1795</v>
      </c>
      <c r="C654" s="11" t="s">
        <v>237</v>
      </c>
      <c r="D654" s="5" t="s">
        <v>66</v>
      </c>
      <c r="E654" s="5" t="s">
        <v>67</v>
      </c>
      <c r="F654" s="5"/>
      <c r="G654" s="22" t="n">
        <f aca="false">ROUND(SUM(I654:P654),3)</f>
        <v>67.162</v>
      </c>
      <c r="H654" s="5" t="str">
        <f aca="false">IF(G654&gt;=評分方法!$C$16,"優先評估",IF(G654&gt;=評分方法!$C$17,"列入候選",IF(G654&gt;=評分方法!$C$18,"特定情境","不建議")))</f>
        <v>特定情境</v>
      </c>
      <c r="I654" s="15" t="n">
        <f aca="false">AE654*評分方法!$C$5</f>
        <v>27</v>
      </c>
      <c r="J654" s="15" t="n">
        <f aca="false">AF654*評分方法!$C$6</f>
        <v>0</v>
      </c>
      <c r="K654" s="15" t="n">
        <f aca="false">AG654*評分方法!$C$7</f>
        <v>15</v>
      </c>
      <c r="L654" s="15" t="n">
        <f aca="false">AH654*評分方法!$C$8</f>
        <v>7.05</v>
      </c>
      <c r="M654" s="15" t="n">
        <f aca="false">AI654*評分方法!$C$9</f>
        <v>10</v>
      </c>
      <c r="N654" s="15" t="n">
        <f aca="false">AJ654*評分方法!$C$10</f>
        <v>1.612</v>
      </c>
      <c r="O654" s="15" t="n">
        <f aca="false">AK654*評分方法!$C$11</f>
        <v>5</v>
      </c>
      <c r="P654" s="15" t="n">
        <f aca="false">AL654*評分方法!$C$12</f>
        <v>1.5</v>
      </c>
      <c r="Q654" s="6" t="n">
        <v>185816</v>
      </c>
      <c r="R654" s="6"/>
      <c r="S654" s="5" t="s">
        <v>255</v>
      </c>
      <c r="T654" s="11" t="s">
        <v>239</v>
      </c>
      <c r="U654" s="5" t="s">
        <v>240</v>
      </c>
      <c r="V654" s="11" t="s">
        <v>514</v>
      </c>
      <c r="W654" s="5" t="s">
        <v>205</v>
      </c>
      <c r="X654" s="5" t="s">
        <v>255</v>
      </c>
      <c r="Y654" s="11" t="s">
        <v>1796</v>
      </c>
      <c r="Z654" s="11" t="s">
        <v>244</v>
      </c>
      <c r="AA654" s="11" t="s">
        <v>151</v>
      </c>
      <c r="AB654" s="5" t="s">
        <v>245</v>
      </c>
      <c r="AC654" s="5" t="s">
        <v>246</v>
      </c>
      <c r="AD654" s="11" t="s">
        <v>1797</v>
      </c>
      <c r="AE654" s="23" t="n">
        <v>0.9</v>
      </c>
      <c r="AF654" s="23" t="n">
        <v>0</v>
      </c>
      <c r="AG654" s="23" t="n">
        <v>1</v>
      </c>
      <c r="AH654" s="23" t="n">
        <v>0.47</v>
      </c>
      <c r="AI654" s="23" t="n">
        <v>1</v>
      </c>
      <c r="AJ654" s="23" t="n">
        <v>0.1612</v>
      </c>
      <c r="AK654" s="23" t="n">
        <v>1</v>
      </c>
      <c r="AL654" s="23" t="n">
        <v>0.3</v>
      </c>
      <c r="AM654" s="16" t="n">
        <f aca="false">COUNTIFS($D$2:$D$2501,D654,$G$2:$G$2501,"&gt;"&amp;G654)+COUNTIFS($D$2:D654,D654,$G$2:G654,G654)</f>
        <v>20</v>
      </c>
      <c r="AN654" s="5" t="str">
        <f aca="false">D654&amp;"|"&amp;AM654</f>
        <v>分類與偵測|20</v>
      </c>
    </row>
    <row r="655" customFormat="false" ht="17.15" hidden="false" customHeight="false" outlineLevel="0" collapsed="false">
      <c r="A655" s="16" t="n">
        <f aca="false">RANK(G655,$G$2:$G$2501)+COUNTIF($G$2:G655,G655)-1</f>
        <v>654</v>
      </c>
      <c r="B655" s="11" t="s">
        <v>1798</v>
      </c>
      <c r="C655" s="11" t="s">
        <v>368</v>
      </c>
      <c r="D655" s="5" t="s">
        <v>56</v>
      </c>
      <c r="E655" s="5" t="s">
        <v>57</v>
      </c>
      <c r="F655" s="5"/>
      <c r="G655" s="22" t="n">
        <f aca="false">ROUND(SUM(I655:P655),3)</f>
        <v>67.154</v>
      </c>
      <c r="H655" s="5" t="str">
        <f aca="false">IF(G655&gt;=評分方法!$C$16,"優先評估",IF(G655&gt;=評分方法!$C$17,"列入候選",IF(G655&gt;=評分方法!$C$18,"特定情境","不建議")))</f>
        <v>特定情境</v>
      </c>
      <c r="I655" s="15" t="n">
        <f aca="false">AE655*評分方法!$C$5</f>
        <v>25.5</v>
      </c>
      <c r="J655" s="15" t="n">
        <f aca="false">AF655*評分方法!$C$6</f>
        <v>0</v>
      </c>
      <c r="K655" s="15" t="n">
        <f aca="false">AG655*評分方法!$C$7</f>
        <v>15</v>
      </c>
      <c r="L655" s="15" t="n">
        <f aca="false">AH655*評分方法!$C$8</f>
        <v>13.05</v>
      </c>
      <c r="M655" s="15" t="n">
        <f aca="false">AI655*評分方法!$C$9</f>
        <v>6</v>
      </c>
      <c r="N655" s="15" t="n">
        <f aca="false">AJ655*評分方法!$C$10</f>
        <v>2.104</v>
      </c>
      <c r="O655" s="15" t="n">
        <f aca="false">AK655*評分方法!$C$11</f>
        <v>2.5</v>
      </c>
      <c r="P655" s="15" t="n">
        <f aca="false">AL655*評分方法!$C$12</f>
        <v>3</v>
      </c>
      <c r="Q655" s="6" t="n">
        <v>217125</v>
      </c>
      <c r="R655" s="6" t="n">
        <v>5596853760</v>
      </c>
      <c r="S655" s="11" t="s">
        <v>254</v>
      </c>
      <c r="T655" s="11" t="s">
        <v>658</v>
      </c>
      <c r="U655" s="5" t="s">
        <v>260</v>
      </c>
      <c r="V655" s="11" t="s">
        <v>261</v>
      </c>
      <c r="W655" s="5" t="s">
        <v>205</v>
      </c>
      <c r="X655" s="5" t="s">
        <v>371</v>
      </c>
      <c r="Y655" s="11" t="s">
        <v>1799</v>
      </c>
      <c r="Z655" s="11" t="s">
        <v>270</v>
      </c>
      <c r="AA655" s="11" t="s">
        <v>155</v>
      </c>
      <c r="AB655" s="5" t="s">
        <v>245</v>
      </c>
      <c r="AC655" s="5" t="s">
        <v>262</v>
      </c>
      <c r="AD655" s="11" t="s">
        <v>1800</v>
      </c>
      <c r="AE655" s="23" t="n">
        <v>0.85</v>
      </c>
      <c r="AF655" s="23" t="n">
        <v>0</v>
      </c>
      <c r="AG655" s="23" t="n">
        <v>1</v>
      </c>
      <c r="AH655" s="23" t="n">
        <v>0.87</v>
      </c>
      <c r="AI655" s="23" t="n">
        <v>0.6</v>
      </c>
      <c r="AJ655" s="23" t="n">
        <v>0.2104</v>
      </c>
      <c r="AK655" s="23" t="n">
        <v>0.5</v>
      </c>
      <c r="AL655" s="23" t="n">
        <v>0.6</v>
      </c>
      <c r="AM655" s="16" t="n">
        <f aca="false">COUNTIFS($D$2:$D$2501,D655,$G$2:$G$2501,"&gt;"&amp;G655)+COUNTIFS($D$2:D655,D655,$G$2:G655,G655)</f>
        <v>351</v>
      </c>
      <c r="AN655" s="5" t="str">
        <f aca="false">D655&amp;"|"&amp;AM655</f>
        <v>分析與報告生成|351</v>
      </c>
    </row>
    <row r="656" customFormat="false" ht="17.15" hidden="false" customHeight="false" outlineLevel="0" collapsed="false">
      <c r="A656" s="16" t="n">
        <f aca="false">RANK(G656,$G$2:$G$2501)+COUNTIF($G$2:G656,G656)-1</f>
        <v>655</v>
      </c>
      <c r="B656" s="11" t="s">
        <v>1801</v>
      </c>
      <c r="C656" s="11" t="s">
        <v>891</v>
      </c>
      <c r="D656" s="5" t="s">
        <v>56</v>
      </c>
      <c r="E656" s="5" t="s">
        <v>57</v>
      </c>
      <c r="F656" s="5"/>
      <c r="G656" s="22" t="n">
        <f aca="false">ROUND(SUM(I656:P656),3)</f>
        <v>67.142</v>
      </c>
      <c r="H656" s="5" t="str">
        <f aca="false">IF(G656&gt;=評分方法!$C$16,"優先評估",IF(G656&gt;=評分方法!$C$17,"列入候選",IF(G656&gt;=評分方法!$C$18,"特定情境","不建議")))</f>
        <v>特定情境</v>
      </c>
      <c r="I656" s="15" t="n">
        <f aca="false">AE656*評分方法!$C$5</f>
        <v>25.5</v>
      </c>
      <c r="J656" s="15" t="n">
        <f aca="false">AF656*評分方法!$C$6</f>
        <v>0</v>
      </c>
      <c r="K656" s="15" t="n">
        <f aca="false">AG656*評分方法!$C$7</f>
        <v>10.05</v>
      </c>
      <c r="L656" s="15" t="n">
        <f aca="false">AH656*評分方法!$C$8</f>
        <v>9</v>
      </c>
      <c r="M656" s="15" t="n">
        <f aca="false">AI656*評分方法!$C$9</f>
        <v>10</v>
      </c>
      <c r="N656" s="15" t="n">
        <f aca="false">AJ656*評分方法!$C$10</f>
        <v>4.592</v>
      </c>
      <c r="O656" s="15" t="n">
        <f aca="false">AK656*評分方法!$C$11</f>
        <v>5</v>
      </c>
      <c r="P656" s="15" t="n">
        <f aca="false">AL656*評分方法!$C$12</f>
        <v>3</v>
      </c>
      <c r="Q656" s="6" t="n">
        <v>499935</v>
      </c>
      <c r="R656" s="6" t="n">
        <v>31273088876</v>
      </c>
      <c r="S656" s="11" t="s">
        <v>389</v>
      </c>
      <c r="T656" s="11" t="s">
        <v>239</v>
      </c>
      <c r="U656" s="5" t="s">
        <v>240</v>
      </c>
      <c r="V656" s="11" t="s">
        <v>261</v>
      </c>
      <c r="W656" s="5" t="s">
        <v>207</v>
      </c>
      <c r="X656" s="5" t="s">
        <v>371</v>
      </c>
      <c r="Y656" s="11" t="s">
        <v>583</v>
      </c>
      <c r="Z656" s="11" t="s">
        <v>244</v>
      </c>
      <c r="AA656" s="11" t="s">
        <v>156</v>
      </c>
      <c r="AB656" s="5" t="s">
        <v>245</v>
      </c>
      <c r="AC656" s="5" t="s">
        <v>246</v>
      </c>
      <c r="AD656" s="11" t="s">
        <v>1802</v>
      </c>
      <c r="AE656" s="23" t="n">
        <v>0.85</v>
      </c>
      <c r="AF656" s="23" t="n">
        <v>0</v>
      </c>
      <c r="AG656" s="23" t="n">
        <v>0.67</v>
      </c>
      <c r="AH656" s="23" t="n">
        <v>0.6</v>
      </c>
      <c r="AI656" s="23" t="n">
        <v>1</v>
      </c>
      <c r="AJ656" s="23" t="n">
        <v>0.4592</v>
      </c>
      <c r="AK656" s="23" t="n">
        <v>1</v>
      </c>
      <c r="AL656" s="23" t="n">
        <v>0.6</v>
      </c>
      <c r="AM656" s="16" t="n">
        <f aca="false">COUNTIFS($D$2:$D$2501,D656,$G$2:$G$2501,"&gt;"&amp;G656)+COUNTIFS($D$2:D656,D656,$G$2:G656,G656)</f>
        <v>352</v>
      </c>
      <c r="AN656" s="5" t="str">
        <f aca="false">D656&amp;"|"&amp;AM656</f>
        <v>分析與報告生成|352</v>
      </c>
    </row>
    <row r="657" customFormat="false" ht="17.15" hidden="false" customHeight="false" outlineLevel="0" collapsed="false">
      <c r="A657" s="16" t="n">
        <f aca="false">RANK(G657,$G$2:$G$2501)+COUNTIF($G$2:G657,G657)-1</f>
        <v>656</v>
      </c>
      <c r="B657" s="11" t="s">
        <v>1803</v>
      </c>
      <c r="C657" s="11" t="s">
        <v>1447</v>
      </c>
      <c r="D657" s="5" t="s">
        <v>56</v>
      </c>
      <c r="E657" s="5" t="s">
        <v>57</v>
      </c>
      <c r="F657" s="5"/>
      <c r="G657" s="22" t="n">
        <f aca="false">ROUND(SUM(I657:P657),3)</f>
        <v>67.14</v>
      </c>
      <c r="H657" s="5" t="str">
        <f aca="false">IF(G657&gt;=評分方法!$C$16,"優先評估",IF(G657&gt;=評分方法!$C$17,"列入候選",IF(G657&gt;=評分方法!$C$18,"特定情境","不建議")))</f>
        <v>特定情境</v>
      </c>
      <c r="I657" s="15" t="n">
        <f aca="false">AE657*評分方法!$C$5</f>
        <v>25.5</v>
      </c>
      <c r="J657" s="15" t="n">
        <f aca="false">AF657*評分方法!$C$6</f>
        <v>0</v>
      </c>
      <c r="K657" s="15" t="n">
        <f aca="false">AG657*評分方法!$C$7</f>
        <v>15</v>
      </c>
      <c r="L657" s="15" t="n">
        <f aca="false">AH657*評分方法!$C$8</f>
        <v>15</v>
      </c>
      <c r="M657" s="15" t="n">
        <f aca="false">AI657*評分方法!$C$9</f>
        <v>6</v>
      </c>
      <c r="N657" s="15" t="n">
        <f aca="false">AJ657*評分方法!$C$10</f>
        <v>0.14</v>
      </c>
      <c r="O657" s="15" t="n">
        <f aca="false">AK657*評分方法!$C$11</f>
        <v>2.5</v>
      </c>
      <c r="P657" s="15" t="n">
        <f aca="false">AL657*評分方法!$C$12</f>
        <v>3</v>
      </c>
      <c r="Q657" s="6" t="n">
        <v>120148</v>
      </c>
      <c r="R657" s="6" t="n">
        <v>521411104</v>
      </c>
      <c r="S657" s="11" t="s">
        <v>238</v>
      </c>
      <c r="T657" s="11" t="s">
        <v>185</v>
      </c>
      <c r="U657" s="5" t="s">
        <v>260</v>
      </c>
      <c r="V657" s="11" t="s">
        <v>261</v>
      </c>
      <c r="W657" s="5" t="s">
        <v>205</v>
      </c>
      <c r="X657" s="5" t="s">
        <v>371</v>
      </c>
      <c r="Y657" s="11" t="s">
        <v>1446</v>
      </c>
      <c r="Z657" s="11" t="s">
        <v>270</v>
      </c>
      <c r="AA657" s="11" t="s">
        <v>155</v>
      </c>
      <c r="AB657" s="5" t="s">
        <v>245</v>
      </c>
      <c r="AC657" s="5" t="s">
        <v>262</v>
      </c>
      <c r="AD657" s="11" t="s">
        <v>1804</v>
      </c>
      <c r="AE657" s="23" t="n">
        <v>0.85</v>
      </c>
      <c r="AF657" s="23" t="n">
        <v>0</v>
      </c>
      <c r="AG657" s="23" t="n">
        <v>1</v>
      </c>
      <c r="AH657" s="23" t="n">
        <v>1</v>
      </c>
      <c r="AI657" s="23" t="n">
        <v>0.6</v>
      </c>
      <c r="AJ657" s="23" t="n">
        <v>0.014</v>
      </c>
      <c r="AK657" s="23" t="n">
        <v>0.5</v>
      </c>
      <c r="AL657" s="23" t="n">
        <v>0.6</v>
      </c>
      <c r="AM657" s="16" t="n">
        <f aca="false">COUNTIFS($D$2:$D$2501,D657,$G$2:$G$2501,"&gt;"&amp;G657)+COUNTIFS($D$2:D657,D657,$G$2:G657,G657)</f>
        <v>353</v>
      </c>
      <c r="AN657" s="5" t="str">
        <f aca="false">D657&amp;"|"&amp;AM657</f>
        <v>分析與報告生成|353</v>
      </c>
    </row>
    <row r="658" customFormat="false" ht="17.15" hidden="false" customHeight="false" outlineLevel="0" collapsed="false">
      <c r="A658" s="16" t="n">
        <f aca="false">RANK(G658,$G$2:$G$2501)+COUNTIF($G$2:G658,G658)-1</f>
        <v>657</v>
      </c>
      <c r="B658" s="11" t="s">
        <v>1805</v>
      </c>
      <c r="C658" s="11" t="s">
        <v>1806</v>
      </c>
      <c r="D658" s="5" t="s">
        <v>56</v>
      </c>
      <c r="E658" s="5" t="s">
        <v>57</v>
      </c>
      <c r="F658" s="5"/>
      <c r="G658" s="22" t="n">
        <f aca="false">ROUND(SUM(I658:P658),3)</f>
        <v>67.132</v>
      </c>
      <c r="H658" s="5" t="str">
        <f aca="false">IF(G658&gt;=評分方法!$C$16,"優先評估",IF(G658&gt;=評分方法!$C$17,"列入候選",IF(G658&gt;=評分方法!$C$18,"特定情境","不建議")))</f>
        <v>特定情境</v>
      </c>
      <c r="I658" s="15" t="n">
        <f aca="false">AE658*評分方法!$C$5</f>
        <v>25.5</v>
      </c>
      <c r="J658" s="15" t="n">
        <f aca="false">AF658*評分方法!$C$6</f>
        <v>0</v>
      </c>
      <c r="K658" s="15" t="n">
        <f aca="false">AG658*評分方法!$C$7</f>
        <v>4.95</v>
      </c>
      <c r="L658" s="15" t="n">
        <f aca="false">AH658*評分方法!$C$8</f>
        <v>13.05</v>
      </c>
      <c r="M658" s="15" t="n">
        <f aca="false">AI658*評分方法!$C$9</f>
        <v>10</v>
      </c>
      <c r="N658" s="15" t="n">
        <f aca="false">AJ658*評分方法!$C$10</f>
        <v>8.132</v>
      </c>
      <c r="O658" s="15" t="n">
        <f aca="false">AK658*評分方法!$C$11</f>
        <v>2.5</v>
      </c>
      <c r="P658" s="15" t="n">
        <f aca="false">AL658*評分方法!$C$12</f>
        <v>3</v>
      </c>
      <c r="Q658" s="6" t="n">
        <v>1749149</v>
      </c>
      <c r="R658" s="6" t="n">
        <v>1215064704</v>
      </c>
      <c r="S658" s="11" t="s">
        <v>254</v>
      </c>
      <c r="T658" s="11" t="s">
        <v>239</v>
      </c>
      <c r="U658" s="5" t="s">
        <v>240</v>
      </c>
      <c r="V658" s="11" t="s">
        <v>261</v>
      </c>
      <c r="W658" s="5" t="s">
        <v>334</v>
      </c>
      <c r="X658" s="5" t="s">
        <v>371</v>
      </c>
      <c r="Y658" s="11" t="s">
        <v>1807</v>
      </c>
      <c r="Z658" s="11" t="s">
        <v>270</v>
      </c>
      <c r="AA658" s="11" t="s">
        <v>155</v>
      </c>
      <c r="AB658" s="5" t="s">
        <v>245</v>
      </c>
      <c r="AC658" s="5"/>
      <c r="AD658" s="11" t="s">
        <v>1808</v>
      </c>
      <c r="AE658" s="23" t="n">
        <v>0.85</v>
      </c>
      <c r="AF658" s="23" t="n">
        <v>0</v>
      </c>
      <c r="AG658" s="23" t="n">
        <v>0.33</v>
      </c>
      <c r="AH658" s="23" t="n">
        <v>0.87</v>
      </c>
      <c r="AI658" s="23" t="n">
        <v>1</v>
      </c>
      <c r="AJ658" s="23" t="n">
        <v>0.8132</v>
      </c>
      <c r="AK658" s="23" t="n">
        <v>0.5</v>
      </c>
      <c r="AL658" s="23" t="n">
        <v>0.6</v>
      </c>
      <c r="AM658" s="16" t="n">
        <f aca="false">COUNTIFS($D$2:$D$2501,D658,$G$2:$G$2501,"&gt;"&amp;G658)+COUNTIFS($D$2:D658,D658,$G$2:G658,G658)</f>
        <v>354</v>
      </c>
      <c r="AN658" s="5" t="str">
        <f aca="false">D658&amp;"|"&amp;AM658</f>
        <v>分析與報告生成|354</v>
      </c>
    </row>
    <row r="659" customFormat="false" ht="17.15" hidden="false" customHeight="false" outlineLevel="0" collapsed="false">
      <c r="A659" s="16" t="n">
        <f aca="false">RANK(G659,$G$2:$G$2501)+COUNTIF($G$2:G659,G659)-1</f>
        <v>658</v>
      </c>
      <c r="B659" s="11" t="s">
        <v>1809</v>
      </c>
      <c r="C659" s="11" t="s">
        <v>548</v>
      </c>
      <c r="D659" s="5" t="s">
        <v>56</v>
      </c>
      <c r="E659" s="5" t="s">
        <v>57</v>
      </c>
      <c r="F659" s="5"/>
      <c r="G659" s="22" t="n">
        <f aca="false">ROUND(SUM(I659:P659),3)</f>
        <v>67.126</v>
      </c>
      <c r="H659" s="5" t="str">
        <f aca="false">IF(G659&gt;=評分方法!$C$16,"優先評估",IF(G659&gt;=評分方法!$C$17,"列入候選",IF(G659&gt;=評分方法!$C$18,"特定情境","不建議")))</f>
        <v>特定情境</v>
      </c>
      <c r="I659" s="15" t="n">
        <f aca="false">AE659*評分方法!$C$5</f>
        <v>25.5</v>
      </c>
      <c r="J659" s="15" t="n">
        <f aca="false">AF659*評分方法!$C$6</f>
        <v>0</v>
      </c>
      <c r="K659" s="15" t="n">
        <f aca="false">AG659*評分方法!$C$7</f>
        <v>15</v>
      </c>
      <c r="L659" s="15" t="n">
        <f aca="false">AH659*評分方法!$C$8</f>
        <v>13.05</v>
      </c>
      <c r="M659" s="15" t="n">
        <f aca="false">AI659*評分方法!$C$9</f>
        <v>10</v>
      </c>
      <c r="N659" s="15" t="n">
        <f aca="false">AJ659*評分方法!$C$10</f>
        <v>2.576</v>
      </c>
      <c r="O659" s="15" t="n">
        <f aca="false">AK659*評分方法!$C$11</f>
        <v>1</v>
      </c>
      <c r="P659" s="15" t="n">
        <f aca="false">AL659*評分方法!$C$12</f>
        <v>0</v>
      </c>
      <c r="Q659" s="6" t="n">
        <v>259671</v>
      </c>
      <c r="R659" s="6" t="n">
        <v>1365907456</v>
      </c>
      <c r="S659" s="11" t="s">
        <v>254</v>
      </c>
      <c r="T659" s="11" t="s">
        <v>278</v>
      </c>
      <c r="U659" s="5" t="s">
        <v>240</v>
      </c>
      <c r="V659" s="11" t="s">
        <v>813</v>
      </c>
      <c r="W659" s="5" t="s">
        <v>205</v>
      </c>
      <c r="X659" s="5" t="s">
        <v>242</v>
      </c>
      <c r="Y659" s="5"/>
      <c r="Z659" s="5"/>
      <c r="AA659" s="11" t="s">
        <v>155</v>
      </c>
      <c r="AB659" s="5" t="s">
        <v>245</v>
      </c>
      <c r="AC659" s="5"/>
      <c r="AD659" s="11" t="s">
        <v>1810</v>
      </c>
      <c r="AE659" s="23" t="n">
        <v>0.85</v>
      </c>
      <c r="AF659" s="23" t="n">
        <v>0</v>
      </c>
      <c r="AG659" s="23" t="n">
        <v>1</v>
      </c>
      <c r="AH659" s="23" t="n">
        <v>0.87</v>
      </c>
      <c r="AI659" s="23" t="n">
        <v>1</v>
      </c>
      <c r="AJ659" s="23" t="n">
        <v>0.2576</v>
      </c>
      <c r="AK659" s="23" t="n">
        <v>0.2</v>
      </c>
      <c r="AL659" s="23" t="n">
        <v>0</v>
      </c>
      <c r="AM659" s="16" t="n">
        <f aca="false">COUNTIFS($D$2:$D$2501,D659,$G$2:$G$2501,"&gt;"&amp;G659)+COUNTIFS($D$2:D659,D659,$G$2:G659,G659)</f>
        <v>355</v>
      </c>
      <c r="AN659" s="5" t="str">
        <f aca="false">D659&amp;"|"&amp;AM659</f>
        <v>分析與報告生成|355</v>
      </c>
    </row>
    <row r="660" customFormat="false" ht="17.15" hidden="false" customHeight="false" outlineLevel="0" collapsed="false">
      <c r="A660" s="16" t="n">
        <f aca="false">RANK(G660,$G$2:$G$2501)+COUNTIF($G$2:G660,G660)-1</f>
        <v>659</v>
      </c>
      <c r="B660" s="11" t="s">
        <v>1811</v>
      </c>
      <c r="C660" s="11" t="s">
        <v>1725</v>
      </c>
      <c r="D660" s="5" t="s">
        <v>56</v>
      </c>
      <c r="E660" s="5" t="s">
        <v>57</v>
      </c>
      <c r="F660" s="5"/>
      <c r="G660" s="22" t="n">
        <f aca="false">ROUND(SUM(I660:P660),3)</f>
        <v>67.096</v>
      </c>
      <c r="H660" s="5" t="str">
        <f aca="false">IF(G660&gt;=評分方法!$C$16,"優先評估",IF(G660&gt;=評分方法!$C$17,"列入候選",IF(G660&gt;=評分方法!$C$18,"特定情境","不建議")))</f>
        <v>特定情境</v>
      </c>
      <c r="I660" s="15" t="n">
        <f aca="false">AE660*評分方法!$C$5</f>
        <v>24</v>
      </c>
      <c r="J660" s="15" t="n">
        <f aca="false">AF660*評分方法!$C$6</f>
        <v>0</v>
      </c>
      <c r="K660" s="15" t="n">
        <f aca="false">AG660*評分方法!$C$7</f>
        <v>4.95</v>
      </c>
      <c r="L660" s="15" t="n">
        <f aca="false">AH660*評分方法!$C$8</f>
        <v>13.05</v>
      </c>
      <c r="M660" s="15" t="n">
        <f aca="false">AI660*評分方法!$C$9</f>
        <v>10</v>
      </c>
      <c r="N660" s="15" t="n">
        <f aca="false">AJ660*評分方法!$C$10</f>
        <v>7.096</v>
      </c>
      <c r="O660" s="15" t="n">
        <f aca="false">AK660*評分方法!$C$11</f>
        <v>5</v>
      </c>
      <c r="P660" s="15" t="n">
        <f aca="false">AL660*評分方法!$C$12</f>
        <v>3</v>
      </c>
      <c r="Q660" s="6" t="n">
        <v>958662</v>
      </c>
      <c r="R660" s="6" t="n">
        <v>7941100874</v>
      </c>
      <c r="S660" s="11" t="s">
        <v>254</v>
      </c>
      <c r="T660" s="11" t="s">
        <v>239</v>
      </c>
      <c r="U660" s="5" t="s">
        <v>240</v>
      </c>
      <c r="V660" s="11" t="s">
        <v>261</v>
      </c>
      <c r="W660" s="5" t="s">
        <v>334</v>
      </c>
      <c r="X660" s="5" t="s">
        <v>371</v>
      </c>
      <c r="Y660" s="11" t="s">
        <v>422</v>
      </c>
      <c r="Z660" s="11" t="s">
        <v>244</v>
      </c>
      <c r="AA660" s="11" t="s">
        <v>157</v>
      </c>
      <c r="AB660" s="5" t="s">
        <v>245</v>
      </c>
      <c r="AC660" s="5" t="s">
        <v>246</v>
      </c>
      <c r="AD660" s="11" t="s">
        <v>1812</v>
      </c>
      <c r="AE660" s="23" t="n">
        <v>0.8</v>
      </c>
      <c r="AF660" s="23" t="n">
        <v>0</v>
      </c>
      <c r="AG660" s="23" t="n">
        <v>0.33</v>
      </c>
      <c r="AH660" s="23" t="n">
        <v>0.87</v>
      </c>
      <c r="AI660" s="23" t="n">
        <v>1</v>
      </c>
      <c r="AJ660" s="23" t="n">
        <v>0.7096</v>
      </c>
      <c r="AK660" s="23" t="n">
        <v>1</v>
      </c>
      <c r="AL660" s="23" t="n">
        <v>0.6</v>
      </c>
      <c r="AM660" s="16" t="n">
        <f aca="false">COUNTIFS($D$2:$D$2501,D660,$G$2:$G$2501,"&gt;"&amp;G660)+COUNTIFS($D$2:D660,D660,$G$2:G660,G660)</f>
        <v>356</v>
      </c>
      <c r="AN660" s="5" t="str">
        <f aca="false">D660&amp;"|"&amp;AM660</f>
        <v>分析與報告生成|356</v>
      </c>
    </row>
    <row r="661" customFormat="false" ht="17.15" hidden="false" customHeight="false" outlineLevel="0" collapsed="false">
      <c r="A661" s="16" t="n">
        <f aca="false">RANK(G661,$G$2:$G$2501)+COUNTIF($G$2:G661,G661)-1</f>
        <v>660</v>
      </c>
      <c r="B661" s="11" t="s">
        <v>1813</v>
      </c>
      <c r="C661" s="11" t="s">
        <v>402</v>
      </c>
      <c r="D661" s="5" t="s">
        <v>58</v>
      </c>
      <c r="E661" s="5" t="s">
        <v>59</v>
      </c>
      <c r="F661" s="5"/>
      <c r="G661" s="22" t="n">
        <f aca="false">ROUND(SUM(I661:P661),3)</f>
        <v>67.094</v>
      </c>
      <c r="H661" s="5" t="str">
        <f aca="false">IF(G661&gt;=評分方法!$C$16,"優先評估",IF(G661&gt;=評分方法!$C$17,"列入候選",IF(G661&gt;=評分方法!$C$18,"特定情境","不建議")))</f>
        <v>特定情境</v>
      </c>
      <c r="I661" s="15" t="n">
        <f aca="false">AE661*評分方法!$C$5</f>
        <v>28.5</v>
      </c>
      <c r="J661" s="15" t="n">
        <f aca="false">AF661*評分方法!$C$6</f>
        <v>0</v>
      </c>
      <c r="K661" s="15" t="n">
        <f aca="false">AG661*評分方法!$C$7</f>
        <v>4.95</v>
      </c>
      <c r="L661" s="15" t="n">
        <f aca="false">AH661*評分方法!$C$8</f>
        <v>15</v>
      </c>
      <c r="M661" s="15" t="n">
        <f aca="false">AI661*評分方法!$C$9</f>
        <v>10</v>
      </c>
      <c r="N661" s="15" t="n">
        <f aca="false">AJ661*評分方法!$C$10</f>
        <v>6.144</v>
      </c>
      <c r="O661" s="15" t="n">
        <f aca="false">AK661*評分方法!$C$11</f>
        <v>2.5</v>
      </c>
      <c r="P661" s="15" t="n">
        <f aca="false">AL661*評分方法!$C$12</f>
        <v>0</v>
      </c>
      <c r="Q661" s="6" t="n">
        <v>654369</v>
      </c>
      <c r="R661" s="6" t="n">
        <v>134736387</v>
      </c>
      <c r="S661" s="11" t="s">
        <v>238</v>
      </c>
      <c r="T661" s="11" t="s">
        <v>239</v>
      </c>
      <c r="U661" s="5" t="s">
        <v>240</v>
      </c>
      <c r="V661" s="11" t="s">
        <v>261</v>
      </c>
      <c r="W661" s="5" t="s">
        <v>334</v>
      </c>
      <c r="X661" s="5" t="s">
        <v>242</v>
      </c>
      <c r="Y661" s="5"/>
      <c r="Z661" s="5"/>
      <c r="AA661" s="11" t="s">
        <v>150</v>
      </c>
      <c r="AB661" s="5" t="s">
        <v>245</v>
      </c>
      <c r="AC661" s="5"/>
      <c r="AD661" s="11" t="s">
        <v>1814</v>
      </c>
      <c r="AE661" s="23" t="n">
        <v>0.95</v>
      </c>
      <c r="AF661" s="23" t="n">
        <v>0</v>
      </c>
      <c r="AG661" s="23" t="n">
        <v>0.33</v>
      </c>
      <c r="AH661" s="23" t="n">
        <v>1</v>
      </c>
      <c r="AI661" s="23" t="n">
        <v>1</v>
      </c>
      <c r="AJ661" s="23" t="n">
        <v>0.6144</v>
      </c>
      <c r="AK661" s="23" t="n">
        <v>0.5</v>
      </c>
      <c r="AL661" s="23" t="n">
        <v>0</v>
      </c>
      <c r="AM661" s="16" t="n">
        <f aca="false">COUNTIFS($D$2:$D$2501,D661,$G$2:$G$2501,"&gt;"&amp;G661)+COUNTIFS($D$2:D661,D661,$G$2:G661,G661)</f>
        <v>59</v>
      </c>
      <c r="AN661" s="5" t="str">
        <f aca="false">D661&amp;"|"&amp;AM661</f>
        <v>實體擷取與去識別化|59</v>
      </c>
    </row>
    <row r="662" customFormat="false" ht="17.15" hidden="false" customHeight="false" outlineLevel="0" collapsed="false">
      <c r="A662" s="16" t="n">
        <f aca="false">RANK(G662,$G$2:$G$2501)+COUNTIF($G$2:G662,G662)-1</f>
        <v>661</v>
      </c>
      <c r="B662" s="11" t="s">
        <v>1815</v>
      </c>
      <c r="C662" s="11" t="s">
        <v>675</v>
      </c>
      <c r="D662" s="5" t="s">
        <v>56</v>
      </c>
      <c r="E662" s="5" t="s">
        <v>57</v>
      </c>
      <c r="F662" s="5"/>
      <c r="G662" s="22" t="n">
        <f aca="false">ROUND(SUM(I662:P662),3)</f>
        <v>67.066</v>
      </c>
      <c r="H662" s="5" t="str">
        <f aca="false">IF(G662&gt;=評分方法!$C$16,"優先評估",IF(G662&gt;=評分方法!$C$17,"列入候選",IF(G662&gt;=評分方法!$C$18,"特定情境","不建議")))</f>
        <v>特定情境</v>
      </c>
      <c r="I662" s="15" t="n">
        <f aca="false">AE662*評分方法!$C$5</f>
        <v>25.5</v>
      </c>
      <c r="J662" s="15" t="n">
        <f aca="false">AF662*評分方法!$C$6</f>
        <v>0</v>
      </c>
      <c r="K662" s="15" t="n">
        <f aca="false">AG662*評分方法!$C$7</f>
        <v>15</v>
      </c>
      <c r="L662" s="15" t="n">
        <f aca="false">AH662*評分方法!$C$8</f>
        <v>13.05</v>
      </c>
      <c r="M662" s="15" t="n">
        <f aca="false">AI662*評分方法!$C$9</f>
        <v>6</v>
      </c>
      <c r="N662" s="15" t="n">
        <f aca="false">AJ662*評分方法!$C$10</f>
        <v>1.516</v>
      </c>
      <c r="O662" s="15" t="n">
        <f aca="false">AK662*評分方法!$C$11</f>
        <v>1</v>
      </c>
      <c r="P662" s="15" t="n">
        <f aca="false">AL662*評分方法!$C$12</f>
        <v>5</v>
      </c>
      <c r="Q662" s="6" t="n">
        <v>180289</v>
      </c>
      <c r="R662" s="6" t="n">
        <v>1722408960</v>
      </c>
      <c r="S662" s="11" t="s">
        <v>254</v>
      </c>
      <c r="T662" s="11" t="s">
        <v>676</v>
      </c>
      <c r="U662" s="5" t="s">
        <v>260</v>
      </c>
      <c r="V662" s="11" t="s">
        <v>813</v>
      </c>
      <c r="W662" s="5" t="s">
        <v>205</v>
      </c>
      <c r="X662" s="5" t="s">
        <v>284</v>
      </c>
      <c r="Y662" s="5"/>
      <c r="Z662" s="5"/>
      <c r="AA662" s="11" t="s">
        <v>155</v>
      </c>
      <c r="AB662" s="5" t="s">
        <v>245</v>
      </c>
      <c r="AC662" s="5" t="s">
        <v>262</v>
      </c>
      <c r="AD662" s="11" t="s">
        <v>1816</v>
      </c>
      <c r="AE662" s="23" t="n">
        <v>0.85</v>
      </c>
      <c r="AF662" s="23" t="n">
        <v>0</v>
      </c>
      <c r="AG662" s="23" t="n">
        <v>1</v>
      </c>
      <c r="AH662" s="23" t="n">
        <v>0.87</v>
      </c>
      <c r="AI662" s="23" t="n">
        <v>0.6</v>
      </c>
      <c r="AJ662" s="23" t="n">
        <v>0.1516</v>
      </c>
      <c r="AK662" s="23" t="n">
        <v>0.2</v>
      </c>
      <c r="AL662" s="23" t="n">
        <v>1</v>
      </c>
      <c r="AM662" s="16" t="n">
        <f aca="false">COUNTIFS($D$2:$D$2501,D662,$G$2:$G$2501,"&gt;"&amp;G662)+COUNTIFS($D$2:D662,D662,$G$2:G662,G662)</f>
        <v>357</v>
      </c>
      <c r="AN662" s="5" t="str">
        <f aca="false">D662&amp;"|"&amp;AM662</f>
        <v>分析與報告生成|357</v>
      </c>
    </row>
    <row r="663" customFormat="false" ht="17.15" hidden="false" customHeight="false" outlineLevel="0" collapsed="false">
      <c r="A663" s="16" t="n">
        <f aca="false">RANK(G663,$G$2:$G$2501)+COUNTIF($G$2:G663,G663)-1</f>
        <v>662</v>
      </c>
      <c r="B663" s="11" t="s">
        <v>1817</v>
      </c>
      <c r="C663" s="11" t="s">
        <v>308</v>
      </c>
      <c r="D663" s="5" t="s">
        <v>56</v>
      </c>
      <c r="E663" s="5" t="s">
        <v>57</v>
      </c>
      <c r="F663" s="5"/>
      <c r="G663" s="22" t="n">
        <f aca="false">ROUND(SUM(I663:P663),3)</f>
        <v>67.058</v>
      </c>
      <c r="H663" s="5" t="str">
        <f aca="false">IF(G663&gt;=評分方法!$C$16,"優先評估",IF(G663&gt;=評分方法!$C$17,"列入候選",IF(G663&gt;=評分方法!$C$18,"特定情境","不建議")))</f>
        <v>特定情境</v>
      </c>
      <c r="I663" s="15" t="n">
        <f aca="false">AE663*評分方法!$C$5</f>
        <v>12</v>
      </c>
      <c r="J663" s="15" t="n">
        <f aca="false">AF663*評分方法!$C$6</f>
        <v>0</v>
      </c>
      <c r="K663" s="15" t="n">
        <f aca="false">AG663*評分方法!$C$7</f>
        <v>15</v>
      </c>
      <c r="L663" s="15" t="n">
        <f aca="false">AH663*評分方法!$C$8</f>
        <v>13.05</v>
      </c>
      <c r="M663" s="15" t="n">
        <f aca="false">AI663*評分方法!$C$9</f>
        <v>10</v>
      </c>
      <c r="N663" s="15" t="n">
        <f aca="false">AJ663*評分方法!$C$10</f>
        <v>8.008</v>
      </c>
      <c r="O663" s="15" t="n">
        <f aca="false">AK663*評分方法!$C$11</f>
        <v>4</v>
      </c>
      <c r="P663" s="15" t="n">
        <f aca="false">AL663*評分方法!$C$12</f>
        <v>5</v>
      </c>
      <c r="Q663" s="6" t="n">
        <v>1571170</v>
      </c>
      <c r="R663" s="6" t="n">
        <v>8330325888</v>
      </c>
      <c r="S663" s="11" t="s">
        <v>254</v>
      </c>
      <c r="T663" s="11" t="s">
        <v>278</v>
      </c>
      <c r="U663" s="5" t="s">
        <v>240</v>
      </c>
      <c r="V663" s="11" t="s">
        <v>261</v>
      </c>
      <c r="W663" s="5" t="s">
        <v>205</v>
      </c>
      <c r="X663" s="5" t="s">
        <v>284</v>
      </c>
      <c r="Y663" s="5"/>
      <c r="Z663" s="5"/>
      <c r="AA663" s="11" t="s">
        <v>171</v>
      </c>
      <c r="AB663" s="5" t="s">
        <v>245</v>
      </c>
      <c r="AC663" s="5"/>
      <c r="AD663" s="11" t="s">
        <v>1818</v>
      </c>
      <c r="AE663" s="23" t="n">
        <v>0.4</v>
      </c>
      <c r="AF663" s="23" t="n">
        <v>0</v>
      </c>
      <c r="AG663" s="23" t="n">
        <v>1</v>
      </c>
      <c r="AH663" s="23" t="n">
        <v>0.87</v>
      </c>
      <c r="AI663" s="23" t="n">
        <v>1</v>
      </c>
      <c r="AJ663" s="23" t="n">
        <v>0.8008</v>
      </c>
      <c r="AK663" s="23" t="n">
        <v>0.8</v>
      </c>
      <c r="AL663" s="23" t="n">
        <v>1</v>
      </c>
      <c r="AM663" s="16" t="n">
        <f aca="false">COUNTIFS($D$2:$D$2501,D663,$G$2:$G$2501,"&gt;"&amp;G663)+COUNTIFS($D$2:D663,D663,$G$2:G663,G663)</f>
        <v>358</v>
      </c>
      <c r="AN663" s="5" t="str">
        <f aca="false">D663&amp;"|"&amp;AM663</f>
        <v>分析與報告生成|358</v>
      </c>
    </row>
    <row r="664" customFormat="false" ht="17.15" hidden="false" customHeight="false" outlineLevel="0" collapsed="false">
      <c r="A664" s="16" t="n">
        <f aca="false">RANK(G664,$G$2:$G$2501)+COUNTIF($G$2:G664,G664)-1</f>
        <v>663</v>
      </c>
      <c r="B664" s="11" t="s">
        <v>1819</v>
      </c>
      <c r="C664" s="11" t="s">
        <v>1820</v>
      </c>
      <c r="D664" s="5" t="s">
        <v>66</v>
      </c>
      <c r="E664" s="5" t="s">
        <v>67</v>
      </c>
      <c r="F664" s="5"/>
      <c r="G664" s="22" t="n">
        <f aca="false">ROUND(SUM(I664:P664),3)</f>
        <v>67.034</v>
      </c>
      <c r="H664" s="5" t="str">
        <f aca="false">IF(G664&gt;=評分方法!$C$16,"優先評估",IF(G664&gt;=評分方法!$C$17,"列入候選",IF(G664&gt;=評分方法!$C$18,"特定情境","不建議")))</f>
        <v>特定情境</v>
      </c>
      <c r="I664" s="15" t="n">
        <f aca="false">AE664*評分方法!$C$5</f>
        <v>30</v>
      </c>
      <c r="J664" s="15" t="n">
        <f aca="false">AF664*評分方法!$C$6</f>
        <v>0</v>
      </c>
      <c r="K664" s="15" t="n">
        <f aca="false">AG664*評分方法!$C$7</f>
        <v>4.95</v>
      </c>
      <c r="L664" s="15" t="n">
        <f aca="false">AH664*評分方法!$C$8</f>
        <v>15</v>
      </c>
      <c r="M664" s="15" t="n">
        <f aca="false">AI664*評分方法!$C$9</f>
        <v>8</v>
      </c>
      <c r="N664" s="15" t="n">
        <f aca="false">AJ664*評分方法!$C$10</f>
        <v>0.084</v>
      </c>
      <c r="O664" s="15" t="n">
        <f aca="false">AK664*評分方法!$C$11</f>
        <v>4</v>
      </c>
      <c r="P664" s="15" t="n">
        <f aca="false">AL664*評分方法!$C$12</f>
        <v>5</v>
      </c>
      <c r="Q664" s="6" t="n">
        <v>119015</v>
      </c>
      <c r="R664" s="6" t="n">
        <v>559907857</v>
      </c>
      <c r="S664" s="11" t="s">
        <v>238</v>
      </c>
      <c r="T664" s="11" t="s">
        <v>1821</v>
      </c>
      <c r="U664" s="5" t="s">
        <v>1822</v>
      </c>
      <c r="V664" s="11" t="s">
        <v>261</v>
      </c>
      <c r="W664" s="5" t="s">
        <v>334</v>
      </c>
      <c r="X664" s="5" t="s">
        <v>284</v>
      </c>
      <c r="Y664" s="11" t="s">
        <v>1252</v>
      </c>
      <c r="Z664" s="11" t="s">
        <v>270</v>
      </c>
      <c r="AA664" s="11" t="s">
        <v>149</v>
      </c>
      <c r="AB664" s="5" t="s">
        <v>245</v>
      </c>
      <c r="AC664" s="5"/>
      <c r="AD664" s="11" t="s">
        <v>1823</v>
      </c>
      <c r="AE664" s="23" t="n">
        <v>1</v>
      </c>
      <c r="AF664" s="23" t="n">
        <v>0</v>
      </c>
      <c r="AG664" s="23" t="n">
        <v>0.33</v>
      </c>
      <c r="AH664" s="23" t="n">
        <v>1</v>
      </c>
      <c r="AI664" s="23" t="n">
        <v>0.8</v>
      </c>
      <c r="AJ664" s="23" t="n">
        <v>0.0084</v>
      </c>
      <c r="AK664" s="23" t="n">
        <v>0.8</v>
      </c>
      <c r="AL664" s="23" t="n">
        <v>1</v>
      </c>
      <c r="AM664" s="16" t="n">
        <f aca="false">COUNTIFS($D$2:$D$2501,D664,$G$2:$G$2501,"&gt;"&amp;G664)+COUNTIFS($D$2:D664,D664,$G$2:G664,G664)</f>
        <v>21</v>
      </c>
      <c r="AN664" s="5" t="str">
        <f aca="false">D664&amp;"|"&amp;AM664</f>
        <v>分類與偵測|21</v>
      </c>
    </row>
    <row r="665" customFormat="false" ht="17.15" hidden="false" customHeight="false" outlineLevel="0" collapsed="false">
      <c r="A665" s="16" t="n">
        <f aca="false">RANK(G665,$G$2:$G$2501)+COUNTIF($G$2:G665,G665)-1</f>
        <v>664</v>
      </c>
      <c r="B665" s="11" t="s">
        <v>1824</v>
      </c>
      <c r="C665" s="11" t="s">
        <v>417</v>
      </c>
      <c r="D665" s="5" t="s">
        <v>56</v>
      </c>
      <c r="E665" s="5" t="s">
        <v>57</v>
      </c>
      <c r="F665" s="5"/>
      <c r="G665" s="22" t="n">
        <f aca="false">ROUND(SUM(I665:P665),3)</f>
        <v>67.032</v>
      </c>
      <c r="H665" s="5" t="str">
        <f aca="false">IF(G665&gt;=評分方法!$C$16,"優先評估",IF(G665&gt;=評分方法!$C$17,"列入候選",IF(G665&gt;=評分方法!$C$18,"特定情境","不建議")))</f>
        <v>特定情境</v>
      </c>
      <c r="I665" s="15" t="n">
        <f aca="false">AE665*評分方法!$C$5</f>
        <v>25.5</v>
      </c>
      <c r="J665" s="15" t="n">
        <f aca="false">AF665*評分方法!$C$6</f>
        <v>0</v>
      </c>
      <c r="K665" s="15" t="n">
        <f aca="false">AG665*評分方法!$C$7</f>
        <v>15</v>
      </c>
      <c r="L665" s="15" t="n">
        <f aca="false">AH665*評分方法!$C$8</f>
        <v>15</v>
      </c>
      <c r="M665" s="15" t="n">
        <f aca="false">AI665*評分方法!$C$9</f>
        <v>10</v>
      </c>
      <c r="N665" s="15" t="n">
        <f aca="false">AJ665*評分方法!$C$10</f>
        <v>0.532</v>
      </c>
      <c r="O665" s="15" t="n">
        <f aca="false">AK665*評分方法!$C$11</f>
        <v>1</v>
      </c>
      <c r="P665" s="15" t="n">
        <f aca="false">AL665*評分方法!$C$12</f>
        <v>0</v>
      </c>
      <c r="Q665" s="6" t="n">
        <v>133782</v>
      </c>
      <c r="R665" s="6" t="n">
        <v>361821120</v>
      </c>
      <c r="S665" s="11" t="s">
        <v>238</v>
      </c>
      <c r="T665" s="11" t="s">
        <v>239</v>
      </c>
      <c r="U665" s="5" t="s">
        <v>240</v>
      </c>
      <c r="V665" s="11" t="s">
        <v>241</v>
      </c>
      <c r="W665" s="5" t="s">
        <v>205</v>
      </c>
      <c r="X665" s="5" t="s">
        <v>242</v>
      </c>
      <c r="Y665" s="5"/>
      <c r="Z665" s="5"/>
      <c r="AA665" s="11" t="s">
        <v>155</v>
      </c>
      <c r="AB665" s="5" t="s">
        <v>245</v>
      </c>
      <c r="AC665" s="5"/>
      <c r="AD665" s="11" t="s">
        <v>1825</v>
      </c>
      <c r="AE665" s="23" t="n">
        <v>0.85</v>
      </c>
      <c r="AF665" s="23" t="n">
        <v>0</v>
      </c>
      <c r="AG665" s="23" t="n">
        <v>1</v>
      </c>
      <c r="AH665" s="23" t="n">
        <v>1</v>
      </c>
      <c r="AI665" s="23" t="n">
        <v>1</v>
      </c>
      <c r="AJ665" s="23" t="n">
        <v>0.0532</v>
      </c>
      <c r="AK665" s="23" t="n">
        <v>0.2</v>
      </c>
      <c r="AL665" s="23" t="n">
        <v>0</v>
      </c>
      <c r="AM665" s="16" t="n">
        <f aca="false">COUNTIFS($D$2:$D$2501,D665,$G$2:$G$2501,"&gt;"&amp;G665)+COUNTIFS($D$2:D665,D665,$G$2:G665,G665)</f>
        <v>359</v>
      </c>
      <c r="AN665" s="5" t="str">
        <f aca="false">D665&amp;"|"&amp;AM665</f>
        <v>分析與報告生成|359</v>
      </c>
    </row>
    <row r="666" customFormat="false" ht="17.15" hidden="false" customHeight="false" outlineLevel="0" collapsed="false">
      <c r="A666" s="16" t="n">
        <f aca="false">RANK(G666,$G$2:$G$2501)+COUNTIF($G$2:G666,G666)-1</f>
        <v>665</v>
      </c>
      <c r="B666" s="11" t="s">
        <v>1826</v>
      </c>
      <c r="C666" s="11" t="s">
        <v>461</v>
      </c>
      <c r="D666" s="5" t="s">
        <v>56</v>
      </c>
      <c r="E666" s="5" t="s">
        <v>57</v>
      </c>
      <c r="F666" s="5"/>
      <c r="G666" s="22" t="n">
        <f aca="false">ROUND(SUM(I666:P666),3)</f>
        <v>67.024</v>
      </c>
      <c r="H666" s="5" t="str">
        <f aca="false">IF(G666&gt;=評分方法!$C$16,"優先評估",IF(G666&gt;=評分方法!$C$17,"列入候選",IF(G666&gt;=評分方法!$C$18,"特定情境","不建議")))</f>
        <v>特定情境</v>
      </c>
      <c r="I666" s="15" t="n">
        <f aca="false">AE666*評分方法!$C$5</f>
        <v>25.5</v>
      </c>
      <c r="J666" s="15" t="n">
        <f aca="false">AF666*評分方法!$C$6</f>
        <v>0</v>
      </c>
      <c r="K666" s="15" t="n">
        <f aca="false">AG666*評分方法!$C$7</f>
        <v>15</v>
      </c>
      <c r="L666" s="15" t="n">
        <f aca="false">AH666*評分方法!$C$8</f>
        <v>9</v>
      </c>
      <c r="M666" s="15" t="n">
        <f aca="false">AI666*評分方法!$C$9</f>
        <v>6</v>
      </c>
      <c r="N666" s="15" t="n">
        <f aca="false">AJ666*評分方法!$C$10</f>
        <v>1.524</v>
      </c>
      <c r="O666" s="15" t="n">
        <f aca="false">AK666*評分方法!$C$11</f>
        <v>5</v>
      </c>
      <c r="P666" s="15" t="n">
        <f aca="false">AL666*評分方法!$C$12</f>
        <v>5</v>
      </c>
      <c r="Q666" s="6" t="n">
        <v>180531</v>
      </c>
      <c r="R666" s="6" t="n">
        <v>23971587712</v>
      </c>
      <c r="S666" s="11" t="s">
        <v>389</v>
      </c>
      <c r="T666" s="11" t="s">
        <v>185</v>
      </c>
      <c r="U666" s="5" t="s">
        <v>260</v>
      </c>
      <c r="V666" s="11" t="s">
        <v>333</v>
      </c>
      <c r="W666" s="5" t="s">
        <v>205</v>
      </c>
      <c r="X666" s="5" t="s">
        <v>284</v>
      </c>
      <c r="Y666" s="11" t="s">
        <v>1827</v>
      </c>
      <c r="Z666" s="11" t="s">
        <v>244</v>
      </c>
      <c r="AA666" s="11" t="s">
        <v>155</v>
      </c>
      <c r="AB666" s="5" t="s">
        <v>245</v>
      </c>
      <c r="AC666" s="5" t="s">
        <v>464</v>
      </c>
      <c r="AD666" s="11" t="s">
        <v>1828</v>
      </c>
      <c r="AE666" s="23" t="n">
        <v>0.85</v>
      </c>
      <c r="AF666" s="23" t="n">
        <v>0</v>
      </c>
      <c r="AG666" s="23" t="n">
        <v>1</v>
      </c>
      <c r="AH666" s="23" t="n">
        <v>0.6</v>
      </c>
      <c r="AI666" s="23" t="n">
        <v>0.6</v>
      </c>
      <c r="AJ666" s="23" t="n">
        <v>0.1524</v>
      </c>
      <c r="AK666" s="23" t="n">
        <v>1</v>
      </c>
      <c r="AL666" s="23" t="n">
        <v>1</v>
      </c>
      <c r="AM666" s="16" t="n">
        <f aca="false">COUNTIFS($D$2:$D$2501,D666,$G$2:$G$2501,"&gt;"&amp;G666)+COUNTIFS($D$2:D666,D666,$G$2:G666,G666)</f>
        <v>360</v>
      </c>
      <c r="AN666" s="5" t="str">
        <f aca="false">D666&amp;"|"&amp;AM666</f>
        <v>分析與報告生成|360</v>
      </c>
    </row>
    <row r="667" customFormat="false" ht="17.15" hidden="false" customHeight="false" outlineLevel="0" collapsed="false">
      <c r="A667" s="16" t="n">
        <f aca="false">RANK(G667,$G$2:$G$2501)+COUNTIF($G$2:G667,G667)-1</f>
        <v>666</v>
      </c>
      <c r="B667" s="11" t="s">
        <v>1829</v>
      </c>
      <c r="C667" s="11" t="s">
        <v>1325</v>
      </c>
      <c r="D667" s="5" t="s">
        <v>54</v>
      </c>
      <c r="E667" s="5" t="s">
        <v>55</v>
      </c>
      <c r="F667" s="5"/>
      <c r="G667" s="22" t="n">
        <f aca="false">ROUND(SUM(I667:P667),3)</f>
        <v>67.02</v>
      </c>
      <c r="H667" s="5" t="str">
        <f aca="false">IF(G667&gt;=評分方法!$C$16,"優先評估",IF(G667&gt;=評分方法!$C$17,"列入候選",IF(G667&gt;=評分方法!$C$18,"特定情境","不建議")))</f>
        <v>特定情境</v>
      </c>
      <c r="I667" s="15" t="n">
        <f aca="false">AE667*評分方法!$C$5</f>
        <v>27</v>
      </c>
      <c r="J667" s="15" t="n">
        <f aca="false">AF667*評分方法!$C$6</f>
        <v>0</v>
      </c>
      <c r="K667" s="15" t="n">
        <f aca="false">AG667*評分方法!$C$7</f>
        <v>10.05</v>
      </c>
      <c r="L667" s="15" t="n">
        <f aca="false">AH667*評分方法!$C$8</f>
        <v>7.05</v>
      </c>
      <c r="M667" s="15" t="n">
        <f aca="false">AI667*評分方法!$C$9</f>
        <v>10</v>
      </c>
      <c r="N667" s="15" t="n">
        <f aca="false">AJ667*評分方法!$C$10</f>
        <v>2.92</v>
      </c>
      <c r="O667" s="15" t="n">
        <f aca="false">AK667*評分方法!$C$11</f>
        <v>5</v>
      </c>
      <c r="P667" s="15" t="n">
        <f aca="false">AL667*評分方法!$C$12</f>
        <v>5</v>
      </c>
      <c r="Q667" s="6" t="n">
        <v>287404</v>
      </c>
      <c r="R667" s="6"/>
      <c r="S667" s="5" t="s">
        <v>255</v>
      </c>
      <c r="T667" s="11" t="s">
        <v>239</v>
      </c>
      <c r="U667" s="5" t="s">
        <v>240</v>
      </c>
      <c r="V667" s="11" t="s">
        <v>514</v>
      </c>
      <c r="W667" s="5" t="s">
        <v>207</v>
      </c>
      <c r="X667" s="5" t="s">
        <v>284</v>
      </c>
      <c r="Y667" s="11" t="s">
        <v>469</v>
      </c>
      <c r="Z667" s="11" t="s">
        <v>244</v>
      </c>
      <c r="AA667" s="11" t="s">
        <v>153</v>
      </c>
      <c r="AB667" s="5" t="s">
        <v>245</v>
      </c>
      <c r="AC667" s="5" t="s">
        <v>246</v>
      </c>
      <c r="AD667" s="11" t="s">
        <v>1830</v>
      </c>
      <c r="AE667" s="23" t="n">
        <v>0.9</v>
      </c>
      <c r="AF667" s="23" t="n">
        <v>0</v>
      </c>
      <c r="AG667" s="23" t="n">
        <v>0.67</v>
      </c>
      <c r="AH667" s="23" t="n">
        <v>0.47</v>
      </c>
      <c r="AI667" s="23" t="n">
        <v>1</v>
      </c>
      <c r="AJ667" s="23" t="n">
        <v>0.292</v>
      </c>
      <c r="AK667" s="23" t="n">
        <v>1</v>
      </c>
      <c r="AL667" s="23" t="n">
        <v>1</v>
      </c>
      <c r="AM667" s="16" t="n">
        <f aca="false">COUNTIFS($D$2:$D$2501,D667,$G$2:$G$2501,"&gt;"&amp;G667)+COUNTIFS($D$2:D667,D667,$G$2:G667,G667)</f>
        <v>137</v>
      </c>
      <c r="AN667" s="5" t="str">
        <f aca="false">D667&amp;"|"&amp;AM667</f>
        <v>檢索與情資關聯|137</v>
      </c>
    </row>
    <row r="668" customFormat="false" ht="17.15" hidden="false" customHeight="false" outlineLevel="0" collapsed="false">
      <c r="A668" s="16" t="n">
        <f aca="false">RANK(G668,$G$2:$G$2501)+COUNTIF($G$2:G668,G668)-1</f>
        <v>667</v>
      </c>
      <c r="B668" s="11" t="s">
        <v>1831</v>
      </c>
      <c r="C668" s="11" t="s">
        <v>402</v>
      </c>
      <c r="D668" s="5" t="s">
        <v>58</v>
      </c>
      <c r="E668" s="5" t="s">
        <v>59</v>
      </c>
      <c r="F668" s="5"/>
      <c r="G668" s="22" t="n">
        <f aca="false">ROUND(SUM(I668:P668),3)</f>
        <v>67.002</v>
      </c>
      <c r="H668" s="5" t="str">
        <f aca="false">IF(G668&gt;=評分方法!$C$16,"優先評估",IF(G668&gt;=評分方法!$C$17,"列入候選",IF(G668&gt;=評分方法!$C$18,"特定情境","不建議")))</f>
        <v>特定情境</v>
      </c>
      <c r="I668" s="15" t="n">
        <f aca="false">AE668*評分方法!$C$5</f>
        <v>28.5</v>
      </c>
      <c r="J668" s="15" t="n">
        <f aca="false">AF668*評分方法!$C$6</f>
        <v>0</v>
      </c>
      <c r="K668" s="15" t="n">
        <f aca="false">AG668*評分方法!$C$7</f>
        <v>4.95</v>
      </c>
      <c r="L668" s="15" t="n">
        <f aca="false">AH668*評分方法!$C$8</f>
        <v>15</v>
      </c>
      <c r="M668" s="15" t="n">
        <f aca="false">AI668*評分方法!$C$9</f>
        <v>10</v>
      </c>
      <c r="N668" s="15" t="n">
        <f aca="false">AJ668*評分方法!$C$10</f>
        <v>6.052</v>
      </c>
      <c r="O668" s="15" t="n">
        <f aca="false">AK668*評分方法!$C$11</f>
        <v>2.5</v>
      </c>
      <c r="P668" s="15" t="n">
        <f aca="false">AL668*評分方法!$C$12</f>
        <v>0</v>
      </c>
      <c r="Q668" s="6" t="n">
        <v>639464</v>
      </c>
      <c r="R668" s="6" t="n">
        <v>434015235</v>
      </c>
      <c r="S668" s="11" t="s">
        <v>238</v>
      </c>
      <c r="T668" s="11" t="s">
        <v>239</v>
      </c>
      <c r="U668" s="5" t="s">
        <v>240</v>
      </c>
      <c r="V668" s="11" t="s">
        <v>261</v>
      </c>
      <c r="W668" s="5" t="s">
        <v>334</v>
      </c>
      <c r="X668" s="5" t="s">
        <v>242</v>
      </c>
      <c r="Y668" s="5"/>
      <c r="Z668" s="5"/>
      <c r="AA668" s="11" t="s">
        <v>150</v>
      </c>
      <c r="AB668" s="5" t="s">
        <v>245</v>
      </c>
      <c r="AC668" s="5"/>
      <c r="AD668" s="11" t="s">
        <v>1832</v>
      </c>
      <c r="AE668" s="23" t="n">
        <v>0.95</v>
      </c>
      <c r="AF668" s="23" t="n">
        <v>0</v>
      </c>
      <c r="AG668" s="23" t="n">
        <v>0.33</v>
      </c>
      <c r="AH668" s="23" t="n">
        <v>1</v>
      </c>
      <c r="AI668" s="23" t="n">
        <v>1</v>
      </c>
      <c r="AJ668" s="23" t="n">
        <v>0.6052</v>
      </c>
      <c r="AK668" s="23" t="n">
        <v>0.5</v>
      </c>
      <c r="AL668" s="23" t="n">
        <v>0</v>
      </c>
      <c r="AM668" s="16" t="n">
        <f aca="false">COUNTIFS($D$2:$D$2501,D668,$G$2:$G$2501,"&gt;"&amp;G668)+COUNTIFS($D$2:D668,D668,$G$2:G668,G668)</f>
        <v>60</v>
      </c>
      <c r="AN668" s="5" t="str">
        <f aca="false">D668&amp;"|"&amp;AM668</f>
        <v>實體擷取與去識別化|60</v>
      </c>
    </row>
    <row r="669" customFormat="false" ht="17.15" hidden="false" customHeight="false" outlineLevel="0" collapsed="false">
      <c r="A669" s="16" t="n">
        <f aca="false">RANK(G669,$G$2:$G$2501)+COUNTIF($G$2:G669,G669)-1</f>
        <v>668</v>
      </c>
      <c r="B669" s="11" t="s">
        <v>1833</v>
      </c>
      <c r="C669" s="11" t="s">
        <v>1214</v>
      </c>
      <c r="D669" s="5" t="s">
        <v>56</v>
      </c>
      <c r="E669" s="5" t="s">
        <v>57</v>
      </c>
      <c r="F669" s="5"/>
      <c r="G669" s="22" t="n">
        <f aca="false">ROUND(SUM(I669:P669),3)</f>
        <v>67.002</v>
      </c>
      <c r="H669" s="5" t="str">
        <f aca="false">IF(G669&gt;=評分方法!$C$16,"優先評估",IF(G669&gt;=評分方法!$C$17,"列入候選",IF(G669&gt;=評分方法!$C$18,"特定情境","不建議")))</f>
        <v>特定情境</v>
      </c>
      <c r="I669" s="15" t="n">
        <f aca="false">AE669*評分方法!$C$5</f>
        <v>24</v>
      </c>
      <c r="J669" s="15" t="n">
        <f aca="false">AF669*評分方法!$C$6</f>
        <v>0</v>
      </c>
      <c r="K669" s="15" t="n">
        <f aca="false">AG669*評分方法!$C$7</f>
        <v>15</v>
      </c>
      <c r="L669" s="15" t="n">
        <f aca="false">AH669*評分方法!$C$8</f>
        <v>7.05</v>
      </c>
      <c r="M669" s="15" t="n">
        <f aca="false">AI669*評分方法!$C$9</f>
        <v>6</v>
      </c>
      <c r="N669" s="15" t="n">
        <f aca="false">AJ669*評分方法!$C$10</f>
        <v>6.952</v>
      </c>
      <c r="O669" s="15" t="n">
        <f aca="false">AK669*評分方法!$C$11</f>
        <v>5</v>
      </c>
      <c r="P669" s="15" t="n">
        <f aca="false">AL669*評分方法!$C$12</f>
        <v>3</v>
      </c>
      <c r="Q669" s="6" t="n">
        <v>896623</v>
      </c>
      <c r="R669" s="6"/>
      <c r="S669" s="5" t="s">
        <v>255</v>
      </c>
      <c r="T669" s="11" t="s">
        <v>185</v>
      </c>
      <c r="U669" s="5" t="s">
        <v>260</v>
      </c>
      <c r="V669" s="11" t="s">
        <v>261</v>
      </c>
      <c r="W669" s="5" t="s">
        <v>205</v>
      </c>
      <c r="X669" s="5" t="s">
        <v>371</v>
      </c>
      <c r="Y669" s="11" t="s">
        <v>1834</v>
      </c>
      <c r="Z669" s="11" t="s">
        <v>270</v>
      </c>
      <c r="AA669" s="11" t="s">
        <v>157</v>
      </c>
      <c r="AB669" s="5" t="s">
        <v>496</v>
      </c>
      <c r="AC669" s="5" t="s">
        <v>1330</v>
      </c>
      <c r="AD669" s="11" t="s">
        <v>1835</v>
      </c>
      <c r="AE669" s="23" t="n">
        <v>0.8</v>
      </c>
      <c r="AF669" s="23" t="n">
        <v>0</v>
      </c>
      <c r="AG669" s="23" t="n">
        <v>1</v>
      </c>
      <c r="AH669" s="23" t="n">
        <v>0.47</v>
      </c>
      <c r="AI669" s="23" t="n">
        <v>0.6</v>
      </c>
      <c r="AJ669" s="23" t="n">
        <v>0.6952</v>
      </c>
      <c r="AK669" s="23" t="n">
        <v>1</v>
      </c>
      <c r="AL669" s="23" t="n">
        <v>0.6</v>
      </c>
      <c r="AM669" s="16" t="n">
        <f aca="false">COUNTIFS($D$2:$D$2501,D669,$G$2:$G$2501,"&gt;"&amp;G669)+COUNTIFS($D$2:D669,D669,$G$2:G669,G669)</f>
        <v>361</v>
      </c>
      <c r="AN669" s="5" t="str">
        <f aca="false">D669&amp;"|"&amp;AM669</f>
        <v>分析與報告生成|361</v>
      </c>
    </row>
    <row r="670" customFormat="false" ht="17.15" hidden="false" customHeight="false" outlineLevel="0" collapsed="false">
      <c r="A670" s="16" t="n">
        <f aca="false">RANK(G670,$G$2:$G$2501)+COUNTIF($G$2:G670,G670)-1</f>
        <v>669</v>
      </c>
      <c r="B670" s="11" t="s">
        <v>1836</v>
      </c>
      <c r="C670" s="11" t="s">
        <v>1837</v>
      </c>
      <c r="D670" s="5" t="s">
        <v>54</v>
      </c>
      <c r="E670" s="5" t="s">
        <v>55</v>
      </c>
      <c r="F670" s="5"/>
      <c r="G670" s="22" t="n">
        <f aca="false">ROUND(SUM(I670:P670),3)</f>
        <v>66.998</v>
      </c>
      <c r="H670" s="5" t="str">
        <f aca="false">IF(G670&gt;=評分方法!$C$16,"優先評估",IF(G670&gt;=評分方法!$C$17,"列入候選",IF(G670&gt;=評分方法!$C$18,"特定情境","不建議")))</f>
        <v>特定情境</v>
      </c>
      <c r="I670" s="15" t="n">
        <f aca="false">AE670*評分方法!$C$5</f>
        <v>27</v>
      </c>
      <c r="J670" s="15" t="n">
        <f aca="false">AF670*評分方法!$C$6</f>
        <v>0</v>
      </c>
      <c r="K670" s="15" t="n">
        <f aca="false">AG670*評分方法!$C$7</f>
        <v>4.95</v>
      </c>
      <c r="L670" s="15" t="n">
        <f aca="false">AH670*評分方法!$C$8</f>
        <v>15</v>
      </c>
      <c r="M670" s="15" t="n">
        <f aca="false">AI670*評分方法!$C$9</f>
        <v>10</v>
      </c>
      <c r="N670" s="15" t="n">
        <f aca="false">AJ670*評分方法!$C$10</f>
        <v>7.548</v>
      </c>
      <c r="O670" s="15" t="n">
        <f aca="false">AK670*評分方法!$C$11</f>
        <v>2.5</v>
      </c>
      <c r="P670" s="15" t="n">
        <f aca="false">AL670*評分方法!$C$12</f>
        <v>0</v>
      </c>
      <c r="Q670" s="6" t="n">
        <v>1193325</v>
      </c>
      <c r="R670" s="6" t="n">
        <v>66985530</v>
      </c>
      <c r="S670" s="11" t="s">
        <v>238</v>
      </c>
      <c r="T670" s="11" t="s">
        <v>239</v>
      </c>
      <c r="U670" s="5" t="s">
        <v>240</v>
      </c>
      <c r="V670" s="11" t="s">
        <v>324</v>
      </c>
      <c r="W670" s="5" t="s">
        <v>334</v>
      </c>
      <c r="X670" s="5" t="s">
        <v>242</v>
      </c>
      <c r="Y670" s="5"/>
      <c r="Z670" s="5"/>
      <c r="AA670" s="11" t="s">
        <v>153</v>
      </c>
      <c r="AB670" s="5" t="s">
        <v>245</v>
      </c>
      <c r="AC670" s="5"/>
      <c r="AD670" s="11" t="s">
        <v>1838</v>
      </c>
      <c r="AE670" s="23" t="n">
        <v>0.9</v>
      </c>
      <c r="AF670" s="23" t="n">
        <v>0</v>
      </c>
      <c r="AG670" s="23" t="n">
        <v>0.33</v>
      </c>
      <c r="AH670" s="23" t="n">
        <v>1</v>
      </c>
      <c r="AI670" s="23" t="n">
        <v>1</v>
      </c>
      <c r="AJ670" s="23" t="n">
        <v>0.7548</v>
      </c>
      <c r="AK670" s="23" t="n">
        <v>0.5</v>
      </c>
      <c r="AL670" s="23" t="n">
        <v>0</v>
      </c>
      <c r="AM670" s="16" t="n">
        <f aca="false">COUNTIFS($D$2:$D$2501,D670,$G$2:$G$2501,"&gt;"&amp;G670)+COUNTIFS($D$2:D670,D670,$G$2:G670,G670)</f>
        <v>138</v>
      </c>
      <c r="AN670" s="5" t="str">
        <f aca="false">D670&amp;"|"&amp;AM670</f>
        <v>檢索與情資關聯|138</v>
      </c>
    </row>
    <row r="671" customFormat="false" ht="17.15" hidden="false" customHeight="false" outlineLevel="0" collapsed="false">
      <c r="A671" s="16" t="n">
        <f aca="false">RANK(G671,$G$2:$G$2501)+COUNTIF($G$2:G671,G671)-1</f>
        <v>670</v>
      </c>
      <c r="B671" s="11" t="s">
        <v>1839</v>
      </c>
      <c r="C671" s="11" t="s">
        <v>1840</v>
      </c>
      <c r="D671" s="5" t="s">
        <v>52</v>
      </c>
      <c r="E671" s="5" t="s">
        <v>53</v>
      </c>
      <c r="F671" s="5" t="s">
        <v>52</v>
      </c>
      <c r="G671" s="22" t="n">
        <f aca="false">ROUND(SUM(I671:P671),3)</f>
        <v>66.986</v>
      </c>
      <c r="H671" s="5" t="str">
        <f aca="false">IF(G671&gt;=評分方法!$C$16,"優先評估",IF(G671&gt;=評分方法!$C$17,"列入候選",IF(G671&gt;=評分方法!$C$18,"特定情境","不建議")))</f>
        <v>特定情境</v>
      </c>
      <c r="I671" s="15" t="n">
        <f aca="false">AE671*評分方法!$C$5</f>
        <v>15</v>
      </c>
      <c r="J671" s="15" t="n">
        <f aca="false">AF671*評分方法!$C$6</f>
        <v>7</v>
      </c>
      <c r="K671" s="15" t="n">
        <f aca="false">AG671*評分方法!$C$7</f>
        <v>4.95</v>
      </c>
      <c r="L671" s="15" t="n">
        <f aca="false">AH671*評分方法!$C$8</f>
        <v>15</v>
      </c>
      <c r="M671" s="15" t="n">
        <f aca="false">AI671*評分方法!$C$9</f>
        <v>10</v>
      </c>
      <c r="N671" s="15" t="n">
        <f aca="false">AJ671*評分方法!$C$10</f>
        <v>8.536</v>
      </c>
      <c r="O671" s="15" t="n">
        <f aca="false">AK671*評分方法!$C$11</f>
        <v>5</v>
      </c>
      <c r="P671" s="15" t="n">
        <f aca="false">AL671*評分方法!$C$12</f>
        <v>1.5</v>
      </c>
      <c r="Q671" s="6" t="n">
        <v>2354753</v>
      </c>
      <c r="R671" s="6" t="n">
        <v>21811969</v>
      </c>
      <c r="S671" s="11" t="s">
        <v>238</v>
      </c>
      <c r="T671" s="11" t="s">
        <v>278</v>
      </c>
      <c r="U671" s="5" t="s">
        <v>240</v>
      </c>
      <c r="V671" s="11" t="s">
        <v>288</v>
      </c>
      <c r="W671" s="5" t="s">
        <v>334</v>
      </c>
      <c r="X671" s="5" t="s">
        <v>255</v>
      </c>
      <c r="Y671" s="11" t="s">
        <v>1841</v>
      </c>
      <c r="Z671" s="11" t="s">
        <v>244</v>
      </c>
      <c r="AA671" s="11" t="s">
        <v>172</v>
      </c>
      <c r="AB671" s="5" t="s">
        <v>245</v>
      </c>
      <c r="AC671" s="5" t="s">
        <v>246</v>
      </c>
      <c r="AD671" s="11" t="s">
        <v>1842</v>
      </c>
      <c r="AE671" s="23" t="n">
        <v>0.5</v>
      </c>
      <c r="AF671" s="23" t="n">
        <v>0.7</v>
      </c>
      <c r="AG671" s="23" t="n">
        <v>0.33</v>
      </c>
      <c r="AH671" s="23" t="n">
        <v>1</v>
      </c>
      <c r="AI671" s="23" t="n">
        <v>1</v>
      </c>
      <c r="AJ671" s="23" t="n">
        <v>0.8536</v>
      </c>
      <c r="AK671" s="23" t="n">
        <v>1</v>
      </c>
      <c r="AL671" s="23" t="n">
        <v>0.3</v>
      </c>
      <c r="AM671" s="16" t="n">
        <f aca="false">COUNTIFS($D$2:$D$2501,D671,$G$2:$G$2501,"&gt;"&amp;G671)+COUNTIFS($D$2:D671,D671,$G$2:G671,G671)</f>
        <v>3</v>
      </c>
      <c r="AN671" s="5" t="str">
        <f aca="false">D671&amp;"|"&amp;AM671</f>
        <v>深偽與生成內容偵測|3</v>
      </c>
    </row>
    <row r="672" customFormat="false" ht="17.15" hidden="false" customHeight="false" outlineLevel="0" collapsed="false">
      <c r="A672" s="16" t="n">
        <f aca="false">RANK(G672,$G$2:$G$2501)+COUNTIF($G$2:G672,G672)-1</f>
        <v>671</v>
      </c>
      <c r="B672" s="11" t="s">
        <v>1843</v>
      </c>
      <c r="C672" s="11" t="s">
        <v>327</v>
      </c>
      <c r="D672" s="5" t="s">
        <v>56</v>
      </c>
      <c r="E672" s="5" t="s">
        <v>57</v>
      </c>
      <c r="F672" s="5"/>
      <c r="G672" s="22" t="n">
        <f aca="false">ROUND(SUM(I672:P672),3)</f>
        <v>66.958</v>
      </c>
      <c r="H672" s="5" t="str">
        <f aca="false">IF(G672&gt;=評分方法!$C$16,"優先評估",IF(G672&gt;=評分方法!$C$17,"列入候選",IF(G672&gt;=評分方法!$C$18,"特定情境","不建議")))</f>
        <v>特定情境</v>
      </c>
      <c r="I672" s="15" t="n">
        <f aca="false">AE672*評分方法!$C$5</f>
        <v>25.5</v>
      </c>
      <c r="J672" s="15" t="n">
        <f aca="false">AF672*評分方法!$C$6</f>
        <v>0</v>
      </c>
      <c r="K672" s="15" t="n">
        <f aca="false">AG672*評分方法!$C$7</f>
        <v>15</v>
      </c>
      <c r="L672" s="15" t="n">
        <f aca="false">AH672*評分方法!$C$8</f>
        <v>1.95</v>
      </c>
      <c r="M672" s="15" t="n">
        <f aca="false">AI672*評分方法!$C$9</f>
        <v>6</v>
      </c>
      <c r="N672" s="15" t="n">
        <f aca="false">AJ672*評分方法!$C$10</f>
        <v>8.508</v>
      </c>
      <c r="O672" s="15" t="n">
        <f aca="false">AK672*評分方法!$C$11</f>
        <v>5</v>
      </c>
      <c r="P672" s="15" t="n">
        <f aca="false">AL672*評分方法!$C$12</f>
        <v>5</v>
      </c>
      <c r="Q672" s="6" t="n">
        <v>2263550</v>
      </c>
      <c r="R672" s="6" t="n">
        <v>560524578816</v>
      </c>
      <c r="S672" s="11" t="s">
        <v>1616</v>
      </c>
      <c r="T672" s="11" t="s">
        <v>185</v>
      </c>
      <c r="U672" s="5" t="s">
        <v>260</v>
      </c>
      <c r="V672" s="11" t="s">
        <v>261</v>
      </c>
      <c r="W672" s="5" t="s">
        <v>205</v>
      </c>
      <c r="X672" s="5" t="s">
        <v>284</v>
      </c>
      <c r="Y672" s="5"/>
      <c r="Z672" s="5"/>
      <c r="AA672" s="11" t="s">
        <v>155</v>
      </c>
      <c r="AB672" s="5" t="s">
        <v>245</v>
      </c>
      <c r="AC672" s="5" t="s">
        <v>262</v>
      </c>
      <c r="AD672" s="11" t="s">
        <v>1844</v>
      </c>
      <c r="AE672" s="23" t="n">
        <v>0.85</v>
      </c>
      <c r="AF672" s="23" t="n">
        <v>0</v>
      </c>
      <c r="AG672" s="23" t="n">
        <v>1</v>
      </c>
      <c r="AH672" s="23" t="n">
        <v>0.13</v>
      </c>
      <c r="AI672" s="23" t="n">
        <v>0.6</v>
      </c>
      <c r="AJ672" s="23" t="n">
        <v>0.8508</v>
      </c>
      <c r="AK672" s="23" t="n">
        <v>1</v>
      </c>
      <c r="AL672" s="23" t="n">
        <v>1</v>
      </c>
      <c r="AM672" s="16" t="n">
        <f aca="false">COUNTIFS($D$2:$D$2501,D672,$G$2:$G$2501,"&gt;"&amp;G672)+COUNTIFS($D$2:D672,D672,$G$2:G672,G672)</f>
        <v>362</v>
      </c>
      <c r="AN672" s="5" t="str">
        <f aca="false">D672&amp;"|"&amp;AM672</f>
        <v>分析與報告生成|362</v>
      </c>
    </row>
    <row r="673" customFormat="false" ht="17.15" hidden="false" customHeight="false" outlineLevel="0" collapsed="false">
      <c r="A673" s="16" t="n">
        <f aca="false">RANK(G673,$G$2:$G$2501)+COUNTIF($G$2:G673,G673)-1</f>
        <v>672</v>
      </c>
      <c r="B673" s="11" t="s">
        <v>1845</v>
      </c>
      <c r="C673" s="11" t="s">
        <v>402</v>
      </c>
      <c r="D673" s="5" t="s">
        <v>58</v>
      </c>
      <c r="E673" s="5" t="s">
        <v>59</v>
      </c>
      <c r="F673" s="5"/>
      <c r="G673" s="22" t="n">
        <f aca="false">ROUND(SUM(I673:P673),3)</f>
        <v>66.946</v>
      </c>
      <c r="H673" s="5" t="str">
        <f aca="false">IF(G673&gt;=評分方法!$C$16,"優先評估",IF(G673&gt;=評分方法!$C$17,"列入候選",IF(G673&gt;=評分方法!$C$18,"特定情境","不建議")))</f>
        <v>特定情境</v>
      </c>
      <c r="I673" s="15" t="n">
        <f aca="false">AE673*評分方法!$C$5</f>
        <v>28.5</v>
      </c>
      <c r="J673" s="15" t="n">
        <f aca="false">AF673*評分方法!$C$6</f>
        <v>0</v>
      </c>
      <c r="K673" s="15" t="n">
        <f aca="false">AG673*評分方法!$C$7</f>
        <v>4.95</v>
      </c>
      <c r="L673" s="15" t="n">
        <f aca="false">AH673*評分方法!$C$8</f>
        <v>15</v>
      </c>
      <c r="M673" s="15" t="n">
        <f aca="false">AI673*評分方法!$C$9</f>
        <v>10</v>
      </c>
      <c r="N673" s="15" t="n">
        <f aca="false">AJ673*評分方法!$C$10</f>
        <v>5.996</v>
      </c>
      <c r="O673" s="15" t="n">
        <f aca="false">AK673*評分方法!$C$11</f>
        <v>2.5</v>
      </c>
      <c r="P673" s="15" t="n">
        <f aca="false">AL673*評分方法!$C$12</f>
        <v>0</v>
      </c>
      <c r="Q673" s="6" t="n">
        <v>624530</v>
      </c>
      <c r="R673" s="6" t="n">
        <v>434015235</v>
      </c>
      <c r="S673" s="11" t="s">
        <v>238</v>
      </c>
      <c r="T673" s="11" t="s">
        <v>239</v>
      </c>
      <c r="U673" s="5" t="s">
        <v>240</v>
      </c>
      <c r="V673" s="11" t="s">
        <v>261</v>
      </c>
      <c r="W673" s="5" t="s">
        <v>334</v>
      </c>
      <c r="X673" s="5" t="s">
        <v>242</v>
      </c>
      <c r="Y673" s="5"/>
      <c r="Z673" s="5"/>
      <c r="AA673" s="11" t="s">
        <v>150</v>
      </c>
      <c r="AB673" s="5" t="s">
        <v>245</v>
      </c>
      <c r="AC673" s="5"/>
      <c r="AD673" s="11" t="s">
        <v>1846</v>
      </c>
      <c r="AE673" s="23" t="n">
        <v>0.95</v>
      </c>
      <c r="AF673" s="23" t="n">
        <v>0</v>
      </c>
      <c r="AG673" s="23" t="n">
        <v>0.33</v>
      </c>
      <c r="AH673" s="23" t="n">
        <v>1</v>
      </c>
      <c r="AI673" s="23" t="n">
        <v>1</v>
      </c>
      <c r="AJ673" s="23" t="n">
        <v>0.5996</v>
      </c>
      <c r="AK673" s="23" t="n">
        <v>0.5</v>
      </c>
      <c r="AL673" s="23" t="n">
        <v>0</v>
      </c>
      <c r="AM673" s="16" t="n">
        <f aca="false">COUNTIFS($D$2:$D$2501,D673,$G$2:$G$2501,"&gt;"&amp;G673)+COUNTIFS($D$2:D673,D673,$G$2:G673,G673)</f>
        <v>61</v>
      </c>
      <c r="AN673" s="5" t="str">
        <f aca="false">D673&amp;"|"&amp;AM673</f>
        <v>實體擷取與去識別化|61</v>
      </c>
    </row>
    <row r="674" customFormat="false" ht="17.15" hidden="false" customHeight="false" outlineLevel="0" collapsed="false">
      <c r="A674" s="16" t="n">
        <f aca="false">RANK(G674,$G$2:$G$2501)+COUNTIF($G$2:G674,G674)-1</f>
        <v>673</v>
      </c>
      <c r="B674" s="11" t="s">
        <v>1847</v>
      </c>
      <c r="C674" s="11" t="s">
        <v>402</v>
      </c>
      <c r="D674" s="5" t="s">
        <v>58</v>
      </c>
      <c r="E674" s="5" t="s">
        <v>59</v>
      </c>
      <c r="F674" s="5"/>
      <c r="G674" s="22" t="n">
        <f aca="false">ROUND(SUM(I674:P674),3)</f>
        <v>66.934</v>
      </c>
      <c r="H674" s="5" t="str">
        <f aca="false">IF(G674&gt;=評分方法!$C$16,"優先評估",IF(G674&gt;=評分方法!$C$17,"列入候選",IF(G674&gt;=評分方法!$C$18,"特定情境","不建議")))</f>
        <v>特定情境</v>
      </c>
      <c r="I674" s="15" t="n">
        <f aca="false">AE674*評分方法!$C$5</f>
        <v>28.5</v>
      </c>
      <c r="J674" s="15" t="n">
        <f aca="false">AF674*評分方法!$C$6</f>
        <v>0</v>
      </c>
      <c r="K674" s="15" t="n">
        <f aca="false">AG674*評分方法!$C$7</f>
        <v>4.95</v>
      </c>
      <c r="L674" s="15" t="n">
        <f aca="false">AH674*評分方法!$C$8</f>
        <v>15</v>
      </c>
      <c r="M674" s="15" t="n">
        <f aca="false">AI674*評分方法!$C$9</f>
        <v>10</v>
      </c>
      <c r="N674" s="15" t="n">
        <f aca="false">AJ674*評分方法!$C$10</f>
        <v>5.984</v>
      </c>
      <c r="O674" s="15" t="n">
        <f aca="false">AK674*評分方法!$C$11</f>
        <v>2.5</v>
      </c>
      <c r="P674" s="15" t="n">
        <f aca="false">AL674*評分方法!$C$12</f>
        <v>0</v>
      </c>
      <c r="Q674" s="6" t="n">
        <v>617731</v>
      </c>
      <c r="R674" s="6" t="n">
        <v>566708227</v>
      </c>
      <c r="S674" s="11" t="s">
        <v>238</v>
      </c>
      <c r="T674" s="11" t="s">
        <v>239</v>
      </c>
      <c r="U674" s="5" t="s">
        <v>240</v>
      </c>
      <c r="V674" s="11" t="s">
        <v>261</v>
      </c>
      <c r="W674" s="5" t="s">
        <v>334</v>
      </c>
      <c r="X674" s="5" t="s">
        <v>242</v>
      </c>
      <c r="Y674" s="5"/>
      <c r="Z674" s="5"/>
      <c r="AA674" s="11" t="s">
        <v>150</v>
      </c>
      <c r="AB674" s="5" t="s">
        <v>245</v>
      </c>
      <c r="AC674" s="5"/>
      <c r="AD674" s="11" t="s">
        <v>1848</v>
      </c>
      <c r="AE674" s="23" t="n">
        <v>0.95</v>
      </c>
      <c r="AF674" s="23" t="n">
        <v>0</v>
      </c>
      <c r="AG674" s="23" t="n">
        <v>0.33</v>
      </c>
      <c r="AH674" s="23" t="n">
        <v>1</v>
      </c>
      <c r="AI674" s="23" t="n">
        <v>1</v>
      </c>
      <c r="AJ674" s="23" t="n">
        <v>0.5984</v>
      </c>
      <c r="AK674" s="23" t="n">
        <v>0.5</v>
      </c>
      <c r="AL674" s="23" t="n">
        <v>0</v>
      </c>
      <c r="AM674" s="16" t="n">
        <f aca="false">COUNTIFS($D$2:$D$2501,D674,$G$2:$G$2501,"&gt;"&amp;G674)+COUNTIFS($D$2:D674,D674,$G$2:G674,G674)</f>
        <v>62</v>
      </c>
      <c r="AN674" s="5" t="str">
        <f aca="false">D674&amp;"|"&amp;AM674</f>
        <v>實體擷取與去識別化|62</v>
      </c>
    </row>
    <row r="675" customFormat="false" ht="17.15" hidden="false" customHeight="false" outlineLevel="0" collapsed="false">
      <c r="A675" s="16" t="n">
        <f aca="false">RANK(G675,$G$2:$G$2501)+COUNTIF($G$2:G675,G675)-1</f>
        <v>674</v>
      </c>
      <c r="B675" s="11" t="s">
        <v>1849</v>
      </c>
      <c r="C675" s="11" t="s">
        <v>1850</v>
      </c>
      <c r="D675" s="5" t="s">
        <v>70</v>
      </c>
      <c r="E675" s="5" t="s">
        <v>71</v>
      </c>
      <c r="F675" s="5" t="s">
        <v>70</v>
      </c>
      <c r="G675" s="22" t="n">
        <f aca="false">ROUND(SUM(I675:P675),3)</f>
        <v>66.926</v>
      </c>
      <c r="H675" s="5" t="str">
        <f aca="false">IF(G675&gt;=評分方法!$C$16,"優先評估",IF(G675&gt;=評分方法!$C$17,"列入候選",IF(G675&gt;=評分方法!$C$18,"特定情境","不建議")))</f>
        <v>特定情境</v>
      </c>
      <c r="I675" s="15" t="n">
        <f aca="false">AE675*評分方法!$C$5</f>
        <v>10.5</v>
      </c>
      <c r="J675" s="15" t="n">
        <f aca="false">AF675*評分方法!$C$6</f>
        <v>5</v>
      </c>
      <c r="K675" s="15" t="n">
        <f aca="false">AG675*評分方法!$C$7</f>
        <v>10.05</v>
      </c>
      <c r="L675" s="15" t="n">
        <f aca="false">AH675*評分方法!$C$8</f>
        <v>15</v>
      </c>
      <c r="M675" s="15" t="n">
        <f aca="false">AI675*評分方法!$C$9</f>
        <v>10</v>
      </c>
      <c r="N675" s="15" t="n">
        <f aca="false">AJ675*評分方法!$C$10</f>
        <v>9.876</v>
      </c>
      <c r="O675" s="15" t="n">
        <f aca="false">AK675*評分方法!$C$11</f>
        <v>5</v>
      </c>
      <c r="P675" s="15" t="n">
        <f aca="false">AL675*評分方法!$C$12</f>
        <v>1.5</v>
      </c>
      <c r="Q675" s="6" t="n">
        <v>35852045</v>
      </c>
      <c r="R675" s="6" t="n">
        <v>85800194</v>
      </c>
      <c r="S675" s="11" t="s">
        <v>238</v>
      </c>
      <c r="T675" s="11" t="s">
        <v>239</v>
      </c>
      <c r="U675" s="5" t="s">
        <v>240</v>
      </c>
      <c r="V675" s="11" t="s">
        <v>324</v>
      </c>
      <c r="W675" s="5" t="s">
        <v>207</v>
      </c>
      <c r="X675" s="5" t="s">
        <v>255</v>
      </c>
      <c r="Y675" s="5"/>
      <c r="Z675" s="5"/>
      <c r="AA675" s="11" t="s">
        <v>172</v>
      </c>
      <c r="AB675" s="5" t="s">
        <v>245</v>
      </c>
      <c r="AC675" s="5"/>
      <c r="AD675" s="11" t="s">
        <v>1851</v>
      </c>
      <c r="AE675" s="23" t="n">
        <v>0.35</v>
      </c>
      <c r="AF675" s="23" t="n">
        <v>0.5</v>
      </c>
      <c r="AG675" s="23" t="n">
        <v>0.67</v>
      </c>
      <c r="AH675" s="23" t="n">
        <v>1</v>
      </c>
      <c r="AI675" s="23" t="n">
        <v>1</v>
      </c>
      <c r="AJ675" s="23" t="n">
        <v>0.9876</v>
      </c>
      <c r="AK675" s="23" t="n">
        <v>1</v>
      </c>
      <c r="AL675" s="23" t="n">
        <v>0.3</v>
      </c>
      <c r="AM675" s="16" t="n">
        <f aca="false">COUNTIFS($D$2:$D$2501,D675,$G$2:$G$2501,"&gt;"&amp;G675)+COUNTIFS($D$2:D675,D675,$G$2:G675,G675)</f>
        <v>6</v>
      </c>
      <c r="AN675" s="5" t="str">
        <f aca="false">D675&amp;"|"&amp;AM675</f>
        <v>內容安全審查|6</v>
      </c>
    </row>
    <row r="676" customFormat="false" ht="17.15" hidden="false" customHeight="false" outlineLevel="0" collapsed="false">
      <c r="A676" s="16" t="n">
        <f aca="false">RANK(G676,$G$2:$G$2501)+COUNTIF($G$2:G676,G676)-1</f>
        <v>675</v>
      </c>
      <c r="B676" s="11" t="s">
        <v>1852</v>
      </c>
      <c r="C676" s="11" t="s">
        <v>399</v>
      </c>
      <c r="D676" s="5" t="s">
        <v>72</v>
      </c>
      <c r="E676" s="5" t="s">
        <v>73</v>
      </c>
      <c r="F676" s="5"/>
      <c r="G676" s="22" t="n">
        <f aca="false">ROUND(SUM(I676:P676),3)</f>
        <v>66.924</v>
      </c>
      <c r="H676" s="5" t="str">
        <f aca="false">IF(G676&gt;=評分方法!$C$16,"優先評估",IF(G676&gt;=評分方法!$C$17,"列入候選",IF(G676&gt;=評分方法!$C$18,"特定情境","不建議")))</f>
        <v>特定情境</v>
      </c>
      <c r="I676" s="15" t="n">
        <f aca="false">AE676*評分方法!$C$5</f>
        <v>15</v>
      </c>
      <c r="J676" s="15" t="n">
        <f aca="false">AF676*評分方法!$C$6</f>
        <v>0</v>
      </c>
      <c r="K676" s="15" t="n">
        <f aca="false">AG676*評分方法!$C$7</f>
        <v>15</v>
      </c>
      <c r="L676" s="15" t="n">
        <f aca="false">AH676*評分方法!$C$8</f>
        <v>15</v>
      </c>
      <c r="M676" s="15" t="n">
        <f aca="false">AI676*評分方法!$C$9</f>
        <v>10</v>
      </c>
      <c r="N676" s="15" t="n">
        <f aca="false">AJ676*評分方法!$C$10</f>
        <v>9.424</v>
      </c>
      <c r="O676" s="15" t="n">
        <f aca="false">AK676*評分方法!$C$11</f>
        <v>2.5</v>
      </c>
      <c r="P676" s="15" t="n">
        <f aca="false">AL676*評分方法!$C$12</f>
        <v>0</v>
      </c>
      <c r="Q676" s="6" t="n">
        <v>7514670</v>
      </c>
      <c r="R676" s="6" t="n">
        <v>395881664</v>
      </c>
      <c r="S676" s="11" t="s">
        <v>238</v>
      </c>
      <c r="T676" s="11" t="s">
        <v>239</v>
      </c>
      <c r="U676" s="5" t="s">
        <v>240</v>
      </c>
      <c r="V676" s="11" t="s">
        <v>288</v>
      </c>
      <c r="W676" s="5" t="s">
        <v>205</v>
      </c>
      <c r="X676" s="5" t="s">
        <v>242</v>
      </c>
      <c r="Y676" s="5"/>
      <c r="Z676" s="5"/>
      <c r="AA676" s="11" t="s">
        <v>162</v>
      </c>
      <c r="AB676" s="5" t="s">
        <v>245</v>
      </c>
      <c r="AC676" s="5"/>
      <c r="AD676" s="11" t="s">
        <v>1853</v>
      </c>
      <c r="AE676" s="23" t="n">
        <v>0.5</v>
      </c>
      <c r="AF676" s="23" t="n">
        <v>0</v>
      </c>
      <c r="AG676" s="23" t="n">
        <v>1</v>
      </c>
      <c r="AH676" s="23" t="n">
        <v>1</v>
      </c>
      <c r="AI676" s="23" t="n">
        <v>1</v>
      </c>
      <c r="AJ676" s="23" t="n">
        <v>0.9424</v>
      </c>
      <c r="AK676" s="23" t="n">
        <v>0.5</v>
      </c>
      <c r="AL676" s="23" t="n">
        <v>0</v>
      </c>
      <c r="AM676" s="16" t="n">
        <f aca="false">COUNTIFS($D$2:$D$2501,D676,$G$2:$G$2501,"&gt;"&amp;G676)+COUNTIFS($D$2:D676,D676,$G$2:G676,G676)</f>
        <v>9</v>
      </c>
      <c r="AN676" s="5" t="str">
        <f aca="false">D676&amp;"|"&amp;AM676</f>
        <v>微調基底模型|9</v>
      </c>
    </row>
    <row r="677" customFormat="false" ht="17.15" hidden="false" customHeight="false" outlineLevel="0" collapsed="false">
      <c r="A677" s="16" t="n">
        <f aca="false">RANK(G677,$G$2:$G$2501)+COUNTIF($G$2:G677,G677)-1</f>
        <v>676</v>
      </c>
      <c r="B677" s="11" t="s">
        <v>1854</v>
      </c>
      <c r="C677" s="11" t="s">
        <v>402</v>
      </c>
      <c r="D677" s="5" t="s">
        <v>58</v>
      </c>
      <c r="E677" s="5" t="s">
        <v>59</v>
      </c>
      <c r="F677" s="5"/>
      <c r="G677" s="22" t="n">
        <f aca="false">ROUND(SUM(I677:P677),3)</f>
        <v>66.918</v>
      </c>
      <c r="H677" s="5" t="str">
        <f aca="false">IF(G677&gt;=評分方法!$C$16,"優先評估",IF(G677&gt;=評分方法!$C$17,"列入候選",IF(G677&gt;=評分方法!$C$18,"特定情境","不建議")))</f>
        <v>特定情境</v>
      </c>
      <c r="I677" s="15" t="n">
        <f aca="false">AE677*評分方法!$C$5</f>
        <v>28.5</v>
      </c>
      <c r="J677" s="15" t="n">
        <f aca="false">AF677*評分方法!$C$6</f>
        <v>0</v>
      </c>
      <c r="K677" s="15" t="n">
        <f aca="false">AG677*評分方法!$C$7</f>
        <v>4.95</v>
      </c>
      <c r="L677" s="15" t="n">
        <f aca="false">AH677*評分方法!$C$8</f>
        <v>15</v>
      </c>
      <c r="M677" s="15" t="n">
        <f aca="false">AI677*評分方法!$C$9</f>
        <v>10</v>
      </c>
      <c r="N677" s="15" t="n">
        <f aca="false">AJ677*評分方法!$C$10</f>
        <v>5.968</v>
      </c>
      <c r="O677" s="15" t="n">
        <f aca="false">AK677*評分方法!$C$11</f>
        <v>2.5</v>
      </c>
      <c r="P677" s="15" t="n">
        <f aca="false">AL677*評分方法!$C$12</f>
        <v>0</v>
      </c>
      <c r="Q677" s="6" t="n">
        <v>615939</v>
      </c>
      <c r="R677" s="6" t="n">
        <v>558843907</v>
      </c>
      <c r="S677" s="11" t="s">
        <v>238</v>
      </c>
      <c r="T677" s="11" t="s">
        <v>239</v>
      </c>
      <c r="U677" s="5" t="s">
        <v>240</v>
      </c>
      <c r="V677" s="11" t="s">
        <v>261</v>
      </c>
      <c r="W677" s="5" t="s">
        <v>334</v>
      </c>
      <c r="X677" s="5" t="s">
        <v>242</v>
      </c>
      <c r="Y677" s="5"/>
      <c r="Z677" s="5"/>
      <c r="AA677" s="11" t="s">
        <v>150</v>
      </c>
      <c r="AB677" s="5" t="s">
        <v>245</v>
      </c>
      <c r="AC677" s="5"/>
      <c r="AD677" s="11" t="s">
        <v>1855</v>
      </c>
      <c r="AE677" s="23" t="n">
        <v>0.95</v>
      </c>
      <c r="AF677" s="23" t="n">
        <v>0</v>
      </c>
      <c r="AG677" s="23" t="n">
        <v>0.33</v>
      </c>
      <c r="AH677" s="23" t="n">
        <v>1</v>
      </c>
      <c r="AI677" s="23" t="n">
        <v>1</v>
      </c>
      <c r="AJ677" s="23" t="n">
        <v>0.5968</v>
      </c>
      <c r="AK677" s="23" t="n">
        <v>0.5</v>
      </c>
      <c r="AL677" s="23" t="n">
        <v>0</v>
      </c>
      <c r="AM677" s="16" t="n">
        <f aca="false">COUNTIFS($D$2:$D$2501,D677,$G$2:$G$2501,"&gt;"&amp;G677)+COUNTIFS($D$2:D677,D677,$G$2:G677,G677)</f>
        <v>63</v>
      </c>
      <c r="AN677" s="5" t="str">
        <f aca="false">D677&amp;"|"&amp;AM677</f>
        <v>實體擷取與去識別化|63</v>
      </c>
    </row>
    <row r="678" customFormat="false" ht="17.15" hidden="false" customHeight="false" outlineLevel="0" collapsed="false">
      <c r="A678" s="16" t="n">
        <f aca="false">RANK(G678,$G$2:$G$2501)+COUNTIF($G$2:G678,G678)-1</f>
        <v>677</v>
      </c>
      <c r="B678" s="11" t="s">
        <v>1856</v>
      </c>
      <c r="C678" s="11" t="s">
        <v>402</v>
      </c>
      <c r="D678" s="5" t="s">
        <v>58</v>
      </c>
      <c r="E678" s="5" t="s">
        <v>59</v>
      </c>
      <c r="F678" s="5"/>
      <c r="G678" s="22" t="n">
        <f aca="false">ROUND(SUM(I678:P678),3)</f>
        <v>66.91</v>
      </c>
      <c r="H678" s="5" t="str">
        <f aca="false">IF(G678&gt;=評分方法!$C$16,"優先評估",IF(G678&gt;=評分方法!$C$17,"列入候選",IF(G678&gt;=評分方法!$C$18,"特定情境","不建議")))</f>
        <v>特定情境</v>
      </c>
      <c r="I678" s="15" t="n">
        <f aca="false">AE678*評分方法!$C$5</f>
        <v>28.5</v>
      </c>
      <c r="J678" s="15" t="n">
        <f aca="false">AF678*評分方法!$C$6</f>
        <v>0</v>
      </c>
      <c r="K678" s="15" t="n">
        <f aca="false">AG678*評分方法!$C$7</f>
        <v>4.95</v>
      </c>
      <c r="L678" s="15" t="n">
        <f aca="false">AH678*評分方法!$C$8</f>
        <v>15</v>
      </c>
      <c r="M678" s="15" t="n">
        <f aca="false">AI678*評分方法!$C$9</f>
        <v>10</v>
      </c>
      <c r="N678" s="15" t="n">
        <f aca="false">AJ678*評分方法!$C$10</f>
        <v>5.96</v>
      </c>
      <c r="O678" s="15" t="n">
        <f aca="false">AK678*評分方法!$C$11</f>
        <v>2.5</v>
      </c>
      <c r="P678" s="15" t="n">
        <f aca="false">AL678*評分方法!$C$12</f>
        <v>0</v>
      </c>
      <c r="Q678" s="6" t="n">
        <v>613079</v>
      </c>
      <c r="R678" s="6" t="n">
        <v>566716427</v>
      </c>
      <c r="S678" s="11" t="s">
        <v>238</v>
      </c>
      <c r="T678" s="11" t="s">
        <v>239</v>
      </c>
      <c r="U678" s="5" t="s">
        <v>240</v>
      </c>
      <c r="V678" s="11" t="s">
        <v>261</v>
      </c>
      <c r="W678" s="5" t="s">
        <v>334</v>
      </c>
      <c r="X678" s="5" t="s">
        <v>242</v>
      </c>
      <c r="Y678" s="5"/>
      <c r="Z678" s="5"/>
      <c r="AA678" s="11" t="s">
        <v>150</v>
      </c>
      <c r="AB678" s="5" t="s">
        <v>245</v>
      </c>
      <c r="AC678" s="5"/>
      <c r="AD678" s="11" t="s">
        <v>1857</v>
      </c>
      <c r="AE678" s="23" t="n">
        <v>0.95</v>
      </c>
      <c r="AF678" s="23" t="n">
        <v>0</v>
      </c>
      <c r="AG678" s="23" t="n">
        <v>0.33</v>
      </c>
      <c r="AH678" s="23" t="n">
        <v>1</v>
      </c>
      <c r="AI678" s="23" t="n">
        <v>1</v>
      </c>
      <c r="AJ678" s="23" t="n">
        <v>0.596</v>
      </c>
      <c r="AK678" s="23" t="n">
        <v>0.5</v>
      </c>
      <c r="AL678" s="23" t="n">
        <v>0</v>
      </c>
      <c r="AM678" s="16" t="n">
        <f aca="false">COUNTIFS($D$2:$D$2501,D678,$G$2:$G$2501,"&gt;"&amp;G678)+COUNTIFS($D$2:D678,D678,$G$2:G678,G678)</f>
        <v>64</v>
      </c>
      <c r="AN678" s="5" t="str">
        <f aca="false">D678&amp;"|"&amp;AM678</f>
        <v>實體擷取與去識別化|64</v>
      </c>
    </row>
    <row r="679" customFormat="false" ht="17.15" hidden="false" customHeight="false" outlineLevel="0" collapsed="false">
      <c r="A679" s="16" t="n">
        <f aca="false">RANK(G679,$G$2:$G$2501)+COUNTIF($G$2:G679,G679)-1</f>
        <v>678</v>
      </c>
      <c r="B679" s="11" t="s">
        <v>1858</v>
      </c>
      <c r="C679" s="11" t="s">
        <v>402</v>
      </c>
      <c r="D679" s="5" t="s">
        <v>58</v>
      </c>
      <c r="E679" s="5" t="s">
        <v>59</v>
      </c>
      <c r="F679" s="5"/>
      <c r="G679" s="22" t="n">
        <f aca="false">ROUND(SUM(I679:P679),3)</f>
        <v>66.906</v>
      </c>
      <c r="H679" s="5" t="str">
        <f aca="false">IF(G679&gt;=評分方法!$C$16,"優先評估",IF(G679&gt;=評分方法!$C$17,"列入候選",IF(G679&gt;=評分方法!$C$18,"特定情境","不建議")))</f>
        <v>特定情境</v>
      </c>
      <c r="I679" s="15" t="n">
        <f aca="false">AE679*評分方法!$C$5</f>
        <v>28.5</v>
      </c>
      <c r="J679" s="15" t="n">
        <f aca="false">AF679*評分方法!$C$6</f>
        <v>0</v>
      </c>
      <c r="K679" s="15" t="n">
        <f aca="false">AG679*評分方法!$C$7</f>
        <v>4.95</v>
      </c>
      <c r="L679" s="15" t="n">
        <f aca="false">AH679*評分方法!$C$8</f>
        <v>15</v>
      </c>
      <c r="M679" s="15" t="n">
        <f aca="false">AI679*評分方法!$C$9</f>
        <v>10</v>
      </c>
      <c r="N679" s="15" t="n">
        <f aca="false">AJ679*評分方法!$C$10</f>
        <v>5.956</v>
      </c>
      <c r="O679" s="15" t="n">
        <f aca="false">AK679*評分方法!$C$11</f>
        <v>2.5</v>
      </c>
      <c r="P679" s="15" t="n">
        <f aca="false">AL679*評分方法!$C$12</f>
        <v>0</v>
      </c>
      <c r="Q679" s="6" t="n">
        <v>612421</v>
      </c>
      <c r="R679" s="6" t="n">
        <v>558843907</v>
      </c>
      <c r="S679" s="11" t="s">
        <v>238</v>
      </c>
      <c r="T679" s="11" t="s">
        <v>239</v>
      </c>
      <c r="U679" s="5" t="s">
        <v>240</v>
      </c>
      <c r="V679" s="11" t="s">
        <v>261</v>
      </c>
      <c r="W679" s="5" t="s">
        <v>334</v>
      </c>
      <c r="X679" s="5" t="s">
        <v>242</v>
      </c>
      <c r="Y679" s="5"/>
      <c r="Z679" s="5"/>
      <c r="AA679" s="11" t="s">
        <v>150</v>
      </c>
      <c r="AB679" s="5" t="s">
        <v>245</v>
      </c>
      <c r="AC679" s="5"/>
      <c r="AD679" s="11" t="s">
        <v>1859</v>
      </c>
      <c r="AE679" s="23" t="n">
        <v>0.95</v>
      </c>
      <c r="AF679" s="23" t="n">
        <v>0</v>
      </c>
      <c r="AG679" s="23" t="n">
        <v>0.33</v>
      </c>
      <c r="AH679" s="23" t="n">
        <v>1</v>
      </c>
      <c r="AI679" s="23" t="n">
        <v>1</v>
      </c>
      <c r="AJ679" s="23" t="n">
        <v>0.5956</v>
      </c>
      <c r="AK679" s="23" t="n">
        <v>0.5</v>
      </c>
      <c r="AL679" s="23" t="n">
        <v>0</v>
      </c>
      <c r="AM679" s="16" t="n">
        <f aca="false">COUNTIFS($D$2:$D$2501,D679,$G$2:$G$2501,"&gt;"&amp;G679)+COUNTIFS($D$2:D679,D679,$G$2:G679,G679)</f>
        <v>65</v>
      </c>
      <c r="AN679" s="5" t="str">
        <f aca="false">D679&amp;"|"&amp;AM679</f>
        <v>實體擷取與去識別化|65</v>
      </c>
    </row>
    <row r="680" customFormat="false" ht="17.15" hidden="false" customHeight="false" outlineLevel="0" collapsed="false">
      <c r="A680" s="16" t="n">
        <f aca="false">RANK(G680,$G$2:$G$2501)+COUNTIF($G$2:G680,G680)-1</f>
        <v>679</v>
      </c>
      <c r="B680" s="11" t="s">
        <v>1860</v>
      </c>
      <c r="C680" s="11" t="s">
        <v>753</v>
      </c>
      <c r="D680" s="5" t="s">
        <v>56</v>
      </c>
      <c r="E680" s="5" t="s">
        <v>57</v>
      </c>
      <c r="F680" s="5"/>
      <c r="G680" s="22" t="n">
        <f aca="false">ROUND(SUM(I680:P680),3)</f>
        <v>66.866</v>
      </c>
      <c r="H680" s="5" t="str">
        <f aca="false">IF(G680&gt;=評分方法!$C$16,"優先評估",IF(G680&gt;=評分方法!$C$17,"列入候選",IF(G680&gt;=評分方法!$C$18,"特定情境","不建議")))</f>
        <v>特定情境</v>
      </c>
      <c r="I680" s="15" t="n">
        <f aca="false">AE680*評分方法!$C$5</f>
        <v>25.5</v>
      </c>
      <c r="J680" s="15" t="n">
        <f aca="false">AF680*評分方法!$C$6</f>
        <v>0</v>
      </c>
      <c r="K680" s="15" t="n">
        <f aca="false">AG680*評分方法!$C$7</f>
        <v>10.05</v>
      </c>
      <c r="L680" s="15" t="n">
        <f aca="false">AH680*評分方法!$C$8</f>
        <v>9</v>
      </c>
      <c r="M680" s="15" t="n">
        <f aca="false">AI680*評分方法!$C$9</f>
        <v>10</v>
      </c>
      <c r="N680" s="15" t="n">
        <f aca="false">AJ680*評分方法!$C$10</f>
        <v>4.316</v>
      </c>
      <c r="O680" s="15" t="n">
        <f aca="false">AK680*評分方法!$C$11</f>
        <v>5</v>
      </c>
      <c r="P680" s="15" t="n">
        <f aca="false">AL680*評分方法!$C$12</f>
        <v>3</v>
      </c>
      <c r="Q680" s="6" t="n">
        <v>475775</v>
      </c>
      <c r="R680" s="6" t="n">
        <v>20914757184</v>
      </c>
      <c r="S680" s="11" t="s">
        <v>389</v>
      </c>
      <c r="T680" s="11" t="s">
        <v>239</v>
      </c>
      <c r="U680" s="5" t="s">
        <v>240</v>
      </c>
      <c r="V680" s="11" t="s">
        <v>261</v>
      </c>
      <c r="W680" s="5" t="s">
        <v>207</v>
      </c>
      <c r="X680" s="5" t="s">
        <v>371</v>
      </c>
      <c r="Y680" s="11" t="s">
        <v>390</v>
      </c>
      <c r="Z680" s="11" t="s">
        <v>244</v>
      </c>
      <c r="AA680" s="11" t="s">
        <v>155</v>
      </c>
      <c r="AB680" s="5" t="s">
        <v>245</v>
      </c>
      <c r="AC680" s="5" t="s">
        <v>246</v>
      </c>
      <c r="AD680" s="11" t="s">
        <v>1861</v>
      </c>
      <c r="AE680" s="23" t="n">
        <v>0.85</v>
      </c>
      <c r="AF680" s="23" t="n">
        <v>0</v>
      </c>
      <c r="AG680" s="23" t="n">
        <v>0.67</v>
      </c>
      <c r="AH680" s="23" t="n">
        <v>0.6</v>
      </c>
      <c r="AI680" s="23" t="n">
        <v>1</v>
      </c>
      <c r="AJ680" s="23" t="n">
        <v>0.4316</v>
      </c>
      <c r="AK680" s="23" t="n">
        <v>1</v>
      </c>
      <c r="AL680" s="23" t="n">
        <v>0.6</v>
      </c>
      <c r="AM680" s="16" t="n">
        <f aca="false">COUNTIFS($D$2:$D$2501,D680,$G$2:$G$2501,"&gt;"&amp;G680)+COUNTIFS($D$2:D680,D680,$G$2:G680,G680)</f>
        <v>363</v>
      </c>
      <c r="AN680" s="5" t="str">
        <f aca="false">D680&amp;"|"&amp;AM680</f>
        <v>分析與報告生成|363</v>
      </c>
    </row>
    <row r="681" customFormat="false" ht="17.15" hidden="false" customHeight="false" outlineLevel="0" collapsed="false">
      <c r="A681" s="16" t="n">
        <f aca="false">RANK(G681,$G$2:$G$2501)+COUNTIF($G$2:G681,G681)-1</f>
        <v>680</v>
      </c>
      <c r="B681" s="11" t="s">
        <v>1862</v>
      </c>
      <c r="C681" s="11" t="s">
        <v>900</v>
      </c>
      <c r="D681" s="5" t="s">
        <v>56</v>
      </c>
      <c r="E681" s="5" t="s">
        <v>57</v>
      </c>
      <c r="F681" s="5"/>
      <c r="G681" s="22" t="n">
        <f aca="false">ROUND(SUM(I681:P681),3)</f>
        <v>66.866</v>
      </c>
      <c r="H681" s="5" t="str">
        <f aca="false">IF(G681&gt;=評分方法!$C$16,"優先評估",IF(G681&gt;=評分方法!$C$17,"列入候選",IF(G681&gt;=評分方法!$C$18,"特定情境","不建議")))</f>
        <v>特定情境</v>
      </c>
      <c r="I681" s="15" t="n">
        <f aca="false">AE681*評分方法!$C$5</f>
        <v>25.5</v>
      </c>
      <c r="J681" s="15" t="n">
        <f aca="false">AF681*評分方法!$C$6</f>
        <v>0</v>
      </c>
      <c r="K681" s="15" t="n">
        <f aca="false">AG681*評分方法!$C$7</f>
        <v>15</v>
      </c>
      <c r="L681" s="15" t="n">
        <f aca="false">AH681*評分方法!$C$8</f>
        <v>13.05</v>
      </c>
      <c r="M681" s="15" t="n">
        <f aca="false">AI681*評分方法!$C$9</f>
        <v>7</v>
      </c>
      <c r="N681" s="15" t="n">
        <f aca="false">AJ681*評分方法!$C$10</f>
        <v>2.316</v>
      </c>
      <c r="O681" s="15" t="n">
        <f aca="false">AK681*評分方法!$C$11</f>
        <v>1</v>
      </c>
      <c r="P681" s="15" t="n">
        <f aca="false">AL681*評分方法!$C$12</f>
        <v>3</v>
      </c>
      <c r="Q681" s="6" t="n">
        <v>234877</v>
      </c>
      <c r="R681" s="6" t="n">
        <v>1124886528</v>
      </c>
      <c r="S681" s="11" t="s">
        <v>254</v>
      </c>
      <c r="T681" s="11" t="s">
        <v>1715</v>
      </c>
      <c r="U681" s="5" t="s">
        <v>902</v>
      </c>
      <c r="V681" s="11" t="s">
        <v>324</v>
      </c>
      <c r="W681" s="5" t="s">
        <v>205</v>
      </c>
      <c r="X681" s="5" t="s">
        <v>371</v>
      </c>
      <c r="Y681" s="5"/>
      <c r="Z681" s="5"/>
      <c r="AA681" s="11" t="s">
        <v>155</v>
      </c>
      <c r="AB681" s="5" t="s">
        <v>245</v>
      </c>
      <c r="AC681" s="5"/>
      <c r="AD681" s="11" t="s">
        <v>1863</v>
      </c>
      <c r="AE681" s="23" t="n">
        <v>0.85</v>
      </c>
      <c r="AF681" s="23" t="n">
        <v>0</v>
      </c>
      <c r="AG681" s="23" t="n">
        <v>1</v>
      </c>
      <c r="AH681" s="23" t="n">
        <v>0.87</v>
      </c>
      <c r="AI681" s="23" t="n">
        <v>0.7</v>
      </c>
      <c r="AJ681" s="23" t="n">
        <v>0.2316</v>
      </c>
      <c r="AK681" s="23" t="n">
        <v>0.2</v>
      </c>
      <c r="AL681" s="23" t="n">
        <v>0.6</v>
      </c>
      <c r="AM681" s="16" t="n">
        <f aca="false">COUNTIFS($D$2:$D$2501,D681,$G$2:$G$2501,"&gt;"&amp;G681)+COUNTIFS($D$2:D681,D681,$G$2:G681,G681)</f>
        <v>364</v>
      </c>
      <c r="AN681" s="5" t="str">
        <f aca="false">D681&amp;"|"&amp;AM681</f>
        <v>分析與報告生成|364</v>
      </c>
    </row>
    <row r="682" customFormat="false" ht="17.15" hidden="false" customHeight="false" outlineLevel="0" collapsed="false">
      <c r="A682" s="16" t="n">
        <f aca="false">RANK(G682,$G$2:$G$2501)+COUNTIF($G$2:G682,G682)-1</f>
        <v>681</v>
      </c>
      <c r="B682" s="11" t="s">
        <v>1864</v>
      </c>
      <c r="C682" s="11" t="s">
        <v>402</v>
      </c>
      <c r="D682" s="5" t="s">
        <v>58</v>
      </c>
      <c r="E682" s="5" t="s">
        <v>59</v>
      </c>
      <c r="F682" s="5"/>
      <c r="G682" s="22" t="n">
        <f aca="false">ROUND(SUM(I682:P682),3)</f>
        <v>66.862</v>
      </c>
      <c r="H682" s="5" t="str">
        <f aca="false">IF(G682&gt;=評分方法!$C$16,"優先評估",IF(G682&gt;=評分方法!$C$17,"列入候選",IF(G682&gt;=評分方法!$C$18,"特定情境","不建議")))</f>
        <v>特定情境</v>
      </c>
      <c r="I682" s="15" t="n">
        <f aca="false">AE682*評分方法!$C$5</f>
        <v>28.5</v>
      </c>
      <c r="J682" s="15" t="n">
        <f aca="false">AF682*評分方法!$C$6</f>
        <v>0</v>
      </c>
      <c r="K682" s="15" t="n">
        <f aca="false">AG682*評分方法!$C$7</f>
        <v>4.95</v>
      </c>
      <c r="L682" s="15" t="n">
        <f aca="false">AH682*評分方法!$C$8</f>
        <v>15</v>
      </c>
      <c r="M682" s="15" t="n">
        <f aca="false">AI682*評分方法!$C$9</f>
        <v>10</v>
      </c>
      <c r="N682" s="15" t="n">
        <f aca="false">AJ682*評分方法!$C$10</f>
        <v>5.912</v>
      </c>
      <c r="O682" s="15" t="n">
        <f aca="false">AK682*評分方法!$C$11</f>
        <v>2.5</v>
      </c>
      <c r="P682" s="15" t="n">
        <f aca="false">AL682*評分方法!$C$12</f>
        <v>0</v>
      </c>
      <c r="Q682" s="6" t="n">
        <v>608301</v>
      </c>
      <c r="R682" s="6" t="n">
        <v>566708227</v>
      </c>
      <c r="S682" s="11" t="s">
        <v>238</v>
      </c>
      <c r="T682" s="11" t="s">
        <v>239</v>
      </c>
      <c r="U682" s="5" t="s">
        <v>240</v>
      </c>
      <c r="V682" s="11" t="s">
        <v>261</v>
      </c>
      <c r="W682" s="5" t="s">
        <v>334</v>
      </c>
      <c r="X682" s="5" t="s">
        <v>242</v>
      </c>
      <c r="Y682" s="5"/>
      <c r="Z682" s="5"/>
      <c r="AA682" s="11" t="s">
        <v>150</v>
      </c>
      <c r="AB682" s="5" t="s">
        <v>245</v>
      </c>
      <c r="AC682" s="5"/>
      <c r="AD682" s="11" t="s">
        <v>1865</v>
      </c>
      <c r="AE682" s="23" t="n">
        <v>0.95</v>
      </c>
      <c r="AF682" s="23" t="n">
        <v>0</v>
      </c>
      <c r="AG682" s="23" t="n">
        <v>0.33</v>
      </c>
      <c r="AH682" s="23" t="n">
        <v>1</v>
      </c>
      <c r="AI682" s="23" t="n">
        <v>1</v>
      </c>
      <c r="AJ682" s="23" t="n">
        <v>0.5912</v>
      </c>
      <c r="AK682" s="23" t="n">
        <v>0.5</v>
      </c>
      <c r="AL682" s="23" t="n">
        <v>0</v>
      </c>
      <c r="AM682" s="16" t="n">
        <f aca="false">COUNTIFS($D$2:$D$2501,D682,$G$2:$G$2501,"&gt;"&amp;G682)+COUNTIFS($D$2:D682,D682,$G$2:G682,G682)</f>
        <v>66</v>
      </c>
      <c r="AN682" s="5" t="str">
        <f aca="false">D682&amp;"|"&amp;AM682</f>
        <v>實體擷取與去識別化|66</v>
      </c>
    </row>
    <row r="683" customFormat="false" ht="17.15" hidden="false" customHeight="false" outlineLevel="0" collapsed="false">
      <c r="A683" s="16" t="n">
        <f aca="false">RANK(G683,$G$2:$G$2501)+COUNTIF($G$2:G683,G683)-1</f>
        <v>682</v>
      </c>
      <c r="B683" s="11" t="s">
        <v>1866</v>
      </c>
      <c r="C683" s="11" t="s">
        <v>1111</v>
      </c>
      <c r="D683" s="5" t="s">
        <v>56</v>
      </c>
      <c r="E683" s="5" t="s">
        <v>57</v>
      </c>
      <c r="F683" s="5"/>
      <c r="G683" s="22" t="n">
        <f aca="false">ROUND(SUM(I683:P683),3)</f>
        <v>66.858</v>
      </c>
      <c r="H683" s="5" t="str">
        <f aca="false">IF(G683&gt;=評分方法!$C$16,"優先評估",IF(G683&gt;=評分方法!$C$17,"列入候選",IF(G683&gt;=評分方法!$C$18,"特定情境","不建議")))</f>
        <v>特定情境</v>
      </c>
      <c r="I683" s="15" t="n">
        <f aca="false">AE683*評分方法!$C$5</f>
        <v>25.5</v>
      </c>
      <c r="J683" s="15" t="n">
        <f aca="false">AF683*評分方法!$C$6</f>
        <v>0</v>
      </c>
      <c r="K683" s="15" t="n">
        <f aca="false">AG683*評分方法!$C$7</f>
        <v>10.05</v>
      </c>
      <c r="L683" s="15" t="n">
        <f aca="false">AH683*評分方法!$C$8</f>
        <v>9</v>
      </c>
      <c r="M683" s="15" t="n">
        <f aca="false">AI683*評分方法!$C$9</f>
        <v>10</v>
      </c>
      <c r="N683" s="15" t="n">
        <f aca="false">AJ683*評分方法!$C$10</f>
        <v>4.808</v>
      </c>
      <c r="O683" s="15" t="n">
        <f aca="false">AK683*評分方法!$C$11</f>
        <v>2.5</v>
      </c>
      <c r="P683" s="15" t="n">
        <f aca="false">AL683*評分方法!$C$12</f>
        <v>5</v>
      </c>
      <c r="Q683" s="6" t="n">
        <v>523404</v>
      </c>
      <c r="R683" s="6" t="n">
        <v>11306824800</v>
      </c>
      <c r="S683" s="11" t="s">
        <v>389</v>
      </c>
      <c r="T683" s="11" t="s">
        <v>239</v>
      </c>
      <c r="U683" s="5" t="s">
        <v>240</v>
      </c>
      <c r="V683" s="11" t="s">
        <v>261</v>
      </c>
      <c r="W683" s="5" t="s">
        <v>207</v>
      </c>
      <c r="X683" s="5" t="s">
        <v>284</v>
      </c>
      <c r="Y683" s="11" t="s">
        <v>1867</v>
      </c>
      <c r="Z683" s="11" t="s">
        <v>244</v>
      </c>
      <c r="AA683" s="11" t="s">
        <v>155</v>
      </c>
      <c r="AB683" s="5" t="s">
        <v>245</v>
      </c>
      <c r="AC683" s="5" t="s">
        <v>246</v>
      </c>
      <c r="AD683" s="11" t="s">
        <v>1868</v>
      </c>
      <c r="AE683" s="23" t="n">
        <v>0.85</v>
      </c>
      <c r="AF683" s="23" t="n">
        <v>0</v>
      </c>
      <c r="AG683" s="23" t="n">
        <v>0.67</v>
      </c>
      <c r="AH683" s="23" t="n">
        <v>0.6</v>
      </c>
      <c r="AI683" s="23" t="n">
        <v>1</v>
      </c>
      <c r="AJ683" s="23" t="n">
        <v>0.4808</v>
      </c>
      <c r="AK683" s="23" t="n">
        <v>0.5</v>
      </c>
      <c r="AL683" s="23" t="n">
        <v>1</v>
      </c>
      <c r="AM683" s="16" t="n">
        <f aca="false">COUNTIFS($D$2:$D$2501,D683,$G$2:$G$2501,"&gt;"&amp;G683)+COUNTIFS($D$2:D683,D683,$G$2:G683,G683)</f>
        <v>365</v>
      </c>
      <c r="AN683" s="5" t="str">
        <f aca="false">D683&amp;"|"&amp;AM683</f>
        <v>分析與報告生成|365</v>
      </c>
    </row>
    <row r="684" customFormat="false" ht="17.15" hidden="false" customHeight="false" outlineLevel="0" collapsed="false">
      <c r="A684" s="16" t="n">
        <f aca="false">RANK(G684,$G$2:$G$2501)+COUNTIF($G$2:G684,G684)-1</f>
        <v>683</v>
      </c>
      <c r="B684" s="11" t="s">
        <v>1869</v>
      </c>
      <c r="C684" s="11" t="s">
        <v>402</v>
      </c>
      <c r="D684" s="5" t="s">
        <v>58</v>
      </c>
      <c r="E684" s="5" t="s">
        <v>59</v>
      </c>
      <c r="F684" s="5"/>
      <c r="G684" s="22" t="n">
        <f aca="false">ROUND(SUM(I684:P684),3)</f>
        <v>66.854</v>
      </c>
      <c r="H684" s="5" t="str">
        <f aca="false">IF(G684&gt;=評分方法!$C$16,"優先評估",IF(G684&gt;=評分方法!$C$17,"列入候選",IF(G684&gt;=評分方法!$C$18,"特定情境","不建議")))</f>
        <v>特定情境</v>
      </c>
      <c r="I684" s="15" t="n">
        <f aca="false">AE684*評分方法!$C$5</f>
        <v>28.5</v>
      </c>
      <c r="J684" s="15" t="n">
        <f aca="false">AF684*評分方法!$C$6</f>
        <v>0</v>
      </c>
      <c r="K684" s="15" t="n">
        <f aca="false">AG684*評分方法!$C$7</f>
        <v>4.95</v>
      </c>
      <c r="L684" s="15" t="n">
        <f aca="false">AH684*評分方法!$C$8</f>
        <v>15</v>
      </c>
      <c r="M684" s="15" t="n">
        <f aca="false">AI684*評分方法!$C$9</f>
        <v>10</v>
      </c>
      <c r="N684" s="15" t="n">
        <f aca="false">AJ684*評分方法!$C$10</f>
        <v>5.904</v>
      </c>
      <c r="O684" s="15" t="n">
        <f aca="false">AK684*評分方法!$C$11</f>
        <v>2.5</v>
      </c>
      <c r="P684" s="15" t="n">
        <f aca="false">AL684*評分方法!$C$12</f>
        <v>0</v>
      </c>
      <c r="Q684" s="6" t="n">
        <v>607804</v>
      </c>
      <c r="R684" s="6" t="n">
        <v>33224865</v>
      </c>
      <c r="S684" s="11" t="s">
        <v>238</v>
      </c>
      <c r="T684" s="11" t="s">
        <v>239</v>
      </c>
      <c r="U684" s="5" t="s">
        <v>240</v>
      </c>
      <c r="V684" s="11" t="s">
        <v>261</v>
      </c>
      <c r="W684" s="5" t="s">
        <v>334</v>
      </c>
      <c r="X684" s="5" t="s">
        <v>242</v>
      </c>
      <c r="Y684" s="5"/>
      <c r="Z684" s="5"/>
      <c r="AA684" s="11" t="s">
        <v>150</v>
      </c>
      <c r="AB684" s="5" t="s">
        <v>245</v>
      </c>
      <c r="AC684" s="5"/>
      <c r="AD684" s="11" t="s">
        <v>1870</v>
      </c>
      <c r="AE684" s="23" t="n">
        <v>0.95</v>
      </c>
      <c r="AF684" s="23" t="n">
        <v>0</v>
      </c>
      <c r="AG684" s="23" t="n">
        <v>0.33</v>
      </c>
      <c r="AH684" s="23" t="n">
        <v>1</v>
      </c>
      <c r="AI684" s="23" t="n">
        <v>1</v>
      </c>
      <c r="AJ684" s="23" t="n">
        <v>0.5904</v>
      </c>
      <c r="AK684" s="23" t="n">
        <v>0.5</v>
      </c>
      <c r="AL684" s="23" t="n">
        <v>0</v>
      </c>
      <c r="AM684" s="16" t="n">
        <f aca="false">COUNTIFS($D$2:$D$2501,D684,$G$2:$G$2501,"&gt;"&amp;G684)+COUNTIFS($D$2:D684,D684,$G$2:G684,G684)</f>
        <v>67</v>
      </c>
      <c r="AN684" s="5" t="str">
        <f aca="false">D684&amp;"|"&amp;AM684</f>
        <v>實體擷取與去識別化|67</v>
      </c>
    </row>
    <row r="685" customFormat="false" ht="17.15" hidden="false" customHeight="false" outlineLevel="0" collapsed="false">
      <c r="A685" s="16" t="n">
        <f aca="false">RANK(G685,$G$2:$G$2501)+COUNTIF($G$2:G685,G685)-1</f>
        <v>684</v>
      </c>
      <c r="B685" s="11" t="s">
        <v>1871</v>
      </c>
      <c r="C685" s="11" t="s">
        <v>402</v>
      </c>
      <c r="D685" s="5" t="s">
        <v>58</v>
      </c>
      <c r="E685" s="5" t="s">
        <v>59</v>
      </c>
      <c r="F685" s="5"/>
      <c r="G685" s="22" t="n">
        <f aca="false">ROUND(SUM(I685:P685),3)</f>
        <v>66.85</v>
      </c>
      <c r="H685" s="5" t="str">
        <f aca="false">IF(G685&gt;=評分方法!$C$16,"優先評估",IF(G685&gt;=評分方法!$C$17,"列入候選",IF(G685&gt;=評分方法!$C$18,"特定情境","不建議")))</f>
        <v>特定情境</v>
      </c>
      <c r="I685" s="15" t="n">
        <f aca="false">AE685*評分方法!$C$5</f>
        <v>28.5</v>
      </c>
      <c r="J685" s="15" t="n">
        <f aca="false">AF685*評分方法!$C$6</f>
        <v>0</v>
      </c>
      <c r="K685" s="15" t="n">
        <f aca="false">AG685*評分方法!$C$7</f>
        <v>4.95</v>
      </c>
      <c r="L685" s="15" t="n">
        <f aca="false">AH685*評分方法!$C$8</f>
        <v>15</v>
      </c>
      <c r="M685" s="15" t="n">
        <f aca="false">AI685*評分方法!$C$9</f>
        <v>10</v>
      </c>
      <c r="N685" s="15" t="n">
        <f aca="false">AJ685*評分方法!$C$10</f>
        <v>5.9</v>
      </c>
      <c r="O685" s="15" t="n">
        <f aca="false">AK685*評分方法!$C$11</f>
        <v>2.5</v>
      </c>
      <c r="P685" s="15" t="n">
        <f aca="false">AL685*評分方法!$C$12</f>
        <v>0</v>
      </c>
      <c r="Q685" s="6" t="n">
        <v>607615</v>
      </c>
      <c r="R685" s="6" t="n">
        <v>558843907</v>
      </c>
      <c r="S685" s="11" t="s">
        <v>238</v>
      </c>
      <c r="T685" s="11" t="s">
        <v>239</v>
      </c>
      <c r="U685" s="5" t="s">
        <v>240</v>
      </c>
      <c r="V685" s="11" t="s">
        <v>261</v>
      </c>
      <c r="W685" s="5" t="s">
        <v>334</v>
      </c>
      <c r="X685" s="5" t="s">
        <v>242</v>
      </c>
      <c r="Y685" s="5"/>
      <c r="Z685" s="5"/>
      <c r="AA685" s="11" t="s">
        <v>150</v>
      </c>
      <c r="AB685" s="5" t="s">
        <v>245</v>
      </c>
      <c r="AC685" s="5"/>
      <c r="AD685" s="11" t="s">
        <v>1872</v>
      </c>
      <c r="AE685" s="23" t="n">
        <v>0.95</v>
      </c>
      <c r="AF685" s="23" t="n">
        <v>0</v>
      </c>
      <c r="AG685" s="23" t="n">
        <v>0.33</v>
      </c>
      <c r="AH685" s="23" t="n">
        <v>1</v>
      </c>
      <c r="AI685" s="23" t="n">
        <v>1</v>
      </c>
      <c r="AJ685" s="23" t="n">
        <v>0.59</v>
      </c>
      <c r="AK685" s="23" t="n">
        <v>0.5</v>
      </c>
      <c r="AL685" s="23" t="n">
        <v>0</v>
      </c>
      <c r="AM685" s="16" t="n">
        <f aca="false">COUNTIFS($D$2:$D$2501,D685,$G$2:$G$2501,"&gt;"&amp;G685)+COUNTIFS($D$2:D685,D685,$G$2:G685,G685)</f>
        <v>68</v>
      </c>
      <c r="AN685" s="5" t="str">
        <f aca="false">D685&amp;"|"&amp;AM685</f>
        <v>實體擷取與去識別化|68</v>
      </c>
    </row>
    <row r="686" customFormat="false" ht="17.15" hidden="false" customHeight="false" outlineLevel="0" collapsed="false">
      <c r="A686" s="16" t="n">
        <f aca="false">RANK(G686,$G$2:$G$2501)+COUNTIF($G$2:G686,G686)-1</f>
        <v>685</v>
      </c>
      <c r="B686" s="11" t="s">
        <v>1873</v>
      </c>
      <c r="C686" s="11" t="s">
        <v>402</v>
      </c>
      <c r="D686" s="5" t="s">
        <v>58</v>
      </c>
      <c r="E686" s="5" t="s">
        <v>59</v>
      </c>
      <c r="F686" s="5"/>
      <c r="G686" s="22" t="n">
        <f aca="false">ROUND(SUM(I686:P686),3)</f>
        <v>66.846</v>
      </c>
      <c r="H686" s="5" t="str">
        <f aca="false">IF(G686&gt;=評分方法!$C$16,"優先評估",IF(G686&gt;=評分方法!$C$17,"列入候選",IF(G686&gt;=評分方法!$C$18,"特定情境","不建議")))</f>
        <v>特定情境</v>
      </c>
      <c r="I686" s="15" t="n">
        <f aca="false">AE686*評分方法!$C$5</f>
        <v>28.5</v>
      </c>
      <c r="J686" s="15" t="n">
        <f aca="false">AF686*評分方法!$C$6</f>
        <v>0</v>
      </c>
      <c r="K686" s="15" t="n">
        <f aca="false">AG686*評分方法!$C$7</f>
        <v>4.95</v>
      </c>
      <c r="L686" s="15" t="n">
        <f aca="false">AH686*評分方法!$C$8</f>
        <v>15</v>
      </c>
      <c r="M686" s="15" t="n">
        <f aca="false">AI686*評分方法!$C$9</f>
        <v>10</v>
      </c>
      <c r="N686" s="15" t="n">
        <f aca="false">AJ686*評分方法!$C$10</f>
        <v>5.896</v>
      </c>
      <c r="O686" s="15" t="n">
        <f aca="false">AK686*評分方法!$C$11</f>
        <v>2.5</v>
      </c>
      <c r="P686" s="15" t="n">
        <f aca="false">AL686*評分方法!$C$12</f>
        <v>0</v>
      </c>
      <c r="Q686" s="6" t="n">
        <v>607367</v>
      </c>
      <c r="R686" s="6" t="n">
        <v>183833859</v>
      </c>
      <c r="S686" s="11" t="s">
        <v>238</v>
      </c>
      <c r="T686" s="11" t="s">
        <v>239</v>
      </c>
      <c r="U686" s="5" t="s">
        <v>240</v>
      </c>
      <c r="V686" s="11" t="s">
        <v>261</v>
      </c>
      <c r="W686" s="5" t="s">
        <v>334</v>
      </c>
      <c r="X686" s="5" t="s">
        <v>242</v>
      </c>
      <c r="Y686" s="5"/>
      <c r="Z686" s="5"/>
      <c r="AA686" s="11" t="s">
        <v>150</v>
      </c>
      <c r="AB686" s="5" t="s">
        <v>245</v>
      </c>
      <c r="AC686" s="5"/>
      <c r="AD686" s="11" t="s">
        <v>1874</v>
      </c>
      <c r="AE686" s="23" t="n">
        <v>0.95</v>
      </c>
      <c r="AF686" s="23" t="n">
        <v>0</v>
      </c>
      <c r="AG686" s="23" t="n">
        <v>0.33</v>
      </c>
      <c r="AH686" s="23" t="n">
        <v>1</v>
      </c>
      <c r="AI686" s="23" t="n">
        <v>1</v>
      </c>
      <c r="AJ686" s="23" t="n">
        <v>0.5896</v>
      </c>
      <c r="AK686" s="23" t="n">
        <v>0.5</v>
      </c>
      <c r="AL686" s="23" t="n">
        <v>0</v>
      </c>
      <c r="AM686" s="16" t="n">
        <f aca="false">COUNTIFS($D$2:$D$2501,D686,$G$2:$G$2501,"&gt;"&amp;G686)+COUNTIFS($D$2:D686,D686,$G$2:G686,G686)</f>
        <v>69</v>
      </c>
      <c r="AN686" s="5" t="str">
        <f aca="false">D686&amp;"|"&amp;AM686</f>
        <v>實體擷取與去識別化|69</v>
      </c>
    </row>
    <row r="687" customFormat="false" ht="17.15" hidden="false" customHeight="false" outlineLevel="0" collapsed="false">
      <c r="A687" s="16" t="n">
        <f aca="false">RANK(G687,$G$2:$G$2501)+COUNTIF($G$2:G687,G687)-1</f>
        <v>686</v>
      </c>
      <c r="B687" s="11" t="s">
        <v>1875</v>
      </c>
      <c r="C687" s="11" t="s">
        <v>338</v>
      </c>
      <c r="D687" s="5" t="s">
        <v>56</v>
      </c>
      <c r="E687" s="5" t="s">
        <v>57</v>
      </c>
      <c r="F687" s="5"/>
      <c r="G687" s="22" t="n">
        <f aca="false">ROUND(SUM(I687:P687),3)</f>
        <v>66.83</v>
      </c>
      <c r="H687" s="5" t="str">
        <f aca="false">IF(G687&gt;=評分方法!$C$16,"優先評估",IF(G687&gt;=評分方法!$C$17,"列入候選",IF(G687&gt;=評分方法!$C$18,"特定情境","不建議")))</f>
        <v>特定情境</v>
      </c>
      <c r="I687" s="15" t="n">
        <f aca="false">AE687*評分方法!$C$5</f>
        <v>25.5</v>
      </c>
      <c r="J687" s="15" t="n">
        <f aca="false">AF687*評分方法!$C$6</f>
        <v>0</v>
      </c>
      <c r="K687" s="15" t="n">
        <f aca="false">AG687*評分方法!$C$7</f>
        <v>15</v>
      </c>
      <c r="L687" s="15" t="n">
        <f aca="false">AH687*評分方法!$C$8</f>
        <v>4.95</v>
      </c>
      <c r="M687" s="15" t="n">
        <f aca="false">AI687*評分方法!$C$9</f>
        <v>10</v>
      </c>
      <c r="N687" s="15" t="n">
        <f aca="false">AJ687*評分方法!$C$10</f>
        <v>8.88</v>
      </c>
      <c r="O687" s="15" t="n">
        <f aca="false">AK687*評分方法!$C$11</f>
        <v>2.5</v>
      </c>
      <c r="P687" s="15" t="n">
        <f aca="false">AL687*評分方法!$C$12</f>
        <v>0</v>
      </c>
      <c r="Q687" s="6" t="n">
        <v>3345032</v>
      </c>
      <c r="R687" s="6" t="n">
        <v>46702792704</v>
      </c>
      <c r="S687" s="11" t="s">
        <v>1876</v>
      </c>
      <c r="T687" s="11" t="s">
        <v>239</v>
      </c>
      <c r="U687" s="5" t="s">
        <v>240</v>
      </c>
      <c r="V687" s="11" t="s">
        <v>324</v>
      </c>
      <c r="W687" s="5" t="s">
        <v>205</v>
      </c>
      <c r="X687" s="5" t="s">
        <v>242</v>
      </c>
      <c r="Y687" s="11" t="s">
        <v>1877</v>
      </c>
      <c r="Z687" s="11" t="s">
        <v>270</v>
      </c>
      <c r="AA687" s="11" t="s">
        <v>155</v>
      </c>
      <c r="AB687" s="5" t="s">
        <v>328</v>
      </c>
      <c r="AC687" s="5" t="s">
        <v>400</v>
      </c>
      <c r="AD687" s="11" t="s">
        <v>1878</v>
      </c>
      <c r="AE687" s="23" t="n">
        <v>0.85</v>
      </c>
      <c r="AF687" s="23" t="n">
        <v>0</v>
      </c>
      <c r="AG687" s="23" t="n">
        <v>1</v>
      </c>
      <c r="AH687" s="23" t="n">
        <v>0.33</v>
      </c>
      <c r="AI687" s="23" t="n">
        <v>1</v>
      </c>
      <c r="AJ687" s="23" t="n">
        <v>0.888</v>
      </c>
      <c r="AK687" s="23" t="n">
        <v>0.5</v>
      </c>
      <c r="AL687" s="23" t="n">
        <v>0</v>
      </c>
      <c r="AM687" s="16" t="n">
        <f aca="false">COUNTIFS($D$2:$D$2501,D687,$G$2:$G$2501,"&gt;"&amp;G687)+COUNTIFS($D$2:D687,D687,$G$2:G687,G687)</f>
        <v>366</v>
      </c>
      <c r="AN687" s="5" t="str">
        <f aca="false">D687&amp;"|"&amp;AM687</f>
        <v>分析與報告生成|366</v>
      </c>
    </row>
    <row r="688" customFormat="false" ht="17.15" hidden="false" customHeight="false" outlineLevel="0" collapsed="false">
      <c r="A688" s="16" t="n">
        <f aca="false">RANK(G688,$G$2:$G$2501)+COUNTIF($G$2:G688,G688)-1</f>
        <v>687</v>
      </c>
      <c r="B688" s="11" t="s">
        <v>1879</v>
      </c>
      <c r="C688" s="11" t="s">
        <v>402</v>
      </c>
      <c r="D688" s="5" t="s">
        <v>58</v>
      </c>
      <c r="E688" s="5" t="s">
        <v>59</v>
      </c>
      <c r="F688" s="5"/>
      <c r="G688" s="22" t="n">
        <f aca="false">ROUND(SUM(I688:P688),3)</f>
        <v>66.83</v>
      </c>
      <c r="H688" s="5" t="str">
        <f aca="false">IF(G688&gt;=評分方法!$C$16,"優先評估",IF(G688&gt;=評分方法!$C$17,"列入候選",IF(G688&gt;=評分方法!$C$18,"特定情境","不建議")))</f>
        <v>特定情境</v>
      </c>
      <c r="I688" s="15" t="n">
        <f aca="false">AE688*評分方法!$C$5</f>
        <v>28.5</v>
      </c>
      <c r="J688" s="15" t="n">
        <f aca="false">AF688*評分方法!$C$6</f>
        <v>0</v>
      </c>
      <c r="K688" s="15" t="n">
        <f aca="false">AG688*評分方法!$C$7</f>
        <v>4.95</v>
      </c>
      <c r="L688" s="15" t="n">
        <f aca="false">AH688*評分方法!$C$8</f>
        <v>15</v>
      </c>
      <c r="M688" s="15" t="n">
        <f aca="false">AI688*評分方法!$C$9</f>
        <v>10</v>
      </c>
      <c r="N688" s="15" t="n">
        <f aca="false">AJ688*評分方法!$C$10</f>
        <v>5.88</v>
      </c>
      <c r="O688" s="15" t="n">
        <f aca="false">AK688*評分方法!$C$11</f>
        <v>2.5</v>
      </c>
      <c r="P688" s="15" t="n">
        <f aca="false">AL688*評分方法!$C$12</f>
        <v>0</v>
      </c>
      <c r="Q688" s="6" t="n">
        <v>605244</v>
      </c>
      <c r="R688" s="6" t="n">
        <v>149607171</v>
      </c>
      <c r="S688" s="11" t="s">
        <v>238</v>
      </c>
      <c r="T688" s="11" t="s">
        <v>239</v>
      </c>
      <c r="U688" s="5" t="s">
        <v>240</v>
      </c>
      <c r="V688" s="11" t="s">
        <v>261</v>
      </c>
      <c r="W688" s="5" t="s">
        <v>334</v>
      </c>
      <c r="X688" s="5" t="s">
        <v>242</v>
      </c>
      <c r="Y688" s="5"/>
      <c r="Z688" s="5"/>
      <c r="AA688" s="11" t="s">
        <v>150</v>
      </c>
      <c r="AB688" s="5" t="s">
        <v>245</v>
      </c>
      <c r="AC688" s="5"/>
      <c r="AD688" s="11" t="s">
        <v>1880</v>
      </c>
      <c r="AE688" s="23" t="n">
        <v>0.95</v>
      </c>
      <c r="AF688" s="23" t="n">
        <v>0</v>
      </c>
      <c r="AG688" s="23" t="n">
        <v>0.33</v>
      </c>
      <c r="AH688" s="23" t="n">
        <v>1</v>
      </c>
      <c r="AI688" s="23" t="n">
        <v>1</v>
      </c>
      <c r="AJ688" s="23" t="n">
        <v>0.588</v>
      </c>
      <c r="AK688" s="23" t="n">
        <v>0.5</v>
      </c>
      <c r="AL688" s="23" t="n">
        <v>0</v>
      </c>
      <c r="AM688" s="16" t="n">
        <f aca="false">COUNTIFS($D$2:$D$2501,D688,$G$2:$G$2501,"&gt;"&amp;G688)+COUNTIFS($D$2:D688,D688,$G$2:G688,G688)</f>
        <v>70</v>
      </c>
      <c r="AN688" s="5" t="str">
        <f aca="false">D688&amp;"|"&amp;AM688</f>
        <v>實體擷取與去識別化|70</v>
      </c>
    </row>
    <row r="689" customFormat="false" ht="17.15" hidden="false" customHeight="false" outlineLevel="0" collapsed="false">
      <c r="A689" s="16" t="n">
        <f aca="false">RANK(G689,$G$2:$G$2501)+COUNTIF($G$2:G689,G689)-1</f>
        <v>688</v>
      </c>
      <c r="B689" s="11" t="s">
        <v>1881</v>
      </c>
      <c r="C689" s="11" t="s">
        <v>402</v>
      </c>
      <c r="D689" s="5" t="s">
        <v>58</v>
      </c>
      <c r="E689" s="5" t="s">
        <v>59</v>
      </c>
      <c r="F689" s="5"/>
      <c r="G689" s="22" t="n">
        <f aca="false">ROUND(SUM(I689:P689),3)</f>
        <v>66.826</v>
      </c>
      <c r="H689" s="5" t="str">
        <f aca="false">IF(G689&gt;=評分方法!$C$16,"優先評估",IF(G689&gt;=評分方法!$C$17,"列入候選",IF(G689&gt;=評分方法!$C$18,"特定情境","不建議")))</f>
        <v>特定情境</v>
      </c>
      <c r="I689" s="15" t="n">
        <f aca="false">AE689*評分方法!$C$5</f>
        <v>28.5</v>
      </c>
      <c r="J689" s="15" t="n">
        <f aca="false">AF689*評分方法!$C$6</f>
        <v>0</v>
      </c>
      <c r="K689" s="15" t="n">
        <f aca="false">AG689*評分方法!$C$7</f>
        <v>4.95</v>
      </c>
      <c r="L689" s="15" t="n">
        <f aca="false">AH689*評分方法!$C$8</f>
        <v>15</v>
      </c>
      <c r="M689" s="15" t="n">
        <f aca="false">AI689*評分方法!$C$9</f>
        <v>10</v>
      </c>
      <c r="N689" s="15" t="n">
        <f aca="false">AJ689*評分方法!$C$10</f>
        <v>5.876</v>
      </c>
      <c r="O689" s="15" t="n">
        <f aca="false">AK689*評分方法!$C$11</f>
        <v>2.5</v>
      </c>
      <c r="P689" s="15" t="n">
        <f aca="false">AL689*評分方法!$C$12</f>
        <v>0</v>
      </c>
      <c r="Q689" s="6" t="n">
        <v>604891</v>
      </c>
      <c r="R689" s="6" t="n">
        <v>134742539</v>
      </c>
      <c r="S689" s="11" t="s">
        <v>238</v>
      </c>
      <c r="T689" s="11" t="s">
        <v>239</v>
      </c>
      <c r="U689" s="5" t="s">
        <v>240</v>
      </c>
      <c r="V689" s="11" t="s">
        <v>261</v>
      </c>
      <c r="W689" s="5" t="s">
        <v>334</v>
      </c>
      <c r="X689" s="5" t="s">
        <v>242</v>
      </c>
      <c r="Y689" s="5"/>
      <c r="Z689" s="5"/>
      <c r="AA689" s="11" t="s">
        <v>150</v>
      </c>
      <c r="AB689" s="5" t="s">
        <v>245</v>
      </c>
      <c r="AC689" s="5"/>
      <c r="AD689" s="11" t="s">
        <v>1882</v>
      </c>
      <c r="AE689" s="23" t="n">
        <v>0.95</v>
      </c>
      <c r="AF689" s="23" t="n">
        <v>0</v>
      </c>
      <c r="AG689" s="23" t="n">
        <v>0.33</v>
      </c>
      <c r="AH689" s="23" t="n">
        <v>1</v>
      </c>
      <c r="AI689" s="23" t="n">
        <v>1</v>
      </c>
      <c r="AJ689" s="23" t="n">
        <v>0.5876</v>
      </c>
      <c r="AK689" s="23" t="n">
        <v>0.5</v>
      </c>
      <c r="AL689" s="23" t="n">
        <v>0</v>
      </c>
      <c r="AM689" s="16" t="n">
        <f aca="false">COUNTIFS($D$2:$D$2501,D689,$G$2:$G$2501,"&gt;"&amp;G689)+COUNTIFS($D$2:D689,D689,$G$2:G689,G689)</f>
        <v>71</v>
      </c>
      <c r="AN689" s="5" t="str">
        <f aca="false">D689&amp;"|"&amp;AM689</f>
        <v>實體擷取與去識別化|71</v>
      </c>
    </row>
    <row r="690" customFormat="false" ht="17.15" hidden="false" customHeight="false" outlineLevel="0" collapsed="false">
      <c r="A690" s="16" t="n">
        <f aca="false">RANK(G690,$G$2:$G$2501)+COUNTIF($G$2:G690,G690)-1</f>
        <v>689</v>
      </c>
      <c r="B690" s="11" t="s">
        <v>1883</v>
      </c>
      <c r="C690" s="11" t="s">
        <v>1884</v>
      </c>
      <c r="D690" s="5" t="s">
        <v>54</v>
      </c>
      <c r="E690" s="5" t="s">
        <v>55</v>
      </c>
      <c r="F690" s="5"/>
      <c r="G690" s="22" t="n">
        <f aca="false">ROUND(SUM(I690:P690),3)</f>
        <v>66.818</v>
      </c>
      <c r="H690" s="5" t="str">
        <f aca="false">IF(G690&gt;=評分方法!$C$16,"優先評估",IF(G690&gt;=評分方法!$C$17,"列入候選",IF(G690&gt;=評分方法!$C$18,"特定情境","不建議")))</f>
        <v>特定情境</v>
      </c>
      <c r="I690" s="15" t="n">
        <f aca="false">AE690*評分方法!$C$5</f>
        <v>27</v>
      </c>
      <c r="J690" s="15" t="n">
        <f aca="false">AF690*評分方法!$C$6</f>
        <v>0</v>
      </c>
      <c r="K690" s="15" t="n">
        <f aca="false">AG690*評分方法!$C$7</f>
        <v>4.95</v>
      </c>
      <c r="L690" s="15" t="n">
        <f aca="false">AH690*評分方法!$C$8</f>
        <v>15</v>
      </c>
      <c r="M690" s="15" t="n">
        <f aca="false">AI690*評分方法!$C$9</f>
        <v>10</v>
      </c>
      <c r="N690" s="15" t="n">
        <f aca="false">AJ690*評分方法!$C$10</f>
        <v>7.368</v>
      </c>
      <c r="O690" s="15" t="n">
        <f aca="false">AK690*評分方法!$C$11</f>
        <v>2.5</v>
      </c>
      <c r="P690" s="15" t="n">
        <f aca="false">AL690*評分方法!$C$12</f>
        <v>0</v>
      </c>
      <c r="Q690" s="6" t="n">
        <v>1085310</v>
      </c>
      <c r="R690" s="6" t="n">
        <v>4386049</v>
      </c>
      <c r="S690" s="11" t="s">
        <v>238</v>
      </c>
      <c r="T690" s="11" t="s">
        <v>239</v>
      </c>
      <c r="U690" s="5" t="s">
        <v>240</v>
      </c>
      <c r="V690" s="11" t="s">
        <v>261</v>
      </c>
      <c r="W690" s="5" t="s">
        <v>334</v>
      </c>
      <c r="X690" s="5" t="s">
        <v>242</v>
      </c>
      <c r="Y690" s="11" t="s">
        <v>1885</v>
      </c>
      <c r="Z690" s="11" t="s">
        <v>270</v>
      </c>
      <c r="AA690" s="11" t="s">
        <v>154</v>
      </c>
      <c r="AB690" s="5" t="s">
        <v>245</v>
      </c>
      <c r="AC690" s="5"/>
      <c r="AD690" s="11" t="s">
        <v>1886</v>
      </c>
      <c r="AE690" s="23" t="n">
        <v>0.9</v>
      </c>
      <c r="AF690" s="23" t="n">
        <v>0</v>
      </c>
      <c r="AG690" s="23" t="n">
        <v>0.33</v>
      </c>
      <c r="AH690" s="23" t="n">
        <v>1</v>
      </c>
      <c r="AI690" s="23" t="n">
        <v>1</v>
      </c>
      <c r="AJ690" s="23" t="n">
        <v>0.7368</v>
      </c>
      <c r="AK690" s="23" t="n">
        <v>0.5</v>
      </c>
      <c r="AL690" s="23" t="n">
        <v>0</v>
      </c>
      <c r="AM690" s="16" t="n">
        <f aca="false">COUNTIFS($D$2:$D$2501,D690,$G$2:$G$2501,"&gt;"&amp;G690)+COUNTIFS($D$2:D690,D690,$G$2:G690,G690)</f>
        <v>139</v>
      </c>
      <c r="AN690" s="5" t="str">
        <f aca="false">D690&amp;"|"&amp;AM690</f>
        <v>檢索與情資關聯|139</v>
      </c>
    </row>
    <row r="691" customFormat="false" ht="17.15" hidden="false" customHeight="false" outlineLevel="0" collapsed="false">
      <c r="A691" s="16" t="n">
        <f aca="false">RANK(G691,$G$2:$G$2501)+COUNTIF($G$2:G691,G691)-1</f>
        <v>690</v>
      </c>
      <c r="B691" s="11" t="s">
        <v>1887</v>
      </c>
      <c r="C691" s="11" t="s">
        <v>402</v>
      </c>
      <c r="D691" s="5" t="s">
        <v>58</v>
      </c>
      <c r="E691" s="5" t="s">
        <v>59</v>
      </c>
      <c r="F691" s="5"/>
      <c r="G691" s="22" t="n">
        <f aca="false">ROUND(SUM(I691:P691),3)</f>
        <v>66.81</v>
      </c>
      <c r="H691" s="5" t="str">
        <f aca="false">IF(G691&gt;=評分方法!$C$16,"優先評估",IF(G691&gt;=評分方法!$C$17,"列入候選",IF(G691&gt;=評分方法!$C$18,"特定情境","不建議")))</f>
        <v>特定情境</v>
      </c>
      <c r="I691" s="15" t="n">
        <f aca="false">AE691*評分方法!$C$5</f>
        <v>28.5</v>
      </c>
      <c r="J691" s="15" t="n">
        <f aca="false">AF691*評分方法!$C$6</f>
        <v>0</v>
      </c>
      <c r="K691" s="15" t="n">
        <f aca="false">AG691*評分方法!$C$7</f>
        <v>4.95</v>
      </c>
      <c r="L691" s="15" t="n">
        <f aca="false">AH691*評分方法!$C$8</f>
        <v>15</v>
      </c>
      <c r="M691" s="15" t="n">
        <f aca="false">AI691*評分方法!$C$9</f>
        <v>10</v>
      </c>
      <c r="N691" s="15" t="n">
        <f aca="false">AJ691*評分方法!$C$10</f>
        <v>5.86</v>
      </c>
      <c r="O691" s="15" t="n">
        <f aca="false">AK691*評分方法!$C$11</f>
        <v>2.5</v>
      </c>
      <c r="P691" s="15" t="n">
        <f aca="false">AL691*評分方法!$C$12</f>
        <v>0</v>
      </c>
      <c r="Q691" s="6" t="n">
        <v>603326</v>
      </c>
      <c r="R691" s="6" t="n">
        <v>124057347</v>
      </c>
      <c r="S691" s="11" t="s">
        <v>238</v>
      </c>
      <c r="T691" s="11" t="s">
        <v>239</v>
      </c>
      <c r="U691" s="5" t="s">
        <v>240</v>
      </c>
      <c r="V691" s="11" t="s">
        <v>261</v>
      </c>
      <c r="W691" s="5" t="s">
        <v>334</v>
      </c>
      <c r="X691" s="5" t="s">
        <v>242</v>
      </c>
      <c r="Y691" s="5"/>
      <c r="Z691" s="5"/>
      <c r="AA691" s="11" t="s">
        <v>150</v>
      </c>
      <c r="AB691" s="5" t="s">
        <v>245</v>
      </c>
      <c r="AC691" s="5"/>
      <c r="AD691" s="11" t="s">
        <v>1888</v>
      </c>
      <c r="AE691" s="23" t="n">
        <v>0.95</v>
      </c>
      <c r="AF691" s="23" t="n">
        <v>0</v>
      </c>
      <c r="AG691" s="23" t="n">
        <v>0.33</v>
      </c>
      <c r="AH691" s="23" t="n">
        <v>1</v>
      </c>
      <c r="AI691" s="23" t="n">
        <v>1</v>
      </c>
      <c r="AJ691" s="23" t="n">
        <v>0.586</v>
      </c>
      <c r="AK691" s="23" t="n">
        <v>0.5</v>
      </c>
      <c r="AL691" s="23" t="n">
        <v>0</v>
      </c>
      <c r="AM691" s="16" t="n">
        <f aca="false">COUNTIFS($D$2:$D$2501,D691,$G$2:$G$2501,"&gt;"&amp;G691)+COUNTIFS($D$2:D691,D691,$G$2:G691,G691)</f>
        <v>72</v>
      </c>
      <c r="AN691" s="5" t="str">
        <f aca="false">D691&amp;"|"&amp;AM691</f>
        <v>實體擷取與去識別化|72</v>
      </c>
    </row>
    <row r="692" customFormat="false" ht="17.15" hidden="false" customHeight="false" outlineLevel="0" collapsed="false">
      <c r="A692" s="16" t="n">
        <f aca="false">RANK(G692,$G$2:$G$2501)+COUNTIF($G$2:G692,G692)-1</f>
        <v>691</v>
      </c>
      <c r="B692" s="11" t="s">
        <v>1889</v>
      </c>
      <c r="C692" s="11" t="s">
        <v>402</v>
      </c>
      <c r="D692" s="5" t="s">
        <v>58</v>
      </c>
      <c r="E692" s="5" t="s">
        <v>59</v>
      </c>
      <c r="F692" s="5"/>
      <c r="G692" s="22" t="n">
        <f aca="false">ROUND(SUM(I692:P692),3)</f>
        <v>66.806</v>
      </c>
      <c r="H692" s="5" t="str">
        <f aca="false">IF(G692&gt;=評分方法!$C$16,"優先評估",IF(G692&gt;=評分方法!$C$17,"列入候選",IF(G692&gt;=評分方法!$C$18,"特定情境","不建議")))</f>
        <v>特定情境</v>
      </c>
      <c r="I692" s="15" t="n">
        <f aca="false">AE692*評分方法!$C$5</f>
        <v>28.5</v>
      </c>
      <c r="J692" s="15" t="n">
        <f aca="false">AF692*評分方法!$C$6</f>
        <v>0</v>
      </c>
      <c r="K692" s="15" t="n">
        <f aca="false">AG692*評分方法!$C$7</f>
        <v>4.95</v>
      </c>
      <c r="L692" s="15" t="n">
        <f aca="false">AH692*評分方法!$C$8</f>
        <v>15</v>
      </c>
      <c r="M692" s="15" t="n">
        <f aca="false">AI692*評分方法!$C$9</f>
        <v>10</v>
      </c>
      <c r="N692" s="15" t="n">
        <f aca="false">AJ692*評分方法!$C$10</f>
        <v>5.856</v>
      </c>
      <c r="O692" s="15" t="n">
        <f aca="false">AK692*評分方法!$C$11</f>
        <v>2.5</v>
      </c>
      <c r="P692" s="15" t="n">
        <f aca="false">AL692*評分方法!$C$12</f>
        <v>0</v>
      </c>
      <c r="Q692" s="6" t="n">
        <v>603294</v>
      </c>
      <c r="R692" s="6" t="n">
        <v>108917025</v>
      </c>
      <c r="S692" s="11" t="s">
        <v>238</v>
      </c>
      <c r="T692" s="11" t="s">
        <v>239</v>
      </c>
      <c r="U692" s="5" t="s">
        <v>240</v>
      </c>
      <c r="V692" s="11" t="s">
        <v>261</v>
      </c>
      <c r="W692" s="5" t="s">
        <v>334</v>
      </c>
      <c r="X692" s="5" t="s">
        <v>242</v>
      </c>
      <c r="Y692" s="5"/>
      <c r="Z692" s="5"/>
      <c r="AA692" s="11" t="s">
        <v>150</v>
      </c>
      <c r="AB692" s="5" t="s">
        <v>245</v>
      </c>
      <c r="AC692" s="5"/>
      <c r="AD692" s="11" t="s">
        <v>1890</v>
      </c>
      <c r="AE692" s="23" t="n">
        <v>0.95</v>
      </c>
      <c r="AF692" s="23" t="n">
        <v>0</v>
      </c>
      <c r="AG692" s="23" t="n">
        <v>0.33</v>
      </c>
      <c r="AH692" s="23" t="n">
        <v>1</v>
      </c>
      <c r="AI692" s="23" t="n">
        <v>1</v>
      </c>
      <c r="AJ692" s="23" t="n">
        <v>0.5856</v>
      </c>
      <c r="AK692" s="23" t="n">
        <v>0.5</v>
      </c>
      <c r="AL692" s="23" t="n">
        <v>0</v>
      </c>
      <c r="AM692" s="16" t="n">
        <f aca="false">COUNTIFS($D$2:$D$2501,D692,$G$2:$G$2501,"&gt;"&amp;G692)+COUNTIFS($D$2:D692,D692,$G$2:G692,G692)</f>
        <v>73</v>
      </c>
      <c r="AN692" s="5" t="str">
        <f aca="false">D692&amp;"|"&amp;AM692</f>
        <v>實體擷取與去識別化|73</v>
      </c>
    </row>
    <row r="693" customFormat="false" ht="17.15" hidden="false" customHeight="false" outlineLevel="0" collapsed="false">
      <c r="A693" s="16" t="n">
        <f aca="false">RANK(G693,$G$2:$G$2501)+COUNTIF($G$2:G693,G693)-1</f>
        <v>692</v>
      </c>
      <c r="B693" s="11" t="s">
        <v>1891</v>
      </c>
      <c r="C693" s="11" t="s">
        <v>1892</v>
      </c>
      <c r="D693" s="11" t="s">
        <v>46</v>
      </c>
      <c r="E693" s="11" t="s">
        <v>47</v>
      </c>
      <c r="F693" s="11" t="s">
        <v>46</v>
      </c>
      <c r="G693" s="22" t="n">
        <f aca="false">ROUND(SUM(I693:P693),3)</f>
        <v>66.804</v>
      </c>
      <c r="H693" s="5" t="str">
        <f aca="false">IF(G693&gt;=評分方法!$C$16,"優先評估",IF(G693&gt;=評分方法!$C$17,"列入候選",IF(G693&gt;=評分方法!$C$18,"特定情境","不建議")))</f>
        <v>特定情境</v>
      </c>
      <c r="I693" s="15" t="n">
        <f aca="false">AE693*評分方法!$C$5</f>
        <v>25.5</v>
      </c>
      <c r="J693" s="15" t="n">
        <f aca="false">AF693*評分方法!$C$6</f>
        <v>10</v>
      </c>
      <c r="K693" s="15" t="n">
        <f aca="false">AG693*評分方法!$C$7</f>
        <v>4.95</v>
      </c>
      <c r="L693" s="15" t="n">
        <f aca="false">AH693*評分方法!$C$8</f>
        <v>13.05</v>
      </c>
      <c r="M693" s="15" t="n">
        <f aca="false">AI693*評分方法!$C$9</f>
        <v>2</v>
      </c>
      <c r="N693" s="15" t="n">
        <f aca="false">AJ693*評分方法!$C$10</f>
        <v>7.304</v>
      </c>
      <c r="O693" s="15" t="n">
        <f aca="false">AK693*評分方法!$C$11</f>
        <v>1</v>
      </c>
      <c r="P693" s="15" t="n">
        <f aca="false">AL693*評分方法!$C$12</f>
        <v>3</v>
      </c>
      <c r="Q693" s="6" t="n">
        <v>1049952</v>
      </c>
      <c r="R693" s="6" t="n">
        <v>8030261248</v>
      </c>
      <c r="S693" s="11" t="s">
        <v>254</v>
      </c>
      <c r="T693" s="5"/>
      <c r="U693" s="5" t="s">
        <v>375</v>
      </c>
      <c r="V693" s="11" t="s">
        <v>261</v>
      </c>
      <c r="W693" s="5" t="s">
        <v>334</v>
      </c>
      <c r="X693" s="5" t="s">
        <v>371</v>
      </c>
      <c r="Y693" s="5"/>
      <c r="Z693" s="5"/>
      <c r="AA693" s="11" t="s">
        <v>155</v>
      </c>
      <c r="AB693" s="5" t="s">
        <v>328</v>
      </c>
      <c r="AC693" s="5" t="s">
        <v>329</v>
      </c>
      <c r="AD693" s="11" t="s">
        <v>1893</v>
      </c>
      <c r="AE693" s="23" t="n">
        <v>0.85</v>
      </c>
      <c r="AF693" s="23" t="n">
        <v>1</v>
      </c>
      <c r="AG693" s="23" t="n">
        <v>0.33</v>
      </c>
      <c r="AH693" s="23" t="n">
        <v>0.87</v>
      </c>
      <c r="AI693" s="23" t="n">
        <v>0.2</v>
      </c>
      <c r="AJ693" s="23" t="n">
        <v>0.7304</v>
      </c>
      <c r="AK693" s="23" t="n">
        <v>0.2</v>
      </c>
      <c r="AL693" s="23" t="n">
        <v>0.6</v>
      </c>
      <c r="AM693" s="16" t="n">
        <f aca="false">COUNTIFS($D$2:$D$2501,D693,$G$2:$G$2501,"&gt;"&amp;G693)+COUNTIFS($D$2:D693,D693,$G$2:G693,G693)</f>
        <v>17</v>
      </c>
      <c r="AN693" s="5" t="str">
        <f aca="false">D693&amp;"|"&amp;AM693</f>
        <v>AI 應用防護|17</v>
      </c>
    </row>
    <row r="694" customFormat="false" ht="17.15" hidden="false" customHeight="false" outlineLevel="0" collapsed="false">
      <c r="A694" s="16" t="n">
        <f aca="false">RANK(G694,$G$2:$G$2501)+COUNTIF($G$2:G694,G694)-1</f>
        <v>693</v>
      </c>
      <c r="B694" s="11" t="s">
        <v>1894</v>
      </c>
      <c r="C694" s="11" t="s">
        <v>402</v>
      </c>
      <c r="D694" s="5" t="s">
        <v>58</v>
      </c>
      <c r="E694" s="5" t="s">
        <v>59</v>
      </c>
      <c r="F694" s="5"/>
      <c r="G694" s="22" t="n">
        <f aca="false">ROUND(SUM(I694:P694),3)</f>
        <v>66.802</v>
      </c>
      <c r="H694" s="5" t="str">
        <f aca="false">IF(G694&gt;=評分方法!$C$16,"優先評估",IF(G694&gt;=評分方法!$C$17,"列入候選",IF(G694&gt;=評分方法!$C$18,"特定情境","不建議")))</f>
        <v>特定情境</v>
      </c>
      <c r="I694" s="15" t="n">
        <f aca="false">AE694*評分方法!$C$5</f>
        <v>28.5</v>
      </c>
      <c r="J694" s="15" t="n">
        <f aca="false">AF694*評分方法!$C$6</f>
        <v>0</v>
      </c>
      <c r="K694" s="15" t="n">
        <f aca="false">AG694*評分方法!$C$7</f>
        <v>4.95</v>
      </c>
      <c r="L694" s="15" t="n">
        <f aca="false">AH694*評分方法!$C$8</f>
        <v>15</v>
      </c>
      <c r="M694" s="15" t="n">
        <f aca="false">AI694*評分方法!$C$9</f>
        <v>10</v>
      </c>
      <c r="N694" s="15" t="n">
        <f aca="false">AJ694*評分方法!$C$10</f>
        <v>5.852</v>
      </c>
      <c r="O694" s="15" t="n">
        <f aca="false">AK694*評分方法!$C$11</f>
        <v>2.5</v>
      </c>
      <c r="P694" s="15" t="n">
        <f aca="false">AL694*評分方法!$C$12</f>
        <v>0</v>
      </c>
      <c r="Q694" s="6" t="n">
        <v>602853</v>
      </c>
      <c r="R694" s="6" t="n">
        <v>334095363</v>
      </c>
      <c r="S694" s="11" t="s">
        <v>238</v>
      </c>
      <c r="T694" s="11" t="s">
        <v>239</v>
      </c>
      <c r="U694" s="5" t="s">
        <v>240</v>
      </c>
      <c r="V694" s="11" t="s">
        <v>261</v>
      </c>
      <c r="W694" s="5" t="s">
        <v>334</v>
      </c>
      <c r="X694" s="5" t="s">
        <v>242</v>
      </c>
      <c r="Y694" s="5"/>
      <c r="Z694" s="5"/>
      <c r="AA694" s="11" t="s">
        <v>150</v>
      </c>
      <c r="AB694" s="5" t="s">
        <v>245</v>
      </c>
      <c r="AC694" s="5"/>
      <c r="AD694" s="11" t="s">
        <v>1895</v>
      </c>
      <c r="AE694" s="23" t="n">
        <v>0.95</v>
      </c>
      <c r="AF694" s="23" t="n">
        <v>0</v>
      </c>
      <c r="AG694" s="23" t="n">
        <v>0.33</v>
      </c>
      <c r="AH694" s="23" t="n">
        <v>1</v>
      </c>
      <c r="AI694" s="23" t="n">
        <v>1</v>
      </c>
      <c r="AJ694" s="23" t="n">
        <v>0.5852</v>
      </c>
      <c r="AK694" s="23" t="n">
        <v>0.5</v>
      </c>
      <c r="AL694" s="23" t="n">
        <v>0</v>
      </c>
      <c r="AM694" s="16" t="n">
        <f aca="false">COUNTIFS($D$2:$D$2501,D694,$G$2:$G$2501,"&gt;"&amp;G694)+COUNTIFS($D$2:D694,D694,$G$2:G694,G694)</f>
        <v>74</v>
      </c>
      <c r="AN694" s="5" t="str">
        <f aca="false">D694&amp;"|"&amp;AM694</f>
        <v>實體擷取與去識別化|74</v>
      </c>
    </row>
    <row r="695" customFormat="false" ht="17.15" hidden="false" customHeight="false" outlineLevel="0" collapsed="false">
      <c r="A695" s="16" t="n">
        <f aca="false">RANK(G695,$G$2:$G$2501)+COUNTIF($G$2:G695,G695)-1</f>
        <v>694</v>
      </c>
      <c r="B695" s="11" t="s">
        <v>1896</v>
      </c>
      <c r="C695" s="11" t="s">
        <v>402</v>
      </c>
      <c r="D695" s="5" t="s">
        <v>58</v>
      </c>
      <c r="E695" s="5" t="s">
        <v>59</v>
      </c>
      <c r="F695" s="5"/>
      <c r="G695" s="22" t="n">
        <f aca="false">ROUND(SUM(I695:P695),3)</f>
        <v>66.79</v>
      </c>
      <c r="H695" s="5" t="str">
        <f aca="false">IF(G695&gt;=評分方法!$C$16,"優先評估",IF(G695&gt;=評分方法!$C$17,"列入候選",IF(G695&gt;=評分方法!$C$18,"特定情境","不建議")))</f>
        <v>特定情境</v>
      </c>
      <c r="I695" s="15" t="n">
        <f aca="false">AE695*評分方法!$C$5</f>
        <v>28.5</v>
      </c>
      <c r="J695" s="15" t="n">
        <f aca="false">AF695*評分方法!$C$6</f>
        <v>0</v>
      </c>
      <c r="K695" s="15" t="n">
        <f aca="false">AG695*評分方法!$C$7</f>
        <v>4.95</v>
      </c>
      <c r="L695" s="15" t="n">
        <f aca="false">AH695*評分方法!$C$8</f>
        <v>15</v>
      </c>
      <c r="M695" s="15" t="n">
        <f aca="false">AI695*評分方法!$C$9</f>
        <v>10</v>
      </c>
      <c r="N695" s="15" t="n">
        <f aca="false">AJ695*評分方法!$C$10</f>
        <v>5.84</v>
      </c>
      <c r="O695" s="15" t="n">
        <f aca="false">AK695*評分方法!$C$11</f>
        <v>2.5</v>
      </c>
      <c r="P695" s="15" t="n">
        <f aca="false">AL695*評分方法!$C$12</f>
        <v>0</v>
      </c>
      <c r="Q695" s="6" t="n">
        <v>600675</v>
      </c>
      <c r="R695" s="6" t="n">
        <v>566716427</v>
      </c>
      <c r="S695" s="11" t="s">
        <v>238</v>
      </c>
      <c r="T695" s="11" t="s">
        <v>239</v>
      </c>
      <c r="U695" s="5" t="s">
        <v>240</v>
      </c>
      <c r="V695" s="11" t="s">
        <v>261</v>
      </c>
      <c r="W695" s="5" t="s">
        <v>334</v>
      </c>
      <c r="X695" s="5" t="s">
        <v>242</v>
      </c>
      <c r="Y695" s="5"/>
      <c r="Z695" s="5"/>
      <c r="AA695" s="11" t="s">
        <v>150</v>
      </c>
      <c r="AB695" s="5" t="s">
        <v>245</v>
      </c>
      <c r="AC695" s="5"/>
      <c r="AD695" s="11" t="s">
        <v>1897</v>
      </c>
      <c r="AE695" s="23" t="n">
        <v>0.95</v>
      </c>
      <c r="AF695" s="23" t="n">
        <v>0</v>
      </c>
      <c r="AG695" s="23" t="n">
        <v>0.33</v>
      </c>
      <c r="AH695" s="23" t="n">
        <v>1</v>
      </c>
      <c r="AI695" s="23" t="n">
        <v>1</v>
      </c>
      <c r="AJ695" s="23" t="n">
        <v>0.584</v>
      </c>
      <c r="AK695" s="23" t="n">
        <v>0.5</v>
      </c>
      <c r="AL695" s="23" t="n">
        <v>0</v>
      </c>
      <c r="AM695" s="16" t="n">
        <f aca="false">COUNTIFS($D$2:$D$2501,D695,$G$2:$G$2501,"&gt;"&amp;G695)+COUNTIFS($D$2:D695,D695,$G$2:G695,G695)</f>
        <v>75</v>
      </c>
      <c r="AN695" s="5" t="str">
        <f aca="false">D695&amp;"|"&amp;AM695</f>
        <v>實體擷取與去識別化|75</v>
      </c>
    </row>
    <row r="696" customFormat="false" ht="17.15" hidden="false" customHeight="false" outlineLevel="0" collapsed="false">
      <c r="A696" s="16" t="n">
        <f aca="false">RANK(G696,$G$2:$G$2501)+COUNTIF($G$2:G696,G696)-1</f>
        <v>695</v>
      </c>
      <c r="B696" s="11" t="s">
        <v>1898</v>
      </c>
      <c r="C696" s="11" t="s">
        <v>402</v>
      </c>
      <c r="D696" s="5" t="s">
        <v>58</v>
      </c>
      <c r="E696" s="5" t="s">
        <v>59</v>
      </c>
      <c r="F696" s="5"/>
      <c r="G696" s="22" t="n">
        <f aca="false">ROUND(SUM(I696:P696),3)</f>
        <v>66.782</v>
      </c>
      <c r="H696" s="5" t="str">
        <f aca="false">IF(G696&gt;=評分方法!$C$16,"優先評估",IF(G696&gt;=評分方法!$C$17,"列入候選",IF(G696&gt;=評分方法!$C$18,"特定情境","不建議")))</f>
        <v>特定情境</v>
      </c>
      <c r="I696" s="15" t="n">
        <f aca="false">AE696*評分方法!$C$5</f>
        <v>28.5</v>
      </c>
      <c r="J696" s="15" t="n">
        <f aca="false">AF696*評分方法!$C$6</f>
        <v>0</v>
      </c>
      <c r="K696" s="15" t="n">
        <f aca="false">AG696*評分方法!$C$7</f>
        <v>4.95</v>
      </c>
      <c r="L696" s="15" t="n">
        <f aca="false">AH696*評分方法!$C$8</f>
        <v>15</v>
      </c>
      <c r="M696" s="15" t="n">
        <f aca="false">AI696*評分方法!$C$9</f>
        <v>10</v>
      </c>
      <c r="N696" s="15" t="n">
        <f aca="false">AJ696*評分方法!$C$10</f>
        <v>5.832</v>
      </c>
      <c r="O696" s="15" t="n">
        <f aca="false">AK696*評分方法!$C$11</f>
        <v>2.5</v>
      </c>
      <c r="P696" s="15" t="n">
        <f aca="false">AL696*評分方法!$C$12</f>
        <v>0</v>
      </c>
      <c r="Q696" s="6" t="n">
        <v>600047</v>
      </c>
      <c r="R696" s="6" t="n">
        <v>395834371</v>
      </c>
      <c r="S696" s="11" t="s">
        <v>238</v>
      </c>
      <c r="T696" s="11" t="s">
        <v>239</v>
      </c>
      <c r="U696" s="5" t="s">
        <v>240</v>
      </c>
      <c r="V696" s="11" t="s">
        <v>261</v>
      </c>
      <c r="W696" s="5" t="s">
        <v>334</v>
      </c>
      <c r="X696" s="5" t="s">
        <v>242</v>
      </c>
      <c r="Y696" s="5"/>
      <c r="Z696" s="5"/>
      <c r="AA696" s="11" t="s">
        <v>150</v>
      </c>
      <c r="AB696" s="5" t="s">
        <v>245</v>
      </c>
      <c r="AC696" s="5"/>
      <c r="AD696" s="11" t="s">
        <v>1899</v>
      </c>
      <c r="AE696" s="23" t="n">
        <v>0.95</v>
      </c>
      <c r="AF696" s="23" t="n">
        <v>0</v>
      </c>
      <c r="AG696" s="23" t="n">
        <v>0.33</v>
      </c>
      <c r="AH696" s="23" t="n">
        <v>1</v>
      </c>
      <c r="AI696" s="23" t="n">
        <v>1</v>
      </c>
      <c r="AJ696" s="23" t="n">
        <v>0.5832</v>
      </c>
      <c r="AK696" s="23" t="n">
        <v>0.5</v>
      </c>
      <c r="AL696" s="23" t="n">
        <v>0</v>
      </c>
      <c r="AM696" s="16" t="n">
        <f aca="false">COUNTIFS($D$2:$D$2501,D696,$G$2:$G$2501,"&gt;"&amp;G696)+COUNTIFS($D$2:D696,D696,$G$2:G696,G696)</f>
        <v>76</v>
      </c>
      <c r="AN696" s="5" t="str">
        <f aca="false">D696&amp;"|"&amp;AM696</f>
        <v>實體擷取與去識別化|76</v>
      </c>
    </row>
    <row r="697" customFormat="false" ht="17.15" hidden="false" customHeight="false" outlineLevel="0" collapsed="false">
      <c r="A697" s="16" t="n">
        <f aca="false">RANK(G697,$G$2:$G$2501)+COUNTIF($G$2:G697,G697)-1</f>
        <v>696</v>
      </c>
      <c r="B697" s="11" t="s">
        <v>1900</v>
      </c>
      <c r="C697" s="11" t="s">
        <v>402</v>
      </c>
      <c r="D697" s="5" t="s">
        <v>58</v>
      </c>
      <c r="E697" s="5" t="s">
        <v>59</v>
      </c>
      <c r="F697" s="5"/>
      <c r="G697" s="22" t="n">
        <f aca="false">ROUND(SUM(I697:P697),3)</f>
        <v>66.778</v>
      </c>
      <c r="H697" s="5" t="str">
        <f aca="false">IF(G697&gt;=評分方法!$C$16,"優先評估",IF(G697&gt;=評分方法!$C$17,"列入候選",IF(G697&gt;=評分方法!$C$18,"特定情境","不建議")))</f>
        <v>特定情境</v>
      </c>
      <c r="I697" s="15" t="n">
        <f aca="false">AE697*評分方法!$C$5</f>
        <v>28.5</v>
      </c>
      <c r="J697" s="15" t="n">
        <f aca="false">AF697*評分方法!$C$6</f>
        <v>0</v>
      </c>
      <c r="K697" s="15" t="n">
        <f aca="false">AG697*評分方法!$C$7</f>
        <v>4.95</v>
      </c>
      <c r="L697" s="15" t="n">
        <f aca="false">AH697*評分方法!$C$8</f>
        <v>15</v>
      </c>
      <c r="M697" s="15" t="n">
        <f aca="false">AI697*評分方法!$C$9</f>
        <v>10</v>
      </c>
      <c r="N697" s="15" t="n">
        <f aca="false">AJ697*評分方法!$C$10</f>
        <v>5.828</v>
      </c>
      <c r="O697" s="15" t="n">
        <f aca="false">AK697*評分方法!$C$11</f>
        <v>2.5</v>
      </c>
      <c r="P697" s="15" t="n">
        <f aca="false">AL697*評分方法!$C$12</f>
        <v>0</v>
      </c>
      <c r="Q697" s="6" t="n">
        <v>597880</v>
      </c>
      <c r="R697" s="6" t="n">
        <v>134736387</v>
      </c>
      <c r="S697" s="11" t="s">
        <v>238</v>
      </c>
      <c r="T697" s="11" t="s">
        <v>239</v>
      </c>
      <c r="U697" s="5" t="s">
        <v>240</v>
      </c>
      <c r="V697" s="11" t="s">
        <v>261</v>
      </c>
      <c r="W697" s="5" t="s">
        <v>334</v>
      </c>
      <c r="X697" s="5" t="s">
        <v>242</v>
      </c>
      <c r="Y697" s="5"/>
      <c r="Z697" s="5"/>
      <c r="AA697" s="11" t="s">
        <v>150</v>
      </c>
      <c r="AB697" s="5" t="s">
        <v>245</v>
      </c>
      <c r="AC697" s="5"/>
      <c r="AD697" s="11" t="s">
        <v>1901</v>
      </c>
      <c r="AE697" s="23" t="n">
        <v>0.95</v>
      </c>
      <c r="AF697" s="23" t="n">
        <v>0</v>
      </c>
      <c r="AG697" s="23" t="n">
        <v>0.33</v>
      </c>
      <c r="AH697" s="23" t="n">
        <v>1</v>
      </c>
      <c r="AI697" s="23" t="n">
        <v>1</v>
      </c>
      <c r="AJ697" s="23" t="n">
        <v>0.5828</v>
      </c>
      <c r="AK697" s="23" t="n">
        <v>0.5</v>
      </c>
      <c r="AL697" s="23" t="n">
        <v>0</v>
      </c>
      <c r="AM697" s="16" t="n">
        <f aca="false">COUNTIFS($D$2:$D$2501,D697,$G$2:$G$2501,"&gt;"&amp;G697)+COUNTIFS($D$2:D697,D697,$G$2:G697,G697)</f>
        <v>77</v>
      </c>
      <c r="AN697" s="5" t="str">
        <f aca="false">D697&amp;"|"&amp;AM697</f>
        <v>實體擷取與去識別化|77</v>
      </c>
    </row>
    <row r="698" customFormat="false" ht="17.15" hidden="false" customHeight="false" outlineLevel="0" collapsed="false">
      <c r="A698" s="16" t="n">
        <f aca="false">RANK(G698,$G$2:$G$2501)+COUNTIF($G$2:G698,G698)-1</f>
        <v>697</v>
      </c>
      <c r="B698" s="11" t="s">
        <v>1902</v>
      </c>
      <c r="C698" s="11" t="s">
        <v>327</v>
      </c>
      <c r="D698" s="5" t="s">
        <v>56</v>
      </c>
      <c r="E698" s="5" t="s">
        <v>57</v>
      </c>
      <c r="F698" s="5"/>
      <c r="G698" s="22" t="n">
        <f aca="false">ROUND(SUM(I698:P698),3)</f>
        <v>66.776</v>
      </c>
      <c r="H698" s="5" t="str">
        <f aca="false">IF(G698&gt;=評分方法!$C$16,"優先評估",IF(G698&gt;=評分方法!$C$17,"列入候選",IF(G698&gt;=評分方法!$C$18,"特定情境","不建議")))</f>
        <v>特定情境</v>
      </c>
      <c r="I698" s="15" t="n">
        <f aca="false">AE698*評分方法!$C$5</f>
        <v>25.5</v>
      </c>
      <c r="J698" s="15" t="n">
        <f aca="false">AF698*評分方法!$C$6</f>
        <v>0</v>
      </c>
      <c r="K698" s="15" t="n">
        <f aca="false">AG698*評分方法!$C$7</f>
        <v>15</v>
      </c>
      <c r="L698" s="15" t="n">
        <f aca="false">AH698*評分方法!$C$8</f>
        <v>9</v>
      </c>
      <c r="M698" s="15" t="n">
        <f aca="false">AI698*評分方法!$C$9</f>
        <v>6</v>
      </c>
      <c r="N698" s="15" t="n">
        <f aca="false">AJ698*評分方法!$C$10</f>
        <v>3.276</v>
      </c>
      <c r="O698" s="15" t="n">
        <f aca="false">AK698*評分方法!$C$11</f>
        <v>5</v>
      </c>
      <c r="P698" s="15" t="n">
        <f aca="false">AL698*評分方法!$C$12</f>
        <v>3</v>
      </c>
      <c r="Q698" s="6" t="n">
        <v>328195</v>
      </c>
      <c r="R698" s="6" t="n">
        <v>13181860352</v>
      </c>
      <c r="S698" s="11" t="s">
        <v>389</v>
      </c>
      <c r="T698" s="11" t="s">
        <v>185</v>
      </c>
      <c r="U698" s="5" t="s">
        <v>260</v>
      </c>
      <c r="V698" s="11" t="s">
        <v>261</v>
      </c>
      <c r="W698" s="5" t="s">
        <v>205</v>
      </c>
      <c r="X698" s="5" t="s">
        <v>371</v>
      </c>
      <c r="Y698" s="5"/>
      <c r="Z698" s="5"/>
      <c r="AA698" s="11" t="s">
        <v>156</v>
      </c>
      <c r="AB698" s="5" t="s">
        <v>245</v>
      </c>
      <c r="AC698" s="5" t="s">
        <v>262</v>
      </c>
      <c r="AD698" s="11" t="s">
        <v>1903</v>
      </c>
      <c r="AE698" s="23" t="n">
        <v>0.85</v>
      </c>
      <c r="AF698" s="23" t="n">
        <v>0</v>
      </c>
      <c r="AG698" s="23" t="n">
        <v>1</v>
      </c>
      <c r="AH698" s="23" t="n">
        <v>0.6</v>
      </c>
      <c r="AI698" s="23" t="n">
        <v>0.6</v>
      </c>
      <c r="AJ698" s="23" t="n">
        <v>0.3276</v>
      </c>
      <c r="AK698" s="23" t="n">
        <v>1</v>
      </c>
      <c r="AL698" s="23" t="n">
        <v>0.6</v>
      </c>
      <c r="AM698" s="16" t="n">
        <f aca="false">COUNTIFS($D$2:$D$2501,D698,$G$2:$G$2501,"&gt;"&amp;G698)+COUNTIFS($D$2:D698,D698,$G$2:G698,G698)</f>
        <v>367</v>
      </c>
      <c r="AN698" s="5" t="str">
        <f aca="false">D698&amp;"|"&amp;AM698</f>
        <v>分析與報告生成|367</v>
      </c>
    </row>
    <row r="699" customFormat="false" ht="17.15" hidden="false" customHeight="false" outlineLevel="0" collapsed="false">
      <c r="A699" s="16" t="n">
        <f aca="false">RANK(G699,$G$2:$G$2501)+COUNTIF($G$2:G699,G699)-1</f>
        <v>698</v>
      </c>
      <c r="B699" s="11" t="s">
        <v>1904</v>
      </c>
      <c r="C699" s="11" t="s">
        <v>402</v>
      </c>
      <c r="D699" s="5" t="s">
        <v>58</v>
      </c>
      <c r="E699" s="5" t="s">
        <v>59</v>
      </c>
      <c r="F699" s="5"/>
      <c r="G699" s="22" t="n">
        <f aca="false">ROUND(SUM(I699:P699),3)</f>
        <v>66.774</v>
      </c>
      <c r="H699" s="5" t="str">
        <f aca="false">IF(G699&gt;=評分方法!$C$16,"優先評估",IF(G699&gt;=評分方法!$C$17,"列入候選",IF(G699&gt;=評分方法!$C$18,"特定情境","不建議")))</f>
        <v>特定情境</v>
      </c>
      <c r="I699" s="15" t="n">
        <f aca="false">AE699*評分方法!$C$5</f>
        <v>28.5</v>
      </c>
      <c r="J699" s="15" t="n">
        <f aca="false">AF699*評分方法!$C$6</f>
        <v>0</v>
      </c>
      <c r="K699" s="15" t="n">
        <f aca="false">AG699*評分方法!$C$7</f>
        <v>4.95</v>
      </c>
      <c r="L699" s="15" t="n">
        <f aca="false">AH699*評分方法!$C$8</f>
        <v>15</v>
      </c>
      <c r="M699" s="15" t="n">
        <f aca="false">AI699*評分方法!$C$9</f>
        <v>10</v>
      </c>
      <c r="N699" s="15" t="n">
        <f aca="false">AJ699*評分方法!$C$10</f>
        <v>5.824</v>
      </c>
      <c r="O699" s="15" t="n">
        <f aca="false">AK699*評分方法!$C$11</f>
        <v>2.5</v>
      </c>
      <c r="P699" s="15" t="n">
        <f aca="false">AL699*評分方法!$C$12</f>
        <v>0</v>
      </c>
      <c r="Q699" s="6" t="n">
        <v>597258</v>
      </c>
      <c r="R699" s="6" t="n">
        <v>395834371</v>
      </c>
      <c r="S699" s="11" t="s">
        <v>238</v>
      </c>
      <c r="T699" s="11" t="s">
        <v>239</v>
      </c>
      <c r="U699" s="5" t="s">
        <v>240</v>
      </c>
      <c r="V699" s="11" t="s">
        <v>261</v>
      </c>
      <c r="W699" s="5" t="s">
        <v>334</v>
      </c>
      <c r="X699" s="5" t="s">
        <v>242</v>
      </c>
      <c r="Y699" s="5"/>
      <c r="Z699" s="5"/>
      <c r="AA699" s="11" t="s">
        <v>150</v>
      </c>
      <c r="AB699" s="5" t="s">
        <v>245</v>
      </c>
      <c r="AC699" s="5"/>
      <c r="AD699" s="11" t="s">
        <v>1905</v>
      </c>
      <c r="AE699" s="23" t="n">
        <v>0.95</v>
      </c>
      <c r="AF699" s="23" t="n">
        <v>0</v>
      </c>
      <c r="AG699" s="23" t="n">
        <v>0.33</v>
      </c>
      <c r="AH699" s="23" t="n">
        <v>1</v>
      </c>
      <c r="AI699" s="23" t="n">
        <v>1</v>
      </c>
      <c r="AJ699" s="23" t="n">
        <v>0.5824</v>
      </c>
      <c r="AK699" s="23" t="n">
        <v>0.5</v>
      </c>
      <c r="AL699" s="23" t="n">
        <v>0</v>
      </c>
      <c r="AM699" s="16" t="n">
        <f aca="false">COUNTIFS($D$2:$D$2501,D699,$G$2:$G$2501,"&gt;"&amp;G699)+COUNTIFS($D$2:D699,D699,$G$2:G699,G699)</f>
        <v>78</v>
      </c>
      <c r="AN699" s="5" t="str">
        <f aca="false">D699&amp;"|"&amp;AM699</f>
        <v>實體擷取與去識別化|78</v>
      </c>
    </row>
    <row r="700" customFormat="false" ht="17.15" hidden="false" customHeight="false" outlineLevel="0" collapsed="false">
      <c r="A700" s="16" t="n">
        <f aca="false">RANK(G700,$G$2:$G$2501)+COUNTIF($G$2:G700,G700)-1</f>
        <v>699</v>
      </c>
      <c r="B700" s="11" t="s">
        <v>1906</v>
      </c>
      <c r="C700" s="11" t="s">
        <v>402</v>
      </c>
      <c r="D700" s="5" t="s">
        <v>58</v>
      </c>
      <c r="E700" s="5" t="s">
        <v>59</v>
      </c>
      <c r="F700" s="5"/>
      <c r="G700" s="22" t="n">
        <f aca="false">ROUND(SUM(I700:P700),3)</f>
        <v>66.77</v>
      </c>
      <c r="H700" s="5" t="str">
        <f aca="false">IF(G700&gt;=評分方法!$C$16,"優先評估",IF(G700&gt;=評分方法!$C$17,"列入候選",IF(G700&gt;=評分方法!$C$18,"特定情境","不建議")))</f>
        <v>特定情境</v>
      </c>
      <c r="I700" s="15" t="n">
        <f aca="false">AE700*評分方法!$C$5</f>
        <v>28.5</v>
      </c>
      <c r="J700" s="15" t="n">
        <f aca="false">AF700*評分方法!$C$6</f>
        <v>0</v>
      </c>
      <c r="K700" s="15" t="n">
        <f aca="false">AG700*評分方法!$C$7</f>
        <v>4.95</v>
      </c>
      <c r="L700" s="15" t="n">
        <f aca="false">AH700*評分方法!$C$8</f>
        <v>15</v>
      </c>
      <c r="M700" s="15" t="n">
        <f aca="false">AI700*評分方法!$C$9</f>
        <v>10</v>
      </c>
      <c r="N700" s="15" t="n">
        <f aca="false">AJ700*評分方法!$C$10</f>
        <v>5.82</v>
      </c>
      <c r="O700" s="15" t="n">
        <f aca="false">AK700*評分方法!$C$11</f>
        <v>2.5</v>
      </c>
      <c r="P700" s="15" t="n">
        <f aca="false">AL700*評分方法!$C$12</f>
        <v>0</v>
      </c>
      <c r="Q700" s="6" t="n">
        <v>597078</v>
      </c>
      <c r="R700" s="6" t="n">
        <v>566708227</v>
      </c>
      <c r="S700" s="11" t="s">
        <v>238</v>
      </c>
      <c r="T700" s="11" t="s">
        <v>239</v>
      </c>
      <c r="U700" s="5" t="s">
        <v>240</v>
      </c>
      <c r="V700" s="11" t="s">
        <v>261</v>
      </c>
      <c r="W700" s="5" t="s">
        <v>334</v>
      </c>
      <c r="X700" s="5" t="s">
        <v>242</v>
      </c>
      <c r="Y700" s="5"/>
      <c r="Z700" s="5"/>
      <c r="AA700" s="11" t="s">
        <v>150</v>
      </c>
      <c r="AB700" s="5" t="s">
        <v>245</v>
      </c>
      <c r="AC700" s="5"/>
      <c r="AD700" s="11" t="s">
        <v>1907</v>
      </c>
      <c r="AE700" s="23" t="n">
        <v>0.95</v>
      </c>
      <c r="AF700" s="23" t="n">
        <v>0</v>
      </c>
      <c r="AG700" s="23" t="n">
        <v>0.33</v>
      </c>
      <c r="AH700" s="23" t="n">
        <v>1</v>
      </c>
      <c r="AI700" s="23" t="n">
        <v>1</v>
      </c>
      <c r="AJ700" s="23" t="n">
        <v>0.582</v>
      </c>
      <c r="AK700" s="23" t="n">
        <v>0.5</v>
      </c>
      <c r="AL700" s="23" t="n">
        <v>0</v>
      </c>
      <c r="AM700" s="16" t="n">
        <f aca="false">COUNTIFS($D$2:$D$2501,D700,$G$2:$G$2501,"&gt;"&amp;G700)+COUNTIFS($D$2:D700,D700,$G$2:G700,G700)</f>
        <v>79</v>
      </c>
      <c r="AN700" s="5" t="str">
        <f aca="false">D700&amp;"|"&amp;AM700</f>
        <v>實體擷取與去識別化|79</v>
      </c>
    </row>
    <row r="701" customFormat="false" ht="17.15" hidden="false" customHeight="false" outlineLevel="0" collapsed="false">
      <c r="A701" s="16" t="n">
        <f aca="false">RANK(G701,$G$2:$G$2501)+COUNTIF($G$2:G701,G701)-1</f>
        <v>700</v>
      </c>
      <c r="B701" s="11" t="s">
        <v>1908</v>
      </c>
      <c r="C701" s="11" t="s">
        <v>712</v>
      </c>
      <c r="D701" s="5" t="s">
        <v>56</v>
      </c>
      <c r="E701" s="5" t="s">
        <v>57</v>
      </c>
      <c r="F701" s="5"/>
      <c r="G701" s="22" t="n">
        <f aca="false">ROUND(SUM(I701:P701),3)</f>
        <v>66.768</v>
      </c>
      <c r="H701" s="5" t="str">
        <f aca="false">IF(G701&gt;=評分方法!$C$16,"優先評估",IF(G701&gt;=評分方法!$C$17,"列入候選",IF(G701&gt;=評分方法!$C$18,"特定情境","不建議")))</f>
        <v>特定情境</v>
      </c>
      <c r="I701" s="15" t="n">
        <f aca="false">AE701*評分方法!$C$5</f>
        <v>18</v>
      </c>
      <c r="J701" s="15" t="n">
        <f aca="false">AF701*評分方法!$C$6</f>
        <v>0</v>
      </c>
      <c r="K701" s="15" t="n">
        <f aca="false">AG701*評分方法!$C$7</f>
        <v>15</v>
      </c>
      <c r="L701" s="15" t="n">
        <f aca="false">AH701*評分方法!$C$8</f>
        <v>15</v>
      </c>
      <c r="M701" s="15" t="n">
        <f aca="false">AI701*評分方法!$C$9</f>
        <v>10</v>
      </c>
      <c r="N701" s="15" t="n">
        <f aca="false">AJ701*評分方法!$C$10</f>
        <v>7.768</v>
      </c>
      <c r="O701" s="15" t="n">
        <f aca="false">AK701*評分方法!$C$11</f>
        <v>1</v>
      </c>
      <c r="P701" s="15" t="n">
        <f aca="false">AL701*評分方法!$C$12</f>
        <v>0</v>
      </c>
      <c r="Q701" s="6" t="n">
        <v>1344657</v>
      </c>
      <c r="R701" s="6" t="n">
        <v>65192450</v>
      </c>
      <c r="S701" s="11" t="s">
        <v>238</v>
      </c>
      <c r="T701" s="11" t="s">
        <v>239</v>
      </c>
      <c r="U701" s="5" t="s">
        <v>240</v>
      </c>
      <c r="V701" s="11" t="s">
        <v>855</v>
      </c>
      <c r="W701" s="5" t="s">
        <v>205</v>
      </c>
      <c r="X701" s="5" t="s">
        <v>242</v>
      </c>
      <c r="Y701" s="5"/>
      <c r="Z701" s="5"/>
      <c r="AA701" s="11" t="s">
        <v>159</v>
      </c>
      <c r="AB701" s="5" t="s">
        <v>245</v>
      </c>
      <c r="AC701" s="5"/>
      <c r="AD701" s="11" t="s">
        <v>1909</v>
      </c>
      <c r="AE701" s="23" t="n">
        <v>0.6</v>
      </c>
      <c r="AF701" s="23" t="n">
        <v>0</v>
      </c>
      <c r="AG701" s="23" t="n">
        <v>1</v>
      </c>
      <c r="AH701" s="23" t="n">
        <v>1</v>
      </c>
      <c r="AI701" s="23" t="n">
        <v>1</v>
      </c>
      <c r="AJ701" s="23" t="n">
        <v>0.7768</v>
      </c>
      <c r="AK701" s="23" t="n">
        <v>0.2</v>
      </c>
      <c r="AL701" s="23" t="n">
        <v>0</v>
      </c>
      <c r="AM701" s="16" t="n">
        <f aca="false">COUNTIFS($D$2:$D$2501,D701,$G$2:$G$2501,"&gt;"&amp;G701)+COUNTIFS($D$2:D701,D701,$G$2:G701,G701)</f>
        <v>368</v>
      </c>
      <c r="AN701" s="5" t="str">
        <f aca="false">D701&amp;"|"&amp;AM701</f>
        <v>分析與報告生成|368</v>
      </c>
    </row>
    <row r="702" customFormat="false" ht="17.15" hidden="false" customHeight="false" outlineLevel="0" collapsed="false">
      <c r="A702" s="16" t="n">
        <f aca="false">RANK(G702,$G$2:$G$2501)+COUNTIF($G$2:G702,G702)-1</f>
        <v>701</v>
      </c>
      <c r="B702" s="11" t="s">
        <v>1910</v>
      </c>
      <c r="C702" s="11" t="s">
        <v>402</v>
      </c>
      <c r="D702" s="5" t="s">
        <v>58</v>
      </c>
      <c r="E702" s="5" t="s">
        <v>59</v>
      </c>
      <c r="F702" s="5"/>
      <c r="G702" s="22" t="n">
        <f aca="false">ROUND(SUM(I702:P702),3)</f>
        <v>66.75</v>
      </c>
      <c r="H702" s="5" t="str">
        <f aca="false">IF(G702&gt;=評分方法!$C$16,"優先評估",IF(G702&gt;=評分方法!$C$17,"列入候選",IF(G702&gt;=評分方法!$C$18,"特定情境","不建議")))</f>
        <v>特定情境</v>
      </c>
      <c r="I702" s="15" t="n">
        <f aca="false">AE702*評分方法!$C$5</f>
        <v>28.5</v>
      </c>
      <c r="J702" s="15" t="n">
        <f aca="false">AF702*評分方法!$C$6</f>
        <v>0</v>
      </c>
      <c r="K702" s="15" t="n">
        <f aca="false">AG702*評分方法!$C$7</f>
        <v>4.95</v>
      </c>
      <c r="L702" s="15" t="n">
        <f aca="false">AH702*評分方法!$C$8</f>
        <v>15</v>
      </c>
      <c r="M702" s="15" t="n">
        <f aca="false">AI702*評分方法!$C$9</f>
        <v>10</v>
      </c>
      <c r="N702" s="15" t="n">
        <f aca="false">AJ702*評分方法!$C$10</f>
        <v>5.8</v>
      </c>
      <c r="O702" s="15" t="n">
        <f aca="false">AK702*評分方法!$C$11</f>
        <v>2.5</v>
      </c>
      <c r="P702" s="15" t="n">
        <f aca="false">AL702*評分方法!$C$12</f>
        <v>0</v>
      </c>
      <c r="Q702" s="6" t="n">
        <v>595370</v>
      </c>
      <c r="R702" s="6" t="n">
        <v>558852107</v>
      </c>
      <c r="S702" s="11" t="s">
        <v>238</v>
      </c>
      <c r="T702" s="11" t="s">
        <v>239</v>
      </c>
      <c r="U702" s="5" t="s">
        <v>240</v>
      </c>
      <c r="V702" s="11" t="s">
        <v>261</v>
      </c>
      <c r="W702" s="5" t="s">
        <v>334</v>
      </c>
      <c r="X702" s="5" t="s">
        <v>242</v>
      </c>
      <c r="Y702" s="5"/>
      <c r="Z702" s="5"/>
      <c r="AA702" s="11" t="s">
        <v>150</v>
      </c>
      <c r="AB702" s="5" t="s">
        <v>245</v>
      </c>
      <c r="AC702" s="5"/>
      <c r="AD702" s="11" t="s">
        <v>1911</v>
      </c>
      <c r="AE702" s="23" t="n">
        <v>0.95</v>
      </c>
      <c r="AF702" s="23" t="n">
        <v>0</v>
      </c>
      <c r="AG702" s="23" t="n">
        <v>0.33</v>
      </c>
      <c r="AH702" s="23" t="n">
        <v>1</v>
      </c>
      <c r="AI702" s="23" t="n">
        <v>1</v>
      </c>
      <c r="AJ702" s="23" t="n">
        <v>0.58</v>
      </c>
      <c r="AK702" s="23" t="n">
        <v>0.5</v>
      </c>
      <c r="AL702" s="23" t="n">
        <v>0</v>
      </c>
      <c r="AM702" s="16" t="n">
        <f aca="false">COUNTIFS($D$2:$D$2501,D702,$G$2:$G$2501,"&gt;"&amp;G702)+COUNTIFS($D$2:D702,D702,$G$2:G702,G702)</f>
        <v>80</v>
      </c>
      <c r="AN702" s="5" t="str">
        <f aca="false">D702&amp;"|"&amp;AM702</f>
        <v>實體擷取與去識別化|80</v>
      </c>
    </row>
    <row r="703" customFormat="false" ht="17.15" hidden="false" customHeight="false" outlineLevel="0" collapsed="false">
      <c r="A703" s="16" t="n">
        <f aca="false">RANK(G703,$G$2:$G$2501)+COUNTIF($G$2:G703,G703)-1</f>
        <v>702</v>
      </c>
      <c r="B703" s="11" t="s">
        <v>1912</v>
      </c>
      <c r="C703" s="11" t="s">
        <v>402</v>
      </c>
      <c r="D703" s="5" t="s">
        <v>58</v>
      </c>
      <c r="E703" s="5" t="s">
        <v>59</v>
      </c>
      <c r="F703" s="5"/>
      <c r="G703" s="22" t="n">
        <f aca="false">ROUND(SUM(I703:P703),3)</f>
        <v>66.746</v>
      </c>
      <c r="H703" s="5" t="str">
        <f aca="false">IF(G703&gt;=評分方法!$C$16,"優先評估",IF(G703&gt;=評分方法!$C$17,"列入候選",IF(G703&gt;=評分方法!$C$18,"特定情境","不建議")))</f>
        <v>特定情境</v>
      </c>
      <c r="I703" s="15" t="n">
        <f aca="false">AE703*評分方法!$C$5</f>
        <v>28.5</v>
      </c>
      <c r="J703" s="15" t="n">
        <f aca="false">AF703*評分方法!$C$6</f>
        <v>0</v>
      </c>
      <c r="K703" s="15" t="n">
        <f aca="false">AG703*評分方法!$C$7</f>
        <v>4.95</v>
      </c>
      <c r="L703" s="15" t="n">
        <f aca="false">AH703*評分方法!$C$8</f>
        <v>15</v>
      </c>
      <c r="M703" s="15" t="n">
        <f aca="false">AI703*評分方法!$C$9</f>
        <v>10</v>
      </c>
      <c r="N703" s="15" t="n">
        <f aca="false">AJ703*評分方法!$C$10</f>
        <v>5.796</v>
      </c>
      <c r="O703" s="15" t="n">
        <f aca="false">AK703*評分方法!$C$11</f>
        <v>2.5</v>
      </c>
      <c r="P703" s="15" t="n">
        <f aca="false">AL703*評分方法!$C$12</f>
        <v>0</v>
      </c>
      <c r="Q703" s="6" t="n">
        <v>595213</v>
      </c>
      <c r="R703" s="6" t="n">
        <v>354313219</v>
      </c>
      <c r="S703" s="11" t="s">
        <v>238</v>
      </c>
      <c r="T703" s="11" t="s">
        <v>239</v>
      </c>
      <c r="U703" s="5" t="s">
        <v>240</v>
      </c>
      <c r="V703" s="11" t="s">
        <v>261</v>
      </c>
      <c r="W703" s="5" t="s">
        <v>334</v>
      </c>
      <c r="X703" s="5" t="s">
        <v>242</v>
      </c>
      <c r="Y703" s="5"/>
      <c r="Z703" s="5"/>
      <c r="AA703" s="11" t="s">
        <v>150</v>
      </c>
      <c r="AB703" s="5" t="s">
        <v>245</v>
      </c>
      <c r="AC703" s="5"/>
      <c r="AD703" s="11" t="s">
        <v>1913</v>
      </c>
      <c r="AE703" s="23" t="n">
        <v>0.95</v>
      </c>
      <c r="AF703" s="23" t="n">
        <v>0</v>
      </c>
      <c r="AG703" s="23" t="n">
        <v>0.33</v>
      </c>
      <c r="AH703" s="23" t="n">
        <v>1</v>
      </c>
      <c r="AI703" s="23" t="n">
        <v>1</v>
      </c>
      <c r="AJ703" s="23" t="n">
        <v>0.5796</v>
      </c>
      <c r="AK703" s="23" t="n">
        <v>0.5</v>
      </c>
      <c r="AL703" s="23" t="n">
        <v>0</v>
      </c>
      <c r="AM703" s="16" t="n">
        <f aca="false">COUNTIFS($D$2:$D$2501,D703,$G$2:$G$2501,"&gt;"&amp;G703)+COUNTIFS($D$2:D703,D703,$G$2:G703,G703)</f>
        <v>81</v>
      </c>
      <c r="AN703" s="5" t="str">
        <f aca="false">D703&amp;"|"&amp;AM703</f>
        <v>實體擷取與去識別化|81</v>
      </c>
    </row>
    <row r="704" customFormat="false" ht="17.15" hidden="false" customHeight="false" outlineLevel="0" collapsed="false">
      <c r="A704" s="16" t="n">
        <f aca="false">RANK(G704,$G$2:$G$2501)+COUNTIF($G$2:G704,G704)-1</f>
        <v>703</v>
      </c>
      <c r="B704" s="11" t="s">
        <v>1914</v>
      </c>
      <c r="C704" s="11" t="s">
        <v>402</v>
      </c>
      <c r="D704" s="5" t="s">
        <v>58</v>
      </c>
      <c r="E704" s="5" t="s">
        <v>59</v>
      </c>
      <c r="F704" s="5"/>
      <c r="G704" s="22" t="n">
        <f aca="false">ROUND(SUM(I704:P704),3)</f>
        <v>66.742</v>
      </c>
      <c r="H704" s="5" t="str">
        <f aca="false">IF(G704&gt;=評分方法!$C$16,"優先評估",IF(G704&gt;=評分方法!$C$17,"列入候選",IF(G704&gt;=評分方法!$C$18,"特定情境","不建議")))</f>
        <v>特定情境</v>
      </c>
      <c r="I704" s="15" t="n">
        <f aca="false">AE704*評分方法!$C$5</f>
        <v>28.5</v>
      </c>
      <c r="J704" s="15" t="n">
        <f aca="false">AF704*評分方法!$C$6</f>
        <v>0</v>
      </c>
      <c r="K704" s="15" t="n">
        <f aca="false">AG704*評分方法!$C$7</f>
        <v>4.95</v>
      </c>
      <c r="L704" s="15" t="n">
        <f aca="false">AH704*評分方法!$C$8</f>
        <v>15</v>
      </c>
      <c r="M704" s="15" t="n">
        <f aca="false">AI704*評分方法!$C$9</f>
        <v>10</v>
      </c>
      <c r="N704" s="15" t="n">
        <f aca="false">AJ704*評分方法!$C$10</f>
        <v>5.792</v>
      </c>
      <c r="O704" s="15" t="n">
        <f aca="false">AK704*評分方法!$C$11</f>
        <v>2.5</v>
      </c>
      <c r="P704" s="15" t="n">
        <f aca="false">AL704*評分方法!$C$12</f>
        <v>0</v>
      </c>
      <c r="Q704" s="6" t="n">
        <v>595068</v>
      </c>
      <c r="R704" s="6" t="n">
        <v>107728139</v>
      </c>
      <c r="S704" s="11" t="s">
        <v>238</v>
      </c>
      <c r="T704" s="11" t="s">
        <v>239</v>
      </c>
      <c r="U704" s="5" t="s">
        <v>240</v>
      </c>
      <c r="V704" s="11" t="s">
        <v>261</v>
      </c>
      <c r="W704" s="5" t="s">
        <v>334</v>
      </c>
      <c r="X704" s="5" t="s">
        <v>242</v>
      </c>
      <c r="Y704" s="5"/>
      <c r="Z704" s="5"/>
      <c r="AA704" s="11" t="s">
        <v>150</v>
      </c>
      <c r="AB704" s="5" t="s">
        <v>245</v>
      </c>
      <c r="AC704" s="5"/>
      <c r="AD704" s="11" t="s">
        <v>1915</v>
      </c>
      <c r="AE704" s="23" t="n">
        <v>0.95</v>
      </c>
      <c r="AF704" s="23" t="n">
        <v>0</v>
      </c>
      <c r="AG704" s="23" t="n">
        <v>0.33</v>
      </c>
      <c r="AH704" s="23" t="n">
        <v>1</v>
      </c>
      <c r="AI704" s="23" t="n">
        <v>1</v>
      </c>
      <c r="AJ704" s="23" t="n">
        <v>0.5792</v>
      </c>
      <c r="AK704" s="23" t="n">
        <v>0.5</v>
      </c>
      <c r="AL704" s="23" t="n">
        <v>0</v>
      </c>
      <c r="AM704" s="16" t="n">
        <f aca="false">COUNTIFS($D$2:$D$2501,D704,$G$2:$G$2501,"&gt;"&amp;G704)+COUNTIFS($D$2:D704,D704,$G$2:G704,G704)</f>
        <v>82</v>
      </c>
      <c r="AN704" s="5" t="str">
        <f aca="false">D704&amp;"|"&amp;AM704</f>
        <v>實體擷取與去識別化|82</v>
      </c>
    </row>
    <row r="705" customFormat="false" ht="17.15" hidden="false" customHeight="false" outlineLevel="0" collapsed="false">
      <c r="A705" s="16" t="n">
        <f aca="false">RANK(G705,$G$2:$G$2501)+COUNTIF($G$2:G705,G705)-1</f>
        <v>704</v>
      </c>
      <c r="B705" s="11" t="s">
        <v>1916</v>
      </c>
      <c r="C705" s="11" t="s">
        <v>1917</v>
      </c>
      <c r="D705" s="5" t="s">
        <v>66</v>
      </c>
      <c r="E705" s="5" t="s">
        <v>67</v>
      </c>
      <c r="F705" s="5"/>
      <c r="G705" s="22" t="n">
        <f aca="false">ROUND(SUM(I705:P705),3)</f>
        <v>66.742</v>
      </c>
      <c r="H705" s="5" t="str">
        <f aca="false">IF(G705&gt;=評分方法!$C$16,"優先評估",IF(G705&gt;=評分方法!$C$17,"列入候選",IF(G705&gt;=評分方法!$C$18,"特定情境","不建議")))</f>
        <v>特定情境</v>
      </c>
      <c r="I705" s="15" t="n">
        <f aca="false">AE705*評分方法!$C$5</f>
        <v>30</v>
      </c>
      <c r="J705" s="15" t="n">
        <f aca="false">AF705*評分方法!$C$6</f>
        <v>0</v>
      </c>
      <c r="K705" s="15" t="n">
        <f aca="false">AG705*評分方法!$C$7</f>
        <v>4.95</v>
      </c>
      <c r="L705" s="15" t="n">
        <f aca="false">AH705*評分方法!$C$8</f>
        <v>15</v>
      </c>
      <c r="M705" s="15" t="n">
        <f aca="false">AI705*評分方法!$C$9</f>
        <v>10</v>
      </c>
      <c r="N705" s="15" t="n">
        <f aca="false">AJ705*評分方法!$C$10</f>
        <v>0.792</v>
      </c>
      <c r="O705" s="15" t="n">
        <f aca="false">AK705*評分方法!$C$11</f>
        <v>1</v>
      </c>
      <c r="P705" s="15" t="n">
        <f aca="false">AL705*評分方法!$C$12</f>
        <v>5</v>
      </c>
      <c r="Q705" s="6" t="n">
        <v>146263</v>
      </c>
      <c r="R705" s="6" t="n">
        <v>278045700</v>
      </c>
      <c r="S705" s="11" t="s">
        <v>238</v>
      </c>
      <c r="T705" s="11" t="s">
        <v>239</v>
      </c>
      <c r="U705" s="5" t="s">
        <v>240</v>
      </c>
      <c r="V705" s="11" t="s">
        <v>324</v>
      </c>
      <c r="W705" s="5" t="s">
        <v>334</v>
      </c>
      <c r="X705" s="5" t="s">
        <v>284</v>
      </c>
      <c r="Y705" s="5"/>
      <c r="Z705" s="5"/>
      <c r="AA705" s="11" t="s">
        <v>149</v>
      </c>
      <c r="AB705" s="5" t="s">
        <v>245</v>
      </c>
      <c r="AC705" s="5"/>
      <c r="AD705" s="11" t="s">
        <v>1918</v>
      </c>
      <c r="AE705" s="23" t="n">
        <v>1</v>
      </c>
      <c r="AF705" s="23" t="n">
        <v>0</v>
      </c>
      <c r="AG705" s="23" t="n">
        <v>0.33</v>
      </c>
      <c r="AH705" s="23" t="n">
        <v>1</v>
      </c>
      <c r="AI705" s="23" t="n">
        <v>1</v>
      </c>
      <c r="AJ705" s="23" t="n">
        <v>0.0792</v>
      </c>
      <c r="AK705" s="23" t="n">
        <v>0.2</v>
      </c>
      <c r="AL705" s="23" t="n">
        <v>1</v>
      </c>
      <c r="AM705" s="16" t="n">
        <f aca="false">COUNTIFS($D$2:$D$2501,D705,$G$2:$G$2501,"&gt;"&amp;G705)+COUNTIFS($D$2:D705,D705,$G$2:G705,G705)</f>
        <v>22</v>
      </c>
      <c r="AN705" s="5" t="str">
        <f aca="false">D705&amp;"|"&amp;AM705</f>
        <v>分類與偵測|22</v>
      </c>
    </row>
    <row r="706" customFormat="false" ht="17.15" hidden="false" customHeight="false" outlineLevel="0" collapsed="false">
      <c r="A706" s="16" t="n">
        <f aca="false">RANK(G706,$G$2:$G$2501)+COUNTIF($G$2:G706,G706)-1</f>
        <v>705</v>
      </c>
      <c r="B706" s="11" t="s">
        <v>1919</v>
      </c>
      <c r="C706" s="11" t="s">
        <v>402</v>
      </c>
      <c r="D706" s="5" t="s">
        <v>58</v>
      </c>
      <c r="E706" s="5" t="s">
        <v>59</v>
      </c>
      <c r="F706" s="5"/>
      <c r="G706" s="22" t="n">
        <f aca="false">ROUND(SUM(I706:P706),3)</f>
        <v>66.734</v>
      </c>
      <c r="H706" s="5" t="str">
        <f aca="false">IF(G706&gt;=評分方法!$C$16,"優先評估",IF(G706&gt;=評分方法!$C$17,"列入候選",IF(G706&gt;=評分方法!$C$18,"特定情境","不建議")))</f>
        <v>特定情境</v>
      </c>
      <c r="I706" s="15" t="n">
        <f aca="false">AE706*評分方法!$C$5</f>
        <v>28.5</v>
      </c>
      <c r="J706" s="15" t="n">
        <f aca="false">AF706*評分方法!$C$6</f>
        <v>0</v>
      </c>
      <c r="K706" s="15" t="n">
        <f aca="false">AG706*評分方法!$C$7</f>
        <v>4.95</v>
      </c>
      <c r="L706" s="15" t="n">
        <f aca="false">AH706*評分方法!$C$8</f>
        <v>15</v>
      </c>
      <c r="M706" s="15" t="n">
        <f aca="false">AI706*評分方法!$C$9</f>
        <v>10</v>
      </c>
      <c r="N706" s="15" t="n">
        <f aca="false">AJ706*評分方法!$C$10</f>
        <v>5.784</v>
      </c>
      <c r="O706" s="15" t="n">
        <f aca="false">AK706*評分方法!$C$11</f>
        <v>2.5</v>
      </c>
      <c r="P706" s="15" t="n">
        <f aca="false">AL706*評分方法!$C$12</f>
        <v>0</v>
      </c>
      <c r="Q706" s="6" t="n">
        <v>594897</v>
      </c>
      <c r="R706" s="6" t="n">
        <v>277455363</v>
      </c>
      <c r="S706" s="11" t="s">
        <v>238</v>
      </c>
      <c r="T706" s="11" t="s">
        <v>239</v>
      </c>
      <c r="U706" s="5" t="s">
        <v>240</v>
      </c>
      <c r="V706" s="11" t="s">
        <v>261</v>
      </c>
      <c r="W706" s="5" t="s">
        <v>334</v>
      </c>
      <c r="X706" s="5" t="s">
        <v>242</v>
      </c>
      <c r="Y706" s="5"/>
      <c r="Z706" s="5"/>
      <c r="AA706" s="11" t="s">
        <v>150</v>
      </c>
      <c r="AB706" s="5" t="s">
        <v>245</v>
      </c>
      <c r="AC706" s="5"/>
      <c r="AD706" s="11" t="s">
        <v>1920</v>
      </c>
      <c r="AE706" s="23" t="n">
        <v>0.95</v>
      </c>
      <c r="AF706" s="23" t="n">
        <v>0</v>
      </c>
      <c r="AG706" s="23" t="n">
        <v>0.33</v>
      </c>
      <c r="AH706" s="23" t="n">
        <v>1</v>
      </c>
      <c r="AI706" s="23" t="n">
        <v>1</v>
      </c>
      <c r="AJ706" s="23" t="n">
        <v>0.5784</v>
      </c>
      <c r="AK706" s="23" t="n">
        <v>0.5</v>
      </c>
      <c r="AL706" s="23" t="n">
        <v>0</v>
      </c>
      <c r="AM706" s="16" t="n">
        <f aca="false">COUNTIFS($D$2:$D$2501,D706,$G$2:$G$2501,"&gt;"&amp;G706)+COUNTIFS($D$2:D706,D706,$G$2:G706,G706)</f>
        <v>83</v>
      </c>
      <c r="AN706" s="5" t="str">
        <f aca="false">D706&amp;"|"&amp;AM706</f>
        <v>實體擷取與去識別化|83</v>
      </c>
    </row>
    <row r="707" customFormat="false" ht="17.15" hidden="false" customHeight="false" outlineLevel="0" collapsed="false">
      <c r="A707" s="16" t="n">
        <f aca="false">RANK(G707,$G$2:$G$2501)+COUNTIF($G$2:G707,G707)-1</f>
        <v>706</v>
      </c>
      <c r="B707" s="11" t="s">
        <v>1921</v>
      </c>
      <c r="C707" s="11" t="s">
        <v>402</v>
      </c>
      <c r="D707" s="5" t="s">
        <v>58</v>
      </c>
      <c r="E707" s="5" t="s">
        <v>59</v>
      </c>
      <c r="F707" s="5"/>
      <c r="G707" s="22" t="n">
        <f aca="false">ROUND(SUM(I707:P707),3)</f>
        <v>66.722</v>
      </c>
      <c r="H707" s="5" t="str">
        <f aca="false">IF(G707&gt;=評分方法!$C$16,"優先評估",IF(G707&gt;=評分方法!$C$17,"列入候選",IF(G707&gt;=評分方法!$C$18,"特定情境","不建議")))</f>
        <v>特定情境</v>
      </c>
      <c r="I707" s="15" t="n">
        <f aca="false">AE707*評分方法!$C$5</f>
        <v>28.5</v>
      </c>
      <c r="J707" s="15" t="n">
        <f aca="false">AF707*評分方法!$C$6</f>
        <v>0</v>
      </c>
      <c r="K707" s="15" t="n">
        <f aca="false">AG707*評分方法!$C$7</f>
        <v>4.95</v>
      </c>
      <c r="L707" s="15" t="n">
        <f aca="false">AH707*評分方法!$C$8</f>
        <v>15</v>
      </c>
      <c r="M707" s="15" t="n">
        <f aca="false">AI707*評分方法!$C$9</f>
        <v>10</v>
      </c>
      <c r="N707" s="15" t="n">
        <f aca="false">AJ707*評分方法!$C$10</f>
        <v>5.772</v>
      </c>
      <c r="O707" s="15" t="n">
        <f aca="false">AK707*評分方法!$C$11</f>
        <v>2.5</v>
      </c>
      <c r="P707" s="15" t="n">
        <f aca="false">AL707*評分方法!$C$12</f>
        <v>0</v>
      </c>
      <c r="Q707" s="6" t="n">
        <v>594678</v>
      </c>
      <c r="R707" s="6" t="n">
        <v>566708227</v>
      </c>
      <c r="S707" s="11" t="s">
        <v>238</v>
      </c>
      <c r="T707" s="11" t="s">
        <v>239</v>
      </c>
      <c r="U707" s="5" t="s">
        <v>240</v>
      </c>
      <c r="V707" s="11" t="s">
        <v>261</v>
      </c>
      <c r="W707" s="5" t="s">
        <v>334</v>
      </c>
      <c r="X707" s="5" t="s">
        <v>242</v>
      </c>
      <c r="Y707" s="5"/>
      <c r="Z707" s="5"/>
      <c r="AA707" s="11" t="s">
        <v>150</v>
      </c>
      <c r="AB707" s="5" t="s">
        <v>245</v>
      </c>
      <c r="AC707" s="5"/>
      <c r="AD707" s="11" t="s">
        <v>1922</v>
      </c>
      <c r="AE707" s="23" t="n">
        <v>0.95</v>
      </c>
      <c r="AF707" s="23" t="n">
        <v>0</v>
      </c>
      <c r="AG707" s="23" t="n">
        <v>0.33</v>
      </c>
      <c r="AH707" s="23" t="n">
        <v>1</v>
      </c>
      <c r="AI707" s="23" t="n">
        <v>1</v>
      </c>
      <c r="AJ707" s="23" t="n">
        <v>0.5772</v>
      </c>
      <c r="AK707" s="23" t="n">
        <v>0.5</v>
      </c>
      <c r="AL707" s="23" t="n">
        <v>0</v>
      </c>
      <c r="AM707" s="16" t="n">
        <f aca="false">COUNTIFS($D$2:$D$2501,D707,$G$2:$G$2501,"&gt;"&amp;G707)+COUNTIFS($D$2:D707,D707,$G$2:G707,G707)</f>
        <v>84</v>
      </c>
      <c r="AN707" s="5" t="str">
        <f aca="false">D707&amp;"|"&amp;AM707</f>
        <v>實體擷取與去識別化|84</v>
      </c>
    </row>
    <row r="708" customFormat="false" ht="17.15" hidden="false" customHeight="false" outlineLevel="0" collapsed="false">
      <c r="A708" s="16" t="n">
        <f aca="false">RANK(G708,$G$2:$G$2501)+COUNTIF($G$2:G708,G708)-1</f>
        <v>707</v>
      </c>
      <c r="B708" s="11" t="s">
        <v>1923</v>
      </c>
      <c r="C708" s="11" t="s">
        <v>402</v>
      </c>
      <c r="D708" s="5" t="s">
        <v>58</v>
      </c>
      <c r="E708" s="5" t="s">
        <v>59</v>
      </c>
      <c r="F708" s="5"/>
      <c r="G708" s="22" t="n">
        <f aca="false">ROUND(SUM(I708:P708),3)</f>
        <v>66.718</v>
      </c>
      <c r="H708" s="5" t="str">
        <f aca="false">IF(G708&gt;=評分方法!$C$16,"優先評估",IF(G708&gt;=評分方法!$C$17,"列入候選",IF(G708&gt;=評分方法!$C$18,"特定情境","不建議")))</f>
        <v>特定情境</v>
      </c>
      <c r="I708" s="15" t="n">
        <f aca="false">AE708*評分方法!$C$5</f>
        <v>28.5</v>
      </c>
      <c r="J708" s="15" t="n">
        <f aca="false">AF708*評分方法!$C$6</f>
        <v>0</v>
      </c>
      <c r="K708" s="15" t="n">
        <f aca="false">AG708*評分方法!$C$7</f>
        <v>4.95</v>
      </c>
      <c r="L708" s="15" t="n">
        <f aca="false">AH708*評分方法!$C$8</f>
        <v>15</v>
      </c>
      <c r="M708" s="15" t="n">
        <f aca="false">AI708*評分方法!$C$9</f>
        <v>10</v>
      </c>
      <c r="N708" s="15" t="n">
        <f aca="false">AJ708*評分方法!$C$10</f>
        <v>5.768</v>
      </c>
      <c r="O708" s="15" t="n">
        <f aca="false">AK708*評分方法!$C$11</f>
        <v>2.5</v>
      </c>
      <c r="P708" s="15" t="n">
        <f aca="false">AL708*評分方法!$C$12</f>
        <v>0</v>
      </c>
      <c r="Q708" s="6" t="n">
        <v>594536</v>
      </c>
      <c r="R708" s="6" t="n">
        <v>566708227</v>
      </c>
      <c r="S708" s="11" t="s">
        <v>238</v>
      </c>
      <c r="T708" s="11" t="s">
        <v>239</v>
      </c>
      <c r="U708" s="5" t="s">
        <v>240</v>
      </c>
      <c r="V708" s="11" t="s">
        <v>261</v>
      </c>
      <c r="W708" s="5" t="s">
        <v>334</v>
      </c>
      <c r="X708" s="5" t="s">
        <v>242</v>
      </c>
      <c r="Y708" s="5"/>
      <c r="Z708" s="5"/>
      <c r="AA708" s="11" t="s">
        <v>150</v>
      </c>
      <c r="AB708" s="5" t="s">
        <v>245</v>
      </c>
      <c r="AC708" s="5"/>
      <c r="AD708" s="11" t="s">
        <v>1924</v>
      </c>
      <c r="AE708" s="23" t="n">
        <v>0.95</v>
      </c>
      <c r="AF708" s="23" t="n">
        <v>0</v>
      </c>
      <c r="AG708" s="23" t="n">
        <v>0.33</v>
      </c>
      <c r="AH708" s="23" t="n">
        <v>1</v>
      </c>
      <c r="AI708" s="23" t="n">
        <v>1</v>
      </c>
      <c r="AJ708" s="23" t="n">
        <v>0.5768</v>
      </c>
      <c r="AK708" s="23" t="n">
        <v>0.5</v>
      </c>
      <c r="AL708" s="23" t="n">
        <v>0</v>
      </c>
      <c r="AM708" s="16" t="n">
        <f aca="false">COUNTIFS($D$2:$D$2501,D708,$G$2:$G$2501,"&gt;"&amp;G708)+COUNTIFS($D$2:D708,D708,$G$2:G708,G708)</f>
        <v>85</v>
      </c>
      <c r="AN708" s="5" t="str">
        <f aca="false">D708&amp;"|"&amp;AM708</f>
        <v>實體擷取與去識別化|85</v>
      </c>
    </row>
    <row r="709" customFormat="false" ht="17.15" hidden="false" customHeight="false" outlineLevel="0" collapsed="false">
      <c r="A709" s="16" t="n">
        <f aca="false">RANK(G709,$G$2:$G$2501)+COUNTIF($G$2:G709,G709)-1</f>
        <v>708</v>
      </c>
      <c r="B709" s="11" t="s">
        <v>1925</v>
      </c>
      <c r="C709" s="11" t="s">
        <v>998</v>
      </c>
      <c r="D709" s="5" t="s">
        <v>56</v>
      </c>
      <c r="E709" s="5" t="s">
        <v>57</v>
      </c>
      <c r="F709" s="5"/>
      <c r="G709" s="22" t="n">
        <f aca="false">ROUND(SUM(I709:P709),3)</f>
        <v>66.71</v>
      </c>
      <c r="H709" s="5" t="str">
        <f aca="false">IF(G709&gt;=評分方法!$C$16,"優先評估",IF(G709&gt;=評分方法!$C$17,"列入候選",IF(G709&gt;=評分方法!$C$18,"特定情境","不建議")))</f>
        <v>特定情境</v>
      </c>
      <c r="I709" s="15" t="n">
        <f aca="false">AE709*評分方法!$C$5</f>
        <v>24</v>
      </c>
      <c r="J709" s="15" t="n">
        <f aca="false">AF709*評分方法!$C$6</f>
        <v>0</v>
      </c>
      <c r="K709" s="15" t="n">
        <f aca="false">AG709*評分方法!$C$7</f>
        <v>10.05</v>
      </c>
      <c r="L709" s="15" t="n">
        <f aca="false">AH709*評分方法!$C$8</f>
        <v>9</v>
      </c>
      <c r="M709" s="15" t="n">
        <f aca="false">AI709*評分方法!$C$9</f>
        <v>10</v>
      </c>
      <c r="N709" s="15" t="n">
        <f aca="false">AJ709*評分方法!$C$10</f>
        <v>5.66</v>
      </c>
      <c r="O709" s="15" t="n">
        <f aca="false">AK709*評分方法!$C$11</f>
        <v>5</v>
      </c>
      <c r="P709" s="15" t="n">
        <f aca="false">AL709*評分方法!$C$12</f>
        <v>3</v>
      </c>
      <c r="Q709" s="6" t="n">
        <v>586449</v>
      </c>
      <c r="R709" s="6" t="n">
        <v>11907350576</v>
      </c>
      <c r="S709" s="11" t="s">
        <v>389</v>
      </c>
      <c r="T709" s="11" t="s">
        <v>239</v>
      </c>
      <c r="U709" s="5" t="s">
        <v>240</v>
      </c>
      <c r="V709" s="11" t="s">
        <v>333</v>
      </c>
      <c r="W709" s="5" t="s">
        <v>207</v>
      </c>
      <c r="X709" s="5" t="s">
        <v>371</v>
      </c>
      <c r="Y709" s="11" t="s">
        <v>755</v>
      </c>
      <c r="Z709" s="11" t="s">
        <v>244</v>
      </c>
      <c r="AA709" s="11" t="s">
        <v>157</v>
      </c>
      <c r="AB709" s="5" t="s">
        <v>245</v>
      </c>
      <c r="AC709" s="5" t="s">
        <v>246</v>
      </c>
      <c r="AD709" s="11" t="s">
        <v>1926</v>
      </c>
      <c r="AE709" s="23" t="n">
        <v>0.8</v>
      </c>
      <c r="AF709" s="23" t="n">
        <v>0</v>
      </c>
      <c r="AG709" s="23" t="n">
        <v>0.67</v>
      </c>
      <c r="AH709" s="23" t="n">
        <v>0.6</v>
      </c>
      <c r="AI709" s="23" t="n">
        <v>1</v>
      </c>
      <c r="AJ709" s="23" t="n">
        <v>0.566</v>
      </c>
      <c r="AK709" s="23" t="n">
        <v>1</v>
      </c>
      <c r="AL709" s="23" t="n">
        <v>0.6</v>
      </c>
      <c r="AM709" s="16" t="n">
        <f aca="false">COUNTIFS($D$2:$D$2501,D709,$G$2:$G$2501,"&gt;"&amp;G709)+COUNTIFS($D$2:D709,D709,$G$2:G709,G709)</f>
        <v>369</v>
      </c>
      <c r="AN709" s="5" t="str">
        <f aca="false">D709&amp;"|"&amp;AM709</f>
        <v>分析與報告生成|369</v>
      </c>
    </row>
    <row r="710" customFormat="false" ht="17.15" hidden="false" customHeight="false" outlineLevel="0" collapsed="false">
      <c r="A710" s="16" t="n">
        <f aca="false">RANK(G710,$G$2:$G$2501)+COUNTIF($G$2:G710,G710)-1</f>
        <v>709</v>
      </c>
      <c r="B710" s="11" t="s">
        <v>1927</v>
      </c>
      <c r="C710" s="11" t="s">
        <v>402</v>
      </c>
      <c r="D710" s="5" t="s">
        <v>58</v>
      </c>
      <c r="E710" s="5" t="s">
        <v>59</v>
      </c>
      <c r="F710" s="5"/>
      <c r="G710" s="22" t="n">
        <f aca="false">ROUND(SUM(I710:P710),3)</f>
        <v>66.706</v>
      </c>
      <c r="H710" s="5" t="str">
        <f aca="false">IF(G710&gt;=評分方法!$C$16,"優先評估",IF(G710&gt;=評分方法!$C$17,"列入候選",IF(G710&gt;=評分方法!$C$18,"特定情境","不建議")))</f>
        <v>特定情境</v>
      </c>
      <c r="I710" s="15" t="n">
        <f aca="false">AE710*評分方法!$C$5</f>
        <v>28.5</v>
      </c>
      <c r="J710" s="15" t="n">
        <f aca="false">AF710*評分方法!$C$6</f>
        <v>0</v>
      </c>
      <c r="K710" s="15" t="n">
        <f aca="false">AG710*評分方法!$C$7</f>
        <v>4.95</v>
      </c>
      <c r="L710" s="15" t="n">
        <f aca="false">AH710*評分方法!$C$8</f>
        <v>15</v>
      </c>
      <c r="M710" s="15" t="n">
        <f aca="false">AI710*評分方法!$C$9</f>
        <v>10</v>
      </c>
      <c r="N710" s="15" t="n">
        <f aca="false">AJ710*評分方法!$C$10</f>
        <v>5.756</v>
      </c>
      <c r="O710" s="15" t="n">
        <f aca="false">AK710*評分方法!$C$11</f>
        <v>2.5</v>
      </c>
      <c r="P710" s="15" t="n">
        <f aca="false">AL710*評分方法!$C$12</f>
        <v>0</v>
      </c>
      <c r="Q710" s="6" t="n">
        <v>593652</v>
      </c>
      <c r="R710" s="6" t="n">
        <v>434015235</v>
      </c>
      <c r="S710" s="11" t="s">
        <v>238</v>
      </c>
      <c r="T710" s="11" t="s">
        <v>239</v>
      </c>
      <c r="U710" s="5" t="s">
        <v>240</v>
      </c>
      <c r="V710" s="11" t="s">
        <v>261</v>
      </c>
      <c r="W710" s="5" t="s">
        <v>334</v>
      </c>
      <c r="X710" s="5" t="s">
        <v>242</v>
      </c>
      <c r="Y710" s="5"/>
      <c r="Z710" s="5"/>
      <c r="AA710" s="11" t="s">
        <v>150</v>
      </c>
      <c r="AB710" s="5" t="s">
        <v>245</v>
      </c>
      <c r="AC710" s="5"/>
      <c r="AD710" s="11" t="s">
        <v>1928</v>
      </c>
      <c r="AE710" s="23" t="n">
        <v>0.95</v>
      </c>
      <c r="AF710" s="23" t="n">
        <v>0</v>
      </c>
      <c r="AG710" s="23" t="n">
        <v>0.33</v>
      </c>
      <c r="AH710" s="23" t="n">
        <v>1</v>
      </c>
      <c r="AI710" s="23" t="n">
        <v>1</v>
      </c>
      <c r="AJ710" s="23" t="n">
        <v>0.5756</v>
      </c>
      <c r="AK710" s="23" t="n">
        <v>0.5</v>
      </c>
      <c r="AL710" s="23" t="n">
        <v>0</v>
      </c>
      <c r="AM710" s="16" t="n">
        <f aca="false">COUNTIFS($D$2:$D$2501,D710,$G$2:$G$2501,"&gt;"&amp;G710)+COUNTIFS($D$2:D710,D710,$G$2:G710,G710)</f>
        <v>86</v>
      </c>
      <c r="AN710" s="5" t="str">
        <f aca="false">D710&amp;"|"&amp;AM710</f>
        <v>實體擷取與去識別化|86</v>
      </c>
    </row>
    <row r="711" customFormat="false" ht="17.15" hidden="false" customHeight="false" outlineLevel="0" collapsed="false">
      <c r="A711" s="16" t="n">
        <f aca="false">RANK(G711,$G$2:$G$2501)+COUNTIF($G$2:G711,G711)-1</f>
        <v>710</v>
      </c>
      <c r="B711" s="11" t="s">
        <v>1929</v>
      </c>
      <c r="C711" s="11" t="s">
        <v>402</v>
      </c>
      <c r="D711" s="5" t="s">
        <v>58</v>
      </c>
      <c r="E711" s="5" t="s">
        <v>59</v>
      </c>
      <c r="F711" s="5"/>
      <c r="G711" s="22" t="n">
        <f aca="false">ROUND(SUM(I711:P711),3)</f>
        <v>66.698</v>
      </c>
      <c r="H711" s="5" t="str">
        <f aca="false">IF(G711&gt;=評分方法!$C$16,"優先評估",IF(G711&gt;=評分方法!$C$17,"列入候選",IF(G711&gt;=評分方法!$C$18,"特定情境","不建議")))</f>
        <v>特定情境</v>
      </c>
      <c r="I711" s="15" t="n">
        <f aca="false">AE711*評分方法!$C$5</f>
        <v>28.5</v>
      </c>
      <c r="J711" s="15" t="n">
        <f aca="false">AF711*評分方法!$C$6</f>
        <v>0</v>
      </c>
      <c r="K711" s="15" t="n">
        <f aca="false">AG711*評分方法!$C$7</f>
        <v>4.95</v>
      </c>
      <c r="L711" s="15" t="n">
        <f aca="false">AH711*評分方法!$C$8</f>
        <v>15</v>
      </c>
      <c r="M711" s="15" t="n">
        <f aca="false">AI711*評分方法!$C$9</f>
        <v>10</v>
      </c>
      <c r="N711" s="15" t="n">
        <f aca="false">AJ711*評分方法!$C$10</f>
        <v>5.748</v>
      </c>
      <c r="O711" s="15" t="n">
        <f aca="false">AK711*評分方法!$C$11</f>
        <v>2.5</v>
      </c>
      <c r="P711" s="15" t="n">
        <f aca="false">AL711*評分方法!$C$12</f>
        <v>0</v>
      </c>
      <c r="Q711" s="6" t="n">
        <v>592792</v>
      </c>
      <c r="R711" s="6" t="n">
        <v>566708227</v>
      </c>
      <c r="S711" s="11" t="s">
        <v>238</v>
      </c>
      <c r="T711" s="11" t="s">
        <v>239</v>
      </c>
      <c r="U711" s="5" t="s">
        <v>240</v>
      </c>
      <c r="V711" s="11" t="s">
        <v>261</v>
      </c>
      <c r="W711" s="5" t="s">
        <v>334</v>
      </c>
      <c r="X711" s="5" t="s">
        <v>242</v>
      </c>
      <c r="Y711" s="5"/>
      <c r="Z711" s="5"/>
      <c r="AA711" s="11" t="s">
        <v>150</v>
      </c>
      <c r="AB711" s="5" t="s">
        <v>245</v>
      </c>
      <c r="AC711" s="5"/>
      <c r="AD711" s="11" t="s">
        <v>1930</v>
      </c>
      <c r="AE711" s="23" t="n">
        <v>0.95</v>
      </c>
      <c r="AF711" s="23" t="n">
        <v>0</v>
      </c>
      <c r="AG711" s="23" t="n">
        <v>0.33</v>
      </c>
      <c r="AH711" s="23" t="n">
        <v>1</v>
      </c>
      <c r="AI711" s="23" t="n">
        <v>1</v>
      </c>
      <c r="AJ711" s="23" t="n">
        <v>0.5748</v>
      </c>
      <c r="AK711" s="23" t="n">
        <v>0.5</v>
      </c>
      <c r="AL711" s="23" t="n">
        <v>0</v>
      </c>
      <c r="AM711" s="16" t="n">
        <f aca="false">COUNTIFS($D$2:$D$2501,D711,$G$2:$G$2501,"&gt;"&amp;G711)+COUNTIFS($D$2:D711,D711,$G$2:G711,G711)</f>
        <v>87</v>
      </c>
      <c r="AN711" s="5" t="str">
        <f aca="false">D711&amp;"|"&amp;AM711</f>
        <v>實體擷取與去識別化|87</v>
      </c>
    </row>
    <row r="712" customFormat="false" ht="17.15" hidden="false" customHeight="false" outlineLevel="0" collapsed="false">
      <c r="A712" s="16" t="n">
        <f aca="false">RANK(G712,$G$2:$G$2501)+COUNTIF($G$2:G712,G712)-1</f>
        <v>711</v>
      </c>
      <c r="B712" s="11" t="s">
        <v>1931</v>
      </c>
      <c r="C712" s="11" t="s">
        <v>681</v>
      </c>
      <c r="D712" s="5" t="s">
        <v>72</v>
      </c>
      <c r="E712" s="5" t="s">
        <v>73</v>
      </c>
      <c r="F712" s="5"/>
      <c r="G712" s="22" t="n">
        <f aca="false">ROUND(SUM(I712:P712),3)</f>
        <v>66.696</v>
      </c>
      <c r="H712" s="5" t="str">
        <f aca="false">IF(G712&gt;=評分方法!$C$16,"優先評估",IF(G712&gt;=評分方法!$C$17,"列入候選",IF(G712&gt;=評分方法!$C$18,"特定情境","不建議")))</f>
        <v>特定情境</v>
      </c>
      <c r="I712" s="15" t="n">
        <f aca="false">AE712*評分方法!$C$5</f>
        <v>15</v>
      </c>
      <c r="J712" s="15" t="n">
        <f aca="false">AF712*評分方法!$C$6</f>
        <v>0</v>
      </c>
      <c r="K712" s="15" t="n">
        <f aca="false">AG712*評分方法!$C$7</f>
        <v>15</v>
      </c>
      <c r="L712" s="15" t="n">
        <f aca="false">AH712*評分方法!$C$8</f>
        <v>15</v>
      </c>
      <c r="M712" s="15" t="n">
        <f aca="false">AI712*評分方法!$C$9</f>
        <v>10</v>
      </c>
      <c r="N712" s="15" t="n">
        <f aca="false">AJ712*評分方法!$C$10</f>
        <v>9.196</v>
      </c>
      <c r="O712" s="15" t="n">
        <f aca="false">AK712*評分方法!$C$11</f>
        <v>1</v>
      </c>
      <c r="P712" s="15" t="n">
        <f aca="false">AL712*評分方法!$C$12</f>
        <v>1.5</v>
      </c>
      <c r="Q712" s="6" t="n">
        <v>5055242</v>
      </c>
      <c r="R712" s="6" t="n">
        <v>7841868</v>
      </c>
      <c r="S712" s="11" t="s">
        <v>238</v>
      </c>
      <c r="T712" s="11" t="s">
        <v>278</v>
      </c>
      <c r="U712" s="5" t="s">
        <v>240</v>
      </c>
      <c r="V712" s="11" t="s">
        <v>855</v>
      </c>
      <c r="W712" s="5" t="s">
        <v>205</v>
      </c>
      <c r="X712" s="5" t="s">
        <v>255</v>
      </c>
      <c r="Y712" s="5"/>
      <c r="Z712" s="5"/>
      <c r="AA712" s="11" t="s">
        <v>162</v>
      </c>
      <c r="AB712" s="5" t="s">
        <v>245</v>
      </c>
      <c r="AC712" s="5"/>
      <c r="AD712" s="11" t="s">
        <v>1932</v>
      </c>
      <c r="AE712" s="23" t="n">
        <v>0.5</v>
      </c>
      <c r="AF712" s="23" t="n">
        <v>0</v>
      </c>
      <c r="AG712" s="23" t="n">
        <v>1</v>
      </c>
      <c r="AH712" s="23" t="n">
        <v>1</v>
      </c>
      <c r="AI712" s="23" t="n">
        <v>1</v>
      </c>
      <c r="AJ712" s="23" t="n">
        <v>0.9196</v>
      </c>
      <c r="AK712" s="23" t="n">
        <v>0.2</v>
      </c>
      <c r="AL712" s="23" t="n">
        <v>0.3</v>
      </c>
      <c r="AM712" s="16" t="n">
        <f aca="false">COUNTIFS($D$2:$D$2501,D712,$G$2:$G$2501,"&gt;"&amp;G712)+COUNTIFS($D$2:D712,D712,$G$2:G712,G712)</f>
        <v>10</v>
      </c>
      <c r="AN712" s="5" t="str">
        <f aca="false">D712&amp;"|"&amp;AM712</f>
        <v>微調基底模型|10</v>
      </c>
    </row>
    <row r="713" customFormat="false" ht="17.15" hidden="false" customHeight="false" outlineLevel="0" collapsed="false">
      <c r="A713" s="16" t="n">
        <f aca="false">RANK(G713,$G$2:$G$2501)+COUNTIF($G$2:G713,G713)-1</f>
        <v>712</v>
      </c>
      <c r="B713" s="11" t="s">
        <v>1933</v>
      </c>
      <c r="C713" s="11" t="s">
        <v>402</v>
      </c>
      <c r="D713" s="5" t="s">
        <v>58</v>
      </c>
      <c r="E713" s="5" t="s">
        <v>59</v>
      </c>
      <c r="F713" s="5"/>
      <c r="G713" s="22" t="n">
        <f aca="false">ROUND(SUM(I713:P713),3)</f>
        <v>66.694</v>
      </c>
      <c r="H713" s="5" t="str">
        <f aca="false">IF(G713&gt;=評分方法!$C$16,"優先評估",IF(G713&gt;=評分方法!$C$17,"列入候選",IF(G713&gt;=評分方法!$C$18,"特定情境","不建議")))</f>
        <v>特定情境</v>
      </c>
      <c r="I713" s="15" t="n">
        <f aca="false">AE713*評分方法!$C$5</f>
        <v>28.5</v>
      </c>
      <c r="J713" s="15" t="n">
        <f aca="false">AF713*評分方法!$C$6</f>
        <v>0</v>
      </c>
      <c r="K713" s="15" t="n">
        <f aca="false">AG713*評分方法!$C$7</f>
        <v>4.95</v>
      </c>
      <c r="L713" s="15" t="n">
        <f aca="false">AH713*評分方法!$C$8</f>
        <v>15</v>
      </c>
      <c r="M713" s="15" t="n">
        <f aca="false">AI713*評分方法!$C$9</f>
        <v>10</v>
      </c>
      <c r="N713" s="15" t="n">
        <f aca="false">AJ713*評分方法!$C$10</f>
        <v>5.744</v>
      </c>
      <c r="O713" s="15" t="n">
        <f aca="false">AK713*評分方法!$C$11</f>
        <v>2.5</v>
      </c>
      <c r="P713" s="15" t="n">
        <f aca="false">AL713*評分方法!$C$12</f>
        <v>0</v>
      </c>
      <c r="Q713" s="6" t="n">
        <v>592534</v>
      </c>
      <c r="R713" s="6" t="n">
        <v>107745057</v>
      </c>
      <c r="S713" s="11" t="s">
        <v>238</v>
      </c>
      <c r="T713" s="11" t="s">
        <v>239</v>
      </c>
      <c r="U713" s="5" t="s">
        <v>240</v>
      </c>
      <c r="V713" s="11" t="s">
        <v>261</v>
      </c>
      <c r="W713" s="5" t="s">
        <v>334</v>
      </c>
      <c r="X713" s="5" t="s">
        <v>242</v>
      </c>
      <c r="Y713" s="5"/>
      <c r="Z713" s="5"/>
      <c r="AA713" s="11" t="s">
        <v>150</v>
      </c>
      <c r="AB713" s="5" t="s">
        <v>245</v>
      </c>
      <c r="AC713" s="5"/>
      <c r="AD713" s="11" t="s">
        <v>1934</v>
      </c>
      <c r="AE713" s="23" t="n">
        <v>0.95</v>
      </c>
      <c r="AF713" s="23" t="n">
        <v>0</v>
      </c>
      <c r="AG713" s="23" t="n">
        <v>0.33</v>
      </c>
      <c r="AH713" s="23" t="n">
        <v>1</v>
      </c>
      <c r="AI713" s="23" t="n">
        <v>1</v>
      </c>
      <c r="AJ713" s="23" t="n">
        <v>0.5744</v>
      </c>
      <c r="AK713" s="23" t="n">
        <v>0.5</v>
      </c>
      <c r="AL713" s="23" t="n">
        <v>0</v>
      </c>
      <c r="AM713" s="16" t="n">
        <f aca="false">COUNTIFS($D$2:$D$2501,D713,$G$2:$G$2501,"&gt;"&amp;G713)+COUNTIFS($D$2:D713,D713,$G$2:G713,G713)</f>
        <v>88</v>
      </c>
      <c r="AN713" s="5" t="str">
        <f aca="false">D713&amp;"|"&amp;AM713</f>
        <v>實體擷取與去識別化|88</v>
      </c>
    </row>
    <row r="714" customFormat="false" ht="17.15" hidden="false" customHeight="false" outlineLevel="0" collapsed="false">
      <c r="A714" s="16" t="n">
        <f aca="false">RANK(G714,$G$2:$G$2501)+COUNTIF($G$2:G714,G714)-1</f>
        <v>713</v>
      </c>
      <c r="B714" s="11" t="s">
        <v>1935</v>
      </c>
      <c r="C714" s="11" t="s">
        <v>402</v>
      </c>
      <c r="D714" s="5" t="s">
        <v>58</v>
      </c>
      <c r="E714" s="5" t="s">
        <v>59</v>
      </c>
      <c r="F714" s="5"/>
      <c r="G714" s="22" t="n">
        <f aca="false">ROUND(SUM(I714:P714),3)</f>
        <v>66.69</v>
      </c>
      <c r="H714" s="5" t="str">
        <f aca="false">IF(G714&gt;=評分方法!$C$16,"優先評估",IF(G714&gt;=評分方法!$C$17,"列入候選",IF(G714&gt;=評分方法!$C$18,"特定情境","不建議")))</f>
        <v>特定情境</v>
      </c>
      <c r="I714" s="15" t="n">
        <f aca="false">AE714*評分方法!$C$5</f>
        <v>28.5</v>
      </c>
      <c r="J714" s="15" t="n">
        <f aca="false">AF714*評分方法!$C$6</f>
        <v>0</v>
      </c>
      <c r="K714" s="15" t="n">
        <f aca="false">AG714*評分方法!$C$7</f>
        <v>4.95</v>
      </c>
      <c r="L714" s="15" t="n">
        <f aca="false">AH714*評分方法!$C$8</f>
        <v>15</v>
      </c>
      <c r="M714" s="15" t="n">
        <f aca="false">AI714*評分方法!$C$9</f>
        <v>10</v>
      </c>
      <c r="N714" s="15" t="n">
        <f aca="false">AJ714*評分方法!$C$10</f>
        <v>5.74</v>
      </c>
      <c r="O714" s="15" t="n">
        <f aca="false">AK714*評分方法!$C$11</f>
        <v>2.5</v>
      </c>
      <c r="P714" s="15" t="n">
        <f aca="false">AL714*評分方法!$C$12</f>
        <v>0</v>
      </c>
      <c r="Q714" s="6" t="n">
        <v>591225</v>
      </c>
      <c r="R714" s="6" t="n">
        <v>395834371</v>
      </c>
      <c r="S714" s="11" t="s">
        <v>238</v>
      </c>
      <c r="T714" s="11" t="s">
        <v>239</v>
      </c>
      <c r="U714" s="5" t="s">
        <v>240</v>
      </c>
      <c r="V714" s="11" t="s">
        <v>261</v>
      </c>
      <c r="W714" s="5" t="s">
        <v>334</v>
      </c>
      <c r="X714" s="5" t="s">
        <v>242</v>
      </c>
      <c r="Y714" s="5"/>
      <c r="Z714" s="5"/>
      <c r="AA714" s="11" t="s">
        <v>150</v>
      </c>
      <c r="AB714" s="5" t="s">
        <v>245</v>
      </c>
      <c r="AC714" s="5"/>
      <c r="AD714" s="11" t="s">
        <v>1936</v>
      </c>
      <c r="AE714" s="23" t="n">
        <v>0.95</v>
      </c>
      <c r="AF714" s="23" t="n">
        <v>0</v>
      </c>
      <c r="AG714" s="23" t="n">
        <v>0.33</v>
      </c>
      <c r="AH714" s="23" t="n">
        <v>1</v>
      </c>
      <c r="AI714" s="23" t="n">
        <v>1</v>
      </c>
      <c r="AJ714" s="23" t="n">
        <v>0.574</v>
      </c>
      <c r="AK714" s="23" t="n">
        <v>0.5</v>
      </c>
      <c r="AL714" s="23" t="n">
        <v>0</v>
      </c>
      <c r="AM714" s="16" t="n">
        <f aca="false">COUNTIFS($D$2:$D$2501,D714,$G$2:$G$2501,"&gt;"&amp;G714)+COUNTIFS($D$2:D714,D714,$G$2:G714,G714)</f>
        <v>89</v>
      </c>
      <c r="AN714" s="5" t="str">
        <f aca="false">D714&amp;"|"&amp;AM714</f>
        <v>實體擷取與去識別化|89</v>
      </c>
    </row>
    <row r="715" customFormat="false" ht="17.15" hidden="false" customHeight="false" outlineLevel="0" collapsed="false">
      <c r="A715" s="16" t="n">
        <f aca="false">RANK(G715,$G$2:$G$2501)+COUNTIF($G$2:G715,G715)-1</f>
        <v>714</v>
      </c>
      <c r="B715" s="11" t="s">
        <v>1937</v>
      </c>
      <c r="C715" s="11" t="s">
        <v>1635</v>
      </c>
      <c r="D715" s="5" t="s">
        <v>56</v>
      </c>
      <c r="E715" s="5" t="s">
        <v>57</v>
      </c>
      <c r="F715" s="5"/>
      <c r="G715" s="22" t="n">
        <f aca="false">ROUND(SUM(I715:P715),3)</f>
        <v>66.684</v>
      </c>
      <c r="H715" s="5" t="str">
        <f aca="false">IF(G715&gt;=評分方法!$C$16,"優先評估",IF(G715&gt;=評分方法!$C$17,"列入候選",IF(G715&gt;=評分方法!$C$18,"特定情境","不建議")))</f>
        <v>特定情境</v>
      </c>
      <c r="I715" s="15" t="n">
        <f aca="false">AE715*評分方法!$C$5</f>
        <v>18</v>
      </c>
      <c r="J715" s="15" t="n">
        <f aca="false">AF715*評分方法!$C$6</f>
        <v>0</v>
      </c>
      <c r="K715" s="15" t="n">
        <f aca="false">AG715*評分方法!$C$7</f>
        <v>15</v>
      </c>
      <c r="L715" s="15" t="n">
        <f aca="false">AH715*評分方法!$C$8</f>
        <v>15</v>
      </c>
      <c r="M715" s="15" t="n">
        <f aca="false">AI715*評分方法!$C$9</f>
        <v>10</v>
      </c>
      <c r="N715" s="15" t="n">
        <f aca="false">AJ715*評分方法!$C$10</f>
        <v>7.684</v>
      </c>
      <c r="O715" s="15" t="n">
        <f aca="false">AK715*評分方法!$C$11</f>
        <v>1</v>
      </c>
      <c r="P715" s="15" t="n">
        <f aca="false">AL715*評分方法!$C$12</f>
        <v>0</v>
      </c>
      <c r="Q715" s="6" t="n">
        <v>1260553</v>
      </c>
      <c r="R715" s="6" t="n">
        <v>335143938</v>
      </c>
      <c r="S715" s="11" t="s">
        <v>238</v>
      </c>
      <c r="T715" s="11" t="s">
        <v>1636</v>
      </c>
      <c r="U715" s="5" t="s">
        <v>240</v>
      </c>
      <c r="V715" s="11" t="s">
        <v>279</v>
      </c>
      <c r="W715" s="5" t="s">
        <v>205</v>
      </c>
      <c r="X715" s="5" t="s">
        <v>242</v>
      </c>
      <c r="Y715" s="5"/>
      <c r="Z715" s="5"/>
      <c r="AA715" s="11" t="s">
        <v>159</v>
      </c>
      <c r="AB715" s="5" t="s">
        <v>245</v>
      </c>
      <c r="AC715" s="5"/>
      <c r="AD715" s="11" t="s">
        <v>1938</v>
      </c>
      <c r="AE715" s="23" t="n">
        <v>0.6</v>
      </c>
      <c r="AF715" s="23" t="n">
        <v>0</v>
      </c>
      <c r="AG715" s="23" t="n">
        <v>1</v>
      </c>
      <c r="AH715" s="23" t="n">
        <v>1</v>
      </c>
      <c r="AI715" s="23" t="n">
        <v>1</v>
      </c>
      <c r="AJ715" s="23" t="n">
        <v>0.7684</v>
      </c>
      <c r="AK715" s="23" t="n">
        <v>0.2</v>
      </c>
      <c r="AL715" s="23" t="n">
        <v>0</v>
      </c>
      <c r="AM715" s="16" t="n">
        <f aca="false">COUNTIFS($D$2:$D$2501,D715,$G$2:$G$2501,"&gt;"&amp;G715)+COUNTIFS($D$2:D715,D715,$G$2:G715,G715)</f>
        <v>370</v>
      </c>
      <c r="AN715" s="5" t="str">
        <f aca="false">D715&amp;"|"&amp;AM715</f>
        <v>分析與報告生成|370</v>
      </c>
    </row>
    <row r="716" customFormat="false" ht="17.15" hidden="false" customHeight="false" outlineLevel="0" collapsed="false">
      <c r="A716" s="16" t="n">
        <f aca="false">RANK(G716,$G$2:$G$2501)+COUNTIF($G$2:G716,G716)-1</f>
        <v>715</v>
      </c>
      <c r="B716" s="11" t="s">
        <v>1939</v>
      </c>
      <c r="C716" s="11" t="s">
        <v>402</v>
      </c>
      <c r="D716" s="5" t="s">
        <v>58</v>
      </c>
      <c r="E716" s="5" t="s">
        <v>59</v>
      </c>
      <c r="F716" s="5"/>
      <c r="G716" s="22" t="n">
        <f aca="false">ROUND(SUM(I716:P716),3)</f>
        <v>66.682</v>
      </c>
      <c r="H716" s="5" t="str">
        <f aca="false">IF(G716&gt;=評分方法!$C$16,"優先評估",IF(G716&gt;=評分方法!$C$17,"列入候選",IF(G716&gt;=評分方法!$C$18,"特定情境","不建議")))</f>
        <v>特定情境</v>
      </c>
      <c r="I716" s="15" t="n">
        <f aca="false">AE716*評分方法!$C$5</f>
        <v>28.5</v>
      </c>
      <c r="J716" s="15" t="n">
        <f aca="false">AF716*評分方法!$C$6</f>
        <v>0</v>
      </c>
      <c r="K716" s="15" t="n">
        <f aca="false">AG716*評分方法!$C$7</f>
        <v>4.95</v>
      </c>
      <c r="L716" s="15" t="n">
        <f aca="false">AH716*評分方法!$C$8</f>
        <v>15</v>
      </c>
      <c r="M716" s="15" t="n">
        <f aca="false">AI716*評分方法!$C$9</f>
        <v>10</v>
      </c>
      <c r="N716" s="15" t="n">
        <f aca="false">AJ716*評分方法!$C$10</f>
        <v>5.732</v>
      </c>
      <c r="O716" s="15" t="n">
        <f aca="false">AK716*評分方法!$C$11</f>
        <v>2.5</v>
      </c>
      <c r="P716" s="15" t="n">
        <f aca="false">AL716*評分方法!$C$12</f>
        <v>0</v>
      </c>
      <c r="Q716" s="6" t="n">
        <v>590997</v>
      </c>
      <c r="R716" s="6" t="n">
        <v>558843907</v>
      </c>
      <c r="S716" s="11" t="s">
        <v>238</v>
      </c>
      <c r="T716" s="11" t="s">
        <v>239</v>
      </c>
      <c r="U716" s="5" t="s">
        <v>240</v>
      </c>
      <c r="V716" s="11" t="s">
        <v>261</v>
      </c>
      <c r="W716" s="5" t="s">
        <v>334</v>
      </c>
      <c r="X716" s="5" t="s">
        <v>242</v>
      </c>
      <c r="Y716" s="5"/>
      <c r="Z716" s="5"/>
      <c r="AA716" s="11" t="s">
        <v>150</v>
      </c>
      <c r="AB716" s="5" t="s">
        <v>245</v>
      </c>
      <c r="AC716" s="5"/>
      <c r="AD716" s="11" t="s">
        <v>1940</v>
      </c>
      <c r="AE716" s="23" t="n">
        <v>0.95</v>
      </c>
      <c r="AF716" s="23" t="n">
        <v>0</v>
      </c>
      <c r="AG716" s="23" t="n">
        <v>0.33</v>
      </c>
      <c r="AH716" s="23" t="n">
        <v>1</v>
      </c>
      <c r="AI716" s="23" t="n">
        <v>1</v>
      </c>
      <c r="AJ716" s="23" t="n">
        <v>0.5732</v>
      </c>
      <c r="AK716" s="23" t="n">
        <v>0.5</v>
      </c>
      <c r="AL716" s="23" t="n">
        <v>0</v>
      </c>
      <c r="AM716" s="16" t="n">
        <f aca="false">COUNTIFS($D$2:$D$2501,D716,$G$2:$G$2501,"&gt;"&amp;G716)+COUNTIFS($D$2:D716,D716,$G$2:G716,G716)</f>
        <v>90</v>
      </c>
      <c r="AN716" s="5" t="str">
        <f aca="false">D716&amp;"|"&amp;AM716</f>
        <v>實體擷取與去識別化|90</v>
      </c>
    </row>
    <row r="717" customFormat="false" ht="17.15" hidden="false" customHeight="false" outlineLevel="0" collapsed="false">
      <c r="A717" s="16" t="n">
        <f aca="false">RANK(G717,$G$2:$G$2501)+COUNTIF($G$2:G717,G717)-1</f>
        <v>716</v>
      </c>
      <c r="B717" s="11" t="s">
        <v>1941</v>
      </c>
      <c r="C717" s="11" t="s">
        <v>402</v>
      </c>
      <c r="D717" s="5" t="s">
        <v>58</v>
      </c>
      <c r="E717" s="5" t="s">
        <v>59</v>
      </c>
      <c r="F717" s="5"/>
      <c r="G717" s="22" t="n">
        <f aca="false">ROUND(SUM(I717:P717),3)</f>
        <v>66.67</v>
      </c>
      <c r="H717" s="5" t="str">
        <f aca="false">IF(G717&gt;=評分方法!$C$16,"優先評估",IF(G717&gt;=評分方法!$C$17,"列入候選",IF(G717&gt;=評分方法!$C$18,"特定情境","不建議")))</f>
        <v>特定情境</v>
      </c>
      <c r="I717" s="15" t="n">
        <f aca="false">AE717*評分方法!$C$5</f>
        <v>28.5</v>
      </c>
      <c r="J717" s="15" t="n">
        <f aca="false">AF717*評分方法!$C$6</f>
        <v>0</v>
      </c>
      <c r="K717" s="15" t="n">
        <f aca="false">AG717*評分方法!$C$7</f>
        <v>4.95</v>
      </c>
      <c r="L717" s="15" t="n">
        <f aca="false">AH717*評分方法!$C$8</f>
        <v>15</v>
      </c>
      <c r="M717" s="15" t="n">
        <f aca="false">AI717*評分方法!$C$9</f>
        <v>10</v>
      </c>
      <c r="N717" s="15" t="n">
        <f aca="false">AJ717*評分方法!$C$10</f>
        <v>5.72</v>
      </c>
      <c r="O717" s="15" t="n">
        <f aca="false">AK717*評分方法!$C$11</f>
        <v>2.5</v>
      </c>
      <c r="P717" s="15" t="n">
        <f aca="false">AL717*評分方法!$C$12</f>
        <v>0</v>
      </c>
      <c r="Q717" s="6" t="n">
        <v>590669</v>
      </c>
      <c r="R717" s="6" t="n">
        <v>66365187</v>
      </c>
      <c r="S717" s="11" t="s">
        <v>238</v>
      </c>
      <c r="T717" s="11" t="s">
        <v>239</v>
      </c>
      <c r="U717" s="5" t="s">
        <v>240</v>
      </c>
      <c r="V717" s="11" t="s">
        <v>261</v>
      </c>
      <c r="W717" s="5" t="s">
        <v>334</v>
      </c>
      <c r="X717" s="5" t="s">
        <v>242</v>
      </c>
      <c r="Y717" s="5"/>
      <c r="Z717" s="5"/>
      <c r="AA717" s="11" t="s">
        <v>150</v>
      </c>
      <c r="AB717" s="5" t="s">
        <v>245</v>
      </c>
      <c r="AC717" s="5"/>
      <c r="AD717" s="11" t="s">
        <v>1942</v>
      </c>
      <c r="AE717" s="23" t="n">
        <v>0.95</v>
      </c>
      <c r="AF717" s="23" t="n">
        <v>0</v>
      </c>
      <c r="AG717" s="23" t="n">
        <v>0.33</v>
      </c>
      <c r="AH717" s="23" t="n">
        <v>1</v>
      </c>
      <c r="AI717" s="23" t="n">
        <v>1</v>
      </c>
      <c r="AJ717" s="23" t="n">
        <v>0.572</v>
      </c>
      <c r="AK717" s="23" t="n">
        <v>0.5</v>
      </c>
      <c r="AL717" s="23" t="n">
        <v>0</v>
      </c>
      <c r="AM717" s="16" t="n">
        <f aca="false">COUNTIFS($D$2:$D$2501,D717,$G$2:$G$2501,"&gt;"&amp;G717)+COUNTIFS($D$2:D717,D717,$G$2:G717,G717)</f>
        <v>91</v>
      </c>
      <c r="AN717" s="5" t="str">
        <f aca="false">D717&amp;"|"&amp;AM717</f>
        <v>實體擷取與去識別化|91</v>
      </c>
    </row>
    <row r="718" customFormat="false" ht="17.15" hidden="false" customHeight="false" outlineLevel="0" collapsed="false">
      <c r="A718" s="16" t="n">
        <f aca="false">RANK(G718,$G$2:$G$2501)+COUNTIF($G$2:G718,G718)-1</f>
        <v>717</v>
      </c>
      <c r="B718" s="11" t="s">
        <v>1943</v>
      </c>
      <c r="C718" s="11" t="s">
        <v>1438</v>
      </c>
      <c r="D718" s="5" t="s">
        <v>56</v>
      </c>
      <c r="E718" s="5" t="s">
        <v>57</v>
      </c>
      <c r="F718" s="5"/>
      <c r="G718" s="22" t="n">
        <f aca="false">ROUND(SUM(I718:P718),3)</f>
        <v>66.666</v>
      </c>
      <c r="H718" s="5" t="str">
        <f aca="false">IF(G718&gt;=評分方法!$C$16,"優先評估",IF(G718&gt;=評分方法!$C$17,"列入候選",IF(G718&gt;=評分方法!$C$18,"特定情境","不建議")))</f>
        <v>特定情境</v>
      </c>
      <c r="I718" s="15" t="n">
        <f aca="false">AE718*評分方法!$C$5</f>
        <v>25.5</v>
      </c>
      <c r="J718" s="15" t="n">
        <f aca="false">AF718*評分方法!$C$6</f>
        <v>0</v>
      </c>
      <c r="K718" s="15" t="n">
        <f aca="false">AG718*評分方法!$C$7</f>
        <v>10.05</v>
      </c>
      <c r="L718" s="15" t="n">
        <f aca="false">AH718*評分方法!$C$8</f>
        <v>9</v>
      </c>
      <c r="M718" s="15" t="n">
        <f aca="false">AI718*評分方法!$C$9</f>
        <v>10</v>
      </c>
      <c r="N718" s="15" t="n">
        <f aca="false">AJ718*評分方法!$C$10</f>
        <v>6.616</v>
      </c>
      <c r="O718" s="15" t="n">
        <f aca="false">AK718*評分方法!$C$11</f>
        <v>2.5</v>
      </c>
      <c r="P718" s="15" t="n">
        <f aca="false">AL718*評分方法!$C$12</f>
        <v>3</v>
      </c>
      <c r="Q718" s="6" t="n">
        <v>783005</v>
      </c>
      <c r="R718" s="6" t="n">
        <v>23572403200</v>
      </c>
      <c r="S718" s="11" t="s">
        <v>389</v>
      </c>
      <c r="T718" s="11" t="s">
        <v>239</v>
      </c>
      <c r="U718" s="5" t="s">
        <v>240</v>
      </c>
      <c r="V718" s="11" t="s">
        <v>333</v>
      </c>
      <c r="W718" s="5" t="s">
        <v>207</v>
      </c>
      <c r="X718" s="5" t="s">
        <v>371</v>
      </c>
      <c r="Y718" s="11" t="s">
        <v>1247</v>
      </c>
      <c r="Z718" s="11" t="s">
        <v>244</v>
      </c>
      <c r="AA718" s="11" t="s">
        <v>155</v>
      </c>
      <c r="AB718" s="5" t="s">
        <v>245</v>
      </c>
      <c r="AC718" s="5" t="s">
        <v>246</v>
      </c>
      <c r="AD718" s="11" t="s">
        <v>1944</v>
      </c>
      <c r="AE718" s="23" t="n">
        <v>0.85</v>
      </c>
      <c r="AF718" s="23" t="n">
        <v>0</v>
      </c>
      <c r="AG718" s="23" t="n">
        <v>0.67</v>
      </c>
      <c r="AH718" s="23" t="n">
        <v>0.6</v>
      </c>
      <c r="AI718" s="23" t="n">
        <v>1</v>
      </c>
      <c r="AJ718" s="23" t="n">
        <v>0.6616</v>
      </c>
      <c r="AK718" s="23" t="n">
        <v>0.5</v>
      </c>
      <c r="AL718" s="23" t="n">
        <v>0.6</v>
      </c>
      <c r="AM718" s="16" t="n">
        <f aca="false">COUNTIFS($D$2:$D$2501,D718,$G$2:$G$2501,"&gt;"&amp;G718)+COUNTIFS($D$2:D718,D718,$G$2:G718,G718)</f>
        <v>371</v>
      </c>
      <c r="AN718" s="5" t="str">
        <f aca="false">D718&amp;"|"&amp;AM718</f>
        <v>分析與報告生成|371</v>
      </c>
    </row>
    <row r="719" customFormat="false" ht="17.15" hidden="false" customHeight="false" outlineLevel="0" collapsed="false">
      <c r="A719" s="16" t="n">
        <f aca="false">RANK(G719,$G$2:$G$2501)+COUNTIF($G$2:G719,G719)-1</f>
        <v>718</v>
      </c>
      <c r="B719" s="11" t="s">
        <v>1945</v>
      </c>
      <c r="C719" s="11" t="s">
        <v>402</v>
      </c>
      <c r="D719" s="5" t="s">
        <v>58</v>
      </c>
      <c r="E719" s="5" t="s">
        <v>59</v>
      </c>
      <c r="F719" s="5"/>
      <c r="G719" s="22" t="n">
        <f aca="false">ROUND(SUM(I719:P719),3)</f>
        <v>66.662</v>
      </c>
      <c r="H719" s="5" t="str">
        <f aca="false">IF(G719&gt;=評分方法!$C$16,"優先評估",IF(G719&gt;=評分方法!$C$17,"列入候選",IF(G719&gt;=評分方法!$C$18,"特定情境","不建議")))</f>
        <v>特定情境</v>
      </c>
      <c r="I719" s="15" t="n">
        <f aca="false">AE719*評分方法!$C$5</f>
        <v>28.5</v>
      </c>
      <c r="J719" s="15" t="n">
        <f aca="false">AF719*評分方法!$C$6</f>
        <v>0</v>
      </c>
      <c r="K719" s="15" t="n">
        <f aca="false">AG719*評分方法!$C$7</f>
        <v>4.95</v>
      </c>
      <c r="L719" s="15" t="n">
        <f aca="false">AH719*評分方法!$C$8</f>
        <v>15</v>
      </c>
      <c r="M719" s="15" t="n">
        <f aca="false">AI719*評分方法!$C$9</f>
        <v>10</v>
      </c>
      <c r="N719" s="15" t="n">
        <f aca="false">AJ719*評分方法!$C$10</f>
        <v>5.712</v>
      </c>
      <c r="O719" s="15" t="n">
        <f aca="false">AK719*評分方法!$C$11</f>
        <v>2.5</v>
      </c>
      <c r="P719" s="15" t="n">
        <f aca="false">AL719*評分方法!$C$12</f>
        <v>0</v>
      </c>
      <c r="Q719" s="6" t="n">
        <v>590238</v>
      </c>
      <c r="R719" s="6" t="n">
        <v>108893955</v>
      </c>
      <c r="S719" s="11" t="s">
        <v>238</v>
      </c>
      <c r="T719" s="11" t="s">
        <v>239</v>
      </c>
      <c r="U719" s="5" t="s">
        <v>240</v>
      </c>
      <c r="V719" s="11" t="s">
        <v>261</v>
      </c>
      <c r="W719" s="5" t="s">
        <v>334</v>
      </c>
      <c r="X719" s="5" t="s">
        <v>242</v>
      </c>
      <c r="Y719" s="5"/>
      <c r="Z719" s="5"/>
      <c r="AA719" s="11" t="s">
        <v>150</v>
      </c>
      <c r="AB719" s="5" t="s">
        <v>245</v>
      </c>
      <c r="AC719" s="5"/>
      <c r="AD719" s="11" t="s">
        <v>1946</v>
      </c>
      <c r="AE719" s="23" t="n">
        <v>0.95</v>
      </c>
      <c r="AF719" s="23" t="n">
        <v>0</v>
      </c>
      <c r="AG719" s="23" t="n">
        <v>0.33</v>
      </c>
      <c r="AH719" s="23" t="n">
        <v>1</v>
      </c>
      <c r="AI719" s="23" t="n">
        <v>1</v>
      </c>
      <c r="AJ719" s="23" t="n">
        <v>0.5712</v>
      </c>
      <c r="AK719" s="23" t="n">
        <v>0.5</v>
      </c>
      <c r="AL719" s="23" t="n">
        <v>0</v>
      </c>
      <c r="AM719" s="16" t="n">
        <f aca="false">COUNTIFS($D$2:$D$2501,D719,$G$2:$G$2501,"&gt;"&amp;G719)+COUNTIFS($D$2:D719,D719,$G$2:G719,G719)</f>
        <v>92</v>
      </c>
      <c r="AN719" s="5" t="str">
        <f aca="false">D719&amp;"|"&amp;AM719</f>
        <v>實體擷取與去識別化|92</v>
      </c>
    </row>
    <row r="720" customFormat="false" ht="17.15" hidden="false" customHeight="false" outlineLevel="0" collapsed="false">
      <c r="A720" s="16" t="n">
        <f aca="false">RANK(G720,$G$2:$G$2501)+COUNTIF($G$2:G720,G720)-1</f>
        <v>719</v>
      </c>
      <c r="B720" s="11" t="s">
        <v>1947</v>
      </c>
      <c r="C720" s="11" t="s">
        <v>402</v>
      </c>
      <c r="D720" s="5" t="s">
        <v>58</v>
      </c>
      <c r="E720" s="5" t="s">
        <v>59</v>
      </c>
      <c r="F720" s="5"/>
      <c r="G720" s="22" t="n">
        <f aca="false">ROUND(SUM(I720:P720),3)</f>
        <v>66.658</v>
      </c>
      <c r="H720" s="5" t="str">
        <f aca="false">IF(G720&gt;=評分方法!$C$16,"優先評估",IF(G720&gt;=評分方法!$C$17,"列入候選",IF(G720&gt;=評分方法!$C$18,"特定情境","不建議")))</f>
        <v>特定情境</v>
      </c>
      <c r="I720" s="15" t="n">
        <f aca="false">AE720*評分方法!$C$5</f>
        <v>28.5</v>
      </c>
      <c r="J720" s="15" t="n">
        <f aca="false">AF720*評分方法!$C$6</f>
        <v>0</v>
      </c>
      <c r="K720" s="15" t="n">
        <f aca="false">AG720*評分方法!$C$7</f>
        <v>4.95</v>
      </c>
      <c r="L720" s="15" t="n">
        <f aca="false">AH720*評分方法!$C$8</f>
        <v>15</v>
      </c>
      <c r="M720" s="15" t="n">
        <f aca="false">AI720*評分方法!$C$9</f>
        <v>10</v>
      </c>
      <c r="N720" s="15" t="n">
        <f aca="false">AJ720*評分方法!$C$10</f>
        <v>5.708</v>
      </c>
      <c r="O720" s="15" t="n">
        <f aca="false">AK720*評分方法!$C$11</f>
        <v>2.5</v>
      </c>
      <c r="P720" s="15" t="n">
        <f aca="false">AL720*評分方法!$C$12</f>
        <v>0</v>
      </c>
      <c r="Q720" s="6" t="n">
        <v>590201</v>
      </c>
      <c r="R720" s="6" t="n">
        <v>277455363</v>
      </c>
      <c r="S720" s="11" t="s">
        <v>238</v>
      </c>
      <c r="T720" s="11" t="s">
        <v>239</v>
      </c>
      <c r="U720" s="5" t="s">
        <v>240</v>
      </c>
      <c r="V720" s="11" t="s">
        <v>261</v>
      </c>
      <c r="W720" s="5" t="s">
        <v>334</v>
      </c>
      <c r="X720" s="5" t="s">
        <v>242</v>
      </c>
      <c r="Y720" s="5"/>
      <c r="Z720" s="5"/>
      <c r="AA720" s="11" t="s">
        <v>150</v>
      </c>
      <c r="AB720" s="5" t="s">
        <v>245</v>
      </c>
      <c r="AC720" s="5"/>
      <c r="AD720" s="11" t="s">
        <v>1948</v>
      </c>
      <c r="AE720" s="23" t="n">
        <v>0.95</v>
      </c>
      <c r="AF720" s="23" t="n">
        <v>0</v>
      </c>
      <c r="AG720" s="23" t="n">
        <v>0.33</v>
      </c>
      <c r="AH720" s="23" t="n">
        <v>1</v>
      </c>
      <c r="AI720" s="23" t="n">
        <v>1</v>
      </c>
      <c r="AJ720" s="23" t="n">
        <v>0.5708</v>
      </c>
      <c r="AK720" s="23" t="n">
        <v>0.5</v>
      </c>
      <c r="AL720" s="23" t="n">
        <v>0</v>
      </c>
      <c r="AM720" s="16" t="n">
        <f aca="false">COUNTIFS($D$2:$D$2501,D720,$G$2:$G$2501,"&gt;"&amp;G720)+COUNTIFS($D$2:D720,D720,$G$2:G720,G720)</f>
        <v>93</v>
      </c>
      <c r="AN720" s="5" t="str">
        <f aca="false">D720&amp;"|"&amp;AM720</f>
        <v>實體擷取與去識別化|93</v>
      </c>
    </row>
    <row r="721" customFormat="false" ht="17.15" hidden="false" customHeight="false" outlineLevel="0" collapsed="false">
      <c r="A721" s="16" t="n">
        <f aca="false">RANK(G721,$G$2:$G$2501)+COUNTIF($G$2:G721,G721)-1</f>
        <v>720</v>
      </c>
      <c r="B721" s="11" t="s">
        <v>1949</v>
      </c>
      <c r="C721" s="11" t="s">
        <v>1950</v>
      </c>
      <c r="D721" s="5" t="s">
        <v>56</v>
      </c>
      <c r="E721" s="5" t="s">
        <v>57</v>
      </c>
      <c r="F721" s="5"/>
      <c r="G721" s="22" t="n">
        <f aca="false">ROUND(SUM(I721:P721),3)</f>
        <v>66.654</v>
      </c>
      <c r="H721" s="5" t="str">
        <f aca="false">IF(G721&gt;=評分方法!$C$16,"優先評估",IF(G721&gt;=評分方法!$C$17,"列入候選",IF(G721&gt;=評分方法!$C$18,"特定情境","不建議")))</f>
        <v>特定情境</v>
      </c>
      <c r="I721" s="15" t="n">
        <f aca="false">AE721*評分方法!$C$5</f>
        <v>25.5</v>
      </c>
      <c r="J721" s="15" t="n">
        <f aca="false">AF721*評分方法!$C$6</f>
        <v>0</v>
      </c>
      <c r="K721" s="15" t="n">
        <f aca="false">AG721*評分方法!$C$7</f>
        <v>4.95</v>
      </c>
      <c r="L721" s="15" t="n">
        <f aca="false">AH721*評分方法!$C$8</f>
        <v>9</v>
      </c>
      <c r="M721" s="15" t="n">
        <f aca="false">AI721*評分方法!$C$9</f>
        <v>10</v>
      </c>
      <c r="N721" s="15" t="n">
        <f aca="false">AJ721*評分方法!$C$10</f>
        <v>9.204</v>
      </c>
      <c r="O721" s="15" t="n">
        <f aca="false">AK721*評分方法!$C$11</f>
        <v>5</v>
      </c>
      <c r="P721" s="15" t="n">
        <f aca="false">AL721*評分方法!$C$12</f>
        <v>3</v>
      </c>
      <c r="Q721" s="6" t="n">
        <v>5202224</v>
      </c>
      <c r="R721" s="6" t="n">
        <v>33442617088</v>
      </c>
      <c r="S721" s="11" t="s">
        <v>389</v>
      </c>
      <c r="T721" s="11" t="s">
        <v>1404</v>
      </c>
      <c r="U721" s="5" t="s">
        <v>240</v>
      </c>
      <c r="V721" s="11" t="s">
        <v>333</v>
      </c>
      <c r="W721" s="5" t="s">
        <v>334</v>
      </c>
      <c r="X721" s="5" t="s">
        <v>371</v>
      </c>
      <c r="Y721" s="11" t="s">
        <v>1951</v>
      </c>
      <c r="Z721" s="11" t="s">
        <v>244</v>
      </c>
      <c r="AA721" s="11" t="s">
        <v>155</v>
      </c>
      <c r="AB721" s="5" t="s">
        <v>496</v>
      </c>
      <c r="AC721" s="5" t="s">
        <v>555</v>
      </c>
      <c r="AD721" s="11" t="s">
        <v>1952</v>
      </c>
      <c r="AE721" s="23" t="n">
        <v>0.85</v>
      </c>
      <c r="AF721" s="23" t="n">
        <v>0</v>
      </c>
      <c r="AG721" s="23" t="n">
        <v>0.33</v>
      </c>
      <c r="AH721" s="23" t="n">
        <v>0.6</v>
      </c>
      <c r="AI721" s="23" t="n">
        <v>1</v>
      </c>
      <c r="AJ721" s="23" t="n">
        <v>0.9204</v>
      </c>
      <c r="AK721" s="23" t="n">
        <v>1</v>
      </c>
      <c r="AL721" s="23" t="n">
        <v>0.6</v>
      </c>
      <c r="AM721" s="16" t="n">
        <f aca="false">COUNTIFS($D$2:$D$2501,D721,$G$2:$G$2501,"&gt;"&amp;G721)+COUNTIFS($D$2:D721,D721,$G$2:G721,G721)</f>
        <v>372</v>
      </c>
      <c r="AN721" s="5" t="str">
        <f aca="false">D721&amp;"|"&amp;AM721</f>
        <v>分析與報告生成|372</v>
      </c>
    </row>
    <row r="722" customFormat="false" ht="17.15" hidden="false" customHeight="false" outlineLevel="0" collapsed="false">
      <c r="A722" s="16" t="n">
        <f aca="false">RANK(G722,$G$2:$G$2501)+COUNTIF($G$2:G722,G722)-1</f>
        <v>721</v>
      </c>
      <c r="B722" s="11" t="s">
        <v>1953</v>
      </c>
      <c r="C722" s="11" t="s">
        <v>402</v>
      </c>
      <c r="D722" s="5" t="s">
        <v>58</v>
      </c>
      <c r="E722" s="5" t="s">
        <v>59</v>
      </c>
      <c r="F722" s="5"/>
      <c r="G722" s="22" t="n">
        <f aca="false">ROUND(SUM(I722:P722),3)</f>
        <v>66.654</v>
      </c>
      <c r="H722" s="5" t="str">
        <f aca="false">IF(G722&gt;=評分方法!$C$16,"優先評估",IF(G722&gt;=評分方法!$C$17,"列入候選",IF(G722&gt;=評分方法!$C$18,"特定情境","不建議")))</f>
        <v>特定情境</v>
      </c>
      <c r="I722" s="15" t="n">
        <f aca="false">AE722*評分方法!$C$5</f>
        <v>28.5</v>
      </c>
      <c r="J722" s="15" t="n">
        <f aca="false">AF722*評分方法!$C$6</f>
        <v>0</v>
      </c>
      <c r="K722" s="15" t="n">
        <f aca="false">AG722*評分方法!$C$7</f>
        <v>4.95</v>
      </c>
      <c r="L722" s="15" t="n">
        <f aca="false">AH722*評分方法!$C$8</f>
        <v>15</v>
      </c>
      <c r="M722" s="15" t="n">
        <f aca="false">AI722*評分方法!$C$9</f>
        <v>10</v>
      </c>
      <c r="N722" s="15" t="n">
        <f aca="false">AJ722*評分方法!$C$10</f>
        <v>5.704</v>
      </c>
      <c r="O722" s="15" t="n">
        <f aca="false">AK722*評分方法!$C$11</f>
        <v>2.5</v>
      </c>
      <c r="P722" s="15" t="n">
        <f aca="false">AL722*評分方法!$C$12</f>
        <v>0</v>
      </c>
      <c r="Q722" s="6" t="n">
        <v>589725</v>
      </c>
      <c r="R722" s="6" t="n">
        <v>149613323</v>
      </c>
      <c r="S722" s="11" t="s">
        <v>238</v>
      </c>
      <c r="T722" s="11" t="s">
        <v>239</v>
      </c>
      <c r="U722" s="5" t="s">
        <v>240</v>
      </c>
      <c r="V722" s="11" t="s">
        <v>261</v>
      </c>
      <c r="W722" s="5" t="s">
        <v>334</v>
      </c>
      <c r="X722" s="5" t="s">
        <v>242</v>
      </c>
      <c r="Y722" s="5"/>
      <c r="Z722" s="5"/>
      <c r="AA722" s="11" t="s">
        <v>150</v>
      </c>
      <c r="AB722" s="5" t="s">
        <v>245</v>
      </c>
      <c r="AC722" s="5"/>
      <c r="AD722" s="11" t="s">
        <v>1954</v>
      </c>
      <c r="AE722" s="23" t="n">
        <v>0.95</v>
      </c>
      <c r="AF722" s="23" t="n">
        <v>0</v>
      </c>
      <c r="AG722" s="23" t="n">
        <v>0.33</v>
      </c>
      <c r="AH722" s="23" t="n">
        <v>1</v>
      </c>
      <c r="AI722" s="23" t="n">
        <v>1</v>
      </c>
      <c r="AJ722" s="23" t="n">
        <v>0.5704</v>
      </c>
      <c r="AK722" s="23" t="n">
        <v>0.5</v>
      </c>
      <c r="AL722" s="23" t="n">
        <v>0</v>
      </c>
      <c r="AM722" s="16" t="n">
        <f aca="false">COUNTIFS($D$2:$D$2501,D722,$G$2:$G$2501,"&gt;"&amp;G722)+COUNTIFS($D$2:D722,D722,$G$2:G722,G722)</f>
        <v>94</v>
      </c>
      <c r="AN722" s="5" t="str">
        <f aca="false">D722&amp;"|"&amp;AM722</f>
        <v>實體擷取與去識別化|94</v>
      </c>
    </row>
    <row r="723" customFormat="false" ht="17.15" hidden="false" customHeight="false" outlineLevel="0" collapsed="false">
      <c r="A723" s="16" t="n">
        <f aca="false">RANK(G723,$G$2:$G$2501)+COUNTIF($G$2:G723,G723)-1</f>
        <v>722</v>
      </c>
      <c r="B723" s="11" t="s">
        <v>1955</v>
      </c>
      <c r="C723" s="11" t="s">
        <v>402</v>
      </c>
      <c r="D723" s="5" t="s">
        <v>58</v>
      </c>
      <c r="E723" s="5" t="s">
        <v>59</v>
      </c>
      <c r="F723" s="5"/>
      <c r="G723" s="22" t="n">
        <f aca="false">ROUND(SUM(I723:P723),3)</f>
        <v>66.65</v>
      </c>
      <c r="H723" s="5" t="str">
        <f aca="false">IF(G723&gt;=評分方法!$C$16,"優先評估",IF(G723&gt;=評分方法!$C$17,"列入候選",IF(G723&gt;=評分方法!$C$18,"特定情境","不建議")))</f>
        <v>特定情境</v>
      </c>
      <c r="I723" s="15" t="n">
        <f aca="false">AE723*評分方法!$C$5</f>
        <v>28.5</v>
      </c>
      <c r="J723" s="15" t="n">
        <f aca="false">AF723*評分方法!$C$6</f>
        <v>0</v>
      </c>
      <c r="K723" s="15" t="n">
        <f aca="false">AG723*評分方法!$C$7</f>
        <v>4.95</v>
      </c>
      <c r="L723" s="15" t="n">
        <f aca="false">AH723*評分方法!$C$8</f>
        <v>15</v>
      </c>
      <c r="M723" s="15" t="n">
        <f aca="false">AI723*評分方法!$C$9</f>
        <v>10</v>
      </c>
      <c r="N723" s="15" t="n">
        <f aca="false">AJ723*評分方法!$C$10</f>
        <v>5.7</v>
      </c>
      <c r="O723" s="15" t="n">
        <f aca="false">AK723*評分方法!$C$11</f>
        <v>2.5</v>
      </c>
      <c r="P723" s="15" t="n">
        <f aca="false">AL723*評分方法!$C$12</f>
        <v>0</v>
      </c>
      <c r="Q723" s="6" t="n">
        <v>589650</v>
      </c>
      <c r="R723" s="6" t="n">
        <v>334103563</v>
      </c>
      <c r="S723" s="11" t="s">
        <v>238</v>
      </c>
      <c r="T723" s="11" t="s">
        <v>239</v>
      </c>
      <c r="U723" s="5" t="s">
        <v>240</v>
      </c>
      <c r="V723" s="11" t="s">
        <v>261</v>
      </c>
      <c r="W723" s="5" t="s">
        <v>334</v>
      </c>
      <c r="X723" s="5" t="s">
        <v>242</v>
      </c>
      <c r="Y723" s="5"/>
      <c r="Z723" s="5"/>
      <c r="AA723" s="11" t="s">
        <v>150</v>
      </c>
      <c r="AB723" s="5" t="s">
        <v>245</v>
      </c>
      <c r="AC723" s="5"/>
      <c r="AD723" s="11" t="s">
        <v>1956</v>
      </c>
      <c r="AE723" s="23" t="n">
        <v>0.95</v>
      </c>
      <c r="AF723" s="23" t="n">
        <v>0</v>
      </c>
      <c r="AG723" s="23" t="n">
        <v>0.33</v>
      </c>
      <c r="AH723" s="23" t="n">
        <v>1</v>
      </c>
      <c r="AI723" s="23" t="n">
        <v>1</v>
      </c>
      <c r="AJ723" s="23" t="n">
        <v>0.57</v>
      </c>
      <c r="AK723" s="23" t="n">
        <v>0.5</v>
      </c>
      <c r="AL723" s="23" t="n">
        <v>0</v>
      </c>
      <c r="AM723" s="16" t="n">
        <f aca="false">COUNTIFS($D$2:$D$2501,D723,$G$2:$G$2501,"&gt;"&amp;G723)+COUNTIFS($D$2:D723,D723,$G$2:G723,G723)</f>
        <v>95</v>
      </c>
      <c r="AN723" s="5" t="str">
        <f aca="false">D723&amp;"|"&amp;AM723</f>
        <v>實體擷取與去識別化|95</v>
      </c>
    </row>
    <row r="724" customFormat="false" ht="17.15" hidden="false" customHeight="false" outlineLevel="0" collapsed="false">
      <c r="A724" s="16" t="n">
        <f aca="false">RANK(G724,$G$2:$G$2501)+COUNTIF($G$2:G724,G724)-1</f>
        <v>723</v>
      </c>
      <c r="B724" s="11" t="s">
        <v>1957</v>
      </c>
      <c r="C724" s="11" t="s">
        <v>402</v>
      </c>
      <c r="D724" s="5" t="s">
        <v>58</v>
      </c>
      <c r="E724" s="5" t="s">
        <v>59</v>
      </c>
      <c r="F724" s="5"/>
      <c r="G724" s="22" t="n">
        <f aca="false">ROUND(SUM(I724:P724),3)</f>
        <v>66.646</v>
      </c>
      <c r="H724" s="5" t="str">
        <f aca="false">IF(G724&gt;=評分方法!$C$16,"優先評估",IF(G724&gt;=評分方法!$C$17,"列入候選",IF(G724&gt;=評分方法!$C$18,"特定情境","不建議")))</f>
        <v>特定情境</v>
      </c>
      <c r="I724" s="15" t="n">
        <f aca="false">AE724*評分方法!$C$5</f>
        <v>28.5</v>
      </c>
      <c r="J724" s="15" t="n">
        <f aca="false">AF724*評分方法!$C$6</f>
        <v>0</v>
      </c>
      <c r="K724" s="15" t="n">
        <f aca="false">AG724*評分方法!$C$7</f>
        <v>4.95</v>
      </c>
      <c r="L724" s="15" t="n">
        <f aca="false">AH724*評分方法!$C$8</f>
        <v>15</v>
      </c>
      <c r="M724" s="15" t="n">
        <f aca="false">AI724*評分方法!$C$9</f>
        <v>10</v>
      </c>
      <c r="N724" s="15" t="n">
        <f aca="false">AJ724*評分方法!$C$10</f>
        <v>5.696</v>
      </c>
      <c r="O724" s="15" t="n">
        <f aca="false">AK724*評分方法!$C$11</f>
        <v>2.5</v>
      </c>
      <c r="P724" s="15" t="n">
        <f aca="false">AL724*評分方法!$C$12</f>
        <v>0</v>
      </c>
      <c r="Q724" s="6" t="n">
        <v>589584</v>
      </c>
      <c r="R724" s="6" t="n">
        <v>66365187</v>
      </c>
      <c r="S724" s="11" t="s">
        <v>238</v>
      </c>
      <c r="T724" s="11" t="s">
        <v>239</v>
      </c>
      <c r="U724" s="5" t="s">
        <v>240</v>
      </c>
      <c r="V724" s="11" t="s">
        <v>261</v>
      </c>
      <c r="W724" s="5" t="s">
        <v>334</v>
      </c>
      <c r="X724" s="5" t="s">
        <v>242</v>
      </c>
      <c r="Y724" s="5"/>
      <c r="Z724" s="5"/>
      <c r="AA724" s="11" t="s">
        <v>150</v>
      </c>
      <c r="AB724" s="5" t="s">
        <v>245</v>
      </c>
      <c r="AC724" s="5"/>
      <c r="AD724" s="11" t="s">
        <v>1958</v>
      </c>
      <c r="AE724" s="23" t="n">
        <v>0.95</v>
      </c>
      <c r="AF724" s="23" t="n">
        <v>0</v>
      </c>
      <c r="AG724" s="23" t="n">
        <v>0.33</v>
      </c>
      <c r="AH724" s="23" t="n">
        <v>1</v>
      </c>
      <c r="AI724" s="23" t="n">
        <v>1</v>
      </c>
      <c r="AJ724" s="23" t="n">
        <v>0.5696</v>
      </c>
      <c r="AK724" s="23" t="n">
        <v>0.5</v>
      </c>
      <c r="AL724" s="23" t="n">
        <v>0</v>
      </c>
      <c r="AM724" s="16" t="n">
        <f aca="false">COUNTIFS($D$2:$D$2501,D724,$G$2:$G$2501,"&gt;"&amp;G724)+COUNTIFS($D$2:D724,D724,$G$2:G724,G724)</f>
        <v>96</v>
      </c>
      <c r="AN724" s="5" t="str">
        <f aca="false">D724&amp;"|"&amp;AM724</f>
        <v>實體擷取與去識別化|96</v>
      </c>
    </row>
    <row r="725" customFormat="false" ht="17.15" hidden="false" customHeight="false" outlineLevel="0" collapsed="false">
      <c r="A725" s="16" t="n">
        <f aca="false">RANK(G725,$G$2:$G$2501)+COUNTIF($G$2:G725,G725)-1</f>
        <v>724</v>
      </c>
      <c r="B725" s="11" t="s">
        <v>1959</v>
      </c>
      <c r="C725" s="11" t="s">
        <v>368</v>
      </c>
      <c r="D725" s="5" t="s">
        <v>56</v>
      </c>
      <c r="E725" s="5" t="s">
        <v>57</v>
      </c>
      <c r="F725" s="5"/>
      <c r="G725" s="22" t="n">
        <f aca="false">ROUND(SUM(I725:P725),3)</f>
        <v>66.646</v>
      </c>
      <c r="H725" s="5" t="str">
        <f aca="false">IF(G725&gt;=評分方法!$C$16,"優先評估",IF(G725&gt;=評分方法!$C$17,"列入候選",IF(G725&gt;=評分方法!$C$18,"特定情境","不建議")))</f>
        <v>特定情境</v>
      </c>
      <c r="I725" s="15" t="n">
        <f aca="false">AE725*評分方法!$C$5</f>
        <v>25.5</v>
      </c>
      <c r="J725" s="15" t="n">
        <f aca="false">AF725*評分方法!$C$6</f>
        <v>0</v>
      </c>
      <c r="K725" s="15" t="n">
        <f aca="false">AG725*評分方法!$C$7</f>
        <v>15</v>
      </c>
      <c r="L725" s="15" t="n">
        <f aca="false">AH725*評分方法!$C$8</f>
        <v>13.05</v>
      </c>
      <c r="M725" s="15" t="n">
        <f aca="false">AI725*評分方法!$C$9</f>
        <v>6</v>
      </c>
      <c r="N725" s="15" t="n">
        <f aca="false">AJ725*評分方法!$C$10</f>
        <v>1.596</v>
      </c>
      <c r="O725" s="15" t="n">
        <f aca="false">AK725*評分方法!$C$11</f>
        <v>2.5</v>
      </c>
      <c r="P725" s="15" t="n">
        <f aca="false">AL725*評分方法!$C$12</f>
        <v>3</v>
      </c>
      <c r="Q725" s="6" t="n">
        <v>184492</v>
      </c>
      <c r="R725" s="6" t="n">
        <v>3032242416</v>
      </c>
      <c r="S725" s="11" t="s">
        <v>254</v>
      </c>
      <c r="T725" s="11" t="s">
        <v>658</v>
      </c>
      <c r="U725" s="5" t="s">
        <v>260</v>
      </c>
      <c r="V725" s="11" t="s">
        <v>261</v>
      </c>
      <c r="W725" s="5" t="s">
        <v>205</v>
      </c>
      <c r="X725" s="5" t="s">
        <v>371</v>
      </c>
      <c r="Y725" s="5"/>
      <c r="Z725" s="5"/>
      <c r="AA725" s="11" t="s">
        <v>156</v>
      </c>
      <c r="AB725" s="5" t="s">
        <v>245</v>
      </c>
      <c r="AC725" s="5" t="s">
        <v>262</v>
      </c>
      <c r="AD725" s="11" t="s">
        <v>1960</v>
      </c>
      <c r="AE725" s="23" t="n">
        <v>0.85</v>
      </c>
      <c r="AF725" s="23" t="n">
        <v>0</v>
      </c>
      <c r="AG725" s="23" t="n">
        <v>1</v>
      </c>
      <c r="AH725" s="23" t="n">
        <v>0.87</v>
      </c>
      <c r="AI725" s="23" t="n">
        <v>0.6</v>
      </c>
      <c r="AJ725" s="23" t="n">
        <v>0.1596</v>
      </c>
      <c r="AK725" s="23" t="n">
        <v>0.5</v>
      </c>
      <c r="AL725" s="23" t="n">
        <v>0.6</v>
      </c>
      <c r="AM725" s="16" t="n">
        <f aca="false">COUNTIFS($D$2:$D$2501,D725,$G$2:$G$2501,"&gt;"&amp;G725)+COUNTIFS($D$2:D725,D725,$G$2:G725,G725)</f>
        <v>373</v>
      </c>
      <c r="AN725" s="5" t="str">
        <f aca="false">D725&amp;"|"&amp;AM725</f>
        <v>分析與報告生成|373</v>
      </c>
    </row>
    <row r="726" customFormat="false" ht="17.15" hidden="false" customHeight="false" outlineLevel="0" collapsed="false">
      <c r="A726" s="16" t="n">
        <f aca="false">RANK(G726,$G$2:$G$2501)+COUNTIF($G$2:G726,G726)-1</f>
        <v>725</v>
      </c>
      <c r="B726" s="11" t="s">
        <v>1961</v>
      </c>
      <c r="C726" s="11" t="s">
        <v>402</v>
      </c>
      <c r="D726" s="5" t="s">
        <v>58</v>
      </c>
      <c r="E726" s="5" t="s">
        <v>59</v>
      </c>
      <c r="F726" s="5"/>
      <c r="G726" s="22" t="n">
        <f aca="false">ROUND(SUM(I726:P726),3)</f>
        <v>66.638</v>
      </c>
      <c r="H726" s="5" t="str">
        <f aca="false">IF(G726&gt;=評分方法!$C$16,"優先評估",IF(G726&gt;=評分方法!$C$17,"列入候選",IF(G726&gt;=評分方法!$C$18,"特定情境","不建議")))</f>
        <v>特定情境</v>
      </c>
      <c r="I726" s="15" t="n">
        <f aca="false">AE726*評分方法!$C$5</f>
        <v>28.5</v>
      </c>
      <c r="J726" s="15" t="n">
        <f aca="false">AF726*評分方法!$C$6</f>
        <v>0</v>
      </c>
      <c r="K726" s="15" t="n">
        <f aca="false">AG726*評分方法!$C$7</f>
        <v>4.95</v>
      </c>
      <c r="L726" s="15" t="n">
        <f aca="false">AH726*評分方法!$C$8</f>
        <v>15</v>
      </c>
      <c r="M726" s="15" t="n">
        <f aca="false">AI726*評分方法!$C$9</f>
        <v>10</v>
      </c>
      <c r="N726" s="15" t="n">
        <f aca="false">AJ726*評分方法!$C$10</f>
        <v>5.688</v>
      </c>
      <c r="O726" s="15" t="n">
        <f aca="false">AK726*評分方法!$C$11</f>
        <v>2.5</v>
      </c>
      <c r="P726" s="15" t="n">
        <f aca="false">AL726*評分方法!$C$12</f>
        <v>0</v>
      </c>
      <c r="Q726" s="6" t="n">
        <v>588673</v>
      </c>
      <c r="R726" s="6" t="n">
        <v>354313219</v>
      </c>
      <c r="S726" s="11" t="s">
        <v>238</v>
      </c>
      <c r="T726" s="11" t="s">
        <v>239</v>
      </c>
      <c r="U726" s="5" t="s">
        <v>240</v>
      </c>
      <c r="V726" s="11" t="s">
        <v>261</v>
      </c>
      <c r="W726" s="5" t="s">
        <v>334</v>
      </c>
      <c r="X726" s="5" t="s">
        <v>242</v>
      </c>
      <c r="Y726" s="5"/>
      <c r="Z726" s="5"/>
      <c r="AA726" s="11" t="s">
        <v>150</v>
      </c>
      <c r="AB726" s="5" t="s">
        <v>245</v>
      </c>
      <c r="AC726" s="5"/>
      <c r="AD726" s="11" t="s">
        <v>1962</v>
      </c>
      <c r="AE726" s="23" t="n">
        <v>0.95</v>
      </c>
      <c r="AF726" s="23" t="n">
        <v>0</v>
      </c>
      <c r="AG726" s="23" t="n">
        <v>0.33</v>
      </c>
      <c r="AH726" s="23" t="n">
        <v>1</v>
      </c>
      <c r="AI726" s="23" t="n">
        <v>1</v>
      </c>
      <c r="AJ726" s="23" t="n">
        <v>0.5688</v>
      </c>
      <c r="AK726" s="23" t="n">
        <v>0.5</v>
      </c>
      <c r="AL726" s="23" t="n">
        <v>0</v>
      </c>
      <c r="AM726" s="16" t="n">
        <f aca="false">COUNTIFS($D$2:$D$2501,D726,$G$2:$G$2501,"&gt;"&amp;G726)+COUNTIFS($D$2:D726,D726,$G$2:G726,G726)</f>
        <v>97</v>
      </c>
      <c r="AN726" s="5" t="str">
        <f aca="false">D726&amp;"|"&amp;AM726</f>
        <v>實體擷取與去識別化|97</v>
      </c>
    </row>
    <row r="727" customFormat="false" ht="17.15" hidden="false" customHeight="false" outlineLevel="0" collapsed="false">
      <c r="A727" s="16" t="n">
        <f aca="false">RANK(G727,$G$2:$G$2501)+COUNTIF($G$2:G727,G727)-1</f>
        <v>726</v>
      </c>
      <c r="B727" s="11" t="s">
        <v>1963</v>
      </c>
      <c r="C727" s="11" t="s">
        <v>402</v>
      </c>
      <c r="D727" s="5" t="s">
        <v>58</v>
      </c>
      <c r="E727" s="5" t="s">
        <v>59</v>
      </c>
      <c r="F727" s="5"/>
      <c r="G727" s="22" t="n">
        <f aca="false">ROUND(SUM(I727:P727),3)</f>
        <v>66.634</v>
      </c>
      <c r="H727" s="5" t="str">
        <f aca="false">IF(G727&gt;=評分方法!$C$16,"優先評估",IF(G727&gt;=評分方法!$C$17,"列入候選",IF(G727&gt;=評分方法!$C$18,"特定情境","不建議")))</f>
        <v>特定情境</v>
      </c>
      <c r="I727" s="15" t="n">
        <f aca="false">AE727*評分方法!$C$5</f>
        <v>28.5</v>
      </c>
      <c r="J727" s="15" t="n">
        <f aca="false">AF727*評分方法!$C$6</f>
        <v>0</v>
      </c>
      <c r="K727" s="15" t="n">
        <f aca="false">AG727*評分方法!$C$7</f>
        <v>4.95</v>
      </c>
      <c r="L727" s="15" t="n">
        <f aca="false">AH727*評分方法!$C$8</f>
        <v>15</v>
      </c>
      <c r="M727" s="15" t="n">
        <f aca="false">AI727*評分方法!$C$9</f>
        <v>10</v>
      </c>
      <c r="N727" s="15" t="n">
        <f aca="false">AJ727*評分方法!$C$10</f>
        <v>5.684</v>
      </c>
      <c r="O727" s="15" t="n">
        <f aca="false">AK727*評分方法!$C$11</f>
        <v>2.5</v>
      </c>
      <c r="P727" s="15" t="n">
        <f aca="false">AL727*評分方法!$C$12</f>
        <v>0</v>
      </c>
      <c r="Q727" s="6" t="n">
        <v>588545</v>
      </c>
      <c r="R727" s="6" t="n">
        <v>66365187</v>
      </c>
      <c r="S727" s="11" t="s">
        <v>238</v>
      </c>
      <c r="T727" s="11" t="s">
        <v>239</v>
      </c>
      <c r="U727" s="5" t="s">
        <v>240</v>
      </c>
      <c r="V727" s="11" t="s">
        <v>261</v>
      </c>
      <c r="W727" s="5" t="s">
        <v>334</v>
      </c>
      <c r="X727" s="5" t="s">
        <v>242</v>
      </c>
      <c r="Y727" s="5"/>
      <c r="Z727" s="5"/>
      <c r="AA727" s="11" t="s">
        <v>150</v>
      </c>
      <c r="AB727" s="5" t="s">
        <v>245</v>
      </c>
      <c r="AC727" s="5"/>
      <c r="AD727" s="11" t="s">
        <v>1964</v>
      </c>
      <c r="AE727" s="23" t="n">
        <v>0.95</v>
      </c>
      <c r="AF727" s="23" t="n">
        <v>0</v>
      </c>
      <c r="AG727" s="23" t="n">
        <v>0.33</v>
      </c>
      <c r="AH727" s="23" t="n">
        <v>1</v>
      </c>
      <c r="AI727" s="23" t="n">
        <v>1</v>
      </c>
      <c r="AJ727" s="23" t="n">
        <v>0.5684</v>
      </c>
      <c r="AK727" s="23" t="n">
        <v>0.5</v>
      </c>
      <c r="AL727" s="23" t="n">
        <v>0</v>
      </c>
      <c r="AM727" s="16" t="n">
        <f aca="false">COUNTIFS($D$2:$D$2501,D727,$G$2:$G$2501,"&gt;"&amp;G727)+COUNTIFS($D$2:D727,D727,$G$2:G727,G727)</f>
        <v>98</v>
      </c>
      <c r="AN727" s="5" t="str">
        <f aca="false">D727&amp;"|"&amp;AM727</f>
        <v>實體擷取與去識別化|98</v>
      </c>
    </row>
    <row r="728" customFormat="false" ht="17.15" hidden="false" customHeight="false" outlineLevel="0" collapsed="false">
      <c r="A728" s="16" t="n">
        <f aca="false">RANK(G728,$G$2:$G$2501)+COUNTIF($G$2:G728,G728)-1</f>
        <v>727</v>
      </c>
      <c r="B728" s="11" t="s">
        <v>1965</v>
      </c>
      <c r="C728" s="11" t="s">
        <v>402</v>
      </c>
      <c r="D728" s="5" t="s">
        <v>58</v>
      </c>
      <c r="E728" s="5" t="s">
        <v>59</v>
      </c>
      <c r="F728" s="5"/>
      <c r="G728" s="22" t="n">
        <f aca="false">ROUND(SUM(I728:P728),3)</f>
        <v>66.626</v>
      </c>
      <c r="H728" s="5" t="str">
        <f aca="false">IF(G728&gt;=評分方法!$C$16,"優先評估",IF(G728&gt;=評分方法!$C$17,"列入候選",IF(G728&gt;=評分方法!$C$18,"特定情境","不建議")))</f>
        <v>特定情境</v>
      </c>
      <c r="I728" s="15" t="n">
        <f aca="false">AE728*評分方法!$C$5</f>
        <v>28.5</v>
      </c>
      <c r="J728" s="15" t="n">
        <f aca="false">AF728*評分方法!$C$6</f>
        <v>0</v>
      </c>
      <c r="K728" s="15" t="n">
        <f aca="false">AG728*評分方法!$C$7</f>
        <v>4.95</v>
      </c>
      <c r="L728" s="15" t="n">
        <f aca="false">AH728*評分方法!$C$8</f>
        <v>15</v>
      </c>
      <c r="M728" s="15" t="n">
        <f aca="false">AI728*評分方法!$C$9</f>
        <v>10</v>
      </c>
      <c r="N728" s="15" t="n">
        <f aca="false">AJ728*評分方法!$C$10</f>
        <v>5.676</v>
      </c>
      <c r="O728" s="15" t="n">
        <f aca="false">AK728*評分方法!$C$11</f>
        <v>2.5</v>
      </c>
      <c r="P728" s="15" t="n">
        <f aca="false">AL728*評分方法!$C$12</f>
        <v>0</v>
      </c>
      <c r="Q728" s="6" t="n">
        <v>587402</v>
      </c>
      <c r="R728" s="6" t="n">
        <v>149607171</v>
      </c>
      <c r="S728" s="11" t="s">
        <v>238</v>
      </c>
      <c r="T728" s="11" t="s">
        <v>239</v>
      </c>
      <c r="U728" s="5" t="s">
        <v>240</v>
      </c>
      <c r="V728" s="11" t="s">
        <v>261</v>
      </c>
      <c r="W728" s="5" t="s">
        <v>334</v>
      </c>
      <c r="X728" s="5" t="s">
        <v>242</v>
      </c>
      <c r="Y728" s="5"/>
      <c r="Z728" s="5"/>
      <c r="AA728" s="11" t="s">
        <v>150</v>
      </c>
      <c r="AB728" s="5" t="s">
        <v>245</v>
      </c>
      <c r="AC728" s="5"/>
      <c r="AD728" s="11" t="s">
        <v>1966</v>
      </c>
      <c r="AE728" s="23" t="n">
        <v>0.95</v>
      </c>
      <c r="AF728" s="23" t="n">
        <v>0</v>
      </c>
      <c r="AG728" s="23" t="n">
        <v>0.33</v>
      </c>
      <c r="AH728" s="23" t="n">
        <v>1</v>
      </c>
      <c r="AI728" s="23" t="n">
        <v>1</v>
      </c>
      <c r="AJ728" s="23" t="n">
        <v>0.5676</v>
      </c>
      <c r="AK728" s="23" t="n">
        <v>0.5</v>
      </c>
      <c r="AL728" s="23" t="n">
        <v>0</v>
      </c>
      <c r="AM728" s="16" t="n">
        <f aca="false">COUNTIFS($D$2:$D$2501,D728,$G$2:$G$2501,"&gt;"&amp;G728)+COUNTIFS($D$2:D728,D728,$G$2:G728,G728)</f>
        <v>99</v>
      </c>
      <c r="AN728" s="5" t="str">
        <f aca="false">D728&amp;"|"&amp;AM728</f>
        <v>實體擷取與去識別化|99</v>
      </c>
    </row>
    <row r="729" customFormat="false" ht="17.15" hidden="false" customHeight="false" outlineLevel="0" collapsed="false">
      <c r="A729" s="16" t="n">
        <f aca="false">RANK(G729,$G$2:$G$2501)+COUNTIF($G$2:G729,G729)-1</f>
        <v>728</v>
      </c>
      <c r="B729" s="11" t="s">
        <v>1967</v>
      </c>
      <c r="C729" s="11" t="s">
        <v>402</v>
      </c>
      <c r="D729" s="5" t="s">
        <v>58</v>
      </c>
      <c r="E729" s="5" t="s">
        <v>59</v>
      </c>
      <c r="F729" s="5"/>
      <c r="G729" s="22" t="n">
        <f aca="false">ROUND(SUM(I729:P729),3)</f>
        <v>66.622</v>
      </c>
      <c r="H729" s="5" t="str">
        <f aca="false">IF(G729&gt;=評分方法!$C$16,"優先評估",IF(G729&gt;=評分方法!$C$17,"列入候選",IF(G729&gt;=評分方法!$C$18,"特定情境","不建議")))</f>
        <v>特定情境</v>
      </c>
      <c r="I729" s="15" t="n">
        <f aca="false">AE729*評分方法!$C$5</f>
        <v>28.5</v>
      </c>
      <c r="J729" s="15" t="n">
        <f aca="false">AF729*評分方法!$C$6</f>
        <v>0</v>
      </c>
      <c r="K729" s="15" t="n">
        <f aca="false">AG729*評分方法!$C$7</f>
        <v>4.95</v>
      </c>
      <c r="L729" s="15" t="n">
        <f aca="false">AH729*評分方法!$C$8</f>
        <v>15</v>
      </c>
      <c r="M729" s="15" t="n">
        <f aca="false">AI729*評分方法!$C$9</f>
        <v>10</v>
      </c>
      <c r="N729" s="15" t="n">
        <f aca="false">AJ729*評分方法!$C$10</f>
        <v>5.672</v>
      </c>
      <c r="O729" s="15" t="n">
        <f aca="false">AK729*評分方法!$C$11</f>
        <v>2.5</v>
      </c>
      <c r="P729" s="15" t="n">
        <f aca="false">AL729*評分方法!$C$12</f>
        <v>0</v>
      </c>
      <c r="Q729" s="6" t="n">
        <v>587230</v>
      </c>
      <c r="R729" s="6" t="n">
        <v>149607171</v>
      </c>
      <c r="S729" s="11" t="s">
        <v>238</v>
      </c>
      <c r="T729" s="11" t="s">
        <v>239</v>
      </c>
      <c r="U729" s="5" t="s">
        <v>240</v>
      </c>
      <c r="V729" s="11" t="s">
        <v>261</v>
      </c>
      <c r="W729" s="5" t="s">
        <v>334</v>
      </c>
      <c r="X729" s="5" t="s">
        <v>242</v>
      </c>
      <c r="Y729" s="5"/>
      <c r="Z729" s="5"/>
      <c r="AA729" s="11" t="s">
        <v>150</v>
      </c>
      <c r="AB729" s="5" t="s">
        <v>245</v>
      </c>
      <c r="AC729" s="5"/>
      <c r="AD729" s="11" t="s">
        <v>1968</v>
      </c>
      <c r="AE729" s="23" t="n">
        <v>0.95</v>
      </c>
      <c r="AF729" s="23" t="n">
        <v>0</v>
      </c>
      <c r="AG729" s="23" t="n">
        <v>0.33</v>
      </c>
      <c r="AH729" s="23" t="n">
        <v>1</v>
      </c>
      <c r="AI729" s="23" t="n">
        <v>1</v>
      </c>
      <c r="AJ729" s="23" t="n">
        <v>0.5672</v>
      </c>
      <c r="AK729" s="23" t="n">
        <v>0.5</v>
      </c>
      <c r="AL729" s="23" t="n">
        <v>0</v>
      </c>
      <c r="AM729" s="16" t="n">
        <f aca="false">COUNTIFS($D$2:$D$2501,D729,$G$2:$G$2501,"&gt;"&amp;G729)+COUNTIFS($D$2:D729,D729,$G$2:G729,G729)</f>
        <v>100</v>
      </c>
      <c r="AN729" s="5" t="str">
        <f aca="false">D729&amp;"|"&amp;AM729</f>
        <v>實體擷取與去識別化|100</v>
      </c>
    </row>
    <row r="730" customFormat="false" ht="17.15" hidden="false" customHeight="false" outlineLevel="0" collapsed="false">
      <c r="A730" s="16" t="n">
        <f aca="false">RANK(G730,$G$2:$G$2501)+COUNTIF($G$2:G730,G730)-1</f>
        <v>729</v>
      </c>
      <c r="B730" s="11" t="s">
        <v>1969</v>
      </c>
      <c r="C730" s="11" t="s">
        <v>402</v>
      </c>
      <c r="D730" s="5" t="s">
        <v>58</v>
      </c>
      <c r="E730" s="5" t="s">
        <v>59</v>
      </c>
      <c r="F730" s="5"/>
      <c r="G730" s="22" t="n">
        <f aca="false">ROUND(SUM(I730:P730),3)</f>
        <v>66.618</v>
      </c>
      <c r="H730" s="5" t="str">
        <f aca="false">IF(G730&gt;=評分方法!$C$16,"優先評估",IF(G730&gt;=評分方法!$C$17,"列入候選",IF(G730&gt;=評分方法!$C$18,"特定情境","不建議")))</f>
        <v>特定情境</v>
      </c>
      <c r="I730" s="15" t="n">
        <f aca="false">AE730*評分方法!$C$5</f>
        <v>28.5</v>
      </c>
      <c r="J730" s="15" t="n">
        <f aca="false">AF730*評分方法!$C$6</f>
        <v>0</v>
      </c>
      <c r="K730" s="15" t="n">
        <f aca="false">AG730*評分方法!$C$7</f>
        <v>4.95</v>
      </c>
      <c r="L730" s="15" t="n">
        <f aca="false">AH730*評分方法!$C$8</f>
        <v>15</v>
      </c>
      <c r="M730" s="15" t="n">
        <f aca="false">AI730*評分方法!$C$9</f>
        <v>10</v>
      </c>
      <c r="N730" s="15" t="n">
        <f aca="false">AJ730*評分方法!$C$10</f>
        <v>5.668</v>
      </c>
      <c r="O730" s="15" t="n">
        <f aca="false">AK730*評分方法!$C$11</f>
        <v>2.5</v>
      </c>
      <c r="P730" s="15" t="n">
        <f aca="false">AL730*評分方法!$C$12</f>
        <v>0</v>
      </c>
      <c r="Q730" s="6" t="n">
        <v>586848</v>
      </c>
      <c r="R730" s="6" t="n">
        <v>81536267</v>
      </c>
      <c r="S730" s="11" t="s">
        <v>238</v>
      </c>
      <c r="T730" s="11" t="s">
        <v>239</v>
      </c>
      <c r="U730" s="5" t="s">
        <v>240</v>
      </c>
      <c r="V730" s="11" t="s">
        <v>261</v>
      </c>
      <c r="W730" s="5" t="s">
        <v>334</v>
      </c>
      <c r="X730" s="5" t="s">
        <v>242</v>
      </c>
      <c r="Y730" s="5"/>
      <c r="Z730" s="5"/>
      <c r="AA730" s="11" t="s">
        <v>150</v>
      </c>
      <c r="AB730" s="5" t="s">
        <v>245</v>
      </c>
      <c r="AC730" s="5"/>
      <c r="AD730" s="11" t="s">
        <v>1970</v>
      </c>
      <c r="AE730" s="23" t="n">
        <v>0.95</v>
      </c>
      <c r="AF730" s="23" t="n">
        <v>0</v>
      </c>
      <c r="AG730" s="23" t="n">
        <v>0.33</v>
      </c>
      <c r="AH730" s="23" t="n">
        <v>1</v>
      </c>
      <c r="AI730" s="23" t="n">
        <v>1</v>
      </c>
      <c r="AJ730" s="23" t="n">
        <v>0.5668</v>
      </c>
      <c r="AK730" s="23" t="n">
        <v>0.5</v>
      </c>
      <c r="AL730" s="23" t="n">
        <v>0</v>
      </c>
      <c r="AM730" s="16" t="n">
        <f aca="false">COUNTIFS($D$2:$D$2501,D730,$G$2:$G$2501,"&gt;"&amp;G730)+COUNTIFS($D$2:D730,D730,$G$2:G730,G730)</f>
        <v>101</v>
      </c>
      <c r="AN730" s="5" t="str">
        <f aca="false">D730&amp;"|"&amp;AM730</f>
        <v>實體擷取與去識別化|101</v>
      </c>
    </row>
    <row r="731" customFormat="false" ht="17.15" hidden="false" customHeight="false" outlineLevel="0" collapsed="false">
      <c r="A731" s="16" t="n">
        <f aca="false">RANK(G731,$G$2:$G$2501)+COUNTIF($G$2:G731,G731)-1</f>
        <v>730</v>
      </c>
      <c r="B731" s="11" t="s">
        <v>1971</v>
      </c>
      <c r="C731" s="11" t="s">
        <v>402</v>
      </c>
      <c r="D731" s="5" t="s">
        <v>58</v>
      </c>
      <c r="E731" s="5" t="s">
        <v>59</v>
      </c>
      <c r="F731" s="5"/>
      <c r="G731" s="22" t="n">
        <f aca="false">ROUND(SUM(I731:P731),3)</f>
        <v>66.614</v>
      </c>
      <c r="H731" s="5" t="str">
        <f aca="false">IF(G731&gt;=評分方法!$C$16,"優先評估",IF(G731&gt;=評分方法!$C$17,"列入候選",IF(G731&gt;=評分方法!$C$18,"特定情境","不建議")))</f>
        <v>特定情境</v>
      </c>
      <c r="I731" s="15" t="n">
        <f aca="false">AE731*評分方法!$C$5</f>
        <v>28.5</v>
      </c>
      <c r="J731" s="15" t="n">
        <f aca="false">AF731*評分方法!$C$6</f>
        <v>0</v>
      </c>
      <c r="K731" s="15" t="n">
        <f aca="false">AG731*評分方法!$C$7</f>
        <v>4.95</v>
      </c>
      <c r="L731" s="15" t="n">
        <f aca="false">AH731*評分方法!$C$8</f>
        <v>15</v>
      </c>
      <c r="M731" s="15" t="n">
        <f aca="false">AI731*評分方法!$C$9</f>
        <v>10</v>
      </c>
      <c r="N731" s="15" t="n">
        <f aca="false">AJ731*評分方法!$C$10</f>
        <v>5.664</v>
      </c>
      <c r="O731" s="15" t="n">
        <f aca="false">AK731*評分方法!$C$11</f>
        <v>2.5</v>
      </c>
      <c r="P731" s="15" t="n">
        <f aca="false">AL731*評分方法!$C$12</f>
        <v>0</v>
      </c>
      <c r="Q731" s="6" t="n">
        <v>586508</v>
      </c>
      <c r="R731" s="6" t="n">
        <v>134736387</v>
      </c>
      <c r="S731" s="11" t="s">
        <v>238</v>
      </c>
      <c r="T731" s="11" t="s">
        <v>239</v>
      </c>
      <c r="U731" s="5" t="s">
        <v>240</v>
      </c>
      <c r="V731" s="11" t="s">
        <v>261</v>
      </c>
      <c r="W731" s="5" t="s">
        <v>334</v>
      </c>
      <c r="X731" s="5" t="s">
        <v>242</v>
      </c>
      <c r="Y731" s="5"/>
      <c r="Z731" s="5"/>
      <c r="AA731" s="11" t="s">
        <v>150</v>
      </c>
      <c r="AB731" s="5" t="s">
        <v>245</v>
      </c>
      <c r="AC731" s="5"/>
      <c r="AD731" s="11" t="s">
        <v>1972</v>
      </c>
      <c r="AE731" s="23" t="n">
        <v>0.95</v>
      </c>
      <c r="AF731" s="23" t="n">
        <v>0</v>
      </c>
      <c r="AG731" s="23" t="n">
        <v>0.33</v>
      </c>
      <c r="AH731" s="23" t="n">
        <v>1</v>
      </c>
      <c r="AI731" s="23" t="n">
        <v>1</v>
      </c>
      <c r="AJ731" s="23" t="n">
        <v>0.5664</v>
      </c>
      <c r="AK731" s="23" t="n">
        <v>0.5</v>
      </c>
      <c r="AL731" s="23" t="n">
        <v>0</v>
      </c>
      <c r="AM731" s="16" t="n">
        <f aca="false">COUNTIFS($D$2:$D$2501,D731,$G$2:$G$2501,"&gt;"&amp;G731)+COUNTIFS($D$2:D731,D731,$G$2:G731,G731)</f>
        <v>102</v>
      </c>
      <c r="AN731" s="5" t="str">
        <f aca="false">D731&amp;"|"&amp;AM731</f>
        <v>實體擷取與去識別化|102</v>
      </c>
    </row>
    <row r="732" customFormat="false" ht="17.15" hidden="false" customHeight="false" outlineLevel="0" collapsed="false">
      <c r="A732" s="16" t="n">
        <f aca="false">RANK(G732,$G$2:$G$2501)+COUNTIF($G$2:G732,G732)-1</f>
        <v>731</v>
      </c>
      <c r="B732" s="11" t="s">
        <v>1973</v>
      </c>
      <c r="C732" s="11" t="s">
        <v>402</v>
      </c>
      <c r="D732" s="5" t="s">
        <v>58</v>
      </c>
      <c r="E732" s="5" t="s">
        <v>59</v>
      </c>
      <c r="F732" s="5"/>
      <c r="G732" s="22" t="n">
        <f aca="false">ROUND(SUM(I732:P732),3)</f>
        <v>66.606</v>
      </c>
      <c r="H732" s="5" t="str">
        <f aca="false">IF(G732&gt;=評分方法!$C$16,"優先評估",IF(G732&gt;=評分方法!$C$17,"列入候選",IF(G732&gt;=評分方法!$C$18,"特定情境","不建議")))</f>
        <v>特定情境</v>
      </c>
      <c r="I732" s="15" t="n">
        <f aca="false">AE732*評分方法!$C$5</f>
        <v>28.5</v>
      </c>
      <c r="J732" s="15" t="n">
        <f aca="false">AF732*評分方法!$C$6</f>
        <v>0</v>
      </c>
      <c r="K732" s="15" t="n">
        <f aca="false">AG732*評分方法!$C$7</f>
        <v>4.95</v>
      </c>
      <c r="L732" s="15" t="n">
        <f aca="false">AH732*評分方法!$C$8</f>
        <v>15</v>
      </c>
      <c r="M732" s="15" t="n">
        <f aca="false">AI732*評分方法!$C$9</f>
        <v>10</v>
      </c>
      <c r="N732" s="15" t="n">
        <f aca="false">AJ732*評分方法!$C$10</f>
        <v>5.656</v>
      </c>
      <c r="O732" s="15" t="n">
        <f aca="false">AK732*評分方法!$C$11</f>
        <v>2.5</v>
      </c>
      <c r="P732" s="15" t="n">
        <f aca="false">AL732*評分方法!$C$12</f>
        <v>0</v>
      </c>
      <c r="Q732" s="6" t="n">
        <v>585840</v>
      </c>
      <c r="R732" s="6" t="n">
        <v>558874657</v>
      </c>
      <c r="S732" s="11" t="s">
        <v>238</v>
      </c>
      <c r="T732" s="11" t="s">
        <v>239</v>
      </c>
      <c r="U732" s="5" t="s">
        <v>240</v>
      </c>
      <c r="V732" s="11" t="s">
        <v>261</v>
      </c>
      <c r="W732" s="5" t="s">
        <v>334</v>
      </c>
      <c r="X732" s="5" t="s">
        <v>242</v>
      </c>
      <c r="Y732" s="5"/>
      <c r="Z732" s="5"/>
      <c r="AA732" s="11" t="s">
        <v>150</v>
      </c>
      <c r="AB732" s="5" t="s">
        <v>245</v>
      </c>
      <c r="AC732" s="5"/>
      <c r="AD732" s="11" t="s">
        <v>1974</v>
      </c>
      <c r="AE732" s="23" t="n">
        <v>0.95</v>
      </c>
      <c r="AF732" s="23" t="n">
        <v>0</v>
      </c>
      <c r="AG732" s="23" t="n">
        <v>0.33</v>
      </c>
      <c r="AH732" s="23" t="n">
        <v>1</v>
      </c>
      <c r="AI732" s="23" t="n">
        <v>1</v>
      </c>
      <c r="AJ732" s="23" t="n">
        <v>0.5656</v>
      </c>
      <c r="AK732" s="23" t="n">
        <v>0.5</v>
      </c>
      <c r="AL732" s="23" t="n">
        <v>0</v>
      </c>
      <c r="AM732" s="16" t="n">
        <f aca="false">COUNTIFS($D$2:$D$2501,D732,$G$2:$G$2501,"&gt;"&amp;G732)+COUNTIFS($D$2:D732,D732,$G$2:G732,G732)</f>
        <v>103</v>
      </c>
      <c r="AN732" s="5" t="str">
        <f aca="false">D732&amp;"|"&amp;AM732</f>
        <v>實體擷取與去識別化|103</v>
      </c>
    </row>
    <row r="733" customFormat="false" ht="17.15" hidden="false" customHeight="false" outlineLevel="0" collapsed="false">
      <c r="A733" s="16" t="n">
        <f aca="false">RANK(G733,$G$2:$G$2501)+COUNTIF($G$2:G733,G733)-1</f>
        <v>732</v>
      </c>
      <c r="B733" s="11" t="s">
        <v>1975</v>
      </c>
      <c r="C733" s="11" t="s">
        <v>998</v>
      </c>
      <c r="D733" s="5" t="s">
        <v>56</v>
      </c>
      <c r="E733" s="5" t="s">
        <v>57</v>
      </c>
      <c r="F733" s="5"/>
      <c r="G733" s="22" t="n">
        <f aca="false">ROUND(SUM(I733:P733),3)</f>
        <v>66.604</v>
      </c>
      <c r="H733" s="5" t="str">
        <f aca="false">IF(G733&gt;=評分方法!$C$16,"優先評估",IF(G733&gt;=評分方法!$C$17,"列入候選",IF(G733&gt;=評分方法!$C$18,"特定情境","不建議")))</f>
        <v>特定情境</v>
      </c>
      <c r="I733" s="15" t="n">
        <f aca="false">AE733*評分方法!$C$5</f>
        <v>25.5</v>
      </c>
      <c r="J733" s="15" t="n">
        <f aca="false">AF733*評分方法!$C$6</f>
        <v>0</v>
      </c>
      <c r="K733" s="15" t="n">
        <f aca="false">AG733*評分方法!$C$7</f>
        <v>10.05</v>
      </c>
      <c r="L733" s="15" t="n">
        <f aca="false">AH733*評分方法!$C$8</f>
        <v>13.05</v>
      </c>
      <c r="M733" s="15" t="n">
        <f aca="false">AI733*評分方法!$C$9</f>
        <v>2</v>
      </c>
      <c r="N733" s="15" t="n">
        <f aca="false">AJ733*評分方法!$C$10</f>
        <v>9.004</v>
      </c>
      <c r="O733" s="15" t="n">
        <f aca="false">AK733*評分方法!$C$11</f>
        <v>4</v>
      </c>
      <c r="P733" s="15" t="n">
        <f aca="false">AL733*評分方法!$C$12</f>
        <v>3</v>
      </c>
      <c r="Q733" s="6" t="n">
        <v>3861018</v>
      </c>
      <c r="R733" s="6" t="n">
        <v>7241732096</v>
      </c>
      <c r="S733" s="11" t="s">
        <v>254</v>
      </c>
      <c r="T733" s="5"/>
      <c r="U733" s="5" t="s">
        <v>375</v>
      </c>
      <c r="V733" s="11" t="s">
        <v>1976</v>
      </c>
      <c r="W733" s="5" t="s">
        <v>207</v>
      </c>
      <c r="X733" s="5" t="s">
        <v>371</v>
      </c>
      <c r="Y733" s="5"/>
      <c r="Z733" s="5"/>
      <c r="AA733" s="11" t="s">
        <v>155</v>
      </c>
      <c r="AB733" s="5" t="s">
        <v>961</v>
      </c>
      <c r="AC733" s="5" t="s">
        <v>1977</v>
      </c>
      <c r="AD733" s="11" t="s">
        <v>1978</v>
      </c>
      <c r="AE733" s="23" t="n">
        <v>0.85</v>
      </c>
      <c r="AF733" s="23" t="n">
        <v>0</v>
      </c>
      <c r="AG733" s="23" t="n">
        <v>0.67</v>
      </c>
      <c r="AH733" s="23" t="n">
        <v>0.87</v>
      </c>
      <c r="AI733" s="23" t="n">
        <v>0.2</v>
      </c>
      <c r="AJ733" s="23" t="n">
        <v>0.9004</v>
      </c>
      <c r="AK733" s="23" t="n">
        <v>0.8</v>
      </c>
      <c r="AL733" s="23" t="n">
        <v>0.6</v>
      </c>
      <c r="AM733" s="16" t="n">
        <f aca="false">COUNTIFS($D$2:$D$2501,D733,$G$2:$G$2501,"&gt;"&amp;G733)+COUNTIFS($D$2:D733,D733,$G$2:G733,G733)</f>
        <v>374</v>
      </c>
      <c r="AN733" s="5" t="str">
        <f aca="false">D733&amp;"|"&amp;AM733</f>
        <v>分析與報告生成|374</v>
      </c>
    </row>
    <row r="734" customFormat="false" ht="17.15" hidden="false" customHeight="false" outlineLevel="0" collapsed="false">
      <c r="A734" s="16" t="n">
        <f aca="false">RANK(G734,$G$2:$G$2501)+COUNTIF($G$2:G734,G734)-1</f>
        <v>733</v>
      </c>
      <c r="B734" s="11" t="s">
        <v>1979</v>
      </c>
      <c r="C734" s="11" t="s">
        <v>402</v>
      </c>
      <c r="D734" s="5" t="s">
        <v>58</v>
      </c>
      <c r="E734" s="5" t="s">
        <v>59</v>
      </c>
      <c r="F734" s="5"/>
      <c r="G734" s="22" t="n">
        <f aca="false">ROUND(SUM(I734:P734),3)</f>
        <v>66.598</v>
      </c>
      <c r="H734" s="5" t="str">
        <f aca="false">IF(G734&gt;=評分方法!$C$16,"優先評估",IF(G734&gt;=評分方法!$C$17,"列入候選",IF(G734&gt;=評分方法!$C$18,"特定情境","不建議")))</f>
        <v>特定情境</v>
      </c>
      <c r="I734" s="15" t="n">
        <f aca="false">AE734*評分方法!$C$5</f>
        <v>28.5</v>
      </c>
      <c r="J734" s="15" t="n">
        <f aca="false">AF734*評分方法!$C$6</f>
        <v>0</v>
      </c>
      <c r="K734" s="15" t="n">
        <f aca="false">AG734*評分方法!$C$7</f>
        <v>4.95</v>
      </c>
      <c r="L734" s="15" t="n">
        <f aca="false">AH734*評分方法!$C$8</f>
        <v>15</v>
      </c>
      <c r="M734" s="15" t="n">
        <f aca="false">AI734*評分方法!$C$9</f>
        <v>10</v>
      </c>
      <c r="N734" s="15" t="n">
        <f aca="false">AJ734*評分方法!$C$10</f>
        <v>5.648</v>
      </c>
      <c r="O734" s="15" t="n">
        <f aca="false">AK734*評分方法!$C$11</f>
        <v>2.5</v>
      </c>
      <c r="P734" s="15" t="n">
        <f aca="false">AL734*評分方法!$C$12</f>
        <v>0</v>
      </c>
      <c r="Q734" s="6" t="n">
        <v>585418</v>
      </c>
      <c r="R734" s="6" t="n">
        <v>65199371</v>
      </c>
      <c r="S734" s="11" t="s">
        <v>238</v>
      </c>
      <c r="T734" s="11" t="s">
        <v>239</v>
      </c>
      <c r="U734" s="5" t="s">
        <v>240</v>
      </c>
      <c r="V734" s="11" t="s">
        <v>261</v>
      </c>
      <c r="W734" s="5" t="s">
        <v>334</v>
      </c>
      <c r="X734" s="5" t="s">
        <v>242</v>
      </c>
      <c r="Y734" s="5"/>
      <c r="Z734" s="5"/>
      <c r="AA734" s="11" t="s">
        <v>150</v>
      </c>
      <c r="AB734" s="5" t="s">
        <v>245</v>
      </c>
      <c r="AC734" s="5"/>
      <c r="AD734" s="11" t="s">
        <v>1980</v>
      </c>
      <c r="AE734" s="23" t="n">
        <v>0.95</v>
      </c>
      <c r="AF734" s="23" t="n">
        <v>0</v>
      </c>
      <c r="AG734" s="23" t="n">
        <v>0.33</v>
      </c>
      <c r="AH734" s="23" t="n">
        <v>1</v>
      </c>
      <c r="AI734" s="23" t="n">
        <v>1</v>
      </c>
      <c r="AJ734" s="23" t="n">
        <v>0.5648</v>
      </c>
      <c r="AK734" s="23" t="n">
        <v>0.5</v>
      </c>
      <c r="AL734" s="23" t="n">
        <v>0</v>
      </c>
      <c r="AM734" s="16" t="n">
        <f aca="false">COUNTIFS($D$2:$D$2501,D734,$G$2:$G$2501,"&gt;"&amp;G734)+COUNTIFS($D$2:D734,D734,$G$2:G734,G734)</f>
        <v>104</v>
      </c>
      <c r="AN734" s="5" t="str">
        <f aca="false">D734&amp;"|"&amp;AM734</f>
        <v>實體擷取與去識別化|104</v>
      </c>
    </row>
    <row r="735" customFormat="false" ht="17.15" hidden="false" customHeight="false" outlineLevel="0" collapsed="false">
      <c r="A735" s="16" t="n">
        <f aca="false">RANK(G735,$G$2:$G$2501)+COUNTIF($G$2:G735,G735)-1</f>
        <v>734</v>
      </c>
      <c r="B735" s="11" t="s">
        <v>1981</v>
      </c>
      <c r="C735" s="11" t="s">
        <v>753</v>
      </c>
      <c r="D735" s="5" t="s">
        <v>56</v>
      </c>
      <c r="E735" s="5" t="s">
        <v>57</v>
      </c>
      <c r="F735" s="5"/>
      <c r="G735" s="22" t="n">
        <f aca="false">ROUND(SUM(I735:P735),3)</f>
        <v>66.598</v>
      </c>
      <c r="H735" s="5" t="str">
        <f aca="false">IF(G735&gt;=評分方法!$C$16,"優先評估",IF(G735&gt;=評分方法!$C$17,"列入候選",IF(G735&gt;=評分方法!$C$18,"特定情境","不建議")))</f>
        <v>特定情境</v>
      </c>
      <c r="I735" s="15" t="n">
        <f aca="false">AE735*評分方法!$C$5</f>
        <v>25.5</v>
      </c>
      <c r="J735" s="15" t="n">
        <f aca="false">AF735*評分方法!$C$6</f>
        <v>0</v>
      </c>
      <c r="K735" s="15" t="n">
        <f aca="false">AG735*評分方法!$C$7</f>
        <v>10.05</v>
      </c>
      <c r="L735" s="15" t="n">
        <f aca="false">AH735*評分方法!$C$8</f>
        <v>9</v>
      </c>
      <c r="M735" s="15" t="n">
        <f aca="false">AI735*評分方法!$C$9</f>
        <v>10</v>
      </c>
      <c r="N735" s="15" t="n">
        <f aca="false">AJ735*評分方法!$C$10</f>
        <v>4.048</v>
      </c>
      <c r="O735" s="15" t="n">
        <f aca="false">AK735*評分方法!$C$11</f>
        <v>5</v>
      </c>
      <c r="P735" s="15" t="n">
        <f aca="false">AL735*評分方法!$C$12</f>
        <v>3</v>
      </c>
      <c r="Q735" s="6" t="n">
        <v>424308</v>
      </c>
      <c r="R735" s="6" t="n">
        <v>14119310986</v>
      </c>
      <c r="S735" s="11" t="s">
        <v>389</v>
      </c>
      <c r="T735" s="11" t="s">
        <v>239</v>
      </c>
      <c r="U735" s="5" t="s">
        <v>240</v>
      </c>
      <c r="V735" s="11" t="s">
        <v>261</v>
      </c>
      <c r="W735" s="5" t="s">
        <v>207</v>
      </c>
      <c r="X735" s="5" t="s">
        <v>371</v>
      </c>
      <c r="Y735" s="11" t="s">
        <v>575</v>
      </c>
      <c r="Z735" s="11" t="s">
        <v>244</v>
      </c>
      <c r="AA735" s="11" t="s">
        <v>156</v>
      </c>
      <c r="AB735" s="5" t="s">
        <v>245</v>
      </c>
      <c r="AC735" s="5" t="s">
        <v>246</v>
      </c>
      <c r="AD735" s="11" t="s">
        <v>1982</v>
      </c>
      <c r="AE735" s="23" t="n">
        <v>0.85</v>
      </c>
      <c r="AF735" s="23" t="n">
        <v>0</v>
      </c>
      <c r="AG735" s="23" t="n">
        <v>0.67</v>
      </c>
      <c r="AH735" s="23" t="n">
        <v>0.6</v>
      </c>
      <c r="AI735" s="23" t="n">
        <v>1</v>
      </c>
      <c r="AJ735" s="23" t="n">
        <v>0.4048</v>
      </c>
      <c r="AK735" s="23" t="n">
        <v>1</v>
      </c>
      <c r="AL735" s="23" t="n">
        <v>0.6</v>
      </c>
      <c r="AM735" s="16" t="n">
        <f aca="false">COUNTIFS($D$2:$D$2501,D735,$G$2:$G$2501,"&gt;"&amp;G735)+COUNTIFS($D$2:D735,D735,$G$2:G735,G735)</f>
        <v>375</v>
      </c>
      <c r="AN735" s="5" t="str">
        <f aca="false">D735&amp;"|"&amp;AM735</f>
        <v>分析與報告生成|375</v>
      </c>
    </row>
    <row r="736" customFormat="false" ht="17.15" hidden="false" customHeight="false" outlineLevel="0" collapsed="false">
      <c r="A736" s="16" t="n">
        <f aca="false">RANK(G736,$G$2:$G$2501)+COUNTIF($G$2:G736,G736)-1</f>
        <v>735</v>
      </c>
      <c r="B736" s="11" t="s">
        <v>1983</v>
      </c>
      <c r="C736" s="11" t="s">
        <v>402</v>
      </c>
      <c r="D736" s="5" t="s">
        <v>58</v>
      </c>
      <c r="E736" s="5" t="s">
        <v>59</v>
      </c>
      <c r="F736" s="5"/>
      <c r="G736" s="22" t="n">
        <f aca="false">ROUND(SUM(I736:P736),3)</f>
        <v>66.594</v>
      </c>
      <c r="H736" s="5" t="str">
        <f aca="false">IF(G736&gt;=評分方法!$C$16,"優先評估",IF(G736&gt;=評分方法!$C$17,"列入候選",IF(G736&gt;=評分方法!$C$18,"特定情境","不建議")))</f>
        <v>特定情境</v>
      </c>
      <c r="I736" s="15" t="n">
        <f aca="false">AE736*評分方法!$C$5</f>
        <v>28.5</v>
      </c>
      <c r="J736" s="15" t="n">
        <f aca="false">AF736*評分方法!$C$6</f>
        <v>0</v>
      </c>
      <c r="K736" s="15" t="n">
        <f aca="false">AG736*評分方法!$C$7</f>
        <v>4.95</v>
      </c>
      <c r="L736" s="15" t="n">
        <f aca="false">AH736*評分方法!$C$8</f>
        <v>15</v>
      </c>
      <c r="M736" s="15" t="n">
        <f aca="false">AI736*評分方法!$C$9</f>
        <v>10</v>
      </c>
      <c r="N736" s="15" t="n">
        <f aca="false">AJ736*評分方法!$C$10</f>
        <v>5.644</v>
      </c>
      <c r="O736" s="15" t="n">
        <f aca="false">AK736*評分方法!$C$11</f>
        <v>2.5</v>
      </c>
      <c r="P736" s="15" t="n">
        <f aca="false">AL736*評分方法!$C$12</f>
        <v>0</v>
      </c>
      <c r="Q736" s="6" t="n">
        <v>584886</v>
      </c>
      <c r="R736" s="6" t="n">
        <v>149607171</v>
      </c>
      <c r="S736" s="11" t="s">
        <v>238</v>
      </c>
      <c r="T736" s="11" t="s">
        <v>239</v>
      </c>
      <c r="U736" s="5" t="s">
        <v>240</v>
      </c>
      <c r="V736" s="11" t="s">
        <v>261</v>
      </c>
      <c r="W736" s="5" t="s">
        <v>334</v>
      </c>
      <c r="X736" s="5" t="s">
        <v>242</v>
      </c>
      <c r="Y736" s="5"/>
      <c r="Z736" s="5"/>
      <c r="AA736" s="11" t="s">
        <v>150</v>
      </c>
      <c r="AB736" s="5" t="s">
        <v>245</v>
      </c>
      <c r="AC736" s="5"/>
      <c r="AD736" s="11" t="s">
        <v>1984</v>
      </c>
      <c r="AE736" s="23" t="n">
        <v>0.95</v>
      </c>
      <c r="AF736" s="23" t="n">
        <v>0</v>
      </c>
      <c r="AG736" s="23" t="n">
        <v>0.33</v>
      </c>
      <c r="AH736" s="23" t="n">
        <v>1</v>
      </c>
      <c r="AI736" s="23" t="n">
        <v>1</v>
      </c>
      <c r="AJ736" s="23" t="n">
        <v>0.5644</v>
      </c>
      <c r="AK736" s="23" t="n">
        <v>0.5</v>
      </c>
      <c r="AL736" s="23" t="n">
        <v>0</v>
      </c>
      <c r="AM736" s="16" t="n">
        <f aca="false">COUNTIFS($D$2:$D$2501,D736,$G$2:$G$2501,"&gt;"&amp;G736)+COUNTIFS($D$2:D736,D736,$G$2:G736,G736)</f>
        <v>105</v>
      </c>
      <c r="AN736" s="5" t="str">
        <f aca="false">D736&amp;"|"&amp;AM736</f>
        <v>實體擷取與去識別化|105</v>
      </c>
    </row>
    <row r="737" customFormat="false" ht="17.15" hidden="false" customHeight="false" outlineLevel="0" collapsed="false">
      <c r="A737" s="16" t="n">
        <f aca="false">RANK(G737,$G$2:$G$2501)+COUNTIF($G$2:G737,G737)-1</f>
        <v>736</v>
      </c>
      <c r="B737" s="11" t="s">
        <v>1985</v>
      </c>
      <c r="C737" s="11" t="s">
        <v>891</v>
      </c>
      <c r="D737" s="5" t="s">
        <v>56</v>
      </c>
      <c r="E737" s="5" t="s">
        <v>57</v>
      </c>
      <c r="F737" s="5"/>
      <c r="G737" s="22" t="n">
        <f aca="false">ROUND(SUM(I737:P737),3)</f>
        <v>66.59</v>
      </c>
      <c r="H737" s="5" t="str">
        <f aca="false">IF(G737&gt;=評分方法!$C$16,"優先評估",IF(G737&gt;=評分方法!$C$17,"列入候選",IF(G737&gt;=評分方法!$C$18,"特定情境","不建議")))</f>
        <v>特定情境</v>
      </c>
      <c r="I737" s="15" t="n">
        <f aca="false">AE737*評分方法!$C$5</f>
        <v>25.5</v>
      </c>
      <c r="J737" s="15" t="n">
        <f aca="false">AF737*評分方法!$C$6</f>
        <v>0</v>
      </c>
      <c r="K737" s="15" t="n">
        <f aca="false">AG737*評分方法!$C$7</f>
        <v>10.05</v>
      </c>
      <c r="L737" s="15" t="n">
        <f aca="false">AH737*評分方法!$C$8</f>
        <v>9</v>
      </c>
      <c r="M737" s="15" t="n">
        <f aca="false">AI737*評分方法!$C$9</f>
        <v>6</v>
      </c>
      <c r="N737" s="15" t="n">
        <f aca="false">AJ737*評分方法!$C$10</f>
        <v>7.04</v>
      </c>
      <c r="O737" s="15" t="n">
        <f aca="false">AK737*評分方法!$C$11</f>
        <v>4</v>
      </c>
      <c r="P737" s="15" t="n">
        <f aca="false">AL737*評分方法!$C$12</f>
        <v>5</v>
      </c>
      <c r="Q737" s="6" t="n">
        <v>933848</v>
      </c>
      <c r="R737" s="6" t="n">
        <v>23843659008</v>
      </c>
      <c r="S737" s="11" t="s">
        <v>389</v>
      </c>
      <c r="T737" s="11" t="s">
        <v>185</v>
      </c>
      <c r="U737" s="5" t="s">
        <v>260</v>
      </c>
      <c r="V737" s="11" t="s">
        <v>261</v>
      </c>
      <c r="W737" s="5" t="s">
        <v>207</v>
      </c>
      <c r="X737" s="5" t="s">
        <v>284</v>
      </c>
      <c r="Y737" s="11" t="s">
        <v>1986</v>
      </c>
      <c r="Z737" s="11" t="s">
        <v>244</v>
      </c>
      <c r="AA737" s="11" t="s">
        <v>155</v>
      </c>
      <c r="AB737" s="5" t="s">
        <v>245</v>
      </c>
      <c r="AC737" s="5" t="s">
        <v>464</v>
      </c>
      <c r="AD737" s="11" t="s">
        <v>1987</v>
      </c>
      <c r="AE737" s="23" t="n">
        <v>0.85</v>
      </c>
      <c r="AF737" s="23" t="n">
        <v>0</v>
      </c>
      <c r="AG737" s="23" t="n">
        <v>0.67</v>
      </c>
      <c r="AH737" s="23" t="n">
        <v>0.6</v>
      </c>
      <c r="AI737" s="23" t="n">
        <v>0.6</v>
      </c>
      <c r="AJ737" s="23" t="n">
        <v>0.704</v>
      </c>
      <c r="AK737" s="23" t="n">
        <v>0.8</v>
      </c>
      <c r="AL737" s="23" t="n">
        <v>1</v>
      </c>
      <c r="AM737" s="16" t="n">
        <f aca="false">COUNTIFS($D$2:$D$2501,D737,$G$2:$G$2501,"&gt;"&amp;G737)+COUNTIFS($D$2:D737,D737,$G$2:G737,G737)</f>
        <v>376</v>
      </c>
      <c r="AN737" s="5" t="str">
        <f aca="false">D737&amp;"|"&amp;AM737</f>
        <v>分析與報告生成|376</v>
      </c>
    </row>
    <row r="738" customFormat="false" ht="17.15" hidden="false" customHeight="false" outlineLevel="0" collapsed="false">
      <c r="A738" s="16" t="n">
        <f aca="false">RANK(G738,$G$2:$G$2501)+COUNTIF($G$2:G738,G738)-1</f>
        <v>737</v>
      </c>
      <c r="B738" s="11" t="s">
        <v>1988</v>
      </c>
      <c r="C738" s="11" t="s">
        <v>402</v>
      </c>
      <c r="D738" s="5" t="s">
        <v>58</v>
      </c>
      <c r="E738" s="5" t="s">
        <v>59</v>
      </c>
      <c r="F738" s="5"/>
      <c r="G738" s="22" t="n">
        <f aca="false">ROUND(SUM(I738:P738),3)</f>
        <v>66.586</v>
      </c>
      <c r="H738" s="5" t="str">
        <f aca="false">IF(G738&gt;=評分方法!$C$16,"優先評估",IF(G738&gt;=評分方法!$C$17,"列入候選",IF(G738&gt;=評分方法!$C$18,"特定情境","不建議")))</f>
        <v>特定情境</v>
      </c>
      <c r="I738" s="15" t="n">
        <f aca="false">AE738*評分方法!$C$5</f>
        <v>28.5</v>
      </c>
      <c r="J738" s="15" t="n">
        <f aca="false">AF738*評分方法!$C$6</f>
        <v>0</v>
      </c>
      <c r="K738" s="15" t="n">
        <f aca="false">AG738*評分方法!$C$7</f>
        <v>4.95</v>
      </c>
      <c r="L738" s="15" t="n">
        <f aca="false">AH738*評分方法!$C$8</f>
        <v>15</v>
      </c>
      <c r="M738" s="15" t="n">
        <f aca="false">AI738*評分方法!$C$9</f>
        <v>10</v>
      </c>
      <c r="N738" s="15" t="n">
        <f aca="false">AJ738*評分方法!$C$10</f>
        <v>5.636</v>
      </c>
      <c r="O738" s="15" t="n">
        <f aca="false">AK738*評分方法!$C$11</f>
        <v>2.5</v>
      </c>
      <c r="P738" s="15" t="n">
        <f aca="false">AL738*評分方法!$C$12</f>
        <v>0</v>
      </c>
      <c r="Q738" s="6" t="n">
        <v>583474</v>
      </c>
      <c r="R738" s="6" t="n">
        <v>149607171</v>
      </c>
      <c r="S738" s="11" t="s">
        <v>238</v>
      </c>
      <c r="T738" s="11" t="s">
        <v>239</v>
      </c>
      <c r="U738" s="5" t="s">
        <v>240</v>
      </c>
      <c r="V738" s="11" t="s">
        <v>261</v>
      </c>
      <c r="W738" s="5" t="s">
        <v>334</v>
      </c>
      <c r="X738" s="5" t="s">
        <v>242</v>
      </c>
      <c r="Y738" s="5"/>
      <c r="Z738" s="5"/>
      <c r="AA738" s="11" t="s">
        <v>150</v>
      </c>
      <c r="AB738" s="5" t="s">
        <v>245</v>
      </c>
      <c r="AC738" s="5"/>
      <c r="AD738" s="11" t="s">
        <v>1989</v>
      </c>
      <c r="AE738" s="23" t="n">
        <v>0.95</v>
      </c>
      <c r="AF738" s="23" t="n">
        <v>0</v>
      </c>
      <c r="AG738" s="23" t="n">
        <v>0.33</v>
      </c>
      <c r="AH738" s="23" t="n">
        <v>1</v>
      </c>
      <c r="AI738" s="23" t="n">
        <v>1</v>
      </c>
      <c r="AJ738" s="23" t="n">
        <v>0.5636</v>
      </c>
      <c r="AK738" s="23" t="n">
        <v>0.5</v>
      </c>
      <c r="AL738" s="23" t="n">
        <v>0</v>
      </c>
      <c r="AM738" s="16" t="n">
        <f aca="false">COUNTIFS($D$2:$D$2501,D738,$G$2:$G$2501,"&gt;"&amp;G738)+COUNTIFS($D$2:D738,D738,$G$2:G738,G738)</f>
        <v>106</v>
      </c>
      <c r="AN738" s="5" t="str">
        <f aca="false">D738&amp;"|"&amp;AM738</f>
        <v>實體擷取與去識別化|106</v>
      </c>
    </row>
    <row r="739" customFormat="false" ht="17.15" hidden="false" customHeight="false" outlineLevel="0" collapsed="false">
      <c r="A739" s="16" t="n">
        <f aca="false">RANK(G739,$G$2:$G$2501)+COUNTIF($G$2:G739,G739)-1</f>
        <v>738</v>
      </c>
      <c r="B739" s="11" t="s">
        <v>1990</v>
      </c>
      <c r="C739" s="11" t="s">
        <v>402</v>
      </c>
      <c r="D739" s="5" t="s">
        <v>58</v>
      </c>
      <c r="E739" s="5" t="s">
        <v>59</v>
      </c>
      <c r="F739" s="5"/>
      <c r="G739" s="22" t="n">
        <f aca="false">ROUND(SUM(I739:P739),3)</f>
        <v>66.582</v>
      </c>
      <c r="H739" s="5" t="str">
        <f aca="false">IF(G739&gt;=評分方法!$C$16,"優先評估",IF(G739&gt;=評分方法!$C$17,"列入候選",IF(G739&gt;=評分方法!$C$18,"特定情境","不建議")))</f>
        <v>特定情境</v>
      </c>
      <c r="I739" s="15" t="n">
        <f aca="false">AE739*評分方法!$C$5</f>
        <v>28.5</v>
      </c>
      <c r="J739" s="15" t="n">
        <f aca="false">AF739*評分方法!$C$6</f>
        <v>0</v>
      </c>
      <c r="K739" s="15" t="n">
        <f aca="false">AG739*評分方法!$C$7</f>
        <v>4.95</v>
      </c>
      <c r="L739" s="15" t="n">
        <f aca="false">AH739*評分方法!$C$8</f>
        <v>15</v>
      </c>
      <c r="M739" s="15" t="n">
        <f aca="false">AI739*評分方法!$C$9</f>
        <v>10</v>
      </c>
      <c r="N739" s="15" t="n">
        <f aca="false">AJ739*評分方法!$C$10</f>
        <v>5.632</v>
      </c>
      <c r="O739" s="15" t="n">
        <f aca="false">AK739*評分方法!$C$11</f>
        <v>2.5</v>
      </c>
      <c r="P739" s="15" t="n">
        <f aca="false">AL739*評分方法!$C$12</f>
        <v>0</v>
      </c>
      <c r="Q739" s="6" t="n">
        <v>583342</v>
      </c>
      <c r="R739" s="6" t="n">
        <v>108893955</v>
      </c>
      <c r="S739" s="11" t="s">
        <v>238</v>
      </c>
      <c r="T739" s="11" t="s">
        <v>239</v>
      </c>
      <c r="U739" s="5" t="s">
        <v>240</v>
      </c>
      <c r="V739" s="11" t="s">
        <v>261</v>
      </c>
      <c r="W739" s="5" t="s">
        <v>334</v>
      </c>
      <c r="X739" s="5" t="s">
        <v>242</v>
      </c>
      <c r="Y739" s="5"/>
      <c r="Z739" s="5"/>
      <c r="AA739" s="11" t="s">
        <v>150</v>
      </c>
      <c r="AB739" s="5" t="s">
        <v>245</v>
      </c>
      <c r="AC739" s="5"/>
      <c r="AD739" s="11" t="s">
        <v>1991</v>
      </c>
      <c r="AE739" s="23" t="n">
        <v>0.95</v>
      </c>
      <c r="AF739" s="23" t="n">
        <v>0</v>
      </c>
      <c r="AG739" s="23" t="n">
        <v>0.33</v>
      </c>
      <c r="AH739" s="23" t="n">
        <v>1</v>
      </c>
      <c r="AI739" s="23" t="n">
        <v>1</v>
      </c>
      <c r="AJ739" s="23" t="n">
        <v>0.5632</v>
      </c>
      <c r="AK739" s="23" t="n">
        <v>0.5</v>
      </c>
      <c r="AL739" s="23" t="n">
        <v>0</v>
      </c>
      <c r="AM739" s="16" t="n">
        <f aca="false">COUNTIFS($D$2:$D$2501,D739,$G$2:$G$2501,"&gt;"&amp;G739)+COUNTIFS($D$2:D739,D739,$G$2:G739,G739)</f>
        <v>107</v>
      </c>
      <c r="AN739" s="5" t="str">
        <f aca="false">D739&amp;"|"&amp;AM739</f>
        <v>實體擷取與去識別化|107</v>
      </c>
    </row>
    <row r="740" customFormat="false" ht="17.15" hidden="false" customHeight="false" outlineLevel="0" collapsed="false">
      <c r="A740" s="16" t="n">
        <f aca="false">RANK(G740,$G$2:$G$2501)+COUNTIF($G$2:G740,G740)-1</f>
        <v>739</v>
      </c>
      <c r="B740" s="11" t="s">
        <v>1992</v>
      </c>
      <c r="C740" s="11" t="s">
        <v>989</v>
      </c>
      <c r="D740" s="5" t="s">
        <v>56</v>
      </c>
      <c r="E740" s="5" t="s">
        <v>57</v>
      </c>
      <c r="F740" s="5"/>
      <c r="G740" s="22" t="n">
        <f aca="false">ROUND(SUM(I740:P740),3)</f>
        <v>66.576</v>
      </c>
      <c r="H740" s="5" t="str">
        <f aca="false">IF(G740&gt;=評分方法!$C$16,"優先評估",IF(G740&gt;=評分方法!$C$17,"列入候選",IF(G740&gt;=評分方法!$C$18,"特定情境","不建議")))</f>
        <v>特定情境</v>
      </c>
      <c r="I740" s="15" t="n">
        <f aca="false">AE740*評分方法!$C$5</f>
        <v>25.5</v>
      </c>
      <c r="J740" s="15" t="n">
        <f aca="false">AF740*評分方法!$C$6</f>
        <v>0</v>
      </c>
      <c r="K740" s="15" t="n">
        <f aca="false">AG740*評分方法!$C$7</f>
        <v>10.05</v>
      </c>
      <c r="L740" s="15" t="n">
        <f aca="false">AH740*評分方法!$C$8</f>
        <v>13.05</v>
      </c>
      <c r="M740" s="15" t="n">
        <f aca="false">AI740*評分方法!$C$9</f>
        <v>10</v>
      </c>
      <c r="N740" s="15" t="n">
        <f aca="false">AJ740*評分方法!$C$10</f>
        <v>2.976</v>
      </c>
      <c r="O740" s="15" t="n">
        <f aca="false">AK740*評分方法!$C$11</f>
        <v>5</v>
      </c>
      <c r="P740" s="15" t="n">
        <f aca="false">AL740*評分方法!$C$12</f>
        <v>0</v>
      </c>
      <c r="Q740" s="6" t="n">
        <v>292144</v>
      </c>
      <c r="R740" s="6" t="n">
        <v>4205751296</v>
      </c>
      <c r="S740" s="11" t="s">
        <v>254</v>
      </c>
      <c r="T740" s="11" t="s">
        <v>278</v>
      </c>
      <c r="U740" s="5" t="s">
        <v>240</v>
      </c>
      <c r="V740" s="11" t="s">
        <v>333</v>
      </c>
      <c r="W740" s="5" t="s">
        <v>207</v>
      </c>
      <c r="X740" s="5" t="s">
        <v>242</v>
      </c>
      <c r="Y740" s="11" t="s">
        <v>1993</v>
      </c>
      <c r="Z740" s="11" t="s">
        <v>244</v>
      </c>
      <c r="AA740" s="11" t="s">
        <v>156</v>
      </c>
      <c r="AB740" s="5" t="s">
        <v>245</v>
      </c>
      <c r="AC740" s="5" t="s">
        <v>246</v>
      </c>
      <c r="AD740" s="11" t="s">
        <v>1994</v>
      </c>
      <c r="AE740" s="23" t="n">
        <v>0.85</v>
      </c>
      <c r="AF740" s="23" t="n">
        <v>0</v>
      </c>
      <c r="AG740" s="23" t="n">
        <v>0.67</v>
      </c>
      <c r="AH740" s="23" t="n">
        <v>0.87</v>
      </c>
      <c r="AI740" s="23" t="n">
        <v>1</v>
      </c>
      <c r="AJ740" s="23" t="n">
        <v>0.2976</v>
      </c>
      <c r="AK740" s="23" t="n">
        <v>1</v>
      </c>
      <c r="AL740" s="23" t="n">
        <v>0</v>
      </c>
      <c r="AM740" s="16" t="n">
        <f aca="false">COUNTIFS($D$2:$D$2501,D740,$G$2:$G$2501,"&gt;"&amp;G740)+COUNTIFS($D$2:D740,D740,$G$2:G740,G740)</f>
        <v>377</v>
      </c>
      <c r="AN740" s="5" t="str">
        <f aca="false">D740&amp;"|"&amp;AM740</f>
        <v>分析與報告生成|377</v>
      </c>
    </row>
    <row r="741" customFormat="false" ht="17.15" hidden="false" customHeight="false" outlineLevel="0" collapsed="false">
      <c r="A741" s="16" t="n">
        <f aca="false">RANK(G741,$G$2:$G$2501)+COUNTIF($G$2:G741,G741)-1</f>
        <v>740</v>
      </c>
      <c r="B741" s="11" t="s">
        <v>1995</v>
      </c>
      <c r="C741" s="11" t="s">
        <v>402</v>
      </c>
      <c r="D741" s="5" t="s">
        <v>58</v>
      </c>
      <c r="E741" s="5" t="s">
        <v>59</v>
      </c>
      <c r="F741" s="5"/>
      <c r="G741" s="22" t="n">
        <f aca="false">ROUND(SUM(I741:P741),3)</f>
        <v>66.574</v>
      </c>
      <c r="H741" s="5" t="str">
        <f aca="false">IF(G741&gt;=評分方法!$C$16,"優先評估",IF(G741&gt;=評分方法!$C$17,"列入候選",IF(G741&gt;=評分方法!$C$18,"特定情境","不建議")))</f>
        <v>特定情境</v>
      </c>
      <c r="I741" s="15" t="n">
        <f aca="false">AE741*評分方法!$C$5</f>
        <v>28.5</v>
      </c>
      <c r="J741" s="15" t="n">
        <f aca="false">AF741*評分方法!$C$6</f>
        <v>0</v>
      </c>
      <c r="K741" s="15" t="n">
        <f aca="false">AG741*評分方法!$C$7</f>
        <v>4.95</v>
      </c>
      <c r="L741" s="15" t="n">
        <f aca="false">AH741*評分方法!$C$8</f>
        <v>15</v>
      </c>
      <c r="M741" s="15" t="n">
        <f aca="false">AI741*評分方法!$C$9</f>
        <v>10</v>
      </c>
      <c r="N741" s="15" t="n">
        <f aca="false">AJ741*評分方法!$C$10</f>
        <v>5.624</v>
      </c>
      <c r="O741" s="15" t="n">
        <f aca="false">AK741*評分方法!$C$11</f>
        <v>2.5</v>
      </c>
      <c r="P741" s="15" t="n">
        <f aca="false">AL741*評分方法!$C$12</f>
        <v>0</v>
      </c>
      <c r="Q741" s="6" t="n">
        <v>582605</v>
      </c>
      <c r="R741" s="6" t="n">
        <v>108900107</v>
      </c>
      <c r="S741" s="11" t="s">
        <v>238</v>
      </c>
      <c r="T741" s="11" t="s">
        <v>239</v>
      </c>
      <c r="U741" s="5" t="s">
        <v>240</v>
      </c>
      <c r="V741" s="11" t="s">
        <v>261</v>
      </c>
      <c r="W741" s="5" t="s">
        <v>334</v>
      </c>
      <c r="X741" s="5" t="s">
        <v>242</v>
      </c>
      <c r="Y741" s="5"/>
      <c r="Z741" s="5"/>
      <c r="AA741" s="11" t="s">
        <v>150</v>
      </c>
      <c r="AB741" s="5" t="s">
        <v>245</v>
      </c>
      <c r="AC741" s="5"/>
      <c r="AD741" s="11" t="s">
        <v>1996</v>
      </c>
      <c r="AE741" s="23" t="n">
        <v>0.95</v>
      </c>
      <c r="AF741" s="23" t="n">
        <v>0</v>
      </c>
      <c r="AG741" s="23" t="n">
        <v>0.33</v>
      </c>
      <c r="AH741" s="23" t="n">
        <v>1</v>
      </c>
      <c r="AI741" s="23" t="n">
        <v>1</v>
      </c>
      <c r="AJ741" s="23" t="n">
        <v>0.5624</v>
      </c>
      <c r="AK741" s="23" t="n">
        <v>0.5</v>
      </c>
      <c r="AL741" s="23" t="n">
        <v>0</v>
      </c>
      <c r="AM741" s="16" t="n">
        <f aca="false">COUNTIFS($D$2:$D$2501,D741,$G$2:$G$2501,"&gt;"&amp;G741)+COUNTIFS($D$2:D741,D741,$G$2:G741,G741)</f>
        <v>108</v>
      </c>
      <c r="AN741" s="5" t="str">
        <f aca="false">D741&amp;"|"&amp;AM741</f>
        <v>實體擷取與去識別化|108</v>
      </c>
    </row>
    <row r="742" customFormat="false" ht="17.15" hidden="false" customHeight="false" outlineLevel="0" collapsed="false">
      <c r="A742" s="16" t="n">
        <f aca="false">RANK(G742,$G$2:$G$2501)+COUNTIF($G$2:G742,G742)-1</f>
        <v>741</v>
      </c>
      <c r="B742" s="11" t="s">
        <v>1997</v>
      </c>
      <c r="C742" s="11" t="s">
        <v>891</v>
      </c>
      <c r="D742" s="5" t="s">
        <v>56</v>
      </c>
      <c r="E742" s="5" t="s">
        <v>57</v>
      </c>
      <c r="F742" s="5"/>
      <c r="G742" s="22" t="n">
        <f aca="false">ROUND(SUM(I742:P742),3)</f>
        <v>66.562</v>
      </c>
      <c r="H742" s="5" t="str">
        <f aca="false">IF(G742&gt;=評分方法!$C$16,"優先評估",IF(G742&gt;=評分方法!$C$17,"列入候選",IF(G742&gt;=評分方法!$C$18,"特定情境","不建議")))</f>
        <v>特定情境</v>
      </c>
      <c r="I742" s="15" t="n">
        <f aca="false">AE742*評分方法!$C$5</f>
        <v>25.5</v>
      </c>
      <c r="J742" s="15" t="n">
        <f aca="false">AF742*評分方法!$C$6</f>
        <v>0</v>
      </c>
      <c r="K742" s="15" t="n">
        <f aca="false">AG742*評分方法!$C$7</f>
        <v>10.05</v>
      </c>
      <c r="L742" s="15" t="n">
        <f aca="false">AH742*評分方法!$C$8</f>
        <v>9</v>
      </c>
      <c r="M742" s="15" t="n">
        <f aca="false">AI742*評分方法!$C$9</f>
        <v>6</v>
      </c>
      <c r="N742" s="15" t="n">
        <f aca="false">AJ742*評分方法!$C$10</f>
        <v>7.012</v>
      </c>
      <c r="O742" s="15" t="n">
        <f aca="false">AK742*評分方法!$C$11</f>
        <v>4</v>
      </c>
      <c r="P742" s="15" t="n">
        <f aca="false">AL742*評分方法!$C$12</f>
        <v>5</v>
      </c>
      <c r="Q742" s="6" t="n">
        <v>921404</v>
      </c>
      <c r="R742" s="6" t="n">
        <v>23843659008</v>
      </c>
      <c r="S742" s="11" t="s">
        <v>389</v>
      </c>
      <c r="T742" s="11" t="s">
        <v>185</v>
      </c>
      <c r="U742" s="5" t="s">
        <v>260</v>
      </c>
      <c r="V742" s="11" t="s">
        <v>261</v>
      </c>
      <c r="W742" s="5" t="s">
        <v>207</v>
      </c>
      <c r="X742" s="5" t="s">
        <v>284</v>
      </c>
      <c r="Y742" s="11" t="s">
        <v>1986</v>
      </c>
      <c r="Z742" s="11" t="s">
        <v>244</v>
      </c>
      <c r="AA742" s="11" t="s">
        <v>155</v>
      </c>
      <c r="AB742" s="5" t="s">
        <v>245</v>
      </c>
      <c r="AC742" s="5" t="s">
        <v>464</v>
      </c>
      <c r="AD742" s="11" t="s">
        <v>1998</v>
      </c>
      <c r="AE742" s="23" t="n">
        <v>0.85</v>
      </c>
      <c r="AF742" s="23" t="n">
        <v>0</v>
      </c>
      <c r="AG742" s="23" t="n">
        <v>0.67</v>
      </c>
      <c r="AH742" s="23" t="n">
        <v>0.6</v>
      </c>
      <c r="AI742" s="23" t="n">
        <v>0.6</v>
      </c>
      <c r="AJ742" s="23" t="n">
        <v>0.7012</v>
      </c>
      <c r="AK742" s="23" t="n">
        <v>0.8</v>
      </c>
      <c r="AL742" s="23" t="n">
        <v>1</v>
      </c>
      <c r="AM742" s="16" t="n">
        <f aca="false">COUNTIFS($D$2:$D$2501,D742,$G$2:$G$2501,"&gt;"&amp;G742)+COUNTIFS($D$2:D742,D742,$G$2:G742,G742)</f>
        <v>378</v>
      </c>
      <c r="AN742" s="5" t="str">
        <f aca="false">D742&amp;"|"&amp;AM742</f>
        <v>分析與報告生成|378</v>
      </c>
    </row>
    <row r="743" customFormat="false" ht="17.15" hidden="false" customHeight="false" outlineLevel="0" collapsed="false">
      <c r="A743" s="16" t="n">
        <f aca="false">RANK(G743,$G$2:$G$2501)+COUNTIF($G$2:G743,G743)-1</f>
        <v>742</v>
      </c>
      <c r="B743" s="11" t="s">
        <v>1999</v>
      </c>
      <c r="C743" s="11" t="s">
        <v>402</v>
      </c>
      <c r="D743" s="5" t="s">
        <v>58</v>
      </c>
      <c r="E743" s="5" t="s">
        <v>59</v>
      </c>
      <c r="F743" s="5"/>
      <c r="G743" s="22" t="n">
        <f aca="false">ROUND(SUM(I743:P743),3)</f>
        <v>66.558</v>
      </c>
      <c r="H743" s="5" t="str">
        <f aca="false">IF(G743&gt;=評分方法!$C$16,"優先評估",IF(G743&gt;=評分方法!$C$17,"列入候選",IF(G743&gt;=評分方法!$C$18,"特定情境","不建議")))</f>
        <v>特定情境</v>
      </c>
      <c r="I743" s="15" t="n">
        <f aca="false">AE743*評分方法!$C$5</f>
        <v>28.5</v>
      </c>
      <c r="J743" s="15" t="n">
        <f aca="false">AF743*評分方法!$C$6</f>
        <v>0</v>
      </c>
      <c r="K743" s="15" t="n">
        <f aca="false">AG743*評分方法!$C$7</f>
        <v>4.95</v>
      </c>
      <c r="L743" s="15" t="n">
        <f aca="false">AH743*評分方法!$C$8</f>
        <v>15</v>
      </c>
      <c r="M743" s="15" t="n">
        <f aca="false">AI743*評分方法!$C$9</f>
        <v>10</v>
      </c>
      <c r="N743" s="15" t="n">
        <f aca="false">AJ743*評分方法!$C$10</f>
        <v>5.608</v>
      </c>
      <c r="O743" s="15" t="n">
        <f aca="false">AK743*評分方法!$C$11</f>
        <v>2.5</v>
      </c>
      <c r="P743" s="15" t="n">
        <f aca="false">AL743*評分方法!$C$12</f>
        <v>0</v>
      </c>
      <c r="Q743" s="6" t="n">
        <v>581155</v>
      </c>
      <c r="R743" s="6" t="n">
        <v>124080417</v>
      </c>
      <c r="S743" s="11" t="s">
        <v>238</v>
      </c>
      <c r="T743" s="11" t="s">
        <v>239</v>
      </c>
      <c r="U743" s="5" t="s">
        <v>240</v>
      </c>
      <c r="V743" s="11" t="s">
        <v>261</v>
      </c>
      <c r="W743" s="5" t="s">
        <v>334</v>
      </c>
      <c r="X743" s="5" t="s">
        <v>242</v>
      </c>
      <c r="Y743" s="5"/>
      <c r="Z743" s="5"/>
      <c r="AA743" s="11" t="s">
        <v>150</v>
      </c>
      <c r="AB743" s="5" t="s">
        <v>245</v>
      </c>
      <c r="AC743" s="5"/>
      <c r="AD743" s="11" t="s">
        <v>2000</v>
      </c>
      <c r="AE743" s="23" t="n">
        <v>0.95</v>
      </c>
      <c r="AF743" s="23" t="n">
        <v>0</v>
      </c>
      <c r="AG743" s="23" t="n">
        <v>0.33</v>
      </c>
      <c r="AH743" s="23" t="n">
        <v>1</v>
      </c>
      <c r="AI743" s="23" t="n">
        <v>1</v>
      </c>
      <c r="AJ743" s="23" t="n">
        <v>0.5608</v>
      </c>
      <c r="AK743" s="23" t="n">
        <v>0.5</v>
      </c>
      <c r="AL743" s="23" t="n">
        <v>0</v>
      </c>
      <c r="AM743" s="16" t="n">
        <f aca="false">COUNTIFS($D$2:$D$2501,D743,$G$2:$G$2501,"&gt;"&amp;G743)+COUNTIFS($D$2:D743,D743,$G$2:G743,G743)</f>
        <v>109</v>
      </c>
      <c r="AN743" s="5" t="str">
        <f aca="false">D743&amp;"|"&amp;AM743</f>
        <v>實體擷取與去識別化|109</v>
      </c>
    </row>
    <row r="744" customFormat="false" ht="17.15" hidden="false" customHeight="false" outlineLevel="0" collapsed="false">
      <c r="A744" s="16" t="n">
        <f aca="false">RANK(G744,$G$2:$G$2501)+COUNTIF($G$2:G744,G744)-1</f>
        <v>743</v>
      </c>
      <c r="B744" s="11" t="s">
        <v>2001</v>
      </c>
      <c r="C744" s="11" t="s">
        <v>891</v>
      </c>
      <c r="D744" s="5" t="s">
        <v>56</v>
      </c>
      <c r="E744" s="5" t="s">
        <v>57</v>
      </c>
      <c r="F744" s="5"/>
      <c r="G744" s="22" t="n">
        <f aca="false">ROUND(SUM(I744:P744),3)</f>
        <v>66.558</v>
      </c>
      <c r="H744" s="5" t="str">
        <f aca="false">IF(G744&gt;=評分方法!$C$16,"優先評估",IF(G744&gt;=評分方法!$C$17,"列入候選",IF(G744&gt;=評分方法!$C$18,"特定情境","不建議")))</f>
        <v>特定情境</v>
      </c>
      <c r="I744" s="15" t="n">
        <f aca="false">AE744*評分方法!$C$5</f>
        <v>25.5</v>
      </c>
      <c r="J744" s="15" t="n">
        <f aca="false">AF744*評分方法!$C$6</f>
        <v>0</v>
      </c>
      <c r="K744" s="15" t="n">
        <f aca="false">AG744*評分方法!$C$7</f>
        <v>10.05</v>
      </c>
      <c r="L744" s="15" t="n">
        <f aca="false">AH744*評分方法!$C$8</f>
        <v>9</v>
      </c>
      <c r="M744" s="15" t="n">
        <f aca="false">AI744*評分方法!$C$9</f>
        <v>6</v>
      </c>
      <c r="N744" s="15" t="n">
        <f aca="false">AJ744*評分方法!$C$10</f>
        <v>7.008</v>
      </c>
      <c r="O744" s="15" t="n">
        <f aca="false">AK744*評分方法!$C$11</f>
        <v>4</v>
      </c>
      <c r="P744" s="15" t="n">
        <f aca="false">AL744*評分方法!$C$12</f>
        <v>5</v>
      </c>
      <c r="Q744" s="6" t="n">
        <v>920598</v>
      </c>
      <c r="R744" s="6" t="n">
        <v>23843659008</v>
      </c>
      <c r="S744" s="11" t="s">
        <v>389</v>
      </c>
      <c r="T744" s="11" t="s">
        <v>185</v>
      </c>
      <c r="U744" s="5" t="s">
        <v>260</v>
      </c>
      <c r="V744" s="11" t="s">
        <v>261</v>
      </c>
      <c r="W744" s="5" t="s">
        <v>207</v>
      </c>
      <c r="X744" s="5" t="s">
        <v>284</v>
      </c>
      <c r="Y744" s="11" t="s">
        <v>1986</v>
      </c>
      <c r="Z744" s="11" t="s">
        <v>244</v>
      </c>
      <c r="AA744" s="11" t="s">
        <v>155</v>
      </c>
      <c r="AB744" s="5" t="s">
        <v>245</v>
      </c>
      <c r="AC744" s="5" t="s">
        <v>464</v>
      </c>
      <c r="AD744" s="11" t="s">
        <v>2002</v>
      </c>
      <c r="AE744" s="23" t="n">
        <v>0.85</v>
      </c>
      <c r="AF744" s="23" t="n">
        <v>0</v>
      </c>
      <c r="AG744" s="23" t="n">
        <v>0.67</v>
      </c>
      <c r="AH744" s="23" t="n">
        <v>0.6</v>
      </c>
      <c r="AI744" s="23" t="n">
        <v>0.6</v>
      </c>
      <c r="AJ744" s="23" t="n">
        <v>0.7008</v>
      </c>
      <c r="AK744" s="23" t="n">
        <v>0.8</v>
      </c>
      <c r="AL744" s="23" t="n">
        <v>1</v>
      </c>
      <c r="AM744" s="16" t="n">
        <f aca="false">COUNTIFS($D$2:$D$2501,D744,$G$2:$G$2501,"&gt;"&amp;G744)+COUNTIFS($D$2:D744,D744,$G$2:G744,G744)</f>
        <v>379</v>
      </c>
      <c r="AN744" s="5" t="str">
        <f aca="false">D744&amp;"|"&amp;AM744</f>
        <v>分析與報告生成|379</v>
      </c>
    </row>
    <row r="745" customFormat="false" ht="17.15" hidden="false" customHeight="false" outlineLevel="0" collapsed="false">
      <c r="A745" s="16" t="n">
        <f aca="false">RANK(G745,$G$2:$G$2501)+COUNTIF($G$2:G745,G745)-1</f>
        <v>744</v>
      </c>
      <c r="B745" s="11" t="s">
        <v>2003</v>
      </c>
      <c r="C745" s="11" t="s">
        <v>891</v>
      </c>
      <c r="D745" s="5" t="s">
        <v>56</v>
      </c>
      <c r="E745" s="5" t="s">
        <v>57</v>
      </c>
      <c r="F745" s="5"/>
      <c r="G745" s="22" t="n">
        <f aca="false">ROUND(SUM(I745:P745),3)</f>
        <v>66.554</v>
      </c>
      <c r="H745" s="5" t="str">
        <f aca="false">IF(G745&gt;=評分方法!$C$16,"優先評估",IF(G745&gt;=評分方法!$C$17,"列入候選",IF(G745&gt;=評分方法!$C$18,"特定情境","不建議")))</f>
        <v>特定情境</v>
      </c>
      <c r="I745" s="15" t="n">
        <f aca="false">AE745*評分方法!$C$5</f>
        <v>25.5</v>
      </c>
      <c r="J745" s="15" t="n">
        <f aca="false">AF745*評分方法!$C$6</f>
        <v>0</v>
      </c>
      <c r="K745" s="15" t="n">
        <f aca="false">AG745*評分方法!$C$7</f>
        <v>10.05</v>
      </c>
      <c r="L745" s="15" t="n">
        <f aca="false">AH745*評分方法!$C$8</f>
        <v>9</v>
      </c>
      <c r="M745" s="15" t="n">
        <f aca="false">AI745*評分方法!$C$9</f>
        <v>6</v>
      </c>
      <c r="N745" s="15" t="n">
        <f aca="false">AJ745*評分方法!$C$10</f>
        <v>7.004</v>
      </c>
      <c r="O745" s="15" t="n">
        <f aca="false">AK745*評分方法!$C$11</f>
        <v>4</v>
      </c>
      <c r="P745" s="15" t="n">
        <f aca="false">AL745*評分方法!$C$12</f>
        <v>5</v>
      </c>
      <c r="Q745" s="6" t="n">
        <v>919686</v>
      </c>
      <c r="R745" s="6" t="n">
        <v>23843659008</v>
      </c>
      <c r="S745" s="11" t="s">
        <v>389</v>
      </c>
      <c r="T745" s="11" t="s">
        <v>185</v>
      </c>
      <c r="U745" s="5" t="s">
        <v>260</v>
      </c>
      <c r="V745" s="11" t="s">
        <v>261</v>
      </c>
      <c r="W745" s="5" t="s">
        <v>207</v>
      </c>
      <c r="X745" s="5" t="s">
        <v>284</v>
      </c>
      <c r="Y745" s="11" t="s">
        <v>1986</v>
      </c>
      <c r="Z745" s="11" t="s">
        <v>244</v>
      </c>
      <c r="AA745" s="11" t="s">
        <v>155</v>
      </c>
      <c r="AB745" s="5" t="s">
        <v>245</v>
      </c>
      <c r="AC745" s="5" t="s">
        <v>464</v>
      </c>
      <c r="AD745" s="11" t="s">
        <v>2004</v>
      </c>
      <c r="AE745" s="23" t="n">
        <v>0.85</v>
      </c>
      <c r="AF745" s="23" t="n">
        <v>0</v>
      </c>
      <c r="AG745" s="23" t="n">
        <v>0.67</v>
      </c>
      <c r="AH745" s="23" t="n">
        <v>0.6</v>
      </c>
      <c r="AI745" s="23" t="n">
        <v>0.6</v>
      </c>
      <c r="AJ745" s="23" t="n">
        <v>0.7004</v>
      </c>
      <c r="AK745" s="23" t="n">
        <v>0.8</v>
      </c>
      <c r="AL745" s="23" t="n">
        <v>1</v>
      </c>
      <c r="AM745" s="16" t="n">
        <f aca="false">COUNTIFS($D$2:$D$2501,D745,$G$2:$G$2501,"&gt;"&amp;G745)+COUNTIFS($D$2:D745,D745,$G$2:G745,G745)</f>
        <v>380</v>
      </c>
      <c r="AN745" s="5" t="str">
        <f aca="false">D745&amp;"|"&amp;AM745</f>
        <v>分析與報告生成|380</v>
      </c>
    </row>
    <row r="746" customFormat="false" ht="17.15" hidden="false" customHeight="false" outlineLevel="0" collapsed="false">
      <c r="A746" s="16" t="n">
        <f aca="false">RANK(G746,$G$2:$G$2501)+COUNTIF($G$2:G746,G746)-1</f>
        <v>745</v>
      </c>
      <c r="B746" s="11" t="s">
        <v>2005</v>
      </c>
      <c r="C746" s="11" t="s">
        <v>402</v>
      </c>
      <c r="D746" s="5" t="s">
        <v>58</v>
      </c>
      <c r="E746" s="5" t="s">
        <v>59</v>
      </c>
      <c r="F746" s="5"/>
      <c r="G746" s="22" t="n">
        <f aca="false">ROUND(SUM(I746:P746),3)</f>
        <v>66.554</v>
      </c>
      <c r="H746" s="5" t="str">
        <f aca="false">IF(G746&gt;=評分方法!$C$16,"優先評估",IF(G746&gt;=評分方法!$C$17,"列入候選",IF(G746&gt;=評分方法!$C$18,"特定情境","不建議")))</f>
        <v>特定情境</v>
      </c>
      <c r="I746" s="15" t="n">
        <f aca="false">AE746*評分方法!$C$5</f>
        <v>28.5</v>
      </c>
      <c r="J746" s="15" t="n">
        <f aca="false">AF746*評分方法!$C$6</f>
        <v>0</v>
      </c>
      <c r="K746" s="15" t="n">
        <f aca="false">AG746*評分方法!$C$7</f>
        <v>4.95</v>
      </c>
      <c r="L746" s="15" t="n">
        <f aca="false">AH746*評分方法!$C$8</f>
        <v>15</v>
      </c>
      <c r="M746" s="15" t="n">
        <f aca="false">AI746*評分方法!$C$9</f>
        <v>10</v>
      </c>
      <c r="N746" s="15" t="n">
        <f aca="false">AJ746*評分方法!$C$10</f>
        <v>5.604</v>
      </c>
      <c r="O746" s="15" t="n">
        <f aca="false">AK746*評分方法!$C$11</f>
        <v>2.5</v>
      </c>
      <c r="P746" s="15" t="n">
        <f aca="false">AL746*評分方法!$C$12</f>
        <v>0</v>
      </c>
      <c r="Q746" s="6" t="n">
        <v>580983</v>
      </c>
      <c r="R746" s="6" t="n">
        <v>395834371</v>
      </c>
      <c r="S746" s="11" t="s">
        <v>238</v>
      </c>
      <c r="T746" s="11" t="s">
        <v>239</v>
      </c>
      <c r="U746" s="5" t="s">
        <v>240</v>
      </c>
      <c r="V746" s="11" t="s">
        <v>261</v>
      </c>
      <c r="W746" s="5" t="s">
        <v>334</v>
      </c>
      <c r="X746" s="5" t="s">
        <v>242</v>
      </c>
      <c r="Y746" s="5"/>
      <c r="Z746" s="5"/>
      <c r="AA746" s="11" t="s">
        <v>150</v>
      </c>
      <c r="AB746" s="5" t="s">
        <v>245</v>
      </c>
      <c r="AC746" s="5"/>
      <c r="AD746" s="11" t="s">
        <v>2006</v>
      </c>
      <c r="AE746" s="23" t="n">
        <v>0.95</v>
      </c>
      <c r="AF746" s="23" t="n">
        <v>0</v>
      </c>
      <c r="AG746" s="23" t="n">
        <v>0.33</v>
      </c>
      <c r="AH746" s="23" t="n">
        <v>1</v>
      </c>
      <c r="AI746" s="23" t="n">
        <v>1</v>
      </c>
      <c r="AJ746" s="23" t="n">
        <v>0.5604</v>
      </c>
      <c r="AK746" s="23" t="n">
        <v>0.5</v>
      </c>
      <c r="AL746" s="23" t="n">
        <v>0</v>
      </c>
      <c r="AM746" s="16" t="n">
        <f aca="false">COUNTIFS($D$2:$D$2501,D746,$G$2:$G$2501,"&gt;"&amp;G746)+COUNTIFS($D$2:D746,D746,$G$2:G746,G746)</f>
        <v>110</v>
      </c>
      <c r="AN746" s="5" t="str">
        <f aca="false">D746&amp;"|"&amp;AM746</f>
        <v>實體擷取與去識別化|110</v>
      </c>
    </row>
    <row r="747" customFormat="false" ht="17.15" hidden="false" customHeight="false" outlineLevel="0" collapsed="false">
      <c r="A747" s="16" t="n">
        <f aca="false">RANK(G747,$G$2:$G$2501)+COUNTIF($G$2:G747,G747)-1</f>
        <v>746</v>
      </c>
      <c r="B747" s="11" t="s">
        <v>2007</v>
      </c>
      <c r="C747" s="11" t="s">
        <v>402</v>
      </c>
      <c r="D747" s="5" t="s">
        <v>58</v>
      </c>
      <c r="E747" s="5" t="s">
        <v>59</v>
      </c>
      <c r="F747" s="5"/>
      <c r="G747" s="22" t="n">
        <f aca="false">ROUND(SUM(I747:P747),3)</f>
        <v>66.55</v>
      </c>
      <c r="H747" s="5" t="str">
        <f aca="false">IF(G747&gt;=評分方法!$C$16,"優先評估",IF(G747&gt;=評分方法!$C$17,"列入候選",IF(G747&gt;=評分方法!$C$18,"特定情境","不建議")))</f>
        <v>特定情境</v>
      </c>
      <c r="I747" s="15" t="n">
        <f aca="false">AE747*評分方法!$C$5</f>
        <v>28.5</v>
      </c>
      <c r="J747" s="15" t="n">
        <f aca="false">AF747*評分方法!$C$6</f>
        <v>0</v>
      </c>
      <c r="K747" s="15" t="n">
        <f aca="false">AG747*評分方法!$C$7</f>
        <v>4.95</v>
      </c>
      <c r="L747" s="15" t="n">
        <f aca="false">AH747*評分方法!$C$8</f>
        <v>15</v>
      </c>
      <c r="M747" s="15" t="n">
        <f aca="false">AI747*評分方法!$C$9</f>
        <v>10</v>
      </c>
      <c r="N747" s="15" t="n">
        <f aca="false">AJ747*評分方法!$C$10</f>
        <v>5.6</v>
      </c>
      <c r="O747" s="15" t="n">
        <f aca="false">AK747*評分方法!$C$11</f>
        <v>2.5</v>
      </c>
      <c r="P747" s="15" t="n">
        <f aca="false">AL747*評分方法!$C$12</f>
        <v>0</v>
      </c>
      <c r="Q747" s="6" t="n">
        <v>580549</v>
      </c>
      <c r="R747" s="6" t="n">
        <v>334095363</v>
      </c>
      <c r="S747" s="11" t="s">
        <v>238</v>
      </c>
      <c r="T747" s="11" t="s">
        <v>239</v>
      </c>
      <c r="U747" s="5" t="s">
        <v>240</v>
      </c>
      <c r="V747" s="11" t="s">
        <v>261</v>
      </c>
      <c r="W747" s="5" t="s">
        <v>334</v>
      </c>
      <c r="X747" s="5" t="s">
        <v>242</v>
      </c>
      <c r="Y747" s="5"/>
      <c r="Z747" s="5"/>
      <c r="AA747" s="11" t="s">
        <v>150</v>
      </c>
      <c r="AB747" s="5" t="s">
        <v>245</v>
      </c>
      <c r="AC747" s="5"/>
      <c r="AD747" s="11" t="s">
        <v>2008</v>
      </c>
      <c r="AE747" s="23" t="n">
        <v>0.95</v>
      </c>
      <c r="AF747" s="23" t="n">
        <v>0</v>
      </c>
      <c r="AG747" s="23" t="n">
        <v>0.33</v>
      </c>
      <c r="AH747" s="23" t="n">
        <v>1</v>
      </c>
      <c r="AI747" s="23" t="n">
        <v>1</v>
      </c>
      <c r="AJ747" s="23" t="n">
        <v>0.56</v>
      </c>
      <c r="AK747" s="23" t="n">
        <v>0.5</v>
      </c>
      <c r="AL747" s="23" t="n">
        <v>0</v>
      </c>
      <c r="AM747" s="16" t="n">
        <f aca="false">COUNTIFS($D$2:$D$2501,D747,$G$2:$G$2501,"&gt;"&amp;G747)+COUNTIFS($D$2:D747,D747,$G$2:G747,G747)</f>
        <v>111</v>
      </c>
      <c r="AN747" s="5" t="str">
        <f aca="false">D747&amp;"|"&amp;AM747</f>
        <v>實體擷取與去識別化|111</v>
      </c>
    </row>
    <row r="748" customFormat="false" ht="17.15" hidden="false" customHeight="false" outlineLevel="0" collapsed="false">
      <c r="A748" s="16" t="n">
        <f aca="false">RANK(G748,$G$2:$G$2501)+COUNTIF($G$2:G748,G748)-1</f>
        <v>747</v>
      </c>
      <c r="B748" s="11" t="s">
        <v>2009</v>
      </c>
      <c r="C748" s="11" t="s">
        <v>1111</v>
      </c>
      <c r="D748" s="5" t="s">
        <v>56</v>
      </c>
      <c r="E748" s="5" t="s">
        <v>57</v>
      </c>
      <c r="F748" s="5"/>
      <c r="G748" s="22" t="n">
        <f aca="false">ROUND(SUM(I748:P748),3)</f>
        <v>66.546</v>
      </c>
      <c r="H748" s="5" t="str">
        <f aca="false">IF(G748&gt;=評分方法!$C$16,"優先評估",IF(G748&gt;=評分方法!$C$17,"列入候選",IF(G748&gt;=評分方法!$C$18,"特定情境","不建議")))</f>
        <v>特定情境</v>
      </c>
      <c r="I748" s="15" t="n">
        <f aca="false">AE748*評分方法!$C$5</f>
        <v>25.5</v>
      </c>
      <c r="J748" s="15" t="n">
        <f aca="false">AF748*評分方法!$C$6</f>
        <v>0</v>
      </c>
      <c r="K748" s="15" t="n">
        <f aca="false">AG748*評分方法!$C$7</f>
        <v>10.05</v>
      </c>
      <c r="L748" s="15" t="n">
        <f aca="false">AH748*評分方法!$C$8</f>
        <v>9</v>
      </c>
      <c r="M748" s="15" t="n">
        <f aca="false">AI748*評分方法!$C$9</f>
        <v>10</v>
      </c>
      <c r="N748" s="15" t="n">
        <f aca="false">AJ748*評分方法!$C$10</f>
        <v>3.996</v>
      </c>
      <c r="O748" s="15" t="n">
        <f aca="false">AK748*評分方法!$C$11</f>
        <v>5</v>
      </c>
      <c r="P748" s="15" t="n">
        <f aca="false">AL748*評分方法!$C$12</f>
        <v>3</v>
      </c>
      <c r="Q748" s="6" t="n">
        <v>415459</v>
      </c>
      <c r="R748" s="6" t="n">
        <v>25823781228</v>
      </c>
      <c r="S748" s="11" t="s">
        <v>389</v>
      </c>
      <c r="T748" s="11" t="s">
        <v>239</v>
      </c>
      <c r="U748" s="5" t="s">
        <v>240</v>
      </c>
      <c r="V748" s="11" t="s">
        <v>261</v>
      </c>
      <c r="W748" s="5" t="s">
        <v>207</v>
      </c>
      <c r="X748" s="5" t="s">
        <v>371</v>
      </c>
      <c r="Y748" s="11" t="s">
        <v>653</v>
      </c>
      <c r="Z748" s="11" t="s">
        <v>244</v>
      </c>
      <c r="AA748" s="11" t="s">
        <v>156</v>
      </c>
      <c r="AB748" s="5" t="s">
        <v>245</v>
      </c>
      <c r="AC748" s="5" t="s">
        <v>246</v>
      </c>
      <c r="AD748" s="11" t="s">
        <v>2010</v>
      </c>
      <c r="AE748" s="23" t="n">
        <v>0.85</v>
      </c>
      <c r="AF748" s="23" t="n">
        <v>0</v>
      </c>
      <c r="AG748" s="23" t="n">
        <v>0.67</v>
      </c>
      <c r="AH748" s="23" t="n">
        <v>0.6</v>
      </c>
      <c r="AI748" s="23" t="n">
        <v>1</v>
      </c>
      <c r="AJ748" s="23" t="n">
        <v>0.3996</v>
      </c>
      <c r="AK748" s="23" t="n">
        <v>1</v>
      </c>
      <c r="AL748" s="23" t="n">
        <v>0.6</v>
      </c>
      <c r="AM748" s="16" t="n">
        <f aca="false">COUNTIFS($D$2:$D$2501,D748,$G$2:$G$2501,"&gt;"&amp;G748)+COUNTIFS($D$2:D748,D748,$G$2:G748,G748)</f>
        <v>381</v>
      </c>
      <c r="AN748" s="5" t="str">
        <f aca="false">D748&amp;"|"&amp;AM748</f>
        <v>分析與報告生成|381</v>
      </c>
    </row>
    <row r="749" customFormat="false" ht="17.15" hidden="false" customHeight="false" outlineLevel="0" collapsed="false">
      <c r="A749" s="16" t="n">
        <f aca="false">RANK(G749,$G$2:$G$2501)+COUNTIF($G$2:G749,G749)-1</f>
        <v>748</v>
      </c>
      <c r="B749" s="11" t="s">
        <v>2011</v>
      </c>
      <c r="C749" s="11" t="s">
        <v>402</v>
      </c>
      <c r="D749" s="5" t="s">
        <v>58</v>
      </c>
      <c r="E749" s="5" t="s">
        <v>59</v>
      </c>
      <c r="F749" s="5"/>
      <c r="G749" s="22" t="n">
        <f aca="false">ROUND(SUM(I749:P749),3)</f>
        <v>66.538</v>
      </c>
      <c r="H749" s="5" t="str">
        <f aca="false">IF(G749&gt;=評分方法!$C$16,"優先評估",IF(G749&gt;=評分方法!$C$17,"列入候選",IF(G749&gt;=評分方法!$C$18,"特定情境","不建議")))</f>
        <v>特定情境</v>
      </c>
      <c r="I749" s="15" t="n">
        <f aca="false">AE749*評分方法!$C$5</f>
        <v>28.5</v>
      </c>
      <c r="J749" s="15" t="n">
        <f aca="false">AF749*評分方法!$C$6</f>
        <v>0</v>
      </c>
      <c r="K749" s="15" t="n">
        <f aca="false">AG749*評分方法!$C$7</f>
        <v>4.95</v>
      </c>
      <c r="L749" s="15" t="n">
        <f aca="false">AH749*評分方法!$C$8</f>
        <v>15</v>
      </c>
      <c r="M749" s="15" t="n">
        <f aca="false">AI749*評分方法!$C$9</f>
        <v>10</v>
      </c>
      <c r="N749" s="15" t="n">
        <f aca="false">AJ749*評分方法!$C$10</f>
        <v>5.588</v>
      </c>
      <c r="O749" s="15" t="n">
        <f aca="false">AK749*評分方法!$C$11</f>
        <v>2.5</v>
      </c>
      <c r="P749" s="15" t="n">
        <f aca="false">AL749*評分方法!$C$12</f>
        <v>0</v>
      </c>
      <c r="Q749" s="6" t="n">
        <v>580429</v>
      </c>
      <c r="R749" s="6" t="n">
        <v>334095363</v>
      </c>
      <c r="S749" s="11" t="s">
        <v>238</v>
      </c>
      <c r="T749" s="11" t="s">
        <v>239</v>
      </c>
      <c r="U749" s="5" t="s">
        <v>240</v>
      </c>
      <c r="V749" s="11" t="s">
        <v>261</v>
      </c>
      <c r="W749" s="5" t="s">
        <v>334</v>
      </c>
      <c r="X749" s="5" t="s">
        <v>242</v>
      </c>
      <c r="Y749" s="5"/>
      <c r="Z749" s="5"/>
      <c r="AA749" s="11" t="s">
        <v>150</v>
      </c>
      <c r="AB749" s="5" t="s">
        <v>245</v>
      </c>
      <c r="AC749" s="5"/>
      <c r="AD749" s="11" t="s">
        <v>2012</v>
      </c>
      <c r="AE749" s="23" t="n">
        <v>0.95</v>
      </c>
      <c r="AF749" s="23" t="n">
        <v>0</v>
      </c>
      <c r="AG749" s="23" t="n">
        <v>0.33</v>
      </c>
      <c r="AH749" s="23" t="n">
        <v>1</v>
      </c>
      <c r="AI749" s="23" t="n">
        <v>1</v>
      </c>
      <c r="AJ749" s="23" t="n">
        <v>0.5588</v>
      </c>
      <c r="AK749" s="23" t="n">
        <v>0.5</v>
      </c>
      <c r="AL749" s="23" t="n">
        <v>0</v>
      </c>
      <c r="AM749" s="16" t="n">
        <f aca="false">COUNTIFS($D$2:$D$2501,D749,$G$2:$G$2501,"&gt;"&amp;G749)+COUNTIFS($D$2:D749,D749,$G$2:G749,G749)</f>
        <v>112</v>
      </c>
      <c r="AN749" s="5" t="str">
        <f aca="false">D749&amp;"|"&amp;AM749</f>
        <v>實體擷取與去識別化|112</v>
      </c>
    </row>
    <row r="750" customFormat="false" ht="17.15" hidden="false" customHeight="false" outlineLevel="0" collapsed="false">
      <c r="A750" s="16" t="n">
        <f aca="false">RANK(G750,$G$2:$G$2501)+COUNTIF($G$2:G750,G750)-1</f>
        <v>749</v>
      </c>
      <c r="B750" s="11" t="s">
        <v>2013</v>
      </c>
      <c r="C750" s="11" t="s">
        <v>402</v>
      </c>
      <c r="D750" s="5" t="s">
        <v>58</v>
      </c>
      <c r="E750" s="5" t="s">
        <v>59</v>
      </c>
      <c r="F750" s="5"/>
      <c r="G750" s="22" t="n">
        <f aca="false">ROUND(SUM(I750:P750),3)</f>
        <v>66.534</v>
      </c>
      <c r="H750" s="5" t="str">
        <f aca="false">IF(G750&gt;=評分方法!$C$16,"優先評估",IF(G750&gt;=評分方法!$C$17,"列入候選",IF(G750&gt;=評分方法!$C$18,"特定情境","不建議")))</f>
        <v>特定情境</v>
      </c>
      <c r="I750" s="15" t="n">
        <f aca="false">AE750*評分方法!$C$5</f>
        <v>28.5</v>
      </c>
      <c r="J750" s="15" t="n">
        <f aca="false">AF750*評分方法!$C$6</f>
        <v>0</v>
      </c>
      <c r="K750" s="15" t="n">
        <f aca="false">AG750*評分方法!$C$7</f>
        <v>4.95</v>
      </c>
      <c r="L750" s="15" t="n">
        <f aca="false">AH750*評分方法!$C$8</f>
        <v>15</v>
      </c>
      <c r="M750" s="15" t="n">
        <f aca="false">AI750*評分方法!$C$9</f>
        <v>10</v>
      </c>
      <c r="N750" s="15" t="n">
        <f aca="false">AJ750*評分方法!$C$10</f>
        <v>5.584</v>
      </c>
      <c r="O750" s="15" t="n">
        <f aca="false">AK750*評分方法!$C$11</f>
        <v>2.5</v>
      </c>
      <c r="P750" s="15" t="n">
        <f aca="false">AL750*評分方法!$C$12</f>
        <v>0</v>
      </c>
      <c r="Q750" s="6" t="n">
        <v>580161</v>
      </c>
      <c r="R750" s="6" t="n">
        <v>334103563</v>
      </c>
      <c r="S750" s="11" t="s">
        <v>238</v>
      </c>
      <c r="T750" s="11" t="s">
        <v>239</v>
      </c>
      <c r="U750" s="5" t="s">
        <v>240</v>
      </c>
      <c r="V750" s="11" t="s">
        <v>261</v>
      </c>
      <c r="W750" s="5" t="s">
        <v>334</v>
      </c>
      <c r="X750" s="5" t="s">
        <v>242</v>
      </c>
      <c r="Y750" s="5"/>
      <c r="Z750" s="5"/>
      <c r="AA750" s="11" t="s">
        <v>150</v>
      </c>
      <c r="AB750" s="5" t="s">
        <v>245</v>
      </c>
      <c r="AC750" s="5"/>
      <c r="AD750" s="11" t="s">
        <v>2014</v>
      </c>
      <c r="AE750" s="23" t="n">
        <v>0.95</v>
      </c>
      <c r="AF750" s="23" t="n">
        <v>0</v>
      </c>
      <c r="AG750" s="23" t="n">
        <v>0.33</v>
      </c>
      <c r="AH750" s="23" t="n">
        <v>1</v>
      </c>
      <c r="AI750" s="23" t="n">
        <v>1</v>
      </c>
      <c r="AJ750" s="23" t="n">
        <v>0.5584</v>
      </c>
      <c r="AK750" s="23" t="n">
        <v>0.5</v>
      </c>
      <c r="AL750" s="23" t="n">
        <v>0</v>
      </c>
      <c r="AM750" s="16" t="n">
        <f aca="false">COUNTIFS($D$2:$D$2501,D750,$G$2:$G$2501,"&gt;"&amp;G750)+COUNTIFS($D$2:D750,D750,$G$2:G750,G750)</f>
        <v>113</v>
      </c>
      <c r="AN750" s="5" t="str">
        <f aca="false">D750&amp;"|"&amp;AM750</f>
        <v>實體擷取與去識別化|113</v>
      </c>
    </row>
    <row r="751" customFormat="false" ht="17.15" hidden="false" customHeight="false" outlineLevel="0" collapsed="false">
      <c r="A751" s="16" t="n">
        <f aca="false">RANK(G751,$G$2:$G$2501)+COUNTIF($G$2:G751,G751)-1</f>
        <v>750</v>
      </c>
      <c r="B751" s="11" t="s">
        <v>2015</v>
      </c>
      <c r="C751" s="11" t="s">
        <v>753</v>
      </c>
      <c r="D751" s="5" t="s">
        <v>56</v>
      </c>
      <c r="E751" s="5" t="s">
        <v>57</v>
      </c>
      <c r="F751" s="5"/>
      <c r="G751" s="22" t="n">
        <f aca="false">ROUND(SUM(I751:P751),3)</f>
        <v>66.53</v>
      </c>
      <c r="H751" s="5" t="str">
        <f aca="false">IF(G751&gt;=評分方法!$C$16,"優先評估",IF(G751&gt;=評分方法!$C$17,"列入候選",IF(G751&gt;=評分方法!$C$18,"特定情境","不建議")))</f>
        <v>特定情境</v>
      </c>
      <c r="I751" s="15" t="n">
        <f aca="false">AE751*評分方法!$C$5</f>
        <v>25.5</v>
      </c>
      <c r="J751" s="15" t="n">
        <f aca="false">AF751*評分方法!$C$6</f>
        <v>0</v>
      </c>
      <c r="K751" s="15" t="n">
        <f aca="false">AG751*評分方法!$C$7</f>
        <v>10.05</v>
      </c>
      <c r="L751" s="15" t="n">
        <f aca="false">AH751*評分方法!$C$8</f>
        <v>9</v>
      </c>
      <c r="M751" s="15" t="n">
        <f aca="false">AI751*評分方法!$C$9</f>
        <v>10</v>
      </c>
      <c r="N751" s="15" t="n">
        <f aca="false">AJ751*評分方法!$C$10</f>
        <v>3.98</v>
      </c>
      <c r="O751" s="15" t="n">
        <f aca="false">AK751*評分方法!$C$11</f>
        <v>5</v>
      </c>
      <c r="P751" s="15" t="n">
        <f aca="false">AL751*評分方法!$C$12</f>
        <v>3</v>
      </c>
      <c r="Q751" s="6" t="n">
        <v>413909</v>
      </c>
      <c r="R751" s="6" t="n">
        <v>11959730224</v>
      </c>
      <c r="S751" s="11" t="s">
        <v>389</v>
      </c>
      <c r="T751" s="11" t="s">
        <v>239</v>
      </c>
      <c r="U751" s="5" t="s">
        <v>240</v>
      </c>
      <c r="V751" s="11" t="s">
        <v>261</v>
      </c>
      <c r="W751" s="5" t="s">
        <v>207</v>
      </c>
      <c r="X751" s="5" t="s">
        <v>371</v>
      </c>
      <c r="Y751" s="11" t="s">
        <v>755</v>
      </c>
      <c r="Z751" s="11" t="s">
        <v>270</v>
      </c>
      <c r="AA751" s="11" t="s">
        <v>156</v>
      </c>
      <c r="AB751" s="5" t="s">
        <v>245</v>
      </c>
      <c r="AC751" s="5"/>
      <c r="AD751" s="11" t="s">
        <v>2016</v>
      </c>
      <c r="AE751" s="23" t="n">
        <v>0.85</v>
      </c>
      <c r="AF751" s="23" t="n">
        <v>0</v>
      </c>
      <c r="AG751" s="23" t="n">
        <v>0.67</v>
      </c>
      <c r="AH751" s="23" t="n">
        <v>0.6</v>
      </c>
      <c r="AI751" s="23" t="n">
        <v>1</v>
      </c>
      <c r="AJ751" s="23" t="n">
        <v>0.398</v>
      </c>
      <c r="AK751" s="23" t="n">
        <v>1</v>
      </c>
      <c r="AL751" s="23" t="n">
        <v>0.6</v>
      </c>
      <c r="AM751" s="16" t="n">
        <f aca="false">COUNTIFS($D$2:$D$2501,D751,$G$2:$G$2501,"&gt;"&amp;G751)+COUNTIFS($D$2:D751,D751,$G$2:G751,G751)</f>
        <v>382</v>
      </c>
      <c r="AN751" s="5" t="str">
        <f aca="false">D751&amp;"|"&amp;AM751</f>
        <v>分析與報告生成|382</v>
      </c>
    </row>
    <row r="752" customFormat="false" ht="17.15" hidden="false" customHeight="false" outlineLevel="0" collapsed="false">
      <c r="A752" s="16" t="n">
        <f aca="false">RANK(G752,$G$2:$G$2501)+COUNTIF($G$2:G752,G752)-1</f>
        <v>751</v>
      </c>
      <c r="B752" s="11" t="s">
        <v>2017</v>
      </c>
      <c r="C752" s="11" t="s">
        <v>402</v>
      </c>
      <c r="D752" s="5" t="s">
        <v>58</v>
      </c>
      <c r="E752" s="5" t="s">
        <v>59</v>
      </c>
      <c r="F752" s="5"/>
      <c r="G752" s="22" t="n">
        <f aca="false">ROUND(SUM(I752:P752),3)</f>
        <v>66.522</v>
      </c>
      <c r="H752" s="5" t="str">
        <f aca="false">IF(G752&gt;=評分方法!$C$16,"優先評估",IF(G752&gt;=評分方法!$C$17,"列入候選",IF(G752&gt;=評分方法!$C$18,"特定情境","不建議")))</f>
        <v>特定情境</v>
      </c>
      <c r="I752" s="15" t="n">
        <f aca="false">AE752*評分方法!$C$5</f>
        <v>28.5</v>
      </c>
      <c r="J752" s="15" t="n">
        <f aca="false">AF752*評分方法!$C$6</f>
        <v>0</v>
      </c>
      <c r="K752" s="15" t="n">
        <f aca="false">AG752*評分方法!$C$7</f>
        <v>4.95</v>
      </c>
      <c r="L752" s="15" t="n">
        <f aca="false">AH752*評分方法!$C$8</f>
        <v>15</v>
      </c>
      <c r="M752" s="15" t="n">
        <f aca="false">AI752*評分方法!$C$9</f>
        <v>10</v>
      </c>
      <c r="N752" s="15" t="n">
        <f aca="false">AJ752*評分方法!$C$10</f>
        <v>5.572</v>
      </c>
      <c r="O752" s="15" t="n">
        <f aca="false">AK752*評分方法!$C$11</f>
        <v>2.5</v>
      </c>
      <c r="P752" s="15" t="n">
        <f aca="false">AL752*評分方法!$C$12</f>
        <v>0</v>
      </c>
      <c r="Q752" s="6" t="n">
        <v>580089</v>
      </c>
      <c r="R752" s="6" t="n">
        <v>354313219</v>
      </c>
      <c r="S752" s="11" t="s">
        <v>238</v>
      </c>
      <c r="T752" s="11" t="s">
        <v>239</v>
      </c>
      <c r="U752" s="5" t="s">
        <v>240</v>
      </c>
      <c r="V752" s="11" t="s">
        <v>261</v>
      </c>
      <c r="W752" s="5" t="s">
        <v>334</v>
      </c>
      <c r="X752" s="5" t="s">
        <v>242</v>
      </c>
      <c r="Y752" s="5"/>
      <c r="Z752" s="5"/>
      <c r="AA752" s="11" t="s">
        <v>150</v>
      </c>
      <c r="AB752" s="5" t="s">
        <v>245</v>
      </c>
      <c r="AC752" s="5"/>
      <c r="AD752" s="11" t="s">
        <v>2018</v>
      </c>
      <c r="AE752" s="23" t="n">
        <v>0.95</v>
      </c>
      <c r="AF752" s="23" t="n">
        <v>0</v>
      </c>
      <c r="AG752" s="23" t="n">
        <v>0.33</v>
      </c>
      <c r="AH752" s="23" t="n">
        <v>1</v>
      </c>
      <c r="AI752" s="23" t="n">
        <v>1</v>
      </c>
      <c r="AJ752" s="23" t="n">
        <v>0.5572</v>
      </c>
      <c r="AK752" s="23" t="n">
        <v>0.5</v>
      </c>
      <c r="AL752" s="23" t="n">
        <v>0</v>
      </c>
      <c r="AM752" s="16" t="n">
        <f aca="false">COUNTIFS($D$2:$D$2501,D752,$G$2:$G$2501,"&gt;"&amp;G752)+COUNTIFS($D$2:D752,D752,$G$2:G752,G752)</f>
        <v>114</v>
      </c>
      <c r="AN752" s="5" t="str">
        <f aca="false">D752&amp;"|"&amp;AM752</f>
        <v>實體擷取與去識別化|114</v>
      </c>
    </row>
    <row r="753" customFormat="false" ht="17.15" hidden="false" customHeight="false" outlineLevel="0" collapsed="false">
      <c r="A753" s="16" t="n">
        <f aca="false">RANK(G753,$G$2:$G$2501)+COUNTIF($G$2:G753,G753)-1</f>
        <v>752</v>
      </c>
      <c r="B753" s="11" t="s">
        <v>2019</v>
      </c>
      <c r="C753" s="11" t="s">
        <v>402</v>
      </c>
      <c r="D753" s="5" t="s">
        <v>58</v>
      </c>
      <c r="E753" s="5" t="s">
        <v>59</v>
      </c>
      <c r="F753" s="5"/>
      <c r="G753" s="22" t="n">
        <f aca="false">ROUND(SUM(I753:P753),3)</f>
        <v>66.518</v>
      </c>
      <c r="H753" s="5" t="str">
        <f aca="false">IF(G753&gt;=評分方法!$C$16,"優先評估",IF(G753&gt;=評分方法!$C$17,"列入候選",IF(G753&gt;=評分方法!$C$18,"特定情境","不建議")))</f>
        <v>特定情境</v>
      </c>
      <c r="I753" s="15" t="n">
        <f aca="false">AE753*評分方法!$C$5</f>
        <v>28.5</v>
      </c>
      <c r="J753" s="15" t="n">
        <f aca="false">AF753*評分方法!$C$6</f>
        <v>0</v>
      </c>
      <c r="K753" s="15" t="n">
        <f aca="false">AG753*評分方法!$C$7</f>
        <v>4.95</v>
      </c>
      <c r="L753" s="15" t="n">
        <f aca="false">AH753*評分方法!$C$8</f>
        <v>15</v>
      </c>
      <c r="M753" s="15" t="n">
        <f aca="false">AI753*評分方法!$C$9</f>
        <v>10</v>
      </c>
      <c r="N753" s="15" t="n">
        <f aca="false">AJ753*評分方法!$C$10</f>
        <v>5.568</v>
      </c>
      <c r="O753" s="15" t="n">
        <f aca="false">AK753*評分方法!$C$11</f>
        <v>2.5</v>
      </c>
      <c r="P753" s="15" t="n">
        <f aca="false">AL753*評分方法!$C$12</f>
        <v>0</v>
      </c>
      <c r="Q753" s="6" t="n">
        <v>579859</v>
      </c>
      <c r="R753" s="6" t="n">
        <v>66371339</v>
      </c>
      <c r="S753" s="11" t="s">
        <v>238</v>
      </c>
      <c r="T753" s="11" t="s">
        <v>239</v>
      </c>
      <c r="U753" s="5" t="s">
        <v>240</v>
      </c>
      <c r="V753" s="11" t="s">
        <v>261</v>
      </c>
      <c r="W753" s="5" t="s">
        <v>334</v>
      </c>
      <c r="X753" s="5" t="s">
        <v>242</v>
      </c>
      <c r="Y753" s="5"/>
      <c r="Z753" s="5"/>
      <c r="AA753" s="11" t="s">
        <v>150</v>
      </c>
      <c r="AB753" s="5" t="s">
        <v>245</v>
      </c>
      <c r="AC753" s="5"/>
      <c r="AD753" s="11" t="s">
        <v>2020</v>
      </c>
      <c r="AE753" s="23" t="n">
        <v>0.95</v>
      </c>
      <c r="AF753" s="23" t="n">
        <v>0</v>
      </c>
      <c r="AG753" s="23" t="n">
        <v>0.33</v>
      </c>
      <c r="AH753" s="23" t="n">
        <v>1</v>
      </c>
      <c r="AI753" s="23" t="n">
        <v>1</v>
      </c>
      <c r="AJ753" s="23" t="n">
        <v>0.5568</v>
      </c>
      <c r="AK753" s="23" t="n">
        <v>0.5</v>
      </c>
      <c r="AL753" s="23" t="n">
        <v>0</v>
      </c>
      <c r="AM753" s="16" t="n">
        <f aca="false">COUNTIFS($D$2:$D$2501,D753,$G$2:$G$2501,"&gt;"&amp;G753)+COUNTIFS($D$2:D753,D753,$G$2:G753,G753)</f>
        <v>115</v>
      </c>
      <c r="AN753" s="5" t="str">
        <f aca="false">D753&amp;"|"&amp;AM753</f>
        <v>實體擷取與去識別化|115</v>
      </c>
    </row>
    <row r="754" customFormat="false" ht="17.15" hidden="false" customHeight="false" outlineLevel="0" collapsed="false">
      <c r="A754" s="16" t="n">
        <f aca="false">RANK(G754,$G$2:$G$2501)+COUNTIF($G$2:G754,G754)-1</f>
        <v>753</v>
      </c>
      <c r="B754" s="11" t="s">
        <v>2021</v>
      </c>
      <c r="C754" s="11" t="s">
        <v>2022</v>
      </c>
      <c r="D754" s="5" t="s">
        <v>66</v>
      </c>
      <c r="E754" s="5" t="s">
        <v>67</v>
      </c>
      <c r="F754" s="5"/>
      <c r="G754" s="22" t="n">
        <f aca="false">ROUND(SUM(I754:P754),3)</f>
        <v>66.514</v>
      </c>
      <c r="H754" s="5" t="str">
        <f aca="false">IF(G754&gt;=評分方法!$C$16,"優先評估",IF(G754&gt;=評分方法!$C$17,"列入候選",IF(G754&gt;=評分方法!$C$18,"特定情境","不建議")))</f>
        <v>特定情境</v>
      </c>
      <c r="I754" s="15" t="n">
        <f aca="false">AE754*評分方法!$C$5</f>
        <v>30</v>
      </c>
      <c r="J754" s="15" t="n">
        <f aca="false">AF754*評分方法!$C$6</f>
        <v>0</v>
      </c>
      <c r="K754" s="15" t="n">
        <f aca="false">AG754*評分方法!$C$7</f>
        <v>4.95</v>
      </c>
      <c r="L754" s="15" t="n">
        <f aca="false">AH754*評分方法!$C$8</f>
        <v>9</v>
      </c>
      <c r="M754" s="15" t="n">
        <f aca="false">AI754*評分方法!$C$9</f>
        <v>10</v>
      </c>
      <c r="N754" s="15" t="n">
        <f aca="false">AJ754*評分方法!$C$10</f>
        <v>7.564</v>
      </c>
      <c r="O754" s="15" t="n">
        <f aca="false">AK754*評分方法!$C$11</f>
        <v>5</v>
      </c>
      <c r="P754" s="15" t="n">
        <f aca="false">AL754*評分方法!$C$12</f>
        <v>0</v>
      </c>
      <c r="Q754" s="6" t="n">
        <v>1198041</v>
      </c>
      <c r="R754" s="6" t="n">
        <v>25805936206</v>
      </c>
      <c r="S754" s="11" t="s">
        <v>389</v>
      </c>
      <c r="T754" s="11" t="s">
        <v>239</v>
      </c>
      <c r="U754" s="5" t="s">
        <v>240</v>
      </c>
      <c r="V754" s="11" t="s">
        <v>261</v>
      </c>
      <c r="W754" s="5" t="s">
        <v>334</v>
      </c>
      <c r="X754" s="5" t="s">
        <v>242</v>
      </c>
      <c r="Y754" s="11" t="s">
        <v>575</v>
      </c>
      <c r="Z754" s="11" t="s">
        <v>942</v>
      </c>
      <c r="AA754" s="11" t="s">
        <v>149</v>
      </c>
      <c r="AB754" s="5" t="s">
        <v>245</v>
      </c>
      <c r="AC754" s="5"/>
      <c r="AD754" s="11" t="s">
        <v>2023</v>
      </c>
      <c r="AE754" s="23" t="n">
        <v>1</v>
      </c>
      <c r="AF754" s="23" t="n">
        <v>0</v>
      </c>
      <c r="AG754" s="23" t="n">
        <v>0.33</v>
      </c>
      <c r="AH754" s="23" t="n">
        <v>0.6</v>
      </c>
      <c r="AI754" s="23" t="n">
        <v>1</v>
      </c>
      <c r="AJ754" s="23" t="n">
        <v>0.7564</v>
      </c>
      <c r="AK754" s="23" t="n">
        <v>1</v>
      </c>
      <c r="AL754" s="23" t="n">
        <v>0</v>
      </c>
      <c r="AM754" s="16" t="n">
        <f aca="false">COUNTIFS($D$2:$D$2501,D754,$G$2:$G$2501,"&gt;"&amp;G754)+COUNTIFS($D$2:D754,D754,$G$2:G754,G754)</f>
        <v>23</v>
      </c>
      <c r="AN754" s="5" t="str">
        <f aca="false">D754&amp;"|"&amp;AM754</f>
        <v>分類與偵測|23</v>
      </c>
    </row>
    <row r="755" customFormat="false" ht="17.15" hidden="false" customHeight="false" outlineLevel="0" collapsed="false">
      <c r="A755" s="16" t="n">
        <f aca="false">RANK(G755,$G$2:$G$2501)+COUNTIF($G$2:G755,G755)-1</f>
        <v>754</v>
      </c>
      <c r="B755" s="11" t="s">
        <v>2024</v>
      </c>
      <c r="C755" s="11" t="s">
        <v>402</v>
      </c>
      <c r="D755" s="5" t="s">
        <v>58</v>
      </c>
      <c r="E755" s="5" t="s">
        <v>59</v>
      </c>
      <c r="F755" s="5"/>
      <c r="G755" s="22" t="n">
        <f aca="false">ROUND(SUM(I755:P755),3)</f>
        <v>66.514</v>
      </c>
      <c r="H755" s="5" t="str">
        <f aca="false">IF(G755&gt;=評分方法!$C$16,"優先評估",IF(G755&gt;=評分方法!$C$17,"列入候選",IF(G755&gt;=評分方法!$C$18,"特定情境","不建議")))</f>
        <v>特定情境</v>
      </c>
      <c r="I755" s="15" t="n">
        <f aca="false">AE755*評分方法!$C$5</f>
        <v>28.5</v>
      </c>
      <c r="J755" s="15" t="n">
        <f aca="false">AF755*評分方法!$C$6</f>
        <v>0</v>
      </c>
      <c r="K755" s="15" t="n">
        <f aca="false">AG755*評分方法!$C$7</f>
        <v>4.95</v>
      </c>
      <c r="L755" s="15" t="n">
        <f aca="false">AH755*評分方法!$C$8</f>
        <v>15</v>
      </c>
      <c r="M755" s="15" t="n">
        <f aca="false">AI755*評分方法!$C$9</f>
        <v>10</v>
      </c>
      <c r="N755" s="15" t="n">
        <f aca="false">AJ755*評分方法!$C$10</f>
        <v>5.564</v>
      </c>
      <c r="O755" s="15" t="n">
        <f aca="false">AK755*評分方法!$C$11</f>
        <v>2.5</v>
      </c>
      <c r="P755" s="15" t="n">
        <f aca="false">AL755*評分方法!$C$12</f>
        <v>0</v>
      </c>
      <c r="Q755" s="6" t="n">
        <v>579565</v>
      </c>
      <c r="R755" s="6" t="n">
        <v>107721987</v>
      </c>
      <c r="S755" s="11" t="s">
        <v>238</v>
      </c>
      <c r="T755" s="11" t="s">
        <v>239</v>
      </c>
      <c r="U755" s="5" t="s">
        <v>240</v>
      </c>
      <c r="V755" s="11" t="s">
        <v>261</v>
      </c>
      <c r="W755" s="5" t="s">
        <v>334</v>
      </c>
      <c r="X755" s="5" t="s">
        <v>242</v>
      </c>
      <c r="Y755" s="5"/>
      <c r="Z755" s="5"/>
      <c r="AA755" s="11" t="s">
        <v>150</v>
      </c>
      <c r="AB755" s="5" t="s">
        <v>245</v>
      </c>
      <c r="AC755" s="5"/>
      <c r="AD755" s="11" t="s">
        <v>2025</v>
      </c>
      <c r="AE755" s="23" t="n">
        <v>0.95</v>
      </c>
      <c r="AF755" s="23" t="n">
        <v>0</v>
      </c>
      <c r="AG755" s="23" t="n">
        <v>0.33</v>
      </c>
      <c r="AH755" s="23" t="n">
        <v>1</v>
      </c>
      <c r="AI755" s="23" t="n">
        <v>1</v>
      </c>
      <c r="AJ755" s="23" t="n">
        <v>0.5564</v>
      </c>
      <c r="AK755" s="23" t="n">
        <v>0.5</v>
      </c>
      <c r="AL755" s="23" t="n">
        <v>0</v>
      </c>
      <c r="AM755" s="16" t="n">
        <f aca="false">COUNTIFS($D$2:$D$2501,D755,$G$2:$G$2501,"&gt;"&amp;G755)+COUNTIFS($D$2:D755,D755,$G$2:G755,G755)</f>
        <v>116</v>
      </c>
      <c r="AN755" s="5" t="str">
        <f aca="false">D755&amp;"|"&amp;AM755</f>
        <v>實體擷取與去識別化|116</v>
      </c>
    </row>
    <row r="756" customFormat="false" ht="17.15" hidden="false" customHeight="false" outlineLevel="0" collapsed="false">
      <c r="A756" s="16" t="n">
        <f aca="false">RANK(G756,$G$2:$G$2501)+COUNTIF($G$2:G756,G756)-1</f>
        <v>755</v>
      </c>
      <c r="B756" s="11" t="s">
        <v>2026</v>
      </c>
      <c r="C756" s="11" t="s">
        <v>402</v>
      </c>
      <c r="D756" s="5" t="s">
        <v>58</v>
      </c>
      <c r="E756" s="5" t="s">
        <v>59</v>
      </c>
      <c r="F756" s="5"/>
      <c r="G756" s="22" t="n">
        <f aca="false">ROUND(SUM(I756:P756),3)</f>
        <v>66.51</v>
      </c>
      <c r="H756" s="5" t="str">
        <f aca="false">IF(G756&gt;=評分方法!$C$16,"優先評估",IF(G756&gt;=評分方法!$C$17,"列入候選",IF(G756&gt;=評分方法!$C$18,"特定情境","不建議")))</f>
        <v>特定情境</v>
      </c>
      <c r="I756" s="15" t="n">
        <f aca="false">AE756*評分方法!$C$5</f>
        <v>28.5</v>
      </c>
      <c r="J756" s="15" t="n">
        <f aca="false">AF756*評分方法!$C$6</f>
        <v>0</v>
      </c>
      <c r="K756" s="15" t="n">
        <f aca="false">AG756*評分方法!$C$7</f>
        <v>4.95</v>
      </c>
      <c r="L756" s="15" t="n">
        <f aca="false">AH756*評分方法!$C$8</f>
        <v>15</v>
      </c>
      <c r="M756" s="15" t="n">
        <f aca="false">AI756*評分方法!$C$9</f>
        <v>10</v>
      </c>
      <c r="N756" s="15" t="n">
        <f aca="false">AJ756*評分方法!$C$10</f>
        <v>5.56</v>
      </c>
      <c r="O756" s="15" t="n">
        <f aca="false">AK756*評分方法!$C$11</f>
        <v>2.5</v>
      </c>
      <c r="P756" s="15" t="n">
        <f aca="false">AL756*評分方法!$C$12</f>
        <v>0</v>
      </c>
      <c r="Q756" s="6" t="n">
        <v>579554</v>
      </c>
      <c r="R756" s="6" t="n">
        <v>66388257</v>
      </c>
      <c r="S756" s="11" t="s">
        <v>238</v>
      </c>
      <c r="T756" s="11" t="s">
        <v>239</v>
      </c>
      <c r="U756" s="5" t="s">
        <v>240</v>
      </c>
      <c r="V756" s="11" t="s">
        <v>261</v>
      </c>
      <c r="W756" s="5" t="s">
        <v>334</v>
      </c>
      <c r="X756" s="5" t="s">
        <v>242</v>
      </c>
      <c r="Y756" s="5"/>
      <c r="Z756" s="5"/>
      <c r="AA756" s="11" t="s">
        <v>150</v>
      </c>
      <c r="AB756" s="5" t="s">
        <v>245</v>
      </c>
      <c r="AC756" s="5"/>
      <c r="AD756" s="11" t="s">
        <v>2027</v>
      </c>
      <c r="AE756" s="23" t="n">
        <v>0.95</v>
      </c>
      <c r="AF756" s="23" t="n">
        <v>0</v>
      </c>
      <c r="AG756" s="23" t="n">
        <v>0.33</v>
      </c>
      <c r="AH756" s="23" t="n">
        <v>1</v>
      </c>
      <c r="AI756" s="23" t="n">
        <v>1</v>
      </c>
      <c r="AJ756" s="23" t="n">
        <v>0.556</v>
      </c>
      <c r="AK756" s="23" t="n">
        <v>0.5</v>
      </c>
      <c r="AL756" s="23" t="n">
        <v>0</v>
      </c>
      <c r="AM756" s="16" t="n">
        <f aca="false">COUNTIFS($D$2:$D$2501,D756,$G$2:$G$2501,"&gt;"&amp;G756)+COUNTIFS($D$2:D756,D756,$G$2:G756,G756)</f>
        <v>117</v>
      </c>
      <c r="AN756" s="5" t="str">
        <f aca="false">D756&amp;"|"&amp;AM756</f>
        <v>實體擷取與去識別化|117</v>
      </c>
    </row>
    <row r="757" customFormat="false" ht="17.15" hidden="false" customHeight="false" outlineLevel="0" collapsed="false">
      <c r="A757" s="16" t="n">
        <f aca="false">RANK(G757,$G$2:$G$2501)+COUNTIF($G$2:G757,G757)-1</f>
        <v>756</v>
      </c>
      <c r="B757" s="11" t="s">
        <v>2028</v>
      </c>
      <c r="C757" s="11" t="s">
        <v>839</v>
      </c>
      <c r="D757" s="5" t="s">
        <v>74</v>
      </c>
      <c r="E757" s="5" t="s">
        <v>75</v>
      </c>
      <c r="F757" s="5"/>
      <c r="G757" s="22" t="n">
        <f aca="false">ROUND(SUM(I757:P757),3)</f>
        <v>66.508</v>
      </c>
      <c r="H757" s="5" t="str">
        <f aca="false">IF(G757&gt;=評分方法!$C$16,"優先評估",IF(G757&gt;=評分方法!$C$17,"列入候選",IF(G757&gt;=評分方法!$C$18,"特定情境","不建議")))</f>
        <v>特定情境</v>
      </c>
      <c r="I757" s="15" t="n">
        <f aca="false">AE757*評分方法!$C$5</f>
        <v>13.5</v>
      </c>
      <c r="J757" s="15" t="n">
        <f aca="false">AF757*評分方法!$C$6</f>
        <v>0</v>
      </c>
      <c r="K757" s="15" t="n">
        <f aca="false">AG757*評分方法!$C$7</f>
        <v>15</v>
      </c>
      <c r="L757" s="15" t="n">
        <f aca="false">AH757*評分方法!$C$8</f>
        <v>15</v>
      </c>
      <c r="M757" s="15" t="n">
        <f aca="false">AI757*評分方法!$C$9</f>
        <v>10</v>
      </c>
      <c r="N757" s="15" t="n">
        <f aca="false">AJ757*評分方法!$C$10</f>
        <v>9.008</v>
      </c>
      <c r="O757" s="15" t="n">
        <f aca="false">AK757*評分方法!$C$11</f>
        <v>2.5</v>
      </c>
      <c r="P757" s="15" t="n">
        <f aca="false">AL757*評分方法!$C$12</f>
        <v>1.5</v>
      </c>
      <c r="Q757" s="6" t="n">
        <v>3893467</v>
      </c>
      <c r="R757" s="6" t="n">
        <v>469733436</v>
      </c>
      <c r="S757" s="11" t="s">
        <v>238</v>
      </c>
      <c r="T757" s="11" t="s">
        <v>2029</v>
      </c>
      <c r="U757" s="5" t="s">
        <v>240</v>
      </c>
      <c r="V757" s="11" t="s">
        <v>855</v>
      </c>
      <c r="W757" s="5" t="s">
        <v>205</v>
      </c>
      <c r="X757" s="5" t="s">
        <v>255</v>
      </c>
      <c r="Y757" s="5"/>
      <c r="Z757" s="5"/>
      <c r="AA757" s="11" t="s">
        <v>163</v>
      </c>
      <c r="AB757" s="5" t="s">
        <v>245</v>
      </c>
      <c r="AC757" s="5"/>
      <c r="AD757" s="11" t="s">
        <v>2030</v>
      </c>
      <c r="AE757" s="23" t="n">
        <v>0.45</v>
      </c>
      <c r="AF757" s="23" t="n">
        <v>0</v>
      </c>
      <c r="AG757" s="23" t="n">
        <v>1</v>
      </c>
      <c r="AH757" s="23" t="n">
        <v>1</v>
      </c>
      <c r="AI757" s="23" t="n">
        <v>1</v>
      </c>
      <c r="AJ757" s="23" t="n">
        <v>0.9008</v>
      </c>
      <c r="AK757" s="23" t="n">
        <v>0.5</v>
      </c>
      <c r="AL757" s="23" t="n">
        <v>0.3</v>
      </c>
      <c r="AM757" s="16" t="n">
        <f aca="false">COUNTIFS($D$2:$D$2501,D757,$G$2:$G$2501,"&gt;"&amp;G757)+COUNTIFS($D$2:D757,D757,$G$2:G757,G757)</f>
        <v>3</v>
      </c>
      <c r="AN757" s="5" t="str">
        <f aca="false">D757&amp;"|"&amp;AM757</f>
        <v>文件與影像辨識|3</v>
      </c>
    </row>
    <row r="758" customFormat="false" ht="17.15" hidden="false" customHeight="false" outlineLevel="0" collapsed="false">
      <c r="A758" s="16" t="n">
        <f aca="false">RANK(G758,$G$2:$G$2501)+COUNTIF($G$2:G758,G758)-1</f>
        <v>757</v>
      </c>
      <c r="B758" s="11" t="s">
        <v>2031</v>
      </c>
      <c r="C758" s="11" t="s">
        <v>1725</v>
      </c>
      <c r="D758" s="5" t="s">
        <v>56</v>
      </c>
      <c r="E758" s="5" t="s">
        <v>57</v>
      </c>
      <c r="F758" s="5"/>
      <c r="G758" s="22" t="n">
        <f aca="false">ROUND(SUM(I758:P758),3)</f>
        <v>66.508</v>
      </c>
      <c r="H758" s="5" t="str">
        <f aca="false">IF(G758&gt;=評分方法!$C$16,"優先評估",IF(G758&gt;=評分方法!$C$17,"列入候選",IF(G758&gt;=評分方法!$C$18,"特定情境","不建議")))</f>
        <v>特定情境</v>
      </c>
      <c r="I758" s="15" t="n">
        <f aca="false">AE758*評分方法!$C$5</f>
        <v>25.5</v>
      </c>
      <c r="J758" s="15" t="n">
        <f aca="false">AF758*評分方法!$C$6</f>
        <v>0</v>
      </c>
      <c r="K758" s="15" t="n">
        <f aca="false">AG758*評分方法!$C$7</f>
        <v>4.95</v>
      </c>
      <c r="L758" s="15" t="n">
        <f aca="false">AH758*評分方法!$C$8</f>
        <v>13.05</v>
      </c>
      <c r="M758" s="15" t="n">
        <f aca="false">AI758*評分方法!$C$9</f>
        <v>10</v>
      </c>
      <c r="N758" s="15" t="n">
        <f aca="false">AJ758*評分方法!$C$10</f>
        <v>3.008</v>
      </c>
      <c r="O758" s="15" t="n">
        <f aca="false">AK758*評分方法!$C$11</f>
        <v>5</v>
      </c>
      <c r="P758" s="15" t="n">
        <f aca="false">AL758*評分方法!$C$12</f>
        <v>5</v>
      </c>
      <c r="Q758" s="6" t="n">
        <v>295884</v>
      </c>
      <c r="R758" s="6" t="n">
        <v>3682094640</v>
      </c>
      <c r="S758" s="11" t="s">
        <v>254</v>
      </c>
      <c r="T758" s="11" t="s">
        <v>239</v>
      </c>
      <c r="U758" s="5" t="s">
        <v>240</v>
      </c>
      <c r="V758" s="11" t="s">
        <v>261</v>
      </c>
      <c r="W758" s="5" t="s">
        <v>334</v>
      </c>
      <c r="X758" s="5" t="s">
        <v>284</v>
      </c>
      <c r="Y758" s="11" t="s">
        <v>1032</v>
      </c>
      <c r="Z758" s="11" t="s">
        <v>244</v>
      </c>
      <c r="AA758" s="11" t="s">
        <v>155</v>
      </c>
      <c r="AB758" s="5" t="s">
        <v>328</v>
      </c>
      <c r="AC758" s="5" t="s">
        <v>340</v>
      </c>
      <c r="AD758" s="11" t="s">
        <v>2032</v>
      </c>
      <c r="AE758" s="23" t="n">
        <v>0.85</v>
      </c>
      <c r="AF758" s="23" t="n">
        <v>0</v>
      </c>
      <c r="AG758" s="23" t="n">
        <v>0.33</v>
      </c>
      <c r="AH758" s="23" t="n">
        <v>0.87</v>
      </c>
      <c r="AI758" s="23" t="n">
        <v>1</v>
      </c>
      <c r="AJ758" s="23" t="n">
        <v>0.3008</v>
      </c>
      <c r="AK758" s="23" t="n">
        <v>1</v>
      </c>
      <c r="AL758" s="23" t="n">
        <v>1</v>
      </c>
      <c r="AM758" s="16" t="n">
        <f aca="false">COUNTIFS($D$2:$D$2501,D758,$G$2:$G$2501,"&gt;"&amp;G758)+COUNTIFS($D$2:D758,D758,$G$2:G758,G758)</f>
        <v>383</v>
      </c>
      <c r="AN758" s="5" t="str">
        <f aca="false">D758&amp;"|"&amp;AM758</f>
        <v>分析與報告生成|383</v>
      </c>
    </row>
    <row r="759" customFormat="false" ht="17.15" hidden="false" customHeight="false" outlineLevel="0" collapsed="false">
      <c r="A759" s="16" t="n">
        <f aca="false">RANK(G759,$G$2:$G$2501)+COUNTIF($G$2:G759,G759)-1</f>
        <v>758</v>
      </c>
      <c r="B759" s="11" t="s">
        <v>2033</v>
      </c>
      <c r="C759" s="11" t="s">
        <v>402</v>
      </c>
      <c r="D759" s="5" t="s">
        <v>58</v>
      </c>
      <c r="E759" s="5" t="s">
        <v>59</v>
      </c>
      <c r="F759" s="5"/>
      <c r="G759" s="22" t="n">
        <f aca="false">ROUND(SUM(I759:P759),3)</f>
        <v>66.506</v>
      </c>
      <c r="H759" s="5" t="str">
        <f aca="false">IF(G759&gt;=評分方法!$C$16,"優先評估",IF(G759&gt;=評分方法!$C$17,"列入候選",IF(G759&gt;=評分方法!$C$18,"特定情境","不建議")))</f>
        <v>特定情境</v>
      </c>
      <c r="I759" s="15" t="n">
        <f aca="false">AE759*評分方法!$C$5</f>
        <v>28.5</v>
      </c>
      <c r="J759" s="15" t="n">
        <f aca="false">AF759*評分方法!$C$6</f>
        <v>0</v>
      </c>
      <c r="K759" s="15" t="n">
        <f aca="false">AG759*評分方法!$C$7</f>
        <v>4.95</v>
      </c>
      <c r="L759" s="15" t="n">
        <f aca="false">AH759*評分方法!$C$8</f>
        <v>15</v>
      </c>
      <c r="M759" s="15" t="n">
        <f aca="false">AI759*評分方法!$C$9</f>
        <v>10</v>
      </c>
      <c r="N759" s="15" t="n">
        <f aca="false">AJ759*評分方法!$C$10</f>
        <v>5.556</v>
      </c>
      <c r="O759" s="15" t="n">
        <f aca="false">AK759*評分方法!$C$11</f>
        <v>2.5</v>
      </c>
      <c r="P759" s="15" t="n">
        <f aca="false">AL759*評分方法!$C$12</f>
        <v>0</v>
      </c>
      <c r="Q759" s="6" t="n">
        <v>579530</v>
      </c>
      <c r="R759" s="6" t="n">
        <v>434015235</v>
      </c>
      <c r="S759" s="11" t="s">
        <v>238</v>
      </c>
      <c r="T759" s="11" t="s">
        <v>239</v>
      </c>
      <c r="U759" s="5" t="s">
        <v>240</v>
      </c>
      <c r="V759" s="11" t="s">
        <v>261</v>
      </c>
      <c r="W759" s="5" t="s">
        <v>334</v>
      </c>
      <c r="X759" s="5" t="s">
        <v>242</v>
      </c>
      <c r="Y759" s="5"/>
      <c r="Z759" s="5"/>
      <c r="AA759" s="11" t="s">
        <v>150</v>
      </c>
      <c r="AB759" s="5" t="s">
        <v>245</v>
      </c>
      <c r="AC759" s="5"/>
      <c r="AD759" s="11" t="s">
        <v>2034</v>
      </c>
      <c r="AE759" s="23" t="n">
        <v>0.95</v>
      </c>
      <c r="AF759" s="23" t="n">
        <v>0</v>
      </c>
      <c r="AG759" s="23" t="n">
        <v>0.33</v>
      </c>
      <c r="AH759" s="23" t="n">
        <v>1</v>
      </c>
      <c r="AI759" s="23" t="n">
        <v>1</v>
      </c>
      <c r="AJ759" s="23" t="n">
        <v>0.5556</v>
      </c>
      <c r="AK759" s="23" t="n">
        <v>0.5</v>
      </c>
      <c r="AL759" s="23" t="n">
        <v>0</v>
      </c>
      <c r="AM759" s="16" t="n">
        <f aca="false">COUNTIFS($D$2:$D$2501,D759,$G$2:$G$2501,"&gt;"&amp;G759)+COUNTIFS($D$2:D759,D759,$G$2:G759,G759)</f>
        <v>118</v>
      </c>
      <c r="AN759" s="5" t="str">
        <f aca="false">D759&amp;"|"&amp;AM759</f>
        <v>實體擷取與去識別化|118</v>
      </c>
    </row>
    <row r="760" customFormat="false" ht="17.15" hidden="false" customHeight="false" outlineLevel="0" collapsed="false">
      <c r="A760" s="16" t="n">
        <f aca="false">RANK(G760,$G$2:$G$2501)+COUNTIF($G$2:G760,G760)-1</f>
        <v>759</v>
      </c>
      <c r="B760" s="11" t="s">
        <v>2035</v>
      </c>
      <c r="C760" s="11" t="s">
        <v>402</v>
      </c>
      <c r="D760" s="5" t="s">
        <v>58</v>
      </c>
      <c r="E760" s="5" t="s">
        <v>59</v>
      </c>
      <c r="F760" s="5"/>
      <c r="G760" s="22" t="n">
        <f aca="false">ROUND(SUM(I760:P760),3)</f>
        <v>66.498</v>
      </c>
      <c r="H760" s="5" t="str">
        <f aca="false">IF(G760&gt;=評分方法!$C$16,"優先評估",IF(G760&gt;=評分方法!$C$17,"列入候選",IF(G760&gt;=評分方法!$C$18,"特定情境","不建議")))</f>
        <v>特定情境</v>
      </c>
      <c r="I760" s="15" t="n">
        <f aca="false">AE760*評分方法!$C$5</f>
        <v>28.5</v>
      </c>
      <c r="J760" s="15" t="n">
        <f aca="false">AF760*評分方法!$C$6</f>
        <v>0</v>
      </c>
      <c r="K760" s="15" t="n">
        <f aca="false">AG760*評分方法!$C$7</f>
        <v>4.95</v>
      </c>
      <c r="L760" s="15" t="n">
        <f aca="false">AH760*評分方法!$C$8</f>
        <v>15</v>
      </c>
      <c r="M760" s="15" t="n">
        <f aca="false">AI760*評分方法!$C$9</f>
        <v>10</v>
      </c>
      <c r="N760" s="15" t="n">
        <f aca="false">AJ760*評分方法!$C$10</f>
        <v>5.548</v>
      </c>
      <c r="O760" s="15" t="n">
        <f aca="false">AK760*評分方法!$C$11</f>
        <v>2.5</v>
      </c>
      <c r="P760" s="15" t="n">
        <f aca="false">AL760*評分方法!$C$12</f>
        <v>0</v>
      </c>
      <c r="Q760" s="6" t="n">
        <v>579362</v>
      </c>
      <c r="R760" s="6" t="n">
        <v>107721987</v>
      </c>
      <c r="S760" s="11" t="s">
        <v>238</v>
      </c>
      <c r="T760" s="11" t="s">
        <v>239</v>
      </c>
      <c r="U760" s="5" t="s">
        <v>240</v>
      </c>
      <c r="V760" s="11" t="s">
        <v>261</v>
      </c>
      <c r="W760" s="5" t="s">
        <v>334</v>
      </c>
      <c r="X760" s="5" t="s">
        <v>242</v>
      </c>
      <c r="Y760" s="5"/>
      <c r="Z760" s="5"/>
      <c r="AA760" s="11" t="s">
        <v>150</v>
      </c>
      <c r="AB760" s="5" t="s">
        <v>245</v>
      </c>
      <c r="AC760" s="5"/>
      <c r="AD760" s="11" t="s">
        <v>2036</v>
      </c>
      <c r="AE760" s="23" t="n">
        <v>0.95</v>
      </c>
      <c r="AF760" s="23" t="n">
        <v>0</v>
      </c>
      <c r="AG760" s="23" t="n">
        <v>0.33</v>
      </c>
      <c r="AH760" s="23" t="n">
        <v>1</v>
      </c>
      <c r="AI760" s="23" t="n">
        <v>1</v>
      </c>
      <c r="AJ760" s="23" t="n">
        <v>0.5548</v>
      </c>
      <c r="AK760" s="23" t="n">
        <v>0.5</v>
      </c>
      <c r="AL760" s="23" t="n">
        <v>0</v>
      </c>
      <c r="AM760" s="16" t="n">
        <f aca="false">COUNTIFS($D$2:$D$2501,D760,$G$2:$G$2501,"&gt;"&amp;G760)+COUNTIFS($D$2:D760,D760,$G$2:G760,G760)</f>
        <v>119</v>
      </c>
      <c r="AN760" s="5" t="str">
        <f aca="false">D760&amp;"|"&amp;AM760</f>
        <v>實體擷取與去識別化|119</v>
      </c>
    </row>
    <row r="761" customFormat="false" ht="17.15" hidden="false" customHeight="false" outlineLevel="0" collapsed="false">
      <c r="A761" s="16" t="n">
        <f aca="false">RANK(G761,$G$2:$G$2501)+COUNTIF($G$2:G761,G761)-1</f>
        <v>760</v>
      </c>
      <c r="B761" s="11" t="s">
        <v>2037</v>
      </c>
      <c r="C761" s="11" t="s">
        <v>402</v>
      </c>
      <c r="D761" s="5" t="s">
        <v>58</v>
      </c>
      <c r="E761" s="5" t="s">
        <v>59</v>
      </c>
      <c r="F761" s="5"/>
      <c r="G761" s="22" t="n">
        <f aca="false">ROUND(SUM(I761:P761),3)</f>
        <v>66.494</v>
      </c>
      <c r="H761" s="5" t="str">
        <f aca="false">IF(G761&gt;=評分方法!$C$16,"優先評估",IF(G761&gt;=評分方法!$C$17,"列入候選",IF(G761&gt;=評分方法!$C$18,"特定情境","不建議")))</f>
        <v>特定情境</v>
      </c>
      <c r="I761" s="15" t="n">
        <f aca="false">AE761*評分方法!$C$5</f>
        <v>28.5</v>
      </c>
      <c r="J761" s="15" t="n">
        <f aca="false">AF761*評分方法!$C$6</f>
        <v>0</v>
      </c>
      <c r="K761" s="15" t="n">
        <f aca="false">AG761*評分方法!$C$7</f>
        <v>4.95</v>
      </c>
      <c r="L761" s="15" t="n">
        <f aca="false">AH761*評分方法!$C$8</f>
        <v>15</v>
      </c>
      <c r="M761" s="15" t="n">
        <f aca="false">AI761*評分方法!$C$9</f>
        <v>10</v>
      </c>
      <c r="N761" s="15" t="n">
        <f aca="false">AJ761*評分方法!$C$10</f>
        <v>5.544</v>
      </c>
      <c r="O761" s="15" t="n">
        <f aca="false">AK761*評分方法!$C$11</f>
        <v>2.5</v>
      </c>
      <c r="P761" s="15" t="n">
        <f aca="false">AL761*評分方法!$C$12</f>
        <v>0</v>
      </c>
      <c r="Q761" s="6" t="n">
        <v>578912</v>
      </c>
      <c r="R761" s="6" t="n">
        <v>134759457</v>
      </c>
      <c r="S761" s="11" t="s">
        <v>238</v>
      </c>
      <c r="T761" s="11" t="s">
        <v>239</v>
      </c>
      <c r="U761" s="5" t="s">
        <v>240</v>
      </c>
      <c r="V761" s="11" t="s">
        <v>261</v>
      </c>
      <c r="W761" s="5" t="s">
        <v>334</v>
      </c>
      <c r="X761" s="5" t="s">
        <v>242</v>
      </c>
      <c r="Y761" s="5"/>
      <c r="Z761" s="5"/>
      <c r="AA761" s="11" t="s">
        <v>150</v>
      </c>
      <c r="AB761" s="5" t="s">
        <v>245</v>
      </c>
      <c r="AC761" s="5"/>
      <c r="AD761" s="11" t="s">
        <v>2038</v>
      </c>
      <c r="AE761" s="23" t="n">
        <v>0.95</v>
      </c>
      <c r="AF761" s="23" t="n">
        <v>0</v>
      </c>
      <c r="AG761" s="23" t="n">
        <v>0.33</v>
      </c>
      <c r="AH761" s="23" t="n">
        <v>1</v>
      </c>
      <c r="AI761" s="23" t="n">
        <v>1</v>
      </c>
      <c r="AJ761" s="23" t="n">
        <v>0.5544</v>
      </c>
      <c r="AK761" s="23" t="n">
        <v>0.5</v>
      </c>
      <c r="AL761" s="23" t="n">
        <v>0</v>
      </c>
      <c r="AM761" s="16" t="n">
        <f aca="false">COUNTIFS($D$2:$D$2501,D761,$G$2:$G$2501,"&gt;"&amp;G761)+COUNTIFS($D$2:D761,D761,$G$2:G761,G761)</f>
        <v>120</v>
      </c>
      <c r="AN761" s="5" t="str">
        <f aca="false">D761&amp;"|"&amp;AM761</f>
        <v>實體擷取與去識別化|120</v>
      </c>
    </row>
    <row r="762" customFormat="false" ht="17.15" hidden="false" customHeight="false" outlineLevel="0" collapsed="false">
      <c r="A762" s="16" t="n">
        <f aca="false">RANK(G762,$G$2:$G$2501)+COUNTIF($G$2:G762,G762)-1</f>
        <v>761</v>
      </c>
      <c r="B762" s="11" t="s">
        <v>2039</v>
      </c>
      <c r="C762" s="11" t="s">
        <v>1374</v>
      </c>
      <c r="D762" s="5" t="s">
        <v>54</v>
      </c>
      <c r="E762" s="5" t="s">
        <v>55</v>
      </c>
      <c r="F762" s="5"/>
      <c r="G762" s="22" t="n">
        <f aca="false">ROUND(SUM(I762:P762),3)</f>
        <v>66.49</v>
      </c>
      <c r="H762" s="5" t="str">
        <f aca="false">IF(G762&gt;=評分方法!$C$16,"優先評估",IF(G762&gt;=評分方法!$C$17,"列入候選",IF(G762&gt;=評分方法!$C$18,"特定情境","不建議")))</f>
        <v>特定情境</v>
      </c>
      <c r="I762" s="15" t="n">
        <f aca="false">AE762*評分方法!$C$5</f>
        <v>27</v>
      </c>
      <c r="J762" s="15" t="n">
        <f aca="false">AF762*評分方法!$C$6</f>
        <v>0</v>
      </c>
      <c r="K762" s="15" t="n">
        <f aca="false">AG762*評分方法!$C$7</f>
        <v>10.05</v>
      </c>
      <c r="L762" s="15" t="n">
        <f aca="false">AH762*評分方法!$C$8</f>
        <v>15</v>
      </c>
      <c r="M762" s="15" t="n">
        <f aca="false">AI762*評分方法!$C$9</f>
        <v>10</v>
      </c>
      <c r="N762" s="15" t="n">
        <f aca="false">AJ762*評分方法!$C$10</f>
        <v>1.94</v>
      </c>
      <c r="O762" s="15" t="n">
        <f aca="false">AK762*評分方法!$C$11</f>
        <v>2.5</v>
      </c>
      <c r="P762" s="15" t="n">
        <f aca="false">AL762*評分方法!$C$12</f>
        <v>0</v>
      </c>
      <c r="Q762" s="6" t="n">
        <v>206839</v>
      </c>
      <c r="R762" s="6" t="n">
        <v>149014272</v>
      </c>
      <c r="S762" s="11" t="s">
        <v>238</v>
      </c>
      <c r="T762" s="11" t="s">
        <v>239</v>
      </c>
      <c r="U762" s="5" t="s">
        <v>240</v>
      </c>
      <c r="V762" s="11" t="s">
        <v>261</v>
      </c>
      <c r="W762" s="5" t="s">
        <v>207</v>
      </c>
      <c r="X762" s="5" t="s">
        <v>242</v>
      </c>
      <c r="Y762" s="11" t="s">
        <v>350</v>
      </c>
      <c r="Z762" s="11" t="s">
        <v>270</v>
      </c>
      <c r="AA762" s="11" t="s">
        <v>152</v>
      </c>
      <c r="AB762" s="5" t="s">
        <v>245</v>
      </c>
      <c r="AC762" s="5"/>
      <c r="AD762" s="11" t="s">
        <v>2040</v>
      </c>
      <c r="AE762" s="23" t="n">
        <v>0.9</v>
      </c>
      <c r="AF762" s="23" t="n">
        <v>0</v>
      </c>
      <c r="AG762" s="23" t="n">
        <v>0.67</v>
      </c>
      <c r="AH762" s="23" t="n">
        <v>1</v>
      </c>
      <c r="AI762" s="23" t="n">
        <v>1</v>
      </c>
      <c r="AJ762" s="23" t="n">
        <v>0.194</v>
      </c>
      <c r="AK762" s="23" t="n">
        <v>0.5</v>
      </c>
      <c r="AL762" s="23" t="n">
        <v>0</v>
      </c>
      <c r="AM762" s="16" t="n">
        <f aca="false">COUNTIFS($D$2:$D$2501,D762,$G$2:$G$2501,"&gt;"&amp;G762)+COUNTIFS($D$2:D762,D762,$G$2:G762,G762)</f>
        <v>140</v>
      </c>
      <c r="AN762" s="5" t="str">
        <f aca="false">D762&amp;"|"&amp;AM762</f>
        <v>檢索與情資關聯|140</v>
      </c>
    </row>
    <row r="763" customFormat="false" ht="17.15" hidden="false" customHeight="false" outlineLevel="0" collapsed="false">
      <c r="A763" s="16" t="n">
        <f aca="false">RANK(G763,$G$2:$G$2501)+COUNTIF($G$2:G763,G763)-1</f>
        <v>762</v>
      </c>
      <c r="B763" s="11" t="s">
        <v>2041</v>
      </c>
      <c r="C763" s="11" t="s">
        <v>402</v>
      </c>
      <c r="D763" s="5" t="s">
        <v>58</v>
      </c>
      <c r="E763" s="5" t="s">
        <v>59</v>
      </c>
      <c r="F763" s="5"/>
      <c r="G763" s="22" t="n">
        <f aca="false">ROUND(SUM(I763:P763),3)</f>
        <v>66.478</v>
      </c>
      <c r="H763" s="5" t="str">
        <f aca="false">IF(G763&gt;=評分方法!$C$16,"優先評估",IF(G763&gt;=評分方法!$C$17,"列入候選",IF(G763&gt;=評分方法!$C$18,"特定情境","不建議")))</f>
        <v>特定情境</v>
      </c>
      <c r="I763" s="15" t="n">
        <f aca="false">AE763*評分方法!$C$5</f>
        <v>28.5</v>
      </c>
      <c r="J763" s="15" t="n">
        <f aca="false">AF763*評分方法!$C$6</f>
        <v>0</v>
      </c>
      <c r="K763" s="15" t="n">
        <f aca="false">AG763*評分方法!$C$7</f>
        <v>4.95</v>
      </c>
      <c r="L763" s="15" t="n">
        <f aca="false">AH763*評分方法!$C$8</f>
        <v>15</v>
      </c>
      <c r="M763" s="15" t="n">
        <f aca="false">AI763*評分方法!$C$9</f>
        <v>10</v>
      </c>
      <c r="N763" s="15" t="n">
        <f aca="false">AJ763*評分方法!$C$10</f>
        <v>5.528</v>
      </c>
      <c r="O763" s="15" t="n">
        <f aca="false">AK763*評分方法!$C$11</f>
        <v>2.5</v>
      </c>
      <c r="P763" s="15" t="n">
        <f aca="false">AL763*評分方法!$C$12</f>
        <v>0</v>
      </c>
      <c r="Q763" s="6" t="n">
        <v>577513</v>
      </c>
      <c r="R763" s="6" t="n">
        <v>558852107</v>
      </c>
      <c r="S763" s="11" t="s">
        <v>238</v>
      </c>
      <c r="T763" s="11" t="s">
        <v>239</v>
      </c>
      <c r="U763" s="5" t="s">
        <v>240</v>
      </c>
      <c r="V763" s="11" t="s">
        <v>261</v>
      </c>
      <c r="W763" s="5" t="s">
        <v>334</v>
      </c>
      <c r="X763" s="5" t="s">
        <v>242</v>
      </c>
      <c r="Y763" s="5"/>
      <c r="Z763" s="5"/>
      <c r="AA763" s="11" t="s">
        <v>150</v>
      </c>
      <c r="AB763" s="5" t="s">
        <v>245</v>
      </c>
      <c r="AC763" s="5"/>
      <c r="AD763" s="11" t="s">
        <v>2042</v>
      </c>
      <c r="AE763" s="23" t="n">
        <v>0.95</v>
      </c>
      <c r="AF763" s="23" t="n">
        <v>0</v>
      </c>
      <c r="AG763" s="23" t="n">
        <v>0.33</v>
      </c>
      <c r="AH763" s="23" t="n">
        <v>1</v>
      </c>
      <c r="AI763" s="23" t="n">
        <v>1</v>
      </c>
      <c r="AJ763" s="23" t="n">
        <v>0.5528</v>
      </c>
      <c r="AK763" s="23" t="n">
        <v>0.5</v>
      </c>
      <c r="AL763" s="23" t="n">
        <v>0</v>
      </c>
      <c r="AM763" s="16" t="n">
        <f aca="false">COUNTIFS($D$2:$D$2501,D763,$G$2:$G$2501,"&gt;"&amp;G763)+COUNTIFS($D$2:D763,D763,$G$2:G763,G763)</f>
        <v>121</v>
      </c>
      <c r="AN763" s="5" t="str">
        <f aca="false">D763&amp;"|"&amp;AM763</f>
        <v>實體擷取與去識別化|121</v>
      </c>
    </row>
    <row r="764" customFormat="false" ht="17.15" hidden="false" customHeight="false" outlineLevel="0" collapsed="false">
      <c r="A764" s="16" t="n">
        <f aca="false">RANK(G764,$G$2:$G$2501)+COUNTIF($G$2:G764,G764)-1</f>
        <v>763</v>
      </c>
      <c r="B764" s="11" t="s">
        <v>2043</v>
      </c>
      <c r="C764" s="11" t="s">
        <v>690</v>
      </c>
      <c r="D764" s="5" t="s">
        <v>58</v>
      </c>
      <c r="E764" s="5" t="s">
        <v>59</v>
      </c>
      <c r="F764" s="5"/>
      <c r="G764" s="22" t="n">
        <f aca="false">ROUND(SUM(I764:P764),3)</f>
        <v>66.474</v>
      </c>
      <c r="H764" s="5" t="str">
        <f aca="false">IF(G764&gt;=評分方法!$C$16,"優先評估",IF(G764&gt;=評分方法!$C$17,"列入候選",IF(G764&gt;=評分方法!$C$18,"特定情境","不建議")))</f>
        <v>特定情境</v>
      </c>
      <c r="I764" s="15" t="n">
        <f aca="false">AE764*評分方法!$C$5</f>
        <v>28.5</v>
      </c>
      <c r="J764" s="15" t="n">
        <f aca="false">AF764*評分方法!$C$6</f>
        <v>0</v>
      </c>
      <c r="K764" s="15" t="n">
        <f aca="false">AG764*評分方法!$C$7</f>
        <v>10.05</v>
      </c>
      <c r="L764" s="15" t="n">
        <f aca="false">AH764*評分方法!$C$8</f>
        <v>15</v>
      </c>
      <c r="M764" s="15" t="n">
        <f aca="false">AI764*評分方法!$C$9</f>
        <v>10</v>
      </c>
      <c r="N764" s="15" t="n">
        <f aca="false">AJ764*評分方法!$C$10</f>
        <v>1.924</v>
      </c>
      <c r="O764" s="15" t="n">
        <f aca="false">AK764*評分方法!$C$11</f>
        <v>1</v>
      </c>
      <c r="P764" s="15" t="n">
        <f aca="false">AL764*評分方法!$C$12</f>
        <v>0</v>
      </c>
      <c r="Q764" s="6" t="n">
        <v>206097</v>
      </c>
      <c r="R764" s="6" t="n">
        <v>195175936</v>
      </c>
      <c r="S764" s="11" t="s">
        <v>238</v>
      </c>
      <c r="T764" s="11" t="s">
        <v>239</v>
      </c>
      <c r="U764" s="5" t="s">
        <v>240</v>
      </c>
      <c r="V764" s="11" t="s">
        <v>324</v>
      </c>
      <c r="W764" s="5" t="s">
        <v>207</v>
      </c>
      <c r="X764" s="5" t="s">
        <v>242</v>
      </c>
      <c r="Y764" s="5"/>
      <c r="Z764" s="5"/>
      <c r="AA764" s="11" t="s">
        <v>150</v>
      </c>
      <c r="AB764" s="5" t="s">
        <v>245</v>
      </c>
      <c r="AC764" s="5"/>
      <c r="AD764" s="11" t="s">
        <v>2044</v>
      </c>
      <c r="AE764" s="23" t="n">
        <v>0.95</v>
      </c>
      <c r="AF764" s="23" t="n">
        <v>0</v>
      </c>
      <c r="AG764" s="23" t="n">
        <v>0.67</v>
      </c>
      <c r="AH764" s="23" t="n">
        <v>1</v>
      </c>
      <c r="AI764" s="23" t="n">
        <v>1</v>
      </c>
      <c r="AJ764" s="23" t="n">
        <v>0.1924</v>
      </c>
      <c r="AK764" s="23" t="n">
        <v>0.2</v>
      </c>
      <c r="AL764" s="23" t="n">
        <v>0</v>
      </c>
      <c r="AM764" s="16" t="n">
        <f aca="false">COUNTIFS($D$2:$D$2501,D764,$G$2:$G$2501,"&gt;"&amp;G764)+COUNTIFS($D$2:D764,D764,$G$2:G764,G764)</f>
        <v>122</v>
      </c>
      <c r="AN764" s="5" t="str">
        <f aca="false">D764&amp;"|"&amp;AM764</f>
        <v>實體擷取與去識別化|122</v>
      </c>
    </row>
    <row r="765" customFormat="false" ht="17.15" hidden="false" customHeight="false" outlineLevel="0" collapsed="false">
      <c r="A765" s="16" t="n">
        <f aca="false">RANK(G765,$G$2:$G$2501)+COUNTIF($G$2:G765,G765)-1</f>
        <v>764</v>
      </c>
      <c r="B765" s="11" t="s">
        <v>2045</v>
      </c>
      <c r="C765" s="11" t="s">
        <v>402</v>
      </c>
      <c r="D765" s="5" t="s">
        <v>58</v>
      </c>
      <c r="E765" s="5" t="s">
        <v>59</v>
      </c>
      <c r="F765" s="5"/>
      <c r="G765" s="22" t="n">
        <f aca="false">ROUND(SUM(I765:P765),3)</f>
        <v>66.47</v>
      </c>
      <c r="H765" s="5" t="str">
        <f aca="false">IF(G765&gt;=評分方法!$C$16,"優先評估",IF(G765&gt;=評分方法!$C$17,"列入候選",IF(G765&gt;=評分方法!$C$18,"特定情境","不建議")))</f>
        <v>特定情境</v>
      </c>
      <c r="I765" s="15" t="n">
        <f aca="false">AE765*評分方法!$C$5</f>
        <v>28.5</v>
      </c>
      <c r="J765" s="15" t="n">
        <f aca="false">AF765*評分方法!$C$6</f>
        <v>0</v>
      </c>
      <c r="K765" s="15" t="n">
        <f aca="false">AG765*評分方法!$C$7</f>
        <v>4.95</v>
      </c>
      <c r="L765" s="15" t="n">
        <f aca="false">AH765*評分方法!$C$8</f>
        <v>15</v>
      </c>
      <c r="M765" s="15" t="n">
        <f aca="false">AI765*評分方法!$C$9</f>
        <v>10</v>
      </c>
      <c r="N765" s="15" t="n">
        <f aca="false">AJ765*評分方法!$C$10</f>
        <v>5.52</v>
      </c>
      <c r="O765" s="15" t="n">
        <f aca="false">AK765*評分方法!$C$11</f>
        <v>2.5</v>
      </c>
      <c r="P765" s="15" t="n">
        <f aca="false">AL765*評分方法!$C$12</f>
        <v>0</v>
      </c>
      <c r="Q765" s="6" t="n">
        <v>576869</v>
      </c>
      <c r="R765" s="6" t="n">
        <v>65216289</v>
      </c>
      <c r="S765" s="11" t="s">
        <v>238</v>
      </c>
      <c r="T765" s="11" t="s">
        <v>239</v>
      </c>
      <c r="U765" s="5" t="s">
        <v>240</v>
      </c>
      <c r="V765" s="11" t="s">
        <v>261</v>
      </c>
      <c r="W765" s="5" t="s">
        <v>334</v>
      </c>
      <c r="X765" s="5" t="s">
        <v>242</v>
      </c>
      <c r="Y765" s="5"/>
      <c r="Z765" s="5"/>
      <c r="AA765" s="11" t="s">
        <v>150</v>
      </c>
      <c r="AB765" s="5" t="s">
        <v>245</v>
      </c>
      <c r="AC765" s="5"/>
      <c r="AD765" s="11" t="s">
        <v>2046</v>
      </c>
      <c r="AE765" s="23" t="n">
        <v>0.95</v>
      </c>
      <c r="AF765" s="23" t="n">
        <v>0</v>
      </c>
      <c r="AG765" s="23" t="n">
        <v>0.33</v>
      </c>
      <c r="AH765" s="23" t="n">
        <v>1</v>
      </c>
      <c r="AI765" s="23" t="n">
        <v>1</v>
      </c>
      <c r="AJ765" s="23" t="n">
        <v>0.552</v>
      </c>
      <c r="AK765" s="23" t="n">
        <v>0.5</v>
      </c>
      <c r="AL765" s="23" t="n">
        <v>0</v>
      </c>
      <c r="AM765" s="16" t="n">
        <f aca="false">COUNTIFS($D$2:$D$2501,D765,$G$2:$G$2501,"&gt;"&amp;G765)+COUNTIFS($D$2:D765,D765,$G$2:G765,G765)</f>
        <v>123</v>
      </c>
      <c r="AN765" s="5" t="str">
        <f aca="false">D765&amp;"|"&amp;AM765</f>
        <v>實體擷取與去識別化|123</v>
      </c>
    </row>
    <row r="766" customFormat="false" ht="17.15" hidden="false" customHeight="false" outlineLevel="0" collapsed="false">
      <c r="A766" s="16" t="n">
        <f aca="false">RANK(G766,$G$2:$G$2501)+COUNTIF($G$2:G766,G766)-1</f>
        <v>765</v>
      </c>
      <c r="B766" s="11" t="s">
        <v>2047</v>
      </c>
      <c r="C766" s="11" t="s">
        <v>681</v>
      </c>
      <c r="D766" s="5" t="s">
        <v>72</v>
      </c>
      <c r="E766" s="5" t="s">
        <v>73</v>
      </c>
      <c r="F766" s="5"/>
      <c r="G766" s="22" t="n">
        <f aca="false">ROUND(SUM(I766:P766),3)</f>
        <v>66.468</v>
      </c>
      <c r="H766" s="5" t="str">
        <f aca="false">IF(G766&gt;=評分方法!$C$16,"優先評估",IF(G766&gt;=評分方法!$C$17,"列入候選",IF(G766&gt;=評分方法!$C$18,"特定情境","不建議")))</f>
        <v>特定情境</v>
      </c>
      <c r="I766" s="15" t="n">
        <f aca="false">AE766*評分方法!$C$5</f>
        <v>15</v>
      </c>
      <c r="J766" s="15" t="n">
        <f aca="false">AF766*評分方法!$C$6</f>
        <v>0</v>
      </c>
      <c r="K766" s="15" t="n">
        <f aca="false">AG766*評分方法!$C$7</f>
        <v>15</v>
      </c>
      <c r="L766" s="15" t="n">
        <f aca="false">AH766*評分方法!$C$8</f>
        <v>15</v>
      </c>
      <c r="M766" s="15" t="n">
        <f aca="false">AI766*評分方法!$C$9</f>
        <v>10</v>
      </c>
      <c r="N766" s="15" t="n">
        <f aca="false">AJ766*評分方法!$C$10</f>
        <v>8.968</v>
      </c>
      <c r="O766" s="15" t="n">
        <f aca="false">AK766*評分方法!$C$11</f>
        <v>1</v>
      </c>
      <c r="P766" s="15" t="n">
        <f aca="false">AL766*評分方法!$C$12</f>
        <v>1.5</v>
      </c>
      <c r="Q766" s="6" t="n">
        <v>3719432</v>
      </c>
      <c r="R766" s="6" t="n">
        <v>33995044</v>
      </c>
      <c r="S766" s="11" t="s">
        <v>238</v>
      </c>
      <c r="T766" s="11" t="s">
        <v>278</v>
      </c>
      <c r="U766" s="5" t="s">
        <v>240</v>
      </c>
      <c r="V766" s="11" t="s">
        <v>855</v>
      </c>
      <c r="W766" s="5" t="s">
        <v>205</v>
      </c>
      <c r="X766" s="5" t="s">
        <v>255</v>
      </c>
      <c r="Y766" s="5"/>
      <c r="Z766" s="5"/>
      <c r="AA766" s="11" t="s">
        <v>162</v>
      </c>
      <c r="AB766" s="5" t="s">
        <v>245</v>
      </c>
      <c r="AC766" s="5"/>
      <c r="AD766" s="11" t="s">
        <v>2048</v>
      </c>
      <c r="AE766" s="23" t="n">
        <v>0.5</v>
      </c>
      <c r="AF766" s="23" t="n">
        <v>0</v>
      </c>
      <c r="AG766" s="23" t="n">
        <v>1</v>
      </c>
      <c r="AH766" s="23" t="n">
        <v>1</v>
      </c>
      <c r="AI766" s="23" t="n">
        <v>1</v>
      </c>
      <c r="AJ766" s="23" t="n">
        <v>0.8968</v>
      </c>
      <c r="AK766" s="23" t="n">
        <v>0.2</v>
      </c>
      <c r="AL766" s="23" t="n">
        <v>0.3</v>
      </c>
      <c r="AM766" s="16" t="n">
        <f aca="false">COUNTIFS($D$2:$D$2501,D766,$G$2:$G$2501,"&gt;"&amp;G766)+COUNTIFS($D$2:D766,D766,$G$2:G766,G766)</f>
        <v>11</v>
      </c>
      <c r="AN766" s="5" t="str">
        <f aca="false">D766&amp;"|"&amp;AM766</f>
        <v>微調基底模型|11</v>
      </c>
    </row>
    <row r="767" customFormat="false" ht="17.15" hidden="false" customHeight="false" outlineLevel="0" collapsed="false">
      <c r="A767" s="16" t="n">
        <f aca="false">RANK(G767,$G$2:$G$2501)+COUNTIF($G$2:G767,G767)-1</f>
        <v>766</v>
      </c>
      <c r="B767" s="11" t="s">
        <v>2049</v>
      </c>
      <c r="C767" s="11" t="s">
        <v>2050</v>
      </c>
      <c r="D767" s="5" t="s">
        <v>58</v>
      </c>
      <c r="E767" s="5" t="s">
        <v>59</v>
      </c>
      <c r="F767" s="5"/>
      <c r="G767" s="22" t="n">
        <f aca="false">ROUND(SUM(I767:P767),3)</f>
        <v>66.466</v>
      </c>
      <c r="H767" s="5" t="str">
        <f aca="false">IF(G767&gt;=評分方法!$C$16,"優先評估",IF(G767&gt;=評分方法!$C$17,"列入候選",IF(G767&gt;=評分方法!$C$18,"特定情境","不建議")))</f>
        <v>特定情境</v>
      </c>
      <c r="I767" s="15" t="n">
        <f aca="false">AE767*評分方法!$C$5</f>
        <v>28.5</v>
      </c>
      <c r="J767" s="15" t="n">
        <f aca="false">AF767*評分方法!$C$6</f>
        <v>0</v>
      </c>
      <c r="K767" s="15" t="n">
        <f aca="false">AG767*評分方法!$C$7</f>
        <v>4.95</v>
      </c>
      <c r="L767" s="15" t="n">
        <f aca="false">AH767*評分方法!$C$8</f>
        <v>15</v>
      </c>
      <c r="M767" s="15" t="n">
        <f aca="false">AI767*評分方法!$C$9</f>
        <v>10</v>
      </c>
      <c r="N767" s="15" t="n">
        <f aca="false">AJ767*評分方法!$C$10</f>
        <v>4.016</v>
      </c>
      <c r="O767" s="15" t="n">
        <f aca="false">AK767*評分方法!$C$11</f>
        <v>4</v>
      </c>
      <c r="P767" s="15" t="n">
        <f aca="false">AL767*評分方法!$C$12</f>
        <v>0</v>
      </c>
      <c r="Q767" s="6" t="n">
        <v>420280</v>
      </c>
      <c r="R767" s="6" t="n">
        <v>66364418</v>
      </c>
      <c r="S767" s="11" t="s">
        <v>238</v>
      </c>
      <c r="T767" s="11" t="s">
        <v>278</v>
      </c>
      <c r="U767" s="5" t="s">
        <v>240</v>
      </c>
      <c r="V767" s="11" t="s">
        <v>261</v>
      </c>
      <c r="W767" s="5" t="s">
        <v>334</v>
      </c>
      <c r="X767" s="5" t="s">
        <v>242</v>
      </c>
      <c r="Y767" s="11" t="s">
        <v>396</v>
      </c>
      <c r="Z767" s="11" t="s">
        <v>270</v>
      </c>
      <c r="AA767" s="11" t="s">
        <v>150</v>
      </c>
      <c r="AB767" s="5" t="s">
        <v>245</v>
      </c>
      <c r="AC767" s="5"/>
      <c r="AD767" s="11" t="s">
        <v>2051</v>
      </c>
      <c r="AE767" s="23" t="n">
        <v>0.95</v>
      </c>
      <c r="AF767" s="23" t="n">
        <v>0</v>
      </c>
      <c r="AG767" s="23" t="n">
        <v>0.33</v>
      </c>
      <c r="AH767" s="23" t="n">
        <v>1</v>
      </c>
      <c r="AI767" s="23" t="n">
        <v>1</v>
      </c>
      <c r="AJ767" s="23" t="n">
        <v>0.4016</v>
      </c>
      <c r="AK767" s="23" t="n">
        <v>0.8</v>
      </c>
      <c r="AL767" s="23" t="n">
        <v>0</v>
      </c>
      <c r="AM767" s="16" t="n">
        <f aca="false">COUNTIFS($D$2:$D$2501,D767,$G$2:$G$2501,"&gt;"&amp;G767)+COUNTIFS($D$2:D767,D767,$G$2:G767,G767)</f>
        <v>124</v>
      </c>
      <c r="AN767" s="5" t="str">
        <f aca="false">D767&amp;"|"&amp;AM767</f>
        <v>實體擷取與去識別化|124</v>
      </c>
    </row>
    <row r="768" customFormat="false" ht="17.15" hidden="false" customHeight="false" outlineLevel="0" collapsed="false">
      <c r="A768" s="16" t="n">
        <f aca="false">RANK(G768,$G$2:$G$2501)+COUNTIF($G$2:G768,G768)-1</f>
        <v>767</v>
      </c>
      <c r="B768" s="11" t="s">
        <v>2052</v>
      </c>
      <c r="C768" s="11" t="s">
        <v>1725</v>
      </c>
      <c r="D768" s="5" t="s">
        <v>56</v>
      </c>
      <c r="E768" s="5" t="s">
        <v>57</v>
      </c>
      <c r="F768" s="5"/>
      <c r="G768" s="22" t="n">
        <f aca="false">ROUND(SUM(I768:P768),3)</f>
        <v>66.462</v>
      </c>
      <c r="H768" s="5" t="str">
        <f aca="false">IF(G768&gt;=評分方法!$C$16,"優先評估",IF(G768&gt;=評分方法!$C$17,"列入候選",IF(G768&gt;=評分方法!$C$18,"特定情境","不建議")))</f>
        <v>特定情境</v>
      </c>
      <c r="I768" s="15" t="n">
        <f aca="false">AE768*評分方法!$C$5</f>
        <v>25.5</v>
      </c>
      <c r="J768" s="15" t="n">
        <f aca="false">AF768*評分方法!$C$6</f>
        <v>0</v>
      </c>
      <c r="K768" s="15" t="n">
        <f aca="false">AG768*評分方法!$C$7</f>
        <v>4.95</v>
      </c>
      <c r="L768" s="15" t="n">
        <f aca="false">AH768*評分方法!$C$8</f>
        <v>9</v>
      </c>
      <c r="M768" s="15" t="n">
        <f aca="false">AI768*評分方法!$C$9</f>
        <v>10</v>
      </c>
      <c r="N768" s="15" t="n">
        <f aca="false">AJ768*評分方法!$C$10</f>
        <v>9.012</v>
      </c>
      <c r="O768" s="15" t="n">
        <f aca="false">AK768*評分方法!$C$11</f>
        <v>5</v>
      </c>
      <c r="P768" s="15" t="n">
        <f aca="false">AL768*評分方法!$C$12</f>
        <v>3</v>
      </c>
      <c r="Q768" s="6" t="n">
        <v>3947098</v>
      </c>
      <c r="R768" s="6" t="n">
        <v>31273088876</v>
      </c>
      <c r="S768" s="11" t="s">
        <v>389</v>
      </c>
      <c r="T768" s="11" t="s">
        <v>239</v>
      </c>
      <c r="U768" s="5" t="s">
        <v>240</v>
      </c>
      <c r="V768" s="11" t="s">
        <v>261</v>
      </c>
      <c r="W768" s="5" t="s">
        <v>334</v>
      </c>
      <c r="X768" s="5" t="s">
        <v>371</v>
      </c>
      <c r="Y768" s="11" t="s">
        <v>583</v>
      </c>
      <c r="Z768" s="11" t="s">
        <v>244</v>
      </c>
      <c r="AA768" s="11" t="s">
        <v>156</v>
      </c>
      <c r="AB768" s="5" t="s">
        <v>245</v>
      </c>
      <c r="AC768" s="5" t="s">
        <v>246</v>
      </c>
      <c r="AD768" s="11" t="s">
        <v>2053</v>
      </c>
      <c r="AE768" s="23" t="n">
        <v>0.85</v>
      </c>
      <c r="AF768" s="23" t="n">
        <v>0</v>
      </c>
      <c r="AG768" s="23" t="n">
        <v>0.33</v>
      </c>
      <c r="AH768" s="23" t="n">
        <v>0.6</v>
      </c>
      <c r="AI768" s="23" t="n">
        <v>1</v>
      </c>
      <c r="AJ768" s="23" t="n">
        <v>0.9012</v>
      </c>
      <c r="AK768" s="23" t="n">
        <v>1</v>
      </c>
      <c r="AL768" s="23" t="n">
        <v>0.6</v>
      </c>
      <c r="AM768" s="16" t="n">
        <f aca="false">COUNTIFS($D$2:$D$2501,D768,$G$2:$G$2501,"&gt;"&amp;G768)+COUNTIFS($D$2:D768,D768,$G$2:G768,G768)</f>
        <v>384</v>
      </c>
      <c r="AN768" s="5" t="str">
        <f aca="false">D768&amp;"|"&amp;AM768</f>
        <v>分析與報告生成|384</v>
      </c>
    </row>
    <row r="769" customFormat="false" ht="17.15" hidden="false" customHeight="false" outlineLevel="0" collapsed="false">
      <c r="A769" s="16" t="n">
        <f aca="false">RANK(G769,$G$2:$G$2501)+COUNTIF($G$2:G769,G769)-1</f>
        <v>768</v>
      </c>
      <c r="B769" s="11" t="s">
        <v>2054</v>
      </c>
      <c r="C769" s="11" t="s">
        <v>402</v>
      </c>
      <c r="D769" s="5" t="s">
        <v>58</v>
      </c>
      <c r="E769" s="5" t="s">
        <v>59</v>
      </c>
      <c r="F769" s="5"/>
      <c r="G769" s="22" t="n">
        <f aca="false">ROUND(SUM(I769:P769),3)</f>
        <v>66.462</v>
      </c>
      <c r="H769" s="5" t="str">
        <f aca="false">IF(G769&gt;=評分方法!$C$16,"優先評估",IF(G769&gt;=評分方法!$C$17,"列入候選",IF(G769&gt;=評分方法!$C$18,"特定情境","不建議")))</f>
        <v>特定情境</v>
      </c>
      <c r="I769" s="15" t="n">
        <f aca="false">AE769*評分方法!$C$5</f>
        <v>28.5</v>
      </c>
      <c r="J769" s="15" t="n">
        <f aca="false">AF769*評分方法!$C$6</f>
        <v>0</v>
      </c>
      <c r="K769" s="15" t="n">
        <f aca="false">AG769*評分方法!$C$7</f>
        <v>4.95</v>
      </c>
      <c r="L769" s="15" t="n">
        <f aca="false">AH769*評分方法!$C$8</f>
        <v>15</v>
      </c>
      <c r="M769" s="15" t="n">
        <f aca="false">AI769*評分方法!$C$9</f>
        <v>10</v>
      </c>
      <c r="N769" s="15" t="n">
        <f aca="false">AJ769*評分方法!$C$10</f>
        <v>5.512</v>
      </c>
      <c r="O769" s="15" t="n">
        <f aca="false">AK769*評分方法!$C$11</f>
        <v>2.5</v>
      </c>
      <c r="P769" s="15" t="n">
        <f aca="false">AL769*評分方法!$C$12</f>
        <v>0</v>
      </c>
      <c r="Q769" s="6" t="n">
        <v>576573</v>
      </c>
      <c r="R769" s="6" t="n">
        <v>434015235</v>
      </c>
      <c r="S769" s="11" t="s">
        <v>238</v>
      </c>
      <c r="T769" s="11" t="s">
        <v>239</v>
      </c>
      <c r="U769" s="5" t="s">
        <v>240</v>
      </c>
      <c r="V769" s="11" t="s">
        <v>261</v>
      </c>
      <c r="W769" s="5" t="s">
        <v>334</v>
      </c>
      <c r="X769" s="5" t="s">
        <v>242</v>
      </c>
      <c r="Y769" s="5"/>
      <c r="Z769" s="5"/>
      <c r="AA769" s="11" t="s">
        <v>150</v>
      </c>
      <c r="AB769" s="5" t="s">
        <v>245</v>
      </c>
      <c r="AC769" s="5"/>
      <c r="AD769" s="11" t="s">
        <v>2055</v>
      </c>
      <c r="AE769" s="23" t="n">
        <v>0.95</v>
      </c>
      <c r="AF769" s="23" t="n">
        <v>0</v>
      </c>
      <c r="AG769" s="23" t="n">
        <v>0.33</v>
      </c>
      <c r="AH769" s="23" t="n">
        <v>1</v>
      </c>
      <c r="AI769" s="23" t="n">
        <v>1</v>
      </c>
      <c r="AJ769" s="23" t="n">
        <v>0.5512</v>
      </c>
      <c r="AK769" s="23" t="n">
        <v>0.5</v>
      </c>
      <c r="AL769" s="23" t="n">
        <v>0</v>
      </c>
      <c r="AM769" s="16" t="n">
        <f aca="false">COUNTIFS($D$2:$D$2501,D769,$G$2:$G$2501,"&gt;"&amp;G769)+COUNTIFS($D$2:D769,D769,$G$2:G769,G769)</f>
        <v>125</v>
      </c>
      <c r="AN769" s="5" t="str">
        <f aca="false">D769&amp;"|"&amp;AM769</f>
        <v>實體擷取與去識別化|125</v>
      </c>
    </row>
    <row r="770" customFormat="false" ht="17.15" hidden="false" customHeight="false" outlineLevel="0" collapsed="false">
      <c r="A770" s="16" t="n">
        <f aca="false">RANK(G770,$G$2:$G$2501)+COUNTIF($G$2:G770,G770)-1</f>
        <v>769</v>
      </c>
      <c r="B770" s="11" t="s">
        <v>2056</v>
      </c>
      <c r="C770" s="11" t="s">
        <v>402</v>
      </c>
      <c r="D770" s="5" t="s">
        <v>58</v>
      </c>
      <c r="E770" s="5" t="s">
        <v>59</v>
      </c>
      <c r="F770" s="5"/>
      <c r="G770" s="22" t="n">
        <f aca="false">ROUND(SUM(I770:P770),3)</f>
        <v>66.458</v>
      </c>
      <c r="H770" s="5" t="str">
        <f aca="false">IF(G770&gt;=評分方法!$C$16,"優先評估",IF(G770&gt;=評分方法!$C$17,"列入候選",IF(G770&gt;=評分方法!$C$18,"特定情境","不建議")))</f>
        <v>特定情境</v>
      </c>
      <c r="I770" s="15" t="n">
        <f aca="false">AE770*評分方法!$C$5</f>
        <v>28.5</v>
      </c>
      <c r="J770" s="15" t="n">
        <f aca="false">AF770*評分方法!$C$6</f>
        <v>0</v>
      </c>
      <c r="K770" s="15" t="n">
        <f aca="false">AG770*評分方法!$C$7</f>
        <v>4.95</v>
      </c>
      <c r="L770" s="15" t="n">
        <f aca="false">AH770*評分方法!$C$8</f>
        <v>15</v>
      </c>
      <c r="M770" s="15" t="n">
        <f aca="false">AI770*評分方法!$C$9</f>
        <v>10</v>
      </c>
      <c r="N770" s="15" t="n">
        <f aca="false">AJ770*評分方法!$C$10</f>
        <v>5.508</v>
      </c>
      <c r="O770" s="15" t="n">
        <f aca="false">AK770*評分方法!$C$11</f>
        <v>2.5</v>
      </c>
      <c r="P770" s="15" t="n">
        <f aca="false">AL770*評分方法!$C$12</f>
        <v>0</v>
      </c>
      <c r="Q770" s="6" t="n">
        <v>576551</v>
      </c>
      <c r="R770" s="6" t="n">
        <v>434015235</v>
      </c>
      <c r="S770" s="11" t="s">
        <v>238</v>
      </c>
      <c r="T770" s="11" t="s">
        <v>239</v>
      </c>
      <c r="U770" s="5" t="s">
        <v>240</v>
      </c>
      <c r="V770" s="11" t="s">
        <v>261</v>
      </c>
      <c r="W770" s="5" t="s">
        <v>334</v>
      </c>
      <c r="X770" s="5" t="s">
        <v>242</v>
      </c>
      <c r="Y770" s="5"/>
      <c r="Z770" s="5"/>
      <c r="AA770" s="11" t="s">
        <v>150</v>
      </c>
      <c r="AB770" s="5" t="s">
        <v>245</v>
      </c>
      <c r="AC770" s="5"/>
      <c r="AD770" s="11" t="s">
        <v>2057</v>
      </c>
      <c r="AE770" s="23" t="n">
        <v>0.95</v>
      </c>
      <c r="AF770" s="23" t="n">
        <v>0</v>
      </c>
      <c r="AG770" s="23" t="n">
        <v>0.33</v>
      </c>
      <c r="AH770" s="23" t="n">
        <v>1</v>
      </c>
      <c r="AI770" s="23" t="n">
        <v>1</v>
      </c>
      <c r="AJ770" s="23" t="n">
        <v>0.5508</v>
      </c>
      <c r="AK770" s="23" t="n">
        <v>0.5</v>
      </c>
      <c r="AL770" s="23" t="n">
        <v>0</v>
      </c>
      <c r="AM770" s="16" t="n">
        <f aca="false">COUNTIFS($D$2:$D$2501,D770,$G$2:$G$2501,"&gt;"&amp;G770)+COUNTIFS($D$2:D770,D770,$G$2:G770,G770)</f>
        <v>126</v>
      </c>
      <c r="AN770" s="5" t="str">
        <f aca="false">D770&amp;"|"&amp;AM770</f>
        <v>實體擷取與去識別化|126</v>
      </c>
    </row>
    <row r="771" customFormat="false" ht="17.15" hidden="false" customHeight="false" outlineLevel="0" collapsed="false">
      <c r="A771" s="16" t="n">
        <f aca="false">RANK(G771,$G$2:$G$2501)+COUNTIF($G$2:G771,G771)-1</f>
        <v>770</v>
      </c>
      <c r="B771" s="11" t="s">
        <v>2058</v>
      </c>
      <c r="C771" s="11" t="s">
        <v>402</v>
      </c>
      <c r="D771" s="5" t="s">
        <v>58</v>
      </c>
      <c r="E771" s="5" t="s">
        <v>59</v>
      </c>
      <c r="F771" s="5"/>
      <c r="G771" s="22" t="n">
        <f aca="false">ROUND(SUM(I771:P771),3)</f>
        <v>66.454</v>
      </c>
      <c r="H771" s="5" t="str">
        <f aca="false">IF(G771&gt;=評分方法!$C$16,"優先評估",IF(G771&gt;=評分方法!$C$17,"列入候選",IF(G771&gt;=評分方法!$C$18,"特定情境","不建議")))</f>
        <v>特定情境</v>
      </c>
      <c r="I771" s="15" t="n">
        <f aca="false">AE771*評分方法!$C$5</f>
        <v>28.5</v>
      </c>
      <c r="J771" s="15" t="n">
        <f aca="false">AF771*評分方法!$C$6</f>
        <v>0</v>
      </c>
      <c r="K771" s="15" t="n">
        <f aca="false">AG771*評分方法!$C$7</f>
        <v>4.95</v>
      </c>
      <c r="L771" s="15" t="n">
        <f aca="false">AH771*評分方法!$C$8</f>
        <v>15</v>
      </c>
      <c r="M771" s="15" t="n">
        <f aca="false">AI771*評分方法!$C$9</f>
        <v>10</v>
      </c>
      <c r="N771" s="15" t="n">
        <f aca="false">AJ771*評分方法!$C$10</f>
        <v>5.504</v>
      </c>
      <c r="O771" s="15" t="n">
        <f aca="false">AK771*評分方法!$C$11</f>
        <v>2.5</v>
      </c>
      <c r="P771" s="15" t="n">
        <f aca="false">AL771*評分方法!$C$12</f>
        <v>0</v>
      </c>
      <c r="Q771" s="6" t="n">
        <v>576506</v>
      </c>
      <c r="R771" s="6" t="n">
        <v>395834371</v>
      </c>
      <c r="S771" s="11" t="s">
        <v>238</v>
      </c>
      <c r="T771" s="11" t="s">
        <v>239</v>
      </c>
      <c r="U771" s="5" t="s">
        <v>240</v>
      </c>
      <c r="V771" s="11" t="s">
        <v>261</v>
      </c>
      <c r="W771" s="5" t="s">
        <v>334</v>
      </c>
      <c r="X771" s="5" t="s">
        <v>242</v>
      </c>
      <c r="Y771" s="5"/>
      <c r="Z771" s="5"/>
      <c r="AA771" s="11" t="s">
        <v>150</v>
      </c>
      <c r="AB771" s="5" t="s">
        <v>245</v>
      </c>
      <c r="AC771" s="5"/>
      <c r="AD771" s="11" t="s">
        <v>2059</v>
      </c>
      <c r="AE771" s="23" t="n">
        <v>0.95</v>
      </c>
      <c r="AF771" s="23" t="n">
        <v>0</v>
      </c>
      <c r="AG771" s="23" t="n">
        <v>0.33</v>
      </c>
      <c r="AH771" s="23" t="n">
        <v>1</v>
      </c>
      <c r="AI771" s="23" t="n">
        <v>1</v>
      </c>
      <c r="AJ771" s="23" t="n">
        <v>0.5504</v>
      </c>
      <c r="AK771" s="23" t="n">
        <v>0.5</v>
      </c>
      <c r="AL771" s="23" t="n">
        <v>0</v>
      </c>
      <c r="AM771" s="16" t="n">
        <f aca="false">COUNTIFS($D$2:$D$2501,D771,$G$2:$G$2501,"&gt;"&amp;G771)+COUNTIFS($D$2:D771,D771,$G$2:G771,G771)</f>
        <v>127</v>
      </c>
      <c r="AN771" s="5" t="str">
        <f aca="false">D771&amp;"|"&amp;AM771</f>
        <v>實體擷取與去識別化|127</v>
      </c>
    </row>
    <row r="772" customFormat="false" ht="17.15" hidden="false" customHeight="false" outlineLevel="0" collapsed="false">
      <c r="A772" s="16" t="n">
        <f aca="false">RANK(G772,$G$2:$G$2501)+COUNTIF($G$2:G772,G772)-1</f>
        <v>771</v>
      </c>
      <c r="B772" s="11" t="s">
        <v>2060</v>
      </c>
      <c r="C772" s="11" t="s">
        <v>753</v>
      </c>
      <c r="D772" s="5" t="s">
        <v>54</v>
      </c>
      <c r="E772" s="5" t="s">
        <v>55</v>
      </c>
      <c r="F772" s="5"/>
      <c r="G772" s="22" t="n">
        <f aca="false">ROUND(SUM(I772:P772),3)</f>
        <v>66.45</v>
      </c>
      <c r="H772" s="5" t="str">
        <f aca="false">IF(G772&gt;=評分方法!$C$16,"優先評估",IF(G772&gt;=評分方法!$C$17,"列入候選",IF(G772&gt;=評分方法!$C$18,"特定情境","不建議")))</f>
        <v>特定情境</v>
      </c>
      <c r="I772" s="15" t="n">
        <f aca="false">AE772*評分方法!$C$5</f>
        <v>27</v>
      </c>
      <c r="J772" s="15" t="n">
        <f aca="false">AF772*評分方法!$C$6</f>
        <v>0</v>
      </c>
      <c r="K772" s="15" t="n">
        <f aca="false">AG772*評分方法!$C$7</f>
        <v>10.05</v>
      </c>
      <c r="L772" s="15" t="n">
        <f aca="false">AH772*評分方法!$C$8</f>
        <v>15</v>
      </c>
      <c r="M772" s="15" t="n">
        <f aca="false">AI772*評分方法!$C$9</f>
        <v>6</v>
      </c>
      <c r="N772" s="15" t="n">
        <f aca="false">AJ772*評分方法!$C$10</f>
        <v>2.9</v>
      </c>
      <c r="O772" s="15" t="n">
        <f aca="false">AK772*評分方法!$C$11</f>
        <v>4</v>
      </c>
      <c r="P772" s="15" t="n">
        <f aca="false">AL772*評分方法!$C$12</f>
        <v>1.5</v>
      </c>
      <c r="Q772" s="6" t="n">
        <v>286071</v>
      </c>
      <c r="R772" s="6" t="n">
        <v>302863104</v>
      </c>
      <c r="S772" s="11" t="s">
        <v>238</v>
      </c>
      <c r="T772" s="11" t="s">
        <v>658</v>
      </c>
      <c r="U772" s="5" t="s">
        <v>260</v>
      </c>
      <c r="V772" s="11" t="s">
        <v>261</v>
      </c>
      <c r="W772" s="5" t="s">
        <v>207</v>
      </c>
      <c r="X772" s="5" t="s">
        <v>255</v>
      </c>
      <c r="Y772" s="5"/>
      <c r="Z772" s="5"/>
      <c r="AA772" s="11" t="s">
        <v>152</v>
      </c>
      <c r="AB772" s="5" t="s">
        <v>245</v>
      </c>
      <c r="AC772" s="5" t="s">
        <v>262</v>
      </c>
      <c r="AD772" s="11" t="s">
        <v>2061</v>
      </c>
      <c r="AE772" s="23" t="n">
        <v>0.9</v>
      </c>
      <c r="AF772" s="23" t="n">
        <v>0</v>
      </c>
      <c r="AG772" s="23" t="n">
        <v>0.67</v>
      </c>
      <c r="AH772" s="23" t="n">
        <v>1</v>
      </c>
      <c r="AI772" s="23" t="n">
        <v>0.6</v>
      </c>
      <c r="AJ772" s="23" t="n">
        <v>0.29</v>
      </c>
      <c r="AK772" s="23" t="n">
        <v>0.8</v>
      </c>
      <c r="AL772" s="23" t="n">
        <v>0.3</v>
      </c>
      <c r="AM772" s="16" t="n">
        <f aca="false">COUNTIFS($D$2:$D$2501,D772,$G$2:$G$2501,"&gt;"&amp;G772)+COUNTIFS($D$2:D772,D772,$G$2:G772,G772)</f>
        <v>141</v>
      </c>
      <c r="AN772" s="5" t="str">
        <f aca="false">D772&amp;"|"&amp;AM772</f>
        <v>檢索與情資關聯|141</v>
      </c>
    </row>
    <row r="773" customFormat="false" ht="17.15" hidden="false" customHeight="false" outlineLevel="0" collapsed="false">
      <c r="A773" s="16" t="n">
        <f aca="false">RANK(G773,$G$2:$G$2501)+COUNTIF($G$2:G773,G773)-1</f>
        <v>772</v>
      </c>
      <c r="B773" s="11" t="s">
        <v>2062</v>
      </c>
      <c r="C773" s="11" t="s">
        <v>753</v>
      </c>
      <c r="D773" s="5" t="s">
        <v>56</v>
      </c>
      <c r="E773" s="5" t="s">
        <v>57</v>
      </c>
      <c r="F773" s="5"/>
      <c r="G773" s="22" t="n">
        <f aca="false">ROUND(SUM(I773:P773),3)</f>
        <v>66.448</v>
      </c>
      <c r="H773" s="5" t="str">
        <f aca="false">IF(G773&gt;=評分方法!$C$16,"優先評估",IF(G773&gt;=評分方法!$C$17,"列入候選",IF(G773&gt;=評分方法!$C$18,"特定情境","不建議")))</f>
        <v>特定情境</v>
      </c>
      <c r="I773" s="15" t="n">
        <f aca="false">AE773*評分方法!$C$5</f>
        <v>25.5</v>
      </c>
      <c r="J773" s="15" t="n">
        <f aca="false">AF773*評分方法!$C$6</f>
        <v>0</v>
      </c>
      <c r="K773" s="15" t="n">
        <f aca="false">AG773*評分方法!$C$7</f>
        <v>10.05</v>
      </c>
      <c r="L773" s="15" t="n">
        <f aca="false">AH773*評分方法!$C$8</f>
        <v>13.05</v>
      </c>
      <c r="M773" s="15" t="n">
        <f aca="false">AI773*評分方法!$C$9</f>
        <v>6</v>
      </c>
      <c r="N773" s="15" t="n">
        <f aca="false">AJ773*評分方法!$C$10</f>
        <v>6.348</v>
      </c>
      <c r="O773" s="15" t="n">
        <f aca="false">AK773*評分方法!$C$11</f>
        <v>2.5</v>
      </c>
      <c r="P773" s="15" t="n">
        <f aca="false">AL773*評分方法!$C$12</f>
        <v>3</v>
      </c>
      <c r="Q773" s="6" t="n">
        <v>709707</v>
      </c>
      <c r="R773" s="6" t="n">
        <v>4300079472</v>
      </c>
      <c r="S773" s="11" t="s">
        <v>254</v>
      </c>
      <c r="T773" s="11" t="s">
        <v>658</v>
      </c>
      <c r="U773" s="5" t="s">
        <v>260</v>
      </c>
      <c r="V773" s="11" t="s">
        <v>261</v>
      </c>
      <c r="W773" s="5" t="s">
        <v>207</v>
      </c>
      <c r="X773" s="5" t="s">
        <v>371</v>
      </c>
      <c r="Y773" s="11" t="s">
        <v>868</v>
      </c>
      <c r="Z773" s="11" t="s">
        <v>270</v>
      </c>
      <c r="AA773" s="11" t="s">
        <v>156</v>
      </c>
      <c r="AB773" s="5" t="s">
        <v>245</v>
      </c>
      <c r="AC773" s="5" t="s">
        <v>262</v>
      </c>
      <c r="AD773" s="11" t="s">
        <v>2063</v>
      </c>
      <c r="AE773" s="23" t="n">
        <v>0.85</v>
      </c>
      <c r="AF773" s="23" t="n">
        <v>0</v>
      </c>
      <c r="AG773" s="23" t="n">
        <v>0.67</v>
      </c>
      <c r="AH773" s="23" t="n">
        <v>0.87</v>
      </c>
      <c r="AI773" s="23" t="n">
        <v>0.6</v>
      </c>
      <c r="AJ773" s="23" t="n">
        <v>0.6348</v>
      </c>
      <c r="AK773" s="23" t="n">
        <v>0.5</v>
      </c>
      <c r="AL773" s="23" t="n">
        <v>0.6</v>
      </c>
      <c r="AM773" s="16" t="n">
        <f aca="false">COUNTIFS($D$2:$D$2501,D773,$G$2:$G$2501,"&gt;"&amp;G773)+COUNTIFS($D$2:D773,D773,$G$2:G773,G773)</f>
        <v>385</v>
      </c>
      <c r="AN773" s="5" t="str">
        <f aca="false">D773&amp;"|"&amp;AM773</f>
        <v>分析與報告生成|385</v>
      </c>
    </row>
    <row r="774" customFormat="false" ht="17.15" hidden="false" customHeight="false" outlineLevel="0" collapsed="false">
      <c r="A774" s="16" t="n">
        <f aca="false">RANK(G774,$G$2:$G$2501)+COUNTIF($G$2:G774,G774)-1</f>
        <v>773</v>
      </c>
      <c r="B774" s="11" t="s">
        <v>2064</v>
      </c>
      <c r="C774" s="11" t="s">
        <v>402</v>
      </c>
      <c r="D774" s="5" t="s">
        <v>58</v>
      </c>
      <c r="E774" s="5" t="s">
        <v>59</v>
      </c>
      <c r="F774" s="5"/>
      <c r="G774" s="22" t="n">
        <f aca="false">ROUND(SUM(I774:P774),3)</f>
        <v>66.446</v>
      </c>
      <c r="H774" s="5" t="str">
        <f aca="false">IF(G774&gt;=評分方法!$C$16,"優先評估",IF(G774&gt;=評分方法!$C$17,"列入候選",IF(G774&gt;=評分方法!$C$18,"特定情境","不建議")))</f>
        <v>特定情境</v>
      </c>
      <c r="I774" s="15" t="n">
        <f aca="false">AE774*評分方法!$C$5</f>
        <v>28.5</v>
      </c>
      <c r="J774" s="15" t="n">
        <f aca="false">AF774*評分方法!$C$6</f>
        <v>0</v>
      </c>
      <c r="K774" s="15" t="n">
        <f aca="false">AG774*評分方法!$C$7</f>
        <v>4.95</v>
      </c>
      <c r="L774" s="15" t="n">
        <f aca="false">AH774*評分方法!$C$8</f>
        <v>15</v>
      </c>
      <c r="M774" s="15" t="n">
        <f aca="false">AI774*評分方法!$C$9</f>
        <v>10</v>
      </c>
      <c r="N774" s="15" t="n">
        <f aca="false">AJ774*評分方法!$C$10</f>
        <v>5.496</v>
      </c>
      <c r="O774" s="15" t="n">
        <f aca="false">AK774*評分方法!$C$11</f>
        <v>2.5</v>
      </c>
      <c r="P774" s="15" t="n">
        <f aca="false">AL774*評分方法!$C$12</f>
        <v>0</v>
      </c>
      <c r="Q774" s="6" t="n">
        <v>576098</v>
      </c>
      <c r="R774" s="6" t="n">
        <v>149607171</v>
      </c>
      <c r="S774" s="11" t="s">
        <v>238</v>
      </c>
      <c r="T774" s="11" t="s">
        <v>239</v>
      </c>
      <c r="U774" s="5" t="s">
        <v>240</v>
      </c>
      <c r="V774" s="11" t="s">
        <v>261</v>
      </c>
      <c r="W774" s="5" t="s">
        <v>334</v>
      </c>
      <c r="X774" s="5" t="s">
        <v>242</v>
      </c>
      <c r="Y774" s="5"/>
      <c r="Z774" s="5"/>
      <c r="AA774" s="11" t="s">
        <v>150</v>
      </c>
      <c r="AB774" s="5" t="s">
        <v>245</v>
      </c>
      <c r="AC774" s="5"/>
      <c r="AD774" s="11" t="s">
        <v>2065</v>
      </c>
      <c r="AE774" s="23" t="n">
        <v>0.95</v>
      </c>
      <c r="AF774" s="23" t="n">
        <v>0</v>
      </c>
      <c r="AG774" s="23" t="n">
        <v>0.33</v>
      </c>
      <c r="AH774" s="23" t="n">
        <v>1</v>
      </c>
      <c r="AI774" s="23" t="n">
        <v>1</v>
      </c>
      <c r="AJ774" s="23" t="n">
        <v>0.5496</v>
      </c>
      <c r="AK774" s="23" t="n">
        <v>0.5</v>
      </c>
      <c r="AL774" s="23" t="n">
        <v>0</v>
      </c>
      <c r="AM774" s="16" t="n">
        <f aca="false">COUNTIFS($D$2:$D$2501,D774,$G$2:$G$2501,"&gt;"&amp;G774)+COUNTIFS($D$2:D774,D774,$G$2:G774,G774)</f>
        <v>128</v>
      </c>
      <c r="AN774" s="5" t="str">
        <f aca="false">D774&amp;"|"&amp;AM774</f>
        <v>實體擷取與去識別化|128</v>
      </c>
    </row>
    <row r="775" customFormat="false" ht="17.15" hidden="false" customHeight="false" outlineLevel="0" collapsed="false">
      <c r="A775" s="16" t="n">
        <f aca="false">RANK(G775,$G$2:$G$2501)+COUNTIF($G$2:G775,G775)-1</f>
        <v>774</v>
      </c>
      <c r="B775" s="11" t="s">
        <v>2066</v>
      </c>
      <c r="C775" s="11" t="s">
        <v>2067</v>
      </c>
      <c r="D775" s="5" t="s">
        <v>56</v>
      </c>
      <c r="E775" s="5" t="s">
        <v>57</v>
      </c>
      <c r="F775" s="5"/>
      <c r="G775" s="22" t="n">
        <f aca="false">ROUND(SUM(I775:P775),3)</f>
        <v>66.446</v>
      </c>
      <c r="H775" s="5" t="str">
        <f aca="false">IF(G775&gt;=評分方法!$C$16,"優先評估",IF(G775&gt;=評分方法!$C$17,"列入候選",IF(G775&gt;=評分方法!$C$18,"特定情境","不建議")))</f>
        <v>特定情境</v>
      </c>
      <c r="I775" s="15" t="n">
        <f aca="false">AE775*評分方法!$C$5</f>
        <v>25.5</v>
      </c>
      <c r="J775" s="15" t="n">
        <f aca="false">AF775*評分方法!$C$6</f>
        <v>0</v>
      </c>
      <c r="K775" s="15" t="n">
        <f aca="false">AG775*評分方法!$C$7</f>
        <v>15</v>
      </c>
      <c r="L775" s="15" t="n">
        <f aca="false">AH775*評分方法!$C$8</f>
        <v>13.05</v>
      </c>
      <c r="M775" s="15" t="n">
        <f aca="false">AI775*評分方法!$C$9</f>
        <v>8</v>
      </c>
      <c r="N775" s="15" t="n">
        <f aca="false">AJ775*評分方法!$C$10</f>
        <v>3.896</v>
      </c>
      <c r="O775" s="15" t="n">
        <f aca="false">AK775*評分方法!$C$11</f>
        <v>1</v>
      </c>
      <c r="P775" s="15" t="n">
        <f aca="false">AL775*評分方法!$C$12</f>
        <v>0</v>
      </c>
      <c r="Q775" s="6" t="n">
        <v>402161</v>
      </c>
      <c r="R775" s="6" t="n">
        <v>2795443200</v>
      </c>
      <c r="S775" s="11" t="s">
        <v>254</v>
      </c>
      <c r="T775" s="11" t="s">
        <v>1821</v>
      </c>
      <c r="U775" s="5" t="s">
        <v>1822</v>
      </c>
      <c r="V775" s="11" t="s">
        <v>261</v>
      </c>
      <c r="W775" s="5" t="s">
        <v>205</v>
      </c>
      <c r="X775" s="5" t="s">
        <v>242</v>
      </c>
      <c r="Y775" s="5"/>
      <c r="Z775" s="5"/>
      <c r="AA775" s="11" t="s">
        <v>155</v>
      </c>
      <c r="AB775" s="5" t="s">
        <v>245</v>
      </c>
      <c r="AC775" s="5"/>
      <c r="AD775" s="11" t="s">
        <v>2068</v>
      </c>
      <c r="AE775" s="23" t="n">
        <v>0.85</v>
      </c>
      <c r="AF775" s="23" t="n">
        <v>0</v>
      </c>
      <c r="AG775" s="23" t="n">
        <v>1</v>
      </c>
      <c r="AH775" s="23" t="n">
        <v>0.87</v>
      </c>
      <c r="AI775" s="23" t="n">
        <v>0.8</v>
      </c>
      <c r="AJ775" s="23" t="n">
        <v>0.3896</v>
      </c>
      <c r="AK775" s="23" t="n">
        <v>0.2</v>
      </c>
      <c r="AL775" s="23" t="n">
        <v>0</v>
      </c>
      <c r="AM775" s="16" t="n">
        <f aca="false">COUNTIFS($D$2:$D$2501,D775,$G$2:$G$2501,"&gt;"&amp;G775)+COUNTIFS($D$2:D775,D775,$G$2:G775,G775)</f>
        <v>386</v>
      </c>
      <c r="AN775" s="5" t="str">
        <f aca="false">D775&amp;"|"&amp;AM775</f>
        <v>分析與報告生成|386</v>
      </c>
    </row>
    <row r="776" customFormat="false" ht="17.15" hidden="false" customHeight="false" outlineLevel="0" collapsed="false">
      <c r="A776" s="16" t="n">
        <f aca="false">RANK(G776,$G$2:$G$2501)+COUNTIF($G$2:G776,G776)-1</f>
        <v>775</v>
      </c>
      <c r="B776" s="11" t="s">
        <v>2069</v>
      </c>
      <c r="C776" s="11" t="s">
        <v>402</v>
      </c>
      <c r="D776" s="5" t="s">
        <v>58</v>
      </c>
      <c r="E776" s="5" t="s">
        <v>59</v>
      </c>
      <c r="F776" s="5"/>
      <c r="G776" s="22" t="n">
        <f aca="false">ROUND(SUM(I776:P776),3)</f>
        <v>66.43</v>
      </c>
      <c r="H776" s="5" t="str">
        <f aca="false">IF(G776&gt;=評分方法!$C$16,"優先評估",IF(G776&gt;=評分方法!$C$17,"列入候選",IF(G776&gt;=評分方法!$C$18,"特定情境","不建議")))</f>
        <v>特定情境</v>
      </c>
      <c r="I776" s="15" t="n">
        <f aca="false">AE776*評分方法!$C$5</f>
        <v>28.5</v>
      </c>
      <c r="J776" s="15" t="n">
        <f aca="false">AF776*評分方法!$C$6</f>
        <v>0</v>
      </c>
      <c r="K776" s="15" t="n">
        <f aca="false">AG776*評分方法!$C$7</f>
        <v>4.95</v>
      </c>
      <c r="L776" s="15" t="n">
        <f aca="false">AH776*評分方法!$C$8</f>
        <v>15</v>
      </c>
      <c r="M776" s="15" t="n">
        <f aca="false">AI776*評分方法!$C$9</f>
        <v>10</v>
      </c>
      <c r="N776" s="15" t="n">
        <f aca="false">AJ776*評分方法!$C$10</f>
        <v>5.48</v>
      </c>
      <c r="O776" s="15" t="n">
        <f aca="false">AK776*評分方法!$C$11</f>
        <v>2.5</v>
      </c>
      <c r="P776" s="15" t="n">
        <f aca="false">AL776*評分方法!$C$12</f>
        <v>0</v>
      </c>
      <c r="Q776" s="6" t="n">
        <v>575242</v>
      </c>
      <c r="R776" s="6" t="n">
        <v>134736387</v>
      </c>
      <c r="S776" s="11" t="s">
        <v>238</v>
      </c>
      <c r="T776" s="11" t="s">
        <v>239</v>
      </c>
      <c r="U776" s="5" t="s">
        <v>240</v>
      </c>
      <c r="V776" s="11" t="s">
        <v>261</v>
      </c>
      <c r="W776" s="5" t="s">
        <v>334</v>
      </c>
      <c r="X776" s="5" t="s">
        <v>242</v>
      </c>
      <c r="Y776" s="5"/>
      <c r="Z776" s="5"/>
      <c r="AA776" s="11" t="s">
        <v>150</v>
      </c>
      <c r="AB776" s="5" t="s">
        <v>245</v>
      </c>
      <c r="AC776" s="5"/>
      <c r="AD776" s="11" t="s">
        <v>2070</v>
      </c>
      <c r="AE776" s="23" t="n">
        <v>0.95</v>
      </c>
      <c r="AF776" s="23" t="n">
        <v>0</v>
      </c>
      <c r="AG776" s="23" t="n">
        <v>0.33</v>
      </c>
      <c r="AH776" s="23" t="n">
        <v>1</v>
      </c>
      <c r="AI776" s="23" t="n">
        <v>1</v>
      </c>
      <c r="AJ776" s="23" t="n">
        <v>0.548</v>
      </c>
      <c r="AK776" s="23" t="n">
        <v>0.5</v>
      </c>
      <c r="AL776" s="23" t="n">
        <v>0</v>
      </c>
      <c r="AM776" s="16" t="n">
        <f aca="false">COUNTIFS($D$2:$D$2501,D776,$G$2:$G$2501,"&gt;"&amp;G776)+COUNTIFS($D$2:D776,D776,$G$2:G776,G776)</f>
        <v>129</v>
      </c>
      <c r="AN776" s="5" t="str">
        <f aca="false">D776&amp;"|"&amp;AM776</f>
        <v>實體擷取與去識別化|129</v>
      </c>
    </row>
    <row r="777" customFormat="false" ht="17.15" hidden="false" customHeight="false" outlineLevel="0" collapsed="false">
      <c r="A777" s="16" t="n">
        <f aca="false">RANK(G777,$G$2:$G$2501)+COUNTIF($G$2:G777,G777)-1</f>
        <v>776</v>
      </c>
      <c r="B777" s="11" t="s">
        <v>2071</v>
      </c>
      <c r="C777" s="11" t="s">
        <v>989</v>
      </c>
      <c r="D777" s="5" t="s">
        <v>56</v>
      </c>
      <c r="E777" s="5" t="s">
        <v>57</v>
      </c>
      <c r="F777" s="5"/>
      <c r="G777" s="22" t="n">
        <f aca="false">ROUND(SUM(I777:P777),3)</f>
        <v>66.424</v>
      </c>
      <c r="H777" s="5" t="str">
        <f aca="false">IF(G777&gt;=評分方法!$C$16,"優先評估",IF(G777&gt;=評分方法!$C$17,"列入候選",IF(G777&gt;=評分方法!$C$18,"特定情境","不建議")))</f>
        <v>特定情境</v>
      </c>
      <c r="I777" s="15" t="n">
        <f aca="false">AE777*評分方法!$C$5</f>
        <v>25.5</v>
      </c>
      <c r="J777" s="15" t="n">
        <f aca="false">AF777*評分方法!$C$6</f>
        <v>0</v>
      </c>
      <c r="K777" s="15" t="n">
        <f aca="false">AG777*評分方法!$C$7</f>
        <v>10.05</v>
      </c>
      <c r="L777" s="15" t="n">
        <f aca="false">AH777*評分方法!$C$8</f>
        <v>13.05</v>
      </c>
      <c r="M777" s="15" t="n">
        <f aca="false">AI777*評分方法!$C$9</f>
        <v>10</v>
      </c>
      <c r="N777" s="15" t="n">
        <f aca="false">AJ777*評分方法!$C$10</f>
        <v>0.324</v>
      </c>
      <c r="O777" s="15" t="n">
        <f aca="false">AK777*評分方法!$C$11</f>
        <v>2.5</v>
      </c>
      <c r="P777" s="15" t="n">
        <f aca="false">AL777*評分方法!$C$12</f>
        <v>5</v>
      </c>
      <c r="Q777" s="6" t="n">
        <v>125443</v>
      </c>
      <c r="R777" s="6" t="n">
        <v>3075098624</v>
      </c>
      <c r="S777" s="11" t="s">
        <v>254</v>
      </c>
      <c r="T777" s="11" t="s">
        <v>239</v>
      </c>
      <c r="U777" s="5" t="s">
        <v>240</v>
      </c>
      <c r="V777" s="11" t="s">
        <v>333</v>
      </c>
      <c r="W777" s="5" t="s">
        <v>207</v>
      </c>
      <c r="X777" s="5" t="s">
        <v>284</v>
      </c>
      <c r="Y777" s="11" t="s">
        <v>416</v>
      </c>
      <c r="Z777" s="11" t="s">
        <v>244</v>
      </c>
      <c r="AA777" s="11" t="s">
        <v>155</v>
      </c>
      <c r="AB777" s="5" t="s">
        <v>245</v>
      </c>
      <c r="AC777" s="5" t="s">
        <v>246</v>
      </c>
      <c r="AD777" s="11" t="s">
        <v>2072</v>
      </c>
      <c r="AE777" s="23" t="n">
        <v>0.85</v>
      </c>
      <c r="AF777" s="23" t="n">
        <v>0</v>
      </c>
      <c r="AG777" s="23" t="n">
        <v>0.67</v>
      </c>
      <c r="AH777" s="23" t="n">
        <v>0.87</v>
      </c>
      <c r="AI777" s="23" t="n">
        <v>1</v>
      </c>
      <c r="AJ777" s="23" t="n">
        <v>0.0324</v>
      </c>
      <c r="AK777" s="23" t="n">
        <v>0.5</v>
      </c>
      <c r="AL777" s="23" t="n">
        <v>1</v>
      </c>
      <c r="AM777" s="16" t="n">
        <f aca="false">COUNTIFS($D$2:$D$2501,D777,$G$2:$G$2501,"&gt;"&amp;G777)+COUNTIFS($D$2:D777,D777,$G$2:G777,G777)</f>
        <v>387</v>
      </c>
      <c r="AN777" s="5" t="str">
        <f aca="false">D777&amp;"|"&amp;AM777</f>
        <v>分析與報告生成|387</v>
      </c>
    </row>
    <row r="778" customFormat="false" ht="17.15" hidden="false" customHeight="false" outlineLevel="0" collapsed="false">
      <c r="A778" s="16" t="n">
        <f aca="false">RANK(G778,$G$2:$G$2501)+COUNTIF($G$2:G778,G778)-1</f>
        <v>777</v>
      </c>
      <c r="B778" s="11" t="s">
        <v>2073</v>
      </c>
      <c r="C778" s="11" t="s">
        <v>1739</v>
      </c>
      <c r="D778" s="5" t="s">
        <v>56</v>
      </c>
      <c r="E778" s="5" t="s">
        <v>57</v>
      </c>
      <c r="F778" s="5"/>
      <c r="G778" s="22" t="n">
        <f aca="false">ROUND(SUM(I778:P778),3)</f>
        <v>66.422</v>
      </c>
      <c r="H778" s="5" t="str">
        <f aca="false">IF(G778&gt;=評分方法!$C$16,"優先評估",IF(G778&gt;=評分方法!$C$17,"列入候選",IF(G778&gt;=評分方法!$C$18,"特定情境","不建議")))</f>
        <v>特定情境</v>
      </c>
      <c r="I778" s="15" t="n">
        <f aca="false">AE778*評分方法!$C$5</f>
        <v>25.5</v>
      </c>
      <c r="J778" s="15" t="n">
        <f aca="false">AF778*評分方法!$C$6</f>
        <v>0</v>
      </c>
      <c r="K778" s="15" t="n">
        <f aca="false">AG778*評分方法!$C$7</f>
        <v>4.95</v>
      </c>
      <c r="L778" s="15" t="n">
        <f aca="false">AH778*評分方法!$C$8</f>
        <v>9</v>
      </c>
      <c r="M778" s="15" t="n">
        <f aca="false">AI778*評分方法!$C$9</f>
        <v>10</v>
      </c>
      <c r="N778" s="15" t="n">
        <f aca="false">AJ778*評分方法!$C$10</f>
        <v>7.972</v>
      </c>
      <c r="O778" s="15" t="n">
        <f aca="false">AK778*評分方法!$C$11</f>
        <v>4</v>
      </c>
      <c r="P778" s="15" t="n">
        <f aca="false">AL778*評分方法!$C$12</f>
        <v>5</v>
      </c>
      <c r="Q778" s="6" t="n">
        <v>1532141</v>
      </c>
      <c r="R778" s="6" t="n">
        <v>11339190972</v>
      </c>
      <c r="S778" s="11" t="s">
        <v>389</v>
      </c>
      <c r="T778" s="11" t="s">
        <v>239</v>
      </c>
      <c r="U778" s="5" t="s">
        <v>240</v>
      </c>
      <c r="V778" s="11" t="s">
        <v>261</v>
      </c>
      <c r="W778" s="5" t="s">
        <v>334</v>
      </c>
      <c r="X778" s="5" t="s">
        <v>284</v>
      </c>
      <c r="Y778" s="11" t="s">
        <v>1738</v>
      </c>
      <c r="Z778" s="11" t="s">
        <v>244</v>
      </c>
      <c r="AA778" s="11" t="s">
        <v>155</v>
      </c>
      <c r="AB778" s="5" t="s">
        <v>245</v>
      </c>
      <c r="AC778" s="5" t="s">
        <v>246</v>
      </c>
      <c r="AD778" s="11" t="s">
        <v>2074</v>
      </c>
      <c r="AE778" s="23" t="n">
        <v>0.85</v>
      </c>
      <c r="AF778" s="23" t="n">
        <v>0</v>
      </c>
      <c r="AG778" s="23" t="n">
        <v>0.33</v>
      </c>
      <c r="AH778" s="23" t="n">
        <v>0.6</v>
      </c>
      <c r="AI778" s="23" t="n">
        <v>1</v>
      </c>
      <c r="AJ778" s="23" t="n">
        <v>0.7972</v>
      </c>
      <c r="AK778" s="23" t="n">
        <v>0.8</v>
      </c>
      <c r="AL778" s="23" t="n">
        <v>1</v>
      </c>
      <c r="AM778" s="16" t="n">
        <f aca="false">COUNTIFS($D$2:$D$2501,D778,$G$2:$G$2501,"&gt;"&amp;G778)+COUNTIFS($D$2:D778,D778,$G$2:G778,G778)</f>
        <v>388</v>
      </c>
      <c r="AN778" s="5" t="str">
        <f aca="false">D778&amp;"|"&amp;AM778</f>
        <v>分析與報告生成|388</v>
      </c>
    </row>
    <row r="779" customFormat="false" ht="17.15" hidden="false" customHeight="false" outlineLevel="0" collapsed="false">
      <c r="A779" s="16" t="n">
        <f aca="false">RANK(G779,$G$2:$G$2501)+COUNTIF($G$2:G779,G779)-1</f>
        <v>778</v>
      </c>
      <c r="B779" s="11" t="s">
        <v>2075</v>
      </c>
      <c r="C779" s="11" t="s">
        <v>753</v>
      </c>
      <c r="D779" s="5" t="s">
        <v>56</v>
      </c>
      <c r="E779" s="5" t="s">
        <v>57</v>
      </c>
      <c r="F779" s="5"/>
      <c r="G779" s="22" t="n">
        <f aca="false">ROUND(SUM(I779:P779),3)</f>
        <v>66.416</v>
      </c>
      <c r="H779" s="5" t="str">
        <f aca="false">IF(G779&gt;=評分方法!$C$16,"優先評估",IF(G779&gt;=評分方法!$C$17,"列入候選",IF(G779&gt;=評分方法!$C$18,"特定情境","不建議")))</f>
        <v>特定情境</v>
      </c>
      <c r="I779" s="15" t="n">
        <f aca="false">AE779*評分方法!$C$5</f>
        <v>24</v>
      </c>
      <c r="J779" s="15" t="n">
        <f aca="false">AF779*評分方法!$C$6</f>
        <v>0</v>
      </c>
      <c r="K779" s="15" t="n">
        <f aca="false">AG779*評分方法!$C$7</f>
        <v>10.05</v>
      </c>
      <c r="L779" s="15" t="n">
        <f aca="false">AH779*評分方法!$C$8</f>
        <v>13.05</v>
      </c>
      <c r="M779" s="15" t="n">
        <f aca="false">AI779*評分方法!$C$9</f>
        <v>10</v>
      </c>
      <c r="N779" s="15" t="n">
        <f aca="false">AJ779*評分方法!$C$10</f>
        <v>1.316</v>
      </c>
      <c r="O779" s="15" t="n">
        <f aca="false">AK779*評分方法!$C$11</f>
        <v>5</v>
      </c>
      <c r="P779" s="15" t="n">
        <f aca="false">AL779*評分方法!$C$12</f>
        <v>3</v>
      </c>
      <c r="Q779" s="6" t="n">
        <v>169406</v>
      </c>
      <c r="R779" s="6" t="n">
        <v>7463013674</v>
      </c>
      <c r="S779" s="11" t="s">
        <v>254</v>
      </c>
      <c r="T779" s="11" t="s">
        <v>239</v>
      </c>
      <c r="U779" s="5" t="s">
        <v>240</v>
      </c>
      <c r="V779" s="11" t="s">
        <v>333</v>
      </c>
      <c r="W779" s="5" t="s">
        <v>207</v>
      </c>
      <c r="X779" s="5" t="s">
        <v>371</v>
      </c>
      <c r="Y779" s="11" t="s">
        <v>2076</v>
      </c>
      <c r="Z779" s="11" t="s">
        <v>244</v>
      </c>
      <c r="AA779" s="11" t="s">
        <v>157</v>
      </c>
      <c r="AB779" s="5" t="s">
        <v>245</v>
      </c>
      <c r="AC779" s="5" t="s">
        <v>246</v>
      </c>
      <c r="AD779" s="11" t="s">
        <v>2077</v>
      </c>
      <c r="AE779" s="23" t="n">
        <v>0.8</v>
      </c>
      <c r="AF779" s="23" t="n">
        <v>0</v>
      </c>
      <c r="AG779" s="23" t="n">
        <v>0.67</v>
      </c>
      <c r="AH779" s="23" t="n">
        <v>0.87</v>
      </c>
      <c r="AI779" s="23" t="n">
        <v>1</v>
      </c>
      <c r="AJ779" s="23" t="n">
        <v>0.1316</v>
      </c>
      <c r="AK779" s="23" t="n">
        <v>1</v>
      </c>
      <c r="AL779" s="23" t="n">
        <v>0.6</v>
      </c>
      <c r="AM779" s="16" t="n">
        <f aca="false">COUNTIFS($D$2:$D$2501,D779,$G$2:$G$2501,"&gt;"&amp;G779)+COUNTIFS($D$2:D779,D779,$G$2:G779,G779)</f>
        <v>389</v>
      </c>
      <c r="AN779" s="5" t="str">
        <f aca="false">D779&amp;"|"&amp;AM779</f>
        <v>分析與報告生成|389</v>
      </c>
    </row>
    <row r="780" customFormat="false" ht="17.15" hidden="false" customHeight="false" outlineLevel="0" collapsed="false">
      <c r="A780" s="16" t="n">
        <f aca="false">RANK(G780,$G$2:$G$2501)+COUNTIF($G$2:G780,G780)-1</f>
        <v>779</v>
      </c>
      <c r="B780" s="11" t="s">
        <v>2078</v>
      </c>
      <c r="C780" s="11" t="s">
        <v>2079</v>
      </c>
      <c r="D780" s="5" t="s">
        <v>58</v>
      </c>
      <c r="E780" s="5" t="s">
        <v>59</v>
      </c>
      <c r="F780" s="5"/>
      <c r="G780" s="22" t="n">
        <f aca="false">ROUND(SUM(I780:P780),3)</f>
        <v>66.41</v>
      </c>
      <c r="H780" s="5" t="str">
        <f aca="false">IF(G780&gt;=評分方法!$C$16,"優先評估",IF(G780&gt;=評分方法!$C$17,"列入候選",IF(G780&gt;=評分方法!$C$18,"特定情境","不建議")))</f>
        <v>特定情境</v>
      </c>
      <c r="I780" s="15" t="n">
        <f aca="false">AE780*評分方法!$C$5</f>
        <v>28.5</v>
      </c>
      <c r="J780" s="15" t="n">
        <f aca="false">AF780*評分方法!$C$6</f>
        <v>0</v>
      </c>
      <c r="K780" s="15" t="n">
        <f aca="false">AG780*評分方法!$C$7</f>
        <v>4.95</v>
      </c>
      <c r="L780" s="15" t="n">
        <f aca="false">AH780*評分方法!$C$8</f>
        <v>15</v>
      </c>
      <c r="M780" s="15" t="n">
        <f aca="false">AI780*評分方法!$C$9</f>
        <v>10</v>
      </c>
      <c r="N780" s="15" t="n">
        <f aca="false">AJ780*評分方法!$C$10</f>
        <v>6.96</v>
      </c>
      <c r="O780" s="15" t="n">
        <f aca="false">AK780*評分方法!$C$11</f>
        <v>1</v>
      </c>
      <c r="P780" s="15" t="n">
        <f aca="false">AL780*評分方法!$C$12</f>
        <v>0</v>
      </c>
      <c r="Q780" s="6" t="n">
        <v>898554</v>
      </c>
      <c r="R780" s="6" t="n">
        <v>66427476</v>
      </c>
      <c r="S780" s="11" t="s">
        <v>238</v>
      </c>
      <c r="T780" s="11" t="s">
        <v>239</v>
      </c>
      <c r="U780" s="5" t="s">
        <v>240</v>
      </c>
      <c r="V780" s="11" t="s">
        <v>324</v>
      </c>
      <c r="W780" s="5" t="s">
        <v>334</v>
      </c>
      <c r="X780" s="5" t="s">
        <v>242</v>
      </c>
      <c r="Y780" s="5"/>
      <c r="Z780" s="5"/>
      <c r="AA780" s="11" t="s">
        <v>150</v>
      </c>
      <c r="AB780" s="5" t="s">
        <v>245</v>
      </c>
      <c r="AC780" s="5"/>
      <c r="AD780" s="11" t="s">
        <v>2080</v>
      </c>
      <c r="AE780" s="23" t="n">
        <v>0.95</v>
      </c>
      <c r="AF780" s="23" t="n">
        <v>0</v>
      </c>
      <c r="AG780" s="23" t="n">
        <v>0.33</v>
      </c>
      <c r="AH780" s="23" t="n">
        <v>1</v>
      </c>
      <c r="AI780" s="23" t="n">
        <v>1</v>
      </c>
      <c r="AJ780" s="23" t="n">
        <v>0.696</v>
      </c>
      <c r="AK780" s="23" t="n">
        <v>0.2</v>
      </c>
      <c r="AL780" s="23" t="n">
        <v>0</v>
      </c>
      <c r="AM780" s="16" t="n">
        <f aca="false">COUNTIFS($D$2:$D$2501,D780,$G$2:$G$2501,"&gt;"&amp;G780)+COUNTIFS($D$2:D780,D780,$G$2:G780,G780)</f>
        <v>130</v>
      </c>
      <c r="AN780" s="5" t="str">
        <f aca="false">D780&amp;"|"&amp;AM780</f>
        <v>實體擷取與去識別化|130</v>
      </c>
    </row>
    <row r="781" customFormat="false" ht="17.15" hidden="false" customHeight="false" outlineLevel="0" collapsed="false">
      <c r="A781" s="16" t="n">
        <f aca="false">RANK(G781,$G$2:$G$2501)+COUNTIF($G$2:G781,G781)-1</f>
        <v>780</v>
      </c>
      <c r="B781" s="11" t="s">
        <v>2081</v>
      </c>
      <c r="C781" s="11" t="s">
        <v>1447</v>
      </c>
      <c r="D781" s="5" t="s">
        <v>56</v>
      </c>
      <c r="E781" s="5" t="s">
        <v>57</v>
      </c>
      <c r="F781" s="5"/>
      <c r="G781" s="22" t="n">
        <f aca="false">ROUND(SUM(I781:P781),3)</f>
        <v>66.404</v>
      </c>
      <c r="H781" s="5" t="str">
        <f aca="false">IF(G781&gt;=評分方法!$C$16,"優先評估",IF(G781&gt;=評分方法!$C$17,"列入候選",IF(G781&gt;=評分方法!$C$18,"特定情境","不建議")))</f>
        <v>特定情境</v>
      </c>
      <c r="I781" s="15" t="n">
        <f aca="false">AE781*評分方法!$C$5</f>
        <v>25.5</v>
      </c>
      <c r="J781" s="15" t="n">
        <f aca="false">AF781*評分方法!$C$6</f>
        <v>0</v>
      </c>
      <c r="K781" s="15" t="n">
        <f aca="false">AG781*評分方法!$C$7</f>
        <v>15</v>
      </c>
      <c r="L781" s="15" t="n">
        <f aca="false">AH781*評分方法!$C$8</f>
        <v>15</v>
      </c>
      <c r="M781" s="15" t="n">
        <f aca="false">AI781*評分方法!$C$9</f>
        <v>2</v>
      </c>
      <c r="N781" s="15" t="n">
        <f aca="false">AJ781*評分方法!$C$10</f>
        <v>4.904</v>
      </c>
      <c r="O781" s="15" t="n">
        <f aca="false">AK781*評分方法!$C$11</f>
        <v>1</v>
      </c>
      <c r="P781" s="15" t="n">
        <f aca="false">AL781*評分方法!$C$12</f>
        <v>3</v>
      </c>
      <c r="Q781" s="6" t="n">
        <v>530272</v>
      </c>
      <c r="R781" s="6" t="n">
        <v>8765056</v>
      </c>
      <c r="S781" s="11" t="s">
        <v>238</v>
      </c>
      <c r="T781" s="5"/>
      <c r="U781" s="5" t="s">
        <v>375</v>
      </c>
      <c r="V781" s="11" t="s">
        <v>261</v>
      </c>
      <c r="W781" s="5" t="s">
        <v>205</v>
      </c>
      <c r="X781" s="5" t="s">
        <v>371</v>
      </c>
      <c r="Y781" s="5"/>
      <c r="Z781" s="5"/>
      <c r="AA781" s="11" t="s">
        <v>155</v>
      </c>
      <c r="AB781" s="5" t="s">
        <v>245</v>
      </c>
      <c r="AC781" s="5" t="s">
        <v>262</v>
      </c>
      <c r="AD781" s="11" t="s">
        <v>2082</v>
      </c>
      <c r="AE781" s="23" t="n">
        <v>0.85</v>
      </c>
      <c r="AF781" s="23" t="n">
        <v>0</v>
      </c>
      <c r="AG781" s="23" t="n">
        <v>1</v>
      </c>
      <c r="AH781" s="23" t="n">
        <v>1</v>
      </c>
      <c r="AI781" s="23" t="n">
        <v>0.2</v>
      </c>
      <c r="AJ781" s="23" t="n">
        <v>0.4904</v>
      </c>
      <c r="AK781" s="23" t="n">
        <v>0.2</v>
      </c>
      <c r="AL781" s="23" t="n">
        <v>0.6</v>
      </c>
      <c r="AM781" s="16" t="n">
        <f aca="false">COUNTIFS($D$2:$D$2501,D781,$G$2:$G$2501,"&gt;"&amp;G781)+COUNTIFS($D$2:D781,D781,$G$2:G781,G781)</f>
        <v>390</v>
      </c>
      <c r="AN781" s="5" t="str">
        <f aca="false">D781&amp;"|"&amp;AM781</f>
        <v>分析與報告生成|390</v>
      </c>
    </row>
    <row r="782" customFormat="false" ht="17.15" hidden="false" customHeight="false" outlineLevel="0" collapsed="false">
      <c r="A782" s="16" t="n">
        <f aca="false">RANK(G782,$G$2:$G$2501)+COUNTIF($G$2:G782,G782)-1</f>
        <v>781</v>
      </c>
      <c r="B782" s="11" t="s">
        <v>2083</v>
      </c>
      <c r="C782" s="11" t="s">
        <v>402</v>
      </c>
      <c r="D782" s="5" t="s">
        <v>58</v>
      </c>
      <c r="E782" s="5" t="s">
        <v>59</v>
      </c>
      <c r="F782" s="5"/>
      <c r="G782" s="22" t="n">
        <f aca="false">ROUND(SUM(I782:P782),3)</f>
        <v>66.402</v>
      </c>
      <c r="H782" s="5" t="str">
        <f aca="false">IF(G782&gt;=評分方法!$C$16,"優先評估",IF(G782&gt;=評分方法!$C$17,"列入候選",IF(G782&gt;=評分方法!$C$18,"特定情境","不建議")))</f>
        <v>特定情境</v>
      </c>
      <c r="I782" s="15" t="n">
        <f aca="false">AE782*評分方法!$C$5</f>
        <v>28.5</v>
      </c>
      <c r="J782" s="15" t="n">
        <f aca="false">AF782*評分方法!$C$6</f>
        <v>0</v>
      </c>
      <c r="K782" s="15" t="n">
        <f aca="false">AG782*評分方法!$C$7</f>
        <v>4.95</v>
      </c>
      <c r="L782" s="15" t="n">
        <f aca="false">AH782*評分方法!$C$8</f>
        <v>15</v>
      </c>
      <c r="M782" s="15" t="n">
        <f aca="false">AI782*評分方法!$C$9</f>
        <v>10</v>
      </c>
      <c r="N782" s="15" t="n">
        <f aca="false">AJ782*評分方法!$C$10</f>
        <v>5.452</v>
      </c>
      <c r="O782" s="15" t="n">
        <f aca="false">AK782*評分方法!$C$11</f>
        <v>2.5</v>
      </c>
      <c r="P782" s="15" t="n">
        <f aca="false">AL782*評分方法!$C$12</f>
        <v>0</v>
      </c>
      <c r="Q782" s="6" t="n">
        <v>573041</v>
      </c>
      <c r="R782" s="6" t="n">
        <v>134736387</v>
      </c>
      <c r="S782" s="11" t="s">
        <v>238</v>
      </c>
      <c r="T782" s="11" t="s">
        <v>239</v>
      </c>
      <c r="U782" s="5" t="s">
        <v>240</v>
      </c>
      <c r="V782" s="11" t="s">
        <v>261</v>
      </c>
      <c r="W782" s="5" t="s">
        <v>334</v>
      </c>
      <c r="X782" s="5" t="s">
        <v>242</v>
      </c>
      <c r="Y782" s="5"/>
      <c r="Z782" s="5"/>
      <c r="AA782" s="11" t="s">
        <v>150</v>
      </c>
      <c r="AB782" s="5" t="s">
        <v>245</v>
      </c>
      <c r="AC782" s="5"/>
      <c r="AD782" s="11" t="s">
        <v>2084</v>
      </c>
      <c r="AE782" s="23" t="n">
        <v>0.95</v>
      </c>
      <c r="AF782" s="23" t="n">
        <v>0</v>
      </c>
      <c r="AG782" s="23" t="n">
        <v>0.33</v>
      </c>
      <c r="AH782" s="23" t="n">
        <v>1</v>
      </c>
      <c r="AI782" s="23" t="n">
        <v>1</v>
      </c>
      <c r="AJ782" s="23" t="n">
        <v>0.5452</v>
      </c>
      <c r="AK782" s="23" t="n">
        <v>0.5</v>
      </c>
      <c r="AL782" s="23" t="n">
        <v>0</v>
      </c>
      <c r="AM782" s="16" t="n">
        <f aca="false">COUNTIFS($D$2:$D$2501,D782,$G$2:$G$2501,"&gt;"&amp;G782)+COUNTIFS($D$2:D782,D782,$G$2:G782,G782)</f>
        <v>131</v>
      </c>
      <c r="AN782" s="5" t="str">
        <f aca="false">D782&amp;"|"&amp;AM782</f>
        <v>實體擷取與去識別化|131</v>
      </c>
    </row>
    <row r="783" customFormat="false" ht="17.15" hidden="false" customHeight="false" outlineLevel="0" collapsed="false">
      <c r="A783" s="16" t="n">
        <f aca="false">RANK(G783,$G$2:$G$2501)+COUNTIF($G$2:G783,G783)-1</f>
        <v>782</v>
      </c>
      <c r="B783" s="11" t="s">
        <v>2085</v>
      </c>
      <c r="C783" s="11" t="s">
        <v>402</v>
      </c>
      <c r="D783" s="5" t="s">
        <v>58</v>
      </c>
      <c r="E783" s="5" t="s">
        <v>59</v>
      </c>
      <c r="F783" s="5"/>
      <c r="G783" s="22" t="n">
        <f aca="false">ROUND(SUM(I783:P783),3)</f>
        <v>66.398</v>
      </c>
      <c r="H783" s="5" t="str">
        <f aca="false">IF(G783&gt;=評分方法!$C$16,"優先評估",IF(G783&gt;=評分方法!$C$17,"列入候選",IF(G783&gt;=評分方法!$C$18,"特定情境","不建議")))</f>
        <v>特定情境</v>
      </c>
      <c r="I783" s="15" t="n">
        <f aca="false">AE783*評分方法!$C$5</f>
        <v>28.5</v>
      </c>
      <c r="J783" s="15" t="n">
        <f aca="false">AF783*評分方法!$C$6</f>
        <v>0</v>
      </c>
      <c r="K783" s="15" t="n">
        <f aca="false">AG783*評分方法!$C$7</f>
        <v>4.95</v>
      </c>
      <c r="L783" s="15" t="n">
        <f aca="false">AH783*評分方法!$C$8</f>
        <v>15</v>
      </c>
      <c r="M783" s="15" t="n">
        <f aca="false">AI783*評分方法!$C$9</f>
        <v>10</v>
      </c>
      <c r="N783" s="15" t="n">
        <f aca="false">AJ783*評分方法!$C$10</f>
        <v>5.448</v>
      </c>
      <c r="O783" s="15" t="n">
        <f aca="false">AK783*評分方法!$C$11</f>
        <v>2.5</v>
      </c>
      <c r="P783" s="15" t="n">
        <f aca="false">AL783*評分方法!$C$12</f>
        <v>0</v>
      </c>
      <c r="Q783" s="6" t="n">
        <v>572940</v>
      </c>
      <c r="R783" s="6" t="n">
        <v>134736387</v>
      </c>
      <c r="S783" s="11" t="s">
        <v>238</v>
      </c>
      <c r="T783" s="11" t="s">
        <v>239</v>
      </c>
      <c r="U783" s="5" t="s">
        <v>240</v>
      </c>
      <c r="V783" s="11" t="s">
        <v>261</v>
      </c>
      <c r="W783" s="5" t="s">
        <v>334</v>
      </c>
      <c r="X783" s="5" t="s">
        <v>242</v>
      </c>
      <c r="Y783" s="5"/>
      <c r="Z783" s="5"/>
      <c r="AA783" s="11" t="s">
        <v>150</v>
      </c>
      <c r="AB783" s="5" t="s">
        <v>245</v>
      </c>
      <c r="AC783" s="5"/>
      <c r="AD783" s="11" t="s">
        <v>2086</v>
      </c>
      <c r="AE783" s="23" t="n">
        <v>0.95</v>
      </c>
      <c r="AF783" s="23" t="n">
        <v>0</v>
      </c>
      <c r="AG783" s="23" t="n">
        <v>0.33</v>
      </c>
      <c r="AH783" s="23" t="n">
        <v>1</v>
      </c>
      <c r="AI783" s="23" t="n">
        <v>1</v>
      </c>
      <c r="AJ783" s="23" t="n">
        <v>0.5448</v>
      </c>
      <c r="AK783" s="23" t="n">
        <v>0.5</v>
      </c>
      <c r="AL783" s="23" t="n">
        <v>0</v>
      </c>
      <c r="AM783" s="16" t="n">
        <f aca="false">COUNTIFS($D$2:$D$2501,D783,$G$2:$G$2501,"&gt;"&amp;G783)+COUNTIFS($D$2:D783,D783,$G$2:G783,G783)</f>
        <v>132</v>
      </c>
      <c r="AN783" s="5" t="str">
        <f aca="false">D783&amp;"|"&amp;AM783</f>
        <v>實體擷取與去識別化|132</v>
      </c>
    </row>
    <row r="784" customFormat="false" ht="17.15" hidden="false" customHeight="false" outlineLevel="0" collapsed="false">
      <c r="A784" s="16" t="n">
        <f aca="false">RANK(G784,$G$2:$G$2501)+COUNTIF($G$2:G784,G784)-1</f>
        <v>783</v>
      </c>
      <c r="B784" s="11" t="s">
        <v>2087</v>
      </c>
      <c r="C784" s="11" t="s">
        <v>402</v>
      </c>
      <c r="D784" s="5" t="s">
        <v>58</v>
      </c>
      <c r="E784" s="5" t="s">
        <v>59</v>
      </c>
      <c r="F784" s="5"/>
      <c r="G784" s="22" t="n">
        <f aca="false">ROUND(SUM(I784:P784),3)</f>
        <v>66.394</v>
      </c>
      <c r="H784" s="5" t="str">
        <f aca="false">IF(G784&gt;=評分方法!$C$16,"優先評估",IF(G784&gt;=評分方法!$C$17,"列入候選",IF(G784&gt;=評分方法!$C$18,"特定情境","不建議")))</f>
        <v>特定情境</v>
      </c>
      <c r="I784" s="15" t="n">
        <f aca="false">AE784*評分方法!$C$5</f>
        <v>28.5</v>
      </c>
      <c r="J784" s="15" t="n">
        <f aca="false">AF784*評分方法!$C$6</f>
        <v>0</v>
      </c>
      <c r="K784" s="15" t="n">
        <f aca="false">AG784*評分方法!$C$7</f>
        <v>4.95</v>
      </c>
      <c r="L784" s="15" t="n">
        <f aca="false">AH784*評分方法!$C$8</f>
        <v>15</v>
      </c>
      <c r="M784" s="15" t="n">
        <f aca="false">AI784*評分方法!$C$9</f>
        <v>10</v>
      </c>
      <c r="N784" s="15" t="n">
        <f aca="false">AJ784*評分方法!$C$10</f>
        <v>5.444</v>
      </c>
      <c r="O784" s="15" t="n">
        <f aca="false">AK784*評分方法!$C$11</f>
        <v>2.5</v>
      </c>
      <c r="P784" s="15" t="n">
        <f aca="false">AL784*評分方法!$C$12</f>
        <v>0</v>
      </c>
      <c r="Q784" s="6" t="n">
        <v>572597</v>
      </c>
      <c r="R784" s="6" t="n">
        <v>141312779</v>
      </c>
      <c r="S784" s="11" t="s">
        <v>238</v>
      </c>
      <c r="T784" s="11" t="s">
        <v>239</v>
      </c>
      <c r="U784" s="5" t="s">
        <v>240</v>
      </c>
      <c r="V784" s="11" t="s">
        <v>261</v>
      </c>
      <c r="W784" s="5" t="s">
        <v>334</v>
      </c>
      <c r="X784" s="5" t="s">
        <v>242</v>
      </c>
      <c r="Y784" s="5"/>
      <c r="Z784" s="5"/>
      <c r="AA784" s="11" t="s">
        <v>150</v>
      </c>
      <c r="AB784" s="5" t="s">
        <v>245</v>
      </c>
      <c r="AC784" s="5"/>
      <c r="AD784" s="11" t="s">
        <v>2088</v>
      </c>
      <c r="AE784" s="23" t="n">
        <v>0.95</v>
      </c>
      <c r="AF784" s="23" t="n">
        <v>0</v>
      </c>
      <c r="AG784" s="23" t="n">
        <v>0.33</v>
      </c>
      <c r="AH784" s="23" t="n">
        <v>1</v>
      </c>
      <c r="AI784" s="23" t="n">
        <v>1</v>
      </c>
      <c r="AJ784" s="23" t="n">
        <v>0.5444</v>
      </c>
      <c r="AK784" s="23" t="n">
        <v>0.5</v>
      </c>
      <c r="AL784" s="23" t="n">
        <v>0</v>
      </c>
      <c r="AM784" s="16" t="n">
        <f aca="false">COUNTIFS($D$2:$D$2501,D784,$G$2:$G$2501,"&gt;"&amp;G784)+COUNTIFS($D$2:D784,D784,$G$2:G784,G784)</f>
        <v>133</v>
      </c>
      <c r="AN784" s="5" t="str">
        <f aca="false">D784&amp;"|"&amp;AM784</f>
        <v>實體擷取與去識別化|133</v>
      </c>
    </row>
    <row r="785" customFormat="false" ht="17.15" hidden="false" customHeight="false" outlineLevel="0" collapsed="false">
      <c r="A785" s="16" t="n">
        <f aca="false">RANK(G785,$G$2:$G$2501)+COUNTIF($G$2:G785,G785)-1</f>
        <v>784</v>
      </c>
      <c r="B785" s="11" t="s">
        <v>2089</v>
      </c>
      <c r="C785" s="11" t="s">
        <v>402</v>
      </c>
      <c r="D785" s="5" t="s">
        <v>58</v>
      </c>
      <c r="E785" s="5" t="s">
        <v>59</v>
      </c>
      <c r="F785" s="5"/>
      <c r="G785" s="22" t="n">
        <f aca="false">ROUND(SUM(I785:P785),3)</f>
        <v>66.39</v>
      </c>
      <c r="H785" s="5" t="str">
        <f aca="false">IF(G785&gt;=評分方法!$C$16,"優先評估",IF(G785&gt;=評分方法!$C$17,"列入候選",IF(G785&gt;=評分方法!$C$18,"特定情境","不建議")))</f>
        <v>特定情境</v>
      </c>
      <c r="I785" s="15" t="n">
        <f aca="false">AE785*評分方法!$C$5</f>
        <v>28.5</v>
      </c>
      <c r="J785" s="15" t="n">
        <f aca="false">AF785*評分方法!$C$6</f>
        <v>0</v>
      </c>
      <c r="K785" s="15" t="n">
        <f aca="false">AG785*評分方法!$C$7</f>
        <v>4.95</v>
      </c>
      <c r="L785" s="15" t="n">
        <f aca="false">AH785*評分方法!$C$8</f>
        <v>15</v>
      </c>
      <c r="M785" s="15" t="n">
        <f aca="false">AI785*評分方法!$C$9</f>
        <v>10</v>
      </c>
      <c r="N785" s="15" t="n">
        <f aca="false">AJ785*評分方法!$C$10</f>
        <v>5.44</v>
      </c>
      <c r="O785" s="15" t="n">
        <f aca="false">AK785*評分方法!$C$11</f>
        <v>2.5</v>
      </c>
      <c r="P785" s="15" t="n">
        <f aca="false">AL785*評分方法!$C$12</f>
        <v>0</v>
      </c>
      <c r="Q785" s="6" t="n">
        <v>572513</v>
      </c>
      <c r="R785" s="6" t="n">
        <v>558843907</v>
      </c>
      <c r="S785" s="11" t="s">
        <v>238</v>
      </c>
      <c r="T785" s="11" t="s">
        <v>239</v>
      </c>
      <c r="U785" s="5" t="s">
        <v>240</v>
      </c>
      <c r="V785" s="11" t="s">
        <v>261</v>
      </c>
      <c r="W785" s="5" t="s">
        <v>334</v>
      </c>
      <c r="X785" s="5" t="s">
        <v>242</v>
      </c>
      <c r="Y785" s="5"/>
      <c r="Z785" s="5"/>
      <c r="AA785" s="11" t="s">
        <v>150</v>
      </c>
      <c r="AB785" s="5" t="s">
        <v>245</v>
      </c>
      <c r="AC785" s="5"/>
      <c r="AD785" s="11" t="s">
        <v>2090</v>
      </c>
      <c r="AE785" s="23" t="n">
        <v>0.95</v>
      </c>
      <c r="AF785" s="23" t="n">
        <v>0</v>
      </c>
      <c r="AG785" s="23" t="n">
        <v>0.33</v>
      </c>
      <c r="AH785" s="23" t="n">
        <v>1</v>
      </c>
      <c r="AI785" s="23" t="n">
        <v>1</v>
      </c>
      <c r="AJ785" s="23" t="n">
        <v>0.544</v>
      </c>
      <c r="AK785" s="23" t="n">
        <v>0.5</v>
      </c>
      <c r="AL785" s="23" t="n">
        <v>0</v>
      </c>
      <c r="AM785" s="16" t="n">
        <f aca="false">COUNTIFS($D$2:$D$2501,D785,$G$2:$G$2501,"&gt;"&amp;G785)+COUNTIFS($D$2:D785,D785,$G$2:G785,G785)</f>
        <v>134</v>
      </c>
      <c r="AN785" s="5" t="str">
        <f aca="false">D785&amp;"|"&amp;AM785</f>
        <v>實體擷取與去識別化|134</v>
      </c>
    </row>
    <row r="786" customFormat="false" ht="17.15" hidden="false" customHeight="false" outlineLevel="0" collapsed="false">
      <c r="A786" s="16" t="n">
        <f aca="false">RANK(G786,$G$2:$G$2501)+COUNTIF($G$2:G786,G786)-1</f>
        <v>785</v>
      </c>
      <c r="B786" s="11" t="s">
        <v>2091</v>
      </c>
      <c r="C786" s="11" t="s">
        <v>1635</v>
      </c>
      <c r="D786" s="5" t="s">
        <v>56</v>
      </c>
      <c r="E786" s="5" t="s">
        <v>57</v>
      </c>
      <c r="F786" s="5"/>
      <c r="G786" s="22" t="n">
        <f aca="false">ROUND(SUM(I786:P786),3)</f>
        <v>66.388</v>
      </c>
      <c r="H786" s="5" t="str">
        <f aca="false">IF(G786&gt;=評分方法!$C$16,"優先評估",IF(G786&gt;=評分方法!$C$17,"列入候選",IF(G786&gt;=評分方法!$C$18,"特定情境","不建議")))</f>
        <v>特定情境</v>
      </c>
      <c r="I786" s="15" t="n">
        <f aca="false">AE786*評分方法!$C$5</f>
        <v>18</v>
      </c>
      <c r="J786" s="15" t="n">
        <f aca="false">AF786*評分方法!$C$6</f>
        <v>0</v>
      </c>
      <c r="K786" s="15" t="n">
        <f aca="false">AG786*評分方法!$C$7</f>
        <v>15</v>
      </c>
      <c r="L786" s="15" t="n">
        <f aca="false">AH786*評分方法!$C$8</f>
        <v>15</v>
      </c>
      <c r="M786" s="15" t="n">
        <f aca="false">AI786*評分方法!$C$9</f>
        <v>10</v>
      </c>
      <c r="N786" s="15" t="n">
        <f aca="false">AJ786*評分方法!$C$10</f>
        <v>7.388</v>
      </c>
      <c r="O786" s="15" t="n">
        <f aca="false">AK786*評分方法!$C$11</f>
        <v>1</v>
      </c>
      <c r="P786" s="15" t="n">
        <f aca="false">AL786*評分方法!$C$12</f>
        <v>0</v>
      </c>
      <c r="Q786" s="6" t="n">
        <v>1102532</v>
      </c>
      <c r="R786" s="6" t="n">
        <v>81529860</v>
      </c>
      <c r="S786" s="11" t="s">
        <v>238</v>
      </c>
      <c r="T786" s="11" t="s">
        <v>1636</v>
      </c>
      <c r="U786" s="5" t="s">
        <v>240</v>
      </c>
      <c r="V786" s="11" t="s">
        <v>324</v>
      </c>
      <c r="W786" s="5" t="s">
        <v>205</v>
      </c>
      <c r="X786" s="5" t="s">
        <v>242</v>
      </c>
      <c r="Y786" s="5"/>
      <c r="Z786" s="5"/>
      <c r="AA786" s="11" t="s">
        <v>159</v>
      </c>
      <c r="AB786" s="5" t="s">
        <v>245</v>
      </c>
      <c r="AC786" s="5"/>
      <c r="AD786" s="11" t="s">
        <v>2092</v>
      </c>
      <c r="AE786" s="23" t="n">
        <v>0.6</v>
      </c>
      <c r="AF786" s="23" t="n">
        <v>0</v>
      </c>
      <c r="AG786" s="23" t="n">
        <v>1</v>
      </c>
      <c r="AH786" s="23" t="n">
        <v>1</v>
      </c>
      <c r="AI786" s="23" t="n">
        <v>1</v>
      </c>
      <c r="AJ786" s="23" t="n">
        <v>0.7388</v>
      </c>
      <c r="AK786" s="23" t="n">
        <v>0.2</v>
      </c>
      <c r="AL786" s="23" t="n">
        <v>0</v>
      </c>
      <c r="AM786" s="16" t="n">
        <f aca="false">COUNTIFS($D$2:$D$2501,D786,$G$2:$G$2501,"&gt;"&amp;G786)+COUNTIFS($D$2:D786,D786,$G$2:G786,G786)</f>
        <v>391</v>
      </c>
      <c r="AN786" s="5" t="str">
        <f aca="false">D786&amp;"|"&amp;AM786</f>
        <v>分析與報告生成|391</v>
      </c>
    </row>
    <row r="787" customFormat="false" ht="17.15" hidden="false" customHeight="false" outlineLevel="0" collapsed="false">
      <c r="A787" s="16" t="n">
        <f aca="false">RANK(G787,$G$2:$G$2501)+COUNTIF($G$2:G787,G787)-1</f>
        <v>786</v>
      </c>
      <c r="B787" s="11" t="s">
        <v>2093</v>
      </c>
      <c r="C787" s="11" t="s">
        <v>402</v>
      </c>
      <c r="D787" s="5" t="s">
        <v>58</v>
      </c>
      <c r="E787" s="5" t="s">
        <v>59</v>
      </c>
      <c r="F787" s="5"/>
      <c r="G787" s="22" t="n">
        <f aca="false">ROUND(SUM(I787:P787),3)</f>
        <v>66.386</v>
      </c>
      <c r="H787" s="5" t="str">
        <f aca="false">IF(G787&gt;=評分方法!$C$16,"優先評估",IF(G787&gt;=評分方法!$C$17,"列入候選",IF(G787&gt;=評分方法!$C$18,"特定情境","不建議")))</f>
        <v>特定情境</v>
      </c>
      <c r="I787" s="15" t="n">
        <f aca="false">AE787*評分方法!$C$5</f>
        <v>28.5</v>
      </c>
      <c r="J787" s="15" t="n">
        <f aca="false">AF787*評分方法!$C$6</f>
        <v>0</v>
      </c>
      <c r="K787" s="15" t="n">
        <f aca="false">AG787*評分方法!$C$7</f>
        <v>4.95</v>
      </c>
      <c r="L787" s="15" t="n">
        <f aca="false">AH787*評分方法!$C$8</f>
        <v>15</v>
      </c>
      <c r="M787" s="15" t="n">
        <f aca="false">AI787*評分方法!$C$9</f>
        <v>10</v>
      </c>
      <c r="N787" s="15" t="n">
        <f aca="false">AJ787*評分方法!$C$10</f>
        <v>5.436</v>
      </c>
      <c r="O787" s="15" t="n">
        <f aca="false">AK787*評分方法!$C$11</f>
        <v>2.5</v>
      </c>
      <c r="P787" s="15" t="n">
        <f aca="false">AL787*評分方法!$C$12</f>
        <v>0</v>
      </c>
      <c r="Q787" s="6" t="n">
        <v>571908</v>
      </c>
      <c r="R787" s="6" t="n">
        <v>395865121</v>
      </c>
      <c r="S787" s="11" t="s">
        <v>238</v>
      </c>
      <c r="T787" s="11" t="s">
        <v>239</v>
      </c>
      <c r="U787" s="5" t="s">
        <v>240</v>
      </c>
      <c r="V787" s="11" t="s">
        <v>261</v>
      </c>
      <c r="W787" s="5" t="s">
        <v>334</v>
      </c>
      <c r="X787" s="5" t="s">
        <v>242</v>
      </c>
      <c r="Y787" s="5"/>
      <c r="Z787" s="5"/>
      <c r="AA787" s="11" t="s">
        <v>150</v>
      </c>
      <c r="AB787" s="5" t="s">
        <v>245</v>
      </c>
      <c r="AC787" s="5"/>
      <c r="AD787" s="11" t="s">
        <v>2094</v>
      </c>
      <c r="AE787" s="23" t="n">
        <v>0.95</v>
      </c>
      <c r="AF787" s="23" t="n">
        <v>0</v>
      </c>
      <c r="AG787" s="23" t="n">
        <v>0.33</v>
      </c>
      <c r="AH787" s="23" t="n">
        <v>1</v>
      </c>
      <c r="AI787" s="23" t="n">
        <v>1</v>
      </c>
      <c r="AJ787" s="23" t="n">
        <v>0.5436</v>
      </c>
      <c r="AK787" s="23" t="n">
        <v>0.5</v>
      </c>
      <c r="AL787" s="23" t="n">
        <v>0</v>
      </c>
      <c r="AM787" s="16" t="n">
        <f aca="false">COUNTIFS($D$2:$D$2501,D787,$G$2:$G$2501,"&gt;"&amp;G787)+COUNTIFS($D$2:D787,D787,$G$2:G787,G787)</f>
        <v>135</v>
      </c>
      <c r="AN787" s="5" t="str">
        <f aca="false">D787&amp;"|"&amp;AM787</f>
        <v>實體擷取與去識別化|135</v>
      </c>
    </row>
    <row r="788" customFormat="false" ht="17.15" hidden="false" customHeight="false" outlineLevel="0" collapsed="false">
      <c r="A788" s="16" t="n">
        <f aca="false">RANK(G788,$G$2:$G$2501)+COUNTIF($G$2:G788,G788)-1</f>
        <v>787</v>
      </c>
      <c r="B788" s="11" t="s">
        <v>2095</v>
      </c>
      <c r="C788" s="11" t="s">
        <v>753</v>
      </c>
      <c r="D788" s="5" t="s">
        <v>56</v>
      </c>
      <c r="E788" s="5" t="s">
        <v>57</v>
      </c>
      <c r="F788" s="5"/>
      <c r="G788" s="22" t="n">
        <f aca="false">ROUND(SUM(I788:P788),3)</f>
        <v>66.38</v>
      </c>
      <c r="H788" s="5" t="str">
        <f aca="false">IF(G788&gt;=評分方法!$C$16,"優先評估",IF(G788&gt;=評分方法!$C$17,"列入候選",IF(G788&gt;=評分方法!$C$18,"特定情境","不建議")))</f>
        <v>特定情境</v>
      </c>
      <c r="I788" s="15" t="n">
        <f aca="false">AE788*評分方法!$C$5</f>
        <v>25.5</v>
      </c>
      <c r="J788" s="15" t="n">
        <f aca="false">AF788*評分方法!$C$6</f>
        <v>0</v>
      </c>
      <c r="K788" s="15" t="n">
        <f aca="false">AG788*評分方法!$C$7</f>
        <v>10.05</v>
      </c>
      <c r="L788" s="15" t="n">
        <f aca="false">AH788*評分方法!$C$8</f>
        <v>13.05</v>
      </c>
      <c r="M788" s="15" t="n">
        <f aca="false">AI788*評分方法!$C$9</f>
        <v>6</v>
      </c>
      <c r="N788" s="15" t="n">
        <f aca="false">AJ788*評分方法!$C$10</f>
        <v>1.78</v>
      </c>
      <c r="O788" s="15" t="n">
        <f aca="false">AK788*評分方法!$C$11</f>
        <v>5</v>
      </c>
      <c r="P788" s="15" t="n">
        <f aca="false">AL788*評分方法!$C$12</f>
        <v>5</v>
      </c>
      <c r="Q788" s="6" t="n">
        <v>194272</v>
      </c>
      <c r="R788" s="6" t="n">
        <v>1170340608</v>
      </c>
      <c r="S788" s="11" t="s">
        <v>254</v>
      </c>
      <c r="T788" s="11" t="s">
        <v>185</v>
      </c>
      <c r="U788" s="5" t="s">
        <v>260</v>
      </c>
      <c r="V788" s="11" t="s">
        <v>333</v>
      </c>
      <c r="W788" s="5" t="s">
        <v>207</v>
      </c>
      <c r="X788" s="5" t="s">
        <v>284</v>
      </c>
      <c r="Y788" s="11" t="s">
        <v>550</v>
      </c>
      <c r="Z788" s="11" t="s">
        <v>244</v>
      </c>
      <c r="AA788" s="11" t="s">
        <v>155</v>
      </c>
      <c r="AB788" s="5" t="s">
        <v>245</v>
      </c>
      <c r="AC788" s="5" t="s">
        <v>464</v>
      </c>
      <c r="AD788" s="11" t="s">
        <v>2096</v>
      </c>
      <c r="AE788" s="23" t="n">
        <v>0.85</v>
      </c>
      <c r="AF788" s="23" t="n">
        <v>0</v>
      </c>
      <c r="AG788" s="23" t="n">
        <v>0.67</v>
      </c>
      <c r="AH788" s="23" t="n">
        <v>0.87</v>
      </c>
      <c r="AI788" s="23" t="n">
        <v>0.6</v>
      </c>
      <c r="AJ788" s="23" t="n">
        <v>0.178</v>
      </c>
      <c r="AK788" s="23" t="n">
        <v>1</v>
      </c>
      <c r="AL788" s="23" t="n">
        <v>1</v>
      </c>
      <c r="AM788" s="16" t="n">
        <f aca="false">COUNTIFS($D$2:$D$2501,D788,$G$2:$G$2501,"&gt;"&amp;G788)+COUNTIFS($D$2:D788,D788,$G$2:G788,G788)</f>
        <v>392</v>
      </c>
      <c r="AN788" s="5" t="str">
        <f aca="false">D788&amp;"|"&amp;AM788</f>
        <v>分析與報告生成|392</v>
      </c>
    </row>
    <row r="789" customFormat="false" ht="17.15" hidden="false" customHeight="false" outlineLevel="0" collapsed="false">
      <c r="A789" s="16" t="n">
        <f aca="false">RANK(G789,$G$2:$G$2501)+COUNTIF($G$2:G789,G789)-1</f>
        <v>788</v>
      </c>
      <c r="B789" s="11" t="s">
        <v>2097</v>
      </c>
      <c r="C789" s="11" t="s">
        <v>402</v>
      </c>
      <c r="D789" s="5" t="s">
        <v>58</v>
      </c>
      <c r="E789" s="5" t="s">
        <v>59</v>
      </c>
      <c r="F789" s="5"/>
      <c r="G789" s="22" t="n">
        <f aca="false">ROUND(SUM(I789:P789),3)</f>
        <v>66.378</v>
      </c>
      <c r="H789" s="5" t="str">
        <f aca="false">IF(G789&gt;=評分方法!$C$16,"優先評估",IF(G789&gt;=評分方法!$C$17,"列入候選",IF(G789&gt;=評分方法!$C$18,"特定情境","不建議")))</f>
        <v>特定情境</v>
      </c>
      <c r="I789" s="15" t="n">
        <f aca="false">AE789*評分方法!$C$5</f>
        <v>28.5</v>
      </c>
      <c r="J789" s="15" t="n">
        <f aca="false">AF789*評分方法!$C$6</f>
        <v>0</v>
      </c>
      <c r="K789" s="15" t="n">
        <f aca="false">AG789*評分方法!$C$7</f>
        <v>4.95</v>
      </c>
      <c r="L789" s="15" t="n">
        <f aca="false">AH789*評分方法!$C$8</f>
        <v>15</v>
      </c>
      <c r="M789" s="15" t="n">
        <f aca="false">AI789*評分方法!$C$9</f>
        <v>10</v>
      </c>
      <c r="N789" s="15" t="n">
        <f aca="false">AJ789*評分方法!$C$10</f>
        <v>5.428</v>
      </c>
      <c r="O789" s="15" t="n">
        <f aca="false">AK789*評分方法!$C$11</f>
        <v>2.5</v>
      </c>
      <c r="P789" s="15" t="n">
        <f aca="false">AL789*評分方法!$C$12</f>
        <v>0</v>
      </c>
      <c r="Q789" s="6" t="n">
        <v>570579</v>
      </c>
      <c r="R789" s="6" t="n">
        <v>149607171</v>
      </c>
      <c r="S789" s="11" t="s">
        <v>238</v>
      </c>
      <c r="T789" s="11" t="s">
        <v>239</v>
      </c>
      <c r="U789" s="5" t="s">
        <v>240</v>
      </c>
      <c r="V789" s="11" t="s">
        <v>261</v>
      </c>
      <c r="W789" s="5" t="s">
        <v>334</v>
      </c>
      <c r="X789" s="5" t="s">
        <v>242</v>
      </c>
      <c r="Y789" s="5"/>
      <c r="Z789" s="5"/>
      <c r="AA789" s="11" t="s">
        <v>150</v>
      </c>
      <c r="AB789" s="5" t="s">
        <v>245</v>
      </c>
      <c r="AC789" s="5"/>
      <c r="AD789" s="11" t="s">
        <v>2098</v>
      </c>
      <c r="AE789" s="23" t="n">
        <v>0.95</v>
      </c>
      <c r="AF789" s="23" t="n">
        <v>0</v>
      </c>
      <c r="AG789" s="23" t="n">
        <v>0.33</v>
      </c>
      <c r="AH789" s="23" t="n">
        <v>1</v>
      </c>
      <c r="AI789" s="23" t="n">
        <v>1</v>
      </c>
      <c r="AJ789" s="23" t="n">
        <v>0.5428</v>
      </c>
      <c r="AK789" s="23" t="n">
        <v>0.5</v>
      </c>
      <c r="AL789" s="23" t="n">
        <v>0</v>
      </c>
      <c r="AM789" s="16" t="n">
        <f aca="false">COUNTIFS($D$2:$D$2501,D789,$G$2:$G$2501,"&gt;"&amp;G789)+COUNTIFS($D$2:D789,D789,$G$2:G789,G789)</f>
        <v>136</v>
      </c>
      <c r="AN789" s="5" t="str">
        <f aca="false">D789&amp;"|"&amp;AM789</f>
        <v>實體擷取與去識別化|136</v>
      </c>
    </row>
    <row r="790" customFormat="false" ht="17.15" hidden="false" customHeight="false" outlineLevel="0" collapsed="false">
      <c r="A790" s="16" t="n">
        <f aca="false">RANK(G790,$G$2:$G$2501)+COUNTIF($G$2:G790,G790)-1</f>
        <v>789</v>
      </c>
      <c r="B790" s="11" t="s">
        <v>2099</v>
      </c>
      <c r="C790" s="11" t="s">
        <v>402</v>
      </c>
      <c r="D790" s="5" t="s">
        <v>58</v>
      </c>
      <c r="E790" s="5" t="s">
        <v>59</v>
      </c>
      <c r="F790" s="5"/>
      <c r="G790" s="22" t="n">
        <f aca="false">ROUND(SUM(I790:P790),3)</f>
        <v>66.374</v>
      </c>
      <c r="H790" s="5" t="str">
        <f aca="false">IF(G790&gt;=評分方法!$C$16,"優先評估",IF(G790&gt;=評分方法!$C$17,"列入候選",IF(G790&gt;=評分方法!$C$18,"特定情境","不建議")))</f>
        <v>特定情境</v>
      </c>
      <c r="I790" s="15" t="n">
        <f aca="false">AE790*評分方法!$C$5</f>
        <v>28.5</v>
      </c>
      <c r="J790" s="15" t="n">
        <f aca="false">AF790*評分方法!$C$6</f>
        <v>0</v>
      </c>
      <c r="K790" s="15" t="n">
        <f aca="false">AG790*評分方法!$C$7</f>
        <v>4.95</v>
      </c>
      <c r="L790" s="15" t="n">
        <f aca="false">AH790*評分方法!$C$8</f>
        <v>15</v>
      </c>
      <c r="M790" s="15" t="n">
        <f aca="false">AI790*評分方法!$C$9</f>
        <v>10</v>
      </c>
      <c r="N790" s="15" t="n">
        <f aca="false">AJ790*評分方法!$C$10</f>
        <v>5.424</v>
      </c>
      <c r="O790" s="15" t="n">
        <f aca="false">AK790*評分方法!$C$11</f>
        <v>2.5</v>
      </c>
      <c r="P790" s="15" t="n">
        <f aca="false">AL790*評分方法!$C$12</f>
        <v>0</v>
      </c>
      <c r="Q790" s="6" t="n">
        <v>570565</v>
      </c>
      <c r="R790" s="6" t="n">
        <v>141306627</v>
      </c>
      <c r="S790" s="11" t="s">
        <v>238</v>
      </c>
      <c r="T790" s="11" t="s">
        <v>239</v>
      </c>
      <c r="U790" s="5" t="s">
        <v>240</v>
      </c>
      <c r="V790" s="11" t="s">
        <v>261</v>
      </c>
      <c r="W790" s="5" t="s">
        <v>334</v>
      </c>
      <c r="X790" s="5" t="s">
        <v>242</v>
      </c>
      <c r="Y790" s="5"/>
      <c r="Z790" s="5"/>
      <c r="AA790" s="11" t="s">
        <v>150</v>
      </c>
      <c r="AB790" s="5" t="s">
        <v>245</v>
      </c>
      <c r="AC790" s="5"/>
      <c r="AD790" s="11" t="s">
        <v>2100</v>
      </c>
      <c r="AE790" s="23" t="n">
        <v>0.95</v>
      </c>
      <c r="AF790" s="23" t="n">
        <v>0</v>
      </c>
      <c r="AG790" s="23" t="n">
        <v>0.33</v>
      </c>
      <c r="AH790" s="23" t="n">
        <v>1</v>
      </c>
      <c r="AI790" s="23" t="n">
        <v>1</v>
      </c>
      <c r="AJ790" s="23" t="n">
        <v>0.5424</v>
      </c>
      <c r="AK790" s="23" t="n">
        <v>0.5</v>
      </c>
      <c r="AL790" s="23" t="n">
        <v>0</v>
      </c>
      <c r="AM790" s="16" t="n">
        <f aca="false">COUNTIFS($D$2:$D$2501,D790,$G$2:$G$2501,"&gt;"&amp;G790)+COUNTIFS($D$2:D790,D790,$G$2:G790,G790)</f>
        <v>137</v>
      </c>
      <c r="AN790" s="5" t="str">
        <f aca="false">D790&amp;"|"&amp;AM790</f>
        <v>實體擷取與去識別化|137</v>
      </c>
    </row>
    <row r="791" customFormat="false" ht="17.15" hidden="false" customHeight="false" outlineLevel="0" collapsed="false">
      <c r="A791" s="16" t="n">
        <f aca="false">RANK(G791,$G$2:$G$2501)+COUNTIF($G$2:G791,G791)-1</f>
        <v>790</v>
      </c>
      <c r="B791" s="11" t="s">
        <v>2101</v>
      </c>
      <c r="C791" s="11" t="s">
        <v>402</v>
      </c>
      <c r="D791" s="5" t="s">
        <v>58</v>
      </c>
      <c r="E791" s="5" t="s">
        <v>59</v>
      </c>
      <c r="F791" s="5"/>
      <c r="G791" s="22" t="n">
        <f aca="false">ROUND(SUM(I791:P791),3)</f>
        <v>66.37</v>
      </c>
      <c r="H791" s="5" t="str">
        <f aca="false">IF(G791&gt;=評分方法!$C$16,"優先評估",IF(G791&gt;=評分方法!$C$17,"列入候選",IF(G791&gt;=評分方法!$C$18,"特定情境","不建議")))</f>
        <v>特定情境</v>
      </c>
      <c r="I791" s="15" t="n">
        <f aca="false">AE791*評分方法!$C$5</f>
        <v>28.5</v>
      </c>
      <c r="J791" s="15" t="n">
        <f aca="false">AF791*評分方法!$C$6</f>
        <v>0</v>
      </c>
      <c r="K791" s="15" t="n">
        <f aca="false">AG791*評分方法!$C$7</f>
        <v>4.95</v>
      </c>
      <c r="L791" s="15" t="n">
        <f aca="false">AH791*評分方法!$C$8</f>
        <v>15</v>
      </c>
      <c r="M791" s="15" t="n">
        <f aca="false">AI791*評分方法!$C$9</f>
        <v>10</v>
      </c>
      <c r="N791" s="15" t="n">
        <f aca="false">AJ791*評分方法!$C$10</f>
        <v>5.42</v>
      </c>
      <c r="O791" s="15" t="n">
        <f aca="false">AK791*評分方法!$C$11</f>
        <v>2.5</v>
      </c>
      <c r="P791" s="15" t="n">
        <f aca="false">AL791*評分方法!$C$12</f>
        <v>0</v>
      </c>
      <c r="Q791" s="6" t="n">
        <v>570288</v>
      </c>
      <c r="R791" s="6" t="n">
        <v>149607171</v>
      </c>
      <c r="S791" s="11" t="s">
        <v>238</v>
      </c>
      <c r="T791" s="11" t="s">
        <v>239</v>
      </c>
      <c r="U791" s="5" t="s">
        <v>240</v>
      </c>
      <c r="V791" s="11" t="s">
        <v>261</v>
      </c>
      <c r="W791" s="5" t="s">
        <v>334</v>
      </c>
      <c r="X791" s="5" t="s">
        <v>242</v>
      </c>
      <c r="Y791" s="5"/>
      <c r="Z791" s="5"/>
      <c r="AA791" s="11" t="s">
        <v>150</v>
      </c>
      <c r="AB791" s="5" t="s">
        <v>245</v>
      </c>
      <c r="AC791" s="5"/>
      <c r="AD791" s="11" t="s">
        <v>2102</v>
      </c>
      <c r="AE791" s="23" t="n">
        <v>0.95</v>
      </c>
      <c r="AF791" s="23" t="n">
        <v>0</v>
      </c>
      <c r="AG791" s="23" t="n">
        <v>0.33</v>
      </c>
      <c r="AH791" s="23" t="n">
        <v>1</v>
      </c>
      <c r="AI791" s="23" t="n">
        <v>1</v>
      </c>
      <c r="AJ791" s="23" t="n">
        <v>0.542</v>
      </c>
      <c r="AK791" s="23" t="n">
        <v>0.5</v>
      </c>
      <c r="AL791" s="23" t="n">
        <v>0</v>
      </c>
      <c r="AM791" s="16" t="n">
        <f aca="false">COUNTIFS($D$2:$D$2501,D791,$G$2:$G$2501,"&gt;"&amp;G791)+COUNTIFS($D$2:D791,D791,$G$2:G791,G791)</f>
        <v>138</v>
      </c>
      <c r="AN791" s="5" t="str">
        <f aca="false">D791&amp;"|"&amp;AM791</f>
        <v>實體擷取與去識別化|138</v>
      </c>
    </row>
    <row r="792" customFormat="false" ht="17.15" hidden="false" customHeight="false" outlineLevel="0" collapsed="false">
      <c r="A792" s="16" t="n">
        <f aca="false">RANK(G792,$G$2:$G$2501)+COUNTIF($G$2:G792,G792)-1</f>
        <v>791</v>
      </c>
      <c r="B792" s="11" t="s">
        <v>2103</v>
      </c>
      <c r="C792" s="11" t="s">
        <v>402</v>
      </c>
      <c r="D792" s="5" t="s">
        <v>58</v>
      </c>
      <c r="E792" s="5" t="s">
        <v>59</v>
      </c>
      <c r="F792" s="5"/>
      <c r="G792" s="22" t="n">
        <f aca="false">ROUND(SUM(I792:P792),3)</f>
        <v>66.366</v>
      </c>
      <c r="H792" s="5" t="str">
        <f aca="false">IF(G792&gt;=評分方法!$C$16,"優先評估",IF(G792&gt;=評分方法!$C$17,"列入候選",IF(G792&gt;=評分方法!$C$18,"特定情境","不建議")))</f>
        <v>特定情境</v>
      </c>
      <c r="I792" s="15" t="n">
        <f aca="false">AE792*評分方法!$C$5</f>
        <v>28.5</v>
      </c>
      <c r="J792" s="15" t="n">
        <f aca="false">AF792*評分方法!$C$6</f>
        <v>0</v>
      </c>
      <c r="K792" s="15" t="n">
        <f aca="false">AG792*評分方法!$C$7</f>
        <v>4.95</v>
      </c>
      <c r="L792" s="15" t="n">
        <f aca="false">AH792*評分方法!$C$8</f>
        <v>15</v>
      </c>
      <c r="M792" s="15" t="n">
        <f aca="false">AI792*評分方法!$C$9</f>
        <v>10</v>
      </c>
      <c r="N792" s="15" t="n">
        <f aca="false">AJ792*評分方法!$C$10</f>
        <v>5.416</v>
      </c>
      <c r="O792" s="15" t="n">
        <f aca="false">AK792*評分方法!$C$11</f>
        <v>2.5</v>
      </c>
      <c r="P792" s="15" t="n">
        <f aca="false">AL792*評分方法!$C$12</f>
        <v>0</v>
      </c>
      <c r="Q792" s="6" t="n">
        <v>569722</v>
      </c>
      <c r="R792" s="6" t="n">
        <v>395834371</v>
      </c>
      <c r="S792" s="11" t="s">
        <v>238</v>
      </c>
      <c r="T792" s="11" t="s">
        <v>239</v>
      </c>
      <c r="U792" s="5" t="s">
        <v>240</v>
      </c>
      <c r="V792" s="11" t="s">
        <v>261</v>
      </c>
      <c r="W792" s="5" t="s">
        <v>334</v>
      </c>
      <c r="X792" s="5" t="s">
        <v>242</v>
      </c>
      <c r="Y792" s="5"/>
      <c r="Z792" s="5"/>
      <c r="AA792" s="11" t="s">
        <v>150</v>
      </c>
      <c r="AB792" s="5" t="s">
        <v>245</v>
      </c>
      <c r="AC792" s="5"/>
      <c r="AD792" s="11" t="s">
        <v>2104</v>
      </c>
      <c r="AE792" s="23" t="n">
        <v>0.95</v>
      </c>
      <c r="AF792" s="23" t="n">
        <v>0</v>
      </c>
      <c r="AG792" s="23" t="n">
        <v>0.33</v>
      </c>
      <c r="AH792" s="23" t="n">
        <v>1</v>
      </c>
      <c r="AI792" s="23" t="n">
        <v>1</v>
      </c>
      <c r="AJ792" s="23" t="n">
        <v>0.5416</v>
      </c>
      <c r="AK792" s="23" t="n">
        <v>0.5</v>
      </c>
      <c r="AL792" s="23" t="n">
        <v>0</v>
      </c>
      <c r="AM792" s="16" t="n">
        <f aca="false">COUNTIFS($D$2:$D$2501,D792,$G$2:$G$2501,"&gt;"&amp;G792)+COUNTIFS($D$2:D792,D792,$G$2:G792,G792)</f>
        <v>139</v>
      </c>
      <c r="AN792" s="5" t="str">
        <f aca="false">D792&amp;"|"&amp;AM792</f>
        <v>實體擷取與去識別化|139</v>
      </c>
    </row>
    <row r="793" customFormat="false" ht="17.15" hidden="false" customHeight="false" outlineLevel="0" collapsed="false">
      <c r="A793" s="16" t="n">
        <f aca="false">RANK(G793,$G$2:$G$2501)+COUNTIF($G$2:G793,G793)-1</f>
        <v>792</v>
      </c>
      <c r="B793" s="11" t="s">
        <v>2105</v>
      </c>
      <c r="C793" s="11" t="s">
        <v>402</v>
      </c>
      <c r="D793" s="5" t="s">
        <v>58</v>
      </c>
      <c r="E793" s="5" t="s">
        <v>59</v>
      </c>
      <c r="F793" s="5"/>
      <c r="G793" s="22" t="n">
        <f aca="false">ROUND(SUM(I793:P793),3)</f>
        <v>66.354</v>
      </c>
      <c r="H793" s="5" t="str">
        <f aca="false">IF(G793&gt;=評分方法!$C$16,"優先評估",IF(G793&gt;=評分方法!$C$17,"列入候選",IF(G793&gt;=評分方法!$C$18,"特定情境","不建議")))</f>
        <v>特定情境</v>
      </c>
      <c r="I793" s="15" t="n">
        <f aca="false">AE793*評分方法!$C$5</f>
        <v>28.5</v>
      </c>
      <c r="J793" s="15" t="n">
        <f aca="false">AF793*評分方法!$C$6</f>
        <v>0</v>
      </c>
      <c r="K793" s="15" t="n">
        <f aca="false">AG793*評分方法!$C$7</f>
        <v>4.95</v>
      </c>
      <c r="L793" s="15" t="n">
        <f aca="false">AH793*評分方法!$C$8</f>
        <v>15</v>
      </c>
      <c r="M793" s="15" t="n">
        <f aca="false">AI793*評分方法!$C$9</f>
        <v>10</v>
      </c>
      <c r="N793" s="15" t="n">
        <f aca="false">AJ793*評分方法!$C$10</f>
        <v>5.404</v>
      </c>
      <c r="O793" s="15" t="n">
        <f aca="false">AK793*評分方法!$C$11</f>
        <v>2.5</v>
      </c>
      <c r="P793" s="15" t="n">
        <f aca="false">AL793*評分方法!$C$12</f>
        <v>0</v>
      </c>
      <c r="Q793" s="6" t="n">
        <v>569005</v>
      </c>
      <c r="R793" s="6" t="n">
        <v>33213315</v>
      </c>
      <c r="S793" s="11" t="s">
        <v>238</v>
      </c>
      <c r="T793" s="11" t="s">
        <v>239</v>
      </c>
      <c r="U793" s="5" t="s">
        <v>240</v>
      </c>
      <c r="V793" s="11" t="s">
        <v>261</v>
      </c>
      <c r="W793" s="5" t="s">
        <v>334</v>
      </c>
      <c r="X793" s="5" t="s">
        <v>242</v>
      </c>
      <c r="Y793" s="5"/>
      <c r="Z793" s="5"/>
      <c r="AA793" s="11" t="s">
        <v>150</v>
      </c>
      <c r="AB793" s="5" t="s">
        <v>245</v>
      </c>
      <c r="AC793" s="5"/>
      <c r="AD793" s="11" t="s">
        <v>2106</v>
      </c>
      <c r="AE793" s="23" t="n">
        <v>0.95</v>
      </c>
      <c r="AF793" s="23" t="n">
        <v>0</v>
      </c>
      <c r="AG793" s="23" t="n">
        <v>0.33</v>
      </c>
      <c r="AH793" s="23" t="n">
        <v>1</v>
      </c>
      <c r="AI793" s="23" t="n">
        <v>1</v>
      </c>
      <c r="AJ793" s="23" t="n">
        <v>0.5404</v>
      </c>
      <c r="AK793" s="23" t="n">
        <v>0.5</v>
      </c>
      <c r="AL793" s="23" t="n">
        <v>0</v>
      </c>
      <c r="AM793" s="16" t="n">
        <f aca="false">COUNTIFS($D$2:$D$2501,D793,$G$2:$G$2501,"&gt;"&amp;G793)+COUNTIFS($D$2:D793,D793,$G$2:G793,G793)</f>
        <v>140</v>
      </c>
      <c r="AN793" s="5" t="str">
        <f aca="false">D793&amp;"|"&amp;AM793</f>
        <v>實體擷取與去識別化|140</v>
      </c>
    </row>
    <row r="794" customFormat="false" ht="17.15" hidden="false" customHeight="false" outlineLevel="0" collapsed="false">
      <c r="A794" s="16" t="n">
        <f aca="false">RANK(G794,$G$2:$G$2501)+COUNTIF($G$2:G794,G794)-1</f>
        <v>793</v>
      </c>
      <c r="B794" s="11" t="s">
        <v>2107</v>
      </c>
      <c r="C794" s="11" t="s">
        <v>402</v>
      </c>
      <c r="D794" s="5" t="s">
        <v>58</v>
      </c>
      <c r="E794" s="5" t="s">
        <v>59</v>
      </c>
      <c r="F794" s="5"/>
      <c r="G794" s="22" t="n">
        <f aca="false">ROUND(SUM(I794:P794),3)</f>
        <v>66.35</v>
      </c>
      <c r="H794" s="5" t="str">
        <f aca="false">IF(G794&gt;=評分方法!$C$16,"優先評估",IF(G794&gt;=評分方法!$C$17,"列入候選",IF(G794&gt;=評分方法!$C$18,"特定情境","不建議")))</f>
        <v>特定情境</v>
      </c>
      <c r="I794" s="15" t="n">
        <f aca="false">AE794*評分方法!$C$5</f>
        <v>28.5</v>
      </c>
      <c r="J794" s="15" t="n">
        <f aca="false">AF794*評分方法!$C$6</f>
        <v>0</v>
      </c>
      <c r="K794" s="15" t="n">
        <f aca="false">AG794*評分方法!$C$7</f>
        <v>4.95</v>
      </c>
      <c r="L794" s="15" t="n">
        <f aca="false">AH794*評分方法!$C$8</f>
        <v>15</v>
      </c>
      <c r="M794" s="15" t="n">
        <f aca="false">AI794*評分方法!$C$9</f>
        <v>10</v>
      </c>
      <c r="N794" s="15" t="n">
        <f aca="false">AJ794*評分方法!$C$10</f>
        <v>5.4</v>
      </c>
      <c r="O794" s="15" t="n">
        <f aca="false">AK794*評分方法!$C$11</f>
        <v>2.5</v>
      </c>
      <c r="P794" s="15" t="n">
        <f aca="false">AL794*評分方法!$C$12</f>
        <v>0</v>
      </c>
      <c r="Q794" s="6" t="n">
        <v>568974</v>
      </c>
      <c r="R794" s="6" t="n">
        <v>81530115</v>
      </c>
      <c r="S794" s="11" t="s">
        <v>238</v>
      </c>
      <c r="T794" s="11" t="s">
        <v>239</v>
      </c>
      <c r="U794" s="5" t="s">
        <v>240</v>
      </c>
      <c r="V794" s="11" t="s">
        <v>261</v>
      </c>
      <c r="W794" s="5" t="s">
        <v>334</v>
      </c>
      <c r="X794" s="5" t="s">
        <v>242</v>
      </c>
      <c r="Y794" s="5"/>
      <c r="Z794" s="5"/>
      <c r="AA794" s="11" t="s">
        <v>150</v>
      </c>
      <c r="AB794" s="5" t="s">
        <v>245</v>
      </c>
      <c r="AC794" s="5"/>
      <c r="AD794" s="11" t="s">
        <v>2108</v>
      </c>
      <c r="AE794" s="23" t="n">
        <v>0.95</v>
      </c>
      <c r="AF794" s="23" t="n">
        <v>0</v>
      </c>
      <c r="AG794" s="23" t="n">
        <v>0.33</v>
      </c>
      <c r="AH794" s="23" t="n">
        <v>1</v>
      </c>
      <c r="AI794" s="23" t="n">
        <v>1</v>
      </c>
      <c r="AJ794" s="23" t="n">
        <v>0.54</v>
      </c>
      <c r="AK794" s="23" t="n">
        <v>0.5</v>
      </c>
      <c r="AL794" s="23" t="n">
        <v>0</v>
      </c>
      <c r="AM794" s="16" t="n">
        <f aca="false">COUNTIFS($D$2:$D$2501,D794,$G$2:$G$2501,"&gt;"&amp;G794)+COUNTIFS($D$2:D794,D794,$G$2:G794,G794)</f>
        <v>141</v>
      </c>
      <c r="AN794" s="5" t="str">
        <f aca="false">D794&amp;"|"&amp;AM794</f>
        <v>實體擷取與去識別化|141</v>
      </c>
    </row>
    <row r="795" customFormat="false" ht="17.15" hidden="false" customHeight="false" outlineLevel="0" collapsed="false">
      <c r="A795" s="16" t="n">
        <f aca="false">RANK(G795,$G$2:$G$2501)+COUNTIF($G$2:G795,G795)-1</f>
        <v>794</v>
      </c>
      <c r="B795" s="11" t="s">
        <v>2109</v>
      </c>
      <c r="C795" s="11" t="s">
        <v>402</v>
      </c>
      <c r="D795" s="5" t="s">
        <v>58</v>
      </c>
      <c r="E795" s="5" t="s">
        <v>59</v>
      </c>
      <c r="F795" s="5"/>
      <c r="G795" s="22" t="n">
        <f aca="false">ROUND(SUM(I795:P795),3)</f>
        <v>66.346</v>
      </c>
      <c r="H795" s="5" t="str">
        <f aca="false">IF(G795&gt;=評分方法!$C$16,"優先評估",IF(G795&gt;=評分方法!$C$17,"列入候選",IF(G795&gt;=評分方法!$C$18,"特定情境","不建議")))</f>
        <v>特定情境</v>
      </c>
      <c r="I795" s="15" t="n">
        <f aca="false">AE795*評分方法!$C$5</f>
        <v>28.5</v>
      </c>
      <c r="J795" s="15" t="n">
        <f aca="false">AF795*評分方法!$C$6</f>
        <v>0</v>
      </c>
      <c r="K795" s="15" t="n">
        <f aca="false">AG795*評分方法!$C$7</f>
        <v>4.95</v>
      </c>
      <c r="L795" s="15" t="n">
        <f aca="false">AH795*評分方法!$C$8</f>
        <v>15</v>
      </c>
      <c r="M795" s="15" t="n">
        <f aca="false">AI795*評分方法!$C$9</f>
        <v>10</v>
      </c>
      <c r="N795" s="15" t="n">
        <f aca="false">AJ795*評分方法!$C$10</f>
        <v>5.396</v>
      </c>
      <c r="O795" s="15" t="n">
        <f aca="false">AK795*評分方法!$C$11</f>
        <v>2.5</v>
      </c>
      <c r="P795" s="15" t="n">
        <f aca="false">AL795*評分方法!$C$12</f>
        <v>0</v>
      </c>
      <c r="Q795" s="6" t="n">
        <v>567803</v>
      </c>
      <c r="R795" s="6" t="n">
        <v>66365187</v>
      </c>
      <c r="S795" s="11" t="s">
        <v>238</v>
      </c>
      <c r="T795" s="11" t="s">
        <v>239</v>
      </c>
      <c r="U795" s="5" t="s">
        <v>240</v>
      </c>
      <c r="V795" s="11" t="s">
        <v>261</v>
      </c>
      <c r="W795" s="5" t="s">
        <v>334</v>
      </c>
      <c r="X795" s="5" t="s">
        <v>242</v>
      </c>
      <c r="Y795" s="5"/>
      <c r="Z795" s="5"/>
      <c r="AA795" s="11" t="s">
        <v>150</v>
      </c>
      <c r="AB795" s="5" t="s">
        <v>245</v>
      </c>
      <c r="AC795" s="5"/>
      <c r="AD795" s="11" t="s">
        <v>2110</v>
      </c>
      <c r="AE795" s="23" t="n">
        <v>0.95</v>
      </c>
      <c r="AF795" s="23" t="n">
        <v>0</v>
      </c>
      <c r="AG795" s="23" t="n">
        <v>0.33</v>
      </c>
      <c r="AH795" s="23" t="n">
        <v>1</v>
      </c>
      <c r="AI795" s="23" t="n">
        <v>1</v>
      </c>
      <c r="AJ795" s="23" t="n">
        <v>0.5396</v>
      </c>
      <c r="AK795" s="23" t="n">
        <v>0.5</v>
      </c>
      <c r="AL795" s="23" t="n">
        <v>0</v>
      </c>
      <c r="AM795" s="16" t="n">
        <f aca="false">COUNTIFS($D$2:$D$2501,D795,$G$2:$G$2501,"&gt;"&amp;G795)+COUNTIFS($D$2:D795,D795,$G$2:G795,G795)</f>
        <v>142</v>
      </c>
      <c r="AN795" s="5" t="str">
        <f aca="false">D795&amp;"|"&amp;AM795</f>
        <v>實體擷取與去識別化|142</v>
      </c>
    </row>
    <row r="796" customFormat="false" ht="17.15" hidden="false" customHeight="false" outlineLevel="0" collapsed="false">
      <c r="A796" s="16" t="n">
        <f aca="false">RANK(G796,$G$2:$G$2501)+COUNTIF($G$2:G796,G796)-1</f>
        <v>795</v>
      </c>
      <c r="B796" s="11" t="s">
        <v>2111</v>
      </c>
      <c r="C796" s="11" t="s">
        <v>402</v>
      </c>
      <c r="D796" s="5" t="s">
        <v>58</v>
      </c>
      <c r="E796" s="5" t="s">
        <v>59</v>
      </c>
      <c r="F796" s="5"/>
      <c r="G796" s="22" t="n">
        <f aca="false">ROUND(SUM(I796:P796),3)</f>
        <v>66.342</v>
      </c>
      <c r="H796" s="5" t="str">
        <f aca="false">IF(G796&gt;=評分方法!$C$16,"優先評估",IF(G796&gt;=評分方法!$C$17,"列入候選",IF(G796&gt;=評分方法!$C$18,"特定情境","不建議")))</f>
        <v>特定情境</v>
      </c>
      <c r="I796" s="15" t="n">
        <f aca="false">AE796*評分方法!$C$5</f>
        <v>28.5</v>
      </c>
      <c r="J796" s="15" t="n">
        <f aca="false">AF796*評分方法!$C$6</f>
        <v>0</v>
      </c>
      <c r="K796" s="15" t="n">
        <f aca="false">AG796*評分方法!$C$7</f>
        <v>4.95</v>
      </c>
      <c r="L796" s="15" t="n">
        <f aca="false">AH796*評分方法!$C$8</f>
        <v>15</v>
      </c>
      <c r="M796" s="15" t="n">
        <f aca="false">AI796*評分方法!$C$9</f>
        <v>10</v>
      </c>
      <c r="N796" s="15" t="n">
        <f aca="false">AJ796*評分方法!$C$10</f>
        <v>5.392</v>
      </c>
      <c r="O796" s="15" t="n">
        <f aca="false">AK796*評分方法!$C$11</f>
        <v>2.5</v>
      </c>
      <c r="P796" s="15" t="n">
        <f aca="false">AL796*評分方法!$C$12</f>
        <v>0</v>
      </c>
      <c r="Q796" s="6" t="n">
        <v>566605</v>
      </c>
      <c r="R796" s="6" t="n">
        <v>107721987</v>
      </c>
      <c r="S796" s="11" t="s">
        <v>238</v>
      </c>
      <c r="T796" s="11" t="s">
        <v>239</v>
      </c>
      <c r="U796" s="5" t="s">
        <v>240</v>
      </c>
      <c r="V796" s="11" t="s">
        <v>261</v>
      </c>
      <c r="W796" s="5" t="s">
        <v>334</v>
      </c>
      <c r="X796" s="5" t="s">
        <v>242</v>
      </c>
      <c r="Y796" s="5"/>
      <c r="Z796" s="5"/>
      <c r="AA796" s="11" t="s">
        <v>150</v>
      </c>
      <c r="AB796" s="5" t="s">
        <v>245</v>
      </c>
      <c r="AC796" s="5"/>
      <c r="AD796" s="11" t="s">
        <v>2112</v>
      </c>
      <c r="AE796" s="23" t="n">
        <v>0.95</v>
      </c>
      <c r="AF796" s="23" t="n">
        <v>0</v>
      </c>
      <c r="AG796" s="23" t="n">
        <v>0.33</v>
      </c>
      <c r="AH796" s="23" t="n">
        <v>1</v>
      </c>
      <c r="AI796" s="23" t="n">
        <v>1</v>
      </c>
      <c r="AJ796" s="23" t="n">
        <v>0.5392</v>
      </c>
      <c r="AK796" s="23" t="n">
        <v>0.5</v>
      </c>
      <c r="AL796" s="23" t="n">
        <v>0</v>
      </c>
      <c r="AM796" s="16" t="n">
        <f aca="false">COUNTIFS($D$2:$D$2501,D796,$G$2:$G$2501,"&gt;"&amp;G796)+COUNTIFS($D$2:D796,D796,$G$2:G796,G796)</f>
        <v>143</v>
      </c>
      <c r="AN796" s="5" t="str">
        <f aca="false">D796&amp;"|"&amp;AM796</f>
        <v>實體擷取與去識別化|143</v>
      </c>
    </row>
    <row r="797" customFormat="false" ht="17.15" hidden="false" customHeight="false" outlineLevel="0" collapsed="false">
      <c r="A797" s="16" t="n">
        <f aca="false">RANK(G797,$G$2:$G$2501)+COUNTIF($G$2:G797,G797)-1</f>
        <v>796</v>
      </c>
      <c r="B797" s="11" t="s">
        <v>2113</v>
      </c>
      <c r="C797" s="11" t="s">
        <v>1388</v>
      </c>
      <c r="D797" s="5" t="s">
        <v>56</v>
      </c>
      <c r="E797" s="5" t="s">
        <v>57</v>
      </c>
      <c r="F797" s="5"/>
      <c r="G797" s="22" t="n">
        <f aca="false">ROUND(SUM(I797:P797),3)</f>
        <v>66.34</v>
      </c>
      <c r="H797" s="5" t="str">
        <f aca="false">IF(G797&gt;=評分方法!$C$16,"優先評估",IF(G797&gt;=評分方法!$C$17,"列入候選",IF(G797&gt;=評分方法!$C$18,"特定情境","不建議")))</f>
        <v>特定情境</v>
      </c>
      <c r="I797" s="15" t="n">
        <f aca="false">AE797*評分方法!$C$5</f>
        <v>25.5</v>
      </c>
      <c r="J797" s="15" t="n">
        <f aca="false">AF797*評分方法!$C$6</f>
        <v>0</v>
      </c>
      <c r="K797" s="15" t="n">
        <f aca="false">AG797*評分方法!$C$7</f>
        <v>10.05</v>
      </c>
      <c r="L797" s="15" t="n">
        <f aca="false">AH797*評分方法!$C$8</f>
        <v>13.05</v>
      </c>
      <c r="M797" s="15" t="n">
        <f aca="false">AI797*評分方法!$C$9</f>
        <v>10</v>
      </c>
      <c r="N797" s="15" t="n">
        <f aca="false">AJ797*評分方法!$C$10</f>
        <v>6.74</v>
      </c>
      <c r="O797" s="15" t="n">
        <f aca="false">AK797*評分方法!$C$11</f>
        <v>1</v>
      </c>
      <c r="P797" s="15" t="n">
        <f aca="false">AL797*評分方法!$C$12</f>
        <v>0</v>
      </c>
      <c r="Q797" s="6" t="n">
        <v>823554</v>
      </c>
      <c r="R797" s="6" t="n">
        <v>1100048384</v>
      </c>
      <c r="S797" s="11" t="s">
        <v>254</v>
      </c>
      <c r="T797" s="11" t="s">
        <v>239</v>
      </c>
      <c r="U797" s="5" t="s">
        <v>240</v>
      </c>
      <c r="V797" s="11" t="s">
        <v>333</v>
      </c>
      <c r="W797" s="5" t="s">
        <v>207</v>
      </c>
      <c r="X797" s="5" t="s">
        <v>242</v>
      </c>
      <c r="Y797" s="11" t="s">
        <v>1483</v>
      </c>
      <c r="Z797" s="11" t="s">
        <v>244</v>
      </c>
      <c r="AA797" s="11" t="s">
        <v>155</v>
      </c>
      <c r="AB797" s="5" t="s">
        <v>496</v>
      </c>
      <c r="AC797" s="5" t="s">
        <v>555</v>
      </c>
      <c r="AD797" s="11" t="s">
        <v>2114</v>
      </c>
      <c r="AE797" s="23" t="n">
        <v>0.85</v>
      </c>
      <c r="AF797" s="23" t="n">
        <v>0</v>
      </c>
      <c r="AG797" s="23" t="n">
        <v>0.67</v>
      </c>
      <c r="AH797" s="23" t="n">
        <v>0.87</v>
      </c>
      <c r="AI797" s="23" t="n">
        <v>1</v>
      </c>
      <c r="AJ797" s="23" t="n">
        <v>0.674</v>
      </c>
      <c r="AK797" s="23" t="n">
        <v>0.2</v>
      </c>
      <c r="AL797" s="23" t="n">
        <v>0</v>
      </c>
      <c r="AM797" s="16" t="n">
        <f aca="false">COUNTIFS($D$2:$D$2501,D797,$G$2:$G$2501,"&gt;"&amp;G797)+COUNTIFS($D$2:D797,D797,$G$2:G797,G797)</f>
        <v>393</v>
      </c>
      <c r="AN797" s="5" t="str">
        <f aca="false">D797&amp;"|"&amp;AM797</f>
        <v>分析與報告生成|393</v>
      </c>
    </row>
    <row r="798" customFormat="false" ht="17.15" hidden="false" customHeight="false" outlineLevel="0" collapsed="false">
      <c r="A798" s="16" t="n">
        <f aca="false">RANK(G798,$G$2:$G$2501)+COUNTIF($G$2:G798,G798)-1</f>
        <v>797</v>
      </c>
      <c r="B798" s="11" t="s">
        <v>2115</v>
      </c>
      <c r="C798" s="11" t="s">
        <v>402</v>
      </c>
      <c r="D798" s="5" t="s">
        <v>58</v>
      </c>
      <c r="E798" s="5" t="s">
        <v>59</v>
      </c>
      <c r="F798" s="5"/>
      <c r="G798" s="22" t="n">
        <f aca="false">ROUND(SUM(I798:P798),3)</f>
        <v>66.338</v>
      </c>
      <c r="H798" s="5" t="str">
        <f aca="false">IF(G798&gt;=評分方法!$C$16,"優先評估",IF(G798&gt;=評分方法!$C$17,"列入候選",IF(G798&gt;=評分方法!$C$18,"特定情境","不建議")))</f>
        <v>特定情境</v>
      </c>
      <c r="I798" s="15" t="n">
        <f aca="false">AE798*評分方法!$C$5</f>
        <v>28.5</v>
      </c>
      <c r="J798" s="15" t="n">
        <f aca="false">AF798*評分方法!$C$6</f>
        <v>0</v>
      </c>
      <c r="K798" s="15" t="n">
        <f aca="false">AG798*評分方法!$C$7</f>
        <v>4.95</v>
      </c>
      <c r="L798" s="15" t="n">
        <f aca="false">AH798*評分方法!$C$8</f>
        <v>15</v>
      </c>
      <c r="M798" s="15" t="n">
        <f aca="false">AI798*評分方法!$C$9</f>
        <v>10</v>
      </c>
      <c r="N798" s="15" t="n">
        <f aca="false">AJ798*評分方法!$C$10</f>
        <v>5.388</v>
      </c>
      <c r="O798" s="15" t="n">
        <f aca="false">AK798*評分方法!$C$11</f>
        <v>2.5</v>
      </c>
      <c r="P798" s="15" t="n">
        <f aca="false">AL798*評分方法!$C$12</f>
        <v>0</v>
      </c>
      <c r="Q798" s="6" t="n">
        <v>566449</v>
      </c>
      <c r="R798" s="6" t="n">
        <v>183833859</v>
      </c>
      <c r="S798" s="11" t="s">
        <v>238</v>
      </c>
      <c r="T798" s="11" t="s">
        <v>239</v>
      </c>
      <c r="U798" s="5" t="s">
        <v>240</v>
      </c>
      <c r="V798" s="11" t="s">
        <v>261</v>
      </c>
      <c r="W798" s="5" t="s">
        <v>334</v>
      </c>
      <c r="X798" s="5" t="s">
        <v>242</v>
      </c>
      <c r="Y798" s="5"/>
      <c r="Z798" s="5"/>
      <c r="AA798" s="11" t="s">
        <v>150</v>
      </c>
      <c r="AB798" s="5" t="s">
        <v>245</v>
      </c>
      <c r="AC798" s="5"/>
      <c r="AD798" s="11" t="s">
        <v>2116</v>
      </c>
      <c r="AE798" s="23" t="n">
        <v>0.95</v>
      </c>
      <c r="AF798" s="23" t="n">
        <v>0</v>
      </c>
      <c r="AG798" s="23" t="n">
        <v>0.33</v>
      </c>
      <c r="AH798" s="23" t="n">
        <v>1</v>
      </c>
      <c r="AI798" s="23" t="n">
        <v>1</v>
      </c>
      <c r="AJ798" s="23" t="n">
        <v>0.5388</v>
      </c>
      <c r="AK798" s="23" t="n">
        <v>0.5</v>
      </c>
      <c r="AL798" s="23" t="n">
        <v>0</v>
      </c>
      <c r="AM798" s="16" t="n">
        <f aca="false">COUNTIFS($D$2:$D$2501,D798,$G$2:$G$2501,"&gt;"&amp;G798)+COUNTIFS($D$2:D798,D798,$G$2:G798,G798)</f>
        <v>144</v>
      </c>
      <c r="AN798" s="5" t="str">
        <f aca="false">D798&amp;"|"&amp;AM798</f>
        <v>實體擷取與去識別化|144</v>
      </c>
    </row>
    <row r="799" customFormat="false" ht="17.15" hidden="false" customHeight="false" outlineLevel="0" collapsed="false">
      <c r="A799" s="16" t="n">
        <f aca="false">RANK(G799,$G$2:$G$2501)+COUNTIF($G$2:G799,G799)-1</f>
        <v>798</v>
      </c>
      <c r="B799" s="11" t="s">
        <v>2117</v>
      </c>
      <c r="C799" s="11" t="s">
        <v>1111</v>
      </c>
      <c r="D799" s="5" t="s">
        <v>56</v>
      </c>
      <c r="E799" s="5" t="s">
        <v>57</v>
      </c>
      <c r="F799" s="5"/>
      <c r="G799" s="22" t="n">
        <f aca="false">ROUND(SUM(I799:P799),3)</f>
        <v>66.332</v>
      </c>
      <c r="H799" s="5" t="str">
        <f aca="false">IF(G799&gt;=評分方法!$C$16,"優先評估",IF(G799&gt;=評分方法!$C$17,"列入候選",IF(G799&gt;=評分方法!$C$18,"特定情境","不建議")))</f>
        <v>特定情境</v>
      </c>
      <c r="I799" s="15" t="n">
        <f aca="false">AE799*評分方法!$C$5</f>
        <v>25.5</v>
      </c>
      <c r="J799" s="15" t="n">
        <f aca="false">AF799*評分方法!$C$6</f>
        <v>0</v>
      </c>
      <c r="K799" s="15" t="n">
        <f aca="false">AG799*評分方法!$C$7</f>
        <v>10.05</v>
      </c>
      <c r="L799" s="15" t="n">
        <f aca="false">AH799*評分方法!$C$8</f>
        <v>13.05</v>
      </c>
      <c r="M799" s="15" t="n">
        <f aca="false">AI799*評分方法!$C$9</f>
        <v>10</v>
      </c>
      <c r="N799" s="15" t="n">
        <f aca="false">AJ799*評分方法!$C$10</f>
        <v>2.732</v>
      </c>
      <c r="O799" s="15" t="n">
        <f aca="false">AK799*評分方法!$C$11</f>
        <v>5</v>
      </c>
      <c r="P799" s="15" t="n">
        <f aca="false">AL799*評分方法!$C$12</f>
        <v>0</v>
      </c>
      <c r="Q799" s="6" t="n">
        <v>269112</v>
      </c>
      <c r="R799" s="6" t="n">
        <v>2634201088</v>
      </c>
      <c r="S799" s="11" t="s">
        <v>254</v>
      </c>
      <c r="T799" s="11" t="s">
        <v>239</v>
      </c>
      <c r="U799" s="5" t="s">
        <v>240</v>
      </c>
      <c r="V799" s="11" t="s">
        <v>261</v>
      </c>
      <c r="W799" s="5" t="s">
        <v>207</v>
      </c>
      <c r="X799" s="5" t="s">
        <v>242</v>
      </c>
      <c r="Y799" s="11" t="s">
        <v>2118</v>
      </c>
      <c r="Z799" s="11" t="s">
        <v>244</v>
      </c>
      <c r="AA799" s="11" t="s">
        <v>155</v>
      </c>
      <c r="AB799" s="5" t="s">
        <v>245</v>
      </c>
      <c r="AC799" s="5" t="s">
        <v>246</v>
      </c>
      <c r="AD799" s="11" t="s">
        <v>2119</v>
      </c>
      <c r="AE799" s="23" t="n">
        <v>0.85</v>
      </c>
      <c r="AF799" s="23" t="n">
        <v>0</v>
      </c>
      <c r="AG799" s="23" t="n">
        <v>0.67</v>
      </c>
      <c r="AH799" s="23" t="n">
        <v>0.87</v>
      </c>
      <c r="AI799" s="23" t="n">
        <v>1</v>
      </c>
      <c r="AJ799" s="23" t="n">
        <v>0.2732</v>
      </c>
      <c r="AK799" s="23" t="n">
        <v>1</v>
      </c>
      <c r="AL799" s="23" t="n">
        <v>0</v>
      </c>
      <c r="AM799" s="16" t="n">
        <f aca="false">COUNTIFS($D$2:$D$2501,D799,$G$2:$G$2501,"&gt;"&amp;G799)+COUNTIFS($D$2:D799,D799,$G$2:G799,G799)</f>
        <v>394</v>
      </c>
      <c r="AN799" s="5" t="str">
        <f aca="false">D799&amp;"|"&amp;AM799</f>
        <v>分析與報告生成|394</v>
      </c>
    </row>
    <row r="800" customFormat="false" ht="17.15" hidden="false" customHeight="false" outlineLevel="0" collapsed="false">
      <c r="A800" s="16" t="n">
        <f aca="false">RANK(G800,$G$2:$G$2501)+COUNTIF($G$2:G800,G800)-1</f>
        <v>799</v>
      </c>
      <c r="B800" s="11" t="s">
        <v>2120</v>
      </c>
      <c r="C800" s="11" t="s">
        <v>402</v>
      </c>
      <c r="D800" s="5" t="s">
        <v>58</v>
      </c>
      <c r="E800" s="5" t="s">
        <v>59</v>
      </c>
      <c r="F800" s="5"/>
      <c r="G800" s="22" t="n">
        <f aca="false">ROUND(SUM(I800:P800),3)</f>
        <v>66.33</v>
      </c>
      <c r="H800" s="5" t="str">
        <f aca="false">IF(G800&gt;=評分方法!$C$16,"優先評估",IF(G800&gt;=評分方法!$C$17,"列入候選",IF(G800&gt;=評分方法!$C$18,"特定情境","不建議")))</f>
        <v>特定情境</v>
      </c>
      <c r="I800" s="15" t="n">
        <f aca="false">AE800*評分方法!$C$5</f>
        <v>28.5</v>
      </c>
      <c r="J800" s="15" t="n">
        <f aca="false">AF800*評分方法!$C$6</f>
        <v>0</v>
      </c>
      <c r="K800" s="15" t="n">
        <f aca="false">AG800*評分方法!$C$7</f>
        <v>4.95</v>
      </c>
      <c r="L800" s="15" t="n">
        <f aca="false">AH800*評分方法!$C$8</f>
        <v>15</v>
      </c>
      <c r="M800" s="15" t="n">
        <f aca="false">AI800*評分方法!$C$9</f>
        <v>10</v>
      </c>
      <c r="N800" s="15" t="n">
        <f aca="false">AJ800*評分方法!$C$10</f>
        <v>5.38</v>
      </c>
      <c r="O800" s="15" t="n">
        <f aca="false">AK800*評分方法!$C$11</f>
        <v>2.5</v>
      </c>
      <c r="P800" s="15" t="n">
        <f aca="false">AL800*評分方法!$C$12</f>
        <v>0</v>
      </c>
      <c r="Q800" s="6" t="n">
        <v>566236</v>
      </c>
      <c r="R800" s="6" t="n">
        <v>558843907</v>
      </c>
      <c r="S800" s="11" t="s">
        <v>238</v>
      </c>
      <c r="T800" s="11" t="s">
        <v>239</v>
      </c>
      <c r="U800" s="5" t="s">
        <v>240</v>
      </c>
      <c r="V800" s="11" t="s">
        <v>261</v>
      </c>
      <c r="W800" s="5" t="s">
        <v>334</v>
      </c>
      <c r="X800" s="5" t="s">
        <v>242</v>
      </c>
      <c r="Y800" s="5"/>
      <c r="Z800" s="5"/>
      <c r="AA800" s="11" t="s">
        <v>150</v>
      </c>
      <c r="AB800" s="5" t="s">
        <v>245</v>
      </c>
      <c r="AC800" s="5"/>
      <c r="AD800" s="11" t="s">
        <v>2121</v>
      </c>
      <c r="AE800" s="23" t="n">
        <v>0.95</v>
      </c>
      <c r="AF800" s="23" t="n">
        <v>0</v>
      </c>
      <c r="AG800" s="23" t="n">
        <v>0.33</v>
      </c>
      <c r="AH800" s="23" t="n">
        <v>1</v>
      </c>
      <c r="AI800" s="23" t="n">
        <v>1</v>
      </c>
      <c r="AJ800" s="23" t="n">
        <v>0.538</v>
      </c>
      <c r="AK800" s="23" t="n">
        <v>0.5</v>
      </c>
      <c r="AL800" s="23" t="n">
        <v>0</v>
      </c>
      <c r="AM800" s="16" t="n">
        <f aca="false">COUNTIFS($D$2:$D$2501,D800,$G$2:$G$2501,"&gt;"&amp;G800)+COUNTIFS($D$2:D800,D800,$G$2:G800,G800)</f>
        <v>145</v>
      </c>
      <c r="AN800" s="5" t="str">
        <f aca="false">D800&amp;"|"&amp;AM800</f>
        <v>實體擷取與去識別化|145</v>
      </c>
    </row>
    <row r="801" customFormat="false" ht="17.15" hidden="false" customHeight="false" outlineLevel="0" collapsed="false">
      <c r="A801" s="16" t="n">
        <f aca="false">RANK(G801,$G$2:$G$2501)+COUNTIF($G$2:G801,G801)-1</f>
        <v>800</v>
      </c>
      <c r="B801" s="11" t="s">
        <v>2122</v>
      </c>
      <c r="C801" s="11" t="s">
        <v>402</v>
      </c>
      <c r="D801" s="5" t="s">
        <v>58</v>
      </c>
      <c r="E801" s="5" t="s">
        <v>59</v>
      </c>
      <c r="F801" s="5"/>
      <c r="G801" s="22" t="n">
        <f aca="false">ROUND(SUM(I801:P801),3)</f>
        <v>66.322</v>
      </c>
      <c r="H801" s="5" t="str">
        <f aca="false">IF(G801&gt;=評分方法!$C$16,"優先評估",IF(G801&gt;=評分方法!$C$17,"列入候選",IF(G801&gt;=評分方法!$C$18,"特定情境","不建議")))</f>
        <v>特定情境</v>
      </c>
      <c r="I801" s="15" t="n">
        <f aca="false">AE801*評分方法!$C$5</f>
        <v>28.5</v>
      </c>
      <c r="J801" s="15" t="n">
        <f aca="false">AF801*評分方法!$C$6</f>
        <v>0</v>
      </c>
      <c r="K801" s="15" t="n">
        <f aca="false">AG801*評分方法!$C$7</f>
        <v>4.95</v>
      </c>
      <c r="L801" s="15" t="n">
        <f aca="false">AH801*評分方法!$C$8</f>
        <v>15</v>
      </c>
      <c r="M801" s="15" t="n">
        <f aca="false">AI801*評分方法!$C$9</f>
        <v>10</v>
      </c>
      <c r="N801" s="15" t="n">
        <f aca="false">AJ801*評分方法!$C$10</f>
        <v>5.372</v>
      </c>
      <c r="O801" s="15" t="n">
        <f aca="false">AK801*評分方法!$C$11</f>
        <v>2.5</v>
      </c>
      <c r="P801" s="15" t="n">
        <f aca="false">AL801*評分方法!$C$12</f>
        <v>0</v>
      </c>
      <c r="Q801" s="6" t="n">
        <v>565546</v>
      </c>
      <c r="R801" s="6" t="n">
        <v>277455363</v>
      </c>
      <c r="S801" s="11" t="s">
        <v>238</v>
      </c>
      <c r="T801" s="11" t="s">
        <v>239</v>
      </c>
      <c r="U801" s="5" t="s">
        <v>240</v>
      </c>
      <c r="V801" s="11" t="s">
        <v>261</v>
      </c>
      <c r="W801" s="5" t="s">
        <v>334</v>
      </c>
      <c r="X801" s="5" t="s">
        <v>242</v>
      </c>
      <c r="Y801" s="5"/>
      <c r="Z801" s="5"/>
      <c r="AA801" s="11" t="s">
        <v>150</v>
      </c>
      <c r="AB801" s="5" t="s">
        <v>245</v>
      </c>
      <c r="AC801" s="5"/>
      <c r="AD801" s="11" t="s">
        <v>2123</v>
      </c>
      <c r="AE801" s="23" t="n">
        <v>0.95</v>
      </c>
      <c r="AF801" s="23" t="n">
        <v>0</v>
      </c>
      <c r="AG801" s="23" t="n">
        <v>0.33</v>
      </c>
      <c r="AH801" s="23" t="n">
        <v>1</v>
      </c>
      <c r="AI801" s="23" t="n">
        <v>1</v>
      </c>
      <c r="AJ801" s="23" t="n">
        <v>0.5372</v>
      </c>
      <c r="AK801" s="23" t="n">
        <v>0.5</v>
      </c>
      <c r="AL801" s="23" t="n">
        <v>0</v>
      </c>
      <c r="AM801" s="16" t="n">
        <f aca="false">COUNTIFS($D$2:$D$2501,D801,$G$2:$G$2501,"&gt;"&amp;G801)+COUNTIFS($D$2:D801,D801,$G$2:G801,G801)</f>
        <v>146</v>
      </c>
      <c r="AN801" s="5" t="str">
        <f aca="false">D801&amp;"|"&amp;AM801</f>
        <v>實體擷取與去識別化|146</v>
      </c>
    </row>
    <row r="802" customFormat="false" ht="17.15" hidden="false" customHeight="false" outlineLevel="0" collapsed="false">
      <c r="A802" s="16" t="n">
        <f aca="false">RANK(G802,$G$2:$G$2501)+COUNTIF($G$2:G802,G802)-1</f>
        <v>801</v>
      </c>
      <c r="B802" s="11" t="s">
        <v>2124</v>
      </c>
      <c r="C802" s="11" t="s">
        <v>402</v>
      </c>
      <c r="D802" s="5" t="s">
        <v>58</v>
      </c>
      <c r="E802" s="5" t="s">
        <v>59</v>
      </c>
      <c r="F802" s="5"/>
      <c r="G802" s="22" t="n">
        <f aca="false">ROUND(SUM(I802:P802),3)</f>
        <v>66.318</v>
      </c>
      <c r="H802" s="5" t="str">
        <f aca="false">IF(G802&gt;=評分方法!$C$16,"優先評估",IF(G802&gt;=評分方法!$C$17,"列入候選",IF(G802&gt;=評分方法!$C$18,"特定情境","不建議")))</f>
        <v>特定情境</v>
      </c>
      <c r="I802" s="15" t="n">
        <f aca="false">AE802*評分方法!$C$5</f>
        <v>28.5</v>
      </c>
      <c r="J802" s="15" t="n">
        <f aca="false">AF802*評分方法!$C$6</f>
        <v>0</v>
      </c>
      <c r="K802" s="15" t="n">
        <f aca="false">AG802*評分方法!$C$7</f>
        <v>4.95</v>
      </c>
      <c r="L802" s="15" t="n">
        <f aca="false">AH802*評分方法!$C$8</f>
        <v>15</v>
      </c>
      <c r="M802" s="15" t="n">
        <f aca="false">AI802*評分方法!$C$9</f>
        <v>10</v>
      </c>
      <c r="N802" s="15" t="n">
        <f aca="false">AJ802*評分方法!$C$10</f>
        <v>5.368</v>
      </c>
      <c r="O802" s="15" t="n">
        <f aca="false">AK802*評分方法!$C$11</f>
        <v>2.5</v>
      </c>
      <c r="P802" s="15" t="n">
        <f aca="false">AL802*評分方法!$C$12</f>
        <v>0</v>
      </c>
      <c r="Q802" s="6" t="n">
        <v>565401</v>
      </c>
      <c r="R802" s="6" t="n">
        <v>395834371</v>
      </c>
      <c r="S802" s="11" t="s">
        <v>238</v>
      </c>
      <c r="T802" s="11" t="s">
        <v>239</v>
      </c>
      <c r="U802" s="5" t="s">
        <v>240</v>
      </c>
      <c r="V802" s="11" t="s">
        <v>261</v>
      </c>
      <c r="W802" s="5" t="s">
        <v>334</v>
      </c>
      <c r="X802" s="5" t="s">
        <v>242</v>
      </c>
      <c r="Y802" s="5"/>
      <c r="Z802" s="5"/>
      <c r="AA802" s="11" t="s">
        <v>150</v>
      </c>
      <c r="AB802" s="5" t="s">
        <v>245</v>
      </c>
      <c r="AC802" s="5"/>
      <c r="AD802" s="11" t="s">
        <v>2125</v>
      </c>
      <c r="AE802" s="23" t="n">
        <v>0.95</v>
      </c>
      <c r="AF802" s="23" t="n">
        <v>0</v>
      </c>
      <c r="AG802" s="23" t="n">
        <v>0.33</v>
      </c>
      <c r="AH802" s="23" t="n">
        <v>1</v>
      </c>
      <c r="AI802" s="23" t="n">
        <v>1</v>
      </c>
      <c r="AJ802" s="23" t="n">
        <v>0.5368</v>
      </c>
      <c r="AK802" s="23" t="n">
        <v>0.5</v>
      </c>
      <c r="AL802" s="23" t="n">
        <v>0</v>
      </c>
      <c r="AM802" s="16" t="n">
        <f aca="false">COUNTIFS($D$2:$D$2501,D802,$G$2:$G$2501,"&gt;"&amp;G802)+COUNTIFS($D$2:D802,D802,$G$2:G802,G802)</f>
        <v>147</v>
      </c>
      <c r="AN802" s="5" t="str">
        <f aca="false">D802&amp;"|"&amp;AM802</f>
        <v>實體擷取與去識別化|147</v>
      </c>
    </row>
    <row r="803" customFormat="false" ht="17.15" hidden="false" customHeight="false" outlineLevel="0" collapsed="false">
      <c r="A803" s="16" t="n">
        <f aca="false">RANK(G803,$G$2:$G$2501)+COUNTIF($G$2:G803,G803)-1</f>
        <v>802</v>
      </c>
      <c r="B803" s="11" t="s">
        <v>2126</v>
      </c>
      <c r="C803" s="11" t="s">
        <v>402</v>
      </c>
      <c r="D803" s="5" t="s">
        <v>58</v>
      </c>
      <c r="E803" s="5" t="s">
        <v>59</v>
      </c>
      <c r="F803" s="5"/>
      <c r="G803" s="22" t="n">
        <f aca="false">ROUND(SUM(I803:P803),3)</f>
        <v>66.314</v>
      </c>
      <c r="H803" s="5" t="str">
        <f aca="false">IF(G803&gt;=評分方法!$C$16,"優先評估",IF(G803&gt;=評分方法!$C$17,"列入候選",IF(G803&gt;=評分方法!$C$18,"特定情境","不建議")))</f>
        <v>特定情境</v>
      </c>
      <c r="I803" s="15" t="n">
        <f aca="false">AE803*評分方法!$C$5</f>
        <v>28.5</v>
      </c>
      <c r="J803" s="15" t="n">
        <f aca="false">AF803*評分方法!$C$6</f>
        <v>0</v>
      </c>
      <c r="K803" s="15" t="n">
        <f aca="false">AG803*評分方法!$C$7</f>
        <v>4.95</v>
      </c>
      <c r="L803" s="15" t="n">
        <f aca="false">AH803*評分方法!$C$8</f>
        <v>15</v>
      </c>
      <c r="M803" s="15" t="n">
        <f aca="false">AI803*評分方法!$C$9</f>
        <v>10</v>
      </c>
      <c r="N803" s="15" t="n">
        <f aca="false">AJ803*評分方法!$C$10</f>
        <v>5.364</v>
      </c>
      <c r="O803" s="15" t="n">
        <f aca="false">AK803*評分方法!$C$11</f>
        <v>2.5</v>
      </c>
      <c r="P803" s="15" t="n">
        <f aca="false">AL803*評分方法!$C$12</f>
        <v>0</v>
      </c>
      <c r="Q803" s="6" t="n">
        <v>564330</v>
      </c>
      <c r="R803" s="6" t="n">
        <v>566708227</v>
      </c>
      <c r="S803" s="11" t="s">
        <v>238</v>
      </c>
      <c r="T803" s="11" t="s">
        <v>239</v>
      </c>
      <c r="U803" s="5" t="s">
        <v>240</v>
      </c>
      <c r="V803" s="11" t="s">
        <v>261</v>
      </c>
      <c r="W803" s="5" t="s">
        <v>334</v>
      </c>
      <c r="X803" s="5" t="s">
        <v>242</v>
      </c>
      <c r="Y803" s="5"/>
      <c r="Z803" s="5"/>
      <c r="AA803" s="11" t="s">
        <v>150</v>
      </c>
      <c r="AB803" s="5" t="s">
        <v>245</v>
      </c>
      <c r="AC803" s="5"/>
      <c r="AD803" s="11" t="s">
        <v>2127</v>
      </c>
      <c r="AE803" s="23" t="n">
        <v>0.95</v>
      </c>
      <c r="AF803" s="23" t="n">
        <v>0</v>
      </c>
      <c r="AG803" s="23" t="n">
        <v>0.33</v>
      </c>
      <c r="AH803" s="23" t="n">
        <v>1</v>
      </c>
      <c r="AI803" s="23" t="n">
        <v>1</v>
      </c>
      <c r="AJ803" s="23" t="n">
        <v>0.5364</v>
      </c>
      <c r="AK803" s="23" t="n">
        <v>0.5</v>
      </c>
      <c r="AL803" s="23" t="n">
        <v>0</v>
      </c>
      <c r="AM803" s="16" t="n">
        <f aca="false">COUNTIFS($D$2:$D$2501,D803,$G$2:$G$2501,"&gt;"&amp;G803)+COUNTIFS($D$2:D803,D803,$G$2:G803,G803)</f>
        <v>148</v>
      </c>
      <c r="AN803" s="5" t="str">
        <f aca="false">D803&amp;"|"&amp;AM803</f>
        <v>實體擷取與去識別化|148</v>
      </c>
    </row>
    <row r="804" customFormat="false" ht="17.15" hidden="false" customHeight="false" outlineLevel="0" collapsed="false">
      <c r="A804" s="16" t="n">
        <f aca="false">RANK(G804,$G$2:$G$2501)+COUNTIF($G$2:G804,G804)-1</f>
        <v>803</v>
      </c>
      <c r="B804" s="11" t="s">
        <v>2128</v>
      </c>
      <c r="C804" s="11" t="s">
        <v>989</v>
      </c>
      <c r="D804" s="5" t="s">
        <v>56</v>
      </c>
      <c r="E804" s="5" t="s">
        <v>57</v>
      </c>
      <c r="F804" s="5"/>
      <c r="G804" s="22" t="n">
        <f aca="false">ROUND(SUM(I804:P804),3)</f>
        <v>66.314</v>
      </c>
      <c r="H804" s="5" t="str">
        <f aca="false">IF(G804&gt;=評分方法!$C$16,"優先評估",IF(G804&gt;=評分方法!$C$17,"列入候選",IF(G804&gt;=評分方法!$C$18,"特定情境","不建議")))</f>
        <v>特定情境</v>
      </c>
      <c r="I804" s="15" t="n">
        <f aca="false">AE804*評分方法!$C$5</f>
        <v>25.5</v>
      </c>
      <c r="J804" s="15" t="n">
        <f aca="false">AF804*評分方法!$C$6</f>
        <v>0</v>
      </c>
      <c r="K804" s="15" t="n">
        <f aca="false">AG804*評分方法!$C$7</f>
        <v>10.05</v>
      </c>
      <c r="L804" s="15" t="n">
        <f aca="false">AH804*評分方法!$C$8</f>
        <v>9</v>
      </c>
      <c r="M804" s="15" t="n">
        <f aca="false">AI804*評分方法!$C$9</f>
        <v>10</v>
      </c>
      <c r="N804" s="15" t="n">
        <f aca="false">AJ804*評分方法!$C$10</f>
        <v>3.764</v>
      </c>
      <c r="O804" s="15" t="n">
        <f aca="false">AK804*評分方法!$C$11</f>
        <v>5</v>
      </c>
      <c r="P804" s="15" t="n">
        <f aca="false">AL804*評分方法!$C$12</f>
        <v>3</v>
      </c>
      <c r="Q804" s="6" t="n">
        <v>386052</v>
      </c>
      <c r="R804" s="6" t="n">
        <v>30697345596</v>
      </c>
      <c r="S804" s="11" t="s">
        <v>389</v>
      </c>
      <c r="T804" s="11" t="s">
        <v>239</v>
      </c>
      <c r="U804" s="5" t="s">
        <v>240</v>
      </c>
      <c r="V804" s="11" t="s">
        <v>333</v>
      </c>
      <c r="W804" s="5" t="s">
        <v>207</v>
      </c>
      <c r="X804" s="5" t="s">
        <v>371</v>
      </c>
      <c r="Y804" s="11" t="s">
        <v>583</v>
      </c>
      <c r="Z804" s="11" t="s">
        <v>244</v>
      </c>
      <c r="AA804" s="11" t="s">
        <v>156</v>
      </c>
      <c r="AB804" s="5" t="s">
        <v>245</v>
      </c>
      <c r="AC804" s="5" t="s">
        <v>246</v>
      </c>
      <c r="AD804" s="11" t="s">
        <v>2129</v>
      </c>
      <c r="AE804" s="23" t="n">
        <v>0.85</v>
      </c>
      <c r="AF804" s="23" t="n">
        <v>0</v>
      </c>
      <c r="AG804" s="23" t="n">
        <v>0.67</v>
      </c>
      <c r="AH804" s="23" t="n">
        <v>0.6</v>
      </c>
      <c r="AI804" s="23" t="n">
        <v>1</v>
      </c>
      <c r="AJ804" s="23" t="n">
        <v>0.3764</v>
      </c>
      <c r="AK804" s="23" t="n">
        <v>1</v>
      </c>
      <c r="AL804" s="23" t="n">
        <v>0.6</v>
      </c>
      <c r="AM804" s="16" t="n">
        <f aca="false">COUNTIFS($D$2:$D$2501,D804,$G$2:$G$2501,"&gt;"&amp;G804)+COUNTIFS($D$2:D804,D804,$G$2:G804,G804)</f>
        <v>395</v>
      </c>
      <c r="AN804" s="5" t="str">
        <f aca="false">D804&amp;"|"&amp;AM804</f>
        <v>分析與報告生成|395</v>
      </c>
    </row>
    <row r="805" customFormat="false" ht="17.15" hidden="false" customHeight="false" outlineLevel="0" collapsed="false">
      <c r="A805" s="16" t="n">
        <f aca="false">RANK(G805,$G$2:$G$2501)+COUNTIF($G$2:G805,G805)-1</f>
        <v>804</v>
      </c>
      <c r="B805" s="11" t="s">
        <v>2130</v>
      </c>
      <c r="C805" s="11" t="s">
        <v>1850</v>
      </c>
      <c r="D805" s="5" t="s">
        <v>70</v>
      </c>
      <c r="E805" s="5" t="s">
        <v>71</v>
      </c>
      <c r="F805" s="5" t="s">
        <v>70</v>
      </c>
      <c r="G805" s="22" t="n">
        <f aca="false">ROUND(SUM(I805:P805),3)</f>
        <v>66.31</v>
      </c>
      <c r="H805" s="5" t="str">
        <f aca="false">IF(G805&gt;=評分方法!$C$16,"優先評估",IF(G805&gt;=評分方法!$C$17,"列入候選",IF(G805&gt;=評分方法!$C$18,"特定情境","不建議")))</f>
        <v>特定情境</v>
      </c>
      <c r="I805" s="15" t="n">
        <f aca="false">AE805*評分方法!$C$5</f>
        <v>25.5</v>
      </c>
      <c r="J805" s="15" t="n">
        <f aca="false">AF805*評分方法!$C$6</f>
        <v>5</v>
      </c>
      <c r="K805" s="15" t="n">
        <f aca="false">AG805*評分方法!$C$7</f>
        <v>10.05</v>
      </c>
      <c r="L805" s="15" t="n">
        <f aca="false">AH805*評分方法!$C$8</f>
        <v>15</v>
      </c>
      <c r="M805" s="15" t="n">
        <f aca="false">AI805*評分方法!$C$9</f>
        <v>2</v>
      </c>
      <c r="N805" s="15" t="n">
        <f aca="false">AJ805*評分方法!$C$10</f>
        <v>0.76</v>
      </c>
      <c r="O805" s="15" t="n">
        <f aca="false">AK805*評分方法!$C$11</f>
        <v>5</v>
      </c>
      <c r="P805" s="15" t="n">
        <f aca="false">AL805*評分方法!$C$12</f>
        <v>3</v>
      </c>
      <c r="Q805" s="6" t="n">
        <v>145424</v>
      </c>
      <c r="R805" s="6" t="n">
        <v>85800194</v>
      </c>
      <c r="S805" s="11" t="s">
        <v>238</v>
      </c>
      <c r="T805" s="5"/>
      <c r="U805" s="5" t="s">
        <v>375</v>
      </c>
      <c r="V805" s="11" t="s">
        <v>383</v>
      </c>
      <c r="W805" s="5" t="s">
        <v>207</v>
      </c>
      <c r="X805" s="5" t="s">
        <v>371</v>
      </c>
      <c r="Y805" s="5"/>
      <c r="Z805" s="5"/>
      <c r="AA805" s="11" t="s">
        <v>155</v>
      </c>
      <c r="AB805" s="5" t="s">
        <v>961</v>
      </c>
      <c r="AC805" s="5" t="s">
        <v>1977</v>
      </c>
      <c r="AD805" s="11" t="s">
        <v>2131</v>
      </c>
      <c r="AE805" s="23" t="n">
        <v>0.85</v>
      </c>
      <c r="AF805" s="23" t="n">
        <v>0.5</v>
      </c>
      <c r="AG805" s="23" t="n">
        <v>0.67</v>
      </c>
      <c r="AH805" s="23" t="n">
        <v>1</v>
      </c>
      <c r="AI805" s="23" t="n">
        <v>0.2</v>
      </c>
      <c r="AJ805" s="23" t="n">
        <v>0.076</v>
      </c>
      <c r="AK805" s="23" t="n">
        <v>1</v>
      </c>
      <c r="AL805" s="23" t="n">
        <v>0.6</v>
      </c>
      <c r="AM805" s="16" t="n">
        <f aca="false">COUNTIFS($D$2:$D$2501,D805,$G$2:$G$2501,"&gt;"&amp;G805)+COUNTIFS($D$2:D805,D805,$G$2:G805,G805)</f>
        <v>7</v>
      </c>
      <c r="AN805" s="5" t="str">
        <f aca="false">D805&amp;"|"&amp;AM805</f>
        <v>內容安全審查|7</v>
      </c>
    </row>
    <row r="806" customFormat="false" ht="17.15" hidden="false" customHeight="false" outlineLevel="0" collapsed="false">
      <c r="A806" s="16" t="n">
        <f aca="false">RANK(G806,$G$2:$G$2501)+COUNTIF($G$2:G806,G806)-1</f>
        <v>805</v>
      </c>
      <c r="B806" s="11" t="s">
        <v>2132</v>
      </c>
      <c r="C806" s="11" t="s">
        <v>402</v>
      </c>
      <c r="D806" s="5" t="s">
        <v>58</v>
      </c>
      <c r="E806" s="5" t="s">
        <v>59</v>
      </c>
      <c r="F806" s="5"/>
      <c r="G806" s="22" t="n">
        <f aca="false">ROUND(SUM(I806:P806),3)</f>
        <v>66.302</v>
      </c>
      <c r="H806" s="5" t="str">
        <f aca="false">IF(G806&gt;=評分方法!$C$16,"優先評估",IF(G806&gt;=評分方法!$C$17,"列入候選",IF(G806&gt;=評分方法!$C$18,"特定情境","不建議")))</f>
        <v>特定情境</v>
      </c>
      <c r="I806" s="15" t="n">
        <f aca="false">AE806*評分方法!$C$5</f>
        <v>28.5</v>
      </c>
      <c r="J806" s="15" t="n">
        <f aca="false">AF806*評分方法!$C$6</f>
        <v>0</v>
      </c>
      <c r="K806" s="15" t="n">
        <f aca="false">AG806*評分方法!$C$7</f>
        <v>4.95</v>
      </c>
      <c r="L806" s="15" t="n">
        <f aca="false">AH806*評分方法!$C$8</f>
        <v>15</v>
      </c>
      <c r="M806" s="15" t="n">
        <f aca="false">AI806*評分方法!$C$9</f>
        <v>10</v>
      </c>
      <c r="N806" s="15" t="n">
        <f aca="false">AJ806*評分方法!$C$10</f>
        <v>5.352</v>
      </c>
      <c r="O806" s="15" t="n">
        <f aca="false">AK806*評分方法!$C$11</f>
        <v>2.5</v>
      </c>
      <c r="P806" s="15" t="n">
        <f aca="false">AL806*評分方法!$C$12</f>
        <v>0</v>
      </c>
      <c r="Q806" s="6" t="n">
        <v>563956</v>
      </c>
      <c r="R806" s="6" t="n">
        <v>124057347</v>
      </c>
      <c r="S806" s="11" t="s">
        <v>238</v>
      </c>
      <c r="T806" s="11" t="s">
        <v>239</v>
      </c>
      <c r="U806" s="5" t="s">
        <v>240</v>
      </c>
      <c r="V806" s="11" t="s">
        <v>261</v>
      </c>
      <c r="W806" s="5" t="s">
        <v>334</v>
      </c>
      <c r="X806" s="5" t="s">
        <v>242</v>
      </c>
      <c r="Y806" s="5"/>
      <c r="Z806" s="5"/>
      <c r="AA806" s="11" t="s">
        <v>150</v>
      </c>
      <c r="AB806" s="5" t="s">
        <v>245</v>
      </c>
      <c r="AC806" s="5"/>
      <c r="AD806" s="11" t="s">
        <v>2133</v>
      </c>
      <c r="AE806" s="23" t="n">
        <v>0.95</v>
      </c>
      <c r="AF806" s="23" t="n">
        <v>0</v>
      </c>
      <c r="AG806" s="23" t="n">
        <v>0.33</v>
      </c>
      <c r="AH806" s="23" t="n">
        <v>1</v>
      </c>
      <c r="AI806" s="23" t="n">
        <v>1</v>
      </c>
      <c r="AJ806" s="23" t="n">
        <v>0.5352</v>
      </c>
      <c r="AK806" s="23" t="n">
        <v>0.5</v>
      </c>
      <c r="AL806" s="23" t="n">
        <v>0</v>
      </c>
      <c r="AM806" s="16" t="n">
        <f aca="false">COUNTIFS($D$2:$D$2501,D806,$G$2:$G$2501,"&gt;"&amp;G806)+COUNTIFS($D$2:D806,D806,$G$2:G806,G806)</f>
        <v>149</v>
      </c>
      <c r="AN806" s="5" t="str">
        <f aca="false">D806&amp;"|"&amp;AM806</f>
        <v>實體擷取與去識別化|149</v>
      </c>
    </row>
    <row r="807" customFormat="false" ht="17.15" hidden="false" customHeight="false" outlineLevel="0" collapsed="false">
      <c r="A807" s="16" t="n">
        <f aca="false">RANK(G807,$G$2:$G$2501)+COUNTIF($G$2:G807,G807)-1</f>
        <v>806</v>
      </c>
      <c r="B807" s="11" t="s">
        <v>2134</v>
      </c>
      <c r="C807" s="11" t="s">
        <v>402</v>
      </c>
      <c r="D807" s="5" t="s">
        <v>58</v>
      </c>
      <c r="E807" s="5" t="s">
        <v>59</v>
      </c>
      <c r="F807" s="5"/>
      <c r="G807" s="22" t="n">
        <f aca="false">ROUND(SUM(I807:P807),3)</f>
        <v>66.298</v>
      </c>
      <c r="H807" s="5" t="str">
        <f aca="false">IF(G807&gt;=評分方法!$C$16,"優先評估",IF(G807&gt;=評分方法!$C$17,"列入候選",IF(G807&gt;=評分方法!$C$18,"特定情境","不建議")))</f>
        <v>特定情境</v>
      </c>
      <c r="I807" s="15" t="n">
        <f aca="false">AE807*評分方法!$C$5</f>
        <v>28.5</v>
      </c>
      <c r="J807" s="15" t="n">
        <f aca="false">AF807*評分方法!$C$6</f>
        <v>0</v>
      </c>
      <c r="K807" s="15" t="n">
        <f aca="false">AG807*評分方法!$C$7</f>
        <v>4.95</v>
      </c>
      <c r="L807" s="15" t="n">
        <f aca="false">AH807*評分方法!$C$8</f>
        <v>15</v>
      </c>
      <c r="M807" s="15" t="n">
        <f aca="false">AI807*評分方法!$C$9</f>
        <v>10</v>
      </c>
      <c r="N807" s="15" t="n">
        <f aca="false">AJ807*評分方法!$C$10</f>
        <v>5.348</v>
      </c>
      <c r="O807" s="15" t="n">
        <f aca="false">AK807*評分方法!$C$11</f>
        <v>2.5</v>
      </c>
      <c r="P807" s="15" t="n">
        <f aca="false">AL807*評分方法!$C$12</f>
        <v>0</v>
      </c>
      <c r="Q807" s="6" t="n">
        <v>563453</v>
      </c>
      <c r="R807" s="6" t="n">
        <v>558843907</v>
      </c>
      <c r="S807" s="11" t="s">
        <v>238</v>
      </c>
      <c r="T807" s="11" t="s">
        <v>239</v>
      </c>
      <c r="U807" s="5" t="s">
        <v>240</v>
      </c>
      <c r="V807" s="11" t="s">
        <v>261</v>
      </c>
      <c r="W807" s="5" t="s">
        <v>334</v>
      </c>
      <c r="X807" s="5" t="s">
        <v>242</v>
      </c>
      <c r="Y807" s="5"/>
      <c r="Z807" s="5"/>
      <c r="AA807" s="11" t="s">
        <v>150</v>
      </c>
      <c r="AB807" s="5" t="s">
        <v>245</v>
      </c>
      <c r="AC807" s="5"/>
      <c r="AD807" s="11" t="s">
        <v>2135</v>
      </c>
      <c r="AE807" s="23" t="n">
        <v>0.95</v>
      </c>
      <c r="AF807" s="23" t="n">
        <v>0</v>
      </c>
      <c r="AG807" s="23" t="n">
        <v>0.33</v>
      </c>
      <c r="AH807" s="23" t="n">
        <v>1</v>
      </c>
      <c r="AI807" s="23" t="n">
        <v>1</v>
      </c>
      <c r="AJ807" s="23" t="n">
        <v>0.5348</v>
      </c>
      <c r="AK807" s="23" t="n">
        <v>0.5</v>
      </c>
      <c r="AL807" s="23" t="n">
        <v>0</v>
      </c>
      <c r="AM807" s="16" t="n">
        <f aca="false">COUNTIFS($D$2:$D$2501,D807,$G$2:$G$2501,"&gt;"&amp;G807)+COUNTIFS($D$2:D807,D807,$G$2:G807,G807)</f>
        <v>150</v>
      </c>
      <c r="AN807" s="5" t="str">
        <f aca="false">D807&amp;"|"&amp;AM807</f>
        <v>實體擷取與去識別化|150</v>
      </c>
    </row>
    <row r="808" customFormat="false" ht="17.15" hidden="false" customHeight="false" outlineLevel="0" collapsed="false">
      <c r="A808" s="16" t="n">
        <f aca="false">RANK(G808,$G$2:$G$2501)+COUNTIF($G$2:G808,G808)-1</f>
        <v>807</v>
      </c>
      <c r="B808" s="11" t="s">
        <v>2136</v>
      </c>
      <c r="C808" s="11" t="s">
        <v>2137</v>
      </c>
      <c r="D808" s="5" t="s">
        <v>66</v>
      </c>
      <c r="E808" s="5" t="s">
        <v>67</v>
      </c>
      <c r="F808" s="5"/>
      <c r="G808" s="22" t="n">
        <f aca="false">ROUND(SUM(I808:P808),3)</f>
        <v>66.296</v>
      </c>
      <c r="H808" s="5" t="str">
        <f aca="false">IF(G808&gt;=評分方法!$C$16,"優先評估",IF(G808&gt;=評分方法!$C$17,"列入候選",IF(G808&gt;=評分方法!$C$18,"特定情境","不建議")))</f>
        <v>特定情境</v>
      </c>
      <c r="I808" s="15" t="n">
        <f aca="false">AE808*評分方法!$C$5</f>
        <v>30</v>
      </c>
      <c r="J808" s="15" t="n">
        <f aca="false">AF808*評分方法!$C$6</f>
        <v>0</v>
      </c>
      <c r="K808" s="15" t="n">
        <f aca="false">AG808*評分方法!$C$7</f>
        <v>4.95</v>
      </c>
      <c r="L808" s="15" t="n">
        <f aca="false">AH808*評分方法!$C$8</f>
        <v>13.05</v>
      </c>
      <c r="M808" s="15" t="n">
        <f aca="false">AI808*評分方法!$C$9</f>
        <v>10</v>
      </c>
      <c r="N808" s="15" t="n">
        <f aca="false">AJ808*評分方法!$C$10</f>
        <v>1.796</v>
      </c>
      <c r="O808" s="15" t="n">
        <f aca="false">AK808*評分方法!$C$11</f>
        <v>5</v>
      </c>
      <c r="P808" s="15" t="n">
        <f aca="false">AL808*評分方法!$C$12</f>
        <v>1.5</v>
      </c>
      <c r="Q808" s="6" t="n">
        <v>196004</v>
      </c>
      <c r="R808" s="6" t="n">
        <v>4205751296</v>
      </c>
      <c r="S808" s="11" t="s">
        <v>254</v>
      </c>
      <c r="T808" s="11" t="s">
        <v>239</v>
      </c>
      <c r="U808" s="5" t="s">
        <v>240</v>
      </c>
      <c r="V808" s="11" t="s">
        <v>333</v>
      </c>
      <c r="W808" s="5" t="s">
        <v>334</v>
      </c>
      <c r="X808" s="5" t="s">
        <v>255</v>
      </c>
      <c r="Y808" s="11" t="s">
        <v>2138</v>
      </c>
      <c r="Z808" s="11" t="s">
        <v>244</v>
      </c>
      <c r="AA808" s="11" t="s">
        <v>149</v>
      </c>
      <c r="AB808" s="5" t="s">
        <v>245</v>
      </c>
      <c r="AC808" s="5" t="s">
        <v>246</v>
      </c>
      <c r="AD808" s="11" t="s">
        <v>2139</v>
      </c>
      <c r="AE808" s="23" t="n">
        <v>1</v>
      </c>
      <c r="AF808" s="23" t="n">
        <v>0</v>
      </c>
      <c r="AG808" s="23" t="n">
        <v>0.33</v>
      </c>
      <c r="AH808" s="23" t="n">
        <v>0.87</v>
      </c>
      <c r="AI808" s="23" t="n">
        <v>1</v>
      </c>
      <c r="AJ808" s="23" t="n">
        <v>0.1796</v>
      </c>
      <c r="AK808" s="23" t="n">
        <v>1</v>
      </c>
      <c r="AL808" s="23" t="n">
        <v>0.3</v>
      </c>
      <c r="AM808" s="16" t="n">
        <f aca="false">COUNTIFS($D$2:$D$2501,D808,$G$2:$G$2501,"&gt;"&amp;G808)+COUNTIFS($D$2:D808,D808,$G$2:G808,G808)</f>
        <v>24</v>
      </c>
      <c r="AN808" s="5" t="str">
        <f aca="false">D808&amp;"|"&amp;AM808</f>
        <v>分類與偵測|24</v>
      </c>
    </row>
    <row r="809" customFormat="false" ht="17.15" hidden="false" customHeight="false" outlineLevel="0" collapsed="false">
      <c r="A809" s="16" t="n">
        <f aca="false">RANK(G809,$G$2:$G$2501)+COUNTIF($G$2:G809,G809)-1</f>
        <v>808</v>
      </c>
      <c r="B809" s="11" t="s">
        <v>2140</v>
      </c>
      <c r="C809" s="11" t="s">
        <v>402</v>
      </c>
      <c r="D809" s="5" t="s">
        <v>58</v>
      </c>
      <c r="E809" s="5" t="s">
        <v>59</v>
      </c>
      <c r="F809" s="5"/>
      <c r="G809" s="22" t="n">
        <f aca="false">ROUND(SUM(I809:P809),3)</f>
        <v>66.29</v>
      </c>
      <c r="H809" s="5" t="str">
        <f aca="false">IF(G809&gt;=評分方法!$C$16,"優先評估",IF(G809&gt;=評分方法!$C$17,"列入候選",IF(G809&gt;=評分方法!$C$18,"特定情境","不建議")))</f>
        <v>特定情境</v>
      </c>
      <c r="I809" s="15" t="n">
        <f aca="false">AE809*評分方法!$C$5</f>
        <v>28.5</v>
      </c>
      <c r="J809" s="15" t="n">
        <f aca="false">AF809*評分方法!$C$6</f>
        <v>0</v>
      </c>
      <c r="K809" s="15" t="n">
        <f aca="false">AG809*評分方法!$C$7</f>
        <v>4.95</v>
      </c>
      <c r="L809" s="15" t="n">
        <f aca="false">AH809*評分方法!$C$8</f>
        <v>15</v>
      </c>
      <c r="M809" s="15" t="n">
        <f aca="false">AI809*評分方法!$C$9</f>
        <v>10</v>
      </c>
      <c r="N809" s="15" t="n">
        <f aca="false">AJ809*評分方法!$C$10</f>
        <v>5.34</v>
      </c>
      <c r="O809" s="15" t="n">
        <f aca="false">AK809*評分方法!$C$11</f>
        <v>2.5</v>
      </c>
      <c r="P809" s="15" t="n">
        <f aca="false">AL809*評分方法!$C$12</f>
        <v>0</v>
      </c>
      <c r="Q809" s="6" t="n">
        <v>561711</v>
      </c>
      <c r="R809" s="6" t="n">
        <v>183833859</v>
      </c>
      <c r="S809" s="11" t="s">
        <v>238</v>
      </c>
      <c r="T809" s="11" t="s">
        <v>239</v>
      </c>
      <c r="U809" s="5" t="s">
        <v>240</v>
      </c>
      <c r="V809" s="11" t="s">
        <v>261</v>
      </c>
      <c r="W809" s="5" t="s">
        <v>334</v>
      </c>
      <c r="X809" s="5" t="s">
        <v>242</v>
      </c>
      <c r="Y809" s="5"/>
      <c r="Z809" s="5"/>
      <c r="AA809" s="11" t="s">
        <v>150</v>
      </c>
      <c r="AB809" s="5" t="s">
        <v>245</v>
      </c>
      <c r="AC809" s="5"/>
      <c r="AD809" s="11" t="s">
        <v>2141</v>
      </c>
      <c r="AE809" s="23" t="n">
        <v>0.95</v>
      </c>
      <c r="AF809" s="23" t="n">
        <v>0</v>
      </c>
      <c r="AG809" s="23" t="n">
        <v>0.33</v>
      </c>
      <c r="AH809" s="23" t="n">
        <v>1</v>
      </c>
      <c r="AI809" s="23" t="n">
        <v>1</v>
      </c>
      <c r="AJ809" s="23" t="n">
        <v>0.534</v>
      </c>
      <c r="AK809" s="23" t="n">
        <v>0.5</v>
      </c>
      <c r="AL809" s="23" t="n">
        <v>0</v>
      </c>
      <c r="AM809" s="16" t="n">
        <f aca="false">COUNTIFS($D$2:$D$2501,D809,$G$2:$G$2501,"&gt;"&amp;G809)+COUNTIFS($D$2:D809,D809,$G$2:G809,G809)</f>
        <v>151</v>
      </c>
      <c r="AN809" s="5" t="str">
        <f aca="false">D809&amp;"|"&amp;AM809</f>
        <v>實體擷取與去識別化|151</v>
      </c>
    </row>
    <row r="810" customFormat="false" ht="17.15" hidden="false" customHeight="false" outlineLevel="0" collapsed="false">
      <c r="A810" s="16" t="n">
        <f aca="false">RANK(G810,$G$2:$G$2501)+COUNTIF($G$2:G810,G810)-1</f>
        <v>809</v>
      </c>
      <c r="B810" s="11" t="s">
        <v>2142</v>
      </c>
      <c r="C810" s="11" t="s">
        <v>839</v>
      </c>
      <c r="D810" s="5" t="s">
        <v>74</v>
      </c>
      <c r="E810" s="5" t="s">
        <v>75</v>
      </c>
      <c r="F810" s="5"/>
      <c r="G810" s="22" t="n">
        <f aca="false">ROUND(SUM(I810:P810),3)</f>
        <v>66.288</v>
      </c>
      <c r="H810" s="5" t="str">
        <f aca="false">IF(G810&gt;=評分方法!$C$16,"優先評估",IF(G810&gt;=評分方法!$C$17,"列入候選",IF(G810&gt;=評分方法!$C$18,"特定情境","不建議")))</f>
        <v>特定情境</v>
      </c>
      <c r="I810" s="15" t="n">
        <f aca="false">AE810*評分方法!$C$5</f>
        <v>13.5</v>
      </c>
      <c r="J810" s="15" t="n">
        <f aca="false">AF810*評分方法!$C$6</f>
        <v>0</v>
      </c>
      <c r="K810" s="15" t="n">
        <f aca="false">AG810*評分方法!$C$7</f>
        <v>15</v>
      </c>
      <c r="L810" s="15" t="n">
        <f aca="false">AH810*評分方法!$C$8</f>
        <v>15</v>
      </c>
      <c r="M810" s="15" t="n">
        <f aca="false">AI810*評分方法!$C$9</f>
        <v>10</v>
      </c>
      <c r="N810" s="15" t="n">
        <f aca="false">AJ810*評分方法!$C$10</f>
        <v>8.788</v>
      </c>
      <c r="O810" s="15" t="n">
        <f aca="false">AK810*評分方法!$C$11</f>
        <v>2.5</v>
      </c>
      <c r="P810" s="15" t="n">
        <f aca="false">AL810*評分方法!$C$12</f>
        <v>1.5</v>
      </c>
      <c r="Q810" s="6" t="n">
        <v>3034341</v>
      </c>
      <c r="R810" s="6" t="n">
        <v>384673596</v>
      </c>
      <c r="S810" s="11" t="s">
        <v>238</v>
      </c>
      <c r="T810" s="11" t="s">
        <v>2029</v>
      </c>
      <c r="U810" s="5" t="s">
        <v>240</v>
      </c>
      <c r="V810" s="11" t="s">
        <v>855</v>
      </c>
      <c r="W810" s="5" t="s">
        <v>205</v>
      </c>
      <c r="X810" s="5" t="s">
        <v>255</v>
      </c>
      <c r="Y810" s="5"/>
      <c r="Z810" s="5"/>
      <c r="AA810" s="11" t="s">
        <v>165</v>
      </c>
      <c r="AB810" s="5" t="s">
        <v>245</v>
      </c>
      <c r="AC810" s="5"/>
      <c r="AD810" s="11" t="s">
        <v>2143</v>
      </c>
      <c r="AE810" s="23" t="n">
        <v>0.45</v>
      </c>
      <c r="AF810" s="23" t="n">
        <v>0</v>
      </c>
      <c r="AG810" s="23" t="n">
        <v>1</v>
      </c>
      <c r="AH810" s="23" t="n">
        <v>1</v>
      </c>
      <c r="AI810" s="23" t="n">
        <v>1</v>
      </c>
      <c r="AJ810" s="23" t="n">
        <v>0.8788</v>
      </c>
      <c r="AK810" s="23" t="n">
        <v>0.5</v>
      </c>
      <c r="AL810" s="23" t="n">
        <v>0.3</v>
      </c>
      <c r="AM810" s="16" t="n">
        <f aca="false">COUNTIFS($D$2:$D$2501,D810,$G$2:$G$2501,"&gt;"&amp;G810)+COUNTIFS($D$2:D810,D810,$G$2:G810,G810)</f>
        <v>4</v>
      </c>
      <c r="AN810" s="5" t="str">
        <f aca="false">D810&amp;"|"&amp;AM810</f>
        <v>文件與影像辨識|4</v>
      </c>
    </row>
    <row r="811" customFormat="false" ht="17.15" hidden="false" customHeight="false" outlineLevel="0" collapsed="false">
      <c r="A811" s="16" t="n">
        <f aca="false">RANK(G811,$G$2:$G$2501)+COUNTIF($G$2:G811,G811)-1</f>
        <v>810</v>
      </c>
      <c r="B811" s="11" t="s">
        <v>2144</v>
      </c>
      <c r="C811" s="11" t="s">
        <v>402</v>
      </c>
      <c r="D811" s="5" t="s">
        <v>58</v>
      </c>
      <c r="E811" s="5" t="s">
        <v>59</v>
      </c>
      <c r="F811" s="5"/>
      <c r="G811" s="22" t="n">
        <f aca="false">ROUND(SUM(I811:P811),3)</f>
        <v>66.282</v>
      </c>
      <c r="H811" s="5" t="str">
        <f aca="false">IF(G811&gt;=評分方法!$C$16,"優先評估",IF(G811&gt;=評分方法!$C$17,"列入候選",IF(G811&gt;=評分方法!$C$18,"特定情境","不建議")))</f>
        <v>特定情境</v>
      </c>
      <c r="I811" s="15" t="n">
        <f aca="false">AE811*評分方法!$C$5</f>
        <v>28.5</v>
      </c>
      <c r="J811" s="15" t="n">
        <f aca="false">AF811*評分方法!$C$6</f>
        <v>0</v>
      </c>
      <c r="K811" s="15" t="n">
        <f aca="false">AG811*評分方法!$C$7</f>
        <v>4.95</v>
      </c>
      <c r="L811" s="15" t="n">
        <f aca="false">AH811*評分方法!$C$8</f>
        <v>15</v>
      </c>
      <c r="M811" s="15" t="n">
        <f aca="false">AI811*評分方法!$C$9</f>
        <v>10</v>
      </c>
      <c r="N811" s="15" t="n">
        <f aca="false">AJ811*評分方法!$C$10</f>
        <v>5.332</v>
      </c>
      <c r="O811" s="15" t="n">
        <f aca="false">AK811*評分方法!$C$11</f>
        <v>2.5</v>
      </c>
      <c r="P811" s="15" t="n">
        <f aca="false">AL811*評分方法!$C$12</f>
        <v>0</v>
      </c>
      <c r="Q811" s="6" t="n">
        <v>561364</v>
      </c>
      <c r="R811" s="6" t="n">
        <v>566708227</v>
      </c>
      <c r="S811" s="11" t="s">
        <v>238</v>
      </c>
      <c r="T811" s="11" t="s">
        <v>239</v>
      </c>
      <c r="U811" s="5" t="s">
        <v>240</v>
      </c>
      <c r="V811" s="11" t="s">
        <v>261</v>
      </c>
      <c r="W811" s="5" t="s">
        <v>334</v>
      </c>
      <c r="X811" s="5" t="s">
        <v>242</v>
      </c>
      <c r="Y811" s="5"/>
      <c r="Z811" s="5"/>
      <c r="AA811" s="11" t="s">
        <v>150</v>
      </c>
      <c r="AB811" s="5" t="s">
        <v>245</v>
      </c>
      <c r="AC811" s="5"/>
      <c r="AD811" s="11" t="s">
        <v>2145</v>
      </c>
      <c r="AE811" s="23" t="n">
        <v>0.95</v>
      </c>
      <c r="AF811" s="23" t="n">
        <v>0</v>
      </c>
      <c r="AG811" s="23" t="n">
        <v>0.33</v>
      </c>
      <c r="AH811" s="23" t="n">
        <v>1</v>
      </c>
      <c r="AI811" s="23" t="n">
        <v>1</v>
      </c>
      <c r="AJ811" s="23" t="n">
        <v>0.5332</v>
      </c>
      <c r="AK811" s="23" t="n">
        <v>0.5</v>
      </c>
      <c r="AL811" s="23" t="n">
        <v>0</v>
      </c>
      <c r="AM811" s="16" t="n">
        <f aca="false">COUNTIFS($D$2:$D$2501,D811,$G$2:$G$2501,"&gt;"&amp;G811)+COUNTIFS($D$2:D811,D811,$G$2:G811,G811)</f>
        <v>152</v>
      </c>
      <c r="AN811" s="5" t="str">
        <f aca="false">D811&amp;"|"&amp;AM811</f>
        <v>實體擷取與去識別化|152</v>
      </c>
    </row>
    <row r="812" customFormat="false" ht="17.15" hidden="false" customHeight="false" outlineLevel="0" collapsed="false">
      <c r="A812" s="16" t="n">
        <f aca="false">RANK(G812,$G$2:$G$2501)+COUNTIF($G$2:G812,G812)-1</f>
        <v>811</v>
      </c>
      <c r="B812" s="11" t="s">
        <v>2146</v>
      </c>
      <c r="C812" s="11" t="s">
        <v>402</v>
      </c>
      <c r="D812" s="5" t="s">
        <v>58</v>
      </c>
      <c r="E812" s="5" t="s">
        <v>59</v>
      </c>
      <c r="F812" s="5"/>
      <c r="G812" s="22" t="n">
        <f aca="false">ROUND(SUM(I812:P812),3)</f>
        <v>66.278</v>
      </c>
      <c r="H812" s="5" t="str">
        <f aca="false">IF(G812&gt;=評分方法!$C$16,"優先評估",IF(G812&gt;=評分方法!$C$17,"列入候選",IF(G812&gt;=評分方法!$C$18,"特定情境","不建議")))</f>
        <v>特定情境</v>
      </c>
      <c r="I812" s="15" t="n">
        <f aca="false">AE812*評分方法!$C$5</f>
        <v>28.5</v>
      </c>
      <c r="J812" s="15" t="n">
        <f aca="false">AF812*評分方法!$C$6</f>
        <v>0</v>
      </c>
      <c r="K812" s="15" t="n">
        <f aca="false">AG812*評分方法!$C$7</f>
        <v>4.95</v>
      </c>
      <c r="L812" s="15" t="n">
        <f aca="false">AH812*評分方法!$C$8</f>
        <v>15</v>
      </c>
      <c r="M812" s="15" t="n">
        <f aca="false">AI812*評分方法!$C$9</f>
        <v>10</v>
      </c>
      <c r="N812" s="15" t="n">
        <f aca="false">AJ812*評分方法!$C$10</f>
        <v>5.328</v>
      </c>
      <c r="O812" s="15" t="n">
        <f aca="false">AK812*評分方法!$C$11</f>
        <v>2.5</v>
      </c>
      <c r="P812" s="15" t="n">
        <f aca="false">AL812*評分方法!$C$12</f>
        <v>0</v>
      </c>
      <c r="Q812" s="6" t="n">
        <v>560953</v>
      </c>
      <c r="R812" s="6" t="n">
        <v>566708227</v>
      </c>
      <c r="S812" s="11" t="s">
        <v>238</v>
      </c>
      <c r="T812" s="11" t="s">
        <v>239</v>
      </c>
      <c r="U812" s="5" t="s">
        <v>240</v>
      </c>
      <c r="V812" s="11" t="s">
        <v>261</v>
      </c>
      <c r="W812" s="5" t="s">
        <v>334</v>
      </c>
      <c r="X812" s="5" t="s">
        <v>242</v>
      </c>
      <c r="Y812" s="5"/>
      <c r="Z812" s="5"/>
      <c r="AA812" s="11" t="s">
        <v>150</v>
      </c>
      <c r="AB812" s="5" t="s">
        <v>245</v>
      </c>
      <c r="AC812" s="5"/>
      <c r="AD812" s="11" t="s">
        <v>2147</v>
      </c>
      <c r="AE812" s="23" t="n">
        <v>0.95</v>
      </c>
      <c r="AF812" s="23" t="n">
        <v>0</v>
      </c>
      <c r="AG812" s="23" t="n">
        <v>0.33</v>
      </c>
      <c r="AH812" s="23" t="n">
        <v>1</v>
      </c>
      <c r="AI812" s="23" t="n">
        <v>1</v>
      </c>
      <c r="AJ812" s="23" t="n">
        <v>0.5328</v>
      </c>
      <c r="AK812" s="23" t="n">
        <v>0.5</v>
      </c>
      <c r="AL812" s="23" t="n">
        <v>0</v>
      </c>
      <c r="AM812" s="16" t="n">
        <f aca="false">COUNTIFS($D$2:$D$2501,D812,$G$2:$G$2501,"&gt;"&amp;G812)+COUNTIFS($D$2:D812,D812,$G$2:G812,G812)</f>
        <v>153</v>
      </c>
      <c r="AN812" s="5" t="str">
        <f aca="false">D812&amp;"|"&amp;AM812</f>
        <v>實體擷取與去識別化|153</v>
      </c>
    </row>
    <row r="813" customFormat="false" ht="17.15" hidden="false" customHeight="false" outlineLevel="0" collapsed="false">
      <c r="A813" s="16" t="n">
        <f aca="false">RANK(G813,$G$2:$G$2501)+COUNTIF($G$2:G813,G813)-1</f>
        <v>812</v>
      </c>
      <c r="B813" s="11" t="s">
        <v>2148</v>
      </c>
      <c r="C813" s="11" t="s">
        <v>402</v>
      </c>
      <c r="D813" s="5" t="s">
        <v>58</v>
      </c>
      <c r="E813" s="5" t="s">
        <v>59</v>
      </c>
      <c r="F813" s="5"/>
      <c r="G813" s="22" t="n">
        <f aca="false">ROUND(SUM(I813:P813),3)</f>
        <v>66.274</v>
      </c>
      <c r="H813" s="5" t="str">
        <f aca="false">IF(G813&gt;=評分方法!$C$16,"優先評估",IF(G813&gt;=評分方法!$C$17,"列入候選",IF(G813&gt;=評分方法!$C$18,"特定情境","不建議")))</f>
        <v>特定情境</v>
      </c>
      <c r="I813" s="15" t="n">
        <f aca="false">AE813*評分方法!$C$5</f>
        <v>28.5</v>
      </c>
      <c r="J813" s="15" t="n">
        <f aca="false">AF813*評分方法!$C$6</f>
        <v>0</v>
      </c>
      <c r="K813" s="15" t="n">
        <f aca="false">AG813*評分方法!$C$7</f>
        <v>4.95</v>
      </c>
      <c r="L813" s="15" t="n">
        <f aca="false">AH813*評分方法!$C$8</f>
        <v>15</v>
      </c>
      <c r="M813" s="15" t="n">
        <f aca="false">AI813*評分方法!$C$9</f>
        <v>10</v>
      </c>
      <c r="N813" s="15" t="n">
        <f aca="false">AJ813*評分方法!$C$10</f>
        <v>5.324</v>
      </c>
      <c r="O813" s="15" t="n">
        <f aca="false">AK813*評分方法!$C$11</f>
        <v>2.5</v>
      </c>
      <c r="P813" s="15" t="n">
        <f aca="false">AL813*評分方法!$C$12</f>
        <v>0</v>
      </c>
      <c r="Q813" s="6" t="n">
        <v>560457</v>
      </c>
      <c r="R813" s="6" t="n">
        <v>558843907</v>
      </c>
      <c r="S813" s="11" t="s">
        <v>238</v>
      </c>
      <c r="T813" s="11" t="s">
        <v>239</v>
      </c>
      <c r="U813" s="5" t="s">
        <v>240</v>
      </c>
      <c r="V813" s="11" t="s">
        <v>261</v>
      </c>
      <c r="W813" s="5" t="s">
        <v>334</v>
      </c>
      <c r="X813" s="5" t="s">
        <v>242</v>
      </c>
      <c r="Y813" s="5"/>
      <c r="Z813" s="5"/>
      <c r="AA813" s="11" t="s">
        <v>150</v>
      </c>
      <c r="AB813" s="5" t="s">
        <v>245</v>
      </c>
      <c r="AC813" s="5"/>
      <c r="AD813" s="11" t="s">
        <v>2149</v>
      </c>
      <c r="AE813" s="23" t="n">
        <v>0.95</v>
      </c>
      <c r="AF813" s="23" t="n">
        <v>0</v>
      </c>
      <c r="AG813" s="23" t="n">
        <v>0.33</v>
      </c>
      <c r="AH813" s="23" t="n">
        <v>1</v>
      </c>
      <c r="AI813" s="23" t="n">
        <v>1</v>
      </c>
      <c r="AJ813" s="23" t="n">
        <v>0.5324</v>
      </c>
      <c r="AK813" s="23" t="n">
        <v>0.5</v>
      </c>
      <c r="AL813" s="23" t="n">
        <v>0</v>
      </c>
      <c r="AM813" s="16" t="n">
        <f aca="false">COUNTIFS($D$2:$D$2501,D813,$G$2:$G$2501,"&gt;"&amp;G813)+COUNTIFS($D$2:D813,D813,$G$2:G813,G813)</f>
        <v>154</v>
      </c>
      <c r="AN813" s="5" t="str">
        <f aca="false">D813&amp;"|"&amp;AM813</f>
        <v>實體擷取與去識別化|154</v>
      </c>
    </row>
    <row r="814" customFormat="false" ht="17.15" hidden="false" customHeight="false" outlineLevel="0" collapsed="false">
      <c r="A814" s="16" t="n">
        <f aca="false">RANK(G814,$G$2:$G$2501)+COUNTIF($G$2:G814,G814)-1</f>
        <v>813</v>
      </c>
      <c r="B814" s="11" t="s">
        <v>2150</v>
      </c>
      <c r="C814" s="11" t="s">
        <v>1425</v>
      </c>
      <c r="D814" s="5" t="s">
        <v>54</v>
      </c>
      <c r="E814" s="5" t="s">
        <v>55</v>
      </c>
      <c r="F814" s="5"/>
      <c r="G814" s="22" t="n">
        <f aca="false">ROUND(SUM(I814:P814),3)</f>
        <v>66.274</v>
      </c>
      <c r="H814" s="5" t="str">
        <f aca="false">IF(G814&gt;=評分方法!$C$16,"優先評估",IF(G814&gt;=評分方法!$C$17,"列入候選",IF(G814&gt;=評分方法!$C$18,"特定情境","不建議")))</f>
        <v>特定情境</v>
      </c>
      <c r="I814" s="15" t="n">
        <f aca="false">AE814*評分方法!$C$5</f>
        <v>27</v>
      </c>
      <c r="J814" s="15" t="n">
        <f aca="false">AF814*評分方法!$C$6</f>
        <v>0</v>
      </c>
      <c r="K814" s="15" t="n">
        <f aca="false">AG814*評分方法!$C$7</f>
        <v>4.95</v>
      </c>
      <c r="L814" s="15" t="n">
        <f aca="false">AH814*評分方法!$C$8</f>
        <v>15</v>
      </c>
      <c r="M814" s="15" t="n">
        <f aca="false">AI814*評分方法!$C$9</f>
        <v>10</v>
      </c>
      <c r="N814" s="15" t="n">
        <f aca="false">AJ814*評分方法!$C$10</f>
        <v>3.324</v>
      </c>
      <c r="O814" s="15" t="n">
        <f aca="false">AK814*評分方法!$C$11</f>
        <v>1</v>
      </c>
      <c r="P814" s="15" t="n">
        <f aca="false">AL814*評分方法!$C$12</f>
        <v>5</v>
      </c>
      <c r="Q814" s="6" t="n">
        <v>329646</v>
      </c>
      <c r="R814" s="6" t="n">
        <v>107034752</v>
      </c>
      <c r="S814" s="11" t="s">
        <v>238</v>
      </c>
      <c r="T814" s="11" t="s">
        <v>239</v>
      </c>
      <c r="U814" s="5" t="s">
        <v>240</v>
      </c>
      <c r="V814" s="11" t="s">
        <v>279</v>
      </c>
      <c r="W814" s="5" t="s">
        <v>334</v>
      </c>
      <c r="X814" s="5" t="s">
        <v>284</v>
      </c>
      <c r="Y814" s="5"/>
      <c r="Z814" s="5"/>
      <c r="AA814" s="11" t="s">
        <v>152</v>
      </c>
      <c r="AB814" s="5" t="s">
        <v>245</v>
      </c>
      <c r="AC814" s="5"/>
      <c r="AD814" s="11" t="s">
        <v>2151</v>
      </c>
      <c r="AE814" s="23" t="n">
        <v>0.9</v>
      </c>
      <c r="AF814" s="23" t="n">
        <v>0</v>
      </c>
      <c r="AG814" s="23" t="n">
        <v>0.33</v>
      </c>
      <c r="AH814" s="23" t="n">
        <v>1</v>
      </c>
      <c r="AI814" s="23" t="n">
        <v>1</v>
      </c>
      <c r="AJ814" s="23" t="n">
        <v>0.3324</v>
      </c>
      <c r="AK814" s="23" t="n">
        <v>0.2</v>
      </c>
      <c r="AL814" s="23" t="n">
        <v>1</v>
      </c>
      <c r="AM814" s="16" t="n">
        <f aca="false">COUNTIFS($D$2:$D$2501,D814,$G$2:$G$2501,"&gt;"&amp;G814)+COUNTIFS($D$2:D814,D814,$G$2:G814,G814)</f>
        <v>142</v>
      </c>
      <c r="AN814" s="5" t="str">
        <f aca="false">D814&amp;"|"&amp;AM814</f>
        <v>檢索與情資關聯|142</v>
      </c>
    </row>
    <row r="815" customFormat="false" ht="17.15" hidden="false" customHeight="false" outlineLevel="0" collapsed="false">
      <c r="A815" s="16" t="n">
        <f aca="false">RANK(G815,$G$2:$G$2501)+COUNTIF($G$2:G815,G815)-1</f>
        <v>814</v>
      </c>
      <c r="B815" s="11" t="s">
        <v>2152</v>
      </c>
      <c r="C815" s="11" t="s">
        <v>327</v>
      </c>
      <c r="D815" s="5" t="s">
        <v>56</v>
      </c>
      <c r="E815" s="5" t="s">
        <v>57</v>
      </c>
      <c r="F815" s="5"/>
      <c r="G815" s="22" t="n">
        <f aca="false">ROUND(SUM(I815:P815),3)</f>
        <v>66.27</v>
      </c>
      <c r="H815" s="5" t="str">
        <f aca="false">IF(G815&gt;=評分方法!$C$16,"優先評估",IF(G815&gt;=評分方法!$C$17,"列入候選",IF(G815&gt;=評分方法!$C$18,"特定情境","不建議")))</f>
        <v>特定情境</v>
      </c>
      <c r="I815" s="15" t="n">
        <f aca="false">AE815*評分方法!$C$5</f>
        <v>25.5</v>
      </c>
      <c r="J815" s="15" t="n">
        <f aca="false">AF815*評分方法!$C$6</f>
        <v>0</v>
      </c>
      <c r="K815" s="15" t="n">
        <f aca="false">AG815*評分方法!$C$7</f>
        <v>15</v>
      </c>
      <c r="L815" s="15" t="n">
        <f aca="false">AH815*評分方法!$C$8</f>
        <v>1.95</v>
      </c>
      <c r="M815" s="15" t="n">
        <f aca="false">AI815*評分方法!$C$9</f>
        <v>6</v>
      </c>
      <c r="N815" s="15" t="n">
        <f aca="false">AJ815*評分方法!$C$10</f>
        <v>7.82</v>
      </c>
      <c r="O815" s="15" t="n">
        <f aca="false">AK815*評分方法!$C$11</f>
        <v>5</v>
      </c>
      <c r="P815" s="15" t="n">
        <f aca="false">AL815*評分方法!$C$12</f>
        <v>5</v>
      </c>
      <c r="Q815" s="6" t="n">
        <v>1408442</v>
      </c>
      <c r="R815" s="6" t="n">
        <v>302826566168</v>
      </c>
      <c r="S815" s="11" t="s">
        <v>1616</v>
      </c>
      <c r="T815" s="11" t="s">
        <v>185</v>
      </c>
      <c r="U815" s="5" t="s">
        <v>260</v>
      </c>
      <c r="V815" s="11" t="s">
        <v>261</v>
      </c>
      <c r="W815" s="5" t="s">
        <v>205</v>
      </c>
      <c r="X815" s="5" t="s">
        <v>284</v>
      </c>
      <c r="Y815" s="5"/>
      <c r="Z815" s="5"/>
      <c r="AA815" s="11" t="s">
        <v>155</v>
      </c>
      <c r="AB815" s="5" t="s">
        <v>245</v>
      </c>
      <c r="AC815" s="5" t="s">
        <v>262</v>
      </c>
      <c r="AD815" s="11" t="s">
        <v>2153</v>
      </c>
      <c r="AE815" s="23" t="n">
        <v>0.85</v>
      </c>
      <c r="AF815" s="23" t="n">
        <v>0</v>
      </c>
      <c r="AG815" s="23" t="n">
        <v>1</v>
      </c>
      <c r="AH815" s="23" t="n">
        <v>0.13</v>
      </c>
      <c r="AI815" s="23" t="n">
        <v>0.6</v>
      </c>
      <c r="AJ815" s="23" t="n">
        <v>0.782</v>
      </c>
      <c r="AK815" s="23" t="n">
        <v>1</v>
      </c>
      <c r="AL815" s="23" t="n">
        <v>1</v>
      </c>
      <c r="AM815" s="16" t="n">
        <f aca="false">COUNTIFS($D$2:$D$2501,D815,$G$2:$G$2501,"&gt;"&amp;G815)+COUNTIFS($D$2:D815,D815,$G$2:G815,G815)</f>
        <v>396</v>
      </c>
      <c r="AN815" s="5" t="str">
        <f aca="false">D815&amp;"|"&amp;AM815</f>
        <v>分析與報告生成|396</v>
      </c>
    </row>
    <row r="816" customFormat="false" ht="17.15" hidden="false" customHeight="false" outlineLevel="0" collapsed="false">
      <c r="A816" s="16" t="n">
        <f aca="false">RANK(G816,$G$2:$G$2501)+COUNTIF($G$2:G816,G816)-1</f>
        <v>815</v>
      </c>
      <c r="B816" s="11" t="s">
        <v>2154</v>
      </c>
      <c r="C816" s="11" t="s">
        <v>402</v>
      </c>
      <c r="D816" s="5" t="s">
        <v>58</v>
      </c>
      <c r="E816" s="5" t="s">
        <v>59</v>
      </c>
      <c r="F816" s="5"/>
      <c r="G816" s="22" t="n">
        <f aca="false">ROUND(SUM(I816:P816),3)</f>
        <v>66.27</v>
      </c>
      <c r="H816" s="5" t="str">
        <f aca="false">IF(G816&gt;=評分方法!$C$16,"優先評估",IF(G816&gt;=評分方法!$C$17,"列入候選",IF(G816&gt;=評分方法!$C$18,"特定情境","不建議")))</f>
        <v>特定情境</v>
      </c>
      <c r="I816" s="15" t="n">
        <f aca="false">AE816*評分方法!$C$5</f>
        <v>28.5</v>
      </c>
      <c r="J816" s="15" t="n">
        <f aca="false">AF816*評分方法!$C$6</f>
        <v>0</v>
      </c>
      <c r="K816" s="15" t="n">
        <f aca="false">AG816*評分方法!$C$7</f>
        <v>4.95</v>
      </c>
      <c r="L816" s="15" t="n">
        <f aca="false">AH816*評分方法!$C$8</f>
        <v>15</v>
      </c>
      <c r="M816" s="15" t="n">
        <f aca="false">AI816*評分方法!$C$9</f>
        <v>10</v>
      </c>
      <c r="N816" s="15" t="n">
        <f aca="false">AJ816*評分方法!$C$10</f>
        <v>5.32</v>
      </c>
      <c r="O816" s="15" t="n">
        <f aca="false">AK816*評分方法!$C$11</f>
        <v>2.5</v>
      </c>
      <c r="P816" s="15" t="n">
        <f aca="false">AL816*評分方法!$C$12</f>
        <v>0</v>
      </c>
      <c r="Q816" s="6" t="n">
        <v>559830</v>
      </c>
      <c r="R816" s="6" t="n">
        <v>566708227</v>
      </c>
      <c r="S816" s="11" t="s">
        <v>238</v>
      </c>
      <c r="T816" s="11" t="s">
        <v>239</v>
      </c>
      <c r="U816" s="5" t="s">
        <v>240</v>
      </c>
      <c r="V816" s="11" t="s">
        <v>261</v>
      </c>
      <c r="W816" s="5" t="s">
        <v>334</v>
      </c>
      <c r="X816" s="5" t="s">
        <v>242</v>
      </c>
      <c r="Y816" s="5"/>
      <c r="Z816" s="5"/>
      <c r="AA816" s="11" t="s">
        <v>150</v>
      </c>
      <c r="AB816" s="5" t="s">
        <v>245</v>
      </c>
      <c r="AC816" s="5"/>
      <c r="AD816" s="11" t="s">
        <v>2155</v>
      </c>
      <c r="AE816" s="23" t="n">
        <v>0.95</v>
      </c>
      <c r="AF816" s="23" t="n">
        <v>0</v>
      </c>
      <c r="AG816" s="23" t="n">
        <v>0.33</v>
      </c>
      <c r="AH816" s="23" t="n">
        <v>1</v>
      </c>
      <c r="AI816" s="23" t="n">
        <v>1</v>
      </c>
      <c r="AJ816" s="23" t="n">
        <v>0.532</v>
      </c>
      <c r="AK816" s="23" t="n">
        <v>0.5</v>
      </c>
      <c r="AL816" s="23" t="n">
        <v>0</v>
      </c>
      <c r="AM816" s="16" t="n">
        <f aca="false">COUNTIFS($D$2:$D$2501,D816,$G$2:$G$2501,"&gt;"&amp;G816)+COUNTIFS($D$2:D816,D816,$G$2:G816,G816)</f>
        <v>155</v>
      </c>
      <c r="AN816" s="5" t="str">
        <f aca="false">D816&amp;"|"&amp;AM816</f>
        <v>實體擷取與去識別化|155</v>
      </c>
    </row>
    <row r="817" customFormat="false" ht="17.15" hidden="false" customHeight="false" outlineLevel="0" collapsed="false">
      <c r="A817" s="16" t="n">
        <f aca="false">RANK(G817,$G$2:$G$2501)+COUNTIF($G$2:G817,G817)-1</f>
        <v>816</v>
      </c>
      <c r="B817" s="11" t="s">
        <v>2156</v>
      </c>
      <c r="C817" s="11" t="s">
        <v>402</v>
      </c>
      <c r="D817" s="5" t="s">
        <v>58</v>
      </c>
      <c r="E817" s="5" t="s">
        <v>59</v>
      </c>
      <c r="F817" s="5"/>
      <c r="G817" s="22" t="n">
        <f aca="false">ROUND(SUM(I817:P817),3)</f>
        <v>66.262</v>
      </c>
      <c r="H817" s="5" t="str">
        <f aca="false">IF(G817&gt;=評分方法!$C$16,"優先評估",IF(G817&gt;=評分方法!$C$17,"列入候選",IF(G817&gt;=評分方法!$C$18,"特定情境","不建議")))</f>
        <v>特定情境</v>
      </c>
      <c r="I817" s="15" t="n">
        <f aca="false">AE817*評分方法!$C$5</f>
        <v>28.5</v>
      </c>
      <c r="J817" s="15" t="n">
        <f aca="false">AF817*評分方法!$C$6</f>
        <v>0</v>
      </c>
      <c r="K817" s="15" t="n">
        <f aca="false">AG817*評分方法!$C$7</f>
        <v>4.95</v>
      </c>
      <c r="L817" s="15" t="n">
        <f aca="false">AH817*評分方法!$C$8</f>
        <v>15</v>
      </c>
      <c r="M817" s="15" t="n">
        <f aca="false">AI817*評分方法!$C$9</f>
        <v>10</v>
      </c>
      <c r="N817" s="15" t="n">
        <f aca="false">AJ817*評分方法!$C$10</f>
        <v>5.312</v>
      </c>
      <c r="O817" s="15" t="n">
        <f aca="false">AK817*評分方法!$C$11</f>
        <v>2.5</v>
      </c>
      <c r="P817" s="15" t="n">
        <f aca="false">AL817*評分方法!$C$12</f>
        <v>0</v>
      </c>
      <c r="Q817" s="6" t="n">
        <v>558697</v>
      </c>
      <c r="R817" s="6" t="n">
        <v>65199371</v>
      </c>
      <c r="S817" s="11" t="s">
        <v>238</v>
      </c>
      <c r="T817" s="11" t="s">
        <v>239</v>
      </c>
      <c r="U817" s="5" t="s">
        <v>240</v>
      </c>
      <c r="V817" s="11" t="s">
        <v>261</v>
      </c>
      <c r="W817" s="5" t="s">
        <v>334</v>
      </c>
      <c r="X817" s="5" t="s">
        <v>242</v>
      </c>
      <c r="Y817" s="5"/>
      <c r="Z817" s="5"/>
      <c r="AA817" s="11" t="s">
        <v>150</v>
      </c>
      <c r="AB817" s="5" t="s">
        <v>245</v>
      </c>
      <c r="AC817" s="5"/>
      <c r="AD817" s="11" t="s">
        <v>2157</v>
      </c>
      <c r="AE817" s="23" t="n">
        <v>0.95</v>
      </c>
      <c r="AF817" s="23" t="n">
        <v>0</v>
      </c>
      <c r="AG817" s="23" t="n">
        <v>0.33</v>
      </c>
      <c r="AH817" s="23" t="n">
        <v>1</v>
      </c>
      <c r="AI817" s="23" t="n">
        <v>1</v>
      </c>
      <c r="AJ817" s="23" t="n">
        <v>0.5312</v>
      </c>
      <c r="AK817" s="23" t="n">
        <v>0.5</v>
      </c>
      <c r="AL817" s="23" t="n">
        <v>0</v>
      </c>
      <c r="AM817" s="16" t="n">
        <f aca="false">COUNTIFS($D$2:$D$2501,D817,$G$2:$G$2501,"&gt;"&amp;G817)+COUNTIFS($D$2:D817,D817,$G$2:G817,G817)</f>
        <v>156</v>
      </c>
      <c r="AN817" s="5" t="str">
        <f aca="false">D817&amp;"|"&amp;AM817</f>
        <v>實體擷取與去識別化|156</v>
      </c>
    </row>
    <row r="818" customFormat="false" ht="17.15" hidden="false" customHeight="false" outlineLevel="0" collapsed="false">
      <c r="A818" s="16" t="n">
        <f aca="false">RANK(G818,$G$2:$G$2501)+COUNTIF($G$2:G818,G818)-1</f>
        <v>817</v>
      </c>
      <c r="B818" s="11" t="s">
        <v>2158</v>
      </c>
      <c r="C818" s="11" t="s">
        <v>1374</v>
      </c>
      <c r="D818" s="5" t="s">
        <v>56</v>
      </c>
      <c r="E818" s="5" t="s">
        <v>57</v>
      </c>
      <c r="F818" s="5"/>
      <c r="G818" s="22" t="n">
        <f aca="false">ROUND(SUM(I818:P818),3)</f>
        <v>66.248</v>
      </c>
      <c r="H818" s="5" t="str">
        <f aca="false">IF(G818&gt;=評分方法!$C$16,"優先評估",IF(G818&gt;=評分方法!$C$17,"列入候選",IF(G818&gt;=評分方法!$C$18,"特定情境","不建議")))</f>
        <v>特定情境</v>
      </c>
      <c r="I818" s="15" t="n">
        <f aca="false">AE818*評分方法!$C$5</f>
        <v>25.5</v>
      </c>
      <c r="J818" s="15" t="n">
        <f aca="false">AF818*評分方法!$C$6</f>
        <v>0</v>
      </c>
      <c r="K818" s="15" t="n">
        <f aca="false">AG818*評分方法!$C$7</f>
        <v>10.05</v>
      </c>
      <c r="L818" s="15" t="n">
        <f aca="false">AH818*評分方法!$C$8</f>
        <v>13.05</v>
      </c>
      <c r="M818" s="15" t="n">
        <f aca="false">AI818*評分方法!$C$9</f>
        <v>6</v>
      </c>
      <c r="N818" s="15" t="n">
        <f aca="false">AJ818*評分方法!$C$10</f>
        <v>3.648</v>
      </c>
      <c r="O818" s="15" t="n">
        <f aca="false">AK818*評分方法!$C$11</f>
        <v>5</v>
      </c>
      <c r="P818" s="15" t="n">
        <f aca="false">AL818*評分方法!$C$12</f>
        <v>3</v>
      </c>
      <c r="Q818" s="6" t="n">
        <v>370630</v>
      </c>
      <c r="R818" s="6" t="n">
        <v>5104297539</v>
      </c>
      <c r="S818" s="11" t="s">
        <v>254</v>
      </c>
      <c r="T818" s="11" t="s">
        <v>658</v>
      </c>
      <c r="U818" s="5" t="s">
        <v>260</v>
      </c>
      <c r="V818" s="11" t="s">
        <v>261</v>
      </c>
      <c r="W818" s="5" t="s">
        <v>207</v>
      </c>
      <c r="X818" s="5" t="s">
        <v>371</v>
      </c>
      <c r="Y818" s="11" t="s">
        <v>425</v>
      </c>
      <c r="Z818" s="11" t="s">
        <v>244</v>
      </c>
      <c r="AA818" s="11" t="s">
        <v>156</v>
      </c>
      <c r="AB818" s="5" t="s">
        <v>245</v>
      </c>
      <c r="AC818" s="5" t="s">
        <v>464</v>
      </c>
      <c r="AD818" s="11" t="s">
        <v>2159</v>
      </c>
      <c r="AE818" s="23" t="n">
        <v>0.85</v>
      </c>
      <c r="AF818" s="23" t="n">
        <v>0</v>
      </c>
      <c r="AG818" s="23" t="n">
        <v>0.67</v>
      </c>
      <c r="AH818" s="23" t="n">
        <v>0.87</v>
      </c>
      <c r="AI818" s="23" t="n">
        <v>0.6</v>
      </c>
      <c r="AJ818" s="23" t="n">
        <v>0.3648</v>
      </c>
      <c r="AK818" s="23" t="n">
        <v>1</v>
      </c>
      <c r="AL818" s="23" t="n">
        <v>0.6</v>
      </c>
      <c r="AM818" s="16" t="n">
        <f aca="false">COUNTIFS($D$2:$D$2501,D818,$G$2:$G$2501,"&gt;"&amp;G818)+COUNTIFS($D$2:D818,D818,$G$2:G818,G818)</f>
        <v>397</v>
      </c>
      <c r="AN818" s="5" t="str">
        <f aca="false">D818&amp;"|"&amp;AM818</f>
        <v>分析與報告生成|397</v>
      </c>
    </row>
    <row r="819" customFormat="false" ht="17.15" hidden="false" customHeight="false" outlineLevel="0" collapsed="false">
      <c r="A819" s="16" t="n">
        <f aca="false">RANK(G819,$G$2:$G$2501)+COUNTIF($G$2:G819,G819)-1</f>
        <v>818</v>
      </c>
      <c r="B819" s="11" t="s">
        <v>2160</v>
      </c>
      <c r="C819" s="11" t="s">
        <v>402</v>
      </c>
      <c r="D819" s="5" t="s">
        <v>58</v>
      </c>
      <c r="E819" s="5" t="s">
        <v>59</v>
      </c>
      <c r="F819" s="5"/>
      <c r="G819" s="22" t="n">
        <f aca="false">ROUND(SUM(I819:P819),3)</f>
        <v>66.238</v>
      </c>
      <c r="H819" s="5" t="str">
        <f aca="false">IF(G819&gt;=評分方法!$C$16,"優先評估",IF(G819&gt;=評分方法!$C$17,"列入候選",IF(G819&gt;=評分方法!$C$18,"特定情境","不建議")))</f>
        <v>特定情境</v>
      </c>
      <c r="I819" s="15" t="n">
        <f aca="false">AE819*評分方法!$C$5</f>
        <v>28.5</v>
      </c>
      <c r="J819" s="15" t="n">
        <f aca="false">AF819*評分方法!$C$6</f>
        <v>0</v>
      </c>
      <c r="K819" s="15" t="n">
        <f aca="false">AG819*評分方法!$C$7</f>
        <v>4.95</v>
      </c>
      <c r="L819" s="15" t="n">
        <f aca="false">AH819*評分方法!$C$8</f>
        <v>15</v>
      </c>
      <c r="M819" s="15" t="n">
        <f aca="false">AI819*評分方法!$C$9</f>
        <v>10</v>
      </c>
      <c r="N819" s="15" t="n">
        <f aca="false">AJ819*評分方法!$C$10</f>
        <v>5.288</v>
      </c>
      <c r="O819" s="15" t="n">
        <f aca="false">AK819*評分方法!$C$11</f>
        <v>2.5</v>
      </c>
      <c r="P819" s="15" t="n">
        <f aca="false">AL819*評分方法!$C$12</f>
        <v>0</v>
      </c>
      <c r="Q819" s="6" t="n">
        <v>557291</v>
      </c>
      <c r="R819" s="6" t="n">
        <v>66365187</v>
      </c>
      <c r="S819" s="11" t="s">
        <v>238</v>
      </c>
      <c r="T819" s="11" t="s">
        <v>239</v>
      </c>
      <c r="U819" s="5" t="s">
        <v>240</v>
      </c>
      <c r="V819" s="11" t="s">
        <v>261</v>
      </c>
      <c r="W819" s="5" t="s">
        <v>334</v>
      </c>
      <c r="X819" s="5" t="s">
        <v>242</v>
      </c>
      <c r="Y819" s="5"/>
      <c r="Z819" s="5"/>
      <c r="AA819" s="11" t="s">
        <v>150</v>
      </c>
      <c r="AB819" s="5" t="s">
        <v>245</v>
      </c>
      <c r="AC819" s="5"/>
      <c r="AD819" s="11" t="s">
        <v>2161</v>
      </c>
      <c r="AE819" s="23" t="n">
        <v>0.95</v>
      </c>
      <c r="AF819" s="23" t="n">
        <v>0</v>
      </c>
      <c r="AG819" s="23" t="n">
        <v>0.33</v>
      </c>
      <c r="AH819" s="23" t="n">
        <v>1</v>
      </c>
      <c r="AI819" s="23" t="n">
        <v>1</v>
      </c>
      <c r="AJ819" s="23" t="n">
        <v>0.5288</v>
      </c>
      <c r="AK819" s="23" t="n">
        <v>0.5</v>
      </c>
      <c r="AL819" s="23" t="n">
        <v>0</v>
      </c>
      <c r="AM819" s="16" t="n">
        <f aca="false">COUNTIFS($D$2:$D$2501,D819,$G$2:$G$2501,"&gt;"&amp;G819)+COUNTIFS($D$2:D819,D819,$G$2:G819,G819)</f>
        <v>157</v>
      </c>
      <c r="AN819" s="5" t="str">
        <f aca="false">D819&amp;"|"&amp;AM819</f>
        <v>實體擷取與去識別化|157</v>
      </c>
    </row>
    <row r="820" customFormat="false" ht="17.15" hidden="false" customHeight="false" outlineLevel="0" collapsed="false">
      <c r="A820" s="16" t="n">
        <f aca="false">RANK(G820,$G$2:$G$2501)+COUNTIF($G$2:G820,G820)-1</f>
        <v>819</v>
      </c>
      <c r="B820" s="11" t="s">
        <v>2162</v>
      </c>
      <c r="C820" s="11" t="s">
        <v>1654</v>
      </c>
      <c r="D820" s="5" t="s">
        <v>76</v>
      </c>
      <c r="E820" s="5" t="s">
        <v>77</v>
      </c>
      <c r="F820" s="5"/>
      <c r="G820" s="22" t="n">
        <f aca="false">ROUND(SUM(I820:P820),3)</f>
        <v>66.232</v>
      </c>
      <c r="H820" s="5" t="str">
        <f aca="false">IF(G820&gt;=評分方法!$C$16,"優先評估",IF(G820&gt;=評分方法!$C$17,"列入候選",IF(G820&gt;=評分方法!$C$18,"特定情境","不建議")))</f>
        <v>特定情境</v>
      </c>
      <c r="I820" s="15" t="n">
        <f aca="false">AE820*評分方法!$C$5</f>
        <v>12</v>
      </c>
      <c r="J820" s="15" t="n">
        <f aca="false">AF820*評分方法!$C$6</f>
        <v>0</v>
      </c>
      <c r="K820" s="15" t="n">
        <f aca="false">AG820*評分方法!$C$7</f>
        <v>15</v>
      </c>
      <c r="L820" s="15" t="n">
        <f aca="false">AH820*評分方法!$C$8</f>
        <v>15</v>
      </c>
      <c r="M820" s="15" t="n">
        <f aca="false">AI820*評分方法!$C$9</f>
        <v>10</v>
      </c>
      <c r="N820" s="15" t="n">
        <f aca="false">AJ820*評分方法!$C$10</f>
        <v>8.232</v>
      </c>
      <c r="O820" s="15" t="n">
        <f aca="false">AK820*評分方法!$C$11</f>
        <v>1</v>
      </c>
      <c r="P820" s="15" t="n">
        <f aca="false">AL820*評分方法!$C$12</f>
        <v>5</v>
      </c>
      <c r="Q820" s="6" t="n">
        <v>1844934</v>
      </c>
      <c r="R820" s="6" t="n">
        <v>737668608</v>
      </c>
      <c r="S820" s="11" t="s">
        <v>238</v>
      </c>
      <c r="T820" s="11" t="s">
        <v>239</v>
      </c>
      <c r="U820" s="5" t="s">
        <v>240</v>
      </c>
      <c r="V820" s="11" t="s">
        <v>279</v>
      </c>
      <c r="W820" s="5" t="s">
        <v>205</v>
      </c>
      <c r="X820" s="5" t="s">
        <v>284</v>
      </c>
      <c r="Y820" s="5"/>
      <c r="Z820" s="5"/>
      <c r="AA820" s="11" t="s">
        <v>168</v>
      </c>
      <c r="AB820" s="5" t="s">
        <v>245</v>
      </c>
      <c r="AC820" s="5"/>
      <c r="AD820" s="11" t="s">
        <v>2163</v>
      </c>
      <c r="AE820" s="23" t="n">
        <v>0.4</v>
      </c>
      <c r="AF820" s="23" t="n">
        <v>0</v>
      </c>
      <c r="AG820" s="23" t="n">
        <v>1</v>
      </c>
      <c r="AH820" s="23" t="n">
        <v>1</v>
      </c>
      <c r="AI820" s="23" t="n">
        <v>1</v>
      </c>
      <c r="AJ820" s="23" t="n">
        <v>0.8232</v>
      </c>
      <c r="AK820" s="23" t="n">
        <v>0.2</v>
      </c>
      <c r="AL820" s="23" t="n">
        <v>1</v>
      </c>
      <c r="AM820" s="16" t="n">
        <f aca="false">COUNTIFS($D$2:$D$2501,D820,$G$2:$G$2501,"&gt;"&amp;G820)+COUNTIFS($D$2:D820,D820,$G$2:G820,G820)</f>
        <v>2</v>
      </c>
      <c r="AN820" s="5" t="str">
        <f aca="false">D820&amp;"|"&amp;AM820</f>
        <v>情資翻譯|2</v>
      </c>
    </row>
    <row r="821" customFormat="false" ht="17.15" hidden="false" customHeight="false" outlineLevel="0" collapsed="false">
      <c r="A821" s="16" t="n">
        <f aca="false">RANK(G821,$G$2:$G$2501)+COUNTIF($G$2:G821,G821)-1</f>
        <v>820</v>
      </c>
      <c r="B821" s="11" t="s">
        <v>2164</v>
      </c>
      <c r="C821" s="11" t="s">
        <v>402</v>
      </c>
      <c r="D821" s="5" t="s">
        <v>58</v>
      </c>
      <c r="E821" s="5" t="s">
        <v>59</v>
      </c>
      <c r="F821" s="5"/>
      <c r="G821" s="22" t="n">
        <f aca="false">ROUND(SUM(I821:P821),3)</f>
        <v>66.23</v>
      </c>
      <c r="H821" s="5" t="str">
        <f aca="false">IF(G821&gt;=評分方法!$C$16,"優先評估",IF(G821&gt;=評分方法!$C$17,"列入候選",IF(G821&gt;=評分方法!$C$18,"特定情境","不建議")))</f>
        <v>特定情境</v>
      </c>
      <c r="I821" s="15" t="n">
        <f aca="false">AE821*評分方法!$C$5</f>
        <v>28.5</v>
      </c>
      <c r="J821" s="15" t="n">
        <f aca="false">AF821*評分方法!$C$6</f>
        <v>0</v>
      </c>
      <c r="K821" s="15" t="n">
        <f aca="false">AG821*評分方法!$C$7</f>
        <v>4.95</v>
      </c>
      <c r="L821" s="15" t="n">
        <f aca="false">AH821*評分方法!$C$8</f>
        <v>15</v>
      </c>
      <c r="M821" s="15" t="n">
        <f aca="false">AI821*評分方法!$C$9</f>
        <v>10</v>
      </c>
      <c r="N821" s="15" t="n">
        <f aca="false">AJ821*評分方法!$C$10</f>
        <v>5.28</v>
      </c>
      <c r="O821" s="15" t="n">
        <f aca="false">AK821*評分方法!$C$11</f>
        <v>2.5</v>
      </c>
      <c r="P821" s="15" t="n">
        <f aca="false">AL821*評分方法!$C$12</f>
        <v>0</v>
      </c>
      <c r="Q821" s="6" t="n">
        <v>556898</v>
      </c>
      <c r="R821" s="6" t="n">
        <v>277455363</v>
      </c>
      <c r="S821" s="11" t="s">
        <v>238</v>
      </c>
      <c r="T821" s="11" t="s">
        <v>239</v>
      </c>
      <c r="U821" s="5" t="s">
        <v>240</v>
      </c>
      <c r="V821" s="11" t="s">
        <v>261</v>
      </c>
      <c r="W821" s="5" t="s">
        <v>334</v>
      </c>
      <c r="X821" s="5" t="s">
        <v>242</v>
      </c>
      <c r="Y821" s="5"/>
      <c r="Z821" s="5"/>
      <c r="AA821" s="11" t="s">
        <v>150</v>
      </c>
      <c r="AB821" s="5" t="s">
        <v>245</v>
      </c>
      <c r="AC821" s="5"/>
      <c r="AD821" s="11" t="s">
        <v>2165</v>
      </c>
      <c r="AE821" s="23" t="n">
        <v>0.95</v>
      </c>
      <c r="AF821" s="23" t="n">
        <v>0</v>
      </c>
      <c r="AG821" s="23" t="n">
        <v>0.33</v>
      </c>
      <c r="AH821" s="23" t="n">
        <v>1</v>
      </c>
      <c r="AI821" s="23" t="n">
        <v>1</v>
      </c>
      <c r="AJ821" s="23" t="n">
        <v>0.528</v>
      </c>
      <c r="AK821" s="23" t="n">
        <v>0.5</v>
      </c>
      <c r="AL821" s="23" t="n">
        <v>0</v>
      </c>
      <c r="AM821" s="16" t="n">
        <f aca="false">COUNTIFS($D$2:$D$2501,D821,$G$2:$G$2501,"&gt;"&amp;G821)+COUNTIFS($D$2:D821,D821,$G$2:G821,G821)</f>
        <v>158</v>
      </c>
      <c r="AN821" s="5" t="str">
        <f aca="false">D821&amp;"|"&amp;AM821</f>
        <v>實體擷取與去識別化|158</v>
      </c>
    </row>
    <row r="822" customFormat="false" ht="17.15" hidden="false" customHeight="false" outlineLevel="0" collapsed="false">
      <c r="A822" s="16" t="n">
        <f aca="false">RANK(G822,$G$2:$G$2501)+COUNTIF($G$2:G822,G822)-1</f>
        <v>821</v>
      </c>
      <c r="B822" s="11" t="s">
        <v>2166</v>
      </c>
      <c r="C822" s="11" t="s">
        <v>681</v>
      </c>
      <c r="D822" s="5" t="s">
        <v>78</v>
      </c>
      <c r="E822" s="5" t="s">
        <v>79</v>
      </c>
      <c r="F822" s="5"/>
      <c r="G822" s="22" t="n">
        <f aca="false">ROUND(SUM(I822:P822),3)</f>
        <v>66.228</v>
      </c>
      <c r="H822" s="5" t="str">
        <f aca="false">IF(G822&gt;=評分方法!$C$16,"優先評估",IF(G822&gt;=評分方法!$C$17,"列入候選",IF(G822&gt;=評分方法!$C$18,"特定情境","不建議")))</f>
        <v>特定情境</v>
      </c>
      <c r="I822" s="15" t="n">
        <f aca="false">AE822*評分方法!$C$5</f>
        <v>10.5</v>
      </c>
      <c r="J822" s="15" t="n">
        <f aca="false">AF822*評分方法!$C$6</f>
        <v>0</v>
      </c>
      <c r="K822" s="15" t="n">
        <f aca="false">AG822*評分方法!$C$7</f>
        <v>15</v>
      </c>
      <c r="L822" s="15" t="n">
        <f aca="false">AH822*評分方法!$C$8</f>
        <v>15</v>
      </c>
      <c r="M822" s="15" t="n">
        <f aca="false">AI822*評分方法!$C$9</f>
        <v>10</v>
      </c>
      <c r="N822" s="15" t="n">
        <f aca="false">AJ822*評分方法!$C$10</f>
        <v>9.728</v>
      </c>
      <c r="O822" s="15" t="n">
        <f aca="false">AK822*評分方法!$C$11</f>
        <v>1</v>
      </c>
      <c r="P822" s="15" t="n">
        <f aca="false">AL822*評分方法!$C$12</f>
        <v>5</v>
      </c>
      <c r="Q822" s="6" t="n">
        <v>15703013</v>
      </c>
      <c r="R822" s="6" t="n">
        <v>580493120</v>
      </c>
      <c r="S822" s="11" t="s">
        <v>238</v>
      </c>
      <c r="T822" s="11" t="s">
        <v>278</v>
      </c>
      <c r="U822" s="5" t="s">
        <v>240</v>
      </c>
      <c r="V822" s="11" t="s">
        <v>324</v>
      </c>
      <c r="W822" s="5" t="s">
        <v>205</v>
      </c>
      <c r="X822" s="5" t="s">
        <v>284</v>
      </c>
      <c r="Y822" s="5"/>
      <c r="Z822" s="5"/>
      <c r="AA822" s="11" t="s">
        <v>174</v>
      </c>
      <c r="AB822" s="5" t="s">
        <v>245</v>
      </c>
      <c r="AC822" s="5"/>
      <c r="AD822" s="11" t="s">
        <v>2167</v>
      </c>
      <c r="AE822" s="23" t="n">
        <v>0.35</v>
      </c>
      <c r="AF822" s="23" t="n">
        <v>0</v>
      </c>
      <c r="AG822" s="23" t="n">
        <v>1</v>
      </c>
      <c r="AH822" s="23" t="n">
        <v>1</v>
      </c>
      <c r="AI822" s="23" t="n">
        <v>1</v>
      </c>
      <c r="AJ822" s="23" t="n">
        <v>0.9728</v>
      </c>
      <c r="AK822" s="23" t="n">
        <v>0.2</v>
      </c>
      <c r="AL822" s="23" t="n">
        <v>1</v>
      </c>
      <c r="AM822" s="16" t="n">
        <f aca="false">COUNTIFS($D$2:$D$2501,D822,$G$2:$G$2501,"&gt;"&amp;G822)+COUNTIFS($D$2:D822,D822,$G$2:G822,G822)</f>
        <v>1</v>
      </c>
      <c r="AN822" s="5" t="str">
        <f aca="false">D822&amp;"|"&amp;AM822</f>
        <v>語音分析|1</v>
      </c>
    </row>
    <row r="823" customFormat="false" ht="17.15" hidden="false" customHeight="false" outlineLevel="0" collapsed="false">
      <c r="A823" s="16" t="n">
        <f aca="false">RANK(G823,$G$2:$G$2501)+COUNTIF($G$2:G823,G823)-1</f>
        <v>822</v>
      </c>
      <c r="B823" s="11" t="s">
        <v>2168</v>
      </c>
      <c r="C823" s="11" t="s">
        <v>402</v>
      </c>
      <c r="D823" s="5" t="s">
        <v>58</v>
      </c>
      <c r="E823" s="5" t="s">
        <v>59</v>
      </c>
      <c r="F823" s="5"/>
      <c r="G823" s="22" t="n">
        <f aca="false">ROUND(SUM(I823:P823),3)</f>
        <v>66.226</v>
      </c>
      <c r="H823" s="5" t="str">
        <f aca="false">IF(G823&gt;=評分方法!$C$16,"優先評估",IF(G823&gt;=評分方法!$C$17,"列入候選",IF(G823&gt;=評分方法!$C$18,"特定情境","不建議")))</f>
        <v>特定情境</v>
      </c>
      <c r="I823" s="15" t="n">
        <f aca="false">AE823*評分方法!$C$5</f>
        <v>28.5</v>
      </c>
      <c r="J823" s="15" t="n">
        <f aca="false">AF823*評分方法!$C$6</f>
        <v>0</v>
      </c>
      <c r="K823" s="15" t="n">
        <f aca="false">AG823*評分方法!$C$7</f>
        <v>4.95</v>
      </c>
      <c r="L823" s="15" t="n">
        <f aca="false">AH823*評分方法!$C$8</f>
        <v>15</v>
      </c>
      <c r="M823" s="15" t="n">
        <f aca="false">AI823*評分方法!$C$9</f>
        <v>10</v>
      </c>
      <c r="N823" s="15" t="n">
        <f aca="false">AJ823*評分方法!$C$10</f>
        <v>5.276</v>
      </c>
      <c r="O823" s="15" t="n">
        <f aca="false">AK823*評分方法!$C$11</f>
        <v>2.5</v>
      </c>
      <c r="P823" s="15" t="n">
        <f aca="false">AL823*評分方法!$C$12</f>
        <v>0</v>
      </c>
      <c r="Q823" s="6" t="n">
        <v>556779</v>
      </c>
      <c r="R823" s="6" t="n">
        <v>149613323</v>
      </c>
      <c r="S823" s="11" t="s">
        <v>238</v>
      </c>
      <c r="T823" s="11" t="s">
        <v>239</v>
      </c>
      <c r="U823" s="5" t="s">
        <v>240</v>
      </c>
      <c r="V823" s="11" t="s">
        <v>261</v>
      </c>
      <c r="W823" s="5" t="s">
        <v>334</v>
      </c>
      <c r="X823" s="5" t="s">
        <v>242</v>
      </c>
      <c r="Y823" s="5"/>
      <c r="Z823" s="5"/>
      <c r="AA823" s="11" t="s">
        <v>150</v>
      </c>
      <c r="AB823" s="5" t="s">
        <v>245</v>
      </c>
      <c r="AC823" s="5"/>
      <c r="AD823" s="11" t="s">
        <v>2169</v>
      </c>
      <c r="AE823" s="23" t="n">
        <v>0.95</v>
      </c>
      <c r="AF823" s="23" t="n">
        <v>0</v>
      </c>
      <c r="AG823" s="23" t="n">
        <v>0.33</v>
      </c>
      <c r="AH823" s="23" t="n">
        <v>1</v>
      </c>
      <c r="AI823" s="23" t="n">
        <v>1</v>
      </c>
      <c r="AJ823" s="23" t="n">
        <v>0.5276</v>
      </c>
      <c r="AK823" s="23" t="n">
        <v>0.5</v>
      </c>
      <c r="AL823" s="23" t="n">
        <v>0</v>
      </c>
      <c r="AM823" s="16" t="n">
        <f aca="false">COUNTIFS($D$2:$D$2501,D823,$G$2:$G$2501,"&gt;"&amp;G823)+COUNTIFS($D$2:D823,D823,$G$2:G823,G823)</f>
        <v>159</v>
      </c>
      <c r="AN823" s="5" t="str">
        <f aca="false">D823&amp;"|"&amp;AM823</f>
        <v>實體擷取與去識別化|159</v>
      </c>
    </row>
    <row r="824" customFormat="false" ht="17.15" hidden="false" customHeight="false" outlineLevel="0" collapsed="false">
      <c r="A824" s="16" t="n">
        <f aca="false">RANK(G824,$G$2:$G$2501)+COUNTIF($G$2:G824,G824)-1</f>
        <v>823</v>
      </c>
      <c r="B824" s="11" t="s">
        <v>2170</v>
      </c>
      <c r="C824" s="11" t="s">
        <v>402</v>
      </c>
      <c r="D824" s="5" t="s">
        <v>58</v>
      </c>
      <c r="E824" s="5" t="s">
        <v>59</v>
      </c>
      <c r="F824" s="5"/>
      <c r="G824" s="22" t="n">
        <f aca="false">ROUND(SUM(I824:P824),3)</f>
        <v>66.222</v>
      </c>
      <c r="H824" s="5" t="str">
        <f aca="false">IF(G824&gt;=評分方法!$C$16,"優先評估",IF(G824&gt;=評分方法!$C$17,"列入候選",IF(G824&gt;=評分方法!$C$18,"特定情境","不建議")))</f>
        <v>特定情境</v>
      </c>
      <c r="I824" s="15" t="n">
        <f aca="false">AE824*評分方法!$C$5</f>
        <v>28.5</v>
      </c>
      <c r="J824" s="15" t="n">
        <f aca="false">AF824*評分方法!$C$6</f>
        <v>0</v>
      </c>
      <c r="K824" s="15" t="n">
        <f aca="false">AG824*評分方法!$C$7</f>
        <v>4.95</v>
      </c>
      <c r="L824" s="15" t="n">
        <f aca="false">AH824*評分方法!$C$8</f>
        <v>15</v>
      </c>
      <c r="M824" s="15" t="n">
        <f aca="false">AI824*評分方法!$C$9</f>
        <v>10</v>
      </c>
      <c r="N824" s="15" t="n">
        <f aca="false">AJ824*評分方法!$C$10</f>
        <v>5.272</v>
      </c>
      <c r="O824" s="15" t="n">
        <f aca="false">AK824*評分方法!$C$11</f>
        <v>2.5</v>
      </c>
      <c r="P824" s="15" t="n">
        <f aca="false">AL824*評分方法!$C$12</f>
        <v>0</v>
      </c>
      <c r="Q824" s="6" t="n">
        <v>556319</v>
      </c>
      <c r="R824" s="6" t="n">
        <v>33213315</v>
      </c>
      <c r="S824" s="11" t="s">
        <v>238</v>
      </c>
      <c r="T824" s="11" t="s">
        <v>239</v>
      </c>
      <c r="U824" s="5" t="s">
        <v>240</v>
      </c>
      <c r="V824" s="11" t="s">
        <v>261</v>
      </c>
      <c r="W824" s="5" t="s">
        <v>334</v>
      </c>
      <c r="X824" s="5" t="s">
        <v>242</v>
      </c>
      <c r="Y824" s="5"/>
      <c r="Z824" s="5"/>
      <c r="AA824" s="11" t="s">
        <v>150</v>
      </c>
      <c r="AB824" s="5" t="s">
        <v>245</v>
      </c>
      <c r="AC824" s="5"/>
      <c r="AD824" s="11" t="s">
        <v>2171</v>
      </c>
      <c r="AE824" s="23" t="n">
        <v>0.95</v>
      </c>
      <c r="AF824" s="23" t="n">
        <v>0</v>
      </c>
      <c r="AG824" s="23" t="n">
        <v>0.33</v>
      </c>
      <c r="AH824" s="23" t="n">
        <v>1</v>
      </c>
      <c r="AI824" s="23" t="n">
        <v>1</v>
      </c>
      <c r="AJ824" s="23" t="n">
        <v>0.5272</v>
      </c>
      <c r="AK824" s="23" t="n">
        <v>0.5</v>
      </c>
      <c r="AL824" s="23" t="n">
        <v>0</v>
      </c>
      <c r="AM824" s="16" t="n">
        <f aca="false">COUNTIFS($D$2:$D$2501,D824,$G$2:$G$2501,"&gt;"&amp;G824)+COUNTIFS($D$2:D824,D824,$G$2:G824,G824)</f>
        <v>160</v>
      </c>
      <c r="AN824" s="5" t="str">
        <f aca="false">D824&amp;"|"&amp;AM824</f>
        <v>實體擷取與去識別化|160</v>
      </c>
    </row>
    <row r="825" customFormat="false" ht="17.15" hidden="false" customHeight="false" outlineLevel="0" collapsed="false">
      <c r="A825" s="16" t="n">
        <f aca="false">RANK(G825,$G$2:$G$2501)+COUNTIF($G$2:G825,G825)-1</f>
        <v>824</v>
      </c>
      <c r="B825" s="11" t="s">
        <v>2172</v>
      </c>
      <c r="C825" s="11" t="s">
        <v>402</v>
      </c>
      <c r="D825" s="5" t="s">
        <v>58</v>
      </c>
      <c r="E825" s="5" t="s">
        <v>59</v>
      </c>
      <c r="F825" s="5"/>
      <c r="G825" s="22" t="n">
        <f aca="false">ROUND(SUM(I825:P825),3)</f>
        <v>66.21</v>
      </c>
      <c r="H825" s="5" t="str">
        <f aca="false">IF(G825&gt;=評分方法!$C$16,"優先評估",IF(G825&gt;=評分方法!$C$17,"列入候選",IF(G825&gt;=評分方法!$C$18,"特定情境","不建議")))</f>
        <v>特定情境</v>
      </c>
      <c r="I825" s="15" t="n">
        <f aca="false">AE825*評分方法!$C$5</f>
        <v>28.5</v>
      </c>
      <c r="J825" s="15" t="n">
        <f aca="false">AF825*評分方法!$C$6</f>
        <v>0</v>
      </c>
      <c r="K825" s="15" t="n">
        <f aca="false">AG825*評分方法!$C$7</f>
        <v>4.95</v>
      </c>
      <c r="L825" s="15" t="n">
        <f aca="false">AH825*評分方法!$C$8</f>
        <v>15</v>
      </c>
      <c r="M825" s="15" t="n">
        <f aca="false">AI825*評分方法!$C$9</f>
        <v>10</v>
      </c>
      <c r="N825" s="15" t="n">
        <f aca="false">AJ825*評分方法!$C$10</f>
        <v>5.26</v>
      </c>
      <c r="O825" s="15" t="n">
        <f aca="false">AK825*評分方法!$C$11</f>
        <v>2.5</v>
      </c>
      <c r="P825" s="15" t="n">
        <f aca="false">AL825*評分方法!$C$12</f>
        <v>0</v>
      </c>
      <c r="Q825" s="6" t="n">
        <v>555254</v>
      </c>
      <c r="R825" s="6" t="n">
        <v>33213315</v>
      </c>
      <c r="S825" s="11" t="s">
        <v>238</v>
      </c>
      <c r="T825" s="11" t="s">
        <v>239</v>
      </c>
      <c r="U825" s="5" t="s">
        <v>240</v>
      </c>
      <c r="V825" s="11" t="s">
        <v>261</v>
      </c>
      <c r="W825" s="5" t="s">
        <v>334</v>
      </c>
      <c r="X825" s="5" t="s">
        <v>242</v>
      </c>
      <c r="Y825" s="5"/>
      <c r="Z825" s="5"/>
      <c r="AA825" s="11" t="s">
        <v>150</v>
      </c>
      <c r="AB825" s="5" t="s">
        <v>245</v>
      </c>
      <c r="AC825" s="5"/>
      <c r="AD825" s="11" t="s">
        <v>2173</v>
      </c>
      <c r="AE825" s="23" t="n">
        <v>0.95</v>
      </c>
      <c r="AF825" s="23" t="n">
        <v>0</v>
      </c>
      <c r="AG825" s="23" t="n">
        <v>0.33</v>
      </c>
      <c r="AH825" s="23" t="n">
        <v>1</v>
      </c>
      <c r="AI825" s="23" t="n">
        <v>1</v>
      </c>
      <c r="AJ825" s="23" t="n">
        <v>0.526</v>
      </c>
      <c r="AK825" s="23" t="n">
        <v>0.5</v>
      </c>
      <c r="AL825" s="23" t="n">
        <v>0</v>
      </c>
      <c r="AM825" s="16" t="n">
        <f aca="false">COUNTIFS($D$2:$D$2501,D825,$G$2:$G$2501,"&gt;"&amp;G825)+COUNTIFS($D$2:D825,D825,$G$2:G825,G825)</f>
        <v>161</v>
      </c>
      <c r="AN825" s="5" t="str">
        <f aca="false">D825&amp;"|"&amp;AM825</f>
        <v>實體擷取與去識別化|161</v>
      </c>
    </row>
    <row r="826" customFormat="false" ht="17.15" hidden="false" customHeight="false" outlineLevel="0" collapsed="false">
      <c r="A826" s="16" t="n">
        <f aca="false">RANK(G826,$G$2:$G$2501)+COUNTIF($G$2:G826,G826)-1</f>
        <v>825</v>
      </c>
      <c r="B826" s="11" t="s">
        <v>2174</v>
      </c>
      <c r="C826" s="11" t="s">
        <v>402</v>
      </c>
      <c r="D826" s="5" t="s">
        <v>58</v>
      </c>
      <c r="E826" s="5" t="s">
        <v>59</v>
      </c>
      <c r="F826" s="5"/>
      <c r="G826" s="22" t="n">
        <f aca="false">ROUND(SUM(I826:P826),3)</f>
        <v>66.202</v>
      </c>
      <c r="H826" s="5" t="str">
        <f aca="false">IF(G826&gt;=評分方法!$C$16,"優先評估",IF(G826&gt;=評分方法!$C$17,"列入候選",IF(G826&gt;=評分方法!$C$18,"特定情境","不建議")))</f>
        <v>特定情境</v>
      </c>
      <c r="I826" s="15" t="n">
        <f aca="false">AE826*評分方法!$C$5</f>
        <v>28.5</v>
      </c>
      <c r="J826" s="15" t="n">
        <f aca="false">AF826*評分方法!$C$6</f>
        <v>0</v>
      </c>
      <c r="K826" s="15" t="n">
        <f aca="false">AG826*評分方法!$C$7</f>
        <v>4.95</v>
      </c>
      <c r="L826" s="15" t="n">
        <f aca="false">AH826*評分方法!$C$8</f>
        <v>15</v>
      </c>
      <c r="M826" s="15" t="n">
        <f aca="false">AI826*評分方法!$C$9</f>
        <v>10</v>
      </c>
      <c r="N826" s="15" t="n">
        <f aca="false">AJ826*評分方法!$C$10</f>
        <v>5.252</v>
      </c>
      <c r="O826" s="15" t="n">
        <f aca="false">AK826*評分方法!$C$11</f>
        <v>2.5</v>
      </c>
      <c r="P826" s="15" t="n">
        <f aca="false">AL826*評分方法!$C$12</f>
        <v>0</v>
      </c>
      <c r="Q826" s="6" t="n">
        <v>553837</v>
      </c>
      <c r="R826" s="6" t="n">
        <v>108900107</v>
      </c>
      <c r="S826" s="11" t="s">
        <v>238</v>
      </c>
      <c r="T826" s="11" t="s">
        <v>239</v>
      </c>
      <c r="U826" s="5" t="s">
        <v>240</v>
      </c>
      <c r="V826" s="11" t="s">
        <v>261</v>
      </c>
      <c r="W826" s="5" t="s">
        <v>334</v>
      </c>
      <c r="X826" s="5" t="s">
        <v>242</v>
      </c>
      <c r="Y826" s="5"/>
      <c r="Z826" s="5"/>
      <c r="AA826" s="11" t="s">
        <v>150</v>
      </c>
      <c r="AB826" s="5" t="s">
        <v>245</v>
      </c>
      <c r="AC826" s="5"/>
      <c r="AD826" s="11" t="s">
        <v>2175</v>
      </c>
      <c r="AE826" s="23" t="n">
        <v>0.95</v>
      </c>
      <c r="AF826" s="23" t="n">
        <v>0</v>
      </c>
      <c r="AG826" s="23" t="n">
        <v>0.33</v>
      </c>
      <c r="AH826" s="23" t="n">
        <v>1</v>
      </c>
      <c r="AI826" s="23" t="n">
        <v>1</v>
      </c>
      <c r="AJ826" s="23" t="n">
        <v>0.5252</v>
      </c>
      <c r="AK826" s="23" t="n">
        <v>0.5</v>
      </c>
      <c r="AL826" s="23" t="n">
        <v>0</v>
      </c>
      <c r="AM826" s="16" t="n">
        <f aca="false">COUNTIFS($D$2:$D$2501,D826,$G$2:$G$2501,"&gt;"&amp;G826)+COUNTIFS($D$2:D826,D826,$G$2:G826,G826)</f>
        <v>162</v>
      </c>
      <c r="AN826" s="5" t="str">
        <f aca="false">D826&amp;"|"&amp;AM826</f>
        <v>實體擷取與去識別化|162</v>
      </c>
    </row>
    <row r="827" customFormat="false" ht="17.15" hidden="false" customHeight="false" outlineLevel="0" collapsed="false">
      <c r="A827" s="16" t="n">
        <f aca="false">RANK(G827,$G$2:$G$2501)+COUNTIF($G$2:G827,G827)-1</f>
        <v>826</v>
      </c>
      <c r="B827" s="11" t="s">
        <v>2176</v>
      </c>
      <c r="C827" s="11" t="s">
        <v>402</v>
      </c>
      <c r="D827" s="5" t="s">
        <v>58</v>
      </c>
      <c r="E827" s="5" t="s">
        <v>59</v>
      </c>
      <c r="F827" s="5"/>
      <c r="G827" s="22" t="n">
        <f aca="false">ROUND(SUM(I827:P827),3)</f>
        <v>66.198</v>
      </c>
      <c r="H827" s="5" t="str">
        <f aca="false">IF(G827&gt;=評分方法!$C$16,"優先評估",IF(G827&gt;=評分方法!$C$17,"列入候選",IF(G827&gt;=評分方法!$C$18,"特定情境","不建議")))</f>
        <v>特定情境</v>
      </c>
      <c r="I827" s="15" t="n">
        <f aca="false">AE827*評分方法!$C$5</f>
        <v>28.5</v>
      </c>
      <c r="J827" s="15" t="n">
        <f aca="false">AF827*評分方法!$C$6</f>
        <v>0</v>
      </c>
      <c r="K827" s="15" t="n">
        <f aca="false">AG827*評分方法!$C$7</f>
        <v>4.95</v>
      </c>
      <c r="L827" s="15" t="n">
        <f aca="false">AH827*評分方法!$C$8</f>
        <v>15</v>
      </c>
      <c r="M827" s="15" t="n">
        <f aca="false">AI827*評分方法!$C$9</f>
        <v>10</v>
      </c>
      <c r="N827" s="15" t="n">
        <f aca="false">AJ827*評分方法!$C$10</f>
        <v>5.248</v>
      </c>
      <c r="O827" s="15" t="n">
        <f aca="false">AK827*評分方法!$C$11</f>
        <v>2.5</v>
      </c>
      <c r="P827" s="15" t="n">
        <f aca="false">AL827*評分方法!$C$12</f>
        <v>0</v>
      </c>
      <c r="Q827" s="6" t="n">
        <v>553290</v>
      </c>
      <c r="R827" s="6" t="n">
        <v>395834371</v>
      </c>
      <c r="S827" s="11" t="s">
        <v>238</v>
      </c>
      <c r="T827" s="11" t="s">
        <v>239</v>
      </c>
      <c r="U827" s="5" t="s">
        <v>240</v>
      </c>
      <c r="V827" s="11" t="s">
        <v>261</v>
      </c>
      <c r="W827" s="5" t="s">
        <v>334</v>
      </c>
      <c r="X827" s="5" t="s">
        <v>242</v>
      </c>
      <c r="Y827" s="5"/>
      <c r="Z827" s="5"/>
      <c r="AA827" s="11" t="s">
        <v>150</v>
      </c>
      <c r="AB827" s="5" t="s">
        <v>245</v>
      </c>
      <c r="AC827" s="5"/>
      <c r="AD827" s="11" t="s">
        <v>2177</v>
      </c>
      <c r="AE827" s="23" t="n">
        <v>0.95</v>
      </c>
      <c r="AF827" s="23" t="n">
        <v>0</v>
      </c>
      <c r="AG827" s="23" t="n">
        <v>0.33</v>
      </c>
      <c r="AH827" s="23" t="n">
        <v>1</v>
      </c>
      <c r="AI827" s="23" t="n">
        <v>1</v>
      </c>
      <c r="AJ827" s="23" t="n">
        <v>0.5248</v>
      </c>
      <c r="AK827" s="23" t="n">
        <v>0.5</v>
      </c>
      <c r="AL827" s="23" t="n">
        <v>0</v>
      </c>
      <c r="AM827" s="16" t="n">
        <f aca="false">COUNTIFS($D$2:$D$2501,D827,$G$2:$G$2501,"&gt;"&amp;G827)+COUNTIFS($D$2:D827,D827,$G$2:G827,G827)</f>
        <v>163</v>
      </c>
      <c r="AN827" s="5" t="str">
        <f aca="false">D827&amp;"|"&amp;AM827</f>
        <v>實體擷取與去識別化|163</v>
      </c>
    </row>
    <row r="828" customFormat="false" ht="17.15" hidden="false" customHeight="false" outlineLevel="0" collapsed="false">
      <c r="A828" s="16" t="n">
        <f aca="false">RANK(G828,$G$2:$G$2501)+COUNTIF($G$2:G828,G828)-1</f>
        <v>827</v>
      </c>
      <c r="B828" s="11" t="s">
        <v>2178</v>
      </c>
      <c r="C828" s="11" t="s">
        <v>402</v>
      </c>
      <c r="D828" s="5" t="s">
        <v>58</v>
      </c>
      <c r="E828" s="5" t="s">
        <v>59</v>
      </c>
      <c r="F828" s="5"/>
      <c r="G828" s="22" t="n">
        <f aca="false">ROUND(SUM(I828:P828),3)</f>
        <v>66.186</v>
      </c>
      <c r="H828" s="5" t="str">
        <f aca="false">IF(G828&gt;=評分方法!$C$16,"優先評估",IF(G828&gt;=評分方法!$C$17,"列入候選",IF(G828&gt;=評分方法!$C$18,"特定情境","不建議")))</f>
        <v>特定情境</v>
      </c>
      <c r="I828" s="15" t="n">
        <f aca="false">AE828*評分方法!$C$5</f>
        <v>28.5</v>
      </c>
      <c r="J828" s="15" t="n">
        <f aca="false">AF828*評分方法!$C$6</f>
        <v>0</v>
      </c>
      <c r="K828" s="15" t="n">
        <f aca="false">AG828*評分方法!$C$7</f>
        <v>4.95</v>
      </c>
      <c r="L828" s="15" t="n">
        <f aca="false">AH828*評分方法!$C$8</f>
        <v>15</v>
      </c>
      <c r="M828" s="15" t="n">
        <f aca="false">AI828*評分方法!$C$9</f>
        <v>10</v>
      </c>
      <c r="N828" s="15" t="n">
        <f aca="false">AJ828*評分方法!$C$10</f>
        <v>5.236</v>
      </c>
      <c r="O828" s="15" t="n">
        <f aca="false">AK828*評分方法!$C$11</f>
        <v>2.5</v>
      </c>
      <c r="P828" s="15" t="n">
        <f aca="false">AL828*評分方法!$C$12</f>
        <v>0</v>
      </c>
      <c r="Q828" s="6" t="n">
        <v>552431</v>
      </c>
      <c r="R828" s="6" t="n">
        <v>558852107</v>
      </c>
      <c r="S828" s="11" t="s">
        <v>238</v>
      </c>
      <c r="T828" s="11" t="s">
        <v>239</v>
      </c>
      <c r="U828" s="5" t="s">
        <v>240</v>
      </c>
      <c r="V828" s="11" t="s">
        <v>261</v>
      </c>
      <c r="W828" s="5" t="s">
        <v>334</v>
      </c>
      <c r="X828" s="5" t="s">
        <v>242</v>
      </c>
      <c r="Y828" s="5"/>
      <c r="Z828" s="5"/>
      <c r="AA828" s="11" t="s">
        <v>150</v>
      </c>
      <c r="AB828" s="5" t="s">
        <v>245</v>
      </c>
      <c r="AC828" s="5"/>
      <c r="AD828" s="11" t="s">
        <v>2179</v>
      </c>
      <c r="AE828" s="23" t="n">
        <v>0.95</v>
      </c>
      <c r="AF828" s="23" t="n">
        <v>0</v>
      </c>
      <c r="AG828" s="23" t="n">
        <v>0.33</v>
      </c>
      <c r="AH828" s="23" t="n">
        <v>1</v>
      </c>
      <c r="AI828" s="23" t="n">
        <v>1</v>
      </c>
      <c r="AJ828" s="23" t="n">
        <v>0.5236</v>
      </c>
      <c r="AK828" s="23" t="n">
        <v>0.5</v>
      </c>
      <c r="AL828" s="23" t="n">
        <v>0</v>
      </c>
      <c r="AM828" s="16" t="n">
        <f aca="false">COUNTIFS($D$2:$D$2501,D828,$G$2:$G$2501,"&gt;"&amp;G828)+COUNTIFS($D$2:D828,D828,$G$2:G828,G828)</f>
        <v>164</v>
      </c>
      <c r="AN828" s="5" t="str">
        <f aca="false">D828&amp;"|"&amp;AM828</f>
        <v>實體擷取與去識別化|164</v>
      </c>
    </row>
    <row r="829" customFormat="false" ht="17.15" hidden="false" customHeight="false" outlineLevel="0" collapsed="false">
      <c r="A829" s="16" t="n">
        <f aca="false">RANK(G829,$G$2:$G$2501)+COUNTIF($G$2:G829,G829)-1</f>
        <v>828</v>
      </c>
      <c r="B829" s="11" t="s">
        <v>2180</v>
      </c>
      <c r="C829" s="11" t="s">
        <v>402</v>
      </c>
      <c r="D829" s="5" t="s">
        <v>58</v>
      </c>
      <c r="E829" s="5" t="s">
        <v>59</v>
      </c>
      <c r="F829" s="5"/>
      <c r="G829" s="22" t="n">
        <f aca="false">ROUND(SUM(I829:P829),3)</f>
        <v>66.178</v>
      </c>
      <c r="H829" s="5" t="str">
        <f aca="false">IF(G829&gt;=評分方法!$C$16,"優先評估",IF(G829&gt;=評分方法!$C$17,"列入候選",IF(G829&gt;=評分方法!$C$18,"特定情境","不建議")))</f>
        <v>特定情境</v>
      </c>
      <c r="I829" s="15" t="n">
        <f aca="false">AE829*評分方法!$C$5</f>
        <v>28.5</v>
      </c>
      <c r="J829" s="15" t="n">
        <f aca="false">AF829*評分方法!$C$6</f>
        <v>0</v>
      </c>
      <c r="K829" s="15" t="n">
        <f aca="false">AG829*評分方法!$C$7</f>
        <v>4.95</v>
      </c>
      <c r="L829" s="15" t="n">
        <f aca="false">AH829*評分方法!$C$8</f>
        <v>15</v>
      </c>
      <c r="M829" s="15" t="n">
        <f aca="false">AI829*評分方法!$C$9</f>
        <v>10</v>
      </c>
      <c r="N829" s="15" t="n">
        <f aca="false">AJ829*評分方法!$C$10</f>
        <v>5.228</v>
      </c>
      <c r="O829" s="15" t="n">
        <f aca="false">AK829*評分方法!$C$11</f>
        <v>2.5</v>
      </c>
      <c r="P829" s="15" t="n">
        <f aca="false">AL829*評分方法!$C$12</f>
        <v>0</v>
      </c>
      <c r="Q829" s="6" t="n">
        <v>552200</v>
      </c>
      <c r="R829" s="6" t="n">
        <v>566708227</v>
      </c>
      <c r="S829" s="11" t="s">
        <v>238</v>
      </c>
      <c r="T829" s="11" t="s">
        <v>239</v>
      </c>
      <c r="U829" s="5" t="s">
        <v>240</v>
      </c>
      <c r="V829" s="11" t="s">
        <v>261</v>
      </c>
      <c r="W829" s="5" t="s">
        <v>334</v>
      </c>
      <c r="X829" s="5" t="s">
        <v>242</v>
      </c>
      <c r="Y829" s="5"/>
      <c r="Z829" s="5"/>
      <c r="AA829" s="11" t="s">
        <v>150</v>
      </c>
      <c r="AB829" s="5" t="s">
        <v>245</v>
      </c>
      <c r="AC829" s="5"/>
      <c r="AD829" s="11" t="s">
        <v>2181</v>
      </c>
      <c r="AE829" s="23" t="n">
        <v>0.95</v>
      </c>
      <c r="AF829" s="23" t="n">
        <v>0</v>
      </c>
      <c r="AG829" s="23" t="n">
        <v>0.33</v>
      </c>
      <c r="AH829" s="23" t="n">
        <v>1</v>
      </c>
      <c r="AI829" s="23" t="n">
        <v>1</v>
      </c>
      <c r="AJ829" s="23" t="n">
        <v>0.5228</v>
      </c>
      <c r="AK829" s="23" t="n">
        <v>0.5</v>
      </c>
      <c r="AL829" s="23" t="n">
        <v>0</v>
      </c>
      <c r="AM829" s="16" t="n">
        <f aca="false">COUNTIFS($D$2:$D$2501,D829,$G$2:$G$2501,"&gt;"&amp;G829)+COUNTIFS($D$2:D829,D829,$G$2:G829,G829)</f>
        <v>165</v>
      </c>
      <c r="AN829" s="5" t="str">
        <f aca="false">D829&amp;"|"&amp;AM829</f>
        <v>實體擷取與去識別化|165</v>
      </c>
    </row>
    <row r="830" customFormat="false" ht="17.15" hidden="false" customHeight="false" outlineLevel="0" collapsed="false">
      <c r="A830" s="16" t="n">
        <f aca="false">RANK(G830,$G$2:$G$2501)+COUNTIF($G$2:G830,G830)-1</f>
        <v>829</v>
      </c>
      <c r="B830" s="11" t="s">
        <v>2182</v>
      </c>
      <c r="C830" s="11" t="s">
        <v>402</v>
      </c>
      <c r="D830" s="5" t="s">
        <v>58</v>
      </c>
      <c r="E830" s="5" t="s">
        <v>59</v>
      </c>
      <c r="F830" s="5"/>
      <c r="G830" s="22" t="n">
        <f aca="false">ROUND(SUM(I830:P830),3)</f>
        <v>66.17</v>
      </c>
      <c r="H830" s="5" t="str">
        <f aca="false">IF(G830&gt;=評分方法!$C$16,"優先評估",IF(G830&gt;=評分方法!$C$17,"列入候選",IF(G830&gt;=評分方法!$C$18,"特定情境","不建議")))</f>
        <v>特定情境</v>
      </c>
      <c r="I830" s="15" t="n">
        <f aca="false">AE830*評分方法!$C$5</f>
        <v>28.5</v>
      </c>
      <c r="J830" s="15" t="n">
        <f aca="false">AF830*評分方法!$C$6</f>
        <v>0</v>
      </c>
      <c r="K830" s="15" t="n">
        <f aca="false">AG830*評分方法!$C$7</f>
        <v>4.95</v>
      </c>
      <c r="L830" s="15" t="n">
        <f aca="false">AH830*評分方法!$C$8</f>
        <v>15</v>
      </c>
      <c r="M830" s="15" t="n">
        <f aca="false">AI830*評分方法!$C$9</f>
        <v>10</v>
      </c>
      <c r="N830" s="15" t="n">
        <f aca="false">AJ830*評分方法!$C$10</f>
        <v>5.22</v>
      </c>
      <c r="O830" s="15" t="n">
        <f aca="false">AK830*評分方法!$C$11</f>
        <v>2.5</v>
      </c>
      <c r="P830" s="15" t="n">
        <f aca="false">AL830*評分方法!$C$12</f>
        <v>0</v>
      </c>
      <c r="Q830" s="6" t="n">
        <v>551299</v>
      </c>
      <c r="R830" s="6" t="n">
        <v>124057347</v>
      </c>
      <c r="S830" s="11" t="s">
        <v>238</v>
      </c>
      <c r="T830" s="11" t="s">
        <v>239</v>
      </c>
      <c r="U830" s="5" t="s">
        <v>240</v>
      </c>
      <c r="V830" s="11" t="s">
        <v>261</v>
      </c>
      <c r="W830" s="5" t="s">
        <v>334</v>
      </c>
      <c r="X830" s="5" t="s">
        <v>242</v>
      </c>
      <c r="Y830" s="5"/>
      <c r="Z830" s="5"/>
      <c r="AA830" s="11" t="s">
        <v>150</v>
      </c>
      <c r="AB830" s="5" t="s">
        <v>245</v>
      </c>
      <c r="AC830" s="5"/>
      <c r="AD830" s="11" t="s">
        <v>2183</v>
      </c>
      <c r="AE830" s="23" t="n">
        <v>0.95</v>
      </c>
      <c r="AF830" s="23" t="n">
        <v>0</v>
      </c>
      <c r="AG830" s="23" t="n">
        <v>0.33</v>
      </c>
      <c r="AH830" s="23" t="n">
        <v>1</v>
      </c>
      <c r="AI830" s="23" t="n">
        <v>1</v>
      </c>
      <c r="AJ830" s="23" t="n">
        <v>0.522</v>
      </c>
      <c r="AK830" s="23" t="n">
        <v>0.5</v>
      </c>
      <c r="AL830" s="23" t="n">
        <v>0</v>
      </c>
      <c r="AM830" s="16" t="n">
        <f aca="false">COUNTIFS($D$2:$D$2501,D830,$G$2:$G$2501,"&gt;"&amp;G830)+COUNTIFS($D$2:D830,D830,$G$2:G830,G830)</f>
        <v>166</v>
      </c>
      <c r="AN830" s="5" t="str">
        <f aca="false">D830&amp;"|"&amp;AM830</f>
        <v>實體擷取與去識別化|166</v>
      </c>
    </row>
    <row r="831" customFormat="false" ht="17.15" hidden="false" customHeight="false" outlineLevel="0" collapsed="false">
      <c r="A831" s="16" t="n">
        <f aca="false">RANK(G831,$G$2:$G$2501)+COUNTIF($G$2:G831,G831)-1</f>
        <v>830</v>
      </c>
      <c r="B831" s="11" t="s">
        <v>2184</v>
      </c>
      <c r="C831" s="11" t="s">
        <v>402</v>
      </c>
      <c r="D831" s="5" t="s">
        <v>58</v>
      </c>
      <c r="E831" s="5" t="s">
        <v>59</v>
      </c>
      <c r="F831" s="5"/>
      <c r="G831" s="22" t="n">
        <f aca="false">ROUND(SUM(I831:P831),3)</f>
        <v>66.166</v>
      </c>
      <c r="H831" s="5" t="str">
        <f aca="false">IF(G831&gt;=評分方法!$C$16,"優先評估",IF(G831&gt;=評分方法!$C$17,"列入候選",IF(G831&gt;=評分方法!$C$18,"特定情境","不建議")))</f>
        <v>特定情境</v>
      </c>
      <c r="I831" s="15" t="n">
        <f aca="false">AE831*評分方法!$C$5</f>
        <v>28.5</v>
      </c>
      <c r="J831" s="15" t="n">
        <f aca="false">AF831*評分方法!$C$6</f>
        <v>0</v>
      </c>
      <c r="K831" s="15" t="n">
        <f aca="false">AG831*評分方法!$C$7</f>
        <v>4.95</v>
      </c>
      <c r="L831" s="15" t="n">
        <f aca="false">AH831*評分方法!$C$8</f>
        <v>15</v>
      </c>
      <c r="M831" s="15" t="n">
        <f aca="false">AI831*評分方法!$C$9</f>
        <v>10</v>
      </c>
      <c r="N831" s="15" t="n">
        <f aca="false">AJ831*評分方法!$C$10</f>
        <v>5.216</v>
      </c>
      <c r="O831" s="15" t="n">
        <f aca="false">AK831*評分方法!$C$11</f>
        <v>2.5</v>
      </c>
      <c r="P831" s="15" t="n">
        <f aca="false">AL831*評分方法!$C$12</f>
        <v>0</v>
      </c>
      <c r="Q831" s="6" t="n">
        <v>550912</v>
      </c>
      <c r="R831" s="6" t="n">
        <v>149613323</v>
      </c>
      <c r="S831" s="11" t="s">
        <v>238</v>
      </c>
      <c r="T831" s="11" t="s">
        <v>239</v>
      </c>
      <c r="U831" s="5" t="s">
        <v>240</v>
      </c>
      <c r="V831" s="11" t="s">
        <v>261</v>
      </c>
      <c r="W831" s="5" t="s">
        <v>334</v>
      </c>
      <c r="X831" s="5" t="s">
        <v>242</v>
      </c>
      <c r="Y831" s="5"/>
      <c r="Z831" s="5"/>
      <c r="AA831" s="11" t="s">
        <v>150</v>
      </c>
      <c r="AB831" s="5" t="s">
        <v>245</v>
      </c>
      <c r="AC831" s="5"/>
      <c r="AD831" s="11" t="s">
        <v>2185</v>
      </c>
      <c r="AE831" s="23" t="n">
        <v>0.95</v>
      </c>
      <c r="AF831" s="23" t="n">
        <v>0</v>
      </c>
      <c r="AG831" s="23" t="n">
        <v>0.33</v>
      </c>
      <c r="AH831" s="23" t="n">
        <v>1</v>
      </c>
      <c r="AI831" s="23" t="n">
        <v>1</v>
      </c>
      <c r="AJ831" s="23" t="n">
        <v>0.5216</v>
      </c>
      <c r="AK831" s="23" t="n">
        <v>0.5</v>
      </c>
      <c r="AL831" s="23" t="n">
        <v>0</v>
      </c>
      <c r="AM831" s="16" t="n">
        <f aca="false">COUNTIFS($D$2:$D$2501,D831,$G$2:$G$2501,"&gt;"&amp;G831)+COUNTIFS($D$2:D831,D831,$G$2:G831,G831)</f>
        <v>167</v>
      </c>
      <c r="AN831" s="5" t="str">
        <f aca="false">D831&amp;"|"&amp;AM831</f>
        <v>實體擷取與去識別化|167</v>
      </c>
    </row>
    <row r="832" customFormat="false" ht="17.15" hidden="false" customHeight="false" outlineLevel="0" collapsed="false">
      <c r="A832" s="16" t="n">
        <f aca="false">RANK(G832,$G$2:$G$2501)+COUNTIF($G$2:G832,G832)-1</f>
        <v>831</v>
      </c>
      <c r="B832" s="11" t="s">
        <v>2186</v>
      </c>
      <c r="C832" s="11" t="s">
        <v>368</v>
      </c>
      <c r="D832" s="5" t="s">
        <v>56</v>
      </c>
      <c r="E832" s="5" t="s">
        <v>57</v>
      </c>
      <c r="F832" s="5"/>
      <c r="G832" s="22" t="n">
        <f aca="false">ROUND(SUM(I832:P832),3)</f>
        <v>66.16</v>
      </c>
      <c r="H832" s="5" t="str">
        <f aca="false">IF(G832&gt;=評分方法!$C$16,"優先評估",IF(G832&gt;=評分方法!$C$17,"列入候選",IF(G832&gt;=評分方法!$C$18,"特定情境","不建議")))</f>
        <v>特定情境</v>
      </c>
      <c r="I832" s="15" t="n">
        <f aca="false">AE832*評分方法!$C$5</f>
        <v>25.5</v>
      </c>
      <c r="J832" s="15" t="n">
        <f aca="false">AF832*評分方法!$C$6</f>
        <v>0</v>
      </c>
      <c r="K832" s="15" t="n">
        <f aca="false">AG832*評分方法!$C$7</f>
        <v>15</v>
      </c>
      <c r="L832" s="15" t="n">
        <f aca="false">AH832*評分方法!$C$8</f>
        <v>13.05</v>
      </c>
      <c r="M832" s="15" t="n">
        <f aca="false">AI832*評分方法!$C$9</f>
        <v>6</v>
      </c>
      <c r="N832" s="15" t="n">
        <f aca="false">AJ832*評分方法!$C$10</f>
        <v>2.61</v>
      </c>
      <c r="O832" s="15" t="n">
        <f aca="false">AK832*評分方法!$C$11</f>
        <v>1</v>
      </c>
      <c r="P832" s="15" t="n">
        <f aca="false">AL832*評分方法!$C$12</f>
        <v>3</v>
      </c>
      <c r="Q832" s="6" t="n">
        <v>262150</v>
      </c>
      <c r="R832" s="6" t="n">
        <v>8537680896</v>
      </c>
      <c r="S832" s="11" t="s">
        <v>254</v>
      </c>
      <c r="T832" s="11" t="s">
        <v>658</v>
      </c>
      <c r="U832" s="5" t="s">
        <v>260</v>
      </c>
      <c r="V832" s="11" t="s">
        <v>462</v>
      </c>
      <c r="W832" s="5" t="s">
        <v>205</v>
      </c>
      <c r="X832" s="5" t="s">
        <v>371</v>
      </c>
      <c r="Y832" s="5"/>
      <c r="Z832" s="5"/>
      <c r="AA832" s="11" t="s">
        <v>155</v>
      </c>
      <c r="AB832" s="5" t="s">
        <v>245</v>
      </c>
      <c r="AC832" s="5" t="s">
        <v>262</v>
      </c>
      <c r="AD832" s="11" t="s">
        <v>2187</v>
      </c>
      <c r="AE832" s="23" t="n">
        <v>0.85</v>
      </c>
      <c r="AF832" s="23" t="n">
        <v>0</v>
      </c>
      <c r="AG832" s="23" t="n">
        <v>1</v>
      </c>
      <c r="AH832" s="23" t="n">
        <v>0.87</v>
      </c>
      <c r="AI832" s="23" t="n">
        <v>0.6</v>
      </c>
      <c r="AJ832" s="23" t="n">
        <v>0.261</v>
      </c>
      <c r="AK832" s="23" t="n">
        <v>0.2</v>
      </c>
      <c r="AL832" s="23" t="n">
        <v>0.6</v>
      </c>
      <c r="AM832" s="16" t="n">
        <f aca="false">COUNTIFS($D$2:$D$2501,D832,$G$2:$G$2501,"&gt;"&amp;G832)+COUNTIFS($D$2:D832,D832,$G$2:G832,G832)</f>
        <v>398</v>
      </c>
      <c r="AN832" s="5" t="str">
        <f aca="false">D832&amp;"|"&amp;AM832</f>
        <v>分析與報告生成|398</v>
      </c>
    </row>
    <row r="833" customFormat="false" ht="17.15" hidden="false" customHeight="false" outlineLevel="0" collapsed="false">
      <c r="A833" s="16" t="n">
        <f aca="false">RANK(G833,$G$2:$G$2501)+COUNTIF($G$2:G833,G833)-1</f>
        <v>832</v>
      </c>
      <c r="B833" s="11" t="s">
        <v>2188</v>
      </c>
      <c r="C833" s="11" t="s">
        <v>402</v>
      </c>
      <c r="D833" s="5" t="s">
        <v>58</v>
      </c>
      <c r="E833" s="5" t="s">
        <v>59</v>
      </c>
      <c r="F833" s="5"/>
      <c r="G833" s="22" t="n">
        <f aca="false">ROUND(SUM(I833:P833),3)</f>
        <v>66.158</v>
      </c>
      <c r="H833" s="5" t="str">
        <f aca="false">IF(G833&gt;=評分方法!$C$16,"優先評估",IF(G833&gt;=評分方法!$C$17,"列入候選",IF(G833&gt;=評分方法!$C$18,"特定情境","不建議")))</f>
        <v>特定情境</v>
      </c>
      <c r="I833" s="15" t="n">
        <f aca="false">AE833*評分方法!$C$5</f>
        <v>28.5</v>
      </c>
      <c r="J833" s="15" t="n">
        <f aca="false">AF833*評分方法!$C$6</f>
        <v>0</v>
      </c>
      <c r="K833" s="15" t="n">
        <f aca="false">AG833*評分方法!$C$7</f>
        <v>4.95</v>
      </c>
      <c r="L833" s="15" t="n">
        <f aca="false">AH833*評分方法!$C$8</f>
        <v>15</v>
      </c>
      <c r="M833" s="15" t="n">
        <f aca="false">AI833*評分方法!$C$9</f>
        <v>10</v>
      </c>
      <c r="N833" s="15" t="n">
        <f aca="false">AJ833*評分方法!$C$10</f>
        <v>5.208</v>
      </c>
      <c r="O833" s="15" t="n">
        <f aca="false">AK833*評分方法!$C$11</f>
        <v>2.5</v>
      </c>
      <c r="P833" s="15" t="n">
        <f aca="false">AL833*評分方法!$C$12</f>
        <v>0</v>
      </c>
      <c r="Q833" s="6" t="n">
        <v>550739</v>
      </c>
      <c r="R833" s="6" t="n">
        <v>395842571</v>
      </c>
      <c r="S833" s="11" t="s">
        <v>238</v>
      </c>
      <c r="T833" s="11" t="s">
        <v>239</v>
      </c>
      <c r="U833" s="5" t="s">
        <v>240</v>
      </c>
      <c r="V833" s="11" t="s">
        <v>261</v>
      </c>
      <c r="W833" s="5" t="s">
        <v>334</v>
      </c>
      <c r="X833" s="5" t="s">
        <v>242</v>
      </c>
      <c r="Y833" s="5"/>
      <c r="Z833" s="5"/>
      <c r="AA833" s="11" t="s">
        <v>150</v>
      </c>
      <c r="AB833" s="5" t="s">
        <v>245</v>
      </c>
      <c r="AC833" s="5"/>
      <c r="AD833" s="11" t="s">
        <v>2189</v>
      </c>
      <c r="AE833" s="23" t="n">
        <v>0.95</v>
      </c>
      <c r="AF833" s="23" t="n">
        <v>0</v>
      </c>
      <c r="AG833" s="23" t="n">
        <v>0.33</v>
      </c>
      <c r="AH833" s="23" t="n">
        <v>1</v>
      </c>
      <c r="AI833" s="23" t="n">
        <v>1</v>
      </c>
      <c r="AJ833" s="23" t="n">
        <v>0.5208</v>
      </c>
      <c r="AK833" s="23" t="n">
        <v>0.5</v>
      </c>
      <c r="AL833" s="23" t="n">
        <v>0</v>
      </c>
      <c r="AM833" s="16" t="n">
        <f aca="false">COUNTIFS($D$2:$D$2501,D833,$G$2:$G$2501,"&gt;"&amp;G833)+COUNTIFS($D$2:D833,D833,$G$2:G833,G833)</f>
        <v>168</v>
      </c>
      <c r="AN833" s="5" t="str">
        <f aca="false">D833&amp;"|"&amp;AM833</f>
        <v>實體擷取與去識別化|168</v>
      </c>
    </row>
    <row r="834" customFormat="false" ht="17.15" hidden="false" customHeight="false" outlineLevel="0" collapsed="false">
      <c r="A834" s="16" t="n">
        <f aca="false">RANK(G834,$G$2:$G$2501)+COUNTIF($G$2:G834,G834)-1</f>
        <v>833</v>
      </c>
      <c r="B834" s="11" t="s">
        <v>2190</v>
      </c>
      <c r="C834" s="11" t="s">
        <v>402</v>
      </c>
      <c r="D834" s="5" t="s">
        <v>58</v>
      </c>
      <c r="E834" s="5" t="s">
        <v>59</v>
      </c>
      <c r="F834" s="5"/>
      <c r="G834" s="22" t="n">
        <f aca="false">ROUND(SUM(I834:P834),3)</f>
        <v>66.146</v>
      </c>
      <c r="H834" s="5" t="str">
        <f aca="false">IF(G834&gt;=評分方法!$C$16,"優先評估",IF(G834&gt;=評分方法!$C$17,"列入候選",IF(G834&gt;=評分方法!$C$18,"特定情境","不建議")))</f>
        <v>特定情境</v>
      </c>
      <c r="I834" s="15" t="n">
        <f aca="false">AE834*評分方法!$C$5</f>
        <v>28.5</v>
      </c>
      <c r="J834" s="15" t="n">
        <f aca="false">AF834*評分方法!$C$6</f>
        <v>0</v>
      </c>
      <c r="K834" s="15" t="n">
        <f aca="false">AG834*評分方法!$C$7</f>
        <v>4.95</v>
      </c>
      <c r="L834" s="15" t="n">
        <f aca="false">AH834*評分方法!$C$8</f>
        <v>15</v>
      </c>
      <c r="M834" s="15" t="n">
        <f aca="false">AI834*評分方法!$C$9</f>
        <v>10</v>
      </c>
      <c r="N834" s="15" t="n">
        <f aca="false">AJ834*評分方法!$C$10</f>
        <v>5.196</v>
      </c>
      <c r="O834" s="15" t="n">
        <f aca="false">AK834*評分方法!$C$11</f>
        <v>2.5</v>
      </c>
      <c r="P834" s="15" t="n">
        <f aca="false">AL834*評分方法!$C$12</f>
        <v>0</v>
      </c>
      <c r="Q834" s="6" t="n">
        <v>550272</v>
      </c>
      <c r="R834" s="6" t="n">
        <v>566708227</v>
      </c>
      <c r="S834" s="11" t="s">
        <v>238</v>
      </c>
      <c r="T834" s="11" t="s">
        <v>239</v>
      </c>
      <c r="U834" s="5" t="s">
        <v>240</v>
      </c>
      <c r="V834" s="11" t="s">
        <v>261</v>
      </c>
      <c r="W834" s="5" t="s">
        <v>334</v>
      </c>
      <c r="X834" s="5" t="s">
        <v>242</v>
      </c>
      <c r="Y834" s="5"/>
      <c r="Z834" s="5"/>
      <c r="AA834" s="11" t="s">
        <v>150</v>
      </c>
      <c r="AB834" s="5" t="s">
        <v>245</v>
      </c>
      <c r="AC834" s="5"/>
      <c r="AD834" s="11" t="s">
        <v>2191</v>
      </c>
      <c r="AE834" s="23" t="n">
        <v>0.95</v>
      </c>
      <c r="AF834" s="23" t="n">
        <v>0</v>
      </c>
      <c r="AG834" s="23" t="n">
        <v>0.33</v>
      </c>
      <c r="AH834" s="23" t="n">
        <v>1</v>
      </c>
      <c r="AI834" s="23" t="n">
        <v>1</v>
      </c>
      <c r="AJ834" s="23" t="n">
        <v>0.5196</v>
      </c>
      <c r="AK834" s="23" t="n">
        <v>0.5</v>
      </c>
      <c r="AL834" s="23" t="n">
        <v>0</v>
      </c>
      <c r="AM834" s="16" t="n">
        <f aca="false">COUNTIFS($D$2:$D$2501,D834,$G$2:$G$2501,"&gt;"&amp;G834)+COUNTIFS($D$2:D834,D834,$G$2:G834,G834)</f>
        <v>169</v>
      </c>
      <c r="AN834" s="5" t="str">
        <f aca="false">D834&amp;"|"&amp;AM834</f>
        <v>實體擷取與去識別化|169</v>
      </c>
    </row>
    <row r="835" customFormat="false" ht="17.15" hidden="false" customHeight="false" outlineLevel="0" collapsed="false">
      <c r="A835" s="16" t="n">
        <f aca="false">RANK(G835,$G$2:$G$2501)+COUNTIF($G$2:G835,G835)-1</f>
        <v>834</v>
      </c>
      <c r="B835" s="11" t="s">
        <v>2192</v>
      </c>
      <c r="C835" s="11" t="s">
        <v>402</v>
      </c>
      <c r="D835" s="5" t="s">
        <v>58</v>
      </c>
      <c r="E835" s="5" t="s">
        <v>59</v>
      </c>
      <c r="F835" s="5"/>
      <c r="G835" s="22" t="n">
        <f aca="false">ROUND(SUM(I835:P835),3)</f>
        <v>66.142</v>
      </c>
      <c r="H835" s="5" t="str">
        <f aca="false">IF(G835&gt;=評分方法!$C$16,"優先評估",IF(G835&gt;=評分方法!$C$17,"列入候選",IF(G835&gt;=評分方法!$C$18,"特定情境","不建議")))</f>
        <v>特定情境</v>
      </c>
      <c r="I835" s="15" t="n">
        <f aca="false">AE835*評分方法!$C$5</f>
        <v>28.5</v>
      </c>
      <c r="J835" s="15" t="n">
        <f aca="false">AF835*評分方法!$C$6</f>
        <v>0</v>
      </c>
      <c r="K835" s="15" t="n">
        <f aca="false">AG835*評分方法!$C$7</f>
        <v>4.95</v>
      </c>
      <c r="L835" s="15" t="n">
        <f aca="false">AH835*評分方法!$C$8</f>
        <v>15</v>
      </c>
      <c r="M835" s="15" t="n">
        <f aca="false">AI835*評分方法!$C$9</f>
        <v>10</v>
      </c>
      <c r="N835" s="15" t="n">
        <f aca="false">AJ835*評分方法!$C$10</f>
        <v>5.192</v>
      </c>
      <c r="O835" s="15" t="n">
        <f aca="false">AK835*評分方法!$C$11</f>
        <v>2.5</v>
      </c>
      <c r="P835" s="15" t="n">
        <f aca="false">AL835*評分方法!$C$12</f>
        <v>0</v>
      </c>
      <c r="Q835" s="6" t="n">
        <v>550191</v>
      </c>
      <c r="R835" s="6" t="n">
        <v>334095363</v>
      </c>
      <c r="S835" s="11" t="s">
        <v>238</v>
      </c>
      <c r="T835" s="11" t="s">
        <v>239</v>
      </c>
      <c r="U835" s="5" t="s">
        <v>240</v>
      </c>
      <c r="V835" s="11" t="s">
        <v>261</v>
      </c>
      <c r="W835" s="5" t="s">
        <v>334</v>
      </c>
      <c r="X835" s="5" t="s">
        <v>242</v>
      </c>
      <c r="Y835" s="5"/>
      <c r="Z835" s="5"/>
      <c r="AA835" s="11" t="s">
        <v>150</v>
      </c>
      <c r="AB835" s="5" t="s">
        <v>245</v>
      </c>
      <c r="AC835" s="5"/>
      <c r="AD835" s="11" t="s">
        <v>2193</v>
      </c>
      <c r="AE835" s="23" t="n">
        <v>0.95</v>
      </c>
      <c r="AF835" s="23" t="n">
        <v>0</v>
      </c>
      <c r="AG835" s="23" t="n">
        <v>0.33</v>
      </c>
      <c r="AH835" s="23" t="n">
        <v>1</v>
      </c>
      <c r="AI835" s="23" t="n">
        <v>1</v>
      </c>
      <c r="AJ835" s="23" t="n">
        <v>0.5192</v>
      </c>
      <c r="AK835" s="23" t="n">
        <v>0.5</v>
      </c>
      <c r="AL835" s="23" t="n">
        <v>0</v>
      </c>
      <c r="AM835" s="16" t="n">
        <f aca="false">COUNTIFS($D$2:$D$2501,D835,$G$2:$G$2501,"&gt;"&amp;G835)+COUNTIFS($D$2:D835,D835,$G$2:G835,G835)</f>
        <v>170</v>
      </c>
      <c r="AN835" s="5" t="str">
        <f aca="false">D835&amp;"|"&amp;AM835</f>
        <v>實體擷取與去識別化|170</v>
      </c>
    </row>
    <row r="836" customFormat="false" ht="17.15" hidden="false" customHeight="false" outlineLevel="0" collapsed="false">
      <c r="A836" s="16" t="n">
        <f aca="false">RANK(G836,$G$2:$G$2501)+COUNTIF($G$2:G836,G836)-1</f>
        <v>835</v>
      </c>
      <c r="B836" s="11" t="s">
        <v>2194</v>
      </c>
      <c r="C836" s="11" t="s">
        <v>402</v>
      </c>
      <c r="D836" s="5" t="s">
        <v>58</v>
      </c>
      <c r="E836" s="5" t="s">
        <v>59</v>
      </c>
      <c r="F836" s="5"/>
      <c r="G836" s="22" t="n">
        <f aca="false">ROUND(SUM(I836:P836),3)</f>
        <v>66.126</v>
      </c>
      <c r="H836" s="5" t="str">
        <f aca="false">IF(G836&gt;=評分方法!$C$16,"優先評估",IF(G836&gt;=評分方法!$C$17,"列入候選",IF(G836&gt;=評分方法!$C$18,"特定情境","不建議")))</f>
        <v>特定情境</v>
      </c>
      <c r="I836" s="15" t="n">
        <f aca="false">AE836*評分方法!$C$5</f>
        <v>28.5</v>
      </c>
      <c r="J836" s="15" t="n">
        <f aca="false">AF836*評分方法!$C$6</f>
        <v>0</v>
      </c>
      <c r="K836" s="15" t="n">
        <f aca="false">AG836*評分方法!$C$7</f>
        <v>4.95</v>
      </c>
      <c r="L836" s="15" t="n">
        <f aca="false">AH836*評分方法!$C$8</f>
        <v>15</v>
      </c>
      <c r="M836" s="15" t="n">
        <f aca="false">AI836*評分方法!$C$9</f>
        <v>10</v>
      </c>
      <c r="N836" s="15" t="n">
        <f aca="false">AJ836*評分方法!$C$10</f>
        <v>5.176</v>
      </c>
      <c r="O836" s="15" t="n">
        <f aca="false">AK836*評分方法!$C$11</f>
        <v>2.5</v>
      </c>
      <c r="P836" s="15" t="n">
        <f aca="false">AL836*評分方法!$C$12</f>
        <v>0</v>
      </c>
      <c r="Q836" s="6" t="n">
        <v>549352</v>
      </c>
      <c r="R836" s="6" t="n">
        <v>558843907</v>
      </c>
      <c r="S836" s="11" t="s">
        <v>238</v>
      </c>
      <c r="T836" s="11" t="s">
        <v>239</v>
      </c>
      <c r="U836" s="5" t="s">
        <v>240</v>
      </c>
      <c r="V836" s="11" t="s">
        <v>261</v>
      </c>
      <c r="W836" s="5" t="s">
        <v>334</v>
      </c>
      <c r="X836" s="5" t="s">
        <v>242</v>
      </c>
      <c r="Y836" s="5"/>
      <c r="Z836" s="5"/>
      <c r="AA836" s="11" t="s">
        <v>150</v>
      </c>
      <c r="AB836" s="5" t="s">
        <v>245</v>
      </c>
      <c r="AC836" s="5"/>
      <c r="AD836" s="11" t="s">
        <v>2195</v>
      </c>
      <c r="AE836" s="23" t="n">
        <v>0.95</v>
      </c>
      <c r="AF836" s="23" t="n">
        <v>0</v>
      </c>
      <c r="AG836" s="23" t="n">
        <v>0.33</v>
      </c>
      <c r="AH836" s="23" t="n">
        <v>1</v>
      </c>
      <c r="AI836" s="23" t="n">
        <v>1</v>
      </c>
      <c r="AJ836" s="23" t="n">
        <v>0.5176</v>
      </c>
      <c r="AK836" s="23" t="n">
        <v>0.5</v>
      </c>
      <c r="AL836" s="23" t="n">
        <v>0</v>
      </c>
      <c r="AM836" s="16" t="n">
        <f aca="false">COUNTIFS($D$2:$D$2501,D836,$G$2:$G$2501,"&gt;"&amp;G836)+COUNTIFS($D$2:D836,D836,$G$2:G836,G836)</f>
        <v>171</v>
      </c>
      <c r="AN836" s="5" t="str">
        <f aca="false">D836&amp;"|"&amp;AM836</f>
        <v>實體擷取與去識別化|171</v>
      </c>
    </row>
    <row r="837" customFormat="false" ht="17.15" hidden="false" customHeight="false" outlineLevel="0" collapsed="false">
      <c r="A837" s="16" t="n">
        <f aca="false">RANK(G837,$G$2:$G$2501)+COUNTIF($G$2:G837,G837)-1</f>
        <v>836</v>
      </c>
      <c r="B837" s="11" t="s">
        <v>2196</v>
      </c>
      <c r="C837" s="11" t="s">
        <v>402</v>
      </c>
      <c r="D837" s="5" t="s">
        <v>58</v>
      </c>
      <c r="E837" s="5" t="s">
        <v>59</v>
      </c>
      <c r="F837" s="5"/>
      <c r="G837" s="22" t="n">
        <f aca="false">ROUND(SUM(I837:P837),3)</f>
        <v>66.122</v>
      </c>
      <c r="H837" s="5" t="str">
        <f aca="false">IF(G837&gt;=評分方法!$C$16,"優先評估",IF(G837&gt;=評分方法!$C$17,"列入候選",IF(G837&gt;=評分方法!$C$18,"特定情境","不建議")))</f>
        <v>特定情境</v>
      </c>
      <c r="I837" s="15" t="n">
        <f aca="false">AE837*評分方法!$C$5</f>
        <v>28.5</v>
      </c>
      <c r="J837" s="15" t="n">
        <f aca="false">AF837*評分方法!$C$6</f>
        <v>0</v>
      </c>
      <c r="K837" s="15" t="n">
        <f aca="false">AG837*評分方法!$C$7</f>
        <v>4.95</v>
      </c>
      <c r="L837" s="15" t="n">
        <f aca="false">AH837*評分方法!$C$8</f>
        <v>15</v>
      </c>
      <c r="M837" s="15" t="n">
        <f aca="false">AI837*評分方法!$C$9</f>
        <v>10</v>
      </c>
      <c r="N837" s="15" t="n">
        <f aca="false">AJ837*評分方法!$C$10</f>
        <v>5.172</v>
      </c>
      <c r="O837" s="15" t="n">
        <f aca="false">AK837*評分方法!$C$11</f>
        <v>2.5</v>
      </c>
      <c r="P837" s="15" t="n">
        <f aca="false">AL837*評分方法!$C$12</f>
        <v>0</v>
      </c>
      <c r="Q837" s="6" t="n">
        <v>549190</v>
      </c>
      <c r="R837" s="6" t="n">
        <v>566708227</v>
      </c>
      <c r="S837" s="11" t="s">
        <v>238</v>
      </c>
      <c r="T837" s="11" t="s">
        <v>239</v>
      </c>
      <c r="U837" s="5" t="s">
        <v>240</v>
      </c>
      <c r="V837" s="11" t="s">
        <v>261</v>
      </c>
      <c r="W837" s="5" t="s">
        <v>334</v>
      </c>
      <c r="X837" s="5" t="s">
        <v>242</v>
      </c>
      <c r="Y837" s="5"/>
      <c r="Z837" s="5"/>
      <c r="AA837" s="11" t="s">
        <v>150</v>
      </c>
      <c r="AB837" s="5" t="s">
        <v>245</v>
      </c>
      <c r="AC837" s="5"/>
      <c r="AD837" s="11" t="s">
        <v>2197</v>
      </c>
      <c r="AE837" s="23" t="n">
        <v>0.95</v>
      </c>
      <c r="AF837" s="23" t="n">
        <v>0</v>
      </c>
      <c r="AG837" s="23" t="n">
        <v>0.33</v>
      </c>
      <c r="AH837" s="23" t="n">
        <v>1</v>
      </c>
      <c r="AI837" s="23" t="n">
        <v>1</v>
      </c>
      <c r="AJ837" s="23" t="n">
        <v>0.5172</v>
      </c>
      <c r="AK837" s="23" t="n">
        <v>0.5</v>
      </c>
      <c r="AL837" s="23" t="n">
        <v>0</v>
      </c>
      <c r="AM837" s="16" t="n">
        <f aca="false">COUNTIFS($D$2:$D$2501,D837,$G$2:$G$2501,"&gt;"&amp;G837)+COUNTIFS($D$2:D837,D837,$G$2:G837,G837)</f>
        <v>172</v>
      </c>
      <c r="AN837" s="5" t="str">
        <f aca="false">D837&amp;"|"&amp;AM837</f>
        <v>實體擷取與去識別化|172</v>
      </c>
    </row>
    <row r="838" customFormat="false" ht="17.15" hidden="false" customHeight="false" outlineLevel="0" collapsed="false">
      <c r="A838" s="16" t="n">
        <f aca="false">RANK(G838,$G$2:$G$2501)+COUNTIF($G$2:G838,G838)-1</f>
        <v>837</v>
      </c>
      <c r="B838" s="11" t="s">
        <v>2198</v>
      </c>
      <c r="C838" s="11" t="s">
        <v>402</v>
      </c>
      <c r="D838" s="5" t="s">
        <v>58</v>
      </c>
      <c r="E838" s="5" t="s">
        <v>59</v>
      </c>
      <c r="F838" s="5"/>
      <c r="G838" s="22" t="n">
        <f aca="false">ROUND(SUM(I838:P838),3)</f>
        <v>66.114</v>
      </c>
      <c r="H838" s="5" t="str">
        <f aca="false">IF(G838&gt;=評分方法!$C$16,"優先評估",IF(G838&gt;=評分方法!$C$17,"列入候選",IF(G838&gt;=評分方法!$C$18,"特定情境","不建議")))</f>
        <v>特定情境</v>
      </c>
      <c r="I838" s="15" t="n">
        <f aca="false">AE838*評分方法!$C$5</f>
        <v>28.5</v>
      </c>
      <c r="J838" s="15" t="n">
        <f aca="false">AF838*評分方法!$C$6</f>
        <v>0</v>
      </c>
      <c r="K838" s="15" t="n">
        <f aca="false">AG838*評分方法!$C$7</f>
        <v>4.95</v>
      </c>
      <c r="L838" s="15" t="n">
        <f aca="false">AH838*評分方法!$C$8</f>
        <v>15</v>
      </c>
      <c r="M838" s="15" t="n">
        <f aca="false">AI838*評分方法!$C$9</f>
        <v>10</v>
      </c>
      <c r="N838" s="15" t="n">
        <f aca="false">AJ838*評分方法!$C$10</f>
        <v>5.164</v>
      </c>
      <c r="O838" s="15" t="n">
        <f aca="false">AK838*評分方法!$C$11</f>
        <v>2.5</v>
      </c>
      <c r="P838" s="15" t="n">
        <f aca="false">AL838*評分方法!$C$12</f>
        <v>0</v>
      </c>
      <c r="Q838" s="6" t="n">
        <v>548979</v>
      </c>
      <c r="R838" s="6" t="n">
        <v>334095363</v>
      </c>
      <c r="S838" s="11" t="s">
        <v>238</v>
      </c>
      <c r="T838" s="11" t="s">
        <v>239</v>
      </c>
      <c r="U838" s="5" t="s">
        <v>240</v>
      </c>
      <c r="V838" s="11" t="s">
        <v>261</v>
      </c>
      <c r="W838" s="5" t="s">
        <v>334</v>
      </c>
      <c r="X838" s="5" t="s">
        <v>242</v>
      </c>
      <c r="Y838" s="5"/>
      <c r="Z838" s="5"/>
      <c r="AA838" s="11" t="s">
        <v>150</v>
      </c>
      <c r="AB838" s="5" t="s">
        <v>245</v>
      </c>
      <c r="AC838" s="5"/>
      <c r="AD838" s="11" t="s">
        <v>2199</v>
      </c>
      <c r="AE838" s="23" t="n">
        <v>0.95</v>
      </c>
      <c r="AF838" s="23" t="n">
        <v>0</v>
      </c>
      <c r="AG838" s="23" t="n">
        <v>0.33</v>
      </c>
      <c r="AH838" s="23" t="n">
        <v>1</v>
      </c>
      <c r="AI838" s="23" t="n">
        <v>1</v>
      </c>
      <c r="AJ838" s="23" t="n">
        <v>0.5164</v>
      </c>
      <c r="AK838" s="23" t="n">
        <v>0.5</v>
      </c>
      <c r="AL838" s="23" t="n">
        <v>0</v>
      </c>
      <c r="AM838" s="16" t="n">
        <f aca="false">COUNTIFS($D$2:$D$2501,D838,$G$2:$G$2501,"&gt;"&amp;G838)+COUNTIFS($D$2:D838,D838,$G$2:G838,G838)</f>
        <v>173</v>
      </c>
      <c r="AN838" s="5" t="str">
        <f aca="false">D838&amp;"|"&amp;AM838</f>
        <v>實體擷取與去識別化|173</v>
      </c>
    </row>
    <row r="839" customFormat="false" ht="17.15" hidden="false" customHeight="false" outlineLevel="0" collapsed="false">
      <c r="A839" s="16" t="n">
        <f aca="false">RANK(G839,$G$2:$G$2501)+COUNTIF($G$2:G839,G839)-1</f>
        <v>838</v>
      </c>
      <c r="B839" s="11" t="s">
        <v>2200</v>
      </c>
      <c r="C839" s="11" t="s">
        <v>402</v>
      </c>
      <c r="D839" s="5" t="s">
        <v>58</v>
      </c>
      <c r="E839" s="5" t="s">
        <v>59</v>
      </c>
      <c r="F839" s="5"/>
      <c r="G839" s="22" t="n">
        <f aca="false">ROUND(SUM(I839:P839),3)</f>
        <v>66.11</v>
      </c>
      <c r="H839" s="5" t="str">
        <f aca="false">IF(G839&gt;=評分方法!$C$16,"優先評估",IF(G839&gt;=評分方法!$C$17,"列入候選",IF(G839&gt;=評分方法!$C$18,"特定情境","不建議")))</f>
        <v>特定情境</v>
      </c>
      <c r="I839" s="15" t="n">
        <f aca="false">AE839*評分方法!$C$5</f>
        <v>28.5</v>
      </c>
      <c r="J839" s="15" t="n">
        <f aca="false">AF839*評分方法!$C$6</f>
        <v>0</v>
      </c>
      <c r="K839" s="15" t="n">
        <f aca="false">AG839*評分方法!$C$7</f>
        <v>4.95</v>
      </c>
      <c r="L839" s="15" t="n">
        <f aca="false">AH839*評分方法!$C$8</f>
        <v>15</v>
      </c>
      <c r="M839" s="15" t="n">
        <f aca="false">AI839*評分方法!$C$9</f>
        <v>10</v>
      </c>
      <c r="N839" s="15" t="n">
        <f aca="false">AJ839*評分方法!$C$10</f>
        <v>5.16</v>
      </c>
      <c r="O839" s="15" t="n">
        <f aca="false">AK839*評分方法!$C$11</f>
        <v>2.5</v>
      </c>
      <c r="P839" s="15" t="n">
        <f aca="false">AL839*評分方法!$C$12</f>
        <v>0</v>
      </c>
      <c r="Q839" s="6" t="n">
        <v>548834</v>
      </c>
      <c r="R839" s="6" t="n">
        <v>558843907</v>
      </c>
      <c r="S839" s="11" t="s">
        <v>238</v>
      </c>
      <c r="T839" s="11" t="s">
        <v>239</v>
      </c>
      <c r="U839" s="5" t="s">
        <v>240</v>
      </c>
      <c r="V839" s="11" t="s">
        <v>261</v>
      </c>
      <c r="W839" s="5" t="s">
        <v>334</v>
      </c>
      <c r="X839" s="5" t="s">
        <v>242</v>
      </c>
      <c r="Y839" s="5"/>
      <c r="Z839" s="5"/>
      <c r="AA839" s="11" t="s">
        <v>150</v>
      </c>
      <c r="AB839" s="5" t="s">
        <v>245</v>
      </c>
      <c r="AC839" s="5"/>
      <c r="AD839" s="11" t="s">
        <v>2201</v>
      </c>
      <c r="AE839" s="23" t="n">
        <v>0.95</v>
      </c>
      <c r="AF839" s="23" t="n">
        <v>0</v>
      </c>
      <c r="AG839" s="23" t="n">
        <v>0.33</v>
      </c>
      <c r="AH839" s="23" t="n">
        <v>1</v>
      </c>
      <c r="AI839" s="23" t="n">
        <v>1</v>
      </c>
      <c r="AJ839" s="23" t="n">
        <v>0.516</v>
      </c>
      <c r="AK839" s="23" t="n">
        <v>0.5</v>
      </c>
      <c r="AL839" s="23" t="n">
        <v>0</v>
      </c>
      <c r="AM839" s="16" t="n">
        <f aca="false">COUNTIFS($D$2:$D$2501,D839,$G$2:$G$2501,"&gt;"&amp;G839)+COUNTIFS($D$2:D839,D839,$G$2:G839,G839)</f>
        <v>174</v>
      </c>
      <c r="AN839" s="5" t="str">
        <f aca="false">D839&amp;"|"&amp;AM839</f>
        <v>實體擷取與去識別化|174</v>
      </c>
    </row>
    <row r="840" customFormat="false" ht="17.15" hidden="false" customHeight="false" outlineLevel="0" collapsed="false">
      <c r="A840" s="16" t="n">
        <f aca="false">RANK(G840,$G$2:$G$2501)+COUNTIF($G$2:G840,G840)-1</f>
        <v>839</v>
      </c>
      <c r="B840" s="11" t="s">
        <v>2202</v>
      </c>
      <c r="C840" s="11" t="s">
        <v>402</v>
      </c>
      <c r="D840" s="5" t="s">
        <v>58</v>
      </c>
      <c r="E840" s="5" t="s">
        <v>59</v>
      </c>
      <c r="F840" s="5"/>
      <c r="G840" s="22" t="n">
        <f aca="false">ROUND(SUM(I840:P840),3)</f>
        <v>66.102</v>
      </c>
      <c r="H840" s="5" t="str">
        <f aca="false">IF(G840&gt;=評分方法!$C$16,"優先評估",IF(G840&gt;=評分方法!$C$17,"列入候選",IF(G840&gt;=評分方法!$C$18,"特定情境","不建議")))</f>
        <v>特定情境</v>
      </c>
      <c r="I840" s="15" t="n">
        <f aca="false">AE840*評分方法!$C$5</f>
        <v>28.5</v>
      </c>
      <c r="J840" s="15" t="n">
        <f aca="false">AF840*評分方法!$C$6</f>
        <v>0</v>
      </c>
      <c r="K840" s="15" t="n">
        <f aca="false">AG840*評分方法!$C$7</f>
        <v>4.95</v>
      </c>
      <c r="L840" s="15" t="n">
        <f aca="false">AH840*評分方法!$C$8</f>
        <v>15</v>
      </c>
      <c r="M840" s="15" t="n">
        <f aca="false">AI840*評分方法!$C$9</f>
        <v>10</v>
      </c>
      <c r="N840" s="15" t="n">
        <f aca="false">AJ840*評分方法!$C$10</f>
        <v>5.152</v>
      </c>
      <c r="O840" s="15" t="n">
        <f aca="false">AK840*評分方法!$C$11</f>
        <v>2.5</v>
      </c>
      <c r="P840" s="15" t="n">
        <f aca="false">AL840*評分方法!$C$12</f>
        <v>0</v>
      </c>
      <c r="Q840" s="6" t="n">
        <v>548622</v>
      </c>
      <c r="R840" s="6" t="n">
        <v>141306627</v>
      </c>
      <c r="S840" s="11" t="s">
        <v>238</v>
      </c>
      <c r="T840" s="11" t="s">
        <v>239</v>
      </c>
      <c r="U840" s="5" t="s">
        <v>240</v>
      </c>
      <c r="V840" s="11" t="s">
        <v>261</v>
      </c>
      <c r="W840" s="5" t="s">
        <v>334</v>
      </c>
      <c r="X840" s="5" t="s">
        <v>242</v>
      </c>
      <c r="Y840" s="5"/>
      <c r="Z840" s="5"/>
      <c r="AA840" s="11" t="s">
        <v>150</v>
      </c>
      <c r="AB840" s="5" t="s">
        <v>245</v>
      </c>
      <c r="AC840" s="5"/>
      <c r="AD840" s="11" t="s">
        <v>2203</v>
      </c>
      <c r="AE840" s="23" t="n">
        <v>0.95</v>
      </c>
      <c r="AF840" s="23" t="n">
        <v>0</v>
      </c>
      <c r="AG840" s="23" t="n">
        <v>0.33</v>
      </c>
      <c r="AH840" s="23" t="n">
        <v>1</v>
      </c>
      <c r="AI840" s="23" t="n">
        <v>1</v>
      </c>
      <c r="AJ840" s="23" t="n">
        <v>0.5152</v>
      </c>
      <c r="AK840" s="23" t="n">
        <v>0.5</v>
      </c>
      <c r="AL840" s="23" t="n">
        <v>0</v>
      </c>
      <c r="AM840" s="16" t="n">
        <f aca="false">COUNTIFS($D$2:$D$2501,D840,$G$2:$G$2501,"&gt;"&amp;G840)+COUNTIFS($D$2:D840,D840,$G$2:G840,G840)</f>
        <v>175</v>
      </c>
      <c r="AN840" s="5" t="str">
        <f aca="false">D840&amp;"|"&amp;AM840</f>
        <v>實體擷取與去識別化|175</v>
      </c>
    </row>
    <row r="841" customFormat="false" ht="17.15" hidden="false" customHeight="false" outlineLevel="0" collapsed="false">
      <c r="A841" s="16" t="n">
        <f aca="false">RANK(G841,$G$2:$G$2501)+COUNTIF($G$2:G841,G841)-1</f>
        <v>840</v>
      </c>
      <c r="B841" s="11" t="s">
        <v>2204</v>
      </c>
      <c r="C841" s="11" t="s">
        <v>402</v>
      </c>
      <c r="D841" s="5" t="s">
        <v>58</v>
      </c>
      <c r="E841" s="5" t="s">
        <v>59</v>
      </c>
      <c r="F841" s="5"/>
      <c r="G841" s="22" t="n">
        <f aca="false">ROUND(SUM(I841:P841),3)</f>
        <v>66.098</v>
      </c>
      <c r="H841" s="5" t="str">
        <f aca="false">IF(G841&gt;=評分方法!$C$16,"優先評估",IF(G841&gt;=評分方法!$C$17,"列入候選",IF(G841&gt;=評分方法!$C$18,"特定情境","不建議")))</f>
        <v>特定情境</v>
      </c>
      <c r="I841" s="15" t="n">
        <f aca="false">AE841*評分方法!$C$5</f>
        <v>28.5</v>
      </c>
      <c r="J841" s="15" t="n">
        <f aca="false">AF841*評分方法!$C$6</f>
        <v>0</v>
      </c>
      <c r="K841" s="15" t="n">
        <f aca="false">AG841*評分方法!$C$7</f>
        <v>4.95</v>
      </c>
      <c r="L841" s="15" t="n">
        <f aca="false">AH841*評分方法!$C$8</f>
        <v>15</v>
      </c>
      <c r="M841" s="15" t="n">
        <f aca="false">AI841*評分方法!$C$9</f>
        <v>10</v>
      </c>
      <c r="N841" s="15" t="n">
        <f aca="false">AJ841*評分方法!$C$10</f>
        <v>5.148</v>
      </c>
      <c r="O841" s="15" t="n">
        <f aca="false">AK841*評分方法!$C$11</f>
        <v>2.5</v>
      </c>
      <c r="P841" s="15" t="n">
        <f aca="false">AL841*評分方法!$C$12</f>
        <v>0</v>
      </c>
      <c r="Q841" s="6" t="n">
        <v>548442</v>
      </c>
      <c r="R841" s="6" t="n">
        <v>395834371</v>
      </c>
      <c r="S841" s="11" t="s">
        <v>238</v>
      </c>
      <c r="T841" s="11" t="s">
        <v>239</v>
      </c>
      <c r="U841" s="5" t="s">
        <v>240</v>
      </c>
      <c r="V841" s="11" t="s">
        <v>261</v>
      </c>
      <c r="W841" s="5" t="s">
        <v>334</v>
      </c>
      <c r="X841" s="5" t="s">
        <v>242</v>
      </c>
      <c r="Y841" s="5"/>
      <c r="Z841" s="5"/>
      <c r="AA841" s="11" t="s">
        <v>150</v>
      </c>
      <c r="AB841" s="5" t="s">
        <v>245</v>
      </c>
      <c r="AC841" s="5"/>
      <c r="AD841" s="11" t="s">
        <v>2205</v>
      </c>
      <c r="AE841" s="23" t="n">
        <v>0.95</v>
      </c>
      <c r="AF841" s="23" t="n">
        <v>0</v>
      </c>
      <c r="AG841" s="23" t="n">
        <v>0.33</v>
      </c>
      <c r="AH841" s="23" t="n">
        <v>1</v>
      </c>
      <c r="AI841" s="23" t="n">
        <v>1</v>
      </c>
      <c r="AJ841" s="23" t="n">
        <v>0.5148</v>
      </c>
      <c r="AK841" s="23" t="n">
        <v>0.5</v>
      </c>
      <c r="AL841" s="23" t="n">
        <v>0</v>
      </c>
      <c r="AM841" s="16" t="n">
        <f aca="false">COUNTIFS($D$2:$D$2501,D841,$G$2:$G$2501,"&gt;"&amp;G841)+COUNTIFS($D$2:D841,D841,$G$2:G841,G841)</f>
        <v>176</v>
      </c>
      <c r="AN841" s="5" t="str">
        <f aca="false">D841&amp;"|"&amp;AM841</f>
        <v>實體擷取與去識別化|176</v>
      </c>
    </row>
    <row r="842" customFormat="false" ht="17.15" hidden="false" customHeight="false" outlineLevel="0" collapsed="false">
      <c r="A842" s="16" t="n">
        <f aca="false">RANK(G842,$G$2:$G$2501)+COUNTIF($G$2:G842,G842)-1</f>
        <v>841</v>
      </c>
      <c r="B842" s="11" t="s">
        <v>2206</v>
      </c>
      <c r="C842" s="11" t="s">
        <v>891</v>
      </c>
      <c r="D842" s="5" t="s">
        <v>56</v>
      </c>
      <c r="E842" s="5" t="s">
        <v>57</v>
      </c>
      <c r="F842" s="5"/>
      <c r="G842" s="22" t="n">
        <f aca="false">ROUND(SUM(I842:P842),3)</f>
        <v>66.098</v>
      </c>
      <c r="H842" s="5" t="str">
        <f aca="false">IF(G842&gt;=評分方法!$C$16,"優先評估",IF(G842&gt;=評分方法!$C$17,"列入候選",IF(G842&gt;=評分方法!$C$18,"特定情境","不建議")))</f>
        <v>特定情境</v>
      </c>
      <c r="I842" s="15" t="n">
        <f aca="false">AE842*評分方法!$C$5</f>
        <v>25.5</v>
      </c>
      <c r="J842" s="15" t="n">
        <f aca="false">AF842*評分方法!$C$6</f>
        <v>0</v>
      </c>
      <c r="K842" s="15" t="n">
        <f aca="false">AG842*評分方法!$C$7</f>
        <v>10.05</v>
      </c>
      <c r="L842" s="15" t="n">
        <f aca="false">AH842*評分方法!$C$8</f>
        <v>9</v>
      </c>
      <c r="M842" s="15" t="n">
        <f aca="false">AI842*評分方法!$C$9</f>
        <v>10</v>
      </c>
      <c r="N842" s="15" t="n">
        <f aca="false">AJ842*評分方法!$C$10</f>
        <v>6.048</v>
      </c>
      <c r="O842" s="15" t="n">
        <f aca="false">AK842*評分方法!$C$11</f>
        <v>2.5</v>
      </c>
      <c r="P842" s="15" t="n">
        <f aca="false">AL842*評分方法!$C$12</f>
        <v>3</v>
      </c>
      <c r="Q842" s="6" t="n">
        <v>637071</v>
      </c>
      <c r="R842" s="6" t="n">
        <v>20914757184</v>
      </c>
      <c r="S842" s="11" t="s">
        <v>389</v>
      </c>
      <c r="T842" s="11" t="s">
        <v>239</v>
      </c>
      <c r="U842" s="5" t="s">
        <v>240</v>
      </c>
      <c r="V842" s="11" t="s">
        <v>333</v>
      </c>
      <c r="W842" s="5" t="s">
        <v>207</v>
      </c>
      <c r="X842" s="5" t="s">
        <v>371</v>
      </c>
      <c r="Y842" s="11" t="s">
        <v>390</v>
      </c>
      <c r="Z842" s="11" t="s">
        <v>244</v>
      </c>
      <c r="AA842" s="11" t="s">
        <v>155</v>
      </c>
      <c r="AB842" s="5" t="s">
        <v>496</v>
      </c>
      <c r="AC842" s="5" t="s">
        <v>555</v>
      </c>
      <c r="AD842" s="11" t="s">
        <v>2207</v>
      </c>
      <c r="AE842" s="23" t="n">
        <v>0.85</v>
      </c>
      <c r="AF842" s="23" t="n">
        <v>0</v>
      </c>
      <c r="AG842" s="23" t="n">
        <v>0.67</v>
      </c>
      <c r="AH842" s="23" t="n">
        <v>0.6</v>
      </c>
      <c r="AI842" s="23" t="n">
        <v>1</v>
      </c>
      <c r="AJ842" s="23" t="n">
        <v>0.6048</v>
      </c>
      <c r="AK842" s="23" t="n">
        <v>0.5</v>
      </c>
      <c r="AL842" s="23" t="n">
        <v>0.6</v>
      </c>
      <c r="AM842" s="16" t="n">
        <f aca="false">COUNTIFS($D$2:$D$2501,D842,$G$2:$G$2501,"&gt;"&amp;G842)+COUNTIFS($D$2:D842,D842,$G$2:G842,G842)</f>
        <v>399</v>
      </c>
      <c r="AN842" s="5" t="str">
        <f aca="false">D842&amp;"|"&amp;AM842</f>
        <v>分析與報告生成|399</v>
      </c>
    </row>
    <row r="843" customFormat="false" ht="17.15" hidden="false" customHeight="false" outlineLevel="0" collapsed="false">
      <c r="A843" s="16" t="n">
        <f aca="false">RANK(G843,$G$2:$G$2501)+COUNTIF($G$2:G843,G843)-1</f>
        <v>842</v>
      </c>
      <c r="B843" s="11" t="s">
        <v>2208</v>
      </c>
      <c r="C843" s="11" t="s">
        <v>402</v>
      </c>
      <c r="D843" s="5" t="s">
        <v>58</v>
      </c>
      <c r="E843" s="5" t="s">
        <v>59</v>
      </c>
      <c r="F843" s="5"/>
      <c r="G843" s="22" t="n">
        <f aca="false">ROUND(SUM(I843:P843),3)</f>
        <v>66.09</v>
      </c>
      <c r="H843" s="5" t="str">
        <f aca="false">IF(G843&gt;=評分方法!$C$16,"優先評估",IF(G843&gt;=評分方法!$C$17,"列入候選",IF(G843&gt;=評分方法!$C$18,"特定情境","不建議")))</f>
        <v>特定情境</v>
      </c>
      <c r="I843" s="15" t="n">
        <f aca="false">AE843*評分方法!$C$5</f>
        <v>28.5</v>
      </c>
      <c r="J843" s="15" t="n">
        <f aca="false">AF843*評分方法!$C$6</f>
        <v>0</v>
      </c>
      <c r="K843" s="15" t="n">
        <f aca="false">AG843*評分方法!$C$7</f>
        <v>4.95</v>
      </c>
      <c r="L843" s="15" t="n">
        <f aca="false">AH843*評分方法!$C$8</f>
        <v>15</v>
      </c>
      <c r="M843" s="15" t="n">
        <f aca="false">AI843*評分方法!$C$9</f>
        <v>10</v>
      </c>
      <c r="N843" s="15" t="n">
        <f aca="false">AJ843*評分方法!$C$10</f>
        <v>5.14</v>
      </c>
      <c r="O843" s="15" t="n">
        <f aca="false">AK843*評分方法!$C$11</f>
        <v>2.5</v>
      </c>
      <c r="P843" s="15" t="n">
        <f aca="false">AL843*評分方法!$C$12</f>
        <v>0</v>
      </c>
      <c r="Q843" s="6" t="n">
        <v>548291</v>
      </c>
      <c r="R843" s="6" t="n">
        <v>395834371</v>
      </c>
      <c r="S843" s="11" t="s">
        <v>238</v>
      </c>
      <c r="T843" s="11" t="s">
        <v>239</v>
      </c>
      <c r="U843" s="5" t="s">
        <v>240</v>
      </c>
      <c r="V843" s="11" t="s">
        <v>261</v>
      </c>
      <c r="W843" s="5" t="s">
        <v>334</v>
      </c>
      <c r="X843" s="5" t="s">
        <v>242</v>
      </c>
      <c r="Y843" s="5"/>
      <c r="Z843" s="5"/>
      <c r="AA843" s="11" t="s">
        <v>150</v>
      </c>
      <c r="AB843" s="5" t="s">
        <v>245</v>
      </c>
      <c r="AC843" s="5"/>
      <c r="AD843" s="11" t="s">
        <v>2209</v>
      </c>
      <c r="AE843" s="23" t="n">
        <v>0.95</v>
      </c>
      <c r="AF843" s="23" t="n">
        <v>0</v>
      </c>
      <c r="AG843" s="23" t="n">
        <v>0.33</v>
      </c>
      <c r="AH843" s="23" t="n">
        <v>1</v>
      </c>
      <c r="AI843" s="23" t="n">
        <v>1</v>
      </c>
      <c r="AJ843" s="23" t="n">
        <v>0.514</v>
      </c>
      <c r="AK843" s="23" t="n">
        <v>0.5</v>
      </c>
      <c r="AL843" s="23" t="n">
        <v>0</v>
      </c>
      <c r="AM843" s="16" t="n">
        <f aca="false">COUNTIFS($D$2:$D$2501,D843,$G$2:$G$2501,"&gt;"&amp;G843)+COUNTIFS($D$2:D843,D843,$G$2:G843,G843)</f>
        <v>177</v>
      </c>
      <c r="AN843" s="5" t="str">
        <f aca="false">D843&amp;"|"&amp;AM843</f>
        <v>實體擷取與去識別化|177</v>
      </c>
    </row>
    <row r="844" customFormat="false" ht="17.15" hidden="false" customHeight="false" outlineLevel="0" collapsed="false">
      <c r="A844" s="16" t="n">
        <f aca="false">RANK(G844,$G$2:$G$2501)+COUNTIF($G$2:G844,G844)-1</f>
        <v>843</v>
      </c>
      <c r="B844" s="11" t="s">
        <v>2210</v>
      </c>
      <c r="C844" s="11" t="s">
        <v>402</v>
      </c>
      <c r="D844" s="5" t="s">
        <v>58</v>
      </c>
      <c r="E844" s="5" t="s">
        <v>59</v>
      </c>
      <c r="F844" s="5"/>
      <c r="G844" s="22" t="n">
        <f aca="false">ROUND(SUM(I844:P844),3)</f>
        <v>66.086</v>
      </c>
      <c r="H844" s="5" t="str">
        <f aca="false">IF(G844&gt;=評分方法!$C$16,"優先評估",IF(G844&gt;=評分方法!$C$17,"列入候選",IF(G844&gt;=評分方法!$C$18,"特定情境","不建議")))</f>
        <v>特定情境</v>
      </c>
      <c r="I844" s="15" t="n">
        <f aca="false">AE844*評分方法!$C$5</f>
        <v>28.5</v>
      </c>
      <c r="J844" s="15" t="n">
        <f aca="false">AF844*評分方法!$C$6</f>
        <v>0</v>
      </c>
      <c r="K844" s="15" t="n">
        <f aca="false">AG844*評分方法!$C$7</f>
        <v>4.95</v>
      </c>
      <c r="L844" s="15" t="n">
        <f aca="false">AH844*評分方法!$C$8</f>
        <v>15</v>
      </c>
      <c r="M844" s="15" t="n">
        <f aca="false">AI844*評分方法!$C$9</f>
        <v>10</v>
      </c>
      <c r="N844" s="15" t="n">
        <f aca="false">AJ844*評分方法!$C$10</f>
        <v>5.136</v>
      </c>
      <c r="O844" s="15" t="n">
        <f aca="false">AK844*評分方法!$C$11</f>
        <v>2.5</v>
      </c>
      <c r="P844" s="15" t="n">
        <f aca="false">AL844*評分方法!$C$12</f>
        <v>0</v>
      </c>
      <c r="Q844" s="6" t="n">
        <v>548267</v>
      </c>
      <c r="R844" s="6" t="n">
        <v>107721987</v>
      </c>
      <c r="S844" s="11" t="s">
        <v>238</v>
      </c>
      <c r="T844" s="11" t="s">
        <v>239</v>
      </c>
      <c r="U844" s="5" t="s">
        <v>240</v>
      </c>
      <c r="V844" s="11" t="s">
        <v>261</v>
      </c>
      <c r="W844" s="5" t="s">
        <v>334</v>
      </c>
      <c r="X844" s="5" t="s">
        <v>242</v>
      </c>
      <c r="Y844" s="5"/>
      <c r="Z844" s="5"/>
      <c r="AA844" s="11" t="s">
        <v>150</v>
      </c>
      <c r="AB844" s="5" t="s">
        <v>245</v>
      </c>
      <c r="AC844" s="5"/>
      <c r="AD844" s="11" t="s">
        <v>2211</v>
      </c>
      <c r="AE844" s="23" t="n">
        <v>0.95</v>
      </c>
      <c r="AF844" s="23" t="n">
        <v>0</v>
      </c>
      <c r="AG844" s="23" t="n">
        <v>0.33</v>
      </c>
      <c r="AH844" s="23" t="n">
        <v>1</v>
      </c>
      <c r="AI844" s="23" t="n">
        <v>1</v>
      </c>
      <c r="AJ844" s="23" t="n">
        <v>0.5136</v>
      </c>
      <c r="AK844" s="23" t="n">
        <v>0.5</v>
      </c>
      <c r="AL844" s="23" t="n">
        <v>0</v>
      </c>
      <c r="AM844" s="16" t="n">
        <f aca="false">COUNTIFS($D$2:$D$2501,D844,$G$2:$G$2501,"&gt;"&amp;G844)+COUNTIFS($D$2:D844,D844,$G$2:G844,G844)</f>
        <v>178</v>
      </c>
      <c r="AN844" s="5" t="str">
        <f aca="false">D844&amp;"|"&amp;AM844</f>
        <v>實體擷取與去識別化|178</v>
      </c>
    </row>
    <row r="845" customFormat="false" ht="17.15" hidden="false" customHeight="false" outlineLevel="0" collapsed="false">
      <c r="A845" s="16" t="n">
        <f aca="false">RANK(G845,$G$2:$G$2501)+COUNTIF($G$2:G845,G845)-1</f>
        <v>844</v>
      </c>
      <c r="B845" s="11" t="s">
        <v>2212</v>
      </c>
      <c r="C845" s="11" t="s">
        <v>402</v>
      </c>
      <c r="D845" s="5" t="s">
        <v>58</v>
      </c>
      <c r="E845" s="5" t="s">
        <v>59</v>
      </c>
      <c r="F845" s="5"/>
      <c r="G845" s="22" t="n">
        <f aca="false">ROUND(SUM(I845:P845),3)</f>
        <v>66.082</v>
      </c>
      <c r="H845" s="5" t="str">
        <f aca="false">IF(G845&gt;=評分方法!$C$16,"優先評估",IF(G845&gt;=評分方法!$C$17,"列入候選",IF(G845&gt;=評分方法!$C$18,"特定情境","不建議")))</f>
        <v>特定情境</v>
      </c>
      <c r="I845" s="15" t="n">
        <f aca="false">AE845*評分方法!$C$5</f>
        <v>28.5</v>
      </c>
      <c r="J845" s="15" t="n">
        <f aca="false">AF845*評分方法!$C$6</f>
        <v>0</v>
      </c>
      <c r="K845" s="15" t="n">
        <f aca="false">AG845*評分方法!$C$7</f>
        <v>4.95</v>
      </c>
      <c r="L845" s="15" t="n">
        <f aca="false">AH845*評分方法!$C$8</f>
        <v>15</v>
      </c>
      <c r="M845" s="15" t="n">
        <f aca="false">AI845*評分方法!$C$9</f>
        <v>10</v>
      </c>
      <c r="N845" s="15" t="n">
        <f aca="false">AJ845*評分方法!$C$10</f>
        <v>5.132</v>
      </c>
      <c r="O845" s="15" t="n">
        <f aca="false">AK845*評分方法!$C$11</f>
        <v>2.5</v>
      </c>
      <c r="P845" s="15" t="n">
        <f aca="false">AL845*評分方法!$C$12</f>
        <v>0</v>
      </c>
      <c r="Q845" s="6" t="n">
        <v>548202</v>
      </c>
      <c r="R845" s="6" t="n">
        <v>33213315</v>
      </c>
      <c r="S845" s="11" t="s">
        <v>238</v>
      </c>
      <c r="T845" s="11" t="s">
        <v>239</v>
      </c>
      <c r="U845" s="5" t="s">
        <v>240</v>
      </c>
      <c r="V845" s="11" t="s">
        <v>261</v>
      </c>
      <c r="W845" s="5" t="s">
        <v>334</v>
      </c>
      <c r="X845" s="5" t="s">
        <v>242</v>
      </c>
      <c r="Y845" s="5"/>
      <c r="Z845" s="5"/>
      <c r="AA845" s="11" t="s">
        <v>150</v>
      </c>
      <c r="AB845" s="5" t="s">
        <v>245</v>
      </c>
      <c r="AC845" s="5"/>
      <c r="AD845" s="11" t="s">
        <v>2213</v>
      </c>
      <c r="AE845" s="23" t="n">
        <v>0.95</v>
      </c>
      <c r="AF845" s="23" t="n">
        <v>0</v>
      </c>
      <c r="AG845" s="23" t="n">
        <v>0.33</v>
      </c>
      <c r="AH845" s="23" t="n">
        <v>1</v>
      </c>
      <c r="AI845" s="23" t="n">
        <v>1</v>
      </c>
      <c r="AJ845" s="23" t="n">
        <v>0.5132</v>
      </c>
      <c r="AK845" s="23" t="n">
        <v>0.5</v>
      </c>
      <c r="AL845" s="23" t="n">
        <v>0</v>
      </c>
      <c r="AM845" s="16" t="n">
        <f aca="false">COUNTIFS($D$2:$D$2501,D845,$G$2:$G$2501,"&gt;"&amp;G845)+COUNTIFS($D$2:D845,D845,$G$2:G845,G845)</f>
        <v>179</v>
      </c>
      <c r="AN845" s="5" t="str">
        <f aca="false">D845&amp;"|"&amp;AM845</f>
        <v>實體擷取與去識別化|179</v>
      </c>
    </row>
    <row r="846" customFormat="false" ht="17.15" hidden="false" customHeight="false" outlineLevel="0" collapsed="false">
      <c r="A846" s="16" t="n">
        <f aca="false">RANK(G846,$G$2:$G$2501)+COUNTIF($G$2:G846,G846)-1</f>
        <v>845</v>
      </c>
      <c r="B846" s="11" t="s">
        <v>2214</v>
      </c>
      <c r="C846" s="11" t="s">
        <v>402</v>
      </c>
      <c r="D846" s="5" t="s">
        <v>58</v>
      </c>
      <c r="E846" s="5" t="s">
        <v>59</v>
      </c>
      <c r="F846" s="5"/>
      <c r="G846" s="22" t="n">
        <f aca="false">ROUND(SUM(I846:P846),3)</f>
        <v>66.078</v>
      </c>
      <c r="H846" s="5" t="str">
        <f aca="false">IF(G846&gt;=評分方法!$C$16,"優先評估",IF(G846&gt;=評分方法!$C$17,"列入候選",IF(G846&gt;=評分方法!$C$18,"特定情境","不建議")))</f>
        <v>特定情境</v>
      </c>
      <c r="I846" s="15" t="n">
        <f aca="false">AE846*評分方法!$C$5</f>
        <v>28.5</v>
      </c>
      <c r="J846" s="15" t="n">
        <f aca="false">AF846*評分方法!$C$6</f>
        <v>0</v>
      </c>
      <c r="K846" s="15" t="n">
        <f aca="false">AG846*評分方法!$C$7</f>
        <v>4.95</v>
      </c>
      <c r="L846" s="15" t="n">
        <f aca="false">AH846*評分方法!$C$8</f>
        <v>15</v>
      </c>
      <c r="M846" s="15" t="n">
        <f aca="false">AI846*評分方法!$C$9</f>
        <v>10</v>
      </c>
      <c r="N846" s="15" t="n">
        <f aca="false">AJ846*評分方法!$C$10</f>
        <v>5.128</v>
      </c>
      <c r="O846" s="15" t="n">
        <f aca="false">AK846*評分方法!$C$11</f>
        <v>2.5</v>
      </c>
      <c r="P846" s="15" t="n">
        <f aca="false">AL846*評分方法!$C$12</f>
        <v>0</v>
      </c>
      <c r="Q846" s="6" t="n">
        <v>548168</v>
      </c>
      <c r="R846" s="6" t="n">
        <v>558852107</v>
      </c>
      <c r="S846" s="11" t="s">
        <v>238</v>
      </c>
      <c r="T846" s="11" t="s">
        <v>239</v>
      </c>
      <c r="U846" s="5" t="s">
        <v>240</v>
      </c>
      <c r="V846" s="11" t="s">
        <v>261</v>
      </c>
      <c r="W846" s="5" t="s">
        <v>334</v>
      </c>
      <c r="X846" s="5" t="s">
        <v>242</v>
      </c>
      <c r="Y846" s="5"/>
      <c r="Z846" s="5"/>
      <c r="AA846" s="11" t="s">
        <v>150</v>
      </c>
      <c r="AB846" s="5" t="s">
        <v>245</v>
      </c>
      <c r="AC846" s="5"/>
      <c r="AD846" s="11" t="s">
        <v>2215</v>
      </c>
      <c r="AE846" s="23" t="n">
        <v>0.95</v>
      </c>
      <c r="AF846" s="23" t="n">
        <v>0</v>
      </c>
      <c r="AG846" s="23" t="n">
        <v>0.33</v>
      </c>
      <c r="AH846" s="23" t="n">
        <v>1</v>
      </c>
      <c r="AI846" s="23" t="n">
        <v>1</v>
      </c>
      <c r="AJ846" s="23" t="n">
        <v>0.5128</v>
      </c>
      <c r="AK846" s="23" t="n">
        <v>0.5</v>
      </c>
      <c r="AL846" s="23" t="n">
        <v>0</v>
      </c>
      <c r="AM846" s="16" t="n">
        <f aca="false">COUNTIFS($D$2:$D$2501,D846,$G$2:$G$2501,"&gt;"&amp;G846)+COUNTIFS($D$2:D846,D846,$G$2:G846,G846)</f>
        <v>180</v>
      </c>
      <c r="AN846" s="5" t="str">
        <f aca="false">D846&amp;"|"&amp;AM846</f>
        <v>實體擷取與去識別化|180</v>
      </c>
    </row>
    <row r="847" customFormat="false" ht="17.15" hidden="false" customHeight="false" outlineLevel="0" collapsed="false">
      <c r="A847" s="16" t="n">
        <f aca="false">RANK(G847,$G$2:$G$2501)+COUNTIF($G$2:G847,G847)-1</f>
        <v>846</v>
      </c>
      <c r="B847" s="11" t="s">
        <v>2216</v>
      </c>
      <c r="C847" s="11" t="s">
        <v>402</v>
      </c>
      <c r="D847" s="5" t="s">
        <v>58</v>
      </c>
      <c r="E847" s="5" t="s">
        <v>59</v>
      </c>
      <c r="F847" s="5"/>
      <c r="G847" s="22" t="n">
        <f aca="false">ROUND(SUM(I847:P847),3)</f>
        <v>66.07</v>
      </c>
      <c r="H847" s="5" t="str">
        <f aca="false">IF(G847&gt;=評分方法!$C$16,"優先評估",IF(G847&gt;=評分方法!$C$17,"列入候選",IF(G847&gt;=評分方法!$C$18,"特定情境","不建議")))</f>
        <v>特定情境</v>
      </c>
      <c r="I847" s="15" t="n">
        <f aca="false">AE847*評分方法!$C$5</f>
        <v>28.5</v>
      </c>
      <c r="J847" s="15" t="n">
        <f aca="false">AF847*評分方法!$C$6</f>
        <v>0</v>
      </c>
      <c r="K847" s="15" t="n">
        <f aca="false">AG847*評分方法!$C$7</f>
        <v>4.95</v>
      </c>
      <c r="L847" s="15" t="n">
        <f aca="false">AH847*評分方法!$C$8</f>
        <v>15</v>
      </c>
      <c r="M847" s="15" t="n">
        <f aca="false">AI847*評分方法!$C$9</f>
        <v>10</v>
      </c>
      <c r="N847" s="15" t="n">
        <f aca="false">AJ847*評分方法!$C$10</f>
        <v>5.12</v>
      </c>
      <c r="O847" s="15" t="n">
        <f aca="false">AK847*評分方法!$C$11</f>
        <v>2.5</v>
      </c>
      <c r="P847" s="15" t="n">
        <f aca="false">AL847*評分方法!$C$12</f>
        <v>0</v>
      </c>
      <c r="Q847" s="6" t="n">
        <v>547863</v>
      </c>
      <c r="R847" s="6" t="n">
        <v>395834371</v>
      </c>
      <c r="S847" s="11" t="s">
        <v>238</v>
      </c>
      <c r="T847" s="11" t="s">
        <v>239</v>
      </c>
      <c r="U847" s="5" t="s">
        <v>240</v>
      </c>
      <c r="V847" s="11" t="s">
        <v>261</v>
      </c>
      <c r="W847" s="5" t="s">
        <v>334</v>
      </c>
      <c r="X847" s="5" t="s">
        <v>242</v>
      </c>
      <c r="Y847" s="5"/>
      <c r="Z847" s="5"/>
      <c r="AA847" s="11" t="s">
        <v>150</v>
      </c>
      <c r="AB847" s="5" t="s">
        <v>245</v>
      </c>
      <c r="AC847" s="5"/>
      <c r="AD847" s="11" t="s">
        <v>2217</v>
      </c>
      <c r="AE847" s="23" t="n">
        <v>0.95</v>
      </c>
      <c r="AF847" s="23" t="n">
        <v>0</v>
      </c>
      <c r="AG847" s="23" t="n">
        <v>0.33</v>
      </c>
      <c r="AH847" s="23" t="n">
        <v>1</v>
      </c>
      <c r="AI847" s="23" t="n">
        <v>1</v>
      </c>
      <c r="AJ847" s="23" t="n">
        <v>0.512</v>
      </c>
      <c r="AK847" s="23" t="n">
        <v>0.5</v>
      </c>
      <c r="AL847" s="23" t="n">
        <v>0</v>
      </c>
      <c r="AM847" s="16" t="n">
        <f aca="false">COUNTIFS($D$2:$D$2501,D847,$G$2:$G$2501,"&gt;"&amp;G847)+COUNTIFS($D$2:D847,D847,$G$2:G847,G847)</f>
        <v>181</v>
      </c>
      <c r="AN847" s="5" t="str">
        <f aca="false">D847&amp;"|"&amp;AM847</f>
        <v>實體擷取與去識別化|181</v>
      </c>
    </row>
    <row r="848" customFormat="false" ht="17.15" hidden="false" customHeight="false" outlineLevel="0" collapsed="false">
      <c r="A848" s="16" t="n">
        <f aca="false">RANK(G848,$G$2:$G$2501)+COUNTIF($G$2:G848,G848)-1</f>
        <v>847</v>
      </c>
      <c r="B848" s="11" t="s">
        <v>2218</v>
      </c>
      <c r="C848" s="11" t="s">
        <v>402</v>
      </c>
      <c r="D848" s="5" t="s">
        <v>58</v>
      </c>
      <c r="E848" s="5" t="s">
        <v>59</v>
      </c>
      <c r="F848" s="5"/>
      <c r="G848" s="22" t="n">
        <f aca="false">ROUND(SUM(I848:P848),3)</f>
        <v>66.062</v>
      </c>
      <c r="H848" s="5" t="str">
        <f aca="false">IF(G848&gt;=評分方法!$C$16,"優先評估",IF(G848&gt;=評分方法!$C$17,"列入候選",IF(G848&gt;=評分方法!$C$18,"特定情境","不建議")))</f>
        <v>特定情境</v>
      </c>
      <c r="I848" s="15" t="n">
        <f aca="false">AE848*評分方法!$C$5</f>
        <v>28.5</v>
      </c>
      <c r="J848" s="15" t="n">
        <f aca="false">AF848*評分方法!$C$6</f>
        <v>0</v>
      </c>
      <c r="K848" s="15" t="n">
        <f aca="false">AG848*評分方法!$C$7</f>
        <v>4.95</v>
      </c>
      <c r="L848" s="15" t="n">
        <f aca="false">AH848*評分方法!$C$8</f>
        <v>15</v>
      </c>
      <c r="M848" s="15" t="n">
        <f aca="false">AI848*評分方法!$C$9</f>
        <v>10</v>
      </c>
      <c r="N848" s="15" t="n">
        <f aca="false">AJ848*評分方法!$C$10</f>
        <v>5.112</v>
      </c>
      <c r="O848" s="15" t="n">
        <f aca="false">AK848*評分方法!$C$11</f>
        <v>2.5</v>
      </c>
      <c r="P848" s="15" t="n">
        <f aca="false">AL848*評分方法!$C$12</f>
        <v>0</v>
      </c>
      <c r="Q848" s="6" t="n">
        <v>547305</v>
      </c>
      <c r="R848" s="6" t="n">
        <v>334095363</v>
      </c>
      <c r="S848" s="11" t="s">
        <v>238</v>
      </c>
      <c r="T848" s="11" t="s">
        <v>239</v>
      </c>
      <c r="U848" s="5" t="s">
        <v>240</v>
      </c>
      <c r="V848" s="11" t="s">
        <v>261</v>
      </c>
      <c r="W848" s="5" t="s">
        <v>334</v>
      </c>
      <c r="X848" s="5" t="s">
        <v>242</v>
      </c>
      <c r="Y848" s="5"/>
      <c r="Z848" s="5"/>
      <c r="AA848" s="11" t="s">
        <v>150</v>
      </c>
      <c r="AB848" s="5" t="s">
        <v>245</v>
      </c>
      <c r="AC848" s="5"/>
      <c r="AD848" s="11" t="s">
        <v>2219</v>
      </c>
      <c r="AE848" s="23" t="n">
        <v>0.95</v>
      </c>
      <c r="AF848" s="23" t="n">
        <v>0</v>
      </c>
      <c r="AG848" s="23" t="n">
        <v>0.33</v>
      </c>
      <c r="AH848" s="23" t="n">
        <v>1</v>
      </c>
      <c r="AI848" s="23" t="n">
        <v>1</v>
      </c>
      <c r="AJ848" s="23" t="n">
        <v>0.5112</v>
      </c>
      <c r="AK848" s="23" t="n">
        <v>0.5</v>
      </c>
      <c r="AL848" s="23" t="n">
        <v>0</v>
      </c>
      <c r="AM848" s="16" t="n">
        <f aca="false">COUNTIFS($D$2:$D$2501,D848,$G$2:$G$2501,"&gt;"&amp;G848)+COUNTIFS($D$2:D848,D848,$G$2:G848,G848)</f>
        <v>182</v>
      </c>
      <c r="AN848" s="5" t="str">
        <f aca="false">D848&amp;"|"&amp;AM848</f>
        <v>實體擷取與去識別化|182</v>
      </c>
    </row>
    <row r="849" customFormat="false" ht="17.15" hidden="false" customHeight="false" outlineLevel="0" collapsed="false">
      <c r="A849" s="16" t="n">
        <f aca="false">RANK(G849,$G$2:$G$2501)+COUNTIF($G$2:G849,G849)-1</f>
        <v>848</v>
      </c>
      <c r="B849" s="11" t="s">
        <v>2220</v>
      </c>
      <c r="C849" s="11" t="s">
        <v>989</v>
      </c>
      <c r="D849" s="5" t="s">
        <v>56</v>
      </c>
      <c r="E849" s="5" t="s">
        <v>57</v>
      </c>
      <c r="F849" s="5"/>
      <c r="G849" s="22" t="n">
        <f aca="false">ROUND(SUM(I849:P849),3)</f>
        <v>66.052</v>
      </c>
      <c r="H849" s="5" t="str">
        <f aca="false">IF(G849&gt;=評分方法!$C$16,"優先評估",IF(G849&gt;=評分方法!$C$17,"列入候選",IF(G849&gt;=評分方法!$C$18,"特定情境","不建議")))</f>
        <v>特定情境</v>
      </c>
      <c r="I849" s="15" t="n">
        <f aca="false">AE849*評分方法!$C$5</f>
        <v>25.5</v>
      </c>
      <c r="J849" s="15" t="n">
        <f aca="false">AF849*評分方法!$C$6</f>
        <v>0</v>
      </c>
      <c r="K849" s="15" t="n">
        <f aca="false">AG849*評分方法!$C$7</f>
        <v>10.05</v>
      </c>
      <c r="L849" s="15" t="n">
        <f aca="false">AH849*評分方法!$C$8</f>
        <v>13.05</v>
      </c>
      <c r="M849" s="15" t="n">
        <f aca="false">AI849*評分方法!$C$9</f>
        <v>6</v>
      </c>
      <c r="N849" s="15" t="n">
        <f aca="false">AJ849*評分方法!$C$10</f>
        <v>7.452</v>
      </c>
      <c r="O849" s="15" t="n">
        <f aca="false">AK849*評分方法!$C$11</f>
        <v>1</v>
      </c>
      <c r="P849" s="15" t="n">
        <f aca="false">AL849*評分方法!$C$12</f>
        <v>3</v>
      </c>
      <c r="Q849" s="6" t="n">
        <v>1125098</v>
      </c>
      <c r="R849" s="6" t="n">
        <v>2614341888</v>
      </c>
      <c r="S849" s="11" t="s">
        <v>254</v>
      </c>
      <c r="T849" s="11" t="s">
        <v>658</v>
      </c>
      <c r="U849" s="5" t="s">
        <v>260</v>
      </c>
      <c r="V849" s="11" t="s">
        <v>333</v>
      </c>
      <c r="W849" s="5" t="s">
        <v>207</v>
      </c>
      <c r="X849" s="5" t="s">
        <v>371</v>
      </c>
      <c r="Y849" s="11" t="s">
        <v>1090</v>
      </c>
      <c r="Z849" s="11" t="s">
        <v>244</v>
      </c>
      <c r="AA849" s="11" t="s">
        <v>155</v>
      </c>
      <c r="AB849" s="5" t="s">
        <v>245</v>
      </c>
      <c r="AC849" s="5" t="s">
        <v>464</v>
      </c>
      <c r="AD849" s="11" t="s">
        <v>2221</v>
      </c>
      <c r="AE849" s="23" t="n">
        <v>0.85</v>
      </c>
      <c r="AF849" s="23" t="n">
        <v>0</v>
      </c>
      <c r="AG849" s="23" t="n">
        <v>0.67</v>
      </c>
      <c r="AH849" s="23" t="n">
        <v>0.87</v>
      </c>
      <c r="AI849" s="23" t="n">
        <v>0.6</v>
      </c>
      <c r="AJ849" s="23" t="n">
        <v>0.7452</v>
      </c>
      <c r="AK849" s="23" t="n">
        <v>0.2</v>
      </c>
      <c r="AL849" s="23" t="n">
        <v>0.6</v>
      </c>
      <c r="AM849" s="16" t="n">
        <f aca="false">COUNTIFS($D$2:$D$2501,D849,$G$2:$G$2501,"&gt;"&amp;G849)+COUNTIFS($D$2:D849,D849,$G$2:G849,G849)</f>
        <v>400</v>
      </c>
      <c r="AN849" s="5" t="str">
        <f aca="false">D849&amp;"|"&amp;AM849</f>
        <v>分析與報告生成|400</v>
      </c>
    </row>
    <row r="850" customFormat="false" ht="17.15" hidden="false" customHeight="false" outlineLevel="0" collapsed="false">
      <c r="A850" s="16" t="n">
        <f aca="false">RANK(G850,$G$2:$G$2501)+COUNTIF($G$2:G850,G850)-1</f>
        <v>849</v>
      </c>
      <c r="B850" s="11" t="s">
        <v>2222</v>
      </c>
      <c r="C850" s="11" t="s">
        <v>402</v>
      </c>
      <c r="D850" s="5" t="s">
        <v>58</v>
      </c>
      <c r="E850" s="5" t="s">
        <v>59</v>
      </c>
      <c r="F850" s="5"/>
      <c r="G850" s="22" t="n">
        <f aca="false">ROUND(SUM(I850:P850),3)</f>
        <v>66.05</v>
      </c>
      <c r="H850" s="5" t="str">
        <f aca="false">IF(G850&gt;=評分方法!$C$16,"優先評估",IF(G850&gt;=評分方法!$C$17,"列入候選",IF(G850&gt;=評分方法!$C$18,"特定情境","不建議")))</f>
        <v>特定情境</v>
      </c>
      <c r="I850" s="15" t="n">
        <f aca="false">AE850*評分方法!$C$5</f>
        <v>28.5</v>
      </c>
      <c r="J850" s="15" t="n">
        <f aca="false">AF850*評分方法!$C$6</f>
        <v>0</v>
      </c>
      <c r="K850" s="15" t="n">
        <f aca="false">AG850*評分方法!$C$7</f>
        <v>4.95</v>
      </c>
      <c r="L850" s="15" t="n">
        <f aca="false">AH850*評分方法!$C$8</f>
        <v>15</v>
      </c>
      <c r="M850" s="15" t="n">
        <f aca="false">AI850*評分方法!$C$9</f>
        <v>10</v>
      </c>
      <c r="N850" s="15" t="n">
        <f aca="false">AJ850*評分方法!$C$10</f>
        <v>5.1</v>
      </c>
      <c r="O850" s="15" t="n">
        <f aca="false">AK850*評分方法!$C$11</f>
        <v>2.5</v>
      </c>
      <c r="P850" s="15" t="n">
        <f aca="false">AL850*評分方法!$C$12</f>
        <v>0</v>
      </c>
      <c r="Q850" s="6" t="n">
        <v>546394</v>
      </c>
      <c r="R850" s="6" t="n">
        <v>558843907</v>
      </c>
      <c r="S850" s="11" t="s">
        <v>238</v>
      </c>
      <c r="T850" s="11" t="s">
        <v>239</v>
      </c>
      <c r="U850" s="5" t="s">
        <v>240</v>
      </c>
      <c r="V850" s="11" t="s">
        <v>261</v>
      </c>
      <c r="W850" s="5" t="s">
        <v>334</v>
      </c>
      <c r="X850" s="5" t="s">
        <v>242</v>
      </c>
      <c r="Y850" s="5"/>
      <c r="Z850" s="5"/>
      <c r="AA850" s="11" t="s">
        <v>150</v>
      </c>
      <c r="AB850" s="5" t="s">
        <v>245</v>
      </c>
      <c r="AC850" s="5"/>
      <c r="AD850" s="11" t="s">
        <v>2223</v>
      </c>
      <c r="AE850" s="23" t="n">
        <v>0.95</v>
      </c>
      <c r="AF850" s="23" t="n">
        <v>0</v>
      </c>
      <c r="AG850" s="23" t="n">
        <v>0.33</v>
      </c>
      <c r="AH850" s="23" t="n">
        <v>1</v>
      </c>
      <c r="AI850" s="23" t="n">
        <v>1</v>
      </c>
      <c r="AJ850" s="23" t="n">
        <v>0.51</v>
      </c>
      <c r="AK850" s="23" t="n">
        <v>0.5</v>
      </c>
      <c r="AL850" s="23" t="n">
        <v>0</v>
      </c>
      <c r="AM850" s="16" t="n">
        <f aca="false">COUNTIFS($D$2:$D$2501,D850,$G$2:$G$2501,"&gt;"&amp;G850)+COUNTIFS($D$2:D850,D850,$G$2:G850,G850)</f>
        <v>183</v>
      </c>
      <c r="AN850" s="5" t="str">
        <f aca="false">D850&amp;"|"&amp;AM850</f>
        <v>實體擷取與去識別化|183</v>
      </c>
    </row>
    <row r="851" customFormat="false" ht="17.15" hidden="false" customHeight="false" outlineLevel="0" collapsed="false">
      <c r="A851" s="16" t="n">
        <f aca="false">RANK(G851,$G$2:$G$2501)+COUNTIF($G$2:G851,G851)-1</f>
        <v>850</v>
      </c>
      <c r="B851" s="11" t="s">
        <v>2224</v>
      </c>
      <c r="C851" s="11" t="s">
        <v>402</v>
      </c>
      <c r="D851" s="5" t="s">
        <v>58</v>
      </c>
      <c r="E851" s="5" t="s">
        <v>59</v>
      </c>
      <c r="F851" s="5"/>
      <c r="G851" s="22" t="n">
        <f aca="false">ROUND(SUM(I851:P851),3)</f>
        <v>66.042</v>
      </c>
      <c r="H851" s="5" t="str">
        <f aca="false">IF(G851&gt;=評分方法!$C$16,"優先評估",IF(G851&gt;=評分方法!$C$17,"列入候選",IF(G851&gt;=評分方法!$C$18,"特定情境","不建議")))</f>
        <v>特定情境</v>
      </c>
      <c r="I851" s="15" t="n">
        <f aca="false">AE851*評分方法!$C$5</f>
        <v>28.5</v>
      </c>
      <c r="J851" s="15" t="n">
        <f aca="false">AF851*評分方法!$C$6</f>
        <v>0</v>
      </c>
      <c r="K851" s="15" t="n">
        <f aca="false">AG851*評分方法!$C$7</f>
        <v>4.95</v>
      </c>
      <c r="L851" s="15" t="n">
        <f aca="false">AH851*評分方法!$C$8</f>
        <v>15</v>
      </c>
      <c r="M851" s="15" t="n">
        <f aca="false">AI851*評分方法!$C$9</f>
        <v>10</v>
      </c>
      <c r="N851" s="15" t="n">
        <f aca="false">AJ851*評分方法!$C$10</f>
        <v>5.092</v>
      </c>
      <c r="O851" s="15" t="n">
        <f aca="false">AK851*評分方法!$C$11</f>
        <v>2.5</v>
      </c>
      <c r="P851" s="15" t="n">
        <f aca="false">AL851*評分方法!$C$12</f>
        <v>0</v>
      </c>
      <c r="Q851" s="6" t="n">
        <v>546117</v>
      </c>
      <c r="R851" s="6" t="n">
        <v>149607171</v>
      </c>
      <c r="S851" s="11" t="s">
        <v>238</v>
      </c>
      <c r="T851" s="11" t="s">
        <v>239</v>
      </c>
      <c r="U851" s="5" t="s">
        <v>240</v>
      </c>
      <c r="V851" s="11" t="s">
        <v>261</v>
      </c>
      <c r="W851" s="5" t="s">
        <v>334</v>
      </c>
      <c r="X851" s="5" t="s">
        <v>242</v>
      </c>
      <c r="Y851" s="5"/>
      <c r="Z851" s="5"/>
      <c r="AA851" s="11" t="s">
        <v>150</v>
      </c>
      <c r="AB851" s="5" t="s">
        <v>245</v>
      </c>
      <c r="AC851" s="5"/>
      <c r="AD851" s="11" t="s">
        <v>2225</v>
      </c>
      <c r="AE851" s="23" t="n">
        <v>0.95</v>
      </c>
      <c r="AF851" s="23" t="n">
        <v>0</v>
      </c>
      <c r="AG851" s="23" t="n">
        <v>0.33</v>
      </c>
      <c r="AH851" s="23" t="n">
        <v>1</v>
      </c>
      <c r="AI851" s="23" t="n">
        <v>1</v>
      </c>
      <c r="AJ851" s="23" t="n">
        <v>0.5092</v>
      </c>
      <c r="AK851" s="23" t="n">
        <v>0.5</v>
      </c>
      <c r="AL851" s="23" t="n">
        <v>0</v>
      </c>
      <c r="AM851" s="16" t="n">
        <f aca="false">COUNTIFS($D$2:$D$2501,D851,$G$2:$G$2501,"&gt;"&amp;G851)+COUNTIFS($D$2:D851,D851,$G$2:G851,G851)</f>
        <v>184</v>
      </c>
      <c r="AN851" s="5" t="str">
        <f aca="false">D851&amp;"|"&amp;AM851</f>
        <v>實體擷取與去識別化|184</v>
      </c>
    </row>
    <row r="852" customFormat="false" ht="17.15" hidden="false" customHeight="false" outlineLevel="0" collapsed="false">
      <c r="A852" s="16" t="n">
        <f aca="false">RANK(G852,$G$2:$G$2501)+COUNTIF($G$2:G852,G852)-1</f>
        <v>851</v>
      </c>
      <c r="B852" s="11" t="s">
        <v>2226</v>
      </c>
      <c r="C852" s="11" t="s">
        <v>402</v>
      </c>
      <c r="D852" s="5" t="s">
        <v>58</v>
      </c>
      <c r="E852" s="5" t="s">
        <v>59</v>
      </c>
      <c r="F852" s="5"/>
      <c r="G852" s="22" t="n">
        <f aca="false">ROUND(SUM(I852:P852),3)</f>
        <v>66.03</v>
      </c>
      <c r="H852" s="5" t="str">
        <f aca="false">IF(G852&gt;=評分方法!$C$16,"優先評估",IF(G852&gt;=評分方法!$C$17,"列入候選",IF(G852&gt;=評分方法!$C$18,"特定情境","不建議")))</f>
        <v>特定情境</v>
      </c>
      <c r="I852" s="15" t="n">
        <f aca="false">AE852*評分方法!$C$5</f>
        <v>28.5</v>
      </c>
      <c r="J852" s="15" t="n">
        <f aca="false">AF852*評分方法!$C$6</f>
        <v>0</v>
      </c>
      <c r="K852" s="15" t="n">
        <f aca="false">AG852*評分方法!$C$7</f>
        <v>4.95</v>
      </c>
      <c r="L852" s="15" t="n">
        <f aca="false">AH852*評分方法!$C$8</f>
        <v>15</v>
      </c>
      <c r="M852" s="15" t="n">
        <f aca="false">AI852*評分方法!$C$9</f>
        <v>10</v>
      </c>
      <c r="N852" s="15" t="n">
        <f aca="false">AJ852*評分方法!$C$10</f>
        <v>5.08</v>
      </c>
      <c r="O852" s="15" t="n">
        <f aca="false">AK852*評分方法!$C$11</f>
        <v>2.5</v>
      </c>
      <c r="P852" s="15" t="n">
        <f aca="false">AL852*評分方法!$C$12</f>
        <v>0</v>
      </c>
      <c r="Q852" s="6" t="n">
        <v>545874</v>
      </c>
      <c r="R852" s="6" t="n">
        <v>334095363</v>
      </c>
      <c r="S852" s="11" t="s">
        <v>238</v>
      </c>
      <c r="T852" s="11" t="s">
        <v>239</v>
      </c>
      <c r="U852" s="5" t="s">
        <v>240</v>
      </c>
      <c r="V852" s="11" t="s">
        <v>261</v>
      </c>
      <c r="W852" s="5" t="s">
        <v>334</v>
      </c>
      <c r="X852" s="5" t="s">
        <v>242</v>
      </c>
      <c r="Y852" s="5"/>
      <c r="Z852" s="5"/>
      <c r="AA852" s="11" t="s">
        <v>150</v>
      </c>
      <c r="AB852" s="5" t="s">
        <v>245</v>
      </c>
      <c r="AC852" s="5"/>
      <c r="AD852" s="11" t="s">
        <v>2227</v>
      </c>
      <c r="AE852" s="23" t="n">
        <v>0.95</v>
      </c>
      <c r="AF852" s="23" t="n">
        <v>0</v>
      </c>
      <c r="AG852" s="23" t="n">
        <v>0.33</v>
      </c>
      <c r="AH852" s="23" t="n">
        <v>1</v>
      </c>
      <c r="AI852" s="23" t="n">
        <v>1</v>
      </c>
      <c r="AJ852" s="23" t="n">
        <v>0.508</v>
      </c>
      <c r="AK852" s="23" t="n">
        <v>0.5</v>
      </c>
      <c r="AL852" s="23" t="n">
        <v>0</v>
      </c>
      <c r="AM852" s="16" t="n">
        <f aca="false">COUNTIFS($D$2:$D$2501,D852,$G$2:$G$2501,"&gt;"&amp;G852)+COUNTIFS($D$2:D852,D852,$G$2:G852,G852)</f>
        <v>185</v>
      </c>
      <c r="AN852" s="5" t="str">
        <f aca="false">D852&amp;"|"&amp;AM852</f>
        <v>實體擷取與去識別化|185</v>
      </c>
    </row>
    <row r="853" customFormat="false" ht="17.15" hidden="false" customHeight="false" outlineLevel="0" collapsed="false">
      <c r="A853" s="16" t="n">
        <f aca="false">RANK(G853,$G$2:$G$2501)+COUNTIF($G$2:G853,G853)-1</f>
        <v>852</v>
      </c>
      <c r="B853" s="11" t="s">
        <v>2228</v>
      </c>
      <c r="C853" s="11" t="s">
        <v>402</v>
      </c>
      <c r="D853" s="5" t="s">
        <v>58</v>
      </c>
      <c r="E853" s="5" t="s">
        <v>59</v>
      </c>
      <c r="F853" s="5"/>
      <c r="G853" s="22" t="n">
        <f aca="false">ROUND(SUM(I853:P853),3)</f>
        <v>66.026</v>
      </c>
      <c r="H853" s="5" t="str">
        <f aca="false">IF(G853&gt;=評分方法!$C$16,"優先評估",IF(G853&gt;=評分方法!$C$17,"列入候選",IF(G853&gt;=評分方法!$C$18,"特定情境","不建議")))</f>
        <v>特定情境</v>
      </c>
      <c r="I853" s="15" t="n">
        <f aca="false">AE853*評分方法!$C$5</f>
        <v>28.5</v>
      </c>
      <c r="J853" s="15" t="n">
        <f aca="false">AF853*評分方法!$C$6</f>
        <v>0</v>
      </c>
      <c r="K853" s="15" t="n">
        <f aca="false">AG853*評分方法!$C$7</f>
        <v>4.95</v>
      </c>
      <c r="L853" s="15" t="n">
        <f aca="false">AH853*評分方法!$C$8</f>
        <v>15</v>
      </c>
      <c r="M853" s="15" t="n">
        <f aca="false">AI853*評分方法!$C$9</f>
        <v>10</v>
      </c>
      <c r="N853" s="15" t="n">
        <f aca="false">AJ853*評分方法!$C$10</f>
        <v>5.076</v>
      </c>
      <c r="O853" s="15" t="n">
        <f aca="false">AK853*評分方法!$C$11</f>
        <v>2.5</v>
      </c>
      <c r="P853" s="15" t="n">
        <f aca="false">AL853*評分方法!$C$12</f>
        <v>0</v>
      </c>
      <c r="Q853" s="6" t="n">
        <v>545741</v>
      </c>
      <c r="R853" s="6" t="n">
        <v>395834371</v>
      </c>
      <c r="S853" s="11" t="s">
        <v>238</v>
      </c>
      <c r="T853" s="11" t="s">
        <v>239</v>
      </c>
      <c r="U853" s="5" t="s">
        <v>240</v>
      </c>
      <c r="V853" s="11" t="s">
        <v>261</v>
      </c>
      <c r="W853" s="5" t="s">
        <v>334</v>
      </c>
      <c r="X853" s="5" t="s">
        <v>242</v>
      </c>
      <c r="Y853" s="5"/>
      <c r="Z853" s="5"/>
      <c r="AA853" s="11" t="s">
        <v>150</v>
      </c>
      <c r="AB853" s="5" t="s">
        <v>245</v>
      </c>
      <c r="AC853" s="5"/>
      <c r="AD853" s="11" t="s">
        <v>2229</v>
      </c>
      <c r="AE853" s="23" t="n">
        <v>0.95</v>
      </c>
      <c r="AF853" s="23" t="n">
        <v>0</v>
      </c>
      <c r="AG853" s="23" t="n">
        <v>0.33</v>
      </c>
      <c r="AH853" s="23" t="n">
        <v>1</v>
      </c>
      <c r="AI853" s="23" t="n">
        <v>1</v>
      </c>
      <c r="AJ853" s="23" t="n">
        <v>0.5076</v>
      </c>
      <c r="AK853" s="23" t="n">
        <v>0.5</v>
      </c>
      <c r="AL853" s="23" t="n">
        <v>0</v>
      </c>
      <c r="AM853" s="16" t="n">
        <f aca="false">COUNTIFS($D$2:$D$2501,D853,$G$2:$G$2501,"&gt;"&amp;G853)+COUNTIFS($D$2:D853,D853,$G$2:G853,G853)</f>
        <v>186</v>
      </c>
      <c r="AN853" s="5" t="str">
        <f aca="false">D853&amp;"|"&amp;AM853</f>
        <v>實體擷取與去識別化|186</v>
      </c>
    </row>
    <row r="854" customFormat="false" ht="17.15" hidden="false" customHeight="false" outlineLevel="0" collapsed="false">
      <c r="A854" s="16" t="n">
        <f aca="false">RANK(G854,$G$2:$G$2501)+COUNTIF($G$2:G854,G854)-1</f>
        <v>853</v>
      </c>
      <c r="B854" s="11" t="s">
        <v>2230</v>
      </c>
      <c r="C854" s="11" t="s">
        <v>402</v>
      </c>
      <c r="D854" s="5" t="s">
        <v>58</v>
      </c>
      <c r="E854" s="5" t="s">
        <v>59</v>
      </c>
      <c r="F854" s="5"/>
      <c r="G854" s="22" t="n">
        <f aca="false">ROUND(SUM(I854:P854),3)</f>
        <v>66.022</v>
      </c>
      <c r="H854" s="5" t="str">
        <f aca="false">IF(G854&gt;=評分方法!$C$16,"優先評估",IF(G854&gt;=評分方法!$C$17,"列入候選",IF(G854&gt;=評分方法!$C$18,"特定情境","不建議")))</f>
        <v>特定情境</v>
      </c>
      <c r="I854" s="15" t="n">
        <f aca="false">AE854*評分方法!$C$5</f>
        <v>28.5</v>
      </c>
      <c r="J854" s="15" t="n">
        <f aca="false">AF854*評分方法!$C$6</f>
        <v>0</v>
      </c>
      <c r="K854" s="15" t="n">
        <f aca="false">AG854*評分方法!$C$7</f>
        <v>4.95</v>
      </c>
      <c r="L854" s="15" t="n">
        <f aca="false">AH854*評分方法!$C$8</f>
        <v>15</v>
      </c>
      <c r="M854" s="15" t="n">
        <f aca="false">AI854*評分方法!$C$9</f>
        <v>10</v>
      </c>
      <c r="N854" s="15" t="n">
        <f aca="false">AJ854*評分方法!$C$10</f>
        <v>5.072</v>
      </c>
      <c r="O854" s="15" t="n">
        <f aca="false">AK854*評分方法!$C$11</f>
        <v>2.5</v>
      </c>
      <c r="P854" s="15" t="n">
        <f aca="false">AL854*評分方法!$C$12</f>
        <v>0</v>
      </c>
      <c r="Q854" s="6" t="n">
        <v>545695</v>
      </c>
      <c r="R854" s="6" t="n">
        <v>65193219</v>
      </c>
      <c r="S854" s="11" t="s">
        <v>238</v>
      </c>
      <c r="T854" s="11" t="s">
        <v>239</v>
      </c>
      <c r="U854" s="5" t="s">
        <v>240</v>
      </c>
      <c r="V854" s="11" t="s">
        <v>261</v>
      </c>
      <c r="W854" s="5" t="s">
        <v>334</v>
      </c>
      <c r="X854" s="5" t="s">
        <v>242</v>
      </c>
      <c r="Y854" s="5"/>
      <c r="Z854" s="5"/>
      <c r="AA854" s="11" t="s">
        <v>150</v>
      </c>
      <c r="AB854" s="5" t="s">
        <v>245</v>
      </c>
      <c r="AC854" s="5"/>
      <c r="AD854" s="11" t="s">
        <v>2231</v>
      </c>
      <c r="AE854" s="23" t="n">
        <v>0.95</v>
      </c>
      <c r="AF854" s="23" t="n">
        <v>0</v>
      </c>
      <c r="AG854" s="23" t="n">
        <v>0.33</v>
      </c>
      <c r="AH854" s="23" t="n">
        <v>1</v>
      </c>
      <c r="AI854" s="23" t="n">
        <v>1</v>
      </c>
      <c r="AJ854" s="23" t="n">
        <v>0.5072</v>
      </c>
      <c r="AK854" s="23" t="n">
        <v>0.5</v>
      </c>
      <c r="AL854" s="23" t="n">
        <v>0</v>
      </c>
      <c r="AM854" s="16" t="n">
        <f aca="false">COUNTIFS($D$2:$D$2501,D854,$G$2:$G$2501,"&gt;"&amp;G854)+COUNTIFS($D$2:D854,D854,$G$2:G854,G854)</f>
        <v>187</v>
      </c>
      <c r="AN854" s="5" t="str">
        <f aca="false">D854&amp;"|"&amp;AM854</f>
        <v>實體擷取與去識別化|187</v>
      </c>
    </row>
    <row r="855" customFormat="false" ht="17.15" hidden="false" customHeight="false" outlineLevel="0" collapsed="false">
      <c r="A855" s="16" t="n">
        <f aca="false">RANK(G855,$G$2:$G$2501)+COUNTIF($G$2:G855,G855)-1</f>
        <v>854</v>
      </c>
      <c r="B855" s="11" t="s">
        <v>2232</v>
      </c>
      <c r="C855" s="11" t="s">
        <v>402</v>
      </c>
      <c r="D855" s="5" t="s">
        <v>58</v>
      </c>
      <c r="E855" s="5" t="s">
        <v>59</v>
      </c>
      <c r="F855" s="5"/>
      <c r="G855" s="22" t="n">
        <f aca="false">ROUND(SUM(I855:P855),3)</f>
        <v>66.01</v>
      </c>
      <c r="H855" s="5" t="str">
        <f aca="false">IF(G855&gt;=評分方法!$C$16,"優先評估",IF(G855&gt;=評分方法!$C$17,"列入候選",IF(G855&gt;=評分方法!$C$18,"特定情境","不建議")))</f>
        <v>特定情境</v>
      </c>
      <c r="I855" s="15" t="n">
        <f aca="false">AE855*評分方法!$C$5</f>
        <v>28.5</v>
      </c>
      <c r="J855" s="15" t="n">
        <f aca="false">AF855*評分方法!$C$6</f>
        <v>0</v>
      </c>
      <c r="K855" s="15" t="n">
        <f aca="false">AG855*評分方法!$C$7</f>
        <v>4.95</v>
      </c>
      <c r="L855" s="15" t="n">
        <f aca="false">AH855*評分方法!$C$8</f>
        <v>15</v>
      </c>
      <c r="M855" s="15" t="n">
        <f aca="false">AI855*評分方法!$C$9</f>
        <v>10</v>
      </c>
      <c r="N855" s="15" t="n">
        <f aca="false">AJ855*評分方法!$C$10</f>
        <v>5.06</v>
      </c>
      <c r="O855" s="15" t="n">
        <f aca="false">AK855*評分方法!$C$11</f>
        <v>2.5</v>
      </c>
      <c r="P855" s="15" t="n">
        <f aca="false">AL855*評分方法!$C$12</f>
        <v>0</v>
      </c>
      <c r="Q855" s="6" t="n">
        <v>545210</v>
      </c>
      <c r="R855" s="6" t="n">
        <v>334095363</v>
      </c>
      <c r="S855" s="11" t="s">
        <v>238</v>
      </c>
      <c r="T855" s="11" t="s">
        <v>239</v>
      </c>
      <c r="U855" s="5" t="s">
        <v>240</v>
      </c>
      <c r="V855" s="11" t="s">
        <v>261</v>
      </c>
      <c r="W855" s="5" t="s">
        <v>334</v>
      </c>
      <c r="X855" s="5" t="s">
        <v>242</v>
      </c>
      <c r="Y855" s="5"/>
      <c r="Z855" s="5"/>
      <c r="AA855" s="11" t="s">
        <v>150</v>
      </c>
      <c r="AB855" s="5" t="s">
        <v>245</v>
      </c>
      <c r="AC855" s="5"/>
      <c r="AD855" s="11" t="s">
        <v>2233</v>
      </c>
      <c r="AE855" s="23" t="n">
        <v>0.95</v>
      </c>
      <c r="AF855" s="23" t="n">
        <v>0</v>
      </c>
      <c r="AG855" s="23" t="n">
        <v>0.33</v>
      </c>
      <c r="AH855" s="23" t="n">
        <v>1</v>
      </c>
      <c r="AI855" s="23" t="n">
        <v>1</v>
      </c>
      <c r="AJ855" s="23" t="n">
        <v>0.506</v>
      </c>
      <c r="AK855" s="23" t="n">
        <v>0.5</v>
      </c>
      <c r="AL855" s="23" t="n">
        <v>0</v>
      </c>
      <c r="AM855" s="16" t="n">
        <f aca="false">COUNTIFS($D$2:$D$2501,D855,$G$2:$G$2501,"&gt;"&amp;G855)+COUNTIFS($D$2:D855,D855,$G$2:G855,G855)</f>
        <v>188</v>
      </c>
      <c r="AN855" s="5" t="str">
        <f aca="false">D855&amp;"|"&amp;AM855</f>
        <v>實體擷取與去識別化|188</v>
      </c>
    </row>
    <row r="856" customFormat="false" ht="17.15" hidden="false" customHeight="false" outlineLevel="0" collapsed="false">
      <c r="A856" s="16" t="n">
        <f aca="false">RANK(G856,$G$2:$G$2501)+COUNTIF($G$2:G856,G856)-1</f>
        <v>855</v>
      </c>
      <c r="B856" s="11" t="s">
        <v>2234</v>
      </c>
      <c r="C856" s="11" t="s">
        <v>402</v>
      </c>
      <c r="D856" s="5" t="s">
        <v>58</v>
      </c>
      <c r="E856" s="5" t="s">
        <v>59</v>
      </c>
      <c r="F856" s="5"/>
      <c r="G856" s="22" t="n">
        <f aca="false">ROUND(SUM(I856:P856),3)</f>
        <v>65.998</v>
      </c>
      <c r="H856" s="5" t="str">
        <f aca="false">IF(G856&gt;=評分方法!$C$16,"優先評估",IF(G856&gt;=評分方法!$C$17,"列入候選",IF(G856&gt;=評分方法!$C$18,"特定情境","不建議")))</f>
        <v>特定情境</v>
      </c>
      <c r="I856" s="15" t="n">
        <f aca="false">AE856*評分方法!$C$5</f>
        <v>28.5</v>
      </c>
      <c r="J856" s="15" t="n">
        <f aca="false">AF856*評分方法!$C$6</f>
        <v>0</v>
      </c>
      <c r="K856" s="15" t="n">
        <f aca="false">AG856*評分方法!$C$7</f>
        <v>4.95</v>
      </c>
      <c r="L856" s="15" t="n">
        <f aca="false">AH856*評分方法!$C$8</f>
        <v>15</v>
      </c>
      <c r="M856" s="15" t="n">
        <f aca="false">AI856*評分方法!$C$9</f>
        <v>10</v>
      </c>
      <c r="N856" s="15" t="n">
        <f aca="false">AJ856*評分方法!$C$10</f>
        <v>5.048</v>
      </c>
      <c r="O856" s="15" t="n">
        <f aca="false">AK856*評分方法!$C$11</f>
        <v>2.5</v>
      </c>
      <c r="P856" s="15" t="n">
        <f aca="false">AL856*評分方法!$C$12</f>
        <v>0</v>
      </c>
      <c r="Q856" s="6" t="n">
        <v>544746</v>
      </c>
      <c r="R856" s="6" t="n">
        <v>334095363</v>
      </c>
      <c r="S856" s="11" t="s">
        <v>238</v>
      </c>
      <c r="T856" s="11" t="s">
        <v>239</v>
      </c>
      <c r="U856" s="5" t="s">
        <v>240</v>
      </c>
      <c r="V856" s="11" t="s">
        <v>261</v>
      </c>
      <c r="W856" s="5" t="s">
        <v>334</v>
      </c>
      <c r="X856" s="5" t="s">
        <v>242</v>
      </c>
      <c r="Y856" s="5"/>
      <c r="Z856" s="5"/>
      <c r="AA856" s="11" t="s">
        <v>150</v>
      </c>
      <c r="AB856" s="5" t="s">
        <v>245</v>
      </c>
      <c r="AC856" s="5"/>
      <c r="AD856" s="11" t="s">
        <v>2235</v>
      </c>
      <c r="AE856" s="23" t="n">
        <v>0.95</v>
      </c>
      <c r="AF856" s="23" t="n">
        <v>0</v>
      </c>
      <c r="AG856" s="23" t="n">
        <v>0.33</v>
      </c>
      <c r="AH856" s="23" t="n">
        <v>1</v>
      </c>
      <c r="AI856" s="23" t="n">
        <v>1</v>
      </c>
      <c r="AJ856" s="23" t="n">
        <v>0.5048</v>
      </c>
      <c r="AK856" s="23" t="n">
        <v>0.5</v>
      </c>
      <c r="AL856" s="23" t="n">
        <v>0</v>
      </c>
      <c r="AM856" s="16" t="n">
        <f aca="false">COUNTIFS($D$2:$D$2501,D856,$G$2:$G$2501,"&gt;"&amp;G856)+COUNTIFS($D$2:D856,D856,$G$2:G856,G856)</f>
        <v>189</v>
      </c>
      <c r="AN856" s="5" t="str">
        <f aca="false">D856&amp;"|"&amp;AM856</f>
        <v>實體擷取與去識別化|189</v>
      </c>
    </row>
    <row r="857" customFormat="false" ht="17.15" hidden="false" customHeight="false" outlineLevel="0" collapsed="false">
      <c r="A857" s="16" t="n">
        <f aca="false">RANK(G857,$G$2:$G$2501)+COUNTIF($G$2:G857,G857)-1</f>
        <v>856</v>
      </c>
      <c r="B857" s="11" t="s">
        <v>363</v>
      </c>
      <c r="C857" s="11" t="s">
        <v>1161</v>
      </c>
      <c r="D857" s="5" t="s">
        <v>72</v>
      </c>
      <c r="E857" s="5" t="s">
        <v>73</v>
      </c>
      <c r="F857" s="5"/>
      <c r="G857" s="22" t="n">
        <f aca="false">ROUND(SUM(I857:P857),3)</f>
        <v>65.992</v>
      </c>
      <c r="H857" s="5" t="str">
        <f aca="false">IF(G857&gt;=評分方法!$C$16,"優先評估",IF(G857&gt;=評分方法!$C$17,"列入候選",IF(G857&gt;=評分方法!$C$18,"特定情境","不建議")))</f>
        <v>特定情境</v>
      </c>
      <c r="I857" s="15" t="n">
        <f aca="false">AE857*評分方法!$C$5</f>
        <v>15</v>
      </c>
      <c r="J857" s="15" t="n">
        <f aca="false">AF857*評分方法!$C$6</f>
        <v>0</v>
      </c>
      <c r="K857" s="15" t="n">
        <f aca="false">AG857*評分方法!$C$7</f>
        <v>15</v>
      </c>
      <c r="L857" s="15" t="n">
        <f aca="false">AH857*評分方法!$C$8</f>
        <v>15</v>
      </c>
      <c r="M857" s="15" t="n">
        <f aca="false">AI857*評分方法!$C$9</f>
        <v>10</v>
      </c>
      <c r="N857" s="15" t="n">
        <f aca="false">AJ857*評分方法!$C$10</f>
        <v>9.992</v>
      </c>
      <c r="O857" s="15" t="n">
        <f aca="false">AK857*評分方法!$C$11</f>
        <v>1</v>
      </c>
      <c r="P857" s="15" t="n">
        <f aca="false">AL857*評分方法!$C$12</f>
        <v>0</v>
      </c>
      <c r="Q857" s="6" t="n">
        <v>412730162</v>
      </c>
      <c r="R857" s="6" t="n">
        <v>110106428</v>
      </c>
      <c r="S857" s="11" t="s">
        <v>238</v>
      </c>
      <c r="T857" s="11" t="s">
        <v>239</v>
      </c>
      <c r="U857" s="5" t="s">
        <v>240</v>
      </c>
      <c r="V857" s="11" t="s">
        <v>2236</v>
      </c>
      <c r="W857" s="5" t="s">
        <v>205</v>
      </c>
      <c r="X857" s="5" t="s">
        <v>242</v>
      </c>
      <c r="Y857" s="5"/>
      <c r="Z857" s="5"/>
      <c r="AA857" s="11" t="s">
        <v>162</v>
      </c>
      <c r="AB857" s="5" t="s">
        <v>245</v>
      </c>
      <c r="AC857" s="5"/>
      <c r="AD857" s="11" t="s">
        <v>2237</v>
      </c>
      <c r="AE857" s="23" t="n">
        <v>0.5</v>
      </c>
      <c r="AF857" s="23" t="n">
        <v>0</v>
      </c>
      <c r="AG857" s="23" t="n">
        <v>1</v>
      </c>
      <c r="AH857" s="23" t="n">
        <v>1</v>
      </c>
      <c r="AI857" s="23" t="n">
        <v>1</v>
      </c>
      <c r="AJ857" s="23" t="n">
        <v>0.9992</v>
      </c>
      <c r="AK857" s="23" t="n">
        <v>0.2</v>
      </c>
      <c r="AL857" s="23" t="n">
        <v>0</v>
      </c>
      <c r="AM857" s="16" t="n">
        <f aca="false">COUNTIFS($D$2:$D$2501,D857,$G$2:$G$2501,"&gt;"&amp;G857)+COUNTIFS($D$2:D857,D857,$G$2:G857,G857)</f>
        <v>12</v>
      </c>
      <c r="AN857" s="5" t="str">
        <f aca="false">D857&amp;"|"&amp;AM857</f>
        <v>微調基底模型|12</v>
      </c>
    </row>
    <row r="858" customFormat="false" ht="17.15" hidden="false" customHeight="false" outlineLevel="0" collapsed="false">
      <c r="A858" s="16" t="n">
        <f aca="false">RANK(G858,$G$2:$G$2501)+COUNTIF($G$2:G858,G858)-1</f>
        <v>857</v>
      </c>
      <c r="B858" s="11" t="s">
        <v>2238</v>
      </c>
      <c r="C858" s="11" t="s">
        <v>402</v>
      </c>
      <c r="D858" s="5" t="s">
        <v>58</v>
      </c>
      <c r="E858" s="5" t="s">
        <v>59</v>
      </c>
      <c r="F858" s="5"/>
      <c r="G858" s="22" t="n">
        <f aca="false">ROUND(SUM(I858:P858),3)</f>
        <v>65.974</v>
      </c>
      <c r="H858" s="5" t="str">
        <f aca="false">IF(G858&gt;=評分方法!$C$16,"優先評估",IF(G858&gt;=評分方法!$C$17,"列入候選",IF(G858&gt;=評分方法!$C$18,"特定情境","不建議")))</f>
        <v>特定情境</v>
      </c>
      <c r="I858" s="15" t="n">
        <f aca="false">AE858*評分方法!$C$5</f>
        <v>28.5</v>
      </c>
      <c r="J858" s="15" t="n">
        <f aca="false">AF858*評分方法!$C$6</f>
        <v>0</v>
      </c>
      <c r="K858" s="15" t="n">
        <f aca="false">AG858*評分方法!$C$7</f>
        <v>4.95</v>
      </c>
      <c r="L858" s="15" t="n">
        <f aca="false">AH858*評分方法!$C$8</f>
        <v>15</v>
      </c>
      <c r="M858" s="15" t="n">
        <f aca="false">AI858*評分方法!$C$9</f>
        <v>10</v>
      </c>
      <c r="N858" s="15" t="n">
        <f aca="false">AJ858*評分方法!$C$10</f>
        <v>5.024</v>
      </c>
      <c r="O858" s="15" t="n">
        <f aca="false">AK858*評分方法!$C$11</f>
        <v>2.5</v>
      </c>
      <c r="P858" s="15" t="n">
        <f aca="false">AL858*評分方法!$C$12</f>
        <v>0</v>
      </c>
      <c r="Q858" s="6" t="n">
        <v>540407</v>
      </c>
      <c r="R858" s="6" t="n">
        <v>434015235</v>
      </c>
      <c r="S858" s="11" t="s">
        <v>238</v>
      </c>
      <c r="T858" s="11" t="s">
        <v>239</v>
      </c>
      <c r="U858" s="5" t="s">
        <v>240</v>
      </c>
      <c r="V858" s="11" t="s">
        <v>261</v>
      </c>
      <c r="W858" s="5" t="s">
        <v>334</v>
      </c>
      <c r="X858" s="5" t="s">
        <v>242</v>
      </c>
      <c r="Y858" s="5"/>
      <c r="Z858" s="5"/>
      <c r="AA858" s="11" t="s">
        <v>150</v>
      </c>
      <c r="AB858" s="5" t="s">
        <v>245</v>
      </c>
      <c r="AC858" s="5"/>
      <c r="AD858" s="11" t="s">
        <v>2239</v>
      </c>
      <c r="AE858" s="23" t="n">
        <v>0.95</v>
      </c>
      <c r="AF858" s="23" t="n">
        <v>0</v>
      </c>
      <c r="AG858" s="23" t="n">
        <v>0.33</v>
      </c>
      <c r="AH858" s="23" t="n">
        <v>1</v>
      </c>
      <c r="AI858" s="23" t="n">
        <v>1</v>
      </c>
      <c r="AJ858" s="23" t="n">
        <v>0.5024</v>
      </c>
      <c r="AK858" s="23" t="n">
        <v>0.5</v>
      </c>
      <c r="AL858" s="23" t="n">
        <v>0</v>
      </c>
      <c r="AM858" s="16" t="n">
        <f aca="false">COUNTIFS($D$2:$D$2501,D858,$G$2:$G$2501,"&gt;"&amp;G858)+COUNTIFS($D$2:D858,D858,$G$2:G858,G858)</f>
        <v>190</v>
      </c>
      <c r="AN858" s="5" t="str">
        <f aca="false">D858&amp;"|"&amp;AM858</f>
        <v>實體擷取與去識別化|190</v>
      </c>
    </row>
    <row r="859" customFormat="false" ht="17.15" hidden="false" customHeight="false" outlineLevel="0" collapsed="false">
      <c r="A859" s="16" t="n">
        <f aca="false">RANK(G859,$G$2:$G$2501)+COUNTIF($G$2:G859,G859)-1</f>
        <v>858</v>
      </c>
      <c r="B859" s="11" t="s">
        <v>2240</v>
      </c>
      <c r="C859" s="11" t="s">
        <v>2241</v>
      </c>
      <c r="D859" s="5" t="s">
        <v>54</v>
      </c>
      <c r="E859" s="5" t="s">
        <v>55</v>
      </c>
      <c r="F859" s="5"/>
      <c r="G859" s="22" t="n">
        <f aca="false">ROUND(SUM(I859:P859),3)</f>
        <v>65.966</v>
      </c>
      <c r="H859" s="5" t="str">
        <f aca="false">IF(G859&gt;=評分方法!$C$16,"優先評估",IF(G859&gt;=評分方法!$C$17,"列入候選",IF(G859&gt;=評分方法!$C$18,"特定情境","不建議")))</f>
        <v>特定情境</v>
      </c>
      <c r="I859" s="15" t="n">
        <f aca="false">AE859*評分方法!$C$5</f>
        <v>27</v>
      </c>
      <c r="J859" s="15" t="n">
        <f aca="false">AF859*評分方法!$C$6</f>
        <v>0</v>
      </c>
      <c r="K859" s="15" t="n">
        <f aca="false">AG859*評分方法!$C$7</f>
        <v>4.95</v>
      </c>
      <c r="L859" s="15" t="n">
        <f aca="false">AH859*評分方法!$C$8</f>
        <v>15</v>
      </c>
      <c r="M859" s="15" t="n">
        <f aca="false">AI859*評分方法!$C$9</f>
        <v>10</v>
      </c>
      <c r="N859" s="15" t="n">
        <f aca="false">AJ859*評分方法!$C$10</f>
        <v>3.016</v>
      </c>
      <c r="O859" s="15" t="n">
        <f aca="false">AK859*評分方法!$C$11</f>
        <v>1</v>
      </c>
      <c r="P859" s="15" t="n">
        <f aca="false">AL859*評分方法!$C$12</f>
        <v>5</v>
      </c>
      <c r="Q859" s="6" t="n">
        <v>296965</v>
      </c>
      <c r="R859" s="6" t="n">
        <v>278043648</v>
      </c>
      <c r="S859" s="11" t="s">
        <v>238</v>
      </c>
      <c r="T859" s="11" t="s">
        <v>278</v>
      </c>
      <c r="U859" s="5" t="s">
        <v>240</v>
      </c>
      <c r="V859" s="11" t="s">
        <v>261</v>
      </c>
      <c r="W859" s="5" t="s">
        <v>334</v>
      </c>
      <c r="X859" s="5" t="s">
        <v>284</v>
      </c>
      <c r="Y859" s="11" t="s">
        <v>292</v>
      </c>
      <c r="Z859" s="11" t="s">
        <v>270</v>
      </c>
      <c r="AA859" s="11" t="s">
        <v>152</v>
      </c>
      <c r="AB859" s="5" t="s">
        <v>245</v>
      </c>
      <c r="AC859" s="5"/>
      <c r="AD859" s="11" t="s">
        <v>2242</v>
      </c>
      <c r="AE859" s="23" t="n">
        <v>0.9</v>
      </c>
      <c r="AF859" s="23" t="n">
        <v>0</v>
      </c>
      <c r="AG859" s="23" t="n">
        <v>0.33</v>
      </c>
      <c r="AH859" s="23" t="n">
        <v>1</v>
      </c>
      <c r="AI859" s="23" t="n">
        <v>1</v>
      </c>
      <c r="AJ859" s="23" t="n">
        <v>0.3016</v>
      </c>
      <c r="AK859" s="23" t="n">
        <v>0.2</v>
      </c>
      <c r="AL859" s="23" t="n">
        <v>1</v>
      </c>
      <c r="AM859" s="16" t="n">
        <f aca="false">COUNTIFS($D$2:$D$2501,D859,$G$2:$G$2501,"&gt;"&amp;G859)+COUNTIFS($D$2:D859,D859,$G$2:G859,G859)</f>
        <v>143</v>
      </c>
      <c r="AN859" s="5" t="str">
        <f aca="false">D859&amp;"|"&amp;AM859</f>
        <v>檢索與情資關聯|143</v>
      </c>
    </row>
    <row r="860" customFormat="false" ht="17.15" hidden="false" customHeight="false" outlineLevel="0" collapsed="false">
      <c r="A860" s="16" t="n">
        <f aca="false">RANK(G860,$G$2:$G$2501)+COUNTIF($G$2:G860,G860)-1</f>
        <v>859</v>
      </c>
      <c r="B860" s="11" t="s">
        <v>2243</v>
      </c>
      <c r="C860" s="11" t="s">
        <v>402</v>
      </c>
      <c r="D860" s="5" t="s">
        <v>58</v>
      </c>
      <c r="E860" s="5" t="s">
        <v>59</v>
      </c>
      <c r="F860" s="5"/>
      <c r="G860" s="22" t="n">
        <f aca="false">ROUND(SUM(I860:P860),3)</f>
        <v>65.962</v>
      </c>
      <c r="H860" s="5" t="str">
        <f aca="false">IF(G860&gt;=評分方法!$C$16,"優先評估",IF(G860&gt;=評分方法!$C$17,"列入候選",IF(G860&gt;=評分方法!$C$18,"特定情境","不建議")))</f>
        <v>特定情境</v>
      </c>
      <c r="I860" s="15" t="n">
        <f aca="false">AE860*評分方法!$C$5</f>
        <v>28.5</v>
      </c>
      <c r="J860" s="15" t="n">
        <f aca="false">AF860*評分方法!$C$6</f>
        <v>0</v>
      </c>
      <c r="K860" s="15" t="n">
        <f aca="false">AG860*評分方法!$C$7</f>
        <v>4.95</v>
      </c>
      <c r="L860" s="15" t="n">
        <f aca="false">AH860*評分方法!$C$8</f>
        <v>15</v>
      </c>
      <c r="M860" s="15" t="n">
        <f aca="false">AI860*評分方法!$C$9</f>
        <v>10</v>
      </c>
      <c r="N860" s="15" t="n">
        <f aca="false">AJ860*評分方法!$C$10</f>
        <v>5.012</v>
      </c>
      <c r="O860" s="15" t="n">
        <f aca="false">AK860*評分方法!$C$11</f>
        <v>2.5</v>
      </c>
      <c r="P860" s="15" t="n">
        <f aca="false">AL860*評分方法!$C$12</f>
        <v>0</v>
      </c>
      <c r="Q860" s="6" t="n">
        <v>539328</v>
      </c>
      <c r="R860" s="6" t="n">
        <v>277455363</v>
      </c>
      <c r="S860" s="11" t="s">
        <v>238</v>
      </c>
      <c r="T860" s="11" t="s">
        <v>239</v>
      </c>
      <c r="U860" s="5" t="s">
        <v>240</v>
      </c>
      <c r="V860" s="11" t="s">
        <v>261</v>
      </c>
      <c r="W860" s="5" t="s">
        <v>334</v>
      </c>
      <c r="X860" s="5" t="s">
        <v>242</v>
      </c>
      <c r="Y860" s="5"/>
      <c r="Z860" s="5"/>
      <c r="AA860" s="11" t="s">
        <v>150</v>
      </c>
      <c r="AB860" s="5" t="s">
        <v>245</v>
      </c>
      <c r="AC860" s="5"/>
      <c r="AD860" s="11" t="s">
        <v>2244</v>
      </c>
      <c r="AE860" s="23" t="n">
        <v>0.95</v>
      </c>
      <c r="AF860" s="23" t="n">
        <v>0</v>
      </c>
      <c r="AG860" s="23" t="n">
        <v>0.33</v>
      </c>
      <c r="AH860" s="23" t="n">
        <v>1</v>
      </c>
      <c r="AI860" s="23" t="n">
        <v>1</v>
      </c>
      <c r="AJ860" s="23" t="n">
        <v>0.5012</v>
      </c>
      <c r="AK860" s="23" t="n">
        <v>0.5</v>
      </c>
      <c r="AL860" s="23" t="n">
        <v>0</v>
      </c>
      <c r="AM860" s="16" t="n">
        <f aca="false">COUNTIFS($D$2:$D$2501,D860,$G$2:$G$2501,"&gt;"&amp;G860)+COUNTIFS($D$2:D860,D860,$G$2:G860,G860)</f>
        <v>191</v>
      </c>
      <c r="AN860" s="5" t="str">
        <f aca="false">D860&amp;"|"&amp;AM860</f>
        <v>實體擷取與去識別化|191</v>
      </c>
    </row>
    <row r="861" customFormat="false" ht="17.15" hidden="false" customHeight="false" outlineLevel="0" collapsed="false">
      <c r="A861" s="16" t="n">
        <f aca="false">RANK(G861,$G$2:$G$2501)+COUNTIF($G$2:G861,G861)-1</f>
        <v>860</v>
      </c>
      <c r="B861" s="11" t="s">
        <v>2245</v>
      </c>
      <c r="C861" s="11" t="s">
        <v>402</v>
      </c>
      <c r="D861" s="5" t="s">
        <v>58</v>
      </c>
      <c r="E861" s="5" t="s">
        <v>59</v>
      </c>
      <c r="F861" s="5"/>
      <c r="G861" s="22" t="n">
        <f aca="false">ROUND(SUM(I861:P861),3)</f>
        <v>65.954</v>
      </c>
      <c r="H861" s="5" t="str">
        <f aca="false">IF(G861&gt;=評分方法!$C$16,"優先評估",IF(G861&gt;=評分方法!$C$17,"列入候選",IF(G861&gt;=評分方法!$C$18,"特定情境","不建議")))</f>
        <v>特定情境</v>
      </c>
      <c r="I861" s="15" t="n">
        <f aca="false">AE861*評分方法!$C$5</f>
        <v>28.5</v>
      </c>
      <c r="J861" s="15" t="n">
        <f aca="false">AF861*評分方法!$C$6</f>
        <v>0</v>
      </c>
      <c r="K861" s="15" t="n">
        <f aca="false">AG861*評分方法!$C$7</f>
        <v>4.95</v>
      </c>
      <c r="L861" s="15" t="n">
        <f aca="false">AH861*評分方法!$C$8</f>
        <v>15</v>
      </c>
      <c r="M861" s="15" t="n">
        <f aca="false">AI861*評分方法!$C$9</f>
        <v>10</v>
      </c>
      <c r="N861" s="15" t="n">
        <f aca="false">AJ861*評分方法!$C$10</f>
        <v>5.004</v>
      </c>
      <c r="O861" s="15" t="n">
        <f aca="false">AK861*評分方法!$C$11</f>
        <v>2.5</v>
      </c>
      <c r="P861" s="15" t="n">
        <f aca="false">AL861*評分方法!$C$12</f>
        <v>0</v>
      </c>
      <c r="Q861" s="6" t="n">
        <v>538752</v>
      </c>
      <c r="R861" s="6" t="n">
        <v>81553185</v>
      </c>
      <c r="S861" s="11" t="s">
        <v>238</v>
      </c>
      <c r="T861" s="11" t="s">
        <v>239</v>
      </c>
      <c r="U861" s="5" t="s">
        <v>240</v>
      </c>
      <c r="V861" s="11" t="s">
        <v>261</v>
      </c>
      <c r="W861" s="5" t="s">
        <v>334</v>
      </c>
      <c r="X861" s="5" t="s">
        <v>242</v>
      </c>
      <c r="Y861" s="5"/>
      <c r="Z861" s="5"/>
      <c r="AA861" s="11" t="s">
        <v>150</v>
      </c>
      <c r="AB861" s="5" t="s">
        <v>245</v>
      </c>
      <c r="AC861" s="5"/>
      <c r="AD861" s="11" t="s">
        <v>2246</v>
      </c>
      <c r="AE861" s="23" t="n">
        <v>0.95</v>
      </c>
      <c r="AF861" s="23" t="n">
        <v>0</v>
      </c>
      <c r="AG861" s="23" t="n">
        <v>0.33</v>
      </c>
      <c r="AH861" s="23" t="n">
        <v>1</v>
      </c>
      <c r="AI861" s="23" t="n">
        <v>1</v>
      </c>
      <c r="AJ861" s="23" t="n">
        <v>0.5004</v>
      </c>
      <c r="AK861" s="23" t="n">
        <v>0.5</v>
      </c>
      <c r="AL861" s="23" t="n">
        <v>0</v>
      </c>
      <c r="AM861" s="16" t="n">
        <f aca="false">COUNTIFS($D$2:$D$2501,D861,$G$2:$G$2501,"&gt;"&amp;G861)+COUNTIFS($D$2:D861,D861,$G$2:G861,G861)</f>
        <v>192</v>
      </c>
      <c r="AN861" s="5" t="str">
        <f aca="false">D861&amp;"|"&amp;AM861</f>
        <v>實體擷取與去識別化|192</v>
      </c>
    </row>
    <row r="862" customFormat="false" ht="17.15" hidden="false" customHeight="false" outlineLevel="0" collapsed="false">
      <c r="A862" s="16" t="n">
        <f aca="false">RANK(G862,$G$2:$G$2501)+COUNTIF($G$2:G862,G862)-1</f>
        <v>861</v>
      </c>
      <c r="B862" s="11" t="s">
        <v>619</v>
      </c>
      <c r="C862" s="11" t="s">
        <v>1207</v>
      </c>
      <c r="D862" s="5" t="s">
        <v>72</v>
      </c>
      <c r="E862" s="5" t="s">
        <v>73</v>
      </c>
      <c r="F862" s="5"/>
      <c r="G862" s="22" t="n">
        <f aca="false">ROUND(SUM(I862:P862),3)</f>
        <v>65.948</v>
      </c>
      <c r="H862" s="5" t="str">
        <f aca="false">IF(G862&gt;=評分方法!$C$16,"優先評估",IF(G862&gt;=評分方法!$C$17,"列入候選",IF(G862&gt;=評分方法!$C$18,"特定情境","不建議")))</f>
        <v>特定情境</v>
      </c>
      <c r="I862" s="15" t="n">
        <f aca="false">AE862*評分方法!$C$5</f>
        <v>15</v>
      </c>
      <c r="J862" s="15" t="n">
        <f aca="false">AF862*評分方法!$C$6</f>
        <v>0</v>
      </c>
      <c r="K862" s="15" t="n">
        <f aca="false">AG862*評分方法!$C$7</f>
        <v>15</v>
      </c>
      <c r="L862" s="15" t="n">
        <f aca="false">AH862*評分方法!$C$8</f>
        <v>15</v>
      </c>
      <c r="M862" s="15" t="n">
        <f aca="false">AI862*評分方法!$C$9</f>
        <v>10</v>
      </c>
      <c r="N862" s="15" t="n">
        <f aca="false">AJ862*評分方法!$C$10</f>
        <v>9.948</v>
      </c>
      <c r="O862" s="15" t="n">
        <f aca="false">AK862*評分方法!$C$11</f>
        <v>1</v>
      </c>
      <c r="P862" s="15" t="n">
        <f aca="false">AL862*評分方法!$C$12</f>
        <v>0</v>
      </c>
      <c r="Q862" s="6" t="n">
        <v>71139658</v>
      </c>
      <c r="R862" s="6" t="n">
        <v>355412571</v>
      </c>
      <c r="S862" s="11" t="s">
        <v>238</v>
      </c>
      <c r="T862" s="11" t="s">
        <v>278</v>
      </c>
      <c r="U862" s="5" t="s">
        <v>240</v>
      </c>
      <c r="V862" s="11" t="s">
        <v>320</v>
      </c>
      <c r="W862" s="5" t="s">
        <v>205</v>
      </c>
      <c r="X862" s="5" t="s">
        <v>242</v>
      </c>
      <c r="Y862" s="5"/>
      <c r="Z862" s="5"/>
      <c r="AA862" s="11" t="s">
        <v>162</v>
      </c>
      <c r="AB862" s="5" t="s">
        <v>245</v>
      </c>
      <c r="AC862" s="5"/>
      <c r="AD862" s="11" t="s">
        <v>2247</v>
      </c>
      <c r="AE862" s="23" t="n">
        <v>0.5</v>
      </c>
      <c r="AF862" s="23" t="n">
        <v>0</v>
      </c>
      <c r="AG862" s="23" t="n">
        <v>1</v>
      </c>
      <c r="AH862" s="23" t="n">
        <v>1</v>
      </c>
      <c r="AI862" s="23" t="n">
        <v>1</v>
      </c>
      <c r="AJ862" s="23" t="n">
        <v>0.9948</v>
      </c>
      <c r="AK862" s="23" t="n">
        <v>0.2</v>
      </c>
      <c r="AL862" s="23" t="n">
        <v>0</v>
      </c>
      <c r="AM862" s="16" t="n">
        <f aca="false">COUNTIFS($D$2:$D$2501,D862,$G$2:$G$2501,"&gt;"&amp;G862)+COUNTIFS($D$2:D862,D862,$G$2:G862,G862)</f>
        <v>13</v>
      </c>
      <c r="AN862" s="5" t="str">
        <f aca="false">D862&amp;"|"&amp;AM862</f>
        <v>微調基底模型|13</v>
      </c>
    </row>
    <row r="863" customFormat="false" ht="17.15" hidden="false" customHeight="false" outlineLevel="0" collapsed="false">
      <c r="A863" s="16" t="n">
        <f aca="false">RANK(G863,$G$2:$G$2501)+COUNTIF($G$2:G863,G863)-1</f>
        <v>862</v>
      </c>
      <c r="B863" s="11" t="s">
        <v>2248</v>
      </c>
      <c r="C863" s="11" t="s">
        <v>368</v>
      </c>
      <c r="D863" s="5" t="s">
        <v>72</v>
      </c>
      <c r="E863" s="5" t="s">
        <v>73</v>
      </c>
      <c r="F863" s="5"/>
      <c r="G863" s="22" t="n">
        <f aca="false">ROUND(SUM(I863:P863),3)</f>
        <v>65.948</v>
      </c>
      <c r="H863" s="5" t="str">
        <f aca="false">IF(G863&gt;=評分方法!$C$16,"優先評估",IF(G863&gt;=評分方法!$C$17,"列入候選",IF(G863&gt;=評分方法!$C$18,"特定情境","不建議")))</f>
        <v>特定情境</v>
      </c>
      <c r="I863" s="15" t="n">
        <f aca="false">AE863*評分方法!$C$5</f>
        <v>15</v>
      </c>
      <c r="J863" s="15" t="n">
        <f aca="false">AF863*評分方法!$C$6</f>
        <v>0</v>
      </c>
      <c r="K863" s="15" t="n">
        <f aca="false">AG863*評分方法!$C$7</f>
        <v>15</v>
      </c>
      <c r="L863" s="15" t="n">
        <f aca="false">AH863*評分方法!$C$8</f>
        <v>15</v>
      </c>
      <c r="M863" s="15" t="n">
        <f aca="false">AI863*評分方法!$C$9</f>
        <v>10</v>
      </c>
      <c r="N863" s="15" t="n">
        <f aca="false">AJ863*評分方法!$C$10</f>
        <v>8.448</v>
      </c>
      <c r="O863" s="15" t="n">
        <f aca="false">AK863*評分方法!$C$11</f>
        <v>1</v>
      </c>
      <c r="P863" s="15" t="n">
        <f aca="false">AL863*評分方法!$C$12</f>
        <v>1.5</v>
      </c>
      <c r="Q863" s="6" t="n">
        <v>2109747</v>
      </c>
      <c r="R863" s="6" t="n">
        <v>4433468</v>
      </c>
      <c r="S863" s="11" t="s">
        <v>238</v>
      </c>
      <c r="T863" s="11" t="s">
        <v>239</v>
      </c>
      <c r="U863" s="5" t="s">
        <v>240</v>
      </c>
      <c r="V863" s="11" t="s">
        <v>813</v>
      </c>
      <c r="W863" s="5" t="s">
        <v>205</v>
      </c>
      <c r="X863" s="5" t="s">
        <v>255</v>
      </c>
      <c r="Y863" s="5"/>
      <c r="Z863" s="5"/>
      <c r="AA863" s="11" t="s">
        <v>162</v>
      </c>
      <c r="AB863" s="5" t="s">
        <v>328</v>
      </c>
      <c r="AC863" s="5" t="s">
        <v>400</v>
      </c>
      <c r="AD863" s="11" t="s">
        <v>2249</v>
      </c>
      <c r="AE863" s="23" t="n">
        <v>0.5</v>
      </c>
      <c r="AF863" s="23" t="n">
        <v>0</v>
      </c>
      <c r="AG863" s="23" t="n">
        <v>1</v>
      </c>
      <c r="AH863" s="23" t="n">
        <v>1</v>
      </c>
      <c r="AI863" s="23" t="n">
        <v>1</v>
      </c>
      <c r="AJ863" s="23" t="n">
        <v>0.8448</v>
      </c>
      <c r="AK863" s="23" t="n">
        <v>0.2</v>
      </c>
      <c r="AL863" s="23" t="n">
        <v>0.3</v>
      </c>
      <c r="AM863" s="16" t="n">
        <f aca="false">COUNTIFS($D$2:$D$2501,D863,$G$2:$G$2501,"&gt;"&amp;G863)+COUNTIFS($D$2:D863,D863,$G$2:G863,G863)</f>
        <v>14</v>
      </c>
      <c r="AN863" s="5" t="str">
        <f aca="false">D863&amp;"|"&amp;AM863</f>
        <v>微調基底模型|14</v>
      </c>
    </row>
    <row r="864" customFormat="false" ht="17.15" hidden="false" customHeight="false" outlineLevel="0" collapsed="false">
      <c r="A864" s="16" t="n">
        <f aca="false">RANK(G864,$G$2:$G$2501)+COUNTIF($G$2:G864,G864)-1</f>
        <v>863</v>
      </c>
      <c r="B864" s="11" t="s">
        <v>2250</v>
      </c>
      <c r="C864" s="11" t="s">
        <v>402</v>
      </c>
      <c r="D864" s="5" t="s">
        <v>58</v>
      </c>
      <c r="E864" s="5" t="s">
        <v>59</v>
      </c>
      <c r="F864" s="5"/>
      <c r="G864" s="22" t="n">
        <f aca="false">ROUND(SUM(I864:P864),3)</f>
        <v>65.946</v>
      </c>
      <c r="H864" s="5" t="str">
        <f aca="false">IF(G864&gt;=評分方法!$C$16,"優先評估",IF(G864&gt;=評分方法!$C$17,"列入候選",IF(G864&gt;=評分方法!$C$18,"特定情境","不建議")))</f>
        <v>特定情境</v>
      </c>
      <c r="I864" s="15" t="n">
        <f aca="false">AE864*評分方法!$C$5</f>
        <v>28.5</v>
      </c>
      <c r="J864" s="15" t="n">
        <f aca="false">AF864*評分方法!$C$6</f>
        <v>0</v>
      </c>
      <c r="K864" s="15" t="n">
        <f aca="false">AG864*評分方法!$C$7</f>
        <v>4.95</v>
      </c>
      <c r="L864" s="15" t="n">
        <f aca="false">AH864*評分方法!$C$8</f>
        <v>15</v>
      </c>
      <c r="M864" s="15" t="n">
        <f aca="false">AI864*評分方法!$C$9</f>
        <v>10</v>
      </c>
      <c r="N864" s="15" t="n">
        <f aca="false">AJ864*評分方法!$C$10</f>
        <v>4.996</v>
      </c>
      <c r="O864" s="15" t="n">
        <f aca="false">AK864*評分方法!$C$11</f>
        <v>2.5</v>
      </c>
      <c r="P864" s="15" t="n">
        <f aca="false">AL864*評分方法!$C$12</f>
        <v>0</v>
      </c>
      <c r="Q864" s="6" t="n">
        <v>537981</v>
      </c>
      <c r="R864" s="6" t="n">
        <v>354313219</v>
      </c>
      <c r="S864" s="11" t="s">
        <v>238</v>
      </c>
      <c r="T864" s="11" t="s">
        <v>239</v>
      </c>
      <c r="U864" s="5" t="s">
        <v>240</v>
      </c>
      <c r="V864" s="11" t="s">
        <v>261</v>
      </c>
      <c r="W864" s="5" t="s">
        <v>334</v>
      </c>
      <c r="X864" s="5" t="s">
        <v>242</v>
      </c>
      <c r="Y864" s="5"/>
      <c r="Z864" s="5"/>
      <c r="AA864" s="11" t="s">
        <v>150</v>
      </c>
      <c r="AB864" s="5" t="s">
        <v>245</v>
      </c>
      <c r="AC864" s="5"/>
      <c r="AD864" s="11" t="s">
        <v>2251</v>
      </c>
      <c r="AE864" s="23" t="n">
        <v>0.95</v>
      </c>
      <c r="AF864" s="23" t="n">
        <v>0</v>
      </c>
      <c r="AG864" s="23" t="n">
        <v>0.33</v>
      </c>
      <c r="AH864" s="23" t="n">
        <v>1</v>
      </c>
      <c r="AI864" s="23" t="n">
        <v>1</v>
      </c>
      <c r="AJ864" s="23" t="n">
        <v>0.4996</v>
      </c>
      <c r="AK864" s="23" t="n">
        <v>0.5</v>
      </c>
      <c r="AL864" s="23" t="n">
        <v>0</v>
      </c>
      <c r="AM864" s="16" t="n">
        <f aca="false">COUNTIFS($D$2:$D$2501,D864,$G$2:$G$2501,"&gt;"&amp;G864)+COUNTIFS($D$2:D864,D864,$G$2:G864,G864)</f>
        <v>193</v>
      </c>
      <c r="AN864" s="5" t="str">
        <f aca="false">D864&amp;"|"&amp;AM864</f>
        <v>實體擷取與去識別化|193</v>
      </c>
    </row>
    <row r="865" customFormat="false" ht="17.15" hidden="false" customHeight="false" outlineLevel="0" collapsed="false">
      <c r="A865" s="16" t="n">
        <f aca="false">RANK(G865,$G$2:$G$2501)+COUNTIF($G$2:G865,G865)-1</f>
        <v>864</v>
      </c>
      <c r="B865" s="11" t="s">
        <v>2252</v>
      </c>
      <c r="C865" s="11" t="s">
        <v>402</v>
      </c>
      <c r="D865" s="5" t="s">
        <v>58</v>
      </c>
      <c r="E865" s="5" t="s">
        <v>59</v>
      </c>
      <c r="F865" s="5"/>
      <c r="G865" s="22" t="n">
        <f aca="false">ROUND(SUM(I865:P865),3)</f>
        <v>65.942</v>
      </c>
      <c r="H865" s="5" t="str">
        <f aca="false">IF(G865&gt;=評分方法!$C$16,"優先評估",IF(G865&gt;=評分方法!$C$17,"列入候選",IF(G865&gt;=評分方法!$C$18,"特定情境","不建議")))</f>
        <v>特定情境</v>
      </c>
      <c r="I865" s="15" t="n">
        <f aca="false">AE865*評分方法!$C$5</f>
        <v>28.5</v>
      </c>
      <c r="J865" s="15" t="n">
        <f aca="false">AF865*評分方法!$C$6</f>
        <v>0</v>
      </c>
      <c r="K865" s="15" t="n">
        <f aca="false">AG865*評分方法!$C$7</f>
        <v>4.95</v>
      </c>
      <c r="L865" s="15" t="n">
        <f aca="false">AH865*評分方法!$C$8</f>
        <v>15</v>
      </c>
      <c r="M865" s="15" t="n">
        <f aca="false">AI865*評分方法!$C$9</f>
        <v>10</v>
      </c>
      <c r="N865" s="15" t="n">
        <f aca="false">AJ865*評分方法!$C$10</f>
        <v>4.992</v>
      </c>
      <c r="O865" s="15" t="n">
        <f aca="false">AK865*評分方法!$C$11</f>
        <v>2.5</v>
      </c>
      <c r="P865" s="15" t="n">
        <f aca="false">AL865*評分方法!$C$12</f>
        <v>0</v>
      </c>
      <c r="Q865" s="6" t="n">
        <v>537966</v>
      </c>
      <c r="R865" s="6" t="n">
        <v>81536267</v>
      </c>
      <c r="S865" s="11" t="s">
        <v>238</v>
      </c>
      <c r="T865" s="11" t="s">
        <v>239</v>
      </c>
      <c r="U865" s="5" t="s">
        <v>240</v>
      </c>
      <c r="V865" s="11" t="s">
        <v>261</v>
      </c>
      <c r="W865" s="5" t="s">
        <v>334</v>
      </c>
      <c r="X865" s="5" t="s">
        <v>242</v>
      </c>
      <c r="Y865" s="5"/>
      <c r="Z865" s="5"/>
      <c r="AA865" s="11" t="s">
        <v>150</v>
      </c>
      <c r="AB865" s="5" t="s">
        <v>245</v>
      </c>
      <c r="AC865" s="5"/>
      <c r="AD865" s="11" t="s">
        <v>2253</v>
      </c>
      <c r="AE865" s="23" t="n">
        <v>0.95</v>
      </c>
      <c r="AF865" s="23" t="n">
        <v>0</v>
      </c>
      <c r="AG865" s="23" t="n">
        <v>0.33</v>
      </c>
      <c r="AH865" s="23" t="n">
        <v>1</v>
      </c>
      <c r="AI865" s="23" t="n">
        <v>1</v>
      </c>
      <c r="AJ865" s="23" t="n">
        <v>0.4992</v>
      </c>
      <c r="AK865" s="23" t="n">
        <v>0.5</v>
      </c>
      <c r="AL865" s="23" t="n">
        <v>0</v>
      </c>
      <c r="AM865" s="16" t="n">
        <f aca="false">COUNTIFS($D$2:$D$2501,D865,$G$2:$G$2501,"&gt;"&amp;G865)+COUNTIFS($D$2:D865,D865,$G$2:G865,G865)</f>
        <v>194</v>
      </c>
      <c r="AN865" s="5" t="str">
        <f aca="false">D865&amp;"|"&amp;AM865</f>
        <v>實體擷取與去識別化|194</v>
      </c>
    </row>
    <row r="866" customFormat="false" ht="17.15" hidden="false" customHeight="false" outlineLevel="0" collapsed="false">
      <c r="A866" s="16" t="n">
        <f aca="false">RANK(G866,$G$2:$G$2501)+COUNTIF($G$2:G866,G866)-1</f>
        <v>865</v>
      </c>
      <c r="B866" s="11" t="s">
        <v>637</v>
      </c>
      <c r="C866" s="11" t="s">
        <v>1207</v>
      </c>
      <c r="D866" s="5" t="s">
        <v>72</v>
      </c>
      <c r="E866" s="5" t="s">
        <v>73</v>
      </c>
      <c r="F866" s="5"/>
      <c r="G866" s="22" t="n">
        <f aca="false">ROUND(SUM(I866:P866),3)</f>
        <v>65.94</v>
      </c>
      <c r="H866" s="5" t="str">
        <f aca="false">IF(G866&gt;=評分方法!$C$16,"優先評估",IF(G866&gt;=評分方法!$C$17,"列入候選",IF(G866&gt;=評分方法!$C$18,"特定情境","不建議")))</f>
        <v>特定情境</v>
      </c>
      <c r="I866" s="15" t="n">
        <f aca="false">AE866*評分方法!$C$5</f>
        <v>15</v>
      </c>
      <c r="J866" s="15" t="n">
        <f aca="false">AF866*評分方法!$C$6</f>
        <v>0</v>
      </c>
      <c r="K866" s="15" t="n">
        <f aca="false">AG866*評分方法!$C$7</f>
        <v>15</v>
      </c>
      <c r="L866" s="15" t="n">
        <f aca="false">AH866*評分方法!$C$8</f>
        <v>15</v>
      </c>
      <c r="M866" s="15" t="n">
        <f aca="false">AI866*評分方法!$C$9</f>
        <v>10</v>
      </c>
      <c r="N866" s="15" t="n">
        <f aca="false">AJ866*評分方法!$C$10</f>
        <v>9.94</v>
      </c>
      <c r="O866" s="15" t="n">
        <f aca="false">AK866*評分方法!$C$11</f>
        <v>1</v>
      </c>
      <c r="P866" s="15" t="n">
        <f aca="false">AL866*評分方法!$C$12</f>
        <v>0</v>
      </c>
      <c r="Q866" s="6" t="n">
        <v>69049567</v>
      </c>
      <c r="R866" s="6" t="n">
        <v>124697947</v>
      </c>
      <c r="S866" s="11" t="s">
        <v>238</v>
      </c>
      <c r="T866" s="11" t="s">
        <v>278</v>
      </c>
      <c r="U866" s="5" t="s">
        <v>240</v>
      </c>
      <c r="V866" s="11" t="s">
        <v>279</v>
      </c>
      <c r="W866" s="5" t="s">
        <v>205</v>
      </c>
      <c r="X866" s="5" t="s">
        <v>242</v>
      </c>
      <c r="Y866" s="5"/>
      <c r="Z866" s="5"/>
      <c r="AA866" s="11" t="s">
        <v>162</v>
      </c>
      <c r="AB866" s="5" t="s">
        <v>245</v>
      </c>
      <c r="AC866" s="5"/>
      <c r="AD866" s="11" t="s">
        <v>2254</v>
      </c>
      <c r="AE866" s="23" t="n">
        <v>0.5</v>
      </c>
      <c r="AF866" s="23" t="n">
        <v>0</v>
      </c>
      <c r="AG866" s="23" t="n">
        <v>1</v>
      </c>
      <c r="AH866" s="23" t="n">
        <v>1</v>
      </c>
      <c r="AI866" s="23" t="n">
        <v>1</v>
      </c>
      <c r="AJ866" s="23" t="n">
        <v>0.994</v>
      </c>
      <c r="AK866" s="23" t="n">
        <v>0.2</v>
      </c>
      <c r="AL866" s="23" t="n">
        <v>0</v>
      </c>
      <c r="AM866" s="16" t="n">
        <f aca="false">COUNTIFS($D$2:$D$2501,D866,$G$2:$G$2501,"&gt;"&amp;G866)+COUNTIFS($D$2:D866,D866,$G$2:G866,G866)</f>
        <v>15</v>
      </c>
      <c r="AN866" s="5" t="str">
        <f aca="false">D866&amp;"|"&amp;AM866</f>
        <v>微調基底模型|15</v>
      </c>
    </row>
    <row r="867" customFormat="false" ht="17.15" hidden="false" customHeight="false" outlineLevel="0" collapsed="false">
      <c r="A867" s="16" t="n">
        <f aca="false">RANK(G867,$G$2:$G$2501)+COUNTIF($G$2:G867,G867)-1</f>
        <v>866</v>
      </c>
      <c r="B867" s="11" t="s">
        <v>2255</v>
      </c>
      <c r="C867" s="11" t="s">
        <v>2256</v>
      </c>
      <c r="D867" s="5" t="s">
        <v>56</v>
      </c>
      <c r="E867" s="5" t="s">
        <v>57</v>
      </c>
      <c r="F867" s="5"/>
      <c r="G867" s="22" t="n">
        <f aca="false">ROUND(SUM(I867:P867),3)</f>
        <v>65.938</v>
      </c>
      <c r="H867" s="5" t="str">
        <f aca="false">IF(G867&gt;=評分方法!$C$16,"優先評估",IF(G867&gt;=評分方法!$C$17,"列入候選",IF(G867&gt;=評分方法!$C$18,"特定情境","不建議")))</f>
        <v>特定情境</v>
      </c>
      <c r="I867" s="15" t="n">
        <f aca="false">AE867*評分方法!$C$5</f>
        <v>25.5</v>
      </c>
      <c r="J867" s="15" t="n">
        <f aca="false">AF867*評分方法!$C$6</f>
        <v>0</v>
      </c>
      <c r="K867" s="15" t="n">
        <f aca="false">AG867*評分方法!$C$7</f>
        <v>4.95</v>
      </c>
      <c r="L867" s="15" t="n">
        <f aca="false">AH867*評分方法!$C$8</f>
        <v>9</v>
      </c>
      <c r="M867" s="15" t="n">
        <f aca="false">AI867*評分方法!$C$9</f>
        <v>10</v>
      </c>
      <c r="N867" s="15" t="n">
        <f aca="false">AJ867*評分方法!$C$10</f>
        <v>8.488</v>
      </c>
      <c r="O867" s="15" t="n">
        <f aca="false">AK867*評分方法!$C$11</f>
        <v>5</v>
      </c>
      <c r="P867" s="15" t="n">
        <f aca="false">AL867*評分方法!$C$12</f>
        <v>3</v>
      </c>
      <c r="Q867" s="6" t="n">
        <v>2221896</v>
      </c>
      <c r="R867" s="6" t="n">
        <v>11907350576</v>
      </c>
      <c r="S867" s="11" t="s">
        <v>389</v>
      </c>
      <c r="T867" s="11" t="s">
        <v>239</v>
      </c>
      <c r="U867" s="5" t="s">
        <v>240</v>
      </c>
      <c r="V867" s="11" t="s">
        <v>333</v>
      </c>
      <c r="W867" s="5" t="s">
        <v>334</v>
      </c>
      <c r="X867" s="5" t="s">
        <v>371</v>
      </c>
      <c r="Y867" s="11" t="s">
        <v>755</v>
      </c>
      <c r="Z867" s="11" t="s">
        <v>244</v>
      </c>
      <c r="AA867" s="11" t="s">
        <v>155</v>
      </c>
      <c r="AB867" s="5" t="s">
        <v>245</v>
      </c>
      <c r="AC867" s="5" t="s">
        <v>246</v>
      </c>
      <c r="AD867" s="11" t="s">
        <v>2257</v>
      </c>
      <c r="AE867" s="23" t="n">
        <v>0.85</v>
      </c>
      <c r="AF867" s="23" t="n">
        <v>0</v>
      </c>
      <c r="AG867" s="23" t="n">
        <v>0.33</v>
      </c>
      <c r="AH867" s="23" t="n">
        <v>0.6</v>
      </c>
      <c r="AI867" s="23" t="n">
        <v>1</v>
      </c>
      <c r="AJ867" s="23" t="n">
        <v>0.8488</v>
      </c>
      <c r="AK867" s="23" t="n">
        <v>1</v>
      </c>
      <c r="AL867" s="23" t="n">
        <v>0.6</v>
      </c>
      <c r="AM867" s="16" t="n">
        <f aca="false">COUNTIFS($D$2:$D$2501,D867,$G$2:$G$2501,"&gt;"&amp;G867)+COUNTIFS($D$2:D867,D867,$G$2:G867,G867)</f>
        <v>401</v>
      </c>
      <c r="AN867" s="5" t="str">
        <f aca="false">D867&amp;"|"&amp;AM867</f>
        <v>分析與報告生成|401</v>
      </c>
    </row>
    <row r="868" customFormat="false" ht="17.15" hidden="false" customHeight="false" outlineLevel="0" collapsed="false">
      <c r="A868" s="16" t="n">
        <f aca="false">RANK(G868,$G$2:$G$2501)+COUNTIF($G$2:G868,G868)-1</f>
        <v>867</v>
      </c>
      <c r="B868" s="11" t="s">
        <v>2258</v>
      </c>
      <c r="C868" s="11" t="s">
        <v>402</v>
      </c>
      <c r="D868" s="5" t="s">
        <v>58</v>
      </c>
      <c r="E868" s="5" t="s">
        <v>59</v>
      </c>
      <c r="F868" s="5"/>
      <c r="G868" s="22" t="n">
        <f aca="false">ROUND(SUM(I868:P868),3)</f>
        <v>65.938</v>
      </c>
      <c r="H868" s="5" t="str">
        <f aca="false">IF(G868&gt;=評分方法!$C$16,"優先評估",IF(G868&gt;=評分方法!$C$17,"列入候選",IF(G868&gt;=評分方法!$C$18,"特定情境","不建議")))</f>
        <v>特定情境</v>
      </c>
      <c r="I868" s="15" t="n">
        <f aca="false">AE868*評分方法!$C$5</f>
        <v>28.5</v>
      </c>
      <c r="J868" s="15" t="n">
        <f aca="false">AF868*評分方法!$C$6</f>
        <v>0</v>
      </c>
      <c r="K868" s="15" t="n">
        <f aca="false">AG868*評分方法!$C$7</f>
        <v>4.95</v>
      </c>
      <c r="L868" s="15" t="n">
        <f aca="false">AH868*評分方法!$C$8</f>
        <v>15</v>
      </c>
      <c r="M868" s="15" t="n">
        <f aca="false">AI868*評分方法!$C$9</f>
        <v>10</v>
      </c>
      <c r="N868" s="15" t="n">
        <f aca="false">AJ868*評分方法!$C$10</f>
        <v>4.988</v>
      </c>
      <c r="O868" s="15" t="n">
        <f aca="false">AK868*評分方法!$C$11</f>
        <v>2.5</v>
      </c>
      <c r="P868" s="15" t="n">
        <f aca="false">AL868*評分方法!$C$12</f>
        <v>0</v>
      </c>
      <c r="Q868" s="6" t="n">
        <v>537760</v>
      </c>
      <c r="R868" s="6" t="n">
        <v>81530115</v>
      </c>
      <c r="S868" s="11" t="s">
        <v>238</v>
      </c>
      <c r="T868" s="11" t="s">
        <v>239</v>
      </c>
      <c r="U868" s="5" t="s">
        <v>240</v>
      </c>
      <c r="V868" s="11" t="s">
        <v>261</v>
      </c>
      <c r="W868" s="5" t="s">
        <v>334</v>
      </c>
      <c r="X868" s="5" t="s">
        <v>242</v>
      </c>
      <c r="Y868" s="5"/>
      <c r="Z868" s="5"/>
      <c r="AA868" s="11" t="s">
        <v>150</v>
      </c>
      <c r="AB868" s="5" t="s">
        <v>245</v>
      </c>
      <c r="AC868" s="5"/>
      <c r="AD868" s="11" t="s">
        <v>2259</v>
      </c>
      <c r="AE868" s="23" t="n">
        <v>0.95</v>
      </c>
      <c r="AF868" s="23" t="n">
        <v>0</v>
      </c>
      <c r="AG868" s="23" t="n">
        <v>0.33</v>
      </c>
      <c r="AH868" s="23" t="n">
        <v>1</v>
      </c>
      <c r="AI868" s="23" t="n">
        <v>1</v>
      </c>
      <c r="AJ868" s="23" t="n">
        <v>0.4988</v>
      </c>
      <c r="AK868" s="23" t="n">
        <v>0.5</v>
      </c>
      <c r="AL868" s="23" t="n">
        <v>0</v>
      </c>
      <c r="AM868" s="16" t="n">
        <f aca="false">COUNTIFS($D$2:$D$2501,D868,$G$2:$G$2501,"&gt;"&amp;G868)+COUNTIFS($D$2:D868,D868,$G$2:G868,G868)</f>
        <v>195</v>
      </c>
      <c r="AN868" s="5" t="str">
        <f aca="false">D868&amp;"|"&amp;AM868</f>
        <v>實體擷取與去識別化|195</v>
      </c>
    </row>
    <row r="869" customFormat="false" ht="17.15" hidden="false" customHeight="false" outlineLevel="0" collapsed="false">
      <c r="A869" s="16" t="n">
        <f aca="false">RANK(G869,$G$2:$G$2501)+COUNTIF($G$2:G869,G869)-1</f>
        <v>868</v>
      </c>
      <c r="B869" s="11" t="s">
        <v>2260</v>
      </c>
      <c r="C869" s="11" t="s">
        <v>2261</v>
      </c>
      <c r="D869" s="5" t="s">
        <v>54</v>
      </c>
      <c r="E869" s="5" t="s">
        <v>55</v>
      </c>
      <c r="F869" s="5"/>
      <c r="G869" s="22" t="n">
        <f aca="false">ROUND(SUM(I869:P869),3)</f>
        <v>65.926</v>
      </c>
      <c r="H869" s="5" t="str">
        <f aca="false">IF(G869&gt;=評分方法!$C$16,"優先評估",IF(G869&gt;=評分方法!$C$17,"列入候選",IF(G869&gt;=評分方法!$C$18,"特定情境","不建議")))</f>
        <v>特定情境</v>
      </c>
      <c r="I869" s="15" t="n">
        <f aca="false">AE869*評分方法!$C$5</f>
        <v>27</v>
      </c>
      <c r="J869" s="15" t="n">
        <f aca="false">AF869*評分方法!$C$6</f>
        <v>0</v>
      </c>
      <c r="K869" s="15" t="n">
        <f aca="false">AG869*評分方法!$C$7</f>
        <v>10.05</v>
      </c>
      <c r="L869" s="15" t="n">
        <f aca="false">AH869*評分方法!$C$8</f>
        <v>15</v>
      </c>
      <c r="M869" s="15" t="n">
        <f aca="false">AI869*評分方法!$C$9</f>
        <v>2</v>
      </c>
      <c r="N869" s="15" t="n">
        <f aca="false">AJ869*評分方法!$C$10</f>
        <v>9.376</v>
      </c>
      <c r="O869" s="15" t="n">
        <f aca="false">AK869*評分方法!$C$11</f>
        <v>1</v>
      </c>
      <c r="P869" s="15" t="n">
        <f aca="false">AL869*評分方法!$C$12</f>
        <v>1.5</v>
      </c>
      <c r="Q869" s="6" t="n">
        <v>7138008</v>
      </c>
      <c r="R869" s="6" t="n">
        <v>0</v>
      </c>
      <c r="S869" s="11" t="s">
        <v>238</v>
      </c>
      <c r="T869" s="5"/>
      <c r="U869" s="5" t="s">
        <v>375</v>
      </c>
      <c r="V869" s="11" t="s">
        <v>261</v>
      </c>
      <c r="W869" s="5" t="s">
        <v>207</v>
      </c>
      <c r="X869" s="5" t="s">
        <v>255</v>
      </c>
      <c r="Y869" s="5"/>
      <c r="Z869" s="5"/>
      <c r="AA869" s="11" t="s">
        <v>153</v>
      </c>
      <c r="AB869" s="5" t="s">
        <v>245</v>
      </c>
      <c r="AC869" s="5" t="s">
        <v>262</v>
      </c>
      <c r="AD869" s="11" t="s">
        <v>2262</v>
      </c>
      <c r="AE869" s="23" t="n">
        <v>0.9</v>
      </c>
      <c r="AF869" s="23" t="n">
        <v>0</v>
      </c>
      <c r="AG869" s="23" t="n">
        <v>0.67</v>
      </c>
      <c r="AH869" s="23" t="n">
        <v>1</v>
      </c>
      <c r="AI869" s="23" t="n">
        <v>0.2</v>
      </c>
      <c r="AJ869" s="23" t="n">
        <v>0.9376</v>
      </c>
      <c r="AK869" s="23" t="n">
        <v>0.2</v>
      </c>
      <c r="AL869" s="23" t="n">
        <v>0.3</v>
      </c>
      <c r="AM869" s="16" t="n">
        <f aca="false">COUNTIFS($D$2:$D$2501,D869,$G$2:$G$2501,"&gt;"&amp;G869)+COUNTIFS($D$2:D869,D869,$G$2:G869,G869)</f>
        <v>144</v>
      </c>
      <c r="AN869" s="5" t="str">
        <f aca="false">D869&amp;"|"&amp;AM869</f>
        <v>檢索與情資關聯|144</v>
      </c>
    </row>
    <row r="870" customFormat="false" ht="17.15" hidden="false" customHeight="false" outlineLevel="0" collapsed="false">
      <c r="A870" s="16" t="n">
        <f aca="false">RANK(G870,$G$2:$G$2501)+COUNTIF($G$2:G870,G870)-1</f>
        <v>869</v>
      </c>
      <c r="B870" s="11" t="s">
        <v>396</v>
      </c>
      <c r="C870" s="11" t="s">
        <v>712</v>
      </c>
      <c r="D870" s="5" t="s">
        <v>72</v>
      </c>
      <c r="E870" s="5" t="s">
        <v>73</v>
      </c>
      <c r="F870" s="5"/>
      <c r="G870" s="22" t="n">
        <f aca="false">ROUND(SUM(I870:P870),3)</f>
        <v>65.924</v>
      </c>
      <c r="H870" s="5" t="str">
        <f aca="false">IF(G870&gt;=評分方法!$C$16,"優先評估",IF(G870&gt;=評分方法!$C$17,"列入候選",IF(G870&gt;=評分方法!$C$18,"特定情境","不建議")))</f>
        <v>特定情境</v>
      </c>
      <c r="I870" s="15" t="n">
        <f aca="false">AE870*評分方法!$C$5</f>
        <v>15</v>
      </c>
      <c r="J870" s="15" t="n">
        <f aca="false">AF870*評分方法!$C$6</f>
        <v>0</v>
      </c>
      <c r="K870" s="15" t="n">
        <f aca="false">AG870*評分方法!$C$7</f>
        <v>15</v>
      </c>
      <c r="L870" s="15" t="n">
        <f aca="false">AH870*評分方法!$C$8</f>
        <v>15</v>
      </c>
      <c r="M870" s="15" t="n">
        <f aca="false">AI870*評分方法!$C$9</f>
        <v>10</v>
      </c>
      <c r="N870" s="15" t="n">
        <f aca="false">AJ870*評分方法!$C$10</f>
        <v>9.924</v>
      </c>
      <c r="O870" s="15" t="n">
        <f aca="false">AK870*評分方法!$C$11</f>
        <v>1</v>
      </c>
      <c r="P870" s="15" t="n">
        <f aca="false">AL870*評分方法!$C$12</f>
        <v>0</v>
      </c>
      <c r="Q870" s="6" t="n">
        <v>58474763</v>
      </c>
      <c r="R870" s="6" t="n">
        <v>66985530</v>
      </c>
      <c r="S870" s="11" t="s">
        <v>238</v>
      </c>
      <c r="T870" s="11" t="s">
        <v>239</v>
      </c>
      <c r="U870" s="5" t="s">
        <v>240</v>
      </c>
      <c r="V870" s="11" t="s">
        <v>279</v>
      </c>
      <c r="W870" s="5" t="s">
        <v>205</v>
      </c>
      <c r="X870" s="5" t="s">
        <v>242</v>
      </c>
      <c r="Y870" s="5"/>
      <c r="Z870" s="5"/>
      <c r="AA870" s="11" t="s">
        <v>162</v>
      </c>
      <c r="AB870" s="5" t="s">
        <v>245</v>
      </c>
      <c r="AC870" s="5"/>
      <c r="AD870" s="11" t="s">
        <v>2263</v>
      </c>
      <c r="AE870" s="23" t="n">
        <v>0.5</v>
      </c>
      <c r="AF870" s="23" t="n">
        <v>0</v>
      </c>
      <c r="AG870" s="23" t="n">
        <v>1</v>
      </c>
      <c r="AH870" s="23" t="n">
        <v>1</v>
      </c>
      <c r="AI870" s="23" t="n">
        <v>1</v>
      </c>
      <c r="AJ870" s="23" t="n">
        <v>0.9924</v>
      </c>
      <c r="AK870" s="23" t="n">
        <v>0.2</v>
      </c>
      <c r="AL870" s="23" t="n">
        <v>0</v>
      </c>
      <c r="AM870" s="16" t="n">
        <f aca="false">COUNTIFS($D$2:$D$2501,D870,$G$2:$G$2501,"&gt;"&amp;G870)+COUNTIFS($D$2:D870,D870,$G$2:G870,G870)</f>
        <v>16</v>
      </c>
      <c r="AN870" s="5" t="str">
        <f aca="false">D870&amp;"|"&amp;AM870</f>
        <v>微調基底模型|16</v>
      </c>
    </row>
    <row r="871" customFormat="false" ht="17.15" hidden="false" customHeight="false" outlineLevel="0" collapsed="false">
      <c r="A871" s="16" t="n">
        <f aca="false">RANK(G871,$G$2:$G$2501)+COUNTIF($G$2:G871,G871)-1</f>
        <v>870</v>
      </c>
      <c r="B871" s="11" t="s">
        <v>2264</v>
      </c>
      <c r="C871" s="11" t="s">
        <v>2265</v>
      </c>
      <c r="D871" s="5" t="s">
        <v>56</v>
      </c>
      <c r="E871" s="5" t="s">
        <v>57</v>
      </c>
      <c r="F871" s="5"/>
      <c r="G871" s="22" t="n">
        <f aca="false">ROUND(SUM(I871:P871),3)</f>
        <v>65.922</v>
      </c>
      <c r="H871" s="5" t="str">
        <f aca="false">IF(G871&gt;=評分方法!$C$16,"優先評估",IF(G871&gt;=評分方法!$C$17,"列入候選",IF(G871&gt;=評分方法!$C$18,"特定情境","不建議")))</f>
        <v>特定情境</v>
      </c>
      <c r="I871" s="15" t="n">
        <f aca="false">AE871*評分方法!$C$5</f>
        <v>25.5</v>
      </c>
      <c r="J871" s="15" t="n">
        <f aca="false">AF871*評分方法!$C$6</f>
        <v>0</v>
      </c>
      <c r="K871" s="15" t="n">
        <f aca="false">AG871*評分方法!$C$7</f>
        <v>4.95</v>
      </c>
      <c r="L871" s="15" t="n">
        <f aca="false">AH871*評分方法!$C$8</f>
        <v>9</v>
      </c>
      <c r="M871" s="15" t="n">
        <f aca="false">AI871*評分方法!$C$9</f>
        <v>10</v>
      </c>
      <c r="N871" s="15" t="n">
        <f aca="false">AJ871*評分方法!$C$10</f>
        <v>8.472</v>
      </c>
      <c r="O871" s="15" t="n">
        <f aca="false">AK871*評分方法!$C$11</f>
        <v>5</v>
      </c>
      <c r="P871" s="15" t="n">
        <f aca="false">AL871*評分方法!$C$12</f>
        <v>3</v>
      </c>
      <c r="Q871" s="6" t="n">
        <v>2159457</v>
      </c>
      <c r="R871" s="6" t="n">
        <v>31273088876</v>
      </c>
      <c r="S871" s="11" t="s">
        <v>389</v>
      </c>
      <c r="T871" s="11" t="s">
        <v>239</v>
      </c>
      <c r="U871" s="5" t="s">
        <v>240</v>
      </c>
      <c r="V871" s="11" t="s">
        <v>261</v>
      </c>
      <c r="W871" s="5" t="s">
        <v>334</v>
      </c>
      <c r="X871" s="5" t="s">
        <v>371</v>
      </c>
      <c r="Y871" s="11" t="s">
        <v>583</v>
      </c>
      <c r="Z871" s="11" t="s">
        <v>244</v>
      </c>
      <c r="AA871" s="11" t="s">
        <v>156</v>
      </c>
      <c r="AB871" s="5" t="s">
        <v>245</v>
      </c>
      <c r="AC871" s="5" t="s">
        <v>246</v>
      </c>
      <c r="AD871" s="11" t="s">
        <v>2266</v>
      </c>
      <c r="AE871" s="23" t="n">
        <v>0.85</v>
      </c>
      <c r="AF871" s="23" t="n">
        <v>0</v>
      </c>
      <c r="AG871" s="23" t="n">
        <v>0.33</v>
      </c>
      <c r="AH871" s="23" t="n">
        <v>0.6</v>
      </c>
      <c r="AI871" s="23" t="n">
        <v>1</v>
      </c>
      <c r="AJ871" s="23" t="n">
        <v>0.8472</v>
      </c>
      <c r="AK871" s="23" t="n">
        <v>1</v>
      </c>
      <c r="AL871" s="23" t="n">
        <v>0.6</v>
      </c>
      <c r="AM871" s="16" t="n">
        <f aca="false">COUNTIFS($D$2:$D$2501,D871,$G$2:$G$2501,"&gt;"&amp;G871)+COUNTIFS($D$2:D871,D871,$G$2:G871,G871)</f>
        <v>402</v>
      </c>
      <c r="AN871" s="5" t="str">
        <f aca="false">D871&amp;"|"&amp;AM871</f>
        <v>分析與報告生成|402</v>
      </c>
    </row>
    <row r="872" customFormat="false" ht="17.15" hidden="false" customHeight="false" outlineLevel="0" collapsed="false">
      <c r="A872" s="16" t="n">
        <f aca="false">RANK(G872,$G$2:$G$2501)+COUNTIF($G$2:G872,G872)-1</f>
        <v>871</v>
      </c>
      <c r="B872" s="11" t="s">
        <v>2267</v>
      </c>
      <c r="C872" s="11" t="s">
        <v>402</v>
      </c>
      <c r="D872" s="5" t="s">
        <v>58</v>
      </c>
      <c r="E872" s="5" t="s">
        <v>59</v>
      </c>
      <c r="F872" s="5"/>
      <c r="G872" s="22" t="n">
        <f aca="false">ROUND(SUM(I872:P872),3)</f>
        <v>65.922</v>
      </c>
      <c r="H872" s="5" t="str">
        <f aca="false">IF(G872&gt;=評分方法!$C$16,"優先評估",IF(G872&gt;=評分方法!$C$17,"列入候選",IF(G872&gt;=評分方法!$C$18,"特定情境","不建議")))</f>
        <v>特定情境</v>
      </c>
      <c r="I872" s="15" t="n">
        <f aca="false">AE872*評分方法!$C$5</f>
        <v>28.5</v>
      </c>
      <c r="J872" s="15" t="n">
        <f aca="false">AF872*評分方法!$C$6</f>
        <v>0</v>
      </c>
      <c r="K872" s="15" t="n">
        <f aca="false">AG872*評分方法!$C$7</f>
        <v>4.95</v>
      </c>
      <c r="L872" s="15" t="n">
        <f aca="false">AH872*評分方法!$C$8</f>
        <v>15</v>
      </c>
      <c r="M872" s="15" t="n">
        <f aca="false">AI872*評分方法!$C$9</f>
        <v>10</v>
      </c>
      <c r="N872" s="15" t="n">
        <f aca="false">AJ872*評分方法!$C$10</f>
        <v>4.972</v>
      </c>
      <c r="O872" s="15" t="n">
        <f aca="false">AK872*評分方法!$C$11</f>
        <v>2.5</v>
      </c>
      <c r="P872" s="15" t="n">
        <f aca="false">AL872*評分方法!$C$12</f>
        <v>0</v>
      </c>
      <c r="Q872" s="6" t="n">
        <v>536026</v>
      </c>
      <c r="R872" s="6" t="n">
        <v>107721987</v>
      </c>
      <c r="S872" s="11" t="s">
        <v>238</v>
      </c>
      <c r="T872" s="11" t="s">
        <v>239</v>
      </c>
      <c r="U872" s="5" t="s">
        <v>240</v>
      </c>
      <c r="V872" s="11" t="s">
        <v>261</v>
      </c>
      <c r="W872" s="5" t="s">
        <v>334</v>
      </c>
      <c r="X872" s="5" t="s">
        <v>242</v>
      </c>
      <c r="Y872" s="5"/>
      <c r="Z872" s="5"/>
      <c r="AA872" s="11" t="s">
        <v>150</v>
      </c>
      <c r="AB872" s="5" t="s">
        <v>245</v>
      </c>
      <c r="AC872" s="5"/>
      <c r="AD872" s="11" t="s">
        <v>2268</v>
      </c>
      <c r="AE872" s="23" t="n">
        <v>0.95</v>
      </c>
      <c r="AF872" s="23" t="n">
        <v>0</v>
      </c>
      <c r="AG872" s="23" t="n">
        <v>0.33</v>
      </c>
      <c r="AH872" s="23" t="n">
        <v>1</v>
      </c>
      <c r="AI872" s="23" t="n">
        <v>1</v>
      </c>
      <c r="AJ872" s="23" t="n">
        <v>0.4972</v>
      </c>
      <c r="AK872" s="23" t="n">
        <v>0.5</v>
      </c>
      <c r="AL872" s="23" t="n">
        <v>0</v>
      </c>
      <c r="AM872" s="16" t="n">
        <f aca="false">COUNTIFS($D$2:$D$2501,D872,$G$2:$G$2501,"&gt;"&amp;G872)+COUNTIFS($D$2:D872,D872,$G$2:G872,G872)</f>
        <v>196</v>
      </c>
      <c r="AN872" s="5" t="str">
        <f aca="false">D872&amp;"|"&amp;AM872</f>
        <v>實體擷取與去識別化|196</v>
      </c>
    </row>
    <row r="873" customFormat="false" ht="17.15" hidden="false" customHeight="false" outlineLevel="0" collapsed="false">
      <c r="A873" s="16" t="n">
        <f aca="false">RANK(G873,$G$2:$G$2501)+COUNTIF($G$2:G873,G873)-1</f>
        <v>872</v>
      </c>
      <c r="B873" s="11" t="s">
        <v>2269</v>
      </c>
      <c r="C873" s="11" t="s">
        <v>402</v>
      </c>
      <c r="D873" s="5" t="s">
        <v>58</v>
      </c>
      <c r="E873" s="5" t="s">
        <v>59</v>
      </c>
      <c r="F873" s="5"/>
      <c r="G873" s="22" t="n">
        <f aca="false">ROUND(SUM(I873:P873),3)</f>
        <v>65.918</v>
      </c>
      <c r="H873" s="5" t="str">
        <f aca="false">IF(G873&gt;=評分方法!$C$16,"優先評估",IF(G873&gt;=評分方法!$C$17,"列入候選",IF(G873&gt;=評分方法!$C$18,"特定情境","不建議")))</f>
        <v>特定情境</v>
      </c>
      <c r="I873" s="15" t="n">
        <f aca="false">AE873*評分方法!$C$5</f>
        <v>28.5</v>
      </c>
      <c r="J873" s="15" t="n">
        <f aca="false">AF873*評分方法!$C$6</f>
        <v>0</v>
      </c>
      <c r="K873" s="15" t="n">
        <f aca="false">AG873*評分方法!$C$7</f>
        <v>4.95</v>
      </c>
      <c r="L873" s="15" t="n">
        <f aca="false">AH873*評分方法!$C$8</f>
        <v>15</v>
      </c>
      <c r="M873" s="15" t="n">
        <f aca="false">AI873*評分方法!$C$9</f>
        <v>10</v>
      </c>
      <c r="N873" s="15" t="n">
        <f aca="false">AJ873*評分方法!$C$10</f>
        <v>4.968</v>
      </c>
      <c r="O873" s="15" t="n">
        <f aca="false">AK873*評分方法!$C$11</f>
        <v>2.5</v>
      </c>
      <c r="P873" s="15" t="n">
        <f aca="false">AL873*評分方法!$C$12</f>
        <v>0</v>
      </c>
      <c r="Q873" s="6" t="n">
        <v>535838</v>
      </c>
      <c r="R873" s="6" t="n">
        <v>566708227</v>
      </c>
      <c r="S873" s="11" t="s">
        <v>238</v>
      </c>
      <c r="T873" s="11" t="s">
        <v>239</v>
      </c>
      <c r="U873" s="5" t="s">
        <v>240</v>
      </c>
      <c r="V873" s="11" t="s">
        <v>261</v>
      </c>
      <c r="W873" s="5" t="s">
        <v>334</v>
      </c>
      <c r="X873" s="5" t="s">
        <v>242</v>
      </c>
      <c r="Y873" s="5"/>
      <c r="Z873" s="5"/>
      <c r="AA873" s="11" t="s">
        <v>150</v>
      </c>
      <c r="AB873" s="5" t="s">
        <v>245</v>
      </c>
      <c r="AC873" s="5"/>
      <c r="AD873" s="11" t="s">
        <v>2270</v>
      </c>
      <c r="AE873" s="23" t="n">
        <v>0.95</v>
      </c>
      <c r="AF873" s="23" t="n">
        <v>0</v>
      </c>
      <c r="AG873" s="23" t="n">
        <v>0.33</v>
      </c>
      <c r="AH873" s="23" t="n">
        <v>1</v>
      </c>
      <c r="AI873" s="23" t="n">
        <v>1</v>
      </c>
      <c r="AJ873" s="23" t="n">
        <v>0.4968</v>
      </c>
      <c r="AK873" s="23" t="n">
        <v>0.5</v>
      </c>
      <c r="AL873" s="23" t="n">
        <v>0</v>
      </c>
      <c r="AM873" s="16" t="n">
        <f aca="false">COUNTIFS($D$2:$D$2501,D873,$G$2:$G$2501,"&gt;"&amp;G873)+COUNTIFS($D$2:D873,D873,$G$2:G873,G873)</f>
        <v>197</v>
      </c>
      <c r="AN873" s="5" t="str">
        <f aca="false">D873&amp;"|"&amp;AM873</f>
        <v>實體擷取與去識別化|197</v>
      </c>
    </row>
    <row r="874" customFormat="false" ht="17.15" hidden="false" customHeight="false" outlineLevel="0" collapsed="false">
      <c r="A874" s="16" t="n">
        <f aca="false">RANK(G874,$G$2:$G$2501)+COUNTIF($G$2:G874,G874)-1</f>
        <v>873</v>
      </c>
      <c r="B874" s="11" t="s">
        <v>2271</v>
      </c>
      <c r="C874" s="11" t="s">
        <v>402</v>
      </c>
      <c r="D874" s="5" t="s">
        <v>58</v>
      </c>
      <c r="E874" s="5" t="s">
        <v>59</v>
      </c>
      <c r="F874" s="5"/>
      <c r="G874" s="22" t="n">
        <f aca="false">ROUND(SUM(I874:P874),3)</f>
        <v>65.914</v>
      </c>
      <c r="H874" s="5" t="str">
        <f aca="false">IF(G874&gt;=評分方法!$C$16,"優先評估",IF(G874&gt;=評分方法!$C$17,"列入候選",IF(G874&gt;=評分方法!$C$18,"特定情境","不建議")))</f>
        <v>特定情境</v>
      </c>
      <c r="I874" s="15" t="n">
        <f aca="false">AE874*評分方法!$C$5</f>
        <v>28.5</v>
      </c>
      <c r="J874" s="15" t="n">
        <f aca="false">AF874*評分方法!$C$6</f>
        <v>0</v>
      </c>
      <c r="K874" s="15" t="n">
        <f aca="false">AG874*評分方法!$C$7</f>
        <v>4.95</v>
      </c>
      <c r="L874" s="15" t="n">
        <f aca="false">AH874*評分方法!$C$8</f>
        <v>15</v>
      </c>
      <c r="M874" s="15" t="n">
        <f aca="false">AI874*評分方法!$C$9</f>
        <v>10</v>
      </c>
      <c r="N874" s="15" t="n">
        <f aca="false">AJ874*評分方法!$C$10</f>
        <v>4.964</v>
      </c>
      <c r="O874" s="15" t="n">
        <f aca="false">AK874*評分方法!$C$11</f>
        <v>2.5</v>
      </c>
      <c r="P874" s="15" t="n">
        <f aca="false">AL874*評分方法!$C$12</f>
        <v>0</v>
      </c>
      <c r="Q874" s="6" t="n">
        <v>535757</v>
      </c>
      <c r="R874" s="6" t="n">
        <v>334095363</v>
      </c>
      <c r="S874" s="11" t="s">
        <v>238</v>
      </c>
      <c r="T874" s="11" t="s">
        <v>239</v>
      </c>
      <c r="U874" s="5" t="s">
        <v>240</v>
      </c>
      <c r="V874" s="11" t="s">
        <v>261</v>
      </c>
      <c r="W874" s="5" t="s">
        <v>334</v>
      </c>
      <c r="X874" s="5" t="s">
        <v>242</v>
      </c>
      <c r="Y874" s="5"/>
      <c r="Z874" s="5"/>
      <c r="AA874" s="11" t="s">
        <v>150</v>
      </c>
      <c r="AB874" s="5" t="s">
        <v>245</v>
      </c>
      <c r="AC874" s="5"/>
      <c r="AD874" s="11" t="s">
        <v>2272</v>
      </c>
      <c r="AE874" s="23" t="n">
        <v>0.95</v>
      </c>
      <c r="AF874" s="23" t="n">
        <v>0</v>
      </c>
      <c r="AG874" s="23" t="n">
        <v>0.33</v>
      </c>
      <c r="AH874" s="23" t="n">
        <v>1</v>
      </c>
      <c r="AI874" s="23" t="n">
        <v>1</v>
      </c>
      <c r="AJ874" s="23" t="n">
        <v>0.4964</v>
      </c>
      <c r="AK874" s="23" t="n">
        <v>0.5</v>
      </c>
      <c r="AL874" s="23" t="n">
        <v>0</v>
      </c>
      <c r="AM874" s="16" t="n">
        <f aca="false">COUNTIFS($D$2:$D$2501,D874,$G$2:$G$2501,"&gt;"&amp;G874)+COUNTIFS($D$2:D874,D874,$G$2:G874,G874)</f>
        <v>198</v>
      </c>
      <c r="AN874" s="5" t="str">
        <f aca="false">D874&amp;"|"&amp;AM874</f>
        <v>實體擷取與去識別化|198</v>
      </c>
    </row>
    <row r="875" customFormat="false" ht="17.15" hidden="false" customHeight="false" outlineLevel="0" collapsed="false">
      <c r="A875" s="16" t="n">
        <f aca="false">RANK(G875,$G$2:$G$2501)+COUNTIF($G$2:G875,G875)-1</f>
        <v>874</v>
      </c>
      <c r="B875" s="11" t="s">
        <v>2273</v>
      </c>
      <c r="C875" s="11" t="s">
        <v>2050</v>
      </c>
      <c r="D875" s="5" t="s">
        <v>58</v>
      </c>
      <c r="E875" s="5" t="s">
        <v>59</v>
      </c>
      <c r="F875" s="5"/>
      <c r="G875" s="22" t="n">
        <f aca="false">ROUND(SUM(I875:P875),3)</f>
        <v>65.914</v>
      </c>
      <c r="H875" s="5" t="str">
        <f aca="false">IF(G875&gt;=評分方法!$C$16,"優先評估",IF(G875&gt;=評分方法!$C$17,"列入候選",IF(G875&gt;=評分方法!$C$18,"特定情境","不建議")))</f>
        <v>特定情境</v>
      </c>
      <c r="I875" s="15" t="n">
        <f aca="false">AE875*評分方法!$C$5</f>
        <v>28.5</v>
      </c>
      <c r="J875" s="15" t="n">
        <f aca="false">AF875*評分方法!$C$6</f>
        <v>0</v>
      </c>
      <c r="K875" s="15" t="n">
        <f aca="false">AG875*評分方法!$C$7</f>
        <v>4.95</v>
      </c>
      <c r="L875" s="15" t="n">
        <f aca="false">AH875*評分方法!$C$8</f>
        <v>15</v>
      </c>
      <c r="M875" s="15" t="n">
        <f aca="false">AI875*評分方法!$C$9</f>
        <v>10</v>
      </c>
      <c r="N875" s="15" t="n">
        <f aca="false">AJ875*評分方法!$C$10</f>
        <v>3.464</v>
      </c>
      <c r="O875" s="15" t="n">
        <f aca="false">AK875*評分方法!$C$11</f>
        <v>4</v>
      </c>
      <c r="P875" s="15" t="n">
        <f aca="false">AL875*評分方法!$C$12</f>
        <v>0</v>
      </c>
      <c r="Q875" s="6" t="n">
        <v>349446</v>
      </c>
      <c r="R875" s="6" t="n">
        <v>149606402</v>
      </c>
      <c r="S875" s="11" t="s">
        <v>238</v>
      </c>
      <c r="T875" s="11" t="s">
        <v>278</v>
      </c>
      <c r="U875" s="5" t="s">
        <v>240</v>
      </c>
      <c r="V875" s="11" t="s">
        <v>261</v>
      </c>
      <c r="W875" s="5" t="s">
        <v>334</v>
      </c>
      <c r="X875" s="5" t="s">
        <v>242</v>
      </c>
      <c r="Y875" s="11" t="s">
        <v>350</v>
      </c>
      <c r="Z875" s="11" t="s">
        <v>270</v>
      </c>
      <c r="AA875" s="11" t="s">
        <v>150</v>
      </c>
      <c r="AB875" s="5" t="s">
        <v>245</v>
      </c>
      <c r="AC875" s="5"/>
      <c r="AD875" s="11" t="s">
        <v>2274</v>
      </c>
      <c r="AE875" s="23" t="n">
        <v>0.95</v>
      </c>
      <c r="AF875" s="23" t="n">
        <v>0</v>
      </c>
      <c r="AG875" s="23" t="n">
        <v>0.33</v>
      </c>
      <c r="AH875" s="23" t="n">
        <v>1</v>
      </c>
      <c r="AI875" s="23" t="n">
        <v>1</v>
      </c>
      <c r="AJ875" s="23" t="n">
        <v>0.3464</v>
      </c>
      <c r="AK875" s="23" t="n">
        <v>0.8</v>
      </c>
      <c r="AL875" s="23" t="n">
        <v>0</v>
      </c>
      <c r="AM875" s="16" t="n">
        <f aca="false">COUNTIFS($D$2:$D$2501,D875,$G$2:$G$2501,"&gt;"&amp;G875)+COUNTIFS($D$2:D875,D875,$G$2:G875,G875)</f>
        <v>199</v>
      </c>
      <c r="AN875" s="5" t="str">
        <f aca="false">D875&amp;"|"&amp;AM875</f>
        <v>實體擷取與去識別化|199</v>
      </c>
    </row>
    <row r="876" customFormat="false" ht="17.15" hidden="false" customHeight="false" outlineLevel="0" collapsed="false">
      <c r="A876" s="16" t="n">
        <f aca="false">RANK(G876,$G$2:$G$2501)+COUNTIF($G$2:G876,G876)-1</f>
        <v>875</v>
      </c>
      <c r="B876" s="11" t="s">
        <v>2275</v>
      </c>
      <c r="C876" s="11" t="s">
        <v>402</v>
      </c>
      <c r="D876" s="5" t="s">
        <v>58</v>
      </c>
      <c r="E876" s="5" t="s">
        <v>59</v>
      </c>
      <c r="F876" s="5"/>
      <c r="G876" s="22" t="n">
        <f aca="false">ROUND(SUM(I876:P876),3)</f>
        <v>65.91</v>
      </c>
      <c r="H876" s="5" t="str">
        <f aca="false">IF(G876&gt;=評分方法!$C$16,"優先評估",IF(G876&gt;=評分方法!$C$17,"列入候選",IF(G876&gt;=評分方法!$C$18,"特定情境","不建議")))</f>
        <v>特定情境</v>
      </c>
      <c r="I876" s="15" t="n">
        <f aca="false">AE876*評分方法!$C$5</f>
        <v>28.5</v>
      </c>
      <c r="J876" s="15" t="n">
        <f aca="false">AF876*評分方法!$C$6</f>
        <v>0</v>
      </c>
      <c r="K876" s="15" t="n">
        <f aca="false">AG876*評分方法!$C$7</f>
        <v>4.95</v>
      </c>
      <c r="L876" s="15" t="n">
        <f aca="false">AH876*評分方法!$C$8</f>
        <v>15</v>
      </c>
      <c r="M876" s="15" t="n">
        <f aca="false">AI876*評分方法!$C$9</f>
        <v>10</v>
      </c>
      <c r="N876" s="15" t="n">
        <f aca="false">AJ876*評分方法!$C$10</f>
        <v>4.96</v>
      </c>
      <c r="O876" s="15" t="n">
        <f aca="false">AK876*評分方法!$C$11</f>
        <v>2.5</v>
      </c>
      <c r="P876" s="15" t="n">
        <f aca="false">AL876*評分方法!$C$12</f>
        <v>0</v>
      </c>
      <c r="Q876" s="6" t="n">
        <v>535548</v>
      </c>
      <c r="R876" s="6" t="n">
        <v>434023435</v>
      </c>
      <c r="S876" s="11" t="s">
        <v>238</v>
      </c>
      <c r="T876" s="11" t="s">
        <v>239</v>
      </c>
      <c r="U876" s="5" t="s">
        <v>240</v>
      </c>
      <c r="V876" s="11" t="s">
        <v>261</v>
      </c>
      <c r="W876" s="5" t="s">
        <v>334</v>
      </c>
      <c r="X876" s="5" t="s">
        <v>242</v>
      </c>
      <c r="Y876" s="5"/>
      <c r="Z876" s="5"/>
      <c r="AA876" s="11" t="s">
        <v>150</v>
      </c>
      <c r="AB876" s="5" t="s">
        <v>245</v>
      </c>
      <c r="AC876" s="5"/>
      <c r="AD876" s="11" t="s">
        <v>2276</v>
      </c>
      <c r="AE876" s="23" t="n">
        <v>0.95</v>
      </c>
      <c r="AF876" s="23" t="n">
        <v>0</v>
      </c>
      <c r="AG876" s="23" t="n">
        <v>0.33</v>
      </c>
      <c r="AH876" s="23" t="n">
        <v>1</v>
      </c>
      <c r="AI876" s="23" t="n">
        <v>1</v>
      </c>
      <c r="AJ876" s="23" t="n">
        <v>0.496</v>
      </c>
      <c r="AK876" s="23" t="n">
        <v>0.5</v>
      </c>
      <c r="AL876" s="23" t="n">
        <v>0</v>
      </c>
      <c r="AM876" s="16" t="n">
        <f aca="false">COUNTIFS($D$2:$D$2501,D876,$G$2:$G$2501,"&gt;"&amp;G876)+COUNTIFS($D$2:D876,D876,$G$2:G876,G876)</f>
        <v>200</v>
      </c>
      <c r="AN876" s="5" t="str">
        <f aca="false">D876&amp;"|"&amp;AM876</f>
        <v>實體擷取與去識別化|200</v>
      </c>
    </row>
    <row r="877" customFormat="false" ht="17.15" hidden="false" customHeight="false" outlineLevel="0" collapsed="false">
      <c r="A877" s="16" t="n">
        <f aca="false">RANK(G877,$G$2:$G$2501)+COUNTIF($G$2:G877,G877)-1</f>
        <v>876</v>
      </c>
      <c r="B877" s="11" t="s">
        <v>2277</v>
      </c>
      <c r="C877" s="11" t="s">
        <v>753</v>
      </c>
      <c r="D877" s="5" t="s">
        <v>56</v>
      </c>
      <c r="E877" s="5" t="s">
        <v>57</v>
      </c>
      <c r="F877" s="5"/>
      <c r="G877" s="22" t="n">
        <f aca="false">ROUND(SUM(I877:P877),3)</f>
        <v>65.902</v>
      </c>
      <c r="H877" s="5" t="str">
        <f aca="false">IF(G877&gt;=評分方法!$C$16,"優先評估",IF(G877&gt;=評分方法!$C$17,"列入候選",IF(G877&gt;=評分方法!$C$18,"特定情境","不建議")))</f>
        <v>特定情境</v>
      </c>
      <c r="I877" s="15" t="n">
        <f aca="false">AE877*評分方法!$C$5</f>
        <v>25.5</v>
      </c>
      <c r="J877" s="15" t="n">
        <f aca="false">AF877*評分方法!$C$6</f>
        <v>0</v>
      </c>
      <c r="K877" s="15" t="n">
        <f aca="false">AG877*評分方法!$C$7</f>
        <v>10.05</v>
      </c>
      <c r="L877" s="15" t="n">
        <f aca="false">AH877*評分方法!$C$8</f>
        <v>9</v>
      </c>
      <c r="M877" s="15" t="n">
        <f aca="false">AI877*評分方法!$C$9</f>
        <v>10</v>
      </c>
      <c r="N877" s="15" t="n">
        <f aca="false">AJ877*評分方法!$C$10</f>
        <v>3.352</v>
      </c>
      <c r="O877" s="15" t="n">
        <f aca="false">AK877*評分方法!$C$11</f>
        <v>5</v>
      </c>
      <c r="P877" s="15" t="n">
        <f aca="false">AL877*評分方法!$C$12</f>
        <v>3</v>
      </c>
      <c r="Q877" s="6" t="n">
        <v>333829</v>
      </c>
      <c r="R877" s="6" t="n">
        <v>25805936206</v>
      </c>
      <c r="S877" s="11" t="s">
        <v>389</v>
      </c>
      <c r="T877" s="11" t="s">
        <v>239</v>
      </c>
      <c r="U877" s="5" t="s">
        <v>240</v>
      </c>
      <c r="V877" s="11" t="s">
        <v>261</v>
      </c>
      <c r="W877" s="5" t="s">
        <v>207</v>
      </c>
      <c r="X877" s="5" t="s">
        <v>371</v>
      </c>
      <c r="Y877" s="11" t="s">
        <v>575</v>
      </c>
      <c r="Z877" s="11" t="s">
        <v>270</v>
      </c>
      <c r="AA877" s="11" t="s">
        <v>156</v>
      </c>
      <c r="AB877" s="5" t="s">
        <v>245</v>
      </c>
      <c r="AC877" s="5"/>
      <c r="AD877" s="11" t="s">
        <v>2278</v>
      </c>
      <c r="AE877" s="23" t="n">
        <v>0.85</v>
      </c>
      <c r="AF877" s="23" t="n">
        <v>0</v>
      </c>
      <c r="AG877" s="23" t="n">
        <v>0.67</v>
      </c>
      <c r="AH877" s="23" t="n">
        <v>0.6</v>
      </c>
      <c r="AI877" s="23" t="n">
        <v>1</v>
      </c>
      <c r="AJ877" s="23" t="n">
        <v>0.3352</v>
      </c>
      <c r="AK877" s="23" t="n">
        <v>1</v>
      </c>
      <c r="AL877" s="23" t="n">
        <v>0.6</v>
      </c>
      <c r="AM877" s="16" t="n">
        <f aca="false">COUNTIFS($D$2:$D$2501,D877,$G$2:$G$2501,"&gt;"&amp;G877)+COUNTIFS($D$2:D877,D877,$G$2:G877,G877)</f>
        <v>403</v>
      </c>
      <c r="AN877" s="5" t="str">
        <f aca="false">D877&amp;"|"&amp;AM877</f>
        <v>分析與報告生成|403</v>
      </c>
    </row>
    <row r="878" customFormat="false" ht="17.15" hidden="false" customHeight="false" outlineLevel="0" collapsed="false">
      <c r="A878" s="16" t="n">
        <f aca="false">RANK(G878,$G$2:$G$2501)+COUNTIF($G$2:G878,G878)-1</f>
        <v>877</v>
      </c>
      <c r="B878" s="11" t="s">
        <v>2279</v>
      </c>
      <c r="C878" s="11" t="s">
        <v>2280</v>
      </c>
      <c r="D878" s="11" t="s">
        <v>46</v>
      </c>
      <c r="E878" s="11" t="s">
        <v>47</v>
      </c>
      <c r="F878" s="11" t="s">
        <v>46</v>
      </c>
      <c r="G878" s="22" t="n">
        <f aca="false">ROUND(SUM(I878:P878),3)</f>
        <v>65.892</v>
      </c>
      <c r="H878" s="5" t="str">
        <f aca="false">IF(G878&gt;=評分方法!$C$16,"優先評估",IF(G878&gt;=評分方法!$C$17,"列入候選",IF(G878&gt;=評分方法!$C$18,"特定情境","不建議")))</f>
        <v>特定情境</v>
      </c>
      <c r="I878" s="15" t="n">
        <f aca="false">AE878*評分方法!$C$5</f>
        <v>25.5</v>
      </c>
      <c r="J878" s="15" t="n">
        <f aca="false">AF878*評分方法!$C$6</f>
        <v>10</v>
      </c>
      <c r="K878" s="15" t="n">
        <f aca="false">AG878*評分方法!$C$7</f>
        <v>4.95</v>
      </c>
      <c r="L878" s="15" t="n">
        <f aca="false">AH878*評分方法!$C$8</f>
        <v>13.05</v>
      </c>
      <c r="M878" s="15" t="n">
        <f aca="false">AI878*評分方法!$C$9</f>
        <v>6</v>
      </c>
      <c r="N878" s="15" t="n">
        <f aca="false">AJ878*評分方法!$C$10</f>
        <v>2.392</v>
      </c>
      <c r="O878" s="15" t="n">
        <f aca="false">AK878*評分方法!$C$11</f>
        <v>4</v>
      </c>
      <c r="P878" s="15" t="n">
        <f aca="false">AL878*評分方法!$C$12</f>
        <v>0</v>
      </c>
      <c r="Q878" s="6" t="n">
        <v>240909</v>
      </c>
      <c r="R878" s="6" t="n">
        <v>4976808384</v>
      </c>
      <c r="S878" s="11" t="s">
        <v>254</v>
      </c>
      <c r="T878" s="11" t="s">
        <v>259</v>
      </c>
      <c r="U878" s="5" t="s">
        <v>260</v>
      </c>
      <c r="V878" s="11" t="s">
        <v>261</v>
      </c>
      <c r="W878" s="5" t="s">
        <v>334</v>
      </c>
      <c r="X878" s="5" t="s">
        <v>242</v>
      </c>
      <c r="Y878" s="11" t="s">
        <v>1066</v>
      </c>
      <c r="Z878" s="11" t="s">
        <v>244</v>
      </c>
      <c r="AA878" s="11" t="s">
        <v>155</v>
      </c>
      <c r="AB878" s="5" t="s">
        <v>496</v>
      </c>
      <c r="AC878" s="5" t="s">
        <v>1108</v>
      </c>
      <c r="AD878" s="11" t="s">
        <v>2281</v>
      </c>
      <c r="AE878" s="23" t="n">
        <v>0.85</v>
      </c>
      <c r="AF878" s="23" t="n">
        <v>1</v>
      </c>
      <c r="AG878" s="23" t="n">
        <v>0.33</v>
      </c>
      <c r="AH878" s="23" t="n">
        <v>0.87</v>
      </c>
      <c r="AI878" s="23" t="n">
        <v>0.6</v>
      </c>
      <c r="AJ878" s="23" t="n">
        <v>0.2392</v>
      </c>
      <c r="AK878" s="23" t="n">
        <v>0.8</v>
      </c>
      <c r="AL878" s="23" t="n">
        <v>0</v>
      </c>
      <c r="AM878" s="16" t="n">
        <f aca="false">COUNTIFS($D$2:$D$2501,D878,$G$2:$G$2501,"&gt;"&amp;G878)+COUNTIFS($D$2:D878,D878,$G$2:G878,G878)</f>
        <v>18</v>
      </c>
      <c r="AN878" s="5" t="str">
        <f aca="false">D878&amp;"|"&amp;AM878</f>
        <v>AI 應用防護|18</v>
      </c>
    </row>
    <row r="879" customFormat="false" ht="17.15" hidden="false" customHeight="false" outlineLevel="0" collapsed="false">
      <c r="A879" s="16" t="n">
        <f aca="false">RANK(G879,$G$2:$G$2501)+COUNTIF($G$2:G879,G879)-1</f>
        <v>878</v>
      </c>
      <c r="B879" s="11" t="s">
        <v>2282</v>
      </c>
      <c r="C879" s="11" t="s">
        <v>402</v>
      </c>
      <c r="D879" s="5" t="s">
        <v>58</v>
      </c>
      <c r="E879" s="5" t="s">
        <v>59</v>
      </c>
      <c r="F879" s="5"/>
      <c r="G879" s="22" t="n">
        <f aca="false">ROUND(SUM(I879:P879),3)</f>
        <v>65.886</v>
      </c>
      <c r="H879" s="5" t="str">
        <f aca="false">IF(G879&gt;=評分方法!$C$16,"優先評估",IF(G879&gt;=評分方法!$C$17,"列入候選",IF(G879&gt;=評分方法!$C$18,"特定情境","不建議")))</f>
        <v>特定情境</v>
      </c>
      <c r="I879" s="15" t="n">
        <f aca="false">AE879*評分方法!$C$5</f>
        <v>28.5</v>
      </c>
      <c r="J879" s="15" t="n">
        <f aca="false">AF879*評分方法!$C$6</f>
        <v>0</v>
      </c>
      <c r="K879" s="15" t="n">
        <f aca="false">AG879*評分方法!$C$7</f>
        <v>4.95</v>
      </c>
      <c r="L879" s="15" t="n">
        <f aca="false">AH879*評分方法!$C$8</f>
        <v>15</v>
      </c>
      <c r="M879" s="15" t="n">
        <f aca="false">AI879*評分方法!$C$9</f>
        <v>10</v>
      </c>
      <c r="N879" s="15" t="n">
        <f aca="false">AJ879*評分方法!$C$10</f>
        <v>4.936</v>
      </c>
      <c r="O879" s="15" t="n">
        <f aca="false">AK879*評分方法!$C$11</f>
        <v>2.5</v>
      </c>
      <c r="P879" s="15" t="n">
        <f aca="false">AL879*評分方法!$C$12</f>
        <v>0</v>
      </c>
      <c r="Q879" s="6" t="n">
        <v>532227</v>
      </c>
      <c r="R879" s="6" t="n">
        <v>566738977</v>
      </c>
      <c r="S879" s="11" t="s">
        <v>238</v>
      </c>
      <c r="T879" s="11" t="s">
        <v>239</v>
      </c>
      <c r="U879" s="5" t="s">
        <v>240</v>
      </c>
      <c r="V879" s="11" t="s">
        <v>261</v>
      </c>
      <c r="W879" s="5" t="s">
        <v>334</v>
      </c>
      <c r="X879" s="5" t="s">
        <v>242</v>
      </c>
      <c r="Y879" s="5"/>
      <c r="Z879" s="5"/>
      <c r="AA879" s="11" t="s">
        <v>150</v>
      </c>
      <c r="AB879" s="5" t="s">
        <v>245</v>
      </c>
      <c r="AC879" s="5"/>
      <c r="AD879" s="11" t="s">
        <v>2283</v>
      </c>
      <c r="AE879" s="23" t="n">
        <v>0.95</v>
      </c>
      <c r="AF879" s="23" t="n">
        <v>0</v>
      </c>
      <c r="AG879" s="23" t="n">
        <v>0.33</v>
      </c>
      <c r="AH879" s="23" t="n">
        <v>1</v>
      </c>
      <c r="AI879" s="23" t="n">
        <v>1</v>
      </c>
      <c r="AJ879" s="23" t="n">
        <v>0.4936</v>
      </c>
      <c r="AK879" s="23" t="n">
        <v>0.5</v>
      </c>
      <c r="AL879" s="23" t="n">
        <v>0</v>
      </c>
      <c r="AM879" s="16" t="n">
        <f aca="false">COUNTIFS($D$2:$D$2501,D879,$G$2:$G$2501,"&gt;"&amp;G879)+COUNTIFS($D$2:D879,D879,$G$2:G879,G879)</f>
        <v>201</v>
      </c>
      <c r="AN879" s="5" t="str">
        <f aca="false">D879&amp;"|"&amp;AM879</f>
        <v>實體擷取與去識別化|201</v>
      </c>
    </row>
    <row r="880" customFormat="false" ht="17.15" hidden="false" customHeight="false" outlineLevel="0" collapsed="false">
      <c r="A880" s="16" t="n">
        <f aca="false">RANK(G880,$G$2:$G$2501)+COUNTIF($G$2:G880,G880)-1</f>
        <v>879</v>
      </c>
      <c r="B880" s="11" t="s">
        <v>2284</v>
      </c>
      <c r="C880" s="11" t="s">
        <v>402</v>
      </c>
      <c r="D880" s="5" t="s">
        <v>58</v>
      </c>
      <c r="E880" s="5" t="s">
        <v>59</v>
      </c>
      <c r="F880" s="5"/>
      <c r="G880" s="22" t="n">
        <f aca="false">ROUND(SUM(I880:P880),3)</f>
        <v>65.882</v>
      </c>
      <c r="H880" s="5" t="str">
        <f aca="false">IF(G880&gt;=評分方法!$C$16,"優先評估",IF(G880&gt;=評分方法!$C$17,"列入候選",IF(G880&gt;=評分方法!$C$18,"特定情境","不建議")))</f>
        <v>特定情境</v>
      </c>
      <c r="I880" s="15" t="n">
        <f aca="false">AE880*評分方法!$C$5</f>
        <v>28.5</v>
      </c>
      <c r="J880" s="15" t="n">
        <f aca="false">AF880*評分方法!$C$6</f>
        <v>0</v>
      </c>
      <c r="K880" s="15" t="n">
        <f aca="false">AG880*評分方法!$C$7</f>
        <v>4.95</v>
      </c>
      <c r="L880" s="15" t="n">
        <f aca="false">AH880*評分方法!$C$8</f>
        <v>15</v>
      </c>
      <c r="M880" s="15" t="n">
        <f aca="false">AI880*評分方法!$C$9</f>
        <v>10</v>
      </c>
      <c r="N880" s="15" t="n">
        <f aca="false">AJ880*評分方法!$C$10</f>
        <v>4.932</v>
      </c>
      <c r="O880" s="15" t="n">
        <f aca="false">AK880*評分方法!$C$11</f>
        <v>2.5</v>
      </c>
      <c r="P880" s="15" t="n">
        <f aca="false">AL880*評分方法!$C$12</f>
        <v>0</v>
      </c>
      <c r="Q880" s="6" t="n">
        <v>532129</v>
      </c>
      <c r="R880" s="6" t="n">
        <v>81530115</v>
      </c>
      <c r="S880" s="11" t="s">
        <v>238</v>
      </c>
      <c r="T880" s="11" t="s">
        <v>239</v>
      </c>
      <c r="U880" s="5" t="s">
        <v>240</v>
      </c>
      <c r="V880" s="11" t="s">
        <v>261</v>
      </c>
      <c r="W880" s="5" t="s">
        <v>334</v>
      </c>
      <c r="X880" s="5" t="s">
        <v>242</v>
      </c>
      <c r="Y880" s="5"/>
      <c r="Z880" s="5"/>
      <c r="AA880" s="11" t="s">
        <v>150</v>
      </c>
      <c r="AB880" s="5" t="s">
        <v>245</v>
      </c>
      <c r="AC880" s="5"/>
      <c r="AD880" s="11" t="s">
        <v>2285</v>
      </c>
      <c r="AE880" s="23" t="n">
        <v>0.95</v>
      </c>
      <c r="AF880" s="23" t="n">
        <v>0</v>
      </c>
      <c r="AG880" s="23" t="n">
        <v>0.33</v>
      </c>
      <c r="AH880" s="23" t="n">
        <v>1</v>
      </c>
      <c r="AI880" s="23" t="n">
        <v>1</v>
      </c>
      <c r="AJ880" s="23" t="n">
        <v>0.4932</v>
      </c>
      <c r="AK880" s="23" t="n">
        <v>0.5</v>
      </c>
      <c r="AL880" s="23" t="n">
        <v>0</v>
      </c>
      <c r="AM880" s="16" t="n">
        <f aca="false">COUNTIFS($D$2:$D$2501,D880,$G$2:$G$2501,"&gt;"&amp;G880)+COUNTIFS($D$2:D880,D880,$G$2:G880,G880)</f>
        <v>202</v>
      </c>
      <c r="AN880" s="5" t="str">
        <f aca="false">D880&amp;"|"&amp;AM880</f>
        <v>實體擷取與去識別化|202</v>
      </c>
    </row>
    <row r="881" customFormat="false" ht="17.15" hidden="false" customHeight="false" outlineLevel="0" collapsed="false">
      <c r="A881" s="16" t="n">
        <f aca="false">RANK(G881,$G$2:$G$2501)+COUNTIF($G$2:G881,G881)-1</f>
        <v>880</v>
      </c>
      <c r="B881" s="11" t="s">
        <v>2286</v>
      </c>
      <c r="C881" s="11" t="s">
        <v>402</v>
      </c>
      <c r="D881" s="5" t="s">
        <v>58</v>
      </c>
      <c r="E881" s="5" t="s">
        <v>59</v>
      </c>
      <c r="F881" s="5"/>
      <c r="G881" s="22" t="n">
        <f aca="false">ROUND(SUM(I881:P881),3)</f>
        <v>65.878</v>
      </c>
      <c r="H881" s="5" t="str">
        <f aca="false">IF(G881&gt;=評分方法!$C$16,"優先評估",IF(G881&gt;=評分方法!$C$17,"列入候選",IF(G881&gt;=評分方法!$C$18,"特定情境","不建議")))</f>
        <v>特定情境</v>
      </c>
      <c r="I881" s="15" t="n">
        <f aca="false">AE881*評分方法!$C$5</f>
        <v>28.5</v>
      </c>
      <c r="J881" s="15" t="n">
        <f aca="false">AF881*評分方法!$C$6</f>
        <v>0</v>
      </c>
      <c r="K881" s="15" t="n">
        <f aca="false">AG881*評分方法!$C$7</f>
        <v>4.95</v>
      </c>
      <c r="L881" s="15" t="n">
        <f aca="false">AH881*評分方法!$C$8</f>
        <v>15</v>
      </c>
      <c r="M881" s="15" t="n">
        <f aca="false">AI881*評分方法!$C$9</f>
        <v>10</v>
      </c>
      <c r="N881" s="15" t="n">
        <f aca="false">AJ881*評分方法!$C$10</f>
        <v>4.928</v>
      </c>
      <c r="O881" s="15" t="n">
        <f aca="false">AK881*評分方法!$C$11</f>
        <v>2.5</v>
      </c>
      <c r="P881" s="15" t="n">
        <f aca="false">AL881*評分方法!$C$12</f>
        <v>0</v>
      </c>
      <c r="Q881" s="6" t="n">
        <v>531786</v>
      </c>
      <c r="R881" s="6" t="n">
        <v>183833859</v>
      </c>
      <c r="S881" s="11" t="s">
        <v>238</v>
      </c>
      <c r="T881" s="11" t="s">
        <v>239</v>
      </c>
      <c r="U881" s="5" t="s">
        <v>240</v>
      </c>
      <c r="V881" s="11" t="s">
        <v>261</v>
      </c>
      <c r="W881" s="5" t="s">
        <v>334</v>
      </c>
      <c r="X881" s="5" t="s">
        <v>242</v>
      </c>
      <c r="Y881" s="5"/>
      <c r="Z881" s="5"/>
      <c r="AA881" s="11" t="s">
        <v>150</v>
      </c>
      <c r="AB881" s="5" t="s">
        <v>245</v>
      </c>
      <c r="AC881" s="5"/>
      <c r="AD881" s="11" t="s">
        <v>2287</v>
      </c>
      <c r="AE881" s="23" t="n">
        <v>0.95</v>
      </c>
      <c r="AF881" s="23" t="n">
        <v>0</v>
      </c>
      <c r="AG881" s="23" t="n">
        <v>0.33</v>
      </c>
      <c r="AH881" s="23" t="n">
        <v>1</v>
      </c>
      <c r="AI881" s="23" t="n">
        <v>1</v>
      </c>
      <c r="AJ881" s="23" t="n">
        <v>0.4928</v>
      </c>
      <c r="AK881" s="23" t="n">
        <v>0.5</v>
      </c>
      <c r="AL881" s="23" t="n">
        <v>0</v>
      </c>
      <c r="AM881" s="16" t="n">
        <f aca="false">COUNTIFS($D$2:$D$2501,D881,$G$2:$G$2501,"&gt;"&amp;G881)+COUNTIFS($D$2:D881,D881,$G$2:G881,G881)</f>
        <v>203</v>
      </c>
      <c r="AN881" s="5" t="str">
        <f aca="false">D881&amp;"|"&amp;AM881</f>
        <v>實體擷取與去識別化|203</v>
      </c>
    </row>
    <row r="882" customFormat="false" ht="17.15" hidden="false" customHeight="false" outlineLevel="0" collapsed="false">
      <c r="A882" s="16" t="n">
        <f aca="false">RANK(G882,$G$2:$G$2501)+COUNTIF($G$2:G882,G882)-1</f>
        <v>881</v>
      </c>
      <c r="B882" s="11" t="s">
        <v>2288</v>
      </c>
      <c r="C882" s="11" t="s">
        <v>402</v>
      </c>
      <c r="D882" s="5" t="s">
        <v>58</v>
      </c>
      <c r="E882" s="5" t="s">
        <v>59</v>
      </c>
      <c r="F882" s="5"/>
      <c r="G882" s="22" t="n">
        <f aca="false">ROUND(SUM(I882:P882),3)</f>
        <v>65.866</v>
      </c>
      <c r="H882" s="5" t="str">
        <f aca="false">IF(G882&gt;=評分方法!$C$16,"優先評估",IF(G882&gt;=評分方法!$C$17,"列入候選",IF(G882&gt;=評分方法!$C$18,"特定情境","不建議")))</f>
        <v>特定情境</v>
      </c>
      <c r="I882" s="15" t="n">
        <f aca="false">AE882*評分方法!$C$5</f>
        <v>28.5</v>
      </c>
      <c r="J882" s="15" t="n">
        <f aca="false">AF882*評分方法!$C$6</f>
        <v>0</v>
      </c>
      <c r="K882" s="15" t="n">
        <f aca="false">AG882*評分方法!$C$7</f>
        <v>4.95</v>
      </c>
      <c r="L882" s="15" t="n">
        <f aca="false">AH882*評分方法!$C$8</f>
        <v>15</v>
      </c>
      <c r="M882" s="15" t="n">
        <f aca="false">AI882*評分方法!$C$9</f>
        <v>10</v>
      </c>
      <c r="N882" s="15" t="n">
        <f aca="false">AJ882*評分方法!$C$10</f>
        <v>4.916</v>
      </c>
      <c r="O882" s="15" t="n">
        <f aca="false">AK882*評分方法!$C$11</f>
        <v>2.5</v>
      </c>
      <c r="P882" s="15" t="n">
        <f aca="false">AL882*評分方法!$C$12</f>
        <v>0</v>
      </c>
      <c r="Q882" s="6" t="n">
        <v>530685</v>
      </c>
      <c r="R882" s="6" t="n">
        <v>183833859</v>
      </c>
      <c r="S882" s="11" t="s">
        <v>238</v>
      </c>
      <c r="T882" s="11" t="s">
        <v>239</v>
      </c>
      <c r="U882" s="5" t="s">
        <v>240</v>
      </c>
      <c r="V882" s="11" t="s">
        <v>261</v>
      </c>
      <c r="W882" s="5" t="s">
        <v>334</v>
      </c>
      <c r="X882" s="5" t="s">
        <v>242</v>
      </c>
      <c r="Y882" s="5"/>
      <c r="Z882" s="5"/>
      <c r="AA882" s="11" t="s">
        <v>150</v>
      </c>
      <c r="AB882" s="5" t="s">
        <v>245</v>
      </c>
      <c r="AC882" s="5"/>
      <c r="AD882" s="11" t="s">
        <v>2289</v>
      </c>
      <c r="AE882" s="23" t="n">
        <v>0.95</v>
      </c>
      <c r="AF882" s="23" t="n">
        <v>0</v>
      </c>
      <c r="AG882" s="23" t="n">
        <v>0.33</v>
      </c>
      <c r="AH882" s="23" t="n">
        <v>1</v>
      </c>
      <c r="AI882" s="23" t="n">
        <v>1</v>
      </c>
      <c r="AJ882" s="23" t="n">
        <v>0.4916</v>
      </c>
      <c r="AK882" s="23" t="n">
        <v>0.5</v>
      </c>
      <c r="AL882" s="23" t="n">
        <v>0</v>
      </c>
      <c r="AM882" s="16" t="n">
        <f aca="false">COUNTIFS($D$2:$D$2501,D882,$G$2:$G$2501,"&gt;"&amp;G882)+COUNTIFS($D$2:D882,D882,$G$2:G882,G882)</f>
        <v>204</v>
      </c>
      <c r="AN882" s="5" t="str">
        <f aca="false">D882&amp;"|"&amp;AM882</f>
        <v>實體擷取與去識別化|204</v>
      </c>
    </row>
    <row r="883" customFormat="false" ht="17.15" hidden="false" customHeight="false" outlineLevel="0" collapsed="false">
      <c r="A883" s="16" t="n">
        <f aca="false">RANK(G883,$G$2:$G$2501)+COUNTIF($G$2:G883,G883)-1</f>
        <v>882</v>
      </c>
      <c r="B883" s="11" t="s">
        <v>2290</v>
      </c>
      <c r="C883" s="11" t="s">
        <v>402</v>
      </c>
      <c r="D883" s="5" t="s">
        <v>58</v>
      </c>
      <c r="E883" s="5" t="s">
        <v>59</v>
      </c>
      <c r="F883" s="5"/>
      <c r="G883" s="22" t="n">
        <f aca="false">ROUND(SUM(I883:P883),3)</f>
        <v>65.862</v>
      </c>
      <c r="H883" s="5" t="str">
        <f aca="false">IF(G883&gt;=評分方法!$C$16,"優先評估",IF(G883&gt;=評分方法!$C$17,"列入候選",IF(G883&gt;=評分方法!$C$18,"特定情境","不建議")))</f>
        <v>特定情境</v>
      </c>
      <c r="I883" s="15" t="n">
        <f aca="false">AE883*評分方法!$C$5</f>
        <v>28.5</v>
      </c>
      <c r="J883" s="15" t="n">
        <f aca="false">AF883*評分方法!$C$6</f>
        <v>0</v>
      </c>
      <c r="K883" s="15" t="n">
        <f aca="false">AG883*評分方法!$C$7</f>
        <v>4.95</v>
      </c>
      <c r="L883" s="15" t="n">
        <f aca="false">AH883*評分方法!$C$8</f>
        <v>15</v>
      </c>
      <c r="M883" s="15" t="n">
        <f aca="false">AI883*評分方法!$C$9</f>
        <v>10</v>
      </c>
      <c r="N883" s="15" t="n">
        <f aca="false">AJ883*評分方法!$C$10</f>
        <v>4.912</v>
      </c>
      <c r="O883" s="15" t="n">
        <f aca="false">AK883*評分方法!$C$11</f>
        <v>2.5</v>
      </c>
      <c r="P883" s="15" t="n">
        <f aca="false">AL883*評分方法!$C$12</f>
        <v>0</v>
      </c>
      <c r="Q883" s="6" t="n">
        <v>530664</v>
      </c>
      <c r="R883" s="6" t="n">
        <v>107721987</v>
      </c>
      <c r="S883" s="11" t="s">
        <v>238</v>
      </c>
      <c r="T883" s="11" t="s">
        <v>239</v>
      </c>
      <c r="U883" s="5" t="s">
        <v>240</v>
      </c>
      <c r="V883" s="11" t="s">
        <v>261</v>
      </c>
      <c r="W883" s="5" t="s">
        <v>334</v>
      </c>
      <c r="X883" s="5" t="s">
        <v>242</v>
      </c>
      <c r="Y883" s="5"/>
      <c r="Z883" s="5"/>
      <c r="AA883" s="11" t="s">
        <v>150</v>
      </c>
      <c r="AB883" s="5" t="s">
        <v>245</v>
      </c>
      <c r="AC883" s="5"/>
      <c r="AD883" s="11" t="s">
        <v>2291</v>
      </c>
      <c r="AE883" s="23" t="n">
        <v>0.95</v>
      </c>
      <c r="AF883" s="23" t="n">
        <v>0</v>
      </c>
      <c r="AG883" s="23" t="n">
        <v>0.33</v>
      </c>
      <c r="AH883" s="23" t="n">
        <v>1</v>
      </c>
      <c r="AI883" s="23" t="n">
        <v>1</v>
      </c>
      <c r="AJ883" s="23" t="n">
        <v>0.4912</v>
      </c>
      <c r="AK883" s="23" t="n">
        <v>0.5</v>
      </c>
      <c r="AL883" s="23" t="n">
        <v>0</v>
      </c>
      <c r="AM883" s="16" t="n">
        <f aca="false">COUNTIFS($D$2:$D$2501,D883,$G$2:$G$2501,"&gt;"&amp;G883)+COUNTIFS($D$2:D883,D883,$G$2:G883,G883)</f>
        <v>205</v>
      </c>
      <c r="AN883" s="5" t="str">
        <f aca="false">D883&amp;"|"&amp;AM883</f>
        <v>實體擷取與去識別化|205</v>
      </c>
    </row>
    <row r="884" customFormat="false" ht="17.15" hidden="false" customHeight="false" outlineLevel="0" collapsed="false">
      <c r="A884" s="16" t="n">
        <f aca="false">RANK(G884,$G$2:$G$2501)+COUNTIF($G$2:G884,G884)-1</f>
        <v>883</v>
      </c>
      <c r="B884" s="11" t="s">
        <v>2292</v>
      </c>
      <c r="C884" s="11" t="s">
        <v>338</v>
      </c>
      <c r="D884" s="5" t="s">
        <v>56</v>
      </c>
      <c r="E884" s="5" t="s">
        <v>57</v>
      </c>
      <c r="F884" s="5"/>
      <c r="G884" s="22" t="n">
        <f aca="false">ROUND(SUM(I884:P884),3)</f>
        <v>65.858</v>
      </c>
      <c r="H884" s="5" t="str">
        <f aca="false">IF(G884&gt;=評分方法!$C$16,"優先評估",IF(G884&gt;=評分方法!$C$17,"列入候選",IF(G884&gt;=評分方法!$C$18,"特定情境","不建議")))</f>
        <v>特定情境</v>
      </c>
      <c r="I884" s="15" t="n">
        <f aca="false">AE884*評分方法!$C$5</f>
        <v>25.5</v>
      </c>
      <c r="J884" s="15" t="n">
        <f aca="false">AF884*評分方法!$C$6</f>
        <v>0</v>
      </c>
      <c r="K884" s="15" t="n">
        <f aca="false">AG884*評分方法!$C$7</f>
        <v>15</v>
      </c>
      <c r="L884" s="15" t="n">
        <f aca="false">AH884*評分方法!$C$8</f>
        <v>1.95</v>
      </c>
      <c r="M884" s="15" t="n">
        <f aca="false">AI884*評分方法!$C$9</f>
        <v>6</v>
      </c>
      <c r="N884" s="15" t="n">
        <f aca="false">AJ884*評分方法!$C$10</f>
        <v>7.408</v>
      </c>
      <c r="O884" s="15" t="n">
        <f aca="false">AK884*評分方法!$C$11</f>
        <v>5</v>
      </c>
      <c r="P884" s="15" t="n">
        <f aca="false">AL884*評分方法!$C$12</f>
        <v>5</v>
      </c>
      <c r="Q884" s="6" t="n">
        <v>1110095</v>
      </c>
      <c r="R884" s="6" t="n">
        <v>127704210176</v>
      </c>
      <c r="S884" s="11" t="s">
        <v>1616</v>
      </c>
      <c r="T884" s="11" t="s">
        <v>185</v>
      </c>
      <c r="U884" s="5" t="s">
        <v>260</v>
      </c>
      <c r="V884" s="11" t="s">
        <v>261</v>
      </c>
      <c r="W884" s="5" t="s">
        <v>205</v>
      </c>
      <c r="X884" s="5" t="s">
        <v>284</v>
      </c>
      <c r="Y884" s="5"/>
      <c r="Z884" s="5"/>
      <c r="AA884" s="11" t="s">
        <v>155</v>
      </c>
      <c r="AB884" s="5" t="s">
        <v>328</v>
      </c>
      <c r="AC884" s="5" t="s">
        <v>329</v>
      </c>
      <c r="AD884" s="11" t="s">
        <v>2293</v>
      </c>
      <c r="AE884" s="23" t="n">
        <v>0.85</v>
      </c>
      <c r="AF884" s="23" t="n">
        <v>0</v>
      </c>
      <c r="AG884" s="23" t="n">
        <v>1</v>
      </c>
      <c r="AH884" s="23" t="n">
        <v>0.13</v>
      </c>
      <c r="AI884" s="23" t="n">
        <v>0.6</v>
      </c>
      <c r="AJ884" s="23" t="n">
        <v>0.7408</v>
      </c>
      <c r="AK884" s="23" t="n">
        <v>1</v>
      </c>
      <c r="AL884" s="23" t="n">
        <v>1</v>
      </c>
      <c r="AM884" s="16" t="n">
        <f aca="false">COUNTIFS($D$2:$D$2501,D884,$G$2:$G$2501,"&gt;"&amp;G884)+COUNTIFS($D$2:D884,D884,$G$2:G884,G884)</f>
        <v>404</v>
      </c>
      <c r="AN884" s="5" t="str">
        <f aca="false">D884&amp;"|"&amp;AM884</f>
        <v>分析與報告生成|404</v>
      </c>
    </row>
    <row r="885" customFormat="false" ht="17.15" hidden="false" customHeight="false" outlineLevel="0" collapsed="false">
      <c r="A885" s="16" t="n">
        <f aca="false">RANK(G885,$G$2:$G$2501)+COUNTIF($G$2:G885,G885)-1</f>
        <v>884</v>
      </c>
      <c r="B885" s="11" t="s">
        <v>2294</v>
      </c>
      <c r="C885" s="11" t="s">
        <v>402</v>
      </c>
      <c r="D885" s="5" t="s">
        <v>58</v>
      </c>
      <c r="E885" s="5" t="s">
        <v>59</v>
      </c>
      <c r="F885" s="5"/>
      <c r="G885" s="22" t="n">
        <f aca="false">ROUND(SUM(I885:P885),3)</f>
        <v>65.858</v>
      </c>
      <c r="H885" s="5" t="str">
        <f aca="false">IF(G885&gt;=評分方法!$C$16,"優先評估",IF(G885&gt;=評分方法!$C$17,"列入候選",IF(G885&gt;=評分方法!$C$18,"特定情境","不建議")))</f>
        <v>特定情境</v>
      </c>
      <c r="I885" s="15" t="n">
        <f aca="false">AE885*評分方法!$C$5</f>
        <v>28.5</v>
      </c>
      <c r="J885" s="15" t="n">
        <f aca="false">AF885*評分方法!$C$6</f>
        <v>0</v>
      </c>
      <c r="K885" s="15" t="n">
        <f aca="false">AG885*評分方法!$C$7</f>
        <v>4.95</v>
      </c>
      <c r="L885" s="15" t="n">
        <f aca="false">AH885*評分方法!$C$8</f>
        <v>15</v>
      </c>
      <c r="M885" s="15" t="n">
        <f aca="false">AI885*評分方法!$C$9</f>
        <v>10</v>
      </c>
      <c r="N885" s="15" t="n">
        <f aca="false">AJ885*評分方法!$C$10</f>
        <v>4.908</v>
      </c>
      <c r="O885" s="15" t="n">
        <f aca="false">AK885*評分方法!$C$11</f>
        <v>2.5</v>
      </c>
      <c r="P885" s="15" t="n">
        <f aca="false">AL885*評分方法!$C$12</f>
        <v>0</v>
      </c>
      <c r="Q885" s="6" t="n">
        <v>530424</v>
      </c>
      <c r="R885" s="6" t="n">
        <v>33213315</v>
      </c>
      <c r="S885" s="11" t="s">
        <v>238</v>
      </c>
      <c r="T885" s="11" t="s">
        <v>239</v>
      </c>
      <c r="U885" s="5" t="s">
        <v>240</v>
      </c>
      <c r="V885" s="11" t="s">
        <v>261</v>
      </c>
      <c r="W885" s="5" t="s">
        <v>334</v>
      </c>
      <c r="X885" s="5" t="s">
        <v>242</v>
      </c>
      <c r="Y885" s="5"/>
      <c r="Z885" s="5"/>
      <c r="AA885" s="11" t="s">
        <v>150</v>
      </c>
      <c r="AB885" s="5" t="s">
        <v>245</v>
      </c>
      <c r="AC885" s="5"/>
      <c r="AD885" s="11" t="s">
        <v>2295</v>
      </c>
      <c r="AE885" s="23" t="n">
        <v>0.95</v>
      </c>
      <c r="AF885" s="23" t="n">
        <v>0</v>
      </c>
      <c r="AG885" s="23" t="n">
        <v>0.33</v>
      </c>
      <c r="AH885" s="23" t="n">
        <v>1</v>
      </c>
      <c r="AI885" s="23" t="n">
        <v>1</v>
      </c>
      <c r="AJ885" s="23" t="n">
        <v>0.4908</v>
      </c>
      <c r="AK885" s="23" t="n">
        <v>0.5</v>
      </c>
      <c r="AL885" s="23" t="n">
        <v>0</v>
      </c>
      <c r="AM885" s="16" t="n">
        <f aca="false">COUNTIFS($D$2:$D$2501,D885,$G$2:$G$2501,"&gt;"&amp;G885)+COUNTIFS($D$2:D885,D885,$G$2:G885,G885)</f>
        <v>206</v>
      </c>
      <c r="AN885" s="5" t="str">
        <f aca="false">D885&amp;"|"&amp;AM885</f>
        <v>實體擷取與去識別化|206</v>
      </c>
    </row>
    <row r="886" customFormat="false" ht="17.15" hidden="false" customHeight="false" outlineLevel="0" collapsed="false">
      <c r="A886" s="16" t="n">
        <f aca="false">RANK(G886,$G$2:$G$2501)+COUNTIF($G$2:G886,G886)-1</f>
        <v>885</v>
      </c>
      <c r="B886" s="11" t="s">
        <v>2296</v>
      </c>
      <c r="C886" s="11" t="s">
        <v>2261</v>
      </c>
      <c r="D886" s="5" t="s">
        <v>54</v>
      </c>
      <c r="E886" s="5" t="s">
        <v>55</v>
      </c>
      <c r="F886" s="5"/>
      <c r="G886" s="22" t="n">
        <f aca="false">ROUND(SUM(I886:P886),3)</f>
        <v>65.854</v>
      </c>
      <c r="H886" s="5" t="str">
        <f aca="false">IF(G886&gt;=評分方法!$C$16,"優先評估",IF(G886&gt;=評分方法!$C$17,"列入候選",IF(G886&gt;=評分方法!$C$18,"特定情境","不建議")))</f>
        <v>特定情境</v>
      </c>
      <c r="I886" s="15" t="n">
        <f aca="false">AE886*評分方法!$C$5</f>
        <v>27</v>
      </c>
      <c r="J886" s="15" t="n">
        <f aca="false">AF886*評分方法!$C$6</f>
        <v>0</v>
      </c>
      <c r="K886" s="15" t="n">
        <f aca="false">AG886*評分方法!$C$7</f>
        <v>10.05</v>
      </c>
      <c r="L886" s="15" t="n">
        <f aca="false">AH886*評分方法!$C$8</f>
        <v>15</v>
      </c>
      <c r="M886" s="15" t="n">
        <f aca="false">AI886*評分方法!$C$9</f>
        <v>2</v>
      </c>
      <c r="N886" s="15" t="n">
        <f aca="false">AJ886*評分方法!$C$10</f>
        <v>9.304</v>
      </c>
      <c r="O886" s="15" t="n">
        <f aca="false">AK886*評分方法!$C$11</f>
        <v>1</v>
      </c>
      <c r="P886" s="15" t="n">
        <f aca="false">AL886*評分方法!$C$12</f>
        <v>1.5</v>
      </c>
      <c r="Q886" s="6" t="n">
        <v>6219957</v>
      </c>
      <c r="R886" s="6" t="n">
        <v>0</v>
      </c>
      <c r="S886" s="11" t="s">
        <v>238</v>
      </c>
      <c r="T886" s="5"/>
      <c r="U886" s="5" t="s">
        <v>375</v>
      </c>
      <c r="V886" s="11" t="s">
        <v>261</v>
      </c>
      <c r="W886" s="5" t="s">
        <v>207</v>
      </c>
      <c r="X886" s="5" t="s">
        <v>255</v>
      </c>
      <c r="Y886" s="5"/>
      <c r="Z886" s="5"/>
      <c r="AA886" s="11" t="s">
        <v>153</v>
      </c>
      <c r="AB886" s="5" t="s">
        <v>245</v>
      </c>
      <c r="AC886" s="5" t="s">
        <v>262</v>
      </c>
      <c r="AD886" s="11" t="s">
        <v>2297</v>
      </c>
      <c r="AE886" s="23" t="n">
        <v>0.9</v>
      </c>
      <c r="AF886" s="23" t="n">
        <v>0</v>
      </c>
      <c r="AG886" s="23" t="n">
        <v>0.67</v>
      </c>
      <c r="AH886" s="23" t="n">
        <v>1</v>
      </c>
      <c r="AI886" s="23" t="n">
        <v>0.2</v>
      </c>
      <c r="AJ886" s="23" t="n">
        <v>0.9304</v>
      </c>
      <c r="AK886" s="23" t="n">
        <v>0.2</v>
      </c>
      <c r="AL886" s="23" t="n">
        <v>0.3</v>
      </c>
      <c r="AM886" s="16" t="n">
        <f aca="false">COUNTIFS($D$2:$D$2501,D886,$G$2:$G$2501,"&gt;"&amp;G886)+COUNTIFS($D$2:D886,D886,$G$2:G886,G886)</f>
        <v>145</v>
      </c>
      <c r="AN886" s="5" t="str">
        <f aca="false">D886&amp;"|"&amp;AM886</f>
        <v>檢索與情資關聯|145</v>
      </c>
    </row>
    <row r="887" customFormat="false" ht="17.15" hidden="false" customHeight="false" outlineLevel="0" collapsed="false">
      <c r="A887" s="16" t="n">
        <f aca="false">RANK(G887,$G$2:$G$2501)+COUNTIF($G$2:G887,G887)-1</f>
        <v>886</v>
      </c>
      <c r="B887" s="11" t="s">
        <v>2298</v>
      </c>
      <c r="C887" s="11" t="s">
        <v>2299</v>
      </c>
      <c r="D887" s="5" t="s">
        <v>56</v>
      </c>
      <c r="E887" s="5" t="s">
        <v>57</v>
      </c>
      <c r="F887" s="5"/>
      <c r="G887" s="22" t="n">
        <f aca="false">ROUND(SUM(I887:P887),3)</f>
        <v>65.848</v>
      </c>
      <c r="H887" s="5" t="str">
        <f aca="false">IF(G887&gt;=評分方法!$C$16,"優先評估",IF(G887&gt;=評分方法!$C$17,"列入候選",IF(G887&gt;=評分方法!$C$18,"特定情境","不建議")))</f>
        <v>特定情境</v>
      </c>
      <c r="I887" s="15" t="n">
        <f aca="false">AE887*評分方法!$C$5</f>
        <v>25.5</v>
      </c>
      <c r="J887" s="15" t="n">
        <f aca="false">AF887*評分方法!$C$6</f>
        <v>0</v>
      </c>
      <c r="K887" s="15" t="n">
        <f aca="false">AG887*評分方法!$C$7</f>
        <v>4.95</v>
      </c>
      <c r="L887" s="15" t="n">
        <f aca="false">AH887*評分方法!$C$8</f>
        <v>13.05</v>
      </c>
      <c r="M887" s="15" t="n">
        <f aca="false">AI887*評分方法!$C$9</f>
        <v>10</v>
      </c>
      <c r="N887" s="15" t="n">
        <f aca="false">AJ887*評分方法!$C$10</f>
        <v>8.348</v>
      </c>
      <c r="O887" s="15" t="n">
        <f aca="false">AK887*評分方法!$C$11</f>
        <v>4</v>
      </c>
      <c r="P887" s="15" t="n">
        <f aca="false">AL887*評分方法!$C$12</f>
        <v>0</v>
      </c>
      <c r="Q887" s="6" t="n">
        <v>1992238</v>
      </c>
      <c r="R887" s="6" t="n">
        <v>4411424256</v>
      </c>
      <c r="S887" s="11" t="s">
        <v>254</v>
      </c>
      <c r="T887" s="11" t="s">
        <v>239</v>
      </c>
      <c r="U887" s="5" t="s">
        <v>240</v>
      </c>
      <c r="V887" s="11" t="s">
        <v>333</v>
      </c>
      <c r="W887" s="5" t="s">
        <v>334</v>
      </c>
      <c r="X887" s="5" t="s">
        <v>242</v>
      </c>
      <c r="Y887" s="11" t="s">
        <v>2300</v>
      </c>
      <c r="Z887" s="11" t="s">
        <v>244</v>
      </c>
      <c r="AA887" s="11" t="s">
        <v>155</v>
      </c>
      <c r="AB887" s="5" t="s">
        <v>245</v>
      </c>
      <c r="AC887" s="5" t="s">
        <v>246</v>
      </c>
      <c r="AD887" s="11" t="s">
        <v>2301</v>
      </c>
      <c r="AE887" s="23" t="n">
        <v>0.85</v>
      </c>
      <c r="AF887" s="23" t="n">
        <v>0</v>
      </c>
      <c r="AG887" s="23" t="n">
        <v>0.33</v>
      </c>
      <c r="AH887" s="23" t="n">
        <v>0.87</v>
      </c>
      <c r="AI887" s="23" t="n">
        <v>1</v>
      </c>
      <c r="AJ887" s="23" t="n">
        <v>0.8348</v>
      </c>
      <c r="AK887" s="23" t="n">
        <v>0.8</v>
      </c>
      <c r="AL887" s="23" t="n">
        <v>0</v>
      </c>
      <c r="AM887" s="16" t="n">
        <f aca="false">COUNTIFS($D$2:$D$2501,D887,$G$2:$G$2501,"&gt;"&amp;G887)+COUNTIFS($D$2:D887,D887,$G$2:G887,G887)</f>
        <v>405</v>
      </c>
      <c r="AN887" s="5" t="str">
        <f aca="false">D887&amp;"|"&amp;AM887</f>
        <v>分析與報告生成|405</v>
      </c>
    </row>
    <row r="888" customFormat="false" ht="17.15" hidden="false" customHeight="false" outlineLevel="0" collapsed="false">
      <c r="A888" s="16" t="n">
        <f aca="false">RANK(G888,$G$2:$G$2501)+COUNTIF($G$2:G888,G888)-1</f>
        <v>887</v>
      </c>
      <c r="B888" s="11" t="s">
        <v>2302</v>
      </c>
      <c r="C888" s="11" t="s">
        <v>402</v>
      </c>
      <c r="D888" s="5" t="s">
        <v>58</v>
      </c>
      <c r="E888" s="5" t="s">
        <v>59</v>
      </c>
      <c r="F888" s="5"/>
      <c r="G888" s="22" t="n">
        <f aca="false">ROUND(SUM(I888:P888),3)</f>
        <v>65.846</v>
      </c>
      <c r="H888" s="5" t="str">
        <f aca="false">IF(G888&gt;=評分方法!$C$16,"優先評估",IF(G888&gt;=評分方法!$C$17,"列入候選",IF(G888&gt;=評分方法!$C$18,"特定情境","不建議")))</f>
        <v>特定情境</v>
      </c>
      <c r="I888" s="15" t="n">
        <f aca="false">AE888*評分方法!$C$5</f>
        <v>28.5</v>
      </c>
      <c r="J888" s="15" t="n">
        <f aca="false">AF888*評分方法!$C$6</f>
        <v>0</v>
      </c>
      <c r="K888" s="15" t="n">
        <f aca="false">AG888*評分方法!$C$7</f>
        <v>4.95</v>
      </c>
      <c r="L888" s="15" t="n">
        <f aca="false">AH888*評分方法!$C$8</f>
        <v>15</v>
      </c>
      <c r="M888" s="15" t="n">
        <f aca="false">AI888*評分方法!$C$9</f>
        <v>10</v>
      </c>
      <c r="N888" s="15" t="n">
        <f aca="false">AJ888*評分方法!$C$10</f>
        <v>4.896</v>
      </c>
      <c r="O888" s="15" t="n">
        <f aca="false">AK888*評分方法!$C$11</f>
        <v>2.5</v>
      </c>
      <c r="P888" s="15" t="n">
        <f aca="false">AL888*評分方法!$C$12</f>
        <v>0</v>
      </c>
      <c r="Q888" s="6" t="n">
        <v>529643</v>
      </c>
      <c r="R888" s="6" t="n">
        <v>124057347</v>
      </c>
      <c r="S888" s="11" t="s">
        <v>238</v>
      </c>
      <c r="T888" s="11" t="s">
        <v>239</v>
      </c>
      <c r="U888" s="5" t="s">
        <v>240</v>
      </c>
      <c r="V888" s="11" t="s">
        <v>261</v>
      </c>
      <c r="W888" s="5" t="s">
        <v>334</v>
      </c>
      <c r="X888" s="5" t="s">
        <v>242</v>
      </c>
      <c r="Y888" s="5"/>
      <c r="Z888" s="5"/>
      <c r="AA888" s="11" t="s">
        <v>150</v>
      </c>
      <c r="AB888" s="5" t="s">
        <v>245</v>
      </c>
      <c r="AC888" s="5"/>
      <c r="AD888" s="11" t="s">
        <v>2303</v>
      </c>
      <c r="AE888" s="23" t="n">
        <v>0.95</v>
      </c>
      <c r="AF888" s="23" t="n">
        <v>0</v>
      </c>
      <c r="AG888" s="23" t="n">
        <v>0.33</v>
      </c>
      <c r="AH888" s="23" t="n">
        <v>1</v>
      </c>
      <c r="AI888" s="23" t="n">
        <v>1</v>
      </c>
      <c r="AJ888" s="23" t="n">
        <v>0.4896</v>
      </c>
      <c r="AK888" s="23" t="n">
        <v>0.5</v>
      </c>
      <c r="AL888" s="23" t="n">
        <v>0</v>
      </c>
      <c r="AM888" s="16" t="n">
        <f aca="false">COUNTIFS($D$2:$D$2501,D888,$G$2:$G$2501,"&gt;"&amp;G888)+COUNTIFS($D$2:D888,D888,$G$2:G888,G888)</f>
        <v>207</v>
      </c>
      <c r="AN888" s="5" t="str">
        <f aca="false">D888&amp;"|"&amp;AM888</f>
        <v>實體擷取與去識別化|207</v>
      </c>
    </row>
    <row r="889" customFormat="false" ht="17.15" hidden="false" customHeight="false" outlineLevel="0" collapsed="false">
      <c r="A889" s="16" t="n">
        <f aca="false">RANK(G889,$G$2:$G$2501)+COUNTIF($G$2:G889,G889)-1</f>
        <v>888</v>
      </c>
      <c r="B889" s="11" t="s">
        <v>2304</v>
      </c>
      <c r="C889" s="11" t="s">
        <v>402</v>
      </c>
      <c r="D889" s="5" t="s">
        <v>58</v>
      </c>
      <c r="E889" s="5" t="s">
        <v>59</v>
      </c>
      <c r="F889" s="5"/>
      <c r="G889" s="22" t="n">
        <f aca="false">ROUND(SUM(I889:P889),3)</f>
        <v>65.842</v>
      </c>
      <c r="H889" s="5" t="str">
        <f aca="false">IF(G889&gt;=評分方法!$C$16,"優先評估",IF(G889&gt;=評分方法!$C$17,"列入候選",IF(G889&gt;=評分方法!$C$18,"特定情境","不建議")))</f>
        <v>特定情境</v>
      </c>
      <c r="I889" s="15" t="n">
        <f aca="false">AE889*評分方法!$C$5</f>
        <v>28.5</v>
      </c>
      <c r="J889" s="15" t="n">
        <f aca="false">AF889*評分方法!$C$6</f>
        <v>0</v>
      </c>
      <c r="K889" s="15" t="n">
        <f aca="false">AG889*評分方法!$C$7</f>
        <v>4.95</v>
      </c>
      <c r="L889" s="15" t="n">
        <f aca="false">AH889*評分方法!$C$8</f>
        <v>15</v>
      </c>
      <c r="M889" s="15" t="n">
        <f aca="false">AI889*評分方法!$C$9</f>
        <v>10</v>
      </c>
      <c r="N889" s="15" t="n">
        <f aca="false">AJ889*評分方法!$C$10</f>
        <v>4.892</v>
      </c>
      <c r="O889" s="15" t="n">
        <f aca="false">AK889*評分方法!$C$11</f>
        <v>2.5</v>
      </c>
      <c r="P889" s="15" t="n">
        <f aca="false">AL889*評分方法!$C$12</f>
        <v>0</v>
      </c>
      <c r="Q889" s="6" t="n">
        <v>529409</v>
      </c>
      <c r="R889" s="6" t="n">
        <v>354313219</v>
      </c>
      <c r="S889" s="11" t="s">
        <v>238</v>
      </c>
      <c r="T889" s="11" t="s">
        <v>239</v>
      </c>
      <c r="U889" s="5" t="s">
        <v>240</v>
      </c>
      <c r="V889" s="11" t="s">
        <v>261</v>
      </c>
      <c r="W889" s="5" t="s">
        <v>334</v>
      </c>
      <c r="X889" s="5" t="s">
        <v>242</v>
      </c>
      <c r="Y889" s="5"/>
      <c r="Z889" s="5"/>
      <c r="AA889" s="11" t="s">
        <v>150</v>
      </c>
      <c r="AB889" s="5" t="s">
        <v>245</v>
      </c>
      <c r="AC889" s="5"/>
      <c r="AD889" s="11" t="s">
        <v>2305</v>
      </c>
      <c r="AE889" s="23" t="n">
        <v>0.95</v>
      </c>
      <c r="AF889" s="23" t="n">
        <v>0</v>
      </c>
      <c r="AG889" s="23" t="n">
        <v>0.33</v>
      </c>
      <c r="AH889" s="23" t="n">
        <v>1</v>
      </c>
      <c r="AI889" s="23" t="n">
        <v>1</v>
      </c>
      <c r="AJ889" s="23" t="n">
        <v>0.4892</v>
      </c>
      <c r="AK889" s="23" t="n">
        <v>0.5</v>
      </c>
      <c r="AL889" s="23" t="n">
        <v>0</v>
      </c>
      <c r="AM889" s="16" t="n">
        <f aca="false">COUNTIFS($D$2:$D$2501,D889,$G$2:$G$2501,"&gt;"&amp;G889)+COUNTIFS($D$2:D889,D889,$G$2:G889,G889)</f>
        <v>208</v>
      </c>
      <c r="AN889" s="5" t="str">
        <f aca="false">D889&amp;"|"&amp;AM889</f>
        <v>實體擷取與去識別化|208</v>
      </c>
    </row>
    <row r="890" customFormat="false" ht="17.15" hidden="false" customHeight="false" outlineLevel="0" collapsed="false">
      <c r="A890" s="16" t="n">
        <f aca="false">RANK(G890,$G$2:$G$2501)+COUNTIF($G$2:G890,G890)-1</f>
        <v>889</v>
      </c>
      <c r="B890" s="11" t="s">
        <v>2306</v>
      </c>
      <c r="C890" s="11" t="s">
        <v>402</v>
      </c>
      <c r="D890" s="5" t="s">
        <v>58</v>
      </c>
      <c r="E890" s="5" t="s">
        <v>59</v>
      </c>
      <c r="F890" s="5"/>
      <c r="G890" s="22" t="n">
        <f aca="false">ROUND(SUM(I890:P890),3)</f>
        <v>65.838</v>
      </c>
      <c r="H890" s="5" t="str">
        <f aca="false">IF(G890&gt;=評分方法!$C$16,"優先評估",IF(G890&gt;=評分方法!$C$17,"列入候選",IF(G890&gt;=評分方法!$C$18,"特定情境","不建議")))</f>
        <v>特定情境</v>
      </c>
      <c r="I890" s="15" t="n">
        <f aca="false">AE890*評分方法!$C$5</f>
        <v>28.5</v>
      </c>
      <c r="J890" s="15" t="n">
        <f aca="false">AF890*評分方法!$C$6</f>
        <v>0</v>
      </c>
      <c r="K890" s="15" t="n">
        <f aca="false">AG890*評分方法!$C$7</f>
        <v>4.95</v>
      </c>
      <c r="L890" s="15" t="n">
        <f aca="false">AH890*評分方法!$C$8</f>
        <v>15</v>
      </c>
      <c r="M890" s="15" t="n">
        <f aca="false">AI890*評分方法!$C$9</f>
        <v>10</v>
      </c>
      <c r="N890" s="15" t="n">
        <f aca="false">AJ890*評分方法!$C$10</f>
        <v>4.888</v>
      </c>
      <c r="O890" s="15" t="n">
        <f aca="false">AK890*評分方法!$C$11</f>
        <v>2.5</v>
      </c>
      <c r="P890" s="15" t="n">
        <f aca="false">AL890*評分方法!$C$12</f>
        <v>0</v>
      </c>
      <c r="Q890" s="6" t="n">
        <v>529099</v>
      </c>
      <c r="R890" s="6" t="n">
        <v>65193219</v>
      </c>
      <c r="S890" s="11" t="s">
        <v>238</v>
      </c>
      <c r="T890" s="11" t="s">
        <v>239</v>
      </c>
      <c r="U890" s="5" t="s">
        <v>240</v>
      </c>
      <c r="V890" s="11" t="s">
        <v>261</v>
      </c>
      <c r="W890" s="5" t="s">
        <v>334</v>
      </c>
      <c r="X890" s="5" t="s">
        <v>242</v>
      </c>
      <c r="Y890" s="5"/>
      <c r="Z890" s="5"/>
      <c r="AA890" s="11" t="s">
        <v>150</v>
      </c>
      <c r="AB890" s="5" t="s">
        <v>245</v>
      </c>
      <c r="AC890" s="5"/>
      <c r="AD890" s="11" t="s">
        <v>2307</v>
      </c>
      <c r="AE890" s="23" t="n">
        <v>0.95</v>
      </c>
      <c r="AF890" s="23" t="n">
        <v>0</v>
      </c>
      <c r="AG890" s="23" t="n">
        <v>0.33</v>
      </c>
      <c r="AH890" s="23" t="n">
        <v>1</v>
      </c>
      <c r="AI890" s="23" t="n">
        <v>1</v>
      </c>
      <c r="AJ890" s="23" t="n">
        <v>0.4888</v>
      </c>
      <c r="AK890" s="23" t="n">
        <v>0.5</v>
      </c>
      <c r="AL890" s="23" t="n">
        <v>0</v>
      </c>
      <c r="AM890" s="16" t="n">
        <f aca="false">COUNTIFS($D$2:$D$2501,D890,$G$2:$G$2501,"&gt;"&amp;G890)+COUNTIFS($D$2:D890,D890,$G$2:G890,G890)</f>
        <v>209</v>
      </c>
      <c r="AN890" s="5" t="str">
        <f aca="false">D890&amp;"|"&amp;AM890</f>
        <v>實體擷取與去識別化|209</v>
      </c>
    </row>
    <row r="891" customFormat="false" ht="17.15" hidden="false" customHeight="false" outlineLevel="0" collapsed="false">
      <c r="A891" s="16" t="n">
        <f aca="false">RANK(G891,$G$2:$G$2501)+COUNTIF($G$2:G891,G891)-1</f>
        <v>890</v>
      </c>
      <c r="B891" s="11" t="s">
        <v>2308</v>
      </c>
      <c r="C891" s="11" t="s">
        <v>2309</v>
      </c>
      <c r="D891" s="5" t="s">
        <v>74</v>
      </c>
      <c r="E891" s="5" t="s">
        <v>75</v>
      </c>
      <c r="F891" s="5"/>
      <c r="G891" s="22" t="n">
        <f aca="false">ROUND(SUM(I891:P891),3)</f>
        <v>65.836</v>
      </c>
      <c r="H891" s="5" t="str">
        <f aca="false">IF(G891&gt;=評分方法!$C$16,"優先評估",IF(G891&gt;=評分方法!$C$17,"列入候選",IF(G891&gt;=評分方法!$C$18,"特定情境","不建議")))</f>
        <v>特定情境</v>
      </c>
      <c r="I891" s="15" t="n">
        <f aca="false">AE891*評分方法!$C$5</f>
        <v>12</v>
      </c>
      <c r="J891" s="15" t="n">
        <f aca="false">AF891*評分方法!$C$6</f>
        <v>0</v>
      </c>
      <c r="K891" s="15" t="n">
        <f aca="false">AG891*評分方法!$C$7</f>
        <v>15</v>
      </c>
      <c r="L891" s="15" t="n">
        <f aca="false">AH891*評分方法!$C$8</f>
        <v>15</v>
      </c>
      <c r="M891" s="15" t="n">
        <f aca="false">AI891*評分方法!$C$9</f>
        <v>10</v>
      </c>
      <c r="N891" s="15" t="n">
        <f aca="false">AJ891*評分方法!$C$10</f>
        <v>9.836</v>
      </c>
      <c r="O891" s="15" t="n">
        <f aca="false">AK891*評分方法!$C$11</f>
        <v>2.5</v>
      </c>
      <c r="P891" s="15" t="n">
        <f aca="false">AL891*評分方法!$C$12</f>
        <v>1.5</v>
      </c>
      <c r="Q891" s="6" t="n">
        <v>23834448</v>
      </c>
      <c r="R891" s="6" t="n">
        <v>151277439</v>
      </c>
      <c r="S891" s="11" t="s">
        <v>238</v>
      </c>
      <c r="T891" s="11" t="s">
        <v>278</v>
      </c>
      <c r="U891" s="5" t="s">
        <v>240</v>
      </c>
      <c r="V891" s="11" t="s">
        <v>324</v>
      </c>
      <c r="W891" s="5" t="s">
        <v>205</v>
      </c>
      <c r="X891" s="5" t="s">
        <v>255</v>
      </c>
      <c r="Y891" s="5"/>
      <c r="Z891" s="5"/>
      <c r="AA891" s="11" t="s">
        <v>167</v>
      </c>
      <c r="AB891" s="5" t="s">
        <v>245</v>
      </c>
      <c r="AC891" s="5"/>
      <c r="AD891" s="11" t="s">
        <v>2310</v>
      </c>
      <c r="AE891" s="23" t="n">
        <v>0.4</v>
      </c>
      <c r="AF891" s="23" t="n">
        <v>0</v>
      </c>
      <c r="AG891" s="23" t="n">
        <v>1</v>
      </c>
      <c r="AH891" s="23" t="n">
        <v>1</v>
      </c>
      <c r="AI891" s="23" t="n">
        <v>1</v>
      </c>
      <c r="AJ891" s="23" t="n">
        <v>0.9836</v>
      </c>
      <c r="AK891" s="23" t="n">
        <v>0.5</v>
      </c>
      <c r="AL891" s="23" t="n">
        <v>0.3</v>
      </c>
      <c r="AM891" s="16" t="n">
        <f aca="false">COUNTIFS($D$2:$D$2501,D891,$G$2:$G$2501,"&gt;"&amp;G891)+COUNTIFS($D$2:D891,D891,$G$2:G891,G891)</f>
        <v>5</v>
      </c>
      <c r="AN891" s="5" t="str">
        <f aca="false">D891&amp;"|"&amp;AM891</f>
        <v>文件與影像辨識|5</v>
      </c>
    </row>
    <row r="892" customFormat="false" ht="17.15" hidden="false" customHeight="false" outlineLevel="0" collapsed="false">
      <c r="A892" s="16" t="n">
        <f aca="false">RANK(G892,$G$2:$G$2501)+COUNTIF($G$2:G892,G892)-1</f>
        <v>891</v>
      </c>
      <c r="B892" s="11" t="s">
        <v>2311</v>
      </c>
      <c r="C892" s="11" t="s">
        <v>1161</v>
      </c>
      <c r="D892" s="5" t="s">
        <v>72</v>
      </c>
      <c r="E892" s="5" t="s">
        <v>73</v>
      </c>
      <c r="F892" s="5"/>
      <c r="G892" s="22" t="n">
        <f aca="false">ROUND(SUM(I892:P892),3)</f>
        <v>65.828</v>
      </c>
      <c r="H892" s="5" t="str">
        <f aca="false">IF(G892&gt;=評分方法!$C$16,"優先評估",IF(G892&gt;=評分方法!$C$17,"列入候選",IF(G892&gt;=評分方法!$C$18,"特定情境","不建議")))</f>
        <v>特定情境</v>
      </c>
      <c r="I892" s="15" t="n">
        <f aca="false">AE892*評分方法!$C$5</f>
        <v>15</v>
      </c>
      <c r="J892" s="15" t="n">
        <f aca="false">AF892*評分方法!$C$6</f>
        <v>0</v>
      </c>
      <c r="K892" s="15" t="n">
        <f aca="false">AG892*評分方法!$C$7</f>
        <v>15</v>
      </c>
      <c r="L892" s="15" t="n">
        <f aca="false">AH892*評分方法!$C$8</f>
        <v>15</v>
      </c>
      <c r="M892" s="15" t="n">
        <f aca="false">AI892*評分方法!$C$9</f>
        <v>10</v>
      </c>
      <c r="N892" s="15" t="n">
        <f aca="false">AJ892*評分方法!$C$10</f>
        <v>9.828</v>
      </c>
      <c r="O892" s="15" t="n">
        <f aca="false">AK892*評分方法!$C$11</f>
        <v>1</v>
      </c>
      <c r="P892" s="15" t="n">
        <f aca="false">AL892*評分方法!$C$12</f>
        <v>0</v>
      </c>
      <c r="Q892" s="6" t="n">
        <v>22699545</v>
      </c>
      <c r="R892" s="6" t="n">
        <v>108932934</v>
      </c>
      <c r="S892" s="11" t="s">
        <v>238</v>
      </c>
      <c r="T892" s="11" t="s">
        <v>239</v>
      </c>
      <c r="U892" s="5" t="s">
        <v>240</v>
      </c>
      <c r="V892" s="11" t="s">
        <v>279</v>
      </c>
      <c r="W892" s="5" t="s">
        <v>205</v>
      </c>
      <c r="X892" s="5" t="s">
        <v>242</v>
      </c>
      <c r="Y892" s="5"/>
      <c r="Z892" s="5"/>
      <c r="AA892" s="11" t="s">
        <v>162</v>
      </c>
      <c r="AB892" s="5" t="s">
        <v>245</v>
      </c>
      <c r="AC892" s="5"/>
      <c r="AD892" s="11" t="s">
        <v>2312</v>
      </c>
      <c r="AE892" s="23" t="n">
        <v>0.5</v>
      </c>
      <c r="AF892" s="23" t="n">
        <v>0</v>
      </c>
      <c r="AG892" s="23" t="n">
        <v>1</v>
      </c>
      <c r="AH892" s="23" t="n">
        <v>1</v>
      </c>
      <c r="AI892" s="23" t="n">
        <v>1</v>
      </c>
      <c r="AJ892" s="23" t="n">
        <v>0.9828</v>
      </c>
      <c r="AK892" s="23" t="n">
        <v>0.2</v>
      </c>
      <c r="AL892" s="23" t="n">
        <v>0</v>
      </c>
      <c r="AM892" s="16" t="n">
        <f aca="false">COUNTIFS($D$2:$D$2501,D892,$G$2:$G$2501,"&gt;"&amp;G892)+COUNTIFS($D$2:D892,D892,$G$2:G892,G892)</f>
        <v>17</v>
      </c>
      <c r="AN892" s="5" t="str">
        <f aca="false">D892&amp;"|"&amp;AM892</f>
        <v>微調基底模型|17</v>
      </c>
    </row>
    <row r="893" customFormat="false" ht="17.15" hidden="false" customHeight="false" outlineLevel="0" collapsed="false">
      <c r="A893" s="16" t="n">
        <f aca="false">RANK(G893,$G$2:$G$2501)+COUNTIF($G$2:G893,G893)-1</f>
        <v>892</v>
      </c>
      <c r="B893" s="11" t="s">
        <v>2313</v>
      </c>
      <c r="C893" s="11" t="s">
        <v>402</v>
      </c>
      <c r="D893" s="5" t="s">
        <v>58</v>
      </c>
      <c r="E893" s="5" t="s">
        <v>59</v>
      </c>
      <c r="F893" s="5"/>
      <c r="G893" s="22" t="n">
        <f aca="false">ROUND(SUM(I893:P893),3)</f>
        <v>65.822</v>
      </c>
      <c r="H893" s="5" t="str">
        <f aca="false">IF(G893&gt;=評分方法!$C$16,"優先評估",IF(G893&gt;=評分方法!$C$17,"列入候選",IF(G893&gt;=評分方法!$C$18,"特定情境","不建議")))</f>
        <v>特定情境</v>
      </c>
      <c r="I893" s="15" t="n">
        <f aca="false">AE893*評分方法!$C$5</f>
        <v>28.5</v>
      </c>
      <c r="J893" s="15" t="n">
        <f aca="false">AF893*評分方法!$C$6</f>
        <v>0</v>
      </c>
      <c r="K893" s="15" t="n">
        <f aca="false">AG893*評分方法!$C$7</f>
        <v>4.95</v>
      </c>
      <c r="L893" s="15" t="n">
        <f aca="false">AH893*評分方法!$C$8</f>
        <v>15</v>
      </c>
      <c r="M893" s="15" t="n">
        <f aca="false">AI893*評分方法!$C$9</f>
        <v>10</v>
      </c>
      <c r="N893" s="15" t="n">
        <f aca="false">AJ893*評分方法!$C$10</f>
        <v>4.872</v>
      </c>
      <c r="O893" s="15" t="n">
        <f aca="false">AK893*評分方法!$C$11</f>
        <v>2.5</v>
      </c>
      <c r="P893" s="15" t="n">
        <f aca="false">AL893*評分方法!$C$12</f>
        <v>0</v>
      </c>
      <c r="Q893" s="6" t="n">
        <v>528299</v>
      </c>
      <c r="R893" s="6" t="n">
        <v>33213315</v>
      </c>
      <c r="S893" s="11" t="s">
        <v>238</v>
      </c>
      <c r="T893" s="11" t="s">
        <v>239</v>
      </c>
      <c r="U893" s="5" t="s">
        <v>240</v>
      </c>
      <c r="V893" s="11" t="s">
        <v>261</v>
      </c>
      <c r="W893" s="5" t="s">
        <v>334</v>
      </c>
      <c r="X893" s="5" t="s">
        <v>242</v>
      </c>
      <c r="Y893" s="5"/>
      <c r="Z893" s="5"/>
      <c r="AA893" s="11" t="s">
        <v>150</v>
      </c>
      <c r="AB893" s="5" t="s">
        <v>245</v>
      </c>
      <c r="AC893" s="5"/>
      <c r="AD893" s="11" t="s">
        <v>2314</v>
      </c>
      <c r="AE893" s="23" t="n">
        <v>0.95</v>
      </c>
      <c r="AF893" s="23" t="n">
        <v>0</v>
      </c>
      <c r="AG893" s="23" t="n">
        <v>0.33</v>
      </c>
      <c r="AH893" s="23" t="n">
        <v>1</v>
      </c>
      <c r="AI893" s="23" t="n">
        <v>1</v>
      </c>
      <c r="AJ893" s="23" t="n">
        <v>0.4872</v>
      </c>
      <c r="AK893" s="23" t="n">
        <v>0.5</v>
      </c>
      <c r="AL893" s="23" t="n">
        <v>0</v>
      </c>
      <c r="AM893" s="16" t="n">
        <f aca="false">COUNTIFS($D$2:$D$2501,D893,$G$2:$G$2501,"&gt;"&amp;G893)+COUNTIFS($D$2:D893,D893,$G$2:G893,G893)</f>
        <v>210</v>
      </c>
      <c r="AN893" s="5" t="str">
        <f aca="false">D893&amp;"|"&amp;AM893</f>
        <v>實體擷取與去識別化|210</v>
      </c>
    </row>
    <row r="894" customFormat="false" ht="17.15" hidden="false" customHeight="false" outlineLevel="0" collapsed="false">
      <c r="A894" s="16" t="n">
        <f aca="false">RANK(G894,$G$2:$G$2501)+COUNTIF($G$2:G894,G894)-1</f>
        <v>893</v>
      </c>
      <c r="B894" s="11" t="s">
        <v>2315</v>
      </c>
      <c r="C894" s="11" t="s">
        <v>323</v>
      </c>
      <c r="D894" s="5" t="s">
        <v>56</v>
      </c>
      <c r="E894" s="5" t="s">
        <v>57</v>
      </c>
      <c r="F894" s="5"/>
      <c r="G894" s="22" t="n">
        <f aca="false">ROUND(SUM(I894:P894),3)</f>
        <v>65.822</v>
      </c>
      <c r="H894" s="5" t="str">
        <f aca="false">IF(G894&gt;=評分方法!$C$16,"優先評估",IF(G894&gt;=評分方法!$C$17,"列入候選",IF(G894&gt;=評分方法!$C$18,"特定情境","不建議")))</f>
        <v>特定情境</v>
      </c>
      <c r="I894" s="15" t="n">
        <f aca="false">AE894*評分方法!$C$5</f>
        <v>25.5</v>
      </c>
      <c r="J894" s="15" t="n">
        <f aca="false">AF894*評分方法!$C$6</f>
        <v>0</v>
      </c>
      <c r="K894" s="15" t="n">
        <f aca="false">AG894*評分方法!$C$7</f>
        <v>15</v>
      </c>
      <c r="L894" s="15" t="n">
        <f aca="false">AH894*評分方法!$C$8</f>
        <v>13.05</v>
      </c>
      <c r="M894" s="15" t="n">
        <f aca="false">AI894*評分方法!$C$9</f>
        <v>10</v>
      </c>
      <c r="N894" s="15" t="n">
        <f aca="false">AJ894*評分方法!$C$10</f>
        <v>1.272</v>
      </c>
      <c r="O894" s="15" t="n">
        <f aca="false">AK894*評分方法!$C$11</f>
        <v>1</v>
      </c>
      <c r="P894" s="15" t="n">
        <f aca="false">AL894*評分方法!$C$12</f>
        <v>0</v>
      </c>
      <c r="Q894" s="6" t="n">
        <v>165589</v>
      </c>
      <c r="R894" s="6" t="n">
        <v>6919161856</v>
      </c>
      <c r="S894" s="11" t="s">
        <v>254</v>
      </c>
      <c r="T894" s="11" t="s">
        <v>239</v>
      </c>
      <c r="U894" s="5" t="s">
        <v>240</v>
      </c>
      <c r="V894" s="11" t="s">
        <v>261</v>
      </c>
      <c r="W894" s="5" t="s">
        <v>205</v>
      </c>
      <c r="X894" s="5" t="s">
        <v>242</v>
      </c>
      <c r="Y894" s="11" t="s">
        <v>2316</v>
      </c>
      <c r="Z894" s="11" t="s">
        <v>270</v>
      </c>
      <c r="AA894" s="11" t="s">
        <v>155</v>
      </c>
      <c r="AB894" s="5" t="s">
        <v>245</v>
      </c>
      <c r="AC894" s="5"/>
      <c r="AD894" s="11" t="s">
        <v>2317</v>
      </c>
      <c r="AE894" s="23" t="n">
        <v>0.85</v>
      </c>
      <c r="AF894" s="23" t="n">
        <v>0</v>
      </c>
      <c r="AG894" s="23" t="n">
        <v>1</v>
      </c>
      <c r="AH894" s="23" t="n">
        <v>0.87</v>
      </c>
      <c r="AI894" s="23" t="n">
        <v>1</v>
      </c>
      <c r="AJ894" s="23" t="n">
        <v>0.1272</v>
      </c>
      <c r="AK894" s="23" t="n">
        <v>0.2</v>
      </c>
      <c r="AL894" s="23" t="n">
        <v>0</v>
      </c>
      <c r="AM894" s="16" t="n">
        <f aca="false">COUNTIFS($D$2:$D$2501,D894,$G$2:$G$2501,"&gt;"&amp;G894)+COUNTIFS($D$2:D894,D894,$G$2:G894,G894)</f>
        <v>406</v>
      </c>
      <c r="AN894" s="5" t="str">
        <f aca="false">D894&amp;"|"&amp;AM894</f>
        <v>分析與報告生成|406</v>
      </c>
    </row>
    <row r="895" customFormat="false" ht="17.15" hidden="false" customHeight="false" outlineLevel="0" collapsed="false">
      <c r="A895" s="16" t="n">
        <f aca="false">RANK(G895,$G$2:$G$2501)+COUNTIF($G$2:G895,G895)-1</f>
        <v>894</v>
      </c>
      <c r="B895" s="11" t="s">
        <v>2318</v>
      </c>
      <c r="C895" s="11" t="s">
        <v>753</v>
      </c>
      <c r="D895" s="5" t="s">
        <v>56</v>
      </c>
      <c r="E895" s="5" t="s">
        <v>57</v>
      </c>
      <c r="F895" s="5"/>
      <c r="G895" s="22" t="n">
        <f aca="false">ROUND(SUM(I895:P895),3)</f>
        <v>65.82</v>
      </c>
      <c r="H895" s="5" t="str">
        <f aca="false">IF(G895&gt;=評分方法!$C$16,"優先評估",IF(G895&gt;=評分方法!$C$17,"列入候選",IF(G895&gt;=評分方法!$C$18,"特定情境","不建議")))</f>
        <v>特定情境</v>
      </c>
      <c r="I895" s="15" t="n">
        <f aca="false">AE895*評分方法!$C$5</f>
        <v>25.5</v>
      </c>
      <c r="J895" s="15" t="n">
        <f aca="false">AF895*評分方法!$C$6</f>
        <v>0</v>
      </c>
      <c r="K895" s="15" t="n">
        <f aca="false">AG895*評分方法!$C$7</f>
        <v>10.05</v>
      </c>
      <c r="L895" s="15" t="n">
        <f aca="false">AH895*評分方法!$C$8</f>
        <v>13.05</v>
      </c>
      <c r="M895" s="15" t="n">
        <f aca="false">AI895*評分方法!$C$9</f>
        <v>6</v>
      </c>
      <c r="N895" s="15" t="n">
        <f aca="false">AJ895*評分方法!$C$10</f>
        <v>8.72</v>
      </c>
      <c r="O895" s="15" t="n">
        <f aca="false">AK895*評分方法!$C$11</f>
        <v>2.5</v>
      </c>
      <c r="P895" s="15" t="n">
        <f aca="false">AL895*評分方法!$C$12</f>
        <v>0</v>
      </c>
      <c r="Q895" s="6" t="n">
        <v>2846543</v>
      </c>
      <c r="R895" s="6" t="n">
        <v>1235814400</v>
      </c>
      <c r="S895" s="11" t="s">
        <v>254</v>
      </c>
      <c r="T895" s="11" t="s">
        <v>1044</v>
      </c>
      <c r="U895" s="5" t="s">
        <v>260</v>
      </c>
      <c r="V895" s="11" t="s">
        <v>261</v>
      </c>
      <c r="W895" s="5" t="s">
        <v>207</v>
      </c>
      <c r="X895" s="5" t="s">
        <v>242</v>
      </c>
      <c r="Y895" s="11" t="s">
        <v>1309</v>
      </c>
      <c r="Z895" s="11" t="s">
        <v>270</v>
      </c>
      <c r="AA895" s="11" t="s">
        <v>155</v>
      </c>
      <c r="AB895" s="5" t="s">
        <v>245</v>
      </c>
      <c r="AC895" s="5" t="s">
        <v>262</v>
      </c>
      <c r="AD895" s="11" t="s">
        <v>2319</v>
      </c>
      <c r="AE895" s="23" t="n">
        <v>0.85</v>
      </c>
      <c r="AF895" s="23" t="n">
        <v>0</v>
      </c>
      <c r="AG895" s="23" t="n">
        <v>0.67</v>
      </c>
      <c r="AH895" s="23" t="n">
        <v>0.87</v>
      </c>
      <c r="AI895" s="23" t="n">
        <v>0.6</v>
      </c>
      <c r="AJ895" s="23" t="n">
        <v>0.872</v>
      </c>
      <c r="AK895" s="23" t="n">
        <v>0.5</v>
      </c>
      <c r="AL895" s="23" t="n">
        <v>0</v>
      </c>
      <c r="AM895" s="16" t="n">
        <f aca="false">COUNTIFS($D$2:$D$2501,D895,$G$2:$G$2501,"&gt;"&amp;G895)+COUNTIFS($D$2:D895,D895,$G$2:G895,G895)</f>
        <v>407</v>
      </c>
      <c r="AN895" s="5" t="str">
        <f aca="false">D895&amp;"|"&amp;AM895</f>
        <v>分析與報告生成|407</v>
      </c>
    </row>
    <row r="896" customFormat="false" ht="17.15" hidden="false" customHeight="false" outlineLevel="0" collapsed="false">
      <c r="A896" s="16" t="n">
        <f aca="false">RANK(G896,$G$2:$G$2501)+COUNTIF($G$2:G896,G896)-1</f>
        <v>895</v>
      </c>
      <c r="B896" s="11" t="s">
        <v>2320</v>
      </c>
      <c r="C896" s="11" t="s">
        <v>2321</v>
      </c>
      <c r="D896" s="5" t="s">
        <v>56</v>
      </c>
      <c r="E896" s="5" t="s">
        <v>57</v>
      </c>
      <c r="F896" s="5"/>
      <c r="G896" s="22" t="n">
        <f aca="false">ROUND(SUM(I896:P896),3)</f>
        <v>65.81</v>
      </c>
      <c r="H896" s="5" t="str">
        <f aca="false">IF(G896&gt;=評分方法!$C$16,"優先評估",IF(G896&gt;=評分方法!$C$17,"列入候選",IF(G896&gt;=評分方法!$C$18,"特定情境","不建議")))</f>
        <v>特定情境</v>
      </c>
      <c r="I896" s="15" t="n">
        <f aca="false">AE896*評分方法!$C$5</f>
        <v>25.5</v>
      </c>
      <c r="J896" s="15" t="n">
        <f aca="false">AF896*評分方法!$C$6</f>
        <v>0</v>
      </c>
      <c r="K896" s="15" t="n">
        <f aca="false">AG896*評分方法!$C$7</f>
        <v>4.95</v>
      </c>
      <c r="L896" s="15" t="n">
        <f aca="false">AH896*評分方法!$C$8</f>
        <v>9</v>
      </c>
      <c r="M896" s="15" t="n">
        <f aca="false">AI896*評分方法!$C$9</f>
        <v>10</v>
      </c>
      <c r="N896" s="15" t="n">
        <f aca="false">AJ896*評分方法!$C$10</f>
        <v>8.36</v>
      </c>
      <c r="O896" s="15" t="n">
        <f aca="false">AK896*評分方法!$C$11</f>
        <v>5</v>
      </c>
      <c r="P896" s="15" t="n">
        <f aca="false">AL896*評分方法!$C$12</f>
        <v>3</v>
      </c>
      <c r="Q896" s="6" t="n">
        <v>2008962</v>
      </c>
      <c r="R896" s="6" t="n">
        <v>30697345340</v>
      </c>
      <c r="S896" s="11" t="s">
        <v>389</v>
      </c>
      <c r="T896" s="11" t="s">
        <v>239</v>
      </c>
      <c r="U896" s="5" t="s">
        <v>240</v>
      </c>
      <c r="V896" s="11" t="s">
        <v>261</v>
      </c>
      <c r="W896" s="5" t="s">
        <v>334</v>
      </c>
      <c r="X896" s="5" t="s">
        <v>371</v>
      </c>
      <c r="Y896" s="11" t="s">
        <v>583</v>
      </c>
      <c r="Z896" s="11" t="s">
        <v>244</v>
      </c>
      <c r="AA896" s="11" t="s">
        <v>155</v>
      </c>
      <c r="AB896" s="5" t="s">
        <v>245</v>
      </c>
      <c r="AC896" s="5" t="s">
        <v>246</v>
      </c>
      <c r="AD896" s="11" t="s">
        <v>2322</v>
      </c>
      <c r="AE896" s="23" t="n">
        <v>0.85</v>
      </c>
      <c r="AF896" s="23" t="n">
        <v>0</v>
      </c>
      <c r="AG896" s="23" t="n">
        <v>0.33</v>
      </c>
      <c r="AH896" s="23" t="n">
        <v>0.6</v>
      </c>
      <c r="AI896" s="23" t="n">
        <v>1</v>
      </c>
      <c r="AJ896" s="23" t="n">
        <v>0.836</v>
      </c>
      <c r="AK896" s="23" t="n">
        <v>1</v>
      </c>
      <c r="AL896" s="23" t="n">
        <v>0.6</v>
      </c>
      <c r="AM896" s="16" t="n">
        <f aca="false">COUNTIFS($D$2:$D$2501,D896,$G$2:$G$2501,"&gt;"&amp;G896)+COUNTIFS($D$2:D896,D896,$G$2:G896,G896)</f>
        <v>408</v>
      </c>
      <c r="AN896" s="5" t="str">
        <f aca="false">D896&amp;"|"&amp;AM896</f>
        <v>分析與報告生成|408</v>
      </c>
    </row>
    <row r="897" customFormat="false" ht="17.15" hidden="false" customHeight="false" outlineLevel="0" collapsed="false">
      <c r="A897" s="16" t="n">
        <f aca="false">RANK(G897,$G$2:$G$2501)+COUNTIF($G$2:G897,G897)-1</f>
        <v>896</v>
      </c>
      <c r="B897" s="11" t="s">
        <v>2323</v>
      </c>
      <c r="C897" s="11" t="s">
        <v>402</v>
      </c>
      <c r="D897" s="5" t="s">
        <v>58</v>
      </c>
      <c r="E897" s="5" t="s">
        <v>59</v>
      </c>
      <c r="F897" s="5"/>
      <c r="G897" s="22" t="n">
        <f aca="false">ROUND(SUM(I897:P897),3)</f>
        <v>65.806</v>
      </c>
      <c r="H897" s="5" t="str">
        <f aca="false">IF(G897&gt;=評分方法!$C$16,"優先評估",IF(G897&gt;=評分方法!$C$17,"列入候選",IF(G897&gt;=評分方法!$C$18,"特定情境","不建議")))</f>
        <v>特定情境</v>
      </c>
      <c r="I897" s="15" t="n">
        <f aca="false">AE897*評分方法!$C$5</f>
        <v>28.5</v>
      </c>
      <c r="J897" s="15" t="n">
        <f aca="false">AF897*評分方法!$C$6</f>
        <v>0</v>
      </c>
      <c r="K897" s="15" t="n">
        <f aca="false">AG897*評分方法!$C$7</f>
        <v>4.95</v>
      </c>
      <c r="L897" s="15" t="n">
        <f aca="false">AH897*評分方法!$C$8</f>
        <v>15</v>
      </c>
      <c r="M897" s="15" t="n">
        <f aca="false">AI897*評分方法!$C$9</f>
        <v>10</v>
      </c>
      <c r="N897" s="15" t="n">
        <f aca="false">AJ897*評分方法!$C$10</f>
        <v>4.856</v>
      </c>
      <c r="O897" s="15" t="n">
        <f aca="false">AK897*評分方法!$C$11</f>
        <v>2.5</v>
      </c>
      <c r="P897" s="15" t="n">
        <f aca="false">AL897*評分方法!$C$12</f>
        <v>0</v>
      </c>
      <c r="Q897" s="6" t="n">
        <v>527152</v>
      </c>
      <c r="R897" s="6" t="n">
        <v>107721987</v>
      </c>
      <c r="S897" s="11" t="s">
        <v>238</v>
      </c>
      <c r="T897" s="11" t="s">
        <v>239</v>
      </c>
      <c r="U897" s="5" t="s">
        <v>240</v>
      </c>
      <c r="V897" s="11" t="s">
        <v>261</v>
      </c>
      <c r="W897" s="5" t="s">
        <v>334</v>
      </c>
      <c r="X897" s="5" t="s">
        <v>242</v>
      </c>
      <c r="Y897" s="5"/>
      <c r="Z897" s="5"/>
      <c r="AA897" s="11" t="s">
        <v>150</v>
      </c>
      <c r="AB897" s="5" t="s">
        <v>245</v>
      </c>
      <c r="AC897" s="5"/>
      <c r="AD897" s="11" t="s">
        <v>2324</v>
      </c>
      <c r="AE897" s="23" t="n">
        <v>0.95</v>
      </c>
      <c r="AF897" s="23" t="n">
        <v>0</v>
      </c>
      <c r="AG897" s="23" t="n">
        <v>0.33</v>
      </c>
      <c r="AH897" s="23" t="n">
        <v>1</v>
      </c>
      <c r="AI897" s="23" t="n">
        <v>1</v>
      </c>
      <c r="AJ897" s="23" t="n">
        <v>0.4856</v>
      </c>
      <c r="AK897" s="23" t="n">
        <v>0.5</v>
      </c>
      <c r="AL897" s="23" t="n">
        <v>0</v>
      </c>
      <c r="AM897" s="16" t="n">
        <f aca="false">COUNTIFS($D$2:$D$2501,D897,$G$2:$G$2501,"&gt;"&amp;G897)+COUNTIFS($D$2:D897,D897,$G$2:G897,G897)</f>
        <v>211</v>
      </c>
      <c r="AN897" s="5" t="str">
        <f aca="false">D897&amp;"|"&amp;AM897</f>
        <v>實體擷取與去識別化|211</v>
      </c>
    </row>
    <row r="898" customFormat="false" ht="17.15" hidden="false" customHeight="false" outlineLevel="0" collapsed="false">
      <c r="A898" s="16" t="n">
        <f aca="false">RANK(G898,$G$2:$G$2501)+COUNTIF($G$2:G898,G898)-1</f>
        <v>897</v>
      </c>
      <c r="B898" s="11" t="s">
        <v>2325</v>
      </c>
      <c r="C898" s="11" t="s">
        <v>368</v>
      </c>
      <c r="D898" s="5" t="s">
        <v>56</v>
      </c>
      <c r="E898" s="5" t="s">
        <v>57</v>
      </c>
      <c r="F898" s="5"/>
      <c r="G898" s="22" t="n">
        <f aca="false">ROUND(SUM(I898:P898),3)</f>
        <v>65.804</v>
      </c>
      <c r="H898" s="5" t="str">
        <f aca="false">IF(G898&gt;=評分方法!$C$16,"優先評估",IF(G898&gt;=評分方法!$C$17,"列入候選",IF(G898&gt;=評分方法!$C$18,"特定情境","不建議")))</f>
        <v>特定情境</v>
      </c>
      <c r="I898" s="15" t="n">
        <f aca="false">AE898*評分方法!$C$5</f>
        <v>25.5</v>
      </c>
      <c r="J898" s="15" t="n">
        <f aca="false">AF898*評分方法!$C$6</f>
        <v>0</v>
      </c>
      <c r="K898" s="15" t="n">
        <f aca="false">AG898*評分方法!$C$7</f>
        <v>15</v>
      </c>
      <c r="L898" s="15" t="n">
        <f aca="false">AH898*評分方法!$C$8</f>
        <v>9</v>
      </c>
      <c r="M898" s="15" t="n">
        <f aca="false">AI898*評分方法!$C$9</f>
        <v>6</v>
      </c>
      <c r="N898" s="15" t="n">
        <f aca="false">AJ898*評分方法!$C$10</f>
        <v>7.804</v>
      </c>
      <c r="O898" s="15" t="n">
        <f aca="false">AK898*評分方法!$C$11</f>
        <v>2.5</v>
      </c>
      <c r="P898" s="15" t="n">
        <f aca="false">AL898*評分方法!$C$12</f>
        <v>0</v>
      </c>
      <c r="Q898" s="6" t="n">
        <v>1389326</v>
      </c>
      <c r="R898" s="6" t="n">
        <v>27432406640</v>
      </c>
      <c r="S898" s="11" t="s">
        <v>389</v>
      </c>
      <c r="T898" s="11" t="s">
        <v>185</v>
      </c>
      <c r="U898" s="5" t="s">
        <v>260</v>
      </c>
      <c r="V898" s="11" t="s">
        <v>261</v>
      </c>
      <c r="W898" s="5" t="s">
        <v>205</v>
      </c>
      <c r="X898" s="5" t="s">
        <v>242</v>
      </c>
      <c r="Y898" s="11" t="s">
        <v>1345</v>
      </c>
      <c r="Z898" s="11" t="s">
        <v>270</v>
      </c>
      <c r="AA898" s="11" t="s">
        <v>156</v>
      </c>
      <c r="AB898" s="5" t="s">
        <v>245</v>
      </c>
      <c r="AC898" s="5" t="s">
        <v>262</v>
      </c>
      <c r="AD898" s="11" t="s">
        <v>2326</v>
      </c>
      <c r="AE898" s="23" t="n">
        <v>0.85</v>
      </c>
      <c r="AF898" s="23" t="n">
        <v>0</v>
      </c>
      <c r="AG898" s="23" t="n">
        <v>1</v>
      </c>
      <c r="AH898" s="23" t="n">
        <v>0.6</v>
      </c>
      <c r="AI898" s="23" t="n">
        <v>0.6</v>
      </c>
      <c r="AJ898" s="23" t="n">
        <v>0.7804</v>
      </c>
      <c r="AK898" s="23" t="n">
        <v>0.5</v>
      </c>
      <c r="AL898" s="23" t="n">
        <v>0</v>
      </c>
      <c r="AM898" s="16" t="n">
        <f aca="false">COUNTIFS($D$2:$D$2501,D898,$G$2:$G$2501,"&gt;"&amp;G898)+COUNTIFS($D$2:D898,D898,$G$2:G898,G898)</f>
        <v>409</v>
      </c>
      <c r="AN898" s="5" t="str">
        <f aca="false">D898&amp;"|"&amp;AM898</f>
        <v>分析與報告生成|409</v>
      </c>
    </row>
    <row r="899" customFormat="false" ht="17.15" hidden="false" customHeight="false" outlineLevel="0" collapsed="false">
      <c r="A899" s="16" t="n">
        <f aca="false">RANK(G899,$G$2:$G$2501)+COUNTIF($G$2:G899,G899)-1</f>
        <v>898</v>
      </c>
      <c r="B899" s="11" t="s">
        <v>2327</v>
      </c>
      <c r="C899" s="11" t="s">
        <v>402</v>
      </c>
      <c r="D899" s="5" t="s">
        <v>58</v>
      </c>
      <c r="E899" s="5" t="s">
        <v>59</v>
      </c>
      <c r="F899" s="5"/>
      <c r="G899" s="22" t="n">
        <f aca="false">ROUND(SUM(I899:P899),3)</f>
        <v>65.802</v>
      </c>
      <c r="H899" s="5" t="str">
        <f aca="false">IF(G899&gt;=評分方法!$C$16,"優先評估",IF(G899&gt;=評分方法!$C$17,"列入候選",IF(G899&gt;=評分方法!$C$18,"特定情境","不建議")))</f>
        <v>特定情境</v>
      </c>
      <c r="I899" s="15" t="n">
        <f aca="false">AE899*評分方法!$C$5</f>
        <v>28.5</v>
      </c>
      <c r="J899" s="15" t="n">
        <f aca="false">AF899*評分方法!$C$6</f>
        <v>0</v>
      </c>
      <c r="K899" s="15" t="n">
        <f aca="false">AG899*評分方法!$C$7</f>
        <v>4.95</v>
      </c>
      <c r="L899" s="15" t="n">
        <f aca="false">AH899*評分方法!$C$8</f>
        <v>15</v>
      </c>
      <c r="M899" s="15" t="n">
        <f aca="false">AI899*評分方法!$C$9</f>
        <v>10</v>
      </c>
      <c r="N899" s="15" t="n">
        <f aca="false">AJ899*評分方法!$C$10</f>
        <v>4.852</v>
      </c>
      <c r="O899" s="15" t="n">
        <f aca="false">AK899*評分方法!$C$11</f>
        <v>2.5</v>
      </c>
      <c r="P899" s="15" t="n">
        <f aca="false">AL899*評分方法!$C$12</f>
        <v>0</v>
      </c>
      <c r="Q899" s="6" t="n">
        <v>527129</v>
      </c>
      <c r="R899" s="6" t="n">
        <v>141306627</v>
      </c>
      <c r="S899" s="11" t="s">
        <v>238</v>
      </c>
      <c r="T899" s="11" t="s">
        <v>239</v>
      </c>
      <c r="U899" s="5" t="s">
        <v>240</v>
      </c>
      <c r="V899" s="11" t="s">
        <v>261</v>
      </c>
      <c r="W899" s="5" t="s">
        <v>334</v>
      </c>
      <c r="X899" s="5" t="s">
        <v>242</v>
      </c>
      <c r="Y899" s="5"/>
      <c r="Z899" s="5"/>
      <c r="AA899" s="11" t="s">
        <v>150</v>
      </c>
      <c r="AB899" s="5" t="s">
        <v>245</v>
      </c>
      <c r="AC899" s="5"/>
      <c r="AD899" s="11" t="s">
        <v>2328</v>
      </c>
      <c r="AE899" s="23" t="n">
        <v>0.95</v>
      </c>
      <c r="AF899" s="23" t="n">
        <v>0</v>
      </c>
      <c r="AG899" s="23" t="n">
        <v>0.33</v>
      </c>
      <c r="AH899" s="23" t="n">
        <v>1</v>
      </c>
      <c r="AI899" s="23" t="n">
        <v>1</v>
      </c>
      <c r="AJ899" s="23" t="n">
        <v>0.4852</v>
      </c>
      <c r="AK899" s="23" t="n">
        <v>0.5</v>
      </c>
      <c r="AL899" s="23" t="n">
        <v>0</v>
      </c>
      <c r="AM899" s="16" t="n">
        <f aca="false">COUNTIFS($D$2:$D$2501,D899,$G$2:$G$2501,"&gt;"&amp;G899)+COUNTIFS($D$2:D899,D899,$G$2:G899,G899)</f>
        <v>212</v>
      </c>
      <c r="AN899" s="5" t="str">
        <f aca="false">D899&amp;"|"&amp;AM899</f>
        <v>實體擷取與去識別化|212</v>
      </c>
    </row>
    <row r="900" customFormat="false" ht="17.15" hidden="false" customHeight="false" outlineLevel="0" collapsed="false">
      <c r="A900" s="16" t="n">
        <f aca="false">RANK(G900,$G$2:$G$2501)+COUNTIF($G$2:G900,G900)-1</f>
        <v>899</v>
      </c>
      <c r="B900" s="11" t="s">
        <v>2329</v>
      </c>
      <c r="C900" s="11" t="s">
        <v>2256</v>
      </c>
      <c r="D900" s="5" t="s">
        <v>56</v>
      </c>
      <c r="E900" s="5" t="s">
        <v>57</v>
      </c>
      <c r="F900" s="5"/>
      <c r="G900" s="22" t="n">
        <f aca="false">ROUND(SUM(I900:P900),3)</f>
        <v>65.786</v>
      </c>
      <c r="H900" s="5" t="str">
        <f aca="false">IF(G900&gt;=評分方法!$C$16,"優先評估",IF(G900&gt;=評分方法!$C$17,"列入候選",IF(G900&gt;=評分方法!$C$18,"特定情境","不建議")))</f>
        <v>特定情境</v>
      </c>
      <c r="I900" s="15" t="n">
        <f aca="false">AE900*評分方法!$C$5</f>
        <v>25.5</v>
      </c>
      <c r="J900" s="15" t="n">
        <f aca="false">AF900*評分方法!$C$6</f>
        <v>0</v>
      </c>
      <c r="K900" s="15" t="n">
        <f aca="false">AG900*評分方法!$C$7</f>
        <v>4.95</v>
      </c>
      <c r="L900" s="15" t="n">
        <f aca="false">AH900*評分方法!$C$8</f>
        <v>9</v>
      </c>
      <c r="M900" s="15" t="n">
        <f aca="false">AI900*評分方法!$C$9</f>
        <v>10</v>
      </c>
      <c r="N900" s="15" t="n">
        <f aca="false">AJ900*評分方法!$C$10</f>
        <v>8.336</v>
      </c>
      <c r="O900" s="15" t="n">
        <f aca="false">AK900*評分方法!$C$11</f>
        <v>5</v>
      </c>
      <c r="P900" s="15" t="n">
        <f aca="false">AL900*評分方法!$C$12</f>
        <v>3</v>
      </c>
      <c r="Q900" s="6" t="n">
        <v>1979177</v>
      </c>
      <c r="R900" s="6" t="n">
        <v>11907350576</v>
      </c>
      <c r="S900" s="11" t="s">
        <v>389</v>
      </c>
      <c r="T900" s="11" t="s">
        <v>239</v>
      </c>
      <c r="U900" s="5" t="s">
        <v>240</v>
      </c>
      <c r="V900" s="11" t="s">
        <v>333</v>
      </c>
      <c r="W900" s="5" t="s">
        <v>334</v>
      </c>
      <c r="X900" s="5" t="s">
        <v>371</v>
      </c>
      <c r="Y900" s="11" t="s">
        <v>755</v>
      </c>
      <c r="Z900" s="11" t="s">
        <v>244</v>
      </c>
      <c r="AA900" s="11" t="s">
        <v>155</v>
      </c>
      <c r="AB900" s="5" t="s">
        <v>245</v>
      </c>
      <c r="AC900" s="5" t="s">
        <v>246</v>
      </c>
      <c r="AD900" s="11" t="s">
        <v>2330</v>
      </c>
      <c r="AE900" s="23" t="n">
        <v>0.85</v>
      </c>
      <c r="AF900" s="23" t="n">
        <v>0</v>
      </c>
      <c r="AG900" s="23" t="n">
        <v>0.33</v>
      </c>
      <c r="AH900" s="23" t="n">
        <v>0.6</v>
      </c>
      <c r="AI900" s="23" t="n">
        <v>1</v>
      </c>
      <c r="AJ900" s="23" t="n">
        <v>0.8336</v>
      </c>
      <c r="AK900" s="23" t="n">
        <v>1</v>
      </c>
      <c r="AL900" s="23" t="n">
        <v>0.6</v>
      </c>
      <c r="AM900" s="16" t="n">
        <f aca="false">COUNTIFS($D$2:$D$2501,D900,$G$2:$G$2501,"&gt;"&amp;G900)+COUNTIFS($D$2:D900,D900,$G$2:G900,G900)</f>
        <v>410</v>
      </c>
      <c r="AN900" s="5" t="str">
        <f aca="false">D900&amp;"|"&amp;AM900</f>
        <v>分析與報告生成|410</v>
      </c>
    </row>
    <row r="901" customFormat="false" ht="17.15" hidden="false" customHeight="false" outlineLevel="0" collapsed="false">
      <c r="A901" s="16" t="n">
        <f aca="false">RANK(G901,$G$2:$G$2501)+COUNTIF($G$2:G901,G901)-1</f>
        <v>900</v>
      </c>
      <c r="B901" s="11" t="s">
        <v>2331</v>
      </c>
      <c r="C901" s="11" t="s">
        <v>402</v>
      </c>
      <c r="D901" s="5" t="s">
        <v>58</v>
      </c>
      <c r="E901" s="5" t="s">
        <v>59</v>
      </c>
      <c r="F901" s="5"/>
      <c r="G901" s="22" t="n">
        <f aca="false">ROUND(SUM(I901:P901),3)</f>
        <v>65.786</v>
      </c>
      <c r="H901" s="5" t="str">
        <f aca="false">IF(G901&gt;=評分方法!$C$16,"優先評估",IF(G901&gt;=評分方法!$C$17,"列入候選",IF(G901&gt;=評分方法!$C$18,"特定情境","不建議")))</f>
        <v>特定情境</v>
      </c>
      <c r="I901" s="15" t="n">
        <f aca="false">AE901*評分方法!$C$5</f>
        <v>28.5</v>
      </c>
      <c r="J901" s="15" t="n">
        <f aca="false">AF901*評分方法!$C$6</f>
        <v>0</v>
      </c>
      <c r="K901" s="15" t="n">
        <f aca="false">AG901*評分方法!$C$7</f>
        <v>4.95</v>
      </c>
      <c r="L901" s="15" t="n">
        <f aca="false">AH901*評分方法!$C$8</f>
        <v>15</v>
      </c>
      <c r="M901" s="15" t="n">
        <f aca="false">AI901*評分方法!$C$9</f>
        <v>10</v>
      </c>
      <c r="N901" s="15" t="n">
        <f aca="false">AJ901*評分方法!$C$10</f>
        <v>4.836</v>
      </c>
      <c r="O901" s="15" t="n">
        <f aca="false">AK901*評分方法!$C$11</f>
        <v>2.5</v>
      </c>
      <c r="P901" s="15" t="n">
        <f aca="false">AL901*評分方法!$C$12</f>
        <v>0</v>
      </c>
      <c r="Q901" s="6" t="n">
        <v>526752</v>
      </c>
      <c r="R901" s="6" t="n">
        <v>354313219</v>
      </c>
      <c r="S901" s="11" t="s">
        <v>238</v>
      </c>
      <c r="T901" s="11" t="s">
        <v>239</v>
      </c>
      <c r="U901" s="5" t="s">
        <v>240</v>
      </c>
      <c r="V901" s="11" t="s">
        <v>261</v>
      </c>
      <c r="W901" s="5" t="s">
        <v>334</v>
      </c>
      <c r="X901" s="5" t="s">
        <v>242</v>
      </c>
      <c r="Y901" s="5"/>
      <c r="Z901" s="5"/>
      <c r="AA901" s="11" t="s">
        <v>150</v>
      </c>
      <c r="AB901" s="5" t="s">
        <v>245</v>
      </c>
      <c r="AC901" s="5"/>
      <c r="AD901" s="11" t="s">
        <v>2332</v>
      </c>
      <c r="AE901" s="23" t="n">
        <v>0.95</v>
      </c>
      <c r="AF901" s="23" t="n">
        <v>0</v>
      </c>
      <c r="AG901" s="23" t="n">
        <v>0.33</v>
      </c>
      <c r="AH901" s="23" t="n">
        <v>1</v>
      </c>
      <c r="AI901" s="23" t="n">
        <v>1</v>
      </c>
      <c r="AJ901" s="23" t="n">
        <v>0.4836</v>
      </c>
      <c r="AK901" s="23" t="n">
        <v>0.5</v>
      </c>
      <c r="AL901" s="23" t="n">
        <v>0</v>
      </c>
      <c r="AM901" s="16" t="n">
        <f aca="false">COUNTIFS($D$2:$D$2501,D901,$G$2:$G$2501,"&gt;"&amp;G901)+COUNTIFS($D$2:D901,D901,$G$2:G901,G901)</f>
        <v>213</v>
      </c>
      <c r="AN901" s="5" t="str">
        <f aca="false">D901&amp;"|"&amp;AM901</f>
        <v>實體擷取與去識別化|213</v>
      </c>
    </row>
    <row r="902" customFormat="false" ht="17.15" hidden="false" customHeight="false" outlineLevel="0" collapsed="false">
      <c r="A902" s="16" t="n">
        <f aca="false">RANK(G902,$G$2:$G$2501)+COUNTIF($G$2:G902,G902)-1</f>
        <v>901</v>
      </c>
      <c r="B902" s="11" t="s">
        <v>2333</v>
      </c>
      <c r="C902" s="11" t="s">
        <v>402</v>
      </c>
      <c r="D902" s="5" t="s">
        <v>58</v>
      </c>
      <c r="E902" s="5" t="s">
        <v>59</v>
      </c>
      <c r="F902" s="5"/>
      <c r="G902" s="22" t="n">
        <f aca="false">ROUND(SUM(I902:P902),3)</f>
        <v>65.774</v>
      </c>
      <c r="H902" s="5" t="str">
        <f aca="false">IF(G902&gt;=評分方法!$C$16,"優先評估",IF(G902&gt;=評分方法!$C$17,"列入候選",IF(G902&gt;=評分方法!$C$18,"特定情境","不建議")))</f>
        <v>特定情境</v>
      </c>
      <c r="I902" s="15" t="n">
        <f aca="false">AE902*評分方法!$C$5</f>
        <v>28.5</v>
      </c>
      <c r="J902" s="15" t="n">
        <f aca="false">AF902*評分方法!$C$6</f>
        <v>0</v>
      </c>
      <c r="K902" s="15" t="n">
        <f aca="false">AG902*評分方法!$C$7</f>
        <v>4.95</v>
      </c>
      <c r="L902" s="15" t="n">
        <f aca="false">AH902*評分方法!$C$8</f>
        <v>15</v>
      </c>
      <c r="M902" s="15" t="n">
        <f aca="false">AI902*評分方法!$C$9</f>
        <v>10</v>
      </c>
      <c r="N902" s="15" t="n">
        <f aca="false">AJ902*評分方法!$C$10</f>
        <v>4.824</v>
      </c>
      <c r="O902" s="15" t="n">
        <f aca="false">AK902*評分方法!$C$11</f>
        <v>2.5</v>
      </c>
      <c r="P902" s="15" t="n">
        <f aca="false">AL902*評分方法!$C$12</f>
        <v>0</v>
      </c>
      <c r="Q902" s="6" t="n">
        <v>525862</v>
      </c>
      <c r="R902" s="6" t="n">
        <v>149607171</v>
      </c>
      <c r="S902" s="11" t="s">
        <v>238</v>
      </c>
      <c r="T902" s="11" t="s">
        <v>239</v>
      </c>
      <c r="U902" s="5" t="s">
        <v>240</v>
      </c>
      <c r="V902" s="11" t="s">
        <v>261</v>
      </c>
      <c r="W902" s="5" t="s">
        <v>334</v>
      </c>
      <c r="X902" s="5" t="s">
        <v>242</v>
      </c>
      <c r="Y902" s="5"/>
      <c r="Z902" s="5"/>
      <c r="AA902" s="11" t="s">
        <v>150</v>
      </c>
      <c r="AB902" s="5" t="s">
        <v>245</v>
      </c>
      <c r="AC902" s="5"/>
      <c r="AD902" s="11" t="s">
        <v>2334</v>
      </c>
      <c r="AE902" s="23" t="n">
        <v>0.95</v>
      </c>
      <c r="AF902" s="23" t="n">
        <v>0</v>
      </c>
      <c r="AG902" s="23" t="n">
        <v>0.33</v>
      </c>
      <c r="AH902" s="23" t="n">
        <v>1</v>
      </c>
      <c r="AI902" s="23" t="n">
        <v>1</v>
      </c>
      <c r="AJ902" s="23" t="n">
        <v>0.4824</v>
      </c>
      <c r="AK902" s="23" t="n">
        <v>0.5</v>
      </c>
      <c r="AL902" s="23" t="n">
        <v>0</v>
      </c>
      <c r="AM902" s="16" t="n">
        <f aca="false">COUNTIFS($D$2:$D$2501,D902,$G$2:$G$2501,"&gt;"&amp;G902)+COUNTIFS($D$2:D902,D902,$G$2:G902,G902)</f>
        <v>214</v>
      </c>
      <c r="AN902" s="5" t="str">
        <f aca="false">D902&amp;"|"&amp;AM902</f>
        <v>實體擷取與去識別化|214</v>
      </c>
    </row>
    <row r="903" customFormat="false" ht="17.15" hidden="false" customHeight="false" outlineLevel="0" collapsed="false">
      <c r="A903" s="16" t="n">
        <f aca="false">RANK(G903,$G$2:$G$2501)+COUNTIF($G$2:G903,G903)-1</f>
        <v>902</v>
      </c>
      <c r="B903" s="11" t="s">
        <v>2335</v>
      </c>
      <c r="C903" s="11" t="s">
        <v>989</v>
      </c>
      <c r="D903" s="5" t="s">
        <v>56</v>
      </c>
      <c r="E903" s="5" t="s">
        <v>57</v>
      </c>
      <c r="F903" s="5"/>
      <c r="G903" s="22" t="n">
        <f aca="false">ROUND(SUM(I903:P903),3)</f>
        <v>65.774</v>
      </c>
      <c r="H903" s="5" t="str">
        <f aca="false">IF(G903&gt;=評分方法!$C$16,"優先評估",IF(G903&gt;=評分方法!$C$17,"列入候選",IF(G903&gt;=評分方法!$C$18,"特定情境","不建議")))</f>
        <v>特定情境</v>
      </c>
      <c r="I903" s="15" t="n">
        <f aca="false">AE903*評分方法!$C$5</f>
        <v>25.5</v>
      </c>
      <c r="J903" s="15" t="n">
        <f aca="false">AF903*評分方法!$C$6</f>
        <v>0</v>
      </c>
      <c r="K903" s="15" t="n">
        <f aca="false">AG903*評分方法!$C$7</f>
        <v>10.05</v>
      </c>
      <c r="L903" s="15" t="n">
        <f aca="false">AH903*評分方法!$C$8</f>
        <v>9</v>
      </c>
      <c r="M903" s="15" t="n">
        <f aca="false">AI903*評分方法!$C$9</f>
        <v>10</v>
      </c>
      <c r="N903" s="15" t="n">
        <f aca="false">AJ903*評分方法!$C$10</f>
        <v>3.224</v>
      </c>
      <c r="O903" s="15" t="n">
        <f aca="false">AK903*評分方法!$C$11</f>
        <v>5</v>
      </c>
      <c r="P903" s="15" t="n">
        <f aca="false">AL903*評分方法!$C$12</f>
        <v>3</v>
      </c>
      <c r="Q903" s="6" t="n">
        <v>317543</v>
      </c>
      <c r="R903" s="6" t="n">
        <v>11907350576</v>
      </c>
      <c r="S903" s="11" t="s">
        <v>389</v>
      </c>
      <c r="T903" s="11" t="s">
        <v>239</v>
      </c>
      <c r="U903" s="5" t="s">
        <v>240</v>
      </c>
      <c r="V903" s="11" t="s">
        <v>333</v>
      </c>
      <c r="W903" s="5" t="s">
        <v>207</v>
      </c>
      <c r="X903" s="5" t="s">
        <v>371</v>
      </c>
      <c r="Y903" s="11" t="s">
        <v>755</v>
      </c>
      <c r="Z903" s="11" t="s">
        <v>244</v>
      </c>
      <c r="AA903" s="11" t="s">
        <v>156</v>
      </c>
      <c r="AB903" s="5" t="s">
        <v>245</v>
      </c>
      <c r="AC903" s="5" t="s">
        <v>246</v>
      </c>
      <c r="AD903" s="11" t="s">
        <v>2336</v>
      </c>
      <c r="AE903" s="23" t="n">
        <v>0.85</v>
      </c>
      <c r="AF903" s="23" t="n">
        <v>0</v>
      </c>
      <c r="AG903" s="23" t="n">
        <v>0.67</v>
      </c>
      <c r="AH903" s="23" t="n">
        <v>0.6</v>
      </c>
      <c r="AI903" s="23" t="n">
        <v>1</v>
      </c>
      <c r="AJ903" s="23" t="n">
        <v>0.3224</v>
      </c>
      <c r="AK903" s="23" t="n">
        <v>1</v>
      </c>
      <c r="AL903" s="23" t="n">
        <v>0.6</v>
      </c>
      <c r="AM903" s="16" t="n">
        <f aca="false">COUNTIFS($D$2:$D$2501,D903,$G$2:$G$2501,"&gt;"&amp;G903)+COUNTIFS($D$2:D903,D903,$G$2:G903,G903)</f>
        <v>411</v>
      </c>
      <c r="AN903" s="5" t="str">
        <f aca="false">D903&amp;"|"&amp;AM903</f>
        <v>分析與報告生成|411</v>
      </c>
    </row>
    <row r="904" customFormat="false" ht="17.15" hidden="false" customHeight="false" outlineLevel="0" collapsed="false">
      <c r="A904" s="16" t="n">
        <f aca="false">RANK(G904,$G$2:$G$2501)+COUNTIF($G$2:G904,G904)-1</f>
        <v>903</v>
      </c>
      <c r="B904" s="11" t="s">
        <v>2337</v>
      </c>
      <c r="C904" s="11" t="s">
        <v>402</v>
      </c>
      <c r="D904" s="5" t="s">
        <v>58</v>
      </c>
      <c r="E904" s="5" t="s">
        <v>59</v>
      </c>
      <c r="F904" s="5"/>
      <c r="G904" s="22" t="n">
        <f aca="false">ROUND(SUM(I904:P904),3)</f>
        <v>65.766</v>
      </c>
      <c r="H904" s="5" t="str">
        <f aca="false">IF(G904&gt;=評分方法!$C$16,"優先評估",IF(G904&gt;=評分方法!$C$17,"列入候選",IF(G904&gt;=評分方法!$C$18,"特定情境","不建議")))</f>
        <v>特定情境</v>
      </c>
      <c r="I904" s="15" t="n">
        <f aca="false">AE904*評分方法!$C$5</f>
        <v>28.5</v>
      </c>
      <c r="J904" s="15" t="n">
        <f aca="false">AF904*評分方法!$C$6</f>
        <v>0</v>
      </c>
      <c r="K904" s="15" t="n">
        <f aca="false">AG904*評分方法!$C$7</f>
        <v>4.95</v>
      </c>
      <c r="L904" s="15" t="n">
        <f aca="false">AH904*評分方法!$C$8</f>
        <v>15</v>
      </c>
      <c r="M904" s="15" t="n">
        <f aca="false">AI904*評分方法!$C$9</f>
        <v>10</v>
      </c>
      <c r="N904" s="15" t="n">
        <f aca="false">AJ904*評分方法!$C$10</f>
        <v>4.816</v>
      </c>
      <c r="O904" s="15" t="n">
        <f aca="false">AK904*評分方法!$C$11</f>
        <v>2.5</v>
      </c>
      <c r="P904" s="15" t="n">
        <f aca="false">AL904*評分方法!$C$12</f>
        <v>0</v>
      </c>
      <c r="Q904" s="6" t="n">
        <v>524623</v>
      </c>
      <c r="R904" s="6" t="n">
        <v>107721987</v>
      </c>
      <c r="S904" s="11" t="s">
        <v>238</v>
      </c>
      <c r="T904" s="11" t="s">
        <v>239</v>
      </c>
      <c r="U904" s="5" t="s">
        <v>240</v>
      </c>
      <c r="V904" s="11" t="s">
        <v>261</v>
      </c>
      <c r="W904" s="5" t="s">
        <v>334</v>
      </c>
      <c r="X904" s="5" t="s">
        <v>242</v>
      </c>
      <c r="Y904" s="5"/>
      <c r="Z904" s="5"/>
      <c r="AA904" s="11" t="s">
        <v>150</v>
      </c>
      <c r="AB904" s="5" t="s">
        <v>245</v>
      </c>
      <c r="AC904" s="5"/>
      <c r="AD904" s="11" t="s">
        <v>2338</v>
      </c>
      <c r="AE904" s="23" t="n">
        <v>0.95</v>
      </c>
      <c r="AF904" s="23" t="n">
        <v>0</v>
      </c>
      <c r="AG904" s="23" t="n">
        <v>0.33</v>
      </c>
      <c r="AH904" s="23" t="n">
        <v>1</v>
      </c>
      <c r="AI904" s="23" t="n">
        <v>1</v>
      </c>
      <c r="AJ904" s="23" t="n">
        <v>0.4816</v>
      </c>
      <c r="AK904" s="23" t="n">
        <v>0.5</v>
      </c>
      <c r="AL904" s="23" t="n">
        <v>0</v>
      </c>
      <c r="AM904" s="16" t="n">
        <f aca="false">COUNTIFS($D$2:$D$2501,D904,$G$2:$G$2501,"&gt;"&amp;G904)+COUNTIFS($D$2:D904,D904,$G$2:G904,G904)</f>
        <v>215</v>
      </c>
      <c r="AN904" s="5" t="str">
        <f aca="false">D904&amp;"|"&amp;AM904</f>
        <v>實體擷取與去識別化|215</v>
      </c>
    </row>
    <row r="905" customFormat="false" ht="17.15" hidden="false" customHeight="false" outlineLevel="0" collapsed="false">
      <c r="A905" s="16" t="n">
        <f aca="false">RANK(G905,$G$2:$G$2501)+COUNTIF($G$2:G905,G905)-1</f>
        <v>904</v>
      </c>
      <c r="B905" s="11" t="s">
        <v>2339</v>
      </c>
      <c r="C905" s="11" t="s">
        <v>1374</v>
      </c>
      <c r="D905" s="5" t="s">
        <v>54</v>
      </c>
      <c r="E905" s="5" t="s">
        <v>55</v>
      </c>
      <c r="F905" s="5"/>
      <c r="G905" s="22" t="n">
        <f aca="false">ROUND(SUM(I905:P905),3)</f>
        <v>65.758</v>
      </c>
      <c r="H905" s="5" t="str">
        <f aca="false">IF(G905&gt;=評分方法!$C$16,"優先評估",IF(G905&gt;=評分方法!$C$17,"列入候選",IF(G905&gt;=評分方法!$C$18,"特定情境","不建議")))</f>
        <v>特定情境</v>
      </c>
      <c r="I905" s="15" t="n">
        <f aca="false">AE905*評分方法!$C$5</f>
        <v>27</v>
      </c>
      <c r="J905" s="15" t="n">
        <f aca="false">AF905*評分方法!$C$6</f>
        <v>0</v>
      </c>
      <c r="K905" s="15" t="n">
        <f aca="false">AG905*評分方法!$C$7</f>
        <v>10.05</v>
      </c>
      <c r="L905" s="15" t="n">
        <f aca="false">AH905*評分方法!$C$8</f>
        <v>15</v>
      </c>
      <c r="M905" s="15" t="n">
        <f aca="false">AI905*評分方法!$C$9</f>
        <v>10</v>
      </c>
      <c r="N905" s="15" t="n">
        <f aca="false">AJ905*評分方法!$C$10</f>
        <v>1.208</v>
      </c>
      <c r="O905" s="15" t="n">
        <f aca="false">AK905*評分方法!$C$11</f>
        <v>2.5</v>
      </c>
      <c r="P905" s="15" t="n">
        <f aca="false">AL905*評分方法!$C$12</f>
        <v>0</v>
      </c>
      <c r="Q905" s="6" t="n">
        <v>161033</v>
      </c>
      <c r="R905" s="6" t="n">
        <v>22713216</v>
      </c>
      <c r="S905" s="11" t="s">
        <v>238</v>
      </c>
      <c r="T905" s="11" t="s">
        <v>239</v>
      </c>
      <c r="U905" s="5" t="s">
        <v>240</v>
      </c>
      <c r="V905" s="11" t="s">
        <v>261</v>
      </c>
      <c r="W905" s="5" t="s">
        <v>207</v>
      </c>
      <c r="X905" s="5" t="s">
        <v>242</v>
      </c>
      <c r="Y905" s="5"/>
      <c r="Z905" s="5"/>
      <c r="AA905" s="11" t="s">
        <v>152</v>
      </c>
      <c r="AB905" s="5" t="s">
        <v>245</v>
      </c>
      <c r="AC905" s="5"/>
      <c r="AD905" s="11" t="s">
        <v>2340</v>
      </c>
      <c r="AE905" s="23" t="n">
        <v>0.9</v>
      </c>
      <c r="AF905" s="23" t="n">
        <v>0</v>
      </c>
      <c r="AG905" s="23" t="n">
        <v>0.67</v>
      </c>
      <c r="AH905" s="23" t="n">
        <v>1</v>
      </c>
      <c r="AI905" s="23" t="n">
        <v>1</v>
      </c>
      <c r="AJ905" s="23" t="n">
        <v>0.1208</v>
      </c>
      <c r="AK905" s="23" t="n">
        <v>0.5</v>
      </c>
      <c r="AL905" s="23" t="n">
        <v>0</v>
      </c>
      <c r="AM905" s="16" t="n">
        <f aca="false">COUNTIFS($D$2:$D$2501,D905,$G$2:$G$2501,"&gt;"&amp;G905)+COUNTIFS($D$2:D905,D905,$G$2:G905,G905)</f>
        <v>146</v>
      </c>
      <c r="AN905" s="5" t="str">
        <f aca="false">D905&amp;"|"&amp;AM905</f>
        <v>檢索與情資關聯|146</v>
      </c>
    </row>
    <row r="906" customFormat="false" ht="17.15" hidden="false" customHeight="false" outlineLevel="0" collapsed="false">
      <c r="A906" s="16" t="n">
        <f aca="false">RANK(G906,$G$2:$G$2501)+COUNTIF($G$2:G906,G906)-1</f>
        <v>905</v>
      </c>
      <c r="B906" s="11" t="s">
        <v>2341</v>
      </c>
      <c r="C906" s="11" t="s">
        <v>402</v>
      </c>
      <c r="D906" s="5" t="s">
        <v>58</v>
      </c>
      <c r="E906" s="5" t="s">
        <v>59</v>
      </c>
      <c r="F906" s="5"/>
      <c r="G906" s="22" t="n">
        <f aca="false">ROUND(SUM(I906:P906),3)</f>
        <v>65.75</v>
      </c>
      <c r="H906" s="5" t="str">
        <f aca="false">IF(G906&gt;=評分方法!$C$16,"優先評估",IF(G906&gt;=評分方法!$C$17,"列入候選",IF(G906&gt;=評分方法!$C$18,"特定情境","不建議")))</f>
        <v>特定情境</v>
      </c>
      <c r="I906" s="15" t="n">
        <f aca="false">AE906*評分方法!$C$5</f>
        <v>28.5</v>
      </c>
      <c r="J906" s="15" t="n">
        <f aca="false">AF906*評分方法!$C$6</f>
        <v>0</v>
      </c>
      <c r="K906" s="15" t="n">
        <f aca="false">AG906*評分方法!$C$7</f>
        <v>4.95</v>
      </c>
      <c r="L906" s="15" t="n">
        <f aca="false">AH906*評分方法!$C$8</f>
        <v>15</v>
      </c>
      <c r="M906" s="15" t="n">
        <f aca="false">AI906*評分方法!$C$9</f>
        <v>10</v>
      </c>
      <c r="N906" s="15" t="n">
        <f aca="false">AJ906*評分方法!$C$10</f>
        <v>4.8</v>
      </c>
      <c r="O906" s="15" t="n">
        <f aca="false">AK906*評分方法!$C$11</f>
        <v>2.5</v>
      </c>
      <c r="P906" s="15" t="n">
        <f aca="false">AL906*評分方法!$C$12</f>
        <v>0</v>
      </c>
      <c r="Q906" s="6" t="n">
        <v>523018</v>
      </c>
      <c r="R906" s="6" t="n">
        <v>334095363</v>
      </c>
      <c r="S906" s="11" t="s">
        <v>238</v>
      </c>
      <c r="T906" s="11" t="s">
        <v>239</v>
      </c>
      <c r="U906" s="5" t="s">
        <v>240</v>
      </c>
      <c r="V906" s="11" t="s">
        <v>261</v>
      </c>
      <c r="W906" s="5" t="s">
        <v>334</v>
      </c>
      <c r="X906" s="5" t="s">
        <v>242</v>
      </c>
      <c r="Y906" s="5"/>
      <c r="Z906" s="5"/>
      <c r="AA906" s="11" t="s">
        <v>150</v>
      </c>
      <c r="AB906" s="5" t="s">
        <v>245</v>
      </c>
      <c r="AC906" s="5"/>
      <c r="AD906" s="11" t="s">
        <v>2342</v>
      </c>
      <c r="AE906" s="23" t="n">
        <v>0.95</v>
      </c>
      <c r="AF906" s="23" t="n">
        <v>0</v>
      </c>
      <c r="AG906" s="23" t="n">
        <v>0.33</v>
      </c>
      <c r="AH906" s="23" t="n">
        <v>1</v>
      </c>
      <c r="AI906" s="23" t="n">
        <v>1</v>
      </c>
      <c r="AJ906" s="23" t="n">
        <v>0.48</v>
      </c>
      <c r="AK906" s="23" t="n">
        <v>0.5</v>
      </c>
      <c r="AL906" s="23" t="n">
        <v>0</v>
      </c>
      <c r="AM906" s="16" t="n">
        <f aca="false">COUNTIFS($D$2:$D$2501,D906,$G$2:$G$2501,"&gt;"&amp;G906)+COUNTIFS($D$2:D906,D906,$G$2:G906,G906)</f>
        <v>216</v>
      </c>
      <c r="AN906" s="5" t="str">
        <f aca="false">D906&amp;"|"&amp;AM906</f>
        <v>實體擷取與去識別化|216</v>
      </c>
    </row>
    <row r="907" customFormat="false" ht="17.15" hidden="false" customHeight="false" outlineLevel="0" collapsed="false">
      <c r="A907" s="16" t="n">
        <f aca="false">RANK(G907,$G$2:$G$2501)+COUNTIF($G$2:G907,G907)-1</f>
        <v>906</v>
      </c>
      <c r="B907" s="11" t="s">
        <v>2343</v>
      </c>
      <c r="C907" s="11" t="s">
        <v>753</v>
      </c>
      <c r="D907" s="5" t="s">
        <v>56</v>
      </c>
      <c r="E907" s="5" t="s">
        <v>57</v>
      </c>
      <c r="F907" s="5"/>
      <c r="G907" s="22" t="n">
        <f aca="false">ROUND(SUM(I907:P907),3)</f>
        <v>65.748</v>
      </c>
      <c r="H907" s="5" t="str">
        <f aca="false">IF(G907&gt;=評分方法!$C$16,"優先評估",IF(G907&gt;=評分方法!$C$17,"列入候選",IF(G907&gt;=評分方法!$C$18,"特定情境","不建議")))</f>
        <v>特定情境</v>
      </c>
      <c r="I907" s="15" t="n">
        <f aca="false">AE907*評分方法!$C$5</f>
        <v>25.5</v>
      </c>
      <c r="J907" s="15" t="n">
        <f aca="false">AF907*評分方法!$C$6</f>
        <v>0</v>
      </c>
      <c r="K907" s="15" t="n">
        <f aca="false">AG907*評分方法!$C$7</f>
        <v>10.05</v>
      </c>
      <c r="L907" s="15" t="n">
        <f aca="false">AH907*評分方法!$C$8</f>
        <v>13.05</v>
      </c>
      <c r="M907" s="15" t="n">
        <f aca="false">AI907*評分方法!$C$9</f>
        <v>6</v>
      </c>
      <c r="N907" s="15" t="n">
        <f aca="false">AJ907*評分方法!$C$10</f>
        <v>1.148</v>
      </c>
      <c r="O907" s="15" t="n">
        <f aca="false">AK907*評分方法!$C$11</f>
        <v>5</v>
      </c>
      <c r="P907" s="15" t="n">
        <f aca="false">AL907*評分方法!$C$12</f>
        <v>5</v>
      </c>
      <c r="Q907" s="6" t="n">
        <v>159327</v>
      </c>
      <c r="R907" s="6" t="n">
        <v>8467856832</v>
      </c>
      <c r="S907" s="11" t="s">
        <v>254</v>
      </c>
      <c r="T907" s="11" t="s">
        <v>185</v>
      </c>
      <c r="U907" s="5" t="s">
        <v>260</v>
      </c>
      <c r="V907" s="11" t="s">
        <v>333</v>
      </c>
      <c r="W907" s="5" t="s">
        <v>207</v>
      </c>
      <c r="X907" s="5" t="s">
        <v>284</v>
      </c>
      <c r="Y907" s="11" t="s">
        <v>606</v>
      </c>
      <c r="Z907" s="11" t="s">
        <v>244</v>
      </c>
      <c r="AA907" s="11" t="s">
        <v>155</v>
      </c>
      <c r="AB907" s="5" t="s">
        <v>245</v>
      </c>
      <c r="AC907" s="5" t="s">
        <v>464</v>
      </c>
      <c r="AD907" s="11" t="s">
        <v>2344</v>
      </c>
      <c r="AE907" s="23" t="n">
        <v>0.85</v>
      </c>
      <c r="AF907" s="23" t="n">
        <v>0</v>
      </c>
      <c r="AG907" s="23" t="n">
        <v>0.67</v>
      </c>
      <c r="AH907" s="23" t="n">
        <v>0.87</v>
      </c>
      <c r="AI907" s="23" t="n">
        <v>0.6</v>
      </c>
      <c r="AJ907" s="23" t="n">
        <v>0.1148</v>
      </c>
      <c r="AK907" s="23" t="n">
        <v>1</v>
      </c>
      <c r="AL907" s="23" t="n">
        <v>1</v>
      </c>
      <c r="AM907" s="16" t="n">
        <f aca="false">COUNTIFS($D$2:$D$2501,D907,$G$2:$G$2501,"&gt;"&amp;G907)+COUNTIFS($D$2:D907,D907,$G$2:G907,G907)</f>
        <v>412</v>
      </c>
      <c r="AN907" s="5" t="str">
        <f aca="false">D907&amp;"|"&amp;AM907</f>
        <v>分析與報告生成|412</v>
      </c>
    </row>
    <row r="908" customFormat="false" ht="17.15" hidden="false" customHeight="false" outlineLevel="0" collapsed="false">
      <c r="A908" s="16" t="n">
        <f aca="false">RANK(G908,$G$2:$G$2501)+COUNTIF($G$2:G908,G908)-1</f>
        <v>907</v>
      </c>
      <c r="B908" s="11" t="s">
        <v>2345</v>
      </c>
      <c r="C908" s="11" t="s">
        <v>402</v>
      </c>
      <c r="D908" s="5" t="s">
        <v>58</v>
      </c>
      <c r="E908" s="5" t="s">
        <v>59</v>
      </c>
      <c r="F908" s="5"/>
      <c r="G908" s="22" t="n">
        <f aca="false">ROUND(SUM(I908:P908),3)</f>
        <v>65.742</v>
      </c>
      <c r="H908" s="5" t="str">
        <f aca="false">IF(G908&gt;=評分方法!$C$16,"優先評估",IF(G908&gt;=評分方法!$C$17,"列入候選",IF(G908&gt;=評分方法!$C$18,"特定情境","不建議")))</f>
        <v>特定情境</v>
      </c>
      <c r="I908" s="15" t="n">
        <f aca="false">AE908*評分方法!$C$5</f>
        <v>28.5</v>
      </c>
      <c r="J908" s="15" t="n">
        <f aca="false">AF908*評分方法!$C$6</f>
        <v>0</v>
      </c>
      <c r="K908" s="15" t="n">
        <f aca="false">AG908*評分方法!$C$7</f>
        <v>4.95</v>
      </c>
      <c r="L908" s="15" t="n">
        <f aca="false">AH908*評分方法!$C$8</f>
        <v>15</v>
      </c>
      <c r="M908" s="15" t="n">
        <f aca="false">AI908*評分方法!$C$9</f>
        <v>10</v>
      </c>
      <c r="N908" s="15" t="n">
        <f aca="false">AJ908*評分方法!$C$10</f>
        <v>4.792</v>
      </c>
      <c r="O908" s="15" t="n">
        <f aca="false">AK908*評分方法!$C$11</f>
        <v>2.5</v>
      </c>
      <c r="P908" s="15" t="n">
        <f aca="false">AL908*評分方法!$C$12</f>
        <v>0</v>
      </c>
      <c r="Q908" s="6" t="n">
        <v>522678</v>
      </c>
      <c r="R908" s="6" t="n">
        <v>108893955</v>
      </c>
      <c r="S908" s="11" t="s">
        <v>238</v>
      </c>
      <c r="T908" s="11" t="s">
        <v>239</v>
      </c>
      <c r="U908" s="5" t="s">
        <v>240</v>
      </c>
      <c r="V908" s="11" t="s">
        <v>261</v>
      </c>
      <c r="W908" s="5" t="s">
        <v>334</v>
      </c>
      <c r="X908" s="5" t="s">
        <v>242</v>
      </c>
      <c r="Y908" s="5"/>
      <c r="Z908" s="5"/>
      <c r="AA908" s="11" t="s">
        <v>150</v>
      </c>
      <c r="AB908" s="5" t="s">
        <v>245</v>
      </c>
      <c r="AC908" s="5"/>
      <c r="AD908" s="11" t="s">
        <v>2346</v>
      </c>
      <c r="AE908" s="23" t="n">
        <v>0.95</v>
      </c>
      <c r="AF908" s="23" t="n">
        <v>0</v>
      </c>
      <c r="AG908" s="23" t="n">
        <v>0.33</v>
      </c>
      <c r="AH908" s="23" t="n">
        <v>1</v>
      </c>
      <c r="AI908" s="23" t="n">
        <v>1</v>
      </c>
      <c r="AJ908" s="23" t="n">
        <v>0.4792</v>
      </c>
      <c r="AK908" s="23" t="n">
        <v>0.5</v>
      </c>
      <c r="AL908" s="23" t="n">
        <v>0</v>
      </c>
      <c r="AM908" s="16" t="n">
        <f aca="false">COUNTIFS($D$2:$D$2501,D908,$G$2:$G$2501,"&gt;"&amp;G908)+COUNTIFS($D$2:D908,D908,$G$2:G908,G908)</f>
        <v>217</v>
      </c>
      <c r="AN908" s="5" t="str">
        <f aca="false">D908&amp;"|"&amp;AM908</f>
        <v>實體擷取與去識別化|217</v>
      </c>
    </row>
    <row r="909" customFormat="false" ht="17.15" hidden="false" customHeight="false" outlineLevel="0" collapsed="false">
      <c r="A909" s="16" t="n">
        <f aca="false">RANK(G909,$G$2:$G$2501)+COUNTIF($G$2:G909,G909)-1</f>
        <v>908</v>
      </c>
      <c r="B909" s="11" t="s">
        <v>2347</v>
      </c>
      <c r="C909" s="11" t="s">
        <v>402</v>
      </c>
      <c r="D909" s="5" t="s">
        <v>58</v>
      </c>
      <c r="E909" s="5" t="s">
        <v>59</v>
      </c>
      <c r="F909" s="5"/>
      <c r="G909" s="22" t="n">
        <f aca="false">ROUND(SUM(I909:P909),3)</f>
        <v>65.738</v>
      </c>
      <c r="H909" s="5" t="str">
        <f aca="false">IF(G909&gt;=評分方法!$C$16,"優先評估",IF(G909&gt;=評分方法!$C$17,"列入候選",IF(G909&gt;=評分方法!$C$18,"特定情境","不建議")))</f>
        <v>特定情境</v>
      </c>
      <c r="I909" s="15" t="n">
        <f aca="false">AE909*評分方法!$C$5</f>
        <v>28.5</v>
      </c>
      <c r="J909" s="15" t="n">
        <f aca="false">AF909*評分方法!$C$6</f>
        <v>0</v>
      </c>
      <c r="K909" s="15" t="n">
        <f aca="false">AG909*評分方法!$C$7</f>
        <v>4.95</v>
      </c>
      <c r="L909" s="15" t="n">
        <f aca="false">AH909*評分方法!$C$8</f>
        <v>15</v>
      </c>
      <c r="M909" s="15" t="n">
        <f aca="false">AI909*評分方法!$C$9</f>
        <v>10</v>
      </c>
      <c r="N909" s="15" t="n">
        <f aca="false">AJ909*評分方法!$C$10</f>
        <v>4.788</v>
      </c>
      <c r="O909" s="15" t="n">
        <f aca="false">AK909*評分方法!$C$11</f>
        <v>2.5</v>
      </c>
      <c r="P909" s="15" t="n">
        <f aca="false">AL909*評分方法!$C$12</f>
        <v>0</v>
      </c>
      <c r="Q909" s="6" t="n">
        <v>522562</v>
      </c>
      <c r="R909" s="6" t="n">
        <v>141329697</v>
      </c>
      <c r="S909" s="11" t="s">
        <v>238</v>
      </c>
      <c r="T909" s="11" t="s">
        <v>239</v>
      </c>
      <c r="U909" s="5" t="s">
        <v>240</v>
      </c>
      <c r="V909" s="11" t="s">
        <v>261</v>
      </c>
      <c r="W909" s="5" t="s">
        <v>334</v>
      </c>
      <c r="X909" s="5" t="s">
        <v>242</v>
      </c>
      <c r="Y909" s="5"/>
      <c r="Z909" s="5"/>
      <c r="AA909" s="11" t="s">
        <v>150</v>
      </c>
      <c r="AB909" s="5" t="s">
        <v>245</v>
      </c>
      <c r="AC909" s="5"/>
      <c r="AD909" s="11" t="s">
        <v>2348</v>
      </c>
      <c r="AE909" s="23" t="n">
        <v>0.95</v>
      </c>
      <c r="AF909" s="23" t="n">
        <v>0</v>
      </c>
      <c r="AG909" s="23" t="n">
        <v>0.33</v>
      </c>
      <c r="AH909" s="23" t="n">
        <v>1</v>
      </c>
      <c r="AI909" s="23" t="n">
        <v>1</v>
      </c>
      <c r="AJ909" s="23" t="n">
        <v>0.4788</v>
      </c>
      <c r="AK909" s="23" t="n">
        <v>0.5</v>
      </c>
      <c r="AL909" s="23" t="n">
        <v>0</v>
      </c>
      <c r="AM909" s="16" t="n">
        <f aca="false">COUNTIFS($D$2:$D$2501,D909,$G$2:$G$2501,"&gt;"&amp;G909)+COUNTIFS($D$2:D909,D909,$G$2:G909,G909)</f>
        <v>218</v>
      </c>
      <c r="AN909" s="5" t="str">
        <f aca="false">D909&amp;"|"&amp;AM909</f>
        <v>實體擷取與去識別化|218</v>
      </c>
    </row>
    <row r="910" customFormat="false" ht="17.15" hidden="false" customHeight="false" outlineLevel="0" collapsed="false">
      <c r="A910" s="16" t="n">
        <f aca="false">RANK(G910,$G$2:$G$2501)+COUNTIF($G$2:G910,G910)-1</f>
        <v>909</v>
      </c>
      <c r="B910" s="11" t="s">
        <v>2349</v>
      </c>
      <c r="C910" s="11" t="s">
        <v>402</v>
      </c>
      <c r="D910" s="5" t="s">
        <v>58</v>
      </c>
      <c r="E910" s="5" t="s">
        <v>59</v>
      </c>
      <c r="F910" s="5"/>
      <c r="G910" s="22" t="n">
        <f aca="false">ROUND(SUM(I910:P910),3)</f>
        <v>65.73</v>
      </c>
      <c r="H910" s="5" t="str">
        <f aca="false">IF(G910&gt;=評分方法!$C$16,"優先評估",IF(G910&gt;=評分方法!$C$17,"列入候選",IF(G910&gt;=評分方法!$C$18,"特定情境","不建議")))</f>
        <v>特定情境</v>
      </c>
      <c r="I910" s="15" t="n">
        <f aca="false">AE910*評分方法!$C$5</f>
        <v>28.5</v>
      </c>
      <c r="J910" s="15" t="n">
        <f aca="false">AF910*評分方法!$C$6</f>
        <v>0</v>
      </c>
      <c r="K910" s="15" t="n">
        <f aca="false">AG910*評分方法!$C$7</f>
        <v>4.95</v>
      </c>
      <c r="L910" s="15" t="n">
        <f aca="false">AH910*評分方法!$C$8</f>
        <v>15</v>
      </c>
      <c r="M910" s="15" t="n">
        <f aca="false">AI910*評分方法!$C$9</f>
        <v>10</v>
      </c>
      <c r="N910" s="15" t="n">
        <f aca="false">AJ910*評分方法!$C$10</f>
        <v>4.78</v>
      </c>
      <c r="O910" s="15" t="n">
        <f aca="false">AK910*評分方法!$C$11</f>
        <v>2.5</v>
      </c>
      <c r="P910" s="15" t="n">
        <f aca="false">AL910*評分方法!$C$12</f>
        <v>0</v>
      </c>
      <c r="Q910" s="6" t="n">
        <v>522073</v>
      </c>
      <c r="R910" s="6" t="n">
        <v>149607171</v>
      </c>
      <c r="S910" s="11" t="s">
        <v>238</v>
      </c>
      <c r="T910" s="11" t="s">
        <v>239</v>
      </c>
      <c r="U910" s="5" t="s">
        <v>240</v>
      </c>
      <c r="V910" s="11" t="s">
        <v>261</v>
      </c>
      <c r="W910" s="5" t="s">
        <v>334</v>
      </c>
      <c r="X910" s="5" t="s">
        <v>242</v>
      </c>
      <c r="Y910" s="5"/>
      <c r="Z910" s="5"/>
      <c r="AA910" s="11" t="s">
        <v>150</v>
      </c>
      <c r="AB910" s="5" t="s">
        <v>245</v>
      </c>
      <c r="AC910" s="5"/>
      <c r="AD910" s="11" t="s">
        <v>2350</v>
      </c>
      <c r="AE910" s="23" t="n">
        <v>0.95</v>
      </c>
      <c r="AF910" s="23" t="n">
        <v>0</v>
      </c>
      <c r="AG910" s="23" t="n">
        <v>0.33</v>
      </c>
      <c r="AH910" s="23" t="n">
        <v>1</v>
      </c>
      <c r="AI910" s="23" t="n">
        <v>1</v>
      </c>
      <c r="AJ910" s="23" t="n">
        <v>0.478</v>
      </c>
      <c r="AK910" s="23" t="n">
        <v>0.5</v>
      </c>
      <c r="AL910" s="23" t="n">
        <v>0</v>
      </c>
      <c r="AM910" s="16" t="n">
        <f aca="false">COUNTIFS($D$2:$D$2501,D910,$G$2:$G$2501,"&gt;"&amp;G910)+COUNTIFS($D$2:D910,D910,$G$2:G910,G910)</f>
        <v>219</v>
      </c>
      <c r="AN910" s="5" t="str">
        <f aca="false">D910&amp;"|"&amp;AM910</f>
        <v>實體擷取與去識別化|219</v>
      </c>
    </row>
    <row r="911" customFormat="false" ht="17.15" hidden="false" customHeight="false" outlineLevel="0" collapsed="false">
      <c r="A911" s="16" t="n">
        <f aca="false">RANK(G911,$G$2:$G$2501)+COUNTIF($G$2:G911,G911)-1</f>
        <v>910</v>
      </c>
      <c r="B911" s="11" t="s">
        <v>1003</v>
      </c>
      <c r="C911" s="11" t="s">
        <v>368</v>
      </c>
      <c r="D911" s="5" t="s">
        <v>56</v>
      </c>
      <c r="E911" s="5" t="s">
        <v>57</v>
      </c>
      <c r="F911" s="5"/>
      <c r="G911" s="22" t="n">
        <f aca="false">ROUND(SUM(I911:P911),3)</f>
        <v>65.73</v>
      </c>
      <c r="H911" s="5" t="str">
        <f aca="false">IF(G911&gt;=評分方法!$C$16,"優先評估",IF(G911&gt;=評分方法!$C$17,"列入候選",IF(G911&gt;=評分方法!$C$18,"特定情境","不建議")))</f>
        <v>特定情境</v>
      </c>
      <c r="I911" s="15" t="n">
        <f aca="false">AE911*評分方法!$C$5</f>
        <v>25.5</v>
      </c>
      <c r="J911" s="15" t="n">
        <f aca="false">AF911*評分方法!$C$6</f>
        <v>0</v>
      </c>
      <c r="K911" s="15" t="n">
        <f aca="false">AG911*評分方法!$C$7</f>
        <v>15</v>
      </c>
      <c r="L911" s="15" t="n">
        <f aca="false">AH911*評分方法!$C$8</f>
        <v>13.05</v>
      </c>
      <c r="M911" s="15" t="n">
        <f aca="false">AI911*評分方法!$C$9</f>
        <v>6</v>
      </c>
      <c r="N911" s="15" t="n">
        <f aca="false">AJ911*評分方法!$C$10</f>
        <v>0.68</v>
      </c>
      <c r="O911" s="15" t="n">
        <f aca="false">AK911*評分方法!$C$11</f>
        <v>2.5</v>
      </c>
      <c r="P911" s="15" t="n">
        <f aca="false">AL911*評分方法!$C$12</f>
        <v>3</v>
      </c>
      <c r="Q911" s="6" t="n">
        <v>141438</v>
      </c>
      <c r="R911" s="6" t="n">
        <v>7849978192</v>
      </c>
      <c r="S911" s="11" t="s">
        <v>254</v>
      </c>
      <c r="T911" s="11" t="s">
        <v>658</v>
      </c>
      <c r="U911" s="5" t="s">
        <v>260</v>
      </c>
      <c r="V911" s="11" t="s">
        <v>261</v>
      </c>
      <c r="W911" s="5" t="s">
        <v>205</v>
      </c>
      <c r="X911" s="5" t="s">
        <v>371</v>
      </c>
      <c r="Y911" s="11" t="s">
        <v>2351</v>
      </c>
      <c r="Z911" s="11" t="s">
        <v>270</v>
      </c>
      <c r="AA911" s="11" t="s">
        <v>156</v>
      </c>
      <c r="AB911" s="5" t="s">
        <v>245</v>
      </c>
      <c r="AC911" s="5" t="s">
        <v>262</v>
      </c>
      <c r="AD911" s="11" t="s">
        <v>2352</v>
      </c>
      <c r="AE911" s="23" t="n">
        <v>0.85</v>
      </c>
      <c r="AF911" s="23" t="n">
        <v>0</v>
      </c>
      <c r="AG911" s="23" t="n">
        <v>1</v>
      </c>
      <c r="AH911" s="23" t="n">
        <v>0.87</v>
      </c>
      <c r="AI911" s="23" t="n">
        <v>0.6</v>
      </c>
      <c r="AJ911" s="23" t="n">
        <v>0.068</v>
      </c>
      <c r="AK911" s="23" t="n">
        <v>0.5</v>
      </c>
      <c r="AL911" s="23" t="n">
        <v>0.6</v>
      </c>
      <c r="AM911" s="16" t="n">
        <f aca="false">COUNTIFS($D$2:$D$2501,D911,$G$2:$G$2501,"&gt;"&amp;G911)+COUNTIFS($D$2:D911,D911,$G$2:G911,G911)</f>
        <v>413</v>
      </c>
      <c r="AN911" s="5" t="str">
        <f aca="false">D911&amp;"|"&amp;AM911</f>
        <v>分析與報告生成|413</v>
      </c>
    </row>
    <row r="912" customFormat="false" ht="17.15" hidden="false" customHeight="false" outlineLevel="0" collapsed="false">
      <c r="A912" s="16" t="n">
        <f aca="false">RANK(G912,$G$2:$G$2501)+COUNTIF($G$2:G912,G912)-1</f>
        <v>911</v>
      </c>
      <c r="B912" s="11" t="s">
        <v>2353</v>
      </c>
      <c r="C912" s="11" t="s">
        <v>681</v>
      </c>
      <c r="D912" s="5" t="s">
        <v>72</v>
      </c>
      <c r="E912" s="5" t="s">
        <v>73</v>
      </c>
      <c r="F912" s="5"/>
      <c r="G912" s="22" t="n">
        <f aca="false">ROUND(SUM(I912:P912),3)</f>
        <v>65.728</v>
      </c>
      <c r="H912" s="5" t="str">
        <f aca="false">IF(G912&gt;=評分方法!$C$16,"優先評估",IF(G912&gt;=評分方法!$C$17,"列入候選",IF(G912&gt;=評分方法!$C$18,"特定情境","不建議")))</f>
        <v>特定情境</v>
      </c>
      <c r="I912" s="15" t="n">
        <f aca="false">AE912*評分方法!$C$5</f>
        <v>15</v>
      </c>
      <c r="J912" s="15" t="n">
        <f aca="false">AF912*評分方法!$C$6</f>
        <v>0</v>
      </c>
      <c r="K912" s="15" t="n">
        <f aca="false">AG912*評分方法!$C$7</f>
        <v>15</v>
      </c>
      <c r="L912" s="15" t="n">
        <f aca="false">AH912*評分方法!$C$8</f>
        <v>15</v>
      </c>
      <c r="M912" s="15" t="n">
        <f aca="false">AI912*評分方法!$C$9</f>
        <v>10</v>
      </c>
      <c r="N912" s="15" t="n">
        <f aca="false">AJ912*評分方法!$C$10</f>
        <v>8.228</v>
      </c>
      <c r="O912" s="15" t="n">
        <f aca="false">AK912*評分方法!$C$11</f>
        <v>1</v>
      </c>
      <c r="P912" s="15" t="n">
        <f aca="false">AL912*評分方法!$C$12</f>
        <v>1.5</v>
      </c>
      <c r="Q912" s="6" t="n">
        <v>1839667</v>
      </c>
      <c r="R912" s="6" t="n">
        <v>148798300</v>
      </c>
      <c r="S912" s="11" t="s">
        <v>238</v>
      </c>
      <c r="T912" s="11" t="s">
        <v>278</v>
      </c>
      <c r="U912" s="5" t="s">
        <v>240</v>
      </c>
      <c r="V912" s="11" t="s">
        <v>855</v>
      </c>
      <c r="W912" s="5" t="s">
        <v>205</v>
      </c>
      <c r="X912" s="5" t="s">
        <v>255</v>
      </c>
      <c r="Y912" s="5"/>
      <c r="Z912" s="5"/>
      <c r="AA912" s="11" t="s">
        <v>162</v>
      </c>
      <c r="AB912" s="5" t="s">
        <v>245</v>
      </c>
      <c r="AC912" s="5"/>
      <c r="AD912" s="11" t="s">
        <v>2354</v>
      </c>
      <c r="AE912" s="23" t="n">
        <v>0.5</v>
      </c>
      <c r="AF912" s="23" t="n">
        <v>0</v>
      </c>
      <c r="AG912" s="23" t="n">
        <v>1</v>
      </c>
      <c r="AH912" s="23" t="n">
        <v>1</v>
      </c>
      <c r="AI912" s="23" t="n">
        <v>1</v>
      </c>
      <c r="AJ912" s="23" t="n">
        <v>0.8228</v>
      </c>
      <c r="AK912" s="23" t="n">
        <v>0.2</v>
      </c>
      <c r="AL912" s="23" t="n">
        <v>0.3</v>
      </c>
      <c r="AM912" s="16" t="n">
        <f aca="false">COUNTIFS($D$2:$D$2501,D912,$G$2:$G$2501,"&gt;"&amp;G912)+COUNTIFS($D$2:D912,D912,$G$2:G912,G912)</f>
        <v>18</v>
      </c>
      <c r="AN912" s="5" t="str">
        <f aca="false">D912&amp;"|"&amp;AM912</f>
        <v>微調基底模型|18</v>
      </c>
    </row>
    <row r="913" customFormat="false" ht="17.15" hidden="false" customHeight="false" outlineLevel="0" collapsed="false">
      <c r="A913" s="16" t="n">
        <f aca="false">RANK(G913,$G$2:$G$2501)+COUNTIF($G$2:G913,G913)-1</f>
        <v>912</v>
      </c>
      <c r="B913" s="11" t="s">
        <v>2355</v>
      </c>
      <c r="C913" s="11" t="s">
        <v>402</v>
      </c>
      <c r="D913" s="5" t="s">
        <v>58</v>
      </c>
      <c r="E913" s="5" t="s">
        <v>59</v>
      </c>
      <c r="F913" s="5"/>
      <c r="G913" s="22" t="n">
        <f aca="false">ROUND(SUM(I913:P913),3)</f>
        <v>65.722</v>
      </c>
      <c r="H913" s="5" t="str">
        <f aca="false">IF(G913&gt;=評分方法!$C$16,"優先評估",IF(G913&gt;=評分方法!$C$17,"列入候選",IF(G913&gt;=評分方法!$C$18,"特定情境","不建議")))</f>
        <v>特定情境</v>
      </c>
      <c r="I913" s="15" t="n">
        <f aca="false">AE913*評分方法!$C$5</f>
        <v>28.5</v>
      </c>
      <c r="J913" s="15" t="n">
        <f aca="false">AF913*評分方法!$C$6</f>
        <v>0</v>
      </c>
      <c r="K913" s="15" t="n">
        <f aca="false">AG913*評分方法!$C$7</f>
        <v>4.95</v>
      </c>
      <c r="L913" s="15" t="n">
        <f aca="false">AH913*評分方法!$C$8</f>
        <v>15</v>
      </c>
      <c r="M913" s="15" t="n">
        <f aca="false">AI913*評分方法!$C$9</f>
        <v>10</v>
      </c>
      <c r="N913" s="15" t="n">
        <f aca="false">AJ913*評分方法!$C$10</f>
        <v>4.772</v>
      </c>
      <c r="O913" s="15" t="n">
        <f aca="false">AK913*評分方法!$C$11</f>
        <v>2.5</v>
      </c>
      <c r="P913" s="15" t="n">
        <f aca="false">AL913*評分方法!$C$12</f>
        <v>0</v>
      </c>
      <c r="Q913" s="6" t="n">
        <v>521299</v>
      </c>
      <c r="R913" s="6" t="n">
        <v>141306627</v>
      </c>
      <c r="S913" s="11" t="s">
        <v>238</v>
      </c>
      <c r="T913" s="11" t="s">
        <v>239</v>
      </c>
      <c r="U913" s="5" t="s">
        <v>240</v>
      </c>
      <c r="V913" s="11" t="s">
        <v>261</v>
      </c>
      <c r="W913" s="5" t="s">
        <v>334</v>
      </c>
      <c r="X913" s="5" t="s">
        <v>242</v>
      </c>
      <c r="Y913" s="5"/>
      <c r="Z913" s="5"/>
      <c r="AA913" s="11" t="s">
        <v>150</v>
      </c>
      <c r="AB913" s="5" t="s">
        <v>245</v>
      </c>
      <c r="AC913" s="5"/>
      <c r="AD913" s="11" t="s">
        <v>2356</v>
      </c>
      <c r="AE913" s="23" t="n">
        <v>0.95</v>
      </c>
      <c r="AF913" s="23" t="n">
        <v>0</v>
      </c>
      <c r="AG913" s="23" t="n">
        <v>0.33</v>
      </c>
      <c r="AH913" s="23" t="n">
        <v>1</v>
      </c>
      <c r="AI913" s="23" t="n">
        <v>1</v>
      </c>
      <c r="AJ913" s="23" t="n">
        <v>0.4772</v>
      </c>
      <c r="AK913" s="23" t="n">
        <v>0.5</v>
      </c>
      <c r="AL913" s="23" t="n">
        <v>0</v>
      </c>
      <c r="AM913" s="16" t="n">
        <f aca="false">COUNTIFS($D$2:$D$2501,D913,$G$2:$G$2501,"&gt;"&amp;G913)+COUNTIFS($D$2:D913,D913,$G$2:G913,G913)</f>
        <v>220</v>
      </c>
      <c r="AN913" s="5" t="str">
        <f aca="false">D913&amp;"|"&amp;AM913</f>
        <v>實體擷取與去識別化|220</v>
      </c>
    </row>
    <row r="914" customFormat="false" ht="17.15" hidden="false" customHeight="false" outlineLevel="0" collapsed="false">
      <c r="A914" s="16" t="n">
        <f aca="false">RANK(G914,$G$2:$G$2501)+COUNTIF($G$2:G914,G914)-1</f>
        <v>913</v>
      </c>
      <c r="B914" s="11" t="s">
        <v>2357</v>
      </c>
      <c r="C914" s="11" t="s">
        <v>402</v>
      </c>
      <c r="D914" s="5" t="s">
        <v>58</v>
      </c>
      <c r="E914" s="5" t="s">
        <v>59</v>
      </c>
      <c r="F914" s="5"/>
      <c r="G914" s="22" t="n">
        <f aca="false">ROUND(SUM(I914:P914),3)</f>
        <v>65.71</v>
      </c>
      <c r="H914" s="5" t="str">
        <f aca="false">IF(G914&gt;=評分方法!$C$16,"優先評估",IF(G914&gt;=評分方法!$C$17,"列入候選",IF(G914&gt;=評分方法!$C$18,"特定情境","不建議")))</f>
        <v>特定情境</v>
      </c>
      <c r="I914" s="15" t="n">
        <f aca="false">AE914*評分方法!$C$5</f>
        <v>28.5</v>
      </c>
      <c r="J914" s="15" t="n">
        <f aca="false">AF914*評分方法!$C$6</f>
        <v>0</v>
      </c>
      <c r="K914" s="15" t="n">
        <f aca="false">AG914*評分方法!$C$7</f>
        <v>4.95</v>
      </c>
      <c r="L914" s="15" t="n">
        <f aca="false">AH914*評分方法!$C$8</f>
        <v>15</v>
      </c>
      <c r="M914" s="15" t="n">
        <f aca="false">AI914*評分方法!$C$9</f>
        <v>10</v>
      </c>
      <c r="N914" s="15" t="n">
        <f aca="false">AJ914*評分方法!$C$10</f>
        <v>4.76</v>
      </c>
      <c r="O914" s="15" t="n">
        <f aca="false">AK914*評分方法!$C$11</f>
        <v>2.5</v>
      </c>
      <c r="P914" s="15" t="n">
        <f aca="false">AL914*評分方法!$C$12</f>
        <v>0</v>
      </c>
      <c r="Q914" s="6" t="n">
        <v>518827</v>
      </c>
      <c r="R914" s="6" t="n">
        <v>183833859</v>
      </c>
      <c r="S914" s="11" t="s">
        <v>238</v>
      </c>
      <c r="T914" s="11" t="s">
        <v>239</v>
      </c>
      <c r="U914" s="5" t="s">
        <v>240</v>
      </c>
      <c r="V914" s="11" t="s">
        <v>261</v>
      </c>
      <c r="W914" s="5" t="s">
        <v>334</v>
      </c>
      <c r="X914" s="5" t="s">
        <v>242</v>
      </c>
      <c r="Y914" s="5"/>
      <c r="Z914" s="5"/>
      <c r="AA914" s="11" t="s">
        <v>150</v>
      </c>
      <c r="AB914" s="5" t="s">
        <v>245</v>
      </c>
      <c r="AC914" s="5"/>
      <c r="AD914" s="11" t="s">
        <v>2358</v>
      </c>
      <c r="AE914" s="23" t="n">
        <v>0.95</v>
      </c>
      <c r="AF914" s="23" t="n">
        <v>0</v>
      </c>
      <c r="AG914" s="23" t="n">
        <v>0.33</v>
      </c>
      <c r="AH914" s="23" t="n">
        <v>1</v>
      </c>
      <c r="AI914" s="23" t="n">
        <v>1</v>
      </c>
      <c r="AJ914" s="23" t="n">
        <v>0.476</v>
      </c>
      <c r="AK914" s="23" t="n">
        <v>0.5</v>
      </c>
      <c r="AL914" s="23" t="n">
        <v>0</v>
      </c>
      <c r="AM914" s="16" t="n">
        <f aca="false">COUNTIFS($D$2:$D$2501,D914,$G$2:$G$2501,"&gt;"&amp;G914)+COUNTIFS($D$2:D914,D914,$G$2:G914,G914)</f>
        <v>221</v>
      </c>
      <c r="AN914" s="5" t="str">
        <f aca="false">D914&amp;"|"&amp;AM914</f>
        <v>實體擷取與去識別化|221</v>
      </c>
    </row>
    <row r="915" customFormat="false" ht="17.15" hidden="false" customHeight="false" outlineLevel="0" collapsed="false">
      <c r="A915" s="16" t="n">
        <f aca="false">RANK(G915,$G$2:$G$2501)+COUNTIF($G$2:G915,G915)-1</f>
        <v>914</v>
      </c>
      <c r="B915" s="11" t="s">
        <v>2359</v>
      </c>
      <c r="C915" s="11" t="s">
        <v>2360</v>
      </c>
      <c r="D915" s="5" t="s">
        <v>54</v>
      </c>
      <c r="E915" s="5" t="s">
        <v>55</v>
      </c>
      <c r="F915" s="5"/>
      <c r="G915" s="22" t="n">
        <f aca="false">ROUND(SUM(I915:P915),3)</f>
        <v>65.706</v>
      </c>
      <c r="H915" s="5" t="str">
        <f aca="false">IF(G915&gt;=評分方法!$C$16,"優先評估",IF(G915&gt;=評分方法!$C$17,"列入候選",IF(G915&gt;=評分方法!$C$18,"特定情境","不建議")))</f>
        <v>特定情境</v>
      </c>
      <c r="I915" s="15" t="n">
        <f aca="false">AE915*評分方法!$C$5</f>
        <v>27</v>
      </c>
      <c r="J915" s="15" t="n">
        <f aca="false">AF915*評分方法!$C$6</f>
        <v>0</v>
      </c>
      <c r="K915" s="15" t="n">
        <f aca="false">AG915*評分方法!$C$7</f>
        <v>4.95</v>
      </c>
      <c r="L915" s="15" t="n">
        <f aca="false">AH915*評分方法!$C$8</f>
        <v>15</v>
      </c>
      <c r="M915" s="15" t="n">
        <f aca="false">AI915*評分方法!$C$9</f>
        <v>10</v>
      </c>
      <c r="N915" s="15" t="n">
        <f aca="false">AJ915*評分方法!$C$10</f>
        <v>7.756</v>
      </c>
      <c r="O915" s="15" t="n">
        <f aca="false">AK915*評分方法!$C$11</f>
        <v>1</v>
      </c>
      <c r="P915" s="15" t="n">
        <f aca="false">AL915*評分方法!$C$12</f>
        <v>0</v>
      </c>
      <c r="Q915" s="6" t="n">
        <v>1335819</v>
      </c>
      <c r="R915" s="6" t="n">
        <v>109482240</v>
      </c>
      <c r="S915" s="11" t="s">
        <v>238</v>
      </c>
      <c r="T915" s="11" t="s">
        <v>278</v>
      </c>
      <c r="U915" s="5" t="s">
        <v>240</v>
      </c>
      <c r="V915" s="11" t="s">
        <v>324</v>
      </c>
      <c r="W915" s="5" t="s">
        <v>334</v>
      </c>
      <c r="X915" s="5" t="s">
        <v>242</v>
      </c>
      <c r="Y915" s="5"/>
      <c r="Z915" s="5"/>
      <c r="AA915" s="11" t="s">
        <v>152</v>
      </c>
      <c r="AB915" s="5" t="s">
        <v>245</v>
      </c>
      <c r="AC915" s="5"/>
      <c r="AD915" s="11" t="s">
        <v>2361</v>
      </c>
      <c r="AE915" s="23" t="n">
        <v>0.9</v>
      </c>
      <c r="AF915" s="23" t="n">
        <v>0</v>
      </c>
      <c r="AG915" s="23" t="n">
        <v>0.33</v>
      </c>
      <c r="AH915" s="23" t="n">
        <v>1</v>
      </c>
      <c r="AI915" s="23" t="n">
        <v>1</v>
      </c>
      <c r="AJ915" s="23" t="n">
        <v>0.7756</v>
      </c>
      <c r="AK915" s="23" t="n">
        <v>0.2</v>
      </c>
      <c r="AL915" s="23" t="n">
        <v>0</v>
      </c>
      <c r="AM915" s="16" t="n">
        <f aca="false">COUNTIFS($D$2:$D$2501,D915,$G$2:$G$2501,"&gt;"&amp;G915)+COUNTIFS($D$2:D915,D915,$G$2:G915,G915)</f>
        <v>147</v>
      </c>
      <c r="AN915" s="5" t="str">
        <f aca="false">D915&amp;"|"&amp;AM915</f>
        <v>檢索與情資關聯|147</v>
      </c>
    </row>
    <row r="916" customFormat="false" ht="17.15" hidden="false" customHeight="false" outlineLevel="0" collapsed="false">
      <c r="A916" s="16" t="n">
        <f aca="false">RANK(G916,$G$2:$G$2501)+COUNTIF($G$2:G916,G916)-1</f>
        <v>915</v>
      </c>
      <c r="B916" s="11" t="s">
        <v>2362</v>
      </c>
      <c r="C916" s="11" t="s">
        <v>282</v>
      </c>
      <c r="D916" s="5" t="s">
        <v>54</v>
      </c>
      <c r="E916" s="5" t="s">
        <v>55</v>
      </c>
      <c r="F916" s="5"/>
      <c r="G916" s="22" t="n">
        <f aca="false">ROUND(SUM(I916:P916),3)</f>
        <v>65.704</v>
      </c>
      <c r="H916" s="5" t="str">
        <f aca="false">IF(G916&gt;=評分方法!$C$16,"優先評估",IF(G916&gt;=評分方法!$C$17,"列入候選",IF(G916&gt;=評分方法!$C$18,"特定情境","不建議")))</f>
        <v>特定情境</v>
      </c>
      <c r="I916" s="15" t="n">
        <f aca="false">AE916*評分方法!$C$5</f>
        <v>27</v>
      </c>
      <c r="J916" s="15" t="n">
        <f aca="false">AF916*評分方法!$C$6</f>
        <v>0</v>
      </c>
      <c r="K916" s="15" t="n">
        <f aca="false">AG916*評分方法!$C$7</f>
        <v>15</v>
      </c>
      <c r="L916" s="15" t="n">
        <f aca="false">AH916*評分方法!$C$8</f>
        <v>15</v>
      </c>
      <c r="M916" s="15" t="n">
        <f aca="false">AI916*評分方法!$C$9</f>
        <v>2</v>
      </c>
      <c r="N916" s="15" t="n">
        <f aca="false">AJ916*評分方法!$C$10</f>
        <v>4.204</v>
      </c>
      <c r="O916" s="15" t="n">
        <f aca="false">AK916*評分方法!$C$11</f>
        <v>2.5</v>
      </c>
      <c r="P916" s="15" t="n">
        <f aca="false">AL916*評分方法!$C$12</f>
        <v>0</v>
      </c>
      <c r="Q916" s="6" t="n">
        <v>457393</v>
      </c>
      <c r="R916" s="6" t="n">
        <v>66362880</v>
      </c>
      <c r="S916" s="11" t="s">
        <v>238</v>
      </c>
      <c r="T916" s="5"/>
      <c r="U916" s="5" t="s">
        <v>375</v>
      </c>
      <c r="V916" s="11" t="s">
        <v>288</v>
      </c>
      <c r="W916" s="5" t="s">
        <v>205</v>
      </c>
      <c r="X916" s="5" t="s">
        <v>242</v>
      </c>
      <c r="Y916" s="5"/>
      <c r="Z916" s="5"/>
      <c r="AA916" s="11" t="s">
        <v>152</v>
      </c>
      <c r="AB916" s="5" t="s">
        <v>245</v>
      </c>
      <c r="AC916" s="5" t="s">
        <v>262</v>
      </c>
      <c r="AD916" s="11" t="s">
        <v>2363</v>
      </c>
      <c r="AE916" s="23" t="n">
        <v>0.9</v>
      </c>
      <c r="AF916" s="23" t="n">
        <v>0</v>
      </c>
      <c r="AG916" s="23" t="n">
        <v>1</v>
      </c>
      <c r="AH916" s="23" t="n">
        <v>1</v>
      </c>
      <c r="AI916" s="23" t="n">
        <v>0.2</v>
      </c>
      <c r="AJ916" s="23" t="n">
        <v>0.4204</v>
      </c>
      <c r="AK916" s="23" t="n">
        <v>0.5</v>
      </c>
      <c r="AL916" s="23" t="n">
        <v>0</v>
      </c>
      <c r="AM916" s="16" t="n">
        <f aca="false">COUNTIFS($D$2:$D$2501,D916,$G$2:$G$2501,"&gt;"&amp;G916)+COUNTIFS($D$2:D916,D916,$G$2:G916,G916)</f>
        <v>148</v>
      </c>
      <c r="AN916" s="5" t="str">
        <f aca="false">D916&amp;"|"&amp;AM916</f>
        <v>檢索與情資關聯|148</v>
      </c>
    </row>
    <row r="917" customFormat="false" ht="17.15" hidden="false" customHeight="false" outlineLevel="0" collapsed="false">
      <c r="A917" s="16" t="n">
        <f aca="false">RANK(G917,$G$2:$G$2501)+COUNTIF($G$2:G917,G917)-1</f>
        <v>916</v>
      </c>
      <c r="B917" s="11" t="s">
        <v>2364</v>
      </c>
      <c r="C917" s="11" t="s">
        <v>1381</v>
      </c>
      <c r="D917" s="5" t="s">
        <v>54</v>
      </c>
      <c r="E917" s="5" t="s">
        <v>55</v>
      </c>
      <c r="F917" s="5"/>
      <c r="G917" s="22" t="n">
        <f aca="false">ROUND(SUM(I917:P917),3)</f>
        <v>65.702</v>
      </c>
      <c r="H917" s="5" t="str">
        <f aca="false">IF(G917&gt;=評分方法!$C$16,"優先評估",IF(G917&gt;=評分方法!$C$17,"列入候選",IF(G917&gt;=評分方法!$C$18,"特定情境","不建議")))</f>
        <v>特定情境</v>
      </c>
      <c r="I917" s="15" t="n">
        <f aca="false">AE917*評分方法!$C$5</f>
        <v>27</v>
      </c>
      <c r="J917" s="15" t="n">
        <f aca="false">AF917*評分方法!$C$6</f>
        <v>0</v>
      </c>
      <c r="K917" s="15" t="n">
        <f aca="false">AG917*評分方法!$C$7</f>
        <v>4.95</v>
      </c>
      <c r="L917" s="15" t="n">
        <f aca="false">AH917*評分方法!$C$8</f>
        <v>15</v>
      </c>
      <c r="M917" s="15" t="n">
        <f aca="false">AI917*評分方法!$C$9</f>
        <v>10</v>
      </c>
      <c r="N917" s="15" t="n">
        <f aca="false">AJ917*評分方法!$C$10</f>
        <v>7.752</v>
      </c>
      <c r="O917" s="15" t="n">
        <f aca="false">AK917*評分方法!$C$11</f>
        <v>1</v>
      </c>
      <c r="P917" s="15" t="n">
        <f aca="false">AL917*評分方法!$C$12</f>
        <v>0</v>
      </c>
      <c r="Q917" s="6" t="n">
        <v>1335488</v>
      </c>
      <c r="R917" s="6" t="n">
        <v>403707904</v>
      </c>
      <c r="S917" s="11" t="s">
        <v>238</v>
      </c>
      <c r="T917" s="11" t="s">
        <v>278</v>
      </c>
      <c r="U917" s="5" t="s">
        <v>240</v>
      </c>
      <c r="V917" s="11" t="s">
        <v>261</v>
      </c>
      <c r="W917" s="5" t="s">
        <v>334</v>
      </c>
      <c r="X917" s="5" t="s">
        <v>242</v>
      </c>
      <c r="Y917" s="11" t="s">
        <v>2365</v>
      </c>
      <c r="Z917" s="11" t="s">
        <v>270</v>
      </c>
      <c r="AA917" s="11" t="s">
        <v>153</v>
      </c>
      <c r="AB917" s="5" t="s">
        <v>245</v>
      </c>
      <c r="AC917" s="5"/>
      <c r="AD917" s="11" t="s">
        <v>2366</v>
      </c>
      <c r="AE917" s="23" t="n">
        <v>0.9</v>
      </c>
      <c r="AF917" s="23" t="n">
        <v>0</v>
      </c>
      <c r="AG917" s="23" t="n">
        <v>0.33</v>
      </c>
      <c r="AH917" s="23" t="n">
        <v>1</v>
      </c>
      <c r="AI917" s="23" t="n">
        <v>1</v>
      </c>
      <c r="AJ917" s="23" t="n">
        <v>0.7752</v>
      </c>
      <c r="AK917" s="23" t="n">
        <v>0.2</v>
      </c>
      <c r="AL917" s="23" t="n">
        <v>0</v>
      </c>
      <c r="AM917" s="16" t="n">
        <f aca="false">COUNTIFS($D$2:$D$2501,D917,$G$2:$G$2501,"&gt;"&amp;G917)+COUNTIFS($D$2:D917,D917,$G$2:G917,G917)</f>
        <v>149</v>
      </c>
      <c r="AN917" s="5" t="str">
        <f aca="false">D917&amp;"|"&amp;AM917</f>
        <v>檢索與情資關聯|149</v>
      </c>
    </row>
    <row r="918" customFormat="false" ht="17.15" hidden="false" customHeight="false" outlineLevel="0" collapsed="false">
      <c r="A918" s="16" t="n">
        <f aca="false">RANK(G918,$G$2:$G$2501)+COUNTIF($G$2:G918,G918)-1</f>
        <v>917</v>
      </c>
      <c r="B918" s="11" t="s">
        <v>2367</v>
      </c>
      <c r="C918" s="11" t="s">
        <v>402</v>
      </c>
      <c r="D918" s="5" t="s">
        <v>58</v>
      </c>
      <c r="E918" s="5" t="s">
        <v>59</v>
      </c>
      <c r="F918" s="5"/>
      <c r="G918" s="22" t="n">
        <f aca="false">ROUND(SUM(I918:P918),3)</f>
        <v>65.702</v>
      </c>
      <c r="H918" s="5" t="str">
        <f aca="false">IF(G918&gt;=評分方法!$C$16,"優先評估",IF(G918&gt;=評分方法!$C$17,"列入候選",IF(G918&gt;=評分方法!$C$18,"特定情境","不建議")))</f>
        <v>特定情境</v>
      </c>
      <c r="I918" s="15" t="n">
        <f aca="false">AE918*評分方法!$C$5</f>
        <v>28.5</v>
      </c>
      <c r="J918" s="15" t="n">
        <f aca="false">AF918*評分方法!$C$6</f>
        <v>0</v>
      </c>
      <c r="K918" s="15" t="n">
        <f aca="false">AG918*評分方法!$C$7</f>
        <v>4.95</v>
      </c>
      <c r="L918" s="15" t="n">
        <f aca="false">AH918*評分方法!$C$8</f>
        <v>15</v>
      </c>
      <c r="M918" s="15" t="n">
        <f aca="false">AI918*評分方法!$C$9</f>
        <v>10</v>
      </c>
      <c r="N918" s="15" t="n">
        <f aca="false">AJ918*評分方法!$C$10</f>
        <v>4.752</v>
      </c>
      <c r="O918" s="15" t="n">
        <f aca="false">AK918*評分方法!$C$11</f>
        <v>2.5</v>
      </c>
      <c r="P918" s="15" t="n">
        <f aca="false">AL918*評分方法!$C$12</f>
        <v>0</v>
      </c>
      <c r="Q918" s="6" t="n">
        <v>518489</v>
      </c>
      <c r="R918" s="6" t="n">
        <v>124057347</v>
      </c>
      <c r="S918" s="11" t="s">
        <v>238</v>
      </c>
      <c r="T918" s="11" t="s">
        <v>239</v>
      </c>
      <c r="U918" s="5" t="s">
        <v>240</v>
      </c>
      <c r="V918" s="11" t="s">
        <v>261</v>
      </c>
      <c r="W918" s="5" t="s">
        <v>334</v>
      </c>
      <c r="X918" s="5" t="s">
        <v>242</v>
      </c>
      <c r="Y918" s="5"/>
      <c r="Z918" s="5"/>
      <c r="AA918" s="11" t="s">
        <v>150</v>
      </c>
      <c r="AB918" s="5" t="s">
        <v>245</v>
      </c>
      <c r="AC918" s="5"/>
      <c r="AD918" s="11" t="s">
        <v>2368</v>
      </c>
      <c r="AE918" s="23" t="n">
        <v>0.95</v>
      </c>
      <c r="AF918" s="23" t="n">
        <v>0</v>
      </c>
      <c r="AG918" s="23" t="n">
        <v>0.33</v>
      </c>
      <c r="AH918" s="23" t="n">
        <v>1</v>
      </c>
      <c r="AI918" s="23" t="n">
        <v>1</v>
      </c>
      <c r="AJ918" s="23" t="n">
        <v>0.4752</v>
      </c>
      <c r="AK918" s="23" t="n">
        <v>0.5</v>
      </c>
      <c r="AL918" s="23" t="n">
        <v>0</v>
      </c>
      <c r="AM918" s="16" t="n">
        <f aca="false">COUNTIFS($D$2:$D$2501,D918,$G$2:$G$2501,"&gt;"&amp;G918)+COUNTIFS($D$2:D918,D918,$G$2:G918,G918)</f>
        <v>222</v>
      </c>
      <c r="AN918" s="5" t="str">
        <f aca="false">D918&amp;"|"&amp;AM918</f>
        <v>實體擷取與去識別化|222</v>
      </c>
    </row>
    <row r="919" customFormat="false" ht="17.15" hidden="false" customHeight="false" outlineLevel="0" collapsed="false">
      <c r="A919" s="16" t="n">
        <f aca="false">RANK(G919,$G$2:$G$2501)+COUNTIF($G$2:G919,G919)-1</f>
        <v>918</v>
      </c>
      <c r="B919" s="11" t="s">
        <v>2369</v>
      </c>
      <c r="C919" s="11" t="s">
        <v>402</v>
      </c>
      <c r="D919" s="5" t="s">
        <v>58</v>
      </c>
      <c r="E919" s="5" t="s">
        <v>59</v>
      </c>
      <c r="F919" s="5"/>
      <c r="G919" s="22" t="n">
        <f aca="false">ROUND(SUM(I919:P919),3)</f>
        <v>65.698</v>
      </c>
      <c r="H919" s="5" t="str">
        <f aca="false">IF(G919&gt;=評分方法!$C$16,"優先評估",IF(G919&gt;=評分方法!$C$17,"列入候選",IF(G919&gt;=評分方法!$C$18,"特定情境","不建議")))</f>
        <v>特定情境</v>
      </c>
      <c r="I919" s="15" t="n">
        <f aca="false">AE919*評分方法!$C$5</f>
        <v>28.5</v>
      </c>
      <c r="J919" s="15" t="n">
        <f aca="false">AF919*評分方法!$C$6</f>
        <v>0</v>
      </c>
      <c r="K919" s="15" t="n">
        <f aca="false">AG919*評分方法!$C$7</f>
        <v>4.95</v>
      </c>
      <c r="L919" s="15" t="n">
        <f aca="false">AH919*評分方法!$C$8</f>
        <v>15</v>
      </c>
      <c r="M919" s="15" t="n">
        <f aca="false">AI919*評分方法!$C$9</f>
        <v>10</v>
      </c>
      <c r="N919" s="15" t="n">
        <f aca="false">AJ919*評分方法!$C$10</f>
        <v>4.748</v>
      </c>
      <c r="O919" s="15" t="n">
        <f aca="false">AK919*評分方法!$C$11</f>
        <v>2.5</v>
      </c>
      <c r="P919" s="15" t="n">
        <f aca="false">AL919*評分方法!$C$12</f>
        <v>0</v>
      </c>
      <c r="Q919" s="6" t="n">
        <v>518385</v>
      </c>
      <c r="R919" s="6" t="n">
        <v>81530115</v>
      </c>
      <c r="S919" s="11" t="s">
        <v>238</v>
      </c>
      <c r="T919" s="11" t="s">
        <v>239</v>
      </c>
      <c r="U919" s="5" t="s">
        <v>240</v>
      </c>
      <c r="V919" s="11" t="s">
        <v>261</v>
      </c>
      <c r="W919" s="5" t="s">
        <v>334</v>
      </c>
      <c r="X919" s="5" t="s">
        <v>242</v>
      </c>
      <c r="Y919" s="5"/>
      <c r="Z919" s="5"/>
      <c r="AA919" s="11" t="s">
        <v>150</v>
      </c>
      <c r="AB919" s="5" t="s">
        <v>245</v>
      </c>
      <c r="AC919" s="5"/>
      <c r="AD919" s="11" t="s">
        <v>2370</v>
      </c>
      <c r="AE919" s="23" t="n">
        <v>0.95</v>
      </c>
      <c r="AF919" s="23" t="n">
        <v>0</v>
      </c>
      <c r="AG919" s="23" t="n">
        <v>0.33</v>
      </c>
      <c r="AH919" s="23" t="n">
        <v>1</v>
      </c>
      <c r="AI919" s="23" t="n">
        <v>1</v>
      </c>
      <c r="AJ919" s="23" t="n">
        <v>0.4748</v>
      </c>
      <c r="AK919" s="23" t="n">
        <v>0.5</v>
      </c>
      <c r="AL919" s="23" t="n">
        <v>0</v>
      </c>
      <c r="AM919" s="16" t="n">
        <f aca="false">COUNTIFS($D$2:$D$2501,D919,$G$2:$G$2501,"&gt;"&amp;G919)+COUNTIFS($D$2:D919,D919,$G$2:G919,G919)</f>
        <v>223</v>
      </c>
      <c r="AN919" s="5" t="str">
        <f aca="false">D919&amp;"|"&amp;AM919</f>
        <v>實體擷取與去識別化|223</v>
      </c>
    </row>
    <row r="920" customFormat="false" ht="17.15" hidden="false" customHeight="false" outlineLevel="0" collapsed="false">
      <c r="A920" s="16" t="n">
        <f aca="false">RANK(G920,$G$2:$G$2501)+COUNTIF($G$2:G920,G920)-1</f>
        <v>919</v>
      </c>
      <c r="B920" s="11" t="s">
        <v>2371</v>
      </c>
      <c r="C920" s="11" t="s">
        <v>338</v>
      </c>
      <c r="D920" s="5" t="s">
        <v>78</v>
      </c>
      <c r="E920" s="5" t="s">
        <v>79</v>
      </c>
      <c r="F920" s="5"/>
      <c r="G920" s="22" t="n">
        <f aca="false">ROUND(SUM(I920:P920),3)</f>
        <v>65.694</v>
      </c>
      <c r="H920" s="5" t="str">
        <f aca="false">IF(G920&gt;=評分方法!$C$16,"優先評估",IF(G920&gt;=評分方法!$C$17,"列入候選",IF(G920&gt;=評分方法!$C$18,"特定情境","不建議")))</f>
        <v>特定情境</v>
      </c>
      <c r="I920" s="15" t="n">
        <f aca="false">AE920*評分方法!$C$5</f>
        <v>9</v>
      </c>
      <c r="J920" s="15" t="n">
        <f aca="false">AF920*評分方法!$C$6</f>
        <v>0</v>
      </c>
      <c r="K920" s="15" t="n">
        <f aca="false">AG920*評分方法!$C$7</f>
        <v>15</v>
      </c>
      <c r="L920" s="15" t="n">
        <f aca="false">AH920*評分方法!$C$8</f>
        <v>13.05</v>
      </c>
      <c r="M920" s="15" t="n">
        <f aca="false">AI920*評分方法!$C$9</f>
        <v>10</v>
      </c>
      <c r="N920" s="15" t="n">
        <f aca="false">AJ920*評分方法!$C$10</f>
        <v>9.644</v>
      </c>
      <c r="O920" s="15" t="n">
        <f aca="false">AK920*評分方法!$C$11</f>
        <v>4</v>
      </c>
      <c r="P920" s="15" t="n">
        <f aca="false">AL920*評分方法!$C$12</f>
        <v>5</v>
      </c>
      <c r="Q920" s="6" t="n">
        <v>11784055</v>
      </c>
      <c r="R920" s="6" t="n">
        <v>4429679360</v>
      </c>
      <c r="S920" s="11" t="s">
        <v>254</v>
      </c>
      <c r="T920" s="11" t="s">
        <v>239</v>
      </c>
      <c r="U920" s="5" t="s">
        <v>240</v>
      </c>
      <c r="V920" s="11" t="s">
        <v>261</v>
      </c>
      <c r="W920" s="5" t="s">
        <v>205</v>
      </c>
      <c r="X920" s="5" t="s">
        <v>284</v>
      </c>
      <c r="Y920" s="11" t="s">
        <v>339</v>
      </c>
      <c r="Z920" s="11" t="s">
        <v>270</v>
      </c>
      <c r="AA920" s="11" t="s">
        <v>175</v>
      </c>
      <c r="AB920" s="5" t="s">
        <v>245</v>
      </c>
      <c r="AC920" s="5"/>
      <c r="AD920" s="11" t="s">
        <v>2372</v>
      </c>
      <c r="AE920" s="23" t="n">
        <v>0.3</v>
      </c>
      <c r="AF920" s="23" t="n">
        <v>0</v>
      </c>
      <c r="AG920" s="23" t="n">
        <v>1</v>
      </c>
      <c r="AH920" s="23" t="n">
        <v>0.87</v>
      </c>
      <c r="AI920" s="23" t="n">
        <v>1</v>
      </c>
      <c r="AJ920" s="23" t="n">
        <v>0.9644</v>
      </c>
      <c r="AK920" s="23" t="n">
        <v>0.8</v>
      </c>
      <c r="AL920" s="23" t="n">
        <v>1</v>
      </c>
      <c r="AM920" s="16" t="n">
        <f aca="false">COUNTIFS($D$2:$D$2501,D920,$G$2:$G$2501,"&gt;"&amp;G920)+COUNTIFS($D$2:D920,D920,$G$2:G920,G920)</f>
        <v>2</v>
      </c>
      <c r="AN920" s="5" t="str">
        <f aca="false">D920&amp;"|"&amp;AM920</f>
        <v>語音分析|2</v>
      </c>
    </row>
    <row r="921" customFormat="false" ht="17.15" hidden="false" customHeight="false" outlineLevel="0" collapsed="false">
      <c r="A921" s="16" t="n">
        <f aca="false">RANK(G921,$G$2:$G$2501)+COUNTIF($G$2:G921,G921)-1</f>
        <v>920</v>
      </c>
      <c r="B921" s="11" t="s">
        <v>2373</v>
      </c>
      <c r="C921" s="11" t="s">
        <v>402</v>
      </c>
      <c r="D921" s="5" t="s">
        <v>58</v>
      </c>
      <c r="E921" s="5" t="s">
        <v>59</v>
      </c>
      <c r="F921" s="5"/>
      <c r="G921" s="22" t="n">
        <f aca="false">ROUND(SUM(I921:P921),3)</f>
        <v>65.678</v>
      </c>
      <c r="H921" s="5" t="str">
        <f aca="false">IF(G921&gt;=評分方法!$C$16,"優先評估",IF(G921&gt;=評分方法!$C$17,"列入候選",IF(G921&gt;=評分方法!$C$18,"特定情境","不建議")))</f>
        <v>特定情境</v>
      </c>
      <c r="I921" s="15" t="n">
        <f aca="false">AE921*評分方法!$C$5</f>
        <v>28.5</v>
      </c>
      <c r="J921" s="15" t="n">
        <f aca="false">AF921*評分方法!$C$6</f>
        <v>0</v>
      </c>
      <c r="K921" s="15" t="n">
        <f aca="false">AG921*評分方法!$C$7</f>
        <v>4.95</v>
      </c>
      <c r="L921" s="15" t="n">
        <f aca="false">AH921*評分方法!$C$8</f>
        <v>15</v>
      </c>
      <c r="M921" s="15" t="n">
        <f aca="false">AI921*評分方法!$C$9</f>
        <v>10</v>
      </c>
      <c r="N921" s="15" t="n">
        <f aca="false">AJ921*評分方法!$C$10</f>
        <v>4.728</v>
      </c>
      <c r="O921" s="15" t="n">
        <f aca="false">AK921*評分方法!$C$11</f>
        <v>2.5</v>
      </c>
      <c r="P921" s="15" t="n">
        <f aca="false">AL921*評分方法!$C$12</f>
        <v>0</v>
      </c>
      <c r="Q921" s="6" t="n">
        <v>517112</v>
      </c>
      <c r="R921" s="6" t="n">
        <v>558843907</v>
      </c>
      <c r="S921" s="11" t="s">
        <v>238</v>
      </c>
      <c r="T921" s="11" t="s">
        <v>239</v>
      </c>
      <c r="U921" s="5" t="s">
        <v>240</v>
      </c>
      <c r="V921" s="11" t="s">
        <v>261</v>
      </c>
      <c r="W921" s="5" t="s">
        <v>334</v>
      </c>
      <c r="X921" s="5" t="s">
        <v>242</v>
      </c>
      <c r="Y921" s="5"/>
      <c r="Z921" s="5"/>
      <c r="AA921" s="11" t="s">
        <v>150</v>
      </c>
      <c r="AB921" s="5" t="s">
        <v>245</v>
      </c>
      <c r="AC921" s="5"/>
      <c r="AD921" s="11" t="s">
        <v>2374</v>
      </c>
      <c r="AE921" s="23" t="n">
        <v>0.95</v>
      </c>
      <c r="AF921" s="23" t="n">
        <v>0</v>
      </c>
      <c r="AG921" s="23" t="n">
        <v>0.33</v>
      </c>
      <c r="AH921" s="23" t="n">
        <v>1</v>
      </c>
      <c r="AI921" s="23" t="n">
        <v>1</v>
      </c>
      <c r="AJ921" s="23" t="n">
        <v>0.4728</v>
      </c>
      <c r="AK921" s="23" t="n">
        <v>0.5</v>
      </c>
      <c r="AL921" s="23" t="n">
        <v>0</v>
      </c>
      <c r="AM921" s="16" t="n">
        <f aca="false">COUNTIFS($D$2:$D$2501,D921,$G$2:$G$2501,"&gt;"&amp;G921)+COUNTIFS($D$2:D921,D921,$G$2:G921,G921)</f>
        <v>224</v>
      </c>
      <c r="AN921" s="5" t="str">
        <f aca="false">D921&amp;"|"&amp;AM921</f>
        <v>實體擷取與去識別化|224</v>
      </c>
    </row>
    <row r="922" customFormat="false" ht="17.15" hidden="false" customHeight="false" outlineLevel="0" collapsed="false">
      <c r="A922" s="16" t="n">
        <f aca="false">RANK(G922,$G$2:$G$2501)+COUNTIF($G$2:G922,G922)-1</f>
        <v>921</v>
      </c>
      <c r="B922" s="11" t="s">
        <v>2375</v>
      </c>
      <c r="C922" s="11" t="s">
        <v>402</v>
      </c>
      <c r="D922" s="5" t="s">
        <v>58</v>
      </c>
      <c r="E922" s="5" t="s">
        <v>59</v>
      </c>
      <c r="F922" s="5"/>
      <c r="G922" s="22" t="n">
        <f aca="false">ROUND(SUM(I922:P922),3)</f>
        <v>65.674</v>
      </c>
      <c r="H922" s="5" t="str">
        <f aca="false">IF(G922&gt;=評分方法!$C$16,"優先評估",IF(G922&gt;=評分方法!$C$17,"列入候選",IF(G922&gt;=評分方法!$C$18,"特定情境","不建議")))</f>
        <v>特定情境</v>
      </c>
      <c r="I922" s="15" t="n">
        <f aca="false">AE922*評分方法!$C$5</f>
        <v>28.5</v>
      </c>
      <c r="J922" s="15" t="n">
        <f aca="false">AF922*評分方法!$C$6</f>
        <v>0</v>
      </c>
      <c r="K922" s="15" t="n">
        <f aca="false">AG922*評分方法!$C$7</f>
        <v>4.95</v>
      </c>
      <c r="L922" s="15" t="n">
        <f aca="false">AH922*評分方法!$C$8</f>
        <v>15</v>
      </c>
      <c r="M922" s="15" t="n">
        <f aca="false">AI922*評分方法!$C$9</f>
        <v>10</v>
      </c>
      <c r="N922" s="15" t="n">
        <f aca="false">AJ922*評分方法!$C$10</f>
        <v>4.724</v>
      </c>
      <c r="O922" s="15" t="n">
        <f aca="false">AK922*評分方法!$C$11</f>
        <v>2.5</v>
      </c>
      <c r="P922" s="15" t="n">
        <f aca="false">AL922*評分方法!$C$12</f>
        <v>0</v>
      </c>
      <c r="Q922" s="6" t="n">
        <v>516457</v>
      </c>
      <c r="R922" s="6" t="n">
        <v>107721987</v>
      </c>
      <c r="S922" s="11" t="s">
        <v>238</v>
      </c>
      <c r="T922" s="11" t="s">
        <v>239</v>
      </c>
      <c r="U922" s="5" t="s">
        <v>240</v>
      </c>
      <c r="V922" s="11" t="s">
        <v>261</v>
      </c>
      <c r="W922" s="5" t="s">
        <v>334</v>
      </c>
      <c r="X922" s="5" t="s">
        <v>242</v>
      </c>
      <c r="Y922" s="5"/>
      <c r="Z922" s="5"/>
      <c r="AA922" s="11" t="s">
        <v>150</v>
      </c>
      <c r="AB922" s="5" t="s">
        <v>245</v>
      </c>
      <c r="AC922" s="5"/>
      <c r="AD922" s="11" t="s">
        <v>2376</v>
      </c>
      <c r="AE922" s="23" t="n">
        <v>0.95</v>
      </c>
      <c r="AF922" s="23" t="n">
        <v>0</v>
      </c>
      <c r="AG922" s="23" t="n">
        <v>0.33</v>
      </c>
      <c r="AH922" s="23" t="n">
        <v>1</v>
      </c>
      <c r="AI922" s="23" t="n">
        <v>1</v>
      </c>
      <c r="AJ922" s="23" t="n">
        <v>0.4724</v>
      </c>
      <c r="AK922" s="23" t="n">
        <v>0.5</v>
      </c>
      <c r="AL922" s="23" t="n">
        <v>0</v>
      </c>
      <c r="AM922" s="16" t="n">
        <f aca="false">COUNTIFS($D$2:$D$2501,D922,$G$2:$G$2501,"&gt;"&amp;G922)+COUNTIFS($D$2:D922,D922,$G$2:G922,G922)</f>
        <v>225</v>
      </c>
      <c r="AN922" s="5" t="str">
        <f aca="false">D922&amp;"|"&amp;AM922</f>
        <v>實體擷取與去識別化|225</v>
      </c>
    </row>
    <row r="923" customFormat="false" ht="17.15" hidden="false" customHeight="false" outlineLevel="0" collapsed="false">
      <c r="A923" s="16" t="n">
        <f aca="false">RANK(G923,$G$2:$G$2501)+COUNTIF($G$2:G923,G923)-1</f>
        <v>922</v>
      </c>
      <c r="B923" s="11" t="s">
        <v>2377</v>
      </c>
      <c r="C923" s="11" t="s">
        <v>282</v>
      </c>
      <c r="D923" s="5" t="s">
        <v>54</v>
      </c>
      <c r="E923" s="5" t="s">
        <v>55</v>
      </c>
      <c r="F923" s="5"/>
      <c r="G923" s="22" t="n">
        <f aca="false">ROUND(SUM(I923:P923),3)</f>
        <v>65.672</v>
      </c>
      <c r="H923" s="5" t="str">
        <f aca="false">IF(G923&gt;=評分方法!$C$16,"優先評估",IF(G923&gt;=評分方法!$C$17,"列入候選",IF(G923&gt;=評分方法!$C$18,"特定情境","不建議")))</f>
        <v>特定情境</v>
      </c>
      <c r="I923" s="15" t="n">
        <f aca="false">AE923*評分方法!$C$5</f>
        <v>27</v>
      </c>
      <c r="J923" s="15" t="n">
        <f aca="false">AF923*評分方法!$C$6</f>
        <v>0</v>
      </c>
      <c r="K923" s="15" t="n">
        <f aca="false">AG923*評分方法!$C$7</f>
        <v>15</v>
      </c>
      <c r="L923" s="15" t="n">
        <f aca="false">AH923*評分方法!$C$8</f>
        <v>15</v>
      </c>
      <c r="M923" s="15" t="n">
        <f aca="false">AI923*評分方法!$C$9</f>
        <v>2</v>
      </c>
      <c r="N923" s="15" t="n">
        <f aca="false">AJ923*評分方法!$C$10</f>
        <v>4.172</v>
      </c>
      <c r="O923" s="15" t="n">
        <f aca="false">AK923*評分方法!$C$11</f>
        <v>2.5</v>
      </c>
      <c r="P923" s="15" t="n">
        <f aca="false">AL923*評分方法!$C$12</f>
        <v>0</v>
      </c>
      <c r="Q923" s="6" t="n">
        <v>451158</v>
      </c>
      <c r="R923" s="6" t="n">
        <v>66362880</v>
      </c>
      <c r="S923" s="11" t="s">
        <v>238</v>
      </c>
      <c r="T923" s="5"/>
      <c r="U923" s="5" t="s">
        <v>375</v>
      </c>
      <c r="V923" s="11" t="s">
        <v>283</v>
      </c>
      <c r="W923" s="5" t="s">
        <v>205</v>
      </c>
      <c r="X923" s="5" t="s">
        <v>242</v>
      </c>
      <c r="Y923" s="5"/>
      <c r="Z923" s="5"/>
      <c r="AA923" s="11" t="s">
        <v>152</v>
      </c>
      <c r="AB923" s="5" t="s">
        <v>245</v>
      </c>
      <c r="AC923" s="5" t="s">
        <v>262</v>
      </c>
      <c r="AD923" s="11" t="s">
        <v>2378</v>
      </c>
      <c r="AE923" s="23" t="n">
        <v>0.9</v>
      </c>
      <c r="AF923" s="23" t="n">
        <v>0</v>
      </c>
      <c r="AG923" s="23" t="n">
        <v>1</v>
      </c>
      <c r="AH923" s="23" t="n">
        <v>1</v>
      </c>
      <c r="AI923" s="23" t="n">
        <v>0.2</v>
      </c>
      <c r="AJ923" s="23" t="n">
        <v>0.4172</v>
      </c>
      <c r="AK923" s="23" t="n">
        <v>0.5</v>
      </c>
      <c r="AL923" s="23" t="n">
        <v>0</v>
      </c>
      <c r="AM923" s="16" t="n">
        <f aca="false">COUNTIFS($D$2:$D$2501,D923,$G$2:$G$2501,"&gt;"&amp;G923)+COUNTIFS($D$2:D923,D923,$G$2:G923,G923)</f>
        <v>150</v>
      </c>
      <c r="AN923" s="5" t="str">
        <f aca="false">D923&amp;"|"&amp;AM923</f>
        <v>檢索與情資關聯|150</v>
      </c>
    </row>
    <row r="924" customFormat="false" ht="17.15" hidden="false" customHeight="false" outlineLevel="0" collapsed="false">
      <c r="A924" s="16" t="n">
        <f aca="false">RANK(G924,$G$2:$G$2501)+COUNTIF($G$2:G924,G924)-1</f>
        <v>923</v>
      </c>
      <c r="B924" s="11" t="s">
        <v>2379</v>
      </c>
      <c r="C924" s="11" t="s">
        <v>402</v>
      </c>
      <c r="D924" s="5" t="s">
        <v>58</v>
      </c>
      <c r="E924" s="5" t="s">
        <v>59</v>
      </c>
      <c r="F924" s="5"/>
      <c r="G924" s="22" t="n">
        <f aca="false">ROUND(SUM(I924:P924),3)</f>
        <v>65.666</v>
      </c>
      <c r="H924" s="5" t="str">
        <f aca="false">IF(G924&gt;=評分方法!$C$16,"優先評估",IF(G924&gt;=評分方法!$C$17,"列入候選",IF(G924&gt;=評分方法!$C$18,"特定情境","不建議")))</f>
        <v>特定情境</v>
      </c>
      <c r="I924" s="15" t="n">
        <f aca="false">AE924*評分方法!$C$5</f>
        <v>28.5</v>
      </c>
      <c r="J924" s="15" t="n">
        <f aca="false">AF924*評分方法!$C$6</f>
        <v>0</v>
      </c>
      <c r="K924" s="15" t="n">
        <f aca="false">AG924*評分方法!$C$7</f>
        <v>4.95</v>
      </c>
      <c r="L924" s="15" t="n">
        <f aca="false">AH924*評分方法!$C$8</f>
        <v>15</v>
      </c>
      <c r="M924" s="15" t="n">
        <f aca="false">AI924*評分方法!$C$9</f>
        <v>10</v>
      </c>
      <c r="N924" s="15" t="n">
        <f aca="false">AJ924*評分方法!$C$10</f>
        <v>4.716</v>
      </c>
      <c r="O924" s="15" t="n">
        <f aca="false">AK924*評分方法!$C$11</f>
        <v>2.5</v>
      </c>
      <c r="P924" s="15" t="n">
        <f aca="false">AL924*評分方法!$C$12</f>
        <v>0</v>
      </c>
      <c r="Q924" s="6" t="n">
        <v>515508</v>
      </c>
      <c r="R924" s="6" t="n">
        <v>149607171</v>
      </c>
      <c r="S924" s="11" t="s">
        <v>238</v>
      </c>
      <c r="T924" s="11" t="s">
        <v>239</v>
      </c>
      <c r="U924" s="5" t="s">
        <v>240</v>
      </c>
      <c r="V924" s="11" t="s">
        <v>261</v>
      </c>
      <c r="W924" s="5" t="s">
        <v>334</v>
      </c>
      <c r="X924" s="5" t="s">
        <v>242</v>
      </c>
      <c r="Y924" s="5"/>
      <c r="Z924" s="5"/>
      <c r="AA924" s="11" t="s">
        <v>150</v>
      </c>
      <c r="AB924" s="5" t="s">
        <v>245</v>
      </c>
      <c r="AC924" s="5"/>
      <c r="AD924" s="11" t="s">
        <v>2380</v>
      </c>
      <c r="AE924" s="23" t="n">
        <v>0.95</v>
      </c>
      <c r="AF924" s="23" t="n">
        <v>0</v>
      </c>
      <c r="AG924" s="23" t="n">
        <v>0.33</v>
      </c>
      <c r="AH924" s="23" t="n">
        <v>1</v>
      </c>
      <c r="AI924" s="23" t="n">
        <v>1</v>
      </c>
      <c r="AJ924" s="23" t="n">
        <v>0.4716</v>
      </c>
      <c r="AK924" s="23" t="n">
        <v>0.5</v>
      </c>
      <c r="AL924" s="23" t="n">
        <v>0</v>
      </c>
      <c r="AM924" s="16" t="n">
        <f aca="false">COUNTIFS($D$2:$D$2501,D924,$G$2:$G$2501,"&gt;"&amp;G924)+COUNTIFS($D$2:D924,D924,$G$2:G924,G924)</f>
        <v>226</v>
      </c>
      <c r="AN924" s="5" t="str">
        <f aca="false">D924&amp;"|"&amp;AM924</f>
        <v>實體擷取與去識別化|226</v>
      </c>
    </row>
    <row r="925" customFormat="false" ht="17.15" hidden="false" customHeight="false" outlineLevel="0" collapsed="false">
      <c r="A925" s="16" t="n">
        <f aca="false">RANK(G925,$G$2:$G$2501)+COUNTIF($G$2:G925,G925)-1</f>
        <v>924</v>
      </c>
      <c r="B925" s="11" t="s">
        <v>2381</v>
      </c>
      <c r="C925" s="11" t="s">
        <v>402</v>
      </c>
      <c r="D925" s="5" t="s">
        <v>58</v>
      </c>
      <c r="E925" s="5" t="s">
        <v>59</v>
      </c>
      <c r="F925" s="5"/>
      <c r="G925" s="22" t="n">
        <f aca="false">ROUND(SUM(I925:P925),3)</f>
        <v>65.662</v>
      </c>
      <c r="H925" s="5" t="str">
        <f aca="false">IF(G925&gt;=評分方法!$C$16,"優先評估",IF(G925&gt;=評分方法!$C$17,"列入候選",IF(G925&gt;=評分方法!$C$18,"特定情境","不建議")))</f>
        <v>特定情境</v>
      </c>
      <c r="I925" s="15" t="n">
        <f aca="false">AE925*評分方法!$C$5</f>
        <v>28.5</v>
      </c>
      <c r="J925" s="15" t="n">
        <f aca="false">AF925*評分方法!$C$6</f>
        <v>0</v>
      </c>
      <c r="K925" s="15" t="n">
        <f aca="false">AG925*評分方法!$C$7</f>
        <v>4.95</v>
      </c>
      <c r="L925" s="15" t="n">
        <f aca="false">AH925*評分方法!$C$8</f>
        <v>15</v>
      </c>
      <c r="M925" s="15" t="n">
        <f aca="false">AI925*評分方法!$C$9</f>
        <v>10</v>
      </c>
      <c r="N925" s="15" t="n">
        <f aca="false">AJ925*評分方法!$C$10</f>
        <v>4.712</v>
      </c>
      <c r="O925" s="15" t="n">
        <f aca="false">AK925*評分方法!$C$11</f>
        <v>2.5</v>
      </c>
      <c r="P925" s="15" t="n">
        <f aca="false">AL925*評分方法!$C$12</f>
        <v>0</v>
      </c>
      <c r="Q925" s="6" t="n">
        <v>514493</v>
      </c>
      <c r="R925" s="6" t="n">
        <v>434023435</v>
      </c>
      <c r="S925" s="11" t="s">
        <v>238</v>
      </c>
      <c r="T925" s="11" t="s">
        <v>239</v>
      </c>
      <c r="U925" s="5" t="s">
        <v>240</v>
      </c>
      <c r="V925" s="11" t="s">
        <v>261</v>
      </c>
      <c r="W925" s="5" t="s">
        <v>334</v>
      </c>
      <c r="X925" s="5" t="s">
        <v>242</v>
      </c>
      <c r="Y925" s="5"/>
      <c r="Z925" s="5"/>
      <c r="AA925" s="11" t="s">
        <v>150</v>
      </c>
      <c r="AB925" s="5" t="s">
        <v>245</v>
      </c>
      <c r="AC925" s="5"/>
      <c r="AD925" s="11" t="s">
        <v>2382</v>
      </c>
      <c r="AE925" s="23" t="n">
        <v>0.95</v>
      </c>
      <c r="AF925" s="23" t="n">
        <v>0</v>
      </c>
      <c r="AG925" s="23" t="n">
        <v>0.33</v>
      </c>
      <c r="AH925" s="23" t="n">
        <v>1</v>
      </c>
      <c r="AI925" s="23" t="n">
        <v>1</v>
      </c>
      <c r="AJ925" s="23" t="n">
        <v>0.4712</v>
      </c>
      <c r="AK925" s="23" t="n">
        <v>0.5</v>
      </c>
      <c r="AL925" s="23" t="n">
        <v>0</v>
      </c>
      <c r="AM925" s="16" t="n">
        <f aca="false">COUNTIFS($D$2:$D$2501,D925,$G$2:$G$2501,"&gt;"&amp;G925)+COUNTIFS($D$2:D925,D925,$G$2:G925,G925)</f>
        <v>227</v>
      </c>
      <c r="AN925" s="5" t="str">
        <f aca="false">D925&amp;"|"&amp;AM925</f>
        <v>實體擷取與去識別化|227</v>
      </c>
    </row>
    <row r="926" customFormat="false" ht="17.15" hidden="false" customHeight="false" outlineLevel="0" collapsed="false">
      <c r="A926" s="16" t="n">
        <f aca="false">RANK(G926,$G$2:$G$2501)+COUNTIF($G$2:G926,G926)-1</f>
        <v>925</v>
      </c>
      <c r="B926" s="11" t="s">
        <v>2383</v>
      </c>
      <c r="C926" s="11" t="s">
        <v>402</v>
      </c>
      <c r="D926" s="5" t="s">
        <v>58</v>
      </c>
      <c r="E926" s="5" t="s">
        <v>59</v>
      </c>
      <c r="F926" s="5"/>
      <c r="G926" s="22" t="n">
        <f aca="false">ROUND(SUM(I926:P926),3)</f>
        <v>65.65</v>
      </c>
      <c r="H926" s="5" t="str">
        <f aca="false">IF(G926&gt;=評分方法!$C$16,"優先評估",IF(G926&gt;=評分方法!$C$17,"列入候選",IF(G926&gt;=評分方法!$C$18,"特定情境","不建議")))</f>
        <v>特定情境</v>
      </c>
      <c r="I926" s="15" t="n">
        <f aca="false">AE926*評分方法!$C$5</f>
        <v>28.5</v>
      </c>
      <c r="J926" s="15" t="n">
        <f aca="false">AF926*評分方法!$C$6</f>
        <v>0</v>
      </c>
      <c r="K926" s="15" t="n">
        <f aca="false">AG926*評分方法!$C$7</f>
        <v>4.95</v>
      </c>
      <c r="L926" s="15" t="n">
        <f aca="false">AH926*評分方法!$C$8</f>
        <v>15</v>
      </c>
      <c r="M926" s="15" t="n">
        <f aca="false">AI926*評分方法!$C$9</f>
        <v>10</v>
      </c>
      <c r="N926" s="15" t="n">
        <f aca="false">AJ926*評分方法!$C$10</f>
        <v>4.7</v>
      </c>
      <c r="O926" s="15" t="n">
        <f aca="false">AK926*評分方法!$C$11</f>
        <v>2.5</v>
      </c>
      <c r="P926" s="15" t="n">
        <f aca="false">AL926*評分方法!$C$12</f>
        <v>0</v>
      </c>
      <c r="Q926" s="6" t="n">
        <v>514149</v>
      </c>
      <c r="R926" s="6" t="n">
        <v>124057347</v>
      </c>
      <c r="S926" s="11" t="s">
        <v>238</v>
      </c>
      <c r="T926" s="11" t="s">
        <v>239</v>
      </c>
      <c r="U926" s="5" t="s">
        <v>240</v>
      </c>
      <c r="V926" s="11" t="s">
        <v>261</v>
      </c>
      <c r="W926" s="5" t="s">
        <v>334</v>
      </c>
      <c r="X926" s="5" t="s">
        <v>242</v>
      </c>
      <c r="Y926" s="5"/>
      <c r="Z926" s="5"/>
      <c r="AA926" s="11" t="s">
        <v>150</v>
      </c>
      <c r="AB926" s="5" t="s">
        <v>245</v>
      </c>
      <c r="AC926" s="5"/>
      <c r="AD926" s="11" t="s">
        <v>2384</v>
      </c>
      <c r="AE926" s="23" t="n">
        <v>0.95</v>
      </c>
      <c r="AF926" s="23" t="n">
        <v>0</v>
      </c>
      <c r="AG926" s="23" t="n">
        <v>0.33</v>
      </c>
      <c r="AH926" s="23" t="n">
        <v>1</v>
      </c>
      <c r="AI926" s="23" t="n">
        <v>1</v>
      </c>
      <c r="AJ926" s="23" t="n">
        <v>0.47</v>
      </c>
      <c r="AK926" s="23" t="n">
        <v>0.5</v>
      </c>
      <c r="AL926" s="23" t="n">
        <v>0</v>
      </c>
      <c r="AM926" s="16" t="n">
        <f aca="false">COUNTIFS($D$2:$D$2501,D926,$G$2:$G$2501,"&gt;"&amp;G926)+COUNTIFS($D$2:D926,D926,$G$2:G926,G926)</f>
        <v>228</v>
      </c>
      <c r="AN926" s="5" t="str">
        <f aca="false">D926&amp;"|"&amp;AM926</f>
        <v>實體擷取與去識別化|228</v>
      </c>
    </row>
    <row r="927" customFormat="false" ht="17.15" hidden="false" customHeight="false" outlineLevel="0" collapsed="false">
      <c r="A927" s="16" t="n">
        <f aca="false">RANK(G927,$G$2:$G$2501)+COUNTIF($G$2:G927,G927)-1</f>
        <v>926</v>
      </c>
      <c r="B927" s="11" t="s">
        <v>2385</v>
      </c>
      <c r="C927" s="11" t="s">
        <v>1161</v>
      </c>
      <c r="D927" s="5" t="s">
        <v>72</v>
      </c>
      <c r="E927" s="5" t="s">
        <v>73</v>
      </c>
      <c r="F927" s="5"/>
      <c r="G927" s="22" t="n">
        <f aca="false">ROUND(SUM(I927:P927),3)</f>
        <v>65.64</v>
      </c>
      <c r="H927" s="5" t="str">
        <f aca="false">IF(G927&gt;=評分方法!$C$16,"優先評估",IF(G927&gt;=評分方法!$C$17,"列入候選",IF(G927&gt;=評分方法!$C$18,"特定情境","不建議")))</f>
        <v>特定情境</v>
      </c>
      <c r="I927" s="15" t="n">
        <f aca="false">AE927*評分方法!$C$5</f>
        <v>15</v>
      </c>
      <c r="J927" s="15" t="n">
        <f aca="false">AF927*評分方法!$C$6</f>
        <v>0</v>
      </c>
      <c r="K927" s="15" t="n">
        <f aca="false">AG927*評分方法!$C$7</f>
        <v>15</v>
      </c>
      <c r="L927" s="15" t="n">
        <f aca="false">AH927*評分方法!$C$8</f>
        <v>15</v>
      </c>
      <c r="M927" s="15" t="n">
        <f aca="false">AI927*評分方法!$C$9</f>
        <v>10</v>
      </c>
      <c r="N927" s="15" t="n">
        <f aca="false">AJ927*評分方法!$C$10</f>
        <v>9.64</v>
      </c>
      <c r="O927" s="15" t="n">
        <f aca="false">AK927*評分方法!$C$11</f>
        <v>1</v>
      </c>
      <c r="P927" s="15" t="n">
        <f aca="false">AL927*評分方法!$C$12</f>
        <v>0</v>
      </c>
      <c r="Q927" s="6" t="n">
        <v>11462919</v>
      </c>
      <c r="R927" s="6" t="n">
        <v>336226108</v>
      </c>
      <c r="S927" s="11" t="s">
        <v>238</v>
      </c>
      <c r="T927" s="11" t="s">
        <v>239</v>
      </c>
      <c r="U927" s="5" t="s">
        <v>240</v>
      </c>
      <c r="V927" s="11" t="s">
        <v>279</v>
      </c>
      <c r="W927" s="5" t="s">
        <v>205</v>
      </c>
      <c r="X927" s="5" t="s">
        <v>242</v>
      </c>
      <c r="Y927" s="5"/>
      <c r="Z927" s="5"/>
      <c r="AA927" s="11" t="s">
        <v>162</v>
      </c>
      <c r="AB927" s="5" t="s">
        <v>245</v>
      </c>
      <c r="AC927" s="5"/>
      <c r="AD927" s="11" t="s">
        <v>2386</v>
      </c>
      <c r="AE927" s="23" t="n">
        <v>0.5</v>
      </c>
      <c r="AF927" s="23" t="n">
        <v>0</v>
      </c>
      <c r="AG927" s="23" t="n">
        <v>1</v>
      </c>
      <c r="AH927" s="23" t="n">
        <v>1</v>
      </c>
      <c r="AI927" s="23" t="n">
        <v>1</v>
      </c>
      <c r="AJ927" s="23" t="n">
        <v>0.964</v>
      </c>
      <c r="AK927" s="23" t="n">
        <v>0.2</v>
      </c>
      <c r="AL927" s="23" t="n">
        <v>0</v>
      </c>
      <c r="AM927" s="16" t="n">
        <f aca="false">COUNTIFS($D$2:$D$2501,D927,$G$2:$G$2501,"&gt;"&amp;G927)+COUNTIFS($D$2:D927,D927,$G$2:G927,G927)</f>
        <v>19</v>
      </c>
      <c r="AN927" s="5" t="str">
        <f aca="false">D927&amp;"|"&amp;AM927</f>
        <v>微調基底模型|19</v>
      </c>
    </row>
    <row r="928" customFormat="false" ht="17.15" hidden="false" customHeight="false" outlineLevel="0" collapsed="false">
      <c r="A928" s="16" t="n">
        <f aca="false">RANK(G928,$G$2:$G$2501)+COUNTIF($G$2:G928,G928)-1</f>
        <v>927</v>
      </c>
      <c r="B928" s="11" t="s">
        <v>2387</v>
      </c>
      <c r="C928" s="11" t="s">
        <v>402</v>
      </c>
      <c r="D928" s="5" t="s">
        <v>58</v>
      </c>
      <c r="E928" s="5" t="s">
        <v>59</v>
      </c>
      <c r="F928" s="5"/>
      <c r="G928" s="22" t="n">
        <f aca="false">ROUND(SUM(I928:P928),3)</f>
        <v>65.638</v>
      </c>
      <c r="H928" s="5" t="str">
        <f aca="false">IF(G928&gt;=評分方法!$C$16,"優先評估",IF(G928&gt;=評分方法!$C$17,"列入候選",IF(G928&gt;=評分方法!$C$18,"特定情境","不建議")))</f>
        <v>特定情境</v>
      </c>
      <c r="I928" s="15" t="n">
        <f aca="false">AE928*評分方法!$C$5</f>
        <v>28.5</v>
      </c>
      <c r="J928" s="15" t="n">
        <f aca="false">AF928*評分方法!$C$6</f>
        <v>0</v>
      </c>
      <c r="K928" s="15" t="n">
        <f aca="false">AG928*評分方法!$C$7</f>
        <v>4.95</v>
      </c>
      <c r="L928" s="15" t="n">
        <f aca="false">AH928*評分方法!$C$8</f>
        <v>15</v>
      </c>
      <c r="M928" s="15" t="n">
        <f aca="false">AI928*評分方法!$C$9</f>
        <v>10</v>
      </c>
      <c r="N928" s="15" t="n">
        <f aca="false">AJ928*評分方法!$C$10</f>
        <v>4.688</v>
      </c>
      <c r="O928" s="15" t="n">
        <f aca="false">AK928*評分方法!$C$11</f>
        <v>2.5</v>
      </c>
      <c r="P928" s="15" t="n">
        <f aca="false">AL928*評分方法!$C$12</f>
        <v>0</v>
      </c>
      <c r="Q928" s="6" t="n">
        <v>512831</v>
      </c>
      <c r="R928" s="6" t="n">
        <v>33213315</v>
      </c>
      <c r="S928" s="11" t="s">
        <v>238</v>
      </c>
      <c r="T928" s="11" t="s">
        <v>239</v>
      </c>
      <c r="U928" s="5" t="s">
        <v>240</v>
      </c>
      <c r="V928" s="11" t="s">
        <v>261</v>
      </c>
      <c r="W928" s="5" t="s">
        <v>334</v>
      </c>
      <c r="X928" s="5" t="s">
        <v>242</v>
      </c>
      <c r="Y928" s="5"/>
      <c r="Z928" s="5"/>
      <c r="AA928" s="11" t="s">
        <v>150</v>
      </c>
      <c r="AB928" s="5" t="s">
        <v>245</v>
      </c>
      <c r="AC928" s="5"/>
      <c r="AD928" s="11" t="s">
        <v>2388</v>
      </c>
      <c r="AE928" s="23" t="n">
        <v>0.95</v>
      </c>
      <c r="AF928" s="23" t="n">
        <v>0</v>
      </c>
      <c r="AG928" s="23" t="n">
        <v>0.33</v>
      </c>
      <c r="AH928" s="23" t="n">
        <v>1</v>
      </c>
      <c r="AI928" s="23" t="n">
        <v>1</v>
      </c>
      <c r="AJ928" s="23" t="n">
        <v>0.4688</v>
      </c>
      <c r="AK928" s="23" t="n">
        <v>0.5</v>
      </c>
      <c r="AL928" s="23" t="n">
        <v>0</v>
      </c>
      <c r="AM928" s="16" t="n">
        <f aca="false">COUNTIFS($D$2:$D$2501,D928,$G$2:$G$2501,"&gt;"&amp;G928)+COUNTIFS($D$2:D928,D928,$G$2:G928,G928)</f>
        <v>229</v>
      </c>
      <c r="AN928" s="5" t="str">
        <f aca="false">D928&amp;"|"&amp;AM928</f>
        <v>實體擷取與去識別化|229</v>
      </c>
    </row>
    <row r="929" customFormat="false" ht="17.15" hidden="false" customHeight="false" outlineLevel="0" collapsed="false">
      <c r="A929" s="16" t="n">
        <f aca="false">RANK(G929,$G$2:$G$2501)+COUNTIF($G$2:G929,G929)-1</f>
        <v>928</v>
      </c>
      <c r="B929" s="11" t="s">
        <v>2389</v>
      </c>
      <c r="C929" s="11" t="s">
        <v>1837</v>
      </c>
      <c r="D929" s="5" t="s">
        <v>54</v>
      </c>
      <c r="E929" s="5" t="s">
        <v>55</v>
      </c>
      <c r="F929" s="5"/>
      <c r="G929" s="22" t="n">
        <f aca="false">ROUND(SUM(I929:P929),3)</f>
        <v>65.634</v>
      </c>
      <c r="H929" s="5" t="str">
        <f aca="false">IF(G929&gt;=評分方法!$C$16,"優先評估",IF(G929&gt;=評分方法!$C$17,"列入候選",IF(G929&gt;=評分方法!$C$18,"特定情境","不建議")))</f>
        <v>特定情境</v>
      </c>
      <c r="I929" s="15" t="n">
        <f aca="false">AE929*評分方法!$C$5</f>
        <v>27</v>
      </c>
      <c r="J929" s="15" t="n">
        <f aca="false">AF929*評分方法!$C$6</f>
        <v>0</v>
      </c>
      <c r="K929" s="15" t="n">
        <f aca="false">AG929*評分方法!$C$7</f>
        <v>4.95</v>
      </c>
      <c r="L929" s="15" t="n">
        <f aca="false">AH929*評分方法!$C$8</f>
        <v>15</v>
      </c>
      <c r="M929" s="15" t="n">
        <f aca="false">AI929*評分方法!$C$9</f>
        <v>10</v>
      </c>
      <c r="N929" s="15" t="n">
        <f aca="false">AJ929*評分方法!$C$10</f>
        <v>1.184</v>
      </c>
      <c r="O929" s="15" t="n">
        <f aca="false">AK929*評分方法!$C$11</f>
        <v>2.5</v>
      </c>
      <c r="P929" s="15" t="n">
        <f aca="false">AL929*評分方法!$C$12</f>
        <v>5</v>
      </c>
      <c r="Q929" s="6" t="n">
        <v>160499</v>
      </c>
      <c r="R929" s="6" t="n">
        <v>167463831</v>
      </c>
      <c r="S929" s="11" t="s">
        <v>238</v>
      </c>
      <c r="T929" s="11" t="s">
        <v>239</v>
      </c>
      <c r="U929" s="5" t="s">
        <v>240</v>
      </c>
      <c r="V929" s="11" t="s">
        <v>261</v>
      </c>
      <c r="W929" s="5" t="s">
        <v>334</v>
      </c>
      <c r="X929" s="5" t="s">
        <v>284</v>
      </c>
      <c r="Y929" s="5"/>
      <c r="Z929" s="5"/>
      <c r="AA929" s="11" t="s">
        <v>153</v>
      </c>
      <c r="AB929" s="5" t="s">
        <v>245</v>
      </c>
      <c r="AC929" s="5"/>
      <c r="AD929" s="11" t="s">
        <v>2390</v>
      </c>
      <c r="AE929" s="23" t="n">
        <v>0.9</v>
      </c>
      <c r="AF929" s="23" t="n">
        <v>0</v>
      </c>
      <c r="AG929" s="23" t="n">
        <v>0.33</v>
      </c>
      <c r="AH929" s="23" t="n">
        <v>1</v>
      </c>
      <c r="AI929" s="23" t="n">
        <v>1</v>
      </c>
      <c r="AJ929" s="23" t="n">
        <v>0.1184</v>
      </c>
      <c r="AK929" s="23" t="n">
        <v>0.5</v>
      </c>
      <c r="AL929" s="23" t="n">
        <v>1</v>
      </c>
      <c r="AM929" s="16" t="n">
        <f aca="false">COUNTIFS($D$2:$D$2501,D929,$G$2:$G$2501,"&gt;"&amp;G929)+COUNTIFS($D$2:D929,D929,$G$2:G929,G929)</f>
        <v>151</v>
      </c>
      <c r="AN929" s="5" t="str">
        <f aca="false">D929&amp;"|"&amp;AM929</f>
        <v>檢索與情資關聯|151</v>
      </c>
    </row>
    <row r="930" customFormat="false" ht="17.15" hidden="false" customHeight="false" outlineLevel="0" collapsed="false">
      <c r="A930" s="16" t="n">
        <f aca="false">RANK(G930,$G$2:$G$2501)+COUNTIF($G$2:G930,G930)-1</f>
        <v>929</v>
      </c>
      <c r="B930" s="11" t="s">
        <v>2391</v>
      </c>
      <c r="C930" s="11" t="s">
        <v>402</v>
      </c>
      <c r="D930" s="5" t="s">
        <v>58</v>
      </c>
      <c r="E930" s="5" t="s">
        <v>59</v>
      </c>
      <c r="F930" s="5"/>
      <c r="G930" s="22" t="n">
        <f aca="false">ROUND(SUM(I930:P930),3)</f>
        <v>65.626</v>
      </c>
      <c r="H930" s="5" t="str">
        <f aca="false">IF(G930&gt;=評分方法!$C$16,"優先評估",IF(G930&gt;=評分方法!$C$17,"列入候選",IF(G930&gt;=評分方法!$C$18,"特定情境","不建議")))</f>
        <v>特定情境</v>
      </c>
      <c r="I930" s="15" t="n">
        <f aca="false">AE930*評分方法!$C$5</f>
        <v>28.5</v>
      </c>
      <c r="J930" s="15" t="n">
        <f aca="false">AF930*評分方法!$C$6</f>
        <v>0</v>
      </c>
      <c r="K930" s="15" t="n">
        <f aca="false">AG930*評分方法!$C$7</f>
        <v>4.95</v>
      </c>
      <c r="L930" s="15" t="n">
        <f aca="false">AH930*評分方法!$C$8</f>
        <v>15</v>
      </c>
      <c r="M930" s="15" t="n">
        <f aca="false">AI930*評分方法!$C$9</f>
        <v>10</v>
      </c>
      <c r="N930" s="15" t="n">
        <f aca="false">AJ930*評分方法!$C$10</f>
        <v>4.676</v>
      </c>
      <c r="O930" s="15" t="n">
        <f aca="false">AK930*評分方法!$C$11</f>
        <v>2.5</v>
      </c>
      <c r="P930" s="15" t="n">
        <f aca="false">AL930*評分方法!$C$12</f>
        <v>0</v>
      </c>
      <c r="Q930" s="6" t="n">
        <v>512081</v>
      </c>
      <c r="R930" s="6" t="n">
        <v>183833859</v>
      </c>
      <c r="S930" s="11" t="s">
        <v>238</v>
      </c>
      <c r="T930" s="11" t="s">
        <v>239</v>
      </c>
      <c r="U930" s="5" t="s">
        <v>240</v>
      </c>
      <c r="V930" s="11" t="s">
        <v>261</v>
      </c>
      <c r="W930" s="5" t="s">
        <v>334</v>
      </c>
      <c r="X930" s="5" t="s">
        <v>242</v>
      </c>
      <c r="Y930" s="5"/>
      <c r="Z930" s="5"/>
      <c r="AA930" s="11" t="s">
        <v>150</v>
      </c>
      <c r="AB930" s="5" t="s">
        <v>245</v>
      </c>
      <c r="AC930" s="5"/>
      <c r="AD930" s="11" t="s">
        <v>2392</v>
      </c>
      <c r="AE930" s="23" t="n">
        <v>0.95</v>
      </c>
      <c r="AF930" s="23" t="n">
        <v>0</v>
      </c>
      <c r="AG930" s="23" t="n">
        <v>0.33</v>
      </c>
      <c r="AH930" s="23" t="n">
        <v>1</v>
      </c>
      <c r="AI930" s="23" t="n">
        <v>1</v>
      </c>
      <c r="AJ930" s="23" t="n">
        <v>0.4676</v>
      </c>
      <c r="AK930" s="23" t="n">
        <v>0.5</v>
      </c>
      <c r="AL930" s="23" t="n">
        <v>0</v>
      </c>
      <c r="AM930" s="16" t="n">
        <f aca="false">COUNTIFS($D$2:$D$2501,D930,$G$2:$G$2501,"&gt;"&amp;G930)+COUNTIFS($D$2:D930,D930,$G$2:G930,G930)</f>
        <v>230</v>
      </c>
      <c r="AN930" s="5" t="str">
        <f aca="false">D930&amp;"|"&amp;AM930</f>
        <v>實體擷取與去識別化|230</v>
      </c>
    </row>
    <row r="931" customFormat="false" ht="17.15" hidden="false" customHeight="false" outlineLevel="0" collapsed="false">
      <c r="A931" s="16" t="n">
        <f aca="false">RANK(G931,$G$2:$G$2501)+COUNTIF($G$2:G931,G931)-1</f>
        <v>930</v>
      </c>
      <c r="B931" s="11" t="s">
        <v>2393</v>
      </c>
      <c r="C931" s="11" t="s">
        <v>402</v>
      </c>
      <c r="D931" s="5" t="s">
        <v>58</v>
      </c>
      <c r="E931" s="5" t="s">
        <v>59</v>
      </c>
      <c r="F931" s="5"/>
      <c r="G931" s="22" t="n">
        <f aca="false">ROUND(SUM(I931:P931),3)</f>
        <v>65.622</v>
      </c>
      <c r="H931" s="5" t="str">
        <f aca="false">IF(G931&gt;=評分方法!$C$16,"優先評估",IF(G931&gt;=評分方法!$C$17,"列入候選",IF(G931&gt;=評分方法!$C$18,"特定情境","不建議")))</f>
        <v>特定情境</v>
      </c>
      <c r="I931" s="15" t="n">
        <f aca="false">AE931*評分方法!$C$5</f>
        <v>28.5</v>
      </c>
      <c r="J931" s="15" t="n">
        <f aca="false">AF931*評分方法!$C$6</f>
        <v>0</v>
      </c>
      <c r="K931" s="15" t="n">
        <f aca="false">AG931*評分方法!$C$7</f>
        <v>4.95</v>
      </c>
      <c r="L931" s="15" t="n">
        <f aca="false">AH931*評分方法!$C$8</f>
        <v>15</v>
      </c>
      <c r="M931" s="15" t="n">
        <f aca="false">AI931*評分方法!$C$9</f>
        <v>10</v>
      </c>
      <c r="N931" s="15" t="n">
        <f aca="false">AJ931*評分方法!$C$10</f>
        <v>4.672</v>
      </c>
      <c r="O931" s="15" t="n">
        <f aca="false">AK931*評分方法!$C$11</f>
        <v>2.5</v>
      </c>
      <c r="P931" s="15" t="n">
        <f aca="false">AL931*評分方法!$C$12</f>
        <v>0</v>
      </c>
      <c r="Q931" s="6" t="n">
        <v>511866</v>
      </c>
      <c r="R931" s="6" t="n">
        <v>334095363</v>
      </c>
      <c r="S931" s="11" t="s">
        <v>238</v>
      </c>
      <c r="T931" s="11" t="s">
        <v>239</v>
      </c>
      <c r="U931" s="5" t="s">
        <v>240</v>
      </c>
      <c r="V931" s="11" t="s">
        <v>261</v>
      </c>
      <c r="W931" s="5" t="s">
        <v>334</v>
      </c>
      <c r="X931" s="5" t="s">
        <v>242</v>
      </c>
      <c r="Y931" s="5"/>
      <c r="Z931" s="5"/>
      <c r="AA931" s="11" t="s">
        <v>150</v>
      </c>
      <c r="AB931" s="5" t="s">
        <v>245</v>
      </c>
      <c r="AC931" s="5"/>
      <c r="AD931" s="11" t="s">
        <v>2394</v>
      </c>
      <c r="AE931" s="23" t="n">
        <v>0.95</v>
      </c>
      <c r="AF931" s="23" t="n">
        <v>0</v>
      </c>
      <c r="AG931" s="23" t="n">
        <v>0.33</v>
      </c>
      <c r="AH931" s="23" t="n">
        <v>1</v>
      </c>
      <c r="AI931" s="23" t="n">
        <v>1</v>
      </c>
      <c r="AJ931" s="23" t="n">
        <v>0.4672</v>
      </c>
      <c r="AK931" s="23" t="n">
        <v>0.5</v>
      </c>
      <c r="AL931" s="23" t="n">
        <v>0</v>
      </c>
      <c r="AM931" s="16" t="n">
        <f aca="false">COUNTIFS($D$2:$D$2501,D931,$G$2:$G$2501,"&gt;"&amp;G931)+COUNTIFS($D$2:D931,D931,$G$2:G931,G931)</f>
        <v>231</v>
      </c>
      <c r="AN931" s="5" t="str">
        <f aca="false">D931&amp;"|"&amp;AM931</f>
        <v>實體擷取與去識別化|231</v>
      </c>
    </row>
    <row r="932" customFormat="false" ht="17.15" hidden="false" customHeight="false" outlineLevel="0" collapsed="false">
      <c r="A932" s="16" t="n">
        <f aca="false">RANK(G932,$G$2:$G$2501)+COUNTIF($G$2:G932,G932)-1</f>
        <v>931</v>
      </c>
      <c r="B932" s="11" t="s">
        <v>2395</v>
      </c>
      <c r="C932" s="11" t="s">
        <v>402</v>
      </c>
      <c r="D932" s="5" t="s">
        <v>58</v>
      </c>
      <c r="E932" s="5" t="s">
        <v>59</v>
      </c>
      <c r="F932" s="5"/>
      <c r="G932" s="22" t="n">
        <f aca="false">ROUND(SUM(I932:P932),3)</f>
        <v>65.618</v>
      </c>
      <c r="H932" s="5" t="str">
        <f aca="false">IF(G932&gt;=評分方法!$C$16,"優先評估",IF(G932&gt;=評分方法!$C$17,"列入候選",IF(G932&gt;=評分方法!$C$18,"特定情境","不建議")))</f>
        <v>特定情境</v>
      </c>
      <c r="I932" s="15" t="n">
        <f aca="false">AE932*評分方法!$C$5</f>
        <v>28.5</v>
      </c>
      <c r="J932" s="15" t="n">
        <f aca="false">AF932*評分方法!$C$6</f>
        <v>0</v>
      </c>
      <c r="K932" s="15" t="n">
        <f aca="false">AG932*評分方法!$C$7</f>
        <v>4.95</v>
      </c>
      <c r="L932" s="15" t="n">
        <f aca="false">AH932*評分方法!$C$8</f>
        <v>15</v>
      </c>
      <c r="M932" s="15" t="n">
        <f aca="false">AI932*評分方法!$C$9</f>
        <v>10</v>
      </c>
      <c r="N932" s="15" t="n">
        <f aca="false">AJ932*評分方法!$C$10</f>
        <v>4.668</v>
      </c>
      <c r="O932" s="15" t="n">
        <f aca="false">AK932*評分方法!$C$11</f>
        <v>2.5</v>
      </c>
      <c r="P932" s="15" t="n">
        <f aca="false">AL932*評分方法!$C$12</f>
        <v>0</v>
      </c>
      <c r="Q932" s="6" t="n">
        <v>511173</v>
      </c>
      <c r="R932" s="6" t="n">
        <v>108893955</v>
      </c>
      <c r="S932" s="11" t="s">
        <v>238</v>
      </c>
      <c r="T932" s="11" t="s">
        <v>239</v>
      </c>
      <c r="U932" s="5" t="s">
        <v>240</v>
      </c>
      <c r="V932" s="11" t="s">
        <v>261</v>
      </c>
      <c r="W932" s="5" t="s">
        <v>334</v>
      </c>
      <c r="X932" s="5" t="s">
        <v>242</v>
      </c>
      <c r="Y932" s="5"/>
      <c r="Z932" s="5"/>
      <c r="AA932" s="11" t="s">
        <v>150</v>
      </c>
      <c r="AB932" s="5" t="s">
        <v>245</v>
      </c>
      <c r="AC932" s="5"/>
      <c r="AD932" s="11" t="s">
        <v>2396</v>
      </c>
      <c r="AE932" s="23" t="n">
        <v>0.95</v>
      </c>
      <c r="AF932" s="23" t="n">
        <v>0</v>
      </c>
      <c r="AG932" s="23" t="n">
        <v>0.33</v>
      </c>
      <c r="AH932" s="23" t="n">
        <v>1</v>
      </c>
      <c r="AI932" s="23" t="n">
        <v>1</v>
      </c>
      <c r="AJ932" s="23" t="n">
        <v>0.4668</v>
      </c>
      <c r="AK932" s="23" t="n">
        <v>0.5</v>
      </c>
      <c r="AL932" s="23" t="n">
        <v>0</v>
      </c>
      <c r="AM932" s="16" t="n">
        <f aca="false">COUNTIFS($D$2:$D$2501,D932,$G$2:$G$2501,"&gt;"&amp;G932)+COUNTIFS($D$2:D932,D932,$G$2:G932,G932)</f>
        <v>232</v>
      </c>
      <c r="AN932" s="5" t="str">
        <f aca="false">D932&amp;"|"&amp;AM932</f>
        <v>實體擷取與去識別化|232</v>
      </c>
    </row>
    <row r="933" customFormat="false" ht="17.15" hidden="false" customHeight="false" outlineLevel="0" collapsed="false">
      <c r="A933" s="16" t="n">
        <f aca="false">RANK(G933,$G$2:$G$2501)+COUNTIF($G$2:G933,G933)-1</f>
        <v>932</v>
      </c>
      <c r="B933" s="11" t="s">
        <v>2397</v>
      </c>
      <c r="C933" s="11" t="s">
        <v>402</v>
      </c>
      <c r="D933" s="5" t="s">
        <v>58</v>
      </c>
      <c r="E933" s="5" t="s">
        <v>59</v>
      </c>
      <c r="F933" s="5"/>
      <c r="G933" s="22" t="n">
        <f aca="false">ROUND(SUM(I933:P933),3)</f>
        <v>65.614</v>
      </c>
      <c r="H933" s="5" t="str">
        <f aca="false">IF(G933&gt;=評分方法!$C$16,"優先評估",IF(G933&gt;=評分方法!$C$17,"列入候選",IF(G933&gt;=評分方法!$C$18,"特定情境","不建議")))</f>
        <v>特定情境</v>
      </c>
      <c r="I933" s="15" t="n">
        <f aca="false">AE933*評分方法!$C$5</f>
        <v>28.5</v>
      </c>
      <c r="J933" s="15" t="n">
        <f aca="false">AF933*評分方法!$C$6</f>
        <v>0</v>
      </c>
      <c r="K933" s="15" t="n">
        <f aca="false">AG933*評分方法!$C$7</f>
        <v>4.95</v>
      </c>
      <c r="L933" s="15" t="n">
        <f aca="false">AH933*評分方法!$C$8</f>
        <v>15</v>
      </c>
      <c r="M933" s="15" t="n">
        <f aca="false">AI933*評分方法!$C$9</f>
        <v>10</v>
      </c>
      <c r="N933" s="15" t="n">
        <f aca="false">AJ933*評分方法!$C$10</f>
        <v>4.664</v>
      </c>
      <c r="O933" s="15" t="n">
        <f aca="false">AK933*評分方法!$C$11</f>
        <v>2.5</v>
      </c>
      <c r="P933" s="15" t="n">
        <f aca="false">AL933*評分方法!$C$12</f>
        <v>0</v>
      </c>
      <c r="Q933" s="6" t="n">
        <v>510746</v>
      </c>
      <c r="R933" s="6" t="n">
        <v>107721987</v>
      </c>
      <c r="S933" s="11" t="s">
        <v>238</v>
      </c>
      <c r="T933" s="11" t="s">
        <v>239</v>
      </c>
      <c r="U933" s="5" t="s">
        <v>240</v>
      </c>
      <c r="V933" s="11" t="s">
        <v>261</v>
      </c>
      <c r="W933" s="5" t="s">
        <v>334</v>
      </c>
      <c r="X933" s="5" t="s">
        <v>242</v>
      </c>
      <c r="Y933" s="5"/>
      <c r="Z933" s="5"/>
      <c r="AA933" s="11" t="s">
        <v>150</v>
      </c>
      <c r="AB933" s="5" t="s">
        <v>245</v>
      </c>
      <c r="AC933" s="5"/>
      <c r="AD933" s="11" t="s">
        <v>2398</v>
      </c>
      <c r="AE933" s="23" t="n">
        <v>0.95</v>
      </c>
      <c r="AF933" s="23" t="n">
        <v>0</v>
      </c>
      <c r="AG933" s="23" t="n">
        <v>0.33</v>
      </c>
      <c r="AH933" s="23" t="n">
        <v>1</v>
      </c>
      <c r="AI933" s="23" t="n">
        <v>1</v>
      </c>
      <c r="AJ933" s="23" t="n">
        <v>0.4664</v>
      </c>
      <c r="AK933" s="23" t="n">
        <v>0.5</v>
      </c>
      <c r="AL933" s="23" t="n">
        <v>0</v>
      </c>
      <c r="AM933" s="16" t="n">
        <f aca="false">COUNTIFS($D$2:$D$2501,D933,$G$2:$G$2501,"&gt;"&amp;G933)+COUNTIFS($D$2:D933,D933,$G$2:G933,G933)</f>
        <v>233</v>
      </c>
      <c r="AN933" s="5" t="str">
        <f aca="false">D933&amp;"|"&amp;AM933</f>
        <v>實體擷取與去識別化|233</v>
      </c>
    </row>
    <row r="934" customFormat="false" ht="17.15" hidden="false" customHeight="false" outlineLevel="0" collapsed="false">
      <c r="A934" s="16" t="n">
        <f aca="false">RANK(G934,$G$2:$G$2501)+COUNTIF($G$2:G934,G934)-1</f>
        <v>933</v>
      </c>
      <c r="B934" s="11" t="s">
        <v>2399</v>
      </c>
      <c r="C934" s="11" t="s">
        <v>402</v>
      </c>
      <c r="D934" s="5" t="s">
        <v>58</v>
      </c>
      <c r="E934" s="5" t="s">
        <v>59</v>
      </c>
      <c r="F934" s="5"/>
      <c r="G934" s="22" t="n">
        <f aca="false">ROUND(SUM(I934:P934),3)</f>
        <v>65.61</v>
      </c>
      <c r="H934" s="5" t="str">
        <f aca="false">IF(G934&gt;=評分方法!$C$16,"優先評估",IF(G934&gt;=評分方法!$C$17,"列入候選",IF(G934&gt;=評分方法!$C$18,"特定情境","不建議")))</f>
        <v>特定情境</v>
      </c>
      <c r="I934" s="15" t="n">
        <f aca="false">AE934*評分方法!$C$5</f>
        <v>28.5</v>
      </c>
      <c r="J934" s="15" t="n">
        <f aca="false">AF934*評分方法!$C$6</f>
        <v>0</v>
      </c>
      <c r="K934" s="15" t="n">
        <f aca="false">AG934*評分方法!$C$7</f>
        <v>4.95</v>
      </c>
      <c r="L934" s="15" t="n">
        <f aca="false">AH934*評分方法!$C$8</f>
        <v>15</v>
      </c>
      <c r="M934" s="15" t="n">
        <f aca="false">AI934*評分方法!$C$9</f>
        <v>10</v>
      </c>
      <c r="N934" s="15" t="n">
        <f aca="false">AJ934*評分方法!$C$10</f>
        <v>4.66</v>
      </c>
      <c r="O934" s="15" t="n">
        <f aca="false">AK934*評分方法!$C$11</f>
        <v>2.5</v>
      </c>
      <c r="P934" s="15" t="n">
        <f aca="false">AL934*評分方法!$C$12</f>
        <v>0</v>
      </c>
      <c r="Q934" s="6" t="n">
        <v>510459</v>
      </c>
      <c r="R934" s="6" t="n">
        <v>149607171</v>
      </c>
      <c r="S934" s="11" t="s">
        <v>238</v>
      </c>
      <c r="T934" s="11" t="s">
        <v>239</v>
      </c>
      <c r="U934" s="5" t="s">
        <v>240</v>
      </c>
      <c r="V934" s="11" t="s">
        <v>261</v>
      </c>
      <c r="W934" s="5" t="s">
        <v>334</v>
      </c>
      <c r="X934" s="5" t="s">
        <v>242</v>
      </c>
      <c r="Y934" s="5"/>
      <c r="Z934" s="5"/>
      <c r="AA934" s="11" t="s">
        <v>150</v>
      </c>
      <c r="AB934" s="5" t="s">
        <v>245</v>
      </c>
      <c r="AC934" s="5"/>
      <c r="AD934" s="11" t="s">
        <v>2400</v>
      </c>
      <c r="AE934" s="23" t="n">
        <v>0.95</v>
      </c>
      <c r="AF934" s="23" t="n">
        <v>0</v>
      </c>
      <c r="AG934" s="23" t="n">
        <v>0.33</v>
      </c>
      <c r="AH934" s="23" t="n">
        <v>1</v>
      </c>
      <c r="AI934" s="23" t="n">
        <v>1</v>
      </c>
      <c r="AJ934" s="23" t="n">
        <v>0.466</v>
      </c>
      <c r="AK934" s="23" t="n">
        <v>0.5</v>
      </c>
      <c r="AL934" s="23" t="n">
        <v>0</v>
      </c>
      <c r="AM934" s="16" t="n">
        <f aca="false">COUNTIFS($D$2:$D$2501,D934,$G$2:$G$2501,"&gt;"&amp;G934)+COUNTIFS($D$2:D934,D934,$G$2:G934,G934)</f>
        <v>234</v>
      </c>
      <c r="AN934" s="5" t="str">
        <f aca="false">D934&amp;"|"&amp;AM934</f>
        <v>實體擷取與去識別化|234</v>
      </c>
    </row>
    <row r="935" customFormat="false" ht="17.15" hidden="false" customHeight="false" outlineLevel="0" collapsed="false">
      <c r="A935" s="16" t="n">
        <f aca="false">RANK(G935,$G$2:$G$2501)+COUNTIF($G$2:G935,G935)-1</f>
        <v>934</v>
      </c>
      <c r="B935" s="11" t="s">
        <v>2401</v>
      </c>
      <c r="C935" s="11" t="s">
        <v>402</v>
      </c>
      <c r="D935" s="5" t="s">
        <v>58</v>
      </c>
      <c r="E935" s="5" t="s">
        <v>59</v>
      </c>
      <c r="F935" s="5"/>
      <c r="G935" s="22" t="n">
        <f aca="false">ROUND(SUM(I935:P935),3)</f>
        <v>65.598</v>
      </c>
      <c r="H935" s="5" t="str">
        <f aca="false">IF(G935&gt;=評分方法!$C$16,"優先評估",IF(G935&gt;=評分方法!$C$17,"列入候選",IF(G935&gt;=評分方法!$C$18,"特定情境","不建議")))</f>
        <v>特定情境</v>
      </c>
      <c r="I935" s="15" t="n">
        <f aca="false">AE935*評分方法!$C$5</f>
        <v>28.5</v>
      </c>
      <c r="J935" s="15" t="n">
        <f aca="false">AF935*評分方法!$C$6</f>
        <v>0</v>
      </c>
      <c r="K935" s="15" t="n">
        <f aca="false">AG935*評分方法!$C$7</f>
        <v>4.95</v>
      </c>
      <c r="L935" s="15" t="n">
        <f aca="false">AH935*評分方法!$C$8</f>
        <v>15</v>
      </c>
      <c r="M935" s="15" t="n">
        <f aca="false">AI935*評分方法!$C$9</f>
        <v>10</v>
      </c>
      <c r="N935" s="15" t="n">
        <f aca="false">AJ935*評分方法!$C$10</f>
        <v>4.648</v>
      </c>
      <c r="O935" s="15" t="n">
        <f aca="false">AK935*評分方法!$C$11</f>
        <v>2.5</v>
      </c>
      <c r="P935" s="15" t="n">
        <f aca="false">AL935*評分方法!$C$12</f>
        <v>0</v>
      </c>
      <c r="Q935" s="6" t="n">
        <v>507853</v>
      </c>
      <c r="R935" s="6" t="n">
        <v>108893955</v>
      </c>
      <c r="S935" s="11" t="s">
        <v>238</v>
      </c>
      <c r="T935" s="11" t="s">
        <v>239</v>
      </c>
      <c r="U935" s="5" t="s">
        <v>240</v>
      </c>
      <c r="V935" s="11" t="s">
        <v>261</v>
      </c>
      <c r="W935" s="5" t="s">
        <v>334</v>
      </c>
      <c r="X935" s="5" t="s">
        <v>242</v>
      </c>
      <c r="Y935" s="5"/>
      <c r="Z935" s="5"/>
      <c r="AA935" s="11" t="s">
        <v>150</v>
      </c>
      <c r="AB935" s="5" t="s">
        <v>245</v>
      </c>
      <c r="AC935" s="5"/>
      <c r="AD935" s="11" t="s">
        <v>2402</v>
      </c>
      <c r="AE935" s="23" t="n">
        <v>0.95</v>
      </c>
      <c r="AF935" s="23" t="n">
        <v>0</v>
      </c>
      <c r="AG935" s="23" t="n">
        <v>0.33</v>
      </c>
      <c r="AH935" s="23" t="n">
        <v>1</v>
      </c>
      <c r="AI935" s="23" t="n">
        <v>1</v>
      </c>
      <c r="AJ935" s="23" t="n">
        <v>0.4648</v>
      </c>
      <c r="AK935" s="23" t="n">
        <v>0.5</v>
      </c>
      <c r="AL935" s="23" t="n">
        <v>0</v>
      </c>
      <c r="AM935" s="16" t="n">
        <f aca="false">COUNTIFS($D$2:$D$2501,D935,$G$2:$G$2501,"&gt;"&amp;G935)+COUNTIFS($D$2:D935,D935,$G$2:G935,G935)</f>
        <v>235</v>
      </c>
      <c r="AN935" s="5" t="str">
        <f aca="false">D935&amp;"|"&amp;AM935</f>
        <v>實體擷取與去識別化|235</v>
      </c>
    </row>
    <row r="936" customFormat="false" ht="17.15" hidden="false" customHeight="false" outlineLevel="0" collapsed="false">
      <c r="A936" s="16" t="n">
        <f aca="false">RANK(G936,$G$2:$G$2501)+COUNTIF($G$2:G936,G936)-1</f>
        <v>935</v>
      </c>
      <c r="B936" s="11" t="s">
        <v>2403</v>
      </c>
      <c r="C936" s="11" t="s">
        <v>402</v>
      </c>
      <c r="D936" s="5" t="s">
        <v>58</v>
      </c>
      <c r="E936" s="5" t="s">
        <v>59</v>
      </c>
      <c r="F936" s="5"/>
      <c r="G936" s="22" t="n">
        <f aca="false">ROUND(SUM(I936:P936),3)</f>
        <v>65.594</v>
      </c>
      <c r="H936" s="5" t="str">
        <f aca="false">IF(G936&gt;=評分方法!$C$16,"優先評估",IF(G936&gt;=評分方法!$C$17,"列入候選",IF(G936&gt;=評分方法!$C$18,"特定情境","不建議")))</f>
        <v>特定情境</v>
      </c>
      <c r="I936" s="15" t="n">
        <f aca="false">AE936*評分方法!$C$5</f>
        <v>28.5</v>
      </c>
      <c r="J936" s="15" t="n">
        <f aca="false">AF936*評分方法!$C$6</f>
        <v>0</v>
      </c>
      <c r="K936" s="15" t="n">
        <f aca="false">AG936*評分方法!$C$7</f>
        <v>4.95</v>
      </c>
      <c r="L936" s="15" t="n">
        <f aca="false">AH936*評分方法!$C$8</f>
        <v>15</v>
      </c>
      <c r="M936" s="15" t="n">
        <f aca="false">AI936*評分方法!$C$9</f>
        <v>10</v>
      </c>
      <c r="N936" s="15" t="n">
        <f aca="false">AJ936*評分方法!$C$10</f>
        <v>4.644</v>
      </c>
      <c r="O936" s="15" t="n">
        <f aca="false">AK936*評分方法!$C$11</f>
        <v>2.5</v>
      </c>
      <c r="P936" s="15" t="n">
        <f aca="false">AL936*評分方法!$C$12</f>
        <v>0</v>
      </c>
      <c r="Q936" s="6" t="n">
        <v>507593</v>
      </c>
      <c r="R936" s="6" t="n">
        <v>107728139</v>
      </c>
      <c r="S936" s="11" t="s">
        <v>238</v>
      </c>
      <c r="T936" s="11" t="s">
        <v>239</v>
      </c>
      <c r="U936" s="5" t="s">
        <v>240</v>
      </c>
      <c r="V936" s="11" t="s">
        <v>261</v>
      </c>
      <c r="W936" s="5" t="s">
        <v>334</v>
      </c>
      <c r="X936" s="5" t="s">
        <v>242</v>
      </c>
      <c r="Y936" s="5"/>
      <c r="Z936" s="5"/>
      <c r="AA936" s="11" t="s">
        <v>150</v>
      </c>
      <c r="AB936" s="5" t="s">
        <v>245</v>
      </c>
      <c r="AC936" s="5"/>
      <c r="AD936" s="11" t="s">
        <v>2404</v>
      </c>
      <c r="AE936" s="23" t="n">
        <v>0.95</v>
      </c>
      <c r="AF936" s="23" t="n">
        <v>0</v>
      </c>
      <c r="AG936" s="23" t="n">
        <v>0.33</v>
      </c>
      <c r="AH936" s="23" t="n">
        <v>1</v>
      </c>
      <c r="AI936" s="23" t="n">
        <v>1</v>
      </c>
      <c r="AJ936" s="23" t="n">
        <v>0.4644</v>
      </c>
      <c r="AK936" s="23" t="n">
        <v>0.5</v>
      </c>
      <c r="AL936" s="23" t="n">
        <v>0</v>
      </c>
      <c r="AM936" s="16" t="n">
        <f aca="false">COUNTIFS($D$2:$D$2501,D936,$G$2:$G$2501,"&gt;"&amp;G936)+COUNTIFS($D$2:D936,D936,$G$2:G936,G936)</f>
        <v>236</v>
      </c>
      <c r="AN936" s="5" t="str">
        <f aca="false">D936&amp;"|"&amp;AM936</f>
        <v>實體擷取與去識別化|236</v>
      </c>
    </row>
    <row r="937" customFormat="false" ht="17.15" hidden="false" customHeight="false" outlineLevel="0" collapsed="false">
      <c r="A937" s="16" t="n">
        <f aca="false">RANK(G937,$G$2:$G$2501)+COUNTIF($G$2:G937,G937)-1</f>
        <v>936</v>
      </c>
      <c r="B937" s="11" t="s">
        <v>2405</v>
      </c>
      <c r="C937" s="11" t="s">
        <v>402</v>
      </c>
      <c r="D937" s="5" t="s">
        <v>58</v>
      </c>
      <c r="E937" s="5" t="s">
        <v>59</v>
      </c>
      <c r="F937" s="5"/>
      <c r="G937" s="22" t="n">
        <f aca="false">ROUND(SUM(I937:P937),3)</f>
        <v>65.586</v>
      </c>
      <c r="H937" s="5" t="str">
        <f aca="false">IF(G937&gt;=評分方法!$C$16,"優先評估",IF(G937&gt;=評分方法!$C$17,"列入候選",IF(G937&gt;=評分方法!$C$18,"特定情境","不建議")))</f>
        <v>特定情境</v>
      </c>
      <c r="I937" s="15" t="n">
        <f aca="false">AE937*評分方法!$C$5</f>
        <v>28.5</v>
      </c>
      <c r="J937" s="15" t="n">
        <f aca="false">AF937*評分方法!$C$6</f>
        <v>0</v>
      </c>
      <c r="K937" s="15" t="n">
        <f aca="false">AG937*評分方法!$C$7</f>
        <v>4.95</v>
      </c>
      <c r="L937" s="15" t="n">
        <f aca="false">AH937*評分方法!$C$8</f>
        <v>15</v>
      </c>
      <c r="M937" s="15" t="n">
        <f aca="false">AI937*評分方法!$C$9</f>
        <v>10</v>
      </c>
      <c r="N937" s="15" t="n">
        <f aca="false">AJ937*評分方法!$C$10</f>
        <v>4.636</v>
      </c>
      <c r="O937" s="15" t="n">
        <f aca="false">AK937*評分方法!$C$11</f>
        <v>2.5</v>
      </c>
      <c r="P937" s="15" t="n">
        <f aca="false">AL937*評分方法!$C$12</f>
        <v>0</v>
      </c>
      <c r="Q937" s="6" t="n">
        <v>505884</v>
      </c>
      <c r="R937" s="6" t="n">
        <v>107745057</v>
      </c>
      <c r="S937" s="11" t="s">
        <v>238</v>
      </c>
      <c r="T937" s="11" t="s">
        <v>239</v>
      </c>
      <c r="U937" s="5" t="s">
        <v>240</v>
      </c>
      <c r="V937" s="11" t="s">
        <v>261</v>
      </c>
      <c r="W937" s="5" t="s">
        <v>334</v>
      </c>
      <c r="X937" s="5" t="s">
        <v>242</v>
      </c>
      <c r="Y937" s="5"/>
      <c r="Z937" s="5"/>
      <c r="AA937" s="11" t="s">
        <v>150</v>
      </c>
      <c r="AB937" s="5" t="s">
        <v>245</v>
      </c>
      <c r="AC937" s="5"/>
      <c r="AD937" s="11" t="s">
        <v>2406</v>
      </c>
      <c r="AE937" s="23" t="n">
        <v>0.95</v>
      </c>
      <c r="AF937" s="23" t="n">
        <v>0</v>
      </c>
      <c r="AG937" s="23" t="n">
        <v>0.33</v>
      </c>
      <c r="AH937" s="23" t="n">
        <v>1</v>
      </c>
      <c r="AI937" s="23" t="n">
        <v>1</v>
      </c>
      <c r="AJ937" s="23" t="n">
        <v>0.4636</v>
      </c>
      <c r="AK937" s="23" t="n">
        <v>0.5</v>
      </c>
      <c r="AL937" s="23" t="n">
        <v>0</v>
      </c>
      <c r="AM937" s="16" t="n">
        <f aca="false">COUNTIFS($D$2:$D$2501,D937,$G$2:$G$2501,"&gt;"&amp;G937)+COUNTIFS($D$2:D937,D937,$G$2:G937,G937)</f>
        <v>237</v>
      </c>
      <c r="AN937" s="5" t="str">
        <f aca="false">D937&amp;"|"&amp;AM937</f>
        <v>實體擷取與去識別化|237</v>
      </c>
    </row>
    <row r="938" customFormat="false" ht="17.15" hidden="false" customHeight="false" outlineLevel="0" collapsed="false">
      <c r="A938" s="16" t="n">
        <f aca="false">RANK(G938,$G$2:$G$2501)+COUNTIF($G$2:G938,G938)-1</f>
        <v>937</v>
      </c>
      <c r="B938" s="11" t="s">
        <v>744</v>
      </c>
      <c r="C938" s="11" t="s">
        <v>712</v>
      </c>
      <c r="D938" s="5" t="s">
        <v>72</v>
      </c>
      <c r="E938" s="5" t="s">
        <v>73</v>
      </c>
      <c r="F938" s="5"/>
      <c r="G938" s="22" t="n">
        <f aca="false">ROUND(SUM(I938:P938),3)</f>
        <v>65.584</v>
      </c>
      <c r="H938" s="5" t="str">
        <f aca="false">IF(G938&gt;=評分方法!$C$16,"優先評估",IF(G938&gt;=評分方法!$C$17,"列入候選",IF(G938&gt;=評分方法!$C$18,"特定情境","不建議")))</f>
        <v>特定情境</v>
      </c>
      <c r="I938" s="15" t="n">
        <f aca="false">AE938*評分方法!$C$5</f>
        <v>15</v>
      </c>
      <c r="J938" s="15" t="n">
        <f aca="false">AF938*評分方法!$C$6</f>
        <v>0</v>
      </c>
      <c r="K938" s="15" t="n">
        <f aca="false">AG938*評分方法!$C$7</f>
        <v>15</v>
      </c>
      <c r="L938" s="15" t="n">
        <f aca="false">AH938*評分方法!$C$8</f>
        <v>15</v>
      </c>
      <c r="M938" s="15" t="n">
        <f aca="false">AI938*評分方法!$C$9</f>
        <v>10</v>
      </c>
      <c r="N938" s="15" t="n">
        <f aca="false">AJ938*評分方法!$C$10</f>
        <v>9.584</v>
      </c>
      <c r="O938" s="15" t="n">
        <f aca="false">AK938*評分方法!$C$11</f>
        <v>1</v>
      </c>
      <c r="P938" s="15" t="n">
        <f aca="false">AL938*評分方法!$C$12</f>
        <v>0</v>
      </c>
      <c r="Q938" s="6" t="n">
        <v>10050247</v>
      </c>
      <c r="R938" s="6" t="n">
        <v>82760793</v>
      </c>
      <c r="S938" s="11" t="s">
        <v>238</v>
      </c>
      <c r="T938" s="11" t="s">
        <v>239</v>
      </c>
      <c r="U938" s="5" t="s">
        <v>240</v>
      </c>
      <c r="V938" s="11" t="s">
        <v>279</v>
      </c>
      <c r="W938" s="5" t="s">
        <v>205</v>
      </c>
      <c r="X938" s="5" t="s">
        <v>242</v>
      </c>
      <c r="Y938" s="5"/>
      <c r="Z938" s="5"/>
      <c r="AA938" s="11" t="s">
        <v>162</v>
      </c>
      <c r="AB938" s="5" t="s">
        <v>245</v>
      </c>
      <c r="AC938" s="5"/>
      <c r="AD938" s="11" t="s">
        <v>2407</v>
      </c>
      <c r="AE938" s="23" t="n">
        <v>0.5</v>
      </c>
      <c r="AF938" s="23" t="n">
        <v>0</v>
      </c>
      <c r="AG938" s="23" t="n">
        <v>1</v>
      </c>
      <c r="AH938" s="23" t="n">
        <v>1</v>
      </c>
      <c r="AI938" s="23" t="n">
        <v>1</v>
      </c>
      <c r="AJ938" s="23" t="n">
        <v>0.9584</v>
      </c>
      <c r="AK938" s="23" t="n">
        <v>0.2</v>
      </c>
      <c r="AL938" s="23" t="n">
        <v>0</v>
      </c>
      <c r="AM938" s="16" t="n">
        <f aca="false">COUNTIFS($D$2:$D$2501,D938,$G$2:$G$2501,"&gt;"&amp;G938)+COUNTIFS($D$2:D938,D938,$G$2:G938,G938)</f>
        <v>20</v>
      </c>
      <c r="AN938" s="5" t="str">
        <f aca="false">D938&amp;"|"&amp;AM938</f>
        <v>微調基底模型|20</v>
      </c>
    </row>
    <row r="939" customFormat="false" ht="17.15" hidden="false" customHeight="false" outlineLevel="0" collapsed="false">
      <c r="A939" s="16" t="n">
        <f aca="false">RANK(G939,$G$2:$G$2501)+COUNTIF($G$2:G939,G939)-1</f>
        <v>938</v>
      </c>
      <c r="B939" s="11" t="s">
        <v>2408</v>
      </c>
      <c r="C939" s="11" t="s">
        <v>402</v>
      </c>
      <c r="D939" s="5" t="s">
        <v>58</v>
      </c>
      <c r="E939" s="5" t="s">
        <v>59</v>
      </c>
      <c r="F939" s="5"/>
      <c r="G939" s="22" t="n">
        <f aca="false">ROUND(SUM(I939:P939),3)</f>
        <v>65.582</v>
      </c>
      <c r="H939" s="5" t="str">
        <f aca="false">IF(G939&gt;=評分方法!$C$16,"優先評估",IF(G939&gt;=評分方法!$C$17,"列入候選",IF(G939&gt;=評分方法!$C$18,"特定情境","不建議")))</f>
        <v>特定情境</v>
      </c>
      <c r="I939" s="15" t="n">
        <f aca="false">AE939*評分方法!$C$5</f>
        <v>28.5</v>
      </c>
      <c r="J939" s="15" t="n">
        <f aca="false">AF939*評分方法!$C$6</f>
        <v>0</v>
      </c>
      <c r="K939" s="15" t="n">
        <f aca="false">AG939*評分方法!$C$7</f>
        <v>4.95</v>
      </c>
      <c r="L939" s="15" t="n">
        <f aca="false">AH939*評分方法!$C$8</f>
        <v>15</v>
      </c>
      <c r="M939" s="15" t="n">
        <f aca="false">AI939*評分方法!$C$9</f>
        <v>10</v>
      </c>
      <c r="N939" s="15" t="n">
        <f aca="false">AJ939*評分方法!$C$10</f>
        <v>4.632</v>
      </c>
      <c r="O939" s="15" t="n">
        <f aca="false">AK939*評分方法!$C$11</f>
        <v>2.5</v>
      </c>
      <c r="P939" s="15" t="n">
        <f aca="false">AL939*評分方法!$C$12</f>
        <v>0</v>
      </c>
      <c r="Q939" s="6" t="n">
        <v>505284</v>
      </c>
      <c r="R939" s="6" t="n">
        <v>81530115</v>
      </c>
      <c r="S939" s="11" t="s">
        <v>238</v>
      </c>
      <c r="T939" s="11" t="s">
        <v>239</v>
      </c>
      <c r="U939" s="5" t="s">
        <v>240</v>
      </c>
      <c r="V939" s="11" t="s">
        <v>261</v>
      </c>
      <c r="W939" s="5" t="s">
        <v>334</v>
      </c>
      <c r="X939" s="5" t="s">
        <v>242</v>
      </c>
      <c r="Y939" s="5"/>
      <c r="Z939" s="5"/>
      <c r="AA939" s="11" t="s">
        <v>150</v>
      </c>
      <c r="AB939" s="5" t="s">
        <v>245</v>
      </c>
      <c r="AC939" s="5"/>
      <c r="AD939" s="11" t="s">
        <v>2409</v>
      </c>
      <c r="AE939" s="23" t="n">
        <v>0.95</v>
      </c>
      <c r="AF939" s="23" t="n">
        <v>0</v>
      </c>
      <c r="AG939" s="23" t="n">
        <v>0.33</v>
      </c>
      <c r="AH939" s="23" t="n">
        <v>1</v>
      </c>
      <c r="AI939" s="23" t="n">
        <v>1</v>
      </c>
      <c r="AJ939" s="23" t="n">
        <v>0.4632</v>
      </c>
      <c r="AK939" s="23" t="n">
        <v>0.5</v>
      </c>
      <c r="AL939" s="23" t="n">
        <v>0</v>
      </c>
      <c r="AM939" s="16" t="n">
        <f aca="false">COUNTIFS($D$2:$D$2501,D939,$G$2:$G$2501,"&gt;"&amp;G939)+COUNTIFS($D$2:D939,D939,$G$2:G939,G939)</f>
        <v>238</v>
      </c>
      <c r="AN939" s="5" t="str">
        <f aca="false">D939&amp;"|"&amp;AM939</f>
        <v>實體擷取與去識別化|238</v>
      </c>
    </row>
    <row r="940" customFormat="false" ht="17.15" hidden="false" customHeight="false" outlineLevel="0" collapsed="false">
      <c r="A940" s="16" t="n">
        <f aca="false">RANK(G940,$G$2:$G$2501)+COUNTIF($G$2:G940,G940)-1</f>
        <v>939</v>
      </c>
      <c r="B940" s="11" t="s">
        <v>2410</v>
      </c>
      <c r="C940" s="11" t="s">
        <v>2411</v>
      </c>
      <c r="D940" s="5" t="s">
        <v>66</v>
      </c>
      <c r="E940" s="5" t="s">
        <v>67</v>
      </c>
      <c r="F940" s="5"/>
      <c r="G940" s="22" t="n">
        <f aca="false">ROUND(SUM(I940:P940),3)</f>
        <v>65.534</v>
      </c>
      <c r="H940" s="5" t="str">
        <f aca="false">IF(G940&gt;=評分方法!$C$16,"優先評估",IF(G940&gt;=評分方法!$C$17,"列入候選",IF(G940&gt;=評分方法!$C$18,"特定情境","不建議")))</f>
        <v>特定情境</v>
      </c>
      <c r="I940" s="15" t="n">
        <f aca="false">AE940*評分方法!$C$5</f>
        <v>30</v>
      </c>
      <c r="J940" s="15" t="n">
        <f aca="false">AF940*評分方法!$C$6</f>
        <v>0</v>
      </c>
      <c r="K940" s="15" t="n">
        <f aca="false">AG940*評分方法!$C$7</f>
        <v>4.95</v>
      </c>
      <c r="L940" s="15" t="n">
        <f aca="false">AH940*評分方法!$C$8</f>
        <v>15</v>
      </c>
      <c r="M940" s="15" t="n">
        <f aca="false">AI940*評分方法!$C$9</f>
        <v>10</v>
      </c>
      <c r="N940" s="15" t="n">
        <f aca="false">AJ940*評分方法!$C$10</f>
        <v>3.084</v>
      </c>
      <c r="O940" s="15" t="n">
        <f aca="false">AK940*評分方法!$C$11</f>
        <v>2.5</v>
      </c>
      <c r="P940" s="15" t="n">
        <f aca="false">AL940*評分方法!$C$12</f>
        <v>0</v>
      </c>
      <c r="Q940" s="6" t="n">
        <v>301751</v>
      </c>
      <c r="R940" s="6" t="n">
        <v>435063810</v>
      </c>
      <c r="S940" s="11" t="s">
        <v>238</v>
      </c>
      <c r="T940" s="11" t="s">
        <v>278</v>
      </c>
      <c r="U940" s="5" t="s">
        <v>240</v>
      </c>
      <c r="V940" s="11" t="s">
        <v>261</v>
      </c>
      <c r="W940" s="5" t="s">
        <v>334</v>
      </c>
      <c r="X940" s="5" t="s">
        <v>242</v>
      </c>
      <c r="Y940" s="11" t="s">
        <v>595</v>
      </c>
      <c r="Z940" s="11" t="s">
        <v>270</v>
      </c>
      <c r="AA940" s="11" t="s">
        <v>149</v>
      </c>
      <c r="AB940" s="5" t="s">
        <v>245</v>
      </c>
      <c r="AC940" s="5"/>
      <c r="AD940" s="11" t="s">
        <v>2412</v>
      </c>
      <c r="AE940" s="23" t="n">
        <v>1</v>
      </c>
      <c r="AF940" s="23" t="n">
        <v>0</v>
      </c>
      <c r="AG940" s="23" t="n">
        <v>0.33</v>
      </c>
      <c r="AH940" s="23" t="n">
        <v>1</v>
      </c>
      <c r="AI940" s="23" t="n">
        <v>1</v>
      </c>
      <c r="AJ940" s="23" t="n">
        <v>0.3084</v>
      </c>
      <c r="AK940" s="23" t="n">
        <v>0.5</v>
      </c>
      <c r="AL940" s="23" t="n">
        <v>0</v>
      </c>
      <c r="AM940" s="16" t="n">
        <f aca="false">COUNTIFS($D$2:$D$2501,D940,$G$2:$G$2501,"&gt;"&amp;G940)+COUNTIFS($D$2:D940,D940,$G$2:G940,G940)</f>
        <v>25</v>
      </c>
      <c r="AN940" s="5" t="str">
        <f aca="false">D940&amp;"|"&amp;AM940</f>
        <v>分類與偵測|25</v>
      </c>
    </row>
    <row r="941" customFormat="false" ht="17.15" hidden="false" customHeight="false" outlineLevel="0" collapsed="false">
      <c r="A941" s="16" t="n">
        <f aca="false">RANK(G941,$G$2:$G$2501)+COUNTIF($G$2:G941,G941)-1</f>
        <v>940</v>
      </c>
      <c r="B941" s="11" t="s">
        <v>2413</v>
      </c>
      <c r="C941" s="11" t="s">
        <v>299</v>
      </c>
      <c r="D941" s="5" t="s">
        <v>78</v>
      </c>
      <c r="E941" s="5" t="s">
        <v>79</v>
      </c>
      <c r="F941" s="5"/>
      <c r="G941" s="22" t="n">
        <f aca="false">ROUND(SUM(I941:P941),3)</f>
        <v>65.53</v>
      </c>
      <c r="H941" s="5" t="str">
        <f aca="false">IF(G941&gt;=評分方法!$C$16,"優先評估",IF(G941&gt;=評分方法!$C$17,"列入候選",IF(G941&gt;=評分方法!$C$18,"特定情境","不建議")))</f>
        <v>特定情境</v>
      </c>
      <c r="I941" s="15" t="n">
        <f aca="false">AE941*評分方法!$C$5</f>
        <v>9</v>
      </c>
      <c r="J941" s="15" t="n">
        <f aca="false">AF941*評分方法!$C$6</f>
        <v>0</v>
      </c>
      <c r="K941" s="15" t="n">
        <f aca="false">AG941*評分方法!$C$7</f>
        <v>15</v>
      </c>
      <c r="L941" s="15" t="n">
        <f aca="false">AH941*評分方法!$C$8</f>
        <v>13.05</v>
      </c>
      <c r="M941" s="15" t="n">
        <f aca="false">AI941*評分方法!$C$9</f>
        <v>10</v>
      </c>
      <c r="N941" s="15" t="n">
        <f aca="false">AJ941*評分方法!$C$10</f>
        <v>8.48</v>
      </c>
      <c r="O941" s="15" t="n">
        <f aca="false">AK941*評分方法!$C$11</f>
        <v>5</v>
      </c>
      <c r="P941" s="15" t="n">
        <f aca="false">AL941*評分方法!$C$12</f>
        <v>5</v>
      </c>
      <c r="Q941" s="6" t="n">
        <v>2179029</v>
      </c>
      <c r="R941" s="6" t="n">
        <v>2313207132</v>
      </c>
      <c r="S941" s="11" t="s">
        <v>254</v>
      </c>
      <c r="T941" s="11" t="s">
        <v>239</v>
      </c>
      <c r="U941" s="5" t="s">
        <v>240</v>
      </c>
      <c r="V941" s="11" t="s">
        <v>261</v>
      </c>
      <c r="W941" s="5" t="s">
        <v>205</v>
      </c>
      <c r="X941" s="5" t="s">
        <v>284</v>
      </c>
      <c r="Y941" s="11" t="s">
        <v>2414</v>
      </c>
      <c r="Z941" s="11" t="s">
        <v>270</v>
      </c>
      <c r="AA941" s="11" t="s">
        <v>175</v>
      </c>
      <c r="AB941" s="5" t="s">
        <v>245</v>
      </c>
      <c r="AC941" s="5"/>
      <c r="AD941" s="11" t="s">
        <v>2415</v>
      </c>
      <c r="AE941" s="23" t="n">
        <v>0.3</v>
      </c>
      <c r="AF941" s="23" t="n">
        <v>0</v>
      </c>
      <c r="AG941" s="23" t="n">
        <v>1</v>
      </c>
      <c r="AH941" s="23" t="n">
        <v>0.87</v>
      </c>
      <c r="AI941" s="23" t="n">
        <v>1</v>
      </c>
      <c r="AJ941" s="23" t="n">
        <v>0.848</v>
      </c>
      <c r="AK941" s="23" t="n">
        <v>1</v>
      </c>
      <c r="AL941" s="23" t="n">
        <v>1</v>
      </c>
      <c r="AM941" s="16" t="n">
        <f aca="false">COUNTIFS($D$2:$D$2501,D941,$G$2:$G$2501,"&gt;"&amp;G941)+COUNTIFS($D$2:D941,D941,$G$2:G941,G941)</f>
        <v>3</v>
      </c>
      <c r="AN941" s="5" t="str">
        <f aca="false">D941&amp;"|"&amp;AM941</f>
        <v>語音分析|3</v>
      </c>
    </row>
    <row r="942" customFormat="false" ht="17.15" hidden="false" customHeight="false" outlineLevel="0" collapsed="false">
      <c r="A942" s="16" t="n">
        <f aca="false">RANK(G942,$G$2:$G$2501)+COUNTIF($G$2:G942,G942)-1</f>
        <v>941</v>
      </c>
      <c r="B942" s="11" t="s">
        <v>2416</v>
      </c>
      <c r="C942" s="11" t="s">
        <v>1111</v>
      </c>
      <c r="D942" s="5" t="s">
        <v>56</v>
      </c>
      <c r="E942" s="5" t="s">
        <v>57</v>
      </c>
      <c r="F942" s="5"/>
      <c r="G942" s="22" t="n">
        <f aca="false">ROUND(SUM(I942:P942),3)</f>
        <v>65.522</v>
      </c>
      <c r="H942" s="5" t="str">
        <f aca="false">IF(G942&gt;=評分方法!$C$16,"優先評估",IF(G942&gt;=評分方法!$C$17,"列入候選",IF(G942&gt;=評分方法!$C$18,"特定情境","不建議")))</f>
        <v>特定情境</v>
      </c>
      <c r="I942" s="15" t="n">
        <f aca="false">AE942*評分方法!$C$5</f>
        <v>25.5</v>
      </c>
      <c r="J942" s="15" t="n">
        <f aca="false">AF942*評分方法!$C$6</f>
        <v>0</v>
      </c>
      <c r="K942" s="15" t="n">
        <f aca="false">AG942*評分方法!$C$7</f>
        <v>10.05</v>
      </c>
      <c r="L942" s="15" t="n">
        <f aca="false">AH942*評分方法!$C$8</f>
        <v>9</v>
      </c>
      <c r="M942" s="15" t="n">
        <f aca="false">AI942*評分方法!$C$9</f>
        <v>10</v>
      </c>
      <c r="N942" s="15" t="n">
        <f aca="false">AJ942*評分方法!$C$10</f>
        <v>0.972</v>
      </c>
      <c r="O942" s="15" t="n">
        <f aca="false">AK942*評分方法!$C$11</f>
        <v>5</v>
      </c>
      <c r="P942" s="15" t="n">
        <f aca="false">AL942*評分方法!$C$12</f>
        <v>5</v>
      </c>
      <c r="Q942" s="6" t="n">
        <v>152260</v>
      </c>
      <c r="R942" s="6" t="n">
        <v>24014638080</v>
      </c>
      <c r="S942" s="11" t="s">
        <v>389</v>
      </c>
      <c r="T942" s="11" t="s">
        <v>239</v>
      </c>
      <c r="U942" s="5" t="s">
        <v>240</v>
      </c>
      <c r="V942" s="11" t="s">
        <v>261</v>
      </c>
      <c r="W942" s="5" t="s">
        <v>207</v>
      </c>
      <c r="X942" s="5" t="s">
        <v>284</v>
      </c>
      <c r="Y942" s="11" t="s">
        <v>665</v>
      </c>
      <c r="Z942" s="11" t="s">
        <v>244</v>
      </c>
      <c r="AA942" s="11" t="s">
        <v>156</v>
      </c>
      <c r="AB942" s="5" t="s">
        <v>245</v>
      </c>
      <c r="AC942" s="5" t="s">
        <v>246</v>
      </c>
      <c r="AD942" s="11" t="s">
        <v>2417</v>
      </c>
      <c r="AE942" s="23" t="n">
        <v>0.85</v>
      </c>
      <c r="AF942" s="23" t="n">
        <v>0</v>
      </c>
      <c r="AG942" s="23" t="n">
        <v>0.67</v>
      </c>
      <c r="AH942" s="23" t="n">
        <v>0.6</v>
      </c>
      <c r="AI942" s="23" t="n">
        <v>1</v>
      </c>
      <c r="AJ942" s="23" t="n">
        <v>0.0972</v>
      </c>
      <c r="AK942" s="23" t="n">
        <v>1</v>
      </c>
      <c r="AL942" s="23" t="n">
        <v>1</v>
      </c>
      <c r="AM942" s="16" t="n">
        <f aca="false">COUNTIFS($D$2:$D$2501,D942,$G$2:$G$2501,"&gt;"&amp;G942)+COUNTIFS($D$2:D942,D942,$G$2:G942,G942)</f>
        <v>414</v>
      </c>
      <c r="AN942" s="5" t="str">
        <f aca="false">D942&amp;"|"&amp;AM942</f>
        <v>分析與報告生成|414</v>
      </c>
    </row>
    <row r="943" customFormat="false" ht="17.15" hidden="false" customHeight="false" outlineLevel="0" collapsed="false">
      <c r="A943" s="16" t="n">
        <f aca="false">RANK(G943,$G$2:$G$2501)+COUNTIF($G$2:G943,G943)-1</f>
        <v>942</v>
      </c>
      <c r="B943" s="11" t="s">
        <v>2418</v>
      </c>
      <c r="C943" s="11" t="s">
        <v>402</v>
      </c>
      <c r="D943" s="5" t="s">
        <v>58</v>
      </c>
      <c r="E943" s="5" t="s">
        <v>59</v>
      </c>
      <c r="F943" s="5"/>
      <c r="G943" s="22" t="n">
        <f aca="false">ROUND(SUM(I943:P943),3)</f>
        <v>65.518</v>
      </c>
      <c r="H943" s="5" t="str">
        <f aca="false">IF(G943&gt;=評分方法!$C$16,"優先評估",IF(G943&gt;=評分方法!$C$17,"列入候選",IF(G943&gt;=評分方法!$C$18,"特定情境","不建議")))</f>
        <v>特定情境</v>
      </c>
      <c r="I943" s="15" t="n">
        <f aca="false">AE943*評分方法!$C$5</f>
        <v>28.5</v>
      </c>
      <c r="J943" s="15" t="n">
        <f aca="false">AF943*評分方法!$C$6</f>
        <v>0</v>
      </c>
      <c r="K943" s="15" t="n">
        <f aca="false">AG943*評分方法!$C$7</f>
        <v>4.95</v>
      </c>
      <c r="L943" s="15" t="n">
        <f aca="false">AH943*評分方法!$C$8</f>
        <v>15</v>
      </c>
      <c r="M943" s="15" t="n">
        <f aca="false">AI943*評分方法!$C$9</f>
        <v>10</v>
      </c>
      <c r="N943" s="15" t="n">
        <f aca="false">AJ943*評分方法!$C$10</f>
        <v>4.568</v>
      </c>
      <c r="O943" s="15" t="n">
        <f aca="false">AK943*評分方法!$C$11</f>
        <v>2.5</v>
      </c>
      <c r="P943" s="15" t="n">
        <f aca="false">AL943*評分方法!$C$12</f>
        <v>0</v>
      </c>
      <c r="Q943" s="6" t="n">
        <v>497890</v>
      </c>
      <c r="R943" s="6" t="n">
        <v>434015235</v>
      </c>
      <c r="S943" s="11" t="s">
        <v>238</v>
      </c>
      <c r="T943" s="11" t="s">
        <v>239</v>
      </c>
      <c r="U943" s="5" t="s">
        <v>240</v>
      </c>
      <c r="V943" s="11" t="s">
        <v>261</v>
      </c>
      <c r="W943" s="5" t="s">
        <v>334</v>
      </c>
      <c r="X943" s="5" t="s">
        <v>242</v>
      </c>
      <c r="Y943" s="5"/>
      <c r="Z943" s="5"/>
      <c r="AA943" s="11" t="s">
        <v>150</v>
      </c>
      <c r="AB943" s="5" t="s">
        <v>245</v>
      </c>
      <c r="AC943" s="5"/>
      <c r="AD943" s="11" t="s">
        <v>2419</v>
      </c>
      <c r="AE943" s="23" t="n">
        <v>0.95</v>
      </c>
      <c r="AF943" s="23" t="n">
        <v>0</v>
      </c>
      <c r="AG943" s="23" t="n">
        <v>0.33</v>
      </c>
      <c r="AH943" s="23" t="n">
        <v>1</v>
      </c>
      <c r="AI943" s="23" t="n">
        <v>1</v>
      </c>
      <c r="AJ943" s="23" t="n">
        <v>0.4568</v>
      </c>
      <c r="AK943" s="23" t="n">
        <v>0.5</v>
      </c>
      <c r="AL943" s="23" t="n">
        <v>0</v>
      </c>
      <c r="AM943" s="16" t="n">
        <f aca="false">COUNTIFS($D$2:$D$2501,D943,$G$2:$G$2501,"&gt;"&amp;G943)+COUNTIFS($D$2:D943,D943,$G$2:G943,G943)</f>
        <v>239</v>
      </c>
      <c r="AN943" s="5" t="str">
        <f aca="false">D943&amp;"|"&amp;AM943</f>
        <v>實體擷取與去識別化|239</v>
      </c>
    </row>
    <row r="944" customFormat="false" ht="17.15" hidden="false" customHeight="false" outlineLevel="0" collapsed="false">
      <c r="A944" s="16" t="n">
        <f aca="false">RANK(G944,$G$2:$G$2501)+COUNTIF($G$2:G944,G944)-1</f>
        <v>943</v>
      </c>
      <c r="B944" s="11" t="s">
        <v>2420</v>
      </c>
      <c r="C944" s="11" t="s">
        <v>402</v>
      </c>
      <c r="D944" s="5" t="s">
        <v>58</v>
      </c>
      <c r="E944" s="5" t="s">
        <v>59</v>
      </c>
      <c r="F944" s="5"/>
      <c r="G944" s="22" t="n">
        <f aca="false">ROUND(SUM(I944:P944),3)</f>
        <v>65.514</v>
      </c>
      <c r="H944" s="5" t="str">
        <f aca="false">IF(G944&gt;=評分方法!$C$16,"優先評估",IF(G944&gt;=評分方法!$C$17,"列入候選",IF(G944&gt;=評分方法!$C$18,"特定情境","不建議")))</f>
        <v>特定情境</v>
      </c>
      <c r="I944" s="15" t="n">
        <f aca="false">AE944*評分方法!$C$5</f>
        <v>28.5</v>
      </c>
      <c r="J944" s="15" t="n">
        <f aca="false">AF944*評分方法!$C$6</f>
        <v>0</v>
      </c>
      <c r="K944" s="15" t="n">
        <f aca="false">AG944*評分方法!$C$7</f>
        <v>4.95</v>
      </c>
      <c r="L944" s="15" t="n">
        <f aca="false">AH944*評分方法!$C$8</f>
        <v>15</v>
      </c>
      <c r="M944" s="15" t="n">
        <f aca="false">AI944*評分方法!$C$9</f>
        <v>10</v>
      </c>
      <c r="N944" s="15" t="n">
        <f aca="false">AJ944*評分方法!$C$10</f>
        <v>4.564</v>
      </c>
      <c r="O944" s="15" t="n">
        <f aca="false">AK944*評分方法!$C$11</f>
        <v>2.5</v>
      </c>
      <c r="P944" s="15" t="n">
        <f aca="false">AL944*評分方法!$C$12</f>
        <v>0</v>
      </c>
      <c r="Q944" s="6" t="n">
        <v>497417</v>
      </c>
      <c r="R944" s="6" t="n">
        <v>334095363</v>
      </c>
      <c r="S944" s="11" t="s">
        <v>238</v>
      </c>
      <c r="T944" s="11" t="s">
        <v>239</v>
      </c>
      <c r="U944" s="5" t="s">
        <v>240</v>
      </c>
      <c r="V944" s="11" t="s">
        <v>261</v>
      </c>
      <c r="W944" s="5" t="s">
        <v>334</v>
      </c>
      <c r="X944" s="5" t="s">
        <v>242</v>
      </c>
      <c r="Y944" s="5"/>
      <c r="Z944" s="5"/>
      <c r="AA944" s="11" t="s">
        <v>150</v>
      </c>
      <c r="AB944" s="5" t="s">
        <v>245</v>
      </c>
      <c r="AC944" s="5"/>
      <c r="AD944" s="11" t="s">
        <v>2421</v>
      </c>
      <c r="AE944" s="23" t="n">
        <v>0.95</v>
      </c>
      <c r="AF944" s="23" t="n">
        <v>0</v>
      </c>
      <c r="AG944" s="23" t="n">
        <v>0.33</v>
      </c>
      <c r="AH944" s="23" t="n">
        <v>1</v>
      </c>
      <c r="AI944" s="23" t="n">
        <v>1</v>
      </c>
      <c r="AJ944" s="23" t="n">
        <v>0.4564</v>
      </c>
      <c r="AK944" s="23" t="n">
        <v>0.5</v>
      </c>
      <c r="AL944" s="23" t="n">
        <v>0</v>
      </c>
      <c r="AM944" s="16" t="n">
        <f aca="false">COUNTIFS($D$2:$D$2501,D944,$G$2:$G$2501,"&gt;"&amp;G944)+COUNTIFS($D$2:D944,D944,$G$2:G944,G944)</f>
        <v>240</v>
      </c>
      <c r="AN944" s="5" t="str">
        <f aca="false">D944&amp;"|"&amp;AM944</f>
        <v>實體擷取與去識別化|240</v>
      </c>
    </row>
    <row r="945" customFormat="false" ht="17.15" hidden="false" customHeight="false" outlineLevel="0" collapsed="false">
      <c r="A945" s="16" t="n">
        <f aca="false">RANK(G945,$G$2:$G$2501)+COUNTIF($G$2:G945,G945)-1</f>
        <v>944</v>
      </c>
      <c r="B945" s="11" t="s">
        <v>2422</v>
      </c>
      <c r="C945" s="11" t="s">
        <v>402</v>
      </c>
      <c r="D945" s="5" t="s">
        <v>58</v>
      </c>
      <c r="E945" s="5" t="s">
        <v>59</v>
      </c>
      <c r="F945" s="5"/>
      <c r="G945" s="22" t="n">
        <f aca="false">ROUND(SUM(I945:P945),3)</f>
        <v>65.498</v>
      </c>
      <c r="H945" s="5" t="str">
        <f aca="false">IF(G945&gt;=評分方法!$C$16,"優先評估",IF(G945&gt;=評分方法!$C$17,"列入候選",IF(G945&gt;=評分方法!$C$18,"特定情境","不建議")))</f>
        <v>特定情境</v>
      </c>
      <c r="I945" s="15" t="n">
        <f aca="false">AE945*評分方法!$C$5</f>
        <v>28.5</v>
      </c>
      <c r="J945" s="15" t="n">
        <f aca="false">AF945*評分方法!$C$6</f>
        <v>0</v>
      </c>
      <c r="K945" s="15" t="n">
        <f aca="false">AG945*評分方法!$C$7</f>
        <v>4.95</v>
      </c>
      <c r="L945" s="15" t="n">
        <f aca="false">AH945*評分方法!$C$8</f>
        <v>15</v>
      </c>
      <c r="M945" s="15" t="n">
        <f aca="false">AI945*評分方法!$C$9</f>
        <v>10</v>
      </c>
      <c r="N945" s="15" t="n">
        <f aca="false">AJ945*評分方法!$C$10</f>
        <v>4.548</v>
      </c>
      <c r="O945" s="15" t="n">
        <f aca="false">AK945*評分方法!$C$11</f>
        <v>2.5</v>
      </c>
      <c r="P945" s="15" t="n">
        <f aca="false">AL945*評分方法!$C$12</f>
        <v>0</v>
      </c>
      <c r="Q945" s="6" t="n">
        <v>497010</v>
      </c>
      <c r="R945" s="6" t="n">
        <v>33213315</v>
      </c>
      <c r="S945" s="11" t="s">
        <v>238</v>
      </c>
      <c r="T945" s="11" t="s">
        <v>239</v>
      </c>
      <c r="U945" s="5" t="s">
        <v>240</v>
      </c>
      <c r="V945" s="11" t="s">
        <v>261</v>
      </c>
      <c r="W945" s="5" t="s">
        <v>334</v>
      </c>
      <c r="X945" s="5" t="s">
        <v>242</v>
      </c>
      <c r="Y945" s="5"/>
      <c r="Z945" s="5"/>
      <c r="AA945" s="11" t="s">
        <v>150</v>
      </c>
      <c r="AB945" s="5" t="s">
        <v>245</v>
      </c>
      <c r="AC945" s="5"/>
      <c r="AD945" s="11" t="s">
        <v>2423</v>
      </c>
      <c r="AE945" s="23" t="n">
        <v>0.95</v>
      </c>
      <c r="AF945" s="23" t="n">
        <v>0</v>
      </c>
      <c r="AG945" s="23" t="n">
        <v>0.33</v>
      </c>
      <c r="AH945" s="23" t="n">
        <v>1</v>
      </c>
      <c r="AI945" s="23" t="n">
        <v>1</v>
      </c>
      <c r="AJ945" s="23" t="n">
        <v>0.4548</v>
      </c>
      <c r="AK945" s="23" t="n">
        <v>0.5</v>
      </c>
      <c r="AL945" s="23" t="n">
        <v>0</v>
      </c>
      <c r="AM945" s="16" t="n">
        <f aca="false">COUNTIFS($D$2:$D$2501,D945,$G$2:$G$2501,"&gt;"&amp;G945)+COUNTIFS($D$2:D945,D945,$G$2:G945,G945)</f>
        <v>241</v>
      </c>
      <c r="AN945" s="5" t="str">
        <f aca="false">D945&amp;"|"&amp;AM945</f>
        <v>實體擷取與去識別化|241</v>
      </c>
    </row>
    <row r="946" customFormat="false" ht="17.15" hidden="false" customHeight="false" outlineLevel="0" collapsed="false">
      <c r="A946" s="16" t="n">
        <f aca="false">RANK(G946,$G$2:$G$2501)+COUNTIF($G$2:G946,G946)-1</f>
        <v>945</v>
      </c>
      <c r="B946" s="11" t="s">
        <v>2424</v>
      </c>
      <c r="C946" s="11" t="s">
        <v>308</v>
      </c>
      <c r="D946" s="5" t="s">
        <v>74</v>
      </c>
      <c r="E946" s="5" t="s">
        <v>75</v>
      </c>
      <c r="F946" s="5"/>
      <c r="G946" s="22" t="n">
        <f aca="false">ROUND(SUM(I946:P946),3)</f>
        <v>65.492</v>
      </c>
      <c r="H946" s="5" t="str">
        <f aca="false">IF(G946&gt;=評分方法!$C$16,"優先評估",IF(G946&gt;=評分方法!$C$17,"列入候選",IF(G946&gt;=評分方法!$C$18,"特定情境","不建議")))</f>
        <v>特定情境</v>
      </c>
      <c r="I946" s="15" t="n">
        <f aca="false">AE946*評分方法!$C$5</f>
        <v>13.5</v>
      </c>
      <c r="J946" s="15" t="n">
        <f aca="false">AF946*評分方法!$C$6</f>
        <v>0</v>
      </c>
      <c r="K946" s="15" t="n">
        <f aca="false">AG946*評分方法!$C$7</f>
        <v>15</v>
      </c>
      <c r="L946" s="15" t="n">
        <f aca="false">AH946*評分方法!$C$8</f>
        <v>15</v>
      </c>
      <c r="M946" s="15" t="n">
        <f aca="false">AI946*評分方法!$C$9</f>
        <v>10</v>
      </c>
      <c r="N946" s="15" t="n">
        <f aca="false">AJ946*評分方法!$C$10</f>
        <v>9.492</v>
      </c>
      <c r="O946" s="15" t="n">
        <f aca="false">AK946*評分方法!$C$11</f>
        <v>1</v>
      </c>
      <c r="P946" s="15" t="n">
        <f aca="false">AL946*評分方法!$C$12</f>
        <v>1.5</v>
      </c>
      <c r="Q946" s="6" t="n">
        <v>8629887</v>
      </c>
      <c r="R946" s="6" t="n">
        <v>28847819</v>
      </c>
      <c r="S946" s="11" t="s">
        <v>238</v>
      </c>
      <c r="T946" s="11" t="s">
        <v>278</v>
      </c>
      <c r="U946" s="5" t="s">
        <v>240</v>
      </c>
      <c r="V946" s="11" t="s">
        <v>324</v>
      </c>
      <c r="W946" s="5" t="s">
        <v>205</v>
      </c>
      <c r="X946" s="5" t="s">
        <v>255</v>
      </c>
      <c r="Y946" s="5"/>
      <c r="Z946" s="5"/>
      <c r="AA946" s="11" t="s">
        <v>164</v>
      </c>
      <c r="AB946" s="5" t="s">
        <v>245</v>
      </c>
      <c r="AC946" s="5"/>
      <c r="AD946" s="11" t="s">
        <v>2425</v>
      </c>
      <c r="AE946" s="23" t="n">
        <v>0.45</v>
      </c>
      <c r="AF946" s="23" t="n">
        <v>0</v>
      </c>
      <c r="AG946" s="23" t="n">
        <v>1</v>
      </c>
      <c r="AH946" s="23" t="n">
        <v>1</v>
      </c>
      <c r="AI946" s="23" t="n">
        <v>1</v>
      </c>
      <c r="AJ946" s="23" t="n">
        <v>0.9492</v>
      </c>
      <c r="AK946" s="23" t="n">
        <v>0.2</v>
      </c>
      <c r="AL946" s="23" t="n">
        <v>0.3</v>
      </c>
      <c r="AM946" s="16" t="n">
        <f aca="false">COUNTIFS($D$2:$D$2501,D946,$G$2:$G$2501,"&gt;"&amp;G946)+COUNTIFS($D$2:D946,D946,$G$2:G946,G946)</f>
        <v>6</v>
      </c>
      <c r="AN946" s="5" t="str">
        <f aca="false">D946&amp;"|"&amp;AM946</f>
        <v>文件與影像辨識|6</v>
      </c>
    </row>
    <row r="947" customFormat="false" ht="17.15" hidden="false" customHeight="false" outlineLevel="0" collapsed="false">
      <c r="A947" s="16" t="n">
        <f aca="false">RANK(G947,$G$2:$G$2501)+COUNTIF($G$2:G947,G947)-1</f>
        <v>946</v>
      </c>
      <c r="B947" s="11" t="s">
        <v>2426</v>
      </c>
      <c r="C947" s="11" t="s">
        <v>989</v>
      </c>
      <c r="D947" s="5" t="s">
        <v>56</v>
      </c>
      <c r="E947" s="5" t="s">
        <v>57</v>
      </c>
      <c r="F947" s="5"/>
      <c r="G947" s="22" t="n">
        <f aca="false">ROUND(SUM(I947:P947),3)</f>
        <v>65.492</v>
      </c>
      <c r="H947" s="5" t="str">
        <f aca="false">IF(G947&gt;=評分方法!$C$16,"優先評估",IF(G947&gt;=評分方法!$C$17,"列入候選",IF(G947&gt;=評分方法!$C$18,"特定情境","不建議")))</f>
        <v>特定情境</v>
      </c>
      <c r="I947" s="15" t="n">
        <f aca="false">AE947*評分方法!$C$5</f>
        <v>25.5</v>
      </c>
      <c r="J947" s="15" t="n">
        <f aca="false">AF947*評分方法!$C$6</f>
        <v>0</v>
      </c>
      <c r="K947" s="15" t="n">
        <f aca="false">AG947*評分方法!$C$7</f>
        <v>10.05</v>
      </c>
      <c r="L947" s="15" t="n">
        <f aca="false">AH947*評分方法!$C$8</f>
        <v>13.05</v>
      </c>
      <c r="M947" s="15" t="n">
        <f aca="false">AI947*評分方法!$C$9</f>
        <v>6</v>
      </c>
      <c r="N947" s="15" t="n">
        <f aca="false">AJ947*評分方法!$C$10</f>
        <v>8.392</v>
      </c>
      <c r="O947" s="15" t="n">
        <f aca="false">AK947*評分方法!$C$11</f>
        <v>2.5</v>
      </c>
      <c r="P947" s="15" t="n">
        <f aca="false">AL947*評分方法!$C$12</f>
        <v>0</v>
      </c>
      <c r="Q947" s="6" t="n">
        <v>2045305</v>
      </c>
      <c r="R947" s="6" t="n">
        <v>8030261312</v>
      </c>
      <c r="S947" s="11" t="s">
        <v>254</v>
      </c>
      <c r="T947" s="11" t="s">
        <v>259</v>
      </c>
      <c r="U947" s="5" t="s">
        <v>260</v>
      </c>
      <c r="V947" s="11" t="s">
        <v>333</v>
      </c>
      <c r="W947" s="5" t="s">
        <v>207</v>
      </c>
      <c r="X947" s="5" t="s">
        <v>242</v>
      </c>
      <c r="Y947" s="11" t="s">
        <v>1066</v>
      </c>
      <c r="Z947" s="11" t="s">
        <v>244</v>
      </c>
      <c r="AA947" s="11" t="s">
        <v>155</v>
      </c>
      <c r="AB947" s="5" t="s">
        <v>245</v>
      </c>
      <c r="AC947" s="5" t="s">
        <v>464</v>
      </c>
      <c r="AD947" s="11" t="s">
        <v>2427</v>
      </c>
      <c r="AE947" s="23" t="n">
        <v>0.85</v>
      </c>
      <c r="AF947" s="23" t="n">
        <v>0</v>
      </c>
      <c r="AG947" s="23" t="n">
        <v>0.67</v>
      </c>
      <c r="AH947" s="23" t="n">
        <v>0.87</v>
      </c>
      <c r="AI947" s="23" t="n">
        <v>0.6</v>
      </c>
      <c r="AJ947" s="23" t="n">
        <v>0.8392</v>
      </c>
      <c r="AK947" s="23" t="n">
        <v>0.5</v>
      </c>
      <c r="AL947" s="23" t="n">
        <v>0</v>
      </c>
      <c r="AM947" s="16" t="n">
        <f aca="false">COUNTIFS($D$2:$D$2501,D947,$G$2:$G$2501,"&gt;"&amp;G947)+COUNTIFS($D$2:D947,D947,$G$2:G947,G947)</f>
        <v>415</v>
      </c>
      <c r="AN947" s="5" t="str">
        <f aca="false">D947&amp;"|"&amp;AM947</f>
        <v>分析與報告生成|415</v>
      </c>
    </row>
    <row r="948" customFormat="false" ht="17.15" hidden="false" customHeight="false" outlineLevel="0" collapsed="false">
      <c r="A948" s="16" t="n">
        <f aca="false">RANK(G948,$G$2:$G$2501)+COUNTIF($G$2:G948,G948)-1</f>
        <v>947</v>
      </c>
      <c r="B948" s="11" t="s">
        <v>2428</v>
      </c>
      <c r="C948" s="11" t="s">
        <v>402</v>
      </c>
      <c r="D948" s="5" t="s">
        <v>58</v>
      </c>
      <c r="E948" s="5" t="s">
        <v>59</v>
      </c>
      <c r="F948" s="5"/>
      <c r="G948" s="22" t="n">
        <f aca="false">ROUND(SUM(I948:P948),3)</f>
        <v>65.49</v>
      </c>
      <c r="H948" s="5" t="str">
        <f aca="false">IF(G948&gt;=評分方法!$C$16,"優先評估",IF(G948&gt;=評分方法!$C$17,"列入候選",IF(G948&gt;=評分方法!$C$18,"特定情境","不建議")))</f>
        <v>特定情境</v>
      </c>
      <c r="I948" s="15" t="n">
        <f aca="false">AE948*評分方法!$C$5</f>
        <v>28.5</v>
      </c>
      <c r="J948" s="15" t="n">
        <f aca="false">AF948*評分方法!$C$6</f>
        <v>0</v>
      </c>
      <c r="K948" s="15" t="n">
        <f aca="false">AG948*評分方法!$C$7</f>
        <v>4.95</v>
      </c>
      <c r="L948" s="15" t="n">
        <f aca="false">AH948*評分方法!$C$8</f>
        <v>15</v>
      </c>
      <c r="M948" s="15" t="n">
        <f aca="false">AI948*評分方法!$C$9</f>
        <v>10</v>
      </c>
      <c r="N948" s="15" t="n">
        <f aca="false">AJ948*評分方法!$C$10</f>
        <v>4.54</v>
      </c>
      <c r="O948" s="15" t="n">
        <f aca="false">AK948*評分方法!$C$11</f>
        <v>2.5</v>
      </c>
      <c r="P948" s="15" t="n">
        <f aca="false">AL948*評分方法!$C$12</f>
        <v>0</v>
      </c>
      <c r="Q948" s="6" t="n">
        <v>495206</v>
      </c>
      <c r="R948" s="6" t="n">
        <v>277455363</v>
      </c>
      <c r="S948" s="11" t="s">
        <v>238</v>
      </c>
      <c r="T948" s="11" t="s">
        <v>239</v>
      </c>
      <c r="U948" s="5" t="s">
        <v>240</v>
      </c>
      <c r="V948" s="11" t="s">
        <v>261</v>
      </c>
      <c r="W948" s="5" t="s">
        <v>334</v>
      </c>
      <c r="X948" s="5" t="s">
        <v>242</v>
      </c>
      <c r="Y948" s="5"/>
      <c r="Z948" s="5"/>
      <c r="AA948" s="11" t="s">
        <v>150</v>
      </c>
      <c r="AB948" s="5" t="s">
        <v>245</v>
      </c>
      <c r="AC948" s="5"/>
      <c r="AD948" s="11" t="s">
        <v>2429</v>
      </c>
      <c r="AE948" s="23" t="n">
        <v>0.95</v>
      </c>
      <c r="AF948" s="23" t="n">
        <v>0</v>
      </c>
      <c r="AG948" s="23" t="n">
        <v>0.33</v>
      </c>
      <c r="AH948" s="23" t="n">
        <v>1</v>
      </c>
      <c r="AI948" s="23" t="n">
        <v>1</v>
      </c>
      <c r="AJ948" s="23" t="n">
        <v>0.454</v>
      </c>
      <c r="AK948" s="23" t="n">
        <v>0.5</v>
      </c>
      <c r="AL948" s="23" t="n">
        <v>0</v>
      </c>
      <c r="AM948" s="16" t="n">
        <f aca="false">COUNTIFS($D$2:$D$2501,D948,$G$2:$G$2501,"&gt;"&amp;G948)+COUNTIFS($D$2:D948,D948,$G$2:G948,G948)</f>
        <v>242</v>
      </c>
      <c r="AN948" s="5" t="str">
        <f aca="false">D948&amp;"|"&amp;AM948</f>
        <v>實體擷取與去識別化|242</v>
      </c>
    </row>
    <row r="949" customFormat="false" ht="17.15" hidden="false" customHeight="false" outlineLevel="0" collapsed="false">
      <c r="A949" s="16" t="n">
        <f aca="false">RANK(G949,$G$2:$G$2501)+COUNTIF($G$2:G949,G949)-1</f>
        <v>948</v>
      </c>
      <c r="B949" s="11" t="s">
        <v>2430</v>
      </c>
      <c r="C949" s="11" t="s">
        <v>402</v>
      </c>
      <c r="D949" s="5" t="s">
        <v>58</v>
      </c>
      <c r="E949" s="5" t="s">
        <v>59</v>
      </c>
      <c r="F949" s="5"/>
      <c r="G949" s="22" t="n">
        <f aca="false">ROUND(SUM(I949:P949),3)</f>
        <v>65.474</v>
      </c>
      <c r="H949" s="5" t="str">
        <f aca="false">IF(G949&gt;=評分方法!$C$16,"優先評估",IF(G949&gt;=評分方法!$C$17,"列入候選",IF(G949&gt;=評分方法!$C$18,"特定情境","不建議")))</f>
        <v>特定情境</v>
      </c>
      <c r="I949" s="15" t="n">
        <f aca="false">AE949*評分方法!$C$5</f>
        <v>28.5</v>
      </c>
      <c r="J949" s="15" t="n">
        <f aca="false">AF949*評分方法!$C$6</f>
        <v>0</v>
      </c>
      <c r="K949" s="15" t="n">
        <f aca="false">AG949*評分方法!$C$7</f>
        <v>4.95</v>
      </c>
      <c r="L949" s="15" t="n">
        <f aca="false">AH949*評分方法!$C$8</f>
        <v>15</v>
      </c>
      <c r="M949" s="15" t="n">
        <f aca="false">AI949*評分方法!$C$9</f>
        <v>10</v>
      </c>
      <c r="N949" s="15" t="n">
        <f aca="false">AJ949*評分方法!$C$10</f>
        <v>4.524</v>
      </c>
      <c r="O949" s="15" t="n">
        <f aca="false">AK949*評分方法!$C$11</f>
        <v>2.5</v>
      </c>
      <c r="P949" s="15" t="n">
        <f aca="false">AL949*評分方法!$C$12</f>
        <v>0</v>
      </c>
      <c r="Q949" s="6" t="n">
        <v>493073</v>
      </c>
      <c r="R949" s="6" t="n">
        <v>558843907</v>
      </c>
      <c r="S949" s="11" t="s">
        <v>238</v>
      </c>
      <c r="T949" s="11" t="s">
        <v>239</v>
      </c>
      <c r="U949" s="5" t="s">
        <v>240</v>
      </c>
      <c r="V949" s="11" t="s">
        <v>261</v>
      </c>
      <c r="W949" s="5" t="s">
        <v>334</v>
      </c>
      <c r="X949" s="5" t="s">
        <v>242</v>
      </c>
      <c r="Y949" s="5"/>
      <c r="Z949" s="5"/>
      <c r="AA949" s="11" t="s">
        <v>150</v>
      </c>
      <c r="AB949" s="5" t="s">
        <v>245</v>
      </c>
      <c r="AC949" s="5"/>
      <c r="AD949" s="11" t="s">
        <v>2431</v>
      </c>
      <c r="AE949" s="23" t="n">
        <v>0.95</v>
      </c>
      <c r="AF949" s="23" t="n">
        <v>0</v>
      </c>
      <c r="AG949" s="23" t="n">
        <v>0.33</v>
      </c>
      <c r="AH949" s="23" t="n">
        <v>1</v>
      </c>
      <c r="AI949" s="23" t="n">
        <v>1</v>
      </c>
      <c r="AJ949" s="23" t="n">
        <v>0.4524</v>
      </c>
      <c r="AK949" s="23" t="n">
        <v>0.5</v>
      </c>
      <c r="AL949" s="23" t="n">
        <v>0</v>
      </c>
      <c r="AM949" s="16" t="n">
        <f aca="false">COUNTIFS($D$2:$D$2501,D949,$G$2:$G$2501,"&gt;"&amp;G949)+COUNTIFS($D$2:D949,D949,$G$2:G949,G949)</f>
        <v>243</v>
      </c>
      <c r="AN949" s="5" t="str">
        <f aca="false">D949&amp;"|"&amp;AM949</f>
        <v>實體擷取與去識別化|243</v>
      </c>
    </row>
    <row r="950" customFormat="false" ht="17.15" hidden="false" customHeight="false" outlineLevel="0" collapsed="false">
      <c r="A950" s="16" t="n">
        <f aca="false">RANK(G950,$G$2:$G$2501)+COUNTIF($G$2:G950,G950)-1</f>
        <v>949</v>
      </c>
      <c r="B950" s="11" t="s">
        <v>2432</v>
      </c>
      <c r="C950" s="11" t="s">
        <v>402</v>
      </c>
      <c r="D950" s="5" t="s">
        <v>58</v>
      </c>
      <c r="E950" s="5" t="s">
        <v>59</v>
      </c>
      <c r="F950" s="5"/>
      <c r="G950" s="22" t="n">
        <f aca="false">ROUND(SUM(I950:P950),3)</f>
        <v>65.466</v>
      </c>
      <c r="H950" s="5" t="str">
        <f aca="false">IF(G950&gt;=評分方法!$C$16,"優先評估",IF(G950&gt;=評分方法!$C$17,"列入候選",IF(G950&gt;=評分方法!$C$18,"特定情境","不建議")))</f>
        <v>特定情境</v>
      </c>
      <c r="I950" s="15" t="n">
        <f aca="false">AE950*評分方法!$C$5</f>
        <v>28.5</v>
      </c>
      <c r="J950" s="15" t="n">
        <f aca="false">AF950*評分方法!$C$6</f>
        <v>0</v>
      </c>
      <c r="K950" s="15" t="n">
        <f aca="false">AG950*評分方法!$C$7</f>
        <v>4.95</v>
      </c>
      <c r="L950" s="15" t="n">
        <f aca="false">AH950*評分方法!$C$8</f>
        <v>15</v>
      </c>
      <c r="M950" s="15" t="n">
        <f aca="false">AI950*評分方法!$C$9</f>
        <v>10</v>
      </c>
      <c r="N950" s="15" t="n">
        <f aca="false">AJ950*評分方法!$C$10</f>
        <v>4.516</v>
      </c>
      <c r="O950" s="15" t="n">
        <f aca="false">AK950*評分方法!$C$11</f>
        <v>2.5</v>
      </c>
      <c r="P950" s="15" t="n">
        <f aca="false">AL950*評分方法!$C$12</f>
        <v>0</v>
      </c>
      <c r="Q950" s="6" t="n">
        <v>492909</v>
      </c>
      <c r="R950" s="6" t="n">
        <v>558843907</v>
      </c>
      <c r="S950" s="11" t="s">
        <v>238</v>
      </c>
      <c r="T950" s="11" t="s">
        <v>239</v>
      </c>
      <c r="U950" s="5" t="s">
        <v>240</v>
      </c>
      <c r="V950" s="11" t="s">
        <v>261</v>
      </c>
      <c r="W950" s="5" t="s">
        <v>334</v>
      </c>
      <c r="X950" s="5" t="s">
        <v>242</v>
      </c>
      <c r="Y950" s="5"/>
      <c r="Z950" s="5"/>
      <c r="AA950" s="11" t="s">
        <v>150</v>
      </c>
      <c r="AB950" s="5" t="s">
        <v>245</v>
      </c>
      <c r="AC950" s="5"/>
      <c r="AD950" s="11" t="s">
        <v>2433</v>
      </c>
      <c r="AE950" s="23" t="n">
        <v>0.95</v>
      </c>
      <c r="AF950" s="23" t="n">
        <v>0</v>
      </c>
      <c r="AG950" s="23" t="n">
        <v>0.33</v>
      </c>
      <c r="AH950" s="23" t="n">
        <v>1</v>
      </c>
      <c r="AI950" s="23" t="n">
        <v>1</v>
      </c>
      <c r="AJ950" s="23" t="n">
        <v>0.4516</v>
      </c>
      <c r="AK950" s="23" t="n">
        <v>0.5</v>
      </c>
      <c r="AL950" s="23" t="n">
        <v>0</v>
      </c>
      <c r="AM950" s="16" t="n">
        <f aca="false">COUNTIFS($D$2:$D$2501,D950,$G$2:$G$2501,"&gt;"&amp;G950)+COUNTIFS($D$2:D950,D950,$G$2:G950,G950)</f>
        <v>244</v>
      </c>
      <c r="AN950" s="5" t="str">
        <f aca="false">D950&amp;"|"&amp;AM950</f>
        <v>實體擷取與去識別化|244</v>
      </c>
    </row>
    <row r="951" customFormat="false" ht="17.15" hidden="false" customHeight="false" outlineLevel="0" collapsed="false">
      <c r="A951" s="16" t="n">
        <f aca="false">RANK(G951,$G$2:$G$2501)+COUNTIF($G$2:G951,G951)-1</f>
        <v>950</v>
      </c>
      <c r="B951" s="11" t="s">
        <v>2434</v>
      </c>
      <c r="C951" s="11" t="s">
        <v>2435</v>
      </c>
      <c r="D951" s="5" t="s">
        <v>56</v>
      </c>
      <c r="E951" s="5" t="s">
        <v>57</v>
      </c>
      <c r="F951" s="5"/>
      <c r="G951" s="22" t="n">
        <f aca="false">ROUND(SUM(I951:P951),3)</f>
        <v>65.456</v>
      </c>
      <c r="H951" s="5" t="str">
        <f aca="false">IF(G951&gt;=評分方法!$C$16,"優先評估",IF(G951&gt;=評分方法!$C$17,"列入候選",IF(G951&gt;=評分方法!$C$18,"特定情境","不建議")))</f>
        <v>特定情境</v>
      </c>
      <c r="I951" s="15" t="n">
        <f aca="false">AE951*評分方法!$C$5</f>
        <v>25.5</v>
      </c>
      <c r="J951" s="15" t="n">
        <f aca="false">AF951*評分方法!$C$6</f>
        <v>0</v>
      </c>
      <c r="K951" s="15" t="n">
        <f aca="false">AG951*評分方法!$C$7</f>
        <v>4.95</v>
      </c>
      <c r="L951" s="15" t="n">
        <f aca="false">AH951*評分方法!$C$8</f>
        <v>13.05</v>
      </c>
      <c r="M951" s="15" t="n">
        <f aca="false">AI951*評分方法!$C$9</f>
        <v>10</v>
      </c>
      <c r="N951" s="15" t="n">
        <f aca="false">AJ951*評分方法!$C$10</f>
        <v>6.456</v>
      </c>
      <c r="O951" s="15" t="n">
        <f aca="false">AK951*評分方法!$C$11</f>
        <v>2.5</v>
      </c>
      <c r="P951" s="15" t="n">
        <f aca="false">AL951*評分方法!$C$12</f>
        <v>3</v>
      </c>
      <c r="Q951" s="6" t="n">
        <v>738857</v>
      </c>
      <c r="R951" s="6" t="n">
        <v>2790938160</v>
      </c>
      <c r="S951" s="11" t="s">
        <v>254</v>
      </c>
      <c r="T951" s="11" t="s">
        <v>239</v>
      </c>
      <c r="U951" s="5" t="s">
        <v>240</v>
      </c>
      <c r="V951" s="11" t="s">
        <v>261</v>
      </c>
      <c r="W951" s="5" t="s">
        <v>334</v>
      </c>
      <c r="X951" s="5" t="s">
        <v>371</v>
      </c>
      <c r="Y951" s="11" t="s">
        <v>2436</v>
      </c>
      <c r="Z951" s="11" t="s">
        <v>244</v>
      </c>
      <c r="AA951" s="11" t="s">
        <v>155</v>
      </c>
      <c r="AB951" s="5" t="s">
        <v>328</v>
      </c>
      <c r="AC951" s="5" t="s">
        <v>340</v>
      </c>
      <c r="AD951" s="11" t="s">
        <v>2437</v>
      </c>
      <c r="AE951" s="23" t="n">
        <v>0.85</v>
      </c>
      <c r="AF951" s="23" t="n">
        <v>0</v>
      </c>
      <c r="AG951" s="23" t="n">
        <v>0.33</v>
      </c>
      <c r="AH951" s="23" t="n">
        <v>0.87</v>
      </c>
      <c r="AI951" s="23" t="n">
        <v>1</v>
      </c>
      <c r="AJ951" s="23" t="n">
        <v>0.6456</v>
      </c>
      <c r="AK951" s="23" t="n">
        <v>0.5</v>
      </c>
      <c r="AL951" s="23" t="n">
        <v>0.6</v>
      </c>
      <c r="AM951" s="16" t="n">
        <f aca="false">COUNTIFS($D$2:$D$2501,D951,$G$2:$G$2501,"&gt;"&amp;G951)+COUNTIFS($D$2:D951,D951,$G$2:G951,G951)</f>
        <v>416</v>
      </c>
      <c r="AN951" s="5" t="str">
        <f aca="false">D951&amp;"|"&amp;AM951</f>
        <v>分析與報告生成|416</v>
      </c>
    </row>
    <row r="952" customFormat="false" ht="17.15" hidden="false" customHeight="false" outlineLevel="0" collapsed="false">
      <c r="A952" s="16" t="n">
        <f aca="false">RANK(G952,$G$2:$G$2501)+COUNTIF($G$2:G952,G952)-1</f>
        <v>951</v>
      </c>
      <c r="B952" s="11" t="s">
        <v>2438</v>
      </c>
      <c r="C952" s="11" t="s">
        <v>402</v>
      </c>
      <c r="D952" s="5" t="s">
        <v>58</v>
      </c>
      <c r="E952" s="5" t="s">
        <v>59</v>
      </c>
      <c r="F952" s="5"/>
      <c r="G952" s="22" t="n">
        <f aca="false">ROUND(SUM(I952:P952),3)</f>
        <v>65.454</v>
      </c>
      <c r="H952" s="5" t="str">
        <f aca="false">IF(G952&gt;=評分方法!$C$16,"優先評估",IF(G952&gt;=評分方法!$C$17,"列入候選",IF(G952&gt;=評分方法!$C$18,"特定情境","不建議")))</f>
        <v>特定情境</v>
      </c>
      <c r="I952" s="15" t="n">
        <f aca="false">AE952*評分方法!$C$5</f>
        <v>28.5</v>
      </c>
      <c r="J952" s="15" t="n">
        <f aca="false">AF952*評分方法!$C$6</f>
        <v>0</v>
      </c>
      <c r="K952" s="15" t="n">
        <f aca="false">AG952*評分方法!$C$7</f>
        <v>4.95</v>
      </c>
      <c r="L952" s="15" t="n">
        <f aca="false">AH952*評分方法!$C$8</f>
        <v>15</v>
      </c>
      <c r="M952" s="15" t="n">
        <f aca="false">AI952*評分方法!$C$9</f>
        <v>10</v>
      </c>
      <c r="N952" s="15" t="n">
        <f aca="false">AJ952*評分方法!$C$10</f>
        <v>4.504</v>
      </c>
      <c r="O952" s="15" t="n">
        <f aca="false">AK952*評分方法!$C$11</f>
        <v>2.5</v>
      </c>
      <c r="P952" s="15" t="n">
        <f aca="false">AL952*評分方法!$C$12</f>
        <v>0</v>
      </c>
      <c r="Q952" s="6" t="n">
        <v>491547</v>
      </c>
      <c r="R952" s="6" t="n">
        <v>81530115</v>
      </c>
      <c r="S952" s="11" t="s">
        <v>238</v>
      </c>
      <c r="T952" s="11" t="s">
        <v>239</v>
      </c>
      <c r="U952" s="5" t="s">
        <v>240</v>
      </c>
      <c r="V952" s="11" t="s">
        <v>261</v>
      </c>
      <c r="W952" s="5" t="s">
        <v>334</v>
      </c>
      <c r="X952" s="5" t="s">
        <v>242</v>
      </c>
      <c r="Y952" s="5"/>
      <c r="Z952" s="5"/>
      <c r="AA952" s="11" t="s">
        <v>150</v>
      </c>
      <c r="AB952" s="5" t="s">
        <v>245</v>
      </c>
      <c r="AC952" s="5"/>
      <c r="AD952" s="11" t="s">
        <v>2439</v>
      </c>
      <c r="AE952" s="23" t="n">
        <v>0.95</v>
      </c>
      <c r="AF952" s="23" t="n">
        <v>0</v>
      </c>
      <c r="AG952" s="23" t="n">
        <v>0.33</v>
      </c>
      <c r="AH952" s="23" t="n">
        <v>1</v>
      </c>
      <c r="AI952" s="23" t="n">
        <v>1</v>
      </c>
      <c r="AJ952" s="23" t="n">
        <v>0.4504</v>
      </c>
      <c r="AK952" s="23" t="n">
        <v>0.5</v>
      </c>
      <c r="AL952" s="23" t="n">
        <v>0</v>
      </c>
      <c r="AM952" s="16" t="n">
        <f aca="false">COUNTIFS($D$2:$D$2501,D952,$G$2:$G$2501,"&gt;"&amp;G952)+COUNTIFS($D$2:D952,D952,$G$2:G952,G952)</f>
        <v>245</v>
      </c>
      <c r="AN952" s="5" t="str">
        <f aca="false">D952&amp;"|"&amp;AM952</f>
        <v>實體擷取與去識別化|245</v>
      </c>
    </row>
    <row r="953" customFormat="false" ht="17.15" hidden="false" customHeight="false" outlineLevel="0" collapsed="false">
      <c r="A953" s="16" t="n">
        <f aca="false">RANK(G953,$G$2:$G$2501)+COUNTIF($G$2:G953,G953)-1</f>
        <v>952</v>
      </c>
      <c r="B953" s="11" t="s">
        <v>2440</v>
      </c>
      <c r="C953" s="11" t="s">
        <v>323</v>
      </c>
      <c r="D953" s="5" t="s">
        <v>56</v>
      </c>
      <c r="E953" s="5" t="s">
        <v>57</v>
      </c>
      <c r="F953" s="5"/>
      <c r="G953" s="22" t="n">
        <f aca="false">ROUND(SUM(I953:P953),3)</f>
        <v>65.452</v>
      </c>
      <c r="H953" s="5" t="str">
        <f aca="false">IF(G953&gt;=評分方法!$C$16,"優先評估",IF(G953&gt;=評分方法!$C$17,"列入候選",IF(G953&gt;=評分方法!$C$18,"特定情境","不建議")))</f>
        <v>特定情境</v>
      </c>
      <c r="I953" s="15" t="n">
        <f aca="false">AE953*評分方法!$C$5</f>
        <v>25.5</v>
      </c>
      <c r="J953" s="15" t="n">
        <f aca="false">AF953*評分方法!$C$6</f>
        <v>0</v>
      </c>
      <c r="K953" s="15" t="n">
        <f aca="false">AG953*評分方法!$C$7</f>
        <v>15</v>
      </c>
      <c r="L953" s="15" t="n">
        <f aca="false">AH953*評分方法!$C$8</f>
        <v>9</v>
      </c>
      <c r="M953" s="15" t="n">
        <f aca="false">AI953*評分方法!$C$9</f>
        <v>10</v>
      </c>
      <c r="N953" s="15" t="n">
        <f aca="false">AJ953*評分方法!$C$10</f>
        <v>1.952</v>
      </c>
      <c r="O953" s="15" t="n">
        <f aca="false">AK953*評分方法!$C$11</f>
        <v>4</v>
      </c>
      <c r="P953" s="15" t="n">
        <f aca="false">AL953*評分方法!$C$12</f>
        <v>0</v>
      </c>
      <c r="Q953" s="6" t="n">
        <v>207192</v>
      </c>
      <c r="R953" s="6" t="n">
        <v>32233522176</v>
      </c>
      <c r="S953" s="11" t="s">
        <v>389</v>
      </c>
      <c r="T953" s="11" t="s">
        <v>239</v>
      </c>
      <c r="U953" s="5" t="s">
        <v>240</v>
      </c>
      <c r="V953" s="11" t="s">
        <v>261</v>
      </c>
      <c r="W953" s="5" t="s">
        <v>205</v>
      </c>
      <c r="X953" s="5" t="s">
        <v>242</v>
      </c>
      <c r="Y953" s="5"/>
      <c r="Z953" s="5"/>
      <c r="AA953" s="11" t="s">
        <v>155</v>
      </c>
      <c r="AB953" s="5" t="s">
        <v>245</v>
      </c>
      <c r="AC953" s="5"/>
      <c r="AD953" s="11" t="s">
        <v>2441</v>
      </c>
      <c r="AE953" s="23" t="n">
        <v>0.85</v>
      </c>
      <c r="AF953" s="23" t="n">
        <v>0</v>
      </c>
      <c r="AG953" s="23" t="n">
        <v>1</v>
      </c>
      <c r="AH953" s="23" t="n">
        <v>0.6</v>
      </c>
      <c r="AI953" s="23" t="n">
        <v>1</v>
      </c>
      <c r="AJ953" s="23" t="n">
        <v>0.1952</v>
      </c>
      <c r="AK953" s="23" t="n">
        <v>0.8</v>
      </c>
      <c r="AL953" s="23" t="n">
        <v>0</v>
      </c>
      <c r="AM953" s="16" t="n">
        <f aca="false">COUNTIFS($D$2:$D$2501,D953,$G$2:$G$2501,"&gt;"&amp;G953)+COUNTIFS($D$2:D953,D953,$G$2:G953,G953)</f>
        <v>417</v>
      </c>
      <c r="AN953" s="5" t="str">
        <f aca="false">D953&amp;"|"&amp;AM953</f>
        <v>分析與報告生成|417</v>
      </c>
    </row>
    <row r="954" customFormat="false" ht="17.15" hidden="false" customHeight="false" outlineLevel="0" collapsed="false">
      <c r="A954" s="16" t="n">
        <f aca="false">RANK(G954,$G$2:$G$2501)+COUNTIF($G$2:G954,G954)-1</f>
        <v>953</v>
      </c>
      <c r="B954" s="11" t="s">
        <v>2442</v>
      </c>
      <c r="C954" s="11" t="s">
        <v>402</v>
      </c>
      <c r="D954" s="5" t="s">
        <v>58</v>
      </c>
      <c r="E954" s="5" t="s">
        <v>59</v>
      </c>
      <c r="F954" s="5"/>
      <c r="G954" s="22" t="n">
        <f aca="false">ROUND(SUM(I954:P954),3)</f>
        <v>65.442</v>
      </c>
      <c r="H954" s="5" t="str">
        <f aca="false">IF(G954&gt;=評分方法!$C$16,"優先評估",IF(G954&gt;=評分方法!$C$17,"列入候選",IF(G954&gt;=評分方法!$C$18,"特定情境","不建議")))</f>
        <v>特定情境</v>
      </c>
      <c r="I954" s="15" t="n">
        <f aca="false">AE954*評分方法!$C$5</f>
        <v>28.5</v>
      </c>
      <c r="J954" s="15" t="n">
        <f aca="false">AF954*評分方法!$C$6</f>
        <v>0</v>
      </c>
      <c r="K954" s="15" t="n">
        <f aca="false">AG954*評分方法!$C$7</f>
        <v>4.95</v>
      </c>
      <c r="L954" s="15" t="n">
        <f aca="false">AH954*評分方法!$C$8</f>
        <v>15</v>
      </c>
      <c r="M954" s="15" t="n">
        <f aca="false">AI954*評分方法!$C$9</f>
        <v>10</v>
      </c>
      <c r="N954" s="15" t="n">
        <f aca="false">AJ954*評分方法!$C$10</f>
        <v>4.492</v>
      </c>
      <c r="O954" s="15" t="n">
        <f aca="false">AK954*評分方法!$C$11</f>
        <v>2.5</v>
      </c>
      <c r="P954" s="15" t="n">
        <f aca="false">AL954*評分方法!$C$12</f>
        <v>0</v>
      </c>
      <c r="Q954" s="6" t="n">
        <v>489885</v>
      </c>
      <c r="R954" s="6" t="n">
        <v>566716427</v>
      </c>
      <c r="S954" s="11" t="s">
        <v>238</v>
      </c>
      <c r="T954" s="11" t="s">
        <v>239</v>
      </c>
      <c r="U954" s="5" t="s">
        <v>240</v>
      </c>
      <c r="V954" s="11" t="s">
        <v>261</v>
      </c>
      <c r="W954" s="5" t="s">
        <v>334</v>
      </c>
      <c r="X954" s="5" t="s">
        <v>242</v>
      </c>
      <c r="Y954" s="5"/>
      <c r="Z954" s="5"/>
      <c r="AA954" s="11" t="s">
        <v>150</v>
      </c>
      <c r="AB954" s="5" t="s">
        <v>245</v>
      </c>
      <c r="AC954" s="5"/>
      <c r="AD954" s="11" t="s">
        <v>2443</v>
      </c>
      <c r="AE954" s="23" t="n">
        <v>0.95</v>
      </c>
      <c r="AF954" s="23" t="n">
        <v>0</v>
      </c>
      <c r="AG954" s="23" t="n">
        <v>0.33</v>
      </c>
      <c r="AH954" s="23" t="n">
        <v>1</v>
      </c>
      <c r="AI954" s="23" t="n">
        <v>1</v>
      </c>
      <c r="AJ954" s="23" t="n">
        <v>0.4492</v>
      </c>
      <c r="AK954" s="23" t="n">
        <v>0.5</v>
      </c>
      <c r="AL954" s="23" t="n">
        <v>0</v>
      </c>
      <c r="AM954" s="16" t="n">
        <f aca="false">COUNTIFS($D$2:$D$2501,D954,$G$2:$G$2501,"&gt;"&amp;G954)+COUNTIFS($D$2:D954,D954,$G$2:G954,G954)</f>
        <v>246</v>
      </c>
      <c r="AN954" s="5" t="str">
        <f aca="false">D954&amp;"|"&amp;AM954</f>
        <v>實體擷取與去識別化|246</v>
      </c>
    </row>
    <row r="955" customFormat="false" ht="17.15" hidden="false" customHeight="false" outlineLevel="0" collapsed="false">
      <c r="A955" s="16" t="n">
        <f aca="false">RANK(G955,$G$2:$G$2501)+COUNTIF($G$2:G955,G955)-1</f>
        <v>954</v>
      </c>
      <c r="B955" s="11" t="s">
        <v>2444</v>
      </c>
      <c r="C955" s="11" t="s">
        <v>402</v>
      </c>
      <c r="D955" s="5" t="s">
        <v>58</v>
      </c>
      <c r="E955" s="5" t="s">
        <v>59</v>
      </c>
      <c r="F955" s="5"/>
      <c r="G955" s="22" t="n">
        <f aca="false">ROUND(SUM(I955:P955),3)</f>
        <v>65.438</v>
      </c>
      <c r="H955" s="5" t="str">
        <f aca="false">IF(G955&gt;=評分方法!$C$16,"優先評估",IF(G955&gt;=評分方法!$C$17,"列入候選",IF(G955&gt;=評分方法!$C$18,"特定情境","不建議")))</f>
        <v>特定情境</v>
      </c>
      <c r="I955" s="15" t="n">
        <f aca="false">AE955*評分方法!$C$5</f>
        <v>28.5</v>
      </c>
      <c r="J955" s="15" t="n">
        <f aca="false">AF955*評分方法!$C$6</f>
        <v>0</v>
      </c>
      <c r="K955" s="15" t="n">
        <f aca="false">AG955*評分方法!$C$7</f>
        <v>4.95</v>
      </c>
      <c r="L955" s="15" t="n">
        <f aca="false">AH955*評分方法!$C$8</f>
        <v>15</v>
      </c>
      <c r="M955" s="15" t="n">
        <f aca="false">AI955*評分方法!$C$9</f>
        <v>10</v>
      </c>
      <c r="N955" s="15" t="n">
        <f aca="false">AJ955*評分方法!$C$10</f>
        <v>4.488</v>
      </c>
      <c r="O955" s="15" t="n">
        <f aca="false">AK955*評分方法!$C$11</f>
        <v>2.5</v>
      </c>
      <c r="P955" s="15" t="n">
        <f aca="false">AL955*評分方法!$C$12</f>
        <v>0</v>
      </c>
      <c r="Q955" s="6" t="n">
        <v>489199</v>
      </c>
      <c r="R955" s="6" t="n">
        <v>108893955</v>
      </c>
      <c r="S955" s="11" t="s">
        <v>238</v>
      </c>
      <c r="T955" s="11" t="s">
        <v>239</v>
      </c>
      <c r="U955" s="5" t="s">
        <v>240</v>
      </c>
      <c r="V955" s="11" t="s">
        <v>261</v>
      </c>
      <c r="W955" s="5" t="s">
        <v>334</v>
      </c>
      <c r="X955" s="5" t="s">
        <v>242</v>
      </c>
      <c r="Y955" s="5"/>
      <c r="Z955" s="5"/>
      <c r="AA955" s="11" t="s">
        <v>150</v>
      </c>
      <c r="AB955" s="5" t="s">
        <v>245</v>
      </c>
      <c r="AC955" s="5"/>
      <c r="AD955" s="11" t="s">
        <v>2445</v>
      </c>
      <c r="AE955" s="23" t="n">
        <v>0.95</v>
      </c>
      <c r="AF955" s="23" t="n">
        <v>0</v>
      </c>
      <c r="AG955" s="23" t="n">
        <v>0.33</v>
      </c>
      <c r="AH955" s="23" t="n">
        <v>1</v>
      </c>
      <c r="AI955" s="23" t="n">
        <v>1</v>
      </c>
      <c r="AJ955" s="23" t="n">
        <v>0.4488</v>
      </c>
      <c r="AK955" s="23" t="n">
        <v>0.5</v>
      </c>
      <c r="AL955" s="23" t="n">
        <v>0</v>
      </c>
      <c r="AM955" s="16" t="n">
        <f aca="false">COUNTIFS($D$2:$D$2501,D955,$G$2:$G$2501,"&gt;"&amp;G955)+COUNTIFS($D$2:D955,D955,$G$2:G955,G955)</f>
        <v>247</v>
      </c>
      <c r="AN955" s="5" t="str">
        <f aca="false">D955&amp;"|"&amp;AM955</f>
        <v>實體擷取與去識別化|247</v>
      </c>
    </row>
    <row r="956" customFormat="false" ht="17.15" hidden="false" customHeight="false" outlineLevel="0" collapsed="false">
      <c r="A956" s="16" t="n">
        <f aca="false">RANK(G956,$G$2:$G$2501)+COUNTIF($G$2:G956,G956)-1</f>
        <v>955</v>
      </c>
      <c r="B956" s="11" t="s">
        <v>2446</v>
      </c>
      <c r="C956" s="11" t="s">
        <v>402</v>
      </c>
      <c r="D956" s="5" t="s">
        <v>58</v>
      </c>
      <c r="E956" s="5" t="s">
        <v>59</v>
      </c>
      <c r="F956" s="5"/>
      <c r="G956" s="22" t="n">
        <f aca="false">ROUND(SUM(I956:P956),3)</f>
        <v>65.434</v>
      </c>
      <c r="H956" s="5" t="str">
        <f aca="false">IF(G956&gt;=評分方法!$C$16,"優先評估",IF(G956&gt;=評分方法!$C$17,"列入候選",IF(G956&gt;=評分方法!$C$18,"特定情境","不建議")))</f>
        <v>特定情境</v>
      </c>
      <c r="I956" s="15" t="n">
        <f aca="false">AE956*評分方法!$C$5</f>
        <v>28.5</v>
      </c>
      <c r="J956" s="15" t="n">
        <f aca="false">AF956*評分方法!$C$6</f>
        <v>0</v>
      </c>
      <c r="K956" s="15" t="n">
        <f aca="false">AG956*評分方法!$C$7</f>
        <v>4.95</v>
      </c>
      <c r="L956" s="15" t="n">
        <f aca="false">AH956*評分方法!$C$8</f>
        <v>15</v>
      </c>
      <c r="M956" s="15" t="n">
        <f aca="false">AI956*評分方法!$C$9</f>
        <v>10</v>
      </c>
      <c r="N956" s="15" t="n">
        <f aca="false">AJ956*評分方法!$C$10</f>
        <v>4.484</v>
      </c>
      <c r="O956" s="15" t="n">
        <f aca="false">AK956*評分方法!$C$11</f>
        <v>2.5</v>
      </c>
      <c r="P956" s="15" t="n">
        <f aca="false">AL956*評分方法!$C$12</f>
        <v>0</v>
      </c>
      <c r="Q956" s="6" t="n">
        <v>488773</v>
      </c>
      <c r="R956" s="6" t="n">
        <v>141306627</v>
      </c>
      <c r="S956" s="11" t="s">
        <v>238</v>
      </c>
      <c r="T956" s="11" t="s">
        <v>239</v>
      </c>
      <c r="U956" s="5" t="s">
        <v>240</v>
      </c>
      <c r="V956" s="11" t="s">
        <v>261</v>
      </c>
      <c r="W956" s="5" t="s">
        <v>334</v>
      </c>
      <c r="X956" s="5" t="s">
        <v>242</v>
      </c>
      <c r="Y956" s="5"/>
      <c r="Z956" s="5"/>
      <c r="AA956" s="11" t="s">
        <v>150</v>
      </c>
      <c r="AB956" s="5" t="s">
        <v>245</v>
      </c>
      <c r="AC956" s="5"/>
      <c r="AD956" s="11" t="s">
        <v>2447</v>
      </c>
      <c r="AE956" s="23" t="n">
        <v>0.95</v>
      </c>
      <c r="AF956" s="23" t="n">
        <v>0</v>
      </c>
      <c r="AG956" s="23" t="n">
        <v>0.33</v>
      </c>
      <c r="AH956" s="23" t="n">
        <v>1</v>
      </c>
      <c r="AI956" s="23" t="n">
        <v>1</v>
      </c>
      <c r="AJ956" s="23" t="n">
        <v>0.4484</v>
      </c>
      <c r="AK956" s="23" t="n">
        <v>0.5</v>
      </c>
      <c r="AL956" s="23" t="n">
        <v>0</v>
      </c>
      <c r="AM956" s="16" t="n">
        <f aca="false">COUNTIFS($D$2:$D$2501,D956,$G$2:$G$2501,"&gt;"&amp;G956)+COUNTIFS($D$2:D956,D956,$G$2:G956,G956)</f>
        <v>248</v>
      </c>
      <c r="AN956" s="5" t="str">
        <f aca="false">D956&amp;"|"&amp;AM956</f>
        <v>實體擷取與去識別化|248</v>
      </c>
    </row>
    <row r="957" customFormat="false" ht="17.15" hidden="false" customHeight="false" outlineLevel="0" collapsed="false">
      <c r="A957" s="16" t="n">
        <f aca="false">RANK(G957,$G$2:$G$2501)+COUNTIF($G$2:G957,G957)-1</f>
        <v>956</v>
      </c>
      <c r="B957" s="11" t="s">
        <v>2448</v>
      </c>
      <c r="C957" s="11" t="s">
        <v>402</v>
      </c>
      <c r="D957" s="5" t="s">
        <v>58</v>
      </c>
      <c r="E957" s="5" t="s">
        <v>59</v>
      </c>
      <c r="F957" s="5"/>
      <c r="G957" s="22" t="n">
        <f aca="false">ROUND(SUM(I957:P957),3)</f>
        <v>65.418</v>
      </c>
      <c r="H957" s="5" t="str">
        <f aca="false">IF(G957&gt;=評分方法!$C$16,"優先評估",IF(G957&gt;=評分方法!$C$17,"列入候選",IF(G957&gt;=評分方法!$C$18,"特定情境","不建議")))</f>
        <v>特定情境</v>
      </c>
      <c r="I957" s="15" t="n">
        <f aca="false">AE957*評分方法!$C$5</f>
        <v>28.5</v>
      </c>
      <c r="J957" s="15" t="n">
        <f aca="false">AF957*評分方法!$C$6</f>
        <v>0</v>
      </c>
      <c r="K957" s="15" t="n">
        <f aca="false">AG957*評分方法!$C$7</f>
        <v>4.95</v>
      </c>
      <c r="L957" s="15" t="n">
        <f aca="false">AH957*評分方法!$C$8</f>
        <v>15</v>
      </c>
      <c r="M957" s="15" t="n">
        <f aca="false">AI957*評分方法!$C$9</f>
        <v>10</v>
      </c>
      <c r="N957" s="15" t="n">
        <f aca="false">AJ957*評分方法!$C$10</f>
        <v>4.468</v>
      </c>
      <c r="O957" s="15" t="n">
        <f aca="false">AK957*評分方法!$C$11</f>
        <v>2.5</v>
      </c>
      <c r="P957" s="15" t="n">
        <f aca="false">AL957*評分方法!$C$12</f>
        <v>0</v>
      </c>
      <c r="Q957" s="6" t="n">
        <v>487457</v>
      </c>
      <c r="R957" s="6" t="n">
        <v>354321419</v>
      </c>
      <c r="S957" s="11" t="s">
        <v>238</v>
      </c>
      <c r="T957" s="11" t="s">
        <v>239</v>
      </c>
      <c r="U957" s="5" t="s">
        <v>240</v>
      </c>
      <c r="V957" s="11" t="s">
        <v>261</v>
      </c>
      <c r="W957" s="5" t="s">
        <v>334</v>
      </c>
      <c r="X957" s="5" t="s">
        <v>242</v>
      </c>
      <c r="Y957" s="5"/>
      <c r="Z957" s="5"/>
      <c r="AA957" s="11" t="s">
        <v>150</v>
      </c>
      <c r="AB957" s="5" t="s">
        <v>245</v>
      </c>
      <c r="AC957" s="5"/>
      <c r="AD957" s="11" t="s">
        <v>2449</v>
      </c>
      <c r="AE957" s="23" t="n">
        <v>0.95</v>
      </c>
      <c r="AF957" s="23" t="n">
        <v>0</v>
      </c>
      <c r="AG957" s="23" t="n">
        <v>0.33</v>
      </c>
      <c r="AH957" s="23" t="n">
        <v>1</v>
      </c>
      <c r="AI957" s="23" t="n">
        <v>1</v>
      </c>
      <c r="AJ957" s="23" t="n">
        <v>0.4468</v>
      </c>
      <c r="AK957" s="23" t="n">
        <v>0.5</v>
      </c>
      <c r="AL957" s="23" t="n">
        <v>0</v>
      </c>
      <c r="AM957" s="16" t="n">
        <f aca="false">COUNTIFS($D$2:$D$2501,D957,$G$2:$G$2501,"&gt;"&amp;G957)+COUNTIFS($D$2:D957,D957,$G$2:G957,G957)</f>
        <v>249</v>
      </c>
      <c r="AN957" s="5" t="str">
        <f aca="false">D957&amp;"|"&amp;AM957</f>
        <v>實體擷取與去識別化|249</v>
      </c>
    </row>
    <row r="958" customFormat="false" ht="17.15" hidden="false" customHeight="false" outlineLevel="0" collapsed="false">
      <c r="A958" s="16" t="n">
        <f aca="false">RANK(G958,$G$2:$G$2501)+COUNTIF($G$2:G958,G958)-1</f>
        <v>957</v>
      </c>
      <c r="B958" s="11" t="s">
        <v>2450</v>
      </c>
      <c r="C958" s="11" t="s">
        <v>402</v>
      </c>
      <c r="D958" s="5" t="s">
        <v>58</v>
      </c>
      <c r="E958" s="5" t="s">
        <v>59</v>
      </c>
      <c r="F958" s="5"/>
      <c r="G958" s="22" t="n">
        <f aca="false">ROUND(SUM(I958:P958),3)</f>
        <v>65.414</v>
      </c>
      <c r="H958" s="5" t="str">
        <f aca="false">IF(G958&gt;=評分方法!$C$16,"優先評估",IF(G958&gt;=評分方法!$C$17,"列入候選",IF(G958&gt;=評分方法!$C$18,"特定情境","不建議")))</f>
        <v>特定情境</v>
      </c>
      <c r="I958" s="15" t="n">
        <f aca="false">AE958*評分方法!$C$5</f>
        <v>28.5</v>
      </c>
      <c r="J958" s="15" t="n">
        <f aca="false">AF958*評分方法!$C$6</f>
        <v>0</v>
      </c>
      <c r="K958" s="15" t="n">
        <f aca="false">AG958*評分方法!$C$7</f>
        <v>4.95</v>
      </c>
      <c r="L958" s="15" t="n">
        <f aca="false">AH958*評分方法!$C$8</f>
        <v>15</v>
      </c>
      <c r="M958" s="15" t="n">
        <f aca="false">AI958*評分方法!$C$9</f>
        <v>10</v>
      </c>
      <c r="N958" s="15" t="n">
        <f aca="false">AJ958*評分方法!$C$10</f>
        <v>4.464</v>
      </c>
      <c r="O958" s="15" t="n">
        <f aca="false">AK958*評分方法!$C$11</f>
        <v>2.5</v>
      </c>
      <c r="P958" s="15" t="n">
        <f aca="false">AL958*評分方法!$C$12</f>
        <v>0</v>
      </c>
      <c r="Q958" s="6" t="n">
        <v>485336</v>
      </c>
      <c r="R958" s="6" t="n">
        <v>354321419</v>
      </c>
      <c r="S958" s="11" t="s">
        <v>238</v>
      </c>
      <c r="T958" s="11" t="s">
        <v>239</v>
      </c>
      <c r="U958" s="5" t="s">
        <v>240</v>
      </c>
      <c r="V958" s="11" t="s">
        <v>261</v>
      </c>
      <c r="W958" s="5" t="s">
        <v>334</v>
      </c>
      <c r="X958" s="5" t="s">
        <v>242</v>
      </c>
      <c r="Y958" s="5"/>
      <c r="Z958" s="5"/>
      <c r="AA958" s="11" t="s">
        <v>150</v>
      </c>
      <c r="AB958" s="5" t="s">
        <v>245</v>
      </c>
      <c r="AC958" s="5"/>
      <c r="AD958" s="11" t="s">
        <v>2451</v>
      </c>
      <c r="AE958" s="23" t="n">
        <v>0.95</v>
      </c>
      <c r="AF958" s="23" t="n">
        <v>0</v>
      </c>
      <c r="AG958" s="23" t="n">
        <v>0.33</v>
      </c>
      <c r="AH958" s="23" t="n">
        <v>1</v>
      </c>
      <c r="AI958" s="23" t="n">
        <v>1</v>
      </c>
      <c r="AJ958" s="23" t="n">
        <v>0.4464</v>
      </c>
      <c r="AK958" s="23" t="n">
        <v>0.5</v>
      </c>
      <c r="AL958" s="23" t="n">
        <v>0</v>
      </c>
      <c r="AM958" s="16" t="n">
        <f aca="false">COUNTIFS($D$2:$D$2501,D958,$G$2:$G$2501,"&gt;"&amp;G958)+COUNTIFS($D$2:D958,D958,$G$2:G958,G958)</f>
        <v>250</v>
      </c>
      <c r="AN958" s="5" t="str">
        <f aca="false">D958&amp;"|"&amp;AM958</f>
        <v>實體擷取與去識別化|250</v>
      </c>
    </row>
    <row r="959" customFormat="false" ht="17.15" hidden="false" customHeight="false" outlineLevel="0" collapsed="false">
      <c r="A959" s="16" t="n">
        <f aca="false">RANK(G959,$G$2:$G$2501)+COUNTIF($G$2:G959,G959)-1</f>
        <v>958</v>
      </c>
      <c r="B959" s="11" t="s">
        <v>2452</v>
      </c>
      <c r="C959" s="11" t="s">
        <v>753</v>
      </c>
      <c r="D959" s="5" t="s">
        <v>56</v>
      </c>
      <c r="E959" s="5" t="s">
        <v>57</v>
      </c>
      <c r="F959" s="5"/>
      <c r="G959" s="22" t="n">
        <f aca="false">ROUND(SUM(I959:P959),3)</f>
        <v>65.412</v>
      </c>
      <c r="H959" s="5" t="str">
        <f aca="false">IF(G959&gt;=評分方法!$C$16,"優先評估",IF(G959&gt;=評分方法!$C$17,"列入候選",IF(G959&gt;=評分方法!$C$18,"特定情境","不建議")))</f>
        <v>特定情境</v>
      </c>
      <c r="I959" s="15" t="n">
        <f aca="false">AE959*評分方法!$C$5</f>
        <v>25.5</v>
      </c>
      <c r="J959" s="15" t="n">
        <f aca="false">AF959*評分方法!$C$6</f>
        <v>0</v>
      </c>
      <c r="K959" s="15" t="n">
        <f aca="false">AG959*評分方法!$C$7</f>
        <v>10.05</v>
      </c>
      <c r="L959" s="15" t="n">
        <f aca="false">AH959*評分方法!$C$8</f>
        <v>13.05</v>
      </c>
      <c r="M959" s="15" t="n">
        <f aca="false">AI959*評分方法!$C$9</f>
        <v>6</v>
      </c>
      <c r="N959" s="15" t="n">
        <f aca="false">AJ959*評分方法!$C$10</f>
        <v>8.312</v>
      </c>
      <c r="O959" s="15" t="n">
        <f aca="false">AK959*評分方法!$C$11</f>
        <v>2.5</v>
      </c>
      <c r="P959" s="15" t="n">
        <f aca="false">AL959*評分方法!$C$12</f>
        <v>0</v>
      </c>
      <c r="Q959" s="6" t="n">
        <v>1941263</v>
      </c>
      <c r="R959" s="6" t="n">
        <v>8030261248</v>
      </c>
      <c r="S959" s="11" t="s">
        <v>254</v>
      </c>
      <c r="T959" s="11" t="s">
        <v>259</v>
      </c>
      <c r="U959" s="5" t="s">
        <v>260</v>
      </c>
      <c r="V959" s="11" t="s">
        <v>261</v>
      </c>
      <c r="W959" s="5" t="s">
        <v>207</v>
      </c>
      <c r="X959" s="5" t="s">
        <v>242</v>
      </c>
      <c r="Y959" s="11" t="s">
        <v>1066</v>
      </c>
      <c r="Z959" s="11" t="s">
        <v>270</v>
      </c>
      <c r="AA959" s="11" t="s">
        <v>155</v>
      </c>
      <c r="AB959" s="5" t="s">
        <v>245</v>
      </c>
      <c r="AC959" s="5" t="s">
        <v>262</v>
      </c>
      <c r="AD959" s="11" t="s">
        <v>2453</v>
      </c>
      <c r="AE959" s="23" t="n">
        <v>0.85</v>
      </c>
      <c r="AF959" s="23" t="n">
        <v>0</v>
      </c>
      <c r="AG959" s="23" t="n">
        <v>0.67</v>
      </c>
      <c r="AH959" s="23" t="n">
        <v>0.87</v>
      </c>
      <c r="AI959" s="23" t="n">
        <v>0.6</v>
      </c>
      <c r="AJ959" s="23" t="n">
        <v>0.8312</v>
      </c>
      <c r="AK959" s="23" t="n">
        <v>0.5</v>
      </c>
      <c r="AL959" s="23" t="n">
        <v>0</v>
      </c>
      <c r="AM959" s="16" t="n">
        <f aca="false">COUNTIFS($D$2:$D$2501,D959,$G$2:$G$2501,"&gt;"&amp;G959)+COUNTIFS($D$2:D959,D959,$G$2:G959,G959)</f>
        <v>418</v>
      </c>
      <c r="AN959" s="5" t="str">
        <f aca="false">D959&amp;"|"&amp;AM959</f>
        <v>分析與報告生成|418</v>
      </c>
    </row>
    <row r="960" customFormat="false" ht="17.15" hidden="false" customHeight="false" outlineLevel="0" collapsed="false">
      <c r="A960" s="16" t="n">
        <f aca="false">RANK(G960,$G$2:$G$2501)+COUNTIF($G$2:G960,G960)-1</f>
        <v>959</v>
      </c>
      <c r="B960" s="11" t="s">
        <v>2454</v>
      </c>
      <c r="C960" s="11" t="s">
        <v>402</v>
      </c>
      <c r="D960" s="5" t="s">
        <v>58</v>
      </c>
      <c r="E960" s="5" t="s">
        <v>59</v>
      </c>
      <c r="F960" s="5"/>
      <c r="G960" s="22" t="n">
        <f aca="false">ROUND(SUM(I960:P960),3)</f>
        <v>65.406</v>
      </c>
      <c r="H960" s="5" t="str">
        <f aca="false">IF(G960&gt;=評分方法!$C$16,"優先評估",IF(G960&gt;=評分方法!$C$17,"列入候選",IF(G960&gt;=評分方法!$C$18,"特定情境","不建議")))</f>
        <v>特定情境</v>
      </c>
      <c r="I960" s="15" t="n">
        <f aca="false">AE960*評分方法!$C$5</f>
        <v>28.5</v>
      </c>
      <c r="J960" s="15" t="n">
        <f aca="false">AF960*評分方法!$C$6</f>
        <v>0</v>
      </c>
      <c r="K960" s="15" t="n">
        <f aca="false">AG960*評分方法!$C$7</f>
        <v>4.95</v>
      </c>
      <c r="L960" s="15" t="n">
        <f aca="false">AH960*評分方法!$C$8</f>
        <v>15</v>
      </c>
      <c r="M960" s="15" t="n">
        <f aca="false">AI960*評分方法!$C$9</f>
        <v>10</v>
      </c>
      <c r="N960" s="15" t="n">
        <f aca="false">AJ960*評分方法!$C$10</f>
        <v>4.456</v>
      </c>
      <c r="O960" s="15" t="n">
        <f aca="false">AK960*評分方法!$C$11</f>
        <v>2.5</v>
      </c>
      <c r="P960" s="15" t="n">
        <f aca="false">AL960*評分方法!$C$12</f>
        <v>0</v>
      </c>
      <c r="Q960" s="6" t="n">
        <v>484857</v>
      </c>
      <c r="R960" s="6" t="n">
        <v>66365187</v>
      </c>
      <c r="S960" s="11" t="s">
        <v>238</v>
      </c>
      <c r="T960" s="11" t="s">
        <v>239</v>
      </c>
      <c r="U960" s="5" t="s">
        <v>240</v>
      </c>
      <c r="V960" s="11" t="s">
        <v>261</v>
      </c>
      <c r="W960" s="5" t="s">
        <v>334</v>
      </c>
      <c r="X960" s="5" t="s">
        <v>242</v>
      </c>
      <c r="Y960" s="5"/>
      <c r="Z960" s="5"/>
      <c r="AA960" s="11" t="s">
        <v>150</v>
      </c>
      <c r="AB960" s="5" t="s">
        <v>245</v>
      </c>
      <c r="AC960" s="5"/>
      <c r="AD960" s="11" t="s">
        <v>2455</v>
      </c>
      <c r="AE960" s="23" t="n">
        <v>0.95</v>
      </c>
      <c r="AF960" s="23" t="n">
        <v>0</v>
      </c>
      <c r="AG960" s="23" t="n">
        <v>0.33</v>
      </c>
      <c r="AH960" s="23" t="n">
        <v>1</v>
      </c>
      <c r="AI960" s="23" t="n">
        <v>1</v>
      </c>
      <c r="AJ960" s="23" t="n">
        <v>0.4456</v>
      </c>
      <c r="AK960" s="23" t="n">
        <v>0.5</v>
      </c>
      <c r="AL960" s="23" t="n">
        <v>0</v>
      </c>
      <c r="AM960" s="16" t="n">
        <f aca="false">COUNTIFS($D$2:$D$2501,D960,$G$2:$G$2501,"&gt;"&amp;G960)+COUNTIFS($D$2:D960,D960,$G$2:G960,G960)</f>
        <v>251</v>
      </c>
      <c r="AN960" s="5" t="str">
        <f aca="false">D960&amp;"|"&amp;AM960</f>
        <v>實體擷取與去識別化|251</v>
      </c>
    </row>
    <row r="961" customFormat="false" ht="17.15" hidden="false" customHeight="false" outlineLevel="0" collapsed="false">
      <c r="A961" s="16" t="n">
        <f aca="false">RANK(G961,$G$2:$G$2501)+COUNTIF($G$2:G961,G961)-1</f>
        <v>960</v>
      </c>
      <c r="B961" s="11" t="s">
        <v>2456</v>
      </c>
      <c r="C961" s="11" t="s">
        <v>402</v>
      </c>
      <c r="D961" s="5" t="s">
        <v>58</v>
      </c>
      <c r="E961" s="5" t="s">
        <v>59</v>
      </c>
      <c r="F961" s="5"/>
      <c r="G961" s="22" t="n">
        <f aca="false">ROUND(SUM(I961:P961),3)</f>
        <v>65.402</v>
      </c>
      <c r="H961" s="5" t="str">
        <f aca="false">IF(G961&gt;=評分方法!$C$16,"優先評估",IF(G961&gt;=評分方法!$C$17,"列入候選",IF(G961&gt;=評分方法!$C$18,"特定情境","不建議")))</f>
        <v>特定情境</v>
      </c>
      <c r="I961" s="15" t="n">
        <f aca="false">AE961*評分方法!$C$5</f>
        <v>28.5</v>
      </c>
      <c r="J961" s="15" t="n">
        <f aca="false">AF961*評分方法!$C$6</f>
        <v>0</v>
      </c>
      <c r="K961" s="15" t="n">
        <f aca="false">AG961*評分方法!$C$7</f>
        <v>4.95</v>
      </c>
      <c r="L961" s="15" t="n">
        <f aca="false">AH961*評分方法!$C$8</f>
        <v>15</v>
      </c>
      <c r="M961" s="15" t="n">
        <f aca="false">AI961*評分方法!$C$9</f>
        <v>10</v>
      </c>
      <c r="N961" s="15" t="n">
        <f aca="false">AJ961*評分方法!$C$10</f>
        <v>4.452</v>
      </c>
      <c r="O961" s="15" t="n">
        <f aca="false">AK961*評分方法!$C$11</f>
        <v>2.5</v>
      </c>
      <c r="P961" s="15" t="n">
        <f aca="false">AL961*評分方法!$C$12</f>
        <v>0</v>
      </c>
      <c r="Q961" s="6" t="n">
        <v>483554</v>
      </c>
      <c r="R961" s="6" t="n">
        <v>149630241</v>
      </c>
      <c r="S961" s="11" t="s">
        <v>238</v>
      </c>
      <c r="T961" s="11" t="s">
        <v>239</v>
      </c>
      <c r="U961" s="5" t="s">
        <v>240</v>
      </c>
      <c r="V961" s="11" t="s">
        <v>261</v>
      </c>
      <c r="W961" s="5" t="s">
        <v>334</v>
      </c>
      <c r="X961" s="5" t="s">
        <v>242</v>
      </c>
      <c r="Y961" s="5"/>
      <c r="Z961" s="5"/>
      <c r="AA961" s="11" t="s">
        <v>150</v>
      </c>
      <c r="AB961" s="5" t="s">
        <v>245</v>
      </c>
      <c r="AC961" s="5"/>
      <c r="AD961" s="11" t="s">
        <v>2457</v>
      </c>
      <c r="AE961" s="23" t="n">
        <v>0.95</v>
      </c>
      <c r="AF961" s="23" t="n">
        <v>0</v>
      </c>
      <c r="AG961" s="23" t="n">
        <v>0.33</v>
      </c>
      <c r="AH961" s="23" t="n">
        <v>1</v>
      </c>
      <c r="AI961" s="23" t="n">
        <v>1</v>
      </c>
      <c r="AJ961" s="23" t="n">
        <v>0.4452</v>
      </c>
      <c r="AK961" s="23" t="n">
        <v>0.5</v>
      </c>
      <c r="AL961" s="23" t="n">
        <v>0</v>
      </c>
      <c r="AM961" s="16" t="n">
        <f aca="false">COUNTIFS($D$2:$D$2501,D961,$G$2:$G$2501,"&gt;"&amp;G961)+COUNTIFS($D$2:D961,D961,$G$2:G961,G961)</f>
        <v>252</v>
      </c>
      <c r="AN961" s="5" t="str">
        <f aca="false">D961&amp;"|"&amp;AM961</f>
        <v>實體擷取與去識別化|252</v>
      </c>
    </row>
    <row r="962" customFormat="false" ht="17.15" hidden="false" customHeight="false" outlineLevel="0" collapsed="false">
      <c r="A962" s="16" t="n">
        <f aca="false">RANK(G962,$G$2:$G$2501)+COUNTIF($G$2:G962,G962)-1</f>
        <v>961</v>
      </c>
      <c r="B962" s="11" t="s">
        <v>2458</v>
      </c>
      <c r="C962" s="11" t="s">
        <v>2459</v>
      </c>
      <c r="D962" s="5" t="s">
        <v>54</v>
      </c>
      <c r="E962" s="5" t="s">
        <v>55</v>
      </c>
      <c r="F962" s="5"/>
      <c r="G962" s="22" t="n">
        <f aca="false">ROUND(SUM(I962:P962),3)</f>
        <v>65.394</v>
      </c>
      <c r="H962" s="5" t="str">
        <f aca="false">IF(G962&gt;=評分方法!$C$16,"優先評估",IF(G962&gt;=評分方法!$C$17,"列入候選",IF(G962&gt;=評分方法!$C$18,"特定情境","不建議")))</f>
        <v>特定情境</v>
      </c>
      <c r="I962" s="15" t="n">
        <f aca="false">AE962*評分方法!$C$5</f>
        <v>27</v>
      </c>
      <c r="J962" s="15" t="n">
        <f aca="false">AF962*評分方法!$C$6</f>
        <v>0</v>
      </c>
      <c r="K962" s="15" t="n">
        <f aca="false">AG962*評分方法!$C$7</f>
        <v>4.95</v>
      </c>
      <c r="L962" s="15" t="n">
        <f aca="false">AH962*評分方法!$C$8</f>
        <v>15</v>
      </c>
      <c r="M962" s="15" t="n">
        <f aca="false">AI962*評分方法!$C$9</f>
        <v>10</v>
      </c>
      <c r="N962" s="15" t="n">
        <f aca="false">AJ962*評分方法!$C$10</f>
        <v>5.944</v>
      </c>
      <c r="O962" s="15" t="n">
        <f aca="false">AK962*評分方法!$C$11</f>
        <v>2.5</v>
      </c>
      <c r="P962" s="15" t="n">
        <f aca="false">AL962*評分方法!$C$12</f>
        <v>0</v>
      </c>
      <c r="Q962" s="6" t="n">
        <v>612089</v>
      </c>
      <c r="R962" s="6" t="n">
        <v>559890432</v>
      </c>
      <c r="S962" s="11" t="s">
        <v>238</v>
      </c>
      <c r="T962" s="11" t="s">
        <v>239</v>
      </c>
      <c r="U962" s="5" t="s">
        <v>240</v>
      </c>
      <c r="V962" s="11" t="s">
        <v>261</v>
      </c>
      <c r="W962" s="5" t="s">
        <v>334</v>
      </c>
      <c r="X962" s="5" t="s">
        <v>242</v>
      </c>
      <c r="Y962" s="11" t="s">
        <v>856</v>
      </c>
      <c r="Z962" s="11" t="s">
        <v>270</v>
      </c>
      <c r="AA962" s="11" t="s">
        <v>153</v>
      </c>
      <c r="AB962" s="5" t="s">
        <v>245</v>
      </c>
      <c r="AC962" s="5"/>
      <c r="AD962" s="11" t="s">
        <v>2460</v>
      </c>
      <c r="AE962" s="23" t="n">
        <v>0.9</v>
      </c>
      <c r="AF962" s="23" t="n">
        <v>0</v>
      </c>
      <c r="AG962" s="23" t="n">
        <v>0.33</v>
      </c>
      <c r="AH962" s="23" t="n">
        <v>1</v>
      </c>
      <c r="AI962" s="23" t="n">
        <v>1</v>
      </c>
      <c r="AJ962" s="23" t="n">
        <v>0.5944</v>
      </c>
      <c r="AK962" s="23" t="n">
        <v>0.5</v>
      </c>
      <c r="AL962" s="23" t="n">
        <v>0</v>
      </c>
      <c r="AM962" s="16" t="n">
        <f aca="false">COUNTIFS($D$2:$D$2501,D962,$G$2:$G$2501,"&gt;"&amp;G962)+COUNTIFS($D$2:D962,D962,$G$2:G962,G962)</f>
        <v>152</v>
      </c>
      <c r="AN962" s="5" t="str">
        <f aca="false">D962&amp;"|"&amp;AM962</f>
        <v>檢索與情資關聯|152</v>
      </c>
    </row>
    <row r="963" customFormat="false" ht="17.15" hidden="false" customHeight="false" outlineLevel="0" collapsed="false">
      <c r="A963" s="16" t="n">
        <f aca="false">RANK(G963,$G$2:$G$2501)+COUNTIF($G$2:G963,G963)-1</f>
        <v>962</v>
      </c>
      <c r="B963" s="11" t="s">
        <v>2461</v>
      </c>
      <c r="C963" s="11" t="s">
        <v>402</v>
      </c>
      <c r="D963" s="5" t="s">
        <v>58</v>
      </c>
      <c r="E963" s="5" t="s">
        <v>59</v>
      </c>
      <c r="F963" s="5"/>
      <c r="G963" s="22" t="n">
        <f aca="false">ROUND(SUM(I963:P963),3)</f>
        <v>65.394</v>
      </c>
      <c r="H963" s="5" t="str">
        <f aca="false">IF(G963&gt;=評分方法!$C$16,"優先評估",IF(G963&gt;=評分方法!$C$17,"列入候選",IF(G963&gt;=評分方法!$C$18,"特定情境","不建議")))</f>
        <v>特定情境</v>
      </c>
      <c r="I963" s="15" t="n">
        <f aca="false">AE963*評分方法!$C$5</f>
        <v>28.5</v>
      </c>
      <c r="J963" s="15" t="n">
        <f aca="false">AF963*評分方法!$C$6</f>
        <v>0</v>
      </c>
      <c r="K963" s="15" t="n">
        <f aca="false">AG963*評分方法!$C$7</f>
        <v>4.95</v>
      </c>
      <c r="L963" s="15" t="n">
        <f aca="false">AH963*評分方法!$C$8</f>
        <v>15</v>
      </c>
      <c r="M963" s="15" t="n">
        <f aca="false">AI963*評分方法!$C$9</f>
        <v>10</v>
      </c>
      <c r="N963" s="15" t="n">
        <f aca="false">AJ963*評分方法!$C$10</f>
        <v>4.444</v>
      </c>
      <c r="O963" s="15" t="n">
        <f aca="false">AK963*評分方法!$C$11</f>
        <v>2.5</v>
      </c>
      <c r="P963" s="15" t="n">
        <f aca="false">AL963*評分方法!$C$12</f>
        <v>0</v>
      </c>
      <c r="Q963" s="6" t="n">
        <v>483464</v>
      </c>
      <c r="R963" s="6" t="n">
        <v>124057347</v>
      </c>
      <c r="S963" s="11" t="s">
        <v>238</v>
      </c>
      <c r="T963" s="11" t="s">
        <v>239</v>
      </c>
      <c r="U963" s="5" t="s">
        <v>240</v>
      </c>
      <c r="V963" s="11" t="s">
        <v>261</v>
      </c>
      <c r="W963" s="5" t="s">
        <v>334</v>
      </c>
      <c r="X963" s="5" t="s">
        <v>242</v>
      </c>
      <c r="Y963" s="5"/>
      <c r="Z963" s="5"/>
      <c r="AA963" s="11" t="s">
        <v>150</v>
      </c>
      <c r="AB963" s="5" t="s">
        <v>245</v>
      </c>
      <c r="AC963" s="5"/>
      <c r="AD963" s="11" t="s">
        <v>2462</v>
      </c>
      <c r="AE963" s="23" t="n">
        <v>0.95</v>
      </c>
      <c r="AF963" s="23" t="n">
        <v>0</v>
      </c>
      <c r="AG963" s="23" t="n">
        <v>0.33</v>
      </c>
      <c r="AH963" s="23" t="n">
        <v>1</v>
      </c>
      <c r="AI963" s="23" t="n">
        <v>1</v>
      </c>
      <c r="AJ963" s="23" t="n">
        <v>0.4444</v>
      </c>
      <c r="AK963" s="23" t="n">
        <v>0.5</v>
      </c>
      <c r="AL963" s="23" t="n">
        <v>0</v>
      </c>
      <c r="AM963" s="16" t="n">
        <f aca="false">COUNTIFS($D$2:$D$2501,D963,$G$2:$G$2501,"&gt;"&amp;G963)+COUNTIFS($D$2:D963,D963,$G$2:G963,G963)</f>
        <v>253</v>
      </c>
      <c r="AN963" s="5" t="str">
        <f aca="false">D963&amp;"|"&amp;AM963</f>
        <v>實體擷取與去識別化|253</v>
      </c>
    </row>
    <row r="964" customFormat="false" ht="17.15" hidden="false" customHeight="false" outlineLevel="0" collapsed="false">
      <c r="A964" s="16" t="n">
        <f aca="false">RANK(G964,$G$2:$G$2501)+COUNTIF($G$2:G964,G964)-1</f>
        <v>963</v>
      </c>
      <c r="B964" s="11" t="s">
        <v>2463</v>
      </c>
      <c r="C964" s="11" t="s">
        <v>402</v>
      </c>
      <c r="D964" s="5" t="s">
        <v>58</v>
      </c>
      <c r="E964" s="5" t="s">
        <v>59</v>
      </c>
      <c r="F964" s="5"/>
      <c r="G964" s="22" t="n">
        <f aca="false">ROUND(SUM(I964:P964),3)</f>
        <v>65.39</v>
      </c>
      <c r="H964" s="5" t="str">
        <f aca="false">IF(G964&gt;=評分方法!$C$16,"優先評估",IF(G964&gt;=評分方法!$C$17,"列入候選",IF(G964&gt;=評分方法!$C$18,"特定情境","不建議")))</f>
        <v>特定情境</v>
      </c>
      <c r="I964" s="15" t="n">
        <f aca="false">AE964*評分方法!$C$5</f>
        <v>28.5</v>
      </c>
      <c r="J964" s="15" t="n">
        <f aca="false">AF964*評分方法!$C$6</f>
        <v>0</v>
      </c>
      <c r="K964" s="15" t="n">
        <f aca="false">AG964*評分方法!$C$7</f>
        <v>4.95</v>
      </c>
      <c r="L964" s="15" t="n">
        <f aca="false">AH964*評分方法!$C$8</f>
        <v>15</v>
      </c>
      <c r="M964" s="15" t="n">
        <f aca="false">AI964*評分方法!$C$9</f>
        <v>10</v>
      </c>
      <c r="N964" s="15" t="n">
        <f aca="false">AJ964*評分方法!$C$10</f>
        <v>4.44</v>
      </c>
      <c r="O964" s="15" t="n">
        <f aca="false">AK964*評分方法!$C$11</f>
        <v>2.5</v>
      </c>
      <c r="P964" s="15" t="n">
        <f aca="false">AL964*評分方法!$C$12</f>
        <v>0</v>
      </c>
      <c r="Q964" s="6" t="n">
        <v>483228</v>
      </c>
      <c r="R964" s="6" t="n">
        <v>66365187</v>
      </c>
      <c r="S964" s="11" t="s">
        <v>238</v>
      </c>
      <c r="T964" s="11" t="s">
        <v>239</v>
      </c>
      <c r="U964" s="5" t="s">
        <v>240</v>
      </c>
      <c r="V964" s="11" t="s">
        <v>261</v>
      </c>
      <c r="W964" s="5" t="s">
        <v>334</v>
      </c>
      <c r="X964" s="5" t="s">
        <v>242</v>
      </c>
      <c r="Y964" s="5"/>
      <c r="Z964" s="5"/>
      <c r="AA964" s="11" t="s">
        <v>150</v>
      </c>
      <c r="AB964" s="5" t="s">
        <v>245</v>
      </c>
      <c r="AC964" s="5"/>
      <c r="AD964" s="11" t="s">
        <v>2464</v>
      </c>
      <c r="AE964" s="23" t="n">
        <v>0.95</v>
      </c>
      <c r="AF964" s="23" t="n">
        <v>0</v>
      </c>
      <c r="AG964" s="23" t="n">
        <v>0.33</v>
      </c>
      <c r="AH964" s="23" t="n">
        <v>1</v>
      </c>
      <c r="AI964" s="23" t="n">
        <v>1</v>
      </c>
      <c r="AJ964" s="23" t="n">
        <v>0.444</v>
      </c>
      <c r="AK964" s="23" t="n">
        <v>0.5</v>
      </c>
      <c r="AL964" s="23" t="n">
        <v>0</v>
      </c>
      <c r="AM964" s="16" t="n">
        <f aca="false">COUNTIFS($D$2:$D$2501,D964,$G$2:$G$2501,"&gt;"&amp;G964)+COUNTIFS($D$2:D964,D964,$G$2:G964,G964)</f>
        <v>254</v>
      </c>
      <c r="AN964" s="5" t="str">
        <f aca="false">D964&amp;"|"&amp;AM964</f>
        <v>實體擷取與去識別化|254</v>
      </c>
    </row>
    <row r="965" customFormat="false" ht="17.15" hidden="false" customHeight="false" outlineLevel="0" collapsed="false">
      <c r="A965" s="16" t="n">
        <f aca="false">RANK(G965,$G$2:$G$2501)+COUNTIF($G$2:G965,G965)-1</f>
        <v>964</v>
      </c>
      <c r="B965" s="11" t="s">
        <v>2465</v>
      </c>
      <c r="C965" s="11" t="s">
        <v>308</v>
      </c>
      <c r="D965" s="5" t="s">
        <v>74</v>
      </c>
      <c r="E965" s="5" t="s">
        <v>75</v>
      </c>
      <c r="F965" s="5"/>
      <c r="G965" s="22" t="n">
        <f aca="false">ROUND(SUM(I965:P965),3)</f>
        <v>65.388</v>
      </c>
      <c r="H965" s="5" t="str">
        <f aca="false">IF(G965&gt;=評分方法!$C$16,"優先評估",IF(G965&gt;=評分方法!$C$17,"列入候選",IF(G965&gt;=評分方法!$C$18,"特定情境","不建議")))</f>
        <v>特定情境</v>
      </c>
      <c r="I965" s="15" t="n">
        <f aca="false">AE965*評分方法!$C$5</f>
        <v>13.5</v>
      </c>
      <c r="J965" s="15" t="n">
        <f aca="false">AF965*評分方法!$C$6</f>
        <v>0</v>
      </c>
      <c r="K965" s="15" t="n">
        <f aca="false">AG965*評分方法!$C$7</f>
        <v>15</v>
      </c>
      <c r="L965" s="15" t="n">
        <f aca="false">AH965*評分方法!$C$8</f>
        <v>15</v>
      </c>
      <c r="M965" s="15" t="n">
        <f aca="false">AI965*評分方法!$C$9</f>
        <v>10</v>
      </c>
      <c r="N965" s="15" t="n">
        <f aca="false">AJ965*評分方法!$C$10</f>
        <v>9.388</v>
      </c>
      <c r="O965" s="15" t="n">
        <f aca="false">AK965*評分方法!$C$11</f>
        <v>1</v>
      </c>
      <c r="P965" s="15" t="n">
        <f aca="false">AL965*評分方法!$C$12</f>
        <v>1.5</v>
      </c>
      <c r="Q965" s="6" t="n">
        <v>7165916</v>
      </c>
      <c r="R965" s="6" t="n">
        <v>28818631</v>
      </c>
      <c r="S965" s="11" t="s">
        <v>238</v>
      </c>
      <c r="T965" s="11" t="s">
        <v>278</v>
      </c>
      <c r="U965" s="5" t="s">
        <v>240</v>
      </c>
      <c r="V965" s="11" t="s">
        <v>324</v>
      </c>
      <c r="W965" s="5" t="s">
        <v>205</v>
      </c>
      <c r="X965" s="5" t="s">
        <v>255</v>
      </c>
      <c r="Y965" s="5"/>
      <c r="Z965" s="5"/>
      <c r="AA965" s="11" t="s">
        <v>164</v>
      </c>
      <c r="AB965" s="5" t="s">
        <v>245</v>
      </c>
      <c r="AC965" s="5"/>
      <c r="AD965" s="11" t="s">
        <v>2466</v>
      </c>
      <c r="AE965" s="23" t="n">
        <v>0.45</v>
      </c>
      <c r="AF965" s="23" t="n">
        <v>0</v>
      </c>
      <c r="AG965" s="23" t="n">
        <v>1</v>
      </c>
      <c r="AH965" s="23" t="n">
        <v>1</v>
      </c>
      <c r="AI965" s="23" t="n">
        <v>1</v>
      </c>
      <c r="AJ965" s="23" t="n">
        <v>0.9388</v>
      </c>
      <c r="AK965" s="23" t="n">
        <v>0.2</v>
      </c>
      <c r="AL965" s="23" t="n">
        <v>0.3</v>
      </c>
      <c r="AM965" s="16" t="n">
        <f aca="false">COUNTIFS($D$2:$D$2501,D965,$G$2:$G$2501,"&gt;"&amp;G965)+COUNTIFS($D$2:D965,D965,$G$2:G965,G965)</f>
        <v>7</v>
      </c>
      <c r="AN965" s="5" t="str">
        <f aca="false">D965&amp;"|"&amp;AM965</f>
        <v>文件與影像辨識|7</v>
      </c>
    </row>
    <row r="966" customFormat="false" ht="17.15" hidden="false" customHeight="false" outlineLevel="0" collapsed="false">
      <c r="A966" s="16" t="n">
        <f aca="false">RANK(G966,$G$2:$G$2501)+COUNTIF($G$2:G966,G966)-1</f>
        <v>965</v>
      </c>
      <c r="B966" s="11" t="s">
        <v>2467</v>
      </c>
      <c r="C966" s="11" t="s">
        <v>402</v>
      </c>
      <c r="D966" s="5" t="s">
        <v>58</v>
      </c>
      <c r="E966" s="5" t="s">
        <v>59</v>
      </c>
      <c r="F966" s="5"/>
      <c r="G966" s="22" t="n">
        <f aca="false">ROUND(SUM(I966:P966),3)</f>
        <v>65.386</v>
      </c>
      <c r="H966" s="5" t="str">
        <f aca="false">IF(G966&gt;=評分方法!$C$16,"優先評估",IF(G966&gt;=評分方法!$C$17,"列入候選",IF(G966&gt;=評分方法!$C$18,"特定情境","不建議")))</f>
        <v>特定情境</v>
      </c>
      <c r="I966" s="15" t="n">
        <f aca="false">AE966*評分方法!$C$5</f>
        <v>28.5</v>
      </c>
      <c r="J966" s="15" t="n">
        <f aca="false">AF966*評分方法!$C$6</f>
        <v>0</v>
      </c>
      <c r="K966" s="15" t="n">
        <f aca="false">AG966*評分方法!$C$7</f>
        <v>4.95</v>
      </c>
      <c r="L966" s="15" t="n">
        <f aca="false">AH966*評分方法!$C$8</f>
        <v>15</v>
      </c>
      <c r="M966" s="15" t="n">
        <f aca="false">AI966*評分方法!$C$9</f>
        <v>10</v>
      </c>
      <c r="N966" s="15" t="n">
        <f aca="false">AJ966*評分方法!$C$10</f>
        <v>4.436</v>
      </c>
      <c r="O966" s="15" t="n">
        <f aca="false">AK966*評分方法!$C$11</f>
        <v>2.5</v>
      </c>
      <c r="P966" s="15" t="n">
        <f aca="false">AL966*評分方法!$C$12</f>
        <v>0</v>
      </c>
      <c r="Q966" s="6" t="n">
        <v>482516</v>
      </c>
      <c r="R966" s="6" t="n">
        <v>66371339</v>
      </c>
      <c r="S966" s="11" t="s">
        <v>238</v>
      </c>
      <c r="T966" s="11" t="s">
        <v>239</v>
      </c>
      <c r="U966" s="5" t="s">
        <v>240</v>
      </c>
      <c r="V966" s="11" t="s">
        <v>261</v>
      </c>
      <c r="W966" s="5" t="s">
        <v>334</v>
      </c>
      <c r="X966" s="5" t="s">
        <v>242</v>
      </c>
      <c r="Y966" s="5"/>
      <c r="Z966" s="5"/>
      <c r="AA966" s="11" t="s">
        <v>150</v>
      </c>
      <c r="AB966" s="5" t="s">
        <v>245</v>
      </c>
      <c r="AC966" s="5"/>
      <c r="AD966" s="11" t="s">
        <v>2468</v>
      </c>
      <c r="AE966" s="23" t="n">
        <v>0.95</v>
      </c>
      <c r="AF966" s="23" t="n">
        <v>0</v>
      </c>
      <c r="AG966" s="23" t="n">
        <v>0.33</v>
      </c>
      <c r="AH966" s="23" t="n">
        <v>1</v>
      </c>
      <c r="AI966" s="23" t="n">
        <v>1</v>
      </c>
      <c r="AJ966" s="23" t="n">
        <v>0.4436</v>
      </c>
      <c r="AK966" s="23" t="n">
        <v>0.5</v>
      </c>
      <c r="AL966" s="23" t="n">
        <v>0</v>
      </c>
      <c r="AM966" s="16" t="n">
        <f aca="false">COUNTIFS($D$2:$D$2501,D966,$G$2:$G$2501,"&gt;"&amp;G966)+COUNTIFS($D$2:D966,D966,$G$2:G966,G966)</f>
        <v>255</v>
      </c>
      <c r="AN966" s="5" t="str">
        <f aca="false">D966&amp;"|"&amp;AM966</f>
        <v>實體擷取與去識別化|255</v>
      </c>
    </row>
    <row r="967" customFormat="false" ht="17.15" hidden="false" customHeight="false" outlineLevel="0" collapsed="false">
      <c r="A967" s="16" t="n">
        <f aca="false">RANK(G967,$G$2:$G$2501)+COUNTIF($G$2:G967,G967)-1</f>
        <v>966</v>
      </c>
      <c r="B967" s="11" t="s">
        <v>2469</v>
      </c>
      <c r="C967" s="11" t="s">
        <v>327</v>
      </c>
      <c r="D967" s="5" t="s">
        <v>56</v>
      </c>
      <c r="E967" s="5" t="s">
        <v>57</v>
      </c>
      <c r="F967" s="5"/>
      <c r="G967" s="22" t="n">
        <f aca="false">ROUND(SUM(I967:P967),3)</f>
        <v>65.386</v>
      </c>
      <c r="H967" s="5" t="str">
        <f aca="false">IF(G967&gt;=評分方法!$C$16,"優先評估",IF(G967&gt;=評分方法!$C$17,"列入候選",IF(G967&gt;=評分方法!$C$18,"特定情境","不建議")))</f>
        <v>特定情境</v>
      </c>
      <c r="I967" s="15" t="n">
        <f aca="false">AE967*評分方法!$C$5</f>
        <v>25.5</v>
      </c>
      <c r="J967" s="15" t="n">
        <f aca="false">AF967*評分方法!$C$6</f>
        <v>0</v>
      </c>
      <c r="K967" s="15" t="n">
        <f aca="false">AG967*評分方法!$C$7</f>
        <v>15</v>
      </c>
      <c r="L967" s="15" t="n">
        <f aca="false">AH967*評分方法!$C$8</f>
        <v>13.05</v>
      </c>
      <c r="M967" s="15" t="n">
        <f aca="false">AI967*評分方法!$C$9</f>
        <v>6</v>
      </c>
      <c r="N967" s="15" t="n">
        <f aca="false">AJ967*評分方法!$C$10</f>
        <v>3.336</v>
      </c>
      <c r="O967" s="15" t="n">
        <f aca="false">AK967*評分方法!$C$11</f>
        <v>2.5</v>
      </c>
      <c r="P967" s="15" t="n">
        <f aca="false">AL967*評分方法!$C$12</f>
        <v>0</v>
      </c>
      <c r="Q967" s="6" t="n">
        <v>332110</v>
      </c>
      <c r="R967" s="6" t="n">
        <v>8030261248</v>
      </c>
      <c r="S967" s="11" t="s">
        <v>254</v>
      </c>
      <c r="T967" s="11" t="s">
        <v>185</v>
      </c>
      <c r="U967" s="5" t="s">
        <v>260</v>
      </c>
      <c r="V967" s="11" t="s">
        <v>261</v>
      </c>
      <c r="W967" s="5" t="s">
        <v>205</v>
      </c>
      <c r="X967" s="5" t="s">
        <v>242</v>
      </c>
      <c r="Y967" s="5"/>
      <c r="Z967" s="5"/>
      <c r="AA967" s="11" t="s">
        <v>155</v>
      </c>
      <c r="AB967" s="5" t="s">
        <v>245</v>
      </c>
      <c r="AC967" s="5" t="s">
        <v>262</v>
      </c>
      <c r="AD967" s="11" t="s">
        <v>2470</v>
      </c>
      <c r="AE967" s="23" t="n">
        <v>0.85</v>
      </c>
      <c r="AF967" s="23" t="n">
        <v>0</v>
      </c>
      <c r="AG967" s="23" t="n">
        <v>1</v>
      </c>
      <c r="AH967" s="23" t="n">
        <v>0.87</v>
      </c>
      <c r="AI967" s="23" t="n">
        <v>0.6</v>
      </c>
      <c r="AJ967" s="23" t="n">
        <v>0.3336</v>
      </c>
      <c r="AK967" s="23" t="n">
        <v>0.5</v>
      </c>
      <c r="AL967" s="23" t="n">
        <v>0</v>
      </c>
      <c r="AM967" s="16" t="n">
        <f aca="false">COUNTIFS($D$2:$D$2501,D967,$G$2:$G$2501,"&gt;"&amp;G967)+COUNTIFS($D$2:D967,D967,$G$2:G967,G967)</f>
        <v>419</v>
      </c>
      <c r="AN967" s="5" t="str">
        <f aca="false">D967&amp;"|"&amp;AM967</f>
        <v>分析與報告生成|419</v>
      </c>
    </row>
    <row r="968" customFormat="false" ht="17.15" hidden="false" customHeight="false" outlineLevel="0" collapsed="false">
      <c r="A968" s="16" t="n">
        <f aca="false">RANK(G968,$G$2:$G$2501)+COUNTIF($G$2:G968,G968)-1</f>
        <v>967</v>
      </c>
      <c r="B968" s="11" t="s">
        <v>2471</v>
      </c>
      <c r="C968" s="11" t="s">
        <v>402</v>
      </c>
      <c r="D968" s="5" t="s">
        <v>58</v>
      </c>
      <c r="E968" s="5" t="s">
        <v>59</v>
      </c>
      <c r="F968" s="5"/>
      <c r="G968" s="22" t="n">
        <f aca="false">ROUND(SUM(I968:P968),3)</f>
        <v>65.374</v>
      </c>
      <c r="H968" s="5" t="str">
        <f aca="false">IF(G968&gt;=評分方法!$C$16,"優先評估",IF(G968&gt;=評分方法!$C$17,"列入候選",IF(G968&gt;=評分方法!$C$18,"特定情境","不建議")))</f>
        <v>特定情境</v>
      </c>
      <c r="I968" s="15" t="n">
        <f aca="false">AE968*評分方法!$C$5</f>
        <v>28.5</v>
      </c>
      <c r="J968" s="15" t="n">
        <f aca="false">AF968*評分方法!$C$6</f>
        <v>0</v>
      </c>
      <c r="K968" s="15" t="n">
        <f aca="false">AG968*評分方法!$C$7</f>
        <v>4.95</v>
      </c>
      <c r="L968" s="15" t="n">
        <f aca="false">AH968*評分方法!$C$8</f>
        <v>15</v>
      </c>
      <c r="M968" s="15" t="n">
        <f aca="false">AI968*評分方法!$C$9</f>
        <v>10</v>
      </c>
      <c r="N968" s="15" t="n">
        <f aca="false">AJ968*評分方法!$C$10</f>
        <v>4.424</v>
      </c>
      <c r="O968" s="15" t="n">
        <f aca="false">AK968*評分方法!$C$11</f>
        <v>2.5</v>
      </c>
      <c r="P968" s="15" t="n">
        <f aca="false">AL968*評分方法!$C$12</f>
        <v>0</v>
      </c>
      <c r="Q968" s="6" t="n">
        <v>482014</v>
      </c>
      <c r="R968" s="6" t="n">
        <v>81530115</v>
      </c>
      <c r="S968" s="11" t="s">
        <v>238</v>
      </c>
      <c r="T968" s="11" t="s">
        <v>239</v>
      </c>
      <c r="U968" s="5" t="s">
        <v>240</v>
      </c>
      <c r="V968" s="11" t="s">
        <v>261</v>
      </c>
      <c r="W968" s="5" t="s">
        <v>334</v>
      </c>
      <c r="X968" s="5" t="s">
        <v>242</v>
      </c>
      <c r="Y968" s="5"/>
      <c r="Z968" s="5"/>
      <c r="AA968" s="11" t="s">
        <v>150</v>
      </c>
      <c r="AB968" s="5" t="s">
        <v>245</v>
      </c>
      <c r="AC968" s="5"/>
      <c r="AD968" s="11" t="s">
        <v>2472</v>
      </c>
      <c r="AE968" s="23" t="n">
        <v>0.95</v>
      </c>
      <c r="AF968" s="23" t="n">
        <v>0</v>
      </c>
      <c r="AG968" s="23" t="n">
        <v>0.33</v>
      </c>
      <c r="AH968" s="23" t="n">
        <v>1</v>
      </c>
      <c r="AI968" s="23" t="n">
        <v>1</v>
      </c>
      <c r="AJ968" s="23" t="n">
        <v>0.4424</v>
      </c>
      <c r="AK968" s="23" t="n">
        <v>0.5</v>
      </c>
      <c r="AL968" s="23" t="n">
        <v>0</v>
      </c>
      <c r="AM968" s="16" t="n">
        <f aca="false">COUNTIFS($D$2:$D$2501,D968,$G$2:$G$2501,"&gt;"&amp;G968)+COUNTIFS($D$2:D968,D968,$G$2:G968,G968)</f>
        <v>256</v>
      </c>
      <c r="AN968" s="5" t="str">
        <f aca="false">D968&amp;"|"&amp;AM968</f>
        <v>實體擷取與去識別化|256</v>
      </c>
    </row>
    <row r="969" customFormat="false" ht="17.15" hidden="false" customHeight="false" outlineLevel="0" collapsed="false">
      <c r="A969" s="16" t="n">
        <f aca="false">RANK(G969,$G$2:$G$2501)+COUNTIF($G$2:G969,G969)-1</f>
        <v>968</v>
      </c>
      <c r="B969" s="11" t="s">
        <v>2473</v>
      </c>
      <c r="C969" s="11" t="s">
        <v>2261</v>
      </c>
      <c r="D969" s="5" t="s">
        <v>54</v>
      </c>
      <c r="E969" s="5" t="s">
        <v>55</v>
      </c>
      <c r="F969" s="5"/>
      <c r="G969" s="22" t="n">
        <f aca="false">ROUND(SUM(I969:P969),3)</f>
        <v>65.362</v>
      </c>
      <c r="H969" s="5" t="str">
        <f aca="false">IF(G969&gt;=評分方法!$C$16,"優先評估",IF(G969&gt;=評分方法!$C$17,"列入候選",IF(G969&gt;=評分方法!$C$18,"特定情境","不建議")))</f>
        <v>特定情境</v>
      </c>
      <c r="I969" s="15" t="n">
        <f aca="false">AE969*評分方法!$C$5</f>
        <v>27</v>
      </c>
      <c r="J969" s="15" t="n">
        <f aca="false">AF969*評分方法!$C$6</f>
        <v>0</v>
      </c>
      <c r="K969" s="15" t="n">
        <f aca="false">AG969*評分方法!$C$7</f>
        <v>10.05</v>
      </c>
      <c r="L969" s="15" t="n">
        <f aca="false">AH969*評分方法!$C$8</f>
        <v>15</v>
      </c>
      <c r="M969" s="15" t="n">
        <f aca="false">AI969*評分方法!$C$9</f>
        <v>2</v>
      </c>
      <c r="N969" s="15" t="n">
        <f aca="false">AJ969*評分方法!$C$10</f>
        <v>8.812</v>
      </c>
      <c r="O969" s="15" t="n">
        <f aca="false">AK969*評分方法!$C$11</f>
        <v>1</v>
      </c>
      <c r="P969" s="15" t="n">
        <f aca="false">AL969*評分方法!$C$12</f>
        <v>1.5</v>
      </c>
      <c r="Q969" s="6" t="n">
        <v>3095780</v>
      </c>
      <c r="R969" s="6" t="n">
        <v>0</v>
      </c>
      <c r="S969" s="11" t="s">
        <v>238</v>
      </c>
      <c r="T969" s="5"/>
      <c r="U969" s="5" t="s">
        <v>375</v>
      </c>
      <c r="V969" s="11" t="s">
        <v>261</v>
      </c>
      <c r="W969" s="5" t="s">
        <v>207</v>
      </c>
      <c r="X969" s="5" t="s">
        <v>255</v>
      </c>
      <c r="Y969" s="5"/>
      <c r="Z969" s="5"/>
      <c r="AA969" s="11" t="s">
        <v>153</v>
      </c>
      <c r="AB969" s="5" t="s">
        <v>245</v>
      </c>
      <c r="AC969" s="5" t="s">
        <v>262</v>
      </c>
      <c r="AD969" s="11" t="s">
        <v>2474</v>
      </c>
      <c r="AE969" s="23" t="n">
        <v>0.9</v>
      </c>
      <c r="AF969" s="23" t="n">
        <v>0</v>
      </c>
      <c r="AG969" s="23" t="n">
        <v>0.67</v>
      </c>
      <c r="AH969" s="23" t="n">
        <v>1</v>
      </c>
      <c r="AI969" s="23" t="n">
        <v>0.2</v>
      </c>
      <c r="AJ969" s="23" t="n">
        <v>0.8812</v>
      </c>
      <c r="AK969" s="23" t="n">
        <v>0.2</v>
      </c>
      <c r="AL969" s="23" t="n">
        <v>0.3</v>
      </c>
      <c r="AM969" s="16" t="n">
        <f aca="false">COUNTIFS($D$2:$D$2501,D969,$G$2:$G$2501,"&gt;"&amp;G969)+COUNTIFS($D$2:D969,D969,$G$2:G969,G969)</f>
        <v>153</v>
      </c>
      <c r="AN969" s="5" t="str">
        <f aca="false">D969&amp;"|"&amp;AM969</f>
        <v>檢索與情資關聯|153</v>
      </c>
    </row>
    <row r="970" customFormat="false" ht="17.15" hidden="false" customHeight="false" outlineLevel="0" collapsed="false">
      <c r="A970" s="16" t="n">
        <f aca="false">RANK(G970,$G$2:$G$2501)+COUNTIF($G$2:G970,G970)-1</f>
        <v>969</v>
      </c>
      <c r="B970" s="11" t="s">
        <v>2475</v>
      </c>
      <c r="C970" s="11" t="s">
        <v>402</v>
      </c>
      <c r="D970" s="5" t="s">
        <v>58</v>
      </c>
      <c r="E970" s="5" t="s">
        <v>59</v>
      </c>
      <c r="F970" s="5"/>
      <c r="G970" s="22" t="n">
        <f aca="false">ROUND(SUM(I970:P970),3)</f>
        <v>65.362</v>
      </c>
      <c r="H970" s="5" t="str">
        <f aca="false">IF(G970&gt;=評分方法!$C$16,"優先評估",IF(G970&gt;=評分方法!$C$17,"列入候選",IF(G970&gt;=評分方法!$C$18,"特定情境","不建議")))</f>
        <v>特定情境</v>
      </c>
      <c r="I970" s="15" t="n">
        <f aca="false">AE970*評分方法!$C$5</f>
        <v>28.5</v>
      </c>
      <c r="J970" s="15" t="n">
        <f aca="false">AF970*評分方法!$C$6</f>
        <v>0</v>
      </c>
      <c r="K970" s="15" t="n">
        <f aca="false">AG970*評分方法!$C$7</f>
        <v>4.95</v>
      </c>
      <c r="L970" s="15" t="n">
        <f aca="false">AH970*評分方法!$C$8</f>
        <v>15</v>
      </c>
      <c r="M970" s="15" t="n">
        <f aca="false">AI970*評分方法!$C$9</f>
        <v>10</v>
      </c>
      <c r="N970" s="15" t="n">
        <f aca="false">AJ970*評分方法!$C$10</f>
        <v>4.412</v>
      </c>
      <c r="O970" s="15" t="n">
        <f aca="false">AK970*評分方法!$C$11</f>
        <v>2.5</v>
      </c>
      <c r="P970" s="15" t="n">
        <f aca="false">AL970*評分方法!$C$12</f>
        <v>0</v>
      </c>
      <c r="Q970" s="6" t="n">
        <v>481160</v>
      </c>
      <c r="R970" s="6" t="n">
        <v>354313219</v>
      </c>
      <c r="S970" s="11" t="s">
        <v>238</v>
      </c>
      <c r="T970" s="11" t="s">
        <v>239</v>
      </c>
      <c r="U970" s="5" t="s">
        <v>240</v>
      </c>
      <c r="V970" s="11" t="s">
        <v>261</v>
      </c>
      <c r="W970" s="5" t="s">
        <v>334</v>
      </c>
      <c r="X970" s="5" t="s">
        <v>242</v>
      </c>
      <c r="Y970" s="5"/>
      <c r="Z970" s="5"/>
      <c r="AA970" s="11" t="s">
        <v>150</v>
      </c>
      <c r="AB970" s="5" t="s">
        <v>245</v>
      </c>
      <c r="AC970" s="5"/>
      <c r="AD970" s="11" t="s">
        <v>2476</v>
      </c>
      <c r="AE970" s="23" t="n">
        <v>0.95</v>
      </c>
      <c r="AF970" s="23" t="n">
        <v>0</v>
      </c>
      <c r="AG970" s="23" t="n">
        <v>0.33</v>
      </c>
      <c r="AH970" s="23" t="n">
        <v>1</v>
      </c>
      <c r="AI970" s="23" t="n">
        <v>1</v>
      </c>
      <c r="AJ970" s="23" t="n">
        <v>0.4412</v>
      </c>
      <c r="AK970" s="23" t="n">
        <v>0.5</v>
      </c>
      <c r="AL970" s="23" t="n">
        <v>0</v>
      </c>
      <c r="AM970" s="16" t="n">
        <f aca="false">COUNTIFS($D$2:$D$2501,D970,$G$2:$G$2501,"&gt;"&amp;G970)+COUNTIFS($D$2:D970,D970,$G$2:G970,G970)</f>
        <v>257</v>
      </c>
      <c r="AN970" s="5" t="str">
        <f aca="false">D970&amp;"|"&amp;AM970</f>
        <v>實體擷取與去識別化|257</v>
      </c>
    </row>
    <row r="971" customFormat="false" ht="17.15" hidden="false" customHeight="false" outlineLevel="0" collapsed="false">
      <c r="A971" s="16" t="n">
        <f aca="false">RANK(G971,$G$2:$G$2501)+COUNTIF($G$2:G971,G971)-1</f>
        <v>970</v>
      </c>
      <c r="B971" s="11" t="s">
        <v>2477</v>
      </c>
      <c r="C971" s="11" t="s">
        <v>1438</v>
      </c>
      <c r="D971" s="5" t="s">
        <v>56</v>
      </c>
      <c r="E971" s="5" t="s">
        <v>57</v>
      </c>
      <c r="F971" s="5"/>
      <c r="G971" s="22" t="n">
        <f aca="false">ROUND(SUM(I971:P971),3)</f>
        <v>65.358</v>
      </c>
      <c r="H971" s="5" t="str">
        <f aca="false">IF(G971&gt;=評分方法!$C$16,"優先評估",IF(G971&gt;=評分方法!$C$17,"列入候選",IF(G971&gt;=評分方法!$C$18,"特定情境","不建議")))</f>
        <v>特定情境</v>
      </c>
      <c r="I971" s="15" t="n">
        <f aca="false">AE971*評分方法!$C$5</f>
        <v>25.5</v>
      </c>
      <c r="J971" s="15" t="n">
        <f aca="false">AF971*評分方法!$C$6</f>
        <v>0</v>
      </c>
      <c r="K971" s="15" t="n">
        <f aca="false">AG971*評分方法!$C$7</f>
        <v>10.05</v>
      </c>
      <c r="L971" s="15" t="n">
        <f aca="false">AH971*評分方法!$C$8</f>
        <v>9</v>
      </c>
      <c r="M971" s="15" t="n">
        <f aca="false">AI971*評分方法!$C$9</f>
        <v>10</v>
      </c>
      <c r="N971" s="15" t="n">
        <f aca="false">AJ971*評分方法!$C$10</f>
        <v>3.808</v>
      </c>
      <c r="O971" s="15" t="n">
        <f aca="false">AK971*評分方法!$C$11</f>
        <v>4</v>
      </c>
      <c r="P971" s="15" t="n">
        <f aca="false">AL971*評分方法!$C$12</f>
        <v>3</v>
      </c>
      <c r="Q971" s="6" t="n">
        <v>389869</v>
      </c>
      <c r="R971" s="6" t="n">
        <v>26123974400</v>
      </c>
      <c r="S971" s="11" t="s">
        <v>389</v>
      </c>
      <c r="T971" s="11" t="s">
        <v>239</v>
      </c>
      <c r="U971" s="5" t="s">
        <v>240</v>
      </c>
      <c r="V971" s="11" t="s">
        <v>333</v>
      </c>
      <c r="W971" s="5" t="s">
        <v>207</v>
      </c>
      <c r="X971" s="5" t="s">
        <v>371</v>
      </c>
      <c r="Y971" s="11" t="s">
        <v>2478</v>
      </c>
      <c r="Z971" s="11" t="s">
        <v>244</v>
      </c>
      <c r="AA971" s="11" t="s">
        <v>155</v>
      </c>
      <c r="AB971" s="5" t="s">
        <v>245</v>
      </c>
      <c r="AC971" s="5" t="s">
        <v>246</v>
      </c>
      <c r="AD971" s="11" t="s">
        <v>2479</v>
      </c>
      <c r="AE971" s="23" t="n">
        <v>0.85</v>
      </c>
      <c r="AF971" s="23" t="n">
        <v>0</v>
      </c>
      <c r="AG971" s="23" t="n">
        <v>0.67</v>
      </c>
      <c r="AH971" s="23" t="n">
        <v>0.6</v>
      </c>
      <c r="AI971" s="23" t="n">
        <v>1</v>
      </c>
      <c r="AJ971" s="23" t="n">
        <v>0.3808</v>
      </c>
      <c r="AK971" s="23" t="n">
        <v>0.8</v>
      </c>
      <c r="AL971" s="23" t="n">
        <v>0.6</v>
      </c>
      <c r="AM971" s="16" t="n">
        <f aca="false">COUNTIFS($D$2:$D$2501,D971,$G$2:$G$2501,"&gt;"&amp;G971)+COUNTIFS($D$2:D971,D971,$G$2:G971,G971)</f>
        <v>420</v>
      </c>
      <c r="AN971" s="5" t="str">
        <f aca="false">D971&amp;"|"&amp;AM971</f>
        <v>分析與報告生成|420</v>
      </c>
    </row>
    <row r="972" customFormat="false" ht="17.15" hidden="false" customHeight="false" outlineLevel="0" collapsed="false">
      <c r="A972" s="16" t="n">
        <f aca="false">RANK(G972,$G$2:$G$2501)+COUNTIF($G$2:G972,G972)-1</f>
        <v>971</v>
      </c>
      <c r="B972" s="11" t="s">
        <v>2480</v>
      </c>
      <c r="C972" s="11" t="s">
        <v>2481</v>
      </c>
      <c r="D972" s="5" t="s">
        <v>64</v>
      </c>
      <c r="E972" s="5" t="s">
        <v>65</v>
      </c>
      <c r="F972" s="5" t="s">
        <v>64</v>
      </c>
      <c r="G972" s="22" t="n">
        <f aca="false">ROUND(SUM(I972:P972),3)</f>
        <v>65.358</v>
      </c>
      <c r="H972" s="5" t="str">
        <f aca="false">IF(G972&gt;=評分方法!$C$16,"優先評估",IF(G972&gt;=評分方法!$C$17,"列入候選",IF(G972&gt;=評分方法!$C$18,"特定情境","不建議")))</f>
        <v>特定情境</v>
      </c>
      <c r="I972" s="15" t="n">
        <f aca="false">AE972*評分方法!$C$5</f>
        <v>30</v>
      </c>
      <c r="J972" s="15" t="n">
        <f aca="false">AF972*評分方法!$C$6</f>
        <v>10</v>
      </c>
      <c r="K972" s="15" t="n">
        <f aca="false">AG972*評分方法!$C$7</f>
        <v>4.95</v>
      </c>
      <c r="L972" s="15" t="n">
        <f aca="false">AH972*評分方法!$C$8</f>
        <v>15</v>
      </c>
      <c r="M972" s="15" t="n">
        <f aca="false">AI972*評分方法!$C$9</f>
        <v>2</v>
      </c>
      <c r="N972" s="15" t="n">
        <f aca="false">AJ972*評分方法!$C$10</f>
        <v>2.408</v>
      </c>
      <c r="O972" s="15" t="n">
        <f aca="false">AK972*評分方法!$C$11</f>
        <v>1</v>
      </c>
      <c r="P972" s="15" t="n">
        <f aca="false">AL972*評分方法!$C$12</f>
        <v>0</v>
      </c>
      <c r="Q972" s="6" t="n">
        <v>241315</v>
      </c>
      <c r="R972" s="6" t="n">
        <v>4386690</v>
      </c>
      <c r="S972" s="11" t="s">
        <v>238</v>
      </c>
      <c r="T972" s="5"/>
      <c r="U972" s="5" t="s">
        <v>375</v>
      </c>
      <c r="V972" s="11" t="s">
        <v>813</v>
      </c>
      <c r="W972" s="5" t="s">
        <v>334</v>
      </c>
      <c r="X972" s="5" t="s">
        <v>242</v>
      </c>
      <c r="Y972" s="5"/>
      <c r="Z972" s="5"/>
      <c r="AA972" s="11" t="s">
        <v>149</v>
      </c>
      <c r="AB972" s="5" t="s">
        <v>245</v>
      </c>
      <c r="AC972" s="5" t="s">
        <v>262</v>
      </c>
      <c r="AD972" s="11" t="s">
        <v>2482</v>
      </c>
      <c r="AE972" s="23" t="n">
        <v>1</v>
      </c>
      <c r="AF972" s="23" t="n">
        <v>1</v>
      </c>
      <c r="AG972" s="23" t="n">
        <v>0.33</v>
      </c>
      <c r="AH972" s="23" t="n">
        <v>1</v>
      </c>
      <c r="AI972" s="23" t="n">
        <v>0.2</v>
      </c>
      <c r="AJ972" s="23" t="n">
        <v>0.2408</v>
      </c>
      <c r="AK972" s="23" t="n">
        <v>0.2</v>
      </c>
      <c r="AL972" s="23" t="n">
        <v>0</v>
      </c>
      <c r="AM972" s="16" t="n">
        <f aca="false">COUNTIFS($D$2:$D$2501,D972,$G$2:$G$2501,"&gt;"&amp;G972)+COUNTIFS($D$2:D972,D972,$G$2:G972,G972)</f>
        <v>3</v>
      </c>
      <c r="AN972" s="5" t="str">
        <f aca="false">D972&amp;"|"&amp;AM972</f>
        <v>釣魚與垃圾訊息偵測|3</v>
      </c>
    </row>
    <row r="973" customFormat="false" ht="17.15" hidden="false" customHeight="false" outlineLevel="0" collapsed="false">
      <c r="A973" s="16" t="n">
        <f aca="false">RANK(G973,$G$2:$G$2501)+COUNTIF($G$2:G973,G973)-1</f>
        <v>972</v>
      </c>
      <c r="B973" s="11" t="s">
        <v>2483</v>
      </c>
      <c r="C973" s="11" t="s">
        <v>402</v>
      </c>
      <c r="D973" s="5" t="s">
        <v>58</v>
      </c>
      <c r="E973" s="5" t="s">
        <v>59</v>
      </c>
      <c r="F973" s="5"/>
      <c r="G973" s="22" t="n">
        <f aca="false">ROUND(SUM(I973:P973),3)</f>
        <v>65.35</v>
      </c>
      <c r="H973" s="5" t="str">
        <f aca="false">IF(G973&gt;=評分方法!$C$16,"優先評估",IF(G973&gt;=評分方法!$C$17,"列入候選",IF(G973&gt;=評分方法!$C$18,"特定情境","不建議")))</f>
        <v>特定情境</v>
      </c>
      <c r="I973" s="15" t="n">
        <f aca="false">AE973*評分方法!$C$5</f>
        <v>28.5</v>
      </c>
      <c r="J973" s="15" t="n">
        <f aca="false">AF973*評分方法!$C$6</f>
        <v>0</v>
      </c>
      <c r="K973" s="15" t="n">
        <f aca="false">AG973*評分方法!$C$7</f>
        <v>4.95</v>
      </c>
      <c r="L973" s="15" t="n">
        <f aca="false">AH973*評分方法!$C$8</f>
        <v>15</v>
      </c>
      <c r="M973" s="15" t="n">
        <f aca="false">AI973*評分方法!$C$9</f>
        <v>10</v>
      </c>
      <c r="N973" s="15" t="n">
        <f aca="false">AJ973*評分方法!$C$10</f>
        <v>4.4</v>
      </c>
      <c r="O973" s="15" t="n">
        <f aca="false">AK973*評分方法!$C$11</f>
        <v>2.5</v>
      </c>
      <c r="P973" s="15" t="n">
        <f aca="false">AL973*評分方法!$C$12</f>
        <v>0</v>
      </c>
      <c r="Q973" s="6" t="n">
        <v>480326</v>
      </c>
      <c r="R973" s="6" t="n">
        <v>395834371</v>
      </c>
      <c r="S973" s="11" t="s">
        <v>238</v>
      </c>
      <c r="T973" s="11" t="s">
        <v>239</v>
      </c>
      <c r="U973" s="5" t="s">
        <v>240</v>
      </c>
      <c r="V973" s="11" t="s">
        <v>261</v>
      </c>
      <c r="W973" s="5" t="s">
        <v>334</v>
      </c>
      <c r="X973" s="5" t="s">
        <v>242</v>
      </c>
      <c r="Y973" s="5"/>
      <c r="Z973" s="5"/>
      <c r="AA973" s="11" t="s">
        <v>150</v>
      </c>
      <c r="AB973" s="5" t="s">
        <v>245</v>
      </c>
      <c r="AC973" s="5"/>
      <c r="AD973" s="11" t="s">
        <v>2484</v>
      </c>
      <c r="AE973" s="23" t="n">
        <v>0.95</v>
      </c>
      <c r="AF973" s="23" t="n">
        <v>0</v>
      </c>
      <c r="AG973" s="23" t="n">
        <v>0.33</v>
      </c>
      <c r="AH973" s="23" t="n">
        <v>1</v>
      </c>
      <c r="AI973" s="23" t="n">
        <v>1</v>
      </c>
      <c r="AJ973" s="23" t="n">
        <v>0.44</v>
      </c>
      <c r="AK973" s="23" t="n">
        <v>0.5</v>
      </c>
      <c r="AL973" s="23" t="n">
        <v>0</v>
      </c>
      <c r="AM973" s="16" t="n">
        <f aca="false">COUNTIFS($D$2:$D$2501,D973,$G$2:$G$2501,"&gt;"&amp;G973)+COUNTIFS($D$2:D973,D973,$G$2:G973,G973)</f>
        <v>258</v>
      </c>
      <c r="AN973" s="5" t="str">
        <f aca="false">D973&amp;"|"&amp;AM973</f>
        <v>實體擷取與去識別化|258</v>
      </c>
    </row>
    <row r="974" customFormat="false" ht="17.15" hidden="false" customHeight="false" outlineLevel="0" collapsed="false">
      <c r="A974" s="16" t="n">
        <f aca="false">RANK(G974,$G$2:$G$2501)+COUNTIF($G$2:G974,G974)-1</f>
        <v>973</v>
      </c>
      <c r="B974" s="11" t="s">
        <v>2485</v>
      </c>
      <c r="C974" s="11" t="s">
        <v>402</v>
      </c>
      <c r="D974" s="5" t="s">
        <v>58</v>
      </c>
      <c r="E974" s="5" t="s">
        <v>59</v>
      </c>
      <c r="F974" s="5"/>
      <c r="G974" s="22" t="n">
        <f aca="false">ROUND(SUM(I974:P974),3)</f>
        <v>65.338</v>
      </c>
      <c r="H974" s="5" t="str">
        <f aca="false">IF(G974&gt;=評分方法!$C$16,"優先評估",IF(G974&gt;=評分方法!$C$17,"列入候選",IF(G974&gt;=評分方法!$C$18,"特定情境","不建議")))</f>
        <v>特定情境</v>
      </c>
      <c r="I974" s="15" t="n">
        <f aca="false">AE974*評分方法!$C$5</f>
        <v>28.5</v>
      </c>
      <c r="J974" s="15" t="n">
        <f aca="false">AF974*評分方法!$C$6</f>
        <v>0</v>
      </c>
      <c r="K974" s="15" t="n">
        <f aca="false">AG974*評分方法!$C$7</f>
        <v>4.95</v>
      </c>
      <c r="L974" s="15" t="n">
        <f aca="false">AH974*評分方法!$C$8</f>
        <v>15</v>
      </c>
      <c r="M974" s="15" t="n">
        <f aca="false">AI974*評分方法!$C$9</f>
        <v>10</v>
      </c>
      <c r="N974" s="15" t="n">
        <f aca="false">AJ974*評分方法!$C$10</f>
        <v>4.388</v>
      </c>
      <c r="O974" s="15" t="n">
        <f aca="false">AK974*評分方法!$C$11</f>
        <v>2.5</v>
      </c>
      <c r="P974" s="15" t="n">
        <f aca="false">AL974*評分方法!$C$12</f>
        <v>0</v>
      </c>
      <c r="Q974" s="6" t="n">
        <v>479045</v>
      </c>
      <c r="R974" s="6" t="n">
        <v>334095363</v>
      </c>
      <c r="S974" s="11" t="s">
        <v>238</v>
      </c>
      <c r="T974" s="11" t="s">
        <v>239</v>
      </c>
      <c r="U974" s="5" t="s">
        <v>240</v>
      </c>
      <c r="V974" s="11" t="s">
        <v>261</v>
      </c>
      <c r="W974" s="5" t="s">
        <v>334</v>
      </c>
      <c r="X974" s="5" t="s">
        <v>242</v>
      </c>
      <c r="Y974" s="5"/>
      <c r="Z974" s="5"/>
      <c r="AA974" s="11" t="s">
        <v>150</v>
      </c>
      <c r="AB974" s="5" t="s">
        <v>245</v>
      </c>
      <c r="AC974" s="5"/>
      <c r="AD974" s="11" t="s">
        <v>2486</v>
      </c>
      <c r="AE974" s="23" t="n">
        <v>0.95</v>
      </c>
      <c r="AF974" s="23" t="n">
        <v>0</v>
      </c>
      <c r="AG974" s="23" t="n">
        <v>0.33</v>
      </c>
      <c r="AH974" s="23" t="n">
        <v>1</v>
      </c>
      <c r="AI974" s="23" t="n">
        <v>1</v>
      </c>
      <c r="AJ974" s="23" t="n">
        <v>0.4388</v>
      </c>
      <c r="AK974" s="23" t="n">
        <v>0.5</v>
      </c>
      <c r="AL974" s="23" t="n">
        <v>0</v>
      </c>
      <c r="AM974" s="16" t="n">
        <f aca="false">COUNTIFS($D$2:$D$2501,D974,$G$2:$G$2501,"&gt;"&amp;G974)+COUNTIFS($D$2:D974,D974,$G$2:G974,G974)</f>
        <v>259</v>
      </c>
      <c r="AN974" s="5" t="str">
        <f aca="false">D974&amp;"|"&amp;AM974</f>
        <v>實體擷取與去識別化|259</v>
      </c>
    </row>
    <row r="975" customFormat="false" ht="17.15" hidden="false" customHeight="false" outlineLevel="0" collapsed="false">
      <c r="A975" s="16" t="n">
        <f aca="false">RANK(G975,$G$2:$G$2501)+COUNTIF($G$2:G975,G975)-1</f>
        <v>974</v>
      </c>
      <c r="B975" s="11" t="s">
        <v>2487</v>
      </c>
      <c r="C975" s="11" t="s">
        <v>402</v>
      </c>
      <c r="D975" s="5" t="s">
        <v>58</v>
      </c>
      <c r="E975" s="5" t="s">
        <v>59</v>
      </c>
      <c r="F975" s="5"/>
      <c r="G975" s="22" t="n">
        <f aca="false">ROUND(SUM(I975:P975),3)</f>
        <v>65.334</v>
      </c>
      <c r="H975" s="5" t="str">
        <f aca="false">IF(G975&gt;=評分方法!$C$16,"優先評估",IF(G975&gt;=評分方法!$C$17,"列入候選",IF(G975&gt;=評分方法!$C$18,"特定情境","不建議")))</f>
        <v>特定情境</v>
      </c>
      <c r="I975" s="15" t="n">
        <f aca="false">AE975*評分方法!$C$5</f>
        <v>28.5</v>
      </c>
      <c r="J975" s="15" t="n">
        <f aca="false">AF975*評分方法!$C$6</f>
        <v>0</v>
      </c>
      <c r="K975" s="15" t="n">
        <f aca="false">AG975*評分方法!$C$7</f>
        <v>4.95</v>
      </c>
      <c r="L975" s="15" t="n">
        <f aca="false">AH975*評分方法!$C$8</f>
        <v>15</v>
      </c>
      <c r="M975" s="15" t="n">
        <f aca="false">AI975*評分方法!$C$9</f>
        <v>10</v>
      </c>
      <c r="N975" s="15" t="n">
        <f aca="false">AJ975*評分方法!$C$10</f>
        <v>4.384</v>
      </c>
      <c r="O975" s="15" t="n">
        <f aca="false">AK975*評分方法!$C$11</f>
        <v>2.5</v>
      </c>
      <c r="P975" s="15" t="n">
        <f aca="false">AL975*評分方法!$C$12</f>
        <v>0</v>
      </c>
      <c r="Q975" s="6" t="n">
        <v>478944</v>
      </c>
      <c r="R975" s="6" t="n">
        <v>65193219</v>
      </c>
      <c r="S975" s="11" t="s">
        <v>238</v>
      </c>
      <c r="T975" s="11" t="s">
        <v>239</v>
      </c>
      <c r="U975" s="5" t="s">
        <v>240</v>
      </c>
      <c r="V975" s="11" t="s">
        <v>261</v>
      </c>
      <c r="W975" s="5" t="s">
        <v>334</v>
      </c>
      <c r="X975" s="5" t="s">
        <v>242</v>
      </c>
      <c r="Y975" s="5"/>
      <c r="Z975" s="5"/>
      <c r="AA975" s="11" t="s">
        <v>150</v>
      </c>
      <c r="AB975" s="5" t="s">
        <v>245</v>
      </c>
      <c r="AC975" s="5"/>
      <c r="AD975" s="11" t="s">
        <v>2488</v>
      </c>
      <c r="AE975" s="23" t="n">
        <v>0.95</v>
      </c>
      <c r="AF975" s="23" t="n">
        <v>0</v>
      </c>
      <c r="AG975" s="23" t="n">
        <v>0.33</v>
      </c>
      <c r="AH975" s="23" t="n">
        <v>1</v>
      </c>
      <c r="AI975" s="23" t="n">
        <v>1</v>
      </c>
      <c r="AJ975" s="23" t="n">
        <v>0.4384</v>
      </c>
      <c r="AK975" s="23" t="n">
        <v>0.5</v>
      </c>
      <c r="AL975" s="23" t="n">
        <v>0</v>
      </c>
      <c r="AM975" s="16" t="n">
        <f aca="false">COUNTIFS($D$2:$D$2501,D975,$G$2:$G$2501,"&gt;"&amp;G975)+COUNTIFS($D$2:D975,D975,$G$2:G975,G975)</f>
        <v>260</v>
      </c>
      <c r="AN975" s="5" t="str">
        <f aca="false">D975&amp;"|"&amp;AM975</f>
        <v>實體擷取與去識別化|260</v>
      </c>
    </row>
    <row r="976" customFormat="false" ht="17.15" hidden="false" customHeight="false" outlineLevel="0" collapsed="false">
      <c r="A976" s="16" t="n">
        <f aca="false">RANK(G976,$G$2:$G$2501)+COUNTIF($G$2:G976,G976)-1</f>
        <v>975</v>
      </c>
      <c r="B976" s="11" t="s">
        <v>2489</v>
      </c>
      <c r="C976" s="11" t="s">
        <v>368</v>
      </c>
      <c r="D976" s="5" t="s">
        <v>56</v>
      </c>
      <c r="E976" s="5" t="s">
        <v>57</v>
      </c>
      <c r="F976" s="5"/>
      <c r="G976" s="22" t="n">
        <f aca="false">ROUND(SUM(I976:P976),3)</f>
        <v>65.334</v>
      </c>
      <c r="H976" s="5" t="str">
        <f aca="false">IF(G976&gt;=評分方法!$C$16,"優先評估",IF(G976&gt;=評分方法!$C$17,"列入候選",IF(G976&gt;=評分方法!$C$18,"特定情境","不建議")))</f>
        <v>特定情境</v>
      </c>
      <c r="I976" s="15" t="n">
        <f aca="false">AE976*評分方法!$C$5</f>
        <v>25.5</v>
      </c>
      <c r="J976" s="15" t="n">
        <f aca="false">AF976*評分方法!$C$6</f>
        <v>0</v>
      </c>
      <c r="K976" s="15" t="n">
        <f aca="false">AG976*評分方法!$C$7</f>
        <v>15</v>
      </c>
      <c r="L976" s="15" t="n">
        <f aca="false">AH976*評分方法!$C$8</f>
        <v>13.05</v>
      </c>
      <c r="M976" s="15" t="n">
        <f aca="false">AI976*評分方法!$C$9</f>
        <v>6</v>
      </c>
      <c r="N976" s="15" t="n">
        <f aca="false">AJ976*評分方法!$C$10</f>
        <v>0.284</v>
      </c>
      <c r="O976" s="15" t="n">
        <f aca="false">AK976*評分方法!$C$11</f>
        <v>2.5</v>
      </c>
      <c r="P976" s="15" t="n">
        <f aca="false">AL976*評分方法!$C$12</f>
        <v>3</v>
      </c>
      <c r="Q976" s="6" t="n">
        <v>124078</v>
      </c>
      <c r="R976" s="6" t="n">
        <v>3032242416</v>
      </c>
      <c r="S976" s="11" t="s">
        <v>254</v>
      </c>
      <c r="T976" s="11" t="s">
        <v>658</v>
      </c>
      <c r="U976" s="5" t="s">
        <v>260</v>
      </c>
      <c r="V976" s="11" t="s">
        <v>261</v>
      </c>
      <c r="W976" s="5" t="s">
        <v>205</v>
      </c>
      <c r="X976" s="5" t="s">
        <v>371</v>
      </c>
      <c r="Y976" s="5"/>
      <c r="Z976" s="5"/>
      <c r="AA976" s="11" t="s">
        <v>156</v>
      </c>
      <c r="AB976" s="5" t="s">
        <v>245</v>
      </c>
      <c r="AC976" s="5" t="s">
        <v>262</v>
      </c>
      <c r="AD976" s="11" t="s">
        <v>2490</v>
      </c>
      <c r="AE976" s="23" t="n">
        <v>0.85</v>
      </c>
      <c r="AF976" s="23" t="n">
        <v>0</v>
      </c>
      <c r="AG976" s="23" t="n">
        <v>1</v>
      </c>
      <c r="AH976" s="23" t="n">
        <v>0.87</v>
      </c>
      <c r="AI976" s="23" t="n">
        <v>0.6</v>
      </c>
      <c r="AJ976" s="23" t="n">
        <v>0.0284</v>
      </c>
      <c r="AK976" s="23" t="n">
        <v>0.5</v>
      </c>
      <c r="AL976" s="23" t="n">
        <v>0.6</v>
      </c>
      <c r="AM976" s="16" t="n">
        <f aca="false">COUNTIFS($D$2:$D$2501,D976,$G$2:$G$2501,"&gt;"&amp;G976)+COUNTIFS($D$2:D976,D976,$G$2:G976,G976)</f>
        <v>421</v>
      </c>
      <c r="AN976" s="5" t="str">
        <f aca="false">D976&amp;"|"&amp;AM976</f>
        <v>分析與報告生成|421</v>
      </c>
    </row>
    <row r="977" customFormat="false" ht="17.15" hidden="false" customHeight="false" outlineLevel="0" collapsed="false">
      <c r="A977" s="16" t="n">
        <f aca="false">RANK(G977,$G$2:$G$2501)+COUNTIF($G$2:G977,G977)-1</f>
        <v>976</v>
      </c>
      <c r="B977" s="11" t="s">
        <v>2491</v>
      </c>
      <c r="C977" s="11" t="s">
        <v>402</v>
      </c>
      <c r="D977" s="5" t="s">
        <v>58</v>
      </c>
      <c r="E977" s="5" t="s">
        <v>59</v>
      </c>
      <c r="F977" s="5"/>
      <c r="G977" s="22" t="n">
        <f aca="false">ROUND(SUM(I977:P977),3)</f>
        <v>65.33</v>
      </c>
      <c r="H977" s="5" t="str">
        <f aca="false">IF(G977&gt;=評分方法!$C$16,"優先評估",IF(G977&gt;=評分方法!$C$17,"列入候選",IF(G977&gt;=評分方法!$C$18,"特定情境","不建議")))</f>
        <v>特定情境</v>
      </c>
      <c r="I977" s="15" t="n">
        <f aca="false">AE977*評分方法!$C$5</f>
        <v>28.5</v>
      </c>
      <c r="J977" s="15" t="n">
        <f aca="false">AF977*評分方法!$C$6</f>
        <v>0</v>
      </c>
      <c r="K977" s="15" t="n">
        <f aca="false">AG977*評分方法!$C$7</f>
        <v>4.95</v>
      </c>
      <c r="L977" s="15" t="n">
        <f aca="false">AH977*評分方法!$C$8</f>
        <v>15</v>
      </c>
      <c r="M977" s="15" t="n">
        <f aca="false">AI977*評分方法!$C$9</f>
        <v>10</v>
      </c>
      <c r="N977" s="15" t="n">
        <f aca="false">AJ977*評分方法!$C$10</f>
        <v>4.38</v>
      </c>
      <c r="O977" s="15" t="n">
        <f aca="false">AK977*評分方法!$C$11</f>
        <v>2.5</v>
      </c>
      <c r="P977" s="15" t="n">
        <f aca="false">AL977*評分方法!$C$12</f>
        <v>0</v>
      </c>
      <c r="Q977" s="6" t="n">
        <v>478849</v>
      </c>
      <c r="R977" s="6" t="n">
        <v>395834371</v>
      </c>
      <c r="S977" s="11" t="s">
        <v>238</v>
      </c>
      <c r="T977" s="11" t="s">
        <v>239</v>
      </c>
      <c r="U977" s="5" t="s">
        <v>240</v>
      </c>
      <c r="V977" s="11" t="s">
        <v>261</v>
      </c>
      <c r="W977" s="5" t="s">
        <v>334</v>
      </c>
      <c r="X977" s="5" t="s">
        <v>242</v>
      </c>
      <c r="Y977" s="5"/>
      <c r="Z977" s="5"/>
      <c r="AA977" s="11" t="s">
        <v>150</v>
      </c>
      <c r="AB977" s="5" t="s">
        <v>245</v>
      </c>
      <c r="AC977" s="5"/>
      <c r="AD977" s="11" t="s">
        <v>2492</v>
      </c>
      <c r="AE977" s="23" t="n">
        <v>0.95</v>
      </c>
      <c r="AF977" s="23" t="n">
        <v>0</v>
      </c>
      <c r="AG977" s="23" t="n">
        <v>0.33</v>
      </c>
      <c r="AH977" s="23" t="n">
        <v>1</v>
      </c>
      <c r="AI977" s="23" t="n">
        <v>1</v>
      </c>
      <c r="AJ977" s="23" t="n">
        <v>0.438</v>
      </c>
      <c r="AK977" s="23" t="n">
        <v>0.5</v>
      </c>
      <c r="AL977" s="23" t="n">
        <v>0</v>
      </c>
      <c r="AM977" s="16" t="n">
        <f aca="false">COUNTIFS($D$2:$D$2501,D977,$G$2:$G$2501,"&gt;"&amp;G977)+COUNTIFS($D$2:D977,D977,$G$2:G977,G977)</f>
        <v>261</v>
      </c>
      <c r="AN977" s="5" t="str">
        <f aca="false">D977&amp;"|"&amp;AM977</f>
        <v>實體擷取與去識別化|261</v>
      </c>
    </row>
    <row r="978" customFormat="false" ht="17.15" hidden="false" customHeight="false" outlineLevel="0" collapsed="false">
      <c r="A978" s="16" t="n">
        <f aca="false">RANK(G978,$G$2:$G$2501)+COUNTIF($G$2:G978,G978)-1</f>
        <v>977</v>
      </c>
      <c r="B978" s="11" t="s">
        <v>2493</v>
      </c>
      <c r="C978" s="11" t="s">
        <v>368</v>
      </c>
      <c r="D978" s="5" t="s">
        <v>74</v>
      </c>
      <c r="E978" s="5" t="s">
        <v>75</v>
      </c>
      <c r="F978" s="5"/>
      <c r="G978" s="22" t="n">
        <f aca="false">ROUND(SUM(I978:P978),3)</f>
        <v>65.328</v>
      </c>
      <c r="H978" s="5" t="str">
        <f aca="false">IF(G978&gt;=評分方法!$C$16,"優先評估",IF(G978&gt;=評分方法!$C$17,"列入候選",IF(G978&gt;=評分方法!$C$18,"特定情境","不建議")))</f>
        <v>特定情境</v>
      </c>
      <c r="I978" s="15" t="n">
        <f aca="false">AE978*評分方法!$C$5</f>
        <v>12</v>
      </c>
      <c r="J978" s="15" t="n">
        <f aca="false">AF978*評分方法!$C$6</f>
        <v>0</v>
      </c>
      <c r="K978" s="15" t="n">
        <f aca="false">AG978*評分方法!$C$7</f>
        <v>15</v>
      </c>
      <c r="L978" s="15" t="n">
        <f aca="false">AH978*評分方法!$C$8</f>
        <v>15</v>
      </c>
      <c r="M978" s="15" t="n">
        <f aca="false">AI978*評分方法!$C$9</f>
        <v>10</v>
      </c>
      <c r="N978" s="15" t="n">
        <f aca="false">AJ978*評分方法!$C$10</f>
        <v>9.328</v>
      </c>
      <c r="O978" s="15" t="n">
        <f aca="false">AK978*評分方法!$C$11</f>
        <v>2.5</v>
      </c>
      <c r="P978" s="15" t="n">
        <f aca="false">AL978*評分方法!$C$12</f>
        <v>1.5</v>
      </c>
      <c r="Q978" s="6" t="n">
        <v>6457026</v>
      </c>
      <c r="R978" s="6" t="n">
        <v>375234050</v>
      </c>
      <c r="S978" s="11" t="s">
        <v>238</v>
      </c>
      <c r="T978" s="11" t="s">
        <v>239</v>
      </c>
      <c r="U978" s="5" t="s">
        <v>240</v>
      </c>
      <c r="V978" s="11" t="s">
        <v>261</v>
      </c>
      <c r="W978" s="5" t="s">
        <v>205</v>
      </c>
      <c r="X978" s="5" t="s">
        <v>255</v>
      </c>
      <c r="Y978" s="5"/>
      <c r="Z978" s="5"/>
      <c r="AA978" s="11" t="s">
        <v>167</v>
      </c>
      <c r="AB978" s="5" t="s">
        <v>245</v>
      </c>
      <c r="AC978" s="5"/>
      <c r="AD978" s="11" t="s">
        <v>2494</v>
      </c>
      <c r="AE978" s="23" t="n">
        <v>0.4</v>
      </c>
      <c r="AF978" s="23" t="n">
        <v>0</v>
      </c>
      <c r="AG978" s="23" t="n">
        <v>1</v>
      </c>
      <c r="AH978" s="23" t="n">
        <v>1</v>
      </c>
      <c r="AI978" s="23" t="n">
        <v>1</v>
      </c>
      <c r="AJ978" s="23" t="n">
        <v>0.9328</v>
      </c>
      <c r="AK978" s="23" t="n">
        <v>0.5</v>
      </c>
      <c r="AL978" s="23" t="n">
        <v>0.3</v>
      </c>
      <c r="AM978" s="16" t="n">
        <f aca="false">COUNTIFS($D$2:$D$2501,D978,$G$2:$G$2501,"&gt;"&amp;G978)+COUNTIFS($D$2:D978,D978,$G$2:G978,G978)</f>
        <v>8</v>
      </c>
      <c r="AN978" s="5" t="str">
        <f aca="false">D978&amp;"|"&amp;AM978</f>
        <v>文件與影像辨識|8</v>
      </c>
    </row>
    <row r="979" customFormat="false" ht="17.15" hidden="false" customHeight="false" outlineLevel="0" collapsed="false">
      <c r="A979" s="16" t="n">
        <f aca="false">RANK(G979,$G$2:$G$2501)+COUNTIF($G$2:G979,G979)-1</f>
        <v>978</v>
      </c>
      <c r="B979" s="11" t="s">
        <v>2495</v>
      </c>
      <c r="C979" s="11" t="s">
        <v>402</v>
      </c>
      <c r="D979" s="5" t="s">
        <v>58</v>
      </c>
      <c r="E979" s="5" t="s">
        <v>59</v>
      </c>
      <c r="F979" s="5"/>
      <c r="G979" s="22" t="n">
        <f aca="false">ROUND(SUM(I979:P979),3)</f>
        <v>65.326</v>
      </c>
      <c r="H979" s="5" t="str">
        <f aca="false">IF(G979&gt;=評分方法!$C$16,"優先評估",IF(G979&gt;=評分方法!$C$17,"列入候選",IF(G979&gt;=評分方法!$C$18,"特定情境","不建議")))</f>
        <v>特定情境</v>
      </c>
      <c r="I979" s="15" t="n">
        <f aca="false">AE979*評分方法!$C$5</f>
        <v>28.5</v>
      </c>
      <c r="J979" s="15" t="n">
        <f aca="false">AF979*評分方法!$C$6</f>
        <v>0</v>
      </c>
      <c r="K979" s="15" t="n">
        <f aca="false">AG979*評分方法!$C$7</f>
        <v>4.95</v>
      </c>
      <c r="L979" s="15" t="n">
        <f aca="false">AH979*評分方法!$C$8</f>
        <v>15</v>
      </c>
      <c r="M979" s="15" t="n">
        <f aca="false">AI979*評分方法!$C$9</f>
        <v>10</v>
      </c>
      <c r="N979" s="15" t="n">
        <f aca="false">AJ979*評分方法!$C$10</f>
        <v>4.376</v>
      </c>
      <c r="O979" s="15" t="n">
        <f aca="false">AK979*評分方法!$C$11</f>
        <v>2.5</v>
      </c>
      <c r="P979" s="15" t="n">
        <f aca="false">AL979*評分方法!$C$12</f>
        <v>0</v>
      </c>
      <c r="Q979" s="6" t="n">
        <v>478700</v>
      </c>
      <c r="R979" s="6" t="n">
        <v>81530115</v>
      </c>
      <c r="S979" s="11" t="s">
        <v>238</v>
      </c>
      <c r="T979" s="11" t="s">
        <v>239</v>
      </c>
      <c r="U979" s="5" t="s">
        <v>240</v>
      </c>
      <c r="V979" s="11" t="s">
        <v>261</v>
      </c>
      <c r="W979" s="5" t="s">
        <v>334</v>
      </c>
      <c r="X979" s="5" t="s">
        <v>242</v>
      </c>
      <c r="Y979" s="5"/>
      <c r="Z979" s="5"/>
      <c r="AA979" s="11" t="s">
        <v>150</v>
      </c>
      <c r="AB979" s="5" t="s">
        <v>245</v>
      </c>
      <c r="AC979" s="5"/>
      <c r="AD979" s="11" t="s">
        <v>2496</v>
      </c>
      <c r="AE979" s="23" t="n">
        <v>0.95</v>
      </c>
      <c r="AF979" s="23" t="n">
        <v>0</v>
      </c>
      <c r="AG979" s="23" t="n">
        <v>0.33</v>
      </c>
      <c r="AH979" s="23" t="n">
        <v>1</v>
      </c>
      <c r="AI979" s="23" t="n">
        <v>1</v>
      </c>
      <c r="AJ979" s="23" t="n">
        <v>0.4376</v>
      </c>
      <c r="AK979" s="23" t="n">
        <v>0.5</v>
      </c>
      <c r="AL979" s="23" t="n">
        <v>0</v>
      </c>
      <c r="AM979" s="16" t="n">
        <f aca="false">COUNTIFS($D$2:$D$2501,D979,$G$2:$G$2501,"&gt;"&amp;G979)+COUNTIFS($D$2:D979,D979,$G$2:G979,G979)</f>
        <v>262</v>
      </c>
      <c r="AN979" s="5" t="str">
        <f aca="false">D979&amp;"|"&amp;AM979</f>
        <v>實體擷取與去識別化|262</v>
      </c>
    </row>
    <row r="980" customFormat="false" ht="17.15" hidden="false" customHeight="false" outlineLevel="0" collapsed="false">
      <c r="A980" s="16" t="n">
        <f aca="false">RANK(G980,$G$2:$G$2501)+COUNTIF($G$2:G980,G980)-1</f>
        <v>979</v>
      </c>
      <c r="B980" s="11" t="s">
        <v>2497</v>
      </c>
      <c r="C980" s="11" t="s">
        <v>402</v>
      </c>
      <c r="D980" s="5" t="s">
        <v>58</v>
      </c>
      <c r="E980" s="5" t="s">
        <v>59</v>
      </c>
      <c r="F980" s="5"/>
      <c r="G980" s="22" t="n">
        <f aca="false">ROUND(SUM(I980:P980),3)</f>
        <v>65.322</v>
      </c>
      <c r="H980" s="5" t="str">
        <f aca="false">IF(G980&gt;=評分方法!$C$16,"優先評估",IF(G980&gt;=評分方法!$C$17,"列入候選",IF(G980&gt;=評分方法!$C$18,"特定情境","不建議")))</f>
        <v>特定情境</v>
      </c>
      <c r="I980" s="15" t="n">
        <f aca="false">AE980*評分方法!$C$5</f>
        <v>28.5</v>
      </c>
      <c r="J980" s="15" t="n">
        <f aca="false">AF980*評分方法!$C$6</f>
        <v>0</v>
      </c>
      <c r="K980" s="15" t="n">
        <f aca="false">AG980*評分方法!$C$7</f>
        <v>4.95</v>
      </c>
      <c r="L980" s="15" t="n">
        <f aca="false">AH980*評分方法!$C$8</f>
        <v>15</v>
      </c>
      <c r="M980" s="15" t="n">
        <f aca="false">AI980*評分方法!$C$9</f>
        <v>10</v>
      </c>
      <c r="N980" s="15" t="n">
        <f aca="false">AJ980*評分方法!$C$10</f>
        <v>4.372</v>
      </c>
      <c r="O980" s="15" t="n">
        <f aca="false">AK980*評分方法!$C$11</f>
        <v>2.5</v>
      </c>
      <c r="P980" s="15" t="n">
        <f aca="false">AL980*評分方法!$C$12</f>
        <v>0</v>
      </c>
      <c r="Q980" s="6" t="n">
        <v>478547</v>
      </c>
      <c r="R980" s="6" t="n">
        <v>65193219</v>
      </c>
      <c r="S980" s="11" t="s">
        <v>238</v>
      </c>
      <c r="T980" s="11" t="s">
        <v>239</v>
      </c>
      <c r="U980" s="5" t="s">
        <v>240</v>
      </c>
      <c r="V980" s="11" t="s">
        <v>261</v>
      </c>
      <c r="W980" s="5" t="s">
        <v>334</v>
      </c>
      <c r="X980" s="5" t="s">
        <v>242</v>
      </c>
      <c r="Y980" s="5"/>
      <c r="Z980" s="5"/>
      <c r="AA980" s="11" t="s">
        <v>150</v>
      </c>
      <c r="AB980" s="5" t="s">
        <v>245</v>
      </c>
      <c r="AC980" s="5"/>
      <c r="AD980" s="11" t="s">
        <v>2498</v>
      </c>
      <c r="AE980" s="23" t="n">
        <v>0.95</v>
      </c>
      <c r="AF980" s="23" t="n">
        <v>0</v>
      </c>
      <c r="AG980" s="23" t="n">
        <v>0.33</v>
      </c>
      <c r="AH980" s="23" t="n">
        <v>1</v>
      </c>
      <c r="AI980" s="23" t="n">
        <v>1</v>
      </c>
      <c r="AJ980" s="23" t="n">
        <v>0.4372</v>
      </c>
      <c r="AK980" s="23" t="n">
        <v>0.5</v>
      </c>
      <c r="AL980" s="23" t="n">
        <v>0</v>
      </c>
      <c r="AM980" s="16" t="n">
        <f aca="false">COUNTIFS($D$2:$D$2501,D980,$G$2:$G$2501,"&gt;"&amp;G980)+COUNTIFS($D$2:D980,D980,$G$2:G980,G980)</f>
        <v>263</v>
      </c>
      <c r="AN980" s="5" t="str">
        <f aca="false">D980&amp;"|"&amp;AM980</f>
        <v>實體擷取與去識別化|263</v>
      </c>
    </row>
    <row r="981" customFormat="false" ht="17.15" hidden="false" customHeight="false" outlineLevel="0" collapsed="false">
      <c r="A981" s="16" t="n">
        <f aca="false">RANK(G981,$G$2:$G$2501)+COUNTIF($G$2:G981,G981)-1</f>
        <v>980</v>
      </c>
      <c r="B981" s="11" t="s">
        <v>2499</v>
      </c>
      <c r="C981" s="11" t="s">
        <v>368</v>
      </c>
      <c r="D981" s="5" t="s">
        <v>74</v>
      </c>
      <c r="E981" s="5" t="s">
        <v>75</v>
      </c>
      <c r="F981" s="5"/>
      <c r="G981" s="22" t="n">
        <f aca="false">ROUND(SUM(I981:P981),3)</f>
        <v>65.32</v>
      </c>
      <c r="H981" s="5" t="str">
        <f aca="false">IF(G981&gt;=評分方法!$C$16,"優先評估",IF(G981&gt;=評分方法!$C$17,"列入候選",IF(G981&gt;=評分方法!$C$18,"特定情境","不建議")))</f>
        <v>特定情境</v>
      </c>
      <c r="I981" s="15" t="n">
        <f aca="false">AE981*評分方法!$C$5</f>
        <v>12</v>
      </c>
      <c r="J981" s="15" t="n">
        <f aca="false">AF981*評分方法!$C$6</f>
        <v>0</v>
      </c>
      <c r="K981" s="15" t="n">
        <f aca="false">AG981*評分方法!$C$7</f>
        <v>15</v>
      </c>
      <c r="L981" s="15" t="n">
        <f aca="false">AH981*評分方法!$C$8</f>
        <v>15</v>
      </c>
      <c r="M981" s="15" t="n">
        <f aca="false">AI981*評分方法!$C$9</f>
        <v>10</v>
      </c>
      <c r="N981" s="15" t="n">
        <f aca="false">AJ981*評分方法!$C$10</f>
        <v>9.32</v>
      </c>
      <c r="O981" s="15" t="n">
        <f aca="false">AK981*評分方法!$C$11</f>
        <v>2.5</v>
      </c>
      <c r="P981" s="15" t="n">
        <f aca="false">AL981*評分方法!$C$12</f>
        <v>1.5</v>
      </c>
      <c r="Q981" s="6" t="n">
        <v>6345736</v>
      </c>
      <c r="R981" s="6" t="n">
        <v>375187970</v>
      </c>
      <c r="S981" s="11" t="s">
        <v>238</v>
      </c>
      <c r="T981" s="11" t="s">
        <v>239</v>
      </c>
      <c r="U981" s="5" t="s">
        <v>240</v>
      </c>
      <c r="V981" s="11" t="s">
        <v>261</v>
      </c>
      <c r="W981" s="5" t="s">
        <v>205</v>
      </c>
      <c r="X981" s="5" t="s">
        <v>255</v>
      </c>
      <c r="Y981" s="5"/>
      <c r="Z981" s="5"/>
      <c r="AA981" s="11" t="s">
        <v>167</v>
      </c>
      <c r="AB981" s="5" t="s">
        <v>245</v>
      </c>
      <c r="AC981" s="5"/>
      <c r="AD981" s="11" t="s">
        <v>2500</v>
      </c>
      <c r="AE981" s="23" t="n">
        <v>0.4</v>
      </c>
      <c r="AF981" s="23" t="n">
        <v>0</v>
      </c>
      <c r="AG981" s="23" t="n">
        <v>1</v>
      </c>
      <c r="AH981" s="23" t="n">
        <v>1</v>
      </c>
      <c r="AI981" s="23" t="n">
        <v>1</v>
      </c>
      <c r="AJ981" s="23" t="n">
        <v>0.932</v>
      </c>
      <c r="AK981" s="23" t="n">
        <v>0.5</v>
      </c>
      <c r="AL981" s="23" t="n">
        <v>0.3</v>
      </c>
      <c r="AM981" s="16" t="n">
        <f aca="false">COUNTIFS($D$2:$D$2501,D981,$G$2:$G$2501,"&gt;"&amp;G981)+COUNTIFS($D$2:D981,D981,$G$2:G981,G981)</f>
        <v>9</v>
      </c>
      <c r="AN981" s="5" t="str">
        <f aca="false">D981&amp;"|"&amp;AM981</f>
        <v>文件與影像辨識|9</v>
      </c>
    </row>
    <row r="982" customFormat="false" ht="17.15" hidden="false" customHeight="false" outlineLevel="0" collapsed="false">
      <c r="A982" s="16" t="n">
        <f aca="false">RANK(G982,$G$2:$G$2501)+COUNTIF($G$2:G982,G982)-1</f>
        <v>981</v>
      </c>
      <c r="B982" s="11" t="s">
        <v>2501</v>
      </c>
      <c r="C982" s="11" t="s">
        <v>402</v>
      </c>
      <c r="D982" s="5" t="s">
        <v>58</v>
      </c>
      <c r="E982" s="5" t="s">
        <v>59</v>
      </c>
      <c r="F982" s="5"/>
      <c r="G982" s="22" t="n">
        <f aca="false">ROUND(SUM(I982:P982),3)</f>
        <v>65.318</v>
      </c>
      <c r="H982" s="5" t="str">
        <f aca="false">IF(G982&gt;=評分方法!$C$16,"優先評估",IF(G982&gt;=評分方法!$C$17,"列入候選",IF(G982&gt;=評分方法!$C$18,"特定情境","不建議")))</f>
        <v>特定情境</v>
      </c>
      <c r="I982" s="15" t="n">
        <f aca="false">AE982*評分方法!$C$5</f>
        <v>28.5</v>
      </c>
      <c r="J982" s="15" t="n">
        <f aca="false">AF982*評分方法!$C$6</f>
        <v>0</v>
      </c>
      <c r="K982" s="15" t="n">
        <f aca="false">AG982*評分方法!$C$7</f>
        <v>4.95</v>
      </c>
      <c r="L982" s="15" t="n">
        <f aca="false">AH982*評分方法!$C$8</f>
        <v>15</v>
      </c>
      <c r="M982" s="15" t="n">
        <f aca="false">AI982*評分方法!$C$9</f>
        <v>10</v>
      </c>
      <c r="N982" s="15" t="n">
        <f aca="false">AJ982*評分方法!$C$10</f>
        <v>4.368</v>
      </c>
      <c r="O982" s="15" t="n">
        <f aca="false">AK982*評分方法!$C$11</f>
        <v>2.5</v>
      </c>
      <c r="P982" s="15" t="n">
        <f aca="false">AL982*評分方法!$C$12</f>
        <v>0</v>
      </c>
      <c r="Q982" s="6" t="n">
        <v>478090</v>
      </c>
      <c r="R982" s="6" t="n">
        <v>277461515</v>
      </c>
      <c r="S982" s="11" t="s">
        <v>238</v>
      </c>
      <c r="T982" s="11" t="s">
        <v>239</v>
      </c>
      <c r="U982" s="5" t="s">
        <v>240</v>
      </c>
      <c r="V982" s="11" t="s">
        <v>261</v>
      </c>
      <c r="W982" s="5" t="s">
        <v>334</v>
      </c>
      <c r="X982" s="5" t="s">
        <v>242</v>
      </c>
      <c r="Y982" s="5"/>
      <c r="Z982" s="5"/>
      <c r="AA982" s="11" t="s">
        <v>150</v>
      </c>
      <c r="AB982" s="5" t="s">
        <v>245</v>
      </c>
      <c r="AC982" s="5"/>
      <c r="AD982" s="11" t="s">
        <v>2502</v>
      </c>
      <c r="AE982" s="23" t="n">
        <v>0.95</v>
      </c>
      <c r="AF982" s="23" t="n">
        <v>0</v>
      </c>
      <c r="AG982" s="23" t="n">
        <v>0.33</v>
      </c>
      <c r="AH982" s="23" t="n">
        <v>1</v>
      </c>
      <c r="AI982" s="23" t="n">
        <v>1</v>
      </c>
      <c r="AJ982" s="23" t="n">
        <v>0.4368</v>
      </c>
      <c r="AK982" s="23" t="n">
        <v>0.5</v>
      </c>
      <c r="AL982" s="23" t="n">
        <v>0</v>
      </c>
      <c r="AM982" s="16" t="n">
        <f aca="false">COUNTIFS($D$2:$D$2501,D982,$G$2:$G$2501,"&gt;"&amp;G982)+COUNTIFS($D$2:D982,D982,$G$2:G982,G982)</f>
        <v>264</v>
      </c>
      <c r="AN982" s="5" t="str">
        <f aca="false">D982&amp;"|"&amp;AM982</f>
        <v>實體擷取與去識別化|264</v>
      </c>
    </row>
    <row r="983" customFormat="false" ht="17.15" hidden="false" customHeight="false" outlineLevel="0" collapsed="false">
      <c r="A983" s="16" t="n">
        <f aca="false">RANK(G983,$G$2:$G$2501)+COUNTIF($G$2:G983,G983)-1</f>
        <v>982</v>
      </c>
      <c r="B983" s="11" t="s">
        <v>2503</v>
      </c>
      <c r="C983" s="11" t="s">
        <v>402</v>
      </c>
      <c r="D983" s="5" t="s">
        <v>58</v>
      </c>
      <c r="E983" s="5" t="s">
        <v>59</v>
      </c>
      <c r="F983" s="5"/>
      <c r="G983" s="22" t="n">
        <f aca="false">ROUND(SUM(I983:P983),3)</f>
        <v>65.314</v>
      </c>
      <c r="H983" s="5" t="str">
        <f aca="false">IF(G983&gt;=評分方法!$C$16,"優先評估",IF(G983&gt;=評分方法!$C$17,"列入候選",IF(G983&gt;=評分方法!$C$18,"特定情境","不建議")))</f>
        <v>特定情境</v>
      </c>
      <c r="I983" s="15" t="n">
        <f aca="false">AE983*評分方法!$C$5</f>
        <v>28.5</v>
      </c>
      <c r="J983" s="15" t="n">
        <f aca="false">AF983*評分方法!$C$6</f>
        <v>0</v>
      </c>
      <c r="K983" s="15" t="n">
        <f aca="false">AG983*評分方法!$C$7</f>
        <v>4.95</v>
      </c>
      <c r="L983" s="15" t="n">
        <f aca="false">AH983*評分方法!$C$8</f>
        <v>15</v>
      </c>
      <c r="M983" s="15" t="n">
        <f aca="false">AI983*評分方法!$C$9</f>
        <v>10</v>
      </c>
      <c r="N983" s="15" t="n">
        <f aca="false">AJ983*評分方法!$C$10</f>
        <v>4.364</v>
      </c>
      <c r="O983" s="15" t="n">
        <f aca="false">AK983*評分方法!$C$11</f>
        <v>2.5</v>
      </c>
      <c r="P983" s="15" t="n">
        <f aca="false">AL983*評分方法!$C$12</f>
        <v>0</v>
      </c>
      <c r="Q983" s="6" t="n">
        <v>477836</v>
      </c>
      <c r="R983" s="6" t="n">
        <v>107721987</v>
      </c>
      <c r="S983" s="11" t="s">
        <v>238</v>
      </c>
      <c r="T983" s="11" t="s">
        <v>239</v>
      </c>
      <c r="U983" s="5" t="s">
        <v>240</v>
      </c>
      <c r="V983" s="11" t="s">
        <v>261</v>
      </c>
      <c r="W983" s="5" t="s">
        <v>334</v>
      </c>
      <c r="X983" s="5" t="s">
        <v>242</v>
      </c>
      <c r="Y983" s="5"/>
      <c r="Z983" s="5"/>
      <c r="AA983" s="11" t="s">
        <v>150</v>
      </c>
      <c r="AB983" s="5" t="s">
        <v>245</v>
      </c>
      <c r="AC983" s="5"/>
      <c r="AD983" s="11" t="s">
        <v>2504</v>
      </c>
      <c r="AE983" s="23" t="n">
        <v>0.95</v>
      </c>
      <c r="AF983" s="23" t="n">
        <v>0</v>
      </c>
      <c r="AG983" s="23" t="n">
        <v>0.33</v>
      </c>
      <c r="AH983" s="23" t="n">
        <v>1</v>
      </c>
      <c r="AI983" s="23" t="n">
        <v>1</v>
      </c>
      <c r="AJ983" s="23" t="n">
        <v>0.4364</v>
      </c>
      <c r="AK983" s="23" t="n">
        <v>0.5</v>
      </c>
      <c r="AL983" s="23" t="n">
        <v>0</v>
      </c>
      <c r="AM983" s="16" t="n">
        <f aca="false">COUNTIFS($D$2:$D$2501,D983,$G$2:$G$2501,"&gt;"&amp;G983)+COUNTIFS($D$2:D983,D983,$G$2:G983,G983)</f>
        <v>265</v>
      </c>
      <c r="AN983" s="5" t="str">
        <f aca="false">D983&amp;"|"&amp;AM983</f>
        <v>實體擷取與去識別化|265</v>
      </c>
    </row>
    <row r="984" customFormat="false" ht="17.15" hidden="false" customHeight="false" outlineLevel="0" collapsed="false">
      <c r="A984" s="16" t="n">
        <f aca="false">RANK(G984,$G$2:$G$2501)+COUNTIF($G$2:G984,G984)-1</f>
        <v>983</v>
      </c>
      <c r="B984" s="11" t="s">
        <v>2505</v>
      </c>
      <c r="C984" s="11" t="s">
        <v>2506</v>
      </c>
      <c r="D984" s="5" t="s">
        <v>66</v>
      </c>
      <c r="E984" s="5" t="s">
        <v>67</v>
      </c>
      <c r="F984" s="5"/>
      <c r="G984" s="22" t="n">
        <f aca="false">ROUND(SUM(I984:P984),3)</f>
        <v>65.314</v>
      </c>
      <c r="H984" s="5" t="str">
        <f aca="false">IF(G984&gt;=評分方法!$C$16,"優先評估",IF(G984&gt;=評分方法!$C$17,"列入候選",IF(G984&gt;=評分方法!$C$18,"特定情境","不建議")))</f>
        <v>特定情境</v>
      </c>
      <c r="I984" s="15" t="n">
        <f aca="false">AE984*評分方法!$C$5</f>
        <v>30</v>
      </c>
      <c r="J984" s="15" t="n">
        <f aca="false">AF984*評分方法!$C$6</f>
        <v>0</v>
      </c>
      <c r="K984" s="15" t="n">
        <f aca="false">AG984*評分方法!$C$7</f>
        <v>4.95</v>
      </c>
      <c r="L984" s="15" t="n">
        <f aca="false">AH984*評分方法!$C$8</f>
        <v>15</v>
      </c>
      <c r="M984" s="15" t="n">
        <f aca="false">AI984*評分方法!$C$9</f>
        <v>10</v>
      </c>
      <c r="N984" s="15" t="n">
        <f aca="false">AJ984*評分方法!$C$10</f>
        <v>2.864</v>
      </c>
      <c r="O984" s="15" t="n">
        <f aca="false">AK984*評分方法!$C$11</f>
        <v>2.5</v>
      </c>
      <c r="P984" s="15" t="n">
        <f aca="false">AL984*評分方法!$C$12</f>
        <v>0</v>
      </c>
      <c r="Q984" s="6" t="n">
        <v>279203</v>
      </c>
      <c r="R984" s="6" t="n">
        <v>278811651</v>
      </c>
      <c r="S984" s="11" t="s">
        <v>238</v>
      </c>
      <c r="T984" s="11" t="s">
        <v>278</v>
      </c>
      <c r="U984" s="5" t="s">
        <v>240</v>
      </c>
      <c r="V984" s="11" t="s">
        <v>261</v>
      </c>
      <c r="W984" s="5" t="s">
        <v>334</v>
      </c>
      <c r="X984" s="5" t="s">
        <v>242</v>
      </c>
      <c r="Y984" s="11" t="s">
        <v>2507</v>
      </c>
      <c r="Z984" s="11" t="s">
        <v>270</v>
      </c>
      <c r="AA984" s="11" t="s">
        <v>149</v>
      </c>
      <c r="AB984" s="5" t="s">
        <v>245</v>
      </c>
      <c r="AC984" s="5"/>
      <c r="AD984" s="11" t="s">
        <v>2508</v>
      </c>
      <c r="AE984" s="23" t="n">
        <v>1</v>
      </c>
      <c r="AF984" s="23" t="n">
        <v>0</v>
      </c>
      <c r="AG984" s="23" t="n">
        <v>0.33</v>
      </c>
      <c r="AH984" s="23" t="n">
        <v>1</v>
      </c>
      <c r="AI984" s="23" t="n">
        <v>1</v>
      </c>
      <c r="AJ984" s="23" t="n">
        <v>0.2864</v>
      </c>
      <c r="AK984" s="23" t="n">
        <v>0.5</v>
      </c>
      <c r="AL984" s="23" t="n">
        <v>0</v>
      </c>
      <c r="AM984" s="16" t="n">
        <f aca="false">COUNTIFS($D$2:$D$2501,D984,$G$2:$G$2501,"&gt;"&amp;G984)+COUNTIFS($D$2:D984,D984,$G$2:G984,G984)</f>
        <v>26</v>
      </c>
      <c r="AN984" s="5" t="str">
        <f aca="false">D984&amp;"|"&amp;AM984</f>
        <v>分類與偵測|26</v>
      </c>
    </row>
    <row r="985" customFormat="false" ht="17.15" hidden="false" customHeight="false" outlineLevel="0" collapsed="false">
      <c r="A985" s="16" t="n">
        <f aca="false">RANK(G985,$G$2:$G$2501)+COUNTIF($G$2:G985,G985)-1</f>
        <v>984</v>
      </c>
      <c r="B985" s="11" t="s">
        <v>2509</v>
      </c>
      <c r="C985" s="11" t="s">
        <v>2261</v>
      </c>
      <c r="D985" s="5" t="s">
        <v>54</v>
      </c>
      <c r="E985" s="5" t="s">
        <v>55</v>
      </c>
      <c r="F985" s="5"/>
      <c r="G985" s="22" t="n">
        <f aca="false">ROUND(SUM(I985:P985),3)</f>
        <v>65.302</v>
      </c>
      <c r="H985" s="5" t="str">
        <f aca="false">IF(G985&gt;=評分方法!$C$16,"優先評估",IF(G985&gt;=評分方法!$C$17,"列入候選",IF(G985&gt;=評分方法!$C$18,"特定情境","不建議")))</f>
        <v>特定情境</v>
      </c>
      <c r="I985" s="15" t="n">
        <f aca="false">AE985*評分方法!$C$5</f>
        <v>27</v>
      </c>
      <c r="J985" s="15" t="n">
        <f aca="false">AF985*評分方法!$C$6</f>
        <v>0</v>
      </c>
      <c r="K985" s="15" t="n">
        <f aca="false">AG985*評分方法!$C$7</f>
        <v>10.05</v>
      </c>
      <c r="L985" s="15" t="n">
        <f aca="false">AH985*評分方法!$C$8</f>
        <v>15</v>
      </c>
      <c r="M985" s="15" t="n">
        <f aca="false">AI985*評分方法!$C$9</f>
        <v>2</v>
      </c>
      <c r="N985" s="15" t="n">
        <f aca="false">AJ985*評分方法!$C$10</f>
        <v>8.752</v>
      </c>
      <c r="O985" s="15" t="n">
        <f aca="false">AK985*評分方法!$C$11</f>
        <v>1</v>
      </c>
      <c r="P985" s="15" t="n">
        <f aca="false">AL985*評分方法!$C$12</f>
        <v>1.5</v>
      </c>
      <c r="Q985" s="6" t="n">
        <v>2907797</v>
      </c>
      <c r="R985" s="6" t="n">
        <v>0</v>
      </c>
      <c r="S985" s="11" t="s">
        <v>238</v>
      </c>
      <c r="T985" s="5"/>
      <c r="U985" s="5" t="s">
        <v>375</v>
      </c>
      <c r="V985" s="11" t="s">
        <v>261</v>
      </c>
      <c r="W985" s="5" t="s">
        <v>207</v>
      </c>
      <c r="X985" s="5" t="s">
        <v>255</v>
      </c>
      <c r="Y985" s="5"/>
      <c r="Z985" s="5"/>
      <c r="AA985" s="11" t="s">
        <v>153</v>
      </c>
      <c r="AB985" s="5" t="s">
        <v>245</v>
      </c>
      <c r="AC985" s="5" t="s">
        <v>262</v>
      </c>
      <c r="AD985" s="11" t="s">
        <v>2510</v>
      </c>
      <c r="AE985" s="23" t="n">
        <v>0.9</v>
      </c>
      <c r="AF985" s="23" t="n">
        <v>0</v>
      </c>
      <c r="AG985" s="23" t="n">
        <v>0.67</v>
      </c>
      <c r="AH985" s="23" t="n">
        <v>1</v>
      </c>
      <c r="AI985" s="23" t="n">
        <v>0.2</v>
      </c>
      <c r="AJ985" s="23" t="n">
        <v>0.8752</v>
      </c>
      <c r="AK985" s="23" t="n">
        <v>0.2</v>
      </c>
      <c r="AL985" s="23" t="n">
        <v>0.3</v>
      </c>
      <c r="AM985" s="16" t="n">
        <f aca="false">COUNTIFS($D$2:$D$2501,D985,$G$2:$G$2501,"&gt;"&amp;G985)+COUNTIFS($D$2:D985,D985,$G$2:G985,G985)</f>
        <v>154</v>
      </c>
      <c r="AN985" s="5" t="str">
        <f aca="false">D985&amp;"|"&amp;AM985</f>
        <v>檢索與情資關聯|154</v>
      </c>
    </row>
    <row r="986" customFormat="false" ht="17.15" hidden="false" customHeight="false" outlineLevel="0" collapsed="false">
      <c r="A986" s="16" t="n">
        <f aca="false">RANK(G986,$G$2:$G$2501)+COUNTIF($G$2:G986,G986)-1</f>
        <v>985</v>
      </c>
      <c r="B986" s="11" t="s">
        <v>2511</v>
      </c>
      <c r="C986" s="11" t="s">
        <v>402</v>
      </c>
      <c r="D986" s="5" t="s">
        <v>58</v>
      </c>
      <c r="E986" s="5" t="s">
        <v>59</v>
      </c>
      <c r="F986" s="5"/>
      <c r="G986" s="22" t="n">
        <f aca="false">ROUND(SUM(I986:P986),3)</f>
        <v>65.302</v>
      </c>
      <c r="H986" s="5" t="str">
        <f aca="false">IF(G986&gt;=評分方法!$C$16,"優先評估",IF(G986&gt;=評分方法!$C$17,"列入候選",IF(G986&gt;=評分方法!$C$18,"特定情境","不建議")))</f>
        <v>特定情境</v>
      </c>
      <c r="I986" s="15" t="n">
        <f aca="false">AE986*評分方法!$C$5</f>
        <v>28.5</v>
      </c>
      <c r="J986" s="15" t="n">
        <f aca="false">AF986*評分方法!$C$6</f>
        <v>0</v>
      </c>
      <c r="K986" s="15" t="n">
        <f aca="false">AG986*評分方法!$C$7</f>
        <v>4.95</v>
      </c>
      <c r="L986" s="15" t="n">
        <f aca="false">AH986*評分方法!$C$8</f>
        <v>15</v>
      </c>
      <c r="M986" s="15" t="n">
        <f aca="false">AI986*評分方法!$C$9</f>
        <v>10</v>
      </c>
      <c r="N986" s="15" t="n">
        <f aca="false">AJ986*評分方法!$C$10</f>
        <v>4.352</v>
      </c>
      <c r="O986" s="15" t="n">
        <f aca="false">AK986*評分方法!$C$11</f>
        <v>2.5</v>
      </c>
      <c r="P986" s="15" t="n">
        <f aca="false">AL986*評分方法!$C$12</f>
        <v>0</v>
      </c>
      <c r="Q986" s="6" t="n">
        <v>477431</v>
      </c>
      <c r="R986" s="6" t="n">
        <v>354313219</v>
      </c>
      <c r="S986" s="11" t="s">
        <v>238</v>
      </c>
      <c r="T986" s="11" t="s">
        <v>239</v>
      </c>
      <c r="U986" s="5" t="s">
        <v>240</v>
      </c>
      <c r="V986" s="11" t="s">
        <v>261</v>
      </c>
      <c r="W986" s="5" t="s">
        <v>334</v>
      </c>
      <c r="X986" s="5" t="s">
        <v>242</v>
      </c>
      <c r="Y986" s="5"/>
      <c r="Z986" s="5"/>
      <c r="AA986" s="11" t="s">
        <v>150</v>
      </c>
      <c r="AB986" s="5" t="s">
        <v>245</v>
      </c>
      <c r="AC986" s="5"/>
      <c r="AD986" s="11" t="s">
        <v>2512</v>
      </c>
      <c r="AE986" s="23" t="n">
        <v>0.95</v>
      </c>
      <c r="AF986" s="23" t="n">
        <v>0</v>
      </c>
      <c r="AG986" s="23" t="n">
        <v>0.33</v>
      </c>
      <c r="AH986" s="23" t="n">
        <v>1</v>
      </c>
      <c r="AI986" s="23" t="n">
        <v>1</v>
      </c>
      <c r="AJ986" s="23" t="n">
        <v>0.4352</v>
      </c>
      <c r="AK986" s="23" t="n">
        <v>0.5</v>
      </c>
      <c r="AL986" s="23" t="n">
        <v>0</v>
      </c>
      <c r="AM986" s="16" t="n">
        <f aca="false">COUNTIFS($D$2:$D$2501,D986,$G$2:$G$2501,"&gt;"&amp;G986)+COUNTIFS($D$2:D986,D986,$G$2:G986,G986)</f>
        <v>266</v>
      </c>
      <c r="AN986" s="5" t="str">
        <f aca="false">D986&amp;"|"&amp;AM986</f>
        <v>實體擷取與去識別化|266</v>
      </c>
    </row>
    <row r="987" customFormat="false" ht="17.15" hidden="false" customHeight="false" outlineLevel="0" collapsed="false">
      <c r="A987" s="16" t="n">
        <f aca="false">RANK(G987,$G$2:$G$2501)+COUNTIF($G$2:G987,G987)-1</f>
        <v>986</v>
      </c>
      <c r="B987" s="11" t="s">
        <v>2513</v>
      </c>
      <c r="C987" s="11" t="s">
        <v>402</v>
      </c>
      <c r="D987" s="5" t="s">
        <v>58</v>
      </c>
      <c r="E987" s="5" t="s">
        <v>59</v>
      </c>
      <c r="F987" s="5"/>
      <c r="G987" s="22" t="n">
        <f aca="false">ROUND(SUM(I987:P987),3)</f>
        <v>65.282</v>
      </c>
      <c r="H987" s="5" t="str">
        <f aca="false">IF(G987&gt;=評分方法!$C$16,"優先評估",IF(G987&gt;=評分方法!$C$17,"列入候選",IF(G987&gt;=評分方法!$C$18,"特定情境","不建議")))</f>
        <v>特定情境</v>
      </c>
      <c r="I987" s="15" t="n">
        <f aca="false">AE987*評分方法!$C$5</f>
        <v>28.5</v>
      </c>
      <c r="J987" s="15" t="n">
        <f aca="false">AF987*評分方法!$C$6</f>
        <v>0</v>
      </c>
      <c r="K987" s="15" t="n">
        <f aca="false">AG987*評分方法!$C$7</f>
        <v>4.95</v>
      </c>
      <c r="L987" s="15" t="n">
        <f aca="false">AH987*評分方法!$C$8</f>
        <v>15</v>
      </c>
      <c r="M987" s="15" t="n">
        <f aca="false">AI987*評分方法!$C$9</f>
        <v>10</v>
      </c>
      <c r="N987" s="15" t="n">
        <f aca="false">AJ987*評分方法!$C$10</f>
        <v>4.332</v>
      </c>
      <c r="O987" s="15" t="n">
        <f aca="false">AK987*評分方法!$C$11</f>
        <v>2.5</v>
      </c>
      <c r="P987" s="15" t="n">
        <f aca="false">AL987*評分方法!$C$12</f>
        <v>0</v>
      </c>
      <c r="Q987" s="6" t="n">
        <v>476653</v>
      </c>
      <c r="R987" s="6" t="n">
        <v>124057347</v>
      </c>
      <c r="S987" s="11" t="s">
        <v>238</v>
      </c>
      <c r="T987" s="11" t="s">
        <v>239</v>
      </c>
      <c r="U987" s="5" t="s">
        <v>240</v>
      </c>
      <c r="V987" s="11" t="s">
        <v>261</v>
      </c>
      <c r="W987" s="5" t="s">
        <v>334</v>
      </c>
      <c r="X987" s="5" t="s">
        <v>242</v>
      </c>
      <c r="Y987" s="5"/>
      <c r="Z987" s="5"/>
      <c r="AA987" s="11" t="s">
        <v>150</v>
      </c>
      <c r="AB987" s="5" t="s">
        <v>245</v>
      </c>
      <c r="AC987" s="5"/>
      <c r="AD987" s="11" t="s">
        <v>2514</v>
      </c>
      <c r="AE987" s="23" t="n">
        <v>0.95</v>
      </c>
      <c r="AF987" s="23" t="n">
        <v>0</v>
      </c>
      <c r="AG987" s="23" t="n">
        <v>0.33</v>
      </c>
      <c r="AH987" s="23" t="n">
        <v>1</v>
      </c>
      <c r="AI987" s="23" t="n">
        <v>1</v>
      </c>
      <c r="AJ987" s="23" t="n">
        <v>0.4332</v>
      </c>
      <c r="AK987" s="23" t="n">
        <v>0.5</v>
      </c>
      <c r="AL987" s="23" t="n">
        <v>0</v>
      </c>
      <c r="AM987" s="16" t="n">
        <f aca="false">COUNTIFS($D$2:$D$2501,D987,$G$2:$G$2501,"&gt;"&amp;G987)+COUNTIFS($D$2:D987,D987,$G$2:G987,G987)</f>
        <v>267</v>
      </c>
      <c r="AN987" s="5" t="str">
        <f aca="false">D987&amp;"|"&amp;AM987</f>
        <v>實體擷取與去識別化|267</v>
      </c>
    </row>
    <row r="988" customFormat="false" ht="17.15" hidden="false" customHeight="false" outlineLevel="0" collapsed="false">
      <c r="A988" s="16" t="n">
        <f aca="false">RANK(G988,$G$2:$G$2501)+COUNTIF($G$2:G988,G988)-1</f>
        <v>987</v>
      </c>
      <c r="B988" s="11" t="s">
        <v>2515</v>
      </c>
      <c r="C988" s="11" t="s">
        <v>402</v>
      </c>
      <c r="D988" s="5" t="s">
        <v>58</v>
      </c>
      <c r="E988" s="5" t="s">
        <v>59</v>
      </c>
      <c r="F988" s="5"/>
      <c r="G988" s="22" t="n">
        <f aca="false">ROUND(SUM(I988:P988),3)</f>
        <v>65.278</v>
      </c>
      <c r="H988" s="5" t="str">
        <f aca="false">IF(G988&gt;=評分方法!$C$16,"優先評估",IF(G988&gt;=評分方法!$C$17,"列入候選",IF(G988&gt;=評分方法!$C$18,"特定情境","不建議")))</f>
        <v>特定情境</v>
      </c>
      <c r="I988" s="15" t="n">
        <f aca="false">AE988*評分方法!$C$5</f>
        <v>28.5</v>
      </c>
      <c r="J988" s="15" t="n">
        <f aca="false">AF988*評分方法!$C$6</f>
        <v>0</v>
      </c>
      <c r="K988" s="15" t="n">
        <f aca="false">AG988*評分方法!$C$7</f>
        <v>4.95</v>
      </c>
      <c r="L988" s="15" t="n">
        <f aca="false">AH988*評分方法!$C$8</f>
        <v>15</v>
      </c>
      <c r="M988" s="15" t="n">
        <f aca="false">AI988*評分方法!$C$9</f>
        <v>10</v>
      </c>
      <c r="N988" s="15" t="n">
        <f aca="false">AJ988*評分方法!$C$10</f>
        <v>4.328</v>
      </c>
      <c r="O988" s="15" t="n">
        <f aca="false">AK988*評分方法!$C$11</f>
        <v>2.5</v>
      </c>
      <c r="P988" s="15" t="n">
        <f aca="false">AL988*評分方法!$C$12</f>
        <v>0</v>
      </c>
      <c r="Q988" s="6" t="n">
        <v>476519</v>
      </c>
      <c r="R988" s="6" t="n">
        <v>277455363</v>
      </c>
      <c r="S988" s="11" t="s">
        <v>238</v>
      </c>
      <c r="T988" s="11" t="s">
        <v>239</v>
      </c>
      <c r="U988" s="5" t="s">
        <v>240</v>
      </c>
      <c r="V988" s="11" t="s">
        <v>261</v>
      </c>
      <c r="W988" s="5" t="s">
        <v>334</v>
      </c>
      <c r="X988" s="5" t="s">
        <v>242</v>
      </c>
      <c r="Y988" s="5"/>
      <c r="Z988" s="5"/>
      <c r="AA988" s="11" t="s">
        <v>150</v>
      </c>
      <c r="AB988" s="5" t="s">
        <v>245</v>
      </c>
      <c r="AC988" s="5"/>
      <c r="AD988" s="11" t="s">
        <v>2516</v>
      </c>
      <c r="AE988" s="23" t="n">
        <v>0.95</v>
      </c>
      <c r="AF988" s="23" t="n">
        <v>0</v>
      </c>
      <c r="AG988" s="23" t="n">
        <v>0.33</v>
      </c>
      <c r="AH988" s="23" t="n">
        <v>1</v>
      </c>
      <c r="AI988" s="23" t="n">
        <v>1</v>
      </c>
      <c r="AJ988" s="23" t="n">
        <v>0.4328</v>
      </c>
      <c r="AK988" s="23" t="n">
        <v>0.5</v>
      </c>
      <c r="AL988" s="23" t="n">
        <v>0</v>
      </c>
      <c r="AM988" s="16" t="n">
        <f aca="false">COUNTIFS($D$2:$D$2501,D988,$G$2:$G$2501,"&gt;"&amp;G988)+COUNTIFS($D$2:D988,D988,$G$2:G988,G988)</f>
        <v>268</v>
      </c>
      <c r="AN988" s="5" t="str">
        <f aca="false">D988&amp;"|"&amp;AM988</f>
        <v>實體擷取與去識別化|268</v>
      </c>
    </row>
    <row r="989" customFormat="false" ht="17.15" hidden="false" customHeight="false" outlineLevel="0" collapsed="false">
      <c r="A989" s="16" t="n">
        <f aca="false">RANK(G989,$G$2:$G$2501)+COUNTIF($G$2:G989,G989)-1</f>
        <v>988</v>
      </c>
      <c r="B989" s="11" t="s">
        <v>2517</v>
      </c>
      <c r="C989" s="11" t="s">
        <v>402</v>
      </c>
      <c r="D989" s="5" t="s">
        <v>58</v>
      </c>
      <c r="E989" s="5" t="s">
        <v>59</v>
      </c>
      <c r="F989" s="5"/>
      <c r="G989" s="22" t="n">
        <f aca="false">ROUND(SUM(I989:P989),3)</f>
        <v>65.274</v>
      </c>
      <c r="H989" s="5" t="str">
        <f aca="false">IF(G989&gt;=評分方法!$C$16,"優先評估",IF(G989&gt;=評分方法!$C$17,"列入候選",IF(G989&gt;=評分方法!$C$18,"特定情境","不建議")))</f>
        <v>特定情境</v>
      </c>
      <c r="I989" s="15" t="n">
        <f aca="false">AE989*評分方法!$C$5</f>
        <v>28.5</v>
      </c>
      <c r="J989" s="15" t="n">
        <f aca="false">AF989*評分方法!$C$6</f>
        <v>0</v>
      </c>
      <c r="K989" s="15" t="n">
        <f aca="false">AG989*評分方法!$C$7</f>
        <v>4.95</v>
      </c>
      <c r="L989" s="15" t="n">
        <f aca="false">AH989*評分方法!$C$8</f>
        <v>15</v>
      </c>
      <c r="M989" s="15" t="n">
        <f aca="false">AI989*評分方法!$C$9</f>
        <v>10</v>
      </c>
      <c r="N989" s="15" t="n">
        <f aca="false">AJ989*評分方法!$C$10</f>
        <v>4.324</v>
      </c>
      <c r="O989" s="15" t="n">
        <f aca="false">AK989*評分方法!$C$11</f>
        <v>2.5</v>
      </c>
      <c r="P989" s="15" t="n">
        <f aca="false">AL989*評分方法!$C$12</f>
        <v>0</v>
      </c>
      <c r="Q989" s="6" t="n">
        <v>476452</v>
      </c>
      <c r="R989" s="6" t="n">
        <v>334095363</v>
      </c>
      <c r="S989" s="11" t="s">
        <v>238</v>
      </c>
      <c r="T989" s="11" t="s">
        <v>239</v>
      </c>
      <c r="U989" s="5" t="s">
        <v>240</v>
      </c>
      <c r="V989" s="11" t="s">
        <v>261</v>
      </c>
      <c r="W989" s="5" t="s">
        <v>334</v>
      </c>
      <c r="X989" s="5" t="s">
        <v>242</v>
      </c>
      <c r="Y989" s="5"/>
      <c r="Z989" s="5"/>
      <c r="AA989" s="11" t="s">
        <v>150</v>
      </c>
      <c r="AB989" s="5" t="s">
        <v>245</v>
      </c>
      <c r="AC989" s="5"/>
      <c r="AD989" s="11" t="s">
        <v>2518</v>
      </c>
      <c r="AE989" s="23" t="n">
        <v>0.95</v>
      </c>
      <c r="AF989" s="23" t="n">
        <v>0</v>
      </c>
      <c r="AG989" s="23" t="n">
        <v>0.33</v>
      </c>
      <c r="AH989" s="23" t="n">
        <v>1</v>
      </c>
      <c r="AI989" s="23" t="n">
        <v>1</v>
      </c>
      <c r="AJ989" s="23" t="n">
        <v>0.4324</v>
      </c>
      <c r="AK989" s="23" t="n">
        <v>0.5</v>
      </c>
      <c r="AL989" s="23" t="n">
        <v>0</v>
      </c>
      <c r="AM989" s="16" t="n">
        <f aca="false">COUNTIFS($D$2:$D$2501,D989,$G$2:$G$2501,"&gt;"&amp;G989)+COUNTIFS($D$2:D989,D989,$G$2:G989,G989)</f>
        <v>269</v>
      </c>
      <c r="AN989" s="5" t="str">
        <f aca="false">D989&amp;"|"&amp;AM989</f>
        <v>實體擷取與去識別化|269</v>
      </c>
    </row>
    <row r="990" customFormat="false" ht="17.15" hidden="false" customHeight="false" outlineLevel="0" collapsed="false">
      <c r="A990" s="16" t="n">
        <f aca="false">RANK(G990,$G$2:$G$2501)+COUNTIF($G$2:G990,G990)-1</f>
        <v>989</v>
      </c>
      <c r="B990" s="11" t="s">
        <v>2519</v>
      </c>
      <c r="C990" s="11" t="s">
        <v>753</v>
      </c>
      <c r="D990" s="5" t="s">
        <v>56</v>
      </c>
      <c r="E990" s="5" t="s">
        <v>57</v>
      </c>
      <c r="F990" s="5"/>
      <c r="G990" s="22" t="n">
        <f aca="false">ROUND(SUM(I990:P990),3)</f>
        <v>65.274</v>
      </c>
      <c r="H990" s="5" t="str">
        <f aca="false">IF(G990&gt;=評分方法!$C$16,"優先評估",IF(G990&gt;=評分方法!$C$17,"列入候選",IF(G990&gt;=評分方法!$C$18,"特定情境","不建議")))</f>
        <v>特定情境</v>
      </c>
      <c r="I990" s="15" t="n">
        <f aca="false">AE990*評分方法!$C$5</f>
        <v>25.5</v>
      </c>
      <c r="J990" s="15" t="n">
        <f aca="false">AF990*評分方法!$C$6</f>
        <v>0</v>
      </c>
      <c r="K990" s="15" t="n">
        <f aca="false">AG990*評分方法!$C$7</f>
        <v>10.05</v>
      </c>
      <c r="L990" s="15" t="n">
        <f aca="false">AH990*評分方法!$C$8</f>
        <v>9</v>
      </c>
      <c r="M990" s="15" t="n">
        <f aca="false">AI990*評分方法!$C$9</f>
        <v>10</v>
      </c>
      <c r="N990" s="15" t="n">
        <f aca="false">AJ990*評分方法!$C$10</f>
        <v>1.724</v>
      </c>
      <c r="O990" s="15" t="n">
        <f aca="false">AK990*評分方法!$C$11</f>
        <v>4</v>
      </c>
      <c r="P990" s="15" t="n">
        <f aca="false">AL990*評分方法!$C$12</f>
        <v>5</v>
      </c>
      <c r="Q990" s="6" t="n">
        <v>192645</v>
      </c>
      <c r="R990" s="6" t="n">
        <v>23572403200</v>
      </c>
      <c r="S990" s="11" t="s">
        <v>389</v>
      </c>
      <c r="T990" s="11" t="s">
        <v>239</v>
      </c>
      <c r="U990" s="5" t="s">
        <v>240</v>
      </c>
      <c r="V990" s="11" t="s">
        <v>333</v>
      </c>
      <c r="W990" s="5" t="s">
        <v>207</v>
      </c>
      <c r="X990" s="5" t="s">
        <v>284</v>
      </c>
      <c r="Y990" s="11" t="s">
        <v>2520</v>
      </c>
      <c r="Z990" s="11" t="s">
        <v>244</v>
      </c>
      <c r="AA990" s="11" t="s">
        <v>155</v>
      </c>
      <c r="AB990" s="5" t="s">
        <v>328</v>
      </c>
      <c r="AC990" s="5" t="s">
        <v>340</v>
      </c>
      <c r="AD990" s="11" t="s">
        <v>2521</v>
      </c>
      <c r="AE990" s="23" t="n">
        <v>0.85</v>
      </c>
      <c r="AF990" s="23" t="n">
        <v>0</v>
      </c>
      <c r="AG990" s="23" t="n">
        <v>0.67</v>
      </c>
      <c r="AH990" s="23" t="n">
        <v>0.6</v>
      </c>
      <c r="AI990" s="23" t="n">
        <v>1</v>
      </c>
      <c r="AJ990" s="23" t="n">
        <v>0.1724</v>
      </c>
      <c r="AK990" s="23" t="n">
        <v>0.8</v>
      </c>
      <c r="AL990" s="23" t="n">
        <v>1</v>
      </c>
      <c r="AM990" s="16" t="n">
        <f aca="false">COUNTIFS($D$2:$D$2501,D990,$G$2:$G$2501,"&gt;"&amp;G990)+COUNTIFS($D$2:D990,D990,$G$2:G990,G990)</f>
        <v>422</v>
      </c>
      <c r="AN990" s="5" t="str">
        <f aca="false">D990&amp;"|"&amp;AM990</f>
        <v>分析與報告生成|422</v>
      </c>
    </row>
    <row r="991" customFormat="false" ht="17.15" hidden="false" customHeight="false" outlineLevel="0" collapsed="false">
      <c r="A991" s="16" t="n">
        <f aca="false">RANK(G991,$G$2:$G$2501)+COUNTIF($G$2:G991,G991)-1</f>
        <v>990</v>
      </c>
      <c r="B991" s="11" t="s">
        <v>2522</v>
      </c>
      <c r="C991" s="11" t="s">
        <v>402</v>
      </c>
      <c r="D991" s="5" t="s">
        <v>58</v>
      </c>
      <c r="E991" s="5" t="s">
        <v>59</v>
      </c>
      <c r="F991" s="5"/>
      <c r="G991" s="22" t="n">
        <f aca="false">ROUND(SUM(I991:P991),3)</f>
        <v>65.27</v>
      </c>
      <c r="H991" s="5" t="str">
        <f aca="false">IF(G991&gt;=評分方法!$C$16,"優先評估",IF(G991&gt;=評分方法!$C$17,"列入候選",IF(G991&gt;=評分方法!$C$18,"特定情境","不建議")))</f>
        <v>特定情境</v>
      </c>
      <c r="I991" s="15" t="n">
        <f aca="false">AE991*評分方法!$C$5</f>
        <v>28.5</v>
      </c>
      <c r="J991" s="15" t="n">
        <f aca="false">AF991*評分方法!$C$6</f>
        <v>0</v>
      </c>
      <c r="K991" s="15" t="n">
        <f aca="false">AG991*評分方法!$C$7</f>
        <v>4.95</v>
      </c>
      <c r="L991" s="15" t="n">
        <f aca="false">AH991*評分方法!$C$8</f>
        <v>15</v>
      </c>
      <c r="M991" s="15" t="n">
        <f aca="false">AI991*評分方法!$C$9</f>
        <v>10</v>
      </c>
      <c r="N991" s="15" t="n">
        <f aca="false">AJ991*評分方法!$C$10</f>
        <v>4.32</v>
      </c>
      <c r="O991" s="15" t="n">
        <f aca="false">AK991*評分方法!$C$11</f>
        <v>2.5</v>
      </c>
      <c r="P991" s="15" t="n">
        <f aca="false">AL991*評分方法!$C$12</f>
        <v>0</v>
      </c>
      <c r="Q991" s="6" t="n">
        <v>476184</v>
      </c>
      <c r="R991" s="6" t="n">
        <v>334095363</v>
      </c>
      <c r="S991" s="11" t="s">
        <v>238</v>
      </c>
      <c r="T991" s="11" t="s">
        <v>239</v>
      </c>
      <c r="U991" s="5" t="s">
        <v>240</v>
      </c>
      <c r="V991" s="11" t="s">
        <v>261</v>
      </c>
      <c r="W991" s="5" t="s">
        <v>334</v>
      </c>
      <c r="X991" s="5" t="s">
        <v>242</v>
      </c>
      <c r="Y991" s="5"/>
      <c r="Z991" s="5"/>
      <c r="AA991" s="11" t="s">
        <v>150</v>
      </c>
      <c r="AB991" s="5" t="s">
        <v>245</v>
      </c>
      <c r="AC991" s="5"/>
      <c r="AD991" s="11" t="s">
        <v>2523</v>
      </c>
      <c r="AE991" s="23" t="n">
        <v>0.95</v>
      </c>
      <c r="AF991" s="23" t="n">
        <v>0</v>
      </c>
      <c r="AG991" s="23" t="n">
        <v>0.33</v>
      </c>
      <c r="AH991" s="23" t="n">
        <v>1</v>
      </c>
      <c r="AI991" s="23" t="n">
        <v>1</v>
      </c>
      <c r="AJ991" s="23" t="n">
        <v>0.432</v>
      </c>
      <c r="AK991" s="23" t="n">
        <v>0.5</v>
      </c>
      <c r="AL991" s="23" t="n">
        <v>0</v>
      </c>
      <c r="AM991" s="16" t="n">
        <f aca="false">COUNTIFS($D$2:$D$2501,D991,$G$2:$G$2501,"&gt;"&amp;G991)+COUNTIFS($D$2:D991,D991,$G$2:G991,G991)</f>
        <v>270</v>
      </c>
      <c r="AN991" s="5" t="str">
        <f aca="false">D991&amp;"|"&amp;AM991</f>
        <v>實體擷取與去識別化|270</v>
      </c>
    </row>
    <row r="992" customFormat="false" ht="17.15" hidden="false" customHeight="false" outlineLevel="0" collapsed="false">
      <c r="A992" s="16" t="n">
        <f aca="false">RANK(G992,$G$2:$G$2501)+COUNTIF($G$2:G992,G992)-1</f>
        <v>991</v>
      </c>
      <c r="B992" s="11" t="s">
        <v>2524</v>
      </c>
      <c r="C992" s="11" t="s">
        <v>368</v>
      </c>
      <c r="D992" s="5" t="s">
        <v>74</v>
      </c>
      <c r="E992" s="5" t="s">
        <v>75</v>
      </c>
      <c r="F992" s="5"/>
      <c r="G992" s="22" t="n">
        <f aca="false">ROUND(SUM(I992:P992),3)</f>
        <v>65.268</v>
      </c>
      <c r="H992" s="5" t="str">
        <f aca="false">IF(G992&gt;=評分方法!$C$16,"優先評估",IF(G992&gt;=評分方法!$C$17,"列入候選",IF(G992&gt;=評分方法!$C$18,"特定情境","不建議")))</f>
        <v>特定情境</v>
      </c>
      <c r="I992" s="15" t="n">
        <f aca="false">AE992*評分方法!$C$5</f>
        <v>12</v>
      </c>
      <c r="J992" s="15" t="n">
        <f aca="false">AF992*評分方法!$C$6</f>
        <v>0</v>
      </c>
      <c r="K992" s="15" t="n">
        <f aca="false">AG992*評分方法!$C$7</f>
        <v>15</v>
      </c>
      <c r="L992" s="15" t="n">
        <f aca="false">AH992*評分方法!$C$8</f>
        <v>15</v>
      </c>
      <c r="M992" s="15" t="n">
        <f aca="false">AI992*評分方法!$C$9</f>
        <v>10</v>
      </c>
      <c r="N992" s="15" t="n">
        <f aca="false">AJ992*評分方法!$C$10</f>
        <v>9.268</v>
      </c>
      <c r="O992" s="15" t="n">
        <f aca="false">AK992*評分方法!$C$11</f>
        <v>2.5</v>
      </c>
      <c r="P992" s="15" t="n">
        <f aca="false">AL992*評分方法!$C$12</f>
        <v>1.5</v>
      </c>
      <c r="Q992" s="6" t="n">
        <v>5813875</v>
      </c>
      <c r="R992" s="6" t="n">
        <v>375234050</v>
      </c>
      <c r="S992" s="11" t="s">
        <v>238</v>
      </c>
      <c r="T992" s="11" t="s">
        <v>239</v>
      </c>
      <c r="U992" s="5" t="s">
        <v>240</v>
      </c>
      <c r="V992" s="11" t="s">
        <v>261</v>
      </c>
      <c r="W992" s="5" t="s">
        <v>205</v>
      </c>
      <c r="X992" s="5" t="s">
        <v>255</v>
      </c>
      <c r="Y992" s="5"/>
      <c r="Z992" s="5"/>
      <c r="AA992" s="11" t="s">
        <v>167</v>
      </c>
      <c r="AB992" s="5" t="s">
        <v>245</v>
      </c>
      <c r="AC992" s="5"/>
      <c r="AD992" s="11" t="s">
        <v>2525</v>
      </c>
      <c r="AE992" s="23" t="n">
        <v>0.4</v>
      </c>
      <c r="AF992" s="23" t="n">
        <v>0</v>
      </c>
      <c r="AG992" s="23" t="n">
        <v>1</v>
      </c>
      <c r="AH992" s="23" t="n">
        <v>1</v>
      </c>
      <c r="AI992" s="23" t="n">
        <v>1</v>
      </c>
      <c r="AJ992" s="23" t="n">
        <v>0.9268</v>
      </c>
      <c r="AK992" s="23" t="n">
        <v>0.5</v>
      </c>
      <c r="AL992" s="23" t="n">
        <v>0.3</v>
      </c>
      <c r="AM992" s="16" t="n">
        <f aca="false">COUNTIFS($D$2:$D$2501,D992,$G$2:$G$2501,"&gt;"&amp;G992)+COUNTIFS($D$2:D992,D992,$G$2:G992,G992)</f>
        <v>10</v>
      </c>
      <c r="AN992" s="5" t="str">
        <f aca="false">D992&amp;"|"&amp;AM992</f>
        <v>文件與影像辨識|10</v>
      </c>
    </row>
    <row r="993" customFormat="false" ht="17.15" hidden="false" customHeight="false" outlineLevel="0" collapsed="false">
      <c r="A993" s="16" t="n">
        <f aca="false">RANK(G993,$G$2:$G$2501)+COUNTIF($G$2:G993,G993)-1</f>
        <v>992</v>
      </c>
      <c r="B993" s="11" t="s">
        <v>2526</v>
      </c>
      <c r="C993" s="11" t="s">
        <v>2527</v>
      </c>
      <c r="D993" s="5" t="s">
        <v>56</v>
      </c>
      <c r="E993" s="5" t="s">
        <v>57</v>
      </c>
      <c r="F993" s="5"/>
      <c r="G993" s="22" t="n">
        <f aca="false">ROUND(SUM(I993:P993),3)</f>
        <v>65.268</v>
      </c>
      <c r="H993" s="5" t="str">
        <f aca="false">IF(G993&gt;=評分方法!$C$16,"優先評估",IF(G993&gt;=評分方法!$C$17,"列入候選",IF(G993&gt;=評分方法!$C$18,"特定情境","不建議")))</f>
        <v>特定情境</v>
      </c>
      <c r="I993" s="15" t="n">
        <f aca="false">AE993*評分方法!$C$5</f>
        <v>25.5</v>
      </c>
      <c r="J993" s="15" t="n">
        <f aca="false">AF993*評分方法!$C$6</f>
        <v>0</v>
      </c>
      <c r="K993" s="15" t="n">
        <f aca="false">AG993*評分方法!$C$7</f>
        <v>4.95</v>
      </c>
      <c r="L993" s="15" t="n">
        <f aca="false">AH993*評分方法!$C$8</f>
        <v>13.05</v>
      </c>
      <c r="M993" s="15" t="n">
        <f aca="false">AI993*評分方法!$C$9</f>
        <v>10</v>
      </c>
      <c r="N993" s="15" t="n">
        <f aca="false">AJ993*評分方法!$C$10</f>
        <v>6.768</v>
      </c>
      <c r="O993" s="15" t="n">
        <f aca="false">AK993*評分方法!$C$11</f>
        <v>5</v>
      </c>
      <c r="P993" s="15" t="n">
        <f aca="false">AL993*評分方法!$C$12</f>
        <v>0</v>
      </c>
      <c r="Q993" s="6" t="n">
        <v>832402</v>
      </c>
      <c r="R993" s="6" t="n">
        <v>3402836480</v>
      </c>
      <c r="S993" s="11" t="s">
        <v>254</v>
      </c>
      <c r="T993" s="11" t="s">
        <v>239</v>
      </c>
      <c r="U993" s="5" t="s">
        <v>240</v>
      </c>
      <c r="V993" s="11" t="s">
        <v>333</v>
      </c>
      <c r="W993" s="5" t="s">
        <v>334</v>
      </c>
      <c r="X993" s="5" t="s">
        <v>242</v>
      </c>
      <c r="Y993" s="11" t="s">
        <v>420</v>
      </c>
      <c r="Z993" s="11" t="s">
        <v>270</v>
      </c>
      <c r="AA993" s="11" t="s">
        <v>155</v>
      </c>
      <c r="AB993" s="5" t="s">
        <v>245</v>
      </c>
      <c r="AC993" s="5"/>
      <c r="AD993" s="11" t="s">
        <v>2528</v>
      </c>
      <c r="AE993" s="23" t="n">
        <v>0.85</v>
      </c>
      <c r="AF993" s="23" t="n">
        <v>0</v>
      </c>
      <c r="AG993" s="23" t="n">
        <v>0.33</v>
      </c>
      <c r="AH993" s="23" t="n">
        <v>0.87</v>
      </c>
      <c r="AI993" s="23" t="n">
        <v>1</v>
      </c>
      <c r="AJ993" s="23" t="n">
        <v>0.6768</v>
      </c>
      <c r="AK993" s="23" t="n">
        <v>1</v>
      </c>
      <c r="AL993" s="23" t="n">
        <v>0</v>
      </c>
      <c r="AM993" s="16" t="n">
        <f aca="false">COUNTIFS($D$2:$D$2501,D993,$G$2:$G$2501,"&gt;"&amp;G993)+COUNTIFS($D$2:D993,D993,$G$2:G993,G993)</f>
        <v>423</v>
      </c>
      <c r="AN993" s="5" t="str">
        <f aca="false">D993&amp;"|"&amp;AM993</f>
        <v>分析與報告生成|423</v>
      </c>
    </row>
    <row r="994" customFormat="false" ht="17.15" hidden="false" customHeight="false" outlineLevel="0" collapsed="false">
      <c r="A994" s="16" t="n">
        <f aca="false">RANK(G994,$G$2:$G$2501)+COUNTIF($G$2:G994,G994)-1</f>
        <v>993</v>
      </c>
      <c r="B994" s="11" t="s">
        <v>2529</v>
      </c>
      <c r="C994" s="11" t="s">
        <v>402</v>
      </c>
      <c r="D994" s="5" t="s">
        <v>58</v>
      </c>
      <c r="E994" s="5" t="s">
        <v>59</v>
      </c>
      <c r="F994" s="5"/>
      <c r="G994" s="22" t="n">
        <f aca="false">ROUND(SUM(I994:P994),3)</f>
        <v>65.258</v>
      </c>
      <c r="H994" s="5" t="str">
        <f aca="false">IF(G994&gt;=評分方法!$C$16,"優先評估",IF(G994&gt;=評分方法!$C$17,"列入候選",IF(G994&gt;=評分方法!$C$18,"特定情境","不建議")))</f>
        <v>特定情境</v>
      </c>
      <c r="I994" s="15" t="n">
        <f aca="false">AE994*評分方法!$C$5</f>
        <v>28.5</v>
      </c>
      <c r="J994" s="15" t="n">
        <f aca="false">AF994*評分方法!$C$6</f>
        <v>0</v>
      </c>
      <c r="K994" s="15" t="n">
        <f aca="false">AG994*評分方法!$C$7</f>
        <v>4.95</v>
      </c>
      <c r="L994" s="15" t="n">
        <f aca="false">AH994*評分方法!$C$8</f>
        <v>15</v>
      </c>
      <c r="M994" s="15" t="n">
        <f aca="false">AI994*評分方法!$C$9</f>
        <v>10</v>
      </c>
      <c r="N994" s="15" t="n">
        <f aca="false">AJ994*評分方法!$C$10</f>
        <v>4.308</v>
      </c>
      <c r="O994" s="15" t="n">
        <f aca="false">AK994*評分方法!$C$11</f>
        <v>2.5</v>
      </c>
      <c r="P994" s="15" t="n">
        <f aca="false">AL994*評分方法!$C$12</f>
        <v>0</v>
      </c>
      <c r="Q994" s="6" t="n">
        <v>475515</v>
      </c>
      <c r="R994" s="6" t="n">
        <v>334103563</v>
      </c>
      <c r="S994" s="11" t="s">
        <v>238</v>
      </c>
      <c r="T994" s="11" t="s">
        <v>239</v>
      </c>
      <c r="U994" s="5" t="s">
        <v>240</v>
      </c>
      <c r="V994" s="11" t="s">
        <v>261</v>
      </c>
      <c r="W994" s="5" t="s">
        <v>334</v>
      </c>
      <c r="X994" s="5" t="s">
        <v>242</v>
      </c>
      <c r="Y994" s="5"/>
      <c r="Z994" s="5"/>
      <c r="AA994" s="11" t="s">
        <v>150</v>
      </c>
      <c r="AB994" s="5" t="s">
        <v>245</v>
      </c>
      <c r="AC994" s="5"/>
      <c r="AD994" s="11" t="s">
        <v>2530</v>
      </c>
      <c r="AE994" s="23" t="n">
        <v>0.95</v>
      </c>
      <c r="AF994" s="23" t="n">
        <v>0</v>
      </c>
      <c r="AG994" s="23" t="n">
        <v>0.33</v>
      </c>
      <c r="AH994" s="23" t="n">
        <v>1</v>
      </c>
      <c r="AI994" s="23" t="n">
        <v>1</v>
      </c>
      <c r="AJ994" s="23" t="n">
        <v>0.4308</v>
      </c>
      <c r="AK994" s="23" t="n">
        <v>0.5</v>
      </c>
      <c r="AL994" s="23" t="n">
        <v>0</v>
      </c>
      <c r="AM994" s="16" t="n">
        <f aca="false">COUNTIFS($D$2:$D$2501,D994,$G$2:$G$2501,"&gt;"&amp;G994)+COUNTIFS($D$2:D994,D994,$G$2:G994,G994)</f>
        <v>271</v>
      </c>
      <c r="AN994" s="5" t="str">
        <f aca="false">D994&amp;"|"&amp;AM994</f>
        <v>實體擷取與去識別化|271</v>
      </c>
    </row>
    <row r="995" customFormat="false" ht="17.15" hidden="false" customHeight="false" outlineLevel="0" collapsed="false">
      <c r="A995" s="16" t="n">
        <f aca="false">RANK(G995,$G$2:$G$2501)+COUNTIF($G$2:G995,G995)-1</f>
        <v>994</v>
      </c>
      <c r="B995" s="11" t="s">
        <v>2531</v>
      </c>
      <c r="C995" s="11" t="s">
        <v>402</v>
      </c>
      <c r="D995" s="5" t="s">
        <v>58</v>
      </c>
      <c r="E995" s="5" t="s">
        <v>59</v>
      </c>
      <c r="F995" s="5"/>
      <c r="G995" s="22" t="n">
        <f aca="false">ROUND(SUM(I995:P995),3)</f>
        <v>65.246</v>
      </c>
      <c r="H995" s="5" t="str">
        <f aca="false">IF(G995&gt;=評分方法!$C$16,"優先評估",IF(G995&gt;=評分方法!$C$17,"列入候選",IF(G995&gt;=評分方法!$C$18,"特定情境","不建議")))</f>
        <v>特定情境</v>
      </c>
      <c r="I995" s="15" t="n">
        <f aca="false">AE995*評分方法!$C$5</f>
        <v>28.5</v>
      </c>
      <c r="J995" s="15" t="n">
        <f aca="false">AF995*評分方法!$C$6</f>
        <v>0</v>
      </c>
      <c r="K995" s="15" t="n">
        <f aca="false">AG995*評分方法!$C$7</f>
        <v>4.95</v>
      </c>
      <c r="L995" s="15" t="n">
        <f aca="false">AH995*評分方法!$C$8</f>
        <v>15</v>
      </c>
      <c r="M995" s="15" t="n">
        <f aca="false">AI995*評分方法!$C$9</f>
        <v>10</v>
      </c>
      <c r="N995" s="15" t="n">
        <f aca="false">AJ995*評分方法!$C$10</f>
        <v>4.296</v>
      </c>
      <c r="O995" s="15" t="n">
        <f aca="false">AK995*評分方法!$C$11</f>
        <v>2.5</v>
      </c>
      <c r="P995" s="15" t="n">
        <f aca="false">AL995*評分方法!$C$12</f>
        <v>0</v>
      </c>
      <c r="Q995" s="6" t="n">
        <v>473255</v>
      </c>
      <c r="R995" s="6" t="n">
        <v>66365187</v>
      </c>
      <c r="S995" s="11" t="s">
        <v>238</v>
      </c>
      <c r="T995" s="11" t="s">
        <v>239</v>
      </c>
      <c r="U995" s="5" t="s">
        <v>240</v>
      </c>
      <c r="V995" s="11" t="s">
        <v>261</v>
      </c>
      <c r="W995" s="5" t="s">
        <v>334</v>
      </c>
      <c r="X995" s="5" t="s">
        <v>242</v>
      </c>
      <c r="Y995" s="5"/>
      <c r="Z995" s="5"/>
      <c r="AA995" s="11" t="s">
        <v>150</v>
      </c>
      <c r="AB995" s="5" t="s">
        <v>245</v>
      </c>
      <c r="AC995" s="5"/>
      <c r="AD995" s="11" t="s">
        <v>2532</v>
      </c>
      <c r="AE995" s="23" t="n">
        <v>0.95</v>
      </c>
      <c r="AF995" s="23" t="n">
        <v>0</v>
      </c>
      <c r="AG995" s="23" t="n">
        <v>0.33</v>
      </c>
      <c r="AH995" s="23" t="n">
        <v>1</v>
      </c>
      <c r="AI995" s="23" t="n">
        <v>1</v>
      </c>
      <c r="AJ995" s="23" t="n">
        <v>0.4296</v>
      </c>
      <c r="AK995" s="23" t="n">
        <v>0.5</v>
      </c>
      <c r="AL995" s="23" t="n">
        <v>0</v>
      </c>
      <c r="AM995" s="16" t="n">
        <f aca="false">COUNTIFS($D$2:$D$2501,D995,$G$2:$G$2501,"&gt;"&amp;G995)+COUNTIFS($D$2:D995,D995,$G$2:G995,G995)</f>
        <v>272</v>
      </c>
      <c r="AN995" s="5" t="str">
        <f aca="false">D995&amp;"|"&amp;AM995</f>
        <v>實體擷取與去識別化|272</v>
      </c>
    </row>
    <row r="996" customFormat="false" ht="17.15" hidden="false" customHeight="false" outlineLevel="0" collapsed="false">
      <c r="A996" s="16" t="n">
        <f aca="false">RANK(G996,$G$2:$G$2501)+COUNTIF($G$2:G996,G996)-1</f>
        <v>995</v>
      </c>
      <c r="B996" s="11" t="s">
        <v>2533</v>
      </c>
      <c r="C996" s="11" t="s">
        <v>402</v>
      </c>
      <c r="D996" s="5" t="s">
        <v>58</v>
      </c>
      <c r="E996" s="5" t="s">
        <v>59</v>
      </c>
      <c r="F996" s="5"/>
      <c r="G996" s="22" t="n">
        <f aca="false">ROUND(SUM(I996:P996),3)</f>
        <v>65.242</v>
      </c>
      <c r="H996" s="5" t="str">
        <f aca="false">IF(G996&gt;=評分方法!$C$16,"優先評估",IF(G996&gt;=評分方法!$C$17,"列入候選",IF(G996&gt;=評分方法!$C$18,"特定情境","不建議")))</f>
        <v>特定情境</v>
      </c>
      <c r="I996" s="15" t="n">
        <f aca="false">AE996*評分方法!$C$5</f>
        <v>28.5</v>
      </c>
      <c r="J996" s="15" t="n">
        <f aca="false">AF996*評分方法!$C$6</f>
        <v>0</v>
      </c>
      <c r="K996" s="15" t="n">
        <f aca="false">AG996*評分方法!$C$7</f>
        <v>4.95</v>
      </c>
      <c r="L996" s="15" t="n">
        <f aca="false">AH996*評分方法!$C$8</f>
        <v>15</v>
      </c>
      <c r="M996" s="15" t="n">
        <f aca="false">AI996*評分方法!$C$9</f>
        <v>10</v>
      </c>
      <c r="N996" s="15" t="n">
        <f aca="false">AJ996*評分方法!$C$10</f>
        <v>4.292</v>
      </c>
      <c r="O996" s="15" t="n">
        <f aca="false">AK996*評分方法!$C$11</f>
        <v>2.5</v>
      </c>
      <c r="P996" s="15" t="n">
        <f aca="false">AL996*評分方法!$C$12</f>
        <v>0</v>
      </c>
      <c r="Q996" s="6" t="n">
        <v>473140</v>
      </c>
      <c r="R996" s="6" t="n">
        <v>107721987</v>
      </c>
      <c r="S996" s="11" t="s">
        <v>238</v>
      </c>
      <c r="T996" s="11" t="s">
        <v>239</v>
      </c>
      <c r="U996" s="5" t="s">
        <v>240</v>
      </c>
      <c r="V996" s="11" t="s">
        <v>261</v>
      </c>
      <c r="W996" s="5" t="s">
        <v>334</v>
      </c>
      <c r="X996" s="5" t="s">
        <v>242</v>
      </c>
      <c r="Y996" s="5"/>
      <c r="Z996" s="5"/>
      <c r="AA996" s="11" t="s">
        <v>150</v>
      </c>
      <c r="AB996" s="5" t="s">
        <v>245</v>
      </c>
      <c r="AC996" s="5"/>
      <c r="AD996" s="11" t="s">
        <v>2534</v>
      </c>
      <c r="AE996" s="23" t="n">
        <v>0.95</v>
      </c>
      <c r="AF996" s="23" t="n">
        <v>0</v>
      </c>
      <c r="AG996" s="23" t="n">
        <v>0.33</v>
      </c>
      <c r="AH996" s="23" t="n">
        <v>1</v>
      </c>
      <c r="AI996" s="23" t="n">
        <v>1</v>
      </c>
      <c r="AJ996" s="23" t="n">
        <v>0.4292</v>
      </c>
      <c r="AK996" s="23" t="n">
        <v>0.5</v>
      </c>
      <c r="AL996" s="23" t="n">
        <v>0</v>
      </c>
      <c r="AM996" s="16" t="n">
        <f aca="false">COUNTIFS($D$2:$D$2501,D996,$G$2:$G$2501,"&gt;"&amp;G996)+COUNTIFS($D$2:D996,D996,$G$2:G996,G996)</f>
        <v>273</v>
      </c>
      <c r="AN996" s="5" t="str">
        <f aca="false">D996&amp;"|"&amp;AM996</f>
        <v>實體擷取與去識別化|273</v>
      </c>
    </row>
    <row r="997" customFormat="false" ht="17.15" hidden="false" customHeight="false" outlineLevel="0" collapsed="false">
      <c r="A997" s="16" t="n">
        <f aca="false">RANK(G997,$G$2:$G$2501)+COUNTIF($G$2:G997,G997)-1</f>
        <v>996</v>
      </c>
      <c r="B997" s="11" t="s">
        <v>2535</v>
      </c>
      <c r="C997" s="11" t="s">
        <v>2536</v>
      </c>
      <c r="D997" s="5" t="s">
        <v>56</v>
      </c>
      <c r="E997" s="5" t="s">
        <v>57</v>
      </c>
      <c r="F997" s="5"/>
      <c r="G997" s="22" t="n">
        <f aca="false">ROUND(SUM(I997:P997),3)</f>
        <v>65.234</v>
      </c>
      <c r="H997" s="5" t="str">
        <f aca="false">IF(G997&gt;=評分方法!$C$16,"優先評估",IF(G997&gt;=評分方法!$C$17,"列入候選",IF(G997&gt;=評分方法!$C$18,"特定情境","不建議")))</f>
        <v>特定情境</v>
      </c>
      <c r="I997" s="15" t="n">
        <f aca="false">AE997*評分方法!$C$5</f>
        <v>25.5</v>
      </c>
      <c r="J997" s="15" t="n">
        <f aca="false">AF997*評分方法!$C$6</f>
        <v>0</v>
      </c>
      <c r="K997" s="15" t="n">
        <f aca="false">AG997*評分方法!$C$7</f>
        <v>4.95</v>
      </c>
      <c r="L997" s="15" t="n">
        <f aca="false">AH997*評分方法!$C$8</f>
        <v>9</v>
      </c>
      <c r="M997" s="15" t="n">
        <f aca="false">AI997*評分方法!$C$9</f>
        <v>10</v>
      </c>
      <c r="N997" s="15" t="n">
        <f aca="false">AJ997*評分方法!$C$10</f>
        <v>7.784</v>
      </c>
      <c r="O997" s="15" t="n">
        <f aca="false">AK997*評分方法!$C$11</f>
        <v>5</v>
      </c>
      <c r="P997" s="15" t="n">
        <f aca="false">AL997*評分方法!$C$12</f>
        <v>3</v>
      </c>
      <c r="Q997" s="6" t="n">
        <v>1364650</v>
      </c>
      <c r="R997" s="6" t="n">
        <v>27854794240</v>
      </c>
      <c r="S997" s="11" t="s">
        <v>389</v>
      </c>
      <c r="T997" s="11" t="s">
        <v>239</v>
      </c>
      <c r="U997" s="5" t="s">
        <v>240</v>
      </c>
      <c r="V997" s="11" t="s">
        <v>333</v>
      </c>
      <c r="W997" s="5" t="s">
        <v>334</v>
      </c>
      <c r="X997" s="5" t="s">
        <v>371</v>
      </c>
      <c r="Y997" s="11" t="s">
        <v>1265</v>
      </c>
      <c r="Z997" s="11" t="s">
        <v>244</v>
      </c>
      <c r="AA997" s="11" t="s">
        <v>156</v>
      </c>
      <c r="AB997" s="5" t="s">
        <v>245</v>
      </c>
      <c r="AC997" s="5" t="s">
        <v>246</v>
      </c>
      <c r="AD997" s="11" t="s">
        <v>2537</v>
      </c>
      <c r="AE997" s="23" t="n">
        <v>0.85</v>
      </c>
      <c r="AF997" s="23" t="n">
        <v>0</v>
      </c>
      <c r="AG997" s="23" t="n">
        <v>0.33</v>
      </c>
      <c r="AH997" s="23" t="n">
        <v>0.6</v>
      </c>
      <c r="AI997" s="23" t="n">
        <v>1</v>
      </c>
      <c r="AJ997" s="23" t="n">
        <v>0.7784</v>
      </c>
      <c r="AK997" s="23" t="n">
        <v>1</v>
      </c>
      <c r="AL997" s="23" t="n">
        <v>0.6</v>
      </c>
      <c r="AM997" s="16" t="n">
        <f aca="false">COUNTIFS($D$2:$D$2501,D997,$G$2:$G$2501,"&gt;"&amp;G997)+COUNTIFS($D$2:D997,D997,$G$2:G997,G997)</f>
        <v>424</v>
      </c>
      <c r="AN997" s="5" t="str">
        <f aca="false">D997&amp;"|"&amp;AM997</f>
        <v>分析與報告生成|424</v>
      </c>
    </row>
    <row r="998" customFormat="false" ht="17.15" hidden="false" customHeight="false" outlineLevel="0" collapsed="false">
      <c r="A998" s="16" t="n">
        <f aca="false">RANK(G998,$G$2:$G$2501)+COUNTIF($G$2:G998,G998)-1</f>
        <v>997</v>
      </c>
      <c r="B998" s="11" t="s">
        <v>2538</v>
      </c>
      <c r="C998" s="11" t="s">
        <v>402</v>
      </c>
      <c r="D998" s="5" t="s">
        <v>58</v>
      </c>
      <c r="E998" s="5" t="s">
        <v>59</v>
      </c>
      <c r="F998" s="5"/>
      <c r="G998" s="22" t="n">
        <f aca="false">ROUND(SUM(I998:P998),3)</f>
        <v>65.23</v>
      </c>
      <c r="H998" s="5" t="str">
        <f aca="false">IF(G998&gt;=評分方法!$C$16,"優先評估",IF(G998&gt;=評分方法!$C$17,"列入候選",IF(G998&gt;=評分方法!$C$18,"特定情境","不建議")))</f>
        <v>特定情境</v>
      </c>
      <c r="I998" s="15" t="n">
        <f aca="false">AE998*評分方法!$C$5</f>
        <v>28.5</v>
      </c>
      <c r="J998" s="15" t="n">
        <f aca="false">AF998*評分方法!$C$6</f>
        <v>0</v>
      </c>
      <c r="K998" s="15" t="n">
        <f aca="false">AG998*評分方法!$C$7</f>
        <v>4.95</v>
      </c>
      <c r="L998" s="15" t="n">
        <f aca="false">AH998*評分方法!$C$8</f>
        <v>15</v>
      </c>
      <c r="M998" s="15" t="n">
        <f aca="false">AI998*評分方法!$C$9</f>
        <v>10</v>
      </c>
      <c r="N998" s="15" t="n">
        <f aca="false">AJ998*評分方法!$C$10</f>
        <v>4.28</v>
      </c>
      <c r="O998" s="15" t="n">
        <f aca="false">AK998*評分方法!$C$11</f>
        <v>2.5</v>
      </c>
      <c r="P998" s="15" t="n">
        <f aca="false">AL998*評分方法!$C$12</f>
        <v>0</v>
      </c>
      <c r="Q998" s="6" t="n">
        <v>472478</v>
      </c>
      <c r="R998" s="6" t="n">
        <v>395842571</v>
      </c>
      <c r="S998" s="11" t="s">
        <v>238</v>
      </c>
      <c r="T998" s="11" t="s">
        <v>239</v>
      </c>
      <c r="U998" s="5" t="s">
        <v>240</v>
      </c>
      <c r="V998" s="11" t="s">
        <v>261</v>
      </c>
      <c r="W998" s="5" t="s">
        <v>334</v>
      </c>
      <c r="X998" s="5" t="s">
        <v>242</v>
      </c>
      <c r="Y998" s="5"/>
      <c r="Z998" s="5"/>
      <c r="AA998" s="11" t="s">
        <v>150</v>
      </c>
      <c r="AB998" s="5" t="s">
        <v>245</v>
      </c>
      <c r="AC998" s="5"/>
      <c r="AD998" s="11" t="s">
        <v>2539</v>
      </c>
      <c r="AE998" s="23" t="n">
        <v>0.95</v>
      </c>
      <c r="AF998" s="23" t="n">
        <v>0</v>
      </c>
      <c r="AG998" s="23" t="n">
        <v>0.33</v>
      </c>
      <c r="AH998" s="23" t="n">
        <v>1</v>
      </c>
      <c r="AI998" s="23" t="n">
        <v>1</v>
      </c>
      <c r="AJ998" s="23" t="n">
        <v>0.428</v>
      </c>
      <c r="AK998" s="23" t="n">
        <v>0.5</v>
      </c>
      <c r="AL998" s="23" t="n">
        <v>0</v>
      </c>
      <c r="AM998" s="16" t="n">
        <f aca="false">COUNTIFS($D$2:$D$2501,D998,$G$2:$G$2501,"&gt;"&amp;G998)+COUNTIFS($D$2:D998,D998,$G$2:G998,G998)</f>
        <v>274</v>
      </c>
      <c r="AN998" s="5" t="str">
        <f aca="false">D998&amp;"|"&amp;AM998</f>
        <v>實體擷取與去識別化|274</v>
      </c>
    </row>
    <row r="999" customFormat="false" ht="17.15" hidden="false" customHeight="false" outlineLevel="0" collapsed="false">
      <c r="A999" s="16" t="n">
        <f aca="false">RANK(G999,$G$2:$G$2501)+COUNTIF($G$2:G999,G999)-1</f>
        <v>998</v>
      </c>
      <c r="B999" s="11" t="s">
        <v>2540</v>
      </c>
      <c r="C999" s="11" t="s">
        <v>402</v>
      </c>
      <c r="D999" s="5" t="s">
        <v>58</v>
      </c>
      <c r="E999" s="5" t="s">
        <v>59</v>
      </c>
      <c r="F999" s="5"/>
      <c r="G999" s="22" t="n">
        <f aca="false">ROUND(SUM(I999:P999),3)</f>
        <v>65.226</v>
      </c>
      <c r="H999" s="5" t="str">
        <f aca="false">IF(G999&gt;=評分方法!$C$16,"優先評估",IF(G999&gt;=評分方法!$C$17,"列入候選",IF(G999&gt;=評分方法!$C$18,"特定情境","不建議")))</f>
        <v>特定情境</v>
      </c>
      <c r="I999" s="15" t="n">
        <f aca="false">AE999*評分方法!$C$5</f>
        <v>28.5</v>
      </c>
      <c r="J999" s="15" t="n">
        <f aca="false">AF999*評分方法!$C$6</f>
        <v>0</v>
      </c>
      <c r="K999" s="15" t="n">
        <f aca="false">AG999*評分方法!$C$7</f>
        <v>4.95</v>
      </c>
      <c r="L999" s="15" t="n">
        <f aca="false">AH999*評分方法!$C$8</f>
        <v>15</v>
      </c>
      <c r="M999" s="15" t="n">
        <f aca="false">AI999*評分方法!$C$9</f>
        <v>10</v>
      </c>
      <c r="N999" s="15" t="n">
        <f aca="false">AJ999*評分方法!$C$10</f>
        <v>4.276</v>
      </c>
      <c r="O999" s="15" t="n">
        <f aca="false">AK999*評分方法!$C$11</f>
        <v>2.5</v>
      </c>
      <c r="P999" s="15" t="n">
        <f aca="false">AL999*評分方法!$C$12</f>
        <v>0</v>
      </c>
      <c r="Q999" s="6" t="n">
        <v>472291</v>
      </c>
      <c r="R999" s="6" t="n">
        <v>334103563</v>
      </c>
      <c r="S999" s="11" t="s">
        <v>238</v>
      </c>
      <c r="T999" s="11" t="s">
        <v>239</v>
      </c>
      <c r="U999" s="5" t="s">
        <v>240</v>
      </c>
      <c r="V999" s="11" t="s">
        <v>261</v>
      </c>
      <c r="W999" s="5" t="s">
        <v>334</v>
      </c>
      <c r="X999" s="5" t="s">
        <v>242</v>
      </c>
      <c r="Y999" s="5"/>
      <c r="Z999" s="5"/>
      <c r="AA999" s="11" t="s">
        <v>150</v>
      </c>
      <c r="AB999" s="5" t="s">
        <v>245</v>
      </c>
      <c r="AC999" s="5"/>
      <c r="AD999" s="11" t="s">
        <v>2541</v>
      </c>
      <c r="AE999" s="23" t="n">
        <v>0.95</v>
      </c>
      <c r="AF999" s="23" t="n">
        <v>0</v>
      </c>
      <c r="AG999" s="23" t="n">
        <v>0.33</v>
      </c>
      <c r="AH999" s="23" t="n">
        <v>1</v>
      </c>
      <c r="AI999" s="23" t="n">
        <v>1</v>
      </c>
      <c r="AJ999" s="23" t="n">
        <v>0.4276</v>
      </c>
      <c r="AK999" s="23" t="n">
        <v>0.5</v>
      </c>
      <c r="AL999" s="23" t="n">
        <v>0</v>
      </c>
      <c r="AM999" s="16" t="n">
        <f aca="false">COUNTIFS($D$2:$D$2501,D999,$G$2:$G$2501,"&gt;"&amp;G999)+COUNTIFS($D$2:D999,D999,$G$2:G999,G999)</f>
        <v>275</v>
      </c>
      <c r="AN999" s="5" t="str">
        <f aca="false">D999&amp;"|"&amp;AM999</f>
        <v>實體擷取與去識別化|275</v>
      </c>
    </row>
    <row r="1000" customFormat="false" ht="17.15" hidden="false" customHeight="false" outlineLevel="0" collapsed="false">
      <c r="A1000" s="16" t="n">
        <f aca="false">RANK(G1000,$G$2:$G$2501)+COUNTIF($G$2:G1000,G1000)-1</f>
        <v>999</v>
      </c>
      <c r="B1000" s="11" t="s">
        <v>2542</v>
      </c>
      <c r="C1000" s="11" t="s">
        <v>402</v>
      </c>
      <c r="D1000" s="5" t="s">
        <v>58</v>
      </c>
      <c r="E1000" s="5" t="s">
        <v>59</v>
      </c>
      <c r="F1000" s="5"/>
      <c r="G1000" s="22" t="n">
        <f aca="false">ROUND(SUM(I1000:P1000),3)</f>
        <v>65.222</v>
      </c>
      <c r="H1000" s="5" t="str">
        <f aca="false">IF(G1000&gt;=評分方法!$C$16,"優先評估",IF(G1000&gt;=評分方法!$C$17,"列入候選",IF(G1000&gt;=評分方法!$C$18,"特定情境","不建議")))</f>
        <v>特定情境</v>
      </c>
      <c r="I1000" s="15" t="n">
        <f aca="false">AE1000*評分方法!$C$5</f>
        <v>28.5</v>
      </c>
      <c r="J1000" s="15" t="n">
        <f aca="false">AF1000*評分方法!$C$6</f>
        <v>0</v>
      </c>
      <c r="K1000" s="15" t="n">
        <f aca="false">AG1000*評分方法!$C$7</f>
        <v>4.95</v>
      </c>
      <c r="L1000" s="15" t="n">
        <f aca="false">AH1000*評分方法!$C$8</f>
        <v>15</v>
      </c>
      <c r="M1000" s="15" t="n">
        <f aca="false">AI1000*評分方法!$C$9</f>
        <v>10</v>
      </c>
      <c r="N1000" s="15" t="n">
        <f aca="false">AJ1000*評分方法!$C$10</f>
        <v>4.272</v>
      </c>
      <c r="O1000" s="15" t="n">
        <f aca="false">AK1000*評分方法!$C$11</f>
        <v>2.5</v>
      </c>
      <c r="P1000" s="15" t="n">
        <f aca="false">AL1000*評分方法!$C$12</f>
        <v>0</v>
      </c>
      <c r="Q1000" s="6" t="n">
        <v>471451</v>
      </c>
      <c r="R1000" s="6" t="n">
        <v>395865121</v>
      </c>
      <c r="S1000" s="11" t="s">
        <v>238</v>
      </c>
      <c r="T1000" s="11" t="s">
        <v>239</v>
      </c>
      <c r="U1000" s="5" t="s">
        <v>240</v>
      </c>
      <c r="V1000" s="11" t="s">
        <v>261</v>
      </c>
      <c r="W1000" s="5" t="s">
        <v>334</v>
      </c>
      <c r="X1000" s="5" t="s">
        <v>242</v>
      </c>
      <c r="Y1000" s="5"/>
      <c r="Z1000" s="5"/>
      <c r="AA1000" s="11" t="s">
        <v>150</v>
      </c>
      <c r="AB1000" s="5" t="s">
        <v>245</v>
      </c>
      <c r="AC1000" s="5"/>
      <c r="AD1000" s="11" t="s">
        <v>2543</v>
      </c>
      <c r="AE1000" s="23" t="n">
        <v>0.95</v>
      </c>
      <c r="AF1000" s="23" t="n">
        <v>0</v>
      </c>
      <c r="AG1000" s="23" t="n">
        <v>0.33</v>
      </c>
      <c r="AH1000" s="23" t="n">
        <v>1</v>
      </c>
      <c r="AI1000" s="23" t="n">
        <v>1</v>
      </c>
      <c r="AJ1000" s="23" t="n">
        <v>0.4272</v>
      </c>
      <c r="AK1000" s="23" t="n">
        <v>0.5</v>
      </c>
      <c r="AL1000" s="23" t="n">
        <v>0</v>
      </c>
      <c r="AM1000" s="16" t="n">
        <f aca="false">COUNTIFS($D$2:$D$2501,D1000,$G$2:$G$2501,"&gt;"&amp;G1000)+COUNTIFS($D$2:D1000,D1000,$G$2:G1000,G1000)</f>
        <v>276</v>
      </c>
      <c r="AN1000" s="5" t="str">
        <f aca="false">D1000&amp;"|"&amp;AM1000</f>
        <v>實體擷取與去識別化|276</v>
      </c>
    </row>
    <row r="1001" customFormat="false" ht="17.15" hidden="false" customHeight="false" outlineLevel="0" collapsed="false">
      <c r="A1001" s="16" t="n">
        <f aca="false">RANK(G1001,$G$2:$G$2501)+COUNTIF($G$2:G1001,G1001)-1</f>
        <v>1000</v>
      </c>
      <c r="B1001" s="11" t="s">
        <v>2544</v>
      </c>
      <c r="C1001" s="11" t="s">
        <v>402</v>
      </c>
      <c r="D1001" s="5" t="s">
        <v>58</v>
      </c>
      <c r="E1001" s="5" t="s">
        <v>59</v>
      </c>
      <c r="F1001" s="5"/>
      <c r="G1001" s="22" t="n">
        <f aca="false">ROUND(SUM(I1001:P1001),3)</f>
        <v>65.214</v>
      </c>
      <c r="H1001" s="5" t="str">
        <f aca="false">IF(G1001&gt;=評分方法!$C$16,"優先評估",IF(G1001&gt;=評分方法!$C$17,"列入候選",IF(G1001&gt;=評分方法!$C$18,"特定情境","不建議")))</f>
        <v>特定情境</v>
      </c>
      <c r="I1001" s="15" t="n">
        <f aca="false">AE1001*評分方法!$C$5</f>
        <v>28.5</v>
      </c>
      <c r="J1001" s="15" t="n">
        <f aca="false">AF1001*評分方法!$C$6</f>
        <v>0</v>
      </c>
      <c r="K1001" s="15" t="n">
        <f aca="false">AG1001*評分方法!$C$7</f>
        <v>4.95</v>
      </c>
      <c r="L1001" s="15" t="n">
        <f aca="false">AH1001*評分方法!$C$8</f>
        <v>15</v>
      </c>
      <c r="M1001" s="15" t="n">
        <f aca="false">AI1001*評分方法!$C$9</f>
        <v>10</v>
      </c>
      <c r="N1001" s="15" t="n">
        <f aca="false">AJ1001*評分方法!$C$10</f>
        <v>4.264</v>
      </c>
      <c r="O1001" s="15" t="n">
        <f aca="false">AK1001*評分方法!$C$11</f>
        <v>2.5</v>
      </c>
      <c r="P1001" s="15" t="n">
        <f aca="false">AL1001*評分方法!$C$12</f>
        <v>0</v>
      </c>
      <c r="Q1001" s="6" t="n">
        <v>470149</v>
      </c>
      <c r="R1001" s="6" t="n">
        <v>183840011</v>
      </c>
      <c r="S1001" s="11" t="s">
        <v>238</v>
      </c>
      <c r="T1001" s="11" t="s">
        <v>239</v>
      </c>
      <c r="U1001" s="5" t="s">
        <v>240</v>
      </c>
      <c r="V1001" s="11" t="s">
        <v>261</v>
      </c>
      <c r="W1001" s="5" t="s">
        <v>334</v>
      </c>
      <c r="X1001" s="5" t="s">
        <v>242</v>
      </c>
      <c r="Y1001" s="5"/>
      <c r="Z1001" s="5"/>
      <c r="AA1001" s="11" t="s">
        <v>150</v>
      </c>
      <c r="AB1001" s="5" t="s">
        <v>245</v>
      </c>
      <c r="AC1001" s="5"/>
      <c r="AD1001" s="11" t="s">
        <v>2545</v>
      </c>
      <c r="AE1001" s="23" t="n">
        <v>0.95</v>
      </c>
      <c r="AF1001" s="23" t="n">
        <v>0</v>
      </c>
      <c r="AG1001" s="23" t="n">
        <v>0.33</v>
      </c>
      <c r="AH1001" s="23" t="n">
        <v>1</v>
      </c>
      <c r="AI1001" s="23" t="n">
        <v>1</v>
      </c>
      <c r="AJ1001" s="23" t="n">
        <v>0.4264</v>
      </c>
      <c r="AK1001" s="23" t="n">
        <v>0.5</v>
      </c>
      <c r="AL1001" s="23" t="n">
        <v>0</v>
      </c>
      <c r="AM1001" s="16" t="n">
        <f aca="false">COUNTIFS($D$2:$D$2501,D1001,$G$2:$G$2501,"&gt;"&amp;G1001)+COUNTIFS($D$2:D1001,D1001,$G$2:G1001,G1001)</f>
        <v>277</v>
      </c>
      <c r="AN1001" s="5" t="str">
        <f aca="false">D1001&amp;"|"&amp;AM1001</f>
        <v>實體擷取與去識別化|277</v>
      </c>
    </row>
    <row r="1002" customFormat="false" ht="17.15" hidden="false" customHeight="false" outlineLevel="0" collapsed="false">
      <c r="A1002" s="16" t="n">
        <f aca="false">RANK(G1002,$G$2:$G$2501)+COUNTIF($G$2:G1002,G1002)-1</f>
        <v>1001</v>
      </c>
      <c r="B1002" s="11" t="s">
        <v>2546</v>
      </c>
      <c r="C1002" s="11" t="s">
        <v>2547</v>
      </c>
      <c r="D1002" s="5" t="s">
        <v>66</v>
      </c>
      <c r="E1002" s="5" t="s">
        <v>67</v>
      </c>
      <c r="F1002" s="5"/>
      <c r="G1002" s="22" t="n">
        <f aca="false">ROUND(SUM(I1002:P1002),3)</f>
        <v>65.206</v>
      </c>
      <c r="H1002" s="5" t="str">
        <f aca="false">IF(G1002&gt;=評分方法!$C$16,"優先評估",IF(G1002&gt;=評分方法!$C$17,"列入候選",IF(G1002&gt;=評分方法!$C$18,"特定情境","不建議")))</f>
        <v>特定情境</v>
      </c>
      <c r="I1002" s="15" t="n">
        <f aca="false">AE1002*評分方法!$C$5</f>
        <v>30</v>
      </c>
      <c r="J1002" s="15" t="n">
        <f aca="false">AF1002*評分方法!$C$6</f>
        <v>0</v>
      </c>
      <c r="K1002" s="15" t="n">
        <f aca="false">AG1002*評分方法!$C$7</f>
        <v>4.95</v>
      </c>
      <c r="L1002" s="15" t="n">
        <f aca="false">AH1002*評分方法!$C$8</f>
        <v>15</v>
      </c>
      <c r="M1002" s="15" t="n">
        <f aca="false">AI1002*評分方法!$C$9</f>
        <v>10</v>
      </c>
      <c r="N1002" s="15" t="n">
        <f aca="false">AJ1002*評分方法!$C$10</f>
        <v>1.256</v>
      </c>
      <c r="O1002" s="15" t="n">
        <f aca="false">AK1002*評分方法!$C$11</f>
        <v>4</v>
      </c>
      <c r="P1002" s="15" t="n">
        <f aca="false">AL1002*評分方法!$C$12</f>
        <v>0</v>
      </c>
      <c r="Q1002" s="6" t="n">
        <v>164597</v>
      </c>
      <c r="R1002" s="6" t="n">
        <v>66955779</v>
      </c>
      <c r="S1002" s="11" t="s">
        <v>238</v>
      </c>
      <c r="T1002" s="11" t="s">
        <v>239</v>
      </c>
      <c r="U1002" s="5" t="s">
        <v>240</v>
      </c>
      <c r="V1002" s="11" t="s">
        <v>261</v>
      </c>
      <c r="W1002" s="5" t="s">
        <v>334</v>
      </c>
      <c r="X1002" s="5" t="s">
        <v>242</v>
      </c>
      <c r="Y1002" s="11" t="s">
        <v>396</v>
      </c>
      <c r="Z1002" s="11" t="s">
        <v>270</v>
      </c>
      <c r="AA1002" s="11" t="s">
        <v>149</v>
      </c>
      <c r="AB1002" s="5" t="s">
        <v>245</v>
      </c>
      <c r="AC1002" s="5"/>
      <c r="AD1002" s="11" t="s">
        <v>2548</v>
      </c>
      <c r="AE1002" s="23" t="n">
        <v>1</v>
      </c>
      <c r="AF1002" s="23" t="n">
        <v>0</v>
      </c>
      <c r="AG1002" s="23" t="n">
        <v>0.33</v>
      </c>
      <c r="AH1002" s="23" t="n">
        <v>1</v>
      </c>
      <c r="AI1002" s="23" t="n">
        <v>1</v>
      </c>
      <c r="AJ1002" s="23" t="n">
        <v>0.1256</v>
      </c>
      <c r="AK1002" s="23" t="n">
        <v>0.8</v>
      </c>
      <c r="AL1002" s="23" t="n">
        <v>0</v>
      </c>
      <c r="AM1002" s="16" t="n">
        <f aca="false">COUNTIFS($D$2:$D$2501,D1002,$G$2:$G$2501,"&gt;"&amp;G1002)+COUNTIFS($D$2:D1002,D1002,$G$2:G1002,G1002)</f>
        <v>27</v>
      </c>
      <c r="AN1002" s="5" t="str">
        <f aca="false">D1002&amp;"|"&amp;AM1002</f>
        <v>分類與偵測|27</v>
      </c>
    </row>
    <row r="1003" customFormat="false" ht="17.15" hidden="false" customHeight="false" outlineLevel="0" collapsed="false">
      <c r="A1003" s="16" t="n">
        <f aca="false">RANK(G1003,$G$2:$G$2501)+COUNTIF($G$2:G1003,G1003)-1</f>
        <v>1002</v>
      </c>
      <c r="B1003" s="11" t="s">
        <v>2549</v>
      </c>
      <c r="C1003" s="11" t="s">
        <v>402</v>
      </c>
      <c r="D1003" s="5" t="s">
        <v>58</v>
      </c>
      <c r="E1003" s="5" t="s">
        <v>59</v>
      </c>
      <c r="F1003" s="5"/>
      <c r="G1003" s="22" t="n">
        <f aca="false">ROUND(SUM(I1003:P1003),3)</f>
        <v>65.198</v>
      </c>
      <c r="H1003" s="5" t="str">
        <f aca="false">IF(G1003&gt;=評分方法!$C$16,"優先評估",IF(G1003&gt;=評分方法!$C$17,"列入候選",IF(G1003&gt;=評分方法!$C$18,"特定情境","不建議")))</f>
        <v>特定情境</v>
      </c>
      <c r="I1003" s="15" t="n">
        <f aca="false">AE1003*評分方法!$C$5</f>
        <v>28.5</v>
      </c>
      <c r="J1003" s="15" t="n">
        <f aca="false">AF1003*評分方法!$C$6</f>
        <v>0</v>
      </c>
      <c r="K1003" s="15" t="n">
        <f aca="false">AG1003*評分方法!$C$7</f>
        <v>4.95</v>
      </c>
      <c r="L1003" s="15" t="n">
        <f aca="false">AH1003*評分方法!$C$8</f>
        <v>15</v>
      </c>
      <c r="M1003" s="15" t="n">
        <f aca="false">AI1003*評分方法!$C$9</f>
        <v>10</v>
      </c>
      <c r="N1003" s="15" t="n">
        <f aca="false">AJ1003*評分方法!$C$10</f>
        <v>4.248</v>
      </c>
      <c r="O1003" s="15" t="n">
        <f aca="false">AK1003*評分方法!$C$11</f>
        <v>2.5</v>
      </c>
      <c r="P1003" s="15" t="n">
        <f aca="false">AL1003*評分方法!$C$12</f>
        <v>0</v>
      </c>
      <c r="Q1003" s="6" t="n">
        <v>467550</v>
      </c>
      <c r="R1003" s="6" t="n">
        <v>33216395</v>
      </c>
      <c r="S1003" s="11" t="s">
        <v>238</v>
      </c>
      <c r="T1003" s="11" t="s">
        <v>239</v>
      </c>
      <c r="U1003" s="5" t="s">
        <v>240</v>
      </c>
      <c r="V1003" s="11" t="s">
        <v>261</v>
      </c>
      <c r="W1003" s="5" t="s">
        <v>334</v>
      </c>
      <c r="X1003" s="5" t="s">
        <v>242</v>
      </c>
      <c r="Y1003" s="5"/>
      <c r="Z1003" s="5"/>
      <c r="AA1003" s="11" t="s">
        <v>150</v>
      </c>
      <c r="AB1003" s="5" t="s">
        <v>245</v>
      </c>
      <c r="AC1003" s="5"/>
      <c r="AD1003" s="11" t="s">
        <v>2550</v>
      </c>
      <c r="AE1003" s="23" t="n">
        <v>0.95</v>
      </c>
      <c r="AF1003" s="23" t="n">
        <v>0</v>
      </c>
      <c r="AG1003" s="23" t="n">
        <v>0.33</v>
      </c>
      <c r="AH1003" s="23" t="n">
        <v>1</v>
      </c>
      <c r="AI1003" s="23" t="n">
        <v>1</v>
      </c>
      <c r="AJ1003" s="23" t="n">
        <v>0.4248</v>
      </c>
      <c r="AK1003" s="23" t="n">
        <v>0.5</v>
      </c>
      <c r="AL1003" s="23" t="n">
        <v>0</v>
      </c>
      <c r="AM1003" s="16" t="n">
        <f aca="false">COUNTIFS($D$2:$D$2501,D1003,$G$2:$G$2501,"&gt;"&amp;G1003)+COUNTIFS($D$2:D1003,D1003,$G$2:G1003,G1003)</f>
        <v>278</v>
      </c>
      <c r="AN1003" s="5" t="str">
        <f aca="false">D1003&amp;"|"&amp;AM1003</f>
        <v>實體擷取與去識別化|278</v>
      </c>
    </row>
    <row r="1004" customFormat="false" ht="17.15" hidden="false" customHeight="false" outlineLevel="0" collapsed="false">
      <c r="A1004" s="16" t="n">
        <f aca="false">RANK(G1004,$G$2:$G$2501)+COUNTIF($G$2:G1004,G1004)-1</f>
        <v>1003</v>
      </c>
      <c r="B1004" s="11" t="s">
        <v>2551</v>
      </c>
      <c r="C1004" s="11" t="s">
        <v>2261</v>
      </c>
      <c r="D1004" s="5" t="s">
        <v>54</v>
      </c>
      <c r="E1004" s="5" t="s">
        <v>55</v>
      </c>
      <c r="F1004" s="5"/>
      <c r="G1004" s="22" t="n">
        <f aca="false">ROUND(SUM(I1004:P1004),3)</f>
        <v>65.178</v>
      </c>
      <c r="H1004" s="5" t="str">
        <f aca="false">IF(G1004&gt;=評分方法!$C$16,"優先評估",IF(G1004&gt;=評分方法!$C$17,"列入候選",IF(G1004&gt;=評分方法!$C$18,"特定情境","不建議")))</f>
        <v>特定情境</v>
      </c>
      <c r="I1004" s="15" t="n">
        <f aca="false">AE1004*評分方法!$C$5</f>
        <v>27</v>
      </c>
      <c r="J1004" s="15" t="n">
        <f aca="false">AF1004*評分方法!$C$6</f>
        <v>0</v>
      </c>
      <c r="K1004" s="15" t="n">
        <f aca="false">AG1004*評分方法!$C$7</f>
        <v>10.05</v>
      </c>
      <c r="L1004" s="15" t="n">
        <f aca="false">AH1004*評分方法!$C$8</f>
        <v>15</v>
      </c>
      <c r="M1004" s="15" t="n">
        <f aca="false">AI1004*評分方法!$C$9</f>
        <v>2</v>
      </c>
      <c r="N1004" s="15" t="n">
        <f aca="false">AJ1004*評分方法!$C$10</f>
        <v>8.628</v>
      </c>
      <c r="O1004" s="15" t="n">
        <f aca="false">AK1004*評分方法!$C$11</f>
        <v>1</v>
      </c>
      <c r="P1004" s="15" t="n">
        <f aca="false">AL1004*評分方法!$C$12</f>
        <v>1.5</v>
      </c>
      <c r="Q1004" s="6" t="n">
        <v>2570573</v>
      </c>
      <c r="R1004" s="6" t="n">
        <v>0</v>
      </c>
      <c r="S1004" s="11" t="s">
        <v>238</v>
      </c>
      <c r="T1004" s="5"/>
      <c r="U1004" s="5" t="s">
        <v>375</v>
      </c>
      <c r="V1004" s="11" t="s">
        <v>261</v>
      </c>
      <c r="W1004" s="5" t="s">
        <v>207</v>
      </c>
      <c r="X1004" s="5" t="s">
        <v>255</v>
      </c>
      <c r="Y1004" s="5"/>
      <c r="Z1004" s="5"/>
      <c r="AA1004" s="11" t="s">
        <v>153</v>
      </c>
      <c r="AB1004" s="5" t="s">
        <v>245</v>
      </c>
      <c r="AC1004" s="5" t="s">
        <v>262</v>
      </c>
      <c r="AD1004" s="11" t="s">
        <v>2552</v>
      </c>
      <c r="AE1004" s="23" t="n">
        <v>0.9</v>
      </c>
      <c r="AF1004" s="23" t="n">
        <v>0</v>
      </c>
      <c r="AG1004" s="23" t="n">
        <v>0.67</v>
      </c>
      <c r="AH1004" s="23" t="n">
        <v>1</v>
      </c>
      <c r="AI1004" s="23" t="n">
        <v>0.2</v>
      </c>
      <c r="AJ1004" s="23" t="n">
        <v>0.8628</v>
      </c>
      <c r="AK1004" s="23" t="n">
        <v>0.2</v>
      </c>
      <c r="AL1004" s="23" t="n">
        <v>0.3</v>
      </c>
      <c r="AM1004" s="16" t="n">
        <f aca="false">COUNTIFS($D$2:$D$2501,D1004,$G$2:$G$2501,"&gt;"&amp;G1004)+COUNTIFS($D$2:D1004,D1004,$G$2:G1004,G1004)</f>
        <v>155</v>
      </c>
      <c r="AN1004" s="5" t="str">
        <f aca="false">D1004&amp;"|"&amp;AM1004</f>
        <v>檢索與情資關聯|155</v>
      </c>
    </row>
    <row r="1005" customFormat="false" ht="17.15" hidden="false" customHeight="false" outlineLevel="0" collapsed="false">
      <c r="A1005" s="16" t="n">
        <f aca="false">RANK(G1005,$G$2:$G$2501)+COUNTIF($G$2:G1005,G1005)-1</f>
        <v>1004</v>
      </c>
      <c r="B1005" s="11" t="s">
        <v>2553</v>
      </c>
      <c r="C1005" s="11" t="s">
        <v>2554</v>
      </c>
      <c r="D1005" s="5" t="s">
        <v>54</v>
      </c>
      <c r="E1005" s="5" t="s">
        <v>55</v>
      </c>
      <c r="F1005" s="5"/>
      <c r="G1005" s="22" t="n">
        <f aca="false">ROUND(SUM(I1005:P1005),3)</f>
        <v>65.174</v>
      </c>
      <c r="H1005" s="5" t="str">
        <f aca="false">IF(G1005&gt;=評分方法!$C$16,"優先評估",IF(G1005&gt;=評分方法!$C$17,"列入候選",IF(G1005&gt;=評分方法!$C$18,"特定情境","不建議")))</f>
        <v>特定情境</v>
      </c>
      <c r="I1005" s="15" t="n">
        <f aca="false">AE1005*評分方法!$C$5</f>
        <v>27</v>
      </c>
      <c r="J1005" s="15" t="n">
        <f aca="false">AF1005*評分方法!$C$6</f>
        <v>0</v>
      </c>
      <c r="K1005" s="15" t="n">
        <f aca="false">AG1005*評分方法!$C$7</f>
        <v>4.95</v>
      </c>
      <c r="L1005" s="15" t="n">
        <f aca="false">AH1005*評分方法!$C$8</f>
        <v>15</v>
      </c>
      <c r="M1005" s="15" t="n">
        <f aca="false">AI1005*評分方法!$C$9</f>
        <v>10</v>
      </c>
      <c r="N1005" s="15" t="n">
        <f aca="false">AJ1005*評分方法!$C$10</f>
        <v>5.724</v>
      </c>
      <c r="O1005" s="15" t="n">
        <f aca="false">AK1005*評分方法!$C$11</f>
        <v>2.5</v>
      </c>
      <c r="P1005" s="15" t="n">
        <f aca="false">AL1005*評分方法!$C$12</f>
        <v>0</v>
      </c>
      <c r="Q1005" s="6" t="n">
        <v>590808</v>
      </c>
      <c r="R1005" s="6" t="n">
        <v>567754752</v>
      </c>
      <c r="S1005" s="11" t="s">
        <v>238</v>
      </c>
      <c r="T1005" s="11" t="s">
        <v>239</v>
      </c>
      <c r="U1005" s="5" t="s">
        <v>240</v>
      </c>
      <c r="V1005" s="11" t="s">
        <v>261</v>
      </c>
      <c r="W1005" s="5" t="s">
        <v>334</v>
      </c>
      <c r="X1005" s="5" t="s">
        <v>242</v>
      </c>
      <c r="Y1005" s="11" t="s">
        <v>312</v>
      </c>
      <c r="Z1005" s="11" t="s">
        <v>270</v>
      </c>
      <c r="AA1005" s="11" t="s">
        <v>152</v>
      </c>
      <c r="AB1005" s="5" t="s">
        <v>245</v>
      </c>
      <c r="AC1005" s="5"/>
      <c r="AD1005" s="11" t="s">
        <v>2555</v>
      </c>
      <c r="AE1005" s="23" t="n">
        <v>0.9</v>
      </c>
      <c r="AF1005" s="23" t="n">
        <v>0</v>
      </c>
      <c r="AG1005" s="23" t="n">
        <v>0.33</v>
      </c>
      <c r="AH1005" s="23" t="n">
        <v>1</v>
      </c>
      <c r="AI1005" s="23" t="n">
        <v>1</v>
      </c>
      <c r="AJ1005" s="23" t="n">
        <v>0.5724</v>
      </c>
      <c r="AK1005" s="23" t="n">
        <v>0.5</v>
      </c>
      <c r="AL1005" s="23" t="n">
        <v>0</v>
      </c>
      <c r="AM1005" s="16" t="n">
        <f aca="false">COUNTIFS($D$2:$D$2501,D1005,$G$2:$G$2501,"&gt;"&amp;G1005)+COUNTIFS($D$2:D1005,D1005,$G$2:G1005,G1005)</f>
        <v>156</v>
      </c>
      <c r="AN1005" s="5" t="str">
        <f aca="false">D1005&amp;"|"&amp;AM1005</f>
        <v>檢索與情資關聯|156</v>
      </c>
    </row>
    <row r="1006" customFormat="false" ht="17.15" hidden="false" customHeight="false" outlineLevel="0" collapsed="false">
      <c r="A1006" s="16" t="n">
        <f aca="false">RANK(G1006,$G$2:$G$2501)+COUNTIF($G$2:G1006,G1006)-1</f>
        <v>1005</v>
      </c>
      <c r="B1006" s="11" t="s">
        <v>2556</v>
      </c>
      <c r="C1006" s="11" t="s">
        <v>2557</v>
      </c>
      <c r="D1006" s="5" t="s">
        <v>76</v>
      </c>
      <c r="E1006" s="5" t="s">
        <v>77</v>
      </c>
      <c r="F1006" s="5"/>
      <c r="G1006" s="22" t="n">
        <f aca="false">ROUND(SUM(I1006:P1006),3)</f>
        <v>65.172</v>
      </c>
      <c r="H1006" s="5" t="str">
        <f aca="false">IF(G1006&gt;=評分方法!$C$16,"優先評估",IF(G1006&gt;=評分方法!$C$17,"列入候選",IF(G1006&gt;=評分方法!$C$18,"特定情境","不建議")))</f>
        <v>特定情境</v>
      </c>
      <c r="I1006" s="15" t="n">
        <f aca="false">AE1006*評分方法!$C$5</f>
        <v>12</v>
      </c>
      <c r="J1006" s="15" t="n">
        <f aca="false">AF1006*評分方法!$C$6</f>
        <v>0</v>
      </c>
      <c r="K1006" s="15" t="n">
        <f aca="false">AG1006*評分方法!$C$7</f>
        <v>15</v>
      </c>
      <c r="L1006" s="15" t="n">
        <f aca="false">AH1006*評分方法!$C$8</f>
        <v>15</v>
      </c>
      <c r="M1006" s="15" t="n">
        <f aca="false">AI1006*評分方法!$C$9</f>
        <v>10</v>
      </c>
      <c r="N1006" s="15" t="n">
        <f aca="false">AJ1006*評分方法!$C$10</f>
        <v>9.172</v>
      </c>
      <c r="O1006" s="15" t="n">
        <f aca="false">AK1006*評分方法!$C$11</f>
        <v>4</v>
      </c>
      <c r="P1006" s="15" t="n">
        <f aca="false">AL1006*評分方法!$C$12</f>
        <v>0</v>
      </c>
      <c r="Q1006" s="6" t="n">
        <v>4871082</v>
      </c>
      <c r="R1006" s="6" t="n">
        <v>75193466</v>
      </c>
      <c r="S1006" s="11" t="s">
        <v>238</v>
      </c>
      <c r="T1006" s="11" t="s">
        <v>239</v>
      </c>
      <c r="U1006" s="5" t="s">
        <v>240</v>
      </c>
      <c r="V1006" s="11" t="s">
        <v>279</v>
      </c>
      <c r="W1006" s="5" t="s">
        <v>205</v>
      </c>
      <c r="X1006" s="5" t="s">
        <v>242</v>
      </c>
      <c r="Y1006" s="5"/>
      <c r="Z1006" s="5"/>
      <c r="AA1006" s="11" t="s">
        <v>168</v>
      </c>
      <c r="AB1006" s="5" t="s">
        <v>245</v>
      </c>
      <c r="AC1006" s="5"/>
      <c r="AD1006" s="11" t="s">
        <v>2558</v>
      </c>
      <c r="AE1006" s="23" t="n">
        <v>0.4</v>
      </c>
      <c r="AF1006" s="23" t="n">
        <v>0</v>
      </c>
      <c r="AG1006" s="23" t="n">
        <v>1</v>
      </c>
      <c r="AH1006" s="23" t="n">
        <v>1</v>
      </c>
      <c r="AI1006" s="23" t="n">
        <v>1</v>
      </c>
      <c r="AJ1006" s="23" t="n">
        <v>0.9172</v>
      </c>
      <c r="AK1006" s="23" t="n">
        <v>0.8</v>
      </c>
      <c r="AL1006" s="23" t="n">
        <v>0</v>
      </c>
      <c r="AM1006" s="16" t="n">
        <f aca="false">COUNTIFS($D$2:$D$2501,D1006,$G$2:$G$2501,"&gt;"&amp;G1006)+COUNTIFS($D$2:D1006,D1006,$G$2:G1006,G1006)</f>
        <v>3</v>
      </c>
      <c r="AN1006" s="5" t="str">
        <f aca="false">D1006&amp;"|"&amp;AM1006</f>
        <v>情資翻譯|3</v>
      </c>
    </row>
    <row r="1007" customFormat="false" ht="17.15" hidden="false" customHeight="false" outlineLevel="0" collapsed="false">
      <c r="A1007" s="16" t="n">
        <f aca="false">RANK(G1007,$G$2:$G$2501)+COUNTIF($G$2:G1007,G1007)-1</f>
        <v>1006</v>
      </c>
      <c r="B1007" s="11" t="s">
        <v>2559</v>
      </c>
      <c r="C1007" s="11" t="s">
        <v>579</v>
      </c>
      <c r="D1007" s="5" t="s">
        <v>68</v>
      </c>
      <c r="E1007" s="11" t="s">
        <v>69</v>
      </c>
      <c r="F1007" s="5"/>
      <c r="G1007" s="22" t="n">
        <f aca="false">ROUND(SUM(I1007:P1007),3)</f>
        <v>65.172</v>
      </c>
      <c r="H1007" s="5" t="str">
        <f aca="false">IF(G1007&gt;=評分方法!$C$16,"優先評估",IF(G1007&gt;=評分方法!$C$17,"列入候選",IF(G1007&gt;=評分方法!$C$18,"特定情境","不建議")))</f>
        <v>特定情境</v>
      </c>
      <c r="I1007" s="15" t="n">
        <f aca="false">AE1007*評分方法!$C$5</f>
        <v>12</v>
      </c>
      <c r="J1007" s="15" t="n">
        <f aca="false">AF1007*評分方法!$C$6</f>
        <v>0</v>
      </c>
      <c r="K1007" s="15" t="n">
        <f aca="false">AG1007*評分方法!$C$7</f>
        <v>15</v>
      </c>
      <c r="L1007" s="15" t="n">
        <f aca="false">AH1007*評分方法!$C$8</f>
        <v>15</v>
      </c>
      <c r="M1007" s="15" t="n">
        <f aca="false">AI1007*評分方法!$C$9</f>
        <v>10</v>
      </c>
      <c r="N1007" s="15" t="n">
        <f aca="false">AJ1007*評分方法!$C$10</f>
        <v>7.672</v>
      </c>
      <c r="O1007" s="15" t="n">
        <f aca="false">AK1007*評分方法!$C$11</f>
        <v>4</v>
      </c>
      <c r="P1007" s="15" t="n">
        <f aca="false">AL1007*評分方法!$C$12</f>
        <v>1.5</v>
      </c>
      <c r="Q1007" s="6" t="n">
        <v>1256996</v>
      </c>
      <c r="R1007" s="6" t="n">
        <v>75670026</v>
      </c>
      <c r="S1007" s="11" t="s">
        <v>238</v>
      </c>
      <c r="T1007" s="11" t="s">
        <v>239</v>
      </c>
      <c r="U1007" s="5" t="s">
        <v>240</v>
      </c>
      <c r="V1007" s="11" t="s">
        <v>261</v>
      </c>
      <c r="W1007" s="5" t="s">
        <v>205</v>
      </c>
      <c r="X1007" s="5" t="s">
        <v>255</v>
      </c>
      <c r="Y1007" s="5"/>
      <c r="Z1007" s="5"/>
      <c r="AA1007" s="11" t="s">
        <v>169</v>
      </c>
      <c r="AB1007" s="5" t="s">
        <v>245</v>
      </c>
      <c r="AC1007" s="5"/>
      <c r="AD1007" s="11" t="s">
        <v>2560</v>
      </c>
      <c r="AE1007" s="23" t="n">
        <v>0.4</v>
      </c>
      <c r="AF1007" s="23" t="n">
        <v>0</v>
      </c>
      <c r="AG1007" s="23" t="n">
        <v>1</v>
      </c>
      <c r="AH1007" s="23" t="n">
        <v>1</v>
      </c>
      <c r="AI1007" s="23" t="n">
        <v>1</v>
      </c>
      <c r="AJ1007" s="23" t="n">
        <v>0.7672</v>
      </c>
      <c r="AK1007" s="23" t="n">
        <v>0.8</v>
      </c>
      <c r="AL1007" s="23" t="n">
        <v>0.3</v>
      </c>
      <c r="AM1007" s="16" t="n">
        <f aca="false">COUNTIFS($D$2:$D$2501,D1007,$G$2:$G$2501,"&gt;"&amp;G1007)+COUNTIFS($D$2:D1007,D1007,$G$2:G1007,G1007)</f>
        <v>33</v>
      </c>
      <c r="AN1007" s="5" t="str">
        <f aca="false">D1007&amp;"|"&amp;AM1007</f>
        <v>時序異常偵測|33</v>
      </c>
    </row>
    <row r="1008" customFormat="false" ht="17.15" hidden="false" customHeight="false" outlineLevel="0" collapsed="false">
      <c r="A1008" s="16" t="n">
        <f aca="false">RANK(G1008,$G$2:$G$2501)+COUNTIF($G$2:G1008,G1008)-1</f>
        <v>1007</v>
      </c>
      <c r="B1008" s="11" t="s">
        <v>2561</v>
      </c>
      <c r="C1008" s="11" t="s">
        <v>2360</v>
      </c>
      <c r="D1008" s="5" t="s">
        <v>54</v>
      </c>
      <c r="E1008" s="5" t="s">
        <v>55</v>
      </c>
      <c r="F1008" s="5"/>
      <c r="G1008" s="22" t="n">
        <f aca="false">ROUND(SUM(I1008:P1008),3)</f>
        <v>65.17</v>
      </c>
      <c r="H1008" s="5" t="str">
        <f aca="false">IF(G1008&gt;=評分方法!$C$16,"優先評估",IF(G1008&gt;=評分方法!$C$17,"列入候選",IF(G1008&gt;=評分方法!$C$18,"特定情境","不建議")))</f>
        <v>特定情境</v>
      </c>
      <c r="I1008" s="15" t="n">
        <f aca="false">AE1008*評分方法!$C$5</f>
        <v>27</v>
      </c>
      <c r="J1008" s="15" t="n">
        <f aca="false">AF1008*評分方法!$C$6</f>
        <v>0</v>
      </c>
      <c r="K1008" s="15" t="n">
        <f aca="false">AG1008*評分方法!$C$7</f>
        <v>4.95</v>
      </c>
      <c r="L1008" s="15" t="n">
        <f aca="false">AH1008*評分方法!$C$8</f>
        <v>15</v>
      </c>
      <c r="M1008" s="15" t="n">
        <f aca="false">AI1008*評分方法!$C$9</f>
        <v>10</v>
      </c>
      <c r="N1008" s="15" t="n">
        <f aca="false">AJ1008*評分方法!$C$10</f>
        <v>7.22</v>
      </c>
      <c r="O1008" s="15" t="n">
        <f aca="false">AK1008*評分方法!$C$11</f>
        <v>1</v>
      </c>
      <c r="P1008" s="15" t="n">
        <f aca="false">AL1008*評分方法!$C$12</f>
        <v>0</v>
      </c>
      <c r="Q1008" s="6" t="n">
        <v>1006612</v>
      </c>
      <c r="R1008" s="6" t="n">
        <v>22713216</v>
      </c>
      <c r="S1008" s="11" t="s">
        <v>238</v>
      </c>
      <c r="T1008" s="11" t="s">
        <v>278</v>
      </c>
      <c r="U1008" s="5" t="s">
        <v>240</v>
      </c>
      <c r="V1008" s="11" t="s">
        <v>288</v>
      </c>
      <c r="W1008" s="5" t="s">
        <v>334</v>
      </c>
      <c r="X1008" s="5" t="s">
        <v>242</v>
      </c>
      <c r="Y1008" s="5"/>
      <c r="Z1008" s="5"/>
      <c r="AA1008" s="11" t="s">
        <v>152</v>
      </c>
      <c r="AB1008" s="5" t="s">
        <v>245</v>
      </c>
      <c r="AC1008" s="5"/>
      <c r="AD1008" s="11" t="s">
        <v>2562</v>
      </c>
      <c r="AE1008" s="23" t="n">
        <v>0.9</v>
      </c>
      <c r="AF1008" s="23" t="n">
        <v>0</v>
      </c>
      <c r="AG1008" s="23" t="n">
        <v>0.33</v>
      </c>
      <c r="AH1008" s="23" t="n">
        <v>1</v>
      </c>
      <c r="AI1008" s="23" t="n">
        <v>1</v>
      </c>
      <c r="AJ1008" s="23" t="n">
        <v>0.722</v>
      </c>
      <c r="AK1008" s="23" t="n">
        <v>0.2</v>
      </c>
      <c r="AL1008" s="23" t="n">
        <v>0</v>
      </c>
      <c r="AM1008" s="16" t="n">
        <f aca="false">COUNTIFS($D$2:$D$2501,D1008,$G$2:$G$2501,"&gt;"&amp;G1008)+COUNTIFS($D$2:D1008,D1008,$G$2:G1008,G1008)</f>
        <v>157</v>
      </c>
      <c r="AN1008" s="5" t="str">
        <f aca="false">D1008&amp;"|"&amp;AM1008</f>
        <v>檢索與情資關聯|157</v>
      </c>
    </row>
    <row r="1009" customFormat="false" ht="17.15" hidden="false" customHeight="false" outlineLevel="0" collapsed="false">
      <c r="A1009" s="16" t="n">
        <f aca="false">RANK(G1009,$G$2:$G$2501)+COUNTIF($G$2:G1009,G1009)-1</f>
        <v>1008</v>
      </c>
      <c r="B1009" s="11" t="s">
        <v>2563</v>
      </c>
      <c r="C1009" s="11" t="s">
        <v>989</v>
      </c>
      <c r="D1009" s="5" t="s">
        <v>56</v>
      </c>
      <c r="E1009" s="5" t="s">
        <v>57</v>
      </c>
      <c r="F1009" s="5"/>
      <c r="G1009" s="22" t="n">
        <f aca="false">ROUND(SUM(I1009:P1009),3)</f>
        <v>65.17</v>
      </c>
      <c r="H1009" s="5" t="str">
        <f aca="false">IF(G1009&gt;=評分方法!$C$16,"優先評估",IF(G1009&gt;=評分方法!$C$17,"列入候選",IF(G1009&gt;=評分方法!$C$18,"特定情境","不建議")))</f>
        <v>特定情境</v>
      </c>
      <c r="I1009" s="15" t="n">
        <f aca="false">AE1009*評分方法!$C$5</f>
        <v>25.5</v>
      </c>
      <c r="J1009" s="15" t="n">
        <f aca="false">AF1009*評分方法!$C$6</f>
        <v>0</v>
      </c>
      <c r="K1009" s="15" t="n">
        <f aca="false">AG1009*評分方法!$C$7</f>
        <v>10.05</v>
      </c>
      <c r="L1009" s="15" t="n">
        <f aca="false">AH1009*評分方法!$C$8</f>
        <v>9</v>
      </c>
      <c r="M1009" s="15" t="n">
        <f aca="false">AI1009*評分方法!$C$9</f>
        <v>6</v>
      </c>
      <c r="N1009" s="15" t="n">
        <f aca="false">AJ1009*評分方法!$C$10</f>
        <v>6.62</v>
      </c>
      <c r="O1009" s="15" t="n">
        <f aca="false">AK1009*評分方法!$C$11</f>
        <v>5</v>
      </c>
      <c r="P1009" s="15" t="n">
        <f aca="false">AL1009*評分方法!$C$12</f>
        <v>3</v>
      </c>
      <c r="Q1009" s="6" t="n">
        <v>784559</v>
      </c>
      <c r="R1009" s="6" t="n">
        <v>34660610688</v>
      </c>
      <c r="S1009" s="11" t="s">
        <v>389</v>
      </c>
      <c r="T1009" s="11" t="s">
        <v>185</v>
      </c>
      <c r="U1009" s="5" t="s">
        <v>260</v>
      </c>
      <c r="V1009" s="11" t="s">
        <v>333</v>
      </c>
      <c r="W1009" s="5" t="s">
        <v>207</v>
      </c>
      <c r="X1009" s="5" t="s">
        <v>371</v>
      </c>
      <c r="Y1009" s="11" t="s">
        <v>2564</v>
      </c>
      <c r="Z1009" s="11" t="s">
        <v>244</v>
      </c>
      <c r="AA1009" s="11" t="s">
        <v>156</v>
      </c>
      <c r="AB1009" s="5" t="s">
        <v>245</v>
      </c>
      <c r="AC1009" s="5" t="s">
        <v>464</v>
      </c>
      <c r="AD1009" s="11" t="s">
        <v>2565</v>
      </c>
      <c r="AE1009" s="23" t="n">
        <v>0.85</v>
      </c>
      <c r="AF1009" s="23" t="n">
        <v>0</v>
      </c>
      <c r="AG1009" s="23" t="n">
        <v>0.67</v>
      </c>
      <c r="AH1009" s="23" t="n">
        <v>0.6</v>
      </c>
      <c r="AI1009" s="23" t="n">
        <v>0.6</v>
      </c>
      <c r="AJ1009" s="23" t="n">
        <v>0.662</v>
      </c>
      <c r="AK1009" s="23" t="n">
        <v>1</v>
      </c>
      <c r="AL1009" s="23" t="n">
        <v>0.6</v>
      </c>
      <c r="AM1009" s="16" t="n">
        <f aca="false">COUNTIFS($D$2:$D$2501,D1009,$G$2:$G$2501,"&gt;"&amp;G1009)+COUNTIFS($D$2:D1009,D1009,$G$2:G1009,G1009)</f>
        <v>425</v>
      </c>
      <c r="AN1009" s="5" t="str">
        <f aca="false">D1009&amp;"|"&amp;AM1009</f>
        <v>分析與報告生成|425</v>
      </c>
    </row>
    <row r="1010" customFormat="false" ht="17.15" hidden="false" customHeight="false" outlineLevel="0" collapsed="false">
      <c r="A1010" s="16" t="n">
        <f aca="false">RANK(G1010,$G$2:$G$2501)+COUNTIF($G$2:G1010,G1010)-1</f>
        <v>1009</v>
      </c>
      <c r="B1010" s="11" t="s">
        <v>2566</v>
      </c>
      <c r="C1010" s="11" t="s">
        <v>2527</v>
      </c>
      <c r="D1010" s="5" t="s">
        <v>56</v>
      </c>
      <c r="E1010" s="5" t="s">
        <v>57</v>
      </c>
      <c r="F1010" s="5"/>
      <c r="G1010" s="22" t="n">
        <f aca="false">ROUND(SUM(I1010:P1010),3)</f>
        <v>65.148</v>
      </c>
      <c r="H1010" s="5" t="str">
        <f aca="false">IF(G1010&gt;=評分方法!$C$16,"優先評估",IF(G1010&gt;=評分方法!$C$17,"列入候選",IF(G1010&gt;=評分方法!$C$18,"特定情境","不建議")))</f>
        <v>特定情境</v>
      </c>
      <c r="I1010" s="15" t="n">
        <f aca="false">AE1010*評分方法!$C$5</f>
        <v>25.5</v>
      </c>
      <c r="J1010" s="15" t="n">
        <f aca="false">AF1010*評分方法!$C$6</f>
        <v>0</v>
      </c>
      <c r="K1010" s="15" t="n">
        <f aca="false">AG1010*評分方法!$C$7</f>
        <v>4.95</v>
      </c>
      <c r="L1010" s="15" t="n">
        <f aca="false">AH1010*評分方法!$C$8</f>
        <v>13.05</v>
      </c>
      <c r="M1010" s="15" t="n">
        <f aca="false">AI1010*評分方法!$C$9</f>
        <v>10</v>
      </c>
      <c r="N1010" s="15" t="n">
        <f aca="false">AJ1010*評分方法!$C$10</f>
        <v>6.648</v>
      </c>
      <c r="O1010" s="15" t="n">
        <f aca="false">AK1010*評分方法!$C$11</f>
        <v>5</v>
      </c>
      <c r="P1010" s="15" t="n">
        <f aca="false">AL1010*評分方法!$C$12</f>
        <v>0</v>
      </c>
      <c r="Q1010" s="6" t="n">
        <v>797866</v>
      </c>
      <c r="R1010" s="6" t="n">
        <v>8380551168</v>
      </c>
      <c r="S1010" s="11" t="s">
        <v>254</v>
      </c>
      <c r="T1010" s="11" t="s">
        <v>239</v>
      </c>
      <c r="U1010" s="5" t="s">
        <v>240</v>
      </c>
      <c r="V1010" s="11" t="s">
        <v>333</v>
      </c>
      <c r="W1010" s="5" t="s">
        <v>334</v>
      </c>
      <c r="X1010" s="5" t="s">
        <v>242</v>
      </c>
      <c r="Y1010" s="11" t="s">
        <v>377</v>
      </c>
      <c r="Z1010" s="11" t="s">
        <v>270</v>
      </c>
      <c r="AA1010" s="11" t="s">
        <v>155</v>
      </c>
      <c r="AB1010" s="5" t="s">
        <v>245</v>
      </c>
      <c r="AC1010" s="5"/>
      <c r="AD1010" s="11" t="s">
        <v>2567</v>
      </c>
      <c r="AE1010" s="23" t="n">
        <v>0.85</v>
      </c>
      <c r="AF1010" s="23" t="n">
        <v>0</v>
      </c>
      <c r="AG1010" s="23" t="n">
        <v>0.33</v>
      </c>
      <c r="AH1010" s="23" t="n">
        <v>0.87</v>
      </c>
      <c r="AI1010" s="23" t="n">
        <v>1</v>
      </c>
      <c r="AJ1010" s="23" t="n">
        <v>0.6648</v>
      </c>
      <c r="AK1010" s="23" t="n">
        <v>1</v>
      </c>
      <c r="AL1010" s="23" t="n">
        <v>0</v>
      </c>
      <c r="AM1010" s="16" t="n">
        <f aca="false">COUNTIFS($D$2:$D$2501,D1010,$G$2:$G$2501,"&gt;"&amp;G1010)+COUNTIFS($D$2:D1010,D1010,$G$2:G1010,G1010)</f>
        <v>426</v>
      </c>
      <c r="AN1010" s="5" t="str">
        <f aca="false">D1010&amp;"|"&amp;AM1010</f>
        <v>分析與報告生成|426</v>
      </c>
    </row>
    <row r="1011" customFormat="false" ht="17.15" hidden="false" customHeight="false" outlineLevel="0" collapsed="false">
      <c r="A1011" s="16" t="n">
        <f aca="false">RANK(G1011,$G$2:$G$2501)+COUNTIF($G$2:G1011,G1011)-1</f>
        <v>1010</v>
      </c>
      <c r="B1011" s="11" t="s">
        <v>2568</v>
      </c>
      <c r="C1011" s="11" t="s">
        <v>900</v>
      </c>
      <c r="D1011" s="5" t="s">
        <v>56</v>
      </c>
      <c r="E1011" s="5" t="s">
        <v>57</v>
      </c>
      <c r="F1011" s="5"/>
      <c r="G1011" s="22" t="n">
        <f aca="false">ROUND(SUM(I1011:P1011),3)</f>
        <v>65.142</v>
      </c>
      <c r="H1011" s="5" t="str">
        <f aca="false">IF(G1011&gt;=評分方法!$C$16,"優先評估",IF(G1011&gt;=評分方法!$C$17,"列入候選",IF(G1011&gt;=評分方法!$C$18,"特定情境","不建議")))</f>
        <v>特定情境</v>
      </c>
      <c r="I1011" s="15" t="n">
        <f aca="false">AE1011*評分方法!$C$5</f>
        <v>25.5</v>
      </c>
      <c r="J1011" s="15" t="n">
        <f aca="false">AF1011*評分方法!$C$6</f>
        <v>0</v>
      </c>
      <c r="K1011" s="15" t="n">
        <f aca="false">AG1011*評分方法!$C$7</f>
        <v>15</v>
      </c>
      <c r="L1011" s="15" t="n">
        <f aca="false">AH1011*評分方法!$C$8</f>
        <v>13.05</v>
      </c>
      <c r="M1011" s="15" t="n">
        <f aca="false">AI1011*評分方法!$C$9</f>
        <v>7</v>
      </c>
      <c r="N1011" s="15" t="n">
        <f aca="false">AJ1011*評分方法!$C$10</f>
        <v>0.592</v>
      </c>
      <c r="O1011" s="15" t="n">
        <f aca="false">AK1011*評分方法!$C$11</f>
        <v>1</v>
      </c>
      <c r="P1011" s="15" t="n">
        <f aca="false">AL1011*評分方法!$C$12</f>
        <v>3</v>
      </c>
      <c r="Q1011" s="6" t="n">
        <v>137709</v>
      </c>
      <c r="R1011" s="6" t="n">
        <v>7173923840</v>
      </c>
      <c r="S1011" s="11" t="s">
        <v>254</v>
      </c>
      <c r="T1011" s="11" t="s">
        <v>901</v>
      </c>
      <c r="U1011" s="5" t="s">
        <v>902</v>
      </c>
      <c r="V1011" s="11" t="s">
        <v>261</v>
      </c>
      <c r="W1011" s="5" t="s">
        <v>205</v>
      </c>
      <c r="X1011" s="5" t="s">
        <v>371</v>
      </c>
      <c r="Y1011" s="5"/>
      <c r="Z1011" s="5"/>
      <c r="AA1011" s="11" t="s">
        <v>155</v>
      </c>
      <c r="AB1011" s="5" t="s">
        <v>245</v>
      </c>
      <c r="AC1011" s="5"/>
      <c r="AD1011" s="11" t="s">
        <v>2569</v>
      </c>
      <c r="AE1011" s="23" t="n">
        <v>0.85</v>
      </c>
      <c r="AF1011" s="23" t="n">
        <v>0</v>
      </c>
      <c r="AG1011" s="23" t="n">
        <v>1</v>
      </c>
      <c r="AH1011" s="23" t="n">
        <v>0.87</v>
      </c>
      <c r="AI1011" s="23" t="n">
        <v>0.7</v>
      </c>
      <c r="AJ1011" s="23" t="n">
        <v>0.0592</v>
      </c>
      <c r="AK1011" s="23" t="n">
        <v>0.2</v>
      </c>
      <c r="AL1011" s="23" t="n">
        <v>0.6</v>
      </c>
      <c r="AM1011" s="16" t="n">
        <f aca="false">COUNTIFS($D$2:$D$2501,D1011,$G$2:$G$2501,"&gt;"&amp;G1011)+COUNTIFS($D$2:D1011,D1011,$G$2:G1011,G1011)</f>
        <v>427</v>
      </c>
      <c r="AN1011" s="5" t="str">
        <f aca="false">D1011&amp;"|"&amp;AM1011</f>
        <v>分析與報告生成|427</v>
      </c>
    </row>
    <row r="1012" customFormat="false" ht="17.15" hidden="false" customHeight="false" outlineLevel="0" collapsed="false">
      <c r="A1012" s="16" t="n">
        <f aca="false">RANK(G1012,$G$2:$G$2501)+COUNTIF($G$2:G1012,G1012)-1</f>
        <v>1011</v>
      </c>
      <c r="B1012" s="11" t="s">
        <v>2570</v>
      </c>
      <c r="C1012" s="11" t="s">
        <v>299</v>
      </c>
      <c r="D1012" s="5" t="s">
        <v>68</v>
      </c>
      <c r="E1012" s="11" t="s">
        <v>69</v>
      </c>
      <c r="F1012" s="5"/>
      <c r="G1012" s="22" t="n">
        <f aca="false">ROUND(SUM(I1012:P1012),3)</f>
        <v>65.132</v>
      </c>
      <c r="H1012" s="5" t="str">
        <f aca="false">IF(G1012&gt;=評分方法!$C$16,"優先評估",IF(G1012&gt;=評分方法!$C$17,"列入候選",IF(G1012&gt;=評分方法!$C$18,"特定情境","不建議")))</f>
        <v>特定情境</v>
      </c>
      <c r="I1012" s="15" t="n">
        <f aca="false">AE1012*評分方法!$C$5</f>
        <v>21</v>
      </c>
      <c r="J1012" s="15" t="n">
        <f aca="false">AF1012*評分方法!$C$6</f>
        <v>0</v>
      </c>
      <c r="K1012" s="15" t="n">
        <f aca="false">AG1012*評分方法!$C$7</f>
        <v>15</v>
      </c>
      <c r="L1012" s="15" t="n">
        <f aca="false">AH1012*評分方法!$C$8</f>
        <v>15</v>
      </c>
      <c r="M1012" s="15" t="n">
        <f aca="false">AI1012*評分方法!$C$9</f>
        <v>10</v>
      </c>
      <c r="N1012" s="15" t="n">
        <f aca="false">AJ1012*評分方法!$C$10</f>
        <v>1.632</v>
      </c>
      <c r="O1012" s="15" t="n">
        <f aca="false">AK1012*評分方法!$C$11</f>
        <v>1</v>
      </c>
      <c r="P1012" s="15" t="n">
        <f aca="false">AL1012*評分方法!$C$12</f>
        <v>1.5</v>
      </c>
      <c r="Q1012" s="6" t="n">
        <v>186568</v>
      </c>
      <c r="R1012" s="6" t="n">
        <v>616032</v>
      </c>
      <c r="S1012" s="11" t="s">
        <v>238</v>
      </c>
      <c r="T1012" s="11" t="s">
        <v>239</v>
      </c>
      <c r="U1012" s="5" t="s">
        <v>240</v>
      </c>
      <c r="V1012" s="11" t="s">
        <v>261</v>
      </c>
      <c r="W1012" s="5" t="s">
        <v>205</v>
      </c>
      <c r="X1012" s="5" t="s">
        <v>255</v>
      </c>
      <c r="Y1012" s="5"/>
      <c r="Z1012" s="5"/>
      <c r="AA1012" s="11" t="s">
        <v>158</v>
      </c>
      <c r="AB1012" s="5" t="s">
        <v>245</v>
      </c>
      <c r="AC1012" s="5"/>
      <c r="AD1012" s="11" t="s">
        <v>2571</v>
      </c>
      <c r="AE1012" s="23" t="n">
        <v>0.7</v>
      </c>
      <c r="AF1012" s="23" t="n">
        <v>0</v>
      </c>
      <c r="AG1012" s="23" t="n">
        <v>1</v>
      </c>
      <c r="AH1012" s="23" t="n">
        <v>1</v>
      </c>
      <c r="AI1012" s="23" t="n">
        <v>1</v>
      </c>
      <c r="AJ1012" s="23" t="n">
        <v>0.1632</v>
      </c>
      <c r="AK1012" s="23" t="n">
        <v>0.2</v>
      </c>
      <c r="AL1012" s="23" t="n">
        <v>0.3</v>
      </c>
      <c r="AM1012" s="16" t="n">
        <f aca="false">COUNTIFS($D$2:$D$2501,D1012,$G$2:$G$2501,"&gt;"&amp;G1012)+COUNTIFS($D$2:D1012,D1012,$G$2:G1012,G1012)</f>
        <v>34</v>
      </c>
      <c r="AN1012" s="5" t="str">
        <f aca="false">D1012&amp;"|"&amp;AM1012</f>
        <v>時序異常偵測|34</v>
      </c>
    </row>
    <row r="1013" customFormat="false" ht="17.15" hidden="false" customHeight="false" outlineLevel="0" collapsed="false">
      <c r="A1013" s="16" t="n">
        <f aca="false">RANK(G1013,$G$2:$G$2501)+COUNTIF($G$2:G1013,G1013)-1</f>
        <v>1012</v>
      </c>
      <c r="B1013" s="11" t="s">
        <v>2572</v>
      </c>
      <c r="C1013" s="11" t="s">
        <v>2573</v>
      </c>
      <c r="D1013" s="5" t="s">
        <v>56</v>
      </c>
      <c r="E1013" s="5" t="s">
        <v>57</v>
      </c>
      <c r="F1013" s="5"/>
      <c r="G1013" s="22" t="n">
        <f aca="false">ROUND(SUM(I1013:P1013),3)</f>
        <v>65.126</v>
      </c>
      <c r="H1013" s="5" t="str">
        <f aca="false">IF(G1013&gt;=評分方法!$C$16,"優先評估",IF(G1013&gt;=評分方法!$C$17,"列入候選",IF(G1013&gt;=評分方法!$C$18,"特定情境","不建議")))</f>
        <v>特定情境</v>
      </c>
      <c r="I1013" s="15" t="n">
        <f aca="false">AE1013*評分方法!$C$5</f>
        <v>25.5</v>
      </c>
      <c r="J1013" s="15" t="n">
        <f aca="false">AF1013*評分方法!$C$6</f>
        <v>0</v>
      </c>
      <c r="K1013" s="15" t="n">
        <f aca="false">AG1013*評分方法!$C$7</f>
        <v>4.95</v>
      </c>
      <c r="L1013" s="15" t="n">
        <f aca="false">AH1013*評分方法!$C$8</f>
        <v>9</v>
      </c>
      <c r="M1013" s="15" t="n">
        <f aca="false">AI1013*評分方法!$C$9</f>
        <v>10</v>
      </c>
      <c r="N1013" s="15" t="n">
        <f aca="false">AJ1013*評分方法!$C$10</f>
        <v>6.676</v>
      </c>
      <c r="O1013" s="15" t="n">
        <f aca="false">AK1013*評分方法!$C$11</f>
        <v>4</v>
      </c>
      <c r="P1013" s="15" t="n">
        <f aca="false">AL1013*評分方法!$C$12</f>
        <v>5</v>
      </c>
      <c r="Q1013" s="6" t="n">
        <v>805011</v>
      </c>
      <c r="R1013" s="6" t="n">
        <v>15094435406</v>
      </c>
      <c r="S1013" s="11" t="s">
        <v>389</v>
      </c>
      <c r="T1013" s="11" t="s">
        <v>239</v>
      </c>
      <c r="U1013" s="5" t="s">
        <v>240</v>
      </c>
      <c r="V1013" s="11" t="s">
        <v>261</v>
      </c>
      <c r="W1013" s="5" t="s">
        <v>334</v>
      </c>
      <c r="X1013" s="5" t="s">
        <v>284</v>
      </c>
      <c r="Y1013" s="11" t="s">
        <v>575</v>
      </c>
      <c r="Z1013" s="11" t="s">
        <v>244</v>
      </c>
      <c r="AA1013" s="11" t="s">
        <v>155</v>
      </c>
      <c r="AB1013" s="5" t="s">
        <v>245</v>
      </c>
      <c r="AC1013" s="5" t="s">
        <v>246</v>
      </c>
      <c r="AD1013" s="11" t="s">
        <v>2574</v>
      </c>
      <c r="AE1013" s="23" t="n">
        <v>0.85</v>
      </c>
      <c r="AF1013" s="23" t="n">
        <v>0</v>
      </c>
      <c r="AG1013" s="23" t="n">
        <v>0.33</v>
      </c>
      <c r="AH1013" s="23" t="n">
        <v>0.6</v>
      </c>
      <c r="AI1013" s="23" t="n">
        <v>1</v>
      </c>
      <c r="AJ1013" s="23" t="n">
        <v>0.6676</v>
      </c>
      <c r="AK1013" s="23" t="n">
        <v>0.8</v>
      </c>
      <c r="AL1013" s="23" t="n">
        <v>1</v>
      </c>
      <c r="AM1013" s="16" t="n">
        <f aca="false">COUNTIFS($D$2:$D$2501,D1013,$G$2:$G$2501,"&gt;"&amp;G1013)+COUNTIFS($D$2:D1013,D1013,$G$2:G1013,G1013)</f>
        <v>428</v>
      </c>
      <c r="AN1013" s="5" t="str">
        <f aca="false">D1013&amp;"|"&amp;AM1013</f>
        <v>分析與報告生成|428</v>
      </c>
    </row>
    <row r="1014" customFormat="false" ht="17.15" hidden="false" customHeight="false" outlineLevel="0" collapsed="false">
      <c r="A1014" s="16" t="n">
        <f aca="false">RANK(G1014,$G$2:$G$2501)+COUNTIF($G$2:G1014,G1014)-1</f>
        <v>1013</v>
      </c>
      <c r="B1014" s="11" t="s">
        <v>2575</v>
      </c>
      <c r="C1014" s="11" t="s">
        <v>2576</v>
      </c>
      <c r="D1014" s="5" t="s">
        <v>56</v>
      </c>
      <c r="E1014" s="5" t="s">
        <v>57</v>
      </c>
      <c r="F1014" s="5"/>
      <c r="G1014" s="22" t="n">
        <f aca="false">ROUND(SUM(I1014:P1014),3)</f>
        <v>65.122</v>
      </c>
      <c r="H1014" s="5" t="str">
        <f aca="false">IF(G1014&gt;=評分方法!$C$16,"優先評估",IF(G1014&gt;=評分方法!$C$17,"列入候選",IF(G1014&gt;=評分方法!$C$18,"特定情境","不建議")))</f>
        <v>特定情境</v>
      </c>
      <c r="I1014" s="15" t="n">
        <f aca="false">AE1014*評分方法!$C$5</f>
        <v>25.5</v>
      </c>
      <c r="J1014" s="15" t="n">
        <f aca="false">AF1014*評分方法!$C$6</f>
        <v>0</v>
      </c>
      <c r="K1014" s="15" t="n">
        <f aca="false">AG1014*評分方法!$C$7</f>
        <v>10.05</v>
      </c>
      <c r="L1014" s="15" t="n">
        <f aca="false">AH1014*評分方法!$C$8</f>
        <v>15</v>
      </c>
      <c r="M1014" s="15" t="n">
        <f aca="false">AI1014*評分方法!$C$9</f>
        <v>10</v>
      </c>
      <c r="N1014" s="15" t="n">
        <f aca="false">AJ1014*評分方法!$C$10</f>
        <v>2.072</v>
      </c>
      <c r="O1014" s="15" t="n">
        <f aca="false">AK1014*評分方法!$C$11</f>
        <v>2.5</v>
      </c>
      <c r="P1014" s="15" t="n">
        <f aca="false">AL1014*評分方法!$C$12</f>
        <v>0</v>
      </c>
      <c r="Q1014" s="6" t="n">
        <v>215874</v>
      </c>
      <c r="R1014" s="6" t="n">
        <v>134515008</v>
      </c>
      <c r="S1014" s="11" t="s">
        <v>238</v>
      </c>
      <c r="T1014" s="11" t="s">
        <v>239</v>
      </c>
      <c r="U1014" s="5" t="s">
        <v>240</v>
      </c>
      <c r="V1014" s="11" t="s">
        <v>333</v>
      </c>
      <c r="W1014" s="5" t="s">
        <v>207</v>
      </c>
      <c r="X1014" s="5" t="s">
        <v>242</v>
      </c>
      <c r="Y1014" s="5"/>
      <c r="Z1014" s="5"/>
      <c r="AA1014" s="11" t="s">
        <v>155</v>
      </c>
      <c r="AB1014" s="5" t="s">
        <v>961</v>
      </c>
      <c r="AC1014" s="5" t="s">
        <v>1203</v>
      </c>
      <c r="AD1014" s="11" t="s">
        <v>2577</v>
      </c>
      <c r="AE1014" s="23" t="n">
        <v>0.85</v>
      </c>
      <c r="AF1014" s="23" t="n">
        <v>0</v>
      </c>
      <c r="AG1014" s="23" t="n">
        <v>0.67</v>
      </c>
      <c r="AH1014" s="23" t="n">
        <v>1</v>
      </c>
      <c r="AI1014" s="23" t="n">
        <v>1</v>
      </c>
      <c r="AJ1014" s="23" t="n">
        <v>0.2072</v>
      </c>
      <c r="AK1014" s="23" t="n">
        <v>0.5</v>
      </c>
      <c r="AL1014" s="23" t="n">
        <v>0</v>
      </c>
      <c r="AM1014" s="16" t="n">
        <f aca="false">COUNTIFS($D$2:$D$2501,D1014,$G$2:$G$2501,"&gt;"&amp;G1014)+COUNTIFS($D$2:D1014,D1014,$G$2:G1014,G1014)</f>
        <v>429</v>
      </c>
      <c r="AN1014" s="5" t="str">
        <f aca="false">D1014&amp;"|"&amp;AM1014</f>
        <v>分析與報告生成|429</v>
      </c>
    </row>
    <row r="1015" customFormat="false" ht="17.15" hidden="false" customHeight="false" outlineLevel="0" collapsed="false">
      <c r="A1015" s="16" t="n">
        <f aca="false">RANK(G1015,$G$2:$G$2501)+COUNTIF($G$2:G1015,G1015)-1</f>
        <v>1014</v>
      </c>
      <c r="B1015" s="11" t="s">
        <v>2578</v>
      </c>
      <c r="C1015" s="11" t="s">
        <v>308</v>
      </c>
      <c r="D1015" s="5" t="s">
        <v>78</v>
      </c>
      <c r="E1015" s="5" t="s">
        <v>79</v>
      </c>
      <c r="F1015" s="5"/>
      <c r="G1015" s="22" t="n">
        <f aca="false">ROUND(SUM(I1015:P1015),3)</f>
        <v>65.118</v>
      </c>
      <c r="H1015" s="5" t="str">
        <f aca="false">IF(G1015&gt;=評分方法!$C$16,"優先評估",IF(G1015&gt;=評分方法!$C$17,"列入候選",IF(G1015&gt;=評分方法!$C$18,"特定情境","不建議")))</f>
        <v>特定情境</v>
      </c>
      <c r="I1015" s="15" t="n">
        <f aca="false">AE1015*評分方法!$C$5</f>
        <v>9</v>
      </c>
      <c r="J1015" s="15" t="n">
        <f aca="false">AF1015*評分方法!$C$6</f>
        <v>0</v>
      </c>
      <c r="K1015" s="15" t="n">
        <f aca="false">AG1015*評分方法!$C$7</f>
        <v>15</v>
      </c>
      <c r="L1015" s="15" t="n">
        <f aca="false">AH1015*評分方法!$C$8</f>
        <v>13.05</v>
      </c>
      <c r="M1015" s="15" t="n">
        <f aca="false">AI1015*評分方法!$C$9</f>
        <v>10</v>
      </c>
      <c r="N1015" s="15" t="n">
        <f aca="false">AJ1015*評分方法!$C$10</f>
        <v>9.068</v>
      </c>
      <c r="O1015" s="15" t="n">
        <f aca="false">AK1015*評分方法!$C$11</f>
        <v>4</v>
      </c>
      <c r="P1015" s="15" t="n">
        <f aca="false">AL1015*評分方法!$C$12</f>
        <v>5</v>
      </c>
      <c r="Q1015" s="6" t="n">
        <v>4086532</v>
      </c>
      <c r="R1015" s="6" t="n">
        <v>8674021857</v>
      </c>
      <c r="S1015" s="11" t="s">
        <v>254</v>
      </c>
      <c r="T1015" s="11" t="s">
        <v>278</v>
      </c>
      <c r="U1015" s="5" t="s">
        <v>240</v>
      </c>
      <c r="V1015" s="11" t="s">
        <v>261</v>
      </c>
      <c r="W1015" s="5" t="s">
        <v>205</v>
      </c>
      <c r="X1015" s="5" t="s">
        <v>284</v>
      </c>
      <c r="Y1015" s="5"/>
      <c r="Z1015" s="5"/>
      <c r="AA1015" s="11" t="s">
        <v>175</v>
      </c>
      <c r="AB1015" s="5" t="s">
        <v>245</v>
      </c>
      <c r="AC1015" s="5"/>
      <c r="AD1015" s="11" t="s">
        <v>2579</v>
      </c>
      <c r="AE1015" s="23" t="n">
        <v>0.3</v>
      </c>
      <c r="AF1015" s="23" t="n">
        <v>0</v>
      </c>
      <c r="AG1015" s="23" t="n">
        <v>1</v>
      </c>
      <c r="AH1015" s="23" t="n">
        <v>0.87</v>
      </c>
      <c r="AI1015" s="23" t="n">
        <v>1</v>
      </c>
      <c r="AJ1015" s="23" t="n">
        <v>0.9068</v>
      </c>
      <c r="AK1015" s="23" t="n">
        <v>0.8</v>
      </c>
      <c r="AL1015" s="23" t="n">
        <v>1</v>
      </c>
      <c r="AM1015" s="16" t="n">
        <f aca="false">COUNTIFS($D$2:$D$2501,D1015,$G$2:$G$2501,"&gt;"&amp;G1015)+COUNTIFS($D$2:D1015,D1015,$G$2:G1015,G1015)</f>
        <v>4</v>
      </c>
      <c r="AN1015" s="5" t="str">
        <f aca="false">D1015&amp;"|"&amp;AM1015</f>
        <v>語音分析|4</v>
      </c>
    </row>
    <row r="1016" customFormat="false" ht="17.15" hidden="false" customHeight="false" outlineLevel="0" collapsed="false">
      <c r="A1016" s="16" t="n">
        <f aca="false">RANK(G1016,$G$2:$G$2501)+COUNTIF($G$2:G1016,G1016)-1</f>
        <v>1015</v>
      </c>
      <c r="B1016" s="11" t="s">
        <v>2580</v>
      </c>
      <c r="C1016" s="11" t="s">
        <v>2581</v>
      </c>
      <c r="D1016" s="5" t="s">
        <v>66</v>
      </c>
      <c r="E1016" s="5" t="s">
        <v>67</v>
      </c>
      <c r="F1016" s="5"/>
      <c r="G1016" s="22" t="n">
        <f aca="false">ROUND(SUM(I1016:P1016),3)</f>
        <v>65.118</v>
      </c>
      <c r="H1016" s="5" t="str">
        <f aca="false">IF(G1016&gt;=評分方法!$C$16,"優先評估",IF(G1016&gt;=評分方法!$C$17,"列入候選",IF(G1016&gt;=評分方法!$C$18,"特定情境","不建議")))</f>
        <v>特定情境</v>
      </c>
      <c r="I1016" s="15" t="n">
        <f aca="false">AE1016*評分方法!$C$5</f>
        <v>30</v>
      </c>
      <c r="J1016" s="15" t="n">
        <f aca="false">AF1016*評分方法!$C$6</f>
        <v>0</v>
      </c>
      <c r="K1016" s="15" t="n">
        <f aca="false">AG1016*評分方法!$C$7</f>
        <v>4.95</v>
      </c>
      <c r="L1016" s="15" t="n">
        <f aca="false">AH1016*評分方法!$C$8</f>
        <v>15</v>
      </c>
      <c r="M1016" s="15" t="n">
        <f aca="false">AI1016*評分方法!$C$9</f>
        <v>10</v>
      </c>
      <c r="N1016" s="15" t="n">
        <f aca="false">AJ1016*評分方法!$C$10</f>
        <v>2.668</v>
      </c>
      <c r="O1016" s="15" t="n">
        <f aca="false">AK1016*評分方法!$C$11</f>
        <v>1</v>
      </c>
      <c r="P1016" s="15" t="n">
        <f aca="false">AL1016*評分方法!$C$12</f>
        <v>1.5</v>
      </c>
      <c r="Q1016" s="6" t="n">
        <v>264963</v>
      </c>
      <c r="R1016" s="6" t="n">
        <v>237558274</v>
      </c>
      <c r="S1016" s="11" t="s">
        <v>238</v>
      </c>
      <c r="T1016" s="11" t="s">
        <v>778</v>
      </c>
      <c r="U1016" s="5" t="s">
        <v>240</v>
      </c>
      <c r="V1016" s="11" t="s">
        <v>324</v>
      </c>
      <c r="W1016" s="5" t="s">
        <v>334</v>
      </c>
      <c r="X1016" s="5" t="s">
        <v>255</v>
      </c>
      <c r="Y1016" s="5"/>
      <c r="Z1016" s="5"/>
      <c r="AA1016" s="11" t="s">
        <v>149</v>
      </c>
      <c r="AB1016" s="5" t="s">
        <v>245</v>
      </c>
      <c r="AC1016" s="5"/>
      <c r="AD1016" s="11" t="s">
        <v>2582</v>
      </c>
      <c r="AE1016" s="23" t="n">
        <v>1</v>
      </c>
      <c r="AF1016" s="23" t="n">
        <v>0</v>
      </c>
      <c r="AG1016" s="23" t="n">
        <v>0.33</v>
      </c>
      <c r="AH1016" s="23" t="n">
        <v>1</v>
      </c>
      <c r="AI1016" s="23" t="n">
        <v>1</v>
      </c>
      <c r="AJ1016" s="23" t="n">
        <v>0.2668</v>
      </c>
      <c r="AK1016" s="23" t="n">
        <v>0.2</v>
      </c>
      <c r="AL1016" s="23" t="n">
        <v>0.3</v>
      </c>
      <c r="AM1016" s="16" t="n">
        <f aca="false">COUNTIFS($D$2:$D$2501,D1016,$G$2:$G$2501,"&gt;"&amp;G1016)+COUNTIFS($D$2:D1016,D1016,$G$2:G1016,G1016)</f>
        <v>28</v>
      </c>
      <c r="AN1016" s="5" t="str">
        <f aca="false">D1016&amp;"|"&amp;AM1016</f>
        <v>分類與偵測|28</v>
      </c>
    </row>
    <row r="1017" customFormat="false" ht="17.15" hidden="false" customHeight="false" outlineLevel="0" collapsed="false">
      <c r="A1017" s="16" t="n">
        <f aca="false">RANK(G1017,$G$2:$G$2501)+COUNTIF($G$2:G1017,G1017)-1</f>
        <v>1016</v>
      </c>
      <c r="B1017" s="11" t="s">
        <v>2583</v>
      </c>
      <c r="C1017" s="11" t="s">
        <v>548</v>
      </c>
      <c r="D1017" s="5" t="s">
        <v>56</v>
      </c>
      <c r="E1017" s="5" t="s">
        <v>57</v>
      </c>
      <c r="F1017" s="5"/>
      <c r="G1017" s="22" t="n">
        <f aca="false">ROUND(SUM(I1017:P1017),3)</f>
        <v>65.098</v>
      </c>
      <c r="H1017" s="5" t="str">
        <f aca="false">IF(G1017&gt;=評分方法!$C$16,"優先評估",IF(G1017&gt;=評分方法!$C$17,"列入候選",IF(G1017&gt;=評分方法!$C$18,"特定情境","不建議")))</f>
        <v>特定情境</v>
      </c>
      <c r="I1017" s="15" t="n">
        <f aca="false">AE1017*評分方法!$C$5</f>
        <v>25.5</v>
      </c>
      <c r="J1017" s="15" t="n">
        <f aca="false">AF1017*評分方法!$C$6</f>
        <v>0</v>
      </c>
      <c r="K1017" s="15" t="n">
        <f aca="false">AG1017*評分方法!$C$7</f>
        <v>15</v>
      </c>
      <c r="L1017" s="15" t="n">
        <f aca="false">AH1017*評分方法!$C$8</f>
        <v>13.05</v>
      </c>
      <c r="M1017" s="15" t="n">
        <f aca="false">AI1017*評分方法!$C$9</f>
        <v>10</v>
      </c>
      <c r="N1017" s="15" t="n">
        <f aca="false">AJ1017*評分方法!$C$10</f>
        <v>0.548</v>
      </c>
      <c r="O1017" s="15" t="n">
        <f aca="false">AK1017*評分方法!$C$11</f>
        <v>1</v>
      </c>
      <c r="P1017" s="15" t="n">
        <f aca="false">AL1017*評分方法!$C$12</f>
        <v>0</v>
      </c>
      <c r="Q1017" s="6" t="n">
        <v>133972</v>
      </c>
      <c r="R1017" s="6" t="n">
        <v>1078891008</v>
      </c>
      <c r="S1017" s="11" t="s">
        <v>254</v>
      </c>
      <c r="T1017" s="11" t="s">
        <v>239</v>
      </c>
      <c r="U1017" s="5" t="s">
        <v>240</v>
      </c>
      <c r="V1017" s="11" t="s">
        <v>324</v>
      </c>
      <c r="W1017" s="5" t="s">
        <v>205</v>
      </c>
      <c r="X1017" s="5" t="s">
        <v>242</v>
      </c>
      <c r="Y1017" s="5"/>
      <c r="Z1017" s="5"/>
      <c r="AA1017" s="11" t="s">
        <v>155</v>
      </c>
      <c r="AB1017" s="5" t="s">
        <v>245</v>
      </c>
      <c r="AC1017" s="5"/>
      <c r="AD1017" s="11" t="s">
        <v>2584</v>
      </c>
      <c r="AE1017" s="23" t="n">
        <v>0.85</v>
      </c>
      <c r="AF1017" s="23" t="n">
        <v>0</v>
      </c>
      <c r="AG1017" s="23" t="n">
        <v>1</v>
      </c>
      <c r="AH1017" s="23" t="n">
        <v>0.87</v>
      </c>
      <c r="AI1017" s="23" t="n">
        <v>1</v>
      </c>
      <c r="AJ1017" s="23" t="n">
        <v>0.0548</v>
      </c>
      <c r="AK1017" s="23" t="n">
        <v>0.2</v>
      </c>
      <c r="AL1017" s="23" t="n">
        <v>0</v>
      </c>
      <c r="AM1017" s="16" t="n">
        <f aca="false">COUNTIFS($D$2:$D$2501,D1017,$G$2:$G$2501,"&gt;"&amp;G1017)+COUNTIFS($D$2:D1017,D1017,$G$2:G1017,G1017)</f>
        <v>430</v>
      </c>
      <c r="AN1017" s="5" t="str">
        <f aca="false">D1017&amp;"|"&amp;AM1017</f>
        <v>分析與報告生成|430</v>
      </c>
    </row>
    <row r="1018" customFormat="false" ht="17.15" hidden="false" customHeight="false" outlineLevel="0" collapsed="false">
      <c r="A1018" s="16" t="n">
        <f aca="false">RANK(G1018,$G$2:$G$2501)+COUNTIF($G$2:G1018,G1018)-1</f>
        <v>1017</v>
      </c>
      <c r="B1018" s="11" t="s">
        <v>2585</v>
      </c>
      <c r="C1018" s="11" t="s">
        <v>753</v>
      </c>
      <c r="D1018" s="5" t="s">
        <v>56</v>
      </c>
      <c r="E1018" s="5" t="s">
        <v>57</v>
      </c>
      <c r="F1018" s="5"/>
      <c r="G1018" s="22" t="n">
        <f aca="false">ROUND(SUM(I1018:P1018),3)</f>
        <v>65.046</v>
      </c>
      <c r="H1018" s="5" t="str">
        <f aca="false">IF(G1018&gt;=評分方法!$C$16,"優先評估",IF(G1018&gt;=評分方法!$C$17,"列入候選",IF(G1018&gt;=評分方法!$C$18,"特定情境","不建議")))</f>
        <v>特定情境</v>
      </c>
      <c r="I1018" s="15" t="n">
        <f aca="false">AE1018*評分方法!$C$5</f>
        <v>25.5</v>
      </c>
      <c r="J1018" s="15" t="n">
        <f aca="false">AF1018*評分方法!$C$6</f>
        <v>0</v>
      </c>
      <c r="K1018" s="15" t="n">
        <f aca="false">AG1018*評分方法!$C$7</f>
        <v>10.05</v>
      </c>
      <c r="L1018" s="15" t="n">
        <f aca="false">AH1018*評分方法!$C$8</f>
        <v>9</v>
      </c>
      <c r="M1018" s="15" t="n">
        <f aca="false">AI1018*評分方法!$C$9</f>
        <v>10</v>
      </c>
      <c r="N1018" s="15" t="n">
        <f aca="false">AJ1018*評分方法!$C$10</f>
        <v>2.996</v>
      </c>
      <c r="O1018" s="15" t="n">
        <f aca="false">AK1018*評分方法!$C$11</f>
        <v>2.5</v>
      </c>
      <c r="P1018" s="15" t="n">
        <f aca="false">AL1018*評分方法!$C$12</f>
        <v>5</v>
      </c>
      <c r="Q1018" s="6" t="n">
        <v>293709</v>
      </c>
      <c r="R1018" s="6" t="n">
        <v>23572403200</v>
      </c>
      <c r="S1018" s="11" t="s">
        <v>389</v>
      </c>
      <c r="T1018" s="11" t="s">
        <v>239</v>
      </c>
      <c r="U1018" s="5" t="s">
        <v>240</v>
      </c>
      <c r="V1018" s="11" t="s">
        <v>333</v>
      </c>
      <c r="W1018" s="5" t="s">
        <v>207</v>
      </c>
      <c r="X1018" s="5" t="s">
        <v>284</v>
      </c>
      <c r="Y1018" s="11" t="s">
        <v>612</v>
      </c>
      <c r="Z1018" s="11" t="s">
        <v>244</v>
      </c>
      <c r="AA1018" s="11" t="s">
        <v>156</v>
      </c>
      <c r="AB1018" s="5" t="s">
        <v>245</v>
      </c>
      <c r="AC1018" s="5" t="s">
        <v>246</v>
      </c>
      <c r="AD1018" s="11" t="s">
        <v>2586</v>
      </c>
      <c r="AE1018" s="23" t="n">
        <v>0.85</v>
      </c>
      <c r="AF1018" s="23" t="n">
        <v>0</v>
      </c>
      <c r="AG1018" s="23" t="n">
        <v>0.67</v>
      </c>
      <c r="AH1018" s="23" t="n">
        <v>0.6</v>
      </c>
      <c r="AI1018" s="23" t="n">
        <v>1</v>
      </c>
      <c r="AJ1018" s="23" t="n">
        <v>0.2996</v>
      </c>
      <c r="AK1018" s="23" t="n">
        <v>0.5</v>
      </c>
      <c r="AL1018" s="23" t="n">
        <v>1</v>
      </c>
      <c r="AM1018" s="16" t="n">
        <f aca="false">COUNTIFS($D$2:$D$2501,D1018,$G$2:$G$2501,"&gt;"&amp;G1018)+COUNTIFS($D$2:D1018,D1018,$G$2:G1018,G1018)</f>
        <v>431</v>
      </c>
      <c r="AN1018" s="5" t="str">
        <f aca="false">D1018&amp;"|"&amp;AM1018</f>
        <v>分析與報告生成|431</v>
      </c>
    </row>
    <row r="1019" customFormat="false" ht="17.15" hidden="false" customHeight="false" outlineLevel="0" collapsed="false">
      <c r="A1019" s="16" t="n">
        <f aca="false">RANK(G1019,$G$2:$G$2501)+COUNTIF($G$2:G1019,G1019)-1</f>
        <v>1018</v>
      </c>
      <c r="B1019" s="11" t="s">
        <v>2587</v>
      </c>
      <c r="C1019" s="11" t="s">
        <v>2588</v>
      </c>
      <c r="D1019" s="5" t="s">
        <v>52</v>
      </c>
      <c r="E1019" s="5" t="s">
        <v>53</v>
      </c>
      <c r="F1019" s="5" t="s">
        <v>52</v>
      </c>
      <c r="G1019" s="22" t="n">
        <f aca="false">ROUND(SUM(I1019:P1019),3)</f>
        <v>65.042</v>
      </c>
      <c r="H1019" s="5" t="str">
        <f aca="false">IF(G1019&gt;=評分方法!$C$16,"優先評估",IF(G1019&gt;=評分方法!$C$17,"列入候選",IF(G1019&gt;=評分方法!$C$18,"特定情境","不建議")))</f>
        <v>特定情境</v>
      </c>
      <c r="I1019" s="15" t="n">
        <f aca="false">AE1019*評分方法!$C$5</f>
        <v>15</v>
      </c>
      <c r="J1019" s="15" t="n">
        <f aca="false">AF1019*評分方法!$C$6</f>
        <v>7</v>
      </c>
      <c r="K1019" s="15" t="n">
        <f aca="false">AG1019*評分方法!$C$7</f>
        <v>4.95</v>
      </c>
      <c r="L1019" s="15" t="n">
        <f aca="false">AH1019*評分方法!$C$8</f>
        <v>15</v>
      </c>
      <c r="M1019" s="15" t="n">
        <f aca="false">AI1019*評分方法!$C$9</f>
        <v>10</v>
      </c>
      <c r="N1019" s="15" t="n">
        <f aca="false">AJ1019*評分方法!$C$10</f>
        <v>6.592</v>
      </c>
      <c r="O1019" s="15" t="n">
        <f aca="false">AK1019*評分方法!$C$11</f>
        <v>5</v>
      </c>
      <c r="P1019" s="15" t="n">
        <f aca="false">AL1019*評分方法!$C$12</f>
        <v>1.5</v>
      </c>
      <c r="Q1019" s="6" t="n">
        <v>778044</v>
      </c>
      <c r="R1019" s="6" t="n">
        <v>195206006</v>
      </c>
      <c r="S1019" s="11" t="s">
        <v>238</v>
      </c>
      <c r="T1019" s="11" t="s">
        <v>239</v>
      </c>
      <c r="U1019" s="5" t="s">
        <v>240</v>
      </c>
      <c r="V1019" s="11" t="s">
        <v>261</v>
      </c>
      <c r="W1019" s="5" t="s">
        <v>334</v>
      </c>
      <c r="X1019" s="5" t="s">
        <v>255</v>
      </c>
      <c r="Y1019" s="11" t="s">
        <v>2589</v>
      </c>
      <c r="Z1019" s="11" t="s">
        <v>270</v>
      </c>
      <c r="AA1019" s="11" t="s">
        <v>172</v>
      </c>
      <c r="AB1019" s="5" t="s">
        <v>245</v>
      </c>
      <c r="AC1019" s="5"/>
      <c r="AD1019" s="11" t="s">
        <v>2590</v>
      </c>
      <c r="AE1019" s="23" t="n">
        <v>0.5</v>
      </c>
      <c r="AF1019" s="23" t="n">
        <v>0.7</v>
      </c>
      <c r="AG1019" s="23" t="n">
        <v>0.33</v>
      </c>
      <c r="AH1019" s="23" t="n">
        <v>1</v>
      </c>
      <c r="AI1019" s="23" t="n">
        <v>1</v>
      </c>
      <c r="AJ1019" s="23" t="n">
        <v>0.6592</v>
      </c>
      <c r="AK1019" s="23" t="n">
        <v>1</v>
      </c>
      <c r="AL1019" s="23" t="n">
        <v>0.3</v>
      </c>
      <c r="AM1019" s="16" t="n">
        <f aca="false">COUNTIFS($D$2:$D$2501,D1019,$G$2:$G$2501,"&gt;"&amp;G1019)+COUNTIFS($D$2:D1019,D1019,$G$2:G1019,G1019)</f>
        <v>4</v>
      </c>
      <c r="AN1019" s="5" t="str">
        <f aca="false">D1019&amp;"|"&amp;AM1019</f>
        <v>深偽與生成內容偵測|4</v>
      </c>
    </row>
    <row r="1020" customFormat="false" ht="17.15" hidden="false" customHeight="false" outlineLevel="0" collapsed="false">
      <c r="A1020" s="16" t="n">
        <f aca="false">RANK(G1020,$G$2:$G$2501)+COUNTIF($G$2:G1020,G1020)-1</f>
        <v>1019</v>
      </c>
      <c r="B1020" s="11" t="s">
        <v>2591</v>
      </c>
      <c r="C1020" s="11" t="s">
        <v>891</v>
      </c>
      <c r="D1020" s="5" t="s">
        <v>56</v>
      </c>
      <c r="E1020" s="5" t="s">
        <v>57</v>
      </c>
      <c r="F1020" s="5"/>
      <c r="G1020" s="22" t="n">
        <f aca="false">ROUND(SUM(I1020:P1020),3)</f>
        <v>64.994</v>
      </c>
      <c r="H1020" s="5" t="str">
        <f aca="false">IF(G1020&gt;=評分方法!$C$16,"優先評估",IF(G1020&gt;=評分方法!$C$17,"列入候選",IF(G1020&gt;=評分方法!$C$18,"特定情境","不建議")))</f>
        <v>特定情境</v>
      </c>
      <c r="I1020" s="15" t="n">
        <f aca="false">AE1020*評分方法!$C$5</f>
        <v>25.5</v>
      </c>
      <c r="J1020" s="15" t="n">
        <f aca="false">AF1020*評分方法!$C$6</f>
        <v>0</v>
      </c>
      <c r="K1020" s="15" t="n">
        <f aca="false">AG1020*評分方法!$C$7</f>
        <v>10.05</v>
      </c>
      <c r="L1020" s="15" t="n">
        <f aca="false">AH1020*評分方法!$C$8</f>
        <v>15</v>
      </c>
      <c r="M1020" s="15" t="n">
        <f aca="false">AI1020*評分方法!$C$9</f>
        <v>6</v>
      </c>
      <c r="N1020" s="15" t="n">
        <f aca="false">AJ1020*評分方法!$C$10</f>
        <v>2.944</v>
      </c>
      <c r="O1020" s="15" t="n">
        <f aca="false">AK1020*評分方法!$C$11</f>
        <v>2.5</v>
      </c>
      <c r="P1020" s="15" t="n">
        <f aca="false">AL1020*評分方法!$C$12</f>
        <v>3</v>
      </c>
      <c r="Q1020" s="6" t="n">
        <v>290057</v>
      </c>
      <c r="R1020" s="6" t="n">
        <v>999885952</v>
      </c>
      <c r="S1020" s="11" t="s">
        <v>238</v>
      </c>
      <c r="T1020" s="11" t="s">
        <v>658</v>
      </c>
      <c r="U1020" s="5" t="s">
        <v>260</v>
      </c>
      <c r="V1020" s="11" t="s">
        <v>333</v>
      </c>
      <c r="W1020" s="5" t="s">
        <v>207</v>
      </c>
      <c r="X1020" s="5" t="s">
        <v>371</v>
      </c>
      <c r="Y1020" s="11" t="s">
        <v>657</v>
      </c>
      <c r="Z1020" s="11" t="s">
        <v>244</v>
      </c>
      <c r="AA1020" s="11" t="s">
        <v>155</v>
      </c>
      <c r="AB1020" s="5" t="s">
        <v>245</v>
      </c>
      <c r="AC1020" s="5" t="s">
        <v>464</v>
      </c>
      <c r="AD1020" s="11" t="s">
        <v>2592</v>
      </c>
      <c r="AE1020" s="23" t="n">
        <v>0.85</v>
      </c>
      <c r="AF1020" s="23" t="n">
        <v>0</v>
      </c>
      <c r="AG1020" s="23" t="n">
        <v>0.67</v>
      </c>
      <c r="AH1020" s="23" t="n">
        <v>1</v>
      </c>
      <c r="AI1020" s="23" t="n">
        <v>0.6</v>
      </c>
      <c r="AJ1020" s="23" t="n">
        <v>0.2944</v>
      </c>
      <c r="AK1020" s="23" t="n">
        <v>0.5</v>
      </c>
      <c r="AL1020" s="23" t="n">
        <v>0.6</v>
      </c>
      <c r="AM1020" s="16" t="n">
        <f aca="false">COUNTIFS($D$2:$D$2501,D1020,$G$2:$G$2501,"&gt;"&amp;G1020)+COUNTIFS($D$2:D1020,D1020,$G$2:G1020,G1020)</f>
        <v>432</v>
      </c>
      <c r="AN1020" s="5" t="str">
        <f aca="false">D1020&amp;"|"&amp;AM1020</f>
        <v>分析與報告生成|432</v>
      </c>
    </row>
    <row r="1021" customFormat="false" ht="17.15" hidden="false" customHeight="false" outlineLevel="0" collapsed="false">
      <c r="A1021" s="16" t="n">
        <f aca="false">RANK(G1021,$G$2:$G$2501)+COUNTIF($G$2:G1021,G1021)-1</f>
        <v>1020</v>
      </c>
      <c r="B1021" s="11" t="s">
        <v>2593</v>
      </c>
      <c r="C1021" s="11" t="s">
        <v>1806</v>
      </c>
      <c r="D1021" s="5" t="s">
        <v>56</v>
      </c>
      <c r="E1021" s="5" t="s">
        <v>57</v>
      </c>
      <c r="F1021" s="5"/>
      <c r="G1021" s="22" t="n">
        <f aca="false">ROUND(SUM(I1021:P1021),3)</f>
        <v>64.992</v>
      </c>
      <c r="H1021" s="5" t="str">
        <f aca="false">IF(G1021&gt;=評分方法!$C$16,"優先評估",IF(G1021&gt;=評分方法!$C$17,"列入候選",IF(G1021&gt;=評分方法!$C$18,"特定情境","不建議")))</f>
        <v>特定情境</v>
      </c>
      <c r="I1021" s="15" t="n">
        <f aca="false">AE1021*評分方法!$C$5</f>
        <v>25.5</v>
      </c>
      <c r="J1021" s="15" t="n">
        <f aca="false">AF1021*評分方法!$C$6</f>
        <v>0</v>
      </c>
      <c r="K1021" s="15" t="n">
        <f aca="false">AG1021*評分方法!$C$7</f>
        <v>4.95</v>
      </c>
      <c r="L1021" s="15" t="n">
        <f aca="false">AH1021*評分方法!$C$8</f>
        <v>13.05</v>
      </c>
      <c r="M1021" s="15" t="n">
        <f aca="false">AI1021*評分方法!$C$9</f>
        <v>10</v>
      </c>
      <c r="N1021" s="15" t="n">
        <f aca="false">AJ1021*評分方法!$C$10</f>
        <v>3.492</v>
      </c>
      <c r="O1021" s="15" t="n">
        <f aca="false">AK1021*評分方法!$C$11</f>
        <v>5</v>
      </c>
      <c r="P1021" s="15" t="n">
        <f aca="false">AL1021*評分方法!$C$12</f>
        <v>3</v>
      </c>
      <c r="Q1021" s="6" t="n">
        <v>351115</v>
      </c>
      <c r="R1021" s="6" t="n">
        <v>8840488784</v>
      </c>
      <c r="S1021" s="11" t="s">
        <v>254</v>
      </c>
      <c r="T1021" s="11" t="s">
        <v>239</v>
      </c>
      <c r="U1021" s="5" t="s">
        <v>240</v>
      </c>
      <c r="V1021" s="11" t="s">
        <v>261</v>
      </c>
      <c r="W1021" s="5" t="s">
        <v>334</v>
      </c>
      <c r="X1021" s="5" t="s">
        <v>371</v>
      </c>
      <c r="Y1021" s="11" t="s">
        <v>2594</v>
      </c>
      <c r="Z1021" s="11" t="s">
        <v>270</v>
      </c>
      <c r="AA1021" s="11" t="s">
        <v>155</v>
      </c>
      <c r="AB1021" s="5" t="s">
        <v>496</v>
      </c>
      <c r="AC1021" s="5" t="s">
        <v>497</v>
      </c>
      <c r="AD1021" s="11" t="s">
        <v>2595</v>
      </c>
      <c r="AE1021" s="23" t="n">
        <v>0.85</v>
      </c>
      <c r="AF1021" s="23" t="n">
        <v>0</v>
      </c>
      <c r="AG1021" s="23" t="n">
        <v>0.33</v>
      </c>
      <c r="AH1021" s="23" t="n">
        <v>0.87</v>
      </c>
      <c r="AI1021" s="23" t="n">
        <v>1</v>
      </c>
      <c r="AJ1021" s="23" t="n">
        <v>0.3492</v>
      </c>
      <c r="AK1021" s="23" t="n">
        <v>1</v>
      </c>
      <c r="AL1021" s="23" t="n">
        <v>0.6</v>
      </c>
      <c r="AM1021" s="16" t="n">
        <f aca="false">COUNTIFS($D$2:$D$2501,D1021,$G$2:$G$2501,"&gt;"&amp;G1021)+COUNTIFS($D$2:D1021,D1021,$G$2:G1021,G1021)</f>
        <v>433</v>
      </c>
      <c r="AN1021" s="5" t="str">
        <f aca="false">D1021&amp;"|"&amp;AM1021</f>
        <v>分析與報告生成|433</v>
      </c>
    </row>
    <row r="1022" customFormat="false" ht="17.15" hidden="false" customHeight="false" outlineLevel="0" collapsed="false">
      <c r="A1022" s="16" t="n">
        <f aca="false">RANK(G1022,$G$2:$G$2501)+COUNTIF($G$2:G1022,G1022)-1</f>
        <v>1021</v>
      </c>
      <c r="B1022" s="11" t="s">
        <v>2596</v>
      </c>
      <c r="C1022" s="11" t="s">
        <v>2597</v>
      </c>
      <c r="D1022" s="5" t="s">
        <v>56</v>
      </c>
      <c r="E1022" s="5" t="s">
        <v>57</v>
      </c>
      <c r="F1022" s="5"/>
      <c r="G1022" s="22" t="n">
        <f aca="false">ROUND(SUM(I1022:P1022),3)</f>
        <v>64.986</v>
      </c>
      <c r="H1022" s="5" t="str">
        <f aca="false">IF(G1022&gt;=評分方法!$C$16,"優先評估",IF(G1022&gt;=評分方法!$C$17,"列入候選",IF(G1022&gt;=評分方法!$C$18,"特定情境","不建議")))</f>
        <v>特定情境</v>
      </c>
      <c r="I1022" s="15" t="n">
        <f aca="false">AE1022*評分方法!$C$5</f>
        <v>25.5</v>
      </c>
      <c r="J1022" s="15" t="n">
        <f aca="false">AF1022*評分方法!$C$6</f>
        <v>0</v>
      </c>
      <c r="K1022" s="15" t="n">
        <f aca="false">AG1022*評分方法!$C$7</f>
        <v>4.95</v>
      </c>
      <c r="L1022" s="15" t="n">
        <f aca="false">AH1022*評分方法!$C$8</f>
        <v>9</v>
      </c>
      <c r="M1022" s="15" t="n">
        <f aca="false">AI1022*評分方法!$C$9</f>
        <v>10</v>
      </c>
      <c r="N1022" s="15" t="n">
        <f aca="false">AJ1022*評分方法!$C$10</f>
        <v>8.036</v>
      </c>
      <c r="O1022" s="15" t="n">
        <f aca="false">AK1022*評分方法!$C$11</f>
        <v>2.5</v>
      </c>
      <c r="P1022" s="15" t="n">
        <f aca="false">AL1022*評分方法!$C$12</f>
        <v>5</v>
      </c>
      <c r="Q1022" s="6" t="n">
        <v>1600706</v>
      </c>
      <c r="R1022" s="6" t="n">
        <v>23572403200</v>
      </c>
      <c r="S1022" s="11" t="s">
        <v>389</v>
      </c>
      <c r="T1022" s="11" t="s">
        <v>239</v>
      </c>
      <c r="U1022" s="5" t="s">
        <v>240</v>
      </c>
      <c r="V1022" s="11" t="s">
        <v>261</v>
      </c>
      <c r="W1022" s="5" t="s">
        <v>334</v>
      </c>
      <c r="X1022" s="5" t="s">
        <v>284</v>
      </c>
      <c r="Y1022" s="11" t="s">
        <v>1247</v>
      </c>
      <c r="Z1022" s="11" t="s">
        <v>244</v>
      </c>
      <c r="AA1022" s="11" t="s">
        <v>155</v>
      </c>
      <c r="AB1022" s="5" t="s">
        <v>245</v>
      </c>
      <c r="AC1022" s="5" t="s">
        <v>246</v>
      </c>
      <c r="AD1022" s="11" t="s">
        <v>2598</v>
      </c>
      <c r="AE1022" s="23" t="n">
        <v>0.85</v>
      </c>
      <c r="AF1022" s="23" t="n">
        <v>0</v>
      </c>
      <c r="AG1022" s="23" t="n">
        <v>0.33</v>
      </c>
      <c r="AH1022" s="23" t="n">
        <v>0.6</v>
      </c>
      <c r="AI1022" s="23" t="n">
        <v>1</v>
      </c>
      <c r="AJ1022" s="23" t="n">
        <v>0.8036</v>
      </c>
      <c r="AK1022" s="23" t="n">
        <v>0.5</v>
      </c>
      <c r="AL1022" s="23" t="n">
        <v>1</v>
      </c>
      <c r="AM1022" s="16" t="n">
        <f aca="false">COUNTIFS($D$2:$D$2501,D1022,$G$2:$G$2501,"&gt;"&amp;G1022)+COUNTIFS($D$2:D1022,D1022,$G$2:G1022,G1022)</f>
        <v>434</v>
      </c>
      <c r="AN1022" s="5" t="str">
        <f aca="false">D1022&amp;"|"&amp;AM1022</f>
        <v>分析與報告生成|434</v>
      </c>
    </row>
    <row r="1023" customFormat="false" ht="17.15" hidden="false" customHeight="false" outlineLevel="0" collapsed="false">
      <c r="A1023" s="16" t="n">
        <f aca="false">RANK(G1023,$G$2:$G$2501)+COUNTIF($G$2:G1023,G1023)-1</f>
        <v>1022</v>
      </c>
      <c r="B1023" s="11" t="s">
        <v>2599</v>
      </c>
      <c r="C1023" s="11" t="s">
        <v>2360</v>
      </c>
      <c r="D1023" s="5" t="s">
        <v>54</v>
      </c>
      <c r="E1023" s="5" t="s">
        <v>55</v>
      </c>
      <c r="F1023" s="5"/>
      <c r="G1023" s="22" t="n">
        <f aca="false">ROUND(SUM(I1023:P1023),3)</f>
        <v>64.982</v>
      </c>
      <c r="H1023" s="5" t="str">
        <f aca="false">IF(G1023&gt;=評分方法!$C$16,"優先評估",IF(G1023&gt;=評分方法!$C$17,"列入候選",IF(G1023&gt;=評分方法!$C$18,"特定情境","不建議")))</f>
        <v>特定情境</v>
      </c>
      <c r="I1023" s="15" t="n">
        <f aca="false">AE1023*評分方法!$C$5</f>
        <v>27</v>
      </c>
      <c r="J1023" s="15" t="n">
        <f aca="false">AF1023*評分方法!$C$6</f>
        <v>0</v>
      </c>
      <c r="K1023" s="15" t="n">
        <f aca="false">AG1023*評分方法!$C$7</f>
        <v>4.95</v>
      </c>
      <c r="L1023" s="15" t="n">
        <f aca="false">AH1023*評分方法!$C$8</f>
        <v>15</v>
      </c>
      <c r="M1023" s="15" t="n">
        <f aca="false">AI1023*評分方法!$C$9</f>
        <v>10</v>
      </c>
      <c r="N1023" s="15" t="n">
        <f aca="false">AJ1023*評分方法!$C$10</f>
        <v>5.532</v>
      </c>
      <c r="O1023" s="15" t="n">
        <f aca="false">AK1023*評分方法!$C$11</f>
        <v>2.5</v>
      </c>
      <c r="P1023" s="15" t="n">
        <f aca="false">AL1023*評分方法!$C$12</f>
        <v>0</v>
      </c>
      <c r="Q1023" s="6" t="n">
        <v>577551</v>
      </c>
      <c r="R1023" s="6" t="n">
        <v>33360000</v>
      </c>
      <c r="S1023" s="11" t="s">
        <v>238</v>
      </c>
      <c r="T1023" s="11" t="s">
        <v>278</v>
      </c>
      <c r="U1023" s="5" t="s">
        <v>240</v>
      </c>
      <c r="V1023" s="11" t="s">
        <v>288</v>
      </c>
      <c r="W1023" s="5" t="s">
        <v>334</v>
      </c>
      <c r="X1023" s="5" t="s">
        <v>242</v>
      </c>
      <c r="Y1023" s="5"/>
      <c r="Z1023" s="5"/>
      <c r="AA1023" s="11" t="s">
        <v>152</v>
      </c>
      <c r="AB1023" s="5" t="s">
        <v>245</v>
      </c>
      <c r="AC1023" s="5"/>
      <c r="AD1023" s="11" t="s">
        <v>2600</v>
      </c>
      <c r="AE1023" s="23" t="n">
        <v>0.9</v>
      </c>
      <c r="AF1023" s="23" t="n">
        <v>0</v>
      </c>
      <c r="AG1023" s="23" t="n">
        <v>0.33</v>
      </c>
      <c r="AH1023" s="23" t="n">
        <v>1</v>
      </c>
      <c r="AI1023" s="23" t="n">
        <v>1</v>
      </c>
      <c r="AJ1023" s="23" t="n">
        <v>0.5532</v>
      </c>
      <c r="AK1023" s="23" t="n">
        <v>0.5</v>
      </c>
      <c r="AL1023" s="23" t="n">
        <v>0</v>
      </c>
      <c r="AM1023" s="16" t="n">
        <f aca="false">COUNTIFS($D$2:$D$2501,D1023,$G$2:$G$2501,"&gt;"&amp;G1023)+COUNTIFS($D$2:D1023,D1023,$G$2:G1023,G1023)</f>
        <v>158</v>
      </c>
      <c r="AN1023" s="5" t="str">
        <f aca="false">D1023&amp;"|"&amp;AM1023</f>
        <v>檢索與情資關聯|158</v>
      </c>
    </row>
    <row r="1024" customFormat="false" ht="17.15" hidden="false" customHeight="false" outlineLevel="0" collapsed="false">
      <c r="A1024" s="16" t="n">
        <f aca="false">RANK(G1024,$G$2:$G$2501)+COUNTIF($G$2:G1024,G1024)-1</f>
        <v>1023</v>
      </c>
      <c r="B1024" s="11" t="s">
        <v>2601</v>
      </c>
      <c r="C1024" s="11" t="s">
        <v>1111</v>
      </c>
      <c r="D1024" s="5" t="s">
        <v>56</v>
      </c>
      <c r="E1024" s="5" t="s">
        <v>57</v>
      </c>
      <c r="F1024" s="5"/>
      <c r="G1024" s="22" t="n">
        <f aca="false">ROUND(SUM(I1024:P1024),3)</f>
        <v>64.972</v>
      </c>
      <c r="H1024" s="5" t="str">
        <f aca="false">IF(G1024&gt;=評分方法!$C$16,"優先評估",IF(G1024&gt;=評分方法!$C$17,"列入候選",IF(G1024&gt;=評分方法!$C$18,"特定情境","不建議")))</f>
        <v>特定情境</v>
      </c>
      <c r="I1024" s="15" t="n">
        <f aca="false">AE1024*評分方法!$C$5</f>
        <v>25.5</v>
      </c>
      <c r="J1024" s="15" t="n">
        <f aca="false">AF1024*評分方法!$C$6</f>
        <v>0</v>
      </c>
      <c r="K1024" s="15" t="n">
        <f aca="false">AG1024*評分方法!$C$7</f>
        <v>10.05</v>
      </c>
      <c r="L1024" s="15" t="n">
        <f aca="false">AH1024*評分方法!$C$8</f>
        <v>13.05</v>
      </c>
      <c r="M1024" s="15" t="n">
        <f aca="false">AI1024*評分方法!$C$9</f>
        <v>6</v>
      </c>
      <c r="N1024" s="15" t="n">
        <f aca="false">AJ1024*評分方法!$C$10</f>
        <v>9.372</v>
      </c>
      <c r="O1024" s="15" t="n">
        <f aca="false">AK1024*評分方法!$C$11</f>
        <v>1</v>
      </c>
      <c r="P1024" s="15" t="n">
        <f aca="false">AL1024*評分方法!$C$12</f>
        <v>0</v>
      </c>
      <c r="Q1024" s="6" t="n">
        <v>7118671</v>
      </c>
      <c r="R1024" s="6" t="n">
        <v>1498859520</v>
      </c>
      <c r="S1024" s="11" t="s">
        <v>254</v>
      </c>
      <c r="T1024" s="11" t="s">
        <v>1044</v>
      </c>
      <c r="U1024" s="5" t="s">
        <v>260</v>
      </c>
      <c r="V1024" s="11" t="s">
        <v>261</v>
      </c>
      <c r="W1024" s="5" t="s">
        <v>207</v>
      </c>
      <c r="X1024" s="5" t="s">
        <v>242</v>
      </c>
      <c r="Y1024" s="11" t="s">
        <v>1309</v>
      </c>
      <c r="Z1024" s="11" t="s">
        <v>244</v>
      </c>
      <c r="AA1024" s="11" t="s">
        <v>155</v>
      </c>
      <c r="AB1024" s="5" t="s">
        <v>245</v>
      </c>
      <c r="AC1024" s="5" t="s">
        <v>464</v>
      </c>
      <c r="AD1024" s="11" t="s">
        <v>2602</v>
      </c>
      <c r="AE1024" s="23" t="n">
        <v>0.85</v>
      </c>
      <c r="AF1024" s="23" t="n">
        <v>0</v>
      </c>
      <c r="AG1024" s="23" t="n">
        <v>0.67</v>
      </c>
      <c r="AH1024" s="23" t="n">
        <v>0.87</v>
      </c>
      <c r="AI1024" s="23" t="n">
        <v>0.6</v>
      </c>
      <c r="AJ1024" s="23" t="n">
        <v>0.9372</v>
      </c>
      <c r="AK1024" s="23" t="n">
        <v>0.2</v>
      </c>
      <c r="AL1024" s="23" t="n">
        <v>0</v>
      </c>
      <c r="AM1024" s="16" t="n">
        <f aca="false">COUNTIFS($D$2:$D$2501,D1024,$G$2:$G$2501,"&gt;"&amp;G1024)+COUNTIFS($D$2:D1024,D1024,$G$2:G1024,G1024)</f>
        <v>435</v>
      </c>
      <c r="AN1024" s="5" t="str">
        <f aca="false">D1024&amp;"|"&amp;AM1024</f>
        <v>分析與報告生成|435</v>
      </c>
    </row>
    <row r="1025" customFormat="false" ht="17.15" hidden="false" customHeight="false" outlineLevel="0" collapsed="false">
      <c r="A1025" s="16" t="n">
        <f aca="false">RANK(G1025,$G$2:$G$2501)+COUNTIF($G$2:G1025,G1025)-1</f>
        <v>1024</v>
      </c>
      <c r="B1025" s="11" t="s">
        <v>2603</v>
      </c>
      <c r="C1025" s="11" t="s">
        <v>753</v>
      </c>
      <c r="D1025" s="5" t="s">
        <v>56</v>
      </c>
      <c r="E1025" s="5" t="s">
        <v>57</v>
      </c>
      <c r="F1025" s="5"/>
      <c r="G1025" s="22" t="n">
        <f aca="false">ROUND(SUM(I1025:P1025),3)</f>
        <v>64.934</v>
      </c>
      <c r="H1025" s="5" t="str">
        <f aca="false">IF(G1025&gt;=評分方法!$C$16,"優先評估",IF(G1025&gt;=評分方法!$C$17,"列入候選",IF(G1025&gt;=評分方法!$C$18,"特定情境","不建議")))</f>
        <v>特定情境</v>
      </c>
      <c r="I1025" s="15" t="n">
        <f aca="false">AE1025*評分方法!$C$5</f>
        <v>25.5</v>
      </c>
      <c r="J1025" s="15" t="n">
        <f aca="false">AF1025*評分方法!$C$6</f>
        <v>0</v>
      </c>
      <c r="K1025" s="15" t="n">
        <f aca="false">AG1025*評分方法!$C$7</f>
        <v>10.05</v>
      </c>
      <c r="L1025" s="15" t="n">
        <f aca="false">AH1025*評分方法!$C$8</f>
        <v>15</v>
      </c>
      <c r="M1025" s="15" t="n">
        <f aca="false">AI1025*評分方法!$C$9</f>
        <v>6</v>
      </c>
      <c r="N1025" s="15" t="n">
        <f aca="false">AJ1025*評分方法!$C$10</f>
        <v>5.884</v>
      </c>
      <c r="O1025" s="15" t="n">
        <f aca="false">AK1025*評分方法!$C$11</f>
        <v>2.5</v>
      </c>
      <c r="P1025" s="15" t="n">
        <f aca="false">AL1025*評分方法!$C$12</f>
        <v>0</v>
      </c>
      <c r="Q1025" s="6" t="n">
        <v>605395</v>
      </c>
      <c r="R1025" s="6" t="n">
        <v>999885952</v>
      </c>
      <c r="S1025" s="11" t="s">
        <v>238</v>
      </c>
      <c r="T1025" s="11" t="s">
        <v>658</v>
      </c>
      <c r="U1025" s="5" t="s">
        <v>260</v>
      </c>
      <c r="V1025" s="11" t="s">
        <v>261</v>
      </c>
      <c r="W1025" s="5" t="s">
        <v>207</v>
      </c>
      <c r="X1025" s="5" t="s">
        <v>242</v>
      </c>
      <c r="Y1025" s="11" t="s">
        <v>657</v>
      </c>
      <c r="Z1025" s="11" t="s">
        <v>270</v>
      </c>
      <c r="AA1025" s="11" t="s">
        <v>155</v>
      </c>
      <c r="AB1025" s="5" t="s">
        <v>245</v>
      </c>
      <c r="AC1025" s="5" t="s">
        <v>262</v>
      </c>
      <c r="AD1025" s="11" t="s">
        <v>2604</v>
      </c>
      <c r="AE1025" s="23" t="n">
        <v>0.85</v>
      </c>
      <c r="AF1025" s="23" t="n">
        <v>0</v>
      </c>
      <c r="AG1025" s="23" t="n">
        <v>0.67</v>
      </c>
      <c r="AH1025" s="23" t="n">
        <v>1</v>
      </c>
      <c r="AI1025" s="23" t="n">
        <v>0.6</v>
      </c>
      <c r="AJ1025" s="23" t="n">
        <v>0.5884</v>
      </c>
      <c r="AK1025" s="23" t="n">
        <v>0.5</v>
      </c>
      <c r="AL1025" s="23" t="n">
        <v>0</v>
      </c>
      <c r="AM1025" s="16" t="n">
        <f aca="false">COUNTIFS($D$2:$D$2501,D1025,$G$2:$G$2501,"&gt;"&amp;G1025)+COUNTIFS($D$2:D1025,D1025,$G$2:G1025,G1025)</f>
        <v>436</v>
      </c>
      <c r="AN1025" s="5" t="str">
        <f aca="false">D1025&amp;"|"&amp;AM1025</f>
        <v>分析與報告生成|436</v>
      </c>
    </row>
    <row r="1026" customFormat="false" ht="17.15" hidden="false" customHeight="false" outlineLevel="0" collapsed="false">
      <c r="A1026" s="16" t="n">
        <f aca="false">RANK(G1026,$G$2:$G$2501)+COUNTIF($G$2:G1026,G1026)-1</f>
        <v>1025</v>
      </c>
      <c r="B1026" s="11" t="s">
        <v>2605</v>
      </c>
      <c r="C1026" s="11" t="s">
        <v>299</v>
      </c>
      <c r="D1026" s="5" t="s">
        <v>74</v>
      </c>
      <c r="E1026" s="5" t="s">
        <v>75</v>
      </c>
      <c r="F1026" s="5"/>
      <c r="G1026" s="22" t="n">
        <f aca="false">ROUND(SUM(I1026:P1026),3)</f>
        <v>64.918</v>
      </c>
      <c r="H1026" s="5" t="str">
        <f aca="false">IF(G1026&gt;=評分方法!$C$16,"優先評估",IF(G1026&gt;=評分方法!$C$17,"列入候選",IF(G1026&gt;=評分方法!$C$18,"特定情境","不建議")))</f>
        <v>特定情境</v>
      </c>
      <c r="I1026" s="15" t="n">
        <f aca="false">AE1026*評分方法!$C$5</f>
        <v>13.5</v>
      </c>
      <c r="J1026" s="15" t="n">
        <f aca="false">AF1026*評分方法!$C$6</f>
        <v>0</v>
      </c>
      <c r="K1026" s="15" t="n">
        <f aca="false">AG1026*評分方法!$C$7</f>
        <v>15</v>
      </c>
      <c r="L1026" s="15" t="n">
        <f aca="false">AH1026*評分方法!$C$8</f>
        <v>13.05</v>
      </c>
      <c r="M1026" s="15" t="n">
        <f aca="false">AI1026*評分方法!$C$9</f>
        <v>10</v>
      </c>
      <c r="N1026" s="15" t="n">
        <f aca="false">AJ1026*評分方法!$C$10</f>
        <v>7.868</v>
      </c>
      <c r="O1026" s="15" t="n">
        <f aca="false">AK1026*評分方法!$C$11</f>
        <v>4</v>
      </c>
      <c r="P1026" s="15" t="n">
        <f aca="false">AL1026*評分方法!$C$12</f>
        <v>1.5</v>
      </c>
      <c r="Q1026" s="6" t="n">
        <v>1445268</v>
      </c>
      <c r="R1026" s="6" t="n">
        <v>2975396928</v>
      </c>
      <c r="S1026" s="11" t="s">
        <v>254</v>
      </c>
      <c r="T1026" s="11" t="s">
        <v>239</v>
      </c>
      <c r="U1026" s="5" t="s">
        <v>240</v>
      </c>
      <c r="V1026" s="11" t="s">
        <v>261</v>
      </c>
      <c r="W1026" s="5" t="s">
        <v>205</v>
      </c>
      <c r="X1026" s="5" t="s">
        <v>255</v>
      </c>
      <c r="Y1026" s="5"/>
      <c r="Z1026" s="5"/>
      <c r="AA1026" s="11" t="s">
        <v>163</v>
      </c>
      <c r="AB1026" s="5" t="s">
        <v>245</v>
      </c>
      <c r="AC1026" s="5"/>
      <c r="AD1026" s="11" t="s">
        <v>2606</v>
      </c>
      <c r="AE1026" s="23" t="n">
        <v>0.45</v>
      </c>
      <c r="AF1026" s="23" t="n">
        <v>0</v>
      </c>
      <c r="AG1026" s="23" t="n">
        <v>1</v>
      </c>
      <c r="AH1026" s="23" t="n">
        <v>0.87</v>
      </c>
      <c r="AI1026" s="23" t="n">
        <v>1</v>
      </c>
      <c r="AJ1026" s="23" t="n">
        <v>0.7868</v>
      </c>
      <c r="AK1026" s="23" t="n">
        <v>0.8</v>
      </c>
      <c r="AL1026" s="23" t="n">
        <v>0.3</v>
      </c>
      <c r="AM1026" s="16" t="n">
        <f aca="false">COUNTIFS($D$2:$D$2501,D1026,$G$2:$G$2501,"&gt;"&amp;G1026)+COUNTIFS($D$2:D1026,D1026,$G$2:G1026,G1026)</f>
        <v>11</v>
      </c>
      <c r="AN1026" s="5" t="str">
        <f aca="false">D1026&amp;"|"&amp;AM1026</f>
        <v>文件與影像辨識|11</v>
      </c>
    </row>
    <row r="1027" customFormat="false" ht="17.15" hidden="false" customHeight="false" outlineLevel="0" collapsed="false">
      <c r="A1027" s="16" t="n">
        <f aca="false">RANK(G1027,$G$2:$G$2501)+COUNTIF($G$2:G1027,G1027)-1</f>
        <v>1026</v>
      </c>
      <c r="B1027" s="11" t="s">
        <v>2607</v>
      </c>
      <c r="C1027" s="11" t="s">
        <v>1509</v>
      </c>
      <c r="D1027" s="5" t="s">
        <v>56</v>
      </c>
      <c r="E1027" s="5" t="s">
        <v>57</v>
      </c>
      <c r="F1027" s="5"/>
      <c r="G1027" s="22" t="n">
        <f aca="false">ROUND(SUM(I1027:P1027),3)</f>
        <v>64.916</v>
      </c>
      <c r="H1027" s="5" t="str">
        <f aca="false">IF(G1027&gt;=評分方法!$C$16,"優先評估",IF(G1027&gt;=評分方法!$C$17,"列入候選",IF(G1027&gt;=評分方法!$C$18,"特定情境","不建議")))</f>
        <v>特定情境</v>
      </c>
      <c r="I1027" s="15" t="n">
        <f aca="false">AE1027*評分方法!$C$5</f>
        <v>25.5</v>
      </c>
      <c r="J1027" s="15" t="n">
        <f aca="false">AF1027*評分方法!$C$6</f>
        <v>0</v>
      </c>
      <c r="K1027" s="15" t="n">
        <f aca="false">AG1027*評分方法!$C$7</f>
        <v>4.95</v>
      </c>
      <c r="L1027" s="15" t="n">
        <f aca="false">AH1027*評分方法!$C$8</f>
        <v>13.05</v>
      </c>
      <c r="M1027" s="15" t="n">
        <f aca="false">AI1027*評分方法!$C$9</f>
        <v>10</v>
      </c>
      <c r="N1027" s="15" t="n">
        <f aca="false">AJ1027*評分方法!$C$10</f>
        <v>4.416</v>
      </c>
      <c r="O1027" s="15" t="n">
        <f aca="false">AK1027*評分方法!$C$11</f>
        <v>4</v>
      </c>
      <c r="P1027" s="15" t="n">
        <f aca="false">AL1027*評分方法!$C$12</f>
        <v>3</v>
      </c>
      <c r="Q1027" s="6" t="n">
        <v>481483</v>
      </c>
      <c r="R1027" s="6" t="n">
        <v>8188548096</v>
      </c>
      <c r="S1027" s="11" t="s">
        <v>254</v>
      </c>
      <c r="T1027" s="11" t="s">
        <v>239</v>
      </c>
      <c r="U1027" s="5" t="s">
        <v>240</v>
      </c>
      <c r="V1027" s="11" t="s">
        <v>333</v>
      </c>
      <c r="W1027" s="5" t="s">
        <v>334</v>
      </c>
      <c r="X1027" s="5" t="s">
        <v>371</v>
      </c>
      <c r="Y1027" s="11" t="s">
        <v>2608</v>
      </c>
      <c r="Z1027" s="11" t="s">
        <v>244</v>
      </c>
      <c r="AA1027" s="11" t="s">
        <v>155</v>
      </c>
      <c r="AB1027" s="5" t="s">
        <v>245</v>
      </c>
      <c r="AC1027" s="5" t="s">
        <v>246</v>
      </c>
      <c r="AD1027" s="11" t="s">
        <v>2609</v>
      </c>
      <c r="AE1027" s="23" t="n">
        <v>0.85</v>
      </c>
      <c r="AF1027" s="23" t="n">
        <v>0</v>
      </c>
      <c r="AG1027" s="23" t="n">
        <v>0.33</v>
      </c>
      <c r="AH1027" s="23" t="n">
        <v>0.87</v>
      </c>
      <c r="AI1027" s="23" t="n">
        <v>1</v>
      </c>
      <c r="AJ1027" s="23" t="n">
        <v>0.4416</v>
      </c>
      <c r="AK1027" s="23" t="n">
        <v>0.8</v>
      </c>
      <c r="AL1027" s="23" t="n">
        <v>0.6</v>
      </c>
      <c r="AM1027" s="16" t="n">
        <f aca="false">COUNTIFS($D$2:$D$2501,D1027,$G$2:$G$2501,"&gt;"&amp;G1027)+COUNTIFS($D$2:D1027,D1027,$G$2:G1027,G1027)</f>
        <v>437</v>
      </c>
      <c r="AN1027" s="5" t="str">
        <f aca="false">D1027&amp;"|"&amp;AM1027</f>
        <v>分析與報告生成|437</v>
      </c>
    </row>
    <row r="1028" customFormat="false" ht="17.15" hidden="false" customHeight="false" outlineLevel="0" collapsed="false">
      <c r="A1028" s="16" t="n">
        <f aca="false">RANK(G1028,$G$2:$G$2501)+COUNTIF($G$2:G1028,G1028)-1</f>
        <v>1027</v>
      </c>
      <c r="B1028" s="11" t="s">
        <v>2610</v>
      </c>
      <c r="C1028" s="11" t="s">
        <v>1388</v>
      </c>
      <c r="D1028" s="5" t="s">
        <v>56</v>
      </c>
      <c r="E1028" s="5" t="s">
        <v>57</v>
      </c>
      <c r="F1028" s="5"/>
      <c r="G1028" s="22" t="n">
        <f aca="false">ROUND(SUM(I1028:P1028),3)</f>
        <v>64.904</v>
      </c>
      <c r="H1028" s="5" t="str">
        <f aca="false">IF(G1028&gt;=評分方法!$C$16,"優先評估",IF(G1028&gt;=評分方法!$C$17,"列入候選",IF(G1028&gt;=評分方法!$C$18,"特定情境","不建議")))</f>
        <v>特定情境</v>
      </c>
      <c r="I1028" s="15" t="n">
        <f aca="false">AE1028*評分方法!$C$5</f>
        <v>25.5</v>
      </c>
      <c r="J1028" s="15" t="n">
        <f aca="false">AF1028*評分方法!$C$6</f>
        <v>0</v>
      </c>
      <c r="K1028" s="15" t="n">
        <f aca="false">AG1028*評分方法!$C$7</f>
        <v>10.05</v>
      </c>
      <c r="L1028" s="15" t="n">
        <f aca="false">AH1028*評分方法!$C$8</f>
        <v>13.05</v>
      </c>
      <c r="M1028" s="15" t="n">
        <f aca="false">AI1028*評分方法!$C$9</f>
        <v>10</v>
      </c>
      <c r="N1028" s="15" t="n">
        <f aca="false">AJ1028*評分方法!$C$10</f>
        <v>2.304</v>
      </c>
      <c r="O1028" s="15" t="n">
        <f aca="false">AK1028*評分方法!$C$11</f>
        <v>1</v>
      </c>
      <c r="P1028" s="15" t="n">
        <f aca="false">AL1028*評分方法!$C$12</f>
        <v>3</v>
      </c>
      <c r="Q1028" s="6" t="n">
        <v>233549</v>
      </c>
      <c r="R1028" s="6" t="n">
        <v>7241732096</v>
      </c>
      <c r="S1028" s="11" t="s">
        <v>254</v>
      </c>
      <c r="T1028" s="11" t="s">
        <v>239</v>
      </c>
      <c r="U1028" s="5" t="s">
        <v>240</v>
      </c>
      <c r="V1028" s="11" t="s">
        <v>333</v>
      </c>
      <c r="W1028" s="5" t="s">
        <v>207</v>
      </c>
      <c r="X1028" s="5" t="s">
        <v>371</v>
      </c>
      <c r="Y1028" s="11" t="s">
        <v>644</v>
      </c>
      <c r="Z1028" s="11" t="s">
        <v>244</v>
      </c>
      <c r="AA1028" s="11" t="s">
        <v>155</v>
      </c>
      <c r="AB1028" s="5" t="s">
        <v>245</v>
      </c>
      <c r="AC1028" s="5" t="s">
        <v>246</v>
      </c>
      <c r="AD1028" s="11" t="s">
        <v>2611</v>
      </c>
      <c r="AE1028" s="23" t="n">
        <v>0.85</v>
      </c>
      <c r="AF1028" s="23" t="n">
        <v>0</v>
      </c>
      <c r="AG1028" s="23" t="n">
        <v>0.67</v>
      </c>
      <c r="AH1028" s="23" t="n">
        <v>0.87</v>
      </c>
      <c r="AI1028" s="23" t="n">
        <v>1</v>
      </c>
      <c r="AJ1028" s="23" t="n">
        <v>0.2304</v>
      </c>
      <c r="AK1028" s="23" t="n">
        <v>0.2</v>
      </c>
      <c r="AL1028" s="23" t="n">
        <v>0.6</v>
      </c>
      <c r="AM1028" s="16" t="n">
        <f aca="false">COUNTIFS($D$2:$D$2501,D1028,$G$2:$G$2501,"&gt;"&amp;G1028)+COUNTIFS($D$2:D1028,D1028,$G$2:G1028,G1028)</f>
        <v>438</v>
      </c>
      <c r="AN1028" s="5" t="str">
        <f aca="false">D1028&amp;"|"&amp;AM1028</f>
        <v>分析與報告生成|438</v>
      </c>
    </row>
    <row r="1029" customFormat="false" ht="17.15" hidden="false" customHeight="false" outlineLevel="0" collapsed="false">
      <c r="A1029" s="16" t="n">
        <f aca="false">RANK(G1029,$G$2:$G$2501)+COUNTIF($G$2:G1029,G1029)-1</f>
        <v>1028</v>
      </c>
      <c r="B1029" s="11" t="s">
        <v>2612</v>
      </c>
      <c r="C1029" s="11" t="s">
        <v>253</v>
      </c>
      <c r="D1029" s="5" t="s">
        <v>78</v>
      </c>
      <c r="E1029" s="5" t="s">
        <v>79</v>
      </c>
      <c r="F1029" s="5"/>
      <c r="G1029" s="22" t="n">
        <f aca="false">ROUND(SUM(I1029:P1029),3)</f>
        <v>64.9</v>
      </c>
      <c r="H1029" s="5" t="str">
        <f aca="false">IF(G1029&gt;=評分方法!$C$16,"優先評估",IF(G1029&gt;=評分方法!$C$17,"列入候選",IF(G1029&gt;=評分方法!$C$18,"特定情境","不建議")))</f>
        <v>特定情境</v>
      </c>
      <c r="I1029" s="15" t="n">
        <f aca="false">AE1029*評分方法!$C$5</f>
        <v>9</v>
      </c>
      <c r="J1029" s="15" t="n">
        <f aca="false">AF1029*評分方法!$C$6</f>
        <v>0</v>
      </c>
      <c r="K1029" s="15" t="n">
        <f aca="false">AG1029*評分方法!$C$7</f>
        <v>15</v>
      </c>
      <c r="L1029" s="15" t="n">
        <f aca="false">AH1029*評分方法!$C$8</f>
        <v>15</v>
      </c>
      <c r="M1029" s="15" t="n">
        <f aca="false">AI1029*評分方法!$C$9</f>
        <v>10</v>
      </c>
      <c r="N1029" s="15" t="n">
        <f aca="false">AJ1029*評分方法!$C$10</f>
        <v>9.9</v>
      </c>
      <c r="O1029" s="15" t="n">
        <f aca="false">AK1029*評分方法!$C$11</f>
        <v>1</v>
      </c>
      <c r="P1029" s="15" t="n">
        <f aca="false">AL1029*評分方法!$C$12</f>
        <v>5</v>
      </c>
      <c r="Q1029" s="6" t="n">
        <v>46225231</v>
      </c>
      <c r="R1029" s="6" t="n">
        <v>808878080</v>
      </c>
      <c r="S1029" s="11" t="s">
        <v>238</v>
      </c>
      <c r="T1029" s="11" t="s">
        <v>278</v>
      </c>
      <c r="U1029" s="5" t="s">
        <v>240</v>
      </c>
      <c r="V1029" s="11" t="s">
        <v>261</v>
      </c>
      <c r="W1029" s="5" t="s">
        <v>205</v>
      </c>
      <c r="X1029" s="5" t="s">
        <v>284</v>
      </c>
      <c r="Y1029" s="11" t="s">
        <v>2613</v>
      </c>
      <c r="Z1029" s="11" t="s">
        <v>270</v>
      </c>
      <c r="AA1029" s="11" t="s">
        <v>175</v>
      </c>
      <c r="AB1029" s="5" t="s">
        <v>245</v>
      </c>
      <c r="AC1029" s="5"/>
      <c r="AD1029" s="11" t="s">
        <v>2614</v>
      </c>
      <c r="AE1029" s="23" t="n">
        <v>0.3</v>
      </c>
      <c r="AF1029" s="23" t="n">
        <v>0</v>
      </c>
      <c r="AG1029" s="23" t="n">
        <v>1</v>
      </c>
      <c r="AH1029" s="23" t="n">
        <v>1</v>
      </c>
      <c r="AI1029" s="23" t="n">
        <v>1</v>
      </c>
      <c r="AJ1029" s="23" t="n">
        <v>0.99</v>
      </c>
      <c r="AK1029" s="23" t="n">
        <v>0.2</v>
      </c>
      <c r="AL1029" s="23" t="n">
        <v>1</v>
      </c>
      <c r="AM1029" s="16" t="n">
        <f aca="false">COUNTIFS($D$2:$D$2501,D1029,$G$2:$G$2501,"&gt;"&amp;G1029)+COUNTIFS($D$2:D1029,D1029,$G$2:G1029,G1029)</f>
        <v>5</v>
      </c>
      <c r="AN1029" s="5" t="str">
        <f aca="false">D1029&amp;"|"&amp;AM1029</f>
        <v>語音分析|5</v>
      </c>
    </row>
    <row r="1030" customFormat="false" ht="17.15" hidden="false" customHeight="false" outlineLevel="0" collapsed="false">
      <c r="A1030" s="16" t="n">
        <f aca="false">RANK(G1030,$G$2:$G$2501)+COUNTIF($G$2:G1030,G1030)-1</f>
        <v>1029</v>
      </c>
      <c r="B1030" s="11" t="s">
        <v>2615</v>
      </c>
      <c r="C1030" s="11" t="s">
        <v>2616</v>
      </c>
      <c r="D1030" s="5" t="s">
        <v>56</v>
      </c>
      <c r="E1030" s="5" t="s">
        <v>57</v>
      </c>
      <c r="F1030" s="5"/>
      <c r="G1030" s="22" t="n">
        <f aca="false">ROUND(SUM(I1030:P1030),3)</f>
        <v>64.89</v>
      </c>
      <c r="H1030" s="5" t="str">
        <f aca="false">IF(G1030&gt;=評分方法!$C$16,"優先評估",IF(G1030&gt;=評分方法!$C$17,"列入候選",IF(G1030&gt;=評分方法!$C$18,"特定情境","不建議")))</f>
        <v>特定情境</v>
      </c>
      <c r="I1030" s="15" t="n">
        <f aca="false">AE1030*評分方法!$C$5</f>
        <v>25.5</v>
      </c>
      <c r="J1030" s="15" t="n">
        <f aca="false">AF1030*評分方法!$C$6</f>
        <v>0</v>
      </c>
      <c r="K1030" s="15" t="n">
        <f aca="false">AG1030*評分方法!$C$7</f>
        <v>15</v>
      </c>
      <c r="L1030" s="15" t="n">
        <f aca="false">AH1030*評分方法!$C$8</f>
        <v>13.05</v>
      </c>
      <c r="M1030" s="15" t="n">
        <f aca="false">AI1030*評分方法!$C$9</f>
        <v>10</v>
      </c>
      <c r="N1030" s="15" t="n">
        <f aca="false">AJ1030*評分方法!$C$10</f>
        <v>0.34</v>
      </c>
      <c r="O1030" s="15" t="n">
        <f aca="false">AK1030*評分方法!$C$11</f>
        <v>1</v>
      </c>
      <c r="P1030" s="15" t="n">
        <f aca="false">AL1030*評分方法!$C$12</f>
        <v>0</v>
      </c>
      <c r="Q1030" s="6" t="n">
        <v>125768</v>
      </c>
      <c r="R1030" s="6" t="n">
        <v>7687815168</v>
      </c>
      <c r="S1030" s="11" t="s">
        <v>254</v>
      </c>
      <c r="T1030" s="11" t="s">
        <v>1636</v>
      </c>
      <c r="U1030" s="5" t="s">
        <v>240</v>
      </c>
      <c r="V1030" s="11" t="s">
        <v>333</v>
      </c>
      <c r="W1030" s="5" t="s">
        <v>205</v>
      </c>
      <c r="X1030" s="5" t="s">
        <v>242</v>
      </c>
      <c r="Y1030" s="5"/>
      <c r="Z1030" s="5"/>
      <c r="AA1030" s="11" t="s">
        <v>155</v>
      </c>
      <c r="AB1030" s="5" t="s">
        <v>961</v>
      </c>
      <c r="AC1030" s="5" t="s">
        <v>1203</v>
      </c>
      <c r="AD1030" s="11" t="s">
        <v>2617</v>
      </c>
      <c r="AE1030" s="23" t="n">
        <v>0.85</v>
      </c>
      <c r="AF1030" s="23" t="n">
        <v>0</v>
      </c>
      <c r="AG1030" s="23" t="n">
        <v>1</v>
      </c>
      <c r="AH1030" s="23" t="n">
        <v>0.87</v>
      </c>
      <c r="AI1030" s="23" t="n">
        <v>1</v>
      </c>
      <c r="AJ1030" s="23" t="n">
        <v>0.034</v>
      </c>
      <c r="AK1030" s="23" t="n">
        <v>0.2</v>
      </c>
      <c r="AL1030" s="23" t="n">
        <v>0</v>
      </c>
      <c r="AM1030" s="16" t="n">
        <f aca="false">COUNTIFS($D$2:$D$2501,D1030,$G$2:$G$2501,"&gt;"&amp;G1030)+COUNTIFS($D$2:D1030,D1030,$G$2:G1030,G1030)</f>
        <v>439</v>
      </c>
      <c r="AN1030" s="5" t="str">
        <f aca="false">D1030&amp;"|"&amp;AM1030</f>
        <v>分析與報告生成|439</v>
      </c>
    </row>
    <row r="1031" customFormat="false" ht="17.15" hidden="false" customHeight="false" outlineLevel="0" collapsed="false">
      <c r="A1031" s="16" t="n">
        <f aca="false">RANK(G1031,$G$2:$G$2501)+COUNTIF($G$2:G1031,G1031)-1</f>
        <v>1030</v>
      </c>
      <c r="B1031" s="11" t="s">
        <v>2618</v>
      </c>
      <c r="C1031" s="11" t="s">
        <v>2619</v>
      </c>
      <c r="D1031" s="5" t="s">
        <v>56</v>
      </c>
      <c r="E1031" s="5" t="s">
        <v>57</v>
      </c>
      <c r="F1031" s="5"/>
      <c r="G1031" s="22" t="n">
        <f aca="false">ROUND(SUM(I1031:P1031),3)</f>
        <v>64.864</v>
      </c>
      <c r="H1031" s="5" t="str">
        <f aca="false">IF(G1031&gt;=評分方法!$C$16,"優先評估",IF(G1031&gt;=評分方法!$C$17,"列入候選",IF(G1031&gt;=評分方法!$C$18,"特定情境","不建議")))</f>
        <v>特定情境</v>
      </c>
      <c r="I1031" s="15" t="n">
        <f aca="false">AE1031*評分方法!$C$5</f>
        <v>25.5</v>
      </c>
      <c r="J1031" s="15" t="n">
        <f aca="false">AF1031*評分方法!$C$6</f>
        <v>0</v>
      </c>
      <c r="K1031" s="15" t="n">
        <f aca="false">AG1031*評分方法!$C$7</f>
        <v>4.95</v>
      </c>
      <c r="L1031" s="15" t="n">
        <f aca="false">AH1031*評分方法!$C$8</f>
        <v>13.05</v>
      </c>
      <c r="M1031" s="15" t="n">
        <f aca="false">AI1031*評分方法!$C$9</f>
        <v>6</v>
      </c>
      <c r="N1031" s="15" t="n">
        <f aca="false">AJ1031*評分方法!$C$10</f>
        <v>8.364</v>
      </c>
      <c r="O1031" s="15" t="n">
        <f aca="false">AK1031*評分方法!$C$11</f>
        <v>4</v>
      </c>
      <c r="P1031" s="15" t="n">
        <f aca="false">AL1031*評分方法!$C$12</f>
        <v>3</v>
      </c>
      <c r="Q1031" s="6" t="n">
        <v>2010486</v>
      </c>
      <c r="R1031" s="6" t="n">
        <v>4971331952</v>
      </c>
      <c r="S1031" s="11" t="s">
        <v>254</v>
      </c>
      <c r="T1031" s="11" t="s">
        <v>658</v>
      </c>
      <c r="U1031" s="5" t="s">
        <v>260</v>
      </c>
      <c r="V1031" s="11" t="s">
        <v>261</v>
      </c>
      <c r="W1031" s="5" t="s">
        <v>334</v>
      </c>
      <c r="X1031" s="5" t="s">
        <v>371</v>
      </c>
      <c r="Y1031" s="5"/>
      <c r="Z1031" s="5"/>
      <c r="AA1031" s="11" t="s">
        <v>156</v>
      </c>
      <c r="AB1031" s="5" t="s">
        <v>245</v>
      </c>
      <c r="AC1031" s="5" t="s">
        <v>262</v>
      </c>
      <c r="AD1031" s="11" t="s">
        <v>2620</v>
      </c>
      <c r="AE1031" s="23" t="n">
        <v>0.85</v>
      </c>
      <c r="AF1031" s="23" t="n">
        <v>0</v>
      </c>
      <c r="AG1031" s="23" t="n">
        <v>0.33</v>
      </c>
      <c r="AH1031" s="23" t="n">
        <v>0.87</v>
      </c>
      <c r="AI1031" s="23" t="n">
        <v>0.6</v>
      </c>
      <c r="AJ1031" s="23" t="n">
        <v>0.8364</v>
      </c>
      <c r="AK1031" s="23" t="n">
        <v>0.8</v>
      </c>
      <c r="AL1031" s="23" t="n">
        <v>0.6</v>
      </c>
      <c r="AM1031" s="16" t="n">
        <f aca="false">COUNTIFS($D$2:$D$2501,D1031,$G$2:$G$2501,"&gt;"&amp;G1031)+COUNTIFS($D$2:D1031,D1031,$G$2:G1031,G1031)</f>
        <v>440</v>
      </c>
      <c r="AN1031" s="5" t="str">
        <f aca="false">D1031&amp;"|"&amp;AM1031</f>
        <v>分析與報告生成|440</v>
      </c>
    </row>
    <row r="1032" customFormat="false" ht="17.15" hidden="false" customHeight="false" outlineLevel="0" collapsed="false">
      <c r="A1032" s="16" t="n">
        <f aca="false">RANK(G1032,$G$2:$G$2501)+COUNTIF($G$2:G1032,G1032)-1</f>
        <v>1031</v>
      </c>
      <c r="B1032" s="11" t="s">
        <v>2621</v>
      </c>
      <c r="C1032" s="11" t="s">
        <v>253</v>
      </c>
      <c r="D1032" s="5" t="s">
        <v>78</v>
      </c>
      <c r="E1032" s="5" t="s">
        <v>79</v>
      </c>
      <c r="F1032" s="5"/>
      <c r="G1032" s="22" t="n">
        <f aca="false">ROUND(SUM(I1032:P1032),3)</f>
        <v>64.816</v>
      </c>
      <c r="H1032" s="5" t="str">
        <f aca="false">IF(G1032&gt;=評分方法!$C$16,"優先評估",IF(G1032&gt;=評分方法!$C$17,"列入候選",IF(G1032&gt;=評分方法!$C$18,"特定情境","不建議")))</f>
        <v>特定情境</v>
      </c>
      <c r="I1032" s="15" t="n">
        <f aca="false">AE1032*評分方法!$C$5</f>
        <v>9</v>
      </c>
      <c r="J1032" s="15" t="n">
        <f aca="false">AF1032*評分方法!$C$6</f>
        <v>0</v>
      </c>
      <c r="K1032" s="15" t="n">
        <f aca="false">AG1032*評分方法!$C$7</f>
        <v>15</v>
      </c>
      <c r="L1032" s="15" t="n">
        <f aca="false">AH1032*評分方法!$C$8</f>
        <v>15</v>
      </c>
      <c r="M1032" s="15" t="n">
        <f aca="false">AI1032*評分方法!$C$9</f>
        <v>10</v>
      </c>
      <c r="N1032" s="15" t="n">
        <f aca="false">AJ1032*評分方法!$C$10</f>
        <v>9.816</v>
      </c>
      <c r="O1032" s="15" t="n">
        <f aca="false">AK1032*評分方法!$C$11</f>
        <v>1</v>
      </c>
      <c r="P1032" s="15" t="n">
        <f aca="false">AL1032*評分方法!$C$12</f>
        <v>5</v>
      </c>
      <c r="Q1032" s="6" t="n">
        <v>21350579</v>
      </c>
      <c r="R1032" s="6" t="n">
        <v>72593920</v>
      </c>
      <c r="S1032" s="11" t="s">
        <v>238</v>
      </c>
      <c r="T1032" s="11" t="s">
        <v>239</v>
      </c>
      <c r="U1032" s="5" t="s">
        <v>240</v>
      </c>
      <c r="V1032" s="11" t="s">
        <v>279</v>
      </c>
      <c r="W1032" s="5" t="s">
        <v>205</v>
      </c>
      <c r="X1032" s="5" t="s">
        <v>284</v>
      </c>
      <c r="Y1032" s="5"/>
      <c r="Z1032" s="5"/>
      <c r="AA1032" s="11" t="s">
        <v>175</v>
      </c>
      <c r="AB1032" s="5" t="s">
        <v>245</v>
      </c>
      <c r="AC1032" s="5"/>
      <c r="AD1032" s="11" t="s">
        <v>2622</v>
      </c>
      <c r="AE1032" s="23" t="n">
        <v>0.3</v>
      </c>
      <c r="AF1032" s="23" t="n">
        <v>0</v>
      </c>
      <c r="AG1032" s="23" t="n">
        <v>1</v>
      </c>
      <c r="AH1032" s="23" t="n">
        <v>1</v>
      </c>
      <c r="AI1032" s="23" t="n">
        <v>1</v>
      </c>
      <c r="AJ1032" s="23" t="n">
        <v>0.9816</v>
      </c>
      <c r="AK1032" s="23" t="n">
        <v>0.2</v>
      </c>
      <c r="AL1032" s="23" t="n">
        <v>1</v>
      </c>
      <c r="AM1032" s="16" t="n">
        <f aca="false">COUNTIFS($D$2:$D$2501,D1032,$G$2:$G$2501,"&gt;"&amp;G1032)+COUNTIFS($D$2:D1032,D1032,$G$2:G1032,G1032)</f>
        <v>6</v>
      </c>
      <c r="AN1032" s="5" t="str">
        <f aca="false">D1032&amp;"|"&amp;AM1032</f>
        <v>語音分析|6</v>
      </c>
    </row>
    <row r="1033" customFormat="false" ht="17.15" hidden="false" customHeight="false" outlineLevel="0" collapsed="false">
      <c r="A1033" s="16" t="n">
        <f aca="false">RANK(G1033,$G$2:$G$2501)+COUNTIF($G$2:G1033,G1033)-1</f>
        <v>1032</v>
      </c>
      <c r="B1033" s="11" t="s">
        <v>2623</v>
      </c>
      <c r="C1033" s="11" t="s">
        <v>753</v>
      </c>
      <c r="D1033" s="5" t="s">
        <v>56</v>
      </c>
      <c r="E1033" s="5" t="s">
        <v>57</v>
      </c>
      <c r="F1033" s="5"/>
      <c r="G1033" s="22" t="n">
        <f aca="false">ROUND(SUM(I1033:P1033),3)</f>
        <v>64.816</v>
      </c>
      <c r="H1033" s="5" t="str">
        <f aca="false">IF(G1033&gt;=評分方法!$C$16,"優先評估",IF(G1033&gt;=評分方法!$C$17,"列入候選",IF(G1033&gt;=評分方法!$C$18,"特定情境","不建議")))</f>
        <v>特定情境</v>
      </c>
      <c r="I1033" s="15" t="n">
        <f aca="false">AE1033*評分方法!$C$5</f>
        <v>25.5</v>
      </c>
      <c r="J1033" s="15" t="n">
        <f aca="false">AF1033*評分方法!$C$6</f>
        <v>0</v>
      </c>
      <c r="K1033" s="15" t="n">
        <f aca="false">AG1033*評分方法!$C$7</f>
        <v>10.05</v>
      </c>
      <c r="L1033" s="15" t="n">
        <f aca="false">AH1033*評分方法!$C$8</f>
        <v>13.05</v>
      </c>
      <c r="M1033" s="15" t="n">
        <f aca="false">AI1033*評分方法!$C$9</f>
        <v>6</v>
      </c>
      <c r="N1033" s="15" t="n">
        <f aca="false">AJ1033*評分方法!$C$10</f>
        <v>7.716</v>
      </c>
      <c r="O1033" s="15" t="n">
        <f aca="false">AK1033*評分方法!$C$11</f>
        <v>2.5</v>
      </c>
      <c r="P1033" s="15" t="n">
        <f aca="false">AL1033*評分方法!$C$12</f>
        <v>0</v>
      </c>
      <c r="Q1033" s="6" t="n">
        <v>1291664</v>
      </c>
      <c r="R1033" s="6" t="n">
        <v>8030261248</v>
      </c>
      <c r="S1033" s="11" t="s">
        <v>254</v>
      </c>
      <c r="T1033" s="11" t="s">
        <v>259</v>
      </c>
      <c r="U1033" s="5" t="s">
        <v>260</v>
      </c>
      <c r="V1033" s="11" t="s">
        <v>261</v>
      </c>
      <c r="W1033" s="5" t="s">
        <v>207</v>
      </c>
      <c r="X1033" s="5" t="s">
        <v>242</v>
      </c>
      <c r="Y1033" s="11" t="s">
        <v>1066</v>
      </c>
      <c r="Z1033" s="11" t="s">
        <v>270</v>
      </c>
      <c r="AA1033" s="11" t="s">
        <v>155</v>
      </c>
      <c r="AB1033" s="5" t="s">
        <v>245</v>
      </c>
      <c r="AC1033" s="5" t="s">
        <v>262</v>
      </c>
      <c r="AD1033" s="11" t="s">
        <v>2624</v>
      </c>
      <c r="AE1033" s="23" t="n">
        <v>0.85</v>
      </c>
      <c r="AF1033" s="23" t="n">
        <v>0</v>
      </c>
      <c r="AG1033" s="23" t="n">
        <v>0.67</v>
      </c>
      <c r="AH1033" s="23" t="n">
        <v>0.87</v>
      </c>
      <c r="AI1033" s="23" t="n">
        <v>0.6</v>
      </c>
      <c r="AJ1033" s="23" t="n">
        <v>0.7716</v>
      </c>
      <c r="AK1033" s="23" t="n">
        <v>0.5</v>
      </c>
      <c r="AL1033" s="23" t="n">
        <v>0</v>
      </c>
      <c r="AM1033" s="16" t="n">
        <f aca="false">COUNTIFS($D$2:$D$2501,D1033,$G$2:$G$2501,"&gt;"&amp;G1033)+COUNTIFS($D$2:D1033,D1033,$G$2:G1033,G1033)</f>
        <v>441</v>
      </c>
      <c r="AN1033" s="5" t="str">
        <f aca="false">D1033&amp;"|"&amp;AM1033</f>
        <v>分析與報告生成|441</v>
      </c>
    </row>
    <row r="1034" customFormat="false" ht="17.15" hidden="false" customHeight="false" outlineLevel="0" collapsed="false">
      <c r="A1034" s="16" t="n">
        <f aca="false">RANK(G1034,$G$2:$G$2501)+COUNTIF($G$2:G1034,G1034)-1</f>
        <v>1033</v>
      </c>
      <c r="B1034" s="11" t="s">
        <v>2625</v>
      </c>
      <c r="C1034" s="11" t="s">
        <v>368</v>
      </c>
      <c r="D1034" s="5" t="s">
        <v>56</v>
      </c>
      <c r="E1034" s="5" t="s">
        <v>57</v>
      </c>
      <c r="F1034" s="5"/>
      <c r="G1034" s="22" t="n">
        <f aca="false">ROUND(SUM(I1034:P1034),3)</f>
        <v>64.8</v>
      </c>
      <c r="H1034" s="5" t="str">
        <f aca="false">IF(G1034&gt;=評分方法!$C$16,"優先評估",IF(G1034&gt;=評分方法!$C$17,"列入候選",IF(G1034&gt;=評分方法!$C$18,"特定情境","不建議")))</f>
        <v>特定情境</v>
      </c>
      <c r="I1034" s="15" t="n">
        <f aca="false">AE1034*評分方法!$C$5</f>
        <v>25.5</v>
      </c>
      <c r="J1034" s="15" t="n">
        <f aca="false">AF1034*評分方法!$C$6</f>
        <v>0</v>
      </c>
      <c r="K1034" s="15" t="n">
        <f aca="false">AG1034*評分方法!$C$7</f>
        <v>15</v>
      </c>
      <c r="L1034" s="15" t="n">
        <f aca="false">AH1034*評分方法!$C$8</f>
        <v>9</v>
      </c>
      <c r="M1034" s="15" t="n">
        <f aca="false">AI1034*評分方法!$C$9</f>
        <v>6</v>
      </c>
      <c r="N1034" s="15" t="n">
        <f aca="false">AJ1034*評分方法!$C$10</f>
        <v>3.8</v>
      </c>
      <c r="O1034" s="15" t="n">
        <f aca="false">AK1034*評分方法!$C$11</f>
        <v>2.5</v>
      </c>
      <c r="P1034" s="15" t="n">
        <f aca="false">AL1034*評分方法!$C$12</f>
        <v>3</v>
      </c>
      <c r="Q1034" s="6" t="n">
        <v>389372</v>
      </c>
      <c r="R1034" s="6" t="n">
        <v>12187325040</v>
      </c>
      <c r="S1034" s="11" t="s">
        <v>389</v>
      </c>
      <c r="T1034" s="11" t="s">
        <v>658</v>
      </c>
      <c r="U1034" s="5" t="s">
        <v>260</v>
      </c>
      <c r="V1034" s="11" t="s">
        <v>261</v>
      </c>
      <c r="W1034" s="5" t="s">
        <v>205</v>
      </c>
      <c r="X1034" s="5" t="s">
        <v>371</v>
      </c>
      <c r="Y1034" s="11" t="s">
        <v>1303</v>
      </c>
      <c r="Z1034" s="11" t="s">
        <v>270</v>
      </c>
      <c r="AA1034" s="11" t="s">
        <v>156</v>
      </c>
      <c r="AB1034" s="5" t="s">
        <v>245</v>
      </c>
      <c r="AC1034" s="5" t="s">
        <v>262</v>
      </c>
      <c r="AD1034" s="11" t="s">
        <v>2626</v>
      </c>
      <c r="AE1034" s="23" t="n">
        <v>0.85</v>
      </c>
      <c r="AF1034" s="23" t="n">
        <v>0</v>
      </c>
      <c r="AG1034" s="23" t="n">
        <v>1</v>
      </c>
      <c r="AH1034" s="23" t="n">
        <v>0.6</v>
      </c>
      <c r="AI1034" s="23" t="n">
        <v>0.6</v>
      </c>
      <c r="AJ1034" s="23" t="n">
        <v>0.38</v>
      </c>
      <c r="AK1034" s="23" t="n">
        <v>0.5</v>
      </c>
      <c r="AL1034" s="23" t="n">
        <v>0.6</v>
      </c>
      <c r="AM1034" s="16" t="n">
        <f aca="false">COUNTIFS($D$2:$D$2501,D1034,$G$2:$G$2501,"&gt;"&amp;G1034)+COUNTIFS($D$2:D1034,D1034,$G$2:G1034,G1034)</f>
        <v>442</v>
      </c>
      <c r="AN1034" s="5" t="str">
        <f aca="false">D1034&amp;"|"&amp;AM1034</f>
        <v>分析與報告生成|442</v>
      </c>
    </row>
    <row r="1035" customFormat="false" ht="17.15" hidden="false" customHeight="false" outlineLevel="0" collapsed="false">
      <c r="A1035" s="16" t="n">
        <f aca="false">RANK(G1035,$G$2:$G$2501)+COUNTIF($G$2:G1035,G1035)-1</f>
        <v>1034</v>
      </c>
      <c r="B1035" s="11" t="s">
        <v>2627</v>
      </c>
      <c r="C1035" s="11" t="s">
        <v>2309</v>
      </c>
      <c r="D1035" s="5" t="s">
        <v>74</v>
      </c>
      <c r="E1035" s="5" t="s">
        <v>75</v>
      </c>
      <c r="F1035" s="5"/>
      <c r="G1035" s="22" t="n">
        <f aca="false">ROUND(SUM(I1035:P1035),3)</f>
        <v>64.796</v>
      </c>
      <c r="H1035" s="5" t="str">
        <f aca="false">IF(G1035&gt;=評分方法!$C$16,"優先評估",IF(G1035&gt;=評分方法!$C$17,"列入候選",IF(G1035&gt;=評分方法!$C$18,"特定情境","不建議")))</f>
        <v>特定情境</v>
      </c>
      <c r="I1035" s="15" t="n">
        <f aca="false">AE1035*評分方法!$C$5</f>
        <v>12</v>
      </c>
      <c r="J1035" s="15" t="n">
        <f aca="false">AF1035*評分方法!$C$6</f>
        <v>0</v>
      </c>
      <c r="K1035" s="15" t="n">
        <f aca="false">AG1035*評分方法!$C$7</f>
        <v>15</v>
      </c>
      <c r="L1035" s="15" t="n">
        <f aca="false">AH1035*評分方法!$C$8</f>
        <v>15</v>
      </c>
      <c r="M1035" s="15" t="n">
        <f aca="false">AI1035*評分方法!$C$9</f>
        <v>10</v>
      </c>
      <c r="N1035" s="15" t="n">
        <f aca="false">AJ1035*評分方法!$C$10</f>
        <v>8.796</v>
      </c>
      <c r="O1035" s="15" t="n">
        <f aca="false">AK1035*評分方法!$C$11</f>
        <v>2.5</v>
      </c>
      <c r="P1035" s="15" t="n">
        <f aca="false">AL1035*評分方法!$C$12</f>
        <v>1.5</v>
      </c>
      <c r="Q1035" s="6" t="n">
        <v>3063891</v>
      </c>
      <c r="R1035" s="6" t="n">
        <v>986109774</v>
      </c>
      <c r="S1035" s="11" t="s">
        <v>238</v>
      </c>
      <c r="T1035" s="11" t="s">
        <v>278</v>
      </c>
      <c r="U1035" s="5" t="s">
        <v>240</v>
      </c>
      <c r="V1035" s="11" t="s">
        <v>324</v>
      </c>
      <c r="W1035" s="5" t="s">
        <v>205</v>
      </c>
      <c r="X1035" s="5" t="s">
        <v>255</v>
      </c>
      <c r="Y1035" s="5"/>
      <c r="Z1035" s="5"/>
      <c r="AA1035" s="11" t="s">
        <v>167</v>
      </c>
      <c r="AB1035" s="5" t="s">
        <v>245</v>
      </c>
      <c r="AC1035" s="5"/>
      <c r="AD1035" s="11" t="s">
        <v>2628</v>
      </c>
      <c r="AE1035" s="23" t="n">
        <v>0.4</v>
      </c>
      <c r="AF1035" s="23" t="n">
        <v>0</v>
      </c>
      <c r="AG1035" s="23" t="n">
        <v>1</v>
      </c>
      <c r="AH1035" s="23" t="n">
        <v>1</v>
      </c>
      <c r="AI1035" s="23" t="n">
        <v>1</v>
      </c>
      <c r="AJ1035" s="23" t="n">
        <v>0.8796</v>
      </c>
      <c r="AK1035" s="23" t="n">
        <v>0.5</v>
      </c>
      <c r="AL1035" s="23" t="n">
        <v>0.3</v>
      </c>
      <c r="AM1035" s="16" t="n">
        <f aca="false">COUNTIFS($D$2:$D$2501,D1035,$G$2:$G$2501,"&gt;"&amp;G1035)+COUNTIFS($D$2:D1035,D1035,$G$2:G1035,G1035)</f>
        <v>12</v>
      </c>
      <c r="AN1035" s="5" t="str">
        <f aca="false">D1035&amp;"|"&amp;AM1035</f>
        <v>文件與影像辨識|12</v>
      </c>
    </row>
    <row r="1036" customFormat="false" ht="17.15" hidden="false" customHeight="false" outlineLevel="0" collapsed="false">
      <c r="A1036" s="16" t="n">
        <f aca="false">RANK(G1036,$G$2:$G$2501)+COUNTIF($G$2:G1036,G1036)-1</f>
        <v>1035</v>
      </c>
      <c r="B1036" s="11" t="s">
        <v>1265</v>
      </c>
      <c r="C1036" s="11" t="s">
        <v>2536</v>
      </c>
      <c r="D1036" s="5" t="s">
        <v>56</v>
      </c>
      <c r="E1036" s="5" t="s">
        <v>57</v>
      </c>
      <c r="F1036" s="5"/>
      <c r="G1036" s="22" t="n">
        <f aca="false">ROUND(SUM(I1036:P1036),3)</f>
        <v>64.794</v>
      </c>
      <c r="H1036" s="5" t="str">
        <f aca="false">IF(G1036&gt;=評分方法!$C$16,"優先評估",IF(G1036&gt;=評分方法!$C$17,"列入候選",IF(G1036&gt;=評分方法!$C$18,"特定情境","不建議")))</f>
        <v>特定情境</v>
      </c>
      <c r="I1036" s="15" t="n">
        <f aca="false">AE1036*評分方法!$C$5</f>
        <v>25.5</v>
      </c>
      <c r="J1036" s="15" t="n">
        <f aca="false">AF1036*評分方法!$C$6</f>
        <v>0</v>
      </c>
      <c r="K1036" s="15" t="n">
        <f aca="false">AG1036*評分方法!$C$7</f>
        <v>4.95</v>
      </c>
      <c r="L1036" s="15" t="n">
        <f aca="false">AH1036*評分方法!$C$8</f>
        <v>9</v>
      </c>
      <c r="M1036" s="15" t="n">
        <f aca="false">AI1036*評分方法!$C$9</f>
        <v>10</v>
      </c>
      <c r="N1036" s="15" t="n">
        <f aca="false">AJ1036*評分方法!$C$10</f>
        <v>7.344</v>
      </c>
      <c r="O1036" s="15" t="n">
        <f aca="false">AK1036*評分方法!$C$11</f>
        <v>5</v>
      </c>
      <c r="P1036" s="15" t="n">
        <f aca="false">AL1036*評分方法!$C$12</f>
        <v>3</v>
      </c>
      <c r="Q1036" s="6" t="n">
        <v>1066323</v>
      </c>
      <c r="R1036" s="6" t="n">
        <v>29776626688</v>
      </c>
      <c r="S1036" s="11" t="s">
        <v>389</v>
      </c>
      <c r="T1036" s="11" t="s">
        <v>239</v>
      </c>
      <c r="U1036" s="5" t="s">
        <v>240</v>
      </c>
      <c r="V1036" s="11" t="s">
        <v>261</v>
      </c>
      <c r="W1036" s="5" t="s">
        <v>334</v>
      </c>
      <c r="X1036" s="5" t="s">
        <v>371</v>
      </c>
      <c r="Y1036" s="5"/>
      <c r="Z1036" s="5"/>
      <c r="AA1036" s="11" t="s">
        <v>156</v>
      </c>
      <c r="AB1036" s="5" t="s">
        <v>245</v>
      </c>
      <c r="AC1036" s="5"/>
      <c r="AD1036" s="11" t="s">
        <v>2629</v>
      </c>
      <c r="AE1036" s="23" t="n">
        <v>0.85</v>
      </c>
      <c r="AF1036" s="23" t="n">
        <v>0</v>
      </c>
      <c r="AG1036" s="23" t="n">
        <v>0.33</v>
      </c>
      <c r="AH1036" s="23" t="n">
        <v>0.6</v>
      </c>
      <c r="AI1036" s="23" t="n">
        <v>1</v>
      </c>
      <c r="AJ1036" s="23" t="n">
        <v>0.7344</v>
      </c>
      <c r="AK1036" s="23" t="n">
        <v>1</v>
      </c>
      <c r="AL1036" s="23" t="n">
        <v>0.6</v>
      </c>
      <c r="AM1036" s="16" t="n">
        <f aca="false">COUNTIFS($D$2:$D$2501,D1036,$G$2:$G$2501,"&gt;"&amp;G1036)+COUNTIFS($D$2:D1036,D1036,$G$2:G1036,G1036)</f>
        <v>443</v>
      </c>
      <c r="AN1036" s="5" t="str">
        <f aca="false">D1036&amp;"|"&amp;AM1036</f>
        <v>分析與報告生成|443</v>
      </c>
    </row>
    <row r="1037" customFormat="false" ht="17.15" hidden="false" customHeight="false" outlineLevel="0" collapsed="false">
      <c r="A1037" s="16" t="n">
        <f aca="false">RANK(G1037,$G$2:$G$2501)+COUNTIF($G$2:G1037,G1037)-1</f>
        <v>1036</v>
      </c>
      <c r="B1037" s="11" t="s">
        <v>2630</v>
      </c>
      <c r="C1037" s="11" t="s">
        <v>1374</v>
      </c>
      <c r="D1037" s="5" t="s">
        <v>56</v>
      </c>
      <c r="E1037" s="5" t="s">
        <v>57</v>
      </c>
      <c r="F1037" s="5"/>
      <c r="G1037" s="22" t="n">
        <f aca="false">ROUND(SUM(I1037:P1037),3)</f>
        <v>64.784</v>
      </c>
      <c r="H1037" s="5" t="str">
        <f aca="false">IF(G1037&gt;=評分方法!$C$16,"優先評估",IF(G1037&gt;=評分方法!$C$17,"列入候選",IF(G1037&gt;=評分方法!$C$18,"特定情境","不建議")))</f>
        <v>特定情境</v>
      </c>
      <c r="I1037" s="15" t="n">
        <f aca="false">AE1037*評分方法!$C$5</f>
        <v>25.5</v>
      </c>
      <c r="J1037" s="15" t="n">
        <f aca="false">AF1037*評分方法!$C$6</f>
        <v>0</v>
      </c>
      <c r="K1037" s="15" t="n">
        <f aca="false">AG1037*評分方法!$C$7</f>
        <v>10.05</v>
      </c>
      <c r="L1037" s="15" t="n">
        <f aca="false">AH1037*評分方法!$C$8</f>
        <v>13.05</v>
      </c>
      <c r="M1037" s="15" t="n">
        <f aca="false">AI1037*評分方法!$C$9</f>
        <v>6</v>
      </c>
      <c r="N1037" s="15" t="n">
        <f aca="false">AJ1037*評分方法!$C$10</f>
        <v>2.184</v>
      </c>
      <c r="O1037" s="15" t="n">
        <f aca="false">AK1037*評分方法!$C$11</f>
        <v>5</v>
      </c>
      <c r="P1037" s="15" t="n">
        <f aca="false">AL1037*評分方法!$C$12</f>
        <v>3</v>
      </c>
      <c r="Q1037" s="6" t="n">
        <v>223847</v>
      </c>
      <c r="R1037" s="6" t="n">
        <v>7941100874</v>
      </c>
      <c r="S1037" s="11" t="s">
        <v>254</v>
      </c>
      <c r="T1037" s="11" t="s">
        <v>658</v>
      </c>
      <c r="U1037" s="5" t="s">
        <v>260</v>
      </c>
      <c r="V1037" s="11" t="s">
        <v>261</v>
      </c>
      <c r="W1037" s="5" t="s">
        <v>207</v>
      </c>
      <c r="X1037" s="5" t="s">
        <v>371</v>
      </c>
      <c r="Y1037" s="11" t="s">
        <v>422</v>
      </c>
      <c r="Z1037" s="11" t="s">
        <v>244</v>
      </c>
      <c r="AA1037" s="11" t="s">
        <v>156</v>
      </c>
      <c r="AB1037" s="5" t="s">
        <v>245</v>
      </c>
      <c r="AC1037" s="5" t="s">
        <v>464</v>
      </c>
      <c r="AD1037" s="11" t="s">
        <v>2631</v>
      </c>
      <c r="AE1037" s="23" t="n">
        <v>0.85</v>
      </c>
      <c r="AF1037" s="23" t="n">
        <v>0</v>
      </c>
      <c r="AG1037" s="23" t="n">
        <v>0.67</v>
      </c>
      <c r="AH1037" s="23" t="n">
        <v>0.87</v>
      </c>
      <c r="AI1037" s="23" t="n">
        <v>0.6</v>
      </c>
      <c r="AJ1037" s="23" t="n">
        <v>0.2184</v>
      </c>
      <c r="AK1037" s="23" t="n">
        <v>1</v>
      </c>
      <c r="AL1037" s="23" t="n">
        <v>0.6</v>
      </c>
      <c r="AM1037" s="16" t="n">
        <f aca="false">COUNTIFS($D$2:$D$2501,D1037,$G$2:$G$2501,"&gt;"&amp;G1037)+COUNTIFS($D$2:D1037,D1037,$G$2:G1037,G1037)</f>
        <v>444</v>
      </c>
      <c r="AN1037" s="5" t="str">
        <f aca="false">D1037&amp;"|"&amp;AM1037</f>
        <v>分析與報告生成|444</v>
      </c>
    </row>
    <row r="1038" customFormat="false" ht="17.15" hidden="false" customHeight="false" outlineLevel="0" collapsed="false">
      <c r="A1038" s="16" t="n">
        <f aca="false">RANK(G1038,$G$2:$G$2501)+COUNTIF($G$2:G1038,G1038)-1</f>
        <v>1037</v>
      </c>
      <c r="B1038" s="11" t="s">
        <v>2632</v>
      </c>
      <c r="C1038" s="11" t="s">
        <v>253</v>
      </c>
      <c r="D1038" s="5" t="s">
        <v>78</v>
      </c>
      <c r="E1038" s="5" t="s">
        <v>79</v>
      </c>
      <c r="F1038" s="5"/>
      <c r="G1038" s="22" t="n">
        <f aca="false">ROUND(SUM(I1038:P1038),3)</f>
        <v>64.776</v>
      </c>
      <c r="H1038" s="5" t="str">
        <f aca="false">IF(G1038&gt;=評分方法!$C$16,"優先評估",IF(G1038&gt;=評分方法!$C$17,"列入候選",IF(G1038&gt;=評分方法!$C$18,"特定情境","不建議")))</f>
        <v>特定情境</v>
      </c>
      <c r="I1038" s="15" t="n">
        <f aca="false">AE1038*評分方法!$C$5</f>
        <v>9</v>
      </c>
      <c r="J1038" s="15" t="n">
        <f aca="false">AF1038*評分方法!$C$6</f>
        <v>0</v>
      </c>
      <c r="K1038" s="15" t="n">
        <f aca="false">AG1038*評分方法!$C$7</f>
        <v>15</v>
      </c>
      <c r="L1038" s="15" t="n">
        <f aca="false">AH1038*評分方法!$C$8</f>
        <v>15</v>
      </c>
      <c r="M1038" s="15" t="n">
        <f aca="false">AI1038*評分方法!$C$9</f>
        <v>10</v>
      </c>
      <c r="N1038" s="15" t="n">
        <f aca="false">AJ1038*評分方法!$C$10</f>
        <v>9.776</v>
      </c>
      <c r="O1038" s="15" t="n">
        <f aca="false">AK1038*評分方法!$C$11</f>
        <v>1</v>
      </c>
      <c r="P1038" s="15" t="n">
        <f aca="false">AL1038*評分方法!$C$12</f>
        <v>5</v>
      </c>
      <c r="Q1038" s="6" t="n">
        <v>18783749</v>
      </c>
      <c r="R1038" s="6" t="n">
        <v>241734912</v>
      </c>
      <c r="S1038" s="11" t="s">
        <v>238</v>
      </c>
      <c r="T1038" s="11" t="s">
        <v>239</v>
      </c>
      <c r="U1038" s="5" t="s">
        <v>240</v>
      </c>
      <c r="V1038" s="11" t="s">
        <v>279</v>
      </c>
      <c r="W1038" s="5" t="s">
        <v>205</v>
      </c>
      <c r="X1038" s="5" t="s">
        <v>284</v>
      </c>
      <c r="Y1038" s="5"/>
      <c r="Z1038" s="5"/>
      <c r="AA1038" s="11" t="s">
        <v>175</v>
      </c>
      <c r="AB1038" s="5" t="s">
        <v>245</v>
      </c>
      <c r="AC1038" s="5"/>
      <c r="AD1038" s="11" t="s">
        <v>2633</v>
      </c>
      <c r="AE1038" s="23" t="n">
        <v>0.3</v>
      </c>
      <c r="AF1038" s="23" t="n">
        <v>0</v>
      </c>
      <c r="AG1038" s="23" t="n">
        <v>1</v>
      </c>
      <c r="AH1038" s="23" t="n">
        <v>1</v>
      </c>
      <c r="AI1038" s="23" t="n">
        <v>1</v>
      </c>
      <c r="AJ1038" s="23" t="n">
        <v>0.9776</v>
      </c>
      <c r="AK1038" s="23" t="n">
        <v>0.2</v>
      </c>
      <c r="AL1038" s="23" t="n">
        <v>1</v>
      </c>
      <c r="AM1038" s="16" t="n">
        <f aca="false">COUNTIFS($D$2:$D$2501,D1038,$G$2:$G$2501,"&gt;"&amp;G1038)+COUNTIFS($D$2:D1038,D1038,$G$2:G1038,G1038)</f>
        <v>7</v>
      </c>
      <c r="AN1038" s="5" t="str">
        <f aca="false">D1038&amp;"|"&amp;AM1038</f>
        <v>語音分析|7</v>
      </c>
    </row>
    <row r="1039" customFormat="false" ht="17.15" hidden="false" customHeight="false" outlineLevel="0" collapsed="false">
      <c r="A1039" s="16" t="n">
        <f aca="false">RANK(G1039,$G$2:$G$2501)+COUNTIF($G$2:G1039,G1039)-1</f>
        <v>1038</v>
      </c>
      <c r="B1039" s="11" t="s">
        <v>2634</v>
      </c>
      <c r="C1039" s="11" t="s">
        <v>753</v>
      </c>
      <c r="D1039" s="5" t="s">
        <v>56</v>
      </c>
      <c r="E1039" s="5" t="s">
        <v>57</v>
      </c>
      <c r="F1039" s="5"/>
      <c r="G1039" s="22" t="n">
        <f aca="false">ROUND(SUM(I1039:P1039),3)</f>
        <v>64.772</v>
      </c>
      <c r="H1039" s="5" t="str">
        <f aca="false">IF(G1039&gt;=評分方法!$C$16,"優先評估",IF(G1039&gt;=評分方法!$C$17,"列入候選",IF(G1039&gt;=評分方法!$C$18,"特定情境","不建議")))</f>
        <v>特定情境</v>
      </c>
      <c r="I1039" s="15" t="n">
        <f aca="false">AE1039*評分方法!$C$5</f>
        <v>25.5</v>
      </c>
      <c r="J1039" s="15" t="n">
        <f aca="false">AF1039*評分方法!$C$6</f>
        <v>0</v>
      </c>
      <c r="K1039" s="15" t="n">
        <f aca="false">AG1039*評分方法!$C$7</f>
        <v>10.05</v>
      </c>
      <c r="L1039" s="15" t="n">
        <f aca="false">AH1039*評分方法!$C$8</f>
        <v>13.05</v>
      </c>
      <c r="M1039" s="15" t="n">
        <f aca="false">AI1039*評分方法!$C$9</f>
        <v>6</v>
      </c>
      <c r="N1039" s="15" t="n">
        <f aca="false">AJ1039*評分方法!$C$10</f>
        <v>6.172</v>
      </c>
      <c r="O1039" s="15" t="n">
        <f aca="false">AK1039*評分方法!$C$11</f>
        <v>4</v>
      </c>
      <c r="P1039" s="15" t="n">
        <f aca="false">AL1039*評分方法!$C$12</f>
        <v>0</v>
      </c>
      <c r="Q1039" s="6" t="n">
        <v>658773</v>
      </c>
      <c r="R1039" s="6" t="n">
        <v>3212749888</v>
      </c>
      <c r="S1039" s="11" t="s">
        <v>254</v>
      </c>
      <c r="T1039" s="11" t="s">
        <v>1044</v>
      </c>
      <c r="U1039" s="5" t="s">
        <v>260</v>
      </c>
      <c r="V1039" s="11" t="s">
        <v>333</v>
      </c>
      <c r="W1039" s="5" t="s">
        <v>207</v>
      </c>
      <c r="X1039" s="5" t="s">
        <v>242</v>
      </c>
      <c r="Y1039" s="11" t="s">
        <v>1340</v>
      </c>
      <c r="Z1039" s="11" t="s">
        <v>244</v>
      </c>
      <c r="AA1039" s="11" t="s">
        <v>155</v>
      </c>
      <c r="AB1039" s="5" t="s">
        <v>245</v>
      </c>
      <c r="AC1039" s="5" t="s">
        <v>464</v>
      </c>
      <c r="AD1039" s="11" t="s">
        <v>2635</v>
      </c>
      <c r="AE1039" s="23" t="n">
        <v>0.85</v>
      </c>
      <c r="AF1039" s="23" t="n">
        <v>0</v>
      </c>
      <c r="AG1039" s="23" t="n">
        <v>0.67</v>
      </c>
      <c r="AH1039" s="23" t="n">
        <v>0.87</v>
      </c>
      <c r="AI1039" s="23" t="n">
        <v>0.6</v>
      </c>
      <c r="AJ1039" s="23" t="n">
        <v>0.6172</v>
      </c>
      <c r="AK1039" s="23" t="n">
        <v>0.8</v>
      </c>
      <c r="AL1039" s="23" t="n">
        <v>0</v>
      </c>
      <c r="AM1039" s="16" t="n">
        <f aca="false">COUNTIFS($D$2:$D$2501,D1039,$G$2:$G$2501,"&gt;"&amp;G1039)+COUNTIFS($D$2:D1039,D1039,$G$2:G1039,G1039)</f>
        <v>445</v>
      </c>
      <c r="AN1039" s="5" t="str">
        <f aca="false">D1039&amp;"|"&amp;AM1039</f>
        <v>分析與報告生成|445</v>
      </c>
    </row>
    <row r="1040" customFormat="false" ht="17.15" hidden="false" customHeight="false" outlineLevel="0" collapsed="false">
      <c r="A1040" s="16" t="n">
        <f aca="false">RANK(G1040,$G$2:$G$2501)+COUNTIF($G$2:G1040,G1040)-1</f>
        <v>1039</v>
      </c>
      <c r="B1040" s="11" t="s">
        <v>2636</v>
      </c>
      <c r="C1040" s="11" t="s">
        <v>308</v>
      </c>
      <c r="D1040" s="5" t="s">
        <v>74</v>
      </c>
      <c r="E1040" s="5" t="s">
        <v>75</v>
      </c>
      <c r="F1040" s="5"/>
      <c r="G1040" s="22" t="n">
        <f aca="false">ROUND(SUM(I1040:P1040),3)</f>
        <v>64.748</v>
      </c>
      <c r="H1040" s="5" t="str">
        <f aca="false">IF(G1040&gt;=評分方法!$C$16,"優先評估",IF(G1040&gt;=評分方法!$C$17,"列入候選",IF(G1040&gt;=評分方法!$C$18,"特定情境","不建議")))</f>
        <v>特定情境</v>
      </c>
      <c r="I1040" s="15" t="n">
        <f aca="false">AE1040*評分方法!$C$5</f>
        <v>13.5</v>
      </c>
      <c r="J1040" s="15" t="n">
        <f aca="false">AF1040*評分方法!$C$6</f>
        <v>0</v>
      </c>
      <c r="K1040" s="15" t="n">
        <f aca="false">AG1040*評分方法!$C$7</f>
        <v>15</v>
      </c>
      <c r="L1040" s="15" t="n">
        <f aca="false">AH1040*評分方法!$C$8</f>
        <v>15</v>
      </c>
      <c r="M1040" s="15" t="n">
        <f aca="false">AI1040*評分方法!$C$9</f>
        <v>10</v>
      </c>
      <c r="N1040" s="15" t="n">
        <f aca="false">AJ1040*評分方法!$C$10</f>
        <v>7.248</v>
      </c>
      <c r="O1040" s="15" t="n">
        <f aca="false">AK1040*評分方法!$C$11</f>
        <v>2.5</v>
      </c>
      <c r="P1040" s="15" t="n">
        <f aca="false">AL1040*評分方法!$C$12</f>
        <v>1.5</v>
      </c>
      <c r="Q1040" s="6" t="n">
        <v>1017405</v>
      </c>
      <c r="R1040" s="6" t="n">
        <v>333331200</v>
      </c>
      <c r="S1040" s="11" t="s">
        <v>238</v>
      </c>
      <c r="T1040" s="11" t="s">
        <v>278</v>
      </c>
      <c r="U1040" s="5" t="s">
        <v>240</v>
      </c>
      <c r="V1040" s="11" t="s">
        <v>324</v>
      </c>
      <c r="W1040" s="5" t="s">
        <v>205</v>
      </c>
      <c r="X1040" s="5" t="s">
        <v>255</v>
      </c>
      <c r="Y1040" s="5"/>
      <c r="Z1040" s="5"/>
      <c r="AA1040" s="11" t="s">
        <v>164</v>
      </c>
      <c r="AB1040" s="5" t="s">
        <v>245</v>
      </c>
      <c r="AC1040" s="5"/>
      <c r="AD1040" s="11" t="s">
        <v>2637</v>
      </c>
      <c r="AE1040" s="23" t="n">
        <v>0.45</v>
      </c>
      <c r="AF1040" s="23" t="n">
        <v>0</v>
      </c>
      <c r="AG1040" s="23" t="n">
        <v>1</v>
      </c>
      <c r="AH1040" s="23" t="n">
        <v>1</v>
      </c>
      <c r="AI1040" s="23" t="n">
        <v>1</v>
      </c>
      <c r="AJ1040" s="23" t="n">
        <v>0.7248</v>
      </c>
      <c r="AK1040" s="23" t="n">
        <v>0.5</v>
      </c>
      <c r="AL1040" s="23" t="n">
        <v>0.3</v>
      </c>
      <c r="AM1040" s="16" t="n">
        <f aca="false">COUNTIFS($D$2:$D$2501,D1040,$G$2:$G$2501,"&gt;"&amp;G1040)+COUNTIFS($D$2:D1040,D1040,$G$2:G1040,G1040)</f>
        <v>13</v>
      </c>
      <c r="AN1040" s="5" t="str">
        <f aca="false">D1040&amp;"|"&amp;AM1040</f>
        <v>文件與影像辨識|13</v>
      </c>
    </row>
    <row r="1041" customFormat="false" ht="17.15" hidden="false" customHeight="false" outlineLevel="0" collapsed="false">
      <c r="A1041" s="16" t="n">
        <f aca="false">RANK(G1041,$G$2:$G$2501)+COUNTIF($G$2:G1041,G1041)-1</f>
        <v>1040</v>
      </c>
      <c r="B1041" s="11" t="s">
        <v>2638</v>
      </c>
      <c r="C1041" s="11" t="s">
        <v>2639</v>
      </c>
      <c r="D1041" s="5" t="s">
        <v>54</v>
      </c>
      <c r="E1041" s="5" t="s">
        <v>55</v>
      </c>
      <c r="F1041" s="5"/>
      <c r="G1041" s="22" t="n">
        <f aca="false">ROUND(SUM(I1041:P1041),3)</f>
        <v>64.746</v>
      </c>
      <c r="H1041" s="5" t="str">
        <f aca="false">IF(G1041&gt;=評分方法!$C$16,"優先評估",IF(G1041&gt;=評分方法!$C$17,"列入候選",IF(G1041&gt;=評分方法!$C$18,"特定情境","不建議")))</f>
        <v>特定情境</v>
      </c>
      <c r="I1041" s="15" t="n">
        <f aca="false">AE1041*評分方法!$C$5</f>
        <v>27</v>
      </c>
      <c r="J1041" s="15" t="n">
        <f aca="false">AF1041*評分方法!$C$6</f>
        <v>0</v>
      </c>
      <c r="K1041" s="15" t="n">
        <f aca="false">AG1041*評分方法!$C$7</f>
        <v>4.95</v>
      </c>
      <c r="L1041" s="15" t="n">
        <f aca="false">AH1041*評分方法!$C$8</f>
        <v>15</v>
      </c>
      <c r="M1041" s="15" t="n">
        <f aca="false">AI1041*評分方法!$C$9</f>
        <v>10</v>
      </c>
      <c r="N1041" s="15" t="n">
        <f aca="false">AJ1041*評分方法!$C$10</f>
        <v>2.796</v>
      </c>
      <c r="O1041" s="15" t="n">
        <f aca="false">AK1041*評分方法!$C$11</f>
        <v>5</v>
      </c>
      <c r="P1041" s="15" t="n">
        <f aca="false">AL1041*評分方法!$C$12</f>
        <v>0</v>
      </c>
      <c r="Q1041" s="6" t="n">
        <v>273246</v>
      </c>
      <c r="R1041" s="6" t="n">
        <v>302863104</v>
      </c>
      <c r="S1041" s="11" t="s">
        <v>238</v>
      </c>
      <c r="T1041" s="11" t="s">
        <v>239</v>
      </c>
      <c r="U1041" s="5" t="s">
        <v>240</v>
      </c>
      <c r="V1041" s="11" t="s">
        <v>261</v>
      </c>
      <c r="W1041" s="5" t="s">
        <v>334</v>
      </c>
      <c r="X1041" s="5" t="s">
        <v>242</v>
      </c>
      <c r="Y1041" s="11" t="s">
        <v>672</v>
      </c>
      <c r="Z1041" s="11" t="s">
        <v>270</v>
      </c>
      <c r="AA1041" s="11" t="s">
        <v>153</v>
      </c>
      <c r="AB1041" s="5" t="s">
        <v>245</v>
      </c>
      <c r="AC1041" s="5"/>
      <c r="AD1041" s="11" t="s">
        <v>2640</v>
      </c>
      <c r="AE1041" s="23" t="n">
        <v>0.9</v>
      </c>
      <c r="AF1041" s="23" t="n">
        <v>0</v>
      </c>
      <c r="AG1041" s="23" t="n">
        <v>0.33</v>
      </c>
      <c r="AH1041" s="23" t="n">
        <v>1</v>
      </c>
      <c r="AI1041" s="23" t="n">
        <v>1</v>
      </c>
      <c r="AJ1041" s="23" t="n">
        <v>0.2796</v>
      </c>
      <c r="AK1041" s="23" t="n">
        <v>1</v>
      </c>
      <c r="AL1041" s="23" t="n">
        <v>0</v>
      </c>
      <c r="AM1041" s="16" t="n">
        <f aca="false">COUNTIFS($D$2:$D$2501,D1041,$G$2:$G$2501,"&gt;"&amp;G1041)+COUNTIFS($D$2:D1041,D1041,$G$2:G1041,G1041)</f>
        <v>159</v>
      </c>
      <c r="AN1041" s="5" t="str">
        <f aca="false">D1041&amp;"|"&amp;AM1041</f>
        <v>檢索與情資關聯|159</v>
      </c>
    </row>
    <row r="1042" customFormat="false" ht="17.15" hidden="false" customHeight="false" outlineLevel="0" collapsed="false">
      <c r="A1042" s="16" t="n">
        <f aca="false">RANK(G1042,$G$2:$G$2501)+COUNTIF($G$2:G1042,G1042)-1</f>
        <v>1041</v>
      </c>
      <c r="B1042" s="11" t="s">
        <v>2641</v>
      </c>
      <c r="C1042" s="11" t="s">
        <v>1214</v>
      </c>
      <c r="D1042" s="5" t="s">
        <v>56</v>
      </c>
      <c r="E1042" s="5" t="s">
        <v>57</v>
      </c>
      <c r="F1042" s="5"/>
      <c r="G1042" s="22" t="n">
        <f aca="false">ROUND(SUM(I1042:P1042),3)</f>
        <v>64.738</v>
      </c>
      <c r="H1042" s="5" t="str">
        <f aca="false">IF(G1042&gt;=評分方法!$C$16,"優先評估",IF(G1042&gt;=評分方法!$C$17,"列入候選",IF(G1042&gt;=評分方法!$C$18,"特定情境","不建議")))</f>
        <v>特定情境</v>
      </c>
      <c r="I1042" s="15" t="n">
        <f aca="false">AE1042*評分方法!$C$5</f>
        <v>24</v>
      </c>
      <c r="J1042" s="15" t="n">
        <f aca="false">AF1042*評分方法!$C$6</f>
        <v>0</v>
      </c>
      <c r="K1042" s="15" t="n">
        <f aca="false">AG1042*評分方法!$C$7</f>
        <v>15</v>
      </c>
      <c r="L1042" s="15" t="n">
        <f aca="false">AH1042*評分方法!$C$8</f>
        <v>7.05</v>
      </c>
      <c r="M1042" s="15" t="n">
        <f aca="false">AI1042*評分方法!$C$9</f>
        <v>10</v>
      </c>
      <c r="N1042" s="15" t="n">
        <f aca="false">AJ1042*評分方法!$C$10</f>
        <v>0.688</v>
      </c>
      <c r="O1042" s="15" t="n">
        <f aca="false">AK1042*評分方法!$C$11</f>
        <v>5</v>
      </c>
      <c r="P1042" s="15" t="n">
        <f aca="false">AL1042*評分方法!$C$12</f>
        <v>3</v>
      </c>
      <c r="Q1042" s="6" t="n">
        <v>141573</v>
      </c>
      <c r="R1042" s="6"/>
      <c r="S1042" s="5" t="s">
        <v>255</v>
      </c>
      <c r="T1042" s="11" t="s">
        <v>239</v>
      </c>
      <c r="U1042" s="5" t="s">
        <v>240</v>
      </c>
      <c r="V1042" s="11" t="s">
        <v>261</v>
      </c>
      <c r="W1042" s="5" t="s">
        <v>205</v>
      </c>
      <c r="X1042" s="5" t="s">
        <v>371</v>
      </c>
      <c r="Y1042" s="11" t="s">
        <v>2642</v>
      </c>
      <c r="Z1042" s="11" t="s">
        <v>270</v>
      </c>
      <c r="AA1042" s="11" t="s">
        <v>157</v>
      </c>
      <c r="AB1042" s="5" t="s">
        <v>496</v>
      </c>
      <c r="AC1042" s="5" t="s">
        <v>497</v>
      </c>
      <c r="AD1042" s="11" t="s">
        <v>2643</v>
      </c>
      <c r="AE1042" s="23" t="n">
        <v>0.8</v>
      </c>
      <c r="AF1042" s="23" t="n">
        <v>0</v>
      </c>
      <c r="AG1042" s="23" t="n">
        <v>1</v>
      </c>
      <c r="AH1042" s="23" t="n">
        <v>0.47</v>
      </c>
      <c r="AI1042" s="23" t="n">
        <v>1</v>
      </c>
      <c r="AJ1042" s="23" t="n">
        <v>0.0688</v>
      </c>
      <c r="AK1042" s="23" t="n">
        <v>1</v>
      </c>
      <c r="AL1042" s="23" t="n">
        <v>0.6</v>
      </c>
      <c r="AM1042" s="16" t="n">
        <f aca="false">COUNTIFS($D$2:$D$2501,D1042,$G$2:$G$2501,"&gt;"&amp;G1042)+COUNTIFS($D$2:D1042,D1042,$G$2:G1042,G1042)</f>
        <v>446</v>
      </c>
      <c r="AN1042" s="5" t="str">
        <f aca="false">D1042&amp;"|"&amp;AM1042</f>
        <v>分析與報告生成|446</v>
      </c>
    </row>
    <row r="1043" customFormat="false" ht="17.15" hidden="false" customHeight="false" outlineLevel="0" collapsed="false">
      <c r="A1043" s="16" t="n">
        <f aca="false">RANK(G1043,$G$2:$G$2501)+COUNTIF($G$2:G1043,G1043)-1</f>
        <v>1042</v>
      </c>
      <c r="B1043" s="11" t="s">
        <v>2644</v>
      </c>
      <c r="C1043" s="11" t="s">
        <v>2645</v>
      </c>
      <c r="D1043" s="5" t="s">
        <v>68</v>
      </c>
      <c r="E1043" s="11" t="s">
        <v>69</v>
      </c>
      <c r="F1043" s="5"/>
      <c r="G1043" s="22" t="n">
        <f aca="false">ROUND(SUM(I1043:P1043),3)</f>
        <v>64.714</v>
      </c>
      <c r="H1043" s="5" t="str">
        <f aca="false">IF(G1043&gt;=評分方法!$C$16,"優先評估",IF(G1043&gt;=評分方法!$C$17,"列入候選",IF(G1043&gt;=評分方法!$C$18,"特定情境","不建議")))</f>
        <v>特定情境</v>
      </c>
      <c r="I1043" s="15" t="n">
        <f aca="false">AE1043*評分方法!$C$5</f>
        <v>21</v>
      </c>
      <c r="J1043" s="15" t="n">
        <f aca="false">AF1043*評分方法!$C$6</f>
        <v>0</v>
      </c>
      <c r="K1043" s="15" t="n">
        <f aca="false">AG1043*評分方法!$C$7</f>
        <v>4.95</v>
      </c>
      <c r="L1043" s="15" t="n">
        <f aca="false">AH1043*評分方法!$C$8</f>
        <v>15</v>
      </c>
      <c r="M1043" s="15" t="n">
        <f aca="false">AI1043*評分方法!$C$9</f>
        <v>10</v>
      </c>
      <c r="N1043" s="15" t="n">
        <f aca="false">AJ1043*評分方法!$C$10</f>
        <v>9.764</v>
      </c>
      <c r="O1043" s="15" t="n">
        <f aca="false">AK1043*評分方法!$C$11</f>
        <v>2.5</v>
      </c>
      <c r="P1043" s="15" t="n">
        <f aca="false">AL1043*評分方法!$C$12</f>
        <v>1.5</v>
      </c>
      <c r="Q1043" s="6" t="n">
        <v>17241841</v>
      </c>
      <c r="R1043" s="6" t="n">
        <v>3958258</v>
      </c>
      <c r="S1043" s="11" t="s">
        <v>238</v>
      </c>
      <c r="T1043" s="11" t="s">
        <v>278</v>
      </c>
      <c r="U1043" s="5" t="s">
        <v>240</v>
      </c>
      <c r="V1043" s="11" t="s">
        <v>261</v>
      </c>
      <c r="W1043" s="5" t="s">
        <v>334</v>
      </c>
      <c r="X1043" s="5" t="s">
        <v>255</v>
      </c>
      <c r="Y1043" s="5"/>
      <c r="Z1043" s="5"/>
      <c r="AA1043" s="11" t="s">
        <v>158</v>
      </c>
      <c r="AB1043" s="5" t="s">
        <v>245</v>
      </c>
      <c r="AC1043" s="5"/>
      <c r="AD1043" s="11" t="s">
        <v>2646</v>
      </c>
      <c r="AE1043" s="23" t="n">
        <v>0.7</v>
      </c>
      <c r="AF1043" s="23" t="n">
        <v>0</v>
      </c>
      <c r="AG1043" s="23" t="n">
        <v>0.33</v>
      </c>
      <c r="AH1043" s="23" t="n">
        <v>1</v>
      </c>
      <c r="AI1043" s="23" t="n">
        <v>1</v>
      </c>
      <c r="AJ1043" s="23" t="n">
        <v>0.9764</v>
      </c>
      <c r="AK1043" s="23" t="n">
        <v>0.5</v>
      </c>
      <c r="AL1043" s="23" t="n">
        <v>0.3</v>
      </c>
      <c r="AM1043" s="16" t="n">
        <f aca="false">COUNTIFS($D$2:$D$2501,D1043,$G$2:$G$2501,"&gt;"&amp;G1043)+COUNTIFS($D$2:D1043,D1043,$G$2:G1043,G1043)</f>
        <v>35</v>
      </c>
      <c r="AN1043" s="5" t="str">
        <f aca="false">D1043&amp;"|"&amp;AM1043</f>
        <v>時序異常偵測|35</v>
      </c>
    </row>
    <row r="1044" customFormat="false" ht="17.15" hidden="false" customHeight="false" outlineLevel="0" collapsed="false">
      <c r="A1044" s="16" t="n">
        <f aca="false">RANK(G1044,$G$2:$G$2501)+COUNTIF($G$2:G1044,G1044)-1</f>
        <v>1043</v>
      </c>
      <c r="B1044" s="11" t="s">
        <v>2647</v>
      </c>
      <c r="C1044" s="11" t="s">
        <v>891</v>
      </c>
      <c r="D1044" s="5" t="s">
        <v>56</v>
      </c>
      <c r="E1044" s="5" t="s">
        <v>57</v>
      </c>
      <c r="F1044" s="5"/>
      <c r="G1044" s="22" t="n">
        <f aca="false">ROUND(SUM(I1044:P1044),3)</f>
        <v>64.708</v>
      </c>
      <c r="H1044" s="5" t="str">
        <f aca="false">IF(G1044&gt;=評分方法!$C$16,"優先評估",IF(G1044&gt;=評分方法!$C$17,"列入候選",IF(G1044&gt;=評分方法!$C$18,"特定情境","不建議")))</f>
        <v>特定情境</v>
      </c>
      <c r="I1044" s="15" t="n">
        <f aca="false">AE1044*評分方法!$C$5</f>
        <v>25.5</v>
      </c>
      <c r="J1044" s="15" t="n">
        <f aca="false">AF1044*評分方法!$C$6</f>
        <v>0</v>
      </c>
      <c r="K1044" s="15" t="n">
        <f aca="false">AG1044*評分方法!$C$7</f>
        <v>10.05</v>
      </c>
      <c r="L1044" s="15" t="n">
        <f aca="false">AH1044*評分方法!$C$8</f>
        <v>13.05</v>
      </c>
      <c r="M1044" s="15" t="n">
        <f aca="false">AI1044*評分方法!$C$9</f>
        <v>6</v>
      </c>
      <c r="N1044" s="15" t="n">
        <f aca="false">AJ1044*評分方法!$C$10</f>
        <v>3.108</v>
      </c>
      <c r="O1044" s="15" t="n">
        <f aca="false">AK1044*評分方法!$C$11</f>
        <v>4</v>
      </c>
      <c r="P1044" s="15" t="n">
        <f aca="false">AL1044*評分方法!$C$12</f>
        <v>3</v>
      </c>
      <c r="Q1044" s="6" t="n">
        <v>305324</v>
      </c>
      <c r="R1044" s="6" t="n">
        <v>3973556832</v>
      </c>
      <c r="S1044" s="11" t="s">
        <v>254</v>
      </c>
      <c r="T1044" s="11" t="s">
        <v>185</v>
      </c>
      <c r="U1044" s="5" t="s">
        <v>260</v>
      </c>
      <c r="V1044" s="11" t="s">
        <v>333</v>
      </c>
      <c r="W1044" s="5" t="s">
        <v>207</v>
      </c>
      <c r="X1044" s="5" t="s">
        <v>371</v>
      </c>
      <c r="Y1044" s="11" t="s">
        <v>2648</v>
      </c>
      <c r="Z1044" s="11" t="s">
        <v>244</v>
      </c>
      <c r="AA1044" s="11" t="s">
        <v>155</v>
      </c>
      <c r="AB1044" s="5" t="s">
        <v>496</v>
      </c>
      <c r="AC1044" s="5" t="s">
        <v>1108</v>
      </c>
      <c r="AD1044" s="11" t="s">
        <v>2649</v>
      </c>
      <c r="AE1044" s="23" t="n">
        <v>0.85</v>
      </c>
      <c r="AF1044" s="23" t="n">
        <v>0</v>
      </c>
      <c r="AG1044" s="23" t="n">
        <v>0.67</v>
      </c>
      <c r="AH1044" s="23" t="n">
        <v>0.87</v>
      </c>
      <c r="AI1044" s="23" t="n">
        <v>0.6</v>
      </c>
      <c r="AJ1044" s="23" t="n">
        <v>0.3108</v>
      </c>
      <c r="AK1044" s="23" t="n">
        <v>0.8</v>
      </c>
      <c r="AL1044" s="23" t="n">
        <v>0.6</v>
      </c>
      <c r="AM1044" s="16" t="n">
        <f aca="false">COUNTIFS($D$2:$D$2501,D1044,$G$2:$G$2501,"&gt;"&amp;G1044)+COUNTIFS($D$2:D1044,D1044,$G$2:G1044,G1044)</f>
        <v>447</v>
      </c>
      <c r="AN1044" s="5" t="str">
        <f aca="false">D1044&amp;"|"&amp;AM1044</f>
        <v>分析與報告生成|447</v>
      </c>
    </row>
    <row r="1045" customFormat="false" ht="17.15" hidden="false" customHeight="false" outlineLevel="0" collapsed="false">
      <c r="A1045" s="16" t="n">
        <f aca="false">RANK(G1045,$G$2:$G$2501)+COUNTIF($G$2:G1045,G1045)-1</f>
        <v>1044</v>
      </c>
      <c r="B1045" s="11" t="s">
        <v>2650</v>
      </c>
      <c r="C1045" s="11" t="s">
        <v>1388</v>
      </c>
      <c r="D1045" s="5" t="s">
        <v>56</v>
      </c>
      <c r="E1045" s="5" t="s">
        <v>57</v>
      </c>
      <c r="F1045" s="5"/>
      <c r="G1045" s="22" t="n">
        <f aca="false">ROUND(SUM(I1045:P1045),3)</f>
        <v>64.704</v>
      </c>
      <c r="H1045" s="5" t="str">
        <f aca="false">IF(G1045&gt;=評分方法!$C$16,"優先評估",IF(G1045&gt;=評分方法!$C$17,"列入候選",IF(G1045&gt;=評分方法!$C$18,"特定情境","不建議")))</f>
        <v>特定情境</v>
      </c>
      <c r="I1045" s="15" t="n">
        <f aca="false">AE1045*評分方法!$C$5</f>
        <v>25.5</v>
      </c>
      <c r="J1045" s="15" t="n">
        <f aca="false">AF1045*評分方法!$C$6</f>
        <v>0</v>
      </c>
      <c r="K1045" s="15" t="n">
        <f aca="false">AG1045*評分方法!$C$7</f>
        <v>10.05</v>
      </c>
      <c r="L1045" s="15" t="n">
        <f aca="false">AH1045*評分方法!$C$8</f>
        <v>13.05</v>
      </c>
      <c r="M1045" s="15" t="n">
        <f aca="false">AI1045*評分方法!$C$9</f>
        <v>10</v>
      </c>
      <c r="N1045" s="15" t="n">
        <f aca="false">AJ1045*評分方法!$C$10</f>
        <v>5.104</v>
      </c>
      <c r="O1045" s="15" t="n">
        <f aca="false">AK1045*評分方法!$C$11</f>
        <v>1</v>
      </c>
      <c r="P1045" s="15" t="n">
        <f aca="false">AL1045*評分方法!$C$12</f>
        <v>0</v>
      </c>
      <c r="Q1045" s="6" t="n">
        <v>546722</v>
      </c>
      <c r="R1045" s="6" t="n">
        <v>1100060672</v>
      </c>
      <c r="S1045" s="11" t="s">
        <v>254</v>
      </c>
      <c r="T1045" s="11" t="s">
        <v>239</v>
      </c>
      <c r="U1045" s="5" t="s">
        <v>240</v>
      </c>
      <c r="V1045" s="11" t="s">
        <v>261</v>
      </c>
      <c r="W1045" s="5" t="s">
        <v>207</v>
      </c>
      <c r="X1045" s="5" t="s">
        <v>242</v>
      </c>
      <c r="Y1045" s="11" t="s">
        <v>1558</v>
      </c>
      <c r="Z1045" s="11" t="s">
        <v>244</v>
      </c>
      <c r="AA1045" s="11" t="s">
        <v>155</v>
      </c>
      <c r="AB1045" s="5" t="s">
        <v>245</v>
      </c>
      <c r="AC1045" s="5" t="s">
        <v>246</v>
      </c>
      <c r="AD1045" s="11" t="s">
        <v>2651</v>
      </c>
      <c r="AE1045" s="23" t="n">
        <v>0.85</v>
      </c>
      <c r="AF1045" s="23" t="n">
        <v>0</v>
      </c>
      <c r="AG1045" s="23" t="n">
        <v>0.67</v>
      </c>
      <c r="AH1045" s="23" t="n">
        <v>0.87</v>
      </c>
      <c r="AI1045" s="23" t="n">
        <v>1</v>
      </c>
      <c r="AJ1045" s="23" t="n">
        <v>0.5104</v>
      </c>
      <c r="AK1045" s="23" t="n">
        <v>0.2</v>
      </c>
      <c r="AL1045" s="23" t="n">
        <v>0</v>
      </c>
      <c r="AM1045" s="16" t="n">
        <f aca="false">COUNTIFS($D$2:$D$2501,D1045,$G$2:$G$2501,"&gt;"&amp;G1045)+COUNTIFS($D$2:D1045,D1045,$G$2:G1045,G1045)</f>
        <v>448</v>
      </c>
      <c r="AN1045" s="5" t="str">
        <f aca="false">D1045&amp;"|"&amp;AM1045</f>
        <v>分析與報告生成|448</v>
      </c>
    </row>
    <row r="1046" customFormat="false" ht="17.15" hidden="false" customHeight="false" outlineLevel="0" collapsed="false">
      <c r="A1046" s="16" t="n">
        <f aca="false">RANK(G1046,$G$2:$G$2501)+COUNTIF($G$2:G1046,G1046)-1</f>
        <v>1045</v>
      </c>
      <c r="B1046" s="11" t="s">
        <v>2652</v>
      </c>
      <c r="C1046" s="11" t="s">
        <v>368</v>
      </c>
      <c r="D1046" s="5" t="s">
        <v>56</v>
      </c>
      <c r="E1046" s="5" t="s">
        <v>57</v>
      </c>
      <c r="F1046" s="5"/>
      <c r="G1046" s="22" t="n">
        <f aca="false">ROUND(SUM(I1046:P1046),3)</f>
        <v>64.678</v>
      </c>
      <c r="H1046" s="5" t="str">
        <f aca="false">IF(G1046&gt;=評分方法!$C$16,"優先評估",IF(G1046&gt;=評分方法!$C$17,"列入候選",IF(G1046&gt;=評分方法!$C$18,"特定情境","不建議")))</f>
        <v>特定情境</v>
      </c>
      <c r="I1046" s="15" t="n">
        <f aca="false">AE1046*評分方法!$C$5</f>
        <v>25.5</v>
      </c>
      <c r="J1046" s="15" t="n">
        <f aca="false">AF1046*評分方法!$C$6</f>
        <v>0</v>
      </c>
      <c r="K1046" s="15" t="n">
        <f aca="false">AG1046*評分方法!$C$7</f>
        <v>15</v>
      </c>
      <c r="L1046" s="15" t="n">
        <f aca="false">AH1046*評分方法!$C$8</f>
        <v>13.05</v>
      </c>
      <c r="M1046" s="15" t="n">
        <f aca="false">AI1046*評分方法!$C$9</f>
        <v>6</v>
      </c>
      <c r="N1046" s="15" t="n">
        <f aca="false">AJ1046*評分方法!$C$10</f>
        <v>1.128</v>
      </c>
      <c r="O1046" s="15" t="n">
        <f aca="false">AK1046*評分方法!$C$11</f>
        <v>1</v>
      </c>
      <c r="P1046" s="15" t="n">
        <f aca="false">AL1046*評分方法!$C$12</f>
        <v>3</v>
      </c>
      <c r="Q1046" s="6" t="n">
        <v>158517</v>
      </c>
      <c r="R1046" s="6" t="n">
        <v>8537680896</v>
      </c>
      <c r="S1046" s="11" t="s">
        <v>254</v>
      </c>
      <c r="T1046" s="11" t="s">
        <v>658</v>
      </c>
      <c r="U1046" s="5" t="s">
        <v>260</v>
      </c>
      <c r="V1046" s="11" t="s">
        <v>462</v>
      </c>
      <c r="W1046" s="5" t="s">
        <v>205</v>
      </c>
      <c r="X1046" s="5" t="s">
        <v>371</v>
      </c>
      <c r="Y1046" s="11" t="s">
        <v>2186</v>
      </c>
      <c r="Z1046" s="11" t="s">
        <v>270</v>
      </c>
      <c r="AA1046" s="11" t="s">
        <v>155</v>
      </c>
      <c r="AB1046" s="5" t="s">
        <v>245</v>
      </c>
      <c r="AC1046" s="5" t="s">
        <v>262</v>
      </c>
      <c r="AD1046" s="11" t="s">
        <v>2653</v>
      </c>
      <c r="AE1046" s="23" t="n">
        <v>0.85</v>
      </c>
      <c r="AF1046" s="23" t="n">
        <v>0</v>
      </c>
      <c r="AG1046" s="23" t="n">
        <v>1</v>
      </c>
      <c r="AH1046" s="23" t="n">
        <v>0.87</v>
      </c>
      <c r="AI1046" s="23" t="n">
        <v>0.6</v>
      </c>
      <c r="AJ1046" s="23" t="n">
        <v>0.1128</v>
      </c>
      <c r="AK1046" s="23" t="n">
        <v>0.2</v>
      </c>
      <c r="AL1046" s="23" t="n">
        <v>0.6</v>
      </c>
      <c r="AM1046" s="16" t="n">
        <f aca="false">COUNTIFS($D$2:$D$2501,D1046,$G$2:$G$2501,"&gt;"&amp;G1046)+COUNTIFS($D$2:D1046,D1046,$G$2:G1046,G1046)</f>
        <v>449</v>
      </c>
      <c r="AN1046" s="5" t="str">
        <f aca="false">D1046&amp;"|"&amp;AM1046</f>
        <v>分析與報告生成|449</v>
      </c>
    </row>
    <row r="1047" customFormat="false" ht="17.15" hidden="false" customHeight="false" outlineLevel="0" collapsed="false">
      <c r="A1047" s="16" t="n">
        <f aca="false">RANK(G1047,$G$2:$G$2501)+COUNTIF($G$2:G1047,G1047)-1</f>
        <v>1046</v>
      </c>
      <c r="B1047" s="11" t="s">
        <v>2654</v>
      </c>
      <c r="C1047" s="11" t="s">
        <v>1438</v>
      </c>
      <c r="D1047" s="5" t="s">
        <v>56</v>
      </c>
      <c r="E1047" s="5" t="s">
        <v>57</v>
      </c>
      <c r="F1047" s="5"/>
      <c r="G1047" s="22" t="n">
        <f aca="false">ROUND(SUM(I1047:P1047),3)</f>
        <v>64.662</v>
      </c>
      <c r="H1047" s="5" t="str">
        <f aca="false">IF(G1047&gt;=評分方法!$C$16,"優先評估",IF(G1047&gt;=評分方法!$C$17,"列入候選",IF(G1047&gt;=評分方法!$C$18,"特定情境","不建議")))</f>
        <v>特定情境</v>
      </c>
      <c r="I1047" s="15" t="n">
        <f aca="false">AE1047*評分方法!$C$5</f>
        <v>25.5</v>
      </c>
      <c r="J1047" s="15" t="n">
        <f aca="false">AF1047*評分方法!$C$6</f>
        <v>0</v>
      </c>
      <c r="K1047" s="15" t="n">
        <f aca="false">AG1047*評分方法!$C$7</f>
        <v>10.05</v>
      </c>
      <c r="L1047" s="15" t="n">
        <f aca="false">AH1047*評分方法!$C$8</f>
        <v>15</v>
      </c>
      <c r="M1047" s="15" t="n">
        <f aca="false">AI1047*評分方法!$C$9</f>
        <v>2</v>
      </c>
      <c r="N1047" s="15" t="n">
        <f aca="false">AJ1047*評分方法!$C$10</f>
        <v>6.612</v>
      </c>
      <c r="O1047" s="15" t="n">
        <f aca="false">AK1047*評分方法!$C$11</f>
        <v>2.5</v>
      </c>
      <c r="P1047" s="15" t="n">
        <f aca="false">AL1047*評分方法!$C$12</f>
        <v>3</v>
      </c>
      <c r="Q1047" s="6" t="n">
        <v>782268</v>
      </c>
      <c r="R1047" s="6" t="n">
        <v>999885952</v>
      </c>
      <c r="S1047" s="11" t="s">
        <v>238</v>
      </c>
      <c r="T1047" s="5"/>
      <c r="U1047" s="5" t="s">
        <v>375</v>
      </c>
      <c r="V1047" s="11" t="s">
        <v>333</v>
      </c>
      <c r="W1047" s="5" t="s">
        <v>207</v>
      </c>
      <c r="X1047" s="5" t="s">
        <v>371</v>
      </c>
      <c r="Y1047" s="11" t="s">
        <v>657</v>
      </c>
      <c r="Z1047" s="11" t="s">
        <v>244</v>
      </c>
      <c r="AA1047" s="11" t="s">
        <v>155</v>
      </c>
      <c r="AB1047" s="5" t="s">
        <v>245</v>
      </c>
      <c r="AC1047" s="5" t="s">
        <v>464</v>
      </c>
      <c r="AD1047" s="11" t="s">
        <v>2655</v>
      </c>
      <c r="AE1047" s="23" t="n">
        <v>0.85</v>
      </c>
      <c r="AF1047" s="23" t="n">
        <v>0</v>
      </c>
      <c r="AG1047" s="23" t="n">
        <v>0.67</v>
      </c>
      <c r="AH1047" s="23" t="n">
        <v>1</v>
      </c>
      <c r="AI1047" s="23" t="n">
        <v>0.2</v>
      </c>
      <c r="AJ1047" s="23" t="n">
        <v>0.6612</v>
      </c>
      <c r="AK1047" s="23" t="n">
        <v>0.5</v>
      </c>
      <c r="AL1047" s="23" t="n">
        <v>0.6</v>
      </c>
      <c r="AM1047" s="16" t="n">
        <f aca="false">COUNTIFS($D$2:$D$2501,D1047,$G$2:$G$2501,"&gt;"&amp;G1047)+COUNTIFS($D$2:D1047,D1047,$G$2:G1047,G1047)</f>
        <v>450</v>
      </c>
      <c r="AN1047" s="5" t="str">
        <f aca="false">D1047&amp;"|"&amp;AM1047</f>
        <v>分析與報告生成|450</v>
      </c>
    </row>
    <row r="1048" customFormat="false" ht="17.15" hidden="false" customHeight="false" outlineLevel="0" collapsed="false">
      <c r="A1048" s="16" t="n">
        <f aca="false">RANK(G1048,$G$2:$G$2501)+COUNTIF($G$2:G1048,G1048)-1</f>
        <v>1047</v>
      </c>
      <c r="B1048" s="11" t="s">
        <v>2656</v>
      </c>
      <c r="C1048" s="11" t="s">
        <v>282</v>
      </c>
      <c r="D1048" s="5" t="s">
        <v>54</v>
      </c>
      <c r="E1048" s="5" t="s">
        <v>55</v>
      </c>
      <c r="F1048" s="5"/>
      <c r="G1048" s="22" t="n">
        <f aca="false">ROUND(SUM(I1048:P1048),3)</f>
        <v>64.66</v>
      </c>
      <c r="H1048" s="5" t="str">
        <f aca="false">IF(G1048&gt;=評分方法!$C$16,"優先評估",IF(G1048&gt;=評分方法!$C$17,"列入候選",IF(G1048&gt;=評分方法!$C$18,"特定情境","不建議")))</f>
        <v>特定情境</v>
      </c>
      <c r="I1048" s="15" t="n">
        <f aca="false">AE1048*評分方法!$C$5</f>
        <v>27</v>
      </c>
      <c r="J1048" s="15" t="n">
        <f aca="false">AF1048*評分方法!$C$6</f>
        <v>0</v>
      </c>
      <c r="K1048" s="15" t="n">
        <f aca="false">AG1048*評分方法!$C$7</f>
        <v>15</v>
      </c>
      <c r="L1048" s="15" t="n">
        <f aca="false">AH1048*評分方法!$C$8</f>
        <v>15</v>
      </c>
      <c r="M1048" s="15" t="n">
        <f aca="false">AI1048*評分方法!$C$9</f>
        <v>2</v>
      </c>
      <c r="N1048" s="15" t="n">
        <f aca="false">AJ1048*評分方法!$C$10</f>
        <v>3.16</v>
      </c>
      <c r="O1048" s="15" t="n">
        <f aca="false">AK1048*評分方法!$C$11</f>
        <v>2.5</v>
      </c>
      <c r="P1048" s="15" t="n">
        <f aca="false">AL1048*評分方法!$C$12</f>
        <v>0</v>
      </c>
      <c r="Q1048" s="6" t="n">
        <v>307881</v>
      </c>
      <c r="R1048" s="6" t="n">
        <v>66362880</v>
      </c>
      <c r="S1048" s="11" t="s">
        <v>238</v>
      </c>
      <c r="T1048" s="5"/>
      <c r="U1048" s="5" t="s">
        <v>375</v>
      </c>
      <c r="V1048" s="11" t="s">
        <v>288</v>
      </c>
      <c r="W1048" s="5" t="s">
        <v>205</v>
      </c>
      <c r="X1048" s="5" t="s">
        <v>242</v>
      </c>
      <c r="Y1048" s="5"/>
      <c r="Z1048" s="5"/>
      <c r="AA1048" s="11" t="s">
        <v>152</v>
      </c>
      <c r="AB1048" s="5" t="s">
        <v>245</v>
      </c>
      <c r="AC1048" s="5" t="s">
        <v>262</v>
      </c>
      <c r="AD1048" s="11" t="s">
        <v>2657</v>
      </c>
      <c r="AE1048" s="23" t="n">
        <v>0.9</v>
      </c>
      <c r="AF1048" s="23" t="n">
        <v>0</v>
      </c>
      <c r="AG1048" s="23" t="n">
        <v>1</v>
      </c>
      <c r="AH1048" s="23" t="n">
        <v>1</v>
      </c>
      <c r="AI1048" s="23" t="n">
        <v>0.2</v>
      </c>
      <c r="AJ1048" s="23" t="n">
        <v>0.316</v>
      </c>
      <c r="AK1048" s="23" t="n">
        <v>0.5</v>
      </c>
      <c r="AL1048" s="23" t="n">
        <v>0</v>
      </c>
      <c r="AM1048" s="16" t="n">
        <f aca="false">COUNTIFS($D$2:$D$2501,D1048,$G$2:$G$2501,"&gt;"&amp;G1048)+COUNTIFS($D$2:D1048,D1048,$G$2:G1048,G1048)</f>
        <v>160</v>
      </c>
      <c r="AN1048" s="5" t="str">
        <f aca="false">D1048&amp;"|"&amp;AM1048</f>
        <v>檢索與情資關聯|160</v>
      </c>
    </row>
    <row r="1049" customFormat="false" ht="17.15" hidden="false" customHeight="false" outlineLevel="0" collapsed="false">
      <c r="A1049" s="16" t="n">
        <f aca="false">RANK(G1049,$G$2:$G$2501)+COUNTIF($G$2:G1049,G1049)-1</f>
        <v>1048</v>
      </c>
      <c r="B1049" s="11" t="s">
        <v>2658</v>
      </c>
      <c r="C1049" s="11" t="s">
        <v>2659</v>
      </c>
      <c r="D1049" s="11" t="s">
        <v>46</v>
      </c>
      <c r="E1049" s="11" t="s">
        <v>47</v>
      </c>
      <c r="F1049" s="11" t="s">
        <v>46</v>
      </c>
      <c r="G1049" s="22" t="n">
        <f aca="false">ROUND(SUM(I1049:P1049),3)</f>
        <v>64.652</v>
      </c>
      <c r="H1049" s="5" t="str">
        <f aca="false">IF(G1049&gt;=評分方法!$C$16,"優先評估",IF(G1049&gt;=評分方法!$C$17,"列入候選",IF(G1049&gt;=評分方法!$C$18,"特定情境","不建議")))</f>
        <v>特定情境</v>
      </c>
      <c r="I1049" s="15" t="n">
        <f aca="false">AE1049*評分方法!$C$5</f>
        <v>25.5</v>
      </c>
      <c r="J1049" s="15" t="n">
        <f aca="false">AF1049*評分方法!$C$6</f>
        <v>10</v>
      </c>
      <c r="K1049" s="15" t="n">
        <f aca="false">AG1049*評分方法!$C$7</f>
        <v>4.95</v>
      </c>
      <c r="L1049" s="15" t="n">
        <f aca="false">AH1049*評分方法!$C$8</f>
        <v>13.05</v>
      </c>
      <c r="M1049" s="15" t="n">
        <f aca="false">AI1049*評分方法!$C$9</f>
        <v>6</v>
      </c>
      <c r="N1049" s="15" t="n">
        <f aca="false">AJ1049*評分方法!$C$10</f>
        <v>4.152</v>
      </c>
      <c r="O1049" s="15" t="n">
        <f aca="false">AK1049*評分方法!$C$11</f>
        <v>1</v>
      </c>
      <c r="P1049" s="15" t="n">
        <f aca="false">AL1049*評分方法!$C$12</f>
        <v>0</v>
      </c>
      <c r="Q1049" s="6" t="n">
        <v>447913</v>
      </c>
      <c r="R1049" s="6" t="n">
        <v>1498482688</v>
      </c>
      <c r="S1049" s="11" t="s">
        <v>254</v>
      </c>
      <c r="T1049" s="11" t="s">
        <v>1044</v>
      </c>
      <c r="U1049" s="5" t="s">
        <v>260</v>
      </c>
      <c r="V1049" s="11" t="s">
        <v>261</v>
      </c>
      <c r="W1049" s="5" t="s">
        <v>334</v>
      </c>
      <c r="X1049" s="5" t="s">
        <v>242</v>
      </c>
      <c r="Y1049" s="5"/>
      <c r="Z1049" s="5"/>
      <c r="AA1049" s="11" t="s">
        <v>155</v>
      </c>
      <c r="AB1049" s="5" t="s">
        <v>245</v>
      </c>
      <c r="AC1049" s="5" t="s">
        <v>262</v>
      </c>
      <c r="AD1049" s="11" t="s">
        <v>2660</v>
      </c>
      <c r="AE1049" s="23" t="n">
        <v>0.85</v>
      </c>
      <c r="AF1049" s="23" t="n">
        <v>1</v>
      </c>
      <c r="AG1049" s="23" t="n">
        <v>0.33</v>
      </c>
      <c r="AH1049" s="23" t="n">
        <v>0.87</v>
      </c>
      <c r="AI1049" s="23" t="n">
        <v>0.6</v>
      </c>
      <c r="AJ1049" s="23" t="n">
        <v>0.4152</v>
      </c>
      <c r="AK1049" s="23" t="n">
        <v>0.2</v>
      </c>
      <c r="AL1049" s="23" t="n">
        <v>0</v>
      </c>
      <c r="AM1049" s="16" t="n">
        <f aca="false">COUNTIFS($D$2:$D$2501,D1049,$G$2:$G$2501,"&gt;"&amp;G1049)+COUNTIFS($D$2:D1049,D1049,$G$2:G1049,G1049)</f>
        <v>19</v>
      </c>
      <c r="AN1049" s="5" t="str">
        <f aca="false">D1049&amp;"|"&amp;AM1049</f>
        <v>AI 應用防護|19</v>
      </c>
    </row>
    <row r="1050" customFormat="false" ht="17.15" hidden="false" customHeight="false" outlineLevel="0" collapsed="false">
      <c r="A1050" s="16" t="n">
        <f aca="false">RANK(G1050,$G$2:$G$2501)+COUNTIF($G$2:G1050,G1050)-1</f>
        <v>1049</v>
      </c>
      <c r="B1050" s="11" t="s">
        <v>2661</v>
      </c>
      <c r="C1050" s="11" t="s">
        <v>891</v>
      </c>
      <c r="D1050" s="5" t="s">
        <v>56</v>
      </c>
      <c r="E1050" s="5" t="s">
        <v>57</v>
      </c>
      <c r="F1050" s="5"/>
      <c r="G1050" s="22" t="n">
        <f aca="false">ROUND(SUM(I1050:P1050),3)</f>
        <v>64.59</v>
      </c>
      <c r="H1050" s="5" t="str">
        <f aca="false">IF(G1050&gt;=評分方法!$C$16,"優先評估",IF(G1050&gt;=評分方法!$C$17,"列入候選",IF(G1050&gt;=評分方法!$C$18,"特定情境","不建議")))</f>
        <v>特定情境</v>
      </c>
      <c r="I1050" s="15" t="n">
        <f aca="false">AE1050*評分方法!$C$5</f>
        <v>25.5</v>
      </c>
      <c r="J1050" s="15" t="n">
        <f aca="false">AF1050*評分方法!$C$6</f>
        <v>0</v>
      </c>
      <c r="K1050" s="15" t="n">
        <f aca="false">AG1050*評分方法!$C$7</f>
        <v>10.05</v>
      </c>
      <c r="L1050" s="15" t="n">
        <f aca="false">AH1050*評分方法!$C$8</f>
        <v>9</v>
      </c>
      <c r="M1050" s="15" t="n">
        <f aca="false">AI1050*評分方法!$C$9</f>
        <v>10</v>
      </c>
      <c r="N1050" s="15" t="n">
        <f aca="false">AJ1050*評分方法!$C$10</f>
        <v>3.04</v>
      </c>
      <c r="O1050" s="15" t="n">
        <f aca="false">AK1050*評分方法!$C$11</f>
        <v>4</v>
      </c>
      <c r="P1050" s="15" t="n">
        <f aca="false">AL1050*評分方法!$C$12</f>
        <v>3</v>
      </c>
      <c r="Q1050" s="6" t="n">
        <v>298381</v>
      </c>
      <c r="R1050" s="6" t="n">
        <v>13506073600</v>
      </c>
      <c r="S1050" s="11" t="s">
        <v>389</v>
      </c>
      <c r="T1050" s="11" t="s">
        <v>239</v>
      </c>
      <c r="U1050" s="5" t="s">
        <v>240</v>
      </c>
      <c r="V1050" s="11" t="s">
        <v>333</v>
      </c>
      <c r="W1050" s="5" t="s">
        <v>207</v>
      </c>
      <c r="X1050" s="5" t="s">
        <v>371</v>
      </c>
      <c r="Y1050" s="11" t="s">
        <v>1032</v>
      </c>
      <c r="Z1050" s="11" t="s">
        <v>244</v>
      </c>
      <c r="AA1050" s="11" t="s">
        <v>155</v>
      </c>
      <c r="AB1050" s="5" t="s">
        <v>961</v>
      </c>
      <c r="AC1050" s="5" t="s">
        <v>962</v>
      </c>
      <c r="AD1050" s="11" t="s">
        <v>2662</v>
      </c>
      <c r="AE1050" s="23" t="n">
        <v>0.85</v>
      </c>
      <c r="AF1050" s="23" t="n">
        <v>0</v>
      </c>
      <c r="AG1050" s="23" t="n">
        <v>0.67</v>
      </c>
      <c r="AH1050" s="23" t="n">
        <v>0.6</v>
      </c>
      <c r="AI1050" s="23" t="n">
        <v>1</v>
      </c>
      <c r="AJ1050" s="23" t="n">
        <v>0.304</v>
      </c>
      <c r="AK1050" s="23" t="n">
        <v>0.8</v>
      </c>
      <c r="AL1050" s="23" t="n">
        <v>0.6</v>
      </c>
      <c r="AM1050" s="16" t="n">
        <f aca="false">COUNTIFS($D$2:$D$2501,D1050,$G$2:$G$2501,"&gt;"&amp;G1050)+COUNTIFS($D$2:D1050,D1050,$G$2:G1050,G1050)</f>
        <v>451</v>
      </c>
      <c r="AN1050" s="5" t="str">
        <f aca="false">D1050&amp;"|"&amp;AM1050</f>
        <v>分析與報告生成|451</v>
      </c>
    </row>
    <row r="1051" customFormat="false" ht="17.15" hidden="false" customHeight="false" outlineLevel="0" collapsed="false">
      <c r="A1051" s="16" t="n">
        <f aca="false">RANK(G1051,$G$2:$G$2501)+COUNTIF($G$2:G1051,G1051)-1</f>
        <v>1050</v>
      </c>
      <c r="B1051" s="11" t="s">
        <v>2663</v>
      </c>
      <c r="C1051" s="11" t="s">
        <v>989</v>
      </c>
      <c r="D1051" s="5" t="s">
        <v>56</v>
      </c>
      <c r="E1051" s="5" t="s">
        <v>57</v>
      </c>
      <c r="F1051" s="5"/>
      <c r="G1051" s="22" t="n">
        <f aca="false">ROUND(SUM(I1051:P1051),3)</f>
        <v>64.59</v>
      </c>
      <c r="H1051" s="5" t="str">
        <f aca="false">IF(G1051&gt;=評分方法!$C$16,"優先評估",IF(G1051&gt;=評分方法!$C$17,"列入候選",IF(G1051&gt;=評分方法!$C$18,"特定情境","不建議")))</f>
        <v>特定情境</v>
      </c>
      <c r="I1051" s="15" t="n">
        <f aca="false">AE1051*評分方法!$C$5</f>
        <v>25.5</v>
      </c>
      <c r="J1051" s="15" t="n">
        <f aca="false">AF1051*評分方法!$C$6</f>
        <v>0</v>
      </c>
      <c r="K1051" s="15" t="n">
        <f aca="false">AG1051*評分方法!$C$7</f>
        <v>10.05</v>
      </c>
      <c r="L1051" s="15" t="n">
        <f aca="false">AH1051*評分方法!$C$8</f>
        <v>15</v>
      </c>
      <c r="M1051" s="15" t="n">
        <f aca="false">AI1051*評分方法!$C$9</f>
        <v>10</v>
      </c>
      <c r="N1051" s="15" t="n">
        <f aca="false">AJ1051*評分方法!$C$10</f>
        <v>1.54</v>
      </c>
      <c r="O1051" s="15" t="n">
        <f aca="false">AK1051*評分方法!$C$11</f>
        <v>2.5</v>
      </c>
      <c r="P1051" s="15" t="n">
        <f aca="false">AL1051*評分方法!$C$12</f>
        <v>0</v>
      </c>
      <c r="Q1051" s="6" t="n">
        <v>181388</v>
      </c>
      <c r="R1051" s="6" t="n">
        <v>134515008</v>
      </c>
      <c r="S1051" s="11" t="s">
        <v>238</v>
      </c>
      <c r="T1051" s="11" t="s">
        <v>239</v>
      </c>
      <c r="U1051" s="5" t="s">
        <v>240</v>
      </c>
      <c r="V1051" s="11" t="s">
        <v>333</v>
      </c>
      <c r="W1051" s="5" t="s">
        <v>207</v>
      </c>
      <c r="X1051" s="5" t="s">
        <v>242</v>
      </c>
      <c r="Y1051" s="11" t="s">
        <v>559</v>
      </c>
      <c r="Z1051" s="11" t="s">
        <v>244</v>
      </c>
      <c r="AA1051" s="11" t="s">
        <v>155</v>
      </c>
      <c r="AB1051" s="5" t="s">
        <v>245</v>
      </c>
      <c r="AC1051" s="5" t="s">
        <v>246</v>
      </c>
      <c r="AD1051" s="11" t="s">
        <v>2664</v>
      </c>
      <c r="AE1051" s="23" t="n">
        <v>0.85</v>
      </c>
      <c r="AF1051" s="23" t="n">
        <v>0</v>
      </c>
      <c r="AG1051" s="23" t="n">
        <v>0.67</v>
      </c>
      <c r="AH1051" s="23" t="n">
        <v>1</v>
      </c>
      <c r="AI1051" s="23" t="n">
        <v>1</v>
      </c>
      <c r="AJ1051" s="23" t="n">
        <v>0.154</v>
      </c>
      <c r="AK1051" s="23" t="n">
        <v>0.5</v>
      </c>
      <c r="AL1051" s="23" t="n">
        <v>0</v>
      </c>
      <c r="AM1051" s="16" t="n">
        <f aca="false">COUNTIFS($D$2:$D$2501,D1051,$G$2:$G$2501,"&gt;"&amp;G1051)+COUNTIFS($D$2:D1051,D1051,$G$2:G1051,G1051)</f>
        <v>452</v>
      </c>
      <c r="AN1051" s="5" t="str">
        <f aca="false">D1051&amp;"|"&amp;AM1051</f>
        <v>分析與報告生成|452</v>
      </c>
    </row>
    <row r="1052" customFormat="false" ht="17.15" hidden="false" customHeight="false" outlineLevel="0" collapsed="false">
      <c r="A1052" s="16" t="n">
        <f aca="false">RANK(G1052,$G$2:$G$2501)+COUNTIF($G$2:G1052,G1052)-1</f>
        <v>1051</v>
      </c>
      <c r="B1052" s="11" t="s">
        <v>2665</v>
      </c>
      <c r="C1052" s="11" t="s">
        <v>1677</v>
      </c>
      <c r="D1052" s="5" t="s">
        <v>58</v>
      </c>
      <c r="E1052" s="5" t="s">
        <v>59</v>
      </c>
      <c r="F1052" s="5"/>
      <c r="G1052" s="22" t="n">
        <f aca="false">ROUND(SUM(I1052:P1052),3)</f>
        <v>64.58</v>
      </c>
      <c r="H1052" s="5" t="str">
        <f aca="false">IF(G1052&gt;=評分方法!$C$16,"優先評估",IF(G1052&gt;=評分方法!$C$17,"列入候選",IF(G1052&gt;=評分方法!$C$18,"特定情境","不建議")))</f>
        <v>特定情境</v>
      </c>
      <c r="I1052" s="15" t="n">
        <f aca="false">AE1052*評分方法!$C$5</f>
        <v>28.5</v>
      </c>
      <c r="J1052" s="15" t="n">
        <f aca="false">AF1052*評分方法!$C$6</f>
        <v>0</v>
      </c>
      <c r="K1052" s="15" t="n">
        <f aca="false">AG1052*評分方法!$C$7</f>
        <v>10.05</v>
      </c>
      <c r="L1052" s="15" t="n">
        <f aca="false">AH1052*評分方法!$C$8</f>
        <v>7.05</v>
      </c>
      <c r="M1052" s="15" t="n">
        <f aca="false">AI1052*評分方法!$C$9</f>
        <v>10</v>
      </c>
      <c r="N1052" s="15" t="n">
        <f aca="false">AJ1052*評分方法!$C$10</f>
        <v>2.48</v>
      </c>
      <c r="O1052" s="15" t="n">
        <f aca="false">AK1052*評分方法!$C$11</f>
        <v>5</v>
      </c>
      <c r="P1052" s="15" t="n">
        <f aca="false">AL1052*評分方法!$C$12</f>
        <v>1.5</v>
      </c>
      <c r="Q1052" s="6" t="n">
        <v>249391</v>
      </c>
      <c r="R1052" s="6"/>
      <c r="S1052" s="5" t="s">
        <v>255</v>
      </c>
      <c r="T1052" s="11" t="s">
        <v>278</v>
      </c>
      <c r="U1052" s="5" t="s">
        <v>240</v>
      </c>
      <c r="V1052" s="11" t="s">
        <v>514</v>
      </c>
      <c r="W1052" s="5" t="s">
        <v>207</v>
      </c>
      <c r="X1052" s="5" t="s">
        <v>255</v>
      </c>
      <c r="Y1052" s="11" t="s">
        <v>928</v>
      </c>
      <c r="Z1052" s="11" t="s">
        <v>244</v>
      </c>
      <c r="AA1052" s="11" t="s">
        <v>150</v>
      </c>
      <c r="AB1052" s="5" t="s">
        <v>245</v>
      </c>
      <c r="AC1052" s="5" t="s">
        <v>246</v>
      </c>
      <c r="AD1052" s="11" t="s">
        <v>2666</v>
      </c>
      <c r="AE1052" s="23" t="n">
        <v>0.95</v>
      </c>
      <c r="AF1052" s="23" t="n">
        <v>0</v>
      </c>
      <c r="AG1052" s="23" t="n">
        <v>0.67</v>
      </c>
      <c r="AH1052" s="23" t="n">
        <v>0.47</v>
      </c>
      <c r="AI1052" s="23" t="n">
        <v>1</v>
      </c>
      <c r="AJ1052" s="23" t="n">
        <v>0.248</v>
      </c>
      <c r="AK1052" s="23" t="n">
        <v>1</v>
      </c>
      <c r="AL1052" s="23" t="n">
        <v>0.3</v>
      </c>
      <c r="AM1052" s="16" t="n">
        <f aca="false">COUNTIFS($D$2:$D$2501,D1052,$G$2:$G$2501,"&gt;"&amp;G1052)+COUNTIFS($D$2:D1052,D1052,$G$2:G1052,G1052)</f>
        <v>279</v>
      </c>
      <c r="AN1052" s="5" t="str">
        <f aca="false">D1052&amp;"|"&amp;AM1052</f>
        <v>實體擷取與去識別化|279</v>
      </c>
    </row>
    <row r="1053" customFormat="false" ht="17.15" hidden="false" customHeight="false" outlineLevel="0" collapsed="false">
      <c r="A1053" s="16" t="n">
        <f aca="false">RANK(G1053,$G$2:$G$2501)+COUNTIF($G$2:G1053,G1053)-1</f>
        <v>1052</v>
      </c>
      <c r="B1053" s="11" t="s">
        <v>2667</v>
      </c>
      <c r="C1053" s="11" t="s">
        <v>338</v>
      </c>
      <c r="D1053" s="5" t="s">
        <v>56</v>
      </c>
      <c r="E1053" s="5" t="s">
        <v>57</v>
      </c>
      <c r="F1053" s="5"/>
      <c r="G1053" s="22" t="n">
        <f aca="false">ROUND(SUM(I1053:P1053),3)</f>
        <v>64.564</v>
      </c>
      <c r="H1053" s="5" t="str">
        <f aca="false">IF(G1053&gt;=評分方法!$C$16,"優先評估",IF(G1053&gt;=評分方法!$C$17,"列入候選",IF(G1053&gt;=評分方法!$C$18,"特定情境","不建議")))</f>
        <v>特定情境</v>
      </c>
      <c r="I1053" s="15" t="n">
        <f aca="false">AE1053*評分方法!$C$5</f>
        <v>25.5</v>
      </c>
      <c r="J1053" s="15" t="n">
        <f aca="false">AF1053*評分方法!$C$6</f>
        <v>0</v>
      </c>
      <c r="K1053" s="15" t="n">
        <f aca="false">AG1053*評分方法!$C$7</f>
        <v>15</v>
      </c>
      <c r="L1053" s="15" t="n">
        <f aca="false">AH1053*評分方法!$C$8</f>
        <v>9</v>
      </c>
      <c r="M1053" s="15" t="n">
        <f aca="false">AI1053*評分方法!$C$9</f>
        <v>6</v>
      </c>
      <c r="N1053" s="15" t="n">
        <f aca="false">AJ1053*評分方法!$C$10</f>
        <v>1.564</v>
      </c>
      <c r="O1053" s="15" t="n">
        <f aca="false">AK1053*評分方法!$C$11</f>
        <v>2.5</v>
      </c>
      <c r="P1053" s="15" t="n">
        <f aca="false">AL1053*評分方法!$C$12</f>
        <v>5</v>
      </c>
      <c r="Q1053" s="6" t="n">
        <v>183220</v>
      </c>
      <c r="R1053" s="6" t="n">
        <v>22247282688</v>
      </c>
      <c r="S1053" s="11" t="s">
        <v>389</v>
      </c>
      <c r="T1053" s="11" t="s">
        <v>185</v>
      </c>
      <c r="U1053" s="5" t="s">
        <v>260</v>
      </c>
      <c r="V1053" s="11" t="s">
        <v>261</v>
      </c>
      <c r="W1053" s="5" t="s">
        <v>205</v>
      </c>
      <c r="X1053" s="5" t="s">
        <v>284</v>
      </c>
      <c r="Y1053" s="5"/>
      <c r="Z1053" s="5"/>
      <c r="AA1053" s="11" t="s">
        <v>155</v>
      </c>
      <c r="AB1053" s="5" t="s">
        <v>328</v>
      </c>
      <c r="AC1053" s="5" t="s">
        <v>329</v>
      </c>
      <c r="AD1053" s="11" t="s">
        <v>2668</v>
      </c>
      <c r="AE1053" s="23" t="n">
        <v>0.85</v>
      </c>
      <c r="AF1053" s="23" t="n">
        <v>0</v>
      </c>
      <c r="AG1053" s="23" t="n">
        <v>1</v>
      </c>
      <c r="AH1053" s="23" t="n">
        <v>0.6</v>
      </c>
      <c r="AI1053" s="23" t="n">
        <v>0.6</v>
      </c>
      <c r="AJ1053" s="23" t="n">
        <v>0.1564</v>
      </c>
      <c r="AK1053" s="23" t="n">
        <v>0.5</v>
      </c>
      <c r="AL1053" s="23" t="n">
        <v>1</v>
      </c>
      <c r="AM1053" s="16" t="n">
        <f aca="false">COUNTIFS($D$2:$D$2501,D1053,$G$2:$G$2501,"&gt;"&amp;G1053)+COUNTIFS($D$2:D1053,D1053,$G$2:G1053,G1053)</f>
        <v>453</v>
      </c>
      <c r="AN1053" s="5" t="str">
        <f aca="false">D1053&amp;"|"&amp;AM1053</f>
        <v>分析與報告生成|453</v>
      </c>
    </row>
    <row r="1054" customFormat="false" ht="17.15" hidden="false" customHeight="false" outlineLevel="0" collapsed="false">
      <c r="A1054" s="16" t="n">
        <f aca="false">RANK(G1054,$G$2:$G$2501)+COUNTIF($G$2:G1054,G1054)-1</f>
        <v>1053</v>
      </c>
      <c r="B1054" s="11" t="s">
        <v>2669</v>
      </c>
      <c r="C1054" s="11" t="s">
        <v>998</v>
      </c>
      <c r="D1054" s="5" t="s">
        <v>56</v>
      </c>
      <c r="E1054" s="5" t="s">
        <v>57</v>
      </c>
      <c r="F1054" s="5"/>
      <c r="G1054" s="22" t="n">
        <f aca="false">ROUND(SUM(I1054:P1054),3)</f>
        <v>64.564</v>
      </c>
      <c r="H1054" s="5" t="str">
        <f aca="false">IF(G1054&gt;=評分方法!$C$16,"優先評估",IF(G1054&gt;=評分方法!$C$17,"列入候選",IF(G1054&gt;=評分方法!$C$18,"特定情境","不建議")))</f>
        <v>特定情境</v>
      </c>
      <c r="I1054" s="15" t="n">
        <f aca="false">AE1054*評分方法!$C$5</f>
        <v>25.5</v>
      </c>
      <c r="J1054" s="15" t="n">
        <f aca="false">AF1054*評分方法!$C$6</f>
        <v>0</v>
      </c>
      <c r="K1054" s="15" t="n">
        <f aca="false">AG1054*評分方法!$C$7</f>
        <v>10.05</v>
      </c>
      <c r="L1054" s="15" t="n">
        <f aca="false">AH1054*評分方法!$C$8</f>
        <v>13.05</v>
      </c>
      <c r="M1054" s="15" t="n">
        <f aca="false">AI1054*評分方法!$C$9</f>
        <v>10</v>
      </c>
      <c r="N1054" s="15" t="n">
        <f aca="false">AJ1054*評分方法!$C$10</f>
        <v>0.464</v>
      </c>
      <c r="O1054" s="15" t="n">
        <f aca="false">AK1054*評分方法!$C$11</f>
        <v>2.5</v>
      </c>
      <c r="P1054" s="15" t="n">
        <f aca="false">AL1054*評分方法!$C$12</f>
        <v>3</v>
      </c>
      <c r="Q1054" s="6" t="n">
        <v>130834</v>
      </c>
      <c r="R1054" s="6" t="n">
        <v>1812563968</v>
      </c>
      <c r="S1054" s="11" t="s">
        <v>254</v>
      </c>
      <c r="T1054" s="11" t="s">
        <v>239</v>
      </c>
      <c r="U1054" s="5" t="s">
        <v>240</v>
      </c>
      <c r="V1054" s="11" t="s">
        <v>333</v>
      </c>
      <c r="W1054" s="5" t="s">
        <v>207</v>
      </c>
      <c r="X1054" s="5" t="s">
        <v>371</v>
      </c>
      <c r="Y1054" s="11" t="s">
        <v>955</v>
      </c>
      <c r="Z1054" s="11" t="s">
        <v>244</v>
      </c>
      <c r="AA1054" s="11" t="s">
        <v>156</v>
      </c>
      <c r="AB1054" s="5" t="s">
        <v>496</v>
      </c>
      <c r="AC1054" s="5" t="s">
        <v>555</v>
      </c>
      <c r="AD1054" s="11" t="s">
        <v>2670</v>
      </c>
      <c r="AE1054" s="23" t="n">
        <v>0.85</v>
      </c>
      <c r="AF1054" s="23" t="n">
        <v>0</v>
      </c>
      <c r="AG1054" s="23" t="n">
        <v>0.67</v>
      </c>
      <c r="AH1054" s="23" t="n">
        <v>0.87</v>
      </c>
      <c r="AI1054" s="23" t="n">
        <v>1</v>
      </c>
      <c r="AJ1054" s="23" t="n">
        <v>0.0464</v>
      </c>
      <c r="AK1054" s="23" t="n">
        <v>0.5</v>
      </c>
      <c r="AL1054" s="23" t="n">
        <v>0.6</v>
      </c>
      <c r="AM1054" s="16" t="n">
        <f aca="false">COUNTIFS($D$2:$D$2501,D1054,$G$2:$G$2501,"&gt;"&amp;G1054)+COUNTIFS($D$2:D1054,D1054,$G$2:G1054,G1054)</f>
        <v>454</v>
      </c>
      <c r="AN1054" s="5" t="str">
        <f aca="false">D1054&amp;"|"&amp;AM1054</f>
        <v>分析與報告生成|454</v>
      </c>
    </row>
    <row r="1055" customFormat="false" ht="17.15" hidden="false" customHeight="false" outlineLevel="0" collapsed="false">
      <c r="A1055" s="16" t="n">
        <f aca="false">RANK(G1055,$G$2:$G$2501)+COUNTIF($G$2:G1055,G1055)-1</f>
        <v>1054</v>
      </c>
      <c r="B1055" s="11" t="s">
        <v>2671</v>
      </c>
      <c r="C1055" s="11" t="s">
        <v>1806</v>
      </c>
      <c r="D1055" s="5" t="s">
        <v>56</v>
      </c>
      <c r="E1055" s="5" t="s">
        <v>57</v>
      </c>
      <c r="F1055" s="5"/>
      <c r="G1055" s="22" t="n">
        <f aca="false">ROUND(SUM(I1055:P1055),3)</f>
        <v>64.556</v>
      </c>
      <c r="H1055" s="5" t="str">
        <f aca="false">IF(G1055&gt;=評分方法!$C$16,"優先評估",IF(G1055&gt;=評分方法!$C$17,"列入候選",IF(G1055&gt;=評分方法!$C$18,"特定情境","不建議")))</f>
        <v>特定情境</v>
      </c>
      <c r="I1055" s="15" t="n">
        <f aca="false">AE1055*評分方法!$C$5</f>
        <v>25.5</v>
      </c>
      <c r="J1055" s="15" t="n">
        <f aca="false">AF1055*評分方法!$C$6</f>
        <v>0</v>
      </c>
      <c r="K1055" s="15" t="n">
        <f aca="false">AG1055*評分方法!$C$7</f>
        <v>4.95</v>
      </c>
      <c r="L1055" s="15" t="n">
        <f aca="false">AH1055*評分方法!$C$8</f>
        <v>13.05</v>
      </c>
      <c r="M1055" s="15" t="n">
        <f aca="false">AI1055*評分方法!$C$9</f>
        <v>10</v>
      </c>
      <c r="N1055" s="15" t="n">
        <f aca="false">AJ1055*評分方法!$C$10</f>
        <v>3.056</v>
      </c>
      <c r="O1055" s="15" t="n">
        <f aca="false">AK1055*評分方法!$C$11</f>
        <v>5</v>
      </c>
      <c r="P1055" s="15" t="n">
        <f aca="false">AL1055*評分方法!$C$12</f>
        <v>3</v>
      </c>
      <c r="Q1055" s="6" t="n">
        <v>300279</v>
      </c>
      <c r="R1055" s="6" t="n">
        <v>9722232312</v>
      </c>
      <c r="S1055" s="11" t="s">
        <v>254</v>
      </c>
      <c r="T1055" s="11" t="s">
        <v>239</v>
      </c>
      <c r="U1055" s="5" t="s">
        <v>240</v>
      </c>
      <c r="V1055" s="11" t="s">
        <v>261</v>
      </c>
      <c r="W1055" s="5" t="s">
        <v>334</v>
      </c>
      <c r="X1055" s="5" t="s">
        <v>371</v>
      </c>
      <c r="Y1055" s="11" t="s">
        <v>2672</v>
      </c>
      <c r="Z1055" s="11" t="s">
        <v>270</v>
      </c>
      <c r="AA1055" s="11" t="s">
        <v>156</v>
      </c>
      <c r="AB1055" s="5" t="s">
        <v>245</v>
      </c>
      <c r="AC1055" s="5"/>
      <c r="AD1055" s="11" t="s">
        <v>2673</v>
      </c>
      <c r="AE1055" s="23" t="n">
        <v>0.85</v>
      </c>
      <c r="AF1055" s="23" t="n">
        <v>0</v>
      </c>
      <c r="AG1055" s="23" t="n">
        <v>0.33</v>
      </c>
      <c r="AH1055" s="23" t="n">
        <v>0.87</v>
      </c>
      <c r="AI1055" s="23" t="n">
        <v>1</v>
      </c>
      <c r="AJ1055" s="23" t="n">
        <v>0.3056</v>
      </c>
      <c r="AK1055" s="23" t="n">
        <v>1</v>
      </c>
      <c r="AL1055" s="23" t="n">
        <v>0.6</v>
      </c>
      <c r="AM1055" s="16" t="n">
        <f aca="false">COUNTIFS($D$2:$D$2501,D1055,$G$2:$G$2501,"&gt;"&amp;G1055)+COUNTIFS($D$2:D1055,D1055,$G$2:G1055,G1055)</f>
        <v>455</v>
      </c>
      <c r="AN1055" s="5" t="str">
        <f aca="false">D1055&amp;"|"&amp;AM1055</f>
        <v>分析與報告生成|455</v>
      </c>
    </row>
    <row r="1056" customFormat="false" ht="17.15" hidden="false" customHeight="false" outlineLevel="0" collapsed="false">
      <c r="A1056" s="16" t="n">
        <f aca="false">RANK(G1056,$G$2:$G$2501)+COUNTIF($G$2:G1056,G1056)-1</f>
        <v>1055</v>
      </c>
      <c r="B1056" s="11" t="s">
        <v>2674</v>
      </c>
      <c r="C1056" s="11" t="s">
        <v>1337</v>
      </c>
      <c r="D1056" s="5" t="s">
        <v>54</v>
      </c>
      <c r="E1056" s="5" t="s">
        <v>55</v>
      </c>
      <c r="F1056" s="5"/>
      <c r="G1056" s="22" t="n">
        <f aca="false">ROUND(SUM(I1056:P1056),3)</f>
        <v>64.554</v>
      </c>
      <c r="H1056" s="5" t="str">
        <f aca="false">IF(G1056&gt;=評分方法!$C$16,"優先評估",IF(G1056&gt;=評分方法!$C$17,"列入候選",IF(G1056&gt;=評分方法!$C$18,"特定情境","不建議")))</f>
        <v>特定情境</v>
      </c>
      <c r="I1056" s="15" t="n">
        <f aca="false">AE1056*評分方法!$C$5</f>
        <v>27</v>
      </c>
      <c r="J1056" s="15" t="n">
        <f aca="false">AF1056*評分方法!$C$6</f>
        <v>0</v>
      </c>
      <c r="K1056" s="15" t="n">
        <f aca="false">AG1056*評分方法!$C$7</f>
        <v>4.95</v>
      </c>
      <c r="L1056" s="15" t="n">
        <f aca="false">AH1056*評分方法!$C$8</f>
        <v>15</v>
      </c>
      <c r="M1056" s="15" t="n">
        <f aca="false">AI1056*評分方法!$C$9</f>
        <v>10</v>
      </c>
      <c r="N1056" s="15" t="n">
        <f aca="false">AJ1056*評分方法!$C$10</f>
        <v>2.604</v>
      </c>
      <c r="O1056" s="15" t="n">
        <f aca="false">AK1056*評分方法!$C$11</f>
        <v>5</v>
      </c>
      <c r="P1056" s="15" t="n">
        <f aca="false">AL1056*評分方法!$C$12</f>
        <v>0</v>
      </c>
      <c r="Q1056" s="6" t="n">
        <v>261728</v>
      </c>
      <c r="R1056" s="6" t="n">
        <v>4402560</v>
      </c>
      <c r="S1056" s="11" t="s">
        <v>238</v>
      </c>
      <c r="T1056" s="11" t="s">
        <v>239</v>
      </c>
      <c r="U1056" s="5" t="s">
        <v>240</v>
      </c>
      <c r="V1056" s="11" t="s">
        <v>261</v>
      </c>
      <c r="W1056" s="5" t="s">
        <v>334</v>
      </c>
      <c r="X1056" s="5" t="s">
        <v>242</v>
      </c>
      <c r="Y1056" s="11" t="s">
        <v>2248</v>
      </c>
      <c r="Z1056" s="11" t="s">
        <v>270</v>
      </c>
      <c r="AA1056" s="11" t="s">
        <v>152</v>
      </c>
      <c r="AB1056" s="5" t="s">
        <v>245</v>
      </c>
      <c r="AC1056" s="5"/>
      <c r="AD1056" s="11" t="s">
        <v>2675</v>
      </c>
      <c r="AE1056" s="23" t="n">
        <v>0.9</v>
      </c>
      <c r="AF1056" s="23" t="n">
        <v>0</v>
      </c>
      <c r="AG1056" s="23" t="n">
        <v>0.33</v>
      </c>
      <c r="AH1056" s="23" t="n">
        <v>1</v>
      </c>
      <c r="AI1056" s="23" t="n">
        <v>1</v>
      </c>
      <c r="AJ1056" s="23" t="n">
        <v>0.2604</v>
      </c>
      <c r="AK1056" s="23" t="n">
        <v>1</v>
      </c>
      <c r="AL1056" s="23" t="n">
        <v>0</v>
      </c>
      <c r="AM1056" s="16" t="n">
        <f aca="false">COUNTIFS($D$2:$D$2501,D1056,$G$2:$G$2501,"&gt;"&amp;G1056)+COUNTIFS($D$2:D1056,D1056,$G$2:G1056,G1056)</f>
        <v>161</v>
      </c>
      <c r="AN1056" s="5" t="str">
        <f aca="false">D1056&amp;"|"&amp;AM1056</f>
        <v>檢索與情資關聯|161</v>
      </c>
    </row>
    <row r="1057" customFormat="false" ht="17.15" hidden="false" customHeight="false" outlineLevel="0" collapsed="false">
      <c r="A1057" s="16" t="n">
        <f aca="false">RANK(G1057,$G$2:$G$2501)+COUNTIF($G$2:G1057,G1057)-1</f>
        <v>1056</v>
      </c>
      <c r="B1057" s="11" t="s">
        <v>2676</v>
      </c>
      <c r="C1057" s="11" t="s">
        <v>1654</v>
      </c>
      <c r="D1057" s="5" t="s">
        <v>76</v>
      </c>
      <c r="E1057" s="5" t="s">
        <v>77</v>
      </c>
      <c r="F1057" s="5"/>
      <c r="G1057" s="22" t="n">
        <f aca="false">ROUND(SUM(I1057:P1057),3)</f>
        <v>64.542</v>
      </c>
      <c r="H1057" s="5" t="str">
        <f aca="false">IF(G1057&gt;=評分方法!$C$16,"優先評估",IF(G1057&gt;=評分方法!$C$17,"列入候選",IF(G1057&gt;=評分方法!$C$18,"特定情境","不建議")))</f>
        <v>特定情境</v>
      </c>
      <c r="I1057" s="15" t="n">
        <f aca="false">AE1057*評分方法!$C$5</f>
        <v>12</v>
      </c>
      <c r="J1057" s="15" t="n">
        <f aca="false">AF1057*評分方法!$C$6</f>
        <v>0</v>
      </c>
      <c r="K1057" s="15" t="n">
        <f aca="false">AG1057*評分方法!$C$7</f>
        <v>15</v>
      </c>
      <c r="L1057" s="15" t="n">
        <f aca="false">AH1057*評分方法!$C$8</f>
        <v>13.05</v>
      </c>
      <c r="M1057" s="15" t="n">
        <f aca="false">AI1057*評分方法!$C$9</f>
        <v>10</v>
      </c>
      <c r="N1057" s="15" t="n">
        <f aca="false">AJ1057*評分方法!$C$10</f>
        <v>8.492</v>
      </c>
      <c r="O1057" s="15" t="n">
        <f aca="false">AK1057*評分方法!$C$11</f>
        <v>1</v>
      </c>
      <c r="P1057" s="15" t="n">
        <f aca="false">AL1057*評分方法!$C$12</f>
        <v>5</v>
      </c>
      <c r="Q1057" s="6" t="n">
        <v>2222052</v>
      </c>
      <c r="R1057" s="6" t="n">
        <v>2851599360</v>
      </c>
      <c r="S1057" s="11" t="s">
        <v>254</v>
      </c>
      <c r="T1057" s="11" t="s">
        <v>239</v>
      </c>
      <c r="U1057" s="5" t="s">
        <v>240</v>
      </c>
      <c r="V1057" s="11" t="s">
        <v>855</v>
      </c>
      <c r="W1057" s="5" t="s">
        <v>205</v>
      </c>
      <c r="X1057" s="5" t="s">
        <v>284</v>
      </c>
      <c r="Y1057" s="5"/>
      <c r="Z1057" s="5"/>
      <c r="AA1057" s="11" t="s">
        <v>168</v>
      </c>
      <c r="AB1057" s="5" t="s">
        <v>245</v>
      </c>
      <c r="AC1057" s="5"/>
      <c r="AD1057" s="11" t="s">
        <v>2677</v>
      </c>
      <c r="AE1057" s="23" t="n">
        <v>0.4</v>
      </c>
      <c r="AF1057" s="23" t="n">
        <v>0</v>
      </c>
      <c r="AG1057" s="23" t="n">
        <v>1</v>
      </c>
      <c r="AH1057" s="23" t="n">
        <v>0.87</v>
      </c>
      <c r="AI1057" s="23" t="n">
        <v>1</v>
      </c>
      <c r="AJ1057" s="23" t="n">
        <v>0.8492</v>
      </c>
      <c r="AK1057" s="23" t="n">
        <v>0.2</v>
      </c>
      <c r="AL1057" s="23" t="n">
        <v>1</v>
      </c>
      <c r="AM1057" s="16" t="n">
        <f aca="false">COUNTIFS($D$2:$D$2501,D1057,$G$2:$G$2501,"&gt;"&amp;G1057)+COUNTIFS($D$2:D1057,D1057,$G$2:G1057,G1057)</f>
        <v>4</v>
      </c>
      <c r="AN1057" s="5" t="str">
        <f aca="false">D1057&amp;"|"&amp;AM1057</f>
        <v>情資翻譯|4</v>
      </c>
    </row>
    <row r="1058" customFormat="false" ht="17.15" hidden="false" customHeight="false" outlineLevel="0" collapsed="false">
      <c r="A1058" s="16" t="n">
        <f aca="false">RANK(G1058,$G$2:$G$2501)+COUNTIF($G$2:G1058,G1058)-1</f>
        <v>1057</v>
      </c>
      <c r="B1058" s="11" t="s">
        <v>2678</v>
      </c>
      <c r="C1058" s="11" t="s">
        <v>1374</v>
      </c>
      <c r="D1058" s="5" t="s">
        <v>56</v>
      </c>
      <c r="E1058" s="5" t="s">
        <v>57</v>
      </c>
      <c r="F1058" s="5"/>
      <c r="G1058" s="22" t="n">
        <f aca="false">ROUND(SUM(I1058:P1058),3)</f>
        <v>64.538</v>
      </c>
      <c r="H1058" s="5" t="str">
        <f aca="false">IF(G1058&gt;=評分方法!$C$16,"優先評估",IF(G1058&gt;=評分方法!$C$17,"列入候選",IF(G1058&gt;=評分方法!$C$18,"特定情境","不建議")))</f>
        <v>特定情境</v>
      </c>
      <c r="I1058" s="15" t="n">
        <f aca="false">AE1058*評分方法!$C$5</f>
        <v>25.5</v>
      </c>
      <c r="J1058" s="15" t="n">
        <f aca="false">AF1058*評分方法!$C$6</f>
        <v>0</v>
      </c>
      <c r="K1058" s="15" t="n">
        <f aca="false">AG1058*評分方法!$C$7</f>
        <v>10.05</v>
      </c>
      <c r="L1058" s="15" t="n">
        <f aca="false">AH1058*評分方法!$C$8</f>
        <v>9</v>
      </c>
      <c r="M1058" s="15" t="n">
        <f aca="false">AI1058*評分方法!$C$9</f>
        <v>10</v>
      </c>
      <c r="N1058" s="15" t="n">
        <f aca="false">AJ1058*評分方法!$C$10</f>
        <v>1.988</v>
      </c>
      <c r="O1058" s="15" t="n">
        <f aca="false">AK1058*評分方法!$C$11</f>
        <v>5</v>
      </c>
      <c r="P1058" s="15" t="n">
        <f aca="false">AL1058*評分方法!$C$12</f>
        <v>3</v>
      </c>
      <c r="Q1058" s="6" t="n">
        <v>209073</v>
      </c>
      <c r="R1058" s="6" t="n">
        <v>31273088876</v>
      </c>
      <c r="S1058" s="11" t="s">
        <v>389</v>
      </c>
      <c r="T1058" s="11" t="s">
        <v>239</v>
      </c>
      <c r="U1058" s="5" t="s">
        <v>240</v>
      </c>
      <c r="V1058" s="11" t="s">
        <v>261</v>
      </c>
      <c r="W1058" s="5" t="s">
        <v>207</v>
      </c>
      <c r="X1058" s="5" t="s">
        <v>371</v>
      </c>
      <c r="Y1058" s="11" t="s">
        <v>583</v>
      </c>
      <c r="Z1058" s="11" t="s">
        <v>244</v>
      </c>
      <c r="AA1058" s="11" t="s">
        <v>156</v>
      </c>
      <c r="AB1058" s="5" t="s">
        <v>245</v>
      </c>
      <c r="AC1058" s="5" t="s">
        <v>246</v>
      </c>
      <c r="AD1058" s="11" t="s">
        <v>2679</v>
      </c>
      <c r="AE1058" s="23" t="n">
        <v>0.85</v>
      </c>
      <c r="AF1058" s="23" t="n">
        <v>0</v>
      </c>
      <c r="AG1058" s="23" t="n">
        <v>0.67</v>
      </c>
      <c r="AH1058" s="23" t="n">
        <v>0.6</v>
      </c>
      <c r="AI1058" s="23" t="n">
        <v>1</v>
      </c>
      <c r="AJ1058" s="23" t="n">
        <v>0.1988</v>
      </c>
      <c r="AK1058" s="23" t="n">
        <v>1</v>
      </c>
      <c r="AL1058" s="23" t="n">
        <v>0.6</v>
      </c>
      <c r="AM1058" s="16" t="n">
        <f aca="false">COUNTIFS($D$2:$D$2501,D1058,$G$2:$G$2501,"&gt;"&amp;G1058)+COUNTIFS($D$2:D1058,D1058,$G$2:G1058,G1058)</f>
        <v>456</v>
      </c>
      <c r="AN1058" s="5" t="str">
        <f aca="false">D1058&amp;"|"&amp;AM1058</f>
        <v>分析與報告生成|456</v>
      </c>
    </row>
    <row r="1059" customFormat="false" ht="17.15" hidden="false" customHeight="false" outlineLevel="0" collapsed="false">
      <c r="A1059" s="16" t="n">
        <f aca="false">RANK(G1059,$G$2:$G$2501)+COUNTIF($G$2:G1059,G1059)-1</f>
        <v>1058</v>
      </c>
      <c r="B1059" s="11" t="s">
        <v>2680</v>
      </c>
      <c r="C1059" s="11" t="s">
        <v>753</v>
      </c>
      <c r="D1059" s="5" t="s">
        <v>56</v>
      </c>
      <c r="E1059" s="5" t="s">
        <v>57</v>
      </c>
      <c r="F1059" s="5"/>
      <c r="G1059" s="22" t="n">
        <f aca="false">ROUND(SUM(I1059:P1059),3)</f>
        <v>64.52</v>
      </c>
      <c r="H1059" s="5" t="str">
        <f aca="false">IF(G1059&gt;=評分方法!$C$16,"優先評估",IF(G1059&gt;=評分方法!$C$17,"列入候選",IF(G1059&gt;=評分方法!$C$18,"特定情境","不建議")))</f>
        <v>特定情境</v>
      </c>
      <c r="I1059" s="15" t="n">
        <f aca="false">AE1059*評分方法!$C$5</f>
        <v>25.5</v>
      </c>
      <c r="J1059" s="15" t="n">
        <f aca="false">AF1059*評分方法!$C$6</f>
        <v>0</v>
      </c>
      <c r="K1059" s="15" t="n">
        <f aca="false">AG1059*評分方法!$C$7</f>
        <v>10.05</v>
      </c>
      <c r="L1059" s="15" t="n">
        <f aca="false">AH1059*評分方法!$C$8</f>
        <v>13.05</v>
      </c>
      <c r="M1059" s="15" t="n">
        <f aca="false">AI1059*評分方法!$C$9</f>
        <v>6</v>
      </c>
      <c r="N1059" s="15" t="n">
        <f aca="false">AJ1059*評分方法!$C$10</f>
        <v>7.42</v>
      </c>
      <c r="O1059" s="15" t="n">
        <f aca="false">AK1059*評分方法!$C$11</f>
        <v>2.5</v>
      </c>
      <c r="P1059" s="15" t="n">
        <f aca="false">AL1059*評分方法!$C$12</f>
        <v>0</v>
      </c>
      <c r="Q1059" s="6" t="n">
        <v>1117471</v>
      </c>
      <c r="R1059" s="6" t="n">
        <v>3212749824</v>
      </c>
      <c r="S1059" s="11" t="s">
        <v>254</v>
      </c>
      <c r="T1059" s="11" t="s">
        <v>1044</v>
      </c>
      <c r="U1059" s="5" t="s">
        <v>260</v>
      </c>
      <c r="V1059" s="11" t="s">
        <v>261</v>
      </c>
      <c r="W1059" s="5" t="s">
        <v>207</v>
      </c>
      <c r="X1059" s="5" t="s">
        <v>242</v>
      </c>
      <c r="Y1059" s="11" t="s">
        <v>1340</v>
      </c>
      <c r="Z1059" s="11" t="s">
        <v>270</v>
      </c>
      <c r="AA1059" s="11" t="s">
        <v>155</v>
      </c>
      <c r="AB1059" s="5" t="s">
        <v>245</v>
      </c>
      <c r="AC1059" s="5" t="s">
        <v>262</v>
      </c>
      <c r="AD1059" s="11" t="s">
        <v>2681</v>
      </c>
      <c r="AE1059" s="23" t="n">
        <v>0.85</v>
      </c>
      <c r="AF1059" s="23" t="n">
        <v>0</v>
      </c>
      <c r="AG1059" s="23" t="n">
        <v>0.67</v>
      </c>
      <c r="AH1059" s="23" t="n">
        <v>0.87</v>
      </c>
      <c r="AI1059" s="23" t="n">
        <v>0.6</v>
      </c>
      <c r="AJ1059" s="23" t="n">
        <v>0.742</v>
      </c>
      <c r="AK1059" s="23" t="n">
        <v>0.5</v>
      </c>
      <c r="AL1059" s="23" t="n">
        <v>0</v>
      </c>
      <c r="AM1059" s="16" t="n">
        <f aca="false">COUNTIFS($D$2:$D$2501,D1059,$G$2:$G$2501,"&gt;"&amp;G1059)+COUNTIFS($D$2:D1059,D1059,$G$2:G1059,G1059)</f>
        <v>457</v>
      </c>
      <c r="AN1059" s="5" t="str">
        <f aca="false">D1059&amp;"|"&amp;AM1059</f>
        <v>分析與報告生成|457</v>
      </c>
    </row>
    <row r="1060" customFormat="false" ht="17.15" hidden="false" customHeight="false" outlineLevel="0" collapsed="false">
      <c r="A1060" s="16" t="n">
        <f aca="false">RANK(G1060,$G$2:$G$2501)+COUNTIF($G$2:G1060,G1060)-1</f>
        <v>1059</v>
      </c>
      <c r="B1060" s="11" t="s">
        <v>2682</v>
      </c>
      <c r="C1060" s="11" t="s">
        <v>998</v>
      </c>
      <c r="D1060" s="5" t="s">
        <v>56</v>
      </c>
      <c r="E1060" s="5" t="s">
        <v>57</v>
      </c>
      <c r="F1060" s="5"/>
      <c r="G1060" s="22" t="n">
        <f aca="false">ROUND(SUM(I1060:P1060),3)</f>
        <v>64.514</v>
      </c>
      <c r="H1060" s="5" t="str">
        <f aca="false">IF(G1060&gt;=評分方法!$C$16,"優先評估",IF(G1060&gt;=評分方法!$C$17,"列入候選",IF(G1060&gt;=評分方法!$C$18,"特定情境","不建議")))</f>
        <v>特定情境</v>
      </c>
      <c r="I1060" s="15" t="n">
        <f aca="false">AE1060*評分方法!$C$5</f>
        <v>25.5</v>
      </c>
      <c r="J1060" s="15" t="n">
        <f aca="false">AF1060*評分方法!$C$6</f>
        <v>0</v>
      </c>
      <c r="K1060" s="15" t="n">
        <f aca="false">AG1060*評分方法!$C$7</f>
        <v>10.05</v>
      </c>
      <c r="L1060" s="15" t="n">
        <f aca="false">AH1060*評分方法!$C$8</f>
        <v>9</v>
      </c>
      <c r="M1060" s="15" t="n">
        <f aca="false">AI1060*評分方法!$C$9</f>
        <v>6</v>
      </c>
      <c r="N1060" s="15" t="n">
        <f aca="false">AJ1060*評分方法!$C$10</f>
        <v>5.964</v>
      </c>
      <c r="O1060" s="15" t="n">
        <f aca="false">AK1060*評分方法!$C$11</f>
        <v>5</v>
      </c>
      <c r="P1060" s="15" t="n">
        <f aca="false">AL1060*評分方法!$C$12</f>
        <v>3</v>
      </c>
      <c r="Q1060" s="6" t="n">
        <v>614020</v>
      </c>
      <c r="R1060" s="6" t="n">
        <v>31577940288</v>
      </c>
      <c r="S1060" s="11" t="s">
        <v>389</v>
      </c>
      <c r="T1060" s="11" t="s">
        <v>185</v>
      </c>
      <c r="U1060" s="5" t="s">
        <v>260</v>
      </c>
      <c r="V1060" s="11" t="s">
        <v>333</v>
      </c>
      <c r="W1060" s="5" t="s">
        <v>207</v>
      </c>
      <c r="X1060" s="5" t="s">
        <v>371</v>
      </c>
      <c r="Y1060" s="11" t="s">
        <v>1560</v>
      </c>
      <c r="Z1060" s="11" t="s">
        <v>244</v>
      </c>
      <c r="AA1060" s="11" t="s">
        <v>155</v>
      </c>
      <c r="AB1060" s="5" t="s">
        <v>245</v>
      </c>
      <c r="AC1060" s="5" t="s">
        <v>464</v>
      </c>
      <c r="AD1060" s="11" t="s">
        <v>2683</v>
      </c>
      <c r="AE1060" s="23" t="n">
        <v>0.85</v>
      </c>
      <c r="AF1060" s="23" t="n">
        <v>0</v>
      </c>
      <c r="AG1060" s="23" t="n">
        <v>0.67</v>
      </c>
      <c r="AH1060" s="23" t="n">
        <v>0.6</v>
      </c>
      <c r="AI1060" s="23" t="n">
        <v>0.6</v>
      </c>
      <c r="AJ1060" s="23" t="n">
        <v>0.5964</v>
      </c>
      <c r="AK1060" s="23" t="n">
        <v>1</v>
      </c>
      <c r="AL1060" s="23" t="n">
        <v>0.6</v>
      </c>
      <c r="AM1060" s="16" t="n">
        <f aca="false">COUNTIFS($D$2:$D$2501,D1060,$G$2:$G$2501,"&gt;"&amp;G1060)+COUNTIFS($D$2:D1060,D1060,$G$2:G1060,G1060)</f>
        <v>458</v>
      </c>
      <c r="AN1060" s="5" t="str">
        <f aca="false">D1060&amp;"|"&amp;AM1060</f>
        <v>分析與報告生成|458</v>
      </c>
    </row>
    <row r="1061" customFormat="false" ht="17.15" hidden="false" customHeight="false" outlineLevel="0" collapsed="false">
      <c r="A1061" s="16" t="n">
        <f aca="false">RANK(G1061,$G$2:$G$2501)+COUNTIF($G$2:G1061,G1061)-1</f>
        <v>1060</v>
      </c>
      <c r="B1061" s="11" t="s">
        <v>2684</v>
      </c>
      <c r="C1061" s="11" t="s">
        <v>253</v>
      </c>
      <c r="D1061" s="5" t="s">
        <v>78</v>
      </c>
      <c r="E1061" s="5" t="s">
        <v>79</v>
      </c>
      <c r="F1061" s="5"/>
      <c r="G1061" s="22" t="n">
        <f aca="false">ROUND(SUM(I1061:P1061),3)</f>
        <v>64.5</v>
      </c>
      <c r="H1061" s="5" t="str">
        <f aca="false">IF(G1061&gt;=評分方法!$C$16,"優先評估",IF(G1061&gt;=評分方法!$C$17,"列入候選",IF(G1061&gt;=評分方法!$C$18,"特定情境","不建議")))</f>
        <v>特定情境</v>
      </c>
      <c r="I1061" s="15" t="n">
        <f aca="false">AE1061*評分方法!$C$5</f>
        <v>9</v>
      </c>
      <c r="J1061" s="15" t="n">
        <f aca="false">AF1061*評分方法!$C$6</f>
        <v>0</v>
      </c>
      <c r="K1061" s="15" t="n">
        <f aca="false">AG1061*評分方法!$C$7</f>
        <v>15</v>
      </c>
      <c r="L1061" s="15" t="n">
        <f aca="false">AH1061*評分方法!$C$8</f>
        <v>15</v>
      </c>
      <c r="M1061" s="15" t="n">
        <f aca="false">AI1061*評分方法!$C$9</f>
        <v>10</v>
      </c>
      <c r="N1061" s="15" t="n">
        <f aca="false">AJ1061*評分方法!$C$10</f>
        <v>9.5</v>
      </c>
      <c r="O1061" s="15" t="n">
        <f aca="false">AK1061*評分方法!$C$11</f>
        <v>1</v>
      </c>
      <c r="P1061" s="15" t="n">
        <f aca="false">AL1061*評分方法!$C$12</f>
        <v>5</v>
      </c>
      <c r="Q1061" s="6" t="n">
        <v>8762147</v>
      </c>
      <c r="R1061" s="6" t="n">
        <v>37760640</v>
      </c>
      <c r="S1061" s="11" t="s">
        <v>238</v>
      </c>
      <c r="T1061" s="11" t="s">
        <v>239</v>
      </c>
      <c r="U1061" s="5" t="s">
        <v>240</v>
      </c>
      <c r="V1061" s="11" t="s">
        <v>279</v>
      </c>
      <c r="W1061" s="5" t="s">
        <v>205</v>
      </c>
      <c r="X1061" s="5" t="s">
        <v>284</v>
      </c>
      <c r="Y1061" s="5"/>
      <c r="Z1061" s="5"/>
      <c r="AA1061" s="11" t="s">
        <v>175</v>
      </c>
      <c r="AB1061" s="5" t="s">
        <v>245</v>
      </c>
      <c r="AC1061" s="5"/>
      <c r="AD1061" s="11" t="s">
        <v>2685</v>
      </c>
      <c r="AE1061" s="23" t="n">
        <v>0.3</v>
      </c>
      <c r="AF1061" s="23" t="n">
        <v>0</v>
      </c>
      <c r="AG1061" s="23" t="n">
        <v>1</v>
      </c>
      <c r="AH1061" s="23" t="n">
        <v>1</v>
      </c>
      <c r="AI1061" s="23" t="n">
        <v>1</v>
      </c>
      <c r="AJ1061" s="23" t="n">
        <v>0.95</v>
      </c>
      <c r="AK1061" s="23" t="n">
        <v>0.2</v>
      </c>
      <c r="AL1061" s="23" t="n">
        <v>1</v>
      </c>
      <c r="AM1061" s="16" t="n">
        <f aca="false">COUNTIFS($D$2:$D$2501,D1061,$G$2:$G$2501,"&gt;"&amp;G1061)+COUNTIFS($D$2:D1061,D1061,$G$2:G1061,G1061)</f>
        <v>8</v>
      </c>
      <c r="AN1061" s="5" t="str">
        <f aca="false">D1061&amp;"|"&amp;AM1061</f>
        <v>語音分析|8</v>
      </c>
    </row>
    <row r="1062" customFormat="false" ht="17.15" hidden="false" customHeight="false" outlineLevel="0" collapsed="false">
      <c r="A1062" s="16" t="n">
        <f aca="false">RANK(G1062,$G$2:$G$2501)+COUNTIF($G$2:G1062,G1062)-1</f>
        <v>1061</v>
      </c>
      <c r="B1062" s="11" t="s">
        <v>2686</v>
      </c>
      <c r="C1062" s="11" t="s">
        <v>989</v>
      </c>
      <c r="D1062" s="5" t="s">
        <v>56</v>
      </c>
      <c r="E1062" s="5" t="s">
        <v>57</v>
      </c>
      <c r="F1062" s="5"/>
      <c r="G1062" s="22" t="n">
        <f aca="false">ROUND(SUM(I1062:P1062),3)</f>
        <v>64.484</v>
      </c>
      <c r="H1062" s="5" t="str">
        <f aca="false">IF(G1062&gt;=評分方法!$C$16,"優先評估",IF(G1062&gt;=評分方法!$C$17,"列入候選",IF(G1062&gt;=評分方法!$C$18,"特定情境","不建議")))</f>
        <v>特定情境</v>
      </c>
      <c r="I1062" s="15" t="n">
        <f aca="false">AE1062*評分方法!$C$5</f>
        <v>25.5</v>
      </c>
      <c r="J1062" s="15" t="n">
        <f aca="false">AF1062*評分方法!$C$6</f>
        <v>0</v>
      </c>
      <c r="K1062" s="15" t="n">
        <f aca="false">AG1062*評分方法!$C$7</f>
        <v>10.05</v>
      </c>
      <c r="L1062" s="15" t="n">
        <f aca="false">AH1062*評分方法!$C$8</f>
        <v>13.05</v>
      </c>
      <c r="M1062" s="15" t="n">
        <f aca="false">AI1062*評分方法!$C$9</f>
        <v>10</v>
      </c>
      <c r="N1062" s="15" t="n">
        <f aca="false">AJ1062*評分方法!$C$10</f>
        <v>1.884</v>
      </c>
      <c r="O1062" s="15" t="n">
        <f aca="false">AK1062*評分方法!$C$11</f>
        <v>1</v>
      </c>
      <c r="P1062" s="15" t="n">
        <f aca="false">AL1062*評分方法!$C$12</f>
        <v>3</v>
      </c>
      <c r="Q1062" s="6" t="n">
        <v>201892</v>
      </c>
      <c r="R1062" s="6" t="n">
        <v>7248023552</v>
      </c>
      <c r="S1062" s="11" t="s">
        <v>254</v>
      </c>
      <c r="T1062" s="11" t="s">
        <v>239</v>
      </c>
      <c r="U1062" s="5" t="s">
        <v>240</v>
      </c>
      <c r="V1062" s="11" t="s">
        <v>333</v>
      </c>
      <c r="W1062" s="5" t="s">
        <v>207</v>
      </c>
      <c r="X1062" s="5" t="s">
        <v>371</v>
      </c>
      <c r="Y1062" s="5"/>
      <c r="Z1062" s="5"/>
      <c r="AA1062" s="11" t="s">
        <v>155</v>
      </c>
      <c r="AB1062" s="5" t="s">
        <v>245</v>
      </c>
      <c r="AC1062" s="5"/>
      <c r="AD1062" s="11" t="s">
        <v>2687</v>
      </c>
      <c r="AE1062" s="23" t="n">
        <v>0.85</v>
      </c>
      <c r="AF1062" s="23" t="n">
        <v>0</v>
      </c>
      <c r="AG1062" s="23" t="n">
        <v>0.67</v>
      </c>
      <c r="AH1062" s="23" t="n">
        <v>0.87</v>
      </c>
      <c r="AI1062" s="23" t="n">
        <v>1</v>
      </c>
      <c r="AJ1062" s="23" t="n">
        <v>0.1884</v>
      </c>
      <c r="AK1062" s="23" t="n">
        <v>0.2</v>
      </c>
      <c r="AL1062" s="23" t="n">
        <v>0.6</v>
      </c>
      <c r="AM1062" s="16" t="n">
        <f aca="false">COUNTIFS($D$2:$D$2501,D1062,$G$2:$G$2501,"&gt;"&amp;G1062)+COUNTIFS($D$2:D1062,D1062,$G$2:G1062,G1062)</f>
        <v>459</v>
      </c>
      <c r="AN1062" s="5" t="str">
        <f aca="false">D1062&amp;"|"&amp;AM1062</f>
        <v>分析與報告生成|459</v>
      </c>
    </row>
    <row r="1063" customFormat="false" ht="17.15" hidden="false" customHeight="false" outlineLevel="0" collapsed="false">
      <c r="A1063" s="16" t="n">
        <f aca="false">RANK(G1063,$G$2:$G$2501)+COUNTIF($G$2:G1063,G1063)-1</f>
        <v>1062</v>
      </c>
      <c r="B1063" s="11" t="s">
        <v>2688</v>
      </c>
      <c r="C1063" s="11" t="s">
        <v>2261</v>
      </c>
      <c r="D1063" s="5" t="s">
        <v>54</v>
      </c>
      <c r="E1063" s="5" t="s">
        <v>55</v>
      </c>
      <c r="F1063" s="5"/>
      <c r="G1063" s="22" t="n">
        <f aca="false">ROUND(SUM(I1063:P1063),3)</f>
        <v>64.474</v>
      </c>
      <c r="H1063" s="5" t="str">
        <f aca="false">IF(G1063&gt;=評分方法!$C$16,"優先評估",IF(G1063&gt;=評分方法!$C$17,"列入候選",IF(G1063&gt;=評分方法!$C$18,"特定情境","不建議")))</f>
        <v>特定情境</v>
      </c>
      <c r="I1063" s="15" t="n">
        <f aca="false">AE1063*評分方法!$C$5</f>
        <v>27</v>
      </c>
      <c r="J1063" s="15" t="n">
        <f aca="false">AF1063*評分方法!$C$6</f>
        <v>0</v>
      </c>
      <c r="K1063" s="15" t="n">
        <f aca="false">AG1063*評分方法!$C$7</f>
        <v>10.05</v>
      </c>
      <c r="L1063" s="15" t="n">
        <f aca="false">AH1063*評分方法!$C$8</f>
        <v>15</v>
      </c>
      <c r="M1063" s="15" t="n">
        <f aca="false">AI1063*評分方法!$C$9</f>
        <v>2</v>
      </c>
      <c r="N1063" s="15" t="n">
        <f aca="false">AJ1063*評分方法!$C$10</f>
        <v>7.924</v>
      </c>
      <c r="O1063" s="15" t="n">
        <f aca="false">AK1063*評分方法!$C$11</f>
        <v>1</v>
      </c>
      <c r="P1063" s="15" t="n">
        <f aca="false">AL1063*評分方法!$C$12</f>
        <v>1.5</v>
      </c>
      <c r="Q1063" s="6" t="n">
        <v>1489491</v>
      </c>
      <c r="R1063" s="6" t="n">
        <v>0</v>
      </c>
      <c r="S1063" s="11" t="s">
        <v>238</v>
      </c>
      <c r="T1063" s="5"/>
      <c r="U1063" s="5" t="s">
        <v>375</v>
      </c>
      <c r="V1063" s="11" t="s">
        <v>261</v>
      </c>
      <c r="W1063" s="5" t="s">
        <v>207</v>
      </c>
      <c r="X1063" s="5" t="s">
        <v>255</v>
      </c>
      <c r="Y1063" s="5"/>
      <c r="Z1063" s="5"/>
      <c r="AA1063" s="11" t="s">
        <v>153</v>
      </c>
      <c r="AB1063" s="5" t="s">
        <v>245</v>
      </c>
      <c r="AC1063" s="5" t="s">
        <v>262</v>
      </c>
      <c r="AD1063" s="11" t="s">
        <v>2689</v>
      </c>
      <c r="AE1063" s="23" t="n">
        <v>0.9</v>
      </c>
      <c r="AF1063" s="23" t="n">
        <v>0</v>
      </c>
      <c r="AG1063" s="23" t="n">
        <v>0.67</v>
      </c>
      <c r="AH1063" s="23" t="n">
        <v>1</v>
      </c>
      <c r="AI1063" s="23" t="n">
        <v>0.2</v>
      </c>
      <c r="AJ1063" s="23" t="n">
        <v>0.7924</v>
      </c>
      <c r="AK1063" s="23" t="n">
        <v>0.2</v>
      </c>
      <c r="AL1063" s="23" t="n">
        <v>0.3</v>
      </c>
      <c r="AM1063" s="16" t="n">
        <f aca="false">COUNTIFS($D$2:$D$2501,D1063,$G$2:$G$2501,"&gt;"&amp;G1063)+COUNTIFS($D$2:D1063,D1063,$G$2:G1063,G1063)</f>
        <v>162</v>
      </c>
      <c r="AN1063" s="5" t="str">
        <f aca="false">D1063&amp;"|"&amp;AM1063</f>
        <v>檢索與情資關聯|162</v>
      </c>
    </row>
    <row r="1064" customFormat="false" ht="17.15" hidden="false" customHeight="false" outlineLevel="0" collapsed="false">
      <c r="A1064" s="16" t="n">
        <f aca="false">RANK(G1064,$G$2:$G$2501)+COUNTIF($G$2:G1064,G1064)-1</f>
        <v>1063</v>
      </c>
      <c r="B1064" s="11" t="s">
        <v>2690</v>
      </c>
      <c r="C1064" s="11" t="s">
        <v>1374</v>
      </c>
      <c r="D1064" s="5" t="s">
        <v>56</v>
      </c>
      <c r="E1064" s="5" t="s">
        <v>57</v>
      </c>
      <c r="F1064" s="5"/>
      <c r="G1064" s="22" t="n">
        <f aca="false">ROUND(SUM(I1064:P1064),3)</f>
        <v>64.472</v>
      </c>
      <c r="H1064" s="5" t="str">
        <f aca="false">IF(G1064&gt;=評分方法!$C$16,"優先評估",IF(G1064&gt;=評分方法!$C$17,"列入候選",IF(G1064&gt;=評分方法!$C$18,"特定情境","不建議")))</f>
        <v>特定情境</v>
      </c>
      <c r="I1064" s="15" t="n">
        <f aca="false">AE1064*評分方法!$C$5</f>
        <v>25.5</v>
      </c>
      <c r="J1064" s="15" t="n">
        <f aca="false">AF1064*評分方法!$C$6</f>
        <v>0</v>
      </c>
      <c r="K1064" s="15" t="n">
        <f aca="false">AG1064*評分方法!$C$7</f>
        <v>10.05</v>
      </c>
      <c r="L1064" s="15" t="n">
        <f aca="false">AH1064*評分方法!$C$8</f>
        <v>13.05</v>
      </c>
      <c r="M1064" s="15" t="n">
        <f aca="false">AI1064*評分方法!$C$9</f>
        <v>6</v>
      </c>
      <c r="N1064" s="15" t="n">
        <f aca="false">AJ1064*評分方法!$C$10</f>
        <v>7.372</v>
      </c>
      <c r="O1064" s="15" t="n">
        <f aca="false">AK1064*評分方法!$C$11</f>
        <v>2.5</v>
      </c>
      <c r="P1064" s="15" t="n">
        <f aca="false">AL1064*評分方法!$C$12</f>
        <v>0</v>
      </c>
      <c r="Q1064" s="6" t="n">
        <v>1091545</v>
      </c>
      <c r="R1064" s="6" t="n">
        <v>8030261248</v>
      </c>
      <c r="S1064" s="11" t="s">
        <v>254</v>
      </c>
      <c r="T1064" s="11" t="s">
        <v>259</v>
      </c>
      <c r="U1064" s="5" t="s">
        <v>260</v>
      </c>
      <c r="V1064" s="11" t="s">
        <v>261</v>
      </c>
      <c r="W1064" s="5" t="s">
        <v>207</v>
      </c>
      <c r="X1064" s="5" t="s">
        <v>242</v>
      </c>
      <c r="Y1064" s="11" t="s">
        <v>1066</v>
      </c>
      <c r="Z1064" s="11" t="s">
        <v>244</v>
      </c>
      <c r="AA1064" s="11" t="s">
        <v>155</v>
      </c>
      <c r="AB1064" s="5" t="s">
        <v>245</v>
      </c>
      <c r="AC1064" s="5" t="s">
        <v>464</v>
      </c>
      <c r="AD1064" s="11" t="s">
        <v>2691</v>
      </c>
      <c r="AE1064" s="23" t="n">
        <v>0.85</v>
      </c>
      <c r="AF1064" s="23" t="n">
        <v>0</v>
      </c>
      <c r="AG1064" s="23" t="n">
        <v>0.67</v>
      </c>
      <c r="AH1064" s="23" t="n">
        <v>0.87</v>
      </c>
      <c r="AI1064" s="23" t="n">
        <v>0.6</v>
      </c>
      <c r="AJ1064" s="23" t="n">
        <v>0.7372</v>
      </c>
      <c r="AK1064" s="23" t="n">
        <v>0.5</v>
      </c>
      <c r="AL1064" s="23" t="n">
        <v>0</v>
      </c>
      <c r="AM1064" s="16" t="n">
        <f aca="false">COUNTIFS($D$2:$D$2501,D1064,$G$2:$G$2501,"&gt;"&amp;G1064)+COUNTIFS($D$2:D1064,D1064,$G$2:G1064,G1064)</f>
        <v>460</v>
      </c>
      <c r="AN1064" s="5" t="str">
        <f aca="false">D1064&amp;"|"&amp;AM1064</f>
        <v>分析與報告生成|460</v>
      </c>
    </row>
    <row r="1065" customFormat="false" ht="17.15" hidden="false" customHeight="false" outlineLevel="0" collapsed="false">
      <c r="A1065" s="16" t="n">
        <f aca="false">RANK(G1065,$G$2:$G$2501)+COUNTIF($G$2:G1065,G1065)-1</f>
        <v>1064</v>
      </c>
      <c r="B1065" s="11" t="s">
        <v>2692</v>
      </c>
      <c r="C1065" s="11" t="s">
        <v>2693</v>
      </c>
      <c r="D1065" s="5" t="s">
        <v>74</v>
      </c>
      <c r="E1065" s="5" t="s">
        <v>75</v>
      </c>
      <c r="F1065" s="5"/>
      <c r="G1065" s="22" t="n">
        <f aca="false">ROUND(SUM(I1065:P1065),3)</f>
        <v>64.468</v>
      </c>
      <c r="H1065" s="5" t="str">
        <f aca="false">IF(G1065&gt;=評分方法!$C$16,"優先評估",IF(G1065&gt;=評分方法!$C$17,"列入候選",IF(G1065&gt;=評分方法!$C$18,"特定情境","不建議")))</f>
        <v>特定情境</v>
      </c>
      <c r="I1065" s="15" t="n">
        <f aca="false">AE1065*評分方法!$C$5</f>
        <v>10.5</v>
      </c>
      <c r="J1065" s="15" t="n">
        <f aca="false">AF1065*評分方法!$C$6</f>
        <v>0</v>
      </c>
      <c r="K1065" s="15" t="n">
        <f aca="false">AG1065*評分方法!$C$7</f>
        <v>15</v>
      </c>
      <c r="L1065" s="15" t="n">
        <f aca="false">AH1065*評分方法!$C$8</f>
        <v>15</v>
      </c>
      <c r="M1065" s="15" t="n">
        <f aca="false">AI1065*評分方法!$C$9</f>
        <v>10</v>
      </c>
      <c r="N1065" s="15" t="n">
        <f aca="false">AJ1065*評分方法!$C$10</f>
        <v>9.968</v>
      </c>
      <c r="O1065" s="15" t="n">
        <f aca="false">AK1065*評分方法!$C$11</f>
        <v>2.5</v>
      </c>
      <c r="P1065" s="15" t="n">
        <f aca="false">AL1065*評分方法!$C$12</f>
        <v>1.5</v>
      </c>
      <c r="Q1065" s="6" t="n">
        <v>112895236</v>
      </c>
      <c r="R1065" s="6" t="n">
        <v>2554968</v>
      </c>
      <c r="S1065" s="11" t="s">
        <v>238</v>
      </c>
      <c r="T1065" s="11" t="s">
        <v>239</v>
      </c>
      <c r="U1065" s="5" t="s">
        <v>240</v>
      </c>
      <c r="V1065" s="11" t="s">
        <v>324</v>
      </c>
      <c r="W1065" s="5" t="s">
        <v>205</v>
      </c>
      <c r="X1065" s="5" t="s">
        <v>255</v>
      </c>
      <c r="Y1065" s="5"/>
      <c r="Z1065" s="5"/>
      <c r="AA1065" s="11" t="s">
        <v>172</v>
      </c>
      <c r="AB1065" s="5" t="s">
        <v>245</v>
      </c>
      <c r="AC1065" s="5"/>
      <c r="AD1065" s="11" t="s">
        <v>2694</v>
      </c>
      <c r="AE1065" s="23" t="n">
        <v>0.35</v>
      </c>
      <c r="AF1065" s="23" t="n">
        <v>0</v>
      </c>
      <c r="AG1065" s="23" t="n">
        <v>1</v>
      </c>
      <c r="AH1065" s="23" t="n">
        <v>1</v>
      </c>
      <c r="AI1065" s="23" t="n">
        <v>1</v>
      </c>
      <c r="AJ1065" s="23" t="n">
        <v>0.9968</v>
      </c>
      <c r="AK1065" s="23" t="n">
        <v>0.5</v>
      </c>
      <c r="AL1065" s="23" t="n">
        <v>0.3</v>
      </c>
      <c r="AM1065" s="16" t="n">
        <f aca="false">COUNTIFS($D$2:$D$2501,D1065,$G$2:$G$2501,"&gt;"&amp;G1065)+COUNTIFS($D$2:D1065,D1065,$G$2:G1065,G1065)</f>
        <v>14</v>
      </c>
      <c r="AN1065" s="5" t="str">
        <f aca="false">D1065&amp;"|"&amp;AM1065</f>
        <v>文件與影像辨識|14</v>
      </c>
    </row>
    <row r="1066" customFormat="false" ht="17.15" hidden="false" customHeight="false" outlineLevel="0" collapsed="false">
      <c r="A1066" s="16" t="n">
        <f aca="false">RANK(G1066,$G$2:$G$2501)+COUNTIF($G$2:G1066,G1066)-1</f>
        <v>1065</v>
      </c>
      <c r="B1066" s="11" t="s">
        <v>2695</v>
      </c>
      <c r="C1066" s="11" t="s">
        <v>737</v>
      </c>
      <c r="D1066" s="5" t="s">
        <v>56</v>
      </c>
      <c r="E1066" s="5" t="s">
        <v>57</v>
      </c>
      <c r="F1066" s="5"/>
      <c r="G1066" s="22" t="n">
        <f aca="false">ROUND(SUM(I1066:P1066),3)</f>
        <v>64.462</v>
      </c>
      <c r="H1066" s="5" t="str">
        <f aca="false">IF(G1066&gt;=評分方法!$C$16,"優先評估",IF(G1066&gt;=評分方法!$C$17,"列入候選",IF(G1066&gt;=評分方法!$C$18,"特定情境","不建議")))</f>
        <v>特定情境</v>
      </c>
      <c r="I1066" s="15" t="n">
        <f aca="false">AE1066*評分方法!$C$5</f>
        <v>25.5</v>
      </c>
      <c r="J1066" s="15" t="n">
        <f aca="false">AF1066*評分方法!$C$6</f>
        <v>0</v>
      </c>
      <c r="K1066" s="15" t="n">
        <f aca="false">AG1066*評分方法!$C$7</f>
        <v>15</v>
      </c>
      <c r="L1066" s="15" t="n">
        <f aca="false">AH1066*評分方法!$C$8</f>
        <v>1.95</v>
      </c>
      <c r="M1066" s="15" t="n">
        <f aca="false">AI1066*評分方法!$C$9</f>
        <v>10</v>
      </c>
      <c r="N1066" s="15" t="n">
        <f aca="false">AJ1066*評分方法!$C$10</f>
        <v>2.012</v>
      </c>
      <c r="O1066" s="15" t="n">
        <f aca="false">AK1066*評分方法!$C$11</f>
        <v>5</v>
      </c>
      <c r="P1066" s="15" t="n">
        <f aca="false">AL1066*評分方法!$C$12</f>
        <v>5</v>
      </c>
      <c r="Q1066" s="6" t="n">
        <v>211754</v>
      </c>
      <c r="R1066" s="6" t="n">
        <v>218750277872</v>
      </c>
      <c r="S1066" s="11" t="s">
        <v>1616</v>
      </c>
      <c r="T1066" s="11" t="s">
        <v>239</v>
      </c>
      <c r="U1066" s="5" t="s">
        <v>240</v>
      </c>
      <c r="V1066" s="11" t="s">
        <v>261</v>
      </c>
      <c r="W1066" s="5" t="s">
        <v>205</v>
      </c>
      <c r="X1066" s="5" t="s">
        <v>284</v>
      </c>
      <c r="Y1066" s="5"/>
      <c r="Z1066" s="5"/>
      <c r="AA1066" s="11" t="s">
        <v>156</v>
      </c>
      <c r="AB1066" s="5" t="s">
        <v>245</v>
      </c>
      <c r="AC1066" s="5"/>
      <c r="AD1066" s="11" t="s">
        <v>2696</v>
      </c>
      <c r="AE1066" s="23" t="n">
        <v>0.85</v>
      </c>
      <c r="AF1066" s="23" t="n">
        <v>0</v>
      </c>
      <c r="AG1066" s="23" t="n">
        <v>1</v>
      </c>
      <c r="AH1066" s="23" t="n">
        <v>0.13</v>
      </c>
      <c r="AI1066" s="23" t="n">
        <v>1</v>
      </c>
      <c r="AJ1066" s="23" t="n">
        <v>0.2012</v>
      </c>
      <c r="AK1066" s="23" t="n">
        <v>1</v>
      </c>
      <c r="AL1066" s="23" t="n">
        <v>1</v>
      </c>
      <c r="AM1066" s="16" t="n">
        <f aca="false">COUNTIFS($D$2:$D$2501,D1066,$G$2:$G$2501,"&gt;"&amp;G1066)+COUNTIFS($D$2:D1066,D1066,$G$2:G1066,G1066)</f>
        <v>461</v>
      </c>
      <c r="AN1066" s="5" t="str">
        <f aca="false">D1066&amp;"|"&amp;AM1066</f>
        <v>分析與報告生成|461</v>
      </c>
    </row>
    <row r="1067" customFormat="false" ht="17.15" hidden="false" customHeight="false" outlineLevel="0" collapsed="false">
      <c r="A1067" s="16" t="n">
        <f aca="false">RANK(G1067,$G$2:$G$2501)+COUNTIF($G$2:G1067,G1067)-1</f>
        <v>1066</v>
      </c>
      <c r="B1067" s="11" t="s">
        <v>2697</v>
      </c>
      <c r="C1067" s="11" t="s">
        <v>461</v>
      </c>
      <c r="D1067" s="5" t="s">
        <v>56</v>
      </c>
      <c r="E1067" s="5" t="s">
        <v>57</v>
      </c>
      <c r="F1067" s="5"/>
      <c r="G1067" s="22" t="n">
        <f aca="false">ROUND(SUM(I1067:P1067),3)</f>
        <v>64.462</v>
      </c>
      <c r="H1067" s="5" t="str">
        <f aca="false">IF(G1067&gt;=評分方法!$C$16,"優先評估",IF(G1067&gt;=評分方法!$C$17,"列入候選",IF(G1067&gt;=評分方法!$C$18,"特定情境","不建議")))</f>
        <v>特定情境</v>
      </c>
      <c r="I1067" s="15" t="n">
        <f aca="false">AE1067*評分方法!$C$5</f>
        <v>25.5</v>
      </c>
      <c r="J1067" s="15" t="n">
        <f aca="false">AF1067*評分方法!$C$6</f>
        <v>0</v>
      </c>
      <c r="K1067" s="15" t="n">
        <f aca="false">AG1067*評分方法!$C$7</f>
        <v>15</v>
      </c>
      <c r="L1067" s="15" t="n">
        <f aca="false">AH1067*評分方法!$C$8</f>
        <v>13.05</v>
      </c>
      <c r="M1067" s="15" t="n">
        <f aca="false">AI1067*評分方法!$C$9</f>
        <v>6</v>
      </c>
      <c r="N1067" s="15" t="n">
        <f aca="false">AJ1067*評分方法!$C$10</f>
        <v>0.912</v>
      </c>
      <c r="O1067" s="15" t="n">
        <f aca="false">AK1067*評分方法!$C$11</f>
        <v>4</v>
      </c>
      <c r="P1067" s="15" t="n">
        <f aca="false">AL1067*評分方法!$C$12</f>
        <v>0</v>
      </c>
      <c r="Q1067" s="6" t="n">
        <v>150035</v>
      </c>
      <c r="R1067" s="6" t="n">
        <v>1584804000</v>
      </c>
      <c r="S1067" s="11" t="s">
        <v>254</v>
      </c>
      <c r="T1067" s="11" t="s">
        <v>185</v>
      </c>
      <c r="U1067" s="5" t="s">
        <v>260</v>
      </c>
      <c r="V1067" s="11" t="s">
        <v>261</v>
      </c>
      <c r="W1067" s="5" t="s">
        <v>205</v>
      </c>
      <c r="X1067" s="5" t="s">
        <v>242</v>
      </c>
      <c r="Y1067" s="5"/>
      <c r="Z1067" s="5"/>
      <c r="AA1067" s="11" t="s">
        <v>156</v>
      </c>
      <c r="AB1067" s="5" t="s">
        <v>245</v>
      </c>
      <c r="AC1067" s="5" t="s">
        <v>262</v>
      </c>
      <c r="AD1067" s="11" t="s">
        <v>2698</v>
      </c>
      <c r="AE1067" s="23" t="n">
        <v>0.85</v>
      </c>
      <c r="AF1067" s="23" t="n">
        <v>0</v>
      </c>
      <c r="AG1067" s="23" t="n">
        <v>1</v>
      </c>
      <c r="AH1067" s="23" t="n">
        <v>0.87</v>
      </c>
      <c r="AI1067" s="23" t="n">
        <v>0.6</v>
      </c>
      <c r="AJ1067" s="23" t="n">
        <v>0.0912</v>
      </c>
      <c r="AK1067" s="23" t="n">
        <v>0.8</v>
      </c>
      <c r="AL1067" s="23" t="n">
        <v>0</v>
      </c>
      <c r="AM1067" s="16" t="n">
        <f aca="false">COUNTIFS($D$2:$D$2501,D1067,$G$2:$G$2501,"&gt;"&amp;G1067)+COUNTIFS($D$2:D1067,D1067,$G$2:G1067,G1067)</f>
        <v>462</v>
      </c>
      <c r="AN1067" s="5" t="str">
        <f aca="false">D1067&amp;"|"&amp;AM1067</f>
        <v>分析與報告生成|462</v>
      </c>
    </row>
    <row r="1068" customFormat="false" ht="17.15" hidden="false" customHeight="false" outlineLevel="0" collapsed="false">
      <c r="A1068" s="16" t="n">
        <f aca="false">RANK(G1068,$G$2:$G$2501)+COUNTIF($G$2:G1068,G1068)-1</f>
        <v>1067</v>
      </c>
      <c r="B1068" s="11" t="s">
        <v>2699</v>
      </c>
      <c r="C1068" s="11" t="s">
        <v>2309</v>
      </c>
      <c r="D1068" s="5" t="s">
        <v>78</v>
      </c>
      <c r="E1068" s="5" t="s">
        <v>79</v>
      </c>
      <c r="F1068" s="5"/>
      <c r="G1068" s="22" t="n">
        <f aca="false">ROUND(SUM(I1068:P1068),3)</f>
        <v>64.456</v>
      </c>
      <c r="H1068" s="5" t="str">
        <f aca="false">IF(G1068&gt;=評分方法!$C$16,"優先評估",IF(G1068&gt;=評分方法!$C$17,"列入候選",IF(G1068&gt;=評分方法!$C$18,"特定情境","不建議")))</f>
        <v>特定情境</v>
      </c>
      <c r="I1068" s="15" t="n">
        <f aca="false">AE1068*評分方法!$C$5</f>
        <v>10.5</v>
      </c>
      <c r="J1068" s="15" t="n">
        <f aca="false">AF1068*評分方法!$C$6</f>
        <v>0</v>
      </c>
      <c r="K1068" s="15" t="n">
        <f aca="false">AG1068*評分方法!$C$7</f>
        <v>15</v>
      </c>
      <c r="L1068" s="15" t="n">
        <f aca="false">AH1068*評分方法!$C$8</f>
        <v>15</v>
      </c>
      <c r="M1068" s="15" t="n">
        <f aca="false">AI1068*評分方法!$C$9</f>
        <v>10</v>
      </c>
      <c r="N1068" s="15" t="n">
        <f aca="false">AJ1068*評分方法!$C$10</f>
        <v>9.956</v>
      </c>
      <c r="O1068" s="15" t="n">
        <f aca="false">AK1068*評分方法!$C$11</f>
        <v>4</v>
      </c>
      <c r="P1068" s="15" t="n">
        <f aca="false">AL1068*評分方法!$C$12</f>
        <v>0</v>
      </c>
      <c r="Q1068" s="6" t="n">
        <v>72593248</v>
      </c>
      <c r="R1068" s="6" t="n">
        <v>153558316</v>
      </c>
      <c r="S1068" s="11" t="s">
        <v>238</v>
      </c>
      <c r="T1068" s="11" t="s">
        <v>239</v>
      </c>
      <c r="U1068" s="5" t="s">
        <v>240</v>
      </c>
      <c r="V1068" s="11" t="s">
        <v>324</v>
      </c>
      <c r="W1068" s="5" t="s">
        <v>205</v>
      </c>
      <c r="X1068" s="5" t="s">
        <v>242</v>
      </c>
      <c r="Y1068" s="5"/>
      <c r="Z1068" s="5"/>
      <c r="AA1068" s="11" t="s">
        <v>174</v>
      </c>
      <c r="AB1068" s="5" t="s">
        <v>245</v>
      </c>
      <c r="AC1068" s="5"/>
      <c r="AD1068" s="11" t="s">
        <v>2700</v>
      </c>
      <c r="AE1068" s="23" t="n">
        <v>0.35</v>
      </c>
      <c r="AF1068" s="23" t="n">
        <v>0</v>
      </c>
      <c r="AG1068" s="23" t="n">
        <v>1</v>
      </c>
      <c r="AH1068" s="23" t="n">
        <v>1</v>
      </c>
      <c r="AI1068" s="23" t="n">
        <v>1</v>
      </c>
      <c r="AJ1068" s="23" t="n">
        <v>0.9956</v>
      </c>
      <c r="AK1068" s="23" t="n">
        <v>0.8</v>
      </c>
      <c r="AL1068" s="23" t="n">
        <v>0</v>
      </c>
      <c r="AM1068" s="16" t="n">
        <f aca="false">COUNTIFS($D$2:$D$2501,D1068,$G$2:$G$2501,"&gt;"&amp;G1068)+COUNTIFS($D$2:D1068,D1068,$G$2:G1068,G1068)</f>
        <v>9</v>
      </c>
      <c r="AN1068" s="5" t="str">
        <f aca="false">D1068&amp;"|"&amp;AM1068</f>
        <v>語音分析|9</v>
      </c>
    </row>
    <row r="1069" customFormat="false" ht="17.15" hidden="false" customHeight="false" outlineLevel="0" collapsed="false">
      <c r="A1069" s="16" t="n">
        <f aca="false">RANK(G1069,$G$2:$G$2501)+COUNTIF($G$2:G1069,G1069)-1</f>
        <v>1068</v>
      </c>
      <c r="B1069" s="11" t="s">
        <v>2701</v>
      </c>
      <c r="C1069" s="11" t="s">
        <v>327</v>
      </c>
      <c r="D1069" s="5" t="s">
        <v>56</v>
      </c>
      <c r="E1069" s="5" t="s">
        <v>57</v>
      </c>
      <c r="F1069" s="5"/>
      <c r="G1069" s="22" t="n">
        <f aca="false">ROUND(SUM(I1069:P1069),3)</f>
        <v>64.452</v>
      </c>
      <c r="H1069" s="5" t="str">
        <f aca="false">IF(G1069&gt;=評分方法!$C$16,"優先評估",IF(G1069&gt;=評分方法!$C$17,"列入候選",IF(G1069&gt;=評分方法!$C$18,"特定情境","不建議")))</f>
        <v>特定情境</v>
      </c>
      <c r="I1069" s="15" t="n">
        <f aca="false">AE1069*評分方法!$C$5</f>
        <v>25.5</v>
      </c>
      <c r="J1069" s="15" t="n">
        <f aca="false">AF1069*評分方法!$C$6</f>
        <v>0</v>
      </c>
      <c r="K1069" s="15" t="n">
        <f aca="false">AG1069*評分方法!$C$7</f>
        <v>15</v>
      </c>
      <c r="L1069" s="15" t="n">
        <f aca="false">AH1069*評分方法!$C$8</f>
        <v>9</v>
      </c>
      <c r="M1069" s="15" t="n">
        <f aca="false">AI1069*評分方法!$C$9</f>
        <v>6</v>
      </c>
      <c r="N1069" s="15" t="n">
        <f aca="false">AJ1069*評分方法!$C$10</f>
        <v>4.952</v>
      </c>
      <c r="O1069" s="15" t="n">
        <f aca="false">AK1069*評分方法!$C$11</f>
        <v>4</v>
      </c>
      <c r="P1069" s="15" t="n">
        <f aca="false">AL1069*評分方法!$C$12</f>
        <v>0</v>
      </c>
      <c r="Q1069" s="6" t="n">
        <v>534778</v>
      </c>
      <c r="R1069" s="6" t="n">
        <v>12310001152</v>
      </c>
      <c r="S1069" s="11" t="s">
        <v>389</v>
      </c>
      <c r="T1069" s="11" t="s">
        <v>185</v>
      </c>
      <c r="U1069" s="5" t="s">
        <v>260</v>
      </c>
      <c r="V1069" s="11" t="s">
        <v>261</v>
      </c>
      <c r="W1069" s="5" t="s">
        <v>205</v>
      </c>
      <c r="X1069" s="5" t="s">
        <v>242</v>
      </c>
      <c r="Y1069" s="11" t="s">
        <v>2702</v>
      </c>
      <c r="Z1069" s="11" t="s">
        <v>270</v>
      </c>
      <c r="AA1069" s="11" t="s">
        <v>155</v>
      </c>
      <c r="AB1069" s="5" t="s">
        <v>245</v>
      </c>
      <c r="AC1069" s="5" t="s">
        <v>262</v>
      </c>
      <c r="AD1069" s="11" t="s">
        <v>2703</v>
      </c>
      <c r="AE1069" s="23" t="n">
        <v>0.85</v>
      </c>
      <c r="AF1069" s="23" t="n">
        <v>0</v>
      </c>
      <c r="AG1069" s="23" t="n">
        <v>1</v>
      </c>
      <c r="AH1069" s="23" t="n">
        <v>0.6</v>
      </c>
      <c r="AI1069" s="23" t="n">
        <v>0.6</v>
      </c>
      <c r="AJ1069" s="23" t="n">
        <v>0.4952</v>
      </c>
      <c r="AK1069" s="23" t="n">
        <v>0.8</v>
      </c>
      <c r="AL1069" s="23" t="n">
        <v>0</v>
      </c>
      <c r="AM1069" s="16" t="n">
        <f aca="false">COUNTIFS($D$2:$D$2501,D1069,$G$2:$G$2501,"&gt;"&amp;G1069)+COUNTIFS($D$2:D1069,D1069,$G$2:G1069,G1069)</f>
        <v>463</v>
      </c>
      <c r="AN1069" s="5" t="str">
        <f aca="false">D1069&amp;"|"&amp;AM1069</f>
        <v>分析與報告生成|463</v>
      </c>
    </row>
    <row r="1070" customFormat="false" ht="17.15" hidden="false" customHeight="false" outlineLevel="0" collapsed="false">
      <c r="A1070" s="16" t="n">
        <f aca="false">RANK(G1070,$G$2:$G$2501)+COUNTIF($G$2:G1070,G1070)-1</f>
        <v>1069</v>
      </c>
      <c r="B1070" s="11" t="s">
        <v>2704</v>
      </c>
      <c r="C1070" s="11" t="s">
        <v>299</v>
      </c>
      <c r="D1070" s="5" t="s">
        <v>78</v>
      </c>
      <c r="E1070" s="5" t="s">
        <v>79</v>
      </c>
      <c r="F1070" s="5"/>
      <c r="G1070" s="22" t="n">
        <f aca="false">ROUND(SUM(I1070:P1070),3)</f>
        <v>64.418</v>
      </c>
      <c r="H1070" s="5" t="str">
        <f aca="false">IF(G1070&gt;=評分方法!$C$16,"優先評估",IF(G1070&gt;=評分方法!$C$17,"列入候選",IF(G1070&gt;=評分方法!$C$18,"特定情境","不建議")))</f>
        <v>特定情境</v>
      </c>
      <c r="I1070" s="15" t="n">
        <f aca="false">AE1070*評分方法!$C$5</f>
        <v>9</v>
      </c>
      <c r="J1070" s="15" t="n">
        <f aca="false">AF1070*評分方法!$C$6</f>
        <v>0</v>
      </c>
      <c r="K1070" s="15" t="n">
        <f aca="false">AG1070*評分方法!$C$7</f>
        <v>15</v>
      </c>
      <c r="L1070" s="15" t="n">
        <f aca="false">AH1070*評分方法!$C$8</f>
        <v>13.05</v>
      </c>
      <c r="M1070" s="15" t="n">
        <f aca="false">AI1070*評分方法!$C$9</f>
        <v>10</v>
      </c>
      <c r="N1070" s="15" t="n">
        <f aca="false">AJ1070*評分方法!$C$10</f>
        <v>8.368</v>
      </c>
      <c r="O1070" s="15" t="n">
        <f aca="false">AK1070*評分方法!$C$11</f>
        <v>4</v>
      </c>
      <c r="P1070" s="15" t="n">
        <f aca="false">AL1070*評分方法!$C$12</f>
        <v>5</v>
      </c>
      <c r="Q1070" s="6" t="n">
        <v>2012730</v>
      </c>
      <c r="R1070" s="6" t="n">
        <v>3009285376</v>
      </c>
      <c r="S1070" s="11" t="s">
        <v>254</v>
      </c>
      <c r="T1070" s="11" t="s">
        <v>239</v>
      </c>
      <c r="U1070" s="5" t="s">
        <v>240</v>
      </c>
      <c r="V1070" s="11" t="s">
        <v>261</v>
      </c>
      <c r="W1070" s="5" t="s">
        <v>205</v>
      </c>
      <c r="X1070" s="5" t="s">
        <v>284</v>
      </c>
      <c r="Y1070" s="11" t="s">
        <v>937</v>
      </c>
      <c r="Z1070" s="11" t="s">
        <v>270</v>
      </c>
      <c r="AA1070" s="11" t="s">
        <v>175</v>
      </c>
      <c r="AB1070" s="5" t="s">
        <v>245</v>
      </c>
      <c r="AC1070" s="5"/>
      <c r="AD1070" s="11" t="s">
        <v>2705</v>
      </c>
      <c r="AE1070" s="23" t="n">
        <v>0.3</v>
      </c>
      <c r="AF1070" s="23" t="n">
        <v>0</v>
      </c>
      <c r="AG1070" s="23" t="n">
        <v>1</v>
      </c>
      <c r="AH1070" s="23" t="n">
        <v>0.87</v>
      </c>
      <c r="AI1070" s="23" t="n">
        <v>1</v>
      </c>
      <c r="AJ1070" s="23" t="n">
        <v>0.8368</v>
      </c>
      <c r="AK1070" s="23" t="n">
        <v>0.8</v>
      </c>
      <c r="AL1070" s="23" t="n">
        <v>1</v>
      </c>
      <c r="AM1070" s="16" t="n">
        <f aca="false">COUNTIFS($D$2:$D$2501,D1070,$G$2:$G$2501,"&gt;"&amp;G1070)+COUNTIFS($D$2:D1070,D1070,$G$2:G1070,G1070)</f>
        <v>10</v>
      </c>
      <c r="AN1070" s="5" t="str">
        <f aca="false">D1070&amp;"|"&amp;AM1070</f>
        <v>語音分析|10</v>
      </c>
    </row>
    <row r="1071" customFormat="false" ht="17.15" hidden="false" customHeight="false" outlineLevel="0" collapsed="false">
      <c r="A1071" s="16" t="n">
        <f aca="false">RANK(G1071,$G$2:$G$2501)+COUNTIF($G$2:G1071,G1071)-1</f>
        <v>1070</v>
      </c>
      <c r="B1071" s="11" t="s">
        <v>2706</v>
      </c>
      <c r="C1071" s="11" t="s">
        <v>2707</v>
      </c>
      <c r="D1071" s="5" t="s">
        <v>54</v>
      </c>
      <c r="E1071" s="5" t="s">
        <v>55</v>
      </c>
      <c r="F1071" s="5"/>
      <c r="G1071" s="22" t="n">
        <f aca="false">ROUND(SUM(I1071:P1071),3)</f>
        <v>64.414</v>
      </c>
      <c r="H1071" s="5" t="str">
        <f aca="false">IF(G1071&gt;=評分方法!$C$16,"優先評估",IF(G1071&gt;=評分方法!$C$17,"列入候選",IF(G1071&gt;=評分方法!$C$18,"特定情境","不建議")))</f>
        <v>特定情境</v>
      </c>
      <c r="I1071" s="15" t="n">
        <f aca="false">AE1071*評分方法!$C$5</f>
        <v>27</v>
      </c>
      <c r="J1071" s="15" t="n">
        <f aca="false">AF1071*評分方法!$C$6</f>
        <v>0</v>
      </c>
      <c r="K1071" s="15" t="n">
        <f aca="false">AG1071*評分方法!$C$7</f>
        <v>4.95</v>
      </c>
      <c r="L1071" s="15" t="n">
        <f aca="false">AH1071*評分方法!$C$8</f>
        <v>15</v>
      </c>
      <c r="M1071" s="15" t="n">
        <f aca="false">AI1071*評分方法!$C$9</f>
        <v>10</v>
      </c>
      <c r="N1071" s="15" t="n">
        <f aca="false">AJ1071*評分方法!$C$10</f>
        <v>1.964</v>
      </c>
      <c r="O1071" s="15" t="n">
        <f aca="false">AK1071*評分方法!$C$11</f>
        <v>4</v>
      </c>
      <c r="P1071" s="15" t="n">
        <f aca="false">AL1071*評分方法!$C$12</f>
        <v>1.5</v>
      </c>
      <c r="Q1071" s="6" t="n">
        <v>207747</v>
      </c>
      <c r="R1071" s="6" t="n">
        <v>149014272</v>
      </c>
      <c r="S1071" s="11" t="s">
        <v>238</v>
      </c>
      <c r="T1071" s="11" t="s">
        <v>278</v>
      </c>
      <c r="U1071" s="5" t="s">
        <v>240</v>
      </c>
      <c r="V1071" s="11" t="s">
        <v>261</v>
      </c>
      <c r="W1071" s="5" t="s">
        <v>334</v>
      </c>
      <c r="X1071" s="5" t="s">
        <v>255</v>
      </c>
      <c r="Y1071" s="11" t="s">
        <v>350</v>
      </c>
      <c r="Z1071" s="11" t="s">
        <v>270</v>
      </c>
      <c r="AA1071" s="11" t="s">
        <v>153</v>
      </c>
      <c r="AB1071" s="5" t="s">
        <v>245</v>
      </c>
      <c r="AC1071" s="5"/>
      <c r="AD1071" s="11" t="s">
        <v>2708</v>
      </c>
      <c r="AE1071" s="23" t="n">
        <v>0.9</v>
      </c>
      <c r="AF1071" s="23" t="n">
        <v>0</v>
      </c>
      <c r="AG1071" s="23" t="n">
        <v>0.33</v>
      </c>
      <c r="AH1071" s="23" t="n">
        <v>1</v>
      </c>
      <c r="AI1071" s="23" t="n">
        <v>1</v>
      </c>
      <c r="AJ1071" s="23" t="n">
        <v>0.1964</v>
      </c>
      <c r="AK1071" s="23" t="n">
        <v>0.8</v>
      </c>
      <c r="AL1071" s="23" t="n">
        <v>0.3</v>
      </c>
      <c r="AM1071" s="16" t="n">
        <f aca="false">COUNTIFS($D$2:$D$2501,D1071,$G$2:$G$2501,"&gt;"&amp;G1071)+COUNTIFS($D$2:D1071,D1071,$G$2:G1071,G1071)</f>
        <v>163</v>
      </c>
      <c r="AN1071" s="5" t="str">
        <f aca="false">D1071&amp;"|"&amp;AM1071</f>
        <v>檢索與情資關聯|163</v>
      </c>
    </row>
    <row r="1072" customFormat="false" ht="17.15" hidden="false" customHeight="false" outlineLevel="0" collapsed="false">
      <c r="A1072" s="16" t="n">
        <f aca="false">RANK(G1072,$G$2:$G$2501)+COUNTIF($G$2:G1072,G1072)-1</f>
        <v>1071</v>
      </c>
      <c r="B1072" s="11" t="s">
        <v>2709</v>
      </c>
      <c r="C1072" s="11" t="s">
        <v>2645</v>
      </c>
      <c r="D1072" s="5" t="s">
        <v>68</v>
      </c>
      <c r="E1072" s="11" t="s">
        <v>69</v>
      </c>
      <c r="F1072" s="5"/>
      <c r="G1072" s="22" t="n">
        <f aca="false">ROUND(SUM(I1072:P1072),3)</f>
        <v>64.406</v>
      </c>
      <c r="H1072" s="5" t="str">
        <f aca="false">IF(G1072&gt;=評分方法!$C$16,"優先評估",IF(G1072&gt;=評分方法!$C$17,"列入候選",IF(G1072&gt;=評分方法!$C$18,"特定情境","不建議")))</f>
        <v>特定情境</v>
      </c>
      <c r="I1072" s="15" t="n">
        <f aca="false">AE1072*評分方法!$C$5</f>
        <v>21</v>
      </c>
      <c r="J1072" s="15" t="n">
        <f aca="false">AF1072*評分方法!$C$6</f>
        <v>0</v>
      </c>
      <c r="K1072" s="15" t="n">
        <f aca="false">AG1072*評分方法!$C$7</f>
        <v>4.95</v>
      </c>
      <c r="L1072" s="15" t="n">
        <f aca="false">AH1072*評分方法!$C$8</f>
        <v>15</v>
      </c>
      <c r="M1072" s="15" t="n">
        <f aca="false">AI1072*評分方法!$C$9</f>
        <v>10</v>
      </c>
      <c r="N1072" s="15" t="n">
        <f aca="false">AJ1072*評分方法!$C$10</f>
        <v>9.456</v>
      </c>
      <c r="O1072" s="15" t="n">
        <f aca="false">AK1072*評分方法!$C$11</f>
        <v>2.5</v>
      </c>
      <c r="P1072" s="15" t="n">
        <f aca="false">AL1072*評分方法!$C$12</f>
        <v>1.5</v>
      </c>
      <c r="Q1072" s="6" t="n">
        <v>8051616</v>
      </c>
      <c r="R1072" s="6" t="n">
        <v>24741696</v>
      </c>
      <c r="S1072" s="11" t="s">
        <v>238</v>
      </c>
      <c r="T1072" s="11" t="s">
        <v>278</v>
      </c>
      <c r="U1072" s="5" t="s">
        <v>240</v>
      </c>
      <c r="V1072" s="11" t="s">
        <v>261</v>
      </c>
      <c r="W1072" s="5" t="s">
        <v>334</v>
      </c>
      <c r="X1072" s="5" t="s">
        <v>255</v>
      </c>
      <c r="Y1072" s="5"/>
      <c r="Z1072" s="5"/>
      <c r="AA1072" s="11" t="s">
        <v>158</v>
      </c>
      <c r="AB1072" s="5" t="s">
        <v>245</v>
      </c>
      <c r="AC1072" s="5"/>
      <c r="AD1072" s="11" t="s">
        <v>2710</v>
      </c>
      <c r="AE1072" s="23" t="n">
        <v>0.7</v>
      </c>
      <c r="AF1072" s="23" t="n">
        <v>0</v>
      </c>
      <c r="AG1072" s="23" t="n">
        <v>0.33</v>
      </c>
      <c r="AH1072" s="23" t="n">
        <v>1</v>
      </c>
      <c r="AI1072" s="23" t="n">
        <v>1</v>
      </c>
      <c r="AJ1072" s="23" t="n">
        <v>0.9456</v>
      </c>
      <c r="AK1072" s="23" t="n">
        <v>0.5</v>
      </c>
      <c r="AL1072" s="23" t="n">
        <v>0.3</v>
      </c>
      <c r="AM1072" s="16" t="n">
        <f aca="false">COUNTIFS($D$2:$D$2501,D1072,$G$2:$G$2501,"&gt;"&amp;G1072)+COUNTIFS($D$2:D1072,D1072,$G$2:G1072,G1072)</f>
        <v>36</v>
      </c>
      <c r="AN1072" s="5" t="str">
        <f aca="false">D1072&amp;"|"&amp;AM1072</f>
        <v>時序異常偵測|36</v>
      </c>
    </row>
    <row r="1073" customFormat="false" ht="17.15" hidden="false" customHeight="false" outlineLevel="0" collapsed="false">
      <c r="A1073" s="16" t="n">
        <f aca="false">RANK(G1073,$G$2:$G$2501)+COUNTIF($G$2:G1073,G1073)-1</f>
        <v>1072</v>
      </c>
      <c r="B1073" s="11" t="s">
        <v>2711</v>
      </c>
      <c r="C1073" s="11" t="s">
        <v>2712</v>
      </c>
      <c r="D1073" s="5" t="s">
        <v>56</v>
      </c>
      <c r="E1073" s="5" t="s">
        <v>57</v>
      </c>
      <c r="F1073" s="5"/>
      <c r="G1073" s="22" t="n">
        <f aca="false">ROUND(SUM(I1073:P1073),3)</f>
        <v>64.406</v>
      </c>
      <c r="H1073" s="5" t="str">
        <f aca="false">IF(G1073&gt;=評分方法!$C$16,"優先評估",IF(G1073&gt;=評分方法!$C$17,"列入候選",IF(G1073&gt;=評分方法!$C$18,"特定情境","不建議")))</f>
        <v>特定情境</v>
      </c>
      <c r="I1073" s="15" t="n">
        <f aca="false">AE1073*評分方法!$C$5</f>
        <v>25.5</v>
      </c>
      <c r="J1073" s="15" t="n">
        <f aca="false">AF1073*評分方法!$C$6</f>
        <v>0</v>
      </c>
      <c r="K1073" s="15" t="n">
        <f aca="false">AG1073*評分方法!$C$7</f>
        <v>4.95</v>
      </c>
      <c r="L1073" s="15" t="n">
        <f aca="false">AH1073*評分方法!$C$8</f>
        <v>9</v>
      </c>
      <c r="M1073" s="15" t="n">
        <f aca="false">AI1073*評分方法!$C$9</f>
        <v>10</v>
      </c>
      <c r="N1073" s="15" t="n">
        <f aca="false">AJ1073*評分方法!$C$10</f>
        <v>4.956</v>
      </c>
      <c r="O1073" s="15" t="n">
        <f aca="false">AK1073*評分方法!$C$11</f>
        <v>5</v>
      </c>
      <c r="P1073" s="15" t="n">
        <f aca="false">AL1073*評分方法!$C$12</f>
        <v>5</v>
      </c>
      <c r="Q1073" s="6" t="n">
        <v>535377</v>
      </c>
      <c r="R1073" s="6" t="n">
        <v>22637328384</v>
      </c>
      <c r="S1073" s="11" t="s">
        <v>389</v>
      </c>
      <c r="T1073" s="11" t="s">
        <v>239</v>
      </c>
      <c r="U1073" s="5" t="s">
        <v>240</v>
      </c>
      <c r="V1073" s="11" t="s">
        <v>261</v>
      </c>
      <c r="W1073" s="5" t="s">
        <v>334</v>
      </c>
      <c r="X1073" s="5" t="s">
        <v>284</v>
      </c>
      <c r="Y1073" s="11" t="s">
        <v>2713</v>
      </c>
      <c r="Z1073" s="11" t="s">
        <v>270</v>
      </c>
      <c r="AA1073" s="11" t="s">
        <v>155</v>
      </c>
      <c r="AB1073" s="5" t="s">
        <v>245</v>
      </c>
      <c r="AC1073" s="5"/>
      <c r="AD1073" s="11" t="s">
        <v>2714</v>
      </c>
      <c r="AE1073" s="23" t="n">
        <v>0.85</v>
      </c>
      <c r="AF1073" s="23" t="n">
        <v>0</v>
      </c>
      <c r="AG1073" s="23" t="n">
        <v>0.33</v>
      </c>
      <c r="AH1073" s="23" t="n">
        <v>0.6</v>
      </c>
      <c r="AI1073" s="23" t="n">
        <v>1</v>
      </c>
      <c r="AJ1073" s="23" t="n">
        <v>0.4956</v>
      </c>
      <c r="AK1073" s="23" t="n">
        <v>1</v>
      </c>
      <c r="AL1073" s="23" t="n">
        <v>1</v>
      </c>
      <c r="AM1073" s="16" t="n">
        <f aca="false">COUNTIFS($D$2:$D$2501,D1073,$G$2:$G$2501,"&gt;"&amp;G1073)+COUNTIFS($D$2:D1073,D1073,$G$2:G1073,G1073)</f>
        <v>464</v>
      </c>
      <c r="AN1073" s="5" t="str">
        <f aca="false">D1073&amp;"|"&amp;AM1073</f>
        <v>分析與報告生成|464</v>
      </c>
    </row>
    <row r="1074" customFormat="false" ht="17.15" hidden="false" customHeight="false" outlineLevel="0" collapsed="false">
      <c r="A1074" s="16" t="n">
        <f aca="false">RANK(G1074,$G$2:$G$2501)+COUNTIF($G$2:G1074,G1074)-1</f>
        <v>1073</v>
      </c>
      <c r="B1074" s="11" t="s">
        <v>2715</v>
      </c>
      <c r="C1074" s="11" t="s">
        <v>368</v>
      </c>
      <c r="D1074" s="5" t="s">
        <v>56</v>
      </c>
      <c r="E1074" s="5" t="s">
        <v>57</v>
      </c>
      <c r="F1074" s="5"/>
      <c r="G1074" s="22" t="n">
        <f aca="false">ROUND(SUM(I1074:P1074),3)</f>
        <v>64.402</v>
      </c>
      <c r="H1074" s="5" t="str">
        <f aca="false">IF(G1074&gt;=評分方法!$C$16,"優先評估",IF(G1074&gt;=評分方法!$C$17,"列入候選",IF(G1074&gt;=評分方法!$C$18,"特定情境","不建議")))</f>
        <v>特定情境</v>
      </c>
      <c r="I1074" s="15" t="n">
        <f aca="false">AE1074*評分方法!$C$5</f>
        <v>18</v>
      </c>
      <c r="J1074" s="15" t="n">
        <f aca="false">AF1074*評分方法!$C$6</f>
        <v>0</v>
      </c>
      <c r="K1074" s="15" t="n">
        <f aca="false">AG1074*評分方法!$C$7</f>
        <v>15</v>
      </c>
      <c r="L1074" s="15" t="n">
        <f aca="false">AH1074*評分方法!$C$8</f>
        <v>7.05</v>
      </c>
      <c r="M1074" s="15" t="n">
        <f aca="false">AI1074*評分方法!$C$9</f>
        <v>10</v>
      </c>
      <c r="N1074" s="15" t="n">
        <f aca="false">AJ1074*評分方法!$C$10</f>
        <v>8.352</v>
      </c>
      <c r="O1074" s="15" t="n">
        <f aca="false">AK1074*評分方法!$C$11</f>
        <v>1</v>
      </c>
      <c r="P1074" s="15" t="n">
        <f aca="false">AL1074*評分方法!$C$12</f>
        <v>5</v>
      </c>
      <c r="Q1074" s="6" t="n">
        <v>2002170</v>
      </c>
      <c r="R1074" s="6"/>
      <c r="S1074" s="5" t="s">
        <v>255</v>
      </c>
      <c r="T1074" s="11" t="s">
        <v>239</v>
      </c>
      <c r="U1074" s="5" t="s">
        <v>240</v>
      </c>
      <c r="V1074" s="11" t="s">
        <v>2716</v>
      </c>
      <c r="W1074" s="5" t="s">
        <v>205</v>
      </c>
      <c r="X1074" s="5" t="s">
        <v>284</v>
      </c>
      <c r="Y1074" s="5"/>
      <c r="Z1074" s="5"/>
      <c r="AA1074" s="11" t="s">
        <v>161</v>
      </c>
      <c r="AB1074" s="5" t="s">
        <v>983</v>
      </c>
      <c r="AC1074" s="5" t="s">
        <v>984</v>
      </c>
      <c r="AD1074" s="11" t="s">
        <v>2717</v>
      </c>
      <c r="AE1074" s="23" t="n">
        <v>0.6</v>
      </c>
      <c r="AF1074" s="23" t="n">
        <v>0</v>
      </c>
      <c r="AG1074" s="23" t="n">
        <v>1</v>
      </c>
      <c r="AH1074" s="23" t="n">
        <v>0.47</v>
      </c>
      <c r="AI1074" s="23" t="n">
        <v>1</v>
      </c>
      <c r="AJ1074" s="23" t="n">
        <v>0.8352</v>
      </c>
      <c r="AK1074" s="23" t="n">
        <v>0.2</v>
      </c>
      <c r="AL1074" s="23" t="n">
        <v>1</v>
      </c>
      <c r="AM1074" s="16" t="n">
        <f aca="false">COUNTIFS($D$2:$D$2501,D1074,$G$2:$G$2501,"&gt;"&amp;G1074)+COUNTIFS($D$2:D1074,D1074,$G$2:G1074,G1074)</f>
        <v>465</v>
      </c>
      <c r="AN1074" s="5" t="str">
        <f aca="false">D1074&amp;"|"&amp;AM1074</f>
        <v>分析與報告生成|465</v>
      </c>
    </row>
    <row r="1075" customFormat="false" ht="17.15" hidden="false" customHeight="false" outlineLevel="0" collapsed="false">
      <c r="A1075" s="16" t="n">
        <f aca="false">RANK(G1075,$G$2:$G$2501)+COUNTIF($G$2:G1075,G1075)-1</f>
        <v>1074</v>
      </c>
      <c r="B1075" s="11" t="s">
        <v>2718</v>
      </c>
      <c r="C1075" s="11" t="s">
        <v>2719</v>
      </c>
      <c r="D1075" s="5" t="s">
        <v>56</v>
      </c>
      <c r="E1075" s="5" t="s">
        <v>57</v>
      </c>
      <c r="F1075" s="5"/>
      <c r="G1075" s="22" t="n">
        <f aca="false">ROUND(SUM(I1075:P1075),3)</f>
        <v>64.386</v>
      </c>
      <c r="H1075" s="5" t="str">
        <f aca="false">IF(G1075&gt;=評分方法!$C$16,"優先評估",IF(G1075&gt;=評分方法!$C$17,"列入候選",IF(G1075&gt;=評分方法!$C$18,"特定情境","不建議")))</f>
        <v>特定情境</v>
      </c>
      <c r="I1075" s="15" t="n">
        <f aca="false">AE1075*評分方法!$C$5</f>
        <v>25.5</v>
      </c>
      <c r="J1075" s="15" t="n">
        <f aca="false">AF1075*評分方法!$C$6</f>
        <v>0</v>
      </c>
      <c r="K1075" s="15" t="n">
        <f aca="false">AG1075*評分方法!$C$7</f>
        <v>4.95</v>
      </c>
      <c r="L1075" s="15" t="n">
        <f aca="false">AH1075*評分方法!$C$8</f>
        <v>9</v>
      </c>
      <c r="M1075" s="15" t="n">
        <f aca="false">AI1075*評分方法!$C$9</f>
        <v>10</v>
      </c>
      <c r="N1075" s="15" t="n">
        <f aca="false">AJ1075*評分方法!$C$10</f>
        <v>6.936</v>
      </c>
      <c r="O1075" s="15" t="n">
        <f aca="false">AK1075*評分方法!$C$11</f>
        <v>5</v>
      </c>
      <c r="P1075" s="15" t="n">
        <f aca="false">AL1075*評分方法!$C$12</f>
        <v>3</v>
      </c>
      <c r="Q1075" s="6" t="n">
        <v>887759</v>
      </c>
      <c r="R1075" s="6" t="n">
        <v>25233142046</v>
      </c>
      <c r="S1075" s="11" t="s">
        <v>389</v>
      </c>
      <c r="T1075" s="11" t="s">
        <v>239</v>
      </c>
      <c r="U1075" s="5" t="s">
        <v>240</v>
      </c>
      <c r="V1075" s="11" t="s">
        <v>333</v>
      </c>
      <c r="W1075" s="5" t="s">
        <v>334</v>
      </c>
      <c r="X1075" s="5" t="s">
        <v>371</v>
      </c>
      <c r="Y1075" s="11" t="s">
        <v>2720</v>
      </c>
      <c r="Z1075" s="11" t="s">
        <v>244</v>
      </c>
      <c r="AA1075" s="11" t="s">
        <v>155</v>
      </c>
      <c r="AB1075" s="5" t="s">
        <v>961</v>
      </c>
      <c r="AC1075" s="5" t="s">
        <v>962</v>
      </c>
      <c r="AD1075" s="11" t="s">
        <v>2721</v>
      </c>
      <c r="AE1075" s="23" t="n">
        <v>0.85</v>
      </c>
      <c r="AF1075" s="23" t="n">
        <v>0</v>
      </c>
      <c r="AG1075" s="23" t="n">
        <v>0.33</v>
      </c>
      <c r="AH1075" s="23" t="n">
        <v>0.6</v>
      </c>
      <c r="AI1075" s="23" t="n">
        <v>1</v>
      </c>
      <c r="AJ1075" s="23" t="n">
        <v>0.6936</v>
      </c>
      <c r="AK1075" s="23" t="n">
        <v>1</v>
      </c>
      <c r="AL1075" s="23" t="n">
        <v>0.6</v>
      </c>
      <c r="AM1075" s="16" t="n">
        <f aca="false">COUNTIFS($D$2:$D$2501,D1075,$G$2:$G$2501,"&gt;"&amp;G1075)+COUNTIFS($D$2:D1075,D1075,$G$2:G1075,G1075)</f>
        <v>466</v>
      </c>
      <c r="AN1075" s="5" t="str">
        <f aca="false">D1075&amp;"|"&amp;AM1075</f>
        <v>分析與報告生成|466</v>
      </c>
    </row>
    <row r="1076" customFormat="false" ht="17.15" hidden="false" customHeight="false" outlineLevel="0" collapsed="false">
      <c r="A1076" s="16" t="n">
        <f aca="false">RANK(G1076,$G$2:$G$2501)+COUNTIF($G$2:G1076,G1076)-1</f>
        <v>1075</v>
      </c>
      <c r="B1076" s="11" t="s">
        <v>2722</v>
      </c>
      <c r="C1076" s="11" t="s">
        <v>258</v>
      </c>
      <c r="D1076" s="5" t="s">
        <v>56</v>
      </c>
      <c r="E1076" s="5" t="s">
        <v>57</v>
      </c>
      <c r="F1076" s="5"/>
      <c r="G1076" s="22" t="n">
        <f aca="false">ROUND(SUM(I1076:P1076),3)</f>
        <v>64.38</v>
      </c>
      <c r="H1076" s="5" t="str">
        <f aca="false">IF(G1076&gt;=評分方法!$C$16,"優先評估",IF(G1076&gt;=評分方法!$C$17,"列入候選",IF(G1076&gt;=評分方法!$C$18,"特定情境","不建議")))</f>
        <v>特定情境</v>
      </c>
      <c r="I1076" s="15" t="n">
        <f aca="false">AE1076*評分方法!$C$5</f>
        <v>25.5</v>
      </c>
      <c r="J1076" s="15" t="n">
        <f aca="false">AF1076*評分方法!$C$6</f>
        <v>0</v>
      </c>
      <c r="K1076" s="15" t="n">
        <f aca="false">AG1076*評分方法!$C$7</f>
        <v>15</v>
      </c>
      <c r="L1076" s="15" t="n">
        <f aca="false">AH1076*評分方法!$C$8</f>
        <v>9</v>
      </c>
      <c r="M1076" s="15" t="n">
        <f aca="false">AI1076*評分方法!$C$9</f>
        <v>6</v>
      </c>
      <c r="N1076" s="15" t="n">
        <f aca="false">AJ1076*評分方法!$C$10</f>
        <v>6.38</v>
      </c>
      <c r="O1076" s="15" t="n">
        <f aca="false">AK1076*評分方法!$C$11</f>
        <v>2.5</v>
      </c>
      <c r="P1076" s="15" t="n">
        <f aca="false">AL1076*評分方法!$C$12</f>
        <v>0</v>
      </c>
      <c r="Q1076" s="6" t="n">
        <v>712891</v>
      </c>
      <c r="R1076" s="6" t="n">
        <v>10670220835</v>
      </c>
      <c r="S1076" s="11" t="s">
        <v>389</v>
      </c>
      <c r="T1076" s="11" t="s">
        <v>1044</v>
      </c>
      <c r="U1076" s="5" t="s">
        <v>260</v>
      </c>
      <c r="V1076" s="11" t="s">
        <v>324</v>
      </c>
      <c r="W1076" s="5" t="s">
        <v>205</v>
      </c>
      <c r="X1076" s="5" t="s">
        <v>242</v>
      </c>
      <c r="Y1076" s="5"/>
      <c r="Z1076" s="5"/>
      <c r="AA1076" s="11" t="s">
        <v>156</v>
      </c>
      <c r="AB1076" s="5" t="s">
        <v>245</v>
      </c>
      <c r="AC1076" s="5" t="s">
        <v>262</v>
      </c>
      <c r="AD1076" s="11" t="s">
        <v>2723</v>
      </c>
      <c r="AE1076" s="23" t="n">
        <v>0.85</v>
      </c>
      <c r="AF1076" s="23" t="n">
        <v>0</v>
      </c>
      <c r="AG1076" s="23" t="n">
        <v>1</v>
      </c>
      <c r="AH1076" s="23" t="n">
        <v>0.6</v>
      </c>
      <c r="AI1076" s="23" t="n">
        <v>0.6</v>
      </c>
      <c r="AJ1076" s="23" t="n">
        <v>0.638</v>
      </c>
      <c r="AK1076" s="23" t="n">
        <v>0.5</v>
      </c>
      <c r="AL1076" s="23" t="n">
        <v>0</v>
      </c>
      <c r="AM1076" s="16" t="n">
        <f aca="false">COUNTIFS($D$2:$D$2501,D1076,$G$2:$G$2501,"&gt;"&amp;G1076)+COUNTIFS($D$2:D1076,D1076,$G$2:G1076,G1076)</f>
        <v>467</v>
      </c>
      <c r="AN1076" s="5" t="str">
        <f aca="false">D1076&amp;"|"&amp;AM1076</f>
        <v>分析與報告生成|467</v>
      </c>
    </row>
    <row r="1077" customFormat="false" ht="17.15" hidden="false" customHeight="false" outlineLevel="0" collapsed="false">
      <c r="A1077" s="16" t="n">
        <f aca="false">RANK(G1077,$G$2:$G$2501)+COUNTIF($G$2:G1077,G1077)-1</f>
        <v>1076</v>
      </c>
      <c r="B1077" s="11" t="s">
        <v>2724</v>
      </c>
      <c r="C1077" s="11" t="s">
        <v>308</v>
      </c>
      <c r="D1077" s="5" t="s">
        <v>56</v>
      </c>
      <c r="E1077" s="5" t="s">
        <v>57</v>
      </c>
      <c r="F1077" s="5"/>
      <c r="G1077" s="22" t="n">
        <f aca="false">ROUND(SUM(I1077:P1077),3)</f>
        <v>64.38</v>
      </c>
      <c r="H1077" s="5" t="str">
        <f aca="false">IF(G1077&gt;=評分方法!$C$16,"優先評估",IF(G1077&gt;=評分方法!$C$17,"列入候選",IF(G1077&gt;=評分方法!$C$18,"特定情境","不建議")))</f>
        <v>特定情境</v>
      </c>
      <c r="I1077" s="15" t="n">
        <f aca="false">AE1077*評分方法!$C$5</f>
        <v>25.5</v>
      </c>
      <c r="J1077" s="15" t="n">
        <f aca="false">AF1077*評分方法!$C$6</f>
        <v>0</v>
      </c>
      <c r="K1077" s="15" t="n">
        <f aca="false">AG1077*評分方法!$C$7</f>
        <v>15</v>
      </c>
      <c r="L1077" s="15" t="n">
        <f aca="false">AH1077*評分方法!$C$8</f>
        <v>9</v>
      </c>
      <c r="M1077" s="15" t="n">
        <f aca="false">AI1077*評分方法!$C$9</f>
        <v>10</v>
      </c>
      <c r="N1077" s="15" t="n">
        <f aca="false">AJ1077*評分方法!$C$10</f>
        <v>0.88</v>
      </c>
      <c r="O1077" s="15" t="n">
        <f aca="false">AK1077*評分方法!$C$11</f>
        <v>4</v>
      </c>
      <c r="P1077" s="15" t="n">
        <f aca="false">AL1077*評分方法!$C$12</f>
        <v>0</v>
      </c>
      <c r="Q1077" s="6" t="n">
        <v>149094</v>
      </c>
      <c r="R1077" s="6" t="n">
        <v>14659507200</v>
      </c>
      <c r="S1077" s="11" t="s">
        <v>389</v>
      </c>
      <c r="T1077" s="11" t="s">
        <v>278</v>
      </c>
      <c r="U1077" s="5" t="s">
        <v>240</v>
      </c>
      <c r="V1077" s="11" t="s">
        <v>261</v>
      </c>
      <c r="W1077" s="5" t="s">
        <v>205</v>
      </c>
      <c r="X1077" s="5" t="s">
        <v>242</v>
      </c>
      <c r="Y1077" s="11" t="s">
        <v>971</v>
      </c>
      <c r="Z1077" s="11" t="s">
        <v>270</v>
      </c>
      <c r="AA1077" s="11" t="s">
        <v>155</v>
      </c>
      <c r="AB1077" s="5" t="s">
        <v>245</v>
      </c>
      <c r="AC1077" s="5"/>
      <c r="AD1077" s="11" t="s">
        <v>2725</v>
      </c>
      <c r="AE1077" s="23" t="n">
        <v>0.85</v>
      </c>
      <c r="AF1077" s="23" t="n">
        <v>0</v>
      </c>
      <c r="AG1077" s="23" t="n">
        <v>1</v>
      </c>
      <c r="AH1077" s="23" t="n">
        <v>0.6</v>
      </c>
      <c r="AI1077" s="23" t="n">
        <v>1</v>
      </c>
      <c r="AJ1077" s="23" t="n">
        <v>0.088</v>
      </c>
      <c r="AK1077" s="23" t="n">
        <v>0.8</v>
      </c>
      <c r="AL1077" s="23" t="n">
        <v>0</v>
      </c>
      <c r="AM1077" s="16" t="n">
        <f aca="false">COUNTIFS($D$2:$D$2501,D1077,$G$2:$G$2501,"&gt;"&amp;G1077)+COUNTIFS($D$2:D1077,D1077,$G$2:G1077,G1077)</f>
        <v>468</v>
      </c>
      <c r="AN1077" s="5" t="str">
        <f aca="false">D1077&amp;"|"&amp;AM1077</f>
        <v>分析與報告生成|468</v>
      </c>
    </row>
    <row r="1078" customFormat="false" ht="17.15" hidden="false" customHeight="false" outlineLevel="0" collapsed="false">
      <c r="A1078" s="16" t="n">
        <f aca="false">RANK(G1078,$G$2:$G$2501)+COUNTIF($G$2:G1078,G1078)-1</f>
        <v>1077</v>
      </c>
      <c r="B1078" s="11" t="s">
        <v>2726</v>
      </c>
      <c r="C1078" s="11" t="s">
        <v>753</v>
      </c>
      <c r="D1078" s="5" t="s">
        <v>56</v>
      </c>
      <c r="E1078" s="5" t="s">
        <v>57</v>
      </c>
      <c r="F1078" s="5"/>
      <c r="G1078" s="22" t="n">
        <f aca="false">ROUND(SUM(I1078:P1078),3)</f>
        <v>64.374</v>
      </c>
      <c r="H1078" s="5" t="str">
        <f aca="false">IF(G1078&gt;=評分方法!$C$16,"優先評估",IF(G1078&gt;=評分方法!$C$17,"列入候選",IF(G1078&gt;=評分方法!$C$18,"特定情境","不建議")))</f>
        <v>特定情境</v>
      </c>
      <c r="I1078" s="15" t="n">
        <f aca="false">AE1078*評分方法!$C$5</f>
        <v>25.5</v>
      </c>
      <c r="J1078" s="15" t="n">
        <f aca="false">AF1078*評分方法!$C$6</f>
        <v>0</v>
      </c>
      <c r="K1078" s="15" t="n">
        <f aca="false">AG1078*評分方法!$C$7</f>
        <v>10.05</v>
      </c>
      <c r="L1078" s="15" t="n">
        <f aca="false">AH1078*評分方法!$C$8</f>
        <v>9</v>
      </c>
      <c r="M1078" s="15" t="n">
        <f aca="false">AI1078*評分方法!$C$9</f>
        <v>10</v>
      </c>
      <c r="N1078" s="15" t="n">
        <f aca="false">AJ1078*評分方法!$C$10</f>
        <v>2.324</v>
      </c>
      <c r="O1078" s="15" t="n">
        <f aca="false">AK1078*評分方法!$C$11</f>
        <v>2.5</v>
      </c>
      <c r="P1078" s="15" t="n">
        <f aca="false">AL1078*評分方法!$C$12</f>
        <v>5</v>
      </c>
      <c r="Q1078" s="6" t="n">
        <v>234931</v>
      </c>
      <c r="R1078" s="6" t="n">
        <v>24720283936</v>
      </c>
      <c r="S1078" s="11" t="s">
        <v>389</v>
      </c>
      <c r="T1078" s="11" t="s">
        <v>239</v>
      </c>
      <c r="U1078" s="5" t="s">
        <v>240</v>
      </c>
      <c r="V1078" s="11" t="s">
        <v>261</v>
      </c>
      <c r="W1078" s="5" t="s">
        <v>207</v>
      </c>
      <c r="X1078" s="5" t="s">
        <v>284</v>
      </c>
      <c r="Y1078" s="11" t="s">
        <v>612</v>
      </c>
      <c r="Z1078" s="11" t="s">
        <v>244</v>
      </c>
      <c r="AA1078" s="11" t="s">
        <v>156</v>
      </c>
      <c r="AB1078" s="5" t="s">
        <v>245</v>
      </c>
      <c r="AC1078" s="5" t="s">
        <v>246</v>
      </c>
      <c r="AD1078" s="11" t="s">
        <v>2727</v>
      </c>
      <c r="AE1078" s="23" t="n">
        <v>0.85</v>
      </c>
      <c r="AF1078" s="23" t="n">
        <v>0</v>
      </c>
      <c r="AG1078" s="23" t="n">
        <v>0.67</v>
      </c>
      <c r="AH1078" s="23" t="n">
        <v>0.6</v>
      </c>
      <c r="AI1078" s="23" t="n">
        <v>1</v>
      </c>
      <c r="AJ1078" s="23" t="n">
        <v>0.2324</v>
      </c>
      <c r="AK1078" s="23" t="n">
        <v>0.5</v>
      </c>
      <c r="AL1078" s="23" t="n">
        <v>1</v>
      </c>
      <c r="AM1078" s="16" t="n">
        <f aca="false">COUNTIFS($D$2:$D$2501,D1078,$G$2:$G$2501,"&gt;"&amp;G1078)+COUNTIFS($D$2:D1078,D1078,$G$2:G1078,G1078)</f>
        <v>469</v>
      </c>
      <c r="AN1078" s="5" t="str">
        <f aca="false">D1078&amp;"|"&amp;AM1078</f>
        <v>分析與報告生成|469</v>
      </c>
    </row>
    <row r="1079" customFormat="false" ht="17.15" hidden="false" customHeight="false" outlineLevel="0" collapsed="false">
      <c r="A1079" s="16" t="n">
        <f aca="false">RANK(G1079,$G$2:$G$2501)+COUNTIF($G$2:G1079,G1079)-1</f>
        <v>1078</v>
      </c>
      <c r="B1079" s="11" t="s">
        <v>2728</v>
      </c>
      <c r="C1079" s="11" t="s">
        <v>2729</v>
      </c>
      <c r="D1079" s="5" t="s">
        <v>66</v>
      </c>
      <c r="E1079" s="5" t="s">
        <v>67</v>
      </c>
      <c r="F1079" s="5"/>
      <c r="G1079" s="22" t="n">
        <f aca="false">ROUND(SUM(I1079:P1079),3)</f>
        <v>64.366</v>
      </c>
      <c r="H1079" s="5" t="str">
        <f aca="false">IF(G1079&gt;=評分方法!$C$16,"優先評估",IF(G1079&gt;=評分方法!$C$17,"列入候選",IF(G1079&gt;=評分方法!$C$18,"特定情境","不建議")))</f>
        <v>特定情境</v>
      </c>
      <c r="I1079" s="15" t="n">
        <f aca="false">AE1079*評分方法!$C$5</f>
        <v>30</v>
      </c>
      <c r="J1079" s="15" t="n">
        <f aca="false">AF1079*評分方法!$C$6</f>
        <v>0</v>
      </c>
      <c r="K1079" s="15" t="n">
        <f aca="false">AG1079*評分方法!$C$7</f>
        <v>4.95</v>
      </c>
      <c r="L1079" s="15" t="n">
        <f aca="false">AH1079*評分方法!$C$8</f>
        <v>15</v>
      </c>
      <c r="M1079" s="15" t="n">
        <f aca="false">AI1079*評分方法!$C$9</f>
        <v>10</v>
      </c>
      <c r="N1079" s="15" t="n">
        <f aca="false">AJ1079*評分方法!$C$10</f>
        <v>0.416</v>
      </c>
      <c r="O1079" s="15" t="n">
        <f aca="false">AK1079*評分方法!$C$11</f>
        <v>4</v>
      </c>
      <c r="P1079" s="15" t="n">
        <f aca="false">AL1079*評分方法!$C$12</f>
        <v>0</v>
      </c>
      <c r="Q1079" s="6" t="n">
        <v>129025</v>
      </c>
      <c r="R1079" s="6" t="n">
        <v>33361540</v>
      </c>
      <c r="S1079" s="11" t="s">
        <v>238</v>
      </c>
      <c r="T1079" s="11" t="s">
        <v>239</v>
      </c>
      <c r="U1079" s="5" t="s">
        <v>240</v>
      </c>
      <c r="V1079" s="11" t="s">
        <v>261</v>
      </c>
      <c r="W1079" s="5" t="s">
        <v>334</v>
      </c>
      <c r="X1079" s="5" t="s">
        <v>242</v>
      </c>
      <c r="Y1079" s="11" t="s">
        <v>386</v>
      </c>
      <c r="Z1079" s="11" t="s">
        <v>270</v>
      </c>
      <c r="AA1079" s="11" t="s">
        <v>149</v>
      </c>
      <c r="AB1079" s="5" t="s">
        <v>245</v>
      </c>
      <c r="AC1079" s="5"/>
      <c r="AD1079" s="11" t="s">
        <v>2730</v>
      </c>
      <c r="AE1079" s="23" t="n">
        <v>1</v>
      </c>
      <c r="AF1079" s="23" t="n">
        <v>0</v>
      </c>
      <c r="AG1079" s="23" t="n">
        <v>0.33</v>
      </c>
      <c r="AH1079" s="23" t="n">
        <v>1</v>
      </c>
      <c r="AI1079" s="23" t="n">
        <v>1</v>
      </c>
      <c r="AJ1079" s="23" t="n">
        <v>0.0416</v>
      </c>
      <c r="AK1079" s="23" t="n">
        <v>0.8</v>
      </c>
      <c r="AL1079" s="23" t="n">
        <v>0</v>
      </c>
      <c r="AM1079" s="16" t="n">
        <f aca="false">COUNTIFS($D$2:$D$2501,D1079,$G$2:$G$2501,"&gt;"&amp;G1079)+COUNTIFS($D$2:D1079,D1079,$G$2:G1079,G1079)</f>
        <v>29</v>
      </c>
      <c r="AN1079" s="5" t="str">
        <f aca="false">D1079&amp;"|"&amp;AM1079</f>
        <v>分類與偵測|29</v>
      </c>
    </row>
    <row r="1080" customFormat="false" ht="17.15" hidden="false" customHeight="false" outlineLevel="0" collapsed="false">
      <c r="A1080" s="16" t="n">
        <f aca="false">RANK(G1080,$G$2:$G$2501)+COUNTIF($G$2:G1080,G1080)-1</f>
        <v>1079</v>
      </c>
      <c r="B1080" s="11" t="s">
        <v>2731</v>
      </c>
      <c r="C1080" s="11" t="s">
        <v>2732</v>
      </c>
      <c r="D1080" s="5" t="s">
        <v>56</v>
      </c>
      <c r="E1080" s="5" t="s">
        <v>57</v>
      </c>
      <c r="F1080" s="5"/>
      <c r="G1080" s="22" t="n">
        <f aca="false">ROUND(SUM(I1080:P1080),3)</f>
        <v>64.362</v>
      </c>
      <c r="H1080" s="5" t="str">
        <f aca="false">IF(G1080&gt;=評分方法!$C$16,"優先評估",IF(G1080&gt;=評分方法!$C$17,"列入候選",IF(G1080&gt;=評分方法!$C$18,"特定情境","不建議")))</f>
        <v>特定情境</v>
      </c>
      <c r="I1080" s="15" t="n">
        <f aca="false">AE1080*評分方法!$C$5</f>
        <v>25.5</v>
      </c>
      <c r="J1080" s="15" t="n">
        <f aca="false">AF1080*評分方法!$C$6</f>
        <v>0</v>
      </c>
      <c r="K1080" s="15" t="n">
        <f aca="false">AG1080*評分方法!$C$7</f>
        <v>4.95</v>
      </c>
      <c r="L1080" s="15" t="n">
        <f aca="false">AH1080*評分方法!$C$8</f>
        <v>15</v>
      </c>
      <c r="M1080" s="15" t="n">
        <f aca="false">AI1080*評分方法!$C$9</f>
        <v>10</v>
      </c>
      <c r="N1080" s="15" t="n">
        <f aca="false">AJ1080*評分方法!$C$10</f>
        <v>3.412</v>
      </c>
      <c r="O1080" s="15" t="n">
        <f aca="false">AK1080*評分方法!$C$11</f>
        <v>2.5</v>
      </c>
      <c r="P1080" s="15" t="n">
        <f aca="false">AL1080*評分方法!$C$12</f>
        <v>3</v>
      </c>
      <c r="Q1080" s="6" t="n">
        <v>343856</v>
      </c>
      <c r="R1080" s="6" t="n">
        <v>319488</v>
      </c>
      <c r="S1080" s="11" t="s">
        <v>238</v>
      </c>
      <c r="T1080" s="11" t="s">
        <v>239</v>
      </c>
      <c r="U1080" s="5" t="s">
        <v>240</v>
      </c>
      <c r="V1080" s="11" t="s">
        <v>333</v>
      </c>
      <c r="W1080" s="5" t="s">
        <v>334</v>
      </c>
      <c r="X1080" s="5" t="s">
        <v>371</v>
      </c>
      <c r="Y1080" s="5"/>
      <c r="Z1080" s="5"/>
      <c r="AA1080" s="11" t="s">
        <v>155</v>
      </c>
      <c r="AB1080" s="5" t="s">
        <v>961</v>
      </c>
      <c r="AC1080" s="5" t="s">
        <v>1203</v>
      </c>
      <c r="AD1080" s="11" t="s">
        <v>2733</v>
      </c>
      <c r="AE1080" s="23" t="n">
        <v>0.85</v>
      </c>
      <c r="AF1080" s="23" t="n">
        <v>0</v>
      </c>
      <c r="AG1080" s="23" t="n">
        <v>0.33</v>
      </c>
      <c r="AH1080" s="23" t="n">
        <v>1</v>
      </c>
      <c r="AI1080" s="23" t="n">
        <v>1</v>
      </c>
      <c r="AJ1080" s="23" t="n">
        <v>0.3412</v>
      </c>
      <c r="AK1080" s="23" t="n">
        <v>0.5</v>
      </c>
      <c r="AL1080" s="23" t="n">
        <v>0.6</v>
      </c>
      <c r="AM1080" s="16" t="n">
        <f aca="false">COUNTIFS($D$2:$D$2501,D1080,$G$2:$G$2501,"&gt;"&amp;G1080)+COUNTIFS($D$2:D1080,D1080,$G$2:G1080,G1080)</f>
        <v>470</v>
      </c>
      <c r="AN1080" s="5" t="str">
        <f aca="false">D1080&amp;"|"&amp;AM1080</f>
        <v>分析與報告生成|470</v>
      </c>
    </row>
    <row r="1081" customFormat="false" ht="17.15" hidden="false" customHeight="false" outlineLevel="0" collapsed="false">
      <c r="A1081" s="16" t="n">
        <f aca="false">RANK(G1081,$G$2:$G$2501)+COUNTIF($G$2:G1081,G1081)-1</f>
        <v>1080</v>
      </c>
      <c r="B1081" s="11" t="s">
        <v>2734</v>
      </c>
      <c r="C1081" s="11" t="s">
        <v>2735</v>
      </c>
      <c r="D1081" s="5" t="s">
        <v>58</v>
      </c>
      <c r="E1081" s="5" t="s">
        <v>59</v>
      </c>
      <c r="F1081" s="5"/>
      <c r="G1081" s="22" t="n">
        <f aca="false">ROUND(SUM(I1081:P1081),3)</f>
        <v>64.35</v>
      </c>
      <c r="H1081" s="5" t="str">
        <f aca="false">IF(G1081&gt;=評分方法!$C$16,"優先評估",IF(G1081&gt;=評分方法!$C$17,"列入候選",IF(G1081&gt;=評分方法!$C$18,"特定情境","不建議")))</f>
        <v>特定情境</v>
      </c>
      <c r="I1081" s="15" t="n">
        <f aca="false">AE1081*評分方法!$C$5</f>
        <v>28.5</v>
      </c>
      <c r="J1081" s="15" t="n">
        <f aca="false">AF1081*評分方法!$C$6</f>
        <v>0</v>
      </c>
      <c r="K1081" s="15" t="n">
        <f aca="false">AG1081*評分方法!$C$7</f>
        <v>4.95</v>
      </c>
      <c r="L1081" s="15" t="n">
        <f aca="false">AH1081*評分方法!$C$8</f>
        <v>15</v>
      </c>
      <c r="M1081" s="15" t="n">
        <f aca="false">AI1081*評分方法!$C$9</f>
        <v>10</v>
      </c>
      <c r="N1081" s="15" t="n">
        <f aca="false">AJ1081*評分方法!$C$10</f>
        <v>3.4</v>
      </c>
      <c r="O1081" s="15" t="n">
        <f aca="false">AK1081*評分方法!$C$11</f>
        <v>2.5</v>
      </c>
      <c r="P1081" s="15" t="n">
        <f aca="false">AL1081*評分方法!$C$12</f>
        <v>0</v>
      </c>
      <c r="Q1081" s="6" t="n">
        <v>343027</v>
      </c>
      <c r="R1081" s="6" t="n">
        <v>9534757</v>
      </c>
      <c r="S1081" s="11" t="s">
        <v>238</v>
      </c>
      <c r="T1081" s="11" t="s">
        <v>239</v>
      </c>
      <c r="U1081" s="5" t="s">
        <v>240</v>
      </c>
      <c r="V1081" s="11" t="s">
        <v>261</v>
      </c>
      <c r="W1081" s="5" t="s">
        <v>334</v>
      </c>
      <c r="X1081" s="5" t="s">
        <v>242</v>
      </c>
      <c r="Y1081" s="11" t="s">
        <v>2736</v>
      </c>
      <c r="Z1081" s="11" t="s">
        <v>270</v>
      </c>
      <c r="AA1081" s="11" t="s">
        <v>150</v>
      </c>
      <c r="AB1081" s="5" t="s">
        <v>245</v>
      </c>
      <c r="AC1081" s="5"/>
      <c r="AD1081" s="11" t="s">
        <v>2737</v>
      </c>
      <c r="AE1081" s="23" t="n">
        <v>0.95</v>
      </c>
      <c r="AF1081" s="23" t="n">
        <v>0</v>
      </c>
      <c r="AG1081" s="23" t="n">
        <v>0.33</v>
      </c>
      <c r="AH1081" s="23" t="n">
        <v>1</v>
      </c>
      <c r="AI1081" s="23" t="n">
        <v>1</v>
      </c>
      <c r="AJ1081" s="23" t="n">
        <v>0.34</v>
      </c>
      <c r="AK1081" s="23" t="n">
        <v>0.5</v>
      </c>
      <c r="AL1081" s="23" t="n">
        <v>0</v>
      </c>
      <c r="AM1081" s="16" t="n">
        <f aca="false">COUNTIFS($D$2:$D$2501,D1081,$G$2:$G$2501,"&gt;"&amp;G1081)+COUNTIFS($D$2:D1081,D1081,$G$2:G1081,G1081)</f>
        <v>280</v>
      </c>
      <c r="AN1081" s="5" t="str">
        <f aca="false">D1081&amp;"|"&amp;AM1081</f>
        <v>實體擷取與去識別化|280</v>
      </c>
    </row>
    <row r="1082" customFormat="false" ht="17.15" hidden="false" customHeight="false" outlineLevel="0" collapsed="false">
      <c r="A1082" s="16" t="n">
        <f aca="false">RANK(G1082,$G$2:$G$2501)+COUNTIF($G$2:G1082,G1082)-1</f>
        <v>1081</v>
      </c>
      <c r="B1082" s="11" t="s">
        <v>2738</v>
      </c>
      <c r="C1082" s="11" t="s">
        <v>753</v>
      </c>
      <c r="D1082" s="5" t="s">
        <v>56</v>
      </c>
      <c r="E1082" s="5" t="s">
        <v>57</v>
      </c>
      <c r="F1082" s="5"/>
      <c r="G1082" s="22" t="n">
        <f aca="false">ROUND(SUM(I1082:P1082),3)</f>
        <v>64.338</v>
      </c>
      <c r="H1082" s="5" t="str">
        <f aca="false">IF(G1082&gt;=評分方法!$C$16,"優先評估",IF(G1082&gt;=評分方法!$C$17,"列入候選",IF(G1082&gt;=評分方法!$C$18,"特定情境","不建議")))</f>
        <v>特定情境</v>
      </c>
      <c r="I1082" s="15" t="n">
        <f aca="false">AE1082*評分方法!$C$5</f>
        <v>25.5</v>
      </c>
      <c r="J1082" s="15" t="n">
        <f aca="false">AF1082*評分方法!$C$6</f>
        <v>0</v>
      </c>
      <c r="K1082" s="15" t="n">
        <f aca="false">AG1082*評分方法!$C$7</f>
        <v>10.05</v>
      </c>
      <c r="L1082" s="15" t="n">
        <f aca="false">AH1082*評分方法!$C$8</f>
        <v>15</v>
      </c>
      <c r="M1082" s="15" t="n">
        <f aca="false">AI1082*評分方法!$C$9</f>
        <v>6</v>
      </c>
      <c r="N1082" s="15" t="n">
        <f aca="false">AJ1082*評分方法!$C$10</f>
        <v>2.288</v>
      </c>
      <c r="O1082" s="15" t="n">
        <f aca="false">AK1082*評分方法!$C$11</f>
        <v>2.5</v>
      </c>
      <c r="P1082" s="15" t="n">
        <f aca="false">AL1082*評分方法!$C$12</f>
        <v>3</v>
      </c>
      <c r="Q1082" s="6" t="n">
        <v>232213</v>
      </c>
      <c r="R1082" s="6" t="n">
        <v>268098176</v>
      </c>
      <c r="S1082" s="11" t="s">
        <v>238</v>
      </c>
      <c r="T1082" s="11" t="s">
        <v>658</v>
      </c>
      <c r="U1082" s="5" t="s">
        <v>260</v>
      </c>
      <c r="V1082" s="11" t="s">
        <v>261</v>
      </c>
      <c r="W1082" s="5" t="s">
        <v>207</v>
      </c>
      <c r="X1082" s="5" t="s">
        <v>371</v>
      </c>
      <c r="Y1082" s="11" t="s">
        <v>809</v>
      </c>
      <c r="Z1082" s="11" t="s">
        <v>270</v>
      </c>
      <c r="AA1082" s="11" t="s">
        <v>155</v>
      </c>
      <c r="AB1082" s="5" t="s">
        <v>245</v>
      </c>
      <c r="AC1082" s="5" t="s">
        <v>262</v>
      </c>
      <c r="AD1082" s="11" t="s">
        <v>2739</v>
      </c>
      <c r="AE1082" s="23" t="n">
        <v>0.85</v>
      </c>
      <c r="AF1082" s="23" t="n">
        <v>0</v>
      </c>
      <c r="AG1082" s="23" t="n">
        <v>0.67</v>
      </c>
      <c r="AH1082" s="23" t="n">
        <v>1</v>
      </c>
      <c r="AI1082" s="23" t="n">
        <v>0.6</v>
      </c>
      <c r="AJ1082" s="23" t="n">
        <v>0.2288</v>
      </c>
      <c r="AK1082" s="23" t="n">
        <v>0.5</v>
      </c>
      <c r="AL1082" s="23" t="n">
        <v>0.6</v>
      </c>
      <c r="AM1082" s="16" t="n">
        <f aca="false">COUNTIFS($D$2:$D$2501,D1082,$G$2:$G$2501,"&gt;"&amp;G1082)+COUNTIFS($D$2:D1082,D1082,$G$2:G1082,G1082)</f>
        <v>471</v>
      </c>
      <c r="AN1082" s="5" t="str">
        <f aca="false">D1082&amp;"|"&amp;AM1082</f>
        <v>分析與報告生成|471</v>
      </c>
    </row>
    <row r="1083" customFormat="false" ht="17.15" hidden="false" customHeight="false" outlineLevel="0" collapsed="false">
      <c r="A1083" s="16" t="n">
        <f aca="false">RANK(G1083,$G$2:$G$2501)+COUNTIF($G$2:G1083,G1083)-1</f>
        <v>1082</v>
      </c>
      <c r="B1083" s="11" t="s">
        <v>2740</v>
      </c>
      <c r="C1083" s="11" t="s">
        <v>327</v>
      </c>
      <c r="D1083" s="5" t="s">
        <v>56</v>
      </c>
      <c r="E1083" s="5" t="s">
        <v>57</v>
      </c>
      <c r="F1083" s="5"/>
      <c r="G1083" s="22" t="n">
        <f aca="false">ROUND(SUM(I1083:P1083),3)</f>
        <v>64.326</v>
      </c>
      <c r="H1083" s="5" t="str">
        <f aca="false">IF(G1083&gt;=評分方法!$C$16,"優先評估",IF(G1083&gt;=評分方法!$C$17,"列入候選",IF(G1083&gt;=評分方法!$C$18,"特定情境","不建議")))</f>
        <v>特定情境</v>
      </c>
      <c r="I1083" s="15" t="n">
        <f aca="false">AE1083*評分方法!$C$5</f>
        <v>25.5</v>
      </c>
      <c r="J1083" s="15" t="n">
        <f aca="false">AF1083*評分方法!$C$6</f>
        <v>0</v>
      </c>
      <c r="K1083" s="15" t="n">
        <f aca="false">AG1083*評分方法!$C$7</f>
        <v>15</v>
      </c>
      <c r="L1083" s="15" t="n">
        <f aca="false">AH1083*評分方法!$C$8</f>
        <v>4.95</v>
      </c>
      <c r="M1083" s="15" t="n">
        <f aca="false">AI1083*評分方法!$C$9</f>
        <v>6</v>
      </c>
      <c r="N1083" s="15" t="n">
        <f aca="false">AJ1083*評分方法!$C$10</f>
        <v>7.376</v>
      </c>
      <c r="O1083" s="15" t="n">
        <f aca="false">AK1083*評分方法!$C$11</f>
        <v>2.5</v>
      </c>
      <c r="P1083" s="15" t="n">
        <f aca="false">AL1083*評分方法!$C$12</f>
        <v>3</v>
      </c>
      <c r="Q1083" s="6" t="n">
        <v>1094193</v>
      </c>
      <c r="R1083" s="6" t="n">
        <v>40606376096</v>
      </c>
      <c r="S1083" s="11" t="s">
        <v>1876</v>
      </c>
      <c r="T1083" s="11" t="s">
        <v>2741</v>
      </c>
      <c r="U1083" s="5" t="s">
        <v>260</v>
      </c>
      <c r="V1083" s="11" t="s">
        <v>261</v>
      </c>
      <c r="W1083" s="5" t="s">
        <v>205</v>
      </c>
      <c r="X1083" s="5" t="s">
        <v>371</v>
      </c>
      <c r="Y1083" s="11" t="s">
        <v>2742</v>
      </c>
      <c r="Z1083" s="11" t="s">
        <v>270</v>
      </c>
      <c r="AA1083" s="11" t="s">
        <v>155</v>
      </c>
      <c r="AB1083" s="5" t="s">
        <v>496</v>
      </c>
      <c r="AC1083" s="5" t="s">
        <v>1330</v>
      </c>
      <c r="AD1083" s="11" t="s">
        <v>2743</v>
      </c>
      <c r="AE1083" s="23" t="n">
        <v>0.85</v>
      </c>
      <c r="AF1083" s="23" t="n">
        <v>0</v>
      </c>
      <c r="AG1083" s="23" t="n">
        <v>1</v>
      </c>
      <c r="AH1083" s="23" t="n">
        <v>0.33</v>
      </c>
      <c r="AI1083" s="23" t="n">
        <v>0.6</v>
      </c>
      <c r="AJ1083" s="23" t="n">
        <v>0.7376</v>
      </c>
      <c r="AK1083" s="23" t="n">
        <v>0.5</v>
      </c>
      <c r="AL1083" s="23" t="n">
        <v>0.6</v>
      </c>
      <c r="AM1083" s="16" t="n">
        <f aca="false">COUNTIFS($D$2:$D$2501,D1083,$G$2:$G$2501,"&gt;"&amp;G1083)+COUNTIFS($D$2:D1083,D1083,$G$2:G1083,G1083)</f>
        <v>472</v>
      </c>
      <c r="AN1083" s="5" t="str">
        <f aca="false">D1083&amp;"|"&amp;AM1083</f>
        <v>分析與報告生成|472</v>
      </c>
    </row>
    <row r="1084" customFormat="false" ht="17.15" hidden="false" customHeight="false" outlineLevel="0" collapsed="false">
      <c r="A1084" s="16" t="n">
        <f aca="false">RANK(G1084,$G$2:$G$2501)+COUNTIF($G$2:G1084,G1084)-1</f>
        <v>1083</v>
      </c>
      <c r="B1084" s="11" t="s">
        <v>2744</v>
      </c>
      <c r="C1084" s="11" t="s">
        <v>2719</v>
      </c>
      <c r="D1084" s="5" t="s">
        <v>56</v>
      </c>
      <c r="E1084" s="5" t="s">
        <v>57</v>
      </c>
      <c r="F1084" s="5"/>
      <c r="G1084" s="22" t="n">
        <f aca="false">ROUND(SUM(I1084:P1084),3)</f>
        <v>64.326</v>
      </c>
      <c r="H1084" s="5" t="str">
        <f aca="false">IF(G1084&gt;=評分方法!$C$16,"優先評估",IF(G1084&gt;=評分方法!$C$17,"列入候選",IF(G1084&gt;=評分方法!$C$18,"特定情境","不建議")))</f>
        <v>特定情境</v>
      </c>
      <c r="I1084" s="15" t="n">
        <f aca="false">AE1084*評分方法!$C$5</f>
        <v>25.5</v>
      </c>
      <c r="J1084" s="15" t="n">
        <f aca="false">AF1084*評分方法!$C$6</f>
        <v>0</v>
      </c>
      <c r="K1084" s="15" t="n">
        <f aca="false">AG1084*評分方法!$C$7</f>
        <v>4.95</v>
      </c>
      <c r="L1084" s="15" t="n">
        <f aca="false">AH1084*評分方法!$C$8</f>
        <v>9</v>
      </c>
      <c r="M1084" s="15" t="n">
        <f aca="false">AI1084*評分方法!$C$9</f>
        <v>10</v>
      </c>
      <c r="N1084" s="15" t="n">
        <f aca="false">AJ1084*評分方法!$C$10</f>
        <v>6.876</v>
      </c>
      <c r="O1084" s="15" t="n">
        <f aca="false">AK1084*評分方法!$C$11</f>
        <v>5</v>
      </c>
      <c r="P1084" s="15" t="n">
        <f aca="false">AL1084*評分方法!$C$12</f>
        <v>3</v>
      </c>
      <c r="Q1084" s="6" t="n">
        <v>863200</v>
      </c>
      <c r="R1084" s="6" t="n">
        <v>25233142046</v>
      </c>
      <c r="S1084" s="11" t="s">
        <v>389</v>
      </c>
      <c r="T1084" s="11" t="s">
        <v>239</v>
      </c>
      <c r="U1084" s="5" t="s">
        <v>240</v>
      </c>
      <c r="V1084" s="11" t="s">
        <v>333</v>
      </c>
      <c r="W1084" s="5" t="s">
        <v>334</v>
      </c>
      <c r="X1084" s="5" t="s">
        <v>371</v>
      </c>
      <c r="Y1084" s="11" t="s">
        <v>575</v>
      </c>
      <c r="Z1084" s="11" t="s">
        <v>270</v>
      </c>
      <c r="AA1084" s="11" t="s">
        <v>156</v>
      </c>
      <c r="AB1084" s="5" t="s">
        <v>496</v>
      </c>
      <c r="AC1084" s="5" t="s">
        <v>497</v>
      </c>
      <c r="AD1084" s="11" t="s">
        <v>2745</v>
      </c>
      <c r="AE1084" s="23" t="n">
        <v>0.85</v>
      </c>
      <c r="AF1084" s="23" t="n">
        <v>0</v>
      </c>
      <c r="AG1084" s="23" t="n">
        <v>0.33</v>
      </c>
      <c r="AH1084" s="23" t="n">
        <v>0.6</v>
      </c>
      <c r="AI1084" s="23" t="n">
        <v>1</v>
      </c>
      <c r="AJ1084" s="23" t="n">
        <v>0.6876</v>
      </c>
      <c r="AK1084" s="23" t="n">
        <v>1</v>
      </c>
      <c r="AL1084" s="23" t="n">
        <v>0.6</v>
      </c>
      <c r="AM1084" s="16" t="n">
        <f aca="false">COUNTIFS($D$2:$D$2501,D1084,$G$2:$G$2501,"&gt;"&amp;G1084)+COUNTIFS($D$2:D1084,D1084,$G$2:G1084,G1084)</f>
        <v>473</v>
      </c>
      <c r="AN1084" s="5" t="str">
        <f aca="false">D1084&amp;"|"&amp;AM1084</f>
        <v>分析與報告生成|473</v>
      </c>
    </row>
    <row r="1085" customFormat="false" ht="17.15" hidden="false" customHeight="false" outlineLevel="0" collapsed="false">
      <c r="A1085" s="16" t="n">
        <f aca="false">RANK(G1085,$G$2:$G$2501)+COUNTIF($G$2:G1085,G1085)-1</f>
        <v>1084</v>
      </c>
      <c r="B1085" s="11" t="s">
        <v>2746</v>
      </c>
      <c r="C1085" s="11" t="s">
        <v>989</v>
      </c>
      <c r="D1085" s="5" t="s">
        <v>56</v>
      </c>
      <c r="E1085" s="5" t="s">
        <v>57</v>
      </c>
      <c r="F1085" s="5"/>
      <c r="G1085" s="22" t="n">
        <f aca="false">ROUND(SUM(I1085:P1085),3)</f>
        <v>64.326</v>
      </c>
      <c r="H1085" s="5" t="str">
        <f aca="false">IF(G1085&gt;=評分方法!$C$16,"優先評估",IF(G1085&gt;=評分方法!$C$17,"列入候選",IF(G1085&gt;=評分方法!$C$18,"特定情境","不建議")))</f>
        <v>特定情境</v>
      </c>
      <c r="I1085" s="15" t="n">
        <f aca="false">AE1085*評分方法!$C$5</f>
        <v>25.5</v>
      </c>
      <c r="J1085" s="15" t="n">
        <f aca="false">AF1085*評分方法!$C$6</f>
        <v>0</v>
      </c>
      <c r="K1085" s="15" t="n">
        <f aca="false">AG1085*評分方法!$C$7</f>
        <v>10.05</v>
      </c>
      <c r="L1085" s="15" t="n">
        <f aca="false">AH1085*評分方法!$C$8</f>
        <v>9</v>
      </c>
      <c r="M1085" s="15" t="n">
        <f aca="false">AI1085*評分方法!$C$9</f>
        <v>10</v>
      </c>
      <c r="N1085" s="15" t="n">
        <f aca="false">AJ1085*評分方法!$C$10</f>
        <v>0.776</v>
      </c>
      <c r="O1085" s="15" t="n">
        <f aca="false">AK1085*評分方法!$C$11</f>
        <v>4</v>
      </c>
      <c r="P1085" s="15" t="n">
        <f aca="false">AL1085*評分方法!$C$12</f>
        <v>5</v>
      </c>
      <c r="Q1085" s="6" t="n">
        <v>145691</v>
      </c>
      <c r="R1085" s="6" t="n">
        <v>23572403200</v>
      </c>
      <c r="S1085" s="11" t="s">
        <v>389</v>
      </c>
      <c r="T1085" s="11" t="s">
        <v>239</v>
      </c>
      <c r="U1085" s="5" t="s">
        <v>240</v>
      </c>
      <c r="V1085" s="11" t="s">
        <v>333</v>
      </c>
      <c r="W1085" s="5" t="s">
        <v>207</v>
      </c>
      <c r="X1085" s="5" t="s">
        <v>284</v>
      </c>
      <c r="Y1085" s="11" t="s">
        <v>612</v>
      </c>
      <c r="Z1085" s="11" t="s">
        <v>244</v>
      </c>
      <c r="AA1085" s="11" t="s">
        <v>156</v>
      </c>
      <c r="AB1085" s="5" t="s">
        <v>245</v>
      </c>
      <c r="AC1085" s="5" t="s">
        <v>246</v>
      </c>
      <c r="AD1085" s="11" t="s">
        <v>2747</v>
      </c>
      <c r="AE1085" s="23" t="n">
        <v>0.85</v>
      </c>
      <c r="AF1085" s="23" t="n">
        <v>0</v>
      </c>
      <c r="AG1085" s="23" t="n">
        <v>0.67</v>
      </c>
      <c r="AH1085" s="23" t="n">
        <v>0.6</v>
      </c>
      <c r="AI1085" s="23" t="n">
        <v>1</v>
      </c>
      <c r="AJ1085" s="23" t="n">
        <v>0.0776</v>
      </c>
      <c r="AK1085" s="23" t="n">
        <v>0.8</v>
      </c>
      <c r="AL1085" s="23" t="n">
        <v>1</v>
      </c>
      <c r="AM1085" s="16" t="n">
        <f aca="false">COUNTIFS($D$2:$D$2501,D1085,$G$2:$G$2501,"&gt;"&amp;G1085)+COUNTIFS($D$2:D1085,D1085,$G$2:G1085,G1085)</f>
        <v>474</v>
      </c>
      <c r="AN1085" s="5" t="str">
        <f aca="false">D1085&amp;"|"&amp;AM1085</f>
        <v>分析與報告生成|474</v>
      </c>
    </row>
    <row r="1086" customFormat="false" ht="17.15" hidden="false" customHeight="false" outlineLevel="0" collapsed="false">
      <c r="A1086" s="16" t="n">
        <f aca="false">RANK(G1086,$G$2:$G$2501)+COUNTIF($G$2:G1086,G1086)-1</f>
        <v>1085</v>
      </c>
      <c r="B1086" s="11" t="s">
        <v>2748</v>
      </c>
      <c r="C1086" s="11" t="s">
        <v>299</v>
      </c>
      <c r="D1086" s="5" t="s">
        <v>74</v>
      </c>
      <c r="E1086" s="5" t="s">
        <v>75</v>
      </c>
      <c r="F1086" s="5"/>
      <c r="G1086" s="22" t="n">
        <f aca="false">ROUND(SUM(I1086:P1086),3)</f>
        <v>64.324</v>
      </c>
      <c r="H1086" s="5" t="str">
        <f aca="false">IF(G1086&gt;=評分方法!$C$16,"優先評估",IF(G1086&gt;=評分方法!$C$17,"列入候選",IF(G1086&gt;=評分方法!$C$18,"特定情境","不建議")))</f>
        <v>特定情境</v>
      </c>
      <c r="I1086" s="15" t="n">
        <f aca="false">AE1086*評分方法!$C$5</f>
        <v>13.5</v>
      </c>
      <c r="J1086" s="15" t="n">
        <f aca="false">AF1086*評分方法!$C$6</f>
        <v>0</v>
      </c>
      <c r="K1086" s="15" t="n">
        <f aca="false">AG1086*評分方法!$C$7</f>
        <v>15</v>
      </c>
      <c r="L1086" s="15" t="n">
        <f aca="false">AH1086*評分方法!$C$8</f>
        <v>15</v>
      </c>
      <c r="M1086" s="15" t="n">
        <f aca="false">AI1086*評分方法!$C$9</f>
        <v>10</v>
      </c>
      <c r="N1086" s="15" t="n">
        <f aca="false">AJ1086*評分方法!$C$10</f>
        <v>8.324</v>
      </c>
      <c r="O1086" s="15" t="n">
        <f aca="false">AK1086*評分方法!$C$11</f>
        <v>2.5</v>
      </c>
      <c r="P1086" s="15" t="n">
        <f aca="false">AL1086*評分方法!$C$12</f>
        <v>0</v>
      </c>
      <c r="Q1086" s="6" t="n">
        <v>1950241</v>
      </c>
      <c r="R1086" s="6" t="n">
        <v>257517120</v>
      </c>
      <c r="S1086" s="11" t="s">
        <v>238</v>
      </c>
      <c r="T1086" s="11" t="s">
        <v>239</v>
      </c>
      <c r="U1086" s="5" t="s">
        <v>240</v>
      </c>
      <c r="V1086" s="11" t="s">
        <v>261</v>
      </c>
      <c r="W1086" s="5" t="s">
        <v>205</v>
      </c>
      <c r="X1086" s="5" t="s">
        <v>242</v>
      </c>
      <c r="Y1086" s="5"/>
      <c r="Z1086" s="5"/>
      <c r="AA1086" s="11" t="s">
        <v>164</v>
      </c>
      <c r="AB1086" s="5" t="s">
        <v>245</v>
      </c>
      <c r="AC1086" s="5"/>
      <c r="AD1086" s="11" t="s">
        <v>2749</v>
      </c>
      <c r="AE1086" s="23" t="n">
        <v>0.45</v>
      </c>
      <c r="AF1086" s="23" t="n">
        <v>0</v>
      </c>
      <c r="AG1086" s="23" t="n">
        <v>1</v>
      </c>
      <c r="AH1086" s="23" t="n">
        <v>1</v>
      </c>
      <c r="AI1086" s="23" t="n">
        <v>1</v>
      </c>
      <c r="AJ1086" s="23" t="n">
        <v>0.8324</v>
      </c>
      <c r="AK1086" s="23" t="n">
        <v>0.5</v>
      </c>
      <c r="AL1086" s="23" t="n">
        <v>0</v>
      </c>
      <c r="AM1086" s="16" t="n">
        <f aca="false">COUNTIFS($D$2:$D$2501,D1086,$G$2:$G$2501,"&gt;"&amp;G1086)+COUNTIFS($D$2:D1086,D1086,$G$2:G1086,G1086)</f>
        <v>15</v>
      </c>
      <c r="AN1086" s="5" t="str">
        <f aca="false">D1086&amp;"|"&amp;AM1086</f>
        <v>文件與影像辨識|15</v>
      </c>
    </row>
    <row r="1087" customFormat="false" ht="17.15" hidden="false" customHeight="false" outlineLevel="0" collapsed="false">
      <c r="A1087" s="16" t="n">
        <f aca="false">RANK(G1087,$G$2:$G$2501)+COUNTIF($G$2:G1087,G1087)-1</f>
        <v>1086</v>
      </c>
      <c r="B1087" s="11" t="s">
        <v>2750</v>
      </c>
      <c r="C1087" s="11" t="s">
        <v>323</v>
      </c>
      <c r="D1087" s="5" t="s">
        <v>56</v>
      </c>
      <c r="E1087" s="5" t="s">
        <v>57</v>
      </c>
      <c r="F1087" s="5"/>
      <c r="G1087" s="22" t="n">
        <f aca="false">ROUND(SUM(I1087:P1087),3)</f>
        <v>64.32</v>
      </c>
      <c r="H1087" s="5" t="str">
        <f aca="false">IF(G1087&gt;=評分方法!$C$16,"優先評估",IF(G1087&gt;=評分方法!$C$17,"列入候選",IF(G1087&gt;=評分方法!$C$18,"特定情境","不建議")))</f>
        <v>特定情境</v>
      </c>
      <c r="I1087" s="15" t="n">
        <f aca="false">AE1087*評分方法!$C$5</f>
        <v>25.5</v>
      </c>
      <c r="J1087" s="15" t="n">
        <f aca="false">AF1087*評分方法!$C$6</f>
        <v>0</v>
      </c>
      <c r="K1087" s="15" t="n">
        <f aca="false">AG1087*評分方法!$C$7</f>
        <v>15</v>
      </c>
      <c r="L1087" s="15" t="n">
        <f aca="false">AH1087*評分方法!$C$8</f>
        <v>9</v>
      </c>
      <c r="M1087" s="15" t="n">
        <f aca="false">AI1087*評分方法!$C$9</f>
        <v>10</v>
      </c>
      <c r="N1087" s="15" t="n">
        <f aca="false">AJ1087*評分方法!$C$10</f>
        <v>0.82</v>
      </c>
      <c r="O1087" s="15" t="n">
        <f aca="false">AK1087*評分方法!$C$11</f>
        <v>4</v>
      </c>
      <c r="P1087" s="15" t="n">
        <f aca="false">AL1087*評分方法!$C$12</f>
        <v>0</v>
      </c>
      <c r="Q1087" s="6" t="n">
        <v>146855</v>
      </c>
      <c r="R1087" s="6" t="n">
        <v>32233522176</v>
      </c>
      <c r="S1087" s="11" t="s">
        <v>389</v>
      </c>
      <c r="T1087" s="11" t="s">
        <v>239</v>
      </c>
      <c r="U1087" s="5" t="s">
        <v>240</v>
      </c>
      <c r="V1087" s="11" t="s">
        <v>261</v>
      </c>
      <c r="W1087" s="5" t="s">
        <v>205</v>
      </c>
      <c r="X1087" s="5" t="s">
        <v>242</v>
      </c>
      <c r="Y1087" s="11" t="s">
        <v>2751</v>
      </c>
      <c r="Z1087" s="11" t="s">
        <v>270</v>
      </c>
      <c r="AA1087" s="11" t="s">
        <v>155</v>
      </c>
      <c r="AB1087" s="5" t="s">
        <v>245</v>
      </c>
      <c r="AC1087" s="5"/>
      <c r="AD1087" s="11" t="s">
        <v>2752</v>
      </c>
      <c r="AE1087" s="23" t="n">
        <v>0.85</v>
      </c>
      <c r="AF1087" s="23" t="n">
        <v>0</v>
      </c>
      <c r="AG1087" s="23" t="n">
        <v>1</v>
      </c>
      <c r="AH1087" s="23" t="n">
        <v>0.6</v>
      </c>
      <c r="AI1087" s="23" t="n">
        <v>1</v>
      </c>
      <c r="AJ1087" s="23" t="n">
        <v>0.082</v>
      </c>
      <c r="AK1087" s="23" t="n">
        <v>0.8</v>
      </c>
      <c r="AL1087" s="23" t="n">
        <v>0</v>
      </c>
      <c r="AM1087" s="16" t="n">
        <f aca="false">COUNTIFS($D$2:$D$2501,D1087,$G$2:$G$2501,"&gt;"&amp;G1087)+COUNTIFS($D$2:D1087,D1087,$G$2:G1087,G1087)</f>
        <v>475</v>
      </c>
      <c r="AN1087" s="5" t="str">
        <f aca="false">D1087&amp;"|"&amp;AM1087</f>
        <v>分析與報告生成|475</v>
      </c>
    </row>
    <row r="1088" customFormat="false" ht="17.15" hidden="false" customHeight="false" outlineLevel="0" collapsed="false">
      <c r="A1088" s="16" t="n">
        <f aca="false">RANK(G1088,$G$2:$G$2501)+COUNTIF($G$2:G1088,G1088)-1</f>
        <v>1087</v>
      </c>
      <c r="B1088" s="11" t="s">
        <v>2753</v>
      </c>
      <c r="C1088" s="11" t="s">
        <v>2645</v>
      </c>
      <c r="D1088" s="5" t="s">
        <v>68</v>
      </c>
      <c r="E1088" s="11" t="s">
        <v>69</v>
      </c>
      <c r="F1088" s="5"/>
      <c r="G1088" s="22" t="n">
        <f aca="false">ROUND(SUM(I1088:P1088),3)</f>
        <v>64.318</v>
      </c>
      <c r="H1088" s="5" t="str">
        <f aca="false">IF(G1088&gt;=評分方法!$C$16,"優先評估",IF(G1088&gt;=評分方法!$C$17,"列入候選",IF(G1088&gt;=評分方法!$C$18,"特定情境","不建議")))</f>
        <v>特定情境</v>
      </c>
      <c r="I1088" s="15" t="n">
        <f aca="false">AE1088*評分方法!$C$5</f>
        <v>21</v>
      </c>
      <c r="J1088" s="15" t="n">
        <f aca="false">AF1088*評分方法!$C$6</f>
        <v>0</v>
      </c>
      <c r="K1088" s="15" t="n">
        <f aca="false">AG1088*評分方法!$C$7</f>
        <v>4.95</v>
      </c>
      <c r="L1088" s="15" t="n">
        <f aca="false">AH1088*評分方法!$C$8</f>
        <v>15</v>
      </c>
      <c r="M1088" s="15" t="n">
        <f aca="false">AI1088*評分方法!$C$9</f>
        <v>10</v>
      </c>
      <c r="N1088" s="15" t="n">
        <f aca="false">AJ1088*評分方法!$C$10</f>
        <v>9.368</v>
      </c>
      <c r="O1088" s="15" t="n">
        <f aca="false">AK1088*評分方法!$C$11</f>
        <v>2.5</v>
      </c>
      <c r="P1088" s="15" t="n">
        <f aca="false">AL1088*評分方法!$C$12</f>
        <v>1.5</v>
      </c>
      <c r="Q1088" s="6" t="n">
        <v>7106449</v>
      </c>
      <c r="R1088" s="6" t="n">
        <v>102311008</v>
      </c>
      <c r="S1088" s="11" t="s">
        <v>238</v>
      </c>
      <c r="T1088" s="11" t="s">
        <v>278</v>
      </c>
      <c r="U1088" s="5" t="s">
        <v>240</v>
      </c>
      <c r="V1088" s="11" t="s">
        <v>261</v>
      </c>
      <c r="W1088" s="5" t="s">
        <v>334</v>
      </c>
      <c r="X1088" s="5" t="s">
        <v>255</v>
      </c>
      <c r="Y1088" s="5"/>
      <c r="Z1088" s="5"/>
      <c r="AA1088" s="11" t="s">
        <v>158</v>
      </c>
      <c r="AB1088" s="5" t="s">
        <v>245</v>
      </c>
      <c r="AC1088" s="5"/>
      <c r="AD1088" s="11" t="s">
        <v>2754</v>
      </c>
      <c r="AE1088" s="23" t="n">
        <v>0.7</v>
      </c>
      <c r="AF1088" s="23" t="n">
        <v>0</v>
      </c>
      <c r="AG1088" s="23" t="n">
        <v>0.33</v>
      </c>
      <c r="AH1088" s="23" t="n">
        <v>1</v>
      </c>
      <c r="AI1088" s="23" t="n">
        <v>1</v>
      </c>
      <c r="AJ1088" s="23" t="n">
        <v>0.9368</v>
      </c>
      <c r="AK1088" s="23" t="n">
        <v>0.5</v>
      </c>
      <c r="AL1088" s="23" t="n">
        <v>0.3</v>
      </c>
      <c r="AM1088" s="16" t="n">
        <f aca="false">COUNTIFS($D$2:$D$2501,D1088,$G$2:$G$2501,"&gt;"&amp;G1088)+COUNTIFS($D$2:D1088,D1088,$G$2:G1088,G1088)</f>
        <v>37</v>
      </c>
      <c r="AN1088" s="5" t="str">
        <f aca="false">D1088&amp;"|"&amp;AM1088</f>
        <v>時序異常偵測|37</v>
      </c>
    </row>
    <row r="1089" customFormat="false" ht="17.15" hidden="false" customHeight="false" outlineLevel="0" collapsed="false">
      <c r="A1089" s="16" t="n">
        <f aca="false">RANK(G1089,$G$2:$G$2501)+COUNTIF($G$2:G1089,G1089)-1</f>
        <v>1088</v>
      </c>
      <c r="B1089" s="11" t="s">
        <v>2755</v>
      </c>
      <c r="C1089" s="11" t="s">
        <v>1132</v>
      </c>
      <c r="D1089" s="5" t="s">
        <v>66</v>
      </c>
      <c r="E1089" s="5" t="s">
        <v>67</v>
      </c>
      <c r="F1089" s="5"/>
      <c r="G1089" s="22" t="n">
        <f aca="false">ROUND(SUM(I1089:P1089),3)</f>
        <v>64.31</v>
      </c>
      <c r="H1089" s="5" t="str">
        <f aca="false">IF(G1089&gt;=評分方法!$C$16,"優先評估",IF(G1089&gt;=評分方法!$C$17,"列入候選",IF(G1089&gt;=評分方法!$C$18,"特定情境","不建議")))</f>
        <v>特定情境</v>
      </c>
      <c r="I1089" s="15" t="n">
        <f aca="false">AE1089*評分方法!$C$5</f>
        <v>27</v>
      </c>
      <c r="J1089" s="15" t="n">
        <f aca="false">AF1089*評分方法!$C$6</f>
        <v>0</v>
      </c>
      <c r="K1089" s="15" t="n">
        <f aca="false">AG1089*評分方法!$C$7</f>
        <v>4.95</v>
      </c>
      <c r="L1089" s="15" t="n">
        <f aca="false">AH1089*評分方法!$C$8</f>
        <v>15</v>
      </c>
      <c r="M1089" s="15" t="n">
        <f aca="false">AI1089*評分方法!$C$9</f>
        <v>10</v>
      </c>
      <c r="N1089" s="15" t="n">
        <f aca="false">AJ1089*評分方法!$C$10</f>
        <v>6.36</v>
      </c>
      <c r="O1089" s="15" t="n">
        <f aca="false">AK1089*評分方法!$C$11</f>
        <v>1</v>
      </c>
      <c r="P1089" s="15" t="n">
        <f aca="false">AL1089*評分方法!$C$12</f>
        <v>0</v>
      </c>
      <c r="Q1089" s="6" t="n">
        <v>710262</v>
      </c>
      <c r="R1089" s="6" t="n">
        <v>435063810</v>
      </c>
      <c r="S1089" s="11" t="s">
        <v>238</v>
      </c>
      <c r="T1089" s="11" t="s">
        <v>278</v>
      </c>
      <c r="U1089" s="5" t="s">
        <v>240</v>
      </c>
      <c r="V1089" s="11" t="s">
        <v>241</v>
      </c>
      <c r="W1089" s="5" t="s">
        <v>334</v>
      </c>
      <c r="X1089" s="5" t="s">
        <v>242</v>
      </c>
      <c r="Y1089" s="11" t="s">
        <v>595</v>
      </c>
      <c r="Z1089" s="11" t="s">
        <v>244</v>
      </c>
      <c r="AA1089" s="11" t="s">
        <v>151</v>
      </c>
      <c r="AB1089" s="5" t="s">
        <v>245</v>
      </c>
      <c r="AC1089" s="5" t="s">
        <v>246</v>
      </c>
      <c r="AD1089" s="11" t="s">
        <v>2756</v>
      </c>
      <c r="AE1089" s="23" t="n">
        <v>0.9</v>
      </c>
      <c r="AF1089" s="23" t="n">
        <v>0</v>
      </c>
      <c r="AG1089" s="23" t="n">
        <v>0.33</v>
      </c>
      <c r="AH1089" s="23" t="n">
        <v>1</v>
      </c>
      <c r="AI1089" s="23" t="n">
        <v>1</v>
      </c>
      <c r="AJ1089" s="23" t="n">
        <v>0.636</v>
      </c>
      <c r="AK1089" s="23" t="n">
        <v>0.2</v>
      </c>
      <c r="AL1089" s="23" t="n">
        <v>0</v>
      </c>
      <c r="AM1089" s="16" t="n">
        <f aca="false">COUNTIFS($D$2:$D$2501,D1089,$G$2:$G$2501,"&gt;"&amp;G1089)+COUNTIFS($D$2:D1089,D1089,$G$2:G1089,G1089)</f>
        <v>30</v>
      </c>
      <c r="AN1089" s="5" t="str">
        <f aca="false">D1089&amp;"|"&amp;AM1089</f>
        <v>分類與偵測|30</v>
      </c>
    </row>
    <row r="1090" customFormat="false" ht="17.15" hidden="false" customHeight="false" outlineLevel="0" collapsed="false">
      <c r="A1090" s="16" t="n">
        <f aca="false">RANK(G1090,$G$2:$G$2501)+COUNTIF($G$2:G1090,G1090)-1</f>
        <v>1089</v>
      </c>
      <c r="B1090" s="11" t="s">
        <v>2757</v>
      </c>
      <c r="C1090" s="11" t="s">
        <v>2719</v>
      </c>
      <c r="D1090" s="5" t="s">
        <v>56</v>
      </c>
      <c r="E1090" s="5" t="s">
        <v>57</v>
      </c>
      <c r="F1090" s="5"/>
      <c r="G1090" s="22" t="n">
        <f aca="false">ROUND(SUM(I1090:P1090),3)</f>
        <v>64.294</v>
      </c>
      <c r="H1090" s="5" t="str">
        <f aca="false">IF(G1090&gt;=評分方法!$C$16,"優先評估",IF(G1090&gt;=評分方法!$C$17,"列入候選",IF(G1090&gt;=評分方法!$C$18,"特定情境","不建議")))</f>
        <v>特定情境</v>
      </c>
      <c r="I1090" s="15" t="n">
        <f aca="false">AE1090*評分方法!$C$5</f>
        <v>25.5</v>
      </c>
      <c r="J1090" s="15" t="n">
        <f aca="false">AF1090*評分方法!$C$6</f>
        <v>0</v>
      </c>
      <c r="K1090" s="15" t="n">
        <f aca="false">AG1090*評分方法!$C$7</f>
        <v>4.95</v>
      </c>
      <c r="L1090" s="15" t="n">
        <f aca="false">AH1090*評分方法!$C$8</f>
        <v>9</v>
      </c>
      <c r="M1090" s="15" t="n">
        <f aca="false">AI1090*評分方法!$C$9</f>
        <v>10</v>
      </c>
      <c r="N1090" s="15" t="n">
        <f aca="false">AJ1090*評分方法!$C$10</f>
        <v>6.844</v>
      </c>
      <c r="O1090" s="15" t="n">
        <f aca="false">AK1090*評分方法!$C$11</f>
        <v>5</v>
      </c>
      <c r="P1090" s="15" t="n">
        <f aca="false">AL1090*評分方法!$C$12</f>
        <v>3</v>
      </c>
      <c r="Q1090" s="6" t="n">
        <v>852449</v>
      </c>
      <c r="R1090" s="6" t="n">
        <v>25233142046</v>
      </c>
      <c r="S1090" s="11" t="s">
        <v>389</v>
      </c>
      <c r="T1090" s="11" t="s">
        <v>239</v>
      </c>
      <c r="U1090" s="5" t="s">
        <v>240</v>
      </c>
      <c r="V1090" s="11" t="s">
        <v>333</v>
      </c>
      <c r="W1090" s="5" t="s">
        <v>334</v>
      </c>
      <c r="X1090" s="5" t="s">
        <v>371</v>
      </c>
      <c r="Y1090" s="11" t="s">
        <v>2758</v>
      </c>
      <c r="Z1090" s="11" t="s">
        <v>244</v>
      </c>
      <c r="AA1090" s="11" t="s">
        <v>155</v>
      </c>
      <c r="AB1090" s="5" t="s">
        <v>961</v>
      </c>
      <c r="AC1090" s="5" t="s">
        <v>962</v>
      </c>
      <c r="AD1090" s="11" t="s">
        <v>2759</v>
      </c>
      <c r="AE1090" s="23" t="n">
        <v>0.85</v>
      </c>
      <c r="AF1090" s="23" t="n">
        <v>0</v>
      </c>
      <c r="AG1090" s="23" t="n">
        <v>0.33</v>
      </c>
      <c r="AH1090" s="23" t="n">
        <v>0.6</v>
      </c>
      <c r="AI1090" s="23" t="n">
        <v>1</v>
      </c>
      <c r="AJ1090" s="23" t="n">
        <v>0.6844</v>
      </c>
      <c r="AK1090" s="23" t="n">
        <v>1</v>
      </c>
      <c r="AL1090" s="23" t="n">
        <v>0.6</v>
      </c>
      <c r="AM1090" s="16" t="n">
        <f aca="false">COUNTIFS($D$2:$D$2501,D1090,$G$2:$G$2501,"&gt;"&amp;G1090)+COUNTIFS($D$2:D1090,D1090,$G$2:G1090,G1090)</f>
        <v>476</v>
      </c>
      <c r="AN1090" s="5" t="str">
        <f aca="false">D1090&amp;"|"&amp;AM1090</f>
        <v>分析與報告生成|476</v>
      </c>
    </row>
    <row r="1091" customFormat="false" ht="17.15" hidden="false" customHeight="false" outlineLevel="0" collapsed="false">
      <c r="A1091" s="16" t="n">
        <f aca="false">RANK(G1091,$G$2:$G$2501)+COUNTIF($G$2:G1091,G1091)-1</f>
        <v>1090</v>
      </c>
      <c r="B1091" s="11" t="s">
        <v>2760</v>
      </c>
      <c r="C1091" s="11" t="s">
        <v>1388</v>
      </c>
      <c r="D1091" s="5" t="s">
        <v>56</v>
      </c>
      <c r="E1091" s="5" t="s">
        <v>57</v>
      </c>
      <c r="F1091" s="5"/>
      <c r="G1091" s="22" t="n">
        <f aca="false">ROUND(SUM(I1091:P1091),3)</f>
        <v>64.292</v>
      </c>
      <c r="H1091" s="5" t="str">
        <f aca="false">IF(G1091&gt;=評分方法!$C$16,"優先評估",IF(G1091&gt;=評分方法!$C$17,"列入候選",IF(G1091&gt;=評分方法!$C$18,"特定情境","不建議")))</f>
        <v>特定情境</v>
      </c>
      <c r="I1091" s="15" t="n">
        <f aca="false">AE1091*評分方法!$C$5</f>
        <v>25.5</v>
      </c>
      <c r="J1091" s="15" t="n">
        <f aca="false">AF1091*評分方法!$C$6</f>
        <v>0</v>
      </c>
      <c r="K1091" s="15" t="n">
        <f aca="false">AG1091*評分方法!$C$7</f>
        <v>10.05</v>
      </c>
      <c r="L1091" s="15" t="n">
        <f aca="false">AH1091*評分方法!$C$8</f>
        <v>13.05</v>
      </c>
      <c r="M1091" s="15" t="n">
        <f aca="false">AI1091*評分方法!$C$9</f>
        <v>10</v>
      </c>
      <c r="N1091" s="15" t="n">
        <f aca="false">AJ1091*評分方法!$C$10</f>
        <v>1.692</v>
      </c>
      <c r="O1091" s="15" t="n">
        <f aca="false">AK1091*評分方法!$C$11</f>
        <v>1</v>
      </c>
      <c r="P1091" s="15" t="n">
        <f aca="false">AL1091*評分方法!$C$12</f>
        <v>3</v>
      </c>
      <c r="Q1091" s="6" t="n">
        <v>189850</v>
      </c>
      <c r="R1091" s="6" t="n">
        <v>7243108352</v>
      </c>
      <c r="S1091" s="11" t="s">
        <v>254</v>
      </c>
      <c r="T1091" s="11" t="s">
        <v>239</v>
      </c>
      <c r="U1091" s="5" t="s">
        <v>240</v>
      </c>
      <c r="V1091" s="11" t="s">
        <v>261</v>
      </c>
      <c r="W1091" s="5" t="s">
        <v>207</v>
      </c>
      <c r="X1091" s="5" t="s">
        <v>371</v>
      </c>
      <c r="Y1091" s="11" t="s">
        <v>488</v>
      </c>
      <c r="Z1091" s="11" t="s">
        <v>244</v>
      </c>
      <c r="AA1091" s="11" t="s">
        <v>155</v>
      </c>
      <c r="AB1091" s="5" t="s">
        <v>245</v>
      </c>
      <c r="AC1091" s="5" t="s">
        <v>246</v>
      </c>
      <c r="AD1091" s="11" t="s">
        <v>2761</v>
      </c>
      <c r="AE1091" s="23" t="n">
        <v>0.85</v>
      </c>
      <c r="AF1091" s="23" t="n">
        <v>0</v>
      </c>
      <c r="AG1091" s="23" t="n">
        <v>0.67</v>
      </c>
      <c r="AH1091" s="23" t="n">
        <v>0.87</v>
      </c>
      <c r="AI1091" s="23" t="n">
        <v>1</v>
      </c>
      <c r="AJ1091" s="23" t="n">
        <v>0.1692</v>
      </c>
      <c r="AK1091" s="23" t="n">
        <v>0.2</v>
      </c>
      <c r="AL1091" s="23" t="n">
        <v>0.6</v>
      </c>
      <c r="AM1091" s="16" t="n">
        <f aca="false">COUNTIFS($D$2:$D$2501,D1091,$G$2:$G$2501,"&gt;"&amp;G1091)+COUNTIFS($D$2:D1091,D1091,$G$2:G1091,G1091)</f>
        <v>477</v>
      </c>
      <c r="AN1091" s="5" t="str">
        <f aca="false">D1091&amp;"|"&amp;AM1091</f>
        <v>分析與報告生成|477</v>
      </c>
    </row>
    <row r="1092" customFormat="false" ht="17.15" hidden="false" customHeight="false" outlineLevel="0" collapsed="false">
      <c r="A1092" s="16" t="n">
        <f aca="false">RANK(G1092,$G$2:$G$2501)+COUNTIF($G$2:G1092,G1092)-1</f>
        <v>1091</v>
      </c>
      <c r="B1092" s="11" t="s">
        <v>2762</v>
      </c>
      <c r="C1092" s="11" t="s">
        <v>2763</v>
      </c>
      <c r="D1092" s="5" t="s">
        <v>56</v>
      </c>
      <c r="E1092" s="5" t="s">
        <v>57</v>
      </c>
      <c r="F1092" s="5"/>
      <c r="G1092" s="22" t="n">
        <f aca="false">ROUND(SUM(I1092:P1092),3)</f>
        <v>64.28</v>
      </c>
      <c r="H1092" s="5" t="str">
        <f aca="false">IF(G1092&gt;=評分方法!$C$16,"優先評估",IF(G1092&gt;=評分方法!$C$17,"列入候選",IF(G1092&gt;=評分方法!$C$18,"特定情境","不建議")))</f>
        <v>特定情境</v>
      </c>
      <c r="I1092" s="15" t="n">
        <f aca="false">AE1092*評分方法!$C$5</f>
        <v>25.5</v>
      </c>
      <c r="J1092" s="15" t="n">
        <f aca="false">AF1092*評分方法!$C$6</f>
        <v>0</v>
      </c>
      <c r="K1092" s="15" t="n">
        <f aca="false">AG1092*評分方法!$C$7</f>
        <v>4.95</v>
      </c>
      <c r="L1092" s="15" t="n">
        <f aca="false">AH1092*評分方法!$C$8</f>
        <v>13.05</v>
      </c>
      <c r="M1092" s="15" t="n">
        <f aca="false">AI1092*評分方法!$C$9</f>
        <v>6</v>
      </c>
      <c r="N1092" s="15" t="n">
        <f aca="false">AJ1092*評分方法!$C$10</f>
        <v>9.28</v>
      </c>
      <c r="O1092" s="15" t="n">
        <f aca="false">AK1092*評分方法!$C$11</f>
        <v>2.5</v>
      </c>
      <c r="P1092" s="15" t="n">
        <f aca="false">AL1092*評分方法!$C$12</f>
        <v>3</v>
      </c>
      <c r="Q1092" s="6" t="n">
        <v>5939021</v>
      </c>
      <c r="R1092" s="6" t="n">
        <v>1812039680</v>
      </c>
      <c r="S1092" s="11" t="s">
        <v>254</v>
      </c>
      <c r="T1092" s="11" t="s">
        <v>185</v>
      </c>
      <c r="U1092" s="5" t="s">
        <v>260</v>
      </c>
      <c r="V1092" s="11" t="s">
        <v>333</v>
      </c>
      <c r="W1092" s="5" t="s">
        <v>334</v>
      </c>
      <c r="X1092" s="5" t="s">
        <v>371</v>
      </c>
      <c r="Y1092" s="11" t="s">
        <v>2764</v>
      </c>
      <c r="Z1092" s="11" t="s">
        <v>244</v>
      </c>
      <c r="AA1092" s="11" t="s">
        <v>155</v>
      </c>
      <c r="AB1092" s="5" t="s">
        <v>496</v>
      </c>
      <c r="AC1092" s="5" t="s">
        <v>1108</v>
      </c>
      <c r="AD1092" s="11" t="s">
        <v>2765</v>
      </c>
      <c r="AE1092" s="23" t="n">
        <v>0.85</v>
      </c>
      <c r="AF1092" s="23" t="n">
        <v>0</v>
      </c>
      <c r="AG1092" s="23" t="n">
        <v>0.33</v>
      </c>
      <c r="AH1092" s="23" t="n">
        <v>0.87</v>
      </c>
      <c r="AI1092" s="23" t="n">
        <v>0.6</v>
      </c>
      <c r="AJ1092" s="23" t="n">
        <v>0.928</v>
      </c>
      <c r="AK1092" s="23" t="n">
        <v>0.5</v>
      </c>
      <c r="AL1092" s="23" t="n">
        <v>0.6</v>
      </c>
      <c r="AM1092" s="16" t="n">
        <f aca="false">COUNTIFS($D$2:$D$2501,D1092,$G$2:$G$2501,"&gt;"&amp;G1092)+COUNTIFS($D$2:D1092,D1092,$G$2:G1092,G1092)</f>
        <v>478</v>
      </c>
      <c r="AN1092" s="5" t="str">
        <f aca="false">D1092&amp;"|"&amp;AM1092</f>
        <v>分析與報告生成|478</v>
      </c>
    </row>
    <row r="1093" customFormat="false" ht="17.15" hidden="false" customHeight="false" outlineLevel="0" collapsed="false">
      <c r="A1093" s="16" t="n">
        <f aca="false">RANK(G1093,$G$2:$G$2501)+COUNTIF($G$2:G1093,G1093)-1</f>
        <v>1092</v>
      </c>
      <c r="B1093" s="11" t="s">
        <v>2766</v>
      </c>
      <c r="C1093" s="11" t="s">
        <v>753</v>
      </c>
      <c r="D1093" s="5" t="s">
        <v>56</v>
      </c>
      <c r="E1093" s="5" t="s">
        <v>57</v>
      </c>
      <c r="F1093" s="5"/>
      <c r="G1093" s="22" t="n">
        <f aca="false">ROUND(SUM(I1093:P1093),3)</f>
        <v>64.278</v>
      </c>
      <c r="H1093" s="5" t="str">
        <f aca="false">IF(G1093&gt;=評分方法!$C$16,"優先評估",IF(G1093&gt;=評分方法!$C$17,"列入候選",IF(G1093&gt;=評分方法!$C$18,"特定情境","不建議")))</f>
        <v>特定情境</v>
      </c>
      <c r="I1093" s="15" t="n">
        <f aca="false">AE1093*評分方法!$C$5</f>
        <v>25.5</v>
      </c>
      <c r="J1093" s="15" t="n">
        <f aca="false">AF1093*評分方法!$C$6</f>
        <v>0</v>
      </c>
      <c r="K1093" s="15" t="n">
        <f aca="false">AG1093*評分方法!$C$7</f>
        <v>10.05</v>
      </c>
      <c r="L1093" s="15" t="n">
        <f aca="false">AH1093*評分方法!$C$8</f>
        <v>9</v>
      </c>
      <c r="M1093" s="15" t="n">
        <f aca="false">AI1093*評分方法!$C$9</f>
        <v>10</v>
      </c>
      <c r="N1093" s="15" t="n">
        <f aca="false">AJ1093*評分方法!$C$10</f>
        <v>1.728</v>
      </c>
      <c r="O1093" s="15" t="n">
        <f aca="false">AK1093*評分方法!$C$11</f>
        <v>5</v>
      </c>
      <c r="P1093" s="15" t="n">
        <f aca="false">AL1093*評分方法!$C$12</f>
        <v>3</v>
      </c>
      <c r="Q1093" s="6" t="n">
        <v>192652</v>
      </c>
      <c r="R1093" s="6" t="n">
        <v>33597586080</v>
      </c>
      <c r="S1093" s="11" t="s">
        <v>389</v>
      </c>
      <c r="T1093" s="11" t="s">
        <v>239</v>
      </c>
      <c r="U1093" s="5" t="s">
        <v>240</v>
      </c>
      <c r="V1093" s="11" t="s">
        <v>261</v>
      </c>
      <c r="W1093" s="5" t="s">
        <v>207</v>
      </c>
      <c r="X1093" s="5" t="s">
        <v>371</v>
      </c>
      <c r="Y1093" s="11" t="s">
        <v>668</v>
      </c>
      <c r="Z1093" s="11" t="s">
        <v>244</v>
      </c>
      <c r="AA1093" s="11" t="s">
        <v>156</v>
      </c>
      <c r="AB1093" s="5" t="s">
        <v>245</v>
      </c>
      <c r="AC1093" s="5" t="s">
        <v>246</v>
      </c>
      <c r="AD1093" s="11" t="s">
        <v>2767</v>
      </c>
      <c r="AE1093" s="23" t="n">
        <v>0.85</v>
      </c>
      <c r="AF1093" s="23" t="n">
        <v>0</v>
      </c>
      <c r="AG1093" s="23" t="n">
        <v>0.67</v>
      </c>
      <c r="AH1093" s="23" t="n">
        <v>0.6</v>
      </c>
      <c r="AI1093" s="23" t="n">
        <v>1</v>
      </c>
      <c r="AJ1093" s="23" t="n">
        <v>0.1728</v>
      </c>
      <c r="AK1093" s="23" t="n">
        <v>1</v>
      </c>
      <c r="AL1093" s="23" t="n">
        <v>0.6</v>
      </c>
      <c r="AM1093" s="16" t="n">
        <f aca="false">COUNTIFS($D$2:$D$2501,D1093,$G$2:$G$2501,"&gt;"&amp;G1093)+COUNTIFS($D$2:D1093,D1093,$G$2:G1093,G1093)</f>
        <v>479</v>
      </c>
      <c r="AN1093" s="5" t="str">
        <f aca="false">D1093&amp;"|"&amp;AM1093</f>
        <v>分析與報告生成|479</v>
      </c>
    </row>
    <row r="1094" customFormat="false" ht="17.15" hidden="false" customHeight="false" outlineLevel="0" collapsed="false">
      <c r="A1094" s="16" t="n">
        <f aca="false">RANK(G1094,$G$2:$G$2501)+COUNTIF($G$2:G1094,G1094)-1</f>
        <v>1093</v>
      </c>
      <c r="B1094" s="11" t="s">
        <v>2768</v>
      </c>
      <c r="C1094" s="11" t="s">
        <v>1374</v>
      </c>
      <c r="D1094" s="5" t="s">
        <v>56</v>
      </c>
      <c r="E1094" s="5" t="s">
        <v>57</v>
      </c>
      <c r="F1094" s="5"/>
      <c r="G1094" s="22" t="n">
        <f aca="false">ROUND(SUM(I1094:P1094),3)</f>
        <v>64.266</v>
      </c>
      <c r="H1094" s="5" t="str">
        <f aca="false">IF(G1094&gt;=評分方法!$C$16,"優先評估",IF(G1094&gt;=評分方法!$C$17,"列入候選",IF(G1094&gt;=評分方法!$C$18,"特定情境","不建議")))</f>
        <v>特定情境</v>
      </c>
      <c r="I1094" s="15" t="n">
        <f aca="false">AE1094*評分方法!$C$5</f>
        <v>25.5</v>
      </c>
      <c r="J1094" s="15" t="n">
        <f aca="false">AF1094*評分方法!$C$6</f>
        <v>0</v>
      </c>
      <c r="K1094" s="15" t="n">
        <f aca="false">AG1094*評分方法!$C$7</f>
        <v>10.05</v>
      </c>
      <c r="L1094" s="15" t="n">
        <f aca="false">AH1094*評分方法!$C$8</f>
        <v>9</v>
      </c>
      <c r="M1094" s="15" t="n">
        <f aca="false">AI1094*評分方法!$C$9</f>
        <v>10</v>
      </c>
      <c r="N1094" s="15" t="n">
        <f aca="false">AJ1094*評分方法!$C$10</f>
        <v>1.716</v>
      </c>
      <c r="O1094" s="15" t="n">
        <f aca="false">AK1094*評分方法!$C$11</f>
        <v>5</v>
      </c>
      <c r="P1094" s="15" t="n">
        <f aca="false">AL1094*評分方法!$C$12</f>
        <v>3</v>
      </c>
      <c r="Q1094" s="6" t="n">
        <v>191791</v>
      </c>
      <c r="R1094" s="6" t="n">
        <v>25805936206</v>
      </c>
      <c r="S1094" s="11" t="s">
        <v>389</v>
      </c>
      <c r="T1094" s="11" t="s">
        <v>239</v>
      </c>
      <c r="U1094" s="5" t="s">
        <v>240</v>
      </c>
      <c r="V1094" s="11" t="s">
        <v>261</v>
      </c>
      <c r="W1094" s="5" t="s">
        <v>207</v>
      </c>
      <c r="X1094" s="5" t="s">
        <v>371</v>
      </c>
      <c r="Y1094" s="11" t="s">
        <v>575</v>
      </c>
      <c r="Z1094" s="11" t="s">
        <v>244</v>
      </c>
      <c r="AA1094" s="11" t="s">
        <v>156</v>
      </c>
      <c r="AB1094" s="5" t="s">
        <v>245</v>
      </c>
      <c r="AC1094" s="5" t="s">
        <v>246</v>
      </c>
      <c r="AD1094" s="11" t="s">
        <v>2769</v>
      </c>
      <c r="AE1094" s="23" t="n">
        <v>0.85</v>
      </c>
      <c r="AF1094" s="23" t="n">
        <v>0</v>
      </c>
      <c r="AG1094" s="23" t="n">
        <v>0.67</v>
      </c>
      <c r="AH1094" s="23" t="n">
        <v>0.6</v>
      </c>
      <c r="AI1094" s="23" t="n">
        <v>1</v>
      </c>
      <c r="AJ1094" s="23" t="n">
        <v>0.1716</v>
      </c>
      <c r="AK1094" s="23" t="n">
        <v>1</v>
      </c>
      <c r="AL1094" s="23" t="n">
        <v>0.6</v>
      </c>
      <c r="AM1094" s="16" t="n">
        <f aca="false">COUNTIFS($D$2:$D$2501,D1094,$G$2:$G$2501,"&gt;"&amp;G1094)+COUNTIFS($D$2:D1094,D1094,$G$2:G1094,G1094)</f>
        <v>480</v>
      </c>
      <c r="AN1094" s="5" t="str">
        <f aca="false">D1094&amp;"|"&amp;AM1094</f>
        <v>分析與報告生成|480</v>
      </c>
    </row>
    <row r="1095" customFormat="false" ht="17.15" hidden="false" customHeight="false" outlineLevel="0" collapsed="false">
      <c r="A1095" s="16" t="n">
        <f aca="false">RANK(G1095,$G$2:$G$2501)+COUNTIF($G$2:G1095,G1095)-1</f>
        <v>1094</v>
      </c>
      <c r="B1095" s="11" t="s">
        <v>2770</v>
      </c>
      <c r="C1095" s="11" t="s">
        <v>753</v>
      </c>
      <c r="D1095" s="5" t="s">
        <v>56</v>
      </c>
      <c r="E1095" s="5" t="s">
        <v>57</v>
      </c>
      <c r="F1095" s="5"/>
      <c r="G1095" s="22" t="n">
        <f aca="false">ROUND(SUM(I1095:P1095),3)</f>
        <v>64.256</v>
      </c>
      <c r="H1095" s="5" t="str">
        <f aca="false">IF(G1095&gt;=評分方法!$C$16,"優先評估",IF(G1095&gt;=評分方法!$C$17,"列入候選",IF(G1095&gt;=評分方法!$C$18,"特定情境","不建議")))</f>
        <v>特定情境</v>
      </c>
      <c r="I1095" s="15" t="n">
        <f aca="false">AE1095*評分方法!$C$5</f>
        <v>25.5</v>
      </c>
      <c r="J1095" s="15" t="n">
        <f aca="false">AF1095*評分方法!$C$6</f>
        <v>0</v>
      </c>
      <c r="K1095" s="15" t="n">
        <f aca="false">AG1095*評分方法!$C$7</f>
        <v>10.05</v>
      </c>
      <c r="L1095" s="15" t="n">
        <f aca="false">AH1095*評分方法!$C$8</f>
        <v>1.95</v>
      </c>
      <c r="M1095" s="15" t="n">
        <f aca="false">AI1095*評分方法!$C$9</f>
        <v>10</v>
      </c>
      <c r="N1095" s="15" t="n">
        <f aca="false">AJ1095*評分方法!$C$10</f>
        <v>8.756</v>
      </c>
      <c r="O1095" s="15" t="n">
        <f aca="false">AK1095*評分方法!$C$11</f>
        <v>5</v>
      </c>
      <c r="P1095" s="15" t="n">
        <f aca="false">AL1095*評分方法!$C$12</f>
        <v>3</v>
      </c>
      <c r="Q1095" s="6" t="n">
        <v>2912689</v>
      </c>
      <c r="R1095" s="6" t="n">
        <v>263655199274</v>
      </c>
      <c r="S1095" s="11" t="s">
        <v>1616</v>
      </c>
      <c r="T1095" s="11" t="s">
        <v>239</v>
      </c>
      <c r="U1095" s="5" t="s">
        <v>240</v>
      </c>
      <c r="V1095" s="11" t="s">
        <v>333</v>
      </c>
      <c r="W1095" s="5" t="s">
        <v>207</v>
      </c>
      <c r="X1095" s="5" t="s">
        <v>371</v>
      </c>
      <c r="Y1095" s="11" t="s">
        <v>2771</v>
      </c>
      <c r="Z1095" s="11" t="s">
        <v>244</v>
      </c>
      <c r="AA1095" s="11" t="s">
        <v>156</v>
      </c>
      <c r="AB1095" s="5" t="s">
        <v>245</v>
      </c>
      <c r="AC1095" s="5" t="s">
        <v>246</v>
      </c>
      <c r="AD1095" s="11" t="s">
        <v>2772</v>
      </c>
      <c r="AE1095" s="23" t="n">
        <v>0.85</v>
      </c>
      <c r="AF1095" s="23" t="n">
        <v>0</v>
      </c>
      <c r="AG1095" s="23" t="n">
        <v>0.67</v>
      </c>
      <c r="AH1095" s="23" t="n">
        <v>0.13</v>
      </c>
      <c r="AI1095" s="23" t="n">
        <v>1</v>
      </c>
      <c r="AJ1095" s="23" t="n">
        <v>0.8756</v>
      </c>
      <c r="AK1095" s="23" t="n">
        <v>1</v>
      </c>
      <c r="AL1095" s="23" t="n">
        <v>0.6</v>
      </c>
      <c r="AM1095" s="16" t="n">
        <f aca="false">COUNTIFS($D$2:$D$2501,D1095,$G$2:$G$2501,"&gt;"&amp;G1095)+COUNTIFS($D$2:D1095,D1095,$G$2:G1095,G1095)</f>
        <v>481</v>
      </c>
      <c r="AN1095" s="5" t="str">
        <f aca="false">D1095&amp;"|"&amp;AM1095</f>
        <v>分析與報告生成|481</v>
      </c>
    </row>
    <row r="1096" customFormat="false" ht="17.15" hidden="false" customHeight="false" outlineLevel="0" collapsed="false">
      <c r="A1096" s="16" t="n">
        <f aca="false">RANK(G1096,$G$2:$G$2501)+COUNTIF($G$2:G1096,G1096)-1</f>
        <v>1095</v>
      </c>
      <c r="B1096" s="11" t="s">
        <v>2773</v>
      </c>
      <c r="C1096" s="11" t="s">
        <v>1111</v>
      </c>
      <c r="D1096" s="5" t="s">
        <v>56</v>
      </c>
      <c r="E1096" s="5" t="s">
        <v>57</v>
      </c>
      <c r="F1096" s="5"/>
      <c r="G1096" s="22" t="n">
        <f aca="false">ROUND(SUM(I1096:P1096),3)</f>
        <v>64.246</v>
      </c>
      <c r="H1096" s="5" t="str">
        <f aca="false">IF(G1096&gt;=評分方法!$C$16,"優先評估",IF(G1096&gt;=評分方法!$C$17,"列入候選",IF(G1096&gt;=評分方法!$C$18,"特定情境","不建議")))</f>
        <v>特定情境</v>
      </c>
      <c r="I1096" s="15" t="n">
        <f aca="false">AE1096*評分方法!$C$5</f>
        <v>25.5</v>
      </c>
      <c r="J1096" s="15" t="n">
        <f aca="false">AF1096*評分方法!$C$6</f>
        <v>0</v>
      </c>
      <c r="K1096" s="15" t="n">
        <f aca="false">AG1096*評分方法!$C$7</f>
        <v>10.05</v>
      </c>
      <c r="L1096" s="15" t="n">
        <f aca="false">AH1096*評分方法!$C$8</f>
        <v>9</v>
      </c>
      <c r="M1096" s="15" t="n">
        <f aca="false">AI1096*評分方法!$C$9</f>
        <v>6</v>
      </c>
      <c r="N1096" s="15" t="n">
        <f aca="false">AJ1096*評分方法!$C$10</f>
        <v>8.196</v>
      </c>
      <c r="O1096" s="15" t="n">
        <f aca="false">AK1096*評分方法!$C$11</f>
        <v>2.5</v>
      </c>
      <c r="P1096" s="15" t="n">
        <f aca="false">AL1096*評分方法!$C$12</f>
        <v>3</v>
      </c>
      <c r="Q1096" s="6" t="n">
        <v>1812391</v>
      </c>
      <c r="R1096" s="6" t="n">
        <v>28842036848</v>
      </c>
      <c r="S1096" s="11" t="s">
        <v>389</v>
      </c>
      <c r="T1096" s="11" t="s">
        <v>658</v>
      </c>
      <c r="U1096" s="5" t="s">
        <v>260</v>
      </c>
      <c r="V1096" s="11" t="s">
        <v>261</v>
      </c>
      <c r="W1096" s="5" t="s">
        <v>207</v>
      </c>
      <c r="X1096" s="5" t="s">
        <v>371</v>
      </c>
      <c r="Y1096" s="11" t="s">
        <v>1344</v>
      </c>
      <c r="Z1096" s="11" t="s">
        <v>244</v>
      </c>
      <c r="AA1096" s="11" t="s">
        <v>156</v>
      </c>
      <c r="AB1096" s="5" t="s">
        <v>245</v>
      </c>
      <c r="AC1096" s="5" t="s">
        <v>464</v>
      </c>
      <c r="AD1096" s="11" t="s">
        <v>2774</v>
      </c>
      <c r="AE1096" s="23" t="n">
        <v>0.85</v>
      </c>
      <c r="AF1096" s="23" t="n">
        <v>0</v>
      </c>
      <c r="AG1096" s="23" t="n">
        <v>0.67</v>
      </c>
      <c r="AH1096" s="23" t="n">
        <v>0.6</v>
      </c>
      <c r="AI1096" s="23" t="n">
        <v>0.6</v>
      </c>
      <c r="AJ1096" s="23" t="n">
        <v>0.8196</v>
      </c>
      <c r="AK1096" s="23" t="n">
        <v>0.5</v>
      </c>
      <c r="AL1096" s="23" t="n">
        <v>0.6</v>
      </c>
      <c r="AM1096" s="16" t="n">
        <f aca="false">COUNTIFS($D$2:$D$2501,D1096,$G$2:$G$2501,"&gt;"&amp;G1096)+COUNTIFS($D$2:D1096,D1096,$G$2:G1096,G1096)</f>
        <v>482</v>
      </c>
      <c r="AN1096" s="5" t="str">
        <f aca="false">D1096&amp;"|"&amp;AM1096</f>
        <v>分析與報告生成|482</v>
      </c>
    </row>
    <row r="1097" customFormat="false" ht="17.15" hidden="false" customHeight="false" outlineLevel="0" collapsed="false">
      <c r="A1097" s="16" t="n">
        <f aca="false">RANK(G1097,$G$2:$G$2501)+COUNTIF($G$2:G1097,G1097)-1</f>
        <v>1096</v>
      </c>
      <c r="B1097" s="11" t="s">
        <v>2775</v>
      </c>
      <c r="C1097" s="11" t="s">
        <v>308</v>
      </c>
      <c r="D1097" s="5" t="s">
        <v>74</v>
      </c>
      <c r="E1097" s="5" t="s">
        <v>75</v>
      </c>
      <c r="F1097" s="5"/>
      <c r="G1097" s="22" t="n">
        <f aca="false">ROUND(SUM(I1097:P1097),3)</f>
        <v>64.224</v>
      </c>
      <c r="H1097" s="5" t="str">
        <f aca="false">IF(G1097&gt;=評分方法!$C$16,"優先評估",IF(G1097&gt;=評分方法!$C$17,"列入候選",IF(G1097&gt;=評分方法!$C$18,"特定情境","不建議")))</f>
        <v>特定情境</v>
      </c>
      <c r="I1097" s="15" t="n">
        <f aca="false">AE1097*評分方法!$C$5</f>
        <v>13.5</v>
      </c>
      <c r="J1097" s="15" t="n">
        <f aca="false">AF1097*評分方法!$C$6</f>
        <v>0</v>
      </c>
      <c r="K1097" s="15" t="n">
        <f aca="false">AG1097*評分方法!$C$7</f>
        <v>15</v>
      </c>
      <c r="L1097" s="15" t="n">
        <f aca="false">AH1097*評分方法!$C$8</f>
        <v>15</v>
      </c>
      <c r="M1097" s="15" t="n">
        <f aca="false">AI1097*評分方法!$C$9</f>
        <v>10</v>
      </c>
      <c r="N1097" s="15" t="n">
        <f aca="false">AJ1097*評分方法!$C$10</f>
        <v>8.224</v>
      </c>
      <c r="O1097" s="15" t="n">
        <f aca="false">AK1097*評分方法!$C$11</f>
        <v>1</v>
      </c>
      <c r="P1097" s="15" t="n">
        <f aca="false">AL1097*評分方法!$C$12</f>
        <v>1.5</v>
      </c>
      <c r="Q1097" s="6" t="n">
        <v>1830381</v>
      </c>
      <c r="R1097" s="6" t="n">
        <v>28847819</v>
      </c>
      <c r="S1097" s="11" t="s">
        <v>238</v>
      </c>
      <c r="T1097" s="11" t="s">
        <v>278</v>
      </c>
      <c r="U1097" s="5" t="s">
        <v>240</v>
      </c>
      <c r="V1097" s="11" t="s">
        <v>261</v>
      </c>
      <c r="W1097" s="5" t="s">
        <v>205</v>
      </c>
      <c r="X1097" s="5" t="s">
        <v>255</v>
      </c>
      <c r="Y1097" s="5"/>
      <c r="Z1097" s="5"/>
      <c r="AA1097" s="11" t="s">
        <v>164</v>
      </c>
      <c r="AB1097" s="5" t="s">
        <v>245</v>
      </c>
      <c r="AC1097" s="5"/>
      <c r="AD1097" s="11" t="s">
        <v>2776</v>
      </c>
      <c r="AE1097" s="23" t="n">
        <v>0.45</v>
      </c>
      <c r="AF1097" s="23" t="n">
        <v>0</v>
      </c>
      <c r="AG1097" s="23" t="n">
        <v>1</v>
      </c>
      <c r="AH1097" s="23" t="n">
        <v>1</v>
      </c>
      <c r="AI1097" s="23" t="n">
        <v>1</v>
      </c>
      <c r="AJ1097" s="23" t="n">
        <v>0.8224</v>
      </c>
      <c r="AK1097" s="23" t="n">
        <v>0.2</v>
      </c>
      <c r="AL1097" s="23" t="n">
        <v>0.3</v>
      </c>
      <c r="AM1097" s="16" t="n">
        <f aca="false">COUNTIFS($D$2:$D$2501,D1097,$G$2:$G$2501,"&gt;"&amp;G1097)+COUNTIFS($D$2:D1097,D1097,$G$2:G1097,G1097)</f>
        <v>16</v>
      </c>
      <c r="AN1097" s="5" t="str">
        <f aca="false">D1097&amp;"|"&amp;AM1097</f>
        <v>文件與影像辨識|16</v>
      </c>
    </row>
    <row r="1098" customFormat="false" ht="17.15" hidden="false" customHeight="false" outlineLevel="0" collapsed="false">
      <c r="A1098" s="16" t="n">
        <f aca="false">RANK(G1098,$G$2:$G$2501)+COUNTIF($G$2:G1098,G1098)-1</f>
        <v>1097</v>
      </c>
      <c r="B1098" s="11" t="s">
        <v>2777</v>
      </c>
      <c r="C1098" s="11" t="s">
        <v>2693</v>
      </c>
      <c r="D1098" s="5" t="s">
        <v>74</v>
      </c>
      <c r="E1098" s="5" t="s">
        <v>75</v>
      </c>
      <c r="F1098" s="5"/>
      <c r="G1098" s="22" t="n">
        <f aca="false">ROUND(SUM(I1098:P1098),3)</f>
        <v>64.2</v>
      </c>
      <c r="H1098" s="5" t="str">
        <f aca="false">IF(G1098&gt;=評分方法!$C$16,"優先評估",IF(G1098&gt;=評分方法!$C$17,"列入候選",IF(G1098&gt;=評分方法!$C$18,"特定情境","不建議")))</f>
        <v>特定情境</v>
      </c>
      <c r="I1098" s="15" t="n">
        <f aca="false">AE1098*評分方法!$C$5</f>
        <v>10.5</v>
      </c>
      <c r="J1098" s="15" t="n">
        <f aca="false">AF1098*評分方法!$C$6</f>
        <v>0</v>
      </c>
      <c r="K1098" s="15" t="n">
        <f aca="false">AG1098*評分方法!$C$7</f>
        <v>15</v>
      </c>
      <c r="L1098" s="15" t="n">
        <f aca="false">AH1098*評分方法!$C$8</f>
        <v>15</v>
      </c>
      <c r="M1098" s="15" t="n">
        <f aca="false">AI1098*評分方法!$C$9</f>
        <v>10</v>
      </c>
      <c r="N1098" s="15" t="n">
        <f aca="false">AJ1098*評分方法!$C$10</f>
        <v>9.7</v>
      </c>
      <c r="O1098" s="15" t="n">
        <f aca="false">AK1098*評分方法!$C$11</f>
        <v>2.5</v>
      </c>
      <c r="P1098" s="15" t="n">
        <f aca="false">AL1098*評分方法!$C$12</f>
        <v>1.5</v>
      </c>
      <c r="Q1098" s="6" t="n">
        <v>13925440</v>
      </c>
      <c r="R1098" s="6" t="n">
        <v>25610152</v>
      </c>
      <c r="S1098" s="11" t="s">
        <v>238</v>
      </c>
      <c r="T1098" s="11" t="s">
        <v>239</v>
      </c>
      <c r="U1098" s="5" t="s">
        <v>240</v>
      </c>
      <c r="V1098" s="11" t="s">
        <v>324</v>
      </c>
      <c r="W1098" s="5" t="s">
        <v>205</v>
      </c>
      <c r="X1098" s="5" t="s">
        <v>255</v>
      </c>
      <c r="Y1098" s="5"/>
      <c r="Z1098" s="5"/>
      <c r="AA1098" s="11" t="s">
        <v>172</v>
      </c>
      <c r="AB1098" s="5" t="s">
        <v>245</v>
      </c>
      <c r="AC1098" s="5"/>
      <c r="AD1098" s="11" t="s">
        <v>2778</v>
      </c>
      <c r="AE1098" s="23" t="n">
        <v>0.35</v>
      </c>
      <c r="AF1098" s="23" t="n">
        <v>0</v>
      </c>
      <c r="AG1098" s="23" t="n">
        <v>1</v>
      </c>
      <c r="AH1098" s="23" t="n">
        <v>1</v>
      </c>
      <c r="AI1098" s="23" t="n">
        <v>1</v>
      </c>
      <c r="AJ1098" s="23" t="n">
        <v>0.97</v>
      </c>
      <c r="AK1098" s="23" t="n">
        <v>0.5</v>
      </c>
      <c r="AL1098" s="23" t="n">
        <v>0.3</v>
      </c>
      <c r="AM1098" s="16" t="n">
        <f aca="false">COUNTIFS($D$2:$D$2501,D1098,$G$2:$G$2501,"&gt;"&amp;G1098)+COUNTIFS($D$2:D1098,D1098,$G$2:G1098,G1098)</f>
        <v>17</v>
      </c>
      <c r="AN1098" s="5" t="str">
        <f aca="false">D1098&amp;"|"&amp;AM1098</f>
        <v>文件與影像辨識|17</v>
      </c>
    </row>
    <row r="1099" customFormat="false" ht="17.15" hidden="false" customHeight="false" outlineLevel="0" collapsed="false">
      <c r="A1099" s="16" t="n">
        <f aca="false">RANK(G1099,$G$2:$G$2501)+COUNTIF($G$2:G1099,G1099)-1</f>
        <v>1098</v>
      </c>
      <c r="B1099" s="11" t="s">
        <v>2779</v>
      </c>
      <c r="C1099" s="11" t="s">
        <v>2693</v>
      </c>
      <c r="D1099" s="5" t="s">
        <v>74</v>
      </c>
      <c r="E1099" s="5" t="s">
        <v>75</v>
      </c>
      <c r="F1099" s="5"/>
      <c r="G1099" s="22" t="n">
        <f aca="false">ROUND(SUM(I1099:P1099),3)</f>
        <v>64.196</v>
      </c>
      <c r="H1099" s="5" t="str">
        <f aca="false">IF(G1099&gt;=評分方法!$C$16,"優先評估",IF(G1099&gt;=評分方法!$C$17,"列入候選",IF(G1099&gt;=評分方法!$C$18,"特定情境","不建議")))</f>
        <v>特定情境</v>
      </c>
      <c r="I1099" s="15" t="n">
        <f aca="false">AE1099*評分方法!$C$5</f>
        <v>10.5</v>
      </c>
      <c r="J1099" s="15" t="n">
        <f aca="false">AF1099*評分方法!$C$6</f>
        <v>0</v>
      </c>
      <c r="K1099" s="15" t="n">
        <f aca="false">AG1099*評分方法!$C$7</f>
        <v>15</v>
      </c>
      <c r="L1099" s="15" t="n">
        <f aca="false">AH1099*評分方法!$C$8</f>
        <v>15</v>
      </c>
      <c r="M1099" s="15" t="n">
        <f aca="false">AI1099*評分方法!$C$9</f>
        <v>10</v>
      </c>
      <c r="N1099" s="15" t="n">
        <f aca="false">AJ1099*評分方法!$C$10</f>
        <v>9.696</v>
      </c>
      <c r="O1099" s="15" t="n">
        <f aca="false">AK1099*評分方法!$C$11</f>
        <v>2.5</v>
      </c>
      <c r="P1099" s="15" t="n">
        <f aca="false">AL1099*評分方法!$C$12</f>
        <v>1.5</v>
      </c>
      <c r="Q1099" s="6" t="n">
        <v>13898826</v>
      </c>
      <c r="R1099" s="6" t="n">
        <v>12320528</v>
      </c>
      <c r="S1099" s="11" t="s">
        <v>238</v>
      </c>
      <c r="T1099" s="11" t="s">
        <v>239</v>
      </c>
      <c r="U1099" s="5" t="s">
        <v>240</v>
      </c>
      <c r="V1099" s="11" t="s">
        <v>324</v>
      </c>
      <c r="W1099" s="5" t="s">
        <v>205</v>
      </c>
      <c r="X1099" s="5" t="s">
        <v>255</v>
      </c>
      <c r="Y1099" s="5"/>
      <c r="Z1099" s="5"/>
      <c r="AA1099" s="11" t="s">
        <v>172</v>
      </c>
      <c r="AB1099" s="5" t="s">
        <v>245</v>
      </c>
      <c r="AC1099" s="5"/>
      <c r="AD1099" s="11" t="s">
        <v>2780</v>
      </c>
      <c r="AE1099" s="23" t="n">
        <v>0.35</v>
      </c>
      <c r="AF1099" s="23" t="n">
        <v>0</v>
      </c>
      <c r="AG1099" s="23" t="n">
        <v>1</v>
      </c>
      <c r="AH1099" s="23" t="n">
        <v>1</v>
      </c>
      <c r="AI1099" s="23" t="n">
        <v>1</v>
      </c>
      <c r="AJ1099" s="23" t="n">
        <v>0.9696</v>
      </c>
      <c r="AK1099" s="23" t="n">
        <v>0.5</v>
      </c>
      <c r="AL1099" s="23" t="n">
        <v>0.3</v>
      </c>
      <c r="AM1099" s="16" t="n">
        <f aca="false">COUNTIFS($D$2:$D$2501,D1099,$G$2:$G$2501,"&gt;"&amp;G1099)+COUNTIFS($D$2:D1099,D1099,$G$2:G1099,G1099)</f>
        <v>18</v>
      </c>
      <c r="AN1099" s="5" t="str">
        <f aca="false">D1099&amp;"|"&amp;AM1099</f>
        <v>文件與影像辨識|18</v>
      </c>
    </row>
    <row r="1100" customFormat="false" ht="17.15" hidden="false" customHeight="false" outlineLevel="0" collapsed="false">
      <c r="A1100" s="16" t="n">
        <f aca="false">RANK(G1100,$G$2:$G$2501)+COUNTIF($G$2:G1100,G1100)-1</f>
        <v>1099</v>
      </c>
      <c r="B1100" s="11" t="s">
        <v>2781</v>
      </c>
      <c r="C1100" s="11" t="s">
        <v>2712</v>
      </c>
      <c r="D1100" s="5" t="s">
        <v>56</v>
      </c>
      <c r="E1100" s="5" t="s">
        <v>57</v>
      </c>
      <c r="F1100" s="5"/>
      <c r="G1100" s="22" t="n">
        <f aca="false">ROUND(SUM(I1100:P1100),3)</f>
        <v>64.196</v>
      </c>
      <c r="H1100" s="5" t="str">
        <f aca="false">IF(G1100&gt;=評分方法!$C$16,"優先評估",IF(G1100&gt;=評分方法!$C$17,"列入候選",IF(G1100&gt;=評分方法!$C$18,"特定情境","不建議")))</f>
        <v>特定情境</v>
      </c>
      <c r="I1100" s="15" t="n">
        <f aca="false">AE1100*評分方法!$C$5</f>
        <v>25.5</v>
      </c>
      <c r="J1100" s="15" t="n">
        <f aca="false">AF1100*評分方法!$C$6</f>
        <v>0</v>
      </c>
      <c r="K1100" s="15" t="n">
        <f aca="false">AG1100*評分方法!$C$7</f>
        <v>4.95</v>
      </c>
      <c r="L1100" s="15" t="n">
        <f aca="false">AH1100*評分方法!$C$8</f>
        <v>13.05</v>
      </c>
      <c r="M1100" s="15" t="n">
        <f aca="false">AI1100*評分方法!$C$9</f>
        <v>10</v>
      </c>
      <c r="N1100" s="15" t="n">
        <f aca="false">AJ1100*評分方法!$C$10</f>
        <v>3.196</v>
      </c>
      <c r="O1100" s="15" t="n">
        <f aca="false">AK1100*評分方法!$C$11</f>
        <v>2.5</v>
      </c>
      <c r="P1100" s="15" t="n">
        <f aca="false">AL1100*評分方法!$C$12</f>
        <v>5</v>
      </c>
      <c r="Q1100" s="6" t="n">
        <v>315297</v>
      </c>
      <c r="R1100" s="6" t="n">
        <v>1656850432</v>
      </c>
      <c r="S1100" s="11" t="s">
        <v>254</v>
      </c>
      <c r="T1100" s="11" t="s">
        <v>239</v>
      </c>
      <c r="U1100" s="5" t="s">
        <v>240</v>
      </c>
      <c r="V1100" s="11" t="s">
        <v>261</v>
      </c>
      <c r="W1100" s="5" t="s">
        <v>334</v>
      </c>
      <c r="X1100" s="5" t="s">
        <v>284</v>
      </c>
      <c r="Y1100" s="11" t="s">
        <v>2782</v>
      </c>
      <c r="Z1100" s="11" t="s">
        <v>270</v>
      </c>
      <c r="AA1100" s="11" t="s">
        <v>155</v>
      </c>
      <c r="AB1100" s="5" t="s">
        <v>245</v>
      </c>
      <c r="AC1100" s="5"/>
      <c r="AD1100" s="11" t="s">
        <v>2783</v>
      </c>
      <c r="AE1100" s="23" t="n">
        <v>0.85</v>
      </c>
      <c r="AF1100" s="23" t="n">
        <v>0</v>
      </c>
      <c r="AG1100" s="23" t="n">
        <v>0.33</v>
      </c>
      <c r="AH1100" s="23" t="n">
        <v>0.87</v>
      </c>
      <c r="AI1100" s="23" t="n">
        <v>1</v>
      </c>
      <c r="AJ1100" s="23" t="n">
        <v>0.3196</v>
      </c>
      <c r="AK1100" s="23" t="n">
        <v>0.5</v>
      </c>
      <c r="AL1100" s="23" t="n">
        <v>1</v>
      </c>
      <c r="AM1100" s="16" t="n">
        <f aca="false">COUNTIFS($D$2:$D$2501,D1100,$G$2:$G$2501,"&gt;"&amp;G1100)+COUNTIFS($D$2:D1100,D1100,$G$2:G1100,G1100)</f>
        <v>483</v>
      </c>
      <c r="AN1100" s="5" t="str">
        <f aca="false">D1100&amp;"|"&amp;AM1100</f>
        <v>分析與報告生成|483</v>
      </c>
    </row>
    <row r="1101" customFormat="false" ht="17.15" hidden="false" customHeight="false" outlineLevel="0" collapsed="false">
      <c r="A1101" s="16" t="n">
        <f aca="false">RANK(G1101,$G$2:$G$2501)+COUNTIF($G$2:G1101,G1101)-1</f>
        <v>1100</v>
      </c>
      <c r="B1101" s="11" t="s">
        <v>2784</v>
      </c>
      <c r="C1101" s="11" t="s">
        <v>2785</v>
      </c>
      <c r="D1101" s="5" t="s">
        <v>56</v>
      </c>
      <c r="E1101" s="5" t="s">
        <v>57</v>
      </c>
      <c r="F1101" s="5"/>
      <c r="G1101" s="22" t="n">
        <f aca="false">ROUND(SUM(I1101:P1101),3)</f>
        <v>64.192</v>
      </c>
      <c r="H1101" s="5" t="str">
        <f aca="false">IF(G1101&gt;=評分方法!$C$16,"優先評估",IF(G1101&gt;=評分方法!$C$17,"列入候選",IF(G1101&gt;=評分方法!$C$18,"特定情境","不建議")))</f>
        <v>特定情境</v>
      </c>
      <c r="I1101" s="15" t="n">
        <f aca="false">AE1101*評分方法!$C$5</f>
        <v>25.5</v>
      </c>
      <c r="J1101" s="15" t="n">
        <f aca="false">AF1101*評分方法!$C$6</f>
        <v>0</v>
      </c>
      <c r="K1101" s="15" t="n">
        <f aca="false">AG1101*評分方法!$C$7</f>
        <v>10.05</v>
      </c>
      <c r="L1101" s="15" t="n">
        <f aca="false">AH1101*評分方法!$C$8</f>
        <v>13.05</v>
      </c>
      <c r="M1101" s="15" t="n">
        <f aca="false">AI1101*評分方法!$C$9</f>
        <v>6</v>
      </c>
      <c r="N1101" s="15" t="n">
        <f aca="false">AJ1101*評分方法!$C$10</f>
        <v>8.592</v>
      </c>
      <c r="O1101" s="15" t="n">
        <f aca="false">AK1101*評分方法!$C$11</f>
        <v>1</v>
      </c>
      <c r="P1101" s="15" t="n">
        <f aca="false">AL1101*評分方法!$C$12</f>
        <v>0</v>
      </c>
      <c r="Q1101" s="6" t="n">
        <v>2464216</v>
      </c>
      <c r="R1101" s="6" t="n">
        <v>8030261248</v>
      </c>
      <c r="S1101" s="11" t="s">
        <v>254</v>
      </c>
      <c r="T1101" s="11" t="s">
        <v>1177</v>
      </c>
      <c r="U1101" s="5" t="s">
        <v>260</v>
      </c>
      <c r="V1101" s="11" t="s">
        <v>261</v>
      </c>
      <c r="W1101" s="5" t="s">
        <v>207</v>
      </c>
      <c r="X1101" s="5" t="s">
        <v>242</v>
      </c>
      <c r="Y1101" s="11" t="s">
        <v>616</v>
      </c>
      <c r="Z1101" s="11" t="s">
        <v>270</v>
      </c>
      <c r="AA1101" s="11" t="s">
        <v>155</v>
      </c>
      <c r="AB1101" s="5" t="s">
        <v>245</v>
      </c>
      <c r="AC1101" s="5" t="s">
        <v>262</v>
      </c>
      <c r="AD1101" s="11" t="s">
        <v>2786</v>
      </c>
      <c r="AE1101" s="23" t="n">
        <v>0.85</v>
      </c>
      <c r="AF1101" s="23" t="n">
        <v>0</v>
      </c>
      <c r="AG1101" s="23" t="n">
        <v>0.67</v>
      </c>
      <c r="AH1101" s="23" t="n">
        <v>0.87</v>
      </c>
      <c r="AI1101" s="23" t="n">
        <v>0.6</v>
      </c>
      <c r="AJ1101" s="23" t="n">
        <v>0.8592</v>
      </c>
      <c r="AK1101" s="23" t="n">
        <v>0.2</v>
      </c>
      <c r="AL1101" s="23" t="n">
        <v>0</v>
      </c>
      <c r="AM1101" s="16" t="n">
        <f aca="false">COUNTIFS($D$2:$D$2501,D1101,$G$2:$G$2501,"&gt;"&amp;G1101)+COUNTIFS($D$2:D1101,D1101,$G$2:G1101,G1101)</f>
        <v>484</v>
      </c>
      <c r="AN1101" s="5" t="str">
        <f aca="false">D1101&amp;"|"&amp;AM1101</f>
        <v>分析與報告生成|484</v>
      </c>
    </row>
    <row r="1102" customFormat="false" ht="17.15" hidden="false" customHeight="false" outlineLevel="0" collapsed="false">
      <c r="A1102" s="16" t="n">
        <f aca="false">RANK(G1102,$G$2:$G$2501)+COUNTIF($G$2:G1102,G1102)-1</f>
        <v>1101</v>
      </c>
      <c r="B1102" s="11" t="s">
        <v>2787</v>
      </c>
      <c r="C1102" s="11" t="s">
        <v>1725</v>
      </c>
      <c r="D1102" s="5" t="s">
        <v>56</v>
      </c>
      <c r="E1102" s="5" t="s">
        <v>57</v>
      </c>
      <c r="F1102" s="5"/>
      <c r="G1102" s="22" t="n">
        <f aca="false">ROUND(SUM(I1102:P1102),3)</f>
        <v>64.172</v>
      </c>
      <c r="H1102" s="5" t="str">
        <f aca="false">IF(G1102&gt;=評分方法!$C$16,"優先評估",IF(G1102&gt;=評分方法!$C$17,"列入候選",IF(G1102&gt;=評分方法!$C$18,"特定情境","不建議")))</f>
        <v>特定情境</v>
      </c>
      <c r="I1102" s="15" t="n">
        <f aca="false">AE1102*評分方法!$C$5</f>
        <v>25.5</v>
      </c>
      <c r="J1102" s="15" t="n">
        <f aca="false">AF1102*評分方法!$C$6</f>
        <v>0</v>
      </c>
      <c r="K1102" s="15" t="n">
        <f aca="false">AG1102*評分方法!$C$7</f>
        <v>4.95</v>
      </c>
      <c r="L1102" s="15" t="n">
        <f aca="false">AH1102*評分方法!$C$8</f>
        <v>13.05</v>
      </c>
      <c r="M1102" s="15" t="n">
        <f aca="false">AI1102*評分方法!$C$9</f>
        <v>10</v>
      </c>
      <c r="N1102" s="15" t="n">
        <f aca="false">AJ1102*評分方法!$C$10</f>
        <v>0.672</v>
      </c>
      <c r="O1102" s="15" t="n">
        <f aca="false">AK1102*評分方法!$C$11</f>
        <v>5</v>
      </c>
      <c r="P1102" s="15" t="n">
        <f aca="false">AL1102*評分方法!$C$12</f>
        <v>5</v>
      </c>
      <c r="Q1102" s="6" t="n">
        <v>141393</v>
      </c>
      <c r="R1102" s="6" t="n">
        <v>2661173724</v>
      </c>
      <c r="S1102" s="11" t="s">
        <v>254</v>
      </c>
      <c r="T1102" s="11" t="s">
        <v>239</v>
      </c>
      <c r="U1102" s="5" t="s">
        <v>240</v>
      </c>
      <c r="V1102" s="11" t="s">
        <v>261</v>
      </c>
      <c r="W1102" s="5" t="s">
        <v>334</v>
      </c>
      <c r="X1102" s="5" t="s">
        <v>284</v>
      </c>
      <c r="Y1102" s="11" t="s">
        <v>413</v>
      </c>
      <c r="Z1102" s="11" t="s">
        <v>244</v>
      </c>
      <c r="AA1102" s="11" t="s">
        <v>155</v>
      </c>
      <c r="AB1102" s="5" t="s">
        <v>328</v>
      </c>
      <c r="AC1102" s="5" t="s">
        <v>340</v>
      </c>
      <c r="AD1102" s="11" t="s">
        <v>2788</v>
      </c>
      <c r="AE1102" s="23" t="n">
        <v>0.85</v>
      </c>
      <c r="AF1102" s="23" t="n">
        <v>0</v>
      </c>
      <c r="AG1102" s="23" t="n">
        <v>0.33</v>
      </c>
      <c r="AH1102" s="23" t="n">
        <v>0.87</v>
      </c>
      <c r="AI1102" s="23" t="n">
        <v>1</v>
      </c>
      <c r="AJ1102" s="23" t="n">
        <v>0.0672</v>
      </c>
      <c r="AK1102" s="23" t="n">
        <v>1</v>
      </c>
      <c r="AL1102" s="23" t="n">
        <v>1</v>
      </c>
      <c r="AM1102" s="16" t="n">
        <f aca="false">COUNTIFS($D$2:$D$2501,D1102,$G$2:$G$2501,"&gt;"&amp;G1102)+COUNTIFS($D$2:D1102,D1102,$G$2:G1102,G1102)</f>
        <v>485</v>
      </c>
      <c r="AN1102" s="5" t="str">
        <f aca="false">D1102&amp;"|"&amp;AM1102</f>
        <v>分析與報告生成|485</v>
      </c>
    </row>
    <row r="1103" customFormat="false" ht="17.15" hidden="false" customHeight="false" outlineLevel="0" collapsed="false">
      <c r="A1103" s="16" t="n">
        <f aca="false">RANK(G1103,$G$2:$G$2501)+COUNTIF($G$2:G1103,G1103)-1</f>
        <v>1102</v>
      </c>
      <c r="B1103" s="11" t="s">
        <v>2789</v>
      </c>
      <c r="C1103" s="11" t="s">
        <v>2693</v>
      </c>
      <c r="D1103" s="5" t="s">
        <v>74</v>
      </c>
      <c r="E1103" s="5" t="s">
        <v>75</v>
      </c>
      <c r="F1103" s="5"/>
      <c r="G1103" s="22" t="n">
        <f aca="false">ROUND(SUM(I1103:P1103),3)</f>
        <v>64.152</v>
      </c>
      <c r="H1103" s="5" t="str">
        <f aca="false">IF(G1103&gt;=評分方法!$C$16,"優先評估",IF(G1103&gt;=評分方法!$C$17,"列入候選",IF(G1103&gt;=評分方法!$C$18,"特定情境","不建議")))</f>
        <v>特定情境</v>
      </c>
      <c r="I1103" s="15" t="n">
        <f aca="false">AE1103*評分方法!$C$5</f>
        <v>10.5</v>
      </c>
      <c r="J1103" s="15" t="n">
        <f aca="false">AF1103*評分方法!$C$6</f>
        <v>0</v>
      </c>
      <c r="K1103" s="15" t="n">
        <f aca="false">AG1103*評分方法!$C$7</f>
        <v>15</v>
      </c>
      <c r="L1103" s="15" t="n">
        <f aca="false">AH1103*評分方法!$C$8</f>
        <v>15</v>
      </c>
      <c r="M1103" s="15" t="n">
        <f aca="false">AI1103*評分方法!$C$9</f>
        <v>10</v>
      </c>
      <c r="N1103" s="15" t="n">
        <f aca="false">AJ1103*評分方法!$C$10</f>
        <v>9.652</v>
      </c>
      <c r="O1103" s="15" t="n">
        <f aca="false">AK1103*評分方法!$C$11</f>
        <v>2.5</v>
      </c>
      <c r="P1103" s="15" t="n">
        <f aca="false">AL1103*評分方法!$C$12</f>
        <v>1.5</v>
      </c>
      <c r="Q1103" s="6" t="n">
        <v>11904389</v>
      </c>
      <c r="R1103" s="6" t="n">
        <v>11699112</v>
      </c>
      <c r="S1103" s="11" t="s">
        <v>238</v>
      </c>
      <c r="T1103" s="11" t="s">
        <v>239</v>
      </c>
      <c r="U1103" s="5" t="s">
        <v>240</v>
      </c>
      <c r="V1103" s="11" t="s">
        <v>324</v>
      </c>
      <c r="W1103" s="5" t="s">
        <v>205</v>
      </c>
      <c r="X1103" s="5" t="s">
        <v>255</v>
      </c>
      <c r="Y1103" s="5"/>
      <c r="Z1103" s="5"/>
      <c r="AA1103" s="11" t="s">
        <v>172</v>
      </c>
      <c r="AB1103" s="5" t="s">
        <v>245</v>
      </c>
      <c r="AC1103" s="5"/>
      <c r="AD1103" s="11" t="s">
        <v>2790</v>
      </c>
      <c r="AE1103" s="23" t="n">
        <v>0.35</v>
      </c>
      <c r="AF1103" s="23" t="n">
        <v>0</v>
      </c>
      <c r="AG1103" s="23" t="n">
        <v>1</v>
      </c>
      <c r="AH1103" s="23" t="n">
        <v>1</v>
      </c>
      <c r="AI1103" s="23" t="n">
        <v>1</v>
      </c>
      <c r="AJ1103" s="23" t="n">
        <v>0.9652</v>
      </c>
      <c r="AK1103" s="23" t="n">
        <v>0.5</v>
      </c>
      <c r="AL1103" s="23" t="n">
        <v>0.3</v>
      </c>
      <c r="AM1103" s="16" t="n">
        <f aca="false">COUNTIFS($D$2:$D$2501,D1103,$G$2:$G$2501,"&gt;"&amp;G1103)+COUNTIFS($D$2:D1103,D1103,$G$2:G1103,G1103)</f>
        <v>19</v>
      </c>
      <c r="AN1103" s="5" t="str">
        <f aca="false">D1103&amp;"|"&amp;AM1103</f>
        <v>文件與影像辨識|19</v>
      </c>
    </row>
    <row r="1104" customFormat="false" ht="17.15" hidden="false" customHeight="false" outlineLevel="0" collapsed="false">
      <c r="A1104" s="16" t="n">
        <f aca="false">RANK(G1104,$G$2:$G$2501)+COUNTIF($G$2:G1104,G1104)-1</f>
        <v>1103</v>
      </c>
      <c r="B1104" s="11" t="s">
        <v>2791</v>
      </c>
      <c r="C1104" s="11" t="s">
        <v>753</v>
      </c>
      <c r="D1104" s="5" t="s">
        <v>56</v>
      </c>
      <c r="E1104" s="5" t="s">
        <v>57</v>
      </c>
      <c r="F1104" s="5"/>
      <c r="G1104" s="22" t="n">
        <f aca="false">ROUND(SUM(I1104:P1104),3)</f>
        <v>64.152</v>
      </c>
      <c r="H1104" s="5" t="str">
        <f aca="false">IF(G1104&gt;=評分方法!$C$16,"優先評估",IF(G1104&gt;=評分方法!$C$17,"列入候選",IF(G1104&gt;=評分方法!$C$18,"特定情境","不建議")))</f>
        <v>特定情境</v>
      </c>
      <c r="I1104" s="15" t="n">
        <f aca="false">AE1104*評分方法!$C$5</f>
        <v>25.5</v>
      </c>
      <c r="J1104" s="15" t="n">
        <f aca="false">AF1104*評分方法!$C$6</f>
        <v>0</v>
      </c>
      <c r="K1104" s="15" t="n">
        <f aca="false">AG1104*評分方法!$C$7</f>
        <v>10.05</v>
      </c>
      <c r="L1104" s="15" t="n">
        <f aca="false">AH1104*評分方法!$C$8</f>
        <v>13.05</v>
      </c>
      <c r="M1104" s="15" t="n">
        <f aca="false">AI1104*評分方法!$C$9</f>
        <v>10</v>
      </c>
      <c r="N1104" s="15" t="n">
        <f aca="false">AJ1104*評分方法!$C$10</f>
        <v>3.052</v>
      </c>
      <c r="O1104" s="15" t="n">
        <f aca="false">AK1104*評分方法!$C$11</f>
        <v>2.5</v>
      </c>
      <c r="P1104" s="15" t="n">
        <f aca="false">AL1104*評分方法!$C$12</f>
        <v>0</v>
      </c>
      <c r="Q1104" s="6" t="n">
        <v>299829</v>
      </c>
      <c r="R1104" s="6" t="n">
        <v>7466691910</v>
      </c>
      <c r="S1104" s="11" t="s">
        <v>254</v>
      </c>
      <c r="T1104" s="11" t="s">
        <v>239</v>
      </c>
      <c r="U1104" s="5" t="s">
        <v>240</v>
      </c>
      <c r="V1104" s="11" t="s">
        <v>261</v>
      </c>
      <c r="W1104" s="5" t="s">
        <v>207</v>
      </c>
      <c r="X1104" s="5" t="s">
        <v>242</v>
      </c>
      <c r="Y1104" s="11" t="s">
        <v>408</v>
      </c>
      <c r="Z1104" s="11" t="s">
        <v>244</v>
      </c>
      <c r="AA1104" s="11" t="s">
        <v>155</v>
      </c>
      <c r="AB1104" s="5" t="s">
        <v>245</v>
      </c>
      <c r="AC1104" s="5" t="s">
        <v>246</v>
      </c>
      <c r="AD1104" s="11" t="s">
        <v>2792</v>
      </c>
      <c r="AE1104" s="23" t="n">
        <v>0.85</v>
      </c>
      <c r="AF1104" s="23" t="n">
        <v>0</v>
      </c>
      <c r="AG1104" s="23" t="n">
        <v>0.67</v>
      </c>
      <c r="AH1104" s="23" t="n">
        <v>0.87</v>
      </c>
      <c r="AI1104" s="23" t="n">
        <v>1</v>
      </c>
      <c r="AJ1104" s="23" t="n">
        <v>0.3052</v>
      </c>
      <c r="AK1104" s="23" t="n">
        <v>0.5</v>
      </c>
      <c r="AL1104" s="23" t="n">
        <v>0</v>
      </c>
      <c r="AM1104" s="16" t="n">
        <f aca="false">COUNTIFS($D$2:$D$2501,D1104,$G$2:$G$2501,"&gt;"&amp;G1104)+COUNTIFS($D$2:D1104,D1104,$G$2:G1104,G1104)</f>
        <v>486</v>
      </c>
      <c r="AN1104" s="5" t="str">
        <f aca="false">D1104&amp;"|"&amp;AM1104</f>
        <v>分析與報告生成|486</v>
      </c>
    </row>
    <row r="1105" customFormat="false" ht="17.15" hidden="false" customHeight="false" outlineLevel="0" collapsed="false">
      <c r="A1105" s="16" t="n">
        <f aca="false">RANK(G1105,$G$2:$G$2501)+COUNTIF($G$2:G1105,G1105)-1</f>
        <v>1104</v>
      </c>
      <c r="B1105" s="11" t="s">
        <v>2793</v>
      </c>
      <c r="C1105" s="11" t="s">
        <v>1202</v>
      </c>
      <c r="D1105" s="5" t="s">
        <v>54</v>
      </c>
      <c r="E1105" s="5" t="s">
        <v>55</v>
      </c>
      <c r="F1105" s="5"/>
      <c r="G1105" s="22" t="n">
        <f aca="false">ROUND(SUM(I1105:P1105),3)</f>
        <v>64.15</v>
      </c>
      <c r="H1105" s="5" t="str">
        <f aca="false">IF(G1105&gt;=評分方法!$C$16,"優先評估",IF(G1105&gt;=評分方法!$C$17,"列入候選",IF(G1105&gt;=評分方法!$C$18,"特定情境","不建議")))</f>
        <v>特定情境</v>
      </c>
      <c r="I1105" s="15" t="n">
        <f aca="false">AE1105*評分方法!$C$5</f>
        <v>27</v>
      </c>
      <c r="J1105" s="15" t="n">
        <f aca="false">AF1105*評分方法!$C$6</f>
        <v>0</v>
      </c>
      <c r="K1105" s="15" t="n">
        <f aca="false">AG1105*評分方法!$C$7</f>
        <v>4.95</v>
      </c>
      <c r="L1105" s="15" t="n">
        <f aca="false">AH1105*評分方法!$C$8</f>
        <v>15</v>
      </c>
      <c r="M1105" s="15" t="n">
        <f aca="false">AI1105*評分方法!$C$9</f>
        <v>10</v>
      </c>
      <c r="N1105" s="15" t="n">
        <f aca="false">AJ1105*評分方法!$C$10</f>
        <v>0.7</v>
      </c>
      <c r="O1105" s="15" t="n">
        <f aca="false">AK1105*評分方法!$C$11</f>
        <v>5</v>
      </c>
      <c r="P1105" s="15" t="n">
        <f aca="false">AL1105*評分方法!$C$12</f>
        <v>1.5</v>
      </c>
      <c r="Q1105" s="6" t="n">
        <v>142176</v>
      </c>
      <c r="R1105" s="6" t="n">
        <v>16244992</v>
      </c>
      <c r="S1105" s="11" t="s">
        <v>238</v>
      </c>
      <c r="T1105" s="11" t="s">
        <v>278</v>
      </c>
      <c r="U1105" s="5" t="s">
        <v>240</v>
      </c>
      <c r="V1105" s="11" t="s">
        <v>261</v>
      </c>
      <c r="W1105" s="5" t="s">
        <v>334</v>
      </c>
      <c r="X1105" s="5" t="s">
        <v>255</v>
      </c>
      <c r="Y1105" s="5"/>
      <c r="Z1105" s="5"/>
      <c r="AA1105" s="11" t="s">
        <v>152</v>
      </c>
      <c r="AB1105" s="5" t="s">
        <v>961</v>
      </c>
      <c r="AC1105" s="5" t="s">
        <v>1203</v>
      </c>
      <c r="AD1105" s="11" t="s">
        <v>2794</v>
      </c>
      <c r="AE1105" s="23" t="n">
        <v>0.9</v>
      </c>
      <c r="AF1105" s="23" t="n">
        <v>0</v>
      </c>
      <c r="AG1105" s="23" t="n">
        <v>0.33</v>
      </c>
      <c r="AH1105" s="23" t="n">
        <v>1</v>
      </c>
      <c r="AI1105" s="23" t="n">
        <v>1</v>
      </c>
      <c r="AJ1105" s="23" t="n">
        <v>0.07</v>
      </c>
      <c r="AK1105" s="23" t="n">
        <v>1</v>
      </c>
      <c r="AL1105" s="23" t="n">
        <v>0.3</v>
      </c>
      <c r="AM1105" s="16" t="n">
        <f aca="false">COUNTIFS($D$2:$D$2501,D1105,$G$2:$G$2501,"&gt;"&amp;G1105)+COUNTIFS($D$2:D1105,D1105,$G$2:G1105,G1105)</f>
        <v>164</v>
      </c>
      <c r="AN1105" s="5" t="str">
        <f aca="false">D1105&amp;"|"&amp;AM1105</f>
        <v>檢索與情資關聯|164</v>
      </c>
    </row>
    <row r="1106" customFormat="false" ht="17.15" hidden="false" customHeight="false" outlineLevel="0" collapsed="false">
      <c r="A1106" s="16" t="n">
        <f aca="false">RANK(G1106,$G$2:$G$2501)+COUNTIF($G$2:G1106,G1106)-1</f>
        <v>1105</v>
      </c>
      <c r="B1106" s="11" t="s">
        <v>2795</v>
      </c>
      <c r="C1106" s="11" t="s">
        <v>1438</v>
      </c>
      <c r="D1106" s="5" t="s">
        <v>56</v>
      </c>
      <c r="E1106" s="5" t="s">
        <v>57</v>
      </c>
      <c r="F1106" s="5"/>
      <c r="G1106" s="22" t="n">
        <f aca="false">ROUND(SUM(I1106:P1106),3)</f>
        <v>64.148</v>
      </c>
      <c r="H1106" s="5" t="str">
        <f aca="false">IF(G1106&gt;=評分方法!$C$16,"優先評估",IF(G1106&gt;=評分方法!$C$17,"列入候選",IF(G1106&gt;=評分方法!$C$18,"特定情境","不建議")))</f>
        <v>特定情境</v>
      </c>
      <c r="I1106" s="15" t="n">
        <f aca="false">AE1106*評分方法!$C$5</f>
        <v>25.5</v>
      </c>
      <c r="J1106" s="15" t="n">
        <f aca="false">AF1106*評分方法!$C$6</f>
        <v>0</v>
      </c>
      <c r="K1106" s="15" t="n">
        <f aca="false">AG1106*評分方法!$C$7</f>
        <v>10.05</v>
      </c>
      <c r="L1106" s="15" t="n">
        <f aca="false">AH1106*評分方法!$C$8</f>
        <v>13.05</v>
      </c>
      <c r="M1106" s="15" t="n">
        <f aca="false">AI1106*評分方法!$C$9</f>
        <v>2</v>
      </c>
      <c r="N1106" s="15" t="n">
        <f aca="false">AJ1106*評分方法!$C$10</f>
        <v>6.548</v>
      </c>
      <c r="O1106" s="15" t="n">
        <f aca="false">AK1106*評分方法!$C$11</f>
        <v>4</v>
      </c>
      <c r="P1106" s="15" t="n">
        <f aca="false">AL1106*評分方法!$C$12</f>
        <v>3</v>
      </c>
      <c r="Q1106" s="6" t="n">
        <v>764790</v>
      </c>
      <c r="R1106" s="6" t="n">
        <v>3429006336</v>
      </c>
      <c r="S1106" s="11" t="s">
        <v>254</v>
      </c>
      <c r="T1106" s="5"/>
      <c r="U1106" s="5" t="s">
        <v>375</v>
      </c>
      <c r="V1106" s="11" t="s">
        <v>333</v>
      </c>
      <c r="W1106" s="5" t="s">
        <v>207</v>
      </c>
      <c r="X1106" s="5" t="s">
        <v>371</v>
      </c>
      <c r="Y1106" s="11" t="s">
        <v>566</v>
      </c>
      <c r="Z1106" s="11" t="s">
        <v>244</v>
      </c>
      <c r="AA1106" s="11" t="s">
        <v>155</v>
      </c>
      <c r="AB1106" s="5" t="s">
        <v>245</v>
      </c>
      <c r="AC1106" s="5" t="s">
        <v>464</v>
      </c>
      <c r="AD1106" s="11" t="s">
        <v>2796</v>
      </c>
      <c r="AE1106" s="23" t="n">
        <v>0.85</v>
      </c>
      <c r="AF1106" s="23" t="n">
        <v>0</v>
      </c>
      <c r="AG1106" s="23" t="n">
        <v>0.67</v>
      </c>
      <c r="AH1106" s="23" t="n">
        <v>0.87</v>
      </c>
      <c r="AI1106" s="23" t="n">
        <v>0.2</v>
      </c>
      <c r="AJ1106" s="23" t="n">
        <v>0.6548</v>
      </c>
      <c r="AK1106" s="23" t="n">
        <v>0.8</v>
      </c>
      <c r="AL1106" s="23" t="n">
        <v>0.6</v>
      </c>
      <c r="AM1106" s="16" t="n">
        <f aca="false">COUNTIFS($D$2:$D$2501,D1106,$G$2:$G$2501,"&gt;"&amp;G1106)+COUNTIFS($D$2:D1106,D1106,$G$2:G1106,G1106)</f>
        <v>487</v>
      </c>
      <c r="AN1106" s="5" t="str">
        <f aca="false">D1106&amp;"|"&amp;AM1106</f>
        <v>分析與報告生成|487</v>
      </c>
    </row>
    <row r="1107" customFormat="false" ht="17.15" hidden="false" customHeight="false" outlineLevel="0" collapsed="false">
      <c r="A1107" s="16" t="n">
        <f aca="false">RANK(G1107,$G$2:$G$2501)+COUNTIF($G$2:G1107,G1107)-1</f>
        <v>1106</v>
      </c>
      <c r="B1107" s="11" t="s">
        <v>2797</v>
      </c>
      <c r="C1107" s="11" t="s">
        <v>2798</v>
      </c>
      <c r="D1107" s="5" t="s">
        <v>54</v>
      </c>
      <c r="E1107" s="5" t="s">
        <v>55</v>
      </c>
      <c r="F1107" s="5"/>
      <c r="G1107" s="22" t="n">
        <f aca="false">ROUND(SUM(I1107:P1107),3)</f>
        <v>64.142</v>
      </c>
      <c r="H1107" s="5" t="str">
        <f aca="false">IF(G1107&gt;=評分方法!$C$16,"優先評估",IF(G1107&gt;=評分方法!$C$17,"列入候選",IF(G1107&gt;=評分方法!$C$18,"特定情境","不建議")))</f>
        <v>特定情境</v>
      </c>
      <c r="I1107" s="15" t="n">
        <f aca="false">AE1107*評分方法!$C$5</f>
        <v>27</v>
      </c>
      <c r="J1107" s="15" t="n">
        <f aca="false">AF1107*評分方法!$C$6</f>
        <v>0</v>
      </c>
      <c r="K1107" s="15" t="n">
        <f aca="false">AG1107*評分方法!$C$7</f>
        <v>4.95</v>
      </c>
      <c r="L1107" s="15" t="n">
        <f aca="false">AH1107*評分方法!$C$8</f>
        <v>15</v>
      </c>
      <c r="M1107" s="15" t="n">
        <f aca="false">AI1107*評分方法!$C$9</f>
        <v>6</v>
      </c>
      <c r="N1107" s="15" t="n">
        <f aca="false">AJ1107*評分方法!$C$10</f>
        <v>8.692</v>
      </c>
      <c r="O1107" s="15" t="n">
        <f aca="false">AK1107*評分方法!$C$11</f>
        <v>2.5</v>
      </c>
      <c r="P1107" s="15" t="n">
        <f aca="false">AL1107*評分方法!$C$12</f>
        <v>0</v>
      </c>
      <c r="Q1107" s="6" t="n">
        <v>2740032</v>
      </c>
      <c r="R1107" s="6" t="n">
        <v>109486978</v>
      </c>
      <c r="S1107" s="11" t="s">
        <v>238</v>
      </c>
      <c r="T1107" s="11" t="s">
        <v>185</v>
      </c>
      <c r="U1107" s="5" t="s">
        <v>260</v>
      </c>
      <c r="V1107" s="11" t="s">
        <v>324</v>
      </c>
      <c r="W1107" s="5" t="s">
        <v>334</v>
      </c>
      <c r="X1107" s="5" t="s">
        <v>242</v>
      </c>
      <c r="Y1107" s="5"/>
      <c r="Z1107" s="5"/>
      <c r="AA1107" s="11" t="s">
        <v>152</v>
      </c>
      <c r="AB1107" s="5" t="s">
        <v>245</v>
      </c>
      <c r="AC1107" s="5" t="s">
        <v>262</v>
      </c>
      <c r="AD1107" s="11" t="s">
        <v>2799</v>
      </c>
      <c r="AE1107" s="23" t="n">
        <v>0.9</v>
      </c>
      <c r="AF1107" s="23" t="n">
        <v>0</v>
      </c>
      <c r="AG1107" s="23" t="n">
        <v>0.33</v>
      </c>
      <c r="AH1107" s="23" t="n">
        <v>1</v>
      </c>
      <c r="AI1107" s="23" t="n">
        <v>0.6</v>
      </c>
      <c r="AJ1107" s="23" t="n">
        <v>0.8692</v>
      </c>
      <c r="AK1107" s="23" t="n">
        <v>0.5</v>
      </c>
      <c r="AL1107" s="23" t="n">
        <v>0</v>
      </c>
      <c r="AM1107" s="16" t="n">
        <f aca="false">COUNTIFS($D$2:$D$2501,D1107,$G$2:$G$2501,"&gt;"&amp;G1107)+COUNTIFS($D$2:D1107,D1107,$G$2:G1107,G1107)</f>
        <v>165</v>
      </c>
      <c r="AN1107" s="5" t="str">
        <f aca="false">D1107&amp;"|"&amp;AM1107</f>
        <v>檢索與情資關聯|165</v>
      </c>
    </row>
    <row r="1108" customFormat="false" ht="17.15" hidden="false" customHeight="false" outlineLevel="0" collapsed="false">
      <c r="A1108" s="16" t="n">
        <f aca="false">RANK(G1108,$G$2:$G$2501)+COUNTIF($G$2:G1108,G1108)-1</f>
        <v>1107</v>
      </c>
      <c r="B1108" s="11" t="s">
        <v>2800</v>
      </c>
      <c r="C1108" s="11" t="s">
        <v>2639</v>
      </c>
      <c r="D1108" s="5" t="s">
        <v>56</v>
      </c>
      <c r="E1108" s="5" t="s">
        <v>57</v>
      </c>
      <c r="F1108" s="5"/>
      <c r="G1108" s="22" t="n">
        <f aca="false">ROUND(SUM(I1108:P1108),3)</f>
        <v>64.138</v>
      </c>
      <c r="H1108" s="5" t="str">
        <f aca="false">IF(G1108&gt;=評分方法!$C$16,"優先評估",IF(G1108&gt;=評分方法!$C$17,"列入候選",IF(G1108&gt;=評分方法!$C$18,"特定情境","不建議")))</f>
        <v>特定情境</v>
      </c>
      <c r="I1108" s="15" t="n">
        <f aca="false">AE1108*評分方法!$C$5</f>
        <v>25.5</v>
      </c>
      <c r="J1108" s="15" t="n">
        <f aca="false">AF1108*評分方法!$C$6</f>
        <v>0</v>
      </c>
      <c r="K1108" s="15" t="n">
        <f aca="false">AG1108*評分方法!$C$7</f>
        <v>4.95</v>
      </c>
      <c r="L1108" s="15" t="n">
        <f aca="false">AH1108*評分方法!$C$8</f>
        <v>9</v>
      </c>
      <c r="M1108" s="15" t="n">
        <f aca="false">AI1108*評分方法!$C$9</f>
        <v>10</v>
      </c>
      <c r="N1108" s="15" t="n">
        <f aca="false">AJ1108*評分方法!$C$10</f>
        <v>9.688</v>
      </c>
      <c r="O1108" s="15" t="n">
        <f aca="false">AK1108*評分方法!$C$11</f>
        <v>5</v>
      </c>
      <c r="P1108" s="15" t="n">
        <f aca="false">AL1108*評分方法!$C$12</f>
        <v>0</v>
      </c>
      <c r="Q1108" s="6" t="n">
        <v>13644606</v>
      </c>
      <c r="R1108" s="6" t="n">
        <v>31273088876</v>
      </c>
      <c r="S1108" s="11" t="s">
        <v>389</v>
      </c>
      <c r="T1108" s="11" t="s">
        <v>239</v>
      </c>
      <c r="U1108" s="5" t="s">
        <v>240</v>
      </c>
      <c r="V1108" s="11" t="s">
        <v>261</v>
      </c>
      <c r="W1108" s="5" t="s">
        <v>334</v>
      </c>
      <c r="X1108" s="5" t="s">
        <v>242</v>
      </c>
      <c r="Y1108" s="5"/>
      <c r="Z1108" s="5"/>
      <c r="AA1108" s="11" t="s">
        <v>155</v>
      </c>
      <c r="AB1108" s="5" t="s">
        <v>245</v>
      </c>
      <c r="AC1108" s="5"/>
      <c r="AD1108" s="11" t="s">
        <v>2801</v>
      </c>
      <c r="AE1108" s="23" t="n">
        <v>0.85</v>
      </c>
      <c r="AF1108" s="23" t="n">
        <v>0</v>
      </c>
      <c r="AG1108" s="23" t="n">
        <v>0.33</v>
      </c>
      <c r="AH1108" s="23" t="n">
        <v>0.6</v>
      </c>
      <c r="AI1108" s="23" t="n">
        <v>1</v>
      </c>
      <c r="AJ1108" s="23" t="n">
        <v>0.9688</v>
      </c>
      <c r="AK1108" s="23" t="n">
        <v>1</v>
      </c>
      <c r="AL1108" s="23" t="n">
        <v>0</v>
      </c>
      <c r="AM1108" s="16" t="n">
        <f aca="false">COUNTIFS($D$2:$D$2501,D1108,$G$2:$G$2501,"&gt;"&amp;G1108)+COUNTIFS($D$2:D1108,D1108,$G$2:G1108,G1108)</f>
        <v>488</v>
      </c>
      <c r="AN1108" s="5" t="str">
        <f aca="false">D1108&amp;"|"&amp;AM1108</f>
        <v>分析與報告生成|488</v>
      </c>
    </row>
    <row r="1109" customFormat="false" ht="17.15" hidden="false" customHeight="false" outlineLevel="0" collapsed="false">
      <c r="A1109" s="16" t="n">
        <f aca="false">RANK(G1109,$G$2:$G$2501)+COUNTIF($G$2:G1109,G1109)-1</f>
        <v>1108</v>
      </c>
      <c r="B1109" s="11" t="s">
        <v>2802</v>
      </c>
      <c r="C1109" s="11" t="s">
        <v>891</v>
      </c>
      <c r="D1109" s="5" t="s">
        <v>56</v>
      </c>
      <c r="E1109" s="5" t="s">
        <v>57</v>
      </c>
      <c r="F1109" s="5"/>
      <c r="G1109" s="22" t="n">
        <f aca="false">ROUND(SUM(I1109:P1109),3)</f>
        <v>64.124</v>
      </c>
      <c r="H1109" s="5" t="str">
        <f aca="false">IF(G1109&gt;=評分方法!$C$16,"優先評估",IF(G1109&gt;=評分方法!$C$17,"列入候選",IF(G1109&gt;=評分方法!$C$18,"特定情境","不建議")))</f>
        <v>特定情境</v>
      </c>
      <c r="I1109" s="15" t="n">
        <f aca="false">AE1109*評分方法!$C$5</f>
        <v>25.5</v>
      </c>
      <c r="J1109" s="15" t="n">
        <f aca="false">AF1109*評分方法!$C$6</f>
        <v>0</v>
      </c>
      <c r="K1109" s="15" t="n">
        <f aca="false">AG1109*評分方法!$C$7</f>
        <v>10.05</v>
      </c>
      <c r="L1109" s="15" t="n">
        <f aca="false">AH1109*評分方法!$C$8</f>
        <v>13.05</v>
      </c>
      <c r="M1109" s="15" t="n">
        <f aca="false">AI1109*評分方法!$C$9</f>
        <v>10</v>
      </c>
      <c r="N1109" s="15" t="n">
        <f aca="false">AJ1109*評分方法!$C$10</f>
        <v>3.024</v>
      </c>
      <c r="O1109" s="15" t="n">
        <f aca="false">AK1109*評分方法!$C$11</f>
        <v>2.5</v>
      </c>
      <c r="P1109" s="15" t="n">
        <f aca="false">AL1109*評分方法!$C$12</f>
        <v>0</v>
      </c>
      <c r="Q1109" s="6" t="n">
        <v>297192</v>
      </c>
      <c r="R1109" s="6" t="n">
        <v>3836021760</v>
      </c>
      <c r="S1109" s="11" t="s">
        <v>254</v>
      </c>
      <c r="T1109" s="11" t="s">
        <v>278</v>
      </c>
      <c r="U1109" s="5" t="s">
        <v>240</v>
      </c>
      <c r="V1109" s="11" t="s">
        <v>261</v>
      </c>
      <c r="W1109" s="5" t="s">
        <v>207</v>
      </c>
      <c r="X1109" s="5" t="s">
        <v>242</v>
      </c>
      <c r="Y1109" s="11" t="s">
        <v>1240</v>
      </c>
      <c r="Z1109" s="11" t="s">
        <v>244</v>
      </c>
      <c r="AA1109" s="11" t="s">
        <v>155</v>
      </c>
      <c r="AB1109" s="5" t="s">
        <v>245</v>
      </c>
      <c r="AC1109" s="5" t="s">
        <v>246</v>
      </c>
      <c r="AD1109" s="11" t="s">
        <v>2803</v>
      </c>
      <c r="AE1109" s="23" t="n">
        <v>0.85</v>
      </c>
      <c r="AF1109" s="23" t="n">
        <v>0</v>
      </c>
      <c r="AG1109" s="23" t="n">
        <v>0.67</v>
      </c>
      <c r="AH1109" s="23" t="n">
        <v>0.87</v>
      </c>
      <c r="AI1109" s="23" t="n">
        <v>1</v>
      </c>
      <c r="AJ1109" s="23" t="n">
        <v>0.3024</v>
      </c>
      <c r="AK1109" s="23" t="n">
        <v>0.5</v>
      </c>
      <c r="AL1109" s="23" t="n">
        <v>0</v>
      </c>
      <c r="AM1109" s="16" t="n">
        <f aca="false">COUNTIFS($D$2:$D$2501,D1109,$G$2:$G$2501,"&gt;"&amp;G1109)+COUNTIFS($D$2:D1109,D1109,$G$2:G1109,G1109)</f>
        <v>489</v>
      </c>
      <c r="AN1109" s="5" t="str">
        <f aca="false">D1109&amp;"|"&amp;AM1109</f>
        <v>分析與報告生成|489</v>
      </c>
    </row>
    <row r="1110" customFormat="false" ht="17.15" hidden="false" customHeight="false" outlineLevel="0" collapsed="false">
      <c r="A1110" s="16" t="n">
        <f aca="false">RANK(G1110,$G$2:$G$2501)+COUNTIF($G$2:G1110,G1110)-1</f>
        <v>1109</v>
      </c>
      <c r="B1110" s="11" t="s">
        <v>2804</v>
      </c>
      <c r="C1110" s="11" t="s">
        <v>2805</v>
      </c>
      <c r="D1110" s="5" t="s">
        <v>56</v>
      </c>
      <c r="E1110" s="5" t="s">
        <v>57</v>
      </c>
      <c r="F1110" s="5"/>
      <c r="G1110" s="22" t="n">
        <f aca="false">ROUND(SUM(I1110:P1110),3)</f>
        <v>64.122</v>
      </c>
      <c r="H1110" s="5" t="str">
        <f aca="false">IF(G1110&gt;=評分方法!$C$16,"優先評估",IF(G1110&gt;=評分方法!$C$17,"列入候選",IF(G1110&gt;=評分方法!$C$18,"特定情境","不建議")))</f>
        <v>特定情境</v>
      </c>
      <c r="I1110" s="15" t="n">
        <f aca="false">AE1110*評分方法!$C$5</f>
        <v>25.5</v>
      </c>
      <c r="J1110" s="15" t="n">
        <f aca="false">AF1110*評分方法!$C$6</f>
        <v>0</v>
      </c>
      <c r="K1110" s="15" t="n">
        <f aca="false">AG1110*評分方法!$C$7</f>
        <v>4.95</v>
      </c>
      <c r="L1110" s="15" t="n">
        <f aca="false">AH1110*評分方法!$C$8</f>
        <v>9</v>
      </c>
      <c r="M1110" s="15" t="n">
        <f aca="false">AI1110*評分方法!$C$9</f>
        <v>10</v>
      </c>
      <c r="N1110" s="15" t="n">
        <f aca="false">AJ1110*評分方法!$C$10</f>
        <v>6.672</v>
      </c>
      <c r="O1110" s="15" t="n">
        <f aca="false">AK1110*評分方法!$C$11</f>
        <v>5</v>
      </c>
      <c r="P1110" s="15" t="n">
        <f aca="false">AL1110*評分方法!$C$12</f>
        <v>3</v>
      </c>
      <c r="Q1110" s="6" t="n">
        <v>804108</v>
      </c>
      <c r="R1110" s="6" t="n">
        <v>25233142046</v>
      </c>
      <c r="S1110" s="11" t="s">
        <v>389</v>
      </c>
      <c r="T1110" s="11" t="s">
        <v>239</v>
      </c>
      <c r="U1110" s="5" t="s">
        <v>240</v>
      </c>
      <c r="V1110" s="11" t="s">
        <v>333</v>
      </c>
      <c r="W1110" s="5" t="s">
        <v>334</v>
      </c>
      <c r="X1110" s="5" t="s">
        <v>371</v>
      </c>
      <c r="Y1110" s="11" t="s">
        <v>575</v>
      </c>
      <c r="Z1110" s="11" t="s">
        <v>244</v>
      </c>
      <c r="AA1110" s="11" t="s">
        <v>155</v>
      </c>
      <c r="AB1110" s="5" t="s">
        <v>245</v>
      </c>
      <c r="AC1110" s="5" t="s">
        <v>246</v>
      </c>
      <c r="AD1110" s="11" t="s">
        <v>2806</v>
      </c>
      <c r="AE1110" s="23" t="n">
        <v>0.85</v>
      </c>
      <c r="AF1110" s="23" t="n">
        <v>0</v>
      </c>
      <c r="AG1110" s="23" t="n">
        <v>0.33</v>
      </c>
      <c r="AH1110" s="23" t="n">
        <v>0.6</v>
      </c>
      <c r="AI1110" s="23" t="n">
        <v>1</v>
      </c>
      <c r="AJ1110" s="23" t="n">
        <v>0.6672</v>
      </c>
      <c r="AK1110" s="23" t="n">
        <v>1</v>
      </c>
      <c r="AL1110" s="23" t="n">
        <v>0.6</v>
      </c>
      <c r="AM1110" s="16" t="n">
        <f aca="false">COUNTIFS($D$2:$D$2501,D1110,$G$2:$G$2501,"&gt;"&amp;G1110)+COUNTIFS($D$2:D1110,D1110,$G$2:G1110,G1110)</f>
        <v>490</v>
      </c>
      <c r="AN1110" s="5" t="str">
        <f aca="false">D1110&amp;"|"&amp;AM1110</f>
        <v>分析與報告生成|490</v>
      </c>
    </row>
    <row r="1111" customFormat="false" ht="17.15" hidden="false" customHeight="false" outlineLevel="0" collapsed="false">
      <c r="A1111" s="16" t="n">
        <f aca="false">RANK(G1111,$G$2:$G$2501)+COUNTIF($G$2:G1111,G1111)-1</f>
        <v>1110</v>
      </c>
      <c r="B1111" s="11" t="s">
        <v>2807</v>
      </c>
      <c r="C1111" s="11" t="s">
        <v>1161</v>
      </c>
      <c r="D1111" s="5" t="s">
        <v>72</v>
      </c>
      <c r="E1111" s="5" t="s">
        <v>73</v>
      </c>
      <c r="F1111" s="5"/>
      <c r="G1111" s="22" t="n">
        <f aca="false">ROUND(SUM(I1111:P1111),3)</f>
        <v>64.096</v>
      </c>
      <c r="H1111" s="5" t="str">
        <f aca="false">IF(G1111&gt;=評分方法!$C$16,"優先評估",IF(G1111&gt;=評分方法!$C$17,"列入候選",IF(G1111&gt;=評分方法!$C$18,"特定情境","不建議")))</f>
        <v>特定情境</v>
      </c>
      <c r="I1111" s="15" t="n">
        <f aca="false">AE1111*評分方法!$C$5</f>
        <v>15</v>
      </c>
      <c r="J1111" s="15" t="n">
        <f aca="false">AF1111*評分方法!$C$6</f>
        <v>0</v>
      </c>
      <c r="K1111" s="15" t="n">
        <f aca="false">AG1111*評分方法!$C$7</f>
        <v>15</v>
      </c>
      <c r="L1111" s="15" t="n">
        <f aca="false">AH1111*評分方法!$C$8</f>
        <v>15</v>
      </c>
      <c r="M1111" s="15" t="n">
        <f aca="false">AI1111*評分方法!$C$9</f>
        <v>10</v>
      </c>
      <c r="N1111" s="15" t="n">
        <f aca="false">AJ1111*評分方法!$C$10</f>
        <v>8.096</v>
      </c>
      <c r="O1111" s="15" t="n">
        <f aca="false">AK1111*評分方法!$C$11</f>
        <v>1</v>
      </c>
      <c r="P1111" s="15" t="n">
        <f aca="false">AL1111*評分方法!$C$12</f>
        <v>0</v>
      </c>
      <c r="Q1111" s="6" t="n">
        <v>1709116</v>
      </c>
      <c r="R1111" s="6" t="n">
        <v>334661958</v>
      </c>
      <c r="S1111" s="11" t="s">
        <v>238</v>
      </c>
      <c r="T1111" s="11" t="s">
        <v>239</v>
      </c>
      <c r="U1111" s="5" t="s">
        <v>240</v>
      </c>
      <c r="V1111" s="11" t="s">
        <v>279</v>
      </c>
      <c r="W1111" s="5" t="s">
        <v>205</v>
      </c>
      <c r="X1111" s="5" t="s">
        <v>242</v>
      </c>
      <c r="Y1111" s="5"/>
      <c r="Z1111" s="5"/>
      <c r="AA1111" s="11" t="s">
        <v>162</v>
      </c>
      <c r="AB1111" s="5" t="s">
        <v>245</v>
      </c>
      <c r="AC1111" s="5"/>
      <c r="AD1111" s="11" t="s">
        <v>2808</v>
      </c>
      <c r="AE1111" s="23" t="n">
        <v>0.5</v>
      </c>
      <c r="AF1111" s="23" t="n">
        <v>0</v>
      </c>
      <c r="AG1111" s="23" t="n">
        <v>1</v>
      </c>
      <c r="AH1111" s="23" t="n">
        <v>1</v>
      </c>
      <c r="AI1111" s="23" t="n">
        <v>1</v>
      </c>
      <c r="AJ1111" s="23" t="n">
        <v>0.8096</v>
      </c>
      <c r="AK1111" s="23" t="n">
        <v>0.2</v>
      </c>
      <c r="AL1111" s="23" t="n">
        <v>0</v>
      </c>
      <c r="AM1111" s="16" t="n">
        <f aca="false">COUNTIFS($D$2:$D$2501,D1111,$G$2:$G$2501,"&gt;"&amp;G1111)+COUNTIFS($D$2:D1111,D1111,$G$2:G1111,G1111)</f>
        <v>21</v>
      </c>
      <c r="AN1111" s="5" t="str">
        <f aca="false">D1111&amp;"|"&amp;AM1111</f>
        <v>微調基底模型|21</v>
      </c>
    </row>
    <row r="1112" customFormat="false" ht="17.15" hidden="false" customHeight="false" outlineLevel="0" collapsed="false">
      <c r="A1112" s="16" t="n">
        <f aca="false">RANK(G1112,$G$2:$G$2501)+COUNTIF($G$2:G1112,G1112)-1</f>
        <v>1111</v>
      </c>
      <c r="B1112" s="11" t="s">
        <v>2809</v>
      </c>
      <c r="C1112" s="11" t="s">
        <v>2261</v>
      </c>
      <c r="D1112" s="5" t="s">
        <v>54</v>
      </c>
      <c r="E1112" s="5" t="s">
        <v>55</v>
      </c>
      <c r="F1112" s="5"/>
      <c r="G1112" s="22" t="n">
        <f aca="false">ROUND(SUM(I1112:P1112),3)</f>
        <v>64.09</v>
      </c>
      <c r="H1112" s="5" t="str">
        <f aca="false">IF(G1112&gt;=評分方法!$C$16,"優先評估",IF(G1112&gt;=評分方法!$C$17,"列入候選",IF(G1112&gt;=評分方法!$C$18,"特定情境","不建議")))</f>
        <v>特定情境</v>
      </c>
      <c r="I1112" s="15" t="n">
        <f aca="false">AE1112*評分方法!$C$5</f>
        <v>27</v>
      </c>
      <c r="J1112" s="15" t="n">
        <f aca="false">AF1112*評分方法!$C$6</f>
        <v>0</v>
      </c>
      <c r="K1112" s="15" t="n">
        <f aca="false">AG1112*評分方法!$C$7</f>
        <v>10.05</v>
      </c>
      <c r="L1112" s="15" t="n">
        <f aca="false">AH1112*評分方法!$C$8</f>
        <v>15</v>
      </c>
      <c r="M1112" s="15" t="n">
        <f aca="false">AI1112*評分方法!$C$9</f>
        <v>2</v>
      </c>
      <c r="N1112" s="15" t="n">
        <f aca="false">AJ1112*評分方法!$C$10</f>
        <v>7.54</v>
      </c>
      <c r="O1112" s="15" t="n">
        <f aca="false">AK1112*評分方法!$C$11</f>
        <v>1</v>
      </c>
      <c r="P1112" s="15" t="n">
        <f aca="false">AL1112*評分方法!$C$12</f>
        <v>1.5</v>
      </c>
      <c r="Q1112" s="6" t="n">
        <v>1189170</v>
      </c>
      <c r="R1112" s="6" t="n">
        <v>0</v>
      </c>
      <c r="S1112" s="11" t="s">
        <v>238</v>
      </c>
      <c r="T1112" s="5"/>
      <c r="U1112" s="5" t="s">
        <v>375</v>
      </c>
      <c r="V1112" s="11" t="s">
        <v>261</v>
      </c>
      <c r="W1112" s="5" t="s">
        <v>207</v>
      </c>
      <c r="X1112" s="5" t="s">
        <v>255</v>
      </c>
      <c r="Y1112" s="5"/>
      <c r="Z1112" s="5"/>
      <c r="AA1112" s="11" t="s">
        <v>153</v>
      </c>
      <c r="AB1112" s="5" t="s">
        <v>245</v>
      </c>
      <c r="AC1112" s="5" t="s">
        <v>262</v>
      </c>
      <c r="AD1112" s="11" t="s">
        <v>2810</v>
      </c>
      <c r="AE1112" s="23" t="n">
        <v>0.9</v>
      </c>
      <c r="AF1112" s="23" t="n">
        <v>0</v>
      </c>
      <c r="AG1112" s="23" t="n">
        <v>0.67</v>
      </c>
      <c r="AH1112" s="23" t="n">
        <v>1</v>
      </c>
      <c r="AI1112" s="23" t="n">
        <v>0.2</v>
      </c>
      <c r="AJ1112" s="23" t="n">
        <v>0.754</v>
      </c>
      <c r="AK1112" s="23" t="n">
        <v>0.2</v>
      </c>
      <c r="AL1112" s="23" t="n">
        <v>0.3</v>
      </c>
      <c r="AM1112" s="16" t="n">
        <f aca="false">COUNTIFS($D$2:$D$2501,D1112,$G$2:$G$2501,"&gt;"&amp;G1112)+COUNTIFS($D$2:D1112,D1112,$G$2:G1112,G1112)</f>
        <v>166</v>
      </c>
      <c r="AN1112" s="5" t="str">
        <f aca="false">D1112&amp;"|"&amp;AM1112</f>
        <v>檢索與情資關聯|166</v>
      </c>
    </row>
    <row r="1113" customFormat="false" ht="17.15" hidden="false" customHeight="false" outlineLevel="0" collapsed="false">
      <c r="A1113" s="16" t="n">
        <f aca="false">RANK(G1113,$G$2:$G$2501)+COUNTIF($G$2:G1113,G1113)-1</f>
        <v>1112</v>
      </c>
      <c r="B1113" s="11" t="s">
        <v>2811</v>
      </c>
      <c r="C1113" s="11" t="s">
        <v>2812</v>
      </c>
      <c r="D1113" s="5" t="s">
        <v>56</v>
      </c>
      <c r="E1113" s="5" t="s">
        <v>57</v>
      </c>
      <c r="F1113" s="5"/>
      <c r="G1113" s="22" t="n">
        <f aca="false">ROUND(SUM(I1113:P1113),3)</f>
        <v>64.086</v>
      </c>
      <c r="H1113" s="5" t="str">
        <f aca="false">IF(G1113&gt;=評分方法!$C$16,"優先評估",IF(G1113&gt;=評分方法!$C$17,"列入候選",IF(G1113&gt;=評分方法!$C$18,"特定情境","不建議")))</f>
        <v>特定情境</v>
      </c>
      <c r="I1113" s="15" t="n">
        <f aca="false">AE1113*評分方法!$C$5</f>
        <v>25.5</v>
      </c>
      <c r="J1113" s="15" t="n">
        <f aca="false">AF1113*評分方法!$C$6</f>
        <v>0</v>
      </c>
      <c r="K1113" s="15" t="n">
        <f aca="false">AG1113*評分方法!$C$7</f>
        <v>4.95</v>
      </c>
      <c r="L1113" s="15" t="n">
        <f aca="false">AH1113*評分方法!$C$8</f>
        <v>15</v>
      </c>
      <c r="M1113" s="15" t="n">
        <f aca="false">AI1113*評分方法!$C$9</f>
        <v>10</v>
      </c>
      <c r="N1113" s="15" t="n">
        <f aca="false">AJ1113*評分方法!$C$10</f>
        <v>3.636</v>
      </c>
      <c r="O1113" s="15" t="n">
        <f aca="false">AK1113*評分方法!$C$11</f>
        <v>5</v>
      </c>
      <c r="P1113" s="15" t="n">
        <f aca="false">AL1113*評分方法!$C$12</f>
        <v>0</v>
      </c>
      <c r="Q1113" s="6" t="n">
        <v>368401</v>
      </c>
      <c r="R1113" s="6" t="n">
        <v>125008384</v>
      </c>
      <c r="S1113" s="11" t="s">
        <v>238</v>
      </c>
      <c r="T1113" s="11" t="s">
        <v>239</v>
      </c>
      <c r="U1113" s="5" t="s">
        <v>240</v>
      </c>
      <c r="V1113" s="11" t="s">
        <v>324</v>
      </c>
      <c r="W1113" s="5" t="s">
        <v>334</v>
      </c>
      <c r="X1113" s="5" t="s">
        <v>242</v>
      </c>
      <c r="Y1113" s="5"/>
      <c r="Z1113" s="5"/>
      <c r="AA1113" s="11" t="s">
        <v>155</v>
      </c>
      <c r="AB1113" s="5" t="s">
        <v>245</v>
      </c>
      <c r="AC1113" s="5"/>
      <c r="AD1113" s="11" t="s">
        <v>2813</v>
      </c>
      <c r="AE1113" s="23" t="n">
        <v>0.85</v>
      </c>
      <c r="AF1113" s="23" t="n">
        <v>0</v>
      </c>
      <c r="AG1113" s="23" t="n">
        <v>0.33</v>
      </c>
      <c r="AH1113" s="23" t="n">
        <v>1</v>
      </c>
      <c r="AI1113" s="23" t="n">
        <v>1</v>
      </c>
      <c r="AJ1113" s="23" t="n">
        <v>0.3636</v>
      </c>
      <c r="AK1113" s="23" t="n">
        <v>1</v>
      </c>
      <c r="AL1113" s="23" t="n">
        <v>0</v>
      </c>
      <c r="AM1113" s="16" t="n">
        <f aca="false">COUNTIFS($D$2:$D$2501,D1113,$G$2:$G$2501,"&gt;"&amp;G1113)+COUNTIFS($D$2:D1113,D1113,$G$2:G1113,G1113)</f>
        <v>491</v>
      </c>
      <c r="AN1113" s="5" t="str">
        <f aca="false">D1113&amp;"|"&amp;AM1113</f>
        <v>分析與報告生成|491</v>
      </c>
    </row>
    <row r="1114" customFormat="false" ht="17.15" hidden="false" customHeight="false" outlineLevel="0" collapsed="false">
      <c r="A1114" s="16" t="n">
        <f aca="false">RANK(G1114,$G$2:$G$2501)+COUNTIF($G$2:G1114,G1114)-1</f>
        <v>1113</v>
      </c>
      <c r="B1114" s="11" t="s">
        <v>2814</v>
      </c>
      <c r="C1114" s="11" t="s">
        <v>368</v>
      </c>
      <c r="D1114" s="5" t="s">
        <v>74</v>
      </c>
      <c r="E1114" s="5" t="s">
        <v>75</v>
      </c>
      <c r="F1114" s="5"/>
      <c r="G1114" s="22" t="n">
        <f aca="false">ROUND(SUM(I1114:P1114),3)</f>
        <v>64.08</v>
      </c>
      <c r="H1114" s="5" t="str">
        <f aca="false">IF(G1114&gt;=評分方法!$C$16,"優先評估",IF(G1114&gt;=評分方法!$C$17,"列入候選",IF(G1114&gt;=評分方法!$C$18,"特定情境","不建議")))</f>
        <v>特定情境</v>
      </c>
      <c r="I1114" s="15" t="n">
        <f aca="false">AE1114*評分方法!$C$5</f>
        <v>12</v>
      </c>
      <c r="J1114" s="15" t="n">
        <f aca="false">AF1114*評分方法!$C$6</f>
        <v>0</v>
      </c>
      <c r="K1114" s="15" t="n">
        <f aca="false">AG1114*評分方法!$C$7</f>
        <v>15</v>
      </c>
      <c r="L1114" s="15" t="n">
        <f aca="false">AH1114*評分方法!$C$8</f>
        <v>15</v>
      </c>
      <c r="M1114" s="15" t="n">
        <f aca="false">AI1114*評分方法!$C$9</f>
        <v>10</v>
      </c>
      <c r="N1114" s="15" t="n">
        <f aca="false">AJ1114*評分方法!$C$10</f>
        <v>9.58</v>
      </c>
      <c r="O1114" s="15" t="n">
        <f aca="false">AK1114*評分方法!$C$11</f>
        <v>1</v>
      </c>
      <c r="P1114" s="15" t="n">
        <f aca="false">AL1114*評分方法!$C$12</f>
        <v>1.5</v>
      </c>
      <c r="Q1114" s="6" t="n">
        <v>9888574</v>
      </c>
      <c r="R1114" s="6" t="n">
        <v>877960498</v>
      </c>
      <c r="S1114" s="11" t="s">
        <v>238</v>
      </c>
      <c r="T1114" s="11" t="s">
        <v>239</v>
      </c>
      <c r="U1114" s="5" t="s">
        <v>240</v>
      </c>
      <c r="V1114" s="11" t="s">
        <v>261</v>
      </c>
      <c r="W1114" s="5" t="s">
        <v>205</v>
      </c>
      <c r="X1114" s="5" t="s">
        <v>255</v>
      </c>
      <c r="Y1114" s="5"/>
      <c r="Z1114" s="5"/>
      <c r="AA1114" s="11" t="s">
        <v>167</v>
      </c>
      <c r="AB1114" s="5" t="s">
        <v>245</v>
      </c>
      <c r="AC1114" s="5"/>
      <c r="AD1114" s="11" t="s">
        <v>2815</v>
      </c>
      <c r="AE1114" s="23" t="n">
        <v>0.4</v>
      </c>
      <c r="AF1114" s="23" t="n">
        <v>0</v>
      </c>
      <c r="AG1114" s="23" t="n">
        <v>1</v>
      </c>
      <c r="AH1114" s="23" t="n">
        <v>1</v>
      </c>
      <c r="AI1114" s="23" t="n">
        <v>1</v>
      </c>
      <c r="AJ1114" s="23" t="n">
        <v>0.958</v>
      </c>
      <c r="AK1114" s="23" t="n">
        <v>0.2</v>
      </c>
      <c r="AL1114" s="23" t="n">
        <v>0.3</v>
      </c>
      <c r="AM1114" s="16" t="n">
        <f aca="false">COUNTIFS($D$2:$D$2501,D1114,$G$2:$G$2501,"&gt;"&amp;G1114)+COUNTIFS($D$2:D1114,D1114,$G$2:G1114,G1114)</f>
        <v>20</v>
      </c>
      <c r="AN1114" s="5" t="str">
        <f aca="false">D1114&amp;"|"&amp;AM1114</f>
        <v>文件與影像辨識|20</v>
      </c>
    </row>
    <row r="1115" customFormat="false" ht="17.15" hidden="false" customHeight="false" outlineLevel="0" collapsed="false">
      <c r="A1115" s="16" t="n">
        <f aca="false">RANK(G1115,$G$2:$G$2501)+COUNTIF($G$2:G1115,G1115)-1</f>
        <v>1114</v>
      </c>
      <c r="B1115" s="11" t="s">
        <v>2816</v>
      </c>
      <c r="C1115" s="11" t="s">
        <v>1388</v>
      </c>
      <c r="D1115" s="5" t="s">
        <v>56</v>
      </c>
      <c r="E1115" s="5" t="s">
        <v>57</v>
      </c>
      <c r="F1115" s="5"/>
      <c r="G1115" s="22" t="n">
        <f aca="false">ROUND(SUM(I1115:P1115),3)</f>
        <v>64.08</v>
      </c>
      <c r="H1115" s="5" t="str">
        <f aca="false">IF(G1115&gt;=評分方法!$C$16,"優先評估",IF(G1115&gt;=評分方法!$C$17,"列入候選",IF(G1115&gt;=評分方法!$C$18,"特定情境","不建議")))</f>
        <v>特定情境</v>
      </c>
      <c r="I1115" s="15" t="n">
        <f aca="false">AE1115*評分方法!$C$5</f>
        <v>25.5</v>
      </c>
      <c r="J1115" s="15" t="n">
        <f aca="false">AF1115*評分方法!$C$6</f>
        <v>0</v>
      </c>
      <c r="K1115" s="15" t="n">
        <f aca="false">AG1115*評分方法!$C$7</f>
        <v>10.05</v>
      </c>
      <c r="L1115" s="15" t="n">
        <f aca="false">AH1115*評分方法!$C$8</f>
        <v>13.05</v>
      </c>
      <c r="M1115" s="15" t="n">
        <f aca="false">AI1115*評分方法!$C$9</f>
        <v>10</v>
      </c>
      <c r="N1115" s="15" t="n">
        <f aca="false">AJ1115*評分方法!$C$10</f>
        <v>4.48</v>
      </c>
      <c r="O1115" s="15" t="n">
        <f aca="false">AK1115*評分方法!$C$11</f>
        <v>1</v>
      </c>
      <c r="P1115" s="15" t="n">
        <f aca="false">AL1115*評分方法!$C$12</f>
        <v>0</v>
      </c>
      <c r="Q1115" s="6" t="n">
        <v>488555</v>
      </c>
      <c r="R1115" s="6" t="n">
        <v>1100442624</v>
      </c>
      <c r="S1115" s="11" t="s">
        <v>254</v>
      </c>
      <c r="T1115" s="11" t="s">
        <v>239</v>
      </c>
      <c r="U1115" s="5" t="s">
        <v>240</v>
      </c>
      <c r="V1115" s="11" t="s">
        <v>261</v>
      </c>
      <c r="W1115" s="5" t="s">
        <v>207</v>
      </c>
      <c r="X1115" s="5" t="s">
        <v>242</v>
      </c>
      <c r="Y1115" s="11" t="s">
        <v>1483</v>
      </c>
      <c r="Z1115" s="11" t="s">
        <v>244</v>
      </c>
      <c r="AA1115" s="11" t="s">
        <v>155</v>
      </c>
      <c r="AB1115" s="5" t="s">
        <v>245</v>
      </c>
      <c r="AC1115" s="5" t="s">
        <v>246</v>
      </c>
      <c r="AD1115" s="11" t="s">
        <v>2817</v>
      </c>
      <c r="AE1115" s="23" t="n">
        <v>0.85</v>
      </c>
      <c r="AF1115" s="23" t="n">
        <v>0</v>
      </c>
      <c r="AG1115" s="23" t="n">
        <v>0.67</v>
      </c>
      <c r="AH1115" s="23" t="n">
        <v>0.87</v>
      </c>
      <c r="AI1115" s="23" t="n">
        <v>1</v>
      </c>
      <c r="AJ1115" s="23" t="n">
        <v>0.448</v>
      </c>
      <c r="AK1115" s="23" t="n">
        <v>0.2</v>
      </c>
      <c r="AL1115" s="23" t="n">
        <v>0</v>
      </c>
      <c r="AM1115" s="16" t="n">
        <f aca="false">COUNTIFS($D$2:$D$2501,D1115,$G$2:$G$2501,"&gt;"&amp;G1115)+COUNTIFS($D$2:D1115,D1115,$G$2:G1115,G1115)</f>
        <v>492</v>
      </c>
      <c r="AN1115" s="5" t="str">
        <f aca="false">D1115&amp;"|"&amp;AM1115</f>
        <v>分析與報告生成|492</v>
      </c>
    </row>
    <row r="1116" customFormat="false" ht="17.15" hidden="false" customHeight="false" outlineLevel="0" collapsed="false">
      <c r="A1116" s="16" t="n">
        <f aca="false">RANK(G1116,$G$2:$G$2501)+COUNTIF($G$2:G1116,G1116)-1</f>
        <v>1115</v>
      </c>
      <c r="B1116" s="11" t="s">
        <v>2818</v>
      </c>
      <c r="C1116" s="11" t="s">
        <v>2819</v>
      </c>
      <c r="D1116" s="5" t="s">
        <v>54</v>
      </c>
      <c r="E1116" s="5" t="s">
        <v>55</v>
      </c>
      <c r="F1116" s="5"/>
      <c r="G1116" s="22" t="n">
        <f aca="false">ROUND(SUM(I1116:P1116),3)</f>
        <v>64.078</v>
      </c>
      <c r="H1116" s="5" t="str">
        <f aca="false">IF(G1116&gt;=評分方法!$C$16,"優先評估",IF(G1116&gt;=評分方法!$C$17,"列入候選",IF(G1116&gt;=評分方法!$C$18,"特定情境","不建議")))</f>
        <v>特定情境</v>
      </c>
      <c r="I1116" s="15" t="n">
        <f aca="false">AE1116*評分方法!$C$5</f>
        <v>27</v>
      </c>
      <c r="J1116" s="15" t="n">
        <f aca="false">AF1116*評分方法!$C$6</f>
        <v>0</v>
      </c>
      <c r="K1116" s="15" t="n">
        <f aca="false">AG1116*評分方法!$C$7</f>
        <v>4.95</v>
      </c>
      <c r="L1116" s="15" t="n">
        <f aca="false">AH1116*評分方法!$C$8</f>
        <v>15</v>
      </c>
      <c r="M1116" s="15" t="n">
        <f aca="false">AI1116*評分方法!$C$9</f>
        <v>10</v>
      </c>
      <c r="N1116" s="15" t="n">
        <f aca="false">AJ1116*評分方法!$C$10</f>
        <v>2.128</v>
      </c>
      <c r="O1116" s="15" t="n">
        <f aca="false">AK1116*評分方法!$C$11</f>
        <v>5</v>
      </c>
      <c r="P1116" s="15" t="n">
        <f aca="false">AL1116*評分方法!$C$12</f>
        <v>0</v>
      </c>
      <c r="Q1116" s="6" t="n">
        <v>218177</v>
      </c>
      <c r="R1116" s="6" t="n">
        <v>559890432</v>
      </c>
      <c r="S1116" s="11" t="s">
        <v>238</v>
      </c>
      <c r="T1116" s="11" t="s">
        <v>278</v>
      </c>
      <c r="U1116" s="5" t="s">
        <v>240</v>
      </c>
      <c r="V1116" s="11" t="s">
        <v>261</v>
      </c>
      <c r="W1116" s="5" t="s">
        <v>334</v>
      </c>
      <c r="X1116" s="5" t="s">
        <v>242</v>
      </c>
      <c r="Y1116" s="11" t="s">
        <v>290</v>
      </c>
      <c r="Z1116" s="11" t="s">
        <v>270</v>
      </c>
      <c r="AA1116" s="11" t="s">
        <v>153</v>
      </c>
      <c r="AB1116" s="5" t="s">
        <v>245</v>
      </c>
      <c r="AC1116" s="5"/>
      <c r="AD1116" s="11" t="s">
        <v>2820</v>
      </c>
      <c r="AE1116" s="23" t="n">
        <v>0.9</v>
      </c>
      <c r="AF1116" s="23" t="n">
        <v>0</v>
      </c>
      <c r="AG1116" s="23" t="n">
        <v>0.33</v>
      </c>
      <c r="AH1116" s="23" t="n">
        <v>1</v>
      </c>
      <c r="AI1116" s="23" t="n">
        <v>1</v>
      </c>
      <c r="AJ1116" s="23" t="n">
        <v>0.2128</v>
      </c>
      <c r="AK1116" s="23" t="n">
        <v>1</v>
      </c>
      <c r="AL1116" s="23" t="n">
        <v>0</v>
      </c>
      <c r="AM1116" s="16" t="n">
        <f aca="false">COUNTIFS($D$2:$D$2501,D1116,$G$2:$G$2501,"&gt;"&amp;G1116)+COUNTIFS($D$2:D1116,D1116,$G$2:G1116,G1116)</f>
        <v>167</v>
      </c>
      <c r="AN1116" s="5" t="str">
        <f aca="false">D1116&amp;"|"&amp;AM1116</f>
        <v>檢索與情資關聯|167</v>
      </c>
    </row>
    <row r="1117" customFormat="false" ht="17.15" hidden="false" customHeight="false" outlineLevel="0" collapsed="false">
      <c r="A1117" s="16" t="n">
        <f aca="false">RANK(G1117,$G$2:$G$2501)+COUNTIF($G$2:G1117,G1117)-1</f>
        <v>1116</v>
      </c>
      <c r="B1117" s="11" t="s">
        <v>2821</v>
      </c>
      <c r="C1117" s="11" t="s">
        <v>1111</v>
      </c>
      <c r="D1117" s="5" t="s">
        <v>56</v>
      </c>
      <c r="E1117" s="5" t="s">
        <v>57</v>
      </c>
      <c r="F1117" s="5"/>
      <c r="G1117" s="22" t="n">
        <f aca="false">ROUND(SUM(I1117:P1117),3)</f>
        <v>64.074</v>
      </c>
      <c r="H1117" s="5" t="str">
        <f aca="false">IF(G1117&gt;=評分方法!$C$16,"優先評估",IF(G1117&gt;=評分方法!$C$17,"列入候選",IF(G1117&gt;=評分方法!$C$18,"特定情境","不建議")))</f>
        <v>特定情境</v>
      </c>
      <c r="I1117" s="15" t="n">
        <f aca="false">AE1117*評分方法!$C$5</f>
        <v>25.5</v>
      </c>
      <c r="J1117" s="15" t="n">
        <f aca="false">AF1117*評分方法!$C$6</f>
        <v>0</v>
      </c>
      <c r="K1117" s="15" t="n">
        <f aca="false">AG1117*評分方法!$C$7</f>
        <v>10.05</v>
      </c>
      <c r="L1117" s="15" t="n">
        <f aca="false">AH1117*評分方法!$C$8</f>
        <v>9</v>
      </c>
      <c r="M1117" s="15" t="n">
        <f aca="false">AI1117*評分方法!$C$9</f>
        <v>10</v>
      </c>
      <c r="N1117" s="15" t="n">
        <f aca="false">AJ1117*評分方法!$C$10</f>
        <v>7.024</v>
      </c>
      <c r="O1117" s="15" t="n">
        <f aca="false">AK1117*評分方法!$C$11</f>
        <v>2.5</v>
      </c>
      <c r="P1117" s="15" t="n">
        <f aca="false">AL1117*評分方法!$C$12</f>
        <v>0</v>
      </c>
      <c r="Q1117" s="6" t="n">
        <v>929267</v>
      </c>
      <c r="R1117" s="6" t="n">
        <v>27436247664</v>
      </c>
      <c r="S1117" s="11" t="s">
        <v>389</v>
      </c>
      <c r="T1117" s="11" t="s">
        <v>239</v>
      </c>
      <c r="U1117" s="5" t="s">
        <v>240</v>
      </c>
      <c r="V1117" s="11" t="s">
        <v>261</v>
      </c>
      <c r="W1117" s="5" t="s">
        <v>207</v>
      </c>
      <c r="X1117" s="5" t="s">
        <v>242</v>
      </c>
      <c r="Y1117" s="11" t="s">
        <v>1344</v>
      </c>
      <c r="Z1117" s="11" t="s">
        <v>244</v>
      </c>
      <c r="AA1117" s="11" t="s">
        <v>156</v>
      </c>
      <c r="AB1117" s="5" t="s">
        <v>245</v>
      </c>
      <c r="AC1117" s="5" t="s">
        <v>246</v>
      </c>
      <c r="AD1117" s="11" t="s">
        <v>2822</v>
      </c>
      <c r="AE1117" s="23" t="n">
        <v>0.85</v>
      </c>
      <c r="AF1117" s="23" t="n">
        <v>0</v>
      </c>
      <c r="AG1117" s="23" t="n">
        <v>0.67</v>
      </c>
      <c r="AH1117" s="23" t="n">
        <v>0.6</v>
      </c>
      <c r="AI1117" s="23" t="n">
        <v>1</v>
      </c>
      <c r="AJ1117" s="23" t="n">
        <v>0.7024</v>
      </c>
      <c r="AK1117" s="23" t="n">
        <v>0.5</v>
      </c>
      <c r="AL1117" s="23" t="n">
        <v>0</v>
      </c>
      <c r="AM1117" s="16" t="n">
        <f aca="false">COUNTIFS($D$2:$D$2501,D1117,$G$2:$G$2501,"&gt;"&amp;G1117)+COUNTIFS($D$2:D1117,D1117,$G$2:G1117,G1117)</f>
        <v>493</v>
      </c>
      <c r="AN1117" s="5" t="str">
        <f aca="false">D1117&amp;"|"&amp;AM1117</f>
        <v>分析與報告生成|493</v>
      </c>
    </row>
    <row r="1118" customFormat="false" ht="17.15" hidden="false" customHeight="false" outlineLevel="0" collapsed="false">
      <c r="A1118" s="16" t="n">
        <f aca="false">RANK(G1118,$G$2:$G$2501)+COUNTIF($G$2:G1118,G1118)-1</f>
        <v>1117</v>
      </c>
      <c r="B1118" s="11" t="s">
        <v>2823</v>
      </c>
      <c r="C1118" s="11" t="s">
        <v>368</v>
      </c>
      <c r="D1118" s="5" t="s">
        <v>74</v>
      </c>
      <c r="E1118" s="5" t="s">
        <v>75</v>
      </c>
      <c r="F1118" s="5"/>
      <c r="G1118" s="22" t="n">
        <f aca="false">ROUND(SUM(I1118:P1118),3)</f>
        <v>64.068</v>
      </c>
      <c r="H1118" s="5" t="str">
        <f aca="false">IF(G1118&gt;=評分方法!$C$16,"優先評估",IF(G1118&gt;=評分方法!$C$17,"列入候選",IF(G1118&gt;=評分方法!$C$18,"特定情境","不建議")))</f>
        <v>特定情境</v>
      </c>
      <c r="I1118" s="15" t="n">
        <f aca="false">AE1118*評分方法!$C$5</f>
        <v>12</v>
      </c>
      <c r="J1118" s="15" t="n">
        <f aca="false">AF1118*評分方法!$C$6</f>
        <v>0</v>
      </c>
      <c r="K1118" s="15" t="n">
        <f aca="false">AG1118*評分方法!$C$7</f>
        <v>15</v>
      </c>
      <c r="L1118" s="15" t="n">
        <f aca="false">AH1118*評分方法!$C$8</f>
        <v>15</v>
      </c>
      <c r="M1118" s="15" t="n">
        <f aca="false">AI1118*評分方法!$C$9</f>
        <v>10</v>
      </c>
      <c r="N1118" s="15" t="n">
        <f aca="false">AJ1118*評分方法!$C$10</f>
        <v>9.568</v>
      </c>
      <c r="O1118" s="15" t="n">
        <f aca="false">AK1118*評分方法!$C$11</f>
        <v>1</v>
      </c>
      <c r="P1118" s="15" t="n">
        <f aca="false">AL1118*評分方法!$C$12</f>
        <v>1.5</v>
      </c>
      <c r="Q1118" s="6" t="n">
        <v>9673268</v>
      </c>
      <c r="R1118" s="6" t="n">
        <v>203155970</v>
      </c>
      <c r="S1118" s="11" t="s">
        <v>238</v>
      </c>
      <c r="T1118" s="11" t="s">
        <v>239</v>
      </c>
      <c r="U1118" s="5" t="s">
        <v>240</v>
      </c>
      <c r="V1118" s="11" t="s">
        <v>324</v>
      </c>
      <c r="W1118" s="5" t="s">
        <v>205</v>
      </c>
      <c r="X1118" s="5" t="s">
        <v>255</v>
      </c>
      <c r="Y1118" s="5"/>
      <c r="Z1118" s="5"/>
      <c r="AA1118" s="11" t="s">
        <v>167</v>
      </c>
      <c r="AB1118" s="5" t="s">
        <v>245</v>
      </c>
      <c r="AC1118" s="5"/>
      <c r="AD1118" s="11" t="s">
        <v>2824</v>
      </c>
      <c r="AE1118" s="23" t="n">
        <v>0.4</v>
      </c>
      <c r="AF1118" s="23" t="n">
        <v>0</v>
      </c>
      <c r="AG1118" s="23" t="n">
        <v>1</v>
      </c>
      <c r="AH1118" s="23" t="n">
        <v>1</v>
      </c>
      <c r="AI1118" s="23" t="n">
        <v>1</v>
      </c>
      <c r="AJ1118" s="23" t="n">
        <v>0.9568</v>
      </c>
      <c r="AK1118" s="23" t="n">
        <v>0.2</v>
      </c>
      <c r="AL1118" s="23" t="n">
        <v>0.3</v>
      </c>
      <c r="AM1118" s="16" t="n">
        <f aca="false">COUNTIFS($D$2:$D$2501,D1118,$G$2:$G$2501,"&gt;"&amp;G1118)+COUNTIFS($D$2:D1118,D1118,$G$2:G1118,G1118)</f>
        <v>21</v>
      </c>
      <c r="AN1118" s="5" t="str">
        <f aca="false">D1118&amp;"|"&amp;AM1118</f>
        <v>文件與影像辨識|21</v>
      </c>
    </row>
    <row r="1119" customFormat="false" ht="17.15" hidden="false" customHeight="false" outlineLevel="0" collapsed="false">
      <c r="A1119" s="16" t="n">
        <f aca="false">RANK(G1119,$G$2:$G$2501)+COUNTIF($G$2:G1119,G1119)-1</f>
        <v>1118</v>
      </c>
      <c r="B1119" s="11" t="s">
        <v>2825</v>
      </c>
      <c r="C1119" s="11" t="s">
        <v>327</v>
      </c>
      <c r="D1119" s="5" t="s">
        <v>78</v>
      </c>
      <c r="E1119" s="5" t="s">
        <v>79</v>
      </c>
      <c r="F1119" s="5"/>
      <c r="G1119" s="22" t="n">
        <f aca="false">ROUND(SUM(I1119:P1119),3)</f>
        <v>64.04</v>
      </c>
      <c r="H1119" s="5" t="str">
        <f aca="false">IF(G1119&gt;=評分方法!$C$16,"優先評估",IF(G1119&gt;=評分方法!$C$17,"列入候選",IF(G1119&gt;=評分方法!$C$18,"特定情境","不建議")))</f>
        <v>特定情境</v>
      </c>
      <c r="I1119" s="15" t="n">
        <f aca="false">AE1119*評分方法!$C$5</f>
        <v>9</v>
      </c>
      <c r="J1119" s="15" t="n">
        <f aca="false">AF1119*評分方法!$C$6</f>
        <v>0</v>
      </c>
      <c r="K1119" s="15" t="n">
        <f aca="false">AG1119*評分方法!$C$7</f>
        <v>15</v>
      </c>
      <c r="L1119" s="15" t="n">
        <f aca="false">AH1119*評分方法!$C$8</f>
        <v>15</v>
      </c>
      <c r="M1119" s="15" t="n">
        <f aca="false">AI1119*評分方法!$C$9</f>
        <v>6</v>
      </c>
      <c r="N1119" s="15" t="n">
        <f aca="false">AJ1119*評分方法!$C$10</f>
        <v>9.04</v>
      </c>
      <c r="O1119" s="15" t="n">
        <f aca="false">AK1119*評分方法!$C$11</f>
        <v>5</v>
      </c>
      <c r="P1119" s="15" t="n">
        <f aca="false">AL1119*評分方法!$C$12</f>
        <v>5</v>
      </c>
      <c r="Q1119" s="6" t="n">
        <v>4020348</v>
      </c>
      <c r="R1119" s="6" t="n">
        <v>637997088</v>
      </c>
      <c r="S1119" s="11" t="s">
        <v>238</v>
      </c>
      <c r="T1119" s="11" t="s">
        <v>185</v>
      </c>
      <c r="U1119" s="5" t="s">
        <v>260</v>
      </c>
      <c r="V1119" s="11" t="s">
        <v>2826</v>
      </c>
      <c r="W1119" s="5" t="s">
        <v>205</v>
      </c>
      <c r="X1119" s="5" t="s">
        <v>284</v>
      </c>
      <c r="Y1119" s="5"/>
      <c r="Z1119" s="5"/>
      <c r="AA1119" s="11" t="s">
        <v>175</v>
      </c>
      <c r="AB1119" s="5" t="s">
        <v>245</v>
      </c>
      <c r="AC1119" s="5" t="s">
        <v>262</v>
      </c>
      <c r="AD1119" s="11" t="s">
        <v>2827</v>
      </c>
      <c r="AE1119" s="23" t="n">
        <v>0.3</v>
      </c>
      <c r="AF1119" s="23" t="n">
        <v>0</v>
      </c>
      <c r="AG1119" s="23" t="n">
        <v>1</v>
      </c>
      <c r="AH1119" s="23" t="n">
        <v>1</v>
      </c>
      <c r="AI1119" s="23" t="n">
        <v>0.6</v>
      </c>
      <c r="AJ1119" s="23" t="n">
        <v>0.904</v>
      </c>
      <c r="AK1119" s="23" t="n">
        <v>1</v>
      </c>
      <c r="AL1119" s="23" t="n">
        <v>1</v>
      </c>
      <c r="AM1119" s="16" t="n">
        <f aca="false">COUNTIFS($D$2:$D$2501,D1119,$G$2:$G$2501,"&gt;"&amp;G1119)+COUNTIFS($D$2:D1119,D1119,$G$2:G1119,G1119)</f>
        <v>11</v>
      </c>
      <c r="AN1119" s="5" t="str">
        <f aca="false">D1119&amp;"|"&amp;AM1119</f>
        <v>語音分析|11</v>
      </c>
    </row>
    <row r="1120" customFormat="false" ht="17.15" hidden="false" customHeight="false" outlineLevel="0" collapsed="false">
      <c r="A1120" s="16" t="n">
        <f aca="false">RANK(G1120,$G$2:$G$2501)+COUNTIF($G$2:G1120,G1120)-1</f>
        <v>1119</v>
      </c>
      <c r="B1120" s="11" t="s">
        <v>2828</v>
      </c>
      <c r="C1120" s="11" t="s">
        <v>2829</v>
      </c>
      <c r="D1120" s="5" t="s">
        <v>56</v>
      </c>
      <c r="E1120" s="5" t="s">
        <v>57</v>
      </c>
      <c r="F1120" s="5"/>
      <c r="G1120" s="22" t="n">
        <f aca="false">ROUND(SUM(I1120:P1120),3)</f>
        <v>64.03</v>
      </c>
      <c r="H1120" s="5" t="str">
        <f aca="false">IF(G1120&gt;=評分方法!$C$16,"優先評估",IF(G1120&gt;=評分方法!$C$17,"列入候選",IF(G1120&gt;=評分方法!$C$18,"特定情境","不建議")))</f>
        <v>特定情境</v>
      </c>
      <c r="I1120" s="15" t="n">
        <f aca="false">AE1120*評分方法!$C$5</f>
        <v>25.5</v>
      </c>
      <c r="J1120" s="15" t="n">
        <f aca="false">AF1120*評分方法!$C$6</f>
        <v>0</v>
      </c>
      <c r="K1120" s="15" t="n">
        <f aca="false">AG1120*評分方法!$C$7</f>
        <v>4.95</v>
      </c>
      <c r="L1120" s="15" t="n">
        <f aca="false">AH1120*評分方法!$C$8</f>
        <v>15</v>
      </c>
      <c r="M1120" s="15" t="n">
        <f aca="false">AI1120*評分方法!$C$9</f>
        <v>10</v>
      </c>
      <c r="N1120" s="15" t="n">
        <f aca="false">AJ1120*評分方法!$C$10</f>
        <v>7.58</v>
      </c>
      <c r="O1120" s="15" t="n">
        <f aca="false">AK1120*評分方法!$C$11</f>
        <v>1</v>
      </c>
      <c r="P1120" s="15" t="n">
        <f aca="false">AL1120*評分方法!$C$12</f>
        <v>0</v>
      </c>
      <c r="Q1120" s="6" t="n">
        <v>1207939</v>
      </c>
      <c r="R1120" s="6" t="n">
        <v>275102976</v>
      </c>
      <c r="S1120" s="11" t="s">
        <v>238</v>
      </c>
      <c r="T1120" s="11" t="s">
        <v>1636</v>
      </c>
      <c r="U1120" s="5" t="s">
        <v>240</v>
      </c>
      <c r="V1120" s="11" t="s">
        <v>324</v>
      </c>
      <c r="W1120" s="5" t="s">
        <v>334</v>
      </c>
      <c r="X1120" s="5" t="s">
        <v>242</v>
      </c>
      <c r="Y1120" s="5"/>
      <c r="Z1120" s="5"/>
      <c r="AA1120" s="11" t="s">
        <v>155</v>
      </c>
      <c r="AB1120" s="5" t="s">
        <v>245</v>
      </c>
      <c r="AC1120" s="5"/>
      <c r="AD1120" s="11" t="s">
        <v>2830</v>
      </c>
      <c r="AE1120" s="23" t="n">
        <v>0.85</v>
      </c>
      <c r="AF1120" s="23" t="n">
        <v>0</v>
      </c>
      <c r="AG1120" s="23" t="n">
        <v>0.33</v>
      </c>
      <c r="AH1120" s="23" t="n">
        <v>1</v>
      </c>
      <c r="AI1120" s="23" t="n">
        <v>1</v>
      </c>
      <c r="AJ1120" s="23" t="n">
        <v>0.758</v>
      </c>
      <c r="AK1120" s="23" t="n">
        <v>0.2</v>
      </c>
      <c r="AL1120" s="23" t="n">
        <v>0</v>
      </c>
      <c r="AM1120" s="16" t="n">
        <f aca="false">COUNTIFS($D$2:$D$2501,D1120,$G$2:$G$2501,"&gt;"&amp;G1120)+COUNTIFS($D$2:D1120,D1120,$G$2:G1120,G1120)</f>
        <v>494</v>
      </c>
      <c r="AN1120" s="5" t="str">
        <f aca="false">D1120&amp;"|"&amp;AM1120</f>
        <v>分析與報告生成|494</v>
      </c>
    </row>
    <row r="1121" customFormat="false" ht="17.15" hidden="false" customHeight="false" outlineLevel="0" collapsed="false">
      <c r="A1121" s="16" t="n">
        <f aca="false">RANK(G1121,$G$2:$G$2501)+COUNTIF($G$2:G1121,G1121)-1</f>
        <v>1120</v>
      </c>
      <c r="B1121" s="11" t="s">
        <v>2831</v>
      </c>
      <c r="C1121" s="11" t="s">
        <v>2693</v>
      </c>
      <c r="D1121" s="5" t="s">
        <v>74</v>
      </c>
      <c r="E1121" s="5" t="s">
        <v>75</v>
      </c>
      <c r="F1121" s="5"/>
      <c r="G1121" s="22" t="n">
        <f aca="false">ROUND(SUM(I1121:P1121),3)</f>
        <v>64.028</v>
      </c>
      <c r="H1121" s="5" t="str">
        <f aca="false">IF(G1121&gt;=評分方法!$C$16,"優先評估",IF(G1121&gt;=評分方法!$C$17,"列入候選",IF(G1121&gt;=評分方法!$C$18,"特定情境","不建議")))</f>
        <v>特定情境</v>
      </c>
      <c r="I1121" s="15" t="n">
        <f aca="false">AE1121*評分方法!$C$5</f>
        <v>10.5</v>
      </c>
      <c r="J1121" s="15" t="n">
        <f aca="false">AF1121*評分方法!$C$6</f>
        <v>0</v>
      </c>
      <c r="K1121" s="15" t="n">
        <f aca="false">AG1121*評分方法!$C$7</f>
        <v>15</v>
      </c>
      <c r="L1121" s="15" t="n">
        <f aca="false">AH1121*評分方法!$C$8</f>
        <v>15</v>
      </c>
      <c r="M1121" s="15" t="n">
        <f aca="false">AI1121*評分方法!$C$9</f>
        <v>10</v>
      </c>
      <c r="N1121" s="15" t="n">
        <f aca="false">AJ1121*評分方法!$C$10</f>
        <v>9.528</v>
      </c>
      <c r="O1121" s="15" t="n">
        <f aca="false">AK1121*評分方法!$C$11</f>
        <v>2.5</v>
      </c>
      <c r="P1121" s="15" t="n">
        <f aca="false">AL1121*評分方法!$C$12</f>
        <v>1.5</v>
      </c>
      <c r="Q1121" s="6" t="n">
        <v>9162641</v>
      </c>
      <c r="R1121" s="6" t="n">
        <v>21612360</v>
      </c>
      <c r="S1121" s="11" t="s">
        <v>238</v>
      </c>
      <c r="T1121" s="11" t="s">
        <v>239</v>
      </c>
      <c r="U1121" s="5" t="s">
        <v>240</v>
      </c>
      <c r="V1121" s="11" t="s">
        <v>324</v>
      </c>
      <c r="W1121" s="5" t="s">
        <v>205</v>
      </c>
      <c r="X1121" s="5" t="s">
        <v>255</v>
      </c>
      <c r="Y1121" s="5"/>
      <c r="Z1121" s="5"/>
      <c r="AA1121" s="11" t="s">
        <v>172</v>
      </c>
      <c r="AB1121" s="5" t="s">
        <v>245</v>
      </c>
      <c r="AC1121" s="5"/>
      <c r="AD1121" s="11" t="s">
        <v>2832</v>
      </c>
      <c r="AE1121" s="23" t="n">
        <v>0.35</v>
      </c>
      <c r="AF1121" s="23" t="n">
        <v>0</v>
      </c>
      <c r="AG1121" s="23" t="n">
        <v>1</v>
      </c>
      <c r="AH1121" s="23" t="n">
        <v>1</v>
      </c>
      <c r="AI1121" s="23" t="n">
        <v>1</v>
      </c>
      <c r="AJ1121" s="23" t="n">
        <v>0.9528</v>
      </c>
      <c r="AK1121" s="23" t="n">
        <v>0.5</v>
      </c>
      <c r="AL1121" s="23" t="n">
        <v>0.3</v>
      </c>
      <c r="AM1121" s="16" t="n">
        <f aca="false">COUNTIFS($D$2:$D$2501,D1121,$G$2:$G$2501,"&gt;"&amp;G1121)+COUNTIFS($D$2:D1121,D1121,$G$2:G1121,G1121)</f>
        <v>22</v>
      </c>
      <c r="AN1121" s="5" t="str">
        <f aca="false">D1121&amp;"|"&amp;AM1121</f>
        <v>文件與影像辨識|22</v>
      </c>
    </row>
    <row r="1122" customFormat="false" ht="17.15" hidden="false" customHeight="false" outlineLevel="0" collapsed="false">
      <c r="A1122" s="16" t="n">
        <f aca="false">RANK(G1122,$G$2:$G$2501)+COUNTIF($G$2:G1122,G1122)-1</f>
        <v>1121</v>
      </c>
      <c r="B1122" s="11" t="s">
        <v>2833</v>
      </c>
      <c r="C1122" s="11" t="s">
        <v>2309</v>
      </c>
      <c r="D1122" s="5" t="s">
        <v>74</v>
      </c>
      <c r="E1122" s="5" t="s">
        <v>75</v>
      </c>
      <c r="F1122" s="5"/>
      <c r="G1122" s="22" t="n">
        <f aca="false">ROUND(SUM(I1122:P1122),3)</f>
        <v>64.012</v>
      </c>
      <c r="H1122" s="5" t="str">
        <f aca="false">IF(G1122&gt;=評分方法!$C$16,"優先評估",IF(G1122&gt;=評分方法!$C$17,"列入候選",IF(G1122&gt;=評分方法!$C$18,"特定情境","不建議")))</f>
        <v>特定情境</v>
      </c>
      <c r="I1122" s="15" t="n">
        <f aca="false">AE1122*評分方法!$C$5</f>
        <v>12</v>
      </c>
      <c r="J1122" s="15" t="n">
        <f aca="false">AF1122*評分方法!$C$6</f>
        <v>0</v>
      </c>
      <c r="K1122" s="15" t="n">
        <f aca="false">AG1122*評分方法!$C$7</f>
        <v>15</v>
      </c>
      <c r="L1122" s="15" t="n">
        <f aca="false">AH1122*評分方法!$C$8</f>
        <v>15</v>
      </c>
      <c r="M1122" s="15" t="n">
        <f aca="false">AI1122*評分方法!$C$9</f>
        <v>10</v>
      </c>
      <c r="N1122" s="15" t="n">
        <f aca="false">AJ1122*評分方法!$C$10</f>
        <v>9.512</v>
      </c>
      <c r="O1122" s="15" t="n">
        <f aca="false">AK1122*評分方法!$C$11</f>
        <v>1</v>
      </c>
      <c r="P1122" s="15" t="n">
        <f aca="false">AL1122*評分方法!$C$12</f>
        <v>1.5</v>
      </c>
      <c r="Q1122" s="6" t="n">
        <v>9036613</v>
      </c>
      <c r="R1122" s="6" t="n">
        <v>427616846</v>
      </c>
      <c r="S1122" s="11" t="s">
        <v>238</v>
      </c>
      <c r="T1122" s="11" t="s">
        <v>278</v>
      </c>
      <c r="U1122" s="5" t="s">
        <v>240</v>
      </c>
      <c r="V1122" s="11" t="s">
        <v>324</v>
      </c>
      <c r="W1122" s="5" t="s">
        <v>205</v>
      </c>
      <c r="X1122" s="5" t="s">
        <v>255</v>
      </c>
      <c r="Y1122" s="5"/>
      <c r="Z1122" s="5"/>
      <c r="AA1122" s="11" t="s">
        <v>167</v>
      </c>
      <c r="AB1122" s="5" t="s">
        <v>245</v>
      </c>
      <c r="AC1122" s="5"/>
      <c r="AD1122" s="11" t="s">
        <v>2834</v>
      </c>
      <c r="AE1122" s="23" t="n">
        <v>0.4</v>
      </c>
      <c r="AF1122" s="23" t="n">
        <v>0</v>
      </c>
      <c r="AG1122" s="23" t="n">
        <v>1</v>
      </c>
      <c r="AH1122" s="23" t="n">
        <v>1</v>
      </c>
      <c r="AI1122" s="23" t="n">
        <v>1</v>
      </c>
      <c r="AJ1122" s="23" t="n">
        <v>0.9512</v>
      </c>
      <c r="AK1122" s="23" t="n">
        <v>0.2</v>
      </c>
      <c r="AL1122" s="23" t="n">
        <v>0.3</v>
      </c>
      <c r="AM1122" s="16" t="n">
        <f aca="false">COUNTIFS($D$2:$D$2501,D1122,$G$2:$G$2501,"&gt;"&amp;G1122)+COUNTIFS($D$2:D1122,D1122,$G$2:G1122,G1122)</f>
        <v>23</v>
      </c>
      <c r="AN1122" s="5" t="str">
        <f aca="false">D1122&amp;"|"&amp;AM1122</f>
        <v>文件與影像辨識|23</v>
      </c>
    </row>
    <row r="1123" customFormat="false" ht="17.15" hidden="false" customHeight="false" outlineLevel="0" collapsed="false">
      <c r="A1123" s="16" t="n">
        <f aca="false">RANK(G1123,$G$2:$G$2501)+COUNTIF($G$2:G1123,G1123)-1</f>
        <v>1122</v>
      </c>
      <c r="B1123" s="11" t="s">
        <v>2835</v>
      </c>
      <c r="C1123" s="11" t="s">
        <v>1111</v>
      </c>
      <c r="D1123" s="5" t="s">
        <v>56</v>
      </c>
      <c r="E1123" s="5" t="s">
        <v>57</v>
      </c>
      <c r="F1123" s="5"/>
      <c r="G1123" s="22" t="n">
        <f aca="false">ROUND(SUM(I1123:P1123),3)</f>
        <v>63.992</v>
      </c>
      <c r="H1123" s="5" t="str">
        <f aca="false">IF(G1123&gt;=評分方法!$C$16,"優先評估",IF(G1123&gt;=評分方法!$C$17,"列入候選",IF(G1123&gt;=評分方法!$C$18,"特定情境","不建議")))</f>
        <v>特定情境</v>
      </c>
      <c r="I1123" s="15" t="n">
        <f aca="false">AE1123*評分方法!$C$5</f>
        <v>25.5</v>
      </c>
      <c r="J1123" s="15" t="n">
        <f aca="false">AF1123*評分方法!$C$6</f>
        <v>0</v>
      </c>
      <c r="K1123" s="15" t="n">
        <f aca="false">AG1123*評分方法!$C$7</f>
        <v>10.05</v>
      </c>
      <c r="L1123" s="15" t="n">
        <f aca="false">AH1123*評分方法!$C$8</f>
        <v>13.05</v>
      </c>
      <c r="M1123" s="15" t="n">
        <f aca="false">AI1123*評分方法!$C$9</f>
        <v>6</v>
      </c>
      <c r="N1123" s="15" t="n">
        <f aca="false">AJ1123*評分方法!$C$10</f>
        <v>6.892</v>
      </c>
      <c r="O1123" s="15" t="n">
        <f aca="false">AK1123*評分方法!$C$11</f>
        <v>2.5</v>
      </c>
      <c r="P1123" s="15" t="n">
        <f aca="false">AL1123*評分方法!$C$12</f>
        <v>0</v>
      </c>
      <c r="Q1123" s="6" t="n">
        <v>873478</v>
      </c>
      <c r="R1123" s="6" t="n">
        <v>8030261696</v>
      </c>
      <c r="S1123" s="11" t="s">
        <v>254</v>
      </c>
      <c r="T1123" s="11" t="s">
        <v>259</v>
      </c>
      <c r="U1123" s="5" t="s">
        <v>260</v>
      </c>
      <c r="V1123" s="11" t="s">
        <v>261</v>
      </c>
      <c r="W1123" s="5" t="s">
        <v>207</v>
      </c>
      <c r="X1123" s="5" t="s">
        <v>242</v>
      </c>
      <c r="Y1123" s="11" t="s">
        <v>616</v>
      </c>
      <c r="Z1123" s="11" t="s">
        <v>244</v>
      </c>
      <c r="AA1123" s="11" t="s">
        <v>155</v>
      </c>
      <c r="AB1123" s="5" t="s">
        <v>245</v>
      </c>
      <c r="AC1123" s="5" t="s">
        <v>464</v>
      </c>
      <c r="AD1123" s="11" t="s">
        <v>2836</v>
      </c>
      <c r="AE1123" s="23" t="n">
        <v>0.85</v>
      </c>
      <c r="AF1123" s="23" t="n">
        <v>0</v>
      </c>
      <c r="AG1123" s="23" t="n">
        <v>0.67</v>
      </c>
      <c r="AH1123" s="23" t="n">
        <v>0.87</v>
      </c>
      <c r="AI1123" s="23" t="n">
        <v>0.6</v>
      </c>
      <c r="AJ1123" s="23" t="n">
        <v>0.6892</v>
      </c>
      <c r="AK1123" s="23" t="n">
        <v>0.5</v>
      </c>
      <c r="AL1123" s="23" t="n">
        <v>0</v>
      </c>
      <c r="AM1123" s="16" t="n">
        <f aca="false">COUNTIFS($D$2:$D$2501,D1123,$G$2:$G$2501,"&gt;"&amp;G1123)+COUNTIFS($D$2:D1123,D1123,$G$2:G1123,G1123)</f>
        <v>495</v>
      </c>
      <c r="AN1123" s="5" t="str">
        <f aca="false">D1123&amp;"|"&amp;AM1123</f>
        <v>分析與報告生成|495</v>
      </c>
    </row>
    <row r="1124" customFormat="false" ht="17.15" hidden="false" customHeight="false" outlineLevel="0" collapsed="false">
      <c r="A1124" s="16" t="n">
        <f aca="false">RANK(G1124,$G$2:$G$2501)+COUNTIF($G$2:G1124,G1124)-1</f>
        <v>1123</v>
      </c>
      <c r="B1124" s="11" t="s">
        <v>2837</v>
      </c>
      <c r="C1124" s="11" t="s">
        <v>2838</v>
      </c>
      <c r="D1124" s="5" t="s">
        <v>56</v>
      </c>
      <c r="E1124" s="5" t="s">
        <v>57</v>
      </c>
      <c r="F1124" s="5"/>
      <c r="G1124" s="22" t="n">
        <f aca="false">ROUND(SUM(I1124:P1124),3)</f>
        <v>63.968</v>
      </c>
      <c r="H1124" s="5" t="str">
        <f aca="false">IF(G1124&gt;=評分方法!$C$16,"優先評估",IF(G1124&gt;=評分方法!$C$17,"列入候選",IF(G1124&gt;=評分方法!$C$18,"特定情境","不建議")))</f>
        <v>特定情境</v>
      </c>
      <c r="I1124" s="15" t="n">
        <f aca="false">AE1124*評分方法!$C$5</f>
        <v>25.5</v>
      </c>
      <c r="J1124" s="15" t="n">
        <f aca="false">AF1124*評分方法!$C$6</f>
        <v>0</v>
      </c>
      <c r="K1124" s="15" t="n">
        <f aca="false">AG1124*評分方法!$C$7</f>
        <v>4.95</v>
      </c>
      <c r="L1124" s="15" t="n">
        <f aca="false">AH1124*評分方法!$C$8</f>
        <v>13.05</v>
      </c>
      <c r="M1124" s="15" t="n">
        <f aca="false">AI1124*評分方法!$C$9</f>
        <v>10</v>
      </c>
      <c r="N1124" s="15" t="n">
        <f aca="false">AJ1124*評分方法!$C$10</f>
        <v>3.468</v>
      </c>
      <c r="O1124" s="15" t="n">
        <f aca="false">AK1124*評分方法!$C$11</f>
        <v>4</v>
      </c>
      <c r="P1124" s="15" t="n">
        <f aca="false">AL1124*評分方法!$C$12</f>
        <v>3</v>
      </c>
      <c r="Q1124" s="6" t="n">
        <v>349462</v>
      </c>
      <c r="R1124" s="6" t="n">
        <v>3995839008</v>
      </c>
      <c r="S1124" s="11" t="s">
        <v>254</v>
      </c>
      <c r="T1124" s="11" t="s">
        <v>239</v>
      </c>
      <c r="U1124" s="5" t="s">
        <v>240</v>
      </c>
      <c r="V1124" s="11" t="s">
        <v>261</v>
      </c>
      <c r="W1124" s="5" t="s">
        <v>334</v>
      </c>
      <c r="X1124" s="5" t="s">
        <v>371</v>
      </c>
      <c r="Y1124" s="11" t="s">
        <v>422</v>
      </c>
      <c r="Z1124" s="11" t="s">
        <v>244</v>
      </c>
      <c r="AA1124" s="11" t="s">
        <v>156</v>
      </c>
      <c r="AB1124" s="5" t="s">
        <v>245</v>
      </c>
      <c r="AC1124" s="5" t="s">
        <v>246</v>
      </c>
      <c r="AD1124" s="11" t="s">
        <v>2839</v>
      </c>
      <c r="AE1124" s="23" t="n">
        <v>0.85</v>
      </c>
      <c r="AF1124" s="23" t="n">
        <v>0</v>
      </c>
      <c r="AG1124" s="23" t="n">
        <v>0.33</v>
      </c>
      <c r="AH1124" s="23" t="n">
        <v>0.87</v>
      </c>
      <c r="AI1124" s="23" t="n">
        <v>1</v>
      </c>
      <c r="AJ1124" s="23" t="n">
        <v>0.3468</v>
      </c>
      <c r="AK1124" s="23" t="n">
        <v>0.8</v>
      </c>
      <c r="AL1124" s="23" t="n">
        <v>0.6</v>
      </c>
      <c r="AM1124" s="16" t="n">
        <f aca="false">COUNTIFS($D$2:$D$2501,D1124,$G$2:$G$2501,"&gt;"&amp;G1124)+COUNTIFS($D$2:D1124,D1124,$G$2:G1124,G1124)</f>
        <v>496</v>
      </c>
      <c r="AN1124" s="5" t="str">
        <f aca="false">D1124&amp;"|"&amp;AM1124</f>
        <v>分析與報告生成|496</v>
      </c>
    </row>
    <row r="1125" customFormat="false" ht="17.15" hidden="false" customHeight="false" outlineLevel="0" collapsed="false">
      <c r="A1125" s="16" t="n">
        <f aca="false">RANK(G1125,$G$2:$G$2501)+COUNTIF($G$2:G1125,G1125)-1</f>
        <v>1124</v>
      </c>
      <c r="B1125" s="11" t="s">
        <v>2840</v>
      </c>
      <c r="C1125" s="11" t="s">
        <v>891</v>
      </c>
      <c r="D1125" s="5" t="s">
        <v>56</v>
      </c>
      <c r="E1125" s="5" t="s">
        <v>57</v>
      </c>
      <c r="F1125" s="5"/>
      <c r="G1125" s="22" t="n">
        <f aca="false">ROUND(SUM(I1125:P1125),3)</f>
        <v>63.944</v>
      </c>
      <c r="H1125" s="5" t="str">
        <f aca="false">IF(G1125&gt;=評分方法!$C$16,"優先評估",IF(G1125&gt;=評分方法!$C$17,"列入候選",IF(G1125&gt;=評分方法!$C$18,"特定情境","不建議")))</f>
        <v>特定情境</v>
      </c>
      <c r="I1125" s="15" t="n">
        <f aca="false">AE1125*評分方法!$C$5</f>
        <v>25.5</v>
      </c>
      <c r="J1125" s="15" t="n">
        <f aca="false">AF1125*評分方法!$C$6</f>
        <v>0</v>
      </c>
      <c r="K1125" s="15" t="n">
        <f aca="false">AG1125*評分方法!$C$7</f>
        <v>10.05</v>
      </c>
      <c r="L1125" s="15" t="n">
        <f aca="false">AH1125*評分方法!$C$8</f>
        <v>13.05</v>
      </c>
      <c r="M1125" s="15" t="n">
        <f aca="false">AI1125*評分方法!$C$9</f>
        <v>6</v>
      </c>
      <c r="N1125" s="15" t="n">
        <f aca="false">AJ1125*評分方法!$C$10</f>
        <v>3.844</v>
      </c>
      <c r="O1125" s="15" t="n">
        <f aca="false">AK1125*評分方法!$C$11</f>
        <v>2.5</v>
      </c>
      <c r="P1125" s="15" t="n">
        <f aca="false">AL1125*評分方法!$C$12</f>
        <v>3</v>
      </c>
      <c r="Q1125" s="6" t="n">
        <v>396894</v>
      </c>
      <c r="R1125" s="6" t="n">
        <v>3880099328</v>
      </c>
      <c r="S1125" s="11" t="s">
        <v>254</v>
      </c>
      <c r="T1125" s="11" t="s">
        <v>658</v>
      </c>
      <c r="U1125" s="5" t="s">
        <v>260</v>
      </c>
      <c r="V1125" s="11" t="s">
        <v>333</v>
      </c>
      <c r="W1125" s="5" t="s">
        <v>207</v>
      </c>
      <c r="X1125" s="5" t="s">
        <v>371</v>
      </c>
      <c r="Y1125" s="11" t="s">
        <v>868</v>
      </c>
      <c r="Z1125" s="11" t="s">
        <v>244</v>
      </c>
      <c r="AA1125" s="11" t="s">
        <v>156</v>
      </c>
      <c r="AB1125" s="5" t="s">
        <v>245</v>
      </c>
      <c r="AC1125" s="5" t="s">
        <v>464</v>
      </c>
      <c r="AD1125" s="11" t="s">
        <v>2841</v>
      </c>
      <c r="AE1125" s="23" t="n">
        <v>0.85</v>
      </c>
      <c r="AF1125" s="23" t="n">
        <v>0</v>
      </c>
      <c r="AG1125" s="23" t="n">
        <v>0.67</v>
      </c>
      <c r="AH1125" s="23" t="n">
        <v>0.87</v>
      </c>
      <c r="AI1125" s="23" t="n">
        <v>0.6</v>
      </c>
      <c r="AJ1125" s="23" t="n">
        <v>0.3844</v>
      </c>
      <c r="AK1125" s="23" t="n">
        <v>0.5</v>
      </c>
      <c r="AL1125" s="23" t="n">
        <v>0.6</v>
      </c>
      <c r="AM1125" s="16" t="n">
        <f aca="false">COUNTIFS($D$2:$D$2501,D1125,$G$2:$G$2501,"&gt;"&amp;G1125)+COUNTIFS($D$2:D1125,D1125,$G$2:G1125,G1125)</f>
        <v>497</v>
      </c>
      <c r="AN1125" s="5" t="str">
        <f aca="false">D1125&amp;"|"&amp;AM1125</f>
        <v>分析與報告生成|497</v>
      </c>
    </row>
    <row r="1126" customFormat="false" ht="17.15" hidden="false" customHeight="false" outlineLevel="0" collapsed="false">
      <c r="A1126" s="16" t="n">
        <f aca="false">RANK(G1126,$G$2:$G$2501)+COUNTIF($G$2:G1126,G1126)-1</f>
        <v>1125</v>
      </c>
      <c r="B1126" s="11" t="s">
        <v>1116</v>
      </c>
      <c r="C1126" s="11" t="s">
        <v>712</v>
      </c>
      <c r="D1126" s="5" t="s">
        <v>72</v>
      </c>
      <c r="E1126" s="5" t="s">
        <v>73</v>
      </c>
      <c r="F1126" s="5"/>
      <c r="G1126" s="22" t="n">
        <f aca="false">ROUND(SUM(I1126:P1126),3)</f>
        <v>63.936</v>
      </c>
      <c r="H1126" s="5" t="str">
        <f aca="false">IF(G1126&gt;=評分方法!$C$16,"優先評估",IF(G1126&gt;=評分方法!$C$17,"列入候選",IF(G1126&gt;=評分方法!$C$18,"特定情境","不建議")))</f>
        <v>特定情境</v>
      </c>
      <c r="I1126" s="15" t="n">
        <f aca="false">AE1126*評分方法!$C$5</f>
        <v>15</v>
      </c>
      <c r="J1126" s="15" t="n">
        <f aca="false">AF1126*評分方法!$C$6</f>
        <v>0</v>
      </c>
      <c r="K1126" s="15" t="n">
        <f aca="false">AG1126*評分方法!$C$7</f>
        <v>15</v>
      </c>
      <c r="L1126" s="15" t="n">
        <f aca="false">AH1126*評分方法!$C$8</f>
        <v>15</v>
      </c>
      <c r="M1126" s="15" t="n">
        <f aca="false">AI1126*評分方法!$C$9</f>
        <v>10</v>
      </c>
      <c r="N1126" s="15" t="n">
        <f aca="false">AJ1126*評分方法!$C$10</f>
        <v>7.936</v>
      </c>
      <c r="O1126" s="15" t="n">
        <f aca="false">AK1126*評分方法!$C$11</f>
        <v>1</v>
      </c>
      <c r="P1126" s="15" t="n">
        <f aca="false">AL1126*評分方法!$C$12</f>
        <v>0</v>
      </c>
      <c r="Q1126" s="6" t="n">
        <v>1503088</v>
      </c>
      <c r="R1126" s="6" t="n">
        <v>65812036</v>
      </c>
      <c r="S1126" s="11" t="s">
        <v>238</v>
      </c>
      <c r="T1126" s="11" t="s">
        <v>239</v>
      </c>
      <c r="U1126" s="5" t="s">
        <v>240</v>
      </c>
      <c r="V1126" s="11" t="s">
        <v>283</v>
      </c>
      <c r="W1126" s="5" t="s">
        <v>205</v>
      </c>
      <c r="X1126" s="5" t="s">
        <v>242</v>
      </c>
      <c r="Y1126" s="5"/>
      <c r="Z1126" s="5"/>
      <c r="AA1126" s="11" t="s">
        <v>162</v>
      </c>
      <c r="AB1126" s="5" t="s">
        <v>245</v>
      </c>
      <c r="AC1126" s="5"/>
      <c r="AD1126" s="11" t="s">
        <v>2842</v>
      </c>
      <c r="AE1126" s="23" t="n">
        <v>0.5</v>
      </c>
      <c r="AF1126" s="23" t="n">
        <v>0</v>
      </c>
      <c r="AG1126" s="23" t="n">
        <v>1</v>
      </c>
      <c r="AH1126" s="23" t="n">
        <v>1</v>
      </c>
      <c r="AI1126" s="23" t="n">
        <v>1</v>
      </c>
      <c r="AJ1126" s="23" t="n">
        <v>0.7936</v>
      </c>
      <c r="AK1126" s="23" t="n">
        <v>0.2</v>
      </c>
      <c r="AL1126" s="23" t="n">
        <v>0</v>
      </c>
      <c r="AM1126" s="16" t="n">
        <f aca="false">COUNTIFS($D$2:$D$2501,D1126,$G$2:$G$2501,"&gt;"&amp;G1126)+COUNTIFS($D$2:D1126,D1126,$G$2:G1126,G1126)</f>
        <v>22</v>
      </c>
      <c r="AN1126" s="5" t="str">
        <f aca="false">D1126&amp;"|"&amp;AM1126</f>
        <v>微調基底模型|22</v>
      </c>
    </row>
    <row r="1127" customFormat="false" ht="17.15" hidden="false" customHeight="false" outlineLevel="0" collapsed="false">
      <c r="A1127" s="16" t="n">
        <f aca="false">RANK(G1127,$G$2:$G$2501)+COUNTIF($G$2:G1127,G1127)-1</f>
        <v>1126</v>
      </c>
      <c r="B1127" s="11" t="s">
        <v>2843</v>
      </c>
      <c r="C1127" s="11" t="s">
        <v>753</v>
      </c>
      <c r="D1127" s="5" t="s">
        <v>56</v>
      </c>
      <c r="E1127" s="5" t="s">
        <v>57</v>
      </c>
      <c r="F1127" s="5"/>
      <c r="G1127" s="22" t="n">
        <f aca="false">ROUND(SUM(I1127:P1127),3)</f>
        <v>63.928</v>
      </c>
      <c r="H1127" s="5" t="str">
        <f aca="false">IF(G1127&gt;=評分方法!$C$16,"優先評估",IF(G1127&gt;=評分方法!$C$17,"列入候選",IF(G1127&gt;=評分方法!$C$18,"特定情境","不建議")))</f>
        <v>特定情境</v>
      </c>
      <c r="I1127" s="15" t="n">
        <f aca="false">AE1127*評分方法!$C$5</f>
        <v>25.5</v>
      </c>
      <c r="J1127" s="15" t="n">
        <f aca="false">AF1127*評分方法!$C$6</f>
        <v>0</v>
      </c>
      <c r="K1127" s="15" t="n">
        <f aca="false">AG1127*評分方法!$C$7</f>
        <v>10.05</v>
      </c>
      <c r="L1127" s="15" t="n">
        <f aca="false">AH1127*評分方法!$C$8</f>
        <v>13.05</v>
      </c>
      <c r="M1127" s="15" t="n">
        <f aca="false">AI1127*評分方法!$C$9</f>
        <v>6</v>
      </c>
      <c r="N1127" s="15" t="n">
        <f aca="false">AJ1127*評分方法!$C$10</f>
        <v>6.828</v>
      </c>
      <c r="O1127" s="15" t="n">
        <f aca="false">AK1127*評分方法!$C$11</f>
        <v>2.5</v>
      </c>
      <c r="P1127" s="15" t="n">
        <f aca="false">AL1127*評分方法!$C$12</f>
        <v>0</v>
      </c>
      <c r="Q1127" s="6" t="n">
        <v>849540</v>
      </c>
      <c r="R1127" s="6" t="n">
        <v>8387373392</v>
      </c>
      <c r="S1127" s="11" t="s">
        <v>254</v>
      </c>
      <c r="T1127" s="11" t="s">
        <v>658</v>
      </c>
      <c r="U1127" s="5" t="s">
        <v>260</v>
      </c>
      <c r="V1127" s="11" t="s">
        <v>261</v>
      </c>
      <c r="W1127" s="5" t="s">
        <v>207</v>
      </c>
      <c r="X1127" s="5" t="s">
        <v>242</v>
      </c>
      <c r="Y1127" s="11" t="s">
        <v>1003</v>
      </c>
      <c r="Z1127" s="11" t="s">
        <v>270</v>
      </c>
      <c r="AA1127" s="11" t="s">
        <v>156</v>
      </c>
      <c r="AB1127" s="5" t="s">
        <v>245</v>
      </c>
      <c r="AC1127" s="5" t="s">
        <v>262</v>
      </c>
      <c r="AD1127" s="11" t="s">
        <v>2844</v>
      </c>
      <c r="AE1127" s="23" t="n">
        <v>0.85</v>
      </c>
      <c r="AF1127" s="23" t="n">
        <v>0</v>
      </c>
      <c r="AG1127" s="23" t="n">
        <v>0.67</v>
      </c>
      <c r="AH1127" s="23" t="n">
        <v>0.87</v>
      </c>
      <c r="AI1127" s="23" t="n">
        <v>0.6</v>
      </c>
      <c r="AJ1127" s="23" t="n">
        <v>0.6828</v>
      </c>
      <c r="AK1127" s="23" t="n">
        <v>0.5</v>
      </c>
      <c r="AL1127" s="23" t="n">
        <v>0</v>
      </c>
      <c r="AM1127" s="16" t="n">
        <f aca="false">COUNTIFS($D$2:$D$2501,D1127,$G$2:$G$2501,"&gt;"&amp;G1127)+COUNTIFS($D$2:D1127,D1127,$G$2:G1127,G1127)</f>
        <v>498</v>
      </c>
      <c r="AN1127" s="5" t="str">
        <f aca="false">D1127&amp;"|"&amp;AM1127</f>
        <v>分析與報告生成|498</v>
      </c>
    </row>
    <row r="1128" customFormat="false" ht="17.15" hidden="false" customHeight="false" outlineLevel="0" collapsed="false">
      <c r="A1128" s="16" t="n">
        <f aca="false">RANK(G1128,$G$2:$G$2501)+COUNTIF($G$2:G1128,G1128)-1</f>
        <v>1127</v>
      </c>
      <c r="B1128" s="11" t="s">
        <v>2845</v>
      </c>
      <c r="C1128" s="11" t="s">
        <v>2846</v>
      </c>
      <c r="D1128" s="5" t="s">
        <v>66</v>
      </c>
      <c r="E1128" s="5" t="s">
        <v>67</v>
      </c>
      <c r="F1128" s="5"/>
      <c r="G1128" s="22" t="n">
        <f aca="false">ROUND(SUM(I1128:P1128),3)</f>
        <v>63.91</v>
      </c>
      <c r="H1128" s="5" t="str">
        <f aca="false">IF(G1128&gt;=評分方法!$C$16,"優先評估",IF(G1128&gt;=評分方法!$C$17,"列入候選",IF(G1128&gt;=評分方法!$C$18,"特定情境","不建議")))</f>
        <v>特定情境</v>
      </c>
      <c r="I1128" s="15" t="n">
        <f aca="false">AE1128*評分方法!$C$5</f>
        <v>30</v>
      </c>
      <c r="J1128" s="15" t="n">
        <f aca="false">AF1128*評分方法!$C$6</f>
        <v>0</v>
      </c>
      <c r="K1128" s="15" t="n">
        <f aca="false">AG1128*評分方法!$C$7</f>
        <v>4.95</v>
      </c>
      <c r="L1128" s="15" t="n">
        <f aca="false">AH1128*評分方法!$C$8</f>
        <v>15</v>
      </c>
      <c r="M1128" s="15" t="n">
        <f aca="false">AI1128*評分方法!$C$9</f>
        <v>10</v>
      </c>
      <c r="N1128" s="15" t="n">
        <f aca="false">AJ1128*評分方法!$C$10</f>
        <v>1.46</v>
      </c>
      <c r="O1128" s="15" t="n">
        <f aca="false">AK1128*評分方法!$C$11</f>
        <v>2.5</v>
      </c>
      <c r="P1128" s="15" t="n">
        <f aca="false">AL1128*評分方法!$C$12</f>
        <v>0</v>
      </c>
      <c r="Q1128" s="6" t="n">
        <v>176431</v>
      </c>
      <c r="R1128" s="6" t="n">
        <v>559891457</v>
      </c>
      <c r="S1128" s="11" t="s">
        <v>238</v>
      </c>
      <c r="T1128" s="11" t="s">
        <v>278</v>
      </c>
      <c r="U1128" s="5" t="s">
        <v>240</v>
      </c>
      <c r="V1128" s="11" t="s">
        <v>324</v>
      </c>
      <c r="W1128" s="5" t="s">
        <v>334</v>
      </c>
      <c r="X1128" s="5" t="s">
        <v>242</v>
      </c>
      <c r="Y1128" s="5"/>
      <c r="Z1128" s="5"/>
      <c r="AA1128" s="11" t="s">
        <v>149</v>
      </c>
      <c r="AB1128" s="5" t="s">
        <v>245</v>
      </c>
      <c r="AC1128" s="5"/>
      <c r="AD1128" s="11" t="s">
        <v>2847</v>
      </c>
      <c r="AE1128" s="23" t="n">
        <v>1</v>
      </c>
      <c r="AF1128" s="23" t="n">
        <v>0</v>
      </c>
      <c r="AG1128" s="23" t="n">
        <v>0.33</v>
      </c>
      <c r="AH1128" s="23" t="n">
        <v>1</v>
      </c>
      <c r="AI1128" s="23" t="n">
        <v>1</v>
      </c>
      <c r="AJ1128" s="23" t="n">
        <v>0.146</v>
      </c>
      <c r="AK1128" s="23" t="n">
        <v>0.5</v>
      </c>
      <c r="AL1128" s="23" t="n">
        <v>0</v>
      </c>
      <c r="AM1128" s="16" t="n">
        <f aca="false">COUNTIFS($D$2:$D$2501,D1128,$G$2:$G$2501,"&gt;"&amp;G1128)+COUNTIFS($D$2:D1128,D1128,$G$2:G1128,G1128)</f>
        <v>31</v>
      </c>
      <c r="AN1128" s="5" t="str">
        <f aca="false">D1128&amp;"|"&amp;AM1128</f>
        <v>分類與偵測|31</v>
      </c>
    </row>
    <row r="1129" customFormat="false" ht="17.15" hidden="false" customHeight="false" outlineLevel="0" collapsed="false">
      <c r="A1129" s="16" t="n">
        <f aca="false">RANK(G1129,$G$2:$G$2501)+COUNTIF($G$2:G1129,G1129)-1</f>
        <v>1128</v>
      </c>
      <c r="B1129" s="11" t="s">
        <v>2848</v>
      </c>
      <c r="C1129" s="11" t="s">
        <v>1725</v>
      </c>
      <c r="D1129" s="5" t="s">
        <v>56</v>
      </c>
      <c r="E1129" s="5" t="s">
        <v>57</v>
      </c>
      <c r="F1129" s="5"/>
      <c r="G1129" s="22" t="n">
        <f aca="false">ROUND(SUM(I1129:P1129),3)</f>
        <v>63.902</v>
      </c>
      <c r="H1129" s="5" t="str">
        <f aca="false">IF(G1129&gt;=評分方法!$C$16,"優先評估",IF(G1129&gt;=評分方法!$C$17,"列入候選",IF(G1129&gt;=評分方法!$C$18,"特定情境","不建議")))</f>
        <v>特定情境</v>
      </c>
      <c r="I1129" s="15" t="n">
        <f aca="false">AE1129*評分方法!$C$5</f>
        <v>25.5</v>
      </c>
      <c r="J1129" s="15" t="n">
        <f aca="false">AF1129*評分方法!$C$6</f>
        <v>0</v>
      </c>
      <c r="K1129" s="15" t="n">
        <f aca="false">AG1129*評分方法!$C$7</f>
        <v>4.95</v>
      </c>
      <c r="L1129" s="15" t="n">
        <f aca="false">AH1129*評分方法!$C$8</f>
        <v>9</v>
      </c>
      <c r="M1129" s="15" t="n">
        <f aca="false">AI1129*評分方法!$C$9</f>
        <v>10</v>
      </c>
      <c r="N1129" s="15" t="n">
        <f aca="false">AJ1129*評分方法!$C$10</f>
        <v>6.452</v>
      </c>
      <c r="O1129" s="15" t="n">
        <f aca="false">AK1129*評分方法!$C$11</f>
        <v>5</v>
      </c>
      <c r="P1129" s="15" t="n">
        <f aca="false">AL1129*評分方法!$C$12</f>
        <v>3</v>
      </c>
      <c r="Q1129" s="6" t="n">
        <v>737342</v>
      </c>
      <c r="R1129" s="6" t="n">
        <v>24011361280</v>
      </c>
      <c r="S1129" s="11" t="s">
        <v>389</v>
      </c>
      <c r="T1129" s="11" t="s">
        <v>239</v>
      </c>
      <c r="U1129" s="5" t="s">
        <v>240</v>
      </c>
      <c r="V1129" s="11" t="s">
        <v>261</v>
      </c>
      <c r="W1129" s="5" t="s">
        <v>334</v>
      </c>
      <c r="X1129" s="5" t="s">
        <v>371</v>
      </c>
      <c r="Y1129" s="11" t="s">
        <v>782</v>
      </c>
      <c r="Z1129" s="11" t="s">
        <v>244</v>
      </c>
      <c r="AA1129" s="11" t="s">
        <v>155</v>
      </c>
      <c r="AB1129" s="5" t="s">
        <v>328</v>
      </c>
      <c r="AC1129" s="5" t="s">
        <v>340</v>
      </c>
      <c r="AD1129" s="11" t="s">
        <v>2849</v>
      </c>
      <c r="AE1129" s="23" t="n">
        <v>0.85</v>
      </c>
      <c r="AF1129" s="23" t="n">
        <v>0</v>
      </c>
      <c r="AG1129" s="23" t="n">
        <v>0.33</v>
      </c>
      <c r="AH1129" s="23" t="n">
        <v>0.6</v>
      </c>
      <c r="AI1129" s="23" t="n">
        <v>1</v>
      </c>
      <c r="AJ1129" s="23" t="n">
        <v>0.6452</v>
      </c>
      <c r="AK1129" s="23" t="n">
        <v>1</v>
      </c>
      <c r="AL1129" s="23" t="n">
        <v>0.6</v>
      </c>
      <c r="AM1129" s="16" t="n">
        <f aca="false">COUNTIFS($D$2:$D$2501,D1129,$G$2:$G$2501,"&gt;"&amp;G1129)+COUNTIFS($D$2:D1129,D1129,$G$2:G1129,G1129)</f>
        <v>499</v>
      </c>
      <c r="AN1129" s="5" t="str">
        <f aca="false">D1129&amp;"|"&amp;AM1129</f>
        <v>分析與報告生成|499</v>
      </c>
    </row>
    <row r="1130" customFormat="false" ht="17.15" hidden="false" customHeight="false" outlineLevel="0" collapsed="false">
      <c r="A1130" s="16" t="n">
        <f aca="false">RANK(G1130,$G$2:$G$2501)+COUNTIF($G$2:G1130,G1130)-1</f>
        <v>1129</v>
      </c>
      <c r="B1130" s="11" t="s">
        <v>2850</v>
      </c>
      <c r="C1130" s="11" t="s">
        <v>2851</v>
      </c>
      <c r="D1130" s="5" t="s">
        <v>56</v>
      </c>
      <c r="E1130" s="5" t="s">
        <v>57</v>
      </c>
      <c r="F1130" s="5"/>
      <c r="G1130" s="22" t="n">
        <f aca="false">ROUND(SUM(I1130:P1130),3)</f>
        <v>63.888</v>
      </c>
      <c r="H1130" s="5" t="str">
        <f aca="false">IF(G1130&gt;=評分方法!$C$16,"優先評估",IF(G1130&gt;=評分方法!$C$17,"列入候選",IF(G1130&gt;=評分方法!$C$18,"特定情境","不建議")))</f>
        <v>特定情境</v>
      </c>
      <c r="I1130" s="15" t="n">
        <f aca="false">AE1130*評分方法!$C$5</f>
        <v>25.5</v>
      </c>
      <c r="J1130" s="15" t="n">
        <f aca="false">AF1130*評分方法!$C$6</f>
        <v>0</v>
      </c>
      <c r="K1130" s="15" t="n">
        <f aca="false">AG1130*評分方法!$C$7</f>
        <v>4.95</v>
      </c>
      <c r="L1130" s="15" t="n">
        <f aca="false">AH1130*評分方法!$C$8</f>
        <v>13.05</v>
      </c>
      <c r="M1130" s="15" t="n">
        <f aca="false">AI1130*評分方法!$C$9</f>
        <v>10</v>
      </c>
      <c r="N1130" s="15" t="n">
        <f aca="false">AJ1130*評分方法!$C$10</f>
        <v>6.388</v>
      </c>
      <c r="O1130" s="15" t="n">
        <f aca="false">AK1130*評分方法!$C$11</f>
        <v>1</v>
      </c>
      <c r="P1130" s="15" t="n">
        <f aca="false">AL1130*評分方法!$C$12</f>
        <v>3</v>
      </c>
      <c r="Q1130" s="6" t="n">
        <v>718420</v>
      </c>
      <c r="R1130" s="6" t="n">
        <v>7248023552</v>
      </c>
      <c r="S1130" s="11" t="s">
        <v>254</v>
      </c>
      <c r="T1130" s="11" t="s">
        <v>239</v>
      </c>
      <c r="U1130" s="5" t="s">
        <v>240</v>
      </c>
      <c r="V1130" s="11" t="s">
        <v>261</v>
      </c>
      <c r="W1130" s="5" t="s">
        <v>334</v>
      </c>
      <c r="X1130" s="5" t="s">
        <v>371</v>
      </c>
      <c r="Y1130" s="11" t="s">
        <v>408</v>
      </c>
      <c r="Z1130" s="11" t="s">
        <v>244</v>
      </c>
      <c r="AA1130" s="11" t="s">
        <v>155</v>
      </c>
      <c r="AB1130" s="5" t="s">
        <v>245</v>
      </c>
      <c r="AC1130" s="5" t="s">
        <v>246</v>
      </c>
      <c r="AD1130" s="11" t="s">
        <v>2852</v>
      </c>
      <c r="AE1130" s="23" t="n">
        <v>0.85</v>
      </c>
      <c r="AF1130" s="23" t="n">
        <v>0</v>
      </c>
      <c r="AG1130" s="23" t="n">
        <v>0.33</v>
      </c>
      <c r="AH1130" s="23" t="n">
        <v>0.87</v>
      </c>
      <c r="AI1130" s="23" t="n">
        <v>1</v>
      </c>
      <c r="AJ1130" s="23" t="n">
        <v>0.6388</v>
      </c>
      <c r="AK1130" s="23" t="n">
        <v>0.2</v>
      </c>
      <c r="AL1130" s="23" t="n">
        <v>0.6</v>
      </c>
      <c r="AM1130" s="16" t="n">
        <f aca="false">COUNTIFS($D$2:$D$2501,D1130,$G$2:$G$2501,"&gt;"&amp;G1130)+COUNTIFS($D$2:D1130,D1130,$G$2:G1130,G1130)</f>
        <v>500</v>
      </c>
      <c r="AN1130" s="5" t="str">
        <f aca="false">D1130&amp;"|"&amp;AM1130</f>
        <v>分析與報告生成|500</v>
      </c>
    </row>
    <row r="1131" customFormat="false" ht="17.15" hidden="false" customHeight="false" outlineLevel="0" collapsed="false">
      <c r="A1131" s="16" t="n">
        <f aca="false">RANK(G1131,$G$2:$G$2501)+COUNTIF($G$2:G1131,G1131)-1</f>
        <v>1130</v>
      </c>
      <c r="B1131" s="11" t="s">
        <v>2853</v>
      </c>
      <c r="C1131" s="11" t="s">
        <v>2693</v>
      </c>
      <c r="D1131" s="5" t="s">
        <v>74</v>
      </c>
      <c r="E1131" s="5" t="s">
        <v>75</v>
      </c>
      <c r="F1131" s="5"/>
      <c r="G1131" s="22" t="n">
        <f aca="false">ROUND(SUM(I1131:P1131),3)</f>
        <v>63.884</v>
      </c>
      <c r="H1131" s="5" t="str">
        <f aca="false">IF(G1131&gt;=評分方法!$C$16,"優先評估",IF(G1131&gt;=評分方法!$C$17,"列入候選",IF(G1131&gt;=評分方法!$C$18,"特定情境","不建議")))</f>
        <v>特定情境</v>
      </c>
      <c r="I1131" s="15" t="n">
        <f aca="false">AE1131*評分方法!$C$5</f>
        <v>10.5</v>
      </c>
      <c r="J1131" s="15" t="n">
        <f aca="false">AF1131*評分方法!$C$6</f>
        <v>0</v>
      </c>
      <c r="K1131" s="15" t="n">
        <f aca="false">AG1131*評分方法!$C$7</f>
        <v>15</v>
      </c>
      <c r="L1131" s="15" t="n">
        <f aca="false">AH1131*評分方法!$C$8</f>
        <v>15</v>
      </c>
      <c r="M1131" s="15" t="n">
        <f aca="false">AI1131*評分方法!$C$9</f>
        <v>10</v>
      </c>
      <c r="N1131" s="15" t="n">
        <f aca="false">AJ1131*評分方法!$C$10</f>
        <v>9.384</v>
      </c>
      <c r="O1131" s="15" t="n">
        <f aca="false">AK1131*評分方法!$C$11</f>
        <v>2.5</v>
      </c>
      <c r="P1131" s="15" t="n">
        <f aca="false">AL1131*評分方法!$C$12</f>
        <v>1.5</v>
      </c>
      <c r="Q1131" s="6" t="n">
        <v>7160499</v>
      </c>
      <c r="R1131" s="6" t="n">
        <v>22056192</v>
      </c>
      <c r="S1131" s="11" t="s">
        <v>238</v>
      </c>
      <c r="T1131" s="11" t="s">
        <v>239</v>
      </c>
      <c r="U1131" s="5" t="s">
        <v>240</v>
      </c>
      <c r="V1131" s="11" t="s">
        <v>324</v>
      </c>
      <c r="W1131" s="5" t="s">
        <v>205</v>
      </c>
      <c r="X1131" s="5" t="s">
        <v>255</v>
      </c>
      <c r="Y1131" s="5"/>
      <c r="Z1131" s="5"/>
      <c r="AA1131" s="11" t="s">
        <v>173</v>
      </c>
      <c r="AB1131" s="5" t="s">
        <v>245</v>
      </c>
      <c r="AC1131" s="5"/>
      <c r="AD1131" s="11" t="s">
        <v>2854</v>
      </c>
      <c r="AE1131" s="23" t="n">
        <v>0.35</v>
      </c>
      <c r="AF1131" s="23" t="n">
        <v>0</v>
      </c>
      <c r="AG1131" s="23" t="n">
        <v>1</v>
      </c>
      <c r="AH1131" s="23" t="n">
        <v>1</v>
      </c>
      <c r="AI1131" s="23" t="n">
        <v>1</v>
      </c>
      <c r="AJ1131" s="23" t="n">
        <v>0.9384</v>
      </c>
      <c r="AK1131" s="23" t="n">
        <v>0.5</v>
      </c>
      <c r="AL1131" s="23" t="n">
        <v>0.3</v>
      </c>
      <c r="AM1131" s="16" t="n">
        <f aca="false">COUNTIFS($D$2:$D$2501,D1131,$G$2:$G$2501,"&gt;"&amp;G1131)+COUNTIFS($D$2:D1131,D1131,$G$2:G1131,G1131)</f>
        <v>24</v>
      </c>
      <c r="AN1131" s="5" t="str">
        <f aca="false">D1131&amp;"|"&amp;AM1131</f>
        <v>文件與影像辨識|24</v>
      </c>
    </row>
    <row r="1132" customFormat="false" ht="17.15" hidden="false" customHeight="false" outlineLevel="0" collapsed="false">
      <c r="A1132" s="16" t="n">
        <f aca="false">RANK(G1132,$G$2:$G$2501)+COUNTIF($G$2:G1132,G1132)-1</f>
        <v>1131</v>
      </c>
      <c r="B1132" s="11" t="s">
        <v>2855</v>
      </c>
      <c r="C1132" s="11" t="s">
        <v>2856</v>
      </c>
      <c r="D1132" s="5" t="s">
        <v>54</v>
      </c>
      <c r="E1132" s="5" t="s">
        <v>55</v>
      </c>
      <c r="F1132" s="5"/>
      <c r="G1132" s="22" t="n">
        <f aca="false">ROUND(SUM(I1132:P1132),3)</f>
        <v>63.878</v>
      </c>
      <c r="H1132" s="5" t="str">
        <f aca="false">IF(G1132&gt;=評分方法!$C$16,"優先評估",IF(G1132&gt;=評分方法!$C$17,"列入候選",IF(G1132&gt;=評分方法!$C$18,"特定情境","不建議")))</f>
        <v>特定情境</v>
      </c>
      <c r="I1132" s="15" t="n">
        <f aca="false">AE1132*評分方法!$C$5</f>
        <v>27</v>
      </c>
      <c r="J1132" s="15" t="n">
        <f aca="false">AF1132*評分方法!$C$6</f>
        <v>0</v>
      </c>
      <c r="K1132" s="15" t="n">
        <f aca="false">AG1132*評分方法!$C$7</f>
        <v>4.95</v>
      </c>
      <c r="L1132" s="15" t="n">
        <f aca="false">AH1132*評分方法!$C$8</f>
        <v>15</v>
      </c>
      <c r="M1132" s="15" t="n">
        <f aca="false">AI1132*評分方法!$C$9</f>
        <v>10</v>
      </c>
      <c r="N1132" s="15" t="n">
        <f aca="false">AJ1132*評分方法!$C$10</f>
        <v>5.928</v>
      </c>
      <c r="O1132" s="15" t="n">
        <f aca="false">AK1132*評分方法!$C$11</f>
        <v>1</v>
      </c>
      <c r="P1132" s="15" t="n">
        <f aca="false">AL1132*評分方法!$C$12</f>
        <v>0</v>
      </c>
      <c r="Q1132" s="6" t="n">
        <v>610636</v>
      </c>
      <c r="R1132" s="6" t="n">
        <v>22565376</v>
      </c>
      <c r="S1132" s="11" t="s">
        <v>238</v>
      </c>
      <c r="T1132" s="11" t="s">
        <v>239</v>
      </c>
      <c r="U1132" s="5" t="s">
        <v>240</v>
      </c>
      <c r="V1132" s="11" t="s">
        <v>333</v>
      </c>
      <c r="W1132" s="5" t="s">
        <v>334</v>
      </c>
      <c r="X1132" s="5" t="s">
        <v>242</v>
      </c>
      <c r="Y1132" s="11" t="s">
        <v>352</v>
      </c>
      <c r="Z1132" s="11" t="s">
        <v>244</v>
      </c>
      <c r="AA1132" s="11" t="s">
        <v>152</v>
      </c>
      <c r="AB1132" s="5" t="s">
        <v>245</v>
      </c>
      <c r="AC1132" s="5" t="s">
        <v>246</v>
      </c>
      <c r="AD1132" s="11" t="s">
        <v>2857</v>
      </c>
      <c r="AE1132" s="23" t="n">
        <v>0.9</v>
      </c>
      <c r="AF1132" s="23" t="n">
        <v>0</v>
      </c>
      <c r="AG1132" s="23" t="n">
        <v>0.33</v>
      </c>
      <c r="AH1132" s="23" t="n">
        <v>1</v>
      </c>
      <c r="AI1132" s="23" t="n">
        <v>1</v>
      </c>
      <c r="AJ1132" s="23" t="n">
        <v>0.5928</v>
      </c>
      <c r="AK1132" s="23" t="n">
        <v>0.2</v>
      </c>
      <c r="AL1132" s="23" t="n">
        <v>0</v>
      </c>
      <c r="AM1132" s="16" t="n">
        <f aca="false">COUNTIFS($D$2:$D$2501,D1132,$G$2:$G$2501,"&gt;"&amp;G1132)+COUNTIFS($D$2:D1132,D1132,$G$2:G1132,G1132)</f>
        <v>168</v>
      </c>
      <c r="AN1132" s="5" t="str">
        <f aca="false">D1132&amp;"|"&amp;AM1132</f>
        <v>檢索與情資關聯|168</v>
      </c>
    </row>
    <row r="1133" customFormat="false" ht="17.15" hidden="false" customHeight="false" outlineLevel="0" collapsed="false">
      <c r="A1133" s="16" t="n">
        <f aca="false">RANK(G1133,$G$2:$G$2501)+COUNTIF($G$2:G1133,G1133)-1</f>
        <v>1132</v>
      </c>
      <c r="B1133" s="11" t="s">
        <v>2858</v>
      </c>
      <c r="C1133" s="11" t="s">
        <v>2536</v>
      </c>
      <c r="D1133" s="5" t="s">
        <v>56</v>
      </c>
      <c r="E1133" s="5" t="s">
        <v>57</v>
      </c>
      <c r="F1133" s="5"/>
      <c r="G1133" s="22" t="n">
        <f aca="false">ROUND(SUM(I1133:P1133),3)</f>
        <v>63.86</v>
      </c>
      <c r="H1133" s="5" t="str">
        <f aca="false">IF(G1133&gt;=評分方法!$C$16,"優先評估",IF(G1133&gt;=評分方法!$C$17,"列入候選",IF(G1133&gt;=評分方法!$C$18,"特定情境","不建議")))</f>
        <v>特定情境</v>
      </c>
      <c r="I1133" s="15" t="n">
        <f aca="false">AE1133*評分方法!$C$5</f>
        <v>25.5</v>
      </c>
      <c r="J1133" s="15" t="n">
        <f aca="false">AF1133*評分方法!$C$6</f>
        <v>0</v>
      </c>
      <c r="K1133" s="15" t="n">
        <f aca="false">AG1133*評分方法!$C$7</f>
        <v>4.95</v>
      </c>
      <c r="L1133" s="15" t="n">
        <f aca="false">AH1133*評分方法!$C$8</f>
        <v>13.05</v>
      </c>
      <c r="M1133" s="15" t="n">
        <f aca="false">AI1133*評分方法!$C$9</f>
        <v>10</v>
      </c>
      <c r="N1133" s="15" t="n">
        <f aca="false">AJ1133*評分方法!$C$10</f>
        <v>2.36</v>
      </c>
      <c r="O1133" s="15" t="n">
        <f aca="false">AK1133*評分方法!$C$11</f>
        <v>5</v>
      </c>
      <c r="P1133" s="15" t="n">
        <f aca="false">AL1133*評分方法!$C$12</f>
        <v>3</v>
      </c>
      <c r="Q1133" s="6" t="n">
        <v>236310</v>
      </c>
      <c r="R1133" s="6" t="n">
        <v>2555985152</v>
      </c>
      <c r="S1133" s="11" t="s">
        <v>254</v>
      </c>
      <c r="T1133" s="11" t="s">
        <v>239</v>
      </c>
      <c r="U1133" s="5" t="s">
        <v>240</v>
      </c>
      <c r="V1133" s="11" t="s">
        <v>261</v>
      </c>
      <c r="W1133" s="5" t="s">
        <v>334</v>
      </c>
      <c r="X1133" s="5" t="s">
        <v>371</v>
      </c>
      <c r="Y1133" s="5"/>
      <c r="Z1133" s="5"/>
      <c r="AA1133" s="11" t="s">
        <v>156</v>
      </c>
      <c r="AB1133" s="5" t="s">
        <v>245</v>
      </c>
      <c r="AC1133" s="5"/>
      <c r="AD1133" s="11" t="s">
        <v>2859</v>
      </c>
      <c r="AE1133" s="23" t="n">
        <v>0.85</v>
      </c>
      <c r="AF1133" s="23" t="n">
        <v>0</v>
      </c>
      <c r="AG1133" s="23" t="n">
        <v>0.33</v>
      </c>
      <c r="AH1133" s="23" t="n">
        <v>0.87</v>
      </c>
      <c r="AI1133" s="23" t="n">
        <v>1</v>
      </c>
      <c r="AJ1133" s="23" t="n">
        <v>0.236</v>
      </c>
      <c r="AK1133" s="23" t="n">
        <v>1</v>
      </c>
      <c r="AL1133" s="23" t="n">
        <v>0.6</v>
      </c>
      <c r="AM1133" s="16" t="n">
        <f aca="false">COUNTIFS($D$2:$D$2501,D1133,$G$2:$G$2501,"&gt;"&amp;G1133)+COUNTIFS($D$2:D1133,D1133,$G$2:G1133,G1133)</f>
        <v>501</v>
      </c>
      <c r="AN1133" s="5" t="str">
        <f aca="false">D1133&amp;"|"&amp;AM1133</f>
        <v>分析與報告生成|501</v>
      </c>
    </row>
    <row r="1134" customFormat="false" ht="17.15" hidden="false" customHeight="false" outlineLevel="0" collapsed="false">
      <c r="A1134" s="16" t="n">
        <f aca="false">RANK(G1134,$G$2:$G$2501)+COUNTIF($G$2:G1134,G1134)-1</f>
        <v>1133</v>
      </c>
      <c r="B1134" s="11" t="s">
        <v>2860</v>
      </c>
      <c r="C1134" s="11" t="s">
        <v>1725</v>
      </c>
      <c r="D1134" s="5" t="s">
        <v>56</v>
      </c>
      <c r="E1134" s="5" t="s">
        <v>57</v>
      </c>
      <c r="F1134" s="5"/>
      <c r="G1134" s="22" t="n">
        <f aca="false">ROUND(SUM(I1134:P1134),3)</f>
        <v>63.858</v>
      </c>
      <c r="H1134" s="5" t="str">
        <f aca="false">IF(G1134&gt;=評分方法!$C$16,"優先評估",IF(G1134&gt;=評分方法!$C$17,"列入候選",IF(G1134&gt;=評分方法!$C$18,"特定情境","不建議")))</f>
        <v>特定情境</v>
      </c>
      <c r="I1134" s="15" t="n">
        <f aca="false">AE1134*評分方法!$C$5</f>
        <v>24</v>
      </c>
      <c r="J1134" s="15" t="n">
        <f aca="false">AF1134*評分方法!$C$6</f>
        <v>0</v>
      </c>
      <c r="K1134" s="15" t="n">
        <f aca="false">AG1134*評分方法!$C$7</f>
        <v>4.95</v>
      </c>
      <c r="L1134" s="15" t="n">
        <f aca="false">AH1134*評分方法!$C$8</f>
        <v>9</v>
      </c>
      <c r="M1134" s="15" t="n">
        <f aca="false">AI1134*評分方法!$C$9</f>
        <v>10</v>
      </c>
      <c r="N1134" s="15" t="n">
        <f aca="false">AJ1134*評分方法!$C$10</f>
        <v>7.908</v>
      </c>
      <c r="O1134" s="15" t="n">
        <f aca="false">AK1134*評分方法!$C$11</f>
        <v>5</v>
      </c>
      <c r="P1134" s="15" t="n">
        <f aca="false">AL1134*評分方法!$C$12</f>
        <v>3</v>
      </c>
      <c r="Q1134" s="6" t="n">
        <v>1480300</v>
      </c>
      <c r="R1134" s="6" t="n">
        <v>11959730224</v>
      </c>
      <c r="S1134" s="11" t="s">
        <v>389</v>
      </c>
      <c r="T1134" s="11" t="s">
        <v>239</v>
      </c>
      <c r="U1134" s="5" t="s">
        <v>240</v>
      </c>
      <c r="V1134" s="11" t="s">
        <v>261</v>
      </c>
      <c r="W1134" s="5" t="s">
        <v>334</v>
      </c>
      <c r="X1134" s="5" t="s">
        <v>371</v>
      </c>
      <c r="Y1134" s="11" t="s">
        <v>755</v>
      </c>
      <c r="Z1134" s="11" t="s">
        <v>244</v>
      </c>
      <c r="AA1134" s="11" t="s">
        <v>157</v>
      </c>
      <c r="AB1134" s="5" t="s">
        <v>245</v>
      </c>
      <c r="AC1134" s="5" t="s">
        <v>246</v>
      </c>
      <c r="AD1134" s="11" t="s">
        <v>2861</v>
      </c>
      <c r="AE1134" s="23" t="n">
        <v>0.8</v>
      </c>
      <c r="AF1134" s="23" t="n">
        <v>0</v>
      </c>
      <c r="AG1134" s="23" t="n">
        <v>0.33</v>
      </c>
      <c r="AH1134" s="23" t="n">
        <v>0.6</v>
      </c>
      <c r="AI1134" s="23" t="n">
        <v>1</v>
      </c>
      <c r="AJ1134" s="23" t="n">
        <v>0.7908</v>
      </c>
      <c r="AK1134" s="23" t="n">
        <v>1</v>
      </c>
      <c r="AL1134" s="23" t="n">
        <v>0.6</v>
      </c>
      <c r="AM1134" s="16" t="n">
        <f aca="false">COUNTIFS($D$2:$D$2501,D1134,$G$2:$G$2501,"&gt;"&amp;G1134)+COUNTIFS($D$2:D1134,D1134,$G$2:G1134,G1134)</f>
        <v>502</v>
      </c>
      <c r="AN1134" s="5" t="str">
        <f aca="false">D1134&amp;"|"&amp;AM1134</f>
        <v>分析與報告生成|502</v>
      </c>
    </row>
    <row r="1135" customFormat="false" ht="17.15" hidden="false" customHeight="false" outlineLevel="0" collapsed="false">
      <c r="A1135" s="16" t="n">
        <f aca="false">RANK(G1135,$G$2:$G$2501)+COUNTIF($G$2:G1135,G1135)-1</f>
        <v>1134</v>
      </c>
      <c r="B1135" s="11" t="s">
        <v>2862</v>
      </c>
      <c r="C1135" s="11" t="s">
        <v>998</v>
      </c>
      <c r="D1135" s="5" t="s">
        <v>56</v>
      </c>
      <c r="E1135" s="5" t="s">
        <v>57</v>
      </c>
      <c r="F1135" s="5"/>
      <c r="G1135" s="22" t="n">
        <f aca="false">ROUND(SUM(I1135:P1135),3)</f>
        <v>63.848</v>
      </c>
      <c r="H1135" s="5" t="str">
        <f aca="false">IF(G1135&gt;=評分方法!$C$16,"優先評估",IF(G1135&gt;=評分方法!$C$17,"列入候選",IF(G1135&gt;=評分方法!$C$18,"特定情境","不建議")))</f>
        <v>特定情境</v>
      </c>
      <c r="I1135" s="15" t="n">
        <f aca="false">AE1135*評分方法!$C$5</f>
        <v>25.5</v>
      </c>
      <c r="J1135" s="15" t="n">
        <f aca="false">AF1135*評分方法!$C$6</f>
        <v>0</v>
      </c>
      <c r="K1135" s="15" t="n">
        <f aca="false">AG1135*評分方法!$C$7</f>
        <v>10.05</v>
      </c>
      <c r="L1135" s="15" t="n">
        <f aca="false">AH1135*評分方法!$C$8</f>
        <v>13.05</v>
      </c>
      <c r="M1135" s="15" t="n">
        <f aca="false">AI1135*評分方法!$C$9</f>
        <v>6</v>
      </c>
      <c r="N1135" s="15" t="n">
        <f aca="false">AJ1135*評分方法!$C$10</f>
        <v>3.748</v>
      </c>
      <c r="O1135" s="15" t="n">
        <f aca="false">AK1135*評分方法!$C$11</f>
        <v>2.5</v>
      </c>
      <c r="P1135" s="15" t="n">
        <f aca="false">AL1135*評分方法!$C$12</f>
        <v>3</v>
      </c>
      <c r="Q1135" s="6" t="n">
        <v>383775</v>
      </c>
      <c r="R1135" s="6" t="n">
        <v>3880099328</v>
      </c>
      <c r="S1135" s="11" t="s">
        <v>254</v>
      </c>
      <c r="T1135" s="11" t="s">
        <v>658</v>
      </c>
      <c r="U1135" s="5" t="s">
        <v>260</v>
      </c>
      <c r="V1135" s="11" t="s">
        <v>333</v>
      </c>
      <c r="W1135" s="5" t="s">
        <v>207</v>
      </c>
      <c r="X1135" s="5" t="s">
        <v>371</v>
      </c>
      <c r="Y1135" s="11" t="s">
        <v>868</v>
      </c>
      <c r="Z1135" s="11" t="s">
        <v>244</v>
      </c>
      <c r="AA1135" s="11" t="s">
        <v>156</v>
      </c>
      <c r="AB1135" s="5" t="s">
        <v>245</v>
      </c>
      <c r="AC1135" s="5" t="s">
        <v>464</v>
      </c>
      <c r="AD1135" s="11" t="s">
        <v>2863</v>
      </c>
      <c r="AE1135" s="23" t="n">
        <v>0.85</v>
      </c>
      <c r="AF1135" s="23" t="n">
        <v>0</v>
      </c>
      <c r="AG1135" s="23" t="n">
        <v>0.67</v>
      </c>
      <c r="AH1135" s="23" t="n">
        <v>0.87</v>
      </c>
      <c r="AI1135" s="23" t="n">
        <v>0.6</v>
      </c>
      <c r="AJ1135" s="23" t="n">
        <v>0.3748</v>
      </c>
      <c r="AK1135" s="23" t="n">
        <v>0.5</v>
      </c>
      <c r="AL1135" s="23" t="n">
        <v>0.6</v>
      </c>
      <c r="AM1135" s="16" t="n">
        <f aca="false">COUNTIFS($D$2:$D$2501,D1135,$G$2:$G$2501,"&gt;"&amp;G1135)+COUNTIFS($D$2:D1135,D1135,$G$2:G1135,G1135)</f>
        <v>503</v>
      </c>
      <c r="AN1135" s="5" t="str">
        <f aca="false">D1135&amp;"|"&amp;AM1135</f>
        <v>分析與報告生成|503</v>
      </c>
    </row>
    <row r="1136" customFormat="false" ht="17.15" hidden="false" customHeight="false" outlineLevel="0" collapsed="false">
      <c r="A1136" s="16" t="n">
        <f aca="false">RANK(G1136,$G$2:$G$2501)+COUNTIF($G$2:G1136,G1136)-1</f>
        <v>1135</v>
      </c>
      <c r="B1136" s="11" t="s">
        <v>2864</v>
      </c>
      <c r="C1136" s="11" t="s">
        <v>1374</v>
      </c>
      <c r="D1136" s="5" t="s">
        <v>56</v>
      </c>
      <c r="E1136" s="5" t="s">
        <v>57</v>
      </c>
      <c r="F1136" s="5"/>
      <c r="G1136" s="22" t="n">
        <f aca="false">ROUND(SUM(I1136:P1136),3)</f>
        <v>63.836</v>
      </c>
      <c r="H1136" s="5" t="str">
        <f aca="false">IF(G1136&gt;=評分方法!$C$16,"優先評估",IF(G1136&gt;=評分方法!$C$17,"列入候選",IF(G1136&gt;=評分方法!$C$18,"特定情境","不建議")))</f>
        <v>特定情境</v>
      </c>
      <c r="I1136" s="15" t="n">
        <f aca="false">AE1136*評分方法!$C$5</f>
        <v>25.5</v>
      </c>
      <c r="J1136" s="15" t="n">
        <f aca="false">AF1136*評分方法!$C$6</f>
        <v>0</v>
      </c>
      <c r="K1136" s="15" t="n">
        <f aca="false">AG1136*評分方法!$C$7</f>
        <v>10.05</v>
      </c>
      <c r="L1136" s="15" t="n">
        <f aca="false">AH1136*評分方法!$C$8</f>
        <v>13.05</v>
      </c>
      <c r="M1136" s="15" t="n">
        <f aca="false">AI1136*評分方法!$C$9</f>
        <v>10</v>
      </c>
      <c r="N1136" s="15" t="n">
        <f aca="false">AJ1136*評分方法!$C$10</f>
        <v>1.236</v>
      </c>
      <c r="O1136" s="15" t="n">
        <f aca="false">AK1136*評分方法!$C$11</f>
        <v>1</v>
      </c>
      <c r="P1136" s="15" t="n">
        <f aca="false">AL1136*評分方法!$C$12</f>
        <v>3</v>
      </c>
      <c r="Q1136" s="6" t="n">
        <v>162973</v>
      </c>
      <c r="R1136" s="6" t="n">
        <v>7248023552</v>
      </c>
      <c r="S1136" s="11" t="s">
        <v>254</v>
      </c>
      <c r="T1136" s="11" t="s">
        <v>239</v>
      </c>
      <c r="U1136" s="5" t="s">
        <v>240</v>
      </c>
      <c r="V1136" s="11" t="s">
        <v>261</v>
      </c>
      <c r="W1136" s="5" t="s">
        <v>207</v>
      </c>
      <c r="X1136" s="5" t="s">
        <v>371</v>
      </c>
      <c r="Y1136" s="5"/>
      <c r="Z1136" s="5"/>
      <c r="AA1136" s="11" t="s">
        <v>155</v>
      </c>
      <c r="AB1136" s="5" t="s">
        <v>328</v>
      </c>
      <c r="AC1136" s="5" t="s">
        <v>400</v>
      </c>
      <c r="AD1136" s="11" t="s">
        <v>2865</v>
      </c>
      <c r="AE1136" s="23" t="n">
        <v>0.85</v>
      </c>
      <c r="AF1136" s="23" t="n">
        <v>0</v>
      </c>
      <c r="AG1136" s="23" t="n">
        <v>0.67</v>
      </c>
      <c r="AH1136" s="23" t="n">
        <v>0.87</v>
      </c>
      <c r="AI1136" s="23" t="n">
        <v>1</v>
      </c>
      <c r="AJ1136" s="23" t="n">
        <v>0.1236</v>
      </c>
      <c r="AK1136" s="23" t="n">
        <v>0.2</v>
      </c>
      <c r="AL1136" s="23" t="n">
        <v>0.6</v>
      </c>
      <c r="AM1136" s="16" t="n">
        <f aca="false">COUNTIFS($D$2:$D$2501,D1136,$G$2:$G$2501,"&gt;"&amp;G1136)+COUNTIFS($D$2:D1136,D1136,$G$2:G1136,G1136)</f>
        <v>504</v>
      </c>
      <c r="AN1136" s="5" t="str">
        <f aca="false">D1136&amp;"|"&amp;AM1136</f>
        <v>分析與報告生成|504</v>
      </c>
    </row>
    <row r="1137" customFormat="false" ht="17.15" hidden="false" customHeight="false" outlineLevel="0" collapsed="false">
      <c r="A1137" s="16" t="n">
        <f aca="false">RANK(G1137,$G$2:$G$2501)+COUNTIF($G$2:G1137,G1137)-1</f>
        <v>1136</v>
      </c>
      <c r="B1137" s="11" t="s">
        <v>2866</v>
      </c>
      <c r="C1137" s="11" t="s">
        <v>989</v>
      </c>
      <c r="D1137" s="5" t="s">
        <v>56</v>
      </c>
      <c r="E1137" s="5" t="s">
        <v>57</v>
      </c>
      <c r="F1137" s="5"/>
      <c r="G1137" s="22" t="n">
        <f aca="false">ROUND(SUM(I1137:P1137),3)</f>
        <v>63.832</v>
      </c>
      <c r="H1137" s="5" t="str">
        <f aca="false">IF(G1137&gt;=評分方法!$C$16,"優先評估",IF(G1137&gt;=評分方法!$C$17,"列入候選",IF(G1137&gt;=評分方法!$C$18,"特定情境","不建議")))</f>
        <v>特定情境</v>
      </c>
      <c r="I1137" s="15" t="n">
        <f aca="false">AE1137*評分方法!$C$5</f>
        <v>25.5</v>
      </c>
      <c r="J1137" s="15" t="n">
        <f aca="false">AF1137*評分方法!$C$6</f>
        <v>0</v>
      </c>
      <c r="K1137" s="15" t="n">
        <f aca="false">AG1137*評分方法!$C$7</f>
        <v>10.05</v>
      </c>
      <c r="L1137" s="15" t="n">
        <f aca="false">AH1137*評分方法!$C$8</f>
        <v>4.95</v>
      </c>
      <c r="M1137" s="15" t="n">
        <f aca="false">AI1137*評分方法!$C$9</f>
        <v>10</v>
      </c>
      <c r="N1137" s="15" t="n">
        <f aca="false">AJ1137*評分方法!$C$10</f>
        <v>8.332</v>
      </c>
      <c r="O1137" s="15" t="n">
        <f aca="false">AK1137*評分方法!$C$11</f>
        <v>5</v>
      </c>
      <c r="P1137" s="15" t="n">
        <f aca="false">AL1137*評分方法!$C$12</f>
        <v>0</v>
      </c>
      <c r="Q1137" s="6" t="n">
        <v>1963241</v>
      </c>
      <c r="R1137" s="6" t="n">
        <v>35505251456</v>
      </c>
      <c r="S1137" s="11" t="s">
        <v>1876</v>
      </c>
      <c r="T1137" s="11" t="s">
        <v>239</v>
      </c>
      <c r="U1137" s="5" t="s">
        <v>240</v>
      </c>
      <c r="V1137" s="11" t="s">
        <v>333</v>
      </c>
      <c r="W1137" s="5" t="s">
        <v>207</v>
      </c>
      <c r="X1137" s="5" t="s">
        <v>242</v>
      </c>
      <c r="Y1137" s="11" t="s">
        <v>2867</v>
      </c>
      <c r="Z1137" s="11" t="s">
        <v>244</v>
      </c>
      <c r="AA1137" s="11" t="s">
        <v>156</v>
      </c>
      <c r="AB1137" s="5" t="s">
        <v>245</v>
      </c>
      <c r="AC1137" s="5" t="s">
        <v>246</v>
      </c>
      <c r="AD1137" s="11" t="s">
        <v>2868</v>
      </c>
      <c r="AE1137" s="23" t="n">
        <v>0.85</v>
      </c>
      <c r="AF1137" s="23" t="n">
        <v>0</v>
      </c>
      <c r="AG1137" s="23" t="n">
        <v>0.67</v>
      </c>
      <c r="AH1137" s="23" t="n">
        <v>0.33</v>
      </c>
      <c r="AI1137" s="23" t="n">
        <v>1</v>
      </c>
      <c r="AJ1137" s="23" t="n">
        <v>0.8332</v>
      </c>
      <c r="AK1137" s="23" t="n">
        <v>1</v>
      </c>
      <c r="AL1137" s="23" t="n">
        <v>0</v>
      </c>
      <c r="AM1137" s="16" t="n">
        <f aca="false">COUNTIFS($D$2:$D$2501,D1137,$G$2:$G$2501,"&gt;"&amp;G1137)+COUNTIFS($D$2:D1137,D1137,$G$2:G1137,G1137)</f>
        <v>505</v>
      </c>
      <c r="AN1137" s="5" t="str">
        <f aca="false">D1137&amp;"|"&amp;AM1137</f>
        <v>分析與報告生成|505</v>
      </c>
    </row>
    <row r="1138" customFormat="false" ht="17.15" hidden="false" customHeight="false" outlineLevel="0" collapsed="false">
      <c r="A1138" s="16" t="n">
        <f aca="false">RANK(G1138,$G$2:$G$2501)+COUNTIF($G$2:G1138,G1138)-1</f>
        <v>1137</v>
      </c>
      <c r="B1138" s="11" t="s">
        <v>2869</v>
      </c>
      <c r="C1138" s="11" t="s">
        <v>2645</v>
      </c>
      <c r="D1138" s="5" t="s">
        <v>68</v>
      </c>
      <c r="E1138" s="11" t="s">
        <v>69</v>
      </c>
      <c r="F1138" s="5"/>
      <c r="G1138" s="22" t="n">
        <f aca="false">ROUND(SUM(I1138:P1138),3)</f>
        <v>63.826</v>
      </c>
      <c r="H1138" s="5" t="str">
        <f aca="false">IF(G1138&gt;=評分方法!$C$16,"優先評估",IF(G1138&gt;=評分方法!$C$17,"列入候選",IF(G1138&gt;=評分方法!$C$18,"特定情境","不建議")))</f>
        <v>特定情境</v>
      </c>
      <c r="I1138" s="15" t="n">
        <f aca="false">AE1138*評分方法!$C$5</f>
        <v>21</v>
      </c>
      <c r="J1138" s="15" t="n">
        <f aca="false">AF1138*評分方法!$C$6</f>
        <v>0</v>
      </c>
      <c r="K1138" s="15" t="n">
        <f aca="false">AG1138*評分方法!$C$7</f>
        <v>4.95</v>
      </c>
      <c r="L1138" s="15" t="n">
        <f aca="false">AH1138*評分方法!$C$8</f>
        <v>15</v>
      </c>
      <c r="M1138" s="15" t="n">
        <f aca="false">AI1138*評分方法!$C$9</f>
        <v>10</v>
      </c>
      <c r="N1138" s="15" t="n">
        <f aca="false">AJ1138*評分方法!$C$10</f>
        <v>8.876</v>
      </c>
      <c r="O1138" s="15" t="n">
        <f aca="false">AK1138*評分方法!$C$11</f>
        <v>2.5</v>
      </c>
      <c r="P1138" s="15" t="n">
        <f aca="false">AL1138*評分方法!$C$12</f>
        <v>1.5</v>
      </c>
      <c r="Q1138" s="6" t="n">
        <v>3325367</v>
      </c>
      <c r="R1138" s="6" t="n">
        <v>4108192</v>
      </c>
      <c r="S1138" s="11" t="s">
        <v>238</v>
      </c>
      <c r="T1138" s="11" t="s">
        <v>278</v>
      </c>
      <c r="U1138" s="5" t="s">
        <v>240</v>
      </c>
      <c r="V1138" s="11" t="s">
        <v>261</v>
      </c>
      <c r="W1138" s="5" t="s">
        <v>334</v>
      </c>
      <c r="X1138" s="5" t="s">
        <v>255</v>
      </c>
      <c r="Y1138" s="5"/>
      <c r="Z1138" s="5"/>
      <c r="AA1138" s="11" t="s">
        <v>158</v>
      </c>
      <c r="AB1138" s="5" t="s">
        <v>245</v>
      </c>
      <c r="AC1138" s="5"/>
      <c r="AD1138" s="11" t="s">
        <v>2870</v>
      </c>
      <c r="AE1138" s="23" t="n">
        <v>0.7</v>
      </c>
      <c r="AF1138" s="23" t="n">
        <v>0</v>
      </c>
      <c r="AG1138" s="23" t="n">
        <v>0.33</v>
      </c>
      <c r="AH1138" s="23" t="n">
        <v>1</v>
      </c>
      <c r="AI1138" s="23" t="n">
        <v>1</v>
      </c>
      <c r="AJ1138" s="23" t="n">
        <v>0.8876</v>
      </c>
      <c r="AK1138" s="23" t="n">
        <v>0.5</v>
      </c>
      <c r="AL1138" s="23" t="n">
        <v>0.3</v>
      </c>
      <c r="AM1138" s="16" t="n">
        <f aca="false">COUNTIFS($D$2:$D$2501,D1138,$G$2:$G$2501,"&gt;"&amp;G1138)+COUNTIFS($D$2:D1138,D1138,$G$2:G1138,G1138)</f>
        <v>38</v>
      </c>
      <c r="AN1138" s="5" t="str">
        <f aca="false">D1138&amp;"|"&amp;AM1138</f>
        <v>時序異常偵測|38</v>
      </c>
    </row>
    <row r="1139" customFormat="false" ht="17.15" hidden="false" customHeight="false" outlineLevel="0" collapsed="false">
      <c r="A1139" s="16" t="n">
        <f aca="false">RANK(G1139,$G$2:$G$2501)+COUNTIF($G$2:G1139,G1139)-1</f>
        <v>1138</v>
      </c>
      <c r="B1139" s="11" t="s">
        <v>2871</v>
      </c>
      <c r="C1139" s="11" t="s">
        <v>1202</v>
      </c>
      <c r="D1139" s="5" t="s">
        <v>54</v>
      </c>
      <c r="E1139" s="5" t="s">
        <v>55</v>
      </c>
      <c r="F1139" s="5"/>
      <c r="G1139" s="22" t="n">
        <f aca="false">ROUND(SUM(I1139:P1139),3)</f>
        <v>63.822</v>
      </c>
      <c r="H1139" s="5" t="str">
        <f aca="false">IF(G1139&gt;=評分方法!$C$16,"優先評估",IF(G1139&gt;=評分方法!$C$17,"列入候選",IF(G1139&gt;=評分方法!$C$18,"特定情境","不建議")))</f>
        <v>特定情境</v>
      </c>
      <c r="I1139" s="15" t="n">
        <f aca="false">AE1139*評分方法!$C$5</f>
        <v>27</v>
      </c>
      <c r="J1139" s="15" t="n">
        <f aca="false">AF1139*評分方法!$C$6</f>
        <v>0</v>
      </c>
      <c r="K1139" s="15" t="n">
        <f aca="false">AG1139*評分方法!$C$7</f>
        <v>4.95</v>
      </c>
      <c r="L1139" s="15" t="n">
        <f aca="false">AH1139*評分方法!$C$8</f>
        <v>15</v>
      </c>
      <c r="M1139" s="15" t="n">
        <f aca="false">AI1139*評分方法!$C$9</f>
        <v>10</v>
      </c>
      <c r="N1139" s="15" t="n">
        <f aca="false">AJ1139*評分方法!$C$10</f>
        <v>0.372</v>
      </c>
      <c r="O1139" s="15" t="n">
        <f aca="false">AK1139*評分方法!$C$11</f>
        <v>5</v>
      </c>
      <c r="P1139" s="15" t="n">
        <f aca="false">AL1139*評分方法!$C$12</f>
        <v>1.5</v>
      </c>
      <c r="Q1139" s="6" t="n">
        <v>127410</v>
      </c>
      <c r="R1139" s="6" t="n">
        <v>15951108</v>
      </c>
      <c r="S1139" s="11" t="s">
        <v>238</v>
      </c>
      <c r="T1139" s="11" t="s">
        <v>278</v>
      </c>
      <c r="U1139" s="5" t="s">
        <v>240</v>
      </c>
      <c r="V1139" s="11" t="s">
        <v>261</v>
      </c>
      <c r="W1139" s="5" t="s">
        <v>334</v>
      </c>
      <c r="X1139" s="5" t="s">
        <v>255</v>
      </c>
      <c r="Y1139" s="5"/>
      <c r="Z1139" s="5"/>
      <c r="AA1139" s="11" t="s">
        <v>152</v>
      </c>
      <c r="AB1139" s="5" t="s">
        <v>961</v>
      </c>
      <c r="AC1139" s="5" t="s">
        <v>1203</v>
      </c>
      <c r="AD1139" s="11" t="s">
        <v>2872</v>
      </c>
      <c r="AE1139" s="23" t="n">
        <v>0.9</v>
      </c>
      <c r="AF1139" s="23" t="n">
        <v>0</v>
      </c>
      <c r="AG1139" s="23" t="n">
        <v>0.33</v>
      </c>
      <c r="AH1139" s="23" t="n">
        <v>1</v>
      </c>
      <c r="AI1139" s="23" t="n">
        <v>1</v>
      </c>
      <c r="AJ1139" s="23" t="n">
        <v>0.0372</v>
      </c>
      <c r="AK1139" s="23" t="n">
        <v>1</v>
      </c>
      <c r="AL1139" s="23" t="n">
        <v>0.3</v>
      </c>
      <c r="AM1139" s="16" t="n">
        <f aca="false">COUNTIFS($D$2:$D$2501,D1139,$G$2:$G$2501,"&gt;"&amp;G1139)+COUNTIFS($D$2:D1139,D1139,$G$2:G1139,G1139)</f>
        <v>169</v>
      </c>
      <c r="AN1139" s="5" t="str">
        <f aca="false">D1139&amp;"|"&amp;AM1139</f>
        <v>檢索與情資關聯|169</v>
      </c>
    </row>
    <row r="1140" customFormat="false" ht="17.15" hidden="false" customHeight="false" outlineLevel="0" collapsed="false">
      <c r="A1140" s="16" t="n">
        <f aca="false">RANK(G1140,$G$2:$G$2501)+COUNTIF($G$2:G1140,G1140)-1</f>
        <v>1139</v>
      </c>
      <c r="B1140" s="11" t="s">
        <v>2873</v>
      </c>
      <c r="C1140" s="11" t="s">
        <v>2874</v>
      </c>
      <c r="D1140" s="5" t="s">
        <v>56</v>
      </c>
      <c r="E1140" s="5" t="s">
        <v>57</v>
      </c>
      <c r="F1140" s="5"/>
      <c r="G1140" s="22" t="n">
        <f aca="false">ROUND(SUM(I1140:P1140),3)</f>
        <v>63.818</v>
      </c>
      <c r="H1140" s="5" t="str">
        <f aca="false">IF(G1140&gt;=評分方法!$C$16,"優先評估",IF(G1140&gt;=評分方法!$C$17,"列入候選",IF(G1140&gt;=評分方法!$C$18,"特定情境","不建議")))</f>
        <v>特定情境</v>
      </c>
      <c r="I1140" s="15" t="n">
        <f aca="false">AE1140*評分方法!$C$5</f>
        <v>25.5</v>
      </c>
      <c r="J1140" s="15" t="n">
        <f aca="false">AF1140*評分方法!$C$6</f>
        <v>0</v>
      </c>
      <c r="K1140" s="15" t="n">
        <f aca="false">AG1140*評分方法!$C$7</f>
        <v>4.95</v>
      </c>
      <c r="L1140" s="15" t="n">
        <f aca="false">AH1140*評分方法!$C$8</f>
        <v>9</v>
      </c>
      <c r="M1140" s="15" t="n">
        <f aca="false">AI1140*評分方法!$C$9</f>
        <v>10</v>
      </c>
      <c r="N1140" s="15" t="n">
        <f aca="false">AJ1140*評分方法!$C$10</f>
        <v>6.368</v>
      </c>
      <c r="O1140" s="15" t="n">
        <f aca="false">AK1140*評分方法!$C$11</f>
        <v>5</v>
      </c>
      <c r="P1140" s="15" t="n">
        <f aca="false">AL1140*評分方法!$C$12</f>
        <v>3</v>
      </c>
      <c r="Q1140" s="6" t="n">
        <v>710742</v>
      </c>
      <c r="R1140" s="6" t="n">
        <v>12187325040</v>
      </c>
      <c r="S1140" s="11" t="s">
        <v>389</v>
      </c>
      <c r="T1140" s="11" t="s">
        <v>278</v>
      </c>
      <c r="U1140" s="5" t="s">
        <v>240</v>
      </c>
      <c r="V1140" s="11" t="s">
        <v>462</v>
      </c>
      <c r="W1140" s="5" t="s">
        <v>334</v>
      </c>
      <c r="X1140" s="5" t="s">
        <v>371</v>
      </c>
      <c r="Y1140" s="5"/>
      <c r="Z1140" s="5"/>
      <c r="AA1140" s="11" t="s">
        <v>155</v>
      </c>
      <c r="AB1140" s="5" t="s">
        <v>961</v>
      </c>
      <c r="AC1140" s="5" t="s">
        <v>1203</v>
      </c>
      <c r="AD1140" s="11" t="s">
        <v>2875</v>
      </c>
      <c r="AE1140" s="23" t="n">
        <v>0.85</v>
      </c>
      <c r="AF1140" s="23" t="n">
        <v>0</v>
      </c>
      <c r="AG1140" s="23" t="n">
        <v>0.33</v>
      </c>
      <c r="AH1140" s="23" t="n">
        <v>0.6</v>
      </c>
      <c r="AI1140" s="23" t="n">
        <v>1</v>
      </c>
      <c r="AJ1140" s="23" t="n">
        <v>0.6368</v>
      </c>
      <c r="AK1140" s="23" t="n">
        <v>1</v>
      </c>
      <c r="AL1140" s="23" t="n">
        <v>0.6</v>
      </c>
      <c r="AM1140" s="16" t="n">
        <f aca="false">COUNTIFS($D$2:$D$2501,D1140,$G$2:$G$2501,"&gt;"&amp;G1140)+COUNTIFS($D$2:D1140,D1140,$G$2:G1140,G1140)</f>
        <v>506</v>
      </c>
      <c r="AN1140" s="5" t="str">
        <f aca="false">D1140&amp;"|"&amp;AM1140</f>
        <v>分析與報告生成|506</v>
      </c>
    </row>
    <row r="1141" customFormat="false" ht="17.15" hidden="false" customHeight="false" outlineLevel="0" collapsed="false">
      <c r="A1141" s="16" t="n">
        <f aca="false">RANK(G1141,$G$2:$G$2501)+COUNTIF($G$2:G1141,G1141)-1</f>
        <v>1140</v>
      </c>
      <c r="B1141" s="11" t="s">
        <v>2876</v>
      </c>
      <c r="C1141" s="11" t="s">
        <v>1461</v>
      </c>
      <c r="D1141" s="5" t="s">
        <v>54</v>
      </c>
      <c r="E1141" s="5" t="s">
        <v>55</v>
      </c>
      <c r="F1141" s="5"/>
      <c r="G1141" s="22" t="n">
        <f aca="false">ROUND(SUM(I1141:P1141),3)</f>
        <v>63.798</v>
      </c>
      <c r="H1141" s="5" t="str">
        <f aca="false">IF(G1141&gt;=評分方法!$C$16,"優先評估",IF(G1141&gt;=評分方法!$C$17,"列入候選",IF(G1141&gt;=評分方法!$C$18,"特定情境","不建議")))</f>
        <v>特定情境</v>
      </c>
      <c r="I1141" s="15" t="n">
        <f aca="false">AE1141*評分方法!$C$5</f>
        <v>16.2</v>
      </c>
      <c r="J1141" s="15" t="n">
        <f aca="false">AF1141*評分方法!$C$6</f>
        <v>0</v>
      </c>
      <c r="K1141" s="15" t="n">
        <f aca="false">AG1141*評分方法!$C$7</f>
        <v>10.05</v>
      </c>
      <c r="L1141" s="15" t="n">
        <f aca="false">AH1141*評分方法!$C$8</f>
        <v>15</v>
      </c>
      <c r="M1141" s="15" t="n">
        <f aca="false">AI1141*評分方法!$C$9</f>
        <v>10</v>
      </c>
      <c r="N1141" s="15" t="n">
        <f aca="false">AJ1141*評分方法!$C$10</f>
        <v>8.548</v>
      </c>
      <c r="O1141" s="15" t="n">
        <f aca="false">AK1141*評分方法!$C$11</f>
        <v>4</v>
      </c>
      <c r="P1141" s="15" t="n">
        <f aca="false">AL1141*評分方法!$C$12</f>
        <v>0</v>
      </c>
      <c r="Q1141" s="6" t="n">
        <v>2379674</v>
      </c>
      <c r="R1141" s="6" t="n">
        <v>29378550</v>
      </c>
      <c r="S1141" s="11" t="s">
        <v>238</v>
      </c>
      <c r="T1141" s="11" t="s">
        <v>278</v>
      </c>
      <c r="U1141" s="5" t="s">
        <v>240</v>
      </c>
      <c r="V1141" s="11" t="s">
        <v>324</v>
      </c>
      <c r="W1141" s="5" t="s">
        <v>207</v>
      </c>
      <c r="X1141" s="5" t="s">
        <v>242</v>
      </c>
      <c r="Y1141" s="5"/>
      <c r="Z1141" s="5"/>
      <c r="AA1141" s="11" t="s">
        <v>152</v>
      </c>
      <c r="AB1141" s="5" t="s">
        <v>245</v>
      </c>
      <c r="AC1141" s="5" t="s">
        <v>1463</v>
      </c>
      <c r="AD1141" s="11" t="s">
        <v>2877</v>
      </c>
      <c r="AE1141" s="23" t="n">
        <v>0.54</v>
      </c>
      <c r="AF1141" s="23" t="n">
        <v>0</v>
      </c>
      <c r="AG1141" s="23" t="n">
        <v>0.67</v>
      </c>
      <c r="AH1141" s="23" t="n">
        <v>1</v>
      </c>
      <c r="AI1141" s="23" t="n">
        <v>1</v>
      </c>
      <c r="AJ1141" s="23" t="n">
        <v>0.8548</v>
      </c>
      <c r="AK1141" s="23" t="n">
        <v>0.8</v>
      </c>
      <c r="AL1141" s="23" t="n">
        <v>0</v>
      </c>
      <c r="AM1141" s="16" t="n">
        <f aca="false">COUNTIFS($D$2:$D$2501,D1141,$G$2:$G$2501,"&gt;"&amp;G1141)+COUNTIFS($D$2:D1141,D1141,$G$2:G1141,G1141)</f>
        <v>170</v>
      </c>
      <c r="AN1141" s="5" t="str">
        <f aca="false">D1141&amp;"|"&amp;AM1141</f>
        <v>檢索與情資關聯|170</v>
      </c>
    </row>
    <row r="1142" customFormat="false" ht="17.15" hidden="false" customHeight="false" outlineLevel="0" collapsed="false">
      <c r="A1142" s="16" t="n">
        <f aca="false">RANK(G1142,$G$2:$G$2501)+COUNTIF($G$2:G1142,G1142)-1</f>
        <v>1141</v>
      </c>
      <c r="B1142" s="11" t="s">
        <v>2878</v>
      </c>
      <c r="C1142" s="11" t="s">
        <v>2879</v>
      </c>
      <c r="D1142" s="5" t="s">
        <v>70</v>
      </c>
      <c r="E1142" s="5" t="s">
        <v>71</v>
      </c>
      <c r="F1142" s="5" t="s">
        <v>70</v>
      </c>
      <c r="G1142" s="22" t="n">
        <f aca="false">ROUND(SUM(I1142:P1142),3)</f>
        <v>63.798</v>
      </c>
      <c r="H1142" s="5" t="str">
        <f aca="false">IF(G1142&gt;=評分方法!$C$16,"優先評估",IF(G1142&gt;=評分方法!$C$17,"列入候選",IF(G1142&gt;=評分方法!$C$18,"特定情境","不建議")))</f>
        <v>特定情境</v>
      </c>
      <c r="I1142" s="15" t="n">
        <f aca="false">AE1142*評分方法!$C$5</f>
        <v>10.5</v>
      </c>
      <c r="J1142" s="15" t="n">
        <f aca="false">AF1142*評分方法!$C$6</f>
        <v>5</v>
      </c>
      <c r="K1142" s="15" t="n">
        <f aca="false">AG1142*評分方法!$C$7</f>
        <v>10.05</v>
      </c>
      <c r="L1142" s="15" t="n">
        <f aca="false">AH1142*評分方法!$C$8</f>
        <v>15</v>
      </c>
      <c r="M1142" s="15" t="n">
        <f aca="false">AI1142*評分方法!$C$9</f>
        <v>10</v>
      </c>
      <c r="N1142" s="15" t="n">
        <f aca="false">AJ1142*評分方法!$C$10</f>
        <v>9.248</v>
      </c>
      <c r="O1142" s="15" t="n">
        <f aca="false">AK1142*評分方法!$C$11</f>
        <v>2.5</v>
      </c>
      <c r="P1142" s="15" t="n">
        <f aca="false">AL1142*評分方法!$C$12</f>
        <v>1.5</v>
      </c>
      <c r="Q1142" s="6" t="n">
        <v>5586427</v>
      </c>
      <c r="R1142" s="6" t="n">
        <v>86092034</v>
      </c>
      <c r="S1142" s="11" t="s">
        <v>238</v>
      </c>
      <c r="T1142" s="11" t="s">
        <v>239</v>
      </c>
      <c r="U1142" s="5" t="s">
        <v>240</v>
      </c>
      <c r="V1142" s="11" t="s">
        <v>241</v>
      </c>
      <c r="W1142" s="5" t="s">
        <v>207</v>
      </c>
      <c r="X1142" s="5" t="s">
        <v>255</v>
      </c>
      <c r="Y1142" s="11" t="s">
        <v>2880</v>
      </c>
      <c r="Z1142" s="11" t="s">
        <v>244</v>
      </c>
      <c r="AA1142" s="11" t="s">
        <v>172</v>
      </c>
      <c r="AB1142" s="5" t="s">
        <v>245</v>
      </c>
      <c r="AC1142" s="5" t="s">
        <v>246</v>
      </c>
      <c r="AD1142" s="11" t="s">
        <v>2881</v>
      </c>
      <c r="AE1142" s="23" t="n">
        <v>0.35</v>
      </c>
      <c r="AF1142" s="23" t="n">
        <v>0.5</v>
      </c>
      <c r="AG1142" s="23" t="n">
        <v>0.67</v>
      </c>
      <c r="AH1142" s="23" t="n">
        <v>1</v>
      </c>
      <c r="AI1142" s="23" t="n">
        <v>1</v>
      </c>
      <c r="AJ1142" s="23" t="n">
        <v>0.9248</v>
      </c>
      <c r="AK1142" s="23" t="n">
        <v>0.5</v>
      </c>
      <c r="AL1142" s="23" t="n">
        <v>0.3</v>
      </c>
      <c r="AM1142" s="16" t="n">
        <f aca="false">COUNTIFS($D$2:$D$2501,D1142,$G$2:$G$2501,"&gt;"&amp;G1142)+COUNTIFS($D$2:D1142,D1142,$G$2:G1142,G1142)</f>
        <v>8</v>
      </c>
      <c r="AN1142" s="5" t="str">
        <f aca="false">D1142&amp;"|"&amp;AM1142</f>
        <v>內容安全審查|8</v>
      </c>
    </row>
    <row r="1143" customFormat="false" ht="17.15" hidden="false" customHeight="false" outlineLevel="0" collapsed="false">
      <c r="A1143" s="16" t="n">
        <f aca="false">RANK(G1143,$G$2:$G$2501)+COUNTIF($G$2:G1143,G1143)-1</f>
        <v>1142</v>
      </c>
      <c r="B1143" s="11" t="s">
        <v>2882</v>
      </c>
      <c r="C1143" s="11" t="s">
        <v>2693</v>
      </c>
      <c r="D1143" s="5" t="s">
        <v>74</v>
      </c>
      <c r="E1143" s="5" t="s">
        <v>75</v>
      </c>
      <c r="F1143" s="5"/>
      <c r="G1143" s="22" t="n">
        <f aca="false">ROUND(SUM(I1143:P1143),3)</f>
        <v>63.788</v>
      </c>
      <c r="H1143" s="5" t="str">
        <f aca="false">IF(G1143&gt;=評分方法!$C$16,"優先評估",IF(G1143&gt;=評分方法!$C$17,"列入候選",IF(G1143&gt;=評分方法!$C$18,"特定情境","不建議")))</f>
        <v>特定情境</v>
      </c>
      <c r="I1143" s="15" t="n">
        <f aca="false">AE1143*評分方法!$C$5</f>
        <v>10.5</v>
      </c>
      <c r="J1143" s="15" t="n">
        <f aca="false">AF1143*評分方法!$C$6</f>
        <v>0</v>
      </c>
      <c r="K1143" s="15" t="n">
        <f aca="false">AG1143*評分方法!$C$7</f>
        <v>15</v>
      </c>
      <c r="L1143" s="15" t="n">
        <f aca="false">AH1143*評分方法!$C$8</f>
        <v>15</v>
      </c>
      <c r="M1143" s="15" t="n">
        <f aca="false">AI1143*評分方法!$C$9</f>
        <v>10</v>
      </c>
      <c r="N1143" s="15" t="n">
        <f aca="false">AJ1143*評分方法!$C$10</f>
        <v>9.288</v>
      </c>
      <c r="O1143" s="15" t="n">
        <f aca="false">AK1143*評分方法!$C$11</f>
        <v>2.5</v>
      </c>
      <c r="P1143" s="15" t="n">
        <f aca="false">AL1143*評分方法!$C$12</f>
        <v>1.5</v>
      </c>
      <c r="Q1143" s="6" t="n">
        <v>6050119</v>
      </c>
      <c r="R1143" s="6" t="n">
        <v>5330564</v>
      </c>
      <c r="S1143" s="11" t="s">
        <v>238</v>
      </c>
      <c r="T1143" s="11" t="s">
        <v>239</v>
      </c>
      <c r="U1143" s="5" t="s">
        <v>240</v>
      </c>
      <c r="V1143" s="11" t="s">
        <v>324</v>
      </c>
      <c r="W1143" s="5" t="s">
        <v>205</v>
      </c>
      <c r="X1143" s="5" t="s">
        <v>255</v>
      </c>
      <c r="Y1143" s="5"/>
      <c r="Z1143" s="5"/>
      <c r="AA1143" s="11" t="s">
        <v>172</v>
      </c>
      <c r="AB1143" s="5" t="s">
        <v>245</v>
      </c>
      <c r="AC1143" s="5"/>
      <c r="AD1143" s="11" t="s">
        <v>2883</v>
      </c>
      <c r="AE1143" s="23" t="n">
        <v>0.35</v>
      </c>
      <c r="AF1143" s="23" t="n">
        <v>0</v>
      </c>
      <c r="AG1143" s="23" t="n">
        <v>1</v>
      </c>
      <c r="AH1143" s="23" t="n">
        <v>1</v>
      </c>
      <c r="AI1143" s="23" t="n">
        <v>1</v>
      </c>
      <c r="AJ1143" s="23" t="n">
        <v>0.9288</v>
      </c>
      <c r="AK1143" s="23" t="n">
        <v>0.5</v>
      </c>
      <c r="AL1143" s="23" t="n">
        <v>0.3</v>
      </c>
      <c r="AM1143" s="16" t="n">
        <f aca="false">COUNTIFS($D$2:$D$2501,D1143,$G$2:$G$2501,"&gt;"&amp;G1143)+COUNTIFS($D$2:D1143,D1143,$G$2:G1143,G1143)</f>
        <v>25</v>
      </c>
      <c r="AN1143" s="5" t="str">
        <f aca="false">D1143&amp;"|"&amp;AM1143</f>
        <v>文件與影像辨識|25</v>
      </c>
    </row>
    <row r="1144" customFormat="false" ht="17.15" hidden="false" customHeight="false" outlineLevel="0" collapsed="false">
      <c r="A1144" s="16" t="n">
        <f aca="false">RANK(G1144,$G$2:$G$2501)+COUNTIF($G$2:G1144,G1144)-1</f>
        <v>1143</v>
      </c>
      <c r="B1144" s="11" t="s">
        <v>2884</v>
      </c>
      <c r="C1144" s="11" t="s">
        <v>998</v>
      </c>
      <c r="D1144" s="5" t="s">
        <v>56</v>
      </c>
      <c r="E1144" s="5" t="s">
        <v>57</v>
      </c>
      <c r="F1144" s="5"/>
      <c r="G1144" s="22" t="n">
        <f aca="false">ROUND(SUM(I1144:P1144),3)</f>
        <v>63.754</v>
      </c>
      <c r="H1144" s="5" t="str">
        <f aca="false">IF(G1144&gt;=評分方法!$C$16,"優先評估",IF(G1144&gt;=評分方法!$C$17,"列入候選",IF(G1144&gt;=評分方法!$C$18,"特定情境","不建議")))</f>
        <v>特定情境</v>
      </c>
      <c r="I1144" s="15" t="n">
        <f aca="false">AE1144*評分方法!$C$5</f>
        <v>25.5</v>
      </c>
      <c r="J1144" s="15" t="n">
        <f aca="false">AF1144*評分方法!$C$6</f>
        <v>0</v>
      </c>
      <c r="K1144" s="15" t="n">
        <f aca="false">AG1144*評分方法!$C$7</f>
        <v>10.05</v>
      </c>
      <c r="L1144" s="15" t="n">
        <f aca="false">AH1144*評分方法!$C$8</f>
        <v>9</v>
      </c>
      <c r="M1144" s="15" t="n">
        <f aca="false">AI1144*評分方法!$C$9</f>
        <v>10</v>
      </c>
      <c r="N1144" s="15" t="n">
        <f aca="false">AJ1144*評分方法!$C$10</f>
        <v>1.204</v>
      </c>
      <c r="O1144" s="15" t="n">
        <f aca="false">AK1144*評分方法!$C$11</f>
        <v>5</v>
      </c>
      <c r="P1144" s="15" t="n">
        <f aca="false">AL1144*評分方法!$C$12</f>
        <v>3</v>
      </c>
      <c r="Q1144" s="6" t="n">
        <v>160656</v>
      </c>
      <c r="R1144" s="6" t="n">
        <v>30697345596</v>
      </c>
      <c r="S1144" s="11" t="s">
        <v>389</v>
      </c>
      <c r="T1144" s="11" t="s">
        <v>239</v>
      </c>
      <c r="U1144" s="5" t="s">
        <v>240</v>
      </c>
      <c r="V1144" s="11" t="s">
        <v>333</v>
      </c>
      <c r="W1144" s="5" t="s">
        <v>207</v>
      </c>
      <c r="X1144" s="5" t="s">
        <v>371</v>
      </c>
      <c r="Y1144" s="11" t="s">
        <v>583</v>
      </c>
      <c r="Z1144" s="11" t="s">
        <v>244</v>
      </c>
      <c r="AA1144" s="11" t="s">
        <v>156</v>
      </c>
      <c r="AB1144" s="5" t="s">
        <v>245</v>
      </c>
      <c r="AC1144" s="5" t="s">
        <v>246</v>
      </c>
      <c r="AD1144" s="11" t="s">
        <v>2885</v>
      </c>
      <c r="AE1144" s="23" t="n">
        <v>0.85</v>
      </c>
      <c r="AF1144" s="23" t="n">
        <v>0</v>
      </c>
      <c r="AG1144" s="23" t="n">
        <v>0.67</v>
      </c>
      <c r="AH1144" s="23" t="n">
        <v>0.6</v>
      </c>
      <c r="AI1144" s="23" t="n">
        <v>1</v>
      </c>
      <c r="AJ1144" s="23" t="n">
        <v>0.1204</v>
      </c>
      <c r="AK1144" s="23" t="n">
        <v>1</v>
      </c>
      <c r="AL1144" s="23" t="n">
        <v>0.6</v>
      </c>
      <c r="AM1144" s="16" t="n">
        <f aca="false">COUNTIFS($D$2:$D$2501,D1144,$G$2:$G$2501,"&gt;"&amp;G1144)+COUNTIFS($D$2:D1144,D1144,$G$2:G1144,G1144)</f>
        <v>507</v>
      </c>
      <c r="AN1144" s="5" t="str">
        <f aca="false">D1144&amp;"|"&amp;AM1144</f>
        <v>分析與報告生成|507</v>
      </c>
    </row>
    <row r="1145" customFormat="false" ht="17.15" hidden="false" customHeight="false" outlineLevel="0" collapsed="false">
      <c r="A1145" s="16" t="n">
        <f aca="false">RANK(G1145,$G$2:$G$2501)+COUNTIF($G$2:G1145,G1145)-1</f>
        <v>1144</v>
      </c>
      <c r="B1145" s="11" t="s">
        <v>2886</v>
      </c>
      <c r="C1145" s="11" t="s">
        <v>2887</v>
      </c>
      <c r="D1145" s="5" t="s">
        <v>66</v>
      </c>
      <c r="E1145" s="5" t="s">
        <v>67</v>
      </c>
      <c r="F1145" s="5"/>
      <c r="G1145" s="22" t="n">
        <f aca="false">ROUND(SUM(I1145:P1145),3)</f>
        <v>63.734</v>
      </c>
      <c r="H1145" s="5" t="str">
        <f aca="false">IF(G1145&gt;=評分方法!$C$16,"優先評估",IF(G1145&gt;=評分方法!$C$17,"列入候選",IF(G1145&gt;=評分方法!$C$18,"特定情境","不建議")))</f>
        <v>特定情境</v>
      </c>
      <c r="I1145" s="15" t="n">
        <f aca="false">AE1145*評分方法!$C$5</f>
        <v>30</v>
      </c>
      <c r="J1145" s="15" t="n">
        <f aca="false">AF1145*評分方法!$C$6</f>
        <v>0</v>
      </c>
      <c r="K1145" s="15" t="n">
        <f aca="false">AG1145*評分方法!$C$7</f>
        <v>4.95</v>
      </c>
      <c r="L1145" s="15" t="n">
        <f aca="false">AH1145*評分方法!$C$8</f>
        <v>15</v>
      </c>
      <c r="M1145" s="15" t="n">
        <f aca="false">AI1145*評分方法!$C$9</f>
        <v>10</v>
      </c>
      <c r="N1145" s="15" t="n">
        <f aca="false">AJ1145*評分方法!$C$10</f>
        <v>1.284</v>
      </c>
      <c r="O1145" s="15" t="n">
        <f aca="false">AK1145*評分方法!$C$11</f>
        <v>2.5</v>
      </c>
      <c r="P1145" s="15" t="n">
        <f aca="false">AL1145*評分方法!$C$12</f>
        <v>0</v>
      </c>
      <c r="Q1145" s="6" t="n">
        <v>166812</v>
      </c>
      <c r="R1145" s="6" t="n">
        <v>109483009</v>
      </c>
      <c r="S1145" s="11" t="s">
        <v>238</v>
      </c>
      <c r="T1145" s="11" t="s">
        <v>239</v>
      </c>
      <c r="U1145" s="5" t="s">
        <v>240</v>
      </c>
      <c r="V1145" s="11" t="s">
        <v>261</v>
      </c>
      <c r="W1145" s="5" t="s">
        <v>334</v>
      </c>
      <c r="X1145" s="5" t="s">
        <v>242</v>
      </c>
      <c r="Y1145" s="5"/>
      <c r="Z1145" s="5"/>
      <c r="AA1145" s="11" t="s">
        <v>149</v>
      </c>
      <c r="AB1145" s="5" t="s">
        <v>245</v>
      </c>
      <c r="AC1145" s="5"/>
      <c r="AD1145" s="11" t="s">
        <v>2888</v>
      </c>
      <c r="AE1145" s="23" t="n">
        <v>1</v>
      </c>
      <c r="AF1145" s="23" t="n">
        <v>0</v>
      </c>
      <c r="AG1145" s="23" t="n">
        <v>0.33</v>
      </c>
      <c r="AH1145" s="23" t="n">
        <v>1</v>
      </c>
      <c r="AI1145" s="23" t="n">
        <v>1</v>
      </c>
      <c r="AJ1145" s="23" t="n">
        <v>0.1284</v>
      </c>
      <c r="AK1145" s="23" t="n">
        <v>0.5</v>
      </c>
      <c r="AL1145" s="23" t="n">
        <v>0</v>
      </c>
      <c r="AM1145" s="16" t="n">
        <f aca="false">COUNTIFS($D$2:$D$2501,D1145,$G$2:$G$2501,"&gt;"&amp;G1145)+COUNTIFS($D$2:D1145,D1145,$G$2:G1145,G1145)</f>
        <v>32</v>
      </c>
      <c r="AN1145" s="5" t="str">
        <f aca="false">D1145&amp;"|"&amp;AM1145</f>
        <v>分類與偵測|32</v>
      </c>
    </row>
    <row r="1146" customFormat="false" ht="17.15" hidden="false" customHeight="false" outlineLevel="0" collapsed="false">
      <c r="A1146" s="16" t="n">
        <f aca="false">RANK(G1146,$G$2:$G$2501)+COUNTIF($G$2:G1146,G1146)-1</f>
        <v>1145</v>
      </c>
      <c r="B1146" s="11" t="s">
        <v>2889</v>
      </c>
      <c r="C1146" s="11" t="s">
        <v>2616</v>
      </c>
      <c r="D1146" s="5" t="s">
        <v>78</v>
      </c>
      <c r="E1146" s="5" t="s">
        <v>79</v>
      </c>
      <c r="F1146" s="5"/>
      <c r="G1146" s="22" t="n">
        <f aca="false">ROUND(SUM(I1146:P1146),3)</f>
        <v>63.732</v>
      </c>
      <c r="H1146" s="5" t="str">
        <f aca="false">IF(G1146&gt;=評分方法!$C$16,"優先評估",IF(G1146&gt;=評分方法!$C$17,"列入候選",IF(G1146&gt;=評分方法!$C$18,"特定情境","不建議")))</f>
        <v>特定情境</v>
      </c>
      <c r="I1146" s="15" t="n">
        <f aca="false">AE1146*評分方法!$C$5</f>
        <v>10.5</v>
      </c>
      <c r="J1146" s="15" t="n">
        <f aca="false">AF1146*評分方法!$C$6</f>
        <v>0</v>
      </c>
      <c r="K1146" s="15" t="n">
        <f aca="false">AG1146*評分方法!$C$7</f>
        <v>15</v>
      </c>
      <c r="L1146" s="15" t="n">
        <f aca="false">AH1146*評分方法!$C$8</f>
        <v>15</v>
      </c>
      <c r="M1146" s="15" t="n">
        <f aca="false">AI1146*評分方法!$C$9</f>
        <v>10</v>
      </c>
      <c r="N1146" s="15" t="n">
        <f aca="false">AJ1146*評分方法!$C$10</f>
        <v>9.232</v>
      </c>
      <c r="O1146" s="15" t="n">
        <f aca="false">AK1146*評分方法!$C$11</f>
        <v>2.5</v>
      </c>
      <c r="P1146" s="15" t="n">
        <f aca="false">AL1146*評分方法!$C$12</f>
        <v>1.5</v>
      </c>
      <c r="Q1146" s="6" t="n">
        <v>5406661</v>
      </c>
      <c r="R1146" s="6" t="n">
        <v>96151393</v>
      </c>
      <c r="S1146" s="11" t="s">
        <v>238</v>
      </c>
      <c r="T1146" s="11" t="s">
        <v>1636</v>
      </c>
      <c r="U1146" s="5" t="s">
        <v>240</v>
      </c>
      <c r="V1146" s="11" t="s">
        <v>261</v>
      </c>
      <c r="W1146" s="5" t="s">
        <v>205</v>
      </c>
      <c r="X1146" s="5" t="s">
        <v>255</v>
      </c>
      <c r="Y1146" s="5"/>
      <c r="Z1146" s="5"/>
      <c r="AA1146" s="11" t="s">
        <v>174</v>
      </c>
      <c r="AB1146" s="5" t="s">
        <v>245</v>
      </c>
      <c r="AC1146" s="5"/>
      <c r="AD1146" s="11" t="s">
        <v>2890</v>
      </c>
      <c r="AE1146" s="23" t="n">
        <v>0.35</v>
      </c>
      <c r="AF1146" s="23" t="n">
        <v>0</v>
      </c>
      <c r="AG1146" s="23" t="n">
        <v>1</v>
      </c>
      <c r="AH1146" s="23" t="n">
        <v>1</v>
      </c>
      <c r="AI1146" s="23" t="n">
        <v>1</v>
      </c>
      <c r="AJ1146" s="23" t="n">
        <v>0.9232</v>
      </c>
      <c r="AK1146" s="23" t="n">
        <v>0.5</v>
      </c>
      <c r="AL1146" s="23" t="n">
        <v>0.3</v>
      </c>
      <c r="AM1146" s="16" t="n">
        <f aca="false">COUNTIFS($D$2:$D$2501,D1146,$G$2:$G$2501,"&gt;"&amp;G1146)+COUNTIFS($D$2:D1146,D1146,$G$2:G1146,G1146)</f>
        <v>12</v>
      </c>
      <c r="AN1146" s="5" t="str">
        <f aca="false">D1146&amp;"|"&amp;AM1146</f>
        <v>語音分析|12</v>
      </c>
    </row>
    <row r="1147" customFormat="false" ht="17.15" hidden="false" customHeight="false" outlineLevel="0" collapsed="false">
      <c r="A1147" s="16" t="n">
        <f aca="false">RANK(G1147,$G$2:$G$2501)+COUNTIF($G$2:G1147,G1147)-1</f>
        <v>1146</v>
      </c>
      <c r="B1147" s="11" t="s">
        <v>2891</v>
      </c>
      <c r="C1147" s="11" t="s">
        <v>2712</v>
      </c>
      <c r="D1147" s="5" t="s">
        <v>56</v>
      </c>
      <c r="E1147" s="5" t="s">
        <v>57</v>
      </c>
      <c r="F1147" s="5"/>
      <c r="G1147" s="22" t="n">
        <f aca="false">ROUND(SUM(I1147:P1147),3)</f>
        <v>63.708</v>
      </c>
      <c r="H1147" s="5" t="str">
        <f aca="false">IF(G1147&gt;=評分方法!$C$16,"優先評估",IF(G1147&gt;=評分方法!$C$17,"列入候選",IF(G1147&gt;=評分方法!$C$18,"特定情境","不建議")))</f>
        <v>特定情境</v>
      </c>
      <c r="I1147" s="15" t="n">
        <f aca="false">AE1147*評分方法!$C$5</f>
        <v>25.5</v>
      </c>
      <c r="J1147" s="15" t="n">
        <f aca="false">AF1147*評分方法!$C$6</f>
        <v>0</v>
      </c>
      <c r="K1147" s="15" t="n">
        <f aca="false">AG1147*評分方法!$C$7</f>
        <v>4.95</v>
      </c>
      <c r="L1147" s="15" t="n">
        <f aca="false">AH1147*評分方法!$C$8</f>
        <v>13.05</v>
      </c>
      <c r="M1147" s="15" t="n">
        <f aca="false">AI1147*評分方法!$C$9</f>
        <v>10</v>
      </c>
      <c r="N1147" s="15" t="n">
        <f aca="false">AJ1147*評分方法!$C$10</f>
        <v>0.208</v>
      </c>
      <c r="O1147" s="15" t="n">
        <f aca="false">AK1147*評分方法!$C$11</f>
        <v>5</v>
      </c>
      <c r="P1147" s="15" t="n">
        <f aca="false">AL1147*評分方法!$C$12</f>
        <v>5</v>
      </c>
      <c r="Q1147" s="6" t="n">
        <v>122038</v>
      </c>
      <c r="R1147" s="6" t="n">
        <v>9152319488</v>
      </c>
      <c r="S1147" s="11" t="s">
        <v>254</v>
      </c>
      <c r="T1147" s="11" t="s">
        <v>239</v>
      </c>
      <c r="U1147" s="5" t="s">
        <v>240</v>
      </c>
      <c r="V1147" s="11" t="s">
        <v>261</v>
      </c>
      <c r="W1147" s="5" t="s">
        <v>334</v>
      </c>
      <c r="X1147" s="5" t="s">
        <v>284</v>
      </c>
      <c r="Y1147" s="11" t="s">
        <v>2892</v>
      </c>
      <c r="Z1147" s="11" t="s">
        <v>270</v>
      </c>
      <c r="AA1147" s="11" t="s">
        <v>155</v>
      </c>
      <c r="AB1147" s="5" t="s">
        <v>245</v>
      </c>
      <c r="AC1147" s="5"/>
      <c r="AD1147" s="11" t="s">
        <v>2893</v>
      </c>
      <c r="AE1147" s="23" t="n">
        <v>0.85</v>
      </c>
      <c r="AF1147" s="23" t="n">
        <v>0</v>
      </c>
      <c r="AG1147" s="23" t="n">
        <v>0.33</v>
      </c>
      <c r="AH1147" s="23" t="n">
        <v>0.87</v>
      </c>
      <c r="AI1147" s="23" t="n">
        <v>1</v>
      </c>
      <c r="AJ1147" s="23" t="n">
        <v>0.0208</v>
      </c>
      <c r="AK1147" s="23" t="n">
        <v>1</v>
      </c>
      <c r="AL1147" s="23" t="n">
        <v>1</v>
      </c>
      <c r="AM1147" s="16" t="n">
        <f aca="false">COUNTIFS($D$2:$D$2501,D1147,$G$2:$G$2501,"&gt;"&amp;G1147)+COUNTIFS($D$2:D1147,D1147,$G$2:G1147,G1147)</f>
        <v>508</v>
      </c>
      <c r="AN1147" s="5" t="str">
        <f aca="false">D1147&amp;"|"&amp;AM1147</f>
        <v>分析與報告生成|508</v>
      </c>
    </row>
    <row r="1148" customFormat="false" ht="17.15" hidden="false" customHeight="false" outlineLevel="0" collapsed="false">
      <c r="A1148" s="16" t="n">
        <f aca="false">RANK(G1148,$G$2:$G$2501)+COUNTIF($G$2:G1148,G1148)-1</f>
        <v>1147</v>
      </c>
      <c r="B1148" s="11" t="s">
        <v>2894</v>
      </c>
      <c r="C1148" s="11" t="s">
        <v>2573</v>
      </c>
      <c r="D1148" s="5" t="s">
        <v>56</v>
      </c>
      <c r="E1148" s="5" t="s">
        <v>57</v>
      </c>
      <c r="F1148" s="5"/>
      <c r="G1148" s="22" t="n">
        <f aca="false">ROUND(SUM(I1148:P1148),3)</f>
        <v>63.7</v>
      </c>
      <c r="H1148" s="5" t="str">
        <f aca="false">IF(G1148&gt;=評分方法!$C$16,"優先評估",IF(G1148&gt;=評分方法!$C$17,"列入候選",IF(G1148&gt;=評分方法!$C$18,"特定情境","不建議")))</f>
        <v>特定情境</v>
      </c>
      <c r="I1148" s="15" t="n">
        <f aca="false">AE1148*評分方法!$C$5</f>
        <v>25.5</v>
      </c>
      <c r="J1148" s="15" t="n">
        <f aca="false">AF1148*評分方法!$C$6</f>
        <v>0</v>
      </c>
      <c r="K1148" s="15" t="n">
        <f aca="false">AG1148*評分方法!$C$7</f>
        <v>4.95</v>
      </c>
      <c r="L1148" s="15" t="n">
        <f aca="false">AH1148*評分方法!$C$8</f>
        <v>13.05</v>
      </c>
      <c r="M1148" s="15" t="n">
        <f aca="false">AI1148*評分方法!$C$9</f>
        <v>10</v>
      </c>
      <c r="N1148" s="15" t="n">
        <f aca="false">AJ1148*評分方法!$C$10</f>
        <v>1.2</v>
      </c>
      <c r="O1148" s="15" t="n">
        <f aca="false">AK1148*評分方法!$C$11</f>
        <v>4</v>
      </c>
      <c r="P1148" s="15" t="n">
        <f aca="false">AL1148*評分方法!$C$12</f>
        <v>5</v>
      </c>
      <c r="Q1148" s="6" t="n">
        <v>160651</v>
      </c>
      <c r="R1148" s="6" t="n">
        <v>5982235168</v>
      </c>
      <c r="S1148" s="11" t="s">
        <v>254</v>
      </c>
      <c r="T1148" s="11" t="s">
        <v>239</v>
      </c>
      <c r="U1148" s="5" t="s">
        <v>240</v>
      </c>
      <c r="V1148" s="11" t="s">
        <v>261</v>
      </c>
      <c r="W1148" s="5" t="s">
        <v>334</v>
      </c>
      <c r="X1148" s="5" t="s">
        <v>284</v>
      </c>
      <c r="Y1148" s="11" t="s">
        <v>422</v>
      </c>
      <c r="Z1148" s="11" t="s">
        <v>244</v>
      </c>
      <c r="AA1148" s="11" t="s">
        <v>155</v>
      </c>
      <c r="AB1148" s="5" t="s">
        <v>245</v>
      </c>
      <c r="AC1148" s="5" t="s">
        <v>246</v>
      </c>
      <c r="AD1148" s="11" t="s">
        <v>2895</v>
      </c>
      <c r="AE1148" s="23" t="n">
        <v>0.85</v>
      </c>
      <c r="AF1148" s="23" t="n">
        <v>0</v>
      </c>
      <c r="AG1148" s="23" t="n">
        <v>0.33</v>
      </c>
      <c r="AH1148" s="23" t="n">
        <v>0.87</v>
      </c>
      <c r="AI1148" s="23" t="n">
        <v>1</v>
      </c>
      <c r="AJ1148" s="23" t="n">
        <v>0.12</v>
      </c>
      <c r="AK1148" s="23" t="n">
        <v>0.8</v>
      </c>
      <c r="AL1148" s="23" t="n">
        <v>1</v>
      </c>
      <c r="AM1148" s="16" t="n">
        <f aca="false">COUNTIFS($D$2:$D$2501,D1148,$G$2:$G$2501,"&gt;"&amp;G1148)+COUNTIFS($D$2:D1148,D1148,$G$2:G1148,G1148)</f>
        <v>509</v>
      </c>
      <c r="AN1148" s="5" t="str">
        <f aca="false">D1148&amp;"|"&amp;AM1148</f>
        <v>分析與報告生成|509</v>
      </c>
    </row>
    <row r="1149" customFormat="false" ht="17.15" hidden="false" customHeight="false" outlineLevel="0" collapsed="false">
      <c r="A1149" s="16" t="n">
        <f aca="false">RANK(G1149,$G$2:$G$2501)+COUNTIF($G$2:G1149,G1149)-1</f>
        <v>1148</v>
      </c>
      <c r="B1149" s="11" t="s">
        <v>2896</v>
      </c>
      <c r="C1149" s="11" t="s">
        <v>1725</v>
      </c>
      <c r="D1149" s="5" t="s">
        <v>56</v>
      </c>
      <c r="E1149" s="5" t="s">
        <v>57</v>
      </c>
      <c r="F1149" s="5"/>
      <c r="G1149" s="22" t="n">
        <f aca="false">ROUND(SUM(I1149:P1149),3)</f>
        <v>63.674</v>
      </c>
      <c r="H1149" s="5" t="str">
        <f aca="false">IF(G1149&gt;=評分方法!$C$16,"優先評估",IF(G1149&gt;=評分方法!$C$17,"列入候選",IF(G1149&gt;=評分方法!$C$18,"特定情境","不建議")))</f>
        <v>特定情境</v>
      </c>
      <c r="I1149" s="15" t="n">
        <f aca="false">AE1149*評分方法!$C$5</f>
        <v>25.5</v>
      </c>
      <c r="J1149" s="15" t="n">
        <f aca="false">AF1149*評分方法!$C$6</f>
        <v>0</v>
      </c>
      <c r="K1149" s="15" t="n">
        <f aca="false">AG1149*評分方法!$C$7</f>
        <v>4.95</v>
      </c>
      <c r="L1149" s="15" t="n">
        <f aca="false">AH1149*評分方法!$C$8</f>
        <v>9</v>
      </c>
      <c r="M1149" s="15" t="n">
        <f aca="false">AI1149*評分方法!$C$9</f>
        <v>10</v>
      </c>
      <c r="N1149" s="15" t="n">
        <f aca="false">AJ1149*評分方法!$C$10</f>
        <v>6.224</v>
      </c>
      <c r="O1149" s="15" t="n">
        <f aca="false">AK1149*評分方法!$C$11</f>
        <v>5</v>
      </c>
      <c r="P1149" s="15" t="n">
        <f aca="false">AL1149*評分方法!$C$12</f>
        <v>3</v>
      </c>
      <c r="Q1149" s="6" t="n">
        <v>674557</v>
      </c>
      <c r="R1149" s="6" t="n">
        <v>26519623246</v>
      </c>
      <c r="S1149" s="11" t="s">
        <v>389</v>
      </c>
      <c r="T1149" s="11" t="s">
        <v>239</v>
      </c>
      <c r="U1149" s="5" t="s">
        <v>240</v>
      </c>
      <c r="V1149" s="11" t="s">
        <v>261</v>
      </c>
      <c r="W1149" s="5" t="s">
        <v>334</v>
      </c>
      <c r="X1149" s="5" t="s">
        <v>371</v>
      </c>
      <c r="Y1149" s="11" t="s">
        <v>575</v>
      </c>
      <c r="Z1149" s="11" t="s">
        <v>244</v>
      </c>
      <c r="AA1149" s="11" t="s">
        <v>156</v>
      </c>
      <c r="AB1149" s="5" t="s">
        <v>245</v>
      </c>
      <c r="AC1149" s="5" t="s">
        <v>246</v>
      </c>
      <c r="AD1149" s="11" t="s">
        <v>2897</v>
      </c>
      <c r="AE1149" s="23" t="n">
        <v>0.85</v>
      </c>
      <c r="AF1149" s="23" t="n">
        <v>0</v>
      </c>
      <c r="AG1149" s="23" t="n">
        <v>0.33</v>
      </c>
      <c r="AH1149" s="23" t="n">
        <v>0.6</v>
      </c>
      <c r="AI1149" s="23" t="n">
        <v>1</v>
      </c>
      <c r="AJ1149" s="23" t="n">
        <v>0.6224</v>
      </c>
      <c r="AK1149" s="23" t="n">
        <v>1</v>
      </c>
      <c r="AL1149" s="23" t="n">
        <v>0.6</v>
      </c>
      <c r="AM1149" s="16" t="n">
        <f aca="false">COUNTIFS($D$2:$D$2501,D1149,$G$2:$G$2501,"&gt;"&amp;G1149)+COUNTIFS($D$2:D1149,D1149,$G$2:G1149,G1149)</f>
        <v>510</v>
      </c>
      <c r="AN1149" s="5" t="str">
        <f aca="false">D1149&amp;"|"&amp;AM1149</f>
        <v>分析與報告生成|510</v>
      </c>
    </row>
    <row r="1150" customFormat="false" ht="17.15" hidden="false" customHeight="false" outlineLevel="0" collapsed="false">
      <c r="A1150" s="16" t="n">
        <f aca="false">RANK(G1150,$G$2:$G$2501)+COUNTIF($G$2:G1150,G1150)-1</f>
        <v>1149</v>
      </c>
      <c r="B1150" s="11" t="s">
        <v>2898</v>
      </c>
      <c r="C1150" s="11" t="s">
        <v>368</v>
      </c>
      <c r="D1150" s="5" t="s">
        <v>56</v>
      </c>
      <c r="E1150" s="5" t="s">
        <v>57</v>
      </c>
      <c r="F1150" s="5"/>
      <c r="G1150" s="22" t="n">
        <f aca="false">ROUND(SUM(I1150:P1150),3)</f>
        <v>63.674</v>
      </c>
      <c r="H1150" s="5" t="str">
        <f aca="false">IF(G1150&gt;=評分方法!$C$16,"優先評估",IF(G1150&gt;=評分方法!$C$17,"列入候選",IF(G1150&gt;=評分方法!$C$18,"特定情境","不建議")))</f>
        <v>特定情境</v>
      </c>
      <c r="I1150" s="15" t="n">
        <f aca="false">AE1150*評分方法!$C$5</f>
        <v>25.5</v>
      </c>
      <c r="J1150" s="15" t="n">
        <f aca="false">AF1150*評分方法!$C$6</f>
        <v>0</v>
      </c>
      <c r="K1150" s="15" t="n">
        <f aca="false">AG1150*評分方法!$C$7</f>
        <v>15</v>
      </c>
      <c r="L1150" s="15" t="n">
        <f aca="false">AH1150*評分方法!$C$8</f>
        <v>13.05</v>
      </c>
      <c r="M1150" s="15" t="n">
        <f aca="false">AI1150*評分方法!$C$9</f>
        <v>6</v>
      </c>
      <c r="N1150" s="15" t="n">
        <f aca="false">AJ1150*評分方法!$C$10</f>
        <v>0.124</v>
      </c>
      <c r="O1150" s="15" t="n">
        <f aca="false">AK1150*評分方法!$C$11</f>
        <v>1</v>
      </c>
      <c r="P1150" s="15" t="n">
        <f aca="false">AL1150*評分方法!$C$12</f>
        <v>3</v>
      </c>
      <c r="Q1150" s="6" t="n">
        <v>119900</v>
      </c>
      <c r="R1150" s="6" t="n">
        <v>2506172416</v>
      </c>
      <c r="S1150" s="11" t="s">
        <v>254</v>
      </c>
      <c r="T1150" s="11" t="s">
        <v>658</v>
      </c>
      <c r="U1150" s="5" t="s">
        <v>260</v>
      </c>
      <c r="V1150" s="11" t="s">
        <v>261</v>
      </c>
      <c r="W1150" s="5" t="s">
        <v>205</v>
      </c>
      <c r="X1150" s="5" t="s">
        <v>371</v>
      </c>
      <c r="Y1150" s="5"/>
      <c r="Z1150" s="5"/>
      <c r="AA1150" s="11" t="s">
        <v>155</v>
      </c>
      <c r="AB1150" s="5" t="s">
        <v>245</v>
      </c>
      <c r="AC1150" s="5" t="s">
        <v>262</v>
      </c>
      <c r="AD1150" s="11" t="s">
        <v>2899</v>
      </c>
      <c r="AE1150" s="23" t="n">
        <v>0.85</v>
      </c>
      <c r="AF1150" s="23" t="n">
        <v>0</v>
      </c>
      <c r="AG1150" s="23" t="n">
        <v>1</v>
      </c>
      <c r="AH1150" s="23" t="n">
        <v>0.87</v>
      </c>
      <c r="AI1150" s="23" t="n">
        <v>0.6</v>
      </c>
      <c r="AJ1150" s="23" t="n">
        <v>0.0124</v>
      </c>
      <c r="AK1150" s="23" t="n">
        <v>0.2</v>
      </c>
      <c r="AL1150" s="23" t="n">
        <v>0.6</v>
      </c>
      <c r="AM1150" s="16" t="n">
        <f aca="false">COUNTIFS($D$2:$D$2501,D1150,$G$2:$G$2501,"&gt;"&amp;G1150)+COUNTIFS($D$2:D1150,D1150,$G$2:G1150,G1150)</f>
        <v>511</v>
      </c>
      <c r="AN1150" s="5" t="str">
        <f aca="false">D1150&amp;"|"&amp;AM1150</f>
        <v>分析與報告生成|511</v>
      </c>
    </row>
    <row r="1151" customFormat="false" ht="17.15" hidden="false" customHeight="false" outlineLevel="0" collapsed="false">
      <c r="A1151" s="16" t="n">
        <f aca="false">RANK(G1151,$G$2:$G$2501)+COUNTIF($G$2:G1151,G1151)-1</f>
        <v>1150</v>
      </c>
      <c r="B1151" s="11" t="s">
        <v>2900</v>
      </c>
      <c r="C1151" s="11" t="s">
        <v>253</v>
      </c>
      <c r="D1151" s="5" t="s">
        <v>78</v>
      </c>
      <c r="E1151" s="5" t="s">
        <v>79</v>
      </c>
      <c r="F1151" s="5"/>
      <c r="G1151" s="22" t="n">
        <f aca="false">ROUND(SUM(I1151:P1151),3)</f>
        <v>63.668</v>
      </c>
      <c r="H1151" s="5" t="str">
        <f aca="false">IF(G1151&gt;=評分方法!$C$16,"優先評估",IF(G1151&gt;=評分方法!$C$17,"列入候選",IF(G1151&gt;=評分方法!$C$18,"特定情境","不建議")))</f>
        <v>特定情境</v>
      </c>
      <c r="I1151" s="15" t="n">
        <f aca="false">AE1151*評分方法!$C$5</f>
        <v>9</v>
      </c>
      <c r="J1151" s="15" t="n">
        <f aca="false">AF1151*評分方法!$C$6</f>
        <v>0</v>
      </c>
      <c r="K1151" s="15" t="n">
        <f aca="false">AG1151*評分方法!$C$7</f>
        <v>15</v>
      </c>
      <c r="L1151" s="15" t="n">
        <f aca="false">AH1151*評分方法!$C$8</f>
        <v>15</v>
      </c>
      <c r="M1151" s="15" t="n">
        <f aca="false">AI1151*評分方法!$C$9</f>
        <v>10</v>
      </c>
      <c r="N1151" s="15" t="n">
        <f aca="false">AJ1151*評分方法!$C$10</f>
        <v>8.668</v>
      </c>
      <c r="O1151" s="15" t="n">
        <f aca="false">AK1151*評分方法!$C$11</f>
        <v>1</v>
      </c>
      <c r="P1151" s="15" t="n">
        <f aca="false">AL1151*評分方法!$C$12</f>
        <v>5</v>
      </c>
      <c r="Q1151" s="6" t="n">
        <v>2668800</v>
      </c>
      <c r="R1151" s="6" t="n">
        <v>763857920</v>
      </c>
      <c r="S1151" s="11" t="s">
        <v>238</v>
      </c>
      <c r="T1151" s="11" t="s">
        <v>239</v>
      </c>
      <c r="U1151" s="5" t="s">
        <v>240</v>
      </c>
      <c r="V1151" s="11" t="s">
        <v>279</v>
      </c>
      <c r="W1151" s="5" t="s">
        <v>205</v>
      </c>
      <c r="X1151" s="5" t="s">
        <v>284</v>
      </c>
      <c r="Y1151" s="5"/>
      <c r="Z1151" s="5"/>
      <c r="AA1151" s="11" t="s">
        <v>175</v>
      </c>
      <c r="AB1151" s="5" t="s">
        <v>245</v>
      </c>
      <c r="AC1151" s="5"/>
      <c r="AD1151" s="11" t="s">
        <v>2901</v>
      </c>
      <c r="AE1151" s="23" t="n">
        <v>0.3</v>
      </c>
      <c r="AF1151" s="23" t="n">
        <v>0</v>
      </c>
      <c r="AG1151" s="23" t="n">
        <v>1</v>
      </c>
      <c r="AH1151" s="23" t="n">
        <v>1</v>
      </c>
      <c r="AI1151" s="23" t="n">
        <v>1</v>
      </c>
      <c r="AJ1151" s="23" t="n">
        <v>0.8668</v>
      </c>
      <c r="AK1151" s="23" t="n">
        <v>0.2</v>
      </c>
      <c r="AL1151" s="23" t="n">
        <v>1</v>
      </c>
      <c r="AM1151" s="16" t="n">
        <f aca="false">COUNTIFS($D$2:$D$2501,D1151,$G$2:$G$2501,"&gt;"&amp;G1151)+COUNTIFS($D$2:D1151,D1151,$G$2:G1151,G1151)</f>
        <v>13</v>
      </c>
      <c r="AN1151" s="5" t="str">
        <f aca="false">D1151&amp;"|"&amp;AM1151</f>
        <v>語音分析|13</v>
      </c>
    </row>
    <row r="1152" customFormat="false" ht="17.15" hidden="false" customHeight="false" outlineLevel="0" collapsed="false">
      <c r="A1152" s="16" t="n">
        <f aca="false">RANK(G1152,$G$2:$G$2501)+COUNTIF($G$2:G1152,G1152)-1</f>
        <v>1151</v>
      </c>
      <c r="B1152" s="11" t="s">
        <v>2902</v>
      </c>
      <c r="C1152" s="11" t="s">
        <v>2903</v>
      </c>
      <c r="D1152" s="5" t="s">
        <v>54</v>
      </c>
      <c r="E1152" s="5" t="s">
        <v>55</v>
      </c>
      <c r="F1152" s="5"/>
      <c r="G1152" s="22" t="n">
        <f aca="false">ROUND(SUM(I1152:P1152),3)</f>
        <v>63.666</v>
      </c>
      <c r="H1152" s="5" t="str">
        <f aca="false">IF(G1152&gt;=評分方法!$C$16,"優先評估",IF(G1152&gt;=評分方法!$C$17,"列入候選",IF(G1152&gt;=評分方法!$C$18,"特定情境","不建議")))</f>
        <v>特定情境</v>
      </c>
      <c r="I1152" s="15" t="n">
        <f aca="false">AE1152*評分方法!$C$5</f>
        <v>27</v>
      </c>
      <c r="J1152" s="15" t="n">
        <f aca="false">AF1152*評分方法!$C$6</f>
        <v>0</v>
      </c>
      <c r="K1152" s="15" t="n">
        <f aca="false">AG1152*評分方法!$C$7</f>
        <v>4.95</v>
      </c>
      <c r="L1152" s="15" t="n">
        <f aca="false">AH1152*評分方法!$C$8</f>
        <v>15</v>
      </c>
      <c r="M1152" s="15" t="n">
        <f aca="false">AI1152*評分方法!$C$9</f>
        <v>6</v>
      </c>
      <c r="N1152" s="15" t="n">
        <f aca="false">AJ1152*評分方法!$C$10</f>
        <v>8.216</v>
      </c>
      <c r="O1152" s="15" t="n">
        <f aca="false">AK1152*評分方法!$C$11</f>
        <v>1</v>
      </c>
      <c r="P1152" s="15" t="n">
        <f aca="false">AL1152*評分方法!$C$12</f>
        <v>1.5</v>
      </c>
      <c r="Q1152" s="6" t="n">
        <v>1826339</v>
      </c>
      <c r="R1152" s="6" t="n">
        <v>109482240</v>
      </c>
      <c r="S1152" s="11" t="s">
        <v>238</v>
      </c>
      <c r="T1152" s="11" t="s">
        <v>185</v>
      </c>
      <c r="U1152" s="5" t="s">
        <v>260</v>
      </c>
      <c r="V1152" s="11" t="s">
        <v>324</v>
      </c>
      <c r="W1152" s="5" t="s">
        <v>334</v>
      </c>
      <c r="X1152" s="5" t="s">
        <v>255</v>
      </c>
      <c r="Y1152" s="5"/>
      <c r="Z1152" s="5"/>
      <c r="AA1152" s="11" t="s">
        <v>153</v>
      </c>
      <c r="AB1152" s="5" t="s">
        <v>245</v>
      </c>
      <c r="AC1152" s="5" t="s">
        <v>262</v>
      </c>
      <c r="AD1152" s="11" t="s">
        <v>2904</v>
      </c>
      <c r="AE1152" s="23" t="n">
        <v>0.9</v>
      </c>
      <c r="AF1152" s="23" t="n">
        <v>0</v>
      </c>
      <c r="AG1152" s="23" t="n">
        <v>0.33</v>
      </c>
      <c r="AH1152" s="23" t="n">
        <v>1</v>
      </c>
      <c r="AI1152" s="23" t="n">
        <v>0.6</v>
      </c>
      <c r="AJ1152" s="23" t="n">
        <v>0.8216</v>
      </c>
      <c r="AK1152" s="23" t="n">
        <v>0.2</v>
      </c>
      <c r="AL1152" s="23" t="n">
        <v>0.3</v>
      </c>
      <c r="AM1152" s="16" t="n">
        <f aca="false">COUNTIFS($D$2:$D$2501,D1152,$G$2:$G$2501,"&gt;"&amp;G1152)+COUNTIFS($D$2:D1152,D1152,$G$2:G1152,G1152)</f>
        <v>171</v>
      </c>
      <c r="AN1152" s="5" t="str">
        <f aca="false">D1152&amp;"|"&amp;AM1152</f>
        <v>檢索與情資關聯|171</v>
      </c>
    </row>
    <row r="1153" customFormat="false" ht="17.15" hidden="false" customHeight="false" outlineLevel="0" collapsed="false">
      <c r="A1153" s="16" t="n">
        <f aca="false">RANK(G1153,$G$2:$G$2501)+COUNTIF($G$2:G1153,G1153)-1</f>
        <v>1152</v>
      </c>
      <c r="B1153" s="11" t="s">
        <v>2905</v>
      </c>
      <c r="C1153" s="11" t="s">
        <v>2785</v>
      </c>
      <c r="D1153" s="5" t="s">
        <v>56</v>
      </c>
      <c r="E1153" s="5" t="s">
        <v>57</v>
      </c>
      <c r="F1153" s="5"/>
      <c r="G1153" s="22" t="n">
        <f aca="false">ROUND(SUM(I1153:P1153),3)</f>
        <v>63.644</v>
      </c>
      <c r="H1153" s="5" t="str">
        <f aca="false">IF(G1153&gt;=評分方法!$C$16,"優先評估",IF(G1153&gt;=評分方法!$C$17,"列入候選",IF(G1153&gt;=評分方法!$C$18,"特定情境","不建議")))</f>
        <v>特定情境</v>
      </c>
      <c r="I1153" s="15" t="n">
        <f aca="false">AE1153*評分方法!$C$5</f>
        <v>25.5</v>
      </c>
      <c r="J1153" s="15" t="n">
        <f aca="false">AF1153*評分方法!$C$6</f>
        <v>0</v>
      </c>
      <c r="K1153" s="15" t="n">
        <f aca="false">AG1153*評分方法!$C$7</f>
        <v>10.05</v>
      </c>
      <c r="L1153" s="15" t="n">
        <f aca="false">AH1153*評分方法!$C$8</f>
        <v>13.05</v>
      </c>
      <c r="M1153" s="15" t="n">
        <f aca="false">AI1153*評分方法!$C$9</f>
        <v>6</v>
      </c>
      <c r="N1153" s="15" t="n">
        <f aca="false">AJ1153*評分方法!$C$10</f>
        <v>8.044</v>
      </c>
      <c r="O1153" s="15" t="n">
        <f aca="false">AK1153*評分方法!$C$11</f>
        <v>1</v>
      </c>
      <c r="P1153" s="15" t="n">
        <f aca="false">AL1153*評分方法!$C$12</f>
        <v>0</v>
      </c>
      <c r="Q1153" s="6" t="n">
        <v>1613013</v>
      </c>
      <c r="R1153" s="6" t="n">
        <v>8030261248</v>
      </c>
      <c r="S1153" s="11" t="s">
        <v>254</v>
      </c>
      <c r="T1153" s="11" t="s">
        <v>259</v>
      </c>
      <c r="U1153" s="5" t="s">
        <v>260</v>
      </c>
      <c r="V1153" s="11" t="s">
        <v>324</v>
      </c>
      <c r="W1153" s="5" t="s">
        <v>207</v>
      </c>
      <c r="X1153" s="5" t="s">
        <v>242</v>
      </c>
      <c r="Y1153" s="5"/>
      <c r="Z1153" s="5"/>
      <c r="AA1153" s="11" t="s">
        <v>155</v>
      </c>
      <c r="AB1153" s="5" t="s">
        <v>245</v>
      </c>
      <c r="AC1153" s="5" t="s">
        <v>262</v>
      </c>
      <c r="AD1153" s="11" t="s">
        <v>2906</v>
      </c>
      <c r="AE1153" s="23" t="n">
        <v>0.85</v>
      </c>
      <c r="AF1153" s="23" t="n">
        <v>0</v>
      </c>
      <c r="AG1153" s="23" t="n">
        <v>0.67</v>
      </c>
      <c r="AH1153" s="23" t="n">
        <v>0.87</v>
      </c>
      <c r="AI1153" s="23" t="n">
        <v>0.6</v>
      </c>
      <c r="AJ1153" s="23" t="n">
        <v>0.8044</v>
      </c>
      <c r="AK1153" s="23" t="n">
        <v>0.2</v>
      </c>
      <c r="AL1153" s="23" t="n">
        <v>0</v>
      </c>
      <c r="AM1153" s="16" t="n">
        <f aca="false">COUNTIFS($D$2:$D$2501,D1153,$G$2:$G$2501,"&gt;"&amp;G1153)+COUNTIFS($D$2:D1153,D1153,$G$2:G1153,G1153)</f>
        <v>512</v>
      </c>
      <c r="AN1153" s="5" t="str">
        <f aca="false">D1153&amp;"|"&amp;AM1153</f>
        <v>分析與報告生成|512</v>
      </c>
    </row>
    <row r="1154" customFormat="false" ht="17.15" hidden="false" customHeight="false" outlineLevel="0" collapsed="false">
      <c r="A1154" s="16" t="n">
        <f aca="false">RANK(G1154,$G$2:$G$2501)+COUNTIF($G$2:G1154,G1154)-1</f>
        <v>1153</v>
      </c>
      <c r="B1154" s="11" t="s">
        <v>2907</v>
      </c>
      <c r="C1154" s="11" t="s">
        <v>2693</v>
      </c>
      <c r="D1154" s="5" t="s">
        <v>74</v>
      </c>
      <c r="E1154" s="5" t="s">
        <v>75</v>
      </c>
      <c r="F1154" s="5"/>
      <c r="G1154" s="22" t="n">
        <f aca="false">ROUND(SUM(I1154:P1154),3)</f>
        <v>63.628</v>
      </c>
      <c r="H1154" s="5" t="str">
        <f aca="false">IF(G1154&gt;=評分方法!$C$16,"優先評估",IF(G1154&gt;=評分方法!$C$17,"列入候選",IF(G1154&gt;=評分方法!$C$18,"特定情境","不建議")))</f>
        <v>特定情境</v>
      </c>
      <c r="I1154" s="15" t="n">
        <f aca="false">AE1154*評分方法!$C$5</f>
        <v>10.5</v>
      </c>
      <c r="J1154" s="15" t="n">
        <f aca="false">AF1154*評分方法!$C$6</f>
        <v>0</v>
      </c>
      <c r="K1154" s="15" t="n">
        <f aca="false">AG1154*評分方法!$C$7</f>
        <v>15</v>
      </c>
      <c r="L1154" s="15" t="n">
        <f aca="false">AH1154*評分方法!$C$8</f>
        <v>15</v>
      </c>
      <c r="M1154" s="15" t="n">
        <f aca="false">AI1154*評分方法!$C$9</f>
        <v>10</v>
      </c>
      <c r="N1154" s="15" t="n">
        <f aca="false">AJ1154*評分方法!$C$10</f>
        <v>9.128</v>
      </c>
      <c r="O1154" s="15" t="n">
        <f aca="false">AK1154*評分方法!$C$11</f>
        <v>2.5</v>
      </c>
      <c r="P1154" s="15" t="n">
        <f aca="false">AL1154*評分方法!$C$12</f>
        <v>1.5</v>
      </c>
      <c r="Q1154" s="6" t="n">
        <v>4572616</v>
      </c>
      <c r="R1154" s="6" t="n">
        <v>22057344</v>
      </c>
      <c r="S1154" s="11" t="s">
        <v>238</v>
      </c>
      <c r="T1154" s="11" t="s">
        <v>239</v>
      </c>
      <c r="U1154" s="5" t="s">
        <v>240</v>
      </c>
      <c r="V1154" s="11" t="s">
        <v>324</v>
      </c>
      <c r="W1154" s="5" t="s">
        <v>205</v>
      </c>
      <c r="X1154" s="5" t="s">
        <v>255</v>
      </c>
      <c r="Y1154" s="5"/>
      <c r="Z1154" s="5"/>
      <c r="AA1154" s="11" t="s">
        <v>173</v>
      </c>
      <c r="AB1154" s="5" t="s">
        <v>245</v>
      </c>
      <c r="AC1154" s="5"/>
      <c r="AD1154" s="11" t="s">
        <v>2908</v>
      </c>
      <c r="AE1154" s="23" t="n">
        <v>0.35</v>
      </c>
      <c r="AF1154" s="23" t="n">
        <v>0</v>
      </c>
      <c r="AG1154" s="23" t="n">
        <v>1</v>
      </c>
      <c r="AH1154" s="23" t="n">
        <v>1</v>
      </c>
      <c r="AI1154" s="23" t="n">
        <v>1</v>
      </c>
      <c r="AJ1154" s="23" t="n">
        <v>0.9128</v>
      </c>
      <c r="AK1154" s="23" t="n">
        <v>0.5</v>
      </c>
      <c r="AL1154" s="23" t="n">
        <v>0.3</v>
      </c>
      <c r="AM1154" s="16" t="n">
        <f aca="false">COUNTIFS($D$2:$D$2501,D1154,$G$2:$G$2501,"&gt;"&amp;G1154)+COUNTIFS($D$2:D1154,D1154,$G$2:G1154,G1154)</f>
        <v>26</v>
      </c>
      <c r="AN1154" s="5" t="str">
        <f aca="false">D1154&amp;"|"&amp;AM1154</f>
        <v>文件與影像辨識|26</v>
      </c>
    </row>
    <row r="1155" customFormat="false" ht="17.15" hidden="false" customHeight="false" outlineLevel="0" collapsed="false">
      <c r="A1155" s="16" t="n">
        <f aca="false">RANK(G1155,$G$2:$G$2501)+COUNTIF($G$2:G1155,G1155)-1</f>
        <v>1154</v>
      </c>
      <c r="B1155" s="11" t="s">
        <v>2909</v>
      </c>
      <c r="C1155" s="11" t="s">
        <v>2910</v>
      </c>
      <c r="D1155" s="5" t="s">
        <v>56</v>
      </c>
      <c r="E1155" s="5" t="s">
        <v>57</v>
      </c>
      <c r="F1155" s="5"/>
      <c r="G1155" s="22" t="n">
        <f aca="false">ROUND(SUM(I1155:P1155),3)</f>
        <v>63.612</v>
      </c>
      <c r="H1155" s="5" t="str">
        <f aca="false">IF(G1155&gt;=評分方法!$C$16,"優先評估",IF(G1155&gt;=評分方法!$C$17,"列入候選",IF(G1155&gt;=評分方法!$C$18,"特定情境","不建議")))</f>
        <v>特定情境</v>
      </c>
      <c r="I1155" s="15" t="n">
        <f aca="false">AE1155*評分方法!$C$5</f>
        <v>24</v>
      </c>
      <c r="J1155" s="15" t="n">
        <f aca="false">AF1155*評分方法!$C$6</f>
        <v>0</v>
      </c>
      <c r="K1155" s="15" t="n">
        <f aca="false">AG1155*評分方法!$C$7</f>
        <v>10.05</v>
      </c>
      <c r="L1155" s="15" t="n">
        <f aca="false">AH1155*評分方法!$C$8</f>
        <v>13.05</v>
      </c>
      <c r="M1155" s="15" t="n">
        <f aca="false">AI1155*評分方法!$C$9</f>
        <v>10</v>
      </c>
      <c r="N1155" s="15" t="n">
        <f aca="false">AJ1155*評分方法!$C$10</f>
        <v>2.512</v>
      </c>
      <c r="O1155" s="15" t="n">
        <f aca="false">AK1155*評分方法!$C$11</f>
        <v>4</v>
      </c>
      <c r="P1155" s="15" t="n">
        <f aca="false">AL1155*評分方法!$C$12</f>
        <v>0</v>
      </c>
      <c r="Q1155" s="6" t="n">
        <v>250504</v>
      </c>
      <c r="R1155" s="6" t="n">
        <v>6905064389</v>
      </c>
      <c r="S1155" s="11" t="s">
        <v>254</v>
      </c>
      <c r="T1155" s="11" t="s">
        <v>239</v>
      </c>
      <c r="U1155" s="5" t="s">
        <v>240</v>
      </c>
      <c r="V1155" s="11" t="s">
        <v>261</v>
      </c>
      <c r="W1155" s="5" t="s">
        <v>207</v>
      </c>
      <c r="X1155" s="5" t="s">
        <v>242</v>
      </c>
      <c r="Y1155" s="11" t="s">
        <v>422</v>
      </c>
      <c r="Z1155" s="11" t="s">
        <v>244</v>
      </c>
      <c r="AA1155" s="11" t="s">
        <v>157</v>
      </c>
      <c r="AB1155" s="5" t="s">
        <v>245</v>
      </c>
      <c r="AC1155" s="5" t="s">
        <v>246</v>
      </c>
      <c r="AD1155" s="11" t="s">
        <v>2911</v>
      </c>
      <c r="AE1155" s="23" t="n">
        <v>0.8</v>
      </c>
      <c r="AF1155" s="23" t="n">
        <v>0</v>
      </c>
      <c r="AG1155" s="23" t="n">
        <v>0.67</v>
      </c>
      <c r="AH1155" s="23" t="n">
        <v>0.87</v>
      </c>
      <c r="AI1155" s="23" t="n">
        <v>1</v>
      </c>
      <c r="AJ1155" s="23" t="n">
        <v>0.2512</v>
      </c>
      <c r="AK1155" s="23" t="n">
        <v>0.8</v>
      </c>
      <c r="AL1155" s="23" t="n">
        <v>0</v>
      </c>
      <c r="AM1155" s="16" t="n">
        <f aca="false">COUNTIFS($D$2:$D$2501,D1155,$G$2:$G$2501,"&gt;"&amp;G1155)+COUNTIFS($D$2:D1155,D1155,$G$2:G1155,G1155)</f>
        <v>513</v>
      </c>
      <c r="AN1155" s="5" t="str">
        <f aca="false">D1155&amp;"|"&amp;AM1155</f>
        <v>分析與報告生成|513</v>
      </c>
    </row>
    <row r="1156" customFormat="false" ht="17.15" hidden="false" customHeight="false" outlineLevel="0" collapsed="false">
      <c r="A1156" s="16" t="n">
        <f aca="false">RANK(G1156,$G$2:$G$2501)+COUNTIF($G$2:G1156,G1156)-1</f>
        <v>1155</v>
      </c>
      <c r="B1156" s="11" t="s">
        <v>2912</v>
      </c>
      <c r="C1156" s="11" t="s">
        <v>753</v>
      </c>
      <c r="D1156" s="5" t="s">
        <v>56</v>
      </c>
      <c r="E1156" s="5" t="s">
        <v>57</v>
      </c>
      <c r="F1156" s="5"/>
      <c r="G1156" s="22" t="n">
        <f aca="false">ROUND(SUM(I1156:P1156),3)</f>
        <v>63.606</v>
      </c>
      <c r="H1156" s="5" t="str">
        <f aca="false">IF(G1156&gt;=評分方法!$C$16,"優先評估",IF(G1156&gt;=評分方法!$C$17,"列入候選",IF(G1156&gt;=評分方法!$C$18,"特定情境","不建議")))</f>
        <v>特定情境</v>
      </c>
      <c r="I1156" s="15" t="n">
        <f aca="false">AE1156*評分方法!$C$5</f>
        <v>25.5</v>
      </c>
      <c r="J1156" s="15" t="n">
        <f aca="false">AF1156*評分方法!$C$6</f>
        <v>0</v>
      </c>
      <c r="K1156" s="15" t="n">
        <f aca="false">AG1156*評分方法!$C$7</f>
        <v>10.05</v>
      </c>
      <c r="L1156" s="15" t="n">
        <f aca="false">AH1156*評分方法!$C$8</f>
        <v>9</v>
      </c>
      <c r="M1156" s="15" t="n">
        <f aca="false">AI1156*評分方法!$C$9</f>
        <v>10</v>
      </c>
      <c r="N1156" s="15" t="n">
        <f aca="false">AJ1156*評分方法!$C$10</f>
        <v>1.056</v>
      </c>
      <c r="O1156" s="15" t="n">
        <f aca="false">AK1156*評分方法!$C$11</f>
        <v>5</v>
      </c>
      <c r="P1156" s="15" t="n">
        <f aca="false">AL1156*評分方法!$C$12</f>
        <v>3</v>
      </c>
      <c r="Q1156" s="6" t="n">
        <v>156222</v>
      </c>
      <c r="R1156" s="6" t="n">
        <v>32682372656</v>
      </c>
      <c r="S1156" s="11" t="s">
        <v>389</v>
      </c>
      <c r="T1156" s="11" t="s">
        <v>239</v>
      </c>
      <c r="U1156" s="5" t="s">
        <v>240</v>
      </c>
      <c r="V1156" s="11" t="s">
        <v>261</v>
      </c>
      <c r="W1156" s="5" t="s">
        <v>207</v>
      </c>
      <c r="X1156" s="5" t="s">
        <v>371</v>
      </c>
      <c r="Y1156" s="11" t="s">
        <v>583</v>
      </c>
      <c r="Z1156" s="11" t="s">
        <v>270</v>
      </c>
      <c r="AA1156" s="11" t="s">
        <v>156</v>
      </c>
      <c r="AB1156" s="5" t="s">
        <v>245</v>
      </c>
      <c r="AC1156" s="5"/>
      <c r="AD1156" s="11" t="s">
        <v>2913</v>
      </c>
      <c r="AE1156" s="23" t="n">
        <v>0.85</v>
      </c>
      <c r="AF1156" s="23" t="n">
        <v>0</v>
      </c>
      <c r="AG1156" s="23" t="n">
        <v>0.67</v>
      </c>
      <c r="AH1156" s="23" t="n">
        <v>0.6</v>
      </c>
      <c r="AI1156" s="23" t="n">
        <v>1</v>
      </c>
      <c r="AJ1156" s="23" t="n">
        <v>0.1056</v>
      </c>
      <c r="AK1156" s="23" t="n">
        <v>1</v>
      </c>
      <c r="AL1156" s="23" t="n">
        <v>0.6</v>
      </c>
      <c r="AM1156" s="16" t="n">
        <f aca="false">COUNTIFS($D$2:$D$2501,D1156,$G$2:$G$2501,"&gt;"&amp;G1156)+COUNTIFS($D$2:D1156,D1156,$G$2:G1156,G1156)</f>
        <v>514</v>
      </c>
      <c r="AN1156" s="5" t="str">
        <f aca="false">D1156&amp;"|"&amp;AM1156</f>
        <v>分析與報告生成|514</v>
      </c>
    </row>
    <row r="1157" customFormat="false" ht="17.15" hidden="false" customHeight="false" outlineLevel="0" collapsed="false">
      <c r="A1157" s="16" t="n">
        <f aca="false">RANK(G1157,$G$2:$G$2501)+COUNTIF($G$2:G1157,G1157)-1</f>
        <v>1156</v>
      </c>
      <c r="B1157" s="11" t="s">
        <v>2914</v>
      </c>
      <c r="C1157" s="11" t="s">
        <v>368</v>
      </c>
      <c r="D1157" s="5" t="s">
        <v>74</v>
      </c>
      <c r="E1157" s="5" t="s">
        <v>75</v>
      </c>
      <c r="F1157" s="5"/>
      <c r="G1157" s="22" t="n">
        <f aca="false">ROUND(SUM(I1157:P1157),3)</f>
        <v>63.602</v>
      </c>
      <c r="H1157" s="5" t="str">
        <f aca="false">IF(G1157&gt;=評分方法!$C$16,"優先評估",IF(G1157&gt;=評分方法!$C$17,"列入候選",IF(G1157&gt;=評分方法!$C$18,"特定情境","不建議")))</f>
        <v>特定情境</v>
      </c>
      <c r="I1157" s="15" t="n">
        <f aca="false">AE1157*評分方法!$C$5</f>
        <v>12</v>
      </c>
      <c r="J1157" s="15" t="n">
        <f aca="false">AF1157*評分方法!$C$6</f>
        <v>0</v>
      </c>
      <c r="K1157" s="15" t="n">
        <f aca="false">AG1157*評分方法!$C$7</f>
        <v>15</v>
      </c>
      <c r="L1157" s="15" t="n">
        <f aca="false">AH1157*評分方法!$C$8</f>
        <v>13.05</v>
      </c>
      <c r="M1157" s="15" t="n">
        <f aca="false">AI1157*評分方法!$C$9</f>
        <v>10</v>
      </c>
      <c r="N1157" s="15" t="n">
        <f aca="false">AJ1157*評分方法!$C$10</f>
        <v>9.552</v>
      </c>
      <c r="O1157" s="15" t="n">
        <f aca="false">AK1157*評分方法!$C$11</f>
        <v>2.5</v>
      </c>
      <c r="P1157" s="15" t="n">
        <f aca="false">AL1157*評分方法!$C$12</f>
        <v>1.5</v>
      </c>
      <c r="Q1157" s="6" t="n">
        <v>9448324</v>
      </c>
      <c r="R1157" s="6" t="n">
        <v>1871885426</v>
      </c>
      <c r="S1157" s="11" t="s">
        <v>254</v>
      </c>
      <c r="T1157" s="11" t="s">
        <v>239</v>
      </c>
      <c r="U1157" s="5" t="s">
        <v>240</v>
      </c>
      <c r="V1157" s="11" t="s">
        <v>261</v>
      </c>
      <c r="W1157" s="5" t="s">
        <v>205</v>
      </c>
      <c r="X1157" s="5" t="s">
        <v>255</v>
      </c>
      <c r="Y1157" s="5"/>
      <c r="Z1157" s="5"/>
      <c r="AA1157" s="11" t="s">
        <v>167</v>
      </c>
      <c r="AB1157" s="5" t="s">
        <v>245</v>
      </c>
      <c r="AC1157" s="5"/>
      <c r="AD1157" s="11" t="s">
        <v>2915</v>
      </c>
      <c r="AE1157" s="23" t="n">
        <v>0.4</v>
      </c>
      <c r="AF1157" s="23" t="n">
        <v>0</v>
      </c>
      <c r="AG1157" s="23" t="n">
        <v>1</v>
      </c>
      <c r="AH1157" s="23" t="n">
        <v>0.87</v>
      </c>
      <c r="AI1157" s="23" t="n">
        <v>1</v>
      </c>
      <c r="AJ1157" s="23" t="n">
        <v>0.9552</v>
      </c>
      <c r="AK1157" s="23" t="n">
        <v>0.5</v>
      </c>
      <c r="AL1157" s="23" t="n">
        <v>0.3</v>
      </c>
      <c r="AM1157" s="16" t="n">
        <f aca="false">COUNTIFS($D$2:$D$2501,D1157,$G$2:$G$2501,"&gt;"&amp;G1157)+COUNTIFS($D$2:D1157,D1157,$G$2:G1157,G1157)</f>
        <v>27</v>
      </c>
      <c r="AN1157" s="5" t="str">
        <f aca="false">D1157&amp;"|"&amp;AM1157</f>
        <v>文件與影像辨識|27</v>
      </c>
    </row>
    <row r="1158" customFormat="false" ht="17.15" hidden="false" customHeight="false" outlineLevel="0" collapsed="false">
      <c r="A1158" s="16" t="n">
        <f aca="false">RANK(G1158,$G$2:$G$2501)+COUNTIF($G$2:G1158,G1158)-1</f>
        <v>1157</v>
      </c>
      <c r="B1158" s="11" t="s">
        <v>2916</v>
      </c>
      <c r="C1158" s="11" t="s">
        <v>2917</v>
      </c>
      <c r="D1158" s="5" t="s">
        <v>54</v>
      </c>
      <c r="E1158" s="5" t="s">
        <v>55</v>
      </c>
      <c r="F1158" s="5"/>
      <c r="G1158" s="22" t="n">
        <f aca="false">ROUND(SUM(I1158:P1158),3)</f>
        <v>63.59</v>
      </c>
      <c r="H1158" s="5" t="str">
        <f aca="false">IF(G1158&gt;=評分方法!$C$16,"優先評估",IF(G1158&gt;=評分方法!$C$17,"列入候選",IF(G1158&gt;=評分方法!$C$18,"特定情境","不建議")))</f>
        <v>特定情境</v>
      </c>
      <c r="I1158" s="15" t="n">
        <f aca="false">AE1158*評分方法!$C$5</f>
        <v>27</v>
      </c>
      <c r="J1158" s="15" t="n">
        <f aca="false">AF1158*評分方法!$C$6</f>
        <v>0</v>
      </c>
      <c r="K1158" s="15" t="n">
        <f aca="false">AG1158*評分方法!$C$7</f>
        <v>4.95</v>
      </c>
      <c r="L1158" s="15" t="n">
        <f aca="false">AH1158*評分方法!$C$8</f>
        <v>15</v>
      </c>
      <c r="M1158" s="15" t="n">
        <f aca="false">AI1158*評分方法!$C$9</f>
        <v>10</v>
      </c>
      <c r="N1158" s="15" t="n">
        <f aca="false">AJ1158*評分方法!$C$10</f>
        <v>4.14</v>
      </c>
      <c r="O1158" s="15" t="n">
        <f aca="false">AK1158*評分方法!$C$11</f>
        <v>2.5</v>
      </c>
      <c r="P1158" s="15" t="n">
        <f aca="false">AL1158*評分方法!$C$12</f>
        <v>0</v>
      </c>
      <c r="Q1158" s="6" t="n">
        <v>446158</v>
      </c>
      <c r="R1158" s="6" t="n">
        <v>4416698</v>
      </c>
      <c r="S1158" s="11" t="s">
        <v>238</v>
      </c>
      <c r="T1158" s="11" t="s">
        <v>239</v>
      </c>
      <c r="U1158" s="5" t="s">
        <v>240</v>
      </c>
      <c r="V1158" s="11" t="s">
        <v>261</v>
      </c>
      <c r="W1158" s="5" t="s">
        <v>334</v>
      </c>
      <c r="X1158" s="5" t="s">
        <v>242</v>
      </c>
      <c r="Y1158" s="5"/>
      <c r="Z1158" s="5"/>
      <c r="AA1158" s="11" t="s">
        <v>153</v>
      </c>
      <c r="AB1158" s="5" t="s">
        <v>245</v>
      </c>
      <c r="AC1158" s="5"/>
      <c r="AD1158" s="11" t="s">
        <v>2918</v>
      </c>
      <c r="AE1158" s="23" t="n">
        <v>0.9</v>
      </c>
      <c r="AF1158" s="23" t="n">
        <v>0</v>
      </c>
      <c r="AG1158" s="23" t="n">
        <v>0.33</v>
      </c>
      <c r="AH1158" s="23" t="n">
        <v>1</v>
      </c>
      <c r="AI1158" s="23" t="n">
        <v>1</v>
      </c>
      <c r="AJ1158" s="23" t="n">
        <v>0.414</v>
      </c>
      <c r="AK1158" s="23" t="n">
        <v>0.5</v>
      </c>
      <c r="AL1158" s="23" t="n">
        <v>0</v>
      </c>
      <c r="AM1158" s="16" t="n">
        <f aca="false">COUNTIFS($D$2:$D$2501,D1158,$G$2:$G$2501,"&gt;"&amp;G1158)+COUNTIFS($D$2:D1158,D1158,$G$2:G1158,G1158)</f>
        <v>172</v>
      </c>
      <c r="AN1158" s="5" t="str">
        <f aca="false">D1158&amp;"|"&amp;AM1158</f>
        <v>檢索與情資關聯|172</v>
      </c>
    </row>
    <row r="1159" customFormat="false" ht="17.15" hidden="false" customHeight="false" outlineLevel="0" collapsed="false">
      <c r="A1159" s="16" t="n">
        <f aca="false">RANK(G1159,$G$2:$G$2501)+COUNTIF($G$2:G1159,G1159)-1</f>
        <v>1158</v>
      </c>
      <c r="B1159" s="11" t="s">
        <v>2919</v>
      </c>
      <c r="C1159" s="11" t="s">
        <v>2920</v>
      </c>
      <c r="D1159" s="5" t="s">
        <v>56</v>
      </c>
      <c r="E1159" s="5" t="s">
        <v>57</v>
      </c>
      <c r="F1159" s="5"/>
      <c r="G1159" s="22" t="n">
        <f aca="false">ROUND(SUM(I1159:P1159),3)</f>
        <v>63.562</v>
      </c>
      <c r="H1159" s="5" t="str">
        <f aca="false">IF(G1159&gt;=評分方法!$C$16,"優先評估",IF(G1159&gt;=評分方法!$C$17,"列入候選",IF(G1159&gt;=評分方法!$C$18,"特定情境","不建議")))</f>
        <v>特定情境</v>
      </c>
      <c r="I1159" s="15" t="n">
        <f aca="false">AE1159*評分方法!$C$5</f>
        <v>25.5</v>
      </c>
      <c r="J1159" s="15" t="n">
        <f aca="false">AF1159*評分方法!$C$6</f>
        <v>0</v>
      </c>
      <c r="K1159" s="15" t="n">
        <f aca="false">AG1159*評分方法!$C$7</f>
        <v>4.95</v>
      </c>
      <c r="L1159" s="15" t="n">
        <f aca="false">AH1159*評分方法!$C$8</f>
        <v>9</v>
      </c>
      <c r="M1159" s="15" t="n">
        <f aca="false">AI1159*評分方法!$C$9</f>
        <v>10</v>
      </c>
      <c r="N1159" s="15" t="n">
        <f aca="false">AJ1159*評分方法!$C$10</f>
        <v>6.112</v>
      </c>
      <c r="O1159" s="15" t="n">
        <f aca="false">AK1159*評分方法!$C$11</f>
        <v>5</v>
      </c>
      <c r="P1159" s="15" t="n">
        <f aca="false">AL1159*評分方法!$C$12</f>
        <v>3</v>
      </c>
      <c r="Q1159" s="6" t="n">
        <v>646401</v>
      </c>
      <c r="R1159" s="6" t="n">
        <v>33442617088</v>
      </c>
      <c r="S1159" s="11" t="s">
        <v>389</v>
      </c>
      <c r="T1159" s="11" t="s">
        <v>1404</v>
      </c>
      <c r="U1159" s="5" t="s">
        <v>240</v>
      </c>
      <c r="V1159" s="11" t="s">
        <v>333</v>
      </c>
      <c r="W1159" s="5" t="s">
        <v>334</v>
      </c>
      <c r="X1159" s="5" t="s">
        <v>371</v>
      </c>
      <c r="Y1159" s="11" t="s">
        <v>1951</v>
      </c>
      <c r="Z1159" s="11" t="s">
        <v>244</v>
      </c>
      <c r="AA1159" s="11" t="s">
        <v>155</v>
      </c>
      <c r="AB1159" s="5" t="s">
        <v>245</v>
      </c>
      <c r="AC1159" s="5" t="s">
        <v>246</v>
      </c>
      <c r="AD1159" s="11" t="s">
        <v>2921</v>
      </c>
      <c r="AE1159" s="23" t="n">
        <v>0.85</v>
      </c>
      <c r="AF1159" s="23" t="n">
        <v>0</v>
      </c>
      <c r="AG1159" s="23" t="n">
        <v>0.33</v>
      </c>
      <c r="AH1159" s="23" t="n">
        <v>0.6</v>
      </c>
      <c r="AI1159" s="23" t="n">
        <v>1</v>
      </c>
      <c r="AJ1159" s="23" t="n">
        <v>0.6112</v>
      </c>
      <c r="AK1159" s="23" t="n">
        <v>1</v>
      </c>
      <c r="AL1159" s="23" t="n">
        <v>0.6</v>
      </c>
      <c r="AM1159" s="16" t="n">
        <f aca="false">COUNTIFS($D$2:$D$2501,D1159,$G$2:$G$2501,"&gt;"&amp;G1159)+COUNTIFS($D$2:D1159,D1159,$G$2:G1159,G1159)</f>
        <v>515</v>
      </c>
      <c r="AN1159" s="5" t="str">
        <f aca="false">D1159&amp;"|"&amp;AM1159</f>
        <v>分析與報告生成|515</v>
      </c>
    </row>
    <row r="1160" customFormat="false" ht="17.15" hidden="false" customHeight="false" outlineLevel="0" collapsed="false">
      <c r="A1160" s="16" t="n">
        <f aca="false">RANK(G1160,$G$2:$G$2501)+COUNTIF($G$2:G1160,G1160)-1</f>
        <v>1159</v>
      </c>
      <c r="B1160" s="11" t="s">
        <v>2922</v>
      </c>
      <c r="C1160" s="11" t="s">
        <v>258</v>
      </c>
      <c r="D1160" s="5" t="s">
        <v>56</v>
      </c>
      <c r="E1160" s="5" t="s">
        <v>57</v>
      </c>
      <c r="F1160" s="5"/>
      <c r="G1160" s="22" t="n">
        <f aca="false">ROUND(SUM(I1160:P1160),3)</f>
        <v>63.56</v>
      </c>
      <c r="H1160" s="5" t="str">
        <f aca="false">IF(G1160&gt;=評分方法!$C$16,"優先評估",IF(G1160&gt;=評分方法!$C$17,"列入候選",IF(G1160&gt;=評分方法!$C$18,"特定情境","不建議")))</f>
        <v>特定情境</v>
      </c>
      <c r="I1160" s="15" t="n">
        <f aca="false">AE1160*評分方法!$C$5</f>
        <v>25.5</v>
      </c>
      <c r="J1160" s="15" t="n">
        <f aca="false">AF1160*評分方法!$C$6</f>
        <v>0</v>
      </c>
      <c r="K1160" s="15" t="n">
        <f aca="false">AG1160*評分方法!$C$7</f>
        <v>15</v>
      </c>
      <c r="L1160" s="15" t="n">
        <f aca="false">AH1160*評分方法!$C$8</f>
        <v>9</v>
      </c>
      <c r="M1160" s="15" t="n">
        <f aca="false">AI1160*評分方法!$C$9</f>
        <v>6</v>
      </c>
      <c r="N1160" s="15" t="n">
        <f aca="false">AJ1160*評分方法!$C$10</f>
        <v>7.06</v>
      </c>
      <c r="O1160" s="15" t="n">
        <f aca="false">AK1160*評分方法!$C$11</f>
        <v>1</v>
      </c>
      <c r="P1160" s="15" t="n">
        <f aca="false">AL1160*評分方法!$C$12</f>
        <v>0</v>
      </c>
      <c r="Q1160" s="6" t="n">
        <v>942497</v>
      </c>
      <c r="R1160" s="6" t="n">
        <v>13015866880</v>
      </c>
      <c r="S1160" s="11" t="s">
        <v>389</v>
      </c>
      <c r="T1160" s="11" t="s">
        <v>1153</v>
      </c>
      <c r="U1160" s="5" t="s">
        <v>260</v>
      </c>
      <c r="V1160" s="11" t="s">
        <v>324</v>
      </c>
      <c r="W1160" s="5" t="s">
        <v>205</v>
      </c>
      <c r="X1160" s="5" t="s">
        <v>242</v>
      </c>
      <c r="Y1160" s="5"/>
      <c r="Z1160" s="5"/>
      <c r="AA1160" s="11" t="s">
        <v>155</v>
      </c>
      <c r="AB1160" s="5" t="s">
        <v>245</v>
      </c>
      <c r="AC1160" s="5" t="s">
        <v>262</v>
      </c>
      <c r="AD1160" s="11" t="s">
        <v>2923</v>
      </c>
      <c r="AE1160" s="23" t="n">
        <v>0.85</v>
      </c>
      <c r="AF1160" s="23" t="n">
        <v>0</v>
      </c>
      <c r="AG1160" s="23" t="n">
        <v>1</v>
      </c>
      <c r="AH1160" s="23" t="n">
        <v>0.6</v>
      </c>
      <c r="AI1160" s="23" t="n">
        <v>0.6</v>
      </c>
      <c r="AJ1160" s="23" t="n">
        <v>0.706</v>
      </c>
      <c r="AK1160" s="23" t="n">
        <v>0.2</v>
      </c>
      <c r="AL1160" s="23" t="n">
        <v>0</v>
      </c>
      <c r="AM1160" s="16" t="n">
        <f aca="false">COUNTIFS($D$2:$D$2501,D1160,$G$2:$G$2501,"&gt;"&amp;G1160)+COUNTIFS($D$2:D1160,D1160,$G$2:G1160,G1160)</f>
        <v>516</v>
      </c>
      <c r="AN1160" s="5" t="str">
        <f aca="false">D1160&amp;"|"&amp;AM1160</f>
        <v>分析與報告生成|516</v>
      </c>
    </row>
    <row r="1161" customFormat="false" ht="17.15" hidden="false" customHeight="false" outlineLevel="0" collapsed="false">
      <c r="A1161" s="16" t="n">
        <f aca="false">RANK(G1161,$G$2:$G$2501)+COUNTIF($G$2:G1161,G1161)-1</f>
        <v>1160</v>
      </c>
      <c r="B1161" s="11" t="s">
        <v>2924</v>
      </c>
      <c r="C1161" s="11" t="s">
        <v>1539</v>
      </c>
      <c r="D1161" s="5" t="s">
        <v>54</v>
      </c>
      <c r="E1161" s="5" t="s">
        <v>55</v>
      </c>
      <c r="F1161" s="5"/>
      <c r="G1161" s="22" t="n">
        <f aca="false">ROUND(SUM(I1161:P1161),3)</f>
        <v>63.554</v>
      </c>
      <c r="H1161" s="5" t="str">
        <f aca="false">IF(G1161&gt;=評分方法!$C$16,"優先評估",IF(G1161&gt;=評分方法!$C$17,"列入候選",IF(G1161&gt;=評分方法!$C$18,"特定情境","不建議")))</f>
        <v>特定情境</v>
      </c>
      <c r="I1161" s="15" t="n">
        <f aca="false">AE1161*評分方法!$C$5</f>
        <v>27</v>
      </c>
      <c r="J1161" s="15" t="n">
        <f aca="false">AF1161*評分方法!$C$6</f>
        <v>0</v>
      </c>
      <c r="K1161" s="15" t="n">
        <f aca="false">AG1161*評分方法!$C$7</f>
        <v>4.95</v>
      </c>
      <c r="L1161" s="15" t="n">
        <f aca="false">AH1161*評分方法!$C$8</f>
        <v>15</v>
      </c>
      <c r="M1161" s="15" t="n">
        <f aca="false">AI1161*評分方法!$C$9</f>
        <v>10</v>
      </c>
      <c r="N1161" s="15" t="n">
        <f aca="false">AJ1161*評分方法!$C$10</f>
        <v>1.604</v>
      </c>
      <c r="O1161" s="15" t="n">
        <f aca="false">AK1161*評分方法!$C$11</f>
        <v>5</v>
      </c>
      <c r="P1161" s="15" t="n">
        <f aca="false">AL1161*評分方法!$C$12</f>
        <v>0</v>
      </c>
      <c r="Q1161" s="6" t="n">
        <v>185474</v>
      </c>
      <c r="R1161" s="6" t="n">
        <v>22565376</v>
      </c>
      <c r="S1161" s="11" t="s">
        <v>238</v>
      </c>
      <c r="T1161" s="11" t="s">
        <v>239</v>
      </c>
      <c r="U1161" s="5" t="s">
        <v>240</v>
      </c>
      <c r="V1161" s="11" t="s">
        <v>241</v>
      </c>
      <c r="W1161" s="5" t="s">
        <v>334</v>
      </c>
      <c r="X1161" s="5" t="s">
        <v>242</v>
      </c>
      <c r="Y1161" s="5"/>
      <c r="Z1161" s="5"/>
      <c r="AA1161" s="11" t="s">
        <v>153</v>
      </c>
      <c r="AB1161" s="5" t="s">
        <v>245</v>
      </c>
      <c r="AC1161" s="5"/>
      <c r="AD1161" s="11" t="s">
        <v>2925</v>
      </c>
      <c r="AE1161" s="23" t="n">
        <v>0.9</v>
      </c>
      <c r="AF1161" s="23" t="n">
        <v>0</v>
      </c>
      <c r="AG1161" s="23" t="n">
        <v>0.33</v>
      </c>
      <c r="AH1161" s="23" t="n">
        <v>1</v>
      </c>
      <c r="AI1161" s="23" t="n">
        <v>1</v>
      </c>
      <c r="AJ1161" s="23" t="n">
        <v>0.1604</v>
      </c>
      <c r="AK1161" s="23" t="n">
        <v>1</v>
      </c>
      <c r="AL1161" s="23" t="n">
        <v>0</v>
      </c>
      <c r="AM1161" s="16" t="n">
        <f aca="false">COUNTIFS($D$2:$D$2501,D1161,$G$2:$G$2501,"&gt;"&amp;G1161)+COUNTIFS($D$2:D1161,D1161,$G$2:G1161,G1161)</f>
        <v>173</v>
      </c>
      <c r="AN1161" s="5" t="str">
        <f aca="false">D1161&amp;"|"&amp;AM1161</f>
        <v>檢索與情資關聯|173</v>
      </c>
    </row>
    <row r="1162" customFormat="false" ht="17.15" hidden="false" customHeight="false" outlineLevel="0" collapsed="false">
      <c r="A1162" s="16" t="n">
        <f aca="false">RANK(G1162,$G$2:$G$2501)+COUNTIF($G$2:G1162,G1162)-1</f>
        <v>1161</v>
      </c>
      <c r="B1162" s="11" t="s">
        <v>2926</v>
      </c>
      <c r="C1162" s="11" t="s">
        <v>753</v>
      </c>
      <c r="D1162" s="5" t="s">
        <v>56</v>
      </c>
      <c r="E1162" s="5" t="s">
        <v>57</v>
      </c>
      <c r="F1162" s="5"/>
      <c r="G1162" s="22" t="n">
        <f aca="false">ROUND(SUM(I1162:P1162),3)</f>
        <v>63.552</v>
      </c>
      <c r="H1162" s="5" t="str">
        <f aca="false">IF(G1162&gt;=評分方法!$C$16,"優先評估",IF(G1162&gt;=評分方法!$C$17,"列入候選",IF(G1162&gt;=評分方法!$C$18,"特定情境","不建議")))</f>
        <v>特定情境</v>
      </c>
      <c r="I1162" s="15" t="n">
        <f aca="false">AE1162*評分方法!$C$5</f>
        <v>25.5</v>
      </c>
      <c r="J1162" s="15" t="n">
        <f aca="false">AF1162*評分方法!$C$6</f>
        <v>0</v>
      </c>
      <c r="K1162" s="15" t="n">
        <f aca="false">AG1162*評分方法!$C$7</f>
        <v>10.05</v>
      </c>
      <c r="L1162" s="15" t="n">
        <f aca="false">AH1162*評分方法!$C$8</f>
        <v>1.95</v>
      </c>
      <c r="M1162" s="15" t="n">
        <f aca="false">AI1162*評分方法!$C$9</f>
        <v>10</v>
      </c>
      <c r="N1162" s="15" t="n">
        <f aca="false">AJ1162*評分方法!$C$10</f>
        <v>8.052</v>
      </c>
      <c r="O1162" s="15" t="n">
        <f aca="false">AK1162*評分方法!$C$11</f>
        <v>5</v>
      </c>
      <c r="P1162" s="15" t="n">
        <f aca="false">AL1162*評分方法!$C$12</f>
        <v>3</v>
      </c>
      <c r="Q1162" s="6" t="n">
        <v>1641093</v>
      </c>
      <c r="R1162" s="6" t="n">
        <v>947025564226</v>
      </c>
      <c r="S1162" s="11" t="s">
        <v>1616</v>
      </c>
      <c r="T1162" s="11" t="s">
        <v>239</v>
      </c>
      <c r="U1162" s="5" t="s">
        <v>240</v>
      </c>
      <c r="V1162" s="11" t="s">
        <v>333</v>
      </c>
      <c r="W1162" s="5" t="s">
        <v>207</v>
      </c>
      <c r="X1162" s="5" t="s">
        <v>371</v>
      </c>
      <c r="Y1162" s="11" t="s">
        <v>2927</v>
      </c>
      <c r="Z1162" s="11" t="s">
        <v>244</v>
      </c>
      <c r="AA1162" s="11" t="s">
        <v>156</v>
      </c>
      <c r="AB1162" s="5" t="s">
        <v>245</v>
      </c>
      <c r="AC1162" s="5" t="s">
        <v>246</v>
      </c>
      <c r="AD1162" s="11" t="s">
        <v>2928</v>
      </c>
      <c r="AE1162" s="23" t="n">
        <v>0.85</v>
      </c>
      <c r="AF1162" s="23" t="n">
        <v>0</v>
      </c>
      <c r="AG1162" s="23" t="n">
        <v>0.67</v>
      </c>
      <c r="AH1162" s="23" t="n">
        <v>0.13</v>
      </c>
      <c r="AI1162" s="23" t="n">
        <v>1</v>
      </c>
      <c r="AJ1162" s="23" t="n">
        <v>0.8052</v>
      </c>
      <c r="AK1162" s="23" t="n">
        <v>1</v>
      </c>
      <c r="AL1162" s="23" t="n">
        <v>0.6</v>
      </c>
      <c r="AM1162" s="16" t="n">
        <f aca="false">COUNTIFS($D$2:$D$2501,D1162,$G$2:$G$2501,"&gt;"&amp;G1162)+COUNTIFS($D$2:D1162,D1162,$G$2:G1162,G1162)</f>
        <v>517</v>
      </c>
      <c r="AN1162" s="5" t="str">
        <f aca="false">D1162&amp;"|"&amp;AM1162</f>
        <v>分析與報告生成|517</v>
      </c>
    </row>
    <row r="1163" customFormat="false" ht="17.15" hidden="false" customHeight="false" outlineLevel="0" collapsed="false">
      <c r="A1163" s="16" t="n">
        <f aca="false">RANK(G1163,$G$2:$G$2501)+COUNTIF($G$2:G1163,G1163)-1</f>
        <v>1162</v>
      </c>
      <c r="B1163" s="11" t="s">
        <v>2929</v>
      </c>
      <c r="C1163" s="11" t="s">
        <v>2930</v>
      </c>
      <c r="D1163" s="5" t="s">
        <v>56</v>
      </c>
      <c r="E1163" s="5" t="s">
        <v>57</v>
      </c>
      <c r="F1163" s="5"/>
      <c r="G1163" s="22" t="n">
        <f aca="false">ROUND(SUM(I1163:P1163),3)</f>
        <v>63.55</v>
      </c>
      <c r="H1163" s="5" t="str">
        <f aca="false">IF(G1163&gt;=評分方法!$C$16,"優先評估",IF(G1163&gt;=評分方法!$C$17,"列入候選",IF(G1163&gt;=評分方法!$C$18,"特定情境","不建議")))</f>
        <v>特定情境</v>
      </c>
      <c r="I1163" s="15" t="n">
        <f aca="false">AE1163*評分方法!$C$5</f>
        <v>25.5</v>
      </c>
      <c r="J1163" s="15" t="n">
        <f aca="false">AF1163*評分方法!$C$6</f>
        <v>0</v>
      </c>
      <c r="K1163" s="15" t="n">
        <f aca="false">AG1163*評分方法!$C$7</f>
        <v>4.95</v>
      </c>
      <c r="L1163" s="15" t="n">
        <f aca="false">AH1163*評分方法!$C$8</f>
        <v>15</v>
      </c>
      <c r="M1163" s="15" t="n">
        <f aca="false">AI1163*評分方法!$C$9</f>
        <v>10</v>
      </c>
      <c r="N1163" s="15" t="n">
        <f aca="false">AJ1163*評分方法!$C$10</f>
        <v>2.6</v>
      </c>
      <c r="O1163" s="15" t="n">
        <f aca="false">AK1163*評分方法!$C$11</f>
        <v>2.5</v>
      </c>
      <c r="P1163" s="15" t="n">
        <f aca="false">AL1163*評分方法!$C$12</f>
        <v>3</v>
      </c>
      <c r="Q1163" s="6" t="n">
        <v>261596</v>
      </c>
      <c r="R1163" s="6" t="n">
        <v>12988992</v>
      </c>
      <c r="S1163" s="11" t="s">
        <v>238</v>
      </c>
      <c r="T1163" s="11" t="s">
        <v>278</v>
      </c>
      <c r="U1163" s="5" t="s">
        <v>240</v>
      </c>
      <c r="V1163" s="11" t="s">
        <v>261</v>
      </c>
      <c r="W1163" s="5" t="s">
        <v>334</v>
      </c>
      <c r="X1163" s="5" t="s">
        <v>371</v>
      </c>
      <c r="Y1163" s="5"/>
      <c r="Z1163" s="5"/>
      <c r="AA1163" s="11" t="s">
        <v>155</v>
      </c>
      <c r="AB1163" s="5" t="s">
        <v>245</v>
      </c>
      <c r="AC1163" s="5"/>
      <c r="AD1163" s="11" t="s">
        <v>2931</v>
      </c>
      <c r="AE1163" s="23" t="n">
        <v>0.85</v>
      </c>
      <c r="AF1163" s="23" t="n">
        <v>0</v>
      </c>
      <c r="AG1163" s="23" t="n">
        <v>0.33</v>
      </c>
      <c r="AH1163" s="23" t="n">
        <v>1</v>
      </c>
      <c r="AI1163" s="23" t="n">
        <v>1</v>
      </c>
      <c r="AJ1163" s="23" t="n">
        <v>0.26</v>
      </c>
      <c r="AK1163" s="23" t="n">
        <v>0.5</v>
      </c>
      <c r="AL1163" s="23" t="n">
        <v>0.6</v>
      </c>
      <c r="AM1163" s="16" t="n">
        <f aca="false">COUNTIFS($D$2:$D$2501,D1163,$G$2:$G$2501,"&gt;"&amp;G1163)+COUNTIFS($D$2:D1163,D1163,$G$2:G1163,G1163)</f>
        <v>518</v>
      </c>
      <c r="AN1163" s="5" t="str">
        <f aca="false">D1163&amp;"|"&amp;AM1163</f>
        <v>分析與報告生成|518</v>
      </c>
    </row>
    <row r="1164" customFormat="false" ht="17.15" hidden="false" customHeight="false" outlineLevel="0" collapsed="false">
      <c r="A1164" s="16" t="n">
        <f aca="false">RANK(G1164,$G$2:$G$2501)+COUNTIF($G$2:G1164,G1164)-1</f>
        <v>1163</v>
      </c>
      <c r="B1164" s="11" t="s">
        <v>2932</v>
      </c>
      <c r="C1164" s="11" t="s">
        <v>2933</v>
      </c>
      <c r="D1164" s="5" t="s">
        <v>56</v>
      </c>
      <c r="E1164" s="5" t="s">
        <v>57</v>
      </c>
      <c r="F1164" s="5"/>
      <c r="G1164" s="22" t="n">
        <f aca="false">ROUND(SUM(I1164:P1164),3)</f>
        <v>63.538</v>
      </c>
      <c r="H1164" s="5" t="str">
        <f aca="false">IF(G1164&gt;=評分方法!$C$16,"優先評估",IF(G1164&gt;=評分方法!$C$17,"列入候選",IF(G1164&gt;=評分方法!$C$18,"特定情境","不建議")))</f>
        <v>特定情境</v>
      </c>
      <c r="I1164" s="15" t="n">
        <f aca="false">AE1164*評分方法!$C$5</f>
        <v>25.5</v>
      </c>
      <c r="J1164" s="15" t="n">
        <f aca="false">AF1164*評分方法!$C$6</f>
        <v>0</v>
      </c>
      <c r="K1164" s="15" t="n">
        <f aca="false">AG1164*評分方法!$C$7</f>
        <v>4.95</v>
      </c>
      <c r="L1164" s="15" t="n">
        <f aca="false">AH1164*評分方法!$C$8</f>
        <v>15</v>
      </c>
      <c r="M1164" s="15" t="n">
        <f aca="false">AI1164*評分方法!$C$9</f>
        <v>8</v>
      </c>
      <c r="N1164" s="15" t="n">
        <f aca="false">AJ1164*評分方法!$C$10</f>
        <v>2.088</v>
      </c>
      <c r="O1164" s="15" t="n">
        <f aca="false">AK1164*評分方法!$C$11</f>
        <v>5</v>
      </c>
      <c r="P1164" s="15" t="n">
        <f aca="false">AL1164*評分方法!$C$12</f>
        <v>3</v>
      </c>
      <c r="Q1164" s="6" t="n">
        <v>216668</v>
      </c>
      <c r="R1164" s="6" t="n">
        <v>110420736</v>
      </c>
      <c r="S1164" s="11" t="s">
        <v>238</v>
      </c>
      <c r="T1164" s="11" t="s">
        <v>1821</v>
      </c>
      <c r="U1164" s="5" t="s">
        <v>1822</v>
      </c>
      <c r="V1164" s="11" t="s">
        <v>333</v>
      </c>
      <c r="W1164" s="5" t="s">
        <v>334</v>
      </c>
      <c r="X1164" s="5" t="s">
        <v>371</v>
      </c>
      <c r="Y1164" s="5"/>
      <c r="Z1164" s="5"/>
      <c r="AA1164" s="11" t="s">
        <v>155</v>
      </c>
      <c r="AB1164" s="5" t="s">
        <v>961</v>
      </c>
      <c r="AC1164" s="5" t="s">
        <v>1203</v>
      </c>
      <c r="AD1164" s="11" t="s">
        <v>2934</v>
      </c>
      <c r="AE1164" s="23" t="n">
        <v>0.85</v>
      </c>
      <c r="AF1164" s="23" t="n">
        <v>0</v>
      </c>
      <c r="AG1164" s="23" t="n">
        <v>0.33</v>
      </c>
      <c r="AH1164" s="23" t="n">
        <v>1</v>
      </c>
      <c r="AI1164" s="23" t="n">
        <v>0.8</v>
      </c>
      <c r="AJ1164" s="23" t="n">
        <v>0.2088</v>
      </c>
      <c r="AK1164" s="23" t="n">
        <v>1</v>
      </c>
      <c r="AL1164" s="23" t="n">
        <v>0.6</v>
      </c>
      <c r="AM1164" s="16" t="n">
        <f aca="false">COUNTIFS($D$2:$D$2501,D1164,$G$2:$G$2501,"&gt;"&amp;G1164)+COUNTIFS($D$2:D1164,D1164,$G$2:G1164,G1164)</f>
        <v>519</v>
      </c>
      <c r="AN1164" s="5" t="str">
        <f aca="false">D1164&amp;"|"&amp;AM1164</f>
        <v>分析與報告生成|519</v>
      </c>
    </row>
    <row r="1165" customFormat="false" ht="17.15" hidden="false" customHeight="false" outlineLevel="0" collapsed="false">
      <c r="A1165" s="16" t="n">
        <f aca="false">RANK(G1165,$G$2:$G$2501)+COUNTIF($G$2:G1165,G1165)-1</f>
        <v>1164</v>
      </c>
      <c r="B1165" s="11" t="s">
        <v>2935</v>
      </c>
      <c r="C1165" s="11" t="s">
        <v>2645</v>
      </c>
      <c r="D1165" s="5" t="s">
        <v>68</v>
      </c>
      <c r="E1165" s="11" t="s">
        <v>69</v>
      </c>
      <c r="F1165" s="5"/>
      <c r="G1165" s="22" t="n">
        <f aca="false">ROUND(SUM(I1165:P1165),3)</f>
        <v>63.534</v>
      </c>
      <c r="H1165" s="5" t="str">
        <f aca="false">IF(G1165&gt;=評分方法!$C$16,"優先評估",IF(G1165&gt;=評分方法!$C$17,"列入候選",IF(G1165&gt;=評分方法!$C$18,"特定情境","不建議")))</f>
        <v>特定情境</v>
      </c>
      <c r="I1165" s="15" t="n">
        <f aca="false">AE1165*評分方法!$C$5</f>
        <v>21</v>
      </c>
      <c r="J1165" s="15" t="n">
        <f aca="false">AF1165*評分方法!$C$6</f>
        <v>0</v>
      </c>
      <c r="K1165" s="15" t="n">
        <f aca="false">AG1165*評分方法!$C$7</f>
        <v>4.95</v>
      </c>
      <c r="L1165" s="15" t="n">
        <f aca="false">AH1165*評分方法!$C$8</f>
        <v>15</v>
      </c>
      <c r="M1165" s="15" t="n">
        <f aca="false">AI1165*評分方法!$C$9</f>
        <v>10</v>
      </c>
      <c r="N1165" s="15" t="n">
        <f aca="false">AJ1165*評分方法!$C$10</f>
        <v>8.584</v>
      </c>
      <c r="O1165" s="15" t="n">
        <f aca="false">AK1165*評分方法!$C$11</f>
        <v>2.5</v>
      </c>
      <c r="P1165" s="15" t="n">
        <f aca="false">AL1165*評分方法!$C$12</f>
        <v>1.5</v>
      </c>
      <c r="Q1165" s="6" t="n">
        <v>2456579</v>
      </c>
      <c r="R1165" s="6" t="n">
        <v>3958259</v>
      </c>
      <c r="S1165" s="11" t="s">
        <v>238</v>
      </c>
      <c r="T1165" s="11" t="s">
        <v>278</v>
      </c>
      <c r="U1165" s="5" t="s">
        <v>240</v>
      </c>
      <c r="V1165" s="11" t="s">
        <v>261</v>
      </c>
      <c r="W1165" s="5" t="s">
        <v>334</v>
      </c>
      <c r="X1165" s="5" t="s">
        <v>255</v>
      </c>
      <c r="Y1165" s="5"/>
      <c r="Z1165" s="5"/>
      <c r="AA1165" s="11" t="s">
        <v>158</v>
      </c>
      <c r="AB1165" s="5" t="s">
        <v>245</v>
      </c>
      <c r="AC1165" s="5"/>
      <c r="AD1165" s="11" t="s">
        <v>2936</v>
      </c>
      <c r="AE1165" s="23" t="n">
        <v>0.7</v>
      </c>
      <c r="AF1165" s="23" t="n">
        <v>0</v>
      </c>
      <c r="AG1165" s="23" t="n">
        <v>0.33</v>
      </c>
      <c r="AH1165" s="23" t="n">
        <v>1</v>
      </c>
      <c r="AI1165" s="23" t="n">
        <v>1</v>
      </c>
      <c r="AJ1165" s="23" t="n">
        <v>0.8584</v>
      </c>
      <c r="AK1165" s="23" t="n">
        <v>0.5</v>
      </c>
      <c r="AL1165" s="23" t="n">
        <v>0.3</v>
      </c>
      <c r="AM1165" s="16" t="n">
        <f aca="false">COUNTIFS($D$2:$D$2501,D1165,$G$2:$G$2501,"&gt;"&amp;G1165)+COUNTIFS($D$2:D1165,D1165,$G$2:G1165,G1165)</f>
        <v>39</v>
      </c>
      <c r="AN1165" s="5" t="str">
        <f aca="false">D1165&amp;"|"&amp;AM1165</f>
        <v>時序異常偵測|39</v>
      </c>
    </row>
    <row r="1166" customFormat="false" ht="17.15" hidden="false" customHeight="false" outlineLevel="0" collapsed="false">
      <c r="A1166" s="16" t="n">
        <f aca="false">RANK(G1166,$G$2:$G$2501)+COUNTIF($G$2:G1166,G1166)-1</f>
        <v>1165</v>
      </c>
      <c r="B1166" s="11" t="s">
        <v>2937</v>
      </c>
      <c r="C1166" s="11" t="s">
        <v>2938</v>
      </c>
      <c r="D1166" s="5" t="s">
        <v>56</v>
      </c>
      <c r="E1166" s="5" t="s">
        <v>57</v>
      </c>
      <c r="F1166" s="5"/>
      <c r="G1166" s="22" t="n">
        <f aca="false">ROUND(SUM(I1166:P1166),3)</f>
        <v>63.494</v>
      </c>
      <c r="H1166" s="5" t="str">
        <f aca="false">IF(G1166&gt;=評分方法!$C$16,"優先評估",IF(G1166&gt;=評分方法!$C$17,"列入候選",IF(G1166&gt;=評分方法!$C$18,"特定情境","不建議")))</f>
        <v>特定情境</v>
      </c>
      <c r="I1166" s="15" t="n">
        <f aca="false">AE1166*評分方法!$C$5</f>
        <v>25.5</v>
      </c>
      <c r="J1166" s="15" t="n">
        <f aca="false">AF1166*評分方法!$C$6</f>
        <v>0</v>
      </c>
      <c r="K1166" s="15" t="n">
        <f aca="false">AG1166*評分方法!$C$7</f>
        <v>4.95</v>
      </c>
      <c r="L1166" s="15" t="n">
        <f aca="false">AH1166*評分方法!$C$8</f>
        <v>15</v>
      </c>
      <c r="M1166" s="15" t="n">
        <f aca="false">AI1166*評分方法!$C$9</f>
        <v>10</v>
      </c>
      <c r="N1166" s="15" t="n">
        <f aca="false">AJ1166*評分方法!$C$10</f>
        <v>4.044</v>
      </c>
      <c r="O1166" s="15" t="n">
        <f aca="false">AK1166*評分方法!$C$11</f>
        <v>4</v>
      </c>
      <c r="P1166" s="15" t="n">
        <f aca="false">AL1166*評分方法!$C$12</f>
        <v>0</v>
      </c>
      <c r="Q1166" s="6" t="n">
        <v>424126</v>
      </c>
      <c r="R1166" s="6" t="n">
        <v>22960128</v>
      </c>
      <c r="S1166" s="11" t="s">
        <v>238</v>
      </c>
      <c r="T1166" s="11" t="s">
        <v>239</v>
      </c>
      <c r="U1166" s="5" t="s">
        <v>240</v>
      </c>
      <c r="V1166" s="11" t="s">
        <v>261</v>
      </c>
      <c r="W1166" s="5" t="s">
        <v>334</v>
      </c>
      <c r="X1166" s="5" t="s">
        <v>242</v>
      </c>
      <c r="Y1166" s="5"/>
      <c r="Z1166" s="5"/>
      <c r="AA1166" s="11" t="s">
        <v>155</v>
      </c>
      <c r="AB1166" s="5" t="s">
        <v>245</v>
      </c>
      <c r="AC1166" s="5"/>
      <c r="AD1166" s="11" t="s">
        <v>2939</v>
      </c>
      <c r="AE1166" s="23" t="n">
        <v>0.85</v>
      </c>
      <c r="AF1166" s="23" t="n">
        <v>0</v>
      </c>
      <c r="AG1166" s="23" t="n">
        <v>0.33</v>
      </c>
      <c r="AH1166" s="23" t="n">
        <v>1</v>
      </c>
      <c r="AI1166" s="23" t="n">
        <v>1</v>
      </c>
      <c r="AJ1166" s="23" t="n">
        <v>0.4044</v>
      </c>
      <c r="AK1166" s="23" t="n">
        <v>0.8</v>
      </c>
      <c r="AL1166" s="23" t="n">
        <v>0</v>
      </c>
      <c r="AM1166" s="16" t="n">
        <f aca="false">COUNTIFS($D$2:$D$2501,D1166,$G$2:$G$2501,"&gt;"&amp;G1166)+COUNTIFS($D$2:D1166,D1166,$G$2:G1166,G1166)</f>
        <v>520</v>
      </c>
      <c r="AN1166" s="5" t="str">
        <f aca="false">D1166&amp;"|"&amp;AM1166</f>
        <v>分析與報告生成|520</v>
      </c>
    </row>
    <row r="1167" customFormat="false" ht="17.15" hidden="false" customHeight="false" outlineLevel="0" collapsed="false">
      <c r="A1167" s="16" t="n">
        <f aca="false">RANK(G1167,$G$2:$G$2501)+COUNTIF($G$2:G1167,G1167)-1</f>
        <v>1166</v>
      </c>
      <c r="B1167" s="11" t="s">
        <v>2940</v>
      </c>
      <c r="C1167" s="11" t="s">
        <v>2941</v>
      </c>
      <c r="D1167" s="5" t="s">
        <v>56</v>
      </c>
      <c r="E1167" s="5" t="s">
        <v>57</v>
      </c>
      <c r="F1167" s="5"/>
      <c r="G1167" s="22" t="n">
        <f aca="false">ROUND(SUM(I1167:P1167),3)</f>
        <v>63.484</v>
      </c>
      <c r="H1167" s="5" t="str">
        <f aca="false">IF(G1167&gt;=評分方法!$C$16,"優先評估",IF(G1167&gt;=評分方法!$C$17,"列入候選",IF(G1167&gt;=評分方法!$C$18,"特定情境","不建議")))</f>
        <v>特定情境</v>
      </c>
      <c r="I1167" s="15" t="n">
        <f aca="false">AE1167*評分方法!$C$5</f>
        <v>25.5</v>
      </c>
      <c r="J1167" s="15" t="n">
        <f aca="false">AF1167*評分方法!$C$6</f>
        <v>0</v>
      </c>
      <c r="K1167" s="15" t="n">
        <f aca="false">AG1167*評分方法!$C$7</f>
        <v>4.95</v>
      </c>
      <c r="L1167" s="15" t="n">
        <f aca="false">AH1167*評分方法!$C$8</f>
        <v>13.05</v>
      </c>
      <c r="M1167" s="15" t="n">
        <f aca="false">AI1167*評分方法!$C$9</f>
        <v>10</v>
      </c>
      <c r="N1167" s="15" t="n">
        <f aca="false">AJ1167*評分方法!$C$10</f>
        <v>4.984</v>
      </c>
      <c r="O1167" s="15" t="n">
        <f aca="false">AK1167*評分方法!$C$11</f>
        <v>5</v>
      </c>
      <c r="P1167" s="15" t="n">
        <f aca="false">AL1167*評分方法!$C$12</f>
        <v>0</v>
      </c>
      <c r="Q1167" s="6" t="n">
        <v>537472</v>
      </c>
      <c r="R1167" s="6" t="n">
        <v>1170340608</v>
      </c>
      <c r="S1167" s="11" t="s">
        <v>254</v>
      </c>
      <c r="T1167" s="11" t="s">
        <v>239</v>
      </c>
      <c r="U1167" s="5" t="s">
        <v>240</v>
      </c>
      <c r="V1167" s="11" t="s">
        <v>333</v>
      </c>
      <c r="W1167" s="5" t="s">
        <v>334</v>
      </c>
      <c r="X1167" s="5" t="s">
        <v>242</v>
      </c>
      <c r="Y1167" s="5"/>
      <c r="Z1167" s="5"/>
      <c r="AA1167" s="11" t="s">
        <v>155</v>
      </c>
      <c r="AB1167" s="5" t="s">
        <v>245</v>
      </c>
      <c r="AC1167" s="5"/>
      <c r="AD1167" s="11" t="s">
        <v>2942</v>
      </c>
      <c r="AE1167" s="23" t="n">
        <v>0.85</v>
      </c>
      <c r="AF1167" s="23" t="n">
        <v>0</v>
      </c>
      <c r="AG1167" s="23" t="n">
        <v>0.33</v>
      </c>
      <c r="AH1167" s="23" t="n">
        <v>0.87</v>
      </c>
      <c r="AI1167" s="23" t="n">
        <v>1</v>
      </c>
      <c r="AJ1167" s="23" t="n">
        <v>0.4984</v>
      </c>
      <c r="AK1167" s="23" t="n">
        <v>1</v>
      </c>
      <c r="AL1167" s="23" t="n">
        <v>0</v>
      </c>
      <c r="AM1167" s="16" t="n">
        <f aca="false">COUNTIFS($D$2:$D$2501,D1167,$G$2:$G$2501,"&gt;"&amp;G1167)+COUNTIFS($D$2:D1167,D1167,$G$2:G1167,G1167)</f>
        <v>521</v>
      </c>
      <c r="AN1167" s="5" t="str">
        <f aca="false">D1167&amp;"|"&amp;AM1167</f>
        <v>分析與報告生成|521</v>
      </c>
    </row>
    <row r="1168" customFormat="false" ht="17.15" hidden="false" customHeight="false" outlineLevel="0" collapsed="false">
      <c r="A1168" s="16" t="n">
        <f aca="false">RANK(G1168,$G$2:$G$2501)+COUNTIF($G$2:G1168,G1168)-1</f>
        <v>1167</v>
      </c>
      <c r="B1168" s="11" t="s">
        <v>2943</v>
      </c>
      <c r="C1168" s="11" t="s">
        <v>2693</v>
      </c>
      <c r="D1168" s="5" t="s">
        <v>74</v>
      </c>
      <c r="E1168" s="5" t="s">
        <v>75</v>
      </c>
      <c r="F1168" s="5"/>
      <c r="G1168" s="22" t="n">
        <f aca="false">ROUND(SUM(I1168:P1168),3)</f>
        <v>63.456</v>
      </c>
      <c r="H1168" s="5" t="str">
        <f aca="false">IF(G1168&gt;=評分方法!$C$16,"優先評估",IF(G1168&gt;=評分方法!$C$17,"列入候選",IF(G1168&gt;=評分方法!$C$18,"特定情境","不建議")))</f>
        <v>特定情境</v>
      </c>
      <c r="I1168" s="15" t="n">
        <f aca="false">AE1168*評分方法!$C$5</f>
        <v>10.5</v>
      </c>
      <c r="J1168" s="15" t="n">
        <f aca="false">AF1168*評分方法!$C$6</f>
        <v>0</v>
      </c>
      <c r="K1168" s="15" t="n">
        <f aca="false">AG1168*評分方法!$C$7</f>
        <v>15</v>
      </c>
      <c r="L1168" s="15" t="n">
        <f aca="false">AH1168*評分方法!$C$8</f>
        <v>15</v>
      </c>
      <c r="M1168" s="15" t="n">
        <f aca="false">AI1168*評分方法!$C$9</f>
        <v>10</v>
      </c>
      <c r="N1168" s="15" t="n">
        <f aca="false">AJ1168*評分方法!$C$10</f>
        <v>8.956</v>
      </c>
      <c r="O1168" s="15" t="n">
        <f aca="false">AK1168*評分方法!$C$11</f>
        <v>2.5</v>
      </c>
      <c r="P1168" s="15" t="n">
        <f aca="false">AL1168*評分方法!$C$12</f>
        <v>1.5</v>
      </c>
      <c r="Q1168" s="6" t="n">
        <v>3691735</v>
      </c>
      <c r="R1168" s="6" t="n">
        <v>86579712</v>
      </c>
      <c r="S1168" s="11" t="s">
        <v>238</v>
      </c>
      <c r="T1168" s="11" t="s">
        <v>239</v>
      </c>
      <c r="U1168" s="5" t="s">
        <v>240</v>
      </c>
      <c r="V1168" s="11" t="s">
        <v>324</v>
      </c>
      <c r="W1168" s="5" t="s">
        <v>205</v>
      </c>
      <c r="X1168" s="5" t="s">
        <v>255</v>
      </c>
      <c r="Y1168" s="5"/>
      <c r="Z1168" s="5"/>
      <c r="AA1168" s="11" t="s">
        <v>173</v>
      </c>
      <c r="AB1168" s="5" t="s">
        <v>245</v>
      </c>
      <c r="AC1168" s="5"/>
      <c r="AD1168" s="11" t="s">
        <v>2944</v>
      </c>
      <c r="AE1168" s="23" t="n">
        <v>0.35</v>
      </c>
      <c r="AF1168" s="23" t="n">
        <v>0</v>
      </c>
      <c r="AG1168" s="23" t="n">
        <v>1</v>
      </c>
      <c r="AH1168" s="23" t="n">
        <v>1</v>
      </c>
      <c r="AI1168" s="23" t="n">
        <v>1</v>
      </c>
      <c r="AJ1168" s="23" t="n">
        <v>0.8956</v>
      </c>
      <c r="AK1168" s="23" t="n">
        <v>0.5</v>
      </c>
      <c r="AL1168" s="23" t="n">
        <v>0.3</v>
      </c>
      <c r="AM1168" s="16" t="n">
        <f aca="false">COUNTIFS($D$2:$D$2501,D1168,$G$2:$G$2501,"&gt;"&amp;G1168)+COUNTIFS($D$2:D1168,D1168,$G$2:G1168,G1168)</f>
        <v>28</v>
      </c>
      <c r="AN1168" s="5" t="str">
        <f aca="false">D1168&amp;"|"&amp;AM1168</f>
        <v>文件與影像辨識|28</v>
      </c>
    </row>
    <row r="1169" customFormat="false" ht="17.15" hidden="false" customHeight="false" outlineLevel="0" collapsed="false">
      <c r="A1169" s="16" t="n">
        <f aca="false">RANK(G1169,$G$2:$G$2501)+COUNTIF($G$2:G1169,G1169)-1</f>
        <v>1168</v>
      </c>
      <c r="B1169" s="11" t="s">
        <v>2945</v>
      </c>
      <c r="C1169" s="11" t="s">
        <v>1586</v>
      </c>
      <c r="D1169" s="5" t="s">
        <v>56</v>
      </c>
      <c r="E1169" s="5" t="s">
        <v>57</v>
      </c>
      <c r="F1169" s="5"/>
      <c r="G1169" s="22" t="n">
        <f aca="false">ROUND(SUM(I1169:P1169),3)</f>
        <v>63.454</v>
      </c>
      <c r="H1169" s="5" t="str">
        <f aca="false">IF(G1169&gt;=評分方法!$C$16,"優先評估",IF(G1169&gt;=評分方法!$C$17,"列入候選",IF(G1169&gt;=評分方法!$C$18,"特定情境","不建議")))</f>
        <v>特定情境</v>
      </c>
      <c r="I1169" s="15" t="n">
        <f aca="false">AE1169*評分方法!$C$5</f>
        <v>25.5</v>
      </c>
      <c r="J1169" s="15" t="n">
        <f aca="false">AF1169*評分方法!$C$6</f>
        <v>0</v>
      </c>
      <c r="K1169" s="15" t="n">
        <f aca="false">AG1169*評分方法!$C$7</f>
        <v>4.95</v>
      </c>
      <c r="L1169" s="15" t="n">
        <f aca="false">AH1169*評分方法!$C$8</f>
        <v>15</v>
      </c>
      <c r="M1169" s="15" t="n">
        <f aca="false">AI1169*評分方法!$C$9</f>
        <v>10</v>
      </c>
      <c r="N1169" s="15" t="n">
        <f aca="false">AJ1169*評分方法!$C$10</f>
        <v>2.504</v>
      </c>
      <c r="O1169" s="15" t="n">
        <f aca="false">AK1169*評分方法!$C$11</f>
        <v>2.5</v>
      </c>
      <c r="P1169" s="15" t="n">
        <f aca="false">AL1169*評分方法!$C$12</f>
        <v>3</v>
      </c>
      <c r="Q1169" s="6" t="n">
        <v>250082</v>
      </c>
      <c r="R1169" s="6" t="n">
        <v>231546368</v>
      </c>
      <c r="S1169" s="11" t="s">
        <v>238</v>
      </c>
      <c r="T1169" s="11" t="s">
        <v>278</v>
      </c>
      <c r="U1169" s="5" t="s">
        <v>240</v>
      </c>
      <c r="V1169" s="11" t="s">
        <v>261</v>
      </c>
      <c r="W1169" s="5" t="s">
        <v>334</v>
      </c>
      <c r="X1169" s="5" t="s">
        <v>371</v>
      </c>
      <c r="Y1169" s="5"/>
      <c r="Z1169" s="5"/>
      <c r="AA1169" s="11" t="s">
        <v>156</v>
      </c>
      <c r="AB1169" s="5" t="s">
        <v>245</v>
      </c>
      <c r="AC1169" s="5"/>
      <c r="AD1169" s="11" t="s">
        <v>2946</v>
      </c>
      <c r="AE1169" s="23" t="n">
        <v>0.85</v>
      </c>
      <c r="AF1169" s="23" t="n">
        <v>0</v>
      </c>
      <c r="AG1169" s="23" t="n">
        <v>0.33</v>
      </c>
      <c r="AH1169" s="23" t="n">
        <v>1</v>
      </c>
      <c r="AI1169" s="23" t="n">
        <v>1</v>
      </c>
      <c r="AJ1169" s="23" t="n">
        <v>0.2504</v>
      </c>
      <c r="AK1169" s="23" t="n">
        <v>0.5</v>
      </c>
      <c r="AL1169" s="23" t="n">
        <v>0.6</v>
      </c>
      <c r="AM1169" s="16" t="n">
        <f aca="false">COUNTIFS($D$2:$D$2501,D1169,$G$2:$G$2501,"&gt;"&amp;G1169)+COUNTIFS($D$2:D1169,D1169,$G$2:G1169,G1169)</f>
        <v>522</v>
      </c>
      <c r="AN1169" s="5" t="str">
        <f aca="false">D1169&amp;"|"&amp;AM1169</f>
        <v>分析與報告生成|522</v>
      </c>
    </row>
    <row r="1170" customFormat="false" ht="17.15" hidden="false" customHeight="false" outlineLevel="0" collapsed="false">
      <c r="A1170" s="16" t="n">
        <f aca="false">RANK(G1170,$G$2:$G$2501)+COUNTIF($G$2:G1170,G1170)-1</f>
        <v>1169</v>
      </c>
      <c r="B1170" s="11" t="s">
        <v>2947</v>
      </c>
      <c r="C1170" s="11" t="s">
        <v>891</v>
      </c>
      <c r="D1170" s="5" t="s">
        <v>56</v>
      </c>
      <c r="E1170" s="5" t="s">
        <v>57</v>
      </c>
      <c r="F1170" s="5"/>
      <c r="G1170" s="22" t="n">
        <f aca="false">ROUND(SUM(I1170:P1170),3)</f>
        <v>63.442</v>
      </c>
      <c r="H1170" s="5" t="str">
        <f aca="false">IF(G1170&gt;=評分方法!$C$16,"優先評估",IF(G1170&gt;=評分方法!$C$17,"列入候選",IF(G1170&gt;=評分方法!$C$18,"特定情境","不建議")))</f>
        <v>特定情境</v>
      </c>
      <c r="I1170" s="15" t="n">
        <f aca="false">AE1170*評分方法!$C$5</f>
        <v>25.5</v>
      </c>
      <c r="J1170" s="15" t="n">
        <f aca="false">AF1170*評分方法!$C$6</f>
        <v>0</v>
      </c>
      <c r="K1170" s="15" t="n">
        <f aca="false">AG1170*評分方法!$C$7</f>
        <v>10.05</v>
      </c>
      <c r="L1170" s="15" t="n">
        <f aca="false">AH1170*評分方法!$C$8</f>
        <v>9</v>
      </c>
      <c r="M1170" s="15" t="n">
        <f aca="false">AI1170*評分方法!$C$9</f>
        <v>10</v>
      </c>
      <c r="N1170" s="15" t="n">
        <f aca="false">AJ1170*評分方法!$C$10</f>
        <v>1.892</v>
      </c>
      <c r="O1170" s="15" t="n">
        <f aca="false">AK1170*評分方法!$C$11</f>
        <v>4</v>
      </c>
      <c r="P1170" s="15" t="n">
        <f aca="false">AL1170*評分方法!$C$12</f>
        <v>3</v>
      </c>
      <c r="Q1170" s="6" t="n">
        <v>201995</v>
      </c>
      <c r="R1170" s="6" t="n">
        <v>23572403200</v>
      </c>
      <c r="S1170" s="11" t="s">
        <v>389</v>
      </c>
      <c r="T1170" s="11" t="s">
        <v>239</v>
      </c>
      <c r="U1170" s="5" t="s">
        <v>240</v>
      </c>
      <c r="V1170" s="11" t="s">
        <v>333</v>
      </c>
      <c r="W1170" s="5" t="s">
        <v>207</v>
      </c>
      <c r="X1170" s="5" t="s">
        <v>371</v>
      </c>
      <c r="Y1170" s="11" t="s">
        <v>782</v>
      </c>
      <c r="Z1170" s="11" t="s">
        <v>244</v>
      </c>
      <c r="AA1170" s="11" t="s">
        <v>155</v>
      </c>
      <c r="AB1170" s="5" t="s">
        <v>961</v>
      </c>
      <c r="AC1170" s="5" t="s">
        <v>962</v>
      </c>
      <c r="AD1170" s="11" t="s">
        <v>2948</v>
      </c>
      <c r="AE1170" s="23" t="n">
        <v>0.85</v>
      </c>
      <c r="AF1170" s="23" t="n">
        <v>0</v>
      </c>
      <c r="AG1170" s="23" t="n">
        <v>0.67</v>
      </c>
      <c r="AH1170" s="23" t="n">
        <v>0.6</v>
      </c>
      <c r="AI1170" s="23" t="n">
        <v>1</v>
      </c>
      <c r="AJ1170" s="23" t="n">
        <v>0.1892</v>
      </c>
      <c r="AK1170" s="23" t="n">
        <v>0.8</v>
      </c>
      <c r="AL1170" s="23" t="n">
        <v>0.6</v>
      </c>
      <c r="AM1170" s="16" t="n">
        <f aca="false">COUNTIFS($D$2:$D$2501,D1170,$G$2:$G$2501,"&gt;"&amp;G1170)+COUNTIFS($D$2:D1170,D1170,$G$2:G1170,G1170)</f>
        <v>523</v>
      </c>
      <c r="AN1170" s="5" t="str">
        <f aca="false">D1170&amp;"|"&amp;AM1170</f>
        <v>分析與報告生成|523</v>
      </c>
    </row>
    <row r="1171" customFormat="false" ht="17.15" hidden="false" customHeight="false" outlineLevel="0" collapsed="false">
      <c r="A1171" s="16" t="n">
        <f aca="false">RANK(G1171,$G$2:$G$2501)+COUNTIF($G$2:G1171,G1171)-1</f>
        <v>1170</v>
      </c>
      <c r="B1171" s="11" t="s">
        <v>2949</v>
      </c>
      <c r="C1171" s="11" t="s">
        <v>2950</v>
      </c>
      <c r="D1171" s="5" t="s">
        <v>56</v>
      </c>
      <c r="E1171" s="5" t="s">
        <v>57</v>
      </c>
      <c r="F1171" s="5"/>
      <c r="G1171" s="22" t="n">
        <f aca="false">ROUND(SUM(I1171:P1171),3)</f>
        <v>63.43</v>
      </c>
      <c r="H1171" s="5" t="str">
        <f aca="false">IF(G1171&gt;=評分方法!$C$16,"優先評估",IF(G1171&gt;=評分方法!$C$17,"列入候選",IF(G1171&gt;=評分方法!$C$18,"特定情境","不建議")))</f>
        <v>特定情境</v>
      </c>
      <c r="I1171" s="15" t="n">
        <f aca="false">AE1171*評分方法!$C$5</f>
        <v>25.5</v>
      </c>
      <c r="J1171" s="15" t="n">
        <f aca="false">AF1171*評分方法!$C$6</f>
        <v>0</v>
      </c>
      <c r="K1171" s="15" t="n">
        <f aca="false">AG1171*評分方法!$C$7</f>
        <v>4.95</v>
      </c>
      <c r="L1171" s="15" t="n">
        <f aca="false">AH1171*評分方法!$C$8</f>
        <v>15</v>
      </c>
      <c r="M1171" s="15" t="n">
        <f aca="false">AI1171*評分方法!$C$9</f>
        <v>10</v>
      </c>
      <c r="N1171" s="15" t="n">
        <f aca="false">AJ1171*評分方法!$C$10</f>
        <v>6.98</v>
      </c>
      <c r="O1171" s="15" t="n">
        <f aca="false">AK1171*評分方法!$C$11</f>
        <v>1</v>
      </c>
      <c r="P1171" s="15" t="n">
        <f aca="false">AL1171*評分方法!$C$12</f>
        <v>0</v>
      </c>
      <c r="Q1171" s="6" t="n">
        <v>907305</v>
      </c>
      <c r="R1171" s="6" t="n">
        <v>162417792</v>
      </c>
      <c r="S1171" s="11" t="s">
        <v>238</v>
      </c>
      <c r="T1171" s="11" t="s">
        <v>239</v>
      </c>
      <c r="U1171" s="5" t="s">
        <v>240</v>
      </c>
      <c r="V1171" s="11" t="s">
        <v>324</v>
      </c>
      <c r="W1171" s="5" t="s">
        <v>334</v>
      </c>
      <c r="X1171" s="5" t="s">
        <v>242</v>
      </c>
      <c r="Y1171" s="5"/>
      <c r="Z1171" s="5"/>
      <c r="AA1171" s="11" t="s">
        <v>155</v>
      </c>
      <c r="AB1171" s="5" t="s">
        <v>245</v>
      </c>
      <c r="AC1171" s="5"/>
      <c r="AD1171" s="11" t="s">
        <v>2951</v>
      </c>
      <c r="AE1171" s="23" t="n">
        <v>0.85</v>
      </c>
      <c r="AF1171" s="23" t="n">
        <v>0</v>
      </c>
      <c r="AG1171" s="23" t="n">
        <v>0.33</v>
      </c>
      <c r="AH1171" s="23" t="n">
        <v>1</v>
      </c>
      <c r="AI1171" s="23" t="n">
        <v>1</v>
      </c>
      <c r="AJ1171" s="23" t="n">
        <v>0.698</v>
      </c>
      <c r="AK1171" s="23" t="n">
        <v>0.2</v>
      </c>
      <c r="AL1171" s="23" t="n">
        <v>0</v>
      </c>
      <c r="AM1171" s="16" t="n">
        <f aca="false">COUNTIFS($D$2:$D$2501,D1171,$G$2:$G$2501,"&gt;"&amp;G1171)+COUNTIFS($D$2:D1171,D1171,$G$2:G1171,G1171)</f>
        <v>524</v>
      </c>
      <c r="AN1171" s="5" t="str">
        <f aca="false">D1171&amp;"|"&amp;AM1171</f>
        <v>分析與報告生成|524</v>
      </c>
    </row>
    <row r="1172" customFormat="false" ht="17.15" hidden="false" customHeight="false" outlineLevel="0" collapsed="false">
      <c r="A1172" s="16" t="n">
        <f aca="false">RANK(G1172,$G$2:$G$2501)+COUNTIF($G$2:G1172,G1172)-1</f>
        <v>1171</v>
      </c>
      <c r="B1172" s="11" t="s">
        <v>2952</v>
      </c>
      <c r="C1172" s="11" t="s">
        <v>2693</v>
      </c>
      <c r="D1172" s="5" t="s">
        <v>74</v>
      </c>
      <c r="E1172" s="5" t="s">
        <v>75</v>
      </c>
      <c r="F1172" s="5"/>
      <c r="G1172" s="22" t="n">
        <f aca="false">ROUND(SUM(I1172:P1172),3)</f>
        <v>63.416</v>
      </c>
      <c r="H1172" s="5" t="str">
        <f aca="false">IF(G1172&gt;=評分方法!$C$16,"優先評估",IF(G1172&gt;=評分方法!$C$17,"列入候選",IF(G1172&gt;=評分方法!$C$18,"特定情境","不建議")))</f>
        <v>特定情境</v>
      </c>
      <c r="I1172" s="15" t="n">
        <f aca="false">AE1172*評分方法!$C$5</f>
        <v>10.5</v>
      </c>
      <c r="J1172" s="15" t="n">
        <f aca="false">AF1172*評分方法!$C$6</f>
        <v>0</v>
      </c>
      <c r="K1172" s="15" t="n">
        <f aca="false">AG1172*評分方法!$C$7</f>
        <v>15</v>
      </c>
      <c r="L1172" s="15" t="n">
        <f aca="false">AH1172*評分方法!$C$8</f>
        <v>15</v>
      </c>
      <c r="M1172" s="15" t="n">
        <f aca="false">AI1172*評分方法!$C$9</f>
        <v>10</v>
      </c>
      <c r="N1172" s="15" t="n">
        <f aca="false">AJ1172*評分方法!$C$10</f>
        <v>8.916</v>
      </c>
      <c r="O1172" s="15" t="n">
        <f aca="false">AK1172*評分方法!$C$11</f>
        <v>2.5</v>
      </c>
      <c r="P1172" s="15" t="n">
        <f aca="false">AL1172*評分方法!$C$12</f>
        <v>1.5</v>
      </c>
      <c r="Q1172" s="6" t="n">
        <v>3472374</v>
      </c>
      <c r="R1172" s="6" t="n">
        <v>21814696</v>
      </c>
      <c r="S1172" s="11" t="s">
        <v>238</v>
      </c>
      <c r="T1172" s="11" t="s">
        <v>239</v>
      </c>
      <c r="U1172" s="5" t="s">
        <v>240</v>
      </c>
      <c r="V1172" s="11" t="s">
        <v>324</v>
      </c>
      <c r="W1172" s="5" t="s">
        <v>205</v>
      </c>
      <c r="X1172" s="5" t="s">
        <v>255</v>
      </c>
      <c r="Y1172" s="5"/>
      <c r="Z1172" s="5"/>
      <c r="AA1172" s="11" t="s">
        <v>172</v>
      </c>
      <c r="AB1172" s="5" t="s">
        <v>245</v>
      </c>
      <c r="AC1172" s="5"/>
      <c r="AD1172" s="11" t="s">
        <v>2953</v>
      </c>
      <c r="AE1172" s="23" t="n">
        <v>0.35</v>
      </c>
      <c r="AF1172" s="23" t="n">
        <v>0</v>
      </c>
      <c r="AG1172" s="23" t="n">
        <v>1</v>
      </c>
      <c r="AH1172" s="23" t="n">
        <v>1</v>
      </c>
      <c r="AI1172" s="23" t="n">
        <v>1</v>
      </c>
      <c r="AJ1172" s="23" t="n">
        <v>0.8916</v>
      </c>
      <c r="AK1172" s="23" t="n">
        <v>0.5</v>
      </c>
      <c r="AL1172" s="23" t="n">
        <v>0.3</v>
      </c>
      <c r="AM1172" s="16" t="n">
        <f aca="false">COUNTIFS($D$2:$D$2501,D1172,$G$2:$G$2501,"&gt;"&amp;G1172)+COUNTIFS($D$2:D1172,D1172,$G$2:G1172,G1172)</f>
        <v>29</v>
      </c>
      <c r="AN1172" s="5" t="str">
        <f aca="false">D1172&amp;"|"&amp;AM1172</f>
        <v>文件與影像辨識|29</v>
      </c>
    </row>
    <row r="1173" customFormat="false" ht="17.15" hidden="false" customHeight="false" outlineLevel="0" collapsed="false">
      <c r="A1173" s="16" t="n">
        <f aca="false">RANK(G1173,$G$2:$G$2501)+COUNTIF($G$2:G1173,G1173)-1</f>
        <v>1172</v>
      </c>
      <c r="B1173" s="11" t="s">
        <v>2954</v>
      </c>
      <c r="C1173" s="11" t="s">
        <v>368</v>
      </c>
      <c r="D1173" s="5" t="s">
        <v>56</v>
      </c>
      <c r="E1173" s="5" t="s">
        <v>57</v>
      </c>
      <c r="F1173" s="5"/>
      <c r="G1173" s="22" t="n">
        <f aca="false">ROUND(SUM(I1173:P1173),3)</f>
        <v>63.412</v>
      </c>
      <c r="H1173" s="5" t="str">
        <f aca="false">IF(G1173&gt;=評分方法!$C$16,"優先評估",IF(G1173&gt;=評分方法!$C$17,"列入候選",IF(G1173&gt;=評分方法!$C$18,"特定情境","不建議")))</f>
        <v>特定情境</v>
      </c>
      <c r="I1173" s="15" t="n">
        <f aca="false">AE1173*評分方法!$C$5</f>
        <v>25.5</v>
      </c>
      <c r="J1173" s="15" t="n">
        <f aca="false">AF1173*評分方法!$C$6</f>
        <v>0</v>
      </c>
      <c r="K1173" s="15" t="n">
        <f aca="false">AG1173*評分方法!$C$7</f>
        <v>15</v>
      </c>
      <c r="L1173" s="15" t="n">
        <f aca="false">AH1173*評分方法!$C$8</f>
        <v>9</v>
      </c>
      <c r="M1173" s="15" t="n">
        <f aca="false">AI1173*評分方法!$C$9</f>
        <v>6</v>
      </c>
      <c r="N1173" s="15" t="n">
        <f aca="false">AJ1173*評分方法!$C$10</f>
        <v>3.912</v>
      </c>
      <c r="O1173" s="15" t="n">
        <f aca="false">AK1173*評分方法!$C$11</f>
        <v>1</v>
      </c>
      <c r="P1173" s="15" t="n">
        <f aca="false">AL1173*評分方法!$C$12</f>
        <v>3</v>
      </c>
      <c r="Q1173" s="6" t="n">
        <v>403174</v>
      </c>
      <c r="R1173" s="6" t="n">
        <v>27227128320</v>
      </c>
      <c r="S1173" s="11" t="s">
        <v>389</v>
      </c>
      <c r="T1173" s="11" t="s">
        <v>658</v>
      </c>
      <c r="U1173" s="5" t="s">
        <v>260</v>
      </c>
      <c r="V1173" s="11" t="s">
        <v>261</v>
      </c>
      <c r="W1173" s="5" t="s">
        <v>205</v>
      </c>
      <c r="X1173" s="5" t="s">
        <v>371</v>
      </c>
      <c r="Y1173" s="11" t="s">
        <v>2955</v>
      </c>
      <c r="Z1173" s="11" t="s">
        <v>270</v>
      </c>
      <c r="AA1173" s="11" t="s">
        <v>155</v>
      </c>
      <c r="AB1173" s="5" t="s">
        <v>245</v>
      </c>
      <c r="AC1173" s="5" t="s">
        <v>262</v>
      </c>
      <c r="AD1173" s="11" t="s">
        <v>2956</v>
      </c>
      <c r="AE1173" s="23" t="n">
        <v>0.85</v>
      </c>
      <c r="AF1173" s="23" t="n">
        <v>0</v>
      </c>
      <c r="AG1173" s="23" t="n">
        <v>1</v>
      </c>
      <c r="AH1173" s="23" t="n">
        <v>0.6</v>
      </c>
      <c r="AI1173" s="23" t="n">
        <v>0.6</v>
      </c>
      <c r="AJ1173" s="23" t="n">
        <v>0.3912</v>
      </c>
      <c r="AK1173" s="23" t="n">
        <v>0.2</v>
      </c>
      <c r="AL1173" s="23" t="n">
        <v>0.6</v>
      </c>
      <c r="AM1173" s="16" t="n">
        <f aca="false">COUNTIFS($D$2:$D$2501,D1173,$G$2:$G$2501,"&gt;"&amp;G1173)+COUNTIFS($D$2:D1173,D1173,$G$2:G1173,G1173)</f>
        <v>525</v>
      </c>
      <c r="AN1173" s="5" t="str">
        <f aca="false">D1173&amp;"|"&amp;AM1173</f>
        <v>分析與報告生成|525</v>
      </c>
    </row>
    <row r="1174" customFormat="false" ht="17.15" hidden="false" customHeight="false" outlineLevel="0" collapsed="false">
      <c r="A1174" s="16" t="n">
        <f aca="false">RANK(G1174,$G$2:$G$2501)+COUNTIF($G$2:G1174,G1174)-1</f>
        <v>1173</v>
      </c>
      <c r="B1174" s="11" t="s">
        <v>2957</v>
      </c>
      <c r="C1174" s="11" t="s">
        <v>1374</v>
      </c>
      <c r="D1174" s="5" t="s">
        <v>56</v>
      </c>
      <c r="E1174" s="5" t="s">
        <v>57</v>
      </c>
      <c r="F1174" s="5"/>
      <c r="G1174" s="22" t="n">
        <f aca="false">ROUND(SUM(I1174:P1174),3)</f>
        <v>63.406</v>
      </c>
      <c r="H1174" s="5" t="str">
        <f aca="false">IF(G1174&gt;=評分方法!$C$16,"優先評估",IF(G1174&gt;=評分方法!$C$17,"列入候選",IF(G1174&gt;=評分方法!$C$18,"特定情境","不建議")))</f>
        <v>特定情境</v>
      </c>
      <c r="I1174" s="15" t="n">
        <f aca="false">AE1174*評分方法!$C$5</f>
        <v>25.5</v>
      </c>
      <c r="J1174" s="15" t="n">
        <f aca="false">AF1174*評分方法!$C$6</f>
        <v>0</v>
      </c>
      <c r="K1174" s="15" t="n">
        <f aca="false">AG1174*評分方法!$C$7</f>
        <v>10.05</v>
      </c>
      <c r="L1174" s="15" t="n">
        <f aca="false">AH1174*評分方法!$C$8</f>
        <v>9</v>
      </c>
      <c r="M1174" s="15" t="n">
        <f aca="false">AI1174*評分方法!$C$9</f>
        <v>10</v>
      </c>
      <c r="N1174" s="15" t="n">
        <f aca="false">AJ1174*評分方法!$C$10</f>
        <v>1.356</v>
      </c>
      <c r="O1174" s="15" t="n">
        <f aca="false">AK1174*評分方法!$C$11</f>
        <v>2.5</v>
      </c>
      <c r="P1174" s="15" t="n">
        <f aca="false">AL1174*評分方法!$C$12</f>
        <v>5</v>
      </c>
      <c r="Q1174" s="6" t="n">
        <v>171651</v>
      </c>
      <c r="R1174" s="6" t="n">
        <v>23572403200</v>
      </c>
      <c r="S1174" s="11" t="s">
        <v>389</v>
      </c>
      <c r="T1174" s="11" t="s">
        <v>239</v>
      </c>
      <c r="U1174" s="5" t="s">
        <v>240</v>
      </c>
      <c r="V1174" s="11" t="s">
        <v>261</v>
      </c>
      <c r="W1174" s="5" t="s">
        <v>207</v>
      </c>
      <c r="X1174" s="5" t="s">
        <v>284</v>
      </c>
      <c r="Y1174" s="11" t="s">
        <v>2520</v>
      </c>
      <c r="Z1174" s="11" t="s">
        <v>244</v>
      </c>
      <c r="AA1174" s="11" t="s">
        <v>155</v>
      </c>
      <c r="AB1174" s="5" t="s">
        <v>245</v>
      </c>
      <c r="AC1174" s="5" t="s">
        <v>246</v>
      </c>
      <c r="AD1174" s="11" t="s">
        <v>2958</v>
      </c>
      <c r="AE1174" s="23" t="n">
        <v>0.85</v>
      </c>
      <c r="AF1174" s="23" t="n">
        <v>0</v>
      </c>
      <c r="AG1174" s="23" t="n">
        <v>0.67</v>
      </c>
      <c r="AH1174" s="23" t="n">
        <v>0.6</v>
      </c>
      <c r="AI1174" s="23" t="n">
        <v>1</v>
      </c>
      <c r="AJ1174" s="23" t="n">
        <v>0.1356</v>
      </c>
      <c r="AK1174" s="23" t="n">
        <v>0.5</v>
      </c>
      <c r="AL1174" s="23" t="n">
        <v>1</v>
      </c>
      <c r="AM1174" s="16" t="n">
        <f aca="false">COUNTIFS($D$2:$D$2501,D1174,$G$2:$G$2501,"&gt;"&amp;G1174)+COUNTIFS($D$2:D1174,D1174,$G$2:G1174,G1174)</f>
        <v>526</v>
      </c>
      <c r="AN1174" s="5" t="str">
        <f aca="false">D1174&amp;"|"&amp;AM1174</f>
        <v>分析與報告生成|526</v>
      </c>
    </row>
    <row r="1175" customFormat="false" ht="17.15" hidden="false" customHeight="false" outlineLevel="0" collapsed="false">
      <c r="A1175" s="16" t="n">
        <f aca="false">RANK(G1175,$G$2:$G$2501)+COUNTIF($G$2:G1175,G1175)-1</f>
        <v>1174</v>
      </c>
      <c r="B1175" s="11" t="s">
        <v>2959</v>
      </c>
      <c r="C1175" s="11" t="s">
        <v>694</v>
      </c>
      <c r="D1175" s="5" t="s">
        <v>56</v>
      </c>
      <c r="E1175" s="5" t="s">
        <v>57</v>
      </c>
      <c r="F1175" s="5"/>
      <c r="G1175" s="22" t="n">
        <f aca="false">ROUND(SUM(I1175:P1175),3)</f>
        <v>63.402</v>
      </c>
      <c r="H1175" s="5" t="str">
        <f aca="false">IF(G1175&gt;=評分方法!$C$16,"優先評估",IF(G1175&gt;=評分方法!$C$17,"列入候選",IF(G1175&gt;=評分方法!$C$18,"特定情境","不建議")))</f>
        <v>特定情境</v>
      </c>
      <c r="I1175" s="15" t="n">
        <f aca="false">AE1175*評分方法!$C$5</f>
        <v>25.5</v>
      </c>
      <c r="J1175" s="15" t="n">
        <f aca="false">AF1175*評分方法!$C$6</f>
        <v>0</v>
      </c>
      <c r="K1175" s="15" t="n">
        <f aca="false">AG1175*評分方法!$C$7</f>
        <v>15</v>
      </c>
      <c r="L1175" s="15" t="n">
        <f aca="false">AH1175*評分方法!$C$8</f>
        <v>13.05</v>
      </c>
      <c r="M1175" s="15" t="n">
        <f aca="false">AI1175*評分方法!$C$9</f>
        <v>6</v>
      </c>
      <c r="N1175" s="15" t="n">
        <f aca="false">AJ1175*評分方法!$C$10</f>
        <v>1.352</v>
      </c>
      <c r="O1175" s="15" t="n">
        <f aca="false">AK1175*評分方法!$C$11</f>
        <v>2.5</v>
      </c>
      <c r="P1175" s="15" t="n">
        <f aca="false">AL1175*評分方法!$C$12</f>
        <v>0</v>
      </c>
      <c r="Q1175" s="6" t="n">
        <v>171544</v>
      </c>
      <c r="R1175" s="6" t="n">
        <v>7063431168</v>
      </c>
      <c r="S1175" s="11" t="s">
        <v>254</v>
      </c>
      <c r="T1175" s="11" t="s">
        <v>1153</v>
      </c>
      <c r="U1175" s="5" t="s">
        <v>260</v>
      </c>
      <c r="V1175" s="11" t="s">
        <v>261</v>
      </c>
      <c r="W1175" s="5" t="s">
        <v>205</v>
      </c>
      <c r="X1175" s="5" t="s">
        <v>242</v>
      </c>
      <c r="Y1175" s="5"/>
      <c r="Z1175" s="5"/>
      <c r="AA1175" s="11" t="s">
        <v>156</v>
      </c>
      <c r="AB1175" s="5" t="s">
        <v>245</v>
      </c>
      <c r="AC1175" s="5" t="s">
        <v>262</v>
      </c>
      <c r="AD1175" s="11" t="s">
        <v>2960</v>
      </c>
      <c r="AE1175" s="23" t="n">
        <v>0.85</v>
      </c>
      <c r="AF1175" s="23" t="n">
        <v>0</v>
      </c>
      <c r="AG1175" s="23" t="n">
        <v>1</v>
      </c>
      <c r="AH1175" s="23" t="n">
        <v>0.87</v>
      </c>
      <c r="AI1175" s="23" t="n">
        <v>0.6</v>
      </c>
      <c r="AJ1175" s="23" t="n">
        <v>0.1352</v>
      </c>
      <c r="AK1175" s="23" t="n">
        <v>0.5</v>
      </c>
      <c r="AL1175" s="23" t="n">
        <v>0</v>
      </c>
      <c r="AM1175" s="16" t="n">
        <f aca="false">COUNTIFS($D$2:$D$2501,D1175,$G$2:$G$2501,"&gt;"&amp;G1175)+COUNTIFS($D$2:D1175,D1175,$G$2:G1175,G1175)</f>
        <v>527</v>
      </c>
      <c r="AN1175" s="5" t="str">
        <f aca="false">D1175&amp;"|"&amp;AM1175</f>
        <v>分析與報告生成|527</v>
      </c>
    </row>
    <row r="1176" customFormat="false" ht="17.15" hidden="false" customHeight="false" outlineLevel="0" collapsed="false">
      <c r="A1176" s="16" t="n">
        <f aca="false">RANK(G1176,$G$2:$G$2501)+COUNTIF($G$2:G1176,G1176)-1</f>
        <v>1175</v>
      </c>
      <c r="B1176" s="11" t="s">
        <v>2961</v>
      </c>
      <c r="C1176" s="11" t="s">
        <v>1111</v>
      </c>
      <c r="D1176" s="5" t="s">
        <v>56</v>
      </c>
      <c r="E1176" s="5" t="s">
        <v>57</v>
      </c>
      <c r="F1176" s="5"/>
      <c r="G1176" s="22" t="n">
        <f aca="false">ROUND(SUM(I1176:P1176),3)</f>
        <v>63.398</v>
      </c>
      <c r="H1176" s="5" t="str">
        <f aca="false">IF(G1176&gt;=評分方法!$C$16,"優先評估",IF(G1176&gt;=評分方法!$C$17,"列入候選",IF(G1176&gt;=評分方法!$C$18,"特定情境","不建議")))</f>
        <v>特定情境</v>
      </c>
      <c r="I1176" s="15" t="n">
        <f aca="false">AE1176*評分方法!$C$5</f>
        <v>25.5</v>
      </c>
      <c r="J1176" s="15" t="n">
        <f aca="false">AF1176*評分方法!$C$6</f>
        <v>0</v>
      </c>
      <c r="K1176" s="15" t="n">
        <f aca="false">AG1176*評分方法!$C$7</f>
        <v>10.05</v>
      </c>
      <c r="L1176" s="15" t="n">
        <f aca="false">AH1176*評分方法!$C$8</f>
        <v>9</v>
      </c>
      <c r="M1176" s="15" t="n">
        <f aca="false">AI1176*評分方法!$C$9</f>
        <v>10</v>
      </c>
      <c r="N1176" s="15" t="n">
        <f aca="false">AJ1176*評分方法!$C$10</f>
        <v>0.848</v>
      </c>
      <c r="O1176" s="15" t="n">
        <f aca="false">AK1176*評分方法!$C$11</f>
        <v>5</v>
      </c>
      <c r="P1176" s="15" t="n">
        <f aca="false">AL1176*評分方法!$C$12</f>
        <v>3</v>
      </c>
      <c r="Q1176" s="6" t="n">
        <v>148281</v>
      </c>
      <c r="R1176" s="6" t="n">
        <v>29776626688</v>
      </c>
      <c r="S1176" s="11" t="s">
        <v>389</v>
      </c>
      <c r="T1176" s="11" t="s">
        <v>239</v>
      </c>
      <c r="U1176" s="5" t="s">
        <v>240</v>
      </c>
      <c r="V1176" s="11" t="s">
        <v>261</v>
      </c>
      <c r="W1176" s="5" t="s">
        <v>207</v>
      </c>
      <c r="X1176" s="5" t="s">
        <v>371</v>
      </c>
      <c r="Y1176" s="11" t="s">
        <v>1265</v>
      </c>
      <c r="Z1176" s="11" t="s">
        <v>244</v>
      </c>
      <c r="AA1176" s="11" t="s">
        <v>156</v>
      </c>
      <c r="AB1176" s="5" t="s">
        <v>245</v>
      </c>
      <c r="AC1176" s="5" t="s">
        <v>246</v>
      </c>
      <c r="AD1176" s="11" t="s">
        <v>2962</v>
      </c>
      <c r="AE1176" s="23" t="n">
        <v>0.85</v>
      </c>
      <c r="AF1176" s="23" t="n">
        <v>0</v>
      </c>
      <c r="AG1176" s="23" t="n">
        <v>0.67</v>
      </c>
      <c r="AH1176" s="23" t="n">
        <v>0.6</v>
      </c>
      <c r="AI1176" s="23" t="n">
        <v>1</v>
      </c>
      <c r="AJ1176" s="23" t="n">
        <v>0.0848</v>
      </c>
      <c r="AK1176" s="23" t="n">
        <v>1</v>
      </c>
      <c r="AL1176" s="23" t="n">
        <v>0.6</v>
      </c>
      <c r="AM1176" s="16" t="n">
        <f aca="false">COUNTIFS($D$2:$D$2501,D1176,$G$2:$G$2501,"&gt;"&amp;G1176)+COUNTIFS($D$2:D1176,D1176,$G$2:G1176,G1176)</f>
        <v>528</v>
      </c>
      <c r="AN1176" s="5" t="str">
        <f aca="false">D1176&amp;"|"&amp;AM1176</f>
        <v>分析與報告生成|528</v>
      </c>
    </row>
    <row r="1177" customFormat="false" ht="17.15" hidden="false" customHeight="false" outlineLevel="0" collapsed="false">
      <c r="A1177" s="16" t="n">
        <f aca="false">RANK(G1177,$G$2:$G$2501)+COUNTIF($G$2:G1177,G1177)-1</f>
        <v>1176</v>
      </c>
      <c r="B1177" s="11" t="s">
        <v>2963</v>
      </c>
      <c r="C1177" s="11" t="s">
        <v>1597</v>
      </c>
      <c r="D1177" s="5" t="s">
        <v>56</v>
      </c>
      <c r="E1177" s="5" t="s">
        <v>57</v>
      </c>
      <c r="F1177" s="5"/>
      <c r="G1177" s="22" t="n">
        <f aca="false">ROUND(SUM(I1177:P1177),3)</f>
        <v>63.394</v>
      </c>
      <c r="H1177" s="5" t="str">
        <f aca="false">IF(G1177&gt;=評分方法!$C$16,"優先評估",IF(G1177&gt;=評分方法!$C$17,"列入候選",IF(G1177&gt;=評分方法!$C$18,"特定情境","不建議")))</f>
        <v>特定情境</v>
      </c>
      <c r="I1177" s="15" t="n">
        <f aca="false">AE1177*評分方法!$C$5</f>
        <v>25.5</v>
      </c>
      <c r="J1177" s="15" t="n">
        <f aca="false">AF1177*評分方法!$C$6</f>
        <v>0</v>
      </c>
      <c r="K1177" s="15" t="n">
        <f aca="false">AG1177*評分方法!$C$7</f>
        <v>15</v>
      </c>
      <c r="L1177" s="15" t="n">
        <f aca="false">AH1177*評分方法!$C$8</f>
        <v>13.05</v>
      </c>
      <c r="M1177" s="15" t="n">
        <f aca="false">AI1177*評分方法!$C$9</f>
        <v>2</v>
      </c>
      <c r="N1177" s="15" t="n">
        <f aca="false">AJ1177*評分方法!$C$10</f>
        <v>0.844</v>
      </c>
      <c r="O1177" s="15" t="n">
        <f aca="false">AK1177*評分方法!$C$11</f>
        <v>4</v>
      </c>
      <c r="P1177" s="15" t="n">
        <f aca="false">AL1177*評分方法!$C$12</f>
        <v>3</v>
      </c>
      <c r="Q1177" s="6" t="n">
        <v>148197</v>
      </c>
      <c r="R1177" s="6" t="n">
        <v>4594884366</v>
      </c>
      <c r="S1177" s="11" t="s">
        <v>254</v>
      </c>
      <c r="T1177" s="5"/>
      <c r="U1177" s="5" t="s">
        <v>375</v>
      </c>
      <c r="V1177" s="11" t="s">
        <v>261</v>
      </c>
      <c r="W1177" s="5" t="s">
        <v>205</v>
      </c>
      <c r="X1177" s="5" t="s">
        <v>371</v>
      </c>
      <c r="Y1177" s="11" t="s">
        <v>575</v>
      </c>
      <c r="Z1177" s="11" t="s">
        <v>244</v>
      </c>
      <c r="AA1177" s="11" t="s">
        <v>156</v>
      </c>
      <c r="AB1177" s="5" t="s">
        <v>496</v>
      </c>
      <c r="AC1177" s="5" t="s">
        <v>1108</v>
      </c>
      <c r="AD1177" s="11" t="s">
        <v>2964</v>
      </c>
      <c r="AE1177" s="23" t="n">
        <v>0.85</v>
      </c>
      <c r="AF1177" s="23" t="n">
        <v>0</v>
      </c>
      <c r="AG1177" s="23" t="n">
        <v>1</v>
      </c>
      <c r="AH1177" s="23" t="n">
        <v>0.87</v>
      </c>
      <c r="AI1177" s="23" t="n">
        <v>0.2</v>
      </c>
      <c r="AJ1177" s="23" t="n">
        <v>0.0844</v>
      </c>
      <c r="AK1177" s="23" t="n">
        <v>0.8</v>
      </c>
      <c r="AL1177" s="23" t="n">
        <v>0.6</v>
      </c>
      <c r="AM1177" s="16" t="n">
        <f aca="false">COUNTIFS($D$2:$D$2501,D1177,$G$2:$G$2501,"&gt;"&amp;G1177)+COUNTIFS($D$2:D1177,D1177,$G$2:G1177,G1177)</f>
        <v>529</v>
      </c>
      <c r="AN1177" s="5" t="str">
        <f aca="false">D1177&amp;"|"&amp;AM1177</f>
        <v>分析與報告生成|529</v>
      </c>
    </row>
    <row r="1178" customFormat="false" ht="17.15" hidden="false" customHeight="false" outlineLevel="0" collapsed="false">
      <c r="A1178" s="16" t="n">
        <f aca="false">RANK(G1178,$G$2:$G$2501)+COUNTIF($G$2:G1178,G1178)-1</f>
        <v>1177</v>
      </c>
      <c r="B1178" s="11" t="s">
        <v>2965</v>
      </c>
      <c r="C1178" s="11" t="s">
        <v>2966</v>
      </c>
      <c r="D1178" s="5" t="s">
        <v>54</v>
      </c>
      <c r="E1178" s="5" t="s">
        <v>55</v>
      </c>
      <c r="F1178" s="5"/>
      <c r="G1178" s="22" t="n">
        <f aca="false">ROUND(SUM(I1178:P1178),3)</f>
        <v>63.39</v>
      </c>
      <c r="H1178" s="5" t="str">
        <f aca="false">IF(G1178&gt;=評分方法!$C$16,"優先評估",IF(G1178&gt;=評分方法!$C$17,"列入候選",IF(G1178&gt;=評分方法!$C$18,"特定情境","不建議")))</f>
        <v>特定情境</v>
      </c>
      <c r="I1178" s="15" t="n">
        <f aca="false">AE1178*評分方法!$C$5</f>
        <v>27</v>
      </c>
      <c r="J1178" s="15" t="n">
        <f aca="false">AF1178*評分方法!$C$6</f>
        <v>0</v>
      </c>
      <c r="K1178" s="15" t="n">
        <f aca="false">AG1178*評分方法!$C$7</f>
        <v>4.95</v>
      </c>
      <c r="L1178" s="15" t="n">
        <f aca="false">AH1178*評分方法!$C$8</f>
        <v>15</v>
      </c>
      <c r="M1178" s="15" t="n">
        <f aca="false">AI1178*評分方法!$C$9</f>
        <v>10</v>
      </c>
      <c r="N1178" s="15" t="n">
        <f aca="false">AJ1178*評分方法!$C$10</f>
        <v>2.44</v>
      </c>
      <c r="O1178" s="15" t="n">
        <f aca="false">AK1178*評分方法!$C$11</f>
        <v>4</v>
      </c>
      <c r="P1178" s="15" t="n">
        <f aca="false">AL1178*評分方法!$C$12</f>
        <v>0</v>
      </c>
      <c r="Q1178" s="6" t="n">
        <v>245722</v>
      </c>
      <c r="R1178" s="6" t="n">
        <v>191999232</v>
      </c>
      <c r="S1178" s="11" t="s">
        <v>238</v>
      </c>
      <c r="T1178" s="11" t="s">
        <v>239</v>
      </c>
      <c r="U1178" s="5" t="s">
        <v>240</v>
      </c>
      <c r="V1178" s="11" t="s">
        <v>261</v>
      </c>
      <c r="W1178" s="5" t="s">
        <v>334</v>
      </c>
      <c r="X1178" s="5" t="s">
        <v>242</v>
      </c>
      <c r="Y1178" s="11" t="s">
        <v>788</v>
      </c>
      <c r="Z1178" s="11" t="s">
        <v>270</v>
      </c>
      <c r="AA1178" s="11" t="s">
        <v>153</v>
      </c>
      <c r="AB1178" s="5" t="s">
        <v>245</v>
      </c>
      <c r="AC1178" s="5"/>
      <c r="AD1178" s="11" t="s">
        <v>2967</v>
      </c>
      <c r="AE1178" s="23" t="n">
        <v>0.9</v>
      </c>
      <c r="AF1178" s="23" t="n">
        <v>0</v>
      </c>
      <c r="AG1178" s="23" t="n">
        <v>0.33</v>
      </c>
      <c r="AH1178" s="23" t="n">
        <v>1</v>
      </c>
      <c r="AI1178" s="23" t="n">
        <v>1</v>
      </c>
      <c r="AJ1178" s="23" t="n">
        <v>0.244</v>
      </c>
      <c r="AK1178" s="23" t="n">
        <v>0.8</v>
      </c>
      <c r="AL1178" s="23" t="n">
        <v>0</v>
      </c>
      <c r="AM1178" s="16" t="n">
        <f aca="false">COUNTIFS($D$2:$D$2501,D1178,$G$2:$G$2501,"&gt;"&amp;G1178)+COUNTIFS($D$2:D1178,D1178,$G$2:G1178,G1178)</f>
        <v>174</v>
      </c>
      <c r="AN1178" s="5" t="str">
        <f aca="false">D1178&amp;"|"&amp;AM1178</f>
        <v>檢索與情資關聯|174</v>
      </c>
    </row>
    <row r="1179" customFormat="false" ht="17.15" hidden="false" customHeight="false" outlineLevel="0" collapsed="false">
      <c r="A1179" s="16" t="n">
        <f aca="false">RANK(G1179,$G$2:$G$2501)+COUNTIF($G$2:G1179,G1179)-1</f>
        <v>1178</v>
      </c>
      <c r="B1179" s="11" t="s">
        <v>2968</v>
      </c>
      <c r="C1179" s="11" t="s">
        <v>368</v>
      </c>
      <c r="D1179" s="5" t="s">
        <v>76</v>
      </c>
      <c r="E1179" s="5" t="s">
        <v>77</v>
      </c>
      <c r="F1179" s="5"/>
      <c r="G1179" s="22" t="n">
        <f aca="false">ROUND(SUM(I1179:P1179),3)</f>
        <v>63.382</v>
      </c>
      <c r="H1179" s="5" t="str">
        <f aca="false">IF(G1179&gt;=評分方法!$C$16,"優先評估",IF(G1179&gt;=評分方法!$C$17,"列入候選",IF(G1179&gt;=評分方法!$C$18,"特定情境","不建議")))</f>
        <v>特定情境</v>
      </c>
      <c r="I1179" s="15" t="n">
        <f aca="false">AE1179*評分方法!$C$5</f>
        <v>12</v>
      </c>
      <c r="J1179" s="15" t="n">
        <f aca="false">AF1179*評分方法!$C$6</f>
        <v>0</v>
      </c>
      <c r="K1179" s="15" t="n">
        <f aca="false">AG1179*評分方法!$C$7</f>
        <v>15</v>
      </c>
      <c r="L1179" s="15" t="n">
        <f aca="false">AH1179*評分方法!$C$8</f>
        <v>13.05</v>
      </c>
      <c r="M1179" s="15" t="n">
        <f aca="false">AI1179*評分方法!$C$9</f>
        <v>10</v>
      </c>
      <c r="N1179" s="15" t="n">
        <f aca="false">AJ1179*評分方法!$C$10</f>
        <v>7.332</v>
      </c>
      <c r="O1179" s="15" t="n">
        <f aca="false">AK1179*評分方法!$C$11</f>
        <v>1</v>
      </c>
      <c r="P1179" s="15" t="n">
        <f aca="false">AL1179*評分方法!$C$12</f>
        <v>5</v>
      </c>
      <c r="Q1179" s="6" t="n">
        <v>1062733</v>
      </c>
      <c r="R1179" s="6" t="n">
        <v>2940374016</v>
      </c>
      <c r="S1179" s="11" t="s">
        <v>254</v>
      </c>
      <c r="T1179" s="11" t="s">
        <v>239</v>
      </c>
      <c r="U1179" s="5" t="s">
        <v>240</v>
      </c>
      <c r="V1179" s="11" t="s">
        <v>462</v>
      </c>
      <c r="W1179" s="5" t="s">
        <v>205</v>
      </c>
      <c r="X1179" s="5" t="s">
        <v>284</v>
      </c>
      <c r="Y1179" s="5"/>
      <c r="Z1179" s="5"/>
      <c r="AA1179" s="11" t="s">
        <v>168</v>
      </c>
      <c r="AB1179" s="5" t="s">
        <v>245</v>
      </c>
      <c r="AC1179" s="5"/>
      <c r="AD1179" s="11" t="s">
        <v>2969</v>
      </c>
      <c r="AE1179" s="23" t="n">
        <v>0.4</v>
      </c>
      <c r="AF1179" s="23" t="n">
        <v>0</v>
      </c>
      <c r="AG1179" s="23" t="n">
        <v>1</v>
      </c>
      <c r="AH1179" s="23" t="n">
        <v>0.87</v>
      </c>
      <c r="AI1179" s="23" t="n">
        <v>1</v>
      </c>
      <c r="AJ1179" s="23" t="n">
        <v>0.7332</v>
      </c>
      <c r="AK1179" s="23" t="n">
        <v>0.2</v>
      </c>
      <c r="AL1179" s="23" t="n">
        <v>1</v>
      </c>
      <c r="AM1179" s="16" t="n">
        <f aca="false">COUNTIFS($D$2:$D$2501,D1179,$G$2:$G$2501,"&gt;"&amp;G1179)+COUNTIFS($D$2:D1179,D1179,$G$2:G1179,G1179)</f>
        <v>5</v>
      </c>
      <c r="AN1179" s="5" t="str">
        <f aca="false">D1179&amp;"|"&amp;AM1179</f>
        <v>情資翻譯|5</v>
      </c>
    </row>
    <row r="1180" customFormat="false" ht="17.15" hidden="false" customHeight="false" outlineLevel="0" collapsed="false">
      <c r="A1180" s="16" t="n">
        <f aca="false">RANK(G1180,$G$2:$G$2501)+COUNTIF($G$2:G1180,G1180)-1</f>
        <v>1179</v>
      </c>
      <c r="B1180" s="11" t="s">
        <v>2970</v>
      </c>
      <c r="C1180" s="11" t="s">
        <v>368</v>
      </c>
      <c r="D1180" s="5" t="s">
        <v>56</v>
      </c>
      <c r="E1180" s="5" t="s">
        <v>57</v>
      </c>
      <c r="F1180" s="5"/>
      <c r="G1180" s="22" t="n">
        <f aca="false">ROUND(SUM(I1180:P1180),3)</f>
        <v>63.376</v>
      </c>
      <c r="H1180" s="5" t="str">
        <f aca="false">IF(G1180&gt;=評分方法!$C$16,"優先評估",IF(G1180&gt;=評分方法!$C$17,"列入候選",IF(G1180&gt;=評分方法!$C$18,"特定情境","不建議")))</f>
        <v>特定情境</v>
      </c>
      <c r="I1180" s="15" t="n">
        <f aca="false">AE1180*評分方法!$C$5</f>
        <v>25.5</v>
      </c>
      <c r="J1180" s="15" t="n">
        <f aca="false">AF1180*評分方法!$C$6</f>
        <v>0</v>
      </c>
      <c r="K1180" s="15" t="n">
        <f aca="false">AG1180*評分方法!$C$7</f>
        <v>15</v>
      </c>
      <c r="L1180" s="15" t="n">
        <f aca="false">AH1180*評分方法!$C$8</f>
        <v>9</v>
      </c>
      <c r="M1180" s="15" t="n">
        <f aca="false">AI1180*評分方法!$C$9</f>
        <v>6</v>
      </c>
      <c r="N1180" s="15" t="n">
        <f aca="false">AJ1180*評分方法!$C$10</f>
        <v>0.876</v>
      </c>
      <c r="O1180" s="15" t="n">
        <f aca="false">AK1180*評分方法!$C$11</f>
        <v>4</v>
      </c>
      <c r="P1180" s="15" t="n">
        <f aca="false">AL1180*評分方法!$C$12</f>
        <v>3</v>
      </c>
      <c r="Q1180" s="6" t="n">
        <v>149023</v>
      </c>
      <c r="R1180" s="6" t="n">
        <v>12187325040</v>
      </c>
      <c r="S1180" s="11" t="s">
        <v>389</v>
      </c>
      <c r="T1180" s="11" t="s">
        <v>658</v>
      </c>
      <c r="U1180" s="5" t="s">
        <v>260</v>
      </c>
      <c r="V1180" s="11" t="s">
        <v>261</v>
      </c>
      <c r="W1180" s="5" t="s">
        <v>205</v>
      </c>
      <c r="X1180" s="5" t="s">
        <v>371</v>
      </c>
      <c r="Y1180" s="5"/>
      <c r="Z1180" s="5"/>
      <c r="AA1180" s="11" t="s">
        <v>156</v>
      </c>
      <c r="AB1180" s="5" t="s">
        <v>245</v>
      </c>
      <c r="AC1180" s="5" t="s">
        <v>262</v>
      </c>
      <c r="AD1180" s="11" t="s">
        <v>2971</v>
      </c>
      <c r="AE1180" s="23" t="n">
        <v>0.85</v>
      </c>
      <c r="AF1180" s="23" t="n">
        <v>0</v>
      </c>
      <c r="AG1180" s="23" t="n">
        <v>1</v>
      </c>
      <c r="AH1180" s="23" t="n">
        <v>0.6</v>
      </c>
      <c r="AI1180" s="23" t="n">
        <v>0.6</v>
      </c>
      <c r="AJ1180" s="23" t="n">
        <v>0.0876</v>
      </c>
      <c r="AK1180" s="23" t="n">
        <v>0.8</v>
      </c>
      <c r="AL1180" s="23" t="n">
        <v>0.6</v>
      </c>
      <c r="AM1180" s="16" t="n">
        <f aca="false">COUNTIFS($D$2:$D$2501,D1180,$G$2:$G$2501,"&gt;"&amp;G1180)+COUNTIFS($D$2:D1180,D1180,$G$2:G1180,G1180)</f>
        <v>530</v>
      </c>
      <c r="AN1180" s="5" t="str">
        <f aca="false">D1180&amp;"|"&amp;AM1180</f>
        <v>分析與報告生成|530</v>
      </c>
    </row>
    <row r="1181" customFormat="false" ht="17.15" hidden="false" customHeight="false" outlineLevel="0" collapsed="false">
      <c r="A1181" s="16" t="n">
        <f aca="false">RANK(G1181,$G$2:$G$2501)+COUNTIF($G$2:G1181,G1181)-1</f>
        <v>1180</v>
      </c>
      <c r="B1181" s="11" t="s">
        <v>2972</v>
      </c>
      <c r="C1181" s="11" t="s">
        <v>2693</v>
      </c>
      <c r="D1181" s="5" t="s">
        <v>74</v>
      </c>
      <c r="E1181" s="5" t="s">
        <v>75</v>
      </c>
      <c r="F1181" s="5"/>
      <c r="G1181" s="22" t="n">
        <f aca="false">ROUND(SUM(I1181:P1181),3)</f>
        <v>63.368</v>
      </c>
      <c r="H1181" s="5" t="str">
        <f aca="false">IF(G1181&gt;=評分方法!$C$16,"優先評估",IF(G1181&gt;=評分方法!$C$17,"列入候選",IF(G1181&gt;=評分方法!$C$18,"特定情境","不建議")))</f>
        <v>特定情境</v>
      </c>
      <c r="I1181" s="15" t="n">
        <f aca="false">AE1181*評分方法!$C$5</f>
        <v>10.5</v>
      </c>
      <c r="J1181" s="15" t="n">
        <f aca="false">AF1181*評分方法!$C$6</f>
        <v>0</v>
      </c>
      <c r="K1181" s="15" t="n">
        <f aca="false">AG1181*評分方法!$C$7</f>
        <v>15</v>
      </c>
      <c r="L1181" s="15" t="n">
        <f aca="false">AH1181*評分方法!$C$8</f>
        <v>15</v>
      </c>
      <c r="M1181" s="15" t="n">
        <f aca="false">AI1181*評分方法!$C$9</f>
        <v>10</v>
      </c>
      <c r="N1181" s="15" t="n">
        <f aca="false">AJ1181*評分方法!$C$10</f>
        <v>8.868</v>
      </c>
      <c r="O1181" s="15" t="n">
        <f aca="false">AK1181*評分方法!$C$11</f>
        <v>2.5</v>
      </c>
      <c r="P1181" s="15" t="n">
        <f aca="false">AL1181*評分方法!$C$12</f>
        <v>1.5</v>
      </c>
      <c r="Q1181" s="6" t="n">
        <v>3297486</v>
      </c>
      <c r="R1181" s="6" t="n">
        <v>28589128</v>
      </c>
      <c r="S1181" s="11" t="s">
        <v>238</v>
      </c>
      <c r="T1181" s="11" t="s">
        <v>239</v>
      </c>
      <c r="U1181" s="5" t="s">
        <v>240</v>
      </c>
      <c r="V1181" s="11" t="s">
        <v>324</v>
      </c>
      <c r="W1181" s="5" t="s">
        <v>205</v>
      </c>
      <c r="X1181" s="5" t="s">
        <v>255</v>
      </c>
      <c r="Y1181" s="5"/>
      <c r="Z1181" s="5"/>
      <c r="AA1181" s="11" t="s">
        <v>172</v>
      </c>
      <c r="AB1181" s="5" t="s">
        <v>245</v>
      </c>
      <c r="AC1181" s="5"/>
      <c r="AD1181" s="11" t="s">
        <v>2973</v>
      </c>
      <c r="AE1181" s="23" t="n">
        <v>0.35</v>
      </c>
      <c r="AF1181" s="23" t="n">
        <v>0</v>
      </c>
      <c r="AG1181" s="23" t="n">
        <v>1</v>
      </c>
      <c r="AH1181" s="23" t="n">
        <v>1</v>
      </c>
      <c r="AI1181" s="23" t="n">
        <v>1</v>
      </c>
      <c r="AJ1181" s="23" t="n">
        <v>0.8868</v>
      </c>
      <c r="AK1181" s="23" t="n">
        <v>0.5</v>
      </c>
      <c r="AL1181" s="23" t="n">
        <v>0.3</v>
      </c>
      <c r="AM1181" s="16" t="n">
        <f aca="false">COUNTIFS($D$2:$D$2501,D1181,$G$2:$G$2501,"&gt;"&amp;G1181)+COUNTIFS($D$2:D1181,D1181,$G$2:G1181,G1181)</f>
        <v>30</v>
      </c>
      <c r="AN1181" s="5" t="str">
        <f aca="false">D1181&amp;"|"&amp;AM1181</f>
        <v>文件與影像辨識|30</v>
      </c>
    </row>
    <row r="1182" customFormat="false" ht="17.15" hidden="false" customHeight="false" outlineLevel="0" collapsed="false">
      <c r="A1182" s="16" t="n">
        <f aca="false">RANK(G1182,$G$2:$G$2501)+COUNTIF($G$2:G1182,G1182)-1</f>
        <v>1181</v>
      </c>
      <c r="B1182" s="11" t="s">
        <v>2974</v>
      </c>
      <c r="C1182" s="11" t="s">
        <v>891</v>
      </c>
      <c r="D1182" s="5" t="s">
        <v>56</v>
      </c>
      <c r="E1182" s="5" t="s">
        <v>57</v>
      </c>
      <c r="F1182" s="5"/>
      <c r="G1182" s="22" t="n">
        <f aca="false">ROUND(SUM(I1182:P1182),3)</f>
        <v>63.368</v>
      </c>
      <c r="H1182" s="5" t="str">
        <f aca="false">IF(G1182&gt;=評分方法!$C$16,"優先評估",IF(G1182&gt;=評分方法!$C$17,"列入候選",IF(G1182&gt;=評分方法!$C$18,"特定情境","不建議")))</f>
        <v>特定情境</v>
      </c>
      <c r="I1182" s="15" t="n">
        <f aca="false">AE1182*評分方法!$C$5</f>
        <v>25.5</v>
      </c>
      <c r="J1182" s="15" t="n">
        <f aca="false">AF1182*評分方法!$C$6</f>
        <v>0</v>
      </c>
      <c r="K1182" s="15" t="n">
        <f aca="false">AG1182*評分方法!$C$7</f>
        <v>10.05</v>
      </c>
      <c r="L1182" s="15" t="n">
        <f aca="false">AH1182*評分方法!$C$8</f>
        <v>13.05</v>
      </c>
      <c r="M1182" s="15" t="n">
        <f aca="false">AI1182*評分方法!$C$9</f>
        <v>6</v>
      </c>
      <c r="N1182" s="15" t="n">
        <f aca="false">AJ1182*評分方法!$C$10</f>
        <v>3.268</v>
      </c>
      <c r="O1182" s="15" t="n">
        <f aca="false">AK1182*評分方法!$C$11</f>
        <v>2.5</v>
      </c>
      <c r="P1182" s="15" t="n">
        <f aca="false">AL1182*評分方法!$C$12</f>
        <v>3</v>
      </c>
      <c r="Q1182" s="6" t="n">
        <v>326038</v>
      </c>
      <c r="R1182" s="6" t="n">
        <v>7849978192</v>
      </c>
      <c r="S1182" s="11" t="s">
        <v>254</v>
      </c>
      <c r="T1182" s="11" t="s">
        <v>658</v>
      </c>
      <c r="U1182" s="5" t="s">
        <v>260</v>
      </c>
      <c r="V1182" s="11" t="s">
        <v>261</v>
      </c>
      <c r="W1182" s="5" t="s">
        <v>207</v>
      </c>
      <c r="X1182" s="5" t="s">
        <v>371</v>
      </c>
      <c r="Y1182" s="11" t="s">
        <v>1003</v>
      </c>
      <c r="Z1182" s="11" t="s">
        <v>270</v>
      </c>
      <c r="AA1182" s="11" t="s">
        <v>156</v>
      </c>
      <c r="AB1182" s="5" t="s">
        <v>245</v>
      </c>
      <c r="AC1182" s="5" t="s">
        <v>262</v>
      </c>
      <c r="AD1182" s="11" t="s">
        <v>2975</v>
      </c>
      <c r="AE1182" s="23" t="n">
        <v>0.85</v>
      </c>
      <c r="AF1182" s="23" t="n">
        <v>0</v>
      </c>
      <c r="AG1182" s="23" t="n">
        <v>0.67</v>
      </c>
      <c r="AH1182" s="23" t="n">
        <v>0.87</v>
      </c>
      <c r="AI1182" s="23" t="n">
        <v>0.6</v>
      </c>
      <c r="AJ1182" s="23" t="n">
        <v>0.3268</v>
      </c>
      <c r="AK1182" s="23" t="n">
        <v>0.5</v>
      </c>
      <c r="AL1182" s="23" t="n">
        <v>0.6</v>
      </c>
      <c r="AM1182" s="16" t="n">
        <f aca="false">COUNTIFS($D$2:$D$2501,D1182,$G$2:$G$2501,"&gt;"&amp;G1182)+COUNTIFS($D$2:D1182,D1182,$G$2:G1182,G1182)</f>
        <v>531</v>
      </c>
      <c r="AN1182" s="5" t="str">
        <f aca="false">D1182&amp;"|"&amp;AM1182</f>
        <v>分析與報告生成|531</v>
      </c>
    </row>
    <row r="1183" customFormat="false" ht="17.15" hidden="false" customHeight="false" outlineLevel="0" collapsed="false">
      <c r="A1183" s="16" t="n">
        <f aca="false">RANK(G1183,$G$2:$G$2501)+COUNTIF($G$2:G1183,G1183)-1</f>
        <v>1182</v>
      </c>
      <c r="B1183" s="11" t="s">
        <v>2976</v>
      </c>
      <c r="C1183" s="11" t="s">
        <v>579</v>
      </c>
      <c r="D1183" s="5" t="s">
        <v>68</v>
      </c>
      <c r="E1183" s="11" t="s">
        <v>69</v>
      </c>
      <c r="F1183" s="5"/>
      <c r="G1183" s="22" t="n">
        <f aca="false">ROUND(SUM(I1183:P1183),3)</f>
        <v>63.364</v>
      </c>
      <c r="H1183" s="5" t="str">
        <f aca="false">IF(G1183&gt;=評分方法!$C$16,"優先評估",IF(G1183&gt;=評分方法!$C$17,"列入候選",IF(G1183&gt;=評分方法!$C$18,"特定情境","不建議")))</f>
        <v>特定情境</v>
      </c>
      <c r="I1183" s="15" t="n">
        <f aca="false">AE1183*評分方法!$C$5</f>
        <v>9</v>
      </c>
      <c r="J1183" s="15" t="n">
        <f aca="false">AF1183*評分方法!$C$6</f>
        <v>0</v>
      </c>
      <c r="K1183" s="15" t="n">
        <f aca="false">AG1183*評分方法!$C$7</f>
        <v>15</v>
      </c>
      <c r="L1183" s="15" t="n">
        <f aca="false">AH1183*評分方法!$C$8</f>
        <v>15</v>
      </c>
      <c r="M1183" s="15" t="n">
        <f aca="false">AI1183*評分方法!$C$9</f>
        <v>10</v>
      </c>
      <c r="N1183" s="15" t="n">
        <f aca="false">AJ1183*評分方法!$C$10</f>
        <v>8.864</v>
      </c>
      <c r="O1183" s="15" t="n">
        <f aca="false">AK1183*評分方法!$C$11</f>
        <v>4</v>
      </c>
      <c r="P1183" s="15" t="n">
        <f aca="false">AL1183*評分方法!$C$12</f>
        <v>1.5</v>
      </c>
      <c r="Q1183" s="6" t="n">
        <v>3236185</v>
      </c>
      <c r="R1183" s="6" t="n">
        <v>75661313</v>
      </c>
      <c r="S1183" s="11" t="s">
        <v>238</v>
      </c>
      <c r="T1183" s="11" t="s">
        <v>239</v>
      </c>
      <c r="U1183" s="5" t="s">
        <v>240</v>
      </c>
      <c r="V1183" s="11" t="s">
        <v>261</v>
      </c>
      <c r="W1183" s="5" t="s">
        <v>205</v>
      </c>
      <c r="X1183" s="5" t="s">
        <v>255</v>
      </c>
      <c r="Y1183" s="5"/>
      <c r="Z1183" s="5"/>
      <c r="AA1183" s="11" t="s">
        <v>177</v>
      </c>
      <c r="AB1183" s="5" t="s">
        <v>245</v>
      </c>
      <c r="AC1183" s="5"/>
      <c r="AD1183" s="11" t="s">
        <v>2977</v>
      </c>
      <c r="AE1183" s="23" t="n">
        <v>0.3</v>
      </c>
      <c r="AF1183" s="23" t="n">
        <v>0</v>
      </c>
      <c r="AG1183" s="23" t="n">
        <v>1</v>
      </c>
      <c r="AH1183" s="23" t="n">
        <v>1</v>
      </c>
      <c r="AI1183" s="23" t="n">
        <v>1</v>
      </c>
      <c r="AJ1183" s="23" t="n">
        <v>0.8864</v>
      </c>
      <c r="AK1183" s="23" t="n">
        <v>0.8</v>
      </c>
      <c r="AL1183" s="23" t="n">
        <v>0.3</v>
      </c>
      <c r="AM1183" s="16" t="n">
        <f aca="false">COUNTIFS($D$2:$D$2501,D1183,$G$2:$G$2501,"&gt;"&amp;G1183)+COUNTIFS($D$2:D1183,D1183,$G$2:G1183,G1183)</f>
        <v>40</v>
      </c>
      <c r="AN1183" s="5" t="str">
        <f aca="false">D1183&amp;"|"&amp;AM1183</f>
        <v>時序異常偵測|40</v>
      </c>
    </row>
    <row r="1184" customFormat="false" ht="17.15" hidden="false" customHeight="false" outlineLevel="0" collapsed="false">
      <c r="A1184" s="16" t="n">
        <f aca="false">RANK(G1184,$G$2:$G$2501)+COUNTIF($G$2:G1184,G1184)-1</f>
        <v>1183</v>
      </c>
      <c r="B1184" s="11" t="s">
        <v>2978</v>
      </c>
      <c r="C1184" s="11" t="s">
        <v>2261</v>
      </c>
      <c r="D1184" s="5" t="s">
        <v>54</v>
      </c>
      <c r="E1184" s="5" t="s">
        <v>55</v>
      </c>
      <c r="F1184" s="5"/>
      <c r="G1184" s="22" t="n">
        <f aca="false">ROUND(SUM(I1184:P1184),3)</f>
        <v>63.338</v>
      </c>
      <c r="H1184" s="5" t="str">
        <f aca="false">IF(G1184&gt;=評分方法!$C$16,"優先評估",IF(G1184&gt;=評分方法!$C$17,"列入候選",IF(G1184&gt;=評分方法!$C$18,"特定情境","不建議")))</f>
        <v>特定情境</v>
      </c>
      <c r="I1184" s="15" t="n">
        <f aca="false">AE1184*評分方法!$C$5</f>
        <v>27</v>
      </c>
      <c r="J1184" s="15" t="n">
        <f aca="false">AF1184*評分方法!$C$6</f>
        <v>0</v>
      </c>
      <c r="K1184" s="15" t="n">
        <f aca="false">AG1184*評分方法!$C$7</f>
        <v>10.05</v>
      </c>
      <c r="L1184" s="15" t="n">
        <f aca="false">AH1184*評分方法!$C$8</f>
        <v>15</v>
      </c>
      <c r="M1184" s="15" t="n">
        <f aca="false">AI1184*評分方法!$C$9</f>
        <v>2</v>
      </c>
      <c r="N1184" s="15" t="n">
        <f aca="false">AJ1184*評分方法!$C$10</f>
        <v>6.788</v>
      </c>
      <c r="O1184" s="15" t="n">
        <f aca="false">AK1184*評分方法!$C$11</f>
        <v>1</v>
      </c>
      <c r="P1184" s="15" t="n">
        <f aca="false">AL1184*評分方法!$C$12</f>
        <v>1.5</v>
      </c>
      <c r="Q1184" s="6" t="n">
        <v>837706</v>
      </c>
      <c r="R1184" s="6" t="n">
        <v>0</v>
      </c>
      <c r="S1184" s="11" t="s">
        <v>238</v>
      </c>
      <c r="T1184" s="5"/>
      <c r="U1184" s="5" t="s">
        <v>375</v>
      </c>
      <c r="V1184" s="11" t="s">
        <v>261</v>
      </c>
      <c r="W1184" s="5" t="s">
        <v>207</v>
      </c>
      <c r="X1184" s="5" t="s">
        <v>255</v>
      </c>
      <c r="Y1184" s="5"/>
      <c r="Z1184" s="5"/>
      <c r="AA1184" s="11" t="s">
        <v>153</v>
      </c>
      <c r="AB1184" s="5" t="s">
        <v>245</v>
      </c>
      <c r="AC1184" s="5" t="s">
        <v>262</v>
      </c>
      <c r="AD1184" s="11" t="s">
        <v>2979</v>
      </c>
      <c r="AE1184" s="23" t="n">
        <v>0.9</v>
      </c>
      <c r="AF1184" s="23" t="n">
        <v>0</v>
      </c>
      <c r="AG1184" s="23" t="n">
        <v>0.67</v>
      </c>
      <c r="AH1184" s="23" t="n">
        <v>1</v>
      </c>
      <c r="AI1184" s="23" t="n">
        <v>0.2</v>
      </c>
      <c r="AJ1184" s="23" t="n">
        <v>0.6788</v>
      </c>
      <c r="AK1184" s="23" t="n">
        <v>0.2</v>
      </c>
      <c r="AL1184" s="23" t="n">
        <v>0.3</v>
      </c>
      <c r="AM1184" s="16" t="n">
        <f aca="false">COUNTIFS($D$2:$D$2501,D1184,$G$2:$G$2501,"&gt;"&amp;G1184)+COUNTIFS($D$2:D1184,D1184,$G$2:G1184,G1184)</f>
        <v>175</v>
      </c>
      <c r="AN1184" s="5" t="str">
        <f aca="false">D1184&amp;"|"&amp;AM1184</f>
        <v>檢索與情資關聯|175</v>
      </c>
    </row>
    <row r="1185" customFormat="false" ht="17.15" hidden="false" customHeight="false" outlineLevel="0" collapsed="false">
      <c r="A1185" s="16" t="n">
        <f aca="false">RANK(G1185,$G$2:$G$2501)+COUNTIF($G$2:G1185,G1185)-1</f>
        <v>1184</v>
      </c>
      <c r="B1185" s="11" t="s">
        <v>2980</v>
      </c>
      <c r="C1185" s="11" t="s">
        <v>1111</v>
      </c>
      <c r="D1185" s="5" t="s">
        <v>56</v>
      </c>
      <c r="E1185" s="5" t="s">
        <v>57</v>
      </c>
      <c r="F1185" s="5"/>
      <c r="G1185" s="22" t="n">
        <f aca="false">ROUND(SUM(I1185:P1185),3)</f>
        <v>63.32</v>
      </c>
      <c r="H1185" s="5" t="str">
        <f aca="false">IF(G1185&gt;=評分方法!$C$16,"優先評估",IF(G1185&gt;=評分方法!$C$17,"列入候選",IF(G1185&gt;=評分方法!$C$18,"特定情境","不建議")))</f>
        <v>特定情境</v>
      </c>
      <c r="I1185" s="15" t="n">
        <f aca="false">AE1185*評分方法!$C$5</f>
        <v>25.5</v>
      </c>
      <c r="J1185" s="15" t="n">
        <f aca="false">AF1185*評分方法!$C$6</f>
        <v>0</v>
      </c>
      <c r="K1185" s="15" t="n">
        <f aca="false">AG1185*評分方法!$C$7</f>
        <v>10.05</v>
      </c>
      <c r="L1185" s="15" t="n">
        <f aca="false">AH1185*評分方法!$C$8</f>
        <v>13.05</v>
      </c>
      <c r="M1185" s="15" t="n">
        <f aca="false">AI1185*評分方法!$C$9</f>
        <v>6</v>
      </c>
      <c r="N1185" s="15" t="n">
        <f aca="false">AJ1185*評分方法!$C$10</f>
        <v>3.72</v>
      </c>
      <c r="O1185" s="15" t="n">
        <f aca="false">AK1185*評分方法!$C$11</f>
        <v>5</v>
      </c>
      <c r="P1185" s="15" t="n">
        <f aca="false">AL1185*評分方法!$C$12</f>
        <v>0</v>
      </c>
      <c r="Q1185" s="6" t="n">
        <v>379036</v>
      </c>
      <c r="R1185" s="6" t="n">
        <v>8031637504</v>
      </c>
      <c r="S1185" s="11" t="s">
        <v>254</v>
      </c>
      <c r="T1185" s="11" t="s">
        <v>259</v>
      </c>
      <c r="U1185" s="5" t="s">
        <v>260</v>
      </c>
      <c r="V1185" s="11" t="s">
        <v>261</v>
      </c>
      <c r="W1185" s="5" t="s">
        <v>207</v>
      </c>
      <c r="X1185" s="5" t="s">
        <v>242</v>
      </c>
      <c r="Y1185" s="11" t="s">
        <v>1066</v>
      </c>
      <c r="Z1185" s="11" t="s">
        <v>244</v>
      </c>
      <c r="AA1185" s="11" t="s">
        <v>155</v>
      </c>
      <c r="AB1185" s="5" t="s">
        <v>245</v>
      </c>
      <c r="AC1185" s="5" t="s">
        <v>464</v>
      </c>
      <c r="AD1185" s="11" t="s">
        <v>2981</v>
      </c>
      <c r="AE1185" s="23" t="n">
        <v>0.85</v>
      </c>
      <c r="AF1185" s="23" t="n">
        <v>0</v>
      </c>
      <c r="AG1185" s="23" t="n">
        <v>0.67</v>
      </c>
      <c r="AH1185" s="23" t="n">
        <v>0.87</v>
      </c>
      <c r="AI1185" s="23" t="n">
        <v>0.6</v>
      </c>
      <c r="AJ1185" s="23" t="n">
        <v>0.372</v>
      </c>
      <c r="AK1185" s="23" t="n">
        <v>1</v>
      </c>
      <c r="AL1185" s="23" t="n">
        <v>0</v>
      </c>
      <c r="AM1185" s="16" t="n">
        <f aca="false">COUNTIFS($D$2:$D$2501,D1185,$G$2:$G$2501,"&gt;"&amp;G1185)+COUNTIFS($D$2:D1185,D1185,$G$2:G1185,G1185)</f>
        <v>532</v>
      </c>
      <c r="AN1185" s="5" t="str">
        <f aca="false">D1185&amp;"|"&amp;AM1185</f>
        <v>分析與報告生成|532</v>
      </c>
    </row>
    <row r="1186" customFormat="false" ht="17.15" hidden="false" customHeight="false" outlineLevel="0" collapsed="false">
      <c r="A1186" s="16" t="n">
        <f aca="false">RANK(G1186,$G$2:$G$2501)+COUNTIF($G$2:G1186,G1186)-1</f>
        <v>1185</v>
      </c>
      <c r="B1186" s="11" t="s">
        <v>2982</v>
      </c>
      <c r="C1186" s="11" t="s">
        <v>2693</v>
      </c>
      <c r="D1186" s="5" t="s">
        <v>74</v>
      </c>
      <c r="E1186" s="5" t="s">
        <v>75</v>
      </c>
      <c r="F1186" s="5"/>
      <c r="G1186" s="22" t="n">
        <f aca="false">ROUND(SUM(I1186:P1186),3)</f>
        <v>63.316</v>
      </c>
      <c r="H1186" s="5" t="str">
        <f aca="false">IF(G1186&gt;=評分方法!$C$16,"優先評估",IF(G1186&gt;=評分方法!$C$17,"列入候選",IF(G1186&gt;=評分方法!$C$18,"特定情境","不建議")))</f>
        <v>特定情境</v>
      </c>
      <c r="I1186" s="15" t="n">
        <f aca="false">AE1186*評分方法!$C$5</f>
        <v>10.5</v>
      </c>
      <c r="J1186" s="15" t="n">
        <f aca="false">AF1186*評分方法!$C$6</f>
        <v>0</v>
      </c>
      <c r="K1186" s="15" t="n">
        <f aca="false">AG1186*評分方法!$C$7</f>
        <v>15</v>
      </c>
      <c r="L1186" s="15" t="n">
        <f aca="false">AH1186*評分方法!$C$8</f>
        <v>15</v>
      </c>
      <c r="M1186" s="15" t="n">
        <f aca="false">AI1186*評分方法!$C$9</f>
        <v>10</v>
      </c>
      <c r="N1186" s="15" t="n">
        <f aca="false">AJ1186*評分方法!$C$10</f>
        <v>8.816</v>
      </c>
      <c r="O1186" s="15" t="n">
        <f aca="false">AK1186*評分方法!$C$11</f>
        <v>2.5</v>
      </c>
      <c r="P1186" s="15" t="n">
        <f aca="false">AL1186*評分方法!$C$12</f>
        <v>1.5</v>
      </c>
      <c r="Q1186" s="6" t="n">
        <v>3098171</v>
      </c>
      <c r="R1186" s="6" t="n">
        <v>68951464</v>
      </c>
      <c r="S1186" s="11" t="s">
        <v>238</v>
      </c>
      <c r="T1186" s="11" t="s">
        <v>239</v>
      </c>
      <c r="U1186" s="5" t="s">
        <v>240</v>
      </c>
      <c r="V1186" s="11" t="s">
        <v>324</v>
      </c>
      <c r="W1186" s="5" t="s">
        <v>205</v>
      </c>
      <c r="X1186" s="5" t="s">
        <v>255</v>
      </c>
      <c r="Y1186" s="5"/>
      <c r="Z1186" s="5"/>
      <c r="AA1186" s="11" t="s">
        <v>172</v>
      </c>
      <c r="AB1186" s="5" t="s">
        <v>245</v>
      </c>
      <c r="AC1186" s="5"/>
      <c r="AD1186" s="11" t="s">
        <v>2983</v>
      </c>
      <c r="AE1186" s="23" t="n">
        <v>0.35</v>
      </c>
      <c r="AF1186" s="23" t="n">
        <v>0</v>
      </c>
      <c r="AG1186" s="23" t="n">
        <v>1</v>
      </c>
      <c r="AH1186" s="23" t="n">
        <v>1</v>
      </c>
      <c r="AI1186" s="23" t="n">
        <v>1</v>
      </c>
      <c r="AJ1186" s="23" t="n">
        <v>0.8816</v>
      </c>
      <c r="AK1186" s="23" t="n">
        <v>0.5</v>
      </c>
      <c r="AL1186" s="23" t="n">
        <v>0.3</v>
      </c>
      <c r="AM1186" s="16" t="n">
        <f aca="false">COUNTIFS($D$2:$D$2501,D1186,$G$2:$G$2501,"&gt;"&amp;G1186)+COUNTIFS($D$2:D1186,D1186,$G$2:G1186,G1186)</f>
        <v>31</v>
      </c>
      <c r="AN1186" s="5" t="str">
        <f aca="false">D1186&amp;"|"&amp;AM1186</f>
        <v>文件與影像辨識|31</v>
      </c>
    </row>
    <row r="1187" customFormat="false" ht="17.15" hidden="false" customHeight="false" outlineLevel="0" collapsed="false">
      <c r="A1187" s="16" t="n">
        <f aca="false">RANK(G1187,$G$2:$G$2501)+COUNTIF($G$2:G1187,G1187)-1</f>
        <v>1186</v>
      </c>
      <c r="B1187" s="11" t="s">
        <v>2984</v>
      </c>
      <c r="C1187" s="11" t="s">
        <v>2693</v>
      </c>
      <c r="D1187" s="5" t="s">
        <v>74</v>
      </c>
      <c r="E1187" s="5" t="s">
        <v>75</v>
      </c>
      <c r="F1187" s="5"/>
      <c r="G1187" s="22" t="n">
        <f aca="false">ROUND(SUM(I1187:P1187),3)</f>
        <v>63.308</v>
      </c>
      <c r="H1187" s="5" t="str">
        <f aca="false">IF(G1187&gt;=評分方法!$C$16,"優先評估",IF(G1187&gt;=評分方法!$C$17,"列入候選",IF(G1187&gt;=評分方法!$C$18,"特定情境","不建議")))</f>
        <v>特定情境</v>
      </c>
      <c r="I1187" s="15" t="n">
        <f aca="false">AE1187*評分方法!$C$5</f>
        <v>10.5</v>
      </c>
      <c r="J1187" s="15" t="n">
        <f aca="false">AF1187*評分方法!$C$6</f>
        <v>0</v>
      </c>
      <c r="K1187" s="15" t="n">
        <f aca="false">AG1187*評分方法!$C$7</f>
        <v>15</v>
      </c>
      <c r="L1187" s="15" t="n">
        <f aca="false">AH1187*評分方法!$C$8</f>
        <v>15</v>
      </c>
      <c r="M1187" s="15" t="n">
        <f aca="false">AI1187*評分方法!$C$9</f>
        <v>10</v>
      </c>
      <c r="N1187" s="15" t="n">
        <f aca="false">AJ1187*評分方法!$C$10</f>
        <v>8.808</v>
      </c>
      <c r="O1187" s="15" t="n">
        <f aca="false">AK1187*評分方法!$C$11</f>
        <v>2.5</v>
      </c>
      <c r="P1187" s="15" t="n">
        <f aca="false">AL1187*評分方法!$C$12</f>
        <v>1.5</v>
      </c>
      <c r="Q1187" s="6" t="n">
        <v>3091662</v>
      </c>
      <c r="R1187" s="6" t="n">
        <v>9132616</v>
      </c>
      <c r="S1187" s="11" t="s">
        <v>238</v>
      </c>
      <c r="T1187" s="11" t="s">
        <v>278</v>
      </c>
      <c r="U1187" s="5" t="s">
        <v>240</v>
      </c>
      <c r="V1187" s="11" t="s">
        <v>324</v>
      </c>
      <c r="W1187" s="5" t="s">
        <v>205</v>
      </c>
      <c r="X1187" s="5" t="s">
        <v>255</v>
      </c>
      <c r="Y1187" s="5"/>
      <c r="Z1187" s="5"/>
      <c r="AA1187" s="11" t="s">
        <v>172</v>
      </c>
      <c r="AB1187" s="5" t="s">
        <v>245</v>
      </c>
      <c r="AC1187" s="5"/>
      <c r="AD1187" s="11" t="s">
        <v>2985</v>
      </c>
      <c r="AE1187" s="23" t="n">
        <v>0.35</v>
      </c>
      <c r="AF1187" s="23" t="n">
        <v>0</v>
      </c>
      <c r="AG1187" s="23" t="n">
        <v>1</v>
      </c>
      <c r="AH1187" s="23" t="n">
        <v>1</v>
      </c>
      <c r="AI1187" s="23" t="n">
        <v>1</v>
      </c>
      <c r="AJ1187" s="23" t="n">
        <v>0.8808</v>
      </c>
      <c r="AK1187" s="23" t="n">
        <v>0.5</v>
      </c>
      <c r="AL1187" s="23" t="n">
        <v>0.3</v>
      </c>
      <c r="AM1187" s="16" t="n">
        <f aca="false">COUNTIFS($D$2:$D$2501,D1187,$G$2:$G$2501,"&gt;"&amp;G1187)+COUNTIFS($D$2:D1187,D1187,$G$2:G1187,G1187)</f>
        <v>32</v>
      </c>
      <c r="AN1187" s="5" t="str">
        <f aca="false">D1187&amp;"|"&amp;AM1187</f>
        <v>文件與影像辨識|32</v>
      </c>
    </row>
    <row r="1188" customFormat="false" ht="17.15" hidden="false" customHeight="false" outlineLevel="0" collapsed="false">
      <c r="A1188" s="16" t="n">
        <f aca="false">RANK(G1188,$G$2:$G$2501)+COUNTIF($G$2:G1188,G1188)-1</f>
        <v>1187</v>
      </c>
      <c r="B1188" s="11" t="s">
        <v>2986</v>
      </c>
      <c r="C1188" s="11" t="s">
        <v>753</v>
      </c>
      <c r="D1188" s="5" t="s">
        <v>56</v>
      </c>
      <c r="E1188" s="5" t="s">
        <v>57</v>
      </c>
      <c r="F1188" s="5"/>
      <c r="G1188" s="22" t="n">
        <f aca="false">ROUND(SUM(I1188:P1188),3)</f>
        <v>63.296</v>
      </c>
      <c r="H1188" s="5" t="str">
        <f aca="false">IF(G1188&gt;=評分方法!$C$16,"優先評估",IF(G1188&gt;=評分方法!$C$17,"列入候選",IF(G1188&gt;=評分方法!$C$18,"特定情境","不建議")))</f>
        <v>特定情境</v>
      </c>
      <c r="I1188" s="15" t="n">
        <f aca="false">AE1188*評分方法!$C$5</f>
        <v>25.5</v>
      </c>
      <c r="J1188" s="15" t="n">
        <f aca="false">AF1188*評分方法!$C$6</f>
        <v>0</v>
      </c>
      <c r="K1188" s="15" t="n">
        <f aca="false">AG1188*評分方法!$C$7</f>
        <v>10.05</v>
      </c>
      <c r="L1188" s="15" t="n">
        <f aca="false">AH1188*評分方法!$C$8</f>
        <v>13.05</v>
      </c>
      <c r="M1188" s="15" t="n">
        <f aca="false">AI1188*評分方法!$C$9</f>
        <v>6</v>
      </c>
      <c r="N1188" s="15" t="n">
        <f aca="false">AJ1188*評分方法!$C$10</f>
        <v>6.196</v>
      </c>
      <c r="O1188" s="15" t="n">
        <f aca="false">AK1188*評分方法!$C$11</f>
        <v>2.5</v>
      </c>
      <c r="P1188" s="15" t="n">
        <f aca="false">AL1188*評分方法!$C$12</f>
        <v>0</v>
      </c>
      <c r="Q1188" s="6" t="n">
        <v>667762</v>
      </c>
      <c r="R1188" s="6" t="n">
        <v>8248929342</v>
      </c>
      <c r="S1188" s="11" t="s">
        <v>254</v>
      </c>
      <c r="T1188" s="11" t="s">
        <v>259</v>
      </c>
      <c r="U1188" s="5" t="s">
        <v>260</v>
      </c>
      <c r="V1188" s="11" t="s">
        <v>261</v>
      </c>
      <c r="W1188" s="5" t="s">
        <v>207</v>
      </c>
      <c r="X1188" s="5" t="s">
        <v>242</v>
      </c>
      <c r="Y1188" s="11" t="s">
        <v>1066</v>
      </c>
      <c r="Z1188" s="11" t="s">
        <v>244</v>
      </c>
      <c r="AA1188" s="11" t="s">
        <v>155</v>
      </c>
      <c r="AB1188" s="5" t="s">
        <v>245</v>
      </c>
      <c r="AC1188" s="5" t="s">
        <v>464</v>
      </c>
      <c r="AD1188" s="11" t="s">
        <v>2987</v>
      </c>
      <c r="AE1188" s="23" t="n">
        <v>0.85</v>
      </c>
      <c r="AF1188" s="23" t="n">
        <v>0</v>
      </c>
      <c r="AG1188" s="23" t="n">
        <v>0.67</v>
      </c>
      <c r="AH1188" s="23" t="n">
        <v>0.87</v>
      </c>
      <c r="AI1188" s="23" t="n">
        <v>0.6</v>
      </c>
      <c r="AJ1188" s="23" t="n">
        <v>0.6196</v>
      </c>
      <c r="AK1188" s="23" t="n">
        <v>0.5</v>
      </c>
      <c r="AL1188" s="23" t="n">
        <v>0</v>
      </c>
      <c r="AM1188" s="16" t="n">
        <f aca="false">COUNTIFS($D$2:$D$2501,D1188,$G$2:$G$2501,"&gt;"&amp;G1188)+COUNTIFS($D$2:D1188,D1188,$G$2:G1188,G1188)</f>
        <v>533</v>
      </c>
      <c r="AN1188" s="5" t="str">
        <f aca="false">D1188&amp;"|"&amp;AM1188</f>
        <v>分析與報告生成|533</v>
      </c>
    </row>
    <row r="1189" customFormat="false" ht="17.15" hidden="false" customHeight="false" outlineLevel="0" collapsed="false">
      <c r="A1189" s="16" t="n">
        <f aca="false">RANK(G1189,$G$2:$G$2501)+COUNTIF($G$2:G1189,G1189)-1</f>
        <v>1188</v>
      </c>
      <c r="B1189" s="11" t="s">
        <v>2988</v>
      </c>
      <c r="C1189" s="11" t="s">
        <v>1132</v>
      </c>
      <c r="D1189" s="5" t="s">
        <v>66</v>
      </c>
      <c r="E1189" s="5" t="s">
        <v>67</v>
      </c>
      <c r="F1189" s="5"/>
      <c r="G1189" s="22" t="n">
        <f aca="false">ROUND(SUM(I1189:P1189),3)</f>
        <v>63.294</v>
      </c>
      <c r="H1189" s="5" t="str">
        <f aca="false">IF(G1189&gt;=評分方法!$C$16,"優先評估",IF(G1189&gt;=評分方法!$C$17,"列入候選",IF(G1189&gt;=評分方法!$C$18,"特定情境","不建議")))</f>
        <v>特定情境</v>
      </c>
      <c r="I1189" s="15" t="n">
        <f aca="false">AE1189*評分方法!$C$5</f>
        <v>27</v>
      </c>
      <c r="J1189" s="15" t="n">
        <f aca="false">AF1189*評分方法!$C$6</f>
        <v>0</v>
      </c>
      <c r="K1189" s="15" t="n">
        <f aca="false">AG1189*評分方法!$C$7</f>
        <v>4.95</v>
      </c>
      <c r="L1189" s="15" t="n">
        <f aca="false">AH1189*評分方法!$C$8</f>
        <v>15</v>
      </c>
      <c r="M1189" s="15" t="n">
        <f aca="false">AI1189*評分方法!$C$9</f>
        <v>10</v>
      </c>
      <c r="N1189" s="15" t="n">
        <f aca="false">AJ1189*評分方法!$C$10</f>
        <v>5.344</v>
      </c>
      <c r="O1189" s="15" t="n">
        <f aca="false">AK1189*評分方法!$C$11</f>
        <v>1</v>
      </c>
      <c r="P1189" s="15" t="n">
        <f aca="false">AL1189*評分方法!$C$12</f>
        <v>0</v>
      </c>
      <c r="Q1189" s="6" t="n">
        <v>562525</v>
      </c>
      <c r="R1189" s="6" t="n">
        <v>184423682</v>
      </c>
      <c r="S1189" s="11" t="s">
        <v>238</v>
      </c>
      <c r="T1189" s="11" t="s">
        <v>278</v>
      </c>
      <c r="U1189" s="5" t="s">
        <v>240</v>
      </c>
      <c r="V1189" s="11" t="s">
        <v>241</v>
      </c>
      <c r="W1189" s="5" t="s">
        <v>334</v>
      </c>
      <c r="X1189" s="5" t="s">
        <v>242</v>
      </c>
      <c r="Y1189" s="11" t="s">
        <v>243</v>
      </c>
      <c r="Z1189" s="11" t="s">
        <v>244</v>
      </c>
      <c r="AA1189" s="11" t="s">
        <v>151</v>
      </c>
      <c r="AB1189" s="5" t="s">
        <v>245</v>
      </c>
      <c r="AC1189" s="5" t="s">
        <v>246</v>
      </c>
      <c r="AD1189" s="11" t="s">
        <v>2989</v>
      </c>
      <c r="AE1189" s="23" t="n">
        <v>0.9</v>
      </c>
      <c r="AF1189" s="23" t="n">
        <v>0</v>
      </c>
      <c r="AG1189" s="23" t="n">
        <v>0.33</v>
      </c>
      <c r="AH1189" s="23" t="n">
        <v>1</v>
      </c>
      <c r="AI1189" s="23" t="n">
        <v>1</v>
      </c>
      <c r="AJ1189" s="23" t="n">
        <v>0.5344</v>
      </c>
      <c r="AK1189" s="23" t="n">
        <v>0.2</v>
      </c>
      <c r="AL1189" s="23" t="n">
        <v>0</v>
      </c>
      <c r="AM1189" s="16" t="n">
        <f aca="false">COUNTIFS($D$2:$D$2501,D1189,$G$2:$G$2501,"&gt;"&amp;G1189)+COUNTIFS($D$2:D1189,D1189,$G$2:G1189,G1189)</f>
        <v>33</v>
      </c>
      <c r="AN1189" s="5" t="str">
        <f aca="false">D1189&amp;"|"&amp;AM1189</f>
        <v>分類與偵測|33</v>
      </c>
    </row>
    <row r="1190" customFormat="false" ht="17.15" hidden="false" customHeight="false" outlineLevel="0" collapsed="false">
      <c r="A1190" s="16" t="n">
        <f aca="false">RANK(G1190,$G$2:$G$2501)+COUNTIF($G$2:G1190,G1190)-1</f>
        <v>1189</v>
      </c>
      <c r="B1190" s="11" t="s">
        <v>2990</v>
      </c>
      <c r="C1190" s="11" t="s">
        <v>308</v>
      </c>
      <c r="D1190" s="5" t="s">
        <v>72</v>
      </c>
      <c r="E1190" s="5" t="s">
        <v>73</v>
      </c>
      <c r="F1190" s="5"/>
      <c r="G1190" s="22" t="n">
        <f aca="false">ROUND(SUM(I1190:P1190),3)</f>
        <v>63.288</v>
      </c>
      <c r="H1190" s="5" t="str">
        <f aca="false">IF(G1190&gt;=評分方法!$C$16,"優先評估",IF(G1190&gt;=評分方法!$C$17,"列入候選",IF(G1190&gt;=評分方法!$C$18,"特定情境","不建議")))</f>
        <v>特定情境</v>
      </c>
      <c r="I1190" s="15" t="n">
        <f aca="false">AE1190*評分方法!$C$5</f>
        <v>15</v>
      </c>
      <c r="J1190" s="15" t="n">
        <f aca="false">AF1190*評分方法!$C$6</f>
        <v>0</v>
      </c>
      <c r="K1190" s="15" t="n">
        <f aca="false">AG1190*評分方法!$C$7</f>
        <v>15</v>
      </c>
      <c r="L1190" s="15" t="n">
        <f aca="false">AH1190*評分方法!$C$8</f>
        <v>15</v>
      </c>
      <c r="M1190" s="15" t="n">
        <f aca="false">AI1190*評分方法!$C$9</f>
        <v>10</v>
      </c>
      <c r="N1190" s="15" t="n">
        <f aca="false">AJ1190*評分方法!$C$10</f>
        <v>5.788</v>
      </c>
      <c r="O1190" s="15" t="n">
        <f aca="false">AK1190*評分方法!$C$11</f>
        <v>2.5</v>
      </c>
      <c r="P1190" s="15" t="n">
        <f aca="false">AL1190*評分方法!$C$12</f>
        <v>0</v>
      </c>
      <c r="Q1190" s="6" t="n">
        <v>594923</v>
      </c>
      <c r="R1190" s="6" t="n">
        <v>110106940</v>
      </c>
      <c r="S1190" s="11" t="s">
        <v>238</v>
      </c>
      <c r="T1190" s="11" t="s">
        <v>278</v>
      </c>
      <c r="U1190" s="5" t="s">
        <v>240</v>
      </c>
      <c r="V1190" s="11" t="s">
        <v>324</v>
      </c>
      <c r="W1190" s="5" t="s">
        <v>205</v>
      </c>
      <c r="X1190" s="5" t="s">
        <v>242</v>
      </c>
      <c r="Y1190" s="5"/>
      <c r="Z1190" s="5"/>
      <c r="AA1190" s="11" t="s">
        <v>162</v>
      </c>
      <c r="AB1190" s="5" t="s">
        <v>245</v>
      </c>
      <c r="AC1190" s="5"/>
      <c r="AD1190" s="11" t="s">
        <v>2991</v>
      </c>
      <c r="AE1190" s="23" t="n">
        <v>0.5</v>
      </c>
      <c r="AF1190" s="23" t="n">
        <v>0</v>
      </c>
      <c r="AG1190" s="23" t="n">
        <v>1</v>
      </c>
      <c r="AH1190" s="23" t="n">
        <v>1</v>
      </c>
      <c r="AI1190" s="23" t="n">
        <v>1</v>
      </c>
      <c r="AJ1190" s="23" t="n">
        <v>0.5788</v>
      </c>
      <c r="AK1190" s="23" t="n">
        <v>0.5</v>
      </c>
      <c r="AL1190" s="23" t="n">
        <v>0</v>
      </c>
      <c r="AM1190" s="16" t="n">
        <f aca="false">COUNTIFS($D$2:$D$2501,D1190,$G$2:$G$2501,"&gt;"&amp;G1190)+COUNTIFS($D$2:D1190,D1190,$G$2:G1190,G1190)</f>
        <v>23</v>
      </c>
      <c r="AN1190" s="5" t="str">
        <f aca="false">D1190&amp;"|"&amp;AM1190</f>
        <v>微調基底模型|23</v>
      </c>
    </row>
    <row r="1191" customFormat="false" ht="17.15" hidden="false" customHeight="false" outlineLevel="0" collapsed="false">
      <c r="A1191" s="16" t="n">
        <f aca="false">RANK(G1191,$G$2:$G$2501)+COUNTIF($G$2:G1191,G1191)-1</f>
        <v>1190</v>
      </c>
      <c r="B1191" s="11" t="s">
        <v>2992</v>
      </c>
      <c r="C1191" s="11" t="s">
        <v>2993</v>
      </c>
      <c r="D1191" s="5" t="s">
        <v>56</v>
      </c>
      <c r="E1191" s="5" t="s">
        <v>57</v>
      </c>
      <c r="F1191" s="5"/>
      <c r="G1191" s="22" t="n">
        <f aca="false">ROUND(SUM(I1191:P1191),3)</f>
        <v>63.276</v>
      </c>
      <c r="H1191" s="5" t="str">
        <f aca="false">IF(G1191&gt;=評分方法!$C$16,"優先評估",IF(G1191&gt;=評分方法!$C$17,"列入候選",IF(G1191&gt;=評分方法!$C$18,"特定情境","不建議")))</f>
        <v>特定情境</v>
      </c>
      <c r="I1191" s="15" t="n">
        <f aca="false">AE1191*評分方法!$C$5</f>
        <v>25.5</v>
      </c>
      <c r="J1191" s="15" t="n">
        <f aca="false">AF1191*評分方法!$C$6</f>
        <v>0</v>
      </c>
      <c r="K1191" s="15" t="n">
        <f aca="false">AG1191*評分方法!$C$7</f>
        <v>4.95</v>
      </c>
      <c r="L1191" s="15" t="n">
        <f aca="false">AH1191*評分方法!$C$8</f>
        <v>13.05</v>
      </c>
      <c r="M1191" s="15" t="n">
        <f aca="false">AI1191*評分方法!$C$9</f>
        <v>10</v>
      </c>
      <c r="N1191" s="15" t="n">
        <f aca="false">AJ1191*評分方法!$C$10</f>
        <v>7.276</v>
      </c>
      <c r="O1191" s="15" t="n">
        <f aca="false">AK1191*評分方法!$C$11</f>
        <v>2.5</v>
      </c>
      <c r="P1191" s="15" t="n">
        <f aca="false">AL1191*評分方法!$C$12</f>
        <v>0</v>
      </c>
      <c r="Q1191" s="6" t="n">
        <v>1036170</v>
      </c>
      <c r="R1191" s="6" t="n">
        <v>5680910336</v>
      </c>
      <c r="S1191" s="11" t="s">
        <v>254</v>
      </c>
      <c r="T1191" s="11" t="s">
        <v>239</v>
      </c>
      <c r="U1191" s="5" t="s">
        <v>240</v>
      </c>
      <c r="V1191" s="11" t="s">
        <v>333</v>
      </c>
      <c r="W1191" s="5" t="s">
        <v>334</v>
      </c>
      <c r="X1191" s="5" t="s">
        <v>242</v>
      </c>
      <c r="Y1191" s="11" t="s">
        <v>2994</v>
      </c>
      <c r="Z1191" s="11" t="s">
        <v>244</v>
      </c>
      <c r="AA1191" s="11" t="s">
        <v>155</v>
      </c>
      <c r="AB1191" s="5" t="s">
        <v>961</v>
      </c>
      <c r="AC1191" s="5" t="s">
        <v>962</v>
      </c>
      <c r="AD1191" s="11" t="s">
        <v>2995</v>
      </c>
      <c r="AE1191" s="23" t="n">
        <v>0.85</v>
      </c>
      <c r="AF1191" s="23" t="n">
        <v>0</v>
      </c>
      <c r="AG1191" s="23" t="n">
        <v>0.33</v>
      </c>
      <c r="AH1191" s="23" t="n">
        <v>0.87</v>
      </c>
      <c r="AI1191" s="23" t="n">
        <v>1</v>
      </c>
      <c r="AJ1191" s="23" t="n">
        <v>0.7276</v>
      </c>
      <c r="AK1191" s="23" t="n">
        <v>0.5</v>
      </c>
      <c r="AL1191" s="23" t="n">
        <v>0</v>
      </c>
      <c r="AM1191" s="16" t="n">
        <f aca="false">COUNTIFS($D$2:$D$2501,D1191,$G$2:$G$2501,"&gt;"&amp;G1191)+COUNTIFS($D$2:D1191,D1191,$G$2:G1191,G1191)</f>
        <v>534</v>
      </c>
      <c r="AN1191" s="5" t="str">
        <f aca="false">D1191&amp;"|"&amp;AM1191</f>
        <v>分析與報告生成|534</v>
      </c>
    </row>
    <row r="1192" customFormat="false" ht="17.15" hidden="false" customHeight="false" outlineLevel="0" collapsed="false">
      <c r="A1192" s="16" t="n">
        <f aca="false">RANK(G1192,$G$2:$G$2501)+COUNTIF($G$2:G1192,G1192)-1</f>
        <v>1191</v>
      </c>
      <c r="B1192" s="11" t="s">
        <v>2996</v>
      </c>
      <c r="C1192" s="11" t="s">
        <v>1550</v>
      </c>
      <c r="D1192" s="5" t="s">
        <v>74</v>
      </c>
      <c r="E1192" s="5" t="s">
        <v>75</v>
      </c>
      <c r="F1192" s="5"/>
      <c r="G1192" s="22" t="n">
        <f aca="false">ROUND(SUM(I1192:P1192),3)</f>
        <v>63.268</v>
      </c>
      <c r="H1192" s="5" t="str">
        <f aca="false">IF(G1192&gt;=評分方法!$C$16,"優先評估",IF(G1192&gt;=評分方法!$C$17,"列入候選",IF(G1192&gt;=評分方法!$C$18,"特定情境","不建議")))</f>
        <v>特定情境</v>
      </c>
      <c r="I1192" s="15" t="n">
        <f aca="false">AE1192*評分方法!$C$5</f>
        <v>13.5</v>
      </c>
      <c r="J1192" s="15" t="n">
        <f aca="false">AF1192*評分方法!$C$6</f>
        <v>0</v>
      </c>
      <c r="K1192" s="15" t="n">
        <f aca="false">AG1192*評分方法!$C$7</f>
        <v>15</v>
      </c>
      <c r="L1192" s="15" t="n">
        <f aca="false">AH1192*評分方法!$C$8</f>
        <v>15</v>
      </c>
      <c r="M1192" s="15" t="n">
        <f aca="false">AI1192*評分方法!$C$9</f>
        <v>10</v>
      </c>
      <c r="N1192" s="15" t="n">
        <f aca="false">AJ1192*評分方法!$C$10</f>
        <v>4.268</v>
      </c>
      <c r="O1192" s="15" t="n">
        <f aca="false">AK1192*評分方法!$C$11</f>
        <v>4</v>
      </c>
      <c r="P1192" s="15" t="n">
        <f aca="false">AL1192*評分方法!$C$12</f>
        <v>1.5</v>
      </c>
      <c r="Q1192" s="6" t="n">
        <v>470698</v>
      </c>
      <c r="R1192" s="6" t="n">
        <v>4082870</v>
      </c>
      <c r="S1192" s="11" t="s">
        <v>238</v>
      </c>
      <c r="T1192" s="11" t="s">
        <v>278</v>
      </c>
      <c r="U1192" s="5" t="s">
        <v>240</v>
      </c>
      <c r="V1192" s="11" t="s">
        <v>241</v>
      </c>
      <c r="W1192" s="5" t="s">
        <v>205</v>
      </c>
      <c r="X1192" s="5" t="s">
        <v>255</v>
      </c>
      <c r="Y1192" s="11" t="s">
        <v>2997</v>
      </c>
      <c r="Z1192" s="11" t="s">
        <v>244</v>
      </c>
      <c r="AA1192" s="11" t="s">
        <v>164</v>
      </c>
      <c r="AB1192" s="5" t="s">
        <v>245</v>
      </c>
      <c r="AC1192" s="5" t="s">
        <v>246</v>
      </c>
      <c r="AD1192" s="11" t="s">
        <v>2998</v>
      </c>
      <c r="AE1192" s="23" t="n">
        <v>0.45</v>
      </c>
      <c r="AF1192" s="23" t="n">
        <v>0</v>
      </c>
      <c r="AG1192" s="23" t="n">
        <v>1</v>
      </c>
      <c r="AH1192" s="23" t="n">
        <v>1</v>
      </c>
      <c r="AI1192" s="23" t="n">
        <v>1</v>
      </c>
      <c r="AJ1192" s="23" t="n">
        <v>0.4268</v>
      </c>
      <c r="AK1192" s="23" t="n">
        <v>0.8</v>
      </c>
      <c r="AL1192" s="23" t="n">
        <v>0.3</v>
      </c>
      <c r="AM1192" s="16" t="n">
        <f aca="false">COUNTIFS($D$2:$D$2501,D1192,$G$2:$G$2501,"&gt;"&amp;G1192)+COUNTIFS($D$2:D1192,D1192,$G$2:G1192,G1192)</f>
        <v>33</v>
      </c>
      <c r="AN1192" s="5" t="str">
        <f aca="false">D1192&amp;"|"&amp;AM1192</f>
        <v>文件與影像辨識|33</v>
      </c>
    </row>
    <row r="1193" customFormat="false" ht="17.15" hidden="false" customHeight="false" outlineLevel="0" collapsed="false">
      <c r="A1193" s="16" t="n">
        <f aca="false">RANK(G1193,$G$2:$G$2501)+COUNTIF($G$2:G1193,G1193)-1</f>
        <v>1192</v>
      </c>
      <c r="B1193" s="11" t="s">
        <v>2999</v>
      </c>
      <c r="C1193" s="11" t="s">
        <v>1635</v>
      </c>
      <c r="D1193" s="5" t="s">
        <v>56</v>
      </c>
      <c r="E1193" s="5" t="s">
        <v>57</v>
      </c>
      <c r="F1193" s="5"/>
      <c r="G1193" s="22" t="n">
        <f aca="false">ROUND(SUM(I1193:P1193),3)</f>
        <v>63.268</v>
      </c>
      <c r="H1193" s="5" t="str">
        <f aca="false">IF(G1193&gt;=評分方法!$C$16,"優先評估",IF(G1193&gt;=評分方法!$C$17,"列入候選",IF(G1193&gt;=評分方法!$C$18,"特定情境","不建議")))</f>
        <v>特定情境</v>
      </c>
      <c r="I1193" s="15" t="n">
        <f aca="false">AE1193*評分方法!$C$5</f>
        <v>18</v>
      </c>
      <c r="J1193" s="15" t="n">
        <f aca="false">AF1193*評分方法!$C$6</f>
        <v>0</v>
      </c>
      <c r="K1193" s="15" t="n">
        <f aca="false">AG1193*評分方法!$C$7</f>
        <v>15</v>
      </c>
      <c r="L1193" s="15" t="n">
        <f aca="false">AH1193*評分方法!$C$8</f>
        <v>15</v>
      </c>
      <c r="M1193" s="15" t="n">
        <f aca="false">AI1193*評分方法!$C$9</f>
        <v>10</v>
      </c>
      <c r="N1193" s="15" t="n">
        <f aca="false">AJ1193*評分方法!$C$10</f>
        <v>2.768</v>
      </c>
      <c r="O1193" s="15" t="n">
        <f aca="false">AK1193*評分方法!$C$11</f>
        <v>1</v>
      </c>
      <c r="P1193" s="15" t="n">
        <f aca="false">AL1193*評分方法!$C$12</f>
        <v>1.5</v>
      </c>
      <c r="Q1193" s="6" t="n">
        <v>270839</v>
      </c>
      <c r="R1193" s="6" t="n">
        <v>277455108</v>
      </c>
      <c r="S1193" s="11" t="s">
        <v>238</v>
      </c>
      <c r="T1193" s="11" t="s">
        <v>1636</v>
      </c>
      <c r="U1193" s="5" t="s">
        <v>240</v>
      </c>
      <c r="V1193" s="11" t="s">
        <v>324</v>
      </c>
      <c r="W1193" s="5" t="s">
        <v>205</v>
      </c>
      <c r="X1193" s="5" t="s">
        <v>255</v>
      </c>
      <c r="Y1193" s="5"/>
      <c r="Z1193" s="5"/>
      <c r="AA1193" s="11" t="s">
        <v>159</v>
      </c>
      <c r="AB1193" s="5" t="s">
        <v>245</v>
      </c>
      <c r="AC1193" s="5"/>
      <c r="AD1193" s="11" t="s">
        <v>3000</v>
      </c>
      <c r="AE1193" s="23" t="n">
        <v>0.6</v>
      </c>
      <c r="AF1193" s="23" t="n">
        <v>0</v>
      </c>
      <c r="AG1193" s="23" t="n">
        <v>1</v>
      </c>
      <c r="AH1193" s="23" t="n">
        <v>1</v>
      </c>
      <c r="AI1193" s="23" t="n">
        <v>1</v>
      </c>
      <c r="AJ1193" s="23" t="n">
        <v>0.2768</v>
      </c>
      <c r="AK1193" s="23" t="n">
        <v>0.2</v>
      </c>
      <c r="AL1193" s="23" t="n">
        <v>0.3</v>
      </c>
      <c r="AM1193" s="16" t="n">
        <f aca="false">COUNTIFS($D$2:$D$2501,D1193,$G$2:$G$2501,"&gt;"&amp;G1193)+COUNTIFS($D$2:D1193,D1193,$G$2:G1193,G1193)</f>
        <v>535</v>
      </c>
      <c r="AN1193" s="5" t="str">
        <f aca="false">D1193&amp;"|"&amp;AM1193</f>
        <v>分析與報告生成|535</v>
      </c>
    </row>
    <row r="1194" customFormat="false" ht="17.15" hidden="false" customHeight="false" outlineLevel="0" collapsed="false">
      <c r="A1194" s="16" t="n">
        <f aca="false">RANK(G1194,$G$2:$G$2501)+COUNTIF($G$2:G1194,G1194)-1</f>
        <v>1193</v>
      </c>
      <c r="B1194" s="11" t="s">
        <v>3001</v>
      </c>
      <c r="C1194" s="11" t="s">
        <v>989</v>
      </c>
      <c r="D1194" s="5" t="s">
        <v>56</v>
      </c>
      <c r="E1194" s="5" t="s">
        <v>57</v>
      </c>
      <c r="F1194" s="5"/>
      <c r="G1194" s="22" t="n">
        <f aca="false">ROUND(SUM(I1194:P1194),3)</f>
        <v>63.266</v>
      </c>
      <c r="H1194" s="5" t="str">
        <f aca="false">IF(G1194&gt;=評分方法!$C$16,"優先評估",IF(G1194&gt;=評分方法!$C$17,"列入候選",IF(G1194&gt;=評分方法!$C$18,"特定情境","不建議")))</f>
        <v>特定情境</v>
      </c>
      <c r="I1194" s="15" t="n">
        <f aca="false">AE1194*評分方法!$C$5</f>
        <v>25.5</v>
      </c>
      <c r="J1194" s="15" t="n">
        <f aca="false">AF1194*評分方法!$C$6</f>
        <v>0</v>
      </c>
      <c r="K1194" s="15" t="n">
        <f aca="false">AG1194*評分方法!$C$7</f>
        <v>10.05</v>
      </c>
      <c r="L1194" s="15" t="n">
        <f aca="false">AH1194*評分方法!$C$8</f>
        <v>9</v>
      </c>
      <c r="M1194" s="15" t="n">
        <f aca="false">AI1194*評分方法!$C$9</f>
        <v>10</v>
      </c>
      <c r="N1194" s="15" t="n">
        <f aca="false">AJ1194*評分方法!$C$10</f>
        <v>3.716</v>
      </c>
      <c r="O1194" s="15" t="n">
        <f aca="false">AK1194*評分方法!$C$11</f>
        <v>5</v>
      </c>
      <c r="P1194" s="15" t="n">
        <f aca="false">AL1194*評分方法!$C$12</f>
        <v>0</v>
      </c>
      <c r="Q1194" s="6" t="n">
        <v>376921</v>
      </c>
      <c r="R1194" s="6" t="n">
        <v>26895998464</v>
      </c>
      <c r="S1194" s="11" t="s">
        <v>389</v>
      </c>
      <c r="T1194" s="11" t="s">
        <v>278</v>
      </c>
      <c r="U1194" s="5" t="s">
        <v>240</v>
      </c>
      <c r="V1194" s="11" t="s">
        <v>333</v>
      </c>
      <c r="W1194" s="5" t="s">
        <v>207</v>
      </c>
      <c r="X1194" s="5" t="s">
        <v>242</v>
      </c>
      <c r="Y1194" s="11" t="s">
        <v>3002</v>
      </c>
      <c r="Z1194" s="11" t="s">
        <v>244</v>
      </c>
      <c r="AA1194" s="11" t="s">
        <v>156</v>
      </c>
      <c r="AB1194" s="5" t="s">
        <v>245</v>
      </c>
      <c r="AC1194" s="5" t="s">
        <v>246</v>
      </c>
      <c r="AD1194" s="11" t="s">
        <v>3003</v>
      </c>
      <c r="AE1194" s="23" t="n">
        <v>0.85</v>
      </c>
      <c r="AF1194" s="23" t="n">
        <v>0</v>
      </c>
      <c r="AG1194" s="23" t="n">
        <v>0.67</v>
      </c>
      <c r="AH1194" s="23" t="n">
        <v>0.6</v>
      </c>
      <c r="AI1194" s="23" t="n">
        <v>1</v>
      </c>
      <c r="AJ1194" s="23" t="n">
        <v>0.3716</v>
      </c>
      <c r="AK1194" s="23" t="n">
        <v>1</v>
      </c>
      <c r="AL1194" s="23" t="n">
        <v>0</v>
      </c>
      <c r="AM1194" s="16" t="n">
        <f aca="false">COUNTIFS($D$2:$D$2501,D1194,$G$2:$G$2501,"&gt;"&amp;G1194)+COUNTIFS($D$2:D1194,D1194,$G$2:G1194,G1194)</f>
        <v>536</v>
      </c>
      <c r="AN1194" s="5" t="str">
        <f aca="false">D1194&amp;"|"&amp;AM1194</f>
        <v>分析與報告生成|536</v>
      </c>
    </row>
    <row r="1195" customFormat="false" ht="17.15" hidden="false" customHeight="false" outlineLevel="0" collapsed="false">
      <c r="A1195" s="16" t="n">
        <f aca="false">RANK(G1195,$G$2:$G$2501)+COUNTIF($G$2:G1195,G1195)-1</f>
        <v>1194</v>
      </c>
      <c r="B1195" s="11" t="s">
        <v>3004</v>
      </c>
      <c r="C1195" s="11" t="s">
        <v>3005</v>
      </c>
      <c r="D1195" s="5" t="s">
        <v>68</v>
      </c>
      <c r="E1195" s="11" t="s">
        <v>69</v>
      </c>
      <c r="F1195" s="5"/>
      <c r="G1195" s="22" t="n">
        <f aca="false">ROUND(SUM(I1195:P1195),3)</f>
        <v>63.254</v>
      </c>
      <c r="H1195" s="5" t="str">
        <f aca="false">IF(G1195&gt;=評分方法!$C$16,"優先評估",IF(G1195&gt;=評分方法!$C$17,"列入候選",IF(G1195&gt;=評分方法!$C$18,"特定情境","不建議")))</f>
        <v>特定情境</v>
      </c>
      <c r="I1195" s="15" t="n">
        <f aca="false">AE1195*評分方法!$C$5</f>
        <v>21</v>
      </c>
      <c r="J1195" s="15" t="n">
        <f aca="false">AF1195*評分方法!$C$6</f>
        <v>0</v>
      </c>
      <c r="K1195" s="15" t="n">
        <f aca="false">AG1195*評分方法!$C$7</f>
        <v>4.95</v>
      </c>
      <c r="L1195" s="15" t="n">
        <f aca="false">AH1195*評分方法!$C$8</f>
        <v>15</v>
      </c>
      <c r="M1195" s="15" t="n">
        <f aca="false">AI1195*評分方法!$C$9</f>
        <v>10</v>
      </c>
      <c r="N1195" s="15" t="n">
        <f aca="false">AJ1195*評分方法!$C$10</f>
        <v>8.304</v>
      </c>
      <c r="O1195" s="15" t="n">
        <f aca="false">AK1195*評分方法!$C$11</f>
        <v>2.5</v>
      </c>
      <c r="P1195" s="15" t="n">
        <f aca="false">AL1195*評分方法!$C$12</f>
        <v>1.5</v>
      </c>
      <c r="Q1195" s="6" t="n">
        <v>1938555</v>
      </c>
      <c r="R1195" s="6" t="n">
        <v>37901512</v>
      </c>
      <c r="S1195" s="11" t="s">
        <v>238</v>
      </c>
      <c r="T1195" s="11" t="s">
        <v>278</v>
      </c>
      <c r="U1195" s="5" t="s">
        <v>240</v>
      </c>
      <c r="V1195" s="11" t="s">
        <v>324</v>
      </c>
      <c r="W1195" s="5" t="s">
        <v>334</v>
      </c>
      <c r="X1195" s="5" t="s">
        <v>255</v>
      </c>
      <c r="Y1195" s="5"/>
      <c r="Z1195" s="5"/>
      <c r="AA1195" s="11" t="s">
        <v>158</v>
      </c>
      <c r="AB1195" s="5" t="s">
        <v>245</v>
      </c>
      <c r="AC1195" s="5"/>
      <c r="AD1195" s="11" t="s">
        <v>3006</v>
      </c>
      <c r="AE1195" s="23" t="n">
        <v>0.7</v>
      </c>
      <c r="AF1195" s="23" t="n">
        <v>0</v>
      </c>
      <c r="AG1195" s="23" t="n">
        <v>0.33</v>
      </c>
      <c r="AH1195" s="23" t="n">
        <v>1</v>
      </c>
      <c r="AI1195" s="23" t="n">
        <v>1</v>
      </c>
      <c r="AJ1195" s="23" t="n">
        <v>0.8304</v>
      </c>
      <c r="AK1195" s="23" t="n">
        <v>0.5</v>
      </c>
      <c r="AL1195" s="23" t="n">
        <v>0.3</v>
      </c>
      <c r="AM1195" s="16" t="n">
        <f aca="false">COUNTIFS($D$2:$D$2501,D1195,$G$2:$G$2501,"&gt;"&amp;G1195)+COUNTIFS($D$2:D1195,D1195,$G$2:G1195,G1195)</f>
        <v>41</v>
      </c>
      <c r="AN1195" s="5" t="str">
        <f aca="false">D1195&amp;"|"&amp;AM1195</f>
        <v>時序異常偵測|41</v>
      </c>
    </row>
    <row r="1196" customFormat="false" ht="17.15" hidden="false" customHeight="false" outlineLevel="0" collapsed="false">
      <c r="A1196" s="16" t="n">
        <f aca="false">RANK(G1196,$G$2:$G$2501)+COUNTIF($G$2:G1196,G1196)-1</f>
        <v>1195</v>
      </c>
      <c r="B1196" s="11" t="s">
        <v>3007</v>
      </c>
      <c r="C1196" s="11" t="s">
        <v>1509</v>
      </c>
      <c r="D1196" s="5" t="s">
        <v>56</v>
      </c>
      <c r="E1196" s="5" t="s">
        <v>57</v>
      </c>
      <c r="F1196" s="5"/>
      <c r="G1196" s="22" t="n">
        <f aca="false">ROUND(SUM(I1196:P1196),3)</f>
        <v>63.252</v>
      </c>
      <c r="H1196" s="5" t="str">
        <f aca="false">IF(G1196&gt;=評分方法!$C$16,"優先評估",IF(G1196&gt;=評分方法!$C$17,"列入候選",IF(G1196&gt;=評分方法!$C$18,"特定情境","不建議")))</f>
        <v>特定情境</v>
      </c>
      <c r="I1196" s="15" t="n">
        <f aca="false">AE1196*評分方法!$C$5</f>
        <v>25.5</v>
      </c>
      <c r="J1196" s="15" t="n">
        <f aca="false">AF1196*評分方法!$C$6</f>
        <v>0</v>
      </c>
      <c r="K1196" s="15" t="n">
        <f aca="false">AG1196*評分方法!$C$7</f>
        <v>4.95</v>
      </c>
      <c r="L1196" s="15" t="n">
        <f aca="false">AH1196*評分方法!$C$8</f>
        <v>13.05</v>
      </c>
      <c r="M1196" s="15" t="n">
        <f aca="false">AI1196*評分方法!$C$9</f>
        <v>10</v>
      </c>
      <c r="N1196" s="15" t="n">
        <f aca="false">AJ1196*評分方法!$C$10</f>
        <v>2.752</v>
      </c>
      <c r="O1196" s="15" t="n">
        <f aca="false">AK1196*評分方法!$C$11</f>
        <v>4</v>
      </c>
      <c r="P1196" s="15" t="n">
        <f aca="false">AL1196*評分方法!$C$12</f>
        <v>3</v>
      </c>
      <c r="Q1196" s="6" t="n">
        <v>270018</v>
      </c>
      <c r="R1196" s="6" t="n">
        <v>1720028160</v>
      </c>
      <c r="S1196" s="11" t="s">
        <v>254</v>
      </c>
      <c r="T1196" s="11" t="s">
        <v>239</v>
      </c>
      <c r="U1196" s="5" t="s">
        <v>240</v>
      </c>
      <c r="V1196" s="11" t="s">
        <v>333</v>
      </c>
      <c r="W1196" s="5" t="s">
        <v>334</v>
      </c>
      <c r="X1196" s="5" t="s">
        <v>371</v>
      </c>
      <c r="Y1196" s="11" t="s">
        <v>3008</v>
      </c>
      <c r="Z1196" s="11" t="s">
        <v>244</v>
      </c>
      <c r="AA1196" s="11" t="s">
        <v>155</v>
      </c>
      <c r="AB1196" s="5" t="s">
        <v>245</v>
      </c>
      <c r="AC1196" s="5" t="s">
        <v>246</v>
      </c>
      <c r="AD1196" s="11" t="s">
        <v>3009</v>
      </c>
      <c r="AE1196" s="23" t="n">
        <v>0.85</v>
      </c>
      <c r="AF1196" s="23" t="n">
        <v>0</v>
      </c>
      <c r="AG1196" s="23" t="n">
        <v>0.33</v>
      </c>
      <c r="AH1196" s="23" t="n">
        <v>0.87</v>
      </c>
      <c r="AI1196" s="23" t="n">
        <v>1</v>
      </c>
      <c r="AJ1196" s="23" t="n">
        <v>0.2752</v>
      </c>
      <c r="AK1196" s="23" t="n">
        <v>0.8</v>
      </c>
      <c r="AL1196" s="23" t="n">
        <v>0.6</v>
      </c>
      <c r="AM1196" s="16" t="n">
        <f aca="false">COUNTIFS($D$2:$D$2501,D1196,$G$2:$G$2501,"&gt;"&amp;G1196)+COUNTIFS($D$2:D1196,D1196,$G$2:G1196,G1196)</f>
        <v>537</v>
      </c>
      <c r="AN1196" s="5" t="str">
        <f aca="false">D1196&amp;"|"&amp;AM1196</f>
        <v>分析與報告生成|537</v>
      </c>
    </row>
    <row r="1197" customFormat="false" ht="17.15" hidden="false" customHeight="false" outlineLevel="0" collapsed="false">
      <c r="A1197" s="16" t="n">
        <f aca="false">RANK(G1197,$G$2:$G$2501)+COUNTIF($G$2:G1197,G1197)-1</f>
        <v>1196</v>
      </c>
      <c r="B1197" s="11" t="s">
        <v>3010</v>
      </c>
      <c r="C1197" s="11" t="s">
        <v>368</v>
      </c>
      <c r="D1197" s="5" t="s">
        <v>74</v>
      </c>
      <c r="E1197" s="5" t="s">
        <v>75</v>
      </c>
      <c r="F1197" s="5"/>
      <c r="G1197" s="22" t="n">
        <f aca="false">ROUND(SUM(I1197:P1197),3)</f>
        <v>63.238</v>
      </c>
      <c r="H1197" s="5" t="str">
        <f aca="false">IF(G1197&gt;=評分方法!$C$16,"優先評估",IF(G1197&gt;=評分方法!$C$17,"列入候選",IF(G1197&gt;=評分方法!$C$18,"特定情境","不建議")))</f>
        <v>特定情境</v>
      </c>
      <c r="I1197" s="15" t="n">
        <f aca="false">AE1197*評分方法!$C$5</f>
        <v>12</v>
      </c>
      <c r="J1197" s="15" t="n">
        <f aca="false">AF1197*評分方法!$C$6</f>
        <v>0</v>
      </c>
      <c r="K1197" s="15" t="n">
        <f aca="false">AG1197*評分方法!$C$7</f>
        <v>15</v>
      </c>
      <c r="L1197" s="15" t="n">
        <f aca="false">AH1197*評分方法!$C$8</f>
        <v>13.05</v>
      </c>
      <c r="M1197" s="15" t="n">
        <f aca="false">AI1197*評分方法!$C$9</f>
        <v>10</v>
      </c>
      <c r="N1197" s="15" t="n">
        <f aca="false">AJ1197*評分方法!$C$10</f>
        <v>9.188</v>
      </c>
      <c r="O1197" s="15" t="n">
        <f aca="false">AK1197*評分方法!$C$11</f>
        <v>2.5</v>
      </c>
      <c r="P1197" s="15" t="n">
        <f aca="false">AL1197*評分方法!$C$12</f>
        <v>1.5</v>
      </c>
      <c r="Q1197" s="6" t="n">
        <v>5011694</v>
      </c>
      <c r="R1197" s="6" t="n">
        <v>1136008498</v>
      </c>
      <c r="S1197" s="11" t="s">
        <v>254</v>
      </c>
      <c r="T1197" s="11" t="s">
        <v>239</v>
      </c>
      <c r="U1197" s="5" t="s">
        <v>240</v>
      </c>
      <c r="V1197" s="11" t="s">
        <v>261</v>
      </c>
      <c r="W1197" s="5" t="s">
        <v>205</v>
      </c>
      <c r="X1197" s="5" t="s">
        <v>255</v>
      </c>
      <c r="Y1197" s="5"/>
      <c r="Z1197" s="5"/>
      <c r="AA1197" s="11" t="s">
        <v>167</v>
      </c>
      <c r="AB1197" s="5" t="s">
        <v>245</v>
      </c>
      <c r="AC1197" s="5"/>
      <c r="AD1197" s="11" t="s">
        <v>3011</v>
      </c>
      <c r="AE1197" s="23" t="n">
        <v>0.4</v>
      </c>
      <c r="AF1197" s="23" t="n">
        <v>0</v>
      </c>
      <c r="AG1197" s="23" t="n">
        <v>1</v>
      </c>
      <c r="AH1197" s="23" t="n">
        <v>0.87</v>
      </c>
      <c r="AI1197" s="23" t="n">
        <v>1</v>
      </c>
      <c r="AJ1197" s="23" t="n">
        <v>0.9188</v>
      </c>
      <c r="AK1197" s="23" t="n">
        <v>0.5</v>
      </c>
      <c r="AL1197" s="23" t="n">
        <v>0.3</v>
      </c>
      <c r="AM1197" s="16" t="n">
        <f aca="false">COUNTIFS($D$2:$D$2501,D1197,$G$2:$G$2501,"&gt;"&amp;G1197)+COUNTIFS($D$2:D1197,D1197,$G$2:G1197,G1197)</f>
        <v>34</v>
      </c>
      <c r="AN1197" s="5" t="str">
        <f aca="false">D1197&amp;"|"&amp;AM1197</f>
        <v>文件與影像辨識|34</v>
      </c>
    </row>
    <row r="1198" customFormat="false" ht="17.15" hidden="false" customHeight="false" outlineLevel="0" collapsed="false">
      <c r="A1198" s="16" t="n">
        <f aca="false">RANK(G1198,$G$2:$G$2501)+COUNTIF($G$2:G1198,G1198)-1</f>
        <v>1197</v>
      </c>
      <c r="B1198" s="11" t="s">
        <v>3012</v>
      </c>
      <c r="C1198" s="11" t="s">
        <v>891</v>
      </c>
      <c r="D1198" s="5" t="s">
        <v>56</v>
      </c>
      <c r="E1198" s="5" t="s">
        <v>57</v>
      </c>
      <c r="F1198" s="5"/>
      <c r="G1198" s="22" t="n">
        <f aca="false">ROUND(SUM(I1198:P1198),3)</f>
        <v>63.236</v>
      </c>
      <c r="H1198" s="5" t="str">
        <f aca="false">IF(G1198&gt;=評分方法!$C$16,"優先評估",IF(G1198&gt;=評分方法!$C$17,"列入候選",IF(G1198&gt;=評分方法!$C$18,"特定情境","不建議")))</f>
        <v>特定情境</v>
      </c>
      <c r="I1198" s="15" t="n">
        <f aca="false">AE1198*評分方法!$C$5</f>
        <v>25.5</v>
      </c>
      <c r="J1198" s="15" t="n">
        <f aca="false">AF1198*評分方法!$C$6</f>
        <v>0</v>
      </c>
      <c r="K1198" s="15" t="n">
        <f aca="false">AG1198*評分方法!$C$7</f>
        <v>10.05</v>
      </c>
      <c r="L1198" s="15" t="n">
        <f aca="false">AH1198*評分方法!$C$8</f>
        <v>13.05</v>
      </c>
      <c r="M1198" s="15" t="n">
        <f aca="false">AI1198*評分方法!$C$9</f>
        <v>6</v>
      </c>
      <c r="N1198" s="15" t="n">
        <f aca="false">AJ1198*評分方法!$C$10</f>
        <v>6.136</v>
      </c>
      <c r="O1198" s="15" t="n">
        <f aca="false">AK1198*評分方法!$C$11</f>
        <v>2.5</v>
      </c>
      <c r="P1198" s="15" t="n">
        <f aca="false">AL1198*評分方法!$C$12</f>
        <v>0</v>
      </c>
      <c r="Q1198" s="6" t="n">
        <v>654067</v>
      </c>
      <c r="R1198" s="6" t="n">
        <v>3212749888</v>
      </c>
      <c r="S1198" s="11" t="s">
        <v>254</v>
      </c>
      <c r="T1198" s="11" t="s">
        <v>1044</v>
      </c>
      <c r="U1198" s="5" t="s">
        <v>260</v>
      </c>
      <c r="V1198" s="11" t="s">
        <v>333</v>
      </c>
      <c r="W1198" s="5" t="s">
        <v>207</v>
      </c>
      <c r="X1198" s="5" t="s">
        <v>242</v>
      </c>
      <c r="Y1198" s="11" t="s">
        <v>1340</v>
      </c>
      <c r="Z1198" s="11" t="s">
        <v>244</v>
      </c>
      <c r="AA1198" s="11" t="s">
        <v>155</v>
      </c>
      <c r="AB1198" s="5" t="s">
        <v>245</v>
      </c>
      <c r="AC1198" s="5" t="s">
        <v>464</v>
      </c>
      <c r="AD1198" s="11" t="s">
        <v>3013</v>
      </c>
      <c r="AE1198" s="23" t="n">
        <v>0.85</v>
      </c>
      <c r="AF1198" s="23" t="n">
        <v>0</v>
      </c>
      <c r="AG1198" s="23" t="n">
        <v>0.67</v>
      </c>
      <c r="AH1198" s="23" t="n">
        <v>0.87</v>
      </c>
      <c r="AI1198" s="23" t="n">
        <v>0.6</v>
      </c>
      <c r="AJ1198" s="23" t="n">
        <v>0.6136</v>
      </c>
      <c r="AK1198" s="23" t="n">
        <v>0.5</v>
      </c>
      <c r="AL1198" s="23" t="n">
        <v>0</v>
      </c>
      <c r="AM1198" s="16" t="n">
        <f aca="false">COUNTIFS($D$2:$D$2501,D1198,$G$2:$G$2501,"&gt;"&amp;G1198)+COUNTIFS($D$2:D1198,D1198,$G$2:G1198,G1198)</f>
        <v>538</v>
      </c>
      <c r="AN1198" s="5" t="str">
        <f aca="false">D1198&amp;"|"&amp;AM1198</f>
        <v>分析與報告生成|538</v>
      </c>
    </row>
    <row r="1199" customFormat="false" ht="17.15" hidden="false" customHeight="false" outlineLevel="0" collapsed="false">
      <c r="A1199" s="16" t="n">
        <f aca="false">RANK(G1199,$G$2:$G$2501)+COUNTIF($G$2:G1199,G1199)-1</f>
        <v>1198</v>
      </c>
      <c r="B1199" s="11" t="s">
        <v>3014</v>
      </c>
      <c r="C1199" s="11" t="s">
        <v>2693</v>
      </c>
      <c r="D1199" s="5" t="s">
        <v>74</v>
      </c>
      <c r="E1199" s="5" t="s">
        <v>75</v>
      </c>
      <c r="F1199" s="5"/>
      <c r="G1199" s="22" t="n">
        <f aca="false">ROUND(SUM(I1199:P1199),3)</f>
        <v>63.2</v>
      </c>
      <c r="H1199" s="5" t="str">
        <f aca="false">IF(G1199&gt;=評分方法!$C$16,"優先評估",IF(G1199&gt;=評分方法!$C$17,"列入候選",IF(G1199&gt;=評分方法!$C$18,"特定情境","不建議")))</f>
        <v>特定情境</v>
      </c>
      <c r="I1199" s="15" t="n">
        <f aca="false">AE1199*評分方法!$C$5</f>
        <v>10.5</v>
      </c>
      <c r="J1199" s="15" t="n">
        <f aca="false">AF1199*評分方法!$C$6</f>
        <v>0</v>
      </c>
      <c r="K1199" s="15" t="n">
        <f aca="false">AG1199*評分方法!$C$7</f>
        <v>15</v>
      </c>
      <c r="L1199" s="15" t="n">
        <f aca="false">AH1199*評分方法!$C$8</f>
        <v>15</v>
      </c>
      <c r="M1199" s="15" t="n">
        <f aca="false">AI1199*評分方法!$C$9</f>
        <v>10</v>
      </c>
      <c r="N1199" s="15" t="n">
        <f aca="false">AJ1199*評分方法!$C$10</f>
        <v>8.7</v>
      </c>
      <c r="O1199" s="15" t="n">
        <f aca="false">AK1199*評分方法!$C$11</f>
        <v>2.5</v>
      </c>
      <c r="P1199" s="15" t="n">
        <f aca="false">AL1199*評分方法!$C$12</f>
        <v>1.5</v>
      </c>
      <c r="Q1199" s="6" t="n">
        <v>2764388</v>
      </c>
      <c r="R1199" s="6" t="n">
        <v>86567656</v>
      </c>
      <c r="S1199" s="11" t="s">
        <v>238</v>
      </c>
      <c r="T1199" s="11" t="s">
        <v>239</v>
      </c>
      <c r="U1199" s="5" t="s">
        <v>240</v>
      </c>
      <c r="V1199" s="11" t="s">
        <v>324</v>
      </c>
      <c r="W1199" s="5" t="s">
        <v>205</v>
      </c>
      <c r="X1199" s="5" t="s">
        <v>255</v>
      </c>
      <c r="Y1199" s="5"/>
      <c r="Z1199" s="5"/>
      <c r="AA1199" s="11" t="s">
        <v>172</v>
      </c>
      <c r="AB1199" s="5" t="s">
        <v>245</v>
      </c>
      <c r="AC1199" s="5"/>
      <c r="AD1199" s="11" t="s">
        <v>3015</v>
      </c>
      <c r="AE1199" s="23" t="n">
        <v>0.35</v>
      </c>
      <c r="AF1199" s="23" t="n">
        <v>0</v>
      </c>
      <c r="AG1199" s="23" t="n">
        <v>1</v>
      </c>
      <c r="AH1199" s="23" t="n">
        <v>1</v>
      </c>
      <c r="AI1199" s="23" t="n">
        <v>1</v>
      </c>
      <c r="AJ1199" s="23" t="n">
        <v>0.87</v>
      </c>
      <c r="AK1199" s="23" t="n">
        <v>0.5</v>
      </c>
      <c r="AL1199" s="23" t="n">
        <v>0.3</v>
      </c>
      <c r="AM1199" s="16" t="n">
        <f aca="false">COUNTIFS($D$2:$D$2501,D1199,$G$2:$G$2501,"&gt;"&amp;G1199)+COUNTIFS($D$2:D1199,D1199,$G$2:G1199,G1199)</f>
        <v>35</v>
      </c>
      <c r="AN1199" s="5" t="str">
        <f aca="false">D1199&amp;"|"&amp;AM1199</f>
        <v>文件與影像辨識|35</v>
      </c>
    </row>
    <row r="1200" customFormat="false" ht="17.15" hidden="false" customHeight="false" outlineLevel="0" collapsed="false">
      <c r="A1200" s="16" t="n">
        <f aca="false">RANK(G1200,$G$2:$G$2501)+COUNTIF($G$2:G1200,G1200)-1</f>
        <v>1199</v>
      </c>
      <c r="B1200" s="11" t="s">
        <v>3016</v>
      </c>
      <c r="C1200" s="11" t="s">
        <v>3017</v>
      </c>
      <c r="D1200" s="5" t="s">
        <v>56</v>
      </c>
      <c r="E1200" s="5" t="s">
        <v>57</v>
      </c>
      <c r="F1200" s="5"/>
      <c r="G1200" s="22" t="n">
        <f aca="false">ROUND(SUM(I1200:P1200),3)</f>
        <v>63.166</v>
      </c>
      <c r="H1200" s="5" t="str">
        <f aca="false">IF(G1200&gt;=評分方法!$C$16,"優先評估",IF(G1200&gt;=評分方法!$C$17,"列入候選",IF(G1200&gt;=評分方法!$C$18,"特定情境","不建議")))</f>
        <v>特定情境</v>
      </c>
      <c r="I1200" s="15" t="n">
        <f aca="false">AE1200*評分方法!$C$5</f>
        <v>25.5</v>
      </c>
      <c r="J1200" s="15" t="n">
        <f aca="false">AF1200*評分方法!$C$6</f>
        <v>0</v>
      </c>
      <c r="K1200" s="15" t="n">
        <f aca="false">AG1200*評分方法!$C$7</f>
        <v>4.95</v>
      </c>
      <c r="L1200" s="15" t="n">
        <f aca="false">AH1200*評分方法!$C$8</f>
        <v>15</v>
      </c>
      <c r="M1200" s="15" t="n">
        <f aca="false">AI1200*評分方法!$C$9</f>
        <v>10</v>
      </c>
      <c r="N1200" s="15" t="n">
        <f aca="false">AJ1200*評分方法!$C$10</f>
        <v>2.216</v>
      </c>
      <c r="O1200" s="15" t="n">
        <f aca="false">AK1200*評分方法!$C$11</f>
        <v>2.5</v>
      </c>
      <c r="P1200" s="15" t="n">
        <f aca="false">AL1200*評分方法!$C$12</f>
        <v>3</v>
      </c>
      <c r="Q1200" s="6" t="n">
        <v>226222</v>
      </c>
      <c r="R1200" s="6" t="n">
        <v>124439808</v>
      </c>
      <c r="S1200" s="11" t="s">
        <v>238</v>
      </c>
      <c r="T1200" s="11" t="s">
        <v>278</v>
      </c>
      <c r="U1200" s="5" t="s">
        <v>240</v>
      </c>
      <c r="V1200" s="11" t="s">
        <v>261</v>
      </c>
      <c r="W1200" s="5" t="s">
        <v>334</v>
      </c>
      <c r="X1200" s="5" t="s">
        <v>371</v>
      </c>
      <c r="Y1200" s="5"/>
      <c r="Z1200" s="5"/>
      <c r="AA1200" s="11" t="s">
        <v>155</v>
      </c>
      <c r="AB1200" s="5" t="s">
        <v>245</v>
      </c>
      <c r="AC1200" s="5"/>
      <c r="AD1200" s="11" t="s">
        <v>3018</v>
      </c>
      <c r="AE1200" s="23" t="n">
        <v>0.85</v>
      </c>
      <c r="AF1200" s="23" t="n">
        <v>0</v>
      </c>
      <c r="AG1200" s="23" t="n">
        <v>0.33</v>
      </c>
      <c r="AH1200" s="23" t="n">
        <v>1</v>
      </c>
      <c r="AI1200" s="23" t="n">
        <v>1</v>
      </c>
      <c r="AJ1200" s="23" t="n">
        <v>0.2216</v>
      </c>
      <c r="AK1200" s="23" t="n">
        <v>0.5</v>
      </c>
      <c r="AL1200" s="23" t="n">
        <v>0.6</v>
      </c>
      <c r="AM1200" s="16" t="n">
        <f aca="false">COUNTIFS($D$2:$D$2501,D1200,$G$2:$G$2501,"&gt;"&amp;G1200)+COUNTIFS($D$2:D1200,D1200,$G$2:G1200,G1200)</f>
        <v>539</v>
      </c>
      <c r="AN1200" s="5" t="str">
        <f aca="false">D1200&amp;"|"&amp;AM1200</f>
        <v>分析與報告生成|539</v>
      </c>
    </row>
    <row r="1201" customFormat="false" ht="17.15" hidden="false" customHeight="false" outlineLevel="0" collapsed="false">
      <c r="A1201" s="16" t="n">
        <f aca="false">RANK(G1201,$G$2:$G$2501)+COUNTIF($G$2:G1201,G1201)-1</f>
        <v>1200</v>
      </c>
      <c r="B1201" s="11" t="s">
        <v>3019</v>
      </c>
      <c r="C1201" s="11" t="s">
        <v>3020</v>
      </c>
      <c r="D1201" s="5" t="s">
        <v>54</v>
      </c>
      <c r="E1201" s="5" t="s">
        <v>55</v>
      </c>
      <c r="F1201" s="5"/>
      <c r="G1201" s="22" t="n">
        <f aca="false">ROUND(SUM(I1201:P1201),3)</f>
        <v>63.158</v>
      </c>
      <c r="H1201" s="5" t="str">
        <f aca="false">IF(G1201&gt;=評分方法!$C$16,"優先評估",IF(G1201&gt;=評分方法!$C$17,"列入候選",IF(G1201&gt;=評分方法!$C$18,"特定情境","不建議")))</f>
        <v>特定情境</v>
      </c>
      <c r="I1201" s="15" t="n">
        <f aca="false">AE1201*評分方法!$C$5</f>
        <v>27</v>
      </c>
      <c r="J1201" s="15" t="n">
        <f aca="false">AF1201*評分方法!$C$6</f>
        <v>0</v>
      </c>
      <c r="K1201" s="15" t="n">
        <f aca="false">AG1201*評分方法!$C$7</f>
        <v>4.95</v>
      </c>
      <c r="L1201" s="15" t="n">
        <f aca="false">AH1201*評分方法!$C$8</f>
        <v>15</v>
      </c>
      <c r="M1201" s="15" t="n">
        <f aca="false">AI1201*評分方法!$C$9</f>
        <v>10</v>
      </c>
      <c r="N1201" s="15" t="n">
        <f aca="false">AJ1201*評分方法!$C$10</f>
        <v>2.208</v>
      </c>
      <c r="O1201" s="15" t="n">
        <f aca="false">AK1201*評分方法!$C$11</f>
        <v>4</v>
      </c>
      <c r="P1201" s="15" t="n">
        <f aca="false">AL1201*評分方法!$C$12</f>
        <v>0</v>
      </c>
      <c r="Q1201" s="6" t="n">
        <v>225993</v>
      </c>
      <c r="R1201" s="6" t="n">
        <v>22713216</v>
      </c>
      <c r="S1201" s="11" t="s">
        <v>238</v>
      </c>
      <c r="T1201" s="11" t="s">
        <v>3021</v>
      </c>
      <c r="U1201" s="5" t="s">
        <v>240</v>
      </c>
      <c r="V1201" s="11" t="s">
        <v>261</v>
      </c>
      <c r="W1201" s="5" t="s">
        <v>334</v>
      </c>
      <c r="X1201" s="5" t="s">
        <v>242</v>
      </c>
      <c r="Y1201" s="11" t="s">
        <v>352</v>
      </c>
      <c r="Z1201" s="11" t="s">
        <v>270</v>
      </c>
      <c r="AA1201" s="11" t="s">
        <v>152</v>
      </c>
      <c r="AB1201" s="5" t="s">
        <v>245</v>
      </c>
      <c r="AC1201" s="5"/>
      <c r="AD1201" s="11" t="s">
        <v>3022</v>
      </c>
      <c r="AE1201" s="23" t="n">
        <v>0.9</v>
      </c>
      <c r="AF1201" s="23" t="n">
        <v>0</v>
      </c>
      <c r="AG1201" s="23" t="n">
        <v>0.33</v>
      </c>
      <c r="AH1201" s="23" t="n">
        <v>1</v>
      </c>
      <c r="AI1201" s="23" t="n">
        <v>1</v>
      </c>
      <c r="AJ1201" s="23" t="n">
        <v>0.2208</v>
      </c>
      <c r="AK1201" s="23" t="n">
        <v>0.8</v>
      </c>
      <c r="AL1201" s="23" t="n">
        <v>0</v>
      </c>
      <c r="AM1201" s="16" t="n">
        <f aca="false">COUNTIFS($D$2:$D$2501,D1201,$G$2:$G$2501,"&gt;"&amp;G1201)+COUNTIFS($D$2:D1201,D1201,$G$2:G1201,G1201)</f>
        <v>176</v>
      </c>
      <c r="AN1201" s="5" t="str">
        <f aca="false">D1201&amp;"|"&amp;AM1201</f>
        <v>檢索與情資關聯|176</v>
      </c>
    </row>
    <row r="1202" customFormat="false" ht="17.15" hidden="false" customHeight="false" outlineLevel="0" collapsed="false">
      <c r="A1202" s="16" t="n">
        <f aca="false">RANK(G1202,$G$2:$G$2501)+COUNTIF($G$2:G1202,G1202)-1</f>
        <v>1201</v>
      </c>
      <c r="B1202" s="11" t="s">
        <v>3023</v>
      </c>
      <c r="C1202" s="11" t="s">
        <v>2693</v>
      </c>
      <c r="D1202" s="5" t="s">
        <v>74</v>
      </c>
      <c r="E1202" s="5" t="s">
        <v>75</v>
      </c>
      <c r="F1202" s="5"/>
      <c r="G1202" s="22" t="n">
        <f aca="false">ROUND(SUM(I1202:P1202),3)</f>
        <v>63.132</v>
      </c>
      <c r="H1202" s="5" t="str">
        <f aca="false">IF(G1202&gt;=評分方法!$C$16,"優先評估",IF(G1202&gt;=評分方法!$C$17,"列入候選",IF(G1202&gt;=評分方法!$C$18,"特定情境","不建議")))</f>
        <v>特定情境</v>
      </c>
      <c r="I1202" s="15" t="n">
        <f aca="false">AE1202*評分方法!$C$5</f>
        <v>10.5</v>
      </c>
      <c r="J1202" s="15" t="n">
        <f aca="false">AF1202*評分方法!$C$6</f>
        <v>0</v>
      </c>
      <c r="K1202" s="15" t="n">
        <f aca="false">AG1202*評分方法!$C$7</f>
        <v>15</v>
      </c>
      <c r="L1202" s="15" t="n">
        <f aca="false">AH1202*評分方法!$C$8</f>
        <v>15</v>
      </c>
      <c r="M1202" s="15" t="n">
        <f aca="false">AI1202*評分方法!$C$9</f>
        <v>10</v>
      </c>
      <c r="N1202" s="15" t="n">
        <f aca="false">AJ1202*評分方法!$C$10</f>
        <v>8.632</v>
      </c>
      <c r="O1202" s="15" t="n">
        <f aca="false">AK1202*評分方法!$C$11</f>
        <v>2.5</v>
      </c>
      <c r="P1202" s="15" t="n">
        <f aca="false">AL1202*評分方法!$C$12</f>
        <v>1.5</v>
      </c>
      <c r="Q1202" s="6" t="n">
        <v>2573318</v>
      </c>
      <c r="R1202" s="6" t="n">
        <v>22050664</v>
      </c>
      <c r="S1202" s="11" t="s">
        <v>238</v>
      </c>
      <c r="T1202" s="11" t="s">
        <v>239</v>
      </c>
      <c r="U1202" s="5" t="s">
        <v>240</v>
      </c>
      <c r="V1202" s="11" t="s">
        <v>324</v>
      </c>
      <c r="W1202" s="5" t="s">
        <v>205</v>
      </c>
      <c r="X1202" s="5" t="s">
        <v>255</v>
      </c>
      <c r="Y1202" s="5"/>
      <c r="Z1202" s="5"/>
      <c r="AA1202" s="11" t="s">
        <v>172</v>
      </c>
      <c r="AB1202" s="5" t="s">
        <v>245</v>
      </c>
      <c r="AC1202" s="5"/>
      <c r="AD1202" s="11" t="s">
        <v>3024</v>
      </c>
      <c r="AE1202" s="23" t="n">
        <v>0.35</v>
      </c>
      <c r="AF1202" s="23" t="n">
        <v>0</v>
      </c>
      <c r="AG1202" s="23" t="n">
        <v>1</v>
      </c>
      <c r="AH1202" s="23" t="n">
        <v>1</v>
      </c>
      <c r="AI1202" s="23" t="n">
        <v>1</v>
      </c>
      <c r="AJ1202" s="23" t="n">
        <v>0.8632</v>
      </c>
      <c r="AK1202" s="23" t="n">
        <v>0.5</v>
      </c>
      <c r="AL1202" s="23" t="n">
        <v>0.3</v>
      </c>
      <c r="AM1202" s="16" t="n">
        <f aca="false">COUNTIFS($D$2:$D$2501,D1202,$G$2:$G$2501,"&gt;"&amp;G1202)+COUNTIFS($D$2:D1202,D1202,$G$2:G1202,G1202)</f>
        <v>36</v>
      </c>
      <c r="AN1202" s="5" t="str">
        <f aca="false">D1202&amp;"|"&amp;AM1202</f>
        <v>文件與影像辨識|36</v>
      </c>
    </row>
    <row r="1203" customFormat="false" ht="17.15" hidden="false" customHeight="false" outlineLevel="0" collapsed="false">
      <c r="A1203" s="16" t="n">
        <f aca="false">RANK(G1203,$G$2:$G$2501)+COUNTIF($G$2:G1203,G1203)-1</f>
        <v>1202</v>
      </c>
      <c r="B1203" s="11" t="s">
        <v>3025</v>
      </c>
      <c r="C1203" s="11" t="s">
        <v>1725</v>
      </c>
      <c r="D1203" s="5" t="s">
        <v>56</v>
      </c>
      <c r="E1203" s="5" t="s">
        <v>57</v>
      </c>
      <c r="F1203" s="5"/>
      <c r="G1203" s="22" t="n">
        <f aca="false">ROUND(SUM(I1203:P1203),3)</f>
        <v>63.132</v>
      </c>
      <c r="H1203" s="5" t="str">
        <f aca="false">IF(G1203&gt;=評分方法!$C$16,"優先評估",IF(G1203&gt;=評分方法!$C$17,"列入候選",IF(G1203&gt;=評分方法!$C$18,"特定情境","不建議")))</f>
        <v>特定情境</v>
      </c>
      <c r="I1203" s="15" t="n">
        <f aca="false">AE1203*評分方法!$C$5</f>
        <v>24</v>
      </c>
      <c r="J1203" s="15" t="n">
        <f aca="false">AF1203*評分方法!$C$6</f>
        <v>0</v>
      </c>
      <c r="K1203" s="15" t="n">
        <f aca="false">AG1203*評分方法!$C$7</f>
        <v>4.95</v>
      </c>
      <c r="L1203" s="15" t="n">
        <f aca="false">AH1203*評分方法!$C$8</f>
        <v>13.05</v>
      </c>
      <c r="M1203" s="15" t="n">
        <f aca="false">AI1203*評分方法!$C$9</f>
        <v>10</v>
      </c>
      <c r="N1203" s="15" t="n">
        <f aca="false">AJ1203*評分方法!$C$10</f>
        <v>3.132</v>
      </c>
      <c r="O1203" s="15" t="n">
        <f aca="false">AK1203*評分方法!$C$11</f>
        <v>5</v>
      </c>
      <c r="P1203" s="15" t="n">
        <f aca="false">AL1203*評分方法!$C$12</f>
        <v>3</v>
      </c>
      <c r="Q1203" s="6" t="n">
        <v>306956</v>
      </c>
      <c r="R1203" s="6" t="n">
        <v>5104297539</v>
      </c>
      <c r="S1203" s="11" t="s">
        <v>254</v>
      </c>
      <c r="T1203" s="11" t="s">
        <v>239</v>
      </c>
      <c r="U1203" s="5" t="s">
        <v>240</v>
      </c>
      <c r="V1203" s="11" t="s">
        <v>261</v>
      </c>
      <c r="W1203" s="5" t="s">
        <v>334</v>
      </c>
      <c r="X1203" s="5" t="s">
        <v>371</v>
      </c>
      <c r="Y1203" s="11" t="s">
        <v>425</v>
      </c>
      <c r="Z1203" s="11" t="s">
        <v>244</v>
      </c>
      <c r="AA1203" s="11" t="s">
        <v>157</v>
      </c>
      <c r="AB1203" s="5" t="s">
        <v>245</v>
      </c>
      <c r="AC1203" s="5" t="s">
        <v>246</v>
      </c>
      <c r="AD1203" s="11" t="s">
        <v>3026</v>
      </c>
      <c r="AE1203" s="23" t="n">
        <v>0.8</v>
      </c>
      <c r="AF1203" s="23" t="n">
        <v>0</v>
      </c>
      <c r="AG1203" s="23" t="n">
        <v>0.33</v>
      </c>
      <c r="AH1203" s="23" t="n">
        <v>0.87</v>
      </c>
      <c r="AI1203" s="23" t="n">
        <v>1</v>
      </c>
      <c r="AJ1203" s="23" t="n">
        <v>0.3132</v>
      </c>
      <c r="AK1203" s="23" t="n">
        <v>1</v>
      </c>
      <c r="AL1203" s="23" t="n">
        <v>0.6</v>
      </c>
      <c r="AM1203" s="16" t="n">
        <f aca="false">COUNTIFS($D$2:$D$2501,D1203,$G$2:$G$2501,"&gt;"&amp;G1203)+COUNTIFS($D$2:D1203,D1203,$G$2:G1203,G1203)</f>
        <v>540</v>
      </c>
      <c r="AN1203" s="5" t="str">
        <f aca="false">D1203&amp;"|"&amp;AM1203</f>
        <v>分析與報告生成|540</v>
      </c>
    </row>
    <row r="1204" customFormat="false" ht="17.15" hidden="false" customHeight="false" outlineLevel="0" collapsed="false">
      <c r="A1204" s="16" t="n">
        <f aca="false">RANK(G1204,$G$2:$G$2501)+COUNTIF($G$2:G1204,G1204)-1</f>
        <v>1203</v>
      </c>
      <c r="B1204" s="11" t="s">
        <v>3027</v>
      </c>
      <c r="C1204" s="11" t="s">
        <v>368</v>
      </c>
      <c r="D1204" s="5" t="s">
        <v>74</v>
      </c>
      <c r="E1204" s="5" t="s">
        <v>75</v>
      </c>
      <c r="F1204" s="5"/>
      <c r="G1204" s="22" t="n">
        <f aca="false">ROUND(SUM(I1204:P1204),3)</f>
        <v>63.124</v>
      </c>
      <c r="H1204" s="5" t="str">
        <f aca="false">IF(G1204&gt;=評分方法!$C$16,"優先評估",IF(G1204&gt;=評分方法!$C$17,"列入候選",IF(G1204&gt;=評分方法!$C$18,"特定情境","不建議")))</f>
        <v>特定情境</v>
      </c>
      <c r="I1204" s="15" t="n">
        <f aca="false">AE1204*評分方法!$C$5</f>
        <v>12</v>
      </c>
      <c r="J1204" s="15" t="n">
        <f aca="false">AF1204*評分方法!$C$6</f>
        <v>0</v>
      </c>
      <c r="K1204" s="15" t="n">
        <f aca="false">AG1204*評分方法!$C$7</f>
        <v>15</v>
      </c>
      <c r="L1204" s="15" t="n">
        <f aca="false">AH1204*評分方法!$C$8</f>
        <v>15</v>
      </c>
      <c r="M1204" s="15" t="n">
        <f aca="false">AI1204*評分方法!$C$9</f>
        <v>10</v>
      </c>
      <c r="N1204" s="15" t="n">
        <f aca="false">AJ1204*評分方法!$C$10</f>
        <v>7.124</v>
      </c>
      <c r="O1204" s="15" t="n">
        <f aca="false">AK1204*評分方法!$C$11</f>
        <v>2.5</v>
      </c>
      <c r="P1204" s="15" t="n">
        <f aca="false">AL1204*評分方法!$C$12</f>
        <v>1.5</v>
      </c>
      <c r="Q1204" s="6" t="n">
        <v>969576</v>
      </c>
      <c r="R1204" s="6" t="n">
        <v>375823874</v>
      </c>
      <c r="S1204" s="11" t="s">
        <v>238</v>
      </c>
      <c r="T1204" s="11" t="s">
        <v>239</v>
      </c>
      <c r="U1204" s="5" t="s">
        <v>240</v>
      </c>
      <c r="V1204" s="11" t="s">
        <v>261</v>
      </c>
      <c r="W1204" s="5" t="s">
        <v>205</v>
      </c>
      <c r="X1204" s="5" t="s">
        <v>255</v>
      </c>
      <c r="Y1204" s="5"/>
      <c r="Z1204" s="5"/>
      <c r="AA1204" s="11" t="s">
        <v>167</v>
      </c>
      <c r="AB1204" s="5" t="s">
        <v>245</v>
      </c>
      <c r="AC1204" s="5"/>
      <c r="AD1204" s="11" t="s">
        <v>3028</v>
      </c>
      <c r="AE1204" s="23" t="n">
        <v>0.4</v>
      </c>
      <c r="AF1204" s="23" t="n">
        <v>0</v>
      </c>
      <c r="AG1204" s="23" t="n">
        <v>1</v>
      </c>
      <c r="AH1204" s="23" t="n">
        <v>1</v>
      </c>
      <c r="AI1204" s="23" t="n">
        <v>1</v>
      </c>
      <c r="AJ1204" s="23" t="n">
        <v>0.7124</v>
      </c>
      <c r="AK1204" s="23" t="n">
        <v>0.5</v>
      </c>
      <c r="AL1204" s="23" t="n">
        <v>0.3</v>
      </c>
      <c r="AM1204" s="16" t="n">
        <f aca="false">COUNTIFS($D$2:$D$2501,D1204,$G$2:$G$2501,"&gt;"&amp;G1204)+COUNTIFS($D$2:D1204,D1204,$G$2:G1204,G1204)</f>
        <v>37</v>
      </c>
      <c r="AN1204" s="5" t="str">
        <f aca="false">D1204&amp;"|"&amp;AM1204</f>
        <v>文件與影像辨識|37</v>
      </c>
    </row>
    <row r="1205" customFormat="false" ht="17.15" hidden="false" customHeight="false" outlineLevel="0" collapsed="false">
      <c r="A1205" s="16" t="n">
        <f aca="false">RANK(G1205,$G$2:$G$2501)+COUNTIF($G$2:G1205,G1205)-1</f>
        <v>1204</v>
      </c>
      <c r="B1205" s="11" t="s">
        <v>3029</v>
      </c>
      <c r="C1205" s="11" t="s">
        <v>368</v>
      </c>
      <c r="D1205" s="5" t="s">
        <v>56</v>
      </c>
      <c r="E1205" s="5" t="s">
        <v>57</v>
      </c>
      <c r="F1205" s="5"/>
      <c r="G1205" s="22" t="n">
        <f aca="false">ROUND(SUM(I1205:P1205),3)</f>
        <v>63.116</v>
      </c>
      <c r="H1205" s="5" t="str">
        <f aca="false">IF(G1205&gt;=評分方法!$C$16,"優先評估",IF(G1205&gt;=評分方法!$C$17,"列入候選",IF(G1205&gt;=評分方法!$C$18,"特定情境","不建議")))</f>
        <v>特定情境</v>
      </c>
      <c r="I1205" s="15" t="n">
        <f aca="false">AE1205*評分方法!$C$5</f>
        <v>25.5</v>
      </c>
      <c r="J1205" s="15" t="n">
        <f aca="false">AF1205*評分方法!$C$6</f>
        <v>0</v>
      </c>
      <c r="K1205" s="15" t="n">
        <f aca="false">AG1205*評分方法!$C$7</f>
        <v>15</v>
      </c>
      <c r="L1205" s="15" t="n">
        <f aca="false">AH1205*評分方法!$C$8</f>
        <v>9</v>
      </c>
      <c r="M1205" s="15" t="n">
        <f aca="false">AI1205*評分方法!$C$9</f>
        <v>6</v>
      </c>
      <c r="N1205" s="15" t="n">
        <f aca="false">AJ1205*評分方法!$C$10</f>
        <v>2.116</v>
      </c>
      <c r="O1205" s="15" t="n">
        <f aca="false">AK1205*評分方法!$C$11</f>
        <v>2.5</v>
      </c>
      <c r="P1205" s="15" t="n">
        <f aca="false">AL1205*評分方法!$C$12</f>
        <v>3</v>
      </c>
      <c r="Q1205" s="6" t="n">
        <v>217751</v>
      </c>
      <c r="R1205" s="6" t="n">
        <v>27009002240</v>
      </c>
      <c r="S1205" s="11" t="s">
        <v>389</v>
      </c>
      <c r="T1205" s="11" t="s">
        <v>185</v>
      </c>
      <c r="U1205" s="5" t="s">
        <v>260</v>
      </c>
      <c r="V1205" s="11" t="s">
        <v>261</v>
      </c>
      <c r="W1205" s="5" t="s">
        <v>205</v>
      </c>
      <c r="X1205" s="5" t="s">
        <v>371</v>
      </c>
      <c r="Y1205" s="11" t="s">
        <v>1345</v>
      </c>
      <c r="Z1205" s="11" t="s">
        <v>270</v>
      </c>
      <c r="AA1205" s="11" t="s">
        <v>155</v>
      </c>
      <c r="AB1205" s="5" t="s">
        <v>245</v>
      </c>
      <c r="AC1205" s="5" t="s">
        <v>262</v>
      </c>
      <c r="AD1205" s="11" t="s">
        <v>3030</v>
      </c>
      <c r="AE1205" s="23" t="n">
        <v>0.85</v>
      </c>
      <c r="AF1205" s="23" t="n">
        <v>0</v>
      </c>
      <c r="AG1205" s="23" t="n">
        <v>1</v>
      </c>
      <c r="AH1205" s="23" t="n">
        <v>0.6</v>
      </c>
      <c r="AI1205" s="23" t="n">
        <v>0.6</v>
      </c>
      <c r="AJ1205" s="23" t="n">
        <v>0.2116</v>
      </c>
      <c r="AK1205" s="23" t="n">
        <v>0.5</v>
      </c>
      <c r="AL1205" s="23" t="n">
        <v>0.6</v>
      </c>
      <c r="AM1205" s="16" t="n">
        <f aca="false">COUNTIFS($D$2:$D$2501,D1205,$G$2:$G$2501,"&gt;"&amp;G1205)+COUNTIFS($D$2:D1205,D1205,$G$2:G1205,G1205)</f>
        <v>541</v>
      </c>
      <c r="AN1205" s="5" t="str">
        <f aca="false">D1205&amp;"|"&amp;AM1205</f>
        <v>分析與報告生成|541</v>
      </c>
    </row>
    <row r="1206" customFormat="false" ht="17.15" hidden="false" customHeight="false" outlineLevel="0" collapsed="false">
      <c r="A1206" s="16" t="n">
        <f aca="false">RANK(G1206,$G$2:$G$2501)+COUNTIF($G$2:G1206,G1206)-1</f>
        <v>1205</v>
      </c>
      <c r="B1206" s="11" t="s">
        <v>3031</v>
      </c>
      <c r="C1206" s="11" t="s">
        <v>989</v>
      </c>
      <c r="D1206" s="5" t="s">
        <v>56</v>
      </c>
      <c r="E1206" s="5" t="s">
        <v>57</v>
      </c>
      <c r="F1206" s="5"/>
      <c r="G1206" s="22" t="n">
        <f aca="false">ROUND(SUM(I1206:P1206),3)</f>
        <v>63.116</v>
      </c>
      <c r="H1206" s="5" t="str">
        <f aca="false">IF(G1206&gt;=評分方法!$C$16,"優先評估",IF(G1206&gt;=評分方法!$C$17,"列入候選",IF(G1206&gt;=評分方法!$C$18,"特定情境","不建議")))</f>
        <v>特定情境</v>
      </c>
      <c r="I1206" s="15" t="n">
        <f aca="false">AE1206*評分方法!$C$5</f>
        <v>25.5</v>
      </c>
      <c r="J1206" s="15" t="n">
        <f aca="false">AF1206*評分方法!$C$6</f>
        <v>0</v>
      </c>
      <c r="K1206" s="15" t="n">
        <f aca="false">AG1206*評分方法!$C$7</f>
        <v>10.05</v>
      </c>
      <c r="L1206" s="15" t="n">
        <f aca="false">AH1206*評分方法!$C$8</f>
        <v>13.05</v>
      </c>
      <c r="M1206" s="15" t="n">
        <f aca="false">AI1206*評分方法!$C$9</f>
        <v>6</v>
      </c>
      <c r="N1206" s="15" t="n">
        <f aca="false">AJ1206*評分方法!$C$10</f>
        <v>7.516</v>
      </c>
      <c r="O1206" s="15" t="n">
        <f aca="false">AK1206*評分方法!$C$11</f>
        <v>1</v>
      </c>
      <c r="P1206" s="15" t="n">
        <f aca="false">AL1206*評分方法!$C$12</f>
        <v>0</v>
      </c>
      <c r="Q1206" s="6" t="n">
        <v>1167450</v>
      </c>
      <c r="R1206" s="6" t="n">
        <v>3212749888</v>
      </c>
      <c r="S1206" s="11" t="s">
        <v>254</v>
      </c>
      <c r="T1206" s="11" t="s">
        <v>1044</v>
      </c>
      <c r="U1206" s="5" t="s">
        <v>260</v>
      </c>
      <c r="V1206" s="11" t="s">
        <v>333</v>
      </c>
      <c r="W1206" s="5" t="s">
        <v>207</v>
      </c>
      <c r="X1206" s="5" t="s">
        <v>242</v>
      </c>
      <c r="Y1206" s="11" t="s">
        <v>1340</v>
      </c>
      <c r="Z1206" s="11" t="s">
        <v>244</v>
      </c>
      <c r="AA1206" s="11" t="s">
        <v>155</v>
      </c>
      <c r="AB1206" s="5" t="s">
        <v>245</v>
      </c>
      <c r="AC1206" s="5" t="s">
        <v>464</v>
      </c>
      <c r="AD1206" s="11" t="s">
        <v>3032</v>
      </c>
      <c r="AE1206" s="23" t="n">
        <v>0.85</v>
      </c>
      <c r="AF1206" s="23" t="n">
        <v>0</v>
      </c>
      <c r="AG1206" s="23" t="n">
        <v>0.67</v>
      </c>
      <c r="AH1206" s="23" t="n">
        <v>0.87</v>
      </c>
      <c r="AI1206" s="23" t="n">
        <v>0.6</v>
      </c>
      <c r="AJ1206" s="23" t="n">
        <v>0.7516</v>
      </c>
      <c r="AK1206" s="23" t="n">
        <v>0.2</v>
      </c>
      <c r="AL1206" s="23" t="n">
        <v>0</v>
      </c>
      <c r="AM1206" s="16" t="n">
        <f aca="false">COUNTIFS($D$2:$D$2501,D1206,$G$2:$G$2501,"&gt;"&amp;G1206)+COUNTIFS($D$2:D1206,D1206,$G$2:G1206,G1206)</f>
        <v>542</v>
      </c>
      <c r="AN1206" s="5" t="str">
        <f aca="false">D1206&amp;"|"&amp;AM1206</f>
        <v>分析與報告生成|542</v>
      </c>
    </row>
    <row r="1207" customFormat="false" ht="17.15" hidden="false" customHeight="false" outlineLevel="0" collapsed="false">
      <c r="A1207" s="16" t="n">
        <f aca="false">RANK(G1207,$G$2:$G$2501)+COUNTIF($G$2:G1207,G1207)-1</f>
        <v>1206</v>
      </c>
      <c r="B1207" s="11" t="s">
        <v>3033</v>
      </c>
      <c r="C1207" s="11" t="s">
        <v>368</v>
      </c>
      <c r="D1207" s="5" t="s">
        <v>74</v>
      </c>
      <c r="E1207" s="5" t="s">
        <v>75</v>
      </c>
      <c r="F1207" s="5"/>
      <c r="G1207" s="22" t="n">
        <f aca="false">ROUND(SUM(I1207:P1207),3)</f>
        <v>63.106</v>
      </c>
      <c r="H1207" s="5" t="str">
        <f aca="false">IF(G1207&gt;=評分方法!$C$16,"優先評估",IF(G1207&gt;=評分方法!$C$17,"列入候選",IF(G1207&gt;=評分方法!$C$18,"特定情境","不建議")))</f>
        <v>特定情境</v>
      </c>
      <c r="I1207" s="15" t="n">
        <f aca="false">AE1207*評分方法!$C$5</f>
        <v>12</v>
      </c>
      <c r="J1207" s="15" t="n">
        <f aca="false">AF1207*評分方法!$C$6</f>
        <v>0</v>
      </c>
      <c r="K1207" s="15" t="n">
        <f aca="false">AG1207*評分方法!$C$7</f>
        <v>15</v>
      </c>
      <c r="L1207" s="15" t="n">
        <f aca="false">AH1207*評分方法!$C$8</f>
        <v>13.05</v>
      </c>
      <c r="M1207" s="15" t="n">
        <f aca="false">AI1207*評分方法!$C$9</f>
        <v>10</v>
      </c>
      <c r="N1207" s="15" t="n">
        <f aca="false">AJ1207*評分方法!$C$10</f>
        <v>9.056</v>
      </c>
      <c r="O1207" s="15" t="n">
        <f aca="false">AK1207*評分方法!$C$11</f>
        <v>2.5</v>
      </c>
      <c r="P1207" s="15" t="n">
        <f aca="false">AL1207*評分方法!$C$12</f>
        <v>1.5</v>
      </c>
      <c r="Q1207" s="6" t="n">
        <v>4063668</v>
      </c>
      <c r="R1207" s="6" t="n">
        <v>1135670962</v>
      </c>
      <c r="S1207" s="11" t="s">
        <v>254</v>
      </c>
      <c r="T1207" s="11" t="s">
        <v>239</v>
      </c>
      <c r="U1207" s="5" t="s">
        <v>240</v>
      </c>
      <c r="V1207" s="11" t="s">
        <v>261</v>
      </c>
      <c r="W1207" s="5" t="s">
        <v>205</v>
      </c>
      <c r="X1207" s="5" t="s">
        <v>255</v>
      </c>
      <c r="Y1207" s="5"/>
      <c r="Z1207" s="5"/>
      <c r="AA1207" s="11" t="s">
        <v>167</v>
      </c>
      <c r="AB1207" s="5" t="s">
        <v>245</v>
      </c>
      <c r="AC1207" s="5"/>
      <c r="AD1207" s="11" t="s">
        <v>3034</v>
      </c>
      <c r="AE1207" s="23" t="n">
        <v>0.4</v>
      </c>
      <c r="AF1207" s="23" t="n">
        <v>0</v>
      </c>
      <c r="AG1207" s="23" t="n">
        <v>1</v>
      </c>
      <c r="AH1207" s="23" t="n">
        <v>0.87</v>
      </c>
      <c r="AI1207" s="23" t="n">
        <v>1</v>
      </c>
      <c r="AJ1207" s="23" t="n">
        <v>0.9056</v>
      </c>
      <c r="AK1207" s="23" t="n">
        <v>0.5</v>
      </c>
      <c r="AL1207" s="23" t="n">
        <v>0.3</v>
      </c>
      <c r="AM1207" s="16" t="n">
        <f aca="false">COUNTIFS($D$2:$D$2501,D1207,$G$2:$G$2501,"&gt;"&amp;G1207)+COUNTIFS($D$2:D1207,D1207,$G$2:G1207,G1207)</f>
        <v>38</v>
      </c>
      <c r="AN1207" s="5" t="str">
        <f aca="false">D1207&amp;"|"&amp;AM1207</f>
        <v>文件與影像辨識|38</v>
      </c>
    </row>
    <row r="1208" customFormat="false" ht="17.15" hidden="false" customHeight="false" outlineLevel="0" collapsed="false">
      <c r="A1208" s="16" t="n">
        <f aca="false">RANK(G1208,$G$2:$G$2501)+COUNTIF($G$2:G1208,G1208)-1</f>
        <v>1207</v>
      </c>
      <c r="B1208" s="11" t="s">
        <v>3035</v>
      </c>
      <c r="C1208" s="11" t="s">
        <v>1365</v>
      </c>
      <c r="D1208" s="5" t="s">
        <v>74</v>
      </c>
      <c r="E1208" s="5" t="s">
        <v>75</v>
      </c>
      <c r="F1208" s="5"/>
      <c r="G1208" s="22" t="n">
        <f aca="false">ROUND(SUM(I1208:P1208),3)</f>
        <v>63.106</v>
      </c>
      <c r="H1208" s="5" t="str">
        <f aca="false">IF(G1208&gt;=評分方法!$C$16,"優先評估",IF(G1208&gt;=評分方法!$C$17,"列入候選",IF(G1208&gt;=評分方法!$C$18,"特定情境","不建議")))</f>
        <v>特定情境</v>
      </c>
      <c r="I1208" s="15" t="n">
        <f aca="false">AE1208*評分方法!$C$5</f>
        <v>13.5</v>
      </c>
      <c r="J1208" s="15" t="n">
        <f aca="false">AF1208*評分方法!$C$6</f>
        <v>0</v>
      </c>
      <c r="K1208" s="15" t="n">
        <f aca="false">AG1208*評分方法!$C$7</f>
        <v>15</v>
      </c>
      <c r="L1208" s="15" t="n">
        <f aca="false">AH1208*評分方法!$C$8</f>
        <v>13.05</v>
      </c>
      <c r="M1208" s="15" t="n">
        <f aca="false">AI1208*評分方法!$C$9</f>
        <v>10</v>
      </c>
      <c r="N1208" s="15" t="n">
        <f aca="false">AJ1208*評分方法!$C$10</f>
        <v>6.556</v>
      </c>
      <c r="O1208" s="15" t="n">
        <f aca="false">AK1208*評分方法!$C$11</f>
        <v>5</v>
      </c>
      <c r="P1208" s="15" t="n">
        <f aca="false">AL1208*評分方法!$C$12</f>
        <v>0</v>
      </c>
      <c r="Q1208" s="6" t="n">
        <v>767454</v>
      </c>
      <c r="R1208" s="6" t="n">
        <v>1161230336</v>
      </c>
      <c r="S1208" s="11" t="s">
        <v>254</v>
      </c>
      <c r="T1208" s="11" t="s">
        <v>239</v>
      </c>
      <c r="U1208" s="5" t="s">
        <v>240</v>
      </c>
      <c r="V1208" s="11" t="s">
        <v>261</v>
      </c>
      <c r="W1208" s="5" t="s">
        <v>205</v>
      </c>
      <c r="X1208" s="5" t="s">
        <v>242</v>
      </c>
      <c r="Y1208" s="5"/>
      <c r="Z1208" s="5"/>
      <c r="AA1208" s="11" t="s">
        <v>164</v>
      </c>
      <c r="AB1208" s="5" t="s">
        <v>245</v>
      </c>
      <c r="AC1208" s="5"/>
      <c r="AD1208" s="11" t="s">
        <v>3036</v>
      </c>
      <c r="AE1208" s="23" t="n">
        <v>0.45</v>
      </c>
      <c r="AF1208" s="23" t="n">
        <v>0</v>
      </c>
      <c r="AG1208" s="23" t="n">
        <v>1</v>
      </c>
      <c r="AH1208" s="23" t="n">
        <v>0.87</v>
      </c>
      <c r="AI1208" s="23" t="n">
        <v>1</v>
      </c>
      <c r="AJ1208" s="23" t="n">
        <v>0.6556</v>
      </c>
      <c r="AK1208" s="23" t="n">
        <v>1</v>
      </c>
      <c r="AL1208" s="23" t="n">
        <v>0</v>
      </c>
      <c r="AM1208" s="16" t="n">
        <f aca="false">COUNTIFS($D$2:$D$2501,D1208,$G$2:$G$2501,"&gt;"&amp;G1208)+COUNTIFS($D$2:D1208,D1208,$G$2:G1208,G1208)</f>
        <v>39</v>
      </c>
      <c r="AN1208" s="5" t="str">
        <f aca="false">D1208&amp;"|"&amp;AM1208</f>
        <v>文件與影像辨識|39</v>
      </c>
    </row>
    <row r="1209" customFormat="false" ht="17.15" hidden="false" customHeight="false" outlineLevel="0" collapsed="false">
      <c r="A1209" s="16" t="n">
        <f aca="false">RANK(G1209,$G$2:$G$2501)+COUNTIF($G$2:G1209,G1209)-1</f>
        <v>1208</v>
      </c>
      <c r="B1209" s="11" t="s">
        <v>3037</v>
      </c>
      <c r="C1209" s="11" t="s">
        <v>2639</v>
      </c>
      <c r="D1209" s="5" t="s">
        <v>54</v>
      </c>
      <c r="E1209" s="5" t="s">
        <v>55</v>
      </c>
      <c r="F1209" s="5"/>
      <c r="G1209" s="22" t="n">
        <f aca="false">ROUND(SUM(I1209:P1209),3)</f>
        <v>63.102</v>
      </c>
      <c r="H1209" s="5" t="str">
        <f aca="false">IF(G1209&gt;=評分方法!$C$16,"優先評估",IF(G1209&gt;=評分方法!$C$17,"列入候選",IF(G1209&gt;=評分方法!$C$18,"特定情境","不建議")))</f>
        <v>特定情境</v>
      </c>
      <c r="I1209" s="15" t="n">
        <f aca="false">AE1209*評分方法!$C$5</f>
        <v>27</v>
      </c>
      <c r="J1209" s="15" t="n">
        <f aca="false">AF1209*評分方法!$C$6</f>
        <v>0</v>
      </c>
      <c r="K1209" s="15" t="n">
        <f aca="false">AG1209*評分方法!$C$7</f>
        <v>4.95</v>
      </c>
      <c r="L1209" s="15" t="n">
        <f aca="false">AH1209*評分方法!$C$8</f>
        <v>15</v>
      </c>
      <c r="M1209" s="15" t="n">
        <f aca="false">AI1209*評分方法!$C$9</f>
        <v>10</v>
      </c>
      <c r="N1209" s="15" t="n">
        <f aca="false">AJ1209*評分方法!$C$10</f>
        <v>1.152</v>
      </c>
      <c r="O1209" s="15" t="n">
        <f aca="false">AK1209*評分方法!$C$11</f>
        <v>5</v>
      </c>
      <c r="P1209" s="15" t="n">
        <f aca="false">AL1209*評分方法!$C$12</f>
        <v>0</v>
      </c>
      <c r="Q1209" s="6" t="n">
        <v>159519</v>
      </c>
      <c r="R1209" s="6" t="n">
        <v>109486464</v>
      </c>
      <c r="S1209" s="11" t="s">
        <v>238</v>
      </c>
      <c r="T1209" s="11" t="s">
        <v>239</v>
      </c>
      <c r="U1209" s="5" t="s">
        <v>240</v>
      </c>
      <c r="V1209" s="11" t="s">
        <v>261</v>
      </c>
      <c r="W1209" s="5" t="s">
        <v>334</v>
      </c>
      <c r="X1209" s="5" t="s">
        <v>242</v>
      </c>
      <c r="Y1209" s="11" t="s">
        <v>441</v>
      </c>
      <c r="Z1209" s="11" t="s">
        <v>270</v>
      </c>
      <c r="AA1209" s="11" t="s">
        <v>153</v>
      </c>
      <c r="AB1209" s="5" t="s">
        <v>245</v>
      </c>
      <c r="AC1209" s="5"/>
      <c r="AD1209" s="11" t="s">
        <v>3038</v>
      </c>
      <c r="AE1209" s="23" t="n">
        <v>0.9</v>
      </c>
      <c r="AF1209" s="23" t="n">
        <v>0</v>
      </c>
      <c r="AG1209" s="23" t="n">
        <v>0.33</v>
      </c>
      <c r="AH1209" s="23" t="n">
        <v>1</v>
      </c>
      <c r="AI1209" s="23" t="n">
        <v>1</v>
      </c>
      <c r="AJ1209" s="23" t="n">
        <v>0.1152</v>
      </c>
      <c r="AK1209" s="23" t="n">
        <v>1</v>
      </c>
      <c r="AL1209" s="23" t="n">
        <v>0</v>
      </c>
      <c r="AM1209" s="16" t="n">
        <f aca="false">COUNTIFS($D$2:$D$2501,D1209,$G$2:$G$2501,"&gt;"&amp;G1209)+COUNTIFS($D$2:D1209,D1209,$G$2:G1209,G1209)</f>
        <v>177</v>
      </c>
      <c r="AN1209" s="5" t="str">
        <f aca="false">D1209&amp;"|"&amp;AM1209</f>
        <v>檢索與情資關聯|177</v>
      </c>
    </row>
    <row r="1210" customFormat="false" ht="17.15" hidden="false" customHeight="false" outlineLevel="0" collapsed="false">
      <c r="A1210" s="16" t="n">
        <f aca="false">RANK(G1210,$G$2:$G$2501)+COUNTIF($G$2:G1210,G1210)-1</f>
        <v>1209</v>
      </c>
      <c r="B1210" s="11" t="s">
        <v>3039</v>
      </c>
      <c r="C1210" s="11" t="s">
        <v>2693</v>
      </c>
      <c r="D1210" s="5" t="s">
        <v>74</v>
      </c>
      <c r="E1210" s="5" t="s">
        <v>75</v>
      </c>
      <c r="F1210" s="5"/>
      <c r="G1210" s="22" t="n">
        <f aca="false">ROUND(SUM(I1210:P1210),3)</f>
        <v>63.088</v>
      </c>
      <c r="H1210" s="5" t="str">
        <f aca="false">IF(G1210&gt;=評分方法!$C$16,"優先評估",IF(G1210&gt;=評分方法!$C$17,"列入候選",IF(G1210&gt;=評分方法!$C$18,"特定情境","不建議")))</f>
        <v>特定情境</v>
      </c>
      <c r="I1210" s="15" t="n">
        <f aca="false">AE1210*評分方法!$C$5</f>
        <v>10.5</v>
      </c>
      <c r="J1210" s="15" t="n">
        <f aca="false">AF1210*評分方法!$C$6</f>
        <v>0</v>
      </c>
      <c r="K1210" s="15" t="n">
        <f aca="false">AG1210*評分方法!$C$7</f>
        <v>15</v>
      </c>
      <c r="L1210" s="15" t="n">
        <f aca="false">AH1210*評分方法!$C$8</f>
        <v>15</v>
      </c>
      <c r="M1210" s="15" t="n">
        <f aca="false">AI1210*評分方法!$C$9</f>
        <v>10</v>
      </c>
      <c r="N1210" s="15" t="n">
        <f aca="false">AJ1210*評分方法!$C$10</f>
        <v>8.588</v>
      </c>
      <c r="O1210" s="15" t="n">
        <f aca="false">AK1210*評分方法!$C$11</f>
        <v>2.5</v>
      </c>
      <c r="P1210" s="15" t="n">
        <f aca="false">AL1210*評分方法!$C$12</f>
        <v>1.5</v>
      </c>
      <c r="Q1210" s="6" t="n">
        <v>2459096</v>
      </c>
      <c r="R1210" s="6" t="n">
        <v>11699112</v>
      </c>
      <c r="S1210" s="11" t="s">
        <v>238</v>
      </c>
      <c r="T1210" s="11" t="s">
        <v>239</v>
      </c>
      <c r="U1210" s="5" t="s">
        <v>240</v>
      </c>
      <c r="V1210" s="11" t="s">
        <v>324</v>
      </c>
      <c r="W1210" s="5" t="s">
        <v>205</v>
      </c>
      <c r="X1210" s="5" t="s">
        <v>255</v>
      </c>
      <c r="Y1210" s="5"/>
      <c r="Z1210" s="5"/>
      <c r="AA1210" s="11" t="s">
        <v>172</v>
      </c>
      <c r="AB1210" s="5" t="s">
        <v>245</v>
      </c>
      <c r="AC1210" s="5"/>
      <c r="AD1210" s="11" t="s">
        <v>3040</v>
      </c>
      <c r="AE1210" s="23" t="n">
        <v>0.35</v>
      </c>
      <c r="AF1210" s="23" t="n">
        <v>0</v>
      </c>
      <c r="AG1210" s="23" t="n">
        <v>1</v>
      </c>
      <c r="AH1210" s="23" t="n">
        <v>1</v>
      </c>
      <c r="AI1210" s="23" t="n">
        <v>1</v>
      </c>
      <c r="AJ1210" s="23" t="n">
        <v>0.8588</v>
      </c>
      <c r="AK1210" s="23" t="n">
        <v>0.5</v>
      </c>
      <c r="AL1210" s="23" t="n">
        <v>0.3</v>
      </c>
      <c r="AM1210" s="16" t="n">
        <f aca="false">COUNTIFS($D$2:$D$2501,D1210,$G$2:$G$2501,"&gt;"&amp;G1210)+COUNTIFS($D$2:D1210,D1210,$G$2:G1210,G1210)</f>
        <v>40</v>
      </c>
      <c r="AN1210" s="5" t="str">
        <f aca="false">D1210&amp;"|"&amp;AM1210</f>
        <v>文件與影像辨識|40</v>
      </c>
    </row>
    <row r="1211" customFormat="false" ht="17.15" hidden="false" customHeight="false" outlineLevel="0" collapsed="false">
      <c r="A1211" s="16" t="n">
        <f aca="false">RANK(G1211,$G$2:$G$2501)+COUNTIF($G$2:G1211,G1211)-1</f>
        <v>1210</v>
      </c>
      <c r="B1211" s="11" t="s">
        <v>3041</v>
      </c>
      <c r="C1211" s="11" t="s">
        <v>753</v>
      </c>
      <c r="D1211" s="5" t="s">
        <v>56</v>
      </c>
      <c r="E1211" s="5" t="s">
        <v>57</v>
      </c>
      <c r="F1211" s="5"/>
      <c r="G1211" s="22" t="n">
        <f aca="false">ROUND(SUM(I1211:P1211),3)</f>
        <v>63.088</v>
      </c>
      <c r="H1211" s="5" t="str">
        <f aca="false">IF(G1211&gt;=評分方法!$C$16,"優先評估",IF(G1211&gt;=評分方法!$C$17,"列入候選",IF(G1211&gt;=評分方法!$C$18,"特定情境","不建議")))</f>
        <v>特定情境</v>
      </c>
      <c r="I1211" s="15" t="n">
        <f aca="false">AE1211*評分方法!$C$5</f>
        <v>25.5</v>
      </c>
      <c r="J1211" s="15" t="n">
        <f aca="false">AF1211*評分方法!$C$6</f>
        <v>0</v>
      </c>
      <c r="K1211" s="15" t="n">
        <f aca="false">AG1211*評分方法!$C$7</f>
        <v>10.05</v>
      </c>
      <c r="L1211" s="15" t="n">
        <f aca="false">AH1211*評分方法!$C$8</f>
        <v>13.05</v>
      </c>
      <c r="M1211" s="15" t="n">
        <f aca="false">AI1211*評分方法!$C$9</f>
        <v>6</v>
      </c>
      <c r="N1211" s="15" t="n">
        <f aca="false">AJ1211*評分方法!$C$10</f>
        <v>5.988</v>
      </c>
      <c r="O1211" s="15" t="n">
        <f aca="false">AK1211*評分方法!$C$11</f>
        <v>2.5</v>
      </c>
      <c r="P1211" s="15" t="n">
        <f aca="false">AL1211*評分方法!$C$12</f>
        <v>0</v>
      </c>
      <c r="Q1211" s="6" t="n">
        <v>618898</v>
      </c>
      <c r="R1211" s="6" t="n">
        <v>8248929382</v>
      </c>
      <c r="S1211" s="11" t="s">
        <v>254</v>
      </c>
      <c r="T1211" s="11" t="s">
        <v>1177</v>
      </c>
      <c r="U1211" s="5" t="s">
        <v>260</v>
      </c>
      <c r="V1211" s="11" t="s">
        <v>261</v>
      </c>
      <c r="W1211" s="5" t="s">
        <v>207</v>
      </c>
      <c r="X1211" s="5" t="s">
        <v>242</v>
      </c>
      <c r="Y1211" s="5"/>
      <c r="Z1211" s="5"/>
      <c r="AA1211" s="11" t="s">
        <v>155</v>
      </c>
      <c r="AB1211" s="5" t="s">
        <v>245</v>
      </c>
      <c r="AC1211" s="5" t="s">
        <v>262</v>
      </c>
      <c r="AD1211" s="11" t="s">
        <v>3042</v>
      </c>
      <c r="AE1211" s="23" t="n">
        <v>0.85</v>
      </c>
      <c r="AF1211" s="23" t="n">
        <v>0</v>
      </c>
      <c r="AG1211" s="23" t="n">
        <v>0.67</v>
      </c>
      <c r="AH1211" s="23" t="n">
        <v>0.87</v>
      </c>
      <c r="AI1211" s="23" t="n">
        <v>0.6</v>
      </c>
      <c r="AJ1211" s="23" t="n">
        <v>0.5988</v>
      </c>
      <c r="AK1211" s="23" t="n">
        <v>0.5</v>
      </c>
      <c r="AL1211" s="23" t="n">
        <v>0</v>
      </c>
      <c r="AM1211" s="16" t="n">
        <f aca="false">COUNTIFS($D$2:$D$2501,D1211,$G$2:$G$2501,"&gt;"&amp;G1211)+COUNTIFS($D$2:D1211,D1211,$G$2:G1211,G1211)</f>
        <v>543</v>
      </c>
      <c r="AN1211" s="5" t="str">
        <f aca="false">D1211&amp;"|"&amp;AM1211</f>
        <v>分析與報告生成|543</v>
      </c>
    </row>
    <row r="1212" customFormat="false" ht="17.15" hidden="false" customHeight="false" outlineLevel="0" collapsed="false">
      <c r="A1212" s="16" t="n">
        <f aca="false">RANK(G1212,$G$2:$G$2501)+COUNTIF($G$2:G1212,G1212)-1</f>
        <v>1211</v>
      </c>
      <c r="B1212" s="11" t="s">
        <v>3043</v>
      </c>
      <c r="C1212" s="11" t="s">
        <v>681</v>
      </c>
      <c r="D1212" s="5" t="s">
        <v>66</v>
      </c>
      <c r="E1212" s="5" t="s">
        <v>67</v>
      </c>
      <c r="F1212" s="5"/>
      <c r="G1212" s="22" t="n">
        <f aca="false">ROUND(SUM(I1212:P1212),3)</f>
        <v>63.08</v>
      </c>
      <c r="H1212" s="5" t="str">
        <f aca="false">IF(G1212&gt;=評分方法!$C$16,"優先評估",IF(G1212&gt;=評分方法!$C$17,"列入候選",IF(G1212&gt;=評分方法!$C$18,"特定情境","不建議")))</f>
        <v>特定情境</v>
      </c>
      <c r="I1212" s="15" t="n">
        <f aca="false">AE1212*評分方法!$C$5</f>
        <v>10.8</v>
      </c>
      <c r="J1212" s="15" t="n">
        <f aca="false">AF1212*評分方法!$C$6</f>
        <v>0</v>
      </c>
      <c r="K1212" s="15" t="n">
        <f aca="false">AG1212*評分方法!$C$7</f>
        <v>15</v>
      </c>
      <c r="L1212" s="15" t="n">
        <f aca="false">AH1212*評分方法!$C$8</f>
        <v>15</v>
      </c>
      <c r="M1212" s="15" t="n">
        <f aca="false">AI1212*評分方法!$C$9</f>
        <v>10</v>
      </c>
      <c r="N1212" s="15" t="n">
        <f aca="false">AJ1212*評分方法!$C$10</f>
        <v>9.78</v>
      </c>
      <c r="O1212" s="15" t="n">
        <f aca="false">AK1212*評分方法!$C$11</f>
        <v>1</v>
      </c>
      <c r="P1212" s="15" t="n">
        <f aca="false">AL1212*評分方法!$C$12</f>
        <v>1.5</v>
      </c>
      <c r="Q1212" s="6" t="n">
        <v>19189917</v>
      </c>
      <c r="R1212" s="6" t="n">
        <v>407344133</v>
      </c>
      <c r="S1212" s="11" t="s">
        <v>238</v>
      </c>
      <c r="T1212" s="11" t="s">
        <v>278</v>
      </c>
      <c r="U1212" s="5" t="s">
        <v>240</v>
      </c>
      <c r="V1212" s="11" t="s">
        <v>813</v>
      </c>
      <c r="W1212" s="5" t="s">
        <v>205</v>
      </c>
      <c r="X1212" s="5" t="s">
        <v>255</v>
      </c>
      <c r="Y1212" s="5"/>
      <c r="Z1212" s="5"/>
      <c r="AA1212" s="11" t="s">
        <v>151</v>
      </c>
      <c r="AB1212" s="5" t="s">
        <v>245</v>
      </c>
      <c r="AC1212" s="5" t="s">
        <v>3044</v>
      </c>
      <c r="AD1212" s="11" t="s">
        <v>3045</v>
      </c>
      <c r="AE1212" s="23" t="n">
        <v>0.36</v>
      </c>
      <c r="AF1212" s="23" t="n">
        <v>0</v>
      </c>
      <c r="AG1212" s="23" t="n">
        <v>1</v>
      </c>
      <c r="AH1212" s="23" t="n">
        <v>1</v>
      </c>
      <c r="AI1212" s="23" t="n">
        <v>1</v>
      </c>
      <c r="AJ1212" s="23" t="n">
        <v>0.978</v>
      </c>
      <c r="AK1212" s="23" t="n">
        <v>0.2</v>
      </c>
      <c r="AL1212" s="23" t="n">
        <v>0.3</v>
      </c>
      <c r="AM1212" s="16" t="n">
        <f aca="false">COUNTIFS($D$2:$D$2501,D1212,$G$2:$G$2501,"&gt;"&amp;G1212)+COUNTIFS($D$2:D1212,D1212,$G$2:G1212,G1212)</f>
        <v>34</v>
      </c>
      <c r="AN1212" s="5" t="str">
        <f aca="false">D1212&amp;"|"&amp;AM1212</f>
        <v>分類與偵測|34</v>
      </c>
    </row>
    <row r="1213" customFormat="false" ht="17.15" hidden="false" customHeight="false" outlineLevel="0" collapsed="false">
      <c r="A1213" s="16" t="n">
        <f aca="false">RANK(G1213,$G$2:$G$2501)+COUNTIF($G$2:G1213,G1213)-1</f>
        <v>1212</v>
      </c>
      <c r="B1213" s="11" t="s">
        <v>3046</v>
      </c>
      <c r="C1213" s="11" t="s">
        <v>989</v>
      </c>
      <c r="D1213" s="5" t="s">
        <v>56</v>
      </c>
      <c r="E1213" s="5" t="s">
        <v>57</v>
      </c>
      <c r="F1213" s="5"/>
      <c r="G1213" s="22" t="n">
        <f aca="false">ROUND(SUM(I1213:P1213),3)</f>
        <v>63.064</v>
      </c>
      <c r="H1213" s="5" t="str">
        <f aca="false">IF(G1213&gt;=評分方法!$C$16,"優先評估",IF(G1213&gt;=評分方法!$C$17,"列入候選",IF(G1213&gt;=評分方法!$C$18,"特定情境","不建議")))</f>
        <v>特定情境</v>
      </c>
      <c r="I1213" s="15" t="n">
        <f aca="false">AE1213*評分方法!$C$5</f>
        <v>25.5</v>
      </c>
      <c r="J1213" s="15" t="n">
        <f aca="false">AF1213*評分方法!$C$6</f>
        <v>0</v>
      </c>
      <c r="K1213" s="15" t="n">
        <f aca="false">AG1213*評分方法!$C$7</f>
        <v>10.05</v>
      </c>
      <c r="L1213" s="15" t="n">
        <f aca="false">AH1213*評分方法!$C$8</f>
        <v>13.05</v>
      </c>
      <c r="M1213" s="15" t="n">
        <f aca="false">AI1213*評分方法!$C$9</f>
        <v>6</v>
      </c>
      <c r="N1213" s="15" t="n">
        <f aca="false">AJ1213*評分方法!$C$10</f>
        <v>7.464</v>
      </c>
      <c r="O1213" s="15" t="n">
        <f aca="false">AK1213*評分方法!$C$11</f>
        <v>1</v>
      </c>
      <c r="P1213" s="15" t="n">
        <f aca="false">AL1213*評分方法!$C$12</f>
        <v>0</v>
      </c>
      <c r="Q1213" s="6" t="n">
        <v>1131824</v>
      </c>
      <c r="R1213" s="6" t="n">
        <v>1235814432</v>
      </c>
      <c r="S1213" s="11" t="s">
        <v>254</v>
      </c>
      <c r="T1213" s="11" t="s">
        <v>1044</v>
      </c>
      <c r="U1213" s="5" t="s">
        <v>260</v>
      </c>
      <c r="V1213" s="11" t="s">
        <v>333</v>
      </c>
      <c r="W1213" s="5" t="s">
        <v>207</v>
      </c>
      <c r="X1213" s="5" t="s">
        <v>242</v>
      </c>
      <c r="Y1213" s="11" t="s">
        <v>1309</v>
      </c>
      <c r="Z1213" s="11" t="s">
        <v>244</v>
      </c>
      <c r="AA1213" s="11" t="s">
        <v>155</v>
      </c>
      <c r="AB1213" s="5" t="s">
        <v>245</v>
      </c>
      <c r="AC1213" s="5" t="s">
        <v>464</v>
      </c>
      <c r="AD1213" s="11" t="s">
        <v>3047</v>
      </c>
      <c r="AE1213" s="23" t="n">
        <v>0.85</v>
      </c>
      <c r="AF1213" s="23" t="n">
        <v>0</v>
      </c>
      <c r="AG1213" s="23" t="n">
        <v>0.67</v>
      </c>
      <c r="AH1213" s="23" t="n">
        <v>0.87</v>
      </c>
      <c r="AI1213" s="23" t="n">
        <v>0.6</v>
      </c>
      <c r="AJ1213" s="23" t="n">
        <v>0.7464</v>
      </c>
      <c r="AK1213" s="23" t="n">
        <v>0.2</v>
      </c>
      <c r="AL1213" s="23" t="n">
        <v>0</v>
      </c>
      <c r="AM1213" s="16" t="n">
        <f aca="false">COUNTIFS($D$2:$D$2501,D1213,$G$2:$G$2501,"&gt;"&amp;G1213)+COUNTIFS($D$2:D1213,D1213,$G$2:G1213,G1213)</f>
        <v>544</v>
      </c>
      <c r="AN1213" s="5" t="str">
        <f aca="false">D1213&amp;"|"&amp;AM1213</f>
        <v>分析與報告生成|544</v>
      </c>
    </row>
    <row r="1214" customFormat="false" ht="17.15" hidden="false" customHeight="false" outlineLevel="0" collapsed="false">
      <c r="A1214" s="16" t="n">
        <f aca="false">RANK(G1214,$G$2:$G$2501)+COUNTIF($G$2:G1214,G1214)-1</f>
        <v>1213</v>
      </c>
      <c r="B1214" s="11" t="s">
        <v>3048</v>
      </c>
      <c r="C1214" s="11" t="s">
        <v>327</v>
      </c>
      <c r="D1214" s="5" t="s">
        <v>56</v>
      </c>
      <c r="E1214" s="5" t="s">
        <v>57</v>
      </c>
      <c r="F1214" s="5"/>
      <c r="G1214" s="22" t="n">
        <f aca="false">ROUND(SUM(I1214:P1214),3)</f>
        <v>63.062</v>
      </c>
      <c r="H1214" s="5" t="str">
        <f aca="false">IF(G1214&gt;=評分方法!$C$16,"優先評估",IF(G1214&gt;=評分方法!$C$17,"列入候選",IF(G1214&gt;=評分方法!$C$18,"特定情境","不建議")))</f>
        <v>特定情境</v>
      </c>
      <c r="I1214" s="15" t="n">
        <f aca="false">AE1214*評分方法!$C$5</f>
        <v>25.5</v>
      </c>
      <c r="J1214" s="15" t="n">
        <f aca="false">AF1214*評分方法!$C$6</f>
        <v>0</v>
      </c>
      <c r="K1214" s="15" t="n">
        <f aca="false">AG1214*評分方法!$C$7</f>
        <v>15</v>
      </c>
      <c r="L1214" s="15" t="n">
        <f aca="false">AH1214*評分方法!$C$8</f>
        <v>1.95</v>
      </c>
      <c r="M1214" s="15" t="n">
        <f aca="false">AI1214*評分方法!$C$9</f>
        <v>6</v>
      </c>
      <c r="N1214" s="15" t="n">
        <f aca="false">AJ1214*評分方法!$C$10</f>
        <v>7.612</v>
      </c>
      <c r="O1214" s="15" t="n">
        <f aca="false">AK1214*評分方法!$C$11</f>
        <v>4</v>
      </c>
      <c r="P1214" s="15" t="n">
        <f aca="false">AL1214*評分方法!$C$12</f>
        <v>3</v>
      </c>
      <c r="Q1214" s="6" t="n">
        <v>1216693</v>
      </c>
      <c r="R1214" s="6" t="n">
        <v>108641793536</v>
      </c>
      <c r="S1214" s="11" t="s">
        <v>1616</v>
      </c>
      <c r="T1214" s="11" t="s">
        <v>185</v>
      </c>
      <c r="U1214" s="5" t="s">
        <v>260</v>
      </c>
      <c r="V1214" s="11" t="s">
        <v>261</v>
      </c>
      <c r="W1214" s="5" t="s">
        <v>205</v>
      </c>
      <c r="X1214" s="5" t="s">
        <v>371</v>
      </c>
      <c r="Y1214" s="11" t="s">
        <v>3049</v>
      </c>
      <c r="Z1214" s="11" t="s">
        <v>244</v>
      </c>
      <c r="AA1214" s="11" t="s">
        <v>156</v>
      </c>
      <c r="AB1214" s="5" t="s">
        <v>496</v>
      </c>
      <c r="AC1214" s="5" t="s">
        <v>1108</v>
      </c>
      <c r="AD1214" s="11" t="s">
        <v>3050</v>
      </c>
      <c r="AE1214" s="23" t="n">
        <v>0.85</v>
      </c>
      <c r="AF1214" s="23" t="n">
        <v>0</v>
      </c>
      <c r="AG1214" s="23" t="n">
        <v>1</v>
      </c>
      <c r="AH1214" s="23" t="n">
        <v>0.13</v>
      </c>
      <c r="AI1214" s="23" t="n">
        <v>0.6</v>
      </c>
      <c r="AJ1214" s="23" t="n">
        <v>0.7612</v>
      </c>
      <c r="AK1214" s="23" t="n">
        <v>0.8</v>
      </c>
      <c r="AL1214" s="23" t="n">
        <v>0.6</v>
      </c>
      <c r="AM1214" s="16" t="n">
        <f aca="false">COUNTIFS($D$2:$D$2501,D1214,$G$2:$G$2501,"&gt;"&amp;G1214)+COUNTIFS($D$2:D1214,D1214,$G$2:G1214,G1214)</f>
        <v>545</v>
      </c>
      <c r="AN1214" s="5" t="str">
        <f aca="false">D1214&amp;"|"&amp;AM1214</f>
        <v>分析與報告生成|545</v>
      </c>
    </row>
    <row r="1215" customFormat="false" ht="17.15" hidden="false" customHeight="false" outlineLevel="0" collapsed="false">
      <c r="A1215" s="16" t="n">
        <f aca="false">RANK(G1215,$G$2:$G$2501)+COUNTIF($G$2:G1215,G1215)-1</f>
        <v>1214</v>
      </c>
      <c r="B1215" s="11" t="s">
        <v>3051</v>
      </c>
      <c r="C1215" s="11" t="s">
        <v>548</v>
      </c>
      <c r="D1215" s="5" t="s">
        <v>56</v>
      </c>
      <c r="E1215" s="5" t="s">
        <v>57</v>
      </c>
      <c r="F1215" s="5"/>
      <c r="G1215" s="22" t="n">
        <f aca="false">ROUND(SUM(I1215:P1215),3)</f>
        <v>63.052</v>
      </c>
      <c r="H1215" s="5" t="str">
        <f aca="false">IF(G1215&gt;=評分方法!$C$16,"優先評估",IF(G1215&gt;=評分方法!$C$17,"列入候選",IF(G1215&gt;=評分方法!$C$18,"特定情境","不建議")))</f>
        <v>特定情境</v>
      </c>
      <c r="I1215" s="15" t="n">
        <f aca="false">AE1215*評分方法!$C$5</f>
        <v>25.5</v>
      </c>
      <c r="J1215" s="15" t="n">
        <f aca="false">AF1215*評分方法!$C$6</f>
        <v>0</v>
      </c>
      <c r="K1215" s="15" t="n">
        <f aca="false">AG1215*評分方法!$C$7</f>
        <v>15</v>
      </c>
      <c r="L1215" s="15" t="n">
        <f aca="false">AH1215*評分方法!$C$8</f>
        <v>9</v>
      </c>
      <c r="M1215" s="15" t="n">
        <f aca="false">AI1215*評分方法!$C$9</f>
        <v>10</v>
      </c>
      <c r="N1215" s="15" t="n">
        <f aca="false">AJ1215*評分方法!$C$10</f>
        <v>2.552</v>
      </c>
      <c r="O1215" s="15" t="n">
        <f aca="false">AK1215*評分方法!$C$11</f>
        <v>1</v>
      </c>
      <c r="P1215" s="15" t="n">
        <f aca="false">AL1215*評分方法!$C$12</f>
        <v>0</v>
      </c>
      <c r="Q1215" s="6" t="n">
        <v>254793</v>
      </c>
      <c r="R1215" s="6" t="n">
        <v>11997067840</v>
      </c>
      <c r="S1215" s="11" t="s">
        <v>389</v>
      </c>
      <c r="T1215" s="11" t="s">
        <v>239</v>
      </c>
      <c r="U1215" s="5" t="s">
        <v>240</v>
      </c>
      <c r="V1215" s="11" t="s">
        <v>324</v>
      </c>
      <c r="W1215" s="5" t="s">
        <v>205</v>
      </c>
      <c r="X1215" s="5" t="s">
        <v>242</v>
      </c>
      <c r="Y1215" s="5"/>
      <c r="Z1215" s="5"/>
      <c r="AA1215" s="11" t="s">
        <v>155</v>
      </c>
      <c r="AB1215" s="5" t="s">
        <v>245</v>
      </c>
      <c r="AC1215" s="5"/>
      <c r="AD1215" s="11" t="s">
        <v>3052</v>
      </c>
      <c r="AE1215" s="23" t="n">
        <v>0.85</v>
      </c>
      <c r="AF1215" s="23" t="n">
        <v>0</v>
      </c>
      <c r="AG1215" s="23" t="n">
        <v>1</v>
      </c>
      <c r="AH1215" s="23" t="n">
        <v>0.6</v>
      </c>
      <c r="AI1215" s="23" t="n">
        <v>1</v>
      </c>
      <c r="AJ1215" s="23" t="n">
        <v>0.2552</v>
      </c>
      <c r="AK1215" s="23" t="n">
        <v>0.2</v>
      </c>
      <c r="AL1215" s="23" t="n">
        <v>0</v>
      </c>
      <c r="AM1215" s="16" t="n">
        <f aca="false">COUNTIFS($D$2:$D$2501,D1215,$G$2:$G$2501,"&gt;"&amp;G1215)+COUNTIFS($D$2:D1215,D1215,$G$2:G1215,G1215)</f>
        <v>546</v>
      </c>
      <c r="AN1215" s="5" t="str">
        <f aca="false">D1215&amp;"|"&amp;AM1215</f>
        <v>分析與報告生成|546</v>
      </c>
    </row>
    <row r="1216" customFormat="false" ht="17.15" hidden="false" customHeight="false" outlineLevel="0" collapsed="false">
      <c r="A1216" s="16" t="n">
        <f aca="false">RANK(G1216,$G$2:$G$2501)+COUNTIF($G$2:G1216,G1216)-1</f>
        <v>1215</v>
      </c>
      <c r="B1216" s="11" t="s">
        <v>3053</v>
      </c>
      <c r="C1216" s="11" t="s">
        <v>753</v>
      </c>
      <c r="D1216" s="5" t="s">
        <v>56</v>
      </c>
      <c r="E1216" s="5" t="s">
        <v>57</v>
      </c>
      <c r="F1216" s="5"/>
      <c r="G1216" s="22" t="n">
        <f aca="false">ROUND(SUM(I1216:P1216),3)</f>
        <v>63.032</v>
      </c>
      <c r="H1216" s="5" t="str">
        <f aca="false">IF(G1216&gt;=評分方法!$C$16,"優先評估",IF(G1216&gt;=評分方法!$C$17,"列入候選",IF(G1216&gt;=評分方法!$C$18,"特定情境","不建議")))</f>
        <v>特定情境</v>
      </c>
      <c r="I1216" s="15" t="n">
        <f aca="false">AE1216*評分方法!$C$5</f>
        <v>25.5</v>
      </c>
      <c r="J1216" s="15" t="n">
        <f aca="false">AF1216*評分方法!$C$6</f>
        <v>0</v>
      </c>
      <c r="K1216" s="15" t="n">
        <f aca="false">AG1216*評分方法!$C$7</f>
        <v>10.05</v>
      </c>
      <c r="L1216" s="15" t="n">
        <f aca="false">AH1216*評分方法!$C$8</f>
        <v>13.05</v>
      </c>
      <c r="M1216" s="15" t="n">
        <f aca="false">AI1216*評分方法!$C$9</f>
        <v>10</v>
      </c>
      <c r="N1216" s="15" t="n">
        <f aca="false">AJ1216*評分方法!$C$10</f>
        <v>3.432</v>
      </c>
      <c r="O1216" s="15" t="n">
        <f aca="false">AK1216*評分方法!$C$11</f>
        <v>1</v>
      </c>
      <c r="P1216" s="15" t="n">
        <f aca="false">AL1216*評分方法!$C$12</f>
        <v>0</v>
      </c>
      <c r="Q1216" s="6" t="n">
        <v>345251</v>
      </c>
      <c r="R1216" s="6" t="n">
        <v>1130479968</v>
      </c>
      <c r="S1216" s="11" t="s">
        <v>254</v>
      </c>
      <c r="T1216" s="11" t="s">
        <v>239</v>
      </c>
      <c r="U1216" s="5" t="s">
        <v>240</v>
      </c>
      <c r="V1216" s="11" t="s">
        <v>261</v>
      </c>
      <c r="W1216" s="5" t="s">
        <v>207</v>
      </c>
      <c r="X1216" s="5" t="s">
        <v>242</v>
      </c>
      <c r="Y1216" s="5"/>
      <c r="Z1216" s="5"/>
      <c r="AA1216" s="11" t="s">
        <v>155</v>
      </c>
      <c r="AB1216" s="5" t="s">
        <v>245</v>
      </c>
      <c r="AC1216" s="5"/>
      <c r="AD1216" s="11" t="s">
        <v>3054</v>
      </c>
      <c r="AE1216" s="23" t="n">
        <v>0.85</v>
      </c>
      <c r="AF1216" s="23" t="n">
        <v>0</v>
      </c>
      <c r="AG1216" s="23" t="n">
        <v>0.67</v>
      </c>
      <c r="AH1216" s="23" t="n">
        <v>0.87</v>
      </c>
      <c r="AI1216" s="23" t="n">
        <v>1</v>
      </c>
      <c r="AJ1216" s="23" t="n">
        <v>0.3432</v>
      </c>
      <c r="AK1216" s="23" t="n">
        <v>0.2</v>
      </c>
      <c r="AL1216" s="23" t="n">
        <v>0</v>
      </c>
      <c r="AM1216" s="16" t="n">
        <f aca="false">COUNTIFS($D$2:$D$2501,D1216,$G$2:$G$2501,"&gt;"&amp;G1216)+COUNTIFS($D$2:D1216,D1216,$G$2:G1216,G1216)</f>
        <v>547</v>
      </c>
      <c r="AN1216" s="5" t="str">
        <f aca="false">D1216&amp;"|"&amp;AM1216</f>
        <v>分析與報告生成|547</v>
      </c>
    </row>
    <row r="1217" customFormat="false" ht="17.15" hidden="false" customHeight="false" outlineLevel="0" collapsed="false">
      <c r="A1217" s="16" t="n">
        <f aca="false">RANK(G1217,$G$2:$G$2501)+COUNTIF($G$2:G1217,G1217)-1</f>
        <v>1216</v>
      </c>
      <c r="B1217" s="11" t="s">
        <v>3055</v>
      </c>
      <c r="C1217" s="11" t="s">
        <v>2261</v>
      </c>
      <c r="D1217" s="5" t="s">
        <v>54</v>
      </c>
      <c r="E1217" s="5" t="s">
        <v>55</v>
      </c>
      <c r="F1217" s="5"/>
      <c r="G1217" s="22" t="n">
        <f aca="false">ROUND(SUM(I1217:P1217),3)</f>
        <v>63.03</v>
      </c>
      <c r="H1217" s="5" t="str">
        <f aca="false">IF(G1217&gt;=評分方法!$C$16,"優先評估",IF(G1217&gt;=評分方法!$C$17,"列入候選",IF(G1217&gt;=評分方法!$C$18,"特定情境","不建議")))</f>
        <v>特定情境</v>
      </c>
      <c r="I1217" s="15" t="n">
        <f aca="false">AE1217*評分方法!$C$5</f>
        <v>27</v>
      </c>
      <c r="J1217" s="15" t="n">
        <f aca="false">AF1217*評分方法!$C$6</f>
        <v>0</v>
      </c>
      <c r="K1217" s="15" t="n">
        <f aca="false">AG1217*評分方法!$C$7</f>
        <v>10.05</v>
      </c>
      <c r="L1217" s="15" t="n">
        <f aca="false">AH1217*評分方法!$C$8</f>
        <v>15</v>
      </c>
      <c r="M1217" s="15" t="n">
        <f aca="false">AI1217*評分方法!$C$9</f>
        <v>2</v>
      </c>
      <c r="N1217" s="15" t="n">
        <f aca="false">AJ1217*評分方法!$C$10</f>
        <v>6.48</v>
      </c>
      <c r="O1217" s="15" t="n">
        <f aca="false">AK1217*評分方法!$C$11</f>
        <v>1</v>
      </c>
      <c r="P1217" s="15" t="n">
        <f aca="false">AL1217*評分方法!$C$12</f>
        <v>1.5</v>
      </c>
      <c r="Q1217" s="6" t="n">
        <v>747421</v>
      </c>
      <c r="R1217" s="6" t="n">
        <v>0</v>
      </c>
      <c r="S1217" s="11" t="s">
        <v>238</v>
      </c>
      <c r="T1217" s="5"/>
      <c r="U1217" s="5" t="s">
        <v>375</v>
      </c>
      <c r="V1217" s="11" t="s">
        <v>261</v>
      </c>
      <c r="W1217" s="5" t="s">
        <v>207</v>
      </c>
      <c r="X1217" s="5" t="s">
        <v>255</v>
      </c>
      <c r="Y1217" s="5"/>
      <c r="Z1217" s="5"/>
      <c r="AA1217" s="11" t="s">
        <v>153</v>
      </c>
      <c r="AB1217" s="5" t="s">
        <v>245</v>
      </c>
      <c r="AC1217" s="5" t="s">
        <v>262</v>
      </c>
      <c r="AD1217" s="11" t="s">
        <v>3056</v>
      </c>
      <c r="AE1217" s="23" t="n">
        <v>0.9</v>
      </c>
      <c r="AF1217" s="23" t="n">
        <v>0</v>
      </c>
      <c r="AG1217" s="23" t="n">
        <v>0.67</v>
      </c>
      <c r="AH1217" s="23" t="n">
        <v>1</v>
      </c>
      <c r="AI1217" s="23" t="n">
        <v>0.2</v>
      </c>
      <c r="AJ1217" s="23" t="n">
        <v>0.648</v>
      </c>
      <c r="AK1217" s="23" t="n">
        <v>0.2</v>
      </c>
      <c r="AL1217" s="23" t="n">
        <v>0.3</v>
      </c>
      <c r="AM1217" s="16" t="n">
        <f aca="false">COUNTIFS($D$2:$D$2501,D1217,$G$2:$G$2501,"&gt;"&amp;G1217)+COUNTIFS($D$2:D1217,D1217,$G$2:G1217,G1217)</f>
        <v>178</v>
      </c>
      <c r="AN1217" s="5" t="str">
        <f aca="false">D1217&amp;"|"&amp;AM1217</f>
        <v>檢索與情資關聯|178</v>
      </c>
    </row>
    <row r="1218" customFormat="false" ht="17.15" hidden="false" customHeight="false" outlineLevel="0" collapsed="false">
      <c r="A1218" s="16" t="n">
        <f aca="false">RANK(G1218,$G$2:$G$2501)+COUNTIF($G$2:G1218,G1218)-1</f>
        <v>1217</v>
      </c>
      <c r="B1218" s="11" t="s">
        <v>3057</v>
      </c>
      <c r="C1218" s="11" t="s">
        <v>3058</v>
      </c>
      <c r="D1218" s="5" t="s">
        <v>58</v>
      </c>
      <c r="E1218" s="5" t="s">
        <v>59</v>
      </c>
      <c r="F1218" s="5"/>
      <c r="G1218" s="22" t="n">
        <f aca="false">ROUND(SUM(I1218:P1218),3)</f>
        <v>63.018</v>
      </c>
      <c r="H1218" s="5" t="str">
        <f aca="false">IF(G1218&gt;=評分方法!$C$16,"優先評估",IF(G1218&gt;=評分方法!$C$17,"列入候選",IF(G1218&gt;=評分方法!$C$18,"特定情境","不建議")))</f>
        <v>特定情境</v>
      </c>
      <c r="I1218" s="15" t="n">
        <f aca="false">AE1218*評分方法!$C$5</f>
        <v>28.5</v>
      </c>
      <c r="J1218" s="15" t="n">
        <f aca="false">AF1218*評分方法!$C$6</f>
        <v>0</v>
      </c>
      <c r="K1218" s="15" t="n">
        <f aca="false">AG1218*評分方法!$C$7</f>
        <v>4.95</v>
      </c>
      <c r="L1218" s="15" t="n">
        <f aca="false">AH1218*評分方法!$C$8</f>
        <v>15</v>
      </c>
      <c r="M1218" s="15" t="n">
        <f aca="false">AI1218*評分方法!$C$9</f>
        <v>10</v>
      </c>
      <c r="N1218" s="15" t="n">
        <f aca="false">AJ1218*評分方法!$C$10</f>
        <v>2.068</v>
      </c>
      <c r="O1218" s="15" t="n">
        <f aca="false">AK1218*評分方法!$C$11</f>
        <v>1</v>
      </c>
      <c r="P1218" s="15" t="n">
        <f aca="false">AL1218*評分方法!$C$12</f>
        <v>1.5</v>
      </c>
      <c r="Q1218" s="6" t="n">
        <v>215475</v>
      </c>
      <c r="R1218" s="6" t="n">
        <v>558844421</v>
      </c>
      <c r="S1218" s="11" t="s">
        <v>238</v>
      </c>
      <c r="T1218" s="11" t="s">
        <v>239</v>
      </c>
      <c r="U1218" s="5" t="s">
        <v>240</v>
      </c>
      <c r="V1218" s="11" t="s">
        <v>324</v>
      </c>
      <c r="W1218" s="5" t="s">
        <v>334</v>
      </c>
      <c r="X1218" s="5" t="s">
        <v>255</v>
      </c>
      <c r="Y1218" s="5"/>
      <c r="Z1218" s="5"/>
      <c r="AA1218" s="11" t="s">
        <v>150</v>
      </c>
      <c r="AB1218" s="5" t="s">
        <v>245</v>
      </c>
      <c r="AC1218" s="5"/>
      <c r="AD1218" s="11" t="s">
        <v>3059</v>
      </c>
      <c r="AE1218" s="23" t="n">
        <v>0.95</v>
      </c>
      <c r="AF1218" s="23" t="n">
        <v>0</v>
      </c>
      <c r="AG1218" s="23" t="n">
        <v>0.33</v>
      </c>
      <c r="AH1218" s="23" t="n">
        <v>1</v>
      </c>
      <c r="AI1218" s="23" t="n">
        <v>1</v>
      </c>
      <c r="AJ1218" s="23" t="n">
        <v>0.2068</v>
      </c>
      <c r="AK1218" s="23" t="n">
        <v>0.2</v>
      </c>
      <c r="AL1218" s="23" t="n">
        <v>0.3</v>
      </c>
      <c r="AM1218" s="16" t="n">
        <f aca="false">COUNTIFS($D$2:$D$2501,D1218,$G$2:$G$2501,"&gt;"&amp;G1218)+COUNTIFS($D$2:D1218,D1218,$G$2:G1218,G1218)</f>
        <v>281</v>
      </c>
      <c r="AN1218" s="5" t="str">
        <f aca="false">D1218&amp;"|"&amp;AM1218</f>
        <v>實體擷取與去識別化|281</v>
      </c>
    </row>
    <row r="1219" customFormat="false" ht="17.15" hidden="false" customHeight="false" outlineLevel="0" collapsed="false">
      <c r="A1219" s="16" t="n">
        <f aca="false">RANK(G1219,$G$2:$G$2501)+COUNTIF($G$2:G1219,G1219)-1</f>
        <v>1218</v>
      </c>
      <c r="B1219" s="11" t="s">
        <v>3060</v>
      </c>
      <c r="C1219" s="11" t="s">
        <v>681</v>
      </c>
      <c r="D1219" s="5" t="s">
        <v>78</v>
      </c>
      <c r="E1219" s="5" t="s">
        <v>79</v>
      </c>
      <c r="F1219" s="5"/>
      <c r="G1219" s="22" t="n">
        <f aca="false">ROUND(SUM(I1219:P1219),3)</f>
        <v>63.012</v>
      </c>
      <c r="H1219" s="5" t="str">
        <f aca="false">IF(G1219&gt;=評分方法!$C$16,"優先評估",IF(G1219&gt;=評分方法!$C$17,"列入候選",IF(G1219&gt;=評分方法!$C$18,"特定情境","不建議")))</f>
        <v>特定情境</v>
      </c>
      <c r="I1219" s="15" t="n">
        <f aca="false">AE1219*評分方法!$C$5</f>
        <v>10.5</v>
      </c>
      <c r="J1219" s="15" t="n">
        <f aca="false">AF1219*評分方法!$C$6</f>
        <v>0</v>
      </c>
      <c r="K1219" s="15" t="n">
        <f aca="false">AG1219*評分方法!$C$7</f>
        <v>15</v>
      </c>
      <c r="L1219" s="15" t="n">
        <f aca="false">AH1219*評分方法!$C$8</f>
        <v>15</v>
      </c>
      <c r="M1219" s="15" t="n">
        <f aca="false">AI1219*評分方法!$C$9</f>
        <v>10</v>
      </c>
      <c r="N1219" s="15" t="n">
        <f aca="false">AJ1219*評分方法!$C$10</f>
        <v>8.512</v>
      </c>
      <c r="O1219" s="15" t="n">
        <f aca="false">AK1219*評分方法!$C$11</f>
        <v>2.5</v>
      </c>
      <c r="P1219" s="15" t="n">
        <f aca="false">AL1219*評分方法!$C$12</f>
        <v>1.5</v>
      </c>
      <c r="Q1219" s="6" t="n">
        <v>2300106</v>
      </c>
      <c r="R1219" s="6" t="n">
        <v>103859112</v>
      </c>
      <c r="S1219" s="11" t="s">
        <v>238</v>
      </c>
      <c r="T1219" s="11" t="s">
        <v>1636</v>
      </c>
      <c r="U1219" s="5" t="s">
        <v>240</v>
      </c>
      <c r="V1219" s="11" t="s">
        <v>324</v>
      </c>
      <c r="W1219" s="5" t="s">
        <v>205</v>
      </c>
      <c r="X1219" s="5" t="s">
        <v>255</v>
      </c>
      <c r="Y1219" s="5"/>
      <c r="Z1219" s="5"/>
      <c r="AA1219" s="11" t="s">
        <v>174</v>
      </c>
      <c r="AB1219" s="5" t="s">
        <v>245</v>
      </c>
      <c r="AC1219" s="5"/>
      <c r="AD1219" s="11" t="s">
        <v>3061</v>
      </c>
      <c r="AE1219" s="23" t="n">
        <v>0.35</v>
      </c>
      <c r="AF1219" s="23" t="n">
        <v>0</v>
      </c>
      <c r="AG1219" s="23" t="n">
        <v>1</v>
      </c>
      <c r="AH1219" s="23" t="n">
        <v>1</v>
      </c>
      <c r="AI1219" s="23" t="n">
        <v>1</v>
      </c>
      <c r="AJ1219" s="23" t="n">
        <v>0.8512</v>
      </c>
      <c r="AK1219" s="23" t="n">
        <v>0.5</v>
      </c>
      <c r="AL1219" s="23" t="n">
        <v>0.3</v>
      </c>
      <c r="AM1219" s="16" t="n">
        <f aca="false">COUNTIFS($D$2:$D$2501,D1219,$G$2:$G$2501,"&gt;"&amp;G1219)+COUNTIFS($D$2:D1219,D1219,$G$2:G1219,G1219)</f>
        <v>14</v>
      </c>
      <c r="AN1219" s="5" t="str">
        <f aca="false">D1219&amp;"|"&amp;AM1219</f>
        <v>語音分析|14</v>
      </c>
    </row>
    <row r="1220" customFormat="false" ht="17.15" hidden="false" customHeight="false" outlineLevel="0" collapsed="false">
      <c r="A1220" s="16" t="n">
        <f aca="false">RANK(G1220,$G$2:$G$2501)+COUNTIF($G$2:G1220,G1220)-1</f>
        <v>1219</v>
      </c>
      <c r="B1220" s="11" t="s">
        <v>3062</v>
      </c>
      <c r="C1220" s="11" t="s">
        <v>737</v>
      </c>
      <c r="D1220" s="5" t="s">
        <v>56</v>
      </c>
      <c r="E1220" s="5" t="s">
        <v>57</v>
      </c>
      <c r="F1220" s="5"/>
      <c r="G1220" s="22" t="n">
        <f aca="false">ROUND(SUM(I1220:P1220),3)</f>
        <v>62.99</v>
      </c>
      <c r="H1220" s="5" t="str">
        <f aca="false">IF(G1220&gt;=評分方法!$C$16,"優先評估",IF(G1220&gt;=評分方法!$C$17,"列入候選",IF(G1220&gt;=評分方法!$C$18,"特定情境","不建議")))</f>
        <v>特定情境</v>
      </c>
      <c r="I1220" s="15" t="n">
        <f aca="false">AE1220*評分方法!$C$5</f>
        <v>25.5</v>
      </c>
      <c r="J1220" s="15" t="n">
        <f aca="false">AF1220*評分方法!$C$6</f>
        <v>0</v>
      </c>
      <c r="K1220" s="15" t="n">
        <f aca="false">AG1220*評分方法!$C$7</f>
        <v>15</v>
      </c>
      <c r="L1220" s="15" t="n">
        <f aca="false">AH1220*評分方法!$C$8</f>
        <v>1.95</v>
      </c>
      <c r="M1220" s="15" t="n">
        <f aca="false">AI1220*評分方法!$C$9</f>
        <v>10</v>
      </c>
      <c r="N1220" s="15" t="n">
        <f aca="false">AJ1220*評分方法!$C$10</f>
        <v>0.54</v>
      </c>
      <c r="O1220" s="15" t="n">
        <f aca="false">AK1220*評分方法!$C$11</f>
        <v>5</v>
      </c>
      <c r="P1220" s="15" t="n">
        <f aca="false">AL1220*評分方法!$C$12</f>
        <v>5</v>
      </c>
      <c r="Q1220" s="6" t="n">
        <v>133934</v>
      </c>
      <c r="R1220" s="6" t="n">
        <v>218750546160</v>
      </c>
      <c r="S1220" s="11" t="s">
        <v>1616</v>
      </c>
      <c r="T1220" s="11" t="s">
        <v>239</v>
      </c>
      <c r="U1220" s="5" t="s">
        <v>240</v>
      </c>
      <c r="V1220" s="11" t="s">
        <v>261</v>
      </c>
      <c r="W1220" s="5" t="s">
        <v>205</v>
      </c>
      <c r="X1220" s="5" t="s">
        <v>284</v>
      </c>
      <c r="Y1220" s="11" t="s">
        <v>2695</v>
      </c>
      <c r="Z1220" s="11" t="s">
        <v>244</v>
      </c>
      <c r="AA1220" s="11" t="s">
        <v>156</v>
      </c>
      <c r="AB1220" s="5" t="s">
        <v>245</v>
      </c>
      <c r="AC1220" s="5" t="s">
        <v>246</v>
      </c>
      <c r="AD1220" s="11" t="s">
        <v>3063</v>
      </c>
      <c r="AE1220" s="23" t="n">
        <v>0.85</v>
      </c>
      <c r="AF1220" s="23" t="n">
        <v>0</v>
      </c>
      <c r="AG1220" s="23" t="n">
        <v>1</v>
      </c>
      <c r="AH1220" s="23" t="n">
        <v>0.13</v>
      </c>
      <c r="AI1220" s="23" t="n">
        <v>1</v>
      </c>
      <c r="AJ1220" s="23" t="n">
        <v>0.054</v>
      </c>
      <c r="AK1220" s="23" t="n">
        <v>1</v>
      </c>
      <c r="AL1220" s="23" t="n">
        <v>1</v>
      </c>
      <c r="AM1220" s="16" t="n">
        <f aca="false">COUNTIFS($D$2:$D$2501,D1220,$G$2:$G$2501,"&gt;"&amp;G1220)+COUNTIFS($D$2:D1220,D1220,$G$2:G1220,G1220)</f>
        <v>548</v>
      </c>
      <c r="AN1220" s="5" t="str">
        <f aca="false">D1220&amp;"|"&amp;AM1220</f>
        <v>分析與報告生成|548</v>
      </c>
    </row>
    <row r="1221" customFormat="false" ht="17.15" hidden="false" customHeight="false" outlineLevel="0" collapsed="false">
      <c r="A1221" s="16" t="n">
        <f aca="false">RANK(G1221,$G$2:$G$2501)+COUNTIF($G$2:G1221,G1221)-1</f>
        <v>1220</v>
      </c>
      <c r="B1221" s="11" t="s">
        <v>2742</v>
      </c>
      <c r="C1221" s="11" t="s">
        <v>258</v>
      </c>
      <c r="D1221" s="5" t="s">
        <v>56</v>
      </c>
      <c r="E1221" s="5" t="s">
        <v>57</v>
      </c>
      <c r="F1221" s="5"/>
      <c r="G1221" s="22" t="n">
        <f aca="false">ROUND(SUM(I1221:P1221),3)</f>
        <v>62.974</v>
      </c>
      <c r="H1221" s="5" t="str">
        <f aca="false">IF(G1221&gt;=評分方法!$C$16,"優先評估",IF(G1221&gt;=評分方法!$C$17,"列入候選",IF(G1221&gt;=評分方法!$C$18,"特定情境","不建議")))</f>
        <v>特定情境</v>
      </c>
      <c r="I1221" s="15" t="n">
        <f aca="false">AE1221*評分方法!$C$5</f>
        <v>25.5</v>
      </c>
      <c r="J1221" s="15" t="n">
        <f aca="false">AF1221*評分方法!$C$6</f>
        <v>0</v>
      </c>
      <c r="K1221" s="15" t="n">
        <f aca="false">AG1221*評分方法!$C$7</f>
        <v>15</v>
      </c>
      <c r="L1221" s="15" t="n">
        <f aca="false">AH1221*評分方法!$C$8</f>
        <v>4.95</v>
      </c>
      <c r="M1221" s="15" t="n">
        <f aca="false">AI1221*評分方法!$C$9</f>
        <v>6</v>
      </c>
      <c r="N1221" s="15" t="n">
        <f aca="false">AJ1221*評分方法!$C$10</f>
        <v>9.024</v>
      </c>
      <c r="O1221" s="15" t="n">
        <f aca="false">AK1221*評分方法!$C$11</f>
        <v>2.5</v>
      </c>
      <c r="P1221" s="15" t="n">
        <f aca="false">AL1221*評分方法!$C$12</f>
        <v>0</v>
      </c>
      <c r="Q1221" s="6" t="n">
        <v>3988690</v>
      </c>
      <c r="R1221" s="6" t="n">
        <v>70553706496</v>
      </c>
      <c r="S1221" s="11" t="s">
        <v>1876</v>
      </c>
      <c r="T1221" s="11" t="s">
        <v>2741</v>
      </c>
      <c r="U1221" s="5" t="s">
        <v>260</v>
      </c>
      <c r="V1221" s="11" t="s">
        <v>324</v>
      </c>
      <c r="W1221" s="5" t="s">
        <v>205</v>
      </c>
      <c r="X1221" s="5" t="s">
        <v>242</v>
      </c>
      <c r="Y1221" s="11" t="s">
        <v>3064</v>
      </c>
      <c r="Z1221" s="11" t="s">
        <v>270</v>
      </c>
      <c r="AA1221" s="11" t="s">
        <v>155</v>
      </c>
      <c r="AB1221" s="5" t="s">
        <v>245</v>
      </c>
      <c r="AC1221" s="5" t="s">
        <v>262</v>
      </c>
      <c r="AD1221" s="11" t="s">
        <v>3065</v>
      </c>
      <c r="AE1221" s="23" t="n">
        <v>0.85</v>
      </c>
      <c r="AF1221" s="23" t="n">
        <v>0</v>
      </c>
      <c r="AG1221" s="23" t="n">
        <v>1</v>
      </c>
      <c r="AH1221" s="23" t="n">
        <v>0.33</v>
      </c>
      <c r="AI1221" s="23" t="n">
        <v>0.6</v>
      </c>
      <c r="AJ1221" s="23" t="n">
        <v>0.9024</v>
      </c>
      <c r="AK1221" s="23" t="n">
        <v>0.5</v>
      </c>
      <c r="AL1221" s="23" t="n">
        <v>0</v>
      </c>
      <c r="AM1221" s="16" t="n">
        <f aca="false">COUNTIFS($D$2:$D$2501,D1221,$G$2:$G$2501,"&gt;"&amp;G1221)+COUNTIFS($D$2:D1221,D1221,$G$2:G1221,G1221)</f>
        <v>549</v>
      </c>
      <c r="AN1221" s="5" t="str">
        <f aca="false">D1221&amp;"|"&amp;AM1221</f>
        <v>分析與報告生成|549</v>
      </c>
    </row>
    <row r="1222" customFormat="false" ht="17.15" hidden="false" customHeight="false" outlineLevel="0" collapsed="false">
      <c r="A1222" s="16" t="n">
        <f aca="false">RANK(G1222,$G$2:$G$2501)+COUNTIF($G$2:G1222,G1222)-1</f>
        <v>1221</v>
      </c>
      <c r="B1222" s="11" t="s">
        <v>3066</v>
      </c>
      <c r="C1222" s="11" t="s">
        <v>368</v>
      </c>
      <c r="D1222" s="5" t="s">
        <v>74</v>
      </c>
      <c r="E1222" s="5" t="s">
        <v>75</v>
      </c>
      <c r="F1222" s="5"/>
      <c r="G1222" s="22" t="n">
        <f aca="false">ROUND(SUM(I1222:P1222),3)</f>
        <v>62.958</v>
      </c>
      <c r="H1222" s="5" t="str">
        <f aca="false">IF(G1222&gt;=評分方法!$C$16,"優先評估",IF(G1222&gt;=評分方法!$C$17,"列入候選",IF(G1222&gt;=評分方法!$C$18,"特定情境","不建議")))</f>
        <v>特定情境</v>
      </c>
      <c r="I1222" s="15" t="n">
        <f aca="false">AE1222*評分方法!$C$5</f>
        <v>12</v>
      </c>
      <c r="J1222" s="15" t="n">
        <f aca="false">AF1222*評分方法!$C$6</f>
        <v>0</v>
      </c>
      <c r="K1222" s="15" t="n">
        <f aca="false">AG1222*評分方法!$C$7</f>
        <v>15</v>
      </c>
      <c r="L1222" s="15" t="n">
        <f aca="false">AH1222*評分方法!$C$8</f>
        <v>13.05</v>
      </c>
      <c r="M1222" s="15" t="n">
        <f aca="false">AI1222*評分方法!$C$9</f>
        <v>10</v>
      </c>
      <c r="N1222" s="15" t="n">
        <f aca="false">AJ1222*評分方法!$C$10</f>
        <v>8.908</v>
      </c>
      <c r="O1222" s="15" t="n">
        <f aca="false">AK1222*評分方法!$C$11</f>
        <v>2.5</v>
      </c>
      <c r="P1222" s="15" t="n">
        <f aca="false">AL1222*評分方法!$C$12</f>
        <v>1.5</v>
      </c>
      <c r="Q1222" s="6" t="n">
        <v>3461292</v>
      </c>
      <c r="R1222" s="6" t="n">
        <v>1135670962</v>
      </c>
      <c r="S1222" s="11" t="s">
        <v>254</v>
      </c>
      <c r="T1222" s="11" t="s">
        <v>239</v>
      </c>
      <c r="U1222" s="5" t="s">
        <v>240</v>
      </c>
      <c r="V1222" s="11" t="s">
        <v>261</v>
      </c>
      <c r="W1222" s="5" t="s">
        <v>205</v>
      </c>
      <c r="X1222" s="5" t="s">
        <v>255</v>
      </c>
      <c r="Y1222" s="5"/>
      <c r="Z1222" s="5"/>
      <c r="AA1222" s="11" t="s">
        <v>167</v>
      </c>
      <c r="AB1222" s="5" t="s">
        <v>245</v>
      </c>
      <c r="AC1222" s="5"/>
      <c r="AD1222" s="11" t="s">
        <v>3067</v>
      </c>
      <c r="AE1222" s="23" t="n">
        <v>0.4</v>
      </c>
      <c r="AF1222" s="23" t="n">
        <v>0</v>
      </c>
      <c r="AG1222" s="23" t="n">
        <v>1</v>
      </c>
      <c r="AH1222" s="23" t="n">
        <v>0.87</v>
      </c>
      <c r="AI1222" s="23" t="n">
        <v>1</v>
      </c>
      <c r="AJ1222" s="23" t="n">
        <v>0.8908</v>
      </c>
      <c r="AK1222" s="23" t="n">
        <v>0.5</v>
      </c>
      <c r="AL1222" s="23" t="n">
        <v>0.3</v>
      </c>
      <c r="AM1222" s="16" t="n">
        <f aca="false">COUNTIFS($D$2:$D$2501,D1222,$G$2:$G$2501,"&gt;"&amp;G1222)+COUNTIFS($D$2:D1222,D1222,$G$2:G1222,G1222)</f>
        <v>41</v>
      </c>
      <c r="AN1222" s="5" t="str">
        <f aca="false">D1222&amp;"|"&amp;AM1222</f>
        <v>文件與影像辨識|41</v>
      </c>
    </row>
    <row r="1223" customFormat="false" ht="17.15" hidden="false" customHeight="false" outlineLevel="0" collapsed="false">
      <c r="A1223" s="16" t="n">
        <f aca="false">RANK(G1223,$G$2:$G$2501)+COUNTIF($G$2:G1223,G1223)-1</f>
        <v>1222</v>
      </c>
      <c r="B1223" s="11" t="s">
        <v>3068</v>
      </c>
      <c r="C1223" s="11" t="s">
        <v>753</v>
      </c>
      <c r="D1223" s="5" t="s">
        <v>56</v>
      </c>
      <c r="E1223" s="5" t="s">
        <v>57</v>
      </c>
      <c r="F1223" s="5"/>
      <c r="G1223" s="22" t="n">
        <f aca="false">ROUND(SUM(I1223:P1223),3)</f>
        <v>62.948</v>
      </c>
      <c r="H1223" s="5" t="str">
        <f aca="false">IF(G1223&gt;=評分方法!$C$16,"優先評估",IF(G1223&gt;=評分方法!$C$17,"列入候選",IF(G1223&gt;=評分方法!$C$18,"特定情境","不建議")))</f>
        <v>特定情境</v>
      </c>
      <c r="I1223" s="15" t="n">
        <f aca="false">AE1223*評分方法!$C$5</f>
        <v>25.5</v>
      </c>
      <c r="J1223" s="15" t="n">
        <f aca="false">AF1223*評分方法!$C$6</f>
        <v>0</v>
      </c>
      <c r="K1223" s="15" t="n">
        <f aca="false">AG1223*評分方法!$C$7</f>
        <v>10.05</v>
      </c>
      <c r="L1223" s="15" t="n">
        <f aca="false">AH1223*評分方法!$C$8</f>
        <v>13.05</v>
      </c>
      <c r="M1223" s="15" t="n">
        <f aca="false">AI1223*評分方法!$C$9</f>
        <v>6</v>
      </c>
      <c r="N1223" s="15" t="n">
        <f aca="false">AJ1223*評分方法!$C$10</f>
        <v>5.848</v>
      </c>
      <c r="O1223" s="15" t="n">
        <f aca="false">AK1223*評分方法!$C$11</f>
        <v>2.5</v>
      </c>
      <c r="P1223" s="15" t="n">
        <f aca="false">AL1223*評分方法!$C$12</f>
        <v>0</v>
      </c>
      <c r="Q1223" s="6" t="n">
        <v>601936</v>
      </c>
      <c r="R1223" s="6" t="n">
        <v>1235814400</v>
      </c>
      <c r="S1223" s="11" t="s">
        <v>254</v>
      </c>
      <c r="T1223" s="11" t="s">
        <v>1044</v>
      </c>
      <c r="U1223" s="5" t="s">
        <v>260</v>
      </c>
      <c r="V1223" s="11" t="s">
        <v>261</v>
      </c>
      <c r="W1223" s="5" t="s">
        <v>207</v>
      </c>
      <c r="X1223" s="5" t="s">
        <v>242</v>
      </c>
      <c r="Y1223" s="11" t="s">
        <v>1357</v>
      </c>
      <c r="Z1223" s="11" t="s">
        <v>270</v>
      </c>
      <c r="AA1223" s="11" t="s">
        <v>155</v>
      </c>
      <c r="AB1223" s="5" t="s">
        <v>245</v>
      </c>
      <c r="AC1223" s="5" t="s">
        <v>262</v>
      </c>
      <c r="AD1223" s="11" t="s">
        <v>3069</v>
      </c>
      <c r="AE1223" s="23" t="n">
        <v>0.85</v>
      </c>
      <c r="AF1223" s="23" t="n">
        <v>0</v>
      </c>
      <c r="AG1223" s="23" t="n">
        <v>0.67</v>
      </c>
      <c r="AH1223" s="23" t="n">
        <v>0.87</v>
      </c>
      <c r="AI1223" s="23" t="n">
        <v>0.6</v>
      </c>
      <c r="AJ1223" s="23" t="n">
        <v>0.5848</v>
      </c>
      <c r="AK1223" s="23" t="n">
        <v>0.5</v>
      </c>
      <c r="AL1223" s="23" t="n">
        <v>0</v>
      </c>
      <c r="AM1223" s="16" t="n">
        <f aca="false">COUNTIFS($D$2:$D$2501,D1223,$G$2:$G$2501,"&gt;"&amp;G1223)+COUNTIFS($D$2:D1223,D1223,$G$2:G1223,G1223)</f>
        <v>550</v>
      </c>
      <c r="AN1223" s="5" t="str">
        <f aca="false">D1223&amp;"|"&amp;AM1223</f>
        <v>分析與報告生成|550</v>
      </c>
    </row>
    <row r="1224" customFormat="false" ht="17.15" hidden="false" customHeight="false" outlineLevel="0" collapsed="false">
      <c r="A1224" s="16" t="n">
        <f aca="false">RANK(G1224,$G$2:$G$2501)+COUNTIF($G$2:G1224,G1224)-1</f>
        <v>1223</v>
      </c>
      <c r="B1224" s="11" t="s">
        <v>3070</v>
      </c>
      <c r="C1224" s="11" t="s">
        <v>1438</v>
      </c>
      <c r="D1224" s="5" t="s">
        <v>56</v>
      </c>
      <c r="E1224" s="5" t="s">
        <v>57</v>
      </c>
      <c r="F1224" s="5"/>
      <c r="G1224" s="22" t="n">
        <f aca="false">ROUND(SUM(I1224:P1224),3)</f>
        <v>62.936</v>
      </c>
      <c r="H1224" s="5" t="str">
        <f aca="false">IF(G1224&gt;=評分方法!$C$16,"優先評估",IF(G1224&gt;=評分方法!$C$17,"列入候選",IF(G1224&gt;=評分方法!$C$18,"特定情境","不建議")))</f>
        <v>特定情境</v>
      </c>
      <c r="I1224" s="15" t="n">
        <f aca="false">AE1224*評分方法!$C$5</f>
        <v>25.5</v>
      </c>
      <c r="J1224" s="15" t="n">
        <f aca="false">AF1224*評分方法!$C$6</f>
        <v>0</v>
      </c>
      <c r="K1224" s="15" t="n">
        <f aca="false">AG1224*評分方法!$C$7</f>
        <v>10.05</v>
      </c>
      <c r="L1224" s="15" t="n">
        <f aca="false">AH1224*評分方法!$C$8</f>
        <v>13.05</v>
      </c>
      <c r="M1224" s="15" t="n">
        <f aca="false">AI1224*評分方法!$C$9</f>
        <v>2</v>
      </c>
      <c r="N1224" s="15" t="n">
        <f aca="false">AJ1224*評分方法!$C$10</f>
        <v>6.836</v>
      </c>
      <c r="O1224" s="15" t="n">
        <f aca="false">AK1224*評分方法!$C$11</f>
        <v>2.5</v>
      </c>
      <c r="P1224" s="15" t="n">
        <f aca="false">AL1224*評分方法!$C$12</f>
        <v>3</v>
      </c>
      <c r="Q1224" s="6" t="n">
        <v>850361</v>
      </c>
      <c r="R1224" s="6" t="n">
        <v>3880099328</v>
      </c>
      <c r="S1224" s="11" t="s">
        <v>254</v>
      </c>
      <c r="T1224" s="5"/>
      <c r="U1224" s="5" t="s">
        <v>375</v>
      </c>
      <c r="V1224" s="11" t="s">
        <v>333</v>
      </c>
      <c r="W1224" s="5" t="s">
        <v>207</v>
      </c>
      <c r="X1224" s="5" t="s">
        <v>371</v>
      </c>
      <c r="Y1224" s="11" t="s">
        <v>868</v>
      </c>
      <c r="Z1224" s="11" t="s">
        <v>244</v>
      </c>
      <c r="AA1224" s="11" t="s">
        <v>155</v>
      </c>
      <c r="AB1224" s="5" t="s">
        <v>245</v>
      </c>
      <c r="AC1224" s="5" t="s">
        <v>464</v>
      </c>
      <c r="AD1224" s="11" t="s">
        <v>3071</v>
      </c>
      <c r="AE1224" s="23" t="n">
        <v>0.85</v>
      </c>
      <c r="AF1224" s="23" t="n">
        <v>0</v>
      </c>
      <c r="AG1224" s="23" t="n">
        <v>0.67</v>
      </c>
      <c r="AH1224" s="23" t="n">
        <v>0.87</v>
      </c>
      <c r="AI1224" s="23" t="n">
        <v>0.2</v>
      </c>
      <c r="AJ1224" s="23" t="n">
        <v>0.6836</v>
      </c>
      <c r="AK1224" s="23" t="n">
        <v>0.5</v>
      </c>
      <c r="AL1224" s="23" t="n">
        <v>0.6</v>
      </c>
      <c r="AM1224" s="16" t="n">
        <f aca="false">COUNTIFS($D$2:$D$2501,D1224,$G$2:$G$2501,"&gt;"&amp;G1224)+COUNTIFS($D$2:D1224,D1224,$G$2:G1224,G1224)</f>
        <v>551</v>
      </c>
      <c r="AN1224" s="5" t="str">
        <f aca="false">D1224&amp;"|"&amp;AM1224</f>
        <v>分析與報告生成|551</v>
      </c>
    </row>
    <row r="1225" customFormat="false" ht="17.15" hidden="false" customHeight="false" outlineLevel="0" collapsed="false">
      <c r="A1225" s="16" t="n">
        <f aca="false">RANK(G1225,$G$2:$G$2501)+COUNTIF($G$2:G1225,G1225)-1</f>
        <v>1224</v>
      </c>
      <c r="B1225" s="11" t="s">
        <v>3072</v>
      </c>
      <c r="C1225" s="11" t="s">
        <v>3073</v>
      </c>
      <c r="D1225" s="5" t="s">
        <v>58</v>
      </c>
      <c r="E1225" s="5" t="s">
        <v>59</v>
      </c>
      <c r="F1225" s="5"/>
      <c r="G1225" s="22" t="n">
        <f aca="false">ROUND(SUM(I1225:P1225),3)</f>
        <v>62.934</v>
      </c>
      <c r="H1225" s="5" t="str">
        <f aca="false">IF(G1225&gt;=評分方法!$C$16,"優先評估",IF(G1225&gt;=評分方法!$C$17,"列入候選",IF(G1225&gt;=評分方法!$C$18,"特定情境","不建議")))</f>
        <v>特定情境</v>
      </c>
      <c r="I1225" s="15" t="n">
        <f aca="false">AE1225*評分方法!$C$5</f>
        <v>28.5</v>
      </c>
      <c r="J1225" s="15" t="n">
        <f aca="false">AF1225*評分方法!$C$6</f>
        <v>0</v>
      </c>
      <c r="K1225" s="15" t="n">
        <f aca="false">AG1225*評分方法!$C$7</f>
        <v>4.95</v>
      </c>
      <c r="L1225" s="15" t="n">
        <f aca="false">AH1225*評分方法!$C$8</f>
        <v>15</v>
      </c>
      <c r="M1225" s="15" t="n">
        <f aca="false">AI1225*評分方法!$C$9</f>
        <v>10</v>
      </c>
      <c r="N1225" s="15" t="n">
        <f aca="false">AJ1225*評分方法!$C$10</f>
        <v>3.484</v>
      </c>
      <c r="O1225" s="15" t="n">
        <f aca="false">AK1225*評分方法!$C$11</f>
        <v>1</v>
      </c>
      <c r="P1225" s="15" t="n">
        <f aca="false">AL1225*評分方法!$C$12</f>
        <v>0</v>
      </c>
      <c r="Q1225" s="6" t="n">
        <v>350637</v>
      </c>
      <c r="R1225" s="6" t="n">
        <v>354315783</v>
      </c>
      <c r="S1225" s="11" t="s">
        <v>238</v>
      </c>
      <c r="T1225" s="11" t="s">
        <v>278</v>
      </c>
      <c r="U1225" s="5" t="s">
        <v>240</v>
      </c>
      <c r="V1225" s="11" t="s">
        <v>283</v>
      </c>
      <c r="W1225" s="5" t="s">
        <v>334</v>
      </c>
      <c r="X1225" s="5" t="s">
        <v>242</v>
      </c>
      <c r="Y1225" s="5"/>
      <c r="Z1225" s="5"/>
      <c r="AA1225" s="11" t="s">
        <v>150</v>
      </c>
      <c r="AB1225" s="5" t="s">
        <v>245</v>
      </c>
      <c r="AC1225" s="5"/>
      <c r="AD1225" s="11" t="s">
        <v>3074</v>
      </c>
      <c r="AE1225" s="23" t="n">
        <v>0.95</v>
      </c>
      <c r="AF1225" s="23" t="n">
        <v>0</v>
      </c>
      <c r="AG1225" s="23" t="n">
        <v>0.33</v>
      </c>
      <c r="AH1225" s="23" t="n">
        <v>1</v>
      </c>
      <c r="AI1225" s="23" t="n">
        <v>1</v>
      </c>
      <c r="AJ1225" s="23" t="n">
        <v>0.3484</v>
      </c>
      <c r="AK1225" s="23" t="n">
        <v>0.2</v>
      </c>
      <c r="AL1225" s="23" t="n">
        <v>0</v>
      </c>
      <c r="AM1225" s="16" t="n">
        <f aca="false">COUNTIFS($D$2:$D$2501,D1225,$G$2:$G$2501,"&gt;"&amp;G1225)+COUNTIFS($D$2:D1225,D1225,$G$2:G1225,G1225)</f>
        <v>282</v>
      </c>
      <c r="AN1225" s="5" t="str">
        <f aca="false">D1225&amp;"|"&amp;AM1225</f>
        <v>實體擷取與去識別化|282</v>
      </c>
    </row>
    <row r="1226" customFormat="false" ht="17.15" hidden="false" customHeight="false" outlineLevel="0" collapsed="false">
      <c r="A1226" s="16" t="n">
        <f aca="false">RANK(G1226,$G$2:$G$2501)+COUNTIF($G$2:G1226,G1226)-1</f>
        <v>1225</v>
      </c>
      <c r="B1226" s="11" t="s">
        <v>3075</v>
      </c>
      <c r="C1226" s="11" t="s">
        <v>3076</v>
      </c>
      <c r="D1226" s="5" t="s">
        <v>50</v>
      </c>
      <c r="E1226" s="5" t="s">
        <v>51</v>
      </c>
      <c r="F1226" s="5" t="s">
        <v>50</v>
      </c>
      <c r="G1226" s="22" t="n">
        <f aca="false">ROUND(SUM(I1226:P1226),3)</f>
        <v>62.922</v>
      </c>
      <c r="H1226" s="5" t="str">
        <f aca="false">IF(G1226&gt;=評分方法!$C$16,"優先評估",IF(G1226&gt;=評分方法!$C$17,"列入候選",IF(G1226&gt;=評分方法!$C$18,"特定情境","不建議")))</f>
        <v>特定情境</v>
      </c>
      <c r="I1226" s="15" t="n">
        <f aca="false">AE1226*評分方法!$C$5</f>
        <v>15</v>
      </c>
      <c r="J1226" s="15" t="n">
        <f aca="false">AF1226*評分方法!$C$6</f>
        <v>10</v>
      </c>
      <c r="K1226" s="15" t="n">
        <f aca="false">AG1226*評分方法!$C$7</f>
        <v>4.95</v>
      </c>
      <c r="L1226" s="15" t="n">
        <f aca="false">AH1226*評分方法!$C$8</f>
        <v>15</v>
      </c>
      <c r="M1226" s="15" t="n">
        <f aca="false">AI1226*評分方法!$C$9</f>
        <v>10</v>
      </c>
      <c r="N1226" s="15" t="n">
        <f aca="false">AJ1226*評分方法!$C$10</f>
        <v>6.972</v>
      </c>
      <c r="O1226" s="15" t="n">
        <f aca="false">AK1226*評分方法!$C$11</f>
        <v>1</v>
      </c>
      <c r="P1226" s="15" t="n">
        <f aca="false">AL1226*評分方法!$C$12</f>
        <v>0</v>
      </c>
      <c r="Q1226" s="6" t="n">
        <v>901459</v>
      </c>
      <c r="R1226" s="6" t="n">
        <v>84095522</v>
      </c>
      <c r="S1226" s="11" t="s">
        <v>238</v>
      </c>
      <c r="T1226" s="11" t="s">
        <v>239</v>
      </c>
      <c r="U1226" s="5" t="s">
        <v>240</v>
      </c>
      <c r="V1226" s="11" t="s">
        <v>324</v>
      </c>
      <c r="W1226" s="5" t="s">
        <v>334</v>
      </c>
      <c r="X1226" s="5" t="s">
        <v>242</v>
      </c>
      <c r="Y1226" s="5"/>
      <c r="Z1226" s="5"/>
      <c r="AA1226" s="11" t="s">
        <v>162</v>
      </c>
      <c r="AB1226" s="5" t="s">
        <v>245</v>
      </c>
      <c r="AC1226" s="5"/>
      <c r="AD1226" s="11" t="s">
        <v>3077</v>
      </c>
      <c r="AE1226" s="23" t="n">
        <v>0.5</v>
      </c>
      <c r="AF1226" s="23" t="n">
        <v>1</v>
      </c>
      <c r="AG1226" s="23" t="n">
        <v>0.33</v>
      </c>
      <c r="AH1226" s="23" t="n">
        <v>1</v>
      </c>
      <c r="AI1226" s="23" t="n">
        <v>1</v>
      </c>
      <c r="AJ1226" s="23" t="n">
        <v>0.6972</v>
      </c>
      <c r="AK1226" s="23" t="n">
        <v>0.2</v>
      </c>
      <c r="AL1226" s="23" t="n">
        <v>0</v>
      </c>
      <c r="AM1226" s="16" t="n">
        <f aca="false">COUNTIFS($D$2:$D$2501,D1226,$G$2:$G$2501,"&gt;"&amp;G1226)+COUNTIFS($D$2:D1226,D1226,$G$2:G1226,G1226)</f>
        <v>3</v>
      </c>
      <c r="AN1226" s="5" t="str">
        <f aca="false">D1226&amp;"|"&amp;AM1226</f>
        <v>威脅情資與資安語言|3</v>
      </c>
    </row>
    <row r="1227" customFormat="false" ht="17.15" hidden="false" customHeight="false" outlineLevel="0" collapsed="false">
      <c r="A1227" s="16" t="n">
        <f aca="false">RANK(G1227,$G$2:$G$2501)+COUNTIF($G$2:G1227,G1227)-1</f>
        <v>1226</v>
      </c>
      <c r="B1227" s="11" t="s">
        <v>3078</v>
      </c>
      <c r="C1227" s="11" t="s">
        <v>258</v>
      </c>
      <c r="D1227" s="5" t="s">
        <v>56</v>
      </c>
      <c r="E1227" s="5" t="s">
        <v>57</v>
      </c>
      <c r="F1227" s="5"/>
      <c r="G1227" s="22" t="n">
        <f aca="false">ROUND(SUM(I1227:P1227),3)</f>
        <v>62.914</v>
      </c>
      <c r="H1227" s="5" t="str">
        <f aca="false">IF(G1227&gt;=評分方法!$C$16,"優先評估",IF(G1227&gt;=評分方法!$C$17,"列入候選",IF(G1227&gt;=評分方法!$C$18,"特定情境","不建議")))</f>
        <v>特定情境</v>
      </c>
      <c r="I1227" s="15" t="n">
        <f aca="false">AE1227*評分方法!$C$5</f>
        <v>25.5</v>
      </c>
      <c r="J1227" s="15" t="n">
        <f aca="false">AF1227*評分方法!$C$6</f>
        <v>0</v>
      </c>
      <c r="K1227" s="15" t="n">
        <f aca="false">AG1227*評分方法!$C$7</f>
        <v>15</v>
      </c>
      <c r="L1227" s="15" t="n">
        <f aca="false">AH1227*評分方法!$C$8</f>
        <v>4.95</v>
      </c>
      <c r="M1227" s="15" t="n">
        <f aca="false">AI1227*評分方法!$C$9</f>
        <v>6</v>
      </c>
      <c r="N1227" s="15" t="n">
        <f aca="false">AJ1227*評分方法!$C$10</f>
        <v>8.964</v>
      </c>
      <c r="O1227" s="15" t="n">
        <f aca="false">AK1227*評分方法!$C$11</f>
        <v>2.5</v>
      </c>
      <c r="P1227" s="15" t="n">
        <f aca="false">AL1227*評分方法!$C$12</f>
        <v>0</v>
      </c>
      <c r="Q1227" s="6" t="n">
        <v>3699758</v>
      </c>
      <c r="R1227" s="6" t="n">
        <v>70553706496</v>
      </c>
      <c r="S1227" s="11" t="s">
        <v>1876</v>
      </c>
      <c r="T1227" s="11" t="s">
        <v>259</v>
      </c>
      <c r="U1227" s="5" t="s">
        <v>260</v>
      </c>
      <c r="V1227" s="11" t="s">
        <v>324</v>
      </c>
      <c r="W1227" s="5" t="s">
        <v>205</v>
      </c>
      <c r="X1227" s="5" t="s">
        <v>242</v>
      </c>
      <c r="Y1227" s="11" t="s">
        <v>3064</v>
      </c>
      <c r="Z1227" s="11" t="s">
        <v>270</v>
      </c>
      <c r="AA1227" s="11" t="s">
        <v>155</v>
      </c>
      <c r="AB1227" s="5" t="s">
        <v>245</v>
      </c>
      <c r="AC1227" s="5" t="s">
        <v>262</v>
      </c>
      <c r="AD1227" s="11" t="s">
        <v>3079</v>
      </c>
      <c r="AE1227" s="23" t="n">
        <v>0.85</v>
      </c>
      <c r="AF1227" s="23" t="n">
        <v>0</v>
      </c>
      <c r="AG1227" s="23" t="n">
        <v>1</v>
      </c>
      <c r="AH1227" s="23" t="n">
        <v>0.33</v>
      </c>
      <c r="AI1227" s="23" t="n">
        <v>0.6</v>
      </c>
      <c r="AJ1227" s="23" t="n">
        <v>0.8964</v>
      </c>
      <c r="AK1227" s="23" t="n">
        <v>0.5</v>
      </c>
      <c r="AL1227" s="23" t="n">
        <v>0</v>
      </c>
      <c r="AM1227" s="16" t="n">
        <f aca="false">COUNTIFS($D$2:$D$2501,D1227,$G$2:$G$2501,"&gt;"&amp;G1227)+COUNTIFS($D$2:D1227,D1227,$G$2:G1227,G1227)</f>
        <v>552</v>
      </c>
      <c r="AN1227" s="5" t="str">
        <f aca="false">D1227&amp;"|"&amp;AM1227</f>
        <v>分析與報告生成|552</v>
      </c>
    </row>
    <row r="1228" customFormat="false" ht="17.15" hidden="false" customHeight="false" outlineLevel="0" collapsed="false">
      <c r="A1228" s="16" t="n">
        <f aca="false">RANK(G1228,$G$2:$G$2501)+COUNTIF($G$2:G1228,G1228)-1</f>
        <v>1227</v>
      </c>
      <c r="B1228" s="11" t="s">
        <v>2613</v>
      </c>
      <c r="C1228" s="11" t="s">
        <v>253</v>
      </c>
      <c r="D1228" s="5" t="s">
        <v>78</v>
      </c>
      <c r="E1228" s="5" t="s">
        <v>79</v>
      </c>
      <c r="F1228" s="5"/>
      <c r="G1228" s="22" t="n">
        <f aca="false">ROUND(SUM(I1228:P1228),3)</f>
        <v>62.91</v>
      </c>
      <c r="H1228" s="5" t="str">
        <f aca="false">IF(G1228&gt;=評分方法!$C$16,"優先評估",IF(G1228&gt;=評分方法!$C$17,"列入候選",IF(G1228&gt;=評分方法!$C$18,"特定情境","不建議")))</f>
        <v>特定情境</v>
      </c>
      <c r="I1228" s="15" t="n">
        <f aca="false">AE1228*評分方法!$C$5</f>
        <v>9</v>
      </c>
      <c r="J1228" s="15" t="n">
        <f aca="false">AF1228*評分方法!$C$6</f>
        <v>0</v>
      </c>
      <c r="K1228" s="15" t="n">
        <f aca="false">AG1228*評分方法!$C$7</f>
        <v>15</v>
      </c>
      <c r="L1228" s="15" t="n">
        <f aca="false">AH1228*評分方法!$C$8</f>
        <v>13.05</v>
      </c>
      <c r="M1228" s="15" t="n">
        <f aca="false">AI1228*評分方法!$C$9</f>
        <v>10</v>
      </c>
      <c r="N1228" s="15" t="n">
        <f aca="false">AJ1228*評分方法!$C$10</f>
        <v>9.86</v>
      </c>
      <c r="O1228" s="15" t="n">
        <f aca="false">AK1228*評分方法!$C$11</f>
        <v>1</v>
      </c>
      <c r="P1228" s="15" t="n">
        <f aca="false">AL1228*評分方法!$C$12</f>
        <v>5</v>
      </c>
      <c r="Q1228" s="6" t="n">
        <v>31504300</v>
      </c>
      <c r="R1228" s="6" t="n">
        <v>1543490560</v>
      </c>
      <c r="S1228" s="11" t="s">
        <v>254</v>
      </c>
      <c r="T1228" s="11" t="s">
        <v>239</v>
      </c>
      <c r="U1228" s="5" t="s">
        <v>240</v>
      </c>
      <c r="V1228" s="11" t="s">
        <v>813</v>
      </c>
      <c r="W1228" s="5" t="s">
        <v>205</v>
      </c>
      <c r="X1228" s="5" t="s">
        <v>284</v>
      </c>
      <c r="Y1228" s="5"/>
      <c r="Z1228" s="5"/>
      <c r="AA1228" s="11" t="s">
        <v>175</v>
      </c>
      <c r="AB1228" s="5" t="s">
        <v>245</v>
      </c>
      <c r="AC1228" s="5"/>
      <c r="AD1228" s="11" t="s">
        <v>3080</v>
      </c>
      <c r="AE1228" s="23" t="n">
        <v>0.3</v>
      </c>
      <c r="AF1228" s="23" t="n">
        <v>0</v>
      </c>
      <c r="AG1228" s="23" t="n">
        <v>1</v>
      </c>
      <c r="AH1228" s="23" t="n">
        <v>0.87</v>
      </c>
      <c r="AI1228" s="23" t="n">
        <v>1</v>
      </c>
      <c r="AJ1228" s="23" t="n">
        <v>0.986</v>
      </c>
      <c r="AK1228" s="23" t="n">
        <v>0.2</v>
      </c>
      <c r="AL1228" s="23" t="n">
        <v>1</v>
      </c>
      <c r="AM1228" s="16" t="n">
        <f aca="false">COUNTIFS($D$2:$D$2501,D1228,$G$2:$G$2501,"&gt;"&amp;G1228)+COUNTIFS($D$2:D1228,D1228,$G$2:G1228,G1228)</f>
        <v>15</v>
      </c>
      <c r="AN1228" s="5" t="str">
        <f aca="false">D1228&amp;"|"&amp;AM1228</f>
        <v>語音分析|15</v>
      </c>
    </row>
    <row r="1229" customFormat="false" ht="17.15" hidden="false" customHeight="false" outlineLevel="0" collapsed="false">
      <c r="A1229" s="16" t="n">
        <f aca="false">RANK(G1229,$G$2:$G$2501)+COUNTIF($G$2:G1229,G1229)-1</f>
        <v>1228</v>
      </c>
      <c r="B1229" s="11" t="s">
        <v>3081</v>
      </c>
      <c r="C1229" s="11" t="s">
        <v>3082</v>
      </c>
      <c r="D1229" s="5" t="s">
        <v>58</v>
      </c>
      <c r="E1229" s="5" t="s">
        <v>59</v>
      </c>
      <c r="F1229" s="5"/>
      <c r="G1229" s="22" t="n">
        <f aca="false">ROUND(SUM(I1229:P1229),3)</f>
        <v>62.906</v>
      </c>
      <c r="H1229" s="5" t="str">
        <f aca="false">IF(G1229&gt;=評分方法!$C$16,"優先評估",IF(G1229&gt;=評分方法!$C$17,"列入候選",IF(G1229&gt;=評分方法!$C$18,"特定情境","不建議")))</f>
        <v>特定情境</v>
      </c>
      <c r="I1229" s="15" t="n">
        <f aca="false">AE1229*評分方法!$C$5</f>
        <v>28.5</v>
      </c>
      <c r="J1229" s="15" t="n">
        <f aca="false">AF1229*評分方法!$C$6</f>
        <v>0</v>
      </c>
      <c r="K1229" s="15" t="n">
        <f aca="false">AG1229*評分方法!$C$7</f>
        <v>4.95</v>
      </c>
      <c r="L1229" s="15" t="n">
        <f aca="false">AH1229*評分方法!$C$8</f>
        <v>15</v>
      </c>
      <c r="M1229" s="15" t="n">
        <f aca="false">AI1229*評分方法!$C$9</f>
        <v>10</v>
      </c>
      <c r="N1229" s="15" t="n">
        <f aca="false">AJ1229*評分方法!$C$10</f>
        <v>3.456</v>
      </c>
      <c r="O1229" s="15" t="n">
        <f aca="false">AK1229*評分方法!$C$11</f>
        <v>1</v>
      </c>
      <c r="P1229" s="15" t="n">
        <f aca="false">AL1229*評分方法!$C$12</f>
        <v>0</v>
      </c>
      <c r="Q1229" s="6" t="n">
        <v>348312</v>
      </c>
      <c r="R1229" s="6" t="n">
        <v>13484807</v>
      </c>
      <c r="S1229" s="11" t="s">
        <v>238</v>
      </c>
      <c r="T1229" s="11" t="s">
        <v>239</v>
      </c>
      <c r="U1229" s="5" t="s">
        <v>240</v>
      </c>
      <c r="V1229" s="11" t="s">
        <v>261</v>
      </c>
      <c r="W1229" s="5" t="s">
        <v>334</v>
      </c>
      <c r="X1229" s="5" t="s">
        <v>242</v>
      </c>
      <c r="Y1229" s="5"/>
      <c r="Z1229" s="5"/>
      <c r="AA1229" s="11" t="s">
        <v>150</v>
      </c>
      <c r="AB1229" s="5" t="s">
        <v>245</v>
      </c>
      <c r="AC1229" s="5"/>
      <c r="AD1229" s="11" t="s">
        <v>3083</v>
      </c>
      <c r="AE1229" s="23" t="n">
        <v>0.95</v>
      </c>
      <c r="AF1229" s="23" t="n">
        <v>0</v>
      </c>
      <c r="AG1229" s="23" t="n">
        <v>0.33</v>
      </c>
      <c r="AH1229" s="23" t="n">
        <v>1</v>
      </c>
      <c r="AI1229" s="23" t="n">
        <v>1</v>
      </c>
      <c r="AJ1229" s="23" t="n">
        <v>0.3456</v>
      </c>
      <c r="AK1229" s="23" t="n">
        <v>0.2</v>
      </c>
      <c r="AL1229" s="23" t="n">
        <v>0</v>
      </c>
      <c r="AM1229" s="16" t="n">
        <f aca="false">COUNTIFS($D$2:$D$2501,D1229,$G$2:$G$2501,"&gt;"&amp;G1229)+COUNTIFS($D$2:D1229,D1229,$G$2:G1229,G1229)</f>
        <v>283</v>
      </c>
      <c r="AN1229" s="5" t="str">
        <f aca="false">D1229&amp;"|"&amp;AM1229</f>
        <v>實體擷取與去識別化|283</v>
      </c>
    </row>
    <row r="1230" customFormat="false" ht="17.15" hidden="false" customHeight="false" outlineLevel="0" collapsed="false">
      <c r="A1230" s="16" t="n">
        <f aca="false">RANK(G1230,$G$2:$G$2501)+COUNTIF($G$2:G1230,G1230)-1</f>
        <v>1229</v>
      </c>
      <c r="B1230" s="11" t="s">
        <v>3084</v>
      </c>
      <c r="C1230" s="11" t="s">
        <v>2693</v>
      </c>
      <c r="D1230" s="5" t="s">
        <v>74</v>
      </c>
      <c r="E1230" s="5" t="s">
        <v>75</v>
      </c>
      <c r="F1230" s="5"/>
      <c r="G1230" s="22" t="n">
        <f aca="false">ROUND(SUM(I1230:P1230),3)</f>
        <v>62.9</v>
      </c>
      <c r="H1230" s="5" t="str">
        <f aca="false">IF(G1230&gt;=評分方法!$C$16,"優先評估",IF(G1230&gt;=評分方法!$C$17,"列入候選",IF(G1230&gt;=評分方法!$C$18,"特定情境","不建議")))</f>
        <v>特定情境</v>
      </c>
      <c r="I1230" s="15" t="n">
        <f aca="false">AE1230*評分方法!$C$5</f>
        <v>10.5</v>
      </c>
      <c r="J1230" s="15" t="n">
        <f aca="false">AF1230*評分方法!$C$6</f>
        <v>0</v>
      </c>
      <c r="K1230" s="15" t="n">
        <f aca="false">AG1230*評分方法!$C$7</f>
        <v>15</v>
      </c>
      <c r="L1230" s="15" t="n">
        <f aca="false">AH1230*評分方法!$C$8</f>
        <v>15</v>
      </c>
      <c r="M1230" s="15" t="n">
        <f aca="false">AI1230*評分方法!$C$9</f>
        <v>10</v>
      </c>
      <c r="N1230" s="15" t="n">
        <f aca="false">AJ1230*評分方法!$C$10</f>
        <v>8.4</v>
      </c>
      <c r="O1230" s="15" t="n">
        <f aca="false">AK1230*評分方法!$C$11</f>
        <v>2.5</v>
      </c>
      <c r="P1230" s="15" t="n">
        <f aca="false">AL1230*評分方法!$C$12</f>
        <v>1.5</v>
      </c>
      <c r="Q1230" s="6" t="n">
        <v>2066072</v>
      </c>
      <c r="R1230" s="6" t="n">
        <v>86576872</v>
      </c>
      <c r="S1230" s="11" t="s">
        <v>238</v>
      </c>
      <c r="T1230" s="11" t="s">
        <v>239</v>
      </c>
      <c r="U1230" s="5" t="s">
        <v>240</v>
      </c>
      <c r="V1230" s="11" t="s">
        <v>324</v>
      </c>
      <c r="W1230" s="5" t="s">
        <v>205</v>
      </c>
      <c r="X1230" s="5" t="s">
        <v>255</v>
      </c>
      <c r="Y1230" s="5"/>
      <c r="Z1230" s="5"/>
      <c r="AA1230" s="11" t="s">
        <v>172</v>
      </c>
      <c r="AB1230" s="5" t="s">
        <v>245</v>
      </c>
      <c r="AC1230" s="5"/>
      <c r="AD1230" s="11" t="s">
        <v>3085</v>
      </c>
      <c r="AE1230" s="23" t="n">
        <v>0.35</v>
      </c>
      <c r="AF1230" s="23" t="n">
        <v>0</v>
      </c>
      <c r="AG1230" s="23" t="n">
        <v>1</v>
      </c>
      <c r="AH1230" s="23" t="n">
        <v>1</v>
      </c>
      <c r="AI1230" s="23" t="n">
        <v>1</v>
      </c>
      <c r="AJ1230" s="23" t="n">
        <v>0.84</v>
      </c>
      <c r="AK1230" s="23" t="n">
        <v>0.5</v>
      </c>
      <c r="AL1230" s="23" t="n">
        <v>0.3</v>
      </c>
      <c r="AM1230" s="16" t="n">
        <f aca="false">COUNTIFS($D$2:$D$2501,D1230,$G$2:$G$2501,"&gt;"&amp;G1230)+COUNTIFS($D$2:D1230,D1230,$G$2:G1230,G1230)</f>
        <v>42</v>
      </c>
      <c r="AN1230" s="5" t="str">
        <f aca="false">D1230&amp;"|"&amp;AM1230</f>
        <v>文件與影像辨識|42</v>
      </c>
    </row>
    <row r="1231" customFormat="false" ht="17.15" hidden="false" customHeight="false" outlineLevel="0" collapsed="false">
      <c r="A1231" s="16" t="n">
        <f aca="false">RANK(G1231,$G$2:$G$2501)+COUNTIF($G$2:G1231,G1231)-1</f>
        <v>1230</v>
      </c>
      <c r="B1231" s="11" t="s">
        <v>3086</v>
      </c>
      <c r="C1231" s="11" t="s">
        <v>368</v>
      </c>
      <c r="D1231" s="5" t="s">
        <v>74</v>
      </c>
      <c r="E1231" s="5" t="s">
        <v>75</v>
      </c>
      <c r="F1231" s="5"/>
      <c r="G1231" s="22" t="n">
        <f aca="false">ROUND(SUM(I1231:P1231),3)</f>
        <v>62.896</v>
      </c>
      <c r="H1231" s="5" t="str">
        <f aca="false">IF(G1231&gt;=評分方法!$C$16,"優先評估",IF(G1231&gt;=評分方法!$C$17,"列入候選",IF(G1231&gt;=評分方法!$C$18,"特定情境","不建議")))</f>
        <v>特定情境</v>
      </c>
      <c r="I1231" s="15" t="n">
        <f aca="false">AE1231*評分方法!$C$5</f>
        <v>10.5</v>
      </c>
      <c r="J1231" s="15" t="n">
        <f aca="false">AF1231*評分方法!$C$6</f>
        <v>0</v>
      </c>
      <c r="K1231" s="15" t="n">
        <f aca="false">AG1231*評分方法!$C$7</f>
        <v>15</v>
      </c>
      <c r="L1231" s="15" t="n">
        <f aca="false">AH1231*評分方法!$C$8</f>
        <v>15</v>
      </c>
      <c r="M1231" s="15" t="n">
        <f aca="false">AI1231*評分方法!$C$9</f>
        <v>10</v>
      </c>
      <c r="N1231" s="15" t="n">
        <f aca="false">AJ1231*評分方法!$C$10</f>
        <v>9.896</v>
      </c>
      <c r="O1231" s="15" t="n">
        <f aca="false">AK1231*評分方法!$C$11</f>
        <v>1</v>
      </c>
      <c r="P1231" s="15" t="n">
        <f aca="false">AL1231*評分方法!$C$12</f>
        <v>1.5</v>
      </c>
      <c r="Q1231" s="6" t="n">
        <v>44797537</v>
      </c>
      <c r="R1231" s="6" t="n">
        <v>86567656</v>
      </c>
      <c r="S1231" s="11" t="s">
        <v>238</v>
      </c>
      <c r="T1231" s="11" t="s">
        <v>239</v>
      </c>
      <c r="U1231" s="5" t="s">
        <v>240</v>
      </c>
      <c r="V1231" s="11" t="s">
        <v>279</v>
      </c>
      <c r="W1231" s="5" t="s">
        <v>205</v>
      </c>
      <c r="X1231" s="5" t="s">
        <v>255</v>
      </c>
      <c r="Y1231" s="5"/>
      <c r="Z1231" s="5"/>
      <c r="AA1231" s="11" t="s">
        <v>172</v>
      </c>
      <c r="AB1231" s="5" t="s">
        <v>245</v>
      </c>
      <c r="AC1231" s="5"/>
      <c r="AD1231" s="11" t="s">
        <v>3087</v>
      </c>
      <c r="AE1231" s="23" t="n">
        <v>0.35</v>
      </c>
      <c r="AF1231" s="23" t="n">
        <v>0</v>
      </c>
      <c r="AG1231" s="23" t="n">
        <v>1</v>
      </c>
      <c r="AH1231" s="23" t="n">
        <v>1</v>
      </c>
      <c r="AI1231" s="23" t="n">
        <v>1</v>
      </c>
      <c r="AJ1231" s="23" t="n">
        <v>0.9896</v>
      </c>
      <c r="AK1231" s="23" t="n">
        <v>0.2</v>
      </c>
      <c r="AL1231" s="23" t="n">
        <v>0.3</v>
      </c>
      <c r="AM1231" s="16" t="n">
        <f aca="false">COUNTIFS($D$2:$D$2501,D1231,$G$2:$G$2501,"&gt;"&amp;G1231)+COUNTIFS($D$2:D1231,D1231,$G$2:G1231,G1231)</f>
        <v>43</v>
      </c>
      <c r="AN1231" s="5" t="str">
        <f aca="false">D1231&amp;"|"&amp;AM1231</f>
        <v>文件與影像辨識|43</v>
      </c>
    </row>
    <row r="1232" customFormat="false" ht="17.15" hidden="false" customHeight="false" outlineLevel="0" collapsed="false">
      <c r="A1232" s="16" t="n">
        <f aca="false">RANK(G1232,$G$2:$G$2501)+COUNTIF($G$2:G1232,G1232)-1</f>
        <v>1231</v>
      </c>
      <c r="B1232" s="11" t="s">
        <v>3088</v>
      </c>
      <c r="C1232" s="11" t="s">
        <v>998</v>
      </c>
      <c r="D1232" s="5" t="s">
        <v>56</v>
      </c>
      <c r="E1232" s="5" t="s">
        <v>57</v>
      </c>
      <c r="F1232" s="5"/>
      <c r="G1232" s="22" t="n">
        <f aca="false">ROUND(SUM(I1232:P1232),3)</f>
        <v>62.896</v>
      </c>
      <c r="H1232" s="5" t="str">
        <f aca="false">IF(G1232&gt;=評分方法!$C$16,"優先評估",IF(G1232&gt;=評分方法!$C$17,"列入候選",IF(G1232&gt;=評分方法!$C$18,"特定情境","不建議")))</f>
        <v>特定情境</v>
      </c>
      <c r="I1232" s="15" t="n">
        <f aca="false">AE1232*評分方法!$C$5</f>
        <v>25.5</v>
      </c>
      <c r="J1232" s="15" t="n">
        <f aca="false">AF1232*評分方法!$C$6</f>
        <v>0</v>
      </c>
      <c r="K1232" s="15" t="n">
        <f aca="false">AG1232*評分方法!$C$7</f>
        <v>10.05</v>
      </c>
      <c r="L1232" s="15" t="n">
        <f aca="false">AH1232*評分方法!$C$8</f>
        <v>1.95</v>
      </c>
      <c r="M1232" s="15" t="n">
        <f aca="false">AI1232*評分方法!$C$9</f>
        <v>10</v>
      </c>
      <c r="N1232" s="15" t="n">
        <f aca="false">AJ1232*評分方法!$C$10</f>
        <v>7.396</v>
      </c>
      <c r="O1232" s="15" t="n">
        <f aca="false">AK1232*評分方法!$C$11</f>
        <v>5</v>
      </c>
      <c r="P1232" s="15" t="n">
        <f aca="false">AL1232*評分方法!$C$12</f>
        <v>3</v>
      </c>
      <c r="Q1232" s="6" t="n">
        <v>1106449</v>
      </c>
      <c r="R1232" s="6" t="n">
        <v>116829156672</v>
      </c>
      <c r="S1232" s="11" t="s">
        <v>1616</v>
      </c>
      <c r="T1232" s="11" t="s">
        <v>239</v>
      </c>
      <c r="U1232" s="5" t="s">
        <v>240</v>
      </c>
      <c r="V1232" s="11" t="s">
        <v>333</v>
      </c>
      <c r="W1232" s="5" t="s">
        <v>207</v>
      </c>
      <c r="X1232" s="5" t="s">
        <v>371</v>
      </c>
      <c r="Y1232" s="11" t="s">
        <v>1362</v>
      </c>
      <c r="Z1232" s="11" t="s">
        <v>244</v>
      </c>
      <c r="AA1232" s="11" t="s">
        <v>155</v>
      </c>
      <c r="AB1232" s="5" t="s">
        <v>245</v>
      </c>
      <c r="AC1232" s="5" t="s">
        <v>246</v>
      </c>
      <c r="AD1232" s="11" t="s">
        <v>3089</v>
      </c>
      <c r="AE1232" s="23" t="n">
        <v>0.85</v>
      </c>
      <c r="AF1232" s="23" t="n">
        <v>0</v>
      </c>
      <c r="AG1232" s="23" t="n">
        <v>0.67</v>
      </c>
      <c r="AH1232" s="23" t="n">
        <v>0.13</v>
      </c>
      <c r="AI1232" s="23" t="n">
        <v>1</v>
      </c>
      <c r="AJ1232" s="23" t="n">
        <v>0.7396</v>
      </c>
      <c r="AK1232" s="23" t="n">
        <v>1</v>
      </c>
      <c r="AL1232" s="23" t="n">
        <v>0.6</v>
      </c>
      <c r="AM1232" s="16" t="n">
        <f aca="false">COUNTIFS($D$2:$D$2501,D1232,$G$2:$G$2501,"&gt;"&amp;G1232)+COUNTIFS($D$2:D1232,D1232,$G$2:G1232,G1232)</f>
        <v>553</v>
      </c>
      <c r="AN1232" s="5" t="str">
        <f aca="false">D1232&amp;"|"&amp;AM1232</f>
        <v>分析與報告生成|553</v>
      </c>
    </row>
    <row r="1233" customFormat="false" ht="17.15" hidden="false" customHeight="false" outlineLevel="0" collapsed="false">
      <c r="A1233" s="16" t="n">
        <f aca="false">RANK(G1233,$G$2:$G$2501)+COUNTIF($G$2:G1233,G1233)-1</f>
        <v>1232</v>
      </c>
      <c r="B1233" s="11" t="s">
        <v>3090</v>
      </c>
      <c r="C1233" s="11" t="s">
        <v>989</v>
      </c>
      <c r="D1233" s="5" t="s">
        <v>56</v>
      </c>
      <c r="E1233" s="5" t="s">
        <v>57</v>
      </c>
      <c r="F1233" s="5"/>
      <c r="G1233" s="22" t="n">
        <f aca="false">ROUND(SUM(I1233:P1233),3)</f>
        <v>62.886</v>
      </c>
      <c r="H1233" s="5" t="str">
        <f aca="false">IF(G1233&gt;=評分方法!$C$16,"優先評估",IF(G1233&gt;=評分方法!$C$17,"列入候選",IF(G1233&gt;=評分方法!$C$18,"特定情境","不建議")))</f>
        <v>特定情境</v>
      </c>
      <c r="I1233" s="15" t="n">
        <f aca="false">AE1233*評分方法!$C$5</f>
        <v>25.5</v>
      </c>
      <c r="J1233" s="15" t="n">
        <f aca="false">AF1233*評分方法!$C$6</f>
        <v>0</v>
      </c>
      <c r="K1233" s="15" t="n">
        <f aca="false">AG1233*評分方法!$C$7</f>
        <v>10.05</v>
      </c>
      <c r="L1233" s="15" t="n">
        <f aca="false">AH1233*評分方法!$C$8</f>
        <v>9</v>
      </c>
      <c r="M1233" s="15" t="n">
        <f aca="false">AI1233*評分方法!$C$9</f>
        <v>10</v>
      </c>
      <c r="N1233" s="15" t="n">
        <f aca="false">AJ1233*評分方法!$C$10</f>
        <v>0.836</v>
      </c>
      <c r="O1233" s="15" t="n">
        <f aca="false">AK1233*評分方法!$C$11</f>
        <v>2.5</v>
      </c>
      <c r="P1233" s="15" t="n">
        <f aca="false">AL1233*評分方法!$C$12</f>
        <v>5</v>
      </c>
      <c r="Q1233" s="6" t="n">
        <v>148046</v>
      </c>
      <c r="R1233" s="6" t="n">
        <v>12247782400</v>
      </c>
      <c r="S1233" s="11" t="s">
        <v>389</v>
      </c>
      <c r="T1233" s="11" t="s">
        <v>239</v>
      </c>
      <c r="U1233" s="5" t="s">
        <v>240</v>
      </c>
      <c r="V1233" s="11" t="s">
        <v>333</v>
      </c>
      <c r="W1233" s="5" t="s">
        <v>207</v>
      </c>
      <c r="X1233" s="5" t="s">
        <v>284</v>
      </c>
      <c r="Y1233" s="11" t="s">
        <v>771</v>
      </c>
      <c r="Z1233" s="11" t="s">
        <v>244</v>
      </c>
      <c r="AA1233" s="11" t="s">
        <v>155</v>
      </c>
      <c r="AB1233" s="5" t="s">
        <v>245</v>
      </c>
      <c r="AC1233" s="5" t="s">
        <v>246</v>
      </c>
      <c r="AD1233" s="11" t="s">
        <v>3091</v>
      </c>
      <c r="AE1233" s="23" t="n">
        <v>0.85</v>
      </c>
      <c r="AF1233" s="23" t="n">
        <v>0</v>
      </c>
      <c r="AG1233" s="23" t="n">
        <v>0.67</v>
      </c>
      <c r="AH1233" s="23" t="n">
        <v>0.6</v>
      </c>
      <c r="AI1233" s="23" t="n">
        <v>1</v>
      </c>
      <c r="AJ1233" s="23" t="n">
        <v>0.0836</v>
      </c>
      <c r="AK1233" s="23" t="n">
        <v>0.5</v>
      </c>
      <c r="AL1233" s="23" t="n">
        <v>1</v>
      </c>
      <c r="AM1233" s="16" t="n">
        <f aca="false">COUNTIFS($D$2:$D$2501,D1233,$G$2:$G$2501,"&gt;"&amp;G1233)+COUNTIFS($D$2:D1233,D1233,$G$2:G1233,G1233)</f>
        <v>554</v>
      </c>
      <c r="AN1233" s="5" t="str">
        <f aca="false">D1233&amp;"|"&amp;AM1233</f>
        <v>分析與報告生成|554</v>
      </c>
    </row>
    <row r="1234" customFormat="false" ht="17.15" hidden="false" customHeight="false" outlineLevel="0" collapsed="false">
      <c r="A1234" s="16" t="n">
        <f aca="false">RANK(G1234,$G$2:$G$2501)+COUNTIF($G$2:G1234,G1234)-1</f>
        <v>1233</v>
      </c>
      <c r="B1234" s="11" t="s">
        <v>1304</v>
      </c>
      <c r="C1234" s="11" t="s">
        <v>368</v>
      </c>
      <c r="D1234" s="5" t="s">
        <v>56</v>
      </c>
      <c r="E1234" s="5" t="s">
        <v>57</v>
      </c>
      <c r="F1234" s="5"/>
      <c r="G1234" s="22" t="n">
        <f aca="false">ROUND(SUM(I1234:P1234),3)</f>
        <v>62.856</v>
      </c>
      <c r="H1234" s="5" t="str">
        <f aca="false">IF(G1234&gt;=評分方法!$C$16,"優先評估",IF(G1234&gt;=評分方法!$C$17,"列入候選",IF(G1234&gt;=評分方法!$C$18,"特定情境","不建議")))</f>
        <v>特定情境</v>
      </c>
      <c r="I1234" s="15" t="n">
        <f aca="false">AE1234*評分方法!$C$5</f>
        <v>25.5</v>
      </c>
      <c r="J1234" s="15" t="n">
        <f aca="false">AF1234*評分方法!$C$6</f>
        <v>0</v>
      </c>
      <c r="K1234" s="15" t="n">
        <f aca="false">AG1234*評分方法!$C$7</f>
        <v>15</v>
      </c>
      <c r="L1234" s="15" t="n">
        <f aca="false">AH1234*評分方法!$C$8</f>
        <v>9</v>
      </c>
      <c r="M1234" s="15" t="n">
        <f aca="false">AI1234*評分方法!$C$9</f>
        <v>6</v>
      </c>
      <c r="N1234" s="15" t="n">
        <f aca="false">AJ1234*評分方法!$C$10</f>
        <v>1.856</v>
      </c>
      <c r="O1234" s="15" t="n">
        <f aca="false">AK1234*評分方法!$C$11</f>
        <v>2.5</v>
      </c>
      <c r="P1234" s="15" t="n">
        <f aca="false">AL1234*評分方法!$C$12</f>
        <v>3</v>
      </c>
      <c r="Q1234" s="6" t="n">
        <v>199544</v>
      </c>
      <c r="R1234" s="6" t="n">
        <v>12187325040</v>
      </c>
      <c r="S1234" s="11" t="s">
        <v>389</v>
      </c>
      <c r="T1234" s="11" t="s">
        <v>658</v>
      </c>
      <c r="U1234" s="5" t="s">
        <v>260</v>
      </c>
      <c r="V1234" s="11" t="s">
        <v>261</v>
      </c>
      <c r="W1234" s="5" t="s">
        <v>205</v>
      </c>
      <c r="X1234" s="5" t="s">
        <v>371</v>
      </c>
      <c r="Y1234" s="5"/>
      <c r="Z1234" s="5"/>
      <c r="AA1234" s="11" t="s">
        <v>156</v>
      </c>
      <c r="AB1234" s="5" t="s">
        <v>245</v>
      </c>
      <c r="AC1234" s="5" t="s">
        <v>262</v>
      </c>
      <c r="AD1234" s="11" t="s">
        <v>3092</v>
      </c>
      <c r="AE1234" s="23" t="n">
        <v>0.85</v>
      </c>
      <c r="AF1234" s="23" t="n">
        <v>0</v>
      </c>
      <c r="AG1234" s="23" t="n">
        <v>1</v>
      </c>
      <c r="AH1234" s="23" t="n">
        <v>0.6</v>
      </c>
      <c r="AI1234" s="23" t="n">
        <v>0.6</v>
      </c>
      <c r="AJ1234" s="23" t="n">
        <v>0.1856</v>
      </c>
      <c r="AK1234" s="23" t="n">
        <v>0.5</v>
      </c>
      <c r="AL1234" s="23" t="n">
        <v>0.6</v>
      </c>
      <c r="AM1234" s="16" t="n">
        <f aca="false">COUNTIFS($D$2:$D$2501,D1234,$G$2:$G$2501,"&gt;"&amp;G1234)+COUNTIFS($D$2:D1234,D1234,$G$2:G1234,G1234)</f>
        <v>555</v>
      </c>
      <c r="AN1234" s="5" t="str">
        <f aca="false">D1234&amp;"|"&amp;AM1234</f>
        <v>分析與報告生成|555</v>
      </c>
    </row>
    <row r="1235" customFormat="false" ht="17.15" hidden="false" customHeight="false" outlineLevel="0" collapsed="false">
      <c r="A1235" s="16" t="n">
        <f aca="false">RANK(G1235,$G$2:$G$2501)+COUNTIF($G$2:G1235,G1235)-1</f>
        <v>1234</v>
      </c>
      <c r="B1235" s="11" t="s">
        <v>1144</v>
      </c>
      <c r="C1235" s="11" t="s">
        <v>1143</v>
      </c>
      <c r="D1235" s="5" t="s">
        <v>56</v>
      </c>
      <c r="E1235" s="5" t="s">
        <v>57</v>
      </c>
      <c r="F1235" s="5"/>
      <c r="G1235" s="22" t="n">
        <f aca="false">ROUND(SUM(I1235:P1235),3)</f>
        <v>62.836</v>
      </c>
      <c r="H1235" s="5" t="str">
        <f aca="false">IF(G1235&gt;=評分方法!$C$16,"優先評估",IF(G1235&gt;=評分方法!$C$17,"列入候選",IF(G1235&gt;=評分方法!$C$18,"特定情境","不建議")))</f>
        <v>特定情境</v>
      </c>
      <c r="I1235" s="15" t="n">
        <f aca="false">AE1235*評分方法!$C$5</f>
        <v>25.5</v>
      </c>
      <c r="J1235" s="15" t="n">
        <f aca="false">AF1235*評分方法!$C$6</f>
        <v>0</v>
      </c>
      <c r="K1235" s="15" t="n">
        <f aca="false">AG1235*評分方法!$C$7</f>
        <v>4.95</v>
      </c>
      <c r="L1235" s="15" t="n">
        <f aca="false">AH1235*評分方法!$C$8</f>
        <v>13.05</v>
      </c>
      <c r="M1235" s="15" t="n">
        <f aca="false">AI1235*評分方法!$C$9</f>
        <v>10</v>
      </c>
      <c r="N1235" s="15" t="n">
        <f aca="false">AJ1235*評分方法!$C$10</f>
        <v>0.336</v>
      </c>
      <c r="O1235" s="15" t="n">
        <f aca="false">AK1235*評分方法!$C$11</f>
        <v>4</v>
      </c>
      <c r="P1235" s="15" t="n">
        <f aca="false">AL1235*評分方法!$C$12</f>
        <v>5</v>
      </c>
      <c r="Q1235" s="6" t="n">
        <v>125603</v>
      </c>
      <c r="R1235" s="6" t="n">
        <v>8053338176</v>
      </c>
      <c r="S1235" s="11" t="s">
        <v>254</v>
      </c>
      <c r="T1235" s="11" t="s">
        <v>239</v>
      </c>
      <c r="U1235" s="5" t="s">
        <v>240</v>
      </c>
      <c r="V1235" s="11" t="s">
        <v>261</v>
      </c>
      <c r="W1235" s="5" t="s">
        <v>334</v>
      </c>
      <c r="X1235" s="5" t="s">
        <v>284</v>
      </c>
      <c r="Y1235" s="5"/>
      <c r="Z1235" s="5"/>
      <c r="AA1235" s="11" t="s">
        <v>155</v>
      </c>
      <c r="AB1235" s="5" t="s">
        <v>245</v>
      </c>
      <c r="AC1235" s="5"/>
      <c r="AD1235" s="11" t="s">
        <v>3093</v>
      </c>
      <c r="AE1235" s="23" t="n">
        <v>0.85</v>
      </c>
      <c r="AF1235" s="23" t="n">
        <v>0</v>
      </c>
      <c r="AG1235" s="23" t="n">
        <v>0.33</v>
      </c>
      <c r="AH1235" s="23" t="n">
        <v>0.87</v>
      </c>
      <c r="AI1235" s="23" t="n">
        <v>1</v>
      </c>
      <c r="AJ1235" s="23" t="n">
        <v>0.0336</v>
      </c>
      <c r="AK1235" s="23" t="n">
        <v>0.8</v>
      </c>
      <c r="AL1235" s="23" t="n">
        <v>1</v>
      </c>
      <c r="AM1235" s="16" t="n">
        <f aca="false">COUNTIFS($D$2:$D$2501,D1235,$G$2:$G$2501,"&gt;"&amp;G1235)+COUNTIFS($D$2:D1235,D1235,$G$2:G1235,G1235)</f>
        <v>556</v>
      </c>
      <c r="AN1235" s="5" t="str">
        <f aca="false">D1235&amp;"|"&amp;AM1235</f>
        <v>分析與報告生成|556</v>
      </c>
    </row>
    <row r="1236" customFormat="false" ht="17.15" hidden="false" customHeight="false" outlineLevel="0" collapsed="false">
      <c r="A1236" s="16" t="n">
        <f aca="false">RANK(G1236,$G$2:$G$2501)+COUNTIF($G$2:G1236,G1236)-1</f>
        <v>1235</v>
      </c>
      <c r="B1236" s="11" t="s">
        <v>3094</v>
      </c>
      <c r="C1236" s="11" t="s">
        <v>327</v>
      </c>
      <c r="D1236" s="5" t="s">
        <v>56</v>
      </c>
      <c r="E1236" s="5" t="s">
        <v>57</v>
      </c>
      <c r="F1236" s="5"/>
      <c r="G1236" s="22" t="n">
        <f aca="false">ROUND(SUM(I1236:P1236),3)</f>
        <v>62.828</v>
      </c>
      <c r="H1236" s="5" t="str">
        <f aca="false">IF(G1236&gt;=評分方法!$C$16,"優先評估",IF(G1236&gt;=評分方法!$C$17,"列入候選",IF(G1236&gt;=評分方法!$C$18,"特定情境","不建議")))</f>
        <v>特定情境</v>
      </c>
      <c r="I1236" s="15" t="n">
        <f aca="false">AE1236*評分方法!$C$5</f>
        <v>25.5</v>
      </c>
      <c r="J1236" s="15" t="n">
        <f aca="false">AF1236*評分方法!$C$6</f>
        <v>0</v>
      </c>
      <c r="K1236" s="15" t="n">
        <f aca="false">AG1236*評分方法!$C$7</f>
        <v>15</v>
      </c>
      <c r="L1236" s="15" t="n">
        <f aca="false">AH1236*評分方法!$C$8</f>
        <v>9</v>
      </c>
      <c r="M1236" s="15" t="n">
        <f aca="false">AI1236*評分方法!$C$9</f>
        <v>6</v>
      </c>
      <c r="N1236" s="15" t="n">
        <f aca="false">AJ1236*評分方法!$C$10</f>
        <v>2.328</v>
      </c>
      <c r="O1236" s="15" t="n">
        <f aca="false">AK1236*評分方法!$C$11</f>
        <v>5</v>
      </c>
      <c r="P1236" s="15" t="n">
        <f aca="false">AL1236*評分方法!$C$12</f>
        <v>0</v>
      </c>
      <c r="Q1236" s="6" t="n">
        <v>235216</v>
      </c>
      <c r="R1236" s="6" t="n">
        <v>31577937344</v>
      </c>
      <c r="S1236" s="11" t="s">
        <v>389</v>
      </c>
      <c r="T1236" s="11" t="s">
        <v>185</v>
      </c>
      <c r="U1236" s="5" t="s">
        <v>260</v>
      </c>
      <c r="V1236" s="11" t="s">
        <v>261</v>
      </c>
      <c r="W1236" s="5" t="s">
        <v>205</v>
      </c>
      <c r="X1236" s="5" t="s">
        <v>242</v>
      </c>
      <c r="Y1236" s="5"/>
      <c r="Z1236" s="5"/>
      <c r="AA1236" s="11" t="s">
        <v>155</v>
      </c>
      <c r="AB1236" s="5" t="s">
        <v>245</v>
      </c>
      <c r="AC1236" s="5" t="s">
        <v>262</v>
      </c>
      <c r="AD1236" s="11" t="s">
        <v>3095</v>
      </c>
      <c r="AE1236" s="23" t="n">
        <v>0.85</v>
      </c>
      <c r="AF1236" s="23" t="n">
        <v>0</v>
      </c>
      <c r="AG1236" s="23" t="n">
        <v>1</v>
      </c>
      <c r="AH1236" s="23" t="n">
        <v>0.6</v>
      </c>
      <c r="AI1236" s="23" t="n">
        <v>0.6</v>
      </c>
      <c r="AJ1236" s="23" t="n">
        <v>0.2328</v>
      </c>
      <c r="AK1236" s="23" t="n">
        <v>1</v>
      </c>
      <c r="AL1236" s="23" t="n">
        <v>0</v>
      </c>
      <c r="AM1236" s="16" t="n">
        <f aca="false">COUNTIFS($D$2:$D$2501,D1236,$G$2:$G$2501,"&gt;"&amp;G1236)+COUNTIFS($D$2:D1236,D1236,$G$2:G1236,G1236)</f>
        <v>557</v>
      </c>
      <c r="AN1236" s="5" t="str">
        <f aca="false">D1236&amp;"|"&amp;AM1236</f>
        <v>分析與報告生成|557</v>
      </c>
    </row>
    <row r="1237" customFormat="false" ht="17.15" hidden="false" customHeight="false" outlineLevel="0" collapsed="false">
      <c r="A1237" s="16" t="n">
        <f aca="false">RANK(G1237,$G$2:$G$2501)+COUNTIF($G$2:G1237,G1237)-1</f>
        <v>1236</v>
      </c>
      <c r="B1237" s="11" t="s">
        <v>3096</v>
      </c>
      <c r="C1237" s="11" t="s">
        <v>712</v>
      </c>
      <c r="D1237" s="5" t="s">
        <v>66</v>
      </c>
      <c r="E1237" s="5" t="s">
        <v>67</v>
      </c>
      <c r="F1237" s="5"/>
      <c r="G1237" s="22" t="n">
        <f aca="false">ROUND(SUM(I1237:P1237),3)</f>
        <v>62.824</v>
      </c>
      <c r="H1237" s="5" t="str">
        <f aca="false">IF(G1237&gt;=評分方法!$C$16,"優先評估",IF(G1237&gt;=評分方法!$C$17,"列入候選",IF(G1237&gt;=評分方法!$C$18,"特定情境","不建議")))</f>
        <v>特定情境</v>
      </c>
      <c r="I1237" s="15" t="n">
        <f aca="false">AE1237*評分方法!$C$5</f>
        <v>12</v>
      </c>
      <c r="J1237" s="15" t="n">
        <f aca="false">AF1237*評分方法!$C$6</f>
        <v>0</v>
      </c>
      <c r="K1237" s="15" t="n">
        <f aca="false">AG1237*評分方法!$C$7</f>
        <v>15</v>
      </c>
      <c r="L1237" s="15" t="n">
        <f aca="false">AH1237*評分方法!$C$8</f>
        <v>15</v>
      </c>
      <c r="M1237" s="15" t="n">
        <f aca="false">AI1237*評分方法!$C$9</f>
        <v>10</v>
      </c>
      <c r="N1237" s="15" t="n">
        <f aca="false">AJ1237*評分方法!$C$10</f>
        <v>9.824</v>
      </c>
      <c r="O1237" s="15" t="n">
        <f aca="false">AK1237*評分方法!$C$11</f>
        <v>1</v>
      </c>
      <c r="P1237" s="15" t="n">
        <f aca="false">AL1237*評分方法!$C$12</f>
        <v>0</v>
      </c>
      <c r="Q1237" s="6" t="n">
        <v>21605618</v>
      </c>
      <c r="R1237" s="6" t="n">
        <v>66955010</v>
      </c>
      <c r="S1237" s="11" t="s">
        <v>238</v>
      </c>
      <c r="T1237" s="11" t="s">
        <v>239</v>
      </c>
      <c r="U1237" s="5" t="s">
        <v>240</v>
      </c>
      <c r="V1237" s="11" t="s">
        <v>283</v>
      </c>
      <c r="W1237" s="5" t="s">
        <v>205</v>
      </c>
      <c r="X1237" s="5" t="s">
        <v>242</v>
      </c>
      <c r="Y1237" s="5"/>
      <c r="Z1237" s="5"/>
      <c r="AA1237" s="11" t="s">
        <v>149</v>
      </c>
      <c r="AB1237" s="5" t="s">
        <v>245</v>
      </c>
      <c r="AC1237" s="5" t="s">
        <v>3044</v>
      </c>
      <c r="AD1237" s="11" t="s">
        <v>3097</v>
      </c>
      <c r="AE1237" s="23" t="n">
        <v>0.4</v>
      </c>
      <c r="AF1237" s="23" t="n">
        <v>0</v>
      </c>
      <c r="AG1237" s="23" t="n">
        <v>1</v>
      </c>
      <c r="AH1237" s="23" t="n">
        <v>1</v>
      </c>
      <c r="AI1237" s="23" t="n">
        <v>1</v>
      </c>
      <c r="AJ1237" s="23" t="n">
        <v>0.9824</v>
      </c>
      <c r="AK1237" s="23" t="n">
        <v>0.2</v>
      </c>
      <c r="AL1237" s="23" t="n">
        <v>0</v>
      </c>
      <c r="AM1237" s="16" t="n">
        <f aca="false">COUNTIFS($D$2:$D$2501,D1237,$G$2:$G$2501,"&gt;"&amp;G1237)+COUNTIFS($D$2:D1237,D1237,$G$2:G1237,G1237)</f>
        <v>35</v>
      </c>
      <c r="AN1237" s="5" t="str">
        <f aca="false">D1237&amp;"|"&amp;AM1237</f>
        <v>分類與偵測|35</v>
      </c>
    </row>
    <row r="1238" customFormat="false" ht="17.15" hidden="false" customHeight="false" outlineLevel="0" collapsed="false">
      <c r="A1238" s="16" t="n">
        <f aca="false">RANK(G1238,$G$2:$G$2501)+COUNTIF($G$2:G1238,G1238)-1</f>
        <v>1237</v>
      </c>
      <c r="B1238" s="11" t="s">
        <v>3098</v>
      </c>
      <c r="C1238" s="11" t="s">
        <v>681</v>
      </c>
      <c r="D1238" s="5" t="s">
        <v>74</v>
      </c>
      <c r="E1238" s="5" t="s">
        <v>75</v>
      </c>
      <c r="F1238" s="5"/>
      <c r="G1238" s="22" t="n">
        <f aca="false">ROUND(SUM(I1238:P1238),3)</f>
        <v>62.804</v>
      </c>
      <c r="H1238" s="5" t="str">
        <f aca="false">IF(G1238&gt;=評分方法!$C$16,"優先評估",IF(G1238&gt;=評分方法!$C$17,"列入候選",IF(G1238&gt;=評分方法!$C$18,"特定情境","不建議")))</f>
        <v>特定情境</v>
      </c>
      <c r="I1238" s="15" t="n">
        <f aca="false">AE1238*評分方法!$C$5</f>
        <v>10.5</v>
      </c>
      <c r="J1238" s="15" t="n">
        <f aca="false">AF1238*評分方法!$C$6</f>
        <v>0</v>
      </c>
      <c r="K1238" s="15" t="n">
        <f aca="false">AG1238*評分方法!$C$7</f>
        <v>15</v>
      </c>
      <c r="L1238" s="15" t="n">
        <f aca="false">AH1238*評分方法!$C$8</f>
        <v>15</v>
      </c>
      <c r="M1238" s="15" t="n">
        <f aca="false">AI1238*評分方法!$C$9</f>
        <v>10</v>
      </c>
      <c r="N1238" s="15" t="n">
        <f aca="false">AJ1238*評分方法!$C$10</f>
        <v>9.804</v>
      </c>
      <c r="O1238" s="15" t="n">
        <f aca="false">AK1238*評分方法!$C$11</f>
        <v>1</v>
      </c>
      <c r="P1238" s="15" t="n">
        <f aca="false">AL1238*評分方法!$C$12</f>
        <v>1.5</v>
      </c>
      <c r="Q1238" s="6" t="n">
        <v>20116060</v>
      </c>
      <c r="R1238" s="6" t="n">
        <v>22056576</v>
      </c>
      <c r="S1238" s="11" t="s">
        <v>238</v>
      </c>
      <c r="T1238" s="11" t="s">
        <v>239</v>
      </c>
      <c r="U1238" s="5" t="s">
        <v>240</v>
      </c>
      <c r="V1238" s="11" t="s">
        <v>324</v>
      </c>
      <c r="W1238" s="5" t="s">
        <v>205</v>
      </c>
      <c r="X1238" s="5" t="s">
        <v>255</v>
      </c>
      <c r="Y1238" s="5"/>
      <c r="Z1238" s="5"/>
      <c r="AA1238" s="11" t="s">
        <v>173</v>
      </c>
      <c r="AB1238" s="5" t="s">
        <v>245</v>
      </c>
      <c r="AC1238" s="5"/>
      <c r="AD1238" s="11" t="s">
        <v>3099</v>
      </c>
      <c r="AE1238" s="23" t="n">
        <v>0.35</v>
      </c>
      <c r="AF1238" s="23" t="n">
        <v>0</v>
      </c>
      <c r="AG1238" s="23" t="n">
        <v>1</v>
      </c>
      <c r="AH1238" s="23" t="n">
        <v>1</v>
      </c>
      <c r="AI1238" s="23" t="n">
        <v>1</v>
      </c>
      <c r="AJ1238" s="23" t="n">
        <v>0.9804</v>
      </c>
      <c r="AK1238" s="23" t="n">
        <v>0.2</v>
      </c>
      <c r="AL1238" s="23" t="n">
        <v>0.3</v>
      </c>
      <c r="AM1238" s="16" t="n">
        <f aca="false">COUNTIFS($D$2:$D$2501,D1238,$G$2:$G$2501,"&gt;"&amp;G1238)+COUNTIFS($D$2:D1238,D1238,$G$2:G1238,G1238)</f>
        <v>44</v>
      </c>
      <c r="AN1238" s="5" t="str">
        <f aca="false">D1238&amp;"|"&amp;AM1238</f>
        <v>文件與影像辨識|44</v>
      </c>
    </row>
    <row r="1239" customFormat="false" ht="17.15" hidden="false" customHeight="false" outlineLevel="0" collapsed="false">
      <c r="A1239" s="16" t="n">
        <f aca="false">RANK(G1239,$G$2:$G$2501)+COUNTIF($G$2:G1239,G1239)-1</f>
        <v>1238</v>
      </c>
      <c r="B1239" s="11" t="s">
        <v>3100</v>
      </c>
      <c r="C1239" s="11" t="s">
        <v>368</v>
      </c>
      <c r="D1239" s="5" t="s">
        <v>56</v>
      </c>
      <c r="E1239" s="5" t="s">
        <v>57</v>
      </c>
      <c r="F1239" s="5"/>
      <c r="G1239" s="22" t="n">
        <f aca="false">ROUND(SUM(I1239:P1239),3)</f>
        <v>62.792</v>
      </c>
      <c r="H1239" s="5" t="str">
        <f aca="false">IF(G1239&gt;=評分方法!$C$16,"優先評估",IF(G1239&gt;=評分方法!$C$17,"列入候選",IF(G1239&gt;=評分方法!$C$18,"特定情境","不建議")))</f>
        <v>特定情境</v>
      </c>
      <c r="I1239" s="15" t="n">
        <f aca="false">AE1239*評分方法!$C$5</f>
        <v>25.5</v>
      </c>
      <c r="J1239" s="15" t="n">
        <f aca="false">AF1239*評分方法!$C$6</f>
        <v>0</v>
      </c>
      <c r="K1239" s="15" t="n">
        <f aca="false">AG1239*評分方法!$C$7</f>
        <v>15</v>
      </c>
      <c r="L1239" s="15" t="n">
        <f aca="false">AH1239*評分方法!$C$8</f>
        <v>9</v>
      </c>
      <c r="M1239" s="15" t="n">
        <f aca="false">AI1239*評分方法!$C$9</f>
        <v>6</v>
      </c>
      <c r="N1239" s="15" t="n">
        <f aca="false">AJ1239*評分方法!$C$10</f>
        <v>0.292</v>
      </c>
      <c r="O1239" s="15" t="n">
        <f aca="false">AK1239*評分方法!$C$11</f>
        <v>4</v>
      </c>
      <c r="P1239" s="15" t="n">
        <f aca="false">AL1239*評分方法!$C$12</f>
        <v>3</v>
      </c>
      <c r="Q1239" s="6" t="n">
        <v>124215</v>
      </c>
      <c r="R1239" s="6" t="n">
        <v>27432406640</v>
      </c>
      <c r="S1239" s="11" t="s">
        <v>389</v>
      </c>
      <c r="T1239" s="11" t="s">
        <v>658</v>
      </c>
      <c r="U1239" s="5" t="s">
        <v>260</v>
      </c>
      <c r="V1239" s="11" t="s">
        <v>261</v>
      </c>
      <c r="W1239" s="5" t="s">
        <v>205</v>
      </c>
      <c r="X1239" s="5" t="s">
        <v>371</v>
      </c>
      <c r="Y1239" s="5"/>
      <c r="Z1239" s="5"/>
      <c r="AA1239" s="11" t="s">
        <v>156</v>
      </c>
      <c r="AB1239" s="5" t="s">
        <v>245</v>
      </c>
      <c r="AC1239" s="5" t="s">
        <v>262</v>
      </c>
      <c r="AD1239" s="11" t="s">
        <v>3101</v>
      </c>
      <c r="AE1239" s="23" t="n">
        <v>0.85</v>
      </c>
      <c r="AF1239" s="23" t="n">
        <v>0</v>
      </c>
      <c r="AG1239" s="23" t="n">
        <v>1</v>
      </c>
      <c r="AH1239" s="23" t="n">
        <v>0.6</v>
      </c>
      <c r="AI1239" s="23" t="n">
        <v>0.6</v>
      </c>
      <c r="AJ1239" s="23" t="n">
        <v>0.0292</v>
      </c>
      <c r="AK1239" s="23" t="n">
        <v>0.8</v>
      </c>
      <c r="AL1239" s="23" t="n">
        <v>0.6</v>
      </c>
      <c r="AM1239" s="16" t="n">
        <f aca="false">COUNTIFS($D$2:$D$2501,D1239,$G$2:$G$2501,"&gt;"&amp;G1239)+COUNTIFS($D$2:D1239,D1239,$G$2:G1239,G1239)</f>
        <v>558</v>
      </c>
      <c r="AN1239" s="5" t="str">
        <f aca="false">D1239&amp;"|"&amp;AM1239</f>
        <v>分析與報告生成|558</v>
      </c>
    </row>
    <row r="1240" customFormat="false" ht="17.15" hidden="false" customHeight="false" outlineLevel="0" collapsed="false">
      <c r="A1240" s="16" t="n">
        <f aca="false">RANK(G1240,$G$2:$G$2501)+COUNTIF($G$2:G1240,G1240)-1</f>
        <v>1239</v>
      </c>
      <c r="B1240" s="11" t="s">
        <v>3102</v>
      </c>
      <c r="C1240" s="11" t="s">
        <v>681</v>
      </c>
      <c r="D1240" s="5" t="s">
        <v>72</v>
      </c>
      <c r="E1240" s="5" t="s">
        <v>73</v>
      </c>
      <c r="F1240" s="5"/>
      <c r="G1240" s="22" t="n">
        <f aca="false">ROUND(SUM(I1240:P1240),3)</f>
        <v>62.778</v>
      </c>
      <c r="H1240" s="5" t="str">
        <f aca="false">IF(G1240&gt;=評分方法!$C$16,"優先評估",IF(G1240&gt;=評分方法!$C$17,"列入候選",IF(G1240&gt;=評分方法!$C$18,"特定情境","不建議")))</f>
        <v>特定情境</v>
      </c>
      <c r="I1240" s="15" t="n">
        <f aca="false">AE1240*評分方法!$C$5</f>
        <v>15</v>
      </c>
      <c r="J1240" s="15" t="n">
        <f aca="false">AF1240*評分方法!$C$6</f>
        <v>0</v>
      </c>
      <c r="K1240" s="15" t="n">
        <f aca="false">AG1240*評分方法!$C$7</f>
        <v>15</v>
      </c>
      <c r="L1240" s="15" t="n">
        <f aca="false">AH1240*評分方法!$C$8</f>
        <v>13.05</v>
      </c>
      <c r="M1240" s="15" t="n">
        <f aca="false">AI1240*評分方法!$C$9</f>
        <v>10</v>
      </c>
      <c r="N1240" s="15" t="n">
        <f aca="false">AJ1240*評分方法!$C$10</f>
        <v>3.728</v>
      </c>
      <c r="O1240" s="15" t="n">
        <f aca="false">AK1240*評分方法!$C$11</f>
        <v>1</v>
      </c>
      <c r="P1240" s="15" t="n">
        <f aca="false">AL1240*評分方法!$C$12</f>
        <v>5</v>
      </c>
      <c r="Q1240" s="6" t="n">
        <v>379787</v>
      </c>
      <c r="R1240" s="6" t="n">
        <v>3482742274</v>
      </c>
      <c r="S1240" s="11" t="s">
        <v>254</v>
      </c>
      <c r="T1240" s="11" t="s">
        <v>278</v>
      </c>
      <c r="U1240" s="5" t="s">
        <v>240</v>
      </c>
      <c r="V1240" s="11" t="s">
        <v>324</v>
      </c>
      <c r="W1240" s="5" t="s">
        <v>205</v>
      </c>
      <c r="X1240" s="5" t="s">
        <v>284</v>
      </c>
      <c r="Y1240" s="5"/>
      <c r="Z1240" s="5"/>
      <c r="AA1240" s="11" t="s">
        <v>162</v>
      </c>
      <c r="AB1240" s="5" t="s">
        <v>245</v>
      </c>
      <c r="AC1240" s="5"/>
      <c r="AD1240" s="11" t="s">
        <v>3103</v>
      </c>
      <c r="AE1240" s="23" t="n">
        <v>0.5</v>
      </c>
      <c r="AF1240" s="23" t="n">
        <v>0</v>
      </c>
      <c r="AG1240" s="23" t="n">
        <v>1</v>
      </c>
      <c r="AH1240" s="23" t="n">
        <v>0.87</v>
      </c>
      <c r="AI1240" s="23" t="n">
        <v>1</v>
      </c>
      <c r="AJ1240" s="23" t="n">
        <v>0.3728</v>
      </c>
      <c r="AK1240" s="23" t="n">
        <v>0.2</v>
      </c>
      <c r="AL1240" s="23" t="n">
        <v>1</v>
      </c>
      <c r="AM1240" s="16" t="n">
        <f aca="false">COUNTIFS($D$2:$D$2501,D1240,$G$2:$G$2501,"&gt;"&amp;G1240)+COUNTIFS($D$2:D1240,D1240,$G$2:G1240,G1240)</f>
        <v>24</v>
      </c>
      <c r="AN1240" s="5" t="str">
        <f aca="false">D1240&amp;"|"&amp;AM1240</f>
        <v>微調基底模型|24</v>
      </c>
    </row>
    <row r="1241" customFormat="false" ht="17.15" hidden="false" customHeight="false" outlineLevel="0" collapsed="false">
      <c r="A1241" s="16" t="n">
        <f aca="false">RANK(G1241,$G$2:$G$2501)+COUNTIF($G$2:G1241,G1241)-1</f>
        <v>1240</v>
      </c>
      <c r="B1241" s="11" t="s">
        <v>3104</v>
      </c>
      <c r="C1241" s="11" t="s">
        <v>1438</v>
      </c>
      <c r="D1241" s="5" t="s">
        <v>56</v>
      </c>
      <c r="E1241" s="5" t="s">
        <v>57</v>
      </c>
      <c r="F1241" s="5"/>
      <c r="G1241" s="22" t="n">
        <f aca="false">ROUND(SUM(I1241:P1241),3)</f>
        <v>62.76</v>
      </c>
      <c r="H1241" s="5" t="str">
        <f aca="false">IF(G1241&gt;=評分方法!$C$16,"優先評估",IF(G1241&gt;=評分方法!$C$17,"列入候選",IF(G1241&gt;=評分方法!$C$18,"特定情境","不建議")))</f>
        <v>特定情境</v>
      </c>
      <c r="I1241" s="15" t="n">
        <f aca="false">AE1241*評分方法!$C$5</f>
        <v>25.5</v>
      </c>
      <c r="J1241" s="15" t="n">
        <f aca="false">AF1241*評分方法!$C$6</f>
        <v>0</v>
      </c>
      <c r="K1241" s="15" t="n">
        <f aca="false">AG1241*評分方法!$C$7</f>
        <v>10.05</v>
      </c>
      <c r="L1241" s="15" t="n">
        <f aca="false">AH1241*評分方法!$C$8</f>
        <v>13.05</v>
      </c>
      <c r="M1241" s="15" t="n">
        <f aca="false">AI1241*評分方法!$C$9</f>
        <v>2</v>
      </c>
      <c r="N1241" s="15" t="n">
        <f aca="false">AJ1241*評分方法!$C$10</f>
        <v>6.66</v>
      </c>
      <c r="O1241" s="15" t="n">
        <f aca="false">AK1241*評分方法!$C$11</f>
        <v>2.5</v>
      </c>
      <c r="P1241" s="15" t="n">
        <f aca="false">AL1241*評分方法!$C$12</f>
        <v>3</v>
      </c>
      <c r="Q1241" s="6" t="n">
        <v>799378</v>
      </c>
      <c r="R1241" s="6" t="n">
        <v>3836021856</v>
      </c>
      <c r="S1241" s="11" t="s">
        <v>254</v>
      </c>
      <c r="T1241" s="5"/>
      <c r="U1241" s="5" t="s">
        <v>375</v>
      </c>
      <c r="V1241" s="11" t="s">
        <v>333</v>
      </c>
      <c r="W1241" s="5" t="s">
        <v>207</v>
      </c>
      <c r="X1241" s="5" t="s">
        <v>371</v>
      </c>
      <c r="Y1241" s="11" t="s">
        <v>3105</v>
      </c>
      <c r="Z1241" s="11" t="s">
        <v>244</v>
      </c>
      <c r="AA1241" s="11" t="s">
        <v>155</v>
      </c>
      <c r="AB1241" s="5" t="s">
        <v>245</v>
      </c>
      <c r="AC1241" s="5" t="s">
        <v>464</v>
      </c>
      <c r="AD1241" s="11" t="s">
        <v>3106</v>
      </c>
      <c r="AE1241" s="23" t="n">
        <v>0.85</v>
      </c>
      <c r="AF1241" s="23" t="n">
        <v>0</v>
      </c>
      <c r="AG1241" s="23" t="n">
        <v>0.67</v>
      </c>
      <c r="AH1241" s="23" t="n">
        <v>0.87</v>
      </c>
      <c r="AI1241" s="23" t="n">
        <v>0.2</v>
      </c>
      <c r="AJ1241" s="23" t="n">
        <v>0.666</v>
      </c>
      <c r="AK1241" s="23" t="n">
        <v>0.5</v>
      </c>
      <c r="AL1241" s="23" t="n">
        <v>0.6</v>
      </c>
      <c r="AM1241" s="16" t="n">
        <f aca="false">COUNTIFS($D$2:$D$2501,D1241,$G$2:$G$2501,"&gt;"&amp;G1241)+COUNTIFS($D$2:D1241,D1241,$G$2:G1241,G1241)</f>
        <v>559</v>
      </c>
      <c r="AN1241" s="5" t="str">
        <f aca="false">D1241&amp;"|"&amp;AM1241</f>
        <v>分析與報告生成|559</v>
      </c>
    </row>
    <row r="1242" customFormat="false" ht="17.15" hidden="false" customHeight="false" outlineLevel="0" collapsed="false">
      <c r="A1242" s="16" t="n">
        <f aca="false">RANK(G1242,$G$2:$G$2501)+COUNTIF($G$2:G1242,G1242)-1</f>
        <v>1241</v>
      </c>
      <c r="B1242" s="11" t="s">
        <v>3107</v>
      </c>
      <c r="C1242" s="11" t="s">
        <v>3108</v>
      </c>
      <c r="D1242" s="5" t="s">
        <v>56</v>
      </c>
      <c r="E1242" s="5" t="s">
        <v>57</v>
      </c>
      <c r="F1242" s="5"/>
      <c r="G1242" s="22" t="n">
        <f aca="false">ROUND(SUM(I1242:P1242),3)</f>
        <v>62.754</v>
      </c>
      <c r="H1242" s="5" t="str">
        <f aca="false">IF(G1242&gt;=評分方法!$C$16,"優先評估",IF(G1242&gt;=評分方法!$C$17,"列入候選",IF(G1242&gt;=評分方法!$C$18,"特定情境","不建議")))</f>
        <v>特定情境</v>
      </c>
      <c r="I1242" s="15" t="n">
        <f aca="false">AE1242*評分方法!$C$5</f>
        <v>25.5</v>
      </c>
      <c r="J1242" s="15" t="n">
        <f aca="false">AF1242*評分方法!$C$6</f>
        <v>0</v>
      </c>
      <c r="K1242" s="15" t="n">
        <f aca="false">AG1242*評分方法!$C$7</f>
        <v>4.95</v>
      </c>
      <c r="L1242" s="15" t="n">
        <f aca="false">AH1242*評分方法!$C$8</f>
        <v>15</v>
      </c>
      <c r="M1242" s="15" t="n">
        <f aca="false">AI1242*評分方法!$C$9</f>
        <v>8</v>
      </c>
      <c r="N1242" s="15" t="n">
        <f aca="false">AJ1242*評分方法!$C$10</f>
        <v>5.304</v>
      </c>
      <c r="O1242" s="15" t="n">
        <f aca="false">AK1242*評分方法!$C$11</f>
        <v>1</v>
      </c>
      <c r="P1242" s="15" t="n">
        <f aca="false">AL1242*評分方法!$C$12</f>
        <v>3</v>
      </c>
      <c r="Q1242" s="6" t="n">
        <v>558227</v>
      </c>
      <c r="R1242" s="6" t="n">
        <v>312458252</v>
      </c>
      <c r="S1242" s="11" t="s">
        <v>238</v>
      </c>
      <c r="T1242" s="11" t="s">
        <v>1821</v>
      </c>
      <c r="U1242" s="5" t="s">
        <v>1822</v>
      </c>
      <c r="V1242" s="11" t="s">
        <v>261</v>
      </c>
      <c r="W1242" s="5" t="s">
        <v>334</v>
      </c>
      <c r="X1242" s="5" t="s">
        <v>371</v>
      </c>
      <c r="Y1242" s="5"/>
      <c r="Z1242" s="5"/>
      <c r="AA1242" s="11" t="s">
        <v>156</v>
      </c>
      <c r="AB1242" s="5" t="s">
        <v>245</v>
      </c>
      <c r="AC1242" s="5"/>
      <c r="AD1242" s="11" t="s">
        <v>3109</v>
      </c>
      <c r="AE1242" s="23" t="n">
        <v>0.85</v>
      </c>
      <c r="AF1242" s="23" t="n">
        <v>0</v>
      </c>
      <c r="AG1242" s="23" t="n">
        <v>0.33</v>
      </c>
      <c r="AH1242" s="23" t="n">
        <v>1</v>
      </c>
      <c r="AI1242" s="23" t="n">
        <v>0.8</v>
      </c>
      <c r="AJ1242" s="23" t="n">
        <v>0.5304</v>
      </c>
      <c r="AK1242" s="23" t="n">
        <v>0.2</v>
      </c>
      <c r="AL1242" s="23" t="n">
        <v>0.6</v>
      </c>
      <c r="AM1242" s="16" t="n">
        <f aca="false">COUNTIFS($D$2:$D$2501,D1242,$G$2:$G$2501,"&gt;"&amp;G1242)+COUNTIFS($D$2:D1242,D1242,$G$2:G1242,G1242)</f>
        <v>560</v>
      </c>
      <c r="AN1242" s="5" t="str">
        <f aca="false">D1242&amp;"|"&amp;AM1242</f>
        <v>分析與報告生成|560</v>
      </c>
    </row>
    <row r="1243" customFormat="false" ht="17.15" hidden="false" customHeight="false" outlineLevel="0" collapsed="false">
      <c r="A1243" s="16" t="n">
        <f aca="false">RANK(G1243,$G$2:$G$2501)+COUNTIF($G$2:G1243,G1243)-1</f>
        <v>1242</v>
      </c>
      <c r="B1243" s="11" t="s">
        <v>3110</v>
      </c>
      <c r="C1243" s="11" t="s">
        <v>681</v>
      </c>
      <c r="D1243" s="5" t="s">
        <v>74</v>
      </c>
      <c r="E1243" s="5" t="s">
        <v>75</v>
      </c>
      <c r="F1243" s="5"/>
      <c r="G1243" s="22" t="n">
        <f aca="false">ROUND(SUM(I1243:P1243),3)</f>
        <v>62.744</v>
      </c>
      <c r="H1243" s="5" t="str">
        <f aca="false">IF(G1243&gt;=評分方法!$C$16,"優先評估",IF(G1243&gt;=評分方法!$C$17,"列入候選",IF(G1243&gt;=評分方法!$C$18,"特定情境","不建議")))</f>
        <v>特定情境</v>
      </c>
      <c r="I1243" s="15" t="n">
        <f aca="false">AE1243*評分方法!$C$5</f>
        <v>10.5</v>
      </c>
      <c r="J1243" s="15" t="n">
        <f aca="false">AF1243*評分方法!$C$6</f>
        <v>0</v>
      </c>
      <c r="K1243" s="15" t="n">
        <f aca="false">AG1243*評分方法!$C$7</f>
        <v>15</v>
      </c>
      <c r="L1243" s="15" t="n">
        <f aca="false">AH1243*評分方法!$C$8</f>
        <v>15</v>
      </c>
      <c r="M1243" s="15" t="n">
        <f aca="false">AI1243*評分方法!$C$9</f>
        <v>10</v>
      </c>
      <c r="N1243" s="15" t="n">
        <f aca="false">AJ1243*評分方法!$C$10</f>
        <v>9.744</v>
      </c>
      <c r="O1243" s="15" t="n">
        <f aca="false">AK1243*評分方法!$C$11</f>
        <v>1</v>
      </c>
      <c r="P1243" s="15" t="n">
        <f aca="false">AL1243*評分方法!$C$12</f>
        <v>1.5</v>
      </c>
      <c r="Q1243" s="6" t="n">
        <v>16212784</v>
      </c>
      <c r="R1243" s="6" t="n">
        <v>86580480</v>
      </c>
      <c r="S1243" s="11" t="s">
        <v>238</v>
      </c>
      <c r="T1243" s="11" t="s">
        <v>239</v>
      </c>
      <c r="U1243" s="5" t="s">
        <v>240</v>
      </c>
      <c r="V1243" s="11" t="s">
        <v>324</v>
      </c>
      <c r="W1243" s="5" t="s">
        <v>205</v>
      </c>
      <c r="X1243" s="5" t="s">
        <v>255</v>
      </c>
      <c r="Y1243" s="5"/>
      <c r="Z1243" s="5"/>
      <c r="AA1243" s="11" t="s">
        <v>173</v>
      </c>
      <c r="AB1243" s="5" t="s">
        <v>245</v>
      </c>
      <c r="AC1243" s="5"/>
      <c r="AD1243" s="11" t="s">
        <v>3111</v>
      </c>
      <c r="AE1243" s="23" t="n">
        <v>0.35</v>
      </c>
      <c r="AF1243" s="23" t="n">
        <v>0</v>
      </c>
      <c r="AG1243" s="23" t="n">
        <v>1</v>
      </c>
      <c r="AH1243" s="23" t="n">
        <v>1</v>
      </c>
      <c r="AI1243" s="23" t="n">
        <v>1</v>
      </c>
      <c r="AJ1243" s="23" t="n">
        <v>0.9744</v>
      </c>
      <c r="AK1243" s="23" t="n">
        <v>0.2</v>
      </c>
      <c r="AL1243" s="23" t="n">
        <v>0.3</v>
      </c>
      <c r="AM1243" s="16" t="n">
        <f aca="false">COUNTIFS($D$2:$D$2501,D1243,$G$2:$G$2501,"&gt;"&amp;G1243)+COUNTIFS($D$2:D1243,D1243,$G$2:G1243,G1243)</f>
        <v>45</v>
      </c>
      <c r="AN1243" s="5" t="str">
        <f aca="false">D1243&amp;"|"&amp;AM1243</f>
        <v>文件與影像辨識|45</v>
      </c>
    </row>
    <row r="1244" customFormat="false" ht="17.15" hidden="false" customHeight="false" outlineLevel="0" collapsed="false">
      <c r="A1244" s="16" t="n">
        <f aca="false">RANK(G1244,$G$2:$G$2501)+COUNTIF($G$2:G1244,G1244)-1</f>
        <v>1243</v>
      </c>
      <c r="B1244" s="11" t="s">
        <v>3112</v>
      </c>
      <c r="C1244" s="11" t="s">
        <v>1654</v>
      </c>
      <c r="D1244" s="5" t="s">
        <v>76</v>
      </c>
      <c r="E1244" s="5" t="s">
        <v>77</v>
      </c>
      <c r="F1244" s="5"/>
      <c r="G1244" s="22" t="n">
        <f aca="false">ROUND(SUM(I1244:P1244),3)</f>
        <v>62.732</v>
      </c>
      <c r="H1244" s="5" t="str">
        <f aca="false">IF(G1244&gt;=評分方法!$C$16,"優先評估",IF(G1244&gt;=評分方法!$C$17,"列入候選",IF(G1244&gt;=評分方法!$C$18,"特定情境","不建議")))</f>
        <v>特定情境</v>
      </c>
      <c r="I1244" s="15" t="n">
        <f aca="false">AE1244*評分方法!$C$5</f>
        <v>12</v>
      </c>
      <c r="J1244" s="15" t="n">
        <f aca="false">AF1244*評分方法!$C$6</f>
        <v>0</v>
      </c>
      <c r="K1244" s="15" t="n">
        <f aca="false">AG1244*評分方法!$C$7</f>
        <v>15</v>
      </c>
      <c r="L1244" s="15" t="n">
        <f aca="false">AH1244*評分方法!$C$8</f>
        <v>15</v>
      </c>
      <c r="M1244" s="15" t="n">
        <f aca="false">AI1244*評分方法!$C$9</f>
        <v>10</v>
      </c>
      <c r="N1244" s="15" t="n">
        <f aca="false">AJ1244*評分方法!$C$10</f>
        <v>9.732</v>
      </c>
      <c r="O1244" s="15" t="n">
        <f aca="false">AK1244*評分方法!$C$11</f>
        <v>1</v>
      </c>
      <c r="P1244" s="15" t="n">
        <f aca="false">AL1244*評分方法!$C$12</f>
        <v>0</v>
      </c>
      <c r="Q1244" s="6" t="n">
        <v>15841549</v>
      </c>
      <c r="R1244" s="6" t="n">
        <v>222903936</v>
      </c>
      <c r="S1244" s="11" t="s">
        <v>238</v>
      </c>
      <c r="T1244" s="11" t="s">
        <v>239</v>
      </c>
      <c r="U1244" s="5" t="s">
        <v>240</v>
      </c>
      <c r="V1244" s="11" t="s">
        <v>279</v>
      </c>
      <c r="W1244" s="5" t="s">
        <v>205</v>
      </c>
      <c r="X1244" s="5" t="s">
        <v>242</v>
      </c>
      <c r="Y1244" s="5"/>
      <c r="Z1244" s="5"/>
      <c r="AA1244" s="11" t="s">
        <v>168</v>
      </c>
      <c r="AB1244" s="5" t="s">
        <v>245</v>
      </c>
      <c r="AC1244" s="5"/>
      <c r="AD1244" s="11" t="s">
        <v>3113</v>
      </c>
      <c r="AE1244" s="23" t="n">
        <v>0.4</v>
      </c>
      <c r="AF1244" s="23" t="n">
        <v>0</v>
      </c>
      <c r="AG1244" s="23" t="n">
        <v>1</v>
      </c>
      <c r="AH1244" s="23" t="n">
        <v>1</v>
      </c>
      <c r="AI1244" s="23" t="n">
        <v>1</v>
      </c>
      <c r="AJ1244" s="23" t="n">
        <v>0.9732</v>
      </c>
      <c r="AK1244" s="23" t="n">
        <v>0.2</v>
      </c>
      <c r="AL1244" s="23" t="n">
        <v>0</v>
      </c>
      <c r="AM1244" s="16" t="n">
        <f aca="false">COUNTIFS($D$2:$D$2501,D1244,$G$2:$G$2501,"&gt;"&amp;G1244)+COUNTIFS($D$2:D1244,D1244,$G$2:G1244,G1244)</f>
        <v>6</v>
      </c>
      <c r="AN1244" s="5" t="str">
        <f aca="false">D1244&amp;"|"&amp;AM1244</f>
        <v>情資翻譯|6</v>
      </c>
    </row>
    <row r="1245" customFormat="false" ht="17.15" hidden="false" customHeight="false" outlineLevel="0" collapsed="false">
      <c r="A1245" s="16" t="n">
        <f aca="false">RANK(G1245,$G$2:$G$2501)+COUNTIF($G$2:G1245,G1245)-1</f>
        <v>1244</v>
      </c>
      <c r="B1245" s="11" t="s">
        <v>3114</v>
      </c>
      <c r="C1245" s="11" t="s">
        <v>402</v>
      </c>
      <c r="D1245" s="5" t="s">
        <v>48</v>
      </c>
      <c r="E1245" s="5" t="s">
        <v>49</v>
      </c>
      <c r="F1245" s="5" t="s">
        <v>48</v>
      </c>
      <c r="G1245" s="22" t="n">
        <f aca="false">ROUND(SUM(I1245:P1245),3)</f>
        <v>62.694</v>
      </c>
      <c r="H1245" s="5" t="str">
        <f aca="false">IF(G1245&gt;=評分方法!$C$16,"優先評估",IF(G1245&gt;=評分方法!$C$17,"列入候選",IF(G1245&gt;=評分方法!$C$18,"特定情境","不建議")))</f>
        <v>特定情境</v>
      </c>
      <c r="I1245" s="15" t="n">
        <f aca="false">AE1245*評分方法!$C$5</f>
        <v>17.1</v>
      </c>
      <c r="J1245" s="15" t="n">
        <f aca="false">AF1245*評分方法!$C$6</f>
        <v>10</v>
      </c>
      <c r="K1245" s="15" t="n">
        <f aca="false">AG1245*評分方法!$C$7</f>
        <v>4.95</v>
      </c>
      <c r="L1245" s="15" t="n">
        <f aca="false">AH1245*評分方法!$C$8</f>
        <v>15</v>
      </c>
      <c r="M1245" s="15" t="n">
        <f aca="false">AI1245*評分方法!$C$9</f>
        <v>10</v>
      </c>
      <c r="N1245" s="15" t="n">
        <f aca="false">AJ1245*評分方法!$C$10</f>
        <v>1.644</v>
      </c>
      <c r="O1245" s="15" t="n">
        <f aca="false">AK1245*評分方法!$C$11</f>
        <v>4</v>
      </c>
      <c r="P1245" s="15" t="n">
        <f aca="false">AL1245*評分方法!$C$12</f>
        <v>0</v>
      </c>
      <c r="Q1245" s="6" t="n">
        <v>186940</v>
      </c>
      <c r="R1245" s="6" t="n">
        <v>434090060</v>
      </c>
      <c r="S1245" s="11" t="s">
        <v>238</v>
      </c>
      <c r="T1245" s="11" t="s">
        <v>239</v>
      </c>
      <c r="U1245" s="5" t="s">
        <v>240</v>
      </c>
      <c r="V1245" s="11" t="s">
        <v>261</v>
      </c>
      <c r="W1245" s="5" t="s">
        <v>334</v>
      </c>
      <c r="X1245" s="5" t="s">
        <v>242</v>
      </c>
      <c r="Y1245" s="11" t="s">
        <v>595</v>
      </c>
      <c r="Z1245" s="11" t="s">
        <v>270</v>
      </c>
      <c r="AA1245" s="11" t="s">
        <v>150</v>
      </c>
      <c r="AB1245" s="5" t="s">
        <v>245</v>
      </c>
      <c r="AC1245" s="5" t="s">
        <v>1463</v>
      </c>
      <c r="AD1245" s="11" t="s">
        <v>3115</v>
      </c>
      <c r="AE1245" s="23" t="n">
        <v>0.57</v>
      </c>
      <c r="AF1245" s="23" t="n">
        <v>1</v>
      </c>
      <c r="AG1245" s="23" t="n">
        <v>0.33</v>
      </c>
      <c r="AH1245" s="23" t="n">
        <v>1</v>
      </c>
      <c r="AI1245" s="23" t="n">
        <v>1</v>
      </c>
      <c r="AJ1245" s="23" t="n">
        <v>0.1644</v>
      </c>
      <c r="AK1245" s="23" t="n">
        <v>0.8</v>
      </c>
      <c r="AL1245" s="23" t="n">
        <v>0</v>
      </c>
      <c r="AM1245" s="16" t="n">
        <f aca="false">COUNTIFS($D$2:$D$2501,D1245,$G$2:$G$2501,"&gt;"&amp;G1245)+COUNTIFS($D$2:D1245,D1245,$G$2:G1245,G1245)</f>
        <v>13</v>
      </c>
      <c r="AN1245" s="5" t="str">
        <f aca="false">D1245&amp;"|"&amp;AM1245</f>
        <v>個資偵測與去識別化|13</v>
      </c>
    </row>
    <row r="1246" customFormat="false" ht="17.15" hidden="false" customHeight="false" outlineLevel="0" collapsed="false">
      <c r="A1246" s="16" t="n">
        <f aca="false">RANK(G1246,$G$2:$G$2501)+COUNTIF($G$2:G1246,G1246)-1</f>
        <v>1245</v>
      </c>
      <c r="B1246" s="11" t="s">
        <v>3116</v>
      </c>
      <c r="C1246" s="11" t="s">
        <v>2693</v>
      </c>
      <c r="D1246" s="5" t="s">
        <v>74</v>
      </c>
      <c r="E1246" s="5" t="s">
        <v>75</v>
      </c>
      <c r="F1246" s="5"/>
      <c r="G1246" s="22" t="n">
        <f aca="false">ROUND(SUM(I1246:P1246),3)</f>
        <v>62.688</v>
      </c>
      <c r="H1246" s="5" t="str">
        <f aca="false">IF(G1246&gt;=評分方法!$C$16,"優先評估",IF(G1246&gt;=評分方法!$C$17,"列入候選",IF(G1246&gt;=評分方法!$C$18,"特定情境","不建議")))</f>
        <v>特定情境</v>
      </c>
      <c r="I1246" s="15" t="n">
        <f aca="false">AE1246*評分方法!$C$5</f>
        <v>10.5</v>
      </c>
      <c r="J1246" s="15" t="n">
        <f aca="false">AF1246*評分方法!$C$6</f>
        <v>0</v>
      </c>
      <c r="K1246" s="15" t="n">
        <f aca="false">AG1246*評分方法!$C$7</f>
        <v>15</v>
      </c>
      <c r="L1246" s="15" t="n">
        <f aca="false">AH1246*評分方法!$C$8</f>
        <v>15</v>
      </c>
      <c r="M1246" s="15" t="n">
        <f aca="false">AI1246*評分方法!$C$9</f>
        <v>10</v>
      </c>
      <c r="N1246" s="15" t="n">
        <f aca="false">AJ1246*評分方法!$C$10</f>
        <v>8.188</v>
      </c>
      <c r="O1246" s="15" t="n">
        <f aca="false">AK1246*評分方法!$C$11</f>
        <v>2.5</v>
      </c>
      <c r="P1246" s="15" t="n">
        <f aca="false">AL1246*評分方法!$C$12</f>
        <v>1.5</v>
      </c>
      <c r="Q1246" s="6" t="n">
        <v>1803353</v>
      </c>
      <c r="R1246" s="6" t="n">
        <v>304370688</v>
      </c>
      <c r="S1246" s="11" t="s">
        <v>238</v>
      </c>
      <c r="T1246" s="11" t="s">
        <v>239</v>
      </c>
      <c r="U1246" s="5" t="s">
        <v>240</v>
      </c>
      <c r="V1246" s="11" t="s">
        <v>324</v>
      </c>
      <c r="W1246" s="5" t="s">
        <v>205</v>
      </c>
      <c r="X1246" s="5" t="s">
        <v>255</v>
      </c>
      <c r="Y1246" s="5"/>
      <c r="Z1246" s="5"/>
      <c r="AA1246" s="11" t="s">
        <v>173</v>
      </c>
      <c r="AB1246" s="5" t="s">
        <v>245</v>
      </c>
      <c r="AC1246" s="5"/>
      <c r="AD1246" s="11" t="s">
        <v>3117</v>
      </c>
      <c r="AE1246" s="23" t="n">
        <v>0.35</v>
      </c>
      <c r="AF1246" s="23" t="n">
        <v>0</v>
      </c>
      <c r="AG1246" s="23" t="n">
        <v>1</v>
      </c>
      <c r="AH1246" s="23" t="n">
        <v>1</v>
      </c>
      <c r="AI1246" s="23" t="n">
        <v>1</v>
      </c>
      <c r="AJ1246" s="23" t="n">
        <v>0.8188</v>
      </c>
      <c r="AK1246" s="23" t="n">
        <v>0.5</v>
      </c>
      <c r="AL1246" s="23" t="n">
        <v>0.3</v>
      </c>
      <c r="AM1246" s="16" t="n">
        <f aca="false">COUNTIFS($D$2:$D$2501,D1246,$G$2:$G$2501,"&gt;"&amp;G1246)+COUNTIFS($D$2:D1246,D1246,$G$2:G1246,G1246)</f>
        <v>46</v>
      </c>
      <c r="AN1246" s="5" t="str">
        <f aca="false">D1246&amp;"|"&amp;AM1246</f>
        <v>文件與影像辨識|46</v>
      </c>
    </row>
    <row r="1247" customFormat="false" ht="17.15" hidden="false" customHeight="false" outlineLevel="0" collapsed="false">
      <c r="A1247" s="16" t="n">
        <f aca="false">RANK(G1247,$G$2:$G$2501)+COUNTIF($G$2:G1247,G1247)-1</f>
        <v>1246</v>
      </c>
      <c r="B1247" s="11" t="s">
        <v>3118</v>
      </c>
      <c r="C1247" s="11" t="s">
        <v>1635</v>
      </c>
      <c r="D1247" s="5" t="s">
        <v>56</v>
      </c>
      <c r="E1247" s="5" t="s">
        <v>57</v>
      </c>
      <c r="F1247" s="5"/>
      <c r="G1247" s="22" t="n">
        <f aca="false">ROUND(SUM(I1247:P1247),3)</f>
        <v>62.684</v>
      </c>
      <c r="H1247" s="5" t="str">
        <f aca="false">IF(G1247&gt;=評分方法!$C$16,"優先評估",IF(G1247&gt;=評分方法!$C$17,"列入候選",IF(G1247&gt;=評分方法!$C$18,"特定情境","不建議")))</f>
        <v>特定情境</v>
      </c>
      <c r="I1247" s="15" t="n">
        <f aca="false">AE1247*評分方法!$C$5</f>
        <v>18</v>
      </c>
      <c r="J1247" s="15" t="n">
        <f aca="false">AF1247*評分方法!$C$6</f>
        <v>0</v>
      </c>
      <c r="K1247" s="15" t="n">
        <f aca="false">AG1247*評分方法!$C$7</f>
        <v>15</v>
      </c>
      <c r="L1247" s="15" t="n">
        <f aca="false">AH1247*評分方法!$C$8</f>
        <v>15</v>
      </c>
      <c r="M1247" s="15" t="n">
        <f aca="false">AI1247*評分方法!$C$9</f>
        <v>10</v>
      </c>
      <c r="N1247" s="15" t="n">
        <f aca="false">AJ1247*評分方法!$C$10</f>
        <v>3.684</v>
      </c>
      <c r="O1247" s="15" t="n">
        <f aca="false">AK1247*評分方法!$C$11</f>
        <v>1</v>
      </c>
      <c r="P1247" s="15" t="n">
        <f aca="false">AL1247*評分方法!$C$12</f>
        <v>0</v>
      </c>
      <c r="Q1247" s="6" t="n">
        <v>373790</v>
      </c>
      <c r="R1247" s="6" t="n">
        <v>108311810</v>
      </c>
      <c r="S1247" s="11" t="s">
        <v>238</v>
      </c>
      <c r="T1247" s="11" t="s">
        <v>1636</v>
      </c>
      <c r="U1247" s="5" t="s">
        <v>240</v>
      </c>
      <c r="V1247" s="11" t="s">
        <v>813</v>
      </c>
      <c r="W1247" s="5" t="s">
        <v>205</v>
      </c>
      <c r="X1247" s="5" t="s">
        <v>242</v>
      </c>
      <c r="Y1247" s="5"/>
      <c r="Z1247" s="5"/>
      <c r="AA1247" s="11" t="s">
        <v>159</v>
      </c>
      <c r="AB1247" s="5" t="s">
        <v>245</v>
      </c>
      <c r="AC1247" s="5"/>
      <c r="AD1247" s="11" t="s">
        <v>3119</v>
      </c>
      <c r="AE1247" s="23" t="n">
        <v>0.6</v>
      </c>
      <c r="AF1247" s="23" t="n">
        <v>0</v>
      </c>
      <c r="AG1247" s="23" t="n">
        <v>1</v>
      </c>
      <c r="AH1247" s="23" t="n">
        <v>1</v>
      </c>
      <c r="AI1247" s="23" t="n">
        <v>1</v>
      </c>
      <c r="AJ1247" s="23" t="n">
        <v>0.3684</v>
      </c>
      <c r="AK1247" s="23" t="n">
        <v>0.2</v>
      </c>
      <c r="AL1247" s="23" t="n">
        <v>0</v>
      </c>
      <c r="AM1247" s="16" t="n">
        <f aca="false">COUNTIFS($D$2:$D$2501,D1247,$G$2:$G$2501,"&gt;"&amp;G1247)+COUNTIFS($D$2:D1247,D1247,$G$2:G1247,G1247)</f>
        <v>561</v>
      </c>
      <c r="AN1247" s="5" t="str">
        <f aca="false">D1247&amp;"|"&amp;AM1247</f>
        <v>分析與報告生成|561</v>
      </c>
    </row>
    <row r="1248" customFormat="false" ht="17.15" hidden="false" customHeight="false" outlineLevel="0" collapsed="false">
      <c r="A1248" s="16" t="n">
        <f aca="false">RANK(G1248,$G$2:$G$2501)+COUNTIF($G$2:G1248,G1248)-1</f>
        <v>1247</v>
      </c>
      <c r="B1248" s="11" t="s">
        <v>3120</v>
      </c>
      <c r="C1248" s="11" t="s">
        <v>2693</v>
      </c>
      <c r="D1248" s="5" t="s">
        <v>74</v>
      </c>
      <c r="E1248" s="5" t="s">
        <v>75</v>
      </c>
      <c r="F1248" s="5"/>
      <c r="G1248" s="22" t="n">
        <f aca="false">ROUND(SUM(I1248:P1248),3)</f>
        <v>62.68</v>
      </c>
      <c r="H1248" s="5" t="str">
        <f aca="false">IF(G1248&gt;=評分方法!$C$16,"優先評估",IF(G1248&gt;=評分方法!$C$17,"列入候選",IF(G1248&gt;=評分方法!$C$18,"特定情境","不建議")))</f>
        <v>特定情境</v>
      </c>
      <c r="I1248" s="15" t="n">
        <f aca="false">AE1248*評分方法!$C$5</f>
        <v>12</v>
      </c>
      <c r="J1248" s="15" t="n">
        <f aca="false">AF1248*評分方法!$C$6</f>
        <v>0</v>
      </c>
      <c r="K1248" s="15" t="n">
        <f aca="false">AG1248*評分方法!$C$7</f>
        <v>15</v>
      </c>
      <c r="L1248" s="15" t="n">
        <f aca="false">AH1248*評分方法!$C$8</f>
        <v>15</v>
      </c>
      <c r="M1248" s="15" t="n">
        <f aca="false">AI1248*評分方法!$C$9</f>
        <v>10</v>
      </c>
      <c r="N1248" s="15" t="n">
        <f aca="false">AJ1248*評分方法!$C$10</f>
        <v>6.68</v>
      </c>
      <c r="O1248" s="15" t="n">
        <f aca="false">AK1248*評分方法!$C$11</f>
        <v>2.5</v>
      </c>
      <c r="P1248" s="15" t="n">
        <f aca="false">AL1248*評分方法!$C$12</f>
        <v>1.5</v>
      </c>
      <c r="Q1248" s="6" t="n">
        <v>806086</v>
      </c>
      <c r="R1248" s="6" t="n">
        <v>87849728</v>
      </c>
      <c r="S1248" s="11" t="s">
        <v>238</v>
      </c>
      <c r="T1248" s="11" t="s">
        <v>278</v>
      </c>
      <c r="U1248" s="5" t="s">
        <v>240</v>
      </c>
      <c r="V1248" s="11" t="s">
        <v>324</v>
      </c>
      <c r="W1248" s="5" t="s">
        <v>205</v>
      </c>
      <c r="X1248" s="5" t="s">
        <v>255</v>
      </c>
      <c r="Y1248" s="5"/>
      <c r="Z1248" s="5"/>
      <c r="AA1248" s="11" t="s">
        <v>167</v>
      </c>
      <c r="AB1248" s="5" t="s">
        <v>245</v>
      </c>
      <c r="AC1248" s="5"/>
      <c r="AD1248" s="11" t="s">
        <v>3121</v>
      </c>
      <c r="AE1248" s="23" t="n">
        <v>0.4</v>
      </c>
      <c r="AF1248" s="23" t="n">
        <v>0</v>
      </c>
      <c r="AG1248" s="23" t="n">
        <v>1</v>
      </c>
      <c r="AH1248" s="23" t="n">
        <v>1</v>
      </c>
      <c r="AI1248" s="23" t="n">
        <v>1</v>
      </c>
      <c r="AJ1248" s="23" t="n">
        <v>0.668</v>
      </c>
      <c r="AK1248" s="23" t="n">
        <v>0.5</v>
      </c>
      <c r="AL1248" s="23" t="n">
        <v>0.3</v>
      </c>
      <c r="AM1248" s="16" t="n">
        <f aca="false">COUNTIFS($D$2:$D$2501,D1248,$G$2:$G$2501,"&gt;"&amp;G1248)+COUNTIFS($D$2:D1248,D1248,$G$2:G1248,G1248)</f>
        <v>47</v>
      </c>
      <c r="AN1248" s="5" t="str">
        <f aca="false">D1248&amp;"|"&amp;AM1248</f>
        <v>文件與影像辨識|47</v>
      </c>
    </row>
    <row r="1249" customFormat="false" ht="17.15" hidden="false" customHeight="false" outlineLevel="0" collapsed="false">
      <c r="A1249" s="16" t="n">
        <f aca="false">RANK(G1249,$G$2:$G$2501)+COUNTIF($G$2:G1249,G1249)-1</f>
        <v>1248</v>
      </c>
      <c r="B1249" s="11" t="s">
        <v>3122</v>
      </c>
      <c r="C1249" s="11" t="s">
        <v>753</v>
      </c>
      <c r="D1249" s="5" t="s">
        <v>56</v>
      </c>
      <c r="E1249" s="5" t="s">
        <v>57</v>
      </c>
      <c r="F1249" s="5"/>
      <c r="G1249" s="22" t="n">
        <f aca="false">ROUND(SUM(I1249:P1249),3)</f>
        <v>62.654</v>
      </c>
      <c r="H1249" s="5" t="str">
        <f aca="false">IF(G1249&gt;=評分方法!$C$16,"優先評估",IF(G1249&gt;=評分方法!$C$17,"列入候選",IF(G1249&gt;=評分方法!$C$18,"特定情境","不建議")))</f>
        <v>特定情境</v>
      </c>
      <c r="I1249" s="15" t="n">
        <f aca="false">AE1249*評分方法!$C$5</f>
        <v>25.5</v>
      </c>
      <c r="J1249" s="15" t="n">
        <f aca="false">AF1249*評分方法!$C$6</f>
        <v>0</v>
      </c>
      <c r="K1249" s="15" t="n">
        <f aca="false">AG1249*評分方法!$C$7</f>
        <v>10.05</v>
      </c>
      <c r="L1249" s="15" t="n">
        <f aca="false">AH1249*評分方法!$C$8</f>
        <v>9</v>
      </c>
      <c r="M1249" s="15" t="n">
        <f aca="false">AI1249*評分方法!$C$9</f>
        <v>10</v>
      </c>
      <c r="N1249" s="15" t="n">
        <f aca="false">AJ1249*評分方法!$C$10</f>
        <v>0.104</v>
      </c>
      <c r="O1249" s="15" t="n">
        <f aca="false">AK1249*評分方法!$C$11</f>
        <v>5</v>
      </c>
      <c r="P1249" s="15" t="n">
        <f aca="false">AL1249*評分方法!$C$12</f>
        <v>3</v>
      </c>
      <c r="Q1249" s="6" t="n">
        <v>119407</v>
      </c>
      <c r="R1249" s="6" t="n">
        <v>20914757184</v>
      </c>
      <c r="S1249" s="11" t="s">
        <v>389</v>
      </c>
      <c r="T1249" s="11" t="s">
        <v>239</v>
      </c>
      <c r="U1249" s="5" t="s">
        <v>240</v>
      </c>
      <c r="V1249" s="11" t="s">
        <v>324</v>
      </c>
      <c r="W1249" s="5" t="s">
        <v>207</v>
      </c>
      <c r="X1249" s="5" t="s">
        <v>371</v>
      </c>
      <c r="Y1249" s="11" t="s">
        <v>390</v>
      </c>
      <c r="Z1249" s="11" t="s">
        <v>244</v>
      </c>
      <c r="AA1249" s="11" t="s">
        <v>155</v>
      </c>
      <c r="AB1249" s="5" t="s">
        <v>245</v>
      </c>
      <c r="AC1249" s="5" t="s">
        <v>246</v>
      </c>
      <c r="AD1249" s="11" t="s">
        <v>3123</v>
      </c>
      <c r="AE1249" s="23" t="n">
        <v>0.85</v>
      </c>
      <c r="AF1249" s="23" t="n">
        <v>0</v>
      </c>
      <c r="AG1249" s="23" t="n">
        <v>0.67</v>
      </c>
      <c r="AH1249" s="23" t="n">
        <v>0.6</v>
      </c>
      <c r="AI1249" s="23" t="n">
        <v>1</v>
      </c>
      <c r="AJ1249" s="23" t="n">
        <v>0.0104</v>
      </c>
      <c r="AK1249" s="23" t="n">
        <v>1</v>
      </c>
      <c r="AL1249" s="23" t="n">
        <v>0.6</v>
      </c>
      <c r="AM1249" s="16" t="n">
        <f aca="false">COUNTIFS($D$2:$D$2501,D1249,$G$2:$G$2501,"&gt;"&amp;G1249)+COUNTIFS($D$2:D1249,D1249,$G$2:G1249,G1249)</f>
        <v>562</v>
      </c>
      <c r="AN1249" s="5" t="str">
        <f aca="false">D1249&amp;"|"&amp;AM1249</f>
        <v>分析與報告生成|562</v>
      </c>
    </row>
    <row r="1250" customFormat="false" ht="17.15" hidden="false" customHeight="false" outlineLevel="0" collapsed="false">
      <c r="A1250" s="16" t="n">
        <f aca="false">RANK(G1250,$G$2:$G$2501)+COUNTIF($G$2:G1250,G1250)-1</f>
        <v>1249</v>
      </c>
      <c r="B1250" s="11" t="s">
        <v>3124</v>
      </c>
      <c r="C1250" s="11" t="s">
        <v>2693</v>
      </c>
      <c r="D1250" s="5" t="s">
        <v>74</v>
      </c>
      <c r="E1250" s="5" t="s">
        <v>75</v>
      </c>
      <c r="F1250" s="5"/>
      <c r="G1250" s="22" t="n">
        <f aca="false">ROUND(SUM(I1250:P1250),3)</f>
        <v>62.648</v>
      </c>
      <c r="H1250" s="5" t="str">
        <f aca="false">IF(G1250&gt;=評分方法!$C$16,"優先評估",IF(G1250&gt;=評分方法!$C$17,"列入候選",IF(G1250&gt;=評分方法!$C$18,"特定情境","不建議")))</f>
        <v>特定情境</v>
      </c>
      <c r="I1250" s="15" t="n">
        <f aca="false">AE1250*評分方法!$C$5</f>
        <v>10.5</v>
      </c>
      <c r="J1250" s="15" t="n">
        <f aca="false">AF1250*評分方法!$C$6</f>
        <v>0</v>
      </c>
      <c r="K1250" s="15" t="n">
        <f aca="false">AG1250*評分方法!$C$7</f>
        <v>15</v>
      </c>
      <c r="L1250" s="15" t="n">
        <f aca="false">AH1250*評分方法!$C$8</f>
        <v>15</v>
      </c>
      <c r="M1250" s="15" t="n">
        <f aca="false">AI1250*評分方法!$C$9</f>
        <v>10</v>
      </c>
      <c r="N1250" s="15" t="n">
        <f aca="false">AJ1250*評分方法!$C$10</f>
        <v>8.148</v>
      </c>
      <c r="O1250" s="15" t="n">
        <f aca="false">AK1250*評分方法!$C$11</f>
        <v>2.5</v>
      </c>
      <c r="P1250" s="15" t="n">
        <f aca="false">AL1250*評分方法!$C$12</f>
        <v>1.5</v>
      </c>
      <c r="Q1250" s="6" t="n">
        <v>1756968</v>
      </c>
      <c r="R1250" s="6" t="n">
        <v>5717416</v>
      </c>
      <c r="S1250" s="11" t="s">
        <v>238</v>
      </c>
      <c r="T1250" s="11" t="s">
        <v>239</v>
      </c>
      <c r="U1250" s="5" t="s">
        <v>240</v>
      </c>
      <c r="V1250" s="11" t="s">
        <v>324</v>
      </c>
      <c r="W1250" s="5" t="s">
        <v>205</v>
      </c>
      <c r="X1250" s="5" t="s">
        <v>255</v>
      </c>
      <c r="Y1250" s="5"/>
      <c r="Z1250" s="5"/>
      <c r="AA1250" s="11" t="s">
        <v>172</v>
      </c>
      <c r="AB1250" s="5" t="s">
        <v>245</v>
      </c>
      <c r="AC1250" s="5"/>
      <c r="AD1250" s="11" t="s">
        <v>3125</v>
      </c>
      <c r="AE1250" s="23" t="n">
        <v>0.35</v>
      </c>
      <c r="AF1250" s="23" t="n">
        <v>0</v>
      </c>
      <c r="AG1250" s="23" t="n">
        <v>1</v>
      </c>
      <c r="AH1250" s="23" t="n">
        <v>1</v>
      </c>
      <c r="AI1250" s="23" t="n">
        <v>1</v>
      </c>
      <c r="AJ1250" s="23" t="n">
        <v>0.8148</v>
      </c>
      <c r="AK1250" s="23" t="n">
        <v>0.5</v>
      </c>
      <c r="AL1250" s="23" t="n">
        <v>0.3</v>
      </c>
      <c r="AM1250" s="16" t="n">
        <f aca="false">COUNTIFS($D$2:$D$2501,D1250,$G$2:$G$2501,"&gt;"&amp;G1250)+COUNTIFS($D$2:D1250,D1250,$G$2:G1250,G1250)</f>
        <v>48</v>
      </c>
      <c r="AN1250" s="5" t="str">
        <f aca="false">D1250&amp;"|"&amp;AM1250</f>
        <v>文件與影像辨識|48</v>
      </c>
    </row>
    <row r="1251" customFormat="false" ht="17.15" hidden="false" customHeight="false" outlineLevel="0" collapsed="false">
      <c r="A1251" s="16" t="n">
        <f aca="false">RANK(G1251,$G$2:$G$2501)+COUNTIF($G$2:G1251,G1251)-1</f>
        <v>1250</v>
      </c>
      <c r="B1251" s="11" t="s">
        <v>3126</v>
      </c>
      <c r="C1251" s="11" t="s">
        <v>2693</v>
      </c>
      <c r="D1251" s="5" t="s">
        <v>74</v>
      </c>
      <c r="E1251" s="5" t="s">
        <v>75</v>
      </c>
      <c r="F1251" s="5"/>
      <c r="G1251" s="22" t="n">
        <f aca="false">ROUND(SUM(I1251:P1251),3)</f>
        <v>62.636</v>
      </c>
      <c r="H1251" s="5" t="str">
        <f aca="false">IF(G1251&gt;=評分方法!$C$16,"優先評估",IF(G1251&gt;=評分方法!$C$17,"列入候選",IF(G1251&gt;=評分方法!$C$18,"特定情境","不建議")))</f>
        <v>特定情境</v>
      </c>
      <c r="I1251" s="15" t="n">
        <f aca="false">AE1251*評分方法!$C$5</f>
        <v>10.5</v>
      </c>
      <c r="J1251" s="15" t="n">
        <f aca="false">AF1251*評分方法!$C$6</f>
        <v>0</v>
      </c>
      <c r="K1251" s="15" t="n">
        <f aca="false">AG1251*評分方法!$C$7</f>
        <v>15</v>
      </c>
      <c r="L1251" s="15" t="n">
        <f aca="false">AH1251*評分方法!$C$8</f>
        <v>15</v>
      </c>
      <c r="M1251" s="15" t="n">
        <f aca="false">AI1251*評分方法!$C$9</f>
        <v>10</v>
      </c>
      <c r="N1251" s="15" t="n">
        <f aca="false">AJ1251*評分方法!$C$10</f>
        <v>8.136</v>
      </c>
      <c r="O1251" s="15" t="n">
        <f aca="false">AK1251*評分方法!$C$11</f>
        <v>2.5</v>
      </c>
      <c r="P1251" s="15" t="n">
        <f aca="false">AL1251*評分方法!$C$12</f>
        <v>1.5</v>
      </c>
      <c r="Q1251" s="6" t="n">
        <v>1749708</v>
      </c>
      <c r="R1251" s="6" t="n">
        <v>86582016</v>
      </c>
      <c r="S1251" s="11" t="s">
        <v>238</v>
      </c>
      <c r="T1251" s="11" t="s">
        <v>239</v>
      </c>
      <c r="U1251" s="5" t="s">
        <v>240</v>
      </c>
      <c r="V1251" s="11" t="s">
        <v>324</v>
      </c>
      <c r="W1251" s="5" t="s">
        <v>205</v>
      </c>
      <c r="X1251" s="5" t="s">
        <v>255</v>
      </c>
      <c r="Y1251" s="5"/>
      <c r="Z1251" s="5"/>
      <c r="AA1251" s="11" t="s">
        <v>173</v>
      </c>
      <c r="AB1251" s="5" t="s">
        <v>245</v>
      </c>
      <c r="AC1251" s="5"/>
      <c r="AD1251" s="11" t="s">
        <v>3127</v>
      </c>
      <c r="AE1251" s="23" t="n">
        <v>0.35</v>
      </c>
      <c r="AF1251" s="23" t="n">
        <v>0</v>
      </c>
      <c r="AG1251" s="23" t="n">
        <v>1</v>
      </c>
      <c r="AH1251" s="23" t="n">
        <v>1</v>
      </c>
      <c r="AI1251" s="23" t="n">
        <v>1</v>
      </c>
      <c r="AJ1251" s="23" t="n">
        <v>0.8136</v>
      </c>
      <c r="AK1251" s="23" t="n">
        <v>0.5</v>
      </c>
      <c r="AL1251" s="23" t="n">
        <v>0.3</v>
      </c>
      <c r="AM1251" s="16" t="n">
        <f aca="false">COUNTIFS($D$2:$D$2501,D1251,$G$2:$G$2501,"&gt;"&amp;G1251)+COUNTIFS($D$2:D1251,D1251,$G$2:G1251,G1251)</f>
        <v>49</v>
      </c>
      <c r="AN1251" s="5" t="str">
        <f aca="false">D1251&amp;"|"&amp;AM1251</f>
        <v>文件與影像辨識|49</v>
      </c>
    </row>
    <row r="1252" customFormat="false" ht="17.15" hidden="false" customHeight="false" outlineLevel="0" collapsed="false">
      <c r="A1252" s="16" t="n">
        <f aca="false">RANK(G1252,$G$2:$G$2501)+COUNTIF($G$2:G1252,G1252)-1</f>
        <v>1251</v>
      </c>
      <c r="B1252" s="11" t="s">
        <v>3128</v>
      </c>
      <c r="C1252" s="11" t="s">
        <v>3129</v>
      </c>
      <c r="D1252" s="5" t="s">
        <v>56</v>
      </c>
      <c r="E1252" s="5" t="s">
        <v>57</v>
      </c>
      <c r="F1252" s="5"/>
      <c r="G1252" s="22" t="n">
        <f aca="false">ROUND(SUM(I1252:P1252),3)</f>
        <v>62.616</v>
      </c>
      <c r="H1252" s="5" t="str">
        <f aca="false">IF(G1252&gt;=評分方法!$C$16,"優先評估",IF(G1252&gt;=評分方法!$C$17,"列入候選",IF(G1252&gt;=評分方法!$C$18,"特定情境","不建議")))</f>
        <v>特定情境</v>
      </c>
      <c r="I1252" s="15" t="n">
        <f aca="false">AE1252*評分方法!$C$5</f>
        <v>25.5</v>
      </c>
      <c r="J1252" s="15" t="n">
        <f aca="false">AF1252*評分方法!$C$6</f>
        <v>0</v>
      </c>
      <c r="K1252" s="15" t="n">
        <f aca="false">AG1252*評分方法!$C$7</f>
        <v>4.95</v>
      </c>
      <c r="L1252" s="15" t="n">
        <f aca="false">AH1252*評分方法!$C$8</f>
        <v>13.05</v>
      </c>
      <c r="M1252" s="15" t="n">
        <f aca="false">AI1252*評分方法!$C$9</f>
        <v>10</v>
      </c>
      <c r="N1252" s="15" t="n">
        <f aca="false">AJ1252*評分方法!$C$10</f>
        <v>1.116</v>
      </c>
      <c r="O1252" s="15" t="n">
        <f aca="false">AK1252*評分方法!$C$11</f>
        <v>5</v>
      </c>
      <c r="P1252" s="15" t="n">
        <f aca="false">AL1252*評分方法!$C$12</f>
        <v>3</v>
      </c>
      <c r="Q1252" s="6" t="n">
        <v>158135</v>
      </c>
      <c r="R1252" s="6" t="n">
        <v>2567463684</v>
      </c>
      <c r="S1252" s="11" t="s">
        <v>254</v>
      </c>
      <c r="T1252" s="11" t="s">
        <v>239</v>
      </c>
      <c r="U1252" s="5" t="s">
        <v>240</v>
      </c>
      <c r="V1252" s="11" t="s">
        <v>462</v>
      </c>
      <c r="W1252" s="5" t="s">
        <v>334</v>
      </c>
      <c r="X1252" s="5" t="s">
        <v>371</v>
      </c>
      <c r="Y1252" s="5"/>
      <c r="Z1252" s="5"/>
      <c r="AA1252" s="11" t="s">
        <v>155</v>
      </c>
      <c r="AB1252" s="5" t="s">
        <v>961</v>
      </c>
      <c r="AC1252" s="5" t="s">
        <v>1203</v>
      </c>
      <c r="AD1252" s="11" t="s">
        <v>3130</v>
      </c>
      <c r="AE1252" s="23" t="n">
        <v>0.85</v>
      </c>
      <c r="AF1252" s="23" t="n">
        <v>0</v>
      </c>
      <c r="AG1252" s="23" t="n">
        <v>0.33</v>
      </c>
      <c r="AH1252" s="23" t="n">
        <v>0.87</v>
      </c>
      <c r="AI1252" s="23" t="n">
        <v>1</v>
      </c>
      <c r="AJ1252" s="23" t="n">
        <v>0.1116</v>
      </c>
      <c r="AK1252" s="23" t="n">
        <v>1</v>
      </c>
      <c r="AL1252" s="23" t="n">
        <v>0.6</v>
      </c>
      <c r="AM1252" s="16" t="n">
        <f aca="false">COUNTIFS($D$2:$D$2501,D1252,$G$2:$G$2501,"&gt;"&amp;G1252)+COUNTIFS($D$2:D1252,D1252,$G$2:G1252,G1252)</f>
        <v>563</v>
      </c>
      <c r="AN1252" s="5" t="str">
        <f aca="false">D1252&amp;"|"&amp;AM1252</f>
        <v>分析與報告生成|563</v>
      </c>
    </row>
    <row r="1253" customFormat="false" ht="17.15" hidden="false" customHeight="false" outlineLevel="0" collapsed="false">
      <c r="A1253" s="16" t="n">
        <f aca="false">RANK(G1253,$G$2:$G$2501)+COUNTIF($G$2:G1253,G1253)-1</f>
        <v>1252</v>
      </c>
      <c r="B1253" s="11" t="s">
        <v>3131</v>
      </c>
      <c r="C1253" s="11" t="s">
        <v>891</v>
      </c>
      <c r="D1253" s="5" t="s">
        <v>56</v>
      </c>
      <c r="E1253" s="5" t="s">
        <v>57</v>
      </c>
      <c r="F1253" s="5"/>
      <c r="G1253" s="22" t="n">
        <f aca="false">ROUND(SUM(I1253:P1253),3)</f>
        <v>62.616</v>
      </c>
      <c r="H1253" s="5" t="str">
        <f aca="false">IF(G1253&gt;=評分方法!$C$16,"優先評估",IF(G1253&gt;=評分方法!$C$17,"列入候選",IF(G1253&gt;=評分方法!$C$18,"特定情境","不建議")))</f>
        <v>特定情境</v>
      </c>
      <c r="I1253" s="15" t="n">
        <f aca="false">AE1253*評分方法!$C$5</f>
        <v>25.5</v>
      </c>
      <c r="J1253" s="15" t="n">
        <f aca="false">AF1253*評分方法!$C$6</f>
        <v>0</v>
      </c>
      <c r="K1253" s="15" t="n">
        <f aca="false">AG1253*評分方法!$C$7</f>
        <v>10.05</v>
      </c>
      <c r="L1253" s="15" t="n">
        <f aca="false">AH1253*評分方法!$C$8</f>
        <v>13.05</v>
      </c>
      <c r="M1253" s="15" t="n">
        <f aca="false">AI1253*評分方法!$C$9</f>
        <v>6</v>
      </c>
      <c r="N1253" s="15" t="n">
        <f aca="false">AJ1253*評分方法!$C$10</f>
        <v>0.516</v>
      </c>
      <c r="O1253" s="15" t="n">
        <f aca="false">AK1253*評分方法!$C$11</f>
        <v>2.5</v>
      </c>
      <c r="P1253" s="15" t="n">
        <f aca="false">AL1253*評分方法!$C$12</f>
        <v>5</v>
      </c>
      <c r="Q1253" s="6" t="n">
        <v>133137</v>
      </c>
      <c r="R1253" s="6" t="n">
        <v>1170340608</v>
      </c>
      <c r="S1253" s="11" t="s">
        <v>254</v>
      </c>
      <c r="T1253" s="11" t="s">
        <v>185</v>
      </c>
      <c r="U1253" s="5" t="s">
        <v>260</v>
      </c>
      <c r="V1253" s="11" t="s">
        <v>261</v>
      </c>
      <c r="W1253" s="5" t="s">
        <v>207</v>
      </c>
      <c r="X1253" s="5" t="s">
        <v>284</v>
      </c>
      <c r="Y1253" s="11" t="s">
        <v>760</v>
      </c>
      <c r="Z1253" s="11" t="s">
        <v>244</v>
      </c>
      <c r="AA1253" s="11" t="s">
        <v>155</v>
      </c>
      <c r="AB1253" s="5" t="s">
        <v>245</v>
      </c>
      <c r="AC1253" s="5" t="s">
        <v>464</v>
      </c>
      <c r="AD1253" s="11" t="s">
        <v>3132</v>
      </c>
      <c r="AE1253" s="23" t="n">
        <v>0.85</v>
      </c>
      <c r="AF1253" s="23" t="n">
        <v>0</v>
      </c>
      <c r="AG1253" s="23" t="n">
        <v>0.67</v>
      </c>
      <c r="AH1253" s="23" t="n">
        <v>0.87</v>
      </c>
      <c r="AI1253" s="23" t="n">
        <v>0.6</v>
      </c>
      <c r="AJ1253" s="23" t="n">
        <v>0.0516</v>
      </c>
      <c r="AK1253" s="23" t="n">
        <v>0.5</v>
      </c>
      <c r="AL1253" s="23" t="n">
        <v>1</v>
      </c>
      <c r="AM1253" s="16" t="n">
        <f aca="false">COUNTIFS($D$2:$D$2501,D1253,$G$2:$G$2501,"&gt;"&amp;G1253)+COUNTIFS($D$2:D1253,D1253,$G$2:G1253,G1253)</f>
        <v>564</v>
      </c>
      <c r="AN1253" s="5" t="str">
        <f aca="false">D1253&amp;"|"&amp;AM1253</f>
        <v>分析與報告生成|564</v>
      </c>
    </row>
    <row r="1254" customFormat="false" ht="17.15" hidden="false" customHeight="false" outlineLevel="0" collapsed="false">
      <c r="A1254" s="16" t="n">
        <f aca="false">RANK(G1254,$G$2:$G$2501)+COUNTIF($G$2:G1254,G1254)-1</f>
        <v>1253</v>
      </c>
      <c r="B1254" s="11" t="s">
        <v>3133</v>
      </c>
      <c r="C1254" s="11" t="s">
        <v>2261</v>
      </c>
      <c r="D1254" s="5" t="s">
        <v>54</v>
      </c>
      <c r="E1254" s="5" t="s">
        <v>55</v>
      </c>
      <c r="F1254" s="5"/>
      <c r="G1254" s="22" t="n">
        <f aca="false">ROUND(SUM(I1254:P1254),3)</f>
        <v>62.586</v>
      </c>
      <c r="H1254" s="5" t="str">
        <f aca="false">IF(G1254&gt;=評分方法!$C$16,"優先評估",IF(G1254&gt;=評分方法!$C$17,"列入候選",IF(G1254&gt;=評分方法!$C$18,"特定情境","不建議")))</f>
        <v>特定情境</v>
      </c>
      <c r="I1254" s="15" t="n">
        <f aca="false">AE1254*評分方法!$C$5</f>
        <v>27</v>
      </c>
      <c r="J1254" s="15" t="n">
        <f aca="false">AF1254*評分方法!$C$6</f>
        <v>0</v>
      </c>
      <c r="K1254" s="15" t="n">
        <f aca="false">AG1254*評分方法!$C$7</f>
        <v>10.05</v>
      </c>
      <c r="L1254" s="15" t="n">
        <f aca="false">AH1254*評分方法!$C$8</f>
        <v>15</v>
      </c>
      <c r="M1254" s="15" t="n">
        <f aca="false">AI1254*評分方法!$C$9</f>
        <v>2</v>
      </c>
      <c r="N1254" s="15" t="n">
        <f aca="false">AJ1254*評分方法!$C$10</f>
        <v>6.036</v>
      </c>
      <c r="O1254" s="15" t="n">
        <f aca="false">AK1254*評分方法!$C$11</f>
        <v>1</v>
      </c>
      <c r="P1254" s="15" t="n">
        <f aca="false">AL1254*評分方法!$C$12</f>
        <v>1.5</v>
      </c>
      <c r="Q1254" s="6" t="n">
        <v>633787</v>
      </c>
      <c r="R1254" s="6" t="n">
        <v>0</v>
      </c>
      <c r="S1254" s="11" t="s">
        <v>238</v>
      </c>
      <c r="T1254" s="5"/>
      <c r="U1254" s="5" t="s">
        <v>375</v>
      </c>
      <c r="V1254" s="11" t="s">
        <v>261</v>
      </c>
      <c r="W1254" s="5" t="s">
        <v>207</v>
      </c>
      <c r="X1254" s="5" t="s">
        <v>255</v>
      </c>
      <c r="Y1254" s="5"/>
      <c r="Z1254" s="5"/>
      <c r="AA1254" s="11" t="s">
        <v>153</v>
      </c>
      <c r="AB1254" s="5" t="s">
        <v>245</v>
      </c>
      <c r="AC1254" s="5" t="s">
        <v>262</v>
      </c>
      <c r="AD1254" s="11" t="s">
        <v>3134</v>
      </c>
      <c r="AE1254" s="23" t="n">
        <v>0.9</v>
      </c>
      <c r="AF1254" s="23" t="n">
        <v>0</v>
      </c>
      <c r="AG1254" s="23" t="n">
        <v>0.67</v>
      </c>
      <c r="AH1254" s="23" t="n">
        <v>1</v>
      </c>
      <c r="AI1254" s="23" t="n">
        <v>0.2</v>
      </c>
      <c r="AJ1254" s="23" t="n">
        <v>0.6036</v>
      </c>
      <c r="AK1254" s="23" t="n">
        <v>0.2</v>
      </c>
      <c r="AL1254" s="23" t="n">
        <v>0.3</v>
      </c>
      <c r="AM1254" s="16" t="n">
        <f aca="false">COUNTIFS($D$2:$D$2501,D1254,$G$2:$G$2501,"&gt;"&amp;G1254)+COUNTIFS($D$2:D1254,D1254,$G$2:G1254,G1254)</f>
        <v>179</v>
      </c>
      <c r="AN1254" s="5" t="str">
        <f aca="false">D1254&amp;"|"&amp;AM1254</f>
        <v>檢索與情資關聯|179</v>
      </c>
    </row>
    <row r="1255" customFormat="false" ht="17.15" hidden="false" customHeight="false" outlineLevel="0" collapsed="false">
      <c r="A1255" s="16" t="n">
        <f aca="false">RANK(G1255,$G$2:$G$2501)+COUNTIF($G$2:G1255,G1255)-1</f>
        <v>1254</v>
      </c>
      <c r="B1255" s="11" t="s">
        <v>3135</v>
      </c>
      <c r="C1255" s="11" t="s">
        <v>891</v>
      </c>
      <c r="D1255" s="5" t="s">
        <v>56</v>
      </c>
      <c r="E1255" s="5" t="s">
        <v>57</v>
      </c>
      <c r="F1255" s="5"/>
      <c r="G1255" s="22" t="n">
        <f aca="false">ROUND(SUM(I1255:P1255),3)</f>
        <v>62.58</v>
      </c>
      <c r="H1255" s="5" t="str">
        <f aca="false">IF(G1255&gt;=評分方法!$C$16,"優先評估",IF(G1255&gt;=評分方法!$C$17,"列入候選",IF(G1255&gt;=評分方法!$C$18,"特定情境","不建議")))</f>
        <v>特定情境</v>
      </c>
      <c r="I1255" s="15" t="n">
        <f aca="false">AE1255*評分方法!$C$5</f>
        <v>25.5</v>
      </c>
      <c r="J1255" s="15" t="n">
        <f aca="false">AF1255*評分方法!$C$6</f>
        <v>0</v>
      </c>
      <c r="K1255" s="15" t="n">
        <f aca="false">AG1255*評分方法!$C$7</f>
        <v>10.05</v>
      </c>
      <c r="L1255" s="15" t="n">
        <f aca="false">AH1255*評分方法!$C$8</f>
        <v>13.05</v>
      </c>
      <c r="M1255" s="15" t="n">
        <f aca="false">AI1255*評分方法!$C$9</f>
        <v>6</v>
      </c>
      <c r="N1255" s="15" t="n">
        <f aca="false">AJ1255*評分方法!$C$10</f>
        <v>0.48</v>
      </c>
      <c r="O1255" s="15" t="n">
        <f aca="false">AK1255*評分方法!$C$11</f>
        <v>2.5</v>
      </c>
      <c r="P1255" s="15" t="n">
        <f aca="false">AL1255*評分方法!$C$12</f>
        <v>5</v>
      </c>
      <c r="Q1255" s="6" t="n">
        <v>131771</v>
      </c>
      <c r="R1255" s="6" t="n">
        <v>1170340608</v>
      </c>
      <c r="S1255" s="11" t="s">
        <v>254</v>
      </c>
      <c r="T1255" s="11" t="s">
        <v>185</v>
      </c>
      <c r="U1255" s="5" t="s">
        <v>260</v>
      </c>
      <c r="V1255" s="11" t="s">
        <v>261</v>
      </c>
      <c r="W1255" s="5" t="s">
        <v>207</v>
      </c>
      <c r="X1255" s="5" t="s">
        <v>284</v>
      </c>
      <c r="Y1255" s="11" t="s">
        <v>760</v>
      </c>
      <c r="Z1255" s="11" t="s">
        <v>270</v>
      </c>
      <c r="AA1255" s="11" t="s">
        <v>155</v>
      </c>
      <c r="AB1255" s="5" t="s">
        <v>245</v>
      </c>
      <c r="AC1255" s="5" t="s">
        <v>262</v>
      </c>
      <c r="AD1255" s="11" t="s">
        <v>3136</v>
      </c>
      <c r="AE1255" s="23" t="n">
        <v>0.85</v>
      </c>
      <c r="AF1255" s="23" t="n">
        <v>0</v>
      </c>
      <c r="AG1255" s="23" t="n">
        <v>0.67</v>
      </c>
      <c r="AH1255" s="23" t="n">
        <v>0.87</v>
      </c>
      <c r="AI1255" s="23" t="n">
        <v>0.6</v>
      </c>
      <c r="AJ1255" s="23" t="n">
        <v>0.048</v>
      </c>
      <c r="AK1255" s="23" t="n">
        <v>0.5</v>
      </c>
      <c r="AL1255" s="23" t="n">
        <v>1</v>
      </c>
      <c r="AM1255" s="16" t="n">
        <f aca="false">COUNTIFS($D$2:$D$2501,D1255,$G$2:$G$2501,"&gt;"&amp;G1255)+COUNTIFS($D$2:D1255,D1255,$G$2:G1255,G1255)</f>
        <v>565</v>
      </c>
      <c r="AN1255" s="5" t="str">
        <f aca="false">D1255&amp;"|"&amp;AM1255</f>
        <v>分析與報告生成|565</v>
      </c>
    </row>
    <row r="1256" customFormat="false" ht="17.15" hidden="false" customHeight="false" outlineLevel="0" collapsed="false">
      <c r="A1256" s="16" t="n">
        <f aca="false">RANK(G1256,$G$2:$G$2501)+COUNTIF($G$2:G1256,G1256)-1</f>
        <v>1255</v>
      </c>
      <c r="B1256" s="11" t="s">
        <v>3137</v>
      </c>
      <c r="C1256" s="11" t="s">
        <v>2261</v>
      </c>
      <c r="D1256" s="5" t="s">
        <v>54</v>
      </c>
      <c r="E1256" s="5" t="s">
        <v>55</v>
      </c>
      <c r="F1256" s="5"/>
      <c r="G1256" s="22" t="n">
        <f aca="false">ROUND(SUM(I1256:P1256),3)</f>
        <v>62.566</v>
      </c>
      <c r="H1256" s="5" t="str">
        <f aca="false">IF(G1256&gt;=評分方法!$C$16,"優先評估",IF(G1256&gt;=評分方法!$C$17,"列入候選",IF(G1256&gt;=評分方法!$C$18,"特定情境","不建議")))</f>
        <v>特定情境</v>
      </c>
      <c r="I1256" s="15" t="n">
        <f aca="false">AE1256*評分方法!$C$5</f>
        <v>27</v>
      </c>
      <c r="J1256" s="15" t="n">
        <f aca="false">AF1256*評分方法!$C$6</f>
        <v>0</v>
      </c>
      <c r="K1256" s="15" t="n">
        <f aca="false">AG1256*評分方法!$C$7</f>
        <v>10.05</v>
      </c>
      <c r="L1256" s="15" t="n">
        <f aca="false">AH1256*評分方法!$C$8</f>
        <v>15</v>
      </c>
      <c r="M1256" s="15" t="n">
        <f aca="false">AI1256*評分方法!$C$9</f>
        <v>2</v>
      </c>
      <c r="N1256" s="15" t="n">
        <f aca="false">AJ1256*評分方法!$C$10</f>
        <v>6.016</v>
      </c>
      <c r="O1256" s="15" t="n">
        <f aca="false">AK1256*評分方法!$C$11</f>
        <v>1</v>
      </c>
      <c r="P1256" s="15" t="n">
        <f aca="false">AL1256*評分方法!$C$12</f>
        <v>1.5</v>
      </c>
      <c r="Q1256" s="6" t="n">
        <v>628304</v>
      </c>
      <c r="R1256" s="6" t="n">
        <v>0</v>
      </c>
      <c r="S1256" s="11" t="s">
        <v>238</v>
      </c>
      <c r="T1256" s="5"/>
      <c r="U1256" s="5" t="s">
        <v>375</v>
      </c>
      <c r="V1256" s="11" t="s">
        <v>261</v>
      </c>
      <c r="W1256" s="5" t="s">
        <v>207</v>
      </c>
      <c r="X1256" s="5" t="s">
        <v>255</v>
      </c>
      <c r="Y1256" s="5"/>
      <c r="Z1256" s="5"/>
      <c r="AA1256" s="11" t="s">
        <v>153</v>
      </c>
      <c r="AB1256" s="5" t="s">
        <v>245</v>
      </c>
      <c r="AC1256" s="5" t="s">
        <v>262</v>
      </c>
      <c r="AD1256" s="11" t="s">
        <v>3138</v>
      </c>
      <c r="AE1256" s="23" t="n">
        <v>0.9</v>
      </c>
      <c r="AF1256" s="23" t="n">
        <v>0</v>
      </c>
      <c r="AG1256" s="23" t="n">
        <v>0.67</v>
      </c>
      <c r="AH1256" s="23" t="n">
        <v>1</v>
      </c>
      <c r="AI1256" s="23" t="n">
        <v>0.2</v>
      </c>
      <c r="AJ1256" s="23" t="n">
        <v>0.6016</v>
      </c>
      <c r="AK1256" s="23" t="n">
        <v>0.2</v>
      </c>
      <c r="AL1256" s="23" t="n">
        <v>0.3</v>
      </c>
      <c r="AM1256" s="16" t="n">
        <f aca="false">COUNTIFS($D$2:$D$2501,D1256,$G$2:$G$2501,"&gt;"&amp;G1256)+COUNTIFS($D$2:D1256,D1256,$G$2:G1256,G1256)</f>
        <v>180</v>
      </c>
      <c r="AN1256" s="5" t="str">
        <f aca="false">D1256&amp;"|"&amp;AM1256</f>
        <v>檢索與情資關聯|180</v>
      </c>
    </row>
    <row r="1257" customFormat="false" ht="17.15" hidden="false" customHeight="false" outlineLevel="0" collapsed="false">
      <c r="A1257" s="16" t="n">
        <f aca="false">RANK(G1257,$G$2:$G$2501)+COUNTIF($G$2:G1257,G1257)-1</f>
        <v>1256</v>
      </c>
      <c r="B1257" s="11" t="s">
        <v>3139</v>
      </c>
      <c r="C1257" s="11" t="s">
        <v>2693</v>
      </c>
      <c r="D1257" s="5" t="s">
        <v>74</v>
      </c>
      <c r="E1257" s="5" t="s">
        <v>75</v>
      </c>
      <c r="F1257" s="5"/>
      <c r="G1257" s="22" t="n">
        <f aca="false">ROUND(SUM(I1257:P1257),3)</f>
        <v>62.548</v>
      </c>
      <c r="H1257" s="5" t="str">
        <f aca="false">IF(G1257&gt;=評分方法!$C$16,"優先評估",IF(G1257&gt;=評分方法!$C$17,"列入候選",IF(G1257&gt;=評分方法!$C$18,"特定情境","不建議")))</f>
        <v>特定情境</v>
      </c>
      <c r="I1257" s="15" t="n">
        <f aca="false">AE1257*評分方法!$C$5</f>
        <v>10.5</v>
      </c>
      <c r="J1257" s="15" t="n">
        <f aca="false">AF1257*評分方法!$C$6</f>
        <v>0</v>
      </c>
      <c r="K1257" s="15" t="n">
        <f aca="false">AG1257*評分方法!$C$7</f>
        <v>15</v>
      </c>
      <c r="L1257" s="15" t="n">
        <f aca="false">AH1257*評分方法!$C$8</f>
        <v>15</v>
      </c>
      <c r="M1257" s="15" t="n">
        <f aca="false">AI1257*評分方法!$C$9</f>
        <v>10</v>
      </c>
      <c r="N1257" s="15" t="n">
        <f aca="false">AJ1257*評分方法!$C$10</f>
        <v>8.048</v>
      </c>
      <c r="O1257" s="15" t="n">
        <f aca="false">AK1257*評分方法!$C$11</f>
        <v>2.5</v>
      </c>
      <c r="P1257" s="15" t="n">
        <f aca="false">AL1257*評分方法!$C$12</f>
        <v>1.5</v>
      </c>
      <c r="Q1257" s="6" t="n">
        <v>1620878</v>
      </c>
      <c r="R1257" s="6" t="n">
        <v>5586832</v>
      </c>
      <c r="S1257" s="11" t="s">
        <v>238</v>
      </c>
      <c r="T1257" s="11" t="s">
        <v>278</v>
      </c>
      <c r="U1257" s="5" t="s">
        <v>240</v>
      </c>
      <c r="V1257" s="11" t="s">
        <v>324</v>
      </c>
      <c r="W1257" s="5" t="s">
        <v>205</v>
      </c>
      <c r="X1257" s="5" t="s">
        <v>255</v>
      </c>
      <c r="Y1257" s="5"/>
      <c r="Z1257" s="5"/>
      <c r="AA1257" s="11" t="s">
        <v>172</v>
      </c>
      <c r="AB1257" s="5" t="s">
        <v>245</v>
      </c>
      <c r="AC1257" s="5"/>
      <c r="AD1257" s="11" t="s">
        <v>3140</v>
      </c>
      <c r="AE1257" s="23" t="n">
        <v>0.35</v>
      </c>
      <c r="AF1257" s="23" t="n">
        <v>0</v>
      </c>
      <c r="AG1257" s="23" t="n">
        <v>1</v>
      </c>
      <c r="AH1257" s="23" t="n">
        <v>1</v>
      </c>
      <c r="AI1257" s="23" t="n">
        <v>1</v>
      </c>
      <c r="AJ1257" s="23" t="n">
        <v>0.8048</v>
      </c>
      <c r="AK1257" s="23" t="n">
        <v>0.5</v>
      </c>
      <c r="AL1257" s="23" t="n">
        <v>0.3</v>
      </c>
      <c r="AM1257" s="16" t="n">
        <f aca="false">COUNTIFS($D$2:$D$2501,D1257,$G$2:$G$2501,"&gt;"&amp;G1257)+COUNTIFS($D$2:D1257,D1257,$G$2:G1257,G1257)</f>
        <v>50</v>
      </c>
      <c r="AN1257" s="5" t="str">
        <f aca="false">D1257&amp;"|"&amp;AM1257</f>
        <v>文件與影像辨識|50</v>
      </c>
    </row>
    <row r="1258" customFormat="false" ht="17.15" hidden="false" customHeight="false" outlineLevel="0" collapsed="false">
      <c r="A1258" s="16" t="n">
        <f aca="false">RANK(G1258,$G$2:$G$2501)+COUNTIF($G$2:G1258,G1258)-1</f>
        <v>1257</v>
      </c>
      <c r="B1258" s="11" t="s">
        <v>3141</v>
      </c>
      <c r="C1258" s="11" t="s">
        <v>681</v>
      </c>
      <c r="D1258" s="5" t="s">
        <v>74</v>
      </c>
      <c r="E1258" s="5" t="s">
        <v>75</v>
      </c>
      <c r="F1258" s="5"/>
      <c r="G1258" s="22" t="n">
        <f aca="false">ROUND(SUM(I1258:P1258),3)</f>
        <v>62.544</v>
      </c>
      <c r="H1258" s="5" t="str">
        <f aca="false">IF(G1258&gt;=評分方法!$C$16,"優先評估",IF(G1258&gt;=評分方法!$C$17,"列入候選",IF(G1258&gt;=評分方法!$C$18,"特定情境","不建議")))</f>
        <v>特定情境</v>
      </c>
      <c r="I1258" s="15" t="n">
        <f aca="false">AE1258*評分方法!$C$5</f>
        <v>10.5</v>
      </c>
      <c r="J1258" s="15" t="n">
        <f aca="false">AF1258*評分方法!$C$6</f>
        <v>0</v>
      </c>
      <c r="K1258" s="15" t="n">
        <f aca="false">AG1258*評分方法!$C$7</f>
        <v>15</v>
      </c>
      <c r="L1258" s="15" t="n">
        <f aca="false">AH1258*評分方法!$C$8</f>
        <v>15</v>
      </c>
      <c r="M1258" s="15" t="n">
        <f aca="false">AI1258*評分方法!$C$9</f>
        <v>10</v>
      </c>
      <c r="N1258" s="15" t="n">
        <f aca="false">AJ1258*評分方法!$C$10</f>
        <v>9.544</v>
      </c>
      <c r="O1258" s="15" t="n">
        <f aca="false">AK1258*評分方法!$C$11</f>
        <v>1</v>
      </c>
      <c r="P1258" s="15" t="n">
        <f aca="false">AL1258*評分方法!$C$12</f>
        <v>1.5</v>
      </c>
      <c r="Q1258" s="6" t="n">
        <v>9356622</v>
      </c>
      <c r="R1258" s="6" t="n">
        <v>304368640</v>
      </c>
      <c r="S1258" s="11" t="s">
        <v>238</v>
      </c>
      <c r="T1258" s="11" t="s">
        <v>239</v>
      </c>
      <c r="U1258" s="5" t="s">
        <v>240</v>
      </c>
      <c r="V1258" s="11" t="s">
        <v>324</v>
      </c>
      <c r="W1258" s="5" t="s">
        <v>205</v>
      </c>
      <c r="X1258" s="5" t="s">
        <v>255</v>
      </c>
      <c r="Y1258" s="5"/>
      <c r="Z1258" s="5"/>
      <c r="AA1258" s="11" t="s">
        <v>173</v>
      </c>
      <c r="AB1258" s="5" t="s">
        <v>245</v>
      </c>
      <c r="AC1258" s="5"/>
      <c r="AD1258" s="11" t="s">
        <v>3142</v>
      </c>
      <c r="AE1258" s="23" t="n">
        <v>0.35</v>
      </c>
      <c r="AF1258" s="23" t="n">
        <v>0</v>
      </c>
      <c r="AG1258" s="23" t="n">
        <v>1</v>
      </c>
      <c r="AH1258" s="23" t="n">
        <v>1</v>
      </c>
      <c r="AI1258" s="23" t="n">
        <v>1</v>
      </c>
      <c r="AJ1258" s="23" t="n">
        <v>0.9544</v>
      </c>
      <c r="AK1258" s="23" t="n">
        <v>0.2</v>
      </c>
      <c r="AL1258" s="23" t="n">
        <v>0.3</v>
      </c>
      <c r="AM1258" s="16" t="n">
        <f aca="false">COUNTIFS($D$2:$D$2501,D1258,$G$2:$G$2501,"&gt;"&amp;G1258)+COUNTIFS($D$2:D1258,D1258,$G$2:G1258,G1258)</f>
        <v>51</v>
      </c>
      <c r="AN1258" s="5" t="str">
        <f aca="false">D1258&amp;"|"&amp;AM1258</f>
        <v>文件與影像辨識|51</v>
      </c>
    </row>
    <row r="1259" customFormat="false" ht="17.15" hidden="false" customHeight="false" outlineLevel="0" collapsed="false">
      <c r="A1259" s="16" t="n">
        <f aca="false">RANK(G1259,$G$2:$G$2501)+COUNTIF($G$2:G1259,G1259)-1</f>
        <v>1258</v>
      </c>
      <c r="B1259" s="11" t="s">
        <v>3143</v>
      </c>
      <c r="C1259" s="11" t="s">
        <v>3144</v>
      </c>
      <c r="D1259" s="5" t="s">
        <v>54</v>
      </c>
      <c r="E1259" s="5" t="s">
        <v>55</v>
      </c>
      <c r="F1259" s="5"/>
      <c r="G1259" s="22" t="n">
        <f aca="false">ROUND(SUM(I1259:P1259),3)</f>
        <v>62.538</v>
      </c>
      <c r="H1259" s="5" t="str">
        <f aca="false">IF(G1259&gt;=評分方法!$C$16,"優先評估",IF(G1259&gt;=評分方法!$C$17,"列入候選",IF(G1259&gt;=評分方法!$C$18,"特定情境","不建議")))</f>
        <v>特定情境</v>
      </c>
      <c r="I1259" s="15" t="n">
        <f aca="false">AE1259*評分方法!$C$5</f>
        <v>27</v>
      </c>
      <c r="J1259" s="15" t="n">
        <f aca="false">AF1259*評分方法!$C$6</f>
        <v>0</v>
      </c>
      <c r="K1259" s="15" t="n">
        <f aca="false">AG1259*評分方法!$C$7</f>
        <v>4.95</v>
      </c>
      <c r="L1259" s="15" t="n">
        <f aca="false">AH1259*評分方法!$C$8</f>
        <v>15</v>
      </c>
      <c r="M1259" s="15" t="n">
        <f aca="false">AI1259*評分方法!$C$9</f>
        <v>2</v>
      </c>
      <c r="N1259" s="15" t="n">
        <f aca="false">AJ1259*評分方法!$C$10</f>
        <v>8.088</v>
      </c>
      <c r="O1259" s="15" t="n">
        <f aca="false">AK1259*評分方法!$C$11</f>
        <v>4</v>
      </c>
      <c r="P1259" s="15" t="n">
        <f aca="false">AL1259*評分方法!$C$12</f>
        <v>1.5</v>
      </c>
      <c r="Q1259" s="6" t="n">
        <v>1697488</v>
      </c>
      <c r="R1259" s="6" t="n">
        <v>117653760</v>
      </c>
      <c r="S1259" s="11" t="s">
        <v>238</v>
      </c>
      <c r="T1259" s="5"/>
      <c r="U1259" s="5" t="s">
        <v>375</v>
      </c>
      <c r="V1259" s="11" t="s">
        <v>241</v>
      </c>
      <c r="W1259" s="5" t="s">
        <v>334</v>
      </c>
      <c r="X1259" s="5" t="s">
        <v>255</v>
      </c>
      <c r="Y1259" s="5"/>
      <c r="Z1259" s="5"/>
      <c r="AA1259" s="11" t="s">
        <v>152</v>
      </c>
      <c r="AB1259" s="5" t="s">
        <v>245</v>
      </c>
      <c r="AC1259" s="5" t="s">
        <v>262</v>
      </c>
      <c r="AD1259" s="11" t="s">
        <v>3145</v>
      </c>
      <c r="AE1259" s="23" t="n">
        <v>0.9</v>
      </c>
      <c r="AF1259" s="23" t="n">
        <v>0</v>
      </c>
      <c r="AG1259" s="23" t="n">
        <v>0.33</v>
      </c>
      <c r="AH1259" s="23" t="n">
        <v>1</v>
      </c>
      <c r="AI1259" s="23" t="n">
        <v>0.2</v>
      </c>
      <c r="AJ1259" s="23" t="n">
        <v>0.8088</v>
      </c>
      <c r="AK1259" s="23" t="n">
        <v>0.8</v>
      </c>
      <c r="AL1259" s="23" t="n">
        <v>0.3</v>
      </c>
      <c r="AM1259" s="16" t="n">
        <f aca="false">COUNTIFS($D$2:$D$2501,D1259,$G$2:$G$2501,"&gt;"&amp;G1259)+COUNTIFS($D$2:D1259,D1259,$G$2:G1259,G1259)</f>
        <v>181</v>
      </c>
      <c r="AN1259" s="5" t="str">
        <f aca="false">D1259&amp;"|"&amp;AM1259</f>
        <v>檢索與情資關聯|181</v>
      </c>
    </row>
    <row r="1260" customFormat="false" ht="17.15" hidden="false" customHeight="false" outlineLevel="0" collapsed="false">
      <c r="A1260" s="16" t="n">
        <f aca="false">RANK(G1260,$G$2:$G$2501)+COUNTIF($G$2:G1260,G1260)-1</f>
        <v>1259</v>
      </c>
      <c r="B1260" s="11" t="s">
        <v>3146</v>
      </c>
      <c r="C1260" s="11" t="s">
        <v>368</v>
      </c>
      <c r="D1260" s="5" t="s">
        <v>74</v>
      </c>
      <c r="E1260" s="5" t="s">
        <v>75</v>
      </c>
      <c r="F1260" s="5"/>
      <c r="G1260" s="22" t="n">
        <f aca="false">ROUND(SUM(I1260:P1260),3)</f>
        <v>62.524</v>
      </c>
      <c r="H1260" s="5" t="str">
        <f aca="false">IF(G1260&gt;=評分方法!$C$16,"優先評估",IF(G1260&gt;=評分方法!$C$17,"列入候選",IF(G1260&gt;=評分方法!$C$18,"特定情境","不建議")))</f>
        <v>特定情境</v>
      </c>
      <c r="I1260" s="15" t="n">
        <f aca="false">AE1260*評分方法!$C$5</f>
        <v>10.5</v>
      </c>
      <c r="J1260" s="15" t="n">
        <f aca="false">AF1260*評分方法!$C$6</f>
        <v>0</v>
      </c>
      <c r="K1260" s="15" t="n">
        <f aca="false">AG1260*評分方法!$C$7</f>
        <v>15</v>
      </c>
      <c r="L1260" s="15" t="n">
        <f aca="false">AH1260*評分方法!$C$8</f>
        <v>15</v>
      </c>
      <c r="M1260" s="15" t="n">
        <f aca="false">AI1260*評分方法!$C$9</f>
        <v>10</v>
      </c>
      <c r="N1260" s="15" t="n">
        <f aca="false">AJ1260*評分方法!$C$10</f>
        <v>9.524</v>
      </c>
      <c r="O1260" s="15" t="n">
        <f aca="false">AK1260*評分方法!$C$11</f>
        <v>1</v>
      </c>
      <c r="P1260" s="15" t="n">
        <f aca="false">AL1260*評分方法!$C$12</f>
        <v>1.5</v>
      </c>
      <c r="Q1260" s="6" t="n">
        <v>9136152</v>
      </c>
      <c r="R1260" s="6" t="n">
        <v>86389248</v>
      </c>
      <c r="S1260" s="11" t="s">
        <v>238</v>
      </c>
      <c r="T1260" s="11" t="s">
        <v>239</v>
      </c>
      <c r="U1260" s="5" t="s">
        <v>240</v>
      </c>
      <c r="V1260" s="11" t="s">
        <v>279</v>
      </c>
      <c r="W1260" s="5" t="s">
        <v>205</v>
      </c>
      <c r="X1260" s="5" t="s">
        <v>255</v>
      </c>
      <c r="Y1260" s="5"/>
      <c r="Z1260" s="5"/>
      <c r="AA1260" s="11" t="s">
        <v>173</v>
      </c>
      <c r="AB1260" s="5" t="s">
        <v>245</v>
      </c>
      <c r="AC1260" s="5"/>
      <c r="AD1260" s="11" t="s">
        <v>3147</v>
      </c>
      <c r="AE1260" s="23" t="n">
        <v>0.35</v>
      </c>
      <c r="AF1260" s="23" t="n">
        <v>0</v>
      </c>
      <c r="AG1260" s="23" t="n">
        <v>1</v>
      </c>
      <c r="AH1260" s="23" t="n">
        <v>1</v>
      </c>
      <c r="AI1260" s="23" t="n">
        <v>1</v>
      </c>
      <c r="AJ1260" s="23" t="n">
        <v>0.9524</v>
      </c>
      <c r="AK1260" s="23" t="n">
        <v>0.2</v>
      </c>
      <c r="AL1260" s="23" t="n">
        <v>0.3</v>
      </c>
      <c r="AM1260" s="16" t="n">
        <f aca="false">COUNTIFS($D$2:$D$2501,D1260,$G$2:$G$2501,"&gt;"&amp;G1260)+COUNTIFS($D$2:D1260,D1260,$G$2:G1260,G1260)</f>
        <v>52</v>
      </c>
      <c r="AN1260" s="5" t="str">
        <f aca="false">D1260&amp;"|"&amp;AM1260</f>
        <v>文件與影像辨識|52</v>
      </c>
    </row>
    <row r="1261" customFormat="false" ht="17.15" hidden="false" customHeight="false" outlineLevel="0" collapsed="false">
      <c r="A1261" s="16" t="n">
        <f aca="false">RANK(G1261,$G$2:$G$2501)+COUNTIF($G$2:G1261,G1261)-1</f>
        <v>1260</v>
      </c>
      <c r="B1261" s="11" t="s">
        <v>3148</v>
      </c>
      <c r="C1261" s="11" t="s">
        <v>1374</v>
      </c>
      <c r="D1261" s="5" t="s">
        <v>56</v>
      </c>
      <c r="E1261" s="5" t="s">
        <v>57</v>
      </c>
      <c r="F1261" s="5"/>
      <c r="G1261" s="22" t="n">
        <f aca="false">ROUND(SUM(I1261:P1261),3)</f>
        <v>62.504</v>
      </c>
      <c r="H1261" s="5" t="str">
        <f aca="false">IF(G1261&gt;=評分方法!$C$16,"優先評估",IF(G1261&gt;=評分方法!$C$17,"列入候選",IF(G1261&gt;=評分方法!$C$18,"特定情境","不建議")))</f>
        <v>特定情境</v>
      </c>
      <c r="I1261" s="15" t="n">
        <f aca="false">AE1261*評分方法!$C$5</f>
        <v>25.5</v>
      </c>
      <c r="J1261" s="15" t="n">
        <f aca="false">AF1261*評分方法!$C$6</f>
        <v>0</v>
      </c>
      <c r="K1261" s="15" t="n">
        <f aca="false">AG1261*評分方法!$C$7</f>
        <v>10.05</v>
      </c>
      <c r="L1261" s="15" t="n">
        <f aca="false">AH1261*評分方法!$C$8</f>
        <v>13.05</v>
      </c>
      <c r="M1261" s="15" t="n">
        <f aca="false">AI1261*評分方法!$C$9</f>
        <v>6</v>
      </c>
      <c r="N1261" s="15" t="n">
        <f aca="false">AJ1261*評分方法!$C$10</f>
        <v>2.404</v>
      </c>
      <c r="O1261" s="15" t="n">
        <f aca="false">AK1261*評分方法!$C$11</f>
        <v>2.5</v>
      </c>
      <c r="P1261" s="15" t="n">
        <f aca="false">AL1261*評分方法!$C$12</f>
        <v>3</v>
      </c>
      <c r="Q1261" s="6" t="n">
        <v>241176</v>
      </c>
      <c r="R1261" s="6" t="n">
        <v>1301875840</v>
      </c>
      <c r="S1261" s="11" t="s">
        <v>254</v>
      </c>
      <c r="T1261" s="11" t="s">
        <v>658</v>
      </c>
      <c r="U1261" s="5" t="s">
        <v>260</v>
      </c>
      <c r="V1261" s="11" t="s">
        <v>261</v>
      </c>
      <c r="W1261" s="5" t="s">
        <v>207</v>
      </c>
      <c r="X1261" s="5" t="s">
        <v>371</v>
      </c>
      <c r="Y1261" s="11" t="s">
        <v>657</v>
      </c>
      <c r="Z1261" s="11" t="s">
        <v>244</v>
      </c>
      <c r="AA1261" s="11" t="s">
        <v>155</v>
      </c>
      <c r="AB1261" s="5" t="s">
        <v>245</v>
      </c>
      <c r="AC1261" s="5" t="s">
        <v>464</v>
      </c>
      <c r="AD1261" s="11" t="s">
        <v>3149</v>
      </c>
      <c r="AE1261" s="23" t="n">
        <v>0.85</v>
      </c>
      <c r="AF1261" s="23" t="n">
        <v>0</v>
      </c>
      <c r="AG1261" s="23" t="n">
        <v>0.67</v>
      </c>
      <c r="AH1261" s="23" t="n">
        <v>0.87</v>
      </c>
      <c r="AI1261" s="23" t="n">
        <v>0.6</v>
      </c>
      <c r="AJ1261" s="23" t="n">
        <v>0.2404</v>
      </c>
      <c r="AK1261" s="23" t="n">
        <v>0.5</v>
      </c>
      <c r="AL1261" s="23" t="n">
        <v>0.6</v>
      </c>
      <c r="AM1261" s="16" t="n">
        <f aca="false">COUNTIFS($D$2:$D$2501,D1261,$G$2:$G$2501,"&gt;"&amp;G1261)+COUNTIFS($D$2:D1261,D1261,$G$2:G1261,G1261)</f>
        <v>566</v>
      </c>
      <c r="AN1261" s="5" t="str">
        <f aca="false">D1261&amp;"|"&amp;AM1261</f>
        <v>分析與報告生成|566</v>
      </c>
    </row>
    <row r="1262" customFormat="false" ht="17.15" hidden="false" customHeight="false" outlineLevel="0" collapsed="false">
      <c r="A1262" s="16" t="n">
        <f aca="false">RANK(G1262,$G$2:$G$2501)+COUNTIF($G$2:G1262,G1262)-1</f>
        <v>1261</v>
      </c>
      <c r="B1262" s="11" t="s">
        <v>3150</v>
      </c>
      <c r="C1262" s="11" t="s">
        <v>327</v>
      </c>
      <c r="D1262" s="5" t="s">
        <v>78</v>
      </c>
      <c r="E1262" s="5" t="s">
        <v>79</v>
      </c>
      <c r="F1262" s="5"/>
      <c r="G1262" s="22" t="n">
        <f aca="false">ROUND(SUM(I1262:P1262),3)</f>
        <v>62.5</v>
      </c>
      <c r="H1262" s="5" t="str">
        <f aca="false">IF(G1262&gt;=評分方法!$C$16,"優先評估",IF(G1262&gt;=評分方法!$C$17,"列入候選",IF(G1262&gt;=評分方法!$C$18,"特定情境","不建議")))</f>
        <v>特定情境</v>
      </c>
      <c r="I1262" s="15" t="n">
        <f aca="false">AE1262*評分方法!$C$5</f>
        <v>9</v>
      </c>
      <c r="J1262" s="15" t="n">
        <f aca="false">AF1262*評分方法!$C$6</f>
        <v>0</v>
      </c>
      <c r="K1262" s="15" t="n">
        <f aca="false">AG1262*評分方法!$C$7</f>
        <v>15</v>
      </c>
      <c r="L1262" s="15" t="n">
        <f aca="false">AH1262*評分方法!$C$8</f>
        <v>15</v>
      </c>
      <c r="M1262" s="15" t="n">
        <f aca="false">AI1262*評分方法!$C$9</f>
        <v>10</v>
      </c>
      <c r="N1262" s="15" t="n">
        <f aca="false">AJ1262*評分方法!$C$10</f>
        <v>8.5</v>
      </c>
      <c r="O1262" s="15" t="n">
        <f aca="false">AK1262*評分方法!$C$11</f>
        <v>5</v>
      </c>
      <c r="P1262" s="15" t="n">
        <f aca="false">AL1262*評分方法!$C$12</f>
        <v>0</v>
      </c>
      <c r="Q1262" s="6" t="n">
        <v>2227395</v>
      </c>
      <c r="R1262" s="6" t="n">
        <v>627057286</v>
      </c>
      <c r="S1262" s="11" t="s">
        <v>238</v>
      </c>
      <c r="T1262" s="11" t="s">
        <v>1636</v>
      </c>
      <c r="U1262" s="5" t="s">
        <v>240</v>
      </c>
      <c r="V1262" s="11" t="s">
        <v>2826</v>
      </c>
      <c r="W1262" s="5" t="s">
        <v>205</v>
      </c>
      <c r="X1262" s="5" t="s">
        <v>242</v>
      </c>
      <c r="Y1262" s="5"/>
      <c r="Z1262" s="5"/>
      <c r="AA1262" s="11" t="s">
        <v>175</v>
      </c>
      <c r="AB1262" s="5" t="s">
        <v>245</v>
      </c>
      <c r="AC1262" s="5"/>
      <c r="AD1262" s="11" t="s">
        <v>3151</v>
      </c>
      <c r="AE1262" s="23" t="n">
        <v>0.3</v>
      </c>
      <c r="AF1262" s="23" t="n">
        <v>0</v>
      </c>
      <c r="AG1262" s="23" t="n">
        <v>1</v>
      </c>
      <c r="AH1262" s="23" t="n">
        <v>1</v>
      </c>
      <c r="AI1262" s="23" t="n">
        <v>1</v>
      </c>
      <c r="AJ1262" s="23" t="n">
        <v>0.85</v>
      </c>
      <c r="AK1262" s="23" t="n">
        <v>1</v>
      </c>
      <c r="AL1262" s="23" t="n">
        <v>0</v>
      </c>
      <c r="AM1262" s="16" t="n">
        <f aca="false">COUNTIFS($D$2:$D$2501,D1262,$G$2:$G$2501,"&gt;"&amp;G1262)+COUNTIFS($D$2:D1262,D1262,$G$2:G1262,G1262)</f>
        <v>16</v>
      </c>
      <c r="AN1262" s="5" t="str">
        <f aca="false">D1262&amp;"|"&amp;AM1262</f>
        <v>語音分析|16</v>
      </c>
    </row>
    <row r="1263" customFormat="false" ht="17.15" hidden="false" customHeight="false" outlineLevel="0" collapsed="false">
      <c r="A1263" s="16" t="n">
        <f aca="false">RANK(G1263,$G$2:$G$2501)+COUNTIF($G$2:G1263,G1263)-1</f>
        <v>1262</v>
      </c>
      <c r="B1263" s="11" t="s">
        <v>3152</v>
      </c>
      <c r="C1263" s="11" t="s">
        <v>989</v>
      </c>
      <c r="D1263" s="5" t="s">
        <v>56</v>
      </c>
      <c r="E1263" s="5" t="s">
        <v>57</v>
      </c>
      <c r="F1263" s="5"/>
      <c r="G1263" s="22" t="n">
        <f aca="false">ROUND(SUM(I1263:P1263),3)</f>
        <v>62.488</v>
      </c>
      <c r="H1263" s="5" t="str">
        <f aca="false">IF(G1263&gt;=評分方法!$C$16,"優先評估",IF(G1263&gt;=評分方法!$C$17,"列入候選",IF(G1263&gt;=評分方法!$C$18,"特定情境","不建議")))</f>
        <v>特定情境</v>
      </c>
      <c r="I1263" s="15" t="n">
        <f aca="false">AE1263*評分方法!$C$5</f>
        <v>25.5</v>
      </c>
      <c r="J1263" s="15" t="n">
        <f aca="false">AF1263*評分方法!$C$6</f>
        <v>0</v>
      </c>
      <c r="K1263" s="15" t="n">
        <f aca="false">AG1263*評分方法!$C$7</f>
        <v>10.05</v>
      </c>
      <c r="L1263" s="15" t="n">
        <f aca="false">AH1263*評分方法!$C$8</f>
        <v>13.05</v>
      </c>
      <c r="M1263" s="15" t="n">
        <f aca="false">AI1263*評分方法!$C$9</f>
        <v>10</v>
      </c>
      <c r="N1263" s="15" t="n">
        <f aca="false">AJ1263*評分方法!$C$10</f>
        <v>1.388</v>
      </c>
      <c r="O1263" s="15" t="n">
        <f aca="false">AK1263*評分方法!$C$11</f>
        <v>2.5</v>
      </c>
      <c r="P1263" s="15" t="n">
        <f aca="false">AL1263*評分方法!$C$12</f>
        <v>0</v>
      </c>
      <c r="Q1263" s="6" t="n">
        <v>173219</v>
      </c>
      <c r="R1263" s="6" t="n">
        <v>1711376384</v>
      </c>
      <c r="S1263" s="11" t="s">
        <v>254</v>
      </c>
      <c r="T1263" s="11" t="s">
        <v>239</v>
      </c>
      <c r="U1263" s="5" t="s">
        <v>240</v>
      </c>
      <c r="V1263" s="11" t="s">
        <v>333</v>
      </c>
      <c r="W1263" s="5" t="s">
        <v>207</v>
      </c>
      <c r="X1263" s="5" t="s">
        <v>242</v>
      </c>
      <c r="Y1263" s="11" t="s">
        <v>967</v>
      </c>
      <c r="Z1263" s="11" t="s">
        <v>244</v>
      </c>
      <c r="AA1263" s="11" t="s">
        <v>155</v>
      </c>
      <c r="AB1263" s="5" t="s">
        <v>245</v>
      </c>
      <c r="AC1263" s="5" t="s">
        <v>246</v>
      </c>
      <c r="AD1263" s="11" t="s">
        <v>3153</v>
      </c>
      <c r="AE1263" s="23" t="n">
        <v>0.85</v>
      </c>
      <c r="AF1263" s="23" t="n">
        <v>0</v>
      </c>
      <c r="AG1263" s="23" t="n">
        <v>0.67</v>
      </c>
      <c r="AH1263" s="23" t="n">
        <v>0.87</v>
      </c>
      <c r="AI1263" s="23" t="n">
        <v>1</v>
      </c>
      <c r="AJ1263" s="23" t="n">
        <v>0.1388</v>
      </c>
      <c r="AK1263" s="23" t="n">
        <v>0.5</v>
      </c>
      <c r="AL1263" s="23" t="n">
        <v>0</v>
      </c>
      <c r="AM1263" s="16" t="n">
        <f aca="false">COUNTIFS($D$2:$D$2501,D1263,$G$2:$G$2501,"&gt;"&amp;G1263)+COUNTIFS($D$2:D1263,D1263,$G$2:G1263,G1263)</f>
        <v>567</v>
      </c>
      <c r="AN1263" s="5" t="str">
        <f aca="false">D1263&amp;"|"&amp;AM1263</f>
        <v>分析與報告生成|567</v>
      </c>
    </row>
    <row r="1264" customFormat="false" ht="17.15" hidden="false" customHeight="false" outlineLevel="0" collapsed="false">
      <c r="A1264" s="16" t="n">
        <f aca="false">RANK(G1264,$G$2:$G$2501)+COUNTIF($G$2:G1264,G1264)-1</f>
        <v>1263</v>
      </c>
      <c r="B1264" s="11" t="s">
        <v>3154</v>
      </c>
      <c r="C1264" s="11" t="s">
        <v>1111</v>
      </c>
      <c r="D1264" s="5" t="s">
        <v>56</v>
      </c>
      <c r="E1264" s="5" t="s">
        <v>57</v>
      </c>
      <c r="F1264" s="5"/>
      <c r="G1264" s="22" t="n">
        <f aca="false">ROUND(SUM(I1264:P1264),3)</f>
        <v>62.484</v>
      </c>
      <c r="H1264" s="5" t="str">
        <f aca="false">IF(G1264&gt;=評分方法!$C$16,"優先評估",IF(G1264&gt;=評分方法!$C$17,"列入候選",IF(G1264&gt;=評分方法!$C$18,"特定情境","不建議")))</f>
        <v>特定情境</v>
      </c>
      <c r="I1264" s="15" t="n">
        <f aca="false">AE1264*評分方法!$C$5</f>
        <v>25.5</v>
      </c>
      <c r="J1264" s="15" t="n">
        <f aca="false">AF1264*評分方法!$C$6</f>
        <v>0</v>
      </c>
      <c r="K1264" s="15" t="n">
        <f aca="false">AG1264*評分方法!$C$7</f>
        <v>10.05</v>
      </c>
      <c r="L1264" s="15" t="n">
        <f aca="false">AH1264*評分方法!$C$8</f>
        <v>13.05</v>
      </c>
      <c r="M1264" s="15" t="n">
        <f aca="false">AI1264*評分方法!$C$9</f>
        <v>6</v>
      </c>
      <c r="N1264" s="15" t="n">
        <f aca="false">AJ1264*評分方法!$C$10</f>
        <v>6.884</v>
      </c>
      <c r="O1264" s="15" t="n">
        <f aca="false">AK1264*評分方法!$C$11</f>
        <v>1</v>
      </c>
      <c r="P1264" s="15" t="n">
        <f aca="false">AL1264*評分方法!$C$12</f>
        <v>0</v>
      </c>
      <c r="Q1264" s="6" t="n">
        <v>866283</v>
      </c>
      <c r="R1264" s="6" t="n">
        <v>3607526400</v>
      </c>
      <c r="S1264" s="11" t="s">
        <v>254</v>
      </c>
      <c r="T1264" s="11" t="s">
        <v>1044</v>
      </c>
      <c r="U1264" s="5" t="s">
        <v>260</v>
      </c>
      <c r="V1264" s="11" t="s">
        <v>261</v>
      </c>
      <c r="W1264" s="5" t="s">
        <v>207</v>
      </c>
      <c r="X1264" s="5" t="s">
        <v>242</v>
      </c>
      <c r="Y1264" s="11" t="s">
        <v>1340</v>
      </c>
      <c r="Z1264" s="11" t="s">
        <v>244</v>
      </c>
      <c r="AA1264" s="11" t="s">
        <v>155</v>
      </c>
      <c r="AB1264" s="5" t="s">
        <v>245</v>
      </c>
      <c r="AC1264" s="5" t="s">
        <v>464</v>
      </c>
      <c r="AD1264" s="11" t="s">
        <v>3155</v>
      </c>
      <c r="AE1264" s="23" t="n">
        <v>0.85</v>
      </c>
      <c r="AF1264" s="23" t="n">
        <v>0</v>
      </c>
      <c r="AG1264" s="23" t="n">
        <v>0.67</v>
      </c>
      <c r="AH1264" s="23" t="n">
        <v>0.87</v>
      </c>
      <c r="AI1264" s="23" t="n">
        <v>0.6</v>
      </c>
      <c r="AJ1264" s="23" t="n">
        <v>0.6884</v>
      </c>
      <c r="AK1264" s="23" t="n">
        <v>0.2</v>
      </c>
      <c r="AL1264" s="23" t="n">
        <v>0</v>
      </c>
      <c r="AM1264" s="16" t="n">
        <f aca="false">COUNTIFS($D$2:$D$2501,D1264,$G$2:$G$2501,"&gt;"&amp;G1264)+COUNTIFS($D$2:D1264,D1264,$G$2:G1264,G1264)</f>
        <v>568</v>
      </c>
      <c r="AN1264" s="5" t="str">
        <f aca="false">D1264&amp;"|"&amp;AM1264</f>
        <v>分析與報告生成|568</v>
      </c>
    </row>
    <row r="1265" customFormat="false" ht="17.15" hidden="false" customHeight="false" outlineLevel="0" collapsed="false">
      <c r="A1265" s="16" t="n">
        <f aca="false">RANK(G1265,$G$2:$G$2501)+COUNTIF($G$2:G1265,G1265)-1</f>
        <v>1264</v>
      </c>
      <c r="B1265" s="11" t="s">
        <v>3156</v>
      </c>
      <c r="C1265" s="11" t="s">
        <v>1111</v>
      </c>
      <c r="D1265" s="5" t="s">
        <v>56</v>
      </c>
      <c r="E1265" s="5" t="s">
        <v>57</v>
      </c>
      <c r="F1265" s="5"/>
      <c r="G1265" s="22" t="n">
        <f aca="false">ROUND(SUM(I1265:P1265),3)</f>
        <v>62.482</v>
      </c>
      <c r="H1265" s="5" t="str">
        <f aca="false">IF(G1265&gt;=評分方法!$C$16,"優先評估",IF(G1265&gt;=評分方法!$C$17,"列入候選",IF(G1265&gt;=評分方法!$C$18,"特定情境","不建議")))</f>
        <v>特定情境</v>
      </c>
      <c r="I1265" s="15" t="n">
        <f aca="false">AE1265*評分方法!$C$5</f>
        <v>25.5</v>
      </c>
      <c r="J1265" s="15" t="n">
        <f aca="false">AF1265*評分方法!$C$6</f>
        <v>0</v>
      </c>
      <c r="K1265" s="15" t="n">
        <f aca="false">AG1265*評分方法!$C$7</f>
        <v>10.05</v>
      </c>
      <c r="L1265" s="15" t="n">
        <f aca="false">AH1265*評分方法!$C$8</f>
        <v>9</v>
      </c>
      <c r="M1265" s="15" t="n">
        <f aca="false">AI1265*評分方法!$C$9</f>
        <v>2</v>
      </c>
      <c r="N1265" s="15" t="n">
        <f aca="false">AJ1265*評分方法!$C$10</f>
        <v>7.932</v>
      </c>
      <c r="O1265" s="15" t="n">
        <f aca="false">AK1265*評分方法!$C$11</f>
        <v>5</v>
      </c>
      <c r="P1265" s="15" t="n">
        <f aca="false">AL1265*評分方法!$C$12</f>
        <v>3</v>
      </c>
      <c r="Q1265" s="6" t="n">
        <v>1490686</v>
      </c>
      <c r="R1265" s="6" t="n">
        <v>31577940288</v>
      </c>
      <c r="S1265" s="11" t="s">
        <v>389</v>
      </c>
      <c r="T1265" s="5"/>
      <c r="U1265" s="5" t="s">
        <v>375</v>
      </c>
      <c r="V1265" s="11" t="s">
        <v>261</v>
      </c>
      <c r="W1265" s="5" t="s">
        <v>207</v>
      </c>
      <c r="X1265" s="5" t="s">
        <v>371</v>
      </c>
      <c r="Y1265" s="11" t="s">
        <v>1560</v>
      </c>
      <c r="Z1265" s="11" t="s">
        <v>244</v>
      </c>
      <c r="AA1265" s="11" t="s">
        <v>155</v>
      </c>
      <c r="AB1265" s="5" t="s">
        <v>245</v>
      </c>
      <c r="AC1265" s="5" t="s">
        <v>464</v>
      </c>
      <c r="AD1265" s="11" t="s">
        <v>3157</v>
      </c>
      <c r="AE1265" s="23" t="n">
        <v>0.85</v>
      </c>
      <c r="AF1265" s="23" t="n">
        <v>0</v>
      </c>
      <c r="AG1265" s="23" t="n">
        <v>0.67</v>
      </c>
      <c r="AH1265" s="23" t="n">
        <v>0.6</v>
      </c>
      <c r="AI1265" s="23" t="n">
        <v>0.2</v>
      </c>
      <c r="AJ1265" s="23" t="n">
        <v>0.7932</v>
      </c>
      <c r="AK1265" s="23" t="n">
        <v>1</v>
      </c>
      <c r="AL1265" s="23" t="n">
        <v>0.6</v>
      </c>
      <c r="AM1265" s="16" t="n">
        <f aca="false">COUNTIFS($D$2:$D$2501,D1265,$G$2:$G$2501,"&gt;"&amp;G1265)+COUNTIFS($D$2:D1265,D1265,$G$2:G1265,G1265)</f>
        <v>569</v>
      </c>
      <c r="AN1265" s="5" t="str">
        <f aca="false">D1265&amp;"|"&amp;AM1265</f>
        <v>分析與報告生成|569</v>
      </c>
    </row>
    <row r="1266" customFormat="false" ht="17.15" hidden="false" customHeight="false" outlineLevel="0" collapsed="false">
      <c r="A1266" s="16" t="n">
        <f aca="false">RANK(G1266,$G$2:$G$2501)+COUNTIF($G$2:G1266,G1266)-1</f>
        <v>1265</v>
      </c>
      <c r="B1266" s="11" t="s">
        <v>3158</v>
      </c>
      <c r="C1266" s="11" t="s">
        <v>323</v>
      </c>
      <c r="D1266" s="5" t="s">
        <v>56</v>
      </c>
      <c r="E1266" s="5" t="s">
        <v>57</v>
      </c>
      <c r="F1266" s="5"/>
      <c r="G1266" s="22" t="n">
        <f aca="false">ROUND(SUM(I1266:P1266),3)</f>
        <v>62.436</v>
      </c>
      <c r="H1266" s="5" t="str">
        <f aca="false">IF(G1266&gt;=評分方法!$C$16,"優先評估",IF(G1266&gt;=評分方法!$C$17,"列入候選",IF(G1266&gt;=評分方法!$C$18,"特定情境","不建議")))</f>
        <v>特定情境</v>
      </c>
      <c r="I1266" s="15" t="n">
        <f aca="false">AE1266*評分方法!$C$5</f>
        <v>25.5</v>
      </c>
      <c r="J1266" s="15" t="n">
        <f aca="false">AF1266*評分方法!$C$6</f>
        <v>0</v>
      </c>
      <c r="K1266" s="15" t="n">
        <f aca="false">AG1266*評分方法!$C$7</f>
        <v>15</v>
      </c>
      <c r="L1266" s="15" t="n">
        <f aca="false">AH1266*評分方法!$C$8</f>
        <v>9</v>
      </c>
      <c r="M1266" s="15" t="n">
        <f aca="false">AI1266*評分方法!$C$9</f>
        <v>10</v>
      </c>
      <c r="N1266" s="15" t="n">
        <f aca="false">AJ1266*評分方法!$C$10</f>
        <v>0.436</v>
      </c>
      <c r="O1266" s="15" t="n">
        <f aca="false">AK1266*評分方法!$C$11</f>
        <v>2.5</v>
      </c>
      <c r="P1266" s="15" t="n">
        <f aca="false">AL1266*評分方法!$C$12</f>
        <v>0</v>
      </c>
      <c r="Q1266" s="6" t="n">
        <v>129501</v>
      </c>
      <c r="R1266" s="6" t="n">
        <v>32234279936</v>
      </c>
      <c r="S1266" s="11" t="s">
        <v>389</v>
      </c>
      <c r="T1266" s="11" t="s">
        <v>239</v>
      </c>
      <c r="U1266" s="5" t="s">
        <v>240</v>
      </c>
      <c r="V1266" s="11" t="s">
        <v>261</v>
      </c>
      <c r="W1266" s="5" t="s">
        <v>205</v>
      </c>
      <c r="X1266" s="5" t="s">
        <v>242</v>
      </c>
      <c r="Y1266" s="11" t="s">
        <v>3159</v>
      </c>
      <c r="Z1266" s="11" t="s">
        <v>270</v>
      </c>
      <c r="AA1266" s="11" t="s">
        <v>155</v>
      </c>
      <c r="AB1266" s="5" t="s">
        <v>245</v>
      </c>
      <c r="AC1266" s="5"/>
      <c r="AD1266" s="11" t="s">
        <v>3160</v>
      </c>
      <c r="AE1266" s="23" t="n">
        <v>0.85</v>
      </c>
      <c r="AF1266" s="23" t="n">
        <v>0</v>
      </c>
      <c r="AG1266" s="23" t="n">
        <v>1</v>
      </c>
      <c r="AH1266" s="23" t="n">
        <v>0.6</v>
      </c>
      <c r="AI1266" s="23" t="n">
        <v>1</v>
      </c>
      <c r="AJ1266" s="23" t="n">
        <v>0.0436</v>
      </c>
      <c r="AK1266" s="23" t="n">
        <v>0.5</v>
      </c>
      <c r="AL1266" s="23" t="n">
        <v>0</v>
      </c>
      <c r="AM1266" s="16" t="n">
        <f aca="false">COUNTIFS($D$2:$D$2501,D1266,$G$2:$G$2501,"&gt;"&amp;G1266)+COUNTIFS($D$2:D1266,D1266,$G$2:G1266,G1266)</f>
        <v>570</v>
      </c>
      <c r="AN1266" s="5" t="str">
        <f aca="false">D1266&amp;"|"&amp;AM1266</f>
        <v>分析與報告生成|570</v>
      </c>
    </row>
    <row r="1267" customFormat="false" ht="17.15" hidden="false" customHeight="false" outlineLevel="0" collapsed="false">
      <c r="A1267" s="16" t="n">
        <f aca="false">RANK(G1267,$G$2:$G$2501)+COUNTIF($G$2:G1267,G1267)-1</f>
        <v>1266</v>
      </c>
      <c r="B1267" s="11" t="s">
        <v>3161</v>
      </c>
      <c r="C1267" s="11" t="s">
        <v>3162</v>
      </c>
      <c r="D1267" s="5" t="s">
        <v>56</v>
      </c>
      <c r="E1267" s="5" t="s">
        <v>57</v>
      </c>
      <c r="F1267" s="5"/>
      <c r="G1267" s="22" t="n">
        <f aca="false">ROUND(SUM(I1267:P1267),3)</f>
        <v>62.422</v>
      </c>
      <c r="H1267" s="5" t="str">
        <f aca="false">IF(G1267&gt;=評分方法!$C$16,"優先評估",IF(G1267&gt;=評分方法!$C$17,"列入候選",IF(G1267&gt;=評分方法!$C$18,"特定情境","不建議")))</f>
        <v>特定情境</v>
      </c>
      <c r="I1267" s="15" t="n">
        <f aca="false">AE1267*評分方法!$C$5</f>
        <v>25.5</v>
      </c>
      <c r="J1267" s="15" t="n">
        <f aca="false">AF1267*評分方法!$C$6</f>
        <v>0</v>
      </c>
      <c r="K1267" s="15" t="n">
        <f aca="false">AG1267*評分方法!$C$7</f>
        <v>4.95</v>
      </c>
      <c r="L1267" s="15" t="n">
        <f aca="false">AH1267*評分方法!$C$8</f>
        <v>15</v>
      </c>
      <c r="M1267" s="15" t="n">
        <f aca="false">AI1267*評分方法!$C$9</f>
        <v>10</v>
      </c>
      <c r="N1267" s="15" t="n">
        <f aca="false">AJ1267*評分方法!$C$10</f>
        <v>4.472</v>
      </c>
      <c r="O1267" s="15" t="n">
        <f aca="false">AK1267*評分方法!$C$11</f>
        <v>2.5</v>
      </c>
      <c r="P1267" s="15" t="n">
        <f aca="false">AL1267*評分方法!$C$12</f>
        <v>0</v>
      </c>
      <c r="Q1267" s="6" t="n">
        <v>487634</v>
      </c>
      <c r="R1267" s="6" t="n">
        <v>152318464</v>
      </c>
      <c r="S1267" s="11" t="s">
        <v>238</v>
      </c>
      <c r="T1267" s="11" t="s">
        <v>239</v>
      </c>
      <c r="U1267" s="5" t="s">
        <v>240</v>
      </c>
      <c r="V1267" s="11" t="s">
        <v>261</v>
      </c>
      <c r="W1267" s="5" t="s">
        <v>334</v>
      </c>
      <c r="X1267" s="5" t="s">
        <v>242</v>
      </c>
      <c r="Y1267" s="5"/>
      <c r="Z1267" s="5"/>
      <c r="AA1267" s="11" t="s">
        <v>155</v>
      </c>
      <c r="AB1267" s="5" t="s">
        <v>245</v>
      </c>
      <c r="AC1267" s="5"/>
      <c r="AD1267" s="11" t="s">
        <v>3163</v>
      </c>
      <c r="AE1267" s="23" t="n">
        <v>0.85</v>
      </c>
      <c r="AF1267" s="23" t="n">
        <v>0</v>
      </c>
      <c r="AG1267" s="23" t="n">
        <v>0.33</v>
      </c>
      <c r="AH1267" s="23" t="n">
        <v>1</v>
      </c>
      <c r="AI1267" s="23" t="n">
        <v>1</v>
      </c>
      <c r="AJ1267" s="23" t="n">
        <v>0.4472</v>
      </c>
      <c r="AK1267" s="23" t="n">
        <v>0.5</v>
      </c>
      <c r="AL1267" s="23" t="n">
        <v>0</v>
      </c>
      <c r="AM1267" s="16" t="n">
        <f aca="false">COUNTIFS($D$2:$D$2501,D1267,$G$2:$G$2501,"&gt;"&amp;G1267)+COUNTIFS($D$2:D1267,D1267,$G$2:G1267,G1267)</f>
        <v>571</v>
      </c>
      <c r="AN1267" s="5" t="str">
        <f aca="false">D1267&amp;"|"&amp;AM1267</f>
        <v>分析與報告生成|571</v>
      </c>
    </row>
    <row r="1268" customFormat="false" ht="17.15" hidden="false" customHeight="false" outlineLevel="0" collapsed="false">
      <c r="A1268" s="16" t="n">
        <f aca="false">RANK(G1268,$G$2:$G$2501)+COUNTIF($G$2:G1268,G1268)-1</f>
        <v>1267</v>
      </c>
      <c r="B1268" s="11" t="s">
        <v>3164</v>
      </c>
      <c r="C1268" s="11" t="s">
        <v>327</v>
      </c>
      <c r="D1268" s="5" t="s">
        <v>56</v>
      </c>
      <c r="E1268" s="5" t="s">
        <v>57</v>
      </c>
      <c r="F1268" s="5"/>
      <c r="G1268" s="22" t="n">
        <f aca="false">ROUND(SUM(I1268:P1268),3)</f>
        <v>62.418</v>
      </c>
      <c r="H1268" s="5" t="str">
        <f aca="false">IF(G1268&gt;=評分方法!$C$16,"優先評估",IF(G1268&gt;=評分方法!$C$17,"列入候選",IF(G1268&gt;=評分方法!$C$18,"特定情境","不建議")))</f>
        <v>特定情境</v>
      </c>
      <c r="I1268" s="15" t="n">
        <f aca="false">AE1268*評分方法!$C$5</f>
        <v>25.5</v>
      </c>
      <c r="J1268" s="15" t="n">
        <f aca="false">AF1268*評分方法!$C$6</f>
        <v>0</v>
      </c>
      <c r="K1268" s="15" t="n">
        <f aca="false">AG1268*評分方法!$C$7</f>
        <v>15</v>
      </c>
      <c r="L1268" s="15" t="n">
        <f aca="false">AH1268*評分方法!$C$8</f>
        <v>4.95</v>
      </c>
      <c r="M1268" s="15" t="n">
        <f aca="false">AI1268*評分方法!$C$9</f>
        <v>6</v>
      </c>
      <c r="N1268" s="15" t="n">
        <f aca="false">AJ1268*評分方法!$C$10</f>
        <v>3.968</v>
      </c>
      <c r="O1268" s="15" t="n">
        <f aca="false">AK1268*評分方法!$C$11</f>
        <v>4</v>
      </c>
      <c r="P1268" s="15" t="n">
        <f aca="false">AL1268*評分方法!$C$12</f>
        <v>3</v>
      </c>
      <c r="Q1268" s="6" t="n">
        <v>412916</v>
      </c>
      <c r="R1268" s="6" t="n">
        <v>55793563136</v>
      </c>
      <c r="S1268" s="11" t="s">
        <v>1876</v>
      </c>
      <c r="T1268" s="11" t="s">
        <v>185</v>
      </c>
      <c r="U1268" s="5" t="s">
        <v>260</v>
      </c>
      <c r="V1268" s="11" t="s">
        <v>261</v>
      </c>
      <c r="W1268" s="5" t="s">
        <v>205</v>
      </c>
      <c r="X1268" s="5" t="s">
        <v>371</v>
      </c>
      <c r="Y1268" s="11" t="s">
        <v>3049</v>
      </c>
      <c r="Z1268" s="11" t="s">
        <v>244</v>
      </c>
      <c r="AA1268" s="11" t="s">
        <v>156</v>
      </c>
      <c r="AB1268" s="5" t="s">
        <v>496</v>
      </c>
      <c r="AC1268" s="5" t="s">
        <v>1108</v>
      </c>
      <c r="AD1268" s="11" t="s">
        <v>3165</v>
      </c>
      <c r="AE1268" s="23" t="n">
        <v>0.85</v>
      </c>
      <c r="AF1268" s="23" t="n">
        <v>0</v>
      </c>
      <c r="AG1268" s="23" t="n">
        <v>1</v>
      </c>
      <c r="AH1268" s="23" t="n">
        <v>0.33</v>
      </c>
      <c r="AI1268" s="23" t="n">
        <v>0.6</v>
      </c>
      <c r="AJ1268" s="23" t="n">
        <v>0.3968</v>
      </c>
      <c r="AK1268" s="23" t="n">
        <v>0.8</v>
      </c>
      <c r="AL1268" s="23" t="n">
        <v>0.6</v>
      </c>
      <c r="AM1268" s="16" t="n">
        <f aca="false">COUNTIFS($D$2:$D$2501,D1268,$G$2:$G$2501,"&gt;"&amp;G1268)+COUNTIFS($D$2:D1268,D1268,$G$2:G1268,G1268)</f>
        <v>572</v>
      </c>
      <c r="AN1268" s="5" t="str">
        <f aca="false">D1268&amp;"|"&amp;AM1268</f>
        <v>分析與報告生成|572</v>
      </c>
    </row>
    <row r="1269" customFormat="false" ht="17.15" hidden="false" customHeight="false" outlineLevel="0" collapsed="false">
      <c r="A1269" s="16" t="n">
        <f aca="false">RANK(G1269,$G$2:$G$2501)+COUNTIF($G$2:G1269,G1269)-1</f>
        <v>1268</v>
      </c>
      <c r="B1269" s="11" t="s">
        <v>3166</v>
      </c>
      <c r="C1269" s="11" t="s">
        <v>323</v>
      </c>
      <c r="D1269" s="5" t="s">
        <v>56</v>
      </c>
      <c r="E1269" s="5" t="s">
        <v>57</v>
      </c>
      <c r="F1269" s="5"/>
      <c r="G1269" s="22" t="n">
        <f aca="false">ROUND(SUM(I1269:P1269),3)</f>
        <v>62.406</v>
      </c>
      <c r="H1269" s="5" t="str">
        <f aca="false">IF(G1269&gt;=評分方法!$C$16,"優先評估",IF(G1269&gt;=評分方法!$C$17,"列入候選",IF(G1269&gt;=評分方法!$C$18,"特定情境","不建議")))</f>
        <v>特定情境</v>
      </c>
      <c r="I1269" s="15" t="n">
        <f aca="false">AE1269*評分方法!$C$5</f>
        <v>25.5</v>
      </c>
      <c r="J1269" s="15" t="n">
        <f aca="false">AF1269*評分方法!$C$6</f>
        <v>0</v>
      </c>
      <c r="K1269" s="15" t="n">
        <f aca="false">AG1269*評分方法!$C$7</f>
        <v>15</v>
      </c>
      <c r="L1269" s="15" t="n">
        <f aca="false">AH1269*評分方法!$C$8</f>
        <v>13.05</v>
      </c>
      <c r="M1269" s="15" t="n">
        <f aca="false">AI1269*評分方法!$C$9</f>
        <v>6</v>
      </c>
      <c r="N1269" s="15" t="n">
        <f aca="false">AJ1269*評分方法!$C$10</f>
        <v>0.356</v>
      </c>
      <c r="O1269" s="15" t="n">
        <f aca="false">AK1269*評分方法!$C$11</f>
        <v>2.5</v>
      </c>
      <c r="P1269" s="15" t="n">
        <f aca="false">AL1269*評分方法!$C$12</f>
        <v>0</v>
      </c>
      <c r="Q1269" s="6" t="n">
        <v>126319</v>
      </c>
      <c r="R1269" s="6" t="n">
        <v>8030326784</v>
      </c>
      <c r="S1269" s="11" t="s">
        <v>254</v>
      </c>
      <c r="T1269" s="11" t="s">
        <v>259</v>
      </c>
      <c r="U1269" s="5" t="s">
        <v>260</v>
      </c>
      <c r="V1269" s="11" t="s">
        <v>261</v>
      </c>
      <c r="W1269" s="5" t="s">
        <v>205</v>
      </c>
      <c r="X1269" s="5" t="s">
        <v>242</v>
      </c>
      <c r="Y1269" s="11" t="s">
        <v>616</v>
      </c>
      <c r="Z1269" s="11" t="s">
        <v>270</v>
      </c>
      <c r="AA1269" s="11" t="s">
        <v>155</v>
      </c>
      <c r="AB1269" s="5" t="s">
        <v>245</v>
      </c>
      <c r="AC1269" s="5" t="s">
        <v>262</v>
      </c>
      <c r="AD1269" s="11" t="s">
        <v>3167</v>
      </c>
      <c r="AE1269" s="23" t="n">
        <v>0.85</v>
      </c>
      <c r="AF1269" s="23" t="n">
        <v>0</v>
      </c>
      <c r="AG1269" s="23" t="n">
        <v>1</v>
      </c>
      <c r="AH1269" s="23" t="n">
        <v>0.87</v>
      </c>
      <c r="AI1269" s="23" t="n">
        <v>0.6</v>
      </c>
      <c r="AJ1269" s="23" t="n">
        <v>0.0356</v>
      </c>
      <c r="AK1269" s="23" t="n">
        <v>0.5</v>
      </c>
      <c r="AL1269" s="23" t="n">
        <v>0</v>
      </c>
      <c r="AM1269" s="16" t="n">
        <f aca="false">COUNTIFS($D$2:$D$2501,D1269,$G$2:$G$2501,"&gt;"&amp;G1269)+COUNTIFS($D$2:D1269,D1269,$G$2:G1269,G1269)</f>
        <v>573</v>
      </c>
      <c r="AN1269" s="5" t="str">
        <f aca="false">D1269&amp;"|"&amp;AM1269</f>
        <v>分析與報告生成|573</v>
      </c>
    </row>
    <row r="1270" customFormat="false" ht="17.15" hidden="false" customHeight="false" outlineLevel="0" collapsed="false">
      <c r="A1270" s="16" t="n">
        <f aca="false">RANK(G1270,$G$2:$G$2501)+COUNTIF($G$2:G1270,G1270)-1</f>
        <v>1269</v>
      </c>
      <c r="B1270" s="11" t="s">
        <v>3168</v>
      </c>
      <c r="C1270" s="11" t="s">
        <v>1725</v>
      </c>
      <c r="D1270" s="5" t="s">
        <v>56</v>
      </c>
      <c r="E1270" s="5" t="s">
        <v>57</v>
      </c>
      <c r="F1270" s="5"/>
      <c r="G1270" s="22" t="n">
        <f aca="false">ROUND(SUM(I1270:P1270),3)</f>
        <v>62.398</v>
      </c>
      <c r="H1270" s="5" t="str">
        <f aca="false">IF(G1270&gt;=評分方法!$C$16,"優先評估",IF(G1270&gt;=評分方法!$C$17,"列入候選",IF(G1270&gt;=評分方法!$C$18,"特定情境","不建議")))</f>
        <v>特定情境</v>
      </c>
      <c r="I1270" s="15" t="n">
        <f aca="false">AE1270*評分方法!$C$5</f>
        <v>25.5</v>
      </c>
      <c r="J1270" s="15" t="n">
        <f aca="false">AF1270*評分方法!$C$6</f>
        <v>0</v>
      </c>
      <c r="K1270" s="15" t="n">
        <f aca="false">AG1270*評分方法!$C$7</f>
        <v>4.95</v>
      </c>
      <c r="L1270" s="15" t="n">
        <f aca="false">AH1270*評分方法!$C$8</f>
        <v>9</v>
      </c>
      <c r="M1270" s="15" t="n">
        <f aca="false">AI1270*評分方法!$C$9</f>
        <v>10</v>
      </c>
      <c r="N1270" s="15" t="n">
        <f aca="false">AJ1270*評分方法!$C$10</f>
        <v>4.948</v>
      </c>
      <c r="O1270" s="15" t="n">
        <f aca="false">AK1270*評分方法!$C$11</f>
        <v>5</v>
      </c>
      <c r="P1270" s="15" t="n">
        <f aca="false">AL1270*評分方法!$C$12</f>
        <v>3</v>
      </c>
      <c r="Q1270" s="6" t="n">
        <v>534511</v>
      </c>
      <c r="R1270" s="6" t="n">
        <v>25805936206</v>
      </c>
      <c r="S1270" s="11" t="s">
        <v>389</v>
      </c>
      <c r="T1270" s="11" t="s">
        <v>239</v>
      </c>
      <c r="U1270" s="5" t="s">
        <v>240</v>
      </c>
      <c r="V1270" s="11" t="s">
        <v>261</v>
      </c>
      <c r="W1270" s="5" t="s">
        <v>334</v>
      </c>
      <c r="X1270" s="5" t="s">
        <v>371</v>
      </c>
      <c r="Y1270" s="11" t="s">
        <v>785</v>
      </c>
      <c r="Z1270" s="11" t="s">
        <v>244</v>
      </c>
      <c r="AA1270" s="11" t="s">
        <v>156</v>
      </c>
      <c r="AB1270" s="5" t="s">
        <v>245</v>
      </c>
      <c r="AC1270" s="5" t="s">
        <v>246</v>
      </c>
      <c r="AD1270" s="11" t="s">
        <v>3169</v>
      </c>
      <c r="AE1270" s="23" t="n">
        <v>0.85</v>
      </c>
      <c r="AF1270" s="23" t="n">
        <v>0</v>
      </c>
      <c r="AG1270" s="23" t="n">
        <v>0.33</v>
      </c>
      <c r="AH1270" s="23" t="n">
        <v>0.6</v>
      </c>
      <c r="AI1270" s="23" t="n">
        <v>1</v>
      </c>
      <c r="AJ1270" s="23" t="n">
        <v>0.4948</v>
      </c>
      <c r="AK1270" s="23" t="n">
        <v>1</v>
      </c>
      <c r="AL1270" s="23" t="n">
        <v>0.6</v>
      </c>
      <c r="AM1270" s="16" t="n">
        <f aca="false">COUNTIFS($D$2:$D$2501,D1270,$G$2:$G$2501,"&gt;"&amp;G1270)+COUNTIFS($D$2:D1270,D1270,$G$2:G1270,G1270)</f>
        <v>574</v>
      </c>
      <c r="AN1270" s="5" t="str">
        <f aca="false">D1270&amp;"|"&amp;AM1270</f>
        <v>分析與報告生成|574</v>
      </c>
    </row>
    <row r="1271" customFormat="false" ht="17.15" hidden="false" customHeight="false" outlineLevel="0" collapsed="false">
      <c r="A1271" s="16" t="n">
        <f aca="false">RANK(G1271,$G$2:$G$2501)+COUNTIF($G$2:G1271,G1271)-1</f>
        <v>1270</v>
      </c>
      <c r="B1271" s="11" t="s">
        <v>3170</v>
      </c>
      <c r="C1271" s="11" t="s">
        <v>3171</v>
      </c>
      <c r="D1271" s="5" t="s">
        <v>70</v>
      </c>
      <c r="E1271" s="5" t="s">
        <v>71</v>
      </c>
      <c r="F1271" s="5" t="s">
        <v>70</v>
      </c>
      <c r="G1271" s="22" t="n">
        <f aca="false">ROUND(SUM(I1271:P1271),3)</f>
        <v>62.378</v>
      </c>
      <c r="H1271" s="5" t="str">
        <f aca="false">IF(G1271&gt;=評分方法!$C$16,"優先評估",IF(G1271&gt;=評分方法!$C$17,"列入候選",IF(G1271&gt;=評分方法!$C$18,"特定情境","不建議")))</f>
        <v>特定情境</v>
      </c>
      <c r="I1271" s="15" t="n">
        <f aca="false">AE1271*評分方法!$C$5</f>
        <v>10.5</v>
      </c>
      <c r="J1271" s="15" t="n">
        <f aca="false">AF1271*評分方法!$C$6</f>
        <v>5</v>
      </c>
      <c r="K1271" s="15" t="n">
        <f aca="false">AG1271*評分方法!$C$7</f>
        <v>10.05</v>
      </c>
      <c r="L1271" s="15" t="n">
        <f aca="false">AH1271*評分方法!$C$8</f>
        <v>15</v>
      </c>
      <c r="M1271" s="15" t="n">
        <f aca="false">AI1271*評分方法!$C$9</f>
        <v>10</v>
      </c>
      <c r="N1271" s="15" t="n">
        <f aca="false">AJ1271*評分方法!$C$10</f>
        <v>7.828</v>
      </c>
      <c r="O1271" s="15" t="n">
        <f aca="false">AK1271*評分方法!$C$11</f>
        <v>2.5</v>
      </c>
      <c r="P1271" s="15" t="n">
        <f aca="false">AL1271*評分方法!$C$12</f>
        <v>1.5</v>
      </c>
      <c r="Q1271" s="6" t="n">
        <v>1421230</v>
      </c>
      <c r="R1271" s="6" t="n">
        <v>5597762</v>
      </c>
      <c r="S1271" s="11" t="s">
        <v>238</v>
      </c>
      <c r="T1271" s="11" t="s">
        <v>239</v>
      </c>
      <c r="U1271" s="5" t="s">
        <v>240</v>
      </c>
      <c r="V1271" s="11" t="s">
        <v>261</v>
      </c>
      <c r="W1271" s="5" t="s">
        <v>207</v>
      </c>
      <c r="X1271" s="5" t="s">
        <v>255</v>
      </c>
      <c r="Y1271" s="5"/>
      <c r="Z1271" s="5"/>
      <c r="AA1271" s="11" t="s">
        <v>172</v>
      </c>
      <c r="AB1271" s="5" t="s">
        <v>245</v>
      </c>
      <c r="AC1271" s="5"/>
      <c r="AD1271" s="11" t="s">
        <v>3172</v>
      </c>
      <c r="AE1271" s="23" t="n">
        <v>0.35</v>
      </c>
      <c r="AF1271" s="23" t="n">
        <v>0.5</v>
      </c>
      <c r="AG1271" s="23" t="n">
        <v>0.67</v>
      </c>
      <c r="AH1271" s="23" t="n">
        <v>1</v>
      </c>
      <c r="AI1271" s="23" t="n">
        <v>1</v>
      </c>
      <c r="AJ1271" s="23" t="n">
        <v>0.7828</v>
      </c>
      <c r="AK1271" s="23" t="n">
        <v>0.5</v>
      </c>
      <c r="AL1271" s="23" t="n">
        <v>0.3</v>
      </c>
      <c r="AM1271" s="16" t="n">
        <f aca="false">COUNTIFS($D$2:$D$2501,D1271,$G$2:$G$2501,"&gt;"&amp;G1271)+COUNTIFS($D$2:D1271,D1271,$G$2:G1271,G1271)</f>
        <v>9</v>
      </c>
      <c r="AN1271" s="5" t="str">
        <f aca="false">D1271&amp;"|"&amp;AM1271</f>
        <v>內容安全審查|9</v>
      </c>
    </row>
    <row r="1272" customFormat="false" ht="17.15" hidden="false" customHeight="false" outlineLevel="0" collapsed="false">
      <c r="A1272" s="16" t="n">
        <f aca="false">RANK(G1272,$G$2:$G$2501)+COUNTIF($G$2:G1272,G1272)-1</f>
        <v>1271</v>
      </c>
      <c r="B1272" s="11" t="s">
        <v>3173</v>
      </c>
      <c r="C1272" s="11" t="s">
        <v>3174</v>
      </c>
      <c r="D1272" s="5" t="s">
        <v>54</v>
      </c>
      <c r="E1272" s="5" t="s">
        <v>55</v>
      </c>
      <c r="F1272" s="5"/>
      <c r="G1272" s="22" t="n">
        <f aca="false">ROUND(SUM(I1272:P1272),3)</f>
        <v>62.366</v>
      </c>
      <c r="H1272" s="5" t="str">
        <f aca="false">IF(G1272&gt;=評分方法!$C$16,"優先評估",IF(G1272&gt;=評分方法!$C$17,"列入候選",IF(G1272&gt;=評分方法!$C$18,"特定情境","不建議")))</f>
        <v>特定情境</v>
      </c>
      <c r="I1272" s="15" t="n">
        <f aca="false">AE1272*評分方法!$C$5</f>
        <v>27</v>
      </c>
      <c r="J1272" s="15" t="n">
        <f aca="false">AF1272*評分方法!$C$6</f>
        <v>0</v>
      </c>
      <c r="K1272" s="15" t="n">
        <f aca="false">AG1272*評分方法!$C$7</f>
        <v>4.95</v>
      </c>
      <c r="L1272" s="15" t="n">
        <f aca="false">AH1272*評分方法!$C$8</f>
        <v>15</v>
      </c>
      <c r="M1272" s="15" t="n">
        <f aca="false">AI1272*評分方法!$C$9</f>
        <v>10</v>
      </c>
      <c r="N1272" s="15" t="n">
        <f aca="false">AJ1272*評分方法!$C$10</f>
        <v>2.916</v>
      </c>
      <c r="O1272" s="15" t="n">
        <f aca="false">AK1272*評分方法!$C$11</f>
        <v>2.5</v>
      </c>
      <c r="P1272" s="15" t="n">
        <f aca="false">AL1272*評分方法!$C$12</f>
        <v>0</v>
      </c>
      <c r="Q1272" s="6" t="n">
        <v>287327</v>
      </c>
      <c r="R1272" s="6" t="n">
        <v>149014272</v>
      </c>
      <c r="S1272" s="11" t="s">
        <v>238</v>
      </c>
      <c r="T1272" s="11" t="s">
        <v>3175</v>
      </c>
      <c r="U1272" s="5" t="s">
        <v>240</v>
      </c>
      <c r="V1272" s="11" t="s">
        <v>261</v>
      </c>
      <c r="W1272" s="5" t="s">
        <v>334</v>
      </c>
      <c r="X1272" s="5" t="s">
        <v>242</v>
      </c>
      <c r="Y1272" s="11" t="s">
        <v>597</v>
      </c>
      <c r="Z1272" s="11" t="s">
        <v>270</v>
      </c>
      <c r="AA1272" s="11" t="s">
        <v>152</v>
      </c>
      <c r="AB1272" s="5" t="s">
        <v>245</v>
      </c>
      <c r="AC1272" s="5"/>
      <c r="AD1272" s="11" t="s">
        <v>3176</v>
      </c>
      <c r="AE1272" s="23" t="n">
        <v>0.9</v>
      </c>
      <c r="AF1272" s="23" t="n">
        <v>0</v>
      </c>
      <c r="AG1272" s="23" t="n">
        <v>0.33</v>
      </c>
      <c r="AH1272" s="23" t="n">
        <v>1</v>
      </c>
      <c r="AI1272" s="23" t="n">
        <v>1</v>
      </c>
      <c r="AJ1272" s="23" t="n">
        <v>0.2916</v>
      </c>
      <c r="AK1272" s="23" t="n">
        <v>0.5</v>
      </c>
      <c r="AL1272" s="23" t="n">
        <v>0</v>
      </c>
      <c r="AM1272" s="16" t="n">
        <f aca="false">COUNTIFS($D$2:$D$2501,D1272,$G$2:$G$2501,"&gt;"&amp;G1272)+COUNTIFS($D$2:D1272,D1272,$G$2:G1272,G1272)</f>
        <v>182</v>
      </c>
      <c r="AN1272" s="5" t="str">
        <f aca="false">D1272&amp;"|"&amp;AM1272</f>
        <v>檢索與情資關聯|182</v>
      </c>
    </row>
    <row r="1273" customFormat="false" ht="17.15" hidden="false" customHeight="false" outlineLevel="0" collapsed="false">
      <c r="A1273" s="16" t="n">
        <f aca="false">RANK(G1273,$G$2:$G$2501)+COUNTIF($G$2:G1273,G1273)-1</f>
        <v>1272</v>
      </c>
      <c r="B1273" s="11" t="s">
        <v>3177</v>
      </c>
      <c r="C1273" s="11" t="s">
        <v>2693</v>
      </c>
      <c r="D1273" s="5" t="s">
        <v>74</v>
      </c>
      <c r="E1273" s="5" t="s">
        <v>75</v>
      </c>
      <c r="F1273" s="5"/>
      <c r="G1273" s="22" t="n">
        <f aca="false">ROUND(SUM(I1273:P1273),3)</f>
        <v>62.364</v>
      </c>
      <c r="H1273" s="5" t="str">
        <f aca="false">IF(G1273&gt;=評分方法!$C$16,"優先評估",IF(G1273&gt;=評分方法!$C$17,"列入候選",IF(G1273&gt;=評分方法!$C$18,"特定情境","不建議")))</f>
        <v>特定情境</v>
      </c>
      <c r="I1273" s="15" t="n">
        <f aca="false">AE1273*評分方法!$C$5</f>
        <v>10.5</v>
      </c>
      <c r="J1273" s="15" t="n">
        <f aca="false">AF1273*評分方法!$C$6</f>
        <v>0</v>
      </c>
      <c r="K1273" s="15" t="n">
        <f aca="false">AG1273*評分方法!$C$7</f>
        <v>15</v>
      </c>
      <c r="L1273" s="15" t="n">
        <f aca="false">AH1273*評分方法!$C$8</f>
        <v>15</v>
      </c>
      <c r="M1273" s="15" t="n">
        <f aca="false">AI1273*評分方法!$C$9</f>
        <v>10</v>
      </c>
      <c r="N1273" s="15" t="n">
        <f aca="false">AJ1273*評分方法!$C$10</f>
        <v>7.864</v>
      </c>
      <c r="O1273" s="15" t="n">
        <f aca="false">AK1273*評分方法!$C$11</f>
        <v>2.5</v>
      </c>
      <c r="P1273" s="15" t="n">
        <f aca="false">AL1273*評分方法!$C$12</f>
        <v>1.5</v>
      </c>
      <c r="Q1273" s="6" t="n">
        <v>1444513</v>
      </c>
      <c r="R1273" s="6" t="n">
        <v>25610152</v>
      </c>
      <c r="S1273" s="11" t="s">
        <v>238</v>
      </c>
      <c r="T1273" s="11" t="s">
        <v>239</v>
      </c>
      <c r="U1273" s="5" t="s">
        <v>240</v>
      </c>
      <c r="V1273" s="11" t="s">
        <v>324</v>
      </c>
      <c r="W1273" s="5" t="s">
        <v>205</v>
      </c>
      <c r="X1273" s="5" t="s">
        <v>255</v>
      </c>
      <c r="Y1273" s="5"/>
      <c r="Z1273" s="5"/>
      <c r="AA1273" s="11" t="s">
        <v>172</v>
      </c>
      <c r="AB1273" s="5" t="s">
        <v>245</v>
      </c>
      <c r="AC1273" s="5"/>
      <c r="AD1273" s="11" t="s">
        <v>3178</v>
      </c>
      <c r="AE1273" s="23" t="n">
        <v>0.35</v>
      </c>
      <c r="AF1273" s="23" t="n">
        <v>0</v>
      </c>
      <c r="AG1273" s="23" t="n">
        <v>1</v>
      </c>
      <c r="AH1273" s="23" t="n">
        <v>1</v>
      </c>
      <c r="AI1273" s="23" t="n">
        <v>1</v>
      </c>
      <c r="AJ1273" s="23" t="n">
        <v>0.7864</v>
      </c>
      <c r="AK1273" s="23" t="n">
        <v>0.5</v>
      </c>
      <c r="AL1273" s="23" t="n">
        <v>0.3</v>
      </c>
      <c r="AM1273" s="16" t="n">
        <f aca="false">COUNTIFS($D$2:$D$2501,D1273,$G$2:$G$2501,"&gt;"&amp;G1273)+COUNTIFS($D$2:D1273,D1273,$G$2:G1273,G1273)</f>
        <v>53</v>
      </c>
      <c r="AN1273" s="5" t="str">
        <f aca="false">D1273&amp;"|"&amp;AM1273</f>
        <v>文件與影像辨識|53</v>
      </c>
    </row>
    <row r="1274" customFormat="false" ht="17.15" hidden="false" customHeight="false" outlineLevel="0" collapsed="false">
      <c r="A1274" s="16" t="n">
        <f aca="false">RANK(G1274,$G$2:$G$2501)+COUNTIF($G$2:G1274,G1274)-1</f>
        <v>1273</v>
      </c>
      <c r="B1274" s="11" t="s">
        <v>3179</v>
      </c>
      <c r="C1274" s="11" t="s">
        <v>1111</v>
      </c>
      <c r="D1274" s="5" t="s">
        <v>56</v>
      </c>
      <c r="E1274" s="5" t="s">
        <v>57</v>
      </c>
      <c r="F1274" s="5"/>
      <c r="G1274" s="22" t="n">
        <f aca="false">ROUND(SUM(I1274:P1274),3)</f>
        <v>62.364</v>
      </c>
      <c r="H1274" s="5" t="str">
        <f aca="false">IF(G1274&gt;=評分方法!$C$16,"優先評估",IF(G1274&gt;=評分方法!$C$17,"列入候選",IF(G1274&gt;=評分方法!$C$18,"特定情境","不建議")))</f>
        <v>特定情境</v>
      </c>
      <c r="I1274" s="15" t="n">
        <f aca="false">AE1274*評分方法!$C$5</f>
        <v>25.5</v>
      </c>
      <c r="J1274" s="15" t="n">
        <f aca="false">AF1274*評分方法!$C$6</f>
        <v>0</v>
      </c>
      <c r="K1274" s="15" t="n">
        <f aca="false">AG1274*評分方法!$C$7</f>
        <v>10.05</v>
      </c>
      <c r="L1274" s="15" t="n">
        <f aca="false">AH1274*評分方法!$C$8</f>
        <v>13.05</v>
      </c>
      <c r="M1274" s="15" t="n">
        <f aca="false">AI1274*評分方法!$C$9</f>
        <v>6</v>
      </c>
      <c r="N1274" s="15" t="n">
        <f aca="false">AJ1274*評分方法!$C$10</f>
        <v>2.764</v>
      </c>
      <c r="O1274" s="15" t="n">
        <f aca="false">AK1274*評分方法!$C$11</f>
        <v>5</v>
      </c>
      <c r="P1274" s="15" t="n">
        <f aca="false">AL1274*評分方法!$C$12</f>
        <v>0</v>
      </c>
      <c r="Q1274" s="6" t="n">
        <v>270797</v>
      </c>
      <c r="R1274" s="6" t="n">
        <v>8031637504</v>
      </c>
      <c r="S1274" s="11" t="s">
        <v>254</v>
      </c>
      <c r="T1274" s="11" t="s">
        <v>259</v>
      </c>
      <c r="U1274" s="5" t="s">
        <v>260</v>
      </c>
      <c r="V1274" s="11" t="s">
        <v>261</v>
      </c>
      <c r="W1274" s="5" t="s">
        <v>207</v>
      </c>
      <c r="X1274" s="5" t="s">
        <v>242</v>
      </c>
      <c r="Y1274" s="11" t="s">
        <v>1066</v>
      </c>
      <c r="Z1274" s="11" t="s">
        <v>244</v>
      </c>
      <c r="AA1274" s="11" t="s">
        <v>155</v>
      </c>
      <c r="AB1274" s="5" t="s">
        <v>245</v>
      </c>
      <c r="AC1274" s="5" t="s">
        <v>464</v>
      </c>
      <c r="AD1274" s="11" t="s">
        <v>3180</v>
      </c>
      <c r="AE1274" s="23" t="n">
        <v>0.85</v>
      </c>
      <c r="AF1274" s="23" t="n">
        <v>0</v>
      </c>
      <c r="AG1274" s="23" t="n">
        <v>0.67</v>
      </c>
      <c r="AH1274" s="23" t="n">
        <v>0.87</v>
      </c>
      <c r="AI1274" s="23" t="n">
        <v>0.6</v>
      </c>
      <c r="AJ1274" s="23" t="n">
        <v>0.2764</v>
      </c>
      <c r="AK1274" s="23" t="n">
        <v>1</v>
      </c>
      <c r="AL1274" s="23" t="n">
        <v>0</v>
      </c>
      <c r="AM1274" s="16" t="n">
        <f aca="false">COUNTIFS($D$2:$D$2501,D1274,$G$2:$G$2501,"&gt;"&amp;G1274)+COUNTIFS($D$2:D1274,D1274,$G$2:G1274,G1274)</f>
        <v>575</v>
      </c>
      <c r="AN1274" s="5" t="str">
        <f aca="false">D1274&amp;"|"&amp;AM1274</f>
        <v>分析與報告生成|575</v>
      </c>
    </row>
    <row r="1275" customFormat="false" ht="17.15" hidden="false" customHeight="false" outlineLevel="0" collapsed="false">
      <c r="A1275" s="16" t="n">
        <f aca="false">RANK(G1275,$G$2:$G$2501)+COUNTIF($G$2:G1275,G1275)-1</f>
        <v>1274</v>
      </c>
      <c r="B1275" s="11" t="s">
        <v>3181</v>
      </c>
      <c r="C1275" s="11" t="s">
        <v>2693</v>
      </c>
      <c r="D1275" s="5" t="s">
        <v>74</v>
      </c>
      <c r="E1275" s="5" t="s">
        <v>75</v>
      </c>
      <c r="F1275" s="5"/>
      <c r="G1275" s="22" t="n">
        <f aca="false">ROUND(SUM(I1275:P1275),3)</f>
        <v>62.352</v>
      </c>
      <c r="H1275" s="5" t="str">
        <f aca="false">IF(G1275&gt;=評分方法!$C$16,"優先評估",IF(G1275&gt;=評分方法!$C$17,"列入候選",IF(G1275&gt;=評分方法!$C$18,"特定情境","不建議")))</f>
        <v>特定情境</v>
      </c>
      <c r="I1275" s="15" t="n">
        <f aca="false">AE1275*評分方法!$C$5</f>
        <v>10.5</v>
      </c>
      <c r="J1275" s="15" t="n">
        <f aca="false">AF1275*評分方法!$C$6</f>
        <v>0</v>
      </c>
      <c r="K1275" s="15" t="n">
        <f aca="false">AG1275*評分方法!$C$7</f>
        <v>15</v>
      </c>
      <c r="L1275" s="15" t="n">
        <f aca="false">AH1275*評分方法!$C$8</f>
        <v>15</v>
      </c>
      <c r="M1275" s="15" t="n">
        <f aca="false">AI1275*評分方法!$C$9</f>
        <v>10</v>
      </c>
      <c r="N1275" s="15" t="n">
        <f aca="false">AJ1275*評分方法!$C$10</f>
        <v>7.852</v>
      </c>
      <c r="O1275" s="15" t="n">
        <f aca="false">AK1275*評分方法!$C$11</f>
        <v>2.5</v>
      </c>
      <c r="P1275" s="15" t="n">
        <f aca="false">AL1275*評分方法!$C$12</f>
        <v>1.5</v>
      </c>
      <c r="Q1275" s="6" t="n">
        <v>1439977</v>
      </c>
      <c r="R1275" s="6" t="n">
        <v>5217784</v>
      </c>
      <c r="S1275" s="11" t="s">
        <v>238</v>
      </c>
      <c r="T1275" s="11" t="s">
        <v>239</v>
      </c>
      <c r="U1275" s="5" t="s">
        <v>240</v>
      </c>
      <c r="V1275" s="11" t="s">
        <v>324</v>
      </c>
      <c r="W1275" s="5" t="s">
        <v>205</v>
      </c>
      <c r="X1275" s="5" t="s">
        <v>255</v>
      </c>
      <c r="Y1275" s="5"/>
      <c r="Z1275" s="5"/>
      <c r="AA1275" s="11" t="s">
        <v>172</v>
      </c>
      <c r="AB1275" s="5" t="s">
        <v>245</v>
      </c>
      <c r="AC1275" s="5"/>
      <c r="AD1275" s="11" t="s">
        <v>3182</v>
      </c>
      <c r="AE1275" s="23" t="n">
        <v>0.35</v>
      </c>
      <c r="AF1275" s="23" t="n">
        <v>0</v>
      </c>
      <c r="AG1275" s="23" t="n">
        <v>1</v>
      </c>
      <c r="AH1275" s="23" t="n">
        <v>1</v>
      </c>
      <c r="AI1275" s="23" t="n">
        <v>1</v>
      </c>
      <c r="AJ1275" s="23" t="n">
        <v>0.7852</v>
      </c>
      <c r="AK1275" s="23" t="n">
        <v>0.5</v>
      </c>
      <c r="AL1275" s="23" t="n">
        <v>0.3</v>
      </c>
      <c r="AM1275" s="16" t="n">
        <f aca="false">COUNTIFS($D$2:$D$2501,D1275,$G$2:$G$2501,"&gt;"&amp;G1275)+COUNTIFS($D$2:D1275,D1275,$G$2:G1275,G1275)</f>
        <v>54</v>
      </c>
      <c r="AN1275" s="5" t="str">
        <f aca="false">D1275&amp;"|"&amp;AM1275</f>
        <v>文件與影像辨識|54</v>
      </c>
    </row>
    <row r="1276" customFormat="false" ht="17.15" hidden="false" customHeight="false" outlineLevel="0" collapsed="false">
      <c r="A1276" s="16" t="n">
        <f aca="false">RANK(G1276,$G$2:$G$2501)+COUNTIF($G$2:G1276,G1276)-1</f>
        <v>1275</v>
      </c>
      <c r="B1276" s="11" t="s">
        <v>3183</v>
      </c>
      <c r="C1276" s="11" t="s">
        <v>1438</v>
      </c>
      <c r="D1276" s="5" t="s">
        <v>56</v>
      </c>
      <c r="E1276" s="5" t="s">
        <v>57</v>
      </c>
      <c r="F1276" s="5"/>
      <c r="G1276" s="22" t="n">
        <f aca="false">ROUND(SUM(I1276:P1276),3)</f>
        <v>62.352</v>
      </c>
      <c r="H1276" s="5" t="str">
        <f aca="false">IF(G1276&gt;=評分方法!$C$16,"優先評估",IF(G1276&gt;=評分方法!$C$17,"列入候選",IF(G1276&gt;=評分方法!$C$18,"特定情境","不建議")))</f>
        <v>特定情境</v>
      </c>
      <c r="I1276" s="15" t="n">
        <f aca="false">AE1276*評分方法!$C$5</f>
        <v>25.5</v>
      </c>
      <c r="J1276" s="15" t="n">
        <f aca="false">AF1276*評分方法!$C$6</f>
        <v>0</v>
      </c>
      <c r="K1276" s="15" t="n">
        <f aca="false">AG1276*評分方法!$C$7</f>
        <v>10.05</v>
      </c>
      <c r="L1276" s="15" t="n">
        <f aca="false">AH1276*評分方法!$C$8</f>
        <v>13.05</v>
      </c>
      <c r="M1276" s="15" t="n">
        <f aca="false">AI1276*評分方法!$C$9</f>
        <v>6</v>
      </c>
      <c r="N1276" s="15" t="n">
        <f aca="false">AJ1276*評分方法!$C$10</f>
        <v>6.752</v>
      </c>
      <c r="O1276" s="15" t="n">
        <f aca="false">AK1276*評分方法!$C$11</f>
        <v>1</v>
      </c>
      <c r="P1276" s="15" t="n">
        <f aca="false">AL1276*評分方法!$C$12</f>
        <v>0</v>
      </c>
      <c r="Q1276" s="6" t="n">
        <v>830071</v>
      </c>
      <c r="R1276" s="6" t="n">
        <v>8030261248</v>
      </c>
      <c r="S1276" s="11" t="s">
        <v>254</v>
      </c>
      <c r="T1276" s="11" t="s">
        <v>259</v>
      </c>
      <c r="U1276" s="5" t="s">
        <v>260</v>
      </c>
      <c r="V1276" s="11" t="s">
        <v>333</v>
      </c>
      <c r="W1276" s="5" t="s">
        <v>207</v>
      </c>
      <c r="X1276" s="5" t="s">
        <v>242</v>
      </c>
      <c r="Y1276" s="11" t="s">
        <v>1066</v>
      </c>
      <c r="Z1276" s="11" t="s">
        <v>244</v>
      </c>
      <c r="AA1276" s="11" t="s">
        <v>155</v>
      </c>
      <c r="AB1276" s="5" t="s">
        <v>245</v>
      </c>
      <c r="AC1276" s="5" t="s">
        <v>464</v>
      </c>
      <c r="AD1276" s="11" t="s">
        <v>3184</v>
      </c>
      <c r="AE1276" s="23" t="n">
        <v>0.85</v>
      </c>
      <c r="AF1276" s="23" t="n">
        <v>0</v>
      </c>
      <c r="AG1276" s="23" t="n">
        <v>0.67</v>
      </c>
      <c r="AH1276" s="23" t="n">
        <v>0.87</v>
      </c>
      <c r="AI1276" s="23" t="n">
        <v>0.6</v>
      </c>
      <c r="AJ1276" s="23" t="n">
        <v>0.6752</v>
      </c>
      <c r="AK1276" s="23" t="n">
        <v>0.2</v>
      </c>
      <c r="AL1276" s="23" t="n">
        <v>0</v>
      </c>
      <c r="AM1276" s="16" t="n">
        <f aca="false">COUNTIFS($D$2:$D$2501,D1276,$G$2:$G$2501,"&gt;"&amp;G1276)+COUNTIFS($D$2:D1276,D1276,$G$2:G1276,G1276)</f>
        <v>576</v>
      </c>
      <c r="AN1276" s="5" t="str">
        <f aca="false">D1276&amp;"|"&amp;AM1276</f>
        <v>分析與報告生成|576</v>
      </c>
    </row>
    <row r="1277" customFormat="false" ht="17.15" hidden="false" customHeight="false" outlineLevel="0" collapsed="false">
      <c r="A1277" s="16" t="n">
        <f aca="false">RANK(G1277,$G$2:$G$2501)+COUNTIF($G$2:G1277,G1277)-1</f>
        <v>1276</v>
      </c>
      <c r="B1277" s="11" t="s">
        <v>3185</v>
      </c>
      <c r="C1277" s="11" t="s">
        <v>3186</v>
      </c>
      <c r="D1277" s="5" t="s">
        <v>56</v>
      </c>
      <c r="E1277" s="5" t="s">
        <v>57</v>
      </c>
      <c r="F1277" s="5"/>
      <c r="G1277" s="22" t="n">
        <f aca="false">ROUND(SUM(I1277:P1277),3)</f>
        <v>62.344</v>
      </c>
      <c r="H1277" s="5" t="str">
        <f aca="false">IF(G1277&gt;=評分方法!$C$16,"優先評估",IF(G1277&gt;=評分方法!$C$17,"列入候選",IF(G1277&gt;=評分方法!$C$18,"特定情境","不建議")))</f>
        <v>特定情境</v>
      </c>
      <c r="I1277" s="15" t="n">
        <f aca="false">AE1277*評分方法!$C$5</f>
        <v>25.5</v>
      </c>
      <c r="J1277" s="15" t="n">
        <f aca="false">AF1277*評分方法!$C$6</f>
        <v>0</v>
      </c>
      <c r="K1277" s="15" t="n">
        <f aca="false">AG1277*評分方法!$C$7</f>
        <v>4.95</v>
      </c>
      <c r="L1277" s="15" t="n">
        <f aca="false">AH1277*評分方法!$C$8</f>
        <v>13.05</v>
      </c>
      <c r="M1277" s="15" t="n">
        <f aca="false">AI1277*評分方法!$C$9</f>
        <v>10</v>
      </c>
      <c r="N1277" s="15" t="n">
        <f aca="false">AJ1277*評分方法!$C$10</f>
        <v>6.344</v>
      </c>
      <c r="O1277" s="15" t="n">
        <f aca="false">AK1277*評分方法!$C$11</f>
        <v>2.5</v>
      </c>
      <c r="P1277" s="15" t="n">
        <f aca="false">AL1277*評分方法!$C$12</f>
        <v>0</v>
      </c>
      <c r="Q1277" s="6" t="n">
        <v>709128</v>
      </c>
      <c r="R1277" s="6" t="n">
        <v>8783871488</v>
      </c>
      <c r="S1277" s="11" t="s">
        <v>254</v>
      </c>
      <c r="T1277" s="11" t="s">
        <v>239</v>
      </c>
      <c r="U1277" s="5" t="s">
        <v>240</v>
      </c>
      <c r="V1277" s="11" t="s">
        <v>261</v>
      </c>
      <c r="W1277" s="5" t="s">
        <v>334</v>
      </c>
      <c r="X1277" s="5" t="s">
        <v>242</v>
      </c>
      <c r="Y1277" s="11" t="s">
        <v>3187</v>
      </c>
      <c r="Z1277" s="11" t="s">
        <v>270</v>
      </c>
      <c r="AA1277" s="11" t="s">
        <v>155</v>
      </c>
      <c r="AB1277" s="5" t="s">
        <v>245</v>
      </c>
      <c r="AC1277" s="5"/>
      <c r="AD1277" s="11" t="s">
        <v>3188</v>
      </c>
      <c r="AE1277" s="23" t="n">
        <v>0.85</v>
      </c>
      <c r="AF1277" s="23" t="n">
        <v>0</v>
      </c>
      <c r="AG1277" s="23" t="n">
        <v>0.33</v>
      </c>
      <c r="AH1277" s="23" t="n">
        <v>0.87</v>
      </c>
      <c r="AI1277" s="23" t="n">
        <v>1</v>
      </c>
      <c r="AJ1277" s="23" t="n">
        <v>0.6344</v>
      </c>
      <c r="AK1277" s="23" t="n">
        <v>0.5</v>
      </c>
      <c r="AL1277" s="23" t="n">
        <v>0</v>
      </c>
      <c r="AM1277" s="16" t="n">
        <f aca="false">COUNTIFS($D$2:$D$2501,D1277,$G$2:$G$2501,"&gt;"&amp;G1277)+COUNTIFS($D$2:D1277,D1277,$G$2:G1277,G1277)</f>
        <v>577</v>
      </c>
      <c r="AN1277" s="5" t="str">
        <f aca="false">D1277&amp;"|"&amp;AM1277</f>
        <v>分析與報告生成|577</v>
      </c>
    </row>
    <row r="1278" customFormat="false" ht="17.15" hidden="false" customHeight="false" outlineLevel="0" collapsed="false">
      <c r="A1278" s="16" t="n">
        <f aca="false">RANK(G1278,$G$2:$G$2501)+COUNTIF($G$2:G1278,G1278)-1</f>
        <v>1277</v>
      </c>
      <c r="B1278" s="11" t="s">
        <v>3189</v>
      </c>
      <c r="C1278" s="11" t="s">
        <v>402</v>
      </c>
      <c r="D1278" s="5" t="s">
        <v>48</v>
      </c>
      <c r="E1278" s="5" t="s">
        <v>49</v>
      </c>
      <c r="F1278" s="5" t="s">
        <v>48</v>
      </c>
      <c r="G1278" s="22" t="n">
        <f aca="false">ROUND(SUM(I1278:P1278),3)</f>
        <v>62.282</v>
      </c>
      <c r="H1278" s="5" t="str">
        <f aca="false">IF(G1278&gt;=評分方法!$C$16,"優先評估",IF(G1278&gt;=評分方法!$C$17,"列入候選",IF(G1278&gt;=評分方法!$C$18,"特定情境","不建議")))</f>
        <v>特定情境</v>
      </c>
      <c r="I1278" s="15" t="n">
        <f aca="false">AE1278*評分方法!$C$5</f>
        <v>17.1</v>
      </c>
      <c r="J1278" s="15" t="n">
        <f aca="false">AF1278*評分方法!$C$6</f>
        <v>10</v>
      </c>
      <c r="K1278" s="15" t="n">
        <f aca="false">AG1278*評分方法!$C$7</f>
        <v>4.95</v>
      </c>
      <c r="L1278" s="15" t="n">
        <f aca="false">AH1278*評分方法!$C$8</f>
        <v>15</v>
      </c>
      <c r="M1278" s="15" t="n">
        <f aca="false">AI1278*評分方法!$C$9</f>
        <v>10</v>
      </c>
      <c r="N1278" s="15" t="n">
        <f aca="false">AJ1278*評分方法!$C$10</f>
        <v>1.232</v>
      </c>
      <c r="O1278" s="15" t="n">
        <f aca="false">AK1278*評分方法!$C$11</f>
        <v>4</v>
      </c>
      <c r="P1278" s="15" t="n">
        <f aca="false">AL1278*評分方法!$C$12</f>
        <v>0</v>
      </c>
      <c r="Q1278" s="6" t="n">
        <v>162903</v>
      </c>
      <c r="R1278" s="6" t="n">
        <v>434090060</v>
      </c>
      <c r="S1278" s="11" t="s">
        <v>238</v>
      </c>
      <c r="T1278" s="11" t="s">
        <v>239</v>
      </c>
      <c r="U1278" s="5" t="s">
        <v>240</v>
      </c>
      <c r="V1278" s="11" t="s">
        <v>261</v>
      </c>
      <c r="W1278" s="5" t="s">
        <v>334</v>
      </c>
      <c r="X1278" s="5" t="s">
        <v>242</v>
      </c>
      <c r="Y1278" s="11" t="s">
        <v>595</v>
      </c>
      <c r="Z1278" s="11" t="s">
        <v>270</v>
      </c>
      <c r="AA1278" s="11" t="s">
        <v>150</v>
      </c>
      <c r="AB1278" s="5" t="s">
        <v>245</v>
      </c>
      <c r="AC1278" s="5" t="s">
        <v>1463</v>
      </c>
      <c r="AD1278" s="11" t="s">
        <v>3190</v>
      </c>
      <c r="AE1278" s="23" t="n">
        <v>0.57</v>
      </c>
      <c r="AF1278" s="23" t="n">
        <v>1</v>
      </c>
      <c r="AG1278" s="23" t="n">
        <v>0.33</v>
      </c>
      <c r="AH1278" s="23" t="n">
        <v>1</v>
      </c>
      <c r="AI1278" s="23" t="n">
        <v>1</v>
      </c>
      <c r="AJ1278" s="23" t="n">
        <v>0.1232</v>
      </c>
      <c r="AK1278" s="23" t="n">
        <v>0.8</v>
      </c>
      <c r="AL1278" s="23" t="n">
        <v>0</v>
      </c>
      <c r="AM1278" s="16" t="n">
        <f aca="false">COUNTIFS($D$2:$D$2501,D1278,$G$2:$G$2501,"&gt;"&amp;G1278)+COUNTIFS($D$2:D1278,D1278,$G$2:G1278,G1278)</f>
        <v>14</v>
      </c>
      <c r="AN1278" s="5" t="str">
        <f aca="false">D1278&amp;"|"&amp;AM1278</f>
        <v>個資偵測與去識別化|14</v>
      </c>
    </row>
    <row r="1279" customFormat="false" ht="17.15" hidden="false" customHeight="false" outlineLevel="0" collapsed="false">
      <c r="A1279" s="16" t="n">
        <f aca="false">RANK(G1279,$G$2:$G$2501)+COUNTIF($G$2:G1279,G1279)-1</f>
        <v>1278</v>
      </c>
      <c r="B1279" s="11" t="s">
        <v>3191</v>
      </c>
      <c r="C1279" s="11" t="s">
        <v>891</v>
      </c>
      <c r="D1279" s="5" t="s">
        <v>56</v>
      </c>
      <c r="E1279" s="5" t="s">
        <v>57</v>
      </c>
      <c r="F1279" s="5"/>
      <c r="G1279" s="22" t="n">
        <f aca="false">ROUND(SUM(I1279:P1279),3)</f>
        <v>62.274</v>
      </c>
      <c r="H1279" s="5" t="str">
        <f aca="false">IF(G1279&gt;=評分方法!$C$16,"優先評估",IF(G1279&gt;=評分方法!$C$17,"列入候選",IF(G1279&gt;=評分方法!$C$18,"特定情境","不建議")))</f>
        <v>特定情境</v>
      </c>
      <c r="I1279" s="15" t="n">
        <f aca="false">AE1279*評分方法!$C$5</f>
        <v>24</v>
      </c>
      <c r="J1279" s="15" t="n">
        <f aca="false">AF1279*評分方法!$C$6</f>
        <v>0</v>
      </c>
      <c r="K1279" s="15" t="n">
        <f aca="false">AG1279*評分方法!$C$7</f>
        <v>10.05</v>
      </c>
      <c r="L1279" s="15" t="n">
        <f aca="false">AH1279*評分方法!$C$8</f>
        <v>9</v>
      </c>
      <c r="M1279" s="15" t="n">
        <f aca="false">AI1279*評分方法!$C$9</f>
        <v>6</v>
      </c>
      <c r="N1279" s="15" t="n">
        <f aca="false">AJ1279*評分方法!$C$10</f>
        <v>5.224</v>
      </c>
      <c r="O1279" s="15" t="n">
        <f aca="false">AK1279*評分方法!$C$11</f>
        <v>5</v>
      </c>
      <c r="P1279" s="15" t="n">
        <f aca="false">AL1279*評分方法!$C$12</f>
        <v>3</v>
      </c>
      <c r="Q1279" s="6" t="n">
        <v>552149</v>
      </c>
      <c r="R1279" s="6" t="n">
        <v>31577940288</v>
      </c>
      <c r="S1279" s="11" t="s">
        <v>389</v>
      </c>
      <c r="T1279" s="11" t="s">
        <v>185</v>
      </c>
      <c r="U1279" s="5" t="s">
        <v>260</v>
      </c>
      <c r="V1279" s="11" t="s">
        <v>333</v>
      </c>
      <c r="W1279" s="5" t="s">
        <v>207</v>
      </c>
      <c r="X1279" s="5" t="s">
        <v>371</v>
      </c>
      <c r="Y1279" s="11" t="s">
        <v>3192</v>
      </c>
      <c r="Z1279" s="11" t="s">
        <v>244</v>
      </c>
      <c r="AA1279" s="11" t="s">
        <v>157</v>
      </c>
      <c r="AB1279" s="5" t="s">
        <v>496</v>
      </c>
      <c r="AC1279" s="5" t="s">
        <v>1108</v>
      </c>
      <c r="AD1279" s="11" t="s">
        <v>3193</v>
      </c>
      <c r="AE1279" s="23" t="n">
        <v>0.8</v>
      </c>
      <c r="AF1279" s="23" t="n">
        <v>0</v>
      </c>
      <c r="AG1279" s="23" t="n">
        <v>0.67</v>
      </c>
      <c r="AH1279" s="23" t="n">
        <v>0.6</v>
      </c>
      <c r="AI1279" s="23" t="n">
        <v>0.6</v>
      </c>
      <c r="AJ1279" s="23" t="n">
        <v>0.5224</v>
      </c>
      <c r="AK1279" s="23" t="n">
        <v>1</v>
      </c>
      <c r="AL1279" s="23" t="n">
        <v>0.6</v>
      </c>
      <c r="AM1279" s="16" t="n">
        <f aca="false">COUNTIFS($D$2:$D$2501,D1279,$G$2:$G$2501,"&gt;"&amp;G1279)+COUNTIFS($D$2:D1279,D1279,$G$2:G1279,G1279)</f>
        <v>578</v>
      </c>
      <c r="AN1279" s="5" t="str">
        <f aca="false">D1279&amp;"|"&amp;AM1279</f>
        <v>分析與報告生成|578</v>
      </c>
    </row>
    <row r="1280" customFormat="false" ht="17.15" hidden="false" customHeight="false" outlineLevel="0" collapsed="false">
      <c r="A1280" s="16" t="n">
        <f aca="false">RANK(G1280,$G$2:$G$2501)+COUNTIF($G$2:G1280,G1280)-1</f>
        <v>1279</v>
      </c>
      <c r="B1280" s="11" t="s">
        <v>3194</v>
      </c>
      <c r="C1280" s="11" t="s">
        <v>3195</v>
      </c>
      <c r="D1280" s="5" t="s">
        <v>56</v>
      </c>
      <c r="E1280" s="5" t="s">
        <v>57</v>
      </c>
      <c r="F1280" s="5"/>
      <c r="G1280" s="22" t="n">
        <f aca="false">ROUND(SUM(I1280:P1280),3)</f>
        <v>62.254</v>
      </c>
      <c r="H1280" s="5" t="str">
        <f aca="false">IF(G1280&gt;=評分方法!$C$16,"優先評估",IF(G1280&gt;=評分方法!$C$17,"列入候選",IF(G1280&gt;=評分方法!$C$18,"特定情境","不建議")))</f>
        <v>特定情境</v>
      </c>
      <c r="I1280" s="15" t="n">
        <f aca="false">AE1280*評分方法!$C$5</f>
        <v>25.5</v>
      </c>
      <c r="J1280" s="15" t="n">
        <f aca="false">AF1280*評分方法!$C$6</f>
        <v>0</v>
      </c>
      <c r="K1280" s="15" t="n">
        <f aca="false">AG1280*評分方法!$C$7</f>
        <v>4.95</v>
      </c>
      <c r="L1280" s="15" t="n">
        <f aca="false">AH1280*評分方法!$C$8</f>
        <v>15</v>
      </c>
      <c r="M1280" s="15" t="n">
        <f aca="false">AI1280*評分方法!$C$9</f>
        <v>10</v>
      </c>
      <c r="N1280" s="15" t="n">
        <f aca="false">AJ1280*評分方法!$C$10</f>
        <v>5.804</v>
      </c>
      <c r="O1280" s="15" t="n">
        <f aca="false">AK1280*評分方法!$C$11</f>
        <v>1</v>
      </c>
      <c r="P1280" s="15" t="n">
        <f aca="false">AL1280*評分方法!$C$12</f>
        <v>0</v>
      </c>
      <c r="Q1280" s="6" t="n">
        <v>595414</v>
      </c>
      <c r="R1280" s="6" t="n">
        <v>38604288</v>
      </c>
      <c r="S1280" s="11" t="s">
        <v>238</v>
      </c>
      <c r="T1280" s="11" t="s">
        <v>278</v>
      </c>
      <c r="U1280" s="5" t="s">
        <v>240</v>
      </c>
      <c r="V1280" s="11" t="s">
        <v>261</v>
      </c>
      <c r="W1280" s="5" t="s">
        <v>334</v>
      </c>
      <c r="X1280" s="5" t="s">
        <v>242</v>
      </c>
      <c r="Y1280" s="5"/>
      <c r="Z1280" s="5"/>
      <c r="AA1280" s="11" t="s">
        <v>155</v>
      </c>
      <c r="AB1280" s="5" t="s">
        <v>245</v>
      </c>
      <c r="AC1280" s="5"/>
      <c r="AD1280" s="11" t="s">
        <v>3196</v>
      </c>
      <c r="AE1280" s="23" t="n">
        <v>0.85</v>
      </c>
      <c r="AF1280" s="23" t="n">
        <v>0</v>
      </c>
      <c r="AG1280" s="23" t="n">
        <v>0.33</v>
      </c>
      <c r="AH1280" s="23" t="n">
        <v>1</v>
      </c>
      <c r="AI1280" s="23" t="n">
        <v>1</v>
      </c>
      <c r="AJ1280" s="23" t="n">
        <v>0.5804</v>
      </c>
      <c r="AK1280" s="23" t="n">
        <v>0.2</v>
      </c>
      <c r="AL1280" s="23" t="n">
        <v>0</v>
      </c>
      <c r="AM1280" s="16" t="n">
        <f aca="false">COUNTIFS($D$2:$D$2501,D1280,$G$2:$G$2501,"&gt;"&amp;G1280)+COUNTIFS($D$2:D1280,D1280,$G$2:G1280,G1280)</f>
        <v>579</v>
      </c>
      <c r="AN1280" s="5" t="str">
        <f aca="false">D1280&amp;"|"&amp;AM1280</f>
        <v>分析與報告生成|579</v>
      </c>
    </row>
    <row r="1281" customFormat="false" ht="17.15" hidden="false" customHeight="false" outlineLevel="0" collapsed="false">
      <c r="A1281" s="16" t="n">
        <f aca="false">RANK(G1281,$G$2:$G$2501)+COUNTIF($G$2:G1281,G1281)-1</f>
        <v>1280</v>
      </c>
      <c r="B1281" s="11" t="s">
        <v>3197</v>
      </c>
      <c r="C1281" s="11" t="s">
        <v>299</v>
      </c>
      <c r="D1281" s="5" t="s">
        <v>78</v>
      </c>
      <c r="E1281" s="5" t="s">
        <v>79</v>
      </c>
      <c r="F1281" s="5"/>
      <c r="G1281" s="22" t="n">
        <f aca="false">ROUND(SUM(I1281:P1281),3)</f>
        <v>62.238</v>
      </c>
      <c r="H1281" s="5" t="str">
        <f aca="false">IF(G1281&gt;=評分方法!$C$16,"優先評估",IF(G1281&gt;=評分方法!$C$17,"列入候選",IF(G1281&gt;=評分方法!$C$18,"特定情境","不建議")))</f>
        <v>特定情境</v>
      </c>
      <c r="I1281" s="15" t="n">
        <f aca="false">AE1281*評分方法!$C$5</f>
        <v>9</v>
      </c>
      <c r="J1281" s="15" t="n">
        <f aca="false">AF1281*評分方法!$C$6</f>
        <v>0</v>
      </c>
      <c r="K1281" s="15" t="n">
        <f aca="false">AG1281*評分方法!$C$7</f>
        <v>15</v>
      </c>
      <c r="L1281" s="15" t="n">
        <f aca="false">AH1281*評分方法!$C$8</f>
        <v>13.05</v>
      </c>
      <c r="M1281" s="15" t="n">
        <f aca="false">AI1281*評分方法!$C$9</f>
        <v>10</v>
      </c>
      <c r="N1281" s="15" t="n">
        <f aca="false">AJ1281*評分方法!$C$10</f>
        <v>6.188</v>
      </c>
      <c r="O1281" s="15" t="n">
        <f aca="false">AK1281*評分方法!$C$11</f>
        <v>4</v>
      </c>
      <c r="P1281" s="15" t="n">
        <f aca="false">AL1281*評分方法!$C$12</f>
        <v>5</v>
      </c>
      <c r="Q1281" s="6" t="n">
        <v>666634</v>
      </c>
      <c r="R1281" s="6" t="n">
        <v>2313207132</v>
      </c>
      <c r="S1281" s="11" t="s">
        <v>254</v>
      </c>
      <c r="T1281" s="11" t="s">
        <v>239</v>
      </c>
      <c r="U1281" s="5" t="s">
        <v>240</v>
      </c>
      <c r="V1281" s="11" t="s">
        <v>261</v>
      </c>
      <c r="W1281" s="5" t="s">
        <v>205</v>
      </c>
      <c r="X1281" s="5" t="s">
        <v>284</v>
      </c>
      <c r="Y1281" s="11" t="s">
        <v>2414</v>
      </c>
      <c r="Z1281" s="11" t="s">
        <v>270</v>
      </c>
      <c r="AA1281" s="11" t="s">
        <v>175</v>
      </c>
      <c r="AB1281" s="5" t="s">
        <v>245</v>
      </c>
      <c r="AC1281" s="5"/>
      <c r="AD1281" s="11" t="s">
        <v>3198</v>
      </c>
      <c r="AE1281" s="23" t="n">
        <v>0.3</v>
      </c>
      <c r="AF1281" s="23" t="n">
        <v>0</v>
      </c>
      <c r="AG1281" s="23" t="n">
        <v>1</v>
      </c>
      <c r="AH1281" s="23" t="n">
        <v>0.87</v>
      </c>
      <c r="AI1281" s="23" t="n">
        <v>1</v>
      </c>
      <c r="AJ1281" s="23" t="n">
        <v>0.6188</v>
      </c>
      <c r="AK1281" s="23" t="n">
        <v>0.8</v>
      </c>
      <c r="AL1281" s="23" t="n">
        <v>1</v>
      </c>
      <c r="AM1281" s="16" t="n">
        <f aca="false">COUNTIFS($D$2:$D$2501,D1281,$G$2:$G$2501,"&gt;"&amp;G1281)+COUNTIFS($D$2:D1281,D1281,$G$2:G1281,G1281)</f>
        <v>17</v>
      </c>
      <c r="AN1281" s="5" t="str">
        <f aca="false">D1281&amp;"|"&amp;AM1281</f>
        <v>語音分析|17</v>
      </c>
    </row>
    <row r="1282" customFormat="false" ht="17.15" hidden="false" customHeight="false" outlineLevel="0" collapsed="false">
      <c r="A1282" s="16" t="n">
        <f aca="false">RANK(G1282,$G$2:$G$2501)+COUNTIF($G$2:G1282,G1282)-1</f>
        <v>1281</v>
      </c>
      <c r="B1282" s="11" t="s">
        <v>3199</v>
      </c>
      <c r="C1282" s="11" t="s">
        <v>3200</v>
      </c>
      <c r="D1282" s="5" t="s">
        <v>56</v>
      </c>
      <c r="E1282" s="5" t="s">
        <v>57</v>
      </c>
      <c r="F1282" s="5"/>
      <c r="G1282" s="22" t="n">
        <f aca="false">ROUND(SUM(I1282:P1282),3)</f>
        <v>62.23</v>
      </c>
      <c r="H1282" s="5" t="str">
        <f aca="false">IF(G1282&gt;=評分方法!$C$16,"優先評估",IF(G1282&gt;=評分方法!$C$17,"列入候選",IF(G1282&gt;=評分方法!$C$18,"特定情境","不建議")))</f>
        <v>特定情境</v>
      </c>
      <c r="I1282" s="15" t="n">
        <f aca="false">AE1282*評分方法!$C$5</f>
        <v>25.5</v>
      </c>
      <c r="J1282" s="15" t="n">
        <f aca="false">AF1282*評分方法!$C$6</f>
        <v>0</v>
      </c>
      <c r="K1282" s="15" t="n">
        <f aca="false">AG1282*評分方法!$C$7</f>
        <v>4.95</v>
      </c>
      <c r="L1282" s="15" t="n">
        <f aca="false">AH1282*評分方法!$C$8</f>
        <v>9</v>
      </c>
      <c r="M1282" s="15" t="n">
        <f aca="false">AI1282*評分方法!$C$9</f>
        <v>10</v>
      </c>
      <c r="N1282" s="15" t="n">
        <f aca="false">AJ1282*評分方法!$C$10</f>
        <v>7.28</v>
      </c>
      <c r="O1282" s="15" t="n">
        <f aca="false">AK1282*評分方法!$C$11</f>
        <v>2.5</v>
      </c>
      <c r="P1282" s="15" t="n">
        <f aca="false">AL1282*評分方法!$C$12</f>
        <v>3</v>
      </c>
      <c r="Q1282" s="6" t="n">
        <v>1037558</v>
      </c>
      <c r="R1282" s="6" t="n">
        <v>12682739712</v>
      </c>
      <c r="S1282" s="11" t="s">
        <v>389</v>
      </c>
      <c r="T1282" s="11" t="s">
        <v>239</v>
      </c>
      <c r="U1282" s="5" t="s">
        <v>240</v>
      </c>
      <c r="V1282" s="11" t="s">
        <v>261</v>
      </c>
      <c r="W1282" s="5" t="s">
        <v>334</v>
      </c>
      <c r="X1282" s="5" t="s">
        <v>371</v>
      </c>
      <c r="Y1282" s="5"/>
      <c r="Z1282" s="5"/>
      <c r="AA1282" s="11" t="s">
        <v>156</v>
      </c>
      <c r="AB1282" s="5" t="s">
        <v>245</v>
      </c>
      <c r="AC1282" s="5"/>
      <c r="AD1282" s="11" t="s">
        <v>3201</v>
      </c>
      <c r="AE1282" s="23" t="n">
        <v>0.85</v>
      </c>
      <c r="AF1282" s="23" t="n">
        <v>0</v>
      </c>
      <c r="AG1282" s="23" t="n">
        <v>0.33</v>
      </c>
      <c r="AH1282" s="23" t="n">
        <v>0.6</v>
      </c>
      <c r="AI1282" s="23" t="n">
        <v>1</v>
      </c>
      <c r="AJ1282" s="23" t="n">
        <v>0.728</v>
      </c>
      <c r="AK1282" s="23" t="n">
        <v>0.5</v>
      </c>
      <c r="AL1282" s="23" t="n">
        <v>0.6</v>
      </c>
      <c r="AM1282" s="16" t="n">
        <f aca="false">COUNTIFS($D$2:$D$2501,D1282,$G$2:$G$2501,"&gt;"&amp;G1282)+COUNTIFS($D$2:D1282,D1282,$G$2:G1282,G1282)</f>
        <v>580</v>
      </c>
      <c r="AN1282" s="5" t="str">
        <f aca="false">D1282&amp;"|"&amp;AM1282</f>
        <v>分析與報告生成|580</v>
      </c>
    </row>
    <row r="1283" customFormat="false" ht="17.15" hidden="false" customHeight="false" outlineLevel="0" collapsed="false">
      <c r="A1283" s="16" t="n">
        <f aca="false">RANK(G1283,$G$2:$G$2501)+COUNTIF($G$2:G1283,G1283)-1</f>
        <v>1282</v>
      </c>
      <c r="B1283" s="11" t="s">
        <v>3202</v>
      </c>
      <c r="C1283" s="11" t="s">
        <v>3203</v>
      </c>
      <c r="D1283" s="5" t="s">
        <v>58</v>
      </c>
      <c r="E1283" s="5" t="s">
        <v>59</v>
      </c>
      <c r="F1283" s="5"/>
      <c r="G1283" s="22" t="n">
        <f aca="false">ROUND(SUM(I1283:P1283),3)</f>
        <v>62.21</v>
      </c>
      <c r="H1283" s="5" t="str">
        <f aca="false">IF(G1283&gt;=評分方法!$C$16,"優先評估",IF(G1283&gt;=評分方法!$C$17,"列入候選",IF(G1283&gt;=評分方法!$C$18,"特定情境","不建議")))</f>
        <v>特定情境</v>
      </c>
      <c r="I1283" s="15" t="n">
        <f aca="false">AE1283*評分方法!$C$5</f>
        <v>28.5</v>
      </c>
      <c r="J1283" s="15" t="n">
        <f aca="false">AF1283*評分方法!$C$6</f>
        <v>0</v>
      </c>
      <c r="K1283" s="15" t="n">
        <f aca="false">AG1283*評分方法!$C$7</f>
        <v>4.95</v>
      </c>
      <c r="L1283" s="15" t="n">
        <f aca="false">AH1283*評分方法!$C$8</f>
        <v>15</v>
      </c>
      <c r="M1283" s="15" t="n">
        <f aca="false">AI1283*評分方法!$C$9</f>
        <v>10</v>
      </c>
      <c r="N1283" s="15" t="n">
        <f aca="false">AJ1283*評分方法!$C$10</f>
        <v>1.26</v>
      </c>
      <c r="O1283" s="15" t="n">
        <f aca="false">AK1283*評分方法!$C$11</f>
        <v>2.5</v>
      </c>
      <c r="P1283" s="15" t="n">
        <f aca="false">AL1283*評分方法!$C$12</f>
        <v>0</v>
      </c>
      <c r="Q1283" s="6" t="n">
        <v>164599</v>
      </c>
      <c r="R1283" s="6" t="n">
        <v>110195061</v>
      </c>
      <c r="S1283" s="11" t="s">
        <v>238</v>
      </c>
      <c r="T1283" s="11" t="s">
        <v>239</v>
      </c>
      <c r="U1283" s="5" t="s">
        <v>240</v>
      </c>
      <c r="V1283" s="11" t="s">
        <v>261</v>
      </c>
      <c r="W1283" s="5" t="s">
        <v>334</v>
      </c>
      <c r="X1283" s="5" t="s">
        <v>242</v>
      </c>
      <c r="Y1283" s="5"/>
      <c r="Z1283" s="5"/>
      <c r="AA1283" s="11" t="s">
        <v>150</v>
      </c>
      <c r="AB1283" s="5" t="s">
        <v>245</v>
      </c>
      <c r="AC1283" s="5"/>
      <c r="AD1283" s="11" t="s">
        <v>3204</v>
      </c>
      <c r="AE1283" s="23" t="n">
        <v>0.95</v>
      </c>
      <c r="AF1283" s="23" t="n">
        <v>0</v>
      </c>
      <c r="AG1283" s="23" t="n">
        <v>0.33</v>
      </c>
      <c r="AH1283" s="23" t="n">
        <v>1</v>
      </c>
      <c r="AI1283" s="23" t="n">
        <v>1</v>
      </c>
      <c r="AJ1283" s="23" t="n">
        <v>0.126</v>
      </c>
      <c r="AK1283" s="23" t="n">
        <v>0.5</v>
      </c>
      <c r="AL1283" s="23" t="n">
        <v>0</v>
      </c>
      <c r="AM1283" s="16" t="n">
        <f aca="false">COUNTIFS($D$2:$D$2501,D1283,$G$2:$G$2501,"&gt;"&amp;G1283)+COUNTIFS($D$2:D1283,D1283,$G$2:G1283,G1283)</f>
        <v>284</v>
      </c>
      <c r="AN1283" s="5" t="str">
        <f aca="false">D1283&amp;"|"&amp;AM1283</f>
        <v>實體擷取與去識別化|284</v>
      </c>
    </row>
    <row r="1284" customFormat="false" ht="17.15" hidden="false" customHeight="false" outlineLevel="0" collapsed="false">
      <c r="A1284" s="16" t="n">
        <f aca="false">RANK(G1284,$G$2:$G$2501)+COUNTIF($G$2:G1284,G1284)-1</f>
        <v>1283</v>
      </c>
      <c r="B1284" s="11" t="s">
        <v>3205</v>
      </c>
      <c r="C1284" s="11" t="s">
        <v>1725</v>
      </c>
      <c r="D1284" s="5" t="s">
        <v>56</v>
      </c>
      <c r="E1284" s="5" t="s">
        <v>57</v>
      </c>
      <c r="F1284" s="5"/>
      <c r="G1284" s="22" t="n">
        <f aca="false">ROUND(SUM(I1284:P1284),3)</f>
        <v>62.206</v>
      </c>
      <c r="H1284" s="5" t="str">
        <f aca="false">IF(G1284&gt;=評分方法!$C$16,"優先評估",IF(G1284&gt;=評分方法!$C$17,"列入候選",IF(G1284&gt;=評分方法!$C$18,"特定情境","不建議")))</f>
        <v>特定情境</v>
      </c>
      <c r="I1284" s="15" t="n">
        <f aca="false">AE1284*評分方法!$C$5</f>
        <v>25.5</v>
      </c>
      <c r="J1284" s="15" t="n">
        <f aca="false">AF1284*評分方法!$C$6</f>
        <v>0</v>
      </c>
      <c r="K1284" s="15" t="n">
        <f aca="false">AG1284*評分方法!$C$7</f>
        <v>4.95</v>
      </c>
      <c r="L1284" s="15" t="n">
        <f aca="false">AH1284*評分方法!$C$8</f>
        <v>9</v>
      </c>
      <c r="M1284" s="15" t="n">
        <f aca="false">AI1284*評分方法!$C$9</f>
        <v>10</v>
      </c>
      <c r="N1284" s="15" t="n">
        <f aca="false">AJ1284*評分方法!$C$10</f>
        <v>4.756</v>
      </c>
      <c r="O1284" s="15" t="n">
        <f aca="false">AK1284*評分方法!$C$11</f>
        <v>5</v>
      </c>
      <c r="P1284" s="15" t="n">
        <f aca="false">AL1284*評分方法!$C$12</f>
        <v>3</v>
      </c>
      <c r="Q1284" s="6" t="n">
        <v>518581</v>
      </c>
      <c r="R1284" s="6" t="n">
        <v>31273088876</v>
      </c>
      <c r="S1284" s="11" t="s">
        <v>389</v>
      </c>
      <c r="T1284" s="11" t="s">
        <v>239</v>
      </c>
      <c r="U1284" s="5" t="s">
        <v>240</v>
      </c>
      <c r="V1284" s="11" t="s">
        <v>261</v>
      </c>
      <c r="W1284" s="5" t="s">
        <v>334</v>
      </c>
      <c r="X1284" s="5" t="s">
        <v>371</v>
      </c>
      <c r="Y1284" s="11" t="s">
        <v>668</v>
      </c>
      <c r="Z1284" s="11" t="s">
        <v>244</v>
      </c>
      <c r="AA1284" s="11" t="s">
        <v>156</v>
      </c>
      <c r="AB1284" s="5" t="s">
        <v>245</v>
      </c>
      <c r="AC1284" s="5" t="s">
        <v>246</v>
      </c>
      <c r="AD1284" s="11" t="s">
        <v>3206</v>
      </c>
      <c r="AE1284" s="23" t="n">
        <v>0.85</v>
      </c>
      <c r="AF1284" s="23" t="n">
        <v>0</v>
      </c>
      <c r="AG1284" s="23" t="n">
        <v>0.33</v>
      </c>
      <c r="AH1284" s="23" t="n">
        <v>0.6</v>
      </c>
      <c r="AI1284" s="23" t="n">
        <v>1</v>
      </c>
      <c r="AJ1284" s="23" t="n">
        <v>0.4756</v>
      </c>
      <c r="AK1284" s="23" t="n">
        <v>1</v>
      </c>
      <c r="AL1284" s="23" t="n">
        <v>0.6</v>
      </c>
      <c r="AM1284" s="16" t="n">
        <f aca="false">COUNTIFS($D$2:$D$2501,D1284,$G$2:$G$2501,"&gt;"&amp;G1284)+COUNTIFS($D$2:D1284,D1284,$G$2:G1284,G1284)</f>
        <v>581</v>
      </c>
      <c r="AN1284" s="5" t="str">
        <f aca="false">D1284&amp;"|"&amp;AM1284</f>
        <v>分析與報告生成|581</v>
      </c>
    </row>
    <row r="1285" customFormat="false" ht="17.15" hidden="false" customHeight="false" outlineLevel="0" collapsed="false">
      <c r="A1285" s="16" t="n">
        <f aca="false">RANK(G1285,$G$2:$G$2501)+COUNTIF($G$2:G1285,G1285)-1</f>
        <v>1284</v>
      </c>
      <c r="B1285" s="11" t="s">
        <v>3207</v>
      </c>
      <c r="C1285" s="11" t="s">
        <v>3208</v>
      </c>
      <c r="D1285" s="5" t="s">
        <v>66</v>
      </c>
      <c r="E1285" s="5" t="s">
        <v>67</v>
      </c>
      <c r="F1285" s="5"/>
      <c r="G1285" s="22" t="n">
        <f aca="false">ROUND(SUM(I1285:P1285),3)</f>
        <v>62.194</v>
      </c>
      <c r="H1285" s="5" t="str">
        <f aca="false">IF(G1285&gt;=評分方法!$C$16,"優先評估",IF(G1285&gt;=評分方法!$C$17,"列入候選",IF(G1285&gt;=評分方法!$C$18,"特定情境","不建議")))</f>
        <v>特定情境</v>
      </c>
      <c r="I1285" s="15" t="n">
        <f aca="false">AE1285*評分方法!$C$5</f>
        <v>27</v>
      </c>
      <c r="J1285" s="15" t="n">
        <f aca="false">AF1285*評分方法!$C$6</f>
        <v>0</v>
      </c>
      <c r="K1285" s="15" t="n">
        <f aca="false">AG1285*評分方法!$C$7</f>
        <v>4.95</v>
      </c>
      <c r="L1285" s="15" t="n">
        <f aca="false">AH1285*評分方法!$C$8</f>
        <v>15</v>
      </c>
      <c r="M1285" s="15" t="n">
        <f aca="false">AI1285*評分方法!$C$9</f>
        <v>10</v>
      </c>
      <c r="N1285" s="15" t="n">
        <f aca="false">AJ1285*評分方法!$C$10</f>
        <v>0.244</v>
      </c>
      <c r="O1285" s="15" t="n">
        <f aca="false">AK1285*評分方法!$C$11</f>
        <v>5</v>
      </c>
      <c r="P1285" s="15" t="n">
        <f aca="false">AL1285*評分方法!$C$12</f>
        <v>0</v>
      </c>
      <c r="Q1285" s="6" t="n">
        <v>122522</v>
      </c>
      <c r="R1285" s="6" t="n">
        <v>394781696</v>
      </c>
      <c r="S1285" s="11" t="s">
        <v>238</v>
      </c>
      <c r="T1285" s="11" t="s">
        <v>239</v>
      </c>
      <c r="U1285" s="5" t="s">
        <v>240</v>
      </c>
      <c r="V1285" s="11" t="s">
        <v>324</v>
      </c>
      <c r="W1285" s="5" t="s">
        <v>334</v>
      </c>
      <c r="X1285" s="5" t="s">
        <v>242</v>
      </c>
      <c r="Y1285" s="11" t="s">
        <v>1852</v>
      </c>
      <c r="Z1285" s="11" t="s">
        <v>270</v>
      </c>
      <c r="AA1285" s="11" t="s">
        <v>151</v>
      </c>
      <c r="AB1285" s="5" t="s">
        <v>245</v>
      </c>
      <c r="AC1285" s="5"/>
      <c r="AD1285" s="11" t="s">
        <v>3209</v>
      </c>
      <c r="AE1285" s="23" t="n">
        <v>0.9</v>
      </c>
      <c r="AF1285" s="23" t="n">
        <v>0</v>
      </c>
      <c r="AG1285" s="23" t="n">
        <v>0.33</v>
      </c>
      <c r="AH1285" s="23" t="n">
        <v>1</v>
      </c>
      <c r="AI1285" s="23" t="n">
        <v>1</v>
      </c>
      <c r="AJ1285" s="23" t="n">
        <v>0.0244</v>
      </c>
      <c r="AK1285" s="23" t="n">
        <v>1</v>
      </c>
      <c r="AL1285" s="23" t="n">
        <v>0</v>
      </c>
      <c r="AM1285" s="16" t="n">
        <f aca="false">COUNTIFS($D$2:$D$2501,D1285,$G$2:$G$2501,"&gt;"&amp;G1285)+COUNTIFS($D$2:D1285,D1285,$G$2:G1285,G1285)</f>
        <v>36</v>
      </c>
      <c r="AN1285" s="5" t="str">
        <f aca="false">D1285&amp;"|"&amp;AM1285</f>
        <v>分類與偵測|36</v>
      </c>
    </row>
    <row r="1286" customFormat="false" ht="17.15" hidden="false" customHeight="false" outlineLevel="0" collapsed="false">
      <c r="A1286" s="16" t="n">
        <f aca="false">RANK(G1286,$G$2:$G$2501)+COUNTIF($G$2:G1286,G1286)-1</f>
        <v>1285</v>
      </c>
      <c r="B1286" s="11" t="s">
        <v>3210</v>
      </c>
      <c r="C1286" s="11" t="s">
        <v>3211</v>
      </c>
      <c r="D1286" s="5" t="s">
        <v>68</v>
      </c>
      <c r="E1286" s="11" t="s">
        <v>69</v>
      </c>
      <c r="F1286" s="5"/>
      <c r="G1286" s="22" t="n">
        <f aca="false">ROUND(SUM(I1286:P1286),3)</f>
        <v>62.186</v>
      </c>
      <c r="H1286" s="5" t="str">
        <f aca="false">IF(G1286&gt;=評分方法!$C$16,"優先評估",IF(G1286&gt;=評分方法!$C$17,"列入候選",IF(G1286&gt;=評分方法!$C$18,"特定情境","不建議")))</f>
        <v>特定情境</v>
      </c>
      <c r="I1286" s="15" t="n">
        <f aca="false">AE1286*評分方法!$C$5</f>
        <v>21</v>
      </c>
      <c r="J1286" s="15" t="n">
        <f aca="false">AF1286*評分方法!$C$6</f>
        <v>0</v>
      </c>
      <c r="K1286" s="15" t="n">
        <f aca="false">AG1286*評分方法!$C$7</f>
        <v>4.95</v>
      </c>
      <c r="L1286" s="15" t="n">
        <f aca="false">AH1286*評分方法!$C$8</f>
        <v>15</v>
      </c>
      <c r="M1286" s="15" t="n">
        <f aca="false">AI1286*評分方法!$C$9</f>
        <v>10</v>
      </c>
      <c r="N1286" s="15" t="n">
        <f aca="false">AJ1286*評分方法!$C$10</f>
        <v>4.736</v>
      </c>
      <c r="O1286" s="15" t="n">
        <f aca="false">AK1286*評分方法!$C$11</f>
        <v>5</v>
      </c>
      <c r="P1286" s="15" t="n">
        <f aca="false">AL1286*評分方法!$C$12</f>
        <v>1.5</v>
      </c>
      <c r="Q1286" s="6" t="n">
        <v>517162</v>
      </c>
      <c r="R1286" s="6" t="n">
        <v>21915584</v>
      </c>
      <c r="S1286" s="11" t="s">
        <v>238</v>
      </c>
      <c r="T1286" s="11" t="s">
        <v>239</v>
      </c>
      <c r="U1286" s="5" t="s">
        <v>240</v>
      </c>
      <c r="V1286" s="11" t="s">
        <v>261</v>
      </c>
      <c r="W1286" s="5" t="s">
        <v>334</v>
      </c>
      <c r="X1286" s="5" t="s">
        <v>255</v>
      </c>
      <c r="Y1286" s="5"/>
      <c r="Z1286" s="5"/>
      <c r="AA1286" s="11" t="s">
        <v>158</v>
      </c>
      <c r="AB1286" s="5" t="s">
        <v>245</v>
      </c>
      <c r="AC1286" s="5"/>
      <c r="AD1286" s="11" t="s">
        <v>3212</v>
      </c>
      <c r="AE1286" s="23" t="n">
        <v>0.7</v>
      </c>
      <c r="AF1286" s="23" t="n">
        <v>0</v>
      </c>
      <c r="AG1286" s="23" t="n">
        <v>0.33</v>
      </c>
      <c r="AH1286" s="23" t="n">
        <v>1</v>
      </c>
      <c r="AI1286" s="23" t="n">
        <v>1</v>
      </c>
      <c r="AJ1286" s="23" t="n">
        <v>0.4736</v>
      </c>
      <c r="AK1286" s="23" t="n">
        <v>1</v>
      </c>
      <c r="AL1286" s="23" t="n">
        <v>0.3</v>
      </c>
      <c r="AM1286" s="16" t="n">
        <f aca="false">COUNTIFS($D$2:$D$2501,D1286,$G$2:$G$2501,"&gt;"&amp;G1286)+COUNTIFS($D$2:D1286,D1286,$G$2:G1286,G1286)</f>
        <v>42</v>
      </c>
      <c r="AN1286" s="5" t="str">
        <f aca="false">D1286&amp;"|"&amp;AM1286</f>
        <v>時序異常偵測|42</v>
      </c>
    </row>
    <row r="1287" customFormat="false" ht="17.15" hidden="false" customHeight="false" outlineLevel="0" collapsed="false">
      <c r="A1287" s="16" t="n">
        <f aca="false">RANK(G1287,$G$2:$G$2501)+COUNTIF($G$2:G1287,G1287)-1</f>
        <v>1286</v>
      </c>
      <c r="B1287" s="11" t="s">
        <v>3213</v>
      </c>
      <c r="C1287" s="11" t="s">
        <v>3214</v>
      </c>
      <c r="D1287" s="5" t="s">
        <v>56</v>
      </c>
      <c r="E1287" s="5" t="s">
        <v>57</v>
      </c>
      <c r="F1287" s="5"/>
      <c r="G1287" s="22" t="n">
        <f aca="false">ROUND(SUM(I1287:P1287),3)</f>
        <v>62.172</v>
      </c>
      <c r="H1287" s="5" t="str">
        <f aca="false">IF(G1287&gt;=評分方法!$C$16,"優先評估",IF(G1287&gt;=評分方法!$C$17,"列入候選",IF(G1287&gt;=評分方法!$C$18,"特定情境","不建議")))</f>
        <v>特定情境</v>
      </c>
      <c r="I1287" s="15" t="n">
        <f aca="false">AE1287*評分方法!$C$5</f>
        <v>25.5</v>
      </c>
      <c r="J1287" s="15" t="n">
        <f aca="false">AF1287*評分方法!$C$6</f>
        <v>0</v>
      </c>
      <c r="K1287" s="15" t="n">
        <f aca="false">AG1287*評分方法!$C$7</f>
        <v>4.95</v>
      </c>
      <c r="L1287" s="15" t="n">
        <f aca="false">AH1287*評分方法!$C$8</f>
        <v>13.05</v>
      </c>
      <c r="M1287" s="15" t="n">
        <f aca="false">AI1287*評分方法!$C$9</f>
        <v>10</v>
      </c>
      <c r="N1287" s="15" t="n">
        <f aca="false">AJ1287*評分方法!$C$10</f>
        <v>3.672</v>
      </c>
      <c r="O1287" s="15" t="n">
        <f aca="false">AK1287*評分方法!$C$11</f>
        <v>5</v>
      </c>
      <c r="P1287" s="15" t="n">
        <f aca="false">AL1287*評分方法!$C$12</f>
        <v>0</v>
      </c>
      <c r="Q1287" s="6" t="n">
        <v>373536</v>
      </c>
      <c r="R1287" s="6" t="n">
        <v>4205751296</v>
      </c>
      <c r="S1287" s="11" t="s">
        <v>254</v>
      </c>
      <c r="T1287" s="11" t="s">
        <v>239</v>
      </c>
      <c r="U1287" s="5" t="s">
        <v>240</v>
      </c>
      <c r="V1287" s="11" t="s">
        <v>333</v>
      </c>
      <c r="W1287" s="5" t="s">
        <v>334</v>
      </c>
      <c r="X1287" s="5" t="s">
        <v>242</v>
      </c>
      <c r="Y1287" s="5"/>
      <c r="Z1287" s="5"/>
      <c r="AA1287" s="11" t="s">
        <v>155</v>
      </c>
      <c r="AB1287" s="5" t="s">
        <v>245</v>
      </c>
      <c r="AC1287" s="5"/>
      <c r="AD1287" s="11" t="s">
        <v>3215</v>
      </c>
      <c r="AE1287" s="23" t="n">
        <v>0.85</v>
      </c>
      <c r="AF1287" s="23" t="n">
        <v>0</v>
      </c>
      <c r="AG1287" s="23" t="n">
        <v>0.33</v>
      </c>
      <c r="AH1287" s="23" t="n">
        <v>0.87</v>
      </c>
      <c r="AI1287" s="23" t="n">
        <v>1</v>
      </c>
      <c r="AJ1287" s="23" t="n">
        <v>0.3672</v>
      </c>
      <c r="AK1287" s="23" t="n">
        <v>1</v>
      </c>
      <c r="AL1287" s="23" t="n">
        <v>0</v>
      </c>
      <c r="AM1287" s="16" t="n">
        <f aca="false">COUNTIFS($D$2:$D$2501,D1287,$G$2:$G$2501,"&gt;"&amp;G1287)+COUNTIFS($D$2:D1287,D1287,$G$2:G1287,G1287)</f>
        <v>582</v>
      </c>
      <c r="AN1287" s="5" t="str">
        <f aca="false">D1287&amp;"|"&amp;AM1287</f>
        <v>分析與報告生成|582</v>
      </c>
    </row>
    <row r="1288" customFormat="false" ht="17.15" hidden="false" customHeight="false" outlineLevel="0" collapsed="false">
      <c r="A1288" s="16" t="n">
        <f aca="false">RANK(G1288,$G$2:$G$2501)+COUNTIF($G$2:G1288,G1288)-1</f>
        <v>1287</v>
      </c>
      <c r="B1288" s="11" t="s">
        <v>3216</v>
      </c>
      <c r="C1288" s="11" t="s">
        <v>1635</v>
      </c>
      <c r="D1288" s="5" t="s">
        <v>56</v>
      </c>
      <c r="E1288" s="5" t="s">
        <v>57</v>
      </c>
      <c r="F1288" s="5"/>
      <c r="G1288" s="22" t="n">
        <f aca="false">ROUND(SUM(I1288:P1288),3)</f>
        <v>62.168</v>
      </c>
      <c r="H1288" s="5" t="str">
        <f aca="false">IF(G1288&gt;=評分方法!$C$16,"優先評估",IF(G1288&gt;=評分方法!$C$17,"列入候選",IF(G1288&gt;=評分方法!$C$18,"特定情境","不建議")))</f>
        <v>特定情境</v>
      </c>
      <c r="I1288" s="15" t="n">
        <f aca="false">AE1288*評分方法!$C$5</f>
        <v>18</v>
      </c>
      <c r="J1288" s="15" t="n">
        <f aca="false">AF1288*評分方法!$C$6</f>
        <v>0</v>
      </c>
      <c r="K1288" s="15" t="n">
        <f aca="false">AG1288*評分方法!$C$7</f>
        <v>15</v>
      </c>
      <c r="L1288" s="15" t="n">
        <f aca="false">AH1288*評分方法!$C$8</f>
        <v>15</v>
      </c>
      <c r="M1288" s="15" t="n">
        <f aca="false">AI1288*評分方法!$C$9</f>
        <v>10</v>
      </c>
      <c r="N1288" s="15" t="n">
        <f aca="false">AJ1288*評分方法!$C$10</f>
        <v>3.168</v>
      </c>
      <c r="O1288" s="15" t="n">
        <f aca="false">AK1288*評分方法!$C$11</f>
        <v>1</v>
      </c>
      <c r="P1288" s="15" t="n">
        <f aca="false">AL1288*評分方法!$C$12</f>
        <v>0</v>
      </c>
      <c r="Q1288" s="6" t="n">
        <v>308578</v>
      </c>
      <c r="R1288" s="6" t="n">
        <v>183833602</v>
      </c>
      <c r="S1288" s="11" t="s">
        <v>238</v>
      </c>
      <c r="T1288" s="11" t="s">
        <v>1636</v>
      </c>
      <c r="U1288" s="5" t="s">
        <v>240</v>
      </c>
      <c r="V1288" s="11" t="s">
        <v>324</v>
      </c>
      <c r="W1288" s="5" t="s">
        <v>205</v>
      </c>
      <c r="X1288" s="5" t="s">
        <v>242</v>
      </c>
      <c r="Y1288" s="11" t="s">
        <v>243</v>
      </c>
      <c r="Z1288" s="11" t="s">
        <v>270</v>
      </c>
      <c r="AA1288" s="11" t="s">
        <v>159</v>
      </c>
      <c r="AB1288" s="5" t="s">
        <v>245</v>
      </c>
      <c r="AC1288" s="5"/>
      <c r="AD1288" s="11" t="s">
        <v>3217</v>
      </c>
      <c r="AE1288" s="23" t="n">
        <v>0.6</v>
      </c>
      <c r="AF1288" s="23" t="n">
        <v>0</v>
      </c>
      <c r="AG1288" s="23" t="n">
        <v>1</v>
      </c>
      <c r="AH1288" s="23" t="n">
        <v>1</v>
      </c>
      <c r="AI1288" s="23" t="n">
        <v>1</v>
      </c>
      <c r="AJ1288" s="23" t="n">
        <v>0.3168</v>
      </c>
      <c r="AK1288" s="23" t="n">
        <v>0.2</v>
      </c>
      <c r="AL1288" s="23" t="n">
        <v>0</v>
      </c>
      <c r="AM1288" s="16" t="n">
        <f aca="false">COUNTIFS($D$2:$D$2501,D1288,$G$2:$G$2501,"&gt;"&amp;G1288)+COUNTIFS($D$2:D1288,D1288,$G$2:G1288,G1288)</f>
        <v>583</v>
      </c>
      <c r="AN1288" s="5" t="str">
        <f aca="false">D1288&amp;"|"&amp;AM1288</f>
        <v>分析與報告生成|583</v>
      </c>
    </row>
    <row r="1289" customFormat="false" ht="17.15" hidden="false" customHeight="false" outlineLevel="0" collapsed="false">
      <c r="A1289" s="16" t="n">
        <f aca="false">RANK(G1289,$G$2:$G$2501)+COUNTIF($G$2:G1289,G1289)-1</f>
        <v>1288</v>
      </c>
      <c r="B1289" s="11" t="s">
        <v>3218</v>
      </c>
      <c r="C1289" s="11" t="s">
        <v>712</v>
      </c>
      <c r="D1289" s="5" t="s">
        <v>56</v>
      </c>
      <c r="E1289" s="5" t="s">
        <v>57</v>
      </c>
      <c r="F1289" s="5"/>
      <c r="G1289" s="22" t="n">
        <f aca="false">ROUND(SUM(I1289:P1289),3)</f>
        <v>62.164</v>
      </c>
      <c r="H1289" s="5" t="str">
        <f aca="false">IF(G1289&gt;=評分方法!$C$16,"優先評估",IF(G1289&gt;=評分方法!$C$17,"列入候選",IF(G1289&gt;=評分方法!$C$18,"特定情境","不建議")))</f>
        <v>特定情境</v>
      </c>
      <c r="I1289" s="15" t="n">
        <f aca="false">AE1289*評分方法!$C$5</f>
        <v>18</v>
      </c>
      <c r="J1289" s="15" t="n">
        <f aca="false">AF1289*評分方法!$C$6</f>
        <v>0</v>
      </c>
      <c r="K1289" s="15" t="n">
        <f aca="false">AG1289*評分方法!$C$7</f>
        <v>15</v>
      </c>
      <c r="L1289" s="15" t="n">
        <f aca="false">AH1289*評分方法!$C$8</f>
        <v>15</v>
      </c>
      <c r="M1289" s="15" t="n">
        <f aca="false">AI1289*評分方法!$C$9</f>
        <v>10</v>
      </c>
      <c r="N1289" s="15" t="n">
        <f aca="false">AJ1289*評分方法!$C$10</f>
        <v>3.164</v>
      </c>
      <c r="O1289" s="15" t="n">
        <f aca="false">AK1289*評分方法!$C$11</f>
        <v>1</v>
      </c>
      <c r="P1289" s="15" t="n">
        <f aca="false">AL1289*評分方法!$C$12</f>
        <v>0</v>
      </c>
      <c r="Q1289" s="6" t="n">
        <v>307957</v>
      </c>
      <c r="R1289" s="6" t="n">
        <v>66364418</v>
      </c>
      <c r="S1289" s="11" t="s">
        <v>238</v>
      </c>
      <c r="T1289" s="11" t="s">
        <v>239</v>
      </c>
      <c r="U1289" s="5" t="s">
        <v>240</v>
      </c>
      <c r="V1289" s="11" t="s">
        <v>3219</v>
      </c>
      <c r="W1289" s="5" t="s">
        <v>205</v>
      </c>
      <c r="X1289" s="5" t="s">
        <v>242</v>
      </c>
      <c r="Y1289" s="5"/>
      <c r="Z1289" s="5"/>
      <c r="AA1289" s="11" t="s">
        <v>159</v>
      </c>
      <c r="AB1289" s="5" t="s">
        <v>245</v>
      </c>
      <c r="AC1289" s="5"/>
      <c r="AD1289" s="11" t="s">
        <v>3220</v>
      </c>
      <c r="AE1289" s="23" t="n">
        <v>0.6</v>
      </c>
      <c r="AF1289" s="23" t="n">
        <v>0</v>
      </c>
      <c r="AG1289" s="23" t="n">
        <v>1</v>
      </c>
      <c r="AH1289" s="23" t="n">
        <v>1</v>
      </c>
      <c r="AI1289" s="23" t="n">
        <v>1</v>
      </c>
      <c r="AJ1289" s="23" t="n">
        <v>0.3164</v>
      </c>
      <c r="AK1289" s="23" t="n">
        <v>0.2</v>
      </c>
      <c r="AL1289" s="23" t="n">
        <v>0</v>
      </c>
      <c r="AM1289" s="16" t="n">
        <f aca="false">COUNTIFS($D$2:$D$2501,D1289,$G$2:$G$2501,"&gt;"&amp;G1289)+COUNTIFS($D$2:D1289,D1289,$G$2:G1289,G1289)</f>
        <v>584</v>
      </c>
      <c r="AN1289" s="5" t="str">
        <f aca="false">D1289&amp;"|"&amp;AM1289</f>
        <v>分析與報告生成|584</v>
      </c>
    </row>
    <row r="1290" customFormat="false" ht="17.15" hidden="false" customHeight="false" outlineLevel="0" collapsed="false">
      <c r="A1290" s="16" t="n">
        <f aca="false">RANK(G1290,$G$2:$G$2501)+COUNTIF($G$2:G1290,G1290)-1</f>
        <v>1289</v>
      </c>
      <c r="B1290" s="11" t="s">
        <v>3221</v>
      </c>
      <c r="C1290" s="11" t="s">
        <v>1697</v>
      </c>
      <c r="D1290" s="5" t="s">
        <v>56</v>
      </c>
      <c r="E1290" s="5" t="s">
        <v>57</v>
      </c>
      <c r="F1290" s="5"/>
      <c r="G1290" s="22" t="n">
        <f aca="false">ROUND(SUM(I1290:P1290),3)</f>
        <v>62.158</v>
      </c>
      <c r="H1290" s="5" t="str">
        <f aca="false">IF(G1290&gt;=評分方法!$C$16,"優先評估",IF(G1290&gt;=評分方法!$C$17,"列入候選",IF(G1290&gt;=評分方法!$C$18,"特定情境","不建議")))</f>
        <v>特定情境</v>
      </c>
      <c r="I1290" s="15" t="n">
        <f aca="false">AE1290*評分方法!$C$5</f>
        <v>25.5</v>
      </c>
      <c r="J1290" s="15" t="n">
        <f aca="false">AF1290*評分方法!$C$6</f>
        <v>0</v>
      </c>
      <c r="K1290" s="15" t="n">
        <f aca="false">AG1290*評分方法!$C$7</f>
        <v>4.95</v>
      </c>
      <c r="L1290" s="15" t="n">
        <f aca="false">AH1290*評分方法!$C$8</f>
        <v>15</v>
      </c>
      <c r="M1290" s="15" t="n">
        <f aca="false">AI1290*評分方法!$C$9</f>
        <v>2</v>
      </c>
      <c r="N1290" s="15" t="n">
        <f aca="false">AJ1290*評分方法!$C$10</f>
        <v>6.708</v>
      </c>
      <c r="O1290" s="15" t="n">
        <f aca="false">AK1290*評分方法!$C$11</f>
        <v>5</v>
      </c>
      <c r="P1290" s="15" t="n">
        <f aca="false">AL1290*評分方法!$C$12</f>
        <v>3</v>
      </c>
      <c r="Q1290" s="6" t="n">
        <v>815149</v>
      </c>
      <c r="R1290" s="6" t="n">
        <v>354496</v>
      </c>
      <c r="S1290" s="11" t="s">
        <v>238</v>
      </c>
      <c r="T1290" s="5"/>
      <c r="U1290" s="5" t="s">
        <v>375</v>
      </c>
      <c r="V1290" s="11" t="s">
        <v>261</v>
      </c>
      <c r="W1290" s="5" t="s">
        <v>334</v>
      </c>
      <c r="X1290" s="5" t="s">
        <v>371</v>
      </c>
      <c r="Y1290" s="5"/>
      <c r="Z1290" s="5"/>
      <c r="AA1290" s="11" t="s">
        <v>155</v>
      </c>
      <c r="AB1290" s="5" t="s">
        <v>328</v>
      </c>
      <c r="AC1290" s="5" t="s">
        <v>329</v>
      </c>
      <c r="AD1290" s="11" t="s">
        <v>3222</v>
      </c>
      <c r="AE1290" s="23" t="n">
        <v>0.85</v>
      </c>
      <c r="AF1290" s="23" t="n">
        <v>0</v>
      </c>
      <c r="AG1290" s="23" t="n">
        <v>0.33</v>
      </c>
      <c r="AH1290" s="23" t="n">
        <v>1</v>
      </c>
      <c r="AI1290" s="23" t="n">
        <v>0.2</v>
      </c>
      <c r="AJ1290" s="23" t="n">
        <v>0.6708</v>
      </c>
      <c r="AK1290" s="23" t="n">
        <v>1</v>
      </c>
      <c r="AL1290" s="23" t="n">
        <v>0.6</v>
      </c>
      <c r="AM1290" s="16" t="n">
        <f aca="false">COUNTIFS($D$2:$D$2501,D1290,$G$2:$G$2501,"&gt;"&amp;G1290)+COUNTIFS($D$2:D1290,D1290,$G$2:G1290,G1290)</f>
        <v>585</v>
      </c>
      <c r="AN1290" s="5" t="str">
        <f aca="false">D1290&amp;"|"&amp;AM1290</f>
        <v>分析與報告生成|585</v>
      </c>
    </row>
    <row r="1291" customFormat="false" ht="17.15" hidden="false" customHeight="false" outlineLevel="0" collapsed="false">
      <c r="A1291" s="16" t="n">
        <f aca="false">RANK(G1291,$G$2:$G$2501)+COUNTIF($G$2:G1291,G1291)-1</f>
        <v>1290</v>
      </c>
      <c r="B1291" s="11" t="s">
        <v>3223</v>
      </c>
      <c r="C1291" s="11" t="s">
        <v>3224</v>
      </c>
      <c r="D1291" s="5" t="s">
        <v>56</v>
      </c>
      <c r="E1291" s="5" t="s">
        <v>57</v>
      </c>
      <c r="F1291" s="5"/>
      <c r="G1291" s="22" t="n">
        <f aca="false">ROUND(SUM(I1291:P1291),3)</f>
        <v>62.15</v>
      </c>
      <c r="H1291" s="5" t="str">
        <f aca="false">IF(G1291&gt;=評分方法!$C$16,"優先評估",IF(G1291&gt;=評分方法!$C$17,"列入候選",IF(G1291&gt;=評分方法!$C$18,"特定情境","不建議")))</f>
        <v>特定情境</v>
      </c>
      <c r="I1291" s="15" t="n">
        <f aca="false">AE1291*評分方法!$C$5</f>
        <v>18</v>
      </c>
      <c r="J1291" s="15" t="n">
        <f aca="false">AF1291*評分方法!$C$6</f>
        <v>0</v>
      </c>
      <c r="K1291" s="15" t="n">
        <f aca="false">AG1291*評分方法!$C$7</f>
        <v>4.95</v>
      </c>
      <c r="L1291" s="15" t="n">
        <f aca="false">AH1291*評分方法!$C$8</f>
        <v>15</v>
      </c>
      <c r="M1291" s="15" t="n">
        <f aca="false">AI1291*評分方法!$C$9</f>
        <v>10</v>
      </c>
      <c r="N1291" s="15" t="n">
        <f aca="false">AJ1291*評分方法!$C$10</f>
        <v>6.7</v>
      </c>
      <c r="O1291" s="15" t="n">
        <f aca="false">AK1291*評分方法!$C$11</f>
        <v>2.5</v>
      </c>
      <c r="P1291" s="15" t="n">
        <f aca="false">AL1291*評分方法!$C$12</f>
        <v>5</v>
      </c>
      <c r="Q1291" s="6" t="n">
        <v>812421</v>
      </c>
      <c r="R1291" s="6" t="n">
        <v>278220802</v>
      </c>
      <c r="S1291" s="11" t="s">
        <v>238</v>
      </c>
      <c r="T1291" s="11" t="s">
        <v>278</v>
      </c>
      <c r="U1291" s="5" t="s">
        <v>240</v>
      </c>
      <c r="V1291" s="11" t="s">
        <v>324</v>
      </c>
      <c r="W1291" s="5" t="s">
        <v>334</v>
      </c>
      <c r="X1291" s="5" t="s">
        <v>284</v>
      </c>
      <c r="Y1291" s="11" t="s">
        <v>2507</v>
      </c>
      <c r="Z1291" s="11" t="s">
        <v>270</v>
      </c>
      <c r="AA1291" s="11" t="s">
        <v>159</v>
      </c>
      <c r="AB1291" s="5" t="s">
        <v>245</v>
      </c>
      <c r="AC1291" s="5"/>
      <c r="AD1291" s="11" t="s">
        <v>3225</v>
      </c>
      <c r="AE1291" s="23" t="n">
        <v>0.6</v>
      </c>
      <c r="AF1291" s="23" t="n">
        <v>0</v>
      </c>
      <c r="AG1291" s="23" t="n">
        <v>0.33</v>
      </c>
      <c r="AH1291" s="23" t="n">
        <v>1</v>
      </c>
      <c r="AI1291" s="23" t="n">
        <v>1</v>
      </c>
      <c r="AJ1291" s="23" t="n">
        <v>0.67</v>
      </c>
      <c r="AK1291" s="23" t="n">
        <v>0.5</v>
      </c>
      <c r="AL1291" s="23" t="n">
        <v>1</v>
      </c>
      <c r="AM1291" s="16" t="n">
        <f aca="false">COUNTIFS($D$2:$D$2501,D1291,$G$2:$G$2501,"&gt;"&amp;G1291)+COUNTIFS($D$2:D1291,D1291,$G$2:G1291,G1291)</f>
        <v>586</v>
      </c>
      <c r="AN1291" s="5" t="str">
        <f aca="false">D1291&amp;"|"&amp;AM1291</f>
        <v>分析與報告生成|586</v>
      </c>
    </row>
    <row r="1292" customFormat="false" ht="17.15" hidden="false" customHeight="false" outlineLevel="0" collapsed="false">
      <c r="A1292" s="16" t="n">
        <f aca="false">RANK(G1292,$G$2:$G$2501)+COUNTIF($G$2:G1292,G1292)-1</f>
        <v>1291</v>
      </c>
      <c r="B1292" s="11" t="s">
        <v>3226</v>
      </c>
      <c r="C1292" s="11" t="s">
        <v>323</v>
      </c>
      <c r="D1292" s="5" t="s">
        <v>56</v>
      </c>
      <c r="E1292" s="5" t="s">
        <v>57</v>
      </c>
      <c r="F1292" s="5"/>
      <c r="G1292" s="22" t="n">
        <f aca="false">ROUND(SUM(I1292:P1292),3)</f>
        <v>62.144</v>
      </c>
      <c r="H1292" s="5" t="str">
        <f aca="false">IF(G1292&gt;=評分方法!$C$16,"優先評估",IF(G1292&gt;=評分方法!$C$17,"列入候選",IF(G1292&gt;=評分方法!$C$18,"特定情境","不建議")))</f>
        <v>特定情境</v>
      </c>
      <c r="I1292" s="15" t="n">
        <f aca="false">AE1292*評分方法!$C$5</f>
        <v>25.5</v>
      </c>
      <c r="J1292" s="15" t="n">
        <f aca="false">AF1292*評分方法!$C$6</f>
        <v>0</v>
      </c>
      <c r="K1292" s="15" t="n">
        <f aca="false">AG1292*評分方法!$C$7</f>
        <v>15</v>
      </c>
      <c r="L1292" s="15" t="n">
        <f aca="false">AH1292*評分方法!$C$8</f>
        <v>9</v>
      </c>
      <c r="M1292" s="15" t="n">
        <f aca="false">AI1292*評分方法!$C$9</f>
        <v>10</v>
      </c>
      <c r="N1292" s="15" t="n">
        <f aca="false">AJ1292*評分方法!$C$10</f>
        <v>0.144</v>
      </c>
      <c r="O1292" s="15" t="n">
        <f aca="false">AK1292*評分方法!$C$11</f>
        <v>2.5</v>
      </c>
      <c r="P1292" s="15" t="n">
        <f aca="false">AL1292*評分方法!$C$12</f>
        <v>0</v>
      </c>
      <c r="Q1292" s="6" t="n">
        <v>120150</v>
      </c>
      <c r="R1292" s="6" t="n">
        <v>13716198400</v>
      </c>
      <c r="S1292" s="11" t="s">
        <v>389</v>
      </c>
      <c r="T1292" s="11" t="s">
        <v>239</v>
      </c>
      <c r="U1292" s="5" t="s">
        <v>240</v>
      </c>
      <c r="V1292" s="11" t="s">
        <v>261</v>
      </c>
      <c r="W1292" s="5" t="s">
        <v>205</v>
      </c>
      <c r="X1292" s="5" t="s">
        <v>242</v>
      </c>
      <c r="Y1292" s="5"/>
      <c r="Z1292" s="5"/>
      <c r="AA1292" s="11" t="s">
        <v>155</v>
      </c>
      <c r="AB1292" s="5" t="s">
        <v>328</v>
      </c>
      <c r="AC1292" s="5" t="s">
        <v>400</v>
      </c>
      <c r="AD1292" s="11" t="s">
        <v>3227</v>
      </c>
      <c r="AE1292" s="23" t="n">
        <v>0.85</v>
      </c>
      <c r="AF1292" s="23" t="n">
        <v>0</v>
      </c>
      <c r="AG1292" s="23" t="n">
        <v>1</v>
      </c>
      <c r="AH1292" s="23" t="n">
        <v>0.6</v>
      </c>
      <c r="AI1292" s="23" t="n">
        <v>1</v>
      </c>
      <c r="AJ1292" s="23" t="n">
        <v>0.0144</v>
      </c>
      <c r="AK1292" s="23" t="n">
        <v>0.5</v>
      </c>
      <c r="AL1292" s="23" t="n">
        <v>0</v>
      </c>
      <c r="AM1292" s="16" t="n">
        <f aca="false">COUNTIFS($D$2:$D$2501,D1292,$G$2:$G$2501,"&gt;"&amp;G1292)+COUNTIFS($D$2:D1292,D1292,$G$2:G1292,G1292)</f>
        <v>587</v>
      </c>
      <c r="AN1292" s="5" t="str">
        <f aca="false">D1292&amp;"|"&amp;AM1292</f>
        <v>分析與報告生成|587</v>
      </c>
    </row>
    <row r="1293" customFormat="false" ht="17.15" hidden="false" customHeight="false" outlineLevel="0" collapsed="false">
      <c r="A1293" s="16" t="n">
        <f aca="false">RANK(G1293,$G$2:$G$2501)+COUNTIF($G$2:G1293,G1293)-1</f>
        <v>1292</v>
      </c>
      <c r="B1293" s="11" t="s">
        <v>3228</v>
      </c>
      <c r="C1293" s="11" t="s">
        <v>891</v>
      </c>
      <c r="D1293" s="5" t="s">
        <v>56</v>
      </c>
      <c r="E1293" s="5" t="s">
        <v>57</v>
      </c>
      <c r="F1293" s="5"/>
      <c r="G1293" s="22" t="n">
        <f aca="false">ROUND(SUM(I1293:P1293),3)</f>
        <v>62.12</v>
      </c>
      <c r="H1293" s="5" t="str">
        <f aca="false">IF(G1293&gt;=評分方法!$C$16,"優先評估",IF(G1293&gt;=評分方法!$C$17,"列入候選",IF(G1293&gt;=評分方法!$C$18,"特定情境","不建議")))</f>
        <v>特定情境</v>
      </c>
      <c r="I1293" s="15" t="n">
        <f aca="false">AE1293*評分方法!$C$5</f>
        <v>25.5</v>
      </c>
      <c r="J1293" s="15" t="n">
        <f aca="false">AF1293*評分方法!$C$6</f>
        <v>0</v>
      </c>
      <c r="K1293" s="15" t="n">
        <f aca="false">AG1293*評分方法!$C$7</f>
        <v>10.05</v>
      </c>
      <c r="L1293" s="15" t="n">
        <f aca="false">AH1293*評分方法!$C$8</f>
        <v>13.05</v>
      </c>
      <c r="M1293" s="15" t="n">
        <f aca="false">AI1293*評分方法!$C$9</f>
        <v>6</v>
      </c>
      <c r="N1293" s="15" t="n">
        <f aca="false">AJ1293*評分方法!$C$10</f>
        <v>3.52</v>
      </c>
      <c r="O1293" s="15" t="n">
        <f aca="false">AK1293*評分方法!$C$11</f>
        <v>4</v>
      </c>
      <c r="P1293" s="15" t="n">
        <f aca="false">AL1293*評分方法!$C$12</f>
        <v>0</v>
      </c>
      <c r="Q1293" s="6" t="n">
        <v>354159</v>
      </c>
      <c r="R1293" s="6" t="n">
        <v>4941532224</v>
      </c>
      <c r="S1293" s="11" t="s">
        <v>254</v>
      </c>
      <c r="T1293" s="11" t="s">
        <v>185</v>
      </c>
      <c r="U1293" s="5" t="s">
        <v>260</v>
      </c>
      <c r="V1293" s="11" t="s">
        <v>261</v>
      </c>
      <c r="W1293" s="5" t="s">
        <v>207</v>
      </c>
      <c r="X1293" s="5" t="s">
        <v>242</v>
      </c>
      <c r="Y1293" s="11" t="s">
        <v>3229</v>
      </c>
      <c r="Z1293" s="11" t="s">
        <v>270</v>
      </c>
      <c r="AA1293" s="11" t="s">
        <v>155</v>
      </c>
      <c r="AB1293" s="5" t="s">
        <v>245</v>
      </c>
      <c r="AC1293" s="5" t="s">
        <v>262</v>
      </c>
      <c r="AD1293" s="11" t="s">
        <v>3230</v>
      </c>
      <c r="AE1293" s="23" t="n">
        <v>0.85</v>
      </c>
      <c r="AF1293" s="23" t="n">
        <v>0</v>
      </c>
      <c r="AG1293" s="23" t="n">
        <v>0.67</v>
      </c>
      <c r="AH1293" s="23" t="n">
        <v>0.87</v>
      </c>
      <c r="AI1293" s="23" t="n">
        <v>0.6</v>
      </c>
      <c r="AJ1293" s="23" t="n">
        <v>0.352</v>
      </c>
      <c r="AK1293" s="23" t="n">
        <v>0.8</v>
      </c>
      <c r="AL1293" s="23" t="n">
        <v>0</v>
      </c>
      <c r="AM1293" s="16" t="n">
        <f aca="false">COUNTIFS($D$2:$D$2501,D1293,$G$2:$G$2501,"&gt;"&amp;G1293)+COUNTIFS($D$2:D1293,D1293,$G$2:G1293,G1293)</f>
        <v>588</v>
      </c>
      <c r="AN1293" s="5" t="str">
        <f aca="false">D1293&amp;"|"&amp;AM1293</f>
        <v>分析與報告生成|588</v>
      </c>
    </row>
    <row r="1294" customFormat="false" ht="17.15" hidden="false" customHeight="false" outlineLevel="0" collapsed="false">
      <c r="A1294" s="16" t="n">
        <f aca="false">RANK(G1294,$G$2:$G$2501)+COUNTIF($G$2:G1294,G1294)-1</f>
        <v>1293</v>
      </c>
      <c r="B1294" s="11" t="s">
        <v>3231</v>
      </c>
      <c r="C1294" s="11" t="s">
        <v>308</v>
      </c>
      <c r="D1294" s="5" t="s">
        <v>74</v>
      </c>
      <c r="E1294" s="5" t="s">
        <v>75</v>
      </c>
      <c r="F1294" s="5"/>
      <c r="G1294" s="22" t="n">
        <f aca="false">ROUND(SUM(I1294:P1294),3)</f>
        <v>62.104</v>
      </c>
      <c r="H1294" s="5" t="str">
        <f aca="false">IF(G1294&gt;=評分方法!$C$16,"優先評估",IF(G1294&gt;=評分方法!$C$17,"列入候選",IF(G1294&gt;=評分方法!$C$18,"特定情境","不建議")))</f>
        <v>特定情境</v>
      </c>
      <c r="I1294" s="15" t="n">
        <f aca="false">AE1294*評分方法!$C$5</f>
        <v>10.5</v>
      </c>
      <c r="J1294" s="15" t="n">
        <f aca="false">AF1294*評分方法!$C$6</f>
        <v>0</v>
      </c>
      <c r="K1294" s="15" t="n">
        <f aca="false">AG1294*評分方法!$C$7</f>
        <v>15</v>
      </c>
      <c r="L1294" s="15" t="n">
        <f aca="false">AH1294*評分方法!$C$8</f>
        <v>15</v>
      </c>
      <c r="M1294" s="15" t="n">
        <f aca="false">AI1294*評分方法!$C$9</f>
        <v>10</v>
      </c>
      <c r="N1294" s="15" t="n">
        <f aca="false">AJ1294*評分方法!$C$10</f>
        <v>9.104</v>
      </c>
      <c r="O1294" s="15" t="n">
        <f aca="false">AK1294*評分方法!$C$11</f>
        <v>1</v>
      </c>
      <c r="P1294" s="15" t="n">
        <f aca="false">AL1294*評分方法!$C$12</f>
        <v>1.5</v>
      </c>
      <c r="Q1294" s="6" t="n">
        <v>4503745</v>
      </c>
      <c r="R1294" s="6" t="n">
        <v>25610152</v>
      </c>
      <c r="S1294" s="11" t="s">
        <v>238</v>
      </c>
      <c r="T1294" s="11" t="s">
        <v>239</v>
      </c>
      <c r="U1294" s="5" t="s">
        <v>240</v>
      </c>
      <c r="V1294" s="11" t="s">
        <v>279</v>
      </c>
      <c r="W1294" s="5" t="s">
        <v>205</v>
      </c>
      <c r="X1294" s="5" t="s">
        <v>255</v>
      </c>
      <c r="Y1294" s="5"/>
      <c r="Z1294" s="5"/>
      <c r="AA1294" s="11" t="s">
        <v>172</v>
      </c>
      <c r="AB1294" s="5" t="s">
        <v>245</v>
      </c>
      <c r="AC1294" s="5"/>
      <c r="AD1294" s="11" t="s">
        <v>3232</v>
      </c>
      <c r="AE1294" s="23" t="n">
        <v>0.35</v>
      </c>
      <c r="AF1294" s="23" t="n">
        <v>0</v>
      </c>
      <c r="AG1294" s="23" t="n">
        <v>1</v>
      </c>
      <c r="AH1294" s="23" t="n">
        <v>1</v>
      </c>
      <c r="AI1294" s="23" t="n">
        <v>1</v>
      </c>
      <c r="AJ1294" s="23" t="n">
        <v>0.9104</v>
      </c>
      <c r="AK1294" s="23" t="n">
        <v>0.2</v>
      </c>
      <c r="AL1294" s="23" t="n">
        <v>0.3</v>
      </c>
      <c r="AM1294" s="16" t="n">
        <f aca="false">COUNTIFS($D$2:$D$2501,D1294,$G$2:$G$2501,"&gt;"&amp;G1294)+COUNTIFS($D$2:D1294,D1294,$G$2:G1294,G1294)</f>
        <v>55</v>
      </c>
      <c r="AN1294" s="5" t="str">
        <f aca="false">D1294&amp;"|"&amp;AM1294</f>
        <v>文件與影像辨識|55</v>
      </c>
    </row>
    <row r="1295" customFormat="false" ht="17.15" hidden="false" customHeight="false" outlineLevel="0" collapsed="false">
      <c r="A1295" s="16" t="n">
        <f aca="false">RANK(G1295,$G$2:$G$2501)+COUNTIF($G$2:G1295,G1295)-1</f>
        <v>1294</v>
      </c>
      <c r="B1295" s="11" t="s">
        <v>3233</v>
      </c>
      <c r="C1295" s="11" t="s">
        <v>368</v>
      </c>
      <c r="D1295" s="5" t="s">
        <v>74</v>
      </c>
      <c r="E1295" s="5" t="s">
        <v>75</v>
      </c>
      <c r="F1295" s="5"/>
      <c r="G1295" s="22" t="n">
        <f aca="false">ROUND(SUM(I1295:P1295),3)</f>
        <v>62.092</v>
      </c>
      <c r="H1295" s="5" t="str">
        <f aca="false">IF(G1295&gt;=評分方法!$C$16,"優先評估",IF(G1295&gt;=評分方法!$C$17,"列入候選",IF(G1295&gt;=評分方法!$C$18,"特定情境","不建議")))</f>
        <v>特定情境</v>
      </c>
      <c r="I1295" s="15" t="n">
        <f aca="false">AE1295*評分方法!$C$5</f>
        <v>12</v>
      </c>
      <c r="J1295" s="15" t="n">
        <f aca="false">AF1295*評分方法!$C$6</f>
        <v>0</v>
      </c>
      <c r="K1295" s="15" t="n">
        <f aca="false">AG1295*評分方法!$C$7</f>
        <v>15</v>
      </c>
      <c r="L1295" s="15" t="n">
        <f aca="false">AH1295*評分方法!$C$8</f>
        <v>15</v>
      </c>
      <c r="M1295" s="15" t="n">
        <f aca="false">AI1295*評分方法!$C$9</f>
        <v>10</v>
      </c>
      <c r="N1295" s="15" t="n">
        <f aca="false">AJ1295*評分方法!$C$10</f>
        <v>6.092</v>
      </c>
      <c r="O1295" s="15" t="n">
        <f aca="false">AK1295*評分方法!$C$11</f>
        <v>2.5</v>
      </c>
      <c r="P1295" s="15" t="n">
        <f aca="false">AL1295*評分方法!$C$12</f>
        <v>1.5</v>
      </c>
      <c r="Q1295" s="6" t="n">
        <v>644611</v>
      </c>
      <c r="R1295" s="6" t="n">
        <v>375479810</v>
      </c>
      <c r="S1295" s="11" t="s">
        <v>238</v>
      </c>
      <c r="T1295" s="11" t="s">
        <v>239</v>
      </c>
      <c r="U1295" s="5" t="s">
        <v>240</v>
      </c>
      <c r="V1295" s="11" t="s">
        <v>261</v>
      </c>
      <c r="W1295" s="5" t="s">
        <v>205</v>
      </c>
      <c r="X1295" s="5" t="s">
        <v>255</v>
      </c>
      <c r="Y1295" s="5"/>
      <c r="Z1295" s="5"/>
      <c r="AA1295" s="11" t="s">
        <v>167</v>
      </c>
      <c r="AB1295" s="5" t="s">
        <v>245</v>
      </c>
      <c r="AC1295" s="5"/>
      <c r="AD1295" s="11" t="s">
        <v>3234</v>
      </c>
      <c r="AE1295" s="23" t="n">
        <v>0.4</v>
      </c>
      <c r="AF1295" s="23" t="n">
        <v>0</v>
      </c>
      <c r="AG1295" s="23" t="n">
        <v>1</v>
      </c>
      <c r="AH1295" s="23" t="n">
        <v>1</v>
      </c>
      <c r="AI1295" s="23" t="n">
        <v>1</v>
      </c>
      <c r="AJ1295" s="23" t="n">
        <v>0.6092</v>
      </c>
      <c r="AK1295" s="23" t="n">
        <v>0.5</v>
      </c>
      <c r="AL1295" s="23" t="n">
        <v>0.3</v>
      </c>
      <c r="AM1295" s="16" t="n">
        <f aca="false">COUNTIFS($D$2:$D$2501,D1295,$G$2:$G$2501,"&gt;"&amp;G1295)+COUNTIFS($D$2:D1295,D1295,$G$2:G1295,G1295)</f>
        <v>56</v>
      </c>
      <c r="AN1295" s="5" t="str">
        <f aca="false">D1295&amp;"|"&amp;AM1295</f>
        <v>文件與影像辨識|56</v>
      </c>
    </row>
    <row r="1296" customFormat="false" ht="17.15" hidden="false" customHeight="false" outlineLevel="0" collapsed="false">
      <c r="A1296" s="16" t="n">
        <f aca="false">RANK(G1296,$G$2:$G$2501)+COUNTIF($G$2:G1296,G1296)-1</f>
        <v>1295</v>
      </c>
      <c r="B1296" s="11" t="s">
        <v>3235</v>
      </c>
      <c r="C1296" s="11" t="s">
        <v>3236</v>
      </c>
      <c r="D1296" s="5" t="s">
        <v>56</v>
      </c>
      <c r="E1296" s="5" t="s">
        <v>57</v>
      </c>
      <c r="F1296" s="5"/>
      <c r="G1296" s="22" t="n">
        <f aca="false">ROUND(SUM(I1296:P1296),3)</f>
        <v>62.084</v>
      </c>
      <c r="H1296" s="5" t="str">
        <f aca="false">IF(G1296&gt;=評分方法!$C$16,"優先評估",IF(G1296&gt;=評分方法!$C$17,"列入候選",IF(G1296&gt;=評分方法!$C$18,"特定情境","不建議")))</f>
        <v>特定情境</v>
      </c>
      <c r="I1296" s="15" t="n">
        <f aca="false">AE1296*評分方法!$C$5</f>
        <v>25.5</v>
      </c>
      <c r="J1296" s="15" t="n">
        <f aca="false">AF1296*評分方法!$C$6</f>
        <v>0</v>
      </c>
      <c r="K1296" s="15" t="n">
        <f aca="false">AG1296*評分方法!$C$7</f>
        <v>4.95</v>
      </c>
      <c r="L1296" s="15" t="n">
        <f aca="false">AH1296*評分方法!$C$8</f>
        <v>13.05</v>
      </c>
      <c r="M1296" s="15" t="n">
        <f aca="false">AI1296*評分方法!$C$9</f>
        <v>10</v>
      </c>
      <c r="N1296" s="15" t="n">
        <f aca="false">AJ1296*評分方法!$C$10</f>
        <v>7.584</v>
      </c>
      <c r="O1296" s="15" t="n">
        <f aca="false">AK1296*評分方法!$C$11</f>
        <v>1</v>
      </c>
      <c r="P1296" s="15" t="n">
        <f aca="false">AL1296*評分方法!$C$12</f>
        <v>0</v>
      </c>
      <c r="Q1296" s="6" t="n">
        <v>1208442</v>
      </c>
      <c r="R1296" s="6" t="n">
        <v>4762310656</v>
      </c>
      <c r="S1296" s="11" t="s">
        <v>254</v>
      </c>
      <c r="T1296" s="11" t="s">
        <v>239</v>
      </c>
      <c r="U1296" s="5" t="s">
        <v>240</v>
      </c>
      <c r="V1296" s="11" t="s">
        <v>261</v>
      </c>
      <c r="W1296" s="5" t="s">
        <v>334</v>
      </c>
      <c r="X1296" s="5" t="s">
        <v>242</v>
      </c>
      <c r="Y1296" s="5"/>
      <c r="Z1296" s="5"/>
      <c r="AA1296" s="11" t="s">
        <v>155</v>
      </c>
      <c r="AB1296" s="5" t="s">
        <v>245</v>
      </c>
      <c r="AC1296" s="5"/>
      <c r="AD1296" s="11" t="s">
        <v>3237</v>
      </c>
      <c r="AE1296" s="23" t="n">
        <v>0.85</v>
      </c>
      <c r="AF1296" s="23" t="n">
        <v>0</v>
      </c>
      <c r="AG1296" s="23" t="n">
        <v>0.33</v>
      </c>
      <c r="AH1296" s="23" t="n">
        <v>0.87</v>
      </c>
      <c r="AI1296" s="23" t="n">
        <v>1</v>
      </c>
      <c r="AJ1296" s="23" t="n">
        <v>0.7584</v>
      </c>
      <c r="AK1296" s="23" t="n">
        <v>0.2</v>
      </c>
      <c r="AL1296" s="23" t="n">
        <v>0</v>
      </c>
      <c r="AM1296" s="16" t="n">
        <f aca="false">COUNTIFS($D$2:$D$2501,D1296,$G$2:$G$2501,"&gt;"&amp;G1296)+COUNTIFS($D$2:D1296,D1296,$G$2:G1296,G1296)</f>
        <v>589</v>
      </c>
      <c r="AN1296" s="5" t="str">
        <f aca="false">D1296&amp;"|"&amp;AM1296</f>
        <v>分析與報告生成|589</v>
      </c>
    </row>
    <row r="1297" customFormat="false" ht="17.15" hidden="false" customHeight="false" outlineLevel="0" collapsed="false">
      <c r="A1297" s="16" t="n">
        <f aca="false">RANK(G1297,$G$2:$G$2501)+COUNTIF($G$2:G1297,G1297)-1</f>
        <v>1296</v>
      </c>
      <c r="B1297" s="11" t="s">
        <v>3238</v>
      </c>
      <c r="C1297" s="11" t="s">
        <v>2693</v>
      </c>
      <c r="D1297" s="5" t="s">
        <v>74</v>
      </c>
      <c r="E1297" s="5" t="s">
        <v>75</v>
      </c>
      <c r="F1297" s="5"/>
      <c r="G1297" s="22" t="n">
        <f aca="false">ROUND(SUM(I1297:P1297),3)</f>
        <v>62.06</v>
      </c>
      <c r="H1297" s="5" t="str">
        <f aca="false">IF(G1297&gt;=評分方法!$C$16,"優先評估",IF(G1297&gt;=評分方法!$C$17,"列入候選",IF(G1297&gt;=評分方法!$C$18,"特定情境","不建議")))</f>
        <v>特定情境</v>
      </c>
      <c r="I1297" s="15" t="n">
        <f aca="false">AE1297*評分方法!$C$5</f>
        <v>10.5</v>
      </c>
      <c r="J1297" s="15" t="n">
        <f aca="false">AF1297*評分方法!$C$6</f>
        <v>0</v>
      </c>
      <c r="K1297" s="15" t="n">
        <f aca="false">AG1297*評分方法!$C$7</f>
        <v>15</v>
      </c>
      <c r="L1297" s="15" t="n">
        <f aca="false">AH1297*評分方法!$C$8</f>
        <v>15</v>
      </c>
      <c r="M1297" s="15" t="n">
        <f aca="false">AI1297*評分方法!$C$9</f>
        <v>10</v>
      </c>
      <c r="N1297" s="15" t="n">
        <f aca="false">AJ1297*評分方法!$C$10</f>
        <v>7.56</v>
      </c>
      <c r="O1297" s="15" t="n">
        <f aca="false">AK1297*評分方法!$C$11</f>
        <v>2.5</v>
      </c>
      <c r="P1297" s="15" t="n">
        <f aca="false">AL1297*評分方法!$C$12</f>
        <v>1.5</v>
      </c>
      <c r="Q1297" s="6" t="n">
        <v>1197773</v>
      </c>
      <c r="R1297" s="6" t="n">
        <v>9177562</v>
      </c>
      <c r="S1297" s="11" t="s">
        <v>238</v>
      </c>
      <c r="T1297" s="11" t="s">
        <v>239</v>
      </c>
      <c r="U1297" s="5" t="s">
        <v>240</v>
      </c>
      <c r="V1297" s="11" t="s">
        <v>324</v>
      </c>
      <c r="W1297" s="5" t="s">
        <v>205</v>
      </c>
      <c r="X1297" s="5" t="s">
        <v>255</v>
      </c>
      <c r="Y1297" s="5"/>
      <c r="Z1297" s="5"/>
      <c r="AA1297" s="11" t="s">
        <v>172</v>
      </c>
      <c r="AB1297" s="5" t="s">
        <v>245</v>
      </c>
      <c r="AC1297" s="5"/>
      <c r="AD1297" s="11" t="s">
        <v>3239</v>
      </c>
      <c r="AE1297" s="23" t="n">
        <v>0.35</v>
      </c>
      <c r="AF1297" s="23" t="n">
        <v>0</v>
      </c>
      <c r="AG1297" s="23" t="n">
        <v>1</v>
      </c>
      <c r="AH1297" s="23" t="n">
        <v>1</v>
      </c>
      <c r="AI1297" s="23" t="n">
        <v>1</v>
      </c>
      <c r="AJ1297" s="23" t="n">
        <v>0.756</v>
      </c>
      <c r="AK1297" s="23" t="n">
        <v>0.5</v>
      </c>
      <c r="AL1297" s="23" t="n">
        <v>0.3</v>
      </c>
      <c r="AM1297" s="16" t="n">
        <f aca="false">COUNTIFS($D$2:$D$2501,D1297,$G$2:$G$2501,"&gt;"&amp;G1297)+COUNTIFS($D$2:D1297,D1297,$G$2:G1297,G1297)</f>
        <v>57</v>
      </c>
      <c r="AN1297" s="5" t="str">
        <f aca="false">D1297&amp;"|"&amp;AM1297</f>
        <v>文件與影像辨識|57</v>
      </c>
    </row>
    <row r="1298" customFormat="false" ht="17.15" hidden="false" customHeight="false" outlineLevel="0" collapsed="false">
      <c r="A1298" s="16" t="n">
        <f aca="false">RANK(G1298,$G$2:$G$2501)+COUNTIF($G$2:G1298,G1298)-1</f>
        <v>1297</v>
      </c>
      <c r="B1298" s="11" t="s">
        <v>3240</v>
      </c>
      <c r="C1298" s="11" t="s">
        <v>1388</v>
      </c>
      <c r="D1298" s="5" t="s">
        <v>56</v>
      </c>
      <c r="E1298" s="5" t="s">
        <v>57</v>
      </c>
      <c r="F1298" s="5"/>
      <c r="G1298" s="22" t="n">
        <f aca="false">ROUND(SUM(I1298:P1298),3)</f>
        <v>62.06</v>
      </c>
      <c r="H1298" s="5" t="str">
        <f aca="false">IF(G1298&gt;=評分方法!$C$16,"優先評估",IF(G1298&gt;=評分方法!$C$17,"列入候選",IF(G1298&gt;=評分方法!$C$18,"特定情境","不建議")))</f>
        <v>特定情境</v>
      </c>
      <c r="I1298" s="15" t="n">
        <f aca="false">AE1298*評分方法!$C$5</f>
        <v>25.5</v>
      </c>
      <c r="J1298" s="15" t="n">
        <f aca="false">AF1298*評分方法!$C$6</f>
        <v>0</v>
      </c>
      <c r="K1298" s="15" t="n">
        <f aca="false">AG1298*評分方法!$C$7</f>
        <v>10.05</v>
      </c>
      <c r="L1298" s="15" t="n">
        <f aca="false">AH1298*評分方法!$C$8</f>
        <v>13.05</v>
      </c>
      <c r="M1298" s="15" t="n">
        <f aca="false">AI1298*評分方法!$C$9</f>
        <v>10</v>
      </c>
      <c r="N1298" s="15" t="n">
        <f aca="false">AJ1298*評分方法!$C$10</f>
        <v>2.46</v>
      </c>
      <c r="O1298" s="15" t="n">
        <f aca="false">AK1298*評分方法!$C$11</f>
        <v>1</v>
      </c>
      <c r="P1298" s="15" t="n">
        <f aca="false">AL1298*評分方法!$C$12</f>
        <v>0</v>
      </c>
      <c r="Q1298" s="6" t="n">
        <v>247531</v>
      </c>
      <c r="R1298" s="6" t="n">
        <v>1100060672</v>
      </c>
      <c r="S1298" s="11" t="s">
        <v>254</v>
      </c>
      <c r="T1298" s="11" t="s">
        <v>239</v>
      </c>
      <c r="U1298" s="5" t="s">
        <v>240</v>
      </c>
      <c r="V1298" s="11" t="s">
        <v>333</v>
      </c>
      <c r="W1298" s="5" t="s">
        <v>207</v>
      </c>
      <c r="X1298" s="5" t="s">
        <v>242</v>
      </c>
      <c r="Y1298" s="11" t="s">
        <v>1558</v>
      </c>
      <c r="Z1298" s="11" t="s">
        <v>244</v>
      </c>
      <c r="AA1298" s="11" t="s">
        <v>155</v>
      </c>
      <c r="AB1298" s="5" t="s">
        <v>496</v>
      </c>
      <c r="AC1298" s="5" t="s">
        <v>555</v>
      </c>
      <c r="AD1298" s="11" t="s">
        <v>3241</v>
      </c>
      <c r="AE1298" s="23" t="n">
        <v>0.85</v>
      </c>
      <c r="AF1298" s="23" t="n">
        <v>0</v>
      </c>
      <c r="AG1298" s="23" t="n">
        <v>0.67</v>
      </c>
      <c r="AH1298" s="23" t="n">
        <v>0.87</v>
      </c>
      <c r="AI1298" s="23" t="n">
        <v>1</v>
      </c>
      <c r="AJ1298" s="23" t="n">
        <v>0.246</v>
      </c>
      <c r="AK1298" s="23" t="n">
        <v>0.2</v>
      </c>
      <c r="AL1298" s="23" t="n">
        <v>0</v>
      </c>
      <c r="AM1298" s="16" t="n">
        <f aca="false">COUNTIFS($D$2:$D$2501,D1298,$G$2:$G$2501,"&gt;"&amp;G1298)+COUNTIFS($D$2:D1298,D1298,$G$2:G1298,G1298)</f>
        <v>590</v>
      </c>
      <c r="AN1298" s="5" t="str">
        <f aca="false">D1298&amp;"|"&amp;AM1298</f>
        <v>分析與報告生成|590</v>
      </c>
    </row>
    <row r="1299" customFormat="false" ht="17.15" hidden="false" customHeight="false" outlineLevel="0" collapsed="false">
      <c r="A1299" s="16" t="n">
        <f aca="false">RANK(G1299,$G$2:$G$2501)+COUNTIF($G$2:G1299,G1299)-1</f>
        <v>1298</v>
      </c>
      <c r="B1299" s="11" t="s">
        <v>3242</v>
      </c>
      <c r="C1299" s="11" t="s">
        <v>2693</v>
      </c>
      <c r="D1299" s="5" t="s">
        <v>74</v>
      </c>
      <c r="E1299" s="5" t="s">
        <v>75</v>
      </c>
      <c r="F1299" s="5"/>
      <c r="G1299" s="22" t="n">
        <f aca="false">ROUND(SUM(I1299:P1299),3)</f>
        <v>62.056</v>
      </c>
      <c r="H1299" s="5" t="str">
        <f aca="false">IF(G1299&gt;=評分方法!$C$16,"優先評估",IF(G1299&gt;=評分方法!$C$17,"列入候選",IF(G1299&gt;=評分方法!$C$18,"特定情境","不建議")))</f>
        <v>特定情境</v>
      </c>
      <c r="I1299" s="15" t="n">
        <f aca="false">AE1299*評分方法!$C$5</f>
        <v>10.5</v>
      </c>
      <c r="J1299" s="15" t="n">
        <f aca="false">AF1299*評分方法!$C$6</f>
        <v>0</v>
      </c>
      <c r="K1299" s="15" t="n">
        <f aca="false">AG1299*評分方法!$C$7</f>
        <v>15</v>
      </c>
      <c r="L1299" s="15" t="n">
        <f aca="false">AH1299*評分方法!$C$8</f>
        <v>15</v>
      </c>
      <c r="M1299" s="15" t="n">
        <f aca="false">AI1299*評分方法!$C$9</f>
        <v>10</v>
      </c>
      <c r="N1299" s="15" t="n">
        <f aca="false">AJ1299*評分方法!$C$10</f>
        <v>7.556</v>
      </c>
      <c r="O1299" s="15" t="n">
        <f aca="false">AK1299*評分方法!$C$11</f>
        <v>2.5</v>
      </c>
      <c r="P1299" s="15" t="n">
        <f aca="false">AL1299*評分方法!$C$12</f>
        <v>1.5</v>
      </c>
      <c r="Q1299" s="6" t="n">
        <v>1193347</v>
      </c>
      <c r="R1299" s="6" t="n">
        <v>5507432</v>
      </c>
      <c r="S1299" s="11" t="s">
        <v>238</v>
      </c>
      <c r="T1299" s="11" t="s">
        <v>239</v>
      </c>
      <c r="U1299" s="5" t="s">
        <v>240</v>
      </c>
      <c r="V1299" s="11" t="s">
        <v>324</v>
      </c>
      <c r="W1299" s="5" t="s">
        <v>205</v>
      </c>
      <c r="X1299" s="5" t="s">
        <v>255</v>
      </c>
      <c r="Y1299" s="5"/>
      <c r="Z1299" s="5"/>
      <c r="AA1299" s="11" t="s">
        <v>172</v>
      </c>
      <c r="AB1299" s="5" t="s">
        <v>245</v>
      </c>
      <c r="AC1299" s="5"/>
      <c r="AD1299" s="11" t="s">
        <v>3243</v>
      </c>
      <c r="AE1299" s="23" t="n">
        <v>0.35</v>
      </c>
      <c r="AF1299" s="23" t="n">
        <v>0</v>
      </c>
      <c r="AG1299" s="23" t="n">
        <v>1</v>
      </c>
      <c r="AH1299" s="23" t="n">
        <v>1</v>
      </c>
      <c r="AI1299" s="23" t="n">
        <v>1</v>
      </c>
      <c r="AJ1299" s="23" t="n">
        <v>0.7556</v>
      </c>
      <c r="AK1299" s="23" t="n">
        <v>0.5</v>
      </c>
      <c r="AL1299" s="23" t="n">
        <v>0.3</v>
      </c>
      <c r="AM1299" s="16" t="n">
        <f aca="false">COUNTIFS($D$2:$D$2501,D1299,$G$2:$G$2501,"&gt;"&amp;G1299)+COUNTIFS($D$2:D1299,D1299,$G$2:G1299,G1299)</f>
        <v>58</v>
      </c>
      <c r="AN1299" s="5" t="str">
        <f aca="false">D1299&amp;"|"&amp;AM1299</f>
        <v>文件與影像辨識|58</v>
      </c>
    </row>
    <row r="1300" customFormat="false" ht="17.15" hidden="false" customHeight="false" outlineLevel="0" collapsed="false">
      <c r="A1300" s="16" t="n">
        <f aca="false">RANK(G1300,$G$2:$G$2501)+COUNTIF($G$2:G1300,G1300)-1</f>
        <v>1299</v>
      </c>
      <c r="B1300" s="11" t="s">
        <v>3244</v>
      </c>
      <c r="C1300" s="11" t="s">
        <v>1325</v>
      </c>
      <c r="D1300" s="5" t="s">
        <v>54</v>
      </c>
      <c r="E1300" s="5" t="s">
        <v>55</v>
      </c>
      <c r="F1300" s="5"/>
      <c r="G1300" s="22" t="n">
        <f aca="false">ROUND(SUM(I1300:P1300),3)</f>
        <v>61.98</v>
      </c>
      <c r="H1300" s="5" t="str">
        <f aca="false">IF(G1300&gt;=評分方法!$C$16,"優先評估",IF(G1300&gt;=評分方法!$C$17,"列入候選",IF(G1300&gt;=評分方法!$C$18,"特定情境","不建議")))</f>
        <v>特定情境</v>
      </c>
      <c r="I1300" s="15" t="n">
        <f aca="false">AE1300*評分方法!$C$5</f>
        <v>27</v>
      </c>
      <c r="J1300" s="15" t="n">
        <f aca="false">AF1300*評分方法!$C$6</f>
        <v>0</v>
      </c>
      <c r="K1300" s="15" t="n">
        <f aca="false">AG1300*評分方法!$C$7</f>
        <v>10.05</v>
      </c>
      <c r="L1300" s="15" t="n">
        <f aca="false">AH1300*評分方法!$C$8</f>
        <v>7.05</v>
      </c>
      <c r="M1300" s="15" t="n">
        <f aca="false">AI1300*評分方法!$C$9</f>
        <v>6</v>
      </c>
      <c r="N1300" s="15" t="n">
        <f aca="false">AJ1300*評分方法!$C$10</f>
        <v>7.88</v>
      </c>
      <c r="O1300" s="15" t="n">
        <f aca="false">AK1300*評分方法!$C$11</f>
        <v>2.5</v>
      </c>
      <c r="P1300" s="15" t="n">
        <f aca="false">AL1300*評分方法!$C$12</f>
        <v>1.5</v>
      </c>
      <c r="Q1300" s="6" t="n">
        <v>1458330</v>
      </c>
      <c r="R1300" s="6"/>
      <c r="S1300" s="5" t="s">
        <v>255</v>
      </c>
      <c r="T1300" s="11" t="s">
        <v>658</v>
      </c>
      <c r="U1300" s="5" t="s">
        <v>260</v>
      </c>
      <c r="V1300" s="11" t="s">
        <v>514</v>
      </c>
      <c r="W1300" s="5" t="s">
        <v>207</v>
      </c>
      <c r="X1300" s="5" t="s">
        <v>255</v>
      </c>
      <c r="Y1300" s="11" t="s">
        <v>672</v>
      </c>
      <c r="Z1300" s="11" t="s">
        <v>244</v>
      </c>
      <c r="AA1300" s="11" t="s">
        <v>152</v>
      </c>
      <c r="AB1300" s="5" t="s">
        <v>245</v>
      </c>
      <c r="AC1300" s="5" t="s">
        <v>464</v>
      </c>
      <c r="AD1300" s="11" t="s">
        <v>3245</v>
      </c>
      <c r="AE1300" s="23" t="n">
        <v>0.9</v>
      </c>
      <c r="AF1300" s="23" t="n">
        <v>0</v>
      </c>
      <c r="AG1300" s="23" t="n">
        <v>0.67</v>
      </c>
      <c r="AH1300" s="23" t="n">
        <v>0.47</v>
      </c>
      <c r="AI1300" s="23" t="n">
        <v>0.6</v>
      </c>
      <c r="AJ1300" s="23" t="n">
        <v>0.788</v>
      </c>
      <c r="AK1300" s="23" t="n">
        <v>0.5</v>
      </c>
      <c r="AL1300" s="23" t="n">
        <v>0.3</v>
      </c>
      <c r="AM1300" s="16" t="n">
        <f aca="false">COUNTIFS($D$2:$D$2501,D1300,$G$2:$G$2501,"&gt;"&amp;G1300)+COUNTIFS($D$2:D1300,D1300,$G$2:G1300,G1300)</f>
        <v>183</v>
      </c>
      <c r="AN1300" s="5" t="str">
        <f aca="false">D1300&amp;"|"&amp;AM1300</f>
        <v>檢索與情資關聯|183</v>
      </c>
    </row>
    <row r="1301" customFormat="false" ht="17.15" hidden="false" customHeight="false" outlineLevel="0" collapsed="false">
      <c r="A1301" s="16" t="n">
        <f aca="false">RANK(G1301,$G$2:$G$2501)+COUNTIF($G$2:G1301,G1301)-1</f>
        <v>1300</v>
      </c>
      <c r="B1301" s="11" t="s">
        <v>3246</v>
      </c>
      <c r="C1301" s="11" t="s">
        <v>2693</v>
      </c>
      <c r="D1301" s="5" t="s">
        <v>74</v>
      </c>
      <c r="E1301" s="5" t="s">
        <v>75</v>
      </c>
      <c r="F1301" s="5"/>
      <c r="G1301" s="22" t="n">
        <f aca="false">ROUND(SUM(I1301:P1301),3)</f>
        <v>61.968</v>
      </c>
      <c r="H1301" s="5" t="str">
        <f aca="false">IF(G1301&gt;=評分方法!$C$16,"優先評估",IF(G1301&gt;=評分方法!$C$17,"列入候選",IF(G1301&gt;=評分方法!$C$18,"特定情境","不建議")))</f>
        <v>特定情境</v>
      </c>
      <c r="I1301" s="15" t="n">
        <f aca="false">AE1301*評分方法!$C$5</f>
        <v>10.5</v>
      </c>
      <c r="J1301" s="15" t="n">
        <f aca="false">AF1301*評分方法!$C$6</f>
        <v>0</v>
      </c>
      <c r="K1301" s="15" t="n">
        <f aca="false">AG1301*評分方法!$C$7</f>
        <v>15</v>
      </c>
      <c r="L1301" s="15" t="n">
        <f aca="false">AH1301*評分方法!$C$8</f>
        <v>15</v>
      </c>
      <c r="M1301" s="15" t="n">
        <f aca="false">AI1301*評分方法!$C$9</f>
        <v>10</v>
      </c>
      <c r="N1301" s="15" t="n">
        <f aca="false">AJ1301*評分方法!$C$10</f>
        <v>7.468</v>
      </c>
      <c r="O1301" s="15" t="n">
        <f aca="false">AK1301*評分方法!$C$11</f>
        <v>2.5</v>
      </c>
      <c r="P1301" s="15" t="n">
        <f aca="false">AL1301*評分方法!$C$12</f>
        <v>1.5</v>
      </c>
      <c r="Q1301" s="6" t="n">
        <v>1137083</v>
      </c>
      <c r="R1301" s="6" t="n">
        <v>88591464</v>
      </c>
      <c r="S1301" s="11" t="s">
        <v>238</v>
      </c>
      <c r="T1301" s="11" t="s">
        <v>239</v>
      </c>
      <c r="U1301" s="5" t="s">
        <v>240</v>
      </c>
      <c r="V1301" s="11" t="s">
        <v>324</v>
      </c>
      <c r="W1301" s="5" t="s">
        <v>205</v>
      </c>
      <c r="X1301" s="5" t="s">
        <v>255</v>
      </c>
      <c r="Y1301" s="5"/>
      <c r="Z1301" s="5"/>
      <c r="AA1301" s="11" t="s">
        <v>172</v>
      </c>
      <c r="AB1301" s="5" t="s">
        <v>245</v>
      </c>
      <c r="AC1301" s="5"/>
      <c r="AD1301" s="11" t="s">
        <v>3247</v>
      </c>
      <c r="AE1301" s="23" t="n">
        <v>0.35</v>
      </c>
      <c r="AF1301" s="23" t="n">
        <v>0</v>
      </c>
      <c r="AG1301" s="23" t="n">
        <v>1</v>
      </c>
      <c r="AH1301" s="23" t="n">
        <v>1</v>
      </c>
      <c r="AI1301" s="23" t="n">
        <v>1</v>
      </c>
      <c r="AJ1301" s="23" t="n">
        <v>0.7468</v>
      </c>
      <c r="AK1301" s="23" t="n">
        <v>0.5</v>
      </c>
      <c r="AL1301" s="23" t="n">
        <v>0.3</v>
      </c>
      <c r="AM1301" s="16" t="n">
        <f aca="false">COUNTIFS($D$2:$D$2501,D1301,$G$2:$G$2501,"&gt;"&amp;G1301)+COUNTIFS($D$2:D1301,D1301,$G$2:G1301,G1301)</f>
        <v>59</v>
      </c>
      <c r="AN1301" s="5" t="str">
        <f aca="false">D1301&amp;"|"&amp;AM1301</f>
        <v>文件與影像辨識|59</v>
      </c>
    </row>
    <row r="1302" customFormat="false" ht="17.15" hidden="false" customHeight="false" outlineLevel="0" collapsed="false">
      <c r="A1302" s="16" t="n">
        <f aca="false">RANK(G1302,$G$2:$G$2501)+COUNTIF($G$2:G1302,G1302)-1</f>
        <v>1301</v>
      </c>
      <c r="B1302" s="11" t="s">
        <v>3248</v>
      </c>
      <c r="C1302" s="11" t="s">
        <v>3249</v>
      </c>
      <c r="D1302" s="5" t="s">
        <v>56</v>
      </c>
      <c r="E1302" s="5" t="s">
        <v>57</v>
      </c>
      <c r="F1302" s="5"/>
      <c r="G1302" s="22" t="n">
        <f aca="false">ROUND(SUM(I1302:P1302),3)</f>
        <v>61.932</v>
      </c>
      <c r="H1302" s="5" t="str">
        <f aca="false">IF(G1302&gt;=評分方法!$C$16,"優先評估",IF(G1302&gt;=評分方法!$C$17,"列入候選",IF(G1302&gt;=評分方法!$C$18,"特定情境","不建議")))</f>
        <v>特定情境</v>
      </c>
      <c r="I1302" s="15" t="n">
        <f aca="false">AE1302*評分方法!$C$5</f>
        <v>25.5</v>
      </c>
      <c r="J1302" s="15" t="n">
        <f aca="false">AF1302*評分方法!$C$6</f>
        <v>0</v>
      </c>
      <c r="K1302" s="15" t="n">
        <f aca="false">AG1302*評分方法!$C$7</f>
        <v>4.95</v>
      </c>
      <c r="L1302" s="15" t="n">
        <f aca="false">AH1302*評分方法!$C$8</f>
        <v>13.05</v>
      </c>
      <c r="M1302" s="15" t="n">
        <f aca="false">AI1302*評分方法!$C$9</f>
        <v>6</v>
      </c>
      <c r="N1302" s="15" t="n">
        <f aca="false">AJ1302*評分方法!$C$10</f>
        <v>8.432</v>
      </c>
      <c r="O1302" s="15" t="n">
        <f aca="false">AK1302*評分方法!$C$11</f>
        <v>1</v>
      </c>
      <c r="P1302" s="15" t="n">
        <f aca="false">AL1302*評分方法!$C$12</f>
        <v>3</v>
      </c>
      <c r="Q1302" s="6" t="n">
        <v>2085620</v>
      </c>
      <c r="R1302" s="6" t="n">
        <v>6738546688</v>
      </c>
      <c r="S1302" s="11" t="s">
        <v>254</v>
      </c>
      <c r="T1302" s="11" t="s">
        <v>1153</v>
      </c>
      <c r="U1302" s="5" t="s">
        <v>260</v>
      </c>
      <c r="V1302" s="11" t="s">
        <v>324</v>
      </c>
      <c r="W1302" s="5" t="s">
        <v>334</v>
      </c>
      <c r="X1302" s="5" t="s">
        <v>371</v>
      </c>
      <c r="Y1302" s="5"/>
      <c r="Z1302" s="5"/>
      <c r="AA1302" s="11" t="s">
        <v>155</v>
      </c>
      <c r="AB1302" s="5" t="s">
        <v>245</v>
      </c>
      <c r="AC1302" s="5" t="s">
        <v>262</v>
      </c>
      <c r="AD1302" s="11" t="s">
        <v>3250</v>
      </c>
      <c r="AE1302" s="23" t="n">
        <v>0.85</v>
      </c>
      <c r="AF1302" s="23" t="n">
        <v>0</v>
      </c>
      <c r="AG1302" s="23" t="n">
        <v>0.33</v>
      </c>
      <c r="AH1302" s="23" t="n">
        <v>0.87</v>
      </c>
      <c r="AI1302" s="23" t="n">
        <v>0.6</v>
      </c>
      <c r="AJ1302" s="23" t="n">
        <v>0.8432</v>
      </c>
      <c r="AK1302" s="23" t="n">
        <v>0.2</v>
      </c>
      <c r="AL1302" s="23" t="n">
        <v>0.6</v>
      </c>
      <c r="AM1302" s="16" t="n">
        <f aca="false">COUNTIFS($D$2:$D$2501,D1302,$G$2:$G$2501,"&gt;"&amp;G1302)+COUNTIFS($D$2:D1302,D1302,$G$2:G1302,G1302)</f>
        <v>591</v>
      </c>
      <c r="AN1302" s="5" t="str">
        <f aca="false">D1302&amp;"|"&amp;AM1302</f>
        <v>分析與報告生成|591</v>
      </c>
    </row>
    <row r="1303" customFormat="false" ht="17.15" hidden="false" customHeight="false" outlineLevel="0" collapsed="false">
      <c r="A1303" s="16" t="n">
        <f aca="false">RANK(G1303,$G$2:$G$2501)+COUNTIF($G$2:G1303,G1303)-1</f>
        <v>1302</v>
      </c>
      <c r="B1303" s="11" t="s">
        <v>3251</v>
      </c>
      <c r="C1303" s="11" t="s">
        <v>3252</v>
      </c>
      <c r="D1303" s="5" t="s">
        <v>56</v>
      </c>
      <c r="E1303" s="5" t="s">
        <v>57</v>
      </c>
      <c r="F1303" s="5"/>
      <c r="G1303" s="22" t="n">
        <f aca="false">ROUND(SUM(I1303:P1303),3)</f>
        <v>61.932</v>
      </c>
      <c r="H1303" s="5" t="str">
        <f aca="false">IF(G1303&gt;=評分方法!$C$16,"優先評估",IF(G1303&gt;=評分方法!$C$17,"列入候選",IF(G1303&gt;=評分方法!$C$18,"特定情境","不建議")))</f>
        <v>特定情境</v>
      </c>
      <c r="I1303" s="15" t="n">
        <f aca="false">AE1303*評分方法!$C$5</f>
        <v>25.5</v>
      </c>
      <c r="J1303" s="15" t="n">
        <f aca="false">AF1303*評分方法!$C$6</f>
        <v>0</v>
      </c>
      <c r="K1303" s="15" t="n">
        <f aca="false">AG1303*評分方法!$C$7</f>
        <v>4.95</v>
      </c>
      <c r="L1303" s="15" t="n">
        <f aca="false">AH1303*評分方法!$C$8</f>
        <v>13.05</v>
      </c>
      <c r="M1303" s="15" t="n">
        <f aca="false">AI1303*評分方法!$C$9</f>
        <v>6</v>
      </c>
      <c r="N1303" s="15" t="n">
        <f aca="false">AJ1303*評分方法!$C$10</f>
        <v>7.432</v>
      </c>
      <c r="O1303" s="15" t="n">
        <f aca="false">AK1303*評分方法!$C$11</f>
        <v>5</v>
      </c>
      <c r="P1303" s="15" t="n">
        <f aca="false">AL1303*評分方法!$C$12</f>
        <v>0</v>
      </c>
      <c r="Q1303" s="6" t="n">
        <v>1119803</v>
      </c>
      <c r="R1303" s="6" t="n">
        <v>7941100874</v>
      </c>
      <c r="S1303" s="11" t="s">
        <v>254</v>
      </c>
      <c r="T1303" s="11" t="s">
        <v>658</v>
      </c>
      <c r="U1303" s="5" t="s">
        <v>260</v>
      </c>
      <c r="V1303" s="11" t="s">
        <v>261</v>
      </c>
      <c r="W1303" s="5" t="s">
        <v>334</v>
      </c>
      <c r="X1303" s="5" t="s">
        <v>242</v>
      </c>
      <c r="Y1303" s="5"/>
      <c r="Z1303" s="5"/>
      <c r="AA1303" s="11" t="s">
        <v>155</v>
      </c>
      <c r="AB1303" s="5" t="s">
        <v>245</v>
      </c>
      <c r="AC1303" s="5" t="s">
        <v>262</v>
      </c>
      <c r="AD1303" s="11" t="s">
        <v>3253</v>
      </c>
      <c r="AE1303" s="23" t="n">
        <v>0.85</v>
      </c>
      <c r="AF1303" s="23" t="n">
        <v>0</v>
      </c>
      <c r="AG1303" s="23" t="n">
        <v>0.33</v>
      </c>
      <c r="AH1303" s="23" t="n">
        <v>0.87</v>
      </c>
      <c r="AI1303" s="23" t="n">
        <v>0.6</v>
      </c>
      <c r="AJ1303" s="23" t="n">
        <v>0.7432</v>
      </c>
      <c r="AK1303" s="23" t="n">
        <v>1</v>
      </c>
      <c r="AL1303" s="23" t="n">
        <v>0</v>
      </c>
      <c r="AM1303" s="16" t="n">
        <f aca="false">COUNTIFS($D$2:$D$2501,D1303,$G$2:$G$2501,"&gt;"&amp;G1303)+COUNTIFS($D$2:D1303,D1303,$G$2:G1303,G1303)</f>
        <v>592</v>
      </c>
      <c r="AN1303" s="5" t="str">
        <f aca="false">D1303&amp;"|"&amp;AM1303</f>
        <v>分析與報告生成|592</v>
      </c>
    </row>
    <row r="1304" customFormat="false" ht="17.15" hidden="false" customHeight="false" outlineLevel="0" collapsed="false">
      <c r="A1304" s="16" t="n">
        <f aca="false">RANK(G1304,$G$2:$G$2501)+COUNTIF($G$2:G1304,G1304)-1</f>
        <v>1303</v>
      </c>
      <c r="B1304" s="11" t="s">
        <v>3254</v>
      </c>
      <c r="C1304" s="11" t="s">
        <v>1438</v>
      </c>
      <c r="D1304" s="5" t="s">
        <v>56</v>
      </c>
      <c r="E1304" s="5" t="s">
        <v>57</v>
      </c>
      <c r="F1304" s="5"/>
      <c r="G1304" s="22" t="n">
        <f aca="false">ROUND(SUM(I1304:P1304),3)</f>
        <v>61.928</v>
      </c>
      <c r="H1304" s="5" t="str">
        <f aca="false">IF(G1304&gt;=評分方法!$C$16,"優先評估",IF(G1304&gt;=評分方法!$C$17,"列入候選",IF(G1304&gt;=評分方法!$C$18,"特定情境","不建議")))</f>
        <v>特定情境</v>
      </c>
      <c r="I1304" s="15" t="n">
        <f aca="false">AE1304*評分方法!$C$5</f>
        <v>25.5</v>
      </c>
      <c r="J1304" s="15" t="n">
        <f aca="false">AF1304*評分方法!$C$6</f>
        <v>0</v>
      </c>
      <c r="K1304" s="15" t="n">
        <f aca="false">AG1304*評分方法!$C$7</f>
        <v>10.05</v>
      </c>
      <c r="L1304" s="15" t="n">
        <f aca="false">AH1304*評分方法!$C$8</f>
        <v>13.05</v>
      </c>
      <c r="M1304" s="15" t="n">
        <f aca="false">AI1304*評分方法!$C$9</f>
        <v>2</v>
      </c>
      <c r="N1304" s="15" t="n">
        <f aca="false">AJ1304*評分方法!$C$10</f>
        <v>7.328</v>
      </c>
      <c r="O1304" s="15" t="n">
        <f aca="false">AK1304*評分方法!$C$11</f>
        <v>1</v>
      </c>
      <c r="P1304" s="15" t="n">
        <f aca="false">AL1304*評分方法!$C$12</f>
        <v>3</v>
      </c>
      <c r="Q1304" s="6" t="n">
        <v>1061511</v>
      </c>
      <c r="R1304" s="6" t="n">
        <v>3821079648</v>
      </c>
      <c r="S1304" s="11" t="s">
        <v>254</v>
      </c>
      <c r="T1304" s="5"/>
      <c r="U1304" s="5" t="s">
        <v>375</v>
      </c>
      <c r="V1304" s="11" t="s">
        <v>333</v>
      </c>
      <c r="W1304" s="5" t="s">
        <v>207</v>
      </c>
      <c r="X1304" s="5" t="s">
        <v>371</v>
      </c>
      <c r="Y1304" s="11" t="s">
        <v>1530</v>
      </c>
      <c r="Z1304" s="11" t="s">
        <v>244</v>
      </c>
      <c r="AA1304" s="11" t="s">
        <v>155</v>
      </c>
      <c r="AB1304" s="5" t="s">
        <v>245</v>
      </c>
      <c r="AC1304" s="5" t="s">
        <v>464</v>
      </c>
      <c r="AD1304" s="11" t="s">
        <v>3255</v>
      </c>
      <c r="AE1304" s="23" t="n">
        <v>0.85</v>
      </c>
      <c r="AF1304" s="23" t="n">
        <v>0</v>
      </c>
      <c r="AG1304" s="23" t="n">
        <v>0.67</v>
      </c>
      <c r="AH1304" s="23" t="n">
        <v>0.87</v>
      </c>
      <c r="AI1304" s="23" t="n">
        <v>0.2</v>
      </c>
      <c r="AJ1304" s="23" t="n">
        <v>0.7328</v>
      </c>
      <c r="AK1304" s="23" t="n">
        <v>0.2</v>
      </c>
      <c r="AL1304" s="23" t="n">
        <v>0.6</v>
      </c>
      <c r="AM1304" s="16" t="n">
        <f aca="false">COUNTIFS($D$2:$D$2501,D1304,$G$2:$G$2501,"&gt;"&amp;G1304)+COUNTIFS($D$2:D1304,D1304,$G$2:G1304,G1304)</f>
        <v>593</v>
      </c>
      <c r="AN1304" s="5" t="str">
        <f aca="false">D1304&amp;"|"&amp;AM1304</f>
        <v>分析與報告生成|593</v>
      </c>
    </row>
    <row r="1305" customFormat="false" ht="17.15" hidden="false" customHeight="false" outlineLevel="0" collapsed="false">
      <c r="A1305" s="16" t="n">
        <f aca="false">RANK(G1305,$G$2:$G$2501)+COUNTIF($G$2:G1305,G1305)-1</f>
        <v>1304</v>
      </c>
      <c r="B1305" s="11" t="s">
        <v>3256</v>
      </c>
      <c r="C1305" s="11" t="s">
        <v>1550</v>
      </c>
      <c r="D1305" s="5" t="s">
        <v>74</v>
      </c>
      <c r="E1305" s="5" t="s">
        <v>75</v>
      </c>
      <c r="F1305" s="5"/>
      <c r="G1305" s="22" t="n">
        <f aca="false">ROUND(SUM(I1305:P1305),3)</f>
        <v>61.928</v>
      </c>
      <c r="H1305" s="5" t="str">
        <f aca="false">IF(G1305&gt;=評分方法!$C$16,"優先評估",IF(G1305&gt;=評分方法!$C$17,"列入候選",IF(G1305&gt;=評分方法!$C$18,"特定情境","不建議")))</f>
        <v>特定情境</v>
      </c>
      <c r="I1305" s="15" t="n">
        <f aca="false">AE1305*評分方法!$C$5</f>
        <v>13.5</v>
      </c>
      <c r="J1305" s="15" t="n">
        <f aca="false">AF1305*評分方法!$C$6</f>
        <v>0</v>
      </c>
      <c r="K1305" s="15" t="n">
        <f aca="false">AG1305*評分方法!$C$7</f>
        <v>15</v>
      </c>
      <c r="L1305" s="15" t="n">
        <f aca="false">AH1305*評分方法!$C$8</f>
        <v>15</v>
      </c>
      <c r="M1305" s="15" t="n">
        <f aca="false">AI1305*評分方法!$C$9</f>
        <v>10</v>
      </c>
      <c r="N1305" s="15" t="n">
        <f aca="false">AJ1305*評分方法!$C$10</f>
        <v>4.428</v>
      </c>
      <c r="O1305" s="15" t="n">
        <f aca="false">AK1305*評分方法!$C$11</f>
        <v>2.5</v>
      </c>
      <c r="P1305" s="15" t="n">
        <f aca="false">AL1305*評分方法!$C$12</f>
        <v>1.5</v>
      </c>
      <c r="Q1305" s="6" t="n">
        <v>482336</v>
      </c>
      <c r="R1305" s="6" t="n">
        <v>315467328</v>
      </c>
      <c r="S1305" s="11" t="s">
        <v>238</v>
      </c>
      <c r="T1305" s="11" t="s">
        <v>3257</v>
      </c>
      <c r="U1305" s="5" t="s">
        <v>240</v>
      </c>
      <c r="V1305" s="11" t="s">
        <v>261</v>
      </c>
      <c r="W1305" s="5" t="s">
        <v>205</v>
      </c>
      <c r="X1305" s="5" t="s">
        <v>255</v>
      </c>
      <c r="Y1305" s="5"/>
      <c r="Z1305" s="5"/>
      <c r="AA1305" s="11" t="s">
        <v>164</v>
      </c>
      <c r="AB1305" s="5" t="s">
        <v>343</v>
      </c>
      <c r="AC1305" s="5" t="s">
        <v>344</v>
      </c>
      <c r="AD1305" s="11" t="s">
        <v>3258</v>
      </c>
      <c r="AE1305" s="23" t="n">
        <v>0.45</v>
      </c>
      <c r="AF1305" s="23" t="n">
        <v>0</v>
      </c>
      <c r="AG1305" s="23" t="n">
        <v>1</v>
      </c>
      <c r="AH1305" s="23" t="n">
        <v>1</v>
      </c>
      <c r="AI1305" s="23" t="n">
        <v>1</v>
      </c>
      <c r="AJ1305" s="23" t="n">
        <v>0.4428</v>
      </c>
      <c r="AK1305" s="23" t="n">
        <v>0.5</v>
      </c>
      <c r="AL1305" s="23" t="n">
        <v>0.3</v>
      </c>
      <c r="AM1305" s="16" t="n">
        <f aca="false">COUNTIFS($D$2:$D$2501,D1305,$G$2:$G$2501,"&gt;"&amp;G1305)+COUNTIFS($D$2:D1305,D1305,$G$2:G1305,G1305)</f>
        <v>60</v>
      </c>
      <c r="AN1305" s="5" t="str">
        <f aca="false">D1305&amp;"|"&amp;AM1305</f>
        <v>文件與影像辨識|60</v>
      </c>
    </row>
    <row r="1306" customFormat="false" ht="17.15" hidden="false" customHeight="false" outlineLevel="0" collapsed="false">
      <c r="A1306" s="16" t="n">
        <f aca="false">RANK(G1306,$G$2:$G$2501)+COUNTIF($G$2:G1306,G1306)-1</f>
        <v>1305</v>
      </c>
      <c r="B1306" s="11" t="s">
        <v>3259</v>
      </c>
      <c r="C1306" s="11" t="s">
        <v>3260</v>
      </c>
      <c r="D1306" s="5" t="s">
        <v>58</v>
      </c>
      <c r="E1306" s="5" t="s">
        <v>59</v>
      </c>
      <c r="F1306" s="5"/>
      <c r="G1306" s="22" t="n">
        <f aca="false">ROUND(SUM(I1306:P1306),3)</f>
        <v>61.926</v>
      </c>
      <c r="H1306" s="5" t="str">
        <f aca="false">IF(G1306&gt;=評分方法!$C$16,"優先評估",IF(G1306&gt;=評分方法!$C$17,"列入候選",IF(G1306&gt;=評分方法!$C$18,"特定情境","不建議")))</f>
        <v>特定情境</v>
      </c>
      <c r="I1306" s="15" t="n">
        <f aca="false">AE1306*評分方法!$C$5</f>
        <v>28.5</v>
      </c>
      <c r="J1306" s="15" t="n">
        <f aca="false">AF1306*評分方法!$C$6</f>
        <v>0</v>
      </c>
      <c r="K1306" s="15" t="n">
        <f aca="false">AG1306*評分方法!$C$7</f>
        <v>4.95</v>
      </c>
      <c r="L1306" s="15" t="n">
        <f aca="false">AH1306*評分方法!$C$8</f>
        <v>15</v>
      </c>
      <c r="M1306" s="15" t="n">
        <f aca="false">AI1306*評分方法!$C$9</f>
        <v>10</v>
      </c>
      <c r="N1306" s="15" t="n">
        <f aca="false">AJ1306*評分方法!$C$10</f>
        <v>0.976</v>
      </c>
      <c r="O1306" s="15" t="n">
        <f aca="false">AK1306*評分方法!$C$11</f>
        <v>2.5</v>
      </c>
      <c r="P1306" s="15" t="n">
        <f aca="false">AL1306*評分方法!$C$12</f>
        <v>0</v>
      </c>
      <c r="Q1306" s="6" t="n">
        <v>152672</v>
      </c>
      <c r="R1306" s="6" t="n">
        <v>149619475</v>
      </c>
      <c r="S1306" s="11" t="s">
        <v>238</v>
      </c>
      <c r="T1306" s="11" t="s">
        <v>278</v>
      </c>
      <c r="U1306" s="5" t="s">
        <v>240</v>
      </c>
      <c r="V1306" s="11" t="s">
        <v>261</v>
      </c>
      <c r="W1306" s="5" t="s">
        <v>334</v>
      </c>
      <c r="X1306" s="5" t="s">
        <v>242</v>
      </c>
      <c r="Y1306" s="11" t="s">
        <v>350</v>
      </c>
      <c r="Z1306" s="11" t="s">
        <v>270</v>
      </c>
      <c r="AA1306" s="11" t="s">
        <v>150</v>
      </c>
      <c r="AB1306" s="5" t="s">
        <v>245</v>
      </c>
      <c r="AC1306" s="5"/>
      <c r="AD1306" s="11" t="s">
        <v>3261</v>
      </c>
      <c r="AE1306" s="23" t="n">
        <v>0.95</v>
      </c>
      <c r="AF1306" s="23" t="n">
        <v>0</v>
      </c>
      <c r="AG1306" s="23" t="n">
        <v>0.33</v>
      </c>
      <c r="AH1306" s="23" t="n">
        <v>1</v>
      </c>
      <c r="AI1306" s="23" t="n">
        <v>1</v>
      </c>
      <c r="AJ1306" s="23" t="n">
        <v>0.0976</v>
      </c>
      <c r="AK1306" s="23" t="n">
        <v>0.5</v>
      </c>
      <c r="AL1306" s="23" t="n">
        <v>0</v>
      </c>
      <c r="AM1306" s="16" t="n">
        <f aca="false">COUNTIFS($D$2:$D$2501,D1306,$G$2:$G$2501,"&gt;"&amp;G1306)+COUNTIFS($D$2:D1306,D1306,$G$2:G1306,G1306)</f>
        <v>285</v>
      </c>
      <c r="AN1306" s="5" t="str">
        <f aca="false">D1306&amp;"|"&amp;AM1306</f>
        <v>實體擷取與去識別化|285</v>
      </c>
    </row>
    <row r="1307" customFormat="false" ht="17.15" hidden="false" customHeight="false" outlineLevel="0" collapsed="false">
      <c r="A1307" s="16" t="n">
        <f aca="false">RANK(G1307,$G$2:$G$2501)+COUNTIF($G$2:G1307,G1307)-1</f>
        <v>1306</v>
      </c>
      <c r="B1307" s="11" t="s">
        <v>3262</v>
      </c>
      <c r="C1307" s="11" t="s">
        <v>681</v>
      </c>
      <c r="D1307" s="5" t="s">
        <v>74</v>
      </c>
      <c r="E1307" s="5" t="s">
        <v>75</v>
      </c>
      <c r="F1307" s="5"/>
      <c r="G1307" s="22" t="n">
        <f aca="false">ROUND(SUM(I1307:P1307),3)</f>
        <v>61.916</v>
      </c>
      <c r="H1307" s="5" t="str">
        <f aca="false">IF(G1307&gt;=評分方法!$C$16,"優先評估",IF(G1307&gt;=評分方法!$C$17,"列入候選",IF(G1307&gt;=評分方法!$C$18,"特定情境","不建議")))</f>
        <v>特定情境</v>
      </c>
      <c r="I1307" s="15" t="n">
        <f aca="false">AE1307*評分方法!$C$5</f>
        <v>10.5</v>
      </c>
      <c r="J1307" s="15" t="n">
        <f aca="false">AF1307*評分方法!$C$6</f>
        <v>0</v>
      </c>
      <c r="K1307" s="15" t="n">
        <f aca="false">AG1307*評分方法!$C$7</f>
        <v>15</v>
      </c>
      <c r="L1307" s="15" t="n">
        <f aca="false">AH1307*評分方法!$C$8</f>
        <v>15</v>
      </c>
      <c r="M1307" s="15" t="n">
        <f aca="false">AI1307*評分方法!$C$9</f>
        <v>10</v>
      </c>
      <c r="N1307" s="15" t="n">
        <f aca="false">AJ1307*評分方法!$C$10</f>
        <v>7.416</v>
      </c>
      <c r="O1307" s="15" t="n">
        <f aca="false">AK1307*評分方法!$C$11</f>
        <v>2.5</v>
      </c>
      <c r="P1307" s="15" t="n">
        <f aca="false">AL1307*評分方法!$C$12</f>
        <v>1.5</v>
      </c>
      <c r="Q1307" s="6" t="n">
        <v>1115375</v>
      </c>
      <c r="R1307" s="6" t="n">
        <v>88717800</v>
      </c>
      <c r="S1307" s="11" t="s">
        <v>238</v>
      </c>
      <c r="T1307" s="11" t="s">
        <v>239</v>
      </c>
      <c r="U1307" s="5" t="s">
        <v>240</v>
      </c>
      <c r="V1307" s="11" t="s">
        <v>324</v>
      </c>
      <c r="W1307" s="5" t="s">
        <v>205</v>
      </c>
      <c r="X1307" s="5" t="s">
        <v>255</v>
      </c>
      <c r="Y1307" s="5"/>
      <c r="Z1307" s="5"/>
      <c r="AA1307" s="11" t="s">
        <v>172</v>
      </c>
      <c r="AB1307" s="5" t="s">
        <v>245</v>
      </c>
      <c r="AC1307" s="5"/>
      <c r="AD1307" s="11" t="s">
        <v>3263</v>
      </c>
      <c r="AE1307" s="23" t="n">
        <v>0.35</v>
      </c>
      <c r="AF1307" s="23" t="n">
        <v>0</v>
      </c>
      <c r="AG1307" s="23" t="n">
        <v>1</v>
      </c>
      <c r="AH1307" s="23" t="n">
        <v>1</v>
      </c>
      <c r="AI1307" s="23" t="n">
        <v>1</v>
      </c>
      <c r="AJ1307" s="23" t="n">
        <v>0.7416</v>
      </c>
      <c r="AK1307" s="23" t="n">
        <v>0.5</v>
      </c>
      <c r="AL1307" s="23" t="n">
        <v>0.3</v>
      </c>
      <c r="AM1307" s="16" t="n">
        <f aca="false">COUNTIFS($D$2:$D$2501,D1307,$G$2:$G$2501,"&gt;"&amp;G1307)+COUNTIFS($D$2:D1307,D1307,$G$2:G1307,G1307)</f>
        <v>61</v>
      </c>
      <c r="AN1307" s="5" t="str">
        <f aca="false">D1307&amp;"|"&amp;AM1307</f>
        <v>文件與影像辨識|61</v>
      </c>
    </row>
    <row r="1308" customFormat="false" ht="17.15" hidden="false" customHeight="false" outlineLevel="0" collapsed="false">
      <c r="A1308" s="16" t="n">
        <f aca="false">RANK(G1308,$G$2:$G$2501)+COUNTIF($G$2:G1308,G1308)-1</f>
        <v>1307</v>
      </c>
      <c r="B1308" s="11" t="s">
        <v>3264</v>
      </c>
      <c r="C1308" s="11" t="s">
        <v>3265</v>
      </c>
      <c r="D1308" s="5" t="s">
        <v>58</v>
      </c>
      <c r="E1308" s="5" t="s">
        <v>59</v>
      </c>
      <c r="F1308" s="5"/>
      <c r="G1308" s="22" t="n">
        <f aca="false">ROUND(SUM(I1308:P1308),3)</f>
        <v>61.906</v>
      </c>
      <c r="H1308" s="5" t="str">
        <f aca="false">IF(G1308&gt;=評分方法!$C$16,"優先評估",IF(G1308&gt;=評分方法!$C$17,"列入候選",IF(G1308&gt;=評分方法!$C$18,"特定情境","不建議")))</f>
        <v>特定情境</v>
      </c>
      <c r="I1308" s="15" t="n">
        <f aca="false">AE1308*評分方法!$C$5</f>
        <v>28.5</v>
      </c>
      <c r="J1308" s="15" t="n">
        <f aca="false">AF1308*評分方法!$C$6</f>
        <v>0</v>
      </c>
      <c r="K1308" s="15" t="n">
        <f aca="false">AG1308*評分方法!$C$7</f>
        <v>4.95</v>
      </c>
      <c r="L1308" s="15" t="n">
        <f aca="false">AH1308*評分方法!$C$8</f>
        <v>15</v>
      </c>
      <c r="M1308" s="15" t="n">
        <f aca="false">AI1308*評分方法!$C$9</f>
        <v>2</v>
      </c>
      <c r="N1308" s="15" t="n">
        <f aca="false">AJ1308*評分方法!$C$10</f>
        <v>5.456</v>
      </c>
      <c r="O1308" s="15" t="n">
        <f aca="false">AK1308*評分方法!$C$11</f>
        <v>1</v>
      </c>
      <c r="P1308" s="15" t="n">
        <f aca="false">AL1308*評分方法!$C$12</f>
        <v>5</v>
      </c>
      <c r="Q1308" s="6" t="n">
        <v>573516</v>
      </c>
      <c r="R1308" s="6" t="n">
        <v>101682951</v>
      </c>
      <c r="S1308" s="11" t="s">
        <v>238</v>
      </c>
      <c r="T1308" s="5"/>
      <c r="U1308" s="5" t="s">
        <v>375</v>
      </c>
      <c r="V1308" s="11" t="s">
        <v>324</v>
      </c>
      <c r="W1308" s="5" t="s">
        <v>334</v>
      </c>
      <c r="X1308" s="5" t="s">
        <v>284</v>
      </c>
      <c r="Y1308" s="5"/>
      <c r="Z1308" s="5"/>
      <c r="AA1308" s="11" t="s">
        <v>150</v>
      </c>
      <c r="AB1308" s="5" t="s">
        <v>245</v>
      </c>
      <c r="AC1308" s="5" t="s">
        <v>262</v>
      </c>
      <c r="AD1308" s="11" t="s">
        <v>3266</v>
      </c>
      <c r="AE1308" s="23" t="n">
        <v>0.95</v>
      </c>
      <c r="AF1308" s="23" t="n">
        <v>0</v>
      </c>
      <c r="AG1308" s="23" t="n">
        <v>0.33</v>
      </c>
      <c r="AH1308" s="23" t="n">
        <v>1</v>
      </c>
      <c r="AI1308" s="23" t="n">
        <v>0.2</v>
      </c>
      <c r="AJ1308" s="23" t="n">
        <v>0.5456</v>
      </c>
      <c r="AK1308" s="23" t="n">
        <v>0.2</v>
      </c>
      <c r="AL1308" s="23" t="n">
        <v>1</v>
      </c>
      <c r="AM1308" s="16" t="n">
        <f aca="false">COUNTIFS($D$2:$D$2501,D1308,$G$2:$G$2501,"&gt;"&amp;G1308)+COUNTIFS($D$2:D1308,D1308,$G$2:G1308,G1308)</f>
        <v>286</v>
      </c>
      <c r="AN1308" s="5" t="str">
        <f aca="false">D1308&amp;"|"&amp;AM1308</f>
        <v>實體擷取與去識別化|286</v>
      </c>
    </row>
    <row r="1309" customFormat="false" ht="17.15" hidden="false" customHeight="false" outlineLevel="0" collapsed="false">
      <c r="A1309" s="16" t="n">
        <f aca="false">RANK(G1309,$G$2:$G$2501)+COUNTIF($G$2:G1309,G1309)-1</f>
        <v>1308</v>
      </c>
      <c r="B1309" s="11" t="s">
        <v>1877</v>
      </c>
      <c r="C1309" s="11" t="s">
        <v>338</v>
      </c>
      <c r="D1309" s="5" t="s">
        <v>56</v>
      </c>
      <c r="E1309" s="5" t="s">
        <v>57</v>
      </c>
      <c r="F1309" s="5"/>
      <c r="G1309" s="22" t="n">
        <f aca="false">ROUND(SUM(I1309:P1309),3)</f>
        <v>61.878</v>
      </c>
      <c r="H1309" s="5" t="str">
        <f aca="false">IF(G1309&gt;=評分方法!$C$16,"優先評估",IF(G1309&gt;=評分方法!$C$17,"列入候選",IF(G1309&gt;=評分方法!$C$18,"特定情境","不建議")))</f>
        <v>特定情境</v>
      </c>
      <c r="I1309" s="15" t="n">
        <f aca="false">AE1309*評分方法!$C$5</f>
        <v>25.5</v>
      </c>
      <c r="J1309" s="15" t="n">
        <f aca="false">AF1309*評分方法!$C$6</f>
        <v>0</v>
      </c>
      <c r="K1309" s="15" t="n">
        <f aca="false">AG1309*評分方法!$C$7</f>
        <v>15</v>
      </c>
      <c r="L1309" s="15" t="n">
        <f aca="false">AH1309*評分方法!$C$8</f>
        <v>4.95</v>
      </c>
      <c r="M1309" s="15" t="n">
        <f aca="false">AI1309*評分方法!$C$9</f>
        <v>10</v>
      </c>
      <c r="N1309" s="15" t="n">
        <f aca="false">AJ1309*評分方法!$C$10</f>
        <v>3.928</v>
      </c>
      <c r="O1309" s="15" t="n">
        <f aca="false">AK1309*評分方法!$C$11</f>
        <v>2.5</v>
      </c>
      <c r="P1309" s="15" t="n">
        <f aca="false">AL1309*評分方法!$C$12</f>
        <v>0</v>
      </c>
      <c r="Q1309" s="6" t="n">
        <v>406847</v>
      </c>
      <c r="R1309" s="6" t="n">
        <v>46702792704</v>
      </c>
      <c r="S1309" s="11" t="s">
        <v>1876</v>
      </c>
      <c r="T1309" s="11" t="s">
        <v>239</v>
      </c>
      <c r="U1309" s="5" t="s">
        <v>240</v>
      </c>
      <c r="V1309" s="11" t="s">
        <v>324</v>
      </c>
      <c r="W1309" s="5" t="s">
        <v>205</v>
      </c>
      <c r="X1309" s="5" t="s">
        <v>242</v>
      </c>
      <c r="Y1309" s="5"/>
      <c r="Z1309" s="5"/>
      <c r="AA1309" s="11" t="s">
        <v>155</v>
      </c>
      <c r="AB1309" s="5" t="s">
        <v>328</v>
      </c>
      <c r="AC1309" s="5" t="s">
        <v>400</v>
      </c>
      <c r="AD1309" s="11" t="s">
        <v>3267</v>
      </c>
      <c r="AE1309" s="23" t="n">
        <v>0.85</v>
      </c>
      <c r="AF1309" s="23" t="n">
        <v>0</v>
      </c>
      <c r="AG1309" s="23" t="n">
        <v>1</v>
      </c>
      <c r="AH1309" s="23" t="n">
        <v>0.33</v>
      </c>
      <c r="AI1309" s="23" t="n">
        <v>1</v>
      </c>
      <c r="AJ1309" s="23" t="n">
        <v>0.3928</v>
      </c>
      <c r="AK1309" s="23" t="n">
        <v>0.5</v>
      </c>
      <c r="AL1309" s="23" t="n">
        <v>0</v>
      </c>
      <c r="AM1309" s="16" t="n">
        <f aca="false">COUNTIFS($D$2:$D$2501,D1309,$G$2:$G$2501,"&gt;"&amp;G1309)+COUNTIFS($D$2:D1309,D1309,$G$2:G1309,G1309)</f>
        <v>594</v>
      </c>
      <c r="AN1309" s="5" t="str">
        <f aca="false">D1309&amp;"|"&amp;AM1309</f>
        <v>分析與報告生成|594</v>
      </c>
    </row>
    <row r="1310" customFormat="false" ht="17.15" hidden="false" customHeight="false" outlineLevel="0" collapsed="false">
      <c r="A1310" s="16" t="n">
        <f aca="false">RANK(G1310,$G$2:$G$2501)+COUNTIF($G$2:G1310,G1310)-1</f>
        <v>1309</v>
      </c>
      <c r="B1310" s="11" t="s">
        <v>3268</v>
      </c>
      <c r="C1310" s="11" t="s">
        <v>753</v>
      </c>
      <c r="D1310" s="5" t="s">
        <v>56</v>
      </c>
      <c r="E1310" s="5" t="s">
        <v>57</v>
      </c>
      <c r="F1310" s="5"/>
      <c r="G1310" s="22" t="n">
        <f aca="false">ROUND(SUM(I1310:P1310),3)</f>
        <v>61.862</v>
      </c>
      <c r="H1310" s="5" t="str">
        <f aca="false">IF(G1310&gt;=評分方法!$C$16,"優先評估",IF(G1310&gt;=評分方法!$C$17,"列入候選",IF(G1310&gt;=評分方法!$C$18,"特定情境","不建議")))</f>
        <v>特定情境</v>
      </c>
      <c r="I1310" s="15" t="n">
        <f aca="false">AE1310*評分方法!$C$5</f>
        <v>25.5</v>
      </c>
      <c r="J1310" s="15" t="n">
        <f aca="false">AF1310*評分方法!$C$6</f>
        <v>0</v>
      </c>
      <c r="K1310" s="15" t="n">
        <f aca="false">AG1310*評分方法!$C$7</f>
        <v>10.05</v>
      </c>
      <c r="L1310" s="15" t="n">
        <f aca="false">AH1310*評分方法!$C$8</f>
        <v>15</v>
      </c>
      <c r="M1310" s="15" t="n">
        <f aca="false">AI1310*評分方法!$C$9</f>
        <v>6</v>
      </c>
      <c r="N1310" s="15" t="n">
        <f aca="false">AJ1310*評分方法!$C$10</f>
        <v>2.812</v>
      </c>
      <c r="O1310" s="15" t="n">
        <f aca="false">AK1310*評分方法!$C$11</f>
        <v>2.5</v>
      </c>
      <c r="P1310" s="15" t="n">
        <f aca="false">AL1310*評分方法!$C$12</f>
        <v>0</v>
      </c>
      <c r="Q1310" s="6" t="n">
        <v>274520</v>
      </c>
      <c r="R1310" s="6" t="n">
        <v>999885952</v>
      </c>
      <c r="S1310" s="11" t="s">
        <v>238</v>
      </c>
      <c r="T1310" s="11" t="s">
        <v>658</v>
      </c>
      <c r="U1310" s="5" t="s">
        <v>260</v>
      </c>
      <c r="V1310" s="11" t="s">
        <v>333</v>
      </c>
      <c r="W1310" s="5" t="s">
        <v>207</v>
      </c>
      <c r="X1310" s="5" t="s">
        <v>242</v>
      </c>
      <c r="Y1310" s="11" t="s">
        <v>657</v>
      </c>
      <c r="Z1310" s="11" t="s">
        <v>244</v>
      </c>
      <c r="AA1310" s="11" t="s">
        <v>155</v>
      </c>
      <c r="AB1310" s="5" t="s">
        <v>245</v>
      </c>
      <c r="AC1310" s="5" t="s">
        <v>464</v>
      </c>
      <c r="AD1310" s="11" t="s">
        <v>3269</v>
      </c>
      <c r="AE1310" s="23" t="n">
        <v>0.85</v>
      </c>
      <c r="AF1310" s="23" t="n">
        <v>0</v>
      </c>
      <c r="AG1310" s="23" t="n">
        <v>0.67</v>
      </c>
      <c r="AH1310" s="23" t="n">
        <v>1</v>
      </c>
      <c r="AI1310" s="23" t="n">
        <v>0.6</v>
      </c>
      <c r="AJ1310" s="23" t="n">
        <v>0.2812</v>
      </c>
      <c r="AK1310" s="23" t="n">
        <v>0.5</v>
      </c>
      <c r="AL1310" s="23" t="n">
        <v>0</v>
      </c>
      <c r="AM1310" s="16" t="n">
        <f aca="false">COUNTIFS($D$2:$D$2501,D1310,$G$2:$G$2501,"&gt;"&amp;G1310)+COUNTIFS($D$2:D1310,D1310,$G$2:G1310,G1310)</f>
        <v>595</v>
      </c>
      <c r="AN1310" s="5" t="str">
        <f aca="false">D1310&amp;"|"&amp;AM1310</f>
        <v>分析與報告生成|595</v>
      </c>
    </row>
    <row r="1311" customFormat="false" ht="17.15" hidden="false" customHeight="false" outlineLevel="0" collapsed="false">
      <c r="A1311" s="16" t="n">
        <f aca="false">RANK(G1311,$G$2:$G$2501)+COUNTIF($G$2:G1311,G1311)-1</f>
        <v>1310</v>
      </c>
      <c r="B1311" s="11" t="s">
        <v>3270</v>
      </c>
      <c r="C1311" s="11" t="s">
        <v>1550</v>
      </c>
      <c r="D1311" s="5" t="s">
        <v>74</v>
      </c>
      <c r="E1311" s="5" t="s">
        <v>75</v>
      </c>
      <c r="F1311" s="5"/>
      <c r="G1311" s="22" t="n">
        <f aca="false">ROUND(SUM(I1311:P1311),3)</f>
        <v>61.86</v>
      </c>
      <c r="H1311" s="5" t="str">
        <f aca="false">IF(G1311&gt;=評分方法!$C$16,"優先評估",IF(G1311&gt;=評分方法!$C$17,"列入候選",IF(G1311&gt;=評分方法!$C$18,"特定情境","不建議")))</f>
        <v>特定情境</v>
      </c>
      <c r="I1311" s="15" t="n">
        <f aca="false">AE1311*評分方法!$C$5</f>
        <v>13.5</v>
      </c>
      <c r="J1311" s="15" t="n">
        <f aca="false">AF1311*評分方法!$C$6</f>
        <v>0</v>
      </c>
      <c r="K1311" s="15" t="n">
        <f aca="false">AG1311*評分方法!$C$7</f>
        <v>15</v>
      </c>
      <c r="L1311" s="15" t="n">
        <f aca="false">AH1311*評分方法!$C$8</f>
        <v>15</v>
      </c>
      <c r="M1311" s="15" t="n">
        <f aca="false">AI1311*評分方法!$C$9</f>
        <v>10</v>
      </c>
      <c r="N1311" s="15" t="n">
        <f aca="false">AJ1311*評分方法!$C$10</f>
        <v>1.86</v>
      </c>
      <c r="O1311" s="15" t="n">
        <f aca="false">AK1311*評分方法!$C$11</f>
        <v>5</v>
      </c>
      <c r="P1311" s="15" t="n">
        <f aca="false">AL1311*評分方法!$C$12</f>
        <v>1.5</v>
      </c>
      <c r="Q1311" s="6" t="n">
        <v>200280</v>
      </c>
      <c r="R1311" s="6" t="n">
        <v>76669307</v>
      </c>
      <c r="S1311" s="11" t="s">
        <v>238</v>
      </c>
      <c r="T1311" s="11" t="s">
        <v>239</v>
      </c>
      <c r="U1311" s="5" t="s">
        <v>240</v>
      </c>
      <c r="V1311" s="11" t="s">
        <v>261</v>
      </c>
      <c r="W1311" s="5" t="s">
        <v>205</v>
      </c>
      <c r="X1311" s="5" t="s">
        <v>255</v>
      </c>
      <c r="Y1311" s="5"/>
      <c r="Z1311" s="5"/>
      <c r="AA1311" s="11" t="s">
        <v>164</v>
      </c>
      <c r="AB1311" s="5" t="s">
        <v>343</v>
      </c>
      <c r="AC1311" s="5" t="s">
        <v>344</v>
      </c>
      <c r="AD1311" s="11" t="s">
        <v>3271</v>
      </c>
      <c r="AE1311" s="23" t="n">
        <v>0.45</v>
      </c>
      <c r="AF1311" s="23" t="n">
        <v>0</v>
      </c>
      <c r="AG1311" s="23" t="n">
        <v>1</v>
      </c>
      <c r="AH1311" s="23" t="n">
        <v>1</v>
      </c>
      <c r="AI1311" s="23" t="n">
        <v>1</v>
      </c>
      <c r="AJ1311" s="23" t="n">
        <v>0.186</v>
      </c>
      <c r="AK1311" s="23" t="n">
        <v>1</v>
      </c>
      <c r="AL1311" s="23" t="n">
        <v>0.3</v>
      </c>
      <c r="AM1311" s="16" t="n">
        <f aca="false">COUNTIFS($D$2:$D$2501,D1311,$G$2:$G$2501,"&gt;"&amp;G1311)+COUNTIFS($D$2:D1311,D1311,$G$2:G1311,G1311)</f>
        <v>62</v>
      </c>
      <c r="AN1311" s="5" t="str">
        <f aca="false">D1311&amp;"|"&amp;AM1311</f>
        <v>文件與影像辨識|62</v>
      </c>
    </row>
    <row r="1312" customFormat="false" ht="17.15" hidden="false" customHeight="false" outlineLevel="0" collapsed="false">
      <c r="A1312" s="16" t="n">
        <f aca="false">RANK(G1312,$G$2:$G$2501)+COUNTIF($G$2:G1312,G1312)-1</f>
        <v>1311</v>
      </c>
      <c r="B1312" s="11" t="s">
        <v>3272</v>
      </c>
      <c r="C1312" s="11" t="s">
        <v>3211</v>
      </c>
      <c r="D1312" s="5" t="s">
        <v>68</v>
      </c>
      <c r="E1312" s="11" t="s">
        <v>69</v>
      </c>
      <c r="F1312" s="5"/>
      <c r="G1312" s="22" t="n">
        <f aca="false">ROUND(SUM(I1312:P1312),3)</f>
        <v>61.858</v>
      </c>
      <c r="H1312" s="5" t="str">
        <f aca="false">IF(G1312&gt;=評分方法!$C$16,"優先評估",IF(G1312&gt;=評分方法!$C$17,"列入候選",IF(G1312&gt;=評分方法!$C$18,"特定情境","不建議")))</f>
        <v>特定情境</v>
      </c>
      <c r="I1312" s="15" t="n">
        <f aca="false">AE1312*評分方法!$C$5</f>
        <v>21</v>
      </c>
      <c r="J1312" s="15" t="n">
        <f aca="false">AF1312*評分方法!$C$6</f>
        <v>0</v>
      </c>
      <c r="K1312" s="15" t="n">
        <f aca="false">AG1312*評分方法!$C$7</f>
        <v>4.95</v>
      </c>
      <c r="L1312" s="15" t="n">
        <f aca="false">AH1312*評分方法!$C$8</f>
        <v>15</v>
      </c>
      <c r="M1312" s="15" t="n">
        <f aca="false">AI1312*評分方法!$C$9</f>
        <v>10</v>
      </c>
      <c r="N1312" s="15" t="n">
        <f aca="false">AJ1312*評分方法!$C$10</f>
        <v>4.408</v>
      </c>
      <c r="O1312" s="15" t="n">
        <f aca="false">AK1312*評分方法!$C$11</f>
        <v>5</v>
      </c>
      <c r="P1312" s="15" t="n">
        <f aca="false">AL1312*評分方法!$C$12</f>
        <v>1.5</v>
      </c>
      <c r="Q1312" s="6" t="n">
        <v>481026</v>
      </c>
      <c r="R1312" s="6" t="n">
        <v>151306080</v>
      </c>
      <c r="S1312" s="11" t="s">
        <v>238</v>
      </c>
      <c r="T1312" s="11" t="s">
        <v>239</v>
      </c>
      <c r="U1312" s="5" t="s">
        <v>240</v>
      </c>
      <c r="V1312" s="11" t="s">
        <v>261</v>
      </c>
      <c r="W1312" s="5" t="s">
        <v>334</v>
      </c>
      <c r="X1312" s="5" t="s">
        <v>255</v>
      </c>
      <c r="Y1312" s="5"/>
      <c r="Z1312" s="5"/>
      <c r="AA1312" s="11" t="s">
        <v>158</v>
      </c>
      <c r="AB1312" s="5" t="s">
        <v>245</v>
      </c>
      <c r="AC1312" s="5"/>
      <c r="AD1312" s="11" t="s">
        <v>3273</v>
      </c>
      <c r="AE1312" s="23" t="n">
        <v>0.7</v>
      </c>
      <c r="AF1312" s="23" t="n">
        <v>0</v>
      </c>
      <c r="AG1312" s="23" t="n">
        <v>0.33</v>
      </c>
      <c r="AH1312" s="23" t="n">
        <v>1</v>
      </c>
      <c r="AI1312" s="23" t="n">
        <v>1</v>
      </c>
      <c r="AJ1312" s="23" t="n">
        <v>0.4408</v>
      </c>
      <c r="AK1312" s="23" t="n">
        <v>1</v>
      </c>
      <c r="AL1312" s="23" t="n">
        <v>0.3</v>
      </c>
      <c r="AM1312" s="16" t="n">
        <f aca="false">COUNTIFS($D$2:$D$2501,D1312,$G$2:$G$2501,"&gt;"&amp;G1312)+COUNTIFS($D$2:D1312,D1312,$G$2:G1312,G1312)</f>
        <v>43</v>
      </c>
      <c r="AN1312" s="5" t="str">
        <f aca="false">D1312&amp;"|"&amp;AM1312</f>
        <v>時序異常偵測|43</v>
      </c>
    </row>
    <row r="1313" customFormat="false" ht="17.15" hidden="false" customHeight="false" outlineLevel="0" collapsed="false">
      <c r="A1313" s="16" t="n">
        <f aca="false">RANK(G1313,$G$2:$G$2501)+COUNTIF($G$2:G1313,G1313)-1</f>
        <v>1312</v>
      </c>
      <c r="B1313" s="11" t="s">
        <v>3274</v>
      </c>
      <c r="C1313" s="11" t="s">
        <v>308</v>
      </c>
      <c r="D1313" s="5" t="s">
        <v>74</v>
      </c>
      <c r="E1313" s="5" t="s">
        <v>75</v>
      </c>
      <c r="F1313" s="5"/>
      <c r="G1313" s="22" t="n">
        <f aca="false">ROUND(SUM(I1313:P1313),3)</f>
        <v>61.852</v>
      </c>
      <c r="H1313" s="5" t="str">
        <f aca="false">IF(G1313&gt;=評分方法!$C$16,"優先評估",IF(G1313&gt;=評分方法!$C$17,"列入候選",IF(G1313&gt;=評分方法!$C$18,"特定情境","不建議")))</f>
        <v>特定情境</v>
      </c>
      <c r="I1313" s="15" t="n">
        <f aca="false">AE1313*評分方法!$C$5</f>
        <v>13.5</v>
      </c>
      <c r="J1313" s="15" t="n">
        <f aca="false">AF1313*評分方法!$C$6</f>
        <v>0</v>
      </c>
      <c r="K1313" s="15" t="n">
        <f aca="false">AG1313*評分方法!$C$7</f>
        <v>15</v>
      </c>
      <c r="L1313" s="15" t="n">
        <f aca="false">AH1313*評分方法!$C$8</f>
        <v>15</v>
      </c>
      <c r="M1313" s="15" t="n">
        <f aca="false">AI1313*評分方法!$C$9</f>
        <v>10</v>
      </c>
      <c r="N1313" s="15" t="n">
        <f aca="false">AJ1313*評分方法!$C$10</f>
        <v>7.352</v>
      </c>
      <c r="O1313" s="15" t="n">
        <f aca="false">AK1313*評分方法!$C$11</f>
        <v>1</v>
      </c>
      <c r="P1313" s="15" t="n">
        <f aca="false">AL1313*評分方法!$C$12</f>
        <v>0</v>
      </c>
      <c r="Q1313" s="6" t="n">
        <v>1072431</v>
      </c>
      <c r="R1313" s="6" t="n">
        <v>112627968</v>
      </c>
      <c r="S1313" s="11" t="s">
        <v>238</v>
      </c>
      <c r="T1313" s="11" t="s">
        <v>278</v>
      </c>
      <c r="U1313" s="5" t="s">
        <v>240</v>
      </c>
      <c r="V1313" s="11" t="s">
        <v>855</v>
      </c>
      <c r="W1313" s="5" t="s">
        <v>205</v>
      </c>
      <c r="X1313" s="5" t="s">
        <v>242</v>
      </c>
      <c r="Y1313" s="5"/>
      <c r="Z1313" s="5"/>
      <c r="AA1313" s="11" t="s">
        <v>164</v>
      </c>
      <c r="AB1313" s="5" t="s">
        <v>343</v>
      </c>
      <c r="AC1313" s="5" t="s">
        <v>344</v>
      </c>
      <c r="AD1313" s="11" t="s">
        <v>3275</v>
      </c>
      <c r="AE1313" s="23" t="n">
        <v>0.45</v>
      </c>
      <c r="AF1313" s="23" t="n">
        <v>0</v>
      </c>
      <c r="AG1313" s="23" t="n">
        <v>1</v>
      </c>
      <c r="AH1313" s="23" t="n">
        <v>1</v>
      </c>
      <c r="AI1313" s="23" t="n">
        <v>1</v>
      </c>
      <c r="AJ1313" s="23" t="n">
        <v>0.7352</v>
      </c>
      <c r="AK1313" s="23" t="n">
        <v>0.2</v>
      </c>
      <c r="AL1313" s="23" t="n">
        <v>0</v>
      </c>
      <c r="AM1313" s="16" t="n">
        <f aca="false">COUNTIFS($D$2:$D$2501,D1313,$G$2:$G$2501,"&gt;"&amp;G1313)+COUNTIFS($D$2:D1313,D1313,$G$2:G1313,G1313)</f>
        <v>63</v>
      </c>
      <c r="AN1313" s="5" t="str">
        <f aca="false">D1313&amp;"|"&amp;AM1313</f>
        <v>文件與影像辨識|63</v>
      </c>
    </row>
    <row r="1314" customFormat="false" ht="17.15" hidden="false" customHeight="false" outlineLevel="0" collapsed="false">
      <c r="A1314" s="16" t="n">
        <f aca="false">RANK(G1314,$G$2:$G$2501)+COUNTIF($G$2:G1314,G1314)-1</f>
        <v>1313</v>
      </c>
      <c r="B1314" s="11" t="s">
        <v>3276</v>
      </c>
      <c r="C1314" s="11" t="s">
        <v>891</v>
      </c>
      <c r="D1314" s="5" t="s">
        <v>56</v>
      </c>
      <c r="E1314" s="5" t="s">
        <v>57</v>
      </c>
      <c r="F1314" s="5"/>
      <c r="G1314" s="22" t="n">
        <f aca="false">ROUND(SUM(I1314:P1314),3)</f>
        <v>61.852</v>
      </c>
      <c r="H1314" s="5" t="str">
        <f aca="false">IF(G1314&gt;=評分方法!$C$16,"優先評估",IF(G1314&gt;=評分方法!$C$17,"列入候選",IF(G1314&gt;=評分方法!$C$18,"特定情境","不建議")))</f>
        <v>特定情境</v>
      </c>
      <c r="I1314" s="15" t="n">
        <f aca="false">AE1314*評分方法!$C$5</f>
        <v>25.5</v>
      </c>
      <c r="J1314" s="15" t="n">
        <f aca="false">AF1314*評分方法!$C$6</f>
        <v>0</v>
      </c>
      <c r="K1314" s="15" t="n">
        <f aca="false">AG1314*評分方法!$C$7</f>
        <v>10.05</v>
      </c>
      <c r="L1314" s="15" t="n">
        <f aca="false">AH1314*評分方法!$C$8</f>
        <v>13.05</v>
      </c>
      <c r="M1314" s="15" t="n">
        <f aca="false">AI1314*評分方法!$C$9</f>
        <v>6</v>
      </c>
      <c r="N1314" s="15" t="n">
        <f aca="false">AJ1314*評分方法!$C$10</f>
        <v>3.252</v>
      </c>
      <c r="O1314" s="15" t="n">
        <f aca="false">AK1314*評分方法!$C$11</f>
        <v>4</v>
      </c>
      <c r="P1314" s="15" t="n">
        <f aca="false">AL1314*評分方法!$C$12</f>
        <v>0</v>
      </c>
      <c r="Q1314" s="6" t="n">
        <v>321647</v>
      </c>
      <c r="R1314" s="6" t="n">
        <v>8887666752</v>
      </c>
      <c r="S1314" s="11" t="s">
        <v>254</v>
      </c>
      <c r="T1314" s="11" t="s">
        <v>185</v>
      </c>
      <c r="U1314" s="5" t="s">
        <v>260</v>
      </c>
      <c r="V1314" s="11" t="s">
        <v>261</v>
      </c>
      <c r="W1314" s="5" t="s">
        <v>207</v>
      </c>
      <c r="X1314" s="5" t="s">
        <v>242</v>
      </c>
      <c r="Y1314" s="11" t="s">
        <v>3229</v>
      </c>
      <c r="Z1314" s="11" t="s">
        <v>270</v>
      </c>
      <c r="AA1314" s="11" t="s">
        <v>155</v>
      </c>
      <c r="AB1314" s="5" t="s">
        <v>245</v>
      </c>
      <c r="AC1314" s="5" t="s">
        <v>262</v>
      </c>
      <c r="AD1314" s="11" t="s">
        <v>3277</v>
      </c>
      <c r="AE1314" s="23" t="n">
        <v>0.85</v>
      </c>
      <c r="AF1314" s="23" t="n">
        <v>0</v>
      </c>
      <c r="AG1314" s="23" t="n">
        <v>0.67</v>
      </c>
      <c r="AH1314" s="23" t="n">
        <v>0.87</v>
      </c>
      <c r="AI1314" s="23" t="n">
        <v>0.6</v>
      </c>
      <c r="AJ1314" s="23" t="n">
        <v>0.3252</v>
      </c>
      <c r="AK1314" s="23" t="n">
        <v>0.8</v>
      </c>
      <c r="AL1314" s="23" t="n">
        <v>0</v>
      </c>
      <c r="AM1314" s="16" t="n">
        <f aca="false">COUNTIFS($D$2:$D$2501,D1314,$G$2:$G$2501,"&gt;"&amp;G1314)+COUNTIFS($D$2:D1314,D1314,$G$2:G1314,G1314)</f>
        <v>596</v>
      </c>
      <c r="AN1314" s="5" t="str">
        <f aca="false">D1314&amp;"|"&amp;AM1314</f>
        <v>分析與報告生成|596</v>
      </c>
    </row>
    <row r="1315" customFormat="false" ht="17.15" hidden="false" customHeight="false" outlineLevel="0" collapsed="false">
      <c r="A1315" s="16" t="n">
        <f aca="false">RANK(G1315,$G$2:$G$2501)+COUNTIF($G$2:G1315,G1315)-1</f>
        <v>1314</v>
      </c>
      <c r="B1315" s="11" t="s">
        <v>3278</v>
      </c>
      <c r="C1315" s="11" t="s">
        <v>3279</v>
      </c>
      <c r="D1315" s="5" t="s">
        <v>54</v>
      </c>
      <c r="E1315" s="5" t="s">
        <v>55</v>
      </c>
      <c r="F1315" s="5"/>
      <c r="G1315" s="22" t="n">
        <f aca="false">ROUND(SUM(I1315:P1315),3)</f>
        <v>61.842</v>
      </c>
      <c r="H1315" s="5" t="str">
        <f aca="false">IF(G1315&gt;=評分方法!$C$16,"優先評估",IF(G1315&gt;=評分方法!$C$17,"列入候選",IF(G1315&gt;=評分方法!$C$18,"特定情境","不建議")))</f>
        <v>特定情境</v>
      </c>
      <c r="I1315" s="15" t="n">
        <f aca="false">AE1315*評分方法!$C$5</f>
        <v>27</v>
      </c>
      <c r="J1315" s="15" t="n">
        <f aca="false">AF1315*評分方法!$C$6</f>
        <v>0</v>
      </c>
      <c r="K1315" s="15" t="n">
        <f aca="false">AG1315*評分方法!$C$7</f>
        <v>4.95</v>
      </c>
      <c r="L1315" s="15" t="n">
        <f aca="false">AH1315*評分方法!$C$8</f>
        <v>15</v>
      </c>
      <c r="M1315" s="15" t="n">
        <f aca="false">AI1315*評分方法!$C$9</f>
        <v>10</v>
      </c>
      <c r="N1315" s="15" t="n">
        <f aca="false">AJ1315*評分方法!$C$10</f>
        <v>3.892</v>
      </c>
      <c r="O1315" s="15" t="n">
        <f aca="false">AK1315*評分方法!$C$11</f>
        <v>1</v>
      </c>
      <c r="P1315" s="15" t="n">
        <f aca="false">AL1315*評分方法!$C$12</f>
        <v>0</v>
      </c>
      <c r="Q1315" s="6" t="n">
        <v>401988</v>
      </c>
      <c r="R1315" s="6" t="n">
        <v>334092288</v>
      </c>
      <c r="S1315" s="11" t="s">
        <v>238</v>
      </c>
      <c r="T1315" s="11" t="s">
        <v>239</v>
      </c>
      <c r="U1315" s="5" t="s">
        <v>240</v>
      </c>
      <c r="V1315" s="11" t="s">
        <v>333</v>
      </c>
      <c r="W1315" s="5" t="s">
        <v>334</v>
      </c>
      <c r="X1315" s="5" t="s">
        <v>242</v>
      </c>
      <c r="Y1315" s="11" t="s">
        <v>381</v>
      </c>
      <c r="Z1315" s="11" t="s">
        <v>244</v>
      </c>
      <c r="AA1315" s="11" t="s">
        <v>153</v>
      </c>
      <c r="AB1315" s="5" t="s">
        <v>245</v>
      </c>
      <c r="AC1315" s="5" t="s">
        <v>246</v>
      </c>
      <c r="AD1315" s="11" t="s">
        <v>3280</v>
      </c>
      <c r="AE1315" s="23" t="n">
        <v>0.9</v>
      </c>
      <c r="AF1315" s="23" t="n">
        <v>0</v>
      </c>
      <c r="AG1315" s="23" t="n">
        <v>0.33</v>
      </c>
      <c r="AH1315" s="23" t="n">
        <v>1</v>
      </c>
      <c r="AI1315" s="23" t="n">
        <v>1</v>
      </c>
      <c r="AJ1315" s="23" t="n">
        <v>0.3892</v>
      </c>
      <c r="AK1315" s="23" t="n">
        <v>0.2</v>
      </c>
      <c r="AL1315" s="23" t="n">
        <v>0</v>
      </c>
      <c r="AM1315" s="16" t="n">
        <f aca="false">COUNTIFS($D$2:$D$2501,D1315,$G$2:$G$2501,"&gt;"&amp;G1315)+COUNTIFS($D$2:D1315,D1315,$G$2:G1315,G1315)</f>
        <v>184</v>
      </c>
      <c r="AN1315" s="5" t="str">
        <f aca="false">D1315&amp;"|"&amp;AM1315</f>
        <v>檢索與情資關聯|184</v>
      </c>
    </row>
    <row r="1316" customFormat="false" ht="17.15" hidden="false" customHeight="false" outlineLevel="0" collapsed="false">
      <c r="A1316" s="16" t="n">
        <f aca="false">RANK(G1316,$G$2:$G$2501)+COUNTIF($G$2:G1316,G1316)-1</f>
        <v>1315</v>
      </c>
      <c r="B1316" s="11" t="s">
        <v>3281</v>
      </c>
      <c r="C1316" s="11" t="s">
        <v>753</v>
      </c>
      <c r="D1316" s="5" t="s">
        <v>56</v>
      </c>
      <c r="E1316" s="5" t="s">
        <v>57</v>
      </c>
      <c r="F1316" s="5"/>
      <c r="G1316" s="22" t="n">
        <f aca="false">ROUND(SUM(I1316:P1316),3)</f>
        <v>61.826</v>
      </c>
      <c r="H1316" s="5" t="str">
        <f aca="false">IF(G1316&gt;=評分方法!$C$16,"優先評估",IF(G1316&gt;=評分方法!$C$17,"列入候選",IF(G1316&gt;=評分方法!$C$18,"特定情境","不建議")))</f>
        <v>特定情境</v>
      </c>
      <c r="I1316" s="15" t="n">
        <f aca="false">AE1316*評分方法!$C$5</f>
        <v>25.5</v>
      </c>
      <c r="J1316" s="15" t="n">
        <f aca="false">AF1316*評分方法!$C$6</f>
        <v>0</v>
      </c>
      <c r="K1316" s="15" t="n">
        <f aca="false">AG1316*評分方法!$C$7</f>
        <v>10.05</v>
      </c>
      <c r="L1316" s="15" t="n">
        <f aca="false">AH1316*評分方法!$C$8</f>
        <v>9</v>
      </c>
      <c r="M1316" s="15" t="n">
        <f aca="false">AI1316*評分方法!$C$9</f>
        <v>6</v>
      </c>
      <c r="N1316" s="15" t="n">
        <f aca="false">AJ1316*評分方法!$C$10</f>
        <v>1.276</v>
      </c>
      <c r="O1316" s="15" t="n">
        <f aca="false">AK1316*評分方法!$C$11</f>
        <v>5</v>
      </c>
      <c r="P1316" s="15" t="n">
        <f aca="false">AL1316*評分方法!$C$12</f>
        <v>5</v>
      </c>
      <c r="Q1316" s="6" t="n">
        <v>165818</v>
      </c>
      <c r="R1316" s="6" t="n">
        <v>31577940288</v>
      </c>
      <c r="S1316" s="11" t="s">
        <v>389</v>
      </c>
      <c r="T1316" s="11" t="s">
        <v>185</v>
      </c>
      <c r="U1316" s="5" t="s">
        <v>260</v>
      </c>
      <c r="V1316" s="11" t="s">
        <v>333</v>
      </c>
      <c r="W1316" s="5" t="s">
        <v>207</v>
      </c>
      <c r="X1316" s="5" t="s">
        <v>284</v>
      </c>
      <c r="Y1316" s="11" t="s">
        <v>3192</v>
      </c>
      <c r="Z1316" s="11" t="s">
        <v>244</v>
      </c>
      <c r="AA1316" s="11" t="s">
        <v>155</v>
      </c>
      <c r="AB1316" s="5" t="s">
        <v>245</v>
      </c>
      <c r="AC1316" s="5" t="s">
        <v>464</v>
      </c>
      <c r="AD1316" s="11" t="s">
        <v>3282</v>
      </c>
      <c r="AE1316" s="23" t="n">
        <v>0.85</v>
      </c>
      <c r="AF1316" s="23" t="n">
        <v>0</v>
      </c>
      <c r="AG1316" s="23" t="n">
        <v>0.67</v>
      </c>
      <c r="AH1316" s="23" t="n">
        <v>0.6</v>
      </c>
      <c r="AI1316" s="23" t="n">
        <v>0.6</v>
      </c>
      <c r="AJ1316" s="23" t="n">
        <v>0.1276</v>
      </c>
      <c r="AK1316" s="23" t="n">
        <v>1</v>
      </c>
      <c r="AL1316" s="23" t="n">
        <v>1</v>
      </c>
      <c r="AM1316" s="16" t="n">
        <f aca="false">COUNTIFS($D$2:$D$2501,D1316,$G$2:$G$2501,"&gt;"&amp;G1316)+COUNTIFS($D$2:D1316,D1316,$G$2:G1316,G1316)</f>
        <v>597</v>
      </c>
      <c r="AN1316" s="5" t="str">
        <f aca="false">D1316&amp;"|"&amp;AM1316</f>
        <v>分析與報告生成|597</v>
      </c>
    </row>
    <row r="1317" customFormat="false" ht="17.15" hidden="false" customHeight="false" outlineLevel="0" collapsed="false">
      <c r="A1317" s="16" t="n">
        <f aca="false">RANK(G1317,$G$2:$G$2501)+COUNTIF($G$2:G1317,G1317)-1</f>
        <v>1316</v>
      </c>
      <c r="B1317" s="11" t="s">
        <v>3283</v>
      </c>
      <c r="C1317" s="11" t="s">
        <v>891</v>
      </c>
      <c r="D1317" s="5" t="s">
        <v>56</v>
      </c>
      <c r="E1317" s="5" t="s">
        <v>57</v>
      </c>
      <c r="F1317" s="5"/>
      <c r="G1317" s="22" t="n">
        <f aca="false">ROUND(SUM(I1317:P1317),3)</f>
        <v>61.82</v>
      </c>
      <c r="H1317" s="5" t="str">
        <f aca="false">IF(G1317&gt;=評分方法!$C$16,"優先評估",IF(G1317&gt;=評分方法!$C$17,"列入候選",IF(G1317&gt;=評分方法!$C$18,"特定情境","不建議")))</f>
        <v>特定情境</v>
      </c>
      <c r="I1317" s="15" t="n">
        <f aca="false">AE1317*評分方法!$C$5</f>
        <v>25.5</v>
      </c>
      <c r="J1317" s="15" t="n">
        <f aca="false">AF1317*評分方法!$C$6</f>
        <v>0</v>
      </c>
      <c r="K1317" s="15" t="n">
        <f aca="false">AG1317*評分方法!$C$7</f>
        <v>10.05</v>
      </c>
      <c r="L1317" s="15" t="n">
        <f aca="false">AH1317*評分方法!$C$8</f>
        <v>13.05</v>
      </c>
      <c r="M1317" s="15" t="n">
        <f aca="false">AI1317*評分方法!$C$9</f>
        <v>6</v>
      </c>
      <c r="N1317" s="15" t="n">
        <f aca="false">AJ1317*評分方法!$C$10</f>
        <v>3.22</v>
      </c>
      <c r="O1317" s="15" t="n">
        <f aca="false">AK1317*評分方法!$C$11</f>
        <v>4</v>
      </c>
      <c r="P1317" s="15" t="n">
        <f aca="false">AL1317*評分方法!$C$12</f>
        <v>0</v>
      </c>
      <c r="Q1317" s="6" t="n">
        <v>317156</v>
      </c>
      <c r="R1317" s="6" t="n">
        <v>6914599488</v>
      </c>
      <c r="S1317" s="11" t="s">
        <v>254</v>
      </c>
      <c r="T1317" s="11" t="s">
        <v>185</v>
      </c>
      <c r="U1317" s="5" t="s">
        <v>260</v>
      </c>
      <c r="V1317" s="11" t="s">
        <v>261</v>
      </c>
      <c r="W1317" s="5" t="s">
        <v>207</v>
      </c>
      <c r="X1317" s="5" t="s">
        <v>242</v>
      </c>
      <c r="Y1317" s="11" t="s">
        <v>3229</v>
      </c>
      <c r="Z1317" s="11" t="s">
        <v>270</v>
      </c>
      <c r="AA1317" s="11" t="s">
        <v>155</v>
      </c>
      <c r="AB1317" s="5" t="s">
        <v>245</v>
      </c>
      <c r="AC1317" s="5" t="s">
        <v>262</v>
      </c>
      <c r="AD1317" s="11" t="s">
        <v>3284</v>
      </c>
      <c r="AE1317" s="23" t="n">
        <v>0.85</v>
      </c>
      <c r="AF1317" s="23" t="n">
        <v>0</v>
      </c>
      <c r="AG1317" s="23" t="n">
        <v>0.67</v>
      </c>
      <c r="AH1317" s="23" t="n">
        <v>0.87</v>
      </c>
      <c r="AI1317" s="23" t="n">
        <v>0.6</v>
      </c>
      <c r="AJ1317" s="23" t="n">
        <v>0.322</v>
      </c>
      <c r="AK1317" s="23" t="n">
        <v>0.8</v>
      </c>
      <c r="AL1317" s="23" t="n">
        <v>0</v>
      </c>
      <c r="AM1317" s="16" t="n">
        <f aca="false">COUNTIFS($D$2:$D$2501,D1317,$G$2:$G$2501,"&gt;"&amp;G1317)+COUNTIFS($D$2:D1317,D1317,$G$2:G1317,G1317)</f>
        <v>598</v>
      </c>
      <c r="AN1317" s="5" t="str">
        <f aca="false">D1317&amp;"|"&amp;AM1317</f>
        <v>分析與報告生成|598</v>
      </c>
    </row>
    <row r="1318" customFormat="false" ht="17.15" hidden="false" customHeight="false" outlineLevel="0" collapsed="false">
      <c r="A1318" s="16" t="n">
        <f aca="false">RANK(G1318,$G$2:$G$2501)+COUNTIF($G$2:G1318,G1318)-1</f>
        <v>1317</v>
      </c>
      <c r="B1318" s="11" t="s">
        <v>3285</v>
      </c>
      <c r="C1318" s="11" t="s">
        <v>1677</v>
      </c>
      <c r="D1318" s="5" t="s">
        <v>66</v>
      </c>
      <c r="E1318" s="5" t="s">
        <v>67</v>
      </c>
      <c r="F1318" s="5"/>
      <c r="G1318" s="22" t="n">
        <f aca="false">ROUND(SUM(I1318:P1318),3)</f>
        <v>61.808</v>
      </c>
      <c r="H1318" s="5" t="str">
        <f aca="false">IF(G1318&gt;=評分方法!$C$16,"優先評估",IF(G1318&gt;=評分方法!$C$17,"列入候選",IF(G1318&gt;=評分方法!$C$18,"特定情境","不建議")))</f>
        <v>特定情境</v>
      </c>
      <c r="I1318" s="15" t="n">
        <f aca="false">AE1318*評分方法!$C$5</f>
        <v>30</v>
      </c>
      <c r="J1318" s="15" t="n">
        <f aca="false">AF1318*評分方法!$C$6</f>
        <v>0</v>
      </c>
      <c r="K1318" s="15" t="n">
        <f aca="false">AG1318*評分方法!$C$7</f>
        <v>10.05</v>
      </c>
      <c r="L1318" s="15" t="n">
        <f aca="false">AH1318*評分方法!$C$8</f>
        <v>7.05</v>
      </c>
      <c r="M1318" s="15" t="n">
        <f aca="false">AI1318*評分方法!$C$9</f>
        <v>2</v>
      </c>
      <c r="N1318" s="15" t="n">
        <f aca="false">AJ1318*評分方法!$C$10</f>
        <v>8.708</v>
      </c>
      <c r="O1318" s="15" t="n">
        <f aca="false">AK1318*評分方法!$C$11</f>
        <v>2.5</v>
      </c>
      <c r="P1318" s="15" t="n">
        <f aca="false">AL1318*評分方法!$C$12</f>
        <v>1.5</v>
      </c>
      <c r="Q1318" s="6" t="n">
        <v>2792490</v>
      </c>
      <c r="R1318" s="6"/>
      <c r="S1318" s="5" t="s">
        <v>255</v>
      </c>
      <c r="T1318" s="5"/>
      <c r="U1318" s="5" t="s">
        <v>375</v>
      </c>
      <c r="V1318" s="11" t="s">
        <v>514</v>
      </c>
      <c r="W1318" s="5" t="s">
        <v>207</v>
      </c>
      <c r="X1318" s="5" t="s">
        <v>255</v>
      </c>
      <c r="Y1318" s="11" t="s">
        <v>355</v>
      </c>
      <c r="Z1318" s="11" t="s">
        <v>244</v>
      </c>
      <c r="AA1318" s="11" t="s">
        <v>149</v>
      </c>
      <c r="AB1318" s="5" t="s">
        <v>245</v>
      </c>
      <c r="AC1318" s="5" t="s">
        <v>464</v>
      </c>
      <c r="AD1318" s="11" t="s">
        <v>3286</v>
      </c>
      <c r="AE1318" s="23" t="n">
        <v>1</v>
      </c>
      <c r="AF1318" s="23" t="n">
        <v>0</v>
      </c>
      <c r="AG1318" s="23" t="n">
        <v>0.67</v>
      </c>
      <c r="AH1318" s="23" t="n">
        <v>0.47</v>
      </c>
      <c r="AI1318" s="23" t="n">
        <v>0.2</v>
      </c>
      <c r="AJ1318" s="23" t="n">
        <v>0.8708</v>
      </c>
      <c r="AK1318" s="23" t="n">
        <v>0.5</v>
      </c>
      <c r="AL1318" s="23" t="n">
        <v>0.3</v>
      </c>
      <c r="AM1318" s="16" t="n">
        <f aca="false">COUNTIFS($D$2:$D$2501,D1318,$G$2:$G$2501,"&gt;"&amp;G1318)+COUNTIFS($D$2:D1318,D1318,$G$2:G1318,G1318)</f>
        <v>37</v>
      </c>
      <c r="AN1318" s="5" t="str">
        <f aca="false">D1318&amp;"|"&amp;AM1318</f>
        <v>分類與偵測|37</v>
      </c>
    </row>
    <row r="1319" customFormat="false" ht="17.15" hidden="false" customHeight="false" outlineLevel="0" collapsed="false">
      <c r="A1319" s="16" t="n">
        <f aca="false">RANK(G1319,$G$2:$G$2501)+COUNTIF($G$2:G1319,G1319)-1</f>
        <v>1318</v>
      </c>
      <c r="B1319" s="11" t="s">
        <v>3287</v>
      </c>
      <c r="C1319" s="11" t="s">
        <v>891</v>
      </c>
      <c r="D1319" s="5" t="s">
        <v>56</v>
      </c>
      <c r="E1319" s="5" t="s">
        <v>57</v>
      </c>
      <c r="F1319" s="5"/>
      <c r="G1319" s="22" t="n">
        <f aca="false">ROUND(SUM(I1319:P1319),3)</f>
        <v>61.808</v>
      </c>
      <c r="H1319" s="5" t="str">
        <f aca="false">IF(G1319&gt;=評分方法!$C$16,"優先評估",IF(G1319&gt;=評分方法!$C$17,"列入候選",IF(G1319&gt;=評分方法!$C$18,"特定情境","不建議")))</f>
        <v>特定情境</v>
      </c>
      <c r="I1319" s="15" t="n">
        <f aca="false">AE1319*評分方法!$C$5</f>
        <v>25.5</v>
      </c>
      <c r="J1319" s="15" t="n">
        <f aca="false">AF1319*評分方法!$C$6</f>
        <v>0</v>
      </c>
      <c r="K1319" s="15" t="n">
        <f aca="false">AG1319*評分方法!$C$7</f>
        <v>10.05</v>
      </c>
      <c r="L1319" s="15" t="n">
        <f aca="false">AH1319*評分方法!$C$8</f>
        <v>13.05</v>
      </c>
      <c r="M1319" s="15" t="n">
        <f aca="false">AI1319*評分方法!$C$9</f>
        <v>6</v>
      </c>
      <c r="N1319" s="15" t="n">
        <f aca="false">AJ1319*評分方法!$C$10</f>
        <v>3.208</v>
      </c>
      <c r="O1319" s="15" t="n">
        <f aca="false">AK1319*評分方法!$C$11</f>
        <v>4</v>
      </c>
      <c r="P1319" s="15" t="n">
        <f aca="false">AL1319*評分方法!$C$12</f>
        <v>0</v>
      </c>
      <c r="Q1319" s="6" t="n">
        <v>315957</v>
      </c>
      <c r="R1319" s="6" t="n">
        <v>5928065856</v>
      </c>
      <c r="S1319" s="11" t="s">
        <v>254</v>
      </c>
      <c r="T1319" s="11" t="s">
        <v>185</v>
      </c>
      <c r="U1319" s="5" t="s">
        <v>260</v>
      </c>
      <c r="V1319" s="11" t="s">
        <v>261</v>
      </c>
      <c r="W1319" s="5" t="s">
        <v>207</v>
      </c>
      <c r="X1319" s="5" t="s">
        <v>242</v>
      </c>
      <c r="Y1319" s="11" t="s">
        <v>3229</v>
      </c>
      <c r="Z1319" s="11" t="s">
        <v>270</v>
      </c>
      <c r="AA1319" s="11" t="s">
        <v>155</v>
      </c>
      <c r="AB1319" s="5" t="s">
        <v>245</v>
      </c>
      <c r="AC1319" s="5" t="s">
        <v>262</v>
      </c>
      <c r="AD1319" s="11" t="s">
        <v>3288</v>
      </c>
      <c r="AE1319" s="23" t="n">
        <v>0.85</v>
      </c>
      <c r="AF1319" s="23" t="n">
        <v>0</v>
      </c>
      <c r="AG1319" s="23" t="n">
        <v>0.67</v>
      </c>
      <c r="AH1319" s="23" t="n">
        <v>0.87</v>
      </c>
      <c r="AI1319" s="23" t="n">
        <v>0.6</v>
      </c>
      <c r="AJ1319" s="23" t="n">
        <v>0.3208</v>
      </c>
      <c r="AK1319" s="23" t="n">
        <v>0.8</v>
      </c>
      <c r="AL1319" s="23" t="n">
        <v>0</v>
      </c>
      <c r="AM1319" s="16" t="n">
        <f aca="false">COUNTIFS($D$2:$D$2501,D1319,$G$2:$G$2501,"&gt;"&amp;G1319)+COUNTIFS($D$2:D1319,D1319,$G$2:G1319,G1319)</f>
        <v>599</v>
      </c>
      <c r="AN1319" s="5" t="str">
        <f aca="false">D1319&amp;"|"&amp;AM1319</f>
        <v>分析與報告生成|599</v>
      </c>
    </row>
    <row r="1320" customFormat="false" ht="17.15" hidden="false" customHeight="false" outlineLevel="0" collapsed="false">
      <c r="A1320" s="16" t="n">
        <f aca="false">RANK(G1320,$G$2:$G$2501)+COUNTIF($G$2:G1320,G1320)-1</f>
        <v>1319</v>
      </c>
      <c r="B1320" s="11" t="s">
        <v>3289</v>
      </c>
      <c r="C1320" s="11" t="s">
        <v>3290</v>
      </c>
      <c r="D1320" s="5" t="s">
        <v>56</v>
      </c>
      <c r="E1320" s="5" t="s">
        <v>57</v>
      </c>
      <c r="F1320" s="5"/>
      <c r="G1320" s="22" t="n">
        <f aca="false">ROUND(SUM(I1320:P1320),3)</f>
        <v>61.806</v>
      </c>
      <c r="H1320" s="5" t="str">
        <f aca="false">IF(G1320&gt;=評分方法!$C$16,"優先評估",IF(G1320&gt;=評分方法!$C$17,"列入候選",IF(G1320&gt;=評分方法!$C$18,"特定情境","不建議")))</f>
        <v>特定情境</v>
      </c>
      <c r="I1320" s="15" t="n">
        <f aca="false">AE1320*評分方法!$C$5</f>
        <v>25.5</v>
      </c>
      <c r="J1320" s="15" t="n">
        <f aca="false">AF1320*評分方法!$C$6</f>
        <v>0</v>
      </c>
      <c r="K1320" s="15" t="n">
        <f aca="false">AG1320*評分方法!$C$7</f>
        <v>4.95</v>
      </c>
      <c r="L1320" s="15" t="n">
        <f aca="false">AH1320*評分方法!$C$8</f>
        <v>15</v>
      </c>
      <c r="M1320" s="15" t="n">
        <f aca="false">AI1320*評分方法!$C$9</f>
        <v>2</v>
      </c>
      <c r="N1320" s="15" t="n">
        <f aca="false">AJ1320*評分方法!$C$10</f>
        <v>6.356</v>
      </c>
      <c r="O1320" s="15" t="n">
        <f aca="false">AK1320*評分方法!$C$11</f>
        <v>5</v>
      </c>
      <c r="P1320" s="15" t="n">
        <f aca="false">AL1320*評分方法!$C$12</f>
        <v>3</v>
      </c>
      <c r="Q1320" s="6" t="n">
        <v>710101</v>
      </c>
      <c r="R1320" s="6" t="n">
        <v>40370176</v>
      </c>
      <c r="S1320" s="11" t="s">
        <v>238</v>
      </c>
      <c r="T1320" s="5"/>
      <c r="U1320" s="5" t="s">
        <v>375</v>
      </c>
      <c r="V1320" s="11" t="s">
        <v>3291</v>
      </c>
      <c r="W1320" s="5" t="s">
        <v>334</v>
      </c>
      <c r="X1320" s="5" t="s">
        <v>371</v>
      </c>
      <c r="Y1320" s="5"/>
      <c r="Z1320" s="5"/>
      <c r="AA1320" s="11" t="s">
        <v>155</v>
      </c>
      <c r="AB1320" s="5" t="s">
        <v>961</v>
      </c>
      <c r="AC1320" s="5" t="s">
        <v>1977</v>
      </c>
      <c r="AD1320" s="11" t="s">
        <v>3292</v>
      </c>
      <c r="AE1320" s="23" t="n">
        <v>0.85</v>
      </c>
      <c r="AF1320" s="23" t="n">
        <v>0</v>
      </c>
      <c r="AG1320" s="23" t="n">
        <v>0.33</v>
      </c>
      <c r="AH1320" s="23" t="n">
        <v>1</v>
      </c>
      <c r="AI1320" s="23" t="n">
        <v>0.2</v>
      </c>
      <c r="AJ1320" s="23" t="n">
        <v>0.6356</v>
      </c>
      <c r="AK1320" s="23" t="n">
        <v>1</v>
      </c>
      <c r="AL1320" s="23" t="n">
        <v>0.6</v>
      </c>
      <c r="AM1320" s="16" t="n">
        <f aca="false">COUNTIFS($D$2:$D$2501,D1320,$G$2:$G$2501,"&gt;"&amp;G1320)+COUNTIFS($D$2:D1320,D1320,$G$2:G1320,G1320)</f>
        <v>600</v>
      </c>
      <c r="AN1320" s="5" t="str">
        <f aca="false">D1320&amp;"|"&amp;AM1320</f>
        <v>分析與報告生成|600</v>
      </c>
    </row>
    <row r="1321" customFormat="false" ht="17.15" hidden="false" customHeight="false" outlineLevel="0" collapsed="false">
      <c r="A1321" s="16" t="n">
        <f aca="false">RANK(G1321,$G$2:$G$2501)+COUNTIF($G$2:G1321,G1321)-1</f>
        <v>1320</v>
      </c>
      <c r="B1321" s="11" t="s">
        <v>3293</v>
      </c>
      <c r="C1321" s="11" t="s">
        <v>1132</v>
      </c>
      <c r="D1321" s="5" t="s">
        <v>66</v>
      </c>
      <c r="E1321" s="5" t="s">
        <v>67</v>
      </c>
      <c r="F1321" s="5"/>
      <c r="G1321" s="22" t="n">
        <f aca="false">ROUND(SUM(I1321:P1321),3)</f>
        <v>61.774</v>
      </c>
      <c r="H1321" s="5" t="str">
        <f aca="false">IF(G1321&gt;=評分方法!$C$16,"優先評估",IF(G1321&gt;=評分方法!$C$17,"列入候選",IF(G1321&gt;=評分方法!$C$18,"特定情境","不建議")))</f>
        <v>特定情境</v>
      </c>
      <c r="I1321" s="15" t="n">
        <f aca="false">AE1321*評分方法!$C$5</f>
        <v>27</v>
      </c>
      <c r="J1321" s="15" t="n">
        <f aca="false">AF1321*評分方法!$C$6</f>
        <v>0</v>
      </c>
      <c r="K1321" s="15" t="n">
        <f aca="false">AG1321*評分方法!$C$7</f>
        <v>4.95</v>
      </c>
      <c r="L1321" s="15" t="n">
        <f aca="false">AH1321*評分方法!$C$8</f>
        <v>15</v>
      </c>
      <c r="M1321" s="15" t="n">
        <f aca="false">AI1321*評分方法!$C$9</f>
        <v>10</v>
      </c>
      <c r="N1321" s="15" t="n">
        <f aca="false">AJ1321*評分方法!$C$10</f>
        <v>3.824</v>
      </c>
      <c r="O1321" s="15" t="n">
        <f aca="false">AK1321*評分方法!$C$11</f>
        <v>1</v>
      </c>
      <c r="P1321" s="15" t="n">
        <f aca="false">AL1321*評分方法!$C$12</f>
        <v>0</v>
      </c>
      <c r="Q1321" s="6" t="n">
        <v>393464</v>
      </c>
      <c r="R1321" s="6" t="n">
        <v>70830722</v>
      </c>
      <c r="S1321" s="11" t="s">
        <v>238</v>
      </c>
      <c r="T1321" s="11" t="s">
        <v>278</v>
      </c>
      <c r="U1321" s="5" t="s">
        <v>240</v>
      </c>
      <c r="V1321" s="11" t="s">
        <v>288</v>
      </c>
      <c r="W1321" s="5" t="s">
        <v>334</v>
      </c>
      <c r="X1321" s="5" t="s">
        <v>242</v>
      </c>
      <c r="Y1321" s="11" t="s">
        <v>748</v>
      </c>
      <c r="Z1321" s="11" t="s">
        <v>244</v>
      </c>
      <c r="AA1321" s="11" t="s">
        <v>151</v>
      </c>
      <c r="AB1321" s="5" t="s">
        <v>245</v>
      </c>
      <c r="AC1321" s="5" t="s">
        <v>246</v>
      </c>
      <c r="AD1321" s="11" t="s">
        <v>3294</v>
      </c>
      <c r="AE1321" s="23" t="n">
        <v>0.9</v>
      </c>
      <c r="AF1321" s="23" t="n">
        <v>0</v>
      </c>
      <c r="AG1321" s="23" t="n">
        <v>0.33</v>
      </c>
      <c r="AH1321" s="23" t="n">
        <v>1</v>
      </c>
      <c r="AI1321" s="23" t="n">
        <v>1</v>
      </c>
      <c r="AJ1321" s="23" t="n">
        <v>0.3824</v>
      </c>
      <c r="AK1321" s="23" t="n">
        <v>0.2</v>
      </c>
      <c r="AL1321" s="23" t="n">
        <v>0</v>
      </c>
      <c r="AM1321" s="16" t="n">
        <f aca="false">COUNTIFS($D$2:$D$2501,D1321,$G$2:$G$2501,"&gt;"&amp;G1321)+COUNTIFS($D$2:D1321,D1321,$G$2:G1321,G1321)</f>
        <v>38</v>
      </c>
      <c r="AN1321" s="5" t="str">
        <f aca="false">D1321&amp;"|"&amp;AM1321</f>
        <v>分類與偵測|38</v>
      </c>
    </row>
    <row r="1322" customFormat="false" ht="17.15" hidden="false" customHeight="false" outlineLevel="0" collapsed="false">
      <c r="A1322" s="16" t="n">
        <f aca="false">RANK(G1322,$G$2:$G$2501)+COUNTIF($G$2:G1322,G1322)-1</f>
        <v>1321</v>
      </c>
      <c r="B1322" s="11" t="s">
        <v>3295</v>
      </c>
      <c r="C1322" s="11" t="s">
        <v>3296</v>
      </c>
      <c r="D1322" s="5" t="s">
        <v>56</v>
      </c>
      <c r="E1322" s="5" t="s">
        <v>57</v>
      </c>
      <c r="F1322" s="5"/>
      <c r="G1322" s="22" t="n">
        <f aca="false">ROUND(SUM(I1322:P1322),3)</f>
        <v>61.738</v>
      </c>
      <c r="H1322" s="5" t="str">
        <f aca="false">IF(G1322&gt;=評分方法!$C$16,"優先評估",IF(G1322&gt;=評分方法!$C$17,"列入候選",IF(G1322&gt;=評分方法!$C$18,"特定情境","不建議")))</f>
        <v>特定情境</v>
      </c>
      <c r="I1322" s="15" t="n">
        <f aca="false">AE1322*評分方法!$C$5</f>
        <v>25.5</v>
      </c>
      <c r="J1322" s="15" t="n">
        <f aca="false">AF1322*評分方法!$C$6</f>
        <v>0</v>
      </c>
      <c r="K1322" s="15" t="n">
        <f aca="false">AG1322*評分方法!$C$7</f>
        <v>4.95</v>
      </c>
      <c r="L1322" s="15" t="n">
        <f aca="false">AH1322*評分方法!$C$8</f>
        <v>15</v>
      </c>
      <c r="M1322" s="15" t="n">
        <f aca="false">AI1322*評分方法!$C$9</f>
        <v>10</v>
      </c>
      <c r="N1322" s="15" t="n">
        <f aca="false">AJ1322*評分方法!$C$10</f>
        <v>3.788</v>
      </c>
      <c r="O1322" s="15" t="n">
        <f aca="false">AK1322*評分方法!$C$11</f>
        <v>2.5</v>
      </c>
      <c r="P1322" s="15" t="n">
        <f aca="false">AL1322*評分方法!$C$12</f>
        <v>0</v>
      </c>
      <c r="Q1322" s="6" t="n">
        <v>387812</v>
      </c>
      <c r="R1322" s="6" t="n">
        <v>353424384</v>
      </c>
      <c r="S1322" s="11" t="s">
        <v>238</v>
      </c>
      <c r="T1322" s="11" t="s">
        <v>239</v>
      </c>
      <c r="U1322" s="5" t="s">
        <v>240</v>
      </c>
      <c r="V1322" s="11" t="s">
        <v>261</v>
      </c>
      <c r="W1322" s="5" t="s">
        <v>334</v>
      </c>
      <c r="X1322" s="5" t="s">
        <v>242</v>
      </c>
      <c r="Y1322" s="5"/>
      <c r="Z1322" s="5"/>
      <c r="AA1322" s="11" t="s">
        <v>155</v>
      </c>
      <c r="AB1322" s="5" t="s">
        <v>328</v>
      </c>
      <c r="AC1322" s="5" t="s">
        <v>400</v>
      </c>
      <c r="AD1322" s="11" t="s">
        <v>3297</v>
      </c>
      <c r="AE1322" s="23" t="n">
        <v>0.85</v>
      </c>
      <c r="AF1322" s="23" t="n">
        <v>0</v>
      </c>
      <c r="AG1322" s="23" t="n">
        <v>0.33</v>
      </c>
      <c r="AH1322" s="23" t="n">
        <v>1</v>
      </c>
      <c r="AI1322" s="23" t="n">
        <v>1</v>
      </c>
      <c r="AJ1322" s="23" t="n">
        <v>0.3788</v>
      </c>
      <c r="AK1322" s="23" t="n">
        <v>0.5</v>
      </c>
      <c r="AL1322" s="23" t="n">
        <v>0</v>
      </c>
      <c r="AM1322" s="16" t="n">
        <f aca="false">COUNTIFS($D$2:$D$2501,D1322,$G$2:$G$2501,"&gt;"&amp;G1322)+COUNTIFS($D$2:D1322,D1322,$G$2:G1322,G1322)</f>
        <v>601</v>
      </c>
      <c r="AN1322" s="5" t="str">
        <f aca="false">D1322&amp;"|"&amp;AM1322</f>
        <v>分析與報告生成|601</v>
      </c>
    </row>
    <row r="1323" customFormat="false" ht="17.15" hidden="false" customHeight="false" outlineLevel="0" collapsed="false">
      <c r="A1323" s="16" t="n">
        <f aca="false">RANK(G1323,$G$2:$G$2501)+COUNTIF($G$2:G1323,G1323)-1</f>
        <v>1322</v>
      </c>
      <c r="B1323" s="11" t="s">
        <v>3298</v>
      </c>
      <c r="C1323" s="11" t="s">
        <v>2712</v>
      </c>
      <c r="D1323" s="5" t="s">
        <v>56</v>
      </c>
      <c r="E1323" s="5" t="s">
        <v>57</v>
      </c>
      <c r="F1323" s="5"/>
      <c r="G1323" s="22" t="n">
        <f aca="false">ROUND(SUM(I1323:P1323),3)</f>
        <v>61.732</v>
      </c>
      <c r="H1323" s="5" t="str">
        <f aca="false">IF(G1323&gt;=評分方法!$C$16,"優先評估",IF(G1323&gt;=評分方法!$C$17,"列入候選",IF(G1323&gt;=評分方法!$C$18,"特定情境","不建議")))</f>
        <v>特定情境</v>
      </c>
      <c r="I1323" s="15" t="n">
        <f aca="false">AE1323*評分方法!$C$5</f>
        <v>25.5</v>
      </c>
      <c r="J1323" s="15" t="n">
        <f aca="false">AF1323*評分方法!$C$6</f>
        <v>0</v>
      </c>
      <c r="K1323" s="15" t="n">
        <f aca="false">AG1323*評分方法!$C$7</f>
        <v>4.95</v>
      </c>
      <c r="L1323" s="15" t="n">
        <f aca="false">AH1323*評分方法!$C$8</f>
        <v>13.05</v>
      </c>
      <c r="M1323" s="15" t="n">
        <f aca="false">AI1323*評分方法!$C$9</f>
        <v>10</v>
      </c>
      <c r="N1323" s="15" t="n">
        <f aca="false">AJ1323*評分方法!$C$10</f>
        <v>0.732</v>
      </c>
      <c r="O1323" s="15" t="n">
        <f aca="false">AK1323*評分方法!$C$11</f>
        <v>2.5</v>
      </c>
      <c r="P1323" s="15" t="n">
        <f aca="false">AL1323*評分方法!$C$12</f>
        <v>5</v>
      </c>
      <c r="Q1323" s="6" t="n">
        <v>143966</v>
      </c>
      <c r="R1323" s="6" t="n">
        <v>9152319488</v>
      </c>
      <c r="S1323" s="11" t="s">
        <v>254</v>
      </c>
      <c r="T1323" s="11" t="s">
        <v>239</v>
      </c>
      <c r="U1323" s="5" t="s">
        <v>240</v>
      </c>
      <c r="V1323" s="11" t="s">
        <v>261</v>
      </c>
      <c r="W1323" s="5" t="s">
        <v>334</v>
      </c>
      <c r="X1323" s="5" t="s">
        <v>284</v>
      </c>
      <c r="Y1323" s="11" t="s">
        <v>3299</v>
      </c>
      <c r="Z1323" s="11" t="s">
        <v>270</v>
      </c>
      <c r="AA1323" s="11" t="s">
        <v>155</v>
      </c>
      <c r="AB1323" s="5" t="s">
        <v>245</v>
      </c>
      <c r="AC1323" s="5"/>
      <c r="AD1323" s="11" t="s">
        <v>3300</v>
      </c>
      <c r="AE1323" s="23" t="n">
        <v>0.85</v>
      </c>
      <c r="AF1323" s="23" t="n">
        <v>0</v>
      </c>
      <c r="AG1323" s="23" t="n">
        <v>0.33</v>
      </c>
      <c r="AH1323" s="23" t="n">
        <v>0.87</v>
      </c>
      <c r="AI1323" s="23" t="n">
        <v>1</v>
      </c>
      <c r="AJ1323" s="23" t="n">
        <v>0.0732</v>
      </c>
      <c r="AK1323" s="23" t="n">
        <v>0.5</v>
      </c>
      <c r="AL1323" s="23" t="n">
        <v>1</v>
      </c>
      <c r="AM1323" s="16" t="n">
        <f aca="false">COUNTIFS($D$2:$D$2501,D1323,$G$2:$G$2501,"&gt;"&amp;G1323)+COUNTIFS($D$2:D1323,D1323,$G$2:G1323,G1323)</f>
        <v>602</v>
      </c>
      <c r="AN1323" s="5" t="str">
        <f aca="false">D1323&amp;"|"&amp;AM1323</f>
        <v>分析與報告生成|602</v>
      </c>
    </row>
    <row r="1324" customFormat="false" ht="17.15" hidden="false" customHeight="false" outlineLevel="0" collapsed="false">
      <c r="A1324" s="16" t="n">
        <f aca="false">RANK(G1324,$G$2:$G$2501)+COUNTIF($G$2:G1324,G1324)-1</f>
        <v>1323</v>
      </c>
      <c r="B1324" s="11" t="s">
        <v>3301</v>
      </c>
      <c r="C1324" s="11" t="s">
        <v>2785</v>
      </c>
      <c r="D1324" s="5" t="s">
        <v>56</v>
      </c>
      <c r="E1324" s="5" t="s">
        <v>57</v>
      </c>
      <c r="F1324" s="5"/>
      <c r="G1324" s="22" t="n">
        <f aca="false">ROUND(SUM(I1324:P1324),3)</f>
        <v>61.72</v>
      </c>
      <c r="H1324" s="5" t="str">
        <f aca="false">IF(G1324&gt;=評分方法!$C$16,"優先評估",IF(G1324&gt;=評分方法!$C$17,"列入候選",IF(G1324&gt;=評分方法!$C$18,"特定情境","不建議")))</f>
        <v>特定情境</v>
      </c>
      <c r="I1324" s="15" t="n">
        <f aca="false">AE1324*評分方法!$C$5</f>
        <v>25.5</v>
      </c>
      <c r="J1324" s="15" t="n">
        <f aca="false">AF1324*評分方法!$C$6</f>
        <v>0</v>
      </c>
      <c r="K1324" s="15" t="n">
        <f aca="false">AG1324*評分方法!$C$7</f>
        <v>10.05</v>
      </c>
      <c r="L1324" s="15" t="n">
        <f aca="false">AH1324*評分方法!$C$8</f>
        <v>13.05</v>
      </c>
      <c r="M1324" s="15" t="n">
        <f aca="false">AI1324*評分方法!$C$9</f>
        <v>6</v>
      </c>
      <c r="N1324" s="15" t="n">
        <f aca="false">AJ1324*評分方法!$C$10</f>
        <v>6.12</v>
      </c>
      <c r="O1324" s="15" t="n">
        <f aca="false">AK1324*評分方法!$C$11</f>
        <v>1</v>
      </c>
      <c r="P1324" s="15" t="n">
        <f aca="false">AL1324*評分方法!$C$12</f>
        <v>0</v>
      </c>
      <c r="Q1324" s="6" t="n">
        <v>647550</v>
      </c>
      <c r="R1324" s="6" t="n">
        <v>8030261248</v>
      </c>
      <c r="S1324" s="11" t="s">
        <v>254</v>
      </c>
      <c r="T1324" s="11" t="s">
        <v>185</v>
      </c>
      <c r="U1324" s="5" t="s">
        <v>260</v>
      </c>
      <c r="V1324" s="11" t="s">
        <v>261</v>
      </c>
      <c r="W1324" s="5" t="s">
        <v>207</v>
      </c>
      <c r="X1324" s="5" t="s">
        <v>242</v>
      </c>
      <c r="Y1324" s="5"/>
      <c r="Z1324" s="5"/>
      <c r="AA1324" s="11" t="s">
        <v>155</v>
      </c>
      <c r="AB1324" s="5" t="s">
        <v>245</v>
      </c>
      <c r="AC1324" s="5" t="s">
        <v>262</v>
      </c>
      <c r="AD1324" s="11" t="s">
        <v>3302</v>
      </c>
      <c r="AE1324" s="23" t="n">
        <v>0.85</v>
      </c>
      <c r="AF1324" s="23" t="n">
        <v>0</v>
      </c>
      <c r="AG1324" s="23" t="n">
        <v>0.67</v>
      </c>
      <c r="AH1324" s="23" t="n">
        <v>0.87</v>
      </c>
      <c r="AI1324" s="23" t="n">
        <v>0.6</v>
      </c>
      <c r="AJ1324" s="23" t="n">
        <v>0.612</v>
      </c>
      <c r="AK1324" s="23" t="n">
        <v>0.2</v>
      </c>
      <c r="AL1324" s="23" t="n">
        <v>0</v>
      </c>
      <c r="AM1324" s="16" t="n">
        <f aca="false">COUNTIFS($D$2:$D$2501,D1324,$G$2:$G$2501,"&gt;"&amp;G1324)+COUNTIFS($D$2:D1324,D1324,$G$2:G1324,G1324)</f>
        <v>603</v>
      </c>
      <c r="AN1324" s="5" t="str">
        <f aca="false">D1324&amp;"|"&amp;AM1324</f>
        <v>分析與報告生成|603</v>
      </c>
    </row>
    <row r="1325" customFormat="false" ht="17.15" hidden="false" customHeight="false" outlineLevel="0" collapsed="false">
      <c r="A1325" s="16" t="n">
        <f aca="false">RANK(G1325,$G$2:$G$2501)+COUNTIF($G$2:G1325,G1325)-1</f>
        <v>1324</v>
      </c>
      <c r="B1325" s="11" t="s">
        <v>3303</v>
      </c>
      <c r="C1325" s="11" t="s">
        <v>2719</v>
      </c>
      <c r="D1325" s="5" t="s">
        <v>56</v>
      </c>
      <c r="E1325" s="5" t="s">
        <v>57</v>
      </c>
      <c r="F1325" s="5"/>
      <c r="G1325" s="22" t="n">
        <f aca="false">ROUND(SUM(I1325:P1325),3)</f>
        <v>61.69</v>
      </c>
      <c r="H1325" s="5" t="str">
        <f aca="false">IF(G1325&gt;=評分方法!$C$16,"優先評估",IF(G1325&gt;=評分方法!$C$17,"列入候選",IF(G1325&gt;=評分方法!$C$18,"特定情境","不建議")))</f>
        <v>特定情境</v>
      </c>
      <c r="I1325" s="15" t="n">
        <f aca="false">AE1325*評分方法!$C$5</f>
        <v>25.5</v>
      </c>
      <c r="J1325" s="15" t="n">
        <f aca="false">AF1325*評分方法!$C$6</f>
        <v>0</v>
      </c>
      <c r="K1325" s="15" t="n">
        <f aca="false">AG1325*評分方法!$C$7</f>
        <v>4.95</v>
      </c>
      <c r="L1325" s="15" t="n">
        <f aca="false">AH1325*評分方法!$C$8</f>
        <v>9</v>
      </c>
      <c r="M1325" s="15" t="n">
        <f aca="false">AI1325*評分方法!$C$9</f>
        <v>10</v>
      </c>
      <c r="N1325" s="15" t="n">
        <f aca="false">AJ1325*評分方法!$C$10</f>
        <v>4.24</v>
      </c>
      <c r="O1325" s="15" t="n">
        <f aca="false">AK1325*評分方法!$C$11</f>
        <v>5</v>
      </c>
      <c r="P1325" s="15" t="n">
        <f aca="false">AL1325*評分方法!$C$12</f>
        <v>3</v>
      </c>
      <c r="Q1325" s="6" t="n">
        <v>466418</v>
      </c>
      <c r="R1325" s="6" t="n">
        <v>30697345596</v>
      </c>
      <c r="S1325" s="11" t="s">
        <v>389</v>
      </c>
      <c r="T1325" s="11" t="s">
        <v>239</v>
      </c>
      <c r="U1325" s="5" t="s">
        <v>240</v>
      </c>
      <c r="V1325" s="11" t="s">
        <v>333</v>
      </c>
      <c r="W1325" s="5" t="s">
        <v>334</v>
      </c>
      <c r="X1325" s="5" t="s">
        <v>371</v>
      </c>
      <c r="Y1325" s="11" t="s">
        <v>3304</v>
      </c>
      <c r="Z1325" s="11" t="s">
        <v>244</v>
      </c>
      <c r="AA1325" s="11" t="s">
        <v>155</v>
      </c>
      <c r="AB1325" s="5" t="s">
        <v>245</v>
      </c>
      <c r="AC1325" s="5" t="s">
        <v>246</v>
      </c>
      <c r="AD1325" s="11" t="s">
        <v>3305</v>
      </c>
      <c r="AE1325" s="23" t="n">
        <v>0.85</v>
      </c>
      <c r="AF1325" s="23" t="n">
        <v>0</v>
      </c>
      <c r="AG1325" s="23" t="n">
        <v>0.33</v>
      </c>
      <c r="AH1325" s="23" t="n">
        <v>0.6</v>
      </c>
      <c r="AI1325" s="23" t="n">
        <v>1</v>
      </c>
      <c r="AJ1325" s="23" t="n">
        <v>0.424</v>
      </c>
      <c r="AK1325" s="23" t="n">
        <v>1</v>
      </c>
      <c r="AL1325" s="23" t="n">
        <v>0.6</v>
      </c>
      <c r="AM1325" s="16" t="n">
        <f aca="false">COUNTIFS($D$2:$D$2501,D1325,$G$2:$G$2501,"&gt;"&amp;G1325)+COUNTIFS($D$2:D1325,D1325,$G$2:G1325,G1325)</f>
        <v>604</v>
      </c>
      <c r="AN1325" s="5" t="str">
        <f aca="false">D1325&amp;"|"&amp;AM1325</f>
        <v>分析與報告生成|604</v>
      </c>
    </row>
    <row r="1326" customFormat="false" ht="17.15" hidden="false" customHeight="false" outlineLevel="0" collapsed="false">
      <c r="A1326" s="16" t="n">
        <f aca="false">RANK(G1326,$G$2:$G$2501)+COUNTIF($G$2:G1326,G1326)-1</f>
        <v>1325</v>
      </c>
      <c r="B1326" s="11" t="s">
        <v>3306</v>
      </c>
      <c r="C1326" s="11" t="s">
        <v>2693</v>
      </c>
      <c r="D1326" s="5" t="s">
        <v>74</v>
      </c>
      <c r="E1326" s="5" t="s">
        <v>75</v>
      </c>
      <c r="F1326" s="5"/>
      <c r="G1326" s="22" t="n">
        <f aca="false">ROUND(SUM(I1326:P1326),3)</f>
        <v>61.676</v>
      </c>
      <c r="H1326" s="5" t="str">
        <f aca="false">IF(G1326&gt;=評分方法!$C$16,"優先評估",IF(G1326&gt;=評分方法!$C$17,"列入候選",IF(G1326&gt;=評分方法!$C$18,"特定情境","不建議")))</f>
        <v>特定情境</v>
      </c>
      <c r="I1326" s="15" t="n">
        <f aca="false">AE1326*評分方法!$C$5</f>
        <v>10.5</v>
      </c>
      <c r="J1326" s="15" t="n">
        <f aca="false">AF1326*評分方法!$C$6</f>
        <v>0</v>
      </c>
      <c r="K1326" s="15" t="n">
        <f aca="false">AG1326*評分方法!$C$7</f>
        <v>15</v>
      </c>
      <c r="L1326" s="15" t="n">
        <f aca="false">AH1326*評分方法!$C$8</f>
        <v>15</v>
      </c>
      <c r="M1326" s="15" t="n">
        <f aca="false">AI1326*評分方法!$C$9</f>
        <v>10</v>
      </c>
      <c r="N1326" s="15" t="n">
        <f aca="false">AJ1326*評分方法!$C$10</f>
        <v>7.176</v>
      </c>
      <c r="O1326" s="15" t="n">
        <f aca="false">AK1326*評分方法!$C$11</f>
        <v>2.5</v>
      </c>
      <c r="P1326" s="15" t="n">
        <f aca="false">AL1326*評分方法!$C$12</f>
        <v>1.5</v>
      </c>
      <c r="Q1326" s="6" t="n">
        <v>986654</v>
      </c>
      <c r="R1326" s="6" t="n">
        <v>85798656</v>
      </c>
      <c r="S1326" s="11" t="s">
        <v>238</v>
      </c>
      <c r="T1326" s="11" t="s">
        <v>239</v>
      </c>
      <c r="U1326" s="5" t="s">
        <v>240</v>
      </c>
      <c r="V1326" s="11" t="s">
        <v>324</v>
      </c>
      <c r="W1326" s="5" t="s">
        <v>205</v>
      </c>
      <c r="X1326" s="5" t="s">
        <v>255</v>
      </c>
      <c r="Y1326" s="5"/>
      <c r="Z1326" s="5"/>
      <c r="AA1326" s="11" t="s">
        <v>173</v>
      </c>
      <c r="AB1326" s="5" t="s">
        <v>245</v>
      </c>
      <c r="AC1326" s="5"/>
      <c r="AD1326" s="11" t="s">
        <v>3307</v>
      </c>
      <c r="AE1326" s="23" t="n">
        <v>0.35</v>
      </c>
      <c r="AF1326" s="23" t="n">
        <v>0</v>
      </c>
      <c r="AG1326" s="23" t="n">
        <v>1</v>
      </c>
      <c r="AH1326" s="23" t="n">
        <v>1</v>
      </c>
      <c r="AI1326" s="23" t="n">
        <v>1</v>
      </c>
      <c r="AJ1326" s="23" t="n">
        <v>0.7176</v>
      </c>
      <c r="AK1326" s="23" t="n">
        <v>0.5</v>
      </c>
      <c r="AL1326" s="23" t="n">
        <v>0.3</v>
      </c>
      <c r="AM1326" s="16" t="n">
        <f aca="false">COUNTIFS($D$2:$D$2501,D1326,$G$2:$G$2501,"&gt;"&amp;G1326)+COUNTIFS($D$2:D1326,D1326,$G$2:G1326,G1326)</f>
        <v>64</v>
      </c>
      <c r="AN1326" s="5" t="str">
        <f aca="false">D1326&amp;"|"&amp;AM1326</f>
        <v>文件與影像辨識|64</v>
      </c>
    </row>
    <row r="1327" customFormat="false" ht="17.15" hidden="false" customHeight="false" outlineLevel="0" collapsed="false">
      <c r="A1327" s="16" t="n">
        <f aca="false">RANK(G1327,$G$2:$G$2501)+COUNTIF($G$2:G1327,G1327)-1</f>
        <v>1326</v>
      </c>
      <c r="B1327" s="11" t="s">
        <v>3308</v>
      </c>
      <c r="C1327" s="11" t="s">
        <v>2693</v>
      </c>
      <c r="D1327" s="5" t="s">
        <v>74</v>
      </c>
      <c r="E1327" s="5" t="s">
        <v>75</v>
      </c>
      <c r="F1327" s="5"/>
      <c r="G1327" s="22" t="n">
        <f aca="false">ROUND(SUM(I1327:P1327),3)</f>
        <v>61.652</v>
      </c>
      <c r="H1327" s="5" t="str">
        <f aca="false">IF(G1327&gt;=評分方法!$C$16,"優先評估",IF(G1327&gt;=評分方法!$C$17,"列入候選",IF(G1327&gt;=評分方法!$C$18,"特定情境","不建議")))</f>
        <v>特定情境</v>
      </c>
      <c r="I1327" s="15" t="n">
        <f aca="false">AE1327*評分方法!$C$5</f>
        <v>10.5</v>
      </c>
      <c r="J1327" s="15" t="n">
        <f aca="false">AF1327*評分方法!$C$6</f>
        <v>0</v>
      </c>
      <c r="K1327" s="15" t="n">
        <f aca="false">AG1327*評分方法!$C$7</f>
        <v>15</v>
      </c>
      <c r="L1327" s="15" t="n">
        <f aca="false">AH1327*評分方法!$C$8</f>
        <v>15</v>
      </c>
      <c r="M1327" s="15" t="n">
        <f aca="false">AI1327*評分方法!$C$9</f>
        <v>10</v>
      </c>
      <c r="N1327" s="15" t="n">
        <f aca="false">AJ1327*評分方法!$C$10</f>
        <v>7.152</v>
      </c>
      <c r="O1327" s="15" t="n">
        <f aca="false">AK1327*評分方法!$C$11</f>
        <v>2.5</v>
      </c>
      <c r="P1327" s="15" t="n">
        <f aca="false">AL1327*評分方法!$C$12</f>
        <v>1.5</v>
      </c>
      <c r="Q1327" s="6" t="n">
        <v>979801</v>
      </c>
      <c r="R1327" s="6" t="n">
        <v>28538058</v>
      </c>
      <c r="S1327" s="11" t="s">
        <v>238</v>
      </c>
      <c r="T1327" s="11" t="s">
        <v>278</v>
      </c>
      <c r="U1327" s="5" t="s">
        <v>240</v>
      </c>
      <c r="V1327" s="11" t="s">
        <v>324</v>
      </c>
      <c r="W1327" s="5" t="s">
        <v>205</v>
      </c>
      <c r="X1327" s="5" t="s">
        <v>255</v>
      </c>
      <c r="Y1327" s="5"/>
      <c r="Z1327" s="5"/>
      <c r="AA1327" s="11" t="s">
        <v>172</v>
      </c>
      <c r="AB1327" s="5" t="s">
        <v>245</v>
      </c>
      <c r="AC1327" s="5"/>
      <c r="AD1327" s="11" t="s">
        <v>3309</v>
      </c>
      <c r="AE1327" s="23" t="n">
        <v>0.35</v>
      </c>
      <c r="AF1327" s="23" t="n">
        <v>0</v>
      </c>
      <c r="AG1327" s="23" t="n">
        <v>1</v>
      </c>
      <c r="AH1327" s="23" t="n">
        <v>1</v>
      </c>
      <c r="AI1327" s="23" t="n">
        <v>1</v>
      </c>
      <c r="AJ1327" s="23" t="n">
        <v>0.7152</v>
      </c>
      <c r="AK1327" s="23" t="n">
        <v>0.5</v>
      </c>
      <c r="AL1327" s="23" t="n">
        <v>0.3</v>
      </c>
      <c r="AM1327" s="16" t="n">
        <f aca="false">COUNTIFS($D$2:$D$2501,D1327,$G$2:$G$2501,"&gt;"&amp;G1327)+COUNTIFS($D$2:D1327,D1327,$G$2:G1327,G1327)</f>
        <v>65</v>
      </c>
      <c r="AN1327" s="5" t="str">
        <f aca="false">D1327&amp;"|"&amp;AM1327</f>
        <v>文件與影像辨識|65</v>
      </c>
    </row>
    <row r="1328" customFormat="false" ht="17.15" hidden="false" customHeight="false" outlineLevel="0" collapsed="false">
      <c r="A1328" s="16" t="n">
        <f aca="false">RANK(G1328,$G$2:$G$2501)+COUNTIF($G$2:G1328,G1328)-1</f>
        <v>1327</v>
      </c>
      <c r="B1328" s="11" t="s">
        <v>3310</v>
      </c>
      <c r="C1328" s="11" t="s">
        <v>2693</v>
      </c>
      <c r="D1328" s="5" t="s">
        <v>74</v>
      </c>
      <c r="E1328" s="5" t="s">
        <v>75</v>
      </c>
      <c r="F1328" s="5"/>
      <c r="G1328" s="22" t="n">
        <f aca="false">ROUND(SUM(I1328:P1328),3)</f>
        <v>61.644</v>
      </c>
      <c r="H1328" s="5" t="str">
        <f aca="false">IF(G1328&gt;=評分方法!$C$16,"優先評估",IF(G1328&gt;=評分方法!$C$17,"列入候選",IF(G1328&gt;=評分方法!$C$18,"特定情境","不建議")))</f>
        <v>特定情境</v>
      </c>
      <c r="I1328" s="15" t="n">
        <f aca="false">AE1328*評分方法!$C$5</f>
        <v>10.5</v>
      </c>
      <c r="J1328" s="15" t="n">
        <f aca="false">AF1328*評分方法!$C$6</f>
        <v>0</v>
      </c>
      <c r="K1328" s="15" t="n">
        <f aca="false">AG1328*評分方法!$C$7</f>
        <v>15</v>
      </c>
      <c r="L1328" s="15" t="n">
        <f aca="false">AH1328*評分方法!$C$8</f>
        <v>15</v>
      </c>
      <c r="M1328" s="15" t="n">
        <f aca="false">AI1328*評分方法!$C$9</f>
        <v>10</v>
      </c>
      <c r="N1328" s="15" t="n">
        <f aca="false">AJ1328*評分方法!$C$10</f>
        <v>7.144</v>
      </c>
      <c r="O1328" s="15" t="n">
        <f aca="false">AK1328*評分方法!$C$11</f>
        <v>2.5</v>
      </c>
      <c r="P1328" s="15" t="n">
        <f aca="false">AL1328*評分方法!$C$12</f>
        <v>1.5</v>
      </c>
      <c r="Q1328" s="6" t="n">
        <v>974066</v>
      </c>
      <c r="R1328" s="6" t="n">
        <v>304367616</v>
      </c>
      <c r="S1328" s="11" t="s">
        <v>238</v>
      </c>
      <c r="T1328" s="11" t="s">
        <v>239</v>
      </c>
      <c r="U1328" s="5" t="s">
        <v>240</v>
      </c>
      <c r="V1328" s="11" t="s">
        <v>324</v>
      </c>
      <c r="W1328" s="5" t="s">
        <v>205</v>
      </c>
      <c r="X1328" s="5" t="s">
        <v>255</v>
      </c>
      <c r="Y1328" s="5"/>
      <c r="Z1328" s="5"/>
      <c r="AA1328" s="11" t="s">
        <v>173</v>
      </c>
      <c r="AB1328" s="5" t="s">
        <v>245</v>
      </c>
      <c r="AC1328" s="5"/>
      <c r="AD1328" s="11" t="s">
        <v>3311</v>
      </c>
      <c r="AE1328" s="23" t="n">
        <v>0.35</v>
      </c>
      <c r="AF1328" s="23" t="n">
        <v>0</v>
      </c>
      <c r="AG1328" s="23" t="n">
        <v>1</v>
      </c>
      <c r="AH1328" s="23" t="n">
        <v>1</v>
      </c>
      <c r="AI1328" s="23" t="n">
        <v>1</v>
      </c>
      <c r="AJ1328" s="23" t="n">
        <v>0.7144</v>
      </c>
      <c r="AK1328" s="23" t="n">
        <v>0.5</v>
      </c>
      <c r="AL1328" s="23" t="n">
        <v>0.3</v>
      </c>
      <c r="AM1328" s="16" t="n">
        <f aca="false">COUNTIFS($D$2:$D$2501,D1328,$G$2:$G$2501,"&gt;"&amp;G1328)+COUNTIFS($D$2:D1328,D1328,$G$2:G1328,G1328)</f>
        <v>66</v>
      </c>
      <c r="AN1328" s="5" t="str">
        <f aca="false">D1328&amp;"|"&amp;AM1328</f>
        <v>文件與影像辨識|66</v>
      </c>
    </row>
    <row r="1329" customFormat="false" ht="17.15" hidden="false" customHeight="false" outlineLevel="0" collapsed="false">
      <c r="A1329" s="16" t="n">
        <f aca="false">RANK(G1329,$G$2:$G$2501)+COUNTIF($G$2:G1329,G1329)-1</f>
        <v>1328</v>
      </c>
      <c r="B1329" s="11" t="s">
        <v>3312</v>
      </c>
      <c r="C1329" s="11" t="s">
        <v>681</v>
      </c>
      <c r="D1329" s="5" t="s">
        <v>74</v>
      </c>
      <c r="E1329" s="5" t="s">
        <v>75</v>
      </c>
      <c r="F1329" s="5"/>
      <c r="G1329" s="22" t="n">
        <f aca="false">ROUND(SUM(I1329:P1329),3)</f>
        <v>61.64</v>
      </c>
      <c r="H1329" s="5" t="str">
        <f aca="false">IF(G1329&gt;=評分方法!$C$16,"優先評估",IF(G1329&gt;=評分方法!$C$17,"列入候選",IF(G1329&gt;=評分方法!$C$18,"特定情境","不建議")))</f>
        <v>特定情境</v>
      </c>
      <c r="I1329" s="15" t="n">
        <f aca="false">AE1329*評分方法!$C$5</f>
        <v>10.5</v>
      </c>
      <c r="J1329" s="15" t="n">
        <f aca="false">AF1329*評分方法!$C$6</f>
        <v>0</v>
      </c>
      <c r="K1329" s="15" t="n">
        <f aca="false">AG1329*評分方法!$C$7</f>
        <v>15</v>
      </c>
      <c r="L1329" s="15" t="n">
        <f aca="false">AH1329*評分方法!$C$8</f>
        <v>15</v>
      </c>
      <c r="M1329" s="15" t="n">
        <f aca="false">AI1329*評分方法!$C$9</f>
        <v>10</v>
      </c>
      <c r="N1329" s="15" t="n">
        <f aca="false">AJ1329*評分方法!$C$10</f>
        <v>7.14</v>
      </c>
      <c r="O1329" s="15" t="n">
        <f aca="false">AK1329*評分方法!$C$11</f>
        <v>2.5</v>
      </c>
      <c r="P1329" s="15" t="n">
        <f aca="false">AL1329*評分方法!$C$12</f>
        <v>1.5</v>
      </c>
      <c r="Q1329" s="6" t="n">
        <v>973730</v>
      </c>
      <c r="R1329" s="6" t="n">
        <v>86583552</v>
      </c>
      <c r="S1329" s="11" t="s">
        <v>238</v>
      </c>
      <c r="T1329" s="11" t="s">
        <v>239</v>
      </c>
      <c r="U1329" s="5" t="s">
        <v>240</v>
      </c>
      <c r="V1329" s="11" t="s">
        <v>261</v>
      </c>
      <c r="W1329" s="5" t="s">
        <v>205</v>
      </c>
      <c r="X1329" s="5" t="s">
        <v>255</v>
      </c>
      <c r="Y1329" s="5"/>
      <c r="Z1329" s="5"/>
      <c r="AA1329" s="11" t="s">
        <v>173</v>
      </c>
      <c r="AB1329" s="5" t="s">
        <v>245</v>
      </c>
      <c r="AC1329" s="5"/>
      <c r="AD1329" s="11" t="s">
        <v>3313</v>
      </c>
      <c r="AE1329" s="23" t="n">
        <v>0.35</v>
      </c>
      <c r="AF1329" s="23" t="n">
        <v>0</v>
      </c>
      <c r="AG1329" s="23" t="n">
        <v>1</v>
      </c>
      <c r="AH1329" s="23" t="n">
        <v>1</v>
      </c>
      <c r="AI1329" s="23" t="n">
        <v>1</v>
      </c>
      <c r="AJ1329" s="23" t="n">
        <v>0.714</v>
      </c>
      <c r="AK1329" s="23" t="n">
        <v>0.5</v>
      </c>
      <c r="AL1329" s="23" t="n">
        <v>0.3</v>
      </c>
      <c r="AM1329" s="16" t="n">
        <f aca="false">COUNTIFS($D$2:$D$2501,D1329,$G$2:$G$2501,"&gt;"&amp;G1329)+COUNTIFS($D$2:D1329,D1329,$G$2:G1329,G1329)</f>
        <v>67</v>
      </c>
      <c r="AN1329" s="5" t="str">
        <f aca="false">D1329&amp;"|"&amp;AM1329</f>
        <v>文件與影像辨識|67</v>
      </c>
    </row>
    <row r="1330" customFormat="false" ht="17.15" hidden="false" customHeight="false" outlineLevel="0" collapsed="false">
      <c r="A1330" s="16" t="n">
        <f aca="false">RANK(G1330,$G$2:$G$2501)+COUNTIF($G$2:G1330,G1330)-1</f>
        <v>1329</v>
      </c>
      <c r="B1330" s="11" t="s">
        <v>3314</v>
      </c>
      <c r="C1330" s="11" t="s">
        <v>3315</v>
      </c>
      <c r="D1330" s="5" t="s">
        <v>56</v>
      </c>
      <c r="E1330" s="5" t="s">
        <v>57</v>
      </c>
      <c r="F1330" s="5"/>
      <c r="G1330" s="22" t="n">
        <f aca="false">ROUND(SUM(I1330:P1330),3)</f>
        <v>61.638</v>
      </c>
      <c r="H1330" s="5" t="str">
        <f aca="false">IF(G1330&gt;=評分方法!$C$16,"優先評估",IF(G1330&gt;=評分方法!$C$17,"列入候選",IF(G1330&gt;=評分方法!$C$18,"特定情境","不建議")))</f>
        <v>特定情境</v>
      </c>
      <c r="I1330" s="15" t="n">
        <f aca="false">AE1330*評分方法!$C$5</f>
        <v>25.5</v>
      </c>
      <c r="J1330" s="15" t="n">
        <f aca="false">AF1330*評分方法!$C$6</f>
        <v>0</v>
      </c>
      <c r="K1330" s="15" t="n">
        <f aca="false">AG1330*評分方法!$C$7</f>
        <v>4.95</v>
      </c>
      <c r="L1330" s="15" t="n">
        <f aca="false">AH1330*評分方法!$C$8</f>
        <v>9</v>
      </c>
      <c r="M1330" s="15" t="n">
        <f aca="false">AI1330*評分方法!$C$9</f>
        <v>10</v>
      </c>
      <c r="N1330" s="15" t="n">
        <f aca="false">AJ1330*評分方法!$C$10</f>
        <v>4.188</v>
      </c>
      <c r="O1330" s="15" t="n">
        <f aca="false">AK1330*評分方法!$C$11</f>
        <v>5</v>
      </c>
      <c r="P1330" s="15" t="n">
        <f aca="false">AL1330*評分方法!$C$12</f>
        <v>3</v>
      </c>
      <c r="Q1330" s="6" t="n">
        <v>452952</v>
      </c>
      <c r="R1330" s="6" t="n">
        <v>16629722672</v>
      </c>
      <c r="S1330" s="11" t="s">
        <v>389</v>
      </c>
      <c r="T1330" s="11" t="s">
        <v>239</v>
      </c>
      <c r="U1330" s="5" t="s">
        <v>240</v>
      </c>
      <c r="V1330" s="11" t="s">
        <v>261</v>
      </c>
      <c r="W1330" s="5" t="s">
        <v>334</v>
      </c>
      <c r="X1330" s="5" t="s">
        <v>371</v>
      </c>
      <c r="Y1330" s="11" t="s">
        <v>668</v>
      </c>
      <c r="Z1330" s="11" t="s">
        <v>244</v>
      </c>
      <c r="AA1330" s="11" t="s">
        <v>155</v>
      </c>
      <c r="AB1330" s="5" t="s">
        <v>245</v>
      </c>
      <c r="AC1330" s="5" t="s">
        <v>246</v>
      </c>
      <c r="AD1330" s="11" t="s">
        <v>3316</v>
      </c>
      <c r="AE1330" s="23" t="n">
        <v>0.85</v>
      </c>
      <c r="AF1330" s="23" t="n">
        <v>0</v>
      </c>
      <c r="AG1330" s="23" t="n">
        <v>0.33</v>
      </c>
      <c r="AH1330" s="23" t="n">
        <v>0.6</v>
      </c>
      <c r="AI1330" s="23" t="n">
        <v>1</v>
      </c>
      <c r="AJ1330" s="23" t="n">
        <v>0.4188</v>
      </c>
      <c r="AK1330" s="23" t="n">
        <v>1</v>
      </c>
      <c r="AL1330" s="23" t="n">
        <v>0.6</v>
      </c>
      <c r="AM1330" s="16" t="n">
        <f aca="false">COUNTIFS($D$2:$D$2501,D1330,$G$2:$G$2501,"&gt;"&amp;G1330)+COUNTIFS($D$2:D1330,D1330,$G$2:G1330,G1330)</f>
        <v>605</v>
      </c>
      <c r="AN1330" s="5" t="str">
        <f aca="false">D1330&amp;"|"&amp;AM1330</f>
        <v>分析與報告生成|605</v>
      </c>
    </row>
    <row r="1331" customFormat="false" ht="17.15" hidden="false" customHeight="false" outlineLevel="0" collapsed="false">
      <c r="A1331" s="16" t="n">
        <f aca="false">RANK(G1331,$G$2:$G$2501)+COUNTIF($G$2:G1331,G1331)-1</f>
        <v>1330</v>
      </c>
      <c r="B1331" s="11" t="s">
        <v>3317</v>
      </c>
      <c r="C1331" s="11" t="s">
        <v>1161</v>
      </c>
      <c r="D1331" s="5" t="s">
        <v>56</v>
      </c>
      <c r="E1331" s="5" t="s">
        <v>57</v>
      </c>
      <c r="F1331" s="5"/>
      <c r="G1331" s="22" t="n">
        <f aca="false">ROUND(SUM(I1331:P1331),3)</f>
        <v>61.624</v>
      </c>
      <c r="H1331" s="5" t="str">
        <f aca="false">IF(G1331&gt;=評分方法!$C$16,"優先評估",IF(G1331&gt;=評分方法!$C$17,"列入候選",IF(G1331&gt;=評分方法!$C$18,"特定情境","不建議")))</f>
        <v>特定情境</v>
      </c>
      <c r="I1331" s="15" t="n">
        <f aca="false">AE1331*評分方法!$C$5</f>
        <v>18</v>
      </c>
      <c r="J1331" s="15" t="n">
        <f aca="false">AF1331*評分方法!$C$6</f>
        <v>0</v>
      </c>
      <c r="K1331" s="15" t="n">
        <f aca="false">AG1331*評分方法!$C$7</f>
        <v>15</v>
      </c>
      <c r="L1331" s="15" t="n">
        <f aca="false">AH1331*評分方法!$C$8</f>
        <v>15</v>
      </c>
      <c r="M1331" s="15" t="n">
        <f aca="false">AI1331*評分方法!$C$9</f>
        <v>10</v>
      </c>
      <c r="N1331" s="15" t="n">
        <f aca="false">AJ1331*評分方法!$C$10</f>
        <v>2.624</v>
      </c>
      <c r="O1331" s="15" t="n">
        <f aca="false">AK1331*評分方法!$C$11</f>
        <v>1</v>
      </c>
      <c r="P1331" s="15" t="n">
        <f aca="false">AL1331*評分方法!$C$12</f>
        <v>0</v>
      </c>
      <c r="Q1331" s="6" t="n">
        <v>263283</v>
      </c>
      <c r="R1331" s="6" t="n">
        <v>335143938</v>
      </c>
      <c r="S1331" s="11" t="s">
        <v>238</v>
      </c>
      <c r="T1331" s="11" t="s">
        <v>239</v>
      </c>
      <c r="U1331" s="5" t="s">
        <v>240</v>
      </c>
      <c r="V1331" s="11" t="s">
        <v>279</v>
      </c>
      <c r="W1331" s="5" t="s">
        <v>205</v>
      </c>
      <c r="X1331" s="5" t="s">
        <v>242</v>
      </c>
      <c r="Y1331" s="5"/>
      <c r="Z1331" s="5"/>
      <c r="AA1331" s="11" t="s">
        <v>159</v>
      </c>
      <c r="AB1331" s="5" t="s">
        <v>245</v>
      </c>
      <c r="AC1331" s="5"/>
      <c r="AD1331" s="11" t="s">
        <v>3318</v>
      </c>
      <c r="AE1331" s="23" t="n">
        <v>0.6</v>
      </c>
      <c r="AF1331" s="23" t="n">
        <v>0</v>
      </c>
      <c r="AG1331" s="23" t="n">
        <v>1</v>
      </c>
      <c r="AH1331" s="23" t="n">
        <v>1</v>
      </c>
      <c r="AI1331" s="23" t="n">
        <v>1</v>
      </c>
      <c r="AJ1331" s="23" t="n">
        <v>0.2624</v>
      </c>
      <c r="AK1331" s="23" t="n">
        <v>0.2</v>
      </c>
      <c r="AL1331" s="23" t="n">
        <v>0</v>
      </c>
      <c r="AM1331" s="16" t="n">
        <f aca="false">COUNTIFS($D$2:$D$2501,D1331,$G$2:$G$2501,"&gt;"&amp;G1331)+COUNTIFS($D$2:D1331,D1331,$G$2:G1331,G1331)</f>
        <v>606</v>
      </c>
      <c r="AN1331" s="5" t="str">
        <f aca="false">D1331&amp;"|"&amp;AM1331</f>
        <v>分析與報告生成|606</v>
      </c>
    </row>
    <row r="1332" customFormat="false" ht="17.15" hidden="false" customHeight="false" outlineLevel="0" collapsed="false">
      <c r="A1332" s="16" t="n">
        <f aca="false">RANK(G1332,$G$2:$G$2501)+COUNTIF($G$2:G1332,G1332)-1</f>
        <v>1331</v>
      </c>
      <c r="B1332" s="11" t="s">
        <v>3319</v>
      </c>
      <c r="C1332" s="11" t="s">
        <v>3320</v>
      </c>
      <c r="D1332" s="5" t="s">
        <v>58</v>
      </c>
      <c r="E1332" s="5" t="s">
        <v>59</v>
      </c>
      <c r="F1332" s="5"/>
      <c r="G1332" s="22" t="n">
        <f aca="false">ROUND(SUM(I1332:P1332),3)</f>
        <v>61.618</v>
      </c>
      <c r="H1332" s="5" t="str">
        <f aca="false">IF(G1332&gt;=評分方法!$C$16,"優先評估",IF(G1332&gt;=評分方法!$C$17,"列入候選",IF(G1332&gt;=評分方法!$C$18,"特定情境","不建議")))</f>
        <v>特定情境</v>
      </c>
      <c r="I1332" s="15" t="n">
        <f aca="false">AE1332*評分方法!$C$5</f>
        <v>28.5</v>
      </c>
      <c r="J1332" s="15" t="n">
        <f aca="false">AF1332*評分方法!$C$6</f>
        <v>0</v>
      </c>
      <c r="K1332" s="15" t="n">
        <f aca="false">AG1332*評分方法!$C$7</f>
        <v>4.95</v>
      </c>
      <c r="L1332" s="15" t="n">
        <f aca="false">AH1332*評分方法!$C$8</f>
        <v>15</v>
      </c>
      <c r="M1332" s="15" t="n">
        <f aca="false">AI1332*評分方法!$C$9</f>
        <v>2</v>
      </c>
      <c r="N1332" s="15" t="n">
        <f aca="false">AJ1332*評分方法!$C$10</f>
        <v>7.168</v>
      </c>
      <c r="O1332" s="15" t="n">
        <f aca="false">AK1332*評分方法!$C$11</f>
        <v>2.5</v>
      </c>
      <c r="P1332" s="15" t="n">
        <f aca="false">AL1332*評分方法!$C$12</f>
        <v>1.5</v>
      </c>
      <c r="Q1332" s="6" t="n">
        <v>985233</v>
      </c>
      <c r="R1332" s="6" t="n">
        <v>66375953</v>
      </c>
      <c r="S1332" s="11" t="s">
        <v>238</v>
      </c>
      <c r="T1332" s="5"/>
      <c r="U1332" s="5" t="s">
        <v>375</v>
      </c>
      <c r="V1332" s="11" t="s">
        <v>261</v>
      </c>
      <c r="W1332" s="5" t="s">
        <v>334</v>
      </c>
      <c r="X1332" s="5" t="s">
        <v>255</v>
      </c>
      <c r="Y1332" s="5"/>
      <c r="Z1332" s="5"/>
      <c r="AA1332" s="11" t="s">
        <v>150</v>
      </c>
      <c r="AB1332" s="5" t="s">
        <v>245</v>
      </c>
      <c r="AC1332" s="5" t="s">
        <v>262</v>
      </c>
      <c r="AD1332" s="11" t="s">
        <v>3321</v>
      </c>
      <c r="AE1332" s="23" t="n">
        <v>0.95</v>
      </c>
      <c r="AF1332" s="23" t="n">
        <v>0</v>
      </c>
      <c r="AG1332" s="23" t="n">
        <v>0.33</v>
      </c>
      <c r="AH1332" s="23" t="n">
        <v>1</v>
      </c>
      <c r="AI1332" s="23" t="n">
        <v>0.2</v>
      </c>
      <c r="AJ1332" s="23" t="n">
        <v>0.7168</v>
      </c>
      <c r="AK1332" s="23" t="n">
        <v>0.5</v>
      </c>
      <c r="AL1332" s="23" t="n">
        <v>0.3</v>
      </c>
      <c r="AM1332" s="16" t="n">
        <f aca="false">COUNTIFS($D$2:$D$2501,D1332,$G$2:$G$2501,"&gt;"&amp;G1332)+COUNTIFS($D$2:D1332,D1332,$G$2:G1332,G1332)</f>
        <v>287</v>
      </c>
      <c r="AN1332" s="5" t="str">
        <f aca="false">D1332&amp;"|"&amp;AM1332</f>
        <v>實體擷取與去識別化|287</v>
      </c>
    </row>
    <row r="1333" customFormat="false" ht="17.15" hidden="false" customHeight="false" outlineLevel="0" collapsed="false">
      <c r="A1333" s="16" t="n">
        <f aca="false">RANK(G1333,$G$2:$G$2501)+COUNTIF($G$2:G1333,G1333)-1</f>
        <v>1332</v>
      </c>
      <c r="B1333" s="11" t="s">
        <v>3322</v>
      </c>
      <c r="C1333" s="11" t="s">
        <v>3211</v>
      </c>
      <c r="D1333" s="5" t="s">
        <v>68</v>
      </c>
      <c r="E1333" s="11" t="s">
        <v>69</v>
      </c>
      <c r="F1333" s="5"/>
      <c r="G1333" s="22" t="n">
        <f aca="false">ROUND(SUM(I1333:P1333),3)</f>
        <v>61.554</v>
      </c>
      <c r="H1333" s="5" t="str">
        <f aca="false">IF(G1333&gt;=評分方法!$C$16,"優先評估",IF(G1333&gt;=評分方法!$C$17,"列入候選",IF(G1333&gt;=評分方法!$C$18,"特定情境","不建議")))</f>
        <v>特定情境</v>
      </c>
      <c r="I1333" s="15" t="n">
        <f aca="false">AE1333*評分方法!$C$5</f>
        <v>21</v>
      </c>
      <c r="J1333" s="15" t="n">
        <f aca="false">AF1333*評分方法!$C$6</f>
        <v>0</v>
      </c>
      <c r="K1333" s="15" t="n">
        <f aca="false">AG1333*評分方法!$C$7</f>
        <v>4.95</v>
      </c>
      <c r="L1333" s="15" t="n">
        <f aca="false">AH1333*評分方法!$C$8</f>
        <v>15</v>
      </c>
      <c r="M1333" s="15" t="n">
        <f aca="false">AI1333*評分方法!$C$9</f>
        <v>10</v>
      </c>
      <c r="N1333" s="15" t="n">
        <f aca="false">AJ1333*評分方法!$C$10</f>
        <v>4.104</v>
      </c>
      <c r="O1333" s="15" t="n">
        <f aca="false">AK1333*評分方法!$C$11</f>
        <v>5</v>
      </c>
      <c r="P1333" s="15" t="n">
        <f aca="false">AL1333*評分方法!$C$12</f>
        <v>1.5</v>
      </c>
      <c r="Q1333" s="6" t="n">
        <v>437762</v>
      </c>
      <c r="R1333" s="6" t="n">
        <v>4144448</v>
      </c>
      <c r="S1333" s="11" t="s">
        <v>238</v>
      </c>
      <c r="T1333" s="11" t="s">
        <v>239</v>
      </c>
      <c r="U1333" s="5" t="s">
        <v>240</v>
      </c>
      <c r="V1333" s="11" t="s">
        <v>261</v>
      </c>
      <c r="W1333" s="5" t="s">
        <v>334</v>
      </c>
      <c r="X1333" s="5" t="s">
        <v>255</v>
      </c>
      <c r="Y1333" s="5"/>
      <c r="Z1333" s="5"/>
      <c r="AA1333" s="11" t="s">
        <v>158</v>
      </c>
      <c r="AB1333" s="5" t="s">
        <v>245</v>
      </c>
      <c r="AC1333" s="5"/>
      <c r="AD1333" s="11" t="s">
        <v>3323</v>
      </c>
      <c r="AE1333" s="23" t="n">
        <v>0.7</v>
      </c>
      <c r="AF1333" s="23" t="n">
        <v>0</v>
      </c>
      <c r="AG1333" s="23" t="n">
        <v>0.33</v>
      </c>
      <c r="AH1333" s="23" t="n">
        <v>1</v>
      </c>
      <c r="AI1333" s="23" t="n">
        <v>1</v>
      </c>
      <c r="AJ1333" s="23" t="n">
        <v>0.4104</v>
      </c>
      <c r="AK1333" s="23" t="n">
        <v>1</v>
      </c>
      <c r="AL1333" s="23" t="n">
        <v>0.3</v>
      </c>
      <c r="AM1333" s="16" t="n">
        <f aca="false">COUNTIFS($D$2:$D$2501,D1333,$G$2:$G$2501,"&gt;"&amp;G1333)+COUNTIFS($D$2:D1333,D1333,$G$2:G1333,G1333)</f>
        <v>44</v>
      </c>
      <c r="AN1333" s="5" t="str">
        <f aca="false">D1333&amp;"|"&amp;AM1333</f>
        <v>時序異常偵測|44</v>
      </c>
    </row>
    <row r="1334" customFormat="false" ht="17.15" hidden="false" customHeight="false" outlineLevel="0" collapsed="false">
      <c r="A1334" s="16" t="n">
        <f aca="false">RANK(G1334,$G$2:$G$2501)+COUNTIF($G$2:G1334,G1334)-1</f>
        <v>1333</v>
      </c>
      <c r="B1334" s="11" t="s">
        <v>3324</v>
      </c>
      <c r="C1334" s="11" t="s">
        <v>2785</v>
      </c>
      <c r="D1334" s="5" t="s">
        <v>56</v>
      </c>
      <c r="E1334" s="5" t="s">
        <v>57</v>
      </c>
      <c r="F1334" s="5"/>
      <c r="G1334" s="22" t="n">
        <f aca="false">ROUND(SUM(I1334:P1334),3)</f>
        <v>61.552</v>
      </c>
      <c r="H1334" s="5" t="str">
        <f aca="false">IF(G1334&gt;=評分方法!$C$16,"優先評估",IF(G1334&gt;=評分方法!$C$17,"列入候選",IF(G1334&gt;=評分方法!$C$18,"特定情境","不建議")))</f>
        <v>特定情境</v>
      </c>
      <c r="I1334" s="15" t="n">
        <f aca="false">AE1334*評分方法!$C$5</f>
        <v>25.5</v>
      </c>
      <c r="J1334" s="15" t="n">
        <f aca="false">AF1334*評分方法!$C$6</f>
        <v>0</v>
      </c>
      <c r="K1334" s="15" t="n">
        <f aca="false">AG1334*評分方法!$C$7</f>
        <v>10.05</v>
      </c>
      <c r="L1334" s="15" t="n">
        <f aca="false">AH1334*評分方法!$C$8</f>
        <v>13.05</v>
      </c>
      <c r="M1334" s="15" t="n">
        <f aca="false">AI1334*評分方法!$C$9</f>
        <v>6</v>
      </c>
      <c r="N1334" s="15" t="n">
        <f aca="false">AJ1334*評分方法!$C$10</f>
        <v>5.952</v>
      </c>
      <c r="O1334" s="15" t="n">
        <f aca="false">AK1334*評分方法!$C$11</f>
        <v>1</v>
      </c>
      <c r="P1334" s="15" t="n">
        <f aca="false">AL1334*評分方法!$C$12</f>
        <v>0</v>
      </c>
      <c r="Q1334" s="6" t="n">
        <v>612370</v>
      </c>
      <c r="R1334" s="6" t="n">
        <v>8030261248</v>
      </c>
      <c r="S1334" s="11" t="s">
        <v>254</v>
      </c>
      <c r="T1334" s="11" t="s">
        <v>185</v>
      </c>
      <c r="U1334" s="5" t="s">
        <v>260</v>
      </c>
      <c r="V1334" s="11" t="s">
        <v>261</v>
      </c>
      <c r="W1334" s="5" t="s">
        <v>207</v>
      </c>
      <c r="X1334" s="5" t="s">
        <v>242</v>
      </c>
      <c r="Y1334" s="5"/>
      <c r="Z1334" s="5"/>
      <c r="AA1334" s="11" t="s">
        <v>155</v>
      </c>
      <c r="AB1334" s="5" t="s">
        <v>245</v>
      </c>
      <c r="AC1334" s="5" t="s">
        <v>262</v>
      </c>
      <c r="AD1334" s="11" t="s">
        <v>3325</v>
      </c>
      <c r="AE1334" s="23" t="n">
        <v>0.85</v>
      </c>
      <c r="AF1334" s="23" t="n">
        <v>0</v>
      </c>
      <c r="AG1334" s="23" t="n">
        <v>0.67</v>
      </c>
      <c r="AH1334" s="23" t="n">
        <v>0.87</v>
      </c>
      <c r="AI1334" s="23" t="n">
        <v>0.6</v>
      </c>
      <c r="AJ1334" s="23" t="n">
        <v>0.5952</v>
      </c>
      <c r="AK1334" s="23" t="n">
        <v>0.2</v>
      </c>
      <c r="AL1334" s="23" t="n">
        <v>0</v>
      </c>
      <c r="AM1334" s="16" t="n">
        <f aca="false">COUNTIFS($D$2:$D$2501,D1334,$G$2:$G$2501,"&gt;"&amp;G1334)+COUNTIFS($D$2:D1334,D1334,$G$2:G1334,G1334)</f>
        <v>607</v>
      </c>
      <c r="AN1334" s="5" t="str">
        <f aca="false">D1334&amp;"|"&amp;AM1334</f>
        <v>分析與報告生成|607</v>
      </c>
    </row>
    <row r="1335" customFormat="false" ht="17.15" hidden="false" customHeight="false" outlineLevel="0" collapsed="false">
      <c r="A1335" s="16" t="n">
        <f aca="false">RANK(G1335,$G$2:$G$2501)+COUNTIF($G$2:G1335,G1335)-1</f>
        <v>1334</v>
      </c>
      <c r="B1335" s="11" t="s">
        <v>3326</v>
      </c>
      <c r="C1335" s="11" t="s">
        <v>2693</v>
      </c>
      <c r="D1335" s="5" t="s">
        <v>74</v>
      </c>
      <c r="E1335" s="5" t="s">
        <v>75</v>
      </c>
      <c r="F1335" s="5"/>
      <c r="G1335" s="22" t="n">
        <f aca="false">ROUND(SUM(I1335:P1335),3)</f>
        <v>61.52</v>
      </c>
      <c r="H1335" s="5" t="str">
        <f aca="false">IF(G1335&gt;=評分方法!$C$16,"優先評估",IF(G1335&gt;=評分方法!$C$17,"列入候選",IF(G1335&gt;=評分方法!$C$18,"特定情境","不建議")))</f>
        <v>特定情境</v>
      </c>
      <c r="I1335" s="15" t="n">
        <f aca="false">AE1335*評分方法!$C$5</f>
        <v>10.5</v>
      </c>
      <c r="J1335" s="15" t="n">
        <f aca="false">AF1335*評分方法!$C$6</f>
        <v>0</v>
      </c>
      <c r="K1335" s="15" t="n">
        <f aca="false">AG1335*評分方法!$C$7</f>
        <v>15</v>
      </c>
      <c r="L1335" s="15" t="n">
        <f aca="false">AH1335*評分方法!$C$8</f>
        <v>15</v>
      </c>
      <c r="M1335" s="15" t="n">
        <f aca="false">AI1335*評分方法!$C$9</f>
        <v>10</v>
      </c>
      <c r="N1335" s="15" t="n">
        <f aca="false">AJ1335*評分方法!$C$10</f>
        <v>7.02</v>
      </c>
      <c r="O1335" s="15" t="n">
        <f aca="false">AK1335*評分方法!$C$11</f>
        <v>2.5</v>
      </c>
      <c r="P1335" s="15" t="n">
        <f aca="false">AL1335*評分方法!$C$12</f>
        <v>1.5</v>
      </c>
      <c r="Q1335" s="6" t="n">
        <v>928794</v>
      </c>
      <c r="R1335" s="6" t="n">
        <v>28589128</v>
      </c>
      <c r="S1335" s="11" t="s">
        <v>238</v>
      </c>
      <c r="T1335" s="11" t="s">
        <v>239</v>
      </c>
      <c r="U1335" s="5" t="s">
        <v>240</v>
      </c>
      <c r="V1335" s="11" t="s">
        <v>324</v>
      </c>
      <c r="W1335" s="5" t="s">
        <v>205</v>
      </c>
      <c r="X1335" s="5" t="s">
        <v>255</v>
      </c>
      <c r="Y1335" s="5"/>
      <c r="Z1335" s="5"/>
      <c r="AA1335" s="11" t="s">
        <v>172</v>
      </c>
      <c r="AB1335" s="5" t="s">
        <v>245</v>
      </c>
      <c r="AC1335" s="5"/>
      <c r="AD1335" s="11" t="s">
        <v>3327</v>
      </c>
      <c r="AE1335" s="23" t="n">
        <v>0.35</v>
      </c>
      <c r="AF1335" s="23" t="n">
        <v>0</v>
      </c>
      <c r="AG1335" s="23" t="n">
        <v>1</v>
      </c>
      <c r="AH1335" s="23" t="n">
        <v>1</v>
      </c>
      <c r="AI1335" s="23" t="n">
        <v>1</v>
      </c>
      <c r="AJ1335" s="23" t="n">
        <v>0.702</v>
      </c>
      <c r="AK1335" s="23" t="n">
        <v>0.5</v>
      </c>
      <c r="AL1335" s="23" t="n">
        <v>0.3</v>
      </c>
      <c r="AM1335" s="16" t="n">
        <f aca="false">COUNTIFS($D$2:$D$2501,D1335,$G$2:$G$2501,"&gt;"&amp;G1335)+COUNTIFS($D$2:D1335,D1335,$G$2:G1335,G1335)</f>
        <v>68</v>
      </c>
      <c r="AN1335" s="5" t="str">
        <f aca="false">D1335&amp;"|"&amp;AM1335</f>
        <v>文件與影像辨識|68</v>
      </c>
    </row>
    <row r="1336" customFormat="false" ht="17.15" hidden="false" customHeight="false" outlineLevel="0" collapsed="false">
      <c r="A1336" s="16" t="n">
        <f aca="false">RANK(G1336,$G$2:$G$2501)+COUNTIF($G$2:G1336,G1336)-1</f>
        <v>1335</v>
      </c>
      <c r="B1336" s="11" t="s">
        <v>3328</v>
      </c>
      <c r="C1336" s="11" t="s">
        <v>3329</v>
      </c>
      <c r="D1336" s="5" t="s">
        <v>56</v>
      </c>
      <c r="E1336" s="5" t="s">
        <v>57</v>
      </c>
      <c r="F1336" s="5"/>
      <c r="G1336" s="22" t="n">
        <f aca="false">ROUND(SUM(I1336:P1336),3)</f>
        <v>61.516</v>
      </c>
      <c r="H1336" s="5" t="str">
        <f aca="false">IF(G1336&gt;=評分方法!$C$16,"優先評估",IF(G1336&gt;=評分方法!$C$17,"列入候選",IF(G1336&gt;=評分方法!$C$18,"特定情境","不建議")))</f>
        <v>特定情境</v>
      </c>
      <c r="I1336" s="15" t="n">
        <f aca="false">AE1336*評分方法!$C$5</f>
        <v>25.5</v>
      </c>
      <c r="J1336" s="15" t="n">
        <f aca="false">AF1336*評分方法!$C$6</f>
        <v>0</v>
      </c>
      <c r="K1336" s="15" t="n">
        <f aca="false">AG1336*評分方法!$C$7</f>
        <v>4.95</v>
      </c>
      <c r="L1336" s="15" t="n">
        <f aca="false">AH1336*評分方法!$C$8</f>
        <v>13.05</v>
      </c>
      <c r="M1336" s="15" t="n">
        <f aca="false">AI1336*評分方法!$C$9</f>
        <v>10</v>
      </c>
      <c r="N1336" s="15" t="n">
        <f aca="false">AJ1336*評分方法!$C$10</f>
        <v>2.516</v>
      </c>
      <c r="O1336" s="15" t="n">
        <f aca="false">AK1336*評分方法!$C$11</f>
        <v>2.5</v>
      </c>
      <c r="P1336" s="15" t="n">
        <f aca="false">AL1336*評分方法!$C$12</f>
        <v>3</v>
      </c>
      <c r="Q1336" s="6" t="n">
        <v>250843</v>
      </c>
      <c r="R1336" s="6" t="n">
        <v>1235814400</v>
      </c>
      <c r="S1336" s="11" t="s">
        <v>254</v>
      </c>
      <c r="T1336" s="11" t="s">
        <v>2029</v>
      </c>
      <c r="U1336" s="5" t="s">
        <v>240</v>
      </c>
      <c r="V1336" s="11" t="s">
        <v>261</v>
      </c>
      <c r="W1336" s="5" t="s">
        <v>334</v>
      </c>
      <c r="X1336" s="5" t="s">
        <v>371</v>
      </c>
      <c r="Y1336" s="5"/>
      <c r="Z1336" s="5"/>
      <c r="AA1336" s="11" t="s">
        <v>155</v>
      </c>
      <c r="AB1336" s="5" t="s">
        <v>328</v>
      </c>
      <c r="AC1336" s="5" t="s">
        <v>400</v>
      </c>
      <c r="AD1336" s="11" t="s">
        <v>3330</v>
      </c>
      <c r="AE1336" s="23" t="n">
        <v>0.85</v>
      </c>
      <c r="AF1336" s="23" t="n">
        <v>0</v>
      </c>
      <c r="AG1336" s="23" t="n">
        <v>0.33</v>
      </c>
      <c r="AH1336" s="23" t="n">
        <v>0.87</v>
      </c>
      <c r="AI1336" s="23" t="n">
        <v>1</v>
      </c>
      <c r="AJ1336" s="23" t="n">
        <v>0.2516</v>
      </c>
      <c r="AK1336" s="23" t="n">
        <v>0.5</v>
      </c>
      <c r="AL1336" s="23" t="n">
        <v>0.6</v>
      </c>
      <c r="AM1336" s="16" t="n">
        <f aca="false">COUNTIFS($D$2:$D$2501,D1336,$G$2:$G$2501,"&gt;"&amp;G1336)+COUNTIFS($D$2:D1336,D1336,$G$2:G1336,G1336)</f>
        <v>608</v>
      </c>
      <c r="AN1336" s="5" t="str">
        <f aca="false">D1336&amp;"|"&amp;AM1336</f>
        <v>分析與報告生成|608</v>
      </c>
    </row>
    <row r="1337" customFormat="false" ht="17.15" hidden="false" customHeight="false" outlineLevel="0" collapsed="false">
      <c r="A1337" s="16" t="n">
        <f aca="false">RANK(G1337,$G$2:$G$2501)+COUNTIF($G$2:G1337,G1337)-1</f>
        <v>1336</v>
      </c>
      <c r="B1337" s="11" t="s">
        <v>3331</v>
      </c>
      <c r="C1337" s="11" t="s">
        <v>308</v>
      </c>
      <c r="D1337" s="5" t="s">
        <v>80</v>
      </c>
      <c r="E1337" s="5" t="s">
        <v>81</v>
      </c>
      <c r="F1337" s="5"/>
      <c r="G1337" s="22" t="n">
        <f aca="false">ROUND(SUM(I1337:P1337),3)</f>
        <v>61.504</v>
      </c>
      <c r="H1337" s="5" t="str">
        <f aca="false">IF(G1337&gt;=評分方法!$C$16,"優先評估",IF(G1337&gt;=評分方法!$C$17,"列入候選",IF(G1337&gt;=評分方法!$C$18,"特定情境","不建議")))</f>
        <v>特定情境</v>
      </c>
      <c r="I1337" s="15" t="n">
        <f aca="false">AE1337*評分方法!$C$5</f>
        <v>9</v>
      </c>
      <c r="J1337" s="15" t="n">
        <f aca="false">AF1337*評分方法!$C$6</f>
        <v>0</v>
      </c>
      <c r="K1337" s="15" t="n">
        <f aca="false">AG1337*評分方法!$C$7</f>
        <v>15</v>
      </c>
      <c r="L1337" s="15" t="n">
        <f aca="false">AH1337*評分方法!$C$8</f>
        <v>15</v>
      </c>
      <c r="M1337" s="15" t="n">
        <f aca="false">AI1337*評分方法!$C$9</f>
        <v>10</v>
      </c>
      <c r="N1337" s="15" t="n">
        <f aca="false">AJ1337*評分方法!$C$10</f>
        <v>8.504</v>
      </c>
      <c r="O1337" s="15" t="n">
        <f aca="false">AK1337*評分方法!$C$11</f>
        <v>2.5</v>
      </c>
      <c r="P1337" s="15" t="n">
        <f aca="false">AL1337*評分方法!$C$12</f>
        <v>1.5</v>
      </c>
      <c r="Q1337" s="6" t="n">
        <v>2234876</v>
      </c>
      <c r="R1337" s="6" t="n">
        <v>177341186</v>
      </c>
      <c r="S1337" s="11" t="s">
        <v>238</v>
      </c>
      <c r="T1337" s="11" t="s">
        <v>239</v>
      </c>
      <c r="U1337" s="5" t="s">
        <v>240</v>
      </c>
      <c r="V1337" s="11" t="s">
        <v>261</v>
      </c>
      <c r="W1337" s="5" t="s">
        <v>205</v>
      </c>
      <c r="X1337" s="5" t="s">
        <v>255</v>
      </c>
      <c r="Y1337" s="5"/>
      <c r="Z1337" s="5"/>
      <c r="AA1337" s="11" t="s">
        <v>150</v>
      </c>
      <c r="AB1337" s="5" t="s">
        <v>245</v>
      </c>
      <c r="AC1337" s="5" t="s">
        <v>3332</v>
      </c>
      <c r="AD1337" s="11" t="s">
        <v>3333</v>
      </c>
      <c r="AE1337" s="23" t="n">
        <v>0.3</v>
      </c>
      <c r="AF1337" s="23" t="n">
        <v>0</v>
      </c>
      <c r="AG1337" s="23" t="n">
        <v>1</v>
      </c>
      <c r="AH1337" s="23" t="n">
        <v>1</v>
      </c>
      <c r="AI1337" s="23" t="n">
        <v>1</v>
      </c>
      <c r="AJ1337" s="23" t="n">
        <v>0.8504</v>
      </c>
      <c r="AK1337" s="23" t="n">
        <v>0.5</v>
      </c>
      <c r="AL1337" s="23" t="n">
        <v>0.3</v>
      </c>
      <c r="AM1337" s="16" t="n">
        <f aca="false">COUNTIFS($D$2:$D$2501,D1337,$G$2:$G$2501,"&gt;"&amp;G1337)+COUNTIFS($D$2:D1337,D1337,$G$2:G1337,G1337)</f>
        <v>1</v>
      </c>
      <c r="AN1337" s="5" t="str">
        <f aca="false">D1337&amp;"|"&amp;AM1337</f>
        <v>其他|1</v>
      </c>
    </row>
    <row r="1338" customFormat="false" ht="17.15" hidden="false" customHeight="false" outlineLevel="0" collapsed="false">
      <c r="A1338" s="16" t="n">
        <f aca="false">RANK(G1338,$G$2:$G$2501)+COUNTIF($G$2:G1338,G1338)-1</f>
        <v>1337</v>
      </c>
      <c r="B1338" s="11" t="s">
        <v>3334</v>
      </c>
      <c r="C1338" s="11" t="s">
        <v>2693</v>
      </c>
      <c r="D1338" s="5" t="s">
        <v>74</v>
      </c>
      <c r="E1338" s="5" t="s">
        <v>75</v>
      </c>
      <c r="F1338" s="5"/>
      <c r="G1338" s="22" t="n">
        <f aca="false">ROUND(SUM(I1338:P1338),3)</f>
        <v>61.492</v>
      </c>
      <c r="H1338" s="5" t="str">
        <f aca="false">IF(G1338&gt;=評分方法!$C$16,"優先評估",IF(G1338&gt;=評分方法!$C$17,"列入候選",IF(G1338&gt;=評分方法!$C$18,"特定情境","不建議")))</f>
        <v>特定情境</v>
      </c>
      <c r="I1338" s="15" t="n">
        <f aca="false">AE1338*評分方法!$C$5</f>
        <v>10.5</v>
      </c>
      <c r="J1338" s="15" t="n">
        <f aca="false">AF1338*評分方法!$C$6</f>
        <v>0</v>
      </c>
      <c r="K1338" s="15" t="n">
        <f aca="false">AG1338*評分方法!$C$7</f>
        <v>15</v>
      </c>
      <c r="L1338" s="15" t="n">
        <f aca="false">AH1338*評分方法!$C$8</f>
        <v>15</v>
      </c>
      <c r="M1338" s="15" t="n">
        <f aca="false">AI1338*評分方法!$C$9</f>
        <v>10</v>
      </c>
      <c r="N1338" s="15" t="n">
        <f aca="false">AJ1338*評分方法!$C$10</f>
        <v>6.992</v>
      </c>
      <c r="O1338" s="15" t="n">
        <f aca="false">AK1338*評分方法!$C$11</f>
        <v>2.5</v>
      </c>
      <c r="P1338" s="15" t="n">
        <f aca="false">AL1338*評分方法!$C$12</f>
        <v>1.5</v>
      </c>
      <c r="Q1338" s="6" t="n">
        <v>909596</v>
      </c>
      <c r="R1338" s="6" t="n">
        <v>102595923</v>
      </c>
      <c r="S1338" s="11" t="s">
        <v>238</v>
      </c>
      <c r="T1338" s="11" t="s">
        <v>239</v>
      </c>
      <c r="U1338" s="5" t="s">
        <v>240</v>
      </c>
      <c r="V1338" s="11" t="s">
        <v>324</v>
      </c>
      <c r="W1338" s="5" t="s">
        <v>205</v>
      </c>
      <c r="X1338" s="5" t="s">
        <v>255</v>
      </c>
      <c r="Y1338" s="5"/>
      <c r="Z1338" s="5"/>
      <c r="AA1338" s="11" t="s">
        <v>172</v>
      </c>
      <c r="AB1338" s="5" t="s">
        <v>245</v>
      </c>
      <c r="AC1338" s="5"/>
      <c r="AD1338" s="11" t="s">
        <v>3335</v>
      </c>
      <c r="AE1338" s="23" t="n">
        <v>0.35</v>
      </c>
      <c r="AF1338" s="23" t="n">
        <v>0</v>
      </c>
      <c r="AG1338" s="23" t="n">
        <v>1</v>
      </c>
      <c r="AH1338" s="23" t="n">
        <v>1</v>
      </c>
      <c r="AI1338" s="23" t="n">
        <v>1</v>
      </c>
      <c r="AJ1338" s="23" t="n">
        <v>0.6992</v>
      </c>
      <c r="AK1338" s="23" t="n">
        <v>0.5</v>
      </c>
      <c r="AL1338" s="23" t="n">
        <v>0.3</v>
      </c>
      <c r="AM1338" s="16" t="n">
        <f aca="false">COUNTIFS($D$2:$D$2501,D1338,$G$2:$G$2501,"&gt;"&amp;G1338)+COUNTIFS($D$2:D1338,D1338,$G$2:G1338,G1338)</f>
        <v>69</v>
      </c>
      <c r="AN1338" s="5" t="str">
        <f aca="false">D1338&amp;"|"&amp;AM1338</f>
        <v>文件與影像辨識|69</v>
      </c>
    </row>
    <row r="1339" customFormat="false" ht="17.15" hidden="false" customHeight="false" outlineLevel="0" collapsed="false">
      <c r="A1339" s="16" t="n">
        <f aca="false">RANK(G1339,$G$2:$G$2501)+COUNTIF($G$2:G1339,G1339)-1</f>
        <v>1338</v>
      </c>
      <c r="B1339" s="11" t="s">
        <v>3336</v>
      </c>
      <c r="C1339" s="11" t="s">
        <v>3337</v>
      </c>
      <c r="D1339" s="5" t="s">
        <v>56</v>
      </c>
      <c r="E1339" s="5" t="s">
        <v>57</v>
      </c>
      <c r="F1339" s="5"/>
      <c r="G1339" s="22" t="n">
        <f aca="false">ROUND(SUM(I1339:P1339),3)</f>
        <v>61.492</v>
      </c>
      <c r="H1339" s="5" t="str">
        <f aca="false">IF(G1339&gt;=評分方法!$C$16,"優先評估",IF(G1339&gt;=評分方法!$C$17,"列入候選",IF(G1339&gt;=評分方法!$C$18,"特定情境","不建議")))</f>
        <v>特定情境</v>
      </c>
      <c r="I1339" s="15" t="n">
        <f aca="false">AE1339*評分方法!$C$5</f>
        <v>25.5</v>
      </c>
      <c r="J1339" s="15" t="n">
        <f aca="false">AF1339*評分方法!$C$6</f>
        <v>0</v>
      </c>
      <c r="K1339" s="15" t="n">
        <f aca="false">AG1339*評分方法!$C$7</f>
        <v>4.95</v>
      </c>
      <c r="L1339" s="15" t="n">
        <f aca="false">AH1339*評分方法!$C$8</f>
        <v>13.05</v>
      </c>
      <c r="M1339" s="15" t="n">
        <f aca="false">AI1339*評分方法!$C$9</f>
        <v>6</v>
      </c>
      <c r="N1339" s="15" t="n">
        <f aca="false">AJ1339*評分方法!$C$10</f>
        <v>6.492</v>
      </c>
      <c r="O1339" s="15" t="n">
        <f aca="false">AK1339*評分方法!$C$11</f>
        <v>2.5</v>
      </c>
      <c r="P1339" s="15" t="n">
        <f aca="false">AL1339*評分方法!$C$12</f>
        <v>3</v>
      </c>
      <c r="Q1339" s="6" t="n">
        <v>754287</v>
      </c>
      <c r="R1339" s="6" t="n">
        <v>2614341888</v>
      </c>
      <c r="S1339" s="11" t="s">
        <v>254</v>
      </c>
      <c r="T1339" s="11" t="s">
        <v>658</v>
      </c>
      <c r="U1339" s="5" t="s">
        <v>260</v>
      </c>
      <c r="V1339" s="11" t="s">
        <v>261</v>
      </c>
      <c r="W1339" s="5" t="s">
        <v>334</v>
      </c>
      <c r="X1339" s="5" t="s">
        <v>371</v>
      </c>
      <c r="Y1339" s="11" t="s">
        <v>1091</v>
      </c>
      <c r="Z1339" s="11" t="s">
        <v>270</v>
      </c>
      <c r="AA1339" s="11" t="s">
        <v>155</v>
      </c>
      <c r="AB1339" s="5" t="s">
        <v>245</v>
      </c>
      <c r="AC1339" s="5" t="s">
        <v>262</v>
      </c>
      <c r="AD1339" s="11" t="s">
        <v>3338</v>
      </c>
      <c r="AE1339" s="23" t="n">
        <v>0.85</v>
      </c>
      <c r="AF1339" s="23" t="n">
        <v>0</v>
      </c>
      <c r="AG1339" s="23" t="n">
        <v>0.33</v>
      </c>
      <c r="AH1339" s="23" t="n">
        <v>0.87</v>
      </c>
      <c r="AI1339" s="23" t="n">
        <v>0.6</v>
      </c>
      <c r="AJ1339" s="23" t="n">
        <v>0.6492</v>
      </c>
      <c r="AK1339" s="23" t="n">
        <v>0.5</v>
      </c>
      <c r="AL1339" s="23" t="n">
        <v>0.6</v>
      </c>
      <c r="AM1339" s="16" t="n">
        <f aca="false">COUNTIFS($D$2:$D$2501,D1339,$G$2:$G$2501,"&gt;"&amp;G1339)+COUNTIFS($D$2:D1339,D1339,$G$2:G1339,G1339)</f>
        <v>609</v>
      </c>
      <c r="AN1339" s="5" t="str">
        <f aca="false">D1339&amp;"|"&amp;AM1339</f>
        <v>分析與報告生成|609</v>
      </c>
    </row>
    <row r="1340" customFormat="false" ht="17.15" hidden="false" customHeight="false" outlineLevel="0" collapsed="false">
      <c r="A1340" s="16" t="n">
        <f aca="false">RANK(G1340,$G$2:$G$2501)+COUNTIF($G$2:G1340,G1340)-1</f>
        <v>1339</v>
      </c>
      <c r="B1340" s="11" t="s">
        <v>3339</v>
      </c>
      <c r="C1340" s="11" t="s">
        <v>2785</v>
      </c>
      <c r="D1340" s="5" t="s">
        <v>56</v>
      </c>
      <c r="E1340" s="5" t="s">
        <v>57</v>
      </c>
      <c r="F1340" s="5"/>
      <c r="G1340" s="22" t="n">
        <f aca="false">ROUND(SUM(I1340:P1340),3)</f>
        <v>61.48</v>
      </c>
      <c r="H1340" s="5" t="str">
        <f aca="false">IF(G1340&gt;=評分方法!$C$16,"優先評估",IF(G1340&gt;=評分方法!$C$17,"列入候選",IF(G1340&gt;=評分方法!$C$18,"特定情境","不建議")))</f>
        <v>特定情境</v>
      </c>
      <c r="I1340" s="15" t="n">
        <f aca="false">AE1340*評分方法!$C$5</f>
        <v>25.5</v>
      </c>
      <c r="J1340" s="15" t="n">
        <f aca="false">AF1340*評分方法!$C$6</f>
        <v>0</v>
      </c>
      <c r="K1340" s="15" t="n">
        <f aca="false">AG1340*評分方法!$C$7</f>
        <v>10.05</v>
      </c>
      <c r="L1340" s="15" t="n">
        <f aca="false">AH1340*評分方法!$C$8</f>
        <v>13.05</v>
      </c>
      <c r="M1340" s="15" t="n">
        <f aca="false">AI1340*評分方法!$C$9</f>
        <v>10</v>
      </c>
      <c r="N1340" s="15" t="n">
        <f aca="false">AJ1340*評分方法!$C$10</f>
        <v>1.88</v>
      </c>
      <c r="O1340" s="15" t="n">
        <f aca="false">AK1340*評分方法!$C$11</f>
        <v>1</v>
      </c>
      <c r="P1340" s="15" t="n">
        <f aca="false">AL1340*評分方法!$C$12</f>
        <v>0</v>
      </c>
      <c r="Q1340" s="6" t="n">
        <v>201371</v>
      </c>
      <c r="R1340" s="6" t="n">
        <v>7241994240</v>
      </c>
      <c r="S1340" s="11" t="s">
        <v>254</v>
      </c>
      <c r="T1340" s="11" t="s">
        <v>239</v>
      </c>
      <c r="U1340" s="5" t="s">
        <v>240</v>
      </c>
      <c r="V1340" s="11" t="s">
        <v>333</v>
      </c>
      <c r="W1340" s="5" t="s">
        <v>207</v>
      </c>
      <c r="X1340" s="5" t="s">
        <v>242</v>
      </c>
      <c r="Y1340" s="11" t="s">
        <v>645</v>
      </c>
      <c r="Z1340" s="11" t="s">
        <v>244</v>
      </c>
      <c r="AA1340" s="11" t="s">
        <v>155</v>
      </c>
      <c r="AB1340" s="5" t="s">
        <v>496</v>
      </c>
      <c r="AC1340" s="5" t="s">
        <v>555</v>
      </c>
      <c r="AD1340" s="11" t="s">
        <v>3340</v>
      </c>
      <c r="AE1340" s="23" t="n">
        <v>0.85</v>
      </c>
      <c r="AF1340" s="23" t="n">
        <v>0</v>
      </c>
      <c r="AG1340" s="23" t="n">
        <v>0.67</v>
      </c>
      <c r="AH1340" s="23" t="n">
        <v>0.87</v>
      </c>
      <c r="AI1340" s="23" t="n">
        <v>1</v>
      </c>
      <c r="AJ1340" s="23" t="n">
        <v>0.188</v>
      </c>
      <c r="AK1340" s="23" t="n">
        <v>0.2</v>
      </c>
      <c r="AL1340" s="23" t="n">
        <v>0</v>
      </c>
      <c r="AM1340" s="16" t="n">
        <f aca="false">COUNTIFS($D$2:$D$2501,D1340,$G$2:$G$2501,"&gt;"&amp;G1340)+COUNTIFS($D$2:D1340,D1340,$G$2:G1340,G1340)</f>
        <v>610</v>
      </c>
      <c r="AN1340" s="5" t="str">
        <f aca="false">D1340&amp;"|"&amp;AM1340</f>
        <v>分析與報告生成|610</v>
      </c>
    </row>
    <row r="1341" customFormat="false" ht="17.15" hidden="false" customHeight="false" outlineLevel="0" collapsed="false">
      <c r="A1341" s="16" t="n">
        <f aca="false">RANK(G1341,$G$2:$G$2501)+COUNTIF($G$2:G1341,G1341)-1</f>
        <v>1340</v>
      </c>
      <c r="B1341" s="11" t="s">
        <v>3341</v>
      </c>
      <c r="C1341" s="11" t="s">
        <v>2693</v>
      </c>
      <c r="D1341" s="5" t="s">
        <v>74</v>
      </c>
      <c r="E1341" s="5" t="s">
        <v>75</v>
      </c>
      <c r="F1341" s="5"/>
      <c r="G1341" s="22" t="n">
        <f aca="false">ROUND(SUM(I1341:P1341),3)</f>
        <v>61.476</v>
      </c>
      <c r="H1341" s="5" t="str">
        <f aca="false">IF(G1341&gt;=評分方法!$C$16,"優先評估",IF(G1341&gt;=評分方法!$C$17,"列入候選",IF(G1341&gt;=評分方法!$C$18,"特定情境","不建議")))</f>
        <v>特定情境</v>
      </c>
      <c r="I1341" s="15" t="n">
        <f aca="false">AE1341*評分方法!$C$5</f>
        <v>10.5</v>
      </c>
      <c r="J1341" s="15" t="n">
        <f aca="false">AF1341*評分方法!$C$6</f>
        <v>0</v>
      </c>
      <c r="K1341" s="15" t="n">
        <f aca="false">AG1341*評分方法!$C$7</f>
        <v>15</v>
      </c>
      <c r="L1341" s="15" t="n">
        <f aca="false">AH1341*評分方法!$C$8</f>
        <v>15</v>
      </c>
      <c r="M1341" s="15" t="n">
        <f aca="false">AI1341*評分方法!$C$9</f>
        <v>10</v>
      </c>
      <c r="N1341" s="15" t="n">
        <f aca="false">AJ1341*評分方法!$C$10</f>
        <v>6.976</v>
      </c>
      <c r="O1341" s="15" t="n">
        <f aca="false">AK1341*評分方法!$C$11</f>
        <v>2.5</v>
      </c>
      <c r="P1341" s="15" t="n">
        <f aca="false">AL1341*評分方法!$C$12</f>
        <v>1.5</v>
      </c>
      <c r="Q1341" s="6" t="n">
        <v>904406</v>
      </c>
      <c r="R1341" s="6" t="n">
        <v>19502498</v>
      </c>
      <c r="S1341" s="11" t="s">
        <v>238</v>
      </c>
      <c r="T1341" s="11" t="s">
        <v>239</v>
      </c>
      <c r="U1341" s="5" t="s">
        <v>240</v>
      </c>
      <c r="V1341" s="11" t="s">
        <v>324</v>
      </c>
      <c r="W1341" s="5" t="s">
        <v>205</v>
      </c>
      <c r="X1341" s="5" t="s">
        <v>255</v>
      </c>
      <c r="Y1341" s="5"/>
      <c r="Z1341" s="5"/>
      <c r="AA1341" s="11" t="s">
        <v>172</v>
      </c>
      <c r="AB1341" s="5" t="s">
        <v>245</v>
      </c>
      <c r="AC1341" s="5"/>
      <c r="AD1341" s="11" t="s">
        <v>3342</v>
      </c>
      <c r="AE1341" s="23" t="n">
        <v>0.35</v>
      </c>
      <c r="AF1341" s="23" t="n">
        <v>0</v>
      </c>
      <c r="AG1341" s="23" t="n">
        <v>1</v>
      </c>
      <c r="AH1341" s="23" t="n">
        <v>1</v>
      </c>
      <c r="AI1341" s="23" t="n">
        <v>1</v>
      </c>
      <c r="AJ1341" s="23" t="n">
        <v>0.6976</v>
      </c>
      <c r="AK1341" s="23" t="n">
        <v>0.5</v>
      </c>
      <c r="AL1341" s="23" t="n">
        <v>0.3</v>
      </c>
      <c r="AM1341" s="16" t="n">
        <f aca="false">COUNTIFS($D$2:$D$2501,D1341,$G$2:$G$2501,"&gt;"&amp;G1341)+COUNTIFS($D$2:D1341,D1341,$G$2:G1341,G1341)</f>
        <v>70</v>
      </c>
      <c r="AN1341" s="5" t="str">
        <f aca="false">D1341&amp;"|"&amp;AM1341</f>
        <v>文件與影像辨識|70</v>
      </c>
    </row>
    <row r="1342" customFormat="false" ht="17.15" hidden="false" customHeight="false" outlineLevel="0" collapsed="false">
      <c r="A1342" s="16" t="n">
        <f aca="false">RANK(G1342,$G$2:$G$2501)+COUNTIF($G$2:G1342,G1342)-1</f>
        <v>1341</v>
      </c>
      <c r="B1342" s="11" t="s">
        <v>3343</v>
      </c>
      <c r="C1342" s="11" t="s">
        <v>299</v>
      </c>
      <c r="D1342" s="5" t="s">
        <v>78</v>
      </c>
      <c r="E1342" s="5" t="s">
        <v>79</v>
      </c>
      <c r="F1342" s="5"/>
      <c r="G1342" s="22" t="n">
        <f aca="false">ROUND(SUM(I1342:P1342),3)</f>
        <v>61.47</v>
      </c>
      <c r="H1342" s="5" t="str">
        <f aca="false">IF(G1342&gt;=評分方法!$C$16,"優先評估",IF(G1342&gt;=評分方法!$C$17,"列入候選",IF(G1342&gt;=評分方法!$C$18,"特定情境","不建議")))</f>
        <v>特定情境</v>
      </c>
      <c r="I1342" s="15" t="n">
        <f aca="false">AE1342*評分方法!$C$5</f>
        <v>9</v>
      </c>
      <c r="J1342" s="15" t="n">
        <f aca="false">AF1342*評分方法!$C$6</f>
        <v>0</v>
      </c>
      <c r="K1342" s="15" t="n">
        <f aca="false">AG1342*評分方法!$C$7</f>
        <v>15</v>
      </c>
      <c r="L1342" s="15" t="n">
        <f aca="false">AH1342*評分方法!$C$8</f>
        <v>13.05</v>
      </c>
      <c r="M1342" s="15" t="n">
        <f aca="false">AI1342*評分方法!$C$9</f>
        <v>10</v>
      </c>
      <c r="N1342" s="15" t="n">
        <f aca="false">AJ1342*評分方法!$C$10</f>
        <v>4.42</v>
      </c>
      <c r="O1342" s="15" t="n">
        <f aca="false">AK1342*評分方法!$C$11</f>
        <v>5</v>
      </c>
      <c r="P1342" s="15" t="n">
        <f aca="false">AL1342*評分方法!$C$12</f>
        <v>5</v>
      </c>
      <c r="Q1342" s="6" t="n">
        <v>481584</v>
      </c>
      <c r="R1342" s="6" t="n">
        <v>2111812956</v>
      </c>
      <c r="S1342" s="11" t="s">
        <v>254</v>
      </c>
      <c r="T1342" s="11" t="s">
        <v>239</v>
      </c>
      <c r="U1342" s="5" t="s">
        <v>240</v>
      </c>
      <c r="V1342" s="11" t="s">
        <v>261</v>
      </c>
      <c r="W1342" s="5" t="s">
        <v>205</v>
      </c>
      <c r="X1342" s="5" t="s">
        <v>284</v>
      </c>
      <c r="Y1342" s="11" t="s">
        <v>2414</v>
      </c>
      <c r="Z1342" s="11" t="s">
        <v>270</v>
      </c>
      <c r="AA1342" s="11" t="s">
        <v>175</v>
      </c>
      <c r="AB1342" s="5" t="s">
        <v>245</v>
      </c>
      <c r="AC1342" s="5"/>
      <c r="AD1342" s="11" t="s">
        <v>3344</v>
      </c>
      <c r="AE1342" s="23" t="n">
        <v>0.3</v>
      </c>
      <c r="AF1342" s="23" t="n">
        <v>0</v>
      </c>
      <c r="AG1342" s="23" t="n">
        <v>1</v>
      </c>
      <c r="AH1342" s="23" t="n">
        <v>0.87</v>
      </c>
      <c r="AI1342" s="23" t="n">
        <v>1</v>
      </c>
      <c r="AJ1342" s="23" t="n">
        <v>0.442</v>
      </c>
      <c r="AK1342" s="23" t="n">
        <v>1</v>
      </c>
      <c r="AL1342" s="23" t="n">
        <v>1</v>
      </c>
      <c r="AM1342" s="16" t="n">
        <f aca="false">COUNTIFS($D$2:$D$2501,D1342,$G$2:$G$2501,"&gt;"&amp;G1342)+COUNTIFS($D$2:D1342,D1342,$G$2:G1342,G1342)</f>
        <v>18</v>
      </c>
      <c r="AN1342" s="5" t="str">
        <f aca="false">D1342&amp;"|"&amp;AM1342</f>
        <v>語音分析|18</v>
      </c>
    </row>
    <row r="1343" customFormat="false" ht="17.15" hidden="false" customHeight="false" outlineLevel="0" collapsed="false">
      <c r="A1343" s="16" t="n">
        <f aca="false">RANK(G1343,$G$2:$G$2501)+COUNTIF($G$2:G1343,G1343)-1</f>
        <v>1342</v>
      </c>
      <c r="B1343" s="11" t="s">
        <v>3345</v>
      </c>
      <c r="C1343" s="11" t="s">
        <v>1111</v>
      </c>
      <c r="D1343" s="5" t="s">
        <v>56</v>
      </c>
      <c r="E1343" s="5" t="s">
        <v>57</v>
      </c>
      <c r="F1343" s="5"/>
      <c r="G1343" s="22" t="n">
        <f aca="false">ROUND(SUM(I1343:P1343),3)</f>
        <v>61.436</v>
      </c>
      <c r="H1343" s="5" t="str">
        <f aca="false">IF(G1343&gt;=評分方法!$C$16,"優先評估",IF(G1343&gt;=評分方法!$C$17,"列入候選",IF(G1343&gt;=評分方法!$C$18,"特定情境","不建議")))</f>
        <v>特定情境</v>
      </c>
      <c r="I1343" s="15" t="n">
        <f aca="false">AE1343*評分方法!$C$5</f>
        <v>25.5</v>
      </c>
      <c r="J1343" s="15" t="n">
        <f aca="false">AF1343*評分方法!$C$6</f>
        <v>0</v>
      </c>
      <c r="K1343" s="15" t="n">
        <f aca="false">AG1343*評分方法!$C$7</f>
        <v>10.05</v>
      </c>
      <c r="L1343" s="15" t="n">
        <f aca="false">AH1343*評分方法!$C$8</f>
        <v>13.05</v>
      </c>
      <c r="M1343" s="15" t="n">
        <f aca="false">AI1343*評分方法!$C$9</f>
        <v>6</v>
      </c>
      <c r="N1343" s="15" t="n">
        <f aca="false">AJ1343*評分方法!$C$10</f>
        <v>1.836</v>
      </c>
      <c r="O1343" s="15" t="n">
        <f aca="false">AK1343*評分方法!$C$11</f>
        <v>5</v>
      </c>
      <c r="P1343" s="15" t="n">
        <f aca="false">AL1343*評分方法!$C$12</f>
        <v>0</v>
      </c>
      <c r="Q1343" s="6" t="n">
        <v>198278</v>
      </c>
      <c r="R1343" s="6" t="n">
        <v>3606752256</v>
      </c>
      <c r="S1343" s="11" t="s">
        <v>254</v>
      </c>
      <c r="T1343" s="11" t="s">
        <v>1044</v>
      </c>
      <c r="U1343" s="5" t="s">
        <v>260</v>
      </c>
      <c r="V1343" s="11" t="s">
        <v>261</v>
      </c>
      <c r="W1343" s="5" t="s">
        <v>207</v>
      </c>
      <c r="X1343" s="5" t="s">
        <v>242</v>
      </c>
      <c r="Y1343" s="11" t="s">
        <v>1340</v>
      </c>
      <c r="Z1343" s="11" t="s">
        <v>244</v>
      </c>
      <c r="AA1343" s="11" t="s">
        <v>155</v>
      </c>
      <c r="AB1343" s="5" t="s">
        <v>245</v>
      </c>
      <c r="AC1343" s="5" t="s">
        <v>464</v>
      </c>
      <c r="AD1343" s="11" t="s">
        <v>3346</v>
      </c>
      <c r="AE1343" s="23" t="n">
        <v>0.85</v>
      </c>
      <c r="AF1343" s="23" t="n">
        <v>0</v>
      </c>
      <c r="AG1343" s="23" t="n">
        <v>0.67</v>
      </c>
      <c r="AH1343" s="23" t="n">
        <v>0.87</v>
      </c>
      <c r="AI1343" s="23" t="n">
        <v>0.6</v>
      </c>
      <c r="AJ1343" s="23" t="n">
        <v>0.1836</v>
      </c>
      <c r="AK1343" s="23" t="n">
        <v>1</v>
      </c>
      <c r="AL1343" s="23" t="n">
        <v>0</v>
      </c>
      <c r="AM1343" s="16" t="n">
        <f aca="false">COUNTIFS($D$2:$D$2501,D1343,$G$2:$G$2501,"&gt;"&amp;G1343)+COUNTIFS($D$2:D1343,D1343,$G$2:G1343,G1343)</f>
        <v>611</v>
      </c>
      <c r="AN1343" s="5" t="str">
        <f aca="false">D1343&amp;"|"&amp;AM1343</f>
        <v>分析與報告生成|611</v>
      </c>
    </row>
    <row r="1344" customFormat="false" ht="17.15" hidden="false" customHeight="false" outlineLevel="0" collapsed="false">
      <c r="A1344" s="16" t="n">
        <f aca="false">RANK(G1344,$G$2:$G$2501)+COUNTIF($G$2:G1344,G1344)-1</f>
        <v>1343</v>
      </c>
      <c r="B1344" s="11" t="s">
        <v>3347</v>
      </c>
      <c r="C1344" s="11" t="s">
        <v>2693</v>
      </c>
      <c r="D1344" s="5" t="s">
        <v>74</v>
      </c>
      <c r="E1344" s="5" t="s">
        <v>75</v>
      </c>
      <c r="F1344" s="5"/>
      <c r="G1344" s="22" t="n">
        <f aca="false">ROUND(SUM(I1344:P1344),3)</f>
        <v>61.428</v>
      </c>
      <c r="H1344" s="5" t="str">
        <f aca="false">IF(G1344&gt;=評分方法!$C$16,"優先評估",IF(G1344&gt;=評分方法!$C$17,"列入候選",IF(G1344&gt;=評分方法!$C$18,"特定情境","不建議")))</f>
        <v>特定情境</v>
      </c>
      <c r="I1344" s="15" t="n">
        <f aca="false">AE1344*評分方法!$C$5</f>
        <v>10.5</v>
      </c>
      <c r="J1344" s="15" t="n">
        <f aca="false">AF1344*評分方法!$C$6</f>
        <v>0</v>
      </c>
      <c r="K1344" s="15" t="n">
        <f aca="false">AG1344*評分方法!$C$7</f>
        <v>15</v>
      </c>
      <c r="L1344" s="15" t="n">
        <f aca="false">AH1344*評分方法!$C$8</f>
        <v>15</v>
      </c>
      <c r="M1344" s="15" t="n">
        <f aca="false">AI1344*評分方法!$C$9</f>
        <v>10</v>
      </c>
      <c r="N1344" s="15" t="n">
        <f aca="false">AJ1344*評分方法!$C$10</f>
        <v>6.928</v>
      </c>
      <c r="O1344" s="15" t="n">
        <f aca="false">AK1344*評分方法!$C$11</f>
        <v>2.5</v>
      </c>
      <c r="P1344" s="15" t="n">
        <f aca="false">AL1344*評分方法!$C$12</f>
        <v>1.5</v>
      </c>
      <c r="Q1344" s="6" t="n">
        <v>886155</v>
      </c>
      <c r="R1344" s="6" t="n">
        <v>10360403</v>
      </c>
      <c r="S1344" s="11" t="s">
        <v>238</v>
      </c>
      <c r="T1344" s="11" t="s">
        <v>239</v>
      </c>
      <c r="U1344" s="5" t="s">
        <v>240</v>
      </c>
      <c r="V1344" s="11" t="s">
        <v>324</v>
      </c>
      <c r="W1344" s="5" t="s">
        <v>205</v>
      </c>
      <c r="X1344" s="5" t="s">
        <v>255</v>
      </c>
      <c r="Y1344" s="5"/>
      <c r="Z1344" s="5"/>
      <c r="AA1344" s="11" t="s">
        <v>172</v>
      </c>
      <c r="AB1344" s="5" t="s">
        <v>245</v>
      </c>
      <c r="AC1344" s="5"/>
      <c r="AD1344" s="11" t="s">
        <v>3348</v>
      </c>
      <c r="AE1344" s="23" t="n">
        <v>0.35</v>
      </c>
      <c r="AF1344" s="23" t="n">
        <v>0</v>
      </c>
      <c r="AG1344" s="23" t="n">
        <v>1</v>
      </c>
      <c r="AH1344" s="23" t="n">
        <v>1</v>
      </c>
      <c r="AI1344" s="23" t="n">
        <v>1</v>
      </c>
      <c r="AJ1344" s="23" t="n">
        <v>0.6928</v>
      </c>
      <c r="AK1344" s="23" t="n">
        <v>0.5</v>
      </c>
      <c r="AL1344" s="23" t="n">
        <v>0.3</v>
      </c>
      <c r="AM1344" s="16" t="n">
        <f aca="false">COUNTIFS($D$2:$D$2501,D1344,$G$2:$G$2501,"&gt;"&amp;G1344)+COUNTIFS($D$2:D1344,D1344,$G$2:G1344,G1344)</f>
        <v>71</v>
      </c>
      <c r="AN1344" s="5" t="str">
        <f aca="false">D1344&amp;"|"&amp;AM1344</f>
        <v>文件與影像辨識|71</v>
      </c>
    </row>
    <row r="1345" customFormat="false" ht="17.15" hidden="false" customHeight="false" outlineLevel="0" collapsed="false">
      <c r="A1345" s="16" t="n">
        <f aca="false">RANK(G1345,$G$2:$G$2501)+COUNTIF($G$2:G1345,G1345)-1</f>
        <v>1344</v>
      </c>
      <c r="B1345" s="11" t="s">
        <v>3349</v>
      </c>
      <c r="C1345" s="11" t="s">
        <v>1438</v>
      </c>
      <c r="D1345" s="5" t="s">
        <v>56</v>
      </c>
      <c r="E1345" s="5" t="s">
        <v>57</v>
      </c>
      <c r="F1345" s="5"/>
      <c r="G1345" s="22" t="n">
        <f aca="false">ROUND(SUM(I1345:P1345),3)</f>
        <v>61.396</v>
      </c>
      <c r="H1345" s="5" t="str">
        <f aca="false">IF(G1345&gt;=評分方法!$C$16,"優先評估",IF(G1345&gt;=評分方法!$C$17,"列入候選",IF(G1345&gt;=評分方法!$C$18,"特定情境","不建議")))</f>
        <v>特定情境</v>
      </c>
      <c r="I1345" s="15" t="n">
        <f aca="false">AE1345*評分方法!$C$5</f>
        <v>25.5</v>
      </c>
      <c r="J1345" s="15" t="n">
        <f aca="false">AF1345*評分方法!$C$6</f>
        <v>0</v>
      </c>
      <c r="K1345" s="15" t="n">
        <f aca="false">AG1345*評分方法!$C$7</f>
        <v>10.05</v>
      </c>
      <c r="L1345" s="15" t="n">
        <f aca="false">AH1345*評分方法!$C$8</f>
        <v>13.05</v>
      </c>
      <c r="M1345" s="15" t="n">
        <f aca="false">AI1345*評分方法!$C$9</f>
        <v>2</v>
      </c>
      <c r="N1345" s="15" t="n">
        <f aca="false">AJ1345*評分方法!$C$10</f>
        <v>3.796</v>
      </c>
      <c r="O1345" s="15" t="n">
        <f aca="false">AK1345*評分方法!$C$11</f>
        <v>4</v>
      </c>
      <c r="P1345" s="15" t="n">
        <f aca="false">AL1345*評分方法!$C$12</f>
        <v>3</v>
      </c>
      <c r="Q1345" s="6" t="n">
        <v>388688</v>
      </c>
      <c r="R1345" s="6" t="n">
        <v>8190735360</v>
      </c>
      <c r="S1345" s="11" t="s">
        <v>254</v>
      </c>
      <c r="T1345" s="5"/>
      <c r="U1345" s="5" t="s">
        <v>375</v>
      </c>
      <c r="V1345" s="11" t="s">
        <v>333</v>
      </c>
      <c r="W1345" s="5" t="s">
        <v>207</v>
      </c>
      <c r="X1345" s="5" t="s">
        <v>371</v>
      </c>
      <c r="Y1345" s="11" t="s">
        <v>3350</v>
      </c>
      <c r="Z1345" s="11" t="s">
        <v>244</v>
      </c>
      <c r="AA1345" s="11" t="s">
        <v>155</v>
      </c>
      <c r="AB1345" s="5" t="s">
        <v>245</v>
      </c>
      <c r="AC1345" s="5" t="s">
        <v>464</v>
      </c>
      <c r="AD1345" s="11" t="s">
        <v>3351</v>
      </c>
      <c r="AE1345" s="23" t="n">
        <v>0.85</v>
      </c>
      <c r="AF1345" s="23" t="n">
        <v>0</v>
      </c>
      <c r="AG1345" s="23" t="n">
        <v>0.67</v>
      </c>
      <c r="AH1345" s="23" t="n">
        <v>0.87</v>
      </c>
      <c r="AI1345" s="23" t="n">
        <v>0.2</v>
      </c>
      <c r="AJ1345" s="23" t="n">
        <v>0.3796</v>
      </c>
      <c r="AK1345" s="23" t="n">
        <v>0.8</v>
      </c>
      <c r="AL1345" s="23" t="n">
        <v>0.6</v>
      </c>
      <c r="AM1345" s="16" t="n">
        <f aca="false">COUNTIFS($D$2:$D$2501,D1345,$G$2:$G$2501,"&gt;"&amp;G1345)+COUNTIFS($D$2:D1345,D1345,$G$2:G1345,G1345)</f>
        <v>612</v>
      </c>
      <c r="AN1345" s="5" t="str">
        <f aca="false">D1345&amp;"|"&amp;AM1345</f>
        <v>分析與報告生成|612</v>
      </c>
    </row>
    <row r="1346" customFormat="false" ht="17.15" hidden="false" customHeight="false" outlineLevel="0" collapsed="false">
      <c r="A1346" s="16" t="n">
        <f aca="false">RANK(G1346,$G$2:$G$2501)+COUNTIF($G$2:G1346,G1346)-1</f>
        <v>1345</v>
      </c>
      <c r="B1346" s="11" t="s">
        <v>3352</v>
      </c>
      <c r="C1346" s="11" t="s">
        <v>2639</v>
      </c>
      <c r="D1346" s="5" t="s">
        <v>56</v>
      </c>
      <c r="E1346" s="5" t="s">
        <v>57</v>
      </c>
      <c r="F1346" s="5"/>
      <c r="G1346" s="22" t="n">
        <f aca="false">ROUND(SUM(I1346:P1346),3)</f>
        <v>61.386</v>
      </c>
      <c r="H1346" s="5" t="str">
        <f aca="false">IF(G1346&gt;=評分方法!$C$16,"優先評估",IF(G1346&gt;=評分方法!$C$17,"列入候選",IF(G1346&gt;=評分方法!$C$18,"特定情境","不建議")))</f>
        <v>特定情境</v>
      </c>
      <c r="I1346" s="15" t="n">
        <f aca="false">AE1346*評分方法!$C$5</f>
        <v>25.5</v>
      </c>
      <c r="J1346" s="15" t="n">
        <f aca="false">AF1346*評分方法!$C$6</f>
        <v>0</v>
      </c>
      <c r="K1346" s="15" t="n">
        <f aca="false">AG1346*評分方法!$C$7</f>
        <v>4.95</v>
      </c>
      <c r="L1346" s="15" t="n">
        <f aca="false">AH1346*評分方法!$C$8</f>
        <v>15</v>
      </c>
      <c r="M1346" s="15" t="n">
        <f aca="false">AI1346*評分方法!$C$9</f>
        <v>10</v>
      </c>
      <c r="N1346" s="15" t="n">
        <f aca="false">AJ1346*評分方法!$C$10</f>
        <v>0.936</v>
      </c>
      <c r="O1346" s="15" t="n">
        <f aca="false">AK1346*評分方法!$C$11</f>
        <v>5</v>
      </c>
      <c r="P1346" s="15" t="n">
        <f aca="false">AL1346*評分方法!$C$12</f>
        <v>0</v>
      </c>
      <c r="Q1346" s="6" t="n">
        <v>151136</v>
      </c>
      <c r="R1346" s="6" t="n">
        <v>268098176</v>
      </c>
      <c r="S1346" s="11" t="s">
        <v>238</v>
      </c>
      <c r="T1346" s="11" t="s">
        <v>239</v>
      </c>
      <c r="U1346" s="5" t="s">
        <v>240</v>
      </c>
      <c r="V1346" s="11" t="s">
        <v>261</v>
      </c>
      <c r="W1346" s="5" t="s">
        <v>334</v>
      </c>
      <c r="X1346" s="5" t="s">
        <v>242</v>
      </c>
      <c r="Y1346" s="11" t="s">
        <v>809</v>
      </c>
      <c r="Z1346" s="11" t="s">
        <v>270</v>
      </c>
      <c r="AA1346" s="11" t="s">
        <v>155</v>
      </c>
      <c r="AB1346" s="5" t="s">
        <v>245</v>
      </c>
      <c r="AC1346" s="5"/>
      <c r="AD1346" s="11" t="s">
        <v>3353</v>
      </c>
      <c r="AE1346" s="23" t="n">
        <v>0.85</v>
      </c>
      <c r="AF1346" s="23" t="n">
        <v>0</v>
      </c>
      <c r="AG1346" s="23" t="n">
        <v>0.33</v>
      </c>
      <c r="AH1346" s="23" t="n">
        <v>1</v>
      </c>
      <c r="AI1346" s="23" t="n">
        <v>1</v>
      </c>
      <c r="AJ1346" s="23" t="n">
        <v>0.0936</v>
      </c>
      <c r="AK1346" s="23" t="n">
        <v>1</v>
      </c>
      <c r="AL1346" s="23" t="n">
        <v>0</v>
      </c>
      <c r="AM1346" s="16" t="n">
        <f aca="false">COUNTIFS($D$2:$D$2501,D1346,$G$2:$G$2501,"&gt;"&amp;G1346)+COUNTIFS($D$2:D1346,D1346,$G$2:G1346,G1346)</f>
        <v>613</v>
      </c>
      <c r="AN1346" s="5" t="str">
        <f aca="false">D1346&amp;"|"&amp;AM1346</f>
        <v>分析與報告生成|613</v>
      </c>
    </row>
    <row r="1347" customFormat="false" ht="17.15" hidden="false" customHeight="false" outlineLevel="0" collapsed="false">
      <c r="A1347" s="16" t="n">
        <f aca="false">RANK(G1347,$G$2:$G$2501)+COUNTIF($G$2:G1347,G1347)-1</f>
        <v>1346</v>
      </c>
      <c r="B1347" s="11" t="s">
        <v>3354</v>
      </c>
      <c r="C1347" s="11" t="s">
        <v>1635</v>
      </c>
      <c r="D1347" s="5" t="s">
        <v>56</v>
      </c>
      <c r="E1347" s="5" t="s">
        <v>57</v>
      </c>
      <c r="F1347" s="5"/>
      <c r="G1347" s="22" t="n">
        <f aca="false">ROUND(SUM(I1347:P1347),3)</f>
        <v>61.368</v>
      </c>
      <c r="H1347" s="5" t="str">
        <f aca="false">IF(G1347&gt;=評分方法!$C$16,"優先評估",IF(G1347&gt;=評分方法!$C$17,"列入候選",IF(G1347&gt;=評分方法!$C$18,"特定情境","不建議")))</f>
        <v>特定情境</v>
      </c>
      <c r="I1347" s="15" t="n">
        <f aca="false">AE1347*評分方法!$C$5</f>
        <v>18</v>
      </c>
      <c r="J1347" s="15" t="n">
        <f aca="false">AF1347*評分方法!$C$6</f>
        <v>0</v>
      </c>
      <c r="K1347" s="15" t="n">
        <f aca="false">AG1347*評分方法!$C$7</f>
        <v>15</v>
      </c>
      <c r="L1347" s="15" t="n">
        <f aca="false">AH1347*評分方法!$C$8</f>
        <v>15</v>
      </c>
      <c r="M1347" s="15" t="n">
        <f aca="false">AI1347*評分方法!$C$9</f>
        <v>10</v>
      </c>
      <c r="N1347" s="15" t="n">
        <f aca="false">AJ1347*評分方法!$C$10</f>
        <v>2.368</v>
      </c>
      <c r="O1347" s="15" t="n">
        <f aca="false">AK1347*評分方法!$C$11</f>
        <v>1</v>
      </c>
      <c r="P1347" s="15" t="n">
        <f aca="false">AL1347*評分方法!$C$12</f>
        <v>0</v>
      </c>
      <c r="Q1347" s="6" t="n">
        <v>237843</v>
      </c>
      <c r="R1347" s="6" t="n">
        <v>41112066</v>
      </c>
      <c r="S1347" s="11" t="s">
        <v>238</v>
      </c>
      <c r="T1347" s="11" t="s">
        <v>278</v>
      </c>
      <c r="U1347" s="5" t="s">
        <v>240</v>
      </c>
      <c r="V1347" s="11" t="s">
        <v>324</v>
      </c>
      <c r="W1347" s="5" t="s">
        <v>205</v>
      </c>
      <c r="X1347" s="5" t="s">
        <v>242</v>
      </c>
      <c r="Y1347" s="5"/>
      <c r="Z1347" s="5"/>
      <c r="AA1347" s="11" t="s">
        <v>159</v>
      </c>
      <c r="AB1347" s="5" t="s">
        <v>245</v>
      </c>
      <c r="AC1347" s="5"/>
      <c r="AD1347" s="11" t="s">
        <v>3355</v>
      </c>
      <c r="AE1347" s="23" t="n">
        <v>0.6</v>
      </c>
      <c r="AF1347" s="23" t="n">
        <v>0</v>
      </c>
      <c r="AG1347" s="23" t="n">
        <v>1</v>
      </c>
      <c r="AH1347" s="23" t="n">
        <v>1</v>
      </c>
      <c r="AI1347" s="23" t="n">
        <v>1</v>
      </c>
      <c r="AJ1347" s="23" t="n">
        <v>0.2368</v>
      </c>
      <c r="AK1347" s="23" t="n">
        <v>0.2</v>
      </c>
      <c r="AL1347" s="23" t="n">
        <v>0</v>
      </c>
      <c r="AM1347" s="16" t="n">
        <f aca="false">COUNTIFS($D$2:$D$2501,D1347,$G$2:$G$2501,"&gt;"&amp;G1347)+COUNTIFS($D$2:D1347,D1347,$G$2:G1347,G1347)</f>
        <v>614</v>
      </c>
      <c r="AN1347" s="5" t="str">
        <f aca="false">D1347&amp;"|"&amp;AM1347</f>
        <v>分析與報告生成|614</v>
      </c>
    </row>
    <row r="1348" customFormat="false" ht="17.15" hidden="false" customHeight="false" outlineLevel="0" collapsed="false">
      <c r="A1348" s="16" t="n">
        <f aca="false">RANK(G1348,$G$2:$G$2501)+COUNTIF($G$2:G1348,G1348)-1</f>
        <v>1347</v>
      </c>
      <c r="B1348" s="11" t="s">
        <v>3356</v>
      </c>
      <c r="C1348" s="11" t="s">
        <v>3357</v>
      </c>
      <c r="D1348" s="5" t="s">
        <v>56</v>
      </c>
      <c r="E1348" s="5" t="s">
        <v>57</v>
      </c>
      <c r="F1348" s="5"/>
      <c r="G1348" s="22" t="n">
        <f aca="false">ROUND(SUM(I1348:P1348),3)</f>
        <v>61.36</v>
      </c>
      <c r="H1348" s="5" t="str">
        <f aca="false">IF(G1348&gt;=評分方法!$C$16,"優先評估",IF(G1348&gt;=評分方法!$C$17,"列入候選",IF(G1348&gt;=評分方法!$C$18,"特定情境","不建議")))</f>
        <v>特定情境</v>
      </c>
      <c r="I1348" s="15" t="n">
        <f aca="false">AE1348*評分方法!$C$5</f>
        <v>25.5</v>
      </c>
      <c r="J1348" s="15" t="n">
        <f aca="false">AF1348*評分方法!$C$6</f>
        <v>0</v>
      </c>
      <c r="K1348" s="15" t="n">
        <f aca="false">AG1348*評分方法!$C$7</f>
        <v>4.95</v>
      </c>
      <c r="L1348" s="15" t="n">
        <f aca="false">AH1348*評分方法!$C$8</f>
        <v>13.05</v>
      </c>
      <c r="M1348" s="15" t="n">
        <f aca="false">AI1348*評分方法!$C$9</f>
        <v>10</v>
      </c>
      <c r="N1348" s="15" t="n">
        <f aca="false">AJ1348*評分方法!$C$10</f>
        <v>2.86</v>
      </c>
      <c r="O1348" s="15" t="n">
        <f aca="false">AK1348*評分方法!$C$11</f>
        <v>5</v>
      </c>
      <c r="P1348" s="15" t="n">
        <f aca="false">AL1348*評分方法!$C$12</f>
        <v>0</v>
      </c>
      <c r="Q1348" s="6" t="n">
        <v>279041</v>
      </c>
      <c r="R1348" s="6" t="n">
        <v>1182795264</v>
      </c>
      <c r="S1348" s="11" t="s">
        <v>254</v>
      </c>
      <c r="T1348" s="11" t="s">
        <v>239</v>
      </c>
      <c r="U1348" s="5" t="s">
        <v>240</v>
      </c>
      <c r="V1348" s="11" t="s">
        <v>261</v>
      </c>
      <c r="W1348" s="5" t="s">
        <v>334</v>
      </c>
      <c r="X1348" s="5" t="s">
        <v>242</v>
      </c>
      <c r="Y1348" s="5"/>
      <c r="Z1348" s="5"/>
      <c r="AA1348" s="11" t="s">
        <v>155</v>
      </c>
      <c r="AB1348" s="5" t="s">
        <v>245</v>
      </c>
      <c r="AC1348" s="5"/>
      <c r="AD1348" s="11" t="s">
        <v>3358</v>
      </c>
      <c r="AE1348" s="23" t="n">
        <v>0.85</v>
      </c>
      <c r="AF1348" s="23" t="n">
        <v>0</v>
      </c>
      <c r="AG1348" s="23" t="n">
        <v>0.33</v>
      </c>
      <c r="AH1348" s="23" t="n">
        <v>0.87</v>
      </c>
      <c r="AI1348" s="23" t="n">
        <v>1</v>
      </c>
      <c r="AJ1348" s="23" t="n">
        <v>0.286</v>
      </c>
      <c r="AK1348" s="23" t="n">
        <v>1</v>
      </c>
      <c r="AL1348" s="23" t="n">
        <v>0</v>
      </c>
      <c r="AM1348" s="16" t="n">
        <f aca="false">COUNTIFS($D$2:$D$2501,D1348,$G$2:$G$2501,"&gt;"&amp;G1348)+COUNTIFS($D$2:D1348,D1348,$G$2:G1348,G1348)</f>
        <v>615</v>
      </c>
      <c r="AN1348" s="5" t="str">
        <f aca="false">D1348&amp;"|"&amp;AM1348</f>
        <v>分析與報告生成|615</v>
      </c>
    </row>
    <row r="1349" customFormat="false" ht="17.15" hidden="false" customHeight="false" outlineLevel="0" collapsed="false">
      <c r="A1349" s="16" t="n">
        <f aca="false">RANK(G1349,$G$2:$G$2501)+COUNTIF($G$2:G1349,G1349)-1</f>
        <v>1348</v>
      </c>
      <c r="B1349" s="11" t="s">
        <v>3359</v>
      </c>
      <c r="C1349" s="11" t="s">
        <v>402</v>
      </c>
      <c r="D1349" s="5" t="s">
        <v>48</v>
      </c>
      <c r="E1349" s="5" t="s">
        <v>49</v>
      </c>
      <c r="F1349" s="5" t="s">
        <v>48</v>
      </c>
      <c r="G1349" s="22" t="n">
        <f aca="false">ROUND(SUM(I1349:P1349),3)</f>
        <v>61.35</v>
      </c>
      <c r="H1349" s="5" t="str">
        <f aca="false">IF(G1349&gt;=評分方法!$C$16,"優先評估",IF(G1349&gt;=評分方法!$C$17,"列入候選",IF(G1349&gt;=評分方法!$C$18,"特定情境","不建議")))</f>
        <v>特定情境</v>
      </c>
      <c r="I1349" s="15" t="n">
        <f aca="false">AE1349*評分方法!$C$5</f>
        <v>17.1</v>
      </c>
      <c r="J1349" s="15" t="n">
        <f aca="false">AF1349*評分方法!$C$6</f>
        <v>10</v>
      </c>
      <c r="K1349" s="15" t="n">
        <f aca="false">AG1349*評分方法!$C$7</f>
        <v>4.95</v>
      </c>
      <c r="L1349" s="15" t="n">
        <f aca="false">AH1349*評分方法!$C$8</f>
        <v>15</v>
      </c>
      <c r="M1349" s="15" t="n">
        <f aca="false">AI1349*評分方法!$C$9</f>
        <v>10</v>
      </c>
      <c r="N1349" s="15" t="n">
        <f aca="false">AJ1349*評分方法!$C$10</f>
        <v>0.3</v>
      </c>
      <c r="O1349" s="15" t="n">
        <f aca="false">AK1349*評分方法!$C$11</f>
        <v>4</v>
      </c>
      <c r="P1349" s="15" t="n">
        <f aca="false">AL1349*評分方法!$C$12</f>
        <v>0</v>
      </c>
      <c r="Q1349" s="6" t="n">
        <v>124436</v>
      </c>
      <c r="R1349" s="6" t="n">
        <v>141362764</v>
      </c>
      <c r="S1349" s="11" t="s">
        <v>238</v>
      </c>
      <c r="T1349" s="11" t="s">
        <v>239</v>
      </c>
      <c r="U1349" s="5" t="s">
        <v>240</v>
      </c>
      <c r="V1349" s="11" t="s">
        <v>261</v>
      </c>
      <c r="W1349" s="5" t="s">
        <v>334</v>
      </c>
      <c r="X1349" s="5" t="s">
        <v>242</v>
      </c>
      <c r="Y1349" s="11" t="s">
        <v>474</v>
      </c>
      <c r="Z1349" s="11" t="s">
        <v>270</v>
      </c>
      <c r="AA1349" s="11" t="s">
        <v>150</v>
      </c>
      <c r="AB1349" s="5" t="s">
        <v>245</v>
      </c>
      <c r="AC1349" s="5" t="s">
        <v>1463</v>
      </c>
      <c r="AD1349" s="11" t="s">
        <v>3360</v>
      </c>
      <c r="AE1349" s="23" t="n">
        <v>0.57</v>
      </c>
      <c r="AF1349" s="23" t="n">
        <v>1</v>
      </c>
      <c r="AG1349" s="23" t="n">
        <v>0.33</v>
      </c>
      <c r="AH1349" s="23" t="n">
        <v>1</v>
      </c>
      <c r="AI1349" s="23" t="n">
        <v>1</v>
      </c>
      <c r="AJ1349" s="23" t="n">
        <v>0.03</v>
      </c>
      <c r="AK1349" s="23" t="n">
        <v>0.8</v>
      </c>
      <c r="AL1349" s="23" t="n">
        <v>0</v>
      </c>
      <c r="AM1349" s="16" t="n">
        <f aca="false">COUNTIFS($D$2:$D$2501,D1349,$G$2:$G$2501,"&gt;"&amp;G1349)+COUNTIFS($D$2:D1349,D1349,$G$2:G1349,G1349)</f>
        <v>15</v>
      </c>
      <c r="AN1349" s="5" t="str">
        <f aca="false">D1349&amp;"|"&amp;AM1349</f>
        <v>個資偵測與去識別化|15</v>
      </c>
    </row>
    <row r="1350" customFormat="false" ht="17.15" hidden="false" customHeight="false" outlineLevel="0" collapsed="false">
      <c r="A1350" s="16" t="n">
        <f aca="false">RANK(G1350,$G$2:$G$2501)+COUNTIF($G$2:G1350,G1350)-1</f>
        <v>1349</v>
      </c>
      <c r="B1350" s="11" t="s">
        <v>3361</v>
      </c>
      <c r="C1350" s="11" t="s">
        <v>3362</v>
      </c>
      <c r="D1350" s="5" t="s">
        <v>56</v>
      </c>
      <c r="E1350" s="5" t="s">
        <v>57</v>
      </c>
      <c r="F1350" s="5"/>
      <c r="G1350" s="22" t="n">
        <f aca="false">ROUND(SUM(I1350:P1350),3)</f>
        <v>61.336</v>
      </c>
      <c r="H1350" s="5" t="str">
        <f aca="false">IF(G1350&gt;=評分方法!$C$16,"優先評估",IF(G1350&gt;=評分方法!$C$17,"列入候選",IF(G1350&gt;=評分方法!$C$18,"特定情境","不建議")))</f>
        <v>特定情境</v>
      </c>
      <c r="I1350" s="15" t="n">
        <f aca="false">AE1350*評分方法!$C$5</f>
        <v>25.5</v>
      </c>
      <c r="J1350" s="15" t="n">
        <f aca="false">AF1350*評分方法!$C$6</f>
        <v>0</v>
      </c>
      <c r="K1350" s="15" t="n">
        <f aca="false">AG1350*評分方法!$C$7</f>
        <v>4.95</v>
      </c>
      <c r="L1350" s="15" t="n">
        <f aca="false">AH1350*評分方法!$C$8</f>
        <v>13.05</v>
      </c>
      <c r="M1350" s="15" t="n">
        <f aca="false">AI1350*評分方法!$C$9</f>
        <v>6</v>
      </c>
      <c r="N1350" s="15" t="n">
        <f aca="false">AJ1350*評分方法!$C$10</f>
        <v>7.836</v>
      </c>
      <c r="O1350" s="15" t="n">
        <f aca="false">AK1350*評分方法!$C$11</f>
        <v>1</v>
      </c>
      <c r="P1350" s="15" t="n">
        <f aca="false">AL1350*評分方法!$C$12</f>
        <v>3</v>
      </c>
      <c r="Q1350" s="6" t="n">
        <v>1427721</v>
      </c>
      <c r="R1350" s="6" t="n">
        <v>6738417664</v>
      </c>
      <c r="S1350" s="11" t="s">
        <v>254</v>
      </c>
      <c r="T1350" s="11" t="s">
        <v>185</v>
      </c>
      <c r="U1350" s="5" t="s">
        <v>260</v>
      </c>
      <c r="V1350" s="11" t="s">
        <v>324</v>
      </c>
      <c r="W1350" s="5" t="s">
        <v>334</v>
      </c>
      <c r="X1350" s="5" t="s">
        <v>371</v>
      </c>
      <c r="Y1350" s="5"/>
      <c r="Z1350" s="5"/>
      <c r="AA1350" s="11" t="s">
        <v>155</v>
      </c>
      <c r="AB1350" s="5" t="s">
        <v>245</v>
      </c>
      <c r="AC1350" s="5" t="s">
        <v>262</v>
      </c>
      <c r="AD1350" s="11" t="s">
        <v>3363</v>
      </c>
      <c r="AE1350" s="23" t="n">
        <v>0.85</v>
      </c>
      <c r="AF1350" s="23" t="n">
        <v>0</v>
      </c>
      <c r="AG1350" s="23" t="n">
        <v>0.33</v>
      </c>
      <c r="AH1350" s="23" t="n">
        <v>0.87</v>
      </c>
      <c r="AI1350" s="23" t="n">
        <v>0.6</v>
      </c>
      <c r="AJ1350" s="23" t="n">
        <v>0.7836</v>
      </c>
      <c r="AK1350" s="23" t="n">
        <v>0.2</v>
      </c>
      <c r="AL1350" s="23" t="n">
        <v>0.6</v>
      </c>
      <c r="AM1350" s="16" t="n">
        <f aca="false">COUNTIFS($D$2:$D$2501,D1350,$G$2:$G$2501,"&gt;"&amp;G1350)+COUNTIFS($D$2:D1350,D1350,$G$2:G1350,G1350)</f>
        <v>616</v>
      </c>
      <c r="AN1350" s="5" t="str">
        <f aca="false">D1350&amp;"|"&amp;AM1350</f>
        <v>分析與報告生成|616</v>
      </c>
    </row>
    <row r="1351" customFormat="false" ht="17.15" hidden="false" customHeight="false" outlineLevel="0" collapsed="false">
      <c r="A1351" s="16" t="n">
        <f aca="false">RANK(G1351,$G$2:$G$2501)+COUNTIF($G$2:G1351,G1351)-1</f>
        <v>1350</v>
      </c>
      <c r="B1351" s="11" t="s">
        <v>3364</v>
      </c>
      <c r="C1351" s="11" t="s">
        <v>368</v>
      </c>
      <c r="D1351" s="5" t="s">
        <v>74</v>
      </c>
      <c r="E1351" s="5" t="s">
        <v>75</v>
      </c>
      <c r="F1351" s="5"/>
      <c r="G1351" s="22" t="n">
        <f aca="false">ROUND(SUM(I1351:P1351),3)</f>
        <v>61.32</v>
      </c>
      <c r="H1351" s="5" t="str">
        <f aca="false">IF(G1351&gt;=評分方法!$C$16,"優先評估",IF(G1351&gt;=評分方法!$C$17,"列入候選",IF(G1351&gt;=評分方法!$C$18,"特定情境","不建議")))</f>
        <v>特定情境</v>
      </c>
      <c r="I1351" s="15" t="n">
        <f aca="false">AE1351*評分方法!$C$5</f>
        <v>13.5</v>
      </c>
      <c r="J1351" s="15" t="n">
        <f aca="false">AF1351*評分方法!$C$6</f>
        <v>0</v>
      </c>
      <c r="K1351" s="15" t="n">
        <f aca="false">AG1351*評分方法!$C$7</f>
        <v>15</v>
      </c>
      <c r="L1351" s="15" t="n">
        <f aca="false">AH1351*評分方法!$C$8</f>
        <v>15</v>
      </c>
      <c r="M1351" s="15" t="n">
        <f aca="false">AI1351*評分方法!$C$9</f>
        <v>10</v>
      </c>
      <c r="N1351" s="15" t="n">
        <f aca="false">AJ1351*評分方法!$C$10</f>
        <v>1.82</v>
      </c>
      <c r="O1351" s="15" t="n">
        <f aca="false">AK1351*評分方法!$C$11</f>
        <v>1</v>
      </c>
      <c r="P1351" s="15" t="n">
        <f aca="false">AL1351*評分方法!$C$12</f>
        <v>5</v>
      </c>
      <c r="Q1351" s="6" t="n">
        <v>197882</v>
      </c>
      <c r="R1351" s="6" t="n">
        <v>282285696</v>
      </c>
      <c r="S1351" s="11" t="s">
        <v>238</v>
      </c>
      <c r="T1351" s="11" t="s">
        <v>239</v>
      </c>
      <c r="U1351" s="5" t="s">
        <v>240</v>
      </c>
      <c r="V1351" s="11" t="s">
        <v>324</v>
      </c>
      <c r="W1351" s="5" t="s">
        <v>205</v>
      </c>
      <c r="X1351" s="5" t="s">
        <v>284</v>
      </c>
      <c r="Y1351" s="5"/>
      <c r="Z1351" s="5"/>
      <c r="AA1351" s="11" t="s">
        <v>165</v>
      </c>
      <c r="AB1351" s="5" t="s">
        <v>245</v>
      </c>
      <c r="AC1351" s="5"/>
      <c r="AD1351" s="11" t="s">
        <v>3365</v>
      </c>
      <c r="AE1351" s="23" t="n">
        <v>0.45</v>
      </c>
      <c r="AF1351" s="23" t="n">
        <v>0</v>
      </c>
      <c r="AG1351" s="23" t="n">
        <v>1</v>
      </c>
      <c r="AH1351" s="23" t="n">
        <v>1</v>
      </c>
      <c r="AI1351" s="23" t="n">
        <v>1</v>
      </c>
      <c r="AJ1351" s="23" t="n">
        <v>0.182</v>
      </c>
      <c r="AK1351" s="23" t="n">
        <v>0.2</v>
      </c>
      <c r="AL1351" s="23" t="n">
        <v>1</v>
      </c>
      <c r="AM1351" s="16" t="n">
        <f aca="false">COUNTIFS($D$2:$D$2501,D1351,$G$2:$G$2501,"&gt;"&amp;G1351)+COUNTIFS($D$2:D1351,D1351,$G$2:G1351,G1351)</f>
        <v>72</v>
      </c>
      <c r="AN1351" s="5" t="str">
        <f aca="false">D1351&amp;"|"&amp;AM1351</f>
        <v>文件與影像辨識|72</v>
      </c>
    </row>
    <row r="1352" customFormat="false" ht="17.15" hidden="false" customHeight="false" outlineLevel="0" collapsed="false">
      <c r="A1352" s="16" t="n">
        <f aca="false">RANK(G1352,$G$2:$G$2501)+COUNTIF($G$2:G1352,G1352)-1</f>
        <v>1351</v>
      </c>
      <c r="B1352" s="11" t="s">
        <v>3366</v>
      </c>
      <c r="C1352" s="11" t="s">
        <v>327</v>
      </c>
      <c r="D1352" s="5" t="s">
        <v>78</v>
      </c>
      <c r="E1352" s="5" t="s">
        <v>79</v>
      </c>
      <c r="F1352" s="5"/>
      <c r="G1352" s="22" t="n">
        <f aca="false">ROUND(SUM(I1352:P1352),3)</f>
        <v>61.31</v>
      </c>
      <c r="H1352" s="5" t="str">
        <f aca="false">IF(G1352&gt;=評分方法!$C$16,"優先評估",IF(G1352&gt;=評分方法!$C$17,"列入候選",IF(G1352&gt;=評分方法!$C$18,"特定情境","不建議")))</f>
        <v>特定情境</v>
      </c>
      <c r="I1352" s="15" t="n">
        <f aca="false">AE1352*評分方法!$C$5</f>
        <v>9</v>
      </c>
      <c r="J1352" s="15" t="n">
        <f aca="false">AF1352*評分方法!$C$6</f>
        <v>0</v>
      </c>
      <c r="K1352" s="15" t="n">
        <f aca="false">AG1352*評分方法!$C$7</f>
        <v>15</v>
      </c>
      <c r="L1352" s="15" t="n">
        <f aca="false">AH1352*評分方法!$C$8</f>
        <v>13.05</v>
      </c>
      <c r="M1352" s="15" t="n">
        <f aca="false">AI1352*評分方法!$C$9</f>
        <v>10</v>
      </c>
      <c r="N1352" s="15" t="n">
        <f aca="false">AJ1352*評分方法!$C$10</f>
        <v>9.26</v>
      </c>
      <c r="O1352" s="15" t="n">
        <f aca="false">AK1352*評分方法!$C$11</f>
        <v>5</v>
      </c>
      <c r="P1352" s="15" t="n">
        <f aca="false">AL1352*評分方法!$C$12</f>
        <v>0</v>
      </c>
      <c r="Q1352" s="6" t="n">
        <v>5692262</v>
      </c>
      <c r="R1352" s="6" t="n">
        <v>1062626305</v>
      </c>
      <c r="S1352" s="11" t="s">
        <v>254</v>
      </c>
      <c r="T1352" s="11" t="s">
        <v>1636</v>
      </c>
      <c r="U1352" s="5" t="s">
        <v>240</v>
      </c>
      <c r="V1352" s="11" t="s">
        <v>2826</v>
      </c>
      <c r="W1352" s="5" t="s">
        <v>205</v>
      </c>
      <c r="X1352" s="5" t="s">
        <v>242</v>
      </c>
      <c r="Y1352" s="5"/>
      <c r="Z1352" s="5"/>
      <c r="AA1352" s="11" t="s">
        <v>175</v>
      </c>
      <c r="AB1352" s="5" t="s">
        <v>245</v>
      </c>
      <c r="AC1352" s="5"/>
      <c r="AD1352" s="11" t="s">
        <v>3367</v>
      </c>
      <c r="AE1352" s="23" t="n">
        <v>0.3</v>
      </c>
      <c r="AF1352" s="23" t="n">
        <v>0</v>
      </c>
      <c r="AG1352" s="23" t="n">
        <v>1</v>
      </c>
      <c r="AH1352" s="23" t="n">
        <v>0.87</v>
      </c>
      <c r="AI1352" s="23" t="n">
        <v>1</v>
      </c>
      <c r="AJ1352" s="23" t="n">
        <v>0.926</v>
      </c>
      <c r="AK1352" s="23" t="n">
        <v>1</v>
      </c>
      <c r="AL1352" s="23" t="n">
        <v>0</v>
      </c>
      <c r="AM1352" s="16" t="n">
        <f aca="false">COUNTIFS($D$2:$D$2501,D1352,$G$2:$G$2501,"&gt;"&amp;G1352)+COUNTIFS($D$2:D1352,D1352,$G$2:G1352,G1352)</f>
        <v>19</v>
      </c>
      <c r="AN1352" s="5" t="str">
        <f aca="false">D1352&amp;"|"&amp;AM1352</f>
        <v>語音分析|19</v>
      </c>
    </row>
    <row r="1353" customFormat="false" ht="17.15" hidden="false" customHeight="false" outlineLevel="0" collapsed="false">
      <c r="A1353" s="16" t="n">
        <f aca="false">RANK(G1353,$G$2:$G$2501)+COUNTIF($G$2:G1353,G1353)-1</f>
        <v>1352</v>
      </c>
      <c r="B1353" s="11" t="s">
        <v>3368</v>
      </c>
      <c r="C1353" s="11" t="s">
        <v>2693</v>
      </c>
      <c r="D1353" s="5" t="s">
        <v>74</v>
      </c>
      <c r="E1353" s="5" t="s">
        <v>75</v>
      </c>
      <c r="F1353" s="5"/>
      <c r="G1353" s="22" t="n">
        <f aca="false">ROUND(SUM(I1353:P1353),3)</f>
        <v>61.304</v>
      </c>
      <c r="H1353" s="5" t="str">
        <f aca="false">IF(G1353&gt;=評分方法!$C$16,"優先評估",IF(G1353&gt;=評分方法!$C$17,"列入候選",IF(G1353&gt;=評分方法!$C$18,"特定情境","不建議")))</f>
        <v>特定情境</v>
      </c>
      <c r="I1353" s="15" t="n">
        <f aca="false">AE1353*評分方法!$C$5</f>
        <v>10.5</v>
      </c>
      <c r="J1353" s="15" t="n">
        <f aca="false">AF1353*評分方法!$C$6</f>
        <v>0</v>
      </c>
      <c r="K1353" s="15" t="n">
        <f aca="false">AG1353*評分方法!$C$7</f>
        <v>15</v>
      </c>
      <c r="L1353" s="15" t="n">
        <f aca="false">AH1353*評分方法!$C$8</f>
        <v>15</v>
      </c>
      <c r="M1353" s="15" t="n">
        <f aca="false">AI1353*評分方法!$C$9</f>
        <v>10</v>
      </c>
      <c r="N1353" s="15" t="n">
        <f aca="false">AJ1353*評分方法!$C$10</f>
        <v>6.804</v>
      </c>
      <c r="O1353" s="15" t="n">
        <f aca="false">AK1353*評分方法!$C$11</f>
        <v>2.5</v>
      </c>
      <c r="P1353" s="15" t="n">
        <f aca="false">AL1353*評分方法!$C$12</f>
        <v>1.5</v>
      </c>
      <c r="Q1353" s="6" t="n">
        <v>840650</v>
      </c>
      <c r="R1353" s="6" t="n">
        <v>88104364</v>
      </c>
      <c r="S1353" s="11" t="s">
        <v>238</v>
      </c>
      <c r="T1353" s="11" t="s">
        <v>278</v>
      </c>
      <c r="U1353" s="5" t="s">
        <v>240</v>
      </c>
      <c r="V1353" s="11" t="s">
        <v>324</v>
      </c>
      <c r="W1353" s="5" t="s">
        <v>205</v>
      </c>
      <c r="X1353" s="5" t="s">
        <v>255</v>
      </c>
      <c r="Y1353" s="5"/>
      <c r="Z1353" s="5"/>
      <c r="AA1353" s="11" t="s">
        <v>172</v>
      </c>
      <c r="AB1353" s="5" t="s">
        <v>245</v>
      </c>
      <c r="AC1353" s="5"/>
      <c r="AD1353" s="11" t="s">
        <v>3369</v>
      </c>
      <c r="AE1353" s="23" t="n">
        <v>0.35</v>
      </c>
      <c r="AF1353" s="23" t="n">
        <v>0</v>
      </c>
      <c r="AG1353" s="23" t="n">
        <v>1</v>
      </c>
      <c r="AH1353" s="23" t="n">
        <v>1</v>
      </c>
      <c r="AI1353" s="23" t="n">
        <v>1</v>
      </c>
      <c r="AJ1353" s="23" t="n">
        <v>0.6804</v>
      </c>
      <c r="AK1353" s="23" t="n">
        <v>0.5</v>
      </c>
      <c r="AL1353" s="23" t="n">
        <v>0.3</v>
      </c>
      <c r="AM1353" s="16" t="n">
        <f aca="false">COUNTIFS($D$2:$D$2501,D1353,$G$2:$G$2501,"&gt;"&amp;G1353)+COUNTIFS($D$2:D1353,D1353,$G$2:G1353,G1353)</f>
        <v>73</v>
      </c>
      <c r="AN1353" s="5" t="str">
        <f aca="false">D1353&amp;"|"&amp;AM1353</f>
        <v>文件與影像辨識|73</v>
      </c>
    </row>
    <row r="1354" customFormat="false" ht="17.15" hidden="false" customHeight="false" outlineLevel="0" collapsed="false">
      <c r="A1354" s="16" t="n">
        <f aca="false">RANK(G1354,$G$2:$G$2501)+COUNTIF($G$2:G1354,G1354)-1</f>
        <v>1353</v>
      </c>
      <c r="B1354" s="11" t="s">
        <v>3370</v>
      </c>
      <c r="C1354" s="11" t="s">
        <v>3371</v>
      </c>
      <c r="D1354" s="5" t="s">
        <v>56</v>
      </c>
      <c r="E1354" s="5" t="s">
        <v>57</v>
      </c>
      <c r="F1354" s="5"/>
      <c r="G1354" s="22" t="n">
        <f aca="false">ROUND(SUM(I1354:P1354),3)</f>
        <v>61.302</v>
      </c>
      <c r="H1354" s="5" t="str">
        <f aca="false">IF(G1354&gt;=評分方法!$C$16,"優先評估",IF(G1354&gt;=評分方法!$C$17,"列入候選",IF(G1354&gt;=評分方法!$C$18,"特定情境","不建議")))</f>
        <v>特定情境</v>
      </c>
      <c r="I1354" s="15" t="n">
        <f aca="false">AE1354*評分方法!$C$5</f>
        <v>25.5</v>
      </c>
      <c r="J1354" s="15" t="n">
        <f aca="false">AF1354*評分方法!$C$6</f>
        <v>0</v>
      </c>
      <c r="K1354" s="15" t="n">
        <f aca="false">AG1354*評分方法!$C$7</f>
        <v>4.95</v>
      </c>
      <c r="L1354" s="15" t="n">
        <f aca="false">AH1354*評分方法!$C$8</f>
        <v>15</v>
      </c>
      <c r="M1354" s="15" t="n">
        <f aca="false">AI1354*評分方法!$C$9</f>
        <v>6</v>
      </c>
      <c r="N1354" s="15" t="n">
        <f aca="false">AJ1354*評分方法!$C$10</f>
        <v>2.852</v>
      </c>
      <c r="O1354" s="15" t="n">
        <f aca="false">AK1354*評分方法!$C$11</f>
        <v>4</v>
      </c>
      <c r="P1354" s="15" t="n">
        <f aca="false">AL1354*評分方法!$C$12</f>
        <v>3</v>
      </c>
      <c r="Q1354" s="6" t="n">
        <v>278102</v>
      </c>
      <c r="R1354" s="6" t="n">
        <v>354483968</v>
      </c>
      <c r="S1354" s="11" t="s">
        <v>238</v>
      </c>
      <c r="T1354" s="11" t="s">
        <v>185</v>
      </c>
      <c r="U1354" s="5" t="s">
        <v>260</v>
      </c>
      <c r="V1354" s="11" t="s">
        <v>261</v>
      </c>
      <c r="W1354" s="5" t="s">
        <v>334</v>
      </c>
      <c r="X1354" s="5" t="s">
        <v>371</v>
      </c>
      <c r="Y1354" s="11" t="s">
        <v>545</v>
      </c>
      <c r="Z1354" s="11" t="s">
        <v>270</v>
      </c>
      <c r="AA1354" s="11" t="s">
        <v>155</v>
      </c>
      <c r="AB1354" s="5" t="s">
        <v>245</v>
      </c>
      <c r="AC1354" s="5" t="s">
        <v>262</v>
      </c>
      <c r="AD1354" s="11" t="s">
        <v>3372</v>
      </c>
      <c r="AE1354" s="23" t="n">
        <v>0.85</v>
      </c>
      <c r="AF1354" s="23" t="n">
        <v>0</v>
      </c>
      <c r="AG1354" s="23" t="n">
        <v>0.33</v>
      </c>
      <c r="AH1354" s="23" t="n">
        <v>1</v>
      </c>
      <c r="AI1354" s="23" t="n">
        <v>0.6</v>
      </c>
      <c r="AJ1354" s="23" t="n">
        <v>0.2852</v>
      </c>
      <c r="AK1354" s="23" t="n">
        <v>0.8</v>
      </c>
      <c r="AL1354" s="23" t="n">
        <v>0.6</v>
      </c>
      <c r="AM1354" s="16" t="n">
        <f aca="false">COUNTIFS($D$2:$D$2501,D1354,$G$2:$G$2501,"&gt;"&amp;G1354)+COUNTIFS($D$2:D1354,D1354,$G$2:G1354,G1354)</f>
        <v>617</v>
      </c>
      <c r="AN1354" s="5" t="str">
        <f aca="false">D1354&amp;"|"&amp;AM1354</f>
        <v>分析與報告生成|617</v>
      </c>
    </row>
    <row r="1355" customFormat="false" ht="17.15" hidden="false" customHeight="false" outlineLevel="0" collapsed="false">
      <c r="A1355" s="16" t="n">
        <f aca="false">RANK(G1355,$G$2:$G$2501)+COUNTIF($G$2:G1355,G1355)-1</f>
        <v>1354</v>
      </c>
      <c r="B1355" s="11" t="s">
        <v>3373</v>
      </c>
      <c r="C1355" s="11" t="s">
        <v>1438</v>
      </c>
      <c r="D1355" s="5" t="s">
        <v>56</v>
      </c>
      <c r="E1355" s="5" t="s">
        <v>57</v>
      </c>
      <c r="F1355" s="5"/>
      <c r="G1355" s="22" t="n">
        <f aca="false">ROUND(SUM(I1355:P1355),3)</f>
        <v>61.288</v>
      </c>
      <c r="H1355" s="5" t="str">
        <f aca="false">IF(G1355&gt;=評分方法!$C$16,"優先評估",IF(G1355&gt;=評分方法!$C$17,"列入候選",IF(G1355&gt;=評分方法!$C$18,"特定情境","不建議")))</f>
        <v>特定情境</v>
      </c>
      <c r="I1355" s="15" t="n">
        <f aca="false">AE1355*評分方法!$C$5</f>
        <v>25.5</v>
      </c>
      <c r="J1355" s="15" t="n">
        <f aca="false">AF1355*評分方法!$C$6</f>
        <v>0</v>
      </c>
      <c r="K1355" s="15" t="n">
        <f aca="false">AG1355*評分方法!$C$7</f>
        <v>10.05</v>
      </c>
      <c r="L1355" s="15" t="n">
        <f aca="false">AH1355*評分方法!$C$8</f>
        <v>13.05</v>
      </c>
      <c r="M1355" s="15" t="n">
        <f aca="false">AI1355*評分方法!$C$9</f>
        <v>2</v>
      </c>
      <c r="N1355" s="15" t="n">
        <f aca="false">AJ1355*評分方法!$C$10</f>
        <v>6.688</v>
      </c>
      <c r="O1355" s="15" t="n">
        <f aca="false">AK1355*評分方法!$C$11</f>
        <v>1</v>
      </c>
      <c r="P1355" s="15" t="n">
        <f aca="false">AL1355*評分方法!$C$12</f>
        <v>3</v>
      </c>
      <c r="Q1355" s="6" t="n">
        <v>808299</v>
      </c>
      <c r="R1355" s="6" t="n">
        <v>8030261248</v>
      </c>
      <c r="S1355" s="11" t="s">
        <v>254</v>
      </c>
      <c r="T1355" s="5"/>
      <c r="U1355" s="5" t="s">
        <v>375</v>
      </c>
      <c r="V1355" s="11" t="s">
        <v>333</v>
      </c>
      <c r="W1355" s="5" t="s">
        <v>207</v>
      </c>
      <c r="X1355" s="5" t="s">
        <v>371</v>
      </c>
      <c r="Y1355" s="5"/>
      <c r="Z1355" s="5"/>
      <c r="AA1355" s="11" t="s">
        <v>155</v>
      </c>
      <c r="AB1355" s="5" t="s">
        <v>245</v>
      </c>
      <c r="AC1355" s="5" t="s">
        <v>262</v>
      </c>
      <c r="AD1355" s="11" t="s">
        <v>3374</v>
      </c>
      <c r="AE1355" s="23" t="n">
        <v>0.85</v>
      </c>
      <c r="AF1355" s="23" t="n">
        <v>0</v>
      </c>
      <c r="AG1355" s="23" t="n">
        <v>0.67</v>
      </c>
      <c r="AH1355" s="23" t="n">
        <v>0.87</v>
      </c>
      <c r="AI1355" s="23" t="n">
        <v>0.2</v>
      </c>
      <c r="AJ1355" s="23" t="n">
        <v>0.6688</v>
      </c>
      <c r="AK1355" s="23" t="n">
        <v>0.2</v>
      </c>
      <c r="AL1355" s="23" t="n">
        <v>0.6</v>
      </c>
      <c r="AM1355" s="16" t="n">
        <f aca="false">COUNTIFS($D$2:$D$2501,D1355,$G$2:$G$2501,"&gt;"&amp;G1355)+COUNTIFS($D$2:D1355,D1355,$G$2:G1355,G1355)</f>
        <v>618</v>
      </c>
      <c r="AN1355" s="5" t="str">
        <f aca="false">D1355&amp;"|"&amp;AM1355</f>
        <v>分析與報告生成|618</v>
      </c>
    </row>
    <row r="1356" customFormat="false" ht="17.15" hidden="false" customHeight="false" outlineLevel="0" collapsed="false">
      <c r="A1356" s="16" t="n">
        <f aca="false">RANK(G1356,$G$2:$G$2501)+COUNTIF($G$2:G1356,G1356)-1</f>
        <v>1355</v>
      </c>
      <c r="B1356" s="11" t="s">
        <v>3375</v>
      </c>
      <c r="C1356" s="11" t="s">
        <v>1161</v>
      </c>
      <c r="D1356" s="5" t="s">
        <v>56</v>
      </c>
      <c r="E1356" s="5" t="s">
        <v>57</v>
      </c>
      <c r="F1356" s="5"/>
      <c r="G1356" s="22" t="n">
        <f aca="false">ROUND(SUM(I1356:P1356),3)</f>
        <v>61.256</v>
      </c>
      <c r="H1356" s="5" t="str">
        <f aca="false">IF(G1356&gt;=評分方法!$C$16,"優先評估",IF(G1356&gt;=評分方法!$C$17,"列入候選",IF(G1356&gt;=評分方法!$C$18,"特定情境","不建議")))</f>
        <v>特定情境</v>
      </c>
      <c r="I1356" s="15" t="n">
        <f aca="false">AE1356*評分方法!$C$5</f>
        <v>18</v>
      </c>
      <c r="J1356" s="15" t="n">
        <f aca="false">AF1356*評分方法!$C$6</f>
        <v>0</v>
      </c>
      <c r="K1356" s="15" t="n">
        <f aca="false">AG1356*評分方法!$C$7</f>
        <v>15</v>
      </c>
      <c r="L1356" s="15" t="n">
        <f aca="false">AH1356*評分方法!$C$8</f>
        <v>15</v>
      </c>
      <c r="M1356" s="15" t="n">
        <f aca="false">AI1356*評分方法!$C$9</f>
        <v>10</v>
      </c>
      <c r="N1356" s="15" t="n">
        <f aca="false">AJ1356*評分方法!$C$10</f>
        <v>2.256</v>
      </c>
      <c r="O1356" s="15" t="n">
        <f aca="false">AK1356*評分方法!$C$11</f>
        <v>1</v>
      </c>
      <c r="P1356" s="15" t="n">
        <f aca="false">AL1356*評分方法!$C$12</f>
        <v>0</v>
      </c>
      <c r="Q1356" s="6" t="n">
        <v>229491</v>
      </c>
      <c r="R1356" s="6" t="n">
        <v>333581314</v>
      </c>
      <c r="S1356" s="11" t="s">
        <v>238</v>
      </c>
      <c r="T1356" s="11" t="s">
        <v>239</v>
      </c>
      <c r="U1356" s="5" t="s">
        <v>240</v>
      </c>
      <c r="V1356" s="11" t="s">
        <v>279</v>
      </c>
      <c r="W1356" s="5" t="s">
        <v>205</v>
      </c>
      <c r="X1356" s="5" t="s">
        <v>242</v>
      </c>
      <c r="Y1356" s="5"/>
      <c r="Z1356" s="5"/>
      <c r="AA1356" s="11" t="s">
        <v>159</v>
      </c>
      <c r="AB1356" s="5" t="s">
        <v>245</v>
      </c>
      <c r="AC1356" s="5"/>
      <c r="AD1356" s="11" t="s">
        <v>3376</v>
      </c>
      <c r="AE1356" s="23" t="n">
        <v>0.6</v>
      </c>
      <c r="AF1356" s="23" t="n">
        <v>0</v>
      </c>
      <c r="AG1356" s="23" t="n">
        <v>1</v>
      </c>
      <c r="AH1356" s="23" t="n">
        <v>1</v>
      </c>
      <c r="AI1356" s="23" t="n">
        <v>1</v>
      </c>
      <c r="AJ1356" s="23" t="n">
        <v>0.2256</v>
      </c>
      <c r="AK1356" s="23" t="n">
        <v>0.2</v>
      </c>
      <c r="AL1356" s="23" t="n">
        <v>0</v>
      </c>
      <c r="AM1356" s="16" t="n">
        <f aca="false">COUNTIFS($D$2:$D$2501,D1356,$G$2:$G$2501,"&gt;"&amp;G1356)+COUNTIFS($D$2:D1356,D1356,$G$2:G1356,G1356)</f>
        <v>619</v>
      </c>
      <c r="AN1356" s="5" t="str">
        <f aca="false">D1356&amp;"|"&amp;AM1356</f>
        <v>分析與報告生成|619</v>
      </c>
    </row>
    <row r="1357" customFormat="false" ht="17.15" hidden="false" customHeight="false" outlineLevel="0" collapsed="false">
      <c r="A1357" s="16" t="n">
        <f aca="false">RANK(G1357,$G$2:$G$2501)+COUNTIF($G$2:G1357,G1357)-1</f>
        <v>1356</v>
      </c>
      <c r="B1357" s="11" t="s">
        <v>3377</v>
      </c>
      <c r="C1357" s="11" t="s">
        <v>1438</v>
      </c>
      <c r="D1357" s="5" t="s">
        <v>56</v>
      </c>
      <c r="E1357" s="5" t="s">
        <v>57</v>
      </c>
      <c r="F1357" s="5"/>
      <c r="G1357" s="22" t="n">
        <f aca="false">ROUND(SUM(I1357:P1357),3)</f>
        <v>61.256</v>
      </c>
      <c r="H1357" s="5" t="str">
        <f aca="false">IF(G1357&gt;=評分方法!$C$16,"優先評估",IF(G1357&gt;=評分方法!$C$17,"列入候選",IF(G1357&gt;=評分方法!$C$18,"特定情境","不建議")))</f>
        <v>特定情境</v>
      </c>
      <c r="I1357" s="15" t="n">
        <f aca="false">AE1357*評分方法!$C$5</f>
        <v>25.5</v>
      </c>
      <c r="J1357" s="15" t="n">
        <f aca="false">AF1357*評分方法!$C$6</f>
        <v>0</v>
      </c>
      <c r="K1357" s="15" t="n">
        <f aca="false">AG1357*評分方法!$C$7</f>
        <v>10.05</v>
      </c>
      <c r="L1357" s="15" t="n">
        <f aca="false">AH1357*評分方法!$C$8</f>
        <v>13.05</v>
      </c>
      <c r="M1357" s="15" t="n">
        <f aca="false">AI1357*評分方法!$C$9</f>
        <v>2</v>
      </c>
      <c r="N1357" s="15" t="n">
        <f aca="false">AJ1357*評分方法!$C$10</f>
        <v>6.656</v>
      </c>
      <c r="O1357" s="15" t="n">
        <f aca="false">AK1357*評分方法!$C$11</f>
        <v>1</v>
      </c>
      <c r="P1357" s="15" t="n">
        <f aca="false">AL1357*評分方法!$C$12</f>
        <v>3</v>
      </c>
      <c r="Q1357" s="6" t="n">
        <v>798977</v>
      </c>
      <c r="R1357" s="6" t="n">
        <v>1235814432</v>
      </c>
      <c r="S1357" s="11" t="s">
        <v>254</v>
      </c>
      <c r="T1357" s="5"/>
      <c r="U1357" s="5" t="s">
        <v>375</v>
      </c>
      <c r="V1357" s="11" t="s">
        <v>333</v>
      </c>
      <c r="W1357" s="5" t="s">
        <v>207</v>
      </c>
      <c r="X1357" s="5" t="s">
        <v>371</v>
      </c>
      <c r="Y1357" s="11" t="s">
        <v>1309</v>
      </c>
      <c r="Z1357" s="11" t="s">
        <v>244</v>
      </c>
      <c r="AA1357" s="11" t="s">
        <v>155</v>
      </c>
      <c r="AB1357" s="5" t="s">
        <v>245</v>
      </c>
      <c r="AC1357" s="5" t="s">
        <v>464</v>
      </c>
      <c r="AD1357" s="11" t="s">
        <v>3378</v>
      </c>
      <c r="AE1357" s="23" t="n">
        <v>0.85</v>
      </c>
      <c r="AF1357" s="23" t="n">
        <v>0</v>
      </c>
      <c r="AG1357" s="23" t="n">
        <v>0.67</v>
      </c>
      <c r="AH1357" s="23" t="n">
        <v>0.87</v>
      </c>
      <c r="AI1357" s="23" t="n">
        <v>0.2</v>
      </c>
      <c r="AJ1357" s="23" t="n">
        <v>0.6656</v>
      </c>
      <c r="AK1357" s="23" t="n">
        <v>0.2</v>
      </c>
      <c r="AL1357" s="23" t="n">
        <v>0.6</v>
      </c>
      <c r="AM1357" s="16" t="n">
        <f aca="false">COUNTIFS($D$2:$D$2501,D1357,$G$2:$G$2501,"&gt;"&amp;G1357)+COUNTIFS($D$2:D1357,D1357,$G$2:G1357,G1357)</f>
        <v>620</v>
      </c>
      <c r="AN1357" s="5" t="str">
        <f aca="false">D1357&amp;"|"&amp;AM1357</f>
        <v>分析與報告生成|620</v>
      </c>
    </row>
    <row r="1358" customFormat="false" ht="17.15" hidden="false" customHeight="false" outlineLevel="0" collapsed="false">
      <c r="A1358" s="16" t="n">
        <f aca="false">RANK(G1358,$G$2:$G$2501)+COUNTIF($G$2:G1358,G1358)-1</f>
        <v>1357</v>
      </c>
      <c r="B1358" s="11" t="s">
        <v>3379</v>
      </c>
      <c r="C1358" s="11" t="s">
        <v>3380</v>
      </c>
      <c r="D1358" s="5" t="s">
        <v>56</v>
      </c>
      <c r="E1358" s="5" t="s">
        <v>57</v>
      </c>
      <c r="F1358" s="5"/>
      <c r="G1358" s="22" t="n">
        <f aca="false">ROUND(SUM(I1358:P1358),3)</f>
        <v>61.244</v>
      </c>
      <c r="H1358" s="5" t="str">
        <f aca="false">IF(G1358&gt;=評分方法!$C$16,"優先評估",IF(G1358&gt;=評分方法!$C$17,"列入候選",IF(G1358&gt;=評分方法!$C$18,"特定情境","不建議")))</f>
        <v>特定情境</v>
      </c>
      <c r="I1358" s="15" t="n">
        <f aca="false">AE1358*評分方法!$C$5</f>
        <v>25.5</v>
      </c>
      <c r="J1358" s="15" t="n">
        <f aca="false">AF1358*評分方法!$C$6</f>
        <v>0</v>
      </c>
      <c r="K1358" s="15" t="n">
        <f aca="false">AG1358*評分方法!$C$7</f>
        <v>4.95</v>
      </c>
      <c r="L1358" s="15" t="n">
        <f aca="false">AH1358*評分方法!$C$8</f>
        <v>13.05</v>
      </c>
      <c r="M1358" s="15" t="n">
        <f aca="false">AI1358*評分方法!$C$9</f>
        <v>10</v>
      </c>
      <c r="N1358" s="15" t="n">
        <f aca="false">AJ1358*評分方法!$C$10</f>
        <v>6.744</v>
      </c>
      <c r="O1358" s="15" t="n">
        <f aca="false">AK1358*評分方法!$C$11</f>
        <v>1</v>
      </c>
      <c r="P1358" s="15" t="n">
        <f aca="false">AL1358*評分方法!$C$12</f>
        <v>0</v>
      </c>
      <c r="Q1358" s="6" t="n">
        <v>823953</v>
      </c>
      <c r="R1358" s="6" t="n">
        <v>7241732096</v>
      </c>
      <c r="S1358" s="11" t="s">
        <v>254</v>
      </c>
      <c r="T1358" s="11" t="s">
        <v>278</v>
      </c>
      <c r="U1358" s="5" t="s">
        <v>240</v>
      </c>
      <c r="V1358" s="11" t="s">
        <v>324</v>
      </c>
      <c r="W1358" s="5" t="s">
        <v>334</v>
      </c>
      <c r="X1358" s="5" t="s">
        <v>242</v>
      </c>
      <c r="Y1358" s="11" t="s">
        <v>645</v>
      </c>
      <c r="Z1358" s="11" t="s">
        <v>270</v>
      </c>
      <c r="AA1358" s="11" t="s">
        <v>155</v>
      </c>
      <c r="AB1358" s="5" t="s">
        <v>245</v>
      </c>
      <c r="AC1358" s="5"/>
      <c r="AD1358" s="11" t="s">
        <v>3381</v>
      </c>
      <c r="AE1358" s="23" t="n">
        <v>0.85</v>
      </c>
      <c r="AF1358" s="23" t="n">
        <v>0</v>
      </c>
      <c r="AG1358" s="23" t="n">
        <v>0.33</v>
      </c>
      <c r="AH1358" s="23" t="n">
        <v>0.87</v>
      </c>
      <c r="AI1358" s="23" t="n">
        <v>1</v>
      </c>
      <c r="AJ1358" s="23" t="n">
        <v>0.6744</v>
      </c>
      <c r="AK1358" s="23" t="n">
        <v>0.2</v>
      </c>
      <c r="AL1358" s="23" t="n">
        <v>0</v>
      </c>
      <c r="AM1358" s="16" t="n">
        <f aca="false">COUNTIFS($D$2:$D$2501,D1358,$G$2:$G$2501,"&gt;"&amp;G1358)+COUNTIFS($D$2:D1358,D1358,$G$2:G1358,G1358)</f>
        <v>621</v>
      </c>
      <c r="AN1358" s="5" t="str">
        <f aca="false">D1358&amp;"|"&amp;AM1358</f>
        <v>分析與報告生成|621</v>
      </c>
    </row>
    <row r="1359" customFormat="false" ht="17.15" hidden="false" customHeight="false" outlineLevel="0" collapsed="false">
      <c r="A1359" s="16" t="n">
        <f aca="false">RANK(G1359,$G$2:$G$2501)+COUNTIF($G$2:G1359,G1359)-1</f>
        <v>1358</v>
      </c>
      <c r="B1359" s="11" t="s">
        <v>3382</v>
      </c>
      <c r="C1359" s="11" t="s">
        <v>3383</v>
      </c>
      <c r="D1359" s="5" t="s">
        <v>56</v>
      </c>
      <c r="E1359" s="5" t="s">
        <v>57</v>
      </c>
      <c r="F1359" s="5"/>
      <c r="G1359" s="22" t="n">
        <f aca="false">ROUND(SUM(I1359:P1359),3)</f>
        <v>61.242</v>
      </c>
      <c r="H1359" s="5" t="str">
        <f aca="false">IF(G1359&gt;=評分方法!$C$16,"優先評估",IF(G1359&gt;=評分方法!$C$17,"列入候選",IF(G1359&gt;=評分方法!$C$18,"特定情境","不建議")))</f>
        <v>特定情境</v>
      </c>
      <c r="I1359" s="15" t="n">
        <f aca="false">AE1359*評分方法!$C$5</f>
        <v>25.5</v>
      </c>
      <c r="J1359" s="15" t="n">
        <f aca="false">AF1359*評分方法!$C$6</f>
        <v>0</v>
      </c>
      <c r="K1359" s="15" t="n">
        <f aca="false">AG1359*評分方法!$C$7</f>
        <v>4.95</v>
      </c>
      <c r="L1359" s="15" t="n">
        <f aca="false">AH1359*評分方法!$C$8</f>
        <v>15</v>
      </c>
      <c r="M1359" s="15" t="n">
        <f aca="false">AI1359*評分方法!$C$9</f>
        <v>10</v>
      </c>
      <c r="N1359" s="15" t="n">
        <f aca="false">AJ1359*評分方法!$C$10</f>
        <v>1.792</v>
      </c>
      <c r="O1359" s="15" t="n">
        <f aca="false">AK1359*評分方法!$C$11</f>
        <v>1</v>
      </c>
      <c r="P1359" s="15" t="n">
        <f aca="false">AL1359*評分方法!$C$12</f>
        <v>3</v>
      </c>
      <c r="Q1359" s="6" t="n">
        <v>195459</v>
      </c>
      <c r="R1359" s="6" t="n">
        <v>558838784</v>
      </c>
      <c r="S1359" s="11" t="s">
        <v>238</v>
      </c>
      <c r="T1359" s="11" t="s">
        <v>278</v>
      </c>
      <c r="U1359" s="5" t="s">
        <v>240</v>
      </c>
      <c r="V1359" s="11" t="s">
        <v>333</v>
      </c>
      <c r="W1359" s="5" t="s">
        <v>334</v>
      </c>
      <c r="X1359" s="5" t="s">
        <v>371</v>
      </c>
      <c r="Y1359" s="5"/>
      <c r="Z1359" s="5"/>
      <c r="AA1359" s="11" t="s">
        <v>155</v>
      </c>
      <c r="AB1359" s="5" t="s">
        <v>961</v>
      </c>
      <c r="AC1359" s="5" t="s">
        <v>1203</v>
      </c>
      <c r="AD1359" s="11" t="s">
        <v>3384</v>
      </c>
      <c r="AE1359" s="23" t="n">
        <v>0.85</v>
      </c>
      <c r="AF1359" s="23" t="n">
        <v>0</v>
      </c>
      <c r="AG1359" s="23" t="n">
        <v>0.33</v>
      </c>
      <c r="AH1359" s="23" t="n">
        <v>1</v>
      </c>
      <c r="AI1359" s="23" t="n">
        <v>1</v>
      </c>
      <c r="AJ1359" s="23" t="n">
        <v>0.1792</v>
      </c>
      <c r="AK1359" s="23" t="n">
        <v>0.2</v>
      </c>
      <c r="AL1359" s="23" t="n">
        <v>0.6</v>
      </c>
      <c r="AM1359" s="16" t="n">
        <f aca="false">COUNTIFS($D$2:$D$2501,D1359,$G$2:$G$2501,"&gt;"&amp;G1359)+COUNTIFS($D$2:D1359,D1359,$G$2:G1359,G1359)</f>
        <v>622</v>
      </c>
      <c r="AN1359" s="5" t="str">
        <f aca="false">D1359&amp;"|"&amp;AM1359</f>
        <v>分析與報告生成|622</v>
      </c>
    </row>
    <row r="1360" customFormat="false" ht="17.15" hidden="false" customHeight="false" outlineLevel="0" collapsed="false">
      <c r="A1360" s="16" t="n">
        <f aca="false">RANK(G1360,$G$2:$G$2501)+COUNTIF($G$2:G1360,G1360)-1</f>
        <v>1359</v>
      </c>
      <c r="B1360" s="11" t="s">
        <v>3385</v>
      </c>
      <c r="C1360" s="11" t="s">
        <v>753</v>
      </c>
      <c r="D1360" s="5" t="s">
        <v>56</v>
      </c>
      <c r="E1360" s="5" t="s">
        <v>57</v>
      </c>
      <c r="F1360" s="5"/>
      <c r="G1360" s="22" t="n">
        <f aca="false">ROUND(SUM(I1360:P1360),3)</f>
        <v>61.232</v>
      </c>
      <c r="H1360" s="5" t="str">
        <f aca="false">IF(G1360&gt;=評分方法!$C$16,"優先評估",IF(G1360&gt;=評分方法!$C$17,"列入候選",IF(G1360&gt;=評分方法!$C$18,"特定情境","不建議")))</f>
        <v>特定情境</v>
      </c>
      <c r="I1360" s="15" t="n">
        <f aca="false">AE1360*評分方法!$C$5</f>
        <v>25.5</v>
      </c>
      <c r="J1360" s="15" t="n">
        <f aca="false">AF1360*評分方法!$C$6</f>
        <v>0</v>
      </c>
      <c r="K1360" s="15" t="n">
        <f aca="false">AG1360*評分方法!$C$7</f>
        <v>10.05</v>
      </c>
      <c r="L1360" s="15" t="n">
        <f aca="false">AH1360*評分方法!$C$8</f>
        <v>13.05</v>
      </c>
      <c r="M1360" s="15" t="n">
        <f aca="false">AI1360*評分方法!$C$9</f>
        <v>6</v>
      </c>
      <c r="N1360" s="15" t="n">
        <f aca="false">AJ1360*評分方法!$C$10</f>
        <v>4.132</v>
      </c>
      <c r="O1360" s="15" t="n">
        <f aca="false">AK1360*評分方法!$C$11</f>
        <v>2.5</v>
      </c>
      <c r="P1360" s="15" t="n">
        <f aca="false">AL1360*評分方法!$C$12</f>
        <v>0</v>
      </c>
      <c r="Q1360" s="6" t="n">
        <v>443591</v>
      </c>
      <c r="R1360" s="6" t="n">
        <v>3298757260</v>
      </c>
      <c r="S1360" s="11" t="s">
        <v>254</v>
      </c>
      <c r="T1360" s="11" t="s">
        <v>1044</v>
      </c>
      <c r="U1360" s="5" t="s">
        <v>260</v>
      </c>
      <c r="V1360" s="11" t="s">
        <v>261</v>
      </c>
      <c r="W1360" s="5" t="s">
        <v>207</v>
      </c>
      <c r="X1360" s="5" t="s">
        <v>242</v>
      </c>
      <c r="Y1360" s="11" t="s">
        <v>1340</v>
      </c>
      <c r="Z1360" s="11" t="s">
        <v>244</v>
      </c>
      <c r="AA1360" s="11" t="s">
        <v>155</v>
      </c>
      <c r="AB1360" s="5" t="s">
        <v>245</v>
      </c>
      <c r="AC1360" s="5" t="s">
        <v>464</v>
      </c>
      <c r="AD1360" s="11" t="s">
        <v>3386</v>
      </c>
      <c r="AE1360" s="23" t="n">
        <v>0.85</v>
      </c>
      <c r="AF1360" s="23" t="n">
        <v>0</v>
      </c>
      <c r="AG1360" s="23" t="n">
        <v>0.67</v>
      </c>
      <c r="AH1360" s="23" t="n">
        <v>0.87</v>
      </c>
      <c r="AI1360" s="23" t="n">
        <v>0.6</v>
      </c>
      <c r="AJ1360" s="23" t="n">
        <v>0.4132</v>
      </c>
      <c r="AK1360" s="23" t="n">
        <v>0.5</v>
      </c>
      <c r="AL1360" s="23" t="n">
        <v>0</v>
      </c>
      <c r="AM1360" s="16" t="n">
        <f aca="false">COUNTIFS($D$2:$D$2501,D1360,$G$2:$G$2501,"&gt;"&amp;G1360)+COUNTIFS($D$2:D1360,D1360,$G$2:G1360,G1360)</f>
        <v>623</v>
      </c>
      <c r="AN1360" s="5" t="str">
        <f aca="false">D1360&amp;"|"&amp;AM1360</f>
        <v>分析與報告生成|623</v>
      </c>
    </row>
    <row r="1361" customFormat="false" ht="17.15" hidden="false" customHeight="false" outlineLevel="0" collapsed="false">
      <c r="A1361" s="16" t="n">
        <f aca="false">RANK(G1361,$G$2:$G$2501)+COUNTIF($G$2:G1361,G1361)-1</f>
        <v>1360</v>
      </c>
      <c r="B1361" s="11" t="s">
        <v>3387</v>
      </c>
      <c r="C1361" s="11" t="s">
        <v>1725</v>
      </c>
      <c r="D1361" s="5" t="s">
        <v>56</v>
      </c>
      <c r="E1361" s="5" t="s">
        <v>57</v>
      </c>
      <c r="F1361" s="5"/>
      <c r="G1361" s="22" t="n">
        <f aca="false">ROUND(SUM(I1361:P1361),3)</f>
        <v>61.23</v>
      </c>
      <c r="H1361" s="5" t="str">
        <f aca="false">IF(G1361&gt;=評分方法!$C$16,"優先評估",IF(G1361&gt;=評分方法!$C$17,"列入候選",IF(G1361&gt;=評分方法!$C$18,"特定情境","不建議")))</f>
        <v>特定情境</v>
      </c>
      <c r="I1361" s="15" t="n">
        <f aca="false">AE1361*評分方法!$C$5</f>
        <v>25.5</v>
      </c>
      <c r="J1361" s="15" t="n">
        <f aca="false">AF1361*評分方法!$C$6</f>
        <v>0</v>
      </c>
      <c r="K1361" s="15" t="n">
        <f aca="false">AG1361*評分方法!$C$7</f>
        <v>4.95</v>
      </c>
      <c r="L1361" s="15" t="n">
        <f aca="false">AH1361*評分方法!$C$8</f>
        <v>9</v>
      </c>
      <c r="M1361" s="15" t="n">
        <f aca="false">AI1361*評分方法!$C$9</f>
        <v>10</v>
      </c>
      <c r="N1361" s="15" t="n">
        <f aca="false">AJ1361*評分方法!$C$10</f>
        <v>3.78</v>
      </c>
      <c r="O1361" s="15" t="n">
        <f aca="false">AK1361*評分方法!$C$11</f>
        <v>5</v>
      </c>
      <c r="P1361" s="15" t="n">
        <f aca="false">AL1361*評分方法!$C$12</f>
        <v>3</v>
      </c>
      <c r="Q1361" s="6" t="n">
        <v>387203</v>
      </c>
      <c r="R1361" s="6" t="n">
        <v>25823781228</v>
      </c>
      <c r="S1361" s="11" t="s">
        <v>389</v>
      </c>
      <c r="T1361" s="11" t="s">
        <v>239</v>
      </c>
      <c r="U1361" s="5" t="s">
        <v>240</v>
      </c>
      <c r="V1361" s="11" t="s">
        <v>261</v>
      </c>
      <c r="W1361" s="5" t="s">
        <v>334</v>
      </c>
      <c r="X1361" s="5" t="s">
        <v>371</v>
      </c>
      <c r="Y1361" s="11" t="s">
        <v>653</v>
      </c>
      <c r="Z1361" s="11" t="s">
        <v>244</v>
      </c>
      <c r="AA1361" s="11" t="s">
        <v>156</v>
      </c>
      <c r="AB1361" s="5" t="s">
        <v>245</v>
      </c>
      <c r="AC1361" s="5" t="s">
        <v>246</v>
      </c>
      <c r="AD1361" s="11" t="s">
        <v>3388</v>
      </c>
      <c r="AE1361" s="23" t="n">
        <v>0.85</v>
      </c>
      <c r="AF1361" s="23" t="n">
        <v>0</v>
      </c>
      <c r="AG1361" s="23" t="n">
        <v>0.33</v>
      </c>
      <c r="AH1361" s="23" t="n">
        <v>0.6</v>
      </c>
      <c r="AI1361" s="23" t="n">
        <v>1</v>
      </c>
      <c r="AJ1361" s="23" t="n">
        <v>0.378</v>
      </c>
      <c r="AK1361" s="23" t="n">
        <v>1</v>
      </c>
      <c r="AL1361" s="23" t="n">
        <v>0.6</v>
      </c>
      <c r="AM1361" s="16" t="n">
        <f aca="false">COUNTIFS($D$2:$D$2501,D1361,$G$2:$G$2501,"&gt;"&amp;G1361)+COUNTIFS($D$2:D1361,D1361,$G$2:G1361,G1361)</f>
        <v>624</v>
      </c>
      <c r="AN1361" s="5" t="str">
        <f aca="false">D1361&amp;"|"&amp;AM1361</f>
        <v>分析與報告生成|624</v>
      </c>
    </row>
    <row r="1362" customFormat="false" ht="17.15" hidden="false" customHeight="false" outlineLevel="0" collapsed="false">
      <c r="A1362" s="16" t="n">
        <f aca="false">RANK(G1362,$G$2:$G$2501)+COUNTIF($G$2:G1362,G1362)-1</f>
        <v>1361</v>
      </c>
      <c r="B1362" s="11" t="s">
        <v>3389</v>
      </c>
      <c r="C1362" s="11" t="s">
        <v>2067</v>
      </c>
      <c r="D1362" s="5" t="s">
        <v>56</v>
      </c>
      <c r="E1362" s="5" t="s">
        <v>57</v>
      </c>
      <c r="F1362" s="5"/>
      <c r="G1362" s="22" t="n">
        <f aca="false">ROUND(SUM(I1362:P1362),3)</f>
        <v>61.218</v>
      </c>
      <c r="H1362" s="5" t="str">
        <f aca="false">IF(G1362&gt;=評分方法!$C$16,"優先評估",IF(G1362&gt;=評分方法!$C$17,"列入候選",IF(G1362&gt;=評分方法!$C$18,"特定情境","不建議")))</f>
        <v>特定情境</v>
      </c>
      <c r="I1362" s="15" t="n">
        <f aca="false">AE1362*評分方法!$C$5</f>
        <v>25.5</v>
      </c>
      <c r="J1362" s="15" t="n">
        <f aca="false">AF1362*評分方法!$C$6</f>
        <v>0</v>
      </c>
      <c r="K1362" s="15" t="n">
        <f aca="false">AG1362*評分方法!$C$7</f>
        <v>15</v>
      </c>
      <c r="L1362" s="15" t="n">
        <f aca="false">AH1362*評分方法!$C$8</f>
        <v>13.05</v>
      </c>
      <c r="M1362" s="15" t="n">
        <f aca="false">AI1362*評分方法!$C$9</f>
        <v>6</v>
      </c>
      <c r="N1362" s="15" t="n">
        <f aca="false">AJ1362*評分方法!$C$10</f>
        <v>0.668</v>
      </c>
      <c r="O1362" s="15" t="n">
        <f aca="false">AK1362*評分方法!$C$11</f>
        <v>1</v>
      </c>
      <c r="P1362" s="15" t="n">
        <f aca="false">AL1362*評分方法!$C$12</f>
        <v>0</v>
      </c>
      <c r="Q1362" s="6" t="n">
        <v>141205</v>
      </c>
      <c r="R1362" s="6" t="n">
        <v>2795443200</v>
      </c>
      <c r="S1362" s="11" t="s">
        <v>254</v>
      </c>
      <c r="T1362" s="11" t="s">
        <v>185</v>
      </c>
      <c r="U1362" s="5" t="s">
        <v>260</v>
      </c>
      <c r="V1362" s="11" t="s">
        <v>261</v>
      </c>
      <c r="W1362" s="5" t="s">
        <v>205</v>
      </c>
      <c r="X1362" s="5" t="s">
        <v>242</v>
      </c>
      <c r="Y1362" s="5"/>
      <c r="Z1362" s="5"/>
      <c r="AA1362" s="11" t="s">
        <v>155</v>
      </c>
      <c r="AB1362" s="5" t="s">
        <v>245</v>
      </c>
      <c r="AC1362" s="5" t="s">
        <v>262</v>
      </c>
      <c r="AD1362" s="11" t="s">
        <v>3390</v>
      </c>
      <c r="AE1362" s="23" t="n">
        <v>0.85</v>
      </c>
      <c r="AF1362" s="23" t="n">
        <v>0</v>
      </c>
      <c r="AG1362" s="23" t="n">
        <v>1</v>
      </c>
      <c r="AH1362" s="23" t="n">
        <v>0.87</v>
      </c>
      <c r="AI1362" s="23" t="n">
        <v>0.6</v>
      </c>
      <c r="AJ1362" s="23" t="n">
        <v>0.0668</v>
      </c>
      <c r="AK1362" s="23" t="n">
        <v>0.2</v>
      </c>
      <c r="AL1362" s="23" t="n">
        <v>0</v>
      </c>
      <c r="AM1362" s="16" t="n">
        <f aca="false">COUNTIFS($D$2:$D$2501,D1362,$G$2:$G$2501,"&gt;"&amp;G1362)+COUNTIFS($D$2:D1362,D1362,$G$2:G1362,G1362)</f>
        <v>625</v>
      </c>
      <c r="AN1362" s="5" t="str">
        <f aca="false">D1362&amp;"|"&amp;AM1362</f>
        <v>分析與報告生成|625</v>
      </c>
    </row>
    <row r="1363" customFormat="false" ht="17.15" hidden="false" customHeight="false" outlineLevel="0" collapsed="false">
      <c r="A1363" s="16" t="n">
        <f aca="false">RANK(G1363,$G$2:$G$2501)+COUNTIF($G$2:G1363,G1363)-1</f>
        <v>1362</v>
      </c>
      <c r="B1363" s="11" t="s">
        <v>3391</v>
      </c>
      <c r="C1363" s="11" t="s">
        <v>2693</v>
      </c>
      <c r="D1363" s="5" t="s">
        <v>74</v>
      </c>
      <c r="E1363" s="5" t="s">
        <v>75</v>
      </c>
      <c r="F1363" s="5"/>
      <c r="G1363" s="22" t="n">
        <f aca="false">ROUND(SUM(I1363:P1363),3)</f>
        <v>61.216</v>
      </c>
      <c r="H1363" s="5" t="str">
        <f aca="false">IF(G1363&gt;=評分方法!$C$16,"優先評估",IF(G1363&gt;=評分方法!$C$17,"列入候選",IF(G1363&gt;=評分方法!$C$18,"特定情境","不建議")))</f>
        <v>特定情境</v>
      </c>
      <c r="I1363" s="15" t="n">
        <f aca="false">AE1363*評分方法!$C$5</f>
        <v>10.5</v>
      </c>
      <c r="J1363" s="15" t="n">
        <f aca="false">AF1363*評分方法!$C$6</f>
        <v>0</v>
      </c>
      <c r="K1363" s="15" t="n">
        <f aca="false">AG1363*評分方法!$C$7</f>
        <v>15</v>
      </c>
      <c r="L1363" s="15" t="n">
        <f aca="false">AH1363*評分方法!$C$8</f>
        <v>15</v>
      </c>
      <c r="M1363" s="15" t="n">
        <f aca="false">AI1363*評分方法!$C$9</f>
        <v>10</v>
      </c>
      <c r="N1363" s="15" t="n">
        <f aca="false">AJ1363*評分方法!$C$10</f>
        <v>6.716</v>
      </c>
      <c r="O1363" s="15" t="n">
        <f aca="false">AK1363*評分方法!$C$11</f>
        <v>2.5</v>
      </c>
      <c r="P1363" s="15" t="n">
        <f aca="false">AL1363*評分方法!$C$12</f>
        <v>1.5</v>
      </c>
      <c r="Q1363" s="6" t="n">
        <v>816719</v>
      </c>
      <c r="R1363" s="6" t="n">
        <v>5717416</v>
      </c>
      <c r="S1363" s="11" t="s">
        <v>238</v>
      </c>
      <c r="T1363" s="11" t="s">
        <v>239</v>
      </c>
      <c r="U1363" s="5" t="s">
        <v>240</v>
      </c>
      <c r="V1363" s="11" t="s">
        <v>324</v>
      </c>
      <c r="W1363" s="5" t="s">
        <v>205</v>
      </c>
      <c r="X1363" s="5" t="s">
        <v>255</v>
      </c>
      <c r="Y1363" s="5"/>
      <c r="Z1363" s="5"/>
      <c r="AA1363" s="11" t="s">
        <v>172</v>
      </c>
      <c r="AB1363" s="5" t="s">
        <v>245</v>
      </c>
      <c r="AC1363" s="5"/>
      <c r="AD1363" s="11" t="s">
        <v>3392</v>
      </c>
      <c r="AE1363" s="23" t="n">
        <v>0.35</v>
      </c>
      <c r="AF1363" s="23" t="n">
        <v>0</v>
      </c>
      <c r="AG1363" s="23" t="n">
        <v>1</v>
      </c>
      <c r="AH1363" s="23" t="n">
        <v>1</v>
      </c>
      <c r="AI1363" s="23" t="n">
        <v>1</v>
      </c>
      <c r="AJ1363" s="23" t="n">
        <v>0.6716</v>
      </c>
      <c r="AK1363" s="23" t="n">
        <v>0.5</v>
      </c>
      <c r="AL1363" s="23" t="n">
        <v>0.3</v>
      </c>
      <c r="AM1363" s="16" t="n">
        <f aca="false">COUNTIFS($D$2:$D$2501,D1363,$G$2:$G$2501,"&gt;"&amp;G1363)+COUNTIFS($D$2:D1363,D1363,$G$2:G1363,G1363)</f>
        <v>74</v>
      </c>
      <c r="AN1363" s="5" t="str">
        <f aca="false">D1363&amp;"|"&amp;AM1363</f>
        <v>文件與影像辨識|74</v>
      </c>
    </row>
    <row r="1364" customFormat="false" ht="17.15" hidden="false" customHeight="false" outlineLevel="0" collapsed="false">
      <c r="A1364" s="16" t="n">
        <f aca="false">RANK(G1364,$G$2:$G$2501)+COUNTIF($G$2:G1364,G1364)-1</f>
        <v>1363</v>
      </c>
      <c r="B1364" s="11" t="s">
        <v>3393</v>
      </c>
      <c r="C1364" s="11" t="s">
        <v>3394</v>
      </c>
      <c r="D1364" s="5" t="s">
        <v>66</v>
      </c>
      <c r="E1364" s="5" t="s">
        <v>67</v>
      </c>
      <c r="F1364" s="5"/>
      <c r="G1364" s="22" t="n">
        <f aca="false">ROUND(SUM(I1364:P1364),3)</f>
        <v>61.21</v>
      </c>
      <c r="H1364" s="5" t="str">
        <f aca="false">IF(G1364&gt;=評分方法!$C$16,"優先評估",IF(G1364&gt;=評分方法!$C$17,"列入候選",IF(G1364&gt;=評分方法!$C$18,"特定情境","不建議")))</f>
        <v>特定情境</v>
      </c>
      <c r="I1364" s="15" t="n">
        <f aca="false">AE1364*評分方法!$C$5</f>
        <v>27</v>
      </c>
      <c r="J1364" s="15" t="n">
        <f aca="false">AF1364*評分方法!$C$6</f>
        <v>0</v>
      </c>
      <c r="K1364" s="15" t="n">
        <f aca="false">AG1364*評分方法!$C$7</f>
        <v>4.95</v>
      </c>
      <c r="L1364" s="15" t="n">
        <f aca="false">AH1364*評分方法!$C$8</f>
        <v>15</v>
      </c>
      <c r="M1364" s="15" t="n">
        <f aca="false">AI1364*評分方法!$C$9</f>
        <v>10</v>
      </c>
      <c r="N1364" s="15" t="n">
        <f aca="false">AJ1364*評分方法!$C$10</f>
        <v>1.76</v>
      </c>
      <c r="O1364" s="15" t="n">
        <f aca="false">AK1364*評分方法!$C$11</f>
        <v>2.5</v>
      </c>
      <c r="P1364" s="15" t="n">
        <f aca="false">AL1364*評分方法!$C$12</f>
        <v>0</v>
      </c>
      <c r="Q1364" s="6" t="n">
        <v>193305</v>
      </c>
      <c r="R1364" s="6" t="n">
        <v>149607171</v>
      </c>
      <c r="S1364" s="11" t="s">
        <v>238</v>
      </c>
      <c r="T1364" s="11" t="s">
        <v>239</v>
      </c>
      <c r="U1364" s="5" t="s">
        <v>240</v>
      </c>
      <c r="V1364" s="11" t="s">
        <v>261</v>
      </c>
      <c r="W1364" s="5" t="s">
        <v>334</v>
      </c>
      <c r="X1364" s="5" t="s">
        <v>242</v>
      </c>
      <c r="Y1364" s="11" t="s">
        <v>350</v>
      </c>
      <c r="Z1364" s="11" t="s">
        <v>270</v>
      </c>
      <c r="AA1364" s="11" t="s">
        <v>151</v>
      </c>
      <c r="AB1364" s="5" t="s">
        <v>245</v>
      </c>
      <c r="AC1364" s="5"/>
      <c r="AD1364" s="11" t="s">
        <v>3395</v>
      </c>
      <c r="AE1364" s="23" t="n">
        <v>0.9</v>
      </c>
      <c r="AF1364" s="23" t="n">
        <v>0</v>
      </c>
      <c r="AG1364" s="23" t="n">
        <v>0.33</v>
      </c>
      <c r="AH1364" s="23" t="n">
        <v>1</v>
      </c>
      <c r="AI1364" s="23" t="n">
        <v>1</v>
      </c>
      <c r="AJ1364" s="23" t="n">
        <v>0.176</v>
      </c>
      <c r="AK1364" s="23" t="n">
        <v>0.5</v>
      </c>
      <c r="AL1364" s="23" t="n">
        <v>0</v>
      </c>
      <c r="AM1364" s="16" t="n">
        <f aca="false">COUNTIFS($D$2:$D$2501,D1364,$G$2:$G$2501,"&gt;"&amp;G1364)+COUNTIFS($D$2:D1364,D1364,$G$2:G1364,G1364)</f>
        <v>39</v>
      </c>
      <c r="AN1364" s="5" t="str">
        <f aca="false">D1364&amp;"|"&amp;AM1364</f>
        <v>分類與偵測|39</v>
      </c>
    </row>
    <row r="1365" customFormat="false" ht="17.15" hidden="false" customHeight="false" outlineLevel="0" collapsed="false">
      <c r="A1365" s="16" t="n">
        <f aca="false">RANK(G1365,$G$2:$G$2501)+COUNTIF($G$2:G1365,G1365)-1</f>
        <v>1364</v>
      </c>
      <c r="B1365" s="11" t="s">
        <v>3396</v>
      </c>
      <c r="C1365" s="11" t="s">
        <v>1438</v>
      </c>
      <c r="D1365" s="5" t="s">
        <v>56</v>
      </c>
      <c r="E1365" s="5" t="s">
        <v>57</v>
      </c>
      <c r="F1365" s="5"/>
      <c r="G1365" s="22" t="n">
        <f aca="false">ROUND(SUM(I1365:P1365),3)</f>
        <v>61.196</v>
      </c>
      <c r="H1365" s="5" t="str">
        <f aca="false">IF(G1365&gt;=評分方法!$C$16,"優先評估",IF(G1365&gt;=評分方法!$C$17,"列入候選",IF(G1365&gt;=評分方法!$C$18,"特定情境","不建議")))</f>
        <v>特定情境</v>
      </c>
      <c r="I1365" s="15" t="n">
        <f aca="false">AE1365*評分方法!$C$5</f>
        <v>25.5</v>
      </c>
      <c r="J1365" s="15" t="n">
        <f aca="false">AF1365*評分方法!$C$6</f>
        <v>0</v>
      </c>
      <c r="K1365" s="15" t="n">
        <f aca="false">AG1365*評分方法!$C$7</f>
        <v>10.05</v>
      </c>
      <c r="L1365" s="15" t="n">
        <f aca="false">AH1365*評分方法!$C$8</f>
        <v>13.05</v>
      </c>
      <c r="M1365" s="15" t="n">
        <f aca="false">AI1365*評分方法!$C$9</f>
        <v>2</v>
      </c>
      <c r="N1365" s="15" t="n">
        <f aca="false">AJ1365*評分方法!$C$10</f>
        <v>6.596</v>
      </c>
      <c r="O1365" s="15" t="n">
        <f aca="false">AK1365*評分方法!$C$11</f>
        <v>1</v>
      </c>
      <c r="P1365" s="15" t="n">
        <f aca="false">AL1365*評分方法!$C$12</f>
        <v>3</v>
      </c>
      <c r="Q1365" s="6" t="n">
        <v>778988</v>
      </c>
      <c r="R1365" s="6" t="n">
        <v>2614341888</v>
      </c>
      <c r="S1365" s="11" t="s">
        <v>254</v>
      </c>
      <c r="T1365" s="5"/>
      <c r="U1365" s="5" t="s">
        <v>375</v>
      </c>
      <c r="V1365" s="11" t="s">
        <v>333</v>
      </c>
      <c r="W1365" s="5" t="s">
        <v>207</v>
      </c>
      <c r="X1365" s="5" t="s">
        <v>371</v>
      </c>
      <c r="Y1365" s="11" t="s">
        <v>1090</v>
      </c>
      <c r="Z1365" s="11" t="s">
        <v>244</v>
      </c>
      <c r="AA1365" s="11" t="s">
        <v>155</v>
      </c>
      <c r="AB1365" s="5" t="s">
        <v>245</v>
      </c>
      <c r="AC1365" s="5" t="s">
        <v>464</v>
      </c>
      <c r="AD1365" s="11" t="s">
        <v>3397</v>
      </c>
      <c r="AE1365" s="23" t="n">
        <v>0.85</v>
      </c>
      <c r="AF1365" s="23" t="n">
        <v>0</v>
      </c>
      <c r="AG1365" s="23" t="n">
        <v>0.67</v>
      </c>
      <c r="AH1365" s="23" t="n">
        <v>0.87</v>
      </c>
      <c r="AI1365" s="23" t="n">
        <v>0.2</v>
      </c>
      <c r="AJ1365" s="23" t="n">
        <v>0.6596</v>
      </c>
      <c r="AK1365" s="23" t="n">
        <v>0.2</v>
      </c>
      <c r="AL1365" s="23" t="n">
        <v>0.6</v>
      </c>
      <c r="AM1365" s="16" t="n">
        <f aca="false">COUNTIFS($D$2:$D$2501,D1365,$G$2:$G$2501,"&gt;"&amp;G1365)+COUNTIFS($D$2:D1365,D1365,$G$2:G1365,G1365)</f>
        <v>626</v>
      </c>
      <c r="AN1365" s="5" t="str">
        <f aca="false">D1365&amp;"|"&amp;AM1365</f>
        <v>分析與報告生成|626</v>
      </c>
    </row>
    <row r="1366" customFormat="false" ht="17.15" hidden="false" customHeight="false" outlineLevel="0" collapsed="false">
      <c r="A1366" s="16" t="n">
        <f aca="false">RANK(G1366,$G$2:$G$2501)+COUNTIF($G$2:G1366,G1366)-1</f>
        <v>1365</v>
      </c>
      <c r="B1366" s="11" t="s">
        <v>3398</v>
      </c>
      <c r="C1366" s="11" t="s">
        <v>1374</v>
      </c>
      <c r="D1366" s="5" t="s">
        <v>56</v>
      </c>
      <c r="E1366" s="5" t="s">
        <v>57</v>
      </c>
      <c r="F1366" s="5"/>
      <c r="G1366" s="22" t="n">
        <f aca="false">ROUND(SUM(I1366:P1366),3)</f>
        <v>61.196</v>
      </c>
      <c r="H1366" s="5" t="str">
        <f aca="false">IF(G1366&gt;=評分方法!$C$16,"優先評估",IF(G1366&gt;=評分方法!$C$17,"列入候選",IF(G1366&gt;=評分方法!$C$18,"特定情境","不建議")))</f>
        <v>特定情境</v>
      </c>
      <c r="I1366" s="15" t="n">
        <f aca="false">AE1366*評分方法!$C$5</f>
        <v>25.5</v>
      </c>
      <c r="J1366" s="15" t="n">
        <f aca="false">AF1366*評分方法!$C$6</f>
        <v>0</v>
      </c>
      <c r="K1366" s="15" t="n">
        <f aca="false">AG1366*評分方法!$C$7</f>
        <v>10.05</v>
      </c>
      <c r="L1366" s="15" t="n">
        <f aca="false">AH1366*評分方法!$C$8</f>
        <v>13.05</v>
      </c>
      <c r="M1366" s="15" t="n">
        <f aca="false">AI1366*評分方法!$C$9</f>
        <v>6</v>
      </c>
      <c r="N1366" s="15" t="n">
        <f aca="false">AJ1366*評分方法!$C$10</f>
        <v>1.096</v>
      </c>
      <c r="O1366" s="15" t="n">
        <f aca="false">AK1366*評分方法!$C$11</f>
        <v>2.5</v>
      </c>
      <c r="P1366" s="15" t="n">
        <f aca="false">AL1366*評分方法!$C$12</f>
        <v>3</v>
      </c>
      <c r="Q1366" s="6" t="n">
        <v>157445</v>
      </c>
      <c r="R1366" s="6" t="n">
        <v>9241705984</v>
      </c>
      <c r="S1366" s="11" t="s">
        <v>254</v>
      </c>
      <c r="T1366" s="11" t="s">
        <v>658</v>
      </c>
      <c r="U1366" s="5" t="s">
        <v>260</v>
      </c>
      <c r="V1366" s="11" t="s">
        <v>261</v>
      </c>
      <c r="W1366" s="5" t="s">
        <v>207</v>
      </c>
      <c r="X1366" s="5" t="s">
        <v>371</v>
      </c>
      <c r="Y1366" s="5"/>
      <c r="Z1366" s="5"/>
      <c r="AA1366" s="11" t="s">
        <v>155</v>
      </c>
      <c r="AB1366" s="5" t="s">
        <v>245</v>
      </c>
      <c r="AC1366" s="5" t="s">
        <v>262</v>
      </c>
      <c r="AD1366" s="11" t="s">
        <v>3399</v>
      </c>
      <c r="AE1366" s="23" t="n">
        <v>0.85</v>
      </c>
      <c r="AF1366" s="23" t="n">
        <v>0</v>
      </c>
      <c r="AG1366" s="23" t="n">
        <v>0.67</v>
      </c>
      <c r="AH1366" s="23" t="n">
        <v>0.87</v>
      </c>
      <c r="AI1366" s="23" t="n">
        <v>0.6</v>
      </c>
      <c r="AJ1366" s="23" t="n">
        <v>0.1096</v>
      </c>
      <c r="AK1366" s="23" t="n">
        <v>0.5</v>
      </c>
      <c r="AL1366" s="23" t="n">
        <v>0.6</v>
      </c>
      <c r="AM1366" s="16" t="n">
        <f aca="false">COUNTIFS($D$2:$D$2501,D1366,$G$2:$G$2501,"&gt;"&amp;G1366)+COUNTIFS($D$2:D1366,D1366,$G$2:G1366,G1366)</f>
        <v>627</v>
      </c>
      <c r="AN1366" s="5" t="str">
        <f aca="false">D1366&amp;"|"&amp;AM1366</f>
        <v>分析與報告生成|627</v>
      </c>
    </row>
    <row r="1367" customFormat="false" ht="17.15" hidden="false" customHeight="false" outlineLevel="0" collapsed="false">
      <c r="A1367" s="16" t="n">
        <f aca="false">RANK(G1367,$G$2:$G$2501)+COUNTIF($G$2:G1367,G1367)-1</f>
        <v>1366</v>
      </c>
      <c r="B1367" s="11" t="s">
        <v>3400</v>
      </c>
      <c r="C1367" s="11" t="s">
        <v>1438</v>
      </c>
      <c r="D1367" s="5" t="s">
        <v>56</v>
      </c>
      <c r="E1367" s="5" t="s">
        <v>57</v>
      </c>
      <c r="F1367" s="5"/>
      <c r="G1367" s="22" t="n">
        <f aca="false">ROUND(SUM(I1367:P1367),3)</f>
        <v>61.188</v>
      </c>
      <c r="H1367" s="5" t="str">
        <f aca="false">IF(G1367&gt;=評分方法!$C$16,"優先評估",IF(G1367&gt;=評分方法!$C$17,"列入候選",IF(G1367&gt;=評分方法!$C$18,"特定情境","不建議")))</f>
        <v>特定情境</v>
      </c>
      <c r="I1367" s="15" t="n">
        <f aca="false">AE1367*評分方法!$C$5</f>
        <v>25.5</v>
      </c>
      <c r="J1367" s="15" t="n">
        <f aca="false">AF1367*評分方法!$C$6</f>
        <v>0</v>
      </c>
      <c r="K1367" s="15" t="n">
        <f aca="false">AG1367*評分方法!$C$7</f>
        <v>10.05</v>
      </c>
      <c r="L1367" s="15" t="n">
        <f aca="false">AH1367*評分方法!$C$8</f>
        <v>13.05</v>
      </c>
      <c r="M1367" s="15" t="n">
        <f aca="false">AI1367*評分方法!$C$9</f>
        <v>2</v>
      </c>
      <c r="N1367" s="15" t="n">
        <f aca="false">AJ1367*評分方法!$C$10</f>
        <v>6.588</v>
      </c>
      <c r="O1367" s="15" t="n">
        <f aca="false">AK1367*評分方法!$C$11</f>
        <v>1</v>
      </c>
      <c r="P1367" s="15" t="n">
        <f aca="false">AL1367*評分方法!$C$12</f>
        <v>3</v>
      </c>
      <c r="Q1367" s="6" t="n">
        <v>776078</v>
      </c>
      <c r="R1367" s="6" t="n">
        <v>3212749888</v>
      </c>
      <c r="S1367" s="11" t="s">
        <v>254</v>
      </c>
      <c r="T1367" s="5"/>
      <c r="U1367" s="5" t="s">
        <v>375</v>
      </c>
      <c r="V1367" s="11" t="s">
        <v>333</v>
      </c>
      <c r="W1367" s="5" t="s">
        <v>207</v>
      </c>
      <c r="X1367" s="5" t="s">
        <v>371</v>
      </c>
      <c r="Y1367" s="11" t="s">
        <v>1340</v>
      </c>
      <c r="Z1367" s="11" t="s">
        <v>244</v>
      </c>
      <c r="AA1367" s="11" t="s">
        <v>155</v>
      </c>
      <c r="AB1367" s="5" t="s">
        <v>245</v>
      </c>
      <c r="AC1367" s="5" t="s">
        <v>464</v>
      </c>
      <c r="AD1367" s="11" t="s">
        <v>3401</v>
      </c>
      <c r="AE1367" s="23" t="n">
        <v>0.85</v>
      </c>
      <c r="AF1367" s="23" t="n">
        <v>0</v>
      </c>
      <c r="AG1367" s="23" t="n">
        <v>0.67</v>
      </c>
      <c r="AH1367" s="23" t="n">
        <v>0.87</v>
      </c>
      <c r="AI1367" s="23" t="n">
        <v>0.2</v>
      </c>
      <c r="AJ1367" s="23" t="n">
        <v>0.6588</v>
      </c>
      <c r="AK1367" s="23" t="n">
        <v>0.2</v>
      </c>
      <c r="AL1367" s="23" t="n">
        <v>0.6</v>
      </c>
      <c r="AM1367" s="16" t="n">
        <f aca="false">COUNTIFS($D$2:$D$2501,D1367,$G$2:$G$2501,"&gt;"&amp;G1367)+COUNTIFS($D$2:D1367,D1367,$G$2:G1367,G1367)</f>
        <v>628</v>
      </c>
      <c r="AN1367" s="5" t="str">
        <f aca="false">D1367&amp;"|"&amp;AM1367</f>
        <v>分析與報告生成|628</v>
      </c>
    </row>
    <row r="1368" customFormat="false" ht="17.15" hidden="false" customHeight="false" outlineLevel="0" collapsed="false">
      <c r="A1368" s="16" t="n">
        <f aca="false">RANK(G1368,$G$2:$G$2501)+COUNTIF($G$2:G1368,G1368)-1</f>
        <v>1367</v>
      </c>
      <c r="B1368" s="11" t="s">
        <v>3402</v>
      </c>
      <c r="C1368" s="11" t="s">
        <v>753</v>
      </c>
      <c r="D1368" s="5" t="s">
        <v>56</v>
      </c>
      <c r="E1368" s="5" t="s">
        <v>57</v>
      </c>
      <c r="F1368" s="5"/>
      <c r="G1368" s="22" t="n">
        <f aca="false">ROUND(SUM(I1368:P1368),3)</f>
        <v>61.18</v>
      </c>
      <c r="H1368" s="5" t="str">
        <f aca="false">IF(G1368&gt;=評分方法!$C$16,"優先評估",IF(G1368&gt;=評分方法!$C$17,"列入候選",IF(G1368&gt;=評分方法!$C$18,"特定情境","不建議")))</f>
        <v>特定情境</v>
      </c>
      <c r="I1368" s="15" t="n">
        <f aca="false">AE1368*評分方法!$C$5</f>
        <v>25.5</v>
      </c>
      <c r="J1368" s="15" t="n">
        <f aca="false">AF1368*評分方法!$C$6</f>
        <v>0</v>
      </c>
      <c r="K1368" s="15" t="n">
        <f aca="false">AG1368*評分方法!$C$7</f>
        <v>10.05</v>
      </c>
      <c r="L1368" s="15" t="n">
        <f aca="false">AH1368*評分方法!$C$8</f>
        <v>13.05</v>
      </c>
      <c r="M1368" s="15" t="n">
        <f aca="false">AI1368*評分方法!$C$9</f>
        <v>6</v>
      </c>
      <c r="N1368" s="15" t="n">
        <f aca="false">AJ1368*評分方法!$C$10</f>
        <v>4.08</v>
      </c>
      <c r="O1368" s="15" t="n">
        <f aca="false">AK1368*評分方法!$C$11</f>
        <v>2.5</v>
      </c>
      <c r="P1368" s="15" t="n">
        <f aca="false">AL1368*評分方法!$C$12</f>
        <v>0</v>
      </c>
      <c r="Q1368" s="6" t="n">
        <v>431179</v>
      </c>
      <c r="R1368" s="6" t="n">
        <v>3880263168</v>
      </c>
      <c r="S1368" s="11" t="s">
        <v>254</v>
      </c>
      <c r="T1368" s="11" t="s">
        <v>658</v>
      </c>
      <c r="U1368" s="5" t="s">
        <v>260</v>
      </c>
      <c r="V1368" s="11" t="s">
        <v>333</v>
      </c>
      <c r="W1368" s="5" t="s">
        <v>207</v>
      </c>
      <c r="X1368" s="5" t="s">
        <v>242</v>
      </c>
      <c r="Y1368" s="11" t="s">
        <v>868</v>
      </c>
      <c r="Z1368" s="11" t="s">
        <v>244</v>
      </c>
      <c r="AA1368" s="11" t="s">
        <v>156</v>
      </c>
      <c r="AB1368" s="5" t="s">
        <v>245</v>
      </c>
      <c r="AC1368" s="5" t="s">
        <v>464</v>
      </c>
      <c r="AD1368" s="11" t="s">
        <v>3403</v>
      </c>
      <c r="AE1368" s="23" t="n">
        <v>0.85</v>
      </c>
      <c r="AF1368" s="23" t="n">
        <v>0</v>
      </c>
      <c r="AG1368" s="23" t="n">
        <v>0.67</v>
      </c>
      <c r="AH1368" s="23" t="n">
        <v>0.87</v>
      </c>
      <c r="AI1368" s="23" t="n">
        <v>0.6</v>
      </c>
      <c r="AJ1368" s="23" t="n">
        <v>0.408</v>
      </c>
      <c r="AK1368" s="23" t="n">
        <v>0.5</v>
      </c>
      <c r="AL1368" s="23" t="n">
        <v>0</v>
      </c>
      <c r="AM1368" s="16" t="n">
        <f aca="false">COUNTIFS($D$2:$D$2501,D1368,$G$2:$G$2501,"&gt;"&amp;G1368)+COUNTIFS($D$2:D1368,D1368,$G$2:G1368,G1368)</f>
        <v>629</v>
      </c>
      <c r="AN1368" s="5" t="str">
        <f aca="false">D1368&amp;"|"&amp;AM1368</f>
        <v>分析與報告生成|629</v>
      </c>
    </row>
    <row r="1369" customFormat="false" ht="17.15" hidden="false" customHeight="false" outlineLevel="0" collapsed="false">
      <c r="A1369" s="16" t="n">
        <f aca="false">RANK(G1369,$G$2:$G$2501)+COUNTIF($G$2:G1369,G1369)-1</f>
        <v>1368</v>
      </c>
      <c r="B1369" s="11" t="s">
        <v>3404</v>
      </c>
      <c r="C1369" s="11" t="s">
        <v>3405</v>
      </c>
      <c r="D1369" s="5" t="s">
        <v>66</v>
      </c>
      <c r="E1369" s="5" t="s">
        <v>67</v>
      </c>
      <c r="F1369" s="5"/>
      <c r="G1369" s="22" t="n">
        <f aca="false">ROUND(SUM(I1369:P1369),3)</f>
        <v>61.174</v>
      </c>
      <c r="H1369" s="5" t="str">
        <f aca="false">IF(G1369&gt;=評分方法!$C$16,"優先評估",IF(G1369&gt;=評分方法!$C$17,"列入候選",IF(G1369&gt;=評分方法!$C$18,"特定情境","不建議")))</f>
        <v>特定情境</v>
      </c>
      <c r="I1369" s="15" t="n">
        <f aca="false">AE1369*評分方法!$C$5</f>
        <v>30</v>
      </c>
      <c r="J1369" s="15" t="n">
        <f aca="false">AF1369*評分方法!$C$6</f>
        <v>0</v>
      </c>
      <c r="K1369" s="15" t="n">
        <f aca="false">AG1369*評分方法!$C$7</f>
        <v>4.95</v>
      </c>
      <c r="L1369" s="15" t="n">
        <f aca="false">AH1369*評分方法!$C$8</f>
        <v>15</v>
      </c>
      <c r="M1369" s="15" t="n">
        <f aca="false">AI1369*評分方法!$C$9</f>
        <v>2</v>
      </c>
      <c r="N1369" s="15" t="n">
        <f aca="false">AJ1369*評分方法!$C$10</f>
        <v>2.724</v>
      </c>
      <c r="O1369" s="15" t="n">
        <f aca="false">AK1369*評分方法!$C$11</f>
        <v>5</v>
      </c>
      <c r="P1369" s="15" t="n">
        <f aca="false">AL1369*評分方法!$C$12</f>
        <v>1.5</v>
      </c>
      <c r="Q1369" s="6" t="n">
        <v>268685</v>
      </c>
      <c r="R1369" s="6" t="n">
        <v>109483009</v>
      </c>
      <c r="S1369" s="11" t="s">
        <v>238</v>
      </c>
      <c r="T1369" s="5"/>
      <c r="U1369" s="5" t="s">
        <v>375</v>
      </c>
      <c r="V1369" s="11" t="s">
        <v>261</v>
      </c>
      <c r="W1369" s="5" t="s">
        <v>334</v>
      </c>
      <c r="X1369" s="5" t="s">
        <v>255</v>
      </c>
      <c r="Y1369" s="5"/>
      <c r="Z1369" s="5"/>
      <c r="AA1369" s="11" t="s">
        <v>149</v>
      </c>
      <c r="AB1369" s="5" t="s">
        <v>245</v>
      </c>
      <c r="AC1369" s="5" t="s">
        <v>262</v>
      </c>
      <c r="AD1369" s="11" t="s">
        <v>3406</v>
      </c>
      <c r="AE1369" s="23" t="n">
        <v>1</v>
      </c>
      <c r="AF1369" s="23" t="n">
        <v>0</v>
      </c>
      <c r="AG1369" s="23" t="n">
        <v>0.33</v>
      </c>
      <c r="AH1369" s="23" t="n">
        <v>1</v>
      </c>
      <c r="AI1369" s="23" t="n">
        <v>0.2</v>
      </c>
      <c r="AJ1369" s="23" t="n">
        <v>0.2724</v>
      </c>
      <c r="AK1369" s="23" t="n">
        <v>1</v>
      </c>
      <c r="AL1369" s="23" t="n">
        <v>0.3</v>
      </c>
      <c r="AM1369" s="16" t="n">
        <f aca="false">COUNTIFS($D$2:$D$2501,D1369,$G$2:$G$2501,"&gt;"&amp;G1369)+COUNTIFS($D$2:D1369,D1369,$G$2:G1369,G1369)</f>
        <v>40</v>
      </c>
      <c r="AN1369" s="5" t="str">
        <f aca="false">D1369&amp;"|"&amp;AM1369</f>
        <v>分類與偵測|40</v>
      </c>
    </row>
    <row r="1370" customFormat="false" ht="17.15" hidden="false" customHeight="false" outlineLevel="0" collapsed="false">
      <c r="A1370" s="16" t="n">
        <f aca="false">RANK(G1370,$G$2:$G$2501)+COUNTIF($G$2:G1370,G1370)-1</f>
        <v>1369</v>
      </c>
      <c r="B1370" s="11" t="s">
        <v>3407</v>
      </c>
      <c r="C1370" s="11" t="s">
        <v>2261</v>
      </c>
      <c r="D1370" s="5" t="s">
        <v>54</v>
      </c>
      <c r="E1370" s="5" t="s">
        <v>55</v>
      </c>
      <c r="F1370" s="5"/>
      <c r="G1370" s="22" t="n">
        <f aca="false">ROUND(SUM(I1370:P1370),3)</f>
        <v>61.17</v>
      </c>
      <c r="H1370" s="5" t="str">
        <f aca="false">IF(G1370&gt;=評分方法!$C$16,"優先評估",IF(G1370&gt;=評分方法!$C$17,"列入候選",IF(G1370&gt;=評分方法!$C$18,"特定情境","不建議")))</f>
        <v>特定情境</v>
      </c>
      <c r="I1370" s="15" t="n">
        <f aca="false">AE1370*評分方法!$C$5</f>
        <v>27</v>
      </c>
      <c r="J1370" s="15" t="n">
        <f aca="false">AF1370*評分方法!$C$6</f>
        <v>0</v>
      </c>
      <c r="K1370" s="15" t="n">
        <f aca="false">AG1370*評分方法!$C$7</f>
        <v>10.05</v>
      </c>
      <c r="L1370" s="15" t="n">
        <f aca="false">AH1370*評分方法!$C$8</f>
        <v>15</v>
      </c>
      <c r="M1370" s="15" t="n">
        <f aca="false">AI1370*評分方法!$C$9</f>
        <v>2</v>
      </c>
      <c r="N1370" s="15" t="n">
        <f aca="false">AJ1370*評分方法!$C$10</f>
        <v>4.62</v>
      </c>
      <c r="O1370" s="15" t="n">
        <f aca="false">AK1370*評分方法!$C$11</f>
        <v>1</v>
      </c>
      <c r="P1370" s="15" t="n">
        <f aca="false">AL1370*評分方法!$C$12</f>
        <v>1.5</v>
      </c>
      <c r="Q1370" s="6" t="n">
        <v>503914</v>
      </c>
      <c r="R1370" s="6" t="n">
        <v>0</v>
      </c>
      <c r="S1370" s="11" t="s">
        <v>238</v>
      </c>
      <c r="T1370" s="5"/>
      <c r="U1370" s="5" t="s">
        <v>375</v>
      </c>
      <c r="V1370" s="11" t="s">
        <v>261</v>
      </c>
      <c r="W1370" s="5" t="s">
        <v>207</v>
      </c>
      <c r="X1370" s="5" t="s">
        <v>255</v>
      </c>
      <c r="Y1370" s="5"/>
      <c r="Z1370" s="5"/>
      <c r="AA1370" s="11" t="s">
        <v>153</v>
      </c>
      <c r="AB1370" s="5" t="s">
        <v>245</v>
      </c>
      <c r="AC1370" s="5" t="s">
        <v>262</v>
      </c>
      <c r="AD1370" s="11" t="s">
        <v>3408</v>
      </c>
      <c r="AE1370" s="23" t="n">
        <v>0.9</v>
      </c>
      <c r="AF1370" s="23" t="n">
        <v>0</v>
      </c>
      <c r="AG1370" s="23" t="n">
        <v>0.67</v>
      </c>
      <c r="AH1370" s="23" t="n">
        <v>1</v>
      </c>
      <c r="AI1370" s="23" t="n">
        <v>0.2</v>
      </c>
      <c r="AJ1370" s="23" t="n">
        <v>0.462</v>
      </c>
      <c r="AK1370" s="23" t="n">
        <v>0.2</v>
      </c>
      <c r="AL1370" s="23" t="n">
        <v>0.3</v>
      </c>
      <c r="AM1370" s="16" t="n">
        <f aca="false">COUNTIFS($D$2:$D$2501,D1370,$G$2:$G$2501,"&gt;"&amp;G1370)+COUNTIFS($D$2:D1370,D1370,$G$2:G1370,G1370)</f>
        <v>185</v>
      </c>
      <c r="AN1370" s="5" t="str">
        <f aca="false">D1370&amp;"|"&amp;AM1370</f>
        <v>檢索與情資關聯|185</v>
      </c>
    </row>
    <row r="1371" customFormat="false" ht="17.15" hidden="false" customHeight="false" outlineLevel="0" collapsed="false">
      <c r="A1371" s="16" t="n">
        <f aca="false">RANK(G1371,$G$2:$G$2501)+COUNTIF($G$2:G1371,G1371)-1</f>
        <v>1370</v>
      </c>
      <c r="B1371" s="11" t="s">
        <v>3409</v>
      </c>
      <c r="C1371" s="11" t="s">
        <v>3410</v>
      </c>
      <c r="D1371" s="5" t="s">
        <v>56</v>
      </c>
      <c r="E1371" s="5" t="s">
        <v>57</v>
      </c>
      <c r="F1371" s="5"/>
      <c r="G1371" s="22" t="n">
        <f aca="false">ROUND(SUM(I1371:P1371),3)</f>
        <v>61.168</v>
      </c>
      <c r="H1371" s="5" t="str">
        <f aca="false">IF(G1371&gt;=評分方法!$C$16,"優先評估",IF(G1371&gt;=評分方法!$C$17,"列入候選",IF(G1371&gt;=評分方法!$C$18,"特定情境","不建議")))</f>
        <v>特定情境</v>
      </c>
      <c r="I1371" s="15" t="n">
        <f aca="false">AE1371*評分方法!$C$5</f>
        <v>25.5</v>
      </c>
      <c r="J1371" s="15" t="n">
        <f aca="false">AF1371*評分方法!$C$6</f>
        <v>0</v>
      </c>
      <c r="K1371" s="15" t="n">
        <f aca="false">AG1371*評分方法!$C$7</f>
        <v>4.95</v>
      </c>
      <c r="L1371" s="15" t="n">
        <f aca="false">AH1371*評分方法!$C$8</f>
        <v>13.05</v>
      </c>
      <c r="M1371" s="15" t="n">
        <f aca="false">AI1371*評分方法!$C$9</f>
        <v>6</v>
      </c>
      <c r="N1371" s="15" t="n">
        <f aca="false">AJ1371*評分方法!$C$10</f>
        <v>7.668</v>
      </c>
      <c r="O1371" s="15" t="n">
        <f aca="false">AK1371*評分方法!$C$11</f>
        <v>4</v>
      </c>
      <c r="P1371" s="15" t="n">
        <f aca="false">AL1371*評分方法!$C$12</f>
        <v>0</v>
      </c>
      <c r="Q1371" s="6" t="n">
        <v>1256292</v>
      </c>
      <c r="R1371" s="6" t="n">
        <v>8837345280</v>
      </c>
      <c r="S1371" s="11" t="s">
        <v>254</v>
      </c>
      <c r="T1371" s="11" t="s">
        <v>658</v>
      </c>
      <c r="U1371" s="5" t="s">
        <v>260</v>
      </c>
      <c r="V1371" s="11" t="s">
        <v>261</v>
      </c>
      <c r="W1371" s="5" t="s">
        <v>334</v>
      </c>
      <c r="X1371" s="5" t="s">
        <v>242</v>
      </c>
      <c r="Y1371" s="5"/>
      <c r="Z1371" s="5"/>
      <c r="AA1371" s="11" t="s">
        <v>155</v>
      </c>
      <c r="AB1371" s="5" t="s">
        <v>245</v>
      </c>
      <c r="AC1371" s="5" t="s">
        <v>262</v>
      </c>
      <c r="AD1371" s="11" t="s">
        <v>3411</v>
      </c>
      <c r="AE1371" s="23" t="n">
        <v>0.85</v>
      </c>
      <c r="AF1371" s="23" t="n">
        <v>0</v>
      </c>
      <c r="AG1371" s="23" t="n">
        <v>0.33</v>
      </c>
      <c r="AH1371" s="23" t="n">
        <v>0.87</v>
      </c>
      <c r="AI1371" s="23" t="n">
        <v>0.6</v>
      </c>
      <c r="AJ1371" s="23" t="n">
        <v>0.7668</v>
      </c>
      <c r="AK1371" s="23" t="n">
        <v>0.8</v>
      </c>
      <c r="AL1371" s="23" t="n">
        <v>0</v>
      </c>
      <c r="AM1371" s="16" t="n">
        <f aca="false">COUNTIFS($D$2:$D$2501,D1371,$G$2:$G$2501,"&gt;"&amp;G1371)+COUNTIFS($D$2:D1371,D1371,$G$2:G1371,G1371)</f>
        <v>630</v>
      </c>
      <c r="AN1371" s="5" t="str">
        <f aca="false">D1371&amp;"|"&amp;AM1371</f>
        <v>分析與報告生成|630</v>
      </c>
    </row>
    <row r="1372" customFormat="false" ht="17.15" hidden="false" customHeight="false" outlineLevel="0" collapsed="false">
      <c r="A1372" s="16" t="n">
        <f aca="false">RANK(G1372,$G$2:$G$2501)+COUNTIF($G$2:G1372,G1372)-1</f>
        <v>1371</v>
      </c>
      <c r="B1372" s="11" t="s">
        <v>3412</v>
      </c>
      <c r="C1372" s="11" t="s">
        <v>1207</v>
      </c>
      <c r="D1372" s="5" t="s">
        <v>66</v>
      </c>
      <c r="E1372" s="5" t="s">
        <v>67</v>
      </c>
      <c r="F1372" s="5"/>
      <c r="G1372" s="22" t="n">
        <f aca="false">ROUND(SUM(I1372:P1372),3)</f>
        <v>61.144</v>
      </c>
      <c r="H1372" s="5" t="str">
        <f aca="false">IF(G1372&gt;=評分方法!$C$16,"優先評估",IF(G1372&gt;=評分方法!$C$17,"列入候選",IF(G1372&gt;=評分方法!$C$18,"特定情境","不建議")))</f>
        <v>特定情境</v>
      </c>
      <c r="I1372" s="15" t="n">
        <f aca="false">AE1372*評分方法!$C$5</f>
        <v>12</v>
      </c>
      <c r="J1372" s="15" t="n">
        <f aca="false">AF1372*評分方法!$C$6</f>
        <v>0</v>
      </c>
      <c r="K1372" s="15" t="n">
        <f aca="false">AG1372*評分方法!$C$7</f>
        <v>15</v>
      </c>
      <c r="L1372" s="15" t="n">
        <f aca="false">AH1372*評分方法!$C$8</f>
        <v>15</v>
      </c>
      <c r="M1372" s="15" t="n">
        <f aca="false">AI1372*評分方法!$C$9</f>
        <v>10</v>
      </c>
      <c r="N1372" s="15" t="n">
        <f aca="false">AJ1372*評分方法!$C$10</f>
        <v>8.144</v>
      </c>
      <c r="O1372" s="15" t="n">
        <f aca="false">AK1372*評分方法!$C$11</f>
        <v>1</v>
      </c>
      <c r="P1372" s="15" t="n">
        <f aca="false">AL1372*評分方法!$C$12</f>
        <v>0</v>
      </c>
      <c r="Q1372" s="6" t="n">
        <v>1755926</v>
      </c>
      <c r="R1372" s="6" t="n">
        <v>356412419</v>
      </c>
      <c r="S1372" s="11" t="s">
        <v>238</v>
      </c>
      <c r="T1372" s="11" t="s">
        <v>278</v>
      </c>
      <c r="U1372" s="5" t="s">
        <v>240</v>
      </c>
      <c r="V1372" s="11" t="s">
        <v>279</v>
      </c>
      <c r="W1372" s="5" t="s">
        <v>205</v>
      </c>
      <c r="X1372" s="5" t="s">
        <v>242</v>
      </c>
      <c r="Y1372" s="5"/>
      <c r="Z1372" s="5"/>
      <c r="AA1372" s="11" t="s">
        <v>149</v>
      </c>
      <c r="AB1372" s="5" t="s">
        <v>245</v>
      </c>
      <c r="AC1372" s="5" t="s">
        <v>3044</v>
      </c>
      <c r="AD1372" s="11" t="s">
        <v>3413</v>
      </c>
      <c r="AE1372" s="23" t="n">
        <v>0.4</v>
      </c>
      <c r="AF1372" s="23" t="n">
        <v>0</v>
      </c>
      <c r="AG1372" s="23" t="n">
        <v>1</v>
      </c>
      <c r="AH1372" s="23" t="n">
        <v>1</v>
      </c>
      <c r="AI1372" s="23" t="n">
        <v>1</v>
      </c>
      <c r="AJ1372" s="23" t="n">
        <v>0.8144</v>
      </c>
      <c r="AK1372" s="23" t="n">
        <v>0.2</v>
      </c>
      <c r="AL1372" s="23" t="n">
        <v>0</v>
      </c>
      <c r="AM1372" s="16" t="n">
        <f aca="false">COUNTIFS($D$2:$D$2501,D1372,$G$2:$G$2501,"&gt;"&amp;G1372)+COUNTIFS($D$2:D1372,D1372,$G$2:G1372,G1372)</f>
        <v>41</v>
      </c>
      <c r="AN1372" s="5" t="str">
        <f aca="false">D1372&amp;"|"&amp;AM1372</f>
        <v>分類與偵測|41</v>
      </c>
    </row>
    <row r="1373" customFormat="false" ht="17.15" hidden="false" customHeight="false" outlineLevel="0" collapsed="false">
      <c r="A1373" s="16" t="n">
        <f aca="false">RANK(G1373,$G$2:$G$2501)+COUNTIF($G$2:G1373,G1373)-1</f>
        <v>1372</v>
      </c>
      <c r="B1373" s="11" t="s">
        <v>3414</v>
      </c>
      <c r="C1373" s="11" t="s">
        <v>3415</v>
      </c>
      <c r="D1373" s="5" t="s">
        <v>56</v>
      </c>
      <c r="E1373" s="5" t="s">
        <v>57</v>
      </c>
      <c r="F1373" s="5"/>
      <c r="G1373" s="22" t="n">
        <f aca="false">ROUND(SUM(I1373:P1373),3)</f>
        <v>61.144</v>
      </c>
      <c r="H1373" s="5" t="str">
        <f aca="false">IF(G1373&gt;=評分方法!$C$16,"優先評估",IF(G1373&gt;=評分方法!$C$17,"列入候選",IF(G1373&gt;=評分方法!$C$18,"特定情境","不建議")))</f>
        <v>特定情境</v>
      </c>
      <c r="I1373" s="15" t="n">
        <f aca="false">AE1373*評分方法!$C$5</f>
        <v>25.5</v>
      </c>
      <c r="J1373" s="15" t="n">
        <f aca="false">AF1373*評分方法!$C$6</f>
        <v>0</v>
      </c>
      <c r="K1373" s="15" t="n">
        <f aca="false">AG1373*評分方法!$C$7</f>
        <v>4.95</v>
      </c>
      <c r="L1373" s="15" t="n">
        <f aca="false">AH1373*評分方法!$C$8</f>
        <v>13.05</v>
      </c>
      <c r="M1373" s="15" t="n">
        <f aca="false">AI1373*評分方法!$C$9</f>
        <v>6</v>
      </c>
      <c r="N1373" s="15" t="n">
        <f aca="false">AJ1373*評分方法!$C$10</f>
        <v>6.644</v>
      </c>
      <c r="O1373" s="15" t="n">
        <f aca="false">AK1373*評分方法!$C$11</f>
        <v>5</v>
      </c>
      <c r="P1373" s="15" t="n">
        <f aca="false">AL1373*評分方法!$C$12</f>
        <v>0</v>
      </c>
      <c r="Q1373" s="6" t="n">
        <v>794641</v>
      </c>
      <c r="R1373" s="6" t="n">
        <v>3075098624</v>
      </c>
      <c r="S1373" s="11" t="s">
        <v>254</v>
      </c>
      <c r="T1373" s="11" t="s">
        <v>185</v>
      </c>
      <c r="U1373" s="5" t="s">
        <v>260</v>
      </c>
      <c r="V1373" s="11" t="s">
        <v>462</v>
      </c>
      <c r="W1373" s="5" t="s">
        <v>334</v>
      </c>
      <c r="X1373" s="5" t="s">
        <v>242</v>
      </c>
      <c r="Y1373" s="11" t="s">
        <v>416</v>
      </c>
      <c r="Z1373" s="11" t="s">
        <v>942</v>
      </c>
      <c r="AA1373" s="11" t="s">
        <v>155</v>
      </c>
      <c r="AB1373" s="5" t="s">
        <v>245</v>
      </c>
      <c r="AC1373" s="5" t="s">
        <v>262</v>
      </c>
      <c r="AD1373" s="11" t="s">
        <v>3416</v>
      </c>
      <c r="AE1373" s="23" t="n">
        <v>0.85</v>
      </c>
      <c r="AF1373" s="23" t="n">
        <v>0</v>
      </c>
      <c r="AG1373" s="23" t="n">
        <v>0.33</v>
      </c>
      <c r="AH1373" s="23" t="n">
        <v>0.87</v>
      </c>
      <c r="AI1373" s="23" t="n">
        <v>0.6</v>
      </c>
      <c r="AJ1373" s="23" t="n">
        <v>0.6644</v>
      </c>
      <c r="AK1373" s="23" t="n">
        <v>1</v>
      </c>
      <c r="AL1373" s="23" t="n">
        <v>0</v>
      </c>
      <c r="AM1373" s="16" t="n">
        <f aca="false">COUNTIFS($D$2:$D$2501,D1373,$G$2:$G$2501,"&gt;"&amp;G1373)+COUNTIFS($D$2:D1373,D1373,$G$2:G1373,G1373)</f>
        <v>631</v>
      </c>
      <c r="AN1373" s="5" t="str">
        <f aca="false">D1373&amp;"|"&amp;AM1373</f>
        <v>分析與報告生成|631</v>
      </c>
    </row>
    <row r="1374" customFormat="false" ht="17.15" hidden="false" customHeight="false" outlineLevel="0" collapsed="false">
      <c r="A1374" s="16" t="n">
        <f aca="false">RANK(G1374,$G$2:$G$2501)+COUNTIF($G$2:G1374,G1374)-1</f>
        <v>1373</v>
      </c>
      <c r="B1374" s="11" t="s">
        <v>3417</v>
      </c>
      <c r="C1374" s="11" t="s">
        <v>891</v>
      </c>
      <c r="D1374" s="5" t="s">
        <v>56</v>
      </c>
      <c r="E1374" s="5" t="s">
        <v>57</v>
      </c>
      <c r="F1374" s="5"/>
      <c r="G1374" s="22" t="n">
        <f aca="false">ROUND(SUM(I1374:P1374),3)</f>
        <v>61.14</v>
      </c>
      <c r="H1374" s="5" t="str">
        <f aca="false">IF(G1374&gt;=評分方法!$C$16,"優先評估",IF(G1374&gt;=評分方法!$C$17,"列入候選",IF(G1374&gt;=評分方法!$C$18,"特定情境","不建議")))</f>
        <v>特定情境</v>
      </c>
      <c r="I1374" s="15" t="n">
        <f aca="false">AE1374*評分方法!$C$5</f>
        <v>25.5</v>
      </c>
      <c r="J1374" s="15" t="n">
        <f aca="false">AF1374*評分方法!$C$6</f>
        <v>0</v>
      </c>
      <c r="K1374" s="15" t="n">
        <f aca="false">AG1374*評分方法!$C$7</f>
        <v>10.05</v>
      </c>
      <c r="L1374" s="15" t="n">
        <f aca="false">AH1374*評分方法!$C$8</f>
        <v>7.05</v>
      </c>
      <c r="M1374" s="15" t="n">
        <f aca="false">AI1374*評分方法!$C$9</f>
        <v>10</v>
      </c>
      <c r="N1374" s="15" t="n">
        <f aca="false">AJ1374*評分方法!$C$10</f>
        <v>1.04</v>
      </c>
      <c r="O1374" s="15" t="n">
        <f aca="false">AK1374*評分方法!$C$11</f>
        <v>2.5</v>
      </c>
      <c r="P1374" s="15" t="n">
        <f aca="false">AL1374*評分方法!$C$12</f>
        <v>5</v>
      </c>
      <c r="Q1374" s="6" t="n">
        <v>155244</v>
      </c>
      <c r="R1374" s="6"/>
      <c r="S1374" s="5" t="s">
        <v>255</v>
      </c>
      <c r="T1374" s="11" t="s">
        <v>239</v>
      </c>
      <c r="U1374" s="5" t="s">
        <v>240</v>
      </c>
      <c r="V1374" s="11" t="s">
        <v>261</v>
      </c>
      <c r="W1374" s="5" t="s">
        <v>207</v>
      </c>
      <c r="X1374" s="5" t="s">
        <v>284</v>
      </c>
      <c r="Y1374" s="11" t="s">
        <v>612</v>
      </c>
      <c r="Z1374" s="11" t="s">
        <v>244</v>
      </c>
      <c r="AA1374" s="11" t="s">
        <v>156</v>
      </c>
      <c r="AB1374" s="5" t="s">
        <v>245</v>
      </c>
      <c r="AC1374" s="5" t="s">
        <v>246</v>
      </c>
      <c r="AD1374" s="11" t="s">
        <v>3418</v>
      </c>
      <c r="AE1374" s="23" t="n">
        <v>0.85</v>
      </c>
      <c r="AF1374" s="23" t="n">
        <v>0</v>
      </c>
      <c r="AG1374" s="23" t="n">
        <v>0.67</v>
      </c>
      <c r="AH1374" s="23" t="n">
        <v>0.47</v>
      </c>
      <c r="AI1374" s="23" t="n">
        <v>1</v>
      </c>
      <c r="AJ1374" s="23" t="n">
        <v>0.104</v>
      </c>
      <c r="AK1374" s="23" t="n">
        <v>0.5</v>
      </c>
      <c r="AL1374" s="23" t="n">
        <v>1</v>
      </c>
      <c r="AM1374" s="16" t="n">
        <f aca="false">COUNTIFS($D$2:$D$2501,D1374,$G$2:$G$2501,"&gt;"&amp;G1374)+COUNTIFS($D$2:D1374,D1374,$G$2:G1374,G1374)</f>
        <v>632</v>
      </c>
      <c r="AN1374" s="5" t="str">
        <f aca="false">D1374&amp;"|"&amp;AM1374</f>
        <v>分析與報告生成|632</v>
      </c>
    </row>
    <row r="1375" customFormat="false" ht="17.15" hidden="false" customHeight="false" outlineLevel="0" collapsed="false">
      <c r="A1375" s="16" t="n">
        <f aca="false">RANK(G1375,$G$2:$G$2501)+COUNTIF($G$2:G1375,G1375)-1</f>
        <v>1374</v>
      </c>
      <c r="B1375" s="11" t="s">
        <v>3419</v>
      </c>
      <c r="C1375" s="11" t="s">
        <v>1728</v>
      </c>
      <c r="D1375" s="5" t="s">
        <v>58</v>
      </c>
      <c r="E1375" s="5" t="s">
        <v>59</v>
      </c>
      <c r="F1375" s="5"/>
      <c r="G1375" s="22" t="n">
        <f aca="false">ROUND(SUM(I1375:P1375),3)</f>
        <v>61.126</v>
      </c>
      <c r="H1375" s="5" t="str">
        <f aca="false">IF(G1375&gt;=評分方法!$C$16,"優先評估",IF(G1375&gt;=評分方法!$C$17,"列入候選",IF(G1375&gt;=評分方法!$C$18,"特定情境","不建議")))</f>
        <v>特定情境</v>
      </c>
      <c r="I1375" s="15" t="n">
        <f aca="false">AE1375*評分方法!$C$5</f>
        <v>28.5</v>
      </c>
      <c r="J1375" s="15" t="n">
        <f aca="false">AF1375*評分方法!$C$6</f>
        <v>0</v>
      </c>
      <c r="K1375" s="15" t="n">
        <f aca="false">AG1375*評分方法!$C$7</f>
        <v>10.05</v>
      </c>
      <c r="L1375" s="15" t="n">
        <f aca="false">AH1375*評分方法!$C$8</f>
        <v>15</v>
      </c>
      <c r="M1375" s="15" t="n">
        <f aca="false">AI1375*評分方法!$C$9</f>
        <v>2</v>
      </c>
      <c r="N1375" s="15" t="n">
        <f aca="false">AJ1375*評分方法!$C$10</f>
        <v>3.076</v>
      </c>
      <c r="O1375" s="15" t="n">
        <f aca="false">AK1375*評分方法!$C$11</f>
        <v>1</v>
      </c>
      <c r="P1375" s="15" t="n">
        <f aca="false">AL1375*評分方法!$C$12</f>
        <v>1.5</v>
      </c>
      <c r="Q1375" s="6" t="n">
        <v>300769</v>
      </c>
      <c r="R1375" s="6" t="n">
        <v>108317193</v>
      </c>
      <c r="S1375" s="11" t="s">
        <v>238</v>
      </c>
      <c r="T1375" s="5"/>
      <c r="U1375" s="5" t="s">
        <v>375</v>
      </c>
      <c r="V1375" s="11" t="s">
        <v>279</v>
      </c>
      <c r="W1375" s="5" t="s">
        <v>207</v>
      </c>
      <c r="X1375" s="5" t="s">
        <v>255</v>
      </c>
      <c r="Y1375" s="5"/>
      <c r="Z1375" s="5"/>
      <c r="AA1375" s="11" t="s">
        <v>150</v>
      </c>
      <c r="AB1375" s="5" t="s">
        <v>245</v>
      </c>
      <c r="AC1375" s="5" t="s">
        <v>262</v>
      </c>
      <c r="AD1375" s="11" t="s">
        <v>3420</v>
      </c>
      <c r="AE1375" s="23" t="n">
        <v>0.95</v>
      </c>
      <c r="AF1375" s="23" t="n">
        <v>0</v>
      </c>
      <c r="AG1375" s="23" t="n">
        <v>0.67</v>
      </c>
      <c r="AH1375" s="23" t="n">
        <v>1</v>
      </c>
      <c r="AI1375" s="23" t="n">
        <v>0.2</v>
      </c>
      <c r="AJ1375" s="23" t="n">
        <v>0.3076</v>
      </c>
      <c r="AK1375" s="23" t="n">
        <v>0.2</v>
      </c>
      <c r="AL1375" s="23" t="n">
        <v>0.3</v>
      </c>
      <c r="AM1375" s="16" t="n">
        <f aca="false">COUNTIFS($D$2:$D$2501,D1375,$G$2:$G$2501,"&gt;"&amp;G1375)+COUNTIFS($D$2:D1375,D1375,$G$2:G1375,G1375)</f>
        <v>288</v>
      </c>
      <c r="AN1375" s="5" t="str">
        <f aca="false">D1375&amp;"|"&amp;AM1375</f>
        <v>實體擷取與去識別化|288</v>
      </c>
    </row>
    <row r="1376" customFormat="false" ht="17.15" hidden="false" customHeight="false" outlineLevel="0" collapsed="false">
      <c r="A1376" s="16" t="n">
        <f aca="false">RANK(G1376,$G$2:$G$2501)+COUNTIF($G$2:G1376,G1376)-1</f>
        <v>1375</v>
      </c>
      <c r="B1376" s="11" t="s">
        <v>3421</v>
      </c>
      <c r="C1376" s="11" t="s">
        <v>1438</v>
      </c>
      <c r="D1376" s="5" t="s">
        <v>56</v>
      </c>
      <c r="E1376" s="5" t="s">
        <v>57</v>
      </c>
      <c r="F1376" s="5"/>
      <c r="G1376" s="22" t="n">
        <f aca="false">ROUND(SUM(I1376:P1376),3)</f>
        <v>61.124</v>
      </c>
      <c r="H1376" s="5" t="str">
        <f aca="false">IF(G1376&gt;=評分方法!$C$16,"優先評估",IF(G1376&gt;=評分方法!$C$17,"列入候選",IF(G1376&gt;=評分方法!$C$18,"特定情境","不建議")))</f>
        <v>特定情境</v>
      </c>
      <c r="I1376" s="15" t="n">
        <f aca="false">AE1376*評分方法!$C$5</f>
        <v>25.5</v>
      </c>
      <c r="J1376" s="15" t="n">
        <f aca="false">AF1376*評分方法!$C$6</f>
        <v>0</v>
      </c>
      <c r="K1376" s="15" t="n">
        <f aca="false">AG1376*評分方法!$C$7</f>
        <v>10.05</v>
      </c>
      <c r="L1376" s="15" t="n">
        <f aca="false">AH1376*評分方法!$C$8</f>
        <v>13.05</v>
      </c>
      <c r="M1376" s="15" t="n">
        <f aca="false">AI1376*評分方法!$C$9</f>
        <v>2</v>
      </c>
      <c r="N1376" s="15" t="n">
        <f aca="false">AJ1376*評分方法!$C$10</f>
        <v>6.524</v>
      </c>
      <c r="O1376" s="15" t="n">
        <f aca="false">AK1376*評分方法!$C$11</f>
        <v>1</v>
      </c>
      <c r="P1376" s="15" t="n">
        <f aca="false">AL1376*評分方法!$C$12</f>
        <v>3</v>
      </c>
      <c r="Q1376" s="6" t="n">
        <v>760717</v>
      </c>
      <c r="R1376" s="6" t="n">
        <v>8030261248</v>
      </c>
      <c r="S1376" s="11" t="s">
        <v>254</v>
      </c>
      <c r="T1376" s="5"/>
      <c r="U1376" s="5" t="s">
        <v>375</v>
      </c>
      <c r="V1376" s="11" t="s">
        <v>333</v>
      </c>
      <c r="W1376" s="5" t="s">
        <v>207</v>
      </c>
      <c r="X1376" s="5" t="s">
        <v>371</v>
      </c>
      <c r="Y1376" s="11" t="s">
        <v>3422</v>
      </c>
      <c r="Z1376" s="11" t="s">
        <v>244</v>
      </c>
      <c r="AA1376" s="11" t="s">
        <v>155</v>
      </c>
      <c r="AB1376" s="5" t="s">
        <v>245</v>
      </c>
      <c r="AC1376" s="5" t="s">
        <v>464</v>
      </c>
      <c r="AD1376" s="11" t="s">
        <v>3423</v>
      </c>
      <c r="AE1376" s="23" t="n">
        <v>0.85</v>
      </c>
      <c r="AF1376" s="23" t="n">
        <v>0</v>
      </c>
      <c r="AG1376" s="23" t="n">
        <v>0.67</v>
      </c>
      <c r="AH1376" s="23" t="n">
        <v>0.87</v>
      </c>
      <c r="AI1376" s="23" t="n">
        <v>0.2</v>
      </c>
      <c r="AJ1376" s="23" t="n">
        <v>0.6524</v>
      </c>
      <c r="AK1376" s="23" t="n">
        <v>0.2</v>
      </c>
      <c r="AL1376" s="23" t="n">
        <v>0.6</v>
      </c>
      <c r="AM1376" s="16" t="n">
        <f aca="false">COUNTIFS($D$2:$D$2501,D1376,$G$2:$G$2501,"&gt;"&amp;G1376)+COUNTIFS($D$2:D1376,D1376,$G$2:G1376,G1376)</f>
        <v>633</v>
      </c>
      <c r="AN1376" s="5" t="str">
        <f aca="false">D1376&amp;"|"&amp;AM1376</f>
        <v>分析與報告生成|633</v>
      </c>
    </row>
    <row r="1377" customFormat="false" ht="17.15" hidden="false" customHeight="false" outlineLevel="0" collapsed="false">
      <c r="A1377" s="16" t="n">
        <f aca="false">RANK(G1377,$G$2:$G$2501)+COUNTIF($G$2:G1377,G1377)-1</f>
        <v>1376</v>
      </c>
      <c r="B1377" s="11" t="s">
        <v>3424</v>
      </c>
      <c r="C1377" s="11" t="s">
        <v>1325</v>
      </c>
      <c r="D1377" s="5" t="s">
        <v>58</v>
      </c>
      <c r="E1377" s="5" t="s">
        <v>59</v>
      </c>
      <c r="F1377" s="5"/>
      <c r="G1377" s="22" t="n">
        <f aca="false">ROUND(SUM(I1377:P1377),3)</f>
        <v>61.124</v>
      </c>
      <c r="H1377" s="5" t="str">
        <f aca="false">IF(G1377&gt;=評分方法!$C$16,"優先評估",IF(G1377&gt;=評分方法!$C$17,"列入候選",IF(G1377&gt;=評分方法!$C$18,"特定情境","不建議")))</f>
        <v>特定情境</v>
      </c>
      <c r="I1377" s="15" t="n">
        <f aca="false">AE1377*評分方法!$C$5</f>
        <v>28.5</v>
      </c>
      <c r="J1377" s="15" t="n">
        <f aca="false">AF1377*評分方法!$C$6</f>
        <v>0</v>
      </c>
      <c r="K1377" s="15" t="n">
        <f aca="false">AG1377*評分方法!$C$7</f>
        <v>10.05</v>
      </c>
      <c r="L1377" s="15" t="n">
        <f aca="false">AH1377*評分方法!$C$8</f>
        <v>7.05</v>
      </c>
      <c r="M1377" s="15" t="n">
        <f aca="false">AI1377*評分方法!$C$9</f>
        <v>10</v>
      </c>
      <c r="N1377" s="15" t="n">
        <f aca="false">AJ1377*評分方法!$C$10</f>
        <v>0.024</v>
      </c>
      <c r="O1377" s="15" t="n">
        <f aca="false">AK1377*評分方法!$C$11</f>
        <v>4</v>
      </c>
      <c r="P1377" s="15" t="n">
        <f aca="false">AL1377*評分方法!$C$12</f>
        <v>1.5</v>
      </c>
      <c r="Q1377" s="6" t="n">
        <v>117897</v>
      </c>
      <c r="R1377" s="6"/>
      <c r="S1377" s="5" t="s">
        <v>255</v>
      </c>
      <c r="T1377" s="11" t="s">
        <v>278</v>
      </c>
      <c r="U1377" s="5" t="s">
        <v>240</v>
      </c>
      <c r="V1377" s="11" t="s">
        <v>514</v>
      </c>
      <c r="W1377" s="5" t="s">
        <v>207</v>
      </c>
      <c r="X1377" s="5" t="s">
        <v>255</v>
      </c>
      <c r="Y1377" s="11" t="s">
        <v>3425</v>
      </c>
      <c r="Z1377" s="11" t="s">
        <v>244</v>
      </c>
      <c r="AA1377" s="11" t="s">
        <v>150</v>
      </c>
      <c r="AB1377" s="5" t="s">
        <v>245</v>
      </c>
      <c r="AC1377" s="5" t="s">
        <v>246</v>
      </c>
      <c r="AD1377" s="11" t="s">
        <v>3426</v>
      </c>
      <c r="AE1377" s="23" t="n">
        <v>0.95</v>
      </c>
      <c r="AF1377" s="23" t="n">
        <v>0</v>
      </c>
      <c r="AG1377" s="23" t="n">
        <v>0.67</v>
      </c>
      <c r="AH1377" s="23" t="n">
        <v>0.47</v>
      </c>
      <c r="AI1377" s="23" t="n">
        <v>1</v>
      </c>
      <c r="AJ1377" s="23" t="n">
        <v>0.0024</v>
      </c>
      <c r="AK1377" s="23" t="n">
        <v>0.8</v>
      </c>
      <c r="AL1377" s="23" t="n">
        <v>0.3</v>
      </c>
      <c r="AM1377" s="16" t="n">
        <f aca="false">COUNTIFS($D$2:$D$2501,D1377,$G$2:$G$2501,"&gt;"&amp;G1377)+COUNTIFS($D$2:D1377,D1377,$G$2:G1377,G1377)</f>
        <v>289</v>
      </c>
      <c r="AN1377" s="5" t="str">
        <f aca="false">D1377&amp;"|"&amp;AM1377</f>
        <v>實體擷取與去識別化|289</v>
      </c>
    </row>
    <row r="1378" customFormat="false" ht="17.15" hidden="false" customHeight="false" outlineLevel="0" collapsed="false">
      <c r="A1378" s="16" t="n">
        <f aca="false">RANK(G1378,$G$2:$G$2501)+COUNTIF($G$2:G1378,G1378)-1</f>
        <v>1377</v>
      </c>
      <c r="B1378" s="11" t="s">
        <v>3427</v>
      </c>
      <c r="C1378" s="11" t="s">
        <v>1438</v>
      </c>
      <c r="D1378" s="5" t="s">
        <v>56</v>
      </c>
      <c r="E1378" s="5" t="s">
        <v>57</v>
      </c>
      <c r="F1378" s="5"/>
      <c r="G1378" s="22" t="n">
        <f aca="false">ROUND(SUM(I1378:P1378),3)</f>
        <v>61.112</v>
      </c>
      <c r="H1378" s="5" t="str">
        <f aca="false">IF(G1378&gt;=評分方法!$C$16,"優先評估",IF(G1378&gt;=評分方法!$C$17,"列入候選",IF(G1378&gt;=評分方法!$C$18,"特定情境","不建議")))</f>
        <v>特定情境</v>
      </c>
      <c r="I1378" s="15" t="n">
        <f aca="false">AE1378*評分方法!$C$5</f>
        <v>25.5</v>
      </c>
      <c r="J1378" s="15" t="n">
        <f aca="false">AF1378*評分方法!$C$6</f>
        <v>0</v>
      </c>
      <c r="K1378" s="15" t="n">
        <f aca="false">AG1378*評分方法!$C$7</f>
        <v>10.05</v>
      </c>
      <c r="L1378" s="15" t="n">
        <f aca="false">AH1378*評分方法!$C$8</f>
        <v>13.05</v>
      </c>
      <c r="M1378" s="15" t="n">
        <f aca="false">AI1378*評分方法!$C$9</f>
        <v>2</v>
      </c>
      <c r="N1378" s="15" t="n">
        <f aca="false">AJ1378*評分方法!$C$10</f>
        <v>6.512</v>
      </c>
      <c r="O1378" s="15" t="n">
        <f aca="false">AK1378*評分方法!$C$11</f>
        <v>1</v>
      </c>
      <c r="P1378" s="15" t="n">
        <f aca="false">AL1378*評分方法!$C$12</f>
        <v>3</v>
      </c>
      <c r="Q1378" s="6" t="n">
        <v>758356</v>
      </c>
      <c r="R1378" s="6" t="n">
        <v>7248023552</v>
      </c>
      <c r="S1378" s="11" t="s">
        <v>254</v>
      </c>
      <c r="T1378" s="5"/>
      <c r="U1378" s="5" t="s">
        <v>375</v>
      </c>
      <c r="V1378" s="11" t="s">
        <v>333</v>
      </c>
      <c r="W1378" s="5" t="s">
        <v>207</v>
      </c>
      <c r="X1378" s="5" t="s">
        <v>371</v>
      </c>
      <c r="Y1378" s="11" t="s">
        <v>3428</v>
      </c>
      <c r="Z1378" s="11" t="s">
        <v>244</v>
      </c>
      <c r="AA1378" s="11" t="s">
        <v>155</v>
      </c>
      <c r="AB1378" s="5" t="s">
        <v>245</v>
      </c>
      <c r="AC1378" s="5" t="s">
        <v>464</v>
      </c>
      <c r="AD1378" s="11" t="s">
        <v>3429</v>
      </c>
      <c r="AE1378" s="23" t="n">
        <v>0.85</v>
      </c>
      <c r="AF1378" s="23" t="n">
        <v>0</v>
      </c>
      <c r="AG1378" s="23" t="n">
        <v>0.67</v>
      </c>
      <c r="AH1378" s="23" t="n">
        <v>0.87</v>
      </c>
      <c r="AI1378" s="23" t="n">
        <v>0.2</v>
      </c>
      <c r="AJ1378" s="23" t="n">
        <v>0.6512</v>
      </c>
      <c r="AK1378" s="23" t="n">
        <v>0.2</v>
      </c>
      <c r="AL1378" s="23" t="n">
        <v>0.6</v>
      </c>
      <c r="AM1378" s="16" t="n">
        <f aca="false">COUNTIFS($D$2:$D$2501,D1378,$G$2:$G$2501,"&gt;"&amp;G1378)+COUNTIFS($D$2:D1378,D1378,$G$2:G1378,G1378)</f>
        <v>634</v>
      </c>
      <c r="AN1378" s="5" t="str">
        <f aca="false">D1378&amp;"|"&amp;AM1378</f>
        <v>分析與報告生成|634</v>
      </c>
    </row>
    <row r="1379" customFormat="false" ht="17.15" hidden="false" customHeight="false" outlineLevel="0" collapsed="false">
      <c r="A1379" s="16" t="n">
        <f aca="false">RANK(G1379,$G$2:$G$2501)+COUNTIF($G$2:G1379,G1379)-1</f>
        <v>1378</v>
      </c>
      <c r="B1379" s="11" t="s">
        <v>3430</v>
      </c>
      <c r="C1379" s="11" t="s">
        <v>3431</v>
      </c>
      <c r="D1379" s="5" t="s">
        <v>66</v>
      </c>
      <c r="E1379" s="5" t="s">
        <v>67</v>
      </c>
      <c r="F1379" s="5"/>
      <c r="G1379" s="22" t="n">
        <f aca="false">ROUND(SUM(I1379:P1379),3)</f>
        <v>61.098</v>
      </c>
      <c r="H1379" s="5" t="str">
        <f aca="false">IF(G1379&gt;=評分方法!$C$16,"優先評估",IF(G1379&gt;=評分方法!$C$17,"列入候選",IF(G1379&gt;=評分方法!$C$18,"特定情境","不建議")))</f>
        <v>特定情境</v>
      </c>
      <c r="I1379" s="15" t="n">
        <f aca="false">AE1379*評分方法!$C$5</f>
        <v>30</v>
      </c>
      <c r="J1379" s="15" t="n">
        <f aca="false">AF1379*評分方法!$C$6</f>
        <v>0</v>
      </c>
      <c r="K1379" s="15" t="n">
        <f aca="false">AG1379*評分方法!$C$7</f>
        <v>4.95</v>
      </c>
      <c r="L1379" s="15" t="n">
        <f aca="false">AH1379*評分方法!$C$8</f>
        <v>15</v>
      </c>
      <c r="M1379" s="15" t="n">
        <f aca="false">AI1379*評分方法!$C$9</f>
        <v>10</v>
      </c>
      <c r="N1379" s="15" t="n">
        <f aca="false">AJ1379*評分方法!$C$10</f>
        <v>0.148</v>
      </c>
      <c r="O1379" s="15" t="n">
        <f aca="false">AK1379*評分方法!$C$11</f>
        <v>1</v>
      </c>
      <c r="P1379" s="15" t="n">
        <f aca="false">AL1379*評分方法!$C$12</f>
        <v>0</v>
      </c>
      <c r="Q1379" s="6" t="n">
        <v>120159</v>
      </c>
      <c r="R1379" s="6" t="n">
        <v>109483778</v>
      </c>
      <c r="S1379" s="11" t="s">
        <v>238</v>
      </c>
      <c r="T1379" s="11" t="s">
        <v>3175</v>
      </c>
      <c r="U1379" s="5" t="s">
        <v>240</v>
      </c>
      <c r="V1379" s="11" t="s">
        <v>324</v>
      </c>
      <c r="W1379" s="5" t="s">
        <v>334</v>
      </c>
      <c r="X1379" s="5" t="s">
        <v>242</v>
      </c>
      <c r="Y1379" s="5"/>
      <c r="Z1379" s="5"/>
      <c r="AA1379" s="11" t="s">
        <v>149</v>
      </c>
      <c r="AB1379" s="5" t="s">
        <v>245</v>
      </c>
      <c r="AC1379" s="5"/>
      <c r="AD1379" s="11" t="s">
        <v>3432</v>
      </c>
      <c r="AE1379" s="23" t="n">
        <v>1</v>
      </c>
      <c r="AF1379" s="23" t="n">
        <v>0</v>
      </c>
      <c r="AG1379" s="23" t="n">
        <v>0.33</v>
      </c>
      <c r="AH1379" s="23" t="n">
        <v>1</v>
      </c>
      <c r="AI1379" s="23" t="n">
        <v>1</v>
      </c>
      <c r="AJ1379" s="23" t="n">
        <v>0.0148</v>
      </c>
      <c r="AK1379" s="23" t="n">
        <v>0.2</v>
      </c>
      <c r="AL1379" s="23" t="n">
        <v>0</v>
      </c>
      <c r="AM1379" s="16" t="n">
        <f aca="false">COUNTIFS($D$2:$D$2501,D1379,$G$2:$G$2501,"&gt;"&amp;G1379)+COUNTIFS($D$2:D1379,D1379,$G$2:G1379,G1379)</f>
        <v>42</v>
      </c>
      <c r="AN1379" s="5" t="str">
        <f aca="false">D1379&amp;"|"&amp;AM1379</f>
        <v>分類與偵測|42</v>
      </c>
    </row>
    <row r="1380" customFormat="false" ht="17.15" hidden="false" customHeight="false" outlineLevel="0" collapsed="false">
      <c r="A1380" s="16" t="n">
        <f aca="false">RANK(G1380,$G$2:$G$2501)+COUNTIF($G$2:G1380,G1380)-1</f>
        <v>1379</v>
      </c>
      <c r="B1380" s="11" t="s">
        <v>3433</v>
      </c>
      <c r="C1380" s="11" t="s">
        <v>3434</v>
      </c>
      <c r="D1380" s="5" t="s">
        <v>56</v>
      </c>
      <c r="E1380" s="5" t="s">
        <v>57</v>
      </c>
      <c r="F1380" s="5"/>
      <c r="G1380" s="22" t="n">
        <f aca="false">ROUND(SUM(I1380:P1380),3)</f>
        <v>61.096</v>
      </c>
      <c r="H1380" s="5" t="str">
        <f aca="false">IF(G1380&gt;=評分方法!$C$16,"優先評估",IF(G1380&gt;=評分方法!$C$17,"列入候選",IF(G1380&gt;=評分方法!$C$18,"特定情境","不建議")))</f>
        <v>特定情境</v>
      </c>
      <c r="I1380" s="15" t="n">
        <f aca="false">AE1380*評分方法!$C$5</f>
        <v>25.5</v>
      </c>
      <c r="J1380" s="15" t="n">
        <f aca="false">AF1380*評分方法!$C$6</f>
        <v>0</v>
      </c>
      <c r="K1380" s="15" t="n">
        <f aca="false">AG1380*評分方法!$C$7</f>
        <v>4.95</v>
      </c>
      <c r="L1380" s="15" t="n">
        <f aca="false">AH1380*評分方法!$C$8</f>
        <v>13.05</v>
      </c>
      <c r="M1380" s="15" t="n">
        <f aca="false">AI1380*評分方法!$C$9</f>
        <v>10</v>
      </c>
      <c r="N1380" s="15" t="n">
        <f aca="false">AJ1380*評分方法!$C$10</f>
        <v>5.096</v>
      </c>
      <c r="O1380" s="15" t="n">
        <f aca="false">AK1380*評分方法!$C$11</f>
        <v>2.5</v>
      </c>
      <c r="P1380" s="15" t="n">
        <f aca="false">AL1380*評分方法!$C$12</f>
        <v>0</v>
      </c>
      <c r="Q1380" s="6" t="n">
        <v>546120</v>
      </c>
      <c r="R1380" s="6" t="n">
        <v>7241744384</v>
      </c>
      <c r="S1380" s="11" t="s">
        <v>254</v>
      </c>
      <c r="T1380" s="11" t="s">
        <v>239</v>
      </c>
      <c r="U1380" s="5" t="s">
        <v>240</v>
      </c>
      <c r="V1380" s="11" t="s">
        <v>261</v>
      </c>
      <c r="W1380" s="5" t="s">
        <v>334</v>
      </c>
      <c r="X1380" s="5" t="s">
        <v>242</v>
      </c>
      <c r="Y1380" s="11" t="s">
        <v>3435</v>
      </c>
      <c r="Z1380" s="11" t="s">
        <v>270</v>
      </c>
      <c r="AA1380" s="11" t="s">
        <v>155</v>
      </c>
      <c r="AB1380" s="5" t="s">
        <v>328</v>
      </c>
      <c r="AC1380" s="5" t="s">
        <v>400</v>
      </c>
      <c r="AD1380" s="11" t="s">
        <v>3436</v>
      </c>
      <c r="AE1380" s="23" t="n">
        <v>0.85</v>
      </c>
      <c r="AF1380" s="23" t="n">
        <v>0</v>
      </c>
      <c r="AG1380" s="23" t="n">
        <v>0.33</v>
      </c>
      <c r="AH1380" s="23" t="n">
        <v>0.87</v>
      </c>
      <c r="AI1380" s="23" t="n">
        <v>1</v>
      </c>
      <c r="AJ1380" s="23" t="n">
        <v>0.5096</v>
      </c>
      <c r="AK1380" s="23" t="n">
        <v>0.5</v>
      </c>
      <c r="AL1380" s="23" t="n">
        <v>0</v>
      </c>
      <c r="AM1380" s="16" t="n">
        <f aca="false">COUNTIFS($D$2:$D$2501,D1380,$G$2:$G$2501,"&gt;"&amp;G1380)+COUNTIFS($D$2:D1380,D1380,$G$2:G1380,G1380)</f>
        <v>635</v>
      </c>
      <c r="AN1380" s="5" t="str">
        <f aca="false">D1380&amp;"|"&amp;AM1380</f>
        <v>分析與報告生成|635</v>
      </c>
    </row>
    <row r="1381" customFormat="false" ht="17.15" hidden="false" customHeight="false" outlineLevel="0" collapsed="false">
      <c r="A1381" s="16" t="n">
        <f aca="false">RANK(G1381,$G$2:$G$2501)+COUNTIF($G$2:G1381,G1381)-1</f>
        <v>1380</v>
      </c>
      <c r="B1381" s="11" t="s">
        <v>3437</v>
      </c>
      <c r="C1381" s="11" t="s">
        <v>3438</v>
      </c>
      <c r="D1381" s="5" t="s">
        <v>58</v>
      </c>
      <c r="E1381" s="5" t="s">
        <v>59</v>
      </c>
      <c r="F1381" s="5"/>
      <c r="G1381" s="22" t="n">
        <f aca="false">ROUND(SUM(I1381:P1381),3)</f>
        <v>61.05</v>
      </c>
      <c r="H1381" s="5" t="str">
        <f aca="false">IF(G1381&gt;=評分方法!$C$16,"優先評估",IF(G1381&gt;=評分方法!$C$17,"列入候選",IF(G1381&gt;=評分方法!$C$18,"特定情境","不建議")))</f>
        <v>特定情境</v>
      </c>
      <c r="I1381" s="15" t="n">
        <f aca="false">AE1381*評分方法!$C$5</f>
        <v>28.5</v>
      </c>
      <c r="J1381" s="15" t="n">
        <f aca="false">AF1381*評分方法!$C$6</f>
        <v>0</v>
      </c>
      <c r="K1381" s="15" t="n">
        <f aca="false">AG1381*評分方法!$C$7</f>
        <v>4.95</v>
      </c>
      <c r="L1381" s="15" t="n">
        <f aca="false">AH1381*評分方法!$C$8</f>
        <v>15</v>
      </c>
      <c r="M1381" s="15" t="n">
        <f aca="false">AI1381*評分方法!$C$9</f>
        <v>10</v>
      </c>
      <c r="N1381" s="15" t="n">
        <f aca="false">AJ1381*評分方法!$C$10</f>
        <v>0.1</v>
      </c>
      <c r="O1381" s="15" t="n">
        <f aca="false">AK1381*評分方法!$C$11</f>
        <v>1</v>
      </c>
      <c r="P1381" s="15" t="n">
        <f aca="false">AL1381*評分方法!$C$12</f>
        <v>1.5</v>
      </c>
      <c r="Q1381" s="6" t="n">
        <v>119320</v>
      </c>
      <c r="R1381" s="6" t="n">
        <v>109997607</v>
      </c>
      <c r="S1381" s="11" t="s">
        <v>238</v>
      </c>
      <c r="T1381" s="11" t="s">
        <v>278</v>
      </c>
      <c r="U1381" s="5" t="s">
        <v>240</v>
      </c>
      <c r="V1381" s="11" t="s">
        <v>324</v>
      </c>
      <c r="W1381" s="5" t="s">
        <v>334</v>
      </c>
      <c r="X1381" s="5" t="s">
        <v>255</v>
      </c>
      <c r="Y1381" s="11" t="s">
        <v>3439</v>
      </c>
      <c r="Z1381" s="11" t="s">
        <v>270</v>
      </c>
      <c r="AA1381" s="11" t="s">
        <v>150</v>
      </c>
      <c r="AB1381" s="5" t="s">
        <v>245</v>
      </c>
      <c r="AC1381" s="5"/>
      <c r="AD1381" s="11" t="s">
        <v>3440</v>
      </c>
      <c r="AE1381" s="23" t="n">
        <v>0.95</v>
      </c>
      <c r="AF1381" s="23" t="n">
        <v>0</v>
      </c>
      <c r="AG1381" s="23" t="n">
        <v>0.33</v>
      </c>
      <c r="AH1381" s="23" t="n">
        <v>1</v>
      </c>
      <c r="AI1381" s="23" t="n">
        <v>1</v>
      </c>
      <c r="AJ1381" s="23" t="n">
        <v>0.01</v>
      </c>
      <c r="AK1381" s="23" t="n">
        <v>0.2</v>
      </c>
      <c r="AL1381" s="23" t="n">
        <v>0.3</v>
      </c>
      <c r="AM1381" s="16" t="n">
        <f aca="false">COUNTIFS($D$2:$D$2501,D1381,$G$2:$G$2501,"&gt;"&amp;G1381)+COUNTIFS($D$2:D1381,D1381,$G$2:G1381,G1381)</f>
        <v>290</v>
      </c>
      <c r="AN1381" s="5" t="str">
        <f aca="false">D1381&amp;"|"&amp;AM1381</f>
        <v>實體擷取與去識別化|290</v>
      </c>
    </row>
    <row r="1382" customFormat="false" ht="17.15" hidden="false" customHeight="false" outlineLevel="0" collapsed="false">
      <c r="A1382" s="16" t="n">
        <f aca="false">RANK(G1382,$G$2:$G$2501)+COUNTIF($G$2:G1382,G1382)-1</f>
        <v>1381</v>
      </c>
      <c r="B1382" s="11" t="s">
        <v>3441</v>
      </c>
      <c r="C1382" s="11" t="s">
        <v>1669</v>
      </c>
      <c r="D1382" s="5" t="s">
        <v>54</v>
      </c>
      <c r="E1382" s="5" t="s">
        <v>55</v>
      </c>
      <c r="F1382" s="5"/>
      <c r="G1382" s="22" t="n">
        <f aca="false">ROUND(SUM(I1382:P1382),3)</f>
        <v>61.038</v>
      </c>
      <c r="H1382" s="5" t="str">
        <f aca="false">IF(G1382&gt;=評分方法!$C$16,"優先評估",IF(G1382&gt;=評分方法!$C$17,"列入候選",IF(G1382&gt;=評分方法!$C$18,"特定情境","不建議")))</f>
        <v>特定情境</v>
      </c>
      <c r="I1382" s="15" t="n">
        <f aca="false">AE1382*評分方法!$C$5</f>
        <v>27</v>
      </c>
      <c r="J1382" s="15" t="n">
        <f aca="false">AF1382*評分方法!$C$6</f>
        <v>0</v>
      </c>
      <c r="K1382" s="15" t="n">
        <f aca="false">AG1382*評分方法!$C$7</f>
        <v>4.95</v>
      </c>
      <c r="L1382" s="15" t="n">
        <f aca="false">AH1382*評分方法!$C$8</f>
        <v>15</v>
      </c>
      <c r="M1382" s="15" t="n">
        <f aca="false">AI1382*評分方法!$C$9</f>
        <v>10</v>
      </c>
      <c r="N1382" s="15" t="n">
        <f aca="false">AJ1382*評分方法!$C$10</f>
        <v>1.588</v>
      </c>
      <c r="O1382" s="15" t="n">
        <f aca="false">AK1382*評分方法!$C$11</f>
        <v>2.5</v>
      </c>
      <c r="P1382" s="15" t="n">
        <f aca="false">AL1382*評分方法!$C$12</f>
        <v>0</v>
      </c>
      <c r="Q1382" s="6" t="n">
        <v>184214</v>
      </c>
      <c r="R1382" s="6" t="n">
        <v>109486464</v>
      </c>
      <c r="S1382" s="11" t="s">
        <v>238</v>
      </c>
      <c r="T1382" s="11" t="s">
        <v>278</v>
      </c>
      <c r="U1382" s="5" t="s">
        <v>240</v>
      </c>
      <c r="V1382" s="11" t="s">
        <v>261</v>
      </c>
      <c r="W1382" s="5" t="s">
        <v>334</v>
      </c>
      <c r="X1382" s="5" t="s">
        <v>242</v>
      </c>
      <c r="Y1382" s="11" t="s">
        <v>441</v>
      </c>
      <c r="Z1382" s="11" t="s">
        <v>270</v>
      </c>
      <c r="AA1382" s="11" t="s">
        <v>152</v>
      </c>
      <c r="AB1382" s="5" t="s">
        <v>245</v>
      </c>
      <c r="AC1382" s="5"/>
      <c r="AD1382" s="11" t="s">
        <v>3442</v>
      </c>
      <c r="AE1382" s="23" t="n">
        <v>0.9</v>
      </c>
      <c r="AF1382" s="23" t="n">
        <v>0</v>
      </c>
      <c r="AG1382" s="23" t="n">
        <v>0.33</v>
      </c>
      <c r="AH1382" s="23" t="n">
        <v>1</v>
      </c>
      <c r="AI1382" s="23" t="n">
        <v>1</v>
      </c>
      <c r="AJ1382" s="23" t="n">
        <v>0.1588</v>
      </c>
      <c r="AK1382" s="23" t="n">
        <v>0.5</v>
      </c>
      <c r="AL1382" s="23" t="n">
        <v>0</v>
      </c>
      <c r="AM1382" s="16" t="n">
        <f aca="false">COUNTIFS($D$2:$D$2501,D1382,$G$2:$G$2501,"&gt;"&amp;G1382)+COUNTIFS($D$2:D1382,D1382,$G$2:G1382,G1382)</f>
        <v>186</v>
      </c>
      <c r="AN1382" s="5" t="str">
        <f aca="false">D1382&amp;"|"&amp;AM1382</f>
        <v>檢索與情資關聯|186</v>
      </c>
    </row>
    <row r="1383" customFormat="false" ht="17.15" hidden="false" customHeight="false" outlineLevel="0" collapsed="false">
      <c r="A1383" s="16" t="n">
        <f aca="false">RANK(G1383,$G$2:$G$2501)+COUNTIF($G$2:G1383,G1383)-1</f>
        <v>1382</v>
      </c>
      <c r="B1383" s="11" t="s">
        <v>3443</v>
      </c>
      <c r="C1383" s="11" t="s">
        <v>3444</v>
      </c>
      <c r="D1383" s="5" t="s">
        <v>58</v>
      </c>
      <c r="E1383" s="5" t="s">
        <v>59</v>
      </c>
      <c r="F1383" s="5"/>
      <c r="G1383" s="22" t="n">
        <f aca="false">ROUND(SUM(I1383:P1383),3)</f>
        <v>61.038</v>
      </c>
      <c r="H1383" s="5" t="str">
        <f aca="false">IF(G1383&gt;=評分方法!$C$16,"優先評估",IF(G1383&gt;=評分方法!$C$17,"列入候選",IF(G1383&gt;=評分方法!$C$18,"特定情境","不建議")))</f>
        <v>特定情境</v>
      </c>
      <c r="I1383" s="15" t="n">
        <f aca="false">AE1383*評分方法!$C$5</f>
        <v>28.5</v>
      </c>
      <c r="J1383" s="15" t="n">
        <f aca="false">AF1383*評分方法!$C$6</f>
        <v>0</v>
      </c>
      <c r="K1383" s="15" t="n">
        <f aca="false">AG1383*評分方法!$C$7</f>
        <v>4.95</v>
      </c>
      <c r="L1383" s="15" t="n">
        <f aca="false">AH1383*評分方法!$C$8</f>
        <v>15</v>
      </c>
      <c r="M1383" s="15" t="n">
        <f aca="false">AI1383*評分方法!$C$9</f>
        <v>10</v>
      </c>
      <c r="N1383" s="15" t="n">
        <f aca="false">AJ1383*評分方法!$C$10</f>
        <v>0.088</v>
      </c>
      <c r="O1383" s="15" t="n">
        <f aca="false">AK1383*評分方法!$C$11</f>
        <v>2.5</v>
      </c>
      <c r="P1383" s="15" t="n">
        <f aca="false">AL1383*評分方法!$C$12</f>
        <v>0</v>
      </c>
      <c r="Q1383" s="6" t="n">
        <v>119081</v>
      </c>
      <c r="R1383" s="6" t="n">
        <v>149606402</v>
      </c>
      <c r="S1383" s="11" t="s">
        <v>238</v>
      </c>
      <c r="T1383" s="11" t="s">
        <v>278</v>
      </c>
      <c r="U1383" s="5" t="s">
        <v>240</v>
      </c>
      <c r="V1383" s="11" t="s">
        <v>261</v>
      </c>
      <c r="W1383" s="5" t="s">
        <v>334</v>
      </c>
      <c r="X1383" s="5" t="s">
        <v>242</v>
      </c>
      <c r="Y1383" s="11" t="s">
        <v>350</v>
      </c>
      <c r="Z1383" s="11" t="s">
        <v>270</v>
      </c>
      <c r="AA1383" s="11" t="s">
        <v>150</v>
      </c>
      <c r="AB1383" s="5" t="s">
        <v>245</v>
      </c>
      <c r="AC1383" s="5"/>
      <c r="AD1383" s="11" t="s">
        <v>3445</v>
      </c>
      <c r="AE1383" s="23" t="n">
        <v>0.95</v>
      </c>
      <c r="AF1383" s="23" t="n">
        <v>0</v>
      </c>
      <c r="AG1383" s="23" t="n">
        <v>0.33</v>
      </c>
      <c r="AH1383" s="23" t="n">
        <v>1</v>
      </c>
      <c r="AI1383" s="23" t="n">
        <v>1</v>
      </c>
      <c r="AJ1383" s="23" t="n">
        <v>0.0088</v>
      </c>
      <c r="AK1383" s="23" t="n">
        <v>0.5</v>
      </c>
      <c r="AL1383" s="23" t="n">
        <v>0</v>
      </c>
      <c r="AM1383" s="16" t="n">
        <f aca="false">COUNTIFS($D$2:$D$2501,D1383,$G$2:$G$2501,"&gt;"&amp;G1383)+COUNTIFS($D$2:D1383,D1383,$G$2:G1383,G1383)</f>
        <v>291</v>
      </c>
      <c r="AN1383" s="5" t="str">
        <f aca="false">D1383&amp;"|"&amp;AM1383</f>
        <v>實體擷取與去識別化|291</v>
      </c>
    </row>
    <row r="1384" customFormat="false" ht="17.15" hidden="false" customHeight="false" outlineLevel="0" collapsed="false">
      <c r="A1384" s="16" t="n">
        <f aca="false">RANK(G1384,$G$2:$G$2501)+COUNTIF($G$2:G1384,G1384)-1</f>
        <v>1383</v>
      </c>
      <c r="B1384" s="11" t="s">
        <v>3446</v>
      </c>
      <c r="C1384" s="11" t="s">
        <v>368</v>
      </c>
      <c r="D1384" s="5" t="s">
        <v>56</v>
      </c>
      <c r="E1384" s="5" t="s">
        <v>57</v>
      </c>
      <c r="F1384" s="5"/>
      <c r="G1384" s="22" t="n">
        <f aca="false">ROUND(SUM(I1384:P1384),3)</f>
        <v>61.032</v>
      </c>
      <c r="H1384" s="5" t="str">
        <f aca="false">IF(G1384&gt;=評分方法!$C$16,"優先評估",IF(G1384&gt;=評分方法!$C$17,"列入候選",IF(G1384&gt;=評分方法!$C$18,"特定情境","不建議")))</f>
        <v>特定情境</v>
      </c>
      <c r="I1384" s="15" t="n">
        <f aca="false">AE1384*評分方法!$C$5</f>
        <v>25.5</v>
      </c>
      <c r="J1384" s="15" t="n">
        <f aca="false">AF1384*評分方法!$C$6</f>
        <v>0</v>
      </c>
      <c r="K1384" s="15" t="n">
        <f aca="false">AG1384*評分方法!$C$7</f>
        <v>15</v>
      </c>
      <c r="L1384" s="15" t="n">
        <f aca="false">AH1384*評分方法!$C$8</f>
        <v>9</v>
      </c>
      <c r="M1384" s="15" t="n">
        <f aca="false">AI1384*評分方法!$C$9</f>
        <v>6</v>
      </c>
      <c r="N1384" s="15" t="n">
        <f aca="false">AJ1384*評分方法!$C$10</f>
        <v>0.032</v>
      </c>
      <c r="O1384" s="15" t="n">
        <f aca="false">AK1384*評分方法!$C$11</f>
        <v>2.5</v>
      </c>
      <c r="P1384" s="15" t="n">
        <f aca="false">AL1384*評分方法!$C$12</f>
        <v>3</v>
      </c>
      <c r="Q1384" s="6" t="n">
        <v>118018</v>
      </c>
      <c r="R1384" s="6" t="n">
        <v>27432406640</v>
      </c>
      <c r="S1384" s="11" t="s">
        <v>389</v>
      </c>
      <c r="T1384" s="11" t="s">
        <v>658</v>
      </c>
      <c r="U1384" s="5" t="s">
        <v>260</v>
      </c>
      <c r="V1384" s="11" t="s">
        <v>261</v>
      </c>
      <c r="W1384" s="5" t="s">
        <v>205</v>
      </c>
      <c r="X1384" s="5" t="s">
        <v>371</v>
      </c>
      <c r="Y1384" s="11" t="s">
        <v>1344</v>
      </c>
      <c r="Z1384" s="11" t="s">
        <v>270</v>
      </c>
      <c r="AA1384" s="11" t="s">
        <v>156</v>
      </c>
      <c r="AB1384" s="5" t="s">
        <v>245</v>
      </c>
      <c r="AC1384" s="5" t="s">
        <v>262</v>
      </c>
      <c r="AD1384" s="11" t="s">
        <v>3447</v>
      </c>
      <c r="AE1384" s="23" t="n">
        <v>0.85</v>
      </c>
      <c r="AF1384" s="23" t="n">
        <v>0</v>
      </c>
      <c r="AG1384" s="23" t="n">
        <v>1</v>
      </c>
      <c r="AH1384" s="23" t="n">
        <v>0.6</v>
      </c>
      <c r="AI1384" s="23" t="n">
        <v>0.6</v>
      </c>
      <c r="AJ1384" s="23" t="n">
        <v>0.0032</v>
      </c>
      <c r="AK1384" s="23" t="n">
        <v>0.5</v>
      </c>
      <c r="AL1384" s="23" t="n">
        <v>0.6</v>
      </c>
      <c r="AM1384" s="16" t="n">
        <f aca="false">COUNTIFS($D$2:$D$2501,D1384,$G$2:$G$2501,"&gt;"&amp;G1384)+COUNTIFS($D$2:D1384,D1384,$G$2:G1384,G1384)</f>
        <v>636</v>
      </c>
      <c r="AN1384" s="5" t="str">
        <f aca="false">D1384&amp;"|"&amp;AM1384</f>
        <v>分析與報告生成|636</v>
      </c>
    </row>
    <row r="1385" customFormat="false" ht="17.15" hidden="false" customHeight="false" outlineLevel="0" collapsed="false">
      <c r="A1385" s="16" t="n">
        <f aca="false">RANK(G1385,$G$2:$G$2501)+COUNTIF($G$2:G1385,G1385)-1</f>
        <v>1384</v>
      </c>
      <c r="B1385" s="11" t="s">
        <v>3448</v>
      </c>
      <c r="C1385" s="11" t="s">
        <v>308</v>
      </c>
      <c r="D1385" s="5" t="s">
        <v>74</v>
      </c>
      <c r="E1385" s="5" t="s">
        <v>75</v>
      </c>
      <c r="F1385" s="5"/>
      <c r="G1385" s="22" t="n">
        <f aca="false">ROUND(SUM(I1385:P1385),3)</f>
        <v>61.018</v>
      </c>
      <c r="H1385" s="5" t="str">
        <f aca="false">IF(G1385&gt;=評分方法!$C$16,"優先評估",IF(G1385&gt;=評分方法!$C$17,"列入候選",IF(G1385&gt;=評分方法!$C$18,"特定情境","不建議")))</f>
        <v>特定情境</v>
      </c>
      <c r="I1385" s="15" t="n">
        <f aca="false">AE1385*評分方法!$C$5</f>
        <v>13.5</v>
      </c>
      <c r="J1385" s="15" t="n">
        <f aca="false">AF1385*評分方法!$C$6</f>
        <v>0</v>
      </c>
      <c r="K1385" s="15" t="n">
        <f aca="false">AG1385*評分方法!$C$7</f>
        <v>15</v>
      </c>
      <c r="L1385" s="15" t="n">
        <f aca="false">AH1385*評分方法!$C$8</f>
        <v>13.05</v>
      </c>
      <c r="M1385" s="15" t="n">
        <f aca="false">AI1385*評分方法!$C$9</f>
        <v>10</v>
      </c>
      <c r="N1385" s="15" t="n">
        <f aca="false">AJ1385*評分方法!$C$10</f>
        <v>6.968</v>
      </c>
      <c r="O1385" s="15" t="n">
        <f aca="false">AK1385*評分方法!$C$11</f>
        <v>1</v>
      </c>
      <c r="P1385" s="15" t="n">
        <f aca="false">AL1385*評分方法!$C$12</f>
        <v>1.5</v>
      </c>
      <c r="Q1385" s="6" t="n">
        <v>900357</v>
      </c>
      <c r="R1385" s="6" t="n">
        <v>1664485376</v>
      </c>
      <c r="S1385" s="11" t="s">
        <v>254</v>
      </c>
      <c r="T1385" s="11" t="s">
        <v>278</v>
      </c>
      <c r="U1385" s="5" t="s">
        <v>240</v>
      </c>
      <c r="V1385" s="11" t="s">
        <v>324</v>
      </c>
      <c r="W1385" s="5" t="s">
        <v>205</v>
      </c>
      <c r="X1385" s="5" t="s">
        <v>255</v>
      </c>
      <c r="Y1385" s="5"/>
      <c r="Z1385" s="5"/>
      <c r="AA1385" s="11" t="s">
        <v>163</v>
      </c>
      <c r="AB1385" s="5" t="s">
        <v>245</v>
      </c>
      <c r="AC1385" s="5"/>
      <c r="AD1385" s="11" t="s">
        <v>3449</v>
      </c>
      <c r="AE1385" s="23" t="n">
        <v>0.45</v>
      </c>
      <c r="AF1385" s="23" t="n">
        <v>0</v>
      </c>
      <c r="AG1385" s="23" t="n">
        <v>1</v>
      </c>
      <c r="AH1385" s="23" t="n">
        <v>0.87</v>
      </c>
      <c r="AI1385" s="23" t="n">
        <v>1</v>
      </c>
      <c r="AJ1385" s="23" t="n">
        <v>0.6968</v>
      </c>
      <c r="AK1385" s="23" t="n">
        <v>0.2</v>
      </c>
      <c r="AL1385" s="23" t="n">
        <v>0.3</v>
      </c>
      <c r="AM1385" s="16" t="n">
        <f aca="false">COUNTIFS($D$2:$D$2501,D1385,$G$2:$G$2501,"&gt;"&amp;G1385)+COUNTIFS($D$2:D1385,D1385,$G$2:G1385,G1385)</f>
        <v>75</v>
      </c>
      <c r="AN1385" s="5" t="str">
        <f aca="false">D1385&amp;"|"&amp;AM1385</f>
        <v>文件與影像辨識|75</v>
      </c>
    </row>
    <row r="1386" customFormat="false" ht="17.15" hidden="false" customHeight="false" outlineLevel="0" collapsed="false">
      <c r="A1386" s="16" t="n">
        <f aca="false">RANK(G1386,$G$2:$G$2501)+COUNTIF($G$2:G1386,G1386)-1</f>
        <v>1385</v>
      </c>
      <c r="B1386" s="11" t="s">
        <v>3450</v>
      </c>
      <c r="C1386" s="11" t="s">
        <v>368</v>
      </c>
      <c r="D1386" s="5" t="s">
        <v>74</v>
      </c>
      <c r="E1386" s="5" t="s">
        <v>75</v>
      </c>
      <c r="F1386" s="5"/>
      <c r="G1386" s="22" t="n">
        <f aca="false">ROUND(SUM(I1386:P1386),3)</f>
        <v>61.008</v>
      </c>
      <c r="H1386" s="5" t="str">
        <f aca="false">IF(G1386&gt;=評分方法!$C$16,"優先評估",IF(G1386&gt;=評分方法!$C$17,"列入候選",IF(G1386&gt;=評分方法!$C$18,"特定情境","不建議")))</f>
        <v>特定情境</v>
      </c>
      <c r="I1386" s="15" t="n">
        <f aca="false">AE1386*評分方法!$C$5</f>
        <v>7.5</v>
      </c>
      <c r="J1386" s="15" t="n">
        <f aca="false">AF1386*評分方法!$C$6</f>
        <v>0</v>
      </c>
      <c r="K1386" s="15" t="n">
        <f aca="false">AG1386*評分方法!$C$7</f>
        <v>15</v>
      </c>
      <c r="L1386" s="15" t="n">
        <f aca="false">AH1386*評分方法!$C$8</f>
        <v>15</v>
      </c>
      <c r="M1386" s="15" t="n">
        <f aca="false">AI1386*評分方法!$C$9</f>
        <v>10</v>
      </c>
      <c r="N1386" s="15" t="n">
        <f aca="false">AJ1386*評分方法!$C$10</f>
        <v>9.508</v>
      </c>
      <c r="O1386" s="15" t="n">
        <f aca="false">AK1386*評分方法!$C$11</f>
        <v>2.5</v>
      </c>
      <c r="P1386" s="15" t="n">
        <f aca="false">AL1386*評分方法!$C$12</f>
        <v>1.5</v>
      </c>
      <c r="Q1386" s="6" t="n">
        <v>9002057</v>
      </c>
      <c r="R1386" s="6" t="n">
        <v>154966791</v>
      </c>
      <c r="S1386" s="11" t="s">
        <v>238</v>
      </c>
      <c r="T1386" s="11" t="s">
        <v>239</v>
      </c>
      <c r="U1386" s="5" t="s">
        <v>240</v>
      </c>
      <c r="V1386" s="11" t="s">
        <v>324</v>
      </c>
      <c r="W1386" s="5" t="s">
        <v>205</v>
      </c>
      <c r="X1386" s="5" t="s">
        <v>255</v>
      </c>
      <c r="Y1386" s="5"/>
      <c r="Z1386" s="5"/>
      <c r="AA1386" s="11" t="s">
        <v>180</v>
      </c>
      <c r="AB1386" s="5" t="s">
        <v>245</v>
      </c>
      <c r="AC1386" s="5"/>
      <c r="AD1386" s="11" t="s">
        <v>3451</v>
      </c>
      <c r="AE1386" s="23" t="n">
        <v>0.25</v>
      </c>
      <c r="AF1386" s="23" t="n">
        <v>0</v>
      </c>
      <c r="AG1386" s="23" t="n">
        <v>1</v>
      </c>
      <c r="AH1386" s="23" t="n">
        <v>1</v>
      </c>
      <c r="AI1386" s="23" t="n">
        <v>1</v>
      </c>
      <c r="AJ1386" s="23" t="n">
        <v>0.9508</v>
      </c>
      <c r="AK1386" s="23" t="n">
        <v>0.5</v>
      </c>
      <c r="AL1386" s="23" t="n">
        <v>0.3</v>
      </c>
      <c r="AM1386" s="16" t="n">
        <f aca="false">COUNTIFS($D$2:$D$2501,D1386,$G$2:$G$2501,"&gt;"&amp;G1386)+COUNTIFS($D$2:D1386,D1386,$G$2:G1386,G1386)</f>
        <v>76</v>
      </c>
      <c r="AN1386" s="5" t="str">
        <f aca="false">D1386&amp;"|"&amp;AM1386</f>
        <v>文件與影像辨識|76</v>
      </c>
    </row>
    <row r="1387" customFormat="false" ht="17.15" hidden="false" customHeight="false" outlineLevel="0" collapsed="false">
      <c r="A1387" s="16" t="n">
        <f aca="false">RANK(G1387,$G$2:$G$2501)+COUNTIF($G$2:G1387,G1387)-1</f>
        <v>1386</v>
      </c>
      <c r="B1387" s="11" t="s">
        <v>3452</v>
      </c>
      <c r="C1387" s="11" t="s">
        <v>2693</v>
      </c>
      <c r="D1387" s="5" t="s">
        <v>74</v>
      </c>
      <c r="E1387" s="5" t="s">
        <v>75</v>
      </c>
      <c r="F1387" s="5"/>
      <c r="G1387" s="22" t="n">
        <f aca="false">ROUND(SUM(I1387:P1387),3)</f>
        <v>61</v>
      </c>
      <c r="H1387" s="5" t="str">
        <f aca="false">IF(G1387&gt;=評分方法!$C$16,"優先評估",IF(G1387&gt;=評分方法!$C$17,"列入候選",IF(G1387&gt;=評分方法!$C$18,"特定情境","不建議")))</f>
        <v>特定情境</v>
      </c>
      <c r="I1387" s="15" t="n">
        <f aca="false">AE1387*評分方法!$C$5</f>
        <v>10.5</v>
      </c>
      <c r="J1387" s="15" t="n">
        <f aca="false">AF1387*評分方法!$C$6</f>
        <v>0</v>
      </c>
      <c r="K1387" s="15" t="n">
        <f aca="false">AG1387*評分方法!$C$7</f>
        <v>15</v>
      </c>
      <c r="L1387" s="15" t="n">
        <f aca="false">AH1387*評分方法!$C$8</f>
        <v>15</v>
      </c>
      <c r="M1387" s="15" t="n">
        <f aca="false">AI1387*評分方法!$C$9</f>
        <v>10</v>
      </c>
      <c r="N1387" s="15" t="n">
        <f aca="false">AJ1387*評分方法!$C$10</f>
        <v>6.5</v>
      </c>
      <c r="O1387" s="15" t="n">
        <f aca="false">AK1387*評分方法!$C$11</f>
        <v>2.5</v>
      </c>
      <c r="P1387" s="15" t="n">
        <f aca="false">AL1387*評分方法!$C$12</f>
        <v>1.5</v>
      </c>
      <c r="Q1387" s="6" t="n">
        <v>756240</v>
      </c>
      <c r="R1387" s="6" t="n">
        <v>48312243</v>
      </c>
      <c r="S1387" s="11" t="s">
        <v>238</v>
      </c>
      <c r="T1387" s="11" t="s">
        <v>239</v>
      </c>
      <c r="U1387" s="5" t="s">
        <v>240</v>
      </c>
      <c r="V1387" s="11" t="s">
        <v>324</v>
      </c>
      <c r="W1387" s="5" t="s">
        <v>205</v>
      </c>
      <c r="X1387" s="5" t="s">
        <v>255</v>
      </c>
      <c r="Y1387" s="5"/>
      <c r="Z1387" s="5"/>
      <c r="AA1387" s="11" t="s">
        <v>172</v>
      </c>
      <c r="AB1387" s="5" t="s">
        <v>245</v>
      </c>
      <c r="AC1387" s="5"/>
      <c r="AD1387" s="11" t="s">
        <v>3453</v>
      </c>
      <c r="AE1387" s="23" t="n">
        <v>0.35</v>
      </c>
      <c r="AF1387" s="23" t="n">
        <v>0</v>
      </c>
      <c r="AG1387" s="23" t="n">
        <v>1</v>
      </c>
      <c r="AH1387" s="23" t="n">
        <v>1</v>
      </c>
      <c r="AI1387" s="23" t="n">
        <v>1</v>
      </c>
      <c r="AJ1387" s="23" t="n">
        <v>0.65</v>
      </c>
      <c r="AK1387" s="23" t="n">
        <v>0.5</v>
      </c>
      <c r="AL1387" s="23" t="n">
        <v>0.3</v>
      </c>
      <c r="AM1387" s="16" t="n">
        <f aca="false">COUNTIFS($D$2:$D$2501,D1387,$G$2:$G$2501,"&gt;"&amp;G1387)+COUNTIFS($D$2:D1387,D1387,$G$2:G1387,G1387)</f>
        <v>77</v>
      </c>
      <c r="AN1387" s="5" t="str">
        <f aca="false">D1387&amp;"|"&amp;AM1387</f>
        <v>文件與影像辨識|77</v>
      </c>
    </row>
    <row r="1388" customFormat="false" ht="17.15" hidden="false" customHeight="false" outlineLevel="0" collapsed="false">
      <c r="A1388" s="16" t="n">
        <f aca="false">RANK(G1388,$G$2:$G$2501)+COUNTIF($G$2:G1388,G1388)-1</f>
        <v>1387</v>
      </c>
      <c r="B1388" s="11" t="s">
        <v>3454</v>
      </c>
      <c r="C1388" s="11" t="s">
        <v>2693</v>
      </c>
      <c r="D1388" s="5" t="s">
        <v>74</v>
      </c>
      <c r="E1388" s="5" t="s">
        <v>75</v>
      </c>
      <c r="F1388" s="5"/>
      <c r="G1388" s="22" t="n">
        <f aca="false">ROUND(SUM(I1388:P1388),3)</f>
        <v>60.996</v>
      </c>
      <c r="H1388" s="5" t="str">
        <f aca="false">IF(G1388&gt;=評分方法!$C$16,"優先評估",IF(G1388&gt;=評分方法!$C$17,"列入候選",IF(G1388&gt;=評分方法!$C$18,"特定情境","不建議")))</f>
        <v>特定情境</v>
      </c>
      <c r="I1388" s="15" t="n">
        <f aca="false">AE1388*評分方法!$C$5</f>
        <v>10.5</v>
      </c>
      <c r="J1388" s="15" t="n">
        <f aca="false">AF1388*評分方法!$C$6</f>
        <v>0</v>
      </c>
      <c r="K1388" s="15" t="n">
        <f aca="false">AG1388*評分方法!$C$7</f>
        <v>15</v>
      </c>
      <c r="L1388" s="15" t="n">
        <f aca="false">AH1388*評分方法!$C$8</f>
        <v>15</v>
      </c>
      <c r="M1388" s="15" t="n">
        <f aca="false">AI1388*評分方法!$C$9</f>
        <v>10</v>
      </c>
      <c r="N1388" s="15" t="n">
        <f aca="false">AJ1388*評分方法!$C$10</f>
        <v>6.496</v>
      </c>
      <c r="O1388" s="15" t="n">
        <f aca="false">AK1388*評分方法!$C$11</f>
        <v>2.5</v>
      </c>
      <c r="P1388" s="15" t="n">
        <f aca="false">AL1388*評分方法!$C$12</f>
        <v>1.5</v>
      </c>
      <c r="Q1388" s="6" t="n">
        <v>754714</v>
      </c>
      <c r="R1388" s="6" t="n">
        <v>103023421</v>
      </c>
      <c r="S1388" s="11" t="s">
        <v>238</v>
      </c>
      <c r="T1388" s="11" t="s">
        <v>239</v>
      </c>
      <c r="U1388" s="5" t="s">
        <v>240</v>
      </c>
      <c r="V1388" s="11" t="s">
        <v>324</v>
      </c>
      <c r="W1388" s="5" t="s">
        <v>205</v>
      </c>
      <c r="X1388" s="5" t="s">
        <v>255</v>
      </c>
      <c r="Y1388" s="5"/>
      <c r="Z1388" s="5"/>
      <c r="AA1388" s="11" t="s">
        <v>172</v>
      </c>
      <c r="AB1388" s="5" t="s">
        <v>245</v>
      </c>
      <c r="AC1388" s="5"/>
      <c r="AD1388" s="11" t="s">
        <v>3455</v>
      </c>
      <c r="AE1388" s="23" t="n">
        <v>0.35</v>
      </c>
      <c r="AF1388" s="23" t="n">
        <v>0</v>
      </c>
      <c r="AG1388" s="23" t="n">
        <v>1</v>
      </c>
      <c r="AH1388" s="23" t="n">
        <v>1</v>
      </c>
      <c r="AI1388" s="23" t="n">
        <v>1</v>
      </c>
      <c r="AJ1388" s="23" t="n">
        <v>0.6496</v>
      </c>
      <c r="AK1388" s="23" t="n">
        <v>0.5</v>
      </c>
      <c r="AL1388" s="23" t="n">
        <v>0.3</v>
      </c>
      <c r="AM1388" s="16" t="n">
        <f aca="false">COUNTIFS($D$2:$D$2501,D1388,$G$2:$G$2501,"&gt;"&amp;G1388)+COUNTIFS($D$2:D1388,D1388,$G$2:G1388,G1388)</f>
        <v>78</v>
      </c>
      <c r="AN1388" s="5" t="str">
        <f aca="false">D1388&amp;"|"&amp;AM1388</f>
        <v>文件與影像辨識|78</v>
      </c>
    </row>
    <row r="1389" customFormat="false" ht="17.15" hidden="false" customHeight="false" outlineLevel="0" collapsed="false">
      <c r="A1389" s="16" t="n">
        <f aca="false">RANK(G1389,$G$2:$G$2501)+COUNTIF($G$2:G1389,G1389)-1</f>
        <v>1388</v>
      </c>
      <c r="B1389" s="11" t="s">
        <v>3456</v>
      </c>
      <c r="C1389" s="11" t="s">
        <v>2693</v>
      </c>
      <c r="D1389" s="5" t="s">
        <v>74</v>
      </c>
      <c r="E1389" s="5" t="s">
        <v>75</v>
      </c>
      <c r="F1389" s="5"/>
      <c r="G1389" s="22" t="n">
        <f aca="false">ROUND(SUM(I1389:P1389),3)</f>
        <v>60.972</v>
      </c>
      <c r="H1389" s="5" t="str">
        <f aca="false">IF(G1389&gt;=評分方法!$C$16,"優先評估",IF(G1389&gt;=評分方法!$C$17,"列入候選",IF(G1389&gt;=評分方法!$C$18,"特定情境","不建議")))</f>
        <v>特定情境</v>
      </c>
      <c r="I1389" s="15" t="n">
        <f aca="false">AE1389*評分方法!$C$5</f>
        <v>10.5</v>
      </c>
      <c r="J1389" s="15" t="n">
        <f aca="false">AF1389*評分方法!$C$6</f>
        <v>0</v>
      </c>
      <c r="K1389" s="15" t="n">
        <f aca="false">AG1389*評分方法!$C$7</f>
        <v>15</v>
      </c>
      <c r="L1389" s="15" t="n">
        <f aca="false">AH1389*評分方法!$C$8</f>
        <v>15</v>
      </c>
      <c r="M1389" s="15" t="n">
        <f aca="false">AI1389*評分方法!$C$9</f>
        <v>10</v>
      </c>
      <c r="N1389" s="15" t="n">
        <f aca="false">AJ1389*評分方法!$C$10</f>
        <v>6.472</v>
      </c>
      <c r="O1389" s="15" t="n">
        <f aca="false">AK1389*評分方法!$C$11</f>
        <v>2.5</v>
      </c>
      <c r="P1389" s="15" t="n">
        <f aca="false">AL1389*評分方法!$C$12</f>
        <v>1.5</v>
      </c>
      <c r="Q1389" s="6" t="n">
        <v>745364</v>
      </c>
      <c r="R1389" s="6" t="n">
        <v>88591464</v>
      </c>
      <c r="S1389" s="11" t="s">
        <v>238</v>
      </c>
      <c r="T1389" s="11" t="s">
        <v>239</v>
      </c>
      <c r="U1389" s="5" t="s">
        <v>240</v>
      </c>
      <c r="V1389" s="11" t="s">
        <v>324</v>
      </c>
      <c r="W1389" s="5" t="s">
        <v>205</v>
      </c>
      <c r="X1389" s="5" t="s">
        <v>255</v>
      </c>
      <c r="Y1389" s="5"/>
      <c r="Z1389" s="5"/>
      <c r="AA1389" s="11" t="s">
        <v>172</v>
      </c>
      <c r="AB1389" s="5" t="s">
        <v>245</v>
      </c>
      <c r="AC1389" s="5"/>
      <c r="AD1389" s="11" t="s">
        <v>3457</v>
      </c>
      <c r="AE1389" s="23" t="n">
        <v>0.35</v>
      </c>
      <c r="AF1389" s="23" t="n">
        <v>0</v>
      </c>
      <c r="AG1389" s="23" t="n">
        <v>1</v>
      </c>
      <c r="AH1389" s="23" t="n">
        <v>1</v>
      </c>
      <c r="AI1389" s="23" t="n">
        <v>1</v>
      </c>
      <c r="AJ1389" s="23" t="n">
        <v>0.6472</v>
      </c>
      <c r="AK1389" s="23" t="n">
        <v>0.5</v>
      </c>
      <c r="AL1389" s="23" t="n">
        <v>0.3</v>
      </c>
      <c r="AM1389" s="16" t="n">
        <f aca="false">COUNTIFS($D$2:$D$2501,D1389,$G$2:$G$2501,"&gt;"&amp;G1389)+COUNTIFS($D$2:D1389,D1389,$G$2:G1389,G1389)</f>
        <v>79</v>
      </c>
      <c r="AN1389" s="5" t="str">
        <f aca="false">D1389&amp;"|"&amp;AM1389</f>
        <v>文件與影像辨識|79</v>
      </c>
    </row>
    <row r="1390" customFormat="false" ht="17.15" hidden="false" customHeight="false" outlineLevel="0" collapsed="false">
      <c r="A1390" s="16" t="n">
        <f aca="false">RANK(G1390,$G$2:$G$2501)+COUNTIF($G$2:G1390,G1390)-1</f>
        <v>1389</v>
      </c>
      <c r="B1390" s="11" t="s">
        <v>3458</v>
      </c>
      <c r="C1390" s="11" t="s">
        <v>3459</v>
      </c>
      <c r="D1390" s="5" t="s">
        <v>54</v>
      </c>
      <c r="E1390" s="5" t="s">
        <v>55</v>
      </c>
      <c r="F1390" s="5"/>
      <c r="G1390" s="22" t="n">
        <f aca="false">ROUND(SUM(I1390:P1390),3)</f>
        <v>60.954</v>
      </c>
      <c r="H1390" s="5" t="str">
        <f aca="false">IF(G1390&gt;=評分方法!$C$16,"優先評估",IF(G1390&gt;=評分方法!$C$17,"列入候選",IF(G1390&gt;=評分方法!$C$18,"特定情境","不建議")))</f>
        <v>特定情境</v>
      </c>
      <c r="I1390" s="15" t="n">
        <f aca="false">AE1390*評分方法!$C$5</f>
        <v>27</v>
      </c>
      <c r="J1390" s="15" t="n">
        <f aca="false">AF1390*評分方法!$C$6</f>
        <v>0</v>
      </c>
      <c r="K1390" s="15" t="n">
        <f aca="false">AG1390*評分方法!$C$7</f>
        <v>4.95</v>
      </c>
      <c r="L1390" s="15" t="n">
        <f aca="false">AH1390*評分方法!$C$8</f>
        <v>15</v>
      </c>
      <c r="M1390" s="15" t="n">
        <f aca="false">AI1390*評分方法!$C$9</f>
        <v>2</v>
      </c>
      <c r="N1390" s="15" t="n">
        <f aca="false">AJ1390*評分方法!$C$10</f>
        <v>9.504</v>
      </c>
      <c r="O1390" s="15" t="n">
        <f aca="false">AK1390*評分方法!$C$11</f>
        <v>1</v>
      </c>
      <c r="P1390" s="15" t="n">
        <f aca="false">AL1390*評分方法!$C$12</f>
        <v>1.5</v>
      </c>
      <c r="Q1390" s="6" t="n">
        <v>8944723</v>
      </c>
      <c r="R1390" s="6" t="n">
        <v>4385920</v>
      </c>
      <c r="S1390" s="11" t="s">
        <v>238</v>
      </c>
      <c r="T1390" s="5"/>
      <c r="U1390" s="5" t="s">
        <v>375</v>
      </c>
      <c r="V1390" s="11" t="s">
        <v>324</v>
      </c>
      <c r="W1390" s="5" t="s">
        <v>334</v>
      </c>
      <c r="X1390" s="5" t="s">
        <v>255</v>
      </c>
      <c r="Y1390" s="5"/>
      <c r="Z1390" s="5"/>
      <c r="AA1390" s="11" t="s">
        <v>152</v>
      </c>
      <c r="AB1390" s="5" t="s">
        <v>245</v>
      </c>
      <c r="AC1390" s="5" t="s">
        <v>262</v>
      </c>
      <c r="AD1390" s="11" t="s">
        <v>3460</v>
      </c>
      <c r="AE1390" s="23" t="n">
        <v>0.9</v>
      </c>
      <c r="AF1390" s="23" t="n">
        <v>0</v>
      </c>
      <c r="AG1390" s="23" t="n">
        <v>0.33</v>
      </c>
      <c r="AH1390" s="23" t="n">
        <v>1</v>
      </c>
      <c r="AI1390" s="23" t="n">
        <v>0.2</v>
      </c>
      <c r="AJ1390" s="23" t="n">
        <v>0.9504</v>
      </c>
      <c r="AK1390" s="23" t="n">
        <v>0.2</v>
      </c>
      <c r="AL1390" s="23" t="n">
        <v>0.3</v>
      </c>
      <c r="AM1390" s="16" t="n">
        <f aca="false">COUNTIFS($D$2:$D$2501,D1390,$G$2:$G$2501,"&gt;"&amp;G1390)+COUNTIFS($D$2:D1390,D1390,$G$2:G1390,G1390)</f>
        <v>187</v>
      </c>
      <c r="AN1390" s="5" t="str">
        <f aca="false">D1390&amp;"|"&amp;AM1390</f>
        <v>檢索與情資關聯|187</v>
      </c>
    </row>
    <row r="1391" customFormat="false" ht="17.15" hidden="false" customHeight="false" outlineLevel="0" collapsed="false">
      <c r="A1391" s="16" t="n">
        <f aca="false">RANK(G1391,$G$2:$G$2501)+COUNTIF($G$2:G1391,G1391)-1</f>
        <v>1390</v>
      </c>
      <c r="B1391" s="11" t="s">
        <v>3461</v>
      </c>
      <c r="C1391" s="11" t="s">
        <v>1733</v>
      </c>
      <c r="D1391" s="5" t="s">
        <v>56</v>
      </c>
      <c r="E1391" s="5" t="s">
        <v>57</v>
      </c>
      <c r="F1391" s="5"/>
      <c r="G1391" s="22" t="n">
        <f aca="false">ROUND(SUM(I1391:P1391),3)</f>
        <v>60.944</v>
      </c>
      <c r="H1391" s="5" t="str">
        <f aca="false">IF(G1391&gt;=評分方法!$C$16,"優先評估",IF(G1391&gt;=評分方法!$C$17,"列入候選",IF(G1391&gt;=評分方法!$C$18,"特定情境","不建議")))</f>
        <v>特定情境</v>
      </c>
      <c r="I1391" s="15" t="n">
        <f aca="false">AE1391*評分方法!$C$5</f>
        <v>25.5</v>
      </c>
      <c r="J1391" s="15" t="n">
        <f aca="false">AF1391*評分方法!$C$6</f>
        <v>0</v>
      </c>
      <c r="K1391" s="15" t="n">
        <f aca="false">AG1391*評分方法!$C$7</f>
        <v>10.05</v>
      </c>
      <c r="L1391" s="15" t="n">
        <f aca="false">AH1391*評分方法!$C$8</f>
        <v>13.05</v>
      </c>
      <c r="M1391" s="15" t="n">
        <f aca="false">AI1391*評分方法!$C$9</f>
        <v>6</v>
      </c>
      <c r="N1391" s="15" t="n">
        <f aca="false">AJ1391*評分方法!$C$10</f>
        <v>1.344</v>
      </c>
      <c r="O1391" s="15" t="n">
        <f aca="false">AK1391*評分方法!$C$11</f>
        <v>5</v>
      </c>
      <c r="P1391" s="15" t="n">
        <f aca="false">AL1391*評分方法!$C$12</f>
        <v>0</v>
      </c>
      <c r="Q1391" s="6" t="n">
        <v>171190</v>
      </c>
      <c r="R1391" s="6" t="n">
        <v>3880263168</v>
      </c>
      <c r="S1391" s="11" t="s">
        <v>254</v>
      </c>
      <c r="T1391" s="11" t="s">
        <v>658</v>
      </c>
      <c r="U1391" s="5" t="s">
        <v>260</v>
      </c>
      <c r="V1391" s="11" t="s">
        <v>333</v>
      </c>
      <c r="W1391" s="5" t="s">
        <v>207</v>
      </c>
      <c r="X1391" s="5" t="s">
        <v>242</v>
      </c>
      <c r="Y1391" s="11" t="s">
        <v>1050</v>
      </c>
      <c r="Z1391" s="11" t="s">
        <v>244</v>
      </c>
      <c r="AA1391" s="11" t="s">
        <v>156</v>
      </c>
      <c r="AB1391" s="5" t="s">
        <v>496</v>
      </c>
      <c r="AC1391" s="5" t="s">
        <v>1108</v>
      </c>
      <c r="AD1391" s="11" t="s">
        <v>3462</v>
      </c>
      <c r="AE1391" s="23" t="n">
        <v>0.85</v>
      </c>
      <c r="AF1391" s="23" t="n">
        <v>0</v>
      </c>
      <c r="AG1391" s="23" t="n">
        <v>0.67</v>
      </c>
      <c r="AH1391" s="23" t="n">
        <v>0.87</v>
      </c>
      <c r="AI1391" s="23" t="n">
        <v>0.6</v>
      </c>
      <c r="AJ1391" s="23" t="n">
        <v>0.1344</v>
      </c>
      <c r="AK1391" s="23" t="n">
        <v>1</v>
      </c>
      <c r="AL1391" s="23" t="n">
        <v>0</v>
      </c>
      <c r="AM1391" s="16" t="n">
        <f aca="false">COUNTIFS($D$2:$D$2501,D1391,$G$2:$G$2501,"&gt;"&amp;G1391)+COUNTIFS($D$2:D1391,D1391,$G$2:G1391,G1391)</f>
        <v>637</v>
      </c>
      <c r="AN1391" s="5" t="str">
        <f aca="false">D1391&amp;"|"&amp;AM1391</f>
        <v>分析與報告生成|637</v>
      </c>
    </row>
    <row r="1392" customFormat="false" ht="17.15" hidden="false" customHeight="false" outlineLevel="0" collapsed="false">
      <c r="A1392" s="16" t="n">
        <f aca="false">RANK(G1392,$G$2:$G$2501)+COUNTIF($G$2:G1392,G1392)-1</f>
        <v>1391</v>
      </c>
      <c r="B1392" s="11" t="s">
        <v>3463</v>
      </c>
      <c r="C1392" s="11" t="s">
        <v>2693</v>
      </c>
      <c r="D1392" s="5" t="s">
        <v>74</v>
      </c>
      <c r="E1392" s="5" t="s">
        <v>75</v>
      </c>
      <c r="F1392" s="5"/>
      <c r="G1392" s="22" t="n">
        <f aca="false">ROUND(SUM(I1392:P1392),3)</f>
        <v>60.9</v>
      </c>
      <c r="H1392" s="5" t="str">
        <f aca="false">IF(G1392&gt;=評分方法!$C$16,"優先評估",IF(G1392&gt;=評分方法!$C$17,"列入候選",IF(G1392&gt;=評分方法!$C$18,"特定情境","不建議")))</f>
        <v>特定情境</v>
      </c>
      <c r="I1392" s="15" t="n">
        <f aca="false">AE1392*評分方法!$C$5</f>
        <v>10.5</v>
      </c>
      <c r="J1392" s="15" t="n">
        <f aca="false">AF1392*評分方法!$C$6</f>
        <v>0</v>
      </c>
      <c r="K1392" s="15" t="n">
        <f aca="false">AG1392*評分方法!$C$7</f>
        <v>15</v>
      </c>
      <c r="L1392" s="15" t="n">
        <f aca="false">AH1392*評分方法!$C$8</f>
        <v>15</v>
      </c>
      <c r="M1392" s="15" t="n">
        <f aca="false">AI1392*評分方法!$C$9</f>
        <v>10</v>
      </c>
      <c r="N1392" s="15" t="n">
        <f aca="false">AJ1392*評分方法!$C$10</f>
        <v>6.4</v>
      </c>
      <c r="O1392" s="15" t="n">
        <f aca="false">AK1392*評分方法!$C$11</f>
        <v>2.5</v>
      </c>
      <c r="P1392" s="15" t="n">
        <f aca="false">AL1392*評分方法!$C$12</f>
        <v>1.5</v>
      </c>
      <c r="Q1392" s="6" t="n">
        <v>723760</v>
      </c>
      <c r="R1392" s="6" t="n">
        <v>50223688</v>
      </c>
      <c r="S1392" s="11" t="s">
        <v>238</v>
      </c>
      <c r="T1392" s="11" t="s">
        <v>239</v>
      </c>
      <c r="U1392" s="5" t="s">
        <v>240</v>
      </c>
      <c r="V1392" s="11" t="s">
        <v>324</v>
      </c>
      <c r="W1392" s="5" t="s">
        <v>205</v>
      </c>
      <c r="X1392" s="5" t="s">
        <v>255</v>
      </c>
      <c r="Y1392" s="5"/>
      <c r="Z1392" s="5"/>
      <c r="AA1392" s="11" t="s">
        <v>172</v>
      </c>
      <c r="AB1392" s="5" t="s">
        <v>245</v>
      </c>
      <c r="AC1392" s="5"/>
      <c r="AD1392" s="11" t="s">
        <v>3464</v>
      </c>
      <c r="AE1392" s="23" t="n">
        <v>0.35</v>
      </c>
      <c r="AF1392" s="23" t="n">
        <v>0</v>
      </c>
      <c r="AG1392" s="23" t="n">
        <v>1</v>
      </c>
      <c r="AH1392" s="23" t="n">
        <v>1</v>
      </c>
      <c r="AI1392" s="23" t="n">
        <v>1</v>
      </c>
      <c r="AJ1392" s="23" t="n">
        <v>0.64</v>
      </c>
      <c r="AK1392" s="23" t="n">
        <v>0.5</v>
      </c>
      <c r="AL1392" s="23" t="n">
        <v>0.3</v>
      </c>
      <c r="AM1392" s="16" t="n">
        <f aca="false">COUNTIFS($D$2:$D$2501,D1392,$G$2:$G$2501,"&gt;"&amp;G1392)+COUNTIFS($D$2:D1392,D1392,$G$2:G1392,G1392)</f>
        <v>80</v>
      </c>
      <c r="AN1392" s="5" t="str">
        <f aca="false">D1392&amp;"|"&amp;AM1392</f>
        <v>文件與影像辨識|80</v>
      </c>
    </row>
    <row r="1393" customFormat="false" ht="17.15" hidden="false" customHeight="false" outlineLevel="0" collapsed="false">
      <c r="A1393" s="16" t="n">
        <f aca="false">RANK(G1393,$G$2:$G$2501)+COUNTIF($G$2:G1393,G1393)-1</f>
        <v>1392</v>
      </c>
      <c r="B1393" s="11" t="s">
        <v>3465</v>
      </c>
      <c r="C1393" s="11" t="s">
        <v>332</v>
      </c>
      <c r="D1393" s="5" t="s">
        <v>56</v>
      </c>
      <c r="E1393" s="5" t="s">
        <v>57</v>
      </c>
      <c r="F1393" s="5"/>
      <c r="G1393" s="22" t="n">
        <f aca="false">ROUND(SUM(I1393:P1393),3)</f>
        <v>60.892</v>
      </c>
      <c r="H1393" s="5" t="str">
        <f aca="false">IF(G1393&gt;=評分方法!$C$16,"優先評估",IF(G1393&gt;=評分方法!$C$17,"列入候選",IF(G1393&gt;=評分方法!$C$18,"特定情境","不建議")))</f>
        <v>特定情境</v>
      </c>
      <c r="I1393" s="15" t="n">
        <f aca="false">AE1393*評分方法!$C$5</f>
        <v>25.5</v>
      </c>
      <c r="J1393" s="15" t="n">
        <f aca="false">AF1393*評分方法!$C$6</f>
        <v>0</v>
      </c>
      <c r="K1393" s="15" t="n">
        <f aca="false">AG1393*評分方法!$C$7</f>
        <v>4.95</v>
      </c>
      <c r="L1393" s="15" t="n">
        <f aca="false">AH1393*評分方法!$C$8</f>
        <v>13.05</v>
      </c>
      <c r="M1393" s="15" t="n">
        <f aca="false">AI1393*評分方法!$C$9</f>
        <v>6</v>
      </c>
      <c r="N1393" s="15" t="n">
        <f aca="false">AJ1393*評分方法!$C$10</f>
        <v>3.392</v>
      </c>
      <c r="O1393" s="15" t="n">
        <f aca="false">AK1393*評分方法!$C$11</f>
        <v>5</v>
      </c>
      <c r="P1393" s="15" t="n">
        <f aca="false">AL1393*評分方法!$C$12</f>
        <v>3</v>
      </c>
      <c r="Q1393" s="6" t="n">
        <v>339680</v>
      </c>
      <c r="R1393" s="6" t="n">
        <v>7546867712</v>
      </c>
      <c r="S1393" s="11" t="s">
        <v>254</v>
      </c>
      <c r="T1393" s="11" t="s">
        <v>185</v>
      </c>
      <c r="U1393" s="5" t="s">
        <v>260</v>
      </c>
      <c r="V1393" s="11" t="s">
        <v>333</v>
      </c>
      <c r="W1393" s="5" t="s">
        <v>334</v>
      </c>
      <c r="X1393" s="5" t="s">
        <v>371</v>
      </c>
      <c r="Y1393" s="5"/>
      <c r="Z1393" s="5"/>
      <c r="AA1393" s="11" t="s">
        <v>155</v>
      </c>
      <c r="AB1393" s="5" t="s">
        <v>961</v>
      </c>
      <c r="AC1393" s="5" t="s">
        <v>1977</v>
      </c>
      <c r="AD1393" s="11" t="s">
        <v>3466</v>
      </c>
      <c r="AE1393" s="23" t="n">
        <v>0.85</v>
      </c>
      <c r="AF1393" s="23" t="n">
        <v>0</v>
      </c>
      <c r="AG1393" s="23" t="n">
        <v>0.33</v>
      </c>
      <c r="AH1393" s="23" t="n">
        <v>0.87</v>
      </c>
      <c r="AI1393" s="23" t="n">
        <v>0.6</v>
      </c>
      <c r="AJ1393" s="23" t="n">
        <v>0.3392</v>
      </c>
      <c r="AK1393" s="23" t="n">
        <v>1</v>
      </c>
      <c r="AL1393" s="23" t="n">
        <v>0.6</v>
      </c>
      <c r="AM1393" s="16" t="n">
        <f aca="false">COUNTIFS($D$2:$D$2501,D1393,$G$2:$G$2501,"&gt;"&amp;G1393)+COUNTIFS($D$2:D1393,D1393,$G$2:G1393,G1393)</f>
        <v>638</v>
      </c>
      <c r="AN1393" s="5" t="str">
        <f aca="false">D1393&amp;"|"&amp;AM1393</f>
        <v>分析與報告生成|638</v>
      </c>
    </row>
    <row r="1394" customFormat="false" ht="17.15" hidden="false" customHeight="false" outlineLevel="0" collapsed="false">
      <c r="A1394" s="16" t="n">
        <f aca="false">RANK(G1394,$G$2:$G$2501)+COUNTIF($G$2:G1394,G1394)-1</f>
        <v>1393</v>
      </c>
      <c r="B1394" s="11" t="s">
        <v>3467</v>
      </c>
      <c r="C1394" s="11" t="s">
        <v>2693</v>
      </c>
      <c r="D1394" s="5" t="s">
        <v>74</v>
      </c>
      <c r="E1394" s="5" t="s">
        <v>75</v>
      </c>
      <c r="F1394" s="5"/>
      <c r="G1394" s="22" t="n">
        <f aca="false">ROUND(SUM(I1394:P1394),3)</f>
        <v>60.892</v>
      </c>
      <c r="H1394" s="5" t="str">
        <f aca="false">IF(G1394&gt;=評分方法!$C$16,"優先評估",IF(G1394&gt;=評分方法!$C$17,"列入候選",IF(G1394&gt;=評分方法!$C$18,"特定情境","不建議")))</f>
        <v>特定情境</v>
      </c>
      <c r="I1394" s="15" t="n">
        <f aca="false">AE1394*評分方法!$C$5</f>
        <v>10.5</v>
      </c>
      <c r="J1394" s="15" t="n">
        <f aca="false">AF1394*評分方法!$C$6</f>
        <v>0</v>
      </c>
      <c r="K1394" s="15" t="n">
        <f aca="false">AG1394*評分方法!$C$7</f>
        <v>15</v>
      </c>
      <c r="L1394" s="15" t="n">
        <f aca="false">AH1394*評分方法!$C$8</f>
        <v>15</v>
      </c>
      <c r="M1394" s="15" t="n">
        <f aca="false">AI1394*評分方法!$C$9</f>
        <v>10</v>
      </c>
      <c r="N1394" s="15" t="n">
        <f aca="false">AJ1394*評分方法!$C$10</f>
        <v>6.392</v>
      </c>
      <c r="O1394" s="15" t="n">
        <f aca="false">AK1394*評分方法!$C$11</f>
        <v>2.5</v>
      </c>
      <c r="P1394" s="15" t="n">
        <f aca="false">AL1394*評分方法!$C$12</f>
        <v>1.5</v>
      </c>
      <c r="Q1394" s="6" t="n">
        <v>722158</v>
      </c>
      <c r="R1394" s="6" t="n">
        <v>3948688</v>
      </c>
      <c r="S1394" s="11" t="s">
        <v>238</v>
      </c>
      <c r="T1394" s="11" t="s">
        <v>239</v>
      </c>
      <c r="U1394" s="5" t="s">
        <v>240</v>
      </c>
      <c r="V1394" s="11" t="s">
        <v>324</v>
      </c>
      <c r="W1394" s="5" t="s">
        <v>205</v>
      </c>
      <c r="X1394" s="5" t="s">
        <v>255</v>
      </c>
      <c r="Y1394" s="5"/>
      <c r="Z1394" s="5"/>
      <c r="AA1394" s="11" t="s">
        <v>172</v>
      </c>
      <c r="AB1394" s="5" t="s">
        <v>245</v>
      </c>
      <c r="AC1394" s="5"/>
      <c r="AD1394" s="11" t="s">
        <v>3468</v>
      </c>
      <c r="AE1394" s="23" t="n">
        <v>0.35</v>
      </c>
      <c r="AF1394" s="23" t="n">
        <v>0</v>
      </c>
      <c r="AG1394" s="23" t="n">
        <v>1</v>
      </c>
      <c r="AH1394" s="23" t="n">
        <v>1</v>
      </c>
      <c r="AI1394" s="23" t="n">
        <v>1</v>
      </c>
      <c r="AJ1394" s="23" t="n">
        <v>0.6392</v>
      </c>
      <c r="AK1394" s="23" t="n">
        <v>0.5</v>
      </c>
      <c r="AL1394" s="23" t="n">
        <v>0.3</v>
      </c>
      <c r="AM1394" s="16" t="n">
        <f aca="false">COUNTIFS($D$2:$D$2501,D1394,$G$2:$G$2501,"&gt;"&amp;G1394)+COUNTIFS($D$2:D1394,D1394,$G$2:G1394,G1394)</f>
        <v>81</v>
      </c>
      <c r="AN1394" s="5" t="str">
        <f aca="false">D1394&amp;"|"&amp;AM1394</f>
        <v>文件與影像辨識|81</v>
      </c>
    </row>
    <row r="1395" customFormat="false" ht="17.15" hidden="false" customHeight="false" outlineLevel="0" collapsed="false">
      <c r="A1395" s="16" t="n">
        <f aca="false">RANK(G1395,$G$2:$G$2501)+COUNTIF($G$2:G1395,G1395)-1</f>
        <v>1394</v>
      </c>
      <c r="B1395" s="11" t="s">
        <v>3469</v>
      </c>
      <c r="C1395" s="11" t="s">
        <v>368</v>
      </c>
      <c r="D1395" s="5" t="s">
        <v>74</v>
      </c>
      <c r="E1395" s="5" t="s">
        <v>75</v>
      </c>
      <c r="F1395" s="5"/>
      <c r="G1395" s="22" t="n">
        <f aca="false">ROUND(SUM(I1395:P1395),3)</f>
        <v>60.876</v>
      </c>
      <c r="H1395" s="5" t="str">
        <f aca="false">IF(G1395&gt;=評分方法!$C$16,"優先評估",IF(G1395&gt;=評分方法!$C$17,"列入候選",IF(G1395&gt;=評分方法!$C$18,"特定情境","不建議")))</f>
        <v>特定情境</v>
      </c>
      <c r="I1395" s="15" t="n">
        <f aca="false">AE1395*評分方法!$C$5</f>
        <v>12</v>
      </c>
      <c r="J1395" s="15" t="n">
        <f aca="false">AF1395*評分方法!$C$6</f>
        <v>0</v>
      </c>
      <c r="K1395" s="15" t="n">
        <f aca="false">AG1395*評分方法!$C$7</f>
        <v>15</v>
      </c>
      <c r="L1395" s="15" t="n">
        <f aca="false">AH1395*評分方法!$C$8</f>
        <v>15</v>
      </c>
      <c r="M1395" s="15" t="n">
        <f aca="false">AI1395*評分方法!$C$9</f>
        <v>10</v>
      </c>
      <c r="N1395" s="15" t="n">
        <f aca="false">AJ1395*評分方法!$C$10</f>
        <v>4.876</v>
      </c>
      <c r="O1395" s="15" t="n">
        <f aca="false">AK1395*評分方法!$C$11</f>
        <v>2.5</v>
      </c>
      <c r="P1395" s="15" t="n">
        <f aca="false">AL1395*評分方法!$C$12</f>
        <v>1.5</v>
      </c>
      <c r="Q1395" s="6" t="n">
        <v>528488</v>
      </c>
      <c r="R1395" s="6" t="n">
        <v>881526786</v>
      </c>
      <c r="S1395" s="11" t="s">
        <v>238</v>
      </c>
      <c r="T1395" s="11" t="s">
        <v>239</v>
      </c>
      <c r="U1395" s="5" t="s">
        <v>240</v>
      </c>
      <c r="V1395" s="11" t="s">
        <v>261</v>
      </c>
      <c r="W1395" s="5" t="s">
        <v>205</v>
      </c>
      <c r="X1395" s="5" t="s">
        <v>255</v>
      </c>
      <c r="Y1395" s="5"/>
      <c r="Z1395" s="5"/>
      <c r="AA1395" s="11" t="s">
        <v>167</v>
      </c>
      <c r="AB1395" s="5" t="s">
        <v>245</v>
      </c>
      <c r="AC1395" s="5"/>
      <c r="AD1395" s="11" t="s">
        <v>3470</v>
      </c>
      <c r="AE1395" s="23" t="n">
        <v>0.4</v>
      </c>
      <c r="AF1395" s="23" t="n">
        <v>0</v>
      </c>
      <c r="AG1395" s="23" t="n">
        <v>1</v>
      </c>
      <c r="AH1395" s="23" t="n">
        <v>1</v>
      </c>
      <c r="AI1395" s="23" t="n">
        <v>1</v>
      </c>
      <c r="AJ1395" s="23" t="n">
        <v>0.4876</v>
      </c>
      <c r="AK1395" s="23" t="n">
        <v>0.5</v>
      </c>
      <c r="AL1395" s="23" t="n">
        <v>0.3</v>
      </c>
      <c r="AM1395" s="16" t="n">
        <f aca="false">COUNTIFS($D$2:$D$2501,D1395,$G$2:$G$2501,"&gt;"&amp;G1395)+COUNTIFS($D$2:D1395,D1395,$G$2:G1395,G1395)</f>
        <v>82</v>
      </c>
      <c r="AN1395" s="5" t="str">
        <f aca="false">D1395&amp;"|"&amp;AM1395</f>
        <v>文件與影像辨識|82</v>
      </c>
    </row>
    <row r="1396" customFormat="false" ht="17.15" hidden="false" customHeight="false" outlineLevel="0" collapsed="false">
      <c r="A1396" s="16" t="n">
        <f aca="false">RANK(G1396,$G$2:$G$2501)+COUNTIF($G$2:G1396,G1396)-1</f>
        <v>1395</v>
      </c>
      <c r="B1396" s="11" t="s">
        <v>3471</v>
      </c>
      <c r="C1396" s="11" t="s">
        <v>3472</v>
      </c>
      <c r="D1396" s="5" t="s">
        <v>56</v>
      </c>
      <c r="E1396" s="5" t="s">
        <v>57</v>
      </c>
      <c r="F1396" s="5"/>
      <c r="G1396" s="22" t="n">
        <f aca="false">ROUND(SUM(I1396:P1396),3)</f>
        <v>60.848</v>
      </c>
      <c r="H1396" s="5" t="str">
        <f aca="false">IF(G1396&gt;=評分方法!$C$16,"優先評估",IF(G1396&gt;=評分方法!$C$17,"列入候選",IF(G1396&gt;=評分方法!$C$18,"特定情境","不建議")))</f>
        <v>特定情境</v>
      </c>
      <c r="I1396" s="15" t="n">
        <f aca="false">AE1396*評分方法!$C$5</f>
        <v>25.5</v>
      </c>
      <c r="J1396" s="15" t="n">
        <f aca="false">AF1396*評分方法!$C$6</f>
        <v>0</v>
      </c>
      <c r="K1396" s="15" t="n">
        <f aca="false">AG1396*評分方法!$C$7</f>
        <v>4.95</v>
      </c>
      <c r="L1396" s="15" t="n">
        <f aca="false">AH1396*評分方法!$C$8</f>
        <v>13.05</v>
      </c>
      <c r="M1396" s="15" t="n">
        <f aca="false">AI1396*評分方法!$C$9</f>
        <v>6</v>
      </c>
      <c r="N1396" s="15" t="n">
        <f aca="false">AJ1396*評分方法!$C$10</f>
        <v>1.348</v>
      </c>
      <c r="O1396" s="15" t="n">
        <f aca="false">AK1396*評分方法!$C$11</f>
        <v>5</v>
      </c>
      <c r="P1396" s="15" t="n">
        <f aca="false">AL1396*評分方法!$C$12</f>
        <v>5</v>
      </c>
      <c r="Q1396" s="6" t="n">
        <v>171491</v>
      </c>
      <c r="R1396" s="6" t="n">
        <v>3995833632</v>
      </c>
      <c r="S1396" s="11" t="s">
        <v>254</v>
      </c>
      <c r="T1396" s="11" t="s">
        <v>658</v>
      </c>
      <c r="U1396" s="5" t="s">
        <v>260</v>
      </c>
      <c r="V1396" s="11" t="s">
        <v>261</v>
      </c>
      <c r="W1396" s="5" t="s">
        <v>334</v>
      </c>
      <c r="X1396" s="5" t="s">
        <v>284</v>
      </c>
      <c r="Y1396" s="11" t="s">
        <v>422</v>
      </c>
      <c r="Z1396" s="11" t="s">
        <v>244</v>
      </c>
      <c r="AA1396" s="11" t="s">
        <v>156</v>
      </c>
      <c r="AB1396" s="5" t="s">
        <v>245</v>
      </c>
      <c r="AC1396" s="5" t="s">
        <v>464</v>
      </c>
      <c r="AD1396" s="11" t="s">
        <v>3473</v>
      </c>
      <c r="AE1396" s="23" t="n">
        <v>0.85</v>
      </c>
      <c r="AF1396" s="23" t="n">
        <v>0</v>
      </c>
      <c r="AG1396" s="23" t="n">
        <v>0.33</v>
      </c>
      <c r="AH1396" s="23" t="n">
        <v>0.87</v>
      </c>
      <c r="AI1396" s="23" t="n">
        <v>0.6</v>
      </c>
      <c r="AJ1396" s="23" t="n">
        <v>0.1348</v>
      </c>
      <c r="AK1396" s="23" t="n">
        <v>1</v>
      </c>
      <c r="AL1396" s="23" t="n">
        <v>1</v>
      </c>
      <c r="AM1396" s="16" t="n">
        <f aca="false">COUNTIFS($D$2:$D$2501,D1396,$G$2:$G$2501,"&gt;"&amp;G1396)+COUNTIFS($D$2:D1396,D1396,$G$2:G1396,G1396)</f>
        <v>639</v>
      </c>
      <c r="AN1396" s="5" t="str">
        <f aca="false">D1396&amp;"|"&amp;AM1396</f>
        <v>分析與報告生成|639</v>
      </c>
    </row>
    <row r="1397" customFormat="false" ht="17.15" hidden="false" customHeight="false" outlineLevel="0" collapsed="false">
      <c r="A1397" s="16" t="n">
        <f aca="false">RANK(G1397,$G$2:$G$2501)+COUNTIF($G$2:G1397,G1397)-1</f>
        <v>1396</v>
      </c>
      <c r="B1397" s="11" t="s">
        <v>3474</v>
      </c>
      <c r="C1397" s="11" t="s">
        <v>2639</v>
      </c>
      <c r="D1397" s="5" t="s">
        <v>56</v>
      </c>
      <c r="E1397" s="5" t="s">
        <v>57</v>
      </c>
      <c r="F1397" s="5"/>
      <c r="G1397" s="22" t="n">
        <f aca="false">ROUND(SUM(I1397:P1397),3)</f>
        <v>60.846</v>
      </c>
      <c r="H1397" s="5" t="str">
        <f aca="false">IF(G1397&gt;=評分方法!$C$16,"優先評估",IF(G1397&gt;=評分方法!$C$17,"列入候選",IF(G1397&gt;=評分方法!$C$18,"特定情境","不建議")))</f>
        <v>特定情境</v>
      </c>
      <c r="I1397" s="15" t="n">
        <f aca="false">AE1397*評分方法!$C$5</f>
        <v>25.5</v>
      </c>
      <c r="J1397" s="15" t="n">
        <f aca="false">AF1397*評分方法!$C$6</f>
        <v>0</v>
      </c>
      <c r="K1397" s="15" t="n">
        <f aca="false">AG1397*評分方法!$C$7</f>
        <v>4.95</v>
      </c>
      <c r="L1397" s="15" t="n">
        <f aca="false">AH1397*評分方法!$C$8</f>
        <v>9</v>
      </c>
      <c r="M1397" s="15" t="n">
        <f aca="false">AI1397*評分方法!$C$9</f>
        <v>10</v>
      </c>
      <c r="N1397" s="15" t="n">
        <f aca="false">AJ1397*評分方法!$C$10</f>
        <v>6.396</v>
      </c>
      <c r="O1397" s="15" t="n">
        <f aca="false">AK1397*評分方法!$C$11</f>
        <v>5</v>
      </c>
      <c r="P1397" s="15" t="n">
        <f aca="false">AL1397*評分方法!$C$12</f>
        <v>0</v>
      </c>
      <c r="Q1397" s="6" t="n">
        <v>723492</v>
      </c>
      <c r="R1397" s="6" t="n">
        <v>25805936206</v>
      </c>
      <c r="S1397" s="11" t="s">
        <v>389</v>
      </c>
      <c r="T1397" s="11" t="s">
        <v>239</v>
      </c>
      <c r="U1397" s="5" t="s">
        <v>240</v>
      </c>
      <c r="V1397" s="11" t="s">
        <v>261</v>
      </c>
      <c r="W1397" s="5" t="s">
        <v>334</v>
      </c>
      <c r="X1397" s="5" t="s">
        <v>242</v>
      </c>
      <c r="Y1397" s="11" t="s">
        <v>575</v>
      </c>
      <c r="Z1397" s="11" t="s">
        <v>244</v>
      </c>
      <c r="AA1397" s="11" t="s">
        <v>155</v>
      </c>
      <c r="AB1397" s="5" t="s">
        <v>245</v>
      </c>
      <c r="AC1397" s="5" t="s">
        <v>246</v>
      </c>
      <c r="AD1397" s="11" t="s">
        <v>3475</v>
      </c>
      <c r="AE1397" s="23" t="n">
        <v>0.85</v>
      </c>
      <c r="AF1397" s="23" t="n">
        <v>0</v>
      </c>
      <c r="AG1397" s="23" t="n">
        <v>0.33</v>
      </c>
      <c r="AH1397" s="23" t="n">
        <v>0.6</v>
      </c>
      <c r="AI1397" s="23" t="n">
        <v>1</v>
      </c>
      <c r="AJ1397" s="23" t="n">
        <v>0.6396</v>
      </c>
      <c r="AK1397" s="23" t="n">
        <v>1</v>
      </c>
      <c r="AL1397" s="23" t="n">
        <v>0</v>
      </c>
      <c r="AM1397" s="16" t="n">
        <f aca="false">COUNTIFS($D$2:$D$2501,D1397,$G$2:$G$2501,"&gt;"&amp;G1397)+COUNTIFS($D$2:D1397,D1397,$G$2:G1397,G1397)</f>
        <v>640</v>
      </c>
      <c r="AN1397" s="5" t="str">
        <f aca="false">D1397&amp;"|"&amp;AM1397</f>
        <v>分析與報告生成|640</v>
      </c>
    </row>
    <row r="1398" customFormat="false" ht="17.15" hidden="false" customHeight="false" outlineLevel="0" collapsed="false">
      <c r="A1398" s="16" t="n">
        <f aca="false">RANK(G1398,$G$2:$G$2501)+COUNTIF($G$2:G1398,G1398)-1</f>
        <v>1397</v>
      </c>
      <c r="B1398" s="11" t="s">
        <v>3476</v>
      </c>
      <c r="C1398" s="11" t="s">
        <v>368</v>
      </c>
      <c r="D1398" s="5" t="s">
        <v>74</v>
      </c>
      <c r="E1398" s="5" t="s">
        <v>75</v>
      </c>
      <c r="F1398" s="5"/>
      <c r="G1398" s="22" t="n">
        <f aca="false">ROUND(SUM(I1398:P1398),3)</f>
        <v>60.846</v>
      </c>
      <c r="H1398" s="5" t="str">
        <f aca="false">IF(G1398&gt;=評分方法!$C$16,"優先評估",IF(G1398&gt;=評分方法!$C$17,"列入候選",IF(G1398&gt;=評分方法!$C$18,"特定情境","不建議")))</f>
        <v>特定情境</v>
      </c>
      <c r="I1398" s="15" t="n">
        <f aca="false">AE1398*評分方法!$C$5</f>
        <v>12</v>
      </c>
      <c r="J1398" s="15" t="n">
        <f aca="false">AF1398*評分方法!$C$6</f>
        <v>0</v>
      </c>
      <c r="K1398" s="15" t="n">
        <f aca="false">AG1398*評分方法!$C$7</f>
        <v>15</v>
      </c>
      <c r="L1398" s="15" t="n">
        <f aca="false">AH1398*評分方法!$C$8</f>
        <v>13.05</v>
      </c>
      <c r="M1398" s="15" t="n">
        <f aca="false">AI1398*評分方法!$C$9</f>
        <v>10</v>
      </c>
      <c r="N1398" s="15" t="n">
        <f aca="false">AJ1398*評分方法!$C$10</f>
        <v>6.796</v>
      </c>
      <c r="O1398" s="15" t="n">
        <f aca="false">AK1398*評分方法!$C$11</f>
        <v>2.5</v>
      </c>
      <c r="P1398" s="15" t="n">
        <f aca="false">AL1398*評分方法!$C$12</f>
        <v>1.5</v>
      </c>
      <c r="Q1398" s="6" t="n">
        <v>838125</v>
      </c>
      <c r="R1398" s="6" t="n">
        <v>1136039602</v>
      </c>
      <c r="S1398" s="11" t="s">
        <v>254</v>
      </c>
      <c r="T1398" s="11" t="s">
        <v>239</v>
      </c>
      <c r="U1398" s="5" t="s">
        <v>240</v>
      </c>
      <c r="V1398" s="11" t="s">
        <v>261</v>
      </c>
      <c r="W1398" s="5" t="s">
        <v>205</v>
      </c>
      <c r="X1398" s="5" t="s">
        <v>255</v>
      </c>
      <c r="Y1398" s="5"/>
      <c r="Z1398" s="5"/>
      <c r="AA1398" s="11" t="s">
        <v>167</v>
      </c>
      <c r="AB1398" s="5" t="s">
        <v>245</v>
      </c>
      <c r="AC1398" s="5"/>
      <c r="AD1398" s="11" t="s">
        <v>3477</v>
      </c>
      <c r="AE1398" s="23" t="n">
        <v>0.4</v>
      </c>
      <c r="AF1398" s="23" t="n">
        <v>0</v>
      </c>
      <c r="AG1398" s="23" t="n">
        <v>1</v>
      </c>
      <c r="AH1398" s="23" t="n">
        <v>0.87</v>
      </c>
      <c r="AI1398" s="23" t="n">
        <v>1</v>
      </c>
      <c r="AJ1398" s="23" t="n">
        <v>0.6796</v>
      </c>
      <c r="AK1398" s="23" t="n">
        <v>0.5</v>
      </c>
      <c r="AL1398" s="23" t="n">
        <v>0.3</v>
      </c>
      <c r="AM1398" s="16" t="n">
        <f aca="false">COUNTIFS($D$2:$D$2501,D1398,$G$2:$G$2501,"&gt;"&amp;G1398)+COUNTIFS($D$2:D1398,D1398,$G$2:G1398,G1398)</f>
        <v>83</v>
      </c>
      <c r="AN1398" s="5" t="str">
        <f aca="false">D1398&amp;"|"&amp;AM1398</f>
        <v>文件與影像辨識|83</v>
      </c>
    </row>
    <row r="1399" customFormat="false" ht="17.15" hidden="false" customHeight="false" outlineLevel="0" collapsed="false">
      <c r="A1399" s="16" t="n">
        <f aca="false">RANK(G1399,$G$2:$G$2501)+COUNTIF($G$2:G1399,G1399)-1</f>
        <v>1398</v>
      </c>
      <c r="B1399" s="11" t="s">
        <v>3478</v>
      </c>
      <c r="C1399" s="11" t="s">
        <v>2256</v>
      </c>
      <c r="D1399" s="5" t="s">
        <v>56</v>
      </c>
      <c r="E1399" s="5" t="s">
        <v>57</v>
      </c>
      <c r="F1399" s="5"/>
      <c r="G1399" s="22" t="n">
        <f aca="false">ROUND(SUM(I1399:P1399),3)</f>
        <v>60.826</v>
      </c>
      <c r="H1399" s="5" t="str">
        <f aca="false">IF(G1399&gt;=評分方法!$C$16,"優先評估",IF(G1399&gt;=評分方法!$C$17,"列入候選",IF(G1399&gt;=評分方法!$C$18,"特定情境","不建議")))</f>
        <v>特定情境</v>
      </c>
      <c r="I1399" s="15" t="n">
        <f aca="false">AE1399*評分方法!$C$5</f>
        <v>25.5</v>
      </c>
      <c r="J1399" s="15" t="n">
        <f aca="false">AF1399*評分方法!$C$6</f>
        <v>0</v>
      </c>
      <c r="K1399" s="15" t="n">
        <f aca="false">AG1399*評分方法!$C$7</f>
        <v>4.95</v>
      </c>
      <c r="L1399" s="15" t="n">
        <f aca="false">AH1399*評分方法!$C$8</f>
        <v>9</v>
      </c>
      <c r="M1399" s="15" t="n">
        <f aca="false">AI1399*評分方法!$C$9</f>
        <v>10</v>
      </c>
      <c r="N1399" s="15" t="n">
        <f aca="false">AJ1399*評分方法!$C$10</f>
        <v>3.376</v>
      </c>
      <c r="O1399" s="15" t="n">
        <f aca="false">AK1399*評分方法!$C$11</f>
        <v>5</v>
      </c>
      <c r="P1399" s="15" t="n">
        <f aca="false">AL1399*評分方法!$C$12</f>
        <v>3</v>
      </c>
      <c r="Q1399" s="6" t="n">
        <v>337665</v>
      </c>
      <c r="R1399" s="6" t="n">
        <v>11959730224</v>
      </c>
      <c r="S1399" s="11" t="s">
        <v>389</v>
      </c>
      <c r="T1399" s="11" t="s">
        <v>239</v>
      </c>
      <c r="U1399" s="5" t="s">
        <v>240</v>
      </c>
      <c r="V1399" s="11" t="s">
        <v>261</v>
      </c>
      <c r="W1399" s="5" t="s">
        <v>334</v>
      </c>
      <c r="X1399" s="5" t="s">
        <v>371</v>
      </c>
      <c r="Y1399" s="11" t="s">
        <v>755</v>
      </c>
      <c r="Z1399" s="11" t="s">
        <v>270</v>
      </c>
      <c r="AA1399" s="11" t="s">
        <v>155</v>
      </c>
      <c r="AB1399" s="5" t="s">
        <v>245</v>
      </c>
      <c r="AC1399" s="5"/>
      <c r="AD1399" s="11" t="s">
        <v>3479</v>
      </c>
      <c r="AE1399" s="23" t="n">
        <v>0.85</v>
      </c>
      <c r="AF1399" s="23" t="n">
        <v>0</v>
      </c>
      <c r="AG1399" s="23" t="n">
        <v>0.33</v>
      </c>
      <c r="AH1399" s="23" t="n">
        <v>0.6</v>
      </c>
      <c r="AI1399" s="23" t="n">
        <v>1</v>
      </c>
      <c r="AJ1399" s="23" t="n">
        <v>0.3376</v>
      </c>
      <c r="AK1399" s="23" t="n">
        <v>1</v>
      </c>
      <c r="AL1399" s="23" t="n">
        <v>0.6</v>
      </c>
      <c r="AM1399" s="16" t="n">
        <f aca="false">COUNTIFS($D$2:$D$2501,D1399,$G$2:$G$2501,"&gt;"&amp;G1399)+COUNTIFS($D$2:D1399,D1399,$G$2:G1399,G1399)</f>
        <v>641</v>
      </c>
      <c r="AN1399" s="5" t="str">
        <f aca="false">D1399&amp;"|"&amp;AM1399</f>
        <v>分析與報告生成|641</v>
      </c>
    </row>
    <row r="1400" customFormat="false" ht="17.15" hidden="false" customHeight="false" outlineLevel="0" collapsed="false">
      <c r="A1400" s="16" t="n">
        <f aca="false">RANK(G1400,$G$2:$G$2501)+COUNTIF($G$2:G1400,G1400)-1</f>
        <v>1399</v>
      </c>
      <c r="B1400" s="11" t="s">
        <v>3480</v>
      </c>
      <c r="C1400" s="11" t="s">
        <v>891</v>
      </c>
      <c r="D1400" s="5" t="s">
        <v>56</v>
      </c>
      <c r="E1400" s="5" t="s">
        <v>57</v>
      </c>
      <c r="F1400" s="5"/>
      <c r="G1400" s="22" t="n">
        <f aca="false">ROUND(SUM(I1400:P1400),3)</f>
        <v>60.824</v>
      </c>
      <c r="H1400" s="5" t="str">
        <f aca="false">IF(G1400&gt;=評分方法!$C$16,"優先評估",IF(G1400&gt;=評分方法!$C$17,"列入候選",IF(G1400&gt;=評分方法!$C$18,"特定情境","不建議")))</f>
        <v>特定情境</v>
      </c>
      <c r="I1400" s="15" t="n">
        <f aca="false">AE1400*評分方法!$C$5</f>
        <v>25.5</v>
      </c>
      <c r="J1400" s="15" t="n">
        <f aca="false">AF1400*評分方法!$C$6</f>
        <v>0</v>
      </c>
      <c r="K1400" s="15" t="n">
        <f aca="false">AG1400*評分方法!$C$7</f>
        <v>10.05</v>
      </c>
      <c r="L1400" s="15" t="n">
        <f aca="false">AH1400*評分方法!$C$8</f>
        <v>7.05</v>
      </c>
      <c r="M1400" s="15" t="n">
        <f aca="false">AI1400*評分方法!$C$9</f>
        <v>10</v>
      </c>
      <c r="N1400" s="15" t="n">
        <f aca="false">AJ1400*評分方法!$C$10</f>
        <v>0.724</v>
      </c>
      <c r="O1400" s="15" t="n">
        <f aca="false">AK1400*評分方法!$C$11</f>
        <v>2.5</v>
      </c>
      <c r="P1400" s="15" t="n">
        <f aca="false">AL1400*評分方法!$C$12</f>
        <v>5</v>
      </c>
      <c r="Q1400" s="6" t="n">
        <v>143541</v>
      </c>
      <c r="R1400" s="6"/>
      <c r="S1400" s="5" t="s">
        <v>255</v>
      </c>
      <c r="T1400" s="11" t="s">
        <v>239</v>
      </c>
      <c r="U1400" s="5" t="s">
        <v>240</v>
      </c>
      <c r="V1400" s="11" t="s">
        <v>261</v>
      </c>
      <c r="W1400" s="5" t="s">
        <v>207</v>
      </c>
      <c r="X1400" s="5" t="s">
        <v>284</v>
      </c>
      <c r="Y1400" s="11" t="s">
        <v>1456</v>
      </c>
      <c r="Z1400" s="11" t="s">
        <v>244</v>
      </c>
      <c r="AA1400" s="11" t="s">
        <v>155</v>
      </c>
      <c r="AB1400" s="5" t="s">
        <v>328</v>
      </c>
      <c r="AC1400" s="5" t="s">
        <v>340</v>
      </c>
      <c r="AD1400" s="11" t="s">
        <v>3481</v>
      </c>
      <c r="AE1400" s="23" t="n">
        <v>0.85</v>
      </c>
      <c r="AF1400" s="23" t="n">
        <v>0</v>
      </c>
      <c r="AG1400" s="23" t="n">
        <v>0.67</v>
      </c>
      <c r="AH1400" s="23" t="n">
        <v>0.47</v>
      </c>
      <c r="AI1400" s="23" t="n">
        <v>1</v>
      </c>
      <c r="AJ1400" s="23" t="n">
        <v>0.0724</v>
      </c>
      <c r="AK1400" s="23" t="n">
        <v>0.5</v>
      </c>
      <c r="AL1400" s="23" t="n">
        <v>1</v>
      </c>
      <c r="AM1400" s="16" t="n">
        <f aca="false">COUNTIFS($D$2:$D$2501,D1400,$G$2:$G$2501,"&gt;"&amp;G1400)+COUNTIFS($D$2:D1400,D1400,$G$2:G1400,G1400)</f>
        <v>642</v>
      </c>
      <c r="AN1400" s="5" t="str">
        <f aca="false">D1400&amp;"|"&amp;AM1400</f>
        <v>分析與報告生成|642</v>
      </c>
    </row>
    <row r="1401" customFormat="false" ht="17.15" hidden="false" customHeight="false" outlineLevel="0" collapsed="false">
      <c r="A1401" s="16" t="n">
        <f aca="false">RANK(G1401,$G$2:$G$2501)+COUNTIF($G$2:G1401,G1401)-1</f>
        <v>1400</v>
      </c>
      <c r="B1401" s="11" t="s">
        <v>3482</v>
      </c>
      <c r="C1401" s="11" t="s">
        <v>1950</v>
      </c>
      <c r="D1401" s="5" t="s">
        <v>56</v>
      </c>
      <c r="E1401" s="5" t="s">
        <v>57</v>
      </c>
      <c r="F1401" s="5"/>
      <c r="G1401" s="22" t="n">
        <f aca="false">ROUND(SUM(I1401:P1401),3)</f>
        <v>60.822</v>
      </c>
      <c r="H1401" s="5" t="str">
        <f aca="false">IF(G1401&gt;=評分方法!$C$16,"優先評估",IF(G1401&gt;=評分方法!$C$17,"列入候選",IF(G1401&gt;=評分方法!$C$18,"特定情境","不建議")))</f>
        <v>特定情境</v>
      </c>
      <c r="I1401" s="15" t="n">
        <f aca="false">AE1401*評分方法!$C$5</f>
        <v>25.5</v>
      </c>
      <c r="J1401" s="15" t="n">
        <f aca="false">AF1401*評分方法!$C$6</f>
        <v>0</v>
      </c>
      <c r="K1401" s="15" t="n">
        <f aca="false">AG1401*評分方法!$C$7</f>
        <v>4.95</v>
      </c>
      <c r="L1401" s="15" t="n">
        <f aca="false">AH1401*評分方法!$C$8</f>
        <v>15</v>
      </c>
      <c r="M1401" s="15" t="n">
        <f aca="false">AI1401*評分方法!$C$9</f>
        <v>6</v>
      </c>
      <c r="N1401" s="15" t="n">
        <f aca="false">AJ1401*評分方法!$C$10</f>
        <v>1.372</v>
      </c>
      <c r="O1401" s="15" t="n">
        <f aca="false">AK1401*評分方法!$C$11</f>
        <v>5</v>
      </c>
      <c r="P1401" s="15" t="n">
        <f aca="false">AL1401*評分方法!$C$12</f>
        <v>3</v>
      </c>
      <c r="Q1401" s="6" t="n">
        <v>172927</v>
      </c>
      <c r="R1401" s="6" t="n">
        <v>69707264</v>
      </c>
      <c r="S1401" s="11" t="s">
        <v>238</v>
      </c>
      <c r="T1401" s="11" t="s">
        <v>185</v>
      </c>
      <c r="U1401" s="5" t="s">
        <v>260</v>
      </c>
      <c r="V1401" s="11" t="s">
        <v>333</v>
      </c>
      <c r="W1401" s="5" t="s">
        <v>334</v>
      </c>
      <c r="X1401" s="5" t="s">
        <v>371</v>
      </c>
      <c r="Y1401" s="5"/>
      <c r="Z1401" s="5"/>
      <c r="AA1401" s="11" t="s">
        <v>155</v>
      </c>
      <c r="AB1401" s="5" t="s">
        <v>961</v>
      </c>
      <c r="AC1401" s="5" t="s">
        <v>1977</v>
      </c>
      <c r="AD1401" s="11" t="s">
        <v>3483</v>
      </c>
      <c r="AE1401" s="23" t="n">
        <v>0.85</v>
      </c>
      <c r="AF1401" s="23" t="n">
        <v>0</v>
      </c>
      <c r="AG1401" s="23" t="n">
        <v>0.33</v>
      </c>
      <c r="AH1401" s="23" t="n">
        <v>1</v>
      </c>
      <c r="AI1401" s="23" t="n">
        <v>0.6</v>
      </c>
      <c r="AJ1401" s="23" t="n">
        <v>0.1372</v>
      </c>
      <c r="AK1401" s="23" t="n">
        <v>1</v>
      </c>
      <c r="AL1401" s="23" t="n">
        <v>0.6</v>
      </c>
      <c r="AM1401" s="16" t="n">
        <f aca="false">COUNTIFS($D$2:$D$2501,D1401,$G$2:$G$2501,"&gt;"&amp;G1401)+COUNTIFS($D$2:D1401,D1401,$G$2:G1401,G1401)</f>
        <v>643</v>
      </c>
      <c r="AN1401" s="5" t="str">
        <f aca="false">D1401&amp;"|"&amp;AM1401</f>
        <v>分析與報告生成|643</v>
      </c>
    </row>
    <row r="1402" customFormat="false" ht="17.15" hidden="false" customHeight="false" outlineLevel="0" collapsed="false">
      <c r="A1402" s="16" t="n">
        <f aca="false">RANK(G1402,$G$2:$G$2501)+COUNTIF($G$2:G1402,G1402)-1</f>
        <v>1401</v>
      </c>
      <c r="B1402" s="11" t="s">
        <v>3484</v>
      </c>
      <c r="C1402" s="11" t="s">
        <v>1550</v>
      </c>
      <c r="D1402" s="5" t="s">
        <v>74</v>
      </c>
      <c r="E1402" s="5" t="s">
        <v>75</v>
      </c>
      <c r="F1402" s="5"/>
      <c r="G1402" s="22" t="n">
        <f aca="false">ROUND(SUM(I1402:P1402),3)</f>
        <v>60.786</v>
      </c>
      <c r="H1402" s="5" t="str">
        <f aca="false">IF(G1402&gt;=評分方法!$C$16,"優先評估",IF(G1402&gt;=評分方法!$C$17,"列入候選",IF(G1402&gt;=評分方法!$C$18,"特定情境","不建議")))</f>
        <v>特定情境</v>
      </c>
      <c r="I1402" s="15" t="n">
        <f aca="false">AE1402*評分方法!$C$5</f>
        <v>13.5</v>
      </c>
      <c r="J1402" s="15" t="n">
        <f aca="false">AF1402*評分方法!$C$6</f>
        <v>0</v>
      </c>
      <c r="K1402" s="15" t="n">
        <f aca="false">AG1402*評分方法!$C$7</f>
        <v>15</v>
      </c>
      <c r="L1402" s="15" t="n">
        <f aca="false">AH1402*評分方法!$C$8</f>
        <v>7.05</v>
      </c>
      <c r="M1402" s="15" t="n">
        <f aca="false">AI1402*評分方法!$C$9</f>
        <v>10</v>
      </c>
      <c r="N1402" s="15" t="n">
        <f aca="false">AJ1402*評分方法!$C$10</f>
        <v>9.736</v>
      </c>
      <c r="O1402" s="15" t="n">
        <f aca="false">AK1402*評分方法!$C$11</f>
        <v>4</v>
      </c>
      <c r="P1402" s="15" t="n">
        <f aca="false">AL1402*評分方法!$C$12</f>
        <v>1.5</v>
      </c>
      <c r="Q1402" s="6" t="n">
        <v>15971557</v>
      </c>
      <c r="R1402" s="6"/>
      <c r="S1402" s="5" t="s">
        <v>255</v>
      </c>
      <c r="T1402" s="11" t="s">
        <v>3485</v>
      </c>
      <c r="U1402" s="5" t="s">
        <v>240</v>
      </c>
      <c r="V1402" s="11" t="s">
        <v>261</v>
      </c>
      <c r="W1402" s="5" t="s">
        <v>205</v>
      </c>
      <c r="X1402" s="5" t="s">
        <v>255</v>
      </c>
      <c r="Y1402" s="5"/>
      <c r="Z1402" s="5"/>
      <c r="AA1402" s="11" t="s">
        <v>164</v>
      </c>
      <c r="AB1402" s="5" t="s">
        <v>343</v>
      </c>
      <c r="AC1402" s="5" t="s">
        <v>344</v>
      </c>
      <c r="AD1402" s="11" t="s">
        <v>3486</v>
      </c>
      <c r="AE1402" s="23" t="n">
        <v>0.45</v>
      </c>
      <c r="AF1402" s="23" t="n">
        <v>0</v>
      </c>
      <c r="AG1402" s="23" t="n">
        <v>1</v>
      </c>
      <c r="AH1402" s="23" t="n">
        <v>0.47</v>
      </c>
      <c r="AI1402" s="23" t="n">
        <v>1</v>
      </c>
      <c r="AJ1402" s="23" t="n">
        <v>0.9736</v>
      </c>
      <c r="AK1402" s="23" t="n">
        <v>0.8</v>
      </c>
      <c r="AL1402" s="23" t="n">
        <v>0.3</v>
      </c>
      <c r="AM1402" s="16" t="n">
        <f aca="false">COUNTIFS($D$2:$D$2501,D1402,$G$2:$G$2501,"&gt;"&amp;G1402)+COUNTIFS($D$2:D1402,D1402,$G$2:G1402,G1402)</f>
        <v>84</v>
      </c>
      <c r="AN1402" s="5" t="str">
        <f aca="false">D1402&amp;"|"&amp;AM1402</f>
        <v>文件與影像辨識|84</v>
      </c>
    </row>
    <row r="1403" customFormat="false" ht="17.15" hidden="false" customHeight="false" outlineLevel="0" collapsed="false">
      <c r="A1403" s="16" t="n">
        <f aca="false">RANK(G1403,$G$2:$G$2501)+COUNTIF($G$2:G1403,G1403)-1</f>
        <v>1402</v>
      </c>
      <c r="B1403" s="11" t="s">
        <v>3487</v>
      </c>
      <c r="C1403" s="11" t="s">
        <v>2693</v>
      </c>
      <c r="D1403" s="5" t="s">
        <v>74</v>
      </c>
      <c r="E1403" s="5" t="s">
        <v>75</v>
      </c>
      <c r="F1403" s="5"/>
      <c r="G1403" s="22" t="n">
        <f aca="false">ROUND(SUM(I1403:P1403),3)</f>
        <v>60.784</v>
      </c>
      <c r="H1403" s="5" t="str">
        <f aca="false">IF(G1403&gt;=評分方法!$C$16,"優先評估",IF(G1403&gt;=評分方法!$C$17,"列入候選",IF(G1403&gt;=評分方法!$C$18,"特定情境","不建議")))</f>
        <v>特定情境</v>
      </c>
      <c r="I1403" s="15" t="n">
        <f aca="false">AE1403*評分方法!$C$5</f>
        <v>10.5</v>
      </c>
      <c r="J1403" s="15" t="n">
        <f aca="false">AF1403*評分方法!$C$6</f>
        <v>0</v>
      </c>
      <c r="K1403" s="15" t="n">
        <f aca="false">AG1403*評分方法!$C$7</f>
        <v>15</v>
      </c>
      <c r="L1403" s="15" t="n">
        <f aca="false">AH1403*評分方法!$C$8</f>
        <v>15</v>
      </c>
      <c r="M1403" s="15" t="n">
        <f aca="false">AI1403*評分方法!$C$9</f>
        <v>10</v>
      </c>
      <c r="N1403" s="15" t="n">
        <f aca="false">AJ1403*評分方法!$C$10</f>
        <v>6.284</v>
      </c>
      <c r="O1403" s="15" t="n">
        <f aca="false">AK1403*評分方法!$C$11</f>
        <v>2.5</v>
      </c>
      <c r="P1403" s="15" t="n">
        <f aca="false">AL1403*評分方法!$C$12</f>
        <v>1.5</v>
      </c>
      <c r="Q1403" s="6" t="n">
        <v>687058</v>
      </c>
      <c r="R1403" s="6" t="n">
        <v>427888064</v>
      </c>
      <c r="S1403" s="11" t="s">
        <v>238</v>
      </c>
      <c r="T1403" s="11" t="s">
        <v>239</v>
      </c>
      <c r="U1403" s="5" t="s">
        <v>240</v>
      </c>
      <c r="V1403" s="11" t="s">
        <v>324</v>
      </c>
      <c r="W1403" s="5" t="s">
        <v>205</v>
      </c>
      <c r="X1403" s="5" t="s">
        <v>255</v>
      </c>
      <c r="Y1403" s="5"/>
      <c r="Z1403" s="5"/>
      <c r="AA1403" s="11" t="s">
        <v>173</v>
      </c>
      <c r="AB1403" s="5" t="s">
        <v>245</v>
      </c>
      <c r="AC1403" s="5"/>
      <c r="AD1403" s="11" t="s">
        <v>3488</v>
      </c>
      <c r="AE1403" s="23" t="n">
        <v>0.35</v>
      </c>
      <c r="AF1403" s="23" t="n">
        <v>0</v>
      </c>
      <c r="AG1403" s="23" t="n">
        <v>1</v>
      </c>
      <c r="AH1403" s="23" t="n">
        <v>1</v>
      </c>
      <c r="AI1403" s="23" t="n">
        <v>1</v>
      </c>
      <c r="AJ1403" s="23" t="n">
        <v>0.6284</v>
      </c>
      <c r="AK1403" s="23" t="n">
        <v>0.5</v>
      </c>
      <c r="AL1403" s="23" t="n">
        <v>0.3</v>
      </c>
      <c r="AM1403" s="16" t="n">
        <f aca="false">COUNTIFS($D$2:$D$2501,D1403,$G$2:$G$2501,"&gt;"&amp;G1403)+COUNTIFS($D$2:D1403,D1403,$G$2:G1403,G1403)</f>
        <v>85</v>
      </c>
      <c r="AN1403" s="5" t="str">
        <f aca="false">D1403&amp;"|"&amp;AM1403</f>
        <v>文件與影像辨識|85</v>
      </c>
    </row>
    <row r="1404" customFormat="false" ht="17.15" hidden="false" customHeight="false" outlineLevel="0" collapsed="false">
      <c r="A1404" s="16" t="n">
        <f aca="false">RANK(G1404,$G$2:$G$2501)+COUNTIF($G$2:G1404,G1404)-1</f>
        <v>1403</v>
      </c>
      <c r="B1404" s="11" t="s">
        <v>3489</v>
      </c>
      <c r="C1404" s="11" t="s">
        <v>891</v>
      </c>
      <c r="D1404" s="5" t="s">
        <v>56</v>
      </c>
      <c r="E1404" s="5" t="s">
        <v>57</v>
      </c>
      <c r="F1404" s="5"/>
      <c r="G1404" s="22" t="n">
        <f aca="false">ROUND(SUM(I1404:P1404),3)</f>
        <v>60.776</v>
      </c>
      <c r="H1404" s="5" t="str">
        <f aca="false">IF(G1404&gt;=評分方法!$C$16,"優先評估",IF(G1404&gt;=評分方法!$C$17,"列入候選",IF(G1404&gt;=評分方法!$C$18,"特定情境","不建議")))</f>
        <v>特定情境</v>
      </c>
      <c r="I1404" s="15" t="n">
        <f aca="false">AE1404*評分方法!$C$5</f>
        <v>25.5</v>
      </c>
      <c r="J1404" s="15" t="n">
        <f aca="false">AF1404*評分方法!$C$6</f>
        <v>0</v>
      </c>
      <c r="K1404" s="15" t="n">
        <f aca="false">AG1404*評分方法!$C$7</f>
        <v>10.05</v>
      </c>
      <c r="L1404" s="15" t="n">
        <f aca="false">AH1404*評分方法!$C$8</f>
        <v>7.05</v>
      </c>
      <c r="M1404" s="15" t="n">
        <f aca="false">AI1404*評分方法!$C$9</f>
        <v>10</v>
      </c>
      <c r="N1404" s="15" t="n">
        <f aca="false">AJ1404*評分方法!$C$10</f>
        <v>0.676</v>
      </c>
      <c r="O1404" s="15" t="n">
        <f aca="false">AK1404*評分方法!$C$11</f>
        <v>2.5</v>
      </c>
      <c r="P1404" s="15" t="n">
        <f aca="false">AL1404*評分方法!$C$12</f>
        <v>5</v>
      </c>
      <c r="Q1404" s="6" t="n">
        <v>141426</v>
      </c>
      <c r="R1404" s="6"/>
      <c r="S1404" s="5" t="s">
        <v>255</v>
      </c>
      <c r="T1404" s="11" t="s">
        <v>239</v>
      </c>
      <c r="U1404" s="5" t="s">
        <v>240</v>
      </c>
      <c r="V1404" s="11" t="s">
        <v>261</v>
      </c>
      <c r="W1404" s="5" t="s">
        <v>207</v>
      </c>
      <c r="X1404" s="5" t="s">
        <v>284</v>
      </c>
      <c r="Y1404" s="11" t="s">
        <v>1456</v>
      </c>
      <c r="Z1404" s="11" t="s">
        <v>244</v>
      </c>
      <c r="AA1404" s="11" t="s">
        <v>155</v>
      </c>
      <c r="AB1404" s="5" t="s">
        <v>328</v>
      </c>
      <c r="AC1404" s="5" t="s">
        <v>340</v>
      </c>
      <c r="AD1404" s="11" t="s">
        <v>3490</v>
      </c>
      <c r="AE1404" s="23" t="n">
        <v>0.85</v>
      </c>
      <c r="AF1404" s="23" t="n">
        <v>0</v>
      </c>
      <c r="AG1404" s="23" t="n">
        <v>0.67</v>
      </c>
      <c r="AH1404" s="23" t="n">
        <v>0.47</v>
      </c>
      <c r="AI1404" s="23" t="n">
        <v>1</v>
      </c>
      <c r="AJ1404" s="23" t="n">
        <v>0.0676</v>
      </c>
      <c r="AK1404" s="23" t="n">
        <v>0.5</v>
      </c>
      <c r="AL1404" s="23" t="n">
        <v>1</v>
      </c>
      <c r="AM1404" s="16" t="n">
        <f aca="false">COUNTIFS($D$2:$D$2501,D1404,$G$2:$G$2501,"&gt;"&amp;G1404)+COUNTIFS($D$2:D1404,D1404,$G$2:G1404,G1404)</f>
        <v>644</v>
      </c>
      <c r="AN1404" s="5" t="str">
        <f aca="false">D1404&amp;"|"&amp;AM1404</f>
        <v>分析與報告生成|644</v>
      </c>
    </row>
    <row r="1405" customFormat="false" ht="17.15" hidden="false" customHeight="false" outlineLevel="0" collapsed="false">
      <c r="A1405" s="16" t="n">
        <f aca="false">RANK(G1405,$G$2:$G$2501)+COUNTIF($G$2:G1405,G1405)-1</f>
        <v>1404</v>
      </c>
      <c r="B1405" s="11" t="s">
        <v>3491</v>
      </c>
      <c r="C1405" s="11" t="s">
        <v>2693</v>
      </c>
      <c r="D1405" s="5" t="s">
        <v>74</v>
      </c>
      <c r="E1405" s="5" t="s">
        <v>75</v>
      </c>
      <c r="F1405" s="5"/>
      <c r="G1405" s="22" t="n">
        <f aca="false">ROUND(SUM(I1405:P1405),3)</f>
        <v>60.768</v>
      </c>
      <c r="H1405" s="5" t="str">
        <f aca="false">IF(G1405&gt;=評分方法!$C$16,"優先評估",IF(G1405&gt;=評分方法!$C$17,"列入候選",IF(G1405&gt;=評分方法!$C$18,"特定情境","不建議")))</f>
        <v>特定情境</v>
      </c>
      <c r="I1405" s="15" t="n">
        <f aca="false">AE1405*評分方法!$C$5</f>
        <v>10.5</v>
      </c>
      <c r="J1405" s="15" t="n">
        <f aca="false">AF1405*評分方法!$C$6</f>
        <v>0</v>
      </c>
      <c r="K1405" s="15" t="n">
        <f aca="false">AG1405*評分方法!$C$7</f>
        <v>15</v>
      </c>
      <c r="L1405" s="15" t="n">
        <f aca="false">AH1405*評分方法!$C$8</f>
        <v>15</v>
      </c>
      <c r="M1405" s="15" t="n">
        <f aca="false">AI1405*評分方法!$C$9</f>
        <v>10</v>
      </c>
      <c r="N1405" s="15" t="n">
        <f aca="false">AJ1405*評分方法!$C$10</f>
        <v>6.268</v>
      </c>
      <c r="O1405" s="15" t="n">
        <f aca="false">AK1405*評分方法!$C$11</f>
        <v>2.5</v>
      </c>
      <c r="P1405" s="15" t="n">
        <f aca="false">AL1405*評分方法!$C$12</f>
        <v>1.5</v>
      </c>
      <c r="Q1405" s="6" t="n">
        <v>685587</v>
      </c>
      <c r="R1405" s="6" t="n">
        <v>90806624</v>
      </c>
      <c r="S1405" s="11" t="s">
        <v>238</v>
      </c>
      <c r="T1405" s="11" t="s">
        <v>278</v>
      </c>
      <c r="U1405" s="5" t="s">
        <v>240</v>
      </c>
      <c r="V1405" s="11" t="s">
        <v>324</v>
      </c>
      <c r="W1405" s="5" t="s">
        <v>205</v>
      </c>
      <c r="X1405" s="5" t="s">
        <v>255</v>
      </c>
      <c r="Y1405" s="5"/>
      <c r="Z1405" s="5"/>
      <c r="AA1405" s="11" t="s">
        <v>172</v>
      </c>
      <c r="AB1405" s="5" t="s">
        <v>245</v>
      </c>
      <c r="AC1405" s="5"/>
      <c r="AD1405" s="11" t="s">
        <v>3492</v>
      </c>
      <c r="AE1405" s="23" t="n">
        <v>0.35</v>
      </c>
      <c r="AF1405" s="23" t="n">
        <v>0</v>
      </c>
      <c r="AG1405" s="23" t="n">
        <v>1</v>
      </c>
      <c r="AH1405" s="23" t="n">
        <v>1</v>
      </c>
      <c r="AI1405" s="23" t="n">
        <v>1</v>
      </c>
      <c r="AJ1405" s="23" t="n">
        <v>0.6268</v>
      </c>
      <c r="AK1405" s="23" t="n">
        <v>0.5</v>
      </c>
      <c r="AL1405" s="23" t="n">
        <v>0.3</v>
      </c>
      <c r="AM1405" s="16" t="n">
        <f aca="false">COUNTIFS($D$2:$D$2501,D1405,$G$2:$G$2501,"&gt;"&amp;G1405)+COUNTIFS($D$2:D1405,D1405,$G$2:G1405,G1405)</f>
        <v>86</v>
      </c>
      <c r="AN1405" s="5" t="str">
        <f aca="false">D1405&amp;"|"&amp;AM1405</f>
        <v>文件與影像辨識|86</v>
      </c>
    </row>
    <row r="1406" customFormat="false" ht="17.15" hidden="false" customHeight="false" outlineLevel="0" collapsed="false">
      <c r="A1406" s="16" t="n">
        <f aca="false">RANK(G1406,$G$2:$G$2501)+COUNTIF($G$2:G1406,G1406)-1</f>
        <v>1405</v>
      </c>
      <c r="B1406" s="11" t="s">
        <v>3493</v>
      </c>
      <c r="C1406" s="11" t="s">
        <v>2693</v>
      </c>
      <c r="D1406" s="5" t="s">
        <v>74</v>
      </c>
      <c r="E1406" s="5" t="s">
        <v>75</v>
      </c>
      <c r="F1406" s="5"/>
      <c r="G1406" s="22" t="n">
        <f aca="false">ROUND(SUM(I1406:P1406),3)</f>
        <v>60.756</v>
      </c>
      <c r="H1406" s="5" t="str">
        <f aca="false">IF(G1406&gt;=評分方法!$C$16,"優先評估",IF(G1406&gt;=評分方法!$C$17,"列入候選",IF(G1406&gt;=評分方法!$C$18,"特定情境","不建議")))</f>
        <v>特定情境</v>
      </c>
      <c r="I1406" s="15" t="n">
        <f aca="false">AE1406*評分方法!$C$5</f>
        <v>10.5</v>
      </c>
      <c r="J1406" s="15" t="n">
        <f aca="false">AF1406*評分方法!$C$6</f>
        <v>0</v>
      </c>
      <c r="K1406" s="15" t="n">
        <f aca="false">AG1406*評分方法!$C$7</f>
        <v>15</v>
      </c>
      <c r="L1406" s="15" t="n">
        <f aca="false">AH1406*評分方法!$C$8</f>
        <v>15</v>
      </c>
      <c r="M1406" s="15" t="n">
        <f aca="false">AI1406*評分方法!$C$9</f>
        <v>10</v>
      </c>
      <c r="N1406" s="15" t="n">
        <f aca="false">AJ1406*評分方法!$C$10</f>
        <v>6.256</v>
      </c>
      <c r="O1406" s="15" t="n">
        <f aca="false">AK1406*評分方法!$C$11</f>
        <v>2.5</v>
      </c>
      <c r="P1406" s="15" t="n">
        <f aca="false">AL1406*評分方法!$C$12</f>
        <v>1.5</v>
      </c>
      <c r="Q1406" s="6" t="n">
        <v>682608</v>
      </c>
      <c r="R1406" s="6" t="n">
        <v>8062504</v>
      </c>
      <c r="S1406" s="11" t="s">
        <v>238</v>
      </c>
      <c r="T1406" s="11" t="s">
        <v>239</v>
      </c>
      <c r="U1406" s="5" t="s">
        <v>240</v>
      </c>
      <c r="V1406" s="11" t="s">
        <v>324</v>
      </c>
      <c r="W1406" s="5" t="s">
        <v>205</v>
      </c>
      <c r="X1406" s="5" t="s">
        <v>255</v>
      </c>
      <c r="Y1406" s="5"/>
      <c r="Z1406" s="5"/>
      <c r="AA1406" s="11" t="s">
        <v>172</v>
      </c>
      <c r="AB1406" s="5" t="s">
        <v>245</v>
      </c>
      <c r="AC1406" s="5"/>
      <c r="AD1406" s="11" t="s">
        <v>3494</v>
      </c>
      <c r="AE1406" s="23" t="n">
        <v>0.35</v>
      </c>
      <c r="AF1406" s="23" t="n">
        <v>0</v>
      </c>
      <c r="AG1406" s="23" t="n">
        <v>1</v>
      </c>
      <c r="AH1406" s="23" t="n">
        <v>1</v>
      </c>
      <c r="AI1406" s="23" t="n">
        <v>1</v>
      </c>
      <c r="AJ1406" s="23" t="n">
        <v>0.6256</v>
      </c>
      <c r="AK1406" s="23" t="n">
        <v>0.5</v>
      </c>
      <c r="AL1406" s="23" t="n">
        <v>0.3</v>
      </c>
      <c r="AM1406" s="16" t="n">
        <f aca="false">COUNTIFS($D$2:$D$2501,D1406,$G$2:$G$2501,"&gt;"&amp;G1406)+COUNTIFS($D$2:D1406,D1406,$G$2:G1406,G1406)</f>
        <v>87</v>
      </c>
      <c r="AN1406" s="5" t="str">
        <f aca="false">D1406&amp;"|"&amp;AM1406</f>
        <v>文件與影像辨識|87</v>
      </c>
    </row>
    <row r="1407" customFormat="false" ht="17.15" hidden="false" customHeight="false" outlineLevel="0" collapsed="false">
      <c r="A1407" s="16" t="n">
        <f aca="false">RANK(G1407,$G$2:$G$2501)+COUNTIF($G$2:G1407,G1407)-1</f>
        <v>1406</v>
      </c>
      <c r="B1407" s="11" t="s">
        <v>3495</v>
      </c>
      <c r="C1407" s="11" t="s">
        <v>2693</v>
      </c>
      <c r="D1407" s="5" t="s">
        <v>74</v>
      </c>
      <c r="E1407" s="5" t="s">
        <v>75</v>
      </c>
      <c r="F1407" s="5"/>
      <c r="G1407" s="22" t="n">
        <f aca="false">ROUND(SUM(I1407:P1407),3)</f>
        <v>60.752</v>
      </c>
      <c r="H1407" s="5" t="str">
        <f aca="false">IF(G1407&gt;=評分方法!$C$16,"優先評估",IF(G1407&gt;=評分方法!$C$17,"列入候選",IF(G1407&gt;=評分方法!$C$18,"特定情境","不建議")))</f>
        <v>特定情境</v>
      </c>
      <c r="I1407" s="15" t="n">
        <f aca="false">AE1407*評分方法!$C$5</f>
        <v>10.5</v>
      </c>
      <c r="J1407" s="15" t="n">
        <f aca="false">AF1407*評分方法!$C$6</f>
        <v>0</v>
      </c>
      <c r="K1407" s="15" t="n">
        <f aca="false">AG1407*評分方法!$C$7</f>
        <v>15</v>
      </c>
      <c r="L1407" s="15" t="n">
        <f aca="false">AH1407*評分方法!$C$8</f>
        <v>15</v>
      </c>
      <c r="M1407" s="15" t="n">
        <f aca="false">AI1407*評分方法!$C$9</f>
        <v>10</v>
      </c>
      <c r="N1407" s="15" t="n">
        <f aca="false">AJ1407*評分方法!$C$10</f>
        <v>6.252</v>
      </c>
      <c r="O1407" s="15" t="n">
        <f aca="false">AK1407*評分方法!$C$11</f>
        <v>2.5</v>
      </c>
      <c r="P1407" s="15" t="n">
        <f aca="false">AL1407*評分方法!$C$12</f>
        <v>1.5</v>
      </c>
      <c r="Q1407" s="6" t="n">
        <v>682557</v>
      </c>
      <c r="R1407" s="6" t="n">
        <v>88222464</v>
      </c>
      <c r="S1407" s="11" t="s">
        <v>238</v>
      </c>
      <c r="T1407" s="11" t="s">
        <v>239</v>
      </c>
      <c r="U1407" s="5" t="s">
        <v>240</v>
      </c>
      <c r="V1407" s="11" t="s">
        <v>324</v>
      </c>
      <c r="W1407" s="5" t="s">
        <v>205</v>
      </c>
      <c r="X1407" s="5" t="s">
        <v>255</v>
      </c>
      <c r="Y1407" s="5"/>
      <c r="Z1407" s="5"/>
      <c r="AA1407" s="11" t="s">
        <v>173</v>
      </c>
      <c r="AB1407" s="5" t="s">
        <v>245</v>
      </c>
      <c r="AC1407" s="5"/>
      <c r="AD1407" s="11" t="s">
        <v>3496</v>
      </c>
      <c r="AE1407" s="23" t="n">
        <v>0.35</v>
      </c>
      <c r="AF1407" s="23" t="n">
        <v>0</v>
      </c>
      <c r="AG1407" s="23" t="n">
        <v>1</v>
      </c>
      <c r="AH1407" s="23" t="n">
        <v>1</v>
      </c>
      <c r="AI1407" s="23" t="n">
        <v>1</v>
      </c>
      <c r="AJ1407" s="23" t="n">
        <v>0.6252</v>
      </c>
      <c r="AK1407" s="23" t="n">
        <v>0.5</v>
      </c>
      <c r="AL1407" s="23" t="n">
        <v>0.3</v>
      </c>
      <c r="AM1407" s="16" t="n">
        <f aca="false">COUNTIFS($D$2:$D$2501,D1407,$G$2:$G$2501,"&gt;"&amp;G1407)+COUNTIFS($D$2:D1407,D1407,$G$2:G1407,G1407)</f>
        <v>88</v>
      </c>
      <c r="AN1407" s="5" t="str">
        <f aca="false">D1407&amp;"|"&amp;AM1407</f>
        <v>文件與影像辨識|88</v>
      </c>
    </row>
    <row r="1408" customFormat="false" ht="17.15" hidden="false" customHeight="false" outlineLevel="0" collapsed="false">
      <c r="A1408" s="16" t="n">
        <f aca="false">RANK(G1408,$G$2:$G$2501)+COUNTIF($G$2:G1408,G1408)-1</f>
        <v>1407</v>
      </c>
      <c r="B1408" s="11" t="s">
        <v>3497</v>
      </c>
      <c r="C1408" s="11" t="s">
        <v>753</v>
      </c>
      <c r="D1408" s="5" t="s">
        <v>56</v>
      </c>
      <c r="E1408" s="5" t="s">
        <v>57</v>
      </c>
      <c r="F1408" s="5"/>
      <c r="G1408" s="22" t="n">
        <f aca="false">ROUND(SUM(I1408:P1408),3)</f>
        <v>60.74</v>
      </c>
      <c r="H1408" s="5" t="str">
        <f aca="false">IF(G1408&gt;=評分方法!$C$16,"優先評估",IF(G1408&gt;=評分方法!$C$17,"列入候選",IF(G1408&gt;=評分方法!$C$18,"特定情境","不建議")))</f>
        <v>特定情境</v>
      </c>
      <c r="I1408" s="15" t="n">
        <f aca="false">AE1408*評分方法!$C$5</f>
        <v>25.5</v>
      </c>
      <c r="J1408" s="15" t="n">
        <f aca="false">AF1408*評分方法!$C$6</f>
        <v>0</v>
      </c>
      <c r="K1408" s="15" t="n">
        <f aca="false">AG1408*評分方法!$C$7</f>
        <v>10.05</v>
      </c>
      <c r="L1408" s="15" t="n">
        <f aca="false">AH1408*評分方法!$C$8</f>
        <v>13.05</v>
      </c>
      <c r="M1408" s="15" t="n">
        <f aca="false">AI1408*評分方法!$C$9</f>
        <v>6</v>
      </c>
      <c r="N1408" s="15" t="n">
        <f aca="false">AJ1408*評分方法!$C$10</f>
        <v>3.64</v>
      </c>
      <c r="O1408" s="15" t="n">
        <f aca="false">AK1408*評分方法!$C$11</f>
        <v>2.5</v>
      </c>
      <c r="P1408" s="15" t="n">
        <f aca="false">AL1408*評分方法!$C$12</f>
        <v>0</v>
      </c>
      <c r="Q1408" s="6" t="n">
        <v>368969</v>
      </c>
      <c r="R1408" s="6" t="n">
        <v>3301123016</v>
      </c>
      <c r="S1408" s="11" t="s">
        <v>254</v>
      </c>
      <c r="T1408" s="11" t="s">
        <v>1044</v>
      </c>
      <c r="U1408" s="5" t="s">
        <v>260</v>
      </c>
      <c r="V1408" s="11" t="s">
        <v>261</v>
      </c>
      <c r="W1408" s="5" t="s">
        <v>207</v>
      </c>
      <c r="X1408" s="5" t="s">
        <v>242</v>
      </c>
      <c r="Y1408" s="11" t="s">
        <v>1340</v>
      </c>
      <c r="Z1408" s="11" t="s">
        <v>244</v>
      </c>
      <c r="AA1408" s="11" t="s">
        <v>155</v>
      </c>
      <c r="AB1408" s="5" t="s">
        <v>245</v>
      </c>
      <c r="AC1408" s="5" t="s">
        <v>464</v>
      </c>
      <c r="AD1408" s="11" t="s">
        <v>3498</v>
      </c>
      <c r="AE1408" s="23" t="n">
        <v>0.85</v>
      </c>
      <c r="AF1408" s="23" t="n">
        <v>0</v>
      </c>
      <c r="AG1408" s="23" t="n">
        <v>0.67</v>
      </c>
      <c r="AH1408" s="23" t="n">
        <v>0.87</v>
      </c>
      <c r="AI1408" s="23" t="n">
        <v>0.6</v>
      </c>
      <c r="AJ1408" s="23" t="n">
        <v>0.364</v>
      </c>
      <c r="AK1408" s="23" t="n">
        <v>0.5</v>
      </c>
      <c r="AL1408" s="23" t="n">
        <v>0</v>
      </c>
      <c r="AM1408" s="16" t="n">
        <f aca="false">COUNTIFS($D$2:$D$2501,D1408,$G$2:$G$2501,"&gt;"&amp;G1408)+COUNTIFS($D$2:D1408,D1408,$G$2:G1408,G1408)</f>
        <v>645</v>
      </c>
      <c r="AN1408" s="5" t="str">
        <f aca="false">D1408&amp;"|"&amp;AM1408</f>
        <v>分析與報告生成|645</v>
      </c>
    </row>
    <row r="1409" customFormat="false" ht="17.15" hidden="false" customHeight="false" outlineLevel="0" collapsed="false">
      <c r="A1409" s="16" t="n">
        <f aca="false">RANK(G1409,$G$2:$G$2501)+COUNTIF($G$2:G1409,G1409)-1</f>
        <v>1408</v>
      </c>
      <c r="B1409" s="11" t="s">
        <v>3499</v>
      </c>
      <c r="C1409" s="11" t="s">
        <v>1438</v>
      </c>
      <c r="D1409" s="5" t="s">
        <v>56</v>
      </c>
      <c r="E1409" s="5" t="s">
        <v>57</v>
      </c>
      <c r="F1409" s="5"/>
      <c r="G1409" s="22" t="n">
        <f aca="false">ROUND(SUM(I1409:P1409),3)</f>
        <v>60.732</v>
      </c>
      <c r="H1409" s="5" t="str">
        <f aca="false">IF(G1409&gt;=評分方法!$C$16,"優先評估",IF(G1409&gt;=評分方法!$C$17,"列入候選",IF(G1409&gt;=評分方法!$C$18,"特定情境","不建議")))</f>
        <v>特定情境</v>
      </c>
      <c r="I1409" s="15" t="n">
        <f aca="false">AE1409*評分方法!$C$5</f>
        <v>25.5</v>
      </c>
      <c r="J1409" s="15" t="n">
        <f aca="false">AF1409*評分方法!$C$6</f>
        <v>0</v>
      </c>
      <c r="K1409" s="15" t="n">
        <f aca="false">AG1409*評分方法!$C$7</f>
        <v>10.05</v>
      </c>
      <c r="L1409" s="15" t="n">
        <f aca="false">AH1409*評分方法!$C$8</f>
        <v>13.05</v>
      </c>
      <c r="M1409" s="15" t="n">
        <f aca="false">AI1409*評分方法!$C$9</f>
        <v>10</v>
      </c>
      <c r="N1409" s="15" t="n">
        <f aca="false">AJ1409*評分方法!$C$10</f>
        <v>1.132</v>
      </c>
      <c r="O1409" s="15" t="n">
        <f aca="false">AK1409*評分方法!$C$11</f>
        <v>1</v>
      </c>
      <c r="P1409" s="15" t="n">
        <f aca="false">AL1409*評分方法!$C$12</f>
        <v>0</v>
      </c>
      <c r="Q1409" s="6" t="n">
        <v>158556</v>
      </c>
      <c r="R1409" s="6" t="n">
        <v>7241732096</v>
      </c>
      <c r="S1409" s="11" t="s">
        <v>254</v>
      </c>
      <c r="T1409" s="11" t="s">
        <v>239</v>
      </c>
      <c r="U1409" s="5" t="s">
        <v>240</v>
      </c>
      <c r="V1409" s="11" t="s">
        <v>333</v>
      </c>
      <c r="W1409" s="5" t="s">
        <v>207</v>
      </c>
      <c r="X1409" s="5" t="s">
        <v>242</v>
      </c>
      <c r="Y1409" s="11" t="s">
        <v>645</v>
      </c>
      <c r="Z1409" s="11" t="s">
        <v>244</v>
      </c>
      <c r="AA1409" s="11" t="s">
        <v>155</v>
      </c>
      <c r="AB1409" s="5" t="s">
        <v>245</v>
      </c>
      <c r="AC1409" s="5" t="s">
        <v>246</v>
      </c>
      <c r="AD1409" s="11" t="s">
        <v>3500</v>
      </c>
      <c r="AE1409" s="23" t="n">
        <v>0.85</v>
      </c>
      <c r="AF1409" s="23" t="n">
        <v>0</v>
      </c>
      <c r="AG1409" s="23" t="n">
        <v>0.67</v>
      </c>
      <c r="AH1409" s="23" t="n">
        <v>0.87</v>
      </c>
      <c r="AI1409" s="23" t="n">
        <v>1</v>
      </c>
      <c r="AJ1409" s="23" t="n">
        <v>0.1132</v>
      </c>
      <c r="AK1409" s="23" t="n">
        <v>0.2</v>
      </c>
      <c r="AL1409" s="23" t="n">
        <v>0</v>
      </c>
      <c r="AM1409" s="16" t="n">
        <f aca="false">COUNTIFS($D$2:$D$2501,D1409,$G$2:$G$2501,"&gt;"&amp;G1409)+COUNTIFS($D$2:D1409,D1409,$G$2:G1409,G1409)</f>
        <v>646</v>
      </c>
      <c r="AN1409" s="5" t="str">
        <f aca="false">D1409&amp;"|"&amp;AM1409</f>
        <v>分析與報告生成|646</v>
      </c>
    </row>
    <row r="1410" customFormat="false" ht="17.15" hidden="false" customHeight="false" outlineLevel="0" collapsed="false">
      <c r="A1410" s="16" t="n">
        <f aca="false">RANK(G1410,$G$2:$G$2501)+COUNTIF($G$2:G1410,G1410)-1</f>
        <v>1409</v>
      </c>
      <c r="B1410" s="11" t="s">
        <v>3501</v>
      </c>
      <c r="C1410" s="11" t="s">
        <v>891</v>
      </c>
      <c r="D1410" s="5" t="s">
        <v>56</v>
      </c>
      <c r="E1410" s="5" t="s">
        <v>57</v>
      </c>
      <c r="F1410" s="5"/>
      <c r="G1410" s="22" t="n">
        <f aca="false">ROUND(SUM(I1410:P1410),3)</f>
        <v>60.72</v>
      </c>
      <c r="H1410" s="5" t="str">
        <f aca="false">IF(G1410&gt;=評分方法!$C$16,"優先評估",IF(G1410&gt;=評分方法!$C$17,"列入候選",IF(G1410&gt;=評分方法!$C$18,"特定情境","不建議")))</f>
        <v>特定情境</v>
      </c>
      <c r="I1410" s="15" t="n">
        <f aca="false">AE1410*評分方法!$C$5</f>
        <v>25.5</v>
      </c>
      <c r="J1410" s="15" t="n">
        <f aca="false">AF1410*評分方法!$C$6</f>
        <v>0</v>
      </c>
      <c r="K1410" s="15" t="n">
        <f aca="false">AG1410*評分方法!$C$7</f>
        <v>10.05</v>
      </c>
      <c r="L1410" s="15" t="n">
        <f aca="false">AH1410*評分方法!$C$8</f>
        <v>7.05</v>
      </c>
      <c r="M1410" s="15" t="n">
        <f aca="false">AI1410*評分方法!$C$9</f>
        <v>10</v>
      </c>
      <c r="N1410" s="15" t="n">
        <f aca="false">AJ1410*評分方法!$C$10</f>
        <v>0.62</v>
      </c>
      <c r="O1410" s="15" t="n">
        <f aca="false">AK1410*評分方法!$C$11</f>
        <v>2.5</v>
      </c>
      <c r="P1410" s="15" t="n">
        <f aca="false">AL1410*評分方法!$C$12</f>
        <v>5</v>
      </c>
      <c r="Q1410" s="6" t="n">
        <v>138521</v>
      </c>
      <c r="R1410" s="6"/>
      <c r="S1410" s="5" t="s">
        <v>255</v>
      </c>
      <c r="T1410" s="11" t="s">
        <v>239</v>
      </c>
      <c r="U1410" s="5" t="s">
        <v>240</v>
      </c>
      <c r="V1410" s="11" t="s">
        <v>261</v>
      </c>
      <c r="W1410" s="5" t="s">
        <v>207</v>
      </c>
      <c r="X1410" s="5" t="s">
        <v>284</v>
      </c>
      <c r="Y1410" s="11" t="s">
        <v>1456</v>
      </c>
      <c r="Z1410" s="11" t="s">
        <v>244</v>
      </c>
      <c r="AA1410" s="11" t="s">
        <v>155</v>
      </c>
      <c r="AB1410" s="5" t="s">
        <v>328</v>
      </c>
      <c r="AC1410" s="5" t="s">
        <v>340</v>
      </c>
      <c r="AD1410" s="11" t="s">
        <v>3502</v>
      </c>
      <c r="AE1410" s="23" t="n">
        <v>0.85</v>
      </c>
      <c r="AF1410" s="23" t="n">
        <v>0</v>
      </c>
      <c r="AG1410" s="23" t="n">
        <v>0.67</v>
      </c>
      <c r="AH1410" s="23" t="n">
        <v>0.47</v>
      </c>
      <c r="AI1410" s="23" t="n">
        <v>1</v>
      </c>
      <c r="AJ1410" s="23" t="n">
        <v>0.062</v>
      </c>
      <c r="AK1410" s="23" t="n">
        <v>0.5</v>
      </c>
      <c r="AL1410" s="23" t="n">
        <v>1</v>
      </c>
      <c r="AM1410" s="16" t="n">
        <f aca="false">COUNTIFS($D$2:$D$2501,D1410,$G$2:$G$2501,"&gt;"&amp;G1410)+COUNTIFS($D$2:D1410,D1410,$G$2:G1410,G1410)</f>
        <v>647</v>
      </c>
      <c r="AN1410" s="5" t="str">
        <f aca="false">D1410&amp;"|"&amp;AM1410</f>
        <v>分析與報告生成|647</v>
      </c>
    </row>
    <row r="1411" customFormat="false" ht="17.15" hidden="false" customHeight="false" outlineLevel="0" collapsed="false">
      <c r="A1411" s="16" t="n">
        <f aca="false">RANK(G1411,$G$2:$G$2501)+COUNTIF($G$2:G1411,G1411)-1</f>
        <v>1410</v>
      </c>
      <c r="B1411" s="11" t="s">
        <v>3503</v>
      </c>
      <c r="C1411" s="11" t="s">
        <v>2261</v>
      </c>
      <c r="D1411" s="5" t="s">
        <v>54</v>
      </c>
      <c r="E1411" s="5" t="s">
        <v>55</v>
      </c>
      <c r="F1411" s="5"/>
      <c r="G1411" s="22" t="n">
        <f aca="false">ROUND(SUM(I1411:P1411),3)</f>
        <v>60.718</v>
      </c>
      <c r="H1411" s="5" t="str">
        <f aca="false">IF(G1411&gt;=評分方法!$C$16,"優先評估",IF(G1411&gt;=評分方法!$C$17,"列入候選",IF(G1411&gt;=評分方法!$C$18,"特定情境","不建議")))</f>
        <v>特定情境</v>
      </c>
      <c r="I1411" s="15" t="n">
        <f aca="false">AE1411*評分方法!$C$5</f>
        <v>27</v>
      </c>
      <c r="J1411" s="15" t="n">
        <f aca="false">AF1411*評分方法!$C$6</f>
        <v>0</v>
      </c>
      <c r="K1411" s="15" t="n">
        <f aca="false">AG1411*評分方法!$C$7</f>
        <v>10.05</v>
      </c>
      <c r="L1411" s="15" t="n">
        <f aca="false">AH1411*評分方法!$C$8</f>
        <v>15</v>
      </c>
      <c r="M1411" s="15" t="n">
        <f aca="false">AI1411*評分方法!$C$9</f>
        <v>2</v>
      </c>
      <c r="N1411" s="15" t="n">
        <f aca="false">AJ1411*評分方法!$C$10</f>
        <v>4.168</v>
      </c>
      <c r="O1411" s="15" t="n">
        <f aca="false">AK1411*評分方法!$C$11</f>
        <v>1</v>
      </c>
      <c r="P1411" s="15" t="n">
        <f aca="false">AL1411*評分方法!$C$12</f>
        <v>1.5</v>
      </c>
      <c r="Q1411" s="6" t="n">
        <v>450595</v>
      </c>
      <c r="R1411" s="6" t="n">
        <v>0</v>
      </c>
      <c r="S1411" s="11" t="s">
        <v>238</v>
      </c>
      <c r="T1411" s="5"/>
      <c r="U1411" s="5" t="s">
        <v>375</v>
      </c>
      <c r="V1411" s="11" t="s">
        <v>261</v>
      </c>
      <c r="W1411" s="5" t="s">
        <v>207</v>
      </c>
      <c r="X1411" s="5" t="s">
        <v>255</v>
      </c>
      <c r="Y1411" s="5"/>
      <c r="Z1411" s="5"/>
      <c r="AA1411" s="11" t="s">
        <v>153</v>
      </c>
      <c r="AB1411" s="5" t="s">
        <v>245</v>
      </c>
      <c r="AC1411" s="5" t="s">
        <v>262</v>
      </c>
      <c r="AD1411" s="11" t="s">
        <v>3504</v>
      </c>
      <c r="AE1411" s="23" t="n">
        <v>0.9</v>
      </c>
      <c r="AF1411" s="23" t="n">
        <v>0</v>
      </c>
      <c r="AG1411" s="23" t="n">
        <v>0.67</v>
      </c>
      <c r="AH1411" s="23" t="n">
        <v>1</v>
      </c>
      <c r="AI1411" s="23" t="n">
        <v>0.2</v>
      </c>
      <c r="AJ1411" s="23" t="n">
        <v>0.4168</v>
      </c>
      <c r="AK1411" s="23" t="n">
        <v>0.2</v>
      </c>
      <c r="AL1411" s="23" t="n">
        <v>0.3</v>
      </c>
      <c r="AM1411" s="16" t="n">
        <f aca="false">COUNTIFS($D$2:$D$2501,D1411,$G$2:$G$2501,"&gt;"&amp;G1411)+COUNTIFS($D$2:D1411,D1411,$G$2:G1411,G1411)</f>
        <v>188</v>
      </c>
      <c r="AN1411" s="5" t="str">
        <f aca="false">D1411&amp;"|"&amp;AM1411</f>
        <v>檢索與情資關聯|188</v>
      </c>
    </row>
    <row r="1412" customFormat="false" ht="17.15" hidden="false" customHeight="false" outlineLevel="0" collapsed="false">
      <c r="A1412" s="16" t="n">
        <f aca="false">RANK(G1412,$G$2:$G$2501)+COUNTIF($G$2:G1412,G1412)-1</f>
        <v>1411</v>
      </c>
      <c r="B1412" s="11" t="s">
        <v>3505</v>
      </c>
      <c r="C1412" s="11" t="s">
        <v>891</v>
      </c>
      <c r="D1412" s="5" t="s">
        <v>56</v>
      </c>
      <c r="E1412" s="5" t="s">
        <v>57</v>
      </c>
      <c r="F1412" s="5"/>
      <c r="G1412" s="22" t="n">
        <f aca="false">ROUND(SUM(I1412:P1412),3)</f>
        <v>60.716</v>
      </c>
      <c r="H1412" s="5" t="str">
        <f aca="false">IF(G1412&gt;=評分方法!$C$16,"優先評估",IF(G1412&gt;=評分方法!$C$17,"列入候選",IF(G1412&gt;=評分方法!$C$18,"特定情境","不建議")))</f>
        <v>特定情境</v>
      </c>
      <c r="I1412" s="15" t="n">
        <f aca="false">AE1412*評分方法!$C$5</f>
        <v>25.5</v>
      </c>
      <c r="J1412" s="15" t="n">
        <f aca="false">AF1412*評分方法!$C$6</f>
        <v>0</v>
      </c>
      <c r="K1412" s="15" t="n">
        <f aca="false">AG1412*評分方法!$C$7</f>
        <v>10.05</v>
      </c>
      <c r="L1412" s="15" t="n">
        <f aca="false">AH1412*評分方法!$C$8</f>
        <v>7.05</v>
      </c>
      <c r="M1412" s="15" t="n">
        <f aca="false">AI1412*評分方法!$C$9</f>
        <v>10</v>
      </c>
      <c r="N1412" s="15" t="n">
        <f aca="false">AJ1412*評分方法!$C$10</f>
        <v>0.616</v>
      </c>
      <c r="O1412" s="15" t="n">
        <f aca="false">AK1412*評分方法!$C$11</f>
        <v>2.5</v>
      </c>
      <c r="P1412" s="15" t="n">
        <f aca="false">AL1412*評分方法!$C$12</f>
        <v>5</v>
      </c>
      <c r="Q1412" s="6" t="n">
        <v>138343</v>
      </c>
      <c r="R1412" s="6"/>
      <c r="S1412" s="5" t="s">
        <v>255</v>
      </c>
      <c r="T1412" s="11" t="s">
        <v>239</v>
      </c>
      <c r="U1412" s="5" t="s">
        <v>240</v>
      </c>
      <c r="V1412" s="11" t="s">
        <v>261</v>
      </c>
      <c r="W1412" s="5" t="s">
        <v>207</v>
      </c>
      <c r="X1412" s="5" t="s">
        <v>284</v>
      </c>
      <c r="Y1412" s="11" t="s">
        <v>1456</v>
      </c>
      <c r="Z1412" s="11" t="s">
        <v>244</v>
      </c>
      <c r="AA1412" s="11" t="s">
        <v>155</v>
      </c>
      <c r="AB1412" s="5" t="s">
        <v>328</v>
      </c>
      <c r="AC1412" s="5" t="s">
        <v>340</v>
      </c>
      <c r="AD1412" s="11" t="s">
        <v>3506</v>
      </c>
      <c r="AE1412" s="23" t="n">
        <v>0.85</v>
      </c>
      <c r="AF1412" s="23" t="n">
        <v>0</v>
      </c>
      <c r="AG1412" s="23" t="n">
        <v>0.67</v>
      </c>
      <c r="AH1412" s="23" t="n">
        <v>0.47</v>
      </c>
      <c r="AI1412" s="23" t="n">
        <v>1</v>
      </c>
      <c r="AJ1412" s="23" t="n">
        <v>0.0616</v>
      </c>
      <c r="AK1412" s="23" t="n">
        <v>0.5</v>
      </c>
      <c r="AL1412" s="23" t="n">
        <v>1</v>
      </c>
      <c r="AM1412" s="16" t="n">
        <f aca="false">COUNTIFS($D$2:$D$2501,D1412,$G$2:$G$2501,"&gt;"&amp;G1412)+COUNTIFS($D$2:D1412,D1412,$G$2:G1412,G1412)</f>
        <v>648</v>
      </c>
      <c r="AN1412" s="5" t="str">
        <f aca="false">D1412&amp;"|"&amp;AM1412</f>
        <v>分析與報告生成|648</v>
      </c>
    </row>
    <row r="1413" customFormat="false" ht="17.15" hidden="false" customHeight="false" outlineLevel="0" collapsed="false">
      <c r="A1413" s="16" t="n">
        <f aca="false">RANK(G1413,$G$2:$G$2501)+COUNTIF($G$2:G1413,G1413)-1</f>
        <v>1412</v>
      </c>
      <c r="B1413" s="11" t="s">
        <v>3507</v>
      </c>
      <c r="C1413" s="11" t="s">
        <v>3508</v>
      </c>
      <c r="D1413" s="5" t="s">
        <v>56</v>
      </c>
      <c r="E1413" s="5" t="s">
        <v>57</v>
      </c>
      <c r="F1413" s="5"/>
      <c r="G1413" s="22" t="n">
        <f aca="false">ROUND(SUM(I1413:P1413),3)</f>
        <v>60.678</v>
      </c>
      <c r="H1413" s="5" t="str">
        <f aca="false">IF(G1413&gt;=評分方法!$C$16,"優先評估",IF(G1413&gt;=評分方法!$C$17,"列入候選",IF(G1413&gt;=評分方法!$C$18,"特定情境","不建議")))</f>
        <v>特定情境</v>
      </c>
      <c r="I1413" s="15" t="n">
        <f aca="false">AE1413*評分方法!$C$5</f>
        <v>25.5</v>
      </c>
      <c r="J1413" s="15" t="n">
        <f aca="false">AF1413*評分方法!$C$6</f>
        <v>0</v>
      </c>
      <c r="K1413" s="15" t="n">
        <f aca="false">AG1413*評分方法!$C$7</f>
        <v>4.95</v>
      </c>
      <c r="L1413" s="15" t="n">
        <f aca="false">AH1413*評分方法!$C$8</f>
        <v>15</v>
      </c>
      <c r="M1413" s="15" t="n">
        <f aca="false">AI1413*評分方法!$C$9</f>
        <v>10</v>
      </c>
      <c r="N1413" s="15" t="n">
        <f aca="false">AJ1413*評分方法!$C$10</f>
        <v>4.228</v>
      </c>
      <c r="O1413" s="15" t="n">
        <f aca="false">AK1413*評分方法!$C$11</f>
        <v>1</v>
      </c>
      <c r="P1413" s="15" t="n">
        <f aca="false">AL1413*評分方法!$C$12</f>
        <v>0</v>
      </c>
      <c r="Q1413" s="6" t="n">
        <v>462086</v>
      </c>
      <c r="R1413" s="6" t="n">
        <v>513590784</v>
      </c>
      <c r="S1413" s="11" t="s">
        <v>238</v>
      </c>
      <c r="T1413" s="11" t="s">
        <v>239</v>
      </c>
      <c r="U1413" s="5" t="s">
        <v>240</v>
      </c>
      <c r="V1413" s="11" t="s">
        <v>241</v>
      </c>
      <c r="W1413" s="5" t="s">
        <v>334</v>
      </c>
      <c r="X1413" s="5" t="s">
        <v>242</v>
      </c>
      <c r="Y1413" s="5"/>
      <c r="Z1413" s="5"/>
      <c r="AA1413" s="11" t="s">
        <v>155</v>
      </c>
      <c r="AB1413" s="5" t="s">
        <v>245</v>
      </c>
      <c r="AC1413" s="5"/>
      <c r="AD1413" s="11" t="s">
        <v>3509</v>
      </c>
      <c r="AE1413" s="23" t="n">
        <v>0.85</v>
      </c>
      <c r="AF1413" s="23" t="n">
        <v>0</v>
      </c>
      <c r="AG1413" s="23" t="n">
        <v>0.33</v>
      </c>
      <c r="AH1413" s="23" t="n">
        <v>1</v>
      </c>
      <c r="AI1413" s="23" t="n">
        <v>1</v>
      </c>
      <c r="AJ1413" s="23" t="n">
        <v>0.4228</v>
      </c>
      <c r="AK1413" s="23" t="n">
        <v>0.2</v>
      </c>
      <c r="AL1413" s="23" t="n">
        <v>0</v>
      </c>
      <c r="AM1413" s="16" t="n">
        <f aca="false">COUNTIFS($D$2:$D$2501,D1413,$G$2:$G$2501,"&gt;"&amp;G1413)+COUNTIFS($D$2:D1413,D1413,$G$2:G1413,G1413)</f>
        <v>649</v>
      </c>
      <c r="AN1413" s="5" t="str">
        <f aca="false">D1413&amp;"|"&amp;AM1413</f>
        <v>分析與報告生成|649</v>
      </c>
    </row>
    <row r="1414" customFormat="false" ht="17.15" hidden="false" customHeight="false" outlineLevel="0" collapsed="false">
      <c r="A1414" s="16" t="n">
        <f aca="false">RANK(G1414,$G$2:$G$2501)+COUNTIF($G$2:G1414,G1414)-1</f>
        <v>1413</v>
      </c>
      <c r="B1414" s="11" t="s">
        <v>3510</v>
      </c>
      <c r="C1414" s="11" t="s">
        <v>753</v>
      </c>
      <c r="D1414" s="5" t="s">
        <v>56</v>
      </c>
      <c r="E1414" s="5" t="s">
        <v>57</v>
      </c>
      <c r="F1414" s="5"/>
      <c r="G1414" s="22" t="n">
        <f aca="false">ROUND(SUM(I1414:P1414),3)</f>
        <v>60.678</v>
      </c>
      <c r="H1414" s="5" t="str">
        <f aca="false">IF(G1414&gt;=評分方法!$C$16,"優先評估",IF(G1414&gt;=評分方法!$C$17,"列入候選",IF(G1414&gt;=評分方法!$C$18,"特定情境","不建議")))</f>
        <v>特定情境</v>
      </c>
      <c r="I1414" s="15" t="n">
        <f aca="false">AE1414*評分方法!$C$5</f>
        <v>25.5</v>
      </c>
      <c r="J1414" s="15" t="n">
        <f aca="false">AF1414*評分方法!$C$6</f>
        <v>0</v>
      </c>
      <c r="K1414" s="15" t="n">
        <f aca="false">AG1414*評分方法!$C$7</f>
        <v>10.05</v>
      </c>
      <c r="L1414" s="15" t="n">
        <f aca="false">AH1414*評分方法!$C$8</f>
        <v>9</v>
      </c>
      <c r="M1414" s="15" t="n">
        <f aca="false">AI1414*評分方法!$C$9</f>
        <v>6</v>
      </c>
      <c r="N1414" s="15" t="n">
        <f aca="false">AJ1414*評分方法!$C$10</f>
        <v>3.128</v>
      </c>
      <c r="O1414" s="15" t="n">
        <f aca="false">AK1414*評分方法!$C$11</f>
        <v>4</v>
      </c>
      <c r="P1414" s="15" t="n">
        <f aca="false">AL1414*評分方法!$C$12</f>
        <v>3</v>
      </c>
      <c r="Q1414" s="6" t="n">
        <v>306397</v>
      </c>
      <c r="R1414" s="6" t="n">
        <v>23572403200</v>
      </c>
      <c r="S1414" s="11" t="s">
        <v>389</v>
      </c>
      <c r="T1414" s="11" t="s">
        <v>185</v>
      </c>
      <c r="U1414" s="5" t="s">
        <v>260</v>
      </c>
      <c r="V1414" s="11" t="s">
        <v>333</v>
      </c>
      <c r="W1414" s="5" t="s">
        <v>207</v>
      </c>
      <c r="X1414" s="5" t="s">
        <v>371</v>
      </c>
      <c r="Y1414" s="11" t="s">
        <v>782</v>
      </c>
      <c r="Z1414" s="11" t="s">
        <v>244</v>
      </c>
      <c r="AA1414" s="11" t="s">
        <v>155</v>
      </c>
      <c r="AB1414" s="5" t="s">
        <v>328</v>
      </c>
      <c r="AC1414" s="5" t="s">
        <v>3511</v>
      </c>
      <c r="AD1414" s="11" t="s">
        <v>3512</v>
      </c>
      <c r="AE1414" s="23" t="n">
        <v>0.85</v>
      </c>
      <c r="AF1414" s="23" t="n">
        <v>0</v>
      </c>
      <c r="AG1414" s="23" t="n">
        <v>0.67</v>
      </c>
      <c r="AH1414" s="23" t="n">
        <v>0.6</v>
      </c>
      <c r="AI1414" s="23" t="n">
        <v>0.6</v>
      </c>
      <c r="AJ1414" s="23" t="n">
        <v>0.3128</v>
      </c>
      <c r="AK1414" s="23" t="n">
        <v>0.8</v>
      </c>
      <c r="AL1414" s="23" t="n">
        <v>0.6</v>
      </c>
      <c r="AM1414" s="16" t="n">
        <f aca="false">COUNTIFS($D$2:$D$2501,D1414,$G$2:$G$2501,"&gt;"&amp;G1414)+COUNTIFS($D$2:D1414,D1414,$G$2:G1414,G1414)</f>
        <v>650</v>
      </c>
      <c r="AN1414" s="5" t="str">
        <f aca="false">D1414&amp;"|"&amp;AM1414</f>
        <v>分析與報告生成|650</v>
      </c>
    </row>
    <row r="1415" customFormat="false" ht="17.15" hidden="false" customHeight="false" outlineLevel="0" collapsed="false">
      <c r="A1415" s="16" t="n">
        <f aca="false">RANK(G1415,$G$2:$G$2501)+COUNTIF($G$2:G1415,G1415)-1</f>
        <v>1414</v>
      </c>
      <c r="B1415" s="11" t="s">
        <v>3513</v>
      </c>
      <c r="C1415" s="11" t="s">
        <v>3514</v>
      </c>
      <c r="D1415" s="5" t="s">
        <v>56</v>
      </c>
      <c r="E1415" s="5" t="s">
        <v>57</v>
      </c>
      <c r="F1415" s="5"/>
      <c r="G1415" s="22" t="n">
        <f aca="false">ROUND(SUM(I1415:P1415),3)</f>
        <v>60.672</v>
      </c>
      <c r="H1415" s="5" t="str">
        <f aca="false">IF(G1415&gt;=評分方法!$C$16,"優先評估",IF(G1415&gt;=評分方法!$C$17,"列入候選",IF(G1415&gt;=評分方法!$C$18,"特定情境","不建議")))</f>
        <v>特定情境</v>
      </c>
      <c r="I1415" s="15" t="n">
        <f aca="false">AE1415*評分方法!$C$5</f>
        <v>25.5</v>
      </c>
      <c r="J1415" s="15" t="n">
        <f aca="false">AF1415*評分方法!$C$6</f>
        <v>0</v>
      </c>
      <c r="K1415" s="15" t="n">
        <f aca="false">AG1415*評分方法!$C$7</f>
        <v>4.95</v>
      </c>
      <c r="L1415" s="15" t="n">
        <f aca="false">AH1415*評分方法!$C$8</f>
        <v>13.05</v>
      </c>
      <c r="M1415" s="15" t="n">
        <f aca="false">AI1415*評分方法!$C$9</f>
        <v>10</v>
      </c>
      <c r="N1415" s="15" t="n">
        <f aca="false">AJ1415*評分方法!$C$10</f>
        <v>0.172</v>
      </c>
      <c r="O1415" s="15" t="n">
        <f aca="false">AK1415*評分方法!$C$11</f>
        <v>4</v>
      </c>
      <c r="P1415" s="15" t="n">
        <f aca="false">AL1415*評分方法!$C$12</f>
        <v>3</v>
      </c>
      <c r="Q1415" s="6" t="n">
        <v>120951</v>
      </c>
      <c r="R1415" s="6" t="n">
        <v>6233975370</v>
      </c>
      <c r="S1415" s="11" t="s">
        <v>254</v>
      </c>
      <c r="T1415" s="11" t="s">
        <v>239</v>
      </c>
      <c r="U1415" s="5" t="s">
        <v>240</v>
      </c>
      <c r="V1415" s="11" t="s">
        <v>261</v>
      </c>
      <c r="W1415" s="5" t="s">
        <v>334</v>
      </c>
      <c r="X1415" s="5" t="s">
        <v>371</v>
      </c>
      <c r="Y1415" s="11" t="s">
        <v>422</v>
      </c>
      <c r="Z1415" s="11" t="s">
        <v>244</v>
      </c>
      <c r="AA1415" s="11" t="s">
        <v>156</v>
      </c>
      <c r="AB1415" s="5" t="s">
        <v>245</v>
      </c>
      <c r="AC1415" s="5" t="s">
        <v>246</v>
      </c>
      <c r="AD1415" s="11" t="s">
        <v>3515</v>
      </c>
      <c r="AE1415" s="23" t="n">
        <v>0.85</v>
      </c>
      <c r="AF1415" s="23" t="n">
        <v>0</v>
      </c>
      <c r="AG1415" s="23" t="n">
        <v>0.33</v>
      </c>
      <c r="AH1415" s="23" t="n">
        <v>0.87</v>
      </c>
      <c r="AI1415" s="23" t="n">
        <v>1</v>
      </c>
      <c r="AJ1415" s="23" t="n">
        <v>0.0172</v>
      </c>
      <c r="AK1415" s="23" t="n">
        <v>0.8</v>
      </c>
      <c r="AL1415" s="23" t="n">
        <v>0.6</v>
      </c>
      <c r="AM1415" s="16" t="n">
        <f aca="false">COUNTIFS($D$2:$D$2501,D1415,$G$2:$G$2501,"&gt;"&amp;G1415)+COUNTIFS($D$2:D1415,D1415,$G$2:G1415,G1415)</f>
        <v>651</v>
      </c>
      <c r="AN1415" s="5" t="str">
        <f aca="false">D1415&amp;"|"&amp;AM1415</f>
        <v>分析與報告生成|651</v>
      </c>
    </row>
    <row r="1416" customFormat="false" ht="17.15" hidden="false" customHeight="false" outlineLevel="0" collapsed="false">
      <c r="A1416" s="16" t="n">
        <f aca="false">RANK(G1416,$G$2:$G$2501)+COUNTIF($G$2:G1416,G1416)-1</f>
        <v>1415</v>
      </c>
      <c r="B1416" s="11" t="s">
        <v>3516</v>
      </c>
      <c r="C1416" s="11" t="s">
        <v>2693</v>
      </c>
      <c r="D1416" s="5" t="s">
        <v>74</v>
      </c>
      <c r="E1416" s="5" t="s">
        <v>75</v>
      </c>
      <c r="F1416" s="5"/>
      <c r="G1416" s="22" t="n">
        <f aca="false">ROUND(SUM(I1416:P1416),3)</f>
        <v>60.652</v>
      </c>
      <c r="H1416" s="5" t="str">
        <f aca="false">IF(G1416&gt;=評分方法!$C$16,"優先評估",IF(G1416&gt;=評分方法!$C$17,"列入候選",IF(G1416&gt;=評分方法!$C$18,"特定情境","不建議")))</f>
        <v>特定情境</v>
      </c>
      <c r="I1416" s="15" t="n">
        <f aca="false">AE1416*評分方法!$C$5</f>
        <v>10.5</v>
      </c>
      <c r="J1416" s="15" t="n">
        <f aca="false">AF1416*評分方法!$C$6</f>
        <v>0</v>
      </c>
      <c r="K1416" s="15" t="n">
        <f aca="false">AG1416*評分方法!$C$7</f>
        <v>15</v>
      </c>
      <c r="L1416" s="15" t="n">
        <f aca="false">AH1416*評分方法!$C$8</f>
        <v>15</v>
      </c>
      <c r="M1416" s="15" t="n">
        <f aca="false">AI1416*評分方法!$C$9</f>
        <v>10</v>
      </c>
      <c r="N1416" s="15" t="n">
        <f aca="false">AJ1416*評分方法!$C$10</f>
        <v>6.152</v>
      </c>
      <c r="O1416" s="15" t="n">
        <f aca="false">AK1416*評分方法!$C$11</f>
        <v>2.5</v>
      </c>
      <c r="P1416" s="15" t="n">
        <f aca="false">AL1416*評分方法!$C$12</f>
        <v>1.5</v>
      </c>
      <c r="Q1416" s="6" t="n">
        <v>654940</v>
      </c>
      <c r="R1416" s="6" t="n">
        <v>315956224</v>
      </c>
      <c r="S1416" s="11" t="s">
        <v>238</v>
      </c>
      <c r="T1416" s="11" t="s">
        <v>239</v>
      </c>
      <c r="U1416" s="5" t="s">
        <v>240</v>
      </c>
      <c r="V1416" s="11" t="s">
        <v>324</v>
      </c>
      <c r="W1416" s="5" t="s">
        <v>205</v>
      </c>
      <c r="X1416" s="5" t="s">
        <v>255</v>
      </c>
      <c r="Y1416" s="5"/>
      <c r="Z1416" s="5"/>
      <c r="AA1416" s="11" t="s">
        <v>173</v>
      </c>
      <c r="AB1416" s="5" t="s">
        <v>245</v>
      </c>
      <c r="AC1416" s="5"/>
      <c r="AD1416" s="11" t="s">
        <v>3517</v>
      </c>
      <c r="AE1416" s="23" t="n">
        <v>0.35</v>
      </c>
      <c r="AF1416" s="23" t="n">
        <v>0</v>
      </c>
      <c r="AG1416" s="23" t="n">
        <v>1</v>
      </c>
      <c r="AH1416" s="23" t="n">
        <v>1</v>
      </c>
      <c r="AI1416" s="23" t="n">
        <v>1</v>
      </c>
      <c r="AJ1416" s="23" t="n">
        <v>0.6152</v>
      </c>
      <c r="AK1416" s="23" t="n">
        <v>0.5</v>
      </c>
      <c r="AL1416" s="23" t="n">
        <v>0.3</v>
      </c>
      <c r="AM1416" s="16" t="n">
        <f aca="false">COUNTIFS($D$2:$D$2501,D1416,$G$2:$G$2501,"&gt;"&amp;G1416)+COUNTIFS($D$2:D1416,D1416,$G$2:G1416,G1416)</f>
        <v>89</v>
      </c>
      <c r="AN1416" s="5" t="str">
        <f aca="false">D1416&amp;"|"&amp;AM1416</f>
        <v>文件與影像辨識|89</v>
      </c>
    </row>
    <row r="1417" customFormat="false" ht="17.15" hidden="false" customHeight="false" outlineLevel="0" collapsed="false">
      <c r="A1417" s="16" t="n">
        <f aca="false">RANK(G1417,$G$2:$G$2501)+COUNTIF($G$2:G1417,G1417)-1</f>
        <v>1416</v>
      </c>
      <c r="B1417" s="11" t="s">
        <v>3518</v>
      </c>
      <c r="C1417" s="11" t="s">
        <v>891</v>
      </c>
      <c r="D1417" s="5" t="s">
        <v>56</v>
      </c>
      <c r="E1417" s="5" t="s">
        <v>57</v>
      </c>
      <c r="F1417" s="5"/>
      <c r="G1417" s="22" t="n">
        <f aca="false">ROUND(SUM(I1417:P1417),3)</f>
        <v>60.646</v>
      </c>
      <c r="H1417" s="5" t="str">
        <f aca="false">IF(G1417&gt;=評分方法!$C$16,"優先評估",IF(G1417&gt;=評分方法!$C$17,"列入候選",IF(G1417&gt;=評分方法!$C$18,"特定情境","不建議")))</f>
        <v>特定情境</v>
      </c>
      <c r="I1417" s="15" t="n">
        <f aca="false">AE1417*評分方法!$C$5</f>
        <v>25.5</v>
      </c>
      <c r="J1417" s="15" t="n">
        <f aca="false">AF1417*評分方法!$C$6</f>
        <v>0</v>
      </c>
      <c r="K1417" s="15" t="n">
        <f aca="false">AG1417*評分方法!$C$7</f>
        <v>10.05</v>
      </c>
      <c r="L1417" s="15" t="n">
        <f aca="false">AH1417*評分方法!$C$8</f>
        <v>9</v>
      </c>
      <c r="M1417" s="15" t="n">
        <f aca="false">AI1417*評分方法!$C$9</f>
        <v>2</v>
      </c>
      <c r="N1417" s="15" t="n">
        <f aca="false">AJ1417*評分方法!$C$10</f>
        <v>6.096</v>
      </c>
      <c r="O1417" s="15" t="n">
        <f aca="false">AK1417*評分方法!$C$11</f>
        <v>5</v>
      </c>
      <c r="P1417" s="15" t="n">
        <f aca="false">AL1417*評分方法!$C$12</f>
        <v>3</v>
      </c>
      <c r="Q1417" s="6" t="n">
        <v>645197</v>
      </c>
      <c r="R1417" s="6" t="n">
        <v>27854794240</v>
      </c>
      <c r="S1417" s="11" t="s">
        <v>389</v>
      </c>
      <c r="T1417" s="5"/>
      <c r="U1417" s="5" t="s">
        <v>375</v>
      </c>
      <c r="V1417" s="11" t="s">
        <v>333</v>
      </c>
      <c r="W1417" s="5" t="s">
        <v>207</v>
      </c>
      <c r="X1417" s="5" t="s">
        <v>371</v>
      </c>
      <c r="Y1417" s="5"/>
      <c r="Z1417" s="5"/>
      <c r="AA1417" s="11" t="s">
        <v>155</v>
      </c>
      <c r="AB1417" s="5" t="s">
        <v>961</v>
      </c>
      <c r="AC1417" s="5" t="s">
        <v>1977</v>
      </c>
      <c r="AD1417" s="11" t="s">
        <v>3519</v>
      </c>
      <c r="AE1417" s="23" t="n">
        <v>0.85</v>
      </c>
      <c r="AF1417" s="23" t="n">
        <v>0</v>
      </c>
      <c r="AG1417" s="23" t="n">
        <v>0.67</v>
      </c>
      <c r="AH1417" s="23" t="n">
        <v>0.6</v>
      </c>
      <c r="AI1417" s="23" t="n">
        <v>0.2</v>
      </c>
      <c r="AJ1417" s="23" t="n">
        <v>0.6096</v>
      </c>
      <c r="AK1417" s="23" t="n">
        <v>1</v>
      </c>
      <c r="AL1417" s="23" t="n">
        <v>0.6</v>
      </c>
      <c r="AM1417" s="16" t="n">
        <f aca="false">COUNTIFS($D$2:$D$2501,D1417,$G$2:$G$2501,"&gt;"&amp;G1417)+COUNTIFS($D$2:D1417,D1417,$G$2:G1417,G1417)</f>
        <v>652</v>
      </c>
      <c r="AN1417" s="5" t="str">
        <f aca="false">D1417&amp;"|"&amp;AM1417</f>
        <v>分析與報告生成|652</v>
      </c>
    </row>
    <row r="1418" customFormat="false" ht="17.15" hidden="false" customHeight="false" outlineLevel="0" collapsed="false">
      <c r="A1418" s="16" t="n">
        <f aca="false">RANK(G1418,$G$2:$G$2501)+COUNTIF($G$2:G1418,G1418)-1</f>
        <v>1417</v>
      </c>
      <c r="B1418" s="11" t="s">
        <v>3520</v>
      </c>
      <c r="C1418" s="11" t="s">
        <v>2693</v>
      </c>
      <c r="D1418" s="5" t="s">
        <v>74</v>
      </c>
      <c r="E1418" s="5" t="s">
        <v>75</v>
      </c>
      <c r="F1418" s="5"/>
      <c r="G1418" s="22" t="n">
        <f aca="false">ROUND(SUM(I1418:P1418),3)</f>
        <v>60.628</v>
      </c>
      <c r="H1418" s="5" t="str">
        <f aca="false">IF(G1418&gt;=評分方法!$C$16,"優先評估",IF(G1418&gt;=評分方法!$C$17,"列入候選",IF(G1418&gt;=評分方法!$C$18,"特定情境","不建議")))</f>
        <v>特定情境</v>
      </c>
      <c r="I1418" s="15" t="n">
        <f aca="false">AE1418*評分方法!$C$5</f>
        <v>10.5</v>
      </c>
      <c r="J1418" s="15" t="n">
        <f aca="false">AF1418*評分方法!$C$6</f>
        <v>0</v>
      </c>
      <c r="K1418" s="15" t="n">
        <f aca="false">AG1418*評分方法!$C$7</f>
        <v>15</v>
      </c>
      <c r="L1418" s="15" t="n">
        <f aca="false">AH1418*評分方法!$C$8</f>
        <v>15</v>
      </c>
      <c r="M1418" s="15" t="n">
        <f aca="false">AI1418*評分方法!$C$9</f>
        <v>10</v>
      </c>
      <c r="N1418" s="15" t="n">
        <f aca="false">AJ1418*評分方法!$C$10</f>
        <v>6.128</v>
      </c>
      <c r="O1418" s="15" t="n">
        <f aca="false">AK1418*評分方法!$C$11</f>
        <v>2.5</v>
      </c>
      <c r="P1418" s="15" t="n">
        <f aca="false">AL1418*評分方法!$C$12</f>
        <v>1.5</v>
      </c>
      <c r="Q1418" s="6" t="n">
        <v>653311</v>
      </c>
      <c r="R1418" s="6" t="n">
        <v>50223688</v>
      </c>
      <c r="S1418" s="11" t="s">
        <v>238</v>
      </c>
      <c r="T1418" s="11" t="s">
        <v>239</v>
      </c>
      <c r="U1418" s="5" t="s">
        <v>240</v>
      </c>
      <c r="V1418" s="11" t="s">
        <v>324</v>
      </c>
      <c r="W1418" s="5" t="s">
        <v>205</v>
      </c>
      <c r="X1418" s="5" t="s">
        <v>255</v>
      </c>
      <c r="Y1418" s="5"/>
      <c r="Z1418" s="5"/>
      <c r="AA1418" s="11" t="s">
        <v>172</v>
      </c>
      <c r="AB1418" s="5" t="s">
        <v>245</v>
      </c>
      <c r="AC1418" s="5"/>
      <c r="AD1418" s="11" t="s">
        <v>3521</v>
      </c>
      <c r="AE1418" s="23" t="n">
        <v>0.35</v>
      </c>
      <c r="AF1418" s="23" t="n">
        <v>0</v>
      </c>
      <c r="AG1418" s="23" t="n">
        <v>1</v>
      </c>
      <c r="AH1418" s="23" t="n">
        <v>1</v>
      </c>
      <c r="AI1418" s="23" t="n">
        <v>1</v>
      </c>
      <c r="AJ1418" s="23" t="n">
        <v>0.6128</v>
      </c>
      <c r="AK1418" s="23" t="n">
        <v>0.5</v>
      </c>
      <c r="AL1418" s="23" t="n">
        <v>0.3</v>
      </c>
      <c r="AM1418" s="16" t="n">
        <f aca="false">COUNTIFS($D$2:$D$2501,D1418,$G$2:$G$2501,"&gt;"&amp;G1418)+COUNTIFS($D$2:D1418,D1418,$G$2:G1418,G1418)</f>
        <v>90</v>
      </c>
      <c r="AN1418" s="5" t="str">
        <f aca="false">D1418&amp;"|"&amp;AM1418</f>
        <v>文件與影像辨識|90</v>
      </c>
    </row>
    <row r="1419" customFormat="false" ht="17.15" hidden="false" customHeight="false" outlineLevel="0" collapsed="false">
      <c r="A1419" s="16" t="n">
        <f aca="false">RANK(G1419,$G$2:$G$2501)+COUNTIF($G$2:G1419,G1419)-1</f>
        <v>1418</v>
      </c>
      <c r="B1419" s="11" t="s">
        <v>3522</v>
      </c>
      <c r="C1419" s="11" t="s">
        <v>753</v>
      </c>
      <c r="D1419" s="5" t="s">
        <v>56</v>
      </c>
      <c r="E1419" s="5" t="s">
        <v>57</v>
      </c>
      <c r="F1419" s="5"/>
      <c r="G1419" s="22" t="n">
        <f aca="false">ROUND(SUM(I1419:P1419),3)</f>
        <v>60.608</v>
      </c>
      <c r="H1419" s="5" t="str">
        <f aca="false">IF(G1419&gt;=評分方法!$C$16,"優先評估",IF(G1419&gt;=評分方法!$C$17,"列入候選",IF(G1419&gt;=評分方法!$C$18,"特定情境","不建議")))</f>
        <v>特定情境</v>
      </c>
      <c r="I1419" s="15" t="n">
        <f aca="false">AE1419*評分方法!$C$5</f>
        <v>25.5</v>
      </c>
      <c r="J1419" s="15" t="n">
        <f aca="false">AF1419*評分方法!$C$6</f>
        <v>0</v>
      </c>
      <c r="K1419" s="15" t="n">
        <f aca="false">AG1419*評分方法!$C$7</f>
        <v>10.05</v>
      </c>
      <c r="L1419" s="15" t="n">
        <f aca="false">AH1419*評分方法!$C$8</f>
        <v>13.05</v>
      </c>
      <c r="M1419" s="15" t="n">
        <f aca="false">AI1419*評分方法!$C$9</f>
        <v>6</v>
      </c>
      <c r="N1419" s="15" t="n">
        <f aca="false">AJ1419*評分方法!$C$10</f>
        <v>3.508</v>
      </c>
      <c r="O1419" s="15" t="n">
        <f aca="false">AK1419*評分方法!$C$11</f>
        <v>2.5</v>
      </c>
      <c r="P1419" s="15" t="n">
        <f aca="false">AL1419*評分方法!$C$12</f>
        <v>0</v>
      </c>
      <c r="Q1419" s="6" t="n">
        <v>352726</v>
      </c>
      <c r="R1419" s="6" t="n">
        <v>7276538046</v>
      </c>
      <c r="S1419" s="11" t="s">
        <v>254</v>
      </c>
      <c r="T1419" s="11" t="s">
        <v>1153</v>
      </c>
      <c r="U1419" s="5" t="s">
        <v>260</v>
      </c>
      <c r="V1419" s="11" t="s">
        <v>261</v>
      </c>
      <c r="W1419" s="5" t="s">
        <v>207</v>
      </c>
      <c r="X1419" s="5" t="s">
        <v>242</v>
      </c>
      <c r="Y1419" s="11" t="s">
        <v>1152</v>
      </c>
      <c r="Z1419" s="11" t="s">
        <v>244</v>
      </c>
      <c r="AA1419" s="11" t="s">
        <v>156</v>
      </c>
      <c r="AB1419" s="5" t="s">
        <v>245</v>
      </c>
      <c r="AC1419" s="5" t="s">
        <v>464</v>
      </c>
      <c r="AD1419" s="11" t="s">
        <v>3523</v>
      </c>
      <c r="AE1419" s="23" t="n">
        <v>0.85</v>
      </c>
      <c r="AF1419" s="23" t="n">
        <v>0</v>
      </c>
      <c r="AG1419" s="23" t="n">
        <v>0.67</v>
      </c>
      <c r="AH1419" s="23" t="n">
        <v>0.87</v>
      </c>
      <c r="AI1419" s="23" t="n">
        <v>0.6</v>
      </c>
      <c r="AJ1419" s="23" t="n">
        <v>0.3508</v>
      </c>
      <c r="AK1419" s="23" t="n">
        <v>0.5</v>
      </c>
      <c r="AL1419" s="23" t="n">
        <v>0</v>
      </c>
      <c r="AM1419" s="16" t="n">
        <f aca="false">COUNTIFS($D$2:$D$2501,D1419,$G$2:$G$2501,"&gt;"&amp;G1419)+COUNTIFS($D$2:D1419,D1419,$G$2:G1419,G1419)</f>
        <v>653</v>
      </c>
      <c r="AN1419" s="5" t="str">
        <f aca="false">D1419&amp;"|"&amp;AM1419</f>
        <v>分析與報告生成|653</v>
      </c>
    </row>
    <row r="1420" customFormat="false" ht="17.15" hidden="false" customHeight="false" outlineLevel="0" collapsed="false">
      <c r="A1420" s="16" t="n">
        <f aca="false">RANK(G1420,$G$2:$G$2501)+COUNTIF($G$2:G1420,G1420)-1</f>
        <v>1419</v>
      </c>
      <c r="B1420" s="11" t="s">
        <v>3524</v>
      </c>
      <c r="C1420" s="11" t="s">
        <v>1725</v>
      </c>
      <c r="D1420" s="5" t="s">
        <v>56</v>
      </c>
      <c r="E1420" s="5" t="s">
        <v>57</v>
      </c>
      <c r="F1420" s="5"/>
      <c r="G1420" s="22" t="n">
        <f aca="false">ROUND(SUM(I1420:P1420),3)</f>
        <v>60.602</v>
      </c>
      <c r="H1420" s="5" t="str">
        <f aca="false">IF(G1420&gt;=評分方法!$C$16,"優先評估",IF(G1420&gt;=評分方法!$C$17,"列入候選",IF(G1420&gt;=評分方法!$C$18,"特定情境","不建議")))</f>
        <v>特定情境</v>
      </c>
      <c r="I1420" s="15" t="n">
        <f aca="false">AE1420*評分方法!$C$5</f>
        <v>25.5</v>
      </c>
      <c r="J1420" s="15" t="n">
        <f aca="false">AF1420*評分方法!$C$6</f>
        <v>0</v>
      </c>
      <c r="K1420" s="15" t="n">
        <f aca="false">AG1420*評分方法!$C$7</f>
        <v>4.95</v>
      </c>
      <c r="L1420" s="15" t="n">
        <f aca="false">AH1420*評分方法!$C$8</f>
        <v>9</v>
      </c>
      <c r="M1420" s="15" t="n">
        <f aca="false">AI1420*評分方法!$C$9</f>
        <v>10</v>
      </c>
      <c r="N1420" s="15" t="n">
        <f aca="false">AJ1420*評分方法!$C$10</f>
        <v>3.152</v>
      </c>
      <c r="O1420" s="15" t="n">
        <f aca="false">AK1420*評分方法!$C$11</f>
        <v>5</v>
      </c>
      <c r="P1420" s="15" t="n">
        <f aca="false">AL1420*評分方法!$C$12</f>
        <v>3</v>
      </c>
      <c r="Q1420" s="6" t="n">
        <v>307301</v>
      </c>
      <c r="R1420" s="6" t="n">
        <v>31273088876</v>
      </c>
      <c r="S1420" s="11" t="s">
        <v>389</v>
      </c>
      <c r="T1420" s="11" t="s">
        <v>239</v>
      </c>
      <c r="U1420" s="5" t="s">
        <v>240</v>
      </c>
      <c r="V1420" s="11" t="s">
        <v>261</v>
      </c>
      <c r="W1420" s="5" t="s">
        <v>334</v>
      </c>
      <c r="X1420" s="5" t="s">
        <v>371</v>
      </c>
      <c r="Y1420" s="11" t="s">
        <v>583</v>
      </c>
      <c r="Z1420" s="11" t="s">
        <v>244</v>
      </c>
      <c r="AA1420" s="11" t="s">
        <v>156</v>
      </c>
      <c r="AB1420" s="5" t="s">
        <v>245</v>
      </c>
      <c r="AC1420" s="5" t="s">
        <v>246</v>
      </c>
      <c r="AD1420" s="11" t="s">
        <v>3525</v>
      </c>
      <c r="AE1420" s="23" t="n">
        <v>0.85</v>
      </c>
      <c r="AF1420" s="23" t="n">
        <v>0</v>
      </c>
      <c r="AG1420" s="23" t="n">
        <v>0.33</v>
      </c>
      <c r="AH1420" s="23" t="n">
        <v>0.6</v>
      </c>
      <c r="AI1420" s="23" t="n">
        <v>1</v>
      </c>
      <c r="AJ1420" s="23" t="n">
        <v>0.3152</v>
      </c>
      <c r="AK1420" s="23" t="n">
        <v>1</v>
      </c>
      <c r="AL1420" s="23" t="n">
        <v>0.6</v>
      </c>
      <c r="AM1420" s="16" t="n">
        <f aca="false">COUNTIFS($D$2:$D$2501,D1420,$G$2:$G$2501,"&gt;"&amp;G1420)+COUNTIFS($D$2:D1420,D1420,$G$2:G1420,G1420)</f>
        <v>654</v>
      </c>
      <c r="AN1420" s="5" t="str">
        <f aca="false">D1420&amp;"|"&amp;AM1420</f>
        <v>分析與報告生成|654</v>
      </c>
    </row>
    <row r="1421" customFormat="false" ht="17.15" hidden="false" customHeight="false" outlineLevel="0" collapsed="false">
      <c r="A1421" s="16" t="n">
        <f aca="false">RANK(G1421,$G$2:$G$2501)+COUNTIF($G$2:G1421,G1421)-1</f>
        <v>1420</v>
      </c>
      <c r="B1421" s="11" t="s">
        <v>3526</v>
      </c>
      <c r="C1421" s="11" t="s">
        <v>891</v>
      </c>
      <c r="D1421" s="5" t="s">
        <v>56</v>
      </c>
      <c r="E1421" s="5" t="s">
        <v>57</v>
      </c>
      <c r="F1421" s="5"/>
      <c r="G1421" s="22" t="n">
        <f aca="false">ROUND(SUM(I1421:P1421),3)</f>
        <v>60.6</v>
      </c>
      <c r="H1421" s="5" t="str">
        <f aca="false">IF(G1421&gt;=評分方法!$C$16,"優先評估",IF(G1421&gt;=評分方法!$C$17,"列入候選",IF(G1421&gt;=評分方法!$C$18,"特定情境","不建議")))</f>
        <v>特定情境</v>
      </c>
      <c r="I1421" s="15" t="n">
        <f aca="false">AE1421*評分方法!$C$5</f>
        <v>25.5</v>
      </c>
      <c r="J1421" s="15" t="n">
        <f aca="false">AF1421*評分方法!$C$6</f>
        <v>0</v>
      </c>
      <c r="K1421" s="15" t="n">
        <f aca="false">AG1421*評分方法!$C$7</f>
        <v>10.05</v>
      </c>
      <c r="L1421" s="15" t="n">
        <f aca="false">AH1421*評分方法!$C$8</f>
        <v>13.05</v>
      </c>
      <c r="M1421" s="15" t="n">
        <f aca="false">AI1421*評分方法!$C$9</f>
        <v>6</v>
      </c>
      <c r="N1421" s="15" t="n">
        <f aca="false">AJ1421*評分方法!$C$10</f>
        <v>5</v>
      </c>
      <c r="O1421" s="15" t="n">
        <f aca="false">AK1421*評分方法!$C$11</f>
        <v>1</v>
      </c>
      <c r="P1421" s="15" t="n">
        <f aca="false">AL1421*評分方法!$C$12</f>
        <v>0</v>
      </c>
      <c r="Q1421" s="6" t="n">
        <v>538663</v>
      </c>
      <c r="R1421" s="6" t="n">
        <v>8030261312</v>
      </c>
      <c r="S1421" s="11" t="s">
        <v>254</v>
      </c>
      <c r="T1421" s="11" t="s">
        <v>259</v>
      </c>
      <c r="U1421" s="5" t="s">
        <v>260</v>
      </c>
      <c r="V1421" s="11" t="s">
        <v>333</v>
      </c>
      <c r="W1421" s="5" t="s">
        <v>207</v>
      </c>
      <c r="X1421" s="5" t="s">
        <v>242</v>
      </c>
      <c r="Y1421" s="11" t="s">
        <v>1066</v>
      </c>
      <c r="Z1421" s="11" t="s">
        <v>244</v>
      </c>
      <c r="AA1421" s="11" t="s">
        <v>155</v>
      </c>
      <c r="AB1421" s="5" t="s">
        <v>245</v>
      </c>
      <c r="AC1421" s="5" t="s">
        <v>464</v>
      </c>
      <c r="AD1421" s="11" t="s">
        <v>3527</v>
      </c>
      <c r="AE1421" s="23" t="n">
        <v>0.85</v>
      </c>
      <c r="AF1421" s="23" t="n">
        <v>0</v>
      </c>
      <c r="AG1421" s="23" t="n">
        <v>0.67</v>
      </c>
      <c r="AH1421" s="23" t="n">
        <v>0.87</v>
      </c>
      <c r="AI1421" s="23" t="n">
        <v>0.6</v>
      </c>
      <c r="AJ1421" s="23" t="n">
        <v>0.5</v>
      </c>
      <c r="AK1421" s="23" t="n">
        <v>0.2</v>
      </c>
      <c r="AL1421" s="23" t="n">
        <v>0</v>
      </c>
      <c r="AM1421" s="16" t="n">
        <f aca="false">COUNTIFS($D$2:$D$2501,D1421,$G$2:$G$2501,"&gt;"&amp;G1421)+COUNTIFS($D$2:D1421,D1421,$G$2:G1421,G1421)</f>
        <v>655</v>
      </c>
      <c r="AN1421" s="5" t="str">
        <f aca="false">D1421&amp;"|"&amp;AM1421</f>
        <v>分析與報告生成|655</v>
      </c>
    </row>
    <row r="1422" customFormat="false" ht="17.15" hidden="false" customHeight="false" outlineLevel="0" collapsed="false">
      <c r="A1422" s="16" t="n">
        <f aca="false">RANK(G1422,$G$2:$G$2501)+COUNTIF($G$2:G1422,G1422)-1</f>
        <v>1421</v>
      </c>
      <c r="B1422" s="11" t="s">
        <v>3528</v>
      </c>
      <c r="C1422" s="11" t="s">
        <v>3529</v>
      </c>
      <c r="D1422" s="5" t="s">
        <v>56</v>
      </c>
      <c r="E1422" s="5" t="s">
        <v>57</v>
      </c>
      <c r="F1422" s="5"/>
      <c r="G1422" s="22" t="n">
        <f aca="false">ROUND(SUM(I1422:P1422),3)</f>
        <v>60.578</v>
      </c>
      <c r="H1422" s="5" t="str">
        <f aca="false">IF(G1422&gt;=評分方法!$C$16,"優先評估",IF(G1422&gt;=評分方法!$C$17,"列入候選",IF(G1422&gt;=評分方法!$C$18,"特定情境","不建議")))</f>
        <v>特定情境</v>
      </c>
      <c r="I1422" s="15" t="n">
        <f aca="false">AE1422*評分方法!$C$5</f>
        <v>25.5</v>
      </c>
      <c r="J1422" s="15" t="n">
        <f aca="false">AF1422*評分方法!$C$6</f>
        <v>0</v>
      </c>
      <c r="K1422" s="15" t="n">
        <f aca="false">AG1422*評分方法!$C$7</f>
        <v>4.95</v>
      </c>
      <c r="L1422" s="15" t="n">
        <f aca="false">AH1422*評分方法!$C$8</f>
        <v>15</v>
      </c>
      <c r="M1422" s="15" t="n">
        <f aca="false">AI1422*評分方法!$C$9</f>
        <v>7</v>
      </c>
      <c r="N1422" s="15" t="n">
        <f aca="false">AJ1422*評分方法!$C$10</f>
        <v>4.128</v>
      </c>
      <c r="O1422" s="15" t="n">
        <f aca="false">AK1422*評分方法!$C$11</f>
        <v>4</v>
      </c>
      <c r="P1422" s="15" t="n">
        <f aca="false">AL1422*評分方法!$C$12</f>
        <v>0</v>
      </c>
      <c r="Q1422" s="6" t="n">
        <v>442787</v>
      </c>
      <c r="R1422" s="6" t="n">
        <v>222903552</v>
      </c>
      <c r="S1422" s="11" t="s">
        <v>238</v>
      </c>
      <c r="T1422" s="11" t="s">
        <v>1715</v>
      </c>
      <c r="U1422" s="5" t="s">
        <v>902</v>
      </c>
      <c r="V1422" s="11" t="s">
        <v>324</v>
      </c>
      <c r="W1422" s="5" t="s">
        <v>334</v>
      </c>
      <c r="X1422" s="5" t="s">
        <v>242</v>
      </c>
      <c r="Y1422" s="11" t="s">
        <v>3112</v>
      </c>
      <c r="Z1422" s="11" t="s">
        <v>270</v>
      </c>
      <c r="AA1422" s="11" t="s">
        <v>155</v>
      </c>
      <c r="AB1422" s="5" t="s">
        <v>245</v>
      </c>
      <c r="AC1422" s="5"/>
      <c r="AD1422" s="11" t="s">
        <v>3530</v>
      </c>
      <c r="AE1422" s="23" t="n">
        <v>0.85</v>
      </c>
      <c r="AF1422" s="23" t="n">
        <v>0</v>
      </c>
      <c r="AG1422" s="23" t="n">
        <v>0.33</v>
      </c>
      <c r="AH1422" s="23" t="n">
        <v>1</v>
      </c>
      <c r="AI1422" s="23" t="n">
        <v>0.7</v>
      </c>
      <c r="AJ1422" s="23" t="n">
        <v>0.4128</v>
      </c>
      <c r="AK1422" s="23" t="n">
        <v>0.8</v>
      </c>
      <c r="AL1422" s="23" t="n">
        <v>0</v>
      </c>
      <c r="AM1422" s="16" t="n">
        <f aca="false">COUNTIFS($D$2:$D$2501,D1422,$G$2:$G$2501,"&gt;"&amp;G1422)+COUNTIFS($D$2:D1422,D1422,$G$2:G1422,G1422)</f>
        <v>656</v>
      </c>
      <c r="AN1422" s="5" t="str">
        <f aca="false">D1422&amp;"|"&amp;AM1422</f>
        <v>分析與報告生成|656</v>
      </c>
    </row>
    <row r="1423" customFormat="false" ht="17.15" hidden="false" customHeight="false" outlineLevel="0" collapsed="false">
      <c r="A1423" s="16" t="n">
        <f aca="false">RANK(G1423,$G$2:$G$2501)+COUNTIF($G$2:G1423,G1423)-1</f>
        <v>1422</v>
      </c>
      <c r="B1423" s="11" t="s">
        <v>3531</v>
      </c>
      <c r="C1423" s="11" t="s">
        <v>891</v>
      </c>
      <c r="D1423" s="5" t="s">
        <v>56</v>
      </c>
      <c r="E1423" s="5" t="s">
        <v>57</v>
      </c>
      <c r="F1423" s="5"/>
      <c r="G1423" s="22" t="n">
        <f aca="false">ROUND(SUM(I1423:P1423),3)</f>
        <v>60.544</v>
      </c>
      <c r="H1423" s="5" t="str">
        <f aca="false">IF(G1423&gt;=評分方法!$C$16,"優先評估",IF(G1423&gt;=評分方法!$C$17,"列入候選",IF(G1423&gt;=評分方法!$C$18,"特定情境","不建議")))</f>
        <v>特定情境</v>
      </c>
      <c r="I1423" s="15" t="n">
        <f aca="false">AE1423*評分方法!$C$5</f>
        <v>25.5</v>
      </c>
      <c r="J1423" s="15" t="n">
        <f aca="false">AF1423*評分方法!$C$6</f>
        <v>0</v>
      </c>
      <c r="K1423" s="15" t="n">
        <f aca="false">AG1423*評分方法!$C$7</f>
        <v>10.05</v>
      </c>
      <c r="L1423" s="15" t="n">
        <f aca="false">AH1423*評分方法!$C$8</f>
        <v>7.05</v>
      </c>
      <c r="M1423" s="15" t="n">
        <f aca="false">AI1423*評分方法!$C$9</f>
        <v>10</v>
      </c>
      <c r="N1423" s="15" t="n">
        <f aca="false">AJ1423*評分方法!$C$10</f>
        <v>0.444</v>
      </c>
      <c r="O1423" s="15" t="n">
        <f aca="false">AK1423*評分方法!$C$11</f>
        <v>2.5</v>
      </c>
      <c r="P1423" s="15" t="n">
        <f aca="false">AL1423*評分方法!$C$12</f>
        <v>5</v>
      </c>
      <c r="Q1423" s="6" t="n">
        <v>129882</v>
      </c>
      <c r="R1423" s="6"/>
      <c r="S1423" s="5" t="s">
        <v>255</v>
      </c>
      <c r="T1423" s="11" t="s">
        <v>239</v>
      </c>
      <c r="U1423" s="5" t="s">
        <v>240</v>
      </c>
      <c r="V1423" s="11" t="s">
        <v>261</v>
      </c>
      <c r="W1423" s="5" t="s">
        <v>207</v>
      </c>
      <c r="X1423" s="5" t="s">
        <v>284</v>
      </c>
      <c r="Y1423" s="11" t="s">
        <v>612</v>
      </c>
      <c r="Z1423" s="11" t="s">
        <v>270</v>
      </c>
      <c r="AA1423" s="11" t="s">
        <v>156</v>
      </c>
      <c r="AB1423" s="5" t="s">
        <v>245</v>
      </c>
      <c r="AC1423" s="5"/>
      <c r="AD1423" s="11" t="s">
        <v>3532</v>
      </c>
      <c r="AE1423" s="23" t="n">
        <v>0.85</v>
      </c>
      <c r="AF1423" s="23" t="n">
        <v>0</v>
      </c>
      <c r="AG1423" s="23" t="n">
        <v>0.67</v>
      </c>
      <c r="AH1423" s="23" t="n">
        <v>0.47</v>
      </c>
      <c r="AI1423" s="23" t="n">
        <v>1</v>
      </c>
      <c r="AJ1423" s="23" t="n">
        <v>0.0444</v>
      </c>
      <c r="AK1423" s="23" t="n">
        <v>0.5</v>
      </c>
      <c r="AL1423" s="23" t="n">
        <v>1</v>
      </c>
      <c r="AM1423" s="16" t="n">
        <f aca="false">COUNTIFS($D$2:$D$2501,D1423,$G$2:$G$2501,"&gt;"&amp;G1423)+COUNTIFS($D$2:D1423,D1423,$G$2:G1423,G1423)</f>
        <v>657</v>
      </c>
      <c r="AN1423" s="5" t="str">
        <f aca="false">D1423&amp;"|"&amp;AM1423</f>
        <v>分析與報告生成|657</v>
      </c>
    </row>
    <row r="1424" customFormat="false" ht="17.15" hidden="false" customHeight="false" outlineLevel="0" collapsed="false">
      <c r="A1424" s="16" t="n">
        <f aca="false">RANK(G1424,$G$2:$G$2501)+COUNTIF($G$2:G1424,G1424)-1</f>
        <v>1423</v>
      </c>
      <c r="B1424" s="11" t="s">
        <v>3533</v>
      </c>
      <c r="C1424" s="11" t="s">
        <v>1337</v>
      </c>
      <c r="D1424" s="5" t="s">
        <v>54</v>
      </c>
      <c r="E1424" s="5" t="s">
        <v>55</v>
      </c>
      <c r="F1424" s="5"/>
      <c r="G1424" s="22" t="n">
        <f aca="false">ROUND(SUM(I1424:P1424),3)</f>
        <v>60.542</v>
      </c>
      <c r="H1424" s="5" t="str">
        <f aca="false">IF(G1424&gt;=評分方法!$C$16,"優先評估",IF(G1424&gt;=評分方法!$C$17,"列入候選",IF(G1424&gt;=評分方法!$C$18,"特定情境","不建議")))</f>
        <v>特定情境</v>
      </c>
      <c r="I1424" s="15" t="n">
        <f aca="false">AE1424*評分方法!$C$5</f>
        <v>27</v>
      </c>
      <c r="J1424" s="15" t="n">
        <f aca="false">AF1424*評分方法!$C$6</f>
        <v>0</v>
      </c>
      <c r="K1424" s="15" t="n">
        <f aca="false">AG1424*評分方法!$C$7</f>
        <v>4.95</v>
      </c>
      <c r="L1424" s="15" t="n">
        <f aca="false">AH1424*評分方法!$C$8</f>
        <v>15</v>
      </c>
      <c r="M1424" s="15" t="n">
        <f aca="false">AI1424*評分方法!$C$9</f>
        <v>10</v>
      </c>
      <c r="N1424" s="15" t="n">
        <f aca="false">AJ1424*評分方法!$C$10</f>
        <v>1.092</v>
      </c>
      <c r="O1424" s="15" t="n">
        <f aca="false">AK1424*評分方法!$C$11</f>
        <v>2.5</v>
      </c>
      <c r="P1424" s="15" t="n">
        <f aca="false">AL1424*評分方法!$C$12</f>
        <v>0</v>
      </c>
      <c r="Q1424" s="6" t="n">
        <v>157245</v>
      </c>
      <c r="R1424" s="6" t="n">
        <v>4076802</v>
      </c>
      <c r="S1424" s="11" t="s">
        <v>238</v>
      </c>
      <c r="T1424" s="11" t="s">
        <v>3534</v>
      </c>
      <c r="U1424" s="5" t="s">
        <v>240</v>
      </c>
      <c r="V1424" s="11" t="s">
        <v>261</v>
      </c>
      <c r="W1424" s="5" t="s">
        <v>334</v>
      </c>
      <c r="X1424" s="5" t="s">
        <v>242</v>
      </c>
      <c r="Y1424" s="11" t="s">
        <v>3535</v>
      </c>
      <c r="Z1424" s="11" t="s">
        <v>270</v>
      </c>
      <c r="AA1424" s="11" t="s">
        <v>152</v>
      </c>
      <c r="AB1424" s="5" t="s">
        <v>245</v>
      </c>
      <c r="AC1424" s="5"/>
      <c r="AD1424" s="11" t="s">
        <v>3536</v>
      </c>
      <c r="AE1424" s="23" t="n">
        <v>0.9</v>
      </c>
      <c r="AF1424" s="23" t="n">
        <v>0</v>
      </c>
      <c r="AG1424" s="23" t="n">
        <v>0.33</v>
      </c>
      <c r="AH1424" s="23" t="n">
        <v>1</v>
      </c>
      <c r="AI1424" s="23" t="n">
        <v>1</v>
      </c>
      <c r="AJ1424" s="23" t="n">
        <v>0.1092</v>
      </c>
      <c r="AK1424" s="23" t="n">
        <v>0.5</v>
      </c>
      <c r="AL1424" s="23" t="n">
        <v>0</v>
      </c>
      <c r="AM1424" s="16" t="n">
        <f aca="false">COUNTIFS($D$2:$D$2501,D1424,$G$2:$G$2501,"&gt;"&amp;G1424)+COUNTIFS($D$2:D1424,D1424,$G$2:G1424,G1424)</f>
        <v>189</v>
      </c>
      <c r="AN1424" s="5" t="str">
        <f aca="false">D1424&amp;"|"&amp;AM1424</f>
        <v>檢索與情資關聯|189</v>
      </c>
    </row>
    <row r="1425" customFormat="false" ht="17.15" hidden="false" customHeight="false" outlineLevel="0" collapsed="false">
      <c r="A1425" s="16" t="n">
        <f aca="false">RANK(G1425,$G$2:$G$2501)+COUNTIF($G$2:G1425,G1425)-1</f>
        <v>1424</v>
      </c>
      <c r="B1425" s="11" t="s">
        <v>3537</v>
      </c>
      <c r="C1425" s="11" t="s">
        <v>3538</v>
      </c>
      <c r="D1425" s="5" t="s">
        <v>54</v>
      </c>
      <c r="E1425" s="5" t="s">
        <v>55</v>
      </c>
      <c r="F1425" s="5"/>
      <c r="G1425" s="22" t="n">
        <f aca="false">ROUND(SUM(I1425:P1425),3)</f>
        <v>60.538</v>
      </c>
      <c r="H1425" s="5" t="str">
        <f aca="false">IF(G1425&gt;=評分方法!$C$16,"優先評估",IF(G1425&gt;=評分方法!$C$17,"列入候選",IF(G1425&gt;=評分方法!$C$18,"特定情境","不建議")))</f>
        <v>特定情境</v>
      </c>
      <c r="I1425" s="15" t="n">
        <f aca="false">AE1425*評分方法!$C$5</f>
        <v>27</v>
      </c>
      <c r="J1425" s="15" t="n">
        <f aca="false">AF1425*評分方法!$C$6</f>
        <v>0</v>
      </c>
      <c r="K1425" s="15" t="n">
        <f aca="false">AG1425*評分方法!$C$7</f>
        <v>4.95</v>
      </c>
      <c r="L1425" s="15" t="n">
        <f aca="false">AH1425*評分方法!$C$8</f>
        <v>15</v>
      </c>
      <c r="M1425" s="15" t="n">
        <f aca="false">AI1425*評分方法!$C$9</f>
        <v>10</v>
      </c>
      <c r="N1425" s="15" t="n">
        <f aca="false">AJ1425*評分方法!$C$10</f>
        <v>1.088</v>
      </c>
      <c r="O1425" s="15" t="n">
        <f aca="false">AK1425*評分方法!$C$11</f>
        <v>2.5</v>
      </c>
      <c r="P1425" s="15" t="n">
        <f aca="false">AL1425*評分方法!$C$12</f>
        <v>0</v>
      </c>
      <c r="Q1425" s="6" t="n">
        <v>157139</v>
      </c>
      <c r="R1425" s="6" t="n">
        <v>124645632</v>
      </c>
      <c r="S1425" s="11" t="s">
        <v>238</v>
      </c>
      <c r="T1425" s="11" t="s">
        <v>278</v>
      </c>
      <c r="U1425" s="5" t="s">
        <v>240</v>
      </c>
      <c r="V1425" s="11" t="s">
        <v>261</v>
      </c>
      <c r="W1425" s="5" t="s">
        <v>334</v>
      </c>
      <c r="X1425" s="5" t="s">
        <v>242</v>
      </c>
      <c r="Y1425" s="11" t="s">
        <v>637</v>
      </c>
      <c r="Z1425" s="11" t="s">
        <v>270</v>
      </c>
      <c r="AA1425" s="11" t="s">
        <v>152</v>
      </c>
      <c r="AB1425" s="5" t="s">
        <v>245</v>
      </c>
      <c r="AC1425" s="5"/>
      <c r="AD1425" s="11" t="s">
        <v>3539</v>
      </c>
      <c r="AE1425" s="23" t="n">
        <v>0.9</v>
      </c>
      <c r="AF1425" s="23" t="n">
        <v>0</v>
      </c>
      <c r="AG1425" s="23" t="n">
        <v>0.33</v>
      </c>
      <c r="AH1425" s="23" t="n">
        <v>1</v>
      </c>
      <c r="AI1425" s="23" t="n">
        <v>1</v>
      </c>
      <c r="AJ1425" s="23" t="n">
        <v>0.1088</v>
      </c>
      <c r="AK1425" s="23" t="n">
        <v>0.5</v>
      </c>
      <c r="AL1425" s="23" t="n">
        <v>0</v>
      </c>
      <c r="AM1425" s="16" t="n">
        <f aca="false">COUNTIFS($D$2:$D$2501,D1425,$G$2:$G$2501,"&gt;"&amp;G1425)+COUNTIFS($D$2:D1425,D1425,$G$2:G1425,G1425)</f>
        <v>190</v>
      </c>
      <c r="AN1425" s="5" t="str">
        <f aca="false">D1425&amp;"|"&amp;AM1425</f>
        <v>檢索與情資關聯|190</v>
      </c>
    </row>
    <row r="1426" customFormat="false" ht="17.15" hidden="false" customHeight="false" outlineLevel="0" collapsed="false">
      <c r="A1426" s="16" t="n">
        <f aca="false">RANK(G1426,$G$2:$G$2501)+COUNTIF($G$2:G1426,G1426)-1</f>
        <v>1425</v>
      </c>
      <c r="B1426" s="11" t="s">
        <v>3540</v>
      </c>
      <c r="C1426" s="11" t="s">
        <v>2693</v>
      </c>
      <c r="D1426" s="5" t="s">
        <v>74</v>
      </c>
      <c r="E1426" s="5" t="s">
        <v>75</v>
      </c>
      <c r="F1426" s="5"/>
      <c r="G1426" s="22" t="n">
        <f aca="false">ROUND(SUM(I1426:P1426),3)</f>
        <v>60.532</v>
      </c>
      <c r="H1426" s="5" t="str">
        <f aca="false">IF(G1426&gt;=評分方法!$C$16,"優先評估",IF(G1426&gt;=評分方法!$C$17,"列入候選",IF(G1426&gt;=評分方法!$C$18,"特定情境","不建議")))</f>
        <v>特定情境</v>
      </c>
      <c r="I1426" s="15" t="n">
        <f aca="false">AE1426*評分方法!$C$5</f>
        <v>10.5</v>
      </c>
      <c r="J1426" s="15" t="n">
        <f aca="false">AF1426*評分方法!$C$6</f>
        <v>0</v>
      </c>
      <c r="K1426" s="15" t="n">
        <f aca="false">AG1426*評分方法!$C$7</f>
        <v>15</v>
      </c>
      <c r="L1426" s="15" t="n">
        <f aca="false">AH1426*評分方法!$C$8</f>
        <v>15</v>
      </c>
      <c r="M1426" s="15" t="n">
        <f aca="false">AI1426*評分方法!$C$9</f>
        <v>10</v>
      </c>
      <c r="N1426" s="15" t="n">
        <f aca="false">AJ1426*評分方法!$C$10</f>
        <v>6.032</v>
      </c>
      <c r="O1426" s="15" t="n">
        <f aca="false">AK1426*評分方法!$C$11</f>
        <v>2.5</v>
      </c>
      <c r="P1426" s="15" t="n">
        <f aca="false">AL1426*評分方法!$C$12</f>
        <v>1.5</v>
      </c>
      <c r="Q1426" s="6" t="n">
        <v>630691</v>
      </c>
      <c r="R1426" s="6" t="n">
        <v>5330564</v>
      </c>
      <c r="S1426" s="11" t="s">
        <v>238</v>
      </c>
      <c r="T1426" s="11" t="s">
        <v>239</v>
      </c>
      <c r="U1426" s="5" t="s">
        <v>240</v>
      </c>
      <c r="V1426" s="11" t="s">
        <v>324</v>
      </c>
      <c r="W1426" s="5" t="s">
        <v>205</v>
      </c>
      <c r="X1426" s="5" t="s">
        <v>255</v>
      </c>
      <c r="Y1426" s="5"/>
      <c r="Z1426" s="5"/>
      <c r="AA1426" s="11" t="s">
        <v>172</v>
      </c>
      <c r="AB1426" s="5" t="s">
        <v>245</v>
      </c>
      <c r="AC1426" s="5"/>
      <c r="AD1426" s="11" t="s">
        <v>3541</v>
      </c>
      <c r="AE1426" s="23" t="n">
        <v>0.35</v>
      </c>
      <c r="AF1426" s="23" t="n">
        <v>0</v>
      </c>
      <c r="AG1426" s="23" t="n">
        <v>1</v>
      </c>
      <c r="AH1426" s="23" t="n">
        <v>1</v>
      </c>
      <c r="AI1426" s="23" t="n">
        <v>1</v>
      </c>
      <c r="AJ1426" s="23" t="n">
        <v>0.6032</v>
      </c>
      <c r="AK1426" s="23" t="n">
        <v>0.5</v>
      </c>
      <c r="AL1426" s="23" t="n">
        <v>0.3</v>
      </c>
      <c r="AM1426" s="16" t="n">
        <f aca="false">COUNTIFS($D$2:$D$2501,D1426,$G$2:$G$2501,"&gt;"&amp;G1426)+COUNTIFS($D$2:D1426,D1426,$G$2:G1426,G1426)</f>
        <v>91</v>
      </c>
      <c r="AN1426" s="5" t="str">
        <f aca="false">D1426&amp;"|"&amp;AM1426</f>
        <v>文件與影像辨識|91</v>
      </c>
    </row>
    <row r="1427" customFormat="false" ht="17.15" hidden="false" customHeight="false" outlineLevel="0" collapsed="false">
      <c r="A1427" s="16" t="n">
        <f aca="false">RANK(G1427,$G$2:$G$2501)+COUNTIF($G$2:G1427,G1427)-1</f>
        <v>1426</v>
      </c>
      <c r="B1427" s="11" t="s">
        <v>3542</v>
      </c>
      <c r="C1427" s="11" t="s">
        <v>308</v>
      </c>
      <c r="D1427" s="5" t="s">
        <v>74</v>
      </c>
      <c r="E1427" s="5" t="s">
        <v>75</v>
      </c>
      <c r="F1427" s="5"/>
      <c r="G1427" s="22" t="n">
        <f aca="false">ROUND(SUM(I1427:P1427),3)</f>
        <v>60.52</v>
      </c>
      <c r="H1427" s="5" t="str">
        <f aca="false">IF(G1427&gt;=評分方法!$C$16,"優先評估",IF(G1427&gt;=評分方法!$C$17,"列入候選",IF(G1427&gt;=評分方法!$C$18,"特定情境","不建議")))</f>
        <v>特定情境</v>
      </c>
      <c r="I1427" s="15" t="n">
        <f aca="false">AE1427*評分方法!$C$5</f>
        <v>10.5</v>
      </c>
      <c r="J1427" s="15" t="n">
        <f aca="false">AF1427*評分方法!$C$6</f>
        <v>0</v>
      </c>
      <c r="K1427" s="15" t="n">
        <f aca="false">AG1427*評分方法!$C$7</f>
        <v>15</v>
      </c>
      <c r="L1427" s="15" t="n">
        <f aca="false">AH1427*評分方法!$C$8</f>
        <v>15</v>
      </c>
      <c r="M1427" s="15" t="n">
        <f aca="false">AI1427*評分方法!$C$9</f>
        <v>10</v>
      </c>
      <c r="N1427" s="15" t="n">
        <f aca="false">AJ1427*評分方法!$C$10</f>
        <v>7.52</v>
      </c>
      <c r="O1427" s="15" t="n">
        <f aca="false">AK1427*評分方法!$C$11</f>
        <v>1</v>
      </c>
      <c r="P1427" s="15" t="n">
        <f aca="false">AL1427*評分方法!$C$12</f>
        <v>1.5</v>
      </c>
      <c r="Q1427" s="6" t="n">
        <v>1181718</v>
      </c>
      <c r="R1427" s="6" t="n">
        <v>11699112</v>
      </c>
      <c r="S1427" s="11" t="s">
        <v>238</v>
      </c>
      <c r="T1427" s="11" t="s">
        <v>239</v>
      </c>
      <c r="U1427" s="5" t="s">
        <v>240</v>
      </c>
      <c r="V1427" s="11" t="s">
        <v>855</v>
      </c>
      <c r="W1427" s="5" t="s">
        <v>205</v>
      </c>
      <c r="X1427" s="5" t="s">
        <v>255</v>
      </c>
      <c r="Y1427" s="5"/>
      <c r="Z1427" s="5"/>
      <c r="AA1427" s="11" t="s">
        <v>172</v>
      </c>
      <c r="AB1427" s="5" t="s">
        <v>245</v>
      </c>
      <c r="AC1427" s="5"/>
      <c r="AD1427" s="11" t="s">
        <v>3543</v>
      </c>
      <c r="AE1427" s="23" t="n">
        <v>0.35</v>
      </c>
      <c r="AF1427" s="23" t="n">
        <v>0</v>
      </c>
      <c r="AG1427" s="23" t="n">
        <v>1</v>
      </c>
      <c r="AH1427" s="23" t="n">
        <v>1</v>
      </c>
      <c r="AI1427" s="23" t="n">
        <v>1</v>
      </c>
      <c r="AJ1427" s="23" t="n">
        <v>0.752</v>
      </c>
      <c r="AK1427" s="23" t="n">
        <v>0.2</v>
      </c>
      <c r="AL1427" s="23" t="n">
        <v>0.3</v>
      </c>
      <c r="AM1427" s="16" t="n">
        <f aca="false">COUNTIFS($D$2:$D$2501,D1427,$G$2:$G$2501,"&gt;"&amp;G1427)+COUNTIFS($D$2:D1427,D1427,$G$2:G1427,G1427)</f>
        <v>92</v>
      </c>
      <c r="AN1427" s="5" t="str">
        <f aca="false">D1427&amp;"|"&amp;AM1427</f>
        <v>文件與影像辨識|92</v>
      </c>
    </row>
    <row r="1428" customFormat="false" ht="17.15" hidden="false" customHeight="false" outlineLevel="0" collapsed="false">
      <c r="A1428" s="16" t="n">
        <f aca="false">RANK(G1428,$G$2:$G$2501)+COUNTIF($G$2:G1428,G1428)-1</f>
        <v>1427</v>
      </c>
      <c r="B1428" s="11" t="s">
        <v>3544</v>
      </c>
      <c r="C1428" s="11" t="s">
        <v>1111</v>
      </c>
      <c r="D1428" s="5" t="s">
        <v>56</v>
      </c>
      <c r="E1428" s="5" t="s">
        <v>57</v>
      </c>
      <c r="F1428" s="5"/>
      <c r="G1428" s="22" t="n">
        <f aca="false">ROUND(SUM(I1428:P1428),3)</f>
        <v>60.516</v>
      </c>
      <c r="H1428" s="5" t="str">
        <f aca="false">IF(G1428&gt;=評分方法!$C$16,"優先評估",IF(G1428&gt;=評分方法!$C$17,"列入候選",IF(G1428&gt;=評分方法!$C$18,"特定情境","不建議")))</f>
        <v>特定情境</v>
      </c>
      <c r="I1428" s="15" t="n">
        <f aca="false">AE1428*評分方法!$C$5</f>
        <v>25.5</v>
      </c>
      <c r="J1428" s="15" t="n">
        <f aca="false">AF1428*評分方法!$C$6</f>
        <v>0</v>
      </c>
      <c r="K1428" s="15" t="n">
        <f aca="false">AG1428*評分方法!$C$7</f>
        <v>10.05</v>
      </c>
      <c r="L1428" s="15" t="n">
        <f aca="false">AH1428*評分方法!$C$8</f>
        <v>13.05</v>
      </c>
      <c r="M1428" s="15" t="n">
        <f aca="false">AI1428*評分方法!$C$9</f>
        <v>6</v>
      </c>
      <c r="N1428" s="15" t="n">
        <f aca="false">AJ1428*評分方法!$C$10</f>
        <v>0.916</v>
      </c>
      <c r="O1428" s="15" t="n">
        <f aca="false">AK1428*評分方法!$C$11</f>
        <v>5</v>
      </c>
      <c r="P1428" s="15" t="n">
        <f aca="false">AL1428*評分方法!$C$12</f>
        <v>0</v>
      </c>
      <c r="Q1428" s="6" t="n">
        <v>150337</v>
      </c>
      <c r="R1428" s="6" t="n">
        <v>1498482688</v>
      </c>
      <c r="S1428" s="11" t="s">
        <v>254</v>
      </c>
      <c r="T1428" s="11" t="s">
        <v>1044</v>
      </c>
      <c r="U1428" s="5" t="s">
        <v>260</v>
      </c>
      <c r="V1428" s="11" t="s">
        <v>261</v>
      </c>
      <c r="W1428" s="5" t="s">
        <v>207</v>
      </c>
      <c r="X1428" s="5" t="s">
        <v>242</v>
      </c>
      <c r="Y1428" s="11" t="s">
        <v>1309</v>
      </c>
      <c r="Z1428" s="11" t="s">
        <v>244</v>
      </c>
      <c r="AA1428" s="11" t="s">
        <v>155</v>
      </c>
      <c r="AB1428" s="5" t="s">
        <v>245</v>
      </c>
      <c r="AC1428" s="5" t="s">
        <v>464</v>
      </c>
      <c r="AD1428" s="11" t="s">
        <v>3545</v>
      </c>
      <c r="AE1428" s="23" t="n">
        <v>0.85</v>
      </c>
      <c r="AF1428" s="23" t="n">
        <v>0</v>
      </c>
      <c r="AG1428" s="23" t="n">
        <v>0.67</v>
      </c>
      <c r="AH1428" s="23" t="n">
        <v>0.87</v>
      </c>
      <c r="AI1428" s="23" t="n">
        <v>0.6</v>
      </c>
      <c r="AJ1428" s="23" t="n">
        <v>0.0916</v>
      </c>
      <c r="AK1428" s="23" t="n">
        <v>1</v>
      </c>
      <c r="AL1428" s="23" t="n">
        <v>0</v>
      </c>
      <c r="AM1428" s="16" t="n">
        <f aca="false">COUNTIFS($D$2:$D$2501,D1428,$G$2:$G$2501,"&gt;"&amp;G1428)+COUNTIFS($D$2:D1428,D1428,$G$2:G1428,G1428)</f>
        <v>658</v>
      </c>
      <c r="AN1428" s="5" t="str">
        <f aca="false">D1428&amp;"|"&amp;AM1428</f>
        <v>分析與報告生成|658</v>
      </c>
    </row>
    <row r="1429" customFormat="false" ht="17.15" hidden="false" customHeight="false" outlineLevel="0" collapsed="false">
      <c r="A1429" s="16" t="n">
        <f aca="false">RANK(G1429,$G$2:$G$2501)+COUNTIF($G$2:G1429,G1429)-1</f>
        <v>1428</v>
      </c>
      <c r="B1429" s="11" t="s">
        <v>3546</v>
      </c>
      <c r="C1429" s="11" t="s">
        <v>1111</v>
      </c>
      <c r="D1429" s="5" t="s">
        <v>56</v>
      </c>
      <c r="E1429" s="5" t="s">
        <v>57</v>
      </c>
      <c r="F1429" s="5"/>
      <c r="G1429" s="22" t="n">
        <f aca="false">ROUND(SUM(I1429:P1429),3)</f>
        <v>60.514</v>
      </c>
      <c r="H1429" s="5" t="str">
        <f aca="false">IF(G1429&gt;=評分方法!$C$16,"優先評估",IF(G1429&gt;=評分方法!$C$17,"列入候選",IF(G1429&gt;=評分方法!$C$18,"特定情境","不建議")))</f>
        <v>特定情境</v>
      </c>
      <c r="I1429" s="15" t="n">
        <f aca="false">AE1429*評分方法!$C$5</f>
        <v>25.5</v>
      </c>
      <c r="J1429" s="15" t="n">
        <f aca="false">AF1429*評分方法!$C$6</f>
        <v>0</v>
      </c>
      <c r="K1429" s="15" t="n">
        <f aca="false">AG1429*評分方法!$C$7</f>
        <v>10.05</v>
      </c>
      <c r="L1429" s="15" t="n">
        <f aca="false">AH1429*評分方法!$C$8</f>
        <v>9</v>
      </c>
      <c r="M1429" s="15" t="n">
        <f aca="false">AI1429*評分方法!$C$9</f>
        <v>10</v>
      </c>
      <c r="N1429" s="15" t="n">
        <f aca="false">AJ1429*評分方法!$C$10</f>
        <v>0.964</v>
      </c>
      <c r="O1429" s="15" t="n">
        <f aca="false">AK1429*評分方法!$C$11</f>
        <v>5</v>
      </c>
      <c r="P1429" s="15" t="n">
        <f aca="false">AL1429*評分方法!$C$12</f>
        <v>0</v>
      </c>
      <c r="Q1429" s="6" t="n">
        <v>151735</v>
      </c>
      <c r="R1429" s="6" t="n">
        <v>14659507200</v>
      </c>
      <c r="S1429" s="11" t="s">
        <v>389</v>
      </c>
      <c r="T1429" s="11" t="s">
        <v>278</v>
      </c>
      <c r="U1429" s="5" t="s">
        <v>240</v>
      </c>
      <c r="V1429" s="11" t="s">
        <v>261</v>
      </c>
      <c r="W1429" s="5" t="s">
        <v>207</v>
      </c>
      <c r="X1429" s="5" t="s">
        <v>242</v>
      </c>
      <c r="Y1429" s="11" t="s">
        <v>971</v>
      </c>
      <c r="Z1429" s="11" t="s">
        <v>244</v>
      </c>
      <c r="AA1429" s="11" t="s">
        <v>155</v>
      </c>
      <c r="AB1429" s="5" t="s">
        <v>245</v>
      </c>
      <c r="AC1429" s="5" t="s">
        <v>246</v>
      </c>
      <c r="AD1429" s="11" t="s">
        <v>3547</v>
      </c>
      <c r="AE1429" s="23" t="n">
        <v>0.85</v>
      </c>
      <c r="AF1429" s="23" t="n">
        <v>0</v>
      </c>
      <c r="AG1429" s="23" t="n">
        <v>0.67</v>
      </c>
      <c r="AH1429" s="23" t="n">
        <v>0.6</v>
      </c>
      <c r="AI1429" s="23" t="n">
        <v>1</v>
      </c>
      <c r="AJ1429" s="23" t="n">
        <v>0.0964</v>
      </c>
      <c r="AK1429" s="23" t="n">
        <v>1</v>
      </c>
      <c r="AL1429" s="23" t="n">
        <v>0</v>
      </c>
      <c r="AM1429" s="16" t="n">
        <f aca="false">COUNTIFS($D$2:$D$2501,D1429,$G$2:$G$2501,"&gt;"&amp;G1429)+COUNTIFS($D$2:D1429,D1429,$G$2:G1429,G1429)</f>
        <v>659</v>
      </c>
      <c r="AN1429" s="5" t="str">
        <f aca="false">D1429&amp;"|"&amp;AM1429</f>
        <v>分析與報告生成|659</v>
      </c>
    </row>
    <row r="1430" customFormat="false" ht="17.15" hidden="false" customHeight="false" outlineLevel="0" collapsed="false">
      <c r="A1430" s="16" t="n">
        <f aca="false">RANK(G1430,$G$2:$G$2501)+COUNTIF($G$2:G1430,G1430)-1</f>
        <v>1429</v>
      </c>
      <c r="B1430" s="11" t="s">
        <v>3548</v>
      </c>
      <c r="C1430" s="11" t="s">
        <v>3549</v>
      </c>
      <c r="D1430" s="5" t="s">
        <v>56</v>
      </c>
      <c r="E1430" s="5" t="s">
        <v>57</v>
      </c>
      <c r="F1430" s="5"/>
      <c r="G1430" s="22" t="n">
        <f aca="false">ROUND(SUM(I1430:P1430),3)</f>
        <v>60.5</v>
      </c>
      <c r="H1430" s="5" t="str">
        <f aca="false">IF(G1430&gt;=評分方法!$C$16,"優先評估",IF(G1430&gt;=評分方法!$C$17,"列入候選",IF(G1430&gt;=評分方法!$C$18,"特定情境","不建議")))</f>
        <v>特定情境</v>
      </c>
      <c r="I1430" s="15" t="n">
        <f aca="false">AE1430*評分方法!$C$5</f>
        <v>25.5</v>
      </c>
      <c r="J1430" s="15" t="n">
        <f aca="false">AF1430*評分方法!$C$6</f>
        <v>0</v>
      </c>
      <c r="K1430" s="15" t="n">
        <f aca="false">AG1430*評分方法!$C$7</f>
        <v>4.95</v>
      </c>
      <c r="L1430" s="15" t="n">
        <f aca="false">AH1430*評分方法!$C$8</f>
        <v>13.05</v>
      </c>
      <c r="M1430" s="15" t="n">
        <f aca="false">AI1430*評分方法!$C$9</f>
        <v>10</v>
      </c>
      <c r="N1430" s="15" t="n">
        <f aca="false">AJ1430*評分方法!$C$10</f>
        <v>2</v>
      </c>
      <c r="O1430" s="15" t="n">
        <f aca="false">AK1430*評分方法!$C$11</f>
        <v>5</v>
      </c>
      <c r="P1430" s="15" t="n">
        <f aca="false">AL1430*評分方法!$C$12</f>
        <v>0</v>
      </c>
      <c r="Q1430" s="6" t="n">
        <v>210078</v>
      </c>
      <c r="R1430" s="6" t="n">
        <v>7248023552</v>
      </c>
      <c r="S1430" s="11" t="s">
        <v>254</v>
      </c>
      <c r="T1430" s="11" t="s">
        <v>239</v>
      </c>
      <c r="U1430" s="5" t="s">
        <v>240</v>
      </c>
      <c r="V1430" s="11" t="s">
        <v>462</v>
      </c>
      <c r="W1430" s="5" t="s">
        <v>334</v>
      </c>
      <c r="X1430" s="5" t="s">
        <v>242</v>
      </c>
      <c r="Y1430" s="5"/>
      <c r="Z1430" s="5"/>
      <c r="AA1430" s="11" t="s">
        <v>155</v>
      </c>
      <c r="AB1430" s="5" t="s">
        <v>245</v>
      </c>
      <c r="AC1430" s="5"/>
      <c r="AD1430" s="11" t="s">
        <v>3550</v>
      </c>
      <c r="AE1430" s="23" t="n">
        <v>0.85</v>
      </c>
      <c r="AF1430" s="23" t="n">
        <v>0</v>
      </c>
      <c r="AG1430" s="23" t="n">
        <v>0.33</v>
      </c>
      <c r="AH1430" s="23" t="n">
        <v>0.87</v>
      </c>
      <c r="AI1430" s="23" t="n">
        <v>1</v>
      </c>
      <c r="AJ1430" s="23" t="n">
        <v>0.2</v>
      </c>
      <c r="AK1430" s="23" t="n">
        <v>1</v>
      </c>
      <c r="AL1430" s="23" t="n">
        <v>0</v>
      </c>
      <c r="AM1430" s="16" t="n">
        <f aca="false">COUNTIFS($D$2:$D$2501,D1430,$G$2:$G$2501,"&gt;"&amp;G1430)+COUNTIFS($D$2:D1430,D1430,$G$2:G1430,G1430)</f>
        <v>660</v>
      </c>
      <c r="AN1430" s="5" t="str">
        <f aca="false">D1430&amp;"|"&amp;AM1430</f>
        <v>分析與報告生成|660</v>
      </c>
    </row>
    <row r="1431" customFormat="false" ht="17.15" hidden="false" customHeight="false" outlineLevel="0" collapsed="false">
      <c r="A1431" s="16" t="n">
        <f aca="false">RANK(G1431,$G$2:$G$2501)+COUNTIF($G$2:G1431,G1431)-1</f>
        <v>1430</v>
      </c>
      <c r="B1431" s="11" t="s">
        <v>3551</v>
      </c>
      <c r="C1431" s="11" t="s">
        <v>694</v>
      </c>
      <c r="D1431" s="5" t="s">
        <v>56</v>
      </c>
      <c r="E1431" s="5" t="s">
        <v>57</v>
      </c>
      <c r="F1431" s="5"/>
      <c r="G1431" s="22" t="n">
        <f aca="false">ROUND(SUM(I1431:P1431),3)</f>
        <v>60.488</v>
      </c>
      <c r="H1431" s="5" t="str">
        <f aca="false">IF(G1431&gt;=評分方法!$C$16,"優先評估",IF(G1431&gt;=評分方法!$C$17,"列入候選",IF(G1431&gt;=評分方法!$C$18,"特定情境","不建議")))</f>
        <v>特定情境</v>
      </c>
      <c r="I1431" s="15" t="n">
        <f aca="false">AE1431*評分方法!$C$5</f>
        <v>25.5</v>
      </c>
      <c r="J1431" s="15" t="n">
        <f aca="false">AF1431*評分方法!$C$6</f>
        <v>0</v>
      </c>
      <c r="K1431" s="15" t="n">
        <f aca="false">AG1431*評分方法!$C$7</f>
        <v>15</v>
      </c>
      <c r="L1431" s="15" t="n">
        <f aca="false">AH1431*評分方法!$C$8</f>
        <v>9</v>
      </c>
      <c r="M1431" s="15" t="n">
        <f aca="false">AI1431*評分方法!$C$9</f>
        <v>6</v>
      </c>
      <c r="N1431" s="15" t="n">
        <f aca="false">AJ1431*評分方法!$C$10</f>
        <v>2.488</v>
      </c>
      <c r="O1431" s="15" t="n">
        <f aca="false">AK1431*評分方法!$C$11</f>
        <v>2.5</v>
      </c>
      <c r="P1431" s="15" t="n">
        <f aca="false">AL1431*評分方法!$C$12</f>
        <v>0</v>
      </c>
      <c r="Q1431" s="6" t="n">
        <v>249400</v>
      </c>
      <c r="R1431" s="6" t="n">
        <v>13351494656</v>
      </c>
      <c r="S1431" s="11" t="s">
        <v>389</v>
      </c>
      <c r="T1431" s="11" t="s">
        <v>1153</v>
      </c>
      <c r="U1431" s="5" t="s">
        <v>260</v>
      </c>
      <c r="V1431" s="11" t="s">
        <v>261</v>
      </c>
      <c r="W1431" s="5" t="s">
        <v>205</v>
      </c>
      <c r="X1431" s="5" t="s">
        <v>242</v>
      </c>
      <c r="Y1431" s="5"/>
      <c r="Z1431" s="5"/>
      <c r="AA1431" s="11" t="s">
        <v>156</v>
      </c>
      <c r="AB1431" s="5" t="s">
        <v>245</v>
      </c>
      <c r="AC1431" s="5" t="s">
        <v>262</v>
      </c>
      <c r="AD1431" s="11" t="s">
        <v>3552</v>
      </c>
      <c r="AE1431" s="23" t="n">
        <v>0.85</v>
      </c>
      <c r="AF1431" s="23" t="n">
        <v>0</v>
      </c>
      <c r="AG1431" s="23" t="n">
        <v>1</v>
      </c>
      <c r="AH1431" s="23" t="n">
        <v>0.6</v>
      </c>
      <c r="AI1431" s="23" t="n">
        <v>0.6</v>
      </c>
      <c r="AJ1431" s="23" t="n">
        <v>0.2488</v>
      </c>
      <c r="AK1431" s="23" t="n">
        <v>0.5</v>
      </c>
      <c r="AL1431" s="23" t="n">
        <v>0</v>
      </c>
      <c r="AM1431" s="16" t="n">
        <f aca="false">COUNTIFS($D$2:$D$2501,D1431,$G$2:$G$2501,"&gt;"&amp;G1431)+COUNTIFS($D$2:D1431,D1431,$G$2:G1431,G1431)</f>
        <v>661</v>
      </c>
      <c r="AN1431" s="5" t="str">
        <f aca="false">D1431&amp;"|"&amp;AM1431</f>
        <v>分析與報告生成|661</v>
      </c>
    </row>
    <row r="1432" customFormat="false" ht="17.15" hidden="false" customHeight="false" outlineLevel="0" collapsed="false">
      <c r="A1432" s="16" t="n">
        <f aca="false">RANK(G1432,$G$2:$G$2501)+COUNTIF($G$2:G1432,G1432)-1</f>
        <v>1431</v>
      </c>
      <c r="B1432" s="11" t="s">
        <v>3553</v>
      </c>
      <c r="C1432" s="11" t="s">
        <v>2693</v>
      </c>
      <c r="D1432" s="5" t="s">
        <v>74</v>
      </c>
      <c r="E1432" s="5" t="s">
        <v>75</v>
      </c>
      <c r="F1432" s="5"/>
      <c r="G1432" s="22" t="n">
        <f aca="false">ROUND(SUM(I1432:P1432),3)</f>
        <v>60.48</v>
      </c>
      <c r="H1432" s="5" t="str">
        <f aca="false">IF(G1432&gt;=評分方法!$C$16,"優先評估",IF(G1432&gt;=評分方法!$C$17,"列入候選",IF(G1432&gt;=評分方法!$C$18,"特定情境","不建議")))</f>
        <v>特定情境</v>
      </c>
      <c r="I1432" s="15" t="n">
        <f aca="false">AE1432*評分方法!$C$5</f>
        <v>10.5</v>
      </c>
      <c r="J1432" s="15" t="n">
        <f aca="false">AF1432*評分方法!$C$6</f>
        <v>0</v>
      </c>
      <c r="K1432" s="15" t="n">
        <f aca="false">AG1432*評分方法!$C$7</f>
        <v>15</v>
      </c>
      <c r="L1432" s="15" t="n">
        <f aca="false">AH1432*評分方法!$C$8</f>
        <v>15</v>
      </c>
      <c r="M1432" s="15" t="n">
        <f aca="false">AI1432*評分方法!$C$9</f>
        <v>10</v>
      </c>
      <c r="N1432" s="15" t="n">
        <f aca="false">AJ1432*評分方法!$C$10</f>
        <v>5.98</v>
      </c>
      <c r="O1432" s="15" t="n">
        <f aca="false">AK1432*評分方法!$C$11</f>
        <v>2.5</v>
      </c>
      <c r="P1432" s="15" t="n">
        <f aca="false">AL1432*評分方法!$C$12</f>
        <v>1.5</v>
      </c>
      <c r="Q1432" s="6" t="n">
        <v>617324</v>
      </c>
      <c r="R1432" s="6" t="n">
        <v>471768</v>
      </c>
      <c r="S1432" s="11" t="s">
        <v>238</v>
      </c>
      <c r="T1432" s="11" t="s">
        <v>239</v>
      </c>
      <c r="U1432" s="5" t="s">
        <v>240</v>
      </c>
      <c r="V1432" s="11" t="s">
        <v>324</v>
      </c>
      <c r="W1432" s="5" t="s">
        <v>205</v>
      </c>
      <c r="X1432" s="5" t="s">
        <v>255</v>
      </c>
      <c r="Y1432" s="5"/>
      <c r="Z1432" s="5"/>
      <c r="AA1432" s="11" t="s">
        <v>172</v>
      </c>
      <c r="AB1432" s="5" t="s">
        <v>245</v>
      </c>
      <c r="AC1432" s="5"/>
      <c r="AD1432" s="11" t="s">
        <v>3554</v>
      </c>
      <c r="AE1432" s="23" t="n">
        <v>0.35</v>
      </c>
      <c r="AF1432" s="23" t="n">
        <v>0</v>
      </c>
      <c r="AG1432" s="23" t="n">
        <v>1</v>
      </c>
      <c r="AH1432" s="23" t="n">
        <v>1</v>
      </c>
      <c r="AI1432" s="23" t="n">
        <v>1</v>
      </c>
      <c r="AJ1432" s="23" t="n">
        <v>0.598</v>
      </c>
      <c r="AK1432" s="23" t="n">
        <v>0.5</v>
      </c>
      <c r="AL1432" s="23" t="n">
        <v>0.3</v>
      </c>
      <c r="AM1432" s="16" t="n">
        <f aca="false">COUNTIFS($D$2:$D$2501,D1432,$G$2:$G$2501,"&gt;"&amp;G1432)+COUNTIFS($D$2:D1432,D1432,$G$2:G1432,G1432)</f>
        <v>93</v>
      </c>
      <c r="AN1432" s="5" t="str">
        <f aca="false">D1432&amp;"|"&amp;AM1432</f>
        <v>文件與影像辨識|93</v>
      </c>
    </row>
    <row r="1433" customFormat="false" ht="17.15" hidden="false" customHeight="false" outlineLevel="0" collapsed="false">
      <c r="A1433" s="16" t="n">
        <f aca="false">RANK(G1433,$G$2:$G$2501)+COUNTIF($G$2:G1433,G1433)-1</f>
        <v>1432</v>
      </c>
      <c r="B1433" s="11" t="s">
        <v>3555</v>
      </c>
      <c r="C1433" s="11" t="s">
        <v>308</v>
      </c>
      <c r="D1433" s="5" t="s">
        <v>80</v>
      </c>
      <c r="E1433" s="5" t="s">
        <v>81</v>
      </c>
      <c r="F1433" s="5"/>
      <c r="G1433" s="22" t="n">
        <f aca="false">ROUND(SUM(I1433:P1433),3)</f>
        <v>60.44</v>
      </c>
      <c r="H1433" s="5" t="str">
        <f aca="false">IF(G1433&gt;=評分方法!$C$16,"優先評估",IF(G1433&gt;=評分方法!$C$17,"列入候選",IF(G1433&gt;=評分方法!$C$18,"特定情境","不建議")))</f>
        <v>特定情境</v>
      </c>
      <c r="I1433" s="15" t="n">
        <f aca="false">AE1433*評分方法!$C$5</f>
        <v>9</v>
      </c>
      <c r="J1433" s="15" t="n">
        <f aca="false">AF1433*評分方法!$C$6</f>
        <v>0</v>
      </c>
      <c r="K1433" s="15" t="n">
        <f aca="false">AG1433*評分方法!$C$7</f>
        <v>15</v>
      </c>
      <c r="L1433" s="15" t="n">
        <f aca="false">AH1433*評分方法!$C$8</f>
        <v>15</v>
      </c>
      <c r="M1433" s="15" t="n">
        <f aca="false">AI1433*評分方法!$C$9</f>
        <v>10</v>
      </c>
      <c r="N1433" s="15" t="n">
        <f aca="false">AJ1433*評分方法!$C$10</f>
        <v>7.44</v>
      </c>
      <c r="O1433" s="15" t="n">
        <f aca="false">AK1433*評分方法!$C$11</f>
        <v>2.5</v>
      </c>
      <c r="P1433" s="15" t="n">
        <f aca="false">AL1433*評分方法!$C$12</f>
        <v>1.5</v>
      </c>
      <c r="Q1433" s="6" t="n">
        <v>1120793</v>
      </c>
      <c r="R1433" s="6" t="n">
        <v>558945282</v>
      </c>
      <c r="S1433" s="11" t="s">
        <v>238</v>
      </c>
      <c r="T1433" s="11" t="s">
        <v>278</v>
      </c>
      <c r="U1433" s="5" t="s">
        <v>240</v>
      </c>
      <c r="V1433" s="11" t="s">
        <v>261</v>
      </c>
      <c r="W1433" s="5" t="s">
        <v>205</v>
      </c>
      <c r="X1433" s="5" t="s">
        <v>255</v>
      </c>
      <c r="Y1433" s="5"/>
      <c r="Z1433" s="5"/>
      <c r="AA1433" s="11" t="s">
        <v>150</v>
      </c>
      <c r="AB1433" s="5" t="s">
        <v>245</v>
      </c>
      <c r="AC1433" s="5" t="s">
        <v>3332</v>
      </c>
      <c r="AD1433" s="11" t="s">
        <v>3556</v>
      </c>
      <c r="AE1433" s="23" t="n">
        <v>0.3</v>
      </c>
      <c r="AF1433" s="23" t="n">
        <v>0</v>
      </c>
      <c r="AG1433" s="23" t="n">
        <v>1</v>
      </c>
      <c r="AH1433" s="23" t="n">
        <v>1</v>
      </c>
      <c r="AI1433" s="23" t="n">
        <v>1</v>
      </c>
      <c r="AJ1433" s="23" t="n">
        <v>0.744</v>
      </c>
      <c r="AK1433" s="23" t="n">
        <v>0.5</v>
      </c>
      <c r="AL1433" s="23" t="n">
        <v>0.3</v>
      </c>
      <c r="AM1433" s="16" t="n">
        <f aca="false">COUNTIFS($D$2:$D$2501,D1433,$G$2:$G$2501,"&gt;"&amp;G1433)+COUNTIFS($D$2:D1433,D1433,$G$2:G1433,G1433)</f>
        <v>2</v>
      </c>
      <c r="AN1433" s="5" t="str">
        <f aca="false">D1433&amp;"|"&amp;AM1433</f>
        <v>其他|2</v>
      </c>
    </row>
    <row r="1434" customFormat="false" ht="17.15" hidden="false" customHeight="false" outlineLevel="0" collapsed="false">
      <c r="A1434" s="16" t="n">
        <f aca="false">RANK(G1434,$G$2:$G$2501)+COUNTIF($G$2:G1434,G1434)-1</f>
        <v>1433</v>
      </c>
      <c r="B1434" s="11" t="s">
        <v>3557</v>
      </c>
      <c r="C1434" s="11" t="s">
        <v>2693</v>
      </c>
      <c r="D1434" s="5" t="s">
        <v>74</v>
      </c>
      <c r="E1434" s="5" t="s">
        <v>75</v>
      </c>
      <c r="F1434" s="5"/>
      <c r="G1434" s="22" t="n">
        <f aca="false">ROUND(SUM(I1434:P1434),3)</f>
        <v>60.432</v>
      </c>
      <c r="H1434" s="5" t="str">
        <f aca="false">IF(G1434&gt;=評分方法!$C$16,"優先評估",IF(G1434&gt;=評分方法!$C$17,"列入候選",IF(G1434&gt;=評分方法!$C$18,"特定情境","不建議")))</f>
        <v>特定情境</v>
      </c>
      <c r="I1434" s="15" t="n">
        <f aca="false">AE1434*評分方法!$C$5</f>
        <v>10.5</v>
      </c>
      <c r="J1434" s="15" t="n">
        <f aca="false">AF1434*評分方法!$C$6</f>
        <v>0</v>
      </c>
      <c r="K1434" s="15" t="n">
        <f aca="false">AG1434*評分方法!$C$7</f>
        <v>15</v>
      </c>
      <c r="L1434" s="15" t="n">
        <f aca="false">AH1434*評分方法!$C$8</f>
        <v>15</v>
      </c>
      <c r="M1434" s="15" t="n">
        <f aca="false">AI1434*評分方法!$C$9</f>
        <v>10</v>
      </c>
      <c r="N1434" s="15" t="n">
        <f aca="false">AJ1434*評分方法!$C$10</f>
        <v>5.932</v>
      </c>
      <c r="O1434" s="15" t="n">
        <f aca="false">AK1434*評分方法!$C$11</f>
        <v>2.5</v>
      </c>
      <c r="P1434" s="15" t="n">
        <f aca="false">AL1434*評分方法!$C$12</f>
        <v>1.5</v>
      </c>
      <c r="Q1434" s="6" t="n">
        <v>611115</v>
      </c>
      <c r="R1434" s="6" t="n">
        <v>427888064</v>
      </c>
      <c r="S1434" s="11" t="s">
        <v>238</v>
      </c>
      <c r="T1434" s="11" t="s">
        <v>239</v>
      </c>
      <c r="U1434" s="5" t="s">
        <v>240</v>
      </c>
      <c r="V1434" s="11" t="s">
        <v>324</v>
      </c>
      <c r="W1434" s="5" t="s">
        <v>205</v>
      </c>
      <c r="X1434" s="5" t="s">
        <v>255</v>
      </c>
      <c r="Y1434" s="5"/>
      <c r="Z1434" s="5"/>
      <c r="AA1434" s="11" t="s">
        <v>173</v>
      </c>
      <c r="AB1434" s="5" t="s">
        <v>245</v>
      </c>
      <c r="AC1434" s="5"/>
      <c r="AD1434" s="11" t="s">
        <v>3558</v>
      </c>
      <c r="AE1434" s="23" t="n">
        <v>0.35</v>
      </c>
      <c r="AF1434" s="23" t="n">
        <v>0</v>
      </c>
      <c r="AG1434" s="23" t="n">
        <v>1</v>
      </c>
      <c r="AH1434" s="23" t="n">
        <v>1</v>
      </c>
      <c r="AI1434" s="23" t="n">
        <v>1</v>
      </c>
      <c r="AJ1434" s="23" t="n">
        <v>0.5932</v>
      </c>
      <c r="AK1434" s="23" t="n">
        <v>0.5</v>
      </c>
      <c r="AL1434" s="23" t="n">
        <v>0.3</v>
      </c>
      <c r="AM1434" s="16" t="n">
        <f aca="false">COUNTIFS($D$2:$D$2501,D1434,$G$2:$G$2501,"&gt;"&amp;G1434)+COUNTIFS($D$2:D1434,D1434,$G$2:G1434,G1434)</f>
        <v>94</v>
      </c>
      <c r="AN1434" s="5" t="str">
        <f aca="false">D1434&amp;"|"&amp;AM1434</f>
        <v>文件與影像辨識|94</v>
      </c>
    </row>
    <row r="1435" customFormat="false" ht="17.15" hidden="false" customHeight="false" outlineLevel="0" collapsed="false">
      <c r="A1435" s="16" t="n">
        <f aca="false">RANK(G1435,$G$2:$G$2501)+COUNTIF($G$2:G1435,G1435)-1</f>
        <v>1434</v>
      </c>
      <c r="B1435" s="11" t="s">
        <v>3559</v>
      </c>
      <c r="C1435" s="11" t="s">
        <v>2693</v>
      </c>
      <c r="D1435" s="5" t="s">
        <v>74</v>
      </c>
      <c r="E1435" s="5" t="s">
        <v>75</v>
      </c>
      <c r="F1435" s="5"/>
      <c r="G1435" s="22" t="n">
        <f aca="false">ROUND(SUM(I1435:P1435),3)</f>
        <v>60.424</v>
      </c>
      <c r="H1435" s="5" t="str">
        <f aca="false">IF(G1435&gt;=評分方法!$C$16,"優先評估",IF(G1435&gt;=評分方法!$C$17,"列入候選",IF(G1435&gt;=評分方法!$C$18,"特定情境","不建議")))</f>
        <v>特定情境</v>
      </c>
      <c r="I1435" s="15" t="n">
        <f aca="false">AE1435*評分方法!$C$5</f>
        <v>10.5</v>
      </c>
      <c r="J1435" s="15" t="n">
        <f aca="false">AF1435*評分方法!$C$6</f>
        <v>0</v>
      </c>
      <c r="K1435" s="15" t="n">
        <f aca="false">AG1435*評分方法!$C$7</f>
        <v>15</v>
      </c>
      <c r="L1435" s="15" t="n">
        <f aca="false">AH1435*評分方法!$C$8</f>
        <v>15</v>
      </c>
      <c r="M1435" s="15" t="n">
        <f aca="false">AI1435*評分方法!$C$9</f>
        <v>10</v>
      </c>
      <c r="N1435" s="15" t="n">
        <f aca="false">AJ1435*評分方法!$C$10</f>
        <v>5.924</v>
      </c>
      <c r="O1435" s="15" t="n">
        <f aca="false">AK1435*評分方法!$C$11</f>
        <v>2.5</v>
      </c>
      <c r="P1435" s="15" t="n">
        <f aca="false">AL1435*評分方法!$C$12</f>
        <v>1.5</v>
      </c>
      <c r="Q1435" s="6" t="n">
        <v>609033</v>
      </c>
      <c r="R1435" s="6" t="n">
        <v>3799112</v>
      </c>
      <c r="S1435" s="11" t="s">
        <v>238</v>
      </c>
      <c r="T1435" s="11" t="s">
        <v>239</v>
      </c>
      <c r="U1435" s="5" t="s">
        <v>240</v>
      </c>
      <c r="V1435" s="11" t="s">
        <v>324</v>
      </c>
      <c r="W1435" s="5" t="s">
        <v>205</v>
      </c>
      <c r="X1435" s="5" t="s">
        <v>255</v>
      </c>
      <c r="Y1435" s="5"/>
      <c r="Z1435" s="5"/>
      <c r="AA1435" s="11" t="s">
        <v>172</v>
      </c>
      <c r="AB1435" s="5" t="s">
        <v>245</v>
      </c>
      <c r="AC1435" s="5"/>
      <c r="AD1435" s="11" t="s">
        <v>3560</v>
      </c>
      <c r="AE1435" s="23" t="n">
        <v>0.35</v>
      </c>
      <c r="AF1435" s="23" t="n">
        <v>0</v>
      </c>
      <c r="AG1435" s="23" t="n">
        <v>1</v>
      </c>
      <c r="AH1435" s="23" t="n">
        <v>1</v>
      </c>
      <c r="AI1435" s="23" t="n">
        <v>1</v>
      </c>
      <c r="AJ1435" s="23" t="n">
        <v>0.5924</v>
      </c>
      <c r="AK1435" s="23" t="n">
        <v>0.5</v>
      </c>
      <c r="AL1435" s="23" t="n">
        <v>0.3</v>
      </c>
      <c r="AM1435" s="16" t="n">
        <f aca="false">COUNTIFS($D$2:$D$2501,D1435,$G$2:$G$2501,"&gt;"&amp;G1435)+COUNTIFS($D$2:D1435,D1435,$G$2:G1435,G1435)</f>
        <v>95</v>
      </c>
      <c r="AN1435" s="5" t="str">
        <f aca="false">D1435&amp;"|"&amp;AM1435</f>
        <v>文件與影像辨識|95</v>
      </c>
    </row>
    <row r="1436" customFormat="false" ht="17.15" hidden="false" customHeight="false" outlineLevel="0" collapsed="false">
      <c r="A1436" s="16" t="n">
        <f aca="false">RANK(G1436,$G$2:$G$2501)+COUNTIF($G$2:G1436,G1436)-1</f>
        <v>1435</v>
      </c>
      <c r="B1436" s="11" t="s">
        <v>3561</v>
      </c>
      <c r="C1436" s="11" t="s">
        <v>891</v>
      </c>
      <c r="D1436" s="5" t="s">
        <v>56</v>
      </c>
      <c r="E1436" s="5" t="s">
        <v>57</v>
      </c>
      <c r="F1436" s="5"/>
      <c r="G1436" s="22" t="n">
        <f aca="false">ROUND(SUM(I1436:P1436),3)</f>
        <v>60.406</v>
      </c>
      <c r="H1436" s="5" t="str">
        <f aca="false">IF(G1436&gt;=評分方法!$C$16,"優先評估",IF(G1436&gt;=評分方法!$C$17,"列入候選",IF(G1436&gt;=評分方法!$C$18,"特定情境","不建議")))</f>
        <v>特定情境</v>
      </c>
      <c r="I1436" s="15" t="n">
        <f aca="false">AE1436*評分方法!$C$5</f>
        <v>25.5</v>
      </c>
      <c r="J1436" s="15" t="n">
        <f aca="false">AF1436*評分方法!$C$6</f>
        <v>0</v>
      </c>
      <c r="K1436" s="15" t="n">
        <f aca="false">AG1436*評分方法!$C$7</f>
        <v>10.05</v>
      </c>
      <c r="L1436" s="15" t="n">
        <f aca="false">AH1436*評分方法!$C$8</f>
        <v>7.05</v>
      </c>
      <c r="M1436" s="15" t="n">
        <f aca="false">AI1436*評分方法!$C$9</f>
        <v>10</v>
      </c>
      <c r="N1436" s="15" t="n">
        <f aca="false">AJ1436*評分方法!$C$10</f>
        <v>0.306</v>
      </c>
      <c r="O1436" s="15" t="n">
        <f aca="false">AK1436*評分方法!$C$11</f>
        <v>2.5</v>
      </c>
      <c r="P1436" s="15" t="n">
        <f aca="false">AL1436*評分方法!$C$12</f>
        <v>5</v>
      </c>
      <c r="Q1436" s="6" t="n">
        <v>124538</v>
      </c>
      <c r="R1436" s="6"/>
      <c r="S1436" s="5" t="s">
        <v>255</v>
      </c>
      <c r="T1436" s="11" t="s">
        <v>239</v>
      </c>
      <c r="U1436" s="5" t="s">
        <v>240</v>
      </c>
      <c r="V1436" s="11" t="s">
        <v>261</v>
      </c>
      <c r="W1436" s="5" t="s">
        <v>207</v>
      </c>
      <c r="X1436" s="5" t="s">
        <v>284</v>
      </c>
      <c r="Y1436" s="11" t="s">
        <v>612</v>
      </c>
      <c r="Z1436" s="11" t="s">
        <v>244</v>
      </c>
      <c r="AA1436" s="11" t="s">
        <v>156</v>
      </c>
      <c r="AB1436" s="5" t="s">
        <v>245</v>
      </c>
      <c r="AC1436" s="5" t="s">
        <v>246</v>
      </c>
      <c r="AD1436" s="11" t="s">
        <v>3562</v>
      </c>
      <c r="AE1436" s="23" t="n">
        <v>0.85</v>
      </c>
      <c r="AF1436" s="23" t="n">
        <v>0</v>
      </c>
      <c r="AG1436" s="23" t="n">
        <v>0.67</v>
      </c>
      <c r="AH1436" s="23" t="n">
        <v>0.47</v>
      </c>
      <c r="AI1436" s="23" t="n">
        <v>1</v>
      </c>
      <c r="AJ1436" s="23" t="n">
        <v>0.0306</v>
      </c>
      <c r="AK1436" s="23" t="n">
        <v>0.5</v>
      </c>
      <c r="AL1436" s="23" t="n">
        <v>1</v>
      </c>
      <c r="AM1436" s="16" t="n">
        <f aca="false">COUNTIFS($D$2:$D$2501,D1436,$G$2:$G$2501,"&gt;"&amp;G1436)+COUNTIFS($D$2:D1436,D1436,$G$2:G1436,G1436)</f>
        <v>662</v>
      </c>
      <c r="AN1436" s="5" t="str">
        <f aca="false">D1436&amp;"|"&amp;AM1436</f>
        <v>分析與報告生成|662</v>
      </c>
    </row>
    <row r="1437" customFormat="false" ht="17.15" hidden="false" customHeight="false" outlineLevel="0" collapsed="false">
      <c r="A1437" s="16" t="n">
        <f aca="false">RANK(G1437,$G$2:$G$2501)+COUNTIF($G$2:G1437,G1437)-1</f>
        <v>1436</v>
      </c>
      <c r="B1437" s="11" t="s">
        <v>3563</v>
      </c>
      <c r="C1437" s="11" t="s">
        <v>3564</v>
      </c>
      <c r="D1437" s="5" t="s">
        <v>56</v>
      </c>
      <c r="E1437" s="5" t="s">
        <v>57</v>
      </c>
      <c r="F1437" s="5"/>
      <c r="G1437" s="22" t="n">
        <f aca="false">ROUND(SUM(I1437:P1437),3)</f>
        <v>60.346</v>
      </c>
      <c r="H1437" s="5" t="str">
        <f aca="false">IF(G1437&gt;=評分方法!$C$16,"優先評估",IF(G1437&gt;=評分方法!$C$17,"列入候選",IF(G1437&gt;=評分方法!$C$18,"特定情境","不建議")))</f>
        <v>特定情境</v>
      </c>
      <c r="I1437" s="15" t="n">
        <f aca="false">AE1437*評分方法!$C$5</f>
        <v>25.5</v>
      </c>
      <c r="J1437" s="15" t="n">
        <f aca="false">AF1437*評分方法!$C$6</f>
        <v>0</v>
      </c>
      <c r="K1437" s="15" t="n">
        <f aca="false">AG1437*評分方法!$C$7</f>
        <v>4.95</v>
      </c>
      <c r="L1437" s="15" t="n">
        <f aca="false">AH1437*評分方法!$C$8</f>
        <v>15</v>
      </c>
      <c r="M1437" s="15" t="n">
        <f aca="false">AI1437*評分方法!$C$9</f>
        <v>2</v>
      </c>
      <c r="N1437" s="15" t="n">
        <f aca="false">AJ1437*評分方法!$C$10</f>
        <v>8.896</v>
      </c>
      <c r="O1437" s="15" t="n">
        <f aca="false">AK1437*評分方法!$C$11</f>
        <v>1</v>
      </c>
      <c r="P1437" s="15" t="n">
        <f aca="false">AL1437*評分方法!$C$12</f>
        <v>3</v>
      </c>
      <c r="Q1437" s="6" t="n">
        <v>3408063</v>
      </c>
      <c r="R1437" s="6" t="n">
        <v>129135360</v>
      </c>
      <c r="S1437" s="11" t="s">
        <v>238</v>
      </c>
      <c r="T1437" s="5"/>
      <c r="U1437" s="5" t="s">
        <v>375</v>
      </c>
      <c r="V1437" s="11" t="s">
        <v>261</v>
      </c>
      <c r="W1437" s="5" t="s">
        <v>334</v>
      </c>
      <c r="X1437" s="5" t="s">
        <v>371</v>
      </c>
      <c r="Y1437" s="5"/>
      <c r="Z1437" s="5"/>
      <c r="AA1437" s="11" t="s">
        <v>155</v>
      </c>
      <c r="AB1437" s="5" t="s">
        <v>245</v>
      </c>
      <c r="AC1437" s="5" t="s">
        <v>262</v>
      </c>
      <c r="AD1437" s="11" t="s">
        <v>3565</v>
      </c>
      <c r="AE1437" s="23" t="n">
        <v>0.85</v>
      </c>
      <c r="AF1437" s="23" t="n">
        <v>0</v>
      </c>
      <c r="AG1437" s="23" t="n">
        <v>0.33</v>
      </c>
      <c r="AH1437" s="23" t="n">
        <v>1</v>
      </c>
      <c r="AI1437" s="23" t="n">
        <v>0.2</v>
      </c>
      <c r="AJ1437" s="23" t="n">
        <v>0.8896</v>
      </c>
      <c r="AK1437" s="23" t="n">
        <v>0.2</v>
      </c>
      <c r="AL1437" s="23" t="n">
        <v>0.6</v>
      </c>
      <c r="AM1437" s="16" t="n">
        <f aca="false">COUNTIFS($D$2:$D$2501,D1437,$G$2:$G$2501,"&gt;"&amp;G1437)+COUNTIFS($D$2:D1437,D1437,$G$2:G1437,G1437)</f>
        <v>663</v>
      </c>
      <c r="AN1437" s="5" t="str">
        <f aca="false">D1437&amp;"|"&amp;AM1437</f>
        <v>分析與報告生成|663</v>
      </c>
    </row>
    <row r="1438" customFormat="false" ht="17.15" hidden="false" customHeight="false" outlineLevel="0" collapsed="false">
      <c r="A1438" s="16" t="n">
        <f aca="false">RANK(G1438,$G$2:$G$2501)+COUNTIF($G$2:G1438,G1438)-1</f>
        <v>1437</v>
      </c>
      <c r="B1438" s="11" t="s">
        <v>3566</v>
      </c>
      <c r="C1438" s="11" t="s">
        <v>3567</v>
      </c>
      <c r="D1438" s="5" t="s">
        <v>56</v>
      </c>
      <c r="E1438" s="5" t="s">
        <v>57</v>
      </c>
      <c r="F1438" s="5"/>
      <c r="G1438" s="22" t="n">
        <f aca="false">ROUND(SUM(I1438:P1438),3)</f>
        <v>60.286</v>
      </c>
      <c r="H1438" s="5" t="str">
        <f aca="false">IF(G1438&gt;=評分方法!$C$16,"優先評估",IF(G1438&gt;=評分方法!$C$17,"列入候選",IF(G1438&gt;=評分方法!$C$18,"特定情境","不建議")))</f>
        <v>特定情境</v>
      </c>
      <c r="I1438" s="15" t="n">
        <f aca="false">AE1438*評分方法!$C$5</f>
        <v>25.5</v>
      </c>
      <c r="J1438" s="15" t="n">
        <f aca="false">AF1438*評分方法!$C$6</f>
        <v>0</v>
      </c>
      <c r="K1438" s="15" t="n">
        <f aca="false">AG1438*評分方法!$C$7</f>
        <v>4.95</v>
      </c>
      <c r="L1438" s="15" t="n">
        <f aca="false">AH1438*評分方法!$C$8</f>
        <v>9</v>
      </c>
      <c r="M1438" s="15" t="n">
        <f aca="false">AI1438*評分方法!$C$9</f>
        <v>10</v>
      </c>
      <c r="N1438" s="15" t="n">
        <f aca="false">AJ1438*評分方法!$C$10</f>
        <v>2.836</v>
      </c>
      <c r="O1438" s="15" t="n">
        <f aca="false">AK1438*評分方法!$C$11</f>
        <v>5</v>
      </c>
      <c r="P1438" s="15" t="n">
        <f aca="false">AL1438*評分方法!$C$12</f>
        <v>3</v>
      </c>
      <c r="Q1438" s="6" t="n">
        <v>276493</v>
      </c>
      <c r="R1438" s="6" t="n">
        <v>34660610688</v>
      </c>
      <c r="S1438" s="11" t="s">
        <v>389</v>
      </c>
      <c r="T1438" s="11" t="s">
        <v>239</v>
      </c>
      <c r="U1438" s="5" t="s">
        <v>240</v>
      </c>
      <c r="V1438" s="11" t="s">
        <v>333</v>
      </c>
      <c r="W1438" s="5" t="s">
        <v>334</v>
      </c>
      <c r="X1438" s="5" t="s">
        <v>371</v>
      </c>
      <c r="Y1438" s="11" t="s">
        <v>3568</v>
      </c>
      <c r="Z1438" s="11" t="s">
        <v>244</v>
      </c>
      <c r="AA1438" s="11" t="s">
        <v>155</v>
      </c>
      <c r="AB1438" s="5" t="s">
        <v>245</v>
      </c>
      <c r="AC1438" s="5" t="s">
        <v>246</v>
      </c>
      <c r="AD1438" s="11" t="s">
        <v>3569</v>
      </c>
      <c r="AE1438" s="23" t="n">
        <v>0.85</v>
      </c>
      <c r="AF1438" s="23" t="n">
        <v>0</v>
      </c>
      <c r="AG1438" s="23" t="n">
        <v>0.33</v>
      </c>
      <c r="AH1438" s="23" t="n">
        <v>0.6</v>
      </c>
      <c r="AI1438" s="23" t="n">
        <v>1</v>
      </c>
      <c r="AJ1438" s="23" t="n">
        <v>0.2836</v>
      </c>
      <c r="AK1438" s="23" t="n">
        <v>1</v>
      </c>
      <c r="AL1438" s="23" t="n">
        <v>0.6</v>
      </c>
      <c r="AM1438" s="16" t="n">
        <f aca="false">COUNTIFS($D$2:$D$2501,D1438,$G$2:$G$2501,"&gt;"&amp;G1438)+COUNTIFS($D$2:D1438,D1438,$G$2:G1438,G1438)</f>
        <v>664</v>
      </c>
      <c r="AN1438" s="5" t="str">
        <f aca="false">D1438&amp;"|"&amp;AM1438</f>
        <v>分析與報告生成|664</v>
      </c>
    </row>
    <row r="1439" customFormat="false" ht="17.15" hidden="false" customHeight="false" outlineLevel="0" collapsed="false">
      <c r="A1439" s="16" t="n">
        <f aca="false">RANK(G1439,$G$2:$G$2501)+COUNTIF($G$2:G1439,G1439)-1</f>
        <v>1438</v>
      </c>
      <c r="B1439" s="11" t="s">
        <v>3570</v>
      </c>
      <c r="C1439" s="11" t="s">
        <v>3571</v>
      </c>
      <c r="D1439" s="5" t="s">
        <v>56</v>
      </c>
      <c r="E1439" s="5" t="s">
        <v>57</v>
      </c>
      <c r="F1439" s="5"/>
      <c r="G1439" s="22" t="n">
        <f aca="false">ROUND(SUM(I1439:P1439),3)</f>
        <v>60.282</v>
      </c>
      <c r="H1439" s="5" t="str">
        <f aca="false">IF(G1439&gt;=評分方法!$C$16,"優先評估",IF(G1439&gt;=評分方法!$C$17,"列入候選",IF(G1439&gt;=評分方法!$C$18,"特定情境","不建議")))</f>
        <v>特定情境</v>
      </c>
      <c r="I1439" s="15" t="n">
        <f aca="false">AE1439*評分方法!$C$5</f>
        <v>25.5</v>
      </c>
      <c r="J1439" s="15" t="n">
        <f aca="false">AF1439*評分方法!$C$6</f>
        <v>0</v>
      </c>
      <c r="K1439" s="15" t="n">
        <f aca="false">AG1439*評分方法!$C$7</f>
        <v>4.95</v>
      </c>
      <c r="L1439" s="15" t="n">
        <f aca="false">AH1439*評分方法!$C$8</f>
        <v>9</v>
      </c>
      <c r="M1439" s="15" t="n">
        <f aca="false">AI1439*評分方法!$C$9</f>
        <v>10</v>
      </c>
      <c r="N1439" s="15" t="n">
        <f aca="false">AJ1439*評分方法!$C$10</f>
        <v>0.832</v>
      </c>
      <c r="O1439" s="15" t="n">
        <f aca="false">AK1439*評分方法!$C$11</f>
        <v>5</v>
      </c>
      <c r="P1439" s="15" t="n">
        <f aca="false">AL1439*評分方法!$C$12</f>
        <v>5</v>
      </c>
      <c r="Q1439" s="6" t="n">
        <v>147789</v>
      </c>
      <c r="R1439" s="6" t="n">
        <v>11959730224</v>
      </c>
      <c r="S1439" s="11" t="s">
        <v>389</v>
      </c>
      <c r="T1439" s="11" t="s">
        <v>239</v>
      </c>
      <c r="U1439" s="5" t="s">
        <v>240</v>
      </c>
      <c r="V1439" s="11" t="s">
        <v>462</v>
      </c>
      <c r="W1439" s="5" t="s">
        <v>334</v>
      </c>
      <c r="X1439" s="5" t="s">
        <v>284</v>
      </c>
      <c r="Y1439" s="11" t="s">
        <v>756</v>
      </c>
      <c r="Z1439" s="11" t="s">
        <v>270</v>
      </c>
      <c r="AA1439" s="11" t="s">
        <v>155</v>
      </c>
      <c r="AB1439" s="5" t="s">
        <v>245</v>
      </c>
      <c r="AC1439" s="5"/>
      <c r="AD1439" s="11" t="s">
        <v>3572</v>
      </c>
      <c r="AE1439" s="23" t="n">
        <v>0.85</v>
      </c>
      <c r="AF1439" s="23" t="n">
        <v>0</v>
      </c>
      <c r="AG1439" s="23" t="n">
        <v>0.33</v>
      </c>
      <c r="AH1439" s="23" t="n">
        <v>0.6</v>
      </c>
      <c r="AI1439" s="23" t="n">
        <v>1</v>
      </c>
      <c r="AJ1439" s="23" t="n">
        <v>0.0832</v>
      </c>
      <c r="AK1439" s="23" t="n">
        <v>1</v>
      </c>
      <c r="AL1439" s="23" t="n">
        <v>1</v>
      </c>
      <c r="AM1439" s="16" t="n">
        <f aca="false">COUNTIFS($D$2:$D$2501,D1439,$G$2:$G$2501,"&gt;"&amp;G1439)+COUNTIFS($D$2:D1439,D1439,$G$2:G1439,G1439)</f>
        <v>665</v>
      </c>
      <c r="AN1439" s="5" t="str">
        <f aca="false">D1439&amp;"|"&amp;AM1439</f>
        <v>分析與報告生成|665</v>
      </c>
    </row>
    <row r="1440" customFormat="false" ht="17.15" hidden="false" customHeight="false" outlineLevel="0" collapsed="false">
      <c r="A1440" s="16" t="n">
        <f aca="false">RANK(G1440,$G$2:$G$2501)+COUNTIF($G$2:G1440,G1440)-1</f>
        <v>1439</v>
      </c>
      <c r="B1440" s="11" t="s">
        <v>3573</v>
      </c>
      <c r="C1440" s="11" t="s">
        <v>753</v>
      </c>
      <c r="D1440" s="5" t="s">
        <v>56</v>
      </c>
      <c r="E1440" s="5" t="s">
        <v>57</v>
      </c>
      <c r="F1440" s="5"/>
      <c r="G1440" s="22" t="n">
        <f aca="false">ROUND(SUM(I1440:P1440),3)</f>
        <v>60.272</v>
      </c>
      <c r="H1440" s="5" t="str">
        <f aca="false">IF(G1440&gt;=評分方法!$C$16,"優先評估",IF(G1440&gt;=評分方法!$C$17,"列入候選",IF(G1440&gt;=評分方法!$C$18,"特定情境","不建議")))</f>
        <v>特定情境</v>
      </c>
      <c r="I1440" s="15" t="n">
        <f aca="false">AE1440*評分方法!$C$5</f>
        <v>25.5</v>
      </c>
      <c r="J1440" s="15" t="n">
        <f aca="false">AF1440*評分方法!$C$6</f>
        <v>0</v>
      </c>
      <c r="K1440" s="15" t="n">
        <f aca="false">AG1440*評分方法!$C$7</f>
        <v>10.05</v>
      </c>
      <c r="L1440" s="15" t="n">
        <f aca="false">AH1440*評分方法!$C$8</f>
        <v>13.05</v>
      </c>
      <c r="M1440" s="15" t="n">
        <f aca="false">AI1440*評分方法!$C$9</f>
        <v>6</v>
      </c>
      <c r="N1440" s="15" t="n">
        <f aca="false">AJ1440*評分方法!$C$10</f>
        <v>3.172</v>
      </c>
      <c r="O1440" s="15" t="n">
        <f aca="false">AK1440*評分方法!$C$11</f>
        <v>2.5</v>
      </c>
      <c r="P1440" s="15" t="n">
        <f aca="false">AL1440*評分方法!$C$12</f>
        <v>0</v>
      </c>
      <c r="Q1440" s="6" t="n">
        <v>308758</v>
      </c>
      <c r="R1440" s="6" t="n">
        <v>1264773672</v>
      </c>
      <c r="S1440" s="11" t="s">
        <v>254</v>
      </c>
      <c r="T1440" s="11" t="s">
        <v>1044</v>
      </c>
      <c r="U1440" s="5" t="s">
        <v>260</v>
      </c>
      <c r="V1440" s="11" t="s">
        <v>261</v>
      </c>
      <c r="W1440" s="5" t="s">
        <v>207</v>
      </c>
      <c r="X1440" s="5" t="s">
        <v>242</v>
      </c>
      <c r="Y1440" s="11" t="s">
        <v>1309</v>
      </c>
      <c r="Z1440" s="11" t="s">
        <v>244</v>
      </c>
      <c r="AA1440" s="11" t="s">
        <v>155</v>
      </c>
      <c r="AB1440" s="5" t="s">
        <v>245</v>
      </c>
      <c r="AC1440" s="5" t="s">
        <v>464</v>
      </c>
      <c r="AD1440" s="11" t="s">
        <v>3574</v>
      </c>
      <c r="AE1440" s="23" t="n">
        <v>0.85</v>
      </c>
      <c r="AF1440" s="23" t="n">
        <v>0</v>
      </c>
      <c r="AG1440" s="23" t="n">
        <v>0.67</v>
      </c>
      <c r="AH1440" s="23" t="n">
        <v>0.87</v>
      </c>
      <c r="AI1440" s="23" t="n">
        <v>0.6</v>
      </c>
      <c r="AJ1440" s="23" t="n">
        <v>0.3172</v>
      </c>
      <c r="AK1440" s="23" t="n">
        <v>0.5</v>
      </c>
      <c r="AL1440" s="23" t="n">
        <v>0</v>
      </c>
      <c r="AM1440" s="16" t="n">
        <f aca="false">COUNTIFS($D$2:$D$2501,D1440,$G$2:$G$2501,"&gt;"&amp;G1440)+COUNTIFS($D$2:D1440,D1440,$G$2:G1440,G1440)</f>
        <v>666</v>
      </c>
      <c r="AN1440" s="5" t="str">
        <f aca="false">D1440&amp;"|"&amp;AM1440</f>
        <v>分析與報告生成|666</v>
      </c>
    </row>
    <row r="1441" customFormat="false" ht="17.15" hidden="false" customHeight="false" outlineLevel="0" collapsed="false">
      <c r="A1441" s="16" t="n">
        <f aca="false">RANK(G1441,$G$2:$G$2501)+COUNTIF($G$2:G1441,G1441)-1</f>
        <v>1440</v>
      </c>
      <c r="B1441" s="11" t="s">
        <v>3575</v>
      </c>
      <c r="C1441" s="11" t="s">
        <v>1111</v>
      </c>
      <c r="D1441" s="5" t="s">
        <v>56</v>
      </c>
      <c r="E1441" s="5" t="s">
        <v>57</v>
      </c>
      <c r="F1441" s="5"/>
      <c r="G1441" s="22" t="n">
        <f aca="false">ROUND(SUM(I1441:P1441),3)</f>
        <v>60.256</v>
      </c>
      <c r="H1441" s="5" t="str">
        <f aca="false">IF(G1441&gt;=評分方法!$C$16,"優先評估",IF(G1441&gt;=評分方法!$C$17,"列入候選",IF(G1441&gt;=評分方法!$C$18,"特定情境","不建議")))</f>
        <v>特定情境</v>
      </c>
      <c r="I1441" s="15" t="n">
        <f aca="false">AE1441*評分方法!$C$5</f>
        <v>25.5</v>
      </c>
      <c r="J1441" s="15" t="n">
        <f aca="false">AF1441*評分方法!$C$6</f>
        <v>0</v>
      </c>
      <c r="K1441" s="15" t="n">
        <f aca="false">AG1441*評分方法!$C$7</f>
        <v>10.05</v>
      </c>
      <c r="L1441" s="15" t="n">
        <f aca="false">AH1441*評分方法!$C$8</f>
        <v>13.05</v>
      </c>
      <c r="M1441" s="15" t="n">
        <f aca="false">AI1441*評分方法!$C$9</f>
        <v>6</v>
      </c>
      <c r="N1441" s="15" t="n">
        <f aca="false">AJ1441*評分方法!$C$10</f>
        <v>0.656</v>
      </c>
      <c r="O1441" s="15" t="n">
        <f aca="false">AK1441*評分方法!$C$11</f>
        <v>5</v>
      </c>
      <c r="P1441" s="15" t="n">
        <f aca="false">AL1441*評分方法!$C$12</f>
        <v>0</v>
      </c>
      <c r="Q1441" s="6" t="n">
        <v>139904</v>
      </c>
      <c r="R1441" s="6" t="n">
        <v>8030261248</v>
      </c>
      <c r="S1441" s="11" t="s">
        <v>254</v>
      </c>
      <c r="T1441" s="11" t="s">
        <v>259</v>
      </c>
      <c r="U1441" s="5" t="s">
        <v>260</v>
      </c>
      <c r="V1441" s="11" t="s">
        <v>261</v>
      </c>
      <c r="W1441" s="5" t="s">
        <v>207</v>
      </c>
      <c r="X1441" s="5" t="s">
        <v>242</v>
      </c>
      <c r="Y1441" s="11" t="s">
        <v>1066</v>
      </c>
      <c r="Z1441" s="11" t="s">
        <v>244</v>
      </c>
      <c r="AA1441" s="11" t="s">
        <v>155</v>
      </c>
      <c r="AB1441" s="5" t="s">
        <v>245</v>
      </c>
      <c r="AC1441" s="5" t="s">
        <v>464</v>
      </c>
      <c r="AD1441" s="11" t="s">
        <v>3576</v>
      </c>
      <c r="AE1441" s="23" t="n">
        <v>0.85</v>
      </c>
      <c r="AF1441" s="23" t="n">
        <v>0</v>
      </c>
      <c r="AG1441" s="23" t="n">
        <v>0.67</v>
      </c>
      <c r="AH1441" s="23" t="n">
        <v>0.87</v>
      </c>
      <c r="AI1441" s="23" t="n">
        <v>0.6</v>
      </c>
      <c r="AJ1441" s="23" t="n">
        <v>0.0656</v>
      </c>
      <c r="AK1441" s="23" t="n">
        <v>1</v>
      </c>
      <c r="AL1441" s="23" t="n">
        <v>0</v>
      </c>
      <c r="AM1441" s="16" t="n">
        <f aca="false">COUNTIFS($D$2:$D$2501,D1441,$G$2:$G$2501,"&gt;"&amp;G1441)+COUNTIFS($D$2:D1441,D1441,$G$2:G1441,G1441)</f>
        <v>667</v>
      </c>
      <c r="AN1441" s="5" t="str">
        <f aca="false">D1441&amp;"|"&amp;AM1441</f>
        <v>分析與報告生成|667</v>
      </c>
    </row>
    <row r="1442" customFormat="false" ht="17.15" hidden="false" customHeight="false" outlineLevel="0" collapsed="false">
      <c r="A1442" s="16" t="n">
        <f aca="false">RANK(G1442,$G$2:$G$2501)+COUNTIF($G$2:G1442,G1442)-1</f>
        <v>1441</v>
      </c>
      <c r="B1442" s="11" t="s">
        <v>3577</v>
      </c>
      <c r="C1442" s="11" t="s">
        <v>3578</v>
      </c>
      <c r="D1442" s="5" t="s">
        <v>56</v>
      </c>
      <c r="E1442" s="5" t="s">
        <v>57</v>
      </c>
      <c r="F1442" s="5"/>
      <c r="G1442" s="22" t="n">
        <f aca="false">ROUND(SUM(I1442:P1442),3)</f>
        <v>60.254</v>
      </c>
      <c r="H1442" s="5" t="str">
        <f aca="false">IF(G1442&gt;=評分方法!$C$16,"優先評估",IF(G1442&gt;=評分方法!$C$17,"列入候選",IF(G1442&gt;=評分方法!$C$18,"特定情境","不建議")))</f>
        <v>特定情境</v>
      </c>
      <c r="I1442" s="15" t="n">
        <f aca="false">AE1442*評分方法!$C$5</f>
        <v>25.5</v>
      </c>
      <c r="J1442" s="15" t="n">
        <f aca="false">AF1442*評分方法!$C$6</f>
        <v>0</v>
      </c>
      <c r="K1442" s="15" t="n">
        <f aca="false">AG1442*評分方法!$C$7</f>
        <v>4.95</v>
      </c>
      <c r="L1442" s="15" t="n">
        <f aca="false">AH1442*評分方法!$C$8</f>
        <v>15</v>
      </c>
      <c r="M1442" s="15" t="n">
        <f aca="false">AI1442*評分方法!$C$9</f>
        <v>2</v>
      </c>
      <c r="N1442" s="15" t="n">
        <f aca="false">AJ1442*評分方法!$C$10</f>
        <v>4.804</v>
      </c>
      <c r="O1442" s="15" t="n">
        <f aca="false">AK1442*評分方法!$C$11</f>
        <v>5</v>
      </c>
      <c r="P1442" s="15" t="n">
        <f aca="false">AL1442*評分方法!$C$12</f>
        <v>3</v>
      </c>
      <c r="Q1442" s="6" t="n">
        <v>523359</v>
      </c>
      <c r="R1442" s="6" t="n">
        <v>350760684</v>
      </c>
      <c r="S1442" s="11" t="s">
        <v>238</v>
      </c>
      <c r="T1442" s="5"/>
      <c r="U1442" s="5" t="s">
        <v>375</v>
      </c>
      <c r="V1442" s="11" t="s">
        <v>333</v>
      </c>
      <c r="W1442" s="5" t="s">
        <v>334</v>
      </c>
      <c r="X1442" s="5" t="s">
        <v>371</v>
      </c>
      <c r="Y1442" s="5"/>
      <c r="Z1442" s="5"/>
      <c r="AA1442" s="11" t="s">
        <v>155</v>
      </c>
      <c r="AB1442" s="5" t="s">
        <v>961</v>
      </c>
      <c r="AC1442" s="5" t="s">
        <v>1977</v>
      </c>
      <c r="AD1442" s="11" t="s">
        <v>3579</v>
      </c>
      <c r="AE1442" s="23" t="n">
        <v>0.85</v>
      </c>
      <c r="AF1442" s="23" t="n">
        <v>0</v>
      </c>
      <c r="AG1442" s="23" t="n">
        <v>0.33</v>
      </c>
      <c r="AH1442" s="23" t="n">
        <v>1</v>
      </c>
      <c r="AI1442" s="23" t="n">
        <v>0.2</v>
      </c>
      <c r="AJ1442" s="23" t="n">
        <v>0.4804</v>
      </c>
      <c r="AK1442" s="23" t="n">
        <v>1</v>
      </c>
      <c r="AL1442" s="23" t="n">
        <v>0.6</v>
      </c>
      <c r="AM1442" s="16" t="n">
        <f aca="false">COUNTIFS($D$2:$D$2501,D1442,$G$2:$G$2501,"&gt;"&amp;G1442)+COUNTIFS($D$2:D1442,D1442,$G$2:G1442,G1442)</f>
        <v>668</v>
      </c>
      <c r="AN1442" s="5" t="str">
        <f aca="false">D1442&amp;"|"&amp;AM1442</f>
        <v>分析與報告生成|668</v>
      </c>
    </row>
    <row r="1443" customFormat="false" ht="17.15" hidden="false" customHeight="false" outlineLevel="0" collapsed="false">
      <c r="A1443" s="16" t="n">
        <f aca="false">RANK(G1443,$G$2:$G$2501)+COUNTIF($G$2:G1443,G1443)-1</f>
        <v>1442</v>
      </c>
      <c r="B1443" s="11" t="s">
        <v>3580</v>
      </c>
      <c r="C1443" s="11" t="s">
        <v>2299</v>
      </c>
      <c r="D1443" s="5" t="s">
        <v>56</v>
      </c>
      <c r="E1443" s="5" t="s">
        <v>57</v>
      </c>
      <c r="F1443" s="5"/>
      <c r="G1443" s="22" t="n">
        <f aca="false">ROUND(SUM(I1443:P1443),3)</f>
        <v>60.212</v>
      </c>
      <c r="H1443" s="5" t="str">
        <f aca="false">IF(G1443&gt;=評分方法!$C$16,"優先評估",IF(G1443&gt;=評分方法!$C$17,"列入候選",IF(G1443&gt;=評分方法!$C$18,"特定情境","不建議")))</f>
        <v>特定情境</v>
      </c>
      <c r="I1443" s="15" t="n">
        <f aca="false">AE1443*評分方法!$C$5</f>
        <v>25.5</v>
      </c>
      <c r="J1443" s="15" t="n">
        <f aca="false">AF1443*評分方法!$C$6</f>
        <v>0</v>
      </c>
      <c r="K1443" s="15" t="n">
        <f aca="false">AG1443*評分方法!$C$7</f>
        <v>4.95</v>
      </c>
      <c r="L1443" s="15" t="n">
        <f aca="false">AH1443*評分方法!$C$8</f>
        <v>13.05</v>
      </c>
      <c r="M1443" s="15" t="n">
        <f aca="false">AI1443*評分方法!$C$9</f>
        <v>10</v>
      </c>
      <c r="N1443" s="15" t="n">
        <f aca="false">AJ1443*評分方法!$C$10</f>
        <v>2.712</v>
      </c>
      <c r="O1443" s="15" t="n">
        <f aca="false">AK1443*評分方法!$C$11</f>
        <v>4</v>
      </c>
      <c r="P1443" s="15" t="n">
        <f aca="false">AL1443*評分方法!$C$12</f>
        <v>0</v>
      </c>
      <c r="Q1443" s="6" t="n">
        <v>268044</v>
      </c>
      <c r="R1443" s="6" t="n">
        <v>8190735360</v>
      </c>
      <c r="S1443" s="11" t="s">
        <v>254</v>
      </c>
      <c r="T1443" s="11" t="s">
        <v>239</v>
      </c>
      <c r="U1443" s="5" t="s">
        <v>240</v>
      </c>
      <c r="V1443" s="11" t="s">
        <v>333</v>
      </c>
      <c r="W1443" s="5" t="s">
        <v>334</v>
      </c>
      <c r="X1443" s="5" t="s">
        <v>242</v>
      </c>
      <c r="Y1443" s="11" t="s">
        <v>3581</v>
      </c>
      <c r="Z1443" s="11" t="s">
        <v>244</v>
      </c>
      <c r="AA1443" s="11" t="s">
        <v>156</v>
      </c>
      <c r="AB1443" s="5" t="s">
        <v>245</v>
      </c>
      <c r="AC1443" s="5" t="s">
        <v>246</v>
      </c>
      <c r="AD1443" s="11" t="s">
        <v>3582</v>
      </c>
      <c r="AE1443" s="23" t="n">
        <v>0.85</v>
      </c>
      <c r="AF1443" s="23" t="n">
        <v>0</v>
      </c>
      <c r="AG1443" s="23" t="n">
        <v>0.33</v>
      </c>
      <c r="AH1443" s="23" t="n">
        <v>0.87</v>
      </c>
      <c r="AI1443" s="23" t="n">
        <v>1</v>
      </c>
      <c r="AJ1443" s="23" t="n">
        <v>0.2712</v>
      </c>
      <c r="AK1443" s="23" t="n">
        <v>0.8</v>
      </c>
      <c r="AL1443" s="23" t="n">
        <v>0</v>
      </c>
      <c r="AM1443" s="16" t="n">
        <f aca="false">COUNTIFS($D$2:$D$2501,D1443,$G$2:$G$2501,"&gt;"&amp;G1443)+COUNTIFS($D$2:D1443,D1443,$G$2:G1443,G1443)</f>
        <v>669</v>
      </c>
      <c r="AN1443" s="5" t="str">
        <f aca="false">D1443&amp;"|"&amp;AM1443</f>
        <v>分析與報告生成|669</v>
      </c>
    </row>
    <row r="1444" customFormat="false" ht="17.15" hidden="false" customHeight="false" outlineLevel="0" collapsed="false">
      <c r="A1444" s="16" t="n">
        <f aca="false">RANK(G1444,$G$2:$G$2501)+COUNTIF($G$2:G1444,G1444)-1</f>
        <v>1443</v>
      </c>
      <c r="B1444" s="11" t="s">
        <v>3583</v>
      </c>
      <c r="C1444" s="11" t="s">
        <v>753</v>
      </c>
      <c r="D1444" s="5" t="s">
        <v>56</v>
      </c>
      <c r="E1444" s="5" t="s">
        <v>57</v>
      </c>
      <c r="F1444" s="5"/>
      <c r="G1444" s="22" t="n">
        <f aca="false">ROUND(SUM(I1444:P1444),3)</f>
        <v>60.204</v>
      </c>
      <c r="H1444" s="5" t="str">
        <f aca="false">IF(G1444&gt;=評分方法!$C$16,"優先評估",IF(G1444&gt;=評分方法!$C$17,"列入候選",IF(G1444&gt;=評分方法!$C$18,"特定情境","不建議")))</f>
        <v>特定情境</v>
      </c>
      <c r="I1444" s="15" t="n">
        <f aca="false">AE1444*評分方法!$C$5</f>
        <v>25.5</v>
      </c>
      <c r="J1444" s="15" t="n">
        <f aca="false">AF1444*評分方法!$C$6</f>
        <v>0</v>
      </c>
      <c r="K1444" s="15" t="n">
        <f aca="false">AG1444*評分方法!$C$7</f>
        <v>10.05</v>
      </c>
      <c r="L1444" s="15" t="n">
        <f aca="false">AH1444*評分方法!$C$8</f>
        <v>13.05</v>
      </c>
      <c r="M1444" s="15" t="n">
        <f aca="false">AI1444*評分方法!$C$9</f>
        <v>6</v>
      </c>
      <c r="N1444" s="15" t="n">
        <f aca="false">AJ1444*評分方法!$C$10</f>
        <v>3.104</v>
      </c>
      <c r="O1444" s="15" t="n">
        <f aca="false">AK1444*評分方法!$C$11</f>
        <v>2.5</v>
      </c>
      <c r="P1444" s="15" t="n">
        <f aca="false">AL1444*評分方法!$C$12</f>
        <v>0</v>
      </c>
      <c r="Q1444" s="6" t="n">
        <v>305101</v>
      </c>
      <c r="R1444" s="6" t="n">
        <v>3212749824</v>
      </c>
      <c r="S1444" s="11" t="s">
        <v>254</v>
      </c>
      <c r="T1444" s="11" t="s">
        <v>1044</v>
      </c>
      <c r="U1444" s="5" t="s">
        <v>260</v>
      </c>
      <c r="V1444" s="11" t="s">
        <v>261</v>
      </c>
      <c r="W1444" s="5" t="s">
        <v>207</v>
      </c>
      <c r="X1444" s="5" t="s">
        <v>242</v>
      </c>
      <c r="Y1444" s="11" t="s">
        <v>1440</v>
      </c>
      <c r="Z1444" s="11" t="s">
        <v>270</v>
      </c>
      <c r="AA1444" s="11" t="s">
        <v>155</v>
      </c>
      <c r="AB1444" s="5" t="s">
        <v>245</v>
      </c>
      <c r="AC1444" s="5" t="s">
        <v>262</v>
      </c>
      <c r="AD1444" s="11" t="s">
        <v>3584</v>
      </c>
      <c r="AE1444" s="23" t="n">
        <v>0.85</v>
      </c>
      <c r="AF1444" s="23" t="n">
        <v>0</v>
      </c>
      <c r="AG1444" s="23" t="n">
        <v>0.67</v>
      </c>
      <c r="AH1444" s="23" t="n">
        <v>0.87</v>
      </c>
      <c r="AI1444" s="23" t="n">
        <v>0.6</v>
      </c>
      <c r="AJ1444" s="23" t="n">
        <v>0.3104</v>
      </c>
      <c r="AK1444" s="23" t="n">
        <v>0.5</v>
      </c>
      <c r="AL1444" s="23" t="n">
        <v>0</v>
      </c>
      <c r="AM1444" s="16" t="n">
        <f aca="false">COUNTIFS($D$2:$D$2501,D1444,$G$2:$G$2501,"&gt;"&amp;G1444)+COUNTIFS($D$2:D1444,D1444,$G$2:G1444,G1444)</f>
        <v>670</v>
      </c>
      <c r="AN1444" s="5" t="str">
        <f aca="false">D1444&amp;"|"&amp;AM1444</f>
        <v>分析與報告生成|670</v>
      </c>
    </row>
    <row r="1445" customFormat="false" ht="17.15" hidden="false" customHeight="false" outlineLevel="0" collapsed="false">
      <c r="A1445" s="16" t="n">
        <f aca="false">RANK(G1445,$G$2:$G$2501)+COUNTIF($G$2:G1445,G1445)-1</f>
        <v>1444</v>
      </c>
      <c r="B1445" s="11" t="s">
        <v>3585</v>
      </c>
      <c r="C1445" s="11" t="s">
        <v>753</v>
      </c>
      <c r="D1445" s="5" t="s">
        <v>56</v>
      </c>
      <c r="E1445" s="5" t="s">
        <v>57</v>
      </c>
      <c r="F1445" s="5"/>
      <c r="G1445" s="22" t="n">
        <f aca="false">ROUND(SUM(I1445:P1445),3)</f>
        <v>60.196</v>
      </c>
      <c r="H1445" s="5" t="str">
        <f aca="false">IF(G1445&gt;=評分方法!$C$16,"優先評估",IF(G1445&gt;=評分方法!$C$17,"列入候選",IF(G1445&gt;=評分方法!$C$18,"特定情境","不建議")))</f>
        <v>特定情境</v>
      </c>
      <c r="I1445" s="15" t="n">
        <f aca="false">AE1445*評分方法!$C$5</f>
        <v>25.5</v>
      </c>
      <c r="J1445" s="15" t="n">
        <f aca="false">AF1445*評分方法!$C$6</f>
        <v>0</v>
      </c>
      <c r="K1445" s="15" t="n">
        <f aca="false">AG1445*評分方法!$C$7</f>
        <v>10.05</v>
      </c>
      <c r="L1445" s="15" t="n">
        <f aca="false">AH1445*評分方法!$C$8</f>
        <v>13.05</v>
      </c>
      <c r="M1445" s="15" t="n">
        <f aca="false">AI1445*評分方法!$C$9</f>
        <v>6</v>
      </c>
      <c r="N1445" s="15" t="n">
        <f aca="false">AJ1445*評分方法!$C$10</f>
        <v>3.096</v>
      </c>
      <c r="O1445" s="15" t="n">
        <f aca="false">AK1445*評分方法!$C$11</f>
        <v>2.5</v>
      </c>
      <c r="P1445" s="15" t="n">
        <f aca="false">AL1445*評分方法!$C$12</f>
        <v>0</v>
      </c>
      <c r="Q1445" s="6" t="n">
        <v>303937</v>
      </c>
      <c r="R1445" s="6" t="n">
        <v>8030261248</v>
      </c>
      <c r="S1445" s="11" t="s">
        <v>254</v>
      </c>
      <c r="T1445" s="11" t="s">
        <v>259</v>
      </c>
      <c r="U1445" s="5" t="s">
        <v>260</v>
      </c>
      <c r="V1445" s="11" t="s">
        <v>261</v>
      </c>
      <c r="W1445" s="5" t="s">
        <v>207</v>
      </c>
      <c r="X1445" s="5" t="s">
        <v>242</v>
      </c>
      <c r="Y1445" s="5"/>
      <c r="Z1445" s="5"/>
      <c r="AA1445" s="11" t="s">
        <v>155</v>
      </c>
      <c r="AB1445" s="5" t="s">
        <v>245</v>
      </c>
      <c r="AC1445" s="5" t="s">
        <v>262</v>
      </c>
      <c r="AD1445" s="11" t="s">
        <v>3586</v>
      </c>
      <c r="AE1445" s="23" t="n">
        <v>0.85</v>
      </c>
      <c r="AF1445" s="23" t="n">
        <v>0</v>
      </c>
      <c r="AG1445" s="23" t="n">
        <v>0.67</v>
      </c>
      <c r="AH1445" s="23" t="n">
        <v>0.87</v>
      </c>
      <c r="AI1445" s="23" t="n">
        <v>0.6</v>
      </c>
      <c r="AJ1445" s="23" t="n">
        <v>0.3096</v>
      </c>
      <c r="AK1445" s="23" t="n">
        <v>0.5</v>
      </c>
      <c r="AL1445" s="23" t="n">
        <v>0</v>
      </c>
      <c r="AM1445" s="16" t="n">
        <f aca="false">COUNTIFS($D$2:$D$2501,D1445,$G$2:$G$2501,"&gt;"&amp;G1445)+COUNTIFS($D$2:D1445,D1445,$G$2:G1445,G1445)</f>
        <v>671</v>
      </c>
      <c r="AN1445" s="5" t="str">
        <f aca="false">D1445&amp;"|"&amp;AM1445</f>
        <v>分析與報告生成|671</v>
      </c>
    </row>
    <row r="1446" customFormat="false" ht="17.15" hidden="false" customHeight="false" outlineLevel="0" collapsed="false">
      <c r="A1446" s="16" t="n">
        <f aca="false">RANK(G1446,$G$2:$G$2501)+COUNTIF($G$2:G1446,G1446)-1</f>
        <v>1445</v>
      </c>
      <c r="B1446" s="11" t="s">
        <v>3587</v>
      </c>
      <c r="C1446" s="11" t="s">
        <v>3588</v>
      </c>
      <c r="D1446" s="5" t="s">
        <v>56</v>
      </c>
      <c r="E1446" s="5" t="s">
        <v>57</v>
      </c>
      <c r="F1446" s="5"/>
      <c r="G1446" s="22" t="n">
        <f aca="false">ROUND(SUM(I1446:P1446),3)</f>
        <v>60.18</v>
      </c>
      <c r="H1446" s="5" t="str">
        <f aca="false">IF(G1446&gt;=評分方法!$C$16,"優先評估",IF(G1446&gt;=評分方法!$C$17,"列入候選",IF(G1446&gt;=評分方法!$C$18,"特定情境","不建議")))</f>
        <v>特定情境</v>
      </c>
      <c r="I1446" s="15" t="n">
        <f aca="false">AE1446*評分方法!$C$5</f>
        <v>25.5</v>
      </c>
      <c r="J1446" s="15" t="n">
        <f aca="false">AF1446*評分方法!$C$6</f>
        <v>0</v>
      </c>
      <c r="K1446" s="15" t="n">
        <f aca="false">AG1446*評分方法!$C$7</f>
        <v>4.95</v>
      </c>
      <c r="L1446" s="15" t="n">
        <f aca="false">AH1446*評分方法!$C$8</f>
        <v>13.05</v>
      </c>
      <c r="M1446" s="15" t="n">
        <f aca="false">AI1446*評分方法!$C$9</f>
        <v>10</v>
      </c>
      <c r="N1446" s="15" t="n">
        <f aca="false">AJ1446*評分方法!$C$10</f>
        <v>1.18</v>
      </c>
      <c r="O1446" s="15" t="n">
        <f aca="false">AK1446*評分方法!$C$11</f>
        <v>2.5</v>
      </c>
      <c r="P1446" s="15" t="n">
        <f aca="false">AL1446*評分方法!$C$12</f>
        <v>3</v>
      </c>
      <c r="Q1446" s="6" t="n">
        <v>160414</v>
      </c>
      <c r="R1446" s="6" t="n">
        <v>1199665152</v>
      </c>
      <c r="S1446" s="11" t="s">
        <v>254</v>
      </c>
      <c r="T1446" s="11" t="s">
        <v>239</v>
      </c>
      <c r="U1446" s="5" t="s">
        <v>240</v>
      </c>
      <c r="V1446" s="11" t="s">
        <v>261</v>
      </c>
      <c r="W1446" s="5" t="s">
        <v>334</v>
      </c>
      <c r="X1446" s="5" t="s">
        <v>371</v>
      </c>
      <c r="Y1446" s="11" t="s">
        <v>1027</v>
      </c>
      <c r="Z1446" s="11" t="s">
        <v>270</v>
      </c>
      <c r="AA1446" s="11" t="s">
        <v>155</v>
      </c>
      <c r="AB1446" s="5" t="s">
        <v>496</v>
      </c>
      <c r="AC1446" s="5" t="s">
        <v>497</v>
      </c>
      <c r="AD1446" s="11" t="s">
        <v>3589</v>
      </c>
      <c r="AE1446" s="23" t="n">
        <v>0.85</v>
      </c>
      <c r="AF1446" s="23" t="n">
        <v>0</v>
      </c>
      <c r="AG1446" s="23" t="n">
        <v>0.33</v>
      </c>
      <c r="AH1446" s="23" t="n">
        <v>0.87</v>
      </c>
      <c r="AI1446" s="23" t="n">
        <v>1</v>
      </c>
      <c r="AJ1446" s="23" t="n">
        <v>0.118</v>
      </c>
      <c r="AK1446" s="23" t="n">
        <v>0.5</v>
      </c>
      <c r="AL1446" s="23" t="n">
        <v>0.6</v>
      </c>
      <c r="AM1446" s="16" t="n">
        <f aca="false">COUNTIFS($D$2:$D$2501,D1446,$G$2:$G$2501,"&gt;"&amp;G1446)+COUNTIFS($D$2:D1446,D1446,$G$2:G1446,G1446)</f>
        <v>672</v>
      </c>
      <c r="AN1446" s="5" t="str">
        <f aca="false">D1446&amp;"|"&amp;AM1446</f>
        <v>分析與報告生成|672</v>
      </c>
    </row>
    <row r="1447" customFormat="false" ht="17.15" hidden="false" customHeight="false" outlineLevel="0" collapsed="false">
      <c r="A1447" s="16" t="n">
        <f aca="false">RANK(G1447,$G$2:$G$2501)+COUNTIF($G$2:G1447,G1447)-1</f>
        <v>1446</v>
      </c>
      <c r="B1447" s="11" t="s">
        <v>3590</v>
      </c>
      <c r="C1447" s="11" t="s">
        <v>3591</v>
      </c>
      <c r="D1447" s="5" t="s">
        <v>56</v>
      </c>
      <c r="E1447" s="5" t="s">
        <v>57</v>
      </c>
      <c r="F1447" s="5"/>
      <c r="G1447" s="22" t="n">
        <f aca="false">ROUND(SUM(I1447:P1447),3)</f>
        <v>60.168</v>
      </c>
      <c r="H1447" s="5" t="str">
        <f aca="false">IF(G1447&gt;=評分方法!$C$16,"優先評估",IF(G1447&gt;=評分方法!$C$17,"列入候選",IF(G1447&gt;=評分方法!$C$18,"特定情境","不建議")))</f>
        <v>特定情境</v>
      </c>
      <c r="I1447" s="15" t="n">
        <f aca="false">AE1447*評分方法!$C$5</f>
        <v>25.5</v>
      </c>
      <c r="J1447" s="15" t="n">
        <f aca="false">AF1447*評分方法!$C$6</f>
        <v>0</v>
      </c>
      <c r="K1447" s="15" t="n">
        <f aca="false">AG1447*評分方法!$C$7</f>
        <v>4.95</v>
      </c>
      <c r="L1447" s="15" t="n">
        <f aca="false">AH1447*評分方法!$C$8</f>
        <v>13.05</v>
      </c>
      <c r="M1447" s="15" t="n">
        <f aca="false">AI1447*評分方法!$C$9</f>
        <v>2</v>
      </c>
      <c r="N1447" s="15" t="n">
        <f aca="false">AJ1447*評分方法!$C$10</f>
        <v>6.668</v>
      </c>
      <c r="O1447" s="15" t="n">
        <f aca="false">AK1447*評分方法!$C$11</f>
        <v>5</v>
      </c>
      <c r="P1447" s="15" t="n">
        <f aca="false">AL1447*評分方法!$C$12</f>
        <v>3</v>
      </c>
      <c r="Q1447" s="6" t="n">
        <v>803089</v>
      </c>
      <c r="R1447" s="6" t="n">
        <v>2204897280</v>
      </c>
      <c r="S1447" s="11" t="s">
        <v>254</v>
      </c>
      <c r="T1447" s="5"/>
      <c r="U1447" s="5" t="s">
        <v>375</v>
      </c>
      <c r="V1447" s="11" t="s">
        <v>261</v>
      </c>
      <c r="W1447" s="5" t="s">
        <v>334</v>
      </c>
      <c r="X1447" s="5" t="s">
        <v>371</v>
      </c>
      <c r="Y1447" s="11" t="s">
        <v>3592</v>
      </c>
      <c r="Z1447" s="11" t="s">
        <v>244</v>
      </c>
      <c r="AA1447" s="11" t="s">
        <v>155</v>
      </c>
      <c r="AB1447" s="5" t="s">
        <v>245</v>
      </c>
      <c r="AC1447" s="5" t="s">
        <v>464</v>
      </c>
      <c r="AD1447" s="11" t="s">
        <v>3593</v>
      </c>
      <c r="AE1447" s="23" t="n">
        <v>0.85</v>
      </c>
      <c r="AF1447" s="23" t="n">
        <v>0</v>
      </c>
      <c r="AG1447" s="23" t="n">
        <v>0.33</v>
      </c>
      <c r="AH1447" s="23" t="n">
        <v>0.87</v>
      </c>
      <c r="AI1447" s="23" t="n">
        <v>0.2</v>
      </c>
      <c r="AJ1447" s="23" t="n">
        <v>0.6668</v>
      </c>
      <c r="AK1447" s="23" t="n">
        <v>1</v>
      </c>
      <c r="AL1447" s="23" t="n">
        <v>0.6</v>
      </c>
      <c r="AM1447" s="16" t="n">
        <f aca="false">COUNTIFS($D$2:$D$2501,D1447,$G$2:$G$2501,"&gt;"&amp;G1447)+COUNTIFS($D$2:D1447,D1447,$G$2:G1447,G1447)</f>
        <v>673</v>
      </c>
      <c r="AN1447" s="5" t="str">
        <f aca="false">D1447&amp;"|"&amp;AM1447</f>
        <v>分析與報告生成|673</v>
      </c>
    </row>
    <row r="1448" customFormat="false" ht="17.15" hidden="false" customHeight="false" outlineLevel="0" collapsed="false">
      <c r="A1448" s="16" t="n">
        <f aca="false">RANK(G1448,$G$2:$G$2501)+COUNTIF($G$2:G1448,G1448)-1</f>
        <v>1447</v>
      </c>
      <c r="B1448" s="11" t="s">
        <v>3594</v>
      </c>
      <c r="C1448" s="11" t="s">
        <v>3595</v>
      </c>
      <c r="D1448" s="5" t="s">
        <v>54</v>
      </c>
      <c r="E1448" s="5" t="s">
        <v>55</v>
      </c>
      <c r="F1448" s="5"/>
      <c r="G1448" s="22" t="n">
        <f aca="false">ROUND(SUM(I1448:P1448),3)</f>
        <v>60.15</v>
      </c>
      <c r="H1448" s="5" t="str">
        <f aca="false">IF(G1448&gt;=評分方法!$C$16,"優先評估",IF(G1448&gt;=評分方法!$C$17,"列入候選",IF(G1448&gt;=評分方法!$C$18,"特定情境","不建議")))</f>
        <v>特定情境</v>
      </c>
      <c r="I1448" s="15" t="n">
        <f aca="false">AE1448*評分方法!$C$5</f>
        <v>27</v>
      </c>
      <c r="J1448" s="15" t="n">
        <f aca="false">AF1448*評分方法!$C$6</f>
        <v>0</v>
      </c>
      <c r="K1448" s="15" t="n">
        <f aca="false">AG1448*評分方法!$C$7</f>
        <v>4.95</v>
      </c>
      <c r="L1448" s="15" t="n">
        <f aca="false">AH1448*評分方法!$C$8</f>
        <v>15</v>
      </c>
      <c r="M1448" s="15" t="n">
        <f aca="false">AI1448*評分方法!$C$9</f>
        <v>2</v>
      </c>
      <c r="N1448" s="15" t="n">
        <f aca="false">AJ1448*評分方法!$C$10</f>
        <v>6.2</v>
      </c>
      <c r="O1448" s="15" t="n">
        <f aca="false">AK1448*評分方法!$C$11</f>
        <v>5</v>
      </c>
      <c r="P1448" s="15" t="n">
        <f aca="false">AL1448*評分方法!$C$12</f>
        <v>0</v>
      </c>
      <c r="Q1448" s="6" t="n">
        <v>668951</v>
      </c>
      <c r="R1448" s="6" t="n">
        <v>149014272</v>
      </c>
      <c r="S1448" s="11" t="s">
        <v>238</v>
      </c>
      <c r="T1448" s="5"/>
      <c r="U1448" s="5" t="s">
        <v>375</v>
      </c>
      <c r="V1448" s="11" t="s">
        <v>241</v>
      </c>
      <c r="W1448" s="5" t="s">
        <v>334</v>
      </c>
      <c r="X1448" s="5" t="s">
        <v>242</v>
      </c>
      <c r="Y1448" s="11" t="s">
        <v>350</v>
      </c>
      <c r="Z1448" s="11" t="s">
        <v>270</v>
      </c>
      <c r="AA1448" s="11" t="s">
        <v>152</v>
      </c>
      <c r="AB1448" s="5" t="s">
        <v>245</v>
      </c>
      <c r="AC1448" s="5" t="s">
        <v>262</v>
      </c>
      <c r="AD1448" s="11" t="s">
        <v>3596</v>
      </c>
      <c r="AE1448" s="23" t="n">
        <v>0.9</v>
      </c>
      <c r="AF1448" s="23" t="n">
        <v>0</v>
      </c>
      <c r="AG1448" s="23" t="n">
        <v>0.33</v>
      </c>
      <c r="AH1448" s="23" t="n">
        <v>1</v>
      </c>
      <c r="AI1448" s="23" t="n">
        <v>0.2</v>
      </c>
      <c r="AJ1448" s="23" t="n">
        <v>0.62</v>
      </c>
      <c r="AK1448" s="23" t="n">
        <v>1</v>
      </c>
      <c r="AL1448" s="23" t="n">
        <v>0</v>
      </c>
      <c r="AM1448" s="16" t="n">
        <f aca="false">COUNTIFS($D$2:$D$2501,D1448,$G$2:$G$2501,"&gt;"&amp;G1448)+COUNTIFS($D$2:D1448,D1448,$G$2:G1448,G1448)</f>
        <v>191</v>
      </c>
      <c r="AN1448" s="5" t="str">
        <f aca="false">D1448&amp;"|"&amp;AM1448</f>
        <v>檢索與情資關聯|191</v>
      </c>
    </row>
    <row r="1449" customFormat="false" ht="17.15" hidden="false" customHeight="false" outlineLevel="0" collapsed="false">
      <c r="A1449" s="16" t="n">
        <f aca="false">RANK(G1449,$G$2:$G$2501)+COUNTIF($G$2:G1449,G1449)-1</f>
        <v>1448</v>
      </c>
      <c r="B1449" s="11" t="s">
        <v>3597</v>
      </c>
      <c r="C1449" s="11" t="s">
        <v>753</v>
      </c>
      <c r="D1449" s="5" t="s">
        <v>56</v>
      </c>
      <c r="E1449" s="5" t="s">
        <v>57</v>
      </c>
      <c r="F1449" s="5"/>
      <c r="G1449" s="22" t="n">
        <f aca="false">ROUND(SUM(I1449:P1449),3)</f>
        <v>60.144</v>
      </c>
      <c r="H1449" s="5" t="str">
        <f aca="false">IF(G1449&gt;=評分方法!$C$16,"優先評估",IF(G1449&gt;=評分方法!$C$17,"列入候選",IF(G1449&gt;=評分方法!$C$18,"特定情境","不建議")))</f>
        <v>特定情境</v>
      </c>
      <c r="I1449" s="15" t="n">
        <f aca="false">AE1449*評分方法!$C$5</f>
        <v>25.5</v>
      </c>
      <c r="J1449" s="15" t="n">
        <f aca="false">AF1449*評分方法!$C$6</f>
        <v>0</v>
      </c>
      <c r="K1449" s="15" t="n">
        <f aca="false">AG1449*評分方法!$C$7</f>
        <v>10.05</v>
      </c>
      <c r="L1449" s="15" t="n">
        <f aca="false">AH1449*評分方法!$C$8</f>
        <v>13.05</v>
      </c>
      <c r="M1449" s="15" t="n">
        <f aca="false">AI1449*評分方法!$C$9</f>
        <v>10</v>
      </c>
      <c r="N1449" s="15" t="n">
        <f aca="false">AJ1449*評分方法!$C$10</f>
        <v>0.544</v>
      </c>
      <c r="O1449" s="15" t="n">
        <f aca="false">AK1449*評分方法!$C$11</f>
        <v>1</v>
      </c>
      <c r="P1449" s="15" t="n">
        <f aca="false">AL1449*評分方法!$C$12</f>
        <v>0</v>
      </c>
      <c r="Q1449" s="6" t="n">
        <v>133966</v>
      </c>
      <c r="R1449" s="6" t="n">
        <v>2506172416</v>
      </c>
      <c r="S1449" s="11" t="s">
        <v>254</v>
      </c>
      <c r="T1449" s="11" t="s">
        <v>239</v>
      </c>
      <c r="U1449" s="5" t="s">
        <v>240</v>
      </c>
      <c r="V1449" s="11" t="s">
        <v>261</v>
      </c>
      <c r="W1449" s="5" t="s">
        <v>207</v>
      </c>
      <c r="X1449" s="5" t="s">
        <v>242</v>
      </c>
      <c r="Y1449" s="5"/>
      <c r="Z1449" s="5"/>
      <c r="AA1449" s="11" t="s">
        <v>155</v>
      </c>
      <c r="AB1449" s="5" t="s">
        <v>245</v>
      </c>
      <c r="AC1449" s="5"/>
      <c r="AD1449" s="11" t="s">
        <v>3598</v>
      </c>
      <c r="AE1449" s="23" t="n">
        <v>0.85</v>
      </c>
      <c r="AF1449" s="23" t="n">
        <v>0</v>
      </c>
      <c r="AG1449" s="23" t="n">
        <v>0.67</v>
      </c>
      <c r="AH1449" s="23" t="n">
        <v>0.87</v>
      </c>
      <c r="AI1449" s="23" t="n">
        <v>1</v>
      </c>
      <c r="AJ1449" s="23" t="n">
        <v>0.0544</v>
      </c>
      <c r="AK1449" s="23" t="n">
        <v>0.2</v>
      </c>
      <c r="AL1449" s="23" t="n">
        <v>0</v>
      </c>
      <c r="AM1449" s="16" t="n">
        <f aca="false">COUNTIFS($D$2:$D$2501,D1449,$G$2:$G$2501,"&gt;"&amp;G1449)+COUNTIFS($D$2:D1449,D1449,$G$2:G1449,G1449)</f>
        <v>674</v>
      </c>
      <c r="AN1449" s="5" t="str">
        <f aca="false">D1449&amp;"|"&amp;AM1449</f>
        <v>分析與報告生成|674</v>
      </c>
    </row>
    <row r="1450" customFormat="false" ht="17.15" hidden="false" customHeight="false" outlineLevel="0" collapsed="false">
      <c r="A1450" s="16" t="n">
        <f aca="false">RANK(G1450,$G$2:$G$2501)+COUNTIF($G$2:G1450,G1450)-1</f>
        <v>1449</v>
      </c>
      <c r="B1450" s="11" t="s">
        <v>3599</v>
      </c>
      <c r="C1450" s="11" t="s">
        <v>3600</v>
      </c>
      <c r="D1450" s="5" t="s">
        <v>56</v>
      </c>
      <c r="E1450" s="5" t="s">
        <v>57</v>
      </c>
      <c r="F1450" s="5"/>
      <c r="G1450" s="22" t="n">
        <f aca="false">ROUND(SUM(I1450:P1450),3)</f>
        <v>60.106</v>
      </c>
      <c r="H1450" s="5" t="str">
        <f aca="false">IF(G1450&gt;=評分方法!$C$16,"優先評估",IF(G1450&gt;=評分方法!$C$17,"列入候選",IF(G1450&gt;=評分方法!$C$18,"特定情境","不建議")))</f>
        <v>特定情境</v>
      </c>
      <c r="I1450" s="15" t="n">
        <f aca="false">AE1450*評分方法!$C$5</f>
        <v>25.5</v>
      </c>
      <c r="J1450" s="15" t="n">
        <f aca="false">AF1450*評分方法!$C$6</f>
        <v>0</v>
      </c>
      <c r="K1450" s="15" t="n">
        <f aca="false">AG1450*評分方法!$C$7</f>
        <v>4.95</v>
      </c>
      <c r="L1450" s="15" t="n">
        <f aca="false">AH1450*評分方法!$C$8</f>
        <v>9</v>
      </c>
      <c r="M1450" s="15" t="n">
        <f aca="false">AI1450*評分方法!$C$9</f>
        <v>6</v>
      </c>
      <c r="N1450" s="15" t="n">
        <f aca="false">AJ1450*評分方法!$C$10</f>
        <v>9.156</v>
      </c>
      <c r="O1450" s="15" t="n">
        <f aca="false">AK1450*評分方法!$C$11</f>
        <v>2.5</v>
      </c>
      <c r="P1450" s="15" t="n">
        <f aca="false">AL1450*評分方法!$C$12</f>
        <v>3</v>
      </c>
      <c r="Q1450" s="6" t="n">
        <v>4735755</v>
      </c>
      <c r="R1450" s="6" t="n">
        <v>27432406640</v>
      </c>
      <c r="S1450" s="11" t="s">
        <v>389</v>
      </c>
      <c r="T1450" s="11" t="s">
        <v>658</v>
      </c>
      <c r="U1450" s="5" t="s">
        <v>260</v>
      </c>
      <c r="V1450" s="11" t="s">
        <v>261</v>
      </c>
      <c r="W1450" s="5" t="s">
        <v>334</v>
      </c>
      <c r="X1450" s="5" t="s">
        <v>371</v>
      </c>
      <c r="Y1450" s="11" t="s">
        <v>1344</v>
      </c>
      <c r="Z1450" s="11" t="s">
        <v>244</v>
      </c>
      <c r="AA1450" s="11" t="s">
        <v>156</v>
      </c>
      <c r="AB1450" s="5" t="s">
        <v>245</v>
      </c>
      <c r="AC1450" s="5" t="s">
        <v>464</v>
      </c>
      <c r="AD1450" s="11" t="s">
        <v>3601</v>
      </c>
      <c r="AE1450" s="23" t="n">
        <v>0.85</v>
      </c>
      <c r="AF1450" s="23" t="n">
        <v>0</v>
      </c>
      <c r="AG1450" s="23" t="n">
        <v>0.33</v>
      </c>
      <c r="AH1450" s="23" t="n">
        <v>0.6</v>
      </c>
      <c r="AI1450" s="23" t="n">
        <v>0.6</v>
      </c>
      <c r="AJ1450" s="23" t="n">
        <v>0.9156</v>
      </c>
      <c r="AK1450" s="23" t="n">
        <v>0.5</v>
      </c>
      <c r="AL1450" s="23" t="n">
        <v>0.6</v>
      </c>
      <c r="AM1450" s="16" t="n">
        <f aca="false">COUNTIFS($D$2:$D$2501,D1450,$G$2:$G$2501,"&gt;"&amp;G1450)+COUNTIFS($D$2:D1450,D1450,$G$2:G1450,G1450)</f>
        <v>675</v>
      </c>
      <c r="AN1450" s="5" t="str">
        <f aca="false">D1450&amp;"|"&amp;AM1450</f>
        <v>分析與報告生成|675</v>
      </c>
    </row>
    <row r="1451" customFormat="false" ht="17.15" hidden="false" customHeight="false" outlineLevel="0" collapsed="false">
      <c r="A1451" s="16" t="n">
        <f aca="false">RANK(G1451,$G$2:$G$2501)+COUNTIF($G$2:G1451,G1451)-1</f>
        <v>1450</v>
      </c>
      <c r="B1451" s="11" t="s">
        <v>3602</v>
      </c>
      <c r="C1451" s="11" t="s">
        <v>368</v>
      </c>
      <c r="D1451" s="5" t="s">
        <v>74</v>
      </c>
      <c r="E1451" s="5" t="s">
        <v>75</v>
      </c>
      <c r="F1451" s="5"/>
      <c r="G1451" s="22" t="n">
        <f aca="false">ROUND(SUM(I1451:P1451),3)</f>
        <v>60.106</v>
      </c>
      <c r="H1451" s="5" t="str">
        <f aca="false">IF(G1451&gt;=評分方法!$C$16,"優先評估",IF(G1451&gt;=評分方法!$C$17,"列入候選",IF(G1451&gt;=評分方法!$C$18,"特定情境","不建議")))</f>
        <v>特定情境</v>
      </c>
      <c r="I1451" s="15" t="n">
        <f aca="false">AE1451*評分方法!$C$5</f>
        <v>12</v>
      </c>
      <c r="J1451" s="15" t="n">
        <f aca="false">AF1451*評分方法!$C$6</f>
        <v>0</v>
      </c>
      <c r="K1451" s="15" t="n">
        <f aca="false">AG1451*評分方法!$C$7</f>
        <v>15</v>
      </c>
      <c r="L1451" s="15" t="n">
        <f aca="false">AH1451*評分方法!$C$8</f>
        <v>13.05</v>
      </c>
      <c r="M1451" s="15" t="n">
        <f aca="false">AI1451*評分方法!$C$9</f>
        <v>10</v>
      </c>
      <c r="N1451" s="15" t="n">
        <f aca="false">AJ1451*評分方法!$C$10</f>
        <v>6.056</v>
      </c>
      <c r="O1451" s="15" t="n">
        <f aca="false">AK1451*評分方法!$C$11</f>
        <v>2.5</v>
      </c>
      <c r="P1451" s="15" t="n">
        <f aca="false">AL1451*評分方法!$C$12</f>
        <v>1.5</v>
      </c>
      <c r="Q1451" s="6" t="n">
        <v>640589</v>
      </c>
      <c r="R1451" s="6" t="n">
        <v>1136555698</v>
      </c>
      <c r="S1451" s="11" t="s">
        <v>254</v>
      </c>
      <c r="T1451" s="11" t="s">
        <v>239</v>
      </c>
      <c r="U1451" s="5" t="s">
        <v>240</v>
      </c>
      <c r="V1451" s="11" t="s">
        <v>261</v>
      </c>
      <c r="W1451" s="5" t="s">
        <v>205</v>
      </c>
      <c r="X1451" s="5" t="s">
        <v>255</v>
      </c>
      <c r="Y1451" s="5"/>
      <c r="Z1451" s="5"/>
      <c r="AA1451" s="11" t="s">
        <v>167</v>
      </c>
      <c r="AB1451" s="5" t="s">
        <v>245</v>
      </c>
      <c r="AC1451" s="5"/>
      <c r="AD1451" s="11" t="s">
        <v>3603</v>
      </c>
      <c r="AE1451" s="23" t="n">
        <v>0.4</v>
      </c>
      <c r="AF1451" s="23" t="n">
        <v>0</v>
      </c>
      <c r="AG1451" s="23" t="n">
        <v>1</v>
      </c>
      <c r="AH1451" s="23" t="n">
        <v>0.87</v>
      </c>
      <c r="AI1451" s="23" t="n">
        <v>1</v>
      </c>
      <c r="AJ1451" s="23" t="n">
        <v>0.6056</v>
      </c>
      <c r="AK1451" s="23" t="n">
        <v>0.5</v>
      </c>
      <c r="AL1451" s="23" t="n">
        <v>0.3</v>
      </c>
      <c r="AM1451" s="16" t="n">
        <f aca="false">COUNTIFS($D$2:$D$2501,D1451,$G$2:$G$2501,"&gt;"&amp;G1451)+COUNTIFS($D$2:D1451,D1451,$G$2:G1451,G1451)</f>
        <v>96</v>
      </c>
      <c r="AN1451" s="5" t="str">
        <f aca="false">D1451&amp;"|"&amp;AM1451</f>
        <v>文件與影像辨識|96</v>
      </c>
    </row>
    <row r="1452" customFormat="false" ht="17.15" hidden="false" customHeight="false" outlineLevel="0" collapsed="false">
      <c r="A1452" s="16" t="n">
        <f aca="false">RANK(G1452,$G$2:$G$2501)+COUNTIF($G$2:G1452,G1452)-1</f>
        <v>1451</v>
      </c>
      <c r="B1452" s="11" t="s">
        <v>3604</v>
      </c>
      <c r="C1452" s="11" t="s">
        <v>1374</v>
      </c>
      <c r="D1452" s="5" t="s">
        <v>56</v>
      </c>
      <c r="E1452" s="5" t="s">
        <v>57</v>
      </c>
      <c r="F1452" s="5"/>
      <c r="G1452" s="22" t="n">
        <f aca="false">ROUND(SUM(I1452:P1452),3)</f>
        <v>60.068</v>
      </c>
      <c r="H1452" s="5" t="str">
        <f aca="false">IF(G1452&gt;=評分方法!$C$16,"優先評估",IF(G1452&gt;=評分方法!$C$17,"列入候選",IF(G1452&gt;=評分方法!$C$18,"特定情境","不建議")))</f>
        <v>特定情境</v>
      </c>
      <c r="I1452" s="15" t="n">
        <f aca="false">AE1452*評分方法!$C$5</f>
        <v>25.5</v>
      </c>
      <c r="J1452" s="15" t="n">
        <f aca="false">AF1452*評分方法!$C$6</f>
        <v>0</v>
      </c>
      <c r="K1452" s="15" t="n">
        <f aca="false">AG1452*評分方法!$C$7</f>
        <v>10.05</v>
      </c>
      <c r="L1452" s="15" t="n">
        <f aca="false">AH1452*評分方法!$C$8</f>
        <v>13.05</v>
      </c>
      <c r="M1452" s="15" t="n">
        <f aca="false">AI1452*評分方法!$C$9</f>
        <v>6</v>
      </c>
      <c r="N1452" s="15" t="n">
        <f aca="false">AJ1452*評分方法!$C$10</f>
        <v>2.968</v>
      </c>
      <c r="O1452" s="15" t="n">
        <f aca="false">AK1452*評分方法!$C$11</f>
        <v>2.5</v>
      </c>
      <c r="P1452" s="15" t="n">
        <f aca="false">AL1452*評分方法!$C$12</f>
        <v>0</v>
      </c>
      <c r="Q1452" s="6" t="n">
        <v>291597</v>
      </c>
      <c r="R1452" s="6" t="n">
        <v>1235814400</v>
      </c>
      <c r="S1452" s="11" t="s">
        <v>254</v>
      </c>
      <c r="T1452" s="11" t="s">
        <v>1044</v>
      </c>
      <c r="U1452" s="5" t="s">
        <v>260</v>
      </c>
      <c r="V1452" s="11" t="s">
        <v>261</v>
      </c>
      <c r="W1452" s="5" t="s">
        <v>207</v>
      </c>
      <c r="X1452" s="5" t="s">
        <v>242</v>
      </c>
      <c r="Y1452" s="11" t="s">
        <v>3605</v>
      </c>
      <c r="Z1452" s="11" t="s">
        <v>244</v>
      </c>
      <c r="AA1452" s="11" t="s">
        <v>155</v>
      </c>
      <c r="AB1452" s="5" t="s">
        <v>245</v>
      </c>
      <c r="AC1452" s="5" t="s">
        <v>464</v>
      </c>
      <c r="AD1452" s="11" t="s">
        <v>3606</v>
      </c>
      <c r="AE1452" s="23" t="n">
        <v>0.85</v>
      </c>
      <c r="AF1452" s="23" t="n">
        <v>0</v>
      </c>
      <c r="AG1452" s="23" t="n">
        <v>0.67</v>
      </c>
      <c r="AH1452" s="23" t="n">
        <v>0.87</v>
      </c>
      <c r="AI1452" s="23" t="n">
        <v>0.6</v>
      </c>
      <c r="AJ1452" s="23" t="n">
        <v>0.2968</v>
      </c>
      <c r="AK1452" s="23" t="n">
        <v>0.5</v>
      </c>
      <c r="AL1452" s="23" t="n">
        <v>0</v>
      </c>
      <c r="AM1452" s="16" t="n">
        <f aca="false">COUNTIFS($D$2:$D$2501,D1452,$G$2:$G$2501,"&gt;"&amp;G1452)+COUNTIFS($D$2:D1452,D1452,$G$2:G1452,G1452)</f>
        <v>676</v>
      </c>
      <c r="AN1452" s="5" t="str">
        <f aca="false">D1452&amp;"|"&amp;AM1452</f>
        <v>分析與報告生成|676</v>
      </c>
    </row>
    <row r="1453" customFormat="false" ht="17.15" hidden="false" customHeight="false" outlineLevel="0" collapsed="false">
      <c r="A1453" s="16" t="n">
        <f aca="false">RANK(G1453,$G$2:$G$2501)+COUNTIF($G$2:G1453,G1453)-1</f>
        <v>1452</v>
      </c>
      <c r="B1453" s="11" t="s">
        <v>3607</v>
      </c>
      <c r="C1453" s="11" t="s">
        <v>989</v>
      </c>
      <c r="D1453" s="5" t="s">
        <v>56</v>
      </c>
      <c r="E1453" s="5" t="s">
        <v>57</v>
      </c>
      <c r="F1453" s="5"/>
      <c r="G1453" s="22" t="n">
        <f aca="false">ROUND(SUM(I1453:P1453),3)</f>
        <v>60.068</v>
      </c>
      <c r="H1453" s="5" t="str">
        <f aca="false">IF(G1453&gt;=評分方法!$C$16,"優先評估",IF(G1453&gt;=評分方法!$C$17,"列入候選",IF(G1453&gt;=評分方法!$C$18,"特定情境","不建議")))</f>
        <v>特定情境</v>
      </c>
      <c r="I1453" s="15" t="n">
        <f aca="false">AE1453*評分方法!$C$5</f>
        <v>25.5</v>
      </c>
      <c r="J1453" s="15" t="n">
        <f aca="false">AF1453*評分方法!$C$6</f>
        <v>0</v>
      </c>
      <c r="K1453" s="15" t="n">
        <f aca="false">AG1453*評分方法!$C$7</f>
        <v>10.05</v>
      </c>
      <c r="L1453" s="15" t="n">
        <f aca="false">AH1453*評分方法!$C$8</f>
        <v>13.05</v>
      </c>
      <c r="M1453" s="15" t="n">
        <f aca="false">AI1453*評分方法!$C$9</f>
        <v>6</v>
      </c>
      <c r="N1453" s="15" t="n">
        <f aca="false">AJ1453*評分方法!$C$10</f>
        <v>1.468</v>
      </c>
      <c r="O1453" s="15" t="n">
        <f aca="false">AK1453*評分方法!$C$11</f>
        <v>1</v>
      </c>
      <c r="P1453" s="15" t="n">
        <f aca="false">AL1453*評分方法!$C$12</f>
        <v>3</v>
      </c>
      <c r="Q1453" s="6" t="n">
        <v>177210</v>
      </c>
      <c r="R1453" s="6" t="n">
        <v>9241705984</v>
      </c>
      <c r="S1453" s="11" t="s">
        <v>254</v>
      </c>
      <c r="T1453" s="11" t="s">
        <v>658</v>
      </c>
      <c r="U1453" s="5" t="s">
        <v>260</v>
      </c>
      <c r="V1453" s="11" t="s">
        <v>333</v>
      </c>
      <c r="W1453" s="5" t="s">
        <v>207</v>
      </c>
      <c r="X1453" s="5" t="s">
        <v>371</v>
      </c>
      <c r="Y1453" s="11" t="s">
        <v>1083</v>
      </c>
      <c r="Z1453" s="11" t="s">
        <v>244</v>
      </c>
      <c r="AA1453" s="11" t="s">
        <v>155</v>
      </c>
      <c r="AB1453" s="5" t="s">
        <v>245</v>
      </c>
      <c r="AC1453" s="5" t="s">
        <v>464</v>
      </c>
      <c r="AD1453" s="11" t="s">
        <v>3608</v>
      </c>
      <c r="AE1453" s="23" t="n">
        <v>0.85</v>
      </c>
      <c r="AF1453" s="23" t="n">
        <v>0</v>
      </c>
      <c r="AG1453" s="23" t="n">
        <v>0.67</v>
      </c>
      <c r="AH1453" s="23" t="n">
        <v>0.87</v>
      </c>
      <c r="AI1453" s="23" t="n">
        <v>0.6</v>
      </c>
      <c r="AJ1453" s="23" t="n">
        <v>0.1468</v>
      </c>
      <c r="AK1453" s="23" t="n">
        <v>0.2</v>
      </c>
      <c r="AL1453" s="23" t="n">
        <v>0.6</v>
      </c>
      <c r="AM1453" s="16" t="n">
        <f aca="false">COUNTIFS($D$2:$D$2501,D1453,$G$2:$G$2501,"&gt;"&amp;G1453)+COUNTIFS($D$2:D1453,D1453,$G$2:G1453,G1453)</f>
        <v>677</v>
      </c>
      <c r="AN1453" s="5" t="str">
        <f aca="false">D1453&amp;"|"&amp;AM1453</f>
        <v>分析與報告生成|677</v>
      </c>
    </row>
    <row r="1454" customFormat="false" ht="17.15" hidden="false" customHeight="false" outlineLevel="0" collapsed="false">
      <c r="A1454" s="16" t="n">
        <f aca="false">RANK(G1454,$G$2:$G$2501)+COUNTIF($G$2:G1454,G1454)-1</f>
        <v>1453</v>
      </c>
      <c r="B1454" s="11" t="s">
        <v>3609</v>
      </c>
      <c r="C1454" s="11" t="s">
        <v>681</v>
      </c>
      <c r="D1454" s="5" t="s">
        <v>74</v>
      </c>
      <c r="E1454" s="5" t="s">
        <v>75</v>
      </c>
      <c r="F1454" s="5"/>
      <c r="G1454" s="22" t="n">
        <f aca="false">ROUND(SUM(I1454:P1454),3)</f>
        <v>60.04</v>
      </c>
      <c r="H1454" s="5" t="str">
        <f aca="false">IF(G1454&gt;=評分方法!$C$16,"優先評估",IF(G1454&gt;=評分方法!$C$17,"列入候選",IF(G1454&gt;=評分方法!$C$18,"特定情境","不建議")))</f>
        <v>特定情境</v>
      </c>
      <c r="I1454" s="15" t="n">
        <f aca="false">AE1454*評分方法!$C$5</f>
        <v>10.5</v>
      </c>
      <c r="J1454" s="15" t="n">
        <f aca="false">AF1454*評分方法!$C$6</f>
        <v>0</v>
      </c>
      <c r="K1454" s="15" t="n">
        <f aca="false">AG1454*評分方法!$C$7</f>
        <v>15</v>
      </c>
      <c r="L1454" s="15" t="n">
        <f aca="false">AH1454*評分方法!$C$8</f>
        <v>15</v>
      </c>
      <c r="M1454" s="15" t="n">
        <f aca="false">AI1454*評分方法!$C$9</f>
        <v>10</v>
      </c>
      <c r="N1454" s="15" t="n">
        <f aca="false">AJ1454*評分方法!$C$10</f>
        <v>5.54</v>
      </c>
      <c r="O1454" s="15" t="n">
        <f aca="false">AK1454*評分方法!$C$11</f>
        <v>2.5</v>
      </c>
      <c r="P1454" s="15" t="n">
        <f aca="false">AL1454*評分方法!$C$12</f>
        <v>1.5</v>
      </c>
      <c r="Q1454" s="6" t="n">
        <v>578757</v>
      </c>
      <c r="R1454" s="6" t="n">
        <v>28635496</v>
      </c>
      <c r="S1454" s="11" t="s">
        <v>238</v>
      </c>
      <c r="T1454" s="11" t="s">
        <v>239</v>
      </c>
      <c r="U1454" s="5" t="s">
        <v>240</v>
      </c>
      <c r="V1454" s="11" t="s">
        <v>855</v>
      </c>
      <c r="W1454" s="5" t="s">
        <v>205</v>
      </c>
      <c r="X1454" s="5" t="s">
        <v>255</v>
      </c>
      <c r="Y1454" s="5"/>
      <c r="Z1454" s="5"/>
      <c r="AA1454" s="11" t="s">
        <v>172</v>
      </c>
      <c r="AB1454" s="5" t="s">
        <v>245</v>
      </c>
      <c r="AC1454" s="5"/>
      <c r="AD1454" s="11" t="s">
        <v>3610</v>
      </c>
      <c r="AE1454" s="23" t="n">
        <v>0.35</v>
      </c>
      <c r="AF1454" s="23" t="n">
        <v>0</v>
      </c>
      <c r="AG1454" s="23" t="n">
        <v>1</v>
      </c>
      <c r="AH1454" s="23" t="n">
        <v>1</v>
      </c>
      <c r="AI1454" s="23" t="n">
        <v>1</v>
      </c>
      <c r="AJ1454" s="23" t="n">
        <v>0.554</v>
      </c>
      <c r="AK1454" s="23" t="n">
        <v>0.5</v>
      </c>
      <c r="AL1454" s="23" t="n">
        <v>0.3</v>
      </c>
      <c r="AM1454" s="16" t="n">
        <f aca="false">COUNTIFS($D$2:$D$2501,D1454,$G$2:$G$2501,"&gt;"&amp;G1454)+COUNTIFS($D$2:D1454,D1454,$G$2:G1454,G1454)</f>
        <v>97</v>
      </c>
      <c r="AN1454" s="5" t="str">
        <f aca="false">D1454&amp;"|"&amp;AM1454</f>
        <v>文件與影像辨識|97</v>
      </c>
    </row>
    <row r="1455" customFormat="false" ht="17.15" hidden="false" customHeight="false" outlineLevel="0" collapsed="false">
      <c r="A1455" s="16" t="n">
        <f aca="false">RANK(G1455,$G$2:$G$2501)+COUNTIF($G$2:G1455,G1455)-1</f>
        <v>1454</v>
      </c>
      <c r="B1455" s="11" t="s">
        <v>3611</v>
      </c>
      <c r="C1455" s="11" t="s">
        <v>1806</v>
      </c>
      <c r="D1455" s="5" t="s">
        <v>56</v>
      </c>
      <c r="E1455" s="5" t="s">
        <v>57</v>
      </c>
      <c r="F1455" s="5"/>
      <c r="G1455" s="22" t="n">
        <f aca="false">ROUND(SUM(I1455:P1455),3)</f>
        <v>60.028</v>
      </c>
      <c r="H1455" s="5" t="str">
        <f aca="false">IF(G1455&gt;=評分方法!$C$16,"優先評估",IF(G1455&gt;=評分方法!$C$17,"列入候選",IF(G1455&gt;=評分方法!$C$18,"特定情境","不建議")))</f>
        <v>特定情境</v>
      </c>
      <c r="I1455" s="15" t="n">
        <f aca="false">AE1455*評分方法!$C$5</f>
        <v>25.5</v>
      </c>
      <c r="J1455" s="15" t="n">
        <f aca="false">AF1455*評分方法!$C$6</f>
        <v>0</v>
      </c>
      <c r="K1455" s="15" t="n">
        <f aca="false">AG1455*評分方法!$C$7</f>
        <v>4.95</v>
      </c>
      <c r="L1455" s="15" t="n">
        <f aca="false">AH1455*評分方法!$C$8</f>
        <v>13.05</v>
      </c>
      <c r="M1455" s="15" t="n">
        <f aca="false">AI1455*評分方法!$C$9</f>
        <v>10</v>
      </c>
      <c r="N1455" s="15" t="n">
        <f aca="false">AJ1455*評分方法!$C$10</f>
        <v>1.028</v>
      </c>
      <c r="O1455" s="15" t="n">
        <f aca="false">AK1455*評分方法!$C$11</f>
        <v>2.5</v>
      </c>
      <c r="P1455" s="15" t="n">
        <f aca="false">AL1455*評分方法!$C$12</f>
        <v>3</v>
      </c>
      <c r="Q1455" s="6" t="n">
        <v>154425</v>
      </c>
      <c r="R1455" s="6" t="n">
        <v>7356749648</v>
      </c>
      <c r="S1455" s="11" t="s">
        <v>254</v>
      </c>
      <c r="T1455" s="11" t="s">
        <v>239</v>
      </c>
      <c r="U1455" s="5" t="s">
        <v>240</v>
      </c>
      <c r="V1455" s="11" t="s">
        <v>261</v>
      </c>
      <c r="W1455" s="5" t="s">
        <v>334</v>
      </c>
      <c r="X1455" s="5" t="s">
        <v>371</v>
      </c>
      <c r="Y1455" s="11" t="s">
        <v>3612</v>
      </c>
      <c r="Z1455" s="11" t="s">
        <v>270</v>
      </c>
      <c r="AA1455" s="11" t="s">
        <v>155</v>
      </c>
      <c r="AB1455" s="5" t="s">
        <v>245</v>
      </c>
      <c r="AC1455" s="5"/>
      <c r="AD1455" s="11" t="s">
        <v>3613</v>
      </c>
      <c r="AE1455" s="23" t="n">
        <v>0.85</v>
      </c>
      <c r="AF1455" s="23" t="n">
        <v>0</v>
      </c>
      <c r="AG1455" s="23" t="n">
        <v>0.33</v>
      </c>
      <c r="AH1455" s="23" t="n">
        <v>0.87</v>
      </c>
      <c r="AI1455" s="23" t="n">
        <v>1</v>
      </c>
      <c r="AJ1455" s="23" t="n">
        <v>0.1028</v>
      </c>
      <c r="AK1455" s="23" t="n">
        <v>0.5</v>
      </c>
      <c r="AL1455" s="23" t="n">
        <v>0.6</v>
      </c>
      <c r="AM1455" s="16" t="n">
        <f aca="false">COUNTIFS($D$2:$D$2501,D1455,$G$2:$G$2501,"&gt;"&amp;G1455)+COUNTIFS($D$2:D1455,D1455,$G$2:G1455,G1455)</f>
        <v>678</v>
      </c>
      <c r="AN1455" s="5" t="str">
        <f aca="false">D1455&amp;"|"&amp;AM1455</f>
        <v>分析與報告生成|678</v>
      </c>
    </row>
    <row r="1456" customFormat="false" ht="17.15" hidden="false" customHeight="false" outlineLevel="0" collapsed="false">
      <c r="A1456" s="16" t="n">
        <f aca="false">RANK(G1456,$G$2:$G$2501)+COUNTIF($G$2:G1456,G1456)-1</f>
        <v>1455</v>
      </c>
      <c r="B1456" s="11" t="s">
        <v>3614</v>
      </c>
      <c r="C1456" s="11" t="s">
        <v>3615</v>
      </c>
      <c r="D1456" s="5" t="s">
        <v>66</v>
      </c>
      <c r="E1456" s="5" t="s">
        <v>67</v>
      </c>
      <c r="F1456" s="5"/>
      <c r="G1456" s="22" t="n">
        <f aca="false">ROUND(SUM(I1456:P1456),3)</f>
        <v>60.026</v>
      </c>
      <c r="H1456" s="5" t="str">
        <f aca="false">IF(G1456&gt;=評分方法!$C$16,"優先評估",IF(G1456&gt;=評分方法!$C$17,"列入候選",IF(G1456&gt;=評分方法!$C$18,"特定情境","不建議")))</f>
        <v>特定情境</v>
      </c>
      <c r="I1456" s="15" t="n">
        <f aca="false">AE1456*評分方法!$C$5</f>
        <v>18</v>
      </c>
      <c r="J1456" s="15" t="n">
        <f aca="false">AF1456*評分方法!$C$6</f>
        <v>0</v>
      </c>
      <c r="K1456" s="15" t="n">
        <f aca="false">AG1456*評分方法!$C$7</f>
        <v>4.95</v>
      </c>
      <c r="L1456" s="15" t="n">
        <f aca="false">AH1456*評分方法!$C$8</f>
        <v>15</v>
      </c>
      <c r="M1456" s="15" t="n">
        <f aca="false">AI1456*評分方法!$C$9</f>
        <v>10</v>
      </c>
      <c r="N1456" s="15" t="n">
        <f aca="false">AJ1456*評分方法!$C$10</f>
        <v>9.576</v>
      </c>
      <c r="O1456" s="15" t="n">
        <f aca="false">AK1456*評分方法!$C$11</f>
        <v>2.5</v>
      </c>
      <c r="P1456" s="15" t="n">
        <f aca="false">AL1456*評分方法!$C$12</f>
        <v>0</v>
      </c>
      <c r="Q1456" s="6" t="n">
        <v>9863403</v>
      </c>
      <c r="R1456" s="6" t="n">
        <v>14123010</v>
      </c>
      <c r="S1456" s="11" t="s">
        <v>238</v>
      </c>
      <c r="T1456" s="11" t="s">
        <v>278</v>
      </c>
      <c r="U1456" s="5" t="s">
        <v>240</v>
      </c>
      <c r="V1456" s="11" t="s">
        <v>324</v>
      </c>
      <c r="W1456" s="5" t="s">
        <v>334</v>
      </c>
      <c r="X1456" s="5" t="s">
        <v>242</v>
      </c>
      <c r="Y1456" s="5"/>
      <c r="Z1456" s="5"/>
      <c r="AA1456" s="11" t="s">
        <v>149</v>
      </c>
      <c r="AB1456" s="5" t="s">
        <v>245</v>
      </c>
      <c r="AC1456" s="5" t="s">
        <v>1463</v>
      </c>
      <c r="AD1456" s="11" t="s">
        <v>3616</v>
      </c>
      <c r="AE1456" s="23" t="n">
        <v>0.6</v>
      </c>
      <c r="AF1456" s="23" t="n">
        <v>0</v>
      </c>
      <c r="AG1456" s="23" t="n">
        <v>0.33</v>
      </c>
      <c r="AH1456" s="23" t="n">
        <v>1</v>
      </c>
      <c r="AI1456" s="23" t="n">
        <v>1</v>
      </c>
      <c r="AJ1456" s="23" t="n">
        <v>0.9576</v>
      </c>
      <c r="AK1456" s="23" t="n">
        <v>0.5</v>
      </c>
      <c r="AL1456" s="23" t="n">
        <v>0</v>
      </c>
      <c r="AM1456" s="16" t="n">
        <f aca="false">COUNTIFS($D$2:$D$2501,D1456,$G$2:$G$2501,"&gt;"&amp;G1456)+COUNTIFS($D$2:D1456,D1456,$G$2:G1456,G1456)</f>
        <v>43</v>
      </c>
      <c r="AN1456" s="5" t="str">
        <f aca="false">D1456&amp;"|"&amp;AM1456</f>
        <v>分類與偵測|43</v>
      </c>
    </row>
    <row r="1457" customFormat="false" ht="17.15" hidden="false" customHeight="false" outlineLevel="0" collapsed="false">
      <c r="A1457" s="16" t="n">
        <f aca="false">RANK(G1457,$G$2:$G$2501)+COUNTIF($G$2:G1457,G1457)-1</f>
        <v>1456</v>
      </c>
      <c r="B1457" s="11" t="s">
        <v>3617</v>
      </c>
      <c r="C1457" s="11" t="s">
        <v>1837</v>
      </c>
      <c r="D1457" s="5" t="s">
        <v>54</v>
      </c>
      <c r="E1457" s="5" t="s">
        <v>55</v>
      </c>
      <c r="F1457" s="5"/>
      <c r="G1457" s="22" t="n">
        <f aca="false">ROUND(SUM(I1457:P1457),3)</f>
        <v>60.022</v>
      </c>
      <c r="H1457" s="5" t="str">
        <f aca="false">IF(G1457&gt;=評分方法!$C$16,"優先評估",IF(G1457&gt;=評分方法!$C$17,"列入候選",IF(G1457&gt;=評分方法!$C$18,"特定情境","不建議")))</f>
        <v>特定情境</v>
      </c>
      <c r="I1457" s="15" t="n">
        <f aca="false">AE1457*評分方法!$C$5</f>
        <v>27</v>
      </c>
      <c r="J1457" s="15" t="n">
        <f aca="false">AF1457*評分方法!$C$6</f>
        <v>0</v>
      </c>
      <c r="K1457" s="15" t="n">
        <f aca="false">AG1457*評分方法!$C$7</f>
        <v>4.95</v>
      </c>
      <c r="L1457" s="15" t="n">
        <f aca="false">AH1457*評分方法!$C$8</f>
        <v>15</v>
      </c>
      <c r="M1457" s="15" t="n">
        <f aca="false">AI1457*評分方法!$C$9</f>
        <v>10</v>
      </c>
      <c r="N1457" s="15" t="n">
        <f aca="false">AJ1457*評分方法!$C$10</f>
        <v>0.572</v>
      </c>
      <c r="O1457" s="15" t="n">
        <f aca="false">AK1457*評分方法!$C$11</f>
        <v>2.5</v>
      </c>
      <c r="P1457" s="15" t="n">
        <f aca="false">AL1457*評分方法!$C$12</f>
        <v>0</v>
      </c>
      <c r="Q1457" s="6" t="n">
        <v>136215</v>
      </c>
      <c r="R1457" s="6" t="n">
        <v>66985530</v>
      </c>
      <c r="S1457" s="11" t="s">
        <v>238</v>
      </c>
      <c r="T1457" s="11" t="s">
        <v>239</v>
      </c>
      <c r="U1457" s="5" t="s">
        <v>240</v>
      </c>
      <c r="V1457" s="11" t="s">
        <v>324</v>
      </c>
      <c r="W1457" s="5" t="s">
        <v>334</v>
      </c>
      <c r="X1457" s="5" t="s">
        <v>242</v>
      </c>
      <c r="Y1457" s="5"/>
      <c r="Z1457" s="5"/>
      <c r="AA1457" s="11" t="s">
        <v>153</v>
      </c>
      <c r="AB1457" s="5" t="s">
        <v>245</v>
      </c>
      <c r="AC1457" s="5"/>
      <c r="AD1457" s="11" t="s">
        <v>3618</v>
      </c>
      <c r="AE1457" s="23" t="n">
        <v>0.9</v>
      </c>
      <c r="AF1457" s="23" t="n">
        <v>0</v>
      </c>
      <c r="AG1457" s="23" t="n">
        <v>0.33</v>
      </c>
      <c r="AH1457" s="23" t="n">
        <v>1</v>
      </c>
      <c r="AI1457" s="23" t="n">
        <v>1</v>
      </c>
      <c r="AJ1457" s="23" t="n">
        <v>0.0572</v>
      </c>
      <c r="AK1457" s="23" t="n">
        <v>0.5</v>
      </c>
      <c r="AL1457" s="23" t="n">
        <v>0</v>
      </c>
      <c r="AM1457" s="16" t="n">
        <f aca="false">COUNTIFS($D$2:$D$2501,D1457,$G$2:$G$2501,"&gt;"&amp;G1457)+COUNTIFS($D$2:D1457,D1457,$G$2:G1457,G1457)</f>
        <v>192</v>
      </c>
      <c r="AN1457" s="5" t="str">
        <f aca="false">D1457&amp;"|"&amp;AM1457</f>
        <v>檢索與情資關聯|192</v>
      </c>
    </row>
    <row r="1458" customFormat="false" ht="17.15" hidden="false" customHeight="false" outlineLevel="0" collapsed="false">
      <c r="A1458" s="16" t="n">
        <f aca="false">RANK(G1458,$G$2:$G$2501)+COUNTIF($G$2:G1458,G1458)-1</f>
        <v>1457</v>
      </c>
      <c r="B1458" s="11" t="s">
        <v>3619</v>
      </c>
      <c r="C1458" s="11" t="s">
        <v>753</v>
      </c>
      <c r="D1458" s="5" t="s">
        <v>56</v>
      </c>
      <c r="E1458" s="5" t="s">
        <v>57</v>
      </c>
      <c r="F1458" s="5"/>
      <c r="G1458" s="22" t="n">
        <f aca="false">ROUND(SUM(I1458:P1458),3)</f>
        <v>60.016</v>
      </c>
      <c r="H1458" s="5" t="str">
        <f aca="false">IF(G1458&gt;=評分方法!$C$16,"優先評估",IF(G1458&gt;=評分方法!$C$17,"列入候選",IF(G1458&gt;=評分方法!$C$18,"特定情境","不建議")))</f>
        <v>特定情境</v>
      </c>
      <c r="I1458" s="15" t="n">
        <f aca="false">AE1458*評分方法!$C$5</f>
        <v>25.5</v>
      </c>
      <c r="J1458" s="15" t="n">
        <f aca="false">AF1458*評分方法!$C$6</f>
        <v>0</v>
      </c>
      <c r="K1458" s="15" t="n">
        <f aca="false">AG1458*評分方法!$C$7</f>
        <v>10.05</v>
      </c>
      <c r="L1458" s="15" t="n">
        <f aca="false">AH1458*評分方法!$C$8</f>
        <v>1.95</v>
      </c>
      <c r="M1458" s="15" t="n">
        <f aca="false">AI1458*評分方法!$C$9</f>
        <v>10</v>
      </c>
      <c r="N1458" s="15" t="n">
        <f aca="false">AJ1458*評分方法!$C$10</f>
        <v>7.016</v>
      </c>
      <c r="O1458" s="15" t="n">
        <f aca="false">AK1458*評分方法!$C$11</f>
        <v>2.5</v>
      </c>
      <c r="P1458" s="15" t="n">
        <f aca="false">AL1458*評分方法!$C$12</f>
        <v>3</v>
      </c>
      <c r="Q1458" s="6" t="n">
        <v>922667</v>
      </c>
      <c r="R1458" s="6" t="n">
        <v>116829156672</v>
      </c>
      <c r="S1458" s="11" t="s">
        <v>1616</v>
      </c>
      <c r="T1458" s="11" t="s">
        <v>239</v>
      </c>
      <c r="U1458" s="5" t="s">
        <v>240</v>
      </c>
      <c r="V1458" s="11" t="s">
        <v>333</v>
      </c>
      <c r="W1458" s="5" t="s">
        <v>207</v>
      </c>
      <c r="X1458" s="5" t="s">
        <v>371</v>
      </c>
      <c r="Y1458" s="11" t="s">
        <v>1362</v>
      </c>
      <c r="Z1458" s="11" t="s">
        <v>244</v>
      </c>
      <c r="AA1458" s="11" t="s">
        <v>155</v>
      </c>
      <c r="AB1458" s="5" t="s">
        <v>245</v>
      </c>
      <c r="AC1458" s="5" t="s">
        <v>246</v>
      </c>
      <c r="AD1458" s="11" t="s">
        <v>3620</v>
      </c>
      <c r="AE1458" s="23" t="n">
        <v>0.85</v>
      </c>
      <c r="AF1458" s="23" t="n">
        <v>0</v>
      </c>
      <c r="AG1458" s="23" t="n">
        <v>0.67</v>
      </c>
      <c r="AH1458" s="23" t="n">
        <v>0.13</v>
      </c>
      <c r="AI1458" s="23" t="n">
        <v>1</v>
      </c>
      <c r="AJ1458" s="23" t="n">
        <v>0.7016</v>
      </c>
      <c r="AK1458" s="23" t="n">
        <v>0.5</v>
      </c>
      <c r="AL1458" s="23" t="n">
        <v>0.6</v>
      </c>
      <c r="AM1458" s="16" t="n">
        <f aca="false">COUNTIFS($D$2:$D$2501,D1458,$G$2:$G$2501,"&gt;"&amp;G1458)+COUNTIFS($D$2:D1458,D1458,$G$2:G1458,G1458)</f>
        <v>679</v>
      </c>
      <c r="AN1458" s="5" t="str">
        <f aca="false">D1458&amp;"|"&amp;AM1458</f>
        <v>分析與報告生成|679</v>
      </c>
    </row>
    <row r="1459" customFormat="false" ht="17.15" hidden="false" customHeight="false" outlineLevel="0" collapsed="false">
      <c r="A1459" s="16" t="n">
        <f aca="false">RANK(G1459,$G$2:$G$2501)+COUNTIF($G$2:G1459,G1459)-1</f>
        <v>1458</v>
      </c>
      <c r="B1459" s="11" t="s">
        <v>3621</v>
      </c>
      <c r="C1459" s="11" t="s">
        <v>2693</v>
      </c>
      <c r="D1459" s="5" t="s">
        <v>74</v>
      </c>
      <c r="E1459" s="5" t="s">
        <v>75</v>
      </c>
      <c r="F1459" s="5"/>
      <c r="G1459" s="22" t="n">
        <f aca="false">ROUND(SUM(I1459:P1459),3)</f>
        <v>60.016</v>
      </c>
      <c r="H1459" s="5" t="str">
        <f aca="false">IF(G1459&gt;=評分方法!$C$16,"優先評估",IF(G1459&gt;=評分方法!$C$17,"列入候選",IF(G1459&gt;=評分方法!$C$18,"特定情境","不建議")))</f>
        <v>特定情境</v>
      </c>
      <c r="I1459" s="15" t="n">
        <f aca="false">AE1459*評分方法!$C$5</f>
        <v>10.5</v>
      </c>
      <c r="J1459" s="15" t="n">
        <f aca="false">AF1459*評分方法!$C$6</f>
        <v>0</v>
      </c>
      <c r="K1459" s="15" t="n">
        <f aca="false">AG1459*評分方法!$C$7</f>
        <v>15</v>
      </c>
      <c r="L1459" s="15" t="n">
        <f aca="false">AH1459*評分方法!$C$8</f>
        <v>15</v>
      </c>
      <c r="M1459" s="15" t="n">
        <f aca="false">AI1459*評分方法!$C$9</f>
        <v>10</v>
      </c>
      <c r="N1459" s="15" t="n">
        <f aca="false">AJ1459*評分方法!$C$10</f>
        <v>5.516</v>
      </c>
      <c r="O1459" s="15" t="n">
        <f aca="false">AK1459*評分方法!$C$11</f>
        <v>2.5</v>
      </c>
      <c r="P1459" s="15" t="n">
        <f aca="false">AL1459*評分方法!$C$12</f>
        <v>1.5</v>
      </c>
      <c r="Q1459" s="6" t="n">
        <v>576642</v>
      </c>
      <c r="R1459" s="6" t="n">
        <v>20242984</v>
      </c>
      <c r="S1459" s="11" t="s">
        <v>238</v>
      </c>
      <c r="T1459" s="11" t="s">
        <v>239</v>
      </c>
      <c r="U1459" s="5" t="s">
        <v>240</v>
      </c>
      <c r="V1459" s="11" t="s">
        <v>324</v>
      </c>
      <c r="W1459" s="5" t="s">
        <v>205</v>
      </c>
      <c r="X1459" s="5" t="s">
        <v>255</v>
      </c>
      <c r="Y1459" s="5"/>
      <c r="Z1459" s="5"/>
      <c r="AA1459" s="11" t="s">
        <v>172</v>
      </c>
      <c r="AB1459" s="5" t="s">
        <v>245</v>
      </c>
      <c r="AC1459" s="5"/>
      <c r="AD1459" s="11" t="s">
        <v>3622</v>
      </c>
      <c r="AE1459" s="23" t="n">
        <v>0.35</v>
      </c>
      <c r="AF1459" s="23" t="n">
        <v>0</v>
      </c>
      <c r="AG1459" s="23" t="n">
        <v>1</v>
      </c>
      <c r="AH1459" s="23" t="n">
        <v>1</v>
      </c>
      <c r="AI1459" s="23" t="n">
        <v>1</v>
      </c>
      <c r="AJ1459" s="23" t="n">
        <v>0.5516</v>
      </c>
      <c r="AK1459" s="23" t="n">
        <v>0.5</v>
      </c>
      <c r="AL1459" s="23" t="n">
        <v>0.3</v>
      </c>
      <c r="AM1459" s="16" t="n">
        <f aca="false">COUNTIFS($D$2:$D$2501,D1459,$G$2:$G$2501,"&gt;"&amp;G1459)+COUNTIFS($D$2:D1459,D1459,$G$2:G1459,G1459)</f>
        <v>98</v>
      </c>
      <c r="AN1459" s="5" t="str">
        <f aca="false">D1459&amp;"|"&amp;AM1459</f>
        <v>文件與影像辨識|98</v>
      </c>
    </row>
    <row r="1460" customFormat="false" ht="17.15" hidden="false" customHeight="false" outlineLevel="0" collapsed="false">
      <c r="A1460" s="16" t="n">
        <f aca="false">RANK(G1460,$G$2:$G$2501)+COUNTIF($G$2:G1460,G1460)-1</f>
        <v>1459</v>
      </c>
      <c r="B1460" s="11" t="s">
        <v>3623</v>
      </c>
      <c r="C1460" s="11" t="s">
        <v>2693</v>
      </c>
      <c r="D1460" s="5" t="s">
        <v>74</v>
      </c>
      <c r="E1460" s="5" t="s">
        <v>75</v>
      </c>
      <c r="F1460" s="5"/>
      <c r="G1460" s="22" t="n">
        <f aca="false">ROUND(SUM(I1460:P1460),3)</f>
        <v>60</v>
      </c>
      <c r="H1460" s="5" t="str">
        <f aca="false">IF(G1460&gt;=評分方法!$C$16,"優先評估",IF(G1460&gt;=評分方法!$C$17,"列入候選",IF(G1460&gt;=評分方法!$C$18,"特定情境","不建議")))</f>
        <v>特定情境</v>
      </c>
      <c r="I1460" s="15" t="n">
        <f aca="false">AE1460*評分方法!$C$5</f>
        <v>10.5</v>
      </c>
      <c r="J1460" s="15" t="n">
        <f aca="false">AF1460*評分方法!$C$6</f>
        <v>0</v>
      </c>
      <c r="K1460" s="15" t="n">
        <f aca="false">AG1460*評分方法!$C$7</f>
        <v>15</v>
      </c>
      <c r="L1460" s="15" t="n">
        <f aca="false">AH1460*評分方法!$C$8</f>
        <v>15</v>
      </c>
      <c r="M1460" s="15" t="n">
        <f aca="false">AI1460*評分方法!$C$9</f>
        <v>10</v>
      </c>
      <c r="N1460" s="15" t="n">
        <f aca="false">AJ1460*評分方法!$C$10</f>
        <v>5.5</v>
      </c>
      <c r="O1460" s="15" t="n">
        <f aca="false">AK1460*評分方法!$C$11</f>
        <v>2.5</v>
      </c>
      <c r="P1460" s="15" t="n">
        <f aca="false">AL1460*評分方法!$C$12</f>
        <v>1.5</v>
      </c>
      <c r="Q1460" s="6" t="n">
        <v>576228</v>
      </c>
      <c r="R1460" s="6" t="n">
        <v>86859496</v>
      </c>
      <c r="S1460" s="11" t="s">
        <v>238</v>
      </c>
      <c r="T1460" s="11" t="s">
        <v>239</v>
      </c>
      <c r="U1460" s="5" t="s">
        <v>240</v>
      </c>
      <c r="V1460" s="11" t="s">
        <v>324</v>
      </c>
      <c r="W1460" s="5" t="s">
        <v>205</v>
      </c>
      <c r="X1460" s="5" t="s">
        <v>255</v>
      </c>
      <c r="Y1460" s="5"/>
      <c r="Z1460" s="5"/>
      <c r="AA1460" s="11" t="s">
        <v>172</v>
      </c>
      <c r="AB1460" s="5" t="s">
        <v>245</v>
      </c>
      <c r="AC1460" s="5"/>
      <c r="AD1460" s="11" t="s">
        <v>3624</v>
      </c>
      <c r="AE1460" s="23" t="n">
        <v>0.35</v>
      </c>
      <c r="AF1460" s="23" t="n">
        <v>0</v>
      </c>
      <c r="AG1460" s="23" t="n">
        <v>1</v>
      </c>
      <c r="AH1460" s="23" t="n">
        <v>1</v>
      </c>
      <c r="AI1460" s="23" t="n">
        <v>1</v>
      </c>
      <c r="AJ1460" s="23" t="n">
        <v>0.55</v>
      </c>
      <c r="AK1460" s="23" t="n">
        <v>0.5</v>
      </c>
      <c r="AL1460" s="23" t="n">
        <v>0.3</v>
      </c>
      <c r="AM1460" s="16" t="n">
        <f aca="false">COUNTIFS($D$2:$D$2501,D1460,$G$2:$G$2501,"&gt;"&amp;G1460)+COUNTIFS($D$2:D1460,D1460,$G$2:G1460,G1460)</f>
        <v>99</v>
      </c>
      <c r="AN1460" s="5" t="str">
        <f aca="false">D1460&amp;"|"&amp;AM1460</f>
        <v>文件與影像辨識|99</v>
      </c>
    </row>
    <row r="1461" customFormat="false" ht="17.15" hidden="false" customHeight="false" outlineLevel="0" collapsed="false">
      <c r="A1461" s="16" t="n">
        <f aca="false">RANK(G1461,$G$2:$G$2501)+COUNTIF($G$2:G1461,G1461)-1</f>
        <v>1460</v>
      </c>
      <c r="B1461" s="11" t="s">
        <v>3625</v>
      </c>
      <c r="C1461" s="11" t="s">
        <v>2693</v>
      </c>
      <c r="D1461" s="5" t="s">
        <v>74</v>
      </c>
      <c r="E1461" s="5" t="s">
        <v>75</v>
      </c>
      <c r="F1461" s="5"/>
      <c r="G1461" s="22" t="n">
        <f aca="false">ROUND(SUM(I1461:P1461),3)</f>
        <v>59.984</v>
      </c>
      <c r="H1461" s="5" t="str">
        <f aca="false">IF(G1461&gt;=評分方法!$C$16,"優先評估",IF(G1461&gt;=評分方法!$C$17,"列入候選",IF(G1461&gt;=評分方法!$C$18,"特定情境","不建議")))</f>
        <v>不建議</v>
      </c>
      <c r="I1461" s="15" t="n">
        <f aca="false">AE1461*評分方法!$C$5</f>
        <v>10.5</v>
      </c>
      <c r="J1461" s="15" t="n">
        <f aca="false">AF1461*評分方法!$C$6</f>
        <v>0</v>
      </c>
      <c r="K1461" s="15" t="n">
        <f aca="false">AG1461*評分方法!$C$7</f>
        <v>15</v>
      </c>
      <c r="L1461" s="15" t="n">
        <f aca="false">AH1461*評分方法!$C$8</f>
        <v>15</v>
      </c>
      <c r="M1461" s="15" t="n">
        <f aca="false">AI1461*評分方法!$C$9</f>
        <v>10</v>
      </c>
      <c r="N1461" s="15" t="n">
        <f aca="false">AJ1461*評分方法!$C$10</f>
        <v>5.484</v>
      </c>
      <c r="O1461" s="15" t="n">
        <f aca="false">AK1461*評分方法!$C$11</f>
        <v>2.5</v>
      </c>
      <c r="P1461" s="15" t="n">
        <f aca="false">AL1461*評分方法!$C$12</f>
        <v>1.5</v>
      </c>
      <c r="Q1461" s="6" t="n">
        <v>575384</v>
      </c>
      <c r="R1461" s="6" t="n">
        <v>25629512</v>
      </c>
      <c r="S1461" s="11" t="s">
        <v>238</v>
      </c>
      <c r="T1461" s="11" t="s">
        <v>239</v>
      </c>
      <c r="U1461" s="5" t="s">
        <v>240</v>
      </c>
      <c r="V1461" s="11" t="s">
        <v>324</v>
      </c>
      <c r="W1461" s="5" t="s">
        <v>205</v>
      </c>
      <c r="X1461" s="5" t="s">
        <v>255</v>
      </c>
      <c r="Y1461" s="5"/>
      <c r="Z1461" s="5"/>
      <c r="AA1461" s="11" t="s">
        <v>172</v>
      </c>
      <c r="AB1461" s="5" t="s">
        <v>245</v>
      </c>
      <c r="AC1461" s="5"/>
      <c r="AD1461" s="11" t="s">
        <v>3626</v>
      </c>
      <c r="AE1461" s="23" t="n">
        <v>0.35</v>
      </c>
      <c r="AF1461" s="23" t="n">
        <v>0</v>
      </c>
      <c r="AG1461" s="23" t="n">
        <v>1</v>
      </c>
      <c r="AH1461" s="23" t="n">
        <v>1</v>
      </c>
      <c r="AI1461" s="23" t="n">
        <v>1</v>
      </c>
      <c r="AJ1461" s="23" t="n">
        <v>0.5484</v>
      </c>
      <c r="AK1461" s="23" t="n">
        <v>0.5</v>
      </c>
      <c r="AL1461" s="23" t="n">
        <v>0.3</v>
      </c>
      <c r="AM1461" s="16" t="n">
        <f aca="false">COUNTIFS($D$2:$D$2501,D1461,$G$2:$G$2501,"&gt;"&amp;G1461)+COUNTIFS($D$2:D1461,D1461,$G$2:G1461,G1461)</f>
        <v>100</v>
      </c>
      <c r="AN1461" s="5" t="str">
        <f aca="false">D1461&amp;"|"&amp;AM1461</f>
        <v>文件與影像辨識|100</v>
      </c>
    </row>
    <row r="1462" customFormat="false" ht="17.15" hidden="false" customHeight="false" outlineLevel="0" collapsed="false">
      <c r="A1462" s="16" t="n">
        <f aca="false">RANK(G1462,$G$2:$G$2501)+COUNTIF($G$2:G1462,G1462)-1</f>
        <v>1461</v>
      </c>
      <c r="B1462" s="11" t="s">
        <v>3627</v>
      </c>
      <c r="C1462" s="11" t="s">
        <v>891</v>
      </c>
      <c r="D1462" s="5" t="s">
        <v>56</v>
      </c>
      <c r="E1462" s="5" t="s">
        <v>57</v>
      </c>
      <c r="F1462" s="5"/>
      <c r="G1462" s="22" t="n">
        <f aca="false">ROUND(SUM(I1462:P1462),3)</f>
        <v>59.974</v>
      </c>
      <c r="H1462" s="5" t="str">
        <f aca="false">IF(G1462&gt;=評分方法!$C$16,"優先評估",IF(G1462&gt;=評分方法!$C$17,"列入候選",IF(G1462&gt;=評分方法!$C$18,"特定情境","不建議")))</f>
        <v>不建議</v>
      </c>
      <c r="I1462" s="15" t="n">
        <f aca="false">AE1462*評分方法!$C$5</f>
        <v>25.5</v>
      </c>
      <c r="J1462" s="15" t="n">
        <f aca="false">AF1462*評分方法!$C$6</f>
        <v>0</v>
      </c>
      <c r="K1462" s="15" t="n">
        <f aca="false">AG1462*評分方法!$C$7</f>
        <v>10.05</v>
      </c>
      <c r="L1462" s="15" t="n">
        <f aca="false">AH1462*評分方法!$C$8</f>
        <v>9</v>
      </c>
      <c r="M1462" s="15" t="n">
        <f aca="false">AI1462*評分方法!$C$9</f>
        <v>10</v>
      </c>
      <c r="N1462" s="15" t="n">
        <f aca="false">AJ1462*評分方法!$C$10</f>
        <v>1.424</v>
      </c>
      <c r="O1462" s="15" t="n">
        <f aca="false">AK1462*評分方法!$C$11</f>
        <v>4</v>
      </c>
      <c r="P1462" s="15" t="n">
        <f aca="false">AL1462*評分方法!$C$12</f>
        <v>0</v>
      </c>
      <c r="Q1462" s="6" t="n">
        <v>175172</v>
      </c>
      <c r="R1462" s="6" t="n">
        <v>32233522176</v>
      </c>
      <c r="S1462" s="11" t="s">
        <v>389</v>
      </c>
      <c r="T1462" s="11" t="s">
        <v>239</v>
      </c>
      <c r="U1462" s="5" t="s">
        <v>240</v>
      </c>
      <c r="V1462" s="11" t="s">
        <v>261</v>
      </c>
      <c r="W1462" s="5" t="s">
        <v>207</v>
      </c>
      <c r="X1462" s="5" t="s">
        <v>242</v>
      </c>
      <c r="Y1462" s="11" t="s">
        <v>3628</v>
      </c>
      <c r="Z1462" s="11" t="s">
        <v>244</v>
      </c>
      <c r="AA1462" s="11" t="s">
        <v>155</v>
      </c>
      <c r="AB1462" s="5" t="s">
        <v>496</v>
      </c>
      <c r="AC1462" s="5" t="s">
        <v>555</v>
      </c>
      <c r="AD1462" s="11" t="s">
        <v>3629</v>
      </c>
      <c r="AE1462" s="23" t="n">
        <v>0.85</v>
      </c>
      <c r="AF1462" s="23" t="n">
        <v>0</v>
      </c>
      <c r="AG1462" s="23" t="n">
        <v>0.67</v>
      </c>
      <c r="AH1462" s="23" t="n">
        <v>0.6</v>
      </c>
      <c r="AI1462" s="23" t="n">
        <v>1</v>
      </c>
      <c r="AJ1462" s="23" t="n">
        <v>0.1424</v>
      </c>
      <c r="AK1462" s="23" t="n">
        <v>0.8</v>
      </c>
      <c r="AL1462" s="23" t="n">
        <v>0</v>
      </c>
      <c r="AM1462" s="16" t="n">
        <f aca="false">COUNTIFS($D$2:$D$2501,D1462,$G$2:$G$2501,"&gt;"&amp;G1462)+COUNTIFS($D$2:D1462,D1462,$G$2:G1462,G1462)</f>
        <v>680</v>
      </c>
      <c r="AN1462" s="5" t="str">
        <f aca="false">D1462&amp;"|"&amp;AM1462</f>
        <v>分析與報告生成|680</v>
      </c>
    </row>
    <row r="1463" customFormat="false" ht="17.15" hidden="false" customHeight="false" outlineLevel="0" collapsed="false">
      <c r="A1463" s="16" t="n">
        <f aca="false">RANK(G1463,$G$2:$G$2501)+COUNTIF($G$2:G1463,G1463)-1</f>
        <v>1462</v>
      </c>
      <c r="B1463" s="11" t="s">
        <v>3630</v>
      </c>
      <c r="C1463" s="11" t="s">
        <v>2993</v>
      </c>
      <c r="D1463" s="5" t="s">
        <v>56</v>
      </c>
      <c r="E1463" s="5" t="s">
        <v>57</v>
      </c>
      <c r="F1463" s="5"/>
      <c r="G1463" s="22" t="n">
        <f aca="false">ROUND(SUM(I1463:P1463),3)</f>
        <v>59.964</v>
      </c>
      <c r="H1463" s="5" t="str">
        <f aca="false">IF(G1463&gt;=評分方法!$C$16,"優先評估",IF(G1463&gt;=評分方法!$C$17,"列入候選",IF(G1463&gt;=評分方法!$C$18,"特定情境","不建議")))</f>
        <v>不建議</v>
      </c>
      <c r="I1463" s="15" t="n">
        <f aca="false">AE1463*評分方法!$C$5</f>
        <v>25.5</v>
      </c>
      <c r="J1463" s="15" t="n">
        <f aca="false">AF1463*評分方法!$C$6</f>
        <v>0</v>
      </c>
      <c r="K1463" s="15" t="n">
        <f aca="false">AG1463*評分方法!$C$7</f>
        <v>4.95</v>
      </c>
      <c r="L1463" s="15" t="n">
        <f aca="false">AH1463*評分方法!$C$8</f>
        <v>13.05</v>
      </c>
      <c r="M1463" s="15" t="n">
        <f aca="false">AI1463*評分方法!$C$9</f>
        <v>10</v>
      </c>
      <c r="N1463" s="15" t="n">
        <f aca="false">AJ1463*評分方法!$C$10</f>
        <v>5.464</v>
      </c>
      <c r="O1463" s="15" t="n">
        <f aca="false">AK1463*評分方法!$C$11</f>
        <v>1</v>
      </c>
      <c r="P1463" s="15" t="n">
        <f aca="false">AL1463*評分方法!$C$12</f>
        <v>0</v>
      </c>
      <c r="Q1463" s="6" t="n">
        <v>573674</v>
      </c>
      <c r="R1463" s="6" t="n">
        <v>4762310656</v>
      </c>
      <c r="S1463" s="11" t="s">
        <v>254</v>
      </c>
      <c r="T1463" s="11" t="s">
        <v>239</v>
      </c>
      <c r="U1463" s="5" t="s">
        <v>240</v>
      </c>
      <c r="V1463" s="11" t="s">
        <v>333</v>
      </c>
      <c r="W1463" s="5" t="s">
        <v>334</v>
      </c>
      <c r="X1463" s="5" t="s">
        <v>242</v>
      </c>
      <c r="Y1463" s="11" t="s">
        <v>3631</v>
      </c>
      <c r="Z1463" s="11" t="s">
        <v>244</v>
      </c>
      <c r="AA1463" s="11" t="s">
        <v>155</v>
      </c>
      <c r="AB1463" s="5" t="s">
        <v>961</v>
      </c>
      <c r="AC1463" s="5" t="s">
        <v>962</v>
      </c>
      <c r="AD1463" s="11" t="s">
        <v>3632</v>
      </c>
      <c r="AE1463" s="23" t="n">
        <v>0.85</v>
      </c>
      <c r="AF1463" s="23" t="n">
        <v>0</v>
      </c>
      <c r="AG1463" s="23" t="n">
        <v>0.33</v>
      </c>
      <c r="AH1463" s="23" t="n">
        <v>0.87</v>
      </c>
      <c r="AI1463" s="23" t="n">
        <v>1</v>
      </c>
      <c r="AJ1463" s="23" t="n">
        <v>0.5464</v>
      </c>
      <c r="AK1463" s="23" t="n">
        <v>0.2</v>
      </c>
      <c r="AL1463" s="23" t="n">
        <v>0</v>
      </c>
      <c r="AM1463" s="16" t="n">
        <f aca="false">COUNTIFS($D$2:$D$2501,D1463,$G$2:$G$2501,"&gt;"&amp;G1463)+COUNTIFS($D$2:D1463,D1463,$G$2:G1463,G1463)</f>
        <v>681</v>
      </c>
      <c r="AN1463" s="5" t="str">
        <f aca="false">D1463&amp;"|"&amp;AM1463</f>
        <v>分析與報告生成|681</v>
      </c>
    </row>
    <row r="1464" customFormat="false" ht="17.15" hidden="false" customHeight="false" outlineLevel="0" collapsed="false">
      <c r="A1464" s="16" t="n">
        <f aca="false">RANK(G1464,$G$2:$G$2501)+COUNTIF($G$2:G1464,G1464)-1</f>
        <v>1463</v>
      </c>
      <c r="B1464" s="11" t="s">
        <v>3633</v>
      </c>
      <c r="C1464" s="11" t="s">
        <v>891</v>
      </c>
      <c r="D1464" s="5" t="s">
        <v>56</v>
      </c>
      <c r="E1464" s="5" t="s">
        <v>57</v>
      </c>
      <c r="F1464" s="5"/>
      <c r="G1464" s="22" t="n">
        <f aca="false">ROUND(SUM(I1464:P1464),3)</f>
        <v>59.954</v>
      </c>
      <c r="H1464" s="5" t="str">
        <f aca="false">IF(G1464&gt;=評分方法!$C$16,"優先評估",IF(G1464&gt;=評分方法!$C$17,"列入候選",IF(G1464&gt;=評分方法!$C$18,"特定情境","不建議")))</f>
        <v>不建議</v>
      </c>
      <c r="I1464" s="15" t="n">
        <f aca="false">AE1464*評分方法!$C$5</f>
        <v>25.5</v>
      </c>
      <c r="J1464" s="15" t="n">
        <f aca="false">AF1464*評分方法!$C$6</f>
        <v>0</v>
      </c>
      <c r="K1464" s="15" t="n">
        <f aca="false">AG1464*評分方法!$C$7</f>
        <v>10.05</v>
      </c>
      <c r="L1464" s="15" t="n">
        <f aca="false">AH1464*評分方法!$C$8</f>
        <v>9</v>
      </c>
      <c r="M1464" s="15" t="n">
        <f aca="false">AI1464*評分方法!$C$9</f>
        <v>10</v>
      </c>
      <c r="N1464" s="15" t="n">
        <f aca="false">AJ1464*評分方法!$C$10</f>
        <v>1.404</v>
      </c>
      <c r="O1464" s="15" t="n">
        <f aca="false">AK1464*評分方法!$C$11</f>
        <v>4</v>
      </c>
      <c r="P1464" s="15" t="n">
        <f aca="false">AL1464*評分方法!$C$12</f>
        <v>0</v>
      </c>
      <c r="Q1464" s="6" t="n">
        <v>174017</v>
      </c>
      <c r="R1464" s="6" t="n">
        <v>32233522176</v>
      </c>
      <c r="S1464" s="11" t="s">
        <v>389</v>
      </c>
      <c r="T1464" s="11" t="s">
        <v>239</v>
      </c>
      <c r="U1464" s="5" t="s">
        <v>240</v>
      </c>
      <c r="V1464" s="11" t="s">
        <v>261</v>
      </c>
      <c r="W1464" s="5" t="s">
        <v>207</v>
      </c>
      <c r="X1464" s="5" t="s">
        <v>242</v>
      </c>
      <c r="Y1464" s="11" t="s">
        <v>3628</v>
      </c>
      <c r="Z1464" s="11" t="s">
        <v>244</v>
      </c>
      <c r="AA1464" s="11" t="s">
        <v>155</v>
      </c>
      <c r="AB1464" s="5" t="s">
        <v>496</v>
      </c>
      <c r="AC1464" s="5" t="s">
        <v>555</v>
      </c>
      <c r="AD1464" s="11" t="s">
        <v>3634</v>
      </c>
      <c r="AE1464" s="23" t="n">
        <v>0.85</v>
      </c>
      <c r="AF1464" s="23" t="n">
        <v>0</v>
      </c>
      <c r="AG1464" s="23" t="n">
        <v>0.67</v>
      </c>
      <c r="AH1464" s="23" t="n">
        <v>0.6</v>
      </c>
      <c r="AI1464" s="23" t="n">
        <v>1</v>
      </c>
      <c r="AJ1464" s="23" t="n">
        <v>0.1404</v>
      </c>
      <c r="AK1464" s="23" t="n">
        <v>0.8</v>
      </c>
      <c r="AL1464" s="23" t="n">
        <v>0</v>
      </c>
      <c r="AM1464" s="16" t="n">
        <f aca="false">COUNTIFS($D$2:$D$2501,D1464,$G$2:$G$2501,"&gt;"&amp;G1464)+COUNTIFS($D$2:D1464,D1464,$G$2:G1464,G1464)</f>
        <v>682</v>
      </c>
      <c r="AN1464" s="5" t="str">
        <f aca="false">D1464&amp;"|"&amp;AM1464</f>
        <v>分析與報告生成|682</v>
      </c>
    </row>
    <row r="1465" customFormat="false" ht="17.15" hidden="false" customHeight="false" outlineLevel="0" collapsed="false">
      <c r="A1465" s="16" t="n">
        <f aca="false">RANK(G1465,$G$2:$G$2501)+COUNTIF($G$2:G1465,G1465)-1</f>
        <v>1464</v>
      </c>
      <c r="B1465" s="11" t="s">
        <v>3635</v>
      </c>
      <c r="C1465" s="11" t="s">
        <v>299</v>
      </c>
      <c r="D1465" s="5" t="s">
        <v>78</v>
      </c>
      <c r="E1465" s="5" t="s">
        <v>79</v>
      </c>
      <c r="F1465" s="5"/>
      <c r="G1465" s="22" t="n">
        <f aca="false">ROUND(SUM(I1465:P1465),3)</f>
        <v>59.95</v>
      </c>
      <c r="H1465" s="5" t="str">
        <f aca="false">IF(G1465&gt;=評分方法!$C$16,"優先評估",IF(G1465&gt;=評分方法!$C$17,"列入候選",IF(G1465&gt;=評分方法!$C$18,"特定情境","不建議")))</f>
        <v>不建議</v>
      </c>
      <c r="I1465" s="15" t="n">
        <f aca="false">AE1465*評分方法!$C$5</f>
        <v>9</v>
      </c>
      <c r="J1465" s="15" t="n">
        <f aca="false">AF1465*評分方法!$C$6</f>
        <v>0</v>
      </c>
      <c r="K1465" s="15" t="n">
        <f aca="false">AG1465*評分方法!$C$7</f>
        <v>15</v>
      </c>
      <c r="L1465" s="15" t="n">
        <f aca="false">AH1465*評分方法!$C$8</f>
        <v>13.05</v>
      </c>
      <c r="M1465" s="15" t="n">
        <f aca="false">AI1465*評分方法!$C$9</f>
        <v>10</v>
      </c>
      <c r="N1465" s="15" t="n">
        <f aca="false">AJ1465*評分方法!$C$10</f>
        <v>3.9</v>
      </c>
      <c r="O1465" s="15" t="n">
        <f aca="false">AK1465*評分方法!$C$11</f>
        <v>4</v>
      </c>
      <c r="P1465" s="15" t="n">
        <f aca="false">AL1465*評分方法!$C$12</f>
        <v>5</v>
      </c>
      <c r="Q1465" s="6" t="n">
        <v>402189</v>
      </c>
      <c r="R1465" s="6" t="n">
        <v>8648711424</v>
      </c>
      <c r="S1465" s="11" t="s">
        <v>254</v>
      </c>
      <c r="T1465" s="11" t="s">
        <v>239</v>
      </c>
      <c r="U1465" s="5" t="s">
        <v>240</v>
      </c>
      <c r="V1465" s="11" t="s">
        <v>261</v>
      </c>
      <c r="W1465" s="5" t="s">
        <v>205</v>
      </c>
      <c r="X1465" s="5" t="s">
        <v>284</v>
      </c>
      <c r="Y1465" s="11" t="s">
        <v>1027</v>
      </c>
      <c r="Z1465" s="11" t="s">
        <v>270</v>
      </c>
      <c r="AA1465" s="11" t="s">
        <v>175</v>
      </c>
      <c r="AB1465" s="5" t="s">
        <v>245</v>
      </c>
      <c r="AC1465" s="5"/>
      <c r="AD1465" s="11" t="s">
        <v>3636</v>
      </c>
      <c r="AE1465" s="23" t="n">
        <v>0.3</v>
      </c>
      <c r="AF1465" s="23" t="n">
        <v>0</v>
      </c>
      <c r="AG1465" s="23" t="n">
        <v>1</v>
      </c>
      <c r="AH1465" s="23" t="n">
        <v>0.87</v>
      </c>
      <c r="AI1465" s="23" t="n">
        <v>1</v>
      </c>
      <c r="AJ1465" s="23" t="n">
        <v>0.39</v>
      </c>
      <c r="AK1465" s="23" t="n">
        <v>0.8</v>
      </c>
      <c r="AL1465" s="23" t="n">
        <v>1</v>
      </c>
      <c r="AM1465" s="16" t="n">
        <f aca="false">COUNTIFS($D$2:$D$2501,D1465,$G$2:$G$2501,"&gt;"&amp;G1465)+COUNTIFS($D$2:D1465,D1465,$G$2:G1465,G1465)</f>
        <v>20</v>
      </c>
      <c r="AN1465" s="5" t="str">
        <f aca="false">D1465&amp;"|"&amp;AM1465</f>
        <v>語音分析|20</v>
      </c>
    </row>
    <row r="1466" customFormat="false" ht="17.15" hidden="false" customHeight="false" outlineLevel="0" collapsed="false">
      <c r="A1466" s="16" t="n">
        <f aca="false">RANK(G1466,$G$2:$G$2501)+COUNTIF($G$2:G1466,G1466)-1</f>
        <v>1465</v>
      </c>
      <c r="B1466" s="11" t="s">
        <v>3637</v>
      </c>
      <c r="C1466" s="11" t="s">
        <v>3638</v>
      </c>
      <c r="D1466" s="5" t="s">
        <v>56</v>
      </c>
      <c r="E1466" s="5" t="s">
        <v>57</v>
      </c>
      <c r="F1466" s="5"/>
      <c r="G1466" s="22" t="n">
        <f aca="false">ROUND(SUM(I1466:P1466),3)</f>
        <v>59.944</v>
      </c>
      <c r="H1466" s="5" t="str">
        <f aca="false">IF(G1466&gt;=評分方法!$C$16,"優先評估",IF(G1466&gt;=評分方法!$C$17,"列入候選",IF(G1466&gt;=評分方法!$C$18,"特定情境","不建議")))</f>
        <v>不建議</v>
      </c>
      <c r="I1466" s="15" t="n">
        <f aca="false">AE1466*評分方法!$C$5</f>
        <v>25.5</v>
      </c>
      <c r="J1466" s="15" t="n">
        <f aca="false">AF1466*評分方法!$C$6</f>
        <v>0</v>
      </c>
      <c r="K1466" s="15" t="n">
        <f aca="false">AG1466*評分方法!$C$7</f>
        <v>4.95</v>
      </c>
      <c r="L1466" s="15" t="n">
        <f aca="false">AH1466*評分方法!$C$8</f>
        <v>13.05</v>
      </c>
      <c r="M1466" s="15" t="n">
        <f aca="false">AI1466*評分方法!$C$9</f>
        <v>10</v>
      </c>
      <c r="N1466" s="15" t="n">
        <f aca="false">AJ1466*評分方法!$C$10</f>
        <v>2.444</v>
      </c>
      <c r="O1466" s="15" t="n">
        <f aca="false">AK1466*評分方法!$C$11</f>
        <v>4</v>
      </c>
      <c r="P1466" s="15" t="n">
        <f aca="false">AL1466*評分方法!$C$12</f>
        <v>0</v>
      </c>
      <c r="Q1466" s="6" t="n">
        <v>245828</v>
      </c>
      <c r="R1466" s="6" t="n">
        <v>2305517312</v>
      </c>
      <c r="S1466" s="11" t="s">
        <v>254</v>
      </c>
      <c r="T1466" s="11" t="s">
        <v>278</v>
      </c>
      <c r="U1466" s="5" t="s">
        <v>240</v>
      </c>
      <c r="V1466" s="11" t="s">
        <v>261</v>
      </c>
      <c r="W1466" s="5" t="s">
        <v>334</v>
      </c>
      <c r="X1466" s="5" t="s">
        <v>242</v>
      </c>
      <c r="Y1466" s="5"/>
      <c r="Z1466" s="5"/>
      <c r="AA1466" s="11" t="s">
        <v>155</v>
      </c>
      <c r="AB1466" s="5" t="s">
        <v>245</v>
      </c>
      <c r="AC1466" s="5"/>
      <c r="AD1466" s="11" t="s">
        <v>3639</v>
      </c>
      <c r="AE1466" s="23" t="n">
        <v>0.85</v>
      </c>
      <c r="AF1466" s="23" t="n">
        <v>0</v>
      </c>
      <c r="AG1466" s="23" t="n">
        <v>0.33</v>
      </c>
      <c r="AH1466" s="23" t="n">
        <v>0.87</v>
      </c>
      <c r="AI1466" s="23" t="n">
        <v>1</v>
      </c>
      <c r="AJ1466" s="23" t="n">
        <v>0.2444</v>
      </c>
      <c r="AK1466" s="23" t="n">
        <v>0.8</v>
      </c>
      <c r="AL1466" s="23" t="n">
        <v>0</v>
      </c>
      <c r="AM1466" s="16" t="n">
        <f aca="false">COUNTIFS($D$2:$D$2501,D1466,$G$2:$G$2501,"&gt;"&amp;G1466)+COUNTIFS($D$2:D1466,D1466,$G$2:G1466,G1466)</f>
        <v>683</v>
      </c>
      <c r="AN1466" s="5" t="str">
        <f aca="false">D1466&amp;"|"&amp;AM1466</f>
        <v>分析與報告生成|683</v>
      </c>
    </row>
    <row r="1467" customFormat="false" ht="17.15" hidden="false" customHeight="false" outlineLevel="0" collapsed="false">
      <c r="A1467" s="16" t="n">
        <f aca="false">RANK(G1467,$G$2:$G$2501)+COUNTIF($G$2:G1467,G1467)-1</f>
        <v>1466</v>
      </c>
      <c r="B1467" s="11" t="s">
        <v>3640</v>
      </c>
      <c r="C1467" s="11" t="s">
        <v>891</v>
      </c>
      <c r="D1467" s="5" t="s">
        <v>56</v>
      </c>
      <c r="E1467" s="5" t="s">
        <v>57</v>
      </c>
      <c r="F1467" s="5"/>
      <c r="G1467" s="22" t="n">
        <f aca="false">ROUND(SUM(I1467:P1467),3)</f>
        <v>59.942</v>
      </c>
      <c r="H1467" s="5" t="str">
        <f aca="false">IF(G1467&gt;=評分方法!$C$16,"優先評估",IF(G1467&gt;=評分方法!$C$17,"列入候選",IF(G1467&gt;=評分方法!$C$18,"特定情境","不建議")))</f>
        <v>不建議</v>
      </c>
      <c r="I1467" s="15" t="n">
        <f aca="false">AE1467*評分方法!$C$5</f>
        <v>25.5</v>
      </c>
      <c r="J1467" s="15" t="n">
        <f aca="false">AF1467*評分方法!$C$6</f>
        <v>0</v>
      </c>
      <c r="K1467" s="15" t="n">
        <f aca="false">AG1467*評分方法!$C$7</f>
        <v>10.05</v>
      </c>
      <c r="L1467" s="15" t="n">
        <f aca="false">AH1467*評分方法!$C$8</f>
        <v>9</v>
      </c>
      <c r="M1467" s="15" t="n">
        <f aca="false">AI1467*評分方法!$C$9</f>
        <v>10</v>
      </c>
      <c r="N1467" s="15" t="n">
        <f aca="false">AJ1467*評分方法!$C$10</f>
        <v>1.392</v>
      </c>
      <c r="O1467" s="15" t="n">
        <f aca="false">AK1467*評分方法!$C$11</f>
        <v>4</v>
      </c>
      <c r="P1467" s="15" t="n">
        <f aca="false">AL1467*評分方法!$C$12</f>
        <v>0</v>
      </c>
      <c r="Q1467" s="6" t="n">
        <v>173674</v>
      </c>
      <c r="R1467" s="6" t="n">
        <v>32233522176</v>
      </c>
      <c r="S1467" s="11" t="s">
        <v>389</v>
      </c>
      <c r="T1467" s="11" t="s">
        <v>239</v>
      </c>
      <c r="U1467" s="5" t="s">
        <v>240</v>
      </c>
      <c r="V1467" s="11" t="s">
        <v>261</v>
      </c>
      <c r="W1467" s="5" t="s">
        <v>207</v>
      </c>
      <c r="X1467" s="5" t="s">
        <v>242</v>
      </c>
      <c r="Y1467" s="11" t="s">
        <v>3628</v>
      </c>
      <c r="Z1467" s="11" t="s">
        <v>244</v>
      </c>
      <c r="AA1467" s="11" t="s">
        <v>155</v>
      </c>
      <c r="AB1467" s="5" t="s">
        <v>496</v>
      </c>
      <c r="AC1467" s="5" t="s">
        <v>555</v>
      </c>
      <c r="AD1467" s="11" t="s">
        <v>3641</v>
      </c>
      <c r="AE1467" s="23" t="n">
        <v>0.85</v>
      </c>
      <c r="AF1467" s="23" t="n">
        <v>0</v>
      </c>
      <c r="AG1467" s="23" t="n">
        <v>0.67</v>
      </c>
      <c r="AH1467" s="23" t="n">
        <v>0.6</v>
      </c>
      <c r="AI1467" s="23" t="n">
        <v>1</v>
      </c>
      <c r="AJ1467" s="23" t="n">
        <v>0.1392</v>
      </c>
      <c r="AK1467" s="23" t="n">
        <v>0.8</v>
      </c>
      <c r="AL1467" s="23" t="n">
        <v>0</v>
      </c>
      <c r="AM1467" s="16" t="n">
        <f aca="false">COUNTIFS($D$2:$D$2501,D1467,$G$2:$G$2501,"&gt;"&amp;G1467)+COUNTIFS($D$2:D1467,D1467,$G$2:G1467,G1467)</f>
        <v>684</v>
      </c>
      <c r="AN1467" s="5" t="str">
        <f aca="false">D1467&amp;"|"&amp;AM1467</f>
        <v>分析與報告生成|684</v>
      </c>
    </row>
    <row r="1468" customFormat="false" ht="17.15" hidden="false" customHeight="false" outlineLevel="0" collapsed="false">
      <c r="A1468" s="16" t="n">
        <f aca="false">RANK(G1468,$G$2:$G$2501)+COUNTIF($G$2:G1468,G1468)-1</f>
        <v>1467</v>
      </c>
      <c r="B1468" s="11" t="s">
        <v>3642</v>
      </c>
      <c r="C1468" s="11" t="s">
        <v>753</v>
      </c>
      <c r="D1468" s="5" t="s">
        <v>56</v>
      </c>
      <c r="E1468" s="5" t="s">
        <v>57</v>
      </c>
      <c r="F1468" s="5"/>
      <c r="G1468" s="22" t="n">
        <f aca="false">ROUND(SUM(I1468:P1468),3)</f>
        <v>59.908</v>
      </c>
      <c r="H1468" s="5" t="str">
        <f aca="false">IF(G1468&gt;=評分方法!$C$16,"優先評估",IF(G1468&gt;=評分方法!$C$17,"列入候選",IF(G1468&gt;=評分方法!$C$18,"特定情境","不建議")))</f>
        <v>不建議</v>
      </c>
      <c r="I1468" s="15" t="n">
        <f aca="false">AE1468*評分方法!$C$5</f>
        <v>25.5</v>
      </c>
      <c r="J1468" s="15" t="n">
        <f aca="false">AF1468*評分方法!$C$6</f>
        <v>0</v>
      </c>
      <c r="K1468" s="15" t="n">
        <f aca="false">AG1468*評分方法!$C$7</f>
        <v>10.05</v>
      </c>
      <c r="L1468" s="15" t="n">
        <f aca="false">AH1468*評分方法!$C$8</f>
        <v>13.05</v>
      </c>
      <c r="M1468" s="15" t="n">
        <f aca="false">AI1468*評分方法!$C$9</f>
        <v>6</v>
      </c>
      <c r="N1468" s="15" t="n">
        <f aca="false">AJ1468*評分方法!$C$10</f>
        <v>2.808</v>
      </c>
      <c r="O1468" s="15" t="n">
        <f aca="false">AK1468*評分方法!$C$11</f>
        <v>2.5</v>
      </c>
      <c r="P1468" s="15" t="n">
        <f aca="false">AL1468*評分方法!$C$12</f>
        <v>0</v>
      </c>
      <c r="Q1468" s="6" t="n">
        <v>273686</v>
      </c>
      <c r="R1468" s="6" t="n">
        <v>4413663232</v>
      </c>
      <c r="S1468" s="11" t="s">
        <v>254</v>
      </c>
      <c r="T1468" s="11" t="s">
        <v>658</v>
      </c>
      <c r="U1468" s="5" t="s">
        <v>260</v>
      </c>
      <c r="V1468" s="11" t="s">
        <v>261</v>
      </c>
      <c r="W1468" s="5" t="s">
        <v>207</v>
      </c>
      <c r="X1468" s="5" t="s">
        <v>242</v>
      </c>
      <c r="Y1468" s="11" t="s">
        <v>868</v>
      </c>
      <c r="Z1468" s="11" t="s">
        <v>244</v>
      </c>
      <c r="AA1468" s="11" t="s">
        <v>156</v>
      </c>
      <c r="AB1468" s="5" t="s">
        <v>245</v>
      </c>
      <c r="AC1468" s="5" t="s">
        <v>464</v>
      </c>
      <c r="AD1468" s="11" t="s">
        <v>3643</v>
      </c>
      <c r="AE1468" s="23" t="n">
        <v>0.85</v>
      </c>
      <c r="AF1468" s="23" t="n">
        <v>0</v>
      </c>
      <c r="AG1468" s="23" t="n">
        <v>0.67</v>
      </c>
      <c r="AH1468" s="23" t="n">
        <v>0.87</v>
      </c>
      <c r="AI1468" s="23" t="n">
        <v>0.6</v>
      </c>
      <c r="AJ1468" s="23" t="n">
        <v>0.2808</v>
      </c>
      <c r="AK1468" s="23" t="n">
        <v>0.5</v>
      </c>
      <c r="AL1468" s="23" t="n">
        <v>0</v>
      </c>
      <c r="AM1468" s="16" t="n">
        <f aca="false">COUNTIFS($D$2:$D$2501,D1468,$G$2:$G$2501,"&gt;"&amp;G1468)+COUNTIFS($D$2:D1468,D1468,$G$2:G1468,G1468)</f>
        <v>685</v>
      </c>
      <c r="AN1468" s="5" t="str">
        <f aca="false">D1468&amp;"|"&amp;AM1468</f>
        <v>分析與報告生成|685</v>
      </c>
    </row>
    <row r="1469" customFormat="false" ht="17.15" hidden="false" customHeight="false" outlineLevel="0" collapsed="false">
      <c r="A1469" s="16" t="n">
        <f aca="false">RANK(G1469,$G$2:$G$2501)+COUNTIF($G$2:G1469,G1469)-1</f>
        <v>1468</v>
      </c>
      <c r="B1469" s="11" t="s">
        <v>3644</v>
      </c>
      <c r="C1469" s="11" t="s">
        <v>1950</v>
      </c>
      <c r="D1469" s="5" t="s">
        <v>56</v>
      </c>
      <c r="E1469" s="5" t="s">
        <v>57</v>
      </c>
      <c r="F1469" s="5"/>
      <c r="G1469" s="22" t="n">
        <f aca="false">ROUND(SUM(I1469:P1469),3)</f>
        <v>59.878</v>
      </c>
      <c r="H1469" s="5" t="str">
        <f aca="false">IF(G1469&gt;=評分方法!$C$16,"優先評估",IF(G1469&gt;=評分方法!$C$17,"列入候選",IF(G1469&gt;=評分方法!$C$18,"特定情境","不建議")))</f>
        <v>不建議</v>
      </c>
      <c r="I1469" s="15" t="n">
        <f aca="false">AE1469*評分方法!$C$5</f>
        <v>25.5</v>
      </c>
      <c r="J1469" s="15" t="n">
        <f aca="false">AF1469*評分方法!$C$6</f>
        <v>0</v>
      </c>
      <c r="K1469" s="15" t="n">
        <f aca="false">AG1469*評分方法!$C$7</f>
        <v>4.95</v>
      </c>
      <c r="L1469" s="15" t="n">
        <f aca="false">AH1469*評分方法!$C$8</f>
        <v>9</v>
      </c>
      <c r="M1469" s="15" t="n">
        <f aca="false">AI1469*評分方法!$C$9</f>
        <v>6</v>
      </c>
      <c r="N1469" s="15" t="n">
        <f aca="false">AJ1469*評分方法!$C$10</f>
        <v>6.428</v>
      </c>
      <c r="O1469" s="15" t="n">
        <f aca="false">AK1469*評分方法!$C$11</f>
        <v>5</v>
      </c>
      <c r="P1469" s="15" t="n">
        <f aca="false">AL1469*評分方法!$C$12</f>
        <v>3</v>
      </c>
      <c r="Q1469" s="6" t="n">
        <v>732748</v>
      </c>
      <c r="R1469" s="6" t="n">
        <v>25233142046</v>
      </c>
      <c r="S1469" s="11" t="s">
        <v>389</v>
      </c>
      <c r="T1469" s="11" t="s">
        <v>658</v>
      </c>
      <c r="U1469" s="5" t="s">
        <v>260</v>
      </c>
      <c r="V1469" s="11" t="s">
        <v>333</v>
      </c>
      <c r="W1469" s="5" t="s">
        <v>334</v>
      </c>
      <c r="X1469" s="5" t="s">
        <v>371</v>
      </c>
      <c r="Y1469" s="11" t="s">
        <v>575</v>
      </c>
      <c r="Z1469" s="11" t="s">
        <v>244</v>
      </c>
      <c r="AA1469" s="11" t="s">
        <v>156</v>
      </c>
      <c r="AB1469" s="5" t="s">
        <v>496</v>
      </c>
      <c r="AC1469" s="5" t="s">
        <v>1108</v>
      </c>
      <c r="AD1469" s="11" t="s">
        <v>3645</v>
      </c>
      <c r="AE1469" s="23" t="n">
        <v>0.85</v>
      </c>
      <c r="AF1469" s="23" t="n">
        <v>0</v>
      </c>
      <c r="AG1469" s="23" t="n">
        <v>0.33</v>
      </c>
      <c r="AH1469" s="23" t="n">
        <v>0.6</v>
      </c>
      <c r="AI1469" s="23" t="n">
        <v>0.6</v>
      </c>
      <c r="AJ1469" s="23" t="n">
        <v>0.6428</v>
      </c>
      <c r="AK1469" s="23" t="n">
        <v>1</v>
      </c>
      <c r="AL1469" s="23" t="n">
        <v>0.6</v>
      </c>
      <c r="AM1469" s="16" t="n">
        <f aca="false">COUNTIFS($D$2:$D$2501,D1469,$G$2:$G$2501,"&gt;"&amp;G1469)+COUNTIFS($D$2:D1469,D1469,$G$2:G1469,G1469)</f>
        <v>686</v>
      </c>
      <c r="AN1469" s="5" t="str">
        <f aca="false">D1469&amp;"|"&amp;AM1469</f>
        <v>分析與報告生成|686</v>
      </c>
    </row>
    <row r="1470" customFormat="false" ht="17.15" hidden="false" customHeight="false" outlineLevel="0" collapsed="false">
      <c r="A1470" s="16" t="n">
        <f aca="false">RANK(G1470,$G$2:$G$2501)+COUNTIF($G$2:G1470,G1470)-1</f>
        <v>1469</v>
      </c>
      <c r="B1470" s="11" t="s">
        <v>3646</v>
      </c>
      <c r="C1470" s="11" t="s">
        <v>3647</v>
      </c>
      <c r="D1470" s="5" t="s">
        <v>56</v>
      </c>
      <c r="E1470" s="5" t="s">
        <v>57</v>
      </c>
      <c r="F1470" s="5"/>
      <c r="G1470" s="22" t="n">
        <f aca="false">ROUND(SUM(I1470:P1470),3)</f>
        <v>59.848</v>
      </c>
      <c r="H1470" s="5" t="str">
        <f aca="false">IF(G1470&gt;=評分方法!$C$16,"優先評估",IF(G1470&gt;=評分方法!$C$17,"列入候選",IF(G1470&gt;=評分方法!$C$18,"特定情境","不建議")))</f>
        <v>不建議</v>
      </c>
      <c r="I1470" s="15" t="n">
        <f aca="false">AE1470*評分方法!$C$5</f>
        <v>25.5</v>
      </c>
      <c r="J1470" s="15" t="n">
        <f aca="false">AF1470*評分方法!$C$6</f>
        <v>0</v>
      </c>
      <c r="K1470" s="15" t="n">
        <f aca="false">AG1470*評分方法!$C$7</f>
        <v>4.95</v>
      </c>
      <c r="L1470" s="15" t="n">
        <f aca="false">AH1470*評分方法!$C$8</f>
        <v>13.05</v>
      </c>
      <c r="M1470" s="15" t="n">
        <f aca="false">AI1470*評分方法!$C$9</f>
        <v>10</v>
      </c>
      <c r="N1470" s="15" t="n">
        <f aca="false">AJ1470*評分方法!$C$10</f>
        <v>3.848</v>
      </c>
      <c r="O1470" s="15" t="n">
        <f aca="false">AK1470*評分方法!$C$11</f>
        <v>2.5</v>
      </c>
      <c r="P1470" s="15" t="n">
        <f aca="false">AL1470*評分方法!$C$12</f>
        <v>0</v>
      </c>
      <c r="Q1470" s="6" t="n">
        <v>397670</v>
      </c>
      <c r="R1470" s="6" t="n">
        <v>1364297728</v>
      </c>
      <c r="S1470" s="11" t="s">
        <v>254</v>
      </c>
      <c r="T1470" s="11" t="s">
        <v>278</v>
      </c>
      <c r="U1470" s="5" t="s">
        <v>240</v>
      </c>
      <c r="V1470" s="11" t="s">
        <v>261</v>
      </c>
      <c r="W1470" s="5" t="s">
        <v>334</v>
      </c>
      <c r="X1470" s="5" t="s">
        <v>242</v>
      </c>
      <c r="Y1470" s="5"/>
      <c r="Z1470" s="5"/>
      <c r="AA1470" s="11" t="s">
        <v>155</v>
      </c>
      <c r="AB1470" s="5" t="s">
        <v>245</v>
      </c>
      <c r="AC1470" s="5"/>
      <c r="AD1470" s="11" t="s">
        <v>3648</v>
      </c>
      <c r="AE1470" s="23" t="n">
        <v>0.85</v>
      </c>
      <c r="AF1470" s="23" t="n">
        <v>0</v>
      </c>
      <c r="AG1470" s="23" t="n">
        <v>0.33</v>
      </c>
      <c r="AH1470" s="23" t="n">
        <v>0.87</v>
      </c>
      <c r="AI1470" s="23" t="n">
        <v>1</v>
      </c>
      <c r="AJ1470" s="23" t="n">
        <v>0.3848</v>
      </c>
      <c r="AK1470" s="23" t="n">
        <v>0.5</v>
      </c>
      <c r="AL1470" s="23" t="n">
        <v>0</v>
      </c>
      <c r="AM1470" s="16" t="n">
        <f aca="false">COUNTIFS($D$2:$D$2501,D1470,$G$2:$G$2501,"&gt;"&amp;G1470)+COUNTIFS($D$2:D1470,D1470,$G$2:G1470,G1470)</f>
        <v>687</v>
      </c>
      <c r="AN1470" s="5" t="str">
        <f aca="false">D1470&amp;"|"&amp;AM1470</f>
        <v>分析與報告生成|687</v>
      </c>
    </row>
    <row r="1471" customFormat="false" ht="17.15" hidden="false" customHeight="false" outlineLevel="0" collapsed="false">
      <c r="A1471" s="16" t="n">
        <f aca="false">RANK(G1471,$G$2:$G$2501)+COUNTIF($G$2:G1471,G1471)-1</f>
        <v>1470</v>
      </c>
      <c r="B1471" s="11" t="s">
        <v>3649</v>
      </c>
      <c r="C1471" s="11" t="s">
        <v>753</v>
      </c>
      <c r="D1471" s="5" t="s">
        <v>56</v>
      </c>
      <c r="E1471" s="5" t="s">
        <v>57</v>
      </c>
      <c r="F1471" s="5"/>
      <c r="G1471" s="22" t="n">
        <f aca="false">ROUND(SUM(I1471:P1471),3)</f>
        <v>59.844</v>
      </c>
      <c r="H1471" s="5" t="str">
        <f aca="false">IF(G1471&gt;=評分方法!$C$16,"優先評估",IF(G1471&gt;=評分方法!$C$17,"列入候選",IF(G1471&gt;=評分方法!$C$18,"特定情境","不建議")))</f>
        <v>不建議</v>
      </c>
      <c r="I1471" s="15" t="n">
        <f aca="false">AE1471*評分方法!$C$5</f>
        <v>25.5</v>
      </c>
      <c r="J1471" s="15" t="n">
        <f aca="false">AF1471*評分方法!$C$6</f>
        <v>0</v>
      </c>
      <c r="K1471" s="15" t="n">
        <f aca="false">AG1471*評分方法!$C$7</f>
        <v>10.05</v>
      </c>
      <c r="L1471" s="15" t="n">
        <f aca="false">AH1471*評分方法!$C$8</f>
        <v>13.05</v>
      </c>
      <c r="M1471" s="15" t="n">
        <f aca="false">AI1471*評分方法!$C$9</f>
        <v>6</v>
      </c>
      <c r="N1471" s="15" t="n">
        <f aca="false">AJ1471*評分方法!$C$10</f>
        <v>2.744</v>
      </c>
      <c r="O1471" s="15" t="n">
        <f aca="false">AK1471*評分方法!$C$11</f>
        <v>2.5</v>
      </c>
      <c r="P1471" s="15" t="n">
        <f aca="false">AL1471*評分方法!$C$12</f>
        <v>0</v>
      </c>
      <c r="Q1471" s="6" t="n">
        <v>269479</v>
      </c>
      <c r="R1471" s="6" t="n">
        <v>8243411714</v>
      </c>
      <c r="S1471" s="11" t="s">
        <v>254</v>
      </c>
      <c r="T1471" s="11" t="s">
        <v>259</v>
      </c>
      <c r="U1471" s="5" t="s">
        <v>260</v>
      </c>
      <c r="V1471" s="11" t="s">
        <v>261</v>
      </c>
      <c r="W1471" s="5" t="s">
        <v>207</v>
      </c>
      <c r="X1471" s="5" t="s">
        <v>242</v>
      </c>
      <c r="Y1471" s="11" t="s">
        <v>1066</v>
      </c>
      <c r="Z1471" s="11" t="s">
        <v>244</v>
      </c>
      <c r="AA1471" s="11" t="s">
        <v>155</v>
      </c>
      <c r="AB1471" s="5" t="s">
        <v>245</v>
      </c>
      <c r="AC1471" s="5" t="s">
        <v>464</v>
      </c>
      <c r="AD1471" s="11" t="s">
        <v>3650</v>
      </c>
      <c r="AE1471" s="23" t="n">
        <v>0.85</v>
      </c>
      <c r="AF1471" s="23" t="n">
        <v>0</v>
      </c>
      <c r="AG1471" s="23" t="n">
        <v>0.67</v>
      </c>
      <c r="AH1471" s="23" t="n">
        <v>0.87</v>
      </c>
      <c r="AI1471" s="23" t="n">
        <v>0.6</v>
      </c>
      <c r="AJ1471" s="23" t="n">
        <v>0.2744</v>
      </c>
      <c r="AK1471" s="23" t="n">
        <v>0.5</v>
      </c>
      <c r="AL1471" s="23" t="n">
        <v>0</v>
      </c>
      <c r="AM1471" s="16" t="n">
        <f aca="false">COUNTIFS($D$2:$D$2501,D1471,$G$2:$G$2501,"&gt;"&amp;G1471)+COUNTIFS($D$2:D1471,D1471,$G$2:G1471,G1471)</f>
        <v>688</v>
      </c>
      <c r="AN1471" s="5" t="str">
        <f aca="false">D1471&amp;"|"&amp;AM1471</f>
        <v>分析與報告生成|688</v>
      </c>
    </row>
    <row r="1472" customFormat="false" ht="17.15" hidden="false" customHeight="false" outlineLevel="0" collapsed="false">
      <c r="A1472" s="16" t="n">
        <f aca="false">RANK(G1472,$G$2:$G$2501)+COUNTIF($G$2:G1472,G1472)-1</f>
        <v>1471</v>
      </c>
      <c r="B1472" s="11" t="s">
        <v>3651</v>
      </c>
      <c r="C1472" s="11" t="s">
        <v>3652</v>
      </c>
      <c r="D1472" s="5" t="s">
        <v>58</v>
      </c>
      <c r="E1472" s="5" t="s">
        <v>59</v>
      </c>
      <c r="F1472" s="5"/>
      <c r="G1472" s="22" t="n">
        <f aca="false">ROUND(SUM(I1472:P1472),3)</f>
        <v>59.83</v>
      </c>
      <c r="H1472" s="5" t="str">
        <f aca="false">IF(G1472&gt;=評分方法!$C$16,"優先評估",IF(G1472&gt;=評分方法!$C$17,"列入候選",IF(G1472&gt;=評分方法!$C$18,"特定情境","不建議")))</f>
        <v>不建議</v>
      </c>
      <c r="I1472" s="15" t="n">
        <f aca="false">AE1472*評分方法!$C$5</f>
        <v>28.5</v>
      </c>
      <c r="J1472" s="15" t="n">
        <f aca="false">AF1472*評分方法!$C$6</f>
        <v>0</v>
      </c>
      <c r="K1472" s="15" t="n">
        <f aca="false">AG1472*評分方法!$C$7</f>
        <v>4.95</v>
      </c>
      <c r="L1472" s="15" t="n">
        <f aca="false">AH1472*評分方法!$C$8</f>
        <v>15</v>
      </c>
      <c r="M1472" s="15" t="n">
        <f aca="false">AI1472*評分方法!$C$9</f>
        <v>10</v>
      </c>
      <c r="N1472" s="15" t="n">
        <f aca="false">AJ1472*評分方法!$C$10</f>
        <v>0.38</v>
      </c>
      <c r="O1472" s="15" t="n">
        <f aca="false">AK1472*評分方法!$C$11</f>
        <v>1</v>
      </c>
      <c r="P1472" s="15" t="n">
        <f aca="false">AL1472*評分方法!$C$12</f>
        <v>0</v>
      </c>
      <c r="Q1472" s="6" t="n">
        <v>127500</v>
      </c>
      <c r="R1472" s="6" t="n">
        <v>66369801</v>
      </c>
      <c r="S1472" s="11" t="s">
        <v>238</v>
      </c>
      <c r="T1472" s="11" t="s">
        <v>239</v>
      </c>
      <c r="U1472" s="5" t="s">
        <v>240</v>
      </c>
      <c r="V1472" s="11" t="s">
        <v>324</v>
      </c>
      <c r="W1472" s="5" t="s">
        <v>334</v>
      </c>
      <c r="X1472" s="5" t="s">
        <v>242</v>
      </c>
      <c r="Y1472" s="5"/>
      <c r="Z1472" s="5"/>
      <c r="AA1472" s="11" t="s">
        <v>150</v>
      </c>
      <c r="AB1472" s="5" t="s">
        <v>245</v>
      </c>
      <c r="AC1472" s="5"/>
      <c r="AD1472" s="11" t="s">
        <v>3653</v>
      </c>
      <c r="AE1472" s="23" t="n">
        <v>0.95</v>
      </c>
      <c r="AF1472" s="23" t="n">
        <v>0</v>
      </c>
      <c r="AG1472" s="23" t="n">
        <v>0.33</v>
      </c>
      <c r="AH1472" s="23" t="n">
        <v>1</v>
      </c>
      <c r="AI1472" s="23" t="n">
        <v>1</v>
      </c>
      <c r="AJ1472" s="23" t="n">
        <v>0.038</v>
      </c>
      <c r="AK1472" s="23" t="n">
        <v>0.2</v>
      </c>
      <c r="AL1472" s="23" t="n">
        <v>0</v>
      </c>
      <c r="AM1472" s="16" t="n">
        <f aca="false">COUNTIFS($D$2:$D$2501,D1472,$G$2:$G$2501,"&gt;"&amp;G1472)+COUNTIFS($D$2:D1472,D1472,$G$2:G1472,G1472)</f>
        <v>292</v>
      </c>
      <c r="AN1472" s="5" t="str">
        <f aca="false">D1472&amp;"|"&amp;AM1472</f>
        <v>實體擷取與去識別化|292</v>
      </c>
    </row>
    <row r="1473" customFormat="false" ht="17.15" hidden="false" customHeight="false" outlineLevel="0" collapsed="false">
      <c r="A1473" s="16" t="n">
        <f aca="false">RANK(G1473,$G$2:$G$2501)+COUNTIF($G$2:G1473,G1473)-1</f>
        <v>1472</v>
      </c>
      <c r="B1473" s="11" t="s">
        <v>3654</v>
      </c>
      <c r="C1473" s="11" t="s">
        <v>2557</v>
      </c>
      <c r="D1473" s="5" t="s">
        <v>76</v>
      </c>
      <c r="E1473" s="5" t="s">
        <v>77</v>
      </c>
      <c r="F1473" s="5"/>
      <c r="G1473" s="22" t="n">
        <f aca="false">ROUND(SUM(I1473:P1473),3)</f>
        <v>59.816</v>
      </c>
      <c r="H1473" s="5" t="str">
        <f aca="false">IF(G1473&gt;=評分方法!$C$16,"優先評估",IF(G1473&gt;=評分方法!$C$17,"列入候選",IF(G1473&gt;=評分方法!$C$18,"特定情境","不建議")))</f>
        <v>不建議</v>
      </c>
      <c r="I1473" s="15" t="n">
        <f aca="false">AE1473*評分方法!$C$5</f>
        <v>12</v>
      </c>
      <c r="J1473" s="15" t="n">
        <f aca="false">AF1473*評分方法!$C$6</f>
        <v>0</v>
      </c>
      <c r="K1473" s="15" t="n">
        <f aca="false">AG1473*評分方法!$C$7</f>
        <v>15</v>
      </c>
      <c r="L1473" s="15" t="n">
        <f aca="false">AH1473*評分方法!$C$8</f>
        <v>15</v>
      </c>
      <c r="M1473" s="15" t="n">
        <f aca="false">AI1473*評分方法!$C$9</f>
        <v>10</v>
      </c>
      <c r="N1473" s="15" t="n">
        <f aca="false">AJ1473*評分方法!$C$10</f>
        <v>6.816</v>
      </c>
      <c r="O1473" s="15" t="n">
        <f aca="false">AK1473*評分方法!$C$11</f>
        <v>1</v>
      </c>
      <c r="P1473" s="15" t="n">
        <f aca="false">AL1473*評分方法!$C$12</f>
        <v>0</v>
      </c>
      <c r="Q1473" s="6" t="n">
        <v>843440</v>
      </c>
      <c r="R1473" s="6" t="n">
        <v>234843876</v>
      </c>
      <c r="S1473" s="11" t="s">
        <v>238</v>
      </c>
      <c r="T1473" s="11" t="s">
        <v>1636</v>
      </c>
      <c r="U1473" s="5" t="s">
        <v>240</v>
      </c>
      <c r="V1473" s="11" t="s">
        <v>855</v>
      </c>
      <c r="W1473" s="5" t="s">
        <v>205</v>
      </c>
      <c r="X1473" s="5" t="s">
        <v>242</v>
      </c>
      <c r="Y1473" s="5"/>
      <c r="Z1473" s="5"/>
      <c r="AA1473" s="11" t="s">
        <v>168</v>
      </c>
      <c r="AB1473" s="5" t="s">
        <v>245</v>
      </c>
      <c r="AC1473" s="5"/>
      <c r="AD1473" s="11" t="s">
        <v>3655</v>
      </c>
      <c r="AE1473" s="23" t="n">
        <v>0.4</v>
      </c>
      <c r="AF1473" s="23" t="n">
        <v>0</v>
      </c>
      <c r="AG1473" s="23" t="n">
        <v>1</v>
      </c>
      <c r="AH1473" s="23" t="n">
        <v>1</v>
      </c>
      <c r="AI1473" s="23" t="n">
        <v>1</v>
      </c>
      <c r="AJ1473" s="23" t="n">
        <v>0.6816</v>
      </c>
      <c r="AK1473" s="23" t="n">
        <v>0.2</v>
      </c>
      <c r="AL1473" s="23" t="n">
        <v>0</v>
      </c>
      <c r="AM1473" s="16" t="n">
        <f aca="false">COUNTIFS($D$2:$D$2501,D1473,$G$2:$G$2501,"&gt;"&amp;G1473)+COUNTIFS($D$2:D1473,D1473,$G$2:G1473,G1473)</f>
        <v>7</v>
      </c>
      <c r="AN1473" s="5" t="str">
        <f aca="false">D1473&amp;"|"&amp;AM1473</f>
        <v>情資翻譯|7</v>
      </c>
    </row>
    <row r="1474" customFormat="false" ht="17.15" hidden="false" customHeight="false" outlineLevel="0" collapsed="false">
      <c r="A1474" s="16" t="n">
        <f aca="false">RANK(G1474,$G$2:$G$2501)+COUNTIF($G$2:G1474,G1474)-1</f>
        <v>1473</v>
      </c>
      <c r="B1474" s="11" t="s">
        <v>3656</v>
      </c>
      <c r="C1474" s="11" t="s">
        <v>2261</v>
      </c>
      <c r="D1474" s="5" t="s">
        <v>54</v>
      </c>
      <c r="E1474" s="5" t="s">
        <v>55</v>
      </c>
      <c r="F1474" s="5"/>
      <c r="G1474" s="22" t="n">
        <f aca="false">ROUND(SUM(I1474:P1474),3)</f>
        <v>59.762</v>
      </c>
      <c r="H1474" s="5" t="str">
        <f aca="false">IF(G1474&gt;=評分方法!$C$16,"優先評估",IF(G1474&gt;=評分方法!$C$17,"列入候選",IF(G1474&gt;=評分方法!$C$18,"特定情境","不建議")))</f>
        <v>不建議</v>
      </c>
      <c r="I1474" s="15" t="n">
        <f aca="false">AE1474*評分方法!$C$5</f>
        <v>27</v>
      </c>
      <c r="J1474" s="15" t="n">
        <f aca="false">AF1474*評分方法!$C$6</f>
        <v>0</v>
      </c>
      <c r="K1474" s="15" t="n">
        <f aca="false">AG1474*評分方法!$C$7</f>
        <v>10.05</v>
      </c>
      <c r="L1474" s="15" t="n">
        <f aca="false">AH1474*評分方法!$C$8</f>
        <v>15</v>
      </c>
      <c r="M1474" s="15" t="n">
        <f aca="false">AI1474*評分方法!$C$9</f>
        <v>2</v>
      </c>
      <c r="N1474" s="15" t="n">
        <f aca="false">AJ1474*評分方法!$C$10</f>
        <v>3.212</v>
      </c>
      <c r="O1474" s="15" t="n">
        <f aca="false">AK1474*評分方法!$C$11</f>
        <v>1</v>
      </c>
      <c r="P1474" s="15" t="n">
        <f aca="false">AL1474*評分方法!$C$12</f>
        <v>1.5</v>
      </c>
      <c r="Q1474" s="6" t="n">
        <v>316973</v>
      </c>
      <c r="R1474" s="6" t="n">
        <v>0</v>
      </c>
      <c r="S1474" s="11" t="s">
        <v>238</v>
      </c>
      <c r="T1474" s="5"/>
      <c r="U1474" s="5" t="s">
        <v>375</v>
      </c>
      <c r="V1474" s="11" t="s">
        <v>261</v>
      </c>
      <c r="W1474" s="5" t="s">
        <v>207</v>
      </c>
      <c r="X1474" s="5" t="s">
        <v>255</v>
      </c>
      <c r="Y1474" s="5"/>
      <c r="Z1474" s="5"/>
      <c r="AA1474" s="11" t="s">
        <v>153</v>
      </c>
      <c r="AB1474" s="5" t="s">
        <v>245</v>
      </c>
      <c r="AC1474" s="5" t="s">
        <v>262</v>
      </c>
      <c r="AD1474" s="11" t="s">
        <v>3657</v>
      </c>
      <c r="AE1474" s="23" t="n">
        <v>0.9</v>
      </c>
      <c r="AF1474" s="23" t="n">
        <v>0</v>
      </c>
      <c r="AG1474" s="23" t="n">
        <v>0.67</v>
      </c>
      <c r="AH1474" s="23" t="n">
        <v>1</v>
      </c>
      <c r="AI1474" s="23" t="n">
        <v>0.2</v>
      </c>
      <c r="AJ1474" s="23" t="n">
        <v>0.3212</v>
      </c>
      <c r="AK1474" s="23" t="n">
        <v>0.2</v>
      </c>
      <c r="AL1474" s="23" t="n">
        <v>0.3</v>
      </c>
      <c r="AM1474" s="16" t="n">
        <f aca="false">COUNTIFS($D$2:$D$2501,D1474,$G$2:$G$2501,"&gt;"&amp;G1474)+COUNTIFS($D$2:D1474,D1474,$G$2:G1474,G1474)</f>
        <v>193</v>
      </c>
      <c r="AN1474" s="5" t="str">
        <f aca="false">D1474&amp;"|"&amp;AM1474</f>
        <v>檢索與情資關聯|193</v>
      </c>
    </row>
    <row r="1475" customFormat="false" ht="17.15" hidden="false" customHeight="false" outlineLevel="0" collapsed="false">
      <c r="A1475" s="16" t="n">
        <f aca="false">RANK(G1475,$G$2:$G$2501)+COUNTIF($G$2:G1475,G1475)-1</f>
        <v>1474</v>
      </c>
      <c r="B1475" s="11" t="s">
        <v>3658</v>
      </c>
      <c r="C1475" s="11" t="s">
        <v>3296</v>
      </c>
      <c r="D1475" s="5" t="s">
        <v>56</v>
      </c>
      <c r="E1475" s="5" t="s">
        <v>57</v>
      </c>
      <c r="F1475" s="5"/>
      <c r="G1475" s="22" t="n">
        <f aca="false">ROUND(SUM(I1475:P1475),3)</f>
        <v>59.76</v>
      </c>
      <c r="H1475" s="5" t="str">
        <f aca="false">IF(G1475&gt;=評分方法!$C$16,"優先評估",IF(G1475&gt;=評分方法!$C$17,"列入候選",IF(G1475&gt;=評分方法!$C$18,"特定情境","不建議")))</f>
        <v>不建議</v>
      </c>
      <c r="I1475" s="15" t="n">
        <f aca="false">AE1475*評分方法!$C$5</f>
        <v>25.5</v>
      </c>
      <c r="J1475" s="15" t="n">
        <f aca="false">AF1475*評分方法!$C$6</f>
        <v>0</v>
      </c>
      <c r="K1475" s="15" t="n">
        <f aca="false">AG1475*評分方法!$C$7</f>
        <v>4.95</v>
      </c>
      <c r="L1475" s="15" t="n">
        <f aca="false">AH1475*評分方法!$C$8</f>
        <v>13.05</v>
      </c>
      <c r="M1475" s="15" t="n">
        <f aca="false">AI1475*評分方法!$C$9</f>
        <v>10</v>
      </c>
      <c r="N1475" s="15" t="n">
        <f aca="false">AJ1475*評分方法!$C$10</f>
        <v>3.76</v>
      </c>
      <c r="O1475" s="15" t="n">
        <f aca="false">AK1475*評分方法!$C$11</f>
        <v>2.5</v>
      </c>
      <c r="P1475" s="15" t="n">
        <f aca="false">AL1475*評分方法!$C$12</f>
        <v>0</v>
      </c>
      <c r="Q1475" s="6" t="n">
        <v>385558</v>
      </c>
      <c r="R1475" s="6" t="n">
        <v>1195468800</v>
      </c>
      <c r="S1475" s="11" t="s">
        <v>254</v>
      </c>
      <c r="T1475" s="11" t="s">
        <v>239</v>
      </c>
      <c r="U1475" s="5" t="s">
        <v>240</v>
      </c>
      <c r="V1475" s="11" t="s">
        <v>261</v>
      </c>
      <c r="W1475" s="5" t="s">
        <v>334</v>
      </c>
      <c r="X1475" s="5" t="s">
        <v>242</v>
      </c>
      <c r="Y1475" s="5"/>
      <c r="Z1475" s="5"/>
      <c r="AA1475" s="11" t="s">
        <v>155</v>
      </c>
      <c r="AB1475" s="5" t="s">
        <v>328</v>
      </c>
      <c r="AC1475" s="5" t="s">
        <v>400</v>
      </c>
      <c r="AD1475" s="11" t="s">
        <v>3659</v>
      </c>
      <c r="AE1475" s="23" t="n">
        <v>0.85</v>
      </c>
      <c r="AF1475" s="23" t="n">
        <v>0</v>
      </c>
      <c r="AG1475" s="23" t="n">
        <v>0.33</v>
      </c>
      <c r="AH1475" s="23" t="n">
        <v>0.87</v>
      </c>
      <c r="AI1475" s="23" t="n">
        <v>1</v>
      </c>
      <c r="AJ1475" s="23" t="n">
        <v>0.376</v>
      </c>
      <c r="AK1475" s="23" t="n">
        <v>0.5</v>
      </c>
      <c r="AL1475" s="23" t="n">
        <v>0</v>
      </c>
      <c r="AM1475" s="16" t="n">
        <f aca="false">COUNTIFS($D$2:$D$2501,D1475,$G$2:$G$2501,"&gt;"&amp;G1475)+COUNTIFS($D$2:D1475,D1475,$G$2:G1475,G1475)</f>
        <v>689</v>
      </c>
      <c r="AN1475" s="5" t="str">
        <f aca="false">D1475&amp;"|"&amp;AM1475</f>
        <v>分析與報告生成|689</v>
      </c>
    </row>
    <row r="1476" customFormat="false" ht="17.15" hidden="false" customHeight="false" outlineLevel="0" collapsed="false">
      <c r="A1476" s="16" t="n">
        <f aca="false">RANK(G1476,$G$2:$G$2501)+COUNTIF($G$2:G1476,G1476)-1</f>
        <v>1475</v>
      </c>
      <c r="B1476" s="11" t="s">
        <v>3660</v>
      </c>
      <c r="C1476" s="11" t="s">
        <v>753</v>
      </c>
      <c r="D1476" s="5" t="s">
        <v>56</v>
      </c>
      <c r="E1476" s="5" t="s">
        <v>57</v>
      </c>
      <c r="F1476" s="5"/>
      <c r="G1476" s="22" t="n">
        <f aca="false">ROUND(SUM(I1476:P1476),3)</f>
        <v>59.732</v>
      </c>
      <c r="H1476" s="5" t="str">
        <f aca="false">IF(G1476&gt;=評分方法!$C$16,"優先評估",IF(G1476&gt;=評分方法!$C$17,"列入候選",IF(G1476&gt;=評分方法!$C$18,"特定情境","不建議")))</f>
        <v>不建議</v>
      </c>
      <c r="I1476" s="15" t="n">
        <f aca="false">AE1476*評分方法!$C$5</f>
        <v>25.5</v>
      </c>
      <c r="J1476" s="15" t="n">
        <f aca="false">AF1476*評分方法!$C$6</f>
        <v>0</v>
      </c>
      <c r="K1476" s="15" t="n">
        <f aca="false">AG1476*評分方法!$C$7</f>
        <v>10.05</v>
      </c>
      <c r="L1476" s="15" t="n">
        <f aca="false">AH1476*評分方法!$C$8</f>
        <v>13.05</v>
      </c>
      <c r="M1476" s="15" t="n">
        <f aca="false">AI1476*評分方法!$C$9</f>
        <v>10</v>
      </c>
      <c r="N1476" s="15" t="n">
        <f aca="false">AJ1476*評分方法!$C$10</f>
        <v>0.132</v>
      </c>
      <c r="O1476" s="15" t="n">
        <f aca="false">AK1476*評分方法!$C$11</f>
        <v>1</v>
      </c>
      <c r="P1476" s="15" t="n">
        <f aca="false">AL1476*評分方法!$C$12</f>
        <v>0</v>
      </c>
      <c r="Q1476" s="6" t="n">
        <v>119956</v>
      </c>
      <c r="R1476" s="6" t="n">
        <v>6738415616</v>
      </c>
      <c r="S1476" s="11" t="s">
        <v>254</v>
      </c>
      <c r="T1476" s="11" t="s">
        <v>239</v>
      </c>
      <c r="U1476" s="5" t="s">
        <v>240</v>
      </c>
      <c r="V1476" s="11" t="s">
        <v>261</v>
      </c>
      <c r="W1476" s="5" t="s">
        <v>207</v>
      </c>
      <c r="X1476" s="5" t="s">
        <v>242</v>
      </c>
      <c r="Y1476" s="5"/>
      <c r="Z1476" s="5"/>
      <c r="AA1476" s="11" t="s">
        <v>155</v>
      </c>
      <c r="AB1476" s="5" t="s">
        <v>245</v>
      </c>
      <c r="AC1476" s="5"/>
      <c r="AD1476" s="11" t="s">
        <v>3661</v>
      </c>
      <c r="AE1476" s="23" t="n">
        <v>0.85</v>
      </c>
      <c r="AF1476" s="23" t="n">
        <v>0</v>
      </c>
      <c r="AG1476" s="23" t="n">
        <v>0.67</v>
      </c>
      <c r="AH1476" s="23" t="n">
        <v>0.87</v>
      </c>
      <c r="AI1476" s="23" t="n">
        <v>1</v>
      </c>
      <c r="AJ1476" s="23" t="n">
        <v>0.0132</v>
      </c>
      <c r="AK1476" s="23" t="n">
        <v>0.2</v>
      </c>
      <c r="AL1476" s="23" t="n">
        <v>0</v>
      </c>
      <c r="AM1476" s="16" t="n">
        <f aca="false">COUNTIFS($D$2:$D$2501,D1476,$G$2:$G$2501,"&gt;"&amp;G1476)+COUNTIFS($D$2:D1476,D1476,$G$2:G1476,G1476)</f>
        <v>690</v>
      </c>
      <c r="AN1476" s="5" t="str">
        <f aca="false">D1476&amp;"|"&amp;AM1476</f>
        <v>分析與報告生成|690</v>
      </c>
    </row>
    <row r="1477" customFormat="false" ht="17.15" hidden="false" customHeight="false" outlineLevel="0" collapsed="false">
      <c r="A1477" s="16" t="n">
        <f aca="false">RANK(G1477,$G$2:$G$2501)+COUNTIF($G$2:G1477,G1477)-1</f>
        <v>1476</v>
      </c>
      <c r="B1477" s="11" t="s">
        <v>3662</v>
      </c>
      <c r="C1477" s="11" t="s">
        <v>681</v>
      </c>
      <c r="D1477" s="5" t="s">
        <v>74</v>
      </c>
      <c r="E1477" s="5" t="s">
        <v>75</v>
      </c>
      <c r="F1477" s="5"/>
      <c r="G1477" s="22" t="n">
        <f aca="false">ROUND(SUM(I1477:P1477),3)</f>
        <v>59.712</v>
      </c>
      <c r="H1477" s="5" t="str">
        <f aca="false">IF(G1477&gt;=評分方法!$C$16,"優先評估",IF(G1477&gt;=評分方法!$C$17,"列入候選",IF(G1477&gt;=評分方法!$C$18,"特定情境","不建議")))</f>
        <v>不建議</v>
      </c>
      <c r="I1477" s="15" t="n">
        <f aca="false">AE1477*評分方法!$C$5</f>
        <v>10.5</v>
      </c>
      <c r="J1477" s="15" t="n">
        <f aca="false">AF1477*評分方法!$C$6</f>
        <v>0</v>
      </c>
      <c r="K1477" s="15" t="n">
        <f aca="false">AG1477*評分方法!$C$7</f>
        <v>15</v>
      </c>
      <c r="L1477" s="15" t="n">
        <f aca="false">AH1477*評分方法!$C$8</f>
        <v>15</v>
      </c>
      <c r="M1477" s="15" t="n">
        <f aca="false">AI1477*評分方法!$C$9</f>
        <v>10</v>
      </c>
      <c r="N1477" s="15" t="n">
        <f aca="false">AJ1477*評分方法!$C$10</f>
        <v>5.212</v>
      </c>
      <c r="O1477" s="15" t="n">
        <f aca="false">AK1477*評分方法!$C$11</f>
        <v>2.5</v>
      </c>
      <c r="P1477" s="15" t="n">
        <f aca="false">AL1477*評分方法!$C$12</f>
        <v>1.5</v>
      </c>
      <c r="Q1477" s="6" t="n">
        <v>550872</v>
      </c>
      <c r="R1477" s="6" t="n">
        <v>28635496</v>
      </c>
      <c r="S1477" s="11" t="s">
        <v>238</v>
      </c>
      <c r="T1477" s="11" t="s">
        <v>239</v>
      </c>
      <c r="U1477" s="5" t="s">
        <v>240</v>
      </c>
      <c r="V1477" s="11" t="s">
        <v>855</v>
      </c>
      <c r="W1477" s="5" t="s">
        <v>205</v>
      </c>
      <c r="X1477" s="5" t="s">
        <v>255</v>
      </c>
      <c r="Y1477" s="5"/>
      <c r="Z1477" s="5"/>
      <c r="AA1477" s="11" t="s">
        <v>172</v>
      </c>
      <c r="AB1477" s="5" t="s">
        <v>245</v>
      </c>
      <c r="AC1477" s="5"/>
      <c r="AD1477" s="11" t="s">
        <v>3663</v>
      </c>
      <c r="AE1477" s="23" t="n">
        <v>0.35</v>
      </c>
      <c r="AF1477" s="23" t="n">
        <v>0</v>
      </c>
      <c r="AG1477" s="23" t="n">
        <v>1</v>
      </c>
      <c r="AH1477" s="23" t="n">
        <v>1</v>
      </c>
      <c r="AI1477" s="23" t="n">
        <v>1</v>
      </c>
      <c r="AJ1477" s="23" t="n">
        <v>0.5212</v>
      </c>
      <c r="AK1477" s="23" t="n">
        <v>0.5</v>
      </c>
      <c r="AL1477" s="23" t="n">
        <v>0.3</v>
      </c>
      <c r="AM1477" s="16" t="n">
        <f aca="false">COUNTIFS($D$2:$D$2501,D1477,$G$2:$G$2501,"&gt;"&amp;G1477)+COUNTIFS($D$2:D1477,D1477,$G$2:G1477,G1477)</f>
        <v>101</v>
      </c>
      <c r="AN1477" s="5" t="str">
        <f aca="false">D1477&amp;"|"&amp;AM1477</f>
        <v>文件與影像辨識|101</v>
      </c>
    </row>
    <row r="1478" customFormat="false" ht="17.15" hidden="false" customHeight="false" outlineLevel="0" collapsed="false">
      <c r="A1478" s="16" t="n">
        <f aca="false">RANK(G1478,$G$2:$G$2501)+COUNTIF($G$2:G1478,G1478)-1</f>
        <v>1477</v>
      </c>
      <c r="B1478" s="11" t="s">
        <v>3664</v>
      </c>
      <c r="C1478" s="11" t="s">
        <v>3296</v>
      </c>
      <c r="D1478" s="5" t="s">
        <v>56</v>
      </c>
      <c r="E1478" s="5" t="s">
        <v>57</v>
      </c>
      <c r="F1478" s="5"/>
      <c r="G1478" s="22" t="n">
        <f aca="false">ROUND(SUM(I1478:P1478),3)</f>
        <v>59.692</v>
      </c>
      <c r="H1478" s="5" t="str">
        <f aca="false">IF(G1478&gt;=評分方法!$C$16,"優先評估",IF(G1478&gt;=評分方法!$C$17,"列入候選",IF(G1478&gt;=評分方法!$C$18,"特定情境","不建議")))</f>
        <v>不建議</v>
      </c>
      <c r="I1478" s="15" t="n">
        <f aca="false">AE1478*評分方法!$C$5</f>
        <v>25.5</v>
      </c>
      <c r="J1478" s="15" t="n">
        <f aca="false">AF1478*評分方法!$C$6</f>
        <v>0</v>
      </c>
      <c r="K1478" s="15" t="n">
        <f aca="false">AG1478*評分方法!$C$7</f>
        <v>4.95</v>
      </c>
      <c r="L1478" s="15" t="n">
        <f aca="false">AH1478*評分方法!$C$8</f>
        <v>13.05</v>
      </c>
      <c r="M1478" s="15" t="n">
        <f aca="false">AI1478*評分方法!$C$9</f>
        <v>10</v>
      </c>
      <c r="N1478" s="15" t="n">
        <f aca="false">AJ1478*評分方法!$C$10</f>
        <v>3.692</v>
      </c>
      <c r="O1478" s="15" t="n">
        <f aca="false">AK1478*評分方法!$C$11</f>
        <v>2.5</v>
      </c>
      <c r="P1478" s="15" t="n">
        <f aca="false">AL1478*評分方法!$C$12</f>
        <v>0</v>
      </c>
      <c r="Q1478" s="6" t="n">
        <v>374596</v>
      </c>
      <c r="R1478" s="6" t="n">
        <v>3211926528</v>
      </c>
      <c r="S1478" s="11" t="s">
        <v>254</v>
      </c>
      <c r="T1478" s="11" t="s">
        <v>239</v>
      </c>
      <c r="U1478" s="5" t="s">
        <v>240</v>
      </c>
      <c r="V1478" s="11" t="s">
        <v>261</v>
      </c>
      <c r="W1478" s="5" t="s">
        <v>334</v>
      </c>
      <c r="X1478" s="5" t="s">
        <v>242</v>
      </c>
      <c r="Y1478" s="5"/>
      <c r="Z1478" s="5"/>
      <c r="AA1478" s="11" t="s">
        <v>155</v>
      </c>
      <c r="AB1478" s="5" t="s">
        <v>328</v>
      </c>
      <c r="AC1478" s="5" t="s">
        <v>400</v>
      </c>
      <c r="AD1478" s="11" t="s">
        <v>3665</v>
      </c>
      <c r="AE1478" s="23" t="n">
        <v>0.85</v>
      </c>
      <c r="AF1478" s="23" t="n">
        <v>0</v>
      </c>
      <c r="AG1478" s="23" t="n">
        <v>0.33</v>
      </c>
      <c r="AH1478" s="23" t="n">
        <v>0.87</v>
      </c>
      <c r="AI1478" s="23" t="n">
        <v>1</v>
      </c>
      <c r="AJ1478" s="23" t="n">
        <v>0.3692</v>
      </c>
      <c r="AK1478" s="23" t="n">
        <v>0.5</v>
      </c>
      <c r="AL1478" s="23" t="n">
        <v>0</v>
      </c>
      <c r="AM1478" s="16" t="n">
        <f aca="false">COUNTIFS($D$2:$D$2501,D1478,$G$2:$G$2501,"&gt;"&amp;G1478)+COUNTIFS($D$2:D1478,D1478,$G$2:G1478,G1478)</f>
        <v>691</v>
      </c>
      <c r="AN1478" s="5" t="str">
        <f aca="false">D1478&amp;"|"&amp;AM1478</f>
        <v>分析與報告生成|691</v>
      </c>
    </row>
    <row r="1479" customFormat="false" ht="17.15" hidden="false" customHeight="false" outlineLevel="0" collapsed="false">
      <c r="A1479" s="16" t="n">
        <f aca="false">RANK(G1479,$G$2:$G$2501)+COUNTIF($G$2:G1479,G1479)-1</f>
        <v>1478</v>
      </c>
      <c r="B1479" s="11" t="s">
        <v>3666</v>
      </c>
      <c r="C1479" s="11" t="s">
        <v>3211</v>
      </c>
      <c r="D1479" s="5" t="s">
        <v>68</v>
      </c>
      <c r="E1479" s="11" t="s">
        <v>69</v>
      </c>
      <c r="F1479" s="5"/>
      <c r="G1479" s="22" t="n">
        <f aca="false">ROUND(SUM(I1479:P1479),3)</f>
        <v>59.662</v>
      </c>
      <c r="H1479" s="5" t="str">
        <f aca="false">IF(G1479&gt;=評分方法!$C$16,"優先評估",IF(G1479&gt;=評分方法!$C$17,"列入候選",IF(G1479&gt;=評分方法!$C$18,"特定情境","不建議")))</f>
        <v>不建議</v>
      </c>
      <c r="I1479" s="15" t="n">
        <f aca="false">AE1479*評分方法!$C$5</f>
        <v>21</v>
      </c>
      <c r="J1479" s="15" t="n">
        <f aca="false">AF1479*評分方法!$C$6</f>
        <v>0</v>
      </c>
      <c r="K1479" s="15" t="n">
        <f aca="false">AG1479*評分方法!$C$7</f>
        <v>4.95</v>
      </c>
      <c r="L1479" s="15" t="n">
        <f aca="false">AH1479*評分方法!$C$8</f>
        <v>15</v>
      </c>
      <c r="M1479" s="15" t="n">
        <f aca="false">AI1479*評分方法!$C$9</f>
        <v>10</v>
      </c>
      <c r="N1479" s="15" t="n">
        <f aca="false">AJ1479*評分方法!$C$10</f>
        <v>2.212</v>
      </c>
      <c r="O1479" s="15" t="n">
        <f aca="false">AK1479*評分方法!$C$11</f>
        <v>5</v>
      </c>
      <c r="P1479" s="15" t="n">
        <f aca="false">AL1479*評分方法!$C$12</f>
        <v>1.5</v>
      </c>
      <c r="Q1479" s="6" t="n">
        <v>226132</v>
      </c>
      <c r="R1479" s="6" t="n">
        <v>312684608</v>
      </c>
      <c r="S1479" s="11" t="s">
        <v>238</v>
      </c>
      <c r="T1479" s="11" t="s">
        <v>239</v>
      </c>
      <c r="U1479" s="5" t="s">
        <v>240</v>
      </c>
      <c r="V1479" s="11" t="s">
        <v>261</v>
      </c>
      <c r="W1479" s="5" t="s">
        <v>334</v>
      </c>
      <c r="X1479" s="5" t="s">
        <v>255</v>
      </c>
      <c r="Y1479" s="5"/>
      <c r="Z1479" s="5"/>
      <c r="AA1479" s="11" t="s">
        <v>158</v>
      </c>
      <c r="AB1479" s="5" t="s">
        <v>245</v>
      </c>
      <c r="AC1479" s="5"/>
      <c r="AD1479" s="11" t="s">
        <v>3667</v>
      </c>
      <c r="AE1479" s="23" t="n">
        <v>0.7</v>
      </c>
      <c r="AF1479" s="23" t="n">
        <v>0</v>
      </c>
      <c r="AG1479" s="23" t="n">
        <v>0.33</v>
      </c>
      <c r="AH1479" s="23" t="n">
        <v>1</v>
      </c>
      <c r="AI1479" s="23" t="n">
        <v>1</v>
      </c>
      <c r="AJ1479" s="23" t="n">
        <v>0.2212</v>
      </c>
      <c r="AK1479" s="23" t="n">
        <v>1</v>
      </c>
      <c r="AL1479" s="23" t="n">
        <v>0.3</v>
      </c>
      <c r="AM1479" s="16" t="n">
        <f aca="false">COUNTIFS($D$2:$D$2501,D1479,$G$2:$G$2501,"&gt;"&amp;G1479)+COUNTIFS($D$2:D1479,D1479,$G$2:G1479,G1479)</f>
        <v>45</v>
      </c>
      <c r="AN1479" s="5" t="str">
        <f aca="false">D1479&amp;"|"&amp;AM1479</f>
        <v>時序異常偵測|45</v>
      </c>
    </row>
    <row r="1480" customFormat="false" ht="17.15" hidden="false" customHeight="false" outlineLevel="0" collapsed="false">
      <c r="A1480" s="16" t="n">
        <f aca="false">RANK(G1480,$G$2:$G$2501)+COUNTIF($G$2:G1480,G1480)-1</f>
        <v>1479</v>
      </c>
      <c r="B1480" s="11" t="s">
        <v>3668</v>
      </c>
      <c r="C1480" s="11" t="s">
        <v>2261</v>
      </c>
      <c r="D1480" s="5" t="s">
        <v>54</v>
      </c>
      <c r="E1480" s="5" t="s">
        <v>55</v>
      </c>
      <c r="F1480" s="5"/>
      <c r="G1480" s="22" t="n">
        <f aca="false">ROUND(SUM(I1480:P1480),3)</f>
        <v>59.662</v>
      </c>
      <c r="H1480" s="5" t="str">
        <f aca="false">IF(G1480&gt;=評分方法!$C$16,"優先評估",IF(G1480&gt;=評分方法!$C$17,"列入候選",IF(G1480&gt;=評分方法!$C$18,"特定情境","不建議")))</f>
        <v>不建議</v>
      </c>
      <c r="I1480" s="15" t="n">
        <f aca="false">AE1480*評分方法!$C$5</f>
        <v>27</v>
      </c>
      <c r="J1480" s="15" t="n">
        <f aca="false">AF1480*評分方法!$C$6</f>
        <v>0</v>
      </c>
      <c r="K1480" s="15" t="n">
        <f aca="false">AG1480*評分方法!$C$7</f>
        <v>10.05</v>
      </c>
      <c r="L1480" s="15" t="n">
        <f aca="false">AH1480*評分方法!$C$8</f>
        <v>15</v>
      </c>
      <c r="M1480" s="15" t="n">
        <f aca="false">AI1480*評分方法!$C$9</f>
        <v>2</v>
      </c>
      <c r="N1480" s="15" t="n">
        <f aca="false">AJ1480*評分方法!$C$10</f>
        <v>3.112</v>
      </c>
      <c r="O1480" s="15" t="n">
        <f aca="false">AK1480*評分方法!$C$11</f>
        <v>1</v>
      </c>
      <c r="P1480" s="15" t="n">
        <f aca="false">AL1480*評分方法!$C$12</f>
        <v>1.5</v>
      </c>
      <c r="Q1480" s="6" t="n">
        <v>305590</v>
      </c>
      <c r="R1480" s="6" t="n">
        <v>0</v>
      </c>
      <c r="S1480" s="11" t="s">
        <v>238</v>
      </c>
      <c r="T1480" s="5"/>
      <c r="U1480" s="5" t="s">
        <v>375</v>
      </c>
      <c r="V1480" s="11" t="s">
        <v>261</v>
      </c>
      <c r="W1480" s="5" t="s">
        <v>207</v>
      </c>
      <c r="X1480" s="5" t="s">
        <v>255</v>
      </c>
      <c r="Y1480" s="5"/>
      <c r="Z1480" s="5"/>
      <c r="AA1480" s="11" t="s">
        <v>153</v>
      </c>
      <c r="AB1480" s="5" t="s">
        <v>245</v>
      </c>
      <c r="AC1480" s="5" t="s">
        <v>262</v>
      </c>
      <c r="AD1480" s="11" t="s">
        <v>3669</v>
      </c>
      <c r="AE1480" s="23" t="n">
        <v>0.9</v>
      </c>
      <c r="AF1480" s="23" t="n">
        <v>0</v>
      </c>
      <c r="AG1480" s="23" t="n">
        <v>0.67</v>
      </c>
      <c r="AH1480" s="23" t="n">
        <v>1</v>
      </c>
      <c r="AI1480" s="23" t="n">
        <v>0.2</v>
      </c>
      <c r="AJ1480" s="23" t="n">
        <v>0.3112</v>
      </c>
      <c r="AK1480" s="23" t="n">
        <v>0.2</v>
      </c>
      <c r="AL1480" s="23" t="n">
        <v>0.3</v>
      </c>
      <c r="AM1480" s="16" t="n">
        <f aca="false">COUNTIFS($D$2:$D$2501,D1480,$G$2:$G$2501,"&gt;"&amp;G1480)+COUNTIFS($D$2:D1480,D1480,$G$2:G1480,G1480)</f>
        <v>194</v>
      </c>
      <c r="AN1480" s="5" t="str">
        <f aca="false">D1480&amp;"|"&amp;AM1480</f>
        <v>檢索與情資關聯|194</v>
      </c>
    </row>
    <row r="1481" customFormat="false" ht="17.15" hidden="false" customHeight="false" outlineLevel="0" collapsed="false">
      <c r="A1481" s="16" t="n">
        <f aca="false">RANK(G1481,$G$2:$G$2501)+COUNTIF($G$2:G1481,G1481)-1</f>
        <v>1480</v>
      </c>
      <c r="B1481" s="11" t="s">
        <v>3670</v>
      </c>
      <c r="C1481" s="11" t="s">
        <v>308</v>
      </c>
      <c r="D1481" s="5" t="s">
        <v>78</v>
      </c>
      <c r="E1481" s="5" t="s">
        <v>79</v>
      </c>
      <c r="F1481" s="5"/>
      <c r="G1481" s="22" t="n">
        <f aca="false">ROUND(SUM(I1481:P1481),3)</f>
        <v>59.648</v>
      </c>
      <c r="H1481" s="5" t="str">
        <f aca="false">IF(G1481&gt;=評分方法!$C$16,"優先評估",IF(G1481&gt;=評分方法!$C$17,"列入候選",IF(G1481&gt;=評分方法!$C$18,"特定情境","不建議")))</f>
        <v>不建議</v>
      </c>
      <c r="I1481" s="15" t="n">
        <f aca="false">AE1481*評分方法!$C$5</f>
        <v>9</v>
      </c>
      <c r="J1481" s="15" t="n">
        <f aca="false">AF1481*評分方法!$C$6</f>
        <v>0</v>
      </c>
      <c r="K1481" s="15" t="n">
        <f aca="false">AG1481*評分方法!$C$7</f>
        <v>15</v>
      </c>
      <c r="L1481" s="15" t="n">
        <f aca="false">AH1481*評分方法!$C$8</f>
        <v>15</v>
      </c>
      <c r="M1481" s="15" t="n">
        <f aca="false">AI1481*評分方法!$C$9</f>
        <v>10</v>
      </c>
      <c r="N1481" s="15" t="n">
        <f aca="false">AJ1481*評分方法!$C$10</f>
        <v>0.648</v>
      </c>
      <c r="O1481" s="15" t="n">
        <f aca="false">AK1481*評分方法!$C$11</f>
        <v>5</v>
      </c>
      <c r="P1481" s="15" t="n">
        <f aca="false">AL1481*評分方法!$C$12</f>
        <v>5</v>
      </c>
      <c r="Q1481" s="6" t="n">
        <v>139695</v>
      </c>
      <c r="R1481" s="6" t="n">
        <v>322592829</v>
      </c>
      <c r="S1481" s="11" t="s">
        <v>238</v>
      </c>
      <c r="T1481" s="11" t="s">
        <v>278</v>
      </c>
      <c r="U1481" s="5" t="s">
        <v>240</v>
      </c>
      <c r="V1481" s="11" t="s">
        <v>462</v>
      </c>
      <c r="W1481" s="5" t="s">
        <v>205</v>
      </c>
      <c r="X1481" s="5" t="s">
        <v>284</v>
      </c>
      <c r="Y1481" s="5"/>
      <c r="Z1481" s="5"/>
      <c r="AA1481" s="11" t="s">
        <v>175</v>
      </c>
      <c r="AB1481" s="5" t="s">
        <v>245</v>
      </c>
      <c r="AC1481" s="5"/>
      <c r="AD1481" s="11" t="s">
        <v>3671</v>
      </c>
      <c r="AE1481" s="23" t="n">
        <v>0.3</v>
      </c>
      <c r="AF1481" s="23" t="n">
        <v>0</v>
      </c>
      <c r="AG1481" s="23" t="n">
        <v>1</v>
      </c>
      <c r="AH1481" s="23" t="n">
        <v>1</v>
      </c>
      <c r="AI1481" s="23" t="n">
        <v>1</v>
      </c>
      <c r="AJ1481" s="23" t="n">
        <v>0.0648</v>
      </c>
      <c r="AK1481" s="23" t="n">
        <v>1</v>
      </c>
      <c r="AL1481" s="23" t="n">
        <v>1</v>
      </c>
      <c r="AM1481" s="16" t="n">
        <f aca="false">COUNTIFS($D$2:$D$2501,D1481,$G$2:$G$2501,"&gt;"&amp;G1481)+COUNTIFS($D$2:D1481,D1481,$G$2:G1481,G1481)</f>
        <v>21</v>
      </c>
      <c r="AN1481" s="5" t="str">
        <f aca="false">D1481&amp;"|"&amp;AM1481</f>
        <v>語音分析|21</v>
      </c>
    </row>
    <row r="1482" customFormat="false" ht="17.15" hidden="false" customHeight="false" outlineLevel="0" collapsed="false">
      <c r="A1482" s="16" t="n">
        <f aca="false">RANK(G1482,$G$2:$G$2501)+COUNTIF($G$2:G1482,G1482)-1</f>
        <v>1481</v>
      </c>
      <c r="B1482" s="11" t="s">
        <v>3672</v>
      </c>
      <c r="C1482" s="11" t="s">
        <v>2903</v>
      </c>
      <c r="D1482" s="5" t="s">
        <v>54</v>
      </c>
      <c r="E1482" s="5" t="s">
        <v>55</v>
      </c>
      <c r="F1482" s="5"/>
      <c r="G1482" s="22" t="n">
        <f aca="false">ROUND(SUM(I1482:P1482),3)</f>
        <v>59.642</v>
      </c>
      <c r="H1482" s="5" t="str">
        <f aca="false">IF(G1482&gt;=評分方法!$C$16,"優先評估",IF(G1482&gt;=評分方法!$C$17,"列入候選",IF(G1482&gt;=評分方法!$C$18,"特定情境","不建議")))</f>
        <v>不建議</v>
      </c>
      <c r="I1482" s="15" t="n">
        <f aca="false">AE1482*評分方法!$C$5</f>
        <v>27</v>
      </c>
      <c r="J1482" s="15" t="n">
        <f aca="false">AF1482*評分方法!$C$6</f>
        <v>0</v>
      </c>
      <c r="K1482" s="15" t="n">
        <f aca="false">AG1482*評分方法!$C$7</f>
        <v>4.95</v>
      </c>
      <c r="L1482" s="15" t="n">
        <f aca="false">AH1482*評分方法!$C$8</f>
        <v>15</v>
      </c>
      <c r="M1482" s="15" t="n">
        <f aca="false">AI1482*評分方法!$C$9</f>
        <v>6</v>
      </c>
      <c r="N1482" s="15" t="n">
        <f aca="false">AJ1482*評分方法!$C$10</f>
        <v>4.192</v>
      </c>
      <c r="O1482" s="15" t="n">
        <f aca="false">AK1482*評分方法!$C$11</f>
        <v>1</v>
      </c>
      <c r="P1482" s="15" t="n">
        <f aca="false">AL1482*評分方法!$C$12</f>
        <v>1.5</v>
      </c>
      <c r="Q1482" s="6" t="n">
        <v>454534</v>
      </c>
      <c r="R1482" s="6" t="n">
        <v>109482240</v>
      </c>
      <c r="S1482" s="11" t="s">
        <v>238</v>
      </c>
      <c r="T1482" s="11" t="s">
        <v>185</v>
      </c>
      <c r="U1482" s="5" t="s">
        <v>260</v>
      </c>
      <c r="V1482" s="11" t="s">
        <v>324</v>
      </c>
      <c r="W1482" s="5" t="s">
        <v>334</v>
      </c>
      <c r="X1482" s="5" t="s">
        <v>255</v>
      </c>
      <c r="Y1482" s="5"/>
      <c r="Z1482" s="5"/>
      <c r="AA1482" s="11" t="s">
        <v>153</v>
      </c>
      <c r="AB1482" s="5" t="s">
        <v>245</v>
      </c>
      <c r="AC1482" s="5" t="s">
        <v>262</v>
      </c>
      <c r="AD1482" s="11" t="s">
        <v>3673</v>
      </c>
      <c r="AE1482" s="23" t="n">
        <v>0.9</v>
      </c>
      <c r="AF1482" s="23" t="n">
        <v>0</v>
      </c>
      <c r="AG1482" s="23" t="n">
        <v>0.33</v>
      </c>
      <c r="AH1482" s="23" t="n">
        <v>1</v>
      </c>
      <c r="AI1482" s="23" t="n">
        <v>0.6</v>
      </c>
      <c r="AJ1482" s="23" t="n">
        <v>0.4192</v>
      </c>
      <c r="AK1482" s="23" t="n">
        <v>0.2</v>
      </c>
      <c r="AL1482" s="23" t="n">
        <v>0.3</v>
      </c>
      <c r="AM1482" s="16" t="n">
        <f aca="false">COUNTIFS($D$2:$D$2501,D1482,$G$2:$G$2501,"&gt;"&amp;G1482)+COUNTIFS($D$2:D1482,D1482,$G$2:G1482,G1482)</f>
        <v>195</v>
      </c>
      <c r="AN1482" s="5" t="str">
        <f aca="false">D1482&amp;"|"&amp;AM1482</f>
        <v>檢索與情資關聯|195</v>
      </c>
    </row>
    <row r="1483" customFormat="false" ht="17.15" hidden="false" customHeight="false" outlineLevel="0" collapsed="false">
      <c r="A1483" s="16" t="n">
        <f aca="false">RANK(G1483,$G$2:$G$2501)+COUNTIF($G$2:G1483,G1483)-1</f>
        <v>1482</v>
      </c>
      <c r="B1483" s="11" t="s">
        <v>3674</v>
      </c>
      <c r="C1483" s="11" t="s">
        <v>3675</v>
      </c>
      <c r="D1483" s="5" t="s">
        <v>54</v>
      </c>
      <c r="E1483" s="5" t="s">
        <v>55</v>
      </c>
      <c r="F1483" s="5"/>
      <c r="G1483" s="22" t="n">
        <f aca="false">ROUND(SUM(I1483:P1483),3)</f>
        <v>59.634</v>
      </c>
      <c r="H1483" s="5" t="str">
        <f aca="false">IF(G1483&gt;=評分方法!$C$16,"優先評估",IF(G1483&gt;=評分方法!$C$17,"列入候選",IF(G1483&gt;=評分方法!$C$18,"特定情境","不建議")))</f>
        <v>不建議</v>
      </c>
      <c r="I1483" s="15" t="n">
        <f aca="false">AE1483*評分方法!$C$5</f>
        <v>16.2</v>
      </c>
      <c r="J1483" s="15" t="n">
        <f aca="false">AF1483*評分方法!$C$6</f>
        <v>0</v>
      </c>
      <c r="K1483" s="15" t="n">
        <f aca="false">AG1483*評分方法!$C$7</f>
        <v>4.95</v>
      </c>
      <c r="L1483" s="15" t="n">
        <f aca="false">AH1483*評分方法!$C$8</f>
        <v>15</v>
      </c>
      <c r="M1483" s="15" t="n">
        <f aca="false">AI1483*評分方法!$C$9</f>
        <v>10</v>
      </c>
      <c r="N1483" s="15" t="n">
        <f aca="false">AJ1483*評分方法!$C$10</f>
        <v>9.484</v>
      </c>
      <c r="O1483" s="15" t="n">
        <f aca="false">AK1483*評分方法!$C$11</f>
        <v>4</v>
      </c>
      <c r="P1483" s="15" t="n">
        <f aca="false">AL1483*評分方法!$C$12</f>
        <v>0</v>
      </c>
      <c r="Q1483" s="6" t="n">
        <v>8540362</v>
      </c>
      <c r="R1483" s="6" t="n">
        <v>123860749</v>
      </c>
      <c r="S1483" s="11" t="s">
        <v>238</v>
      </c>
      <c r="T1483" s="11" t="s">
        <v>278</v>
      </c>
      <c r="U1483" s="5" t="s">
        <v>240</v>
      </c>
      <c r="V1483" s="11" t="s">
        <v>261</v>
      </c>
      <c r="W1483" s="5" t="s">
        <v>334</v>
      </c>
      <c r="X1483" s="5" t="s">
        <v>242</v>
      </c>
      <c r="Y1483" s="11" t="s">
        <v>3676</v>
      </c>
      <c r="Z1483" s="11" t="s">
        <v>270</v>
      </c>
      <c r="AA1483" s="11" t="s">
        <v>153</v>
      </c>
      <c r="AB1483" s="5" t="s">
        <v>496</v>
      </c>
      <c r="AC1483" s="5" t="s">
        <v>3677</v>
      </c>
      <c r="AD1483" s="11" t="s">
        <v>3678</v>
      </c>
      <c r="AE1483" s="23" t="n">
        <v>0.54</v>
      </c>
      <c r="AF1483" s="23" t="n">
        <v>0</v>
      </c>
      <c r="AG1483" s="23" t="n">
        <v>0.33</v>
      </c>
      <c r="AH1483" s="23" t="n">
        <v>1</v>
      </c>
      <c r="AI1483" s="23" t="n">
        <v>1</v>
      </c>
      <c r="AJ1483" s="23" t="n">
        <v>0.9484</v>
      </c>
      <c r="AK1483" s="23" t="n">
        <v>0.8</v>
      </c>
      <c r="AL1483" s="23" t="n">
        <v>0</v>
      </c>
      <c r="AM1483" s="16" t="n">
        <f aca="false">COUNTIFS($D$2:$D$2501,D1483,$G$2:$G$2501,"&gt;"&amp;G1483)+COUNTIFS($D$2:D1483,D1483,$G$2:G1483,G1483)</f>
        <v>196</v>
      </c>
      <c r="AN1483" s="5" t="str">
        <f aca="false">D1483&amp;"|"&amp;AM1483</f>
        <v>檢索與情資關聯|196</v>
      </c>
    </row>
    <row r="1484" customFormat="false" ht="17.15" hidden="false" customHeight="false" outlineLevel="0" collapsed="false">
      <c r="A1484" s="16" t="n">
        <f aca="false">RANK(G1484,$G$2:$G$2501)+COUNTIF($G$2:G1484,G1484)-1</f>
        <v>1483</v>
      </c>
      <c r="B1484" s="11" t="s">
        <v>3679</v>
      </c>
      <c r="C1484" s="11" t="s">
        <v>3680</v>
      </c>
      <c r="D1484" s="5" t="s">
        <v>56</v>
      </c>
      <c r="E1484" s="5" t="s">
        <v>57</v>
      </c>
      <c r="F1484" s="5"/>
      <c r="G1484" s="22" t="n">
        <f aca="false">ROUND(SUM(I1484:P1484),3)</f>
        <v>59.634</v>
      </c>
      <c r="H1484" s="5" t="str">
        <f aca="false">IF(G1484&gt;=評分方法!$C$16,"優先評估",IF(G1484&gt;=評分方法!$C$17,"列入候選",IF(G1484&gt;=評分方法!$C$18,"特定情境","不建議")))</f>
        <v>不建議</v>
      </c>
      <c r="I1484" s="15" t="n">
        <f aca="false">AE1484*評分方法!$C$5</f>
        <v>25.5</v>
      </c>
      <c r="J1484" s="15" t="n">
        <f aca="false">AF1484*評分方法!$C$6</f>
        <v>0</v>
      </c>
      <c r="K1484" s="15" t="n">
        <f aca="false">AG1484*評分方法!$C$7</f>
        <v>4.95</v>
      </c>
      <c r="L1484" s="15" t="n">
        <f aca="false">AH1484*評分方法!$C$8</f>
        <v>9</v>
      </c>
      <c r="M1484" s="15" t="n">
        <f aca="false">AI1484*評分方法!$C$9</f>
        <v>10</v>
      </c>
      <c r="N1484" s="15" t="n">
        <f aca="false">AJ1484*評分方法!$C$10</f>
        <v>3.184</v>
      </c>
      <c r="O1484" s="15" t="n">
        <f aca="false">AK1484*評分方法!$C$11</f>
        <v>4</v>
      </c>
      <c r="P1484" s="15" t="n">
        <f aca="false">AL1484*評分方法!$C$12</f>
        <v>3</v>
      </c>
      <c r="Q1484" s="6" t="n">
        <v>312751</v>
      </c>
      <c r="R1484" s="6" t="n">
        <v>26554316366</v>
      </c>
      <c r="S1484" s="11" t="s">
        <v>389</v>
      </c>
      <c r="T1484" s="11" t="s">
        <v>239</v>
      </c>
      <c r="U1484" s="5" t="s">
        <v>240</v>
      </c>
      <c r="V1484" s="11" t="s">
        <v>261</v>
      </c>
      <c r="W1484" s="5" t="s">
        <v>334</v>
      </c>
      <c r="X1484" s="5" t="s">
        <v>371</v>
      </c>
      <c r="Y1484" s="11" t="s">
        <v>575</v>
      </c>
      <c r="Z1484" s="11" t="s">
        <v>244</v>
      </c>
      <c r="AA1484" s="11" t="s">
        <v>156</v>
      </c>
      <c r="AB1484" s="5" t="s">
        <v>245</v>
      </c>
      <c r="AC1484" s="5" t="s">
        <v>246</v>
      </c>
      <c r="AD1484" s="11" t="s">
        <v>3681</v>
      </c>
      <c r="AE1484" s="23" t="n">
        <v>0.85</v>
      </c>
      <c r="AF1484" s="23" t="n">
        <v>0</v>
      </c>
      <c r="AG1484" s="23" t="n">
        <v>0.33</v>
      </c>
      <c r="AH1484" s="23" t="n">
        <v>0.6</v>
      </c>
      <c r="AI1484" s="23" t="n">
        <v>1</v>
      </c>
      <c r="AJ1484" s="23" t="n">
        <v>0.3184</v>
      </c>
      <c r="AK1484" s="23" t="n">
        <v>0.8</v>
      </c>
      <c r="AL1484" s="23" t="n">
        <v>0.6</v>
      </c>
      <c r="AM1484" s="16" t="n">
        <f aca="false">COUNTIFS($D$2:$D$2501,D1484,$G$2:$G$2501,"&gt;"&amp;G1484)+COUNTIFS($D$2:D1484,D1484,$G$2:G1484,G1484)</f>
        <v>692</v>
      </c>
      <c r="AN1484" s="5" t="str">
        <f aca="false">D1484&amp;"|"&amp;AM1484</f>
        <v>分析與報告生成|692</v>
      </c>
    </row>
    <row r="1485" customFormat="false" ht="17.15" hidden="false" customHeight="false" outlineLevel="0" collapsed="false">
      <c r="A1485" s="16" t="n">
        <f aca="false">RANK(G1485,$G$2:$G$2501)+COUNTIF($G$2:G1485,G1485)-1</f>
        <v>1484</v>
      </c>
      <c r="B1485" s="11" t="s">
        <v>3682</v>
      </c>
      <c r="C1485" s="11" t="s">
        <v>3683</v>
      </c>
      <c r="D1485" s="5" t="s">
        <v>56</v>
      </c>
      <c r="E1485" s="5" t="s">
        <v>57</v>
      </c>
      <c r="F1485" s="5"/>
      <c r="G1485" s="22" t="n">
        <f aca="false">ROUND(SUM(I1485:P1485),3)</f>
        <v>59.63</v>
      </c>
      <c r="H1485" s="5" t="str">
        <f aca="false">IF(G1485&gt;=評分方法!$C$16,"優先評估",IF(G1485&gt;=評分方法!$C$17,"列入候選",IF(G1485&gt;=評分方法!$C$18,"特定情境","不建議")))</f>
        <v>不建議</v>
      </c>
      <c r="I1485" s="15" t="n">
        <f aca="false">AE1485*評分方法!$C$5</f>
        <v>25.5</v>
      </c>
      <c r="J1485" s="15" t="n">
        <f aca="false">AF1485*評分方法!$C$6</f>
        <v>0</v>
      </c>
      <c r="K1485" s="15" t="n">
        <f aca="false">AG1485*評分方法!$C$7</f>
        <v>4.95</v>
      </c>
      <c r="L1485" s="15" t="n">
        <f aca="false">AH1485*評分方法!$C$8</f>
        <v>9</v>
      </c>
      <c r="M1485" s="15" t="n">
        <f aca="false">AI1485*評分方法!$C$9</f>
        <v>6</v>
      </c>
      <c r="N1485" s="15" t="n">
        <f aca="false">AJ1485*評分方法!$C$10</f>
        <v>8.68</v>
      </c>
      <c r="O1485" s="15" t="n">
        <f aca="false">AK1485*評分方法!$C$11</f>
        <v>2.5</v>
      </c>
      <c r="P1485" s="15" t="n">
        <f aca="false">AL1485*評分方法!$C$12</f>
        <v>3</v>
      </c>
      <c r="Q1485" s="6" t="n">
        <v>2715197</v>
      </c>
      <c r="R1485" s="6" t="n">
        <v>27632394708</v>
      </c>
      <c r="S1485" s="11" t="s">
        <v>389</v>
      </c>
      <c r="T1485" s="11" t="s">
        <v>658</v>
      </c>
      <c r="U1485" s="5" t="s">
        <v>260</v>
      </c>
      <c r="V1485" s="11" t="s">
        <v>261</v>
      </c>
      <c r="W1485" s="5" t="s">
        <v>334</v>
      </c>
      <c r="X1485" s="5" t="s">
        <v>371</v>
      </c>
      <c r="Y1485" s="11" t="s">
        <v>1344</v>
      </c>
      <c r="Z1485" s="11" t="s">
        <v>244</v>
      </c>
      <c r="AA1485" s="11" t="s">
        <v>156</v>
      </c>
      <c r="AB1485" s="5" t="s">
        <v>245</v>
      </c>
      <c r="AC1485" s="5" t="s">
        <v>464</v>
      </c>
      <c r="AD1485" s="11" t="s">
        <v>3684</v>
      </c>
      <c r="AE1485" s="23" t="n">
        <v>0.85</v>
      </c>
      <c r="AF1485" s="23" t="n">
        <v>0</v>
      </c>
      <c r="AG1485" s="23" t="n">
        <v>0.33</v>
      </c>
      <c r="AH1485" s="23" t="n">
        <v>0.6</v>
      </c>
      <c r="AI1485" s="23" t="n">
        <v>0.6</v>
      </c>
      <c r="AJ1485" s="23" t="n">
        <v>0.868</v>
      </c>
      <c r="AK1485" s="23" t="n">
        <v>0.5</v>
      </c>
      <c r="AL1485" s="23" t="n">
        <v>0.6</v>
      </c>
      <c r="AM1485" s="16" t="n">
        <f aca="false">COUNTIFS($D$2:$D$2501,D1485,$G$2:$G$2501,"&gt;"&amp;G1485)+COUNTIFS($D$2:D1485,D1485,$G$2:G1485,G1485)</f>
        <v>693</v>
      </c>
      <c r="AN1485" s="5" t="str">
        <f aca="false">D1485&amp;"|"&amp;AM1485</f>
        <v>分析與報告生成|693</v>
      </c>
    </row>
    <row r="1486" customFormat="false" ht="17.15" hidden="false" customHeight="false" outlineLevel="0" collapsed="false">
      <c r="A1486" s="16" t="n">
        <f aca="false">RANK(G1486,$G$2:$G$2501)+COUNTIF($G$2:G1486,G1486)-1</f>
        <v>1485</v>
      </c>
      <c r="B1486" s="11" t="s">
        <v>3685</v>
      </c>
      <c r="C1486" s="11" t="s">
        <v>2693</v>
      </c>
      <c r="D1486" s="5" t="s">
        <v>74</v>
      </c>
      <c r="E1486" s="5" t="s">
        <v>75</v>
      </c>
      <c r="F1486" s="5"/>
      <c r="G1486" s="22" t="n">
        <f aca="false">ROUND(SUM(I1486:P1486),3)</f>
        <v>59.624</v>
      </c>
      <c r="H1486" s="5" t="str">
        <f aca="false">IF(G1486&gt;=評分方法!$C$16,"優先評估",IF(G1486&gt;=評分方法!$C$17,"列入候選",IF(G1486&gt;=評分方法!$C$18,"特定情境","不建議")))</f>
        <v>不建議</v>
      </c>
      <c r="I1486" s="15" t="n">
        <f aca="false">AE1486*評分方法!$C$5</f>
        <v>10.5</v>
      </c>
      <c r="J1486" s="15" t="n">
        <f aca="false">AF1486*評分方法!$C$6</f>
        <v>0</v>
      </c>
      <c r="K1486" s="15" t="n">
        <f aca="false">AG1486*評分方法!$C$7</f>
        <v>15</v>
      </c>
      <c r="L1486" s="15" t="n">
        <f aca="false">AH1486*評分方法!$C$8</f>
        <v>15</v>
      </c>
      <c r="M1486" s="15" t="n">
        <f aca="false">AI1486*評分方法!$C$9</f>
        <v>10</v>
      </c>
      <c r="N1486" s="15" t="n">
        <f aca="false">AJ1486*評分方法!$C$10</f>
        <v>5.124</v>
      </c>
      <c r="O1486" s="15" t="n">
        <f aca="false">AK1486*評分方法!$C$11</f>
        <v>2.5</v>
      </c>
      <c r="P1486" s="15" t="n">
        <f aca="false">AL1486*評分方法!$C$12</f>
        <v>1.5</v>
      </c>
      <c r="Q1486" s="6" t="n">
        <v>547947</v>
      </c>
      <c r="R1486" s="6" t="n">
        <v>86567656</v>
      </c>
      <c r="S1486" s="11" t="s">
        <v>238</v>
      </c>
      <c r="T1486" s="11" t="s">
        <v>239</v>
      </c>
      <c r="U1486" s="5" t="s">
        <v>240</v>
      </c>
      <c r="V1486" s="11" t="s">
        <v>324</v>
      </c>
      <c r="W1486" s="5" t="s">
        <v>205</v>
      </c>
      <c r="X1486" s="5" t="s">
        <v>255</v>
      </c>
      <c r="Y1486" s="5"/>
      <c r="Z1486" s="5"/>
      <c r="AA1486" s="11" t="s">
        <v>172</v>
      </c>
      <c r="AB1486" s="5" t="s">
        <v>245</v>
      </c>
      <c r="AC1486" s="5"/>
      <c r="AD1486" s="11" t="s">
        <v>3686</v>
      </c>
      <c r="AE1486" s="23" t="n">
        <v>0.35</v>
      </c>
      <c r="AF1486" s="23" t="n">
        <v>0</v>
      </c>
      <c r="AG1486" s="23" t="n">
        <v>1</v>
      </c>
      <c r="AH1486" s="23" t="n">
        <v>1</v>
      </c>
      <c r="AI1486" s="23" t="n">
        <v>1</v>
      </c>
      <c r="AJ1486" s="23" t="n">
        <v>0.5124</v>
      </c>
      <c r="AK1486" s="23" t="n">
        <v>0.5</v>
      </c>
      <c r="AL1486" s="23" t="n">
        <v>0.3</v>
      </c>
      <c r="AM1486" s="16" t="n">
        <f aca="false">COUNTIFS($D$2:$D$2501,D1486,$G$2:$G$2501,"&gt;"&amp;G1486)+COUNTIFS($D$2:D1486,D1486,$G$2:G1486,G1486)</f>
        <v>102</v>
      </c>
      <c r="AN1486" s="5" t="str">
        <f aca="false">D1486&amp;"|"&amp;AM1486</f>
        <v>文件與影像辨識|102</v>
      </c>
    </row>
    <row r="1487" customFormat="false" ht="17.15" hidden="false" customHeight="false" outlineLevel="0" collapsed="false">
      <c r="A1487" s="16" t="n">
        <f aca="false">RANK(G1487,$G$2:$G$2501)+COUNTIF($G$2:G1487,G1487)-1</f>
        <v>1486</v>
      </c>
      <c r="B1487" s="11" t="s">
        <v>3687</v>
      </c>
      <c r="C1487" s="11" t="s">
        <v>753</v>
      </c>
      <c r="D1487" s="5" t="s">
        <v>56</v>
      </c>
      <c r="E1487" s="5" t="s">
        <v>57</v>
      </c>
      <c r="F1487" s="5"/>
      <c r="G1487" s="22" t="n">
        <f aca="false">ROUND(SUM(I1487:P1487),3)</f>
        <v>59.622</v>
      </c>
      <c r="H1487" s="5" t="str">
        <f aca="false">IF(G1487&gt;=評分方法!$C$16,"優先評估",IF(G1487&gt;=評分方法!$C$17,"列入候選",IF(G1487&gt;=評分方法!$C$18,"特定情境","不建議")))</f>
        <v>不建議</v>
      </c>
      <c r="I1487" s="15" t="n">
        <f aca="false">AE1487*評分方法!$C$5</f>
        <v>25.5</v>
      </c>
      <c r="J1487" s="15" t="n">
        <f aca="false">AF1487*評分方法!$C$6</f>
        <v>0</v>
      </c>
      <c r="K1487" s="15" t="n">
        <f aca="false">AG1487*評分方法!$C$7</f>
        <v>10.05</v>
      </c>
      <c r="L1487" s="15" t="n">
        <f aca="false">AH1487*評分方法!$C$8</f>
        <v>9</v>
      </c>
      <c r="M1487" s="15" t="n">
        <f aca="false">AI1487*評分方法!$C$9</f>
        <v>6</v>
      </c>
      <c r="N1487" s="15" t="n">
        <f aca="false">AJ1487*評分方法!$C$10</f>
        <v>3.572</v>
      </c>
      <c r="O1487" s="15" t="n">
        <f aca="false">AK1487*評分方法!$C$11</f>
        <v>2.5</v>
      </c>
      <c r="P1487" s="15" t="n">
        <f aca="false">AL1487*評分方法!$C$12</f>
        <v>3</v>
      </c>
      <c r="Q1487" s="6" t="n">
        <v>360273</v>
      </c>
      <c r="R1487" s="6" t="n">
        <v>11766034176</v>
      </c>
      <c r="S1487" s="11" t="s">
        <v>389</v>
      </c>
      <c r="T1487" s="11" t="s">
        <v>658</v>
      </c>
      <c r="U1487" s="5" t="s">
        <v>260</v>
      </c>
      <c r="V1487" s="11" t="s">
        <v>333</v>
      </c>
      <c r="W1487" s="5" t="s">
        <v>207</v>
      </c>
      <c r="X1487" s="5" t="s">
        <v>371</v>
      </c>
      <c r="Y1487" s="11" t="s">
        <v>2625</v>
      </c>
      <c r="Z1487" s="11" t="s">
        <v>244</v>
      </c>
      <c r="AA1487" s="11" t="s">
        <v>156</v>
      </c>
      <c r="AB1487" s="5" t="s">
        <v>245</v>
      </c>
      <c r="AC1487" s="5" t="s">
        <v>464</v>
      </c>
      <c r="AD1487" s="11" t="s">
        <v>3688</v>
      </c>
      <c r="AE1487" s="23" t="n">
        <v>0.85</v>
      </c>
      <c r="AF1487" s="23" t="n">
        <v>0</v>
      </c>
      <c r="AG1487" s="23" t="n">
        <v>0.67</v>
      </c>
      <c r="AH1487" s="23" t="n">
        <v>0.6</v>
      </c>
      <c r="AI1487" s="23" t="n">
        <v>0.6</v>
      </c>
      <c r="AJ1487" s="23" t="n">
        <v>0.3572</v>
      </c>
      <c r="AK1487" s="23" t="n">
        <v>0.5</v>
      </c>
      <c r="AL1487" s="23" t="n">
        <v>0.6</v>
      </c>
      <c r="AM1487" s="16" t="n">
        <f aca="false">COUNTIFS($D$2:$D$2501,D1487,$G$2:$G$2501,"&gt;"&amp;G1487)+COUNTIFS($D$2:D1487,D1487,$G$2:G1487,G1487)</f>
        <v>694</v>
      </c>
      <c r="AN1487" s="5" t="str">
        <f aca="false">D1487&amp;"|"&amp;AM1487</f>
        <v>分析與報告生成|694</v>
      </c>
    </row>
    <row r="1488" customFormat="false" ht="17.15" hidden="false" customHeight="false" outlineLevel="0" collapsed="false">
      <c r="A1488" s="16" t="n">
        <f aca="false">RANK(G1488,$G$2:$G$2501)+COUNTIF($G$2:G1488,G1488)-1</f>
        <v>1487</v>
      </c>
      <c r="B1488" s="11" t="s">
        <v>3689</v>
      </c>
      <c r="C1488" s="11" t="s">
        <v>3690</v>
      </c>
      <c r="D1488" s="5" t="s">
        <v>56</v>
      </c>
      <c r="E1488" s="5" t="s">
        <v>57</v>
      </c>
      <c r="F1488" s="5"/>
      <c r="G1488" s="22" t="n">
        <f aca="false">ROUND(SUM(I1488:P1488),3)</f>
        <v>59.618</v>
      </c>
      <c r="H1488" s="5" t="str">
        <f aca="false">IF(G1488&gt;=評分方法!$C$16,"優先評估",IF(G1488&gt;=評分方法!$C$17,"列入候選",IF(G1488&gt;=評分方法!$C$18,"特定情境","不建議")))</f>
        <v>不建議</v>
      </c>
      <c r="I1488" s="15" t="n">
        <f aca="false">AE1488*評分方法!$C$5</f>
        <v>25.5</v>
      </c>
      <c r="J1488" s="15" t="n">
        <f aca="false">AF1488*評分方法!$C$6</f>
        <v>0</v>
      </c>
      <c r="K1488" s="15" t="n">
        <f aca="false">AG1488*評分方法!$C$7</f>
        <v>4.95</v>
      </c>
      <c r="L1488" s="15" t="n">
        <f aca="false">AH1488*評分方法!$C$8</f>
        <v>9</v>
      </c>
      <c r="M1488" s="15" t="n">
        <f aca="false">AI1488*評分方法!$C$9</f>
        <v>10</v>
      </c>
      <c r="N1488" s="15" t="n">
        <f aca="false">AJ1488*評分方法!$C$10</f>
        <v>0.168</v>
      </c>
      <c r="O1488" s="15" t="n">
        <f aca="false">AK1488*評分方法!$C$11</f>
        <v>5</v>
      </c>
      <c r="P1488" s="15" t="n">
        <f aca="false">AL1488*評分方法!$C$12</f>
        <v>5</v>
      </c>
      <c r="Q1488" s="6" t="n">
        <v>120838</v>
      </c>
      <c r="R1488" s="6" t="n">
        <v>11907350576</v>
      </c>
      <c r="S1488" s="11" t="s">
        <v>389</v>
      </c>
      <c r="T1488" s="11" t="s">
        <v>239</v>
      </c>
      <c r="U1488" s="5" t="s">
        <v>240</v>
      </c>
      <c r="V1488" s="11" t="s">
        <v>333</v>
      </c>
      <c r="W1488" s="5" t="s">
        <v>334</v>
      </c>
      <c r="X1488" s="5" t="s">
        <v>284</v>
      </c>
      <c r="Y1488" s="11" t="s">
        <v>755</v>
      </c>
      <c r="Z1488" s="11" t="s">
        <v>244</v>
      </c>
      <c r="AA1488" s="11" t="s">
        <v>155</v>
      </c>
      <c r="AB1488" s="5" t="s">
        <v>245</v>
      </c>
      <c r="AC1488" s="5" t="s">
        <v>246</v>
      </c>
      <c r="AD1488" s="11" t="s">
        <v>3691</v>
      </c>
      <c r="AE1488" s="23" t="n">
        <v>0.85</v>
      </c>
      <c r="AF1488" s="23" t="n">
        <v>0</v>
      </c>
      <c r="AG1488" s="23" t="n">
        <v>0.33</v>
      </c>
      <c r="AH1488" s="23" t="n">
        <v>0.6</v>
      </c>
      <c r="AI1488" s="23" t="n">
        <v>1</v>
      </c>
      <c r="AJ1488" s="23" t="n">
        <v>0.0168</v>
      </c>
      <c r="AK1488" s="23" t="n">
        <v>1</v>
      </c>
      <c r="AL1488" s="23" t="n">
        <v>1</v>
      </c>
      <c r="AM1488" s="16" t="n">
        <f aca="false">COUNTIFS($D$2:$D$2501,D1488,$G$2:$G$2501,"&gt;"&amp;G1488)+COUNTIFS($D$2:D1488,D1488,$G$2:G1488,G1488)</f>
        <v>695</v>
      </c>
      <c r="AN1488" s="5" t="str">
        <f aca="false">D1488&amp;"|"&amp;AM1488</f>
        <v>分析與報告生成|695</v>
      </c>
    </row>
    <row r="1489" customFormat="false" ht="17.15" hidden="false" customHeight="false" outlineLevel="0" collapsed="false">
      <c r="A1489" s="16" t="n">
        <f aca="false">RANK(G1489,$G$2:$G$2501)+COUNTIF($G$2:G1489,G1489)-1</f>
        <v>1488</v>
      </c>
      <c r="B1489" s="11" t="s">
        <v>3692</v>
      </c>
      <c r="C1489" s="11" t="s">
        <v>327</v>
      </c>
      <c r="D1489" s="5" t="s">
        <v>78</v>
      </c>
      <c r="E1489" s="5" t="s">
        <v>79</v>
      </c>
      <c r="F1489" s="5"/>
      <c r="G1489" s="22" t="n">
        <f aca="false">ROUND(SUM(I1489:P1489),3)</f>
        <v>59.616</v>
      </c>
      <c r="H1489" s="5" t="str">
        <f aca="false">IF(G1489&gt;=評分方法!$C$16,"優先評估",IF(G1489&gt;=評分方法!$C$17,"列入候選",IF(G1489&gt;=評分方法!$C$18,"特定情境","不建議")))</f>
        <v>不建議</v>
      </c>
      <c r="I1489" s="15" t="n">
        <f aca="false">AE1489*評分方法!$C$5</f>
        <v>9</v>
      </c>
      <c r="J1489" s="15" t="n">
        <f aca="false">AF1489*評分方法!$C$6</f>
        <v>0</v>
      </c>
      <c r="K1489" s="15" t="n">
        <f aca="false">AG1489*評分方法!$C$7</f>
        <v>15</v>
      </c>
      <c r="L1489" s="15" t="n">
        <f aca="false">AH1489*評分方法!$C$8</f>
        <v>15</v>
      </c>
      <c r="M1489" s="15" t="n">
        <f aca="false">AI1489*評分方法!$C$9</f>
        <v>10</v>
      </c>
      <c r="N1489" s="15" t="n">
        <f aca="false">AJ1489*評分方法!$C$10</f>
        <v>5.616</v>
      </c>
      <c r="O1489" s="15" t="n">
        <f aca="false">AK1489*評分方法!$C$11</f>
        <v>5</v>
      </c>
      <c r="P1489" s="15" t="n">
        <f aca="false">AL1489*評分方法!$C$12</f>
        <v>0</v>
      </c>
      <c r="Q1489" s="6" t="n">
        <v>581963</v>
      </c>
      <c r="R1489" s="6" t="n">
        <v>978998272</v>
      </c>
      <c r="S1489" s="11" t="s">
        <v>238</v>
      </c>
      <c r="T1489" s="11" t="s">
        <v>1636</v>
      </c>
      <c r="U1489" s="5" t="s">
        <v>240</v>
      </c>
      <c r="V1489" s="11" t="s">
        <v>3693</v>
      </c>
      <c r="W1489" s="5" t="s">
        <v>205</v>
      </c>
      <c r="X1489" s="5" t="s">
        <v>242</v>
      </c>
      <c r="Y1489" s="5"/>
      <c r="Z1489" s="5"/>
      <c r="AA1489" s="11" t="s">
        <v>175</v>
      </c>
      <c r="AB1489" s="5" t="s">
        <v>245</v>
      </c>
      <c r="AC1489" s="5"/>
      <c r="AD1489" s="11" t="s">
        <v>3694</v>
      </c>
      <c r="AE1489" s="23" t="n">
        <v>0.3</v>
      </c>
      <c r="AF1489" s="23" t="n">
        <v>0</v>
      </c>
      <c r="AG1489" s="23" t="n">
        <v>1</v>
      </c>
      <c r="AH1489" s="23" t="n">
        <v>1</v>
      </c>
      <c r="AI1489" s="23" t="n">
        <v>1</v>
      </c>
      <c r="AJ1489" s="23" t="n">
        <v>0.5616</v>
      </c>
      <c r="AK1489" s="23" t="n">
        <v>1</v>
      </c>
      <c r="AL1489" s="23" t="n">
        <v>0</v>
      </c>
      <c r="AM1489" s="16" t="n">
        <f aca="false">COUNTIFS($D$2:$D$2501,D1489,$G$2:$G$2501,"&gt;"&amp;G1489)+COUNTIFS($D$2:D1489,D1489,$G$2:G1489,G1489)</f>
        <v>22</v>
      </c>
      <c r="AN1489" s="5" t="str">
        <f aca="false">D1489&amp;"|"&amp;AM1489</f>
        <v>語音分析|22</v>
      </c>
    </row>
    <row r="1490" customFormat="false" ht="17.15" hidden="false" customHeight="false" outlineLevel="0" collapsed="false">
      <c r="A1490" s="16" t="n">
        <f aca="false">RANK(G1490,$G$2:$G$2501)+COUNTIF($G$2:G1490,G1490)-1</f>
        <v>1489</v>
      </c>
      <c r="B1490" s="11" t="s">
        <v>3695</v>
      </c>
      <c r="C1490" s="11" t="s">
        <v>2576</v>
      </c>
      <c r="D1490" s="5" t="s">
        <v>56</v>
      </c>
      <c r="E1490" s="5" t="s">
        <v>57</v>
      </c>
      <c r="F1490" s="5"/>
      <c r="G1490" s="22" t="n">
        <f aca="false">ROUND(SUM(I1490:P1490),3)</f>
        <v>59.612</v>
      </c>
      <c r="H1490" s="5" t="str">
        <f aca="false">IF(G1490&gt;=評分方法!$C$16,"優先評估",IF(G1490&gt;=評分方法!$C$17,"列入候選",IF(G1490&gt;=評分方法!$C$18,"特定情境","不建議")))</f>
        <v>不建議</v>
      </c>
      <c r="I1490" s="15" t="n">
        <f aca="false">AE1490*評分方法!$C$5</f>
        <v>25.5</v>
      </c>
      <c r="J1490" s="15" t="n">
        <f aca="false">AF1490*評分方法!$C$6</f>
        <v>0</v>
      </c>
      <c r="K1490" s="15" t="n">
        <f aca="false">AG1490*評分方法!$C$7</f>
        <v>10.05</v>
      </c>
      <c r="L1490" s="15" t="n">
        <f aca="false">AH1490*評分方法!$C$8</f>
        <v>13.05</v>
      </c>
      <c r="M1490" s="15" t="n">
        <f aca="false">AI1490*評分方法!$C$9</f>
        <v>6</v>
      </c>
      <c r="N1490" s="15" t="n">
        <f aca="false">AJ1490*評分方法!$C$10</f>
        <v>1.012</v>
      </c>
      <c r="O1490" s="15" t="n">
        <f aca="false">AK1490*評分方法!$C$11</f>
        <v>4</v>
      </c>
      <c r="P1490" s="15" t="n">
        <f aca="false">AL1490*評分方法!$C$12</f>
        <v>0</v>
      </c>
      <c r="Q1490" s="6" t="n">
        <v>153640</v>
      </c>
      <c r="R1490" s="6" t="n">
        <v>8030261248</v>
      </c>
      <c r="S1490" s="11" t="s">
        <v>254</v>
      </c>
      <c r="T1490" s="11" t="s">
        <v>1177</v>
      </c>
      <c r="U1490" s="5" t="s">
        <v>260</v>
      </c>
      <c r="V1490" s="11" t="s">
        <v>333</v>
      </c>
      <c r="W1490" s="5" t="s">
        <v>207</v>
      </c>
      <c r="X1490" s="5" t="s">
        <v>242</v>
      </c>
      <c r="Y1490" s="11" t="s">
        <v>1176</v>
      </c>
      <c r="Z1490" s="11" t="s">
        <v>244</v>
      </c>
      <c r="AA1490" s="11" t="s">
        <v>155</v>
      </c>
      <c r="AB1490" s="5" t="s">
        <v>245</v>
      </c>
      <c r="AC1490" s="5" t="s">
        <v>464</v>
      </c>
      <c r="AD1490" s="11" t="s">
        <v>3696</v>
      </c>
      <c r="AE1490" s="23" t="n">
        <v>0.85</v>
      </c>
      <c r="AF1490" s="23" t="n">
        <v>0</v>
      </c>
      <c r="AG1490" s="23" t="n">
        <v>0.67</v>
      </c>
      <c r="AH1490" s="23" t="n">
        <v>0.87</v>
      </c>
      <c r="AI1490" s="23" t="n">
        <v>0.6</v>
      </c>
      <c r="AJ1490" s="23" t="n">
        <v>0.1012</v>
      </c>
      <c r="AK1490" s="23" t="n">
        <v>0.8</v>
      </c>
      <c r="AL1490" s="23" t="n">
        <v>0</v>
      </c>
      <c r="AM1490" s="16" t="n">
        <f aca="false">COUNTIFS($D$2:$D$2501,D1490,$G$2:$G$2501,"&gt;"&amp;G1490)+COUNTIFS($D$2:D1490,D1490,$G$2:G1490,G1490)</f>
        <v>696</v>
      </c>
      <c r="AN1490" s="5" t="str">
        <f aca="false">D1490&amp;"|"&amp;AM1490</f>
        <v>分析與報告生成|696</v>
      </c>
    </row>
    <row r="1491" customFormat="false" ht="17.15" hidden="false" customHeight="false" outlineLevel="0" collapsed="false">
      <c r="A1491" s="16" t="n">
        <f aca="false">RANK(G1491,$G$2:$G$2501)+COUNTIF($G$2:G1491,G1491)-1</f>
        <v>1490</v>
      </c>
      <c r="B1491" s="11" t="s">
        <v>3697</v>
      </c>
      <c r="C1491" s="11" t="s">
        <v>2261</v>
      </c>
      <c r="D1491" s="5" t="s">
        <v>54</v>
      </c>
      <c r="E1491" s="5" t="s">
        <v>55</v>
      </c>
      <c r="F1491" s="5"/>
      <c r="G1491" s="22" t="n">
        <f aca="false">ROUND(SUM(I1491:P1491),3)</f>
        <v>59.582</v>
      </c>
      <c r="H1491" s="5" t="str">
        <f aca="false">IF(G1491&gt;=評分方法!$C$16,"優先評估",IF(G1491&gt;=評分方法!$C$17,"列入候選",IF(G1491&gt;=評分方法!$C$18,"特定情境","不建議")))</f>
        <v>不建議</v>
      </c>
      <c r="I1491" s="15" t="n">
        <f aca="false">AE1491*評分方法!$C$5</f>
        <v>27</v>
      </c>
      <c r="J1491" s="15" t="n">
        <f aca="false">AF1491*評分方法!$C$6</f>
        <v>0</v>
      </c>
      <c r="K1491" s="15" t="n">
        <f aca="false">AG1491*評分方法!$C$7</f>
        <v>10.05</v>
      </c>
      <c r="L1491" s="15" t="n">
        <f aca="false">AH1491*評分方法!$C$8</f>
        <v>15</v>
      </c>
      <c r="M1491" s="15" t="n">
        <f aca="false">AI1491*評分方法!$C$9</f>
        <v>2</v>
      </c>
      <c r="N1491" s="15" t="n">
        <f aca="false">AJ1491*評分方法!$C$10</f>
        <v>3.032</v>
      </c>
      <c r="O1491" s="15" t="n">
        <f aca="false">AK1491*評分方法!$C$11</f>
        <v>1</v>
      </c>
      <c r="P1491" s="15" t="n">
        <f aca="false">AL1491*評分方法!$C$12</f>
        <v>1.5</v>
      </c>
      <c r="Q1491" s="6" t="n">
        <v>298044</v>
      </c>
      <c r="R1491" s="6" t="n">
        <v>0</v>
      </c>
      <c r="S1491" s="11" t="s">
        <v>238</v>
      </c>
      <c r="T1491" s="5"/>
      <c r="U1491" s="5" t="s">
        <v>375</v>
      </c>
      <c r="V1491" s="11" t="s">
        <v>261</v>
      </c>
      <c r="W1491" s="5" t="s">
        <v>207</v>
      </c>
      <c r="X1491" s="5" t="s">
        <v>255</v>
      </c>
      <c r="Y1491" s="5"/>
      <c r="Z1491" s="5"/>
      <c r="AA1491" s="11" t="s">
        <v>153</v>
      </c>
      <c r="AB1491" s="5" t="s">
        <v>245</v>
      </c>
      <c r="AC1491" s="5" t="s">
        <v>262</v>
      </c>
      <c r="AD1491" s="11" t="s">
        <v>3698</v>
      </c>
      <c r="AE1491" s="23" t="n">
        <v>0.9</v>
      </c>
      <c r="AF1491" s="23" t="n">
        <v>0</v>
      </c>
      <c r="AG1491" s="23" t="n">
        <v>0.67</v>
      </c>
      <c r="AH1491" s="23" t="n">
        <v>1</v>
      </c>
      <c r="AI1491" s="23" t="n">
        <v>0.2</v>
      </c>
      <c r="AJ1491" s="23" t="n">
        <v>0.3032</v>
      </c>
      <c r="AK1491" s="23" t="n">
        <v>0.2</v>
      </c>
      <c r="AL1491" s="23" t="n">
        <v>0.3</v>
      </c>
      <c r="AM1491" s="16" t="n">
        <f aca="false">COUNTIFS($D$2:$D$2501,D1491,$G$2:$G$2501,"&gt;"&amp;G1491)+COUNTIFS($D$2:D1491,D1491,$G$2:G1491,G1491)</f>
        <v>197</v>
      </c>
      <c r="AN1491" s="5" t="str">
        <f aca="false">D1491&amp;"|"&amp;AM1491</f>
        <v>檢索與情資關聯|197</v>
      </c>
    </row>
    <row r="1492" customFormat="false" ht="17.15" hidden="false" customHeight="false" outlineLevel="0" collapsed="false">
      <c r="A1492" s="16" t="n">
        <f aca="false">RANK(G1492,$G$2:$G$2501)+COUNTIF($G$2:G1492,G1492)-1</f>
        <v>1491</v>
      </c>
      <c r="B1492" s="11" t="s">
        <v>3699</v>
      </c>
      <c r="C1492" s="11" t="s">
        <v>681</v>
      </c>
      <c r="D1492" s="5" t="s">
        <v>78</v>
      </c>
      <c r="E1492" s="5" t="s">
        <v>79</v>
      </c>
      <c r="F1492" s="5"/>
      <c r="G1492" s="22" t="n">
        <f aca="false">ROUND(SUM(I1492:P1492),3)</f>
        <v>59.56</v>
      </c>
      <c r="H1492" s="5" t="str">
        <f aca="false">IF(G1492&gt;=評分方法!$C$16,"優先評估",IF(G1492&gt;=評分方法!$C$17,"列入候選",IF(G1492&gt;=評分方法!$C$18,"特定情境","不建議")))</f>
        <v>不建議</v>
      </c>
      <c r="I1492" s="15" t="n">
        <f aca="false">AE1492*評分方法!$C$5</f>
        <v>9</v>
      </c>
      <c r="J1492" s="15" t="n">
        <f aca="false">AF1492*評分方法!$C$6</f>
        <v>0</v>
      </c>
      <c r="K1492" s="15" t="n">
        <f aca="false">AG1492*評分方法!$C$7</f>
        <v>15</v>
      </c>
      <c r="L1492" s="15" t="n">
        <f aca="false">AH1492*評分方法!$C$8</f>
        <v>15</v>
      </c>
      <c r="M1492" s="15" t="n">
        <f aca="false">AI1492*評分方法!$C$9</f>
        <v>10</v>
      </c>
      <c r="N1492" s="15" t="n">
        <f aca="false">AJ1492*評分方法!$C$10</f>
        <v>9.56</v>
      </c>
      <c r="O1492" s="15" t="n">
        <f aca="false">AK1492*評分方法!$C$11</f>
        <v>1</v>
      </c>
      <c r="P1492" s="15" t="n">
        <f aca="false">AL1492*評分方法!$C$12</f>
        <v>0</v>
      </c>
      <c r="Q1492" s="6" t="n">
        <v>9477417</v>
      </c>
      <c r="R1492" s="6" t="n">
        <v>94395552</v>
      </c>
      <c r="S1492" s="11" t="s">
        <v>238</v>
      </c>
      <c r="T1492" s="11" t="s">
        <v>239</v>
      </c>
      <c r="U1492" s="5" t="s">
        <v>240</v>
      </c>
      <c r="V1492" s="11" t="s">
        <v>855</v>
      </c>
      <c r="W1492" s="5" t="s">
        <v>205</v>
      </c>
      <c r="X1492" s="5" t="s">
        <v>242</v>
      </c>
      <c r="Y1492" s="5"/>
      <c r="Z1492" s="5"/>
      <c r="AA1492" s="11" t="s">
        <v>175</v>
      </c>
      <c r="AB1492" s="5" t="s">
        <v>245</v>
      </c>
      <c r="AC1492" s="5"/>
      <c r="AD1492" s="11" t="s">
        <v>3700</v>
      </c>
      <c r="AE1492" s="23" t="n">
        <v>0.3</v>
      </c>
      <c r="AF1492" s="23" t="n">
        <v>0</v>
      </c>
      <c r="AG1492" s="23" t="n">
        <v>1</v>
      </c>
      <c r="AH1492" s="23" t="n">
        <v>1</v>
      </c>
      <c r="AI1492" s="23" t="n">
        <v>1</v>
      </c>
      <c r="AJ1492" s="23" t="n">
        <v>0.956</v>
      </c>
      <c r="AK1492" s="23" t="n">
        <v>0.2</v>
      </c>
      <c r="AL1492" s="23" t="n">
        <v>0</v>
      </c>
      <c r="AM1492" s="16" t="n">
        <f aca="false">COUNTIFS($D$2:$D$2501,D1492,$G$2:$G$2501,"&gt;"&amp;G1492)+COUNTIFS($D$2:D1492,D1492,$G$2:G1492,G1492)</f>
        <v>23</v>
      </c>
      <c r="AN1492" s="5" t="str">
        <f aca="false">D1492&amp;"|"&amp;AM1492</f>
        <v>語音分析|23</v>
      </c>
    </row>
    <row r="1493" customFormat="false" ht="17.15" hidden="false" customHeight="false" outlineLevel="0" collapsed="false">
      <c r="A1493" s="16" t="n">
        <f aca="false">RANK(G1493,$G$2:$G$2501)+COUNTIF($G$2:G1493,G1493)-1</f>
        <v>1492</v>
      </c>
      <c r="B1493" s="11" t="s">
        <v>3701</v>
      </c>
      <c r="C1493" s="11" t="s">
        <v>1635</v>
      </c>
      <c r="D1493" s="5" t="s">
        <v>56</v>
      </c>
      <c r="E1493" s="5" t="s">
        <v>57</v>
      </c>
      <c r="F1493" s="5"/>
      <c r="G1493" s="22" t="n">
        <f aca="false">ROUND(SUM(I1493:P1493),3)</f>
        <v>59.536</v>
      </c>
      <c r="H1493" s="5" t="str">
        <f aca="false">IF(G1493&gt;=評分方法!$C$16,"優先評估",IF(G1493&gt;=評分方法!$C$17,"列入候選",IF(G1493&gt;=評分方法!$C$18,"特定情境","不建議")))</f>
        <v>不建議</v>
      </c>
      <c r="I1493" s="15" t="n">
        <f aca="false">AE1493*評分方法!$C$5</f>
        <v>18</v>
      </c>
      <c r="J1493" s="15" t="n">
        <f aca="false">AF1493*評分方法!$C$6</f>
        <v>0</v>
      </c>
      <c r="K1493" s="15" t="n">
        <f aca="false">AG1493*評分方法!$C$7</f>
        <v>15</v>
      </c>
      <c r="L1493" s="15" t="n">
        <f aca="false">AH1493*評分方法!$C$8</f>
        <v>15</v>
      </c>
      <c r="M1493" s="15" t="n">
        <f aca="false">AI1493*評分方法!$C$9</f>
        <v>10</v>
      </c>
      <c r="N1493" s="15" t="n">
        <f aca="false">AJ1493*評分方法!$C$10</f>
        <v>0.536</v>
      </c>
      <c r="O1493" s="15" t="n">
        <f aca="false">AK1493*評分方法!$C$11</f>
        <v>1</v>
      </c>
      <c r="P1493" s="15" t="n">
        <f aca="false">AL1493*評分方法!$C$12</f>
        <v>0</v>
      </c>
      <c r="Q1493" s="6" t="n">
        <v>133811</v>
      </c>
      <c r="R1493" s="6" t="n">
        <v>33360770</v>
      </c>
      <c r="S1493" s="11" t="s">
        <v>238</v>
      </c>
      <c r="T1493" s="11" t="s">
        <v>1636</v>
      </c>
      <c r="U1493" s="5" t="s">
        <v>240</v>
      </c>
      <c r="V1493" s="11" t="s">
        <v>813</v>
      </c>
      <c r="W1493" s="5" t="s">
        <v>205</v>
      </c>
      <c r="X1493" s="5" t="s">
        <v>242</v>
      </c>
      <c r="Y1493" s="5"/>
      <c r="Z1493" s="5"/>
      <c r="AA1493" s="11" t="s">
        <v>159</v>
      </c>
      <c r="AB1493" s="5" t="s">
        <v>245</v>
      </c>
      <c r="AC1493" s="5"/>
      <c r="AD1493" s="11" t="s">
        <v>3702</v>
      </c>
      <c r="AE1493" s="23" t="n">
        <v>0.6</v>
      </c>
      <c r="AF1493" s="23" t="n">
        <v>0</v>
      </c>
      <c r="AG1493" s="23" t="n">
        <v>1</v>
      </c>
      <c r="AH1493" s="23" t="n">
        <v>1</v>
      </c>
      <c r="AI1493" s="23" t="n">
        <v>1</v>
      </c>
      <c r="AJ1493" s="23" t="n">
        <v>0.0536</v>
      </c>
      <c r="AK1493" s="23" t="n">
        <v>0.2</v>
      </c>
      <c r="AL1493" s="23" t="n">
        <v>0</v>
      </c>
      <c r="AM1493" s="16" t="n">
        <f aca="false">COUNTIFS($D$2:$D$2501,D1493,$G$2:$G$2501,"&gt;"&amp;G1493)+COUNTIFS($D$2:D1493,D1493,$G$2:G1493,G1493)</f>
        <v>697</v>
      </c>
      <c r="AN1493" s="5" t="str">
        <f aca="false">D1493&amp;"|"&amp;AM1493</f>
        <v>分析與報告生成|697</v>
      </c>
    </row>
    <row r="1494" customFormat="false" ht="17.15" hidden="false" customHeight="false" outlineLevel="0" collapsed="false">
      <c r="A1494" s="16" t="n">
        <f aca="false">RANK(G1494,$G$2:$G$2501)+COUNTIF($G$2:G1494,G1494)-1</f>
        <v>1493</v>
      </c>
      <c r="B1494" s="11" t="s">
        <v>3703</v>
      </c>
      <c r="C1494" s="11" t="s">
        <v>3704</v>
      </c>
      <c r="D1494" s="5" t="s">
        <v>54</v>
      </c>
      <c r="E1494" s="5" t="s">
        <v>55</v>
      </c>
      <c r="F1494" s="5"/>
      <c r="G1494" s="22" t="n">
        <f aca="false">ROUND(SUM(I1494:P1494),3)</f>
        <v>59.53</v>
      </c>
      <c r="H1494" s="5" t="str">
        <f aca="false">IF(G1494&gt;=評分方法!$C$16,"優先評估",IF(G1494&gt;=評分方法!$C$17,"列入候選",IF(G1494&gt;=評分方法!$C$18,"特定情境","不建議")))</f>
        <v>不建議</v>
      </c>
      <c r="I1494" s="15" t="n">
        <f aca="false">AE1494*評分方法!$C$5</f>
        <v>16.2</v>
      </c>
      <c r="J1494" s="15" t="n">
        <f aca="false">AF1494*評分方法!$C$6</f>
        <v>0</v>
      </c>
      <c r="K1494" s="15" t="n">
        <f aca="false">AG1494*評分方法!$C$7</f>
        <v>4.95</v>
      </c>
      <c r="L1494" s="15" t="n">
        <f aca="false">AH1494*評分方法!$C$8</f>
        <v>15</v>
      </c>
      <c r="M1494" s="15" t="n">
        <f aca="false">AI1494*評分方法!$C$9</f>
        <v>10</v>
      </c>
      <c r="N1494" s="15" t="n">
        <f aca="false">AJ1494*評分方法!$C$10</f>
        <v>8.38</v>
      </c>
      <c r="O1494" s="15" t="n">
        <f aca="false">AK1494*評分方法!$C$11</f>
        <v>5</v>
      </c>
      <c r="P1494" s="15" t="n">
        <f aca="false">AL1494*評分方法!$C$12</f>
        <v>0</v>
      </c>
      <c r="Q1494" s="6" t="n">
        <v>2032199</v>
      </c>
      <c r="R1494" s="6" t="n">
        <v>110617856</v>
      </c>
      <c r="S1494" s="11" t="s">
        <v>238</v>
      </c>
      <c r="T1494" s="11" t="s">
        <v>239</v>
      </c>
      <c r="U1494" s="5" t="s">
        <v>240</v>
      </c>
      <c r="V1494" s="11" t="s">
        <v>324</v>
      </c>
      <c r="W1494" s="5" t="s">
        <v>334</v>
      </c>
      <c r="X1494" s="5" t="s">
        <v>242</v>
      </c>
      <c r="Y1494" s="5"/>
      <c r="Z1494" s="5"/>
      <c r="AA1494" s="11" t="s">
        <v>152</v>
      </c>
      <c r="AB1494" s="5" t="s">
        <v>245</v>
      </c>
      <c r="AC1494" s="5" t="s">
        <v>1463</v>
      </c>
      <c r="AD1494" s="11" t="s">
        <v>3705</v>
      </c>
      <c r="AE1494" s="23" t="n">
        <v>0.54</v>
      </c>
      <c r="AF1494" s="23" t="n">
        <v>0</v>
      </c>
      <c r="AG1494" s="23" t="n">
        <v>0.33</v>
      </c>
      <c r="AH1494" s="23" t="n">
        <v>1</v>
      </c>
      <c r="AI1494" s="23" t="n">
        <v>1</v>
      </c>
      <c r="AJ1494" s="23" t="n">
        <v>0.838</v>
      </c>
      <c r="AK1494" s="23" t="n">
        <v>1</v>
      </c>
      <c r="AL1494" s="23" t="n">
        <v>0</v>
      </c>
      <c r="AM1494" s="16" t="n">
        <f aca="false">COUNTIFS($D$2:$D$2501,D1494,$G$2:$G$2501,"&gt;"&amp;G1494)+COUNTIFS($D$2:D1494,D1494,$G$2:G1494,G1494)</f>
        <v>198</v>
      </c>
      <c r="AN1494" s="5" t="str">
        <f aca="false">D1494&amp;"|"&amp;AM1494</f>
        <v>檢索與情資關聯|198</v>
      </c>
    </row>
    <row r="1495" customFormat="false" ht="17.15" hidden="false" customHeight="false" outlineLevel="0" collapsed="false">
      <c r="A1495" s="16" t="n">
        <f aca="false">RANK(G1495,$G$2:$G$2501)+COUNTIF($G$2:G1495,G1495)-1</f>
        <v>1494</v>
      </c>
      <c r="B1495" s="11" t="s">
        <v>3706</v>
      </c>
      <c r="C1495" s="11" t="s">
        <v>753</v>
      </c>
      <c r="D1495" s="5" t="s">
        <v>56</v>
      </c>
      <c r="E1495" s="5" t="s">
        <v>57</v>
      </c>
      <c r="F1495" s="5"/>
      <c r="G1495" s="22" t="n">
        <f aca="false">ROUND(SUM(I1495:P1495),3)</f>
        <v>59.512</v>
      </c>
      <c r="H1495" s="5" t="str">
        <f aca="false">IF(G1495&gt;=評分方法!$C$16,"優先評估",IF(G1495&gt;=評分方法!$C$17,"列入候選",IF(G1495&gt;=評分方法!$C$18,"特定情境","不建議")))</f>
        <v>不建議</v>
      </c>
      <c r="I1495" s="15" t="n">
        <f aca="false">AE1495*評分方法!$C$5</f>
        <v>25.5</v>
      </c>
      <c r="J1495" s="15" t="n">
        <f aca="false">AF1495*評分方法!$C$6</f>
        <v>0</v>
      </c>
      <c r="K1495" s="15" t="n">
        <f aca="false">AG1495*評分方法!$C$7</f>
        <v>10.05</v>
      </c>
      <c r="L1495" s="15" t="n">
        <f aca="false">AH1495*評分方法!$C$8</f>
        <v>13.05</v>
      </c>
      <c r="M1495" s="15" t="n">
        <f aca="false">AI1495*評分方法!$C$9</f>
        <v>6</v>
      </c>
      <c r="N1495" s="15" t="n">
        <f aca="false">AJ1495*評分方法!$C$10</f>
        <v>2.412</v>
      </c>
      <c r="O1495" s="15" t="n">
        <f aca="false">AK1495*評分方法!$C$11</f>
        <v>2.5</v>
      </c>
      <c r="P1495" s="15" t="n">
        <f aca="false">AL1495*評分方法!$C$12</f>
        <v>0</v>
      </c>
      <c r="Q1495" s="6" t="n">
        <v>241536</v>
      </c>
      <c r="R1495" s="6" t="n">
        <v>4385411830</v>
      </c>
      <c r="S1495" s="11" t="s">
        <v>254</v>
      </c>
      <c r="T1495" s="11" t="s">
        <v>658</v>
      </c>
      <c r="U1495" s="5" t="s">
        <v>260</v>
      </c>
      <c r="V1495" s="11" t="s">
        <v>261</v>
      </c>
      <c r="W1495" s="5" t="s">
        <v>207</v>
      </c>
      <c r="X1495" s="5" t="s">
        <v>242</v>
      </c>
      <c r="Y1495" s="11" t="s">
        <v>868</v>
      </c>
      <c r="Z1495" s="11" t="s">
        <v>244</v>
      </c>
      <c r="AA1495" s="11" t="s">
        <v>156</v>
      </c>
      <c r="AB1495" s="5" t="s">
        <v>245</v>
      </c>
      <c r="AC1495" s="5" t="s">
        <v>464</v>
      </c>
      <c r="AD1495" s="11" t="s">
        <v>3707</v>
      </c>
      <c r="AE1495" s="23" t="n">
        <v>0.85</v>
      </c>
      <c r="AF1495" s="23" t="n">
        <v>0</v>
      </c>
      <c r="AG1495" s="23" t="n">
        <v>0.67</v>
      </c>
      <c r="AH1495" s="23" t="n">
        <v>0.87</v>
      </c>
      <c r="AI1495" s="23" t="n">
        <v>0.6</v>
      </c>
      <c r="AJ1495" s="23" t="n">
        <v>0.2412</v>
      </c>
      <c r="AK1495" s="23" t="n">
        <v>0.5</v>
      </c>
      <c r="AL1495" s="23" t="n">
        <v>0</v>
      </c>
      <c r="AM1495" s="16" t="n">
        <f aca="false">COUNTIFS($D$2:$D$2501,D1495,$G$2:$G$2501,"&gt;"&amp;G1495)+COUNTIFS($D$2:D1495,D1495,$G$2:G1495,G1495)</f>
        <v>698</v>
      </c>
      <c r="AN1495" s="5" t="str">
        <f aca="false">D1495&amp;"|"&amp;AM1495</f>
        <v>分析與報告生成|698</v>
      </c>
    </row>
    <row r="1496" customFormat="false" ht="17.15" hidden="false" customHeight="false" outlineLevel="0" collapsed="false">
      <c r="A1496" s="16" t="n">
        <f aca="false">RANK(G1496,$G$2:$G$2501)+COUNTIF($G$2:G1496,G1496)-1</f>
        <v>1495</v>
      </c>
      <c r="B1496" s="11" t="s">
        <v>3049</v>
      </c>
      <c r="C1496" s="11" t="s">
        <v>258</v>
      </c>
      <c r="D1496" s="5" t="s">
        <v>56</v>
      </c>
      <c r="E1496" s="5" t="s">
        <v>57</v>
      </c>
      <c r="F1496" s="5"/>
      <c r="G1496" s="22" t="n">
        <f aca="false">ROUND(SUM(I1496:P1496),3)</f>
        <v>59.482</v>
      </c>
      <c r="H1496" s="5" t="str">
        <f aca="false">IF(G1496&gt;=評分方法!$C$16,"優先評估",IF(G1496&gt;=評分方法!$C$17,"列入候選",IF(G1496&gt;=評分方法!$C$18,"特定情境","不建議")))</f>
        <v>不建議</v>
      </c>
      <c r="I1496" s="15" t="n">
        <f aca="false">AE1496*評分方法!$C$5</f>
        <v>25.5</v>
      </c>
      <c r="J1496" s="15" t="n">
        <f aca="false">AF1496*評分方法!$C$6</f>
        <v>0</v>
      </c>
      <c r="K1496" s="15" t="n">
        <f aca="false">AG1496*評分方法!$C$7</f>
        <v>15</v>
      </c>
      <c r="L1496" s="15" t="n">
        <f aca="false">AH1496*評分方法!$C$8</f>
        <v>1.95</v>
      </c>
      <c r="M1496" s="15" t="n">
        <f aca="false">AI1496*評分方法!$C$9</f>
        <v>6</v>
      </c>
      <c r="N1496" s="15" t="n">
        <f aca="false">AJ1496*評分方法!$C$10</f>
        <v>8.532</v>
      </c>
      <c r="O1496" s="15" t="n">
        <f aca="false">AK1496*評分方法!$C$11</f>
        <v>2.5</v>
      </c>
      <c r="P1496" s="15" t="n">
        <f aca="false">AL1496*評分方法!$C$12</f>
        <v>0</v>
      </c>
      <c r="Q1496" s="6" t="n">
        <v>2348325</v>
      </c>
      <c r="R1496" s="6" t="n">
        <v>108641793536</v>
      </c>
      <c r="S1496" s="11" t="s">
        <v>1616</v>
      </c>
      <c r="T1496" s="11" t="s">
        <v>185</v>
      </c>
      <c r="U1496" s="5" t="s">
        <v>260</v>
      </c>
      <c r="V1496" s="11" t="s">
        <v>261</v>
      </c>
      <c r="W1496" s="5" t="s">
        <v>205</v>
      </c>
      <c r="X1496" s="5" t="s">
        <v>242</v>
      </c>
      <c r="Y1496" s="11" t="s">
        <v>3708</v>
      </c>
      <c r="Z1496" s="11" t="s">
        <v>270</v>
      </c>
      <c r="AA1496" s="11" t="s">
        <v>156</v>
      </c>
      <c r="AB1496" s="5" t="s">
        <v>245</v>
      </c>
      <c r="AC1496" s="5" t="s">
        <v>262</v>
      </c>
      <c r="AD1496" s="11" t="s">
        <v>3709</v>
      </c>
      <c r="AE1496" s="23" t="n">
        <v>0.85</v>
      </c>
      <c r="AF1496" s="23" t="n">
        <v>0</v>
      </c>
      <c r="AG1496" s="23" t="n">
        <v>1</v>
      </c>
      <c r="AH1496" s="23" t="n">
        <v>0.13</v>
      </c>
      <c r="AI1496" s="23" t="n">
        <v>0.6</v>
      </c>
      <c r="AJ1496" s="23" t="n">
        <v>0.8532</v>
      </c>
      <c r="AK1496" s="23" t="n">
        <v>0.5</v>
      </c>
      <c r="AL1496" s="23" t="n">
        <v>0</v>
      </c>
      <c r="AM1496" s="16" t="n">
        <f aca="false">COUNTIFS($D$2:$D$2501,D1496,$G$2:$G$2501,"&gt;"&amp;G1496)+COUNTIFS($D$2:D1496,D1496,$G$2:G1496,G1496)</f>
        <v>699</v>
      </c>
      <c r="AN1496" s="5" t="str">
        <f aca="false">D1496&amp;"|"&amp;AM1496</f>
        <v>分析與報告生成|699</v>
      </c>
    </row>
    <row r="1497" customFormat="false" ht="17.15" hidden="false" customHeight="false" outlineLevel="0" collapsed="false">
      <c r="A1497" s="16" t="n">
        <f aca="false">RANK(G1497,$G$2:$G$2501)+COUNTIF($G$2:G1497,G1497)-1</f>
        <v>1496</v>
      </c>
      <c r="B1497" s="11" t="s">
        <v>3710</v>
      </c>
      <c r="C1497" s="11" t="s">
        <v>1725</v>
      </c>
      <c r="D1497" s="5" t="s">
        <v>56</v>
      </c>
      <c r="E1497" s="5" t="s">
        <v>57</v>
      </c>
      <c r="F1497" s="5"/>
      <c r="G1497" s="22" t="n">
        <f aca="false">ROUND(SUM(I1497:P1497),3)</f>
        <v>59.45</v>
      </c>
      <c r="H1497" s="5" t="str">
        <f aca="false">IF(G1497&gt;=評分方法!$C$16,"優先評估",IF(G1497&gt;=評分方法!$C$17,"列入候選",IF(G1497&gt;=評分方法!$C$18,"特定情境","不建議")))</f>
        <v>不建議</v>
      </c>
      <c r="I1497" s="15" t="n">
        <f aca="false">AE1497*評分方法!$C$5</f>
        <v>24</v>
      </c>
      <c r="J1497" s="15" t="n">
        <f aca="false">AF1497*評分方法!$C$6</f>
        <v>0</v>
      </c>
      <c r="K1497" s="15" t="n">
        <f aca="false">AG1497*評分方法!$C$7</f>
        <v>4.95</v>
      </c>
      <c r="L1497" s="15" t="n">
        <f aca="false">AH1497*評分方法!$C$8</f>
        <v>9</v>
      </c>
      <c r="M1497" s="15" t="n">
        <f aca="false">AI1497*評分方法!$C$9</f>
        <v>10</v>
      </c>
      <c r="N1497" s="15" t="n">
        <f aca="false">AJ1497*評分方法!$C$10</f>
        <v>3.5</v>
      </c>
      <c r="O1497" s="15" t="n">
        <f aca="false">AK1497*評分方法!$C$11</f>
        <v>5</v>
      </c>
      <c r="P1497" s="15" t="n">
        <f aca="false">AL1497*評分方法!$C$12</f>
        <v>3</v>
      </c>
      <c r="Q1497" s="6" t="n">
        <v>352159</v>
      </c>
      <c r="R1497" s="6" t="n">
        <v>11959730224</v>
      </c>
      <c r="S1497" s="11" t="s">
        <v>389</v>
      </c>
      <c r="T1497" s="11" t="s">
        <v>239</v>
      </c>
      <c r="U1497" s="5" t="s">
        <v>240</v>
      </c>
      <c r="V1497" s="11" t="s">
        <v>261</v>
      </c>
      <c r="W1497" s="5" t="s">
        <v>334</v>
      </c>
      <c r="X1497" s="5" t="s">
        <v>371</v>
      </c>
      <c r="Y1497" s="11" t="s">
        <v>801</v>
      </c>
      <c r="Z1497" s="11" t="s">
        <v>244</v>
      </c>
      <c r="AA1497" s="11" t="s">
        <v>157</v>
      </c>
      <c r="AB1497" s="5" t="s">
        <v>245</v>
      </c>
      <c r="AC1497" s="5" t="s">
        <v>246</v>
      </c>
      <c r="AD1497" s="11" t="s">
        <v>3711</v>
      </c>
      <c r="AE1497" s="23" t="n">
        <v>0.8</v>
      </c>
      <c r="AF1497" s="23" t="n">
        <v>0</v>
      </c>
      <c r="AG1497" s="23" t="n">
        <v>0.33</v>
      </c>
      <c r="AH1497" s="23" t="n">
        <v>0.6</v>
      </c>
      <c r="AI1497" s="23" t="n">
        <v>1</v>
      </c>
      <c r="AJ1497" s="23" t="n">
        <v>0.35</v>
      </c>
      <c r="AK1497" s="23" t="n">
        <v>1</v>
      </c>
      <c r="AL1497" s="23" t="n">
        <v>0.6</v>
      </c>
      <c r="AM1497" s="16" t="n">
        <f aca="false">COUNTIFS($D$2:$D$2501,D1497,$G$2:$G$2501,"&gt;"&amp;G1497)+COUNTIFS($D$2:D1497,D1497,$G$2:G1497,G1497)</f>
        <v>700</v>
      </c>
      <c r="AN1497" s="5" t="str">
        <f aca="false">D1497&amp;"|"&amp;AM1497</f>
        <v>分析與報告生成|700</v>
      </c>
    </row>
    <row r="1498" customFormat="false" ht="17.15" hidden="false" customHeight="false" outlineLevel="0" collapsed="false">
      <c r="A1498" s="16" t="n">
        <f aca="false">RANK(G1498,$G$2:$G$2501)+COUNTIF($G$2:G1498,G1498)-1</f>
        <v>1497</v>
      </c>
      <c r="B1498" s="11" t="s">
        <v>3712</v>
      </c>
      <c r="C1498" s="11" t="s">
        <v>989</v>
      </c>
      <c r="D1498" s="5" t="s">
        <v>56</v>
      </c>
      <c r="E1498" s="5" t="s">
        <v>57</v>
      </c>
      <c r="F1498" s="5"/>
      <c r="G1498" s="22" t="n">
        <f aca="false">ROUND(SUM(I1498:P1498),3)</f>
        <v>59.412</v>
      </c>
      <c r="H1498" s="5" t="str">
        <f aca="false">IF(G1498&gt;=評分方法!$C$16,"優先評估",IF(G1498&gt;=評分方法!$C$17,"列入候選",IF(G1498&gt;=評分方法!$C$18,"特定情境","不建議")))</f>
        <v>不建議</v>
      </c>
      <c r="I1498" s="15" t="n">
        <f aca="false">AE1498*評分方法!$C$5</f>
        <v>25.5</v>
      </c>
      <c r="J1498" s="15" t="n">
        <f aca="false">AF1498*評分方法!$C$6</f>
        <v>0</v>
      </c>
      <c r="K1498" s="15" t="n">
        <f aca="false">AG1498*評分方法!$C$7</f>
        <v>10.05</v>
      </c>
      <c r="L1498" s="15" t="n">
        <f aca="false">AH1498*評分方法!$C$8</f>
        <v>13.05</v>
      </c>
      <c r="M1498" s="15" t="n">
        <f aca="false">AI1498*評分方法!$C$9</f>
        <v>2</v>
      </c>
      <c r="N1498" s="15" t="n">
        <f aca="false">AJ1498*評分方法!$C$10</f>
        <v>3.312</v>
      </c>
      <c r="O1498" s="15" t="n">
        <f aca="false">AK1498*評分方法!$C$11</f>
        <v>2.5</v>
      </c>
      <c r="P1498" s="15" t="n">
        <f aca="false">AL1498*評分方法!$C$12</f>
        <v>3</v>
      </c>
      <c r="Q1498" s="6" t="n">
        <v>329211</v>
      </c>
      <c r="R1498" s="6" t="n">
        <v>3836021856</v>
      </c>
      <c r="S1498" s="11" t="s">
        <v>254</v>
      </c>
      <c r="T1498" s="5"/>
      <c r="U1498" s="5" t="s">
        <v>375</v>
      </c>
      <c r="V1498" s="11" t="s">
        <v>333</v>
      </c>
      <c r="W1498" s="5" t="s">
        <v>207</v>
      </c>
      <c r="X1498" s="5" t="s">
        <v>371</v>
      </c>
      <c r="Y1498" s="11" t="s">
        <v>3105</v>
      </c>
      <c r="Z1498" s="11" t="s">
        <v>244</v>
      </c>
      <c r="AA1498" s="11" t="s">
        <v>155</v>
      </c>
      <c r="AB1498" s="5" t="s">
        <v>245</v>
      </c>
      <c r="AC1498" s="5" t="s">
        <v>464</v>
      </c>
      <c r="AD1498" s="11" t="s">
        <v>3713</v>
      </c>
      <c r="AE1498" s="23" t="n">
        <v>0.85</v>
      </c>
      <c r="AF1498" s="23" t="n">
        <v>0</v>
      </c>
      <c r="AG1498" s="23" t="n">
        <v>0.67</v>
      </c>
      <c r="AH1498" s="23" t="n">
        <v>0.87</v>
      </c>
      <c r="AI1498" s="23" t="n">
        <v>0.2</v>
      </c>
      <c r="AJ1498" s="23" t="n">
        <v>0.3312</v>
      </c>
      <c r="AK1498" s="23" t="n">
        <v>0.5</v>
      </c>
      <c r="AL1498" s="23" t="n">
        <v>0.6</v>
      </c>
      <c r="AM1498" s="16" t="n">
        <f aca="false">COUNTIFS($D$2:$D$2501,D1498,$G$2:$G$2501,"&gt;"&amp;G1498)+COUNTIFS($D$2:D1498,D1498,$G$2:G1498,G1498)</f>
        <v>701</v>
      </c>
      <c r="AN1498" s="5" t="str">
        <f aca="false">D1498&amp;"|"&amp;AM1498</f>
        <v>分析與報告生成|701</v>
      </c>
    </row>
    <row r="1499" customFormat="false" ht="17.15" hidden="false" customHeight="false" outlineLevel="0" collapsed="false">
      <c r="A1499" s="16" t="n">
        <f aca="false">RANK(G1499,$G$2:$G$2501)+COUNTIF($G$2:G1499,G1499)-1</f>
        <v>1498</v>
      </c>
      <c r="B1499" s="11" t="s">
        <v>3714</v>
      </c>
      <c r="C1499" s="11" t="s">
        <v>681</v>
      </c>
      <c r="D1499" s="5" t="s">
        <v>74</v>
      </c>
      <c r="E1499" s="5" t="s">
        <v>75</v>
      </c>
      <c r="F1499" s="5"/>
      <c r="G1499" s="22" t="n">
        <f aca="false">ROUND(SUM(I1499:P1499),3)</f>
        <v>59.404</v>
      </c>
      <c r="H1499" s="5" t="str">
        <f aca="false">IF(G1499&gt;=評分方法!$C$16,"優先評估",IF(G1499&gt;=評分方法!$C$17,"列入候選",IF(G1499&gt;=評分方法!$C$18,"特定情境","不建議")))</f>
        <v>不建議</v>
      </c>
      <c r="I1499" s="15" t="n">
        <f aca="false">AE1499*評分方法!$C$5</f>
        <v>7.5</v>
      </c>
      <c r="J1499" s="15" t="n">
        <f aca="false">AF1499*評分方法!$C$6</f>
        <v>0</v>
      </c>
      <c r="K1499" s="15" t="n">
        <f aca="false">AG1499*評分方法!$C$7</f>
        <v>15</v>
      </c>
      <c r="L1499" s="15" t="n">
        <f aca="false">AH1499*評分方法!$C$8</f>
        <v>15</v>
      </c>
      <c r="M1499" s="15" t="n">
        <f aca="false">AI1499*評分方法!$C$9</f>
        <v>10</v>
      </c>
      <c r="N1499" s="15" t="n">
        <f aca="false">AJ1499*評分方法!$C$10</f>
        <v>7.904</v>
      </c>
      <c r="O1499" s="15" t="n">
        <f aca="false">AK1499*評分方法!$C$11</f>
        <v>2.5</v>
      </c>
      <c r="P1499" s="15" t="n">
        <f aca="false">AL1499*評分方法!$C$12</f>
        <v>1.5</v>
      </c>
      <c r="Q1499" s="6" t="n">
        <v>1478678</v>
      </c>
      <c r="R1499" s="6" t="n">
        <v>325971328</v>
      </c>
      <c r="S1499" s="11" t="s">
        <v>238</v>
      </c>
      <c r="T1499" s="11" t="s">
        <v>278</v>
      </c>
      <c r="U1499" s="5" t="s">
        <v>240</v>
      </c>
      <c r="V1499" s="11" t="s">
        <v>324</v>
      </c>
      <c r="W1499" s="5" t="s">
        <v>205</v>
      </c>
      <c r="X1499" s="5" t="s">
        <v>255</v>
      </c>
      <c r="Y1499" s="5"/>
      <c r="Z1499" s="5"/>
      <c r="AA1499" s="11" t="s">
        <v>179</v>
      </c>
      <c r="AB1499" s="5" t="s">
        <v>245</v>
      </c>
      <c r="AC1499" s="5"/>
      <c r="AD1499" s="11" t="s">
        <v>3715</v>
      </c>
      <c r="AE1499" s="23" t="n">
        <v>0.25</v>
      </c>
      <c r="AF1499" s="23" t="n">
        <v>0</v>
      </c>
      <c r="AG1499" s="23" t="n">
        <v>1</v>
      </c>
      <c r="AH1499" s="23" t="n">
        <v>1</v>
      </c>
      <c r="AI1499" s="23" t="n">
        <v>1</v>
      </c>
      <c r="AJ1499" s="23" t="n">
        <v>0.7904</v>
      </c>
      <c r="AK1499" s="23" t="n">
        <v>0.5</v>
      </c>
      <c r="AL1499" s="23" t="n">
        <v>0.3</v>
      </c>
      <c r="AM1499" s="16" t="n">
        <f aca="false">COUNTIFS($D$2:$D$2501,D1499,$G$2:$G$2501,"&gt;"&amp;G1499)+COUNTIFS($D$2:D1499,D1499,$G$2:G1499,G1499)</f>
        <v>103</v>
      </c>
      <c r="AN1499" s="5" t="str">
        <f aca="false">D1499&amp;"|"&amp;AM1499</f>
        <v>文件與影像辨識|103</v>
      </c>
    </row>
    <row r="1500" customFormat="false" ht="17.15" hidden="false" customHeight="false" outlineLevel="0" collapsed="false">
      <c r="A1500" s="16" t="n">
        <f aca="false">RANK(G1500,$G$2:$G$2501)+COUNTIF($G$2:G1500,G1500)-1</f>
        <v>1499</v>
      </c>
      <c r="B1500" s="11" t="s">
        <v>3716</v>
      </c>
      <c r="C1500" s="11" t="s">
        <v>3717</v>
      </c>
      <c r="D1500" s="5" t="s">
        <v>56</v>
      </c>
      <c r="E1500" s="5" t="s">
        <v>57</v>
      </c>
      <c r="F1500" s="5"/>
      <c r="G1500" s="22" t="n">
        <f aca="false">ROUND(SUM(I1500:P1500),3)</f>
        <v>59.402</v>
      </c>
      <c r="H1500" s="5" t="str">
        <f aca="false">IF(G1500&gt;=評分方法!$C$16,"優先評估",IF(G1500&gt;=評分方法!$C$17,"列入候選",IF(G1500&gt;=評分方法!$C$18,"特定情境","不建議")))</f>
        <v>不建議</v>
      </c>
      <c r="I1500" s="15" t="n">
        <f aca="false">AE1500*評分方法!$C$5</f>
        <v>25.5</v>
      </c>
      <c r="J1500" s="15" t="n">
        <f aca="false">AF1500*評分方法!$C$6</f>
        <v>0</v>
      </c>
      <c r="K1500" s="15" t="n">
        <f aca="false">AG1500*評分方法!$C$7</f>
        <v>4.95</v>
      </c>
      <c r="L1500" s="15" t="n">
        <f aca="false">AH1500*評分方法!$C$8</f>
        <v>15</v>
      </c>
      <c r="M1500" s="15" t="n">
        <f aca="false">AI1500*評分方法!$C$9</f>
        <v>2</v>
      </c>
      <c r="N1500" s="15" t="n">
        <f aca="false">AJ1500*評分方法!$C$10</f>
        <v>7.952</v>
      </c>
      <c r="O1500" s="15" t="n">
        <f aca="false">AK1500*評分方法!$C$11</f>
        <v>1</v>
      </c>
      <c r="P1500" s="15" t="n">
        <f aca="false">AL1500*評分方法!$C$12</f>
        <v>3</v>
      </c>
      <c r="Q1500" s="6" t="n">
        <v>1509644</v>
      </c>
      <c r="R1500" s="6" t="n">
        <v>246961152</v>
      </c>
      <c r="S1500" s="11" t="s">
        <v>238</v>
      </c>
      <c r="T1500" s="5"/>
      <c r="U1500" s="5" t="s">
        <v>375</v>
      </c>
      <c r="V1500" s="11" t="s">
        <v>261</v>
      </c>
      <c r="W1500" s="5" t="s">
        <v>334</v>
      </c>
      <c r="X1500" s="5" t="s">
        <v>371</v>
      </c>
      <c r="Y1500" s="5"/>
      <c r="Z1500" s="5"/>
      <c r="AA1500" s="11" t="s">
        <v>155</v>
      </c>
      <c r="AB1500" s="5" t="s">
        <v>245</v>
      </c>
      <c r="AC1500" s="5" t="s">
        <v>262</v>
      </c>
      <c r="AD1500" s="11" t="s">
        <v>3718</v>
      </c>
      <c r="AE1500" s="23" t="n">
        <v>0.85</v>
      </c>
      <c r="AF1500" s="23" t="n">
        <v>0</v>
      </c>
      <c r="AG1500" s="23" t="n">
        <v>0.33</v>
      </c>
      <c r="AH1500" s="23" t="n">
        <v>1</v>
      </c>
      <c r="AI1500" s="23" t="n">
        <v>0.2</v>
      </c>
      <c r="AJ1500" s="23" t="n">
        <v>0.7952</v>
      </c>
      <c r="AK1500" s="23" t="n">
        <v>0.2</v>
      </c>
      <c r="AL1500" s="23" t="n">
        <v>0.6</v>
      </c>
      <c r="AM1500" s="16" t="n">
        <f aca="false">COUNTIFS($D$2:$D$2501,D1500,$G$2:$G$2501,"&gt;"&amp;G1500)+COUNTIFS($D$2:D1500,D1500,$G$2:G1500,G1500)</f>
        <v>702</v>
      </c>
      <c r="AN1500" s="5" t="str">
        <f aca="false">D1500&amp;"|"&amp;AM1500</f>
        <v>分析與報告生成|702</v>
      </c>
    </row>
    <row r="1501" customFormat="false" ht="17.15" hidden="false" customHeight="false" outlineLevel="0" collapsed="false">
      <c r="A1501" s="16" t="n">
        <f aca="false">RANK(G1501,$G$2:$G$2501)+COUNTIF($G$2:G1501,G1501)-1</f>
        <v>1500</v>
      </c>
      <c r="B1501" s="11" t="s">
        <v>3719</v>
      </c>
      <c r="C1501" s="11" t="s">
        <v>2693</v>
      </c>
      <c r="D1501" s="5" t="s">
        <v>74</v>
      </c>
      <c r="E1501" s="5" t="s">
        <v>75</v>
      </c>
      <c r="F1501" s="5"/>
      <c r="G1501" s="22" t="n">
        <f aca="false">ROUND(SUM(I1501:P1501),3)</f>
        <v>59.384</v>
      </c>
      <c r="H1501" s="5" t="str">
        <f aca="false">IF(G1501&gt;=評分方法!$C$16,"優先評估",IF(G1501&gt;=評分方法!$C$17,"列入候選",IF(G1501&gt;=評分方法!$C$18,"特定情境","不建議")))</f>
        <v>不建議</v>
      </c>
      <c r="I1501" s="15" t="n">
        <f aca="false">AE1501*評分方法!$C$5</f>
        <v>12</v>
      </c>
      <c r="J1501" s="15" t="n">
        <f aca="false">AF1501*評分方法!$C$6</f>
        <v>0</v>
      </c>
      <c r="K1501" s="15" t="n">
        <f aca="false">AG1501*評分方法!$C$7</f>
        <v>15</v>
      </c>
      <c r="L1501" s="15" t="n">
        <f aca="false">AH1501*評分方法!$C$8</f>
        <v>15</v>
      </c>
      <c r="M1501" s="15" t="n">
        <f aca="false">AI1501*評分方法!$C$9</f>
        <v>10</v>
      </c>
      <c r="N1501" s="15" t="n">
        <f aca="false">AJ1501*評分方法!$C$10</f>
        <v>3.384</v>
      </c>
      <c r="O1501" s="15" t="n">
        <f aca="false">AK1501*評分方法!$C$11</f>
        <v>2.5</v>
      </c>
      <c r="P1501" s="15" t="n">
        <f aca="false">AL1501*評分方法!$C$12</f>
        <v>1.5</v>
      </c>
      <c r="Q1501" s="6" t="n">
        <v>337970</v>
      </c>
      <c r="R1501" s="6" t="n">
        <v>38370144</v>
      </c>
      <c r="S1501" s="11" t="s">
        <v>238</v>
      </c>
      <c r="T1501" s="11" t="s">
        <v>278</v>
      </c>
      <c r="U1501" s="5" t="s">
        <v>240</v>
      </c>
      <c r="V1501" s="11" t="s">
        <v>324</v>
      </c>
      <c r="W1501" s="5" t="s">
        <v>205</v>
      </c>
      <c r="X1501" s="5" t="s">
        <v>255</v>
      </c>
      <c r="Y1501" s="5"/>
      <c r="Z1501" s="5"/>
      <c r="AA1501" s="11" t="s">
        <v>167</v>
      </c>
      <c r="AB1501" s="5" t="s">
        <v>245</v>
      </c>
      <c r="AC1501" s="5"/>
      <c r="AD1501" s="11" t="s">
        <v>3720</v>
      </c>
      <c r="AE1501" s="23" t="n">
        <v>0.4</v>
      </c>
      <c r="AF1501" s="23" t="n">
        <v>0</v>
      </c>
      <c r="AG1501" s="23" t="n">
        <v>1</v>
      </c>
      <c r="AH1501" s="23" t="n">
        <v>1</v>
      </c>
      <c r="AI1501" s="23" t="n">
        <v>1</v>
      </c>
      <c r="AJ1501" s="23" t="n">
        <v>0.3384</v>
      </c>
      <c r="AK1501" s="23" t="n">
        <v>0.5</v>
      </c>
      <c r="AL1501" s="23" t="n">
        <v>0.3</v>
      </c>
      <c r="AM1501" s="16" t="n">
        <f aca="false">COUNTIFS($D$2:$D$2501,D1501,$G$2:$G$2501,"&gt;"&amp;G1501)+COUNTIFS($D$2:D1501,D1501,$G$2:G1501,G1501)</f>
        <v>104</v>
      </c>
      <c r="AN1501" s="5" t="str">
        <f aca="false">D1501&amp;"|"&amp;AM1501</f>
        <v>文件與影像辨識|104</v>
      </c>
    </row>
    <row r="1502" customFormat="false" ht="17.15" hidden="false" customHeight="false" outlineLevel="0" collapsed="false">
      <c r="A1502" s="16" t="n">
        <f aca="false">RANK(G1502,$G$2:$G$2501)+COUNTIF($G$2:G1502,G1502)-1</f>
        <v>1501</v>
      </c>
      <c r="B1502" s="11" t="s">
        <v>3721</v>
      </c>
      <c r="C1502" s="11" t="s">
        <v>3722</v>
      </c>
      <c r="D1502" s="5" t="s">
        <v>56</v>
      </c>
      <c r="E1502" s="5" t="s">
        <v>57</v>
      </c>
      <c r="F1502" s="5"/>
      <c r="G1502" s="22" t="n">
        <f aca="false">ROUND(SUM(I1502:P1502),3)</f>
        <v>59.362</v>
      </c>
      <c r="H1502" s="5" t="str">
        <f aca="false">IF(G1502&gt;=評分方法!$C$16,"優先評估",IF(G1502&gt;=評分方法!$C$17,"列入候選",IF(G1502&gt;=評分方法!$C$18,"特定情境","不建議")))</f>
        <v>不建議</v>
      </c>
      <c r="I1502" s="15" t="n">
        <f aca="false">AE1502*評分方法!$C$5</f>
        <v>25.5</v>
      </c>
      <c r="J1502" s="15" t="n">
        <f aca="false">AF1502*評分方法!$C$6</f>
        <v>0</v>
      </c>
      <c r="K1502" s="15" t="n">
        <f aca="false">AG1502*評分方法!$C$7</f>
        <v>4.95</v>
      </c>
      <c r="L1502" s="15" t="n">
        <f aca="false">AH1502*評分方法!$C$8</f>
        <v>9</v>
      </c>
      <c r="M1502" s="15" t="n">
        <f aca="false">AI1502*評分方法!$C$9</f>
        <v>10</v>
      </c>
      <c r="N1502" s="15" t="n">
        <f aca="false">AJ1502*評分方法!$C$10</f>
        <v>2.912</v>
      </c>
      <c r="O1502" s="15" t="n">
        <f aca="false">AK1502*評分方法!$C$11</f>
        <v>4</v>
      </c>
      <c r="P1502" s="15" t="n">
        <f aca="false">AL1502*評分方法!$C$12</f>
        <v>3</v>
      </c>
      <c r="Q1502" s="6" t="n">
        <v>286869</v>
      </c>
      <c r="R1502" s="6" t="n">
        <v>31730694816</v>
      </c>
      <c r="S1502" s="11" t="s">
        <v>389</v>
      </c>
      <c r="T1502" s="11" t="s">
        <v>239</v>
      </c>
      <c r="U1502" s="5" t="s">
        <v>240</v>
      </c>
      <c r="V1502" s="11" t="s">
        <v>261</v>
      </c>
      <c r="W1502" s="5" t="s">
        <v>334</v>
      </c>
      <c r="X1502" s="5" t="s">
        <v>371</v>
      </c>
      <c r="Y1502" s="11" t="s">
        <v>583</v>
      </c>
      <c r="Z1502" s="11" t="s">
        <v>244</v>
      </c>
      <c r="AA1502" s="11" t="s">
        <v>155</v>
      </c>
      <c r="AB1502" s="5" t="s">
        <v>245</v>
      </c>
      <c r="AC1502" s="5" t="s">
        <v>246</v>
      </c>
      <c r="AD1502" s="11" t="s">
        <v>3723</v>
      </c>
      <c r="AE1502" s="23" t="n">
        <v>0.85</v>
      </c>
      <c r="AF1502" s="23" t="n">
        <v>0</v>
      </c>
      <c r="AG1502" s="23" t="n">
        <v>0.33</v>
      </c>
      <c r="AH1502" s="23" t="n">
        <v>0.6</v>
      </c>
      <c r="AI1502" s="23" t="n">
        <v>1</v>
      </c>
      <c r="AJ1502" s="23" t="n">
        <v>0.2912</v>
      </c>
      <c r="AK1502" s="23" t="n">
        <v>0.8</v>
      </c>
      <c r="AL1502" s="23" t="n">
        <v>0.6</v>
      </c>
      <c r="AM1502" s="16" t="n">
        <f aca="false">COUNTIFS($D$2:$D$2501,D1502,$G$2:$G$2501,"&gt;"&amp;G1502)+COUNTIFS($D$2:D1502,D1502,$G$2:G1502,G1502)</f>
        <v>703</v>
      </c>
      <c r="AN1502" s="5" t="str">
        <f aca="false">D1502&amp;"|"&amp;AM1502</f>
        <v>分析與報告生成|703</v>
      </c>
    </row>
    <row r="1503" customFormat="false" ht="17.15" hidden="false" customHeight="false" outlineLevel="0" collapsed="false">
      <c r="A1503" s="16" t="n">
        <f aca="false">RANK(G1503,$G$2:$G$2501)+COUNTIF($G$2:G1503,G1503)-1</f>
        <v>1502</v>
      </c>
      <c r="B1503" s="11" t="s">
        <v>3724</v>
      </c>
      <c r="C1503" s="11" t="s">
        <v>3725</v>
      </c>
      <c r="D1503" s="5" t="s">
        <v>56</v>
      </c>
      <c r="E1503" s="5" t="s">
        <v>57</v>
      </c>
      <c r="F1503" s="5"/>
      <c r="G1503" s="22" t="n">
        <f aca="false">ROUND(SUM(I1503:P1503),3)</f>
        <v>59.36</v>
      </c>
      <c r="H1503" s="5" t="str">
        <f aca="false">IF(G1503&gt;=評分方法!$C$16,"優先評估",IF(G1503&gt;=評分方法!$C$17,"列入候選",IF(G1503&gt;=評分方法!$C$18,"特定情境","不建議")))</f>
        <v>不建議</v>
      </c>
      <c r="I1503" s="15" t="n">
        <f aca="false">AE1503*評分方法!$C$5</f>
        <v>25.5</v>
      </c>
      <c r="J1503" s="15" t="n">
        <f aca="false">AF1503*評分方法!$C$6</f>
        <v>0</v>
      </c>
      <c r="K1503" s="15" t="n">
        <f aca="false">AG1503*評分方法!$C$7</f>
        <v>4.95</v>
      </c>
      <c r="L1503" s="15" t="n">
        <f aca="false">AH1503*評分方法!$C$8</f>
        <v>13.05</v>
      </c>
      <c r="M1503" s="15" t="n">
        <f aca="false">AI1503*評分方法!$C$9</f>
        <v>10</v>
      </c>
      <c r="N1503" s="15" t="n">
        <f aca="false">AJ1503*評分方法!$C$10</f>
        <v>3.36</v>
      </c>
      <c r="O1503" s="15" t="n">
        <f aca="false">AK1503*評分方法!$C$11</f>
        <v>2.5</v>
      </c>
      <c r="P1503" s="15" t="n">
        <f aca="false">AL1503*評分方法!$C$12</f>
        <v>0</v>
      </c>
      <c r="Q1503" s="6" t="n">
        <v>334430</v>
      </c>
      <c r="R1503" s="6" t="n">
        <v>7615616512</v>
      </c>
      <c r="S1503" s="11" t="s">
        <v>254</v>
      </c>
      <c r="T1503" s="11" t="s">
        <v>239</v>
      </c>
      <c r="U1503" s="5" t="s">
        <v>240</v>
      </c>
      <c r="V1503" s="11" t="s">
        <v>333</v>
      </c>
      <c r="W1503" s="5" t="s">
        <v>334</v>
      </c>
      <c r="X1503" s="5" t="s">
        <v>242</v>
      </c>
      <c r="Y1503" s="5"/>
      <c r="Z1503" s="5"/>
      <c r="AA1503" s="11" t="s">
        <v>156</v>
      </c>
      <c r="AB1503" s="5" t="s">
        <v>245</v>
      </c>
      <c r="AC1503" s="5"/>
      <c r="AD1503" s="11" t="s">
        <v>3726</v>
      </c>
      <c r="AE1503" s="23" t="n">
        <v>0.85</v>
      </c>
      <c r="AF1503" s="23" t="n">
        <v>0</v>
      </c>
      <c r="AG1503" s="23" t="n">
        <v>0.33</v>
      </c>
      <c r="AH1503" s="23" t="n">
        <v>0.87</v>
      </c>
      <c r="AI1503" s="23" t="n">
        <v>1</v>
      </c>
      <c r="AJ1503" s="23" t="n">
        <v>0.336</v>
      </c>
      <c r="AK1503" s="23" t="n">
        <v>0.5</v>
      </c>
      <c r="AL1503" s="23" t="n">
        <v>0</v>
      </c>
      <c r="AM1503" s="16" t="n">
        <f aca="false">COUNTIFS($D$2:$D$2501,D1503,$G$2:$G$2501,"&gt;"&amp;G1503)+COUNTIFS($D$2:D1503,D1503,$G$2:G1503,G1503)</f>
        <v>704</v>
      </c>
      <c r="AN1503" s="5" t="str">
        <f aca="false">D1503&amp;"|"&amp;AM1503</f>
        <v>分析與報告生成|704</v>
      </c>
    </row>
    <row r="1504" customFormat="false" ht="17.15" hidden="false" customHeight="false" outlineLevel="0" collapsed="false">
      <c r="A1504" s="16" t="n">
        <f aca="false">RANK(G1504,$G$2:$G$2501)+COUNTIF($G$2:G1504,G1504)-1</f>
        <v>1503</v>
      </c>
      <c r="B1504" s="11" t="s">
        <v>3727</v>
      </c>
      <c r="C1504" s="11" t="s">
        <v>1111</v>
      </c>
      <c r="D1504" s="5" t="s">
        <v>56</v>
      </c>
      <c r="E1504" s="5" t="s">
        <v>57</v>
      </c>
      <c r="F1504" s="5"/>
      <c r="G1504" s="22" t="n">
        <f aca="false">ROUND(SUM(I1504:P1504),3)</f>
        <v>59.348</v>
      </c>
      <c r="H1504" s="5" t="str">
        <f aca="false">IF(G1504&gt;=評分方法!$C$16,"優先評估",IF(G1504&gt;=評分方法!$C$17,"列入候選",IF(G1504&gt;=評分方法!$C$18,"特定情境","不建議")))</f>
        <v>不建議</v>
      </c>
      <c r="I1504" s="15" t="n">
        <f aca="false">AE1504*評分方法!$C$5</f>
        <v>25.5</v>
      </c>
      <c r="J1504" s="15" t="n">
        <f aca="false">AF1504*評分方法!$C$6</f>
        <v>0</v>
      </c>
      <c r="K1504" s="15" t="n">
        <f aca="false">AG1504*評分方法!$C$7</f>
        <v>10.05</v>
      </c>
      <c r="L1504" s="15" t="n">
        <f aca="false">AH1504*評分方法!$C$8</f>
        <v>13.05</v>
      </c>
      <c r="M1504" s="15" t="n">
        <f aca="false">AI1504*評分方法!$C$9</f>
        <v>2</v>
      </c>
      <c r="N1504" s="15" t="n">
        <f aca="false">AJ1504*評分方法!$C$10</f>
        <v>0.748</v>
      </c>
      <c r="O1504" s="15" t="n">
        <f aca="false">AK1504*評分方法!$C$11</f>
        <v>5</v>
      </c>
      <c r="P1504" s="15" t="n">
        <f aca="false">AL1504*評分方法!$C$12</f>
        <v>3</v>
      </c>
      <c r="Q1504" s="6" t="n">
        <v>144949</v>
      </c>
      <c r="R1504" s="6" t="n">
        <v>1498482688</v>
      </c>
      <c r="S1504" s="11" t="s">
        <v>254</v>
      </c>
      <c r="T1504" s="5"/>
      <c r="U1504" s="5" t="s">
        <v>375</v>
      </c>
      <c r="V1504" s="11" t="s">
        <v>261</v>
      </c>
      <c r="W1504" s="5" t="s">
        <v>207</v>
      </c>
      <c r="X1504" s="5" t="s">
        <v>371</v>
      </c>
      <c r="Y1504" s="11" t="s">
        <v>1357</v>
      </c>
      <c r="Z1504" s="11" t="s">
        <v>244</v>
      </c>
      <c r="AA1504" s="11" t="s">
        <v>155</v>
      </c>
      <c r="AB1504" s="5" t="s">
        <v>496</v>
      </c>
      <c r="AC1504" s="5" t="s">
        <v>1108</v>
      </c>
      <c r="AD1504" s="11" t="s">
        <v>3728</v>
      </c>
      <c r="AE1504" s="23" t="n">
        <v>0.85</v>
      </c>
      <c r="AF1504" s="23" t="n">
        <v>0</v>
      </c>
      <c r="AG1504" s="23" t="n">
        <v>0.67</v>
      </c>
      <c r="AH1504" s="23" t="n">
        <v>0.87</v>
      </c>
      <c r="AI1504" s="23" t="n">
        <v>0.2</v>
      </c>
      <c r="AJ1504" s="23" t="n">
        <v>0.0748</v>
      </c>
      <c r="AK1504" s="23" t="n">
        <v>1</v>
      </c>
      <c r="AL1504" s="23" t="n">
        <v>0.6</v>
      </c>
      <c r="AM1504" s="16" t="n">
        <f aca="false">COUNTIFS($D$2:$D$2501,D1504,$G$2:$G$2501,"&gt;"&amp;G1504)+COUNTIFS($D$2:D1504,D1504,$G$2:G1504,G1504)</f>
        <v>705</v>
      </c>
      <c r="AN1504" s="5" t="str">
        <f aca="false">D1504&amp;"|"&amp;AM1504</f>
        <v>分析與報告生成|705</v>
      </c>
    </row>
    <row r="1505" customFormat="false" ht="17.15" hidden="false" customHeight="false" outlineLevel="0" collapsed="false">
      <c r="A1505" s="16" t="n">
        <f aca="false">RANK(G1505,$G$2:$G$2501)+COUNTIF($G$2:G1505,G1505)-1</f>
        <v>1504</v>
      </c>
      <c r="B1505" s="11" t="s">
        <v>3729</v>
      </c>
      <c r="C1505" s="11" t="s">
        <v>2785</v>
      </c>
      <c r="D1505" s="5" t="s">
        <v>56</v>
      </c>
      <c r="E1505" s="5" t="s">
        <v>57</v>
      </c>
      <c r="F1505" s="5"/>
      <c r="G1505" s="22" t="n">
        <f aca="false">ROUND(SUM(I1505:P1505),3)</f>
        <v>59.34</v>
      </c>
      <c r="H1505" s="5" t="str">
        <f aca="false">IF(G1505&gt;=評分方法!$C$16,"優先評估",IF(G1505&gt;=評分方法!$C$17,"列入候選",IF(G1505&gt;=評分方法!$C$18,"特定情境","不建議")))</f>
        <v>不建議</v>
      </c>
      <c r="I1505" s="15" t="n">
        <f aca="false">AE1505*評分方法!$C$5</f>
        <v>25.5</v>
      </c>
      <c r="J1505" s="15" t="n">
        <f aca="false">AF1505*評分方法!$C$6</f>
        <v>0</v>
      </c>
      <c r="K1505" s="15" t="n">
        <f aca="false">AG1505*評分方法!$C$7</f>
        <v>10.05</v>
      </c>
      <c r="L1505" s="15" t="n">
        <f aca="false">AH1505*評分方法!$C$8</f>
        <v>13.05</v>
      </c>
      <c r="M1505" s="15" t="n">
        <f aca="false">AI1505*評分方法!$C$9</f>
        <v>6</v>
      </c>
      <c r="N1505" s="15" t="n">
        <f aca="false">AJ1505*評分方法!$C$10</f>
        <v>3.74</v>
      </c>
      <c r="O1505" s="15" t="n">
        <f aca="false">AK1505*評分方法!$C$11</f>
        <v>1</v>
      </c>
      <c r="P1505" s="15" t="n">
        <f aca="false">AL1505*評分方法!$C$12</f>
        <v>0</v>
      </c>
      <c r="Q1505" s="6" t="n">
        <v>383505</v>
      </c>
      <c r="R1505" s="6" t="n">
        <v>8030261248</v>
      </c>
      <c r="S1505" s="11" t="s">
        <v>254</v>
      </c>
      <c r="T1505" s="11" t="s">
        <v>259</v>
      </c>
      <c r="U1505" s="5" t="s">
        <v>260</v>
      </c>
      <c r="V1505" s="11" t="s">
        <v>324</v>
      </c>
      <c r="W1505" s="5" t="s">
        <v>207</v>
      </c>
      <c r="X1505" s="5" t="s">
        <v>242</v>
      </c>
      <c r="Y1505" s="5"/>
      <c r="Z1505" s="5"/>
      <c r="AA1505" s="11" t="s">
        <v>155</v>
      </c>
      <c r="AB1505" s="5" t="s">
        <v>245</v>
      </c>
      <c r="AC1505" s="5" t="s">
        <v>262</v>
      </c>
      <c r="AD1505" s="11" t="s">
        <v>3730</v>
      </c>
      <c r="AE1505" s="23" t="n">
        <v>0.85</v>
      </c>
      <c r="AF1505" s="23" t="n">
        <v>0</v>
      </c>
      <c r="AG1505" s="23" t="n">
        <v>0.67</v>
      </c>
      <c r="AH1505" s="23" t="n">
        <v>0.87</v>
      </c>
      <c r="AI1505" s="23" t="n">
        <v>0.6</v>
      </c>
      <c r="AJ1505" s="23" t="n">
        <v>0.374</v>
      </c>
      <c r="AK1505" s="23" t="n">
        <v>0.2</v>
      </c>
      <c r="AL1505" s="23" t="n">
        <v>0</v>
      </c>
      <c r="AM1505" s="16" t="n">
        <f aca="false">COUNTIFS($D$2:$D$2501,D1505,$G$2:$G$2501,"&gt;"&amp;G1505)+COUNTIFS($D$2:D1505,D1505,$G$2:G1505,G1505)</f>
        <v>706</v>
      </c>
      <c r="AN1505" s="5" t="str">
        <f aca="false">D1505&amp;"|"&amp;AM1505</f>
        <v>分析與報告生成|706</v>
      </c>
    </row>
    <row r="1506" customFormat="false" ht="17.15" hidden="false" customHeight="false" outlineLevel="0" collapsed="false">
      <c r="A1506" s="16" t="n">
        <f aca="false">RANK(G1506,$G$2:$G$2501)+COUNTIF($G$2:G1506,G1506)-1</f>
        <v>1505</v>
      </c>
      <c r="B1506" s="11" t="s">
        <v>3731</v>
      </c>
      <c r="C1506" s="11" t="s">
        <v>3732</v>
      </c>
      <c r="D1506" s="5" t="s">
        <v>74</v>
      </c>
      <c r="E1506" s="5" t="s">
        <v>75</v>
      </c>
      <c r="F1506" s="5"/>
      <c r="G1506" s="22" t="n">
        <f aca="false">ROUND(SUM(I1506:P1506),3)</f>
        <v>59.334</v>
      </c>
      <c r="H1506" s="5" t="str">
        <f aca="false">IF(G1506&gt;=評分方法!$C$16,"優先評估",IF(G1506&gt;=評分方法!$C$17,"列入候選",IF(G1506&gt;=評分方法!$C$18,"特定情境","不建議")))</f>
        <v>不建議</v>
      </c>
      <c r="I1506" s="15" t="n">
        <f aca="false">AE1506*評分方法!$C$5</f>
        <v>10.5</v>
      </c>
      <c r="J1506" s="15" t="n">
        <f aca="false">AF1506*評分方法!$C$6</f>
        <v>0</v>
      </c>
      <c r="K1506" s="15" t="n">
        <f aca="false">AG1506*評分方法!$C$7</f>
        <v>10.05</v>
      </c>
      <c r="L1506" s="15" t="n">
        <f aca="false">AH1506*評分方法!$C$8</f>
        <v>15</v>
      </c>
      <c r="M1506" s="15" t="n">
        <f aca="false">AI1506*評分方法!$C$9</f>
        <v>10</v>
      </c>
      <c r="N1506" s="15" t="n">
        <f aca="false">AJ1506*評分方法!$C$10</f>
        <v>9.784</v>
      </c>
      <c r="O1506" s="15" t="n">
        <f aca="false">AK1506*評分方法!$C$11</f>
        <v>2.5</v>
      </c>
      <c r="P1506" s="15" t="n">
        <f aca="false">AL1506*評分方法!$C$12</f>
        <v>1.5</v>
      </c>
      <c r="Q1506" s="6" t="n">
        <v>19677749</v>
      </c>
      <c r="R1506" s="6" t="n">
        <v>85805577</v>
      </c>
      <c r="S1506" s="11" t="s">
        <v>238</v>
      </c>
      <c r="T1506" s="11" t="s">
        <v>239</v>
      </c>
      <c r="U1506" s="5" t="s">
        <v>240</v>
      </c>
      <c r="V1506" s="11" t="s">
        <v>261</v>
      </c>
      <c r="W1506" s="5" t="s">
        <v>207</v>
      </c>
      <c r="X1506" s="5" t="s">
        <v>255</v>
      </c>
      <c r="Y1506" s="11" t="s">
        <v>3146</v>
      </c>
      <c r="Z1506" s="11" t="s">
        <v>270</v>
      </c>
      <c r="AA1506" s="11" t="s">
        <v>172</v>
      </c>
      <c r="AB1506" s="5" t="s">
        <v>245</v>
      </c>
      <c r="AC1506" s="5"/>
      <c r="AD1506" s="11" t="s">
        <v>3733</v>
      </c>
      <c r="AE1506" s="23" t="n">
        <v>0.35</v>
      </c>
      <c r="AF1506" s="23" t="n">
        <v>0</v>
      </c>
      <c r="AG1506" s="23" t="n">
        <v>0.67</v>
      </c>
      <c r="AH1506" s="23" t="n">
        <v>1</v>
      </c>
      <c r="AI1506" s="23" t="n">
        <v>1</v>
      </c>
      <c r="AJ1506" s="23" t="n">
        <v>0.9784</v>
      </c>
      <c r="AK1506" s="23" t="n">
        <v>0.5</v>
      </c>
      <c r="AL1506" s="23" t="n">
        <v>0.3</v>
      </c>
      <c r="AM1506" s="16" t="n">
        <f aca="false">COUNTIFS($D$2:$D$2501,D1506,$G$2:$G$2501,"&gt;"&amp;G1506)+COUNTIFS($D$2:D1506,D1506,$G$2:G1506,G1506)</f>
        <v>105</v>
      </c>
      <c r="AN1506" s="5" t="str">
        <f aca="false">D1506&amp;"|"&amp;AM1506</f>
        <v>文件與影像辨識|105</v>
      </c>
    </row>
    <row r="1507" customFormat="false" ht="17.15" hidden="false" customHeight="false" outlineLevel="0" collapsed="false">
      <c r="A1507" s="16" t="n">
        <f aca="false">RANK(G1507,$G$2:$G$2501)+COUNTIF($G$2:G1507,G1507)-1</f>
        <v>1506</v>
      </c>
      <c r="B1507" s="11" t="s">
        <v>3734</v>
      </c>
      <c r="C1507" s="11" t="s">
        <v>2693</v>
      </c>
      <c r="D1507" s="5" t="s">
        <v>74</v>
      </c>
      <c r="E1507" s="5" t="s">
        <v>75</v>
      </c>
      <c r="F1507" s="5"/>
      <c r="G1507" s="22" t="n">
        <f aca="false">ROUND(SUM(I1507:P1507),3)</f>
        <v>59.296</v>
      </c>
      <c r="H1507" s="5" t="str">
        <f aca="false">IF(G1507&gt;=評分方法!$C$16,"優先評估",IF(G1507&gt;=評分方法!$C$17,"列入候選",IF(G1507&gt;=評分方法!$C$18,"特定情境","不建議")))</f>
        <v>不建議</v>
      </c>
      <c r="I1507" s="15" t="n">
        <f aca="false">AE1507*評分方法!$C$5</f>
        <v>10.5</v>
      </c>
      <c r="J1507" s="15" t="n">
        <f aca="false">AF1507*評分方法!$C$6</f>
        <v>0</v>
      </c>
      <c r="K1507" s="15" t="n">
        <f aca="false">AG1507*評分方法!$C$7</f>
        <v>15</v>
      </c>
      <c r="L1507" s="15" t="n">
        <f aca="false">AH1507*評分方法!$C$8</f>
        <v>15</v>
      </c>
      <c r="M1507" s="15" t="n">
        <f aca="false">AI1507*評分方法!$C$9</f>
        <v>10</v>
      </c>
      <c r="N1507" s="15" t="n">
        <f aca="false">AJ1507*評分方法!$C$10</f>
        <v>4.796</v>
      </c>
      <c r="O1507" s="15" t="n">
        <f aca="false">AK1507*評分方法!$C$11</f>
        <v>2.5</v>
      </c>
      <c r="P1507" s="15" t="n">
        <f aca="false">AL1507*評分方法!$C$12</f>
        <v>1.5</v>
      </c>
      <c r="Q1507" s="6" t="n">
        <v>522880</v>
      </c>
      <c r="R1507" s="6" t="n">
        <v>50223688</v>
      </c>
      <c r="S1507" s="11" t="s">
        <v>238</v>
      </c>
      <c r="T1507" s="11" t="s">
        <v>239</v>
      </c>
      <c r="U1507" s="5" t="s">
        <v>240</v>
      </c>
      <c r="V1507" s="11" t="s">
        <v>324</v>
      </c>
      <c r="W1507" s="5" t="s">
        <v>205</v>
      </c>
      <c r="X1507" s="5" t="s">
        <v>255</v>
      </c>
      <c r="Y1507" s="5"/>
      <c r="Z1507" s="5"/>
      <c r="AA1507" s="11" t="s">
        <v>172</v>
      </c>
      <c r="AB1507" s="5" t="s">
        <v>245</v>
      </c>
      <c r="AC1507" s="5"/>
      <c r="AD1507" s="11" t="s">
        <v>3735</v>
      </c>
      <c r="AE1507" s="23" t="n">
        <v>0.35</v>
      </c>
      <c r="AF1507" s="23" t="n">
        <v>0</v>
      </c>
      <c r="AG1507" s="23" t="n">
        <v>1</v>
      </c>
      <c r="AH1507" s="23" t="n">
        <v>1</v>
      </c>
      <c r="AI1507" s="23" t="n">
        <v>1</v>
      </c>
      <c r="AJ1507" s="23" t="n">
        <v>0.4796</v>
      </c>
      <c r="AK1507" s="23" t="n">
        <v>0.5</v>
      </c>
      <c r="AL1507" s="23" t="n">
        <v>0.3</v>
      </c>
      <c r="AM1507" s="16" t="n">
        <f aca="false">COUNTIFS($D$2:$D$2501,D1507,$G$2:$G$2501,"&gt;"&amp;G1507)+COUNTIFS($D$2:D1507,D1507,$G$2:G1507,G1507)</f>
        <v>106</v>
      </c>
      <c r="AN1507" s="5" t="str">
        <f aca="false">D1507&amp;"|"&amp;AM1507</f>
        <v>文件與影像辨識|106</v>
      </c>
    </row>
    <row r="1508" customFormat="false" ht="17.15" hidden="false" customHeight="false" outlineLevel="0" collapsed="false">
      <c r="A1508" s="16" t="n">
        <f aca="false">RANK(G1508,$G$2:$G$2501)+COUNTIF($G$2:G1508,G1508)-1</f>
        <v>1507</v>
      </c>
      <c r="B1508" s="11" t="s">
        <v>3736</v>
      </c>
      <c r="C1508" s="11" t="s">
        <v>989</v>
      </c>
      <c r="D1508" s="5" t="s">
        <v>56</v>
      </c>
      <c r="E1508" s="5" t="s">
        <v>57</v>
      </c>
      <c r="F1508" s="5"/>
      <c r="G1508" s="22" t="n">
        <f aca="false">ROUND(SUM(I1508:P1508),3)</f>
        <v>59.292</v>
      </c>
      <c r="H1508" s="5" t="str">
        <f aca="false">IF(G1508&gt;=評分方法!$C$16,"優先評估",IF(G1508&gt;=評分方法!$C$17,"列入候選",IF(G1508&gt;=評分方法!$C$18,"特定情境","不建議")))</f>
        <v>不建議</v>
      </c>
      <c r="I1508" s="15" t="n">
        <f aca="false">AE1508*評分方法!$C$5</f>
        <v>25.5</v>
      </c>
      <c r="J1508" s="15" t="n">
        <f aca="false">AF1508*評分方法!$C$6</f>
        <v>0</v>
      </c>
      <c r="K1508" s="15" t="n">
        <f aca="false">AG1508*評分方法!$C$7</f>
        <v>10.05</v>
      </c>
      <c r="L1508" s="15" t="n">
        <f aca="false">AH1508*評分方法!$C$8</f>
        <v>13.05</v>
      </c>
      <c r="M1508" s="15" t="n">
        <f aca="false">AI1508*評分方法!$C$9</f>
        <v>2</v>
      </c>
      <c r="N1508" s="15" t="n">
        <f aca="false">AJ1508*評分方法!$C$10</f>
        <v>3.192</v>
      </c>
      <c r="O1508" s="15" t="n">
        <f aca="false">AK1508*評分方法!$C$11</f>
        <v>2.5</v>
      </c>
      <c r="P1508" s="15" t="n">
        <f aca="false">AL1508*評分方法!$C$12</f>
        <v>3</v>
      </c>
      <c r="Q1508" s="6" t="n">
        <v>315166</v>
      </c>
      <c r="R1508" s="6" t="n">
        <v>3880099328</v>
      </c>
      <c r="S1508" s="11" t="s">
        <v>254</v>
      </c>
      <c r="T1508" s="5"/>
      <c r="U1508" s="5" t="s">
        <v>375</v>
      </c>
      <c r="V1508" s="11" t="s">
        <v>333</v>
      </c>
      <c r="W1508" s="5" t="s">
        <v>207</v>
      </c>
      <c r="X1508" s="5" t="s">
        <v>371</v>
      </c>
      <c r="Y1508" s="11" t="s">
        <v>868</v>
      </c>
      <c r="Z1508" s="11" t="s">
        <v>244</v>
      </c>
      <c r="AA1508" s="11" t="s">
        <v>156</v>
      </c>
      <c r="AB1508" s="5" t="s">
        <v>245</v>
      </c>
      <c r="AC1508" s="5" t="s">
        <v>464</v>
      </c>
      <c r="AD1508" s="11" t="s">
        <v>3737</v>
      </c>
      <c r="AE1508" s="23" t="n">
        <v>0.85</v>
      </c>
      <c r="AF1508" s="23" t="n">
        <v>0</v>
      </c>
      <c r="AG1508" s="23" t="n">
        <v>0.67</v>
      </c>
      <c r="AH1508" s="23" t="n">
        <v>0.87</v>
      </c>
      <c r="AI1508" s="23" t="n">
        <v>0.2</v>
      </c>
      <c r="AJ1508" s="23" t="n">
        <v>0.3192</v>
      </c>
      <c r="AK1508" s="23" t="n">
        <v>0.5</v>
      </c>
      <c r="AL1508" s="23" t="n">
        <v>0.6</v>
      </c>
      <c r="AM1508" s="16" t="n">
        <f aca="false">COUNTIFS($D$2:$D$2501,D1508,$G$2:$G$2501,"&gt;"&amp;G1508)+COUNTIFS($D$2:D1508,D1508,$G$2:G1508,G1508)</f>
        <v>707</v>
      </c>
      <c r="AN1508" s="5" t="str">
        <f aca="false">D1508&amp;"|"&amp;AM1508</f>
        <v>分析與報告生成|707</v>
      </c>
    </row>
    <row r="1509" customFormat="false" ht="17.15" hidden="false" customHeight="false" outlineLevel="0" collapsed="false">
      <c r="A1509" s="16" t="n">
        <f aca="false">RANK(G1509,$G$2:$G$2501)+COUNTIF($G$2:G1509,G1509)-1</f>
        <v>1508</v>
      </c>
      <c r="B1509" s="11" t="s">
        <v>3738</v>
      </c>
      <c r="C1509" s="11" t="s">
        <v>3739</v>
      </c>
      <c r="D1509" s="5" t="s">
        <v>66</v>
      </c>
      <c r="E1509" s="5" t="s">
        <v>67</v>
      </c>
      <c r="F1509" s="5"/>
      <c r="G1509" s="22" t="n">
        <f aca="false">ROUND(SUM(I1509:P1509),3)</f>
        <v>59.282</v>
      </c>
      <c r="H1509" s="5" t="str">
        <f aca="false">IF(G1509&gt;=評分方法!$C$16,"優先評估",IF(G1509&gt;=評分方法!$C$17,"列入候選",IF(G1509&gt;=評分方法!$C$18,"特定情境","不建議")))</f>
        <v>不建議</v>
      </c>
      <c r="I1509" s="15" t="n">
        <f aca="false">AE1509*評分方法!$C$5</f>
        <v>30</v>
      </c>
      <c r="J1509" s="15" t="n">
        <f aca="false">AF1509*評分方法!$C$6</f>
        <v>0</v>
      </c>
      <c r="K1509" s="15" t="n">
        <f aca="false">AG1509*評分方法!$C$7</f>
        <v>4.95</v>
      </c>
      <c r="L1509" s="15" t="n">
        <f aca="false">AH1509*評分方法!$C$8</f>
        <v>15</v>
      </c>
      <c r="M1509" s="15" t="n">
        <f aca="false">AI1509*評分方法!$C$9</f>
        <v>2</v>
      </c>
      <c r="N1509" s="15" t="n">
        <f aca="false">AJ1509*評分方法!$C$10</f>
        <v>6.332</v>
      </c>
      <c r="O1509" s="15" t="n">
        <f aca="false">AK1509*評分方法!$C$11</f>
        <v>1</v>
      </c>
      <c r="P1509" s="15" t="n">
        <f aca="false">AL1509*評分方法!$C$12</f>
        <v>0</v>
      </c>
      <c r="Q1509" s="6" t="n">
        <v>703719</v>
      </c>
      <c r="R1509" s="6" t="n">
        <v>278045955</v>
      </c>
      <c r="S1509" s="11" t="s">
        <v>238</v>
      </c>
      <c r="T1509" s="5"/>
      <c r="U1509" s="5" t="s">
        <v>375</v>
      </c>
      <c r="V1509" s="11" t="s">
        <v>261</v>
      </c>
      <c r="W1509" s="5" t="s">
        <v>334</v>
      </c>
      <c r="X1509" s="5" t="s">
        <v>242</v>
      </c>
      <c r="Y1509" s="11" t="s">
        <v>3740</v>
      </c>
      <c r="Z1509" s="11" t="s">
        <v>270</v>
      </c>
      <c r="AA1509" s="11" t="s">
        <v>149</v>
      </c>
      <c r="AB1509" s="5" t="s">
        <v>245</v>
      </c>
      <c r="AC1509" s="5" t="s">
        <v>262</v>
      </c>
      <c r="AD1509" s="11" t="s">
        <v>3741</v>
      </c>
      <c r="AE1509" s="23" t="n">
        <v>1</v>
      </c>
      <c r="AF1509" s="23" t="n">
        <v>0</v>
      </c>
      <c r="AG1509" s="23" t="n">
        <v>0.33</v>
      </c>
      <c r="AH1509" s="23" t="n">
        <v>1</v>
      </c>
      <c r="AI1509" s="23" t="n">
        <v>0.2</v>
      </c>
      <c r="AJ1509" s="23" t="n">
        <v>0.6332</v>
      </c>
      <c r="AK1509" s="23" t="n">
        <v>0.2</v>
      </c>
      <c r="AL1509" s="23" t="n">
        <v>0</v>
      </c>
      <c r="AM1509" s="16" t="n">
        <f aca="false">COUNTIFS($D$2:$D$2501,D1509,$G$2:$G$2501,"&gt;"&amp;G1509)+COUNTIFS($D$2:D1509,D1509,$G$2:G1509,G1509)</f>
        <v>44</v>
      </c>
      <c r="AN1509" s="5" t="str">
        <f aca="false">D1509&amp;"|"&amp;AM1509</f>
        <v>分類與偵測|44</v>
      </c>
    </row>
    <row r="1510" customFormat="false" ht="17.15" hidden="false" customHeight="false" outlineLevel="0" collapsed="false">
      <c r="A1510" s="16" t="n">
        <f aca="false">RANK(G1510,$G$2:$G$2501)+COUNTIF($G$2:G1510,G1510)-1</f>
        <v>1509</v>
      </c>
      <c r="B1510" s="11" t="s">
        <v>3742</v>
      </c>
      <c r="C1510" s="11" t="s">
        <v>258</v>
      </c>
      <c r="D1510" s="5" t="s">
        <v>56</v>
      </c>
      <c r="E1510" s="5" t="s">
        <v>57</v>
      </c>
      <c r="F1510" s="5"/>
      <c r="G1510" s="22" t="n">
        <f aca="false">ROUND(SUM(I1510:P1510),3)</f>
        <v>59.258</v>
      </c>
      <c r="H1510" s="5" t="str">
        <f aca="false">IF(G1510&gt;=評分方法!$C$16,"優先評估",IF(G1510&gt;=評分方法!$C$17,"列入候選",IF(G1510&gt;=評分方法!$C$18,"特定情境","不建議")))</f>
        <v>不建議</v>
      </c>
      <c r="I1510" s="15" t="n">
        <f aca="false">AE1510*評分方法!$C$5</f>
        <v>25.5</v>
      </c>
      <c r="J1510" s="15" t="n">
        <f aca="false">AF1510*評分方法!$C$6</f>
        <v>0</v>
      </c>
      <c r="K1510" s="15" t="n">
        <f aca="false">AG1510*評分方法!$C$7</f>
        <v>15</v>
      </c>
      <c r="L1510" s="15" t="n">
        <f aca="false">AH1510*評分方法!$C$8</f>
        <v>4.95</v>
      </c>
      <c r="M1510" s="15" t="n">
        <f aca="false">AI1510*評分方法!$C$9</f>
        <v>6</v>
      </c>
      <c r="N1510" s="15" t="n">
        <f aca="false">AJ1510*評分方法!$C$10</f>
        <v>6.808</v>
      </c>
      <c r="O1510" s="15" t="n">
        <f aca="false">AK1510*評分方法!$C$11</f>
        <v>1</v>
      </c>
      <c r="P1510" s="15" t="n">
        <f aca="false">AL1510*評分方法!$C$12</f>
        <v>0</v>
      </c>
      <c r="Q1510" s="6" t="n">
        <v>841945</v>
      </c>
      <c r="R1510" s="6" t="n">
        <v>70553706496</v>
      </c>
      <c r="S1510" s="11" t="s">
        <v>1876</v>
      </c>
      <c r="T1510" s="11" t="s">
        <v>1177</v>
      </c>
      <c r="U1510" s="5" t="s">
        <v>260</v>
      </c>
      <c r="V1510" s="11" t="s">
        <v>324</v>
      </c>
      <c r="W1510" s="5" t="s">
        <v>205</v>
      </c>
      <c r="X1510" s="5" t="s">
        <v>242</v>
      </c>
      <c r="Y1510" s="5"/>
      <c r="Z1510" s="5"/>
      <c r="AA1510" s="11" t="s">
        <v>155</v>
      </c>
      <c r="AB1510" s="5" t="s">
        <v>245</v>
      </c>
      <c r="AC1510" s="5" t="s">
        <v>262</v>
      </c>
      <c r="AD1510" s="11" t="s">
        <v>3743</v>
      </c>
      <c r="AE1510" s="23" t="n">
        <v>0.85</v>
      </c>
      <c r="AF1510" s="23" t="n">
        <v>0</v>
      </c>
      <c r="AG1510" s="23" t="n">
        <v>1</v>
      </c>
      <c r="AH1510" s="23" t="n">
        <v>0.33</v>
      </c>
      <c r="AI1510" s="23" t="n">
        <v>0.6</v>
      </c>
      <c r="AJ1510" s="23" t="n">
        <v>0.6808</v>
      </c>
      <c r="AK1510" s="23" t="n">
        <v>0.2</v>
      </c>
      <c r="AL1510" s="23" t="n">
        <v>0</v>
      </c>
      <c r="AM1510" s="16" t="n">
        <f aca="false">COUNTIFS($D$2:$D$2501,D1510,$G$2:$G$2501,"&gt;"&amp;G1510)+COUNTIFS($D$2:D1510,D1510,$G$2:G1510,G1510)</f>
        <v>708</v>
      </c>
      <c r="AN1510" s="5" t="str">
        <f aca="false">D1510&amp;"|"&amp;AM1510</f>
        <v>分析與報告生成|708</v>
      </c>
    </row>
    <row r="1511" customFormat="false" ht="17.15" hidden="false" customHeight="false" outlineLevel="0" collapsed="false">
      <c r="A1511" s="16" t="n">
        <f aca="false">RANK(G1511,$G$2:$G$2501)+COUNTIF($G$2:G1511,G1511)-1</f>
        <v>1510</v>
      </c>
      <c r="B1511" s="11" t="s">
        <v>3744</v>
      </c>
      <c r="C1511" s="11" t="s">
        <v>2693</v>
      </c>
      <c r="D1511" s="5" t="s">
        <v>74</v>
      </c>
      <c r="E1511" s="5" t="s">
        <v>75</v>
      </c>
      <c r="F1511" s="5"/>
      <c r="G1511" s="22" t="n">
        <f aca="false">ROUND(SUM(I1511:P1511),3)</f>
        <v>59.24</v>
      </c>
      <c r="H1511" s="5" t="str">
        <f aca="false">IF(G1511&gt;=評分方法!$C$16,"優先評估",IF(G1511&gt;=評分方法!$C$17,"列入候選",IF(G1511&gt;=評分方法!$C$18,"特定情境","不建議")))</f>
        <v>不建議</v>
      </c>
      <c r="I1511" s="15" t="n">
        <f aca="false">AE1511*評分方法!$C$5</f>
        <v>10.5</v>
      </c>
      <c r="J1511" s="15" t="n">
        <f aca="false">AF1511*評分方法!$C$6</f>
        <v>0</v>
      </c>
      <c r="K1511" s="15" t="n">
        <f aca="false">AG1511*評分方法!$C$7</f>
        <v>15</v>
      </c>
      <c r="L1511" s="15" t="n">
        <f aca="false">AH1511*評分方法!$C$8</f>
        <v>15</v>
      </c>
      <c r="M1511" s="15" t="n">
        <f aca="false">AI1511*評分方法!$C$9</f>
        <v>10</v>
      </c>
      <c r="N1511" s="15" t="n">
        <f aca="false">AJ1511*評分方法!$C$10</f>
        <v>4.74</v>
      </c>
      <c r="O1511" s="15" t="n">
        <f aca="false">AK1511*評分方法!$C$11</f>
        <v>2.5</v>
      </c>
      <c r="P1511" s="15" t="n">
        <f aca="false">AL1511*評分方法!$C$12</f>
        <v>1.5</v>
      </c>
      <c r="Q1511" s="6" t="n">
        <v>517255</v>
      </c>
      <c r="R1511" s="6" t="n">
        <v>3538984</v>
      </c>
      <c r="S1511" s="11" t="s">
        <v>238</v>
      </c>
      <c r="T1511" s="11" t="s">
        <v>239</v>
      </c>
      <c r="U1511" s="5" t="s">
        <v>240</v>
      </c>
      <c r="V1511" s="11" t="s">
        <v>324</v>
      </c>
      <c r="W1511" s="5" t="s">
        <v>205</v>
      </c>
      <c r="X1511" s="5" t="s">
        <v>255</v>
      </c>
      <c r="Y1511" s="5"/>
      <c r="Z1511" s="5"/>
      <c r="AA1511" s="11" t="s">
        <v>172</v>
      </c>
      <c r="AB1511" s="5" t="s">
        <v>245</v>
      </c>
      <c r="AC1511" s="5"/>
      <c r="AD1511" s="11" t="s">
        <v>3745</v>
      </c>
      <c r="AE1511" s="23" t="n">
        <v>0.35</v>
      </c>
      <c r="AF1511" s="23" t="n">
        <v>0</v>
      </c>
      <c r="AG1511" s="23" t="n">
        <v>1</v>
      </c>
      <c r="AH1511" s="23" t="n">
        <v>1</v>
      </c>
      <c r="AI1511" s="23" t="n">
        <v>1</v>
      </c>
      <c r="AJ1511" s="23" t="n">
        <v>0.474</v>
      </c>
      <c r="AK1511" s="23" t="n">
        <v>0.5</v>
      </c>
      <c r="AL1511" s="23" t="n">
        <v>0.3</v>
      </c>
      <c r="AM1511" s="16" t="n">
        <f aca="false">COUNTIFS($D$2:$D$2501,D1511,$G$2:$G$2501,"&gt;"&amp;G1511)+COUNTIFS($D$2:D1511,D1511,$G$2:G1511,G1511)</f>
        <v>107</v>
      </c>
      <c r="AN1511" s="5" t="str">
        <f aca="false">D1511&amp;"|"&amp;AM1511</f>
        <v>文件與影像辨識|107</v>
      </c>
    </row>
    <row r="1512" customFormat="false" ht="17.15" hidden="false" customHeight="false" outlineLevel="0" collapsed="false">
      <c r="A1512" s="16" t="n">
        <f aca="false">RANK(G1512,$G$2:$G$2501)+COUNTIF($G$2:G1512,G1512)-1</f>
        <v>1511</v>
      </c>
      <c r="B1512" s="11" t="s">
        <v>3746</v>
      </c>
      <c r="C1512" s="11" t="s">
        <v>1550</v>
      </c>
      <c r="D1512" s="5" t="s">
        <v>74</v>
      </c>
      <c r="E1512" s="5" t="s">
        <v>75</v>
      </c>
      <c r="F1512" s="5"/>
      <c r="G1512" s="22" t="n">
        <f aca="false">ROUND(SUM(I1512:P1512),3)</f>
        <v>59.236</v>
      </c>
      <c r="H1512" s="5" t="str">
        <f aca="false">IF(G1512&gt;=評分方法!$C$16,"優先評估",IF(G1512&gt;=評分方法!$C$17,"列入候選",IF(G1512&gt;=評分方法!$C$18,"特定情境","不建議")))</f>
        <v>不建議</v>
      </c>
      <c r="I1512" s="15" t="n">
        <f aca="false">AE1512*評分方法!$C$5</f>
        <v>13.5</v>
      </c>
      <c r="J1512" s="15" t="n">
        <f aca="false">AF1512*評分方法!$C$6</f>
        <v>0</v>
      </c>
      <c r="K1512" s="15" t="n">
        <f aca="false">AG1512*評分方法!$C$7</f>
        <v>15</v>
      </c>
      <c r="L1512" s="15" t="n">
        <f aca="false">AH1512*評分方法!$C$8</f>
        <v>15</v>
      </c>
      <c r="M1512" s="15" t="n">
        <f aca="false">AI1512*評分方法!$C$9</f>
        <v>10</v>
      </c>
      <c r="N1512" s="15" t="n">
        <f aca="false">AJ1512*評分方法!$C$10</f>
        <v>1.736</v>
      </c>
      <c r="O1512" s="15" t="n">
        <f aca="false">AK1512*評分方法!$C$11</f>
        <v>2.5</v>
      </c>
      <c r="P1512" s="15" t="n">
        <f aca="false">AL1512*評分方法!$C$12</f>
        <v>1.5</v>
      </c>
      <c r="Q1512" s="6" t="n">
        <v>192892</v>
      </c>
      <c r="R1512" s="6" t="n">
        <v>42891962</v>
      </c>
      <c r="S1512" s="11" t="s">
        <v>238</v>
      </c>
      <c r="T1512" s="11" t="s">
        <v>239</v>
      </c>
      <c r="U1512" s="5" t="s">
        <v>240</v>
      </c>
      <c r="V1512" s="11" t="s">
        <v>261</v>
      </c>
      <c r="W1512" s="5" t="s">
        <v>205</v>
      </c>
      <c r="X1512" s="5" t="s">
        <v>255</v>
      </c>
      <c r="Y1512" s="5"/>
      <c r="Z1512" s="5"/>
      <c r="AA1512" s="11" t="s">
        <v>164</v>
      </c>
      <c r="AB1512" s="5" t="s">
        <v>343</v>
      </c>
      <c r="AC1512" s="5" t="s">
        <v>344</v>
      </c>
      <c r="AD1512" s="11" t="s">
        <v>3747</v>
      </c>
      <c r="AE1512" s="23" t="n">
        <v>0.45</v>
      </c>
      <c r="AF1512" s="23" t="n">
        <v>0</v>
      </c>
      <c r="AG1512" s="23" t="n">
        <v>1</v>
      </c>
      <c r="AH1512" s="23" t="n">
        <v>1</v>
      </c>
      <c r="AI1512" s="23" t="n">
        <v>1</v>
      </c>
      <c r="AJ1512" s="23" t="n">
        <v>0.1736</v>
      </c>
      <c r="AK1512" s="23" t="n">
        <v>0.5</v>
      </c>
      <c r="AL1512" s="23" t="n">
        <v>0.3</v>
      </c>
      <c r="AM1512" s="16" t="n">
        <f aca="false">COUNTIFS($D$2:$D$2501,D1512,$G$2:$G$2501,"&gt;"&amp;G1512)+COUNTIFS($D$2:D1512,D1512,$G$2:G1512,G1512)</f>
        <v>108</v>
      </c>
      <c r="AN1512" s="5" t="str">
        <f aca="false">D1512&amp;"|"&amp;AM1512</f>
        <v>文件與影像辨識|108</v>
      </c>
    </row>
    <row r="1513" customFormat="false" ht="17.15" hidden="false" customHeight="false" outlineLevel="0" collapsed="false">
      <c r="A1513" s="16" t="n">
        <f aca="false">RANK(G1513,$G$2:$G$2501)+COUNTIF($G$2:G1513,G1513)-1</f>
        <v>1512</v>
      </c>
      <c r="B1513" s="11" t="s">
        <v>3748</v>
      </c>
      <c r="C1513" s="11" t="s">
        <v>3162</v>
      </c>
      <c r="D1513" s="5" t="s">
        <v>56</v>
      </c>
      <c r="E1513" s="5" t="s">
        <v>57</v>
      </c>
      <c r="F1513" s="5"/>
      <c r="G1513" s="22" t="n">
        <f aca="false">ROUND(SUM(I1513:P1513),3)</f>
        <v>59.226</v>
      </c>
      <c r="H1513" s="5" t="str">
        <f aca="false">IF(G1513&gt;=評分方法!$C$16,"優先評估",IF(G1513&gt;=評分方法!$C$17,"列入候選",IF(G1513&gt;=評分方法!$C$18,"特定情境","不建議")))</f>
        <v>不建議</v>
      </c>
      <c r="I1513" s="15" t="n">
        <f aca="false">AE1513*評分方法!$C$5</f>
        <v>25.5</v>
      </c>
      <c r="J1513" s="15" t="n">
        <f aca="false">AF1513*評分方法!$C$6</f>
        <v>0</v>
      </c>
      <c r="K1513" s="15" t="n">
        <f aca="false">AG1513*評分方法!$C$7</f>
        <v>4.95</v>
      </c>
      <c r="L1513" s="15" t="n">
        <f aca="false">AH1513*評分方法!$C$8</f>
        <v>9</v>
      </c>
      <c r="M1513" s="15" t="n">
        <f aca="false">AI1513*評分方法!$C$9</f>
        <v>10</v>
      </c>
      <c r="N1513" s="15" t="n">
        <f aca="false">AJ1513*評分方法!$C$10</f>
        <v>4.776</v>
      </c>
      <c r="O1513" s="15" t="n">
        <f aca="false">AK1513*評分方法!$C$11</f>
        <v>5</v>
      </c>
      <c r="P1513" s="15" t="n">
        <f aca="false">AL1513*評分方法!$C$12</f>
        <v>0</v>
      </c>
      <c r="Q1513" s="6" t="n">
        <v>521489</v>
      </c>
      <c r="R1513" s="6" t="n">
        <v>33219548160</v>
      </c>
      <c r="S1513" s="11" t="s">
        <v>389</v>
      </c>
      <c r="T1513" s="11" t="s">
        <v>239</v>
      </c>
      <c r="U1513" s="5" t="s">
        <v>240</v>
      </c>
      <c r="V1513" s="11" t="s">
        <v>333</v>
      </c>
      <c r="W1513" s="5" t="s">
        <v>334</v>
      </c>
      <c r="X1513" s="5" t="s">
        <v>242</v>
      </c>
      <c r="Y1513" s="5"/>
      <c r="Z1513" s="5"/>
      <c r="AA1513" s="11" t="s">
        <v>155</v>
      </c>
      <c r="AB1513" s="5" t="s">
        <v>245</v>
      </c>
      <c r="AC1513" s="5"/>
      <c r="AD1513" s="11" t="s">
        <v>3749</v>
      </c>
      <c r="AE1513" s="23" t="n">
        <v>0.85</v>
      </c>
      <c r="AF1513" s="23" t="n">
        <v>0</v>
      </c>
      <c r="AG1513" s="23" t="n">
        <v>0.33</v>
      </c>
      <c r="AH1513" s="23" t="n">
        <v>0.6</v>
      </c>
      <c r="AI1513" s="23" t="n">
        <v>1</v>
      </c>
      <c r="AJ1513" s="23" t="n">
        <v>0.4776</v>
      </c>
      <c r="AK1513" s="23" t="n">
        <v>1</v>
      </c>
      <c r="AL1513" s="23" t="n">
        <v>0</v>
      </c>
      <c r="AM1513" s="16" t="n">
        <f aca="false">COUNTIFS($D$2:$D$2501,D1513,$G$2:$G$2501,"&gt;"&amp;G1513)+COUNTIFS($D$2:D1513,D1513,$G$2:G1513,G1513)</f>
        <v>709</v>
      </c>
      <c r="AN1513" s="5" t="str">
        <f aca="false">D1513&amp;"|"&amp;AM1513</f>
        <v>分析與報告生成|709</v>
      </c>
    </row>
    <row r="1514" customFormat="false" ht="17.15" hidden="false" customHeight="false" outlineLevel="0" collapsed="false">
      <c r="A1514" s="16" t="n">
        <f aca="false">RANK(G1514,$G$2:$G$2501)+COUNTIF($G$2:G1514,G1514)-1</f>
        <v>1513</v>
      </c>
      <c r="B1514" s="11" t="s">
        <v>3750</v>
      </c>
      <c r="C1514" s="11" t="s">
        <v>2693</v>
      </c>
      <c r="D1514" s="5" t="s">
        <v>74</v>
      </c>
      <c r="E1514" s="5" t="s">
        <v>75</v>
      </c>
      <c r="F1514" s="5"/>
      <c r="G1514" s="22" t="n">
        <f aca="false">ROUND(SUM(I1514:P1514),3)</f>
        <v>59.22</v>
      </c>
      <c r="H1514" s="5" t="str">
        <f aca="false">IF(G1514&gt;=評分方法!$C$16,"優先評估",IF(G1514&gt;=評分方法!$C$17,"列入候選",IF(G1514&gt;=評分方法!$C$18,"特定情境","不建議")))</f>
        <v>不建議</v>
      </c>
      <c r="I1514" s="15" t="n">
        <f aca="false">AE1514*評分方法!$C$5</f>
        <v>10.5</v>
      </c>
      <c r="J1514" s="15" t="n">
        <f aca="false">AF1514*評分方法!$C$6</f>
        <v>0</v>
      </c>
      <c r="K1514" s="15" t="n">
        <f aca="false">AG1514*評分方法!$C$7</f>
        <v>15</v>
      </c>
      <c r="L1514" s="15" t="n">
        <f aca="false">AH1514*評分方法!$C$8</f>
        <v>15</v>
      </c>
      <c r="M1514" s="15" t="n">
        <f aca="false">AI1514*評分方法!$C$9</f>
        <v>10</v>
      </c>
      <c r="N1514" s="15" t="n">
        <f aca="false">AJ1514*評分方法!$C$10</f>
        <v>4.72</v>
      </c>
      <c r="O1514" s="15" t="n">
        <f aca="false">AK1514*評分方法!$C$11</f>
        <v>2.5</v>
      </c>
      <c r="P1514" s="15" t="n">
        <f aca="false">AL1514*評分方法!$C$12</f>
        <v>1.5</v>
      </c>
      <c r="Q1514" s="6" t="n">
        <v>515996</v>
      </c>
      <c r="R1514" s="6" t="n">
        <v>88591464</v>
      </c>
      <c r="S1514" s="11" t="s">
        <v>238</v>
      </c>
      <c r="T1514" s="11" t="s">
        <v>239</v>
      </c>
      <c r="U1514" s="5" t="s">
        <v>240</v>
      </c>
      <c r="V1514" s="11" t="s">
        <v>324</v>
      </c>
      <c r="W1514" s="5" t="s">
        <v>205</v>
      </c>
      <c r="X1514" s="5" t="s">
        <v>255</v>
      </c>
      <c r="Y1514" s="5"/>
      <c r="Z1514" s="5"/>
      <c r="AA1514" s="11" t="s">
        <v>172</v>
      </c>
      <c r="AB1514" s="5" t="s">
        <v>245</v>
      </c>
      <c r="AC1514" s="5"/>
      <c r="AD1514" s="11" t="s">
        <v>3751</v>
      </c>
      <c r="AE1514" s="23" t="n">
        <v>0.35</v>
      </c>
      <c r="AF1514" s="23" t="n">
        <v>0</v>
      </c>
      <c r="AG1514" s="23" t="n">
        <v>1</v>
      </c>
      <c r="AH1514" s="23" t="n">
        <v>1</v>
      </c>
      <c r="AI1514" s="23" t="n">
        <v>1</v>
      </c>
      <c r="AJ1514" s="23" t="n">
        <v>0.472</v>
      </c>
      <c r="AK1514" s="23" t="n">
        <v>0.5</v>
      </c>
      <c r="AL1514" s="23" t="n">
        <v>0.3</v>
      </c>
      <c r="AM1514" s="16" t="n">
        <f aca="false">COUNTIFS($D$2:$D$2501,D1514,$G$2:$G$2501,"&gt;"&amp;G1514)+COUNTIFS($D$2:D1514,D1514,$G$2:G1514,G1514)</f>
        <v>109</v>
      </c>
      <c r="AN1514" s="5" t="str">
        <f aca="false">D1514&amp;"|"&amp;AM1514</f>
        <v>文件與影像辨識|109</v>
      </c>
    </row>
    <row r="1515" customFormat="false" ht="17.15" hidden="false" customHeight="false" outlineLevel="0" collapsed="false">
      <c r="A1515" s="16" t="n">
        <f aca="false">RANK(G1515,$G$2:$G$2501)+COUNTIF($G$2:G1515,G1515)-1</f>
        <v>1514</v>
      </c>
      <c r="B1515" s="11" t="s">
        <v>3752</v>
      </c>
      <c r="C1515" s="11" t="s">
        <v>258</v>
      </c>
      <c r="D1515" s="5" t="s">
        <v>56</v>
      </c>
      <c r="E1515" s="5" t="s">
        <v>57</v>
      </c>
      <c r="F1515" s="5"/>
      <c r="G1515" s="22" t="n">
        <f aca="false">ROUND(SUM(I1515:P1515),3)</f>
        <v>59.194</v>
      </c>
      <c r="H1515" s="5" t="str">
        <f aca="false">IF(G1515&gt;=評分方法!$C$16,"優先評估",IF(G1515&gt;=評分方法!$C$17,"列入候選",IF(G1515&gt;=評分方法!$C$18,"特定情境","不建議")))</f>
        <v>不建議</v>
      </c>
      <c r="I1515" s="15" t="n">
        <f aca="false">AE1515*評分方法!$C$5</f>
        <v>25.5</v>
      </c>
      <c r="J1515" s="15" t="n">
        <f aca="false">AF1515*評分方法!$C$6</f>
        <v>0</v>
      </c>
      <c r="K1515" s="15" t="n">
        <f aca="false">AG1515*評分方法!$C$7</f>
        <v>15</v>
      </c>
      <c r="L1515" s="15" t="n">
        <f aca="false">AH1515*評分方法!$C$8</f>
        <v>1.95</v>
      </c>
      <c r="M1515" s="15" t="n">
        <f aca="false">AI1515*評分方法!$C$9</f>
        <v>6</v>
      </c>
      <c r="N1515" s="15" t="n">
        <f aca="false">AJ1515*評分方法!$C$10</f>
        <v>8.244</v>
      </c>
      <c r="O1515" s="15" t="n">
        <f aca="false">AK1515*評分方法!$C$11</f>
        <v>2.5</v>
      </c>
      <c r="P1515" s="15" t="n">
        <f aca="false">AL1515*評分方法!$C$12</f>
        <v>0</v>
      </c>
      <c r="Q1515" s="6" t="n">
        <v>1866224</v>
      </c>
      <c r="R1515" s="6" t="n">
        <v>405853388800</v>
      </c>
      <c r="S1515" s="11" t="s">
        <v>1616</v>
      </c>
      <c r="T1515" s="11" t="s">
        <v>259</v>
      </c>
      <c r="U1515" s="5" t="s">
        <v>260</v>
      </c>
      <c r="V1515" s="11" t="s">
        <v>324</v>
      </c>
      <c r="W1515" s="5" t="s">
        <v>205</v>
      </c>
      <c r="X1515" s="5" t="s">
        <v>242</v>
      </c>
      <c r="Y1515" s="5"/>
      <c r="Z1515" s="5"/>
      <c r="AA1515" s="11" t="s">
        <v>155</v>
      </c>
      <c r="AB1515" s="5" t="s">
        <v>245</v>
      </c>
      <c r="AC1515" s="5" t="s">
        <v>262</v>
      </c>
      <c r="AD1515" s="11" t="s">
        <v>3753</v>
      </c>
      <c r="AE1515" s="23" t="n">
        <v>0.85</v>
      </c>
      <c r="AF1515" s="23" t="n">
        <v>0</v>
      </c>
      <c r="AG1515" s="23" t="n">
        <v>1</v>
      </c>
      <c r="AH1515" s="23" t="n">
        <v>0.13</v>
      </c>
      <c r="AI1515" s="23" t="n">
        <v>0.6</v>
      </c>
      <c r="AJ1515" s="23" t="n">
        <v>0.8244</v>
      </c>
      <c r="AK1515" s="23" t="n">
        <v>0.5</v>
      </c>
      <c r="AL1515" s="23" t="n">
        <v>0</v>
      </c>
      <c r="AM1515" s="16" t="n">
        <f aca="false">COUNTIFS($D$2:$D$2501,D1515,$G$2:$G$2501,"&gt;"&amp;G1515)+COUNTIFS($D$2:D1515,D1515,$G$2:G1515,G1515)</f>
        <v>710</v>
      </c>
      <c r="AN1515" s="5" t="str">
        <f aca="false">D1515&amp;"|"&amp;AM1515</f>
        <v>分析與報告生成|710</v>
      </c>
    </row>
    <row r="1516" customFormat="false" ht="17.15" hidden="false" customHeight="false" outlineLevel="0" collapsed="false">
      <c r="A1516" s="16" t="n">
        <f aca="false">RANK(G1516,$G$2:$G$2501)+COUNTIF($G$2:G1516,G1516)-1</f>
        <v>1515</v>
      </c>
      <c r="B1516" s="11" t="s">
        <v>3754</v>
      </c>
      <c r="C1516" s="11" t="s">
        <v>1677</v>
      </c>
      <c r="D1516" s="5" t="s">
        <v>54</v>
      </c>
      <c r="E1516" s="5" t="s">
        <v>55</v>
      </c>
      <c r="F1516" s="5"/>
      <c r="G1516" s="22" t="n">
        <f aca="false">ROUND(SUM(I1516:P1516),3)</f>
        <v>59.188</v>
      </c>
      <c r="H1516" s="5" t="str">
        <f aca="false">IF(G1516&gt;=評分方法!$C$16,"優先評估",IF(G1516&gt;=評分方法!$C$17,"列入候選",IF(G1516&gt;=評分方法!$C$18,"特定情境","不建議")))</f>
        <v>不建議</v>
      </c>
      <c r="I1516" s="15" t="n">
        <f aca="false">AE1516*評分方法!$C$5</f>
        <v>27</v>
      </c>
      <c r="J1516" s="15" t="n">
        <f aca="false">AF1516*評分方法!$C$6</f>
        <v>0</v>
      </c>
      <c r="K1516" s="15" t="n">
        <f aca="false">AG1516*評分方法!$C$7</f>
        <v>10.05</v>
      </c>
      <c r="L1516" s="15" t="n">
        <f aca="false">AH1516*評分方法!$C$8</f>
        <v>7.05</v>
      </c>
      <c r="M1516" s="15" t="n">
        <f aca="false">AI1516*評分方法!$C$9</f>
        <v>2</v>
      </c>
      <c r="N1516" s="15" t="n">
        <f aca="false">AJ1516*評分方法!$C$10</f>
        <v>9.088</v>
      </c>
      <c r="O1516" s="15" t="n">
        <f aca="false">AK1516*評分方法!$C$11</f>
        <v>2.5</v>
      </c>
      <c r="P1516" s="15" t="n">
        <f aca="false">AL1516*評分方法!$C$12</f>
        <v>1.5</v>
      </c>
      <c r="Q1516" s="6" t="n">
        <v>4383443</v>
      </c>
      <c r="R1516" s="6"/>
      <c r="S1516" s="5" t="s">
        <v>255</v>
      </c>
      <c r="T1516" s="5"/>
      <c r="U1516" s="5" t="s">
        <v>375</v>
      </c>
      <c r="V1516" s="11" t="s">
        <v>514</v>
      </c>
      <c r="W1516" s="5" t="s">
        <v>207</v>
      </c>
      <c r="X1516" s="5" t="s">
        <v>255</v>
      </c>
      <c r="Y1516" s="11" t="s">
        <v>286</v>
      </c>
      <c r="Z1516" s="11" t="s">
        <v>244</v>
      </c>
      <c r="AA1516" s="11" t="s">
        <v>153</v>
      </c>
      <c r="AB1516" s="5" t="s">
        <v>245</v>
      </c>
      <c r="AC1516" s="5" t="s">
        <v>464</v>
      </c>
      <c r="AD1516" s="11" t="s">
        <v>3755</v>
      </c>
      <c r="AE1516" s="23" t="n">
        <v>0.9</v>
      </c>
      <c r="AF1516" s="23" t="n">
        <v>0</v>
      </c>
      <c r="AG1516" s="23" t="n">
        <v>0.67</v>
      </c>
      <c r="AH1516" s="23" t="n">
        <v>0.47</v>
      </c>
      <c r="AI1516" s="23" t="n">
        <v>0.2</v>
      </c>
      <c r="AJ1516" s="23" t="n">
        <v>0.9088</v>
      </c>
      <c r="AK1516" s="23" t="n">
        <v>0.5</v>
      </c>
      <c r="AL1516" s="23" t="n">
        <v>0.3</v>
      </c>
      <c r="AM1516" s="16" t="n">
        <f aca="false">COUNTIFS($D$2:$D$2501,D1516,$G$2:$G$2501,"&gt;"&amp;G1516)+COUNTIFS($D$2:D1516,D1516,$G$2:G1516,G1516)</f>
        <v>199</v>
      </c>
      <c r="AN1516" s="5" t="str">
        <f aca="false">D1516&amp;"|"&amp;AM1516</f>
        <v>檢索與情資關聯|199</v>
      </c>
    </row>
    <row r="1517" customFormat="false" ht="17.15" hidden="false" customHeight="false" outlineLevel="0" collapsed="false">
      <c r="A1517" s="16" t="n">
        <f aca="false">RANK(G1517,$G$2:$G$2501)+COUNTIF($G$2:G1517,G1517)-1</f>
        <v>1516</v>
      </c>
      <c r="B1517" s="11" t="s">
        <v>3756</v>
      </c>
      <c r="C1517" s="11" t="s">
        <v>3588</v>
      </c>
      <c r="D1517" s="5" t="s">
        <v>56</v>
      </c>
      <c r="E1517" s="5" t="s">
        <v>57</v>
      </c>
      <c r="F1517" s="5"/>
      <c r="G1517" s="22" t="n">
        <f aca="false">ROUND(SUM(I1517:P1517),3)</f>
        <v>59.176</v>
      </c>
      <c r="H1517" s="5" t="str">
        <f aca="false">IF(G1517&gt;=評分方法!$C$16,"優先評估",IF(G1517&gt;=評分方法!$C$17,"列入候選",IF(G1517&gt;=評分方法!$C$18,"特定情境","不建議")))</f>
        <v>不建議</v>
      </c>
      <c r="I1517" s="15" t="n">
        <f aca="false">AE1517*評分方法!$C$5</f>
        <v>25.5</v>
      </c>
      <c r="J1517" s="15" t="n">
        <f aca="false">AF1517*評分方法!$C$6</f>
        <v>0</v>
      </c>
      <c r="K1517" s="15" t="n">
        <f aca="false">AG1517*評分方法!$C$7</f>
        <v>4.95</v>
      </c>
      <c r="L1517" s="15" t="n">
        <f aca="false">AH1517*評分方法!$C$8</f>
        <v>13.05</v>
      </c>
      <c r="M1517" s="15" t="n">
        <f aca="false">AI1517*評分方法!$C$9</f>
        <v>10</v>
      </c>
      <c r="N1517" s="15" t="n">
        <f aca="false">AJ1517*評分方法!$C$10</f>
        <v>0.176</v>
      </c>
      <c r="O1517" s="15" t="n">
        <f aca="false">AK1517*評分方法!$C$11</f>
        <v>2.5</v>
      </c>
      <c r="P1517" s="15" t="n">
        <f aca="false">AL1517*評分方法!$C$12</f>
        <v>3</v>
      </c>
      <c r="Q1517" s="6" t="n">
        <v>121105</v>
      </c>
      <c r="R1517" s="6" t="n">
        <v>9780235392</v>
      </c>
      <c r="S1517" s="11" t="s">
        <v>254</v>
      </c>
      <c r="T1517" s="11" t="s">
        <v>239</v>
      </c>
      <c r="U1517" s="5" t="s">
        <v>240</v>
      </c>
      <c r="V1517" s="11" t="s">
        <v>462</v>
      </c>
      <c r="W1517" s="5" t="s">
        <v>334</v>
      </c>
      <c r="X1517" s="5" t="s">
        <v>371</v>
      </c>
      <c r="Y1517" s="5"/>
      <c r="Z1517" s="5"/>
      <c r="AA1517" s="11" t="s">
        <v>155</v>
      </c>
      <c r="AB1517" s="5" t="s">
        <v>245</v>
      </c>
      <c r="AC1517" s="5"/>
      <c r="AD1517" s="11" t="s">
        <v>3757</v>
      </c>
      <c r="AE1517" s="23" t="n">
        <v>0.85</v>
      </c>
      <c r="AF1517" s="23" t="n">
        <v>0</v>
      </c>
      <c r="AG1517" s="23" t="n">
        <v>0.33</v>
      </c>
      <c r="AH1517" s="23" t="n">
        <v>0.87</v>
      </c>
      <c r="AI1517" s="23" t="n">
        <v>1</v>
      </c>
      <c r="AJ1517" s="23" t="n">
        <v>0.0176</v>
      </c>
      <c r="AK1517" s="23" t="n">
        <v>0.5</v>
      </c>
      <c r="AL1517" s="23" t="n">
        <v>0.6</v>
      </c>
      <c r="AM1517" s="16" t="n">
        <f aca="false">COUNTIFS($D$2:$D$2501,D1517,$G$2:$G$2501,"&gt;"&amp;G1517)+COUNTIFS($D$2:D1517,D1517,$G$2:G1517,G1517)</f>
        <v>711</v>
      </c>
      <c r="AN1517" s="5" t="str">
        <f aca="false">D1517&amp;"|"&amp;AM1517</f>
        <v>分析與報告生成|711</v>
      </c>
    </row>
    <row r="1518" customFormat="false" ht="17.15" hidden="false" customHeight="false" outlineLevel="0" collapsed="false">
      <c r="A1518" s="16" t="n">
        <f aca="false">RANK(G1518,$G$2:$G$2501)+COUNTIF($G$2:G1518,G1518)-1</f>
        <v>1517</v>
      </c>
      <c r="B1518" s="11" t="s">
        <v>3758</v>
      </c>
      <c r="C1518" s="11" t="s">
        <v>2785</v>
      </c>
      <c r="D1518" s="5" t="s">
        <v>56</v>
      </c>
      <c r="E1518" s="5" t="s">
        <v>57</v>
      </c>
      <c r="F1518" s="5"/>
      <c r="G1518" s="22" t="n">
        <f aca="false">ROUND(SUM(I1518:P1518),3)</f>
        <v>59.136</v>
      </c>
      <c r="H1518" s="5" t="str">
        <f aca="false">IF(G1518&gt;=評分方法!$C$16,"優先評估",IF(G1518&gt;=評分方法!$C$17,"列入候選",IF(G1518&gt;=評分方法!$C$18,"特定情境","不建議")))</f>
        <v>不建議</v>
      </c>
      <c r="I1518" s="15" t="n">
        <f aca="false">AE1518*評分方法!$C$5</f>
        <v>25.5</v>
      </c>
      <c r="J1518" s="15" t="n">
        <f aca="false">AF1518*評分方法!$C$6</f>
        <v>0</v>
      </c>
      <c r="K1518" s="15" t="n">
        <f aca="false">AG1518*評分方法!$C$7</f>
        <v>10.05</v>
      </c>
      <c r="L1518" s="15" t="n">
        <f aca="false">AH1518*評分方法!$C$8</f>
        <v>13.05</v>
      </c>
      <c r="M1518" s="15" t="n">
        <f aca="false">AI1518*評分方法!$C$9</f>
        <v>2</v>
      </c>
      <c r="N1518" s="15" t="n">
        <f aca="false">AJ1518*評分方法!$C$10</f>
        <v>7.536</v>
      </c>
      <c r="O1518" s="15" t="n">
        <f aca="false">AK1518*評分方法!$C$11</f>
        <v>1</v>
      </c>
      <c r="P1518" s="15" t="n">
        <f aca="false">AL1518*評分方法!$C$12</f>
        <v>0</v>
      </c>
      <c r="Q1518" s="6" t="n">
        <v>1185001</v>
      </c>
      <c r="R1518" s="6" t="n">
        <v>6738417664</v>
      </c>
      <c r="S1518" s="11" t="s">
        <v>254</v>
      </c>
      <c r="T1518" s="5"/>
      <c r="U1518" s="5" t="s">
        <v>375</v>
      </c>
      <c r="V1518" s="11" t="s">
        <v>324</v>
      </c>
      <c r="W1518" s="5" t="s">
        <v>207</v>
      </c>
      <c r="X1518" s="5" t="s">
        <v>242</v>
      </c>
      <c r="Y1518" s="5"/>
      <c r="Z1518" s="5"/>
      <c r="AA1518" s="11" t="s">
        <v>155</v>
      </c>
      <c r="AB1518" s="5" t="s">
        <v>245</v>
      </c>
      <c r="AC1518" s="5" t="s">
        <v>262</v>
      </c>
      <c r="AD1518" s="11" t="s">
        <v>3759</v>
      </c>
      <c r="AE1518" s="23" t="n">
        <v>0.85</v>
      </c>
      <c r="AF1518" s="23" t="n">
        <v>0</v>
      </c>
      <c r="AG1518" s="23" t="n">
        <v>0.67</v>
      </c>
      <c r="AH1518" s="23" t="n">
        <v>0.87</v>
      </c>
      <c r="AI1518" s="23" t="n">
        <v>0.2</v>
      </c>
      <c r="AJ1518" s="23" t="n">
        <v>0.7536</v>
      </c>
      <c r="AK1518" s="23" t="n">
        <v>0.2</v>
      </c>
      <c r="AL1518" s="23" t="n">
        <v>0</v>
      </c>
      <c r="AM1518" s="16" t="n">
        <f aca="false">COUNTIFS($D$2:$D$2501,D1518,$G$2:$G$2501,"&gt;"&amp;G1518)+COUNTIFS($D$2:D1518,D1518,$G$2:G1518,G1518)</f>
        <v>712</v>
      </c>
      <c r="AN1518" s="5" t="str">
        <f aca="false">D1518&amp;"|"&amp;AM1518</f>
        <v>分析與報告生成|712</v>
      </c>
    </row>
    <row r="1519" customFormat="false" ht="17.15" hidden="false" customHeight="false" outlineLevel="0" collapsed="false">
      <c r="A1519" s="16" t="n">
        <f aca="false">RANK(G1519,$G$2:$G$2501)+COUNTIF($G$2:G1519,G1519)-1</f>
        <v>1518</v>
      </c>
      <c r="B1519" s="11" t="s">
        <v>3760</v>
      </c>
      <c r="C1519" s="11" t="s">
        <v>3761</v>
      </c>
      <c r="D1519" s="5" t="s">
        <v>56</v>
      </c>
      <c r="E1519" s="5" t="s">
        <v>57</v>
      </c>
      <c r="F1519" s="5"/>
      <c r="G1519" s="22" t="n">
        <f aca="false">ROUND(SUM(I1519:P1519),3)</f>
        <v>59.102</v>
      </c>
      <c r="H1519" s="5" t="str">
        <f aca="false">IF(G1519&gt;=評分方法!$C$16,"優先評估",IF(G1519&gt;=評分方法!$C$17,"列入候選",IF(G1519&gt;=評分方法!$C$18,"特定情境","不建議")))</f>
        <v>不建議</v>
      </c>
      <c r="I1519" s="15" t="n">
        <f aca="false">AE1519*評分方法!$C$5</f>
        <v>25.5</v>
      </c>
      <c r="J1519" s="15" t="n">
        <f aca="false">AF1519*評分方法!$C$6</f>
        <v>0</v>
      </c>
      <c r="K1519" s="15" t="n">
        <f aca="false">AG1519*評分方法!$C$7</f>
        <v>4.95</v>
      </c>
      <c r="L1519" s="15" t="n">
        <f aca="false">AH1519*評分方法!$C$8</f>
        <v>9</v>
      </c>
      <c r="M1519" s="15" t="n">
        <f aca="false">AI1519*評分方法!$C$9</f>
        <v>10</v>
      </c>
      <c r="N1519" s="15" t="n">
        <f aca="false">AJ1519*評分方法!$C$10</f>
        <v>4.652</v>
      </c>
      <c r="O1519" s="15" t="n">
        <f aca="false">AK1519*評分方法!$C$11</f>
        <v>5</v>
      </c>
      <c r="P1519" s="15" t="n">
        <f aca="false">AL1519*評分方法!$C$12</f>
        <v>0</v>
      </c>
      <c r="Q1519" s="6" t="n">
        <v>508824</v>
      </c>
      <c r="R1519" s="6" t="n">
        <v>12149923072</v>
      </c>
      <c r="S1519" s="11" t="s">
        <v>389</v>
      </c>
      <c r="T1519" s="11" t="s">
        <v>239</v>
      </c>
      <c r="U1519" s="5" t="s">
        <v>240</v>
      </c>
      <c r="V1519" s="11" t="s">
        <v>333</v>
      </c>
      <c r="W1519" s="5" t="s">
        <v>334</v>
      </c>
      <c r="X1519" s="5" t="s">
        <v>242</v>
      </c>
      <c r="Y1519" s="11" t="s">
        <v>3762</v>
      </c>
      <c r="Z1519" s="11" t="s">
        <v>244</v>
      </c>
      <c r="AA1519" s="11" t="s">
        <v>155</v>
      </c>
      <c r="AB1519" s="5" t="s">
        <v>245</v>
      </c>
      <c r="AC1519" s="5" t="s">
        <v>246</v>
      </c>
      <c r="AD1519" s="11" t="s">
        <v>3763</v>
      </c>
      <c r="AE1519" s="23" t="n">
        <v>0.85</v>
      </c>
      <c r="AF1519" s="23" t="n">
        <v>0</v>
      </c>
      <c r="AG1519" s="23" t="n">
        <v>0.33</v>
      </c>
      <c r="AH1519" s="23" t="n">
        <v>0.6</v>
      </c>
      <c r="AI1519" s="23" t="n">
        <v>1</v>
      </c>
      <c r="AJ1519" s="23" t="n">
        <v>0.4652</v>
      </c>
      <c r="AK1519" s="23" t="n">
        <v>1</v>
      </c>
      <c r="AL1519" s="23" t="n">
        <v>0</v>
      </c>
      <c r="AM1519" s="16" t="n">
        <f aca="false">COUNTIFS($D$2:$D$2501,D1519,$G$2:$G$2501,"&gt;"&amp;G1519)+COUNTIFS($D$2:D1519,D1519,$G$2:G1519,G1519)</f>
        <v>713</v>
      </c>
      <c r="AN1519" s="5" t="str">
        <f aca="false">D1519&amp;"|"&amp;AM1519</f>
        <v>分析與報告生成|713</v>
      </c>
    </row>
    <row r="1520" customFormat="false" ht="17.15" hidden="false" customHeight="false" outlineLevel="0" collapsed="false">
      <c r="A1520" s="16" t="n">
        <f aca="false">RANK(G1520,$G$2:$G$2501)+COUNTIF($G$2:G1520,G1520)-1</f>
        <v>1519</v>
      </c>
      <c r="B1520" s="11" t="s">
        <v>3764</v>
      </c>
      <c r="C1520" s="11" t="s">
        <v>1111</v>
      </c>
      <c r="D1520" s="5" t="s">
        <v>56</v>
      </c>
      <c r="E1520" s="5" t="s">
        <v>57</v>
      </c>
      <c r="F1520" s="5"/>
      <c r="G1520" s="22" t="n">
        <f aca="false">ROUND(SUM(I1520:P1520),3)</f>
        <v>59.092</v>
      </c>
      <c r="H1520" s="5" t="str">
        <f aca="false">IF(G1520&gt;=評分方法!$C$16,"優先評估",IF(G1520&gt;=評分方法!$C$17,"列入候選",IF(G1520&gt;=評分方法!$C$18,"特定情境","不建議")))</f>
        <v>不建議</v>
      </c>
      <c r="I1520" s="15" t="n">
        <f aca="false">AE1520*評分方法!$C$5</f>
        <v>25.5</v>
      </c>
      <c r="J1520" s="15" t="n">
        <f aca="false">AF1520*評分方法!$C$6</f>
        <v>0</v>
      </c>
      <c r="K1520" s="15" t="n">
        <f aca="false">AG1520*評分方法!$C$7</f>
        <v>10.05</v>
      </c>
      <c r="L1520" s="15" t="n">
        <f aca="false">AH1520*評分方法!$C$8</f>
        <v>13.05</v>
      </c>
      <c r="M1520" s="15" t="n">
        <f aca="false">AI1520*評分方法!$C$9</f>
        <v>2</v>
      </c>
      <c r="N1520" s="15" t="n">
        <f aca="false">AJ1520*評分方法!$C$10</f>
        <v>2.992</v>
      </c>
      <c r="O1520" s="15" t="n">
        <f aca="false">AK1520*評分方法!$C$11</f>
        <v>2.5</v>
      </c>
      <c r="P1520" s="15" t="n">
        <f aca="false">AL1520*評分方法!$C$12</f>
        <v>3</v>
      </c>
      <c r="Q1520" s="6" t="n">
        <v>293676</v>
      </c>
      <c r="R1520" s="6" t="n">
        <v>1498859520</v>
      </c>
      <c r="S1520" s="11" t="s">
        <v>254</v>
      </c>
      <c r="T1520" s="5"/>
      <c r="U1520" s="5" t="s">
        <v>375</v>
      </c>
      <c r="V1520" s="11" t="s">
        <v>261</v>
      </c>
      <c r="W1520" s="5" t="s">
        <v>207</v>
      </c>
      <c r="X1520" s="5" t="s">
        <v>371</v>
      </c>
      <c r="Y1520" s="5"/>
      <c r="Z1520" s="5"/>
      <c r="AA1520" s="11" t="s">
        <v>155</v>
      </c>
      <c r="AB1520" s="5" t="s">
        <v>328</v>
      </c>
      <c r="AC1520" s="5" t="s">
        <v>329</v>
      </c>
      <c r="AD1520" s="11" t="s">
        <v>3765</v>
      </c>
      <c r="AE1520" s="23" t="n">
        <v>0.85</v>
      </c>
      <c r="AF1520" s="23" t="n">
        <v>0</v>
      </c>
      <c r="AG1520" s="23" t="n">
        <v>0.67</v>
      </c>
      <c r="AH1520" s="23" t="n">
        <v>0.87</v>
      </c>
      <c r="AI1520" s="23" t="n">
        <v>0.2</v>
      </c>
      <c r="AJ1520" s="23" t="n">
        <v>0.2992</v>
      </c>
      <c r="AK1520" s="23" t="n">
        <v>0.5</v>
      </c>
      <c r="AL1520" s="23" t="n">
        <v>0.6</v>
      </c>
      <c r="AM1520" s="16" t="n">
        <f aca="false">COUNTIFS($D$2:$D$2501,D1520,$G$2:$G$2501,"&gt;"&amp;G1520)+COUNTIFS($D$2:D1520,D1520,$G$2:G1520,G1520)</f>
        <v>714</v>
      </c>
      <c r="AN1520" s="5" t="str">
        <f aca="false">D1520&amp;"|"&amp;AM1520</f>
        <v>分析與報告生成|714</v>
      </c>
    </row>
    <row r="1521" customFormat="false" ht="17.15" hidden="false" customHeight="false" outlineLevel="0" collapsed="false">
      <c r="A1521" s="16" t="n">
        <f aca="false">RANK(G1521,$G$2:$G$2501)+COUNTIF($G$2:G1521,G1521)-1</f>
        <v>1520</v>
      </c>
      <c r="B1521" s="11" t="s">
        <v>3766</v>
      </c>
      <c r="C1521" s="11" t="s">
        <v>1722</v>
      </c>
      <c r="D1521" s="5" t="s">
        <v>54</v>
      </c>
      <c r="E1521" s="5" t="s">
        <v>55</v>
      </c>
      <c r="F1521" s="5"/>
      <c r="G1521" s="22" t="n">
        <f aca="false">ROUND(SUM(I1521:P1521),3)</f>
        <v>59.086</v>
      </c>
      <c r="H1521" s="5" t="str">
        <f aca="false">IF(G1521&gt;=評分方法!$C$16,"優先評估",IF(G1521&gt;=評分方法!$C$17,"列入候選",IF(G1521&gt;=評分方法!$C$18,"特定情境","不建議")))</f>
        <v>不建議</v>
      </c>
      <c r="I1521" s="15" t="n">
        <f aca="false">AE1521*評分方法!$C$5</f>
        <v>27</v>
      </c>
      <c r="J1521" s="15" t="n">
        <f aca="false">AF1521*評分方法!$C$6</f>
        <v>0</v>
      </c>
      <c r="K1521" s="15" t="n">
        <f aca="false">AG1521*評分方法!$C$7</f>
        <v>4.95</v>
      </c>
      <c r="L1521" s="15" t="n">
        <f aca="false">AH1521*評分方法!$C$8</f>
        <v>15</v>
      </c>
      <c r="M1521" s="15" t="n">
        <f aca="false">AI1521*評分方法!$C$9</f>
        <v>2</v>
      </c>
      <c r="N1521" s="15" t="n">
        <f aca="false">AJ1521*評分方法!$C$10</f>
        <v>7.636</v>
      </c>
      <c r="O1521" s="15" t="n">
        <f aca="false">AK1521*評分方法!$C$11</f>
        <v>1</v>
      </c>
      <c r="P1521" s="15" t="n">
        <f aca="false">AL1521*評分方法!$C$12</f>
        <v>1.5</v>
      </c>
      <c r="Q1521" s="6" t="n">
        <v>1228916</v>
      </c>
      <c r="R1521" s="6" t="n">
        <v>278044162</v>
      </c>
      <c r="S1521" s="11" t="s">
        <v>238</v>
      </c>
      <c r="T1521" s="5"/>
      <c r="U1521" s="5" t="s">
        <v>375</v>
      </c>
      <c r="V1521" s="11" t="s">
        <v>324</v>
      </c>
      <c r="W1521" s="5" t="s">
        <v>334</v>
      </c>
      <c r="X1521" s="5" t="s">
        <v>255</v>
      </c>
      <c r="Y1521" s="5"/>
      <c r="Z1521" s="5"/>
      <c r="AA1521" s="11" t="s">
        <v>153</v>
      </c>
      <c r="AB1521" s="5" t="s">
        <v>245</v>
      </c>
      <c r="AC1521" s="5" t="s">
        <v>262</v>
      </c>
      <c r="AD1521" s="11" t="s">
        <v>3767</v>
      </c>
      <c r="AE1521" s="23" t="n">
        <v>0.9</v>
      </c>
      <c r="AF1521" s="23" t="n">
        <v>0</v>
      </c>
      <c r="AG1521" s="23" t="n">
        <v>0.33</v>
      </c>
      <c r="AH1521" s="23" t="n">
        <v>1</v>
      </c>
      <c r="AI1521" s="23" t="n">
        <v>0.2</v>
      </c>
      <c r="AJ1521" s="23" t="n">
        <v>0.7636</v>
      </c>
      <c r="AK1521" s="23" t="n">
        <v>0.2</v>
      </c>
      <c r="AL1521" s="23" t="n">
        <v>0.3</v>
      </c>
      <c r="AM1521" s="16" t="n">
        <f aca="false">COUNTIFS($D$2:$D$2501,D1521,$G$2:$G$2501,"&gt;"&amp;G1521)+COUNTIFS($D$2:D1521,D1521,$G$2:G1521,G1521)</f>
        <v>200</v>
      </c>
      <c r="AN1521" s="5" t="str">
        <f aca="false">D1521&amp;"|"&amp;AM1521</f>
        <v>檢索與情資關聯|200</v>
      </c>
    </row>
    <row r="1522" customFormat="false" ht="17.15" hidden="false" customHeight="false" outlineLevel="0" collapsed="false">
      <c r="A1522" s="16" t="n">
        <f aca="false">RANK(G1522,$G$2:$G$2501)+COUNTIF($G$2:G1522,G1522)-1</f>
        <v>1521</v>
      </c>
      <c r="B1522" s="11" t="s">
        <v>3768</v>
      </c>
      <c r="C1522" s="11" t="s">
        <v>3769</v>
      </c>
      <c r="D1522" s="5" t="s">
        <v>54</v>
      </c>
      <c r="E1522" s="5" t="s">
        <v>55</v>
      </c>
      <c r="F1522" s="5"/>
      <c r="G1522" s="22" t="n">
        <f aca="false">ROUND(SUM(I1522:P1522),3)</f>
        <v>59.062</v>
      </c>
      <c r="H1522" s="5" t="str">
        <f aca="false">IF(G1522&gt;=評分方法!$C$16,"優先評估",IF(G1522&gt;=評分方法!$C$17,"列入候選",IF(G1522&gt;=評分方法!$C$18,"特定情境","不建議")))</f>
        <v>不建議</v>
      </c>
      <c r="I1522" s="15" t="n">
        <f aca="false">AE1522*評分方法!$C$5</f>
        <v>16.2</v>
      </c>
      <c r="J1522" s="15" t="n">
        <f aca="false">AF1522*評分方法!$C$6</f>
        <v>0</v>
      </c>
      <c r="K1522" s="15" t="n">
        <f aca="false">AG1522*評分方法!$C$7</f>
        <v>4.95</v>
      </c>
      <c r="L1522" s="15" t="n">
        <f aca="false">AH1522*評分方法!$C$8</f>
        <v>15</v>
      </c>
      <c r="M1522" s="15" t="n">
        <f aca="false">AI1522*評分方法!$C$9</f>
        <v>10</v>
      </c>
      <c r="N1522" s="15" t="n">
        <f aca="false">AJ1522*評分方法!$C$10</f>
        <v>7.912</v>
      </c>
      <c r="O1522" s="15" t="n">
        <f aca="false">AK1522*評分方法!$C$11</f>
        <v>5</v>
      </c>
      <c r="P1522" s="15" t="n">
        <f aca="false">AL1522*評分方法!$C$12</f>
        <v>0</v>
      </c>
      <c r="Q1522" s="6" t="n">
        <v>1484423</v>
      </c>
      <c r="R1522" s="6" t="n">
        <v>434961408</v>
      </c>
      <c r="S1522" s="11" t="s">
        <v>238</v>
      </c>
      <c r="T1522" s="11" t="s">
        <v>239</v>
      </c>
      <c r="U1522" s="5" t="s">
        <v>240</v>
      </c>
      <c r="V1522" s="11" t="s">
        <v>324</v>
      </c>
      <c r="W1522" s="5" t="s">
        <v>334</v>
      </c>
      <c r="X1522" s="5" t="s">
        <v>242</v>
      </c>
      <c r="Y1522" s="5"/>
      <c r="Z1522" s="5"/>
      <c r="AA1522" s="11" t="s">
        <v>152</v>
      </c>
      <c r="AB1522" s="5" t="s">
        <v>245</v>
      </c>
      <c r="AC1522" s="5" t="s">
        <v>1463</v>
      </c>
      <c r="AD1522" s="11" t="s">
        <v>3770</v>
      </c>
      <c r="AE1522" s="23" t="n">
        <v>0.54</v>
      </c>
      <c r="AF1522" s="23" t="n">
        <v>0</v>
      </c>
      <c r="AG1522" s="23" t="n">
        <v>0.33</v>
      </c>
      <c r="AH1522" s="23" t="n">
        <v>1</v>
      </c>
      <c r="AI1522" s="23" t="n">
        <v>1</v>
      </c>
      <c r="AJ1522" s="23" t="n">
        <v>0.7912</v>
      </c>
      <c r="AK1522" s="23" t="n">
        <v>1</v>
      </c>
      <c r="AL1522" s="23" t="n">
        <v>0</v>
      </c>
      <c r="AM1522" s="16" t="n">
        <f aca="false">COUNTIFS($D$2:$D$2501,D1522,$G$2:$G$2501,"&gt;"&amp;G1522)+COUNTIFS($D$2:D1522,D1522,$G$2:G1522,G1522)</f>
        <v>201</v>
      </c>
      <c r="AN1522" s="5" t="str">
        <f aca="false">D1522&amp;"|"&amp;AM1522</f>
        <v>檢索與情資關聯|201</v>
      </c>
    </row>
    <row r="1523" customFormat="false" ht="17.15" hidden="false" customHeight="false" outlineLevel="0" collapsed="false">
      <c r="A1523" s="16" t="n">
        <f aca="false">RANK(G1523,$G$2:$G$2501)+COUNTIF($G$2:G1523,G1523)-1</f>
        <v>1522</v>
      </c>
      <c r="B1523" s="11" t="s">
        <v>3771</v>
      </c>
      <c r="C1523" s="11" t="s">
        <v>681</v>
      </c>
      <c r="D1523" s="5" t="s">
        <v>74</v>
      </c>
      <c r="E1523" s="5" t="s">
        <v>75</v>
      </c>
      <c r="F1523" s="5"/>
      <c r="G1523" s="22" t="n">
        <f aca="false">ROUND(SUM(I1523:P1523),3)</f>
        <v>59.048</v>
      </c>
      <c r="H1523" s="5" t="str">
        <f aca="false">IF(G1523&gt;=評分方法!$C$16,"優先評估",IF(G1523&gt;=評分方法!$C$17,"列入候選",IF(G1523&gt;=評分方法!$C$18,"特定情境","不建議")))</f>
        <v>不建議</v>
      </c>
      <c r="I1523" s="15" t="n">
        <f aca="false">AE1523*評分方法!$C$5</f>
        <v>7.5</v>
      </c>
      <c r="J1523" s="15" t="n">
        <f aca="false">AF1523*評分方法!$C$6</f>
        <v>0</v>
      </c>
      <c r="K1523" s="15" t="n">
        <f aca="false">AG1523*評分方法!$C$7</f>
        <v>15</v>
      </c>
      <c r="L1523" s="15" t="n">
        <f aca="false">AH1523*評分方法!$C$8</f>
        <v>15</v>
      </c>
      <c r="M1523" s="15" t="n">
        <f aca="false">AI1523*評分方法!$C$9</f>
        <v>10</v>
      </c>
      <c r="N1523" s="15" t="n">
        <f aca="false">AJ1523*評分方法!$C$10</f>
        <v>9.048</v>
      </c>
      <c r="O1523" s="15" t="n">
        <f aca="false">AK1523*評分方法!$C$11</f>
        <v>1</v>
      </c>
      <c r="P1523" s="15" t="n">
        <f aca="false">AL1523*評分方法!$C$12</f>
        <v>1.5</v>
      </c>
      <c r="Q1523" s="6" t="n">
        <v>4046315</v>
      </c>
      <c r="R1523" s="6" t="n">
        <v>41631008</v>
      </c>
      <c r="S1523" s="11" t="s">
        <v>238</v>
      </c>
      <c r="T1523" s="11" t="s">
        <v>239</v>
      </c>
      <c r="U1523" s="5" t="s">
        <v>240</v>
      </c>
      <c r="V1523" s="11" t="s">
        <v>324</v>
      </c>
      <c r="W1523" s="5" t="s">
        <v>205</v>
      </c>
      <c r="X1523" s="5" t="s">
        <v>255</v>
      </c>
      <c r="Y1523" s="5"/>
      <c r="Z1523" s="5"/>
      <c r="AA1523" s="11" t="s">
        <v>178</v>
      </c>
      <c r="AB1523" s="5" t="s">
        <v>245</v>
      </c>
      <c r="AC1523" s="5"/>
      <c r="AD1523" s="11" t="s">
        <v>3772</v>
      </c>
      <c r="AE1523" s="23" t="n">
        <v>0.25</v>
      </c>
      <c r="AF1523" s="23" t="n">
        <v>0</v>
      </c>
      <c r="AG1523" s="23" t="n">
        <v>1</v>
      </c>
      <c r="AH1523" s="23" t="n">
        <v>1</v>
      </c>
      <c r="AI1523" s="23" t="n">
        <v>1</v>
      </c>
      <c r="AJ1523" s="23" t="n">
        <v>0.9048</v>
      </c>
      <c r="AK1523" s="23" t="n">
        <v>0.2</v>
      </c>
      <c r="AL1523" s="23" t="n">
        <v>0.3</v>
      </c>
      <c r="AM1523" s="16" t="n">
        <f aca="false">COUNTIFS($D$2:$D$2501,D1523,$G$2:$G$2501,"&gt;"&amp;G1523)+COUNTIFS($D$2:D1523,D1523,$G$2:G1523,G1523)</f>
        <v>110</v>
      </c>
      <c r="AN1523" s="5" t="str">
        <f aca="false">D1523&amp;"|"&amp;AM1523</f>
        <v>文件與影像辨識|110</v>
      </c>
    </row>
    <row r="1524" customFormat="false" ht="17.15" hidden="false" customHeight="false" outlineLevel="0" collapsed="false">
      <c r="A1524" s="16" t="n">
        <f aca="false">RANK(G1524,$G$2:$G$2501)+COUNTIF($G$2:G1524,G1524)-1</f>
        <v>1523</v>
      </c>
      <c r="B1524" s="11" t="s">
        <v>3773</v>
      </c>
      <c r="C1524" s="11" t="s">
        <v>349</v>
      </c>
      <c r="D1524" s="11" t="s">
        <v>60</v>
      </c>
      <c r="E1524" s="11" t="s">
        <v>61</v>
      </c>
      <c r="F1524" s="11" t="s">
        <v>60</v>
      </c>
      <c r="G1524" s="22" t="n">
        <f aca="false">ROUND(SUM(I1524:P1524),3)</f>
        <v>59.032</v>
      </c>
      <c r="H1524" s="5" t="str">
        <f aca="false">IF(G1524&gt;=評分方法!$C$16,"優先評估",IF(G1524&gt;=評分方法!$C$17,"列入候選",IF(G1524&gt;=評分方法!$C$18,"特定情境","不建議")))</f>
        <v>不建議</v>
      </c>
      <c r="I1524" s="15" t="n">
        <f aca="false">AE1524*評分方法!$C$5</f>
        <v>15</v>
      </c>
      <c r="J1524" s="15" t="n">
        <f aca="false">AF1524*評分方法!$C$6</f>
        <v>10</v>
      </c>
      <c r="K1524" s="15" t="n">
        <f aca="false">AG1524*評分方法!$C$7</f>
        <v>15</v>
      </c>
      <c r="L1524" s="15" t="n">
        <f aca="false">AH1524*評分方法!$C$8</f>
        <v>15</v>
      </c>
      <c r="M1524" s="15" t="n">
        <f aca="false">AI1524*評分方法!$C$9</f>
        <v>2</v>
      </c>
      <c r="N1524" s="15" t="n">
        <f aca="false">AJ1524*評分方法!$C$10</f>
        <v>1.032</v>
      </c>
      <c r="O1524" s="15" t="n">
        <f aca="false">AK1524*評分方法!$C$11</f>
        <v>1</v>
      </c>
      <c r="P1524" s="15" t="n">
        <f aca="false">AL1524*評分方法!$C$12</f>
        <v>0</v>
      </c>
      <c r="Q1524" s="6" t="n">
        <v>154892</v>
      </c>
      <c r="R1524" s="6" t="n">
        <v>66955010</v>
      </c>
      <c r="S1524" s="11" t="s">
        <v>238</v>
      </c>
      <c r="T1524" s="5"/>
      <c r="U1524" s="5" t="s">
        <v>375</v>
      </c>
      <c r="V1524" s="11" t="s">
        <v>261</v>
      </c>
      <c r="W1524" s="5" t="s">
        <v>205</v>
      </c>
      <c r="X1524" s="5" t="s">
        <v>242</v>
      </c>
      <c r="Y1524" s="5"/>
      <c r="Z1524" s="5"/>
      <c r="AA1524" s="11" t="s">
        <v>162</v>
      </c>
      <c r="AB1524" s="5" t="s">
        <v>328</v>
      </c>
      <c r="AC1524" s="5" t="s">
        <v>329</v>
      </c>
      <c r="AD1524" s="11" t="s">
        <v>3774</v>
      </c>
      <c r="AE1524" s="23" t="n">
        <v>0.5</v>
      </c>
      <c r="AF1524" s="23" t="n">
        <v>1</v>
      </c>
      <c r="AG1524" s="23" t="n">
        <v>1</v>
      </c>
      <c r="AH1524" s="23" t="n">
        <v>1</v>
      </c>
      <c r="AI1524" s="23" t="n">
        <v>0.2</v>
      </c>
      <c r="AJ1524" s="23" t="n">
        <v>0.1032</v>
      </c>
      <c r="AK1524" s="23" t="n">
        <v>0.2</v>
      </c>
      <c r="AL1524" s="23" t="n">
        <v>0</v>
      </c>
      <c r="AM1524" s="16" t="n">
        <f aca="false">COUNTIFS($D$2:$D$2501,D1524,$G$2:$G$2501,"&gt;"&amp;G1524)+COUNTIFS($D$2:D1524,D1524,$G$2:G1524,G1524)</f>
        <v>7</v>
      </c>
      <c r="AN1524" s="5" t="str">
        <f aca="false">D1524&amp;"|"&amp;AM1524</f>
        <v>AI 紅隊評估|7</v>
      </c>
    </row>
    <row r="1525" customFormat="false" ht="17.15" hidden="false" customHeight="false" outlineLevel="0" collapsed="false">
      <c r="A1525" s="16" t="n">
        <f aca="false">RANK(G1525,$G$2:$G$2501)+COUNTIF($G$2:G1525,G1525)-1</f>
        <v>1524</v>
      </c>
      <c r="B1525" s="11" t="s">
        <v>3775</v>
      </c>
      <c r="C1525" s="11" t="s">
        <v>1388</v>
      </c>
      <c r="D1525" s="5" t="s">
        <v>56</v>
      </c>
      <c r="E1525" s="5" t="s">
        <v>57</v>
      </c>
      <c r="F1525" s="5"/>
      <c r="G1525" s="22" t="n">
        <f aca="false">ROUND(SUM(I1525:P1525),3)</f>
        <v>59.016</v>
      </c>
      <c r="H1525" s="5" t="str">
        <f aca="false">IF(G1525&gt;=評分方法!$C$16,"優先評估",IF(G1525&gt;=評分方法!$C$17,"列入候選",IF(G1525&gt;=評分方法!$C$18,"特定情境","不建議")))</f>
        <v>不建議</v>
      </c>
      <c r="I1525" s="15" t="n">
        <f aca="false">AE1525*評分方法!$C$5</f>
        <v>25.5</v>
      </c>
      <c r="J1525" s="15" t="n">
        <f aca="false">AF1525*評分方法!$C$6</f>
        <v>0</v>
      </c>
      <c r="K1525" s="15" t="n">
        <f aca="false">AG1525*評分方法!$C$7</f>
        <v>10.05</v>
      </c>
      <c r="L1525" s="15" t="n">
        <f aca="false">AH1525*評分方法!$C$8</f>
        <v>13.05</v>
      </c>
      <c r="M1525" s="15" t="n">
        <f aca="false">AI1525*評分方法!$C$9</f>
        <v>6</v>
      </c>
      <c r="N1525" s="15" t="n">
        <f aca="false">AJ1525*評分方法!$C$10</f>
        <v>3.416</v>
      </c>
      <c r="O1525" s="15" t="n">
        <f aca="false">AK1525*評分方法!$C$11</f>
        <v>1</v>
      </c>
      <c r="P1525" s="15" t="n">
        <f aca="false">AL1525*評分方法!$C$12</f>
        <v>0</v>
      </c>
      <c r="Q1525" s="6" t="n">
        <v>343921</v>
      </c>
      <c r="R1525" s="6" t="n">
        <v>6738415616</v>
      </c>
      <c r="S1525" s="11" t="s">
        <v>254</v>
      </c>
      <c r="T1525" s="11" t="s">
        <v>1153</v>
      </c>
      <c r="U1525" s="5" t="s">
        <v>260</v>
      </c>
      <c r="V1525" s="11" t="s">
        <v>333</v>
      </c>
      <c r="W1525" s="5" t="s">
        <v>207</v>
      </c>
      <c r="X1525" s="5" t="s">
        <v>242</v>
      </c>
      <c r="Y1525" s="11" t="s">
        <v>1493</v>
      </c>
      <c r="Z1525" s="11" t="s">
        <v>244</v>
      </c>
      <c r="AA1525" s="11" t="s">
        <v>155</v>
      </c>
      <c r="AB1525" s="5" t="s">
        <v>245</v>
      </c>
      <c r="AC1525" s="5" t="s">
        <v>464</v>
      </c>
      <c r="AD1525" s="11" t="s">
        <v>3776</v>
      </c>
      <c r="AE1525" s="23" t="n">
        <v>0.85</v>
      </c>
      <c r="AF1525" s="23" t="n">
        <v>0</v>
      </c>
      <c r="AG1525" s="23" t="n">
        <v>0.67</v>
      </c>
      <c r="AH1525" s="23" t="n">
        <v>0.87</v>
      </c>
      <c r="AI1525" s="23" t="n">
        <v>0.6</v>
      </c>
      <c r="AJ1525" s="23" t="n">
        <v>0.3416</v>
      </c>
      <c r="AK1525" s="23" t="n">
        <v>0.2</v>
      </c>
      <c r="AL1525" s="23" t="n">
        <v>0</v>
      </c>
      <c r="AM1525" s="16" t="n">
        <f aca="false">COUNTIFS($D$2:$D$2501,D1525,$G$2:$G$2501,"&gt;"&amp;G1525)+COUNTIFS($D$2:D1525,D1525,$G$2:G1525,G1525)</f>
        <v>715</v>
      </c>
      <c r="AN1525" s="5" t="str">
        <f aca="false">D1525&amp;"|"&amp;AM1525</f>
        <v>分析與報告生成|715</v>
      </c>
    </row>
    <row r="1526" customFormat="false" ht="17.15" hidden="false" customHeight="false" outlineLevel="0" collapsed="false">
      <c r="A1526" s="16" t="n">
        <f aca="false">RANK(G1526,$G$2:$G$2501)+COUNTIF($G$2:G1526,G1526)-1</f>
        <v>1525</v>
      </c>
      <c r="B1526" s="11" t="s">
        <v>3777</v>
      </c>
      <c r="C1526" s="11" t="s">
        <v>2693</v>
      </c>
      <c r="D1526" s="5" t="s">
        <v>74</v>
      </c>
      <c r="E1526" s="5" t="s">
        <v>75</v>
      </c>
      <c r="F1526" s="5"/>
      <c r="G1526" s="22" t="n">
        <f aca="false">ROUND(SUM(I1526:P1526),3)</f>
        <v>58.976</v>
      </c>
      <c r="H1526" s="5" t="str">
        <f aca="false">IF(G1526&gt;=評分方法!$C$16,"優先評估",IF(G1526&gt;=評分方法!$C$17,"列入候選",IF(G1526&gt;=評分方法!$C$18,"特定情境","不建議")))</f>
        <v>不建議</v>
      </c>
      <c r="I1526" s="15" t="n">
        <f aca="false">AE1526*評分方法!$C$5</f>
        <v>10.5</v>
      </c>
      <c r="J1526" s="15" t="n">
        <f aca="false">AF1526*評分方法!$C$6</f>
        <v>0</v>
      </c>
      <c r="K1526" s="15" t="n">
        <f aca="false">AG1526*評分方法!$C$7</f>
        <v>15</v>
      </c>
      <c r="L1526" s="15" t="n">
        <f aca="false">AH1526*評分方法!$C$8</f>
        <v>15</v>
      </c>
      <c r="M1526" s="15" t="n">
        <f aca="false">AI1526*評分方法!$C$9</f>
        <v>10</v>
      </c>
      <c r="N1526" s="15" t="n">
        <f aca="false">AJ1526*評分方法!$C$10</f>
        <v>4.476</v>
      </c>
      <c r="O1526" s="15" t="n">
        <f aca="false">AK1526*評分方法!$C$11</f>
        <v>2.5</v>
      </c>
      <c r="P1526" s="15" t="n">
        <f aca="false">AL1526*評分方法!$C$12</f>
        <v>1.5</v>
      </c>
      <c r="Q1526" s="6" t="n">
        <v>487933</v>
      </c>
      <c r="R1526" s="6" t="n">
        <v>42742984</v>
      </c>
      <c r="S1526" s="11" t="s">
        <v>238</v>
      </c>
      <c r="T1526" s="11" t="s">
        <v>239</v>
      </c>
      <c r="U1526" s="5" t="s">
        <v>240</v>
      </c>
      <c r="V1526" s="11" t="s">
        <v>324</v>
      </c>
      <c r="W1526" s="5" t="s">
        <v>205</v>
      </c>
      <c r="X1526" s="5" t="s">
        <v>255</v>
      </c>
      <c r="Y1526" s="5"/>
      <c r="Z1526" s="5"/>
      <c r="AA1526" s="11" t="s">
        <v>172</v>
      </c>
      <c r="AB1526" s="5" t="s">
        <v>245</v>
      </c>
      <c r="AC1526" s="5"/>
      <c r="AD1526" s="11" t="s">
        <v>3778</v>
      </c>
      <c r="AE1526" s="23" t="n">
        <v>0.35</v>
      </c>
      <c r="AF1526" s="23" t="n">
        <v>0</v>
      </c>
      <c r="AG1526" s="23" t="n">
        <v>1</v>
      </c>
      <c r="AH1526" s="23" t="n">
        <v>1</v>
      </c>
      <c r="AI1526" s="23" t="n">
        <v>1</v>
      </c>
      <c r="AJ1526" s="23" t="n">
        <v>0.4476</v>
      </c>
      <c r="AK1526" s="23" t="n">
        <v>0.5</v>
      </c>
      <c r="AL1526" s="23" t="n">
        <v>0.3</v>
      </c>
      <c r="AM1526" s="16" t="n">
        <f aca="false">COUNTIFS($D$2:$D$2501,D1526,$G$2:$G$2501,"&gt;"&amp;G1526)+COUNTIFS($D$2:D1526,D1526,$G$2:G1526,G1526)</f>
        <v>111</v>
      </c>
      <c r="AN1526" s="5" t="str">
        <f aca="false">D1526&amp;"|"&amp;AM1526</f>
        <v>文件與影像辨識|111</v>
      </c>
    </row>
    <row r="1527" customFormat="false" ht="17.15" hidden="false" customHeight="false" outlineLevel="0" collapsed="false">
      <c r="A1527" s="16" t="n">
        <f aca="false">RANK(G1527,$G$2:$G$2501)+COUNTIF($G$2:G1527,G1527)-1</f>
        <v>1526</v>
      </c>
      <c r="B1527" s="11" t="s">
        <v>3779</v>
      </c>
      <c r="C1527" s="11" t="s">
        <v>2693</v>
      </c>
      <c r="D1527" s="5" t="s">
        <v>74</v>
      </c>
      <c r="E1527" s="5" t="s">
        <v>75</v>
      </c>
      <c r="F1527" s="5"/>
      <c r="G1527" s="22" t="n">
        <f aca="false">ROUND(SUM(I1527:P1527),3)</f>
        <v>58.952</v>
      </c>
      <c r="H1527" s="5" t="str">
        <f aca="false">IF(G1527&gt;=評分方法!$C$16,"優先評估",IF(G1527&gt;=評分方法!$C$17,"列入候選",IF(G1527&gt;=評分方法!$C$18,"特定情境","不建議")))</f>
        <v>不建議</v>
      </c>
      <c r="I1527" s="15" t="n">
        <f aca="false">AE1527*評分方法!$C$5</f>
        <v>12</v>
      </c>
      <c r="J1527" s="15" t="n">
        <f aca="false">AF1527*評分方法!$C$6</f>
        <v>0</v>
      </c>
      <c r="K1527" s="15" t="n">
        <f aca="false">AG1527*評分方法!$C$7</f>
        <v>15</v>
      </c>
      <c r="L1527" s="15" t="n">
        <f aca="false">AH1527*評分方法!$C$8</f>
        <v>15</v>
      </c>
      <c r="M1527" s="15" t="n">
        <f aca="false">AI1527*評分方法!$C$9</f>
        <v>10</v>
      </c>
      <c r="N1527" s="15" t="n">
        <f aca="false">AJ1527*評分方法!$C$10</f>
        <v>2.952</v>
      </c>
      <c r="O1527" s="15" t="n">
        <f aca="false">AK1527*評分方法!$C$11</f>
        <v>2.5</v>
      </c>
      <c r="P1527" s="15" t="n">
        <f aca="false">AL1527*評分方法!$C$12</f>
        <v>1.5</v>
      </c>
      <c r="Q1527" s="6" t="n">
        <v>291041</v>
      </c>
      <c r="R1527" s="6" t="n">
        <v>304294656</v>
      </c>
      <c r="S1527" s="11" t="s">
        <v>238</v>
      </c>
      <c r="T1527" s="11" t="s">
        <v>239</v>
      </c>
      <c r="U1527" s="5" t="s">
        <v>240</v>
      </c>
      <c r="V1527" s="11" t="s">
        <v>324</v>
      </c>
      <c r="W1527" s="5" t="s">
        <v>205</v>
      </c>
      <c r="X1527" s="5" t="s">
        <v>255</v>
      </c>
      <c r="Y1527" s="5"/>
      <c r="Z1527" s="5"/>
      <c r="AA1527" s="11" t="s">
        <v>167</v>
      </c>
      <c r="AB1527" s="5" t="s">
        <v>245</v>
      </c>
      <c r="AC1527" s="5"/>
      <c r="AD1527" s="11" t="s">
        <v>3780</v>
      </c>
      <c r="AE1527" s="23" t="n">
        <v>0.4</v>
      </c>
      <c r="AF1527" s="23" t="n">
        <v>0</v>
      </c>
      <c r="AG1527" s="23" t="n">
        <v>1</v>
      </c>
      <c r="AH1527" s="23" t="n">
        <v>1</v>
      </c>
      <c r="AI1527" s="23" t="n">
        <v>1</v>
      </c>
      <c r="AJ1527" s="23" t="n">
        <v>0.2952</v>
      </c>
      <c r="AK1527" s="23" t="n">
        <v>0.5</v>
      </c>
      <c r="AL1527" s="23" t="n">
        <v>0.3</v>
      </c>
      <c r="AM1527" s="16" t="n">
        <f aca="false">COUNTIFS($D$2:$D$2501,D1527,$G$2:$G$2501,"&gt;"&amp;G1527)+COUNTIFS($D$2:D1527,D1527,$G$2:G1527,G1527)</f>
        <v>112</v>
      </c>
      <c r="AN1527" s="5" t="str">
        <f aca="false">D1527&amp;"|"&amp;AM1527</f>
        <v>文件與影像辨識|112</v>
      </c>
    </row>
    <row r="1528" customFormat="false" ht="17.15" hidden="false" customHeight="false" outlineLevel="0" collapsed="false">
      <c r="A1528" s="16" t="n">
        <f aca="false">RANK(G1528,$G$2:$G$2501)+COUNTIF($G$2:G1528,G1528)-1</f>
        <v>1527</v>
      </c>
      <c r="B1528" s="11" t="s">
        <v>3781</v>
      </c>
      <c r="C1528" s="11" t="s">
        <v>3782</v>
      </c>
      <c r="D1528" s="5" t="s">
        <v>56</v>
      </c>
      <c r="E1528" s="5" t="s">
        <v>57</v>
      </c>
      <c r="F1528" s="5"/>
      <c r="G1528" s="22" t="n">
        <f aca="false">ROUND(SUM(I1528:P1528),3)</f>
        <v>58.948</v>
      </c>
      <c r="H1528" s="5" t="str">
        <f aca="false">IF(G1528&gt;=評分方法!$C$16,"優先評估",IF(G1528&gt;=評分方法!$C$17,"列入候選",IF(G1528&gt;=評分方法!$C$18,"特定情境","不建議")))</f>
        <v>不建議</v>
      </c>
      <c r="I1528" s="15" t="n">
        <f aca="false">AE1528*評分方法!$C$5</f>
        <v>25.5</v>
      </c>
      <c r="J1528" s="15" t="n">
        <f aca="false">AF1528*評分方法!$C$6</f>
        <v>0</v>
      </c>
      <c r="K1528" s="15" t="n">
        <f aca="false">AG1528*評分方法!$C$7</f>
        <v>4.95</v>
      </c>
      <c r="L1528" s="15" t="n">
        <f aca="false">AH1528*評分方法!$C$8</f>
        <v>13.05</v>
      </c>
      <c r="M1528" s="15" t="n">
        <f aca="false">AI1528*評分方法!$C$9</f>
        <v>10</v>
      </c>
      <c r="N1528" s="15" t="n">
        <f aca="false">AJ1528*評分方法!$C$10</f>
        <v>2.948</v>
      </c>
      <c r="O1528" s="15" t="n">
        <f aca="false">AK1528*評分方法!$C$11</f>
        <v>2.5</v>
      </c>
      <c r="P1528" s="15" t="n">
        <f aca="false">AL1528*評分方法!$C$12</f>
        <v>0</v>
      </c>
      <c r="Q1528" s="6" t="n">
        <v>290733</v>
      </c>
      <c r="R1528" s="6" t="n">
        <v>7768117248</v>
      </c>
      <c r="S1528" s="11" t="s">
        <v>254</v>
      </c>
      <c r="T1528" s="11" t="s">
        <v>239</v>
      </c>
      <c r="U1528" s="5" t="s">
        <v>240</v>
      </c>
      <c r="V1528" s="11" t="s">
        <v>261</v>
      </c>
      <c r="W1528" s="5" t="s">
        <v>334</v>
      </c>
      <c r="X1528" s="5" t="s">
        <v>242</v>
      </c>
      <c r="Y1528" s="11" t="s">
        <v>3783</v>
      </c>
      <c r="Z1528" s="11" t="s">
        <v>270</v>
      </c>
      <c r="AA1528" s="11" t="s">
        <v>155</v>
      </c>
      <c r="AB1528" s="5" t="s">
        <v>245</v>
      </c>
      <c r="AC1528" s="5"/>
      <c r="AD1528" s="11" t="s">
        <v>3784</v>
      </c>
      <c r="AE1528" s="23" t="n">
        <v>0.85</v>
      </c>
      <c r="AF1528" s="23" t="n">
        <v>0</v>
      </c>
      <c r="AG1528" s="23" t="n">
        <v>0.33</v>
      </c>
      <c r="AH1528" s="23" t="n">
        <v>0.87</v>
      </c>
      <c r="AI1528" s="23" t="n">
        <v>1</v>
      </c>
      <c r="AJ1528" s="23" t="n">
        <v>0.2948</v>
      </c>
      <c r="AK1528" s="23" t="n">
        <v>0.5</v>
      </c>
      <c r="AL1528" s="23" t="n">
        <v>0</v>
      </c>
      <c r="AM1528" s="16" t="n">
        <f aca="false">COUNTIFS($D$2:$D$2501,D1528,$G$2:$G$2501,"&gt;"&amp;G1528)+COUNTIFS($D$2:D1528,D1528,$G$2:G1528,G1528)</f>
        <v>716</v>
      </c>
      <c r="AN1528" s="5" t="str">
        <f aca="false">D1528&amp;"|"&amp;AM1528</f>
        <v>分析與報告生成|716</v>
      </c>
    </row>
    <row r="1529" customFormat="false" ht="17.15" hidden="false" customHeight="false" outlineLevel="0" collapsed="false">
      <c r="A1529" s="16" t="n">
        <f aca="false">RANK(G1529,$G$2:$G$2501)+COUNTIF($G$2:G1529,G1529)-1</f>
        <v>1528</v>
      </c>
      <c r="B1529" s="11" t="s">
        <v>3785</v>
      </c>
      <c r="C1529" s="11" t="s">
        <v>3005</v>
      </c>
      <c r="D1529" s="5" t="s">
        <v>68</v>
      </c>
      <c r="E1529" s="11" t="s">
        <v>69</v>
      </c>
      <c r="F1529" s="5"/>
      <c r="G1529" s="22" t="n">
        <f aca="false">ROUND(SUM(I1529:P1529),3)</f>
        <v>58.938</v>
      </c>
      <c r="H1529" s="5" t="str">
        <f aca="false">IF(G1529&gt;=評分方法!$C$16,"優先評估",IF(G1529&gt;=評分方法!$C$17,"列入候選",IF(G1529&gt;=評分方法!$C$18,"特定情境","不建議")))</f>
        <v>不建議</v>
      </c>
      <c r="I1529" s="15" t="n">
        <f aca="false">AE1529*評分方法!$C$5</f>
        <v>21</v>
      </c>
      <c r="J1529" s="15" t="n">
        <f aca="false">AF1529*評分方法!$C$6</f>
        <v>0</v>
      </c>
      <c r="K1529" s="15" t="n">
        <f aca="false">AG1529*評分方法!$C$7</f>
        <v>4.95</v>
      </c>
      <c r="L1529" s="15" t="n">
        <f aca="false">AH1529*評分方法!$C$8</f>
        <v>15</v>
      </c>
      <c r="M1529" s="15" t="n">
        <f aca="false">AI1529*評分方法!$C$9</f>
        <v>10</v>
      </c>
      <c r="N1529" s="15" t="n">
        <f aca="false">AJ1529*評分方法!$C$10</f>
        <v>3.988</v>
      </c>
      <c r="O1529" s="15" t="n">
        <f aca="false">AK1529*評分方法!$C$11</f>
        <v>2.5</v>
      </c>
      <c r="P1529" s="15" t="n">
        <f aca="false">AL1529*評分方法!$C$12</f>
        <v>1.5</v>
      </c>
      <c r="Q1529" s="6" t="n">
        <v>414770</v>
      </c>
      <c r="R1529" s="6" t="n">
        <v>346368520</v>
      </c>
      <c r="S1529" s="11" t="s">
        <v>238</v>
      </c>
      <c r="T1529" s="11" t="s">
        <v>278</v>
      </c>
      <c r="U1529" s="5" t="s">
        <v>240</v>
      </c>
      <c r="V1529" s="11" t="s">
        <v>324</v>
      </c>
      <c r="W1529" s="5" t="s">
        <v>334</v>
      </c>
      <c r="X1529" s="5" t="s">
        <v>255</v>
      </c>
      <c r="Y1529" s="5"/>
      <c r="Z1529" s="5"/>
      <c r="AA1529" s="11" t="s">
        <v>158</v>
      </c>
      <c r="AB1529" s="5" t="s">
        <v>245</v>
      </c>
      <c r="AC1529" s="5"/>
      <c r="AD1529" s="11" t="s">
        <v>3786</v>
      </c>
      <c r="AE1529" s="23" t="n">
        <v>0.7</v>
      </c>
      <c r="AF1529" s="23" t="n">
        <v>0</v>
      </c>
      <c r="AG1529" s="23" t="n">
        <v>0.33</v>
      </c>
      <c r="AH1529" s="23" t="n">
        <v>1</v>
      </c>
      <c r="AI1529" s="23" t="n">
        <v>1</v>
      </c>
      <c r="AJ1529" s="23" t="n">
        <v>0.3988</v>
      </c>
      <c r="AK1529" s="23" t="n">
        <v>0.5</v>
      </c>
      <c r="AL1529" s="23" t="n">
        <v>0.3</v>
      </c>
      <c r="AM1529" s="16" t="n">
        <f aca="false">COUNTIFS($D$2:$D$2501,D1529,$G$2:$G$2501,"&gt;"&amp;G1529)+COUNTIFS($D$2:D1529,D1529,$G$2:G1529,G1529)</f>
        <v>46</v>
      </c>
      <c r="AN1529" s="5" t="str">
        <f aca="false">D1529&amp;"|"&amp;AM1529</f>
        <v>時序異常偵測|46</v>
      </c>
    </row>
    <row r="1530" customFormat="false" ht="17.15" hidden="false" customHeight="false" outlineLevel="0" collapsed="false">
      <c r="A1530" s="16" t="n">
        <f aca="false">RANK(G1530,$G$2:$G$2501)+COUNTIF($G$2:G1530,G1530)-1</f>
        <v>1529</v>
      </c>
      <c r="B1530" s="11" t="s">
        <v>3787</v>
      </c>
      <c r="C1530" s="11" t="s">
        <v>1722</v>
      </c>
      <c r="D1530" s="5" t="s">
        <v>54</v>
      </c>
      <c r="E1530" s="5" t="s">
        <v>55</v>
      </c>
      <c r="F1530" s="5"/>
      <c r="G1530" s="22" t="n">
        <f aca="false">ROUND(SUM(I1530:P1530),3)</f>
        <v>58.934</v>
      </c>
      <c r="H1530" s="5" t="str">
        <f aca="false">IF(G1530&gt;=評分方法!$C$16,"優先評估",IF(G1530&gt;=評分方法!$C$17,"列入候選",IF(G1530&gt;=評分方法!$C$18,"特定情境","不建議")))</f>
        <v>不建議</v>
      </c>
      <c r="I1530" s="15" t="n">
        <f aca="false">AE1530*評分方法!$C$5</f>
        <v>27</v>
      </c>
      <c r="J1530" s="15" t="n">
        <f aca="false">AF1530*評分方法!$C$6</f>
        <v>0</v>
      </c>
      <c r="K1530" s="15" t="n">
        <f aca="false">AG1530*評分方法!$C$7</f>
        <v>4.95</v>
      </c>
      <c r="L1530" s="15" t="n">
        <f aca="false">AH1530*評分方法!$C$8</f>
        <v>15</v>
      </c>
      <c r="M1530" s="15" t="n">
        <f aca="false">AI1530*評分方法!$C$9</f>
        <v>2</v>
      </c>
      <c r="N1530" s="15" t="n">
        <f aca="false">AJ1530*評分方法!$C$10</f>
        <v>7.484</v>
      </c>
      <c r="O1530" s="15" t="n">
        <f aca="false">AK1530*評分方法!$C$11</f>
        <v>1</v>
      </c>
      <c r="P1530" s="15" t="n">
        <f aca="false">AL1530*評分方法!$C$12</f>
        <v>1.5</v>
      </c>
      <c r="Q1530" s="6" t="n">
        <v>1145685</v>
      </c>
      <c r="R1530" s="6" t="n">
        <v>109482752</v>
      </c>
      <c r="S1530" s="11" t="s">
        <v>238</v>
      </c>
      <c r="T1530" s="5"/>
      <c r="U1530" s="5" t="s">
        <v>375</v>
      </c>
      <c r="V1530" s="11" t="s">
        <v>813</v>
      </c>
      <c r="W1530" s="5" t="s">
        <v>334</v>
      </c>
      <c r="X1530" s="5" t="s">
        <v>255</v>
      </c>
      <c r="Y1530" s="5"/>
      <c r="Z1530" s="5"/>
      <c r="AA1530" s="11" t="s">
        <v>153</v>
      </c>
      <c r="AB1530" s="5" t="s">
        <v>245</v>
      </c>
      <c r="AC1530" s="5" t="s">
        <v>262</v>
      </c>
      <c r="AD1530" s="11" t="s">
        <v>3788</v>
      </c>
      <c r="AE1530" s="23" t="n">
        <v>0.9</v>
      </c>
      <c r="AF1530" s="23" t="n">
        <v>0</v>
      </c>
      <c r="AG1530" s="23" t="n">
        <v>0.33</v>
      </c>
      <c r="AH1530" s="23" t="n">
        <v>1</v>
      </c>
      <c r="AI1530" s="23" t="n">
        <v>0.2</v>
      </c>
      <c r="AJ1530" s="23" t="n">
        <v>0.7484</v>
      </c>
      <c r="AK1530" s="23" t="n">
        <v>0.2</v>
      </c>
      <c r="AL1530" s="23" t="n">
        <v>0.3</v>
      </c>
      <c r="AM1530" s="16" t="n">
        <f aca="false">COUNTIFS($D$2:$D$2501,D1530,$G$2:$G$2501,"&gt;"&amp;G1530)+COUNTIFS($D$2:D1530,D1530,$G$2:G1530,G1530)</f>
        <v>202</v>
      </c>
      <c r="AN1530" s="5" t="str">
        <f aca="false">D1530&amp;"|"&amp;AM1530</f>
        <v>檢索與情資關聯|202</v>
      </c>
    </row>
    <row r="1531" customFormat="false" ht="17.15" hidden="false" customHeight="false" outlineLevel="0" collapsed="false">
      <c r="A1531" s="16" t="n">
        <f aca="false">RANK(G1531,$G$2:$G$2501)+COUNTIF($G$2:G1531,G1531)-1</f>
        <v>1530</v>
      </c>
      <c r="B1531" s="11" t="s">
        <v>3789</v>
      </c>
      <c r="C1531" s="11" t="s">
        <v>753</v>
      </c>
      <c r="D1531" s="5" t="s">
        <v>56</v>
      </c>
      <c r="E1531" s="5" t="s">
        <v>57</v>
      </c>
      <c r="F1531" s="5"/>
      <c r="G1531" s="22" t="n">
        <f aca="false">ROUND(SUM(I1531:P1531),3)</f>
        <v>58.924</v>
      </c>
      <c r="H1531" s="5" t="str">
        <f aca="false">IF(G1531&gt;=評分方法!$C$16,"優先評估",IF(G1531&gt;=評分方法!$C$17,"列入候選",IF(G1531&gt;=評分方法!$C$18,"特定情境","不建議")))</f>
        <v>不建議</v>
      </c>
      <c r="I1531" s="15" t="n">
        <f aca="false">AE1531*評分方法!$C$5</f>
        <v>25.5</v>
      </c>
      <c r="J1531" s="15" t="n">
        <f aca="false">AF1531*評分方法!$C$6</f>
        <v>0</v>
      </c>
      <c r="K1531" s="15" t="n">
        <f aca="false">AG1531*評分方法!$C$7</f>
        <v>10.05</v>
      </c>
      <c r="L1531" s="15" t="n">
        <f aca="false">AH1531*評分方法!$C$8</f>
        <v>13.05</v>
      </c>
      <c r="M1531" s="15" t="n">
        <f aca="false">AI1531*評分方法!$C$9</f>
        <v>6</v>
      </c>
      <c r="N1531" s="15" t="n">
        <f aca="false">AJ1531*評分方法!$C$10</f>
        <v>1.824</v>
      </c>
      <c r="O1531" s="15" t="n">
        <f aca="false">AK1531*評分方法!$C$11</f>
        <v>2.5</v>
      </c>
      <c r="P1531" s="15" t="n">
        <f aca="false">AL1531*評分方法!$C$12</f>
        <v>0</v>
      </c>
      <c r="Q1531" s="6" t="n">
        <v>198053</v>
      </c>
      <c r="R1531" s="6" t="n">
        <v>1266351458</v>
      </c>
      <c r="S1531" s="11" t="s">
        <v>254</v>
      </c>
      <c r="T1531" s="11" t="s">
        <v>1044</v>
      </c>
      <c r="U1531" s="5" t="s">
        <v>260</v>
      </c>
      <c r="V1531" s="11" t="s">
        <v>261</v>
      </c>
      <c r="W1531" s="5" t="s">
        <v>207</v>
      </c>
      <c r="X1531" s="5" t="s">
        <v>242</v>
      </c>
      <c r="Y1531" s="11" t="s">
        <v>1309</v>
      </c>
      <c r="Z1531" s="11" t="s">
        <v>244</v>
      </c>
      <c r="AA1531" s="11" t="s">
        <v>155</v>
      </c>
      <c r="AB1531" s="5" t="s">
        <v>245</v>
      </c>
      <c r="AC1531" s="5" t="s">
        <v>464</v>
      </c>
      <c r="AD1531" s="11" t="s">
        <v>3790</v>
      </c>
      <c r="AE1531" s="23" t="n">
        <v>0.85</v>
      </c>
      <c r="AF1531" s="23" t="n">
        <v>0</v>
      </c>
      <c r="AG1531" s="23" t="n">
        <v>0.67</v>
      </c>
      <c r="AH1531" s="23" t="n">
        <v>0.87</v>
      </c>
      <c r="AI1531" s="23" t="n">
        <v>0.6</v>
      </c>
      <c r="AJ1531" s="23" t="n">
        <v>0.1824</v>
      </c>
      <c r="AK1531" s="23" t="n">
        <v>0.5</v>
      </c>
      <c r="AL1531" s="23" t="n">
        <v>0</v>
      </c>
      <c r="AM1531" s="16" t="n">
        <f aca="false">COUNTIFS($D$2:$D$2501,D1531,$G$2:$G$2501,"&gt;"&amp;G1531)+COUNTIFS($D$2:D1531,D1531,$G$2:G1531,G1531)</f>
        <v>717</v>
      </c>
      <c r="AN1531" s="5" t="str">
        <f aca="false">D1531&amp;"|"&amp;AM1531</f>
        <v>分析與報告生成|717</v>
      </c>
    </row>
    <row r="1532" customFormat="false" ht="17.15" hidden="false" customHeight="false" outlineLevel="0" collapsed="false">
      <c r="A1532" s="16" t="n">
        <f aca="false">RANK(G1532,$G$2:$G$2501)+COUNTIF($G$2:G1532,G1532)-1</f>
        <v>1531</v>
      </c>
      <c r="B1532" s="11" t="s">
        <v>3791</v>
      </c>
      <c r="C1532" s="11" t="s">
        <v>3792</v>
      </c>
      <c r="D1532" s="5" t="s">
        <v>56</v>
      </c>
      <c r="E1532" s="5" t="s">
        <v>57</v>
      </c>
      <c r="F1532" s="5"/>
      <c r="G1532" s="22" t="n">
        <f aca="false">ROUND(SUM(I1532:P1532),3)</f>
        <v>58.92</v>
      </c>
      <c r="H1532" s="5" t="str">
        <f aca="false">IF(G1532&gt;=評分方法!$C$16,"優先評估",IF(G1532&gt;=評分方法!$C$17,"列入候選",IF(G1532&gt;=評分方法!$C$18,"特定情境","不建議")))</f>
        <v>不建議</v>
      </c>
      <c r="I1532" s="15" t="n">
        <f aca="false">AE1532*評分方法!$C$5</f>
        <v>25.5</v>
      </c>
      <c r="J1532" s="15" t="n">
        <f aca="false">AF1532*評分方法!$C$6</f>
        <v>0</v>
      </c>
      <c r="K1532" s="15" t="n">
        <f aca="false">AG1532*評分方法!$C$7</f>
        <v>4.95</v>
      </c>
      <c r="L1532" s="15" t="n">
        <f aca="false">AH1532*評分方法!$C$8</f>
        <v>13.05</v>
      </c>
      <c r="M1532" s="15" t="n">
        <f aca="false">AI1532*評分方法!$C$9</f>
        <v>8</v>
      </c>
      <c r="N1532" s="15" t="n">
        <f aca="false">AJ1532*評分方法!$C$10</f>
        <v>3.42</v>
      </c>
      <c r="O1532" s="15" t="n">
        <f aca="false">AK1532*評分方法!$C$11</f>
        <v>1</v>
      </c>
      <c r="P1532" s="15" t="n">
        <f aca="false">AL1532*評分方法!$C$12</f>
        <v>3</v>
      </c>
      <c r="Q1532" s="6" t="n">
        <v>343992</v>
      </c>
      <c r="R1532" s="6" t="n">
        <v>6738546688</v>
      </c>
      <c r="S1532" s="11" t="s">
        <v>254</v>
      </c>
      <c r="T1532" s="11" t="s">
        <v>1821</v>
      </c>
      <c r="U1532" s="5" t="s">
        <v>1822</v>
      </c>
      <c r="V1532" s="11" t="s">
        <v>462</v>
      </c>
      <c r="W1532" s="5" t="s">
        <v>334</v>
      </c>
      <c r="X1532" s="5" t="s">
        <v>371</v>
      </c>
      <c r="Y1532" s="5"/>
      <c r="Z1532" s="5"/>
      <c r="AA1532" s="11" t="s">
        <v>155</v>
      </c>
      <c r="AB1532" s="5" t="s">
        <v>245</v>
      </c>
      <c r="AC1532" s="5"/>
      <c r="AD1532" s="11" t="s">
        <v>3793</v>
      </c>
      <c r="AE1532" s="23" t="n">
        <v>0.85</v>
      </c>
      <c r="AF1532" s="23" t="n">
        <v>0</v>
      </c>
      <c r="AG1532" s="23" t="n">
        <v>0.33</v>
      </c>
      <c r="AH1532" s="23" t="n">
        <v>0.87</v>
      </c>
      <c r="AI1532" s="23" t="n">
        <v>0.8</v>
      </c>
      <c r="AJ1532" s="23" t="n">
        <v>0.342</v>
      </c>
      <c r="AK1532" s="23" t="n">
        <v>0.2</v>
      </c>
      <c r="AL1532" s="23" t="n">
        <v>0.6</v>
      </c>
      <c r="AM1532" s="16" t="n">
        <f aca="false">COUNTIFS($D$2:$D$2501,D1532,$G$2:$G$2501,"&gt;"&amp;G1532)+COUNTIFS($D$2:D1532,D1532,$G$2:G1532,G1532)</f>
        <v>718</v>
      </c>
      <c r="AN1532" s="5" t="str">
        <f aca="false">D1532&amp;"|"&amp;AM1532</f>
        <v>分析與報告生成|718</v>
      </c>
    </row>
    <row r="1533" customFormat="false" ht="17.15" hidden="false" customHeight="false" outlineLevel="0" collapsed="false">
      <c r="A1533" s="16" t="n">
        <f aca="false">RANK(G1533,$G$2:$G$2501)+COUNTIF($G$2:G1533,G1533)-1</f>
        <v>1532</v>
      </c>
      <c r="B1533" s="11" t="s">
        <v>2927</v>
      </c>
      <c r="C1533" s="11" t="s">
        <v>3794</v>
      </c>
      <c r="D1533" s="5" t="s">
        <v>56</v>
      </c>
      <c r="E1533" s="5" t="s">
        <v>57</v>
      </c>
      <c r="F1533" s="5"/>
      <c r="G1533" s="22" t="n">
        <f aca="false">ROUND(SUM(I1533:P1533),3)</f>
        <v>58.916</v>
      </c>
      <c r="H1533" s="5" t="str">
        <f aca="false">IF(G1533&gt;=評分方法!$C$16,"優先評估",IF(G1533&gt;=評分方法!$C$17,"列入候選",IF(G1533&gt;=評分方法!$C$18,"特定情境","不建議")))</f>
        <v>不建議</v>
      </c>
      <c r="I1533" s="15" t="n">
        <f aca="false">AE1533*評分方法!$C$5</f>
        <v>25.5</v>
      </c>
      <c r="J1533" s="15" t="n">
        <f aca="false">AF1533*評分方法!$C$6</f>
        <v>0</v>
      </c>
      <c r="K1533" s="15" t="n">
        <f aca="false">AG1533*評分方法!$C$7</f>
        <v>4.95</v>
      </c>
      <c r="L1533" s="15" t="n">
        <f aca="false">AH1533*評分方法!$C$8</f>
        <v>1.95</v>
      </c>
      <c r="M1533" s="15" t="n">
        <f aca="false">AI1533*評分方法!$C$9</f>
        <v>10</v>
      </c>
      <c r="N1533" s="15" t="n">
        <f aca="false">AJ1533*評分方法!$C$10</f>
        <v>8.516</v>
      </c>
      <c r="O1533" s="15" t="n">
        <f aca="false">AK1533*評分方法!$C$11</f>
        <v>5</v>
      </c>
      <c r="P1533" s="15" t="n">
        <f aca="false">AL1533*評分方法!$C$12</f>
        <v>3</v>
      </c>
      <c r="Q1533" s="6" t="n">
        <v>2306957</v>
      </c>
      <c r="R1533" s="6" t="n">
        <v>952377623626</v>
      </c>
      <c r="S1533" s="11" t="s">
        <v>1616</v>
      </c>
      <c r="T1533" s="11" t="s">
        <v>239</v>
      </c>
      <c r="U1533" s="5" t="s">
        <v>240</v>
      </c>
      <c r="V1533" s="11" t="s">
        <v>261</v>
      </c>
      <c r="W1533" s="5" t="s">
        <v>334</v>
      </c>
      <c r="X1533" s="5" t="s">
        <v>371</v>
      </c>
      <c r="Y1533" s="5"/>
      <c r="Z1533" s="5"/>
      <c r="AA1533" s="11" t="s">
        <v>156</v>
      </c>
      <c r="AB1533" s="5" t="s">
        <v>245</v>
      </c>
      <c r="AC1533" s="5"/>
      <c r="AD1533" s="11" t="s">
        <v>3795</v>
      </c>
      <c r="AE1533" s="23" t="n">
        <v>0.85</v>
      </c>
      <c r="AF1533" s="23" t="n">
        <v>0</v>
      </c>
      <c r="AG1533" s="23" t="n">
        <v>0.33</v>
      </c>
      <c r="AH1533" s="23" t="n">
        <v>0.13</v>
      </c>
      <c r="AI1533" s="23" t="n">
        <v>1</v>
      </c>
      <c r="AJ1533" s="23" t="n">
        <v>0.8516</v>
      </c>
      <c r="AK1533" s="23" t="n">
        <v>1</v>
      </c>
      <c r="AL1533" s="23" t="n">
        <v>0.6</v>
      </c>
      <c r="AM1533" s="16" t="n">
        <f aca="false">COUNTIFS($D$2:$D$2501,D1533,$G$2:$G$2501,"&gt;"&amp;G1533)+COUNTIFS($D$2:D1533,D1533,$G$2:G1533,G1533)</f>
        <v>719</v>
      </c>
      <c r="AN1533" s="5" t="str">
        <f aca="false">D1533&amp;"|"&amp;AM1533</f>
        <v>分析與報告生成|719</v>
      </c>
    </row>
    <row r="1534" customFormat="false" ht="17.15" hidden="false" customHeight="false" outlineLevel="0" collapsed="false">
      <c r="A1534" s="16" t="n">
        <f aca="false">RANK(G1534,$G$2:$G$2501)+COUNTIF($G$2:G1534,G1534)-1</f>
        <v>1533</v>
      </c>
      <c r="B1534" s="11" t="s">
        <v>3796</v>
      </c>
      <c r="C1534" s="11" t="s">
        <v>3797</v>
      </c>
      <c r="D1534" s="5" t="s">
        <v>56</v>
      </c>
      <c r="E1534" s="5" t="s">
        <v>57</v>
      </c>
      <c r="F1534" s="5"/>
      <c r="G1534" s="22" t="n">
        <f aca="false">ROUND(SUM(I1534:P1534),3)</f>
        <v>58.912</v>
      </c>
      <c r="H1534" s="5" t="str">
        <f aca="false">IF(G1534&gt;=評分方法!$C$16,"優先評估",IF(G1534&gt;=評分方法!$C$17,"列入候選",IF(G1534&gt;=評分方法!$C$18,"特定情境","不建議")))</f>
        <v>不建議</v>
      </c>
      <c r="I1534" s="15" t="n">
        <f aca="false">AE1534*評分方法!$C$5</f>
        <v>25.5</v>
      </c>
      <c r="J1534" s="15" t="n">
        <f aca="false">AF1534*評分方法!$C$6</f>
        <v>0</v>
      </c>
      <c r="K1534" s="15" t="n">
        <f aca="false">AG1534*評分方法!$C$7</f>
        <v>4.95</v>
      </c>
      <c r="L1534" s="15" t="n">
        <f aca="false">AH1534*評分方法!$C$8</f>
        <v>13.05</v>
      </c>
      <c r="M1534" s="15" t="n">
        <f aca="false">AI1534*評分方法!$C$9</f>
        <v>10</v>
      </c>
      <c r="N1534" s="15" t="n">
        <f aca="false">AJ1534*評分方法!$C$10</f>
        <v>1.412</v>
      </c>
      <c r="O1534" s="15" t="n">
        <f aca="false">AK1534*評分方法!$C$11</f>
        <v>1</v>
      </c>
      <c r="P1534" s="15" t="n">
        <f aca="false">AL1534*評分方法!$C$12</f>
        <v>3</v>
      </c>
      <c r="Q1534" s="6" t="n">
        <v>174235</v>
      </c>
      <c r="R1534" s="6" t="n">
        <v>8030261248</v>
      </c>
      <c r="S1534" s="11" t="s">
        <v>254</v>
      </c>
      <c r="T1534" s="11" t="s">
        <v>239</v>
      </c>
      <c r="U1534" s="5" t="s">
        <v>240</v>
      </c>
      <c r="V1534" s="11" t="s">
        <v>261</v>
      </c>
      <c r="W1534" s="5" t="s">
        <v>334</v>
      </c>
      <c r="X1534" s="5" t="s">
        <v>371</v>
      </c>
      <c r="Y1534" s="5"/>
      <c r="Z1534" s="5"/>
      <c r="AA1534" s="11" t="s">
        <v>155</v>
      </c>
      <c r="AB1534" s="5" t="s">
        <v>245</v>
      </c>
      <c r="AC1534" s="5"/>
      <c r="AD1534" s="11" t="s">
        <v>3798</v>
      </c>
      <c r="AE1534" s="23" t="n">
        <v>0.85</v>
      </c>
      <c r="AF1534" s="23" t="n">
        <v>0</v>
      </c>
      <c r="AG1534" s="23" t="n">
        <v>0.33</v>
      </c>
      <c r="AH1534" s="23" t="n">
        <v>0.87</v>
      </c>
      <c r="AI1534" s="23" t="n">
        <v>1</v>
      </c>
      <c r="AJ1534" s="23" t="n">
        <v>0.1412</v>
      </c>
      <c r="AK1534" s="23" t="n">
        <v>0.2</v>
      </c>
      <c r="AL1534" s="23" t="n">
        <v>0.6</v>
      </c>
      <c r="AM1534" s="16" t="n">
        <f aca="false">COUNTIFS($D$2:$D$2501,D1534,$G$2:$G$2501,"&gt;"&amp;G1534)+COUNTIFS($D$2:D1534,D1534,$G$2:G1534,G1534)</f>
        <v>720</v>
      </c>
      <c r="AN1534" s="5" t="str">
        <f aca="false">D1534&amp;"|"&amp;AM1534</f>
        <v>分析與報告生成|720</v>
      </c>
    </row>
    <row r="1535" customFormat="false" ht="17.15" hidden="false" customHeight="false" outlineLevel="0" collapsed="false">
      <c r="A1535" s="16" t="n">
        <f aca="false">RANK(G1535,$G$2:$G$2501)+COUNTIF($G$2:G1535,G1535)-1</f>
        <v>1534</v>
      </c>
      <c r="B1535" s="11" t="s">
        <v>3799</v>
      </c>
      <c r="C1535" s="11" t="s">
        <v>681</v>
      </c>
      <c r="D1535" s="5" t="s">
        <v>74</v>
      </c>
      <c r="E1535" s="5" t="s">
        <v>75</v>
      </c>
      <c r="F1535" s="5"/>
      <c r="G1535" s="22" t="n">
        <f aca="false">ROUND(SUM(I1535:P1535),3)</f>
        <v>58.882</v>
      </c>
      <c r="H1535" s="5" t="str">
        <f aca="false">IF(G1535&gt;=評分方法!$C$16,"優先評估",IF(G1535&gt;=評分方法!$C$17,"列入候選",IF(G1535&gt;=評分方法!$C$18,"特定情境","不建議")))</f>
        <v>不建議</v>
      </c>
      <c r="I1535" s="15" t="n">
        <f aca="false">AE1535*評分方法!$C$5</f>
        <v>10.5</v>
      </c>
      <c r="J1535" s="15" t="n">
        <f aca="false">AF1535*評分方法!$C$6</f>
        <v>0</v>
      </c>
      <c r="K1535" s="15" t="n">
        <f aca="false">AG1535*評分方法!$C$7</f>
        <v>15</v>
      </c>
      <c r="L1535" s="15" t="n">
        <f aca="false">AH1535*評分方法!$C$8</f>
        <v>13.05</v>
      </c>
      <c r="M1535" s="15" t="n">
        <f aca="false">AI1535*評分方法!$C$9</f>
        <v>10</v>
      </c>
      <c r="N1535" s="15" t="n">
        <f aca="false">AJ1535*評分方法!$C$10</f>
        <v>7.832</v>
      </c>
      <c r="O1535" s="15" t="n">
        <f aca="false">AK1535*評分方法!$C$11</f>
        <v>1</v>
      </c>
      <c r="P1535" s="15" t="n">
        <f aca="false">AL1535*評分方法!$C$12</f>
        <v>1.5</v>
      </c>
      <c r="Q1535" s="6" t="n">
        <v>1421402</v>
      </c>
      <c r="R1535" s="6" t="n">
        <v>1136480768</v>
      </c>
      <c r="S1535" s="11" t="s">
        <v>254</v>
      </c>
      <c r="T1535" s="11" t="s">
        <v>239</v>
      </c>
      <c r="U1535" s="5" t="s">
        <v>240</v>
      </c>
      <c r="V1535" s="11" t="s">
        <v>324</v>
      </c>
      <c r="W1535" s="5" t="s">
        <v>205</v>
      </c>
      <c r="X1535" s="5" t="s">
        <v>255</v>
      </c>
      <c r="Y1535" s="5"/>
      <c r="Z1535" s="5"/>
      <c r="AA1535" s="11" t="s">
        <v>173</v>
      </c>
      <c r="AB1535" s="5" t="s">
        <v>245</v>
      </c>
      <c r="AC1535" s="5"/>
      <c r="AD1535" s="11" t="s">
        <v>3800</v>
      </c>
      <c r="AE1535" s="23" t="n">
        <v>0.35</v>
      </c>
      <c r="AF1535" s="23" t="n">
        <v>0</v>
      </c>
      <c r="AG1535" s="23" t="n">
        <v>1</v>
      </c>
      <c r="AH1535" s="23" t="n">
        <v>0.87</v>
      </c>
      <c r="AI1535" s="23" t="n">
        <v>1</v>
      </c>
      <c r="AJ1535" s="23" t="n">
        <v>0.7832</v>
      </c>
      <c r="AK1535" s="23" t="n">
        <v>0.2</v>
      </c>
      <c r="AL1535" s="23" t="n">
        <v>0.3</v>
      </c>
      <c r="AM1535" s="16" t="n">
        <f aca="false">COUNTIFS($D$2:$D$2501,D1535,$G$2:$G$2501,"&gt;"&amp;G1535)+COUNTIFS($D$2:D1535,D1535,$G$2:G1535,G1535)</f>
        <v>113</v>
      </c>
      <c r="AN1535" s="5" t="str">
        <f aca="false">D1535&amp;"|"&amp;AM1535</f>
        <v>文件與影像辨識|113</v>
      </c>
    </row>
    <row r="1536" customFormat="false" ht="17.15" hidden="false" customHeight="false" outlineLevel="0" collapsed="false">
      <c r="A1536" s="16" t="n">
        <f aca="false">RANK(G1536,$G$2:$G$2501)+COUNTIF($G$2:G1536,G1536)-1</f>
        <v>1535</v>
      </c>
      <c r="B1536" s="11" t="s">
        <v>3801</v>
      </c>
      <c r="C1536" s="11" t="s">
        <v>1461</v>
      </c>
      <c r="D1536" s="5" t="s">
        <v>54</v>
      </c>
      <c r="E1536" s="5" t="s">
        <v>55</v>
      </c>
      <c r="F1536" s="5"/>
      <c r="G1536" s="22" t="n">
        <f aca="false">ROUND(SUM(I1536:P1536),3)</f>
        <v>58.842</v>
      </c>
      <c r="H1536" s="5" t="str">
        <f aca="false">IF(G1536&gt;=評分方法!$C$16,"優先評估",IF(G1536&gt;=評分方法!$C$17,"列入候選",IF(G1536&gt;=評分方法!$C$18,"特定情境","不建議")))</f>
        <v>不建議</v>
      </c>
      <c r="I1536" s="15" t="n">
        <f aca="false">AE1536*評分方法!$C$5</f>
        <v>27</v>
      </c>
      <c r="J1536" s="15" t="n">
        <f aca="false">AF1536*評分方法!$C$6</f>
        <v>0</v>
      </c>
      <c r="K1536" s="15" t="n">
        <f aca="false">AG1536*評分方法!$C$7</f>
        <v>10.05</v>
      </c>
      <c r="L1536" s="15" t="n">
        <f aca="false">AH1536*評分方法!$C$8</f>
        <v>15</v>
      </c>
      <c r="M1536" s="15" t="n">
        <f aca="false">AI1536*評分方法!$C$9</f>
        <v>2</v>
      </c>
      <c r="N1536" s="15" t="n">
        <f aca="false">AJ1536*評分方法!$C$10</f>
        <v>3.792</v>
      </c>
      <c r="O1536" s="15" t="n">
        <f aca="false">AK1536*評分方法!$C$11</f>
        <v>1</v>
      </c>
      <c r="P1536" s="15" t="n">
        <f aca="false">AL1536*評分方法!$C$12</f>
        <v>0</v>
      </c>
      <c r="Q1536" s="6" t="n">
        <v>388342</v>
      </c>
      <c r="R1536" s="6" t="n">
        <v>128994349</v>
      </c>
      <c r="S1536" s="11" t="s">
        <v>238</v>
      </c>
      <c r="T1536" s="5"/>
      <c r="U1536" s="5" t="s">
        <v>375</v>
      </c>
      <c r="V1536" s="11" t="s">
        <v>855</v>
      </c>
      <c r="W1536" s="5" t="s">
        <v>207</v>
      </c>
      <c r="X1536" s="5" t="s">
        <v>242</v>
      </c>
      <c r="Y1536" s="5"/>
      <c r="Z1536" s="5"/>
      <c r="AA1536" s="11" t="s">
        <v>153</v>
      </c>
      <c r="AB1536" s="5" t="s">
        <v>245</v>
      </c>
      <c r="AC1536" s="5" t="s">
        <v>262</v>
      </c>
      <c r="AD1536" s="11" t="s">
        <v>3802</v>
      </c>
      <c r="AE1536" s="23" t="n">
        <v>0.9</v>
      </c>
      <c r="AF1536" s="23" t="n">
        <v>0</v>
      </c>
      <c r="AG1536" s="23" t="n">
        <v>0.67</v>
      </c>
      <c r="AH1536" s="23" t="n">
        <v>1</v>
      </c>
      <c r="AI1536" s="23" t="n">
        <v>0.2</v>
      </c>
      <c r="AJ1536" s="23" t="n">
        <v>0.3792</v>
      </c>
      <c r="AK1536" s="23" t="n">
        <v>0.2</v>
      </c>
      <c r="AL1536" s="23" t="n">
        <v>0</v>
      </c>
      <c r="AM1536" s="16" t="n">
        <f aca="false">COUNTIFS($D$2:$D$2501,D1536,$G$2:$G$2501,"&gt;"&amp;G1536)+COUNTIFS($D$2:D1536,D1536,$G$2:G1536,G1536)</f>
        <v>203</v>
      </c>
      <c r="AN1536" s="5" t="str">
        <f aca="false">D1536&amp;"|"&amp;AM1536</f>
        <v>檢索與情資關聯|203</v>
      </c>
    </row>
    <row r="1537" customFormat="false" ht="17.15" hidden="false" customHeight="false" outlineLevel="0" collapsed="false">
      <c r="A1537" s="16" t="n">
        <f aca="false">RANK(G1537,$G$2:$G$2501)+COUNTIF($G$2:G1537,G1537)-1</f>
        <v>1536</v>
      </c>
      <c r="B1537" s="11" t="s">
        <v>3803</v>
      </c>
      <c r="C1537" s="11" t="s">
        <v>1132</v>
      </c>
      <c r="D1537" s="5" t="s">
        <v>66</v>
      </c>
      <c r="E1537" s="5" t="s">
        <v>67</v>
      </c>
      <c r="F1537" s="5"/>
      <c r="G1537" s="22" t="n">
        <f aca="false">ROUND(SUM(I1537:P1537),3)</f>
        <v>58.818</v>
      </c>
      <c r="H1537" s="5" t="str">
        <f aca="false">IF(G1537&gt;=評分方法!$C$16,"優先評估",IF(G1537&gt;=評分方法!$C$17,"列入候選",IF(G1537&gt;=評分方法!$C$18,"特定情境","不建議")))</f>
        <v>不建議</v>
      </c>
      <c r="I1537" s="15" t="n">
        <f aca="false">AE1537*評分方法!$C$5</f>
        <v>27</v>
      </c>
      <c r="J1537" s="15" t="n">
        <f aca="false">AF1537*評分方法!$C$6</f>
        <v>0</v>
      </c>
      <c r="K1537" s="15" t="n">
        <f aca="false">AG1537*評分方法!$C$7</f>
        <v>4.95</v>
      </c>
      <c r="L1537" s="15" t="n">
        <f aca="false">AH1537*評分方法!$C$8</f>
        <v>15</v>
      </c>
      <c r="M1537" s="15" t="n">
        <f aca="false">AI1537*評分方法!$C$9</f>
        <v>10</v>
      </c>
      <c r="N1537" s="15" t="n">
        <f aca="false">AJ1537*評分方法!$C$10</f>
        <v>0.868</v>
      </c>
      <c r="O1537" s="15" t="n">
        <f aca="false">AK1537*評分方法!$C$11</f>
        <v>1</v>
      </c>
      <c r="P1537" s="15" t="n">
        <f aca="false">AL1537*評分方法!$C$12</f>
        <v>0</v>
      </c>
      <c r="Q1537" s="6" t="n">
        <v>148810</v>
      </c>
      <c r="R1537" s="6" t="n">
        <v>435063810</v>
      </c>
      <c r="S1537" s="11" t="s">
        <v>238</v>
      </c>
      <c r="T1537" s="11" t="s">
        <v>278</v>
      </c>
      <c r="U1537" s="5" t="s">
        <v>240</v>
      </c>
      <c r="V1537" s="11" t="s">
        <v>324</v>
      </c>
      <c r="W1537" s="5" t="s">
        <v>334</v>
      </c>
      <c r="X1537" s="5" t="s">
        <v>242</v>
      </c>
      <c r="Y1537" s="5"/>
      <c r="Z1537" s="5"/>
      <c r="AA1537" s="11" t="s">
        <v>151</v>
      </c>
      <c r="AB1537" s="5" t="s">
        <v>245</v>
      </c>
      <c r="AC1537" s="5"/>
      <c r="AD1537" s="11" t="s">
        <v>3804</v>
      </c>
      <c r="AE1537" s="23" t="n">
        <v>0.9</v>
      </c>
      <c r="AF1537" s="23" t="n">
        <v>0</v>
      </c>
      <c r="AG1537" s="23" t="n">
        <v>0.33</v>
      </c>
      <c r="AH1537" s="23" t="n">
        <v>1</v>
      </c>
      <c r="AI1537" s="23" t="n">
        <v>1</v>
      </c>
      <c r="AJ1537" s="23" t="n">
        <v>0.0868</v>
      </c>
      <c r="AK1537" s="23" t="n">
        <v>0.2</v>
      </c>
      <c r="AL1537" s="23" t="n">
        <v>0</v>
      </c>
      <c r="AM1537" s="16" t="n">
        <f aca="false">COUNTIFS($D$2:$D$2501,D1537,$G$2:$G$2501,"&gt;"&amp;G1537)+COUNTIFS($D$2:D1537,D1537,$G$2:G1537,G1537)</f>
        <v>45</v>
      </c>
      <c r="AN1537" s="5" t="str">
        <f aca="false">D1537&amp;"|"&amp;AM1537</f>
        <v>分類與偵測|45</v>
      </c>
    </row>
    <row r="1538" customFormat="false" ht="17.15" hidden="false" customHeight="false" outlineLevel="0" collapsed="false">
      <c r="A1538" s="16" t="n">
        <f aca="false">RANK(G1538,$G$2:$G$2501)+COUNTIF($G$2:G1538,G1538)-1</f>
        <v>1537</v>
      </c>
      <c r="B1538" s="11" t="s">
        <v>3805</v>
      </c>
      <c r="C1538" s="11" t="s">
        <v>3806</v>
      </c>
      <c r="D1538" s="5" t="s">
        <v>56</v>
      </c>
      <c r="E1538" s="5" t="s">
        <v>57</v>
      </c>
      <c r="F1538" s="5"/>
      <c r="G1538" s="22" t="n">
        <f aca="false">ROUND(SUM(I1538:P1538),3)</f>
        <v>58.816</v>
      </c>
      <c r="H1538" s="5" t="str">
        <f aca="false">IF(G1538&gt;=評分方法!$C$16,"優先評估",IF(G1538&gt;=評分方法!$C$17,"列入候選",IF(G1538&gt;=評分方法!$C$18,"特定情境","不建議")))</f>
        <v>不建議</v>
      </c>
      <c r="I1538" s="15" t="n">
        <f aca="false">AE1538*評分方法!$C$5</f>
        <v>25.5</v>
      </c>
      <c r="J1538" s="15" t="n">
        <f aca="false">AF1538*評分方法!$C$6</f>
        <v>0</v>
      </c>
      <c r="K1538" s="15" t="n">
        <f aca="false">AG1538*評分方法!$C$7</f>
        <v>4.95</v>
      </c>
      <c r="L1538" s="15" t="n">
        <f aca="false">AH1538*評分方法!$C$8</f>
        <v>13.05</v>
      </c>
      <c r="M1538" s="15" t="n">
        <f aca="false">AI1538*評分方法!$C$9</f>
        <v>10</v>
      </c>
      <c r="N1538" s="15" t="n">
        <f aca="false">AJ1538*評分方法!$C$10</f>
        <v>2.816</v>
      </c>
      <c r="O1538" s="15" t="n">
        <f aca="false">AK1538*評分方法!$C$11</f>
        <v>2.5</v>
      </c>
      <c r="P1538" s="15" t="n">
        <f aca="false">AL1538*評分方法!$C$12</f>
        <v>0</v>
      </c>
      <c r="Q1538" s="6" t="n">
        <v>274831</v>
      </c>
      <c r="R1538" s="6" t="n">
        <v>8030261248</v>
      </c>
      <c r="S1538" s="11" t="s">
        <v>254</v>
      </c>
      <c r="T1538" s="11" t="s">
        <v>239</v>
      </c>
      <c r="U1538" s="5" t="s">
        <v>240</v>
      </c>
      <c r="V1538" s="11" t="s">
        <v>261</v>
      </c>
      <c r="W1538" s="5" t="s">
        <v>334</v>
      </c>
      <c r="X1538" s="5" t="s">
        <v>242</v>
      </c>
      <c r="Y1538" s="11" t="s">
        <v>1066</v>
      </c>
      <c r="Z1538" s="11" t="s">
        <v>270</v>
      </c>
      <c r="AA1538" s="11" t="s">
        <v>155</v>
      </c>
      <c r="AB1538" s="5" t="s">
        <v>496</v>
      </c>
      <c r="AC1538" s="5" t="s">
        <v>497</v>
      </c>
      <c r="AD1538" s="11" t="s">
        <v>3807</v>
      </c>
      <c r="AE1538" s="23" t="n">
        <v>0.85</v>
      </c>
      <c r="AF1538" s="23" t="n">
        <v>0</v>
      </c>
      <c r="AG1538" s="23" t="n">
        <v>0.33</v>
      </c>
      <c r="AH1538" s="23" t="n">
        <v>0.87</v>
      </c>
      <c r="AI1538" s="23" t="n">
        <v>1</v>
      </c>
      <c r="AJ1538" s="23" t="n">
        <v>0.2816</v>
      </c>
      <c r="AK1538" s="23" t="n">
        <v>0.5</v>
      </c>
      <c r="AL1538" s="23" t="n">
        <v>0</v>
      </c>
      <c r="AM1538" s="16" t="n">
        <f aca="false">COUNTIFS($D$2:$D$2501,D1538,$G$2:$G$2501,"&gt;"&amp;G1538)+COUNTIFS($D$2:D1538,D1538,$G$2:G1538,G1538)</f>
        <v>721</v>
      </c>
      <c r="AN1538" s="5" t="str">
        <f aca="false">D1538&amp;"|"&amp;AM1538</f>
        <v>分析與報告生成|721</v>
      </c>
    </row>
    <row r="1539" customFormat="false" ht="17.15" hidden="false" customHeight="false" outlineLevel="0" collapsed="false">
      <c r="A1539" s="16" t="n">
        <f aca="false">RANK(G1539,$G$2:$G$2501)+COUNTIF($G$2:G1539,G1539)-1</f>
        <v>1538</v>
      </c>
      <c r="B1539" s="11" t="s">
        <v>3808</v>
      </c>
      <c r="C1539" s="11" t="s">
        <v>753</v>
      </c>
      <c r="D1539" s="5" t="s">
        <v>56</v>
      </c>
      <c r="E1539" s="5" t="s">
        <v>57</v>
      </c>
      <c r="F1539" s="5"/>
      <c r="G1539" s="22" t="n">
        <f aca="false">ROUND(SUM(I1539:P1539),3)</f>
        <v>58.808</v>
      </c>
      <c r="H1539" s="5" t="str">
        <f aca="false">IF(G1539&gt;=評分方法!$C$16,"優先評估",IF(G1539&gt;=評分方法!$C$17,"列入候選",IF(G1539&gt;=評分方法!$C$18,"特定情境","不建議")))</f>
        <v>不建議</v>
      </c>
      <c r="I1539" s="15" t="n">
        <f aca="false">AE1539*評分方法!$C$5</f>
        <v>25.5</v>
      </c>
      <c r="J1539" s="15" t="n">
        <f aca="false">AF1539*評分方法!$C$6</f>
        <v>0</v>
      </c>
      <c r="K1539" s="15" t="n">
        <f aca="false">AG1539*評分方法!$C$7</f>
        <v>10.05</v>
      </c>
      <c r="L1539" s="15" t="n">
        <f aca="false">AH1539*評分方法!$C$8</f>
        <v>13.05</v>
      </c>
      <c r="M1539" s="15" t="n">
        <f aca="false">AI1539*評分方法!$C$9</f>
        <v>6</v>
      </c>
      <c r="N1539" s="15" t="n">
        <f aca="false">AJ1539*評分方法!$C$10</f>
        <v>1.708</v>
      </c>
      <c r="O1539" s="15" t="n">
        <f aca="false">AK1539*評分方法!$C$11</f>
        <v>2.5</v>
      </c>
      <c r="P1539" s="15" t="n">
        <f aca="false">AL1539*評分方法!$C$12</f>
        <v>0</v>
      </c>
      <c r="Q1539" s="6" t="n">
        <v>191490</v>
      </c>
      <c r="R1539" s="6" t="n">
        <v>1235814432</v>
      </c>
      <c r="S1539" s="11" t="s">
        <v>254</v>
      </c>
      <c r="T1539" s="11" t="s">
        <v>1044</v>
      </c>
      <c r="U1539" s="5" t="s">
        <v>260</v>
      </c>
      <c r="V1539" s="11" t="s">
        <v>333</v>
      </c>
      <c r="W1539" s="5" t="s">
        <v>207</v>
      </c>
      <c r="X1539" s="5" t="s">
        <v>242</v>
      </c>
      <c r="Y1539" s="11" t="s">
        <v>1309</v>
      </c>
      <c r="Z1539" s="11" t="s">
        <v>244</v>
      </c>
      <c r="AA1539" s="11" t="s">
        <v>155</v>
      </c>
      <c r="AB1539" s="5" t="s">
        <v>245</v>
      </c>
      <c r="AC1539" s="5" t="s">
        <v>464</v>
      </c>
      <c r="AD1539" s="11" t="s">
        <v>3809</v>
      </c>
      <c r="AE1539" s="23" t="n">
        <v>0.85</v>
      </c>
      <c r="AF1539" s="23" t="n">
        <v>0</v>
      </c>
      <c r="AG1539" s="23" t="n">
        <v>0.67</v>
      </c>
      <c r="AH1539" s="23" t="n">
        <v>0.87</v>
      </c>
      <c r="AI1539" s="23" t="n">
        <v>0.6</v>
      </c>
      <c r="AJ1539" s="23" t="n">
        <v>0.1708</v>
      </c>
      <c r="AK1539" s="23" t="n">
        <v>0.5</v>
      </c>
      <c r="AL1539" s="23" t="n">
        <v>0</v>
      </c>
      <c r="AM1539" s="16" t="n">
        <f aca="false">COUNTIFS($D$2:$D$2501,D1539,$G$2:$G$2501,"&gt;"&amp;G1539)+COUNTIFS($D$2:D1539,D1539,$G$2:G1539,G1539)</f>
        <v>722</v>
      </c>
      <c r="AN1539" s="5" t="str">
        <f aca="false">D1539&amp;"|"&amp;AM1539</f>
        <v>分析與報告生成|722</v>
      </c>
    </row>
    <row r="1540" customFormat="false" ht="17.15" hidden="false" customHeight="false" outlineLevel="0" collapsed="false">
      <c r="A1540" s="16" t="n">
        <f aca="false">RANK(G1540,$G$2:$G$2501)+COUNTIF($G$2:G1540,G1540)-1</f>
        <v>1539</v>
      </c>
      <c r="B1540" s="11" t="s">
        <v>3810</v>
      </c>
      <c r="C1540" s="11" t="s">
        <v>3811</v>
      </c>
      <c r="D1540" s="5" t="s">
        <v>56</v>
      </c>
      <c r="E1540" s="5" t="s">
        <v>57</v>
      </c>
      <c r="F1540" s="5"/>
      <c r="G1540" s="22" t="n">
        <f aca="false">ROUND(SUM(I1540:P1540),3)</f>
        <v>58.806</v>
      </c>
      <c r="H1540" s="5" t="str">
        <f aca="false">IF(G1540&gt;=評分方法!$C$16,"優先評估",IF(G1540&gt;=評分方法!$C$17,"列入候選",IF(G1540&gt;=評分方法!$C$18,"特定情境","不建議")))</f>
        <v>不建議</v>
      </c>
      <c r="I1540" s="15" t="n">
        <f aca="false">AE1540*評分方法!$C$5</f>
        <v>25.5</v>
      </c>
      <c r="J1540" s="15" t="n">
        <f aca="false">AF1540*評分方法!$C$6</f>
        <v>0</v>
      </c>
      <c r="K1540" s="15" t="n">
        <f aca="false">AG1540*評分方法!$C$7</f>
        <v>4.95</v>
      </c>
      <c r="L1540" s="15" t="n">
        <f aca="false">AH1540*評分方法!$C$8</f>
        <v>9</v>
      </c>
      <c r="M1540" s="15" t="n">
        <f aca="false">AI1540*評分方法!$C$9</f>
        <v>10</v>
      </c>
      <c r="N1540" s="15" t="n">
        <f aca="false">AJ1540*評分方法!$C$10</f>
        <v>4.356</v>
      </c>
      <c r="O1540" s="15" t="n">
        <f aca="false">AK1540*評分方法!$C$11</f>
        <v>5</v>
      </c>
      <c r="P1540" s="15" t="n">
        <f aca="false">AL1540*評分方法!$C$12</f>
        <v>0</v>
      </c>
      <c r="Q1540" s="6" t="n">
        <v>477498</v>
      </c>
      <c r="R1540" s="6" t="n">
        <v>20214030336</v>
      </c>
      <c r="S1540" s="11" t="s">
        <v>389</v>
      </c>
      <c r="T1540" s="11" t="s">
        <v>278</v>
      </c>
      <c r="U1540" s="5" t="s">
        <v>240</v>
      </c>
      <c r="V1540" s="11" t="s">
        <v>333</v>
      </c>
      <c r="W1540" s="5" t="s">
        <v>334</v>
      </c>
      <c r="X1540" s="5" t="s">
        <v>242</v>
      </c>
      <c r="Y1540" s="5"/>
      <c r="Z1540" s="5"/>
      <c r="AA1540" s="11" t="s">
        <v>155</v>
      </c>
      <c r="AB1540" s="5" t="s">
        <v>245</v>
      </c>
      <c r="AC1540" s="5"/>
      <c r="AD1540" s="11" t="s">
        <v>3812</v>
      </c>
      <c r="AE1540" s="23" t="n">
        <v>0.85</v>
      </c>
      <c r="AF1540" s="23" t="n">
        <v>0</v>
      </c>
      <c r="AG1540" s="23" t="n">
        <v>0.33</v>
      </c>
      <c r="AH1540" s="23" t="n">
        <v>0.6</v>
      </c>
      <c r="AI1540" s="23" t="n">
        <v>1</v>
      </c>
      <c r="AJ1540" s="23" t="n">
        <v>0.4356</v>
      </c>
      <c r="AK1540" s="23" t="n">
        <v>1</v>
      </c>
      <c r="AL1540" s="23" t="n">
        <v>0</v>
      </c>
      <c r="AM1540" s="16" t="n">
        <f aca="false">COUNTIFS($D$2:$D$2501,D1540,$G$2:$G$2501,"&gt;"&amp;G1540)+COUNTIFS($D$2:D1540,D1540,$G$2:G1540,G1540)</f>
        <v>723</v>
      </c>
      <c r="AN1540" s="5" t="str">
        <f aca="false">D1540&amp;"|"&amp;AM1540</f>
        <v>分析與報告生成|723</v>
      </c>
    </row>
    <row r="1541" customFormat="false" ht="17.15" hidden="false" customHeight="false" outlineLevel="0" collapsed="false">
      <c r="A1541" s="16" t="n">
        <f aca="false">RANK(G1541,$G$2:$G$2501)+COUNTIF($G$2:G1541,G1541)-1</f>
        <v>1540</v>
      </c>
      <c r="B1541" s="11" t="s">
        <v>3813</v>
      </c>
      <c r="C1541" s="11" t="s">
        <v>3814</v>
      </c>
      <c r="D1541" s="5" t="s">
        <v>56</v>
      </c>
      <c r="E1541" s="5" t="s">
        <v>57</v>
      </c>
      <c r="F1541" s="5"/>
      <c r="G1541" s="22" t="n">
        <f aca="false">ROUND(SUM(I1541:P1541),3)</f>
        <v>58.778</v>
      </c>
      <c r="H1541" s="5" t="str">
        <f aca="false">IF(G1541&gt;=評分方法!$C$16,"優先評估",IF(G1541&gt;=評分方法!$C$17,"列入候選",IF(G1541&gt;=評分方法!$C$18,"特定情境","不建議")))</f>
        <v>不建議</v>
      </c>
      <c r="I1541" s="15" t="n">
        <f aca="false">AE1541*評分方法!$C$5</f>
        <v>25.5</v>
      </c>
      <c r="J1541" s="15" t="n">
        <f aca="false">AF1541*評分方法!$C$6</f>
        <v>0</v>
      </c>
      <c r="K1541" s="15" t="n">
        <f aca="false">AG1541*評分方法!$C$7</f>
        <v>10.05</v>
      </c>
      <c r="L1541" s="15" t="n">
        <f aca="false">AH1541*評分方法!$C$8</f>
        <v>9</v>
      </c>
      <c r="M1541" s="15" t="n">
        <f aca="false">AI1541*評分方法!$C$9</f>
        <v>2</v>
      </c>
      <c r="N1541" s="15" t="n">
        <f aca="false">AJ1541*評分方法!$C$10</f>
        <v>6.728</v>
      </c>
      <c r="O1541" s="15" t="n">
        <f aca="false">AK1541*評分方法!$C$11</f>
        <v>2.5</v>
      </c>
      <c r="P1541" s="15" t="n">
        <f aca="false">AL1541*評分方法!$C$12</f>
        <v>3</v>
      </c>
      <c r="Q1541" s="6" t="n">
        <v>817701</v>
      </c>
      <c r="R1541" s="6" t="n">
        <v>20914757184</v>
      </c>
      <c r="S1541" s="11" t="s">
        <v>389</v>
      </c>
      <c r="T1541" s="5"/>
      <c r="U1541" s="5" t="s">
        <v>375</v>
      </c>
      <c r="V1541" s="11" t="s">
        <v>261</v>
      </c>
      <c r="W1541" s="5" t="s">
        <v>207</v>
      </c>
      <c r="X1541" s="5" t="s">
        <v>371</v>
      </c>
      <c r="Y1541" s="5"/>
      <c r="Z1541" s="5"/>
      <c r="AA1541" s="11" t="s">
        <v>155</v>
      </c>
      <c r="AB1541" s="5" t="s">
        <v>328</v>
      </c>
      <c r="AC1541" s="5" t="s">
        <v>329</v>
      </c>
      <c r="AD1541" s="11" t="s">
        <v>3815</v>
      </c>
      <c r="AE1541" s="23" t="n">
        <v>0.85</v>
      </c>
      <c r="AF1541" s="23" t="n">
        <v>0</v>
      </c>
      <c r="AG1541" s="23" t="n">
        <v>0.67</v>
      </c>
      <c r="AH1541" s="23" t="n">
        <v>0.6</v>
      </c>
      <c r="AI1541" s="23" t="n">
        <v>0.2</v>
      </c>
      <c r="AJ1541" s="23" t="n">
        <v>0.6728</v>
      </c>
      <c r="AK1541" s="23" t="n">
        <v>0.5</v>
      </c>
      <c r="AL1541" s="23" t="n">
        <v>0.6</v>
      </c>
      <c r="AM1541" s="16" t="n">
        <f aca="false">COUNTIFS($D$2:$D$2501,D1541,$G$2:$G$2501,"&gt;"&amp;G1541)+COUNTIFS($D$2:D1541,D1541,$G$2:G1541,G1541)</f>
        <v>724</v>
      </c>
      <c r="AN1541" s="5" t="str">
        <f aca="false">D1541&amp;"|"&amp;AM1541</f>
        <v>分析與報告生成|724</v>
      </c>
    </row>
    <row r="1542" customFormat="false" ht="17.15" hidden="false" customHeight="false" outlineLevel="0" collapsed="false">
      <c r="A1542" s="16" t="n">
        <f aca="false">RANK(G1542,$G$2:$G$2501)+COUNTIF($G$2:G1542,G1542)-1</f>
        <v>1541</v>
      </c>
      <c r="B1542" s="11" t="s">
        <v>3816</v>
      </c>
      <c r="C1542" s="11" t="s">
        <v>1161</v>
      </c>
      <c r="D1542" s="5" t="s">
        <v>72</v>
      </c>
      <c r="E1542" s="5" t="s">
        <v>73</v>
      </c>
      <c r="F1542" s="5"/>
      <c r="G1542" s="22" t="n">
        <f aca="false">ROUND(SUM(I1542:P1542),3)</f>
        <v>58.764</v>
      </c>
      <c r="H1542" s="5" t="str">
        <f aca="false">IF(G1542&gt;=評分方法!$C$16,"優先評估",IF(G1542&gt;=評分方法!$C$17,"列入候選",IF(G1542&gt;=評分方法!$C$18,"特定情境","不建議")))</f>
        <v>不建議</v>
      </c>
      <c r="I1542" s="15" t="n">
        <f aca="false">AE1542*評分方法!$C$5</f>
        <v>9</v>
      </c>
      <c r="J1542" s="15" t="n">
        <f aca="false">AF1542*評分方法!$C$6</f>
        <v>0</v>
      </c>
      <c r="K1542" s="15" t="n">
        <f aca="false">AG1542*評分方法!$C$7</f>
        <v>15</v>
      </c>
      <c r="L1542" s="15" t="n">
        <f aca="false">AH1542*評分方法!$C$8</f>
        <v>15</v>
      </c>
      <c r="M1542" s="15" t="n">
        <f aca="false">AI1542*評分方法!$C$9</f>
        <v>10</v>
      </c>
      <c r="N1542" s="15" t="n">
        <f aca="false">AJ1542*評分方法!$C$10</f>
        <v>8.764</v>
      </c>
      <c r="O1542" s="15" t="n">
        <f aca="false">AK1542*評分方法!$C$11</f>
        <v>1</v>
      </c>
      <c r="P1542" s="15" t="n">
        <f aca="false">AL1542*評分方法!$C$12</f>
        <v>0</v>
      </c>
      <c r="Q1542" s="6" t="n">
        <v>2926529</v>
      </c>
      <c r="R1542" s="6" t="n">
        <v>109705010</v>
      </c>
      <c r="S1542" s="11" t="s">
        <v>238</v>
      </c>
      <c r="T1542" s="11" t="s">
        <v>278</v>
      </c>
      <c r="U1542" s="5" t="s">
        <v>240</v>
      </c>
      <c r="V1542" s="11" t="s">
        <v>320</v>
      </c>
      <c r="W1542" s="5" t="s">
        <v>205</v>
      </c>
      <c r="X1542" s="5" t="s">
        <v>242</v>
      </c>
      <c r="Y1542" s="5"/>
      <c r="Z1542" s="5"/>
      <c r="AA1542" s="11" t="s">
        <v>162</v>
      </c>
      <c r="AB1542" s="5" t="s">
        <v>245</v>
      </c>
      <c r="AC1542" s="5" t="s">
        <v>1463</v>
      </c>
      <c r="AD1542" s="11" t="s">
        <v>3817</v>
      </c>
      <c r="AE1542" s="23" t="n">
        <v>0.3</v>
      </c>
      <c r="AF1542" s="23" t="n">
        <v>0</v>
      </c>
      <c r="AG1542" s="23" t="n">
        <v>1</v>
      </c>
      <c r="AH1542" s="23" t="n">
        <v>1</v>
      </c>
      <c r="AI1542" s="23" t="n">
        <v>1</v>
      </c>
      <c r="AJ1542" s="23" t="n">
        <v>0.8764</v>
      </c>
      <c r="AK1542" s="23" t="n">
        <v>0.2</v>
      </c>
      <c r="AL1542" s="23" t="n">
        <v>0</v>
      </c>
      <c r="AM1542" s="16" t="n">
        <f aca="false">COUNTIFS($D$2:$D$2501,D1542,$G$2:$G$2501,"&gt;"&amp;G1542)+COUNTIFS($D$2:D1542,D1542,$G$2:G1542,G1542)</f>
        <v>25</v>
      </c>
      <c r="AN1542" s="5" t="str">
        <f aca="false">D1542&amp;"|"&amp;AM1542</f>
        <v>微調基底模型|25</v>
      </c>
    </row>
    <row r="1543" customFormat="false" ht="17.15" hidden="false" customHeight="false" outlineLevel="0" collapsed="false">
      <c r="A1543" s="16" t="n">
        <f aca="false">RANK(G1543,$G$2:$G$2501)+COUNTIF($G$2:G1543,G1543)-1</f>
        <v>1542</v>
      </c>
      <c r="B1543" s="11" t="s">
        <v>3818</v>
      </c>
      <c r="C1543" s="11" t="s">
        <v>2693</v>
      </c>
      <c r="D1543" s="5" t="s">
        <v>74</v>
      </c>
      <c r="E1543" s="5" t="s">
        <v>75</v>
      </c>
      <c r="F1543" s="5"/>
      <c r="G1543" s="22" t="n">
        <f aca="false">ROUND(SUM(I1543:P1543),3)</f>
        <v>58.724</v>
      </c>
      <c r="H1543" s="5" t="str">
        <f aca="false">IF(G1543&gt;=評分方法!$C$16,"優先評估",IF(G1543&gt;=評分方法!$C$17,"列入候選",IF(G1543&gt;=評分方法!$C$18,"特定情境","不建議")))</f>
        <v>不建議</v>
      </c>
      <c r="I1543" s="15" t="n">
        <f aca="false">AE1543*評分方法!$C$5</f>
        <v>10.5</v>
      </c>
      <c r="J1543" s="15" t="n">
        <f aca="false">AF1543*評分方法!$C$6</f>
        <v>0</v>
      </c>
      <c r="K1543" s="15" t="n">
        <f aca="false">AG1543*評分方法!$C$7</f>
        <v>15</v>
      </c>
      <c r="L1543" s="15" t="n">
        <f aca="false">AH1543*評分方法!$C$8</f>
        <v>15</v>
      </c>
      <c r="M1543" s="15" t="n">
        <f aca="false">AI1543*評分方法!$C$9</f>
        <v>10</v>
      </c>
      <c r="N1543" s="15" t="n">
        <f aca="false">AJ1543*評分方法!$C$10</f>
        <v>4.224</v>
      </c>
      <c r="O1543" s="15" t="n">
        <f aca="false">AK1543*評分方法!$C$11</f>
        <v>2.5</v>
      </c>
      <c r="P1543" s="15" t="n">
        <f aca="false">AL1543*評分方法!$C$12</f>
        <v>1.5</v>
      </c>
      <c r="Q1543" s="6" t="n">
        <v>461366</v>
      </c>
      <c r="R1543" s="6" t="n">
        <v>9790673</v>
      </c>
      <c r="S1543" s="11" t="s">
        <v>238</v>
      </c>
      <c r="T1543" s="11" t="s">
        <v>278</v>
      </c>
      <c r="U1543" s="5" t="s">
        <v>240</v>
      </c>
      <c r="V1543" s="11" t="s">
        <v>324</v>
      </c>
      <c r="W1543" s="5" t="s">
        <v>205</v>
      </c>
      <c r="X1543" s="5" t="s">
        <v>255</v>
      </c>
      <c r="Y1543" s="5"/>
      <c r="Z1543" s="5"/>
      <c r="AA1543" s="11" t="s">
        <v>172</v>
      </c>
      <c r="AB1543" s="5" t="s">
        <v>245</v>
      </c>
      <c r="AC1543" s="5"/>
      <c r="AD1543" s="11" t="s">
        <v>3819</v>
      </c>
      <c r="AE1543" s="23" t="n">
        <v>0.35</v>
      </c>
      <c r="AF1543" s="23" t="n">
        <v>0</v>
      </c>
      <c r="AG1543" s="23" t="n">
        <v>1</v>
      </c>
      <c r="AH1543" s="23" t="n">
        <v>1</v>
      </c>
      <c r="AI1543" s="23" t="n">
        <v>1</v>
      </c>
      <c r="AJ1543" s="23" t="n">
        <v>0.4224</v>
      </c>
      <c r="AK1543" s="23" t="n">
        <v>0.5</v>
      </c>
      <c r="AL1543" s="23" t="n">
        <v>0.3</v>
      </c>
      <c r="AM1543" s="16" t="n">
        <f aca="false">COUNTIFS($D$2:$D$2501,D1543,$G$2:$G$2501,"&gt;"&amp;G1543)+COUNTIFS($D$2:D1543,D1543,$G$2:G1543,G1543)</f>
        <v>114</v>
      </c>
      <c r="AN1543" s="5" t="str">
        <f aca="false">D1543&amp;"|"&amp;AM1543</f>
        <v>文件與影像辨識|114</v>
      </c>
    </row>
    <row r="1544" customFormat="false" ht="17.15" hidden="false" customHeight="false" outlineLevel="0" collapsed="false">
      <c r="A1544" s="16" t="n">
        <f aca="false">RANK(G1544,$G$2:$G$2501)+COUNTIF($G$2:G1544,G1544)-1</f>
        <v>1543</v>
      </c>
      <c r="B1544" s="11" t="s">
        <v>3820</v>
      </c>
      <c r="C1544" s="11" t="s">
        <v>579</v>
      </c>
      <c r="D1544" s="5" t="s">
        <v>68</v>
      </c>
      <c r="E1544" s="11" t="s">
        <v>69</v>
      </c>
      <c r="F1544" s="5"/>
      <c r="G1544" s="22" t="n">
        <f aca="false">ROUND(SUM(I1544:P1544),3)</f>
        <v>58.712</v>
      </c>
      <c r="H1544" s="5" t="str">
        <f aca="false">IF(G1544&gt;=評分方法!$C$16,"優先評估",IF(G1544&gt;=評分方法!$C$17,"列入候選",IF(G1544&gt;=評分方法!$C$18,"特定情境","不建議")))</f>
        <v>不建議</v>
      </c>
      <c r="I1544" s="15" t="n">
        <f aca="false">AE1544*評分方法!$C$5</f>
        <v>12</v>
      </c>
      <c r="J1544" s="15" t="n">
        <f aca="false">AF1544*評分方法!$C$6</f>
        <v>0</v>
      </c>
      <c r="K1544" s="15" t="n">
        <f aca="false">AG1544*評分方法!$C$7</f>
        <v>15</v>
      </c>
      <c r="L1544" s="15" t="n">
        <f aca="false">AH1544*評分方法!$C$8</f>
        <v>15</v>
      </c>
      <c r="M1544" s="15" t="n">
        <f aca="false">AI1544*評分方法!$C$9</f>
        <v>10</v>
      </c>
      <c r="N1544" s="15" t="n">
        <f aca="false">AJ1544*評分方法!$C$10</f>
        <v>0.212</v>
      </c>
      <c r="O1544" s="15" t="n">
        <f aca="false">AK1544*評分方法!$C$11</f>
        <v>5</v>
      </c>
      <c r="P1544" s="15" t="n">
        <f aca="false">AL1544*評分方法!$C$12</f>
        <v>1.5</v>
      </c>
      <c r="Q1544" s="6" t="n">
        <v>122079</v>
      </c>
      <c r="R1544" s="6" t="n">
        <v>75670026</v>
      </c>
      <c r="S1544" s="11" t="s">
        <v>238</v>
      </c>
      <c r="T1544" s="11" t="s">
        <v>239</v>
      </c>
      <c r="U1544" s="5" t="s">
        <v>240</v>
      </c>
      <c r="V1544" s="11" t="s">
        <v>261</v>
      </c>
      <c r="W1544" s="5" t="s">
        <v>205</v>
      </c>
      <c r="X1544" s="5" t="s">
        <v>255</v>
      </c>
      <c r="Y1544" s="5"/>
      <c r="Z1544" s="5"/>
      <c r="AA1544" s="11" t="s">
        <v>169</v>
      </c>
      <c r="AB1544" s="5" t="s">
        <v>245</v>
      </c>
      <c r="AC1544" s="5"/>
      <c r="AD1544" s="11" t="s">
        <v>3821</v>
      </c>
      <c r="AE1544" s="23" t="n">
        <v>0.4</v>
      </c>
      <c r="AF1544" s="23" t="n">
        <v>0</v>
      </c>
      <c r="AG1544" s="23" t="n">
        <v>1</v>
      </c>
      <c r="AH1544" s="23" t="n">
        <v>1</v>
      </c>
      <c r="AI1544" s="23" t="n">
        <v>1</v>
      </c>
      <c r="AJ1544" s="23" t="n">
        <v>0.0212</v>
      </c>
      <c r="AK1544" s="23" t="n">
        <v>1</v>
      </c>
      <c r="AL1544" s="23" t="n">
        <v>0.3</v>
      </c>
      <c r="AM1544" s="16" t="n">
        <f aca="false">COUNTIFS($D$2:$D$2501,D1544,$G$2:$G$2501,"&gt;"&amp;G1544)+COUNTIFS($D$2:D1544,D1544,$G$2:G1544,G1544)</f>
        <v>47</v>
      </c>
      <c r="AN1544" s="5" t="str">
        <f aca="false">D1544&amp;"|"&amp;AM1544</f>
        <v>時序異常偵測|47</v>
      </c>
    </row>
    <row r="1545" customFormat="false" ht="17.15" hidden="false" customHeight="false" outlineLevel="0" collapsed="false">
      <c r="A1545" s="16" t="n">
        <f aca="false">RANK(G1545,$G$2:$G$2501)+COUNTIF($G$2:G1545,G1545)-1</f>
        <v>1544</v>
      </c>
      <c r="B1545" s="11" t="s">
        <v>3822</v>
      </c>
      <c r="C1545" s="11" t="s">
        <v>1374</v>
      </c>
      <c r="D1545" s="5" t="s">
        <v>56</v>
      </c>
      <c r="E1545" s="5" t="s">
        <v>57</v>
      </c>
      <c r="F1545" s="5"/>
      <c r="G1545" s="22" t="n">
        <f aca="false">ROUND(SUM(I1545:P1545),3)</f>
        <v>58.704</v>
      </c>
      <c r="H1545" s="5" t="str">
        <f aca="false">IF(G1545&gt;=評分方法!$C$16,"優先評估",IF(G1545&gt;=評分方法!$C$17,"列入候選",IF(G1545&gt;=評分方法!$C$18,"特定情境","不建議")))</f>
        <v>不建議</v>
      </c>
      <c r="I1545" s="15" t="n">
        <f aca="false">AE1545*評分方法!$C$5</f>
        <v>25.5</v>
      </c>
      <c r="J1545" s="15" t="n">
        <f aca="false">AF1545*評分方法!$C$6</f>
        <v>0</v>
      </c>
      <c r="K1545" s="15" t="n">
        <f aca="false">AG1545*評分方法!$C$7</f>
        <v>10.05</v>
      </c>
      <c r="L1545" s="15" t="n">
        <f aca="false">AH1545*評分方法!$C$8</f>
        <v>7.05</v>
      </c>
      <c r="M1545" s="15" t="n">
        <f aca="false">AI1545*評分方法!$C$9</f>
        <v>6</v>
      </c>
      <c r="N1545" s="15" t="n">
        <f aca="false">AJ1545*評分方法!$C$10</f>
        <v>4.604</v>
      </c>
      <c r="O1545" s="15" t="n">
        <f aca="false">AK1545*評分方法!$C$11</f>
        <v>2.5</v>
      </c>
      <c r="P1545" s="15" t="n">
        <f aca="false">AL1545*評分方法!$C$12</f>
        <v>3</v>
      </c>
      <c r="Q1545" s="6" t="n">
        <v>501136</v>
      </c>
      <c r="R1545" s="6"/>
      <c r="S1545" s="5" t="s">
        <v>255</v>
      </c>
      <c r="T1545" s="11" t="s">
        <v>658</v>
      </c>
      <c r="U1545" s="5" t="s">
        <v>260</v>
      </c>
      <c r="V1545" s="11" t="s">
        <v>261</v>
      </c>
      <c r="W1545" s="5" t="s">
        <v>207</v>
      </c>
      <c r="X1545" s="5" t="s">
        <v>371</v>
      </c>
      <c r="Y1545" s="11" t="s">
        <v>1304</v>
      </c>
      <c r="Z1545" s="11" t="s">
        <v>270</v>
      </c>
      <c r="AA1545" s="11" t="s">
        <v>156</v>
      </c>
      <c r="AB1545" s="5" t="s">
        <v>245</v>
      </c>
      <c r="AC1545" s="5" t="s">
        <v>262</v>
      </c>
      <c r="AD1545" s="11" t="s">
        <v>3823</v>
      </c>
      <c r="AE1545" s="23" t="n">
        <v>0.85</v>
      </c>
      <c r="AF1545" s="23" t="n">
        <v>0</v>
      </c>
      <c r="AG1545" s="23" t="n">
        <v>0.67</v>
      </c>
      <c r="AH1545" s="23" t="n">
        <v>0.47</v>
      </c>
      <c r="AI1545" s="23" t="n">
        <v>0.6</v>
      </c>
      <c r="AJ1545" s="23" t="n">
        <v>0.4604</v>
      </c>
      <c r="AK1545" s="23" t="n">
        <v>0.5</v>
      </c>
      <c r="AL1545" s="23" t="n">
        <v>0.6</v>
      </c>
      <c r="AM1545" s="16" t="n">
        <f aca="false">COUNTIFS($D$2:$D$2501,D1545,$G$2:$G$2501,"&gt;"&amp;G1545)+COUNTIFS($D$2:D1545,D1545,$G$2:G1545,G1545)</f>
        <v>725</v>
      </c>
      <c r="AN1545" s="5" t="str">
        <f aca="false">D1545&amp;"|"&amp;AM1545</f>
        <v>分析與報告生成|725</v>
      </c>
    </row>
    <row r="1546" customFormat="false" ht="17.15" hidden="false" customHeight="false" outlineLevel="0" collapsed="false">
      <c r="A1546" s="16" t="n">
        <f aca="false">RANK(G1546,$G$2:$G$2501)+COUNTIF($G$2:G1546,G1546)-1</f>
        <v>1545</v>
      </c>
      <c r="B1546" s="11" t="s">
        <v>3824</v>
      </c>
      <c r="C1546" s="11" t="s">
        <v>253</v>
      </c>
      <c r="D1546" s="5" t="s">
        <v>78</v>
      </c>
      <c r="E1546" s="5" t="s">
        <v>79</v>
      </c>
      <c r="F1546" s="5"/>
      <c r="G1546" s="22" t="n">
        <f aca="false">ROUND(SUM(I1546:P1546),3)</f>
        <v>58.702</v>
      </c>
      <c r="H1546" s="5" t="str">
        <f aca="false">IF(G1546&gt;=評分方法!$C$16,"優先評估",IF(G1546&gt;=評分方法!$C$17,"列入候選",IF(G1546&gt;=評分方法!$C$18,"特定情境","不建議")))</f>
        <v>不建議</v>
      </c>
      <c r="I1546" s="15" t="n">
        <f aca="false">AE1546*評分方法!$C$5</f>
        <v>9</v>
      </c>
      <c r="J1546" s="15" t="n">
        <f aca="false">AF1546*評分方法!$C$6</f>
        <v>0</v>
      </c>
      <c r="K1546" s="15" t="n">
        <f aca="false">AG1546*評分方法!$C$7</f>
        <v>15</v>
      </c>
      <c r="L1546" s="15" t="n">
        <f aca="false">AH1546*評分方法!$C$8</f>
        <v>13.05</v>
      </c>
      <c r="M1546" s="15" t="n">
        <f aca="false">AI1546*評分方法!$C$9</f>
        <v>10</v>
      </c>
      <c r="N1546" s="15" t="n">
        <f aca="false">AJ1546*評分方法!$C$10</f>
        <v>5.652</v>
      </c>
      <c r="O1546" s="15" t="n">
        <f aca="false">AK1546*評分方法!$C$11</f>
        <v>1</v>
      </c>
      <c r="P1546" s="15" t="n">
        <f aca="false">AL1546*評分方法!$C$12</f>
        <v>5</v>
      </c>
      <c r="Q1546" s="6" t="n">
        <v>585672</v>
      </c>
      <c r="R1546" s="6" t="n">
        <v>1543304960</v>
      </c>
      <c r="S1546" s="11" t="s">
        <v>254</v>
      </c>
      <c r="T1546" s="11" t="s">
        <v>239</v>
      </c>
      <c r="U1546" s="5" t="s">
        <v>240</v>
      </c>
      <c r="V1546" s="11" t="s">
        <v>279</v>
      </c>
      <c r="W1546" s="5" t="s">
        <v>205</v>
      </c>
      <c r="X1546" s="5" t="s">
        <v>284</v>
      </c>
      <c r="Y1546" s="5"/>
      <c r="Z1546" s="5"/>
      <c r="AA1546" s="11" t="s">
        <v>175</v>
      </c>
      <c r="AB1546" s="5" t="s">
        <v>245</v>
      </c>
      <c r="AC1546" s="5"/>
      <c r="AD1546" s="11" t="s">
        <v>3825</v>
      </c>
      <c r="AE1546" s="23" t="n">
        <v>0.3</v>
      </c>
      <c r="AF1546" s="23" t="n">
        <v>0</v>
      </c>
      <c r="AG1546" s="23" t="n">
        <v>1</v>
      </c>
      <c r="AH1546" s="23" t="n">
        <v>0.87</v>
      </c>
      <c r="AI1546" s="23" t="n">
        <v>1</v>
      </c>
      <c r="AJ1546" s="23" t="n">
        <v>0.5652</v>
      </c>
      <c r="AK1546" s="23" t="n">
        <v>0.2</v>
      </c>
      <c r="AL1546" s="23" t="n">
        <v>1</v>
      </c>
      <c r="AM1546" s="16" t="n">
        <f aca="false">COUNTIFS($D$2:$D$2501,D1546,$G$2:$G$2501,"&gt;"&amp;G1546)+COUNTIFS($D$2:D1546,D1546,$G$2:G1546,G1546)</f>
        <v>24</v>
      </c>
      <c r="AN1546" s="5" t="str">
        <f aca="false">D1546&amp;"|"&amp;AM1546</f>
        <v>語音分析|24</v>
      </c>
    </row>
    <row r="1547" customFormat="false" ht="17.15" hidden="false" customHeight="false" outlineLevel="0" collapsed="false">
      <c r="A1547" s="16" t="n">
        <f aca="false">RANK(G1547,$G$2:$G$2501)+COUNTIF($G$2:G1547,G1547)-1</f>
        <v>1546</v>
      </c>
      <c r="B1547" s="11" t="s">
        <v>3826</v>
      </c>
      <c r="C1547" s="11" t="s">
        <v>1438</v>
      </c>
      <c r="D1547" s="5" t="s">
        <v>56</v>
      </c>
      <c r="E1547" s="5" t="s">
        <v>57</v>
      </c>
      <c r="F1547" s="5"/>
      <c r="G1547" s="22" t="n">
        <f aca="false">ROUND(SUM(I1547:P1547),3)</f>
        <v>58.674</v>
      </c>
      <c r="H1547" s="5" t="str">
        <f aca="false">IF(G1547&gt;=評分方法!$C$16,"優先評估",IF(G1547&gt;=評分方法!$C$17,"列入候選",IF(G1547&gt;=評分方法!$C$18,"特定情境","不建議")))</f>
        <v>不建議</v>
      </c>
      <c r="I1547" s="15" t="n">
        <f aca="false">AE1547*評分方法!$C$5</f>
        <v>25.5</v>
      </c>
      <c r="J1547" s="15" t="n">
        <f aca="false">AF1547*評分方法!$C$6</f>
        <v>0</v>
      </c>
      <c r="K1547" s="15" t="n">
        <f aca="false">AG1547*評分方法!$C$7</f>
        <v>10.05</v>
      </c>
      <c r="L1547" s="15" t="n">
        <f aca="false">AH1547*評分方法!$C$8</f>
        <v>9</v>
      </c>
      <c r="M1547" s="15" t="n">
        <f aca="false">AI1547*評分方法!$C$9</f>
        <v>2</v>
      </c>
      <c r="N1547" s="15" t="n">
        <f aca="false">AJ1547*評分方法!$C$10</f>
        <v>6.624</v>
      </c>
      <c r="O1547" s="15" t="n">
        <f aca="false">AK1547*評分方法!$C$11</f>
        <v>2.5</v>
      </c>
      <c r="P1547" s="15" t="n">
        <f aca="false">AL1547*評分方法!$C$12</f>
        <v>3</v>
      </c>
      <c r="Q1547" s="6" t="n">
        <v>785065</v>
      </c>
      <c r="R1547" s="6" t="n">
        <v>22247282688</v>
      </c>
      <c r="S1547" s="11" t="s">
        <v>389</v>
      </c>
      <c r="T1547" s="5"/>
      <c r="U1547" s="5" t="s">
        <v>375</v>
      </c>
      <c r="V1547" s="11" t="s">
        <v>333</v>
      </c>
      <c r="W1547" s="5" t="s">
        <v>207</v>
      </c>
      <c r="X1547" s="5" t="s">
        <v>371</v>
      </c>
      <c r="Y1547" s="11" t="s">
        <v>2667</v>
      </c>
      <c r="Z1547" s="11" t="s">
        <v>244</v>
      </c>
      <c r="AA1547" s="11" t="s">
        <v>155</v>
      </c>
      <c r="AB1547" s="5" t="s">
        <v>245</v>
      </c>
      <c r="AC1547" s="5" t="s">
        <v>464</v>
      </c>
      <c r="AD1547" s="11" t="s">
        <v>3827</v>
      </c>
      <c r="AE1547" s="23" t="n">
        <v>0.85</v>
      </c>
      <c r="AF1547" s="23" t="n">
        <v>0</v>
      </c>
      <c r="AG1547" s="23" t="n">
        <v>0.67</v>
      </c>
      <c r="AH1547" s="23" t="n">
        <v>0.6</v>
      </c>
      <c r="AI1547" s="23" t="n">
        <v>0.2</v>
      </c>
      <c r="AJ1547" s="23" t="n">
        <v>0.6624</v>
      </c>
      <c r="AK1547" s="23" t="n">
        <v>0.5</v>
      </c>
      <c r="AL1547" s="23" t="n">
        <v>0.6</v>
      </c>
      <c r="AM1547" s="16" t="n">
        <f aca="false">COUNTIFS($D$2:$D$2501,D1547,$G$2:$G$2501,"&gt;"&amp;G1547)+COUNTIFS($D$2:D1547,D1547,$G$2:G1547,G1547)</f>
        <v>726</v>
      </c>
      <c r="AN1547" s="5" t="str">
        <f aca="false">D1547&amp;"|"&amp;AM1547</f>
        <v>分析與報告生成|726</v>
      </c>
    </row>
    <row r="1548" customFormat="false" ht="17.15" hidden="false" customHeight="false" outlineLevel="0" collapsed="false">
      <c r="A1548" s="16" t="n">
        <f aca="false">RANK(G1548,$G$2:$G$2501)+COUNTIF($G$2:G1548,G1548)-1</f>
        <v>1547</v>
      </c>
      <c r="B1548" s="11" t="s">
        <v>3828</v>
      </c>
      <c r="C1548" s="11" t="s">
        <v>3829</v>
      </c>
      <c r="D1548" s="5" t="s">
        <v>56</v>
      </c>
      <c r="E1548" s="5" t="s">
        <v>57</v>
      </c>
      <c r="F1548" s="5"/>
      <c r="G1548" s="22" t="n">
        <f aca="false">ROUND(SUM(I1548:P1548),3)</f>
        <v>58.672</v>
      </c>
      <c r="H1548" s="5" t="str">
        <f aca="false">IF(G1548&gt;=評分方法!$C$16,"優先評估",IF(G1548&gt;=評分方法!$C$17,"列入候選",IF(G1548&gt;=評分方法!$C$18,"特定情境","不建議")))</f>
        <v>不建議</v>
      </c>
      <c r="I1548" s="15" t="n">
        <f aca="false">AE1548*評分方法!$C$5</f>
        <v>25.5</v>
      </c>
      <c r="J1548" s="15" t="n">
        <f aca="false">AF1548*評分方法!$C$6</f>
        <v>0</v>
      </c>
      <c r="K1548" s="15" t="n">
        <f aca="false">AG1548*評分方法!$C$7</f>
        <v>4.95</v>
      </c>
      <c r="L1548" s="15" t="n">
        <f aca="false">AH1548*評分方法!$C$8</f>
        <v>13.05</v>
      </c>
      <c r="M1548" s="15" t="n">
        <f aca="false">AI1548*評分方法!$C$9</f>
        <v>10</v>
      </c>
      <c r="N1548" s="15" t="n">
        <f aca="false">AJ1548*評分方法!$C$10</f>
        <v>1.172</v>
      </c>
      <c r="O1548" s="15" t="n">
        <f aca="false">AK1548*評分方法!$C$11</f>
        <v>1</v>
      </c>
      <c r="P1548" s="15" t="n">
        <f aca="false">AL1548*評分方法!$C$12</f>
        <v>3</v>
      </c>
      <c r="Q1548" s="6" t="n">
        <v>160171</v>
      </c>
      <c r="R1548" s="6" t="n">
        <v>7566223360</v>
      </c>
      <c r="S1548" s="11" t="s">
        <v>254</v>
      </c>
      <c r="T1548" s="11" t="s">
        <v>239</v>
      </c>
      <c r="U1548" s="5" t="s">
        <v>240</v>
      </c>
      <c r="V1548" s="11" t="s">
        <v>261</v>
      </c>
      <c r="W1548" s="5" t="s">
        <v>334</v>
      </c>
      <c r="X1548" s="5" t="s">
        <v>371</v>
      </c>
      <c r="Y1548" s="5"/>
      <c r="Z1548" s="5"/>
      <c r="AA1548" s="11" t="s">
        <v>156</v>
      </c>
      <c r="AB1548" s="5" t="s">
        <v>245</v>
      </c>
      <c r="AC1548" s="5"/>
      <c r="AD1548" s="11" t="s">
        <v>3830</v>
      </c>
      <c r="AE1548" s="23" t="n">
        <v>0.85</v>
      </c>
      <c r="AF1548" s="23" t="n">
        <v>0</v>
      </c>
      <c r="AG1548" s="23" t="n">
        <v>0.33</v>
      </c>
      <c r="AH1548" s="23" t="n">
        <v>0.87</v>
      </c>
      <c r="AI1548" s="23" t="n">
        <v>1</v>
      </c>
      <c r="AJ1548" s="23" t="n">
        <v>0.1172</v>
      </c>
      <c r="AK1548" s="23" t="n">
        <v>0.2</v>
      </c>
      <c r="AL1548" s="23" t="n">
        <v>0.6</v>
      </c>
      <c r="AM1548" s="16" t="n">
        <f aca="false">COUNTIFS($D$2:$D$2501,D1548,$G$2:$G$2501,"&gt;"&amp;G1548)+COUNTIFS($D$2:D1548,D1548,$G$2:G1548,G1548)</f>
        <v>727</v>
      </c>
      <c r="AN1548" s="5" t="str">
        <f aca="false">D1548&amp;"|"&amp;AM1548</f>
        <v>分析與報告生成|727</v>
      </c>
    </row>
    <row r="1549" customFormat="false" ht="17.15" hidden="false" customHeight="false" outlineLevel="0" collapsed="false">
      <c r="A1549" s="16" t="n">
        <f aca="false">RANK(G1549,$G$2:$G$2501)+COUNTIF($G$2:G1549,G1549)-1</f>
        <v>1548</v>
      </c>
      <c r="B1549" s="11" t="s">
        <v>3831</v>
      </c>
      <c r="C1549" s="11" t="s">
        <v>3832</v>
      </c>
      <c r="D1549" s="5" t="s">
        <v>58</v>
      </c>
      <c r="E1549" s="5" t="s">
        <v>59</v>
      </c>
      <c r="F1549" s="5"/>
      <c r="G1549" s="22" t="n">
        <f aca="false">ROUND(SUM(I1549:P1549),3)</f>
        <v>58.666</v>
      </c>
      <c r="H1549" s="5" t="str">
        <f aca="false">IF(G1549&gt;=評分方法!$C$16,"優先評估",IF(G1549&gt;=評分方法!$C$17,"列入候選",IF(G1549&gt;=評分方法!$C$18,"特定情境","不建議")))</f>
        <v>不建議</v>
      </c>
      <c r="I1549" s="15" t="n">
        <f aca="false">AE1549*評分方法!$C$5</f>
        <v>11.4</v>
      </c>
      <c r="J1549" s="15" t="n">
        <f aca="false">AF1549*評分方法!$C$6</f>
        <v>0</v>
      </c>
      <c r="K1549" s="15" t="n">
        <f aca="false">AG1549*評分方法!$C$7</f>
        <v>10.05</v>
      </c>
      <c r="L1549" s="15" t="n">
        <f aca="false">AH1549*評分方法!$C$8</f>
        <v>15</v>
      </c>
      <c r="M1549" s="15" t="n">
        <f aca="false">AI1549*評分方法!$C$9</f>
        <v>10</v>
      </c>
      <c r="N1549" s="15" t="n">
        <f aca="false">AJ1549*評分方法!$C$10</f>
        <v>9.716</v>
      </c>
      <c r="O1549" s="15" t="n">
        <f aca="false">AK1549*評分方法!$C$11</f>
        <v>1</v>
      </c>
      <c r="P1549" s="15" t="n">
        <f aca="false">AL1549*評分方法!$C$12</f>
        <v>1.5</v>
      </c>
      <c r="Q1549" s="6" t="n">
        <v>15361539</v>
      </c>
      <c r="R1549" s="6" t="n">
        <v>124075034</v>
      </c>
      <c r="S1549" s="11" t="s">
        <v>238</v>
      </c>
      <c r="T1549" s="11" t="s">
        <v>278</v>
      </c>
      <c r="U1549" s="5" t="s">
        <v>240</v>
      </c>
      <c r="V1549" s="11" t="s">
        <v>855</v>
      </c>
      <c r="W1549" s="5" t="s">
        <v>207</v>
      </c>
      <c r="X1549" s="5" t="s">
        <v>255</v>
      </c>
      <c r="Y1549" s="11" t="s">
        <v>3833</v>
      </c>
      <c r="Z1549" s="11" t="s">
        <v>270</v>
      </c>
      <c r="AA1549" s="11" t="s">
        <v>150</v>
      </c>
      <c r="AB1549" s="5" t="s">
        <v>245</v>
      </c>
      <c r="AC1549" s="5" t="s">
        <v>3044</v>
      </c>
      <c r="AD1549" s="11" t="s">
        <v>3834</v>
      </c>
      <c r="AE1549" s="23" t="n">
        <v>0.38</v>
      </c>
      <c r="AF1549" s="23" t="n">
        <v>0</v>
      </c>
      <c r="AG1549" s="23" t="n">
        <v>0.67</v>
      </c>
      <c r="AH1549" s="23" t="n">
        <v>1</v>
      </c>
      <c r="AI1549" s="23" t="n">
        <v>1</v>
      </c>
      <c r="AJ1549" s="23" t="n">
        <v>0.9716</v>
      </c>
      <c r="AK1549" s="23" t="n">
        <v>0.2</v>
      </c>
      <c r="AL1549" s="23" t="n">
        <v>0.3</v>
      </c>
      <c r="AM1549" s="16" t="n">
        <f aca="false">COUNTIFS($D$2:$D$2501,D1549,$G$2:$G$2501,"&gt;"&amp;G1549)+COUNTIFS($D$2:D1549,D1549,$G$2:G1549,G1549)</f>
        <v>293</v>
      </c>
      <c r="AN1549" s="5" t="str">
        <f aca="false">D1549&amp;"|"&amp;AM1549</f>
        <v>實體擷取與去識別化|293</v>
      </c>
    </row>
    <row r="1550" customFormat="false" ht="17.15" hidden="false" customHeight="false" outlineLevel="0" collapsed="false">
      <c r="A1550" s="16" t="n">
        <f aca="false">RANK(G1550,$G$2:$G$2501)+COUNTIF($G$2:G1550,G1550)-1</f>
        <v>1549</v>
      </c>
      <c r="B1550" s="11" t="s">
        <v>3835</v>
      </c>
      <c r="C1550" s="11" t="s">
        <v>2693</v>
      </c>
      <c r="D1550" s="5" t="s">
        <v>74</v>
      </c>
      <c r="E1550" s="5" t="s">
        <v>75</v>
      </c>
      <c r="F1550" s="5"/>
      <c r="G1550" s="22" t="n">
        <f aca="false">ROUND(SUM(I1550:P1550),3)</f>
        <v>58.66</v>
      </c>
      <c r="H1550" s="5" t="str">
        <f aca="false">IF(G1550&gt;=評分方法!$C$16,"優先評估",IF(G1550&gt;=評分方法!$C$17,"列入候選",IF(G1550&gt;=評分方法!$C$18,"特定情境","不建議")))</f>
        <v>不建議</v>
      </c>
      <c r="I1550" s="15" t="n">
        <f aca="false">AE1550*評分方法!$C$5</f>
        <v>10.5</v>
      </c>
      <c r="J1550" s="15" t="n">
        <f aca="false">AF1550*評分方法!$C$6</f>
        <v>0</v>
      </c>
      <c r="K1550" s="15" t="n">
        <f aca="false">AG1550*評分方法!$C$7</f>
        <v>15</v>
      </c>
      <c r="L1550" s="15" t="n">
        <f aca="false">AH1550*評分方法!$C$8</f>
        <v>15</v>
      </c>
      <c r="M1550" s="15" t="n">
        <f aca="false">AI1550*評分方法!$C$9</f>
        <v>10</v>
      </c>
      <c r="N1550" s="15" t="n">
        <f aca="false">AJ1550*評分方法!$C$10</f>
        <v>4.16</v>
      </c>
      <c r="O1550" s="15" t="n">
        <f aca="false">AK1550*評分方法!$C$11</f>
        <v>2.5</v>
      </c>
      <c r="P1550" s="15" t="n">
        <f aca="false">AL1550*評分方法!$C$12</f>
        <v>1.5</v>
      </c>
      <c r="Q1550" s="6" t="n">
        <v>448382</v>
      </c>
      <c r="R1550" s="6" t="n">
        <v>15593560</v>
      </c>
      <c r="S1550" s="11" t="s">
        <v>238</v>
      </c>
      <c r="T1550" s="11" t="s">
        <v>239</v>
      </c>
      <c r="U1550" s="5" t="s">
        <v>240</v>
      </c>
      <c r="V1550" s="11" t="s">
        <v>324</v>
      </c>
      <c r="W1550" s="5" t="s">
        <v>205</v>
      </c>
      <c r="X1550" s="5" t="s">
        <v>255</v>
      </c>
      <c r="Y1550" s="5"/>
      <c r="Z1550" s="5"/>
      <c r="AA1550" s="11" t="s">
        <v>172</v>
      </c>
      <c r="AB1550" s="5" t="s">
        <v>245</v>
      </c>
      <c r="AC1550" s="5"/>
      <c r="AD1550" s="11" t="s">
        <v>3836</v>
      </c>
      <c r="AE1550" s="23" t="n">
        <v>0.35</v>
      </c>
      <c r="AF1550" s="23" t="n">
        <v>0</v>
      </c>
      <c r="AG1550" s="23" t="n">
        <v>1</v>
      </c>
      <c r="AH1550" s="23" t="n">
        <v>1</v>
      </c>
      <c r="AI1550" s="23" t="n">
        <v>1</v>
      </c>
      <c r="AJ1550" s="23" t="n">
        <v>0.416</v>
      </c>
      <c r="AK1550" s="23" t="n">
        <v>0.5</v>
      </c>
      <c r="AL1550" s="23" t="n">
        <v>0.3</v>
      </c>
      <c r="AM1550" s="16" t="n">
        <f aca="false">COUNTIFS($D$2:$D$2501,D1550,$G$2:$G$2501,"&gt;"&amp;G1550)+COUNTIFS($D$2:D1550,D1550,$G$2:G1550,G1550)</f>
        <v>115</v>
      </c>
      <c r="AN1550" s="5" t="str">
        <f aca="false">D1550&amp;"|"&amp;AM1550</f>
        <v>文件與影像辨識|115</v>
      </c>
    </row>
    <row r="1551" customFormat="false" ht="17.15" hidden="false" customHeight="false" outlineLevel="0" collapsed="false">
      <c r="A1551" s="16" t="n">
        <f aca="false">RANK(G1551,$G$2:$G$2501)+COUNTIF($G$2:G1551,G1551)-1</f>
        <v>1550</v>
      </c>
      <c r="B1551" s="11" t="s">
        <v>3837</v>
      </c>
      <c r="C1551" s="11" t="s">
        <v>368</v>
      </c>
      <c r="D1551" s="5" t="s">
        <v>74</v>
      </c>
      <c r="E1551" s="5" t="s">
        <v>75</v>
      </c>
      <c r="F1551" s="5"/>
      <c r="G1551" s="22" t="n">
        <f aca="false">ROUND(SUM(I1551:P1551),3)</f>
        <v>58.644</v>
      </c>
      <c r="H1551" s="5" t="str">
        <f aca="false">IF(G1551&gt;=評分方法!$C$16,"優先評估",IF(G1551&gt;=評分方法!$C$17,"列入候選",IF(G1551&gt;=評分方法!$C$18,"特定情境","不建議")))</f>
        <v>不建議</v>
      </c>
      <c r="I1551" s="15" t="n">
        <f aca="false">AE1551*評分方法!$C$5</f>
        <v>12</v>
      </c>
      <c r="J1551" s="15" t="n">
        <f aca="false">AF1551*評分方法!$C$6</f>
        <v>0</v>
      </c>
      <c r="K1551" s="15" t="n">
        <f aca="false">AG1551*評分方法!$C$7</f>
        <v>15</v>
      </c>
      <c r="L1551" s="15" t="n">
        <f aca="false">AH1551*評分方法!$C$8</f>
        <v>15</v>
      </c>
      <c r="M1551" s="15" t="n">
        <f aca="false">AI1551*評分方法!$C$9</f>
        <v>10</v>
      </c>
      <c r="N1551" s="15" t="n">
        <f aca="false">AJ1551*評分方法!$C$10</f>
        <v>2.644</v>
      </c>
      <c r="O1551" s="15" t="n">
        <f aca="false">AK1551*評分方法!$C$11</f>
        <v>2.5</v>
      </c>
      <c r="P1551" s="15" t="n">
        <f aca="false">AL1551*評分方法!$C$12</f>
        <v>1.5</v>
      </c>
      <c r="Q1551" s="6" t="n">
        <v>264150</v>
      </c>
      <c r="R1551" s="6" t="n">
        <v>881854466</v>
      </c>
      <c r="S1551" s="11" t="s">
        <v>238</v>
      </c>
      <c r="T1551" s="11" t="s">
        <v>239</v>
      </c>
      <c r="U1551" s="5" t="s">
        <v>240</v>
      </c>
      <c r="V1551" s="11" t="s">
        <v>261</v>
      </c>
      <c r="W1551" s="5" t="s">
        <v>205</v>
      </c>
      <c r="X1551" s="5" t="s">
        <v>255</v>
      </c>
      <c r="Y1551" s="5"/>
      <c r="Z1551" s="5"/>
      <c r="AA1551" s="11" t="s">
        <v>167</v>
      </c>
      <c r="AB1551" s="5" t="s">
        <v>245</v>
      </c>
      <c r="AC1551" s="5"/>
      <c r="AD1551" s="11" t="s">
        <v>3838</v>
      </c>
      <c r="AE1551" s="23" t="n">
        <v>0.4</v>
      </c>
      <c r="AF1551" s="23" t="n">
        <v>0</v>
      </c>
      <c r="AG1551" s="23" t="n">
        <v>1</v>
      </c>
      <c r="AH1551" s="23" t="n">
        <v>1</v>
      </c>
      <c r="AI1551" s="23" t="n">
        <v>1</v>
      </c>
      <c r="AJ1551" s="23" t="n">
        <v>0.2644</v>
      </c>
      <c r="AK1551" s="23" t="n">
        <v>0.5</v>
      </c>
      <c r="AL1551" s="23" t="n">
        <v>0.3</v>
      </c>
      <c r="AM1551" s="16" t="n">
        <f aca="false">COUNTIFS($D$2:$D$2501,D1551,$G$2:$G$2501,"&gt;"&amp;G1551)+COUNTIFS($D$2:D1551,D1551,$G$2:G1551,G1551)</f>
        <v>116</v>
      </c>
      <c r="AN1551" s="5" t="str">
        <f aca="false">D1551&amp;"|"&amp;AM1551</f>
        <v>文件與影像辨識|116</v>
      </c>
    </row>
    <row r="1552" customFormat="false" ht="17.15" hidden="false" customHeight="false" outlineLevel="0" collapsed="false">
      <c r="A1552" s="16" t="n">
        <f aca="false">RANK(G1552,$G$2:$G$2501)+COUNTIF($G$2:G1552,G1552)-1</f>
        <v>1551</v>
      </c>
      <c r="B1552" s="11" t="s">
        <v>3839</v>
      </c>
      <c r="C1552" s="11" t="s">
        <v>2693</v>
      </c>
      <c r="D1552" s="5" t="s">
        <v>74</v>
      </c>
      <c r="E1552" s="5" t="s">
        <v>75</v>
      </c>
      <c r="F1552" s="5"/>
      <c r="G1552" s="22" t="n">
        <f aca="false">ROUND(SUM(I1552:P1552),3)</f>
        <v>58.624</v>
      </c>
      <c r="H1552" s="5" t="str">
        <f aca="false">IF(G1552&gt;=評分方法!$C$16,"優先評估",IF(G1552&gt;=評分方法!$C$17,"列入候選",IF(G1552&gt;=評分方法!$C$18,"特定情境","不建議")))</f>
        <v>不建議</v>
      </c>
      <c r="I1552" s="15" t="n">
        <f aca="false">AE1552*評分方法!$C$5</f>
        <v>10.5</v>
      </c>
      <c r="J1552" s="15" t="n">
        <f aca="false">AF1552*評分方法!$C$6</f>
        <v>0</v>
      </c>
      <c r="K1552" s="15" t="n">
        <f aca="false">AG1552*評分方法!$C$7</f>
        <v>15</v>
      </c>
      <c r="L1552" s="15" t="n">
        <f aca="false">AH1552*評分方法!$C$8</f>
        <v>15</v>
      </c>
      <c r="M1552" s="15" t="n">
        <f aca="false">AI1552*評分方法!$C$9</f>
        <v>6</v>
      </c>
      <c r="N1552" s="15" t="n">
        <f aca="false">AJ1552*評分方法!$C$10</f>
        <v>8.124</v>
      </c>
      <c r="O1552" s="15" t="n">
        <f aca="false">AK1552*評分方法!$C$11</f>
        <v>2.5</v>
      </c>
      <c r="P1552" s="15" t="n">
        <f aca="false">AL1552*評分方法!$C$12</f>
        <v>1.5</v>
      </c>
      <c r="Q1552" s="6" t="n">
        <v>1731173</v>
      </c>
      <c r="R1552" s="6" t="n">
        <v>21586944</v>
      </c>
      <c r="S1552" s="11" t="s">
        <v>238</v>
      </c>
      <c r="T1552" s="11" t="s">
        <v>185</v>
      </c>
      <c r="U1552" s="5" t="s">
        <v>260</v>
      </c>
      <c r="V1552" s="11" t="s">
        <v>324</v>
      </c>
      <c r="W1552" s="5" t="s">
        <v>205</v>
      </c>
      <c r="X1552" s="5" t="s">
        <v>255</v>
      </c>
      <c r="Y1552" s="5"/>
      <c r="Z1552" s="5"/>
      <c r="AA1552" s="11" t="s">
        <v>173</v>
      </c>
      <c r="AB1552" s="5" t="s">
        <v>245</v>
      </c>
      <c r="AC1552" s="5" t="s">
        <v>262</v>
      </c>
      <c r="AD1552" s="11" t="s">
        <v>3840</v>
      </c>
      <c r="AE1552" s="23" t="n">
        <v>0.35</v>
      </c>
      <c r="AF1552" s="23" t="n">
        <v>0</v>
      </c>
      <c r="AG1552" s="23" t="n">
        <v>1</v>
      </c>
      <c r="AH1552" s="23" t="n">
        <v>1</v>
      </c>
      <c r="AI1552" s="23" t="n">
        <v>0.6</v>
      </c>
      <c r="AJ1552" s="23" t="n">
        <v>0.8124</v>
      </c>
      <c r="AK1552" s="23" t="n">
        <v>0.5</v>
      </c>
      <c r="AL1552" s="23" t="n">
        <v>0.3</v>
      </c>
      <c r="AM1552" s="16" t="n">
        <f aca="false">COUNTIFS($D$2:$D$2501,D1552,$G$2:$G$2501,"&gt;"&amp;G1552)+COUNTIFS($D$2:D1552,D1552,$G$2:G1552,G1552)</f>
        <v>117</v>
      </c>
      <c r="AN1552" s="5" t="str">
        <f aca="false">D1552&amp;"|"&amp;AM1552</f>
        <v>文件與影像辨識|117</v>
      </c>
    </row>
    <row r="1553" customFormat="false" ht="17.15" hidden="false" customHeight="false" outlineLevel="0" collapsed="false">
      <c r="A1553" s="16" t="n">
        <f aca="false">RANK(G1553,$G$2:$G$2501)+COUNTIF($G$2:G1553,G1553)-1</f>
        <v>1552</v>
      </c>
      <c r="B1553" s="11" t="s">
        <v>3841</v>
      </c>
      <c r="C1553" s="11" t="s">
        <v>2693</v>
      </c>
      <c r="D1553" s="5" t="s">
        <v>74</v>
      </c>
      <c r="E1553" s="5" t="s">
        <v>75</v>
      </c>
      <c r="F1553" s="5"/>
      <c r="G1553" s="22" t="n">
        <f aca="false">ROUND(SUM(I1553:P1553),3)</f>
        <v>58.62</v>
      </c>
      <c r="H1553" s="5" t="str">
        <f aca="false">IF(G1553&gt;=評分方法!$C$16,"優先評估",IF(G1553&gt;=評分方法!$C$17,"列入候選",IF(G1553&gt;=評分方法!$C$18,"特定情境","不建議")))</f>
        <v>不建議</v>
      </c>
      <c r="I1553" s="15" t="n">
        <f aca="false">AE1553*評分方法!$C$5</f>
        <v>10.5</v>
      </c>
      <c r="J1553" s="15" t="n">
        <f aca="false">AF1553*評分方法!$C$6</f>
        <v>0</v>
      </c>
      <c r="K1553" s="15" t="n">
        <f aca="false">AG1553*評分方法!$C$7</f>
        <v>15</v>
      </c>
      <c r="L1553" s="15" t="n">
        <f aca="false">AH1553*評分方法!$C$8</f>
        <v>15</v>
      </c>
      <c r="M1553" s="15" t="n">
        <f aca="false">AI1553*評分方法!$C$9</f>
        <v>10</v>
      </c>
      <c r="N1553" s="15" t="n">
        <f aca="false">AJ1553*評分方法!$C$10</f>
        <v>4.12</v>
      </c>
      <c r="O1553" s="15" t="n">
        <f aca="false">AK1553*評分方法!$C$11</f>
        <v>2.5</v>
      </c>
      <c r="P1553" s="15" t="n">
        <f aca="false">AL1553*評分方法!$C$12</f>
        <v>1.5</v>
      </c>
      <c r="Q1553" s="6" t="n">
        <v>440847</v>
      </c>
      <c r="R1553" s="6" t="n">
        <v>88297192</v>
      </c>
      <c r="S1553" s="11" t="s">
        <v>238</v>
      </c>
      <c r="T1553" s="11" t="s">
        <v>239</v>
      </c>
      <c r="U1553" s="5" t="s">
        <v>240</v>
      </c>
      <c r="V1553" s="11" t="s">
        <v>324</v>
      </c>
      <c r="W1553" s="5" t="s">
        <v>205</v>
      </c>
      <c r="X1553" s="5" t="s">
        <v>255</v>
      </c>
      <c r="Y1553" s="5"/>
      <c r="Z1553" s="5"/>
      <c r="AA1553" s="11" t="s">
        <v>172</v>
      </c>
      <c r="AB1553" s="5" t="s">
        <v>245</v>
      </c>
      <c r="AC1553" s="5"/>
      <c r="AD1553" s="11" t="s">
        <v>3842</v>
      </c>
      <c r="AE1553" s="23" t="n">
        <v>0.35</v>
      </c>
      <c r="AF1553" s="23" t="n">
        <v>0</v>
      </c>
      <c r="AG1553" s="23" t="n">
        <v>1</v>
      </c>
      <c r="AH1553" s="23" t="n">
        <v>1</v>
      </c>
      <c r="AI1553" s="23" t="n">
        <v>1</v>
      </c>
      <c r="AJ1553" s="23" t="n">
        <v>0.412</v>
      </c>
      <c r="AK1553" s="23" t="n">
        <v>0.5</v>
      </c>
      <c r="AL1553" s="23" t="n">
        <v>0.3</v>
      </c>
      <c r="AM1553" s="16" t="n">
        <f aca="false">COUNTIFS($D$2:$D$2501,D1553,$G$2:$G$2501,"&gt;"&amp;G1553)+COUNTIFS($D$2:D1553,D1553,$G$2:G1553,G1553)</f>
        <v>118</v>
      </c>
      <c r="AN1553" s="5" t="str">
        <f aca="false">D1553&amp;"|"&amp;AM1553</f>
        <v>文件與影像辨識|118</v>
      </c>
    </row>
    <row r="1554" customFormat="false" ht="17.15" hidden="false" customHeight="false" outlineLevel="0" collapsed="false">
      <c r="A1554" s="16" t="n">
        <f aca="false">RANK(G1554,$G$2:$G$2501)+COUNTIF($G$2:G1554,G1554)-1</f>
        <v>1553</v>
      </c>
      <c r="B1554" s="11" t="s">
        <v>3843</v>
      </c>
      <c r="C1554" s="11" t="s">
        <v>1438</v>
      </c>
      <c r="D1554" s="5" t="s">
        <v>56</v>
      </c>
      <c r="E1554" s="5" t="s">
        <v>57</v>
      </c>
      <c r="F1554" s="5"/>
      <c r="G1554" s="22" t="n">
        <f aca="false">ROUND(SUM(I1554:P1554),3)</f>
        <v>58.614</v>
      </c>
      <c r="H1554" s="5" t="str">
        <f aca="false">IF(G1554&gt;=評分方法!$C$16,"優先評估",IF(G1554&gt;=評分方法!$C$17,"列入候選",IF(G1554&gt;=評分方法!$C$18,"特定情境","不建議")))</f>
        <v>不建議</v>
      </c>
      <c r="I1554" s="15" t="n">
        <f aca="false">AE1554*評分方法!$C$5</f>
        <v>25.5</v>
      </c>
      <c r="J1554" s="15" t="n">
        <f aca="false">AF1554*評分方法!$C$6</f>
        <v>0</v>
      </c>
      <c r="K1554" s="15" t="n">
        <f aca="false">AG1554*評分方法!$C$7</f>
        <v>10.05</v>
      </c>
      <c r="L1554" s="15" t="n">
        <f aca="false">AH1554*評分方法!$C$8</f>
        <v>9</v>
      </c>
      <c r="M1554" s="15" t="n">
        <f aca="false">AI1554*評分方法!$C$9</f>
        <v>2</v>
      </c>
      <c r="N1554" s="15" t="n">
        <f aca="false">AJ1554*評分方法!$C$10</f>
        <v>6.564</v>
      </c>
      <c r="O1554" s="15" t="n">
        <f aca="false">AK1554*評分方法!$C$11</f>
        <v>2.5</v>
      </c>
      <c r="P1554" s="15" t="n">
        <f aca="false">AL1554*評分方法!$C$12</f>
        <v>3</v>
      </c>
      <c r="Q1554" s="6" t="n">
        <v>770589</v>
      </c>
      <c r="R1554" s="6" t="n">
        <v>11765788416</v>
      </c>
      <c r="S1554" s="11" t="s">
        <v>389</v>
      </c>
      <c r="T1554" s="5"/>
      <c r="U1554" s="5" t="s">
        <v>375</v>
      </c>
      <c r="V1554" s="11" t="s">
        <v>333</v>
      </c>
      <c r="W1554" s="5" t="s">
        <v>207</v>
      </c>
      <c r="X1554" s="5" t="s">
        <v>371</v>
      </c>
      <c r="Y1554" s="11" t="s">
        <v>1303</v>
      </c>
      <c r="Z1554" s="11" t="s">
        <v>244</v>
      </c>
      <c r="AA1554" s="11" t="s">
        <v>155</v>
      </c>
      <c r="AB1554" s="5" t="s">
        <v>245</v>
      </c>
      <c r="AC1554" s="5" t="s">
        <v>464</v>
      </c>
      <c r="AD1554" s="11" t="s">
        <v>3844</v>
      </c>
      <c r="AE1554" s="23" t="n">
        <v>0.85</v>
      </c>
      <c r="AF1554" s="23" t="n">
        <v>0</v>
      </c>
      <c r="AG1554" s="23" t="n">
        <v>0.67</v>
      </c>
      <c r="AH1554" s="23" t="n">
        <v>0.6</v>
      </c>
      <c r="AI1554" s="23" t="n">
        <v>0.2</v>
      </c>
      <c r="AJ1554" s="23" t="n">
        <v>0.6564</v>
      </c>
      <c r="AK1554" s="23" t="n">
        <v>0.5</v>
      </c>
      <c r="AL1554" s="23" t="n">
        <v>0.6</v>
      </c>
      <c r="AM1554" s="16" t="n">
        <f aca="false">COUNTIFS($D$2:$D$2501,D1554,$G$2:$G$2501,"&gt;"&amp;G1554)+COUNTIFS($D$2:D1554,D1554,$G$2:G1554,G1554)</f>
        <v>728</v>
      </c>
      <c r="AN1554" s="5" t="str">
        <f aca="false">D1554&amp;"|"&amp;AM1554</f>
        <v>分析與報告生成|728</v>
      </c>
    </row>
    <row r="1555" customFormat="false" ht="17.15" hidden="false" customHeight="false" outlineLevel="0" collapsed="false">
      <c r="A1555" s="16" t="n">
        <f aca="false">RANK(G1555,$G$2:$G$2501)+COUNTIF($G$2:G1555,G1555)-1</f>
        <v>1554</v>
      </c>
      <c r="B1555" s="11" t="s">
        <v>3845</v>
      </c>
      <c r="C1555" s="11" t="s">
        <v>753</v>
      </c>
      <c r="D1555" s="5" t="s">
        <v>56</v>
      </c>
      <c r="E1555" s="5" t="s">
        <v>57</v>
      </c>
      <c r="F1555" s="5"/>
      <c r="G1555" s="22" t="n">
        <f aca="false">ROUND(SUM(I1555:P1555),3)</f>
        <v>58.612</v>
      </c>
      <c r="H1555" s="5" t="str">
        <f aca="false">IF(G1555&gt;=評分方法!$C$16,"優先評估",IF(G1555&gt;=評分方法!$C$17,"列入候選",IF(G1555&gt;=評分方法!$C$18,"特定情境","不建議")))</f>
        <v>不建議</v>
      </c>
      <c r="I1555" s="15" t="n">
        <f aca="false">AE1555*評分方法!$C$5</f>
        <v>25.5</v>
      </c>
      <c r="J1555" s="15" t="n">
        <f aca="false">AF1555*評分方法!$C$6</f>
        <v>0</v>
      </c>
      <c r="K1555" s="15" t="n">
        <f aca="false">AG1555*評分方法!$C$7</f>
        <v>10.05</v>
      </c>
      <c r="L1555" s="15" t="n">
        <f aca="false">AH1555*評分方法!$C$8</f>
        <v>13.05</v>
      </c>
      <c r="M1555" s="15" t="n">
        <f aca="false">AI1555*評分方法!$C$9</f>
        <v>6</v>
      </c>
      <c r="N1555" s="15" t="n">
        <f aca="false">AJ1555*評分方法!$C$10</f>
        <v>1.512</v>
      </c>
      <c r="O1555" s="15" t="n">
        <f aca="false">AK1555*評分方法!$C$11</f>
        <v>2.5</v>
      </c>
      <c r="P1555" s="15" t="n">
        <f aca="false">AL1555*評分方法!$C$12</f>
        <v>0</v>
      </c>
      <c r="Q1555" s="6" t="n">
        <v>180245</v>
      </c>
      <c r="R1555" s="6" t="n">
        <v>8248929386</v>
      </c>
      <c r="S1555" s="11" t="s">
        <v>254</v>
      </c>
      <c r="T1555" s="11" t="s">
        <v>1177</v>
      </c>
      <c r="U1555" s="5" t="s">
        <v>260</v>
      </c>
      <c r="V1555" s="11" t="s">
        <v>261</v>
      </c>
      <c r="W1555" s="5" t="s">
        <v>207</v>
      </c>
      <c r="X1555" s="5" t="s">
        <v>242</v>
      </c>
      <c r="Y1555" s="11" t="s">
        <v>1376</v>
      </c>
      <c r="Z1555" s="11" t="s">
        <v>244</v>
      </c>
      <c r="AA1555" s="11" t="s">
        <v>155</v>
      </c>
      <c r="AB1555" s="5" t="s">
        <v>245</v>
      </c>
      <c r="AC1555" s="5" t="s">
        <v>464</v>
      </c>
      <c r="AD1555" s="11" t="s">
        <v>3846</v>
      </c>
      <c r="AE1555" s="23" t="n">
        <v>0.85</v>
      </c>
      <c r="AF1555" s="23" t="n">
        <v>0</v>
      </c>
      <c r="AG1555" s="23" t="n">
        <v>0.67</v>
      </c>
      <c r="AH1555" s="23" t="n">
        <v>0.87</v>
      </c>
      <c r="AI1555" s="23" t="n">
        <v>0.6</v>
      </c>
      <c r="AJ1555" s="23" t="n">
        <v>0.1512</v>
      </c>
      <c r="AK1555" s="23" t="n">
        <v>0.5</v>
      </c>
      <c r="AL1555" s="23" t="n">
        <v>0</v>
      </c>
      <c r="AM1555" s="16" t="n">
        <f aca="false">COUNTIFS($D$2:$D$2501,D1555,$G$2:$G$2501,"&gt;"&amp;G1555)+COUNTIFS($D$2:D1555,D1555,$G$2:G1555,G1555)</f>
        <v>729</v>
      </c>
      <c r="AN1555" s="5" t="str">
        <f aca="false">D1555&amp;"|"&amp;AM1555</f>
        <v>分析與報告生成|729</v>
      </c>
    </row>
    <row r="1556" customFormat="false" ht="17.15" hidden="false" customHeight="false" outlineLevel="0" collapsed="false">
      <c r="A1556" s="16" t="n">
        <f aca="false">RANK(G1556,$G$2:$G$2501)+COUNTIF($G$2:G1556,G1556)-1</f>
        <v>1555</v>
      </c>
      <c r="B1556" s="11" t="s">
        <v>3847</v>
      </c>
      <c r="C1556" s="11" t="s">
        <v>1438</v>
      </c>
      <c r="D1556" s="5" t="s">
        <v>56</v>
      </c>
      <c r="E1556" s="5" t="s">
        <v>57</v>
      </c>
      <c r="F1556" s="5"/>
      <c r="G1556" s="22" t="n">
        <f aca="false">ROUND(SUM(I1556:P1556),3)</f>
        <v>58.61</v>
      </c>
      <c r="H1556" s="5" t="str">
        <f aca="false">IF(G1556&gt;=評分方法!$C$16,"優先評估",IF(G1556&gt;=評分方法!$C$17,"列入候選",IF(G1556&gt;=評分方法!$C$18,"特定情境","不建議")))</f>
        <v>不建議</v>
      </c>
      <c r="I1556" s="15" t="n">
        <f aca="false">AE1556*評分方法!$C$5</f>
        <v>25.5</v>
      </c>
      <c r="J1556" s="15" t="n">
        <f aca="false">AF1556*評分方法!$C$6</f>
        <v>0</v>
      </c>
      <c r="K1556" s="15" t="n">
        <f aca="false">AG1556*評分方法!$C$7</f>
        <v>10.05</v>
      </c>
      <c r="L1556" s="15" t="n">
        <f aca="false">AH1556*評分方法!$C$8</f>
        <v>9</v>
      </c>
      <c r="M1556" s="15" t="n">
        <f aca="false">AI1556*評分方法!$C$9</f>
        <v>2</v>
      </c>
      <c r="N1556" s="15" t="n">
        <f aca="false">AJ1556*評分方法!$C$10</f>
        <v>6.56</v>
      </c>
      <c r="O1556" s="15" t="n">
        <f aca="false">AK1556*評分方法!$C$11</f>
        <v>2.5</v>
      </c>
      <c r="P1556" s="15" t="n">
        <f aca="false">AL1556*評分方法!$C$12</f>
        <v>3</v>
      </c>
      <c r="Q1556" s="6" t="n">
        <v>769284</v>
      </c>
      <c r="R1556" s="6" t="n">
        <v>14659507200</v>
      </c>
      <c r="S1556" s="11" t="s">
        <v>389</v>
      </c>
      <c r="T1556" s="5"/>
      <c r="U1556" s="5" t="s">
        <v>375</v>
      </c>
      <c r="V1556" s="11" t="s">
        <v>333</v>
      </c>
      <c r="W1556" s="5" t="s">
        <v>207</v>
      </c>
      <c r="X1556" s="5" t="s">
        <v>371</v>
      </c>
      <c r="Y1556" s="11" t="s">
        <v>971</v>
      </c>
      <c r="Z1556" s="11" t="s">
        <v>244</v>
      </c>
      <c r="AA1556" s="11" t="s">
        <v>155</v>
      </c>
      <c r="AB1556" s="5" t="s">
        <v>245</v>
      </c>
      <c r="AC1556" s="5" t="s">
        <v>464</v>
      </c>
      <c r="AD1556" s="11" t="s">
        <v>3848</v>
      </c>
      <c r="AE1556" s="23" t="n">
        <v>0.85</v>
      </c>
      <c r="AF1556" s="23" t="n">
        <v>0</v>
      </c>
      <c r="AG1556" s="23" t="n">
        <v>0.67</v>
      </c>
      <c r="AH1556" s="23" t="n">
        <v>0.6</v>
      </c>
      <c r="AI1556" s="23" t="n">
        <v>0.2</v>
      </c>
      <c r="AJ1556" s="23" t="n">
        <v>0.656</v>
      </c>
      <c r="AK1556" s="23" t="n">
        <v>0.5</v>
      </c>
      <c r="AL1556" s="23" t="n">
        <v>0.6</v>
      </c>
      <c r="AM1556" s="16" t="n">
        <f aca="false">COUNTIFS($D$2:$D$2501,D1556,$G$2:$G$2501,"&gt;"&amp;G1556)+COUNTIFS($D$2:D1556,D1556,$G$2:G1556,G1556)</f>
        <v>730</v>
      </c>
      <c r="AN1556" s="5" t="str">
        <f aca="false">D1556&amp;"|"&amp;AM1556</f>
        <v>分析與報告生成|730</v>
      </c>
    </row>
    <row r="1557" customFormat="false" ht="17.15" hidden="false" customHeight="false" outlineLevel="0" collapsed="false">
      <c r="A1557" s="16" t="n">
        <f aca="false">RANK(G1557,$G$2:$G$2501)+COUNTIF($G$2:G1557,G1557)-1</f>
        <v>1556</v>
      </c>
      <c r="B1557" s="11" t="s">
        <v>3849</v>
      </c>
      <c r="C1557" s="11" t="s">
        <v>2693</v>
      </c>
      <c r="D1557" s="5" t="s">
        <v>74</v>
      </c>
      <c r="E1557" s="5" t="s">
        <v>75</v>
      </c>
      <c r="F1557" s="5"/>
      <c r="G1557" s="22" t="n">
        <f aca="false">ROUND(SUM(I1557:P1557),3)</f>
        <v>58.6</v>
      </c>
      <c r="H1557" s="5" t="str">
        <f aca="false">IF(G1557&gt;=評分方法!$C$16,"優先評估",IF(G1557&gt;=評分方法!$C$17,"列入候選",IF(G1557&gt;=評分方法!$C$18,"特定情境","不建議")))</f>
        <v>不建議</v>
      </c>
      <c r="I1557" s="15" t="n">
        <f aca="false">AE1557*評分方法!$C$5</f>
        <v>10.5</v>
      </c>
      <c r="J1557" s="15" t="n">
        <f aca="false">AF1557*評分方法!$C$6</f>
        <v>0</v>
      </c>
      <c r="K1557" s="15" t="n">
        <f aca="false">AG1557*評分方法!$C$7</f>
        <v>15</v>
      </c>
      <c r="L1557" s="15" t="n">
        <f aca="false">AH1557*評分方法!$C$8</f>
        <v>15</v>
      </c>
      <c r="M1557" s="15" t="n">
        <f aca="false">AI1557*評分方法!$C$9</f>
        <v>10</v>
      </c>
      <c r="N1557" s="15" t="n">
        <f aca="false">AJ1557*評分方法!$C$10</f>
        <v>4.1</v>
      </c>
      <c r="O1557" s="15" t="n">
        <f aca="false">AK1557*評分方法!$C$11</f>
        <v>2.5</v>
      </c>
      <c r="P1557" s="15" t="n">
        <f aca="false">AL1557*評分方法!$C$12</f>
        <v>1.5</v>
      </c>
      <c r="Q1557" s="6" t="n">
        <v>437620</v>
      </c>
      <c r="R1557" s="6" t="n">
        <v>22050664</v>
      </c>
      <c r="S1557" s="11" t="s">
        <v>238</v>
      </c>
      <c r="T1557" s="11" t="s">
        <v>239</v>
      </c>
      <c r="U1557" s="5" t="s">
        <v>240</v>
      </c>
      <c r="V1557" s="11" t="s">
        <v>324</v>
      </c>
      <c r="W1557" s="5" t="s">
        <v>205</v>
      </c>
      <c r="X1557" s="5" t="s">
        <v>255</v>
      </c>
      <c r="Y1557" s="5"/>
      <c r="Z1557" s="5"/>
      <c r="AA1557" s="11" t="s">
        <v>172</v>
      </c>
      <c r="AB1557" s="5" t="s">
        <v>245</v>
      </c>
      <c r="AC1557" s="5"/>
      <c r="AD1557" s="11" t="s">
        <v>3850</v>
      </c>
      <c r="AE1557" s="23" t="n">
        <v>0.35</v>
      </c>
      <c r="AF1557" s="23" t="n">
        <v>0</v>
      </c>
      <c r="AG1557" s="23" t="n">
        <v>1</v>
      </c>
      <c r="AH1557" s="23" t="n">
        <v>1</v>
      </c>
      <c r="AI1557" s="23" t="n">
        <v>1</v>
      </c>
      <c r="AJ1557" s="23" t="n">
        <v>0.41</v>
      </c>
      <c r="AK1557" s="23" t="n">
        <v>0.5</v>
      </c>
      <c r="AL1557" s="23" t="n">
        <v>0.3</v>
      </c>
      <c r="AM1557" s="16" t="n">
        <f aca="false">COUNTIFS($D$2:$D$2501,D1557,$G$2:$G$2501,"&gt;"&amp;G1557)+COUNTIFS($D$2:D1557,D1557,$G$2:G1557,G1557)</f>
        <v>119</v>
      </c>
      <c r="AN1557" s="5" t="str">
        <f aca="false">D1557&amp;"|"&amp;AM1557</f>
        <v>文件與影像辨識|119</v>
      </c>
    </row>
    <row r="1558" customFormat="false" ht="17.15" hidden="false" customHeight="false" outlineLevel="0" collapsed="false">
      <c r="A1558" s="16" t="n">
        <f aca="false">RANK(G1558,$G$2:$G$2501)+COUNTIF($G$2:G1558,G1558)-1</f>
        <v>1557</v>
      </c>
      <c r="B1558" s="11" t="s">
        <v>3851</v>
      </c>
      <c r="C1558" s="11" t="s">
        <v>258</v>
      </c>
      <c r="D1558" s="5" t="s">
        <v>56</v>
      </c>
      <c r="E1558" s="5" t="s">
        <v>57</v>
      </c>
      <c r="F1558" s="5"/>
      <c r="G1558" s="22" t="n">
        <f aca="false">ROUND(SUM(I1558:P1558),3)</f>
        <v>58.578</v>
      </c>
      <c r="H1558" s="5" t="str">
        <f aca="false">IF(G1558&gt;=評分方法!$C$16,"優先評估",IF(G1558&gt;=評分方法!$C$17,"列入候選",IF(G1558&gt;=評分方法!$C$18,"特定情境","不建議")))</f>
        <v>不建議</v>
      </c>
      <c r="I1558" s="15" t="n">
        <f aca="false">AE1558*評分方法!$C$5</f>
        <v>25.5</v>
      </c>
      <c r="J1558" s="15" t="n">
        <f aca="false">AF1558*評分方法!$C$6</f>
        <v>0</v>
      </c>
      <c r="K1558" s="15" t="n">
        <f aca="false">AG1558*評分方法!$C$7</f>
        <v>15</v>
      </c>
      <c r="L1558" s="15" t="n">
        <f aca="false">AH1558*評分方法!$C$8</f>
        <v>4.95</v>
      </c>
      <c r="M1558" s="15" t="n">
        <f aca="false">AI1558*評分方法!$C$9</f>
        <v>6</v>
      </c>
      <c r="N1558" s="15" t="n">
        <f aca="false">AJ1558*評分方法!$C$10</f>
        <v>4.628</v>
      </c>
      <c r="O1558" s="15" t="n">
        <f aca="false">AK1558*評分方法!$C$11</f>
        <v>2.5</v>
      </c>
      <c r="P1558" s="15" t="n">
        <f aca="false">AL1558*評分方法!$C$12</f>
        <v>0</v>
      </c>
      <c r="Q1558" s="6" t="n">
        <v>504858</v>
      </c>
      <c r="R1558" s="6" t="n">
        <v>70553706496</v>
      </c>
      <c r="S1558" s="11" t="s">
        <v>1876</v>
      </c>
      <c r="T1558" s="11" t="s">
        <v>1177</v>
      </c>
      <c r="U1558" s="5" t="s">
        <v>260</v>
      </c>
      <c r="V1558" s="11" t="s">
        <v>324</v>
      </c>
      <c r="W1558" s="5" t="s">
        <v>205</v>
      </c>
      <c r="X1558" s="5" t="s">
        <v>242</v>
      </c>
      <c r="Y1558" s="11" t="s">
        <v>3742</v>
      </c>
      <c r="Z1558" s="11" t="s">
        <v>270</v>
      </c>
      <c r="AA1558" s="11" t="s">
        <v>155</v>
      </c>
      <c r="AB1558" s="5" t="s">
        <v>245</v>
      </c>
      <c r="AC1558" s="5" t="s">
        <v>262</v>
      </c>
      <c r="AD1558" s="11" t="s">
        <v>3852</v>
      </c>
      <c r="AE1558" s="23" t="n">
        <v>0.85</v>
      </c>
      <c r="AF1558" s="23" t="n">
        <v>0</v>
      </c>
      <c r="AG1558" s="23" t="n">
        <v>1</v>
      </c>
      <c r="AH1558" s="23" t="n">
        <v>0.33</v>
      </c>
      <c r="AI1558" s="23" t="n">
        <v>0.6</v>
      </c>
      <c r="AJ1558" s="23" t="n">
        <v>0.4628</v>
      </c>
      <c r="AK1558" s="23" t="n">
        <v>0.5</v>
      </c>
      <c r="AL1558" s="23" t="n">
        <v>0</v>
      </c>
      <c r="AM1558" s="16" t="n">
        <f aca="false">COUNTIFS($D$2:$D$2501,D1558,$G$2:$G$2501,"&gt;"&amp;G1558)+COUNTIFS($D$2:D1558,D1558,$G$2:G1558,G1558)</f>
        <v>731</v>
      </c>
      <c r="AN1558" s="5" t="str">
        <f aca="false">D1558&amp;"|"&amp;AM1558</f>
        <v>分析與報告生成|731</v>
      </c>
    </row>
    <row r="1559" customFormat="false" ht="17.15" hidden="false" customHeight="false" outlineLevel="0" collapsed="false">
      <c r="A1559" s="16" t="n">
        <f aca="false">RANK(G1559,$G$2:$G$2501)+COUNTIF($G$2:G1559,G1559)-1</f>
        <v>1558</v>
      </c>
      <c r="B1559" s="11" t="s">
        <v>3853</v>
      </c>
      <c r="C1559" s="11" t="s">
        <v>1438</v>
      </c>
      <c r="D1559" s="5" t="s">
        <v>56</v>
      </c>
      <c r="E1559" s="5" t="s">
        <v>57</v>
      </c>
      <c r="F1559" s="5"/>
      <c r="G1559" s="22" t="n">
        <f aca="false">ROUND(SUM(I1559:P1559),3)</f>
        <v>58.578</v>
      </c>
      <c r="H1559" s="5" t="str">
        <f aca="false">IF(G1559&gt;=評分方法!$C$16,"優先評估",IF(G1559&gt;=評分方法!$C$17,"列入候選",IF(G1559&gt;=評分方法!$C$18,"特定情境","不建議")))</f>
        <v>不建議</v>
      </c>
      <c r="I1559" s="15" t="n">
        <f aca="false">AE1559*評分方法!$C$5</f>
        <v>25.5</v>
      </c>
      <c r="J1559" s="15" t="n">
        <f aca="false">AF1559*評分方法!$C$6</f>
        <v>0</v>
      </c>
      <c r="K1559" s="15" t="n">
        <f aca="false">AG1559*評分方法!$C$7</f>
        <v>10.05</v>
      </c>
      <c r="L1559" s="15" t="n">
        <f aca="false">AH1559*評分方法!$C$8</f>
        <v>9</v>
      </c>
      <c r="M1559" s="15" t="n">
        <f aca="false">AI1559*評分方法!$C$9</f>
        <v>2</v>
      </c>
      <c r="N1559" s="15" t="n">
        <f aca="false">AJ1559*評分方法!$C$10</f>
        <v>6.528</v>
      </c>
      <c r="O1559" s="15" t="n">
        <f aca="false">AK1559*評分方法!$C$11</f>
        <v>2.5</v>
      </c>
      <c r="P1559" s="15" t="n">
        <f aca="false">AL1559*評分方法!$C$12</f>
        <v>3</v>
      </c>
      <c r="Q1559" s="6" t="n">
        <v>762087</v>
      </c>
      <c r="R1559" s="6" t="n">
        <v>23572403200</v>
      </c>
      <c r="S1559" s="11" t="s">
        <v>389</v>
      </c>
      <c r="T1559" s="5"/>
      <c r="U1559" s="5" t="s">
        <v>375</v>
      </c>
      <c r="V1559" s="11" t="s">
        <v>333</v>
      </c>
      <c r="W1559" s="5" t="s">
        <v>207</v>
      </c>
      <c r="X1559" s="5" t="s">
        <v>371</v>
      </c>
      <c r="Y1559" s="11" t="s">
        <v>3854</v>
      </c>
      <c r="Z1559" s="11" t="s">
        <v>244</v>
      </c>
      <c r="AA1559" s="11" t="s">
        <v>155</v>
      </c>
      <c r="AB1559" s="5" t="s">
        <v>245</v>
      </c>
      <c r="AC1559" s="5" t="s">
        <v>464</v>
      </c>
      <c r="AD1559" s="11" t="s">
        <v>3855</v>
      </c>
      <c r="AE1559" s="23" t="n">
        <v>0.85</v>
      </c>
      <c r="AF1559" s="23" t="n">
        <v>0</v>
      </c>
      <c r="AG1559" s="23" t="n">
        <v>0.67</v>
      </c>
      <c r="AH1559" s="23" t="n">
        <v>0.6</v>
      </c>
      <c r="AI1559" s="23" t="n">
        <v>0.2</v>
      </c>
      <c r="AJ1559" s="23" t="n">
        <v>0.6528</v>
      </c>
      <c r="AK1559" s="23" t="n">
        <v>0.5</v>
      </c>
      <c r="AL1559" s="23" t="n">
        <v>0.6</v>
      </c>
      <c r="AM1559" s="16" t="n">
        <f aca="false">COUNTIFS($D$2:$D$2501,D1559,$G$2:$G$2501,"&gt;"&amp;G1559)+COUNTIFS($D$2:D1559,D1559,$G$2:G1559,G1559)</f>
        <v>732</v>
      </c>
      <c r="AN1559" s="5" t="str">
        <f aca="false">D1559&amp;"|"&amp;AM1559</f>
        <v>分析與報告生成|732</v>
      </c>
    </row>
    <row r="1560" customFormat="false" ht="17.15" hidden="false" customHeight="false" outlineLevel="0" collapsed="false">
      <c r="A1560" s="16" t="n">
        <f aca="false">RANK(G1560,$G$2:$G$2501)+COUNTIF($G$2:G1560,G1560)-1</f>
        <v>1559</v>
      </c>
      <c r="B1560" s="11" t="s">
        <v>3856</v>
      </c>
      <c r="C1560" s="11" t="s">
        <v>3857</v>
      </c>
      <c r="D1560" s="5" t="s">
        <v>56</v>
      </c>
      <c r="E1560" s="5" t="s">
        <v>57</v>
      </c>
      <c r="F1560" s="5"/>
      <c r="G1560" s="22" t="n">
        <f aca="false">ROUND(SUM(I1560:P1560),3)</f>
        <v>58.564</v>
      </c>
      <c r="H1560" s="5" t="str">
        <f aca="false">IF(G1560&gt;=評分方法!$C$16,"優先評估",IF(G1560&gt;=評分方法!$C$17,"列入候選",IF(G1560&gt;=評分方法!$C$18,"特定情境","不建議")))</f>
        <v>不建議</v>
      </c>
      <c r="I1560" s="15" t="n">
        <f aca="false">AE1560*評分方法!$C$5</f>
        <v>25.5</v>
      </c>
      <c r="J1560" s="15" t="n">
        <f aca="false">AF1560*評分方法!$C$6</f>
        <v>0</v>
      </c>
      <c r="K1560" s="15" t="n">
        <f aca="false">AG1560*評分方法!$C$7</f>
        <v>4.95</v>
      </c>
      <c r="L1560" s="15" t="n">
        <f aca="false">AH1560*評分方法!$C$8</f>
        <v>13.05</v>
      </c>
      <c r="M1560" s="15" t="n">
        <f aca="false">AI1560*評分方法!$C$9</f>
        <v>6</v>
      </c>
      <c r="N1560" s="15" t="n">
        <f aca="false">AJ1560*評分方法!$C$10</f>
        <v>8.064</v>
      </c>
      <c r="O1560" s="15" t="n">
        <f aca="false">AK1560*評分方法!$C$11</f>
        <v>1</v>
      </c>
      <c r="P1560" s="15" t="n">
        <f aca="false">AL1560*評分方法!$C$12</f>
        <v>0</v>
      </c>
      <c r="Q1560" s="6" t="n">
        <v>1652070</v>
      </c>
      <c r="R1560" s="6" t="n">
        <v>8030261248</v>
      </c>
      <c r="S1560" s="11" t="s">
        <v>254</v>
      </c>
      <c r="T1560" s="11" t="s">
        <v>259</v>
      </c>
      <c r="U1560" s="5" t="s">
        <v>260</v>
      </c>
      <c r="V1560" s="11" t="s">
        <v>261</v>
      </c>
      <c r="W1560" s="5" t="s">
        <v>334</v>
      </c>
      <c r="X1560" s="5" t="s">
        <v>242</v>
      </c>
      <c r="Y1560" s="5"/>
      <c r="Z1560" s="5"/>
      <c r="AA1560" s="11" t="s">
        <v>155</v>
      </c>
      <c r="AB1560" s="5" t="s">
        <v>245</v>
      </c>
      <c r="AC1560" s="5" t="s">
        <v>262</v>
      </c>
      <c r="AD1560" s="11" t="s">
        <v>3858</v>
      </c>
      <c r="AE1560" s="23" t="n">
        <v>0.85</v>
      </c>
      <c r="AF1560" s="23" t="n">
        <v>0</v>
      </c>
      <c r="AG1560" s="23" t="n">
        <v>0.33</v>
      </c>
      <c r="AH1560" s="23" t="n">
        <v>0.87</v>
      </c>
      <c r="AI1560" s="23" t="n">
        <v>0.6</v>
      </c>
      <c r="AJ1560" s="23" t="n">
        <v>0.8064</v>
      </c>
      <c r="AK1560" s="23" t="n">
        <v>0.2</v>
      </c>
      <c r="AL1560" s="23" t="n">
        <v>0</v>
      </c>
      <c r="AM1560" s="16" t="n">
        <f aca="false">COUNTIFS($D$2:$D$2501,D1560,$G$2:$G$2501,"&gt;"&amp;G1560)+COUNTIFS($D$2:D1560,D1560,$G$2:G1560,G1560)</f>
        <v>733</v>
      </c>
      <c r="AN1560" s="5" t="str">
        <f aca="false">D1560&amp;"|"&amp;AM1560</f>
        <v>分析與報告生成|733</v>
      </c>
    </row>
    <row r="1561" customFormat="false" ht="17.15" hidden="false" customHeight="false" outlineLevel="0" collapsed="false">
      <c r="A1561" s="16" t="n">
        <f aca="false">RANK(G1561,$G$2:$G$2501)+COUNTIF($G$2:G1561,G1561)-1</f>
        <v>1560</v>
      </c>
      <c r="B1561" s="11" t="s">
        <v>3859</v>
      </c>
      <c r="C1561" s="11" t="s">
        <v>2693</v>
      </c>
      <c r="D1561" s="5" t="s">
        <v>74</v>
      </c>
      <c r="E1561" s="5" t="s">
        <v>75</v>
      </c>
      <c r="F1561" s="5"/>
      <c r="G1561" s="22" t="n">
        <f aca="false">ROUND(SUM(I1561:P1561),3)</f>
        <v>58.56</v>
      </c>
      <c r="H1561" s="5" t="str">
        <f aca="false">IF(G1561&gt;=評分方法!$C$16,"優先評估",IF(G1561&gt;=評分方法!$C$17,"列入候選",IF(G1561&gt;=評分方法!$C$18,"特定情境","不建議")))</f>
        <v>不建議</v>
      </c>
      <c r="I1561" s="15" t="n">
        <f aca="false">AE1561*評分方法!$C$5</f>
        <v>10.5</v>
      </c>
      <c r="J1561" s="15" t="n">
        <f aca="false">AF1561*評分方法!$C$6</f>
        <v>0</v>
      </c>
      <c r="K1561" s="15" t="n">
        <f aca="false">AG1561*評分方法!$C$7</f>
        <v>15</v>
      </c>
      <c r="L1561" s="15" t="n">
        <f aca="false">AH1561*評分方法!$C$8</f>
        <v>15</v>
      </c>
      <c r="M1561" s="15" t="n">
        <f aca="false">AI1561*評分方法!$C$9</f>
        <v>10</v>
      </c>
      <c r="N1561" s="15" t="n">
        <f aca="false">AJ1561*評分方法!$C$10</f>
        <v>4.06</v>
      </c>
      <c r="O1561" s="15" t="n">
        <f aca="false">AK1561*評分方法!$C$11</f>
        <v>2.5</v>
      </c>
      <c r="P1561" s="15" t="n">
        <f aca="false">AL1561*評分方法!$C$12</f>
        <v>1.5</v>
      </c>
      <c r="Q1561" s="6" t="n">
        <v>425606</v>
      </c>
      <c r="R1561" s="6" t="n">
        <v>28723986</v>
      </c>
      <c r="S1561" s="11" t="s">
        <v>238</v>
      </c>
      <c r="T1561" s="11" t="s">
        <v>278</v>
      </c>
      <c r="U1561" s="5" t="s">
        <v>240</v>
      </c>
      <c r="V1561" s="11" t="s">
        <v>324</v>
      </c>
      <c r="W1561" s="5" t="s">
        <v>205</v>
      </c>
      <c r="X1561" s="5" t="s">
        <v>255</v>
      </c>
      <c r="Y1561" s="5"/>
      <c r="Z1561" s="5"/>
      <c r="AA1561" s="11" t="s">
        <v>172</v>
      </c>
      <c r="AB1561" s="5" t="s">
        <v>245</v>
      </c>
      <c r="AC1561" s="5"/>
      <c r="AD1561" s="11" t="s">
        <v>3860</v>
      </c>
      <c r="AE1561" s="23" t="n">
        <v>0.35</v>
      </c>
      <c r="AF1561" s="23" t="n">
        <v>0</v>
      </c>
      <c r="AG1561" s="23" t="n">
        <v>1</v>
      </c>
      <c r="AH1561" s="23" t="n">
        <v>1</v>
      </c>
      <c r="AI1561" s="23" t="n">
        <v>1</v>
      </c>
      <c r="AJ1561" s="23" t="n">
        <v>0.406</v>
      </c>
      <c r="AK1561" s="23" t="n">
        <v>0.5</v>
      </c>
      <c r="AL1561" s="23" t="n">
        <v>0.3</v>
      </c>
      <c r="AM1561" s="16" t="n">
        <f aca="false">COUNTIFS($D$2:$D$2501,D1561,$G$2:$G$2501,"&gt;"&amp;G1561)+COUNTIFS($D$2:D1561,D1561,$G$2:G1561,G1561)</f>
        <v>120</v>
      </c>
      <c r="AN1561" s="5" t="str">
        <f aca="false">D1561&amp;"|"&amp;AM1561</f>
        <v>文件與影像辨識|120</v>
      </c>
    </row>
    <row r="1562" customFormat="false" ht="17.15" hidden="false" customHeight="false" outlineLevel="0" collapsed="false">
      <c r="A1562" s="16" t="n">
        <f aca="false">RANK(G1562,$G$2:$G$2501)+COUNTIF($G$2:G1562,G1562)-1</f>
        <v>1561</v>
      </c>
      <c r="B1562" s="11" t="s">
        <v>3861</v>
      </c>
      <c r="C1562" s="11" t="s">
        <v>1438</v>
      </c>
      <c r="D1562" s="5" t="s">
        <v>56</v>
      </c>
      <c r="E1562" s="5" t="s">
        <v>57</v>
      </c>
      <c r="F1562" s="5"/>
      <c r="G1562" s="22" t="n">
        <f aca="false">ROUND(SUM(I1562:P1562),3)</f>
        <v>58.554</v>
      </c>
      <c r="H1562" s="5" t="str">
        <f aca="false">IF(G1562&gt;=評分方法!$C$16,"優先評估",IF(G1562&gt;=評分方法!$C$17,"列入候選",IF(G1562&gt;=評分方法!$C$18,"特定情境","不建議")))</f>
        <v>不建議</v>
      </c>
      <c r="I1562" s="15" t="n">
        <f aca="false">AE1562*評分方法!$C$5</f>
        <v>25.5</v>
      </c>
      <c r="J1562" s="15" t="n">
        <f aca="false">AF1562*評分方法!$C$6</f>
        <v>0</v>
      </c>
      <c r="K1562" s="15" t="n">
        <f aca="false">AG1562*評分方法!$C$7</f>
        <v>10.05</v>
      </c>
      <c r="L1562" s="15" t="n">
        <f aca="false">AH1562*評分方法!$C$8</f>
        <v>9</v>
      </c>
      <c r="M1562" s="15" t="n">
        <f aca="false">AI1562*評分方法!$C$9</f>
        <v>2</v>
      </c>
      <c r="N1562" s="15" t="n">
        <f aca="false">AJ1562*評分方法!$C$10</f>
        <v>6.504</v>
      </c>
      <c r="O1562" s="15" t="n">
        <f aca="false">AK1562*評分方法!$C$11</f>
        <v>2.5</v>
      </c>
      <c r="P1562" s="15" t="n">
        <f aca="false">AL1562*評分方法!$C$12</f>
        <v>3</v>
      </c>
      <c r="Q1562" s="6" t="n">
        <v>757012</v>
      </c>
      <c r="R1562" s="6" t="n">
        <v>27009002240</v>
      </c>
      <c r="S1562" s="11" t="s">
        <v>389</v>
      </c>
      <c r="T1562" s="5"/>
      <c r="U1562" s="5" t="s">
        <v>375</v>
      </c>
      <c r="V1562" s="11" t="s">
        <v>333</v>
      </c>
      <c r="W1562" s="5" t="s">
        <v>207</v>
      </c>
      <c r="X1562" s="5" t="s">
        <v>371</v>
      </c>
      <c r="Y1562" s="11" t="s">
        <v>1344</v>
      </c>
      <c r="Z1562" s="11" t="s">
        <v>244</v>
      </c>
      <c r="AA1562" s="11" t="s">
        <v>155</v>
      </c>
      <c r="AB1562" s="5" t="s">
        <v>245</v>
      </c>
      <c r="AC1562" s="5" t="s">
        <v>464</v>
      </c>
      <c r="AD1562" s="11" t="s">
        <v>3862</v>
      </c>
      <c r="AE1562" s="23" t="n">
        <v>0.85</v>
      </c>
      <c r="AF1562" s="23" t="n">
        <v>0</v>
      </c>
      <c r="AG1562" s="23" t="n">
        <v>0.67</v>
      </c>
      <c r="AH1562" s="23" t="n">
        <v>0.6</v>
      </c>
      <c r="AI1562" s="23" t="n">
        <v>0.2</v>
      </c>
      <c r="AJ1562" s="23" t="n">
        <v>0.6504</v>
      </c>
      <c r="AK1562" s="23" t="n">
        <v>0.5</v>
      </c>
      <c r="AL1562" s="23" t="n">
        <v>0.6</v>
      </c>
      <c r="AM1562" s="16" t="n">
        <f aca="false">COUNTIFS($D$2:$D$2501,D1562,$G$2:$G$2501,"&gt;"&amp;G1562)+COUNTIFS($D$2:D1562,D1562,$G$2:G1562,G1562)</f>
        <v>734</v>
      </c>
      <c r="AN1562" s="5" t="str">
        <f aca="false">D1562&amp;"|"&amp;AM1562</f>
        <v>分析與報告生成|734</v>
      </c>
    </row>
    <row r="1563" customFormat="false" ht="17.15" hidden="false" customHeight="false" outlineLevel="0" collapsed="false">
      <c r="A1563" s="16" t="n">
        <f aca="false">RANK(G1563,$G$2:$G$2501)+COUNTIF($G$2:G1563,G1563)-1</f>
        <v>1562</v>
      </c>
      <c r="B1563" s="11" t="s">
        <v>3863</v>
      </c>
      <c r="C1563" s="11" t="s">
        <v>1438</v>
      </c>
      <c r="D1563" s="5" t="s">
        <v>56</v>
      </c>
      <c r="E1563" s="5" t="s">
        <v>57</v>
      </c>
      <c r="F1563" s="5"/>
      <c r="G1563" s="22" t="n">
        <f aca="false">ROUND(SUM(I1563:P1563),3)</f>
        <v>58.526</v>
      </c>
      <c r="H1563" s="5" t="str">
        <f aca="false">IF(G1563&gt;=評分方法!$C$16,"優先評估",IF(G1563&gt;=評分方法!$C$17,"列入候選",IF(G1563&gt;=評分方法!$C$18,"特定情境","不建議")))</f>
        <v>不建議</v>
      </c>
      <c r="I1563" s="15" t="n">
        <f aca="false">AE1563*評分方法!$C$5</f>
        <v>25.5</v>
      </c>
      <c r="J1563" s="15" t="n">
        <f aca="false">AF1563*評分方法!$C$6</f>
        <v>0</v>
      </c>
      <c r="K1563" s="15" t="n">
        <f aca="false">AG1563*評分方法!$C$7</f>
        <v>10.05</v>
      </c>
      <c r="L1563" s="15" t="n">
        <f aca="false">AH1563*評分方法!$C$8</f>
        <v>9</v>
      </c>
      <c r="M1563" s="15" t="n">
        <f aca="false">AI1563*評分方法!$C$9</f>
        <v>2</v>
      </c>
      <c r="N1563" s="15" t="n">
        <f aca="false">AJ1563*評分方法!$C$10</f>
        <v>6.476</v>
      </c>
      <c r="O1563" s="15" t="n">
        <f aca="false">AK1563*評分方法!$C$11</f>
        <v>2.5</v>
      </c>
      <c r="P1563" s="15" t="n">
        <f aca="false">AL1563*評分方法!$C$12</f>
        <v>3</v>
      </c>
      <c r="Q1563" s="6" t="n">
        <v>745941</v>
      </c>
      <c r="R1563" s="6" t="n">
        <v>32763876352</v>
      </c>
      <c r="S1563" s="11" t="s">
        <v>389</v>
      </c>
      <c r="T1563" s="5"/>
      <c r="U1563" s="5" t="s">
        <v>375</v>
      </c>
      <c r="V1563" s="11" t="s">
        <v>333</v>
      </c>
      <c r="W1563" s="5" t="s">
        <v>207</v>
      </c>
      <c r="X1563" s="5" t="s">
        <v>371</v>
      </c>
      <c r="Y1563" s="11" t="s">
        <v>3864</v>
      </c>
      <c r="Z1563" s="11" t="s">
        <v>244</v>
      </c>
      <c r="AA1563" s="11" t="s">
        <v>155</v>
      </c>
      <c r="AB1563" s="5" t="s">
        <v>245</v>
      </c>
      <c r="AC1563" s="5" t="s">
        <v>464</v>
      </c>
      <c r="AD1563" s="11" t="s">
        <v>3865</v>
      </c>
      <c r="AE1563" s="23" t="n">
        <v>0.85</v>
      </c>
      <c r="AF1563" s="23" t="n">
        <v>0</v>
      </c>
      <c r="AG1563" s="23" t="n">
        <v>0.67</v>
      </c>
      <c r="AH1563" s="23" t="n">
        <v>0.6</v>
      </c>
      <c r="AI1563" s="23" t="n">
        <v>0.2</v>
      </c>
      <c r="AJ1563" s="23" t="n">
        <v>0.6476</v>
      </c>
      <c r="AK1563" s="23" t="n">
        <v>0.5</v>
      </c>
      <c r="AL1563" s="23" t="n">
        <v>0.6</v>
      </c>
      <c r="AM1563" s="16" t="n">
        <f aca="false">COUNTIFS($D$2:$D$2501,D1563,$G$2:$G$2501,"&gt;"&amp;G1563)+COUNTIFS($D$2:D1563,D1563,$G$2:G1563,G1563)</f>
        <v>735</v>
      </c>
      <c r="AN1563" s="5" t="str">
        <f aca="false">D1563&amp;"|"&amp;AM1563</f>
        <v>分析與報告生成|735</v>
      </c>
    </row>
    <row r="1564" customFormat="false" ht="17.15" hidden="false" customHeight="false" outlineLevel="0" collapsed="false">
      <c r="A1564" s="16" t="n">
        <f aca="false">RANK(G1564,$G$2:$G$2501)+COUNTIF($G$2:G1564,G1564)-1</f>
        <v>1563</v>
      </c>
      <c r="B1564" s="11" t="s">
        <v>2771</v>
      </c>
      <c r="C1564" s="11" t="s">
        <v>3794</v>
      </c>
      <c r="D1564" s="5" t="s">
        <v>56</v>
      </c>
      <c r="E1564" s="5" t="s">
        <v>57</v>
      </c>
      <c r="F1564" s="5"/>
      <c r="G1564" s="22" t="n">
        <f aca="false">ROUND(SUM(I1564:P1564),3)</f>
        <v>58.516</v>
      </c>
      <c r="H1564" s="5" t="str">
        <f aca="false">IF(G1564&gt;=評分方法!$C$16,"優先評估",IF(G1564&gt;=評分方法!$C$17,"列入候選",IF(G1564&gt;=評分方法!$C$18,"特定情境","不建議")))</f>
        <v>不建議</v>
      </c>
      <c r="I1564" s="15" t="n">
        <f aca="false">AE1564*評分方法!$C$5</f>
        <v>25.5</v>
      </c>
      <c r="J1564" s="15" t="n">
        <f aca="false">AF1564*評分方法!$C$6</f>
        <v>0</v>
      </c>
      <c r="K1564" s="15" t="n">
        <f aca="false">AG1564*評分方法!$C$7</f>
        <v>4.95</v>
      </c>
      <c r="L1564" s="15" t="n">
        <f aca="false">AH1564*評分方法!$C$8</f>
        <v>1.95</v>
      </c>
      <c r="M1564" s="15" t="n">
        <f aca="false">AI1564*評分方法!$C$9</f>
        <v>10</v>
      </c>
      <c r="N1564" s="15" t="n">
        <f aca="false">AJ1564*評分方法!$C$10</f>
        <v>8.116</v>
      </c>
      <c r="O1564" s="15" t="n">
        <f aca="false">AK1564*評分方法!$C$11</f>
        <v>5</v>
      </c>
      <c r="P1564" s="15" t="n">
        <f aca="false">AL1564*評分方法!$C$12</f>
        <v>3</v>
      </c>
      <c r="Q1564" s="6" t="n">
        <v>1725399</v>
      </c>
      <c r="R1564" s="6" t="n">
        <v>265956439090</v>
      </c>
      <c r="S1564" s="11" t="s">
        <v>1616</v>
      </c>
      <c r="T1564" s="11" t="s">
        <v>239</v>
      </c>
      <c r="U1564" s="5" t="s">
        <v>240</v>
      </c>
      <c r="V1564" s="11" t="s">
        <v>261</v>
      </c>
      <c r="W1564" s="5" t="s">
        <v>334</v>
      </c>
      <c r="X1564" s="5" t="s">
        <v>371</v>
      </c>
      <c r="Y1564" s="5"/>
      <c r="Z1564" s="5"/>
      <c r="AA1564" s="11" t="s">
        <v>156</v>
      </c>
      <c r="AB1564" s="5" t="s">
        <v>245</v>
      </c>
      <c r="AC1564" s="5"/>
      <c r="AD1564" s="11" t="s">
        <v>3866</v>
      </c>
      <c r="AE1564" s="23" t="n">
        <v>0.85</v>
      </c>
      <c r="AF1564" s="23" t="n">
        <v>0</v>
      </c>
      <c r="AG1564" s="23" t="n">
        <v>0.33</v>
      </c>
      <c r="AH1564" s="23" t="n">
        <v>0.13</v>
      </c>
      <c r="AI1564" s="23" t="n">
        <v>1</v>
      </c>
      <c r="AJ1564" s="23" t="n">
        <v>0.8116</v>
      </c>
      <c r="AK1564" s="23" t="n">
        <v>1</v>
      </c>
      <c r="AL1564" s="23" t="n">
        <v>0.6</v>
      </c>
      <c r="AM1564" s="16" t="n">
        <f aca="false">COUNTIFS($D$2:$D$2501,D1564,$G$2:$G$2501,"&gt;"&amp;G1564)+COUNTIFS($D$2:D1564,D1564,$G$2:G1564,G1564)</f>
        <v>736</v>
      </c>
      <c r="AN1564" s="5" t="str">
        <f aca="false">D1564&amp;"|"&amp;AM1564</f>
        <v>分析與報告生成|736</v>
      </c>
    </row>
    <row r="1565" customFormat="false" ht="17.15" hidden="false" customHeight="false" outlineLevel="0" collapsed="false">
      <c r="A1565" s="16" t="n">
        <f aca="false">RANK(G1565,$G$2:$G$2501)+COUNTIF($G$2:G1565,G1565)-1</f>
        <v>1564</v>
      </c>
      <c r="B1565" s="11" t="s">
        <v>3867</v>
      </c>
      <c r="C1565" s="11" t="s">
        <v>1374</v>
      </c>
      <c r="D1565" s="5" t="s">
        <v>56</v>
      </c>
      <c r="E1565" s="5" t="s">
        <v>57</v>
      </c>
      <c r="F1565" s="5"/>
      <c r="G1565" s="22" t="n">
        <f aca="false">ROUND(SUM(I1565:P1565),3)</f>
        <v>58.516</v>
      </c>
      <c r="H1565" s="5" t="str">
        <f aca="false">IF(G1565&gt;=評分方法!$C$16,"優先評估",IF(G1565&gt;=評分方法!$C$17,"列入候選",IF(G1565&gt;=評分方法!$C$18,"特定情境","不建議")))</f>
        <v>不建議</v>
      </c>
      <c r="I1565" s="15" t="n">
        <f aca="false">AE1565*評分方法!$C$5</f>
        <v>25.5</v>
      </c>
      <c r="J1565" s="15" t="n">
        <f aca="false">AF1565*評分方法!$C$6</f>
        <v>0</v>
      </c>
      <c r="K1565" s="15" t="n">
        <f aca="false">AG1565*評分方法!$C$7</f>
        <v>10.05</v>
      </c>
      <c r="L1565" s="15" t="n">
        <f aca="false">AH1565*評分方法!$C$8</f>
        <v>13.05</v>
      </c>
      <c r="M1565" s="15" t="n">
        <f aca="false">AI1565*評分方法!$C$9</f>
        <v>6</v>
      </c>
      <c r="N1565" s="15" t="n">
        <f aca="false">AJ1565*評分方法!$C$10</f>
        <v>1.416</v>
      </c>
      <c r="O1565" s="15" t="n">
        <f aca="false">AK1565*評分方法!$C$11</f>
        <v>2.5</v>
      </c>
      <c r="P1565" s="15" t="n">
        <f aca="false">AL1565*評分方法!$C$12</f>
        <v>0</v>
      </c>
      <c r="Q1565" s="6" t="n">
        <v>174629</v>
      </c>
      <c r="R1565" s="6" t="n">
        <v>3212749824</v>
      </c>
      <c r="S1565" s="11" t="s">
        <v>254</v>
      </c>
      <c r="T1565" s="11" t="s">
        <v>1044</v>
      </c>
      <c r="U1565" s="5" t="s">
        <v>260</v>
      </c>
      <c r="V1565" s="11" t="s">
        <v>261</v>
      </c>
      <c r="W1565" s="5" t="s">
        <v>207</v>
      </c>
      <c r="X1565" s="5" t="s">
        <v>242</v>
      </c>
      <c r="Y1565" s="11" t="s">
        <v>3868</v>
      </c>
      <c r="Z1565" s="11" t="s">
        <v>244</v>
      </c>
      <c r="AA1565" s="11" t="s">
        <v>155</v>
      </c>
      <c r="AB1565" s="5" t="s">
        <v>245</v>
      </c>
      <c r="AC1565" s="5" t="s">
        <v>464</v>
      </c>
      <c r="AD1565" s="11" t="s">
        <v>3869</v>
      </c>
      <c r="AE1565" s="23" t="n">
        <v>0.85</v>
      </c>
      <c r="AF1565" s="23" t="n">
        <v>0</v>
      </c>
      <c r="AG1565" s="23" t="n">
        <v>0.67</v>
      </c>
      <c r="AH1565" s="23" t="n">
        <v>0.87</v>
      </c>
      <c r="AI1565" s="23" t="n">
        <v>0.6</v>
      </c>
      <c r="AJ1565" s="23" t="n">
        <v>0.1416</v>
      </c>
      <c r="AK1565" s="23" t="n">
        <v>0.5</v>
      </c>
      <c r="AL1565" s="23" t="n">
        <v>0</v>
      </c>
      <c r="AM1565" s="16" t="n">
        <f aca="false">COUNTIFS($D$2:$D$2501,D1565,$G$2:$G$2501,"&gt;"&amp;G1565)+COUNTIFS($D$2:D1565,D1565,$G$2:G1565,G1565)</f>
        <v>737</v>
      </c>
      <c r="AN1565" s="5" t="str">
        <f aca="false">D1565&amp;"|"&amp;AM1565</f>
        <v>分析與報告生成|737</v>
      </c>
    </row>
    <row r="1566" customFormat="false" ht="17.15" hidden="false" customHeight="false" outlineLevel="0" collapsed="false">
      <c r="A1566" s="16" t="n">
        <f aca="false">RANK(G1566,$G$2:$G$2501)+COUNTIF($G$2:G1566,G1566)-1</f>
        <v>1565</v>
      </c>
      <c r="B1566" s="11" t="s">
        <v>3870</v>
      </c>
      <c r="C1566" s="11" t="s">
        <v>2693</v>
      </c>
      <c r="D1566" s="5" t="s">
        <v>74</v>
      </c>
      <c r="E1566" s="5" t="s">
        <v>75</v>
      </c>
      <c r="F1566" s="5"/>
      <c r="G1566" s="22" t="n">
        <f aca="false">ROUND(SUM(I1566:P1566),3)</f>
        <v>58.512</v>
      </c>
      <c r="H1566" s="5" t="str">
        <f aca="false">IF(G1566&gt;=評分方法!$C$16,"優先評估",IF(G1566&gt;=評分方法!$C$17,"列入候選",IF(G1566&gt;=評分方法!$C$18,"特定情境","不建議")))</f>
        <v>不建議</v>
      </c>
      <c r="I1566" s="15" t="n">
        <f aca="false">AE1566*評分方法!$C$5</f>
        <v>10.5</v>
      </c>
      <c r="J1566" s="15" t="n">
        <f aca="false">AF1566*評分方法!$C$6</f>
        <v>0</v>
      </c>
      <c r="K1566" s="15" t="n">
        <f aca="false">AG1566*評分方法!$C$7</f>
        <v>15</v>
      </c>
      <c r="L1566" s="15" t="n">
        <f aca="false">AH1566*評分方法!$C$8</f>
        <v>15</v>
      </c>
      <c r="M1566" s="15" t="n">
        <f aca="false">AI1566*評分方法!$C$9</f>
        <v>10</v>
      </c>
      <c r="N1566" s="15" t="n">
        <f aca="false">AJ1566*評分方法!$C$10</f>
        <v>4.012</v>
      </c>
      <c r="O1566" s="15" t="n">
        <f aca="false">AK1566*評分方法!$C$11</f>
        <v>2.5</v>
      </c>
      <c r="P1566" s="15" t="n">
        <f aca="false">AL1566*評分方法!$C$12</f>
        <v>1.5</v>
      </c>
      <c r="Q1566" s="6" t="n">
        <v>418533</v>
      </c>
      <c r="R1566" s="6" t="n">
        <v>19466816</v>
      </c>
      <c r="S1566" s="11" t="s">
        <v>238</v>
      </c>
      <c r="T1566" s="11" t="s">
        <v>239</v>
      </c>
      <c r="U1566" s="5" t="s">
        <v>240</v>
      </c>
      <c r="V1566" s="11" t="s">
        <v>324</v>
      </c>
      <c r="W1566" s="5" t="s">
        <v>205</v>
      </c>
      <c r="X1566" s="5" t="s">
        <v>255</v>
      </c>
      <c r="Y1566" s="5"/>
      <c r="Z1566" s="5"/>
      <c r="AA1566" s="11" t="s">
        <v>172</v>
      </c>
      <c r="AB1566" s="5" t="s">
        <v>245</v>
      </c>
      <c r="AC1566" s="5"/>
      <c r="AD1566" s="11" t="s">
        <v>3871</v>
      </c>
      <c r="AE1566" s="23" t="n">
        <v>0.35</v>
      </c>
      <c r="AF1566" s="23" t="n">
        <v>0</v>
      </c>
      <c r="AG1566" s="23" t="n">
        <v>1</v>
      </c>
      <c r="AH1566" s="23" t="n">
        <v>1</v>
      </c>
      <c r="AI1566" s="23" t="n">
        <v>1</v>
      </c>
      <c r="AJ1566" s="23" t="n">
        <v>0.4012</v>
      </c>
      <c r="AK1566" s="23" t="n">
        <v>0.5</v>
      </c>
      <c r="AL1566" s="23" t="n">
        <v>0.3</v>
      </c>
      <c r="AM1566" s="16" t="n">
        <f aca="false">COUNTIFS($D$2:$D$2501,D1566,$G$2:$G$2501,"&gt;"&amp;G1566)+COUNTIFS($D$2:D1566,D1566,$G$2:G1566,G1566)</f>
        <v>121</v>
      </c>
      <c r="AN1566" s="5" t="str">
        <f aca="false">D1566&amp;"|"&amp;AM1566</f>
        <v>文件與影像辨識|121</v>
      </c>
    </row>
    <row r="1567" customFormat="false" ht="17.15" hidden="false" customHeight="false" outlineLevel="0" collapsed="false">
      <c r="A1567" s="16" t="n">
        <f aca="false">RANK(G1567,$G$2:$G$2501)+COUNTIF($G$2:G1567,G1567)-1</f>
        <v>1566</v>
      </c>
      <c r="B1567" s="11" t="s">
        <v>3872</v>
      </c>
      <c r="C1567" s="11" t="s">
        <v>3162</v>
      </c>
      <c r="D1567" s="5" t="s">
        <v>56</v>
      </c>
      <c r="E1567" s="5" t="s">
        <v>57</v>
      </c>
      <c r="F1567" s="5"/>
      <c r="G1567" s="22" t="n">
        <f aca="false">ROUND(SUM(I1567:P1567),3)</f>
        <v>58.496</v>
      </c>
      <c r="H1567" s="5" t="str">
        <f aca="false">IF(G1567&gt;=評分方法!$C$16,"優先評估",IF(G1567&gt;=評分方法!$C$17,"列入候選",IF(G1567&gt;=評分方法!$C$18,"特定情境","不建議")))</f>
        <v>不建議</v>
      </c>
      <c r="I1567" s="15" t="n">
        <f aca="false">AE1567*評分方法!$C$5</f>
        <v>25.5</v>
      </c>
      <c r="J1567" s="15" t="n">
        <f aca="false">AF1567*評分方法!$C$6</f>
        <v>0</v>
      </c>
      <c r="K1567" s="15" t="n">
        <f aca="false">AG1567*評分方法!$C$7</f>
        <v>4.95</v>
      </c>
      <c r="L1567" s="15" t="n">
        <f aca="false">AH1567*評分方法!$C$8</f>
        <v>13.05</v>
      </c>
      <c r="M1567" s="15" t="n">
        <f aca="false">AI1567*評分方法!$C$9</f>
        <v>10</v>
      </c>
      <c r="N1567" s="15" t="n">
        <f aca="false">AJ1567*評分方法!$C$10</f>
        <v>0.996</v>
      </c>
      <c r="O1567" s="15" t="n">
        <f aca="false">AK1567*評分方法!$C$11</f>
        <v>4</v>
      </c>
      <c r="P1567" s="15" t="n">
        <f aca="false">AL1567*評分方法!$C$12</f>
        <v>0</v>
      </c>
      <c r="Q1567" s="6" t="n">
        <v>153375</v>
      </c>
      <c r="R1567" s="6" t="n">
        <v>8590200832</v>
      </c>
      <c r="S1567" s="11" t="s">
        <v>254</v>
      </c>
      <c r="T1567" s="11" t="s">
        <v>239</v>
      </c>
      <c r="U1567" s="5" t="s">
        <v>240</v>
      </c>
      <c r="V1567" s="11" t="s">
        <v>261</v>
      </c>
      <c r="W1567" s="5" t="s">
        <v>334</v>
      </c>
      <c r="X1567" s="5" t="s">
        <v>242</v>
      </c>
      <c r="Y1567" s="5"/>
      <c r="Z1567" s="5"/>
      <c r="AA1567" s="11" t="s">
        <v>155</v>
      </c>
      <c r="AB1567" s="5" t="s">
        <v>245</v>
      </c>
      <c r="AC1567" s="5"/>
      <c r="AD1567" s="11" t="s">
        <v>3873</v>
      </c>
      <c r="AE1567" s="23" t="n">
        <v>0.85</v>
      </c>
      <c r="AF1567" s="23" t="n">
        <v>0</v>
      </c>
      <c r="AG1567" s="23" t="n">
        <v>0.33</v>
      </c>
      <c r="AH1567" s="23" t="n">
        <v>0.87</v>
      </c>
      <c r="AI1567" s="23" t="n">
        <v>1</v>
      </c>
      <c r="AJ1567" s="23" t="n">
        <v>0.0996</v>
      </c>
      <c r="AK1567" s="23" t="n">
        <v>0.8</v>
      </c>
      <c r="AL1567" s="23" t="n">
        <v>0</v>
      </c>
      <c r="AM1567" s="16" t="n">
        <f aca="false">COUNTIFS($D$2:$D$2501,D1567,$G$2:$G$2501,"&gt;"&amp;G1567)+COUNTIFS($D$2:D1567,D1567,$G$2:G1567,G1567)</f>
        <v>738</v>
      </c>
      <c r="AN1567" s="5" t="str">
        <f aca="false">D1567&amp;"|"&amp;AM1567</f>
        <v>分析與報告生成|738</v>
      </c>
    </row>
    <row r="1568" customFormat="false" ht="17.15" hidden="false" customHeight="false" outlineLevel="0" collapsed="false">
      <c r="A1568" s="16" t="n">
        <f aca="false">RANK(G1568,$G$2:$G$2501)+COUNTIF($G$2:G1568,G1568)-1</f>
        <v>1567</v>
      </c>
      <c r="B1568" s="11" t="s">
        <v>3874</v>
      </c>
      <c r="C1568" s="11" t="s">
        <v>1438</v>
      </c>
      <c r="D1568" s="5" t="s">
        <v>56</v>
      </c>
      <c r="E1568" s="5" t="s">
        <v>57</v>
      </c>
      <c r="F1568" s="5"/>
      <c r="G1568" s="22" t="n">
        <f aca="false">ROUND(SUM(I1568:P1568),3)</f>
        <v>58.496</v>
      </c>
      <c r="H1568" s="5" t="str">
        <f aca="false">IF(G1568&gt;=評分方法!$C$16,"優先評估",IF(G1568&gt;=評分方法!$C$17,"列入候選",IF(G1568&gt;=評分方法!$C$18,"特定情境","不建議")))</f>
        <v>不建議</v>
      </c>
      <c r="I1568" s="15" t="n">
        <f aca="false">AE1568*評分方法!$C$5</f>
        <v>25.5</v>
      </c>
      <c r="J1568" s="15" t="n">
        <f aca="false">AF1568*評分方法!$C$6</f>
        <v>0</v>
      </c>
      <c r="K1568" s="15" t="n">
        <f aca="false">AG1568*評分方法!$C$7</f>
        <v>10.05</v>
      </c>
      <c r="L1568" s="15" t="n">
        <f aca="false">AH1568*評分方法!$C$8</f>
        <v>13.05</v>
      </c>
      <c r="M1568" s="15" t="n">
        <f aca="false">AI1568*評分方法!$C$9</f>
        <v>2</v>
      </c>
      <c r="N1568" s="15" t="n">
        <f aca="false">AJ1568*評分方法!$C$10</f>
        <v>6.896</v>
      </c>
      <c r="O1568" s="15" t="n">
        <f aca="false">AK1568*評分方法!$C$11</f>
        <v>1</v>
      </c>
      <c r="P1568" s="15" t="n">
        <f aca="false">AL1568*評分方法!$C$12</f>
        <v>0</v>
      </c>
      <c r="Q1568" s="6" t="n">
        <v>876101</v>
      </c>
      <c r="R1568" s="6" t="n">
        <v>8030261248</v>
      </c>
      <c r="S1568" s="11" t="s">
        <v>254</v>
      </c>
      <c r="T1568" s="5"/>
      <c r="U1568" s="5" t="s">
        <v>375</v>
      </c>
      <c r="V1568" s="11" t="s">
        <v>333</v>
      </c>
      <c r="W1568" s="5" t="s">
        <v>207</v>
      </c>
      <c r="X1568" s="5" t="s">
        <v>242</v>
      </c>
      <c r="Y1568" s="11" t="s">
        <v>1176</v>
      </c>
      <c r="Z1568" s="11" t="s">
        <v>244</v>
      </c>
      <c r="AA1568" s="11" t="s">
        <v>155</v>
      </c>
      <c r="AB1568" s="5" t="s">
        <v>245</v>
      </c>
      <c r="AC1568" s="5" t="s">
        <v>464</v>
      </c>
      <c r="AD1568" s="11" t="s">
        <v>3875</v>
      </c>
      <c r="AE1568" s="23" t="n">
        <v>0.85</v>
      </c>
      <c r="AF1568" s="23" t="n">
        <v>0</v>
      </c>
      <c r="AG1568" s="23" t="n">
        <v>0.67</v>
      </c>
      <c r="AH1568" s="23" t="n">
        <v>0.87</v>
      </c>
      <c r="AI1568" s="23" t="n">
        <v>0.2</v>
      </c>
      <c r="AJ1568" s="23" t="n">
        <v>0.6896</v>
      </c>
      <c r="AK1568" s="23" t="n">
        <v>0.2</v>
      </c>
      <c r="AL1568" s="23" t="n">
        <v>0</v>
      </c>
      <c r="AM1568" s="16" t="n">
        <f aca="false">COUNTIFS($D$2:$D$2501,D1568,$G$2:$G$2501,"&gt;"&amp;G1568)+COUNTIFS($D$2:D1568,D1568,$G$2:G1568,G1568)</f>
        <v>739</v>
      </c>
      <c r="AN1568" s="5" t="str">
        <f aca="false">D1568&amp;"|"&amp;AM1568</f>
        <v>分析與報告生成|739</v>
      </c>
    </row>
    <row r="1569" customFormat="false" ht="17.15" hidden="false" customHeight="false" outlineLevel="0" collapsed="false">
      <c r="A1569" s="16" t="n">
        <f aca="false">RANK(G1569,$G$2:$G$2501)+COUNTIF($G$2:G1569,G1569)-1</f>
        <v>1568</v>
      </c>
      <c r="B1569" s="11" t="s">
        <v>3876</v>
      </c>
      <c r="C1569" s="11" t="s">
        <v>3857</v>
      </c>
      <c r="D1569" s="5" t="s">
        <v>56</v>
      </c>
      <c r="E1569" s="5" t="s">
        <v>57</v>
      </c>
      <c r="F1569" s="5"/>
      <c r="G1569" s="22" t="n">
        <f aca="false">ROUND(SUM(I1569:P1569),3)</f>
        <v>58.48</v>
      </c>
      <c r="H1569" s="5" t="str">
        <f aca="false">IF(G1569&gt;=評分方法!$C$16,"優先評估",IF(G1569&gt;=評分方法!$C$17,"列入候選",IF(G1569&gt;=評分方法!$C$18,"特定情境","不建議")))</f>
        <v>不建議</v>
      </c>
      <c r="I1569" s="15" t="n">
        <f aca="false">AE1569*評分方法!$C$5</f>
        <v>25.5</v>
      </c>
      <c r="J1569" s="15" t="n">
        <f aca="false">AF1569*評分方法!$C$6</f>
        <v>0</v>
      </c>
      <c r="K1569" s="15" t="n">
        <f aca="false">AG1569*評分方法!$C$7</f>
        <v>4.95</v>
      </c>
      <c r="L1569" s="15" t="n">
        <f aca="false">AH1569*評分方法!$C$8</f>
        <v>13.05</v>
      </c>
      <c r="M1569" s="15" t="n">
        <f aca="false">AI1569*評分方法!$C$9</f>
        <v>6</v>
      </c>
      <c r="N1569" s="15" t="n">
        <f aca="false">AJ1569*評分方法!$C$10</f>
        <v>7.98</v>
      </c>
      <c r="O1569" s="15" t="n">
        <f aca="false">AK1569*評分方法!$C$11</f>
        <v>1</v>
      </c>
      <c r="P1569" s="15" t="n">
        <f aca="false">AL1569*評分方法!$C$12</f>
        <v>0</v>
      </c>
      <c r="Q1569" s="6" t="n">
        <v>1534316</v>
      </c>
      <c r="R1569" s="6" t="n">
        <v>9241705984</v>
      </c>
      <c r="S1569" s="11" t="s">
        <v>254</v>
      </c>
      <c r="T1569" s="11" t="s">
        <v>658</v>
      </c>
      <c r="U1569" s="5" t="s">
        <v>260</v>
      </c>
      <c r="V1569" s="11" t="s">
        <v>261</v>
      </c>
      <c r="W1569" s="5" t="s">
        <v>334</v>
      </c>
      <c r="X1569" s="5" t="s">
        <v>242</v>
      </c>
      <c r="Y1569" s="11" t="s">
        <v>1083</v>
      </c>
      <c r="Z1569" s="11" t="s">
        <v>244</v>
      </c>
      <c r="AA1569" s="11" t="s">
        <v>155</v>
      </c>
      <c r="AB1569" s="5" t="s">
        <v>245</v>
      </c>
      <c r="AC1569" s="5" t="s">
        <v>464</v>
      </c>
      <c r="AD1569" s="11" t="s">
        <v>3877</v>
      </c>
      <c r="AE1569" s="23" t="n">
        <v>0.85</v>
      </c>
      <c r="AF1569" s="23" t="n">
        <v>0</v>
      </c>
      <c r="AG1569" s="23" t="n">
        <v>0.33</v>
      </c>
      <c r="AH1569" s="23" t="n">
        <v>0.87</v>
      </c>
      <c r="AI1569" s="23" t="n">
        <v>0.6</v>
      </c>
      <c r="AJ1569" s="23" t="n">
        <v>0.798</v>
      </c>
      <c r="AK1569" s="23" t="n">
        <v>0.2</v>
      </c>
      <c r="AL1569" s="23" t="n">
        <v>0</v>
      </c>
      <c r="AM1569" s="16" t="n">
        <f aca="false">COUNTIFS($D$2:$D$2501,D1569,$G$2:$G$2501,"&gt;"&amp;G1569)+COUNTIFS($D$2:D1569,D1569,$G$2:G1569,G1569)</f>
        <v>740</v>
      </c>
      <c r="AN1569" s="5" t="str">
        <f aca="false">D1569&amp;"|"&amp;AM1569</f>
        <v>分析與報告生成|740</v>
      </c>
    </row>
    <row r="1570" customFormat="false" ht="17.15" hidden="false" customHeight="false" outlineLevel="0" collapsed="false">
      <c r="A1570" s="16" t="n">
        <f aca="false">RANK(G1570,$G$2:$G$2501)+COUNTIF($G$2:G1570,G1570)-1</f>
        <v>1569</v>
      </c>
      <c r="B1570" s="11" t="s">
        <v>3878</v>
      </c>
      <c r="C1570" s="11" t="s">
        <v>2693</v>
      </c>
      <c r="D1570" s="5" t="s">
        <v>74</v>
      </c>
      <c r="E1570" s="5" t="s">
        <v>75</v>
      </c>
      <c r="F1570" s="5"/>
      <c r="G1570" s="22" t="n">
        <f aca="false">ROUND(SUM(I1570:P1570),3)</f>
        <v>58.456</v>
      </c>
      <c r="H1570" s="5" t="str">
        <f aca="false">IF(G1570&gt;=評分方法!$C$16,"優先評估",IF(G1570&gt;=評分方法!$C$17,"列入候選",IF(G1570&gt;=評分方法!$C$18,"特定情境","不建議")))</f>
        <v>不建議</v>
      </c>
      <c r="I1570" s="15" t="n">
        <f aca="false">AE1570*評分方法!$C$5</f>
        <v>10.5</v>
      </c>
      <c r="J1570" s="15" t="n">
        <f aca="false">AF1570*評分方法!$C$6</f>
        <v>0</v>
      </c>
      <c r="K1570" s="15" t="n">
        <f aca="false">AG1570*評分方法!$C$7</f>
        <v>15</v>
      </c>
      <c r="L1570" s="15" t="n">
        <f aca="false">AH1570*評分方法!$C$8</f>
        <v>15</v>
      </c>
      <c r="M1570" s="15" t="n">
        <f aca="false">AI1570*評分方法!$C$9</f>
        <v>10</v>
      </c>
      <c r="N1570" s="15" t="n">
        <f aca="false">AJ1570*評分方法!$C$10</f>
        <v>3.956</v>
      </c>
      <c r="O1570" s="15" t="n">
        <f aca="false">AK1570*評分方法!$C$11</f>
        <v>2.5</v>
      </c>
      <c r="P1570" s="15" t="n">
        <f aca="false">AL1570*評分方法!$C$12</f>
        <v>1.5</v>
      </c>
      <c r="Q1570" s="6" t="n">
        <v>411188</v>
      </c>
      <c r="R1570" s="6" t="n">
        <v>21834056</v>
      </c>
      <c r="S1570" s="11" t="s">
        <v>238</v>
      </c>
      <c r="T1570" s="11" t="s">
        <v>239</v>
      </c>
      <c r="U1570" s="5" t="s">
        <v>240</v>
      </c>
      <c r="V1570" s="11" t="s">
        <v>324</v>
      </c>
      <c r="W1570" s="5" t="s">
        <v>205</v>
      </c>
      <c r="X1570" s="5" t="s">
        <v>255</v>
      </c>
      <c r="Y1570" s="5"/>
      <c r="Z1570" s="5"/>
      <c r="AA1570" s="11" t="s">
        <v>172</v>
      </c>
      <c r="AB1570" s="5" t="s">
        <v>245</v>
      </c>
      <c r="AC1570" s="5"/>
      <c r="AD1570" s="11" t="s">
        <v>3879</v>
      </c>
      <c r="AE1570" s="23" t="n">
        <v>0.35</v>
      </c>
      <c r="AF1570" s="23" t="n">
        <v>0</v>
      </c>
      <c r="AG1570" s="23" t="n">
        <v>1</v>
      </c>
      <c r="AH1570" s="23" t="n">
        <v>1</v>
      </c>
      <c r="AI1570" s="23" t="n">
        <v>1</v>
      </c>
      <c r="AJ1570" s="23" t="n">
        <v>0.3956</v>
      </c>
      <c r="AK1570" s="23" t="n">
        <v>0.5</v>
      </c>
      <c r="AL1570" s="23" t="n">
        <v>0.3</v>
      </c>
      <c r="AM1570" s="16" t="n">
        <f aca="false">COUNTIFS($D$2:$D$2501,D1570,$G$2:$G$2501,"&gt;"&amp;G1570)+COUNTIFS($D$2:D1570,D1570,$G$2:G1570,G1570)</f>
        <v>122</v>
      </c>
      <c r="AN1570" s="5" t="str">
        <f aca="false">D1570&amp;"|"&amp;AM1570</f>
        <v>文件與影像辨識|122</v>
      </c>
    </row>
    <row r="1571" customFormat="false" ht="17.15" hidden="false" customHeight="false" outlineLevel="0" collapsed="false">
      <c r="A1571" s="16" t="n">
        <f aca="false">RANK(G1571,$G$2:$G$2501)+COUNTIF($G$2:G1571,G1571)-1</f>
        <v>1570</v>
      </c>
      <c r="B1571" s="11" t="s">
        <v>3880</v>
      </c>
      <c r="C1571" s="11" t="s">
        <v>3881</v>
      </c>
      <c r="D1571" s="5" t="s">
        <v>56</v>
      </c>
      <c r="E1571" s="5" t="s">
        <v>57</v>
      </c>
      <c r="F1571" s="5"/>
      <c r="G1571" s="22" t="n">
        <f aca="false">ROUND(SUM(I1571:P1571),3)</f>
        <v>58.456</v>
      </c>
      <c r="H1571" s="5" t="str">
        <f aca="false">IF(G1571&gt;=評分方法!$C$16,"優先評估",IF(G1571&gt;=評分方法!$C$17,"列入候選",IF(G1571&gt;=評分方法!$C$18,"特定情境","不建議")))</f>
        <v>不建議</v>
      </c>
      <c r="I1571" s="15" t="n">
        <f aca="false">AE1571*評分方法!$C$5</f>
        <v>25.5</v>
      </c>
      <c r="J1571" s="15" t="n">
        <f aca="false">AF1571*評分方法!$C$6</f>
        <v>0</v>
      </c>
      <c r="K1571" s="15" t="n">
        <f aca="false">AG1571*評分方法!$C$7</f>
        <v>4.95</v>
      </c>
      <c r="L1571" s="15" t="n">
        <f aca="false">AH1571*評分方法!$C$8</f>
        <v>13.05</v>
      </c>
      <c r="M1571" s="15" t="n">
        <f aca="false">AI1571*評分方法!$C$9</f>
        <v>6</v>
      </c>
      <c r="N1571" s="15" t="n">
        <f aca="false">AJ1571*評分方法!$C$10</f>
        <v>1.456</v>
      </c>
      <c r="O1571" s="15" t="n">
        <f aca="false">AK1571*評分方法!$C$11</f>
        <v>2.5</v>
      </c>
      <c r="P1571" s="15" t="n">
        <f aca="false">AL1571*評分方法!$C$12</f>
        <v>5</v>
      </c>
      <c r="Q1571" s="6" t="n">
        <v>176158</v>
      </c>
      <c r="R1571" s="6" t="n">
        <v>8030277632</v>
      </c>
      <c r="S1571" s="11" t="s">
        <v>254</v>
      </c>
      <c r="T1571" s="11" t="s">
        <v>1177</v>
      </c>
      <c r="U1571" s="5" t="s">
        <v>260</v>
      </c>
      <c r="V1571" s="11" t="s">
        <v>261</v>
      </c>
      <c r="W1571" s="5" t="s">
        <v>334</v>
      </c>
      <c r="X1571" s="5" t="s">
        <v>284</v>
      </c>
      <c r="Y1571" s="11" t="s">
        <v>3742</v>
      </c>
      <c r="Z1571" s="11" t="s">
        <v>270</v>
      </c>
      <c r="AA1571" s="11" t="s">
        <v>155</v>
      </c>
      <c r="AB1571" s="5" t="s">
        <v>245</v>
      </c>
      <c r="AC1571" s="5" t="s">
        <v>262</v>
      </c>
      <c r="AD1571" s="11" t="s">
        <v>3882</v>
      </c>
      <c r="AE1571" s="23" t="n">
        <v>0.85</v>
      </c>
      <c r="AF1571" s="23" t="n">
        <v>0</v>
      </c>
      <c r="AG1571" s="23" t="n">
        <v>0.33</v>
      </c>
      <c r="AH1571" s="23" t="n">
        <v>0.87</v>
      </c>
      <c r="AI1571" s="23" t="n">
        <v>0.6</v>
      </c>
      <c r="AJ1571" s="23" t="n">
        <v>0.1456</v>
      </c>
      <c r="AK1571" s="23" t="n">
        <v>0.5</v>
      </c>
      <c r="AL1571" s="23" t="n">
        <v>1</v>
      </c>
      <c r="AM1571" s="16" t="n">
        <f aca="false">COUNTIFS($D$2:$D$2501,D1571,$G$2:$G$2501,"&gt;"&amp;G1571)+COUNTIFS($D$2:D1571,D1571,$G$2:G1571,G1571)</f>
        <v>741</v>
      </c>
      <c r="AN1571" s="5" t="str">
        <f aca="false">D1571&amp;"|"&amp;AM1571</f>
        <v>分析與報告生成|741</v>
      </c>
    </row>
    <row r="1572" customFormat="false" ht="17.15" hidden="false" customHeight="false" outlineLevel="0" collapsed="false">
      <c r="A1572" s="16" t="n">
        <f aca="false">RANK(G1572,$G$2:$G$2501)+COUNTIF($G$2:G1572,G1572)-1</f>
        <v>1571</v>
      </c>
      <c r="B1572" s="11" t="s">
        <v>3883</v>
      </c>
      <c r="C1572" s="11" t="s">
        <v>3884</v>
      </c>
      <c r="D1572" s="5" t="s">
        <v>56</v>
      </c>
      <c r="E1572" s="5" t="s">
        <v>57</v>
      </c>
      <c r="F1572" s="5"/>
      <c r="G1572" s="22" t="n">
        <f aca="false">ROUND(SUM(I1572:P1572),3)</f>
        <v>58.446</v>
      </c>
      <c r="H1572" s="5" t="str">
        <f aca="false">IF(G1572&gt;=評分方法!$C$16,"優先評估",IF(G1572&gt;=評分方法!$C$17,"列入候選",IF(G1572&gt;=評分方法!$C$18,"特定情境","不建議")))</f>
        <v>不建議</v>
      </c>
      <c r="I1572" s="15" t="n">
        <f aca="false">AE1572*評分方法!$C$5</f>
        <v>25.5</v>
      </c>
      <c r="J1572" s="15" t="n">
        <f aca="false">AF1572*評分方法!$C$6</f>
        <v>0</v>
      </c>
      <c r="K1572" s="15" t="n">
        <f aca="false">AG1572*評分方法!$C$7</f>
        <v>4.95</v>
      </c>
      <c r="L1572" s="15" t="n">
        <f aca="false">AH1572*評分方法!$C$8</f>
        <v>9</v>
      </c>
      <c r="M1572" s="15" t="n">
        <f aca="false">AI1572*評分方法!$C$9</f>
        <v>6</v>
      </c>
      <c r="N1572" s="15" t="n">
        <f aca="false">AJ1572*評分方法!$C$10</f>
        <v>7.996</v>
      </c>
      <c r="O1572" s="15" t="n">
        <f aca="false">AK1572*評分方法!$C$11</f>
        <v>5</v>
      </c>
      <c r="P1572" s="15" t="n">
        <f aca="false">AL1572*評分方法!$C$12</f>
        <v>0</v>
      </c>
      <c r="Q1572" s="6" t="n">
        <v>1551872</v>
      </c>
      <c r="R1572" s="6" t="n">
        <v>34350097664</v>
      </c>
      <c r="S1572" s="11" t="s">
        <v>389</v>
      </c>
      <c r="T1572" s="11" t="s">
        <v>185</v>
      </c>
      <c r="U1572" s="5" t="s">
        <v>260</v>
      </c>
      <c r="V1572" s="11" t="s">
        <v>261</v>
      </c>
      <c r="W1572" s="5" t="s">
        <v>334</v>
      </c>
      <c r="X1572" s="5" t="s">
        <v>242</v>
      </c>
      <c r="Y1572" s="5"/>
      <c r="Z1572" s="5"/>
      <c r="AA1572" s="11" t="s">
        <v>156</v>
      </c>
      <c r="AB1572" s="5" t="s">
        <v>245</v>
      </c>
      <c r="AC1572" s="5" t="s">
        <v>262</v>
      </c>
      <c r="AD1572" s="11" t="s">
        <v>3885</v>
      </c>
      <c r="AE1572" s="23" t="n">
        <v>0.85</v>
      </c>
      <c r="AF1572" s="23" t="n">
        <v>0</v>
      </c>
      <c r="AG1572" s="23" t="n">
        <v>0.33</v>
      </c>
      <c r="AH1572" s="23" t="n">
        <v>0.6</v>
      </c>
      <c r="AI1572" s="23" t="n">
        <v>0.6</v>
      </c>
      <c r="AJ1572" s="23" t="n">
        <v>0.7996</v>
      </c>
      <c r="AK1572" s="23" t="n">
        <v>1</v>
      </c>
      <c r="AL1572" s="23" t="n">
        <v>0</v>
      </c>
      <c r="AM1572" s="16" t="n">
        <f aca="false">COUNTIFS($D$2:$D$2501,D1572,$G$2:$G$2501,"&gt;"&amp;G1572)+COUNTIFS($D$2:D1572,D1572,$G$2:G1572,G1572)</f>
        <v>742</v>
      </c>
      <c r="AN1572" s="5" t="str">
        <f aca="false">D1572&amp;"|"&amp;AM1572</f>
        <v>分析與報告生成|742</v>
      </c>
    </row>
    <row r="1573" customFormat="false" ht="17.15" hidden="false" customHeight="false" outlineLevel="0" collapsed="false">
      <c r="A1573" s="16" t="n">
        <f aca="false">RANK(G1573,$G$2:$G$2501)+COUNTIF($G$2:G1573,G1573)-1</f>
        <v>1572</v>
      </c>
      <c r="B1573" s="11" t="s">
        <v>3886</v>
      </c>
      <c r="C1573" s="11" t="s">
        <v>3887</v>
      </c>
      <c r="D1573" s="5" t="s">
        <v>56</v>
      </c>
      <c r="E1573" s="5" t="s">
        <v>57</v>
      </c>
      <c r="F1573" s="5"/>
      <c r="G1573" s="22" t="n">
        <f aca="false">ROUND(SUM(I1573:P1573),3)</f>
        <v>58.43</v>
      </c>
      <c r="H1573" s="5" t="str">
        <f aca="false">IF(G1573&gt;=評分方法!$C$16,"優先評估",IF(G1573&gt;=評分方法!$C$17,"列入候選",IF(G1573&gt;=評分方法!$C$18,"特定情境","不建議")))</f>
        <v>不建議</v>
      </c>
      <c r="I1573" s="15" t="n">
        <f aca="false">AE1573*評分方法!$C$5</f>
        <v>25.5</v>
      </c>
      <c r="J1573" s="15" t="n">
        <f aca="false">AF1573*評分方法!$C$6</f>
        <v>0</v>
      </c>
      <c r="K1573" s="15" t="n">
        <f aca="false">AG1573*評分方法!$C$7</f>
        <v>4.95</v>
      </c>
      <c r="L1573" s="15" t="n">
        <f aca="false">AH1573*評分方法!$C$8</f>
        <v>9</v>
      </c>
      <c r="M1573" s="15" t="n">
        <f aca="false">AI1573*評分方法!$C$9</f>
        <v>10</v>
      </c>
      <c r="N1573" s="15" t="n">
        <f aca="false">AJ1573*評分方法!$C$10</f>
        <v>4.98</v>
      </c>
      <c r="O1573" s="15" t="n">
        <f aca="false">AK1573*評分方法!$C$11</f>
        <v>1</v>
      </c>
      <c r="P1573" s="15" t="n">
        <f aca="false">AL1573*評分方法!$C$12</f>
        <v>3</v>
      </c>
      <c r="Q1573" s="6" t="n">
        <v>537194</v>
      </c>
      <c r="R1573" s="6" t="n">
        <v>13015864320</v>
      </c>
      <c r="S1573" s="11" t="s">
        <v>389</v>
      </c>
      <c r="T1573" s="11" t="s">
        <v>278</v>
      </c>
      <c r="U1573" s="5" t="s">
        <v>240</v>
      </c>
      <c r="V1573" s="11" t="s">
        <v>261</v>
      </c>
      <c r="W1573" s="5" t="s">
        <v>334</v>
      </c>
      <c r="X1573" s="5" t="s">
        <v>371</v>
      </c>
      <c r="Y1573" s="5"/>
      <c r="Z1573" s="5"/>
      <c r="AA1573" s="11" t="s">
        <v>155</v>
      </c>
      <c r="AB1573" s="5" t="s">
        <v>245</v>
      </c>
      <c r="AC1573" s="5"/>
      <c r="AD1573" s="11" t="s">
        <v>3888</v>
      </c>
      <c r="AE1573" s="23" t="n">
        <v>0.85</v>
      </c>
      <c r="AF1573" s="23" t="n">
        <v>0</v>
      </c>
      <c r="AG1573" s="23" t="n">
        <v>0.33</v>
      </c>
      <c r="AH1573" s="23" t="n">
        <v>0.6</v>
      </c>
      <c r="AI1573" s="23" t="n">
        <v>1</v>
      </c>
      <c r="AJ1573" s="23" t="n">
        <v>0.498</v>
      </c>
      <c r="AK1573" s="23" t="n">
        <v>0.2</v>
      </c>
      <c r="AL1573" s="23" t="n">
        <v>0.6</v>
      </c>
      <c r="AM1573" s="16" t="n">
        <f aca="false">COUNTIFS($D$2:$D$2501,D1573,$G$2:$G$2501,"&gt;"&amp;G1573)+COUNTIFS($D$2:D1573,D1573,$G$2:G1573,G1573)</f>
        <v>743</v>
      </c>
      <c r="AN1573" s="5" t="str">
        <f aca="false">D1573&amp;"|"&amp;AM1573</f>
        <v>分析與報告生成|743</v>
      </c>
    </row>
    <row r="1574" customFormat="false" ht="17.15" hidden="false" customHeight="false" outlineLevel="0" collapsed="false">
      <c r="A1574" s="16" t="n">
        <f aca="false">RANK(G1574,$G$2:$G$2501)+COUNTIF($G$2:G1574,G1574)-1</f>
        <v>1573</v>
      </c>
      <c r="B1574" s="11" t="s">
        <v>3889</v>
      </c>
      <c r="C1574" s="11" t="s">
        <v>3890</v>
      </c>
      <c r="D1574" s="5" t="s">
        <v>56</v>
      </c>
      <c r="E1574" s="5" t="s">
        <v>57</v>
      </c>
      <c r="F1574" s="5"/>
      <c r="G1574" s="22" t="n">
        <f aca="false">ROUND(SUM(I1574:P1574),3)</f>
        <v>58.424</v>
      </c>
      <c r="H1574" s="5" t="str">
        <f aca="false">IF(G1574&gt;=評分方法!$C$16,"優先評估",IF(G1574&gt;=評分方法!$C$17,"列入候選",IF(G1574&gt;=評分方法!$C$18,"特定情境","不建議")))</f>
        <v>不建議</v>
      </c>
      <c r="I1574" s="15" t="n">
        <f aca="false">AE1574*評分方法!$C$5</f>
        <v>25.5</v>
      </c>
      <c r="J1574" s="15" t="n">
        <f aca="false">AF1574*評分方法!$C$6</f>
        <v>0</v>
      </c>
      <c r="K1574" s="15" t="n">
        <f aca="false">AG1574*評分方法!$C$7</f>
        <v>4.95</v>
      </c>
      <c r="L1574" s="15" t="n">
        <f aca="false">AH1574*評分方法!$C$8</f>
        <v>13.05</v>
      </c>
      <c r="M1574" s="15" t="n">
        <f aca="false">AI1574*評分方法!$C$9</f>
        <v>6</v>
      </c>
      <c r="N1574" s="15" t="n">
        <f aca="false">AJ1574*評分方法!$C$10</f>
        <v>3.424</v>
      </c>
      <c r="O1574" s="15" t="n">
        <f aca="false">AK1574*評分方法!$C$11</f>
        <v>2.5</v>
      </c>
      <c r="P1574" s="15" t="n">
        <f aca="false">AL1574*評分方法!$C$12</f>
        <v>3</v>
      </c>
      <c r="Q1574" s="6" t="n">
        <v>344412</v>
      </c>
      <c r="R1574" s="6" t="n">
        <v>8019808256</v>
      </c>
      <c r="S1574" s="11" t="s">
        <v>254</v>
      </c>
      <c r="T1574" s="11" t="s">
        <v>185</v>
      </c>
      <c r="U1574" s="5" t="s">
        <v>260</v>
      </c>
      <c r="V1574" s="11" t="s">
        <v>261</v>
      </c>
      <c r="W1574" s="5" t="s">
        <v>334</v>
      </c>
      <c r="X1574" s="5" t="s">
        <v>371</v>
      </c>
      <c r="Y1574" s="5"/>
      <c r="Z1574" s="5"/>
      <c r="AA1574" s="11" t="s">
        <v>155</v>
      </c>
      <c r="AB1574" s="5" t="s">
        <v>328</v>
      </c>
      <c r="AC1574" s="5" t="s">
        <v>329</v>
      </c>
      <c r="AD1574" s="11" t="s">
        <v>3891</v>
      </c>
      <c r="AE1574" s="23" t="n">
        <v>0.85</v>
      </c>
      <c r="AF1574" s="23" t="n">
        <v>0</v>
      </c>
      <c r="AG1574" s="23" t="n">
        <v>0.33</v>
      </c>
      <c r="AH1574" s="23" t="n">
        <v>0.87</v>
      </c>
      <c r="AI1574" s="23" t="n">
        <v>0.6</v>
      </c>
      <c r="AJ1574" s="23" t="n">
        <v>0.3424</v>
      </c>
      <c r="AK1574" s="23" t="n">
        <v>0.5</v>
      </c>
      <c r="AL1574" s="23" t="n">
        <v>0.6</v>
      </c>
      <c r="AM1574" s="16" t="n">
        <f aca="false">COUNTIFS($D$2:$D$2501,D1574,$G$2:$G$2501,"&gt;"&amp;G1574)+COUNTIFS($D$2:D1574,D1574,$G$2:G1574,G1574)</f>
        <v>744</v>
      </c>
      <c r="AN1574" s="5" t="str">
        <f aca="false">D1574&amp;"|"&amp;AM1574</f>
        <v>分析與報告生成|744</v>
      </c>
    </row>
    <row r="1575" customFormat="false" ht="17.15" hidden="false" customHeight="false" outlineLevel="0" collapsed="false">
      <c r="A1575" s="16" t="n">
        <f aca="false">RANK(G1575,$G$2:$G$2501)+COUNTIF($G$2:G1575,G1575)-1</f>
        <v>1574</v>
      </c>
      <c r="B1575" s="11" t="s">
        <v>3892</v>
      </c>
      <c r="C1575" s="11" t="s">
        <v>327</v>
      </c>
      <c r="D1575" s="5" t="s">
        <v>78</v>
      </c>
      <c r="E1575" s="5" t="s">
        <v>79</v>
      </c>
      <c r="F1575" s="5"/>
      <c r="G1575" s="22" t="n">
        <f aca="false">ROUND(SUM(I1575:P1575),3)</f>
        <v>58.408</v>
      </c>
      <c r="H1575" s="5" t="str">
        <f aca="false">IF(G1575&gt;=評分方法!$C$16,"優先評估",IF(G1575&gt;=評分方法!$C$17,"列入候選",IF(G1575&gt;=評分方法!$C$18,"特定情境","不建議")))</f>
        <v>不建議</v>
      </c>
      <c r="I1575" s="15" t="n">
        <f aca="false">AE1575*評分方法!$C$5</f>
        <v>9</v>
      </c>
      <c r="J1575" s="15" t="n">
        <f aca="false">AF1575*評分方法!$C$6</f>
        <v>0</v>
      </c>
      <c r="K1575" s="15" t="n">
        <f aca="false">AG1575*評分方法!$C$7</f>
        <v>15</v>
      </c>
      <c r="L1575" s="15" t="n">
        <f aca="false">AH1575*評分方法!$C$8</f>
        <v>15</v>
      </c>
      <c r="M1575" s="15" t="n">
        <f aca="false">AI1575*評分方法!$C$9</f>
        <v>6</v>
      </c>
      <c r="N1575" s="15" t="n">
        <f aca="false">AJ1575*評分方法!$C$10</f>
        <v>6.908</v>
      </c>
      <c r="O1575" s="15" t="n">
        <f aca="false">AK1575*評分方法!$C$11</f>
        <v>5</v>
      </c>
      <c r="P1575" s="15" t="n">
        <f aca="false">AL1575*評分方法!$C$12</f>
        <v>1.5</v>
      </c>
      <c r="Q1575" s="6" t="n">
        <v>877450</v>
      </c>
      <c r="R1575" s="6" t="n">
        <v>618084865</v>
      </c>
      <c r="S1575" s="11" t="s">
        <v>238</v>
      </c>
      <c r="T1575" s="11" t="s">
        <v>185</v>
      </c>
      <c r="U1575" s="5" t="s">
        <v>260</v>
      </c>
      <c r="V1575" s="11" t="s">
        <v>2826</v>
      </c>
      <c r="W1575" s="5" t="s">
        <v>205</v>
      </c>
      <c r="X1575" s="5" t="s">
        <v>255</v>
      </c>
      <c r="Y1575" s="5"/>
      <c r="Z1575" s="5"/>
      <c r="AA1575" s="11" t="s">
        <v>175</v>
      </c>
      <c r="AB1575" s="5" t="s">
        <v>245</v>
      </c>
      <c r="AC1575" s="5" t="s">
        <v>262</v>
      </c>
      <c r="AD1575" s="11" t="s">
        <v>3893</v>
      </c>
      <c r="AE1575" s="23" t="n">
        <v>0.3</v>
      </c>
      <c r="AF1575" s="23" t="n">
        <v>0</v>
      </c>
      <c r="AG1575" s="23" t="n">
        <v>1</v>
      </c>
      <c r="AH1575" s="23" t="n">
        <v>1</v>
      </c>
      <c r="AI1575" s="23" t="n">
        <v>0.6</v>
      </c>
      <c r="AJ1575" s="23" t="n">
        <v>0.6908</v>
      </c>
      <c r="AK1575" s="23" t="n">
        <v>1</v>
      </c>
      <c r="AL1575" s="23" t="n">
        <v>0.3</v>
      </c>
      <c r="AM1575" s="16" t="n">
        <f aca="false">COUNTIFS($D$2:$D$2501,D1575,$G$2:$G$2501,"&gt;"&amp;G1575)+COUNTIFS($D$2:D1575,D1575,$G$2:G1575,G1575)</f>
        <v>25</v>
      </c>
      <c r="AN1575" s="5" t="str">
        <f aca="false">D1575&amp;"|"&amp;AM1575</f>
        <v>語音分析|25</v>
      </c>
    </row>
    <row r="1576" customFormat="false" ht="17.15" hidden="false" customHeight="false" outlineLevel="0" collapsed="false">
      <c r="A1576" s="16" t="n">
        <f aca="false">RANK(G1576,$G$2:$G$2501)+COUNTIF($G$2:G1576,G1576)-1</f>
        <v>1575</v>
      </c>
      <c r="B1576" s="11" t="s">
        <v>3894</v>
      </c>
      <c r="C1576" s="11" t="s">
        <v>3895</v>
      </c>
      <c r="D1576" s="5" t="s">
        <v>54</v>
      </c>
      <c r="E1576" s="5" t="s">
        <v>55</v>
      </c>
      <c r="F1576" s="5"/>
      <c r="G1576" s="22" t="n">
        <f aca="false">ROUND(SUM(I1576:P1576),3)</f>
        <v>58.39</v>
      </c>
      <c r="H1576" s="5" t="str">
        <f aca="false">IF(G1576&gt;=評分方法!$C$16,"優先評估",IF(G1576&gt;=評分方法!$C$17,"列入候選",IF(G1576&gt;=評分方法!$C$18,"特定情境","不建議")))</f>
        <v>不建議</v>
      </c>
      <c r="I1576" s="15" t="n">
        <f aca="false">AE1576*評分方法!$C$5</f>
        <v>27</v>
      </c>
      <c r="J1576" s="15" t="n">
        <f aca="false">AF1576*評分方法!$C$6</f>
        <v>0</v>
      </c>
      <c r="K1576" s="15" t="n">
        <f aca="false">AG1576*評分方法!$C$7</f>
        <v>4.95</v>
      </c>
      <c r="L1576" s="15" t="n">
        <f aca="false">AH1576*評分方法!$C$8</f>
        <v>15</v>
      </c>
      <c r="M1576" s="15" t="n">
        <f aca="false">AI1576*評分方法!$C$9</f>
        <v>2</v>
      </c>
      <c r="N1576" s="15" t="n">
        <f aca="false">AJ1576*評分方法!$C$10</f>
        <v>6.94</v>
      </c>
      <c r="O1576" s="15" t="n">
        <f aca="false">AK1576*評分方法!$C$11</f>
        <v>1</v>
      </c>
      <c r="P1576" s="15" t="n">
        <f aca="false">AL1576*評分方法!$C$12</f>
        <v>1.5</v>
      </c>
      <c r="Q1576" s="6" t="n">
        <v>888151</v>
      </c>
      <c r="R1576" s="6" t="n">
        <v>76620777</v>
      </c>
      <c r="S1576" s="11" t="s">
        <v>238</v>
      </c>
      <c r="T1576" s="5"/>
      <c r="U1576" s="5" t="s">
        <v>375</v>
      </c>
      <c r="V1576" s="11" t="s">
        <v>261</v>
      </c>
      <c r="W1576" s="5" t="s">
        <v>334</v>
      </c>
      <c r="X1576" s="5" t="s">
        <v>255</v>
      </c>
      <c r="Y1576" s="5"/>
      <c r="Z1576" s="5"/>
      <c r="AA1576" s="11" t="s">
        <v>153</v>
      </c>
      <c r="AB1576" s="5" t="s">
        <v>245</v>
      </c>
      <c r="AC1576" s="5" t="s">
        <v>262</v>
      </c>
      <c r="AD1576" s="11" t="s">
        <v>3896</v>
      </c>
      <c r="AE1576" s="23" t="n">
        <v>0.9</v>
      </c>
      <c r="AF1576" s="23" t="n">
        <v>0</v>
      </c>
      <c r="AG1576" s="23" t="n">
        <v>0.33</v>
      </c>
      <c r="AH1576" s="23" t="n">
        <v>1</v>
      </c>
      <c r="AI1576" s="23" t="n">
        <v>0.2</v>
      </c>
      <c r="AJ1576" s="23" t="n">
        <v>0.694</v>
      </c>
      <c r="AK1576" s="23" t="n">
        <v>0.2</v>
      </c>
      <c r="AL1576" s="23" t="n">
        <v>0.3</v>
      </c>
      <c r="AM1576" s="16" t="n">
        <f aca="false">COUNTIFS($D$2:$D$2501,D1576,$G$2:$G$2501,"&gt;"&amp;G1576)+COUNTIFS($D$2:D1576,D1576,$G$2:G1576,G1576)</f>
        <v>204</v>
      </c>
      <c r="AN1576" s="5" t="str">
        <f aca="false">D1576&amp;"|"&amp;AM1576</f>
        <v>檢索與情資關聯|204</v>
      </c>
    </row>
    <row r="1577" customFormat="false" ht="17.15" hidden="false" customHeight="false" outlineLevel="0" collapsed="false">
      <c r="A1577" s="16" t="n">
        <f aca="false">RANK(G1577,$G$2:$G$2501)+COUNTIF($G$2:G1577,G1577)-1</f>
        <v>1576</v>
      </c>
      <c r="B1577" s="11" t="s">
        <v>3897</v>
      </c>
      <c r="C1577" s="11" t="s">
        <v>2693</v>
      </c>
      <c r="D1577" s="5" t="s">
        <v>74</v>
      </c>
      <c r="E1577" s="5" t="s">
        <v>75</v>
      </c>
      <c r="F1577" s="5"/>
      <c r="G1577" s="22" t="n">
        <f aca="false">ROUND(SUM(I1577:P1577),3)</f>
        <v>58.376</v>
      </c>
      <c r="H1577" s="5" t="str">
        <f aca="false">IF(G1577&gt;=評分方法!$C$16,"優先評估",IF(G1577&gt;=評分方法!$C$17,"列入候選",IF(G1577&gt;=評分方法!$C$18,"特定情境","不建議")))</f>
        <v>不建議</v>
      </c>
      <c r="I1577" s="15" t="n">
        <f aca="false">AE1577*評分方法!$C$5</f>
        <v>10.5</v>
      </c>
      <c r="J1577" s="15" t="n">
        <f aca="false">AF1577*評分方法!$C$6</f>
        <v>0</v>
      </c>
      <c r="K1577" s="15" t="n">
        <f aca="false">AG1577*評分方法!$C$7</f>
        <v>15</v>
      </c>
      <c r="L1577" s="15" t="n">
        <f aca="false">AH1577*評分方法!$C$8</f>
        <v>15</v>
      </c>
      <c r="M1577" s="15" t="n">
        <f aca="false">AI1577*評分方法!$C$9</f>
        <v>10</v>
      </c>
      <c r="N1577" s="15" t="n">
        <f aca="false">AJ1577*評分方法!$C$10</f>
        <v>3.876</v>
      </c>
      <c r="O1577" s="15" t="n">
        <f aca="false">AK1577*評分方法!$C$11</f>
        <v>2.5</v>
      </c>
      <c r="P1577" s="15" t="n">
        <f aca="false">AL1577*評分方法!$C$12</f>
        <v>1.5</v>
      </c>
      <c r="Q1577" s="6" t="n">
        <v>400677</v>
      </c>
      <c r="R1577" s="6" t="n">
        <v>2056848</v>
      </c>
      <c r="S1577" s="11" t="s">
        <v>238</v>
      </c>
      <c r="T1577" s="11" t="s">
        <v>239</v>
      </c>
      <c r="U1577" s="5" t="s">
        <v>240</v>
      </c>
      <c r="V1577" s="11" t="s">
        <v>324</v>
      </c>
      <c r="W1577" s="5" t="s">
        <v>205</v>
      </c>
      <c r="X1577" s="5" t="s">
        <v>255</v>
      </c>
      <c r="Y1577" s="5"/>
      <c r="Z1577" s="5"/>
      <c r="AA1577" s="11" t="s">
        <v>172</v>
      </c>
      <c r="AB1577" s="5" t="s">
        <v>245</v>
      </c>
      <c r="AC1577" s="5"/>
      <c r="AD1577" s="11" t="s">
        <v>3898</v>
      </c>
      <c r="AE1577" s="23" t="n">
        <v>0.35</v>
      </c>
      <c r="AF1577" s="23" t="n">
        <v>0</v>
      </c>
      <c r="AG1577" s="23" t="n">
        <v>1</v>
      </c>
      <c r="AH1577" s="23" t="n">
        <v>1</v>
      </c>
      <c r="AI1577" s="23" t="n">
        <v>1</v>
      </c>
      <c r="AJ1577" s="23" t="n">
        <v>0.3876</v>
      </c>
      <c r="AK1577" s="23" t="n">
        <v>0.5</v>
      </c>
      <c r="AL1577" s="23" t="n">
        <v>0.3</v>
      </c>
      <c r="AM1577" s="16" t="n">
        <f aca="false">COUNTIFS($D$2:$D$2501,D1577,$G$2:$G$2501,"&gt;"&amp;G1577)+COUNTIFS($D$2:D1577,D1577,$G$2:G1577,G1577)</f>
        <v>123</v>
      </c>
      <c r="AN1577" s="5" t="str">
        <f aca="false">D1577&amp;"|"&amp;AM1577</f>
        <v>文件與影像辨識|123</v>
      </c>
    </row>
    <row r="1578" customFormat="false" ht="17.15" hidden="false" customHeight="false" outlineLevel="0" collapsed="false">
      <c r="A1578" s="16" t="n">
        <f aca="false">RANK(G1578,$G$2:$G$2501)+COUNTIF($G$2:G1578,G1578)-1</f>
        <v>1577</v>
      </c>
      <c r="B1578" s="11" t="s">
        <v>3899</v>
      </c>
      <c r="C1578" s="11" t="s">
        <v>891</v>
      </c>
      <c r="D1578" s="5" t="s">
        <v>56</v>
      </c>
      <c r="E1578" s="5" t="s">
        <v>57</v>
      </c>
      <c r="F1578" s="5"/>
      <c r="G1578" s="22" t="n">
        <f aca="false">ROUND(SUM(I1578:P1578),3)</f>
        <v>58.346</v>
      </c>
      <c r="H1578" s="5" t="str">
        <f aca="false">IF(G1578&gt;=評分方法!$C$16,"優先評估",IF(G1578&gt;=評分方法!$C$17,"列入候選",IF(G1578&gt;=評分方法!$C$18,"特定情境","不建議")))</f>
        <v>不建議</v>
      </c>
      <c r="I1578" s="15" t="n">
        <f aca="false">AE1578*評分方法!$C$5</f>
        <v>25.5</v>
      </c>
      <c r="J1578" s="15" t="n">
        <f aca="false">AF1578*評分方法!$C$6</f>
        <v>0</v>
      </c>
      <c r="K1578" s="15" t="n">
        <f aca="false">AG1578*評分方法!$C$7</f>
        <v>10.05</v>
      </c>
      <c r="L1578" s="15" t="n">
        <f aca="false">AH1578*評分方法!$C$8</f>
        <v>9</v>
      </c>
      <c r="M1578" s="15" t="n">
        <f aca="false">AI1578*評分方法!$C$9</f>
        <v>10</v>
      </c>
      <c r="N1578" s="15" t="n">
        <f aca="false">AJ1578*評分方法!$C$10</f>
        <v>1.296</v>
      </c>
      <c r="O1578" s="15" t="n">
        <f aca="false">AK1578*評分方法!$C$11</f>
        <v>2.5</v>
      </c>
      <c r="P1578" s="15" t="n">
        <f aca="false">AL1578*評分方法!$C$12</f>
        <v>0</v>
      </c>
      <c r="Q1578" s="6" t="n">
        <v>167471</v>
      </c>
      <c r="R1578" s="6" t="n">
        <v>14659507200</v>
      </c>
      <c r="S1578" s="11" t="s">
        <v>389</v>
      </c>
      <c r="T1578" s="11" t="s">
        <v>278</v>
      </c>
      <c r="U1578" s="5" t="s">
        <v>240</v>
      </c>
      <c r="V1578" s="11" t="s">
        <v>261</v>
      </c>
      <c r="W1578" s="5" t="s">
        <v>207</v>
      </c>
      <c r="X1578" s="5" t="s">
        <v>242</v>
      </c>
      <c r="Y1578" s="11" t="s">
        <v>791</v>
      </c>
      <c r="Z1578" s="11" t="s">
        <v>244</v>
      </c>
      <c r="AA1578" s="11" t="s">
        <v>155</v>
      </c>
      <c r="AB1578" s="5" t="s">
        <v>245</v>
      </c>
      <c r="AC1578" s="5" t="s">
        <v>246</v>
      </c>
      <c r="AD1578" s="11" t="s">
        <v>3900</v>
      </c>
      <c r="AE1578" s="23" t="n">
        <v>0.85</v>
      </c>
      <c r="AF1578" s="23" t="n">
        <v>0</v>
      </c>
      <c r="AG1578" s="23" t="n">
        <v>0.67</v>
      </c>
      <c r="AH1578" s="23" t="n">
        <v>0.6</v>
      </c>
      <c r="AI1578" s="23" t="n">
        <v>1</v>
      </c>
      <c r="AJ1578" s="23" t="n">
        <v>0.1296</v>
      </c>
      <c r="AK1578" s="23" t="n">
        <v>0.5</v>
      </c>
      <c r="AL1578" s="23" t="n">
        <v>0</v>
      </c>
      <c r="AM1578" s="16" t="n">
        <f aca="false">COUNTIFS($D$2:$D$2501,D1578,$G$2:$G$2501,"&gt;"&amp;G1578)+COUNTIFS($D$2:D1578,D1578,$G$2:G1578,G1578)</f>
        <v>745</v>
      </c>
      <c r="AN1578" s="5" t="str">
        <f aca="false">D1578&amp;"|"&amp;AM1578</f>
        <v>分析與報告生成|745</v>
      </c>
    </row>
    <row r="1579" customFormat="false" ht="17.15" hidden="false" customHeight="false" outlineLevel="0" collapsed="false">
      <c r="A1579" s="16" t="n">
        <f aca="false">RANK(G1579,$G$2:$G$2501)+COUNTIF($G$2:G1579,G1579)-1</f>
        <v>1578</v>
      </c>
      <c r="B1579" s="11" t="s">
        <v>3901</v>
      </c>
      <c r="C1579" s="11" t="s">
        <v>2693</v>
      </c>
      <c r="D1579" s="5" t="s">
        <v>74</v>
      </c>
      <c r="E1579" s="5" t="s">
        <v>75</v>
      </c>
      <c r="F1579" s="5"/>
      <c r="G1579" s="22" t="n">
        <f aca="false">ROUND(SUM(I1579:P1579),3)</f>
        <v>58.34</v>
      </c>
      <c r="H1579" s="5" t="str">
        <f aca="false">IF(G1579&gt;=評分方法!$C$16,"優先評估",IF(G1579&gt;=評分方法!$C$17,"列入候選",IF(G1579&gt;=評分方法!$C$18,"特定情境","不建議")))</f>
        <v>不建議</v>
      </c>
      <c r="I1579" s="15" t="n">
        <f aca="false">AE1579*評分方法!$C$5</f>
        <v>10.5</v>
      </c>
      <c r="J1579" s="15" t="n">
        <f aca="false">AF1579*評分方法!$C$6</f>
        <v>0</v>
      </c>
      <c r="K1579" s="15" t="n">
        <f aca="false">AG1579*評分方法!$C$7</f>
        <v>15</v>
      </c>
      <c r="L1579" s="15" t="n">
        <f aca="false">AH1579*評分方法!$C$8</f>
        <v>15</v>
      </c>
      <c r="M1579" s="15" t="n">
        <f aca="false">AI1579*評分方法!$C$9</f>
        <v>6</v>
      </c>
      <c r="N1579" s="15" t="n">
        <f aca="false">AJ1579*評分方法!$C$10</f>
        <v>7.84</v>
      </c>
      <c r="O1579" s="15" t="n">
        <f aca="false">AK1579*評分方法!$C$11</f>
        <v>2.5</v>
      </c>
      <c r="P1579" s="15" t="n">
        <f aca="false">AL1579*評分方法!$C$12</f>
        <v>1.5</v>
      </c>
      <c r="Q1579" s="6" t="n">
        <v>1428511</v>
      </c>
      <c r="R1579" s="6" t="n">
        <v>85641216</v>
      </c>
      <c r="S1579" s="11" t="s">
        <v>238</v>
      </c>
      <c r="T1579" s="11" t="s">
        <v>185</v>
      </c>
      <c r="U1579" s="5" t="s">
        <v>260</v>
      </c>
      <c r="V1579" s="11" t="s">
        <v>324</v>
      </c>
      <c r="W1579" s="5" t="s">
        <v>205</v>
      </c>
      <c r="X1579" s="5" t="s">
        <v>255</v>
      </c>
      <c r="Y1579" s="5"/>
      <c r="Z1579" s="5"/>
      <c r="AA1579" s="11" t="s">
        <v>173</v>
      </c>
      <c r="AB1579" s="5" t="s">
        <v>245</v>
      </c>
      <c r="AC1579" s="5" t="s">
        <v>262</v>
      </c>
      <c r="AD1579" s="11" t="s">
        <v>3902</v>
      </c>
      <c r="AE1579" s="23" t="n">
        <v>0.35</v>
      </c>
      <c r="AF1579" s="23" t="n">
        <v>0</v>
      </c>
      <c r="AG1579" s="23" t="n">
        <v>1</v>
      </c>
      <c r="AH1579" s="23" t="n">
        <v>1</v>
      </c>
      <c r="AI1579" s="23" t="n">
        <v>0.6</v>
      </c>
      <c r="AJ1579" s="23" t="n">
        <v>0.784</v>
      </c>
      <c r="AK1579" s="23" t="n">
        <v>0.5</v>
      </c>
      <c r="AL1579" s="23" t="n">
        <v>0.3</v>
      </c>
      <c r="AM1579" s="16" t="n">
        <f aca="false">COUNTIFS($D$2:$D$2501,D1579,$G$2:$G$2501,"&gt;"&amp;G1579)+COUNTIFS($D$2:D1579,D1579,$G$2:G1579,G1579)</f>
        <v>124</v>
      </c>
      <c r="AN1579" s="5" t="str">
        <f aca="false">D1579&amp;"|"&amp;AM1579</f>
        <v>文件與影像辨識|124</v>
      </c>
    </row>
    <row r="1580" customFormat="false" ht="17.15" hidden="false" customHeight="false" outlineLevel="0" collapsed="false">
      <c r="A1580" s="16" t="n">
        <f aca="false">RANK(G1580,$G$2:$G$2501)+COUNTIF($G$2:G1580,G1580)-1</f>
        <v>1579</v>
      </c>
      <c r="B1580" s="11" t="s">
        <v>3903</v>
      </c>
      <c r="C1580" s="11" t="s">
        <v>2693</v>
      </c>
      <c r="D1580" s="5" t="s">
        <v>74</v>
      </c>
      <c r="E1580" s="5" t="s">
        <v>75</v>
      </c>
      <c r="F1580" s="5"/>
      <c r="G1580" s="22" t="n">
        <f aca="false">ROUND(SUM(I1580:P1580),3)</f>
        <v>58.328</v>
      </c>
      <c r="H1580" s="5" t="str">
        <f aca="false">IF(G1580&gt;=評分方法!$C$16,"優先評估",IF(G1580&gt;=評分方法!$C$17,"列入候選",IF(G1580&gt;=評分方法!$C$18,"特定情境","不建議")))</f>
        <v>不建議</v>
      </c>
      <c r="I1580" s="15" t="n">
        <f aca="false">AE1580*評分方法!$C$5</f>
        <v>10.5</v>
      </c>
      <c r="J1580" s="15" t="n">
        <f aca="false">AF1580*評分方法!$C$6</f>
        <v>0</v>
      </c>
      <c r="K1580" s="15" t="n">
        <f aca="false">AG1580*評分方法!$C$7</f>
        <v>15</v>
      </c>
      <c r="L1580" s="15" t="n">
        <f aca="false">AH1580*評分方法!$C$8</f>
        <v>15</v>
      </c>
      <c r="M1580" s="15" t="n">
        <f aca="false">AI1580*評分方法!$C$9</f>
        <v>10</v>
      </c>
      <c r="N1580" s="15" t="n">
        <f aca="false">AJ1580*評分方法!$C$10</f>
        <v>3.828</v>
      </c>
      <c r="O1580" s="15" t="n">
        <f aca="false">AK1580*評分方法!$C$11</f>
        <v>2.5</v>
      </c>
      <c r="P1580" s="15" t="n">
        <f aca="false">AL1580*評分方法!$C$12</f>
        <v>1.5</v>
      </c>
      <c r="Q1580" s="6" t="n">
        <v>393713</v>
      </c>
      <c r="R1580" s="6" t="n">
        <v>53543674</v>
      </c>
      <c r="S1580" s="11" t="s">
        <v>238</v>
      </c>
      <c r="T1580" s="11" t="s">
        <v>239</v>
      </c>
      <c r="U1580" s="5" t="s">
        <v>240</v>
      </c>
      <c r="V1580" s="11" t="s">
        <v>324</v>
      </c>
      <c r="W1580" s="5" t="s">
        <v>205</v>
      </c>
      <c r="X1580" s="5" t="s">
        <v>255</v>
      </c>
      <c r="Y1580" s="5"/>
      <c r="Z1580" s="5"/>
      <c r="AA1580" s="11" t="s">
        <v>172</v>
      </c>
      <c r="AB1580" s="5" t="s">
        <v>245</v>
      </c>
      <c r="AC1580" s="5"/>
      <c r="AD1580" s="11" t="s">
        <v>3904</v>
      </c>
      <c r="AE1580" s="23" t="n">
        <v>0.35</v>
      </c>
      <c r="AF1580" s="23" t="n">
        <v>0</v>
      </c>
      <c r="AG1580" s="23" t="n">
        <v>1</v>
      </c>
      <c r="AH1580" s="23" t="n">
        <v>1</v>
      </c>
      <c r="AI1580" s="23" t="n">
        <v>1</v>
      </c>
      <c r="AJ1580" s="23" t="n">
        <v>0.3828</v>
      </c>
      <c r="AK1580" s="23" t="n">
        <v>0.5</v>
      </c>
      <c r="AL1580" s="23" t="n">
        <v>0.3</v>
      </c>
      <c r="AM1580" s="16" t="n">
        <f aca="false">COUNTIFS($D$2:$D$2501,D1580,$G$2:$G$2501,"&gt;"&amp;G1580)+COUNTIFS($D$2:D1580,D1580,$G$2:G1580,G1580)</f>
        <v>125</v>
      </c>
      <c r="AN1580" s="5" t="str">
        <f aca="false">D1580&amp;"|"&amp;AM1580</f>
        <v>文件與影像辨識|125</v>
      </c>
    </row>
    <row r="1581" customFormat="false" ht="17.15" hidden="false" customHeight="false" outlineLevel="0" collapsed="false">
      <c r="A1581" s="16" t="n">
        <f aca="false">RANK(G1581,$G$2:$G$2501)+COUNTIF($G$2:G1581,G1581)-1</f>
        <v>1580</v>
      </c>
      <c r="B1581" s="11" t="s">
        <v>3905</v>
      </c>
      <c r="C1581" s="11" t="s">
        <v>3906</v>
      </c>
      <c r="D1581" s="5" t="s">
        <v>56</v>
      </c>
      <c r="E1581" s="5" t="s">
        <v>57</v>
      </c>
      <c r="F1581" s="5"/>
      <c r="G1581" s="22" t="n">
        <f aca="false">ROUND(SUM(I1581:P1581),3)</f>
        <v>58.28</v>
      </c>
      <c r="H1581" s="5" t="str">
        <f aca="false">IF(G1581&gt;=評分方法!$C$16,"優先評估",IF(G1581&gt;=評分方法!$C$17,"列入候選",IF(G1581&gt;=評分方法!$C$18,"特定情境","不建議")))</f>
        <v>不建議</v>
      </c>
      <c r="I1581" s="15" t="n">
        <f aca="false">AE1581*評分方法!$C$5</f>
        <v>25.5</v>
      </c>
      <c r="J1581" s="15" t="n">
        <f aca="false">AF1581*評分方法!$C$6</f>
        <v>0</v>
      </c>
      <c r="K1581" s="15" t="n">
        <f aca="false">AG1581*評分方法!$C$7</f>
        <v>4.95</v>
      </c>
      <c r="L1581" s="15" t="n">
        <f aca="false">AH1581*評分方法!$C$8</f>
        <v>13.05</v>
      </c>
      <c r="M1581" s="15" t="n">
        <f aca="false">AI1581*評分方法!$C$9</f>
        <v>2</v>
      </c>
      <c r="N1581" s="15" t="n">
        <f aca="false">AJ1581*評分方法!$C$10</f>
        <v>5.78</v>
      </c>
      <c r="O1581" s="15" t="n">
        <f aca="false">AK1581*評分方法!$C$11</f>
        <v>4</v>
      </c>
      <c r="P1581" s="15" t="n">
        <f aca="false">AL1581*評分方法!$C$12</f>
        <v>3</v>
      </c>
      <c r="Q1581" s="6" t="n">
        <v>594867</v>
      </c>
      <c r="R1581" s="6" t="n">
        <v>1292179976</v>
      </c>
      <c r="S1581" s="11" t="s">
        <v>254</v>
      </c>
      <c r="T1581" s="5"/>
      <c r="U1581" s="5" t="s">
        <v>375</v>
      </c>
      <c r="V1581" s="11" t="s">
        <v>462</v>
      </c>
      <c r="W1581" s="5" t="s">
        <v>334</v>
      </c>
      <c r="X1581" s="5" t="s">
        <v>371</v>
      </c>
      <c r="Y1581" s="5"/>
      <c r="Z1581" s="5"/>
      <c r="AA1581" s="11" t="s">
        <v>155</v>
      </c>
      <c r="AB1581" s="5" t="s">
        <v>961</v>
      </c>
      <c r="AC1581" s="5" t="s">
        <v>1977</v>
      </c>
      <c r="AD1581" s="11" t="s">
        <v>3907</v>
      </c>
      <c r="AE1581" s="23" t="n">
        <v>0.85</v>
      </c>
      <c r="AF1581" s="23" t="n">
        <v>0</v>
      </c>
      <c r="AG1581" s="23" t="n">
        <v>0.33</v>
      </c>
      <c r="AH1581" s="23" t="n">
        <v>0.87</v>
      </c>
      <c r="AI1581" s="23" t="n">
        <v>0.2</v>
      </c>
      <c r="AJ1581" s="23" t="n">
        <v>0.578</v>
      </c>
      <c r="AK1581" s="23" t="n">
        <v>0.8</v>
      </c>
      <c r="AL1581" s="23" t="n">
        <v>0.6</v>
      </c>
      <c r="AM1581" s="16" t="n">
        <f aca="false">COUNTIFS($D$2:$D$2501,D1581,$G$2:$G$2501,"&gt;"&amp;G1581)+COUNTIFS($D$2:D1581,D1581,$G$2:G1581,G1581)</f>
        <v>746</v>
      </c>
      <c r="AN1581" s="5" t="str">
        <f aca="false">D1581&amp;"|"&amp;AM1581</f>
        <v>分析與報告生成|746</v>
      </c>
    </row>
    <row r="1582" customFormat="false" ht="17.15" hidden="false" customHeight="false" outlineLevel="0" collapsed="false">
      <c r="A1582" s="16" t="n">
        <f aca="false">RANK(G1582,$G$2:$G$2501)+COUNTIF($G$2:G1582,G1582)-1</f>
        <v>1581</v>
      </c>
      <c r="B1582" s="11" t="s">
        <v>3908</v>
      </c>
      <c r="C1582" s="11" t="s">
        <v>2693</v>
      </c>
      <c r="D1582" s="5" t="s">
        <v>74</v>
      </c>
      <c r="E1582" s="5" t="s">
        <v>75</v>
      </c>
      <c r="F1582" s="5"/>
      <c r="G1582" s="22" t="n">
        <f aca="false">ROUND(SUM(I1582:P1582),3)</f>
        <v>58.264</v>
      </c>
      <c r="H1582" s="5" t="str">
        <f aca="false">IF(G1582&gt;=評分方法!$C$16,"優先評估",IF(G1582&gt;=評分方法!$C$17,"列入候選",IF(G1582&gt;=評分方法!$C$18,"特定情境","不建議")))</f>
        <v>不建議</v>
      </c>
      <c r="I1582" s="15" t="n">
        <f aca="false">AE1582*評分方法!$C$5</f>
        <v>10.5</v>
      </c>
      <c r="J1582" s="15" t="n">
        <f aca="false">AF1582*評分方法!$C$6</f>
        <v>0</v>
      </c>
      <c r="K1582" s="15" t="n">
        <f aca="false">AG1582*評分方法!$C$7</f>
        <v>15</v>
      </c>
      <c r="L1582" s="15" t="n">
        <f aca="false">AH1582*評分方法!$C$8</f>
        <v>15</v>
      </c>
      <c r="M1582" s="15" t="n">
        <f aca="false">AI1582*評分方法!$C$9</f>
        <v>6</v>
      </c>
      <c r="N1582" s="15" t="n">
        <f aca="false">AJ1582*評分方法!$C$10</f>
        <v>7.764</v>
      </c>
      <c r="O1582" s="15" t="n">
        <f aca="false">AK1582*評分方法!$C$11</f>
        <v>2.5</v>
      </c>
      <c r="P1582" s="15" t="n">
        <f aca="false">AL1582*評分方法!$C$12</f>
        <v>1.5</v>
      </c>
      <c r="Q1582" s="6" t="n">
        <v>1340953</v>
      </c>
      <c r="R1582" s="6" t="n">
        <v>303079424</v>
      </c>
      <c r="S1582" s="11" t="s">
        <v>238</v>
      </c>
      <c r="T1582" s="11" t="s">
        <v>185</v>
      </c>
      <c r="U1582" s="5" t="s">
        <v>260</v>
      </c>
      <c r="V1582" s="11" t="s">
        <v>324</v>
      </c>
      <c r="W1582" s="5" t="s">
        <v>205</v>
      </c>
      <c r="X1582" s="5" t="s">
        <v>255</v>
      </c>
      <c r="Y1582" s="5"/>
      <c r="Z1582" s="5"/>
      <c r="AA1582" s="11" t="s">
        <v>173</v>
      </c>
      <c r="AB1582" s="5" t="s">
        <v>245</v>
      </c>
      <c r="AC1582" s="5" t="s">
        <v>262</v>
      </c>
      <c r="AD1582" s="11" t="s">
        <v>3909</v>
      </c>
      <c r="AE1582" s="23" t="n">
        <v>0.35</v>
      </c>
      <c r="AF1582" s="23" t="n">
        <v>0</v>
      </c>
      <c r="AG1582" s="23" t="n">
        <v>1</v>
      </c>
      <c r="AH1582" s="23" t="n">
        <v>1</v>
      </c>
      <c r="AI1582" s="23" t="n">
        <v>0.6</v>
      </c>
      <c r="AJ1582" s="23" t="n">
        <v>0.7764</v>
      </c>
      <c r="AK1582" s="23" t="n">
        <v>0.5</v>
      </c>
      <c r="AL1582" s="23" t="n">
        <v>0.3</v>
      </c>
      <c r="AM1582" s="16" t="n">
        <f aca="false">COUNTIFS($D$2:$D$2501,D1582,$G$2:$G$2501,"&gt;"&amp;G1582)+COUNTIFS($D$2:D1582,D1582,$G$2:G1582,G1582)</f>
        <v>126</v>
      </c>
      <c r="AN1582" s="5" t="str">
        <f aca="false">D1582&amp;"|"&amp;AM1582</f>
        <v>文件與影像辨識|126</v>
      </c>
    </row>
    <row r="1583" customFormat="false" ht="17.15" hidden="false" customHeight="false" outlineLevel="0" collapsed="false">
      <c r="A1583" s="16" t="n">
        <f aca="false">RANK(G1583,$G$2:$G$2501)+COUNTIF($G$2:G1583,G1583)-1</f>
        <v>1582</v>
      </c>
      <c r="B1583" s="11" t="s">
        <v>3910</v>
      </c>
      <c r="C1583" s="11" t="s">
        <v>753</v>
      </c>
      <c r="D1583" s="5" t="s">
        <v>56</v>
      </c>
      <c r="E1583" s="5" t="s">
        <v>57</v>
      </c>
      <c r="F1583" s="5"/>
      <c r="G1583" s="22" t="n">
        <f aca="false">ROUND(SUM(I1583:P1583),3)</f>
        <v>58.23</v>
      </c>
      <c r="H1583" s="5" t="str">
        <f aca="false">IF(G1583&gt;=評分方法!$C$16,"優先評估",IF(G1583&gt;=評分方法!$C$17,"列入候選",IF(G1583&gt;=評分方法!$C$18,"特定情境","不建議")))</f>
        <v>不建議</v>
      </c>
      <c r="I1583" s="15" t="n">
        <f aca="false">AE1583*評分方法!$C$5</f>
        <v>25.5</v>
      </c>
      <c r="J1583" s="15" t="n">
        <f aca="false">AF1583*評分方法!$C$6</f>
        <v>0</v>
      </c>
      <c r="K1583" s="15" t="n">
        <f aca="false">AG1583*評分方法!$C$7</f>
        <v>10.05</v>
      </c>
      <c r="L1583" s="15" t="n">
        <f aca="false">AH1583*評分方法!$C$8</f>
        <v>9</v>
      </c>
      <c r="M1583" s="15" t="n">
        <f aca="false">AI1583*評分方法!$C$9</f>
        <v>6</v>
      </c>
      <c r="N1583" s="15" t="n">
        <f aca="false">AJ1583*評分方法!$C$10</f>
        <v>5.18</v>
      </c>
      <c r="O1583" s="15" t="n">
        <f aca="false">AK1583*評分方法!$C$11</f>
        <v>2.5</v>
      </c>
      <c r="P1583" s="15" t="n">
        <f aca="false">AL1583*評分方法!$C$12</f>
        <v>0</v>
      </c>
      <c r="Q1583" s="6" t="n">
        <v>549402</v>
      </c>
      <c r="R1583" s="6" t="n">
        <v>11766034176</v>
      </c>
      <c r="S1583" s="11" t="s">
        <v>389</v>
      </c>
      <c r="T1583" s="11" t="s">
        <v>658</v>
      </c>
      <c r="U1583" s="5" t="s">
        <v>260</v>
      </c>
      <c r="V1583" s="11" t="s">
        <v>333</v>
      </c>
      <c r="W1583" s="5" t="s">
        <v>207</v>
      </c>
      <c r="X1583" s="5" t="s">
        <v>242</v>
      </c>
      <c r="Y1583" s="11" t="s">
        <v>1303</v>
      </c>
      <c r="Z1583" s="11" t="s">
        <v>244</v>
      </c>
      <c r="AA1583" s="11" t="s">
        <v>156</v>
      </c>
      <c r="AB1583" s="5" t="s">
        <v>245</v>
      </c>
      <c r="AC1583" s="5" t="s">
        <v>464</v>
      </c>
      <c r="AD1583" s="11" t="s">
        <v>3911</v>
      </c>
      <c r="AE1583" s="23" t="n">
        <v>0.85</v>
      </c>
      <c r="AF1583" s="23" t="n">
        <v>0</v>
      </c>
      <c r="AG1583" s="23" t="n">
        <v>0.67</v>
      </c>
      <c r="AH1583" s="23" t="n">
        <v>0.6</v>
      </c>
      <c r="AI1583" s="23" t="n">
        <v>0.6</v>
      </c>
      <c r="AJ1583" s="23" t="n">
        <v>0.518</v>
      </c>
      <c r="AK1583" s="23" t="n">
        <v>0.5</v>
      </c>
      <c r="AL1583" s="23" t="n">
        <v>0</v>
      </c>
      <c r="AM1583" s="16" t="n">
        <f aca="false">COUNTIFS($D$2:$D$2501,D1583,$G$2:$G$2501,"&gt;"&amp;G1583)+COUNTIFS($D$2:D1583,D1583,$G$2:G1583,G1583)</f>
        <v>747</v>
      </c>
      <c r="AN1583" s="5" t="str">
        <f aca="false">D1583&amp;"|"&amp;AM1583</f>
        <v>分析與報告生成|747</v>
      </c>
    </row>
    <row r="1584" customFormat="false" ht="17.15" hidden="false" customHeight="false" outlineLevel="0" collapsed="false">
      <c r="A1584" s="16" t="n">
        <f aca="false">RANK(G1584,$G$2:$G$2501)+COUNTIF($G$2:G1584,G1584)-1</f>
        <v>1583</v>
      </c>
      <c r="B1584" s="11" t="s">
        <v>3912</v>
      </c>
      <c r="C1584" s="11" t="s">
        <v>3913</v>
      </c>
      <c r="D1584" s="5" t="s">
        <v>56</v>
      </c>
      <c r="E1584" s="5" t="s">
        <v>57</v>
      </c>
      <c r="F1584" s="5"/>
      <c r="G1584" s="22" t="n">
        <f aca="false">ROUND(SUM(I1584:P1584),3)</f>
        <v>58.228</v>
      </c>
      <c r="H1584" s="5" t="str">
        <f aca="false">IF(G1584&gt;=評分方法!$C$16,"優先評估",IF(G1584&gt;=評分方法!$C$17,"列入候選",IF(G1584&gt;=評分方法!$C$18,"特定情境","不建議")))</f>
        <v>不建議</v>
      </c>
      <c r="I1584" s="15" t="n">
        <f aca="false">AE1584*評分方法!$C$5</f>
        <v>25.5</v>
      </c>
      <c r="J1584" s="15" t="n">
        <f aca="false">AF1584*評分方法!$C$6</f>
        <v>0</v>
      </c>
      <c r="K1584" s="15" t="n">
        <f aca="false">AG1584*評分方法!$C$7</f>
        <v>4.95</v>
      </c>
      <c r="L1584" s="15" t="n">
        <f aca="false">AH1584*評分方法!$C$8</f>
        <v>13.05</v>
      </c>
      <c r="M1584" s="15" t="n">
        <f aca="false">AI1584*評分方法!$C$9</f>
        <v>6</v>
      </c>
      <c r="N1584" s="15" t="n">
        <f aca="false">AJ1584*評分方法!$C$10</f>
        <v>6.228</v>
      </c>
      <c r="O1584" s="15" t="n">
        <f aca="false">AK1584*評分方法!$C$11</f>
        <v>2.5</v>
      </c>
      <c r="P1584" s="15" t="n">
        <f aca="false">AL1584*評分方法!$C$12</f>
        <v>0</v>
      </c>
      <c r="Q1584" s="6" t="n">
        <v>674624</v>
      </c>
      <c r="R1584" s="6" t="n">
        <v>9241705984</v>
      </c>
      <c r="S1584" s="11" t="s">
        <v>254</v>
      </c>
      <c r="T1584" s="11" t="s">
        <v>658</v>
      </c>
      <c r="U1584" s="5" t="s">
        <v>260</v>
      </c>
      <c r="V1584" s="11" t="s">
        <v>261</v>
      </c>
      <c r="W1584" s="5" t="s">
        <v>334</v>
      </c>
      <c r="X1584" s="5" t="s">
        <v>242</v>
      </c>
      <c r="Y1584" s="11" t="s">
        <v>3914</v>
      </c>
      <c r="Z1584" s="11" t="s">
        <v>270</v>
      </c>
      <c r="AA1584" s="11" t="s">
        <v>155</v>
      </c>
      <c r="AB1584" s="5" t="s">
        <v>328</v>
      </c>
      <c r="AC1584" s="5" t="s">
        <v>329</v>
      </c>
      <c r="AD1584" s="11" t="s">
        <v>3915</v>
      </c>
      <c r="AE1584" s="23" t="n">
        <v>0.85</v>
      </c>
      <c r="AF1584" s="23" t="n">
        <v>0</v>
      </c>
      <c r="AG1584" s="23" t="n">
        <v>0.33</v>
      </c>
      <c r="AH1584" s="23" t="n">
        <v>0.87</v>
      </c>
      <c r="AI1584" s="23" t="n">
        <v>0.6</v>
      </c>
      <c r="AJ1584" s="23" t="n">
        <v>0.6228</v>
      </c>
      <c r="AK1584" s="23" t="n">
        <v>0.5</v>
      </c>
      <c r="AL1584" s="23" t="n">
        <v>0</v>
      </c>
      <c r="AM1584" s="16" t="n">
        <f aca="false">COUNTIFS($D$2:$D$2501,D1584,$G$2:$G$2501,"&gt;"&amp;G1584)+COUNTIFS($D$2:D1584,D1584,$G$2:G1584,G1584)</f>
        <v>748</v>
      </c>
      <c r="AN1584" s="5" t="str">
        <f aca="false">D1584&amp;"|"&amp;AM1584</f>
        <v>分析與報告生成|748</v>
      </c>
    </row>
    <row r="1585" customFormat="false" ht="17.15" hidden="false" customHeight="false" outlineLevel="0" collapsed="false">
      <c r="A1585" s="16" t="n">
        <f aca="false">RANK(G1585,$G$2:$G$2501)+COUNTIF($G$2:G1585,G1585)-1</f>
        <v>1584</v>
      </c>
      <c r="B1585" s="11" t="s">
        <v>3916</v>
      </c>
      <c r="C1585" s="11" t="s">
        <v>2693</v>
      </c>
      <c r="D1585" s="5" t="s">
        <v>74</v>
      </c>
      <c r="E1585" s="5" t="s">
        <v>75</v>
      </c>
      <c r="F1585" s="5"/>
      <c r="G1585" s="22" t="n">
        <f aca="false">ROUND(SUM(I1585:P1585),3)</f>
        <v>58.204</v>
      </c>
      <c r="H1585" s="5" t="str">
        <f aca="false">IF(G1585&gt;=評分方法!$C$16,"優先評估",IF(G1585&gt;=評分方法!$C$17,"列入候選",IF(G1585&gt;=評分方法!$C$18,"特定情境","不建議")))</f>
        <v>不建議</v>
      </c>
      <c r="I1585" s="15" t="n">
        <f aca="false">AE1585*評分方法!$C$5</f>
        <v>10.5</v>
      </c>
      <c r="J1585" s="15" t="n">
        <f aca="false">AF1585*評分方法!$C$6</f>
        <v>0</v>
      </c>
      <c r="K1585" s="15" t="n">
        <f aca="false">AG1585*評分方法!$C$7</f>
        <v>15</v>
      </c>
      <c r="L1585" s="15" t="n">
        <f aca="false">AH1585*評分方法!$C$8</f>
        <v>15</v>
      </c>
      <c r="M1585" s="15" t="n">
        <f aca="false">AI1585*評分方法!$C$9</f>
        <v>10</v>
      </c>
      <c r="N1585" s="15" t="n">
        <f aca="false">AJ1585*評分方法!$C$10</f>
        <v>3.704</v>
      </c>
      <c r="O1585" s="15" t="n">
        <f aca="false">AK1585*評分方法!$C$11</f>
        <v>2.5</v>
      </c>
      <c r="P1585" s="15" t="n">
        <f aca="false">AL1585*評分方法!$C$12</f>
        <v>1.5</v>
      </c>
      <c r="Q1585" s="6" t="n">
        <v>376037</v>
      </c>
      <c r="R1585" s="6" t="n">
        <v>99271400</v>
      </c>
      <c r="S1585" s="11" t="s">
        <v>238</v>
      </c>
      <c r="T1585" s="11" t="s">
        <v>239</v>
      </c>
      <c r="U1585" s="5" t="s">
        <v>240</v>
      </c>
      <c r="V1585" s="11" t="s">
        <v>324</v>
      </c>
      <c r="W1585" s="5" t="s">
        <v>205</v>
      </c>
      <c r="X1585" s="5" t="s">
        <v>255</v>
      </c>
      <c r="Y1585" s="5"/>
      <c r="Z1585" s="5"/>
      <c r="AA1585" s="11" t="s">
        <v>172</v>
      </c>
      <c r="AB1585" s="5" t="s">
        <v>245</v>
      </c>
      <c r="AC1585" s="5"/>
      <c r="AD1585" s="11" t="s">
        <v>3917</v>
      </c>
      <c r="AE1585" s="23" t="n">
        <v>0.35</v>
      </c>
      <c r="AF1585" s="23" t="n">
        <v>0</v>
      </c>
      <c r="AG1585" s="23" t="n">
        <v>1</v>
      </c>
      <c r="AH1585" s="23" t="n">
        <v>1</v>
      </c>
      <c r="AI1585" s="23" t="n">
        <v>1</v>
      </c>
      <c r="AJ1585" s="23" t="n">
        <v>0.3704</v>
      </c>
      <c r="AK1585" s="23" t="n">
        <v>0.5</v>
      </c>
      <c r="AL1585" s="23" t="n">
        <v>0.3</v>
      </c>
      <c r="AM1585" s="16" t="n">
        <f aca="false">COUNTIFS($D$2:$D$2501,D1585,$G$2:$G$2501,"&gt;"&amp;G1585)+COUNTIFS($D$2:D1585,D1585,$G$2:G1585,G1585)</f>
        <v>127</v>
      </c>
      <c r="AN1585" s="5" t="str">
        <f aca="false">D1585&amp;"|"&amp;AM1585</f>
        <v>文件與影像辨識|127</v>
      </c>
    </row>
    <row r="1586" customFormat="false" ht="17.15" hidden="false" customHeight="false" outlineLevel="0" collapsed="false">
      <c r="A1586" s="16" t="n">
        <f aca="false">RANK(G1586,$G$2:$G$2501)+COUNTIF($G$2:G1586,G1586)-1</f>
        <v>1585</v>
      </c>
      <c r="B1586" s="11" t="s">
        <v>3918</v>
      </c>
      <c r="C1586" s="11" t="s">
        <v>1677</v>
      </c>
      <c r="D1586" s="5" t="s">
        <v>54</v>
      </c>
      <c r="E1586" s="5" t="s">
        <v>55</v>
      </c>
      <c r="F1586" s="5"/>
      <c r="G1586" s="22" t="n">
        <f aca="false">ROUND(SUM(I1586:P1586),3)</f>
        <v>58.204</v>
      </c>
      <c r="H1586" s="5" t="str">
        <f aca="false">IF(G1586&gt;=評分方法!$C$16,"優先評估",IF(G1586&gt;=評分方法!$C$17,"列入候選",IF(G1586&gt;=評分方法!$C$18,"特定情境","不建議")))</f>
        <v>不建議</v>
      </c>
      <c r="I1586" s="15" t="n">
        <f aca="false">AE1586*評分方法!$C$5</f>
        <v>27</v>
      </c>
      <c r="J1586" s="15" t="n">
        <f aca="false">AF1586*評分方法!$C$6</f>
        <v>0</v>
      </c>
      <c r="K1586" s="15" t="n">
        <f aca="false">AG1586*評分方法!$C$7</f>
        <v>10.05</v>
      </c>
      <c r="L1586" s="15" t="n">
        <f aca="false">AH1586*評分方法!$C$8</f>
        <v>7.05</v>
      </c>
      <c r="M1586" s="15" t="n">
        <f aca="false">AI1586*評分方法!$C$9</f>
        <v>2</v>
      </c>
      <c r="N1586" s="15" t="n">
        <f aca="false">AJ1586*評分方法!$C$10</f>
        <v>8.104</v>
      </c>
      <c r="O1586" s="15" t="n">
        <f aca="false">AK1586*評分方法!$C$11</f>
        <v>2.5</v>
      </c>
      <c r="P1586" s="15" t="n">
        <f aca="false">AL1586*評分方法!$C$12</f>
        <v>1.5</v>
      </c>
      <c r="Q1586" s="6" t="n">
        <v>1713710</v>
      </c>
      <c r="R1586" s="6"/>
      <c r="S1586" s="5" t="s">
        <v>255</v>
      </c>
      <c r="T1586" s="5"/>
      <c r="U1586" s="5" t="s">
        <v>375</v>
      </c>
      <c r="V1586" s="11" t="s">
        <v>514</v>
      </c>
      <c r="W1586" s="5" t="s">
        <v>207</v>
      </c>
      <c r="X1586" s="5" t="s">
        <v>255</v>
      </c>
      <c r="Y1586" s="11" t="s">
        <v>281</v>
      </c>
      <c r="Z1586" s="11" t="s">
        <v>244</v>
      </c>
      <c r="AA1586" s="11" t="s">
        <v>153</v>
      </c>
      <c r="AB1586" s="5" t="s">
        <v>245</v>
      </c>
      <c r="AC1586" s="5" t="s">
        <v>464</v>
      </c>
      <c r="AD1586" s="11" t="s">
        <v>3919</v>
      </c>
      <c r="AE1586" s="23" t="n">
        <v>0.9</v>
      </c>
      <c r="AF1586" s="23" t="n">
        <v>0</v>
      </c>
      <c r="AG1586" s="23" t="n">
        <v>0.67</v>
      </c>
      <c r="AH1586" s="23" t="n">
        <v>0.47</v>
      </c>
      <c r="AI1586" s="23" t="n">
        <v>0.2</v>
      </c>
      <c r="AJ1586" s="23" t="n">
        <v>0.8104</v>
      </c>
      <c r="AK1586" s="23" t="n">
        <v>0.5</v>
      </c>
      <c r="AL1586" s="23" t="n">
        <v>0.3</v>
      </c>
      <c r="AM1586" s="16" t="n">
        <f aca="false">COUNTIFS($D$2:$D$2501,D1586,$G$2:$G$2501,"&gt;"&amp;G1586)+COUNTIFS($D$2:D1586,D1586,$G$2:G1586,G1586)</f>
        <v>205</v>
      </c>
      <c r="AN1586" s="5" t="str">
        <f aca="false">D1586&amp;"|"&amp;AM1586</f>
        <v>檢索與情資關聯|205</v>
      </c>
    </row>
    <row r="1587" customFormat="false" ht="17.15" hidden="false" customHeight="false" outlineLevel="0" collapsed="false">
      <c r="A1587" s="16" t="n">
        <f aca="false">RANK(G1587,$G$2:$G$2501)+COUNTIF($G$2:G1587,G1587)-1</f>
        <v>1586</v>
      </c>
      <c r="B1587" s="11" t="s">
        <v>3920</v>
      </c>
      <c r="C1587" s="11" t="s">
        <v>368</v>
      </c>
      <c r="D1587" s="5" t="s">
        <v>74</v>
      </c>
      <c r="E1587" s="5" t="s">
        <v>75</v>
      </c>
      <c r="F1587" s="5"/>
      <c r="G1587" s="22" t="n">
        <f aca="false">ROUND(SUM(I1587:P1587),3)</f>
        <v>58.192</v>
      </c>
      <c r="H1587" s="5" t="str">
        <f aca="false">IF(G1587&gt;=評分方法!$C$16,"優先評估",IF(G1587&gt;=評分方法!$C$17,"列入候選",IF(G1587&gt;=評分方法!$C$18,"特定情境","不建議")))</f>
        <v>不建議</v>
      </c>
      <c r="I1587" s="15" t="n">
        <f aca="false">AE1587*評分方法!$C$5</f>
        <v>7.5</v>
      </c>
      <c r="J1587" s="15" t="n">
        <f aca="false">AF1587*評分方法!$C$6</f>
        <v>0</v>
      </c>
      <c r="K1587" s="15" t="n">
        <f aca="false">AG1587*評分方法!$C$7</f>
        <v>15</v>
      </c>
      <c r="L1587" s="15" t="n">
        <f aca="false">AH1587*評分方法!$C$8</f>
        <v>15</v>
      </c>
      <c r="M1587" s="15" t="n">
        <f aca="false">AI1587*評分方法!$C$9</f>
        <v>10</v>
      </c>
      <c r="N1587" s="15" t="n">
        <f aca="false">AJ1587*評分方法!$C$10</f>
        <v>6.692</v>
      </c>
      <c r="O1587" s="15" t="n">
        <f aca="false">AK1587*評分方法!$C$11</f>
        <v>2.5</v>
      </c>
      <c r="P1587" s="15" t="n">
        <f aca="false">AL1587*評分方法!$C$12</f>
        <v>1.5</v>
      </c>
      <c r="Q1587" s="6" t="n">
        <v>810630</v>
      </c>
      <c r="R1587" s="6" t="n">
        <v>437610759</v>
      </c>
      <c r="S1587" s="11" t="s">
        <v>238</v>
      </c>
      <c r="T1587" s="11" t="s">
        <v>239</v>
      </c>
      <c r="U1587" s="5" t="s">
        <v>240</v>
      </c>
      <c r="V1587" s="11" t="s">
        <v>324</v>
      </c>
      <c r="W1587" s="5" t="s">
        <v>205</v>
      </c>
      <c r="X1587" s="5" t="s">
        <v>255</v>
      </c>
      <c r="Y1587" s="5"/>
      <c r="Z1587" s="5"/>
      <c r="AA1587" s="11" t="s">
        <v>180</v>
      </c>
      <c r="AB1587" s="5" t="s">
        <v>245</v>
      </c>
      <c r="AC1587" s="5"/>
      <c r="AD1587" s="11" t="s">
        <v>3921</v>
      </c>
      <c r="AE1587" s="23" t="n">
        <v>0.25</v>
      </c>
      <c r="AF1587" s="23" t="n">
        <v>0</v>
      </c>
      <c r="AG1587" s="23" t="n">
        <v>1</v>
      </c>
      <c r="AH1587" s="23" t="n">
        <v>1</v>
      </c>
      <c r="AI1587" s="23" t="n">
        <v>1</v>
      </c>
      <c r="AJ1587" s="23" t="n">
        <v>0.6692</v>
      </c>
      <c r="AK1587" s="23" t="n">
        <v>0.5</v>
      </c>
      <c r="AL1587" s="23" t="n">
        <v>0.3</v>
      </c>
      <c r="AM1587" s="16" t="n">
        <f aca="false">COUNTIFS($D$2:$D$2501,D1587,$G$2:$G$2501,"&gt;"&amp;G1587)+COUNTIFS($D$2:D1587,D1587,$G$2:G1587,G1587)</f>
        <v>128</v>
      </c>
      <c r="AN1587" s="5" t="str">
        <f aca="false">D1587&amp;"|"&amp;AM1587</f>
        <v>文件與影像辨識|128</v>
      </c>
    </row>
    <row r="1588" customFormat="false" ht="17.15" hidden="false" customHeight="false" outlineLevel="0" collapsed="false">
      <c r="A1588" s="16" t="n">
        <f aca="false">RANK(G1588,$G$2:$G$2501)+COUNTIF($G$2:G1588,G1588)-1</f>
        <v>1587</v>
      </c>
      <c r="B1588" s="11" t="s">
        <v>3922</v>
      </c>
      <c r="C1588" s="11" t="s">
        <v>1132</v>
      </c>
      <c r="D1588" s="5" t="s">
        <v>66</v>
      </c>
      <c r="E1588" s="5" t="s">
        <v>67</v>
      </c>
      <c r="F1588" s="5"/>
      <c r="G1588" s="22" t="n">
        <f aca="false">ROUND(SUM(I1588:P1588),3)</f>
        <v>58.19</v>
      </c>
      <c r="H1588" s="5" t="str">
        <f aca="false">IF(G1588&gt;=評分方法!$C$16,"優先評估",IF(G1588&gt;=評分方法!$C$17,"列入候選",IF(G1588&gt;=評分方法!$C$18,"特定情境","不建議")))</f>
        <v>不建議</v>
      </c>
      <c r="I1588" s="15" t="n">
        <f aca="false">AE1588*評分方法!$C$5</f>
        <v>27</v>
      </c>
      <c r="J1588" s="15" t="n">
        <f aca="false">AF1588*評分方法!$C$6</f>
        <v>0</v>
      </c>
      <c r="K1588" s="15" t="n">
        <f aca="false">AG1588*評分方法!$C$7</f>
        <v>4.95</v>
      </c>
      <c r="L1588" s="15" t="n">
        <f aca="false">AH1588*評分方法!$C$8</f>
        <v>15</v>
      </c>
      <c r="M1588" s="15" t="n">
        <f aca="false">AI1588*評分方法!$C$9</f>
        <v>10</v>
      </c>
      <c r="N1588" s="15" t="n">
        <f aca="false">AJ1588*評分方法!$C$10</f>
        <v>0.24</v>
      </c>
      <c r="O1588" s="15" t="n">
        <f aca="false">AK1588*評分方法!$C$11</f>
        <v>1</v>
      </c>
      <c r="P1588" s="15" t="n">
        <f aca="false">AL1588*評分方法!$C$12</f>
        <v>0</v>
      </c>
      <c r="Q1588" s="6" t="n">
        <v>122512</v>
      </c>
      <c r="R1588" s="6" t="n">
        <v>184423682</v>
      </c>
      <c r="S1588" s="11" t="s">
        <v>238</v>
      </c>
      <c r="T1588" s="11" t="s">
        <v>278</v>
      </c>
      <c r="U1588" s="5" t="s">
        <v>240</v>
      </c>
      <c r="V1588" s="11" t="s">
        <v>288</v>
      </c>
      <c r="W1588" s="5" t="s">
        <v>334</v>
      </c>
      <c r="X1588" s="5" t="s">
        <v>242</v>
      </c>
      <c r="Y1588" s="5"/>
      <c r="Z1588" s="5"/>
      <c r="AA1588" s="11" t="s">
        <v>151</v>
      </c>
      <c r="AB1588" s="5" t="s">
        <v>245</v>
      </c>
      <c r="AC1588" s="5"/>
      <c r="AD1588" s="11" t="s">
        <v>3923</v>
      </c>
      <c r="AE1588" s="23" t="n">
        <v>0.9</v>
      </c>
      <c r="AF1588" s="23" t="n">
        <v>0</v>
      </c>
      <c r="AG1588" s="23" t="n">
        <v>0.33</v>
      </c>
      <c r="AH1588" s="23" t="n">
        <v>1</v>
      </c>
      <c r="AI1588" s="23" t="n">
        <v>1</v>
      </c>
      <c r="AJ1588" s="23" t="n">
        <v>0.024</v>
      </c>
      <c r="AK1588" s="23" t="n">
        <v>0.2</v>
      </c>
      <c r="AL1588" s="23" t="n">
        <v>0</v>
      </c>
      <c r="AM1588" s="16" t="n">
        <f aca="false">COUNTIFS($D$2:$D$2501,D1588,$G$2:$G$2501,"&gt;"&amp;G1588)+COUNTIFS($D$2:D1588,D1588,$G$2:G1588,G1588)</f>
        <v>46</v>
      </c>
      <c r="AN1588" s="5" t="str">
        <f aca="false">D1588&amp;"|"&amp;AM1588</f>
        <v>分類與偵測|46</v>
      </c>
    </row>
    <row r="1589" customFormat="false" ht="17.15" hidden="false" customHeight="false" outlineLevel="0" collapsed="false">
      <c r="A1589" s="16" t="n">
        <f aca="false">RANK(G1589,$G$2:$G$2501)+COUNTIF($G$2:G1589,G1589)-1</f>
        <v>1588</v>
      </c>
      <c r="B1589" s="11" t="s">
        <v>3924</v>
      </c>
      <c r="C1589" s="11" t="s">
        <v>368</v>
      </c>
      <c r="D1589" s="5" t="s">
        <v>74</v>
      </c>
      <c r="E1589" s="5" t="s">
        <v>75</v>
      </c>
      <c r="F1589" s="5"/>
      <c r="G1589" s="22" t="n">
        <f aca="false">ROUND(SUM(I1589:P1589),3)</f>
        <v>58.162</v>
      </c>
      <c r="H1589" s="5" t="str">
        <f aca="false">IF(G1589&gt;=評分方法!$C$16,"優先評估",IF(G1589&gt;=評分方法!$C$17,"列入候選",IF(G1589&gt;=評分方法!$C$18,"特定情境","不建議")))</f>
        <v>不建議</v>
      </c>
      <c r="I1589" s="15" t="n">
        <f aca="false">AE1589*評分方法!$C$5</f>
        <v>12</v>
      </c>
      <c r="J1589" s="15" t="n">
        <f aca="false">AF1589*評分方法!$C$6</f>
        <v>0</v>
      </c>
      <c r="K1589" s="15" t="n">
        <f aca="false">AG1589*評分方法!$C$7</f>
        <v>15</v>
      </c>
      <c r="L1589" s="15" t="n">
        <f aca="false">AH1589*評分方法!$C$8</f>
        <v>13.05</v>
      </c>
      <c r="M1589" s="15" t="n">
        <f aca="false">AI1589*評分方法!$C$9</f>
        <v>10</v>
      </c>
      <c r="N1589" s="15" t="n">
        <f aca="false">AJ1589*評分方法!$C$10</f>
        <v>4.112</v>
      </c>
      <c r="O1589" s="15" t="n">
        <f aca="false">AK1589*評分方法!$C$11</f>
        <v>2.5</v>
      </c>
      <c r="P1589" s="15" t="n">
        <f aca="false">AL1589*評分方法!$C$12</f>
        <v>1.5</v>
      </c>
      <c r="Q1589" s="6" t="n">
        <v>438857</v>
      </c>
      <c r="R1589" s="6" t="n">
        <v>1135463602</v>
      </c>
      <c r="S1589" s="11" t="s">
        <v>254</v>
      </c>
      <c r="T1589" s="11" t="s">
        <v>239</v>
      </c>
      <c r="U1589" s="5" t="s">
        <v>240</v>
      </c>
      <c r="V1589" s="11" t="s">
        <v>261</v>
      </c>
      <c r="W1589" s="5" t="s">
        <v>205</v>
      </c>
      <c r="X1589" s="5" t="s">
        <v>255</v>
      </c>
      <c r="Y1589" s="5"/>
      <c r="Z1589" s="5"/>
      <c r="AA1589" s="11" t="s">
        <v>167</v>
      </c>
      <c r="AB1589" s="5" t="s">
        <v>245</v>
      </c>
      <c r="AC1589" s="5"/>
      <c r="AD1589" s="11" t="s">
        <v>3925</v>
      </c>
      <c r="AE1589" s="23" t="n">
        <v>0.4</v>
      </c>
      <c r="AF1589" s="23" t="n">
        <v>0</v>
      </c>
      <c r="AG1589" s="23" t="n">
        <v>1</v>
      </c>
      <c r="AH1589" s="23" t="n">
        <v>0.87</v>
      </c>
      <c r="AI1589" s="23" t="n">
        <v>1</v>
      </c>
      <c r="AJ1589" s="23" t="n">
        <v>0.4112</v>
      </c>
      <c r="AK1589" s="23" t="n">
        <v>0.5</v>
      </c>
      <c r="AL1589" s="23" t="n">
        <v>0.3</v>
      </c>
      <c r="AM1589" s="16" t="n">
        <f aca="false">COUNTIFS($D$2:$D$2501,D1589,$G$2:$G$2501,"&gt;"&amp;G1589)+COUNTIFS($D$2:D1589,D1589,$G$2:G1589,G1589)</f>
        <v>129</v>
      </c>
      <c r="AN1589" s="5" t="str">
        <f aca="false">D1589&amp;"|"&amp;AM1589</f>
        <v>文件與影像辨識|129</v>
      </c>
    </row>
    <row r="1590" customFormat="false" ht="17.15" hidden="false" customHeight="false" outlineLevel="0" collapsed="false">
      <c r="A1590" s="16" t="n">
        <f aca="false">RANK(G1590,$G$2:$G$2501)+COUNTIF($G$2:G1590,G1590)-1</f>
        <v>1589</v>
      </c>
      <c r="B1590" s="11" t="s">
        <v>3926</v>
      </c>
      <c r="C1590" s="11" t="s">
        <v>753</v>
      </c>
      <c r="D1590" s="5" t="s">
        <v>56</v>
      </c>
      <c r="E1590" s="5" t="s">
        <v>57</v>
      </c>
      <c r="F1590" s="5"/>
      <c r="G1590" s="22" t="n">
        <f aca="false">ROUND(SUM(I1590:P1590),3)</f>
        <v>58.16</v>
      </c>
      <c r="H1590" s="5" t="str">
        <f aca="false">IF(G1590&gt;=評分方法!$C$16,"優先評估",IF(G1590&gt;=評分方法!$C$17,"列入候選",IF(G1590&gt;=評分方法!$C$18,"特定情境","不建議")))</f>
        <v>不建議</v>
      </c>
      <c r="I1590" s="15" t="n">
        <f aca="false">AE1590*評分方法!$C$5</f>
        <v>25.5</v>
      </c>
      <c r="J1590" s="15" t="n">
        <f aca="false">AF1590*評分方法!$C$6</f>
        <v>0</v>
      </c>
      <c r="K1590" s="15" t="n">
        <f aca="false">AG1590*評分方法!$C$7</f>
        <v>10.05</v>
      </c>
      <c r="L1590" s="15" t="n">
        <f aca="false">AH1590*評分方法!$C$8</f>
        <v>13.05</v>
      </c>
      <c r="M1590" s="15" t="n">
        <f aca="false">AI1590*評分方法!$C$9</f>
        <v>6</v>
      </c>
      <c r="N1590" s="15" t="n">
        <f aca="false">AJ1590*評分方法!$C$10</f>
        <v>1.06</v>
      </c>
      <c r="O1590" s="15" t="n">
        <f aca="false">AK1590*評分方法!$C$11</f>
        <v>2.5</v>
      </c>
      <c r="P1590" s="15" t="n">
        <f aca="false">AL1590*評分方法!$C$12</f>
        <v>0</v>
      </c>
      <c r="Q1590" s="6" t="n">
        <v>156228</v>
      </c>
      <c r="R1590" s="6" t="n">
        <v>4455632480</v>
      </c>
      <c r="S1590" s="11" t="s">
        <v>254</v>
      </c>
      <c r="T1590" s="11" t="s">
        <v>658</v>
      </c>
      <c r="U1590" s="5" t="s">
        <v>260</v>
      </c>
      <c r="V1590" s="11" t="s">
        <v>333</v>
      </c>
      <c r="W1590" s="5" t="s">
        <v>207</v>
      </c>
      <c r="X1590" s="5" t="s">
        <v>242</v>
      </c>
      <c r="Y1590" s="11" t="s">
        <v>1002</v>
      </c>
      <c r="Z1590" s="11" t="s">
        <v>244</v>
      </c>
      <c r="AA1590" s="11" t="s">
        <v>156</v>
      </c>
      <c r="AB1590" s="5" t="s">
        <v>245</v>
      </c>
      <c r="AC1590" s="5" t="s">
        <v>464</v>
      </c>
      <c r="AD1590" s="11" t="s">
        <v>3927</v>
      </c>
      <c r="AE1590" s="23" t="n">
        <v>0.85</v>
      </c>
      <c r="AF1590" s="23" t="n">
        <v>0</v>
      </c>
      <c r="AG1590" s="23" t="n">
        <v>0.67</v>
      </c>
      <c r="AH1590" s="23" t="n">
        <v>0.87</v>
      </c>
      <c r="AI1590" s="23" t="n">
        <v>0.6</v>
      </c>
      <c r="AJ1590" s="23" t="n">
        <v>0.106</v>
      </c>
      <c r="AK1590" s="23" t="n">
        <v>0.5</v>
      </c>
      <c r="AL1590" s="23" t="n">
        <v>0</v>
      </c>
      <c r="AM1590" s="16" t="n">
        <f aca="false">COUNTIFS($D$2:$D$2501,D1590,$G$2:$G$2501,"&gt;"&amp;G1590)+COUNTIFS($D$2:D1590,D1590,$G$2:G1590,G1590)</f>
        <v>749</v>
      </c>
      <c r="AN1590" s="5" t="str">
        <f aca="false">D1590&amp;"|"&amp;AM1590</f>
        <v>分析與報告生成|749</v>
      </c>
    </row>
    <row r="1591" customFormat="false" ht="17.15" hidden="false" customHeight="false" outlineLevel="0" collapsed="false">
      <c r="A1591" s="16" t="n">
        <f aca="false">RANK(G1591,$G$2:$G$2501)+COUNTIF($G$2:G1591,G1591)-1</f>
        <v>1590</v>
      </c>
      <c r="B1591" s="11" t="s">
        <v>3928</v>
      </c>
      <c r="C1591" s="11" t="s">
        <v>3929</v>
      </c>
      <c r="D1591" s="5" t="s">
        <v>54</v>
      </c>
      <c r="E1591" s="5" t="s">
        <v>55</v>
      </c>
      <c r="F1591" s="5"/>
      <c r="G1591" s="22" t="n">
        <f aca="false">ROUND(SUM(I1591:P1591),3)</f>
        <v>58.15</v>
      </c>
      <c r="H1591" s="5" t="str">
        <f aca="false">IF(G1591&gt;=評分方法!$C$16,"優先評估",IF(G1591&gt;=評分方法!$C$17,"列入候選",IF(G1591&gt;=評分方法!$C$18,"特定情境","不建議")))</f>
        <v>不建議</v>
      </c>
      <c r="I1591" s="15" t="n">
        <f aca="false">AE1591*評分方法!$C$5</f>
        <v>27</v>
      </c>
      <c r="J1591" s="15" t="n">
        <f aca="false">AF1591*評分方法!$C$6</f>
        <v>0</v>
      </c>
      <c r="K1591" s="15" t="n">
        <f aca="false">AG1591*評分方法!$C$7</f>
        <v>4.95</v>
      </c>
      <c r="L1591" s="15" t="n">
        <f aca="false">AH1591*評分方法!$C$8</f>
        <v>15</v>
      </c>
      <c r="M1591" s="15" t="n">
        <f aca="false">AI1591*評分方法!$C$9</f>
        <v>2</v>
      </c>
      <c r="N1591" s="15" t="n">
        <f aca="false">AJ1591*評分方法!$C$10</f>
        <v>5.2</v>
      </c>
      <c r="O1591" s="15" t="n">
        <f aca="false">AK1591*評分方法!$C$11</f>
        <v>2.5</v>
      </c>
      <c r="P1591" s="15" t="n">
        <f aca="false">AL1591*評分方法!$C$12</f>
        <v>1.5</v>
      </c>
      <c r="Q1591" s="6" t="n">
        <v>550670</v>
      </c>
      <c r="R1591" s="6" t="n">
        <v>117653760</v>
      </c>
      <c r="S1591" s="11" t="s">
        <v>238</v>
      </c>
      <c r="T1591" s="5"/>
      <c r="U1591" s="5" t="s">
        <v>375</v>
      </c>
      <c r="V1591" s="11" t="s">
        <v>261</v>
      </c>
      <c r="W1591" s="5" t="s">
        <v>334</v>
      </c>
      <c r="X1591" s="5" t="s">
        <v>255</v>
      </c>
      <c r="Y1591" s="11" t="s">
        <v>281</v>
      </c>
      <c r="Z1591" s="11" t="s">
        <v>270</v>
      </c>
      <c r="AA1591" s="11" t="s">
        <v>152</v>
      </c>
      <c r="AB1591" s="5" t="s">
        <v>245</v>
      </c>
      <c r="AC1591" s="5" t="s">
        <v>262</v>
      </c>
      <c r="AD1591" s="11" t="s">
        <v>3930</v>
      </c>
      <c r="AE1591" s="23" t="n">
        <v>0.9</v>
      </c>
      <c r="AF1591" s="23" t="n">
        <v>0</v>
      </c>
      <c r="AG1591" s="23" t="n">
        <v>0.33</v>
      </c>
      <c r="AH1591" s="23" t="n">
        <v>1</v>
      </c>
      <c r="AI1591" s="23" t="n">
        <v>0.2</v>
      </c>
      <c r="AJ1591" s="23" t="n">
        <v>0.52</v>
      </c>
      <c r="AK1591" s="23" t="n">
        <v>0.5</v>
      </c>
      <c r="AL1591" s="23" t="n">
        <v>0.3</v>
      </c>
      <c r="AM1591" s="16" t="n">
        <f aca="false">COUNTIFS($D$2:$D$2501,D1591,$G$2:$G$2501,"&gt;"&amp;G1591)+COUNTIFS($D$2:D1591,D1591,$G$2:G1591,G1591)</f>
        <v>206</v>
      </c>
      <c r="AN1591" s="5" t="str">
        <f aca="false">D1591&amp;"|"&amp;AM1591</f>
        <v>檢索與情資關聯|206</v>
      </c>
    </row>
    <row r="1592" customFormat="false" ht="17.15" hidden="false" customHeight="false" outlineLevel="0" collapsed="false">
      <c r="A1592" s="16" t="n">
        <f aca="false">RANK(G1592,$G$2:$G$2501)+COUNTIF($G$2:G1592,G1592)-1</f>
        <v>1591</v>
      </c>
      <c r="B1592" s="11" t="s">
        <v>3931</v>
      </c>
      <c r="C1592" s="11" t="s">
        <v>3932</v>
      </c>
      <c r="D1592" s="5" t="s">
        <v>70</v>
      </c>
      <c r="E1592" s="5" t="s">
        <v>71</v>
      </c>
      <c r="F1592" s="5" t="s">
        <v>70</v>
      </c>
      <c r="G1592" s="22" t="n">
        <f aca="false">ROUND(SUM(I1592:P1592),3)</f>
        <v>58.138</v>
      </c>
      <c r="H1592" s="5" t="str">
        <f aca="false">IF(G1592&gt;=評分方法!$C$16,"優先評估",IF(G1592&gt;=評分方法!$C$17,"列入候選",IF(G1592&gt;=評分方法!$C$18,"特定情境","不建議")))</f>
        <v>不建議</v>
      </c>
      <c r="I1592" s="15" t="n">
        <f aca="false">AE1592*評分方法!$C$5</f>
        <v>10.5</v>
      </c>
      <c r="J1592" s="15" t="n">
        <f aca="false">AF1592*評分方法!$C$6</f>
        <v>5</v>
      </c>
      <c r="K1592" s="15" t="n">
        <f aca="false">AG1592*評分方法!$C$7</f>
        <v>4.95</v>
      </c>
      <c r="L1592" s="15" t="n">
        <f aca="false">AH1592*評分方法!$C$8</f>
        <v>15</v>
      </c>
      <c r="M1592" s="15" t="n">
        <f aca="false">AI1592*評分方法!$C$9</f>
        <v>10</v>
      </c>
      <c r="N1592" s="15" t="n">
        <f aca="false">AJ1592*評分方法!$C$10</f>
        <v>8.688</v>
      </c>
      <c r="O1592" s="15" t="n">
        <f aca="false">AK1592*評分方法!$C$11</f>
        <v>2.5</v>
      </c>
      <c r="P1592" s="15" t="n">
        <f aca="false">AL1592*評分方法!$C$12</f>
        <v>1.5</v>
      </c>
      <c r="Q1592" s="6" t="n">
        <v>2725441</v>
      </c>
      <c r="R1592" s="6" t="n">
        <v>86351620</v>
      </c>
      <c r="S1592" s="11" t="s">
        <v>238</v>
      </c>
      <c r="T1592" s="11" t="s">
        <v>278</v>
      </c>
      <c r="U1592" s="5" t="s">
        <v>240</v>
      </c>
      <c r="V1592" s="11" t="s">
        <v>261</v>
      </c>
      <c r="W1592" s="5" t="s">
        <v>334</v>
      </c>
      <c r="X1592" s="5" t="s">
        <v>255</v>
      </c>
      <c r="Y1592" s="11" t="s">
        <v>3933</v>
      </c>
      <c r="Z1592" s="11" t="s">
        <v>270</v>
      </c>
      <c r="AA1592" s="11" t="s">
        <v>172</v>
      </c>
      <c r="AB1592" s="5" t="s">
        <v>245</v>
      </c>
      <c r="AC1592" s="5"/>
      <c r="AD1592" s="11" t="s">
        <v>3934</v>
      </c>
      <c r="AE1592" s="23" t="n">
        <v>0.35</v>
      </c>
      <c r="AF1592" s="23" t="n">
        <v>0.5</v>
      </c>
      <c r="AG1592" s="23" t="n">
        <v>0.33</v>
      </c>
      <c r="AH1592" s="23" t="n">
        <v>1</v>
      </c>
      <c r="AI1592" s="23" t="n">
        <v>1</v>
      </c>
      <c r="AJ1592" s="23" t="n">
        <v>0.8688</v>
      </c>
      <c r="AK1592" s="23" t="n">
        <v>0.5</v>
      </c>
      <c r="AL1592" s="23" t="n">
        <v>0.3</v>
      </c>
      <c r="AM1592" s="16" t="n">
        <f aca="false">COUNTIFS($D$2:$D$2501,D1592,$G$2:$G$2501,"&gt;"&amp;G1592)+COUNTIFS($D$2:D1592,D1592,$G$2:G1592,G1592)</f>
        <v>10</v>
      </c>
      <c r="AN1592" s="5" t="str">
        <f aca="false">D1592&amp;"|"&amp;AM1592</f>
        <v>內容安全審查|10</v>
      </c>
    </row>
    <row r="1593" customFormat="false" ht="17.15" hidden="false" customHeight="false" outlineLevel="0" collapsed="false">
      <c r="A1593" s="16" t="n">
        <f aca="false">RANK(G1593,$G$2:$G$2501)+COUNTIF($G$2:G1593,G1593)-1</f>
        <v>1592</v>
      </c>
      <c r="B1593" s="11" t="s">
        <v>3935</v>
      </c>
      <c r="C1593" s="11" t="s">
        <v>327</v>
      </c>
      <c r="D1593" s="5" t="s">
        <v>56</v>
      </c>
      <c r="E1593" s="5" t="s">
        <v>57</v>
      </c>
      <c r="F1593" s="5"/>
      <c r="G1593" s="22" t="n">
        <f aca="false">ROUND(SUM(I1593:P1593),3)</f>
        <v>58.106</v>
      </c>
      <c r="H1593" s="5" t="str">
        <f aca="false">IF(G1593&gt;=評分方法!$C$16,"優先評估",IF(G1593&gt;=評分方法!$C$17,"列入候選",IF(G1593&gt;=評分方法!$C$18,"特定情境","不建議")))</f>
        <v>不建議</v>
      </c>
      <c r="I1593" s="15" t="n">
        <f aca="false">AE1593*評分方法!$C$5</f>
        <v>25.5</v>
      </c>
      <c r="J1593" s="15" t="n">
        <f aca="false">AF1593*評分方法!$C$6</f>
        <v>0</v>
      </c>
      <c r="K1593" s="15" t="n">
        <f aca="false">AG1593*評分方法!$C$7</f>
        <v>15</v>
      </c>
      <c r="L1593" s="15" t="n">
        <f aca="false">AH1593*評分方法!$C$8</f>
        <v>4.95</v>
      </c>
      <c r="M1593" s="15" t="n">
        <f aca="false">AI1593*評分方法!$C$9</f>
        <v>6</v>
      </c>
      <c r="N1593" s="15" t="n">
        <f aca="false">AJ1593*評分方法!$C$10</f>
        <v>1.156</v>
      </c>
      <c r="O1593" s="15" t="n">
        <f aca="false">AK1593*評分方法!$C$11</f>
        <v>2.5</v>
      </c>
      <c r="P1593" s="15" t="n">
        <f aca="false">AL1593*評分方法!$C$12</f>
        <v>3</v>
      </c>
      <c r="Q1593" s="6" t="n">
        <v>159633</v>
      </c>
      <c r="R1593" s="6" t="n">
        <v>70553706496</v>
      </c>
      <c r="S1593" s="11" t="s">
        <v>1876</v>
      </c>
      <c r="T1593" s="11" t="s">
        <v>259</v>
      </c>
      <c r="U1593" s="5" t="s">
        <v>260</v>
      </c>
      <c r="V1593" s="11" t="s">
        <v>261</v>
      </c>
      <c r="W1593" s="5" t="s">
        <v>205</v>
      </c>
      <c r="X1593" s="5" t="s">
        <v>371</v>
      </c>
      <c r="Y1593" s="11" t="s">
        <v>3078</v>
      </c>
      <c r="Z1593" s="11" t="s">
        <v>270</v>
      </c>
      <c r="AA1593" s="11" t="s">
        <v>155</v>
      </c>
      <c r="AB1593" s="5" t="s">
        <v>245</v>
      </c>
      <c r="AC1593" s="5" t="s">
        <v>262</v>
      </c>
      <c r="AD1593" s="11" t="s">
        <v>3936</v>
      </c>
      <c r="AE1593" s="23" t="n">
        <v>0.85</v>
      </c>
      <c r="AF1593" s="23" t="n">
        <v>0</v>
      </c>
      <c r="AG1593" s="23" t="n">
        <v>1</v>
      </c>
      <c r="AH1593" s="23" t="n">
        <v>0.33</v>
      </c>
      <c r="AI1593" s="23" t="n">
        <v>0.6</v>
      </c>
      <c r="AJ1593" s="23" t="n">
        <v>0.1156</v>
      </c>
      <c r="AK1593" s="23" t="n">
        <v>0.5</v>
      </c>
      <c r="AL1593" s="23" t="n">
        <v>0.6</v>
      </c>
      <c r="AM1593" s="16" t="n">
        <f aca="false">COUNTIFS($D$2:$D$2501,D1593,$G$2:$G$2501,"&gt;"&amp;G1593)+COUNTIFS($D$2:D1593,D1593,$G$2:G1593,G1593)</f>
        <v>750</v>
      </c>
      <c r="AN1593" s="5" t="str">
        <f aca="false">D1593&amp;"|"&amp;AM1593</f>
        <v>分析與報告生成|750</v>
      </c>
    </row>
    <row r="1594" customFormat="false" ht="17.15" hidden="false" customHeight="false" outlineLevel="0" collapsed="false">
      <c r="A1594" s="16" t="n">
        <f aca="false">RANK(G1594,$G$2:$G$2501)+COUNTIF($G$2:G1594,G1594)-1</f>
        <v>1593</v>
      </c>
      <c r="B1594" s="11" t="s">
        <v>3937</v>
      </c>
      <c r="C1594" s="11" t="s">
        <v>2693</v>
      </c>
      <c r="D1594" s="5" t="s">
        <v>74</v>
      </c>
      <c r="E1594" s="5" t="s">
        <v>75</v>
      </c>
      <c r="F1594" s="5"/>
      <c r="G1594" s="22" t="n">
        <f aca="false">ROUND(SUM(I1594:P1594),3)</f>
        <v>58.084</v>
      </c>
      <c r="H1594" s="5" t="str">
        <f aca="false">IF(G1594&gt;=評分方法!$C$16,"優先評估",IF(G1594&gt;=評分方法!$C$17,"列入候選",IF(G1594&gt;=評分方法!$C$18,"特定情境","不建議")))</f>
        <v>不建議</v>
      </c>
      <c r="I1594" s="15" t="n">
        <f aca="false">AE1594*評分方法!$C$5</f>
        <v>10.5</v>
      </c>
      <c r="J1594" s="15" t="n">
        <f aca="false">AF1594*評分方法!$C$6</f>
        <v>0</v>
      </c>
      <c r="K1594" s="15" t="n">
        <f aca="false">AG1594*評分方法!$C$7</f>
        <v>15</v>
      </c>
      <c r="L1594" s="15" t="n">
        <f aca="false">AH1594*評分方法!$C$8</f>
        <v>15</v>
      </c>
      <c r="M1594" s="15" t="n">
        <f aca="false">AI1594*評分方法!$C$9</f>
        <v>10</v>
      </c>
      <c r="N1594" s="15" t="n">
        <f aca="false">AJ1594*評分方法!$C$10</f>
        <v>3.584</v>
      </c>
      <c r="O1594" s="15" t="n">
        <f aca="false">AK1594*評分方法!$C$11</f>
        <v>2.5</v>
      </c>
      <c r="P1594" s="15" t="n">
        <f aca="false">AL1594*評分方法!$C$12</f>
        <v>1.5</v>
      </c>
      <c r="Q1594" s="6" t="n">
        <v>362414</v>
      </c>
      <c r="R1594" s="6" t="n">
        <v>44615857</v>
      </c>
      <c r="S1594" s="11" t="s">
        <v>238</v>
      </c>
      <c r="T1594" s="11" t="s">
        <v>239</v>
      </c>
      <c r="U1594" s="5" t="s">
        <v>240</v>
      </c>
      <c r="V1594" s="11" t="s">
        <v>324</v>
      </c>
      <c r="W1594" s="5" t="s">
        <v>205</v>
      </c>
      <c r="X1594" s="5" t="s">
        <v>255</v>
      </c>
      <c r="Y1594" s="5"/>
      <c r="Z1594" s="5"/>
      <c r="AA1594" s="11" t="s">
        <v>172</v>
      </c>
      <c r="AB1594" s="5" t="s">
        <v>245</v>
      </c>
      <c r="AC1594" s="5"/>
      <c r="AD1594" s="11" t="s">
        <v>3938</v>
      </c>
      <c r="AE1594" s="23" t="n">
        <v>0.35</v>
      </c>
      <c r="AF1594" s="23" t="n">
        <v>0</v>
      </c>
      <c r="AG1594" s="23" t="n">
        <v>1</v>
      </c>
      <c r="AH1594" s="23" t="n">
        <v>1</v>
      </c>
      <c r="AI1594" s="23" t="n">
        <v>1</v>
      </c>
      <c r="AJ1594" s="23" t="n">
        <v>0.3584</v>
      </c>
      <c r="AK1594" s="23" t="n">
        <v>0.5</v>
      </c>
      <c r="AL1594" s="23" t="n">
        <v>0.3</v>
      </c>
      <c r="AM1594" s="16" t="n">
        <f aca="false">COUNTIFS($D$2:$D$2501,D1594,$G$2:$G$2501,"&gt;"&amp;G1594)+COUNTIFS($D$2:D1594,D1594,$G$2:G1594,G1594)</f>
        <v>130</v>
      </c>
      <c r="AN1594" s="5" t="str">
        <f aca="false">D1594&amp;"|"&amp;AM1594</f>
        <v>文件與影像辨識|130</v>
      </c>
    </row>
    <row r="1595" customFormat="false" ht="17.15" hidden="false" customHeight="false" outlineLevel="0" collapsed="false">
      <c r="A1595" s="16" t="n">
        <f aca="false">RANK(G1595,$G$2:$G$2501)+COUNTIF($G$2:G1595,G1595)-1</f>
        <v>1594</v>
      </c>
      <c r="B1595" s="11" t="s">
        <v>3939</v>
      </c>
      <c r="C1595" s="11" t="s">
        <v>2693</v>
      </c>
      <c r="D1595" s="5" t="s">
        <v>74</v>
      </c>
      <c r="E1595" s="5" t="s">
        <v>75</v>
      </c>
      <c r="F1595" s="5"/>
      <c r="G1595" s="22" t="n">
        <f aca="false">ROUND(SUM(I1595:P1595),3)</f>
        <v>58.08</v>
      </c>
      <c r="H1595" s="5" t="str">
        <f aca="false">IF(G1595&gt;=評分方法!$C$16,"優先評估",IF(G1595&gt;=評分方法!$C$17,"列入候選",IF(G1595&gt;=評分方法!$C$18,"特定情境","不建議")))</f>
        <v>不建議</v>
      </c>
      <c r="I1595" s="15" t="n">
        <f aca="false">AE1595*評分方法!$C$5</f>
        <v>10.5</v>
      </c>
      <c r="J1595" s="15" t="n">
        <f aca="false">AF1595*評分方法!$C$6</f>
        <v>0</v>
      </c>
      <c r="K1595" s="15" t="n">
        <f aca="false">AG1595*評分方法!$C$7</f>
        <v>15</v>
      </c>
      <c r="L1595" s="15" t="n">
        <f aca="false">AH1595*評分方法!$C$8</f>
        <v>15</v>
      </c>
      <c r="M1595" s="15" t="n">
        <f aca="false">AI1595*評分方法!$C$9</f>
        <v>10</v>
      </c>
      <c r="N1595" s="15" t="n">
        <f aca="false">AJ1595*評分方法!$C$10</f>
        <v>3.58</v>
      </c>
      <c r="O1595" s="15" t="n">
        <f aca="false">AK1595*評分方法!$C$11</f>
        <v>2.5</v>
      </c>
      <c r="P1595" s="15" t="n">
        <f aca="false">AL1595*評分方法!$C$12</f>
        <v>1.5</v>
      </c>
      <c r="Q1595" s="6" t="n">
        <v>362392</v>
      </c>
      <c r="R1595" s="6" t="n">
        <v>55904008</v>
      </c>
      <c r="S1595" s="11" t="s">
        <v>238</v>
      </c>
      <c r="T1595" s="11" t="s">
        <v>239</v>
      </c>
      <c r="U1595" s="5" t="s">
        <v>240</v>
      </c>
      <c r="V1595" s="11" t="s">
        <v>324</v>
      </c>
      <c r="W1595" s="5" t="s">
        <v>205</v>
      </c>
      <c r="X1595" s="5" t="s">
        <v>255</v>
      </c>
      <c r="Y1595" s="5"/>
      <c r="Z1595" s="5"/>
      <c r="AA1595" s="11" t="s">
        <v>172</v>
      </c>
      <c r="AB1595" s="5" t="s">
        <v>245</v>
      </c>
      <c r="AC1595" s="5"/>
      <c r="AD1595" s="11" t="s">
        <v>3940</v>
      </c>
      <c r="AE1595" s="23" t="n">
        <v>0.35</v>
      </c>
      <c r="AF1595" s="23" t="n">
        <v>0</v>
      </c>
      <c r="AG1595" s="23" t="n">
        <v>1</v>
      </c>
      <c r="AH1595" s="23" t="n">
        <v>1</v>
      </c>
      <c r="AI1595" s="23" t="n">
        <v>1</v>
      </c>
      <c r="AJ1595" s="23" t="n">
        <v>0.358</v>
      </c>
      <c r="AK1595" s="23" t="n">
        <v>0.5</v>
      </c>
      <c r="AL1595" s="23" t="n">
        <v>0.3</v>
      </c>
      <c r="AM1595" s="16" t="n">
        <f aca="false">COUNTIFS($D$2:$D$2501,D1595,$G$2:$G$2501,"&gt;"&amp;G1595)+COUNTIFS($D$2:D1595,D1595,$G$2:G1595,G1595)</f>
        <v>131</v>
      </c>
      <c r="AN1595" s="5" t="str">
        <f aca="false">D1595&amp;"|"&amp;AM1595</f>
        <v>文件與影像辨識|131</v>
      </c>
    </row>
    <row r="1596" customFormat="false" ht="17.15" hidden="false" customHeight="false" outlineLevel="0" collapsed="false">
      <c r="A1596" s="16" t="n">
        <f aca="false">RANK(G1596,$G$2:$G$2501)+COUNTIF($G$2:G1596,G1596)-1</f>
        <v>1595</v>
      </c>
      <c r="B1596" s="11" t="s">
        <v>3941</v>
      </c>
      <c r="C1596" s="11" t="s">
        <v>681</v>
      </c>
      <c r="D1596" s="5" t="s">
        <v>74</v>
      </c>
      <c r="E1596" s="5" t="s">
        <v>75</v>
      </c>
      <c r="F1596" s="5"/>
      <c r="G1596" s="22" t="n">
        <f aca="false">ROUND(SUM(I1596:P1596),3)</f>
        <v>58.072</v>
      </c>
      <c r="H1596" s="5" t="str">
        <f aca="false">IF(G1596&gt;=評分方法!$C$16,"優先評估",IF(G1596&gt;=評分方法!$C$17,"列入候選",IF(G1596&gt;=評分方法!$C$18,"特定情境","不建議")))</f>
        <v>不建議</v>
      </c>
      <c r="I1596" s="15" t="n">
        <f aca="false">AE1596*評分方法!$C$5</f>
        <v>10.5</v>
      </c>
      <c r="J1596" s="15" t="n">
        <f aca="false">AF1596*評分方法!$C$6</f>
        <v>0</v>
      </c>
      <c r="K1596" s="15" t="n">
        <f aca="false">AG1596*評分方法!$C$7</f>
        <v>15</v>
      </c>
      <c r="L1596" s="15" t="n">
        <f aca="false">AH1596*評分方法!$C$8</f>
        <v>15</v>
      </c>
      <c r="M1596" s="15" t="n">
        <f aca="false">AI1596*評分方法!$C$9</f>
        <v>6</v>
      </c>
      <c r="N1596" s="15" t="n">
        <f aca="false">AJ1596*評分方法!$C$10</f>
        <v>9.072</v>
      </c>
      <c r="O1596" s="15" t="n">
        <f aca="false">AK1596*評分方法!$C$11</f>
        <v>2.5</v>
      </c>
      <c r="P1596" s="15" t="n">
        <f aca="false">AL1596*評分方法!$C$12</f>
        <v>0</v>
      </c>
      <c r="Q1596" s="6" t="n">
        <v>4204671</v>
      </c>
      <c r="R1596" s="6" t="n">
        <v>303129600</v>
      </c>
      <c r="S1596" s="11" t="s">
        <v>238</v>
      </c>
      <c r="T1596" s="11" t="s">
        <v>185</v>
      </c>
      <c r="U1596" s="5" t="s">
        <v>260</v>
      </c>
      <c r="V1596" s="11" t="s">
        <v>261</v>
      </c>
      <c r="W1596" s="5" t="s">
        <v>205</v>
      </c>
      <c r="X1596" s="5" t="s">
        <v>242</v>
      </c>
      <c r="Y1596" s="11" t="s">
        <v>3942</v>
      </c>
      <c r="Z1596" s="11" t="s">
        <v>270</v>
      </c>
      <c r="AA1596" s="11" t="s">
        <v>173</v>
      </c>
      <c r="AB1596" s="5" t="s">
        <v>245</v>
      </c>
      <c r="AC1596" s="5" t="s">
        <v>262</v>
      </c>
      <c r="AD1596" s="11" t="s">
        <v>3943</v>
      </c>
      <c r="AE1596" s="23" t="n">
        <v>0.35</v>
      </c>
      <c r="AF1596" s="23" t="n">
        <v>0</v>
      </c>
      <c r="AG1596" s="23" t="n">
        <v>1</v>
      </c>
      <c r="AH1596" s="23" t="n">
        <v>1</v>
      </c>
      <c r="AI1596" s="23" t="n">
        <v>0.6</v>
      </c>
      <c r="AJ1596" s="23" t="n">
        <v>0.9072</v>
      </c>
      <c r="AK1596" s="23" t="n">
        <v>0.5</v>
      </c>
      <c r="AL1596" s="23" t="n">
        <v>0</v>
      </c>
      <c r="AM1596" s="16" t="n">
        <f aca="false">COUNTIFS($D$2:$D$2501,D1596,$G$2:$G$2501,"&gt;"&amp;G1596)+COUNTIFS($D$2:D1596,D1596,$G$2:G1596,G1596)</f>
        <v>132</v>
      </c>
      <c r="AN1596" s="5" t="str">
        <f aca="false">D1596&amp;"|"&amp;AM1596</f>
        <v>文件與影像辨識|132</v>
      </c>
    </row>
    <row r="1597" customFormat="false" ht="17.15" hidden="false" customHeight="false" outlineLevel="0" collapsed="false">
      <c r="A1597" s="16" t="n">
        <f aca="false">RANK(G1597,$G$2:$G$2501)+COUNTIF($G$2:G1597,G1597)-1</f>
        <v>1596</v>
      </c>
      <c r="B1597" s="11" t="s">
        <v>3944</v>
      </c>
      <c r="C1597" s="11" t="s">
        <v>2693</v>
      </c>
      <c r="D1597" s="5" t="s">
        <v>74</v>
      </c>
      <c r="E1597" s="5" t="s">
        <v>75</v>
      </c>
      <c r="F1597" s="5"/>
      <c r="G1597" s="22" t="n">
        <f aca="false">ROUND(SUM(I1597:P1597),3)</f>
        <v>58.068</v>
      </c>
      <c r="H1597" s="5" t="str">
        <f aca="false">IF(G1597&gt;=評分方法!$C$16,"優先評估",IF(G1597&gt;=評分方法!$C$17,"列入候選",IF(G1597&gt;=評分方法!$C$18,"特定情境","不建議")))</f>
        <v>不建議</v>
      </c>
      <c r="I1597" s="15" t="n">
        <f aca="false">AE1597*評分方法!$C$5</f>
        <v>10.5</v>
      </c>
      <c r="J1597" s="15" t="n">
        <f aca="false">AF1597*評分方法!$C$6</f>
        <v>0</v>
      </c>
      <c r="K1597" s="15" t="n">
        <f aca="false">AG1597*評分方法!$C$7</f>
        <v>15</v>
      </c>
      <c r="L1597" s="15" t="n">
        <f aca="false">AH1597*評分方法!$C$8</f>
        <v>15</v>
      </c>
      <c r="M1597" s="15" t="n">
        <f aca="false">AI1597*評分方法!$C$9</f>
        <v>10</v>
      </c>
      <c r="N1597" s="15" t="n">
        <f aca="false">AJ1597*評分方法!$C$10</f>
        <v>3.568</v>
      </c>
      <c r="O1597" s="15" t="n">
        <f aca="false">AK1597*評分方法!$C$11</f>
        <v>2.5</v>
      </c>
      <c r="P1597" s="15" t="n">
        <f aca="false">AL1597*評分方法!$C$12</f>
        <v>1.5</v>
      </c>
      <c r="Q1597" s="6" t="n">
        <v>357978</v>
      </c>
      <c r="R1597" s="6" t="n">
        <v>9740115</v>
      </c>
      <c r="S1597" s="11" t="s">
        <v>238</v>
      </c>
      <c r="T1597" s="11" t="s">
        <v>239</v>
      </c>
      <c r="U1597" s="5" t="s">
        <v>240</v>
      </c>
      <c r="V1597" s="11" t="s">
        <v>324</v>
      </c>
      <c r="W1597" s="5" t="s">
        <v>205</v>
      </c>
      <c r="X1597" s="5" t="s">
        <v>255</v>
      </c>
      <c r="Y1597" s="5"/>
      <c r="Z1597" s="5"/>
      <c r="AA1597" s="11" t="s">
        <v>172</v>
      </c>
      <c r="AB1597" s="5" t="s">
        <v>245</v>
      </c>
      <c r="AC1597" s="5"/>
      <c r="AD1597" s="11" t="s">
        <v>3945</v>
      </c>
      <c r="AE1597" s="23" t="n">
        <v>0.35</v>
      </c>
      <c r="AF1597" s="23" t="n">
        <v>0</v>
      </c>
      <c r="AG1597" s="23" t="n">
        <v>1</v>
      </c>
      <c r="AH1597" s="23" t="n">
        <v>1</v>
      </c>
      <c r="AI1597" s="23" t="n">
        <v>1</v>
      </c>
      <c r="AJ1597" s="23" t="n">
        <v>0.3568</v>
      </c>
      <c r="AK1597" s="23" t="n">
        <v>0.5</v>
      </c>
      <c r="AL1597" s="23" t="n">
        <v>0.3</v>
      </c>
      <c r="AM1597" s="16" t="n">
        <f aca="false">COUNTIFS($D$2:$D$2501,D1597,$G$2:$G$2501,"&gt;"&amp;G1597)+COUNTIFS($D$2:D1597,D1597,$G$2:G1597,G1597)</f>
        <v>133</v>
      </c>
      <c r="AN1597" s="5" t="str">
        <f aca="false">D1597&amp;"|"&amp;AM1597</f>
        <v>文件與影像辨識|133</v>
      </c>
    </row>
    <row r="1598" customFormat="false" ht="17.15" hidden="false" customHeight="false" outlineLevel="0" collapsed="false">
      <c r="A1598" s="16" t="n">
        <f aca="false">RANK(G1598,$G$2:$G$2501)+COUNTIF($G$2:G1598,G1598)-1</f>
        <v>1597</v>
      </c>
      <c r="B1598" s="11" t="s">
        <v>3946</v>
      </c>
      <c r="C1598" s="11" t="s">
        <v>3947</v>
      </c>
      <c r="D1598" s="5" t="s">
        <v>56</v>
      </c>
      <c r="E1598" s="5" t="s">
        <v>57</v>
      </c>
      <c r="F1598" s="5"/>
      <c r="G1598" s="22" t="n">
        <f aca="false">ROUND(SUM(I1598:P1598),3)</f>
        <v>58.062</v>
      </c>
      <c r="H1598" s="5" t="str">
        <f aca="false">IF(G1598&gt;=評分方法!$C$16,"優先評估",IF(G1598&gt;=評分方法!$C$17,"列入候選",IF(G1598&gt;=評分方法!$C$18,"特定情境","不建議")))</f>
        <v>不建議</v>
      </c>
      <c r="I1598" s="15" t="n">
        <f aca="false">AE1598*評分方法!$C$5</f>
        <v>25.5</v>
      </c>
      <c r="J1598" s="15" t="n">
        <f aca="false">AF1598*評分方法!$C$6</f>
        <v>0</v>
      </c>
      <c r="K1598" s="15" t="n">
        <f aca="false">AG1598*評分方法!$C$7</f>
        <v>4.95</v>
      </c>
      <c r="L1598" s="15" t="n">
        <f aca="false">AH1598*評分方法!$C$8</f>
        <v>9</v>
      </c>
      <c r="M1598" s="15" t="n">
        <f aca="false">AI1598*評分方法!$C$9</f>
        <v>6</v>
      </c>
      <c r="N1598" s="15" t="n">
        <f aca="false">AJ1598*評分方法!$C$10</f>
        <v>4.612</v>
      </c>
      <c r="O1598" s="15" t="n">
        <f aca="false">AK1598*評分方法!$C$11</f>
        <v>5</v>
      </c>
      <c r="P1598" s="15" t="n">
        <f aca="false">AL1598*評分方法!$C$12</f>
        <v>3</v>
      </c>
      <c r="Q1598" s="6" t="n">
        <v>502172</v>
      </c>
      <c r="R1598" s="6" t="n">
        <v>33313410304</v>
      </c>
      <c r="S1598" s="11" t="s">
        <v>389</v>
      </c>
      <c r="T1598" s="11" t="s">
        <v>185</v>
      </c>
      <c r="U1598" s="5" t="s">
        <v>260</v>
      </c>
      <c r="V1598" s="11" t="s">
        <v>261</v>
      </c>
      <c r="W1598" s="5" t="s">
        <v>334</v>
      </c>
      <c r="X1598" s="5" t="s">
        <v>371</v>
      </c>
      <c r="Y1598" s="5"/>
      <c r="Z1598" s="5"/>
      <c r="AA1598" s="11" t="s">
        <v>156</v>
      </c>
      <c r="AB1598" s="5" t="s">
        <v>245</v>
      </c>
      <c r="AC1598" s="5" t="s">
        <v>262</v>
      </c>
      <c r="AD1598" s="11" t="s">
        <v>3948</v>
      </c>
      <c r="AE1598" s="23" t="n">
        <v>0.85</v>
      </c>
      <c r="AF1598" s="23" t="n">
        <v>0</v>
      </c>
      <c r="AG1598" s="23" t="n">
        <v>0.33</v>
      </c>
      <c r="AH1598" s="23" t="n">
        <v>0.6</v>
      </c>
      <c r="AI1598" s="23" t="n">
        <v>0.6</v>
      </c>
      <c r="AJ1598" s="23" t="n">
        <v>0.4612</v>
      </c>
      <c r="AK1598" s="23" t="n">
        <v>1</v>
      </c>
      <c r="AL1598" s="23" t="n">
        <v>0.6</v>
      </c>
      <c r="AM1598" s="16" t="n">
        <f aca="false">COUNTIFS($D$2:$D$2501,D1598,$G$2:$G$2501,"&gt;"&amp;G1598)+COUNTIFS($D$2:D1598,D1598,$G$2:G1598,G1598)</f>
        <v>751</v>
      </c>
      <c r="AN1598" s="5" t="str">
        <f aca="false">D1598&amp;"|"&amp;AM1598</f>
        <v>分析與報告生成|751</v>
      </c>
    </row>
    <row r="1599" customFormat="false" ht="17.15" hidden="false" customHeight="false" outlineLevel="0" collapsed="false">
      <c r="A1599" s="16" t="n">
        <f aca="false">RANK(G1599,$G$2:$G$2501)+COUNTIF($G$2:G1599,G1599)-1</f>
        <v>1598</v>
      </c>
      <c r="B1599" s="11" t="s">
        <v>3949</v>
      </c>
      <c r="C1599" s="11" t="s">
        <v>3950</v>
      </c>
      <c r="D1599" s="5" t="s">
        <v>56</v>
      </c>
      <c r="E1599" s="5" t="s">
        <v>57</v>
      </c>
      <c r="F1599" s="5"/>
      <c r="G1599" s="22" t="n">
        <f aca="false">ROUND(SUM(I1599:P1599),3)</f>
        <v>58.054</v>
      </c>
      <c r="H1599" s="5" t="str">
        <f aca="false">IF(G1599&gt;=評分方法!$C$16,"優先評估",IF(G1599&gt;=評分方法!$C$17,"列入候選",IF(G1599&gt;=評分方法!$C$18,"特定情境","不建議")))</f>
        <v>不建議</v>
      </c>
      <c r="I1599" s="15" t="n">
        <f aca="false">AE1599*評分方法!$C$5</f>
        <v>25.5</v>
      </c>
      <c r="J1599" s="15" t="n">
        <f aca="false">AF1599*評分方法!$C$6</f>
        <v>0</v>
      </c>
      <c r="K1599" s="15" t="n">
        <f aca="false">AG1599*評分方法!$C$7</f>
        <v>4.95</v>
      </c>
      <c r="L1599" s="15" t="n">
        <f aca="false">AH1599*評分方法!$C$8</f>
        <v>9</v>
      </c>
      <c r="M1599" s="15" t="n">
        <f aca="false">AI1599*評分方法!$C$9</f>
        <v>6</v>
      </c>
      <c r="N1599" s="15" t="n">
        <f aca="false">AJ1599*評分方法!$C$10</f>
        <v>7.104</v>
      </c>
      <c r="O1599" s="15" t="n">
        <f aca="false">AK1599*評分方法!$C$11</f>
        <v>2.5</v>
      </c>
      <c r="P1599" s="15" t="n">
        <f aca="false">AL1599*評分方法!$C$12</f>
        <v>3</v>
      </c>
      <c r="Q1599" s="6" t="n">
        <v>963102</v>
      </c>
      <c r="R1599" s="6" t="n">
        <v>12271375632</v>
      </c>
      <c r="S1599" s="11" t="s">
        <v>389</v>
      </c>
      <c r="T1599" s="11" t="s">
        <v>658</v>
      </c>
      <c r="U1599" s="5" t="s">
        <v>260</v>
      </c>
      <c r="V1599" s="11" t="s">
        <v>261</v>
      </c>
      <c r="W1599" s="5" t="s">
        <v>334</v>
      </c>
      <c r="X1599" s="5" t="s">
        <v>371</v>
      </c>
      <c r="Y1599" s="11" t="s">
        <v>1303</v>
      </c>
      <c r="Z1599" s="11" t="s">
        <v>244</v>
      </c>
      <c r="AA1599" s="11" t="s">
        <v>156</v>
      </c>
      <c r="AB1599" s="5" t="s">
        <v>245</v>
      </c>
      <c r="AC1599" s="5" t="s">
        <v>464</v>
      </c>
      <c r="AD1599" s="11" t="s">
        <v>3951</v>
      </c>
      <c r="AE1599" s="23" t="n">
        <v>0.85</v>
      </c>
      <c r="AF1599" s="23" t="n">
        <v>0</v>
      </c>
      <c r="AG1599" s="23" t="n">
        <v>0.33</v>
      </c>
      <c r="AH1599" s="23" t="n">
        <v>0.6</v>
      </c>
      <c r="AI1599" s="23" t="n">
        <v>0.6</v>
      </c>
      <c r="AJ1599" s="23" t="n">
        <v>0.7104</v>
      </c>
      <c r="AK1599" s="23" t="n">
        <v>0.5</v>
      </c>
      <c r="AL1599" s="23" t="n">
        <v>0.6</v>
      </c>
      <c r="AM1599" s="16" t="n">
        <f aca="false">COUNTIFS($D$2:$D$2501,D1599,$G$2:$G$2501,"&gt;"&amp;G1599)+COUNTIFS($D$2:D1599,D1599,$G$2:G1599,G1599)</f>
        <v>752</v>
      </c>
      <c r="AN1599" s="5" t="str">
        <f aca="false">D1599&amp;"|"&amp;AM1599</f>
        <v>分析與報告生成|752</v>
      </c>
    </row>
    <row r="1600" customFormat="false" ht="17.15" hidden="false" customHeight="false" outlineLevel="0" collapsed="false">
      <c r="A1600" s="16" t="n">
        <f aca="false">RANK(G1600,$G$2:$G$2501)+COUNTIF($G$2:G1600,G1600)-1</f>
        <v>1599</v>
      </c>
      <c r="B1600" s="11" t="s">
        <v>3952</v>
      </c>
      <c r="C1600" s="11" t="s">
        <v>753</v>
      </c>
      <c r="D1600" s="5" t="s">
        <v>56</v>
      </c>
      <c r="E1600" s="5" t="s">
        <v>57</v>
      </c>
      <c r="F1600" s="5"/>
      <c r="G1600" s="22" t="n">
        <f aca="false">ROUND(SUM(I1600:P1600),3)</f>
        <v>58.04</v>
      </c>
      <c r="H1600" s="5" t="str">
        <f aca="false">IF(G1600&gt;=評分方法!$C$16,"優先評估",IF(G1600&gt;=評分方法!$C$17,"列入候選",IF(G1600&gt;=評分方法!$C$18,"特定情境","不建議")))</f>
        <v>不建議</v>
      </c>
      <c r="I1600" s="15" t="n">
        <f aca="false">AE1600*評分方法!$C$5</f>
        <v>25.5</v>
      </c>
      <c r="J1600" s="15" t="n">
        <f aca="false">AF1600*評分方法!$C$6</f>
        <v>0</v>
      </c>
      <c r="K1600" s="15" t="n">
        <f aca="false">AG1600*評分方法!$C$7</f>
        <v>10.05</v>
      </c>
      <c r="L1600" s="15" t="n">
        <f aca="false">AH1600*評分方法!$C$8</f>
        <v>1.95</v>
      </c>
      <c r="M1600" s="15" t="n">
        <f aca="false">AI1600*評分方法!$C$9</f>
        <v>10</v>
      </c>
      <c r="N1600" s="15" t="n">
        <f aca="false">AJ1600*評分方法!$C$10</f>
        <v>2.54</v>
      </c>
      <c r="O1600" s="15" t="n">
        <f aca="false">AK1600*評分方法!$C$11</f>
        <v>5</v>
      </c>
      <c r="P1600" s="15" t="n">
        <f aca="false">AL1600*評分方法!$C$12</f>
        <v>3</v>
      </c>
      <c r="Q1600" s="6" t="n">
        <v>253126</v>
      </c>
      <c r="R1600" s="6" t="n">
        <v>117561977600</v>
      </c>
      <c r="S1600" s="11" t="s">
        <v>1616</v>
      </c>
      <c r="T1600" s="11" t="s">
        <v>1404</v>
      </c>
      <c r="U1600" s="5" t="s">
        <v>240</v>
      </c>
      <c r="V1600" s="11" t="s">
        <v>333</v>
      </c>
      <c r="W1600" s="5" t="s">
        <v>207</v>
      </c>
      <c r="X1600" s="5" t="s">
        <v>371</v>
      </c>
      <c r="Y1600" s="11" t="s">
        <v>3953</v>
      </c>
      <c r="Z1600" s="11" t="s">
        <v>244</v>
      </c>
      <c r="AA1600" s="11" t="s">
        <v>155</v>
      </c>
      <c r="AB1600" s="5" t="s">
        <v>245</v>
      </c>
      <c r="AC1600" s="5" t="s">
        <v>246</v>
      </c>
      <c r="AD1600" s="11" t="s">
        <v>3954</v>
      </c>
      <c r="AE1600" s="23" t="n">
        <v>0.85</v>
      </c>
      <c r="AF1600" s="23" t="n">
        <v>0</v>
      </c>
      <c r="AG1600" s="23" t="n">
        <v>0.67</v>
      </c>
      <c r="AH1600" s="23" t="n">
        <v>0.13</v>
      </c>
      <c r="AI1600" s="23" t="n">
        <v>1</v>
      </c>
      <c r="AJ1600" s="23" t="n">
        <v>0.254</v>
      </c>
      <c r="AK1600" s="23" t="n">
        <v>1</v>
      </c>
      <c r="AL1600" s="23" t="n">
        <v>0.6</v>
      </c>
      <c r="AM1600" s="16" t="n">
        <f aca="false">COUNTIFS($D$2:$D$2501,D1600,$G$2:$G$2501,"&gt;"&amp;G1600)+COUNTIFS($D$2:D1600,D1600,$G$2:G1600,G1600)</f>
        <v>753</v>
      </c>
      <c r="AN1600" s="5" t="str">
        <f aca="false">D1600&amp;"|"&amp;AM1600</f>
        <v>分析與報告生成|753</v>
      </c>
    </row>
    <row r="1601" customFormat="false" ht="17.15" hidden="false" customHeight="false" outlineLevel="0" collapsed="false">
      <c r="A1601" s="16" t="n">
        <f aca="false">RANK(G1601,$G$2:$G$2501)+COUNTIF($G$2:G1601,G1601)-1</f>
        <v>1600</v>
      </c>
      <c r="B1601" s="11" t="s">
        <v>3955</v>
      </c>
      <c r="C1601" s="11" t="s">
        <v>681</v>
      </c>
      <c r="D1601" s="5" t="s">
        <v>74</v>
      </c>
      <c r="E1601" s="5" t="s">
        <v>75</v>
      </c>
      <c r="F1601" s="5"/>
      <c r="G1601" s="22" t="n">
        <f aca="false">ROUND(SUM(I1601:P1601),3)</f>
        <v>58.032</v>
      </c>
      <c r="H1601" s="5" t="str">
        <f aca="false">IF(G1601&gt;=評分方法!$C$16,"優先評估",IF(G1601&gt;=評分方法!$C$17,"列入候選",IF(G1601&gt;=評分方法!$C$18,"特定情境","不建議")))</f>
        <v>不建議</v>
      </c>
      <c r="I1601" s="15" t="n">
        <f aca="false">AE1601*評分方法!$C$5</f>
        <v>10.5</v>
      </c>
      <c r="J1601" s="15" t="n">
        <f aca="false">AF1601*評分方法!$C$6</f>
        <v>0</v>
      </c>
      <c r="K1601" s="15" t="n">
        <f aca="false">AG1601*評分方法!$C$7</f>
        <v>15</v>
      </c>
      <c r="L1601" s="15" t="n">
        <f aca="false">AH1601*評分方法!$C$8</f>
        <v>15</v>
      </c>
      <c r="M1601" s="15" t="n">
        <f aca="false">AI1601*評分方法!$C$9</f>
        <v>10</v>
      </c>
      <c r="N1601" s="15" t="n">
        <f aca="false">AJ1601*評分方法!$C$10</f>
        <v>3.532</v>
      </c>
      <c r="O1601" s="15" t="n">
        <f aca="false">AK1601*評分方法!$C$11</f>
        <v>2.5</v>
      </c>
      <c r="P1601" s="15" t="n">
        <f aca="false">AL1601*評分方法!$C$12</f>
        <v>1.5</v>
      </c>
      <c r="Q1601" s="6" t="n">
        <v>354676</v>
      </c>
      <c r="R1601" s="6" t="n">
        <v>22058112</v>
      </c>
      <c r="S1601" s="11" t="s">
        <v>238</v>
      </c>
      <c r="T1601" s="11" t="s">
        <v>239</v>
      </c>
      <c r="U1601" s="5" t="s">
        <v>240</v>
      </c>
      <c r="V1601" s="11" t="s">
        <v>261</v>
      </c>
      <c r="W1601" s="5" t="s">
        <v>205</v>
      </c>
      <c r="X1601" s="5" t="s">
        <v>255</v>
      </c>
      <c r="Y1601" s="5"/>
      <c r="Z1601" s="5"/>
      <c r="AA1601" s="11" t="s">
        <v>173</v>
      </c>
      <c r="AB1601" s="5" t="s">
        <v>245</v>
      </c>
      <c r="AC1601" s="5"/>
      <c r="AD1601" s="11" t="s">
        <v>3956</v>
      </c>
      <c r="AE1601" s="23" t="n">
        <v>0.35</v>
      </c>
      <c r="AF1601" s="23" t="n">
        <v>0</v>
      </c>
      <c r="AG1601" s="23" t="n">
        <v>1</v>
      </c>
      <c r="AH1601" s="23" t="n">
        <v>1</v>
      </c>
      <c r="AI1601" s="23" t="n">
        <v>1</v>
      </c>
      <c r="AJ1601" s="23" t="n">
        <v>0.3532</v>
      </c>
      <c r="AK1601" s="23" t="n">
        <v>0.5</v>
      </c>
      <c r="AL1601" s="23" t="n">
        <v>0.3</v>
      </c>
      <c r="AM1601" s="16" t="n">
        <f aca="false">COUNTIFS($D$2:$D$2501,D1601,$G$2:$G$2501,"&gt;"&amp;G1601)+COUNTIFS($D$2:D1601,D1601,$G$2:G1601,G1601)</f>
        <v>134</v>
      </c>
      <c r="AN1601" s="5" t="str">
        <f aca="false">D1601&amp;"|"&amp;AM1601</f>
        <v>文件與影像辨識|134</v>
      </c>
    </row>
    <row r="1602" customFormat="false" ht="17.15" hidden="false" customHeight="false" outlineLevel="0" collapsed="false">
      <c r="A1602" s="16" t="n">
        <f aca="false">RANK(G1602,$G$2:$G$2501)+COUNTIF($G$2:G1602,G1602)-1</f>
        <v>1601</v>
      </c>
      <c r="B1602" s="11" t="s">
        <v>3957</v>
      </c>
      <c r="C1602" s="11" t="s">
        <v>2261</v>
      </c>
      <c r="D1602" s="5" t="s">
        <v>54</v>
      </c>
      <c r="E1602" s="5" t="s">
        <v>55</v>
      </c>
      <c r="F1602" s="5"/>
      <c r="G1602" s="22" t="n">
        <f aca="false">ROUND(SUM(I1602:P1602),3)</f>
        <v>58.03</v>
      </c>
      <c r="H1602" s="5" t="str">
        <f aca="false">IF(G1602&gt;=評分方法!$C$16,"優先評估",IF(G1602&gt;=評分方法!$C$17,"列入候選",IF(G1602&gt;=評分方法!$C$18,"特定情境","不建議")))</f>
        <v>不建議</v>
      </c>
      <c r="I1602" s="15" t="n">
        <f aca="false">AE1602*評分方法!$C$5</f>
        <v>27</v>
      </c>
      <c r="J1602" s="15" t="n">
        <f aca="false">AF1602*評分方法!$C$6</f>
        <v>0</v>
      </c>
      <c r="K1602" s="15" t="n">
        <f aca="false">AG1602*評分方法!$C$7</f>
        <v>10.05</v>
      </c>
      <c r="L1602" s="15" t="n">
        <f aca="false">AH1602*評分方法!$C$8</f>
        <v>15</v>
      </c>
      <c r="M1602" s="15" t="n">
        <f aca="false">AI1602*評分方法!$C$9</f>
        <v>2</v>
      </c>
      <c r="N1602" s="15" t="n">
        <f aca="false">AJ1602*評分方法!$C$10</f>
        <v>1.48</v>
      </c>
      <c r="O1602" s="15" t="n">
        <f aca="false">AK1602*評分方法!$C$11</f>
        <v>1</v>
      </c>
      <c r="P1602" s="15" t="n">
        <f aca="false">AL1602*評分方法!$C$12</f>
        <v>1.5</v>
      </c>
      <c r="Q1602" s="6" t="n">
        <v>178052</v>
      </c>
      <c r="R1602" s="6" t="n">
        <v>0</v>
      </c>
      <c r="S1602" s="11" t="s">
        <v>238</v>
      </c>
      <c r="T1602" s="5"/>
      <c r="U1602" s="5" t="s">
        <v>375</v>
      </c>
      <c r="V1602" s="11" t="s">
        <v>261</v>
      </c>
      <c r="W1602" s="5" t="s">
        <v>207</v>
      </c>
      <c r="X1602" s="5" t="s">
        <v>255</v>
      </c>
      <c r="Y1602" s="5"/>
      <c r="Z1602" s="5"/>
      <c r="AA1602" s="11" t="s">
        <v>153</v>
      </c>
      <c r="AB1602" s="5" t="s">
        <v>245</v>
      </c>
      <c r="AC1602" s="5" t="s">
        <v>262</v>
      </c>
      <c r="AD1602" s="11" t="s">
        <v>3958</v>
      </c>
      <c r="AE1602" s="23" t="n">
        <v>0.9</v>
      </c>
      <c r="AF1602" s="23" t="n">
        <v>0</v>
      </c>
      <c r="AG1602" s="23" t="n">
        <v>0.67</v>
      </c>
      <c r="AH1602" s="23" t="n">
        <v>1</v>
      </c>
      <c r="AI1602" s="23" t="n">
        <v>0.2</v>
      </c>
      <c r="AJ1602" s="23" t="n">
        <v>0.148</v>
      </c>
      <c r="AK1602" s="23" t="n">
        <v>0.2</v>
      </c>
      <c r="AL1602" s="23" t="n">
        <v>0.3</v>
      </c>
      <c r="AM1602" s="16" t="n">
        <f aca="false">COUNTIFS($D$2:$D$2501,D1602,$G$2:$G$2501,"&gt;"&amp;G1602)+COUNTIFS($D$2:D1602,D1602,$G$2:G1602,G1602)</f>
        <v>207</v>
      </c>
      <c r="AN1602" s="5" t="str">
        <f aca="false">D1602&amp;"|"&amp;AM1602</f>
        <v>檢索與情資關聯|207</v>
      </c>
    </row>
    <row r="1603" customFormat="false" ht="17.15" hidden="false" customHeight="false" outlineLevel="0" collapsed="false">
      <c r="A1603" s="16" t="n">
        <f aca="false">RANK(G1603,$G$2:$G$2501)+COUNTIF($G$2:G1603,G1603)-1</f>
        <v>1602</v>
      </c>
      <c r="B1603" s="11" t="s">
        <v>3959</v>
      </c>
      <c r="C1603" s="11" t="s">
        <v>3960</v>
      </c>
      <c r="D1603" s="5" t="s">
        <v>66</v>
      </c>
      <c r="E1603" s="5" t="s">
        <v>67</v>
      </c>
      <c r="F1603" s="5"/>
      <c r="G1603" s="22" t="n">
        <f aca="false">ROUND(SUM(I1603:P1603),3)</f>
        <v>58.026</v>
      </c>
      <c r="H1603" s="5" t="str">
        <f aca="false">IF(G1603&gt;=評分方法!$C$16,"優先評估",IF(G1603&gt;=評分方法!$C$17,"列入候選",IF(G1603&gt;=評分方法!$C$18,"特定情境","不建議")))</f>
        <v>不建議</v>
      </c>
      <c r="I1603" s="15" t="n">
        <f aca="false">AE1603*評分方法!$C$5</f>
        <v>30</v>
      </c>
      <c r="J1603" s="15" t="n">
        <f aca="false">AF1603*評分方法!$C$6</f>
        <v>0</v>
      </c>
      <c r="K1603" s="15" t="n">
        <f aca="false">AG1603*評分方法!$C$7</f>
        <v>4.95</v>
      </c>
      <c r="L1603" s="15" t="n">
        <f aca="false">AH1603*評分方法!$C$8</f>
        <v>15</v>
      </c>
      <c r="M1603" s="15" t="n">
        <f aca="false">AI1603*評分方法!$C$9</f>
        <v>2</v>
      </c>
      <c r="N1603" s="15" t="n">
        <f aca="false">AJ1603*評分方法!$C$10</f>
        <v>2.076</v>
      </c>
      <c r="O1603" s="15" t="n">
        <f aca="false">AK1603*評分方法!$C$11</f>
        <v>2.5</v>
      </c>
      <c r="P1603" s="15" t="n">
        <f aca="false">AL1603*評分方法!$C$12</f>
        <v>1.5</v>
      </c>
      <c r="Q1603" s="6" t="n">
        <v>216015</v>
      </c>
      <c r="R1603" s="6" t="n">
        <v>278045955</v>
      </c>
      <c r="S1603" s="11" t="s">
        <v>238</v>
      </c>
      <c r="T1603" s="5"/>
      <c r="U1603" s="5" t="s">
        <v>375</v>
      </c>
      <c r="V1603" s="11" t="s">
        <v>261</v>
      </c>
      <c r="W1603" s="5" t="s">
        <v>334</v>
      </c>
      <c r="X1603" s="5" t="s">
        <v>255</v>
      </c>
      <c r="Y1603" s="5"/>
      <c r="Z1603" s="5"/>
      <c r="AA1603" s="11" t="s">
        <v>149</v>
      </c>
      <c r="AB1603" s="5" t="s">
        <v>245</v>
      </c>
      <c r="AC1603" s="5" t="s">
        <v>262</v>
      </c>
      <c r="AD1603" s="11" t="s">
        <v>3961</v>
      </c>
      <c r="AE1603" s="23" t="n">
        <v>1</v>
      </c>
      <c r="AF1603" s="23" t="n">
        <v>0</v>
      </c>
      <c r="AG1603" s="23" t="n">
        <v>0.33</v>
      </c>
      <c r="AH1603" s="23" t="n">
        <v>1</v>
      </c>
      <c r="AI1603" s="23" t="n">
        <v>0.2</v>
      </c>
      <c r="AJ1603" s="23" t="n">
        <v>0.2076</v>
      </c>
      <c r="AK1603" s="23" t="n">
        <v>0.5</v>
      </c>
      <c r="AL1603" s="23" t="n">
        <v>0.3</v>
      </c>
      <c r="AM1603" s="16" t="n">
        <f aca="false">COUNTIFS($D$2:$D$2501,D1603,$G$2:$G$2501,"&gt;"&amp;G1603)+COUNTIFS($D$2:D1603,D1603,$G$2:G1603,G1603)</f>
        <v>47</v>
      </c>
      <c r="AN1603" s="5" t="str">
        <f aca="false">D1603&amp;"|"&amp;AM1603</f>
        <v>分類與偵測|47</v>
      </c>
    </row>
    <row r="1604" customFormat="false" ht="17.15" hidden="false" customHeight="false" outlineLevel="0" collapsed="false">
      <c r="A1604" s="16" t="n">
        <f aca="false">RANK(G1604,$G$2:$G$2501)+COUNTIF($G$2:G1604,G1604)-1</f>
        <v>1603</v>
      </c>
      <c r="B1604" s="11" t="s">
        <v>3962</v>
      </c>
      <c r="C1604" s="11" t="s">
        <v>681</v>
      </c>
      <c r="D1604" s="5" t="s">
        <v>74</v>
      </c>
      <c r="E1604" s="5" t="s">
        <v>75</v>
      </c>
      <c r="F1604" s="5"/>
      <c r="G1604" s="22" t="n">
        <f aca="false">ROUND(SUM(I1604:P1604),3)</f>
        <v>58.02</v>
      </c>
      <c r="H1604" s="5" t="str">
        <f aca="false">IF(G1604&gt;=評分方法!$C$16,"優先評估",IF(G1604&gt;=評分方法!$C$17,"列入候選",IF(G1604&gt;=評分方法!$C$18,"特定情境","不建議")))</f>
        <v>不建議</v>
      </c>
      <c r="I1604" s="15" t="n">
        <f aca="false">AE1604*評分方法!$C$5</f>
        <v>10.5</v>
      </c>
      <c r="J1604" s="15" t="n">
        <f aca="false">AF1604*評分方法!$C$6</f>
        <v>0</v>
      </c>
      <c r="K1604" s="15" t="n">
        <f aca="false">AG1604*評分方法!$C$7</f>
        <v>15</v>
      </c>
      <c r="L1604" s="15" t="n">
        <f aca="false">AH1604*評分方法!$C$8</f>
        <v>15</v>
      </c>
      <c r="M1604" s="15" t="n">
        <f aca="false">AI1604*評分方法!$C$9</f>
        <v>6</v>
      </c>
      <c r="N1604" s="15" t="n">
        <f aca="false">AJ1604*評分方法!$C$10</f>
        <v>9.02</v>
      </c>
      <c r="O1604" s="15" t="n">
        <f aca="false">AK1604*評分方法!$C$11</f>
        <v>2.5</v>
      </c>
      <c r="P1604" s="15" t="n">
        <f aca="false">AL1604*評分方法!$C$12</f>
        <v>0</v>
      </c>
      <c r="Q1604" s="6" t="n">
        <v>3974146</v>
      </c>
      <c r="R1604" s="6" t="n">
        <v>85660416</v>
      </c>
      <c r="S1604" s="11" t="s">
        <v>238</v>
      </c>
      <c r="T1604" s="11" t="s">
        <v>185</v>
      </c>
      <c r="U1604" s="5" t="s">
        <v>260</v>
      </c>
      <c r="V1604" s="11" t="s">
        <v>261</v>
      </c>
      <c r="W1604" s="5" t="s">
        <v>205</v>
      </c>
      <c r="X1604" s="5" t="s">
        <v>242</v>
      </c>
      <c r="Y1604" s="11" t="s">
        <v>3942</v>
      </c>
      <c r="Z1604" s="11" t="s">
        <v>270</v>
      </c>
      <c r="AA1604" s="11" t="s">
        <v>173</v>
      </c>
      <c r="AB1604" s="5" t="s">
        <v>245</v>
      </c>
      <c r="AC1604" s="5" t="s">
        <v>262</v>
      </c>
      <c r="AD1604" s="11" t="s">
        <v>3963</v>
      </c>
      <c r="AE1604" s="23" t="n">
        <v>0.35</v>
      </c>
      <c r="AF1604" s="23" t="n">
        <v>0</v>
      </c>
      <c r="AG1604" s="23" t="n">
        <v>1</v>
      </c>
      <c r="AH1604" s="23" t="n">
        <v>1</v>
      </c>
      <c r="AI1604" s="23" t="n">
        <v>0.6</v>
      </c>
      <c r="AJ1604" s="23" t="n">
        <v>0.902</v>
      </c>
      <c r="AK1604" s="23" t="n">
        <v>0.5</v>
      </c>
      <c r="AL1604" s="23" t="n">
        <v>0</v>
      </c>
      <c r="AM1604" s="16" t="n">
        <f aca="false">COUNTIFS($D$2:$D$2501,D1604,$G$2:$G$2501,"&gt;"&amp;G1604)+COUNTIFS($D$2:D1604,D1604,$G$2:G1604,G1604)</f>
        <v>135</v>
      </c>
      <c r="AN1604" s="5" t="str">
        <f aca="false">D1604&amp;"|"&amp;AM1604</f>
        <v>文件與影像辨識|135</v>
      </c>
    </row>
    <row r="1605" customFormat="false" ht="17.15" hidden="false" customHeight="false" outlineLevel="0" collapsed="false">
      <c r="A1605" s="16" t="n">
        <f aca="false">RANK(G1605,$G$2:$G$2501)+COUNTIF($G$2:G1605,G1605)-1</f>
        <v>1604</v>
      </c>
      <c r="B1605" s="11" t="s">
        <v>3964</v>
      </c>
      <c r="C1605" s="11" t="s">
        <v>2798</v>
      </c>
      <c r="D1605" s="5" t="s">
        <v>54</v>
      </c>
      <c r="E1605" s="5" t="s">
        <v>55</v>
      </c>
      <c r="F1605" s="5"/>
      <c r="G1605" s="22" t="n">
        <f aca="false">ROUND(SUM(I1605:P1605),3)</f>
        <v>57.974</v>
      </c>
      <c r="H1605" s="5" t="str">
        <f aca="false">IF(G1605&gt;=評分方法!$C$16,"優先評估",IF(G1605&gt;=評分方法!$C$17,"列入候選",IF(G1605&gt;=評分方法!$C$18,"特定情境","不建議")))</f>
        <v>不建議</v>
      </c>
      <c r="I1605" s="15" t="n">
        <f aca="false">AE1605*評分方法!$C$5</f>
        <v>27</v>
      </c>
      <c r="J1605" s="15" t="n">
        <f aca="false">AF1605*評分方法!$C$6</f>
        <v>0</v>
      </c>
      <c r="K1605" s="15" t="n">
        <f aca="false">AG1605*評分方法!$C$7</f>
        <v>4.95</v>
      </c>
      <c r="L1605" s="15" t="n">
        <f aca="false">AH1605*評分方法!$C$8</f>
        <v>15</v>
      </c>
      <c r="M1605" s="15" t="n">
        <f aca="false">AI1605*評分方法!$C$9</f>
        <v>6</v>
      </c>
      <c r="N1605" s="15" t="n">
        <f aca="false">AJ1605*評分方法!$C$10</f>
        <v>2.524</v>
      </c>
      <c r="O1605" s="15" t="n">
        <f aca="false">AK1605*評分方法!$C$11</f>
        <v>2.5</v>
      </c>
      <c r="P1605" s="15" t="n">
        <f aca="false">AL1605*評分方法!$C$12</f>
        <v>0</v>
      </c>
      <c r="Q1605" s="6" t="n">
        <v>250978</v>
      </c>
      <c r="R1605" s="6" t="n">
        <v>278044162</v>
      </c>
      <c r="S1605" s="11" t="s">
        <v>238</v>
      </c>
      <c r="T1605" s="11" t="s">
        <v>185</v>
      </c>
      <c r="U1605" s="5" t="s">
        <v>260</v>
      </c>
      <c r="V1605" s="11" t="s">
        <v>324</v>
      </c>
      <c r="W1605" s="5" t="s">
        <v>334</v>
      </c>
      <c r="X1605" s="5" t="s">
        <v>242</v>
      </c>
      <c r="Y1605" s="5"/>
      <c r="Z1605" s="5"/>
      <c r="AA1605" s="11" t="s">
        <v>152</v>
      </c>
      <c r="AB1605" s="5" t="s">
        <v>245</v>
      </c>
      <c r="AC1605" s="5" t="s">
        <v>262</v>
      </c>
      <c r="AD1605" s="11" t="s">
        <v>3965</v>
      </c>
      <c r="AE1605" s="23" t="n">
        <v>0.9</v>
      </c>
      <c r="AF1605" s="23" t="n">
        <v>0</v>
      </c>
      <c r="AG1605" s="23" t="n">
        <v>0.33</v>
      </c>
      <c r="AH1605" s="23" t="n">
        <v>1</v>
      </c>
      <c r="AI1605" s="23" t="n">
        <v>0.6</v>
      </c>
      <c r="AJ1605" s="23" t="n">
        <v>0.2524</v>
      </c>
      <c r="AK1605" s="23" t="n">
        <v>0.5</v>
      </c>
      <c r="AL1605" s="23" t="n">
        <v>0</v>
      </c>
      <c r="AM1605" s="16" t="n">
        <f aca="false">COUNTIFS($D$2:$D$2501,D1605,$G$2:$G$2501,"&gt;"&amp;G1605)+COUNTIFS($D$2:D1605,D1605,$G$2:G1605,G1605)</f>
        <v>208</v>
      </c>
      <c r="AN1605" s="5" t="str">
        <f aca="false">D1605&amp;"|"&amp;AM1605</f>
        <v>檢索與情資關聯|208</v>
      </c>
    </row>
    <row r="1606" customFormat="false" ht="17.15" hidden="false" customHeight="false" outlineLevel="0" collapsed="false">
      <c r="A1606" s="16" t="n">
        <f aca="false">RANK(G1606,$G$2:$G$2501)+COUNTIF($G$2:G1606,G1606)-1</f>
        <v>1605</v>
      </c>
      <c r="B1606" s="11" t="s">
        <v>3966</v>
      </c>
      <c r="C1606" s="11" t="s">
        <v>2693</v>
      </c>
      <c r="D1606" s="5" t="s">
        <v>74</v>
      </c>
      <c r="E1606" s="5" t="s">
        <v>75</v>
      </c>
      <c r="F1606" s="5"/>
      <c r="G1606" s="22" t="n">
        <f aca="false">ROUND(SUM(I1606:P1606),3)</f>
        <v>57.96</v>
      </c>
      <c r="H1606" s="5" t="str">
        <f aca="false">IF(G1606&gt;=評分方法!$C$16,"優先評估",IF(G1606&gt;=評分方法!$C$17,"列入候選",IF(G1606&gt;=評分方法!$C$18,"特定情境","不建議")))</f>
        <v>不建議</v>
      </c>
      <c r="I1606" s="15" t="n">
        <f aca="false">AE1606*評分方法!$C$5</f>
        <v>10.5</v>
      </c>
      <c r="J1606" s="15" t="n">
        <f aca="false">AF1606*評分方法!$C$6</f>
        <v>0</v>
      </c>
      <c r="K1606" s="15" t="n">
        <f aca="false">AG1606*評分方法!$C$7</f>
        <v>15</v>
      </c>
      <c r="L1606" s="15" t="n">
        <f aca="false">AH1606*評分方法!$C$8</f>
        <v>15</v>
      </c>
      <c r="M1606" s="15" t="n">
        <f aca="false">AI1606*評分方法!$C$9</f>
        <v>10</v>
      </c>
      <c r="N1606" s="15" t="n">
        <f aca="false">AJ1606*評分方法!$C$10</f>
        <v>3.46</v>
      </c>
      <c r="O1606" s="15" t="n">
        <f aca="false">AK1606*評分方法!$C$11</f>
        <v>2.5</v>
      </c>
      <c r="P1606" s="15" t="n">
        <f aca="false">AL1606*評分方法!$C$12</f>
        <v>1.5</v>
      </c>
      <c r="Q1606" s="6" t="n">
        <v>349016</v>
      </c>
      <c r="R1606" s="6" t="n">
        <v>5533776</v>
      </c>
      <c r="S1606" s="11" t="s">
        <v>238</v>
      </c>
      <c r="T1606" s="11" t="s">
        <v>239</v>
      </c>
      <c r="U1606" s="5" t="s">
        <v>240</v>
      </c>
      <c r="V1606" s="11" t="s">
        <v>324</v>
      </c>
      <c r="W1606" s="5" t="s">
        <v>205</v>
      </c>
      <c r="X1606" s="5" t="s">
        <v>255</v>
      </c>
      <c r="Y1606" s="5"/>
      <c r="Z1606" s="5"/>
      <c r="AA1606" s="11" t="s">
        <v>172</v>
      </c>
      <c r="AB1606" s="5" t="s">
        <v>245</v>
      </c>
      <c r="AC1606" s="5"/>
      <c r="AD1606" s="11" t="s">
        <v>3967</v>
      </c>
      <c r="AE1606" s="23" t="n">
        <v>0.35</v>
      </c>
      <c r="AF1606" s="23" t="n">
        <v>0</v>
      </c>
      <c r="AG1606" s="23" t="n">
        <v>1</v>
      </c>
      <c r="AH1606" s="23" t="n">
        <v>1</v>
      </c>
      <c r="AI1606" s="23" t="n">
        <v>1</v>
      </c>
      <c r="AJ1606" s="23" t="n">
        <v>0.346</v>
      </c>
      <c r="AK1606" s="23" t="n">
        <v>0.5</v>
      </c>
      <c r="AL1606" s="23" t="n">
        <v>0.3</v>
      </c>
      <c r="AM1606" s="16" t="n">
        <f aca="false">COUNTIFS($D$2:$D$2501,D1606,$G$2:$G$2501,"&gt;"&amp;G1606)+COUNTIFS($D$2:D1606,D1606,$G$2:G1606,G1606)</f>
        <v>136</v>
      </c>
      <c r="AN1606" s="5" t="str">
        <f aca="false">D1606&amp;"|"&amp;AM1606</f>
        <v>文件與影像辨識|136</v>
      </c>
    </row>
    <row r="1607" customFormat="false" ht="17.15" hidden="false" customHeight="false" outlineLevel="0" collapsed="false">
      <c r="A1607" s="16" t="n">
        <f aca="false">RANK(G1607,$G$2:$G$2501)+COUNTIF($G$2:G1607,G1607)-1</f>
        <v>1606</v>
      </c>
      <c r="B1607" s="11" t="s">
        <v>3968</v>
      </c>
      <c r="C1607" s="11" t="s">
        <v>2693</v>
      </c>
      <c r="D1607" s="5" t="s">
        <v>74</v>
      </c>
      <c r="E1607" s="5" t="s">
        <v>75</v>
      </c>
      <c r="F1607" s="5"/>
      <c r="G1607" s="22" t="n">
        <f aca="false">ROUND(SUM(I1607:P1607),3)</f>
        <v>57.952</v>
      </c>
      <c r="H1607" s="5" t="str">
        <f aca="false">IF(G1607&gt;=評分方法!$C$16,"優先評估",IF(G1607&gt;=評分方法!$C$17,"列入候選",IF(G1607&gt;=評分方法!$C$18,"特定情境","不建議")))</f>
        <v>不建議</v>
      </c>
      <c r="I1607" s="15" t="n">
        <f aca="false">AE1607*評分方法!$C$5</f>
        <v>10.5</v>
      </c>
      <c r="J1607" s="15" t="n">
        <f aca="false">AF1607*評分方法!$C$6</f>
        <v>0</v>
      </c>
      <c r="K1607" s="15" t="n">
        <f aca="false">AG1607*評分方法!$C$7</f>
        <v>15</v>
      </c>
      <c r="L1607" s="15" t="n">
        <f aca="false">AH1607*評分方法!$C$8</f>
        <v>15</v>
      </c>
      <c r="M1607" s="15" t="n">
        <f aca="false">AI1607*評分方法!$C$9</f>
        <v>10</v>
      </c>
      <c r="N1607" s="15" t="n">
        <f aca="false">AJ1607*評分方法!$C$10</f>
        <v>3.452</v>
      </c>
      <c r="O1607" s="15" t="n">
        <f aca="false">AK1607*評分方法!$C$11</f>
        <v>2.5</v>
      </c>
      <c r="P1607" s="15" t="n">
        <f aca="false">AL1607*評分方法!$C$12</f>
        <v>1.5</v>
      </c>
      <c r="Q1607" s="6" t="n">
        <v>347394</v>
      </c>
      <c r="R1607" s="6" t="n">
        <v>18967028</v>
      </c>
      <c r="S1607" s="11" t="s">
        <v>238</v>
      </c>
      <c r="T1607" s="11" t="s">
        <v>239</v>
      </c>
      <c r="U1607" s="5" t="s">
        <v>240</v>
      </c>
      <c r="V1607" s="11" t="s">
        <v>324</v>
      </c>
      <c r="W1607" s="5" t="s">
        <v>205</v>
      </c>
      <c r="X1607" s="5" t="s">
        <v>255</v>
      </c>
      <c r="Y1607" s="5"/>
      <c r="Z1607" s="5"/>
      <c r="AA1607" s="11" t="s">
        <v>172</v>
      </c>
      <c r="AB1607" s="5" t="s">
        <v>245</v>
      </c>
      <c r="AC1607" s="5"/>
      <c r="AD1607" s="11" t="s">
        <v>3969</v>
      </c>
      <c r="AE1607" s="23" t="n">
        <v>0.35</v>
      </c>
      <c r="AF1607" s="23" t="n">
        <v>0</v>
      </c>
      <c r="AG1607" s="23" t="n">
        <v>1</v>
      </c>
      <c r="AH1607" s="23" t="n">
        <v>1</v>
      </c>
      <c r="AI1607" s="23" t="n">
        <v>1</v>
      </c>
      <c r="AJ1607" s="23" t="n">
        <v>0.3452</v>
      </c>
      <c r="AK1607" s="23" t="n">
        <v>0.5</v>
      </c>
      <c r="AL1607" s="23" t="n">
        <v>0.3</v>
      </c>
      <c r="AM1607" s="16" t="n">
        <f aca="false">COUNTIFS($D$2:$D$2501,D1607,$G$2:$G$2501,"&gt;"&amp;G1607)+COUNTIFS($D$2:D1607,D1607,$G$2:G1607,G1607)</f>
        <v>137</v>
      </c>
      <c r="AN1607" s="5" t="str">
        <f aca="false">D1607&amp;"|"&amp;AM1607</f>
        <v>文件與影像辨識|137</v>
      </c>
    </row>
    <row r="1608" customFormat="false" ht="17.15" hidden="false" customHeight="false" outlineLevel="0" collapsed="false">
      <c r="A1608" s="16" t="n">
        <f aca="false">RANK(G1608,$G$2:$G$2501)+COUNTIF($G$2:G1608,G1608)-1</f>
        <v>1607</v>
      </c>
      <c r="B1608" s="11" t="s">
        <v>3970</v>
      </c>
      <c r="C1608" s="11" t="s">
        <v>258</v>
      </c>
      <c r="D1608" s="5" t="s">
        <v>56</v>
      </c>
      <c r="E1608" s="5" t="s">
        <v>57</v>
      </c>
      <c r="F1608" s="5"/>
      <c r="G1608" s="22" t="n">
        <f aca="false">ROUND(SUM(I1608:P1608),3)</f>
        <v>57.952</v>
      </c>
      <c r="H1608" s="5" t="str">
        <f aca="false">IF(G1608&gt;=評分方法!$C$16,"優先評估",IF(G1608&gt;=評分方法!$C$17,"列入候選",IF(G1608&gt;=評分方法!$C$18,"特定情境","不建議")))</f>
        <v>不建議</v>
      </c>
      <c r="I1608" s="15" t="n">
        <f aca="false">AE1608*評分方法!$C$5</f>
        <v>25.5</v>
      </c>
      <c r="J1608" s="15" t="n">
        <f aca="false">AF1608*評分方法!$C$6</f>
        <v>0</v>
      </c>
      <c r="K1608" s="15" t="n">
        <f aca="false">AG1608*評分方法!$C$7</f>
        <v>15</v>
      </c>
      <c r="L1608" s="15" t="n">
        <f aca="false">AH1608*評分方法!$C$8</f>
        <v>9</v>
      </c>
      <c r="M1608" s="15" t="n">
        <f aca="false">AI1608*評分方法!$C$9</f>
        <v>6</v>
      </c>
      <c r="N1608" s="15" t="n">
        <f aca="false">AJ1608*評分方法!$C$10</f>
        <v>1.452</v>
      </c>
      <c r="O1608" s="15" t="n">
        <f aca="false">AK1608*評分方法!$C$11</f>
        <v>1</v>
      </c>
      <c r="P1608" s="15" t="n">
        <f aca="false">AL1608*評分方法!$C$12</f>
        <v>0</v>
      </c>
      <c r="Q1608" s="6" t="n">
        <v>176136</v>
      </c>
      <c r="R1608" s="6" t="n">
        <v>13015866880</v>
      </c>
      <c r="S1608" s="11" t="s">
        <v>389</v>
      </c>
      <c r="T1608" s="11" t="s">
        <v>1153</v>
      </c>
      <c r="U1608" s="5" t="s">
        <v>260</v>
      </c>
      <c r="V1608" s="11" t="s">
        <v>324</v>
      </c>
      <c r="W1608" s="5" t="s">
        <v>205</v>
      </c>
      <c r="X1608" s="5" t="s">
        <v>242</v>
      </c>
      <c r="Y1608" s="5"/>
      <c r="Z1608" s="5"/>
      <c r="AA1608" s="11" t="s">
        <v>155</v>
      </c>
      <c r="AB1608" s="5" t="s">
        <v>245</v>
      </c>
      <c r="AC1608" s="5" t="s">
        <v>262</v>
      </c>
      <c r="AD1608" s="11" t="s">
        <v>3971</v>
      </c>
      <c r="AE1608" s="23" t="n">
        <v>0.85</v>
      </c>
      <c r="AF1608" s="23" t="n">
        <v>0</v>
      </c>
      <c r="AG1608" s="23" t="n">
        <v>1</v>
      </c>
      <c r="AH1608" s="23" t="n">
        <v>0.6</v>
      </c>
      <c r="AI1608" s="23" t="n">
        <v>0.6</v>
      </c>
      <c r="AJ1608" s="23" t="n">
        <v>0.1452</v>
      </c>
      <c r="AK1608" s="23" t="n">
        <v>0.2</v>
      </c>
      <c r="AL1608" s="23" t="n">
        <v>0</v>
      </c>
      <c r="AM1608" s="16" t="n">
        <f aca="false">COUNTIFS($D$2:$D$2501,D1608,$G$2:$G$2501,"&gt;"&amp;G1608)+COUNTIFS($D$2:D1608,D1608,$G$2:G1608,G1608)</f>
        <v>754</v>
      </c>
      <c r="AN1608" s="5" t="str">
        <f aca="false">D1608&amp;"|"&amp;AM1608</f>
        <v>分析與報告生成|754</v>
      </c>
    </row>
    <row r="1609" customFormat="false" ht="17.15" hidden="false" customHeight="false" outlineLevel="0" collapsed="false">
      <c r="A1609" s="16" t="n">
        <f aca="false">RANK(G1609,$G$2:$G$2501)+COUNTIF($G$2:G1609,G1609)-1</f>
        <v>1608</v>
      </c>
      <c r="B1609" s="11" t="s">
        <v>3972</v>
      </c>
      <c r="C1609" s="11" t="s">
        <v>338</v>
      </c>
      <c r="D1609" s="5" t="s">
        <v>56</v>
      </c>
      <c r="E1609" s="5" t="s">
        <v>57</v>
      </c>
      <c r="F1609" s="5"/>
      <c r="G1609" s="22" t="n">
        <f aca="false">ROUND(SUM(I1609:P1609),3)</f>
        <v>57.91</v>
      </c>
      <c r="H1609" s="5" t="str">
        <f aca="false">IF(G1609&gt;=評分方法!$C$16,"優先評估",IF(G1609&gt;=評分方法!$C$17,"列入候選",IF(G1609&gt;=評分方法!$C$18,"特定情境","不建議")))</f>
        <v>不建議</v>
      </c>
      <c r="I1609" s="15" t="n">
        <f aca="false">AE1609*評分方法!$C$5</f>
        <v>25.5</v>
      </c>
      <c r="J1609" s="15" t="n">
        <f aca="false">AF1609*評分方法!$C$6</f>
        <v>0</v>
      </c>
      <c r="K1609" s="15" t="n">
        <f aca="false">AG1609*評分方法!$C$7</f>
        <v>15</v>
      </c>
      <c r="L1609" s="15" t="n">
        <f aca="false">AH1609*評分方法!$C$8</f>
        <v>1.95</v>
      </c>
      <c r="M1609" s="15" t="n">
        <f aca="false">AI1609*評分方法!$C$9</f>
        <v>10</v>
      </c>
      <c r="N1609" s="15" t="n">
        <f aca="false">AJ1609*評分方法!$C$10</f>
        <v>2.96</v>
      </c>
      <c r="O1609" s="15" t="n">
        <f aca="false">AK1609*評分方法!$C$11</f>
        <v>2.5</v>
      </c>
      <c r="P1609" s="15" t="n">
        <f aca="false">AL1609*評分方法!$C$12</f>
        <v>0</v>
      </c>
      <c r="Q1609" s="6" t="n">
        <v>291370</v>
      </c>
      <c r="R1609" s="6" t="n">
        <v>140630071296</v>
      </c>
      <c r="S1609" s="11" t="s">
        <v>1616</v>
      </c>
      <c r="T1609" s="11" t="s">
        <v>239</v>
      </c>
      <c r="U1609" s="5" t="s">
        <v>240</v>
      </c>
      <c r="V1609" s="11" t="s">
        <v>261</v>
      </c>
      <c r="W1609" s="5" t="s">
        <v>205</v>
      </c>
      <c r="X1609" s="5" t="s">
        <v>242</v>
      </c>
      <c r="Y1609" s="11" t="s">
        <v>3973</v>
      </c>
      <c r="Z1609" s="11" t="s">
        <v>270</v>
      </c>
      <c r="AA1609" s="11" t="s">
        <v>155</v>
      </c>
      <c r="AB1609" s="5" t="s">
        <v>328</v>
      </c>
      <c r="AC1609" s="5" t="s">
        <v>400</v>
      </c>
      <c r="AD1609" s="11" t="s">
        <v>3974</v>
      </c>
      <c r="AE1609" s="23" t="n">
        <v>0.85</v>
      </c>
      <c r="AF1609" s="23" t="n">
        <v>0</v>
      </c>
      <c r="AG1609" s="23" t="n">
        <v>1</v>
      </c>
      <c r="AH1609" s="23" t="n">
        <v>0.13</v>
      </c>
      <c r="AI1609" s="23" t="n">
        <v>1</v>
      </c>
      <c r="AJ1609" s="23" t="n">
        <v>0.296</v>
      </c>
      <c r="AK1609" s="23" t="n">
        <v>0.5</v>
      </c>
      <c r="AL1609" s="23" t="n">
        <v>0</v>
      </c>
      <c r="AM1609" s="16" t="n">
        <f aca="false">COUNTIFS($D$2:$D$2501,D1609,$G$2:$G$2501,"&gt;"&amp;G1609)+COUNTIFS($D$2:D1609,D1609,$G$2:G1609,G1609)</f>
        <v>755</v>
      </c>
      <c r="AN1609" s="5" t="str">
        <f aca="false">D1609&amp;"|"&amp;AM1609</f>
        <v>分析與報告生成|755</v>
      </c>
    </row>
    <row r="1610" customFormat="false" ht="17.15" hidden="false" customHeight="false" outlineLevel="0" collapsed="false">
      <c r="A1610" s="16" t="n">
        <f aca="false">RANK(G1610,$G$2:$G$2501)+COUNTIF($G$2:G1610,G1610)-1</f>
        <v>1609</v>
      </c>
      <c r="B1610" s="11" t="s">
        <v>3975</v>
      </c>
      <c r="C1610" s="11" t="s">
        <v>753</v>
      </c>
      <c r="D1610" s="5" t="s">
        <v>56</v>
      </c>
      <c r="E1610" s="5" t="s">
        <v>57</v>
      </c>
      <c r="F1610" s="5"/>
      <c r="G1610" s="22" t="n">
        <f aca="false">ROUND(SUM(I1610:P1610),3)</f>
        <v>57.898</v>
      </c>
      <c r="H1610" s="5" t="str">
        <f aca="false">IF(G1610&gt;=評分方法!$C$16,"優先評估",IF(G1610&gt;=評分方法!$C$17,"列入候選",IF(G1610&gt;=評分方法!$C$18,"特定情境","不建議")))</f>
        <v>不建議</v>
      </c>
      <c r="I1610" s="15" t="n">
        <f aca="false">AE1610*評分方法!$C$5</f>
        <v>25.5</v>
      </c>
      <c r="J1610" s="15" t="n">
        <f aca="false">AF1610*評分方法!$C$6</f>
        <v>0</v>
      </c>
      <c r="K1610" s="15" t="n">
        <f aca="false">AG1610*評分方法!$C$7</f>
        <v>10.05</v>
      </c>
      <c r="L1610" s="15" t="n">
        <f aca="false">AH1610*評分方法!$C$8</f>
        <v>9</v>
      </c>
      <c r="M1610" s="15" t="n">
        <f aca="false">AI1610*評分方法!$C$9</f>
        <v>6</v>
      </c>
      <c r="N1610" s="15" t="n">
        <f aca="false">AJ1610*評分方法!$C$10</f>
        <v>2.348</v>
      </c>
      <c r="O1610" s="15" t="n">
        <f aca="false">AK1610*評分方法!$C$11</f>
        <v>5</v>
      </c>
      <c r="P1610" s="15" t="n">
        <f aca="false">AL1610*評分方法!$C$12</f>
        <v>0</v>
      </c>
      <c r="Q1610" s="6" t="n">
        <v>235513</v>
      </c>
      <c r="R1610" s="6" t="n">
        <v>32913266240</v>
      </c>
      <c r="S1610" s="11" t="s">
        <v>389</v>
      </c>
      <c r="T1610" s="11" t="s">
        <v>185</v>
      </c>
      <c r="U1610" s="5" t="s">
        <v>260</v>
      </c>
      <c r="V1610" s="11" t="s">
        <v>333</v>
      </c>
      <c r="W1610" s="5" t="s">
        <v>207</v>
      </c>
      <c r="X1610" s="5" t="s">
        <v>242</v>
      </c>
      <c r="Y1610" s="11" t="s">
        <v>1560</v>
      </c>
      <c r="Z1610" s="11" t="s">
        <v>244</v>
      </c>
      <c r="AA1610" s="11" t="s">
        <v>155</v>
      </c>
      <c r="AB1610" s="5" t="s">
        <v>245</v>
      </c>
      <c r="AC1610" s="5" t="s">
        <v>464</v>
      </c>
      <c r="AD1610" s="11" t="s">
        <v>3976</v>
      </c>
      <c r="AE1610" s="23" t="n">
        <v>0.85</v>
      </c>
      <c r="AF1610" s="23" t="n">
        <v>0</v>
      </c>
      <c r="AG1610" s="23" t="n">
        <v>0.67</v>
      </c>
      <c r="AH1610" s="23" t="n">
        <v>0.6</v>
      </c>
      <c r="AI1610" s="23" t="n">
        <v>0.6</v>
      </c>
      <c r="AJ1610" s="23" t="n">
        <v>0.2348</v>
      </c>
      <c r="AK1610" s="23" t="n">
        <v>1</v>
      </c>
      <c r="AL1610" s="23" t="n">
        <v>0</v>
      </c>
      <c r="AM1610" s="16" t="n">
        <f aca="false">COUNTIFS($D$2:$D$2501,D1610,$G$2:$G$2501,"&gt;"&amp;G1610)+COUNTIFS($D$2:D1610,D1610,$G$2:G1610,G1610)</f>
        <v>756</v>
      </c>
      <c r="AN1610" s="5" t="str">
        <f aca="false">D1610&amp;"|"&amp;AM1610</f>
        <v>分析與報告生成|756</v>
      </c>
    </row>
    <row r="1611" customFormat="false" ht="17.15" hidden="false" customHeight="false" outlineLevel="0" collapsed="false">
      <c r="A1611" s="16" t="n">
        <f aca="false">RANK(G1611,$G$2:$G$2501)+COUNTIF($G$2:G1611,G1611)-1</f>
        <v>1610</v>
      </c>
      <c r="B1611" s="11" t="s">
        <v>3977</v>
      </c>
      <c r="C1611" s="11" t="s">
        <v>3794</v>
      </c>
      <c r="D1611" s="5" t="s">
        <v>56</v>
      </c>
      <c r="E1611" s="5" t="s">
        <v>57</v>
      </c>
      <c r="F1611" s="5"/>
      <c r="G1611" s="22" t="n">
        <f aca="false">ROUND(SUM(I1611:P1611),3)</f>
        <v>57.892</v>
      </c>
      <c r="H1611" s="5" t="str">
        <f aca="false">IF(G1611&gt;=評分方法!$C$16,"優先評估",IF(G1611&gt;=評分方法!$C$17,"列入候選",IF(G1611&gt;=評分方法!$C$18,"特定情境","不建議")))</f>
        <v>不建議</v>
      </c>
      <c r="I1611" s="15" t="n">
        <f aca="false">AE1611*評分方法!$C$5</f>
        <v>25.5</v>
      </c>
      <c r="J1611" s="15" t="n">
        <f aca="false">AF1611*評分方法!$C$6</f>
        <v>0</v>
      </c>
      <c r="K1611" s="15" t="n">
        <f aca="false">AG1611*評分方法!$C$7</f>
        <v>4.95</v>
      </c>
      <c r="L1611" s="15" t="n">
        <f aca="false">AH1611*評分方法!$C$8</f>
        <v>1.95</v>
      </c>
      <c r="M1611" s="15" t="n">
        <f aca="false">AI1611*評分方法!$C$9</f>
        <v>10</v>
      </c>
      <c r="N1611" s="15" t="n">
        <f aca="false">AJ1611*評分方法!$C$10</f>
        <v>7.492</v>
      </c>
      <c r="O1611" s="15" t="n">
        <f aca="false">AK1611*評分方法!$C$11</f>
        <v>5</v>
      </c>
      <c r="P1611" s="15" t="n">
        <f aca="false">AL1611*評分方法!$C$12</f>
        <v>3</v>
      </c>
      <c r="Q1611" s="6" t="n">
        <v>1150789</v>
      </c>
      <c r="R1611" s="6" t="n">
        <v>156032140138</v>
      </c>
      <c r="S1611" s="11" t="s">
        <v>1616</v>
      </c>
      <c r="T1611" s="11" t="s">
        <v>239</v>
      </c>
      <c r="U1611" s="5" t="s">
        <v>240</v>
      </c>
      <c r="V1611" s="11" t="s">
        <v>261</v>
      </c>
      <c r="W1611" s="5" t="s">
        <v>334</v>
      </c>
      <c r="X1611" s="5" t="s">
        <v>371</v>
      </c>
      <c r="Y1611" s="11" t="s">
        <v>2771</v>
      </c>
      <c r="Z1611" s="11" t="s">
        <v>244</v>
      </c>
      <c r="AA1611" s="11" t="s">
        <v>156</v>
      </c>
      <c r="AB1611" s="5" t="s">
        <v>245</v>
      </c>
      <c r="AC1611" s="5" t="s">
        <v>246</v>
      </c>
      <c r="AD1611" s="11" t="s">
        <v>3978</v>
      </c>
      <c r="AE1611" s="23" t="n">
        <v>0.85</v>
      </c>
      <c r="AF1611" s="23" t="n">
        <v>0</v>
      </c>
      <c r="AG1611" s="23" t="n">
        <v>0.33</v>
      </c>
      <c r="AH1611" s="23" t="n">
        <v>0.13</v>
      </c>
      <c r="AI1611" s="23" t="n">
        <v>1</v>
      </c>
      <c r="AJ1611" s="23" t="n">
        <v>0.7492</v>
      </c>
      <c r="AK1611" s="23" t="n">
        <v>1</v>
      </c>
      <c r="AL1611" s="23" t="n">
        <v>0.6</v>
      </c>
      <c r="AM1611" s="16" t="n">
        <f aca="false">COUNTIFS($D$2:$D$2501,D1611,$G$2:$G$2501,"&gt;"&amp;G1611)+COUNTIFS($D$2:D1611,D1611,$G$2:G1611,G1611)</f>
        <v>757</v>
      </c>
      <c r="AN1611" s="5" t="str">
        <f aca="false">D1611&amp;"|"&amp;AM1611</f>
        <v>分析與報告生成|757</v>
      </c>
    </row>
    <row r="1612" customFormat="false" ht="17.15" hidden="false" customHeight="false" outlineLevel="0" collapsed="false">
      <c r="A1612" s="16" t="n">
        <f aca="false">RANK(G1612,$G$2:$G$2501)+COUNTIF($G$2:G1612,G1612)-1</f>
        <v>1611</v>
      </c>
      <c r="B1612" s="11" t="s">
        <v>3979</v>
      </c>
      <c r="C1612" s="11" t="s">
        <v>3980</v>
      </c>
      <c r="D1612" s="5" t="s">
        <v>56</v>
      </c>
      <c r="E1612" s="5" t="s">
        <v>57</v>
      </c>
      <c r="F1612" s="5"/>
      <c r="G1612" s="22" t="n">
        <f aca="false">ROUND(SUM(I1612:P1612),3)</f>
        <v>57.882</v>
      </c>
      <c r="H1612" s="5" t="str">
        <f aca="false">IF(G1612&gt;=評分方法!$C$16,"優先評估",IF(G1612&gt;=評分方法!$C$17,"列入候選",IF(G1612&gt;=評分方法!$C$18,"特定情境","不建議")))</f>
        <v>不建議</v>
      </c>
      <c r="I1612" s="15" t="n">
        <f aca="false">AE1612*評分方法!$C$5</f>
        <v>25.5</v>
      </c>
      <c r="J1612" s="15" t="n">
        <f aca="false">AF1612*評分方法!$C$6</f>
        <v>0</v>
      </c>
      <c r="K1612" s="15" t="n">
        <f aca="false">AG1612*評分方法!$C$7</f>
        <v>4.95</v>
      </c>
      <c r="L1612" s="15" t="n">
        <f aca="false">AH1612*評分方法!$C$8</f>
        <v>15</v>
      </c>
      <c r="M1612" s="15" t="n">
        <f aca="false">AI1612*評分方法!$C$9</f>
        <v>2</v>
      </c>
      <c r="N1612" s="15" t="n">
        <f aca="false">AJ1612*評分方法!$C$10</f>
        <v>2.432</v>
      </c>
      <c r="O1612" s="15" t="n">
        <f aca="false">AK1612*評分方法!$C$11</f>
        <v>5</v>
      </c>
      <c r="P1612" s="15" t="n">
        <f aca="false">AL1612*評分方法!$C$12</f>
        <v>3</v>
      </c>
      <c r="Q1612" s="6" t="n">
        <v>244930</v>
      </c>
      <c r="R1612" s="6" t="n">
        <v>427616846</v>
      </c>
      <c r="S1612" s="11" t="s">
        <v>238</v>
      </c>
      <c r="T1612" s="5"/>
      <c r="U1612" s="5" t="s">
        <v>375</v>
      </c>
      <c r="V1612" s="11" t="s">
        <v>383</v>
      </c>
      <c r="W1612" s="5" t="s">
        <v>334</v>
      </c>
      <c r="X1612" s="5" t="s">
        <v>371</v>
      </c>
      <c r="Y1612" s="5"/>
      <c r="Z1612" s="5"/>
      <c r="AA1612" s="11" t="s">
        <v>155</v>
      </c>
      <c r="AB1612" s="5" t="s">
        <v>961</v>
      </c>
      <c r="AC1612" s="5" t="s">
        <v>1977</v>
      </c>
      <c r="AD1612" s="11" t="s">
        <v>3981</v>
      </c>
      <c r="AE1612" s="23" t="n">
        <v>0.85</v>
      </c>
      <c r="AF1612" s="23" t="n">
        <v>0</v>
      </c>
      <c r="AG1612" s="23" t="n">
        <v>0.33</v>
      </c>
      <c r="AH1612" s="23" t="n">
        <v>1</v>
      </c>
      <c r="AI1612" s="23" t="n">
        <v>0.2</v>
      </c>
      <c r="AJ1612" s="23" t="n">
        <v>0.2432</v>
      </c>
      <c r="AK1612" s="23" t="n">
        <v>1</v>
      </c>
      <c r="AL1612" s="23" t="n">
        <v>0.6</v>
      </c>
      <c r="AM1612" s="16" t="n">
        <f aca="false">COUNTIFS($D$2:$D$2501,D1612,$G$2:$G$2501,"&gt;"&amp;G1612)+COUNTIFS($D$2:D1612,D1612,$G$2:G1612,G1612)</f>
        <v>758</v>
      </c>
      <c r="AN1612" s="5" t="str">
        <f aca="false">D1612&amp;"|"&amp;AM1612</f>
        <v>分析與報告生成|758</v>
      </c>
    </row>
    <row r="1613" customFormat="false" ht="17.15" hidden="false" customHeight="false" outlineLevel="0" collapsed="false">
      <c r="A1613" s="16" t="n">
        <f aca="false">RANK(G1613,$G$2:$G$2501)+COUNTIF($G$2:G1613,G1613)-1</f>
        <v>1612</v>
      </c>
      <c r="B1613" s="11" t="s">
        <v>3982</v>
      </c>
      <c r="C1613" s="11" t="s">
        <v>2693</v>
      </c>
      <c r="D1613" s="5" t="s">
        <v>74</v>
      </c>
      <c r="E1613" s="5" t="s">
        <v>75</v>
      </c>
      <c r="F1613" s="5"/>
      <c r="G1613" s="22" t="n">
        <f aca="false">ROUND(SUM(I1613:P1613),3)</f>
        <v>57.88</v>
      </c>
      <c r="H1613" s="5" t="str">
        <f aca="false">IF(G1613&gt;=評分方法!$C$16,"優先評估",IF(G1613&gt;=評分方法!$C$17,"列入候選",IF(G1613&gt;=評分方法!$C$18,"特定情境","不建議")))</f>
        <v>不建議</v>
      </c>
      <c r="I1613" s="15" t="n">
        <f aca="false">AE1613*評分方法!$C$5</f>
        <v>10.5</v>
      </c>
      <c r="J1613" s="15" t="n">
        <f aca="false">AF1613*評分方法!$C$6</f>
        <v>0</v>
      </c>
      <c r="K1613" s="15" t="n">
        <f aca="false">AG1613*評分方法!$C$7</f>
        <v>15</v>
      </c>
      <c r="L1613" s="15" t="n">
        <f aca="false">AH1613*評分方法!$C$8</f>
        <v>15</v>
      </c>
      <c r="M1613" s="15" t="n">
        <f aca="false">AI1613*評分方法!$C$9</f>
        <v>10</v>
      </c>
      <c r="N1613" s="15" t="n">
        <f aca="false">AJ1613*評分方法!$C$10</f>
        <v>3.38</v>
      </c>
      <c r="O1613" s="15" t="n">
        <f aca="false">AK1613*評分方法!$C$11</f>
        <v>2.5</v>
      </c>
      <c r="P1613" s="15" t="n">
        <f aca="false">AL1613*評分方法!$C$12</f>
        <v>1.5</v>
      </c>
      <c r="Q1613" s="6" t="n">
        <v>337853</v>
      </c>
      <c r="R1613" s="6" t="n">
        <v>197767336</v>
      </c>
      <c r="S1613" s="11" t="s">
        <v>238</v>
      </c>
      <c r="T1613" s="11" t="s">
        <v>239</v>
      </c>
      <c r="U1613" s="5" t="s">
        <v>240</v>
      </c>
      <c r="V1613" s="11" t="s">
        <v>324</v>
      </c>
      <c r="W1613" s="5" t="s">
        <v>205</v>
      </c>
      <c r="X1613" s="5" t="s">
        <v>255</v>
      </c>
      <c r="Y1613" s="5"/>
      <c r="Z1613" s="5"/>
      <c r="AA1613" s="11" t="s">
        <v>172</v>
      </c>
      <c r="AB1613" s="5" t="s">
        <v>245</v>
      </c>
      <c r="AC1613" s="5"/>
      <c r="AD1613" s="11" t="s">
        <v>3983</v>
      </c>
      <c r="AE1613" s="23" t="n">
        <v>0.35</v>
      </c>
      <c r="AF1613" s="23" t="n">
        <v>0</v>
      </c>
      <c r="AG1613" s="23" t="n">
        <v>1</v>
      </c>
      <c r="AH1613" s="23" t="n">
        <v>1</v>
      </c>
      <c r="AI1613" s="23" t="n">
        <v>1</v>
      </c>
      <c r="AJ1613" s="23" t="n">
        <v>0.338</v>
      </c>
      <c r="AK1613" s="23" t="n">
        <v>0.5</v>
      </c>
      <c r="AL1613" s="23" t="n">
        <v>0.3</v>
      </c>
      <c r="AM1613" s="16" t="n">
        <f aca="false">COUNTIFS($D$2:$D$2501,D1613,$G$2:$G$2501,"&gt;"&amp;G1613)+COUNTIFS($D$2:D1613,D1613,$G$2:G1613,G1613)</f>
        <v>138</v>
      </c>
      <c r="AN1613" s="5" t="str">
        <f aca="false">D1613&amp;"|"&amp;AM1613</f>
        <v>文件與影像辨識|138</v>
      </c>
    </row>
    <row r="1614" customFormat="false" ht="17.15" hidden="false" customHeight="false" outlineLevel="0" collapsed="false">
      <c r="A1614" s="16" t="n">
        <f aca="false">RANK(G1614,$G$2:$G$2501)+COUNTIF($G$2:G1614,G1614)-1</f>
        <v>1613</v>
      </c>
      <c r="B1614" s="11" t="s">
        <v>3984</v>
      </c>
      <c r="C1614" s="11" t="s">
        <v>2693</v>
      </c>
      <c r="D1614" s="5" t="s">
        <v>74</v>
      </c>
      <c r="E1614" s="5" t="s">
        <v>75</v>
      </c>
      <c r="F1614" s="5"/>
      <c r="G1614" s="22" t="n">
        <f aca="false">ROUND(SUM(I1614:P1614),3)</f>
        <v>57.844</v>
      </c>
      <c r="H1614" s="5" t="str">
        <f aca="false">IF(G1614&gt;=評分方法!$C$16,"優先評估",IF(G1614&gt;=評分方法!$C$17,"列入候選",IF(G1614&gt;=評分方法!$C$18,"特定情境","不建議")))</f>
        <v>不建議</v>
      </c>
      <c r="I1614" s="15" t="n">
        <f aca="false">AE1614*評分方法!$C$5</f>
        <v>10.5</v>
      </c>
      <c r="J1614" s="15" t="n">
        <f aca="false">AF1614*評分方法!$C$6</f>
        <v>0</v>
      </c>
      <c r="K1614" s="15" t="n">
        <f aca="false">AG1614*評分方法!$C$7</f>
        <v>15</v>
      </c>
      <c r="L1614" s="15" t="n">
        <f aca="false">AH1614*評分方法!$C$8</f>
        <v>15</v>
      </c>
      <c r="M1614" s="15" t="n">
        <f aca="false">AI1614*評分方法!$C$9</f>
        <v>10</v>
      </c>
      <c r="N1614" s="15" t="n">
        <f aca="false">AJ1614*評分方法!$C$10</f>
        <v>3.344</v>
      </c>
      <c r="O1614" s="15" t="n">
        <f aca="false">AK1614*評分方法!$C$11</f>
        <v>2.5</v>
      </c>
      <c r="P1614" s="15" t="n">
        <f aca="false">AL1614*評分方法!$C$12</f>
        <v>1.5</v>
      </c>
      <c r="Q1614" s="6" t="n">
        <v>333161</v>
      </c>
      <c r="R1614" s="6" t="n">
        <v>92930304</v>
      </c>
      <c r="S1614" s="11" t="s">
        <v>238</v>
      </c>
      <c r="T1614" s="11" t="s">
        <v>239</v>
      </c>
      <c r="U1614" s="5" t="s">
        <v>240</v>
      </c>
      <c r="V1614" s="11" t="s">
        <v>324</v>
      </c>
      <c r="W1614" s="5" t="s">
        <v>205</v>
      </c>
      <c r="X1614" s="5" t="s">
        <v>255</v>
      </c>
      <c r="Y1614" s="5"/>
      <c r="Z1614" s="5"/>
      <c r="AA1614" s="11" t="s">
        <v>173</v>
      </c>
      <c r="AB1614" s="5" t="s">
        <v>245</v>
      </c>
      <c r="AC1614" s="5"/>
      <c r="AD1614" s="11" t="s">
        <v>3985</v>
      </c>
      <c r="AE1614" s="23" t="n">
        <v>0.35</v>
      </c>
      <c r="AF1614" s="23" t="n">
        <v>0</v>
      </c>
      <c r="AG1614" s="23" t="n">
        <v>1</v>
      </c>
      <c r="AH1614" s="23" t="n">
        <v>1</v>
      </c>
      <c r="AI1614" s="23" t="n">
        <v>1</v>
      </c>
      <c r="AJ1614" s="23" t="n">
        <v>0.3344</v>
      </c>
      <c r="AK1614" s="23" t="n">
        <v>0.5</v>
      </c>
      <c r="AL1614" s="23" t="n">
        <v>0.3</v>
      </c>
      <c r="AM1614" s="16" t="n">
        <f aca="false">COUNTIFS($D$2:$D$2501,D1614,$G$2:$G$2501,"&gt;"&amp;G1614)+COUNTIFS($D$2:D1614,D1614,$G$2:G1614,G1614)</f>
        <v>139</v>
      </c>
      <c r="AN1614" s="5" t="str">
        <f aca="false">D1614&amp;"|"&amp;AM1614</f>
        <v>文件與影像辨識|139</v>
      </c>
    </row>
    <row r="1615" customFormat="false" ht="17.15" hidden="false" customHeight="false" outlineLevel="0" collapsed="false">
      <c r="A1615" s="16" t="n">
        <f aca="false">RANK(G1615,$G$2:$G$2501)+COUNTIF($G$2:G1615,G1615)-1</f>
        <v>1614</v>
      </c>
      <c r="B1615" s="11" t="s">
        <v>3986</v>
      </c>
      <c r="C1615" s="11" t="s">
        <v>3987</v>
      </c>
      <c r="D1615" s="5" t="s">
        <v>56</v>
      </c>
      <c r="E1615" s="5" t="s">
        <v>57</v>
      </c>
      <c r="F1615" s="5"/>
      <c r="G1615" s="22" t="n">
        <f aca="false">ROUND(SUM(I1615:P1615),3)</f>
        <v>57.844</v>
      </c>
      <c r="H1615" s="5" t="str">
        <f aca="false">IF(G1615&gt;=評分方法!$C$16,"優先評估",IF(G1615&gt;=評分方法!$C$17,"列入候選",IF(G1615&gt;=評分方法!$C$18,"特定情境","不建議")))</f>
        <v>不建議</v>
      </c>
      <c r="I1615" s="15" t="n">
        <f aca="false">AE1615*評分方法!$C$5</f>
        <v>25.5</v>
      </c>
      <c r="J1615" s="15" t="n">
        <f aca="false">AF1615*評分方法!$C$6</f>
        <v>0</v>
      </c>
      <c r="K1615" s="15" t="n">
        <f aca="false">AG1615*評分方法!$C$7</f>
        <v>4.95</v>
      </c>
      <c r="L1615" s="15" t="n">
        <f aca="false">AH1615*評分方法!$C$8</f>
        <v>7.05</v>
      </c>
      <c r="M1615" s="15" t="n">
        <f aca="false">AI1615*評分方法!$C$9</f>
        <v>10</v>
      </c>
      <c r="N1615" s="15" t="n">
        <f aca="false">AJ1615*評分方法!$C$10</f>
        <v>2.344</v>
      </c>
      <c r="O1615" s="15" t="n">
        <f aca="false">AK1615*評分方法!$C$11</f>
        <v>5</v>
      </c>
      <c r="P1615" s="15" t="n">
        <f aca="false">AL1615*評分方法!$C$12</f>
        <v>3</v>
      </c>
      <c r="Q1615" s="6" t="n">
        <v>235461</v>
      </c>
      <c r="R1615" s="6"/>
      <c r="S1615" s="5" t="s">
        <v>255</v>
      </c>
      <c r="T1615" s="11" t="s">
        <v>239</v>
      </c>
      <c r="U1615" s="5" t="s">
        <v>240</v>
      </c>
      <c r="V1615" s="11" t="s">
        <v>333</v>
      </c>
      <c r="W1615" s="5" t="s">
        <v>334</v>
      </c>
      <c r="X1615" s="5" t="s">
        <v>371</v>
      </c>
      <c r="Y1615" s="5"/>
      <c r="Z1615" s="5"/>
      <c r="AA1615" s="11" t="s">
        <v>155</v>
      </c>
      <c r="AB1615" s="5" t="s">
        <v>961</v>
      </c>
      <c r="AC1615" s="5" t="s">
        <v>1203</v>
      </c>
      <c r="AD1615" s="11" t="s">
        <v>3988</v>
      </c>
      <c r="AE1615" s="23" t="n">
        <v>0.85</v>
      </c>
      <c r="AF1615" s="23" t="n">
        <v>0</v>
      </c>
      <c r="AG1615" s="23" t="n">
        <v>0.33</v>
      </c>
      <c r="AH1615" s="23" t="n">
        <v>0.47</v>
      </c>
      <c r="AI1615" s="23" t="n">
        <v>1</v>
      </c>
      <c r="AJ1615" s="23" t="n">
        <v>0.2344</v>
      </c>
      <c r="AK1615" s="23" t="n">
        <v>1</v>
      </c>
      <c r="AL1615" s="23" t="n">
        <v>0.6</v>
      </c>
      <c r="AM1615" s="16" t="n">
        <f aca="false">COUNTIFS($D$2:$D$2501,D1615,$G$2:$G$2501,"&gt;"&amp;G1615)+COUNTIFS($D$2:D1615,D1615,$G$2:G1615,G1615)</f>
        <v>759</v>
      </c>
      <c r="AN1615" s="5" t="str">
        <f aca="false">D1615&amp;"|"&amp;AM1615</f>
        <v>分析與報告生成|759</v>
      </c>
    </row>
    <row r="1616" customFormat="false" ht="17.15" hidden="false" customHeight="false" outlineLevel="0" collapsed="false">
      <c r="A1616" s="16" t="n">
        <f aca="false">RANK(G1616,$G$2:$G$2501)+COUNTIF($G$2:G1616,G1616)-1</f>
        <v>1615</v>
      </c>
      <c r="B1616" s="11" t="s">
        <v>3989</v>
      </c>
      <c r="C1616" s="11" t="s">
        <v>3990</v>
      </c>
      <c r="D1616" s="5" t="s">
        <v>56</v>
      </c>
      <c r="E1616" s="5" t="s">
        <v>57</v>
      </c>
      <c r="F1616" s="5"/>
      <c r="G1616" s="22" t="n">
        <f aca="false">ROUND(SUM(I1616:P1616),3)</f>
        <v>57.844</v>
      </c>
      <c r="H1616" s="5" t="str">
        <f aca="false">IF(G1616&gt;=評分方法!$C$16,"優先評估",IF(G1616&gt;=評分方法!$C$17,"列入候選",IF(G1616&gt;=評分方法!$C$18,"特定情境","不建議")))</f>
        <v>不建議</v>
      </c>
      <c r="I1616" s="15" t="n">
        <f aca="false">AE1616*評分方法!$C$5</f>
        <v>25.5</v>
      </c>
      <c r="J1616" s="15" t="n">
        <f aca="false">AF1616*評分方法!$C$6</f>
        <v>0</v>
      </c>
      <c r="K1616" s="15" t="n">
        <f aca="false">AG1616*評分方法!$C$7</f>
        <v>4.95</v>
      </c>
      <c r="L1616" s="15" t="n">
        <f aca="false">AH1616*評分方法!$C$8</f>
        <v>13.05</v>
      </c>
      <c r="M1616" s="15" t="n">
        <f aca="false">AI1616*評分方法!$C$9</f>
        <v>5</v>
      </c>
      <c r="N1616" s="15" t="n">
        <f aca="false">AJ1616*評分方法!$C$10</f>
        <v>1.844</v>
      </c>
      <c r="O1616" s="15" t="n">
        <f aca="false">AK1616*評分方法!$C$11</f>
        <v>2.5</v>
      </c>
      <c r="P1616" s="15" t="n">
        <f aca="false">AL1616*評分方法!$C$12</f>
        <v>5</v>
      </c>
      <c r="Q1616" s="6" t="n">
        <v>199016</v>
      </c>
      <c r="R1616" s="6" t="n">
        <v>9076609024</v>
      </c>
      <c r="S1616" s="11" t="s">
        <v>254</v>
      </c>
      <c r="T1616" s="11" t="s">
        <v>3991</v>
      </c>
      <c r="U1616" s="11" t="s">
        <v>3992</v>
      </c>
      <c r="V1616" s="11" t="s">
        <v>261</v>
      </c>
      <c r="W1616" s="5" t="s">
        <v>334</v>
      </c>
      <c r="X1616" s="5" t="s">
        <v>284</v>
      </c>
      <c r="Y1616" s="11" t="s">
        <v>3993</v>
      </c>
      <c r="Z1616" s="11" t="s">
        <v>244</v>
      </c>
      <c r="AA1616" s="11" t="s">
        <v>155</v>
      </c>
      <c r="AB1616" s="5" t="s">
        <v>245</v>
      </c>
      <c r="AC1616" s="5" t="s">
        <v>246</v>
      </c>
      <c r="AD1616" s="11" t="s">
        <v>3994</v>
      </c>
      <c r="AE1616" s="23" t="n">
        <v>0.85</v>
      </c>
      <c r="AF1616" s="23" t="n">
        <v>0</v>
      </c>
      <c r="AG1616" s="23" t="n">
        <v>0.33</v>
      </c>
      <c r="AH1616" s="23" t="n">
        <v>0.87</v>
      </c>
      <c r="AI1616" s="23" t="n">
        <v>0.5</v>
      </c>
      <c r="AJ1616" s="23" t="n">
        <v>0.1844</v>
      </c>
      <c r="AK1616" s="23" t="n">
        <v>0.5</v>
      </c>
      <c r="AL1616" s="23" t="n">
        <v>1</v>
      </c>
      <c r="AM1616" s="16" t="n">
        <f aca="false">COUNTIFS($D$2:$D$2501,D1616,$G$2:$G$2501,"&gt;"&amp;G1616)+COUNTIFS($D$2:D1616,D1616,$G$2:G1616,G1616)</f>
        <v>760</v>
      </c>
      <c r="AN1616" s="5" t="str">
        <f aca="false">D1616&amp;"|"&amp;AM1616</f>
        <v>分析與報告生成|760</v>
      </c>
    </row>
    <row r="1617" customFormat="false" ht="17.15" hidden="false" customHeight="false" outlineLevel="0" collapsed="false">
      <c r="A1617" s="16" t="n">
        <f aca="false">RANK(G1617,$G$2:$G$2501)+COUNTIF($G$2:G1617,G1617)-1</f>
        <v>1616</v>
      </c>
      <c r="B1617" s="11" t="s">
        <v>3995</v>
      </c>
      <c r="C1617" s="11" t="s">
        <v>753</v>
      </c>
      <c r="D1617" s="5" t="s">
        <v>56</v>
      </c>
      <c r="E1617" s="5" t="s">
        <v>57</v>
      </c>
      <c r="F1617" s="5"/>
      <c r="G1617" s="22" t="n">
        <f aca="false">ROUND(SUM(I1617:P1617),3)</f>
        <v>57.826</v>
      </c>
      <c r="H1617" s="5" t="str">
        <f aca="false">IF(G1617&gt;=評分方法!$C$16,"優先評估",IF(G1617&gt;=評分方法!$C$17,"列入候選",IF(G1617&gt;=評分方法!$C$18,"特定情境","不建議")))</f>
        <v>不建議</v>
      </c>
      <c r="I1617" s="15" t="n">
        <f aca="false">AE1617*評分方法!$C$5</f>
        <v>25.5</v>
      </c>
      <c r="J1617" s="15" t="n">
        <f aca="false">AF1617*評分方法!$C$6</f>
        <v>0</v>
      </c>
      <c r="K1617" s="15" t="n">
        <f aca="false">AG1617*評分方法!$C$7</f>
        <v>10.05</v>
      </c>
      <c r="L1617" s="15" t="n">
        <f aca="false">AH1617*評分方法!$C$8</f>
        <v>9</v>
      </c>
      <c r="M1617" s="15" t="n">
        <f aca="false">AI1617*評分方法!$C$9</f>
        <v>6</v>
      </c>
      <c r="N1617" s="15" t="n">
        <f aca="false">AJ1617*評分方法!$C$10</f>
        <v>1.776</v>
      </c>
      <c r="O1617" s="15" t="n">
        <f aca="false">AK1617*評分方法!$C$11</f>
        <v>2.5</v>
      </c>
      <c r="P1617" s="15" t="n">
        <f aca="false">AL1617*評分方法!$C$12</f>
        <v>3</v>
      </c>
      <c r="Q1617" s="6" t="n">
        <v>194112</v>
      </c>
      <c r="R1617" s="6" t="n">
        <v>27810781478</v>
      </c>
      <c r="S1617" s="11" t="s">
        <v>389</v>
      </c>
      <c r="T1617" s="11" t="s">
        <v>185</v>
      </c>
      <c r="U1617" s="5" t="s">
        <v>260</v>
      </c>
      <c r="V1617" s="11" t="s">
        <v>261</v>
      </c>
      <c r="W1617" s="5" t="s">
        <v>207</v>
      </c>
      <c r="X1617" s="5" t="s">
        <v>371</v>
      </c>
      <c r="Y1617" s="11" t="s">
        <v>3029</v>
      </c>
      <c r="Z1617" s="11" t="s">
        <v>244</v>
      </c>
      <c r="AA1617" s="11" t="s">
        <v>156</v>
      </c>
      <c r="AB1617" s="5" t="s">
        <v>245</v>
      </c>
      <c r="AC1617" s="5" t="s">
        <v>464</v>
      </c>
      <c r="AD1617" s="11" t="s">
        <v>3996</v>
      </c>
      <c r="AE1617" s="23" t="n">
        <v>0.85</v>
      </c>
      <c r="AF1617" s="23" t="n">
        <v>0</v>
      </c>
      <c r="AG1617" s="23" t="n">
        <v>0.67</v>
      </c>
      <c r="AH1617" s="23" t="n">
        <v>0.6</v>
      </c>
      <c r="AI1617" s="23" t="n">
        <v>0.6</v>
      </c>
      <c r="AJ1617" s="23" t="n">
        <v>0.1776</v>
      </c>
      <c r="AK1617" s="23" t="n">
        <v>0.5</v>
      </c>
      <c r="AL1617" s="23" t="n">
        <v>0.6</v>
      </c>
      <c r="AM1617" s="16" t="n">
        <f aca="false">COUNTIFS($D$2:$D$2501,D1617,$G$2:$G$2501,"&gt;"&amp;G1617)+COUNTIFS($D$2:D1617,D1617,$G$2:G1617,G1617)</f>
        <v>761</v>
      </c>
      <c r="AN1617" s="5" t="str">
        <f aca="false">D1617&amp;"|"&amp;AM1617</f>
        <v>分析與報告生成|761</v>
      </c>
    </row>
    <row r="1618" customFormat="false" ht="17.15" hidden="false" customHeight="false" outlineLevel="0" collapsed="false">
      <c r="A1618" s="16" t="n">
        <f aca="false">RANK(G1618,$G$2:$G$2501)+COUNTIF($G$2:G1618,G1618)-1</f>
        <v>1617</v>
      </c>
      <c r="B1618" s="11" t="s">
        <v>3997</v>
      </c>
      <c r="C1618" s="11" t="s">
        <v>2693</v>
      </c>
      <c r="D1618" s="5" t="s">
        <v>74</v>
      </c>
      <c r="E1618" s="5" t="s">
        <v>75</v>
      </c>
      <c r="F1618" s="5"/>
      <c r="G1618" s="22" t="n">
        <f aca="false">ROUND(SUM(I1618:P1618),3)</f>
        <v>57.82</v>
      </c>
      <c r="H1618" s="5" t="str">
        <f aca="false">IF(G1618&gt;=評分方法!$C$16,"優先評估",IF(G1618&gt;=評分方法!$C$17,"列入候選",IF(G1618&gt;=評分方法!$C$18,"特定情境","不建議")))</f>
        <v>不建議</v>
      </c>
      <c r="I1618" s="15" t="n">
        <f aca="false">AE1618*評分方法!$C$5</f>
        <v>10.5</v>
      </c>
      <c r="J1618" s="15" t="n">
        <f aca="false">AF1618*評分方法!$C$6</f>
        <v>0</v>
      </c>
      <c r="K1618" s="15" t="n">
        <f aca="false">AG1618*評分方法!$C$7</f>
        <v>15</v>
      </c>
      <c r="L1618" s="15" t="n">
        <f aca="false">AH1618*評分方法!$C$8</f>
        <v>15</v>
      </c>
      <c r="M1618" s="15" t="n">
        <f aca="false">AI1618*評分方法!$C$9</f>
        <v>10</v>
      </c>
      <c r="N1618" s="15" t="n">
        <f aca="false">AJ1618*評分方法!$C$10</f>
        <v>3.32</v>
      </c>
      <c r="O1618" s="15" t="n">
        <f aca="false">AK1618*評分方法!$C$11</f>
        <v>2.5</v>
      </c>
      <c r="P1618" s="15" t="n">
        <f aca="false">AL1618*評分方法!$C$12</f>
        <v>1.5</v>
      </c>
      <c r="Q1618" s="6" t="n">
        <v>329514</v>
      </c>
      <c r="R1618" s="6" t="n">
        <v>12320528</v>
      </c>
      <c r="S1618" s="11" t="s">
        <v>238</v>
      </c>
      <c r="T1618" s="11" t="s">
        <v>239</v>
      </c>
      <c r="U1618" s="5" t="s">
        <v>240</v>
      </c>
      <c r="V1618" s="11" t="s">
        <v>324</v>
      </c>
      <c r="W1618" s="5" t="s">
        <v>205</v>
      </c>
      <c r="X1618" s="5" t="s">
        <v>255</v>
      </c>
      <c r="Y1618" s="5"/>
      <c r="Z1618" s="5"/>
      <c r="AA1618" s="11" t="s">
        <v>172</v>
      </c>
      <c r="AB1618" s="5" t="s">
        <v>245</v>
      </c>
      <c r="AC1618" s="5"/>
      <c r="AD1618" s="11" t="s">
        <v>3998</v>
      </c>
      <c r="AE1618" s="23" t="n">
        <v>0.35</v>
      </c>
      <c r="AF1618" s="23" t="n">
        <v>0</v>
      </c>
      <c r="AG1618" s="23" t="n">
        <v>1</v>
      </c>
      <c r="AH1618" s="23" t="n">
        <v>1</v>
      </c>
      <c r="AI1618" s="23" t="n">
        <v>1</v>
      </c>
      <c r="AJ1618" s="23" t="n">
        <v>0.332</v>
      </c>
      <c r="AK1618" s="23" t="n">
        <v>0.5</v>
      </c>
      <c r="AL1618" s="23" t="n">
        <v>0.3</v>
      </c>
      <c r="AM1618" s="16" t="n">
        <f aca="false">COUNTIFS($D$2:$D$2501,D1618,$G$2:$G$2501,"&gt;"&amp;G1618)+COUNTIFS($D$2:D1618,D1618,$G$2:G1618,G1618)</f>
        <v>140</v>
      </c>
      <c r="AN1618" s="5" t="str">
        <f aca="false">D1618&amp;"|"&amp;AM1618</f>
        <v>文件與影像辨識|140</v>
      </c>
    </row>
    <row r="1619" customFormat="false" ht="17.15" hidden="false" customHeight="false" outlineLevel="0" collapsed="false">
      <c r="A1619" s="16" t="n">
        <f aca="false">RANK(G1619,$G$2:$G$2501)+COUNTIF($G$2:G1619,G1619)-1</f>
        <v>1618</v>
      </c>
      <c r="B1619" s="11" t="s">
        <v>3999</v>
      </c>
      <c r="C1619" s="11" t="s">
        <v>1733</v>
      </c>
      <c r="D1619" s="5" t="s">
        <v>56</v>
      </c>
      <c r="E1619" s="5" t="s">
        <v>57</v>
      </c>
      <c r="F1619" s="5"/>
      <c r="G1619" s="22" t="n">
        <f aca="false">ROUND(SUM(I1619:P1619),3)</f>
        <v>57.802</v>
      </c>
      <c r="H1619" s="5" t="str">
        <f aca="false">IF(G1619&gt;=評分方法!$C$16,"優先評估",IF(G1619&gt;=評分方法!$C$17,"列入候選",IF(G1619&gt;=評分方法!$C$18,"特定情境","不建議")))</f>
        <v>不建議</v>
      </c>
      <c r="I1619" s="15" t="n">
        <f aca="false">AE1619*評分方法!$C$5</f>
        <v>25.5</v>
      </c>
      <c r="J1619" s="15" t="n">
        <f aca="false">AF1619*評分方法!$C$6</f>
        <v>0</v>
      </c>
      <c r="K1619" s="15" t="n">
        <f aca="false">AG1619*評分方法!$C$7</f>
        <v>10.05</v>
      </c>
      <c r="L1619" s="15" t="n">
        <f aca="false">AH1619*評分方法!$C$8</f>
        <v>9</v>
      </c>
      <c r="M1619" s="15" t="n">
        <f aca="false">AI1619*評分方法!$C$9</f>
        <v>2</v>
      </c>
      <c r="N1619" s="15" t="n">
        <f aca="false">AJ1619*評分方法!$C$10</f>
        <v>2.252</v>
      </c>
      <c r="O1619" s="15" t="n">
        <f aca="false">AK1619*評分方法!$C$11</f>
        <v>4</v>
      </c>
      <c r="P1619" s="15" t="n">
        <f aca="false">AL1619*評分方法!$C$12</f>
        <v>5</v>
      </c>
      <c r="Q1619" s="6" t="n">
        <v>229200</v>
      </c>
      <c r="R1619" s="6" t="n">
        <v>12247782400</v>
      </c>
      <c r="S1619" s="11" t="s">
        <v>389</v>
      </c>
      <c r="T1619" s="5"/>
      <c r="U1619" s="5" t="s">
        <v>375</v>
      </c>
      <c r="V1619" s="11" t="s">
        <v>333</v>
      </c>
      <c r="W1619" s="5" t="s">
        <v>207</v>
      </c>
      <c r="X1619" s="5" t="s">
        <v>284</v>
      </c>
      <c r="Y1619" s="11" t="s">
        <v>4000</v>
      </c>
      <c r="Z1619" s="11" t="s">
        <v>244</v>
      </c>
      <c r="AA1619" s="11" t="s">
        <v>155</v>
      </c>
      <c r="AB1619" s="5" t="s">
        <v>496</v>
      </c>
      <c r="AC1619" s="5" t="s">
        <v>1108</v>
      </c>
      <c r="AD1619" s="11" t="s">
        <v>4001</v>
      </c>
      <c r="AE1619" s="23" t="n">
        <v>0.85</v>
      </c>
      <c r="AF1619" s="23" t="n">
        <v>0</v>
      </c>
      <c r="AG1619" s="23" t="n">
        <v>0.67</v>
      </c>
      <c r="AH1619" s="23" t="n">
        <v>0.6</v>
      </c>
      <c r="AI1619" s="23" t="n">
        <v>0.2</v>
      </c>
      <c r="AJ1619" s="23" t="n">
        <v>0.2252</v>
      </c>
      <c r="AK1619" s="23" t="n">
        <v>0.8</v>
      </c>
      <c r="AL1619" s="23" t="n">
        <v>1</v>
      </c>
      <c r="AM1619" s="16" t="n">
        <f aca="false">COUNTIFS($D$2:$D$2501,D1619,$G$2:$G$2501,"&gt;"&amp;G1619)+COUNTIFS($D$2:D1619,D1619,$G$2:G1619,G1619)</f>
        <v>762</v>
      </c>
      <c r="AN1619" s="5" t="str">
        <f aca="false">D1619&amp;"|"&amp;AM1619</f>
        <v>分析與報告生成|762</v>
      </c>
    </row>
    <row r="1620" customFormat="false" ht="17.15" hidden="false" customHeight="false" outlineLevel="0" collapsed="false">
      <c r="A1620" s="16" t="n">
        <f aca="false">RANK(G1620,$G$2:$G$2501)+COUNTIF($G$2:G1620,G1620)-1</f>
        <v>1619</v>
      </c>
      <c r="B1620" s="11" t="s">
        <v>4002</v>
      </c>
      <c r="C1620" s="11" t="s">
        <v>4003</v>
      </c>
      <c r="D1620" s="5" t="s">
        <v>56</v>
      </c>
      <c r="E1620" s="5" t="s">
        <v>57</v>
      </c>
      <c r="F1620" s="5"/>
      <c r="G1620" s="22" t="n">
        <f aca="false">ROUND(SUM(I1620:P1620),3)</f>
        <v>57.766</v>
      </c>
      <c r="H1620" s="5" t="str">
        <f aca="false">IF(G1620&gt;=評分方法!$C$16,"優先評估",IF(G1620&gt;=評分方法!$C$17,"列入候選",IF(G1620&gt;=評分方法!$C$18,"特定情境","不建議")))</f>
        <v>不建議</v>
      </c>
      <c r="I1620" s="15" t="n">
        <f aca="false">AE1620*評分方法!$C$5</f>
        <v>25.5</v>
      </c>
      <c r="J1620" s="15" t="n">
        <f aca="false">AF1620*評分方法!$C$6</f>
        <v>0</v>
      </c>
      <c r="K1620" s="15" t="n">
        <f aca="false">AG1620*評分方法!$C$7</f>
        <v>4.95</v>
      </c>
      <c r="L1620" s="15" t="n">
        <f aca="false">AH1620*評分方法!$C$8</f>
        <v>9</v>
      </c>
      <c r="M1620" s="15" t="n">
        <f aca="false">AI1620*評分方法!$C$9</f>
        <v>10</v>
      </c>
      <c r="N1620" s="15" t="n">
        <f aca="false">AJ1620*評分方法!$C$10</f>
        <v>5.816</v>
      </c>
      <c r="O1620" s="15" t="n">
        <f aca="false">AK1620*評分方法!$C$11</f>
        <v>2.5</v>
      </c>
      <c r="P1620" s="15" t="n">
        <f aca="false">AL1620*評分方法!$C$12</f>
        <v>0</v>
      </c>
      <c r="Q1620" s="6" t="n">
        <v>596686</v>
      </c>
      <c r="R1620" s="6" t="n">
        <v>12247802880</v>
      </c>
      <c r="S1620" s="11" t="s">
        <v>389</v>
      </c>
      <c r="T1620" s="11" t="s">
        <v>239</v>
      </c>
      <c r="U1620" s="5" t="s">
        <v>240</v>
      </c>
      <c r="V1620" s="11" t="s">
        <v>261</v>
      </c>
      <c r="W1620" s="5" t="s">
        <v>334</v>
      </c>
      <c r="X1620" s="5" t="s">
        <v>242</v>
      </c>
      <c r="Y1620" s="11" t="s">
        <v>771</v>
      </c>
      <c r="Z1620" s="11" t="s">
        <v>270</v>
      </c>
      <c r="AA1620" s="11" t="s">
        <v>155</v>
      </c>
      <c r="AB1620" s="5" t="s">
        <v>245</v>
      </c>
      <c r="AC1620" s="5"/>
      <c r="AD1620" s="11" t="s">
        <v>4004</v>
      </c>
      <c r="AE1620" s="23" t="n">
        <v>0.85</v>
      </c>
      <c r="AF1620" s="23" t="n">
        <v>0</v>
      </c>
      <c r="AG1620" s="23" t="n">
        <v>0.33</v>
      </c>
      <c r="AH1620" s="23" t="n">
        <v>0.6</v>
      </c>
      <c r="AI1620" s="23" t="n">
        <v>1</v>
      </c>
      <c r="AJ1620" s="23" t="n">
        <v>0.5816</v>
      </c>
      <c r="AK1620" s="23" t="n">
        <v>0.5</v>
      </c>
      <c r="AL1620" s="23" t="n">
        <v>0</v>
      </c>
      <c r="AM1620" s="16" t="n">
        <f aca="false">COUNTIFS($D$2:$D$2501,D1620,$G$2:$G$2501,"&gt;"&amp;G1620)+COUNTIFS($D$2:D1620,D1620,$G$2:G1620,G1620)</f>
        <v>763</v>
      </c>
      <c r="AN1620" s="5" t="str">
        <f aca="false">D1620&amp;"|"&amp;AM1620</f>
        <v>分析與報告生成|763</v>
      </c>
    </row>
    <row r="1621" customFormat="false" ht="17.15" hidden="false" customHeight="false" outlineLevel="0" collapsed="false">
      <c r="A1621" s="16" t="n">
        <f aca="false">RANK(G1621,$G$2:$G$2501)+COUNTIF($G$2:G1621,G1621)-1</f>
        <v>1620</v>
      </c>
      <c r="B1621" s="11" t="s">
        <v>4005</v>
      </c>
      <c r="C1621" s="11" t="s">
        <v>2693</v>
      </c>
      <c r="D1621" s="5" t="s">
        <v>74</v>
      </c>
      <c r="E1621" s="5" t="s">
        <v>75</v>
      </c>
      <c r="F1621" s="5"/>
      <c r="G1621" s="22" t="n">
        <f aca="false">ROUND(SUM(I1621:P1621),3)</f>
        <v>57.76</v>
      </c>
      <c r="H1621" s="5" t="str">
        <f aca="false">IF(G1621&gt;=評分方法!$C$16,"優先評估",IF(G1621&gt;=評分方法!$C$17,"列入候選",IF(G1621&gt;=評分方法!$C$18,"特定情境","不建議")))</f>
        <v>不建議</v>
      </c>
      <c r="I1621" s="15" t="n">
        <f aca="false">AE1621*評分方法!$C$5</f>
        <v>10.5</v>
      </c>
      <c r="J1621" s="15" t="n">
        <f aca="false">AF1621*評分方法!$C$6</f>
        <v>0</v>
      </c>
      <c r="K1621" s="15" t="n">
        <f aca="false">AG1621*評分方法!$C$7</f>
        <v>15</v>
      </c>
      <c r="L1621" s="15" t="n">
        <f aca="false">AH1621*評分方法!$C$8</f>
        <v>15</v>
      </c>
      <c r="M1621" s="15" t="n">
        <f aca="false">AI1621*評分方法!$C$9</f>
        <v>10</v>
      </c>
      <c r="N1621" s="15" t="n">
        <f aca="false">AJ1621*評分方法!$C$10</f>
        <v>3.26</v>
      </c>
      <c r="O1621" s="15" t="n">
        <f aca="false">AK1621*評分方法!$C$11</f>
        <v>2.5</v>
      </c>
      <c r="P1621" s="15" t="n">
        <f aca="false">AL1621*評分方法!$C$12</f>
        <v>1.5</v>
      </c>
      <c r="Q1621" s="6" t="n">
        <v>324735</v>
      </c>
      <c r="R1621" s="6" t="n">
        <v>86567656</v>
      </c>
      <c r="S1621" s="11" t="s">
        <v>238</v>
      </c>
      <c r="T1621" s="11" t="s">
        <v>239</v>
      </c>
      <c r="U1621" s="5" t="s">
        <v>240</v>
      </c>
      <c r="V1621" s="11" t="s">
        <v>324</v>
      </c>
      <c r="W1621" s="5" t="s">
        <v>205</v>
      </c>
      <c r="X1621" s="5" t="s">
        <v>255</v>
      </c>
      <c r="Y1621" s="5"/>
      <c r="Z1621" s="5"/>
      <c r="AA1621" s="11" t="s">
        <v>172</v>
      </c>
      <c r="AB1621" s="5" t="s">
        <v>245</v>
      </c>
      <c r="AC1621" s="5"/>
      <c r="AD1621" s="11" t="s">
        <v>4006</v>
      </c>
      <c r="AE1621" s="23" t="n">
        <v>0.35</v>
      </c>
      <c r="AF1621" s="23" t="n">
        <v>0</v>
      </c>
      <c r="AG1621" s="23" t="n">
        <v>1</v>
      </c>
      <c r="AH1621" s="23" t="n">
        <v>1</v>
      </c>
      <c r="AI1621" s="23" t="n">
        <v>1</v>
      </c>
      <c r="AJ1621" s="23" t="n">
        <v>0.326</v>
      </c>
      <c r="AK1621" s="23" t="n">
        <v>0.5</v>
      </c>
      <c r="AL1621" s="23" t="n">
        <v>0.3</v>
      </c>
      <c r="AM1621" s="16" t="n">
        <f aca="false">COUNTIFS($D$2:$D$2501,D1621,$G$2:$G$2501,"&gt;"&amp;G1621)+COUNTIFS($D$2:D1621,D1621,$G$2:G1621,G1621)</f>
        <v>141</v>
      </c>
      <c r="AN1621" s="5" t="str">
        <f aca="false">D1621&amp;"|"&amp;AM1621</f>
        <v>文件與影像辨識|141</v>
      </c>
    </row>
    <row r="1622" customFormat="false" ht="17.15" hidden="false" customHeight="false" outlineLevel="0" collapsed="false">
      <c r="A1622" s="16" t="n">
        <f aca="false">RANK(G1622,$G$2:$G$2501)+COUNTIF($G$2:G1622,G1622)-1</f>
        <v>1621</v>
      </c>
      <c r="B1622" s="11" t="s">
        <v>4007</v>
      </c>
      <c r="C1622" s="11" t="s">
        <v>753</v>
      </c>
      <c r="D1622" s="5" t="s">
        <v>56</v>
      </c>
      <c r="E1622" s="5" t="s">
        <v>57</v>
      </c>
      <c r="F1622" s="5"/>
      <c r="G1622" s="22" t="n">
        <f aca="false">ROUND(SUM(I1622:P1622),3)</f>
        <v>57.756</v>
      </c>
      <c r="H1622" s="5" t="str">
        <f aca="false">IF(G1622&gt;=評分方法!$C$16,"優先評估",IF(G1622&gt;=評分方法!$C$17,"列入候選",IF(G1622&gt;=評分方法!$C$18,"特定情境","不建議")))</f>
        <v>不建議</v>
      </c>
      <c r="I1622" s="15" t="n">
        <f aca="false">AE1622*評分方法!$C$5</f>
        <v>25.5</v>
      </c>
      <c r="J1622" s="15" t="n">
        <f aca="false">AF1622*評分方法!$C$6</f>
        <v>0</v>
      </c>
      <c r="K1622" s="15" t="n">
        <f aca="false">AG1622*評分方法!$C$7</f>
        <v>10.05</v>
      </c>
      <c r="L1622" s="15" t="n">
        <f aca="false">AH1622*評分方法!$C$8</f>
        <v>13.05</v>
      </c>
      <c r="M1622" s="15" t="n">
        <f aca="false">AI1622*評分方法!$C$9</f>
        <v>6</v>
      </c>
      <c r="N1622" s="15" t="n">
        <f aca="false">AJ1622*評分方法!$C$10</f>
        <v>2.156</v>
      </c>
      <c r="O1622" s="15" t="n">
        <f aca="false">AK1622*評分方法!$C$11</f>
        <v>1</v>
      </c>
      <c r="P1622" s="15" t="n">
        <f aca="false">AL1622*評分方法!$C$12</f>
        <v>0</v>
      </c>
      <c r="Q1622" s="6" t="n">
        <v>220564</v>
      </c>
      <c r="R1622" s="6" t="n">
        <v>2614341888</v>
      </c>
      <c r="S1622" s="11" t="s">
        <v>254</v>
      </c>
      <c r="T1622" s="11" t="s">
        <v>658</v>
      </c>
      <c r="U1622" s="5" t="s">
        <v>260</v>
      </c>
      <c r="V1622" s="11" t="s">
        <v>261</v>
      </c>
      <c r="W1622" s="5" t="s">
        <v>207</v>
      </c>
      <c r="X1622" s="5" t="s">
        <v>242</v>
      </c>
      <c r="Y1622" s="5"/>
      <c r="Z1622" s="5"/>
      <c r="AA1622" s="11" t="s">
        <v>155</v>
      </c>
      <c r="AB1622" s="5" t="s">
        <v>245</v>
      </c>
      <c r="AC1622" s="5" t="s">
        <v>262</v>
      </c>
      <c r="AD1622" s="11" t="s">
        <v>4008</v>
      </c>
      <c r="AE1622" s="23" t="n">
        <v>0.85</v>
      </c>
      <c r="AF1622" s="23" t="n">
        <v>0</v>
      </c>
      <c r="AG1622" s="23" t="n">
        <v>0.67</v>
      </c>
      <c r="AH1622" s="23" t="n">
        <v>0.87</v>
      </c>
      <c r="AI1622" s="23" t="n">
        <v>0.6</v>
      </c>
      <c r="AJ1622" s="23" t="n">
        <v>0.2156</v>
      </c>
      <c r="AK1622" s="23" t="n">
        <v>0.2</v>
      </c>
      <c r="AL1622" s="23" t="n">
        <v>0</v>
      </c>
      <c r="AM1622" s="16" t="n">
        <f aca="false">COUNTIFS($D$2:$D$2501,D1622,$G$2:$G$2501,"&gt;"&amp;G1622)+COUNTIFS($D$2:D1622,D1622,$G$2:G1622,G1622)</f>
        <v>764</v>
      </c>
      <c r="AN1622" s="5" t="str">
        <f aca="false">D1622&amp;"|"&amp;AM1622</f>
        <v>分析與報告生成|764</v>
      </c>
    </row>
    <row r="1623" customFormat="false" ht="17.15" hidden="false" customHeight="false" outlineLevel="0" collapsed="false">
      <c r="A1623" s="16" t="n">
        <f aca="false">RANK(G1623,$G$2:$G$2501)+COUNTIF($G$2:G1623,G1623)-1</f>
        <v>1622</v>
      </c>
      <c r="B1623" s="11" t="s">
        <v>4009</v>
      </c>
      <c r="C1623" s="11" t="s">
        <v>753</v>
      </c>
      <c r="D1623" s="5" t="s">
        <v>56</v>
      </c>
      <c r="E1623" s="5" t="s">
        <v>57</v>
      </c>
      <c r="F1623" s="5"/>
      <c r="G1623" s="22" t="n">
        <f aca="false">ROUND(SUM(I1623:P1623),3)</f>
        <v>57.74</v>
      </c>
      <c r="H1623" s="5" t="str">
        <f aca="false">IF(G1623&gt;=評分方法!$C$16,"優先評估",IF(G1623&gt;=評分方法!$C$17,"列入候選",IF(G1623&gt;=評分方法!$C$18,"特定情境","不建議")))</f>
        <v>不建議</v>
      </c>
      <c r="I1623" s="15" t="n">
        <f aca="false">AE1623*評分方法!$C$5</f>
        <v>25.5</v>
      </c>
      <c r="J1623" s="15" t="n">
        <f aca="false">AF1623*評分方法!$C$6</f>
        <v>0</v>
      </c>
      <c r="K1623" s="15" t="n">
        <f aca="false">AG1623*評分方法!$C$7</f>
        <v>10.05</v>
      </c>
      <c r="L1623" s="15" t="n">
        <f aca="false">AH1623*評分方法!$C$8</f>
        <v>13.05</v>
      </c>
      <c r="M1623" s="15" t="n">
        <f aca="false">AI1623*評分方法!$C$9</f>
        <v>6</v>
      </c>
      <c r="N1623" s="15" t="n">
        <f aca="false">AJ1623*評分方法!$C$10</f>
        <v>0.64</v>
      </c>
      <c r="O1623" s="15" t="n">
        <f aca="false">AK1623*評分方法!$C$11</f>
        <v>2.5</v>
      </c>
      <c r="P1623" s="15" t="n">
        <f aca="false">AL1623*評分方法!$C$12</f>
        <v>0</v>
      </c>
      <c r="Q1623" s="6" t="n">
        <v>139204</v>
      </c>
      <c r="R1623" s="6" t="n">
        <v>8248929342</v>
      </c>
      <c r="S1623" s="11" t="s">
        <v>254</v>
      </c>
      <c r="T1623" s="11" t="s">
        <v>259</v>
      </c>
      <c r="U1623" s="5" t="s">
        <v>260</v>
      </c>
      <c r="V1623" s="11" t="s">
        <v>261</v>
      </c>
      <c r="W1623" s="5" t="s">
        <v>207</v>
      </c>
      <c r="X1623" s="5" t="s">
        <v>242</v>
      </c>
      <c r="Y1623" s="11" t="s">
        <v>1066</v>
      </c>
      <c r="Z1623" s="11" t="s">
        <v>244</v>
      </c>
      <c r="AA1623" s="11" t="s">
        <v>155</v>
      </c>
      <c r="AB1623" s="5" t="s">
        <v>245</v>
      </c>
      <c r="AC1623" s="5" t="s">
        <v>464</v>
      </c>
      <c r="AD1623" s="11" t="s">
        <v>4010</v>
      </c>
      <c r="AE1623" s="23" t="n">
        <v>0.85</v>
      </c>
      <c r="AF1623" s="23" t="n">
        <v>0</v>
      </c>
      <c r="AG1623" s="23" t="n">
        <v>0.67</v>
      </c>
      <c r="AH1623" s="23" t="n">
        <v>0.87</v>
      </c>
      <c r="AI1623" s="23" t="n">
        <v>0.6</v>
      </c>
      <c r="AJ1623" s="23" t="n">
        <v>0.064</v>
      </c>
      <c r="AK1623" s="23" t="n">
        <v>0.5</v>
      </c>
      <c r="AL1623" s="23" t="n">
        <v>0</v>
      </c>
      <c r="AM1623" s="16" t="n">
        <f aca="false">COUNTIFS($D$2:$D$2501,D1623,$G$2:$G$2501,"&gt;"&amp;G1623)+COUNTIFS($D$2:D1623,D1623,$G$2:G1623,G1623)</f>
        <v>765</v>
      </c>
      <c r="AN1623" s="5" t="str">
        <f aca="false">D1623&amp;"|"&amp;AM1623</f>
        <v>分析與報告生成|765</v>
      </c>
    </row>
    <row r="1624" customFormat="false" ht="17.15" hidden="false" customHeight="false" outlineLevel="0" collapsed="false">
      <c r="A1624" s="16" t="n">
        <f aca="false">RANK(G1624,$G$2:$G$2501)+COUNTIF($G$2:G1624,G1624)-1</f>
        <v>1623</v>
      </c>
      <c r="B1624" s="11" t="s">
        <v>4011</v>
      </c>
      <c r="C1624" s="11" t="s">
        <v>2785</v>
      </c>
      <c r="D1624" s="5" t="s">
        <v>56</v>
      </c>
      <c r="E1624" s="5" t="s">
        <v>57</v>
      </c>
      <c r="F1624" s="5"/>
      <c r="G1624" s="22" t="n">
        <f aca="false">ROUND(SUM(I1624:P1624),3)</f>
        <v>57.736</v>
      </c>
      <c r="H1624" s="5" t="str">
        <f aca="false">IF(G1624&gt;=評分方法!$C$16,"優先評估",IF(G1624&gt;=評分方法!$C$17,"列入候選",IF(G1624&gt;=評分方法!$C$18,"特定情境","不建議")))</f>
        <v>不建議</v>
      </c>
      <c r="I1624" s="15" t="n">
        <f aca="false">AE1624*評分方法!$C$5</f>
        <v>25.5</v>
      </c>
      <c r="J1624" s="15" t="n">
        <f aca="false">AF1624*評分方法!$C$6</f>
        <v>0</v>
      </c>
      <c r="K1624" s="15" t="n">
        <f aca="false">AG1624*評分方法!$C$7</f>
        <v>10.05</v>
      </c>
      <c r="L1624" s="15" t="n">
        <f aca="false">AH1624*評分方法!$C$8</f>
        <v>13.05</v>
      </c>
      <c r="M1624" s="15" t="n">
        <f aca="false">AI1624*評分方法!$C$9</f>
        <v>6</v>
      </c>
      <c r="N1624" s="15" t="n">
        <f aca="false">AJ1624*評分方法!$C$10</f>
        <v>2.136</v>
      </c>
      <c r="O1624" s="15" t="n">
        <f aca="false">AK1624*評分方法!$C$11</f>
        <v>1</v>
      </c>
      <c r="P1624" s="15" t="n">
        <f aca="false">AL1624*評分方法!$C$12</f>
        <v>0</v>
      </c>
      <c r="Q1624" s="6" t="n">
        <v>218246</v>
      </c>
      <c r="R1624" s="6" t="n">
        <v>1235814400</v>
      </c>
      <c r="S1624" s="11" t="s">
        <v>254</v>
      </c>
      <c r="T1624" s="11" t="s">
        <v>1044</v>
      </c>
      <c r="U1624" s="5" t="s">
        <v>260</v>
      </c>
      <c r="V1624" s="11" t="s">
        <v>324</v>
      </c>
      <c r="W1624" s="5" t="s">
        <v>207</v>
      </c>
      <c r="X1624" s="5" t="s">
        <v>242</v>
      </c>
      <c r="Y1624" s="5"/>
      <c r="Z1624" s="5"/>
      <c r="AA1624" s="11" t="s">
        <v>155</v>
      </c>
      <c r="AB1624" s="5" t="s">
        <v>245</v>
      </c>
      <c r="AC1624" s="5" t="s">
        <v>262</v>
      </c>
      <c r="AD1624" s="11" t="s">
        <v>4012</v>
      </c>
      <c r="AE1624" s="23" t="n">
        <v>0.85</v>
      </c>
      <c r="AF1624" s="23" t="n">
        <v>0</v>
      </c>
      <c r="AG1624" s="23" t="n">
        <v>0.67</v>
      </c>
      <c r="AH1624" s="23" t="n">
        <v>0.87</v>
      </c>
      <c r="AI1624" s="23" t="n">
        <v>0.6</v>
      </c>
      <c r="AJ1624" s="23" t="n">
        <v>0.2136</v>
      </c>
      <c r="AK1624" s="23" t="n">
        <v>0.2</v>
      </c>
      <c r="AL1624" s="23" t="n">
        <v>0</v>
      </c>
      <c r="AM1624" s="16" t="n">
        <f aca="false">COUNTIFS($D$2:$D$2501,D1624,$G$2:$G$2501,"&gt;"&amp;G1624)+COUNTIFS($D$2:D1624,D1624,$G$2:G1624,G1624)</f>
        <v>766</v>
      </c>
      <c r="AN1624" s="5" t="str">
        <f aca="false">D1624&amp;"|"&amp;AM1624</f>
        <v>分析與報告生成|766</v>
      </c>
    </row>
    <row r="1625" customFormat="false" ht="17.15" hidden="false" customHeight="false" outlineLevel="0" collapsed="false">
      <c r="A1625" s="16" t="n">
        <f aca="false">RANK(G1625,$G$2:$G$2501)+COUNTIF($G$2:G1625,G1625)-1</f>
        <v>1624</v>
      </c>
      <c r="B1625" s="11" t="s">
        <v>3933</v>
      </c>
      <c r="C1625" s="11" t="s">
        <v>2693</v>
      </c>
      <c r="D1625" s="5" t="s">
        <v>74</v>
      </c>
      <c r="E1625" s="5" t="s">
        <v>75</v>
      </c>
      <c r="F1625" s="5"/>
      <c r="G1625" s="22" t="n">
        <f aca="false">ROUND(SUM(I1625:P1625),3)</f>
        <v>57.732</v>
      </c>
      <c r="H1625" s="5" t="str">
        <f aca="false">IF(G1625&gt;=評分方法!$C$16,"優先評估",IF(G1625&gt;=評分方法!$C$17,"列入候選",IF(G1625&gt;=評分方法!$C$18,"特定情境","不建議")))</f>
        <v>不建議</v>
      </c>
      <c r="I1625" s="15" t="n">
        <f aca="false">AE1625*評分方法!$C$5</f>
        <v>10.5</v>
      </c>
      <c r="J1625" s="15" t="n">
        <f aca="false">AF1625*評分方法!$C$6</f>
        <v>0</v>
      </c>
      <c r="K1625" s="15" t="n">
        <f aca="false">AG1625*評分方法!$C$7</f>
        <v>15</v>
      </c>
      <c r="L1625" s="15" t="n">
        <f aca="false">AH1625*評分方法!$C$8</f>
        <v>15</v>
      </c>
      <c r="M1625" s="15" t="n">
        <f aca="false">AI1625*評分方法!$C$9</f>
        <v>10</v>
      </c>
      <c r="N1625" s="15" t="n">
        <f aca="false">AJ1625*評分方法!$C$10</f>
        <v>3.232</v>
      </c>
      <c r="O1625" s="15" t="n">
        <f aca="false">AK1625*評分方法!$C$11</f>
        <v>2.5</v>
      </c>
      <c r="P1625" s="15" t="n">
        <f aca="false">AL1625*評分方法!$C$12</f>
        <v>1.5</v>
      </c>
      <c r="Q1625" s="6" t="n">
        <v>319044</v>
      </c>
      <c r="R1625" s="6" t="n">
        <v>87117544</v>
      </c>
      <c r="S1625" s="11" t="s">
        <v>238</v>
      </c>
      <c r="T1625" s="11" t="s">
        <v>278</v>
      </c>
      <c r="U1625" s="5" t="s">
        <v>240</v>
      </c>
      <c r="V1625" s="11" t="s">
        <v>324</v>
      </c>
      <c r="W1625" s="5" t="s">
        <v>205</v>
      </c>
      <c r="X1625" s="5" t="s">
        <v>255</v>
      </c>
      <c r="Y1625" s="5"/>
      <c r="Z1625" s="5"/>
      <c r="AA1625" s="11" t="s">
        <v>172</v>
      </c>
      <c r="AB1625" s="5" t="s">
        <v>245</v>
      </c>
      <c r="AC1625" s="5"/>
      <c r="AD1625" s="11" t="s">
        <v>4013</v>
      </c>
      <c r="AE1625" s="23" t="n">
        <v>0.35</v>
      </c>
      <c r="AF1625" s="23" t="n">
        <v>0</v>
      </c>
      <c r="AG1625" s="23" t="n">
        <v>1</v>
      </c>
      <c r="AH1625" s="23" t="n">
        <v>1</v>
      </c>
      <c r="AI1625" s="23" t="n">
        <v>1</v>
      </c>
      <c r="AJ1625" s="23" t="n">
        <v>0.3232</v>
      </c>
      <c r="AK1625" s="23" t="n">
        <v>0.5</v>
      </c>
      <c r="AL1625" s="23" t="n">
        <v>0.3</v>
      </c>
      <c r="AM1625" s="16" t="n">
        <f aca="false">COUNTIFS($D$2:$D$2501,D1625,$G$2:$G$2501,"&gt;"&amp;G1625)+COUNTIFS($D$2:D1625,D1625,$G$2:G1625,G1625)</f>
        <v>142</v>
      </c>
      <c r="AN1625" s="5" t="str">
        <f aca="false">D1625&amp;"|"&amp;AM1625</f>
        <v>文件與影像辨識|142</v>
      </c>
    </row>
    <row r="1626" customFormat="false" ht="17.15" hidden="false" customHeight="false" outlineLevel="0" collapsed="false">
      <c r="A1626" s="16" t="n">
        <f aca="false">RANK(G1626,$G$2:$G$2501)+COUNTIF($G$2:G1626,G1626)-1</f>
        <v>1625</v>
      </c>
      <c r="B1626" s="11" t="s">
        <v>4014</v>
      </c>
      <c r="C1626" s="11" t="s">
        <v>998</v>
      </c>
      <c r="D1626" s="5" t="s">
        <v>56</v>
      </c>
      <c r="E1626" s="5" t="s">
        <v>57</v>
      </c>
      <c r="F1626" s="5"/>
      <c r="G1626" s="22" t="n">
        <f aca="false">ROUND(SUM(I1626:P1626),3)</f>
        <v>57.71</v>
      </c>
      <c r="H1626" s="5" t="str">
        <f aca="false">IF(G1626&gt;=評分方法!$C$16,"優先評估",IF(G1626&gt;=評分方法!$C$17,"列入候選",IF(G1626&gt;=評分方法!$C$18,"特定情境","不建議")))</f>
        <v>不建議</v>
      </c>
      <c r="I1626" s="15" t="n">
        <f aca="false">AE1626*評分方法!$C$5</f>
        <v>25.5</v>
      </c>
      <c r="J1626" s="15" t="n">
        <f aca="false">AF1626*評分方法!$C$6</f>
        <v>0</v>
      </c>
      <c r="K1626" s="15" t="n">
        <f aca="false">AG1626*評分方法!$C$7</f>
        <v>10.05</v>
      </c>
      <c r="L1626" s="15" t="n">
        <f aca="false">AH1626*評分方法!$C$8</f>
        <v>15</v>
      </c>
      <c r="M1626" s="15" t="n">
        <f aca="false">AI1626*評分方法!$C$9</f>
        <v>2</v>
      </c>
      <c r="N1626" s="15" t="n">
        <f aca="false">AJ1626*評分方法!$C$10</f>
        <v>1.16</v>
      </c>
      <c r="O1626" s="15" t="n">
        <f aca="false">AK1626*評分方法!$C$11</f>
        <v>1</v>
      </c>
      <c r="P1626" s="15" t="n">
        <f aca="false">AL1626*評分方法!$C$12</f>
        <v>3</v>
      </c>
      <c r="Q1626" s="6" t="n">
        <v>159945</v>
      </c>
      <c r="R1626" s="6" t="n">
        <v>24407712</v>
      </c>
      <c r="S1626" s="11" t="s">
        <v>238</v>
      </c>
      <c r="T1626" s="5"/>
      <c r="U1626" s="5" t="s">
        <v>375</v>
      </c>
      <c r="V1626" s="11" t="s">
        <v>333</v>
      </c>
      <c r="W1626" s="5" t="s">
        <v>207</v>
      </c>
      <c r="X1626" s="5" t="s">
        <v>371</v>
      </c>
      <c r="Y1626" s="5"/>
      <c r="Z1626" s="5"/>
      <c r="AA1626" s="11" t="s">
        <v>155</v>
      </c>
      <c r="AB1626" s="5" t="s">
        <v>961</v>
      </c>
      <c r="AC1626" s="5" t="s">
        <v>1977</v>
      </c>
      <c r="AD1626" s="11" t="s">
        <v>4015</v>
      </c>
      <c r="AE1626" s="23" t="n">
        <v>0.85</v>
      </c>
      <c r="AF1626" s="23" t="n">
        <v>0</v>
      </c>
      <c r="AG1626" s="23" t="n">
        <v>0.67</v>
      </c>
      <c r="AH1626" s="23" t="n">
        <v>1</v>
      </c>
      <c r="AI1626" s="23" t="n">
        <v>0.2</v>
      </c>
      <c r="AJ1626" s="23" t="n">
        <v>0.116</v>
      </c>
      <c r="AK1626" s="23" t="n">
        <v>0.2</v>
      </c>
      <c r="AL1626" s="23" t="n">
        <v>0.6</v>
      </c>
      <c r="AM1626" s="16" t="n">
        <f aca="false">COUNTIFS($D$2:$D$2501,D1626,$G$2:$G$2501,"&gt;"&amp;G1626)+COUNTIFS($D$2:D1626,D1626,$G$2:G1626,G1626)</f>
        <v>767</v>
      </c>
      <c r="AN1626" s="5" t="str">
        <f aca="false">D1626&amp;"|"&amp;AM1626</f>
        <v>分析與報告生成|767</v>
      </c>
    </row>
    <row r="1627" customFormat="false" ht="17.15" hidden="false" customHeight="false" outlineLevel="0" collapsed="false">
      <c r="A1627" s="16" t="n">
        <f aca="false">RANK(G1627,$G$2:$G$2501)+COUNTIF($G$2:G1627,G1627)-1</f>
        <v>1626</v>
      </c>
      <c r="B1627" s="11" t="s">
        <v>4016</v>
      </c>
      <c r="C1627" s="11" t="s">
        <v>2785</v>
      </c>
      <c r="D1627" s="5" t="s">
        <v>56</v>
      </c>
      <c r="E1627" s="5" t="s">
        <v>57</v>
      </c>
      <c r="F1627" s="5"/>
      <c r="G1627" s="22" t="n">
        <f aca="false">ROUND(SUM(I1627:P1627),3)</f>
        <v>57.696</v>
      </c>
      <c r="H1627" s="5" t="str">
        <f aca="false">IF(G1627&gt;=評分方法!$C$16,"優先評估",IF(G1627&gt;=評分方法!$C$17,"列入候選",IF(G1627&gt;=評分方法!$C$18,"特定情境","不建議")))</f>
        <v>不建議</v>
      </c>
      <c r="I1627" s="15" t="n">
        <f aca="false">AE1627*評分方法!$C$5</f>
        <v>25.5</v>
      </c>
      <c r="J1627" s="15" t="n">
        <f aca="false">AF1627*評分方法!$C$6</f>
        <v>0</v>
      </c>
      <c r="K1627" s="15" t="n">
        <f aca="false">AG1627*評分方法!$C$7</f>
        <v>10.05</v>
      </c>
      <c r="L1627" s="15" t="n">
        <f aca="false">AH1627*評分方法!$C$8</f>
        <v>13.05</v>
      </c>
      <c r="M1627" s="15" t="n">
        <f aca="false">AI1627*評分方法!$C$9</f>
        <v>6</v>
      </c>
      <c r="N1627" s="15" t="n">
        <f aca="false">AJ1627*評分方法!$C$10</f>
        <v>2.096</v>
      </c>
      <c r="O1627" s="15" t="n">
        <f aca="false">AK1627*評分方法!$C$11</f>
        <v>1</v>
      </c>
      <c r="P1627" s="15" t="n">
        <f aca="false">AL1627*評分方法!$C$12</f>
        <v>0</v>
      </c>
      <c r="Q1627" s="6" t="n">
        <v>216901</v>
      </c>
      <c r="R1627" s="6" t="n">
        <v>8030261312</v>
      </c>
      <c r="S1627" s="11" t="s">
        <v>254</v>
      </c>
      <c r="T1627" s="11" t="s">
        <v>1177</v>
      </c>
      <c r="U1627" s="5" t="s">
        <v>260</v>
      </c>
      <c r="V1627" s="11" t="s">
        <v>333</v>
      </c>
      <c r="W1627" s="5" t="s">
        <v>207</v>
      </c>
      <c r="X1627" s="5" t="s">
        <v>242</v>
      </c>
      <c r="Y1627" s="11" t="s">
        <v>616</v>
      </c>
      <c r="Z1627" s="11" t="s">
        <v>244</v>
      </c>
      <c r="AA1627" s="11" t="s">
        <v>155</v>
      </c>
      <c r="AB1627" s="5" t="s">
        <v>496</v>
      </c>
      <c r="AC1627" s="5" t="s">
        <v>1108</v>
      </c>
      <c r="AD1627" s="11" t="s">
        <v>4017</v>
      </c>
      <c r="AE1627" s="23" t="n">
        <v>0.85</v>
      </c>
      <c r="AF1627" s="23" t="n">
        <v>0</v>
      </c>
      <c r="AG1627" s="23" t="n">
        <v>0.67</v>
      </c>
      <c r="AH1627" s="23" t="n">
        <v>0.87</v>
      </c>
      <c r="AI1627" s="23" t="n">
        <v>0.6</v>
      </c>
      <c r="AJ1627" s="23" t="n">
        <v>0.2096</v>
      </c>
      <c r="AK1627" s="23" t="n">
        <v>0.2</v>
      </c>
      <c r="AL1627" s="23" t="n">
        <v>0</v>
      </c>
      <c r="AM1627" s="16" t="n">
        <f aca="false">COUNTIFS($D$2:$D$2501,D1627,$G$2:$G$2501,"&gt;"&amp;G1627)+COUNTIFS($D$2:D1627,D1627,$G$2:G1627,G1627)</f>
        <v>768</v>
      </c>
      <c r="AN1627" s="5" t="str">
        <f aca="false">D1627&amp;"|"&amp;AM1627</f>
        <v>分析與報告生成|768</v>
      </c>
    </row>
    <row r="1628" customFormat="false" ht="17.15" hidden="false" customHeight="false" outlineLevel="0" collapsed="false">
      <c r="A1628" s="16" t="n">
        <f aca="false">RANK(G1628,$G$2:$G$2501)+COUNTIF($G$2:G1628,G1628)-1</f>
        <v>1627</v>
      </c>
      <c r="B1628" s="11" t="s">
        <v>4018</v>
      </c>
      <c r="C1628" s="11" t="s">
        <v>681</v>
      </c>
      <c r="D1628" s="5" t="s">
        <v>78</v>
      </c>
      <c r="E1628" s="5" t="s">
        <v>79</v>
      </c>
      <c r="F1628" s="5"/>
      <c r="G1628" s="22" t="n">
        <f aca="false">ROUND(SUM(I1628:P1628),3)</f>
        <v>57.648</v>
      </c>
      <c r="H1628" s="5" t="str">
        <f aca="false">IF(G1628&gt;=評分方法!$C$16,"優先評估",IF(G1628&gt;=評分方法!$C$17,"列入候選",IF(G1628&gt;=評分方法!$C$18,"特定情境","不建議")))</f>
        <v>不建議</v>
      </c>
      <c r="I1628" s="15" t="n">
        <f aca="false">AE1628*評分方法!$C$5</f>
        <v>9</v>
      </c>
      <c r="J1628" s="15" t="n">
        <f aca="false">AF1628*評分方法!$C$6</f>
        <v>0</v>
      </c>
      <c r="K1628" s="15" t="n">
        <f aca="false">AG1628*評分方法!$C$7</f>
        <v>15</v>
      </c>
      <c r="L1628" s="15" t="n">
        <f aca="false">AH1628*評分方法!$C$8</f>
        <v>15</v>
      </c>
      <c r="M1628" s="15" t="n">
        <f aca="false">AI1628*評分方法!$C$9</f>
        <v>10</v>
      </c>
      <c r="N1628" s="15" t="n">
        <f aca="false">AJ1628*評分方法!$C$10</f>
        <v>7.648</v>
      </c>
      <c r="O1628" s="15" t="n">
        <f aca="false">AK1628*評分方法!$C$11</f>
        <v>1</v>
      </c>
      <c r="P1628" s="15" t="n">
        <f aca="false">AL1628*評分方法!$C$12</f>
        <v>0</v>
      </c>
      <c r="Q1628" s="6" t="n">
        <v>1236352</v>
      </c>
      <c r="R1628" s="6" t="n">
        <v>593426112</v>
      </c>
      <c r="S1628" s="11" t="s">
        <v>238</v>
      </c>
      <c r="T1628" s="11" t="s">
        <v>239</v>
      </c>
      <c r="U1628" s="5" t="s">
        <v>240</v>
      </c>
      <c r="V1628" s="11" t="s">
        <v>324</v>
      </c>
      <c r="W1628" s="5" t="s">
        <v>205</v>
      </c>
      <c r="X1628" s="5" t="s">
        <v>242</v>
      </c>
      <c r="Y1628" s="5"/>
      <c r="Z1628" s="5"/>
      <c r="AA1628" s="11" t="s">
        <v>175</v>
      </c>
      <c r="AB1628" s="5" t="s">
        <v>245</v>
      </c>
      <c r="AC1628" s="5"/>
      <c r="AD1628" s="11" t="s">
        <v>4019</v>
      </c>
      <c r="AE1628" s="23" t="n">
        <v>0.3</v>
      </c>
      <c r="AF1628" s="23" t="n">
        <v>0</v>
      </c>
      <c r="AG1628" s="23" t="n">
        <v>1</v>
      </c>
      <c r="AH1628" s="23" t="n">
        <v>1</v>
      </c>
      <c r="AI1628" s="23" t="n">
        <v>1</v>
      </c>
      <c r="AJ1628" s="23" t="n">
        <v>0.7648</v>
      </c>
      <c r="AK1628" s="23" t="n">
        <v>0.2</v>
      </c>
      <c r="AL1628" s="23" t="n">
        <v>0</v>
      </c>
      <c r="AM1628" s="16" t="n">
        <f aca="false">COUNTIFS($D$2:$D$2501,D1628,$G$2:$G$2501,"&gt;"&amp;G1628)+COUNTIFS($D$2:D1628,D1628,$G$2:G1628,G1628)</f>
        <v>26</v>
      </c>
      <c r="AN1628" s="5" t="str">
        <f aca="false">D1628&amp;"|"&amp;AM1628</f>
        <v>語音分析|26</v>
      </c>
    </row>
    <row r="1629" customFormat="false" ht="17.15" hidden="false" customHeight="false" outlineLevel="0" collapsed="false">
      <c r="A1629" s="16" t="n">
        <f aca="false">RANK(G1629,$G$2:$G$2501)+COUNTIF($G$2:G1629,G1629)-1</f>
        <v>1628</v>
      </c>
      <c r="B1629" s="11" t="s">
        <v>4020</v>
      </c>
      <c r="C1629" s="11" t="s">
        <v>1550</v>
      </c>
      <c r="D1629" s="5" t="s">
        <v>74</v>
      </c>
      <c r="E1629" s="5" t="s">
        <v>75</v>
      </c>
      <c r="F1629" s="5"/>
      <c r="G1629" s="22" t="n">
        <f aca="false">ROUND(SUM(I1629:P1629),3)</f>
        <v>57.648</v>
      </c>
      <c r="H1629" s="5" t="str">
        <f aca="false">IF(G1629&gt;=評分方法!$C$16,"優先評估",IF(G1629&gt;=評分方法!$C$17,"列入候選",IF(G1629&gt;=評分方法!$C$18,"特定情境","不建議")))</f>
        <v>不建議</v>
      </c>
      <c r="I1629" s="15" t="n">
        <f aca="false">AE1629*評分方法!$C$5</f>
        <v>13.5</v>
      </c>
      <c r="J1629" s="15" t="n">
        <f aca="false">AF1629*評分方法!$C$6</f>
        <v>0</v>
      </c>
      <c r="K1629" s="15" t="n">
        <f aca="false">AG1629*評分方法!$C$7</f>
        <v>15</v>
      </c>
      <c r="L1629" s="15" t="n">
        <f aca="false">AH1629*評分方法!$C$8</f>
        <v>15</v>
      </c>
      <c r="M1629" s="15" t="n">
        <f aca="false">AI1629*評分方法!$C$9</f>
        <v>10</v>
      </c>
      <c r="N1629" s="15" t="n">
        <f aca="false">AJ1629*評分方法!$C$10</f>
        <v>1.648</v>
      </c>
      <c r="O1629" s="15" t="n">
        <f aca="false">AK1629*評分方法!$C$11</f>
        <v>2.5</v>
      </c>
      <c r="P1629" s="15" t="n">
        <f aca="false">AL1629*評分方法!$C$12</f>
        <v>0</v>
      </c>
      <c r="Q1629" s="6" t="n">
        <v>187123</v>
      </c>
      <c r="R1629" s="6" t="n">
        <v>256484928</v>
      </c>
      <c r="S1629" s="11" t="s">
        <v>238</v>
      </c>
      <c r="T1629" s="11" t="s">
        <v>3257</v>
      </c>
      <c r="U1629" s="5" t="s">
        <v>240</v>
      </c>
      <c r="V1629" s="11" t="s">
        <v>241</v>
      </c>
      <c r="W1629" s="5" t="s">
        <v>205</v>
      </c>
      <c r="X1629" s="5" t="s">
        <v>242</v>
      </c>
      <c r="Y1629" s="11" t="s">
        <v>610</v>
      </c>
      <c r="Z1629" s="11" t="s">
        <v>244</v>
      </c>
      <c r="AA1629" s="11" t="s">
        <v>164</v>
      </c>
      <c r="AB1629" s="5" t="s">
        <v>245</v>
      </c>
      <c r="AC1629" s="5" t="s">
        <v>246</v>
      </c>
      <c r="AD1629" s="11" t="s">
        <v>4021</v>
      </c>
      <c r="AE1629" s="23" t="n">
        <v>0.45</v>
      </c>
      <c r="AF1629" s="23" t="n">
        <v>0</v>
      </c>
      <c r="AG1629" s="23" t="n">
        <v>1</v>
      </c>
      <c r="AH1629" s="23" t="n">
        <v>1</v>
      </c>
      <c r="AI1629" s="23" t="n">
        <v>1</v>
      </c>
      <c r="AJ1629" s="23" t="n">
        <v>0.1648</v>
      </c>
      <c r="AK1629" s="23" t="n">
        <v>0.5</v>
      </c>
      <c r="AL1629" s="23" t="n">
        <v>0</v>
      </c>
      <c r="AM1629" s="16" t="n">
        <f aca="false">COUNTIFS($D$2:$D$2501,D1629,$G$2:$G$2501,"&gt;"&amp;G1629)+COUNTIFS($D$2:D1629,D1629,$G$2:G1629,G1629)</f>
        <v>143</v>
      </c>
      <c r="AN1629" s="5" t="str">
        <f aca="false">D1629&amp;"|"&amp;AM1629</f>
        <v>文件與影像辨識|143</v>
      </c>
    </row>
    <row r="1630" customFormat="false" ht="17.15" hidden="false" customHeight="false" outlineLevel="0" collapsed="false">
      <c r="A1630" s="16" t="n">
        <f aca="false">RANK(G1630,$G$2:$G$2501)+COUNTIF($G$2:G1630,G1630)-1</f>
        <v>1629</v>
      </c>
      <c r="B1630" s="11" t="s">
        <v>4022</v>
      </c>
      <c r="C1630" s="11" t="s">
        <v>753</v>
      </c>
      <c r="D1630" s="5" t="s">
        <v>56</v>
      </c>
      <c r="E1630" s="5" t="s">
        <v>57</v>
      </c>
      <c r="F1630" s="5"/>
      <c r="G1630" s="22" t="n">
        <f aca="false">ROUND(SUM(I1630:P1630),3)</f>
        <v>57.648</v>
      </c>
      <c r="H1630" s="5" t="str">
        <f aca="false">IF(G1630&gt;=評分方法!$C$16,"優先評估",IF(G1630&gt;=評分方法!$C$17,"列入候選",IF(G1630&gt;=評分方法!$C$18,"特定情境","不建議")))</f>
        <v>不建議</v>
      </c>
      <c r="I1630" s="15" t="n">
        <f aca="false">AE1630*評分方法!$C$5</f>
        <v>25.5</v>
      </c>
      <c r="J1630" s="15" t="n">
        <f aca="false">AF1630*評分方法!$C$6</f>
        <v>0</v>
      </c>
      <c r="K1630" s="15" t="n">
        <f aca="false">AG1630*評分方法!$C$7</f>
        <v>10.05</v>
      </c>
      <c r="L1630" s="15" t="n">
        <f aca="false">AH1630*評分方法!$C$8</f>
        <v>13.05</v>
      </c>
      <c r="M1630" s="15" t="n">
        <f aca="false">AI1630*評分方法!$C$9</f>
        <v>6</v>
      </c>
      <c r="N1630" s="15" t="n">
        <f aca="false">AJ1630*評分方法!$C$10</f>
        <v>2.048</v>
      </c>
      <c r="O1630" s="15" t="n">
        <f aca="false">AK1630*評分方法!$C$11</f>
        <v>1</v>
      </c>
      <c r="P1630" s="15" t="n">
        <f aca="false">AL1630*評分方法!$C$12</f>
        <v>0</v>
      </c>
      <c r="Q1630" s="6" t="n">
        <v>213940</v>
      </c>
      <c r="R1630" s="6" t="n">
        <v>8030261248</v>
      </c>
      <c r="S1630" s="11" t="s">
        <v>254</v>
      </c>
      <c r="T1630" s="11" t="s">
        <v>1177</v>
      </c>
      <c r="U1630" s="5" t="s">
        <v>260</v>
      </c>
      <c r="V1630" s="11" t="s">
        <v>261</v>
      </c>
      <c r="W1630" s="5" t="s">
        <v>207</v>
      </c>
      <c r="X1630" s="5" t="s">
        <v>242</v>
      </c>
      <c r="Y1630" s="5"/>
      <c r="Z1630" s="5"/>
      <c r="AA1630" s="11" t="s">
        <v>155</v>
      </c>
      <c r="AB1630" s="5" t="s">
        <v>245</v>
      </c>
      <c r="AC1630" s="5" t="s">
        <v>262</v>
      </c>
      <c r="AD1630" s="11" t="s">
        <v>4023</v>
      </c>
      <c r="AE1630" s="23" t="n">
        <v>0.85</v>
      </c>
      <c r="AF1630" s="23" t="n">
        <v>0</v>
      </c>
      <c r="AG1630" s="23" t="n">
        <v>0.67</v>
      </c>
      <c r="AH1630" s="23" t="n">
        <v>0.87</v>
      </c>
      <c r="AI1630" s="23" t="n">
        <v>0.6</v>
      </c>
      <c r="AJ1630" s="23" t="n">
        <v>0.2048</v>
      </c>
      <c r="AK1630" s="23" t="n">
        <v>0.2</v>
      </c>
      <c r="AL1630" s="23" t="n">
        <v>0</v>
      </c>
      <c r="AM1630" s="16" t="n">
        <f aca="false">COUNTIFS($D$2:$D$2501,D1630,$G$2:$G$2501,"&gt;"&amp;G1630)+COUNTIFS($D$2:D1630,D1630,$G$2:G1630,G1630)</f>
        <v>769</v>
      </c>
      <c r="AN1630" s="5" t="str">
        <f aca="false">D1630&amp;"|"&amp;AM1630</f>
        <v>分析與報告生成|769</v>
      </c>
    </row>
    <row r="1631" customFormat="false" ht="17.15" hidden="false" customHeight="false" outlineLevel="0" collapsed="false">
      <c r="A1631" s="16" t="n">
        <f aca="false">RANK(G1631,$G$2:$G$2501)+COUNTIF($G$2:G1631,G1631)-1</f>
        <v>1630</v>
      </c>
      <c r="B1631" s="11" t="s">
        <v>4024</v>
      </c>
      <c r="C1631" s="11" t="s">
        <v>2693</v>
      </c>
      <c r="D1631" s="5" t="s">
        <v>74</v>
      </c>
      <c r="E1631" s="5" t="s">
        <v>75</v>
      </c>
      <c r="F1631" s="5"/>
      <c r="G1631" s="22" t="n">
        <f aca="false">ROUND(SUM(I1631:P1631),3)</f>
        <v>57.644</v>
      </c>
      <c r="H1631" s="5" t="str">
        <f aca="false">IF(G1631&gt;=評分方法!$C$16,"優先評估",IF(G1631&gt;=評分方法!$C$17,"列入候選",IF(G1631&gt;=評分方法!$C$18,"特定情境","不建議")))</f>
        <v>不建議</v>
      </c>
      <c r="I1631" s="15" t="n">
        <f aca="false">AE1631*評分方法!$C$5</f>
        <v>10.5</v>
      </c>
      <c r="J1631" s="15" t="n">
        <f aca="false">AF1631*評分方法!$C$6</f>
        <v>0</v>
      </c>
      <c r="K1631" s="15" t="n">
        <f aca="false">AG1631*評分方法!$C$7</f>
        <v>15</v>
      </c>
      <c r="L1631" s="15" t="n">
        <f aca="false">AH1631*評分方法!$C$8</f>
        <v>15</v>
      </c>
      <c r="M1631" s="15" t="n">
        <f aca="false">AI1631*評分方法!$C$9</f>
        <v>10</v>
      </c>
      <c r="N1631" s="15" t="n">
        <f aca="false">AJ1631*評分方法!$C$10</f>
        <v>3.144</v>
      </c>
      <c r="O1631" s="15" t="n">
        <f aca="false">AK1631*評分方法!$C$11</f>
        <v>2.5</v>
      </c>
      <c r="P1631" s="15" t="n">
        <f aca="false">AL1631*評分方法!$C$12</f>
        <v>1.5</v>
      </c>
      <c r="Q1631" s="6" t="n">
        <v>307094</v>
      </c>
      <c r="R1631" s="6" t="n">
        <v>15471948</v>
      </c>
      <c r="S1631" s="11" t="s">
        <v>238</v>
      </c>
      <c r="T1631" s="11" t="s">
        <v>239</v>
      </c>
      <c r="U1631" s="5" t="s">
        <v>240</v>
      </c>
      <c r="V1631" s="11" t="s">
        <v>324</v>
      </c>
      <c r="W1631" s="5" t="s">
        <v>205</v>
      </c>
      <c r="X1631" s="5" t="s">
        <v>255</v>
      </c>
      <c r="Y1631" s="5"/>
      <c r="Z1631" s="5"/>
      <c r="AA1631" s="11" t="s">
        <v>172</v>
      </c>
      <c r="AB1631" s="5" t="s">
        <v>245</v>
      </c>
      <c r="AC1631" s="5"/>
      <c r="AD1631" s="11" t="s">
        <v>4025</v>
      </c>
      <c r="AE1631" s="23" t="n">
        <v>0.35</v>
      </c>
      <c r="AF1631" s="23" t="n">
        <v>0</v>
      </c>
      <c r="AG1631" s="23" t="n">
        <v>1</v>
      </c>
      <c r="AH1631" s="23" t="n">
        <v>1</v>
      </c>
      <c r="AI1631" s="23" t="n">
        <v>1</v>
      </c>
      <c r="AJ1631" s="23" t="n">
        <v>0.3144</v>
      </c>
      <c r="AK1631" s="23" t="n">
        <v>0.5</v>
      </c>
      <c r="AL1631" s="23" t="n">
        <v>0.3</v>
      </c>
      <c r="AM1631" s="16" t="n">
        <f aca="false">COUNTIFS($D$2:$D$2501,D1631,$G$2:$G$2501,"&gt;"&amp;G1631)+COUNTIFS($D$2:D1631,D1631,$G$2:G1631,G1631)</f>
        <v>144</v>
      </c>
      <c r="AN1631" s="5" t="str">
        <f aca="false">D1631&amp;"|"&amp;AM1631</f>
        <v>文件與影像辨識|144</v>
      </c>
    </row>
    <row r="1632" customFormat="false" ht="17.15" hidden="false" customHeight="false" outlineLevel="0" collapsed="false">
      <c r="A1632" s="16" t="n">
        <f aca="false">RANK(G1632,$G$2:$G$2501)+COUNTIF($G$2:G1632,G1632)-1</f>
        <v>1631</v>
      </c>
      <c r="B1632" s="11" t="s">
        <v>4026</v>
      </c>
      <c r="C1632" s="11" t="s">
        <v>4027</v>
      </c>
      <c r="D1632" s="5" t="s">
        <v>56</v>
      </c>
      <c r="E1632" s="5" t="s">
        <v>57</v>
      </c>
      <c r="F1632" s="5"/>
      <c r="G1632" s="22" t="n">
        <f aca="false">ROUND(SUM(I1632:P1632),3)</f>
        <v>57.634</v>
      </c>
      <c r="H1632" s="5" t="str">
        <f aca="false">IF(G1632&gt;=評分方法!$C$16,"優先評估",IF(G1632&gt;=評分方法!$C$17,"列入候選",IF(G1632&gt;=評分方法!$C$18,"特定情境","不建議")))</f>
        <v>不建議</v>
      </c>
      <c r="I1632" s="15" t="n">
        <f aca="false">AE1632*評分方法!$C$5</f>
        <v>25.5</v>
      </c>
      <c r="J1632" s="15" t="n">
        <f aca="false">AF1632*評分方法!$C$6</f>
        <v>0</v>
      </c>
      <c r="K1632" s="15" t="n">
        <f aca="false">AG1632*評分方法!$C$7</f>
        <v>4.95</v>
      </c>
      <c r="L1632" s="15" t="n">
        <f aca="false">AH1632*評分方法!$C$8</f>
        <v>9</v>
      </c>
      <c r="M1632" s="15" t="n">
        <f aca="false">AI1632*評分方法!$C$9</f>
        <v>2</v>
      </c>
      <c r="N1632" s="15" t="n">
        <f aca="false">AJ1632*評分方法!$C$10</f>
        <v>8.184</v>
      </c>
      <c r="O1632" s="15" t="n">
        <f aca="false">AK1632*評分方法!$C$11</f>
        <v>5</v>
      </c>
      <c r="P1632" s="15" t="n">
        <f aca="false">AL1632*評分方法!$C$12</f>
        <v>3</v>
      </c>
      <c r="Q1632" s="6" t="n">
        <v>1801186</v>
      </c>
      <c r="R1632" s="6" t="n">
        <v>11907350576</v>
      </c>
      <c r="S1632" s="11" t="s">
        <v>389</v>
      </c>
      <c r="T1632" s="5"/>
      <c r="U1632" s="5" t="s">
        <v>375</v>
      </c>
      <c r="V1632" s="11" t="s">
        <v>333</v>
      </c>
      <c r="W1632" s="5" t="s">
        <v>334</v>
      </c>
      <c r="X1632" s="5" t="s">
        <v>371</v>
      </c>
      <c r="Y1632" s="5"/>
      <c r="Z1632" s="5"/>
      <c r="AA1632" s="11" t="s">
        <v>155</v>
      </c>
      <c r="AB1632" s="5" t="s">
        <v>961</v>
      </c>
      <c r="AC1632" s="5" t="s">
        <v>1977</v>
      </c>
      <c r="AD1632" s="11" t="s">
        <v>4028</v>
      </c>
      <c r="AE1632" s="23" t="n">
        <v>0.85</v>
      </c>
      <c r="AF1632" s="23" t="n">
        <v>0</v>
      </c>
      <c r="AG1632" s="23" t="n">
        <v>0.33</v>
      </c>
      <c r="AH1632" s="23" t="n">
        <v>0.6</v>
      </c>
      <c r="AI1632" s="23" t="n">
        <v>0.2</v>
      </c>
      <c r="AJ1632" s="23" t="n">
        <v>0.8184</v>
      </c>
      <c r="AK1632" s="23" t="n">
        <v>1</v>
      </c>
      <c r="AL1632" s="23" t="n">
        <v>0.6</v>
      </c>
      <c r="AM1632" s="16" t="n">
        <f aca="false">COUNTIFS($D$2:$D$2501,D1632,$G$2:$G$2501,"&gt;"&amp;G1632)+COUNTIFS($D$2:D1632,D1632,$G$2:G1632,G1632)</f>
        <v>770</v>
      </c>
      <c r="AN1632" s="5" t="str">
        <f aca="false">D1632&amp;"|"&amp;AM1632</f>
        <v>分析與報告生成|770</v>
      </c>
    </row>
    <row r="1633" customFormat="false" ht="17.15" hidden="false" customHeight="false" outlineLevel="0" collapsed="false">
      <c r="A1633" s="16" t="n">
        <f aca="false">RANK(G1633,$G$2:$G$2501)+COUNTIF($G$2:G1633,G1633)-1</f>
        <v>1632</v>
      </c>
      <c r="B1633" s="11" t="s">
        <v>4029</v>
      </c>
      <c r="C1633" s="11" t="s">
        <v>4030</v>
      </c>
      <c r="D1633" s="5" t="s">
        <v>54</v>
      </c>
      <c r="E1633" s="5" t="s">
        <v>55</v>
      </c>
      <c r="F1633" s="5"/>
      <c r="G1633" s="22" t="n">
        <f aca="false">ROUND(SUM(I1633:P1633),3)</f>
        <v>57.626</v>
      </c>
      <c r="H1633" s="5" t="str">
        <f aca="false">IF(G1633&gt;=評分方法!$C$16,"優先評估",IF(G1633&gt;=評分方法!$C$17,"列入候選",IF(G1633&gt;=評分方法!$C$18,"特定情境","不建議")))</f>
        <v>不建議</v>
      </c>
      <c r="I1633" s="15" t="n">
        <f aca="false">AE1633*評分方法!$C$5</f>
        <v>16.2</v>
      </c>
      <c r="J1633" s="15" t="n">
        <f aca="false">AF1633*評分方法!$C$6</f>
        <v>0</v>
      </c>
      <c r="K1633" s="15" t="n">
        <f aca="false">AG1633*評分方法!$C$7</f>
        <v>4.95</v>
      </c>
      <c r="L1633" s="15" t="n">
        <f aca="false">AH1633*評分方法!$C$8</f>
        <v>15</v>
      </c>
      <c r="M1633" s="15" t="n">
        <f aca="false">AI1633*評分方法!$C$9</f>
        <v>10</v>
      </c>
      <c r="N1633" s="15" t="n">
        <f aca="false">AJ1633*評分方法!$C$10</f>
        <v>8.976</v>
      </c>
      <c r="O1633" s="15" t="n">
        <f aca="false">AK1633*評分方法!$C$11</f>
        <v>2.5</v>
      </c>
      <c r="P1633" s="15" t="n">
        <f aca="false">AL1633*評分方法!$C$12</f>
        <v>0</v>
      </c>
      <c r="Q1633" s="6" t="n">
        <v>3733318</v>
      </c>
      <c r="R1633" s="6" t="n">
        <v>314611968</v>
      </c>
      <c r="S1633" s="11" t="s">
        <v>238</v>
      </c>
      <c r="T1633" s="11" t="s">
        <v>239</v>
      </c>
      <c r="U1633" s="5" t="s">
        <v>240</v>
      </c>
      <c r="V1633" s="11" t="s">
        <v>261</v>
      </c>
      <c r="W1633" s="5" t="s">
        <v>334</v>
      </c>
      <c r="X1633" s="5" t="s">
        <v>242</v>
      </c>
      <c r="Y1633" s="11" t="s">
        <v>4031</v>
      </c>
      <c r="Z1633" s="11" t="s">
        <v>270</v>
      </c>
      <c r="AA1633" s="11" t="s">
        <v>152</v>
      </c>
      <c r="AB1633" s="5" t="s">
        <v>245</v>
      </c>
      <c r="AC1633" s="5" t="s">
        <v>1463</v>
      </c>
      <c r="AD1633" s="11" t="s">
        <v>4032</v>
      </c>
      <c r="AE1633" s="23" t="n">
        <v>0.54</v>
      </c>
      <c r="AF1633" s="23" t="n">
        <v>0</v>
      </c>
      <c r="AG1633" s="23" t="n">
        <v>0.33</v>
      </c>
      <c r="AH1633" s="23" t="n">
        <v>1</v>
      </c>
      <c r="AI1633" s="23" t="n">
        <v>1</v>
      </c>
      <c r="AJ1633" s="23" t="n">
        <v>0.8976</v>
      </c>
      <c r="AK1633" s="23" t="n">
        <v>0.5</v>
      </c>
      <c r="AL1633" s="23" t="n">
        <v>0</v>
      </c>
      <c r="AM1633" s="16" t="n">
        <f aca="false">COUNTIFS($D$2:$D$2501,D1633,$G$2:$G$2501,"&gt;"&amp;G1633)+COUNTIFS($D$2:D1633,D1633,$G$2:G1633,G1633)</f>
        <v>209</v>
      </c>
      <c r="AN1633" s="5" t="str">
        <f aca="false">D1633&amp;"|"&amp;AM1633</f>
        <v>檢索與情資關聯|209</v>
      </c>
    </row>
    <row r="1634" customFormat="false" ht="17.15" hidden="false" customHeight="false" outlineLevel="0" collapsed="false">
      <c r="A1634" s="16" t="n">
        <f aca="false">RANK(G1634,$G$2:$G$2501)+COUNTIF($G$2:G1634,G1634)-1</f>
        <v>1633</v>
      </c>
      <c r="B1634" s="11" t="s">
        <v>4033</v>
      </c>
      <c r="C1634" s="11" t="s">
        <v>368</v>
      </c>
      <c r="D1634" s="5" t="s">
        <v>74</v>
      </c>
      <c r="E1634" s="5" t="s">
        <v>75</v>
      </c>
      <c r="F1634" s="5"/>
      <c r="G1634" s="22" t="n">
        <f aca="false">ROUND(SUM(I1634:P1634),3)</f>
        <v>57.624</v>
      </c>
      <c r="H1634" s="5" t="str">
        <f aca="false">IF(G1634&gt;=評分方法!$C$16,"優先評估",IF(G1634&gt;=評分方法!$C$17,"列入候選",IF(G1634&gt;=評分方法!$C$18,"特定情境","不建議")))</f>
        <v>不建議</v>
      </c>
      <c r="I1634" s="15" t="n">
        <f aca="false">AE1634*評分方法!$C$5</f>
        <v>7.5</v>
      </c>
      <c r="J1634" s="15" t="n">
        <f aca="false">AF1634*評分方法!$C$6</f>
        <v>0</v>
      </c>
      <c r="K1634" s="15" t="n">
        <f aca="false">AG1634*評分方法!$C$7</f>
        <v>15</v>
      </c>
      <c r="L1634" s="15" t="n">
        <f aca="false">AH1634*評分方法!$C$8</f>
        <v>15</v>
      </c>
      <c r="M1634" s="15" t="n">
        <f aca="false">AI1634*評分方法!$C$9</f>
        <v>10</v>
      </c>
      <c r="N1634" s="15" t="n">
        <f aca="false">AJ1634*評分方法!$C$10</f>
        <v>7.624</v>
      </c>
      <c r="O1634" s="15" t="n">
        <f aca="false">AK1634*評分方法!$C$11</f>
        <v>1</v>
      </c>
      <c r="P1634" s="15" t="n">
        <f aca="false">AL1634*評分方法!$C$12</f>
        <v>1.5</v>
      </c>
      <c r="Q1634" s="6" t="n">
        <v>1220566</v>
      </c>
      <c r="R1634" s="6" t="n">
        <v>153232471</v>
      </c>
      <c r="S1634" s="11" t="s">
        <v>238</v>
      </c>
      <c r="T1634" s="11" t="s">
        <v>239</v>
      </c>
      <c r="U1634" s="5" t="s">
        <v>240</v>
      </c>
      <c r="V1634" s="11" t="s">
        <v>324</v>
      </c>
      <c r="W1634" s="5" t="s">
        <v>205</v>
      </c>
      <c r="X1634" s="5" t="s">
        <v>255</v>
      </c>
      <c r="Y1634" s="5"/>
      <c r="Z1634" s="5"/>
      <c r="AA1634" s="11" t="s">
        <v>180</v>
      </c>
      <c r="AB1634" s="5" t="s">
        <v>245</v>
      </c>
      <c r="AC1634" s="5"/>
      <c r="AD1634" s="11" t="s">
        <v>4034</v>
      </c>
      <c r="AE1634" s="23" t="n">
        <v>0.25</v>
      </c>
      <c r="AF1634" s="23" t="n">
        <v>0</v>
      </c>
      <c r="AG1634" s="23" t="n">
        <v>1</v>
      </c>
      <c r="AH1634" s="23" t="n">
        <v>1</v>
      </c>
      <c r="AI1634" s="23" t="n">
        <v>1</v>
      </c>
      <c r="AJ1634" s="23" t="n">
        <v>0.7624</v>
      </c>
      <c r="AK1634" s="23" t="n">
        <v>0.2</v>
      </c>
      <c r="AL1634" s="23" t="n">
        <v>0.3</v>
      </c>
      <c r="AM1634" s="16" t="n">
        <f aca="false">COUNTIFS($D$2:$D$2501,D1634,$G$2:$G$2501,"&gt;"&amp;G1634)+COUNTIFS($D$2:D1634,D1634,$G$2:G1634,G1634)</f>
        <v>145</v>
      </c>
      <c r="AN1634" s="5" t="str">
        <f aca="false">D1634&amp;"|"&amp;AM1634</f>
        <v>文件與影像辨識|145</v>
      </c>
    </row>
    <row r="1635" customFormat="false" ht="17.15" hidden="false" customHeight="false" outlineLevel="0" collapsed="false">
      <c r="A1635" s="16" t="n">
        <f aca="false">RANK(G1635,$G$2:$G$2501)+COUNTIF($G$2:G1635,G1635)-1</f>
        <v>1634</v>
      </c>
      <c r="B1635" s="11" t="s">
        <v>4035</v>
      </c>
      <c r="C1635" s="11" t="s">
        <v>327</v>
      </c>
      <c r="D1635" s="5" t="s">
        <v>78</v>
      </c>
      <c r="E1635" s="5" t="s">
        <v>79</v>
      </c>
      <c r="F1635" s="5"/>
      <c r="G1635" s="22" t="n">
        <f aca="false">ROUND(SUM(I1635:P1635),3)</f>
        <v>57.624</v>
      </c>
      <c r="H1635" s="5" t="str">
        <f aca="false">IF(G1635&gt;=評分方法!$C$16,"優先評估",IF(G1635&gt;=評分方法!$C$17,"列入候選",IF(G1635&gt;=評分方法!$C$18,"特定情境","不建議")))</f>
        <v>不建議</v>
      </c>
      <c r="I1635" s="15" t="n">
        <f aca="false">AE1635*評分方法!$C$5</f>
        <v>9</v>
      </c>
      <c r="J1635" s="15" t="n">
        <f aca="false">AF1635*評分方法!$C$6</f>
        <v>0</v>
      </c>
      <c r="K1635" s="15" t="n">
        <f aca="false">AG1635*評分方法!$C$7</f>
        <v>15</v>
      </c>
      <c r="L1635" s="15" t="n">
        <f aca="false">AH1635*評分方法!$C$8</f>
        <v>15</v>
      </c>
      <c r="M1635" s="15" t="n">
        <f aca="false">AI1635*評分方法!$C$9</f>
        <v>10</v>
      </c>
      <c r="N1635" s="15" t="n">
        <f aca="false">AJ1635*評分方法!$C$10</f>
        <v>2.124</v>
      </c>
      <c r="O1635" s="15" t="n">
        <f aca="false">AK1635*評分方法!$C$11</f>
        <v>5</v>
      </c>
      <c r="P1635" s="15" t="n">
        <f aca="false">AL1635*評分方法!$C$12</f>
        <v>1.5</v>
      </c>
      <c r="Q1635" s="6" t="n">
        <v>218143</v>
      </c>
      <c r="R1635" s="6" t="n">
        <v>122862212</v>
      </c>
      <c r="S1635" s="11" t="s">
        <v>238</v>
      </c>
      <c r="T1635" s="11" t="s">
        <v>1636</v>
      </c>
      <c r="U1635" s="5" t="s">
        <v>240</v>
      </c>
      <c r="V1635" s="11" t="s">
        <v>1976</v>
      </c>
      <c r="W1635" s="5" t="s">
        <v>205</v>
      </c>
      <c r="X1635" s="5" t="s">
        <v>255</v>
      </c>
      <c r="Y1635" s="5"/>
      <c r="Z1635" s="5"/>
      <c r="AA1635" s="11" t="s">
        <v>175</v>
      </c>
      <c r="AB1635" s="5" t="s">
        <v>245</v>
      </c>
      <c r="AC1635" s="5"/>
      <c r="AD1635" s="11" t="s">
        <v>4036</v>
      </c>
      <c r="AE1635" s="23" t="n">
        <v>0.3</v>
      </c>
      <c r="AF1635" s="23" t="n">
        <v>0</v>
      </c>
      <c r="AG1635" s="23" t="n">
        <v>1</v>
      </c>
      <c r="AH1635" s="23" t="n">
        <v>1</v>
      </c>
      <c r="AI1635" s="23" t="n">
        <v>1</v>
      </c>
      <c r="AJ1635" s="23" t="n">
        <v>0.2124</v>
      </c>
      <c r="AK1635" s="23" t="n">
        <v>1</v>
      </c>
      <c r="AL1635" s="23" t="n">
        <v>0.3</v>
      </c>
      <c r="AM1635" s="16" t="n">
        <f aca="false">COUNTIFS($D$2:$D$2501,D1635,$G$2:$G$2501,"&gt;"&amp;G1635)+COUNTIFS($D$2:D1635,D1635,$G$2:G1635,G1635)</f>
        <v>27</v>
      </c>
      <c r="AN1635" s="5" t="str">
        <f aca="false">D1635&amp;"|"&amp;AM1635</f>
        <v>語音分析|27</v>
      </c>
    </row>
    <row r="1636" customFormat="false" ht="17.15" hidden="false" customHeight="false" outlineLevel="0" collapsed="false">
      <c r="A1636" s="16" t="n">
        <f aca="false">RANK(G1636,$G$2:$G$2501)+COUNTIF($G$2:G1636,G1636)-1</f>
        <v>1635</v>
      </c>
      <c r="B1636" s="11" t="s">
        <v>4037</v>
      </c>
      <c r="C1636" s="11" t="s">
        <v>2693</v>
      </c>
      <c r="D1636" s="5" t="s">
        <v>74</v>
      </c>
      <c r="E1636" s="5" t="s">
        <v>75</v>
      </c>
      <c r="F1636" s="5"/>
      <c r="G1636" s="22" t="n">
        <f aca="false">ROUND(SUM(I1636:P1636),3)</f>
        <v>57.62</v>
      </c>
      <c r="H1636" s="5" t="str">
        <f aca="false">IF(G1636&gt;=評分方法!$C$16,"優先評估",IF(G1636&gt;=評分方法!$C$17,"列入候選",IF(G1636&gt;=評分方法!$C$18,"特定情境","不建議")))</f>
        <v>不建議</v>
      </c>
      <c r="I1636" s="15" t="n">
        <f aca="false">AE1636*評分方法!$C$5</f>
        <v>10.5</v>
      </c>
      <c r="J1636" s="15" t="n">
        <f aca="false">AF1636*評分方法!$C$6</f>
        <v>0</v>
      </c>
      <c r="K1636" s="15" t="n">
        <f aca="false">AG1636*評分方法!$C$7</f>
        <v>15</v>
      </c>
      <c r="L1636" s="15" t="n">
        <f aca="false">AH1636*評分方法!$C$8</f>
        <v>15</v>
      </c>
      <c r="M1636" s="15" t="n">
        <f aca="false">AI1636*評分方法!$C$9</f>
        <v>10</v>
      </c>
      <c r="N1636" s="15" t="n">
        <f aca="false">AJ1636*評分方法!$C$10</f>
        <v>3.12</v>
      </c>
      <c r="O1636" s="15" t="n">
        <f aca="false">AK1636*評分方法!$C$11</f>
        <v>2.5</v>
      </c>
      <c r="P1636" s="15" t="n">
        <f aca="false">AL1636*評分方法!$C$12</f>
        <v>1.5</v>
      </c>
      <c r="Q1636" s="6" t="n">
        <v>306080</v>
      </c>
      <c r="R1636" s="6" t="n">
        <v>36910477</v>
      </c>
      <c r="S1636" s="11" t="s">
        <v>238</v>
      </c>
      <c r="T1636" s="11" t="s">
        <v>239</v>
      </c>
      <c r="U1636" s="5" t="s">
        <v>240</v>
      </c>
      <c r="V1636" s="11" t="s">
        <v>324</v>
      </c>
      <c r="W1636" s="5" t="s">
        <v>205</v>
      </c>
      <c r="X1636" s="5" t="s">
        <v>255</v>
      </c>
      <c r="Y1636" s="5"/>
      <c r="Z1636" s="5"/>
      <c r="AA1636" s="11" t="s">
        <v>172</v>
      </c>
      <c r="AB1636" s="5" t="s">
        <v>245</v>
      </c>
      <c r="AC1636" s="5"/>
      <c r="AD1636" s="11" t="s">
        <v>4038</v>
      </c>
      <c r="AE1636" s="23" t="n">
        <v>0.35</v>
      </c>
      <c r="AF1636" s="23" t="n">
        <v>0</v>
      </c>
      <c r="AG1636" s="23" t="n">
        <v>1</v>
      </c>
      <c r="AH1636" s="23" t="n">
        <v>1</v>
      </c>
      <c r="AI1636" s="23" t="n">
        <v>1</v>
      </c>
      <c r="AJ1636" s="23" t="n">
        <v>0.312</v>
      </c>
      <c r="AK1636" s="23" t="n">
        <v>0.5</v>
      </c>
      <c r="AL1636" s="23" t="n">
        <v>0.3</v>
      </c>
      <c r="AM1636" s="16" t="n">
        <f aca="false">COUNTIFS($D$2:$D$2501,D1636,$G$2:$G$2501,"&gt;"&amp;G1636)+COUNTIFS($D$2:D1636,D1636,$G$2:G1636,G1636)</f>
        <v>146</v>
      </c>
      <c r="AN1636" s="5" t="str">
        <f aca="false">D1636&amp;"|"&amp;AM1636</f>
        <v>文件與影像辨識|146</v>
      </c>
    </row>
    <row r="1637" customFormat="false" ht="17.15" hidden="false" customHeight="false" outlineLevel="0" collapsed="false">
      <c r="A1637" s="16" t="n">
        <f aca="false">RANK(G1637,$G$2:$G$2501)+COUNTIF($G$2:G1637,G1637)-1</f>
        <v>1636</v>
      </c>
      <c r="B1637" s="11" t="s">
        <v>4039</v>
      </c>
      <c r="C1637" s="11" t="s">
        <v>681</v>
      </c>
      <c r="D1637" s="5" t="s">
        <v>76</v>
      </c>
      <c r="E1637" s="5" t="s">
        <v>77</v>
      </c>
      <c r="F1637" s="5"/>
      <c r="G1637" s="22" t="n">
        <f aca="false">ROUND(SUM(I1637:P1637),3)</f>
        <v>57.616</v>
      </c>
      <c r="H1637" s="5" t="str">
        <f aca="false">IF(G1637&gt;=評分方法!$C$16,"優先評估",IF(G1637&gt;=評分方法!$C$17,"列入候選",IF(G1637&gt;=評分方法!$C$18,"特定情境","不建議")))</f>
        <v>不建議</v>
      </c>
      <c r="I1637" s="15" t="n">
        <f aca="false">AE1637*評分方法!$C$5</f>
        <v>12</v>
      </c>
      <c r="J1637" s="15" t="n">
        <f aca="false">AF1637*評分方法!$C$6</f>
        <v>0</v>
      </c>
      <c r="K1637" s="15" t="n">
        <f aca="false">AG1637*評分方法!$C$7</f>
        <v>15</v>
      </c>
      <c r="L1637" s="15" t="n">
        <f aca="false">AH1637*評分方法!$C$8</f>
        <v>15</v>
      </c>
      <c r="M1637" s="15" t="n">
        <f aca="false">AI1637*評分方法!$C$9</f>
        <v>10</v>
      </c>
      <c r="N1637" s="15" t="n">
        <f aca="false">AJ1637*評分方法!$C$10</f>
        <v>4.616</v>
      </c>
      <c r="O1637" s="15" t="n">
        <f aca="false">AK1637*評分方法!$C$11</f>
        <v>1</v>
      </c>
      <c r="P1637" s="15" t="n">
        <f aca="false">AL1637*評分方法!$C$12</f>
        <v>0</v>
      </c>
      <c r="Q1637" s="6" t="n">
        <v>502827</v>
      </c>
      <c r="R1637" s="6" t="n">
        <v>611101867</v>
      </c>
      <c r="S1637" s="11" t="s">
        <v>238</v>
      </c>
      <c r="T1637" s="11" t="s">
        <v>278</v>
      </c>
      <c r="U1637" s="5" t="s">
        <v>240</v>
      </c>
      <c r="V1637" s="11" t="s">
        <v>855</v>
      </c>
      <c r="W1637" s="5" t="s">
        <v>205</v>
      </c>
      <c r="X1637" s="5" t="s">
        <v>242</v>
      </c>
      <c r="Y1637" s="5"/>
      <c r="Z1637" s="5"/>
      <c r="AA1637" s="11" t="s">
        <v>168</v>
      </c>
      <c r="AB1637" s="5" t="s">
        <v>245</v>
      </c>
      <c r="AC1637" s="5"/>
      <c r="AD1637" s="11" t="s">
        <v>4040</v>
      </c>
      <c r="AE1637" s="23" t="n">
        <v>0.4</v>
      </c>
      <c r="AF1637" s="23" t="n">
        <v>0</v>
      </c>
      <c r="AG1637" s="23" t="n">
        <v>1</v>
      </c>
      <c r="AH1637" s="23" t="n">
        <v>1</v>
      </c>
      <c r="AI1637" s="23" t="n">
        <v>1</v>
      </c>
      <c r="AJ1637" s="23" t="n">
        <v>0.4616</v>
      </c>
      <c r="AK1637" s="23" t="n">
        <v>0.2</v>
      </c>
      <c r="AL1637" s="23" t="n">
        <v>0</v>
      </c>
      <c r="AM1637" s="16" t="n">
        <f aca="false">COUNTIFS($D$2:$D$2501,D1637,$G$2:$G$2501,"&gt;"&amp;G1637)+COUNTIFS($D$2:D1637,D1637,$G$2:G1637,G1637)</f>
        <v>8</v>
      </c>
      <c r="AN1637" s="5" t="str">
        <f aca="false">D1637&amp;"|"&amp;AM1637</f>
        <v>情資翻譯|8</v>
      </c>
    </row>
    <row r="1638" customFormat="false" ht="17.15" hidden="false" customHeight="false" outlineLevel="0" collapsed="false">
      <c r="A1638" s="16" t="n">
        <f aca="false">RANK(G1638,$G$2:$G$2501)+COUNTIF($G$2:G1638,G1638)-1</f>
        <v>1637</v>
      </c>
      <c r="B1638" s="11" t="s">
        <v>4041</v>
      </c>
      <c r="C1638" s="11" t="s">
        <v>681</v>
      </c>
      <c r="D1638" s="5" t="s">
        <v>74</v>
      </c>
      <c r="E1638" s="5" t="s">
        <v>75</v>
      </c>
      <c r="F1638" s="5"/>
      <c r="G1638" s="22" t="n">
        <f aca="false">ROUND(SUM(I1638:P1638),3)</f>
        <v>57.592</v>
      </c>
      <c r="H1638" s="5" t="str">
        <f aca="false">IF(G1638&gt;=評分方法!$C$16,"優先評估",IF(G1638&gt;=評分方法!$C$17,"列入候選",IF(G1638&gt;=評分方法!$C$18,"特定情境","不建議")))</f>
        <v>不建議</v>
      </c>
      <c r="I1638" s="15" t="n">
        <f aca="false">AE1638*評分方法!$C$5</f>
        <v>10.5</v>
      </c>
      <c r="J1638" s="15" t="n">
        <f aca="false">AF1638*評分方法!$C$6</f>
        <v>0</v>
      </c>
      <c r="K1638" s="15" t="n">
        <f aca="false">AG1638*評分方法!$C$7</f>
        <v>15</v>
      </c>
      <c r="L1638" s="15" t="n">
        <f aca="false">AH1638*評分方法!$C$8</f>
        <v>15</v>
      </c>
      <c r="M1638" s="15" t="n">
        <f aca="false">AI1638*評分方法!$C$9</f>
        <v>10</v>
      </c>
      <c r="N1638" s="15" t="n">
        <f aca="false">AJ1638*評分方法!$C$10</f>
        <v>3.092</v>
      </c>
      <c r="O1638" s="15" t="n">
        <f aca="false">AK1638*評分方法!$C$11</f>
        <v>2.5</v>
      </c>
      <c r="P1638" s="15" t="n">
        <f aca="false">AL1638*評分方法!$C$12</f>
        <v>1.5</v>
      </c>
      <c r="Q1638" s="6" t="n">
        <v>303234</v>
      </c>
      <c r="R1638" s="6" t="n">
        <v>28635496</v>
      </c>
      <c r="S1638" s="11" t="s">
        <v>238</v>
      </c>
      <c r="T1638" s="11" t="s">
        <v>239</v>
      </c>
      <c r="U1638" s="5" t="s">
        <v>240</v>
      </c>
      <c r="V1638" s="11" t="s">
        <v>855</v>
      </c>
      <c r="W1638" s="5" t="s">
        <v>205</v>
      </c>
      <c r="X1638" s="5" t="s">
        <v>255</v>
      </c>
      <c r="Y1638" s="5"/>
      <c r="Z1638" s="5"/>
      <c r="AA1638" s="11" t="s">
        <v>172</v>
      </c>
      <c r="AB1638" s="5" t="s">
        <v>245</v>
      </c>
      <c r="AC1638" s="5"/>
      <c r="AD1638" s="11" t="s">
        <v>4042</v>
      </c>
      <c r="AE1638" s="23" t="n">
        <v>0.35</v>
      </c>
      <c r="AF1638" s="23" t="n">
        <v>0</v>
      </c>
      <c r="AG1638" s="23" t="n">
        <v>1</v>
      </c>
      <c r="AH1638" s="23" t="n">
        <v>1</v>
      </c>
      <c r="AI1638" s="23" t="n">
        <v>1</v>
      </c>
      <c r="AJ1638" s="23" t="n">
        <v>0.3092</v>
      </c>
      <c r="AK1638" s="23" t="n">
        <v>0.5</v>
      </c>
      <c r="AL1638" s="23" t="n">
        <v>0.3</v>
      </c>
      <c r="AM1638" s="16" t="n">
        <f aca="false">COUNTIFS($D$2:$D$2501,D1638,$G$2:$G$2501,"&gt;"&amp;G1638)+COUNTIFS($D$2:D1638,D1638,$G$2:G1638,G1638)</f>
        <v>147</v>
      </c>
      <c r="AN1638" s="5" t="str">
        <f aca="false">D1638&amp;"|"&amp;AM1638</f>
        <v>文件與影像辨識|147</v>
      </c>
    </row>
    <row r="1639" customFormat="false" ht="17.15" hidden="false" customHeight="false" outlineLevel="0" collapsed="false">
      <c r="A1639" s="16" t="n">
        <f aca="false">RANK(G1639,$G$2:$G$2501)+COUNTIF($G$2:G1639,G1639)-1</f>
        <v>1638</v>
      </c>
      <c r="B1639" s="11" t="s">
        <v>4043</v>
      </c>
      <c r="C1639" s="11" t="s">
        <v>2693</v>
      </c>
      <c r="D1639" s="5" t="s">
        <v>74</v>
      </c>
      <c r="E1639" s="5" t="s">
        <v>75</v>
      </c>
      <c r="F1639" s="5"/>
      <c r="G1639" s="22" t="n">
        <f aca="false">ROUND(SUM(I1639:P1639),3)</f>
        <v>57.588</v>
      </c>
      <c r="H1639" s="5" t="str">
        <f aca="false">IF(G1639&gt;=評分方法!$C$16,"優先評估",IF(G1639&gt;=評分方法!$C$17,"列入候選",IF(G1639&gt;=評分方法!$C$18,"特定情境","不建議")))</f>
        <v>不建議</v>
      </c>
      <c r="I1639" s="15" t="n">
        <f aca="false">AE1639*評分方法!$C$5</f>
        <v>10.5</v>
      </c>
      <c r="J1639" s="15" t="n">
        <f aca="false">AF1639*評分方法!$C$6</f>
        <v>0</v>
      </c>
      <c r="K1639" s="15" t="n">
        <f aca="false">AG1639*評分方法!$C$7</f>
        <v>15</v>
      </c>
      <c r="L1639" s="15" t="n">
        <f aca="false">AH1639*評分方法!$C$8</f>
        <v>15</v>
      </c>
      <c r="M1639" s="15" t="n">
        <f aca="false">AI1639*評分方法!$C$9</f>
        <v>10</v>
      </c>
      <c r="N1639" s="15" t="n">
        <f aca="false">AJ1639*評分方法!$C$10</f>
        <v>3.088</v>
      </c>
      <c r="O1639" s="15" t="n">
        <f aca="false">AK1639*評分方法!$C$11</f>
        <v>2.5</v>
      </c>
      <c r="P1639" s="15" t="n">
        <f aca="false">AL1639*評分方法!$C$12</f>
        <v>1.5</v>
      </c>
      <c r="Q1639" s="6" t="n">
        <v>302883</v>
      </c>
      <c r="R1639" s="6" t="n">
        <v>25557032</v>
      </c>
      <c r="S1639" s="11" t="s">
        <v>238</v>
      </c>
      <c r="T1639" s="11" t="s">
        <v>239</v>
      </c>
      <c r="U1639" s="5" t="s">
        <v>240</v>
      </c>
      <c r="V1639" s="11" t="s">
        <v>324</v>
      </c>
      <c r="W1639" s="5" t="s">
        <v>205</v>
      </c>
      <c r="X1639" s="5" t="s">
        <v>255</v>
      </c>
      <c r="Y1639" s="5"/>
      <c r="Z1639" s="5"/>
      <c r="AA1639" s="11" t="s">
        <v>172</v>
      </c>
      <c r="AB1639" s="5" t="s">
        <v>245</v>
      </c>
      <c r="AC1639" s="5"/>
      <c r="AD1639" s="11" t="s">
        <v>4044</v>
      </c>
      <c r="AE1639" s="23" t="n">
        <v>0.35</v>
      </c>
      <c r="AF1639" s="23" t="n">
        <v>0</v>
      </c>
      <c r="AG1639" s="23" t="n">
        <v>1</v>
      </c>
      <c r="AH1639" s="23" t="n">
        <v>1</v>
      </c>
      <c r="AI1639" s="23" t="n">
        <v>1</v>
      </c>
      <c r="AJ1639" s="23" t="n">
        <v>0.3088</v>
      </c>
      <c r="AK1639" s="23" t="n">
        <v>0.5</v>
      </c>
      <c r="AL1639" s="23" t="n">
        <v>0.3</v>
      </c>
      <c r="AM1639" s="16" t="n">
        <f aca="false">COUNTIFS($D$2:$D$2501,D1639,$G$2:$G$2501,"&gt;"&amp;G1639)+COUNTIFS($D$2:D1639,D1639,$G$2:G1639,G1639)</f>
        <v>148</v>
      </c>
      <c r="AN1639" s="5" t="str">
        <f aca="false">D1639&amp;"|"&amp;AM1639</f>
        <v>文件與影像辨識|148</v>
      </c>
    </row>
    <row r="1640" customFormat="false" ht="17.15" hidden="false" customHeight="false" outlineLevel="0" collapsed="false">
      <c r="A1640" s="16" t="n">
        <f aca="false">RANK(G1640,$G$2:$G$2501)+COUNTIF($G$2:G1640,G1640)-1</f>
        <v>1639</v>
      </c>
      <c r="B1640" s="11" t="s">
        <v>4045</v>
      </c>
      <c r="C1640" s="11" t="s">
        <v>4046</v>
      </c>
      <c r="D1640" s="5" t="s">
        <v>78</v>
      </c>
      <c r="E1640" s="5" t="s">
        <v>79</v>
      </c>
      <c r="F1640" s="5"/>
      <c r="G1640" s="22" t="n">
        <f aca="false">ROUND(SUM(I1640:P1640),3)</f>
        <v>57.558</v>
      </c>
      <c r="H1640" s="5" t="str">
        <f aca="false">IF(G1640&gt;=評分方法!$C$16,"優先評估",IF(G1640&gt;=評分方法!$C$17,"列入候選",IF(G1640&gt;=評分方法!$C$18,"特定情境","不建議")))</f>
        <v>不建議</v>
      </c>
      <c r="I1640" s="15" t="n">
        <f aca="false">AE1640*評分方法!$C$5</f>
        <v>9</v>
      </c>
      <c r="J1640" s="15" t="n">
        <f aca="false">AF1640*評分方法!$C$6</f>
        <v>0</v>
      </c>
      <c r="K1640" s="15" t="n">
        <f aca="false">AG1640*評分方法!$C$7</f>
        <v>4.95</v>
      </c>
      <c r="L1640" s="15" t="n">
        <f aca="false">AH1640*評分方法!$C$8</f>
        <v>15</v>
      </c>
      <c r="M1640" s="15" t="n">
        <f aca="false">AI1640*評分方法!$C$9</f>
        <v>10</v>
      </c>
      <c r="N1640" s="15" t="n">
        <f aca="false">AJ1640*評分方法!$C$10</f>
        <v>8.608</v>
      </c>
      <c r="O1640" s="15" t="n">
        <f aca="false">AK1640*評分方法!$C$11</f>
        <v>5</v>
      </c>
      <c r="P1640" s="15" t="n">
        <f aca="false">AL1640*評分方法!$C$12</f>
        <v>5</v>
      </c>
      <c r="Q1640" s="6" t="n">
        <v>2533043</v>
      </c>
      <c r="R1640" s="6" t="n">
        <v>627052166</v>
      </c>
      <c r="S1640" s="11" t="s">
        <v>238</v>
      </c>
      <c r="T1640" s="11" t="s">
        <v>1636</v>
      </c>
      <c r="U1640" s="5" t="s">
        <v>240</v>
      </c>
      <c r="V1640" s="11" t="s">
        <v>333</v>
      </c>
      <c r="W1640" s="5" t="s">
        <v>334</v>
      </c>
      <c r="X1640" s="5" t="s">
        <v>284</v>
      </c>
      <c r="Y1640" s="11" t="s">
        <v>3150</v>
      </c>
      <c r="Z1640" s="11" t="s">
        <v>244</v>
      </c>
      <c r="AA1640" s="11" t="s">
        <v>175</v>
      </c>
      <c r="AB1640" s="5" t="s">
        <v>245</v>
      </c>
      <c r="AC1640" s="5" t="s">
        <v>246</v>
      </c>
      <c r="AD1640" s="11" t="s">
        <v>4047</v>
      </c>
      <c r="AE1640" s="23" t="n">
        <v>0.3</v>
      </c>
      <c r="AF1640" s="23" t="n">
        <v>0</v>
      </c>
      <c r="AG1640" s="23" t="n">
        <v>0.33</v>
      </c>
      <c r="AH1640" s="23" t="n">
        <v>1</v>
      </c>
      <c r="AI1640" s="23" t="n">
        <v>1</v>
      </c>
      <c r="AJ1640" s="23" t="n">
        <v>0.8608</v>
      </c>
      <c r="AK1640" s="23" t="n">
        <v>1</v>
      </c>
      <c r="AL1640" s="23" t="n">
        <v>1</v>
      </c>
      <c r="AM1640" s="16" t="n">
        <f aca="false">COUNTIFS($D$2:$D$2501,D1640,$G$2:$G$2501,"&gt;"&amp;G1640)+COUNTIFS($D$2:D1640,D1640,$G$2:G1640,G1640)</f>
        <v>28</v>
      </c>
      <c r="AN1640" s="5" t="str">
        <f aca="false">D1640&amp;"|"&amp;AM1640</f>
        <v>語音分析|28</v>
      </c>
    </row>
    <row r="1641" customFormat="false" ht="17.15" hidden="false" customHeight="false" outlineLevel="0" collapsed="false">
      <c r="A1641" s="16" t="n">
        <f aca="false">RANK(G1641,$G$2:$G$2501)+COUNTIF($G$2:G1641,G1641)-1</f>
        <v>1640</v>
      </c>
      <c r="B1641" s="11" t="s">
        <v>4048</v>
      </c>
      <c r="C1641" s="11" t="s">
        <v>368</v>
      </c>
      <c r="D1641" s="5" t="s">
        <v>74</v>
      </c>
      <c r="E1641" s="5" t="s">
        <v>75</v>
      </c>
      <c r="F1641" s="5"/>
      <c r="G1641" s="22" t="n">
        <f aca="false">ROUND(SUM(I1641:P1641),3)</f>
        <v>57.544</v>
      </c>
      <c r="H1641" s="5" t="str">
        <f aca="false">IF(G1641&gt;=評分方法!$C$16,"優先評估",IF(G1641&gt;=評分方法!$C$17,"列入候選",IF(G1641&gt;=評分方法!$C$18,"特定情境","不建議")))</f>
        <v>不建議</v>
      </c>
      <c r="I1641" s="15" t="n">
        <f aca="false">AE1641*評分方法!$C$5</f>
        <v>12</v>
      </c>
      <c r="J1641" s="15" t="n">
        <f aca="false">AF1641*評分方法!$C$6</f>
        <v>0</v>
      </c>
      <c r="K1641" s="15" t="n">
        <f aca="false">AG1641*評分方法!$C$7</f>
        <v>15</v>
      </c>
      <c r="L1641" s="15" t="n">
        <f aca="false">AH1641*評分方法!$C$8</f>
        <v>15</v>
      </c>
      <c r="M1641" s="15" t="n">
        <f aca="false">AI1641*評分方法!$C$9</f>
        <v>10</v>
      </c>
      <c r="N1641" s="15" t="n">
        <f aca="false">AJ1641*評分方法!$C$10</f>
        <v>3.044</v>
      </c>
      <c r="O1641" s="15" t="n">
        <f aca="false">AK1641*評分方法!$C$11</f>
        <v>1</v>
      </c>
      <c r="P1641" s="15" t="n">
        <f aca="false">AL1641*評分方法!$C$12</f>
        <v>1.5</v>
      </c>
      <c r="Q1641" s="6" t="n">
        <v>298464</v>
      </c>
      <c r="R1641" s="6" t="n">
        <v>652478466</v>
      </c>
      <c r="S1641" s="11" t="s">
        <v>238</v>
      </c>
      <c r="T1641" s="11" t="s">
        <v>239</v>
      </c>
      <c r="U1641" s="5" t="s">
        <v>240</v>
      </c>
      <c r="V1641" s="11" t="s">
        <v>261</v>
      </c>
      <c r="W1641" s="5" t="s">
        <v>205</v>
      </c>
      <c r="X1641" s="5" t="s">
        <v>255</v>
      </c>
      <c r="Y1641" s="5"/>
      <c r="Z1641" s="5"/>
      <c r="AA1641" s="11" t="s">
        <v>167</v>
      </c>
      <c r="AB1641" s="5" t="s">
        <v>245</v>
      </c>
      <c r="AC1641" s="5"/>
      <c r="AD1641" s="11" t="s">
        <v>4049</v>
      </c>
      <c r="AE1641" s="23" t="n">
        <v>0.4</v>
      </c>
      <c r="AF1641" s="23" t="n">
        <v>0</v>
      </c>
      <c r="AG1641" s="23" t="n">
        <v>1</v>
      </c>
      <c r="AH1641" s="23" t="n">
        <v>1</v>
      </c>
      <c r="AI1641" s="23" t="n">
        <v>1</v>
      </c>
      <c r="AJ1641" s="23" t="n">
        <v>0.3044</v>
      </c>
      <c r="AK1641" s="23" t="n">
        <v>0.2</v>
      </c>
      <c r="AL1641" s="23" t="n">
        <v>0.3</v>
      </c>
      <c r="AM1641" s="16" t="n">
        <f aca="false">COUNTIFS($D$2:$D$2501,D1641,$G$2:$G$2501,"&gt;"&amp;G1641)+COUNTIFS($D$2:D1641,D1641,$G$2:G1641,G1641)</f>
        <v>149</v>
      </c>
      <c r="AN1641" s="5" t="str">
        <f aca="false">D1641&amp;"|"&amp;AM1641</f>
        <v>文件與影像辨識|149</v>
      </c>
    </row>
    <row r="1642" customFormat="false" ht="17.15" hidden="false" customHeight="false" outlineLevel="0" collapsed="false">
      <c r="A1642" s="16" t="n">
        <f aca="false">RANK(G1642,$G$2:$G$2501)+COUNTIF($G$2:G1642,G1642)-1</f>
        <v>1641</v>
      </c>
      <c r="B1642" s="11" t="s">
        <v>4050</v>
      </c>
      <c r="C1642" s="11" t="s">
        <v>4051</v>
      </c>
      <c r="D1642" s="5" t="s">
        <v>56</v>
      </c>
      <c r="E1642" s="5" t="s">
        <v>57</v>
      </c>
      <c r="F1642" s="5"/>
      <c r="G1642" s="22" t="n">
        <f aca="false">ROUND(SUM(I1642:P1642),3)</f>
        <v>57.522</v>
      </c>
      <c r="H1642" s="5" t="str">
        <f aca="false">IF(G1642&gt;=評分方法!$C$16,"優先評估",IF(G1642&gt;=評分方法!$C$17,"列入候選",IF(G1642&gt;=評分方法!$C$18,"特定情境","不建議")))</f>
        <v>不建議</v>
      </c>
      <c r="I1642" s="15" t="n">
        <f aca="false">AE1642*評分方法!$C$5</f>
        <v>25.5</v>
      </c>
      <c r="J1642" s="15" t="n">
        <f aca="false">AF1642*評分方法!$C$6</f>
        <v>0</v>
      </c>
      <c r="K1642" s="15" t="n">
        <f aca="false">AG1642*評分方法!$C$7</f>
        <v>4.95</v>
      </c>
      <c r="L1642" s="15" t="n">
        <f aca="false">AH1642*評分方法!$C$8</f>
        <v>9</v>
      </c>
      <c r="M1642" s="15" t="n">
        <f aca="false">AI1642*評分方法!$C$9</f>
        <v>6</v>
      </c>
      <c r="N1642" s="15" t="n">
        <f aca="false">AJ1642*評分方法!$C$10</f>
        <v>3.072</v>
      </c>
      <c r="O1642" s="15" t="n">
        <f aca="false">AK1642*評分方法!$C$11</f>
        <v>4</v>
      </c>
      <c r="P1642" s="15" t="n">
        <f aca="false">AL1642*評分方法!$C$12</f>
        <v>5</v>
      </c>
      <c r="Q1642" s="6" t="n">
        <v>300662</v>
      </c>
      <c r="R1642" s="6" t="n">
        <v>13194203760</v>
      </c>
      <c r="S1642" s="11" t="s">
        <v>389</v>
      </c>
      <c r="T1642" s="11" t="s">
        <v>658</v>
      </c>
      <c r="U1642" s="5" t="s">
        <v>260</v>
      </c>
      <c r="V1642" s="11" t="s">
        <v>261</v>
      </c>
      <c r="W1642" s="5" t="s">
        <v>334</v>
      </c>
      <c r="X1642" s="5" t="s">
        <v>284</v>
      </c>
      <c r="Y1642" s="11" t="s">
        <v>2970</v>
      </c>
      <c r="Z1642" s="11" t="s">
        <v>270</v>
      </c>
      <c r="AA1642" s="11" t="s">
        <v>155</v>
      </c>
      <c r="AB1642" s="5" t="s">
        <v>245</v>
      </c>
      <c r="AC1642" s="5" t="s">
        <v>262</v>
      </c>
      <c r="AD1642" s="11" t="s">
        <v>4052</v>
      </c>
      <c r="AE1642" s="23" t="n">
        <v>0.85</v>
      </c>
      <c r="AF1642" s="23" t="n">
        <v>0</v>
      </c>
      <c r="AG1642" s="23" t="n">
        <v>0.33</v>
      </c>
      <c r="AH1642" s="23" t="n">
        <v>0.6</v>
      </c>
      <c r="AI1642" s="23" t="n">
        <v>0.6</v>
      </c>
      <c r="AJ1642" s="23" t="n">
        <v>0.3072</v>
      </c>
      <c r="AK1642" s="23" t="n">
        <v>0.8</v>
      </c>
      <c r="AL1642" s="23" t="n">
        <v>1</v>
      </c>
      <c r="AM1642" s="16" t="n">
        <f aca="false">COUNTIFS($D$2:$D$2501,D1642,$G$2:$G$2501,"&gt;"&amp;G1642)+COUNTIFS($D$2:D1642,D1642,$G$2:G1642,G1642)</f>
        <v>771</v>
      </c>
      <c r="AN1642" s="5" t="str">
        <f aca="false">D1642&amp;"|"&amp;AM1642</f>
        <v>分析與報告生成|771</v>
      </c>
    </row>
    <row r="1643" customFormat="false" ht="17.15" hidden="false" customHeight="false" outlineLevel="0" collapsed="false">
      <c r="A1643" s="16" t="n">
        <f aca="false">RANK(G1643,$G$2:$G$2501)+COUNTIF($G$2:G1643,G1643)-1</f>
        <v>1642</v>
      </c>
      <c r="B1643" s="11" t="s">
        <v>4053</v>
      </c>
      <c r="C1643" s="11" t="s">
        <v>579</v>
      </c>
      <c r="D1643" s="5" t="s">
        <v>68</v>
      </c>
      <c r="E1643" s="11" t="s">
        <v>69</v>
      </c>
      <c r="F1643" s="5"/>
      <c r="G1643" s="22" t="n">
        <f aca="false">ROUND(SUM(I1643:P1643),3)</f>
        <v>57.52</v>
      </c>
      <c r="H1643" s="5" t="str">
        <f aca="false">IF(G1643&gt;=評分方法!$C$16,"優先評估",IF(G1643&gt;=評分方法!$C$17,"列入候選",IF(G1643&gt;=評分方法!$C$18,"特定情境","不建議")))</f>
        <v>不建議</v>
      </c>
      <c r="I1643" s="15" t="n">
        <f aca="false">AE1643*評分方法!$C$5</f>
        <v>9</v>
      </c>
      <c r="J1643" s="15" t="n">
        <f aca="false">AF1643*評分方法!$C$6</f>
        <v>0</v>
      </c>
      <c r="K1643" s="15" t="n">
        <f aca="false">AG1643*評分方法!$C$7</f>
        <v>15</v>
      </c>
      <c r="L1643" s="15" t="n">
        <f aca="false">AH1643*評分方法!$C$8</f>
        <v>15</v>
      </c>
      <c r="M1643" s="15" t="n">
        <f aca="false">AI1643*評分方法!$C$9</f>
        <v>10</v>
      </c>
      <c r="N1643" s="15" t="n">
        <f aca="false">AJ1643*評分方法!$C$10</f>
        <v>2.02</v>
      </c>
      <c r="O1643" s="15" t="n">
        <f aca="false">AK1643*評分方法!$C$11</f>
        <v>5</v>
      </c>
      <c r="P1643" s="15" t="n">
        <f aca="false">AL1643*評分方法!$C$12</f>
        <v>1.5</v>
      </c>
      <c r="Q1643" s="6" t="n">
        <v>212278</v>
      </c>
      <c r="R1643" s="6" t="n">
        <v>76684776</v>
      </c>
      <c r="S1643" s="11" t="s">
        <v>238</v>
      </c>
      <c r="T1643" s="11" t="s">
        <v>239</v>
      </c>
      <c r="U1643" s="5" t="s">
        <v>240</v>
      </c>
      <c r="V1643" s="11" t="s">
        <v>261</v>
      </c>
      <c r="W1643" s="5" t="s">
        <v>205</v>
      </c>
      <c r="X1643" s="5" t="s">
        <v>255</v>
      </c>
      <c r="Y1643" s="5"/>
      <c r="Z1643" s="5"/>
      <c r="AA1643" s="11" t="s">
        <v>177</v>
      </c>
      <c r="AB1643" s="5" t="s">
        <v>245</v>
      </c>
      <c r="AC1643" s="5"/>
      <c r="AD1643" s="11" t="s">
        <v>4054</v>
      </c>
      <c r="AE1643" s="23" t="n">
        <v>0.3</v>
      </c>
      <c r="AF1643" s="23" t="n">
        <v>0</v>
      </c>
      <c r="AG1643" s="23" t="n">
        <v>1</v>
      </c>
      <c r="AH1643" s="23" t="n">
        <v>1</v>
      </c>
      <c r="AI1643" s="23" t="n">
        <v>1</v>
      </c>
      <c r="AJ1643" s="23" t="n">
        <v>0.202</v>
      </c>
      <c r="AK1643" s="23" t="n">
        <v>1</v>
      </c>
      <c r="AL1643" s="23" t="n">
        <v>0.3</v>
      </c>
      <c r="AM1643" s="16" t="n">
        <f aca="false">COUNTIFS($D$2:$D$2501,D1643,$G$2:$G$2501,"&gt;"&amp;G1643)+COUNTIFS($D$2:D1643,D1643,$G$2:G1643,G1643)</f>
        <v>48</v>
      </c>
      <c r="AN1643" s="5" t="str">
        <f aca="false">D1643&amp;"|"&amp;AM1643</f>
        <v>時序異常偵測|48</v>
      </c>
    </row>
    <row r="1644" customFormat="false" ht="17.15" hidden="false" customHeight="false" outlineLevel="0" collapsed="false">
      <c r="A1644" s="16" t="n">
        <f aca="false">RANK(G1644,$G$2:$G$2501)+COUNTIF($G$2:G1644,G1644)-1</f>
        <v>1643</v>
      </c>
      <c r="B1644" s="11" t="s">
        <v>4055</v>
      </c>
      <c r="C1644" s="11" t="s">
        <v>1374</v>
      </c>
      <c r="D1644" s="5" t="s">
        <v>78</v>
      </c>
      <c r="E1644" s="5" t="s">
        <v>79</v>
      </c>
      <c r="F1644" s="5"/>
      <c r="G1644" s="22" t="n">
        <f aca="false">ROUND(SUM(I1644:P1644),3)</f>
        <v>57.47</v>
      </c>
      <c r="H1644" s="5" t="str">
        <f aca="false">IF(G1644&gt;=評分方法!$C$16,"優先評估",IF(G1644&gt;=評分方法!$C$17,"列入候選",IF(G1644&gt;=評分方法!$C$18,"特定情境","不建議")))</f>
        <v>不建議</v>
      </c>
      <c r="I1644" s="15" t="n">
        <f aca="false">AE1644*評分方法!$C$5</f>
        <v>9</v>
      </c>
      <c r="J1644" s="15" t="n">
        <f aca="false">AF1644*評分方法!$C$6</f>
        <v>0</v>
      </c>
      <c r="K1644" s="15" t="n">
        <f aca="false">AG1644*評分方法!$C$7</f>
        <v>10.05</v>
      </c>
      <c r="L1644" s="15" t="n">
        <f aca="false">AH1644*評分方法!$C$8</f>
        <v>15</v>
      </c>
      <c r="M1644" s="15" t="n">
        <f aca="false">AI1644*評分方法!$C$9</f>
        <v>10</v>
      </c>
      <c r="N1644" s="15" t="n">
        <f aca="false">AJ1644*評分方法!$C$10</f>
        <v>9.42</v>
      </c>
      <c r="O1644" s="15" t="n">
        <f aca="false">AK1644*評分方法!$C$11</f>
        <v>2.5</v>
      </c>
      <c r="P1644" s="15" t="n">
        <f aca="false">AL1644*評分方法!$C$12</f>
        <v>1.5</v>
      </c>
      <c r="Q1644" s="6" t="n">
        <v>7434183</v>
      </c>
      <c r="R1644" s="6" t="n">
        <v>617869958</v>
      </c>
      <c r="S1644" s="11" t="s">
        <v>238</v>
      </c>
      <c r="T1644" s="11" t="s">
        <v>1636</v>
      </c>
      <c r="U1644" s="5" t="s">
        <v>240</v>
      </c>
      <c r="V1644" s="11" t="s">
        <v>261</v>
      </c>
      <c r="W1644" s="5" t="s">
        <v>207</v>
      </c>
      <c r="X1644" s="5" t="s">
        <v>255</v>
      </c>
      <c r="Y1644" s="11" t="s">
        <v>4056</v>
      </c>
      <c r="Z1644" s="11" t="s">
        <v>270</v>
      </c>
      <c r="AA1644" s="11" t="s">
        <v>175</v>
      </c>
      <c r="AB1644" s="5" t="s">
        <v>245</v>
      </c>
      <c r="AC1644" s="5"/>
      <c r="AD1644" s="11" t="s">
        <v>4057</v>
      </c>
      <c r="AE1644" s="23" t="n">
        <v>0.3</v>
      </c>
      <c r="AF1644" s="23" t="n">
        <v>0</v>
      </c>
      <c r="AG1644" s="23" t="n">
        <v>0.67</v>
      </c>
      <c r="AH1644" s="23" t="n">
        <v>1</v>
      </c>
      <c r="AI1644" s="23" t="n">
        <v>1</v>
      </c>
      <c r="AJ1644" s="23" t="n">
        <v>0.942</v>
      </c>
      <c r="AK1644" s="23" t="n">
        <v>0.5</v>
      </c>
      <c r="AL1644" s="23" t="n">
        <v>0.3</v>
      </c>
      <c r="AM1644" s="16" t="n">
        <f aca="false">COUNTIFS($D$2:$D$2501,D1644,$G$2:$G$2501,"&gt;"&amp;G1644)+COUNTIFS($D$2:D1644,D1644,$G$2:G1644,G1644)</f>
        <v>29</v>
      </c>
      <c r="AN1644" s="5" t="str">
        <f aca="false">D1644&amp;"|"&amp;AM1644</f>
        <v>語音分析|29</v>
      </c>
    </row>
    <row r="1645" customFormat="false" ht="17.15" hidden="false" customHeight="false" outlineLevel="0" collapsed="false">
      <c r="A1645" s="16" t="n">
        <f aca="false">RANK(G1645,$G$2:$G$2501)+COUNTIF($G$2:G1645,G1645)-1</f>
        <v>1644</v>
      </c>
      <c r="B1645" s="11" t="s">
        <v>4058</v>
      </c>
      <c r="C1645" s="11" t="s">
        <v>4059</v>
      </c>
      <c r="D1645" s="5" t="s">
        <v>56</v>
      </c>
      <c r="E1645" s="5" t="s">
        <v>57</v>
      </c>
      <c r="F1645" s="5"/>
      <c r="G1645" s="22" t="n">
        <f aca="false">ROUND(SUM(I1645:P1645),3)</f>
        <v>57.468</v>
      </c>
      <c r="H1645" s="5" t="str">
        <f aca="false">IF(G1645&gt;=評分方法!$C$16,"優先評估",IF(G1645&gt;=評分方法!$C$17,"列入候選",IF(G1645&gt;=評分方法!$C$18,"特定情境","不建議")))</f>
        <v>不建議</v>
      </c>
      <c r="I1645" s="15" t="n">
        <f aca="false">AE1645*評分方法!$C$5</f>
        <v>25.5</v>
      </c>
      <c r="J1645" s="15" t="n">
        <f aca="false">AF1645*評分方法!$C$6</f>
        <v>0</v>
      </c>
      <c r="K1645" s="15" t="n">
        <f aca="false">AG1645*評分方法!$C$7</f>
        <v>4.95</v>
      </c>
      <c r="L1645" s="15" t="n">
        <f aca="false">AH1645*評分方法!$C$8</f>
        <v>13.05</v>
      </c>
      <c r="M1645" s="15" t="n">
        <f aca="false">AI1645*評分方法!$C$9</f>
        <v>2</v>
      </c>
      <c r="N1645" s="15" t="n">
        <f aca="false">AJ1645*評分方法!$C$10</f>
        <v>6.468</v>
      </c>
      <c r="O1645" s="15" t="n">
        <f aca="false">AK1645*評分方法!$C$11</f>
        <v>2.5</v>
      </c>
      <c r="P1645" s="15" t="n">
        <f aca="false">AL1645*評分方法!$C$12</f>
        <v>3</v>
      </c>
      <c r="Q1645" s="6" t="n">
        <v>742047</v>
      </c>
      <c r="R1645" s="6" t="n">
        <v>8479990848</v>
      </c>
      <c r="S1645" s="11" t="s">
        <v>254</v>
      </c>
      <c r="T1645" s="5"/>
      <c r="U1645" s="5" t="s">
        <v>375</v>
      </c>
      <c r="V1645" s="11" t="s">
        <v>261</v>
      </c>
      <c r="W1645" s="5" t="s">
        <v>334</v>
      </c>
      <c r="X1645" s="5" t="s">
        <v>371</v>
      </c>
      <c r="Y1645" s="11" t="s">
        <v>3010</v>
      </c>
      <c r="Z1645" s="11" t="s">
        <v>270</v>
      </c>
      <c r="AA1645" s="11" t="s">
        <v>156</v>
      </c>
      <c r="AB1645" s="5" t="s">
        <v>245</v>
      </c>
      <c r="AC1645" s="5" t="s">
        <v>262</v>
      </c>
      <c r="AD1645" s="11" t="s">
        <v>4060</v>
      </c>
      <c r="AE1645" s="23" t="n">
        <v>0.85</v>
      </c>
      <c r="AF1645" s="23" t="n">
        <v>0</v>
      </c>
      <c r="AG1645" s="23" t="n">
        <v>0.33</v>
      </c>
      <c r="AH1645" s="23" t="n">
        <v>0.87</v>
      </c>
      <c r="AI1645" s="23" t="n">
        <v>0.2</v>
      </c>
      <c r="AJ1645" s="23" t="n">
        <v>0.6468</v>
      </c>
      <c r="AK1645" s="23" t="n">
        <v>0.5</v>
      </c>
      <c r="AL1645" s="23" t="n">
        <v>0.6</v>
      </c>
      <c r="AM1645" s="16" t="n">
        <f aca="false">COUNTIFS($D$2:$D$2501,D1645,$G$2:$G$2501,"&gt;"&amp;G1645)+COUNTIFS($D$2:D1645,D1645,$G$2:G1645,G1645)</f>
        <v>772</v>
      </c>
      <c r="AN1645" s="5" t="str">
        <f aca="false">D1645&amp;"|"&amp;AM1645</f>
        <v>分析與報告生成|772</v>
      </c>
    </row>
    <row r="1646" customFormat="false" ht="17.15" hidden="false" customHeight="false" outlineLevel="0" collapsed="false">
      <c r="A1646" s="16" t="n">
        <f aca="false">RANK(G1646,$G$2:$G$2501)+COUNTIF($G$2:G1646,G1646)-1</f>
        <v>1645</v>
      </c>
      <c r="B1646" s="11" t="s">
        <v>4061</v>
      </c>
      <c r="C1646" s="11" t="s">
        <v>3761</v>
      </c>
      <c r="D1646" s="5" t="s">
        <v>56</v>
      </c>
      <c r="E1646" s="5" t="s">
        <v>57</v>
      </c>
      <c r="F1646" s="5"/>
      <c r="G1646" s="22" t="n">
        <f aca="false">ROUND(SUM(I1646:P1646),3)</f>
        <v>57.454</v>
      </c>
      <c r="H1646" s="5" t="str">
        <f aca="false">IF(G1646&gt;=評分方法!$C$16,"優先評估",IF(G1646&gt;=評分方法!$C$17,"列入候選",IF(G1646&gt;=評分方法!$C$18,"特定情境","不建議")))</f>
        <v>不建議</v>
      </c>
      <c r="I1646" s="15" t="n">
        <f aca="false">AE1646*評分方法!$C$5</f>
        <v>25.5</v>
      </c>
      <c r="J1646" s="15" t="n">
        <f aca="false">AF1646*評分方法!$C$6</f>
        <v>0</v>
      </c>
      <c r="K1646" s="15" t="n">
        <f aca="false">AG1646*評分方法!$C$7</f>
        <v>4.95</v>
      </c>
      <c r="L1646" s="15" t="n">
        <f aca="false">AH1646*評分方法!$C$8</f>
        <v>9</v>
      </c>
      <c r="M1646" s="15" t="n">
        <f aca="false">AI1646*評分方法!$C$9</f>
        <v>10</v>
      </c>
      <c r="N1646" s="15" t="n">
        <f aca="false">AJ1646*評分方法!$C$10</f>
        <v>3.004</v>
      </c>
      <c r="O1646" s="15" t="n">
        <f aca="false">AK1646*評分方法!$C$11</f>
        <v>5</v>
      </c>
      <c r="P1646" s="15" t="n">
        <f aca="false">AL1646*評分方法!$C$12</f>
        <v>0</v>
      </c>
      <c r="Q1646" s="6" t="n">
        <v>295384</v>
      </c>
      <c r="R1646" s="6" t="n">
        <v>12149923072</v>
      </c>
      <c r="S1646" s="11" t="s">
        <v>389</v>
      </c>
      <c r="T1646" s="11" t="s">
        <v>239</v>
      </c>
      <c r="U1646" s="5" t="s">
        <v>240</v>
      </c>
      <c r="V1646" s="11" t="s">
        <v>333</v>
      </c>
      <c r="W1646" s="5" t="s">
        <v>334</v>
      </c>
      <c r="X1646" s="5" t="s">
        <v>242</v>
      </c>
      <c r="Y1646" s="11" t="s">
        <v>3762</v>
      </c>
      <c r="Z1646" s="11" t="s">
        <v>244</v>
      </c>
      <c r="AA1646" s="11" t="s">
        <v>155</v>
      </c>
      <c r="AB1646" s="5" t="s">
        <v>245</v>
      </c>
      <c r="AC1646" s="5" t="s">
        <v>246</v>
      </c>
      <c r="AD1646" s="11" t="s">
        <v>4062</v>
      </c>
      <c r="AE1646" s="23" t="n">
        <v>0.85</v>
      </c>
      <c r="AF1646" s="23" t="n">
        <v>0</v>
      </c>
      <c r="AG1646" s="23" t="n">
        <v>0.33</v>
      </c>
      <c r="AH1646" s="23" t="n">
        <v>0.6</v>
      </c>
      <c r="AI1646" s="23" t="n">
        <v>1</v>
      </c>
      <c r="AJ1646" s="23" t="n">
        <v>0.3004</v>
      </c>
      <c r="AK1646" s="23" t="n">
        <v>1</v>
      </c>
      <c r="AL1646" s="23" t="n">
        <v>0</v>
      </c>
      <c r="AM1646" s="16" t="n">
        <f aca="false">COUNTIFS($D$2:$D$2501,D1646,$G$2:$G$2501,"&gt;"&amp;G1646)+COUNTIFS($D$2:D1646,D1646,$G$2:G1646,G1646)</f>
        <v>773</v>
      </c>
      <c r="AN1646" s="5" t="str">
        <f aca="false">D1646&amp;"|"&amp;AM1646</f>
        <v>分析與報告生成|773</v>
      </c>
    </row>
    <row r="1647" customFormat="false" ht="17.15" hidden="false" customHeight="false" outlineLevel="0" collapsed="false">
      <c r="A1647" s="16" t="n">
        <f aca="false">RANK(G1647,$G$2:$G$2501)+COUNTIF($G$2:G1647,G1647)-1</f>
        <v>1646</v>
      </c>
      <c r="B1647" s="11" t="s">
        <v>4063</v>
      </c>
      <c r="C1647" s="11" t="s">
        <v>2910</v>
      </c>
      <c r="D1647" s="5" t="s">
        <v>74</v>
      </c>
      <c r="E1647" s="5" t="s">
        <v>75</v>
      </c>
      <c r="F1647" s="5"/>
      <c r="G1647" s="22" t="n">
        <f aca="false">ROUND(SUM(I1647:P1647),3)</f>
        <v>57.454</v>
      </c>
      <c r="H1647" s="5" t="str">
        <f aca="false">IF(G1647&gt;=評分方法!$C$16,"優先評估",IF(G1647&gt;=評分方法!$C$17,"列入候選",IF(G1647&gt;=評分方法!$C$18,"特定情境","不建議")))</f>
        <v>不建議</v>
      </c>
      <c r="I1647" s="15" t="n">
        <f aca="false">AE1647*評分方法!$C$5</f>
        <v>10.5</v>
      </c>
      <c r="J1647" s="15" t="n">
        <f aca="false">AF1647*評分方法!$C$6</f>
        <v>0</v>
      </c>
      <c r="K1647" s="15" t="n">
        <f aca="false">AG1647*評分方法!$C$7</f>
        <v>10.05</v>
      </c>
      <c r="L1647" s="15" t="n">
        <f aca="false">AH1647*評分方法!$C$8</f>
        <v>15</v>
      </c>
      <c r="M1647" s="15" t="n">
        <f aca="false">AI1647*評分方法!$C$9</f>
        <v>10</v>
      </c>
      <c r="N1647" s="15" t="n">
        <f aca="false">AJ1647*評分方法!$C$10</f>
        <v>9.404</v>
      </c>
      <c r="O1647" s="15" t="n">
        <f aca="false">AK1647*評分方法!$C$11</f>
        <v>2.5</v>
      </c>
      <c r="P1647" s="15" t="n">
        <f aca="false">AL1647*評分方法!$C$12</f>
        <v>0</v>
      </c>
      <c r="Q1647" s="6" t="n">
        <v>7272524</v>
      </c>
      <c r="R1647" s="6" t="n">
        <v>92885762</v>
      </c>
      <c r="S1647" s="11" t="s">
        <v>238</v>
      </c>
      <c r="T1647" s="11" t="s">
        <v>239</v>
      </c>
      <c r="U1647" s="5" t="s">
        <v>240</v>
      </c>
      <c r="V1647" s="11" t="s">
        <v>261</v>
      </c>
      <c r="W1647" s="5" t="s">
        <v>207</v>
      </c>
      <c r="X1647" s="5" t="s">
        <v>242</v>
      </c>
      <c r="Y1647" s="11" t="s">
        <v>2499</v>
      </c>
      <c r="Z1647" s="11" t="s">
        <v>270</v>
      </c>
      <c r="AA1647" s="11" t="s">
        <v>172</v>
      </c>
      <c r="AB1647" s="5" t="s">
        <v>245</v>
      </c>
      <c r="AC1647" s="5"/>
      <c r="AD1647" s="11" t="s">
        <v>4064</v>
      </c>
      <c r="AE1647" s="23" t="n">
        <v>0.35</v>
      </c>
      <c r="AF1647" s="23" t="n">
        <v>0</v>
      </c>
      <c r="AG1647" s="23" t="n">
        <v>0.67</v>
      </c>
      <c r="AH1647" s="23" t="n">
        <v>1</v>
      </c>
      <c r="AI1647" s="23" t="n">
        <v>1</v>
      </c>
      <c r="AJ1647" s="23" t="n">
        <v>0.9404</v>
      </c>
      <c r="AK1647" s="23" t="n">
        <v>0.5</v>
      </c>
      <c r="AL1647" s="23" t="n">
        <v>0</v>
      </c>
      <c r="AM1647" s="16" t="n">
        <f aca="false">COUNTIFS($D$2:$D$2501,D1647,$G$2:$G$2501,"&gt;"&amp;G1647)+COUNTIFS($D$2:D1647,D1647,$G$2:G1647,G1647)</f>
        <v>150</v>
      </c>
      <c r="AN1647" s="5" t="str">
        <f aca="false">D1647&amp;"|"&amp;AM1647</f>
        <v>文件與影像辨識|150</v>
      </c>
    </row>
    <row r="1648" customFormat="false" ht="17.15" hidden="false" customHeight="false" outlineLevel="0" collapsed="false">
      <c r="A1648" s="16" t="n">
        <f aca="false">RANK(G1648,$G$2:$G$2501)+COUNTIF($G$2:G1648,G1648)-1</f>
        <v>1647</v>
      </c>
      <c r="B1648" s="11" t="s">
        <v>4065</v>
      </c>
      <c r="C1648" s="11" t="s">
        <v>368</v>
      </c>
      <c r="D1648" s="5" t="s">
        <v>74</v>
      </c>
      <c r="E1648" s="5" t="s">
        <v>75</v>
      </c>
      <c r="F1648" s="5"/>
      <c r="G1648" s="22" t="n">
        <f aca="false">ROUND(SUM(I1648:P1648),3)</f>
        <v>57.448</v>
      </c>
      <c r="H1648" s="5" t="str">
        <f aca="false">IF(G1648&gt;=評分方法!$C$16,"優先評估",IF(G1648&gt;=評分方法!$C$17,"列入候選",IF(G1648&gt;=評分方法!$C$18,"特定情境","不建議")))</f>
        <v>不建議</v>
      </c>
      <c r="I1648" s="15" t="n">
        <f aca="false">AE1648*評分方法!$C$5</f>
        <v>10.5</v>
      </c>
      <c r="J1648" s="15" t="n">
        <f aca="false">AF1648*評分方法!$C$6</f>
        <v>0</v>
      </c>
      <c r="K1648" s="15" t="n">
        <f aca="false">AG1648*評分方法!$C$7</f>
        <v>15</v>
      </c>
      <c r="L1648" s="15" t="n">
        <f aca="false">AH1648*評分方法!$C$8</f>
        <v>15</v>
      </c>
      <c r="M1648" s="15" t="n">
        <f aca="false">AI1648*評分方法!$C$9</f>
        <v>10</v>
      </c>
      <c r="N1648" s="15" t="n">
        <f aca="false">AJ1648*評分方法!$C$10</f>
        <v>4.448</v>
      </c>
      <c r="O1648" s="15" t="n">
        <f aca="false">AK1648*評分方法!$C$11</f>
        <v>1</v>
      </c>
      <c r="P1648" s="15" t="n">
        <f aca="false">AL1648*評分方法!$C$12</f>
        <v>1.5</v>
      </c>
      <c r="Q1648" s="6" t="n">
        <v>483532</v>
      </c>
      <c r="R1648" s="6" t="n">
        <v>304351232</v>
      </c>
      <c r="S1648" s="11" t="s">
        <v>238</v>
      </c>
      <c r="T1648" s="11" t="s">
        <v>239</v>
      </c>
      <c r="U1648" s="5" t="s">
        <v>240</v>
      </c>
      <c r="V1648" s="11" t="s">
        <v>279</v>
      </c>
      <c r="W1648" s="5" t="s">
        <v>205</v>
      </c>
      <c r="X1648" s="5" t="s">
        <v>255</v>
      </c>
      <c r="Y1648" s="5"/>
      <c r="Z1648" s="5"/>
      <c r="AA1648" s="11" t="s">
        <v>173</v>
      </c>
      <c r="AB1648" s="5" t="s">
        <v>245</v>
      </c>
      <c r="AC1648" s="5"/>
      <c r="AD1648" s="11" t="s">
        <v>4066</v>
      </c>
      <c r="AE1648" s="23" t="n">
        <v>0.35</v>
      </c>
      <c r="AF1648" s="23" t="n">
        <v>0</v>
      </c>
      <c r="AG1648" s="23" t="n">
        <v>1</v>
      </c>
      <c r="AH1648" s="23" t="n">
        <v>1</v>
      </c>
      <c r="AI1648" s="23" t="n">
        <v>1</v>
      </c>
      <c r="AJ1648" s="23" t="n">
        <v>0.4448</v>
      </c>
      <c r="AK1648" s="23" t="n">
        <v>0.2</v>
      </c>
      <c r="AL1648" s="23" t="n">
        <v>0.3</v>
      </c>
      <c r="AM1648" s="16" t="n">
        <f aca="false">COUNTIFS($D$2:$D$2501,D1648,$G$2:$G$2501,"&gt;"&amp;G1648)+COUNTIFS($D$2:D1648,D1648,$G$2:G1648,G1648)</f>
        <v>151</v>
      </c>
      <c r="AN1648" s="5" t="str">
        <f aca="false">D1648&amp;"|"&amp;AM1648</f>
        <v>文件與影像辨識|151</v>
      </c>
    </row>
    <row r="1649" customFormat="false" ht="17.15" hidden="false" customHeight="false" outlineLevel="0" collapsed="false">
      <c r="A1649" s="16" t="n">
        <f aca="false">RANK(G1649,$G$2:$G$2501)+COUNTIF($G$2:G1649,G1649)-1</f>
        <v>1648</v>
      </c>
      <c r="B1649" s="11" t="s">
        <v>4067</v>
      </c>
      <c r="C1649" s="11" t="s">
        <v>4046</v>
      </c>
      <c r="D1649" s="5" t="s">
        <v>78</v>
      </c>
      <c r="E1649" s="5" t="s">
        <v>79</v>
      </c>
      <c r="F1649" s="5"/>
      <c r="G1649" s="22" t="n">
        <f aca="false">ROUND(SUM(I1649:P1649),3)</f>
        <v>57.446</v>
      </c>
      <c r="H1649" s="5" t="str">
        <f aca="false">IF(G1649&gt;=評分方法!$C$16,"優先評估",IF(G1649&gt;=評分方法!$C$17,"列入候選",IF(G1649&gt;=評分方法!$C$18,"特定情境","不建議")))</f>
        <v>不建議</v>
      </c>
      <c r="I1649" s="15" t="n">
        <f aca="false">AE1649*評分方法!$C$5</f>
        <v>9</v>
      </c>
      <c r="J1649" s="15" t="n">
        <f aca="false">AF1649*評分方法!$C$6</f>
        <v>0</v>
      </c>
      <c r="K1649" s="15" t="n">
        <f aca="false">AG1649*評分方法!$C$7</f>
        <v>4.95</v>
      </c>
      <c r="L1649" s="15" t="n">
        <f aca="false">AH1649*評分方法!$C$8</f>
        <v>15</v>
      </c>
      <c r="M1649" s="15" t="n">
        <f aca="false">AI1649*評分方法!$C$9</f>
        <v>10</v>
      </c>
      <c r="N1649" s="15" t="n">
        <f aca="false">AJ1649*評分方法!$C$10</f>
        <v>8.496</v>
      </c>
      <c r="O1649" s="15" t="n">
        <f aca="false">AK1649*評分方法!$C$11</f>
        <v>5</v>
      </c>
      <c r="P1649" s="15" t="n">
        <f aca="false">AL1649*評分方法!$C$12</f>
        <v>5</v>
      </c>
      <c r="Q1649" s="6" t="n">
        <v>2222664</v>
      </c>
      <c r="R1649" s="6" t="n">
        <v>763874400</v>
      </c>
      <c r="S1649" s="11" t="s">
        <v>238</v>
      </c>
      <c r="T1649" s="11" t="s">
        <v>239</v>
      </c>
      <c r="U1649" s="5" t="s">
        <v>240</v>
      </c>
      <c r="V1649" s="11" t="s">
        <v>333</v>
      </c>
      <c r="W1649" s="5" t="s">
        <v>334</v>
      </c>
      <c r="X1649" s="5" t="s">
        <v>284</v>
      </c>
      <c r="Y1649" s="11" t="s">
        <v>2900</v>
      </c>
      <c r="Z1649" s="11" t="s">
        <v>244</v>
      </c>
      <c r="AA1649" s="11" t="s">
        <v>175</v>
      </c>
      <c r="AB1649" s="5" t="s">
        <v>245</v>
      </c>
      <c r="AC1649" s="5" t="s">
        <v>246</v>
      </c>
      <c r="AD1649" s="11" t="s">
        <v>4068</v>
      </c>
      <c r="AE1649" s="23" t="n">
        <v>0.3</v>
      </c>
      <c r="AF1649" s="23" t="n">
        <v>0</v>
      </c>
      <c r="AG1649" s="23" t="n">
        <v>0.33</v>
      </c>
      <c r="AH1649" s="23" t="n">
        <v>1</v>
      </c>
      <c r="AI1649" s="23" t="n">
        <v>1</v>
      </c>
      <c r="AJ1649" s="23" t="n">
        <v>0.8496</v>
      </c>
      <c r="AK1649" s="23" t="n">
        <v>1</v>
      </c>
      <c r="AL1649" s="23" t="n">
        <v>1</v>
      </c>
      <c r="AM1649" s="16" t="n">
        <f aca="false">COUNTIFS($D$2:$D$2501,D1649,$G$2:$G$2501,"&gt;"&amp;G1649)+COUNTIFS($D$2:D1649,D1649,$G$2:G1649,G1649)</f>
        <v>30</v>
      </c>
      <c r="AN1649" s="5" t="str">
        <f aca="false">D1649&amp;"|"&amp;AM1649</f>
        <v>語音分析|30</v>
      </c>
    </row>
    <row r="1650" customFormat="false" ht="17.15" hidden="false" customHeight="false" outlineLevel="0" collapsed="false">
      <c r="A1650" s="16" t="n">
        <f aca="false">RANK(G1650,$G$2:$G$2501)+COUNTIF($G$2:G1650,G1650)-1</f>
        <v>1649</v>
      </c>
      <c r="B1650" s="11" t="s">
        <v>4069</v>
      </c>
      <c r="C1650" s="11" t="s">
        <v>1438</v>
      </c>
      <c r="D1650" s="5" t="s">
        <v>56</v>
      </c>
      <c r="E1650" s="5" t="s">
        <v>57</v>
      </c>
      <c r="F1650" s="5"/>
      <c r="G1650" s="22" t="n">
        <f aca="false">ROUND(SUM(I1650:P1650),3)</f>
        <v>57.402</v>
      </c>
      <c r="H1650" s="5" t="str">
        <f aca="false">IF(G1650&gt;=評分方法!$C$16,"優先評估",IF(G1650&gt;=評分方法!$C$17,"列入候選",IF(G1650&gt;=評分方法!$C$18,"特定情境","不建議")))</f>
        <v>不建議</v>
      </c>
      <c r="I1650" s="15" t="n">
        <f aca="false">AE1650*評分方法!$C$5</f>
        <v>25.5</v>
      </c>
      <c r="J1650" s="15" t="n">
        <f aca="false">AF1650*評分方法!$C$6</f>
        <v>0</v>
      </c>
      <c r="K1650" s="15" t="n">
        <f aca="false">AG1650*評分方法!$C$7</f>
        <v>10.05</v>
      </c>
      <c r="L1650" s="15" t="n">
        <f aca="false">AH1650*評分方法!$C$8</f>
        <v>9</v>
      </c>
      <c r="M1650" s="15" t="n">
        <f aca="false">AI1650*評分方法!$C$9</f>
        <v>2</v>
      </c>
      <c r="N1650" s="15" t="n">
        <f aca="false">AJ1650*評分方法!$C$10</f>
        <v>3.852</v>
      </c>
      <c r="O1650" s="15" t="n">
        <f aca="false">AK1650*評分方法!$C$11</f>
        <v>4</v>
      </c>
      <c r="P1650" s="15" t="n">
        <f aca="false">AL1650*評分方法!$C$12</f>
        <v>3</v>
      </c>
      <c r="Q1650" s="6" t="n">
        <v>398645</v>
      </c>
      <c r="R1650" s="6" t="n">
        <v>20914757184</v>
      </c>
      <c r="S1650" s="11" t="s">
        <v>389</v>
      </c>
      <c r="T1650" s="5"/>
      <c r="U1650" s="5" t="s">
        <v>375</v>
      </c>
      <c r="V1650" s="11" t="s">
        <v>333</v>
      </c>
      <c r="W1650" s="5" t="s">
        <v>207</v>
      </c>
      <c r="X1650" s="5" t="s">
        <v>371</v>
      </c>
      <c r="Y1650" s="11" t="s">
        <v>4070</v>
      </c>
      <c r="Z1650" s="11" t="s">
        <v>244</v>
      </c>
      <c r="AA1650" s="11" t="s">
        <v>155</v>
      </c>
      <c r="AB1650" s="5" t="s">
        <v>245</v>
      </c>
      <c r="AC1650" s="5" t="s">
        <v>464</v>
      </c>
      <c r="AD1650" s="11" t="s">
        <v>4071</v>
      </c>
      <c r="AE1650" s="23" t="n">
        <v>0.85</v>
      </c>
      <c r="AF1650" s="23" t="n">
        <v>0</v>
      </c>
      <c r="AG1650" s="23" t="n">
        <v>0.67</v>
      </c>
      <c r="AH1650" s="23" t="n">
        <v>0.6</v>
      </c>
      <c r="AI1650" s="23" t="n">
        <v>0.2</v>
      </c>
      <c r="AJ1650" s="23" t="n">
        <v>0.3852</v>
      </c>
      <c r="AK1650" s="23" t="n">
        <v>0.8</v>
      </c>
      <c r="AL1650" s="23" t="n">
        <v>0.6</v>
      </c>
      <c r="AM1650" s="16" t="n">
        <f aca="false">COUNTIFS($D$2:$D$2501,D1650,$G$2:$G$2501,"&gt;"&amp;G1650)+COUNTIFS($D$2:D1650,D1650,$G$2:G1650,G1650)</f>
        <v>774</v>
      </c>
      <c r="AN1650" s="5" t="str">
        <f aca="false">D1650&amp;"|"&amp;AM1650</f>
        <v>分析與報告生成|774</v>
      </c>
    </row>
    <row r="1651" customFormat="false" ht="17.15" hidden="false" customHeight="false" outlineLevel="0" collapsed="false">
      <c r="A1651" s="16" t="n">
        <f aca="false">RANK(G1651,$G$2:$G$2501)+COUNTIF($G$2:G1651,G1651)-1</f>
        <v>1650</v>
      </c>
      <c r="B1651" s="11" t="s">
        <v>4072</v>
      </c>
      <c r="C1651" s="11" t="s">
        <v>681</v>
      </c>
      <c r="D1651" s="5" t="s">
        <v>74</v>
      </c>
      <c r="E1651" s="5" t="s">
        <v>75</v>
      </c>
      <c r="F1651" s="5"/>
      <c r="G1651" s="22" t="n">
        <f aca="false">ROUND(SUM(I1651:P1651),3)</f>
        <v>57.396</v>
      </c>
      <c r="H1651" s="5" t="str">
        <f aca="false">IF(G1651&gt;=評分方法!$C$16,"優先評估",IF(G1651&gt;=評分方法!$C$17,"列入候選",IF(G1651&gt;=評分方法!$C$18,"特定情境","不建議")))</f>
        <v>不建議</v>
      </c>
      <c r="I1651" s="15" t="n">
        <f aca="false">AE1651*評分方法!$C$5</f>
        <v>10.5</v>
      </c>
      <c r="J1651" s="15" t="n">
        <f aca="false">AF1651*評分方法!$C$6</f>
        <v>0</v>
      </c>
      <c r="K1651" s="15" t="n">
        <f aca="false">AG1651*評分方法!$C$7</f>
        <v>15</v>
      </c>
      <c r="L1651" s="15" t="n">
        <f aca="false">AH1651*評分方法!$C$8</f>
        <v>15</v>
      </c>
      <c r="M1651" s="15" t="n">
        <f aca="false">AI1651*評分方法!$C$9</f>
        <v>6</v>
      </c>
      <c r="N1651" s="15" t="n">
        <f aca="false">AJ1651*評分方法!$C$10</f>
        <v>8.396</v>
      </c>
      <c r="O1651" s="15" t="n">
        <f aca="false">AK1651*評分方法!$C$11</f>
        <v>2.5</v>
      </c>
      <c r="P1651" s="15" t="n">
        <f aca="false">AL1651*評分方法!$C$12</f>
        <v>0</v>
      </c>
      <c r="Q1651" s="6" t="n">
        <v>2066071</v>
      </c>
      <c r="R1651" s="6" t="n">
        <v>21596544</v>
      </c>
      <c r="S1651" s="11" t="s">
        <v>238</v>
      </c>
      <c r="T1651" s="11" t="s">
        <v>185</v>
      </c>
      <c r="U1651" s="5" t="s">
        <v>260</v>
      </c>
      <c r="V1651" s="11" t="s">
        <v>261</v>
      </c>
      <c r="W1651" s="5" t="s">
        <v>205</v>
      </c>
      <c r="X1651" s="5" t="s">
        <v>242</v>
      </c>
      <c r="Y1651" s="11" t="s">
        <v>3942</v>
      </c>
      <c r="Z1651" s="11" t="s">
        <v>270</v>
      </c>
      <c r="AA1651" s="11" t="s">
        <v>173</v>
      </c>
      <c r="AB1651" s="5" t="s">
        <v>245</v>
      </c>
      <c r="AC1651" s="5" t="s">
        <v>262</v>
      </c>
      <c r="AD1651" s="11" t="s">
        <v>4073</v>
      </c>
      <c r="AE1651" s="23" t="n">
        <v>0.35</v>
      </c>
      <c r="AF1651" s="23" t="n">
        <v>0</v>
      </c>
      <c r="AG1651" s="23" t="n">
        <v>1</v>
      </c>
      <c r="AH1651" s="23" t="n">
        <v>1</v>
      </c>
      <c r="AI1651" s="23" t="n">
        <v>0.6</v>
      </c>
      <c r="AJ1651" s="23" t="n">
        <v>0.8396</v>
      </c>
      <c r="AK1651" s="23" t="n">
        <v>0.5</v>
      </c>
      <c r="AL1651" s="23" t="n">
        <v>0</v>
      </c>
      <c r="AM1651" s="16" t="n">
        <f aca="false">COUNTIFS($D$2:$D$2501,D1651,$G$2:$G$2501,"&gt;"&amp;G1651)+COUNTIFS($D$2:D1651,D1651,$G$2:G1651,G1651)</f>
        <v>152</v>
      </c>
      <c r="AN1651" s="5" t="str">
        <f aca="false">D1651&amp;"|"&amp;AM1651</f>
        <v>文件與影像辨識|152</v>
      </c>
    </row>
    <row r="1652" customFormat="false" ht="17.15" hidden="false" customHeight="false" outlineLevel="0" collapsed="false">
      <c r="A1652" s="16" t="n">
        <f aca="false">RANK(G1652,$G$2:$G$2501)+COUNTIF($G$2:G1652,G1652)-1</f>
        <v>1651</v>
      </c>
      <c r="B1652" s="11" t="s">
        <v>4074</v>
      </c>
      <c r="C1652" s="11" t="s">
        <v>712</v>
      </c>
      <c r="D1652" s="5" t="s">
        <v>72</v>
      </c>
      <c r="E1652" s="5" t="s">
        <v>73</v>
      </c>
      <c r="F1652" s="5"/>
      <c r="G1652" s="22" t="n">
        <f aca="false">ROUND(SUM(I1652:P1652),3)</f>
        <v>57.392</v>
      </c>
      <c r="H1652" s="5" t="str">
        <f aca="false">IF(G1652&gt;=評分方法!$C$16,"優先評估",IF(G1652&gt;=評分方法!$C$17,"列入候選",IF(G1652&gt;=評分方法!$C$18,"特定情境","不建議")))</f>
        <v>不建議</v>
      </c>
      <c r="I1652" s="15" t="n">
        <f aca="false">AE1652*評分方法!$C$5</f>
        <v>9</v>
      </c>
      <c r="J1652" s="15" t="n">
        <f aca="false">AF1652*評分方法!$C$6</f>
        <v>0</v>
      </c>
      <c r="K1652" s="15" t="n">
        <f aca="false">AG1652*評分方法!$C$7</f>
        <v>15</v>
      </c>
      <c r="L1652" s="15" t="n">
        <f aca="false">AH1652*評分方法!$C$8</f>
        <v>15</v>
      </c>
      <c r="M1652" s="15" t="n">
        <f aca="false">AI1652*評分方法!$C$9</f>
        <v>10</v>
      </c>
      <c r="N1652" s="15" t="n">
        <f aca="false">AJ1652*評分方法!$C$10</f>
        <v>7.392</v>
      </c>
      <c r="O1652" s="15" t="n">
        <f aca="false">AK1652*評分方法!$C$11</f>
        <v>1</v>
      </c>
      <c r="P1652" s="15" t="n">
        <f aca="false">AL1652*評分方法!$C$12</f>
        <v>0</v>
      </c>
      <c r="Q1652" s="6" t="n">
        <v>1103809</v>
      </c>
      <c r="R1652" s="6" t="n">
        <v>67431550</v>
      </c>
      <c r="S1652" s="11" t="s">
        <v>238</v>
      </c>
      <c r="T1652" s="11" t="s">
        <v>239</v>
      </c>
      <c r="U1652" s="5" t="s">
        <v>240</v>
      </c>
      <c r="V1652" s="11" t="s">
        <v>324</v>
      </c>
      <c r="W1652" s="5" t="s">
        <v>205</v>
      </c>
      <c r="X1652" s="5" t="s">
        <v>242</v>
      </c>
      <c r="Y1652" s="5"/>
      <c r="Z1652" s="5"/>
      <c r="AA1652" s="11" t="s">
        <v>162</v>
      </c>
      <c r="AB1652" s="5" t="s">
        <v>245</v>
      </c>
      <c r="AC1652" s="5" t="s">
        <v>1463</v>
      </c>
      <c r="AD1652" s="11" t="s">
        <v>4075</v>
      </c>
      <c r="AE1652" s="23" t="n">
        <v>0.3</v>
      </c>
      <c r="AF1652" s="23" t="n">
        <v>0</v>
      </c>
      <c r="AG1652" s="23" t="n">
        <v>1</v>
      </c>
      <c r="AH1652" s="23" t="n">
        <v>1</v>
      </c>
      <c r="AI1652" s="23" t="n">
        <v>1</v>
      </c>
      <c r="AJ1652" s="23" t="n">
        <v>0.7392</v>
      </c>
      <c r="AK1652" s="23" t="n">
        <v>0.2</v>
      </c>
      <c r="AL1652" s="23" t="n">
        <v>0</v>
      </c>
      <c r="AM1652" s="16" t="n">
        <f aca="false">COUNTIFS($D$2:$D$2501,D1652,$G$2:$G$2501,"&gt;"&amp;G1652)+COUNTIFS($D$2:D1652,D1652,$G$2:G1652,G1652)</f>
        <v>26</v>
      </c>
      <c r="AN1652" s="5" t="str">
        <f aca="false">D1652&amp;"|"&amp;AM1652</f>
        <v>微調基底模型|26</v>
      </c>
    </row>
    <row r="1653" customFormat="false" ht="17.15" hidden="false" customHeight="false" outlineLevel="0" collapsed="false">
      <c r="A1653" s="16" t="n">
        <f aca="false">RANK(G1653,$G$2:$G$2501)+COUNTIF($G$2:G1653,G1653)-1</f>
        <v>1652</v>
      </c>
      <c r="B1653" s="11" t="s">
        <v>4076</v>
      </c>
      <c r="C1653" s="11" t="s">
        <v>891</v>
      </c>
      <c r="D1653" s="5" t="s">
        <v>56</v>
      </c>
      <c r="E1653" s="5" t="s">
        <v>57</v>
      </c>
      <c r="F1653" s="5"/>
      <c r="G1653" s="22" t="n">
        <f aca="false">ROUND(SUM(I1653:P1653),3)</f>
        <v>57.388</v>
      </c>
      <c r="H1653" s="5" t="str">
        <f aca="false">IF(G1653&gt;=評分方法!$C$16,"優先評估",IF(G1653&gt;=評分方法!$C$17,"列入候選",IF(G1653&gt;=評分方法!$C$18,"特定情境","不建議")))</f>
        <v>不建議</v>
      </c>
      <c r="I1653" s="15" t="n">
        <f aca="false">AE1653*評分方法!$C$5</f>
        <v>25.5</v>
      </c>
      <c r="J1653" s="15" t="n">
        <f aca="false">AF1653*評分方法!$C$6</f>
        <v>0</v>
      </c>
      <c r="K1653" s="15" t="n">
        <f aca="false">AG1653*評分方法!$C$7</f>
        <v>10.05</v>
      </c>
      <c r="L1653" s="15" t="n">
        <f aca="false">AH1653*評分方法!$C$8</f>
        <v>7.05</v>
      </c>
      <c r="M1653" s="15" t="n">
        <f aca="false">AI1653*評分方法!$C$9</f>
        <v>6</v>
      </c>
      <c r="N1653" s="15" t="n">
        <f aca="false">AJ1653*評分方法!$C$10</f>
        <v>3.288</v>
      </c>
      <c r="O1653" s="15" t="n">
        <f aca="false">AK1653*評分方法!$C$11</f>
        <v>2.5</v>
      </c>
      <c r="P1653" s="15" t="n">
        <f aca="false">AL1653*評分方法!$C$12</f>
        <v>3</v>
      </c>
      <c r="Q1653" s="6" t="n">
        <v>328635</v>
      </c>
      <c r="R1653" s="6"/>
      <c r="S1653" s="5" t="s">
        <v>255</v>
      </c>
      <c r="T1653" s="11" t="s">
        <v>658</v>
      </c>
      <c r="U1653" s="5" t="s">
        <v>260</v>
      </c>
      <c r="V1653" s="11" t="s">
        <v>261</v>
      </c>
      <c r="W1653" s="5" t="s">
        <v>207</v>
      </c>
      <c r="X1653" s="5" t="s">
        <v>371</v>
      </c>
      <c r="Y1653" s="11" t="s">
        <v>1003</v>
      </c>
      <c r="Z1653" s="11" t="s">
        <v>244</v>
      </c>
      <c r="AA1653" s="11" t="s">
        <v>156</v>
      </c>
      <c r="AB1653" s="5" t="s">
        <v>245</v>
      </c>
      <c r="AC1653" s="5" t="s">
        <v>464</v>
      </c>
      <c r="AD1653" s="11" t="s">
        <v>4077</v>
      </c>
      <c r="AE1653" s="23" t="n">
        <v>0.85</v>
      </c>
      <c r="AF1653" s="23" t="n">
        <v>0</v>
      </c>
      <c r="AG1653" s="23" t="n">
        <v>0.67</v>
      </c>
      <c r="AH1653" s="23" t="n">
        <v>0.47</v>
      </c>
      <c r="AI1653" s="23" t="n">
        <v>0.6</v>
      </c>
      <c r="AJ1653" s="23" t="n">
        <v>0.3288</v>
      </c>
      <c r="AK1653" s="23" t="n">
        <v>0.5</v>
      </c>
      <c r="AL1653" s="23" t="n">
        <v>0.6</v>
      </c>
      <c r="AM1653" s="16" t="n">
        <f aca="false">COUNTIFS($D$2:$D$2501,D1653,$G$2:$G$2501,"&gt;"&amp;G1653)+COUNTIFS($D$2:D1653,D1653,$G$2:G1653,G1653)</f>
        <v>775</v>
      </c>
      <c r="AN1653" s="5" t="str">
        <f aca="false">D1653&amp;"|"&amp;AM1653</f>
        <v>分析與報告生成|775</v>
      </c>
    </row>
    <row r="1654" customFormat="false" ht="17.15" hidden="false" customHeight="false" outlineLevel="0" collapsed="false">
      <c r="A1654" s="16" t="n">
        <f aca="false">RANK(G1654,$G$2:$G$2501)+COUNTIF($G$2:G1654,G1654)-1</f>
        <v>1653</v>
      </c>
      <c r="B1654" s="11" t="s">
        <v>4078</v>
      </c>
      <c r="C1654" s="11" t="s">
        <v>4079</v>
      </c>
      <c r="D1654" s="5" t="s">
        <v>54</v>
      </c>
      <c r="E1654" s="5" t="s">
        <v>55</v>
      </c>
      <c r="F1654" s="5"/>
      <c r="G1654" s="22" t="n">
        <f aca="false">ROUND(SUM(I1654:P1654),3)</f>
        <v>57.382</v>
      </c>
      <c r="H1654" s="5" t="str">
        <f aca="false">IF(G1654&gt;=評分方法!$C$16,"優先評估",IF(G1654&gt;=評分方法!$C$17,"列入候選",IF(G1654&gt;=評分方法!$C$18,"特定情境","不建議")))</f>
        <v>不建議</v>
      </c>
      <c r="I1654" s="15" t="n">
        <f aca="false">AE1654*評分方法!$C$5</f>
        <v>16.2</v>
      </c>
      <c r="J1654" s="15" t="n">
        <f aca="false">AF1654*評分方法!$C$6</f>
        <v>0</v>
      </c>
      <c r="K1654" s="15" t="n">
        <f aca="false">AG1654*評分方法!$C$7</f>
        <v>4.95</v>
      </c>
      <c r="L1654" s="15" t="n">
        <f aca="false">AH1654*評分方法!$C$8</f>
        <v>15</v>
      </c>
      <c r="M1654" s="15" t="n">
        <f aca="false">AI1654*評分方法!$C$9</f>
        <v>10</v>
      </c>
      <c r="N1654" s="15" t="n">
        <f aca="false">AJ1654*評分方法!$C$10</f>
        <v>7.232</v>
      </c>
      <c r="O1654" s="15" t="n">
        <f aca="false">AK1654*評分方法!$C$11</f>
        <v>4</v>
      </c>
      <c r="P1654" s="15" t="n">
        <f aca="false">AL1654*評分方法!$C$12</f>
        <v>0</v>
      </c>
      <c r="Q1654" s="6" t="n">
        <v>1010258</v>
      </c>
      <c r="R1654" s="6" t="n">
        <v>149014272</v>
      </c>
      <c r="S1654" s="11" t="s">
        <v>238</v>
      </c>
      <c r="T1654" s="11" t="s">
        <v>239</v>
      </c>
      <c r="U1654" s="5" t="s">
        <v>240</v>
      </c>
      <c r="V1654" s="11" t="s">
        <v>241</v>
      </c>
      <c r="W1654" s="5" t="s">
        <v>334</v>
      </c>
      <c r="X1654" s="5" t="s">
        <v>242</v>
      </c>
      <c r="Y1654" s="11" t="s">
        <v>4080</v>
      </c>
      <c r="Z1654" s="11" t="s">
        <v>244</v>
      </c>
      <c r="AA1654" s="11" t="s">
        <v>152</v>
      </c>
      <c r="AB1654" s="5" t="s">
        <v>245</v>
      </c>
      <c r="AC1654" s="5" t="s">
        <v>4081</v>
      </c>
      <c r="AD1654" s="11" t="s">
        <v>4082</v>
      </c>
      <c r="AE1654" s="23" t="n">
        <v>0.54</v>
      </c>
      <c r="AF1654" s="23" t="n">
        <v>0</v>
      </c>
      <c r="AG1654" s="23" t="n">
        <v>0.33</v>
      </c>
      <c r="AH1654" s="23" t="n">
        <v>1</v>
      </c>
      <c r="AI1654" s="23" t="n">
        <v>1</v>
      </c>
      <c r="AJ1654" s="23" t="n">
        <v>0.7232</v>
      </c>
      <c r="AK1654" s="23" t="n">
        <v>0.8</v>
      </c>
      <c r="AL1654" s="23" t="n">
        <v>0</v>
      </c>
      <c r="AM1654" s="16" t="n">
        <f aca="false">COUNTIFS($D$2:$D$2501,D1654,$G$2:$G$2501,"&gt;"&amp;G1654)+COUNTIFS($D$2:D1654,D1654,$G$2:G1654,G1654)</f>
        <v>210</v>
      </c>
      <c r="AN1654" s="5" t="str">
        <f aca="false">D1654&amp;"|"&amp;AM1654</f>
        <v>檢索與情資關聯|210</v>
      </c>
    </row>
    <row r="1655" customFormat="false" ht="17.15" hidden="false" customHeight="false" outlineLevel="0" collapsed="false">
      <c r="A1655" s="16" t="n">
        <f aca="false">RANK(G1655,$G$2:$G$2501)+COUNTIF($G$2:G1655,G1655)-1</f>
        <v>1654</v>
      </c>
      <c r="B1655" s="11" t="s">
        <v>4083</v>
      </c>
      <c r="C1655" s="11" t="s">
        <v>3600</v>
      </c>
      <c r="D1655" s="5" t="s">
        <v>56</v>
      </c>
      <c r="E1655" s="5" t="s">
        <v>57</v>
      </c>
      <c r="F1655" s="5"/>
      <c r="G1655" s="22" t="n">
        <f aca="false">ROUND(SUM(I1655:P1655),3)</f>
        <v>57.37</v>
      </c>
      <c r="H1655" s="5" t="str">
        <f aca="false">IF(G1655&gt;=評分方法!$C$16,"優先評估",IF(G1655&gt;=評分方法!$C$17,"列入候選",IF(G1655&gt;=評分方法!$C$18,"特定情境","不建議")))</f>
        <v>不建議</v>
      </c>
      <c r="I1655" s="15" t="n">
        <f aca="false">AE1655*評分方法!$C$5</f>
        <v>25.5</v>
      </c>
      <c r="J1655" s="15" t="n">
        <f aca="false">AF1655*評分方法!$C$6</f>
        <v>0</v>
      </c>
      <c r="K1655" s="15" t="n">
        <f aca="false">AG1655*評分方法!$C$7</f>
        <v>4.95</v>
      </c>
      <c r="L1655" s="15" t="n">
        <f aca="false">AH1655*評分方法!$C$8</f>
        <v>9</v>
      </c>
      <c r="M1655" s="15" t="n">
        <f aca="false">AI1655*評分方法!$C$9</f>
        <v>6</v>
      </c>
      <c r="N1655" s="15" t="n">
        <f aca="false">AJ1655*評分方法!$C$10</f>
        <v>6.42</v>
      </c>
      <c r="O1655" s="15" t="n">
        <f aca="false">AK1655*評分方法!$C$11</f>
        <v>2.5</v>
      </c>
      <c r="P1655" s="15" t="n">
        <f aca="false">AL1655*評分方法!$C$12</f>
        <v>3</v>
      </c>
      <c r="Q1655" s="6" t="n">
        <v>730683</v>
      </c>
      <c r="R1655" s="6" t="n">
        <v>12187325040</v>
      </c>
      <c r="S1655" s="11" t="s">
        <v>389</v>
      </c>
      <c r="T1655" s="11" t="s">
        <v>658</v>
      </c>
      <c r="U1655" s="5" t="s">
        <v>260</v>
      </c>
      <c r="V1655" s="11" t="s">
        <v>261</v>
      </c>
      <c r="W1655" s="5" t="s">
        <v>334</v>
      </c>
      <c r="X1655" s="5" t="s">
        <v>371</v>
      </c>
      <c r="Y1655" s="11" t="s">
        <v>1303</v>
      </c>
      <c r="Z1655" s="11" t="s">
        <v>244</v>
      </c>
      <c r="AA1655" s="11" t="s">
        <v>156</v>
      </c>
      <c r="AB1655" s="5" t="s">
        <v>245</v>
      </c>
      <c r="AC1655" s="5" t="s">
        <v>464</v>
      </c>
      <c r="AD1655" s="11" t="s">
        <v>4084</v>
      </c>
      <c r="AE1655" s="23" t="n">
        <v>0.85</v>
      </c>
      <c r="AF1655" s="23" t="n">
        <v>0</v>
      </c>
      <c r="AG1655" s="23" t="n">
        <v>0.33</v>
      </c>
      <c r="AH1655" s="23" t="n">
        <v>0.6</v>
      </c>
      <c r="AI1655" s="23" t="n">
        <v>0.6</v>
      </c>
      <c r="AJ1655" s="23" t="n">
        <v>0.642</v>
      </c>
      <c r="AK1655" s="23" t="n">
        <v>0.5</v>
      </c>
      <c r="AL1655" s="23" t="n">
        <v>0.6</v>
      </c>
      <c r="AM1655" s="16" t="n">
        <f aca="false">COUNTIFS($D$2:$D$2501,D1655,$G$2:$G$2501,"&gt;"&amp;G1655)+COUNTIFS($D$2:D1655,D1655,$G$2:G1655,G1655)</f>
        <v>776</v>
      </c>
      <c r="AN1655" s="5" t="str">
        <f aca="false">D1655&amp;"|"&amp;AM1655</f>
        <v>分析與報告生成|776</v>
      </c>
    </row>
    <row r="1656" customFormat="false" ht="17.15" hidden="false" customHeight="false" outlineLevel="0" collapsed="false">
      <c r="A1656" s="16" t="n">
        <f aca="false">RANK(G1656,$G$2:$G$2501)+COUNTIF($G$2:G1656,G1656)-1</f>
        <v>1655</v>
      </c>
      <c r="B1656" s="11" t="s">
        <v>4085</v>
      </c>
      <c r="C1656" s="11" t="s">
        <v>2693</v>
      </c>
      <c r="D1656" s="5" t="s">
        <v>74</v>
      </c>
      <c r="E1656" s="5" t="s">
        <v>75</v>
      </c>
      <c r="F1656" s="5"/>
      <c r="G1656" s="22" t="n">
        <f aca="false">ROUND(SUM(I1656:P1656),3)</f>
        <v>57.368</v>
      </c>
      <c r="H1656" s="5" t="str">
        <f aca="false">IF(G1656&gt;=評分方法!$C$16,"優先評估",IF(G1656&gt;=評分方法!$C$17,"列入候選",IF(G1656&gt;=評分方法!$C$18,"特定情境","不建議")))</f>
        <v>不建議</v>
      </c>
      <c r="I1656" s="15" t="n">
        <f aca="false">AE1656*評分方法!$C$5</f>
        <v>10.5</v>
      </c>
      <c r="J1656" s="15" t="n">
        <f aca="false">AF1656*評分方法!$C$6</f>
        <v>0</v>
      </c>
      <c r="K1656" s="15" t="n">
        <f aca="false">AG1656*評分方法!$C$7</f>
        <v>15</v>
      </c>
      <c r="L1656" s="15" t="n">
        <f aca="false">AH1656*評分方法!$C$8</f>
        <v>15</v>
      </c>
      <c r="M1656" s="15" t="n">
        <f aca="false">AI1656*評分方法!$C$9</f>
        <v>10</v>
      </c>
      <c r="N1656" s="15" t="n">
        <f aca="false">AJ1656*評分方法!$C$10</f>
        <v>2.868</v>
      </c>
      <c r="O1656" s="15" t="n">
        <f aca="false">AK1656*評分方法!$C$11</f>
        <v>2.5</v>
      </c>
      <c r="P1656" s="15" t="n">
        <f aca="false">AL1656*評分方法!$C$12</f>
        <v>1.5</v>
      </c>
      <c r="Q1656" s="6" t="n">
        <v>279463</v>
      </c>
      <c r="R1656" s="6" t="n">
        <v>143667240</v>
      </c>
      <c r="S1656" s="11" t="s">
        <v>238</v>
      </c>
      <c r="T1656" s="11" t="s">
        <v>2029</v>
      </c>
      <c r="U1656" s="5" t="s">
        <v>240</v>
      </c>
      <c r="V1656" s="11" t="s">
        <v>324</v>
      </c>
      <c r="W1656" s="5" t="s">
        <v>205</v>
      </c>
      <c r="X1656" s="5" t="s">
        <v>255</v>
      </c>
      <c r="Y1656" s="5"/>
      <c r="Z1656" s="5"/>
      <c r="AA1656" s="11" t="s">
        <v>172</v>
      </c>
      <c r="AB1656" s="5" t="s">
        <v>245</v>
      </c>
      <c r="AC1656" s="5"/>
      <c r="AD1656" s="11" t="s">
        <v>4086</v>
      </c>
      <c r="AE1656" s="23" t="n">
        <v>0.35</v>
      </c>
      <c r="AF1656" s="23" t="n">
        <v>0</v>
      </c>
      <c r="AG1656" s="23" t="n">
        <v>1</v>
      </c>
      <c r="AH1656" s="23" t="n">
        <v>1</v>
      </c>
      <c r="AI1656" s="23" t="n">
        <v>1</v>
      </c>
      <c r="AJ1656" s="23" t="n">
        <v>0.2868</v>
      </c>
      <c r="AK1656" s="23" t="n">
        <v>0.5</v>
      </c>
      <c r="AL1656" s="23" t="n">
        <v>0.3</v>
      </c>
      <c r="AM1656" s="16" t="n">
        <f aca="false">COUNTIFS($D$2:$D$2501,D1656,$G$2:$G$2501,"&gt;"&amp;G1656)+COUNTIFS($D$2:D1656,D1656,$G$2:G1656,G1656)</f>
        <v>153</v>
      </c>
      <c r="AN1656" s="5" t="str">
        <f aca="false">D1656&amp;"|"&amp;AM1656</f>
        <v>文件與影像辨識|153</v>
      </c>
    </row>
    <row r="1657" customFormat="false" ht="17.15" hidden="false" customHeight="false" outlineLevel="0" collapsed="false">
      <c r="A1657" s="16" t="n">
        <f aca="false">RANK(G1657,$G$2:$G$2501)+COUNTIF($G$2:G1657,G1657)-1</f>
        <v>1656</v>
      </c>
      <c r="B1657" s="11" t="s">
        <v>4087</v>
      </c>
      <c r="C1657" s="11" t="s">
        <v>368</v>
      </c>
      <c r="D1657" s="5" t="s">
        <v>74</v>
      </c>
      <c r="E1657" s="5" t="s">
        <v>75</v>
      </c>
      <c r="F1657" s="5"/>
      <c r="G1657" s="22" t="n">
        <f aca="false">ROUND(SUM(I1657:P1657),3)</f>
        <v>57.356</v>
      </c>
      <c r="H1657" s="5" t="str">
        <f aca="false">IF(G1657&gt;=評分方法!$C$16,"優先評估",IF(G1657&gt;=評分方法!$C$17,"列入候選",IF(G1657&gt;=評分方法!$C$18,"特定情境","不建議")))</f>
        <v>不建議</v>
      </c>
      <c r="I1657" s="15" t="n">
        <f aca="false">AE1657*評分方法!$C$5</f>
        <v>12</v>
      </c>
      <c r="J1657" s="15" t="n">
        <f aca="false">AF1657*評分方法!$C$6</f>
        <v>0</v>
      </c>
      <c r="K1657" s="15" t="n">
        <f aca="false">AG1657*評分方法!$C$7</f>
        <v>15</v>
      </c>
      <c r="L1657" s="15" t="n">
        <f aca="false">AH1657*評分方法!$C$8</f>
        <v>15</v>
      </c>
      <c r="M1657" s="15" t="n">
        <f aca="false">AI1657*評分方法!$C$9</f>
        <v>10</v>
      </c>
      <c r="N1657" s="15" t="n">
        <f aca="false">AJ1657*評分方法!$C$10</f>
        <v>2.856</v>
      </c>
      <c r="O1657" s="15" t="n">
        <f aca="false">AK1657*評分方法!$C$11</f>
        <v>1</v>
      </c>
      <c r="P1657" s="15" t="n">
        <f aca="false">AL1657*評分方法!$C$12</f>
        <v>1.5</v>
      </c>
      <c r="Q1657" s="6" t="n">
        <v>278724</v>
      </c>
      <c r="R1657" s="6" t="n">
        <v>203447810</v>
      </c>
      <c r="S1657" s="11" t="s">
        <v>238</v>
      </c>
      <c r="T1657" s="11" t="s">
        <v>239</v>
      </c>
      <c r="U1657" s="5" t="s">
        <v>240</v>
      </c>
      <c r="V1657" s="11" t="s">
        <v>261</v>
      </c>
      <c r="W1657" s="5" t="s">
        <v>205</v>
      </c>
      <c r="X1657" s="5" t="s">
        <v>255</v>
      </c>
      <c r="Y1657" s="5"/>
      <c r="Z1657" s="5"/>
      <c r="AA1657" s="11" t="s">
        <v>167</v>
      </c>
      <c r="AB1657" s="5" t="s">
        <v>245</v>
      </c>
      <c r="AC1657" s="5"/>
      <c r="AD1657" s="11" t="s">
        <v>4088</v>
      </c>
      <c r="AE1657" s="23" t="n">
        <v>0.4</v>
      </c>
      <c r="AF1657" s="23" t="n">
        <v>0</v>
      </c>
      <c r="AG1657" s="23" t="n">
        <v>1</v>
      </c>
      <c r="AH1657" s="23" t="n">
        <v>1</v>
      </c>
      <c r="AI1657" s="23" t="n">
        <v>1</v>
      </c>
      <c r="AJ1657" s="23" t="n">
        <v>0.2856</v>
      </c>
      <c r="AK1657" s="23" t="n">
        <v>0.2</v>
      </c>
      <c r="AL1657" s="23" t="n">
        <v>0.3</v>
      </c>
      <c r="AM1657" s="16" t="n">
        <f aca="false">COUNTIFS($D$2:$D$2501,D1657,$G$2:$G$2501,"&gt;"&amp;G1657)+COUNTIFS($D$2:D1657,D1657,$G$2:G1657,G1657)</f>
        <v>154</v>
      </c>
      <c r="AN1657" s="5" t="str">
        <f aca="false">D1657&amp;"|"&amp;AM1657</f>
        <v>文件與影像辨識|154</v>
      </c>
    </row>
    <row r="1658" customFormat="false" ht="17.15" hidden="false" customHeight="false" outlineLevel="0" collapsed="false">
      <c r="A1658" s="16" t="n">
        <f aca="false">RANK(G1658,$G$2:$G$2501)+COUNTIF($G$2:G1658,G1658)-1</f>
        <v>1657</v>
      </c>
      <c r="B1658" s="11" t="s">
        <v>4089</v>
      </c>
      <c r="C1658" s="11" t="s">
        <v>891</v>
      </c>
      <c r="D1658" s="5" t="s">
        <v>56</v>
      </c>
      <c r="E1658" s="5" t="s">
        <v>57</v>
      </c>
      <c r="F1658" s="5"/>
      <c r="G1658" s="22" t="n">
        <f aca="false">ROUND(SUM(I1658:P1658),3)</f>
        <v>57.348</v>
      </c>
      <c r="H1658" s="5" t="str">
        <f aca="false">IF(G1658&gt;=評分方法!$C$16,"優先評估",IF(G1658&gt;=評分方法!$C$17,"列入候選",IF(G1658&gt;=評分方法!$C$18,"特定情境","不建議")))</f>
        <v>不建議</v>
      </c>
      <c r="I1658" s="15" t="n">
        <f aca="false">AE1658*評分方法!$C$5</f>
        <v>25.5</v>
      </c>
      <c r="J1658" s="15" t="n">
        <f aca="false">AF1658*評分方法!$C$6</f>
        <v>0</v>
      </c>
      <c r="K1658" s="15" t="n">
        <f aca="false">AG1658*評分方法!$C$7</f>
        <v>10.05</v>
      </c>
      <c r="L1658" s="15" t="n">
        <f aca="false">AH1658*評分方法!$C$8</f>
        <v>7.05</v>
      </c>
      <c r="M1658" s="15" t="n">
        <f aca="false">AI1658*評分方法!$C$9</f>
        <v>6</v>
      </c>
      <c r="N1658" s="15" t="n">
        <f aca="false">AJ1658*評分方法!$C$10</f>
        <v>3.248</v>
      </c>
      <c r="O1658" s="15" t="n">
        <f aca="false">AK1658*評分方法!$C$11</f>
        <v>2.5</v>
      </c>
      <c r="P1658" s="15" t="n">
        <f aca="false">AL1658*評分方法!$C$12</f>
        <v>3</v>
      </c>
      <c r="Q1658" s="6" t="n">
        <v>320590</v>
      </c>
      <c r="R1658" s="6"/>
      <c r="S1658" s="5" t="s">
        <v>255</v>
      </c>
      <c r="T1658" s="11" t="s">
        <v>658</v>
      </c>
      <c r="U1658" s="5" t="s">
        <v>260</v>
      </c>
      <c r="V1658" s="11" t="s">
        <v>261</v>
      </c>
      <c r="W1658" s="5" t="s">
        <v>207</v>
      </c>
      <c r="X1658" s="5" t="s">
        <v>371</v>
      </c>
      <c r="Y1658" s="11" t="s">
        <v>1003</v>
      </c>
      <c r="Z1658" s="11" t="s">
        <v>244</v>
      </c>
      <c r="AA1658" s="11" t="s">
        <v>156</v>
      </c>
      <c r="AB1658" s="5" t="s">
        <v>245</v>
      </c>
      <c r="AC1658" s="5" t="s">
        <v>464</v>
      </c>
      <c r="AD1658" s="11" t="s">
        <v>4090</v>
      </c>
      <c r="AE1658" s="23" t="n">
        <v>0.85</v>
      </c>
      <c r="AF1658" s="23" t="n">
        <v>0</v>
      </c>
      <c r="AG1658" s="23" t="n">
        <v>0.67</v>
      </c>
      <c r="AH1658" s="23" t="n">
        <v>0.47</v>
      </c>
      <c r="AI1658" s="23" t="n">
        <v>0.6</v>
      </c>
      <c r="AJ1658" s="23" t="n">
        <v>0.3248</v>
      </c>
      <c r="AK1658" s="23" t="n">
        <v>0.5</v>
      </c>
      <c r="AL1658" s="23" t="n">
        <v>0.6</v>
      </c>
      <c r="AM1658" s="16" t="n">
        <f aca="false">COUNTIFS($D$2:$D$2501,D1658,$G$2:$G$2501,"&gt;"&amp;G1658)+COUNTIFS($D$2:D1658,D1658,$G$2:G1658,G1658)</f>
        <v>777</v>
      </c>
      <c r="AN1658" s="5" t="str">
        <f aca="false">D1658&amp;"|"&amp;AM1658</f>
        <v>分析與報告生成|777</v>
      </c>
    </row>
    <row r="1659" customFormat="false" ht="17.15" hidden="false" customHeight="false" outlineLevel="0" collapsed="false">
      <c r="A1659" s="16" t="n">
        <f aca="false">RANK(G1659,$G$2:$G$2501)+COUNTIF($G$2:G1659,G1659)-1</f>
        <v>1658</v>
      </c>
      <c r="B1659" s="11" t="s">
        <v>4091</v>
      </c>
      <c r="C1659" s="11" t="s">
        <v>891</v>
      </c>
      <c r="D1659" s="5" t="s">
        <v>56</v>
      </c>
      <c r="E1659" s="5" t="s">
        <v>57</v>
      </c>
      <c r="F1659" s="5"/>
      <c r="G1659" s="22" t="n">
        <f aca="false">ROUND(SUM(I1659:P1659),3)</f>
        <v>57.336</v>
      </c>
      <c r="H1659" s="5" t="str">
        <f aca="false">IF(G1659&gt;=評分方法!$C$16,"優先評估",IF(G1659&gt;=評分方法!$C$17,"列入候選",IF(G1659&gt;=評分方法!$C$18,"特定情境","不建議")))</f>
        <v>不建議</v>
      </c>
      <c r="I1659" s="15" t="n">
        <f aca="false">AE1659*評分方法!$C$5</f>
        <v>25.5</v>
      </c>
      <c r="J1659" s="15" t="n">
        <f aca="false">AF1659*評分方法!$C$6</f>
        <v>0</v>
      </c>
      <c r="K1659" s="15" t="n">
        <f aca="false">AG1659*評分方法!$C$7</f>
        <v>10.05</v>
      </c>
      <c r="L1659" s="15" t="n">
        <f aca="false">AH1659*評分方法!$C$8</f>
        <v>7.05</v>
      </c>
      <c r="M1659" s="15" t="n">
        <f aca="false">AI1659*評分方法!$C$9</f>
        <v>6</v>
      </c>
      <c r="N1659" s="15" t="n">
        <f aca="false">AJ1659*評分方法!$C$10</f>
        <v>3.236</v>
      </c>
      <c r="O1659" s="15" t="n">
        <f aca="false">AK1659*評分方法!$C$11</f>
        <v>2.5</v>
      </c>
      <c r="P1659" s="15" t="n">
        <f aca="false">AL1659*評分方法!$C$12</f>
        <v>3</v>
      </c>
      <c r="Q1659" s="6" t="n">
        <v>319427</v>
      </c>
      <c r="R1659" s="6"/>
      <c r="S1659" s="5" t="s">
        <v>255</v>
      </c>
      <c r="T1659" s="11" t="s">
        <v>658</v>
      </c>
      <c r="U1659" s="5" t="s">
        <v>260</v>
      </c>
      <c r="V1659" s="11" t="s">
        <v>261</v>
      </c>
      <c r="W1659" s="5" t="s">
        <v>207</v>
      </c>
      <c r="X1659" s="5" t="s">
        <v>371</v>
      </c>
      <c r="Y1659" s="11" t="s">
        <v>1003</v>
      </c>
      <c r="Z1659" s="11" t="s">
        <v>244</v>
      </c>
      <c r="AA1659" s="11" t="s">
        <v>156</v>
      </c>
      <c r="AB1659" s="5" t="s">
        <v>245</v>
      </c>
      <c r="AC1659" s="5" t="s">
        <v>464</v>
      </c>
      <c r="AD1659" s="11" t="s">
        <v>4092</v>
      </c>
      <c r="AE1659" s="23" t="n">
        <v>0.85</v>
      </c>
      <c r="AF1659" s="23" t="n">
        <v>0</v>
      </c>
      <c r="AG1659" s="23" t="n">
        <v>0.67</v>
      </c>
      <c r="AH1659" s="23" t="n">
        <v>0.47</v>
      </c>
      <c r="AI1659" s="23" t="n">
        <v>0.6</v>
      </c>
      <c r="AJ1659" s="23" t="n">
        <v>0.3236</v>
      </c>
      <c r="AK1659" s="23" t="n">
        <v>0.5</v>
      </c>
      <c r="AL1659" s="23" t="n">
        <v>0.6</v>
      </c>
      <c r="AM1659" s="16" t="n">
        <f aca="false">COUNTIFS($D$2:$D$2501,D1659,$G$2:$G$2501,"&gt;"&amp;G1659)+COUNTIFS($D$2:D1659,D1659,$G$2:G1659,G1659)</f>
        <v>778</v>
      </c>
      <c r="AN1659" s="5" t="str">
        <f aca="false">D1659&amp;"|"&amp;AM1659</f>
        <v>分析與報告生成|778</v>
      </c>
    </row>
    <row r="1660" customFormat="false" ht="17.15" hidden="false" customHeight="false" outlineLevel="0" collapsed="false">
      <c r="A1660" s="16" t="n">
        <f aca="false">RANK(G1660,$G$2:$G$2501)+COUNTIF($G$2:G1660,G1660)-1</f>
        <v>1659</v>
      </c>
      <c r="B1660" s="11" t="s">
        <v>4093</v>
      </c>
      <c r="C1660" s="11" t="s">
        <v>753</v>
      </c>
      <c r="D1660" s="5" t="s">
        <v>56</v>
      </c>
      <c r="E1660" s="5" t="s">
        <v>57</v>
      </c>
      <c r="F1660" s="5"/>
      <c r="G1660" s="22" t="n">
        <f aca="false">ROUND(SUM(I1660:P1660),3)</f>
        <v>57.336</v>
      </c>
      <c r="H1660" s="5" t="str">
        <f aca="false">IF(G1660&gt;=評分方法!$C$16,"優先評估",IF(G1660&gt;=評分方法!$C$17,"列入候選",IF(G1660&gt;=評分方法!$C$18,"特定情境","不建議")))</f>
        <v>不建議</v>
      </c>
      <c r="I1660" s="15" t="n">
        <f aca="false">AE1660*評分方法!$C$5</f>
        <v>25.5</v>
      </c>
      <c r="J1660" s="15" t="n">
        <f aca="false">AF1660*評分方法!$C$6</f>
        <v>0</v>
      </c>
      <c r="K1660" s="15" t="n">
        <f aca="false">AG1660*評分方法!$C$7</f>
        <v>10.05</v>
      </c>
      <c r="L1660" s="15" t="n">
        <f aca="false">AH1660*評分方法!$C$8</f>
        <v>13.05</v>
      </c>
      <c r="M1660" s="15" t="n">
        <f aca="false">AI1660*評分方法!$C$9</f>
        <v>6</v>
      </c>
      <c r="N1660" s="15" t="n">
        <f aca="false">AJ1660*評分方法!$C$10</f>
        <v>0.236</v>
      </c>
      <c r="O1660" s="15" t="n">
        <f aca="false">AK1660*評分方法!$C$11</f>
        <v>2.5</v>
      </c>
      <c r="P1660" s="15" t="n">
        <f aca="false">AL1660*評分方法!$C$12</f>
        <v>0</v>
      </c>
      <c r="Q1660" s="6" t="n">
        <v>122501</v>
      </c>
      <c r="R1660" s="6" t="n">
        <v>8243411714</v>
      </c>
      <c r="S1660" s="11" t="s">
        <v>254</v>
      </c>
      <c r="T1660" s="11" t="s">
        <v>259</v>
      </c>
      <c r="U1660" s="5" t="s">
        <v>260</v>
      </c>
      <c r="V1660" s="11" t="s">
        <v>261</v>
      </c>
      <c r="W1660" s="5" t="s">
        <v>207</v>
      </c>
      <c r="X1660" s="5" t="s">
        <v>242</v>
      </c>
      <c r="Y1660" s="11" t="s">
        <v>1066</v>
      </c>
      <c r="Z1660" s="11" t="s">
        <v>244</v>
      </c>
      <c r="AA1660" s="11" t="s">
        <v>155</v>
      </c>
      <c r="AB1660" s="5" t="s">
        <v>245</v>
      </c>
      <c r="AC1660" s="5" t="s">
        <v>464</v>
      </c>
      <c r="AD1660" s="11" t="s">
        <v>4094</v>
      </c>
      <c r="AE1660" s="23" t="n">
        <v>0.85</v>
      </c>
      <c r="AF1660" s="23" t="n">
        <v>0</v>
      </c>
      <c r="AG1660" s="23" t="n">
        <v>0.67</v>
      </c>
      <c r="AH1660" s="23" t="n">
        <v>0.87</v>
      </c>
      <c r="AI1660" s="23" t="n">
        <v>0.6</v>
      </c>
      <c r="AJ1660" s="23" t="n">
        <v>0.0236</v>
      </c>
      <c r="AK1660" s="23" t="n">
        <v>0.5</v>
      </c>
      <c r="AL1660" s="23" t="n">
        <v>0</v>
      </c>
      <c r="AM1660" s="16" t="n">
        <f aca="false">COUNTIFS($D$2:$D$2501,D1660,$G$2:$G$2501,"&gt;"&amp;G1660)+COUNTIFS($D$2:D1660,D1660,$G$2:G1660,G1660)</f>
        <v>779</v>
      </c>
      <c r="AN1660" s="5" t="str">
        <f aca="false">D1660&amp;"|"&amp;AM1660</f>
        <v>分析與報告生成|779</v>
      </c>
    </row>
    <row r="1661" customFormat="false" ht="17.15" hidden="false" customHeight="false" outlineLevel="0" collapsed="false">
      <c r="A1661" s="16" t="n">
        <f aca="false">RANK(G1661,$G$2:$G$2501)+COUNTIF($G$2:G1661,G1661)-1</f>
        <v>1660</v>
      </c>
      <c r="B1661" s="11" t="s">
        <v>4095</v>
      </c>
      <c r="C1661" s="11" t="s">
        <v>2557</v>
      </c>
      <c r="D1661" s="5" t="s">
        <v>76</v>
      </c>
      <c r="E1661" s="5" t="s">
        <v>77</v>
      </c>
      <c r="F1661" s="5"/>
      <c r="G1661" s="22" t="n">
        <f aca="false">ROUND(SUM(I1661:P1661),3)</f>
        <v>57.288</v>
      </c>
      <c r="H1661" s="5" t="str">
        <f aca="false">IF(G1661&gt;=評分方法!$C$16,"優先評估",IF(G1661&gt;=評分方法!$C$17,"列入候選",IF(G1661&gt;=評分方法!$C$18,"特定情境","不建議")))</f>
        <v>不建議</v>
      </c>
      <c r="I1661" s="15" t="n">
        <f aca="false">AE1661*評分方法!$C$5</f>
        <v>12</v>
      </c>
      <c r="J1661" s="15" t="n">
        <f aca="false">AF1661*評分方法!$C$6</f>
        <v>0</v>
      </c>
      <c r="K1661" s="15" t="n">
        <f aca="false">AG1661*評分方法!$C$7</f>
        <v>15</v>
      </c>
      <c r="L1661" s="15" t="n">
        <f aca="false">AH1661*評分方法!$C$8</f>
        <v>15</v>
      </c>
      <c r="M1661" s="15" t="n">
        <f aca="false">AI1661*評分方法!$C$9</f>
        <v>10</v>
      </c>
      <c r="N1661" s="15" t="n">
        <f aca="false">AJ1661*評分方法!$C$10</f>
        <v>4.288</v>
      </c>
      <c r="O1661" s="15" t="n">
        <f aca="false">AK1661*評分方法!$C$11</f>
        <v>1</v>
      </c>
      <c r="P1661" s="15" t="n">
        <f aca="false">AL1661*評分方法!$C$12</f>
        <v>0</v>
      </c>
      <c r="Q1661" s="6" t="n">
        <v>473027</v>
      </c>
      <c r="R1661" s="6" t="n">
        <v>209158401</v>
      </c>
      <c r="S1661" s="11" t="s">
        <v>238</v>
      </c>
      <c r="T1661" s="11" t="s">
        <v>1636</v>
      </c>
      <c r="U1661" s="5" t="s">
        <v>240</v>
      </c>
      <c r="V1661" s="11" t="s">
        <v>855</v>
      </c>
      <c r="W1661" s="5" t="s">
        <v>205</v>
      </c>
      <c r="X1661" s="5" t="s">
        <v>242</v>
      </c>
      <c r="Y1661" s="5"/>
      <c r="Z1661" s="5"/>
      <c r="AA1661" s="11" t="s">
        <v>168</v>
      </c>
      <c r="AB1661" s="5" t="s">
        <v>245</v>
      </c>
      <c r="AC1661" s="5"/>
      <c r="AD1661" s="11" t="s">
        <v>4096</v>
      </c>
      <c r="AE1661" s="23" t="n">
        <v>0.4</v>
      </c>
      <c r="AF1661" s="23" t="n">
        <v>0</v>
      </c>
      <c r="AG1661" s="23" t="n">
        <v>1</v>
      </c>
      <c r="AH1661" s="23" t="n">
        <v>1</v>
      </c>
      <c r="AI1661" s="23" t="n">
        <v>1</v>
      </c>
      <c r="AJ1661" s="23" t="n">
        <v>0.4288</v>
      </c>
      <c r="AK1661" s="23" t="n">
        <v>0.2</v>
      </c>
      <c r="AL1661" s="23" t="n">
        <v>0</v>
      </c>
      <c r="AM1661" s="16" t="n">
        <f aca="false">COUNTIFS($D$2:$D$2501,D1661,$G$2:$G$2501,"&gt;"&amp;G1661)+COUNTIFS($D$2:D1661,D1661,$G$2:G1661,G1661)</f>
        <v>9</v>
      </c>
      <c r="AN1661" s="5" t="str">
        <f aca="false">D1661&amp;"|"&amp;AM1661</f>
        <v>情資翻譯|9</v>
      </c>
    </row>
    <row r="1662" customFormat="false" ht="17.15" hidden="false" customHeight="false" outlineLevel="0" collapsed="false">
      <c r="A1662" s="16" t="n">
        <f aca="false">RANK(G1662,$G$2:$G$2501)+COUNTIF($G$2:G1662,G1662)-1</f>
        <v>1661</v>
      </c>
      <c r="B1662" s="11" t="s">
        <v>4097</v>
      </c>
      <c r="C1662" s="11" t="s">
        <v>2693</v>
      </c>
      <c r="D1662" s="5" t="s">
        <v>74</v>
      </c>
      <c r="E1662" s="5" t="s">
        <v>75</v>
      </c>
      <c r="F1662" s="5"/>
      <c r="G1662" s="22" t="n">
        <f aca="false">ROUND(SUM(I1662:P1662),3)</f>
        <v>57.284</v>
      </c>
      <c r="H1662" s="5" t="str">
        <f aca="false">IF(G1662&gt;=評分方法!$C$16,"優先評估",IF(G1662&gt;=評分方法!$C$17,"列入候選",IF(G1662&gt;=評分方法!$C$18,"特定情境","不建議")))</f>
        <v>不建議</v>
      </c>
      <c r="I1662" s="15" t="n">
        <f aca="false">AE1662*評分方法!$C$5</f>
        <v>10.5</v>
      </c>
      <c r="J1662" s="15" t="n">
        <f aca="false">AF1662*評分方法!$C$6</f>
        <v>0</v>
      </c>
      <c r="K1662" s="15" t="n">
        <f aca="false">AG1662*評分方法!$C$7</f>
        <v>15</v>
      </c>
      <c r="L1662" s="15" t="n">
        <f aca="false">AH1662*評分方法!$C$8</f>
        <v>15</v>
      </c>
      <c r="M1662" s="15" t="n">
        <f aca="false">AI1662*評分方法!$C$9</f>
        <v>10</v>
      </c>
      <c r="N1662" s="15" t="n">
        <f aca="false">AJ1662*評分方法!$C$10</f>
        <v>2.784</v>
      </c>
      <c r="O1662" s="15" t="n">
        <f aca="false">AK1662*評分方法!$C$11</f>
        <v>2.5</v>
      </c>
      <c r="P1662" s="15" t="n">
        <f aca="false">AL1662*評分方法!$C$12</f>
        <v>1.5</v>
      </c>
      <c r="Q1662" s="6" t="n">
        <v>272940</v>
      </c>
      <c r="R1662" s="6" t="n">
        <v>21350220</v>
      </c>
      <c r="S1662" s="11" t="s">
        <v>238</v>
      </c>
      <c r="T1662" s="11" t="s">
        <v>278</v>
      </c>
      <c r="U1662" s="5" t="s">
        <v>240</v>
      </c>
      <c r="V1662" s="11" t="s">
        <v>324</v>
      </c>
      <c r="W1662" s="5" t="s">
        <v>205</v>
      </c>
      <c r="X1662" s="5" t="s">
        <v>255</v>
      </c>
      <c r="Y1662" s="5"/>
      <c r="Z1662" s="5"/>
      <c r="AA1662" s="11" t="s">
        <v>172</v>
      </c>
      <c r="AB1662" s="5" t="s">
        <v>245</v>
      </c>
      <c r="AC1662" s="5"/>
      <c r="AD1662" s="11" t="s">
        <v>4098</v>
      </c>
      <c r="AE1662" s="23" t="n">
        <v>0.35</v>
      </c>
      <c r="AF1662" s="23" t="n">
        <v>0</v>
      </c>
      <c r="AG1662" s="23" t="n">
        <v>1</v>
      </c>
      <c r="AH1662" s="23" t="n">
        <v>1</v>
      </c>
      <c r="AI1662" s="23" t="n">
        <v>1</v>
      </c>
      <c r="AJ1662" s="23" t="n">
        <v>0.2784</v>
      </c>
      <c r="AK1662" s="23" t="n">
        <v>0.5</v>
      </c>
      <c r="AL1662" s="23" t="n">
        <v>0.3</v>
      </c>
      <c r="AM1662" s="16" t="n">
        <f aca="false">COUNTIFS($D$2:$D$2501,D1662,$G$2:$G$2501,"&gt;"&amp;G1662)+COUNTIFS($D$2:D1662,D1662,$G$2:G1662,G1662)</f>
        <v>155</v>
      </c>
      <c r="AN1662" s="5" t="str">
        <f aca="false">D1662&amp;"|"&amp;AM1662</f>
        <v>文件與影像辨識|155</v>
      </c>
    </row>
    <row r="1663" customFormat="false" ht="17.15" hidden="false" customHeight="false" outlineLevel="0" collapsed="false">
      <c r="A1663" s="16" t="n">
        <f aca="false">RANK(G1663,$G$2:$G$2501)+COUNTIF($G$2:G1663,G1663)-1</f>
        <v>1662</v>
      </c>
      <c r="B1663" s="11" t="s">
        <v>4099</v>
      </c>
      <c r="C1663" s="11" t="s">
        <v>753</v>
      </c>
      <c r="D1663" s="5" t="s">
        <v>56</v>
      </c>
      <c r="E1663" s="5" t="s">
        <v>57</v>
      </c>
      <c r="F1663" s="5"/>
      <c r="G1663" s="22" t="n">
        <f aca="false">ROUND(SUM(I1663:P1663),3)</f>
        <v>57.284</v>
      </c>
      <c r="H1663" s="5" t="str">
        <f aca="false">IF(G1663&gt;=評分方法!$C$16,"優先評估",IF(G1663&gt;=評分方法!$C$17,"列入候選",IF(G1663&gt;=評分方法!$C$18,"特定情境","不建議")))</f>
        <v>不建議</v>
      </c>
      <c r="I1663" s="15" t="n">
        <f aca="false">AE1663*評分方法!$C$5</f>
        <v>25.5</v>
      </c>
      <c r="J1663" s="15" t="n">
        <f aca="false">AF1663*評分方法!$C$6</f>
        <v>0</v>
      </c>
      <c r="K1663" s="15" t="n">
        <f aca="false">AG1663*評分方法!$C$7</f>
        <v>10.05</v>
      </c>
      <c r="L1663" s="15" t="n">
        <f aca="false">AH1663*評分方法!$C$8</f>
        <v>13.05</v>
      </c>
      <c r="M1663" s="15" t="n">
        <f aca="false">AI1663*評分方法!$C$9</f>
        <v>6</v>
      </c>
      <c r="N1663" s="15" t="n">
        <f aca="false">AJ1663*評分方法!$C$10</f>
        <v>1.684</v>
      </c>
      <c r="O1663" s="15" t="n">
        <f aca="false">AK1663*評分方法!$C$11</f>
        <v>1</v>
      </c>
      <c r="P1663" s="15" t="n">
        <f aca="false">AL1663*評分方法!$C$12</f>
        <v>0</v>
      </c>
      <c r="Q1663" s="6" t="n">
        <v>189796</v>
      </c>
      <c r="R1663" s="6" t="n">
        <v>9241705984</v>
      </c>
      <c r="S1663" s="11" t="s">
        <v>254</v>
      </c>
      <c r="T1663" s="11" t="s">
        <v>658</v>
      </c>
      <c r="U1663" s="5" t="s">
        <v>260</v>
      </c>
      <c r="V1663" s="11" t="s">
        <v>261</v>
      </c>
      <c r="W1663" s="5" t="s">
        <v>207</v>
      </c>
      <c r="X1663" s="5" t="s">
        <v>242</v>
      </c>
      <c r="Y1663" s="5"/>
      <c r="Z1663" s="5"/>
      <c r="AA1663" s="11" t="s">
        <v>155</v>
      </c>
      <c r="AB1663" s="5" t="s">
        <v>245</v>
      </c>
      <c r="AC1663" s="5" t="s">
        <v>262</v>
      </c>
      <c r="AD1663" s="11" t="s">
        <v>4100</v>
      </c>
      <c r="AE1663" s="23" t="n">
        <v>0.85</v>
      </c>
      <c r="AF1663" s="23" t="n">
        <v>0</v>
      </c>
      <c r="AG1663" s="23" t="n">
        <v>0.67</v>
      </c>
      <c r="AH1663" s="23" t="n">
        <v>0.87</v>
      </c>
      <c r="AI1663" s="23" t="n">
        <v>0.6</v>
      </c>
      <c r="AJ1663" s="23" t="n">
        <v>0.1684</v>
      </c>
      <c r="AK1663" s="23" t="n">
        <v>0.2</v>
      </c>
      <c r="AL1663" s="23" t="n">
        <v>0</v>
      </c>
      <c r="AM1663" s="16" t="n">
        <f aca="false">COUNTIFS($D$2:$D$2501,D1663,$G$2:$G$2501,"&gt;"&amp;G1663)+COUNTIFS($D$2:D1663,D1663,$G$2:G1663,G1663)</f>
        <v>780</v>
      </c>
      <c r="AN1663" s="5" t="str">
        <f aca="false">D1663&amp;"|"&amp;AM1663</f>
        <v>分析與報告生成|780</v>
      </c>
    </row>
    <row r="1664" customFormat="false" ht="17.15" hidden="false" customHeight="false" outlineLevel="0" collapsed="false">
      <c r="A1664" s="16" t="n">
        <f aca="false">RANK(G1664,$G$2:$G$2501)+COUNTIF($G$2:G1664,G1664)-1</f>
        <v>1663</v>
      </c>
      <c r="B1664" s="11" t="s">
        <v>4101</v>
      </c>
      <c r="C1664" s="11" t="s">
        <v>753</v>
      </c>
      <c r="D1664" s="5" t="s">
        <v>56</v>
      </c>
      <c r="E1664" s="5" t="s">
        <v>57</v>
      </c>
      <c r="F1664" s="5"/>
      <c r="G1664" s="22" t="n">
        <f aca="false">ROUND(SUM(I1664:P1664),3)</f>
        <v>57.264</v>
      </c>
      <c r="H1664" s="5" t="str">
        <f aca="false">IF(G1664&gt;=評分方法!$C$16,"優先評估",IF(G1664&gt;=評分方法!$C$17,"列入候選",IF(G1664&gt;=評分方法!$C$18,"特定情境","不建議")))</f>
        <v>不建議</v>
      </c>
      <c r="I1664" s="15" t="n">
        <f aca="false">AE1664*評分方法!$C$5</f>
        <v>25.5</v>
      </c>
      <c r="J1664" s="15" t="n">
        <f aca="false">AF1664*評分方法!$C$6</f>
        <v>0</v>
      </c>
      <c r="K1664" s="15" t="n">
        <f aca="false">AG1664*評分方法!$C$7</f>
        <v>10.05</v>
      </c>
      <c r="L1664" s="15" t="n">
        <f aca="false">AH1664*評分方法!$C$8</f>
        <v>1.95</v>
      </c>
      <c r="M1664" s="15" t="n">
        <f aca="false">AI1664*評分方法!$C$9</f>
        <v>10</v>
      </c>
      <c r="N1664" s="15" t="n">
        <f aca="false">AJ1664*評分方法!$C$10</f>
        <v>1.764</v>
      </c>
      <c r="O1664" s="15" t="n">
        <f aca="false">AK1664*評分方法!$C$11</f>
        <v>5</v>
      </c>
      <c r="P1664" s="15" t="n">
        <f aca="false">AL1664*評分方法!$C$12</f>
        <v>3</v>
      </c>
      <c r="Q1664" s="6" t="n">
        <v>193365</v>
      </c>
      <c r="R1664" s="6" t="n">
        <v>116829156672</v>
      </c>
      <c r="S1664" s="11" t="s">
        <v>1616</v>
      </c>
      <c r="T1664" s="11" t="s">
        <v>239</v>
      </c>
      <c r="U1664" s="5" t="s">
        <v>240</v>
      </c>
      <c r="V1664" s="11" t="s">
        <v>324</v>
      </c>
      <c r="W1664" s="5" t="s">
        <v>207</v>
      </c>
      <c r="X1664" s="5" t="s">
        <v>371</v>
      </c>
      <c r="Y1664" s="11" t="s">
        <v>1362</v>
      </c>
      <c r="Z1664" s="11" t="s">
        <v>244</v>
      </c>
      <c r="AA1664" s="11" t="s">
        <v>155</v>
      </c>
      <c r="AB1664" s="5" t="s">
        <v>245</v>
      </c>
      <c r="AC1664" s="5" t="s">
        <v>246</v>
      </c>
      <c r="AD1664" s="11" t="s">
        <v>4102</v>
      </c>
      <c r="AE1664" s="23" t="n">
        <v>0.85</v>
      </c>
      <c r="AF1664" s="23" t="n">
        <v>0</v>
      </c>
      <c r="AG1664" s="23" t="n">
        <v>0.67</v>
      </c>
      <c r="AH1664" s="23" t="n">
        <v>0.13</v>
      </c>
      <c r="AI1664" s="23" t="n">
        <v>1</v>
      </c>
      <c r="AJ1664" s="23" t="n">
        <v>0.1764</v>
      </c>
      <c r="AK1664" s="23" t="n">
        <v>1</v>
      </c>
      <c r="AL1664" s="23" t="n">
        <v>0.6</v>
      </c>
      <c r="AM1664" s="16" t="n">
        <f aca="false">COUNTIFS($D$2:$D$2501,D1664,$G$2:$G$2501,"&gt;"&amp;G1664)+COUNTIFS($D$2:D1664,D1664,$G$2:G1664,G1664)</f>
        <v>781</v>
      </c>
      <c r="AN1664" s="5" t="str">
        <f aca="false">D1664&amp;"|"&amp;AM1664</f>
        <v>分析與報告生成|781</v>
      </c>
    </row>
    <row r="1665" customFormat="false" ht="17.15" hidden="false" customHeight="false" outlineLevel="0" collapsed="false">
      <c r="A1665" s="16" t="n">
        <f aca="false">RANK(G1665,$G$2:$G$2501)+COUNTIF($G$2:G1665,G1665)-1</f>
        <v>1664</v>
      </c>
      <c r="B1665" s="11" t="s">
        <v>4103</v>
      </c>
      <c r="C1665" s="11" t="s">
        <v>1438</v>
      </c>
      <c r="D1665" s="5" t="s">
        <v>56</v>
      </c>
      <c r="E1665" s="5" t="s">
        <v>57</v>
      </c>
      <c r="F1665" s="5"/>
      <c r="G1665" s="22" t="n">
        <f aca="false">ROUND(SUM(I1665:P1665),3)</f>
        <v>57.246</v>
      </c>
      <c r="H1665" s="5" t="str">
        <f aca="false">IF(G1665&gt;=評分方法!$C$16,"優先評估",IF(G1665&gt;=評分方法!$C$17,"列入候選",IF(G1665&gt;=評分方法!$C$18,"特定情境","不建議")))</f>
        <v>不建議</v>
      </c>
      <c r="I1665" s="15" t="n">
        <f aca="false">AE1665*評分方法!$C$5</f>
        <v>25.5</v>
      </c>
      <c r="J1665" s="15" t="n">
        <f aca="false">AF1665*評分方法!$C$6</f>
        <v>0</v>
      </c>
      <c r="K1665" s="15" t="n">
        <f aca="false">AG1665*評分方法!$C$7</f>
        <v>10.05</v>
      </c>
      <c r="L1665" s="15" t="n">
        <f aca="false">AH1665*評分方法!$C$8</f>
        <v>9</v>
      </c>
      <c r="M1665" s="15" t="n">
        <f aca="false">AI1665*評分方法!$C$9</f>
        <v>2</v>
      </c>
      <c r="N1665" s="15" t="n">
        <f aca="false">AJ1665*評分方法!$C$10</f>
        <v>6.696</v>
      </c>
      <c r="O1665" s="15" t="n">
        <f aca="false">AK1665*評分方法!$C$11</f>
        <v>1</v>
      </c>
      <c r="P1665" s="15" t="n">
        <f aca="false">AL1665*評分方法!$C$12</f>
        <v>3</v>
      </c>
      <c r="Q1665" s="6" t="n">
        <v>812247</v>
      </c>
      <c r="R1665" s="6" t="n">
        <v>12247782400</v>
      </c>
      <c r="S1665" s="11" t="s">
        <v>389</v>
      </c>
      <c r="T1665" s="5"/>
      <c r="U1665" s="5" t="s">
        <v>375</v>
      </c>
      <c r="V1665" s="11" t="s">
        <v>333</v>
      </c>
      <c r="W1665" s="5" t="s">
        <v>207</v>
      </c>
      <c r="X1665" s="5" t="s">
        <v>371</v>
      </c>
      <c r="Y1665" s="11" t="s">
        <v>771</v>
      </c>
      <c r="Z1665" s="11" t="s">
        <v>244</v>
      </c>
      <c r="AA1665" s="11" t="s">
        <v>155</v>
      </c>
      <c r="AB1665" s="5" t="s">
        <v>245</v>
      </c>
      <c r="AC1665" s="5" t="s">
        <v>464</v>
      </c>
      <c r="AD1665" s="11" t="s">
        <v>4104</v>
      </c>
      <c r="AE1665" s="23" t="n">
        <v>0.85</v>
      </c>
      <c r="AF1665" s="23" t="n">
        <v>0</v>
      </c>
      <c r="AG1665" s="23" t="n">
        <v>0.67</v>
      </c>
      <c r="AH1665" s="23" t="n">
        <v>0.6</v>
      </c>
      <c r="AI1665" s="23" t="n">
        <v>0.2</v>
      </c>
      <c r="AJ1665" s="23" t="n">
        <v>0.6696</v>
      </c>
      <c r="AK1665" s="23" t="n">
        <v>0.2</v>
      </c>
      <c r="AL1665" s="23" t="n">
        <v>0.6</v>
      </c>
      <c r="AM1665" s="16" t="n">
        <f aca="false">COUNTIFS($D$2:$D$2501,D1665,$G$2:$G$2501,"&gt;"&amp;G1665)+COUNTIFS($D$2:D1665,D1665,$G$2:G1665,G1665)</f>
        <v>782</v>
      </c>
      <c r="AN1665" s="5" t="str">
        <f aca="false">D1665&amp;"|"&amp;AM1665</f>
        <v>分析與報告生成|782</v>
      </c>
    </row>
    <row r="1666" customFormat="false" ht="17.15" hidden="false" customHeight="false" outlineLevel="0" collapsed="false">
      <c r="A1666" s="16" t="n">
        <f aca="false">RANK(G1666,$G$2:$G$2501)+COUNTIF($G$2:G1666,G1666)-1</f>
        <v>1665</v>
      </c>
      <c r="B1666" s="11" t="s">
        <v>4105</v>
      </c>
      <c r="C1666" s="11" t="s">
        <v>4106</v>
      </c>
      <c r="D1666" s="5" t="s">
        <v>56</v>
      </c>
      <c r="E1666" s="5" t="s">
        <v>57</v>
      </c>
      <c r="F1666" s="5"/>
      <c r="G1666" s="22" t="n">
        <f aca="false">ROUND(SUM(I1666:P1666),3)</f>
        <v>57.242</v>
      </c>
      <c r="H1666" s="5" t="str">
        <f aca="false">IF(G1666&gt;=評分方法!$C$16,"優先評估",IF(G1666&gt;=評分方法!$C$17,"列入候選",IF(G1666&gt;=評分方法!$C$18,"特定情境","不建議")))</f>
        <v>不建議</v>
      </c>
      <c r="I1666" s="15" t="n">
        <f aca="false">AE1666*評分方法!$C$5</f>
        <v>25.5</v>
      </c>
      <c r="J1666" s="15" t="n">
        <f aca="false">AF1666*評分方法!$C$6</f>
        <v>0</v>
      </c>
      <c r="K1666" s="15" t="n">
        <f aca="false">AG1666*評分方法!$C$7</f>
        <v>4.95</v>
      </c>
      <c r="L1666" s="15" t="n">
        <f aca="false">AH1666*評分方法!$C$8</f>
        <v>9</v>
      </c>
      <c r="M1666" s="15" t="n">
        <f aca="false">AI1666*評分方法!$C$9</f>
        <v>10</v>
      </c>
      <c r="N1666" s="15" t="n">
        <f aca="false">AJ1666*評分方法!$C$10</f>
        <v>5.292</v>
      </c>
      <c r="O1666" s="15" t="n">
        <f aca="false">AK1666*評分方法!$C$11</f>
        <v>2.5</v>
      </c>
      <c r="P1666" s="15" t="n">
        <f aca="false">AL1666*評分方法!$C$12</f>
        <v>0</v>
      </c>
      <c r="Q1666" s="6" t="n">
        <v>557531</v>
      </c>
      <c r="R1666" s="6" t="n">
        <v>25307311216</v>
      </c>
      <c r="S1666" s="11" t="s">
        <v>389</v>
      </c>
      <c r="T1666" s="11" t="s">
        <v>239</v>
      </c>
      <c r="U1666" s="5" t="s">
        <v>240</v>
      </c>
      <c r="V1666" s="11" t="s">
        <v>261</v>
      </c>
      <c r="W1666" s="5" t="s">
        <v>334</v>
      </c>
      <c r="X1666" s="5" t="s">
        <v>242</v>
      </c>
      <c r="Y1666" s="11" t="s">
        <v>4107</v>
      </c>
      <c r="Z1666" s="11" t="s">
        <v>270</v>
      </c>
      <c r="AA1666" s="11" t="s">
        <v>156</v>
      </c>
      <c r="AB1666" s="5" t="s">
        <v>245</v>
      </c>
      <c r="AC1666" s="5"/>
      <c r="AD1666" s="11" t="s">
        <v>4108</v>
      </c>
      <c r="AE1666" s="23" t="n">
        <v>0.85</v>
      </c>
      <c r="AF1666" s="23" t="n">
        <v>0</v>
      </c>
      <c r="AG1666" s="23" t="n">
        <v>0.33</v>
      </c>
      <c r="AH1666" s="23" t="n">
        <v>0.6</v>
      </c>
      <c r="AI1666" s="23" t="n">
        <v>1</v>
      </c>
      <c r="AJ1666" s="23" t="n">
        <v>0.5292</v>
      </c>
      <c r="AK1666" s="23" t="n">
        <v>0.5</v>
      </c>
      <c r="AL1666" s="23" t="n">
        <v>0</v>
      </c>
      <c r="AM1666" s="16" t="n">
        <f aca="false">COUNTIFS($D$2:$D$2501,D1666,$G$2:$G$2501,"&gt;"&amp;G1666)+COUNTIFS($D$2:D1666,D1666,$G$2:G1666,G1666)</f>
        <v>783</v>
      </c>
      <c r="AN1666" s="5" t="str">
        <f aca="false">D1666&amp;"|"&amp;AM1666</f>
        <v>分析與報告生成|783</v>
      </c>
    </row>
    <row r="1667" customFormat="false" ht="17.15" hidden="false" customHeight="false" outlineLevel="0" collapsed="false">
      <c r="A1667" s="16" t="n">
        <f aca="false">RANK(G1667,$G$2:$G$2501)+COUNTIF($G$2:G1667,G1667)-1</f>
        <v>1666</v>
      </c>
      <c r="B1667" s="11" t="s">
        <v>4109</v>
      </c>
      <c r="C1667" s="11" t="s">
        <v>681</v>
      </c>
      <c r="D1667" s="5" t="s">
        <v>74</v>
      </c>
      <c r="E1667" s="5" t="s">
        <v>75</v>
      </c>
      <c r="F1667" s="5"/>
      <c r="G1667" s="22" t="n">
        <f aca="false">ROUND(SUM(I1667:P1667),3)</f>
        <v>57.232</v>
      </c>
      <c r="H1667" s="5" t="str">
        <f aca="false">IF(G1667&gt;=評分方法!$C$16,"優先評估",IF(G1667&gt;=評分方法!$C$17,"列入候選",IF(G1667&gt;=評分方法!$C$18,"特定情境","不建議")))</f>
        <v>不建議</v>
      </c>
      <c r="I1667" s="15" t="n">
        <f aca="false">AE1667*評分方法!$C$5</f>
        <v>10.5</v>
      </c>
      <c r="J1667" s="15" t="n">
        <f aca="false">AF1667*評分方法!$C$6</f>
        <v>0</v>
      </c>
      <c r="K1667" s="15" t="n">
        <f aca="false">AG1667*評分方法!$C$7</f>
        <v>15</v>
      </c>
      <c r="L1667" s="15" t="n">
        <f aca="false">AH1667*評分方法!$C$8</f>
        <v>15</v>
      </c>
      <c r="M1667" s="15" t="n">
        <f aca="false">AI1667*評分方法!$C$9</f>
        <v>10</v>
      </c>
      <c r="N1667" s="15" t="n">
        <f aca="false">AJ1667*評分方法!$C$10</f>
        <v>4.232</v>
      </c>
      <c r="O1667" s="15" t="n">
        <f aca="false">AK1667*評分方法!$C$11</f>
        <v>1</v>
      </c>
      <c r="P1667" s="15" t="n">
        <f aca="false">AL1667*評分方法!$C$12</f>
        <v>1.5</v>
      </c>
      <c r="Q1667" s="6" t="n">
        <v>465548</v>
      </c>
      <c r="R1667" s="6" t="n">
        <v>87630032</v>
      </c>
      <c r="S1667" s="11" t="s">
        <v>238</v>
      </c>
      <c r="T1667" s="11" t="s">
        <v>239</v>
      </c>
      <c r="U1667" s="5" t="s">
        <v>240</v>
      </c>
      <c r="V1667" s="11" t="s">
        <v>855</v>
      </c>
      <c r="W1667" s="5" t="s">
        <v>205</v>
      </c>
      <c r="X1667" s="5" t="s">
        <v>255</v>
      </c>
      <c r="Y1667" s="5"/>
      <c r="Z1667" s="5"/>
      <c r="AA1667" s="11" t="s">
        <v>172</v>
      </c>
      <c r="AB1667" s="5" t="s">
        <v>245</v>
      </c>
      <c r="AC1667" s="5"/>
      <c r="AD1667" s="11" t="s">
        <v>4110</v>
      </c>
      <c r="AE1667" s="23" t="n">
        <v>0.35</v>
      </c>
      <c r="AF1667" s="23" t="n">
        <v>0</v>
      </c>
      <c r="AG1667" s="23" t="n">
        <v>1</v>
      </c>
      <c r="AH1667" s="23" t="n">
        <v>1</v>
      </c>
      <c r="AI1667" s="23" t="n">
        <v>1</v>
      </c>
      <c r="AJ1667" s="23" t="n">
        <v>0.4232</v>
      </c>
      <c r="AK1667" s="23" t="n">
        <v>0.2</v>
      </c>
      <c r="AL1667" s="23" t="n">
        <v>0.3</v>
      </c>
      <c r="AM1667" s="16" t="n">
        <f aca="false">COUNTIFS($D$2:$D$2501,D1667,$G$2:$G$2501,"&gt;"&amp;G1667)+COUNTIFS($D$2:D1667,D1667,$G$2:G1667,G1667)</f>
        <v>156</v>
      </c>
      <c r="AN1667" s="5" t="str">
        <f aca="false">D1667&amp;"|"&amp;AM1667</f>
        <v>文件與影像辨識|156</v>
      </c>
    </row>
    <row r="1668" customFormat="false" ht="17.15" hidden="false" customHeight="false" outlineLevel="0" collapsed="false">
      <c r="A1668" s="16" t="n">
        <f aca="false">RANK(G1668,$G$2:$G$2501)+COUNTIF($G$2:G1668,G1668)-1</f>
        <v>1667</v>
      </c>
      <c r="B1668" s="11" t="s">
        <v>4111</v>
      </c>
      <c r="C1668" s="11" t="s">
        <v>4112</v>
      </c>
      <c r="D1668" s="5" t="s">
        <v>58</v>
      </c>
      <c r="E1668" s="5" t="s">
        <v>59</v>
      </c>
      <c r="F1668" s="5"/>
      <c r="G1668" s="22" t="n">
        <f aca="false">ROUND(SUM(I1668:P1668),3)</f>
        <v>57.23</v>
      </c>
      <c r="H1668" s="5" t="str">
        <f aca="false">IF(G1668&gt;=評分方法!$C$16,"優先評估",IF(G1668&gt;=評分方法!$C$17,"列入候選",IF(G1668&gt;=評分方法!$C$18,"特定情境","不建議")))</f>
        <v>不建議</v>
      </c>
      <c r="I1668" s="15" t="n">
        <f aca="false">AE1668*評分方法!$C$5</f>
        <v>17.1</v>
      </c>
      <c r="J1668" s="15" t="n">
        <f aca="false">AF1668*評分方法!$C$6</f>
        <v>0</v>
      </c>
      <c r="K1668" s="15" t="n">
        <f aca="false">AG1668*評分方法!$C$7</f>
        <v>4.95</v>
      </c>
      <c r="L1668" s="15" t="n">
        <f aca="false">AH1668*評分方法!$C$8</f>
        <v>15</v>
      </c>
      <c r="M1668" s="15" t="n">
        <f aca="false">AI1668*評分方法!$C$9</f>
        <v>10</v>
      </c>
      <c r="N1668" s="15" t="n">
        <f aca="false">AJ1668*評分方法!$C$10</f>
        <v>6.18</v>
      </c>
      <c r="O1668" s="15" t="n">
        <f aca="false">AK1668*評分方法!$C$11</f>
        <v>4</v>
      </c>
      <c r="P1668" s="15" t="n">
        <f aca="false">AL1668*評分方法!$C$12</f>
        <v>0</v>
      </c>
      <c r="Q1668" s="6" t="n">
        <v>663727</v>
      </c>
      <c r="R1668" s="6" t="n">
        <v>177288994</v>
      </c>
      <c r="S1668" s="11" t="s">
        <v>238</v>
      </c>
      <c r="T1668" s="11" t="s">
        <v>278</v>
      </c>
      <c r="U1668" s="5" t="s">
        <v>240</v>
      </c>
      <c r="V1668" s="11" t="s">
        <v>261</v>
      </c>
      <c r="W1668" s="5" t="s">
        <v>334</v>
      </c>
      <c r="X1668" s="5" t="s">
        <v>242</v>
      </c>
      <c r="Y1668" s="11" t="s">
        <v>1271</v>
      </c>
      <c r="Z1668" s="11" t="s">
        <v>270</v>
      </c>
      <c r="AA1668" s="11" t="s">
        <v>150</v>
      </c>
      <c r="AB1668" s="5" t="s">
        <v>245</v>
      </c>
      <c r="AC1668" s="5" t="s">
        <v>1463</v>
      </c>
      <c r="AD1668" s="11" t="s">
        <v>4113</v>
      </c>
      <c r="AE1668" s="23" t="n">
        <v>0.57</v>
      </c>
      <c r="AF1668" s="23" t="n">
        <v>0</v>
      </c>
      <c r="AG1668" s="23" t="n">
        <v>0.33</v>
      </c>
      <c r="AH1668" s="23" t="n">
        <v>1</v>
      </c>
      <c r="AI1668" s="23" t="n">
        <v>1</v>
      </c>
      <c r="AJ1668" s="23" t="n">
        <v>0.618</v>
      </c>
      <c r="AK1668" s="23" t="n">
        <v>0.8</v>
      </c>
      <c r="AL1668" s="23" t="n">
        <v>0</v>
      </c>
      <c r="AM1668" s="16" t="n">
        <f aca="false">COUNTIFS($D$2:$D$2501,D1668,$G$2:$G$2501,"&gt;"&amp;G1668)+COUNTIFS($D$2:D1668,D1668,$G$2:G1668,G1668)</f>
        <v>294</v>
      </c>
      <c r="AN1668" s="5" t="str">
        <f aca="false">D1668&amp;"|"&amp;AM1668</f>
        <v>實體擷取與去識別化|294</v>
      </c>
    </row>
    <row r="1669" customFormat="false" ht="17.15" hidden="false" customHeight="false" outlineLevel="0" collapsed="false">
      <c r="A1669" s="16" t="n">
        <f aca="false">RANK(G1669,$G$2:$G$2501)+COUNTIF($G$2:G1669,G1669)-1</f>
        <v>1668</v>
      </c>
      <c r="B1669" s="11" t="s">
        <v>4114</v>
      </c>
      <c r="C1669" s="11" t="s">
        <v>4115</v>
      </c>
      <c r="D1669" s="5" t="s">
        <v>56</v>
      </c>
      <c r="E1669" s="5" t="s">
        <v>57</v>
      </c>
      <c r="F1669" s="5"/>
      <c r="G1669" s="22" t="n">
        <f aca="false">ROUND(SUM(I1669:P1669),3)</f>
        <v>57.214</v>
      </c>
      <c r="H1669" s="5" t="str">
        <f aca="false">IF(G1669&gt;=評分方法!$C$16,"優先評估",IF(G1669&gt;=評分方法!$C$17,"列入候選",IF(G1669&gt;=評分方法!$C$18,"特定情境","不建議")))</f>
        <v>不建議</v>
      </c>
      <c r="I1669" s="15" t="n">
        <f aca="false">AE1669*評分方法!$C$5</f>
        <v>25.5</v>
      </c>
      <c r="J1669" s="15" t="n">
        <f aca="false">AF1669*評分方法!$C$6</f>
        <v>0</v>
      </c>
      <c r="K1669" s="15" t="n">
        <f aca="false">AG1669*評分方法!$C$7</f>
        <v>4.95</v>
      </c>
      <c r="L1669" s="15" t="n">
        <f aca="false">AH1669*評分方法!$C$8</f>
        <v>15</v>
      </c>
      <c r="M1669" s="15" t="n">
        <f aca="false">AI1669*評分方法!$C$9</f>
        <v>10</v>
      </c>
      <c r="N1669" s="15" t="n">
        <f aca="false">AJ1669*評分方法!$C$10</f>
        <v>0.764</v>
      </c>
      <c r="O1669" s="15" t="n">
        <f aca="false">AK1669*評分方法!$C$11</f>
        <v>1</v>
      </c>
      <c r="P1669" s="15" t="n">
        <f aca="false">AL1669*評分方法!$C$12</f>
        <v>0</v>
      </c>
      <c r="Q1669" s="6" t="n">
        <v>145533</v>
      </c>
      <c r="R1669" s="6" t="n">
        <v>248024064</v>
      </c>
      <c r="S1669" s="11" t="s">
        <v>238</v>
      </c>
      <c r="T1669" s="11" t="s">
        <v>239</v>
      </c>
      <c r="U1669" s="5" t="s">
        <v>240</v>
      </c>
      <c r="V1669" s="11" t="s">
        <v>333</v>
      </c>
      <c r="W1669" s="5" t="s">
        <v>334</v>
      </c>
      <c r="X1669" s="5" t="s">
        <v>242</v>
      </c>
      <c r="Y1669" s="11" t="s">
        <v>4116</v>
      </c>
      <c r="Z1669" s="11" t="s">
        <v>244</v>
      </c>
      <c r="AA1669" s="11" t="s">
        <v>155</v>
      </c>
      <c r="AB1669" s="5" t="s">
        <v>496</v>
      </c>
      <c r="AC1669" s="5" t="s">
        <v>555</v>
      </c>
      <c r="AD1669" s="11" t="s">
        <v>4117</v>
      </c>
      <c r="AE1669" s="23" t="n">
        <v>0.85</v>
      </c>
      <c r="AF1669" s="23" t="n">
        <v>0</v>
      </c>
      <c r="AG1669" s="23" t="n">
        <v>0.33</v>
      </c>
      <c r="AH1669" s="23" t="n">
        <v>1</v>
      </c>
      <c r="AI1669" s="23" t="n">
        <v>1</v>
      </c>
      <c r="AJ1669" s="23" t="n">
        <v>0.0764</v>
      </c>
      <c r="AK1669" s="23" t="n">
        <v>0.2</v>
      </c>
      <c r="AL1669" s="23" t="n">
        <v>0</v>
      </c>
      <c r="AM1669" s="16" t="n">
        <f aca="false">COUNTIFS($D$2:$D$2501,D1669,$G$2:$G$2501,"&gt;"&amp;G1669)+COUNTIFS($D$2:D1669,D1669,$G$2:G1669,G1669)</f>
        <v>784</v>
      </c>
      <c r="AN1669" s="5" t="str">
        <f aca="false">D1669&amp;"|"&amp;AM1669</f>
        <v>分析與報告生成|784</v>
      </c>
    </row>
    <row r="1670" customFormat="false" ht="17.15" hidden="false" customHeight="false" outlineLevel="0" collapsed="false">
      <c r="A1670" s="16" t="n">
        <f aca="false">RANK(G1670,$G$2:$G$2501)+COUNTIF($G$2:G1670,G1670)-1</f>
        <v>1669</v>
      </c>
      <c r="B1670" s="11" t="s">
        <v>4118</v>
      </c>
      <c r="C1670" s="11" t="s">
        <v>1438</v>
      </c>
      <c r="D1670" s="5" t="s">
        <v>56</v>
      </c>
      <c r="E1670" s="5" t="s">
        <v>57</v>
      </c>
      <c r="F1670" s="5"/>
      <c r="G1670" s="22" t="n">
        <f aca="false">ROUND(SUM(I1670:P1670),3)</f>
        <v>57.21</v>
      </c>
      <c r="H1670" s="5" t="str">
        <f aca="false">IF(G1670&gt;=評分方法!$C$16,"優先評估",IF(G1670&gt;=評分方法!$C$17,"列入候選",IF(G1670&gt;=評分方法!$C$18,"特定情境","不建議")))</f>
        <v>不建議</v>
      </c>
      <c r="I1670" s="15" t="n">
        <f aca="false">AE1670*評分方法!$C$5</f>
        <v>25.5</v>
      </c>
      <c r="J1670" s="15" t="n">
        <f aca="false">AF1670*評分方法!$C$6</f>
        <v>0</v>
      </c>
      <c r="K1670" s="15" t="n">
        <f aca="false">AG1670*評分方法!$C$7</f>
        <v>10.05</v>
      </c>
      <c r="L1670" s="15" t="n">
        <f aca="false">AH1670*評分方法!$C$8</f>
        <v>9</v>
      </c>
      <c r="M1670" s="15" t="n">
        <f aca="false">AI1670*評分方法!$C$9</f>
        <v>2</v>
      </c>
      <c r="N1670" s="15" t="n">
        <f aca="false">AJ1670*評分方法!$C$10</f>
        <v>3.66</v>
      </c>
      <c r="O1670" s="15" t="n">
        <f aca="false">AK1670*評分方法!$C$11</f>
        <v>4</v>
      </c>
      <c r="P1670" s="15" t="n">
        <f aca="false">AL1670*評分方法!$C$12</f>
        <v>3</v>
      </c>
      <c r="Q1670" s="6" t="n">
        <v>371813</v>
      </c>
      <c r="R1670" s="6" t="n">
        <v>12310001152</v>
      </c>
      <c r="S1670" s="11" t="s">
        <v>389</v>
      </c>
      <c r="T1670" s="5"/>
      <c r="U1670" s="5" t="s">
        <v>375</v>
      </c>
      <c r="V1670" s="11" t="s">
        <v>333</v>
      </c>
      <c r="W1670" s="5" t="s">
        <v>207</v>
      </c>
      <c r="X1670" s="5" t="s">
        <v>371</v>
      </c>
      <c r="Y1670" s="11" t="s">
        <v>2701</v>
      </c>
      <c r="Z1670" s="11" t="s">
        <v>244</v>
      </c>
      <c r="AA1670" s="11" t="s">
        <v>155</v>
      </c>
      <c r="AB1670" s="5" t="s">
        <v>245</v>
      </c>
      <c r="AC1670" s="5" t="s">
        <v>464</v>
      </c>
      <c r="AD1670" s="11" t="s">
        <v>4119</v>
      </c>
      <c r="AE1670" s="23" t="n">
        <v>0.85</v>
      </c>
      <c r="AF1670" s="23" t="n">
        <v>0</v>
      </c>
      <c r="AG1670" s="23" t="n">
        <v>0.67</v>
      </c>
      <c r="AH1670" s="23" t="n">
        <v>0.6</v>
      </c>
      <c r="AI1670" s="23" t="n">
        <v>0.2</v>
      </c>
      <c r="AJ1670" s="23" t="n">
        <v>0.366</v>
      </c>
      <c r="AK1670" s="23" t="n">
        <v>0.8</v>
      </c>
      <c r="AL1670" s="23" t="n">
        <v>0.6</v>
      </c>
      <c r="AM1670" s="16" t="n">
        <f aca="false">COUNTIFS($D$2:$D$2501,D1670,$G$2:$G$2501,"&gt;"&amp;G1670)+COUNTIFS($D$2:D1670,D1670,$G$2:G1670,G1670)</f>
        <v>785</v>
      </c>
      <c r="AN1670" s="5" t="str">
        <f aca="false">D1670&amp;"|"&amp;AM1670</f>
        <v>分析與報告生成|785</v>
      </c>
    </row>
    <row r="1671" customFormat="false" ht="17.15" hidden="false" customHeight="false" outlineLevel="0" collapsed="false">
      <c r="A1671" s="16" t="n">
        <f aca="false">RANK(G1671,$G$2:$G$2501)+COUNTIF($G$2:G1671,G1671)-1</f>
        <v>1670</v>
      </c>
      <c r="B1671" s="11" t="s">
        <v>4120</v>
      </c>
      <c r="C1671" s="11" t="s">
        <v>2693</v>
      </c>
      <c r="D1671" s="5" t="s">
        <v>74</v>
      </c>
      <c r="E1671" s="5" t="s">
        <v>75</v>
      </c>
      <c r="F1671" s="5"/>
      <c r="G1671" s="22" t="n">
        <f aca="false">ROUND(SUM(I1671:P1671),3)</f>
        <v>57.204</v>
      </c>
      <c r="H1671" s="5" t="str">
        <f aca="false">IF(G1671&gt;=評分方法!$C$16,"優先評估",IF(G1671&gt;=評分方法!$C$17,"列入候選",IF(G1671&gt;=評分方法!$C$18,"特定情境","不建議")))</f>
        <v>不建議</v>
      </c>
      <c r="I1671" s="15" t="n">
        <f aca="false">AE1671*評分方法!$C$5</f>
        <v>10.5</v>
      </c>
      <c r="J1671" s="15" t="n">
        <f aca="false">AF1671*評分方法!$C$6</f>
        <v>0</v>
      </c>
      <c r="K1671" s="15" t="n">
        <f aca="false">AG1671*評分方法!$C$7</f>
        <v>15</v>
      </c>
      <c r="L1671" s="15" t="n">
        <f aca="false">AH1671*評分方法!$C$8</f>
        <v>15</v>
      </c>
      <c r="M1671" s="15" t="n">
        <f aca="false">AI1671*評分方法!$C$9</f>
        <v>10</v>
      </c>
      <c r="N1671" s="15" t="n">
        <f aca="false">AJ1671*評分方法!$C$10</f>
        <v>2.704</v>
      </c>
      <c r="O1671" s="15" t="n">
        <f aca="false">AK1671*評分方法!$C$11</f>
        <v>2.5</v>
      </c>
      <c r="P1671" s="15" t="n">
        <f aca="false">AL1671*評分方法!$C$12</f>
        <v>1.5</v>
      </c>
      <c r="Q1671" s="6" t="n">
        <v>267645</v>
      </c>
      <c r="R1671" s="6" t="n">
        <v>29657874</v>
      </c>
      <c r="S1671" s="11" t="s">
        <v>238</v>
      </c>
      <c r="T1671" s="11" t="s">
        <v>278</v>
      </c>
      <c r="U1671" s="5" t="s">
        <v>240</v>
      </c>
      <c r="V1671" s="11" t="s">
        <v>324</v>
      </c>
      <c r="W1671" s="5" t="s">
        <v>205</v>
      </c>
      <c r="X1671" s="5" t="s">
        <v>255</v>
      </c>
      <c r="Y1671" s="5"/>
      <c r="Z1671" s="5"/>
      <c r="AA1671" s="11" t="s">
        <v>172</v>
      </c>
      <c r="AB1671" s="5" t="s">
        <v>245</v>
      </c>
      <c r="AC1671" s="5"/>
      <c r="AD1671" s="11" t="s">
        <v>4121</v>
      </c>
      <c r="AE1671" s="23" t="n">
        <v>0.35</v>
      </c>
      <c r="AF1671" s="23" t="n">
        <v>0</v>
      </c>
      <c r="AG1671" s="23" t="n">
        <v>1</v>
      </c>
      <c r="AH1671" s="23" t="n">
        <v>1</v>
      </c>
      <c r="AI1671" s="23" t="n">
        <v>1</v>
      </c>
      <c r="AJ1671" s="23" t="n">
        <v>0.2704</v>
      </c>
      <c r="AK1671" s="23" t="n">
        <v>0.5</v>
      </c>
      <c r="AL1671" s="23" t="n">
        <v>0.3</v>
      </c>
      <c r="AM1671" s="16" t="n">
        <f aca="false">COUNTIFS($D$2:$D$2501,D1671,$G$2:$G$2501,"&gt;"&amp;G1671)+COUNTIFS($D$2:D1671,D1671,$G$2:G1671,G1671)</f>
        <v>157</v>
      </c>
      <c r="AN1671" s="5" t="str">
        <f aca="false">D1671&amp;"|"&amp;AM1671</f>
        <v>文件與影像辨識|157</v>
      </c>
    </row>
    <row r="1672" customFormat="false" ht="17.15" hidden="false" customHeight="false" outlineLevel="0" collapsed="false">
      <c r="A1672" s="16" t="n">
        <f aca="false">RANK(G1672,$G$2:$G$2501)+COUNTIF($G$2:G1672,G1672)-1</f>
        <v>1671</v>
      </c>
      <c r="B1672" s="11" t="s">
        <v>4122</v>
      </c>
      <c r="C1672" s="11" t="s">
        <v>1438</v>
      </c>
      <c r="D1672" s="5" t="s">
        <v>56</v>
      </c>
      <c r="E1672" s="5" t="s">
        <v>57</v>
      </c>
      <c r="F1672" s="5"/>
      <c r="G1672" s="22" t="n">
        <f aca="false">ROUND(SUM(I1672:P1672),3)</f>
        <v>57.194</v>
      </c>
      <c r="H1672" s="5" t="str">
        <f aca="false">IF(G1672&gt;=評分方法!$C$16,"優先評估",IF(G1672&gt;=評分方法!$C$17,"列入候選",IF(G1672&gt;=評分方法!$C$18,"特定情境","不建議")))</f>
        <v>不建議</v>
      </c>
      <c r="I1672" s="15" t="n">
        <f aca="false">AE1672*評分方法!$C$5</f>
        <v>25.5</v>
      </c>
      <c r="J1672" s="15" t="n">
        <f aca="false">AF1672*評分方法!$C$6</f>
        <v>0</v>
      </c>
      <c r="K1672" s="15" t="n">
        <f aca="false">AG1672*評分方法!$C$7</f>
        <v>10.05</v>
      </c>
      <c r="L1672" s="15" t="n">
        <f aca="false">AH1672*評分方法!$C$8</f>
        <v>9</v>
      </c>
      <c r="M1672" s="15" t="n">
        <f aca="false">AI1672*評分方法!$C$9</f>
        <v>2</v>
      </c>
      <c r="N1672" s="15" t="n">
        <f aca="false">AJ1672*評分方法!$C$10</f>
        <v>3.644</v>
      </c>
      <c r="O1672" s="15" t="n">
        <f aca="false">AK1672*評分方法!$C$11</f>
        <v>4</v>
      </c>
      <c r="P1672" s="15" t="n">
        <f aca="false">AL1672*評分方法!$C$12</f>
        <v>3</v>
      </c>
      <c r="Q1672" s="6" t="n">
        <v>369399</v>
      </c>
      <c r="R1672" s="6" t="n">
        <v>13506073600</v>
      </c>
      <c r="S1672" s="11" t="s">
        <v>389</v>
      </c>
      <c r="T1672" s="5"/>
      <c r="U1672" s="5" t="s">
        <v>375</v>
      </c>
      <c r="V1672" s="11" t="s">
        <v>333</v>
      </c>
      <c r="W1672" s="5" t="s">
        <v>207</v>
      </c>
      <c r="X1672" s="5" t="s">
        <v>371</v>
      </c>
      <c r="Y1672" s="11" t="s">
        <v>1032</v>
      </c>
      <c r="Z1672" s="11" t="s">
        <v>244</v>
      </c>
      <c r="AA1672" s="11" t="s">
        <v>155</v>
      </c>
      <c r="AB1672" s="5" t="s">
        <v>245</v>
      </c>
      <c r="AC1672" s="5" t="s">
        <v>464</v>
      </c>
      <c r="AD1672" s="11" t="s">
        <v>4123</v>
      </c>
      <c r="AE1672" s="23" t="n">
        <v>0.85</v>
      </c>
      <c r="AF1672" s="23" t="n">
        <v>0</v>
      </c>
      <c r="AG1672" s="23" t="n">
        <v>0.67</v>
      </c>
      <c r="AH1672" s="23" t="n">
        <v>0.6</v>
      </c>
      <c r="AI1672" s="23" t="n">
        <v>0.2</v>
      </c>
      <c r="AJ1672" s="23" t="n">
        <v>0.3644</v>
      </c>
      <c r="AK1672" s="23" t="n">
        <v>0.8</v>
      </c>
      <c r="AL1672" s="23" t="n">
        <v>0.6</v>
      </c>
      <c r="AM1672" s="16" t="n">
        <f aca="false">COUNTIFS($D$2:$D$2501,D1672,$G$2:$G$2501,"&gt;"&amp;G1672)+COUNTIFS($D$2:D1672,D1672,$G$2:G1672,G1672)</f>
        <v>786</v>
      </c>
      <c r="AN1672" s="5" t="str">
        <f aca="false">D1672&amp;"|"&amp;AM1672</f>
        <v>分析與報告生成|786</v>
      </c>
    </row>
    <row r="1673" customFormat="false" ht="17.15" hidden="false" customHeight="false" outlineLevel="0" collapsed="false">
      <c r="A1673" s="16" t="n">
        <f aca="false">RANK(G1673,$G$2:$G$2501)+COUNTIF($G$2:G1673,G1673)-1</f>
        <v>1672</v>
      </c>
      <c r="B1673" s="11" t="s">
        <v>4124</v>
      </c>
      <c r="C1673" s="11" t="s">
        <v>4125</v>
      </c>
      <c r="D1673" s="5" t="s">
        <v>56</v>
      </c>
      <c r="E1673" s="5" t="s">
        <v>57</v>
      </c>
      <c r="F1673" s="5"/>
      <c r="G1673" s="22" t="n">
        <f aca="false">ROUND(SUM(I1673:P1673),3)</f>
        <v>57.172</v>
      </c>
      <c r="H1673" s="5" t="str">
        <f aca="false">IF(G1673&gt;=評分方法!$C$16,"優先評估",IF(G1673&gt;=評分方法!$C$17,"列入候選",IF(G1673&gt;=評分方法!$C$18,"特定情境","不建議")))</f>
        <v>不建議</v>
      </c>
      <c r="I1673" s="15" t="n">
        <f aca="false">AE1673*評分方法!$C$5</f>
        <v>25.5</v>
      </c>
      <c r="J1673" s="15" t="n">
        <f aca="false">AF1673*評分方法!$C$6</f>
        <v>0</v>
      </c>
      <c r="K1673" s="15" t="n">
        <f aca="false">AG1673*評分方法!$C$7</f>
        <v>4.95</v>
      </c>
      <c r="L1673" s="15" t="n">
        <f aca="false">AH1673*評分方法!$C$8</f>
        <v>7.05</v>
      </c>
      <c r="M1673" s="15" t="n">
        <f aca="false">AI1673*評分方法!$C$9</f>
        <v>10</v>
      </c>
      <c r="N1673" s="15" t="n">
        <f aca="false">AJ1673*評分方法!$C$10</f>
        <v>1.672</v>
      </c>
      <c r="O1673" s="15" t="n">
        <f aca="false">AK1673*評分方法!$C$11</f>
        <v>5</v>
      </c>
      <c r="P1673" s="15" t="n">
        <f aca="false">AL1673*評分方法!$C$12</f>
        <v>3</v>
      </c>
      <c r="Q1673" s="6" t="n">
        <v>189032</v>
      </c>
      <c r="R1673" s="6"/>
      <c r="S1673" s="5" t="s">
        <v>255</v>
      </c>
      <c r="T1673" s="11" t="s">
        <v>239</v>
      </c>
      <c r="U1673" s="5" t="s">
        <v>240</v>
      </c>
      <c r="V1673" s="11" t="s">
        <v>261</v>
      </c>
      <c r="W1673" s="5" t="s">
        <v>334</v>
      </c>
      <c r="X1673" s="5" t="s">
        <v>371</v>
      </c>
      <c r="Y1673" s="5"/>
      <c r="Z1673" s="5"/>
      <c r="AA1673" s="11" t="s">
        <v>155</v>
      </c>
      <c r="AB1673" s="5" t="s">
        <v>245</v>
      </c>
      <c r="AC1673" s="5"/>
      <c r="AD1673" s="11" t="s">
        <v>4126</v>
      </c>
      <c r="AE1673" s="23" t="n">
        <v>0.85</v>
      </c>
      <c r="AF1673" s="23" t="n">
        <v>0</v>
      </c>
      <c r="AG1673" s="23" t="n">
        <v>0.33</v>
      </c>
      <c r="AH1673" s="23" t="n">
        <v>0.47</v>
      </c>
      <c r="AI1673" s="23" t="n">
        <v>1</v>
      </c>
      <c r="AJ1673" s="23" t="n">
        <v>0.1672</v>
      </c>
      <c r="AK1673" s="23" t="n">
        <v>1</v>
      </c>
      <c r="AL1673" s="23" t="n">
        <v>0.6</v>
      </c>
      <c r="AM1673" s="16" t="n">
        <f aca="false">COUNTIFS($D$2:$D$2501,D1673,$G$2:$G$2501,"&gt;"&amp;G1673)+COUNTIFS($D$2:D1673,D1673,$G$2:G1673,G1673)</f>
        <v>787</v>
      </c>
      <c r="AN1673" s="5" t="str">
        <f aca="false">D1673&amp;"|"&amp;AM1673</f>
        <v>分析與報告生成|787</v>
      </c>
    </row>
    <row r="1674" customFormat="false" ht="17.15" hidden="false" customHeight="false" outlineLevel="0" collapsed="false">
      <c r="A1674" s="16" t="n">
        <f aca="false">RANK(G1674,$G$2:$G$2501)+COUNTIF($G$2:G1674,G1674)-1</f>
        <v>1673</v>
      </c>
      <c r="B1674" s="11" t="s">
        <v>4127</v>
      </c>
      <c r="C1674" s="11" t="s">
        <v>2693</v>
      </c>
      <c r="D1674" s="5" t="s">
        <v>74</v>
      </c>
      <c r="E1674" s="5" t="s">
        <v>75</v>
      </c>
      <c r="F1674" s="5"/>
      <c r="G1674" s="22" t="n">
        <f aca="false">ROUND(SUM(I1674:P1674),3)</f>
        <v>57.14</v>
      </c>
      <c r="H1674" s="5" t="str">
        <f aca="false">IF(G1674&gt;=評分方法!$C$16,"優先評估",IF(G1674&gt;=評分方法!$C$17,"列入候選",IF(G1674&gt;=評分方法!$C$18,"特定情境","不建議")))</f>
        <v>不建議</v>
      </c>
      <c r="I1674" s="15" t="n">
        <f aca="false">AE1674*評分方法!$C$5</f>
        <v>10.5</v>
      </c>
      <c r="J1674" s="15" t="n">
        <f aca="false">AF1674*評分方法!$C$6</f>
        <v>0</v>
      </c>
      <c r="K1674" s="15" t="n">
        <f aca="false">AG1674*評分方法!$C$7</f>
        <v>15</v>
      </c>
      <c r="L1674" s="15" t="n">
        <f aca="false">AH1674*評分方法!$C$8</f>
        <v>15</v>
      </c>
      <c r="M1674" s="15" t="n">
        <f aca="false">AI1674*評分方法!$C$9</f>
        <v>10</v>
      </c>
      <c r="N1674" s="15" t="n">
        <f aca="false">AJ1674*評分方法!$C$10</f>
        <v>2.64</v>
      </c>
      <c r="O1674" s="15" t="n">
        <f aca="false">AK1674*評分方法!$C$11</f>
        <v>2.5</v>
      </c>
      <c r="P1674" s="15" t="n">
        <f aca="false">AL1674*評分方法!$C$12</f>
        <v>1.5</v>
      </c>
      <c r="Q1674" s="6" t="n">
        <v>264129</v>
      </c>
      <c r="R1674" s="6" t="n">
        <v>27628120</v>
      </c>
      <c r="S1674" s="11" t="s">
        <v>238</v>
      </c>
      <c r="T1674" s="11" t="s">
        <v>239</v>
      </c>
      <c r="U1674" s="5" t="s">
        <v>240</v>
      </c>
      <c r="V1674" s="11" t="s">
        <v>324</v>
      </c>
      <c r="W1674" s="5" t="s">
        <v>205</v>
      </c>
      <c r="X1674" s="5" t="s">
        <v>255</v>
      </c>
      <c r="Y1674" s="5"/>
      <c r="Z1674" s="5"/>
      <c r="AA1674" s="11" t="s">
        <v>172</v>
      </c>
      <c r="AB1674" s="5" t="s">
        <v>245</v>
      </c>
      <c r="AC1674" s="5"/>
      <c r="AD1674" s="11" t="s">
        <v>4128</v>
      </c>
      <c r="AE1674" s="23" t="n">
        <v>0.35</v>
      </c>
      <c r="AF1674" s="23" t="n">
        <v>0</v>
      </c>
      <c r="AG1674" s="23" t="n">
        <v>1</v>
      </c>
      <c r="AH1674" s="23" t="n">
        <v>1</v>
      </c>
      <c r="AI1674" s="23" t="n">
        <v>1</v>
      </c>
      <c r="AJ1674" s="23" t="n">
        <v>0.264</v>
      </c>
      <c r="AK1674" s="23" t="n">
        <v>0.5</v>
      </c>
      <c r="AL1674" s="23" t="n">
        <v>0.3</v>
      </c>
      <c r="AM1674" s="16" t="n">
        <f aca="false">COUNTIFS($D$2:$D$2501,D1674,$G$2:$G$2501,"&gt;"&amp;G1674)+COUNTIFS($D$2:D1674,D1674,$G$2:G1674,G1674)</f>
        <v>158</v>
      </c>
      <c r="AN1674" s="5" t="str">
        <f aca="false">D1674&amp;"|"&amp;AM1674</f>
        <v>文件與影像辨識|158</v>
      </c>
    </row>
    <row r="1675" customFormat="false" ht="17.15" hidden="false" customHeight="false" outlineLevel="0" collapsed="false">
      <c r="A1675" s="16" t="n">
        <f aca="false">RANK(G1675,$G$2:$G$2501)+COUNTIF($G$2:G1675,G1675)-1</f>
        <v>1674</v>
      </c>
      <c r="B1675" s="11" t="s">
        <v>4129</v>
      </c>
      <c r="C1675" s="11" t="s">
        <v>4130</v>
      </c>
      <c r="D1675" s="5" t="s">
        <v>56</v>
      </c>
      <c r="E1675" s="5" t="s">
        <v>57</v>
      </c>
      <c r="F1675" s="5"/>
      <c r="G1675" s="22" t="n">
        <f aca="false">ROUND(SUM(I1675:P1675),3)</f>
        <v>57.14</v>
      </c>
      <c r="H1675" s="5" t="str">
        <f aca="false">IF(G1675&gt;=評分方法!$C$16,"優先評估",IF(G1675&gt;=評分方法!$C$17,"列入候選",IF(G1675&gt;=評分方法!$C$18,"特定情境","不建議")))</f>
        <v>不建議</v>
      </c>
      <c r="I1675" s="15" t="n">
        <f aca="false">AE1675*評分方法!$C$5</f>
        <v>25.5</v>
      </c>
      <c r="J1675" s="15" t="n">
        <f aca="false">AF1675*評分方法!$C$6</f>
        <v>0</v>
      </c>
      <c r="K1675" s="15" t="n">
        <f aca="false">AG1675*評分方法!$C$7</f>
        <v>4.95</v>
      </c>
      <c r="L1675" s="15" t="n">
        <f aca="false">AH1675*評分方法!$C$8</f>
        <v>13.05</v>
      </c>
      <c r="M1675" s="15" t="n">
        <f aca="false">AI1675*評分方法!$C$9</f>
        <v>10</v>
      </c>
      <c r="N1675" s="15" t="n">
        <f aca="false">AJ1675*評分方法!$C$10</f>
        <v>1.14</v>
      </c>
      <c r="O1675" s="15" t="n">
        <f aca="false">AK1675*評分方法!$C$11</f>
        <v>2.5</v>
      </c>
      <c r="P1675" s="15" t="n">
        <f aca="false">AL1675*評分方法!$C$12</f>
        <v>0</v>
      </c>
      <c r="Q1675" s="6" t="n">
        <v>158849</v>
      </c>
      <c r="R1675" s="6" t="n">
        <v>7000559616</v>
      </c>
      <c r="S1675" s="11" t="s">
        <v>254</v>
      </c>
      <c r="T1675" s="11" t="s">
        <v>239</v>
      </c>
      <c r="U1675" s="5" t="s">
        <v>240</v>
      </c>
      <c r="V1675" s="11" t="s">
        <v>261</v>
      </c>
      <c r="W1675" s="5" t="s">
        <v>334</v>
      </c>
      <c r="X1675" s="5" t="s">
        <v>242</v>
      </c>
      <c r="Y1675" s="5"/>
      <c r="Z1675" s="5"/>
      <c r="AA1675" s="11" t="s">
        <v>155</v>
      </c>
      <c r="AB1675" s="5" t="s">
        <v>245</v>
      </c>
      <c r="AC1675" s="5"/>
      <c r="AD1675" s="11" t="s">
        <v>4131</v>
      </c>
      <c r="AE1675" s="23" t="n">
        <v>0.85</v>
      </c>
      <c r="AF1675" s="23" t="n">
        <v>0</v>
      </c>
      <c r="AG1675" s="23" t="n">
        <v>0.33</v>
      </c>
      <c r="AH1675" s="23" t="n">
        <v>0.87</v>
      </c>
      <c r="AI1675" s="23" t="n">
        <v>1</v>
      </c>
      <c r="AJ1675" s="23" t="n">
        <v>0.114</v>
      </c>
      <c r="AK1675" s="23" t="n">
        <v>0.5</v>
      </c>
      <c r="AL1675" s="23" t="n">
        <v>0</v>
      </c>
      <c r="AM1675" s="16" t="n">
        <f aca="false">COUNTIFS($D$2:$D$2501,D1675,$G$2:$G$2501,"&gt;"&amp;G1675)+COUNTIFS($D$2:D1675,D1675,$G$2:G1675,G1675)</f>
        <v>788</v>
      </c>
      <c r="AN1675" s="5" t="str">
        <f aca="false">D1675&amp;"|"&amp;AM1675</f>
        <v>分析與報告生成|788</v>
      </c>
    </row>
    <row r="1676" customFormat="false" ht="17.15" hidden="false" customHeight="false" outlineLevel="0" collapsed="false">
      <c r="A1676" s="16" t="n">
        <f aca="false">RANK(G1676,$G$2:$G$2501)+COUNTIF($G$2:G1676,G1676)-1</f>
        <v>1675</v>
      </c>
      <c r="B1676" s="11" t="s">
        <v>4132</v>
      </c>
      <c r="C1676" s="11" t="s">
        <v>258</v>
      </c>
      <c r="D1676" s="5" t="s">
        <v>56</v>
      </c>
      <c r="E1676" s="5" t="s">
        <v>57</v>
      </c>
      <c r="F1676" s="5"/>
      <c r="G1676" s="22" t="n">
        <f aca="false">ROUND(SUM(I1676:P1676),3)</f>
        <v>57.138</v>
      </c>
      <c r="H1676" s="5" t="str">
        <f aca="false">IF(G1676&gt;=評分方法!$C$16,"優先評估",IF(G1676&gt;=評分方法!$C$17,"列入候選",IF(G1676&gt;=評分方法!$C$18,"特定情境","不建議")))</f>
        <v>不建議</v>
      </c>
      <c r="I1676" s="15" t="n">
        <f aca="false">AE1676*評分方法!$C$5</f>
        <v>25.5</v>
      </c>
      <c r="J1676" s="15" t="n">
        <f aca="false">AF1676*評分方法!$C$6</f>
        <v>0</v>
      </c>
      <c r="K1676" s="15" t="n">
        <f aca="false">AG1676*評分方法!$C$7</f>
        <v>15</v>
      </c>
      <c r="L1676" s="15" t="n">
        <f aca="false">AH1676*評分方法!$C$8</f>
        <v>4.95</v>
      </c>
      <c r="M1676" s="15" t="n">
        <f aca="false">AI1676*評分方法!$C$9</f>
        <v>6</v>
      </c>
      <c r="N1676" s="15" t="n">
        <f aca="false">AJ1676*評分方法!$C$10</f>
        <v>3.188</v>
      </c>
      <c r="O1676" s="15" t="n">
        <f aca="false">AK1676*評分方法!$C$11</f>
        <v>2.5</v>
      </c>
      <c r="P1676" s="15" t="n">
        <f aca="false">AL1676*評分方法!$C$12</f>
        <v>0</v>
      </c>
      <c r="Q1676" s="6" t="n">
        <v>313776</v>
      </c>
      <c r="R1676" s="6" t="n">
        <v>88593355323</v>
      </c>
      <c r="S1676" s="11" t="s">
        <v>1876</v>
      </c>
      <c r="T1676" s="11" t="s">
        <v>1044</v>
      </c>
      <c r="U1676" s="5" t="s">
        <v>260</v>
      </c>
      <c r="V1676" s="11" t="s">
        <v>324</v>
      </c>
      <c r="W1676" s="5" t="s">
        <v>205</v>
      </c>
      <c r="X1676" s="5" t="s">
        <v>242</v>
      </c>
      <c r="Y1676" s="5"/>
      <c r="Z1676" s="5"/>
      <c r="AA1676" s="11" t="s">
        <v>156</v>
      </c>
      <c r="AB1676" s="5" t="s">
        <v>245</v>
      </c>
      <c r="AC1676" s="5" t="s">
        <v>262</v>
      </c>
      <c r="AD1676" s="11" t="s">
        <v>4133</v>
      </c>
      <c r="AE1676" s="23" t="n">
        <v>0.85</v>
      </c>
      <c r="AF1676" s="23" t="n">
        <v>0</v>
      </c>
      <c r="AG1676" s="23" t="n">
        <v>1</v>
      </c>
      <c r="AH1676" s="23" t="n">
        <v>0.33</v>
      </c>
      <c r="AI1676" s="23" t="n">
        <v>0.6</v>
      </c>
      <c r="AJ1676" s="23" t="n">
        <v>0.3188</v>
      </c>
      <c r="AK1676" s="23" t="n">
        <v>0.5</v>
      </c>
      <c r="AL1676" s="23" t="n">
        <v>0</v>
      </c>
      <c r="AM1676" s="16" t="n">
        <f aca="false">COUNTIFS($D$2:$D$2501,D1676,$G$2:$G$2501,"&gt;"&amp;G1676)+COUNTIFS($D$2:D1676,D1676,$G$2:G1676,G1676)</f>
        <v>789</v>
      </c>
      <c r="AN1676" s="5" t="str">
        <f aca="false">D1676&amp;"|"&amp;AM1676</f>
        <v>分析與報告生成|789</v>
      </c>
    </row>
    <row r="1677" customFormat="false" ht="17.15" hidden="false" customHeight="false" outlineLevel="0" collapsed="false">
      <c r="A1677" s="16" t="n">
        <f aca="false">RANK(G1677,$G$2:$G$2501)+COUNTIF($G$2:G1677,G1677)-1</f>
        <v>1676</v>
      </c>
      <c r="B1677" s="11" t="s">
        <v>4134</v>
      </c>
      <c r="C1677" s="11" t="s">
        <v>2798</v>
      </c>
      <c r="D1677" s="5" t="s">
        <v>54</v>
      </c>
      <c r="E1677" s="5" t="s">
        <v>55</v>
      </c>
      <c r="F1677" s="5"/>
      <c r="G1677" s="22" t="n">
        <f aca="false">ROUND(SUM(I1677:P1677),3)</f>
        <v>57.138</v>
      </c>
      <c r="H1677" s="5" t="str">
        <f aca="false">IF(G1677&gt;=評分方法!$C$16,"優先評估",IF(G1677&gt;=評分方法!$C$17,"列入候選",IF(G1677&gt;=評分方法!$C$18,"特定情境","不建議")))</f>
        <v>不建議</v>
      </c>
      <c r="I1677" s="15" t="n">
        <f aca="false">AE1677*評分方法!$C$5</f>
        <v>27</v>
      </c>
      <c r="J1677" s="15" t="n">
        <f aca="false">AF1677*評分方法!$C$6</f>
        <v>0</v>
      </c>
      <c r="K1677" s="15" t="n">
        <f aca="false">AG1677*評分方法!$C$7</f>
        <v>4.95</v>
      </c>
      <c r="L1677" s="15" t="n">
        <f aca="false">AH1677*評分方法!$C$8</f>
        <v>15</v>
      </c>
      <c r="M1677" s="15" t="n">
        <f aca="false">AI1677*評分方法!$C$9</f>
        <v>6</v>
      </c>
      <c r="N1677" s="15" t="n">
        <f aca="false">AJ1677*評分方法!$C$10</f>
        <v>1.688</v>
      </c>
      <c r="O1677" s="15" t="n">
        <f aca="false">AK1677*評分方法!$C$11</f>
        <v>2.5</v>
      </c>
      <c r="P1677" s="15" t="n">
        <f aca="false">AL1677*評分方法!$C$12</f>
        <v>0</v>
      </c>
      <c r="Q1677" s="6" t="n">
        <v>189816</v>
      </c>
      <c r="R1677" s="6" t="n">
        <v>109486978</v>
      </c>
      <c r="S1677" s="11" t="s">
        <v>238</v>
      </c>
      <c r="T1677" s="11" t="s">
        <v>185</v>
      </c>
      <c r="U1677" s="5" t="s">
        <v>260</v>
      </c>
      <c r="V1677" s="11" t="s">
        <v>324</v>
      </c>
      <c r="W1677" s="5" t="s">
        <v>334</v>
      </c>
      <c r="X1677" s="5" t="s">
        <v>242</v>
      </c>
      <c r="Y1677" s="5"/>
      <c r="Z1677" s="5"/>
      <c r="AA1677" s="11" t="s">
        <v>152</v>
      </c>
      <c r="AB1677" s="5" t="s">
        <v>245</v>
      </c>
      <c r="AC1677" s="5" t="s">
        <v>262</v>
      </c>
      <c r="AD1677" s="11" t="s">
        <v>4135</v>
      </c>
      <c r="AE1677" s="23" t="n">
        <v>0.9</v>
      </c>
      <c r="AF1677" s="23" t="n">
        <v>0</v>
      </c>
      <c r="AG1677" s="23" t="n">
        <v>0.33</v>
      </c>
      <c r="AH1677" s="23" t="n">
        <v>1</v>
      </c>
      <c r="AI1677" s="23" t="n">
        <v>0.6</v>
      </c>
      <c r="AJ1677" s="23" t="n">
        <v>0.1688</v>
      </c>
      <c r="AK1677" s="23" t="n">
        <v>0.5</v>
      </c>
      <c r="AL1677" s="23" t="n">
        <v>0</v>
      </c>
      <c r="AM1677" s="16" t="n">
        <f aca="false">COUNTIFS($D$2:$D$2501,D1677,$G$2:$G$2501,"&gt;"&amp;G1677)+COUNTIFS($D$2:D1677,D1677,$G$2:G1677,G1677)</f>
        <v>211</v>
      </c>
      <c r="AN1677" s="5" t="str">
        <f aca="false">D1677&amp;"|"&amp;AM1677</f>
        <v>檢索與情資關聯|211</v>
      </c>
    </row>
    <row r="1678" customFormat="false" ht="17.15" hidden="false" customHeight="false" outlineLevel="0" collapsed="false">
      <c r="A1678" s="16" t="n">
        <f aca="false">RANK(G1678,$G$2:$G$2501)+COUNTIF($G$2:G1678,G1678)-1</f>
        <v>1677</v>
      </c>
      <c r="B1678" s="11" t="s">
        <v>4136</v>
      </c>
      <c r="C1678" s="11" t="s">
        <v>4137</v>
      </c>
      <c r="D1678" s="5" t="s">
        <v>66</v>
      </c>
      <c r="E1678" s="5" t="s">
        <v>67</v>
      </c>
      <c r="F1678" s="5"/>
      <c r="G1678" s="22" t="n">
        <f aca="false">ROUND(SUM(I1678:P1678),3)</f>
        <v>57.134</v>
      </c>
      <c r="H1678" s="5" t="str">
        <f aca="false">IF(G1678&gt;=評分方法!$C$16,"優先評估",IF(G1678&gt;=評分方法!$C$17,"列入候選",IF(G1678&gt;=評分方法!$C$18,"特定情境","不建議")))</f>
        <v>不建議</v>
      </c>
      <c r="I1678" s="15" t="n">
        <f aca="false">AE1678*評分方法!$C$5</f>
        <v>30</v>
      </c>
      <c r="J1678" s="15" t="n">
        <f aca="false">AF1678*評分方法!$C$6</f>
        <v>0</v>
      </c>
      <c r="K1678" s="15" t="n">
        <f aca="false">AG1678*評分方法!$C$7</f>
        <v>4.95</v>
      </c>
      <c r="L1678" s="15" t="n">
        <f aca="false">AH1678*評分方法!$C$8</f>
        <v>15</v>
      </c>
      <c r="M1678" s="15" t="n">
        <f aca="false">AI1678*評分方法!$C$9</f>
        <v>2</v>
      </c>
      <c r="N1678" s="15" t="n">
        <f aca="false">AJ1678*評分方法!$C$10</f>
        <v>2.684</v>
      </c>
      <c r="O1678" s="15" t="n">
        <f aca="false">AK1678*評分方法!$C$11</f>
        <v>1</v>
      </c>
      <c r="P1678" s="15" t="n">
        <f aca="false">AL1678*評分方法!$C$12</f>
        <v>1.5</v>
      </c>
      <c r="Q1678" s="6" t="n">
        <v>265813</v>
      </c>
      <c r="R1678" s="6" t="n">
        <v>184424451</v>
      </c>
      <c r="S1678" s="11" t="s">
        <v>238</v>
      </c>
      <c r="T1678" s="5"/>
      <c r="U1678" s="5" t="s">
        <v>375</v>
      </c>
      <c r="V1678" s="11" t="s">
        <v>261</v>
      </c>
      <c r="W1678" s="5" t="s">
        <v>334</v>
      </c>
      <c r="X1678" s="5" t="s">
        <v>255</v>
      </c>
      <c r="Y1678" s="5"/>
      <c r="Z1678" s="5"/>
      <c r="AA1678" s="11" t="s">
        <v>149</v>
      </c>
      <c r="AB1678" s="5" t="s">
        <v>245</v>
      </c>
      <c r="AC1678" s="5" t="s">
        <v>262</v>
      </c>
      <c r="AD1678" s="11" t="s">
        <v>4138</v>
      </c>
      <c r="AE1678" s="23" t="n">
        <v>1</v>
      </c>
      <c r="AF1678" s="23" t="n">
        <v>0</v>
      </c>
      <c r="AG1678" s="23" t="n">
        <v>0.33</v>
      </c>
      <c r="AH1678" s="23" t="n">
        <v>1</v>
      </c>
      <c r="AI1678" s="23" t="n">
        <v>0.2</v>
      </c>
      <c r="AJ1678" s="23" t="n">
        <v>0.2684</v>
      </c>
      <c r="AK1678" s="23" t="n">
        <v>0.2</v>
      </c>
      <c r="AL1678" s="23" t="n">
        <v>0.3</v>
      </c>
      <c r="AM1678" s="16" t="n">
        <f aca="false">COUNTIFS($D$2:$D$2501,D1678,$G$2:$G$2501,"&gt;"&amp;G1678)+COUNTIFS($D$2:D1678,D1678,$G$2:G1678,G1678)</f>
        <v>48</v>
      </c>
      <c r="AN1678" s="5" t="str">
        <f aca="false">D1678&amp;"|"&amp;AM1678</f>
        <v>分類與偵測|48</v>
      </c>
    </row>
    <row r="1679" customFormat="false" ht="17.15" hidden="false" customHeight="false" outlineLevel="0" collapsed="false">
      <c r="A1679" s="16" t="n">
        <f aca="false">RANK(G1679,$G$2:$G$2501)+COUNTIF($G$2:G1679,G1679)-1</f>
        <v>1678</v>
      </c>
      <c r="B1679" s="11" t="s">
        <v>4139</v>
      </c>
      <c r="C1679" s="11" t="s">
        <v>4137</v>
      </c>
      <c r="D1679" s="5" t="s">
        <v>66</v>
      </c>
      <c r="E1679" s="5" t="s">
        <v>67</v>
      </c>
      <c r="F1679" s="5"/>
      <c r="G1679" s="22" t="n">
        <f aca="false">ROUND(SUM(I1679:P1679),3)</f>
        <v>57.13</v>
      </c>
      <c r="H1679" s="5" t="str">
        <f aca="false">IF(G1679&gt;=評分方法!$C$16,"優先評估",IF(G1679&gt;=評分方法!$C$17,"列入候選",IF(G1679&gt;=評分方法!$C$18,"特定情境","不建議")))</f>
        <v>不建議</v>
      </c>
      <c r="I1679" s="15" t="n">
        <f aca="false">AE1679*評分方法!$C$5</f>
        <v>30</v>
      </c>
      <c r="J1679" s="15" t="n">
        <f aca="false">AF1679*評分方法!$C$6</f>
        <v>0</v>
      </c>
      <c r="K1679" s="15" t="n">
        <f aca="false">AG1679*評分方法!$C$7</f>
        <v>4.95</v>
      </c>
      <c r="L1679" s="15" t="n">
        <f aca="false">AH1679*評分方法!$C$8</f>
        <v>15</v>
      </c>
      <c r="M1679" s="15" t="n">
        <f aca="false">AI1679*評分方法!$C$9</f>
        <v>2</v>
      </c>
      <c r="N1679" s="15" t="n">
        <f aca="false">AJ1679*評分方法!$C$10</f>
        <v>2.68</v>
      </c>
      <c r="O1679" s="15" t="n">
        <f aca="false">AK1679*評分方法!$C$11</f>
        <v>1</v>
      </c>
      <c r="P1679" s="15" t="n">
        <f aca="false">AL1679*評分方法!$C$12</f>
        <v>1.5</v>
      </c>
      <c r="Q1679" s="6" t="n">
        <v>265795</v>
      </c>
      <c r="R1679" s="6" t="n">
        <v>184424451</v>
      </c>
      <c r="S1679" s="11" t="s">
        <v>238</v>
      </c>
      <c r="T1679" s="5"/>
      <c r="U1679" s="5" t="s">
        <v>375</v>
      </c>
      <c r="V1679" s="11" t="s">
        <v>261</v>
      </c>
      <c r="W1679" s="5" t="s">
        <v>334</v>
      </c>
      <c r="X1679" s="5" t="s">
        <v>255</v>
      </c>
      <c r="Y1679" s="5"/>
      <c r="Z1679" s="5"/>
      <c r="AA1679" s="11" t="s">
        <v>149</v>
      </c>
      <c r="AB1679" s="5" t="s">
        <v>245</v>
      </c>
      <c r="AC1679" s="5" t="s">
        <v>262</v>
      </c>
      <c r="AD1679" s="11" t="s">
        <v>4140</v>
      </c>
      <c r="AE1679" s="23" t="n">
        <v>1</v>
      </c>
      <c r="AF1679" s="23" t="n">
        <v>0</v>
      </c>
      <c r="AG1679" s="23" t="n">
        <v>0.33</v>
      </c>
      <c r="AH1679" s="23" t="n">
        <v>1</v>
      </c>
      <c r="AI1679" s="23" t="n">
        <v>0.2</v>
      </c>
      <c r="AJ1679" s="23" t="n">
        <v>0.268</v>
      </c>
      <c r="AK1679" s="23" t="n">
        <v>0.2</v>
      </c>
      <c r="AL1679" s="23" t="n">
        <v>0.3</v>
      </c>
      <c r="AM1679" s="16" t="n">
        <f aca="false">COUNTIFS($D$2:$D$2501,D1679,$G$2:$G$2501,"&gt;"&amp;G1679)+COUNTIFS($D$2:D1679,D1679,$G$2:G1679,G1679)</f>
        <v>49</v>
      </c>
      <c r="AN1679" s="5" t="str">
        <f aca="false">D1679&amp;"|"&amp;AM1679</f>
        <v>分類與偵測|49</v>
      </c>
    </row>
    <row r="1680" customFormat="false" ht="17.15" hidden="false" customHeight="false" outlineLevel="0" collapsed="false">
      <c r="A1680" s="16" t="n">
        <f aca="false">RANK(G1680,$G$2:$G$2501)+COUNTIF($G$2:G1680,G1680)-1</f>
        <v>1679</v>
      </c>
      <c r="B1680" s="11" t="s">
        <v>4141</v>
      </c>
      <c r="C1680" s="11" t="s">
        <v>4137</v>
      </c>
      <c r="D1680" s="5" t="s">
        <v>66</v>
      </c>
      <c r="E1680" s="5" t="s">
        <v>67</v>
      </c>
      <c r="F1680" s="5"/>
      <c r="G1680" s="22" t="n">
        <f aca="false">ROUND(SUM(I1680:P1680),3)</f>
        <v>57.126</v>
      </c>
      <c r="H1680" s="5" t="str">
        <f aca="false">IF(G1680&gt;=評分方法!$C$16,"優先評估",IF(G1680&gt;=評分方法!$C$17,"列入候選",IF(G1680&gt;=評分方法!$C$18,"特定情境","不建議")))</f>
        <v>不建議</v>
      </c>
      <c r="I1680" s="15" t="n">
        <f aca="false">AE1680*評分方法!$C$5</f>
        <v>30</v>
      </c>
      <c r="J1680" s="15" t="n">
        <f aca="false">AF1680*評分方法!$C$6</f>
        <v>0</v>
      </c>
      <c r="K1680" s="15" t="n">
        <f aca="false">AG1680*評分方法!$C$7</f>
        <v>4.95</v>
      </c>
      <c r="L1680" s="15" t="n">
        <f aca="false">AH1680*評分方法!$C$8</f>
        <v>15</v>
      </c>
      <c r="M1680" s="15" t="n">
        <f aca="false">AI1680*評分方法!$C$9</f>
        <v>2</v>
      </c>
      <c r="N1680" s="15" t="n">
        <f aca="false">AJ1680*評分方法!$C$10</f>
        <v>2.676</v>
      </c>
      <c r="O1680" s="15" t="n">
        <f aca="false">AK1680*評分方法!$C$11</f>
        <v>1</v>
      </c>
      <c r="P1680" s="15" t="n">
        <f aca="false">AL1680*評分方法!$C$12</f>
        <v>1.5</v>
      </c>
      <c r="Q1680" s="6" t="n">
        <v>265764</v>
      </c>
      <c r="R1680" s="6" t="n">
        <v>184424451</v>
      </c>
      <c r="S1680" s="11" t="s">
        <v>238</v>
      </c>
      <c r="T1680" s="5"/>
      <c r="U1680" s="5" t="s">
        <v>375</v>
      </c>
      <c r="V1680" s="11" t="s">
        <v>261</v>
      </c>
      <c r="W1680" s="5" t="s">
        <v>334</v>
      </c>
      <c r="X1680" s="5" t="s">
        <v>255</v>
      </c>
      <c r="Y1680" s="5"/>
      <c r="Z1680" s="5"/>
      <c r="AA1680" s="11" t="s">
        <v>149</v>
      </c>
      <c r="AB1680" s="5" t="s">
        <v>245</v>
      </c>
      <c r="AC1680" s="5" t="s">
        <v>262</v>
      </c>
      <c r="AD1680" s="11" t="s">
        <v>4142</v>
      </c>
      <c r="AE1680" s="23" t="n">
        <v>1</v>
      </c>
      <c r="AF1680" s="23" t="n">
        <v>0</v>
      </c>
      <c r="AG1680" s="23" t="n">
        <v>0.33</v>
      </c>
      <c r="AH1680" s="23" t="n">
        <v>1</v>
      </c>
      <c r="AI1680" s="23" t="n">
        <v>0.2</v>
      </c>
      <c r="AJ1680" s="23" t="n">
        <v>0.2676</v>
      </c>
      <c r="AK1680" s="23" t="n">
        <v>0.2</v>
      </c>
      <c r="AL1680" s="23" t="n">
        <v>0.3</v>
      </c>
      <c r="AM1680" s="16" t="n">
        <f aca="false">COUNTIFS($D$2:$D$2501,D1680,$G$2:$G$2501,"&gt;"&amp;G1680)+COUNTIFS($D$2:D1680,D1680,$G$2:G1680,G1680)</f>
        <v>50</v>
      </c>
      <c r="AN1680" s="5" t="str">
        <f aca="false">D1680&amp;"|"&amp;AM1680</f>
        <v>分類與偵測|50</v>
      </c>
    </row>
    <row r="1681" customFormat="false" ht="17.15" hidden="false" customHeight="false" outlineLevel="0" collapsed="false">
      <c r="A1681" s="16" t="n">
        <f aca="false">RANK(G1681,$G$2:$G$2501)+COUNTIF($G$2:G1681,G1681)-1</f>
        <v>1680</v>
      </c>
      <c r="B1681" s="11" t="s">
        <v>4143</v>
      </c>
      <c r="C1681" s="11" t="s">
        <v>1438</v>
      </c>
      <c r="D1681" s="5" t="s">
        <v>56</v>
      </c>
      <c r="E1681" s="5" t="s">
        <v>57</v>
      </c>
      <c r="F1681" s="5"/>
      <c r="G1681" s="22" t="n">
        <f aca="false">ROUND(SUM(I1681:P1681),3)</f>
        <v>57.126</v>
      </c>
      <c r="H1681" s="5" t="str">
        <f aca="false">IF(G1681&gt;=評分方法!$C$16,"優先評估",IF(G1681&gt;=評分方法!$C$17,"列入候選",IF(G1681&gt;=評分方法!$C$18,"特定情境","不建議")))</f>
        <v>不建議</v>
      </c>
      <c r="I1681" s="15" t="n">
        <f aca="false">AE1681*評分方法!$C$5</f>
        <v>25.5</v>
      </c>
      <c r="J1681" s="15" t="n">
        <f aca="false">AF1681*評分方法!$C$6</f>
        <v>0</v>
      </c>
      <c r="K1681" s="15" t="n">
        <f aca="false">AG1681*評分方法!$C$7</f>
        <v>10.05</v>
      </c>
      <c r="L1681" s="15" t="n">
        <f aca="false">AH1681*評分方法!$C$8</f>
        <v>9</v>
      </c>
      <c r="M1681" s="15" t="n">
        <f aca="false">AI1681*評分方法!$C$9</f>
        <v>2</v>
      </c>
      <c r="N1681" s="15" t="n">
        <f aca="false">AJ1681*評分方法!$C$10</f>
        <v>6.576</v>
      </c>
      <c r="O1681" s="15" t="n">
        <f aca="false">AK1681*評分方法!$C$11</f>
        <v>1</v>
      </c>
      <c r="P1681" s="15" t="n">
        <f aca="false">AL1681*評分方法!$C$12</f>
        <v>3</v>
      </c>
      <c r="Q1681" s="6" t="n">
        <v>774478</v>
      </c>
      <c r="R1681" s="6" t="n">
        <v>22140032000</v>
      </c>
      <c r="S1681" s="11" t="s">
        <v>389</v>
      </c>
      <c r="T1681" s="5"/>
      <c r="U1681" s="5" t="s">
        <v>375</v>
      </c>
      <c r="V1681" s="11" t="s">
        <v>333</v>
      </c>
      <c r="W1681" s="5" t="s">
        <v>207</v>
      </c>
      <c r="X1681" s="5" t="s">
        <v>371</v>
      </c>
      <c r="Y1681" s="11" t="s">
        <v>4144</v>
      </c>
      <c r="Z1681" s="11" t="s">
        <v>244</v>
      </c>
      <c r="AA1681" s="11" t="s">
        <v>155</v>
      </c>
      <c r="AB1681" s="5" t="s">
        <v>245</v>
      </c>
      <c r="AC1681" s="5" t="s">
        <v>464</v>
      </c>
      <c r="AD1681" s="11" t="s">
        <v>4145</v>
      </c>
      <c r="AE1681" s="23" t="n">
        <v>0.85</v>
      </c>
      <c r="AF1681" s="23" t="n">
        <v>0</v>
      </c>
      <c r="AG1681" s="23" t="n">
        <v>0.67</v>
      </c>
      <c r="AH1681" s="23" t="n">
        <v>0.6</v>
      </c>
      <c r="AI1681" s="23" t="n">
        <v>0.2</v>
      </c>
      <c r="AJ1681" s="23" t="n">
        <v>0.6576</v>
      </c>
      <c r="AK1681" s="23" t="n">
        <v>0.2</v>
      </c>
      <c r="AL1681" s="23" t="n">
        <v>0.6</v>
      </c>
      <c r="AM1681" s="16" t="n">
        <f aca="false">COUNTIFS($D$2:$D$2501,D1681,$G$2:$G$2501,"&gt;"&amp;G1681)+COUNTIFS($D$2:D1681,D1681,$G$2:G1681,G1681)</f>
        <v>790</v>
      </c>
      <c r="AN1681" s="5" t="str">
        <f aca="false">D1681&amp;"|"&amp;AM1681</f>
        <v>分析與報告生成|790</v>
      </c>
    </row>
    <row r="1682" customFormat="false" ht="17.15" hidden="false" customHeight="false" outlineLevel="0" collapsed="false">
      <c r="A1682" s="16" t="n">
        <f aca="false">RANK(G1682,$G$2:$G$2501)+COUNTIF($G$2:G1682,G1682)-1</f>
        <v>1681</v>
      </c>
      <c r="B1682" s="11" t="s">
        <v>4146</v>
      </c>
      <c r="C1682" s="11" t="s">
        <v>2693</v>
      </c>
      <c r="D1682" s="5" t="s">
        <v>74</v>
      </c>
      <c r="E1682" s="5" t="s">
        <v>75</v>
      </c>
      <c r="F1682" s="5"/>
      <c r="G1682" s="22" t="n">
        <f aca="false">ROUND(SUM(I1682:P1682),3)</f>
        <v>57.11</v>
      </c>
      <c r="H1682" s="5" t="str">
        <f aca="false">IF(G1682&gt;=評分方法!$C$16,"優先評估",IF(G1682&gt;=評分方法!$C$17,"列入候選",IF(G1682&gt;=評分方法!$C$18,"特定情境","不建議")))</f>
        <v>不建議</v>
      </c>
      <c r="I1682" s="15" t="n">
        <f aca="false">AE1682*評分方法!$C$5</f>
        <v>10.5</v>
      </c>
      <c r="J1682" s="15" t="n">
        <f aca="false">AF1682*評分方法!$C$6</f>
        <v>0</v>
      </c>
      <c r="K1682" s="15" t="n">
        <f aca="false">AG1682*評分方法!$C$7</f>
        <v>15</v>
      </c>
      <c r="L1682" s="15" t="n">
        <f aca="false">AH1682*評分方法!$C$8</f>
        <v>15</v>
      </c>
      <c r="M1682" s="15" t="n">
        <f aca="false">AI1682*評分方法!$C$9</f>
        <v>10</v>
      </c>
      <c r="N1682" s="15" t="n">
        <f aca="false">AJ1682*評分方法!$C$10</f>
        <v>2.61</v>
      </c>
      <c r="O1682" s="15" t="n">
        <f aca="false">AK1682*評分方法!$C$11</f>
        <v>2.5</v>
      </c>
      <c r="P1682" s="15" t="n">
        <f aca="false">AL1682*評分方法!$C$12</f>
        <v>1.5</v>
      </c>
      <c r="Q1682" s="6" t="n">
        <v>262150</v>
      </c>
      <c r="R1682" s="6" t="n">
        <v>19466816</v>
      </c>
      <c r="S1682" s="11" t="s">
        <v>238</v>
      </c>
      <c r="T1682" s="11" t="s">
        <v>239</v>
      </c>
      <c r="U1682" s="5" t="s">
        <v>240</v>
      </c>
      <c r="V1682" s="11" t="s">
        <v>324</v>
      </c>
      <c r="W1682" s="5" t="s">
        <v>205</v>
      </c>
      <c r="X1682" s="5" t="s">
        <v>255</v>
      </c>
      <c r="Y1682" s="5"/>
      <c r="Z1682" s="5"/>
      <c r="AA1682" s="11" t="s">
        <v>172</v>
      </c>
      <c r="AB1682" s="5" t="s">
        <v>245</v>
      </c>
      <c r="AC1682" s="5"/>
      <c r="AD1682" s="11" t="s">
        <v>4147</v>
      </c>
      <c r="AE1682" s="23" t="n">
        <v>0.35</v>
      </c>
      <c r="AF1682" s="23" t="n">
        <v>0</v>
      </c>
      <c r="AG1682" s="23" t="n">
        <v>1</v>
      </c>
      <c r="AH1682" s="23" t="n">
        <v>1</v>
      </c>
      <c r="AI1682" s="23" t="n">
        <v>1</v>
      </c>
      <c r="AJ1682" s="23" t="n">
        <v>0.261</v>
      </c>
      <c r="AK1682" s="23" t="n">
        <v>0.5</v>
      </c>
      <c r="AL1682" s="23" t="n">
        <v>0.3</v>
      </c>
      <c r="AM1682" s="16" t="n">
        <f aca="false">COUNTIFS($D$2:$D$2501,D1682,$G$2:$G$2501,"&gt;"&amp;G1682)+COUNTIFS($D$2:D1682,D1682,$G$2:G1682,G1682)</f>
        <v>159</v>
      </c>
      <c r="AN1682" s="5" t="str">
        <f aca="false">D1682&amp;"|"&amp;AM1682</f>
        <v>文件與影像辨識|159</v>
      </c>
    </row>
    <row r="1683" customFormat="false" ht="17.15" hidden="false" customHeight="false" outlineLevel="0" collapsed="false">
      <c r="A1683" s="16" t="n">
        <f aca="false">RANK(G1683,$G$2:$G$2501)+COUNTIF($G$2:G1683,G1683)-1</f>
        <v>1682</v>
      </c>
      <c r="B1683" s="11" t="s">
        <v>4148</v>
      </c>
      <c r="C1683" s="11" t="s">
        <v>4149</v>
      </c>
      <c r="D1683" s="5" t="s">
        <v>56</v>
      </c>
      <c r="E1683" s="5" t="s">
        <v>57</v>
      </c>
      <c r="F1683" s="5"/>
      <c r="G1683" s="22" t="n">
        <f aca="false">ROUND(SUM(I1683:P1683),3)</f>
        <v>57.1</v>
      </c>
      <c r="H1683" s="5" t="str">
        <f aca="false">IF(G1683&gt;=評分方法!$C$16,"優先評估",IF(G1683&gt;=評分方法!$C$17,"列入候選",IF(G1683&gt;=評分方法!$C$18,"特定情境","不建議")))</f>
        <v>不建議</v>
      </c>
      <c r="I1683" s="15" t="n">
        <f aca="false">AE1683*評分方法!$C$5</f>
        <v>25.5</v>
      </c>
      <c r="J1683" s="15" t="n">
        <f aca="false">AF1683*評分方法!$C$6</f>
        <v>0</v>
      </c>
      <c r="K1683" s="15" t="n">
        <f aca="false">AG1683*評分方法!$C$7</f>
        <v>4.95</v>
      </c>
      <c r="L1683" s="15" t="n">
        <f aca="false">AH1683*評分方法!$C$8</f>
        <v>13.05</v>
      </c>
      <c r="M1683" s="15" t="n">
        <f aca="false">AI1683*評分方法!$C$9</f>
        <v>6</v>
      </c>
      <c r="N1683" s="15" t="n">
        <f aca="false">AJ1683*評分方法!$C$10</f>
        <v>3.6</v>
      </c>
      <c r="O1683" s="15" t="n">
        <f aca="false">AK1683*評分方法!$C$11</f>
        <v>1</v>
      </c>
      <c r="P1683" s="15" t="n">
        <f aca="false">AL1683*評分方法!$C$12</f>
        <v>3</v>
      </c>
      <c r="Q1683" s="6" t="n">
        <v>365423</v>
      </c>
      <c r="R1683" s="6" t="n">
        <v>7063427072</v>
      </c>
      <c r="S1683" s="11" t="s">
        <v>254</v>
      </c>
      <c r="T1683" s="11" t="s">
        <v>1153</v>
      </c>
      <c r="U1683" s="5" t="s">
        <v>260</v>
      </c>
      <c r="V1683" s="11" t="s">
        <v>261</v>
      </c>
      <c r="W1683" s="5" t="s">
        <v>334</v>
      </c>
      <c r="X1683" s="5" t="s">
        <v>371</v>
      </c>
      <c r="Y1683" s="5"/>
      <c r="Z1683" s="5"/>
      <c r="AA1683" s="11" t="s">
        <v>155</v>
      </c>
      <c r="AB1683" s="5" t="s">
        <v>245</v>
      </c>
      <c r="AC1683" s="5" t="s">
        <v>262</v>
      </c>
      <c r="AD1683" s="11" t="s">
        <v>4150</v>
      </c>
      <c r="AE1683" s="23" t="n">
        <v>0.85</v>
      </c>
      <c r="AF1683" s="23" t="n">
        <v>0</v>
      </c>
      <c r="AG1683" s="23" t="n">
        <v>0.33</v>
      </c>
      <c r="AH1683" s="23" t="n">
        <v>0.87</v>
      </c>
      <c r="AI1683" s="23" t="n">
        <v>0.6</v>
      </c>
      <c r="AJ1683" s="23" t="n">
        <v>0.36</v>
      </c>
      <c r="AK1683" s="23" t="n">
        <v>0.2</v>
      </c>
      <c r="AL1683" s="23" t="n">
        <v>0.6</v>
      </c>
      <c r="AM1683" s="16" t="n">
        <f aca="false">COUNTIFS($D$2:$D$2501,D1683,$G$2:$G$2501,"&gt;"&amp;G1683)+COUNTIFS($D$2:D1683,D1683,$G$2:G1683,G1683)</f>
        <v>791</v>
      </c>
      <c r="AN1683" s="5" t="str">
        <f aca="false">D1683&amp;"|"&amp;AM1683</f>
        <v>分析與報告生成|791</v>
      </c>
    </row>
    <row r="1684" customFormat="false" ht="17.15" hidden="false" customHeight="false" outlineLevel="0" collapsed="false">
      <c r="A1684" s="16" t="n">
        <f aca="false">RANK(G1684,$G$2:$G$2501)+COUNTIF($G$2:G1684,G1684)-1</f>
        <v>1683</v>
      </c>
      <c r="B1684" s="11" t="s">
        <v>4151</v>
      </c>
      <c r="C1684" s="11" t="s">
        <v>327</v>
      </c>
      <c r="D1684" s="5" t="s">
        <v>56</v>
      </c>
      <c r="E1684" s="5" t="s">
        <v>57</v>
      </c>
      <c r="F1684" s="5"/>
      <c r="G1684" s="22" t="n">
        <f aca="false">ROUND(SUM(I1684:P1684),3)</f>
        <v>57.098</v>
      </c>
      <c r="H1684" s="5" t="str">
        <f aca="false">IF(G1684&gt;=評分方法!$C$16,"優先評估",IF(G1684&gt;=評分方法!$C$17,"列入候選",IF(G1684&gt;=評分方法!$C$18,"特定情境","不建議")))</f>
        <v>不建議</v>
      </c>
      <c r="I1684" s="15" t="n">
        <f aca="false">AE1684*評分方法!$C$5</f>
        <v>12</v>
      </c>
      <c r="J1684" s="15" t="n">
        <f aca="false">AF1684*評分方法!$C$6</f>
        <v>0</v>
      </c>
      <c r="K1684" s="15" t="n">
        <f aca="false">AG1684*評分方法!$C$7</f>
        <v>15</v>
      </c>
      <c r="L1684" s="15" t="n">
        <f aca="false">AH1684*評分方法!$C$8</f>
        <v>13.05</v>
      </c>
      <c r="M1684" s="15" t="n">
        <f aca="false">AI1684*評分方法!$C$9</f>
        <v>6</v>
      </c>
      <c r="N1684" s="15" t="n">
        <f aca="false">AJ1684*評分方法!$C$10</f>
        <v>7.048</v>
      </c>
      <c r="O1684" s="15" t="n">
        <f aca="false">AK1684*評分方法!$C$11</f>
        <v>4</v>
      </c>
      <c r="P1684" s="15" t="n">
        <f aca="false">AL1684*評分方法!$C$12</f>
        <v>0</v>
      </c>
      <c r="Q1684" s="6" t="n">
        <v>935830</v>
      </c>
      <c r="R1684" s="6" t="n">
        <v>8267215360</v>
      </c>
      <c r="S1684" s="11" t="s">
        <v>254</v>
      </c>
      <c r="T1684" s="11" t="s">
        <v>185</v>
      </c>
      <c r="U1684" s="5" t="s">
        <v>260</v>
      </c>
      <c r="V1684" s="11" t="s">
        <v>324</v>
      </c>
      <c r="W1684" s="5" t="s">
        <v>205</v>
      </c>
      <c r="X1684" s="5" t="s">
        <v>242</v>
      </c>
      <c r="Y1684" s="5"/>
      <c r="Z1684" s="5"/>
      <c r="AA1684" s="11" t="s">
        <v>171</v>
      </c>
      <c r="AB1684" s="5" t="s">
        <v>245</v>
      </c>
      <c r="AC1684" s="5" t="s">
        <v>262</v>
      </c>
      <c r="AD1684" s="11" t="s">
        <v>4152</v>
      </c>
      <c r="AE1684" s="23" t="n">
        <v>0.4</v>
      </c>
      <c r="AF1684" s="23" t="n">
        <v>0</v>
      </c>
      <c r="AG1684" s="23" t="n">
        <v>1</v>
      </c>
      <c r="AH1684" s="23" t="n">
        <v>0.87</v>
      </c>
      <c r="AI1684" s="23" t="n">
        <v>0.6</v>
      </c>
      <c r="AJ1684" s="23" t="n">
        <v>0.7048</v>
      </c>
      <c r="AK1684" s="23" t="n">
        <v>0.8</v>
      </c>
      <c r="AL1684" s="23" t="n">
        <v>0</v>
      </c>
      <c r="AM1684" s="16" t="n">
        <f aca="false">COUNTIFS($D$2:$D$2501,D1684,$G$2:$G$2501,"&gt;"&amp;G1684)+COUNTIFS($D$2:D1684,D1684,$G$2:G1684,G1684)</f>
        <v>792</v>
      </c>
      <c r="AN1684" s="5" t="str">
        <f aca="false">D1684&amp;"|"&amp;AM1684</f>
        <v>分析與報告生成|792</v>
      </c>
    </row>
    <row r="1685" customFormat="false" ht="17.15" hidden="false" customHeight="false" outlineLevel="0" collapsed="false">
      <c r="A1685" s="16" t="n">
        <f aca="false">RANK(G1685,$G$2:$G$2501)+COUNTIF($G$2:G1685,G1685)-1</f>
        <v>1684</v>
      </c>
      <c r="B1685" s="11" t="s">
        <v>4153</v>
      </c>
      <c r="C1685" s="11" t="s">
        <v>681</v>
      </c>
      <c r="D1685" s="5" t="s">
        <v>74</v>
      </c>
      <c r="E1685" s="5" t="s">
        <v>75</v>
      </c>
      <c r="F1685" s="5"/>
      <c r="G1685" s="22" t="n">
        <f aca="false">ROUND(SUM(I1685:P1685),3)</f>
        <v>57.094</v>
      </c>
      <c r="H1685" s="5" t="str">
        <f aca="false">IF(G1685&gt;=評分方法!$C$16,"優先評估",IF(G1685&gt;=評分方法!$C$17,"列入候選",IF(G1685&gt;=評分方法!$C$18,"特定情境","不建議")))</f>
        <v>不建議</v>
      </c>
      <c r="I1685" s="15" t="n">
        <f aca="false">AE1685*評分方法!$C$5</f>
        <v>7.5</v>
      </c>
      <c r="J1685" s="15" t="n">
        <f aca="false">AF1685*評分方法!$C$6</f>
        <v>0</v>
      </c>
      <c r="K1685" s="15" t="n">
        <f aca="false">AG1685*評分方法!$C$7</f>
        <v>15</v>
      </c>
      <c r="L1685" s="15" t="n">
        <f aca="false">AH1685*評分方法!$C$8</f>
        <v>13.05</v>
      </c>
      <c r="M1685" s="15" t="n">
        <f aca="false">AI1685*評分方法!$C$9</f>
        <v>10</v>
      </c>
      <c r="N1685" s="15" t="n">
        <f aca="false">AJ1685*評分方法!$C$10</f>
        <v>7.544</v>
      </c>
      <c r="O1685" s="15" t="n">
        <f aca="false">AK1685*評分方法!$C$11</f>
        <v>2.5</v>
      </c>
      <c r="P1685" s="15" t="n">
        <f aca="false">AL1685*評分方法!$C$12</f>
        <v>1.5</v>
      </c>
      <c r="Q1685" s="6" t="n">
        <v>1191556</v>
      </c>
      <c r="R1685" s="6" t="n">
        <v>1034555264</v>
      </c>
      <c r="S1685" s="11" t="s">
        <v>254</v>
      </c>
      <c r="T1685" s="11" t="s">
        <v>239</v>
      </c>
      <c r="U1685" s="5" t="s">
        <v>240</v>
      </c>
      <c r="V1685" s="11" t="s">
        <v>324</v>
      </c>
      <c r="W1685" s="5" t="s">
        <v>205</v>
      </c>
      <c r="X1685" s="5" t="s">
        <v>255</v>
      </c>
      <c r="Y1685" s="5"/>
      <c r="Z1685" s="5"/>
      <c r="AA1685" s="11" t="s">
        <v>179</v>
      </c>
      <c r="AB1685" s="5" t="s">
        <v>245</v>
      </c>
      <c r="AC1685" s="5"/>
      <c r="AD1685" s="11" t="s">
        <v>4154</v>
      </c>
      <c r="AE1685" s="23" t="n">
        <v>0.25</v>
      </c>
      <c r="AF1685" s="23" t="n">
        <v>0</v>
      </c>
      <c r="AG1685" s="23" t="n">
        <v>1</v>
      </c>
      <c r="AH1685" s="23" t="n">
        <v>0.87</v>
      </c>
      <c r="AI1685" s="23" t="n">
        <v>1</v>
      </c>
      <c r="AJ1685" s="23" t="n">
        <v>0.7544</v>
      </c>
      <c r="AK1685" s="23" t="n">
        <v>0.5</v>
      </c>
      <c r="AL1685" s="23" t="n">
        <v>0.3</v>
      </c>
      <c r="AM1685" s="16" t="n">
        <f aca="false">COUNTIFS($D$2:$D$2501,D1685,$G$2:$G$2501,"&gt;"&amp;G1685)+COUNTIFS($D$2:D1685,D1685,$G$2:G1685,G1685)</f>
        <v>160</v>
      </c>
      <c r="AN1685" s="5" t="str">
        <f aca="false">D1685&amp;"|"&amp;AM1685</f>
        <v>文件與影像辨識|160</v>
      </c>
    </row>
    <row r="1686" customFormat="false" ht="17.15" hidden="false" customHeight="false" outlineLevel="0" collapsed="false">
      <c r="A1686" s="16" t="n">
        <f aca="false">RANK(G1686,$G$2:$G$2501)+COUNTIF($G$2:G1686,G1686)-1</f>
        <v>1685</v>
      </c>
      <c r="B1686" s="11" t="s">
        <v>4155</v>
      </c>
      <c r="C1686" s="11" t="s">
        <v>4156</v>
      </c>
      <c r="D1686" s="5" t="s">
        <v>66</v>
      </c>
      <c r="E1686" s="5" t="s">
        <v>67</v>
      </c>
      <c r="F1686" s="5"/>
      <c r="G1686" s="22" t="n">
        <f aca="false">ROUND(SUM(I1686:P1686),3)</f>
        <v>57.092</v>
      </c>
      <c r="H1686" s="5" t="str">
        <f aca="false">IF(G1686&gt;=評分方法!$C$16,"優先評估",IF(G1686&gt;=評分方法!$C$17,"列入候選",IF(G1686&gt;=評分方法!$C$18,"特定情境","不建議")))</f>
        <v>不建議</v>
      </c>
      <c r="I1686" s="15" t="n">
        <f aca="false">AE1686*評分方法!$C$5</f>
        <v>30</v>
      </c>
      <c r="J1686" s="15" t="n">
        <f aca="false">AF1686*評分方法!$C$6</f>
        <v>0</v>
      </c>
      <c r="K1686" s="15" t="n">
        <f aca="false">AG1686*評分方法!$C$7</f>
        <v>4.95</v>
      </c>
      <c r="L1686" s="15" t="n">
        <f aca="false">AH1686*評分方法!$C$8</f>
        <v>7.05</v>
      </c>
      <c r="M1686" s="15" t="n">
        <f aca="false">AI1686*評分方法!$C$9</f>
        <v>10</v>
      </c>
      <c r="N1686" s="15" t="n">
        <f aca="false">AJ1686*評分方法!$C$10</f>
        <v>0.092</v>
      </c>
      <c r="O1686" s="15" t="n">
        <f aca="false">AK1686*評分方法!$C$11</f>
        <v>5</v>
      </c>
      <c r="P1686" s="15" t="n">
        <f aca="false">AL1686*評分方法!$C$12</f>
        <v>0</v>
      </c>
      <c r="Q1686" s="6" t="n">
        <v>119102</v>
      </c>
      <c r="R1686" s="6"/>
      <c r="S1686" s="5" t="s">
        <v>255</v>
      </c>
      <c r="T1686" s="11" t="s">
        <v>239</v>
      </c>
      <c r="U1686" s="5" t="s">
        <v>240</v>
      </c>
      <c r="V1686" s="11" t="s">
        <v>514</v>
      </c>
      <c r="W1686" s="5" t="s">
        <v>334</v>
      </c>
      <c r="X1686" s="5" t="s">
        <v>242</v>
      </c>
      <c r="Y1686" s="11" t="s">
        <v>352</v>
      </c>
      <c r="Z1686" s="11" t="s">
        <v>244</v>
      </c>
      <c r="AA1686" s="11" t="s">
        <v>149</v>
      </c>
      <c r="AB1686" s="5" t="s">
        <v>245</v>
      </c>
      <c r="AC1686" s="5" t="s">
        <v>246</v>
      </c>
      <c r="AD1686" s="11" t="s">
        <v>4157</v>
      </c>
      <c r="AE1686" s="23" t="n">
        <v>1</v>
      </c>
      <c r="AF1686" s="23" t="n">
        <v>0</v>
      </c>
      <c r="AG1686" s="23" t="n">
        <v>0.33</v>
      </c>
      <c r="AH1686" s="23" t="n">
        <v>0.47</v>
      </c>
      <c r="AI1686" s="23" t="n">
        <v>1</v>
      </c>
      <c r="AJ1686" s="23" t="n">
        <v>0.0092</v>
      </c>
      <c r="AK1686" s="23" t="n">
        <v>1</v>
      </c>
      <c r="AL1686" s="23" t="n">
        <v>0</v>
      </c>
      <c r="AM1686" s="16" t="n">
        <f aca="false">COUNTIFS($D$2:$D$2501,D1686,$G$2:$G$2501,"&gt;"&amp;G1686)+COUNTIFS($D$2:D1686,D1686,$G$2:G1686,G1686)</f>
        <v>51</v>
      </c>
      <c r="AN1686" s="5" t="str">
        <f aca="false">D1686&amp;"|"&amp;AM1686</f>
        <v>分類與偵測|51</v>
      </c>
    </row>
    <row r="1687" customFormat="false" ht="17.15" hidden="false" customHeight="false" outlineLevel="0" collapsed="false">
      <c r="A1687" s="16" t="n">
        <f aca="false">RANK(G1687,$G$2:$G$2501)+COUNTIF($G$2:G1687,G1687)-1</f>
        <v>1686</v>
      </c>
      <c r="B1687" s="11" t="s">
        <v>4158</v>
      </c>
      <c r="C1687" s="11" t="s">
        <v>1438</v>
      </c>
      <c r="D1687" s="5" t="s">
        <v>56</v>
      </c>
      <c r="E1687" s="5" t="s">
        <v>57</v>
      </c>
      <c r="F1687" s="5"/>
      <c r="G1687" s="22" t="n">
        <f aca="false">ROUND(SUM(I1687:P1687),3)</f>
        <v>57.08</v>
      </c>
      <c r="H1687" s="5" t="str">
        <f aca="false">IF(G1687&gt;=評分方法!$C$16,"優先評估",IF(G1687&gt;=評分方法!$C$17,"列入候選",IF(G1687&gt;=評分方法!$C$18,"特定情境","不建議")))</f>
        <v>不建議</v>
      </c>
      <c r="I1687" s="15" t="n">
        <f aca="false">AE1687*評分方法!$C$5</f>
        <v>25.5</v>
      </c>
      <c r="J1687" s="15" t="n">
        <f aca="false">AF1687*評分方法!$C$6</f>
        <v>0</v>
      </c>
      <c r="K1687" s="15" t="n">
        <f aca="false">AG1687*評分方法!$C$7</f>
        <v>10.05</v>
      </c>
      <c r="L1687" s="15" t="n">
        <f aca="false">AH1687*評分方法!$C$8</f>
        <v>4.95</v>
      </c>
      <c r="M1687" s="15" t="n">
        <f aca="false">AI1687*評分方法!$C$9</f>
        <v>6</v>
      </c>
      <c r="N1687" s="15" t="n">
        <f aca="false">AJ1687*評分方法!$C$10</f>
        <v>6.58</v>
      </c>
      <c r="O1687" s="15" t="n">
        <f aca="false">AK1687*評分方法!$C$11</f>
        <v>1</v>
      </c>
      <c r="P1687" s="15" t="n">
        <f aca="false">AL1687*評分方法!$C$12</f>
        <v>3</v>
      </c>
      <c r="Q1687" s="6" t="n">
        <v>774585</v>
      </c>
      <c r="R1687" s="6" t="n">
        <v>70553706496</v>
      </c>
      <c r="S1687" s="11" t="s">
        <v>1876</v>
      </c>
      <c r="T1687" s="11" t="s">
        <v>1177</v>
      </c>
      <c r="U1687" s="5" t="s">
        <v>260</v>
      </c>
      <c r="V1687" s="11" t="s">
        <v>333</v>
      </c>
      <c r="W1687" s="5" t="s">
        <v>207</v>
      </c>
      <c r="X1687" s="5" t="s">
        <v>371</v>
      </c>
      <c r="Y1687" s="11" t="s">
        <v>4159</v>
      </c>
      <c r="Z1687" s="11" t="s">
        <v>244</v>
      </c>
      <c r="AA1687" s="11" t="s">
        <v>155</v>
      </c>
      <c r="AB1687" s="5" t="s">
        <v>245</v>
      </c>
      <c r="AC1687" s="5" t="s">
        <v>464</v>
      </c>
      <c r="AD1687" s="11" t="s">
        <v>4160</v>
      </c>
      <c r="AE1687" s="23" t="n">
        <v>0.85</v>
      </c>
      <c r="AF1687" s="23" t="n">
        <v>0</v>
      </c>
      <c r="AG1687" s="23" t="n">
        <v>0.67</v>
      </c>
      <c r="AH1687" s="23" t="n">
        <v>0.33</v>
      </c>
      <c r="AI1687" s="23" t="n">
        <v>0.6</v>
      </c>
      <c r="AJ1687" s="23" t="n">
        <v>0.658</v>
      </c>
      <c r="AK1687" s="23" t="n">
        <v>0.2</v>
      </c>
      <c r="AL1687" s="23" t="n">
        <v>0.6</v>
      </c>
      <c r="AM1687" s="16" t="n">
        <f aca="false">COUNTIFS($D$2:$D$2501,D1687,$G$2:$G$2501,"&gt;"&amp;G1687)+COUNTIFS($D$2:D1687,D1687,$G$2:G1687,G1687)</f>
        <v>793</v>
      </c>
      <c r="AN1687" s="5" t="str">
        <f aca="false">D1687&amp;"|"&amp;AM1687</f>
        <v>分析與報告生成|793</v>
      </c>
    </row>
    <row r="1688" customFormat="false" ht="17.15" hidden="false" customHeight="false" outlineLevel="0" collapsed="false">
      <c r="A1688" s="16" t="n">
        <f aca="false">RANK(G1688,$G$2:$G$2501)+COUNTIF($G$2:G1688,G1688)-1</f>
        <v>1687</v>
      </c>
      <c r="B1688" s="11" t="s">
        <v>4161</v>
      </c>
      <c r="C1688" s="11" t="s">
        <v>368</v>
      </c>
      <c r="D1688" s="5" t="s">
        <v>74</v>
      </c>
      <c r="E1688" s="5" t="s">
        <v>75</v>
      </c>
      <c r="F1688" s="5"/>
      <c r="G1688" s="22" t="n">
        <f aca="false">ROUND(SUM(I1688:P1688),3)</f>
        <v>57.056</v>
      </c>
      <c r="H1688" s="5" t="str">
        <f aca="false">IF(G1688&gt;=評分方法!$C$16,"優先評估",IF(G1688&gt;=評分方法!$C$17,"列入候選",IF(G1688&gt;=評分方法!$C$18,"特定情境","不建議")))</f>
        <v>不建議</v>
      </c>
      <c r="I1688" s="15" t="n">
        <f aca="false">AE1688*評分方法!$C$5</f>
        <v>12</v>
      </c>
      <c r="J1688" s="15" t="n">
        <f aca="false">AF1688*評分方法!$C$6</f>
        <v>0</v>
      </c>
      <c r="K1688" s="15" t="n">
        <f aca="false">AG1688*評分方法!$C$7</f>
        <v>15</v>
      </c>
      <c r="L1688" s="15" t="n">
        <f aca="false">AH1688*評分方法!$C$8</f>
        <v>15</v>
      </c>
      <c r="M1688" s="15" t="n">
        <f aca="false">AI1688*評分方法!$C$9</f>
        <v>10</v>
      </c>
      <c r="N1688" s="15" t="n">
        <f aca="false">AJ1688*評分方法!$C$10</f>
        <v>2.556</v>
      </c>
      <c r="O1688" s="15" t="n">
        <f aca="false">AK1688*評分方法!$C$11</f>
        <v>1</v>
      </c>
      <c r="P1688" s="15" t="n">
        <f aca="false">AL1688*評分方法!$C$12</f>
        <v>1.5</v>
      </c>
      <c r="Q1688" s="6" t="n">
        <v>255099</v>
      </c>
      <c r="R1688" s="6" t="n">
        <v>203202050</v>
      </c>
      <c r="S1688" s="11" t="s">
        <v>238</v>
      </c>
      <c r="T1688" s="11" t="s">
        <v>239</v>
      </c>
      <c r="U1688" s="5" t="s">
        <v>240</v>
      </c>
      <c r="V1688" s="11" t="s">
        <v>261</v>
      </c>
      <c r="W1688" s="5" t="s">
        <v>205</v>
      </c>
      <c r="X1688" s="5" t="s">
        <v>255</v>
      </c>
      <c r="Y1688" s="5"/>
      <c r="Z1688" s="5"/>
      <c r="AA1688" s="11" t="s">
        <v>167</v>
      </c>
      <c r="AB1688" s="5" t="s">
        <v>245</v>
      </c>
      <c r="AC1688" s="5"/>
      <c r="AD1688" s="11" t="s">
        <v>4162</v>
      </c>
      <c r="AE1688" s="23" t="n">
        <v>0.4</v>
      </c>
      <c r="AF1688" s="23" t="n">
        <v>0</v>
      </c>
      <c r="AG1688" s="23" t="n">
        <v>1</v>
      </c>
      <c r="AH1688" s="23" t="n">
        <v>1</v>
      </c>
      <c r="AI1688" s="23" t="n">
        <v>1</v>
      </c>
      <c r="AJ1688" s="23" t="n">
        <v>0.2556</v>
      </c>
      <c r="AK1688" s="23" t="n">
        <v>0.2</v>
      </c>
      <c r="AL1688" s="23" t="n">
        <v>0.3</v>
      </c>
      <c r="AM1688" s="16" t="n">
        <f aca="false">COUNTIFS($D$2:$D$2501,D1688,$G$2:$G$2501,"&gt;"&amp;G1688)+COUNTIFS($D$2:D1688,D1688,$G$2:G1688,G1688)</f>
        <v>161</v>
      </c>
      <c r="AN1688" s="5" t="str">
        <f aca="false">D1688&amp;"|"&amp;AM1688</f>
        <v>文件與影像辨識|161</v>
      </c>
    </row>
    <row r="1689" customFormat="false" ht="17.15" hidden="false" customHeight="false" outlineLevel="0" collapsed="false">
      <c r="A1689" s="16" t="n">
        <f aca="false">RANK(G1689,$G$2:$G$2501)+COUNTIF($G$2:G1689,G1689)-1</f>
        <v>1688</v>
      </c>
      <c r="B1689" s="11" t="s">
        <v>4163</v>
      </c>
      <c r="C1689" s="11" t="s">
        <v>2693</v>
      </c>
      <c r="D1689" s="5" t="s">
        <v>74</v>
      </c>
      <c r="E1689" s="5" t="s">
        <v>75</v>
      </c>
      <c r="F1689" s="5"/>
      <c r="G1689" s="22" t="n">
        <f aca="false">ROUND(SUM(I1689:P1689),3)</f>
        <v>57.048</v>
      </c>
      <c r="H1689" s="5" t="str">
        <f aca="false">IF(G1689&gt;=評分方法!$C$16,"優先評估",IF(G1689&gt;=評分方法!$C$17,"列入候選",IF(G1689&gt;=評分方法!$C$18,"特定情境","不建議")))</f>
        <v>不建議</v>
      </c>
      <c r="I1689" s="15" t="n">
        <f aca="false">AE1689*評分方法!$C$5</f>
        <v>10.5</v>
      </c>
      <c r="J1689" s="15" t="n">
        <f aca="false">AF1689*評分方法!$C$6</f>
        <v>0</v>
      </c>
      <c r="K1689" s="15" t="n">
        <f aca="false">AG1689*評分方法!$C$7</f>
        <v>15</v>
      </c>
      <c r="L1689" s="15" t="n">
        <f aca="false">AH1689*評分方法!$C$8</f>
        <v>15</v>
      </c>
      <c r="M1689" s="15" t="n">
        <f aca="false">AI1689*評分方法!$C$9</f>
        <v>10</v>
      </c>
      <c r="N1689" s="15" t="n">
        <f aca="false">AJ1689*評分方法!$C$10</f>
        <v>2.548</v>
      </c>
      <c r="O1689" s="15" t="n">
        <f aca="false">AK1689*評分方法!$C$11</f>
        <v>2.5</v>
      </c>
      <c r="P1689" s="15" t="n">
        <f aca="false">AL1689*評分方法!$C$12</f>
        <v>1.5</v>
      </c>
      <c r="Q1689" s="6" t="n">
        <v>254173</v>
      </c>
      <c r="R1689" s="6" t="n">
        <v>30562520</v>
      </c>
      <c r="S1689" s="11" t="s">
        <v>238</v>
      </c>
      <c r="T1689" s="11" t="s">
        <v>239</v>
      </c>
      <c r="U1689" s="5" t="s">
        <v>240</v>
      </c>
      <c r="V1689" s="11" t="s">
        <v>324</v>
      </c>
      <c r="W1689" s="5" t="s">
        <v>205</v>
      </c>
      <c r="X1689" s="5" t="s">
        <v>255</v>
      </c>
      <c r="Y1689" s="5"/>
      <c r="Z1689" s="5"/>
      <c r="AA1689" s="11" t="s">
        <v>172</v>
      </c>
      <c r="AB1689" s="5" t="s">
        <v>245</v>
      </c>
      <c r="AC1689" s="5"/>
      <c r="AD1689" s="11" t="s">
        <v>4164</v>
      </c>
      <c r="AE1689" s="23" t="n">
        <v>0.35</v>
      </c>
      <c r="AF1689" s="23" t="n">
        <v>0</v>
      </c>
      <c r="AG1689" s="23" t="n">
        <v>1</v>
      </c>
      <c r="AH1689" s="23" t="n">
        <v>1</v>
      </c>
      <c r="AI1689" s="23" t="n">
        <v>1</v>
      </c>
      <c r="AJ1689" s="23" t="n">
        <v>0.2548</v>
      </c>
      <c r="AK1689" s="23" t="n">
        <v>0.5</v>
      </c>
      <c r="AL1689" s="23" t="n">
        <v>0.3</v>
      </c>
      <c r="AM1689" s="16" t="n">
        <f aca="false">COUNTIFS($D$2:$D$2501,D1689,$G$2:$G$2501,"&gt;"&amp;G1689)+COUNTIFS($D$2:D1689,D1689,$G$2:G1689,G1689)</f>
        <v>162</v>
      </c>
      <c r="AN1689" s="5" t="str">
        <f aca="false">D1689&amp;"|"&amp;AM1689</f>
        <v>文件與影像辨識|162</v>
      </c>
    </row>
    <row r="1690" customFormat="false" ht="17.15" hidden="false" customHeight="false" outlineLevel="0" collapsed="false">
      <c r="A1690" s="16" t="n">
        <f aca="false">RANK(G1690,$G$2:$G$2501)+COUNTIF($G$2:G1690,G1690)-1</f>
        <v>1689</v>
      </c>
      <c r="B1690" s="11" t="s">
        <v>4165</v>
      </c>
      <c r="C1690" s="11" t="s">
        <v>338</v>
      </c>
      <c r="D1690" s="5" t="s">
        <v>56</v>
      </c>
      <c r="E1690" s="5" t="s">
        <v>57</v>
      </c>
      <c r="F1690" s="5"/>
      <c r="G1690" s="22" t="n">
        <f aca="false">ROUND(SUM(I1690:P1690),3)</f>
        <v>57.03</v>
      </c>
      <c r="H1690" s="5" t="str">
        <f aca="false">IF(G1690&gt;=評分方法!$C$16,"優先評估",IF(G1690&gt;=評分方法!$C$17,"列入候選",IF(G1690&gt;=評分方法!$C$18,"特定情境","不建議")))</f>
        <v>不建議</v>
      </c>
      <c r="I1690" s="15" t="n">
        <f aca="false">AE1690*評分方法!$C$5</f>
        <v>25.5</v>
      </c>
      <c r="J1690" s="15" t="n">
        <f aca="false">AF1690*評分方法!$C$6</f>
        <v>0</v>
      </c>
      <c r="K1690" s="15" t="n">
        <f aca="false">AG1690*評分方法!$C$7</f>
        <v>15</v>
      </c>
      <c r="L1690" s="15" t="n">
        <f aca="false">AH1690*評分方法!$C$8</f>
        <v>1.95</v>
      </c>
      <c r="M1690" s="15" t="n">
        <f aca="false">AI1690*評分方法!$C$9</f>
        <v>6</v>
      </c>
      <c r="N1690" s="15" t="n">
        <f aca="false">AJ1690*評分方法!$C$10</f>
        <v>0.58</v>
      </c>
      <c r="O1690" s="15" t="n">
        <f aca="false">AK1690*評分方法!$C$11</f>
        <v>5</v>
      </c>
      <c r="P1690" s="15" t="n">
        <f aca="false">AL1690*評分方法!$C$12</f>
        <v>3</v>
      </c>
      <c r="Q1690" s="6" t="n">
        <v>137241</v>
      </c>
      <c r="R1690" s="6" t="n">
        <v>125025989840</v>
      </c>
      <c r="S1690" s="11" t="s">
        <v>1616</v>
      </c>
      <c r="T1690" s="11" t="s">
        <v>185</v>
      </c>
      <c r="U1690" s="5" t="s">
        <v>260</v>
      </c>
      <c r="V1690" s="11" t="s">
        <v>261</v>
      </c>
      <c r="W1690" s="5" t="s">
        <v>205</v>
      </c>
      <c r="X1690" s="5" t="s">
        <v>371</v>
      </c>
      <c r="Y1690" s="5"/>
      <c r="Z1690" s="5"/>
      <c r="AA1690" s="11" t="s">
        <v>155</v>
      </c>
      <c r="AB1690" s="5" t="s">
        <v>328</v>
      </c>
      <c r="AC1690" s="5" t="s">
        <v>329</v>
      </c>
      <c r="AD1690" s="11" t="s">
        <v>4166</v>
      </c>
      <c r="AE1690" s="23" t="n">
        <v>0.85</v>
      </c>
      <c r="AF1690" s="23" t="n">
        <v>0</v>
      </c>
      <c r="AG1690" s="23" t="n">
        <v>1</v>
      </c>
      <c r="AH1690" s="23" t="n">
        <v>0.13</v>
      </c>
      <c r="AI1690" s="23" t="n">
        <v>0.6</v>
      </c>
      <c r="AJ1690" s="23" t="n">
        <v>0.058</v>
      </c>
      <c r="AK1690" s="23" t="n">
        <v>1</v>
      </c>
      <c r="AL1690" s="23" t="n">
        <v>0.6</v>
      </c>
      <c r="AM1690" s="16" t="n">
        <f aca="false">COUNTIFS($D$2:$D$2501,D1690,$G$2:$G$2501,"&gt;"&amp;G1690)+COUNTIFS($D$2:D1690,D1690,$G$2:G1690,G1690)</f>
        <v>794</v>
      </c>
      <c r="AN1690" s="5" t="str">
        <f aca="false">D1690&amp;"|"&amp;AM1690</f>
        <v>分析與報告生成|794</v>
      </c>
    </row>
    <row r="1691" customFormat="false" ht="17.15" hidden="false" customHeight="false" outlineLevel="0" collapsed="false">
      <c r="A1691" s="16" t="n">
        <f aca="false">RANK(G1691,$G$2:$G$2501)+COUNTIF($G$2:G1691,G1691)-1</f>
        <v>1690</v>
      </c>
      <c r="B1691" s="11" t="s">
        <v>4167</v>
      </c>
      <c r="C1691" s="11" t="s">
        <v>753</v>
      </c>
      <c r="D1691" s="5" t="s">
        <v>56</v>
      </c>
      <c r="E1691" s="5" t="s">
        <v>57</v>
      </c>
      <c r="F1691" s="5"/>
      <c r="G1691" s="22" t="n">
        <f aca="false">ROUND(SUM(I1691:P1691),3)</f>
        <v>57.018</v>
      </c>
      <c r="H1691" s="5" t="str">
        <f aca="false">IF(G1691&gt;=評分方法!$C$16,"優先評估",IF(G1691&gt;=評分方法!$C$17,"列入候選",IF(G1691&gt;=評分方法!$C$18,"特定情境","不建議")))</f>
        <v>不建議</v>
      </c>
      <c r="I1691" s="15" t="n">
        <f aca="false">AE1691*評分方法!$C$5</f>
        <v>25.5</v>
      </c>
      <c r="J1691" s="15" t="n">
        <f aca="false">AF1691*評分方法!$C$6</f>
        <v>0</v>
      </c>
      <c r="K1691" s="15" t="n">
        <f aca="false">AG1691*評分方法!$C$7</f>
        <v>10.05</v>
      </c>
      <c r="L1691" s="15" t="n">
        <f aca="false">AH1691*評分方法!$C$8</f>
        <v>9</v>
      </c>
      <c r="M1691" s="15" t="n">
        <f aca="false">AI1691*評分方法!$C$9</f>
        <v>6</v>
      </c>
      <c r="N1691" s="15" t="n">
        <f aca="false">AJ1691*評分方法!$C$10</f>
        <v>0.968</v>
      </c>
      <c r="O1691" s="15" t="n">
        <f aca="false">AK1691*評分方法!$C$11</f>
        <v>2.5</v>
      </c>
      <c r="P1691" s="15" t="n">
        <f aca="false">AL1691*評分方法!$C$12</f>
        <v>3</v>
      </c>
      <c r="Q1691" s="6" t="n">
        <v>152162</v>
      </c>
      <c r="R1691" s="6" t="n">
        <v>12187325040</v>
      </c>
      <c r="S1691" s="11" t="s">
        <v>389</v>
      </c>
      <c r="T1691" s="11" t="s">
        <v>658</v>
      </c>
      <c r="U1691" s="5" t="s">
        <v>260</v>
      </c>
      <c r="V1691" s="11" t="s">
        <v>261</v>
      </c>
      <c r="W1691" s="5" t="s">
        <v>207</v>
      </c>
      <c r="X1691" s="5" t="s">
        <v>371</v>
      </c>
      <c r="Y1691" s="11" t="s">
        <v>1304</v>
      </c>
      <c r="Z1691" s="11" t="s">
        <v>270</v>
      </c>
      <c r="AA1691" s="11" t="s">
        <v>156</v>
      </c>
      <c r="AB1691" s="5" t="s">
        <v>245</v>
      </c>
      <c r="AC1691" s="5" t="s">
        <v>262</v>
      </c>
      <c r="AD1691" s="11" t="s">
        <v>4168</v>
      </c>
      <c r="AE1691" s="23" t="n">
        <v>0.85</v>
      </c>
      <c r="AF1691" s="23" t="n">
        <v>0</v>
      </c>
      <c r="AG1691" s="23" t="n">
        <v>0.67</v>
      </c>
      <c r="AH1691" s="23" t="n">
        <v>0.6</v>
      </c>
      <c r="AI1691" s="23" t="n">
        <v>0.6</v>
      </c>
      <c r="AJ1691" s="23" t="n">
        <v>0.0968</v>
      </c>
      <c r="AK1691" s="23" t="n">
        <v>0.5</v>
      </c>
      <c r="AL1691" s="23" t="n">
        <v>0.6</v>
      </c>
      <c r="AM1691" s="16" t="n">
        <f aca="false">COUNTIFS($D$2:$D$2501,D1691,$G$2:$G$2501,"&gt;"&amp;G1691)+COUNTIFS($D$2:D1691,D1691,$G$2:G1691,G1691)</f>
        <v>795</v>
      </c>
      <c r="AN1691" s="5" t="str">
        <f aca="false">D1691&amp;"|"&amp;AM1691</f>
        <v>分析與報告生成|795</v>
      </c>
    </row>
    <row r="1692" customFormat="false" ht="17.15" hidden="false" customHeight="false" outlineLevel="0" collapsed="false">
      <c r="A1692" s="16" t="n">
        <f aca="false">RANK(G1692,$G$2:$G$2501)+COUNTIF($G$2:G1692,G1692)-1</f>
        <v>1691</v>
      </c>
      <c r="B1692" s="11" t="s">
        <v>4169</v>
      </c>
      <c r="C1692" s="11" t="s">
        <v>4170</v>
      </c>
      <c r="D1692" s="5" t="s">
        <v>56</v>
      </c>
      <c r="E1692" s="5" t="s">
        <v>57</v>
      </c>
      <c r="F1692" s="5"/>
      <c r="G1692" s="22" t="n">
        <f aca="false">ROUND(SUM(I1692:P1692),3)</f>
        <v>57.004</v>
      </c>
      <c r="H1692" s="5" t="str">
        <f aca="false">IF(G1692&gt;=評分方法!$C$16,"優先評估",IF(G1692&gt;=評分方法!$C$17,"列入候選",IF(G1692&gt;=評分方法!$C$18,"特定情境","不建議")))</f>
        <v>不建議</v>
      </c>
      <c r="I1692" s="15" t="n">
        <f aca="false">AE1692*評分方法!$C$5</f>
        <v>25.5</v>
      </c>
      <c r="J1692" s="15" t="n">
        <f aca="false">AF1692*評分方法!$C$6</f>
        <v>0</v>
      </c>
      <c r="K1692" s="15" t="n">
        <f aca="false">AG1692*評分方法!$C$7</f>
        <v>4.95</v>
      </c>
      <c r="L1692" s="15" t="n">
        <f aca="false">AH1692*評分方法!$C$8</f>
        <v>13.05</v>
      </c>
      <c r="M1692" s="15" t="n">
        <f aca="false">AI1692*評分方法!$C$9</f>
        <v>6</v>
      </c>
      <c r="N1692" s="15" t="n">
        <f aca="false">AJ1692*評分方法!$C$10</f>
        <v>2.004</v>
      </c>
      <c r="O1692" s="15" t="n">
        <f aca="false">AK1692*評分方法!$C$11</f>
        <v>2.5</v>
      </c>
      <c r="P1692" s="15" t="n">
        <f aca="false">AL1692*評分方法!$C$12</f>
        <v>3</v>
      </c>
      <c r="Q1692" s="6" t="n">
        <v>210617</v>
      </c>
      <c r="R1692" s="6" t="n">
        <v>8030261248</v>
      </c>
      <c r="S1692" s="11" t="s">
        <v>254</v>
      </c>
      <c r="T1692" s="11" t="s">
        <v>259</v>
      </c>
      <c r="U1692" s="5" t="s">
        <v>260</v>
      </c>
      <c r="V1692" s="11" t="s">
        <v>261</v>
      </c>
      <c r="W1692" s="5" t="s">
        <v>334</v>
      </c>
      <c r="X1692" s="5" t="s">
        <v>371</v>
      </c>
      <c r="Y1692" s="5"/>
      <c r="Z1692" s="5"/>
      <c r="AA1692" s="11" t="s">
        <v>155</v>
      </c>
      <c r="AB1692" s="5" t="s">
        <v>245</v>
      </c>
      <c r="AC1692" s="5" t="s">
        <v>262</v>
      </c>
      <c r="AD1692" s="11" t="s">
        <v>4171</v>
      </c>
      <c r="AE1692" s="23" t="n">
        <v>0.85</v>
      </c>
      <c r="AF1692" s="23" t="n">
        <v>0</v>
      </c>
      <c r="AG1692" s="23" t="n">
        <v>0.33</v>
      </c>
      <c r="AH1692" s="23" t="n">
        <v>0.87</v>
      </c>
      <c r="AI1692" s="23" t="n">
        <v>0.6</v>
      </c>
      <c r="AJ1692" s="23" t="n">
        <v>0.2004</v>
      </c>
      <c r="AK1692" s="23" t="n">
        <v>0.5</v>
      </c>
      <c r="AL1692" s="23" t="n">
        <v>0.6</v>
      </c>
      <c r="AM1692" s="16" t="n">
        <f aca="false">COUNTIFS($D$2:$D$2501,D1692,$G$2:$G$2501,"&gt;"&amp;G1692)+COUNTIFS($D$2:D1692,D1692,$G$2:G1692,G1692)</f>
        <v>796</v>
      </c>
      <c r="AN1692" s="5" t="str">
        <f aca="false">D1692&amp;"|"&amp;AM1692</f>
        <v>分析與報告生成|796</v>
      </c>
    </row>
    <row r="1693" customFormat="false" ht="17.15" hidden="false" customHeight="false" outlineLevel="0" collapsed="false">
      <c r="A1693" s="16" t="n">
        <f aca="false">RANK(G1693,$G$2:$G$2501)+COUNTIF($G$2:G1693,G1693)-1</f>
        <v>1692</v>
      </c>
      <c r="B1693" s="11" t="s">
        <v>4172</v>
      </c>
      <c r="C1693" s="11" t="s">
        <v>4173</v>
      </c>
      <c r="D1693" s="5" t="s">
        <v>56</v>
      </c>
      <c r="E1693" s="5" t="s">
        <v>57</v>
      </c>
      <c r="F1693" s="5"/>
      <c r="G1693" s="22" t="n">
        <f aca="false">ROUND(SUM(I1693:P1693),3)</f>
        <v>56.976</v>
      </c>
      <c r="H1693" s="5" t="str">
        <f aca="false">IF(G1693&gt;=評分方法!$C$16,"優先評估",IF(G1693&gt;=評分方法!$C$17,"列入候選",IF(G1693&gt;=評分方法!$C$18,"特定情境","不建議")))</f>
        <v>不建議</v>
      </c>
      <c r="I1693" s="15" t="n">
        <f aca="false">AE1693*評分方法!$C$5</f>
        <v>25.5</v>
      </c>
      <c r="J1693" s="15" t="n">
        <f aca="false">AF1693*評分方法!$C$6</f>
        <v>0</v>
      </c>
      <c r="K1693" s="15" t="n">
        <f aca="false">AG1693*評分方法!$C$7</f>
        <v>4.95</v>
      </c>
      <c r="L1693" s="15" t="n">
        <f aca="false">AH1693*評分方法!$C$8</f>
        <v>13.05</v>
      </c>
      <c r="M1693" s="15" t="n">
        <f aca="false">AI1693*評分方法!$C$9</f>
        <v>6</v>
      </c>
      <c r="N1693" s="15" t="n">
        <f aca="false">AJ1693*評分方法!$C$10</f>
        <v>2.476</v>
      </c>
      <c r="O1693" s="15" t="n">
        <f aca="false">AK1693*評分方法!$C$11</f>
        <v>5</v>
      </c>
      <c r="P1693" s="15" t="n">
        <f aca="false">AL1693*評分方法!$C$12</f>
        <v>0</v>
      </c>
      <c r="Q1693" s="6" t="n">
        <v>248726</v>
      </c>
      <c r="R1693" s="6" t="n">
        <v>8031547392</v>
      </c>
      <c r="S1693" s="11" t="s">
        <v>254</v>
      </c>
      <c r="T1693" s="11" t="s">
        <v>259</v>
      </c>
      <c r="U1693" s="5" t="s">
        <v>260</v>
      </c>
      <c r="V1693" s="11" t="s">
        <v>261</v>
      </c>
      <c r="W1693" s="5" t="s">
        <v>334</v>
      </c>
      <c r="X1693" s="5" t="s">
        <v>242</v>
      </c>
      <c r="Y1693" s="11" t="s">
        <v>1066</v>
      </c>
      <c r="Z1693" s="11" t="s">
        <v>244</v>
      </c>
      <c r="AA1693" s="11" t="s">
        <v>155</v>
      </c>
      <c r="AB1693" s="5" t="s">
        <v>245</v>
      </c>
      <c r="AC1693" s="5" t="s">
        <v>464</v>
      </c>
      <c r="AD1693" s="11" t="s">
        <v>4174</v>
      </c>
      <c r="AE1693" s="23" t="n">
        <v>0.85</v>
      </c>
      <c r="AF1693" s="23" t="n">
        <v>0</v>
      </c>
      <c r="AG1693" s="23" t="n">
        <v>0.33</v>
      </c>
      <c r="AH1693" s="23" t="n">
        <v>0.87</v>
      </c>
      <c r="AI1693" s="23" t="n">
        <v>0.6</v>
      </c>
      <c r="AJ1693" s="23" t="n">
        <v>0.2476</v>
      </c>
      <c r="AK1693" s="23" t="n">
        <v>1</v>
      </c>
      <c r="AL1693" s="23" t="n">
        <v>0</v>
      </c>
      <c r="AM1693" s="16" t="n">
        <f aca="false">COUNTIFS($D$2:$D$2501,D1693,$G$2:$G$2501,"&gt;"&amp;G1693)+COUNTIFS($D$2:D1693,D1693,$G$2:G1693,G1693)</f>
        <v>797</v>
      </c>
      <c r="AN1693" s="5" t="str">
        <f aca="false">D1693&amp;"|"&amp;AM1693</f>
        <v>分析與報告生成|797</v>
      </c>
    </row>
    <row r="1694" customFormat="false" ht="17.15" hidden="false" customHeight="false" outlineLevel="0" collapsed="false">
      <c r="A1694" s="16" t="n">
        <f aca="false">RANK(G1694,$G$2:$G$2501)+COUNTIF($G$2:G1694,G1694)-1</f>
        <v>1693</v>
      </c>
      <c r="B1694" s="11" t="s">
        <v>4175</v>
      </c>
      <c r="C1694" s="11" t="s">
        <v>1850</v>
      </c>
      <c r="D1694" s="5" t="s">
        <v>56</v>
      </c>
      <c r="E1694" s="5" t="s">
        <v>57</v>
      </c>
      <c r="F1694" s="5"/>
      <c r="G1694" s="22" t="n">
        <f aca="false">ROUND(SUM(I1694:P1694),3)</f>
        <v>56.974</v>
      </c>
      <c r="H1694" s="5" t="str">
        <f aca="false">IF(G1694&gt;=評分方法!$C$16,"優先評估",IF(G1694&gt;=評分方法!$C$17,"列入候選",IF(G1694&gt;=評分方法!$C$18,"特定情境","不建議")))</f>
        <v>不建議</v>
      </c>
      <c r="I1694" s="15" t="n">
        <f aca="false">AE1694*評分方法!$C$5</f>
        <v>18</v>
      </c>
      <c r="J1694" s="15" t="n">
        <f aca="false">AF1694*評分方法!$C$6</f>
        <v>0</v>
      </c>
      <c r="K1694" s="15" t="n">
        <f aca="false">AG1694*評分方法!$C$7</f>
        <v>10.05</v>
      </c>
      <c r="L1694" s="15" t="n">
        <f aca="false">AH1694*評分方法!$C$8</f>
        <v>15</v>
      </c>
      <c r="M1694" s="15" t="n">
        <f aca="false">AI1694*評分方法!$C$9</f>
        <v>10</v>
      </c>
      <c r="N1694" s="15" t="n">
        <f aca="false">AJ1694*評分方法!$C$10</f>
        <v>2.924</v>
      </c>
      <c r="O1694" s="15" t="n">
        <f aca="false">AK1694*評分方法!$C$11</f>
        <v>1</v>
      </c>
      <c r="P1694" s="15" t="n">
        <f aca="false">AL1694*評分方法!$C$12</f>
        <v>0</v>
      </c>
      <c r="Q1694" s="6" t="n">
        <v>288009</v>
      </c>
      <c r="R1694" s="6" t="n">
        <v>60506624</v>
      </c>
      <c r="S1694" s="11" t="s">
        <v>238</v>
      </c>
      <c r="T1694" s="11" t="s">
        <v>239</v>
      </c>
      <c r="U1694" s="5" t="s">
        <v>240</v>
      </c>
      <c r="V1694" s="11" t="s">
        <v>4176</v>
      </c>
      <c r="W1694" s="5" t="s">
        <v>207</v>
      </c>
      <c r="X1694" s="5" t="s">
        <v>242</v>
      </c>
      <c r="Y1694" s="5"/>
      <c r="Z1694" s="5"/>
      <c r="AA1694" s="11" t="s">
        <v>160</v>
      </c>
      <c r="AB1694" s="5" t="s">
        <v>245</v>
      </c>
      <c r="AC1694" s="5"/>
      <c r="AD1694" s="11" t="s">
        <v>4177</v>
      </c>
      <c r="AE1694" s="23" t="n">
        <v>0.6</v>
      </c>
      <c r="AF1694" s="23" t="n">
        <v>0</v>
      </c>
      <c r="AG1694" s="23" t="n">
        <v>0.67</v>
      </c>
      <c r="AH1694" s="23" t="n">
        <v>1</v>
      </c>
      <c r="AI1694" s="23" t="n">
        <v>1</v>
      </c>
      <c r="AJ1694" s="23" t="n">
        <v>0.2924</v>
      </c>
      <c r="AK1694" s="23" t="n">
        <v>0.2</v>
      </c>
      <c r="AL1694" s="23" t="n">
        <v>0</v>
      </c>
      <c r="AM1694" s="16" t="n">
        <f aca="false">COUNTIFS($D$2:$D$2501,D1694,$G$2:$G$2501,"&gt;"&amp;G1694)+COUNTIFS($D$2:D1694,D1694,$G$2:G1694,G1694)</f>
        <v>798</v>
      </c>
      <c r="AN1694" s="5" t="str">
        <f aca="false">D1694&amp;"|"&amp;AM1694</f>
        <v>分析與報告生成|798</v>
      </c>
    </row>
    <row r="1695" customFormat="false" ht="17.15" hidden="false" customHeight="false" outlineLevel="0" collapsed="false">
      <c r="A1695" s="16" t="n">
        <f aca="false">RANK(G1695,$G$2:$G$2501)+COUNTIF($G$2:G1695,G1695)-1</f>
        <v>1694</v>
      </c>
      <c r="B1695" s="11" t="s">
        <v>1867</v>
      </c>
      <c r="C1695" s="11" t="s">
        <v>1143</v>
      </c>
      <c r="D1695" s="5" t="s">
        <v>56</v>
      </c>
      <c r="E1695" s="5" t="s">
        <v>57</v>
      </c>
      <c r="F1695" s="5"/>
      <c r="G1695" s="22" t="n">
        <f aca="false">ROUND(SUM(I1695:P1695),3)</f>
        <v>56.952</v>
      </c>
      <c r="H1695" s="5" t="str">
        <f aca="false">IF(G1695&gt;=評分方法!$C$16,"優先評估",IF(G1695&gt;=評分方法!$C$17,"列入候選",IF(G1695&gt;=評分方法!$C$18,"特定情境","不建議")))</f>
        <v>不建議</v>
      </c>
      <c r="I1695" s="15" t="n">
        <f aca="false">AE1695*評分方法!$C$5</f>
        <v>25.5</v>
      </c>
      <c r="J1695" s="15" t="n">
        <f aca="false">AF1695*評分方法!$C$6</f>
        <v>0</v>
      </c>
      <c r="K1695" s="15" t="n">
        <f aca="false">AG1695*評分方法!$C$7</f>
        <v>4.95</v>
      </c>
      <c r="L1695" s="15" t="n">
        <f aca="false">AH1695*評分方法!$C$8</f>
        <v>4.95</v>
      </c>
      <c r="M1695" s="15" t="n">
        <f aca="false">AI1695*評分方法!$C$9</f>
        <v>10</v>
      </c>
      <c r="N1695" s="15" t="n">
        <f aca="false">AJ1695*評分方法!$C$10</f>
        <v>1.552</v>
      </c>
      <c r="O1695" s="15" t="n">
        <f aca="false">AK1695*評分方法!$C$11</f>
        <v>5</v>
      </c>
      <c r="P1695" s="15" t="n">
        <f aca="false">AL1695*評分方法!$C$12</f>
        <v>5</v>
      </c>
      <c r="Q1695" s="6" t="n">
        <v>182023</v>
      </c>
      <c r="R1695" s="6" t="n">
        <v>70599864480</v>
      </c>
      <c r="S1695" s="11" t="s">
        <v>1876</v>
      </c>
      <c r="T1695" s="11" t="s">
        <v>239</v>
      </c>
      <c r="U1695" s="5" t="s">
        <v>240</v>
      </c>
      <c r="V1695" s="11" t="s">
        <v>261</v>
      </c>
      <c r="W1695" s="5" t="s">
        <v>334</v>
      </c>
      <c r="X1695" s="5" t="s">
        <v>284</v>
      </c>
      <c r="Y1695" s="11" t="s">
        <v>4178</v>
      </c>
      <c r="Z1695" s="11" t="s">
        <v>270</v>
      </c>
      <c r="AA1695" s="11" t="s">
        <v>155</v>
      </c>
      <c r="AB1695" s="5" t="s">
        <v>245</v>
      </c>
      <c r="AC1695" s="5"/>
      <c r="AD1695" s="11" t="s">
        <v>4179</v>
      </c>
      <c r="AE1695" s="23" t="n">
        <v>0.85</v>
      </c>
      <c r="AF1695" s="23" t="n">
        <v>0</v>
      </c>
      <c r="AG1695" s="23" t="n">
        <v>0.33</v>
      </c>
      <c r="AH1695" s="23" t="n">
        <v>0.33</v>
      </c>
      <c r="AI1695" s="23" t="n">
        <v>1</v>
      </c>
      <c r="AJ1695" s="23" t="n">
        <v>0.1552</v>
      </c>
      <c r="AK1695" s="23" t="n">
        <v>1</v>
      </c>
      <c r="AL1695" s="23" t="n">
        <v>1</v>
      </c>
      <c r="AM1695" s="16" t="n">
        <f aca="false">COUNTIFS($D$2:$D$2501,D1695,$G$2:$G$2501,"&gt;"&amp;G1695)+COUNTIFS($D$2:D1695,D1695,$G$2:G1695,G1695)</f>
        <v>799</v>
      </c>
      <c r="AN1695" s="5" t="str">
        <f aca="false">D1695&amp;"|"&amp;AM1695</f>
        <v>分析與報告生成|799</v>
      </c>
    </row>
    <row r="1696" customFormat="false" ht="17.15" hidden="false" customHeight="false" outlineLevel="0" collapsed="false">
      <c r="A1696" s="16" t="n">
        <f aca="false">RANK(G1696,$G$2:$G$2501)+COUNTIF($G$2:G1696,G1696)-1</f>
        <v>1695</v>
      </c>
      <c r="B1696" s="11" t="s">
        <v>4180</v>
      </c>
      <c r="C1696" s="11" t="s">
        <v>2910</v>
      </c>
      <c r="D1696" s="5" t="s">
        <v>78</v>
      </c>
      <c r="E1696" s="5" t="s">
        <v>79</v>
      </c>
      <c r="F1696" s="5"/>
      <c r="G1696" s="22" t="n">
        <f aca="false">ROUND(SUM(I1696:P1696),3)</f>
        <v>56.95</v>
      </c>
      <c r="H1696" s="5" t="str">
        <f aca="false">IF(G1696&gt;=評分方法!$C$16,"優先評估",IF(G1696&gt;=評分方法!$C$17,"列入候選",IF(G1696&gt;=評分方法!$C$18,"特定情境","不建議")))</f>
        <v>不建議</v>
      </c>
      <c r="I1696" s="15" t="n">
        <f aca="false">AE1696*評分方法!$C$5</f>
        <v>10.5</v>
      </c>
      <c r="J1696" s="15" t="n">
        <f aca="false">AF1696*評分方法!$C$6</f>
        <v>0</v>
      </c>
      <c r="K1696" s="15" t="n">
        <f aca="false">AG1696*評分方法!$C$7</f>
        <v>10.05</v>
      </c>
      <c r="L1696" s="15" t="n">
        <f aca="false">AH1696*評分方法!$C$8</f>
        <v>15</v>
      </c>
      <c r="M1696" s="15" t="n">
        <f aca="false">AI1696*評分方法!$C$9</f>
        <v>10</v>
      </c>
      <c r="N1696" s="15" t="n">
        <f aca="false">AJ1696*評分方法!$C$10</f>
        <v>7.4</v>
      </c>
      <c r="O1696" s="15" t="n">
        <f aca="false">AK1696*評分方法!$C$11</f>
        <v>4</v>
      </c>
      <c r="P1696" s="15" t="n">
        <f aca="false">AL1696*評分方法!$C$12</f>
        <v>0</v>
      </c>
      <c r="Q1696" s="6" t="n">
        <v>1108797</v>
      </c>
      <c r="R1696" s="6" t="n">
        <v>94569090</v>
      </c>
      <c r="S1696" s="11" t="s">
        <v>238</v>
      </c>
      <c r="T1696" s="11" t="s">
        <v>239</v>
      </c>
      <c r="U1696" s="5" t="s">
        <v>240</v>
      </c>
      <c r="V1696" s="11" t="s">
        <v>324</v>
      </c>
      <c r="W1696" s="5" t="s">
        <v>207</v>
      </c>
      <c r="X1696" s="5" t="s">
        <v>242</v>
      </c>
      <c r="Y1696" s="11" t="s">
        <v>3699</v>
      </c>
      <c r="Z1696" s="11" t="s">
        <v>270</v>
      </c>
      <c r="AA1696" s="11" t="s">
        <v>174</v>
      </c>
      <c r="AB1696" s="5" t="s">
        <v>245</v>
      </c>
      <c r="AC1696" s="5"/>
      <c r="AD1696" s="11" t="s">
        <v>4181</v>
      </c>
      <c r="AE1696" s="23" t="n">
        <v>0.35</v>
      </c>
      <c r="AF1696" s="23" t="n">
        <v>0</v>
      </c>
      <c r="AG1696" s="23" t="n">
        <v>0.67</v>
      </c>
      <c r="AH1696" s="23" t="n">
        <v>1</v>
      </c>
      <c r="AI1696" s="23" t="n">
        <v>1</v>
      </c>
      <c r="AJ1696" s="23" t="n">
        <v>0.74</v>
      </c>
      <c r="AK1696" s="23" t="n">
        <v>0.8</v>
      </c>
      <c r="AL1696" s="23" t="n">
        <v>0</v>
      </c>
      <c r="AM1696" s="16" t="n">
        <f aca="false">COUNTIFS($D$2:$D$2501,D1696,$G$2:$G$2501,"&gt;"&amp;G1696)+COUNTIFS($D$2:D1696,D1696,$G$2:G1696,G1696)</f>
        <v>31</v>
      </c>
      <c r="AN1696" s="5" t="str">
        <f aca="false">D1696&amp;"|"&amp;AM1696</f>
        <v>語音分析|31</v>
      </c>
    </row>
    <row r="1697" customFormat="false" ht="17.15" hidden="false" customHeight="false" outlineLevel="0" collapsed="false">
      <c r="A1697" s="16" t="n">
        <f aca="false">RANK(G1697,$G$2:$G$2501)+COUNTIF($G$2:G1697,G1697)-1</f>
        <v>1696</v>
      </c>
      <c r="B1697" s="11" t="s">
        <v>4182</v>
      </c>
      <c r="C1697" s="11" t="s">
        <v>327</v>
      </c>
      <c r="D1697" s="5" t="s">
        <v>56</v>
      </c>
      <c r="E1697" s="5" t="s">
        <v>57</v>
      </c>
      <c r="F1697" s="5"/>
      <c r="G1697" s="22" t="n">
        <f aca="false">ROUND(SUM(I1697:P1697),3)</f>
        <v>56.942</v>
      </c>
      <c r="H1697" s="5" t="str">
        <f aca="false">IF(G1697&gt;=評分方法!$C$16,"優先評估",IF(G1697&gt;=評分方法!$C$17,"列入候選",IF(G1697&gt;=評分方法!$C$18,"特定情境","不建議")))</f>
        <v>不建議</v>
      </c>
      <c r="I1697" s="15" t="n">
        <f aca="false">AE1697*評分方法!$C$5</f>
        <v>25.5</v>
      </c>
      <c r="J1697" s="15" t="n">
        <f aca="false">AF1697*評分方法!$C$6</f>
        <v>0</v>
      </c>
      <c r="K1697" s="15" t="n">
        <f aca="false">AG1697*評分方法!$C$7</f>
        <v>15</v>
      </c>
      <c r="L1697" s="15" t="n">
        <f aca="false">AH1697*評分方法!$C$8</f>
        <v>4.95</v>
      </c>
      <c r="M1697" s="15" t="n">
        <f aca="false">AI1697*評分方法!$C$9</f>
        <v>6</v>
      </c>
      <c r="N1697" s="15" t="n">
        <f aca="false">AJ1697*評分方法!$C$10</f>
        <v>0.492</v>
      </c>
      <c r="O1697" s="15" t="n">
        <f aca="false">AK1697*評分方法!$C$11</f>
        <v>5</v>
      </c>
      <c r="P1697" s="15" t="n">
        <f aca="false">AL1697*評分方法!$C$12</f>
        <v>0</v>
      </c>
      <c r="Q1697" s="6" t="n">
        <v>132258</v>
      </c>
      <c r="R1697" s="6" t="n">
        <v>74042720848</v>
      </c>
      <c r="S1697" s="11" t="s">
        <v>1876</v>
      </c>
      <c r="T1697" s="11" t="s">
        <v>185</v>
      </c>
      <c r="U1697" s="5" t="s">
        <v>260</v>
      </c>
      <c r="V1697" s="11" t="s">
        <v>333</v>
      </c>
      <c r="W1697" s="5" t="s">
        <v>205</v>
      </c>
      <c r="X1697" s="5" t="s">
        <v>242</v>
      </c>
      <c r="Y1697" s="11" t="s">
        <v>4183</v>
      </c>
      <c r="Z1697" s="11" t="s">
        <v>244</v>
      </c>
      <c r="AA1697" s="11" t="s">
        <v>156</v>
      </c>
      <c r="AB1697" s="5" t="s">
        <v>245</v>
      </c>
      <c r="AC1697" s="5" t="s">
        <v>464</v>
      </c>
      <c r="AD1697" s="11" t="s">
        <v>4184</v>
      </c>
      <c r="AE1697" s="23" t="n">
        <v>0.85</v>
      </c>
      <c r="AF1697" s="23" t="n">
        <v>0</v>
      </c>
      <c r="AG1697" s="23" t="n">
        <v>1</v>
      </c>
      <c r="AH1697" s="23" t="n">
        <v>0.33</v>
      </c>
      <c r="AI1697" s="23" t="n">
        <v>0.6</v>
      </c>
      <c r="AJ1697" s="23" t="n">
        <v>0.0492</v>
      </c>
      <c r="AK1697" s="23" t="n">
        <v>1</v>
      </c>
      <c r="AL1697" s="23" t="n">
        <v>0</v>
      </c>
      <c r="AM1697" s="16" t="n">
        <f aca="false">COUNTIFS($D$2:$D$2501,D1697,$G$2:$G$2501,"&gt;"&amp;G1697)+COUNTIFS($D$2:D1697,D1697,$G$2:G1697,G1697)</f>
        <v>800</v>
      </c>
      <c r="AN1697" s="5" t="str">
        <f aca="false">D1697&amp;"|"&amp;AM1697</f>
        <v>分析與報告生成|800</v>
      </c>
    </row>
    <row r="1698" customFormat="false" ht="17.15" hidden="false" customHeight="false" outlineLevel="0" collapsed="false">
      <c r="A1698" s="16" t="n">
        <f aca="false">RANK(G1698,$G$2:$G$2501)+COUNTIF($G$2:G1698,G1698)-1</f>
        <v>1697</v>
      </c>
      <c r="B1698" s="11" t="s">
        <v>4185</v>
      </c>
      <c r="C1698" s="11" t="s">
        <v>253</v>
      </c>
      <c r="D1698" s="5" t="s">
        <v>78</v>
      </c>
      <c r="E1698" s="5" t="s">
        <v>79</v>
      </c>
      <c r="F1698" s="5"/>
      <c r="G1698" s="22" t="n">
        <f aca="false">ROUND(SUM(I1698:P1698),3)</f>
        <v>56.932</v>
      </c>
      <c r="H1698" s="5" t="str">
        <f aca="false">IF(G1698&gt;=評分方法!$C$16,"優先評估",IF(G1698&gt;=評分方法!$C$17,"列入候選",IF(G1698&gt;=評分方法!$C$18,"特定情境","不建議")))</f>
        <v>不建議</v>
      </c>
      <c r="I1698" s="15" t="n">
        <f aca="false">AE1698*評分方法!$C$5</f>
        <v>9</v>
      </c>
      <c r="J1698" s="15" t="n">
        <f aca="false">AF1698*評分方法!$C$6</f>
        <v>0</v>
      </c>
      <c r="K1698" s="15" t="n">
        <f aca="false">AG1698*評分方法!$C$7</f>
        <v>15</v>
      </c>
      <c r="L1698" s="15" t="n">
        <f aca="false">AH1698*評分方法!$C$8</f>
        <v>15</v>
      </c>
      <c r="M1698" s="15" t="n">
        <f aca="false">AI1698*評分方法!$C$9</f>
        <v>10</v>
      </c>
      <c r="N1698" s="15" t="n">
        <f aca="false">AJ1698*評分方法!$C$10</f>
        <v>6.932</v>
      </c>
      <c r="O1698" s="15" t="n">
        <f aca="false">AK1698*評分方法!$C$11</f>
        <v>1</v>
      </c>
      <c r="P1698" s="15" t="n">
        <f aca="false">AL1698*評分方法!$C$12</f>
        <v>0</v>
      </c>
      <c r="Q1698" s="6" t="n">
        <v>887511</v>
      </c>
      <c r="R1698" s="6" t="n">
        <v>37760256</v>
      </c>
      <c r="S1698" s="11" t="s">
        <v>238</v>
      </c>
      <c r="T1698" s="11" t="s">
        <v>239</v>
      </c>
      <c r="U1698" s="5" t="s">
        <v>240</v>
      </c>
      <c r="V1698" s="11" t="s">
        <v>279</v>
      </c>
      <c r="W1698" s="5" t="s">
        <v>205</v>
      </c>
      <c r="X1698" s="5" t="s">
        <v>242</v>
      </c>
      <c r="Y1698" s="5"/>
      <c r="Z1698" s="5"/>
      <c r="AA1698" s="11" t="s">
        <v>175</v>
      </c>
      <c r="AB1698" s="5" t="s">
        <v>245</v>
      </c>
      <c r="AC1698" s="5"/>
      <c r="AD1698" s="11" t="s">
        <v>4186</v>
      </c>
      <c r="AE1698" s="23" t="n">
        <v>0.3</v>
      </c>
      <c r="AF1698" s="23" t="n">
        <v>0</v>
      </c>
      <c r="AG1698" s="23" t="n">
        <v>1</v>
      </c>
      <c r="AH1698" s="23" t="n">
        <v>1</v>
      </c>
      <c r="AI1698" s="23" t="n">
        <v>1</v>
      </c>
      <c r="AJ1698" s="23" t="n">
        <v>0.6932</v>
      </c>
      <c r="AK1698" s="23" t="n">
        <v>0.2</v>
      </c>
      <c r="AL1698" s="23" t="n">
        <v>0</v>
      </c>
      <c r="AM1698" s="16" t="n">
        <f aca="false">COUNTIFS($D$2:$D$2501,D1698,$G$2:$G$2501,"&gt;"&amp;G1698)+COUNTIFS($D$2:D1698,D1698,$G$2:G1698,G1698)</f>
        <v>32</v>
      </c>
      <c r="AN1698" s="5" t="str">
        <f aca="false">D1698&amp;"|"&amp;AM1698</f>
        <v>語音分析|32</v>
      </c>
    </row>
    <row r="1699" customFormat="false" ht="17.15" hidden="false" customHeight="false" outlineLevel="0" collapsed="false">
      <c r="A1699" s="16" t="n">
        <f aca="false">RANK(G1699,$G$2:$G$2501)+COUNTIF($G$2:G1699,G1699)-1</f>
        <v>1698</v>
      </c>
      <c r="B1699" s="11" t="s">
        <v>4187</v>
      </c>
      <c r="C1699" s="11" t="s">
        <v>4188</v>
      </c>
      <c r="D1699" s="5" t="s">
        <v>56</v>
      </c>
      <c r="E1699" s="5" t="s">
        <v>57</v>
      </c>
      <c r="F1699" s="5"/>
      <c r="G1699" s="22" t="n">
        <f aca="false">ROUND(SUM(I1699:P1699),3)</f>
        <v>56.908</v>
      </c>
      <c r="H1699" s="5" t="str">
        <f aca="false">IF(G1699&gt;=評分方法!$C$16,"優先評估",IF(G1699&gt;=評分方法!$C$17,"列入候選",IF(G1699&gt;=評分方法!$C$18,"特定情境","不建議")))</f>
        <v>不建議</v>
      </c>
      <c r="I1699" s="15" t="n">
        <f aca="false">AE1699*評分方法!$C$5</f>
        <v>25.5</v>
      </c>
      <c r="J1699" s="15" t="n">
        <f aca="false">AF1699*評分方法!$C$6</f>
        <v>0</v>
      </c>
      <c r="K1699" s="15" t="n">
        <f aca="false">AG1699*評分方法!$C$7</f>
        <v>4.95</v>
      </c>
      <c r="L1699" s="15" t="n">
        <f aca="false">AH1699*評分方法!$C$8</f>
        <v>13.05</v>
      </c>
      <c r="M1699" s="15" t="n">
        <f aca="false">AI1699*評分方法!$C$9</f>
        <v>2</v>
      </c>
      <c r="N1699" s="15" t="n">
        <f aca="false">AJ1699*評分方法!$C$10</f>
        <v>3.408</v>
      </c>
      <c r="O1699" s="15" t="n">
        <f aca="false">AK1699*評分方法!$C$11</f>
        <v>5</v>
      </c>
      <c r="P1699" s="15" t="n">
        <f aca="false">AL1699*評分方法!$C$12</f>
        <v>3</v>
      </c>
      <c r="Q1699" s="6" t="n">
        <v>343599</v>
      </c>
      <c r="R1699" s="6" t="n">
        <v>2390384448</v>
      </c>
      <c r="S1699" s="11" t="s">
        <v>254</v>
      </c>
      <c r="T1699" s="5"/>
      <c r="U1699" s="5" t="s">
        <v>375</v>
      </c>
      <c r="V1699" s="11" t="s">
        <v>333</v>
      </c>
      <c r="W1699" s="5" t="s">
        <v>334</v>
      </c>
      <c r="X1699" s="5" t="s">
        <v>371</v>
      </c>
      <c r="Y1699" s="5"/>
      <c r="Z1699" s="5"/>
      <c r="AA1699" s="11" t="s">
        <v>155</v>
      </c>
      <c r="AB1699" s="5" t="s">
        <v>961</v>
      </c>
      <c r="AC1699" s="5" t="s">
        <v>1977</v>
      </c>
      <c r="AD1699" s="11" t="s">
        <v>4189</v>
      </c>
      <c r="AE1699" s="23" t="n">
        <v>0.85</v>
      </c>
      <c r="AF1699" s="23" t="n">
        <v>0</v>
      </c>
      <c r="AG1699" s="23" t="n">
        <v>0.33</v>
      </c>
      <c r="AH1699" s="23" t="n">
        <v>0.87</v>
      </c>
      <c r="AI1699" s="23" t="n">
        <v>0.2</v>
      </c>
      <c r="AJ1699" s="23" t="n">
        <v>0.3408</v>
      </c>
      <c r="AK1699" s="23" t="n">
        <v>1</v>
      </c>
      <c r="AL1699" s="23" t="n">
        <v>0.6</v>
      </c>
      <c r="AM1699" s="16" t="n">
        <f aca="false">COUNTIFS($D$2:$D$2501,D1699,$G$2:$G$2501,"&gt;"&amp;G1699)+COUNTIFS($D$2:D1699,D1699,$G$2:G1699,G1699)</f>
        <v>801</v>
      </c>
      <c r="AN1699" s="5" t="str">
        <f aca="false">D1699&amp;"|"&amp;AM1699</f>
        <v>分析與報告生成|801</v>
      </c>
    </row>
    <row r="1700" customFormat="false" ht="17.15" hidden="false" customHeight="false" outlineLevel="0" collapsed="false">
      <c r="A1700" s="16" t="n">
        <f aca="false">RANK(G1700,$G$2:$G$2501)+COUNTIF($G$2:G1700,G1700)-1</f>
        <v>1699</v>
      </c>
      <c r="B1700" s="11" t="s">
        <v>4190</v>
      </c>
      <c r="C1700" s="11" t="s">
        <v>681</v>
      </c>
      <c r="D1700" s="5" t="s">
        <v>74</v>
      </c>
      <c r="E1700" s="5" t="s">
        <v>75</v>
      </c>
      <c r="F1700" s="5"/>
      <c r="G1700" s="22" t="n">
        <f aca="false">ROUND(SUM(I1700:P1700),3)</f>
        <v>56.908</v>
      </c>
      <c r="H1700" s="5" t="str">
        <f aca="false">IF(G1700&gt;=評分方法!$C$16,"優先評估",IF(G1700&gt;=評分方法!$C$17,"列入候選",IF(G1700&gt;=評分方法!$C$18,"特定情境","不建議")))</f>
        <v>不建議</v>
      </c>
      <c r="I1700" s="15" t="n">
        <f aca="false">AE1700*評分方法!$C$5</f>
        <v>13.5</v>
      </c>
      <c r="J1700" s="15" t="n">
        <f aca="false">AF1700*評分方法!$C$6</f>
        <v>0</v>
      </c>
      <c r="K1700" s="15" t="n">
        <f aca="false">AG1700*評分方法!$C$7</f>
        <v>15</v>
      </c>
      <c r="L1700" s="15" t="n">
        <f aca="false">AH1700*評分方法!$C$8</f>
        <v>15</v>
      </c>
      <c r="M1700" s="15" t="n">
        <f aca="false">AI1700*評分方法!$C$9</f>
        <v>10</v>
      </c>
      <c r="N1700" s="15" t="n">
        <f aca="false">AJ1700*評分方法!$C$10</f>
        <v>0.908</v>
      </c>
      <c r="O1700" s="15" t="n">
        <f aca="false">AK1700*評分方法!$C$11</f>
        <v>1</v>
      </c>
      <c r="P1700" s="15" t="n">
        <f aca="false">AL1700*評分方法!$C$12</f>
        <v>1.5</v>
      </c>
      <c r="Q1700" s="6" t="n">
        <v>149970</v>
      </c>
      <c r="R1700" s="6" t="n">
        <v>247431692</v>
      </c>
      <c r="S1700" s="11" t="s">
        <v>238</v>
      </c>
      <c r="T1700" s="11" t="s">
        <v>1636</v>
      </c>
      <c r="U1700" s="5" t="s">
        <v>240</v>
      </c>
      <c r="V1700" s="11" t="s">
        <v>324</v>
      </c>
      <c r="W1700" s="5" t="s">
        <v>205</v>
      </c>
      <c r="X1700" s="5" t="s">
        <v>255</v>
      </c>
      <c r="Y1700" s="5"/>
      <c r="Z1700" s="5"/>
      <c r="AA1700" s="11" t="s">
        <v>163</v>
      </c>
      <c r="AB1700" s="5" t="s">
        <v>245</v>
      </c>
      <c r="AC1700" s="5"/>
      <c r="AD1700" s="11" t="s">
        <v>4191</v>
      </c>
      <c r="AE1700" s="23" t="n">
        <v>0.45</v>
      </c>
      <c r="AF1700" s="23" t="n">
        <v>0</v>
      </c>
      <c r="AG1700" s="23" t="n">
        <v>1</v>
      </c>
      <c r="AH1700" s="23" t="n">
        <v>1</v>
      </c>
      <c r="AI1700" s="23" t="n">
        <v>1</v>
      </c>
      <c r="AJ1700" s="23" t="n">
        <v>0.0908</v>
      </c>
      <c r="AK1700" s="23" t="n">
        <v>0.2</v>
      </c>
      <c r="AL1700" s="23" t="n">
        <v>0.3</v>
      </c>
      <c r="AM1700" s="16" t="n">
        <f aca="false">COUNTIFS($D$2:$D$2501,D1700,$G$2:$G$2501,"&gt;"&amp;G1700)+COUNTIFS($D$2:D1700,D1700,$G$2:G1700,G1700)</f>
        <v>163</v>
      </c>
      <c r="AN1700" s="5" t="str">
        <f aca="false">D1700&amp;"|"&amp;AM1700</f>
        <v>文件與影像辨識|163</v>
      </c>
    </row>
    <row r="1701" customFormat="false" ht="17.15" hidden="false" customHeight="false" outlineLevel="0" collapsed="false">
      <c r="A1701" s="16" t="n">
        <f aca="false">RANK(G1701,$G$2:$G$2501)+COUNTIF($G$2:G1701,G1701)-1</f>
        <v>1700</v>
      </c>
      <c r="B1701" s="11" t="s">
        <v>4192</v>
      </c>
      <c r="C1701" s="11" t="s">
        <v>4193</v>
      </c>
      <c r="D1701" s="5" t="s">
        <v>56</v>
      </c>
      <c r="E1701" s="5" t="s">
        <v>57</v>
      </c>
      <c r="F1701" s="5"/>
      <c r="G1701" s="22" t="n">
        <f aca="false">ROUND(SUM(I1701:P1701),3)</f>
        <v>56.896</v>
      </c>
      <c r="H1701" s="5" t="str">
        <f aca="false">IF(G1701&gt;=評分方法!$C$16,"優先評估",IF(G1701&gt;=評分方法!$C$17,"列入候選",IF(G1701&gt;=評分方法!$C$18,"特定情境","不建議")))</f>
        <v>不建議</v>
      </c>
      <c r="I1701" s="15" t="n">
        <f aca="false">AE1701*評分方法!$C$5</f>
        <v>25.5</v>
      </c>
      <c r="J1701" s="15" t="n">
        <f aca="false">AF1701*評分方法!$C$6</f>
        <v>0</v>
      </c>
      <c r="K1701" s="15" t="n">
        <f aca="false">AG1701*評分方法!$C$7</f>
        <v>4.95</v>
      </c>
      <c r="L1701" s="15" t="n">
        <f aca="false">AH1701*評分方法!$C$8</f>
        <v>13.05</v>
      </c>
      <c r="M1701" s="15" t="n">
        <f aca="false">AI1701*評分方法!$C$9</f>
        <v>6</v>
      </c>
      <c r="N1701" s="15" t="n">
        <f aca="false">AJ1701*評分方法!$C$10</f>
        <v>3.396</v>
      </c>
      <c r="O1701" s="15" t="n">
        <f aca="false">AK1701*評分方法!$C$11</f>
        <v>4</v>
      </c>
      <c r="P1701" s="15" t="n">
        <f aca="false">AL1701*評分方法!$C$12</f>
        <v>0</v>
      </c>
      <c r="Q1701" s="6" t="n">
        <v>340232</v>
      </c>
      <c r="R1701" s="6" t="n">
        <v>4810423908</v>
      </c>
      <c r="S1701" s="11" t="s">
        <v>254</v>
      </c>
      <c r="T1701" s="11" t="s">
        <v>185</v>
      </c>
      <c r="U1701" s="5" t="s">
        <v>260</v>
      </c>
      <c r="V1701" s="11" t="s">
        <v>261</v>
      </c>
      <c r="W1701" s="5" t="s">
        <v>334</v>
      </c>
      <c r="X1701" s="5" t="s">
        <v>242</v>
      </c>
      <c r="Y1701" s="11" t="s">
        <v>3029</v>
      </c>
      <c r="Z1701" s="11" t="s">
        <v>244</v>
      </c>
      <c r="AA1701" s="11" t="s">
        <v>155</v>
      </c>
      <c r="AB1701" s="5" t="s">
        <v>245</v>
      </c>
      <c r="AC1701" s="5" t="s">
        <v>464</v>
      </c>
      <c r="AD1701" s="11" t="s">
        <v>4194</v>
      </c>
      <c r="AE1701" s="23" t="n">
        <v>0.85</v>
      </c>
      <c r="AF1701" s="23" t="n">
        <v>0</v>
      </c>
      <c r="AG1701" s="23" t="n">
        <v>0.33</v>
      </c>
      <c r="AH1701" s="23" t="n">
        <v>0.87</v>
      </c>
      <c r="AI1701" s="23" t="n">
        <v>0.6</v>
      </c>
      <c r="AJ1701" s="23" t="n">
        <v>0.3396</v>
      </c>
      <c r="AK1701" s="23" t="n">
        <v>0.8</v>
      </c>
      <c r="AL1701" s="23" t="n">
        <v>0</v>
      </c>
      <c r="AM1701" s="16" t="n">
        <f aca="false">COUNTIFS($D$2:$D$2501,D1701,$G$2:$G$2501,"&gt;"&amp;G1701)+COUNTIFS($D$2:D1701,D1701,$G$2:G1701,G1701)</f>
        <v>802</v>
      </c>
      <c r="AN1701" s="5" t="str">
        <f aca="false">D1701&amp;"|"&amp;AM1701</f>
        <v>分析與報告生成|802</v>
      </c>
    </row>
    <row r="1702" customFormat="false" ht="17.15" hidden="false" customHeight="false" outlineLevel="0" collapsed="false">
      <c r="A1702" s="16" t="n">
        <f aca="false">RANK(G1702,$G$2:$G$2501)+COUNTIF($G$2:G1702,G1702)-1</f>
        <v>1701</v>
      </c>
      <c r="B1702" s="11" t="s">
        <v>4070</v>
      </c>
      <c r="C1702" s="11" t="s">
        <v>4195</v>
      </c>
      <c r="D1702" s="5" t="s">
        <v>56</v>
      </c>
      <c r="E1702" s="5" t="s">
        <v>57</v>
      </c>
      <c r="F1702" s="5"/>
      <c r="G1702" s="22" t="n">
        <f aca="false">ROUND(SUM(I1702:P1702),3)</f>
        <v>56.882</v>
      </c>
      <c r="H1702" s="5" t="str">
        <f aca="false">IF(G1702&gt;=評分方法!$C$16,"優先評估",IF(G1702&gt;=評分方法!$C$17,"列入候選",IF(G1702&gt;=評分方法!$C$18,"特定情境","不建議")))</f>
        <v>不建議</v>
      </c>
      <c r="I1702" s="15" t="n">
        <f aca="false">AE1702*評分方法!$C$5</f>
        <v>25.5</v>
      </c>
      <c r="J1702" s="15" t="n">
        <f aca="false">AF1702*評分方法!$C$6</f>
        <v>0</v>
      </c>
      <c r="K1702" s="15" t="n">
        <f aca="false">AG1702*評分方法!$C$7</f>
        <v>4.95</v>
      </c>
      <c r="L1702" s="15" t="n">
        <f aca="false">AH1702*評分方法!$C$8</f>
        <v>9</v>
      </c>
      <c r="M1702" s="15" t="n">
        <f aca="false">AI1702*評分方法!$C$9</f>
        <v>10</v>
      </c>
      <c r="N1702" s="15" t="n">
        <f aca="false">AJ1702*評分方法!$C$10</f>
        <v>0.432</v>
      </c>
      <c r="O1702" s="15" t="n">
        <f aca="false">AK1702*評分方法!$C$11</f>
        <v>4</v>
      </c>
      <c r="P1702" s="15" t="n">
        <f aca="false">AL1702*評分方法!$C$12</f>
        <v>3</v>
      </c>
      <c r="Q1702" s="6" t="n">
        <v>129417</v>
      </c>
      <c r="R1702" s="6" t="n">
        <v>20914757184</v>
      </c>
      <c r="S1702" s="11" t="s">
        <v>389</v>
      </c>
      <c r="T1702" s="11" t="s">
        <v>239</v>
      </c>
      <c r="U1702" s="5" t="s">
        <v>240</v>
      </c>
      <c r="V1702" s="11" t="s">
        <v>261</v>
      </c>
      <c r="W1702" s="5" t="s">
        <v>334</v>
      </c>
      <c r="X1702" s="5" t="s">
        <v>371</v>
      </c>
      <c r="Y1702" s="11" t="s">
        <v>390</v>
      </c>
      <c r="Z1702" s="11" t="s">
        <v>270</v>
      </c>
      <c r="AA1702" s="11" t="s">
        <v>155</v>
      </c>
      <c r="AB1702" s="5" t="s">
        <v>245</v>
      </c>
      <c r="AC1702" s="5"/>
      <c r="AD1702" s="11" t="s">
        <v>4196</v>
      </c>
      <c r="AE1702" s="23" t="n">
        <v>0.85</v>
      </c>
      <c r="AF1702" s="23" t="n">
        <v>0</v>
      </c>
      <c r="AG1702" s="23" t="n">
        <v>0.33</v>
      </c>
      <c r="AH1702" s="23" t="n">
        <v>0.6</v>
      </c>
      <c r="AI1702" s="23" t="n">
        <v>1</v>
      </c>
      <c r="AJ1702" s="23" t="n">
        <v>0.0432</v>
      </c>
      <c r="AK1702" s="23" t="n">
        <v>0.8</v>
      </c>
      <c r="AL1702" s="23" t="n">
        <v>0.6</v>
      </c>
      <c r="AM1702" s="16" t="n">
        <f aca="false">COUNTIFS($D$2:$D$2501,D1702,$G$2:$G$2501,"&gt;"&amp;G1702)+COUNTIFS($D$2:D1702,D1702,$G$2:G1702,G1702)</f>
        <v>803</v>
      </c>
      <c r="AN1702" s="5" t="str">
        <f aca="false">D1702&amp;"|"&amp;AM1702</f>
        <v>分析與報告生成|803</v>
      </c>
    </row>
    <row r="1703" customFormat="false" ht="17.15" hidden="false" customHeight="false" outlineLevel="0" collapsed="false">
      <c r="A1703" s="16" t="n">
        <f aca="false">RANK(G1703,$G$2:$G$2501)+COUNTIF($G$2:G1703,G1703)-1</f>
        <v>1702</v>
      </c>
      <c r="B1703" s="11" t="s">
        <v>4197</v>
      </c>
      <c r="C1703" s="11" t="s">
        <v>4198</v>
      </c>
      <c r="D1703" s="5" t="s">
        <v>56</v>
      </c>
      <c r="E1703" s="5" t="s">
        <v>57</v>
      </c>
      <c r="F1703" s="5"/>
      <c r="G1703" s="22" t="n">
        <f aca="false">ROUND(SUM(I1703:P1703),3)</f>
        <v>56.864</v>
      </c>
      <c r="H1703" s="5" t="str">
        <f aca="false">IF(G1703&gt;=評分方法!$C$16,"優先評估",IF(G1703&gt;=評分方法!$C$17,"列入候選",IF(G1703&gt;=評分方法!$C$18,"特定情境","不建議")))</f>
        <v>不建議</v>
      </c>
      <c r="I1703" s="15" t="n">
        <f aca="false">AE1703*評分方法!$C$5</f>
        <v>24</v>
      </c>
      <c r="J1703" s="15" t="n">
        <f aca="false">AF1703*評分方法!$C$6</f>
        <v>0</v>
      </c>
      <c r="K1703" s="15" t="n">
        <f aca="false">AG1703*評分方法!$C$7</f>
        <v>4.95</v>
      </c>
      <c r="L1703" s="15" t="n">
        <f aca="false">AH1703*評分方法!$C$8</f>
        <v>13.05</v>
      </c>
      <c r="M1703" s="15" t="n">
        <f aca="false">AI1703*評分方法!$C$9</f>
        <v>2</v>
      </c>
      <c r="N1703" s="15" t="n">
        <f aca="false">AJ1703*評分方法!$C$10</f>
        <v>4.864</v>
      </c>
      <c r="O1703" s="15" t="n">
        <f aca="false">AK1703*評分方法!$C$11</f>
        <v>5</v>
      </c>
      <c r="P1703" s="15" t="n">
        <f aca="false">AL1703*評分方法!$C$12</f>
        <v>3</v>
      </c>
      <c r="Q1703" s="6" t="n">
        <v>527936</v>
      </c>
      <c r="R1703" s="6" t="n">
        <v>2516756480</v>
      </c>
      <c r="S1703" s="11" t="s">
        <v>254</v>
      </c>
      <c r="T1703" s="5"/>
      <c r="U1703" s="5" t="s">
        <v>375</v>
      </c>
      <c r="V1703" s="11" t="s">
        <v>333</v>
      </c>
      <c r="W1703" s="5" t="s">
        <v>334</v>
      </c>
      <c r="X1703" s="5" t="s">
        <v>371</v>
      </c>
      <c r="Y1703" s="11" t="s">
        <v>755</v>
      </c>
      <c r="Z1703" s="11" t="s">
        <v>244</v>
      </c>
      <c r="AA1703" s="11" t="s">
        <v>157</v>
      </c>
      <c r="AB1703" s="5" t="s">
        <v>496</v>
      </c>
      <c r="AC1703" s="5" t="s">
        <v>1108</v>
      </c>
      <c r="AD1703" s="11" t="s">
        <v>4199</v>
      </c>
      <c r="AE1703" s="23" t="n">
        <v>0.8</v>
      </c>
      <c r="AF1703" s="23" t="n">
        <v>0</v>
      </c>
      <c r="AG1703" s="23" t="n">
        <v>0.33</v>
      </c>
      <c r="AH1703" s="23" t="n">
        <v>0.87</v>
      </c>
      <c r="AI1703" s="23" t="n">
        <v>0.2</v>
      </c>
      <c r="AJ1703" s="23" t="n">
        <v>0.4864</v>
      </c>
      <c r="AK1703" s="23" t="n">
        <v>1</v>
      </c>
      <c r="AL1703" s="23" t="n">
        <v>0.6</v>
      </c>
      <c r="AM1703" s="16" t="n">
        <f aca="false">COUNTIFS($D$2:$D$2501,D1703,$G$2:$G$2501,"&gt;"&amp;G1703)+COUNTIFS($D$2:D1703,D1703,$G$2:G1703,G1703)</f>
        <v>804</v>
      </c>
      <c r="AN1703" s="5" t="str">
        <f aca="false">D1703&amp;"|"&amp;AM1703</f>
        <v>分析與報告生成|804</v>
      </c>
    </row>
    <row r="1704" customFormat="false" ht="17.15" hidden="false" customHeight="false" outlineLevel="0" collapsed="false">
      <c r="A1704" s="16" t="n">
        <f aca="false">RANK(G1704,$G$2:$G$2501)+COUNTIF($G$2:G1704,G1704)-1</f>
        <v>1703</v>
      </c>
      <c r="B1704" s="11" t="s">
        <v>4200</v>
      </c>
      <c r="C1704" s="11" t="s">
        <v>2597</v>
      </c>
      <c r="D1704" s="5" t="s">
        <v>56</v>
      </c>
      <c r="E1704" s="5" t="s">
        <v>57</v>
      </c>
      <c r="F1704" s="5"/>
      <c r="G1704" s="22" t="n">
        <f aca="false">ROUND(SUM(I1704:P1704),3)</f>
        <v>56.848</v>
      </c>
      <c r="H1704" s="5" t="str">
        <f aca="false">IF(G1704&gt;=評分方法!$C$16,"優先評估",IF(G1704&gt;=評分方法!$C$17,"列入候選",IF(G1704&gt;=評分方法!$C$18,"特定情境","不建議")))</f>
        <v>不建議</v>
      </c>
      <c r="I1704" s="15" t="n">
        <f aca="false">AE1704*評分方法!$C$5</f>
        <v>25.5</v>
      </c>
      <c r="J1704" s="15" t="n">
        <f aca="false">AF1704*評分方法!$C$6</f>
        <v>0</v>
      </c>
      <c r="K1704" s="15" t="n">
        <f aca="false">AG1704*評分方法!$C$7</f>
        <v>4.95</v>
      </c>
      <c r="L1704" s="15" t="n">
        <f aca="false">AH1704*評分方法!$C$8</f>
        <v>7.05</v>
      </c>
      <c r="M1704" s="15" t="n">
        <f aca="false">AI1704*評分方法!$C$9</f>
        <v>10</v>
      </c>
      <c r="N1704" s="15" t="n">
        <f aca="false">AJ1704*評分方法!$C$10</f>
        <v>1.848</v>
      </c>
      <c r="O1704" s="15" t="n">
        <f aca="false">AK1704*評分方法!$C$11</f>
        <v>2.5</v>
      </c>
      <c r="P1704" s="15" t="n">
        <f aca="false">AL1704*評分方法!$C$12</f>
        <v>5</v>
      </c>
      <c r="Q1704" s="6" t="n">
        <v>199238</v>
      </c>
      <c r="R1704" s="6"/>
      <c r="S1704" s="5" t="s">
        <v>255</v>
      </c>
      <c r="T1704" s="11" t="s">
        <v>239</v>
      </c>
      <c r="U1704" s="5" t="s">
        <v>240</v>
      </c>
      <c r="V1704" s="11" t="s">
        <v>261</v>
      </c>
      <c r="W1704" s="5" t="s">
        <v>334</v>
      </c>
      <c r="X1704" s="5" t="s">
        <v>284</v>
      </c>
      <c r="Y1704" s="11" t="s">
        <v>612</v>
      </c>
      <c r="Z1704" s="11" t="s">
        <v>244</v>
      </c>
      <c r="AA1704" s="11" t="s">
        <v>156</v>
      </c>
      <c r="AB1704" s="5" t="s">
        <v>245</v>
      </c>
      <c r="AC1704" s="5" t="s">
        <v>246</v>
      </c>
      <c r="AD1704" s="11" t="s">
        <v>4201</v>
      </c>
      <c r="AE1704" s="23" t="n">
        <v>0.85</v>
      </c>
      <c r="AF1704" s="23" t="n">
        <v>0</v>
      </c>
      <c r="AG1704" s="23" t="n">
        <v>0.33</v>
      </c>
      <c r="AH1704" s="23" t="n">
        <v>0.47</v>
      </c>
      <c r="AI1704" s="23" t="n">
        <v>1</v>
      </c>
      <c r="AJ1704" s="23" t="n">
        <v>0.1848</v>
      </c>
      <c r="AK1704" s="23" t="n">
        <v>0.5</v>
      </c>
      <c r="AL1704" s="23" t="n">
        <v>1</v>
      </c>
      <c r="AM1704" s="16" t="n">
        <f aca="false">COUNTIFS($D$2:$D$2501,D1704,$G$2:$G$2501,"&gt;"&amp;G1704)+COUNTIFS($D$2:D1704,D1704,$G$2:G1704,G1704)</f>
        <v>805</v>
      </c>
      <c r="AN1704" s="5" t="str">
        <f aca="false">D1704&amp;"|"&amp;AM1704</f>
        <v>分析與報告生成|805</v>
      </c>
    </row>
    <row r="1705" customFormat="false" ht="17.15" hidden="false" customHeight="false" outlineLevel="0" collapsed="false">
      <c r="A1705" s="16" t="n">
        <f aca="false">RANK(G1705,$G$2:$G$2501)+COUNTIF($G$2:G1705,G1705)-1</f>
        <v>1704</v>
      </c>
      <c r="B1705" s="11" t="s">
        <v>4202</v>
      </c>
      <c r="C1705" s="11" t="s">
        <v>681</v>
      </c>
      <c r="D1705" s="5" t="s">
        <v>74</v>
      </c>
      <c r="E1705" s="5" t="s">
        <v>75</v>
      </c>
      <c r="F1705" s="5"/>
      <c r="G1705" s="22" t="n">
        <f aca="false">ROUND(SUM(I1705:P1705),3)</f>
        <v>56.84</v>
      </c>
      <c r="H1705" s="5" t="str">
        <f aca="false">IF(G1705&gt;=評分方法!$C$16,"優先評估",IF(G1705&gt;=評分方法!$C$17,"列入候選",IF(G1705&gt;=評分方法!$C$18,"特定情境","不建議")))</f>
        <v>不建議</v>
      </c>
      <c r="I1705" s="15" t="n">
        <f aca="false">AE1705*評分方法!$C$5</f>
        <v>10.5</v>
      </c>
      <c r="J1705" s="15" t="n">
        <f aca="false">AF1705*評分方法!$C$6</f>
        <v>0</v>
      </c>
      <c r="K1705" s="15" t="n">
        <f aca="false">AG1705*評分方法!$C$7</f>
        <v>15</v>
      </c>
      <c r="L1705" s="15" t="n">
        <f aca="false">AH1705*評分方法!$C$8</f>
        <v>15</v>
      </c>
      <c r="M1705" s="15" t="n">
        <f aca="false">AI1705*評分方法!$C$9</f>
        <v>10</v>
      </c>
      <c r="N1705" s="15" t="n">
        <f aca="false">AJ1705*評分方法!$C$10</f>
        <v>2.34</v>
      </c>
      <c r="O1705" s="15" t="n">
        <f aca="false">AK1705*評分方法!$C$11</f>
        <v>2.5</v>
      </c>
      <c r="P1705" s="15" t="n">
        <f aca="false">AL1705*評分方法!$C$12</f>
        <v>1.5</v>
      </c>
      <c r="Q1705" s="6" t="n">
        <v>235430</v>
      </c>
      <c r="R1705" s="6" t="n">
        <v>304372736</v>
      </c>
      <c r="S1705" s="11" t="s">
        <v>238</v>
      </c>
      <c r="T1705" s="11" t="s">
        <v>239</v>
      </c>
      <c r="U1705" s="5" t="s">
        <v>240</v>
      </c>
      <c r="V1705" s="11" t="s">
        <v>261</v>
      </c>
      <c r="W1705" s="5" t="s">
        <v>205</v>
      </c>
      <c r="X1705" s="5" t="s">
        <v>255</v>
      </c>
      <c r="Y1705" s="5"/>
      <c r="Z1705" s="5"/>
      <c r="AA1705" s="11" t="s">
        <v>173</v>
      </c>
      <c r="AB1705" s="5" t="s">
        <v>245</v>
      </c>
      <c r="AC1705" s="5"/>
      <c r="AD1705" s="11" t="s">
        <v>4203</v>
      </c>
      <c r="AE1705" s="23" t="n">
        <v>0.35</v>
      </c>
      <c r="AF1705" s="23" t="n">
        <v>0</v>
      </c>
      <c r="AG1705" s="23" t="n">
        <v>1</v>
      </c>
      <c r="AH1705" s="23" t="n">
        <v>1</v>
      </c>
      <c r="AI1705" s="23" t="n">
        <v>1</v>
      </c>
      <c r="AJ1705" s="23" t="n">
        <v>0.234</v>
      </c>
      <c r="AK1705" s="23" t="n">
        <v>0.5</v>
      </c>
      <c r="AL1705" s="23" t="n">
        <v>0.3</v>
      </c>
      <c r="AM1705" s="16" t="n">
        <f aca="false">COUNTIFS($D$2:$D$2501,D1705,$G$2:$G$2501,"&gt;"&amp;G1705)+COUNTIFS($D$2:D1705,D1705,$G$2:G1705,G1705)</f>
        <v>164</v>
      </c>
      <c r="AN1705" s="5" t="str">
        <f aca="false">D1705&amp;"|"&amp;AM1705</f>
        <v>文件與影像辨識|164</v>
      </c>
    </row>
    <row r="1706" customFormat="false" ht="17.15" hidden="false" customHeight="false" outlineLevel="0" collapsed="false">
      <c r="A1706" s="16" t="n">
        <f aca="false">RANK(G1706,$G$2:$G$2501)+COUNTIF($G$2:G1706,G1706)-1</f>
        <v>1705</v>
      </c>
      <c r="B1706" s="11" t="s">
        <v>4204</v>
      </c>
      <c r="C1706" s="11" t="s">
        <v>4046</v>
      </c>
      <c r="D1706" s="5" t="s">
        <v>78</v>
      </c>
      <c r="E1706" s="5" t="s">
        <v>79</v>
      </c>
      <c r="F1706" s="5"/>
      <c r="G1706" s="22" t="n">
        <f aca="false">ROUND(SUM(I1706:P1706),3)</f>
        <v>56.838</v>
      </c>
      <c r="H1706" s="5" t="str">
        <f aca="false">IF(G1706&gt;=評分方法!$C$16,"優先評估",IF(G1706&gt;=評分方法!$C$17,"列入候選",IF(G1706&gt;=評分方法!$C$18,"特定情境","不建議")))</f>
        <v>不建議</v>
      </c>
      <c r="I1706" s="15" t="n">
        <f aca="false">AE1706*評分方法!$C$5</f>
        <v>9</v>
      </c>
      <c r="J1706" s="15" t="n">
        <f aca="false">AF1706*評分方法!$C$6</f>
        <v>0</v>
      </c>
      <c r="K1706" s="15" t="n">
        <f aca="false">AG1706*評分方法!$C$7</f>
        <v>4.95</v>
      </c>
      <c r="L1706" s="15" t="n">
        <f aca="false">AH1706*評分方法!$C$8</f>
        <v>15</v>
      </c>
      <c r="M1706" s="15" t="n">
        <f aca="false">AI1706*評分方法!$C$9</f>
        <v>10</v>
      </c>
      <c r="N1706" s="15" t="n">
        <f aca="false">AJ1706*評分方法!$C$10</f>
        <v>7.888</v>
      </c>
      <c r="O1706" s="15" t="n">
        <f aca="false">AK1706*評分方法!$C$11</f>
        <v>5</v>
      </c>
      <c r="P1706" s="15" t="n">
        <f aca="false">AL1706*評分方法!$C$12</f>
        <v>5</v>
      </c>
      <c r="Q1706" s="6" t="n">
        <v>1464375</v>
      </c>
      <c r="R1706" s="6" t="n">
        <v>808904208</v>
      </c>
      <c r="S1706" s="11" t="s">
        <v>238</v>
      </c>
      <c r="T1706" s="11" t="s">
        <v>278</v>
      </c>
      <c r="U1706" s="5" t="s">
        <v>240</v>
      </c>
      <c r="V1706" s="11" t="s">
        <v>333</v>
      </c>
      <c r="W1706" s="5" t="s">
        <v>334</v>
      </c>
      <c r="X1706" s="5" t="s">
        <v>284</v>
      </c>
      <c r="Y1706" s="11" t="s">
        <v>2612</v>
      </c>
      <c r="Z1706" s="11" t="s">
        <v>244</v>
      </c>
      <c r="AA1706" s="11" t="s">
        <v>175</v>
      </c>
      <c r="AB1706" s="5" t="s">
        <v>245</v>
      </c>
      <c r="AC1706" s="5" t="s">
        <v>246</v>
      </c>
      <c r="AD1706" s="11" t="s">
        <v>4205</v>
      </c>
      <c r="AE1706" s="23" t="n">
        <v>0.3</v>
      </c>
      <c r="AF1706" s="23" t="n">
        <v>0</v>
      </c>
      <c r="AG1706" s="23" t="n">
        <v>0.33</v>
      </c>
      <c r="AH1706" s="23" t="n">
        <v>1</v>
      </c>
      <c r="AI1706" s="23" t="n">
        <v>1</v>
      </c>
      <c r="AJ1706" s="23" t="n">
        <v>0.7888</v>
      </c>
      <c r="AK1706" s="23" t="n">
        <v>1</v>
      </c>
      <c r="AL1706" s="23" t="n">
        <v>1</v>
      </c>
      <c r="AM1706" s="16" t="n">
        <f aca="false">COUNTIFS($D$2:$D$2501,D1706,$G$2:$G$2501,"&gt;"&amp;G1706)+COUNTIFS($D$2:D1706,D1706,$G$2:G1706,G1706)</f>
        <v>33</v>
      </c>
      <c r="AN1706" s="5" t="str">
        <f aca="false">D1706&amp;"|"&amp;AM1706</f>
        <v>語音分析|33</v>
      </c>
    </row>
    <row r="1707" customFormat="false" ht="17.15" hidden="false" customHeight="false" outlineLevel="0" collapsed="false">
      <c r="A1707" s="16" t="n">
        <f aca="false">RANK(G1707,$G$2:$G$2501)+COUNTIF($G$2:G1707,G1707)-1</f>
        <v>1706</v>
      </c>
      <c r="B1707" s="11" t="s">
        <v>4206</v>
      </c>
      <c r="C1707" s="11" t="s">
        <v>2639</v>
      </c>
      <c r="D1707" s="5" t="s">
        <v>56</v>
      </c>
      <c r="E1707" s="5" t="s">
        <v>57</v>
      </c>
      <c r="F1707" s="5"/>
      <c r="G1707" s="22" t="n">
        <f aca="false">ROUND(SUM(I1707:P1707),3)</f>
        <v>56.834</v>
      </c>
      <c r="H1707" s="5" t="str">
        <f aca="false">IF(G1707&gt;=評分方法!$C$16,"優先評估",IF(G1707&gt;=評分方法!$C$17,"列入候選",IF(G1707&gt;=評分方法!$C$18,"特定情境","不建議")))</f>
        <v>不建議</v>
      </c>
      <c r="I1707" s="15" t="n">
        <f aca="false">AE1707*評分方法!$C$5</f>
        <v>25.5</v>
      </c>
      <c r="J1707" s="15" t="n">
        <f aca="false">AF1707*評分方法!$C$6</f>
        <v>0</v>
      </c>
      <c r="K1707" s="15" t="n">
        <f aca="false">AG1707*評分方法!$C$7</f>
        <v>4.95</v>
      </c>
      <c r="L1707" s="15" t="n">
        <f aca="false">AH1707*評分方法!$C$8</f>
        <v>9</v>
      </c>
      <c r="M1707" s="15" t="n">
        <f aca="false">AI1707*評分方法!$C$9</f>
        <v>10</v>
      </c>
      <c r="N1707" s="15" t="n">
        <f aca="false">AJ1707*評分方法!$C$10</f>
        <v>2.384</v>
      </c>
      <c r="O1707" s="15" t="n">
        <f aca="false">AK1707*評分方法!$C$11</f>
        <v>5</v>
      </c>
      <c r="P1707" s="15" t="n">
        <f aca="false">AL1707*評分方法!$C$12</f>
        <v>0</v>
      </c>
      <c r="Q1707" s="6" t="n">
        <v>240261</v>
      </c>
      <c r="R1707" s="6" t="n">
        <v>31273086512</v>
      </c>
      <c r="S1707" s="11" t="s">
        <v>389</v>
      </c>
      <c r="T1707" s="11" t="s">
        <v>239</v>
      </c>
      <c r="U1707" s="5" t="s">
        <v>240</v>
      </c>
      <c r="V1707" s="11" t="s">
        <v>261</v>
      </c>
      <c r="W1707" s="5" t="s">
        <v>334</v>
      </c>
      <c r="X1707" s="5" t="s">
        <v>242</v>
      </c>
      <c r="Y1707" s="5"/>
      <c r="Z1707" s="5"/>
      <c r="AA1707" s="11" t="s">
        <v>155</v>
      </c>
      <c r="AB1707" s="5" t="s">
        <v>245</v>
      </c>
      <c r="AC1707" s="5"/>
      <c r="AD1707" s="11" t="s">
        <v>4207</v>
      </c>
      <c r="AE1707" s="23" t="n">
        <v>0.85</v>
      </c>
      <c r="AF1707" s="23" t="n">
        <v>0</v>
      </c>
      <c r="AG1707" s="23" t="n">
        <v>0.33</v>
      </c>
      <c r="AH1707" s="23" t="n">
        <v>0.6</v>
      </c>
      <c r="AI1707" s="23" t="n">
        <v>1</v>
      </c>
      <c r="AJ1707" s="23" t="n">
        <v>0.2384</v>
      </c>
      <c r="AK1707" s="23" t="n">
        <v>1</v>
      </c>
      <c r="AL1707" s="23" t="n">
        <v>0</v>
      </c>
      <c r="AM1707" s="16" t="n">
        <f aca="false">COUNTIFS($D$2:$D$2501,D1707,$G$2:$G$2501,"&gt;"&amp;G1707)+COUNTIFS($D$2:D1707,D1707,$G$2:G1707,G1707)</f>
        <v>806</v>
      </c>
      <c r="AN1707" s="5" t="str">
        <f aca="false">D1707&amp;"|"&amp;AM1707</f>
        <v>分析與報告生成|806</v>
      </c>
    </row>
    <row r="1708" customFormat="false" ht="17.15" hidden="false" customHeight="false" outlineLevel="0" collapsed="false">
      <c r="A1708" s="16" t="n">
        <f aca="false">RANK(G1708,$G$2:$G$2501)+COUNTIF($G$2:G1708,G1708)-1</f>
        <v>1707</v>
      </c>
      <c r="B1708" s="11" t="s">
        <v>4208</v>
      </c>
      <c r="C1708" s="11" t="s">
        <v>4209</v>
      </c>
      <c r="D1708" s="5" t="s">
        <v>56</v>
      </c>
      <c r="E1708" s="5" t="s">
        <v>57</v>
      </c>
      <c r="F1708" s="5"/>
      <c r="G1708" s="22" t="n">
        <f aca="false">ROUND(SUM(I1708:P1708),3)</f>
        <v>56.82</v>
      </c>
      <c r="H1708" s="5" t="str">
        <f aca="false">IF(G1708&gt;=評分方法!$C$16,"優先評估",IF(G1708&gt;=評分方法!$C$17,"列入候選",IF(G1708&gt;=評分方法!$C$18,"特定情境","不建議")))</f>
        <v>不建議</v>
      </c>
      <c r="I1708" s="15" t="n">
        <f aca="false">AE1708*評分方法!$C$5</f>
        <v>25.5</v>
      </c>
      <c r="J1708" s="15" t="n">
        <f aca="false">AF1708*評分方法!$C$6</f>
        <v>0</v>
      </c>
      <c r="K1708" s="15" t="n">
        <f aca="false">AG1708*評分方法!$C$7</f>
        <v>4.95</v>
      </c>
      <c r="L1708" s="15" t="n">
        <f aca="false">AH1708*評分方法!$C$8</f>
        <v>13.05</v>
      </c>
      <c r="M1708" s="15" t="n">
        <f aca="false">AI1708*評分方法!$C$9</f>
        <v>2</v>
      </c>
      <c r="N1708" s="15" t="n">
        <f aca="false">AJ1708*評分方法!$C$10</f>
        <v>7.32</v>
      </c>
      <c r="O1708" s="15" t="n">
        <f aca="false">AK1708*評分方法!$C$11</f>
        <v>1</v>
      </c>
      <c r="P1708" s="15" t="n">
        <f aca="false">AL1708*評分方法!$C$12</f>
        <v>3</v>
      </c>
      <c r="Q1708" s="6" t="n">
        <v>1054823</v>
      </c>
      <c r="R1708" s="6" t="n">
        <v>8030261248</v>
      </c>
      <c r="S1708" s="11" t="s">
        <v>254</v>
      </c>
      <c r="T1708" s="5"/>
      <c r="U1708" s="5" t="s">
        <v>375</v>
      </c>
      <c r="V1708" s="11" t="s">
        <v>261</v>
      </c>
      <c r="W1708" s="5" t="s">
        <v>334</v>
      </c>
      <c r="X1708" s="5" t="s">
        <v>371</v>
      </c>
      <c r="Y1708" s="5"/>
      <c r="Z1708" s="5"/>
      <c r="AA1708" s="11" t="s">
        <v>155</v>
      </c>
      <c r="AB1708" s="5" t="s">
        <v>245</v>
      </c>
      <c r="AC1708" s="5" t="s">
        <v>262</v>
      </c>
      <c r="AD1708" s="11" t="s">
        <v>4210</v>
      </c>
      <c r="AE1708" s="23" t="n">
        <v>0.85</v>
      </c>
      <c r="AF1708" s="23" t="n">
        <v>0</v>
      </c>
      <c r="AG1708" s="23" t="n">
        <v>0.33</v>
      </c>
      <c r="AH1708" s="23" t="n">
        <v>0.87</v>
      </c>
      <c r="AI1708" s="23" t="n">
        <v>0.2</v>
      </c>
      <c r="AJ1708" s="23" t="n">
        <v>0.732</v>
      </c>
      <c r="AK1708" s="23" t="n">
        <v>0.2</v>
      </c>
      <c r="AL1708" s="23" t="n">
        <v>0.6</v>
      </c>
      <c r="AM1708" s="16" t="n">
        <f aca="false">COUNTIFS($D$2:$D$2501,D1708,$G$2:$G$2501,"&gt;"&amp;G1708)+COUNTIFS($D$2:D1708,D1708,$G$2:G1708,G1708)</f>
        <v>807</v>
      </c>
      <c r="AN1708" s="5" t="str">
        <f aca="false">D1708&amp;"|"&amp;AM1708</f>
        <v>分析與報告生成|807</v>
      </c>
    </row>
    <row r="1709" customFormat="false" ht="17.15" hidden="false" customHeight="false" outlineLevel="0" collapsed="false">
      <c r="A1709" s="16" t="n">
        <f aca="false">RANK(G1709,$G$2:$G$2501)+COUNTIF($G$2:G1709,G1709)-1</f>
        <v>1708</v>
      </c>
      <c r="B1709" s="11" t="s">
        <v>4211</v>
      </c>
      <c r="C1709" s="11" t="s">
        <v>2693</v>
      </c>
      <c r="D1709" s="5" t="s">
        <v>74</v>
      </c>
      <c r="E1709" s="5" t="s">
        <v>75</v>
      </c>
      <c r="F1709" s="5"/>
      <c r="G1709" s="22" t="n">
        <f aca="false">ROUND(SUM(I1709:P1709),3)</f>
        <v>56.812</v>
      </c>
      <c r="H1709" s="5" t="str">
        <f aca="false">IF(G1709&gt;=評分方法!$C$16,"優先評估",IF(G1709&gt;=評分方法!$C$17,"列入候選",IF(G1709&gt;=評分方法!$C$18,"特定情境","不建議")))</f>
        <v>不建議</v>
      </c>
      <c r="I1709" s="15" t="n">
        <f aca="false">AE1709*評分方法!$C$5</f>
        <v>10.5</v>
      </c>
      <c r="J1709" s="15" t="n">
        <f aca="false">AF1709*評分方法!$C$6</f>
        <v>0</v>
      </c>
      <c r="K1709" s="15" t="n">
        <f aca="false">AG1709*評分方法!$C$7</f>
        <v>15</v>
      </c>
      <c r="L1709" s="15" t="n">
        <f aca="false">AH1709*評分方法!$C$8</f>
        <v>15</v>
      </c>
      <c r="M1709" s="15" t="n">
        <f aca="false">AI1709*評分方法!$C$9</f>
        <v>10</v>
      </c>
      <c r="N1709" s="15" t="n">
        <f aca="false">AJ1709*評分方法!$C$10</f>
        <v>2.312</v>
      </c>
      <c r="O1709" s="15" t="n">
        <f aca="false">AK1709*評分方法!$C$11</f>
        <v>2.5</v>
      </c>
      <c r="P1709" s="15" t="n">
        <f aca="false">AL1709*評分方法!$C$12</f>
        <v>1.5</v>
      </c>
      <c r="Q1709" s="6" t="n">
        <v>233907</v>
      </c>
      <c r="R1709" s="6" t="n">
        <v>138357544</v>
      </c>
      <c r="S1709" s="11" t="s">
        <v>238</v>
      </c>
      <c r="T1709" s="11" t="s">
        <v>2029</v>
      </c>
      <c r="U1709" s="5" t="s">
        <v>240</v>
      </c>
      <c r="V1709" s="11" t="s">
        <v>324</v>
      </c>
      <c r="W1709" s="5" t="s">
        <v>205</v>
      </c>
      <c r="X1709" s="5" t="s">
        <v>255</v>
      </c>
      <c r="Y1709" s="5"/>
      <c r="Z1709" s="5"/>
      <c r="AA1709" s="11" t="s">
        <v>172</v>
      </c>
      <c r="AB1709" s="5" t="s">
        <v>245</v>
      </c>
      <c r="AC1709" s="5"/>
      <c r="AD1709" s="11" t="s">
        <v>4212</v>
      </c>
      <c r="AE1709" s="23" t="n">
        <v>0.35</v>
      </c>
      <c r="AF1709" s="23" t="n">
        <v>0</v>
      </c>
      <c r="AG1709" s="23" t="n">
        <v>1</v>
      </c>
      <c r="AH1709" s="23" t="n">
        <v>1</v>
      </c>
      <c r="AI1709" s="23" t="n">
        <v>1</v>
      </c>
      <c r="AJ1709" s="23" t="n">
        <v>0.2312</v>
      </c>
      <c r="AK1709" s="23" t="n">
        <v>0.5</v>
      </c>
      <c r="AL1709" s="23" t="n">
        <v>0.3</v>
      </c>
      <c r="AM1709" s="16" t="n">
        <f aca="false">COUNTIFS($D$2:$D$2501,D1709,$G$2:$G$2501,"&gt;"&amp;G1709)+COUNTIFS($D$2:D1709,D1709,$G$2:G1709,G1709)</f>
        <v>165</v>
      </c>
      <c r="AN1709" s="5" t="str">
        <f aca="false">D1709&amp;"|"&amp;AM1709</f>
        <v>文件與影像辨識|165</v>
      </c>
    </row>
    <row r="1710" customFormat="false" ht="17.15" hidden="false" customHeight="false" outlineLevel="0" collapsed="false">
      <c r="A1710" s="16" t="n">
        <f aca="false">RANK(G1710,$G$2:$G$2501)+COUNTIF($G$2:G1710,G1710)-1</f>
        <v>1709</v>
      </c>
      <c r="B1710" s="11" t="s">
        <v>4213</v>
      </c>
      <c r="C1710" s="11" t="s">
        <v>4214</v>
      </c>
      <c r="D1710" s="5" t="s">
        <v>54</v>
      </c>
      <c r="E1710" s="5" t="s">
        <v>55</v>
      </c>
      <c r="F1710" s="5"/>
      <c r="G1710" s="22" t="n">
        <f aca="false">ROUND(SUM(I1710:P1710),3)</f>
        <v>56.806</v>
      </c>
      <c r="H1710" s="5" t="str">
        <f aca="false">IF(G1710&gt;=評分方法!$C$16,"優先評估",IF(G1710&gt;=評分方法!$C$17,"列入候選",IF(G1710&gt;=評分方法!$C$18,"特定情境","不建議")))</f>
        <v>不建議</v>
      </c>
      <c r="I1710" s="15" t="n">
        <f aca="false">AE1710*評分方法!$C$5</f>
        <v>27</v>
      </c>
      <c r="J1710" s="15" t="n">
        <f aca="false">AF1710*評分方法!$C$6</f>
        <v>0</v>
      </c>
      <c r="K1710" s="15" t="n">
        <f aca="false">AG1710*評分方法!$C$7</f>
        <v>4.95</v>
      </c>
      <c r="L1710" s="15" t="n">
        <f aca="false">AH1710*評分方法!$C$8</f>
        <v>15</v>
      </c>
      <c r="M1710" s="15" t="n">
        <f aca="false">AI1710*評分方法!$C$9</f>
        <v>2</v>
      </c>
      <c r="N1710" s="15" t="n">
        <f aca="false">AJ1710*評分方法!$C$10</f>
        <v>2.356</v>
      </c>
      <c r="O1710" s="15" t="n">
        <f aca="false">AK1710*評分方法!$C$11</f>
        <v>4</v>
      </c>
      <c r="P1710" s="15" t="n">
        <f aca="false">AL1710*評分方法!$C$12</f>
        <v>1.5</v>
      </c>
      <c r="Q1710" s="6" t="n">
        <v>235680</v>
      </c>
      <c r="R1710" s="6" t="n">
        <v>110617344</v>
      </c>
      <c r="S1710" s="11" t="s">
        <v>238</v>
      </c>
      <c r="T1710" s="5"/>
      <c r="U1710" s="5" t="s">
        <v>375</v>
      </c>
      <c r="V1710" s="11" t="s">
        <v>261</v>
      </c>
      <c r="W1710" s="5" t="s">
        <v>334</v>
      </c>
      <c r="X1710" s="5" t="s">
        <v>255</v>
      </c>
      <c r="Y1710" s="11" t="s">
        <v>4215</v>
      </c>
      <c r="Z1710" s="11" t="s">
        <v>270</v>
      </c>
      <c r="AA1710" s="11" t="s">
        <v>152</v>
      </c>
      <c r="AB1710" s="5" t="s">
        <v>245</v>
      </c>
      <c r="AC1710" s="5" t="s">
        <v>262</v>
      </c>
      <c r="AD1710" s="11" t="s">
        <v>4216</v>
      </c>
      <c r="AE1710" s="23" t="n">
        <v>0.9</v>
      </c>
      <c r="AF1710" s="23" t="n">
        <v>0</v>
      </c>
      <c r="AG1710" s="23" t="n">
        <v>0.33</v>
      </c>
      <c r="AH1710" s="23" t="n">
        <v>1</v>
      </c>
      <c r="AI1710" s="23" t="n">
        <v>0.2</v>
      </c>
      <c r="AJ1710" s="23" t="n">
        <v>0.2356</v>
      </c>
      <c r="AK1710" s="23" t="n">
        <v>0.8</v>
      </c>
      <c r="AL1710" s="23" t="n">
        <v>0.3</v>
      </c>
      <c r="AM1710" s="16" t="n">
        <f aca="false">COUNTIFS($D$2:$D$2501,D1710,$G$2:$G$2501,"&gt;"&amp;G1710)+COUNTIFS($D$2:D1710,D1710,$G$2:G1710,G1710)</f>
        <v>212</v>
      </c>
      <c r="AN1710" s="5" t="str">
        <f aca="false">D1710&amp;"|"&amp;AM1710</f>
        <v>檢索與情資關聯|212</v>
      </c>
    </row>
    <row r="1711" customFormat="false" ht="17.15" hidden="false" customHeight="false" outlineLevel="0" collapsed="false">
      <c r="A1711" s="16" t="n">
        <f aca="false">RANK(G1711,$G$2:$G$2501)+COUNTIF($G$2:G1711,G1711)-1</f>
        <v>1710</v>
      </c>
      <c r="B1711" s="11" t="s">
        <v>4217</v>
      </c>
      <c r="C1711" s="11" t="s">
        <v>4218</v>
      </c>
      <c r="D1711" s="5" t="s">
        <v>56</v>
      </c>
      <c r="E1711" s="5" t="s">
        <v>57</v>
      </c>
      <c r="F1711" s="5"/>
      <c r="G1711" s="22" t="n">
        <f aca="false">ROUND(SUM(I1711:P1711),3)</f>
        <v>56.788</v>
      </c>
      <c r="H1711" s="5" t="str">
        <f aca="false">IF(G1711&gt;=評分方法!$C$16,"優先評估",IF(G1711&gt;=評分方法!$C$17,"列入候選",IF(G1711&gt;=評分方法!$C$18,"特定情境","不建議")))</f>
        <v>不建議</v>
      </c>
      <c r="I1711" s="15" t="n">
        <f aca="false">AE1711*評分方法!$C$5</f>
        <v>25.5</v>
      </c>
      <c r="J1711" s="15" t="n">
        <f aca="false">AF1711*評分方法!$C$6</f>
        <v>0</v>
      </c>
      <c r="K1711" s="15" t="n">
        <f aca="false">AG1711*評分方法!$C$7</f>
        <v>4.95</v>
      </c>
      <c r="L1711" s="15" t="n">
        <f aca="false">AH1711*評分方法!$C$8</f>
        <v>13.05</v>
      </c>
      <c r="M1711" s="15" t="n">
        <f aca="false">AI1711*評分方法!$C$9</f>
        <v>10</v>
      </c>
      <c r="N1711" s="15" t="n">
        <f aca="false">AJ1711*評分方法!$C$10</f>
        <v>0.788</v>
      </c>
      <c r="O1711" s="15" t="n">
        <f aca="false">AK1711*評分方法!$C$11</f>
        <v>2.5</v>
      </c>
      <c r="P1711" s="15" t="n">
        <f aca="false">AL1711*評分方法!$C$12</f>
        <v>0</v>
      </c>
      <c r="Q1711" s="6" t="n">
        <v>146056</v>
      </c>
      <c r="R1711" s="6" t="n">
        <v>7241732096</v>
      </c>
      <c r="S1711" s="11" t="s">
        <v>254</v>
      </c>
      <c r="T1711" s="11" t="s">
        <v>239</v>
      </c>
      <c r="U1711" s="5" t="s">
        <v>240</v>
      </c>
      <c r="V1711" s="11" t="s">
        <v>261</v>
      </c>
      <c r="W1711" s="5" t="s">
        <v>334</v>
      </c>
      <c r="X1711" s="5" t="s">
        <v>242</v>
      </c>
      <c r="Y1711" s="5"/>
      <c r="Z1711" s="5"/>
      <c r="AA1711" s="11" t="s">
        <v>155</v>
      </c>
      <c r="AB1711" s="5" t="s">
        <v>245</v>
      </c>
      <c r="AC1711" s="5"/>
      <c r="AD1711" s="11" t="s">
        <v>4219</v>
      </c>
      <c r="AE1711" s="23" t="n">
        <v>0.85</v>
      </c>
      <c r="AF1711" s="23" t="n">
        <v>0</v>
      </c>
      <c r="AG1711" s="23" t="n">
        <v>0.33</v>
      </c>
      <c r="AH1711" s="23" t="n">
        <v>0.87</v>
      </c>
      <c r="AI1711" s="23" t="n">
        <v>1</v>
      </c>
      <c r="AJ1711" s="23" t="n">
        <v>0.0788</v>
      </c>
      <c r="AK1711" s="23" t="n">
        <v>0.5</v>
      </c>
      <c r="AL1711" s="23" t="n">
        <v>0</v>
      </c>
      <c r="AM1711" s="16" t="n">
        <f aca="false">COUNTIFS($D$2:$D$2501,D1711,$G$2:$G$2501,"&gt;"&amp;G1711)+COUNTIFS($D$2:D1711,D1711,$G$2:G1711,G1711)</f>
        <v>808</v>
      </c>
      <c r="AN1711" s="5" t="str">
        <f aca="false">D1711&amp;"|"&amp;AM1711</f>
        <v>分析與報告生成|808</v>
      </c>
    </row>
    <row r="1712" customFormat="false" ht="17.15" hidden="false" customHeight="false" outlineLevel="0" collapsed="false">
      <c r="A1712" s="16" t="n">
        <f aca="false">RANK(G1712,$G$2:$G$2501)+COUNTIF($G$2:G1712,G1712)-1</f>
        <v>1711</v>
      </c>
      <c r="B1712" s="11" t="s">
        <v>4220</v>
      </c>
      <c r="C1712" s="11" t="s">
        <v>327</v>
      </c>
      <c r="D1712" s="5" t="s">
        <v>78</v>
      </c>
      <c r="E1712" s="5" t="s">
        <v>79</v>
      </c>
      <c r="F1712" s="5"/>
      <c r="G1712" s="22" t="n">
        <f aca="false">ROUND(SUM(I1712:P1712),3)</f>
        <v>56.776</v>
      </c>
      <c r="H1712" s="5" t="str">
        <f aca="false">IF(G1712&gt;=評分方法!$C$16,"優先評估",IF(G1712&gt;=評分方法!$C$17,"列入候選",IF(G1712&gt;=評分方法!$C$18,"特定情境","不建議")))</f>
        <v>不建議</v>
      </c>
      <c r="I1712" s="15" t="n">
        <f aca="false">AE1712*評分方法!$C$5</f>
        <v>9</v>
      </c>
      <c r="J1712" s="15" t="n">
        <f aca="false">AF1712*評分方法!$C$6</f>
        <v>0</v>
      </c>
      <c r="K1712" s="15" t="n">
        <f aca="false">AG1712*評分方法!$C$7</f>
        <v>15</v>
      </c>
      <c r="L1712" s="15" t="n">
        <f aca="false">AH1712*評分方法!$C$8</f>
        <v>15</v>
      </c>
      <c r="M1712" s="15" t="n">
        <f aca="false">AI1712*評分方法!$C$9</f>
        <v>10</v>
      </c>
      <c r="N1712" s="15" t="n">
        <f aca="false">AJ1712*評分方法!$C$10</f>
        <v>2.776</v>
      </c>
      <c r="O1712" s="15" t="n">
        <f aca="false">AK1712*評分方法!$C$11</f>
        <v>5</v>
      </c>
      <c r="P1712" s="15" t="n">
        <f aca="false">AL1712*評分方法!$C$12</f>
        <v>0</v>
      </c>
      <c r="Q1712" s="6" t="n">
        <v>272023</v>
      </c>
      <c r="R1712" s="6" t="n">
        <v>616741377</v>
      </c>
      <c r="S1712" s="11" t="s">
        <v>238</v>
      </c>
      <c r="T1712" s="11" t="s">
        <v>1636</v>
      </c>
      <c r="U1712" s="5" t="s">
        <v>240</v>
      </c>
      <c r="V1712" s="11" t="s">
        <v>3693</v>
      </c>
      <c r="W1712" s="5" t="s">
        <v>205</v>
      </c>
      <c r="X1712" s="5" t="s">
        <v>242</v>
      </c>
      <c r="Y1712" s="5"/>
      <c r="Z1712" s="5"/>
      <c r="AA1712" s="11" t="s">
        <v>175</v>
      </c>
      <c r="AB1712" s="5" t="s">
        <v>245</v>
      </c>
      <c r="AC1712" s="5"/>
      <c r="AD1712" s="11" t="s">
        <v>4221</v>
      </c>
      <c r="AE1712" s="23" t="n">
        <v>0.3</v>
      </c>
      <c r="AF1712" s="23" t="n">
        <v>0</v>
      </c>
      <c r="AG1712" s="23" t="n">
        <v>1</v>
      </c>
      <c r="AH1712" s="23" t="n">
        <v>1</v>
      </c>
      <c r="AI1712" s="23" t="n">
        <v>1</v>
      </c>
      <c r="AJ1712" s="23" t="n">
        <v>0.2776</v>
      </c>
      <c r="AK1712" s="23" t="n">
        <v>1</v>
      </c>
      <c r="AL1712" s="23" t="n">
        <v>0</v>
      </c>
      <c r="AM1712" s="16" t="n">
        <f aca="false">COUNTIFS($D$2:$D$2501,D1712,$G$2:$G$2501,"&gt;"&amp;G1712)+COUNTIFS($D$2:D1712,D1712,$G$2:G1712,G1712)</f>
        <v>34</v>
      </c>
      <c r="AN1712" s="5" t="str">
        <f aca="false">D1712&amp;"|"&amp;AM1712</f>
        <v>語音分析|34</v>
      </c>
    </row>
    <row r="1713" customFormat="false" ht="17.15" hidden="false" customHeight="false" outlineLevel="0" collapsed="false">
      <c r="A1713" s="16" t="n">
        <f aca="false">RANK(G1713,$G$2:$G$2501)+COUNTIF($G$2:G1713,G1713)-1</f>
        <v>1712</v>
      </c>
      <c r="B1713" s="11" t="s">
        <v>4222</v>
      </c>
      <c r="C1713" s="11" t="s">
        <v>4223</v>
      </c>
      <c r="D1713" s="5" t="s">
        <v>56</v>
      </c>
      <c r="E1713" s="5" t="s">
        <v>57</v>
      </c>
      <c r="F1713" s="5"/>
      <c r="G1713" s="22" t="n">
        <f aca="false">ROUND(SUM(I1713:P1713),3)</f>
        <v>56.752</v>
      </c>
      <c r="H1713" s="5" t="str">
        <f aca="false">IF(G1713&gt;=評分方法!$C$16,"優先評估",IF(G1713&gt;=評分方法!$C$17,"列入候選",IF(G1713&gt;=評分方法!$C$18,"特定情境","不建議")))</f>
        <v>不建議</v>
      </c>
      <c r="I1713" s="15" t="n">
        <f aca="false">AE1713*評分方法!$C$5</f>
        <v>25.5</v>
      </c>
      <c r="J1713" s="15" t="n">
        <f aca="false">AF1713*評分方法!$C$6</f>
        <v>0</v>
      </c>
      <c r="K1713" s="15" t="n">
        <f aca="false">AG1713*評分方法!$C$7</f>
        <v>4.95</v>
      </c>
      <c r="L1713" s="15" t="n">
        <f aca="false">AH1713*評分方法!$C$8</f>
        <v>13.05</v>
      </c>
      <c r="M1713" s="15" t="n">
        <f aca="false">AI1713*評分方法!$C$9</f>
        <v>2</v>
      </c>
      <c r="N1713" s="15" t="n">
        <f aca="false">AJ1713*評分方法!$C$10</f>
        <v>5.752</v>
      </c>
      <c r="O1713" s="15" t="n">
        <f aca="false">AK1713*評分方法!$C$11</f>
        <v>2.5</v>
      </c>
      <c r="P1713" s="15" t="n">
        <f aca="false">AL1713*評分方法!$C$12</f>
        <v>3</v>
      </c>
      <c r="Q1713" s="6" t="n">
        <v>593216</v>
      </c>
      <c r="R1713" s="6" t="n">
        <v>8030261248</v>
      </c>
      <c r="S1713" s="11" t="s">
        <v>254</v>
      </c>
      <c r="T1713" s="5"/>
      <c r="U1713" s="5" t="s">
        <v>375</v>
      </c>
      <c r="V1713" s="11" t="s">
        <v>261</v>
      </c>
      <c r="W1713" s="5" t="s">
        <v>334</v>
      </c>
      <c r="X1713" s="5" t="s">
        <v>371</v>
      </c>
      <c r="Y1713" s="5"/>
      <c r="Z1713" s="5"/>
      <c r="AA1713" s="11" t="s">
        <v>155</v>
      </c>
      <c r="AB1713" s="5" t="s">
        <v>328</v>
      </c>
      <c r="AC1713" s="5" t="s">
        <v>329</v>
      </c>
      <c r="AD1713" s="11" t="s">
        <v>4224</v>
      </c>
      <c r="AE1713" s="23" t="n">
        <v>0.85</v>
      </c>
      <c r="AF1713" s="23" t="n">
        <v>0</v>
      </c>
      <c r="AG1713" s="23" t="n">
        <v>0.33</v>
      </c>
      <c r="AH1713" s="23" t="n">
        <v>0.87</v>
      </c>
      <c r="AI1713" s="23" t="n">
        <v>0.2</v>
      </c>
      <c r="AJ1713" s="23" t="n">
        <v>0.5752</v>
      </c>
      <c r="AK1713" s="23" t="n">
        <v>0.5</v>
      </c>
      <c r="AL1713" s="23" t="n">
        <v>0.6</v>
      </c>
      <c r="AM1713" s="16" t="n">
        <f aca="false">COUNTIFS($D$2:$D$2501,D1713,$G$2:$G$2501,"&gt;"&amp;G1713)+COUNTIFS($D$2:D1713,D1713,$G$2:G1713,G1713)</f>
        <v>809</v>
      </c>
      <c r="AN1713" s="5" t="str">
        <f aca="false">D1713&amp;"|"&amp;AM1713</f>
        <v>分析與報告生成|809</v>
      </c>
    </row>
    <row r="1714" customFormat="false" ht="17.15" hidden="false" customHeight="false" outlineLevel="0" collapsed="false">
      <c r="A1714" s="16" t="n">
        <f aca="false">RANK(G1714,$G$2:$G$2501)+COUNTIF($G$2:G1714,G1714)-1</f>
        <v>1713</v>
      </c>
      <c r="B1714" s="11" t="s">
        <v>4225</v>
      </c>
      <c r="C1714" s="11" t="s">
        <v>753</v>
      </c>
      <c r="D1714" s="5" t="s">
        <v>56</v>
      </c>
      <c r="E1714" s="5" t="s">
        <v>57</v>
      </c>
      <c r="F1714" s="5"/>
      <c r="G1714" s="22" t="n">
        <f aca="false">ROUND(SUM(I1714:P1714),3)</f>
        <v>56.724</v>
      </c>
      <c r="H1714" s="5" t="str">
        <f aca="false">IF(G1714&gt;=評分方法!$C$16,"優先評估",IF(G1714&gt;=評分方法!$C$17,"列入候選",IF(G1714&gt;=評分方法!$C$18,"特定情境","不建議")))</f>
        <v>不建議</v>
      </c>
      <c r="I1714" s="15" t="n">
        <f aca="false">AE1714*評分方法!$C$5</f>
        <v>25.5</v>
      </c>
      <c r="J1714" s="15" t="n">
        <f aca="false">AF1714*評分方法!$C$6</f>
        <v>0</v>
      </c>
      <c r="K1714" s="15" t="n">
        <f aca="false">AG1714*評分方法!$C$7</f>
        <v>10.05</v>
      </c>
      <c r="L1714" s="15" t="n">
        <f aca="false">AH1714*評分方法!$C$8</f>
        <v>1.95</v>
      </c>
      <c r="M1714" s="15" t="n">
        <f aca="false">AI1714*評分方法!$C$9</f>
        <v>10</v>
      </c>
      <c r="N1714" s="15" t="n">
        <f aca="false">AJ1714*評分方法!$C$10</f>
        <v>1.224</v>
      </c>
      <c r="O1714" s="15" t="n">
        <f aca="false">AK1714*評分方法!$C$11</f>
        <v>5</v>
      </c>
      <c r="P1714" s="15" t="n">
        <f aca="false">AL1714*評分方法!$C$12</f>
        <v>3</v>
      </c>
      <c r="Q1714" s="6" t="n">
        <v>161958</v>
      </c>
      <c r="R1714" s="6" t="n">
        <v>116829156672</v>
      </c>
      <c r="S1714" s="11" t="s">
        <v>1616</v>
      </c>
      <c r="T1714" s="11" t="s">
        <v>239</v>
      </c>
      <c r="U1714" s="5" t="s">
        <v>240</v>
      </c>
      <c r="V1714" s="11" t="s">
        <v>261</v>
      </c>
      <c r="W1714" s="5" t="s">
        <v>207</v>
      </c>
      <c r="X1714" s="5" t="s">
        <v>371</v>
      </c>
      <c r="Y1714" s="11" t="s">
        <v>1362</v>
      </c>
      <c r="Z1714" s="11" t="s">
        <v>270</v>
      </c>
      <c r="AA1714" s="11" t="s">
        <v>155</v>
      </c>
      <c r="AB1714" s="5" t="s">
        <v>245</v>
      </c>
      <c r="AC1714" s="5"/>
      <c r="AD1714" s="11" t="s">
        <v>4226</v>
      </c>
      <c r="AE1714" s="23" t="n">
        <v>0.85</v>
      </c>
      <c r="AF1714" s="23" t="n">
        <v>0</v>
      </c>
      <c r="AG1714" s="23" t="n">
        <v>0.67</v>
      </c>
      <c r="AH1714" s="23" t="n">
        <v>0.13</v>
      </c>
      <c r="AI1714" s="23" t="n">
        <v>1</v>
      </c>
      <c r="AJ1714" s="23" t="n">
        <v>0.1224</v>
      </c>
      <c r="AK1714" s="23" t="n">
        <v>1</v>
      </c>
      <c r="AL1714" s="23" t="n">
        <v>0.6</v>
      </c>
      <c r="AM1714" s="16" t="n">
        <f aca="false">COUNTIFS($D$2:$D$2501,D1714,$G$2:$G$2501,"&gt;"&amp;G1714)+COUNTIFS($D$2:D1714,D1714,$G$2:G1714,G1714)</f>
        <v>810</v>
      </c>
      <c r="AN1714" s="5" t="str">
        <f aca="false">D1714&amp;"|"&amp;AM1714</f>
        <v>分析與報告生成|810</v>
      </c>
    </row>
    <row r="1715" customFormat="false" ht="17.15" hidden="false" customHeight="false" outlineLevel="0" collapsed="false">
      <c r="A1715" s="16" t="n">
        <f aca="false">RANK(G1715,$G$2:$G$2501)+COUNTIF($G$2:G1715,G1715)-1</f>
        <v>1714</v>
      </c>
      <c r="B1715" s="11" t="s">
        <v>4227</v>
      </c>
      <c r="C1715" s="11" t="s">
        <v>4228</v>
      </c>
      <c r="D1715" s="5" t="s">
        <v>66</v>
      </c>
      <c r="E1715" s="5" t="s">
        <v>67</v>
      </c>
      <c r="F1715" s="5"/>
      <c r="G1715" s="22" t="n">
        <f aca="false">ROUND(SUM(I1715:P1715),3)</f>
        <v>56.722</v>
      </c>
      <c r="H1715" s="5" t="str">
        <f aca="false">IF(G1715&gt;=評分方法!$C$16,"優先評估",IF(G1715&gt;=評分方法!$C$17,"列入候選",IF(G1715&gt;=評分方法!$C$18,"特定情境","不建議")))</f>
        <v>不建議</v>
      </c>
      <c r="I1715" s="15" t="n">
        <f aca="false">AE1715*評分方法!$C$5</f>
        <v>30</v>
      </c>
      <c r="J1715" s="15" t="n">
        <f aca="false">AF1715*評分方法!$C$6</f>
        <v>0</v>
      </c>
      <c r="K1715" s="15" t="n">
        <f aca="false">AG1715*評分方法!$C$7</f>
        <v>4.95</v>
      </c>
      <c r="L1715" s="15" t="n">
        <f aca="false">AH1715*評分方法!$C$8</f>
        <v>15</v>
      </c>
      <c r="M1715" s="15" t="n">
        <f aca="false">AI1715*評分方法!$C$9</f>
        <v>2</v>
      </c>
      <c r="N1715" s="15" t="n">
        <f aca="false">AJ1715*評分方法!$C$10</f>
        <v>3.772</v>
      </c>
      <c r="O1715" s="15" t="n">
        <f aca="false">AK1715*評分方法!$C$11</f>
        <v>1</v>
      </c>
      <c r="P1715" s="15" t="n">
        <f aca="false">AL1715*評分方法!$C$12</f>
        <v>0</v>
      </c>
      <c r="Q1715" s="6" t="n">
        <v>386335</v>
      </c>
      <c r="R1715" s="6" t="n">
        <v>11171586</v>
      </c>
      <c r="S1715" s="11" t="s">
        <v>238</v>
      </c>
      <c r="T1715" s="5"/>
      <c r="U1715" s="5" t="s">
        <v>375</v>
      </c>
      <c r="V1715" s="11" t="s">
        <v>324</v>
      </c>
      <c r="W1715" s="5" t="s">
        <v>334</v>
      </c>
      <c r="X1715" s="5" t="s">
        <v>242</v>
      </c>
      <c r="Y1715" s="5"/>
      <c r="Z1715" s="5"/>
      <c r="AA1715" s="11" t="s">
        <v>149</v>
      </c>
      <c r="AB1715" s="5" t="s">
        <v>245</v>
      </c>
      <c r="AC1715" s="5" t="s">
        <v>262</v>
      </c>
      <c r="AD1715" s="11" t="s">
        <v>4229</v>
      </c>
      <c r="AE1715" s="23" t="n">
        <v>1</v>
      </c>
      <c r="AF1715" s="23" t="n">
        <v>0</v>
      </c>
      <c r="AG1715" s="23" t="n">
        <v>0.33</v>
      </c>
      <c r="AH1715" s="23" t="n">
        <v>1</v>
      </c>
      <c r="AI1715" s="23" t="n">
        <v>0.2</v>
      </c>
      <c r="AJ1715" s="23" t="n">
        <v>0.3772</v>
      </c>
      <c r="AK1715" s="23" t="n">
        <v>0.2</v>
      </c>
      <c r="AL1715" s="23" t="n">
        <v>0</v>
      </c>
      <c r="AM1715" s="16" t="n">
        <f aca="false">COUNTIFS($D$2:$D$2501,D1715,$G$2:$G$2501,"&gt;"&amp;G1715)+COUNTIFS($D$2:D1715,D1715,$G$2:G1715,G1715)</f>
        <v>52</v>
      </c>
      <c r="AN1715" s="5" t="str">
        <f aca="false">D1715&amp;"|"&amp;AM1715</f>
        <v>分類與偵測|52</v>
      </c>
    </row>
    <row r="1716" customFormat="false" ht="17.15" hidden="false" customHeight="false" outlineLevel="0" collapsed="false">
      <c r="A1716" s="16" t="n">
        <f aca="false">RANK(G1716,$G$2:$G$2501)+COUNTIF($G$2:G1716,G1716)-1</f>
        <v>1715</v>
      </c>
      <c r="B1716" s="11" t="s">
        <v>4230</v>
      </c>
      <c r="C1716" s="11" t="s">
        <v>3761</v>
      </c>
      <c r="D1716" s="5" t="s">
        <v>56</v>
      </c>
      <c r="E1716" s="5" t="s">
        <v>57</v>
      </c>
      <c r="F1716" s="5"/>
      <c r="G1716" s="22" t="n">
        <f aca="false">ROUND(SUM(I1716:P1716),3)</f>
        <v>56.722</v>
      </c>
      <c r="H1716" s="5" t="str">
        <f aca="false">IF(G1716&gt;=評分方法!$C$16,"優先評估",IF(G1716&gt;=評分方法!$C$17,"列入候選",IF(G1716&gt;=評分方法!$C$18,"特定情境","不建議")))</f>
        <v>不建議</v>
      </c>
      <c r="I1716" s="15" t="n">
        <f aca="false">AE1716*評分方法!$C$5</f>
        <v>25.5</v>
      </c>
      <c r="J1716" s="15" t="n">
        <f aca="false">AF1716*評分方法!$C$6</f>
        <v>0</v>
      </c>
      <c r="K1716" s="15" t="n">
        <f aca="false">AG1716*評分方法!$C$7</f>
        <v>4.95</v>
      </c>
      <c r="L1716" s="15" t="n">
        <f aca="false">AH1716*評分方法!$C$8</f>
        <v>9</v>
      </c>
      <c r="M1716" s="15" t="n">
        <f aca="false">AI1716*評分方法!$C$9</f>
        <v>10</v>
      </c>
      <c r="N1716" s="15" t="n">
        <f aca="false">AJ1716*評分方法!$C$10</f>
        <v>2.272</v>
      </c>
      <c r="O1716" s="15" t="n">
        <f aca="false">AK1716*評分方法!$C$11</f>
        <v>5</v>
      </c>
      <c r="P1716" s="15" t="n">
        <f aca="false">AL1716*評分方法!$C$12</f>
        <v>0</v>
      </c>
      <c r="Q1716" s="6" t="n">
        <v>230743</v>
      </c>
      <c r="R1716" s="6" t="n">
        <v>12149923072</v>
      </c>
      <c r="S1716" s="11" t="s">
        <v>389</v>
      </c>
      <c r="T1716" s="11" t="s">
        <v>239</v>
      </c>
      <c r="U1716" s="5" t="s">
        <v>240</v>
      </c>
      <c r="V1716" s="11" t="s">
        <v>333</v>
      </c>
      <c r="W1716" s="5" t="s">
        <v>334</v>
      </c>
      <c r="X1716" s="5" t="s">
        <v>242</v>
      </c>
      <c r="Y1716" s="11" t="s">
        <v>4231</v>
      </c>
      <c r="Z1716" s="11" t="s">
        <v>244</v>
      </c>
      <c r="AA1716" s="11" t="s">
        <v>155</v>
      </c>
      <c r="AB1716" s="5" t="s">
        <v>245</v>
      </c>
      <c r="AC1716" s="5" t="s">
        <v>246</v>
      </c>
      <c r="AD1716" s="11" t="s">
        <v>4232</v>
      </c>
      <c r="AE1716" s="23" t="n">
        <v>0.85</v>
      </c>
      <c r="AF1716" s="23" t="n">
        <v>0</v>
      </c>
      <c r="AG1716" s="23" t="n">
        <v>0.33</v>
      </c>
      <c r="AH1716" s="23" t="n">
        <v>0.6</v>
      </c>
      <c r="AI1716" s="23" t="n">
        <v>1</v>
      </c>
      <c r="AJ1716" s="23" t="n">
        <v>0.2272</v>
      </c>
      <c r="AK1716" s="23" t="n">
        <v>1</v>
      </c>
      <c r="AL1716" s="23" t="n">
        <v>0</v>
      </c>
      <c r="AM1716" s="16" t="n">
        <f aca="false">COUNTIFS($D$2:$D$2501,D1716,$G$2:$G$2501,"&gt;"&amp;G1716)+COUNTIFS($D$2:D1716,D1716,$G$2:G1716,G1716)</f>
        <v>811</v>
      </c>
      <c r="AN1716" s="5" t="str">
        <f aca="false">D1716&amp;"|"&amp;AM1716</f>
        <v>分析與報告生成|811</v>
      </c>
    </row>
    <row r="1717" customFormat="false" ht="17.15" hidden="false" customHeight="false" outlineLevel="0" collapsed="false">
      <c r="A1717" s="16" t="n">
        <f aca="false">RANK(G1717,$G$2:$G$2501)+COUNTIF($G$2:G1717,G1717)-1</f>
        <v>1716</v>
      </c>
      <c r="B1717" s="11" t="s">
        <v>4233</v>
      </c>
      <c r="C1717" s="11" t="s">
        <v>4234</v>
      </c>
      <c r="D1717" s="5" t="s">
        <v>56</v>
      </c>
      <c r="E1717" s="5" t="s">
        <v>57</v>
      </c>
      <c r="F1717" s="5"/>
      <c r="G1717" s="22" t="n">
        <f aca="false">ROUND(SUM(I1717:P1717),3)</f>
        <v>56.712</v>
      </c>
      <c r="H1717" s="5" t="str">
        <f aca="false">IF(G1717&gt;=評分方法!$C$16,"優先評估",IF(G1717&gt;=評分方法!$C$17,"列入候選",IF(G1717&gt;=評分方法!$C$18,"特定情境","不建議")))</f>
        <v>不建議</v>
      </c>
      <c r="I1717" s="15" t="n">
        <f aca="false">AE1717*評分方法!$C$5</f>
        <v>25.5</v>
      </c>
      <c r="J1717" s="15" t="n">
        <f aca="false">AF1717*評分方法!$C$6</f>
        <v>0</v>
      </c>
      <c r="K1717" s="15" t="n">
        <f aca="false">AG1717*評分方法!$C$7</f>
        <v>4.95</v>
      </c>
      <c r="L1717" s="15" t="n">
        <f aca="false">AH1717*評分方法!$C$8</f>
        <v>9</v>
      </c>
      <c r="M1717" s="15" t="n">
        <f aca="false">AI1717*評分方法!$C$9</f>
        <v>6</v>
      </c>
      <c r="N1717" s="15" t="n">
        <f aca="false">AJ1717*評分方法!$C$10</f>
        <v>2.262</v>
      </c>
      <c r="O1717" s="15" t="n">
        <f aca="false">AK1717*評分方法!$C$11</f>
        <v>4</v>
      </c>
      <c r="P1717" s="15" t="n">
        <f aca="false">AL1717*評分方法!$C$12</f>
        <v>5</v>
      </c>
      <c r="Q1717" s="6" t="n">
        <v>229949</v>
      </c>
      <c r="R1717" s="6" t="n">
        <v>25822702926</v>
      </c>
      <c r="S1717" s="11" t="s">
        <v>389</v>
      </c>
      <c r="T1717" s="11" t="s">
        <v>185</v>
      </c>
      <c r="U1717" s="5" t="s">
        <v>260</v>
      </c>
      <c r="V1717" s="11" t="s">
        <v>261</v>
      </c>
      <c r="W1717" s="5" t="s">
        <v>334</v>
      </c>
      <c r="X1717" s="5" t="s">
        <v>284</v>
      </c>
      <c r="Y1717" s="11" t="s">
        <v>575</v>
      </c>
      <c r="Z1717" s="11" t="s">
        <v>244</v>
      </c>
      <c r="AA1717" s="11" t="s">
        <v>155</v>
      </c>
      <c r="AB1717" s="5" t="s">
        <v>245</v>
      </c>
      <c r="AC1717" s="5" t="s">
        <v>464</v>
      </c>
      <c r="AD1717" s="11" t="s">
        <v>4235</v>
      </c>
      <c r="AE1717" s="23" t="n">
        <v>0.85</v>
      </c>
      <c r="AF1717" s="23" t="n">
        <v>0</v>
      </c>
      <c r="AG1717" s="23" t="n">
        <v>0.33</v>
      </c>
      <c r="AH1717" s="23" t="n">
        <v>0.6</v>
      </c>
      <c r="AI1717" s="23" t="n">
        <v>0.6</v>
      </c>
      <c r="AJ1717" s="23" t="n">
        <v>0.2262</v>
      </c>
      <c r="AK1717" s="23" t="n">
        <v>0.8</v>
      </c>
      <c r="AL1717" s="23" t="n">
        <v>1</v>
      </c>
      <c r="AM1717" s="16" t="n">
        <f aca="false">COUNTIFS($D$2:$D$2501,D1717,$G$2:$G$2501,"&gt;"&amp;G1717)+COUNTIFS($D$2:D1717,D1717,$G$2:G1717,G1717)</f>
        <v>812</v>
      </c>
      <c r="AN1717" s="5" t="str">
        <f aca="false">D1717&amp;"|"&amp;AM1717</f>
        <v>分析與報告生成|812</v>
      </c>
    </row>
    <row r="1718" customFormat="false" ht="17.15" hidden="false" customHeight="false" outlineLevel="0" collapsed="false">
      <c r="A1718" s="16" t="n">
        <f aca="false">RANK(G1718,$G$2:$G$2501)+COUNTIF($G$2:G1718,G1718)-1</f>
        <v>1717</v>
      </c>
      <c r="B1718" s="11" t="s">
        <v>2880</v>
      </c>
      <c r="C1718" s="11" t="s">
        <v>368</v>
      </c>
      <c r="D1718" s="5" t="s">
        <v>74</v>
      </c>
      <c r="E1718" s="5" t="s">
        <v>75</v>
      </c>
      <c r="F1718" s="5"/>
      <c r="G1718" s="22" t="n">
        <f aca="false">ROUND(SUM(I1718:P1718),3)</f>
        <v>56.688</v>
      </c>
      <c r="H1718" s="5" t="str">
        <f aca="false">IF(G1718&gt;=評分方法!$C$16,"優先評估",IF(G1718&gt;=評分方法!$C$17,"列入候選",IF(G1718&gt;=評分方法!$C$18,"特定情境","不建議")))</f>
        <v>不建議</v>
      </c>
      <c r="I1718" s="15" t="n">
        <f aca="false">AE1718*評分方法!$C$5</f>
        <v>10.5</v>
      </c>
      <c r="J1718" s="15" t="n">
        <f aca="false">AF1718*評分方法!$C$6</f>
        <v>0</v>
      </c>
      <c r="K1718" s="15" t="n">
        <f aca="false">AG1718*評分方法!$C$7</f>
        <v>15</v>
      </c>
      <c r="L1718" s="15" t="n">
        <f aca="false">AH1718*評分方法!$C$8</f>
        <v>15</v>
      </c>
      <c r="M1718" s="15" t="n">
        <f aca="false">AI1718*評分方法!$C$9</f>
        <v>10</v>
      </c>
      <c r="N1718" s="15" t="n">
        <f aca="false">AJ1718*評分方法!$C$10</f>
        <v>3.688</v>
      </c>
      <c r="O1718" s="15" t="n">
        <f aca="false">AK1718*評分方法!$C$11</f>
        <v>1</v>
      </c>
      <c r="P1718" s="15" t="n">
        <f aca="false">AL1718*評分方法!$C$12</f>
        <v>1.5</v>
      </c>
      <c r="Q1718" s="6" t="n">
        <v>373864</v>
      </c>
      <c r="R1718" s="6" t="n">
        <v>86859496</v>
      </c>
      <c r="S1718" s="11" t="s">
        <v>238</v>
      </c>
      <c r="T1718" s="11" t="s">
        <v>239</v>
      </c>
      <c r="U1718" s="5" t="s">
        <v>240</v>
      </c>
      <c r="V1718" s="11" t="s">
        <v>279</v>
      </c>
      <c r="W1718" s="5" t="s">
        <v>205</v>
      </c>
      <c r="X1718" s="5" t="s">
        <v>255</v>
      </c>
      <c r="Y1718" s="5"/>
      <c r="Z1718" s="5"/>
      <c r="AA1718" s="11" t="s">
        <v>172</v>
      </c>
      <c r="AB1718" s="5" t="s">
        <v>245</v>
      </c>
      <c r="AC1718" s="5"/>
      <c r="AD1718" s="11" t="s">
        <v>4236</v>
      </c>
      <c r="AE1718" s="23" t="n">
        <v>0.35</v>
      </c>
      <c r="AF1718" s="23" t="n">
        <v>0</v>
      </c>
      <c r="AG1718" s="23" t="n">
        <v>1</v>
      </c>
      <c r="AH1718" s="23" t="n">
        <v>1</v>
      </c>
      <c r="AI1718" s="23" t="n">
        <v>1</v>
      </c>
      <c r="AJ1718" s="23" t="n">
        <v>0.3688</v>
      </c>
      <c r="AK1718" s="23" t="n">
        <v>0.2</v>
      </c>
      <c r="AL1718" s="23" t="n">
        <v>0.3</v>
      </c>
      <c r="AM1718" s="16" t="n">
        <f aca="false">COUNTIFS($D$2:$D$2501,D1718,$G$2:$G$2501,"&gt;"&amp;G1718)+COUNTIFS($D$2:D1718,D1718,$G$2:G1718,G1718)</f>
        <v>166</v>
      </c>
      <c r="AN1718" s="5" t="str">
        <f aca="false">D1718&amp;"|"&amp;AM1718</f>
        <v>文件與影像辨識|166</v>
      </c>
    </row>
    <row r="1719" customFormat="false" ht="17.15" hidden="false" customHeight="false" outlineLevel="0" collapsed="false">
      <c r="A1719" s="16" t="n">
        <f aca="false">RANK(G1719,$G$2:$G$2501)+COUNTIF($G$2:G1719,G1719)-1</f>
        <v>1718</v>
      </c>
      <c r="B1719" s="11" t="s">
        <v>4237</v>
      </c>
      <c r="C1719" s="11" t="s">
        <v>4030</v>
      </c>
      <c r="D1719" s="5" t="s">
        <v>54</v>
      </c>
      <c r="E1719" s="5" t="s">
        <v>55</v>
      </c>
      <c r="F1719" s="5"/>
      <c r="G1719" s="22" t="n">
        <f aca="false">ROUND(SUM(I1719:P1719),3)</f>
        <v>56.682</v>
      </c>
      <c r="H1719" s="5" t="str">
        <f aca="false">IF(G1719&gt;=評分方法!$C$16,"優先評估",IF(G1719&gt;=評分方法!$C$17,"列入候選",IF(G1719&gt;=評分方法!$C$18,"特定情境","不建議")))</f>
        <v>不建議</v>
      </c>
      <c r="I1719" s="15" t="n">
        <f aca="false">AE1719*評分方法!$C$5</f>
        <v>16.2</v>
      </c>
      <c r="J1719" s="15" t="n">
        <f aca="false">AF1719*評分方法!$C$6</f>
        <v>0</v>
      </c>
      <c r="K1719" s="15" t="n">
        <f aca="false">AG1719*評分方法!$C$7</f>
        <v>4.95</v>
      </c>
      <c r="L1719" s="15" t="n">
        <f aca="false">AH1719*評分方法!$C$8</f>
        <v>15</v>
      </c>
      <c r="M1719" s="15" t="n">
        <f aca="false">AI1719*評分方法!$C$9</f>
        <v>10</v>
      </c>
      <c r="N1719" s="15" t="n">
        <f aca="false">AJ1719*評分方法!$C$10</f>
        <v>8.032</v>
      </c>
      <c r="O1719" s="15" t="n">
        <f aca="false">AK1719*評分方法!$C$11</f>
        <v>2.5</v>
      </c>
      <c r="P1719" s="15" t="n">
        <f aca="false">AL1719*評分方法!$C$12</f>
        <v>0</v>
      </c>
      <c r="Q1719" s="6" t="n">
        <v>1598153</v>
      </c>
      <c r="R1719" s="6" t="n">
        <v>315203329</v>
      </c>
      <c r="S1719" s="11" t="s">
        <v>238</v>
      </c>
      <c r="T1719" s="11" t="s">
        <v>239</v>
      </c>
      <c r="U1719" s="5" t="s">
        <v>240</v>
      </c>
      <c r="V1719" s="11" t="s">
        <v>261</v>
      </c>
      <c r="W1719" s="5" t="s">
        <v>334</v>
      </c>
      <c r="X1719" s="5" t="s">
        <v>242</v>
      </c>
      <c r="Y1719" s="11" t="s">
        <v>4031</v>
      </c>
      <c r="Z1719" s="11" t="s">
        <v>270</v>
      </c>
      <c r="AA1719" s="11" t="s">
        <v>154</v>
      </c>
      <c r="AB1719" s="5" t="s">
        <v>245</v>
      </c>
      <c r="AC1719" s="5" t="s">
        <v>1463</v>
      </c>
      <c r="AD1719" s="11" t="s">
        <v>4238</v>
      </c>
      <c r="AE1719" s="23" t="n">
        <v>0.54</v>
      </c>
      <c r="AF1719" s="23" t="n">
        <v>0</v>
      </c>
      <c r="AG1719" s="23" t="n">
        <v>0.33</v>
      </c>
      <c r="AH1719" s="23" t="n">
        <v>1</v>
      </c>
      <c r="AI1719" s="23" t="n">
        <v>1</v>
      </c>
      <c r="AJ1719" s="23" t="n">
        <v>0.8032</v>
      </c>
      <c r="AK1719" s="23" t="n">
        <v>0.5</v>
      </c>
      <c r="AL1719" s="23" t="n">
        <v>0</v>
      </c>
      <c r="AM1719" s="16" t="n">
        <f aca="false">COUNTIFS($D$2:$D$2501,D1719,$G$2:$G$2501,"&gt;"&amp;G1719)+COUNTIFS($D$2:D1719,D1719,$G$2:G1719,G1719)</f>
        <v>213</v>
      </c>
      <c r="AN1719" s="5" t="str">
        <f aca="false">D1719&amp;"|"&amp;AM1719</f>
        <v>檢索與情資關聯|213</v>
      </c>
    </row>
    <row r="1720" customFormat="false" ht="17.15" hidden="false" customHeight="false" outlineLevel="0" collapsed="false">
      <c r="A1720" s="16" t="n">
        <f aca="false">RANK(G1720,$G$2:$G$2501)+COUNTIF($G$2:G1720,G1720)-1</f>
        <v>1719</v>
      </c>
      <c r="B1720" s="11" t="s">
        <v>4239</v>
      </c>
      <c r="C1720" s="11" t="s">
        <v>891</v>
      </c>
      <c r="D1720" s="5" t="s">
        <v>56</v>
      </c>
      <c r="E1720" s="5" t="s">
        <v>57</v>
      </c>
      <c r="F1720" s="5"/>
      <c r="G1720" s="22" t="n">
        <f aca="false">ROUND(SUM(I1720:P1720),3)</f>
        <v>56.678</v>
      </c>
      <c r="H1720" s="5" t="str">
        <f aca="false">IF(G1720&gt;=評分方法!$C$16,"優先評估",IF(G1720&gt;=評分方法!$C$17,"列入候選",IF(G1720&gt;=評分方法!$C$18,"特定情境","不建議")))</f>
        <v>不建議</v>
      </c>
      <c r="I1720" s="15" t="n">
        <f aca="false">AE1720*評分方法!$C$5</f>
        <v>25.5</v>
      </c>
      <c r="J1720" s="15" t="n">
        <f aca="false">AF1720*評分方法!$C$6</f>
        <v>0</v>
      </c>
      <c r="K1720" s="15" t="n">
        <f aca="false">AG1720*評分方法!$C$7</f>
        <v>10.05</v>
      </c>
      <c r="L1720" s="15" t="n">
        <f aca="false">AH1720*評分方法!$C$8</f>
        <v>9</v>
      </c>
      <c r="M1720" s="15" t="n">
        <f aca="false">AI1720*評分方法!$C$9</f>
        <v>6</v>
      </c>
      <c r="N1720" s="15" t="n">
        <f aca="false">AJ1720*評分方法!$C$10</f>
        <v>0.628</v>
      </c>
      <c r="O1720" s="15" t="n">
        <f aca="false">AK1720*評分方法!$C$11</f>
        <v>2.5</v>
      </c>
      <c r="P1720" s="15" t="n">
        <f aca="false">AL1720*評分方法!$C$12</f>
        <v>3</v>
      </c>
      <c r="Q1720" s="6" t="n">
        <v>138549</v>
      </c>
      <c r="R1720" s="6" t="n">
        <v>11765788416</v>
      </c>
      <c r="S1720" s="11" t="s">
        <v>389</v>
      </c>
      <c r="T1720" s="11" t="s">
        <v>658</v>
      </c>
      <c r="U1720" s="5" t="s">
        <v>260</v>
      </c>
      <c r="V1720" s="11" t="s">
        <v>333</v>
      </c>
      <c r="W1720" s="5" t="s">
        <v>207</v>
      </c>
      <c r="X1720" s="5" t="s">
        <v>371</v>
      </c>
      <c r="Y1720" s="11" t="s">
        <v>1303</v>
      </c>
      <c r="Z1720" s="11" t="s">
        <v>244</v>
      </c>
      <c r="AA1720" s="11" t="s">
        <v>156</v>
      </c>
      <c r="AB1720" s="5" t="s">
        <v>245</v>
      </c>
      <c r="AC1720" s="5" t="s">
        <v>464</v>
      </c>
      <c r="AD1720" s="11" t="s">
        <v>4240</v>
      </c>
      <c r="AE1720" s="23" t="n">
        <v>0.85</v>
      </c>
      <c r="AF1720" s="23" t="n">
        <v>0</v>
      </c>
      <c r="AG1720" s="23" t="n">
        <v>0.67</v>
      </c>
      <c r="AH1720" s="23" t="n">
        <v>0.6</v>
      </c>
      <c r="AI1720" s="23" t="n">
        <v>0.6</v>
      </c>
      <c r="AJ1720" s="23" t="n">
        <v>0.0628</v>
      </c>
      <c r="AK1720" s="23" t="n">
        <v>0.5</v>
      </c>
      <c r="AL1720" s="23" t="n">
        <v>0.6</v>
      </c>
      <c r="AM1720" s="16" t="n">
        <f aca="false">COUNTIFS($D$2:$D$2501,D1720,$G$2:$G$2501,"&gt;"&amp;G1720)+COUNTIFS($D$2:D1720,D1720,$G$2:G1720,G1720)</f>
        <v>813</v>
      </c>
      <c r="AN1720" s="5" t="str">
        <f aca="false">D1720&amp;"|"&amp;AM1720</f>
        <v>分析與報告生成|813</v>
      </c>
    </row>
    <row r="1721" customFormat="false" ht="17.15" hidden="false" customHeight="false" outlineLevel="0" collapsed="false">
      <c r="A1721" s="16" t="n">
        <f aca="false">RANK(G1721,$G$2:$G$2501)+COUNTIF($G$2:G1721,G1721)-1</f>
        <v>1720</v>
      </c>
      <c r="B1721" s="11" t="s">
        <v>4241</v>
      </c>
      <c r="C1721" s="11" t="s">
        <v>4242</v>
      </c>
      <c r="D1721" s="5" t="s">
        <v>54</v>
      </c>
      <c r="E1721" s="5" t="s">
        <v>55</v>
      </c>
      <c r="F1721" s="5"/>
      <c r="G1721" s="22" t="n">
        <f aca="false">ROUND(SUM(I1721:P1721),3)</f>
        <v>56.64</v>
      </c>
      <c r="H1721" s="5" t="str">
        <f aca="false">IF(G1721&gt;=評分方法!$C$16,"優先評估",IF(G1721&gt;=評分方法!$C$17,"列入候選",IF(G1721&gt;=評分方法!$C$18,"特定情境","不建議")))</f>
        <v>不建議</v>
      </c>
      <c r="I1721" s="15" t="n">
        <f aca="false">AE1721*評分方法!$C$5</f>
        <v>27</v>
      </c>
      <c r="J1721" s="15" t="n">
        <f aca="false">AF1721*評分方法!$C$6</f>
        <v>0</v>
      </c>
      <c r="K1721" s="15" t="n">
        <f aca="false">AG1721*評分方法!$C$7</f>
        <v>4.95</v>
      </c>
      <c r="L1721" s="15" t="n">
        <f aca="false">AH1721*評分方法!$C$8</f>
        <v>7.05</v>
      </c>
      <c r="M1721" s="15" t="n">
        <f aca="false">AI1721*評分方法!$C$9</f>
        <v>10</v>
      </c>
      <c r="N1721" s="15" t="n">
        <f aca="false">AJ1721*評分方法!$C$10</f>
        <v>6.64</v>
      </c>
      <c r="O1721" s="15" t="n">
        <f aca="false">AK1721*評分方法!$C$11</f>
        <v>1</v>
      </c>
      <c r="P1721" s="15" t="n">
        <f aca="false">AL1721*評分方法!$C$12</f>
        <v>0</v>
      </c>
      <c r="Q1721" s="6" t="n">
        <v>793341</v>
      </c>
      <c r="R1721" s="6"/>
      <c r="S1721" s="5" t="s">
        <v>255</v>
      </c>
      <c r="T1721" s="11" t="s">
        <v>278</v>
      </c>
      <c r="U1721" s="5" t="s">
        <v>240</v>
      </c>
      <c r="V1721" s="11" t="s">
        <v>261</v>
      </c>
      <c r="W1721" s="5" t="s">
        <v>334</v>
      </c>
      <c r="X1721" s="5" t="s">
        <v>242</v>
      </c>
      <c r="Y1721" s="5"/>
      <c r="Z1721" s="5"/>
      <c r="AA1721" s="11" t="s">
        <v>152</v>
      </c>
      <c r="AB1721" s="5" t="s">
        <v>245</v>
      </c>
      <c r="AC1721" s="5"/>
      <c r="AD1721" s="11" t="s">
        <v>4243</v>
      </c>
      <c r="AE1721" s="23" t="n">
        <v>0.9</v>
      </c>
      <c r="AF1721" s="23" t="n">
        <v>0</v>
      </c>
      <c r="AG1721" s="23" t="n">
        <v>0.33</v>
      </c>
      <c r="AH1721" s="23" t="n">
        <v>0.47</v>
      </c>
      <c r="AI1721" s="23" t="n">
        <v>1</v>
      </c>
      <c r="AJ1721" s="23" t="n">
        <v>0.664</v>
      </c>
      <c r="AK1721" s="23" t="n">
        <v>0.2</v>
      </c>
      <c r="AL1721" s="23" t="n">
        <v>0</v>
      </c>
      <c r="AM1721" s="16" t="n">
        <f aca="false">COUNTIFS($D$2:$D$2501,D1721,$G$2:$G$2501,"&gt;"&amp;G1721)+COUNTIFS($D$2:D1721,D1721,$G$2:G1721,G1721)</f>
        <v>214</v>
      </c>
      <c r="AN1721" s="5" t="str">
        <f aca="false">D1721&amp;"|"&amp;AM1721</f>
        <v>檢索與情資關聯|214</v>
      </c>
    </row>
    <row r="1722" customFormat="false" ht="17.15" hidden="false" customHeight="false" outlineLevel="0" collapsed="false">
      <c r="A1722" s="16" t="n">
        <f aca="false">RANK(G1722,$G$2:$G$2501)+COUNTIF($G$2:G1722,G1722)-1</f>
        <v>1721</v>
      </c>
      <c r="B1722" s="11" t="s">
        <v>4244</v>
      </c>
      <c r="C1722" s="11" t="s">
        <v>2693</v>
      </c>
      <c r="D1722" s="5" t="s">
        <v>74</v>
      </c>
      <c r="E1722" s="5" t="s">
        <v>75</v>
      </c>
      <c r="F1722" s="5"/>
      <c r="G1722" s="22" t="n">
        <f aca="false">ROUND(SUM(I1722:P1722),3)</f>
        <v>56.64</v>
      </c>
      <c r="H1722" s="5" t="str">
        <f aca="false">IF(G1722&gt;=評分方法!$C$16,"優先評估",IF(G1722&gt;=評分方法!$C$17,"列入候選",IF(G1722&gt;=評分方法!$C$18,"特定情境","不建議")))</f>
        <v>不建議</v>
      </c>
      <c r="I1722" s="15" t="n">
        <f aca="false">AE1722*評分方法!$C$5</f>
        <v>10.5</v>
      </c>
      <c r="J1722" s="15" t="n">
        <f aca="false">AF1722*評分方法!$C$6</f>
        <v>0</v>
      </c>
      <c r="K1722" s="15" t="n">
        <f aca="false">AG1722*評分方法!$C$7</f>
        <v>15</v>
      </c>
      <c r="L1722" s="15" t="n">
        <f aca="false">AH1722*評分方法!$C$8</f>
        <v>15</v>
      </c>
      <c r="M1722" s="15" t="n">
        <f aca="false">AI1722*評分方法!$C$9</f>
        <v>10</v>
      </c>
      <c r="N1722" s="15" t="n">
        <f aca="false">AJ1722*評分方法!$C$10</f>
        <v>2.14</v>
      </c>
      <c r="O1722" s="15" t="n">
        <f aca="false">AK1722*評分方法!$C$11</f>
        <v>2.5</v>
      </c>
      <c r="P1722" s="15" t="n">
        <f aca="false">AL1722*評分方法!$C$12</f>
        <v>1.5</v>
      </c>
      <c r="Q1722" s="6" t="n">
        <v>219127</v>
      </c>
      <c r="R1722" s="6" t="n">
        <v>9045672</v>
      </c>
      <c r="S1722" s="11" t="s">
        <v>238</v>
      </c>
      <c r="T1722" s="11" t="s">
        <v>239</v>
      </c>
      <c r="U1722" s="5" t="s">
        <v>240</v>
      </c>
      <c r="V1722" s="11" t="s">
        <v>324</v>
      </c>
      <c r="W1722" s="5" t="s">
        <v>205</v>
      </c>
      <c r="X1722" s="5" t="s">
        <v>255</v>
      </c>
      <c r="Y1722" s="5"/>
      <c r="Z1722" s="5"/>
      <c r="AA1722" s="11" t="s">
        <v>172</v>
      </c>
      <c r="AB1722" s="5" t="s">
        <v>245</v>
      </c>
      <c r="AC1722" s="5"/>
      <c r="AD1722" s="11" t="s">
        <v>4245</v>
      </c>
      <c r="AE1722" s="23" t="n">
        <v>0.35</v>
      </c>
      <c r="AF1722" s="23" t="n">
        <v>0</v>
      </c>
      <c r="AG1722" s="23" t="n">
        <v>1</v>
      </c>
      <c r="AH1722" s="23" t="n">
        <v>1</v>
      </c>
      <c r="AI1722" s="23" t="n">
        <v>1</v>
      </c>
      <c r="AJ1722" s="23" t="n">
        <v>0.214</v>
      </c>
      <c r="AK1722" s="23" t="n">
        <v>0.5</v>
      </c>
      <c r="AL1722" s="23" t="n">
        <v>0.3</v>
      </c>
      <c r="AM1722" s="16" t="n">
        <f aca="false">COUNTIFS($D$2:$D$2501,D1722,$G$2:$G$2501,"&gt;"&amp;G1722)+COUNTIFS($D$2:D1722,D1722,$G$2:G1722,G1722)</f>
        <v>167</v>
      </c>
      <c r="AN1722" s="5" t="str">
        <f aca="false">D1722&amp;"|"&amp;AM1722</f>
        <v>文件與影像辨識|167</v>
      </c>
    </row>
    <row r="1723" customFormat="false" ht="17.15" hidden="false" customHeight="false" outlineLevel="0" collapsed="false">
      <c r="A1723" s="16" t="n">
        <f aca="false">RANK(G1723,$G$2:$G$2501)+COUNTIF($G$2:G1723,G1723)-1</f>
        <v>1722</v>
      </c>
      <c r="B1723" s="11" t="s">
        <v>4246</v>
      </c>
      <c r="C1723" s="11" t="s">
        <v>2693</v>
      </c>
      <c r="D1723" s="5" t="s">
        <v>74</v>
      </c>
      <c r="E1723" s="5" t="s">
        <v>75</v>
      </c>
      <c r="F1723" s="5"/>
      <c r="G1723" s="22" t="n">
        <f aca="false">ROUND(SUM(I1723:P1723),3)</f>
        <v>56.62</v>
      </c>
      <c r="H1723" s="5" t="str">
        <f aca="false">IF(G1723&gt;=評分方法!$C$16,"優先評估",IF(G1723&gt;=評分方法!$C$17,"列入候選",IF(G1723&gt;=評分方法!$C$18,"特定情境","不建議")))</f>
        <v>不建議</v>
      </c>
      <c r="I1723" s="15" t="n">
        <f aca="false">AE1723*評分方法!$C$5</f>
        <v>10.5</v>
      </c>
      <c r="J1723" s="15" t="n">
        <f aca="false">AF1723*評分方法!$C$6</f>
        <v>0</v>
      </c>
      <c r="K1723" s="15" t="n">
        <f aca="false">AG1723*評分方法!$C$7</f>
        <v>15</v>
      </c>
      <c r="L1723" s="15" t="n">
        <f aca="false">AH1723*評分方法!$C$8</f>
        <v>15</v>
      </c>
      <c r="M1723" s="15" t="n">
        <f aca="false">AI1723*評分方法!$C$9</f>
        <v>10</v>
      </c>
      <c r="N1723" s="15" t="n">
        <f aca="false">AJ1723*評分方法!$C$10</f>
        <v>2.12</v>
      </c>
      <c r="O1723" s="15" t="n">
        <f aca="false">AK1723*評分方法!$C$11</f>
        <v>2.5</v>
      </c>
      <c r="P1723" s="15" t="n">
        <f aca="false">AL1723*評分方法!$C$12</f>
        <v>1.5</v>
      </c>
      <c r="Q1723" s="6" t="n">
        <v>217899</v>
      </c>
      <c r="R1723" s="6" t="n">
        <v>5204476</v>
      </c>
      <c r="S1723" s="11" t="s">
        <v>238</v>
      </c>
      <c r="T1723" s="11" t="s">
        <v>239</v>
      </c>
      <c r="U1723" s="5" t="s">
        <v>240</v>
      </c>
      <c r="V1723" s="11" t="s">
        <v>324</v>
      </c>
      <c r="W1723" s="5" t="s">
        <v>205</v>
      </c>
      <c r="X1723" s="5" t="s">
        <v>255</v>
      </c>
      <c r="Y1723" s="5"/>
      <c r="Z1723" s="5"/>
      <c r="AA1723" s="11" t="s">
        <v>172</v>
      </c>
      <c r="AB1723" s="5" t="s">
        <v>245</v>
      </c>
      <c r="AC1723" s="5"/>
      <c r="AD1723" s="11" t="s">
        <v>4247</v>
      </c>
      <c r="AE1723" s="23" t="n">
        <v>0.35</v>
      </c>
      <c r="AF1723" s="23" t="n">
        <v>0</v>
      </c>
      <c r="AG1723" s="23" t="n">
        <v>1</v>
      </c>
      <c r="AH1723" s="23" t="n">
        <v>1</v>
      </c>
      <c r="AI1723" s="23" t="n">
        <v>1</v>
      </c>
      <c r="AJ1723" s="23" t="n">
        <v>0.212</v>
      </c>
      <c r="AK1723" s="23" t="n">
        <v>0.5</v>
      </c>
      <c r="AL1723" s="23" t="n">
        <v>0.3</v>
      </c>
      <c r="AM1723" s="16" t="n">
        <f aca="false">COUNTIFS($D$2:$D$2501,D1723,$G$2:$G$2501,"&gt;"&amp;G1723)+COUNTIFS($D$2:D1723,D1723,$G$2:G1723,G1723)</f>
        <v>168</v>
      </c>
      <c r="AN1723" s="5" t="str">
        <f aca="false">D1723&amp;"|"&amp;AM1723</f>
        <v>文件與影像辨識|168</v>
      </c>
    </row>
    <row r="1724" customFormat="false" ht="17.15" hidden="false" customHeight="false" outlineLevel="0" collapsed="false">
      <c r="A1724" s="16" t="n">
        <f aca="false">RANK(G1724,$G$2:$G$2501)+COUNTIF($G$2:G1724,G1724)-1</f>
        <v>1723</v>
      </c>
      <c r="B1724" s="11" t="s">
        <v>4248</v>
      </c>
      <c r="C1724" s="11" t="s">
        <v>4249</v>
      </c>
      <c r="D1724" s="5" t="s">
        <v>56</v>
      </c>
      <c r="E1724" s="5" t="s">
        <v>57</v>
      </c>
      <c r="F1724" s="5"/>
      <c r="G1724" s="22" t="n">
        <f aca="false">ROUND(SUM(I1724:P1724),3)</f>
        <v>56.57</v>
      </c>
      <c r="H1724" s="5" t="str">
        <f aca="false">IF(G1724&gt;=評分方法!$C$16,"優先評估",IF(G1724&gt;=評分方法!$C$17,"列入候選",IF(G1724&gt;=評分方法!$C$18,"特定情境","不建議")))</f>
        <v>不建議</v>
      </c>
      <c r="I1724" s="15" t="n">
        <f aca="false">AE1724*評分方法!$C$5</f>
        <v>25.5</v>
      </c>
      <c r="J1724" s="15" t="n">
        <f aca="false">AF1724*評分方法!$C$6</f>
        <v>0</v>
      </c>
      <c r="K1724" s="15" t="n">
        <f aca="false">AG1724*評分方法!$C$7</f>
        <v>4.95</v>
      </c>
      <c r="L1724" s="15" t="n">
        <f aca="false">AH1724*評分方法!$C$8</f>
        <v>15</v>
      </c>
      <c r="M1724" s="15" t="n">
        <f aca="false">AI1724*評分方法!$C$9</f>
        <v>6</v>
      </c>
      <c r="N1724" s="15" t="n">
        <f aca="false">AJ1724*評分方法!$C$10</f>
        <v>2.62</v>
      </c>
      <c r="O1724" s="15" t="n">
        <f aca="false">AK1724*評分方法!$C$11</f>
        <v>2.5</v>
      </c>
      <c r="P1724" s="15" t="n">
        <f aca="false">AL1724*評分方法!$C$12</f>
        <v>0</v>
      </c>
      <c r="Q1724" s="6" t="n">
        <v>263128</v>
      </c>
      <c r="R1724" s="6" t="n">
        <v>507989760</v>
      </c>
      <c r="S1724" s="11" t="s">
        <v>238</v>
      </c>
      <c r="T1724" s="11" t="s">
        <v>185</v>
      </c>
      <c r="U1724" s="5" t="s">
        <v>260</v>
      </c>
      <c r="V1724" s="11" t="s">
        <v>462</v>
      </c>
      <c r="W1724" s="5" t="s">
        <v>334</v>
      </c>
      <c r="X1724" s="5" t="s">
        <v>242</v>
      </c>
      <c r="Y1724" s="5"/>
      <c r="Z1724" s="5"/>
      <c r="AA1724" s="11" t="s">
        <v>155</v>
      </c>
      <c r="AB1724" s="5" t="s">
        <v>245</v>
      </c>
      <c r="AC1724" s="5" t="s">
        <v>262</v>
      </c>
      <c r="AD1724" s="11" t="s">
        <v>4250</v>
      </c>
      <c r="AE1724" s="23" t="n">
        <v>0.85</v>
      </c>
      <c r="AF1724" s="23" t="n">
        <v>0</v>
      </c>
      <c r="AG1724" s="23" t="n">
        <v>0.33</v>
      </c>
      <c r="AH1724" s="23" t="n">
        <v>1</v>
      </c>
      <c r="AI1724" s="23" t="n">
        <v>0.6</v>
      </c>
      <c r="AJ1724" s="23" t="n">
        <v>0.262</v>
      </c>
      <c r="AK1724" s="23" t="n">
        <v>0.5</v>
      </c>
      <c r="AL1724" s="23" t="n">
        <v>0</v>
      </c>
      <c r="AM1724" s="16" t="n">
        <f aca="false">COUNTIFS($D$2:$D$2501,D1724,$G$2:$G$2501,"&gt;"&amp;G1724)+COUNTIFS($D$2:D1724,D1724,$G$2:G1724,G1724)</f>
        <v>814</v>
      </c>
      <c r="AN1724" s="5" t="str">
        <f aca="false">D1724&amp;"|"&amp;AM1724</f>
        <v>分析與報告生成|814</v>
      </c>
    </row>
    <row r="1725" customFormat="false" ht="17.15" hidden="false" customHeight="false" outlineLevel="0" collapsed="false">
      <c r="A1725" s="16" t="n">
        <f aca="false">RANK(G1725,$G$2:$G$2501)+COUNTIF($G$2:G1725,G1725)-1</f>
        <v>1724</v>
      </c>
      <c r="B1725" s="11" t="s">
        <v>4251</v>
      </c>
      <c r="C1725" s="11" t="s">
        <v>4252</v>
      </c>
      <c r="D1725" s="5" t="s">
        <v>54</v>
      </c>
      <c r="E1725" s="5" t="s">
        <v>55</v>
      </c>
      <c r="F1725" s="5"/>
      <c r="G1725" s="22" t="n">
        <f aca="false">ROUND(SUM(I1725:P1725),3)</f>
        <v>56.57</v>
      </c>
      <c r="H1725" s="5" t="str">
        <f aca="false">IF(G1725&gt;=評分方法!$C$16,"優先評估",IF(G1725&gt;=評分方法!$C$17,"列入候選",IF(G1725&gt;=評分方法!$C$18,"特定情境","不建議")))</f>
        <v>不建議</v>
      </c>
      <c r="I1725" s="15" t="n">
        <f aca="false">AE1725*評分方法!$C$5</f>
        <v>27</v>
      </c>
      <c r="J1725" s="15" t="n">
        <f aca="false">AF1725*評分方法!$C$6</f>
        <v>0</v>
      </c>
      <c r="K1725" s="15" t="n">
        <f aca="false">AG1725*評分方法!$C$7</f>
        <v>4.95</v>
      </c>
      <c r="L1725" s="15" t="n">
        <f aca="false">AH1725*評分方法!$C$8</f>
        <v>15</v>
      </c>
      <c r="M1725" s="15" t="n">
        <f aca="false">AI1725*評分方法!$C$9</f>
        <v>6</v>
      </c>
      <c r="N1725" s="15" t="n">
        <f aca="false">AJ1725*評分方法!$C$10</f>
        <v>1.12</v>
      </c>
      <c r="O1725" s="15" t="n">
        <f aca="false">AK1725*評分方法!$C$11</f>
        <v>2.5</v>
      </c>
      <c r="P1725" s="15" t="n">
        <f aca="false">AL1725*評分方法!$C$12</f>
        <v>0</v>
      </c>
      <c r="Q1725" s="6" t="n">
        <v>158242</v>
      </c>
      <c r="R1725" s="6" t="n">
        <v>86389248</v>
      </c>
      <c r="S1725" s="11" t="s">
        <v>238</v>
      </c>
      <c r="T1725" s="11" t="s">
        <v>185</v>
      </c>
      <c r="U1725" s="5" t="s">
        <v>260</v>
      </c>
      <c r="V1725" s="11" t="s">
        <v>324</v>
      </c>
      <c r="W1725" s="5" t="s">
        <v>334</v>
      </c>
      <c r="X1725" s="5" t="s">
        <v>242</v>
      </c>
      <c r="Y1725" s="5"/>
      <c r="Z1725" s="5"/>
      <c r="AA1725" s="11" t="s">
        <v>153</v>
      </c>
      <c r="AB1725" s="5" t="s">
        <v>245</v>
      </c>
      <c r="AC1725" s="5" t="s">
        <v>262</v>
      </c>
      <c r="AD1725" s="11" t="s">
        <v>4253</v>
      </c>
      <c r="AE1725" s="23" t="n">
        <v>0.9</v>
      </c>
      <c r="AF1725" s="23" t="n">
        <v>0</v>
      </c>
      <c r="AG1725" s="23" t="n">
        <v>0.33</v>
      </c>
      <c r="AH1725" s="23" t="n">
        <v>1</v>
      </c>
      <c r="AI1725" s="23" t="n">
        <v>0.6</v>
      </c>
      <c r="AJ1725" s="23" t="n">
        <v>0.112</v>
      </c>
      <c r="AK1725" s="23" t="n">
        <v>0.5</v>
      </c>
      <c r="AL1725" s="23" t="n">
        <v>0</v>
      </c>
      <c r="AM1725" s="16" t="n">
        <f aca="false">COUNTIFS($D$2:$D$2501,D1725,$G$2:$G$2501,"&gt;"&amp;G1725)+COUNTIFS($D$2:D1725,D1725,$G$2:G1725,G1725)</f>
        <v>215</v>
      </c>
      <c r="AN1725" s="5" t="str">
        <f aca="false">D1725&amp;"|"&amp;AM1725</f>
        <v>檢索與情資關聯|215</v>
      </c>
    </row>
    <row r="1726" customFormat="false" ht="17.15" hidden="false" customHeight="false" outlineLevel="0" collapsed="false">
      <c r="A1726" s="16" t="n">
        <f aca="false">RANK(G1726,$G$2:$G$2501)+COUNTIF($G$2:G1726,G1726)-1</f>
        <v>1725</v>
      </c>
      <c r="B1726" s="11" t="s">
        <v>4254</v>
      </c>
      <c r="C1726" s="11" t="s">
        <v>253</v>
      </c>
      <c r="D1726" s="5" t="s">
        <v>78</v>
      </c>
      <c r="E1726" s="5" t="s">
        <v>79</v>
      </c>
      <c r="F1726" s="5"/>
      <c r="G1726" s="22" t="n">
        <f aca="false">ROUND(SUM(I1726:P1726),3)</f>
        <v>56.568</v>
      </c>
      <c r="H1726" s="5" t="str">
        <f aca="false">IF(G1726&gt;=評分方法!$C$16,"優先評估",IF(G1726&gt;=評分方法!$C$17,"列入候選",IF(G1726&gt;=評分方法!$C$18,"特定情境","不建議")))</f>
        <v>不建議</v>
      </c>
      <c r="I1726" s="15" t="n">
        <f aca="false">AE1726*評分方法!$C$5</f>
        <v>9</v>
      </c>
      <c r="J1726" s="15" t="n">
        <f aca="false">AF1726*評分方法!$C$6</f>
        <v>0</v>
      </c>
      <c r="K1726" s="15" t="n">
        <f aca="false">AG1726*評分方法!$C$7</f>
        <v>15</v>
      </c>
      <c r="L1726" s="15" t="n">
        <f aca="false">AH1726*評分方法!$C$8</f>
        <v>15</v>
      </c>
      <c r="M1726" s="15" t="n">
        <f aca="false">AI1726*評分方法!$C$9</f>
        <v>10</v>
      </c>
      <c r="N1726" s="15" t="n">
        <f aca="false">AJ1726*評分方法!$C$10</f>
        <v>6.568</v>
      </c>
      <c r="O1726" s="15" t="n">
        <f aca="false">AK1726*評分方法!$C$11</f>
        <v>1</v>
      </c>
      <c r="P1726" s="15" t="n">
        <f aca="false">AL1726*評分方法!$C$12</f>
        <v>0</v>
      </c>
      <c r="Q1726" s="6" t="n">
        <v>771985</v>
      </c>
      <c r="R1726" s="6" t="n">
        <v>72593408</v>
      </c>
      <c r="S1726" s="11" t="s">
        <v>238</v>
      </c>
      <c r="T1726" s="11" t="s">
        <v>239</v>
      </c>
      <c r="U1726" s="5" t="s">
        <v>240</v>
      </c>
      <c r="V1726" s="11" t="s">
        <v>279</v>
      </c>
      <c r="W1726" s="5" t="s">
        <v>205</v>
      </c>
      <c r="X1726" s="5" t="s">
        <v>242</v>
      </c>
      <c r="Y1726" s="5"/>
      <c r="Z1726" s="5"/>
      <c r="AA1726" s="11" t="s">
        <v>175</v>
      </c>
      <c r="AB1726" s="5" t="s">
        <v>245</v>
      </c>
      <c r="AC1726" s="5"/>
      <c r="AD1726" s="11" t="s">
        <v>4255</v>
      </c>
      <c r="AE1726" s="23" t="n">
        <v>0.3</v>
      </c>
      <c r="AF1726" s="23" t="n">
        <v>0</v>
      </c>
      <c r="AG1726" s="23" t="n">
        <v>1</v>
      </c>
      <c r="AH1726" s="23" t="n">
        <v>1</v>
      </c>
      <c r="AI1726" s="23" t="n">
        <v>1</v>
      </c>
      <c r="AJ1726" s="23" t="n">
        <v>0.6568</v>
      </c>
      <c r="AK1726" s="23" t="n">
        <v>0.2</v>
      </c>
      <c r="AL1726" s="23" t="n">
        <v>0</v>
      </c>
      <c r="AM1726" s="16" t="n">
        <f aca="false">COUNTIFS($D$2:$D$2501,D1726,$G$2:$G$2501,"&gt;"&amp;G1726)+COUNTIFS($D$2:D1726,D1726,$G$2:G1726,G1726)</f>
        <v>35</v>
      </c>
      <c r="AN1726" s="5" t="str">
        <f aca="false">D1726&amp;"|"&amp;AM1726</f>
        <v>語音分析|35</v>
      </c>
    </row>
    <row r="1727" customFormat="false" ht="17.15" hidden="false" customHeight="false" outlineLevel="0" collapsed="false">
      <c r="A1727" s="16" t="n">
        <f aca="false">RANK(G1727,$G$2:$G$2501)+COUNTIF($G$2:G1727,G1727)-1</f>
        <v>1726</v>
      </c>
      <c r="B1727" s="11" t="s">
        <v>4256</v>
      </c>
      <c r="C1727" s="11" t="s">
        <v>3005</v>
      </c>
      <c r="D1727" s="5" t="s">
        <v>68</v>
      </c>
      <c r="E1727" s="11" t="s">
        <v>69</v>
      </c>
      <c r="F1727" s="5"/>
      <c r="G1727" s="22" t="n">
        <f aca="false">ROUND(SUM(I1727:P1727),3)</f>
        <v>56.55</v>
      </c>
      <c r="H1727" s="5" t="str">
        <f aca="false">IF(G1727&gt;=評分方法!$C$16,"優先評估",IF(G1727&gt;=評分方法!$C$17,"列入候選",IF(G1727&gt;=評分方法!$C$18,"特定情境","不建議")))</f>
        <v>不建議</v>
      </c>
      <c r="I1727" s="15" t="n">
        <f aca="false">AE1727*評分方法!$C$5</f>
        <v>21</v>
      </c>
      <c r="J1727" s="15" t="n">
        <f aca="false">AF1727*評分方法!$C$6</f>
        <v>0</v>
      </c>
      <c r="K1727" s="15" t="n">
        <f aca="false">AG1727*評分方法!$C$7</f>
        <v>4.95</v>
      </c>
      <c r="L1727" s="15" t="n">
        <f aca="false">AH1727*評分方法!$C$8</f>
        <v>15</v>
      </c>
      <c r="M1727" s="15" t="n">
        <f aca="false">AI1727*評分方法!$C$9</f>
        <v>10</v>
      </c>
      <c r="N1727" s="15" t="n">
        <f aca="false">AJ1727*評分方法!$C$10</f>
        <v>1.6</v>
      </c>
      <c r="O1727" s="15" t="n">
        <f aca="false">AK1727*評分方法!$C$11</f>
        <v>2.5</v>
      </c>
      <c r="P1727" s="15" t="n">
        <f aca="false">AL1727*評分方法!$C$12</f>
        <v>1.5</v>
      </c>
      <c r="Q1727" s="6" t="n">
        <v>184994</v>
      </c>
      <c r="R1727" s="6" t="n">
        <v>113481608</v>
      </c>
      <c r="S1727" s="11" t="s">
        <v>238</v>
      </c>
      <c r="T1727" s="11" t="s">
        <v>278</v>
      </c>
      <c r="U1727" s="5" t="s">
        <v>240</v>
      </c>
      <c r="V1727" s="11" t="s">
        <v>324</v>
      </c>
      <c r="W1727" s="5" t="s">
        <v>334</v>
      </c>
      <c r="X1727" s="5" t="s">
        <v>255</v>
      </c>
      <c r="Y1727" s="5"/>
      <c r="Z1727" s="5"/>
      <c r="AA1727" s="11" t="s">
        <v>158</v>
      </c>
      <c r="AB1727" s="5" t="s">
        <v>245</v>
      </c>
      <c r="AC1727" s="5"/>
      <c r="AD1727" s="11" t="s">
        <v>4257</v>
      </c>
      <c r="AE1727" s="23" t="n">
        <v>0.7</v>
      </c>
      <c r="AF1727" s="23" t="n">
        <v>0</v>
      </c>
      <c r="AG1727" s="23" t="n">
        <v>0.33</v>
      </c>
      <c r="AH1727" s="23" t="n">
        <v>1</v>
      </c>
      <c r="AI1727" s="23" t="n">
        <v>1</v>
      </c>
      <c r="AJ1727" s="23" t="n">
        <v>0.16</v>
      </c>
      <c r="AK1727" s="23" t="n">
        <v>0.5</v>
      </c>
      <c r="AL1727" s="23" t="n">
        <v>0.3</v>
      </c>
      <c r="AM1727" s="16" t="n">
        <f aca="false">COUNTIFS($D$2:$D$2501,D1727,$G$2:$G$2501,"&gt;"&amp;G1727)+COUNTIFS($D$2:D1727,D1727,$G$2:G1727,G1727)</f>
        <v>49</v>
      </c>
      <c r="AN1727" s="5" t="str">
        <f aca="false">D1727&amp;"|"&amp;AM1727</f>
        <v>時序異常偵測|49</v>
      </c>
    </row>
    <row r="1728" customFormat="false" ht="17.15" hidden="false" customHeight="false" outlineLevel="0" collapsed="false">
      <c r="A1728" s="16" t="n">
        <f aca="false">RANK(G1728,$G$2:$G$2501)+COUNTIF($G$2:G1728,G1728)-1</f>
        <v>1727</v>
      </c>
      <c r="B1728" s="11" t="s">
        <v>4258</v>
      </c>
      <c r="C1728" s="11" t="s">
        <v>2693</v>
      </c>
      <c r="D1728" s="5" t="s">
        <v>74</v>
      </c>
      <c r="E1728" s="5" t="s">
        <v>75</v>
      </c>
      <c r="F1728" s="5"/>
      <c r="G1728" s="22" t="n">
        <f aca="false">ROUND(SUM(I1728:P1728),3)</f>
        <v>56.536</v>
      </c>
      <c r="H1728" s="5" t="str">
        <f aca="false">IF(G1728&gt;=評分方法!$C$16,"優先評估",IF(G1728&gt;=評分方法!$C$17,"列入候選",IF(G1728&gt;=評分方法!$C$18,"特定情境","不建議")))</f>
        <v>不建議</v>
      </c>
      <c r="I1728" s="15" t="n">
        <f aca="false">AE1728*評分方法!$C$5</f>
        <v>10.5</v>
      </c>
      <c r="J1728" s="15" t="n">
        <f aca="false">AF1728*評分方法!$C$6</f>
        <v>0</v>
      </c>
      <c r="K1728" s="15" t="n">
        <f aca="false">AG1728*評分方法!$C$7</f>
        <v>15</v>
      </c>
      <c r="L1728" s="15" t="n">
        <f aca="false">AH1728*評分方法!$C$8</f>
        <v>15</v>
      </c>
      <c r="M1728" s="15" t="n">
        <f aca="false">AI1728*評分方法!$C$9</f>
        <v>10</v>
      </c>
      <c r="N1728" s="15" t="n">
        <f aca="false">AJ1728*評分方法!$C$10</f>
        <v>2.036</v>
      </c>
      <c r="O1728" s="15" t="n">
        <f aca="false">AK1728*評分方法!$C$11</f>
        <v>2.5</v>
      </c>
      <c r="P1728" s="15" t="n">
        <f aca="false">AL1728*評分方法!$C$12</f>
        <v>1.5</v>
      </c>
      <c r="Q1728" s="6" t="n">
        <v>213329</v>
      </c>
      <c r="R1728" s="6" t="n">
        <v>21665664</v>
      </c>
      <c r="S1728" s="11" t="s">
        <v>238</v>
      </c>
      <c r="T1728" s="11" t="s">
        <v>239</v>
      </c>
      <c r="U1728" s="5" t="s">
        <v>240</v>
      </c>
      <c r="V1728" s="11" t="s">
        <v>324</v>
      </c>
      <c r="W1728" s="5" t="s">
        <v>205</v>
      </c>
      <c r="X1728" s="5" t="s">
        <v>255</v>
      </c>
      <c r="Y1728" s="5"/>
      <c r="Z1728" s="5"/>
      <c r="AA1728" s="11" t="s">
        <v>173</v>
      </c>
      <c r="AB1728" s="5" t="s">
        <v>245</v>
      </c>
      <c r="AC1728" s="5"/>
      <c r="AD1728" s="11" t="s">
        <v>4259</v>
      </c>
      <c r="AE1728" s="23" t="n">
        <v>0.35</v>
      </c>
      <c r="AF1728" s="23" t="n">
        <v>0</v>
      </c>
      <c r="AG1728" s="23" t="n">
        <v>1</v>
      </c>
      <c r="AH1728" s="23" t="n">
        <v>1</v>
      </c>
      <c r="AI1728" s="23" t="n">
        <v>1</v>
      </c>
      <c r="AJ1728" s="23" t="n">
        <v>0.2036</v>
      </c>
      <c r="AK1728" s="23" t="n">
        <v>0.5</v>
      </c>
      <c r="AL1728" s="23" t="n">
        <v>0.3</v>
      </c>
      <c r="AM1728" s="16" t="n">
        <f aca="false">COUNTIFS($D$2:$D$2501,D1728,$G$2:$G$2501,"&gt;"&amp;G1728)+COUNTIFS($D$2:D1728,D1728,$G$2:G1728,G1728)</f>
        <v>169</v>
      </c>
      <c r="AN1728" s="5" t="str">
        <f aca="false">D1728&amp;"|"&amp;AM1728</f>
        <v>文件與影像辨識|169</v>
      </c>
    </row>
    <row r="1729" customFormat="false" ht="17.15" hidden="false" customHeight="false" outlineLevel="0" collapsed="false">
      <c r="A1729" s="16" t="n">
        <f aca="false">RANK(G1729,$G$2:$G$2501)+COUNTIF($G$2:G1729,G1729)-1</f>
        <v>1728</v>
      </c>
      <c r="B1729" s="11" t="s">
        <v>4260</v>
      </c>
      <c r="C1729" s="11" t="s">
        <v>4261</v>
      </c>
      <c r="D1729" s="5" t="s">
        <v>56</v>
      </c>
      <c r="E1729" s="5" t="s">
        <v>57</v>
      </c>
      <c r="F1729" s="5"/>
      <c r="G1729" s="22" t="n">
        <f aca="false">ROUND(SUM(I1729:P1729),3)</f>
        <v>56.53</v>
      </c>
      <c r="H1729" s="5" t="str">
        <f aca="false">IF(G1729&gt;=評分方法!$C$16,"優先評估",IF(G1729&gt;=評分方法!$C$17,"列入候選",IF(G1729&gt;=評分方法!$C$18,"特定情境","不建議")))</f>
        <v>不建議</v>
      </c>
      <c r="I1729" s="15" t="n">
        <f aca="false">AE1729*評分方法!$C$5</f>
        <v>25.5</v>
      </c>
      <c r="J1729" s="15" t="n">
        <f aca="false">AF1729*評分方法!$C$6</f>
        <v>0</v>
      </c>
      <c r="K1729" s="15" t="n">
        <f aca="false">AG1729*評分方法!$C$7</f>
        <v>4.95</v>
      </c>
      <c r="L1729" s="15" t="n">
        <f aca="false">AH1729*評分方法!$C$8</f>
        <v>15</v>
      </c>
      <c r="M1729" s="15" t="n">
        <f aca="false">AI1729*評分方法!$C$9</f>
        <v>2</v>
      </c>
      <c r="N1729" s="15" t="n">
        <f aca="false">AJ1729*評分方法!$C$10</f>
        <v>2.08</v>
      </c>
      <c r="O1729" s="15" t="n">
        <f aca="false">AK1729*評分方法!$C$11</f>
        <v>4</v>
      </c>
      <c r="P1729" s="15" t="n">
        <f aca="false">AL1729*評分方法!$C$12</f>
        <v>3</v>
      </c>
      <c r="Q1729" s="6" t="n">
        <v>216427</v>
      </c>
      <c r="R1729" s="6" t="n">
        <v>29632768</v>
      </c>
      <c r="S1729" s="11" t="s">
        <v>238</v>
      </c>
      <c r="T1729" s="5"/>
      <c r="U1729" s="5" t="s">
        <v>375</v>
      </c>
      <c r="V1729" s="11" t="s">
        <v>261</v>
      </c>
      <c r="W1729" s="5" t="s">
        <v>334</v>
      </c>
      <c r="X1729" s="5" t="s">
        <v>371</v>
      </c>
      <c r="Y1729" s="5"/>
      <c r="Z1729" s="5"/>
      <c r="AA1729" s="11" t="s">
        <v>155</v>
      </c>
      <c r="AB1729" s="5" t="s">
        <v>328</v>
      </c>
      <c r="AC1729" s="5" t="s">
        <v>329</v>
      </c>
      <c r="AD1729" s="11" t="s">
        <v>4262</v>
      </c>
      <c r="AE1729" s="23" t="n">
        <v>0.85</v>
      </c>
      <c r="AF1729" s="23" t="n">
        <v>0</v>
      </c>
      <c r="AG1729" s="23" t="n">
        <v>0.33</v>
      </c>
      <c r="AH1729" s="23" t="n">
        <v>1</v>
      </c>
      <c r="AI1729" s="23" t="n">
        <v>0.2</v>
      </c>
      <c r="AJ1729" s="23" t="n">
        <v>0.208</v>
      </c>
      <c r="AK1729" s="23" t="n">
        <v>0.8</v>
      </c>
      <c r="AL1729" s="23" t="n">
        <v>0.6</v>
      </c>
      <c r="AM1729" s="16" t="n">
        <f aca="false">COUNTIFS($D$2:$D$2501,D1729,$G$2:$G$2501,"&gt;"&amp;G1729)+COUNTIFS($D$2:D1729,D1729,$G$2:G1729,G1729)</f>
        <v>815</v>
      </c>
      <c r="AN1729" s="5" t="str">
        <f aca="false">D1729&amp;"|"&amp;AM1729</f>
        <v>分析與報告生成|815</v>
      </c>
    </row>
    <row r="1730" customFormat="false" ht="17.15" hidden="false" customHeight="false" outlineLevel="0" collapsed="false">
      <c r="A1730" s="16" t="n">
        <f aca="false">RANK(G1730,$G$2:$G$2501)+COUNTIF($G$2:G1730,G1730)-1</f>
        <v>1729</v>
      </c>
      <c r="B1730" s="11" t="s">
        <v>4263</v>
      </c>
      <c r="C1730" s="11" t="s">
        <v>2693</v>
      </c>
      <c r="D1730" s="5" t="s">
        <v>74</v>
      </c>
      <c r="E1730" s="5" t="s">
        <v>75</v>
      </c>
      <c r="F1730" s="5"/>
      <c r="G1730" s="22" t="n">
        <f aca="false">ROUND(SUM(I1730:P1730),3)</f>
        <v>56.496</v>
      </c>
      <c r="H1730" s="5" t="str">
        <f aca="false">IF(G1730&gt;=評分方法!$C$16,"優先評估",IF(G1730&gt;=評分方法!$C$17,"列入候選",IF(G1730&gt;=評分方法!$C$18,"特定情境","不建議")))</f>
        <v>不建議</v>
      </c>
      <c r="I1730" s="15" t="n">
        <f aca="false">AE1730*評分方法!$C$5</f>
        <v>10.5</v>
      </c>
      <c r="J1730" s="15" t="n">
        <f aca="false">AF1730*評分方法!$C$6</f>
        <v>0</v>
      </c>
      <c r="K1730" s="15" t="n">
        <f aca="false">AG1730*評分方法!$C$7</f>
        <v>15</v>
      </c>
      <c r="L1730" s="15" t="n">
        <f aca="false">AH1730*評分方法!$C$8</f>
        <v>15</v>
      </c>
      <c r="M1730" s="15" t="n">
        <f aca="false">AI1730*評分方法!$C$9</f>
        <v>10</v>
      </c>
      <c r="N1730" s="15" t="n">
        <f aca="false">AJ1730*評分方法!$C$10</f>
        <v>1.996</v>
      </c>
      <c r="O1730" s="15" t="n">
        <f aca="false">AK1730*評分方法!$C$11</f>
        <v>2.5</v>
      </c>
      <c r="P1730" s="15" t="n">
        <f aca="false">AL1730*評分方法!$C$12</f>
        <v>1.5</v>
      </c>
      <c r="Q1730" s="6" t="n">
        <v>209778</v>
      </c>
      <c r="R1730" s="6" t="n">
        <v>127024552</v>
      </c>
      <c r="S1730" s="11" t="s">
        <v>238</v>
      </c>
      <c r="T1730" s="11" t="s">
        <v>2029</v>
      </c>
      <c r="U1730" s="5" t="s">
        <v>240</v>
      </c>
      <c r="V1730" s="11" t="s">
        <v>324</v>
      </c>
      <c r="W1730" s="5" t="s">
        <v>205</v>
      </c>
      <c r="X1730" s="5" t="s">
        <v>255</v>
      </c>
      <c r="Y1730" s="5"/>
      <c r="Z1730" s="5"/>
      <c r="AA1730" s="11" t="s">
        <v>172</v>
      </c>
      <c r="AB1730" s="5" t="s">
        <v>245</v>
      </c>
      <c r="AC1730" s="5"/>
      <c r="AD1730" s="11" t="s">
        <v>4264</v>
      </c>
      <c r="AE1730" s="23" t="n">
        <v>0.35</v>
      </c>
      <c r="AF1730" s="23" t="n">
        <v>0</v>
      </c>
      <c r="AG1730" s="23" t="n">
        <v>1</v>
      </c>
      <c r="AH1730" s="23" t="n">
        <v>1</v>
      </c>
      <c r="AI1730" s="23" t="n">
        <v>1</v>
      </c>
      <c r="AJ1730" s="23" t="n">
        <v>0.1996</v>
      </c>
      <c r="AK1730" s="23" t="n">
        <v>0.5</v>
      </c>
      <c r="AL1730" s="23" t="n">
        <v>0.3</v>
      </c>
      <c r="AM1730" s="16" t="n">
        <f aca="false">COUNTIFS($D$2:$D$2501,D1730,$G$2:$G$2501,"&gt;"&amp;G1730)+COUNTIFS($D$2:D1730,D1730,$G$2:G1730,G1730)</f>
        <v>170</v>
      </c>
      <c r="AN1730" s="5" t="str">
        <f aca="false">D1730&amp;"|"&amp;AM1730</f>
        <v>文件與影像辨識|170</v>
      </c>
    </row>
    <row r="1731" customFormat="false" ht="17.15" hidden="false" customHeight="false" outlineLevel="0" collapsed="false">
      <c r="A1731" s="16" t="n">
        <f aca="false">RANK(G1731,$G$2:$G$2501)+COUNTIF($G$2:G1731,G1731)-1</f>
        <v>1730</v>
      </c>
      <c r="B1731" s="11" t="s">
        <v>4265</v>
      </c>
      <c r="C1731" s="11" t="s">
        <v>4030</v>
      </c>
      <c r="D1731" s="5" t="s">
        <v>54</v>
      </c>
      <c r="E1731" s="5" t="s">
        <v>55</v>
      </c>
      <c r="F1731" s="5"/>
      <c r="G1731" s="22" t="n">
        <f aca="false">ROUND(SUM(I1731:P1731),3)</f>
        <v>56.494</v>
      </c>
      <c r="H1731" s="5" t="str">
        <f aca="false">IF(G1731&gt;=評分方法!$C$16,"優先評估",IF(G1731&gt;=評分方法!$C$17,"列入候選",IF(G1731&gt;=評分方法!$C$18,"特定情境","不建議")))</f>
        <v>不建議</v>
      </c>
      <c r="I1731" s="15" t="n">
        <f aca="false">AE1731*評分方法!$C$5</f>
        <v>16.2</v>
      </c>
      <c r="J1731" s="15" t="n">
        <f aca="false">AF1731*評分方法!$C$6</f>
        <v>0</v>
      </c>
      <c r="K1731" s="15" t="n">
        <f aca="false">AG1731*評分方法!$C$7</f>
        <v>4.95</v>
      </c>
      <c r="L1731" s="15" t="n">
        <f aca="false">AH1731*評分方法!$C$8</f>
        <v>15</v>
      </c>
      <c r="M1731" s="15" t="n">
        <f aca="false">AI1731*評分方法!$C$9</f>
        <v>10</v>
      </c>
      <c r="N1731" s="15" t="n">
        <f aca="false">AJ1731*評分方法!$C$10</f>
        <v>7.844</v>
      </c>
      <c r="O1731" s="15" t="n">
        <f aca="false">AK1731*評分方法!$C$11</f>
        <v>2.5</v>
      </c>
      <c r="P1731" s="15" t="n">
        <f aca="false">AL1731*評分方法!$C$12</f>
        <v>0</v>
      </c>
      <c r="Q1731" s="6" t="n">
        <v>1430811</v>
      </c>
      <c r="R1731" s="6" t="n">
        <v>36705536</v>
      </c>
      <c r="S1731" s="11" t="s">
        <v>238</v>
      </c>
      <c r="T1731" s="11" t="s">
        <v>239</v>
      </c>
      <c r="U1731" s="5" t="s">
        <v>240</v>
      </c>
      <c r="V1731" s="11" t="s">
        <v>261</v>
      </c>
      <c r="W1731" s="5" t="s">
        <v>334</v>
      </c>
      <c r="X1731" s="5" t="s">
        <v>242</v>
      </c>
      <c r="Y1731" s="11" t="s">
        <v>4266</v>
      </c>
      <c r="Z1731" s="11" t="s">
        <v>270</v>
      </c>
      <c r="AA1731" s="11" t="s">
        <v>152</v>
      </c>
      <c r="AB1731" s="5" t="s">
        <v>245</v>
      </c>
      <c r="AC1731" s="5" t="s">
        <v>1463</v>
      </c>
      <c r="AD1731" s="11" t="s">
        <v>4267</v>
      </c>
      <c r="AE1731" s="23" t="n">
        <v>0.54</v>
      </c>
      <c r="AF1731" s="23" t="n">
        <v>0</v>
      </c>
      <c r="AG1731" s="23" t="n">
        <v>0.33</v>
      </c>
      <c r="AH1731" s="23" t="n">
        <v>1</v>
      </c>
      <c r="AI1731" s="23" t="n">
        <v>1</v>
      </c>
      <c r="AJ1731" s="23" t="n">
        <v>0.7844</v>
      </c>
      <c r="AK1731" s="23" t="n">
        <v>0.5</v>
      </c>
      <c r="AL1731" s="23" t="n">
        <v>0</v>
      </c>
      <c r="AM1731" s="16" t="n">
        <f aca="false">COUNTIFS($D$2:$D$2501,D1731,$G$2:$G$2501,"&gt;"&amp;G1731)+COUNTIFS($D$2:D1731,D1731,$G$2:G1731,G1731)</f>
        <v>216</v>
      </c>
      <c r="AN1731" s="5" t="str">
        <f aca="false">D1731&amp;"|"&amp;AM1731</f>
        <v>檢索與情資關聯|216</v>
      </c>
    </row>
    <row r="1732" customFormat="false" ht="17.15" hidden="false" customHeight="false" outlineLevel="0" collapsed="false">
      <c r="A1732" s="16" t="n">
        <f aca="false">RANK(G1732,$G$2:$G$2501)+COUNTIF($G$2:G1732,G1732)-1</f>
        <v>1731</v>
      </c>
      <c r="B1732" s="11" t="s">
        <v>4268</v>
      </c>
      <c r="C1732" s="11" t="s">
        <v>2693</v>
      </c>
      <c r="D1732" s="5" t="s">
        <v>74</v>
      </c>
      <c r="E1732" s="5" t="s">
        <v>75</v>
      </c>
      <c r="F1732" s="5"/>
      <c r="G1732" s="22" t="n">
        <f aca="false">ROUND(SUM(I1732:P1732),3)</f>
        <v>56.484</v>
      </c>
      <c r="H1732" s="5" t="str">
        <f aca="false">IF(G1732&gt;=評分方法!$C$16,"優先評估",IF(G1732&gt;=評分方法!$C$17,"列入候選",IF(G1732&gt;=評分方法!$C$18,"特定情境","不建議")))</f>
        <v>不建議</v>
      </c>
      <c r="I1732" s="15" t="n">
        <f aca="false">AE1732*評分方法!$C$5</f>
        <v>10.5</v>
      </c>
      <c r="J1732" s="15" t="n">
        <f aca="false">AF1732*評分方法!$C$6</f>
        <v>0</v>
      </c>
      <c r="K1732" s="15" t="n">
        <f aca="false">AG1732*評分方法!$C$7</f>
        <v>15</v>
      </c>
      <c r="L1732" s="15" t="n">
        <f aca="false">AH1732*評分方法!$C$8</f>
        <v>15</v>
      </c>
      <c r="M1732" s="15" t="n">
        <f aca="false">AI1732*評分方法!$C$9</f>
        <v>10</v>
      </c>
      <c r="N1732" s="15" t="n">
        <f aca="false">AJ1732*評分方法!$C$10</f>
        <v>1.984</v>
      </c>
      <c r="O1732" s="15" t="n">
        <f aca="false">AK1732*評分方法!$C$11</f>
        <v>2.5</v>
      </c>
      <c r="P1732" s="15" t="n">
        <f aca="false">AL1732*評分方法!$C$12</f>
        <v>1.5</v>
      </c>
      <c r="Q1732" s="6" t="n">
        <v>208833</v>
      </c>
      <c r="R1732" s="6" t="n">
        <v>54431388</v>
      </c>
      <c r="S1732" s="11" t="s">
        <v>238</v>
      </c>
      <c r="T1732" s="11" t="s">
        <v>239</v>
      </c>
      <c r="U1732" s="5" t="s">
        <v>240</v>
      </c>
      <c r="V1732" s="11" t="s">
        <v>324</v>
      </c>
      <c r="W1732" s="5" t="s">
        <v>205</v>
      </c>
      <c r="X1732" s="5" t="s">
        <v>255</v>
      </c>
      <c r="Y1732" s="5"/>
      <c r="Z1732" s="5"/>
      <c r="AA1732" s="11" t="s">
        <v>172</v>
      </c>
      <c r="AB1732" s="5" t="s">
        <v>245</v>
      </c>
      <c r="AC1732" s="5"/>
      <c r="AD1732" s="11" t="s">
        <v>4269</v>
      </c>
      <c r="AE1732" s="23" t="n">
        <v>0.35</v>
      </c>
      <c r="AF1732" s="23" t="n">
        <v>0</v>
      </c>
      <c r="AG1732" s="23" t="n">
        <v>1</v>
      </c>
      <c r="AH1732" s="23" t="n">
        <v>1</v>
      </c>
      <c r="AI1732" s="23" t="n">
        <v>1</v>
      </c>
      <c r="AJ1732" s="23" t="n">
        <v>0.1984</v>
      </c>
      <c r="AK1732" s="23" t="n">
        <v>0.5</v>
      </c>
      <c r="AL1732" s="23" t="n">
        <v>0.3</v>
      </c>
      <c r="AM1732" s="16" t="n">
        <f aca="false">COUNTIFS($D$2:$D$2501,D1732,$G$2:$G$2501,"&gt;"&amp;G1732)+COUNTIFS($D$2:D1732,D1732,$G$2:G1732,G1732)</f>
        <v>171</v>
      </c>
      <c r="AN1732" s="5" t="str">
        <f aca="false">D1732&amp;"|"&amp;AM1732</f>
        <v>文件與影像辨識|171</v>
      </c>
    </row>
    <row r="1733" customFormat="false" ht="17.15" hidden="false" customHeight="false" outlineLevel="0" collapsed="false">
      <c r="A1733" s="16" t="n">
        <f aca="false">RANK(G1733,$G$2:$G$2501)+COUNTIF($G$2:G1733,G1733)-1</f>
        <v>1732</v>
      </c>
      <c r="B1733" s="11" t="s">
        <v>4270</v>
      </c>
      <c r="C1733" s="11" t="s">
        <v>4271</v>
      </c>
      <c r="D1733" s="5" t="s">
        <v>56</v>
      </c>
      <c r="E1733" s="5" t="s">
        <v>57</v>
      </c>
      <c r="F1733" s="5"/>
      <c r="G1733" s="22" t="n">
        <f aca="false">ROUND(SUM(I1733:P1733),3)</f>
        <v>56.478</v>
      </c>
      <c r="H1733" s="5" t="str">
        <f aca="false">IF(G1733&gt;=評分方法!$C$16,"優先評估",IF(G1733&gt;=評分方法!$C$17,"列入候選",IF(G1733&gt;=評分方法!$C$18,"特定情境","不建議")))</f>
        <v>不建議</v>
      </c>
      <c r="I1733" s="15" t="n">
        <f aca="false">AE1733*評分方法!$C$5</f>
        <v>25.5</v>
      </c>
      <c r="J1733" s="15" t="n">
        <f aca="false">AF1733*評分方法!$C$6</f>
        <v>0</v>
      </c>
      <c r="K1733" s="15" t="n">
        <f aca="false">AG1733*評分方法!$C$7</f>
        <v>4.95</v>
      </c>
      <c r="L1733" s="15" t="n">
        <f aca="false">AH1733*評分方法!$C$8</f>
        <v>15</v>
      </c>
      <c r="M1733" s="15" t="n">
        <f aca="false">AI1733*評分方法!$C$9</f>
        <v>2</v>
      </c>
      <c r="N1733" s="15" t="n">
        <f aca="false">AJ1733*評分方法!$C$10</f>
        <v>5.028</v>
      </c>
      <c r="O1733" s="15" t="n">
        <f aca="false">AK1733*評分方法!$C$11</f>
        <v>4</v>
      </c>
      <c r="P1733" s="15" t="n">
        <f aca="false">AL1733*評分方法!$C$12</f>
        <v>0</v>
      </c>
      <c r="Q1733" s="6" t="n">
        <v>540842</v>
      </c>
      <c r="R1733" s="6" t="n">
        <v>222903936</v>
      </c>
      <c r="S1733" s="11" t="s">
        <v>238</v>
      </c>
      <c r="T1733" s="5"/>
      <c r="U1733" s="5" t="s">
        <v>375</v>
      </c>
      <c r="V1733" s="11" t="s">
        <v>279</v>
      </c>
      <c r="W1733" s="5" t="s">
        <v>334</v>
      </c>
      <c r="X1733" s="5" t="s">
        <v>242</v>
      </c>
      <c r="Y1733" s="11" t="s">
        <v>3112</v>
      </c>
      <c r="Z1733" s="11" t="s">
        <v>270</v>
      </c>
      <c r="AA1733" s="11" t="s">
        <v>155</v>
      </c>
      <c r="AB1733" s="5" t="s">
        <v>245</v>
      </c>
      <c r="AC1733" s="5" t="s">
        <v>262</v>
      </c>
      <c r="AD1733" s="11" t="s">
        <v>4272</v>
      </c>
      <c r="AE1733" s="23" t="n">
        <v>0.85</v>
      </c>
      <c r="AF1733" s="23" t="n">
        <v>0</v>
      </c>
      <c r="AG1733" s="23" t="n">
        <v>0.33</v>
      </c>
      <c r="AH1733" s="23" t="n">
        <v>1</v>
      </c>
      <c r="AI1733" s="23" t="n">
        <v>0.2</v>
      </c>
      <c r="AJ1733" s="23" t="n">
        <v>0.5028</v>
      </c>
      <c r="AK1733" s="23" t="n">
        <v>0.8</v>
      </c>
      <c r="AL1733" s="23" t="n">
        <v>0</v>
      </c>
      <c r="AM1733" s="16" t="n">
        <f aca="false">COUNTIFS($D$2:$D$2501,D1733,$G$2:$G$2501,"&gt;"&amp;G1733)+COUNTIFS($D$2:D1733,D1733,$G$2:G1733,G1733)</f>
        <v>816</v>
      </c>
      <c r="AN1733" s="5" t="str">
        <f aca="false">D1733&amp;"|"&amp;AM1733</f>
        <v>分析與報告生成|816</v>
      </c>
    </row>
    <row r="1734" customFormat="false" ht="17.15" hidden="false" customHeight="false" outlineLevel="0" collapsed="false">
      <c r="A1734" s="16" t="n">
        <f aca="false">RANK(G1734,$G$2:$G$2501)+COUNTIF($G$2:G1734,G1734)-1</f>
        <v>1733</v>
      </c>
      <c r="B1734" s="11" t="s">
        <v>4273</v>
      </c>
      <c r="C1734" s="11" t="s">
        <v>338</v>
      </c>
      <c r="D1734" s="5" t="s">
        <v>56</v>
      </c>
      <c r="E1734" s="5" t="s">
        <v>57</v>
      </c>
      <c r="F1734" s="5"/>
      <c r="G1734" s="22" t="n">
        <f aca="false">ROUND(SUM(I1734:P1734),3)</f>
        <v>56.464</v>
      </c>
      <c r="H1734" s="5" t="str">
        <f aca="false">IF(G1734&gt;=評分方法!$C$16,"優先評估",IF(G1734&gt;=評分方法!$C$17,"列入候選",IF(G1734&gt;=評分方法!$C$18,"特定情境","不建議")))</f>
        <v>不建議</v>
      </c>
      <c r="I1734" s="15" t="n">
        <f aca="false">AE1734*評分方法!$C$5</f>
        <v>12</v>
      </c>
      <c r="J1734" s="15" t="n">
        <f aca="false">AF1734*評分方法!$C$6</f>
        <v>0</v>
      </c>
      <c r="K1734" s="15" t="n">
        <f aca="false">AG1734*評分方法!$C$7</f>
        <v>15</v>
      </c>
      <c r="L1734" s="15" t="n">
        <f aca="false">AH1734*評分方法!$C$8</f>
        <v>9</v>
      </c>
      <c r="M1734" s="15" t="n">
        <f aca="false">AI1734*評分方法!$C$9</f>
        <v>10</v>
      </c>
      <c r="N1734" s="15" t="n">
        <f aca="false">AJ1734*評分方法!$C$10</f>
        <v>6.464</v>
      </c>
      <c r="O1734" s="15" t="n">
        <f aca="false">AK1734*評分方法!$C$11</f>
        <v>4</v>
      </c>
      <c r="P1734" s="15" t="n">
        <f aca="false">AL1734*評分方法!$C$12</f>
        <v>0</v>
      </c>
      <c r="Q1734" s="6" t="n">
        <v>740540</v>
      </c>
      <c r="R1734" s="6" t="n">
        <v>24261800960</v>
      </c>
      <c r="S1734" s="11" t="s">
        <v>389</v>
      </c>
      <c r="T1734" s="11" t="s">
        <v>239</v>
      </c>
      <c r="U1734" s="5" t="s">
        <v>240</v>
      </c>
      <c r="V1734" s="11" t="s">
        <v>261</v>
      </c>
      <c r="W1734" s="5" t="s">
        <v>205</v>
      </c>
      <c r="X1734" s="5" t="s">
        <v>242</v>
      </c>
      <c r="Y1734" s="11" t="s">
        <v>1248</v>
      </c>
      <c r="Z1734" s="11" t="s">
        <v>270</v>
      </c>
      <c r="AA1734" s="11" t="s">
        <v>171</v>
      </c>
      <c r="AB1734" s="5" t="s">
        <v>245</v>
      </c>
      <c r="AC1734" s="5"/>
      <c r="AD1734" s="11" t="s">
        <v>4274</v>
      </c>
      <c r="AE1734" s="23" t="n">
        <v>0.4</v>
      </c>
      <c r="AF1734" s="23" t="n">
        <v>0</v>
      </c>
      <c r="AG1734" s="23" t="n">
        <v>1</v>
      </c>
      <c r="AH1734" s="23" t="n">
        <v>0.6</v>
      </c>
      <c r="AI1734" s="23" t="n">
        <v>1</v>
      </c>
      <c r="AJ1734" s="23" t="n">
        <v>0.6464</v>
      </c>
      <c r="AK1734" s="23" t="n">
        <v>0.8</v>
      </c>
      <c r="AL1734" s="23" t="n">
        <v>0</v>
      </c>
      <c r="AM1734" s="16" t="n">
        <f aca="false">COUNTIFS($D$2:$D$2501,D1734,$G$2:$G$2501,"&gt;"&amp;G1734)+COUNTIFS($D$2:D1734,D1734,$G$2:G1734,G1734)</f>
        <v>817</v>
      </c>
      <c r="AN1734" s="5" t="str">
        <f aca="false">D1734&amp;"|"&amp;AM1734</f>
        <v>分析與報告生成|817</v>
      </c>
    </row>
    <row r="1735" customFormat="false" ht="17.15" hidden="false" customHeight="false" outlineLevel="0" collapsed="false">
      <c r="A1735" s="16" t="n">
        <f aca="false">RANK(G1735,$G$2:$G$2501)+COUNTIF($G$2:G1735,G1735)-1</f>
        <v>1734</v>
      </c>
      <c r="B1735" s="11" t="s">
        <v>4275</v>
      </c>
      <c r="C1735" s="11" t="s">
        <v>253</v>
      </c>
      <c r="D1735" s="5" t="s">
        <v>74</v>
      </c>
      <c r="E1735" s="5" t="s">
        <v>75</v>
      </c>
      <c r="F1735" s="5"/>
      <c r="G1735" s="22" t="n">
        <f aca="false">ROUND(SUM(I1735:P1735),3)</f>
        <v>56.46</v>
      </c>
      <c r="H1735" s="5" t="str">
        <f aca="false">IF(G1735&gt;=評分方法!$C$16,"優先評估",IF(G1735&gt;=評分方法!$C$17,"列入候選",IF(G1735&gt;=評分方法!$C$18,"特定情境","不建議")))</f>
        <v>不建議</v>
      </c>
      <c r="I1735" s="15" t="n">
        <f aca="false">AE1735*評分方法!$C$5</f>
        <v>12</v>
      </c>
      <c r="J1735" s="15" t="n">
        <f aca="false">AF1735*評分方法!$C$6</f>
        <v>0</v>
      </c>
      <c r="K1735" s="15" t="n">
        <f aca="false">AG1735*評分方法!$C$7</f>
        <v>15</v>
      </c>
      <c r="L1735" s="15" t="n">
        <f aca="false">AH1735*評分方法!$C$8</f>
        <v>15</v>
      </c>
      <c r="M1735" s="15" t="n">
        <f aca="false">AI1735*評分方法!$C$9</f>
        <v>2</v>
      </c>
      <c r="N1735" s="15" t="n">
        <f aca="false">AJ1735*評分方法!$C$10</f>
        <v>9.96</v>
      </c>
      <c r="O1735" s="15" t="n">
        <f aca="false">AK1735*評分方法!$C$11</f>
        <v>1</v>
      </c>
      <c r="P1735" s="15" t="n">
        <f aca="false">AL1735*評分方法!$C$12</f>
        <v>1.5</v>
      </c>
      <c r="Q1735" s="6" t="n">
        <v>78594329</v>
      </c>
      <c r="R1735" s="6" t="n">
        <v>427616846</v>
      </c>
      <c r="S1735" s="11" t="s">
        <v>238</v>
      </c>
      <c r="T1735" s="5"/>
      <c r="U1735" s="5" t="s">
        <v>375</v>
      </c>
      <c r="V1735" s="11" t="s">
        <v>279</v>
      </c>
      <c r="W1735" s="5" t="s">
        <v>205</v>
      </c>
      <c r="X1735" s="5" t="s">
        <v>255</v>
      </c>
      <c r="Y1735" s="5"/>
      <c r="Z1735" s="5"/>
      <c r="AA1735" s="11" t="s">
        <v>167</v>
      </c>
      <c r="AB1735" s="5" t="s">
        <v>245</v>
      </c>
      <c r="AC1735" s="5" t="s">
        <v>262</v>
      </c>
      <c r="AD1735" s="11" t="s">
        <v>4276</v>
      </c>
      <c r="AE1735" s="23" t="n">
        <v>0.4</v>
      </c>
      <c r="AF1735" s="23" t="n">
        <v>0</v>
      </c>
      <c r="AG1735" s="23" t="n">
        <v>1</v>
      </c>
      <c r="AH1735" s="23" t="n">
        <v>1</v>
      </c>
      <c r="AI1735" s="23" t="n">
        <v>0.2</v>
      </c>
      <c r="AJ1735" s="23" t="n">
        <v>0.996</v>
      </c>
      <c r="AK1735" s="23" t="n">
        <v>0.2</v>
      </c>
      <c r="AL1735" s="23" t="n">
        <v>0.3</v>
      </c>
      <c r="AM1735" s="16" t="n">
        <f aca="false">COUNTIFS($D$2:$D$2501,D1735,$G$2:$G$2501,"&gt;"&amp;G1735)+COUNTIFS($D$2:D1735,D1735,$G$2:G1735,G1735)</f>
        <v>172</v>
      </c>
      <c r="AN1735" s="5" t="str">
        <f aca="false">D1735&amp;"|"&amp;AM1735</f>
        <v>文件與影像辨識|172</v>
      </c>
    </row>
    <row r="1736" customFormat="false" ht="17.15" hidden="false" customHeight="false" outlineLevel="0" collapsed="false">
      <c r="A1736" s="16" t="n">
        <f aca="false">RANK(G1736,$G$2:$G$2501)+COUNTIF($G$2:G1736,G1736)-1</f>
        <v>1735</v>
      </c>
      <c r="B1736" s="11" t="s">
        <v>4277</v>
      </c>
      <c r="C1736" s="11" t="s">
        <v>2693</v>
      </c>
      <c r="D1736" s="5" t="s">
        <v>74</v>
      </c>
      <c r="E1736" s="5" t="s">
        <v>75</v>
      </c>
      <c r="F1736" s="5"/>
      <c r="G1736" s="22" t="n">
        <f aca="false">ROUND(SUM(I1736:P1736),3)</f>
        <v>56.436</v>
      </c>
      <c r="H1736" s="5" t="str">
        <f aca="false">IF(G1736&gt;=評分方法!$C$16,"優先評估",IF(G1736&gt;=評分方法!$C$17,"列入候選",IF(G1736&gt;=評分方法!$C$18,"特定情境","不建議")))</f>
        <v>不建議</v>
      </c>
      <c r="I1736" s="15" t="n">
        <f aca="false">AE1736*評分方法!$C$5</f>
        <v>10.5</v>
      </c>
      <c r="J1736" s="15" t="n">
        <f aca="false">AF1736*評分方法!$C$6</f>
        <v>0</v>
      </c>
      <c r="K1736" s="15" t="n">
        <f aca="false">AG1736*評分方法!$C$7</f>
        <v>15</v>
      </c>
      <c r="L1736" s="15" t="n">
        <f aca="false">AH1736*評分方法!$C$8</f>
        <v>15</v>
      </c>
      <c r="M1736" s="15" t="n">
        <f aca="false">AI1736*評分方法!$C$9</f>
        <v>10</v>
      </c>
      <c r="N1736" s="15" t="n">
        <f aca="false">AJ1736*評分方法!$C$10</f>
        <v>1.936</v>
      </c>
      <c r="O1736" s="15" t="n">
        <f aca="false">AK1736*評分方法!$C$11</f>
        <v>2.5</v>
      </c>
      <c r="P1736" s="15" t="n">
        <f aca="false">AL1736*評分方法!$C$12</f>
        <v>1.5</v>
      </c>
      <c r="Q1736" s="6" t="n">
        <v>206762</v>
      </c>
      <c r="R1736" s="6" t="n">
        <v>49942398</v>
      </c>
      <c r="S1736" s="11" t="s">
        <v>238</v>
      </c>
      <c r="T1736" s="11" t="s">
        <v>278</v>
      </c>
      <c r="U1736" s="5" t="s">
        <v>240</v>
      </c>
      <c r="V1736" s="11" t="s">
        <v>324</v>
      </c>
      <c r="W1736" s="5" t="s">
        <v>205</v>
      </c>
      <c r="X1736" s="5" t="s">
        <v>255</v>
      </c>
      <c r="Y1736" s="5"/>
      <c r="Z1736" s="5"/>
      <c r="AA1736" s="11" t="s">
        <v>172</v>
      </c>
      <c r="AB1736" s="5" t="s">
        <v>245</v>
      </c>
      <c r="AC1736" s="5"/>
      <c r="AD1736" s="11" t="s">
        <v>4278</v>
      </c>
      <c r="AE1736" s="23" t="n">
        <v>0.35</v>
      </c>
      <c r="AF1736" s="23" t="n">
        <v>0</v>
      </c>
      <c r="AG1736" s="23" t="n">
        <v>1</v>
      </c>
      <c r="AH1736" s="23" t="n">
        <v>1</v>
      </c>
      <c r="AI1736" s="23" t="n">
        <v>1</v>
      </c>
      <c r="AJ1736" s="23" t="n">
        <v>0.1936</v>
      </c>
      <c r="AK1736" s="23" t="n">
        <v>0.5</v>
      </c>
      <c r="AL1736" s="23" t="n">
        <v>0.3</v>
      </c>
      <c r="AM1736" s="16" t="n">
        <f aca="false">COUNTIFS($D$2:$D$2501,D1736,$G$2:$G$2501,"&gt;"&amp;G1736)+COUNTIFS($D$2:D1736,D1736,$G$2:G1736,G1736)</f>
        <v>173</v>
      </c>
      <c r="AN1736" s="5" t="str">
        <f aca="false">D1736&amp;"|"&amp;AM1736</f>
        <v>文件與影像辨識|173</v>
      </c>
    </row>
    <row r="1737" customFormat="false" ht="17.15" hidden="false" customHeight="false" outlineLevel="0" collapsed="false">
      <c r="A1737" s="16" t="n">
        <f aca="false">RANK(G1737,$G$2:$G$2501)+COUNTIF($G$2:G1737,G1737)-1</f>
        <v>1736</v>
      </c>
      <c r="B1737" s="11" t="s">
        <v>4279</v>
      </c>
      <c r="C1737" s="11" t="s">
        <v>4280</v>
      </c>
      <c r="D1737" s="5" t="s">
        <v>56</v>
      </c>
      <c r="E1737" s="5" t="s">
        <v>57</v>
      </c>
      <c r="F1737" s="5"/>
      <c r="G1737" s="22" t="n">
        <f aca="false">ROUND(SUM(I1737:P1737),3)</f>
        <v>56.434</v>
      </c>
      <c r="H1737" s="5" t="str">
        <f aca="false">IF(G1737&gt;=評分方法!$C$16,"優先評估",IF(G1737&gt;=評分方法!$C$17,"列入候選",IF(G1737&gt;=評分方法!$C$18,"特定情境","不建議")))</f>
        <v>不建議</v>
      </c>
      <c r="I1737" s="15" t="n">
        <f aca="false">AE1737*評分方法!$C$5</f>
        <v>25.5</v>
      </c>
      <c r="J1737" s="15" t="n">
        <f aca="false">AF1737*評分方法!$C$6</f>
        <v>0</v>
      </c>
      <c r="K1737" s="15" t="n">
        <f aca="false">AG1737*評分方法!$C$7</f>
        <v>4.95</v>
      </c>
      <c r="L1737" s="15" t="n">
        <f aca="false">AH1737*評分方法!$C$8</f>
        <v>9</v>
      </c>
      <c r="M1737" s="15" t="n">
        <f aca="false">AI1737*評分方法!$C$9</f>
        <v>2</v>
      </c>
      <c r="N1737" s="15" t="n">
        <f aca="false">AJ1737*評分方法!$C$10</f>
        <v>6.984</v>
      </c>
      <c r="O1737" s="15" t="n">
        <f aca="false">AK1737*評分方法!$C$11</f>
        <v>5</v>
      </c>
      <c r="P1737" s="15" t="n">
        <f aca="false">AL1737*評分方法!$C$12</f>
        <v>3</v>
      </c>
      <c r="Q1737" s="6" t="n">
        <v>909493</v>
      </c>
      <c r="R1737" s="6" t="n">
        <v>27320698658</v>
      </c>
      <c r="S1737" s="11" t="s">
        <v>389</v>
      </c>
      <c r="T1737" s="5"/>
      <c r="U1737" s="5" t="s">
        <v>375</v>
      </c>
      <c r="V1737" s="11" t="s">
        <v>333</v>
      </c>
      <c r="W1737" s="5" t="s">
        <v>334</v>
      </c>
      <c r="X1737" s="5" t="s">
        <v>371</v>
      </c>
      <c r="Y1737" s="11" t="s">
        <v>4281</v>
      </c>
      <c r="Z1737" s="11" t="s">
        <v>244</v>
      </c>
      <c r="AA1737" s="11" t="s">
        <v>156</v>
      </c>
      <c r="AB1737" s="5" t="s">
        <v>496</v>
      </c>
      <c r="AC1737" s="5" t="s">
        <v>1108</v>
      </c>
      <c r="AD1737" s="11" t="s">
        <v>4282</v>
      </c>
      <c r="AE1737" s="23" t="n">
        <v>0.85</v>
      </c>
      <c r="AF1737" s="23" t="n">
        <v>0</v>
      </c>
      <c r="AG1737" s="23" t="n">
        <v>0.33</v>
      </c>
      <c r="AH1737" s="23" t="n">
        <v>0.6</v>
      </c>
      <c r="AI1737" s="23" t="n">
        <v>0.2</v>
      </c>
      <c r="AJ1737" s="23" t="n">
        <v>0.6984</v>
      </c>
      <c r="AK1737" s="23" t="n">
        <v>1</v>
      </c>
      <c r="AL1737" s="23" t="n">
        <v>0.6</v>
      </c>
      <c r="AM1737" s="16" t="n">
        <f aca="false">COUNTIFS($D$2:$D$2501,D1737,$G$2:$G$2501,"&gt;"&amp;G1737)+COUNTIFS($D$2:D1737,D1737,$G$2:G1737,G1737)</f>
        <v>818</v>
      </c>
      <c r="AN1737" s="5" t="str">
        <f aca="false">D1737&amp;"|"&amp;AM1737</f>
        <v>分析與報告生成|818</v>
      </c>
    </row>
    <row r="1738" customFormat="false" ht="17.15" hidden="false" customHeight="false" outlineLevel="0" collapsed="false">
      <c r="A1738" s="16" t="n">
        <f aca="false">RANK(G1738,$G$2:$G$2501)+COUNTIF($G$2:G1738,G1738)-1</f>
        <v>1737</v>
      </c>
      <c r="B1738" s="11" t="s">
        <v>4283</v>
      </c>
      <c r="C1738" s="11" t="s">
        <v>1111</v>
      </c>
      <c r="D1738" s="5" t="s">
        <v>56</v>
      </c>
      <c r="E1738" s="5" t="s">
        <v>57</v>
      </c>
      <c r="F1738" s="5"/>
      <c r="G1738" s="22" t="n">
        <f aca="false">ROUND(SUM(I1738:P1738),3)</f>
        <v>56.4</v>
      </c>
      <c r="H1738" s="5" t="str">
        <f aca="false">IF(G1738&gt;=評分方法!$C$16,"優先評估",IF(G1738&gt;=評分方法!$C$17,"列入候選",IF(G1738&gt;=評分方法!$C$18,"特定情境","不建議")))</f>
        <v>不建議</v>
      </c>
      <c r="I1738" s="15" t="n">
        <f aca="false">AE1738*評分方法!$C$5</f>
        <v>25.5</v>
      </c>
      <c r="J1738" s="15" t="n">
        <f aca="false">AF1738*評分方法!$C$6</f>
        <v>0</v>
      </c>
      <c r="K1738" s="15" t="n">
        <f aca="false">AG1738*評分方法!$C$7</f>
        <v>10.05</v>
      </c>
      <c r="L1738" s="15" t="n">
        <f aca="false">AH1738*評分方法!$C$8</f>
        <v>4.95</v>
      </c>
      <c r="M1738" s="15" t="n">
        <f aca="false">AI1738*評分方法!$C$9</f>
        <v>6</v>
      </c>
      <c r="N1738" s="15" t="n">
        <f aca="false">AJ1738*評分方法!$C$10</f>
        <v>4.9</v>
      </c>
      <c r="O1738" s="15" t="n">
        <f aca="false">AK1738*評分方法!$C$11</f>
        <v>5</v>
      </c>
      <c r="P1738" s="15" t="n">
        <f aca="false">AL1738*評分方法!$C$12</f>
        <v>0</v>
      </c>
      <c r="Q1738" s="6" t="n">
        <v>529789</v>
      </c>
      <c r="R1738" s="6" t="n">
        <v>70560423936</v>
      </c>
      <c r="S1738" s="11" t="s">
        <v>1876</v>
      </c>
      <c r="T1738" s="11" t="s">
        <v>2741</v>
      </c>
      <c r="U1738" s="5" t="s">
        <v>260</v>
      </c>
      <c r="V1738" s="11" t="s">
        <v>261</v>
      </c>
      <c r="W1738" s="5" t="s">
        <v>207</v>
      </c>
      <c r="X1738" s="5" t="s">
        <v>242</v>
      </c>
      <c r="Y1738" s="11" t="s">
        <v>2742</v>
      </c>
      <c r="Z1738" s="11" t="s">
        <v>244</v>
      </c>
      <c r="AA1738" s="11" t="s">
        <v>155</v>
      </c>
      <c r="AB1738" s="5" t="s">
        <v>245</v>
      </c>
      <c r="AC1738" s="5" t="s">
        <v>464</v>
      </c>
      <c r="AD1738" s="11" t="s">
        <v>4284</v>
      </c>
      <c r="AE1738" s="23" t="n">
        <v>0.85</v>
      </c>
      <c r="AF1738" s="23" t="n">
        <v>0</v>
      </c>
      <c r="AG1738" s="23" t="n">
        <v>0.67</v>
      </c>
      <c r="AH1738" s="23" t="n">
        <v>0.33</v>
      </c>
      <c r="AI1738" s="23" t="n">
        <v>0.6</v>
      </c>
      <c r="AJ1738" s="23" t="n">
        <v>0.49</v>
      </c>
      <c r="AK1738" s="23" t="n">
        <v>1</v>
      </c>
      <c r="AL1738" s="23" t="n">
        <v>0</v>
      </c>
      <c r="AM1738" s="16" t="n">
        <f aca="false">COUNTIFS($D$2:$D$2501,D1738,$G$2:$G$2501,"&gt;"&amp;G1738)+COUNTIFS($D$2:D1738,D1738,$G$2:G1738,G1738)</f>
        <v>819</v>
      </c>
      <c r="AN1738" s="5" t="str">
        <f aca="false">D1738&amp;"|"&amp;AM1738</f>
        <v>分析與報告生成|819</v>
      </c>
    </row>
    <row r="1739" customFormat="false" ht="17.15" hidden="false" customHeight="false" outlineLevel="0" collapsed="false">
      <c r="A1739" s="16" t="n">
        <f aca="false">RANK(G1739,$G$2:$G$2501)+COUNTIF($G$2:G1739,G1739)-1</f>
        <v>1738</v>
      </c>
      <c r="B1739" s="11" t="s">
        <v>4285</v>
      </c>
      <c r="C1739" s="11" t="s">
        <v>258</v>
      </c>
      <c r="D1739" s="5" t="s">
        <v>56</v>
      </c>
      <c r="E1739" s="5" t="s">
        <v>57</v>
      </c>
      <c r="F1739" s="5"/>
      <c r="G1739" s="22" t="n">
        <f aca="false">ROUND(SUM(I1739:P1739),3)</f>
        <v>56.398</v>
      </c>
      <c r="H1739" s="5" t="str">
        <f aca="false">IF(G1739&gt;=評分方法!$C$16,"優先評估",IF(G1739&gt;=評分方法!$C$17,"列入候選",IF(G1739&gt;=評分方法!$C$18,"特定情境","不建議")))</f>
        <v>不建議</v>
      </c>
      <c r="I1739" s="15" t="n">
        <f aca="false">AE1739*評分方法!$C$5</f>
        <v>25.5</v>
      </c>
      <c r="J1739" s="15" t="n">
        <f aca="false">AF1739*評分方法!$C$6</f>
        <v>0</v>
      </c>
      <c r="K1739" s="15" t="n">
        <f aca="false">AG1739*評分方法!$C$7</f>
        <v>15</v>
      </c>
      <c r="L1739" s="15" t="n">
        <f aca="false">AH1739*評分方法!$C$8</f>
        <v>1.95</v>
      </c>
      <c r="M1739" s="15" t="n">
        <f aca="false">AI1739*評分方法!$C$9</f>
        <v>6</v>
      </c>
      <c r="N1739" s="15" t="n">
        <f aca="false">AJ1739*評分方法!$C$10</f>
        <v>6.948</v>
      </c>
      <c r="O1739" s="15" t="n">
        <f aca="false">AK1739*評分方法!$C$11</f>
        <v>1</v>
      </c>
      <c r="P1739" s="15" t="n">
        <f aca="false">AL1739*評分方法!$C$12</f>
        <v>0</v>
      </c>
      <c r="Q1739" s="6" t="n">
        <v>894466</v>
      </c>
      <c r="R1739" s="6" t="n">
        <v>405853388800</v>
      </c>
      <c r="S1739" s="11" t="s">
        <v>1616</v>
      </c>
      <c r="T1739" s="11" t="s">
        <v>259</v>
      </c>
      <c r="U1739" s="5" t="s">
        <v>260</v>
      </c>
      <c r="V1739" s="11" t="s">
        <v>324</v>
      </c>
      <c r="W1739" s="5" t="s">
        <v>205</v>
      </c>
      <c r="X1739" s="5" t="s">
        <v>242</v>
      </c>
      <c r="Y1739" s="5"/>
      <c r="Z1739" s="5"/>
      <c r="AA1739" s="11" t="s">
        <v>155</v>
      </c>
      <c r="AB1739" s="5" t="s">
        <v>245</v>
      </c>
      <c r="AC1739" s="5" t="s">
        <v>262</v>
      </c>
      <c r="AD1739" s="11" t="s">
        <v>4286</v>
      </c>
      <c r="AE1739" s="23" t="n">
        <v>0.85</v>
      </c>
      <c r="AF1739" s="23" t="n">
        <v>0</v>
      </c>
      <c r="AG1739" s="23" t="n">
        <v>1</v>
      </c>
      <c r="AH1739" s="23" t="n">
        <v>0.13</v>
      </c>
      <c r="AI1739" s="23" t="n">
        <v>0.6</v>
      </c>
      <c r="AJ1739" s="23" t="n">
        <v>0.6948</v>
      </c>
      <c r="AK1739" s="23" t="n">
        <v>0.2</v>
      </c>
      <c r="AL1739" s="23" t="n">
        <v>0</v>
      </c>
      <c r="AM1739" s="16" t="n">
        <f aca="false">COUNTIFS($D$2:$D$2501,D1739,$G$2:$G$2501,"&gt;"&amp;G1739)+COUNTIFS($D$2:D1739,D1739,$G$2:G1739,G1739)</f>
        <v>820</v>
      </c>
      <c r="AN1739" s="5" t="str">
        <f aca="false">D1739&amp;"|"&amp;AM1739</f>
        <v>分析與報告生成|820</v>
      </c>
    </row>
    <row r="1740" customFormat="false" ht="17.15" hidden="false" customHeight="false" outlineLevel="0" collapsed="false">
      <c r="A1740" s="16" t="n">
        <f aca="false">RANK(G1740,$G$2:$G$2501)+COUNTIF($G$2:G1740,G1740)-1</f>
        <v>1739</v>
      </c>
      <c r="B1740" s="11" t="s">
        <v>4287</v>
      </c>
      <c r="C1740" s="11" t="s">
        <v>4288</v>
      </c>
      <c r="D1740" s="5" t="s">
        <v>56</v>
      </c>
      <c r="E1740" s="5" t="s">
        <v>57</v>
      </c>
      <c r="F1740" s="5"/>
      <c r="G1740" s="22" t="n">
        <f aca="false">ROUND(SUM(I1740:P1740),3)</f>
        <v>56.39</v>
      </c>
      <c r="H1740" s="5" t="str">
        <f aca="false">IF(G1740&gt;=評分方法!$C$16,"優先評估",IF(G1740&gt;=評分方法!$C$17,"列入候選",IF(G1740&gt;=評分方法!$C$18,"特定情境","不建議")))</f>
        <v>不建議</v>
      </c>
      <c r="I1740" s="15" t="n">
        <f aca="false">AE1740*評分方法!$C$5</f>
        <v>18</v>
      </c>
      <c r="J1740" s="15" t="n">
        <f aca="false">AF1740*評分方法!$C$6</f>
        <v>0</v>
      </c>
      <c r="K1740" s="15" t="n">
        <f aca="false">AG1740*評分方法!$C$7</f>
        <v>4.95</v>
      </c>
      <c r="L1740" s="15" t="n">
        <f aca="false">AH1740*評分方法!$C$8</f>
        <v>15</v>
      </c>
      <c r="M1740" s="15" t="n">
        <f aca="false">AI1740*評分方法!$C$9</f>
        <v>10</v>
      </c>
      <c r="N1740" s="15" t="n">
        <f aca="false">AJ1740*評分方法!$C$10</f>
        <v>5.94</v>
      </c>
      <c r="O1740" s="15" t="n">
        <f aca="false">AK1740*評分方法!$C$11</f>
        <v>1</v>
      </c>
      <c r="P1740" s="15" t="n">
        <f aca="false">AL1740*評分方法!$C$12</f>
        <v>1.5</v>
      </c>
      <c r="Q1740" s="6" t="n">
        <v>612001</v>
      </c>
      <c r="R1740" s="6" t="n">
        <v>222903552</v>
      </c>
      <c r="S1740" s="11" t="s">
        <v>238</v>
      </c>
      <c r="T1740" s="11" t="s">
        <v>239</v>
      </c>
      <c r="U1740" s="5" t="s">
        <v>240</v>
      </c>
      <c r="V1740" s="11" t="s">
        <v>324</v>
      </c>
      <c r="W1740" s="5" t="s">
        <v>334</v>
      </c>
      <c r="X1740" s="5" t="s">
        <v>255</v>
      </c>
      <c r="Y1740" s="5"/>
      <c r="Z1740" s="5"/>
      <c r="AA1740" s="11" t="s">
        <v>161</v>
      </c>
      <c r="AB1740" s="5" t="s">
        <v>983</v>
      </c>
      <c r="AC1740" s="5" t="s">
        <v>984</v>
      </c>
      <c r="AD1740" s="11" t="s">
        <v>4289</v>
      </c>
      <c r="AE1740" s="23" t="n">
        <v>0.6</v>
      </c>
      <c r="AF1740" s="23" t="n">
        <v>0</v>
      </c>
      <c r="AG1740" s="23" t="n">
        <v>0.33</v>
      </c>
      <c r="AH1740" s="23" t="n">
        <v>1</v>
      </c>
      <c r="AI1740" s="23" t="n">
        <v>1</v>
      </c>
      <c r="AJ1740" s="23" t="n">
        <v>0.594</v>
      </c>
      <c r="AK1740" s="23" t="n">
        <v>0.2</v>
      </c>
      <c r="AL1740" s="23" t="n">
        <v>0.3</v>
      </c>
      <c r="AM1740" s="16" t="n">
        <f aca="false">COUNTIFS($D$2:$D$2501,D1740,$G$2:$G$2501,"&gt;"&amp;G1740)+COUNTIFS($D$2:D1740,D1740,$G$2:G1740,G1740)</f>
        <v>821</v>
      </c>
      <c r="AN1740" s="5" t="str">
        <f aca="false">D1740&amp;"|"&amp;AM1740</f>
        <v>分析與報告生成|821</v>
      </c>
    </row>
    <row r="1741" customFormat="false" ht="17.15" hidden="false" customHeight="false" outlineLevel="0" collapsed="false">
      <c r="A1741" s="16" t="n">
        <f aca="false">RANK(G1741,$G$2:$G$2501)+COUNTIF($G$2:G1741,G1741)-1</f>
        <v>1740</v>
      </c>
      <c r="B1741" s="11" t="s">
        <v>4290</v>
      </c>
      <c r="C1741" s="11" t="s">
        <v>4291</v>
      </c>
      <c r="D1741" s="5" t="s">
        <v>56</v>
      </c>
      <c r="E1741" s="5" t="s">
        <v>57</v>
      </c>
      <c r="F1741" s="5"/>
      <c r="G1741" s="22" t="n">
        <f aca="false">ROUND(SUM(I1741:P1741),3)</f>
        <v>56.384</v>
      </c>
      <c r="H1741" s="5" t="str">
        <f aca="false">IF(G1741&gt;=評分方法!$C$16,"優先評估",IF(G1741&gt;=評分方法!$C$17,"列入候選",IF(G1741&gt;=評分方法!$C$18,"特定情境","不建議")))</f>
        <v>不建議</v>
      </c>
      <c r="I1741" s="15" t="n">
        <f aca="false">AE1741*評分方法!$C$5</f>
        <v>25.5</v>
      </c>
      <c r="J1741" s="15" t="n">
        <f aca="false">AF1741*評分方法!$C$6</f>
        <v>0</v>
      </c>
      <c r="K1741" s="15" t="n">
        <f aca="false">AG1741*評分方法!$C$7</f>
        <v>4.95</v>
      </c>
      <c r="L1741" s="15" t="n">
        <f aca="false">AH1741*評分方法!$C$8</f>
        <v>13.05</v>
      </c>
      <c r="M1741" s="15" t="n">
        <f aca="false">AI1741*評分方法!$C$9</f>
        <v>2</v>
      </c>
      <c r="N1741" s="15" t="n">
        <f aca="false">AJ1741*評分方法!$C$10</f>
        <v>3.884</v>
      </c>
      <c r="O1741" s="15" t="n">
        <f aca="false">AK1741*評分方法!$C$11</f>
        <v>4</v>
      </c>
      <c r="P1741" s="15" t="n">
        <f aca="false">AL1741*評分方法!$C$12</f>
        <v>3</v>
      </c>
      <c r="Q1741" s="6" t="n">
        <v>401256</v>
      </c>
      <c r="R1741" s="6" t="n">
        <v>4805237482</v>
      </c>
      <c r="S1741" s="11" t="s">
        <v>254</v>
      </c>
      <c r="T1741" s="5"/>
      <c r="U1741" s="5" t="s">
        <v>375</v>
      </c>
      <c r="V1741" s="11" t="s">
        <v>261</v>
      </c>
      <c r="W1741" s="5" t="s">
        <v>334</v>
      </c>
      <c r="X1741" s="5" t="s">
        <v>371</v>
      </c>
      <c r="Y1741" s="11" t="s">
        <v>422</v>
      </c>
      <c r="Z1741" s="11" t="s">
        <v>244</v>
      </c>
      <c r="AA1741" s="11" t="s">
        <v>156</v>
      </c>
      <c r="AB1741" s="5" t="s">
        <v>245</v>
      </c>
      <c r="AC1741" s="5" t="s">
        <v>464</v>
      </c>
      <c r="AD1741" s="11" t="s">
        <v>4292</v>
      </c>
      <c r="AE1741" s="23" t="n">
        <v>0.85</v>
      </c>
      <c r="AF1741" s="23" t="n">
        <v>0</v>
      </c>
      <c r="AG1741" s="23" t="n">
        <v>0.33</v>
      </c>
      <c r="AH1741" s="23" t="n">
        <v>0.87</v>
      </c>
      <c r="AI1741" s="23" t="n">
        <v>0.2</v>
      </c>
      <c r="AJ1741" s="23" t="n">
        <v>0.3884</v>
      </c>
      <c r="AK1741" s="23" t="n">
        <v>0.8</v>
      </c>
      <c r="AL1741" s="23" t="n">
        <v>0.6</v>
      </c>
      <c r="AM1741" s="16" t="n">
        <f aca="false">COUNTIFS($D$2:$D$2501,D1741,$G$2:$G$2501,"&gt;"&amp;G1741)+COUNTIFS($D$2:D1741,D1741,$G$2:G1741,G1741)</f>
        <v>822</v>
      </c>
      <c r="AN1741" s="5" t="str">
        <f aca="false">D1741&amp;"|"&amp;AM1741</f>
        <v>分析與報告生成|822</v>
      </c>
    </row>
    <row r="1742" customFormat="false" ht="17.15" hidden="false" customHeight="false" outlineLevel="0" collapsed="false">
      <c r="A1742" s="16" t="n">
        <f aca="false">RANK(G1742,$G$2:$G$2501)+COUNTIF($G$2:G1742,G1742)-1</f>
        <v>1741</v>
      </c>
      <c r="B1742" s="11" t="s">
        <v>4293</v>
      </c>
      <c r="C1742" s="11" t="s">
        <v>2693</v>
      </c>
      <c r="D1742" s="5" t="s">
        <v>74</v>
      </c>
      <c r="E1742" s="5" t="s">
        <v>75</v>
      </c>
      <c r="F1742" s="5"/>
      <c r="G1742" s="22" t="n">
        <f aca="false">ROUND(SUM(I1742:P1742),3)</f>
        <v>56.368</v>
      </c>
      <c r="H1742" s="5" t="str">
        <f aca="false">IF(G1742&gt;=評分方法!$C$16,"優先評估",IF(G1742&gt;=評分方法!$C$17,"列入候選",IF(G1742&gt;=評分方法!$C$18,"特定情境","不建議")))</f>
        <v>不建議</v>
      </c>
      <c r="I1742" s="15" t="n">
        <f aca="false">AE1742*評分方法!$C$5</f>
        <v>10.5</v>
      </c>
      <c r="J1742" s="15" t="n">
        <f aca="false">AF1742*評分方法!$C$6</f>
        <v>0</v>
      </c>
      <c r="K1742" s="15" t="n">
        <f aca="false">AG1742*評分方法!$C$7</f>
        <v>15</v>
      </c>
      <c r="L1742" s="15" t="n">
        <f aca="false">AH1742*評分方法!$C$8</f>
        <v>15</v>
      </c>
      <c r="M1742" s="15" t="n">
        <f aca="false">AI1742*評分方法!$C$9</f>
        <v>10</v>
      </c>
      <c r="N1742" s="15" t="n">
        <f aca="false">AJ1742*評分方法!$C$10</f>
        <v>1.868</v>
      </c>
      <c r="O1742" s="15" t="n">
        <f aca="false">AK1742*評分方法!$C$11</f>
        <v>2.5</v>
      </c>
      <c r="P1742" s="15" t="n">
        <f aca="false">AL1742*評分方法!$C$12</f>
        <v>1.5</v>
      </c>
      <c r="Q1742" s="6" t="n">
        <v>200781</v>
      </c>
      <c r="R1742" s="6" t="n">
        <v>27547816</v>
      </c>
      <c r="S1742" s="11" t="s">
        <v>238</v>
      </c>
      <c r="T1742" s="11" t="s">
        <v>239</v>
      </c>
      <c r="U1742" s="5" t="s">
        <v>240</v>
      </c>
      <c r="V1742" s="11" t="s">
        <v>324</v>
      </c>
      <c r="W1742" s="5" t="s">
        <v>205</v>
      </c>
      <c r="X1742" s="5" t="s">
        <v>255</v>
      </c>
      <c r="Y1742" s="5"/>
      <c r="Z1742" s="5"/>
      <c r="AA1742" s="11" t="s">
        <v>172</v>
      </c>
      <c r="AB1742" s="5" t="s">
        <v>245</v>
      </c>
      <c r="AC1742" s="5"/>
      <c r="AD1742" s="11" t="s">
        <v>4294</v>
      </c>
      <c r="AE1742" s="23" t="n">
        <v>0.35</v>
      </c>
      <c r="AF1742" s="23" t="n">
        <v>0</v>
      </c>
      <c r="AG1742" s="23" t="n">
        <v>1</v>
      </c>
      <c r="AH1742" s="23" t="n">
        <v>1</v>
      </c>
      <c r="AI1742" s="23" t="n">
        <v>1</v>
      </c>
      <c r="AJ1742" s="23" t="n">
        <v>0.1868</v>
      </c>
      <c r="AK1742" s="23" t="n">
        <v>0.5</v>
      </c>
      <c r="AL1742" s="23" t="n">
        <v>0.3</v>
      </c>
      <c r="AM1742" s="16" t="n">
        <f aca="false">COUNTIFS($D$2:$D$2501,D1742,$G$2:$G$2501,"&gt;"&amp;G1742)+COUNTIFS($D$2:D1742,D1742,$G$2:G1742,G1742)</f>
        <v>174</v>
      </c>
      <c r="AN1742" s="5" t="str">
        <f aca="false">D1742&amp;"|"&amp;AM1742</f>
        <v>文件與影像辨識|174</v>
      </c>
    </row>
    <row r="1743" customFormat="false" ht="17.15" hidden="false" customHeight="false" outlineLevel="0" collapsed="false">
      <c r="A1743" s="16" t="n">
        <f aca="false">RANK(G1743,$G$2:$G$2501)+COUNTIF($G$2:G1743,G1743)-1</f>
        <v>1742</v>
      </c>
      <c r="B1743" s="11" t="s">
        <v>4295</v>
      </c>
      <c r="C1743" s="11" t="s">
        <v>2693</v>
      </c>
      <c r="D1743" s="5" t="s">
        <v>74</v>
      </c>
      <c r="E1743" s="5" t="s">
        <v>75</v>
      </c>
      <c r="F1743" s="5"/>
      <c r="G1743" s="22" t="n">
        <f aca="false">ROUND(SUM(I1743:P1743),3)</f>
        <v>56.352</v>
      </c>
      <c r="H1743" s="5" t="str">
        <f aca="false">IF(G1743&gt;=評分方法!$C$16,"優先評估",IF(G1743&gt;=評分方法!$C$17,"列入候選",IF(G1743&gt;=評分方法!$C$18,"特定情境","不建議")))</f>
        <v>不建議</v>
      </c>
      <c r="I1743" s="15" t="n">
        <f aca="false">AE1743*評分方法!$C$5</f>
        <v>10.5</v>
      </c>
      <c r="J1743" s="15" t="n">
        <f aca="false">AF1743*評分方法!$C$6</f>
        <v>0</v>
      </c>
      <c r="K1743" s="15" t="n">
        <f aca="false">AG1743*評分方法!$C$7</f>
        <v>15</v>
      </c>
      <c r="L1743" s="15" t="n">
        <f aca="false">AH1743*評分方法!$C$8</f>
        <v>15</v>
      </c>
      <c r="M1743" s="15" t="n">
        <f aca="false">AI1743*評分方法!$C$9</f>
        <v>10</v>
      </c>
      <c r="N1743" s="15" t="n">
        <f aca="false">AJ1743*評分方法!$C$10</f>
        <v>1.852</v>
      </c>
      <c r="O1743" s="15" t="n">
        <f aca="false">AK1743*評分方法!$C$11</f>
        <v>2.5</v>
      </c>
      <c r="P1743" s="15" t="n">
        <f aca="false">AL1743*評分方法!$C$12</f>
        <v>1.5</v>
      </c>
      <c r="Q1743" s="6" t="n">
        <v>199247</v>
      </c>
      <c r="R1743" s="6" t="n">
        <v>23869000</v>
      </c>
      <c r="S1743" s="11" t="s">
        <v>238</v>
      </c>
      <c r="T1743" s="11" t="s">
        <v>239</v>
      </c>
      <c r="U1743" s="5" t="s">
        <v>240</v>
      </c>
      <c r="V1743" s="11" t="s">
        <v>324</v>
      </c>
      <c r="W1743" s="5" t="s">
        <v>205</v>
      </c>
      <c r="X1743" s="5" t="s">
        <v>255</v>
      </c>
      <c r="Y1743" s="5"/>
      <c r="Z1743" s="5"/>
      <c r="AA1743" s="11" t="s">
        <v>172</v>
      </c>
      <c r="AB1743" s="5" t="s">
        <v>245</v>
      </c>
      <c r="AC1743" s="5"/>
      <c r="AD1743" s="11" t="s">
        <v>4296</v>
      </c>
      <c r="AE1743" s="23" t="n">
        <v>0.35</v>
      </c>
      <c r="AF1743" s="23" t="n">
        <v>0</v>
      </c>
      <c r="AG1743" s="23" t="n">
        <v>1</v>
      </c>
      <c r="AH1743" s="23" t="n">
        <v>1</v>
      </c>
      <c r="AI1743" s="23" t="n">
        <v>1</v>
      </c>
      <c r="AJ1743" s="23" t="n">
        <v>0.1852</v>
      </c>
      <c r="AK1743" s="23" t="n">
        <v>0.5</v>
      </c>
      <c r="AL1743" s="23" t="n">
        <v>0.3</v>
      </c>
      <c r="AM1743" s="16" t="n">
        <f aca="false">COUNTIFS($D$2:$D$2501,D1743,$G$2:$G$2501,"&gt;"&amp;G1743)+COUNTIFS($D$2:D1743,D1743,$G$2:G1743,G1743)</f>
        <v>175</v>
      </c>
      <c r="AN1743" s="5" t="str">
        <f aca="false">D1743&amp;"|"&amp;AM1743</f>
        <v>文件與影像辨識|175</v>
      </c>
    </row>
    <row r="1744" customFormat="false" ht="17.15" hidden="false" customHeight="false" outlineLevel="0" collapsed="false">
      <c r="A1744" s="16" t="n">
        <f aca="false">RANK(G1744,$G$2:$G$2501)+COUNTIF($G$2:G1744,G1744)-1</f>
        <v>1743</v>
      </c>
      <c r="B1744" s="11" t="s">
        <v>4297</v>
      </c>
      <c r="C1744" s="11" t="s">
        <v>308</v>
      </c>
      <c r="D1744" s="5" t="s">
        <v>74</v>
      </c>
      <c r="E1744" s="5" t="s">
        <v>75</v>
      </c>
      <c r="F1744" s="5"/>
      <c r="G1744" s="22" t="n">
        <f aca="false">ROUND(SUM(I1744:P1744),3)</f>
        <v>56.34</v>
      </c>
      <c r="H1744" s="5" t="str">
        <f aca="false">IF(G1744&gt;=評分方法!$C$16,"優先評估",IF(G1744&gt;=評分方法!$C$17,"列入候選",IF(G1744&gt;=評分方法!$C$18,"特定情境","不建議")))</f>
        <v>不建議</v>
      </c>
      <c r="I1744" s="15" t="n">
        <f aca="false">AE1744*評分方法!$C$5</f>
        <v>13.5</v>
      </c>
      <c r="J1744" s="15" t="n">
        <f aca="false">AF1744*評分方法!$C$6</f>
        <v>0</v>
      </c>
      <c r="K1744" s="15" t="n">
        <f aca="false">AG1744*評分方法!$C$7</f>
        <v>15</v>
      </c>
      <c r="L1744" s="15" t="n">
        <f aca="false">AH1744*評分方法!$C$8</f>
        <v>15</v>
      </c>
      <c r="M1744" s="15" t="n">
        <f aca="false">AI1744*評分方法!$C$9</f>
        <v>2</v>
      </c>
      <c r="N1744" s="15" t="n">
        <f aca="false">AJ1744*評分方法!$C$10</f>
        <v>8.34</v>
      </c>
      <c r="O1744" s="15" t="n">
        <f aca="false">AK1744*評分方法!$C$11</f>
        <v>1</v>
      </c>
      <c r="P1744" s="15" t="n">
        <f aca="false">AL1744*評分方法!$C$12</f>
        <v>1.5</v>
      </c>
      <c r="Q1744" s="6" t="n">
        <v>1980424</v>
      </c>
      <c r="R1744" s="6" t="n">
        <v>333331200</v>
      </c>
      <c r="S1744" s="11" t="s">
        <v>238</v>
      </c>
      <c r="T1744" s="5"/>
      <c r="U1744" s="5" t="s">
        <v>375</v>
      </c>
      <c r="V1744" s="11" t="s">
        <v>324</v>
      </c>
      <c r="W1744" s="5" t="s">
        <v>205</v>
      </c>
      <c r="X1744" s="5" t="s">
        <v>255</v>
      </c>
      <c r="Y1744" s="5"/>
      <c r="Z1744" s="5"/>
      <c r="AA1744" s="11" t="s">
        <v>164</v>
      </c>
      <c r="AB1744" s="5" t="s">
        <v>245</v>
      </c>
      <c r="AC1744" s="5" t="s">
        <v>262</v>
      </c>
      <c r="AD1744" s="11" t="s">
        <v>4298</v>
      </c>
      <c r="AE1744" s="23" t="n">
        <v>0.45</v>
      </c>
      <c r="AF1744" s="23" t="n">
        <v>0</v>
      </c>
      <c r="AG1744" s="23" t="n">
        <v>1</v>
      </c>
      <c r="AH1744" s="23" t="n">
        <v>1</v>
      </c>
      <c r="AI1744" s="23" t="n">
        <v>0.2</v>
      </c>
      <c r="AJ1744" s="23" t="n">
        <v>0.834</v>
      </c>
      <c r="AK1744" s="23" t="n">
        <v>0.2</v>
      </c>
      <c r="AL1744" s="23" t="n">
        <v>0.3</v>
      </c>
      <c r="AM1744" s="16" t="n">
        <f aca="false">COUNTIFS($D$2:$D$2501,D1744,$G$2:$G$2501,"&gt;"&amp;G1744)+COUNTIFS($D$2:D1744,D1744,$G$2:G1744,G1744)</f>
        <v>176</v>
      </c>
      <c r="AN1744" s="5" t="str">
        <f aca="false">D1744&amp;"|"&amp;AM1744</f>
        <v>文件與影像辨識|176</v>
      </c>
    </row>
    <row r="1745" customFormat="false" ht="17.15" hidden="false" customHeight="false" outlineLevel="0" collapsed="false">
      <c r="A1745" s="16" t="n">
        <f aca="false">RANK(G1745,$G$2:$G$2501)+COUNTIF($G$2:G1745,G1745)-1</f>
        <v>1744</v>
      </c>
      <c r="B1745" s="11" t="s">
        <v>4299</v>
      </c>
      <c r="C1745" s="11" t="s">
        <v>753</v>
      </c>
      <c r="D1745" s="5" t="s">
        <v>56</v>
      </c>
      <c r="E1745" s="5" t="s">
        <v>57</v>
      </c>
      <c r="F1745" s="5"/>
      <c r="G1745" s="22" t="n">
        <f aca="false">ROUND(SUM(I1745:P1745),3)</f>
        <v>56.334</v>
      </c>
      <c r="H1745" s="5" t="str">
        <f aca="false">IF(G1745&gt;=評分方法!$C$16,"優先評估",IF(G1745&gt;=評分方法!$C$17,"列入候選",IF(G1745&gt;=評分方法!$C$18,"特定情境","不建議")))</f>
        <v>不建議</v>
      </c>
      <c r="I1745" s="15" t="n">
        <f aca="false">AE1745*評分方法!$C$5</f>
        <v>25.5</v>
      </c>
      <c r="J1745" s="15" t="n">
        <f aca="false">AF1745*評分方法!$C$6</f>
        <v>0</v>
      </c>
      <c r="K1745" s="15" t="n">
        <f aca="false">AG1745*評分方法!$C$7</f>
        <v>10.05</v>
      </c>
      <c r="L1745" s="15" t="n">
        <f aca="false">AH1745*評分方法!$C$8</f>
        <v>9</v>
      </c>
      <c r="M1745" s="15" t="n">
        <f aca="false">AI1745*評分方法!$C$9</f>
        <v>6</v>
      </c>
      <c r="N1745" s="15" t="n">
        <f aca="false">AJ1745*評分方法!$C$10</f>
        <v>1.784</v>
      </c>
      <c r="O1745" s="15" t="n">
        <f aca="false">AK1745*評分方法!$C$11</f>
        <v>4</v>
      </c>
      <c r="P1745" s="15" t="n">
        <f aca="false">AL1745*評分方法!$C$12</f>
        <v>0</v>
      </c>
      <c r="Q1745" s="6" t="n">
        <v>194390</v>
      </c>
      <c r="R1745" s="6" t="n">
        <v>31577937344</v>
      </c>
      <c r="S1745" s="11" t="s">
        <v>389</v>
      </c>
      <c r="T1745" s="11" t="s">
        <v>185</v>
      </c>
      <c r="U1745" s="5" t="s">
        <v>260</v>
      </c>
      <c r="V1745" s="11" t="s">
        <v>261</v>
      </c>
      <c r="W1745" s="5" t="s">
        <v>207</v>
      </c>
      <c r="X1745" s="5" t="s">
        <v>242</v>
      </c>
      <c r="Y1745" s="11" t="s">
        <v>3229</v>
      </c>
      <c r="Z1745" s="11" t="s">
        <v>270</v>
      </c>
      <c r="AA1745" s="11" t="s">
        <v>155</v>
      </c>
      <c r="AB1745" s="5" t="s">
        <v>245</v>
      </c>
      <c r="AC1745" s="5" t="s">
        <v>262</v>
      </c>
      <c r="AD1745" s="11" t="s">
        <v>4300</v>
      </c>
      <c r="AE1745" s="23" t="n">
        <v>0.85</v>
      </c>
      <c r="AF1745" s="23" t="n">
        <v>0</v>
      </c>
      <c r="AG1745" s="23" t="n">
        <v>0.67</v>
      </c>
      <c r="AH1745" s="23" t="n">
        <v>0.6</v>
      </c>
      <c r="AI1745" s="23" t="n">
        <v>0.6</v>
      </c>
      <c r="AJ1745" s="23" t="n">
        <v>0.1784</v>
      </c>
      <c r="AK1745" s="23" t="n">
        <v>0.8</v>
      </c>
      <c r="AL1745" s="23" t="n">
        <v>0</v>
      </c>
      <c r="AM1745" s="16" t="n">
        <f aca="false">COUNTIFS($D$2:$D$2501,D1745,$G$2:$G$2501,"&gt;"&amp;G1745)+COUNTIFS($D$2:D1745,D1745,$G$2:G1745,G1745)</f>
        <v>823</v>
      </c>
      <c r="AN1745" s="5" t="str">
        <f aca="false">D1745&amp;"|"&amp;AM1745</f>
        <v>分析與報告生成|823</v>
      </c>
    </row>
    <row r="1746" customFormat="false" ht="17.15" hidden="false" customHeight="false" outlineLevel="0" collapsed="false">
      <c r="A1746" s="16" t="n">
        <f aca="false">RANK(G1746,$G$2:$G$2501)+COUNTIF($G$2:G1746,G1746)-1</f>
        <v>1745</v>
      </c>
      <c r="B1746" s="11" t="s">
        <v>4301</v>
      </c>
      <c r="C1746" s="11" t="s">
        <v>989</v>
      </c>
      <c r="D1746" s="5" t="s">
        <v>56</v>
      </c>
      <c r="E1746" s="5" t="s">
        <v>57</v>
      </c>
      <c r="F1746" s="5"/>
      <c r="G1746" s="22" t="n">
        <f aca="false">ROUND(SUM(I1746:P1746),3)</f>
        <v>56.306</v>
      </c>
      <c r="H1746" s="5" t="str">
        <f aca="false">IF(G1746&gt;=評分方法!$C$16,"優先評估",IF(G1746&gt;=評分方法!$C$17,"列入候選",IF(G1746&gt;=評分方法!$C$18,"特定情境","不建議")))</f>
        <v>不建議</v>
      </c>
      <c r="I1746" s="15" t="n">
        <f aca="false">AE1746*評分方法!$C$5</f>
        <v>25.5</v>
      </c>
      <c r="J1746" s="15" t="n">
        <f aca="false">AF1746*評分方法!$C$6</f>
        <v>0</v>
      </c>
      <c r="K1746" s="15" t="n">
        <f aca="false">AG1746*評分方法!$C$7</f>
        <v>10.05</v>
      </c>
      <c r="L1746" s="15" t="n">
        <f aca="false">AH1746*評分方法!$C$8</f>
        <v>9</v>
      </c>
      <c r="M1746" s="15" t="n">
        <f aca="false">AI1746*評分方法!$C$9</f>
        <v>6</v>
      </c>
      <c r="N1746" s="15" t="n">
        <f aca="false">AJ1746*評分方法!$C$10</f>
        <v>1.756</v>
      </c>
      <c r="O1746" s="15" t="n">
        <f aca="false">AK1746*評分方法!$C$11</f>
        <v>1</v>
      </c>
      <c r="P1746" s="15" t="n">
        <f aca="false">AL1746*評分方法!$C$12</f>
        <v>3</v>
      </c>
      <c r="Q1746" s="6" t="n">
        <v>193268</v>
      </c>
      <c r="R1746" s="6" t="n">
        <v>27227128320</v>
      </c>
      <c r="S1746" s="11" t="s">
        <v>389</v>
      </c>
      <c r="T1746" s="11" t="s">
        <v>658</v>
      </c>
      <c r="U1746" s="5" t="s">
        <v>260</v>
      </c>
      <c r="V1746" s="11" t="s">
        <v>333</v>
      </c>
      <c r="W1746" s="5" t="s">
        <v>207</v>
      </c>
      <c r="X1746" s="5" t="s">
        <v>371</v>
      </c>
      <c r="Y1746" s="11" t="s">
        <v>2954</v>
      </c>
      <c r="Z1746" s="11" t="s">
        <v>244</v>
      </c>
      <c r="AA1746" s="11" t="s">
        <v>155</v>
      </c>
      <c r="AB1746" s="5" t="s">
        <v>245</v>
      </c>
      <c r="AC1746" s="5" t="s">
        <v>464</v>
      </c>
      <c r="AD1746" s="11" t="s">
        <v>4302</v>
      </c>
      <c r="AE1746" s="23" t="n">
        <v>0.85</v>
      </c>
      <c r="AF1746" s="23" t="n">
        <v>0</v>
      </c>
      <c r="AG1746" s="23" t="n">
        <v>0.67</v>
      </c>
      <c r="AH1746" s="23" t="n">
        <v>0.6</v>
      </c>
      <c r="AI1746" s="23" t="n">
        <v>0.6</v>
      </c>
      <c r="AJ1746" s="23" t="n">
        <v>0.1756</v>
      </c>
      <c r="AK1746" s="23" t="n">
        <v>0.2</v>
      </c>
      <c r="AL1746" s="23" t="n">
        <v>0.6</v>
      </c>
      <c r="AM1746" s="16" t="n">
        <f aca="false">COUNTIFS($D$2:$D$2501,D1746,$G$2:$G$2501,"&gt;"&amp;G1746)+COUNTIFS($D$2:D1746,D1746,$G$2:G1746,G1746)</f>
        <v>824</v>
      </c>
      <c r="AN1746" s="5" t="str">
        <f aca="false">D1746&amp;"|"&amp;AM1746</f>
        <v>分析與報告生成|824</v>
      </c>
    </row>
    <row r="1747" customFormat="false" ht="17.15" hidden="false" customHeight="false" outlineLevel="0" collapsed="false">
      <c r="A1747" s="16" t="n">
        <f aca="false">RANK(G1747,$G$2:$G$2501)+COUNTIF($G$2:G1747,G1747)-1</f>
        <v>1746</v>
      </c>
      <c r="B1747" s="11" t="s">
        <v>4303</v>
      </c>
      <c r="C1747" s="11" t="s">
        <v>4304</v>
      </c>
      <c r="D1747" s="5" t="s">
        <v>56</v>
      </c>
      <c r="E1747" s="5" t="s">
        <v>57</v>
      </c>
      <c r="F1747" s="5"/>
      <c r="G1747" s="22" t="n">
        <f aca="false">ROUND(SUM(I1747:P1747),3)</f>
        <v>56.302</v>
      </c>
      <c r="H1747" s="5" t="str">
        <f aca="false">IF(G1747&gt;=評分方法!$C$16,"優先評估",IF(G1747&gt;=評分方法!$C$17,"列入候選",IF(G1747&gt;=評分方法!$C$18,"特定情境","不建議")))</f>
        <v>不建議</v>
      </c>
      <c r="I1747" s="15" t="n">
        <f aca="false">AE1747*評分方法!$C$5</f>
        <v>15.3</v>
      </c>
      <c r="J1747" s="15" t="n">
        <f aca="false">AF1747*評分方法!$C$6</f>
        <v>0</v>
      </c>
      <c r="K1747" s="15" t="n">
        <f aca="false">AG1747*評分方法!$C$7</f>
        <v>4.95</v>
      </c>
      <c r="L1747" s="15" t="n">
        <f aca="false">AH1747*評分方法!$C$8</f>
        <v>15</v>
      </c>
      <c r="M1747" s="15" t="n">
        <f aca="false">AI1747*評分方法!$C$9</f>
        <v>10</v>
      </c>
      <c r="N1747" s="15" t="n">
        <f aca="false">AJ1747*評分方法!$C$10</f>
        <v>8.552</v>
      </c>
      <c r="O1747" s="15" t="n">
        <f aca="false">AK1747*評分方法!$C$11</f>
        <v>2.5</v>
      </c>
      <c r="P1747" s="15" t="n">
        <f aca="false">AL1747*評分方法!$C$12</f>
        <v>0</v>
      </c>
      <c r="Q1747" s="6" t="n">
        <v>2391727</v>
      </c>
      <c r="R1747" s="6" t="n">
        <v>203611008</v>
      </c>
      <c r="S1747" s="11" t="s">
        <v>238</v>
      </c>
      <c r="T1747" s="11" t="s">
        <v>278</v>
      </c>
      <c r="U1747" s="5" t="s">
        <v>240</v>
      </c>
      <c r="V1747" s="11" t="s">
        <v>324</v>
      </c>
      <c r="W1747" s="5" t="s">
        <v>334</v>
      </c>
      <c r="X1747" s="5" t="s">
        <v>242</v>
      </c>
      <c r="Y1747" s="5"/>
      <c r="Z1747" s="5"/>
      <c r="AA1747" s="11" t="s">
        <v>155</v>
      </c>
      <c r="AB1747" s="5" t="s">
        <v>245</v>
      </c>
      <c r="AC1747" s="5" t="s">
        <v>1463</v>
      </c>
      <c r="AD1747" s="11" t="s">
        <v>4305</v>
      </c>
      <c r="AE1747" s="23" t="n">
        <v>0.51</v>
      </c>
      <c r="AF1747" s="23" t="n">
        <v>0</v>
      </c>
      <c r="AG1747" s="23" t="n">
        <v>0.33</v>
      </c>
      <c r="AH1747" s="23" t="n">
        <v>1</v>
      </c>
      <c r="AI1747" s="23" t="n">
        <v>1</v>
      </c>
      <c r="AJ1747" s="23" t="n">
        <v>0.8552</v>
      </c>
      <c r="AK1747" s="23" t="n">
        <v>0.5</v>
      </c>
      <c r="AL1747" s="23" t="n">
        <v>0</v>
      </c>
      <c r="AM1747" s="16" t="n">
        <f aca="false">COUNTIFS($D$2:$D$2501,D1747,$G$2:$G$2501,"&gt;"&amp;G1747)+COUNTIFS($D$2:D1747,D1747,$G$2:G1747,G1747)</f>
        <v>825</v>
      </c>
      <c r="AN1747" s="5" t="str">
        <f aca="false">D1747&amp;"|"&amp;AM1747</f>
        <v>分析與報告生成|825</v>
      </c>
    </row>
    <row r="1748" customFormat="false" ht="17.15" hidden="false" customHeight="false" outlineLevel="0" collapsed="false">
      <c r="A1748" s="16" t="n">
        <f aca="false">RANK(G1748,$G$2:$G$2501)+COUNTIF($G$2:G1748,G1748)-1</f>
        <v>1747</v>
      </c>
      <c r="B1748" s="11" t="s">
        <v>4306</v>
      </c>
      <c r="C1748" s="11" t="s">
        <v>4307</v>
      </c>
      <c r="D1748" s="5" t="s">
        <v>56</v>
      </c>
      <c r="E1748" s="5" t="s">
        <v>57</v>
      </c>
      <c r="F1748" s="5"/>
      <c r="G1748" s="22" t="n">
        <f aca="false">ROUND(SUM(I1748:P1748),3)</f>
        <v>56.278</v>
      </c>
      <c r="H1748" s="5" t="str">
        <f aca="false">IF(G1748&gt;=評分方法!$C$16,"優先評估",IF(G1748&gt;=評分方法!$C$17,"列入候選",IF(G1748&gt;=評分方法!$C$18,"特定情境","不建議")))</f>
        <v>不建議</v>
      </c>
      <c r="I1748" s="15" t="n">
        <f aca="false">AE1748*評分方法!$C$5</f>
        <v>25.5</v>
      </c>
      <c r="J1748" s="15" t="n">
        <f aca="false">AF1748*評分方法!$C$6</f>
        <v>0</v>
      </c>
      <c r="K1748" s="15" t="n">
        <f aca="false">AG1748*評分方法!$C$7</f>
        <v>4.95</v>
      </c>
      <c r="L1748" s="15" t="n">
        <f aca="false">AH1748*評分方法!$C$8</f>
        <v>15</v>
      </c>
      <c r="M1748" s="15" t="n">
        <f aca="false">AI1748*評分方法!$C$9</f>
        <v>2</v>
      </c>
      <c r="N1748" s="15" t="n">
        <f aca="false">AJ1748*評分方法!$C$10</f>
        <v>0.828</v>
      </c>
      <c r="O1748" s="15" t="n">
        <f aca="false">AK1748*評分方法!$C$11</f>
        <v>5</v>
      </c>
      <c r="P1748" s="15" t="n">
        <f aca="false">AL1748*評分方法!$C$12</f>
        <v>3</v>
      </c>
      <c r="Q1748" s="6" t="n">
        <v>147404</v>
      </c>
      <c r="R1748" s="6" t="n">
        <v>666914816</v>
      </c>
      <c r="S1748" s="11" t="s">
        <v>238</v>
      </c>
      <c r="T1748" s="5"/>
      <c r="U1748" s="5" t="s">
        <v>375</v>
      </c>
      <c r="V1748" s="11" t="s">
        <v>261</v>
      </c>
      <c r="W1748" s="5" t="s">
        <v>334</v>
      </c>
      <c r="X1748" s="5" t="s">
        <v>371</v>
      </c>
      <c r="Y1748" s="5"/>
      <c r="Z1748" s="5"/>
      <c r="AA1748" s="11" t="s">
        <v>155</v>
      </c>
      <c r="AB1748" s="5" t="s">
        <v>328</v>
      </c>
      <c r="AC1748" s="5" t="s">
        <v>329</v>
      </c>
      <c r="AD1748" s="11" t="s">
        <v>4308</v>
      </c>
      <c r="AE1748" s="23" t="n">
        <v>0.85</v>
      </c>
      <c r="AF1748" s="23" t="n">
        <v>0</v>
      </c>
      <c r="AG1748" s="23" t="n">
        <v>0.33</v>
      </c>
      <c r="AH1748" s="23" t="n">
        <v>1</v>
      </c>
      <c r="AI1748" s="23" t="n">
        <v>0.2</v>
      </c>
      <c r="AJ1748" s="23" t="n">
        <v>0.0828</v>
      </c>
      <c r="AK1748" s="23" t="n">
        <v>1</v>
      </c>
      <c r="AL1748" s="23" t="n">
        <v>0.6</v>
      </c>
      <c r="AM1748" s="16" t="n">
        <f aca="false">COUNTIFS($D$2:$D$2501,D1748,$G$2:$G$2501,"&gt;"&amp;G1748)+COUNTIFS($D$2:D1748,D1748,$G$2:G1748,G1748)</f>
        <v>826</v>
      </c>
      <c r="AN1748" s="5" t="str">
        <f aca="false">D1748&amp;"|"&amp;AM1748</f>
        <v>分析與報告生成|826</v>
      </c>
    </row>
    <row r="1749" customFormat="false" ht="17.15" hidden="false" customHeight="false" outlineLevel="0" collapsed="false">
      <c r="A1749" s="16" t="n">
        <f aca="false">RANK(G1749,$G$2:$G$2501)+COUNTIF($G$2:G1749,G1749)-1</f>
        <v>1748</v>
      </c>
      <c r="B1749" s="11" t="s">
        <v>4309</v>
      </c>
      <c r="C1749" s="11" t="s">
        <v>2693</v>
      </c>
      <c r="D1749" s="5" t="s">
        <v>74</v>
      </c>
      <c r="E1749" s="5" t="s">
        <v>75</v>
      </c>
      <c r="F1749" s="5"/>
      <c r="G1749" s="22" t="n">
        <f aca="false">ROUND(SUM(I1749:P1749),3)</f>
        <v>56.268</v>
      </c>
      <c r="H1749" s="5" t="str">
        <f aca="false">IF(G1749&gt;=評分方法!$C$16,"優先評估",IF(G1749&gt;=評分方法!$C$17,"列入候選",IF(G1749&gt;=評分方法!$C$18,"特定情境","不建議")))</f>
        <v>不建議</v>
      </c>
      <c r="I1749" s="15" t="n">
        <f aca="false">AE1749*評分方法!$C$5</f>
        <v>10.5</v>
      </c>
      <c r="J1749" s="15" t="n">
        <f aca="false">AF1749*評分方法!$C$6</f>
        <v>0</v>
      </c>
      <c r="K1749" s="15" t="n">
        <f aca="false">AG1749*評分方法!$C$7</f>
        <v>15</v>
      </c>
      <c r="L1749" s="15" t="n">
        <f aca="false">AH1749*評分方法!$C$8</f>
        <v>15</v>
      </c>
      <c r="M1749" s="15" t="n">
        <f aca="false">AI1749*評分方法!$C$9</f>
        <v>10</v>
      </c>
      <c r="N1749" s="15" t="n">
        <f aca="false">AJ1749*評分方法!$C$10</f>
        <v>1.768</v>
      </c>
      <c r="O1749" s="15" t="n">
        <f aca="false">AK1749*評分方法!$C$11</f>
        <v>2.5</v>
      </c>
      <c r="P1749" s="15" t="n">
        <f aca="false">AL1749*評分方法!$C$12</f>
        <v>1.5</v>
      </c>
      <c r="Q1749" s="6" t="n">
        <v>193629</v>
      </c>
      <c r="R1749" s="6" t="n">
        <v>66250417</v>
      </c>
      <c r="S1749" s="11" t="s">
        <v>238</v>
      </c>
      <c r="T1749" s="11" t="s">
        <v>239</v>
      </c>
      <c r="U1749" s="5" t="s">
        <v>240</v>
      </c>
      <c r="V1749" s="11" t="s">
        <v>324</v>
      </c>
      <c r="W1749" s="5" t="s">
        <v>205</v>
      </c>
      <c r="X1749" s="5" t="s">
        <v>255</v>
      </c>
      <c r="Y1749" s="5"/>
      <c r="Z1749" s="5"/>
      <c r="AA1749" s="11" t="s">
        <v>172</v>
      </c>
      <c r="AB1749" s="5" t="s">
        <v>245</v>
      </c>
      <c r="AC1749" s="5"/>
      <c r="AD1749" s="11" t="s">
        <v>4310</v>
      </c>
      <c r="AE1749" s="23" t="n">
        <v>0.35</v>
      </c>
      <c r="AF1749" s="23" t="n">
        <v>0</v>
      </c>
      <c r="AG1749" s="23" t="n">
        <v>1</v>
      </c>
      <c r="AH1749" s="23" t="n">
        <v>1</v>
      </c>
      <c r="AI1749" s="23" t="n">
        <v>1</v>
      </c>
      <c r="AJ1749" s="23" t="n">
        <v>0.1768</v>
      </c>
      <c r="AK1749" s="23" t="n">
        <v>0.5</v>
      </c>
      <c r="AL1749" s="23" t="n">
        <v>0.3</v>
      </c>
      <c r="AM1749" s="16" t="n">
        <f aca="false">COUNTIFS($D$2:$D$2501,D1749,$G$2:$G$2501,"&gt;"&amp;G1749)+COUNTIFS($D$2:D1749,D1749,$G$2:G1749,G1749)</f>
        <v>177</v>
      </c>
      <c r="AN1749" s="5" t="str">
        <f aca="false">D1749&amp;"|"&amp;AM1749</f>
        <v>文件與影像辨識|177</v>
      </c>
    </row>
    <row r="1750" customFormat="false" ht="17.15" hidden="false" customHeight="false" outlineLevel="0" collapsed="false">
      <c r="A1750" s="16" t="n">
        <f aca="false">RANK(G1750,$G$2:$G$2501)+COUNTIF($G$2:G1750,G1750)-1</f>
        <v>1749</v>
      </c>
      <c r="B1750" s="11" t="s">
        <v>4311</v>
      </c>
      <c r="C1750" s="11" t="s">
        <v>753</v>
      </c>
      <c r="D1750" s="5" t="s">
        <v>56</v>
      </c>
      <c r="E1750" s="5" t="s">
        <v>57</v>
      </c>
      <c r="F1750" s="5"/>
      <c r="G1750" s="22" t="n">
        <f aca="false">ROUND(SUM(I1750:P1750),3)</f>
        <v>56.246</v>
      </c>
      <c r="H1750" s="5" t="str">
        <f aca="false">IF(G1750&gt;=評分方法!$C$16,"優先評估",IF(G1750&gt;=評分方法!$C$17,"列入候選",IF(G1750&gt;=評分方法!$C$18,"特定情境","不建議")))</f>
        <v>不建議</v>
      </c>
      <c r="I1750" s="15" t="n">
        <f aca="false">AE1750*評分方法!$C$5</f>
        <v>25.5</v>
      </c>
      <c r="J1750" s="15" t="n">
        <f aca="false">AF1750*評分方法!$C$6</f>
        <v>0</v>
      </c>
      <c r="K1750" s="15" t="n">
        <f aca="false">AG1750*評分方法!$C$7</f>
        <v>10.05</v>
      </c>
      <c r="L1750" s="15" t="n">
        <f aca="false">AH1750*評分方法!$C$8</f>
        <v>9</v>
      </c>
      <c r="M1750" s="15" t="n">
        <f aca="false">AI1750*評分方法!$C$9</f>
        <v>6</v>
      </c>
      <c r="N1750" s="15" t="n">
        <f aca="false">AJ1750*評分方法!$C$10</f>
        <v>1.696</v>
      </c>
      <c r="O1750" s="15" t="n">
        <f aca="false">AK1750*評分方法!$C$11</f>
        <v>4</v>
      </c>
      <c r="P1750" s="15" t="n">
        <f aca="false">AL1750*評分方法!$C$12</f>
        <v>0</v>
      </c>
      <c r="Q1750" s="6" t="n">
        <v>190315</v>
      </c>
      <c r="R1750" s="6" t="n">
        <v>31577940288</v>
      </c>
      <c r="S1750" s="11" t="s">
        <v>389</v>
      </c>
      <c r="T1750" s="11" t="s">
        <v>185</v>
      </c>
      <c r="U1750" s="5" t="s">
        <v>260</v>
      </c>
      <c r="V1750" s="11" t="s">
        <v>333</v>
      </c>
      <c r="W1750" s="5" t="s">
        <v>207</v>
      </c>
      <c r="X1750" s="5" t="s">
        <v>242</v>
      </c>
      <c r="Y1750" s="11" t="s">
        <v>3229</v>
      </c>
      <c r="Z1750" s="11" t="s">
        <v>244</v>
      </c>
      <c r="AA1750" s="11" t="s">
        <v>155</v>
      </c>
      <c r="AB1750" s="5" t="s">
        <v>245</v>
      </c>
      <c r="AC1750" s="5" t="s">
        <v>464</v>
      </c>
      <c r="AD1750" s="11" t="s">
        <v>4312</v>
      </c>
      <c r="AE1750" s="23" t="n">
        <v>0.85</v>
      </c>
      <c r="AF1750" s="23" t="n">
        <v>0</v>
      </c>
      <c r="AG1750" s="23" t="n">
        <v>0.67</v>
      </c>
      <c r="AH1750" s="23" t="n">
        <v>0.6</v>
      </c>
      <c r="AI1750" s="23" t="n">
        <v>0.6</v>
      </c>
      <c r="AJ1750" s="23" t="n">
        <v>0.1696</v>
      </c>
      <c r="AK1750" s="23" t="n">
        <v>0.8</v>
      </c>
      <c r="AL1750" s="23" t="n">
        <v>0</v>
      </c>
      <c r="AM1750" s="16" t="n">
        <f aca="false">COUNTIFS($D$2:$D$2501,D1750,$G$2:$G$2501,"&gt;"&amp;G1750)+COUNTIFS($D$2:D1750,D1750,$G$2:G1750,G1750)</f>
        <v>827</v>
      </c>
      <c r="AN1750" s="5" t="str">
        <f aca="false">D1750&amp;"|"&amp;AM1750</f>
        <v>分析與報告生成|827</v>
      </c>
    </row>
    <row r="1751" customFormat="false" ht="17.15" hidden="false" customHeight="false" outlineLevel="0" collapsed="false">
      <c r="A1751" s="16" t="n">
        <f aca="false">RANK(G1751,$G$2:$G$2501)+COUNTIF($G$2:G1751,G1751)-1</f>
        <v>1750</v>
      </c>
      <c r="B1751" s="11" t="s">
        <v>4313</v>
      </c>
      <c r="C1751" s="11" t="s">
        <v>4314</v>
      </c>
      <c r="D1751" s="5" t="s">
        <v>56</v>
      </c>
      <c r="E1751" s="5" t="s">
        <v>57</v>
      </c>
      <c r="F1751" s="5"/>
      <c r="G1751" s="22" t="n">
        <f aca="false">ROUND(SUM(I1751:P1751),3)</f>
        <v>56.22</v>
      </c>
      <c r="H1751" s="5" t="str">
        <f aca="false">IF(G1751&gt;=評分方法!$C$16,"優先評估",IF(G1751&gt;=評分方法!$C$17,"列入候選",IF(G1751&gt;=評分方法!$C$18,"特定情境","不建議")))</f>
        <v>不建議</v>
      </c>
      <c r="I1751" s="15" t="n">
        <f aca="false">AE1751*評分方法!$C$5</f>
        <v>25.5</v>
      </c>
      <c r="J1751" s="15" t="n">
        <f aca="false">AF1751*評分方法!$C$6</f>
        <v>0</v>
      </c>
      <c r="K1751" s="15" t="n">
        <f aca="false">AG1751*評分方法!$C$7</f>
        <v>4.95</v>
      </c>
      <c r="L1751" s="15" t="n">
        <f aca="false">AH1751*評分方法!$C$8</f>
        <v>13.05</v>
      </c>
      <c r="M1751" s="15" t="n">
        <f aca="false">AI1751*評分方法!$C$9</f>
        <v>6</v>
      </c>
      <c r="N1751" s="15" t="n">
        <f aca="false">AJ1751*評分方法!$C$10</f>
        <v>2.72</v>
      </c>
      <c r="O1751" s="15" t="n">
        <f aca="false">AK1751*評分方法!$C$11</f>
        <v>1</v>
      </c>
      <c r="P1751" s="15" t="n">
        <f aca="false">AL1751*評分方法!$C$12</f>
        <v>3</v>
      </c>
      <c r="Q1751" s="6" t="n">
        <v>268204</v>
      </c>
      <c r="R1751" s="6" t="n">
        <v>2614341888</v>
      </c>
      <c r="S1751" s="11" t="s">
        <v>254</v>
      </c>
      <c r="T1751" s="11" t="s">
        <v>185</v>
      </c>
      <c r="U1751" s="5" t="s">
        <v>260</v>
      </c>
      <c r="V1751" s="11" t="s">
        <v>333</v>
      </c>
      <c r="W1751" s="5" t="s">
        <v>334</v>
      </c>
      <c r="X1751" s="5" t="s">
        <v>371</v>
      </c>
      <c r="Y1751" s="5"/>
      <c r="Z1751" s="5"/>
      <c r="AA1751" s="11" t="s">
        <v>155</v>
      </c>
      <c r="AB1751" s="5" t="s">
        <v>961</v>
      </c>
      <c r="AC1751" s="5" t="s">
        <v>1977</v>
      </c>
      <c r="AD1751" s="11" t="s">
        <v>4315</v>
      </c>
      <c r="AE1751" s="23" t="n">
        <v>0.85</v>
      </c>
      <c r="AF1751" s="23" t="n">
        <v>0</v>
      </c>
      <c r="AG1751" s="23" t="n">
        <v>0.33</v>
      </c>
      <c r="AH1751" s="23" t="n">
        <v>0.87</v>
      </c>
      <c r="AI1751" s="23" t="n">
        <v>0.6</v>
      </c>
      <c r="AJ1751" s="23" t="n">
        <v>0.272</v>
      </c>
      <c r="AK1751" s="23" t="n">
        <v>0.2</v>
      </c>
      <c r="AL1751" s="23" t="n">
        <v>0.6</v>
      </c>
      <c r="AM1751" s="16" t="n">
        <f aca="false">COUNTIFS($D$2:$D$2501,D1751,$G$2:$G$2501,"&gt;"&amp;G1751)+COUNTIFS($D$2:D1751,D1751,$G$2:G1751,G1751)</f>
        <v>828</v>
      </c>
      <c r="AN1751" s="5" t="str">
        <f aca="false">D1751&amp;"|"&amp;AM1751</f>
        <v>分析與報告生成|828</v>
      </c>
    </row>
    <row r="1752" customFormat="false" ht="17.15" hidden="false" customHeight="false" outlineLevel="0" collapsed="false">
      <c r="A1752" s="16" t="n">
        <f aca="false">RANK(G1752,$G$2:$G$2501)+COUNTIF($G$2:G1752,G1752)-1</f>
        <v>1751</v>
      </c>
      <c r="B1752" s="11" t="s">
        <v>4316</v>
      </c>
      <c r="C1752" s="11" t="s">
        <v>2693</v>
      </c>
      <c r="D1752" s="5" t="s">
        <v>74</v>
      </c>
      <c r="E1752" s="5" t="s">
        <v>75</v>
      </c>
      <c r="F1752" s="5"/>
      <c r="G1752" s="22" t="n">
        <f aca="false">ROUND(SUM(I1752:P1752),3)</f>
        <v>56.212</v>
      </c>
      <c r="H1752" s="5" t="str">
        <f aca="false">IF(G1752&gt;=評分方法!$C$16,"優先評估",IF(G1752&gt;=評分方法!$C$17,"列入候選",IF(G1752&gt;=評分方法!$C$18,"特定情境","不建議")))</f>
        <v>不建議</v>
      </c>
      <c r="I1752" s="15" t="n">
        <f aca="false">AE1752*評分方法!$C$5</f>
        <v>10.5</v>
      </c>
      <c r="J1752" s="15" t="n">
        <f aca="false">AF1752*評分方法!$C$6</f>
        <v>0</v>
      </c>
      <c r="K1752" s="15" t="n">
        <f aca="false">AG1752*評分方法!$C$7</f>
        <v>15</v>
      </c>
      <c r="L1752" s="15" t="n">
        <f aca="false">AH1752*評分方法!$C$8</f>
        <v>15</v>
      </c>
      <c r="M1752" s="15" t="n">
        <f aca="false">AI1752*評分方法!$C$9</f>
        <v>10</v>
      </c>
      <c r="N1752" s="15" t="n">
        <f aca="false">AJ1752*評分方法!$C$10</f>
        <v>1.712</v>
      </c>
      <c r="O1752" s="15" t="n">
        <f aca="false">AK1752*評分方法!$C$11</f>
        <v>2.5</v>
      </c>
      <c r="P1752" s="15" t="n">
        <f aca="false">AL1752*評分方法!$C$12</f>
        <v>1.5</v>
      </c>
      <c r="Q1752" s="6" t="n">
        <v>191656</v>
      </c>
      <c r="R1752" s="6" t="n">
        <v>200128168</v>
      </c>
      <c r="S1752" s="11" t="s">
        <v>238</v>
      </c>
      <c r="T1752" s="11" t="s">
        <v>239</v>
      </c>
      <c r="U1752" s="5" t="s">
        <v>240</v>
      </c>
      <c r="V1752" s="11" t="s">
        <v>324</v>
      </c>
      <c r="W1752" s="5" t="s">
        <v>205</v>
      </c>
      <c r="X1752" s="5" t="s">
        <v>255</v>
      </c>
      <c r="Y1752" s="5"/>
      <c r="Z1752" s="5"/>
      <c r="AA1752" s="11" t="s">
        <v>172</v>
      </c>
      <c r="AB1752" s="5" t="s">
        <v>245</v>
      </c>
      <c r="AC1752" s="5"/>
      <c r="AD1752" s="11" t="s">
        <v>4317</v>
      </c>
      <c r="AE1752" s="23" t="n">
        <v>0.35</v>
      </c>
      <c r="AF1752" s="23" t="n">
        <v>0</v>
      </c>
      <c r="AG1752" s="23" t="n">
        <v>1</v>
      </c>
      <c r="AH1752" s="23" t="n">
        <v>1</v>
      </c>
      <c r="AI1752" s="23" t="n">
        <v>1</v>
      </c>
      <c r="AJ1752" s="23" t="n">
        <v>0.1712</v>
      </c>
      <c r="AK1752" s="23" t="n">
        <v>0.5</v>
      </c>
      <c r="AL1752" s="23" t="n">
        <v>0.3</v>
      </c>
      <c r="AM1752" s="16" t="n">
        <f aca="false">COUNTIFS($D$2:$D$2501,D1752,$G$2:$G$2501,"&gt;"&amp;G1752)+COUNTIFS($D$2:D1752,D1752,$G$2:G1752,G1752)</f>
        <v>178</v>
      </c>
      <c r="AN1752" s="5" t="str">
        <f aca="false">D1752&amp;"|"&amp;AM1752</f>
        <v>文件與影像辨識|178</v>
      </c>
    </row>
    <row r="1753" customFormat="false" ht="17.15" hidden="false" customHeight="false" outlineLevel="0" collapsed="false">
      <c r="A1753" s="16" t="n">
        <f aca="false">RANK(G1753,$G$2:$G$2501)+COUNTIF($G$2:G1753,G1753)-1</f>
        <v>1752</v>
      </c>
      <c r="B1753" s="11" t="s">
        <v>4318</v>
      </c>
      <c r="C1753" s="11" t="s">
        <v>998</v>
      </c>
      <c r="D1753" s="5" t="s">
        <v>56</v>
      </c>
      <c r="E1753" s="5" t="s">
        <v>57</v>
      </c>
      <c r="F1753" s="5"/>
      <c r="G1753" s="22" t="n">
        <f aca="false">ROUND(SUM(I1753:P1753),3)</f>
        <v>56.202</v>
      </c>
      <c r="H1753" s="5" t="str">
        <f aca="false">IF(G1753&gt;=評分方法!$C$16,"優先評估",IF(G1753&gt;=評分方法!$C$17,"列入候選",IF(G1753&gt;=評分方法!$C$18,"特定情境","不建議")))</f>
        <v>不建議</v>
      </c>
      <c r="I1753" s="15" t="n">
        <f aca="false">AE1753*評分方法!$C$5</f>
        <v>25.5</v>
      </c>
      <c r="J1753" s="15" t="n">
        <f aca="false">AF1753*評分方法!$C$6</f>
        <v>0</v>
      </c>
      <c r="K1753" s="15" t="n">
        <f aca="false">AG1753*評分方法!$C$7</f>
        <v>10.05</v>
      </c>
      <c r="L1753" s="15" t="n">
        <f aca="false">AH1753*評分方法!$C$8</f>
        <v>9</v>
      </c>
      <c r="M1753" s="15" t="n">
        <f aca="false">AI1753*評分方法!$C$9</f>
        <v>6</v>
      </c>
      <c r="N1753" s="15" t="n">
        <f aca="false">AJ1753*評分方法!$C$10</f>
        <v>0.152</v>
      </c>
      <c r="O1753" s="15" t="n">
        <f aca="false">AK1753*評分方法!$C$11</f>
        <v>2.5</v>
      </c>
      <c r="P1753" s="15" t="n">
        <f aca="false">AL1753*評分方法!$C$12</f>
        <v>3</v>
      </c>
      <c r="Q1753" s="6" t="n">
        <v>120160</v>
      </c>
      <c r="R1753" s="6" t="n">
        <v>11765788416</v>
      </c>
      <c r="S1753" s="11" t="s">
        <v>389</v>
      </c>
      <c r="T1753" s="11" t="s">
        <v>658</v>
      </c>
      <c r="U1753" s="5" t="s">
        <v>260</v>
      </c>
      <c r="V1753" s="11" t="s">
        <v>333</v>
      </c>
      <c r="W1753" s="5" t="s">
        <v>207</v>
      </c>
      <c r="X1753" s="5" t="s">
        <v>371</v>
      </c>
      <c r="Y1753" s="11" t="s">
        <v>1303</v>
      </c>
      <c r="Z1753" s="11" t="s">
        <v>244</v>
      </c>
      <c r="AA1753" s="11" t="s">
        <v>156</v>
      </c>
      <c r="AB1753" s="5" t="s">
        <v>245</v>
      </c>
      <c r="AC1753" s="5" t="s">
        <v>464</v>
      </c>
      <c r="AD1753" s="11" t="s">
        <v>4319</v>
      </c>
      <c r="AE1753" s="23" t="n">
        <v>0.85</v>
      </c>
      <c r="AF1753" s="23" t="n">
        <v>0</v>
      </c>
      <c r="AG1753" s="23" t="n">
        <v>0.67</v>
      </c>
      <c r="AH1753" s="23" t="n">
        <v>0.6</v>
      </c>
      <c r="AI1753" s="23" t="n">
        <v>0.6</v>
      </c>
      <c r="AJ1753" s="23" t="n">
        <v>0.0152</v>
      </c>
      <c r="AK1753" s="23" t="n">
        <v>0.5</v>
      </c>
      <c r="AL1753" s="23" t="n">
        <v>0.6</v>
      </c>
      <c r="AM1753" s="16" t="n">
        <f aca="false">COUNTIFS($D$2:$D$2501,D1753,$G$2:$G$2501,"&gt;"&amp;G1753)+COUNTIFS($D$2:D1753,D1753,$G$2:G1753,G1753)</f>
        <v>829</v>
      </c>
      <c r="AN1753" s="5" t="str">
        <f aca="false">D1753&amp;"|"&amp;AM1753</f>
        <v>分析與報告生成|829</v>
      </c>
    </row>
    <row r="1754" customFormat="false" ht="17.15" hidden="false" customHeight="false" outlineLevel="0" collapsed="false">
      <c r="A1754" s="16" t="n">
        <f aca="false">RANK(G1754,$G$2:$G$2501)+COUNTIF($G$2:G1754,G1754)-1</f>
        <v>1753</v>
      </c>
      <c r="B1754" s="11" t="s">
        <v>4320</v>
      </c>
      <c r="C1754" s="11" t="s">
        <v>4003</v>
      </c>
      <c r="D1754" s="5" t="s">
        <v>56</v>
      </c>
      <c r="E1754" s="5" t="s">
        <v>57</v>
      </c>
      <c r="F1754" s="5"/>
      <c r="G1754" s="22" t="n">
        <f aca="false">ROUND(SUM(I1754:P1754),3)</f>
        <v>56.168</v>
      </c>
      <c r="H1754" s="5" t="str">
        <f aca="false">IF(G1754&gt;=評分方法!$C$16,"優先評估",IF(G1754&gt;=評分方法!$C$17,"列入候選",IF(G1754&gt;=評分方法!$C$18,"特定情境","不建議")))</f>
        <v>不建議</v>
      </c>
      <c r="I1754" s="15" t="n">
        <f aca="false">AE1754*評分方法!$C$5</f>
        <v>25.5</v>
      </c>
      <c r="J1754" s="15" t="n">
        <f aca="false">AF1754*評分方法!$C$6</f>
        <v>0</v>
      </c>
      <c r="K1754" s="15" t="n">
        <f aca="false">AG1754*評分方法!$C$7</f>
        <v>4.95</v>
      </c>
      <c r="L1754" s="15" t="n">
        <f aca="false">AH1754*評分方法!$C$8</f>
        <v>13.05</v>
      </c>
      <c r="M1754" s="15" t="n">
        <f aca="false">AI1754*評分方法!$C$9</f>
        <v>10</v>
      </c>
      <c r="N1754" s="15" t="n">
        <f aca="false">AJ1754*評分方法!$C$10</f>
        <v>1.668</v>
      </c>
      <c r="O1754" s="15" t="n">
        <f aca="false">AK1754*評分方法!$C$11</f>
        <v>1</v>
      </c>
      <c r="P1754" s="15" t="n">
        <f aca="false">AL1754*評分方法!$C$12</f>
        <v>0</v>
      </c>
      <c r="Q1754" s="6" t="n">
        <v>188758</v>
      </c>
      <c r="R1754" s="6" t="n">
        <v>8030261248</v>
      </c>
      <c r="S1754" s="11" t="s">
        <v>254</v>
      </c>
      <c r="T1754" s="11" t="s">
        <v>239</v>
      </c>
      <c r="U1754" s="5" t="s">
        <v>240</v>
      </c>
      <c r="V1754" s="11" t="s">
        <v>261</v>
      </c>
      <c r="W1754" s="5" t="s">
        <v>334</v>
      </c>
      <c r="X1754" s="5" t="s">
        <v>242</v>
      </c>
      <c r="Y1754" s="11" t="s">
        <v>1066</v>
      </c>
      <c r="Z1754" s="11" t="s">
        <v>270</v>
      </c>
      <c r="AA1754" s="11" t="s">
        <v>155</v>
      </c>
      <c r="AB1754" s="5" t="s">
        <v>496</v>
      </c>
      <c r="AC1754" s="5" t="s">
        <v>497</v>
      </c>
      <c r="AD1754" s="11" t="s">
        <v>4321</v>
      </c>
      <c r="AE1754" s="23" t="n">
        <v>0.85</v>
      </c>
      <c r="AF1754" s="23" t="n">
        <v>0</v>
      </c>
      <c r="AG1754" s="23" t="n">
        <v>0.33</v>
      </c>
      <c r="AH1754" s="23" t="n">
        <v>0.87</v>
      </c>
      <c r="AI1754" s="23" t="n">
        <v>1</v>
      </c>
      <c r="AJ1754" s="23" t="n">
        <v>0.1668</v>
      </c>
      <c r="AK1754" s="23" t="n">
        <v>0.2</v>
      </c>
      <c r="AL1754" s="23" t="n">
        <v>0</v>
      </c>
      <c r="AM1754" s="16" t="n">
        <f aca="false">COUNTIFS($D$2:$D$2501,D1754,$G$2:$G$2501,"&gt;"&amp;G1754)+COUNTIFS($D$2:D1754,D1754,$G$2:G1754,G1754)</f>
        <v>830</v>
      </c>
      <c r="AN1754" s="5" t="str">
        <f aca="false">D1754&amp;"|"&amp;AM1754</f>
        <v>分析與報告生成|830</v>
      </c>
    </row>
    <row r="1755" customFormat="false" ht="17.15" hidden="false" customHeight="false" outlineLevel="0" collapsed="false">
      <c r="A1755" s="16" t="n">
        <f aca="false">RANK(G1755,$G$2:$G$2501)+COUNTIF($G$2:G1755,G1755)-1</f>
        <v>1754</v>
      </c>
      <c r="B1755" s="11" t="s">
        <v>4322</v>
      </c>
      <c r="C1755" s="11" t="s">
        <v>2693</v>
      </c>
      <c r="D1755" s="5" t="s">
        <v>74</v>
      </c>
      <c r="E1755" s="5" t="s">
        <v>75</v>
      </c>
      <c r="F1755" s="5"/>
      <c r="G1755" s="22" t="n">
        <f aca="false">ROUND(SUM(I1755:P1755),3)</f>
        <v>56.164</v>
      </c>
      <c r="H1755" s="5" t="str">
        <f aca="false">IF(G1755&gt;=評分方法!$C$16,"優先評估",IF(G1755&gt;=評分方法!$C$17,"列入候選",IF(G1755&gt;=評分方法!$C$18,"特定情境","不建議")))</f>
        <v>不建議</v>
      </c>
      <c r="I1755" s="15" t="n">
        <f aca="false">AE1755*評分方法!$C$5</f>
        <v>10.5</v>
      </c>
      <c r="J1755" s="15" t="n">
        <f aca="false">AF1755*評分方法!$C$6</f>
        <v>0</v>
      </c>
      <c r="K1755" s="15" t="n">
        <f aca="false">AG1755*評分方法!$C$7</f>
        <v>15</v>
      </c>
      <c r="L1755" s="15" t="n">
        <f aca="false">AH1755*評分方法!$C$8</f>
        <v>15</v>
      </c>
      <c r="M1755" s="15" t="n">
        <f aca="false">AI1755*評分方法!$C$9</f>
        <v>10</v>
      </c>
      <c r="N1755" s="15" t="n">
        <f aca="false">AJ1755*評分方法!$C$10</f>
        <v>1.664</v>
      </c>
      <c r="O1755" s="15" t="n">
        <f aca="false">AK1755*評分方法!$C$11</f>
        <v>2.5</v>
      </c>
      <c r="P1755" s="15" t="n">
        <f aca="false">AL1755*評分方法!$C$12</f>
        <v>1.5</v>
      </c>
      <c r="Q1755" s="6" t="n">
        <v>188678</v>
      </c>
      <c r="R1755" s="6" t="n">
        <v>25097128</v>
      </c>
      <c r="S1755" s="11" t="s">
        <v>238</v>
      </c>
      <c r="T1755" s="11" t="s">
        <v>239</v>
      </c>
      <c r="U1755" s="5" t="s">
        <v>240</v>
      </c>
      <c r="V1755" s="11" t="s">
        <v>324</v>
      </c>
      <c r="W1755" s="5" t="s">
        <v>205</v>
      </c>
      <c r="X1755" s="5" t="s">
        <v>255</v>
      </c>
      <c r="Y1755" s="5"/>
      <c r="Z1755" s="5"/>
      <c r="AA1755" s="11" t="s">
        <v>172</v>
      </c>
      <c r="AB1755" s="5" t="s">
        <v>245</v>
      </c>
      <c r="AC1755" s="5"/>
      <c r="AD1755" s="11" t="s">
        <v>4323</v>
      </c>
      <c r="AE1755" s="23" t="n">
        <v>0.35</v>
      </c>
      <c r="AF1755" s="23" t="n">
        <v>0</v>
      </c>
      <c r="AG1755" s="23" t="n">
        <v>1</v>
      </c>
      <c r="AH1755" s="23" t="n">
        <v>1</v>
      </c>
      <c r="AI1755" s="23" t="n">
        <v>1</v>
      </c>
      <c r="AJ1755" s="23" t="n">
        <v>0.1664</v>
      </c>
      <c r="AK1755" s="23" t="n">
        <v>0.5</v>
      </c>
      <c r="AL1755" s="23" t="n">
        <v>0.3</v>
      </c>
      <c r="AM1755" s="16" t="n">
        <f aca="false">COUNTIFS($D$2:$D$2501,D1755,$G$2:$G$2501,"&gt;"&amp;G1755)+COUNTIFS($D$2:D1755,D1755,$G$2:G1755,G1755)</f>
        <v>179</v>
      </c>
      <c r="AN1755" s="5" t="str">
        <f aca="false">D1755&amp;"|"&amp;AM1755</f>
        <v>文件與影像辨識|179</v>
      </c>
    </row>
    <row r="1756" customFormat="false" ht="17.15" hidden="false" customHeight="false" outlineLevel="0" collapsed="false">
      <c r="A1756" s="16" t="n">
        <f aca="false">RANK(G1756,$G$2:$G$2501)+COUNTIF($G$2:G1756,G1756)-1</f>
        <v>1755</v>
      </c>
      <c r="B1756" s="11" t="s">
        <v>4324</v>
      </c>
      <c r="C1756" s="11" t="s">
        <v>2693</v>
      </c>
      <c r="D1756" s="5" t="s">
        <v>74</v>
      </c>
      <c r="E1756" s="5" t="s">
        <v>75</v>
      </c>
      <c r="F1756" s="5"/>
      <c r="G1756" s="22" t="n">
        <f aca="false">ROUND(SUM(I1756:P1756),3)</f>
        <v>56.156</v>
      </c>
      <c r="H1756" s="5" t="str">
        <f aca="false">IF(G1756&gt;=評分方法!$C$16,"優先評估",IF(G1756&gt;=評分方法!$C$17,"列入候選",IF(G1756&gt;=評分方法!$C$18,"特定情境","不建議")))</f>
        <v>不建議</v>
      </c>
      <c r="I1756" s="15" t="n">
        <f aca="false">AE1756*評分方法!$C$5</f>
        <v>10.5</v>
      </c>
      <c r="J1756" s="15" t="n">
        <f aca="false">AF1756*評分方法!$C$6</f>
        <v>0</v>
      </c>
      <c r="K1756" s="15" t="n">
        <f aca="false">AG1756*評分方法!$C$7</f>
        <v>15</v>
      </c>
      <c r="L1756" s="15" t="n">
        <f aca="false">AH1756*評分方法!$C$8</f>
        <v>15</v>
      </c>
      <c r="M1756" s="15" t="n">
        <f aca="false">AI1756*評分方法!$C$9</f>
        <v>10</v>
      </c>
      <c r="N1756" s="15" t="n">
        <f aca="false">AJ1756*評分方法!$C$10</f>
        <v>1.656</v>
      </c>
      <c r="O1756" s="15" t="n">
        <f aca="false">AK1756*評分方法!$C$11</f>
        <v>2.5</v>
      </c>
      <c r="P1756" s="15" t="n">
        <f aca="false">AL1756*評分方法!$C$12</f>
        <v>1.5</v>
      </c>
      <c r="Q1756" s="6" t="n">
        <v>188155</v>
      </c>
      <c r="R1756" s="6" t="n">
        <v>40245000</v>
      </c>
      <c r="S1756" s="11" t="s">
        <v>238</v>
      </c>
      <c r="T1756" s="11" t="s">
        <v>239</v>
      </c>
      <c r="U1756" s="5" t="s">
        <v>240</v>
      </c>
      <c r="V1756" s="11" t="s">
        <v>324</v>
      </c>
      <c r="W1756" s="5" t="s">
        <v>205</v>
      </c>
      <c r="X1756" s="5" t="s">
        <v>255</v>
      </c>
      <c r="Y1756" s="5"/>
      <c r="Z1756" s="5"/>
      <c r="AA1756" s="11" t="s">
        <v>172</v>
      </c>
      <c r="AB1756" s="5" t="s">
        <v>245</v>
      </c>
      <c r="AC1756" s="5"/>
      <c r="AD1756" s="11" t="s">
        <v>4325</v>
      </c>
      <c r="AE1756" s="23" t="n">
        <v>0.35</v>
      </c>
      <c r="AF1756" s="23" t="n">
        <v>0</v>
      </c>
      <c r="AG1756" s="23" t="n">
        <v>1</v>
      </c>
      <c r="AH1756" s="23" t="n">
        <v>1</v>
      </c>
      <c r="AI1756" s="23" t="n">
        <v>1</v>
      </c>
      <c r="AJ1756" s="23" t="n">
        <v>0.1656</v>
      </c>
      <c r="AK1756" s="23" t="n">
        <v>0.5</v>
      </c>
      <c r="AL1756" s="23" t="n">
        <v>0.3</v>
      </c>
      <c r="AM1756" s="16" t="n">
        <f aca="false">COUNTIFS($D$2:$D$2501,D1756,$G$2:$G$2501,"&gt;"&amp;G1756)+COUNTIFS($D$2:D1756,D1756,$G$2:G1756,G1756)</f>
        <v>180</v>
      </c>
      <c r="AN1756" s="5" t="str">
        <f aca="false">D1756&amp;"|"&amp;AM1756</f>
        <v>文件與影像辨識|180</v>
      </c>
    </row>
    <row r="1757" customFormat="false" ht="17.15" hidden="false" customHeight="false" outlineLevel="0" collapsed="false">
      <c r="A1757" s="16" t="n">
        <f aca="false">RANK(G1757,$G$2:$G$2501)+COUNTIF($G$2:G1757,G1757)-1</f>
        <v>1756</v>
      </c>
      <c r="B1757" s="11" t="s">
        <v>4326</v>
      </c>
      <c r="C1757" s="11" t="s">
        <v>1111</v>
      </c>
      <c r="D1757" s="5" t="s">
        <v>56</v>
      </c>
      <c r="E1757" s="5" t="s">
        <v>57</v>
      </c>
      <c r="F1757" s="5"/>
      <c r="G1757" s="22" t="n">
        <f aca="false">ROUND(SUM(I1757:P1757),3)</f>
        <v>56.156</v>
      </c>
      <c r="H1757" s="5" t="str">
        <f aca="false">IF(G1757&gt;=評分方法!$C$16,"優先評估",IF(G1757&gt;=評分方法!$C$17,"列入候選",IF(G1757&gt;=評分方法!$C$18,"特定情境","不建議")))</f>
        <v>不建議</v>
      </c>
      <c r="I1757" s="15" t="n">
        <f aca="false">AE1757*評分方法!$C$5</f>
        <v>25.5</v>
      </c>
      <c r="J1757" s="15" t="n">
        <f aca="false">AF1757*評分方法!$C$6</f>
        <v>0</v>
      </c>
      <c r="K1757" s="15" t="n">
        <f aca="false">AG1757*評分方法!$C$7</f>
        <v>10.05</v>
      </c>
      <c r="L1757" s="15" t="n">
        <f aca="false">AH1757*評分方法!$C$8</f>
        <v>13.05</v>
      </c>
      <c r="M1757" s="15" t="n">
        <f aca="false">AI1757*評分方法!$C$9</f>
        <v>2</v>
      </c>
      <c r="N1757" s="15" t="n">
        <f aca="false">AJ1757*評分方法!$C$10</f>
        <v>0.056</v>
      </c>
      <c r="O1757" s="15" t="n">
        <f aca="false">AK1757*評分方法!$C$11</f>
        <v>2.5</v>
      </c>
      <c r="P1757" s="15" t="n">
        <f aca="false">AL1757*評分方法!$C$12</f>
        <v>3</v>
      </c>
      <c r="Q1757" s="6" t="n">
        <v>118322</v>
      </c>
      <c r="R1757" s="6" t="n">
        <v>8030261248</v>
      </c>
      <c r="S1757" s="11" t="s">
        <v>254</v>
      </c>
      <c r="T1757" s="5"/>
      <c r="U1757" s="5" t="s">
        <v>375</v>
      </c>
      <c r="V1757" s="11" t="s">
        <v>261</v>
      </c>
      <c r="W1757" s="5" t="s">
        <v>207</v>
      </c>
      <c r="X1757" s="5" t="s">
        <v>371</v>
      </c>
      <c r="Y1757" s="11" t="s">
        <v>1176</v>
      </c>
      <c r="Z1757" s="11" t="s">
        <v>244</v>
      </c>
      <c r="AA1757" s="11" t="s">
        <v>155</v>
      </c>
      <c r="AB1757" s="5" t="s">
        <v>245</v>
      </c>
      <c r="AC1757" s="5" t="s">
        <v>464</v>
      </c>
      <c r="AD1757" s="11" t="s">
        <v>4327</v>
      </c>
      <c r="AE1757" s="23" t="n">
        <v>0.85</v>
      </c>
      <c r="AF1757" s="23" t="n">
        <v>0</v>
      </c>
      <c r="AG1757" s="23" t="n">
        <v>0.67</v>
      </c>
      <c r="AH1757" s="23" t="n">
        <v>0.87</v>
      </c>
      <c r="AI1757" s="23" t="n">
        <v>0.2</v>
      </c>
      <c r="AJ1757" s="23" t="n">
        <v>0.0056</v>
      </c>
      <c r="AK1757" s="23" t="n">
        <v>0.5</v>
      </c>
      <c r="AL1757" s="23" t="n">
        <v>0.6</v>
      </c>
      <c r="AM1757" s="16" t="n">
        <f aca="false">COUNTIFS($D$2:$D$2501,D1757,$G$2:$G$2501,"&gt;"&amp;G1757)+COUNTIFS($D$2:D1757,D1757,$G$2:G1757,G1757)</f>
        <v>831</v>
      </c>
      <c r="AN1757" s="5" t="str">
        <f aca="false">D1757&amp;"|"&amp;AM1757</f>
        <v>分析與報告生成|831</v>
      </c>
    </row>
    <row r="1758" customFormat="false" ht="17.15" hidden="false" customHeight="false" outlineLevel="0" collapsed="false">
      <c r="A1758" s="16" t="n">
        <f aca="false">RANK(G1758,$G$2:$G$2501)+COUNTIF($G$2:G1758,G1758)-1</f>
        <v>1757</v>
      </c>
      <c r="B1758" s="11" t="s">
        <v>4328</v>
      </c>
      <c r="C1758" s="11" t="s">
        <v>1374</v>
      </c>
      <c r="D1758" s="5" t="s">
        <v>78</v>
      </c>
      <c r="E1758" s="5" t="s">
        <v>79</v>
      </c>
      <c r="F1758" s="5"/>
      <c r="G1758" s="22" t="n">
        <f aca="false">ROUND(SUM(I1758:P1758),3)</f>
        <v>56.146</v>
      </c>
      <c r="H1758" s="5" t="str">
        <f aca="false">IF(G1758&gt;=評分方法!$C$16,"優先評估",IF(G1758&gt;=評分方法!$C$17,"列入候選",IF(G1758&gt;=評分方法!$C$18,"特定情境","不建議")))</f>
        <v>不建議</v>
      </c>
      <c r="I1758" s="15" t="n">
        <f aca="false">AE1758*評分方法!$C$5</f>
        <v>9</v>
      </c>
      <c r="J1758" s="15" t="n">
        <f aca="false">AF1758*評分方法!$C$6</f>
        <v>0</v>
      </c>
      <c r="K1758" s="15" t="n">
        <f aca="false">AG1758*評分方法!$C$7</f>
        <v>10.05</v>
      </c>
      <c r="L1758" s="15" t="n">
        <f aca="false">AH1758*評分方法!$C$8</f>
        <v>15</v>
      </c>
      <c r="M1758" s="15" t="n">
        <f aca="false">AI1758*評分方法!$C$9</f>
        <v>10</v>
      </c>
      <c r="N1758" s="15" t="n">
        <f aca="false">AJ1758*評分方法!$C$10</f>
        <v>9.596</v>
      </c>
      <c r="O1758" s="15" t="n">
        <f aca="false">AK1758*評分方法!$C$11</f>
        <v>2.5</v>
      </c>
      <c r="P1758" s="15" t="n">
        <f aca="false">AL1758*評分方法!$C$12</f>
        <v>0</v>
      </c>
      <c r="Q1758" s="6" t="n">
        <v>10176297</v>
      </c>
      <c r="R1758" s="6" t="n">
        <v>627052166</v>
      </c>
      <c r="S1758" s="11" t="s">
        <v>238</v>
      </c>
      <c r="T1758" s="11" t="s">
        <v>1636</v>
      </c>
      <c r="U1758" s="5" t="s">
        <v>240</v>
      </c>
      <c r="V1758" s="11" t="s">
        <v>261</v>
      </c>
      <c r="W1758" s="5" t="s">
        <v>207</v>
      </c>
      <c r="X1758" s="5" t="s">
        <v>242</v>
      </c>
      <c r="Y1758" s="11" t="s">
        <v>3150</v>
      </c>
      <c r="Z1758" s="11" t="s">
        <v>270</v>
      </c>
      <c r="AA1758" s="11" t="s">
        <v>175</v>
      </c>
      <c r="AB1758" s="5" t="s">
        <v>245</v>
      </c>
      <c r="AC1758" s="5"/>
      <c r="AD1758" s="11" t="s">
        <v>4329</v>
      </c>
      <c r="AE1758" s="23" t="n">
        <v>0.3</v>
      </c>
      <c r="AF1758" s="23" t="n">
        <v>0</v>
      </c>
      <c r="AG1758" s="23" t="n">
        <v>0.67</v>
      </c>
      <c r="AH1758" s="23" t="n">
        <v>1</v>
      </c>
      <c r="AI1758" s="23" t="n">
        <v>1</v>
      </c>
      <c r="AJ1758" s="23" t="n">
        <v>0.9596</v>
      </c>
      <c r="AK1758" s="23" t="n">
        <v>0.5</v>
      </c>
      <c r="AL1758" s="23" t="n">
        <v>0</v>
      </c>
      <c r="AM1758" s="16" t="n">
        <f aca="false">COUNTIFS($D$2:$D$2501,D1758,$G$2:$G$2501,"&gt;"&amp;G1758)+COUNTIFS($D$2:D1758,D1758,$G$2:G1758,G1758)</f>
        <v>36</v>
      </c>
      <c r="AN1758" s="5" t="str">
        <f aca="false">D1758&amp;"|"&amp;AM1758</f>
        <v>語音分析|36</v>
      </c>
    </row>
    <row r="1759" customFormat="false" ht="17.15" hidden="false" customHeight="false" outlineLevel="0" collapsed="false">
      <c r="A1759" s="16" t="n">
        <f aca="false">RANK(G1759,$G$2:$G$2501)+COUNTIF($G$2:G1759,G1759)-1</f>
        <v>1758</v>
      </c>
      <c r="B1759" s="11" t="s">
        <v>4330</v>
      </c>
      <c r="C1759" s="11" t="s">
        <v>2693</v>
      </c>
      <c r="D1759" s="5" t="s">
        <v>74</v>
      </c>
      <c r="E1759" s="5" t="s">
        <v>75</v>
      </c>
      <c r="F1759" s="5"/>
      <c r="G1759" s="22" t="n">
        <f aca="false">ROUND(SUM(I1759:P1759),3)</f>
        <v>56.14</v>
      </c>
      <c r="H1759" s="5" t="str">
        <f aca="false">IF(G1759&gt;=評分方法!$C$16,"優先評估",IF(G1759&gt;=評分方法!$C$17,"列入候選",IF(G1759&gt;=評分方法!$C$18,"特定情境","不建議")))</f>
        <v>不建議</v>
      </c>
      <c r="I1759" s="15" t="n">
        <f aca="false">AE1759*評分方法!$C$5</f>
        <v>10.5</v>
      </c>
      <c r="J1759" s="15" t="n">
        <f aca="false">AF1759*評分方法!$C$6</f>
        <v>0</v>
      </c>
      <c r="K1759" s="15" t="n">
        <f aca="false">AG1759*評分方法!$C$7</f>
        <v>15</v>
      </c>
      <c r="L1759" s="15" t="n">
        <f aca="false">AH1759*評分方法!$C$8</f>
        <v>15</v>
      </c>
      <c r="M1759" s="15" t="n">
        <f aca="false">AI1759*評分方法!$C$9</f>
        <v>10</v>
      </c>
      <c r="N1759" s="15" t="n">
        <f aca="false">AJ1759*評分方法!$C$10</f>
        <v>1.64</v>
      </c>
      <c r="O1759" s="15" t="n">
        <f aca="false">AK1759*評分方法!$C$11</f>
        <v>2.5</v>
      </c>
      <c r="P1759" s="15" t="n">
        <f aca="false">AL1759*評分方法!$C$12</f>
        <v>1.5</v>
      </c>
      <c r="Q1759" s="6" t="n">
        <v>186886</v>
      </c>
      <c r="R1759" s="6" t="n">
        <v>7200312</v>
      </c>
      <c r="S1759" s="11" t="s">
        <v>238</v>
      </c>
      <c r="T1759" s="11" t="s">
        <v>239</v>
      </c>
      <c r="U1759" s="5" t="s">
        <v>240</v>
      </c>
      <c r="V1759" s="11" t="s">
        <v>324</v>
      </c>
      <c r="W1759" s="5" t="s">
        <v>205</v>
      </c>
      <c r="X1759" s="5" t="s">
        <v>255</v>
      </c>
      <c r="Y1759" s="5"/>
      <c r="Z1759" s="5"/>
      <c r="AA1759" s="11" t="s">
        <v>172</v>
      </c>
      <c r="AB1759" s="5" t="s">
        <v>245</v>
      </c>
      <c r="AC1759" s="5"/>
      <c r="AD1759" s="11" t="s">
        <v>4331</v>
      </c>
      <c r="AE1759" s="23" t="n">
        <v>0.35</v>
      </c>
      <c r="AF1759" s="23" t="n">
        <v>0</v>
      </c>
      <c r="AG1759" s="23" t="n">
        <v>1</v>
      </c>
      <c r="AH1759" s="23" t="n">
        <v>1</v>
      </c>
      <c r="AI1759" s="23" t="n">
        <v>1</v>
      </c>
      <c r="AJ1759" s="23" t="n">
        <v>0.164</v>
      </c>
      <c r="AK1759" s="23" t="n">
        <v>0.5</v>
      </c>
      <c r="AL1759" s="23" t="n">
        <v>0.3</v>
      </c>
      <c r="AM1759" s="16" t="n">
        <f aca="false">COUNTIFS($D$2:$D$2501,D1759,$G$2:$G$2501,"&gt;"&amp;G1759)+COUNTIFS($D$2:D1759,D1759,$G$2:G1759,G1759)</f>
        <v>181</v>
      </c>
      <c r="AN1759" s="5" t="str">
        <f aca="false">D1759&amp;"|"&amp;AM1759</f>
        <v>文件與影像辨識|181</v>
      </c>
    </row>
    <row r="1760" customFormat="false" ht="17.15" hidden="false" customHeight="false" outlineLevel="0" collapsed="false">
      <c r="A1760" s="16" t="n">
        <f aca="false">RANK(G1760,$G$2:$G$2501)+COUNTIF($G$2:G1760,G1760)-1</f>
        <v>1759</v>
      </c>
      <c r="B1760" s="11" t="s">
        <v>4332</v>
      </c>
      <c r="C1760" s="11" t="s">
        <v>258</v>
      </c>
      <c r="D1760" s="5" t="s">
        <v>56</v>
      </c>
      <c r="E1760" s="5" t="s">
        <v>57</v>
      </c>
      <c r="F1760" s="5"/>
      <c r="G1760" s="22" t="n">
        <f aca="false">ROUND(SUM(I1760:P1760),3)</f>
        <v>56.134</v>
      </c>
      <c r="H1760" s="5" t="str">
        <f aca="false">IF(G1760&gt;=評分方法!$C$16,"優先評估",IF(G1760&gt;=評分方法!$C$17,"列入候選",IF(G1760&gt;=評分方法!$C$18,"特定情境","不建議")))</f>
        <v>不建議</v>
      </c>
      <c r="I1760" s="15" t="n">
        <f aca="false">AE1760*評分方法!$C$5</f>
        <v>25.5</v>
      </c>
      <c r="J1760" s="15" t="n">
        <f aca="false">AF1760*評分方法!$C$6</f>
        <v>0</v>
      </c>
      <c r="K1760" s="15" t="n">
        <f aca="false">AG1760*評分方法!$C$7</f>
        <v>15</v>
      </c>
      <c r="L1760" s="15" t="n">
        <f aca="false">AH1760*評分方法!$C$8</f>
        <v>1.95</v>
      </c>
      <c r="M1760" s="15" t="n">
        <f aca="false">AI1760*評分方法!$C$9</f>
        <v>6</v>
      </c>
      <c r="N1760" s="15" t="n">
        <f aca="false">AJ1760*評分方法!$C$10</f>
        <v>5.184</v>
      </c>
      <c r="O1760" s="15" t="n">
        <f aca="false">AK1760*評分方法!$C$11</f>
        <v>2.5</v>
      </c>
      <c r="P1760" s="15" t="n">
        <f aca="false">AL1760*評分方法!$C$12</f>
        <v>0</v>
      </c>
      <c r="Q1760" s="6" t="n">
        <v>549430</v>
      </c>
      <c r="R1760" s="6" t="n">
        <v>401583781376</v>
      </c>
      <c r="S1760" s="11" t="s">
        <v>1616</v>
      </c>
      <c r="T1760" s="11" t="s">
        <v>185</v>
      </c>
      <c r="U1760" s="5" t="s">
        <v>260</v>
      </c>
      <c r="V1760" s="11" t="s">
        <v>261</v>
      </c>
      <c r="W1760" s="5" t="s">
        <v>205</v>
      </c>
      <c r="X1760" s="5" t="s">
        <v>242</v>
      </c>
      <c r="Y1760" s="11" t="s">
        <v>4332</v>
      </c>
      <c r="Z1760" s="11" t="s">
        <v>244</v>
      </c>
      <c r="AA1760" s="11" t="s">
        <v>156</v>
      </c>
      <c r="AB1760" s="5" t="s">
        <v>245</v>
      </c>
      <c r="AC1760" s="5" t="s">
        <v>464</v>
      </c>
      <c r="AD1760" s="11" t="s">
        <v>4333</v>
      </c>
      <c r="AE1760" s="23" t="n">
        <v>0.85</v>
      </c>
      <c r="AF1760" s="23" t="n">
        <v>0</v>
      </c>
      <c r="AG1760" s="23" t="n">
        <v>1</v>
      </c>
      <c r="AH1760" s="23" t="n">
        <v>0.13</v>
      </c>
      <c r="AI1760" s="23" t="n">
        <v>0.6</v>
      </c>
      <c r="AJ1760" s="23" t="n">
        <v>0.5184</v>
      </c>
      <c r="AK1760" s="23" t="n">
        <v>0.5</v>
      </c>
      <c r="AL1760" s="23" t="n">
        <v>0</v>
      </c>
      <c r="AM1760" s="16" t="n">
        <f aca="false">COUNTIFS($D$2:$D$2501,D1760,$G$2:$G$2501,"&gt;"&amp;G1760)+COUNTIFS($D$2:D1760,D1760,$G$2:G1760,G1760)</f>
        <v>832</v>
      </c>
      <c r="AN1760" s="5" t="str">
        <f aca="false">D1760&amp;"|"&amp;AM1760</f>
        <v>分析與報告生成|832</v>
      </c>
    </row>
    <row r="1761" customFormat="false" ht="17.15" hidden="false" customHeight="false" outlineLevel="0" collapsed="false">
      <c r="A1761" s="16" t="n">
        <f aca="false">RANK(G1761,$G$2:$G$2501)+COUNTIF($G$2:G1761,G1761)-1</f>
        <v>1760</v>
      </c>
      <c r="B1761" s="11" t="s">
        <v>4334</v>
      </c>
      <c r="C1761" s="11" t="s">
        <v>1697</v>
      </c>
      <c r="D1761" s="5" t="s">
        <v>56</v>
      </c>
      <c r="E1761" s="5" t="s">
        <v>57</v>
      </c>
      <c r="F1761" s="5"/>
      <c r="G1761" s="22" t="n">
        <f aca="false">ROUND(SUM(I1761:P1761),3)</f>
        <v>56.132</v>
      </c>
      <c r="H1761" s="5" t="str">
        <f aca="false">IF(G1761&gt;=評分方法!$C$16,"優先評估",IF(G1761&gt;=評分方法!$C$17,"列入候選",IF(G1761&gt;=評分方法!$C$18,"特定情境","不建議")))</f>
        <v>不建議</v>
      </c>
      <c r="I1761" s="15" t="n">
        <f aca="false">AE1761*評分方法!$C$5</f>
        <v>25.5</v>
      </c>
      <c r="J1761" s="15" t="n">
        <f aca="false">AF1761*評分方法!$C$6</f>
        <v>0</v>
      </c>
      <c r="K1761" s="15" t="n">
        <f aca="false">AG1761*評分方法!$C$7</f>
        <v>4.95</v>
      </c>
      <c r="L1761" s="15" t="n">
        <f aca="false">AH1761*評分方法!$C$8</f>
        <v>13.05</v>
      </c>
      <c r="M1761" s="15" t="n">
        <f aca="false">AI1761*評分方法!$C$9</f>
        <v>2</v>
      </c>
      <c r="N1761" s="15" t="n">
        <f aca="false">AJ1761*評分方法!$C$10</f>
        <v>2.632</v>
      </c>
      <c r="O1761" s="15" t="n">
        <f aca="false">AK1761*評分方法!$C$11</f>
        <v>5</v>
      </c>
      <c r="P1761" s="15" t="n">
        <f aca="false">AL1761*評分方法!$C$12</f>
        <v>3</v>
      </c>
      <c r="Q1761" s="6" t="n">
        <v>263911</v>
      </c>
      <c r="R1761" s="6" t="n">
        <v>1100048384</v>
      </c>
      <c r="S1761" s="11" t="s">
        <v>254</v>
      </c>
      <c r="T1761" s="5"/>
      <c r="U1761" s="5" t="s">
        <v>375</v>
      </c>
      <c r="V1761" s="11" t="s">
        <v>261</v>
      </c>
      <c r="W1761" s="5" t="s">
        <v>334</v>
      </c>
      <c r="X1761" s="5" t="s">
        <v>371</v>
      </c>
      <c r="Y1761" s="5"/>
      <c r="Z1761" s="5"/>
      <c r="AA1761" s="11" t="s">
        <v>155</v>
      </c>
      <c r="AB1761" s="5" t="s">
        <v>245</v>
      </c>
      <c r="AC1761" s="5" t="s">
        <v>262</v>
      </c>
      <c r="AD1761" s="11" t="s">
        <v>4335</v>
      </c>
      <c r="AE1761" s="23" t="n">
        <v>0.85</v>
      </c>
      <c r="AF1761" s="23" t="n">
        <v>0</v>
      </c>
      <c r="AG1761" s="23" t="n">
        <v>0.33</v>
      </c>
      <c r="AH1761" s="23" t="n">
        <v>0.87</v>
      </c>
      <c r="AI1761" s="23" t="n">
        <v>0.2</v>
      </c>
      <c r="AJ1761" s="23" t="n">
        <v>0.2632</v>
      </c>
      <c r="AK1761" s="23" t="n">
        <v>1</v>
      </c>
      <c r="AL1761" s="23" t="n">
        <v>0.6</v>
      </c>
      <c r="AM1761" s="16" t="n">
        <f aca="false">COUNTIFS($D$2:$D$2501,D1761,$G$2:$G$2501,"&gt;"&amp;G1761)+COUNTIFS($D$2:D1761,D1761,$G$2:G1761,G1761)</f>
        <v>833</v>
      </c>
      <c r="AN1761" s="5" t="str">
        <f aca="false">D1761&amp;"|"&amp;AM1761</f>
        <v>分析與報告生成|833</v>
      </c>
    </row>
    <row r="1762" customFormat="false" ht="17.15" hidden="false" customHeight="false" outlineLevel="0" collapsed="false">
      <c r="A1762" s="16" t="n">
        <f aca="false">RANK(G1762,$G$2:$G$2501)+COUNTIF($G$2:G1762,G1762)-1</f>
        <v>1761</v>
      </c>
      <c r="B1762" s="11" t="s">
        <v>4336</v>
      </c>
      <c r="C1762" s="11" t="s">
        <v>2693</v>
      </c>
      <c r="D1762" s="5" t="s">
        <v>74</v>
      </c>
      <c r="E1762" s="5" t="s">
        <v>75</v>
      </c>
      <c r="F1762" s="5"/>
      <c r="G1762" s="22" t="n">
        <f aca="false">ROUND(SUM(I1762:P1762),3)</f>
        <v>56.076</v>
      </c>
      <c r="H1762" s="5" t="str">
        <f aca="false">IF(G1762&gt;=評分方法!$C$16,"優先評估",IF(G1762&gt;=評分方法!$C$17,"列入候選",IF(G1762&gt;=評分方法!$C$18,"特定情境","不建議")))</f>
        <v>不建議</v>
      </c>
      <c r="I1762" s="15" t="n">
        <f aca="false">AE1762*評分方法!$C$5</f>
        <v>10.5</v>
      </c>
      <c r="J1762" s="15" t="n">
        <f aca="false">AF1762*評分方法!$C$6</f>
        <v>0</v>
      </c>
      <c r="K1762" s="15" t="n">
        <f aca="false">AG1762*評分方法!$C$7</f>
        <v>15</v>
      </c>
      <c r="L1762" s="15" t="n">
        <f aca="false">AH1762*評分方法!$C$8</f>
        <v>15</v>
      </c>
      <c r="M1762" s="15" t="n">
        <f aca="false">AI1762*評分方法!$C$9</f>
        <v>10</v>
      </c>
      <c r="N1762" s="15" t="n">
        <f aca="false">AJ1762*評分方法!$C$10</f>
        <v>1.576</v>
      </c>
      <c r="O1762" s="15" t="n">
        <f aca="false">AK1762*評分方法!$C$11</f>
        <v>2.5</v>
      </c>
      <c r="P1762" s="15" t="n">
        <f aca="false">AL1762*評分方法!$C$12</f>
        <v>1.5</v>
      </c>
      <c r="Q1762" s="6" t="n">
        <v>183767</v>
      </c>
      <c r="R1762" s="6" t="n">
        <v>3695520</v>
      </c>
      <c r="S1762" s="11" t="s">
        <v>238</v>
      </c>
      <c r="T1762" s="11" t="s">
        <v>239</v>
      </c>
      <c r="U1762" s="5" t="s">
        <v>240</v>
      </c>
      <c r="V1762" s="11" t="s">
        <v>324</v>
      </c>
      <c r="W1762" s="5" t="s">
        <v>205</v>
      </c>
      <c r="X1762" s="5" t="s">
        <v>255</v>
      </c>
      <c r="Y1762" s="5"/>
      <c r="Z1762" s="5"/>
      <c r="AA1762" s="11" t="s">
        <v>172</v>
      </c>
      <c r="AB1762" s="5" t="s">
        <v>245</v>
      </c>
      <c r="AC1762" s="5"/>
      <c r="AD1762" s="11" t="s">
        <v>4337</v>
      </c>
      <c r="AE1762" s="23" t="n">
        <v>0.35</v>
      </c>
      <c r="AF1762" s="23" t="n">
        <v>0</v>
      </c>
      <c r="AG1762" s="23" t="n">
        <v>1</v>
      </c>
      <c r="AH1762" s="23" t="n">
        <v>1</v>
      </c>
      <c r="AI1762" s="23" t="n">
        <v>1</v>
      </c>
      <c r="AJ1762" s="23" t="n">
        <v>0.1576</v>
      </c>
      <c r="AK1762" s="23" t="n">
        <v>0.5</v>
      </c>
      <c r="AL1762" s="23" t="n">
        <v>0.3</v>
      </c>
      <c r="AM1762" s="16" t="n">
        <f aca="false">COUNTIFS($D$2:$D$2501,D1762,$G$2:$G$2501,"&gt;"&amp;G1762)+COUNTIFS($D$2:D1762,D1762,$G$2:G1762,G1762)</f>
        <v>182</v>
      </c>
      <c r="AN1762" s="5" t="str">
        <f aca="false">D1762&amp;"|"&amp;AM1762</f>
        <v>文件與影像辨識|182</v>
      </c>
    </row>
    <row r="1763" customFormat="false" ht="17.15" hidden="false" customHeight="false" outlineLevel="0" collapsed="false">
      <c r="A1763" s="16" t="n">
        <f aca="false">RANK(G1763,$G$2:$G$2501)+COUNTIF($G$2:G1763,G1763)-1</f>
        <v>1762</v>
      </c>
      <c r="B1763" s="11" t="s">
        <v>4338</v>
      </c>
      <c r="C1763" s="11" t="s">
        <v>4046</v>
      </c>
      <c r="D1763" s="5" t="s">
        <v>78</v>
      </c>
      <c r="E1763" s="5" t="s">
        <v>79</v>
      </c>
      <c r="F1763" s="5"/>
      <c r="G1763" s="22" t="n">
        <f aca="false">ROUND(SUM(I1763:P1763),3)</f>
        <v>56.06</v>
      </c>
      <c r="H1763" s="5" t="str">
        <f aca="false">IF(G1763&gt;=評分方法!$C$16,"優先評估",IF(G1763&gt;=評分方法!$C$17,"列入候選",IF(G1763&gt;=評分方法!$C$18,"特定情境","不建議")))</f>
        <v>不建議</v>
      </c>
      <c r="I1763" s="15" t="n">
        <f aca="false">AE1763*評分方法!$C$5</f>
        <v>9</v>
      </c>
      <c r="J1763" s="15" t="n">
        <f aca="false">AF1763*評分方法!$C$6</f>
        <v>0</v>
      </c>
      <c r="K1763" s="15" t="n">
        <f aca="false">AG1763*評分方法!$C$7</f>
        <v>4.95</v>
      </c>
      <c r="L1763" s="15" t="n">
        <f aca="false">AH1763*評分方法!$C$8</f>
        <v>13.05</v>
      </c>
      <c r="M1763" s="15" t="n">
        <f aca="false">AI1763*評分方法!$C$9</f>
        <v>10</v>
      </c>
      <c r="N1763" s="15" t="n">
        <f aca="false">AJ1763*評分方法!$C$10</f>
        <v>9.06</v>
      </c>
      <c r="O1763" s="15" t="n">
        <f aca="false">AK1763*評分方法!$C$11</f>
        <v>5</v>
      </c>
      <c r="P1763" s="15" t="n">
        <f aca="false">AL1763*評分方法!$C$12</f>
        <v>5</v>
      </c>
      <c r="Q1763" s="6" t="n">
        <v>4081761</v>
      </c>
      <c r="R1763" s="6" t="n">
        <v>2049026832</v>
      </c>
      <c r="S1763" s="11" t="s">
        <v>254</v>
      </c>
      <c r="T1763" s="11" t="s">
        <v>239</v>
      </c>
      <c r="U1763" s="5" t="s">
        <v>240</v>
      </c>
      <c r="V1763" s="11" t="s">
        <v>333</v>
      </c>
      <c r="W1763" s="5" t="s">
        <v>334</v>
      </c>
      <c r="X1763" s="5" t="s">
        <v>284</v>
      </c>
      <c r="Y1763" s="11" t="s">
        <v>4339</v>
      </c>
      <c r="Z1763" s="11" t="s">
        <v>244</v>
      </c>
      <c r="AA1763" s="11" t="s">
        <v>175</v>
      </c>
      <c r="AB1763" s="5" t="s">
        <v>245</v>
      </c>
      <c r="AC1763" s="5" t="s">
        <v>246</v>
      </c>
      <c r="AD1763" s="11" t="s">
        <v>4340</v>
      </c>
      <c r="AE1763" s="23" t="n">
        <v>0.3</v>
      </c>
      <c r="AF1763" s="23" t="n">
        <v>0</v>
      </c>
      <c r="AG1763" s="23" t="n">
        <v>0.33</v>
      </c>
      <c r="AH1763" s="23" t="n">
        <v>0.87</v>
      </c>
      <c r="AI1763" s="23" t="n">
        <v>1</v>
      </c>
      <c r="AJ1763" s="23" t="n">
        <v>0.906</v>
      </c>
      <c r="AK1763" s="23" t="n">
        <v>1</v>
      </c>
      <c r="AL1763" s="23" t="n">
        <v>1</v>
      </c>
      <c r="AM1763" s="16" t="n">
        <f aca="false">COUNTIFS($D$2:$D$2501,D1763,$G$2:$G$2501,"&gt;"&amp;G1763)+COUNTIFS($D$2:D1763,D1763,$G$2:G1763,G1763)</f>
        <v>37</v>
      </c>
      <c r="AN1763" s="5" t="str">
        <f aca="false">D1763&amp;"|"&amp;AM1763</f>
        <v>語音分析|37</v>
      </c>
    </row>
    <row r="1764" customFormat="false" ht="17.15" hidden="false" customHeight="false" outlineLevel="0" collapsed="false">
      <c r="A1764" s="16" t="n">
        <f aca="false">RANK(G1764,$G$2:$G$2501)+COUNTIF($G$2:G1764,G1764)-1</f>
        <v>1763</v>
      </c>
      <c r="B1764" s="11" t="s">
        <v>4341</v>
      </c>
      <c r="C1764" s="11" t="s">
        <v>989</v>
      </c>
      <c r="D1764" s="5" t="s">
        <v>56</v>
      </c>
      <c r="E1764" s="5" t="s">
        <v>57</v>
      </c>
      <c r="F1764" s="5"/>
      <c r="G1764" s="22" t="n">
        <f aca="false">ROUND(SUM(I1764:P1764),3)</f>
        <v>56.054</v>
      </c>
      <c r="H1764" s="5" t="str">
        <f aca="false">IF(G1764&gt;=評分方法!$C$16,"優先評估",IF(G1764&gt;=評分方法!$C$17,"列入候選",IF(G1764&gt;=評分方法!$C$18,"特定情境","不建議")))</f>
        <v>不建議</v>
      </c>
      <c r="I1764" s="15" t="n">
        <f aca="false">AE1764*評分方法!$C$5</f>
        <v>25.5</v>
      </c>
      <c r="J1764" s="15" t="n">
        <f aca="false">AF1764*評分方法!$C$6</f>
        <v>0</v>
      </c>
      <c r="K1764" s="15" t="n">
        <f aca="false">AG1764*評分方法!$C$7</f>
        <v>10.05</v>
      </c>
      <c r="L1764" s="15" t="n">
        <f aca="false">AH1764*評分方法!$C$8</f>
        <v>9</v>
      </c>
      <c r="M1764" s="15" t="n">
        <f aca="false">AI1764*評分方法!$C$9</f>
        <v>6</v>
      </c>
      <c r="N1764" s="15" t="n">
        <f aca="false">AJ1764*評分方法!$C$10</f>
        <v>0.504</v>
      </c>
      <c r="O1764" s="15" t="n">
        <f aca="false">AK1764*評分方法!$C$11</f>
        <v>5</v>
      </c>
      <c r="P1764" s="15" t="n">
        <f aca="false">AL1764*評分方法!$C$12</f>
        <v>0</v>
      </c>
      <c r="Q1764" s="6" t="n">
        <v>132511</v>
      </c>
      <c r="R1764" s="6" t="n">
        <v>32913266240</v>
      </c>
      <c r="S1764" s="11" t="s">
        <v>389</v>
      </c>
      <c r="T1764" s="11" t="s">
        <v>185</v>
      </c>
      <c r="U1764" s="5" t="s">
        <v>260</v>
      </c>
      <c r="V1764" s="11" t="s">
        <v>333</v>
      </c>
      <c r="W1764" s="5" t="s">
        <v>207</v>
      </c>
      <c r="X1764" s="5" t="s">
        <v>242</v>
      </c>
      <c r="Y1764" s="11" t="s">
        <v>1560</v>
      </c>
      <c r="Z1764" s="11" t="s">
        <v>244</v>
      </c>
      <c r="AA1764" s="11" t="s">
        <v>155</v>
      </c>
      <c r="AB1764" s="5" t="s">
        <v>245</v>
      </c>
      <c r="AC1764" s="5" t="s">
        <v>464</v>
      </c>
      <c r="AD1764" s="11" t="s">
        <v>4342</v>
      </c>
      <c r="AE1764" s="23" t="n">
        <v>0.85</v>
      </c>
      <c r="AF1764" s="23" t="n">
        <v>0</v>
      </c>
      <c r="AG1764" s="23" t="n">
        <v>0.67</v>
      </c>
      <c r="AH1764" s="23" t="n">
        <v>0.6</v>
      </c>
      <c r="AI1764" s="23" t="n">
        <v>0.6</v>
      </c>
      <c r="AJ1764" s="23" t="n">
        <v>0.0504</v>
      </c>
      <c r="AK1764" s="23" t="n">
        <v>1</v>
      </c>
      <c r="AL1764" s="23" t="n">
        <v>0</v>
      </c>
      <c r="AM1764" s="16" t="n">
        <f aca="false">COUNTIFS($D$2:$D$2501,D1764,$G$2:$G$2501,"&gt;"&amp;G1764)+COUNTIFS($D$2:D1764,D1764,$G$2:G1764,G1764)</f>
        <v>834</v>
      </c>
      <c r="AN1764" s="5" t="str">
        <f aca="false">D1764&amp;"|"&amp;AM1764</f>
        <v>分析與報告生成|834</v>
      </c>
    </row>
    <row r="1765" customFormat="false" ht="17.15" hidden="false" customHeight="false" outlineLevel="0" collapsed="false">
      <c r="A1765" s="16" t="n">
        <f aca="false">RANK(G1765,$G$2:$G$2501)+COUNTIF($G$2:G1765,G1765)-1</f>
        <v>1764</v>
      </c>
      <c r="B1765" s="11" t="s">
        <v>3064</v>
      </c>
      <c r="C1765" s="11" t="s">
        <v>258</v>
      </c>
      <c r="D1765" s="5" t="s">
        <v>56</v>
      </c>
      <c r="E1765" s="5" t="s">
        <v>57</v>
      </c>
      <c r="F1765" s="5"/>
      <c r="G1765" s="22" t="n">
        <f aca="false">ROUND(SUM(I1765:P1765),3)</f>
        <v>56.042</v>
      </c>
      <c r="H1765" s="5" t="str">
        <f aca="false">IF(G1765&gt;=評分方法!$C$16,"優先評估",IF(G1765&gt;=評分方法!$C$17,"列入候選",IF(G1765&gt;=評分方法!$C$18,"特定情境","不建議")))</f>
        <v>不建議</v>
      </c>
      <c r="I1765" s="15" t="n">
        <f aca="false">AE1765*評分方法!$C$5</f>
        <v>25.5</v>
      </c>
      <c r="J1765" s="15" t="n">
        <f aca="false">AF1765*評分方法!$C$6</f>
        <v>0</v>
      </c>
      <c r="K1765" s="15" t="n">
        <f aca="false">AG1765*評分方法!$C$7</f>
        <v>15</v>
      </c>
      <c r="L1765" s="15" t="n">
        <f aca="false">AH1765*評分方法!$C$8</f>
        <v>4.95</v>
      </c>
      <c r="M1765" s="15" t="n">
        <f aca="false">AI1765*評分方法!$C$9</f>
        <v>6</v>
      </c>
      <c r="N1765" s="15" t="n">
        <f aca="false">AJ1765*評分方法!$C$10</f>
        <v>3.592</v>
      </c>
      <c r="O1765" s="15" t="n">
        <f aca="false">AK1765*評分方法!$C$11</f>
        <v>1</v>
      </c>
      <c r="P1765" s="15" t="n">
        <f aca="false">AL1765*評分方法!$C$12</f>
        <v>0</v>
      </c>
      <c r="Q1765" s="6" t="n">
        <v>363914</v>
      </c>
      <c r="R1765" s="6" t="n">
        <v>70553706496</v>
      </c>
      <c r="S1765" s="11" t="s">
        <v>1876</v>
      </c>
      <c r="T1765" s="11" t="s">
        <v>259</v>
      </c>
      <c r="U1765" s="5" t="s">
        <v>260</v>
      </c>
      <c r="V1765" s="11" t="s">
        <v>324</v>
      </c>
      <c r="W1765" s="5" t="s">
        <v>205</v>
      </c>
      <c r="X1765" s="5" t="s">
        <v>242</v>
      </c>
      <c r="Y1765" s="5"/>
      <c r="Z1765" s="5"/>
      <c r="AA1765" s="11" t="s">
        <v>155</v>
      </c>
      <c r="AB1765" s="5" t="s">
        <v>245</v>
      </c>
      <c r="AC1765" s="5" t="s">
        <v>262</v>
      </c>
      <c r="AD1765" s="11" t="s">
        <v>4343</v>
      </c>
      <c r="AE1765" s="23" t="n">
        <v>0.85</v>
      </c>
      <c r="AF1765" s="23" t="n">
        <v>0</v>
      </c>
      <c r="AG1765" s="23" t="n">
        <v>1</v>
      </c>
      <c r="AH1765" s="23" t="n">
        <v>0.33</v>
      </c>
      <c r="AI1765" s="23" t="n">
        <v>0.6</v>
      </c>
      <c r="AJ1765" s="23" t="n">
        <v>0.3592</v>
      </c>
      <c r="AK1765" s="23" t="n">
        <v>0.2</v>
      </c>
      <c r="AL1765" s="23" t="n">
        <v>0</v>
      </c>
      <c r="AM1765" s="16" t="n">
        <f aca="false">COUNTIFS($D$2:$D$2501,D1765,$G$2:$G$2501,"&gt;"&amp;G1765)+COUNTIFS($D$2:D1765,D1765,$G$2:G1765,G1765)</f>
        <v>835</v>
      </c>
      <c r="AN1765" s="5" t="str">
        <f aca="false">D1765&amp;"|"&amp;AM1765</f>
        <v>分析與報告生成|835</v>
      </c>
    </row>
    <row r="1766" customFormat="false" ht="17.15" hidden="false" customHeight="false" outlineLevel="0" collapsed="false">
      <c r="A1766" s="16" t="n">
        <f aca="false">RANK(G1766,$G$2:$G$2501)+COUNTIF($G$2:G1766,G1766)-1</f>
        <v>1765</v>
      </c>
      <c r="B1766" s="11" t="s">
        <v>4344</v>
      </c>
      <c r="C1766" s="11" t="s">
        <v>1388</v>
      </c>
      <c r="D1766" s="5" t="s">
        <v>56</v>
      </c>
      <c r="E1766" s="5" t="s">
        <v>57</v>
      </c>
      <c r="F1766" s="5"/>
      <c r="G1766" s="22" t="n">
        <f aca="false">ROUND(SUM(I1766:P1766),3)</f>
        <v>56.04</v>
      </c>
      <c r="H1766" s="5" t="str">
        <f aca="false">IF(G1766&gt;=評分方法!$C$16,"優先評估",IF(G1766&gt;=評分方法!$C$17,"列入候選",IF(G1766&gt;=評分方法!$C$18,"特定情境","不建議")))</f>
        <v>不建議</v>
      </c>
      <c r="I1766" s="15" t="n">
        <f aca="false">AE1766*評分方法!$C$5</f>
        <v>25.5</v>
      </c>
      <c r="J1766" s="15" t="n">
        <f aca="false">AF1766*評分方法!$C$6</f>
        <v>0</v>
      </c>
      <c r="K1766" s="15" t="n">
        <f aca="false">AG1766*評分方法!$C$7</f>
        <v>10.05</v>
      </c>
      <c r="L1766" s="15" t="n">
        <f aca="false">AH1766*評分方法!$C$8</f>
        <v>13.05</v>
      </c>
      <c r="M1766" s="15" t="n">
        <f aca="false">AI1766*評分方法!$C$9</f>
        <v>6</v>
      </c>
      <c r="N1766" s="15" t="n">
        <f aca="false">AJ1766*評分方法!$C$10</f>
        <v>0.44</v>
      </c>
      <c r="O1766" s="15" t="n">
        <f aca="false">AK1766*評分方法!$C$11</f>
        <v>1</v>
      </c>
      <c r="P1766" s="15" t="n">
        <f aca="false">AL1766*評分方法!$C$12</f>
        <v>0</v>
      </c>
      <c r="Q1766" s="6" t="n">
        <v>129675</v>
      </c>
      <c r="R1766" s="6" t="n">
        <v>2779683840</v>
      </c>
      <c r="S1766" s="11" t="s">
        <v>254</v>
      </c>
      <c r="T1766" s="11" t="s">
        <v>185</v>
      </c>
      <c r="U1766" s="5" t="s">
        <v>260</v>
      </c>
      <c r="V1766" s="11" t="s">
        <v>333</v>
      </c>
      <c r="W1766" s="5" t="s">
        <v>207</v>
      </c>
      <c r="X1766" s="5" t="s">
        <v>242</v>
      </c>
      <c r="Y1766" s="11" t="s">
        <v>670</v>
      </c>
      <c r="Z1766" s="11" t="s">
        <v>244</v>
      </c>
      <c r="AA1766" s="11" t="s">
        <v>155</v>
      </c>
      <c r="AB1766" s="5" t="s">
        <v>245</v>
      </c>
      <c r="AC1766" s="5" t="s">
        <v>464</v>
      </c>
      <c r="AD1766" s="11" t="s">
        <v>4345</v>
      </c>
      <c r="AE1766" s="23" t="n">
        <v>0.85</v>
      </c>
      <c r="AF1766" s="23" t="n">
        <v>0</v>
      </c>
      <c r="AG1766" s="23" t="n">
        <v>0.67</v>
      </c>
      <c r="AH1766" s="23" t="n">
        <v>0.87</v>
      </c>
      <c r="AI1766" s="23" t="n">
        <v>0.6</v>
      </c>
      <c r="AJ1766" s="23" t="n">
        <v>0.044</v>
      </c>
      <c r="AK1766" s="23" t="n">
        <v>0.2</v>
      </c>
      <c r="AL1766" s="23" t="n">
        <v>0</v>
      </c>
      <c r="AM1766" s="16" t="n">
        <f aca="false">COUNTIFS($D$2:$D$2501,D1766,$G$2:$G$2501,"&gt;"&amp;G1766)+COUNTIFS($D$2:D1766,D1766,$G$2:G1766,G1766)</f>
        <v>836</v>
      </c>
      <c r="AN1766" s="5" t="str">
        <f aca="false">D1766&amp;"|"&amp;AM1766</f>
        <v>分析與報告生成|836</v>
      </c>
    </row>
    <row r="1767" customFormat="false" ht="17.15" hidden="false" customHeight="false" outlineLevel="0" collapsed="false">
      <c r="A1767" s="16" t="n">
        <f aca="false">RANK(G1767,$G$2:$G$2501)+COUNTIF($G$2:G1767,G1767)-1</f>
        <v>1766</v>
      </c>
      <c r="B1767" s="11" t="s">
        <v>4346</v>
      </c>
      <c r="C1767" s="11" t="s">
        <v>308</v>
      </c>
      <c r="D1767" s="5" t="s">
        <v>72</v>
      </c>
      <c r="E1767" s="5" t="s">
        <v>73</v>
      </c>
      <c r="F1767" s="5"/>
      <c r="G1767" s="22" t="n">
        <f aca="false">ROUND(SUM(I1767:P1767),3)</f>
        <v>56.032</v>
      </c>
      <c r="H1767" s="5" t="str">
        <f aca="false">IF(G1767&gt;=評分方法!$C$16,"優先評估",IF(G1767&gt;=評分方法!$C$17,"列入候選",IF(G1767&gt;=評分方法!$C$18,"特定情境","不建議")))</f>
        <v>不建議</v>
      </c>
      <c r="I1767" s="15" t="n">
        <f aca="false">AE1767*評分方法!$C$5</f>
        <v>15</v>
      </c>
      <c r="J1767" s="15" t="n">
        <f aca="false">AF1767*評分方法!$C$6</f>
        <v>0</v>
      </c>
      <c r="K1767" s="15" t="n">
        <f aca="false">AG1767*評分方法!$C$7</f>
        <v>15</v>
      </c>
      <c r="L1767" s="15" t="n">
        <f aca="false">AH1767*評分方法!$C$8</f>
        <v>15</v>
      </c>
      <c r="M1767" s="15" t="n">
        <f aca="false">AI1767*評分方法!$C$9</f>
        <v>2</v>
      </c>
      <c r="N1767" s="15" t="n">
        <f aca="false">AJ1767*評分方法!$C$10</f>
        <v>6.532</v>
      </c>
      <c r="O1767" s="15" t="n">
        <f aca="false">AK1767*評分方法!$C$11</f>
        <v>1</v>
      </c>
      <c r="P1767" s="15" t="n">
        <f aca="false">AL1767*評分方法!$C$12</f>
        <v>1.5</v>
      </c>
      <c r="Q1767" s="6" t="n">
        <v>762319</v>
      </c>
      <c r="R1767" s="6" t="n">
        <v>132993790</v>
      </c>
      <c r="S1767" s="11" t="s">
        <v>238</v>
      </c>
      <c r="T1767" s="5"/>
      <c r="U1767" s="5" t="s">
        <v>375</v>
      </c>
      <c r="V1767" s="11" t="s">
        <v>855</v>
      </c>
      <c r="W1767" s="5" t="s">
        <v>205</v>
      </c>
      <c r="X1767" s="5" t="s">
        <v>255</v>
      </c>
      <c r="Y1767" s="5"/>
      <c r="Z1767" s="5"/>
      <c r="AA1767" s="11" t="s">
        <v>162</v>
      </c>
      <c r="AB1767" s="5" t="s">
        <v>245</v>
      </c>
      <c r="AC1767" s="5" t="s">
        <v>262</v>
      </c>
      <c r="AD1767" s="11" t="s">
        <v>4347</v>
      </c>
      <c r="AE1767" s="23" t="n">
        <v>0.5</v>
      </c>
      <c r="AF1767" s="23" t="n">
        <v>0</v>
      </c>
      <c r="AG1767" s="23" t="n">
        <v>1</v>
      </c>
      <c r="AH1767" s="23" t="n">
        <v>1</v>
      </c>
      <c r="AI1767" s="23" t="n">
        <v>0.2</v>
      </c>
      <c r="AJ1767" s="23" t="n">
        <v>0.6532</v>
      </c>
      <c r="AK1767" s="23" t="n">
        <v>0.2</v>
      </c>
      <c r="AL1767" s="23" t="n">
        <v>0.3</v>
      </c>
      <c r="AM1767" s="16" t="n">
        <f aca="false">COUNTIFS($D$2:$D$2501,D1767,$G$2:$G$2501,"&gt;"&amp;G1767)+COUNTIFS($D$2:D1767,D1767,$G$2:G1767,G1767)</f>
        <v>27</v>
      </c>
      <c r="AN1767" s="5" t="str">
        <f aca="false">D1767&amp;"|"&amp;AM1767</f>
        <v>微調基底模型|27</v>
      </c>
    </row>
    <row r="1768" customFormat="false" ht="17.15" hidden="false" customHeight="false" outlineLevel="0" collapsed="false">
      <c r="A1768" s="16" t="n">
        <f aca="false">RANK(G1768,$G$2:$G$2501)+COUNTIF($G$2:G1768,G1768)-1</f>
        <v>1767</v>
      </c>
      <c r="B1768" s="11" t="s">
        <v>4348</v>
      </c>
      <c r="C1768" s="11" t="s">
        <v>3950</v>
      </c>
      <c r="D1768" s="5" t="s">
        <v>56</v>
      </c>
      <c r="E1768" s="5" t="s">
        <v>57</v>
      </c>
      <c r="F1768" s="5"/>
      <c r="G1768" s="22" t="n">
        <f aca="false">ROUND(SUM(I1768:P1768),3)</f>
        <v>56.028</v>
      </c>
      <c r="H1768" s="5" t="str">
        <f aca="false">IF(G1768&gt;=評分方法!$C$16,"優先評估",IF(G1768&gt;=評分方法!$C$17,"列入候選",IF(G1768&gt;=評分方法!$C$18,"特定情境","不建議")))</f>
        <v>不建議</v>
      </c>
      <c r="I1768" s="15" t="n">
        <f aca="false">AE1768*評分方法!$C$5</f>
        <v>24</v>
      </c>
      <c r="J1768" s="15" t="n">
        <f aca="false">AF1768*評分方法!$C$6</f>
        <v>0</v>
      </c>
      <c r="K1768" s="15" t="n">
        <f aca="false">AG1768*評分方法!$C$7</f>
        <v>4.95</v>
      </c>
      <c r="L1768" s="15" t="n">
        <f aca="false">AH1768*評分方法!$C$8</f>
        <v>13.05</v>
      </c>
      <c r="M1768" s="15" t="n">
        <f aca="false">AI1768*評分方法!$C$9</f>
        <v>2</v>
      </c>
      <c r="N1768" s="15" t="n">
        <f aca="false">AJ1768*評分方法!$C$10</f>
        <v>4.028</v>
      </c>
      <c r="O1768" s="15" t="n">
        <f aca="false">AK1768*評分方法!$C$11</f>
        <v>5</v>
      </c>
      <c r="P1768" s="15" t="n">
        <f aca="false">AL1768*評分方法!$C$12</f>
        <v>3</v>
      </c>
      <c r="Q1768" s="6" t="n">
        <v>421887</v>
      </c>
      <c r="R1768" s="6" t="n">
        <v>8698713408</v>
      </c>
      <c r="S1768" s="11" t="s">
        <v>254</v>
      </c>
      <c r="T1768" s="5"/>
      <c r="U1768" s="5" t="s">
        <v>375</v>
      </c>
      <c r="V1768" s="11" t="s">
        <v>261</v>
      </c>
      <c r="W1768" s="5" t="s">
        <v>334</v>
      </c>
      <c r="X1768" s="5" t="s">
        <v>371</v>
      </c>
      <c r="Y1768" s="11" t="s">
        <v>422</v>
      </c>
      <c r="Z1768" s="11" t="s">
        <v>244</v>
      </c>
      <c r="AA1768" s="11" t="s">
        <v>157</v>
      </c>
      <c r="AB1768" s="5" t="s">
        <v>496</v>
      </c>
      <c r="AC1768" s="5" t="s">
        <v>1108</v>
      </c>
      <c r="AD1768" s="11" t="s">
        <v>4349</v>
      </c>
      <c r="AE1768" s="23" t="n">
        <v>0.8</v>
      </c>
      <c r="AF1768" s="23" t="n">
        <v>0</v>
      </c>
      <c r="AG1768" s="23" t="n">
        <v>0.33</v>
      </c>
      <c r="AH1768" s="23" t="n">
        <v>0.87</v>
      </c>
      <c r="AI1768" s="23" t="n">
        <v>0.2</v>
      </c>
      <c r="AJ1768" s="23" t="n">
        <v>0.4028</v>
      </c>
      <c r="AK1768" s="23" t="n">
        <v>1</v>
      </c>
      <c r="AL1768" s="23" t="n">
        <v>0.6</v>
      </c>
      <c r="AM1768" s="16" t="n">
        <f aca="false">COUNTIFS($D$2:$D$2501,D1768,$G$2:$G$2501,"&gt;"&amp;G1768)+COUNTIFS($D$2:D1768,D1768,$G$2:G1768,G1768)</f>
        <v>837</v>
      </c>
      <c r="AN1768" s="5" t="str">
        <f aca="false">D1768&amp;"|"&amp;AM1768</f>
        <v>分析與報告生成|837</v>
      </c>
    </row>
    <row r="1769" customFormat="false" ht="17.15" hidden="false" customHeight="false" outlineLevel="0" collapsed="false">
      <c r="A1769" s="16" t="n">
        <f aca="false">RANK(G1769,$G$2:$G$2501)+COUNTIF($G$2:G1769,G1769)-1</f>
        <v>1768</v>
      </c>
      <c r="B1769" s="11" t="s">
        <v>4350</v>
      </c>
      <c r="C1769" s="11" t="s">
        <v>4351</v>
      </c>
      <c r="D1769" s="5" t="s">
        <v>54</v>
      </c>
      <c r="E1769" s="5" t="s">
        <v>55</v>
      </c>
      <c r="F1769" s="5"/>
      <c r="G1769" s="22" t="n">
        <f aca="false">ROUND(SUM(I1769:P1769),3)</f>
        <v>56.028</v>
      </c>
      <c r="H1769" s="5" t="str">
        <f aca="false">IF(G1769&gt;=評分方法!$C$16,"優先評估",IF(G1769&gt;=評分方法!$C$17,"列入候選",IF(G1769&gt;=評分方法!$C$18,"特定情境","不建議")))</f>
        <v>不建議</v>
      </c>
      <c r="I1769" s="15" t="n">
        <f aca="false">AE1769*評分方法!$C$5</f>
        <v>27</v>
      </c>
      <c r="J1769" s="15" t="n">
        <f aca="false">AF1769*評分方法!$C$6</f>
        <v>0</v>
      </c>
      <c r="K1769" s="15" t="n">
        <f aca="false">AG1769*評分方法!$C$7</f>
        <v>4.95</v>
      </c>
      <c r="L1769" s="15" t="n">
        <f aca="false">AH1769*評分方法!$C$8</f>
        <v>13.05</v>
      </c>
      <c r="M1769" s="15" t="n">
        <f aca="false">AI1769*評分方法!$C$9</f>
        <v>2</v>
      </c>
      <c r="N1769" s="15" t="n">
        <f aca="false">AJ1769*評分方法!$C$10</f>
        <v>3.528</v>
      </c>
      <c r="O1769" s="15" t="n">
        <f aca="false">AK1769*評分方法!$C$11</f>
        <v>4</v>
      </c>
      <c r="P1769" s="15" t="n">
        <f aca="false">AL1769*評分方法!$C$12</f>
        <v>1.5</v>
      </c>
      <c r="Q1769" s="6" t="n">
        <v>354456</v>
      </c>
      <c r="R1769" s="6" t="n">
        <v>8355276800</v>
      </c>
      <c r="S1769" s="11" t="s">
        <v>254</v>
      </c>
      <c r="T1769" s="5"/>
      <c r="U1769" s="5" t="s">
        <v>375</v>
      </c>
      <c r="V1769" s="11" t="s">
        <v>261</v>
      </c>
      <c r="W1769" s="5" t="s">
        <v>334</v>
      </c>
      <c r="X1769" s="5" t="s">
        <v>255</v>
      </c>
      <c r="Y1769" s="5"/>
      <c r="Z1769" s="5"/>
      <c r="AA1769" s="11" t="s">
        <v>152</v>
      </c>
      <c r="AB1769" s="5" t="s">
        <v>245</v>
      </c>
      <c r="AC1769" s="5" t="s">
        <v>262</v>
      </c>
      <c r="AD1769" s="11" t="s">
        <v>4352</v>
      </c>
      <c r="AE1769" s="23" t="n">
        <v>0.9</v>
      </c>
      <c r="AF1769" s="23" t="n">
        <v>0</v>
      </c>
      <c r="AG1769" s="23" t="n">
        <v>0.33</v>
      </c>
      <c r="AH1769" s="23" t="n">
        <v>0.87</v>
      </c>
      <c r="AI1769" s="23" t="n">
        <v>0.2</v>
      </c>
      <c r="AJ1769" s="23" t="n">
        <v>0.3528</v>
      </c>
      <c r="AK1769" s="23" t="n">
        <v>0.8</v>
      </c>
      <c r="AL1769" s="23" t="n">
        <v>0.3</v>
      </c>
      <c r="AM1769" s="16" t="n">
        <f aca="false">COUNTIFS($D$2:$D$2501,D1769,$G$2:$G$2501,"&gt;"&amp;G1769)+COUNTIFS($D$2:D1769,D1769,$G$2:G1769,G1769)</f>
        <v>217</v>
      </c>
      <c r="AN1769" s="5" t="str">
        <f aca="false">D1769&amp;"|"&amp;AM1769</f>
        <v>檢索與情資關聯|217</v>
      </c>
    </row>
    <row r="1770" customFormat="false" ht="17.15" hidden="false" customHeight="false" outlineLevel="0" collapsed="false">
      <c r="A1770" s="16" t="n">
        <f aca="false">RANK(G1770,$G$2:$G$2501)+COUNTIF($G$2:G1770,G1770)-1</f>
        <v>1769</v>
      </c>
      <c r="B1770" s="11" t="s">
        <v>4353</v>
      </c>
      <c r="C1770" s="11" t="s">
        <v>2693</v>
      </c>
      <c r="D1770" s="5" t="s">
        <v>74</v>
      </c>
      <c r="E1770" s="5" t="s">
        <v>75</v>
      </c>
      <c r="F1770" s="5"/>
      <c r="G1770" s="22" t="n">
        <f aca="false">ROUND(SUM(I1770:P1770),3)</f>
        <v>56.028</v>
      </c>
      <c r="H1770" s="5" t="str">
        <f aca="false">IF(G1770&gt;=評分方法!$C$16,"優先評估",IF(G1770&gt;=評分方法!$C$17,"列入候選",IF(G1770&gt;=評分方法!$C$18,"特定情境","不建議")))</f>
        <v>不建議</v>
      </c>
      <c r="I1770" s="15" t="n">
        <f aca="false">AE1770*評分方法!$C$5</f>
        <v>10.5</v>
      </c>
      <c r="J1770" s="15" t="n">
        <f aca="false">AF1770*評分方法!$C$6</f>
        <v>0</v>
      </c>
      <c r="K1770" s="15" t="n">
        <f aca="false">AG1770*評分方法!$C$7</f>
        <v>15</v>
      </c>
      <c r="L1770" s="15" t="n">
        <f aca="false">AH1770*評分方法!$C$8</f>
        <v>15</v>
      </c>
      <c r="M1770" s="15" t="n">
        <f aca="false">AI1770*評分方法!$C$9</f>
        <v>10</v>
      </c>
      <c r="N1770" s="15" t="n">
        <f aca="false">AJ1770*評分方法!$C$10</f>
        <v>1.528</v>
      </c>
      <c r="O1770" s="15" t="n">
        <f aca="false">AK1770*評分方法!$C$11</f>
        <v>2.5</v>
      </c>
      <c r="P1770" s="15" t="n">
        <f aca="false">AL1770*評分方法!$C$12</f>
        <v>1.5</v>
      </c>
      <c r="Q1770" s="6" t="n">
        <v>180829</v>
      </c>
      <c r="R1770" s="6" t="n">
        <v>428772800</v>
      </c>
      <c r="S1770" s="11" t="s">
        <v>238</v>
      </c>
      <c r="T1770" s="11" t="s">
        <v>239</v>
      </c>
      <c r="U1770" s="5" t="s">
        <v>240</v>
      </c>
      <c r="V1770" s="11" t="s">
        <v>324</v>
      </c>
      <c r="W1770" s="5" t="s">
        <v>205</v>
      </c>
      <c r="X1770" s="5" t="s">
        <v>255</v>
      </c>
      <c r="Y1770" s="5"/>
      <c r="Z1770" s="5"/>
      <c r="AA1770" s="11" t="s">
        <v>173</v>
      </c>
      <c r="AB1770" s="5" t="s">
        <v>245</v>
      </c>
      <c r="AC1770" s="5"/>
      <c r="AD1770" s="11" t="s">
        <v>4354</v>
      </c>
      <c r="AE1770" s="23" t="n">
        <v>0.35</v>
      </c>
      <c r="AF1770" s="23" t="n">
        <v>0</v>
      </c>
      <c r="AG1770" s="23" t="n">
        <v>1</v>
      </c>
      <c r="AH1770" s="23" t="n">
        <v>1</v>
      </c>
      <c r="AI1770" s="23" t="n">
        <v>1</v>
      </c>
      <c r="AJ1770" s="23" t="n">
        <v>0.1528</v>
      </c>
      <c r="AK1770" s="23" t="n">
        <v>0.5</v>
      </c>
      <c r="AL1770" s="23" t="n">
        <v>0.3</v>
      </c>
      <c r="AM1770" s="16" t="n">
        <f aca="false">COUNTIFS($D$2:$D$2501,D1770,$G$2:$G$2501,"&gt;"&amp;G1770)+COUNTIFS($D$2:D1770,D1770,$G$2:G1770,G1770)</f>
        <v>183</v>
      </c>
      <c r="AN1770" s="5" t="str">
        <f aca="false">D1770&amp;"|"&amp;AM1770</f>
        <v>文件與影像辨識|183</v>
      </c>
    </row>
    <row r="1771" customFormat="false" ht="17.15" hidden="false" customHeight="false" outlineLevel="0" collapsed="false">
      <c r="A1771" s="16" t="n">
        <f aca="false">RANK(G1771,$G$2:$G$2501)+COUNTIF($G$2:G1771,G1771)-1</f>
        <v>1770</v>
      </c>
      <c r="B1771" s="11" t="s">
        <v>4355</v>
      </c>
      <c r="C1771" s="11" t="s">
        <v>2693</v>
      </c>
      <c r="D1771" s="5" t="s">
        <v>74</v>
      </c>
      <c r="E1771" s="5" t="s">
        <v>75</v>
      </c>
      <c r="F1771" s="5"/>
      <c r="G1771" s="22" t="n">
        <f aca="false">ROUND(SUM(I1771:P1771),3)</f>
        <v>56.028</v>
      </c>
      <c r="H1771" s="5" t="str">
        <f aca="false">IF(G1771&gt;=評分方法!$C$16,"優先評估",IF(G1771&gt;=評分方法!$C$17,"列入候選",IF(G1771&gt;=評分方法!$C$18,"特定情境","不建議")))</f>
        <v>不建議</v>
      </c>
      <c r="I1771" s="15" t="n">
        <f aca="false">AE1771*評分方法!$C$5</f>
        <v>12</v>
      </c>
      <c r="J1771" s="15" t="n">
        <f aca="false">AF1771*評分方法!$C$6</f>
        <v>0</v>
      </c>
      <c r="K1771" s="15" t="n">
        <f aca="false">AG1771*評分方法!$C$7</f>
        <v>15</v>
      </c>
      <c r="L1771" s="15" t="n">
        <f aca="false">AH1771*評分方法!$C$8</f>
        <v>15</v>
      </c>
      <c r="M1771" s="15" t="n">
        <f aca="false">AI1771*評分方法!$C$9</f>
        <v>10</v>
      </c>
      <c r="N1771" s="15" t="n">
        <f aca="false">AJ1771*評分方法!$C$10</f>
        <v>0.028</v>
      </c>
      <c r="O1771" s="15" t="n">
        <f aca="false">AK1771*評分方法!$C$11</f>
        <v>2.5</v>
      </c>
      <c r="P1771" s="15" t="n">
        <f aca="false">AL1771*評分方法!$C$12</f>
        <v>1.5</v>
      </c>
      <c r="Q1771" s="6" t="n">
        <v>117958</v>
      </c>
      <c r="R1771" s="6" t="n">
        <v>38370144</v>
      </c>
      <c r="S1771" s="11" t="s">
        <v>238</v>
      </c>
      <c r="T1771" s="11" t="s">
        <v>278</v>
      </c>
      <c r="U1771" s="5" t="s">
        <v>240</v>
      </c>
      <c r="V1771" s="11" t="s">
        <v>324</v>
      </c>
      <c r="W1771" s="5" t="s">
        <v>205</v>
      </c>
      <c r="X1771" s="5" t="s">
        <v>255</v>
      </c>
      <c r="Y1771" s="5"/>
      <c r="Z1771" s="5"/>
      <c r="AA1771" s="11" t="s">
        <v>167</v>
      </c>
      <c r="AB1771" s="5" t="s">
        <v>245</v>
      </c>
      <c r="AC1771" s="5"/>
      <c r="AD1771" s="11" t="s">
        <v>4356</v>
      </c>
      <c r="AE1771" s="23" t="n">
        <v>0.4</v>
      </c>
      <c r="AF1771" s="23" t="n">
        <v>0</v>
      </c>
      <c r="AG1771" s="23" t="n">
        <v>1</v>
      </c>
      <c r="AH1771" s="23" t="n">
        <v>1</v>
      </c>
      <c r="AI1771" s="23" t="n">
        <v>1</v>
      </c>
      <c r="AJ1771" s="23" t="n">
        <v>0.0028</v>
      </c>
      <c r="AK1771" s="23" t="n">
        <v>0.5</v>
      </c>
      <c r="AL1771" s="23" t="n">
        <v>0.3</v>
      </c>
      <c r="AM1771" s="16" t="n">
        <f aca="false">COUNTIFS($D$2:$D$2501,D1771,$G$2:$G$2501,"&gt;"&amp;G1771)+COUNTIFS($D$2:D1771,D1771,$G$2:G1771,G1771)</f>
        <v>184</v>
      </c>
      <c r="AN1771" s="5" t="str">
        <f aca="false">D1771&amp;"|"&amp;AM1771</f>
        <v>文件與影像辨識|184</v>
      </c>
    </row>
    <row r="1772" customFormat="false" ht="17.15" hidden="false" customHeight="false" outlineLevel="0" collapsed="false">
      <c r="A1772" s="16" t="n">
        <f aca="false">RANK(G1772,$G$2:$G$2501)+COUNTIF($G$2:G1772,G1772)-1</f>
        <v>1771</v>
      </c>
      <c r="B1772" s="11" t="s">
        <v>4357</v>
      </c>
      <c r="C1772" s="11" t="s">
        <v>753</v>
      </c>
      <c r="D1772" s="5" t="s">
        <v>56</v>
      </c>
      <c r="E1772" s="5" t="s">
        <v>57</v>
      </c>
      <c r="F1772" s="5"/>
      <c r="G1772" s="22" t="n">
        <f aca="false">ROUND(SUM(I1772:P1772),3)</f>
        <v>56.02</v>
      </c>
      <c r="H1772" s="5" t="str">
        <f aca="false">IF(G1772&gt;=評分方法!$C$16,"優先評估",IF(G1772&gt;=評分方法!$C$17,"列入候選",IF(G1772&gt;=評分方法!$C$18,"特定情境","不建議")))</f>
        <v>不建議</v>
      </c>
      <c r="I1772" s="15" t="n">
        <f aca="false">AE1772*評分方法!$C$5</f>
        <v>25.5</v>
      </c>
      <c r="J1772" s="15" t="n">
        <f aca="false">AF1772*評分方法!$C$6</f>
        <v>0</v>
      </c>
      <c r="K1772" s="15" t="n">
        <f aca="false">AG1772*評分方法!$C$7</f>
        <v>10.05</v>
      </c>
      <c r="L1772" s="15" t="n">
        <f aca="false">AH1772*評分方法!$C$8</f>
        <v>13.05</v>
      </c>
      <c r="M1772" s="15" t="n">
        <f aca="false">AI1772*評分方法!$C$9</f>
        <v>6</v>
      </c>
      <c r="N1772" s="15" t="n">
        <f aca="false">AJ1772*評分方法!$C$10</f>
        <v>0.42</v>
      </c>
      <c r="O1772" s="15" t="n">
        <f aca="false">AK1772*評分方法!$C$11</f>
        <v>1</v>
      </c>
      <c r="P1772" s="15" t="n">
        <f aca="false">AL1772*評分方法!$C$12</f>
        <v>0</v>
      </c>
      <c r="Q1772" s="6" t="n">
        <v>129033</v>
      </c>
      <c r="R1772" s="6" t="n">
        <v>2614341888</v>
      </c>
      <c r="S1772" s="11" t="s">
        <v>254</v>
      </c>
      <c r="T1772" s="11" t="s">
        <v>658</v>
      </c>
      <c r="U1772" s="5" t="s">
        <v>260</v>
      </c>
      <c r="V1772" s="11" t="s">
        <v>261</v>
      </c>
      <c r="W1772" s="5" t="s">
        <v>207</v>
      </c>
      <c r="X1772" s="5" t="s">
        <v>242</v>
      </c>
      <c r="Y1772" s="5"/>
      <c r="Z1772" s="5"/>
      <c r="AA1772" s="11" t="s">
        <v>155</v>
      </c>
      <c r="AB1772" s="5" t="s">
        <v>245</v>
      </c>
      <c r="AC1772" s="5" t="s">
        <v>262</v>
      </c>
      <c r="AD1772" s="11" t="s">
        <v>4358</v>
      </c>
      <c r="AE1772" s="23" t="n">
        <v>0.85</v>
      </c>
      <c r="AF1772" s="23" t="n">
        <v>0</v>
      </c>
      <c r="AG1772" s="23" t="n">
        <v>0.67</v>
      </c>
      <c r="AH1772" s="23" t="n">
        <v>0.87</v>
      </c>
      <c r="AI1772" s="23" t="n">
        <v>0.6</v>
      </c>
      <c r="AJ1772" s="23" t="n">
        <v>0.042</v>
      </c>
      <c r="AK1772" s="23" t="n">
        <v>0.2</v>
      </c>
      <c r="AL1772" s="23" t="n">
        <v>0</v>
      </c>
      <c r="AM1772" s="16" t="n">
        <f aca="false">COUNTIFS($D$2:$D$2501,D1772,$G$2:$G$2501,"&gt;"&amp;G1772)+COUNTIFS($D$2:D1772,D1772,$G$2:G1772,G1772)</f>
        <v>838</v>
      </c>
      <c r="AN1772" s="5" t="str">
        <f aca="false">D1772&amp;"|"&amp;AM1772</f>
        <v>分析與報告生成|838</v>
      </c>
    </row>
    <row r="1773" customFormat="false" ht="17.15" hidden="false" customHeight="false" outlineLevel="0" collapsed="false">
      <c r="A1773" s="16" t="n">
        <f aca="false">RANK(G1773,$G$2:$G$2501)+COUNTIF($G$2:G1773,G1773)-1</f>
        <v>1772</v>
      </c>
      <c r="B1773" s="11" t="s">
        <v>4359</v>
      </c>
      <c r="C1773" s="11" t="s">
        <v>308</v>
      </c>
      <c r="D1773" s="5" t="s">
        <v>56</v>
      </c>
      <c r="E1773" s="5" t="s">
        <v>57</v>
      </c>
      <c r="F1773" s="5"/>
      <c r="G1773" s="22" t="n">
        <f aca="false">ROUND(SUM(I1773:P1773),3)</f>
        <v>56.008</v>
      </c>
      <c r="H1773" s="5" t="str">
        <f aca="false">IF(G1773&gt;=評分方法!$C$16,"優先評估",IF(G1773&gt;=評分方法!$C$17,"列入候選",IF(G1773&gt;=評分方法!$C$18,"特定情境","不建議")))</f>
        <v>不建議</v>
      </c>
      <c r="I1773" s="15" t="n">
        <f aca="false">AE1773*評分方法!$C$5</f>
        <v>18</v>
      </c>
      <c r="J1773" s="15" t="n">
        <f aca="false">AF1773*評分方法!$C$6</f>
        <v>0</v>
      </c>
      <c r="K1773" s="15" t="n">
        <f aca="false">AG1773*評分方法!$C$7</f>
        <v>15</v>
      </c>
      <c r="L1773" s="15" t="n">
        <f aca="false">AH1773*評分方法!$C$8</f>
        <v>15</v>
      </c>
      <c r="M1773" s="15" t="n">
        <f aca="false">AI1773*評分方法!$C$9</f>
        <v>2</v>
      </c>
      <c r="N1773" s="15" t="n">
        <f aca="false">AJ1773*評分方法!$C$10</f>
        <v>5.008</v>
      </c>
      <c r="O1773" s="15" t="n">
        <f aca="false">AK1773*評分方法!$C$11</f>
        <v>1</v>
      </c>
      <c r="P1773" s="15" t="n">
        <f aca="false">AL1773*評分方法!$C$12</f>
        <v>0</v>
      </c>
      <c r="Q1773" s="6" t="n">
        <v>539040</v>
      </c>
      <c r="R1773" s="6" t="n">
        <v>391321600</v>
      </c>
      <c r="S1773" s="11" t="s">
        <v>238</v>
      </c>
      <c r="T1773" s="5"/>
      <c r="U1773" s="5" t="s">
        <v>375</v>
      </c>
      <c r="V1773" s="11" t="s">
        <v>324</v>
      </c>
      <c r="W1773" s="5" t="s">
        <v>205</v>
      </c>
      <c r="X1773" s="5" t="s">
        <v>242</v>
      </c>
      <c r="Y1773" s="5"/>
      <c r="Z1773" s="5"/>
      <c r="AA1773" s="11" t="s">
        <v>161</v>
      </c>
      <c r="AB1773" s="5" t="s">
        <v>983</v>
      </c>
      <c r="AC1773" s="5" t="s">
        <v>4360</v>
      </c>
      <c r="AD1773" s="11" t="s">
        <v>4361</v>
      </c>
      <c r="AE1773" s="23" t="n">
        <v>0.6</v>
      </c>
      <c r="AF1773" s="23" t="n">
        <v>0</v>
      </c>
      <c r="AG1773" s="23" t="n">
        <v>1</v>
      </c>
      <c r="AH1773" s="23" t="n">
        <v>1</v>
      </c>
      <c r="AI1773" s="23" t="n">
        <v>0.2</v>
      </c>
      <c r="AJ1773" s="23" t="n">
        <v>0.5008</v>
      </c>
      <c r="AK1773" s="23" t="n">
        <v>0.2</v>
      </c>
      <c r="AL1773" s="23" t="n">
        <v>0</v>
      </c>
      <c r="AM1773" s="16" t="n">
        <f aca="false">COUNTIFS($D$2:$D$2501,D1773,$G$2:$G$2501,"&gt;"&amp;G1773)+COUNTIFS($D$2:D1773,D1773,$G$2:G1773,G1773)</f>
        <v>839</v>
      </c>
      <c r="AN1773" s="5" t="str">
        <f aca="false">D1773&amp;"|"&amp;AM1773</f>
        <v>分析與報告生成|839</v>
      </c>
    </row>
    <row r="1774" customFormat="false" ht="17.15" hidden="false" customHeight="false" outlineLevel="0" collapsed="false">
      <c r="A1774" s="16" t="n">
        <f aca="false">RANK(G1774,$G$2:$G$2501)+COUNTIF($G$2:G1774,G1774)-1</f>
        <v>1773</v>
      </c>
      <c r="B1774" s="11" t="s">
        <v>4362</v>
      </c>
      <c r="C1774" s="11" t="s">
        <v>4363</v>
      </c>
      <c r="D1774" s="5" t="s">
        <v>54</v>
      </c>
      <c r="E1774" s="5" t="s">
        <v>55</v>
      </c>
      <c r="F1774" s="5"/>
      <c r="G1774" s="22" t="n">
        <f aca="false">ROUND(SUM(I1774:P1774),3)</f>
        <v>55.99</v>
      </c>
      <c r="H1774" s="5" t="str">
        <f aca="false">IF(G1774&gt;=評分方法!$C$16,"優先評估",IF(G1774&gt;=評分方法!$C$17,"列入候選",IF(G1774&gt;=評分方法!$C$18,"特定情境","不建議")))</f>
        <v>不建議</v>
      </c>
      <c r="I1774" s="15" t="n">
        <f aca="false">AE1774*評分方法!$C$5</f>
        <v>16.2</v>
      </c>
      <c r="J1774" s="15" t="n">
        <f aca="false">AF1774*評分方法!$C$6</f>
        <v>0</v>
      </c>
      <c r="K1774" s="15" t="n">
        <f aca="false">AG1774*評分方法!$C$7</f>
        <v>4.95</v>
      </c>
      <c r="L1774" s="15" t="n">
        <f aca="false">AH1774*評分方法!$C$8</f>
        <v>15</v>
      </c>
      <c r="M1774" s="15" t="n">
        <f aca="false">AI1774*評分方法!$C$9</f>
        <v>10</v>
      </c>
      <c r="N1774" s="15" t="n">
        <f aca="false">AJ1774*評分方法!$C$10</f>
        <v>8.84</v>
      </c>
      <c r="O1774" s="15" t="n">
        <f aca="false">AK1774*評分方法!$C$11</f>
        <v>1</v>
      </c>
      <c r="P1774" s="15" t="n">
        <f aca="false">AL1774*評分方法!$C$12</f>
        <v>0</v>
      </c>
      <c r="Q1774" s="6" t="n">
        <v>3168164</v>
      </c>
      <c r="R1774" s="6" t="n">
        <v>134998272</v>
      </c>
      <c r="S1774" s="11" t="s">
        <v>238</v>
      </c>
      <c r="T1774" s="11" t="s">
        <v>239</v>
      </c>
      <c r="U1774" s="5" t="s">
        <v>240</v>
      </c>
      <c r="V1774" s="11" t="s">
        <v>324</v>
      </c>
      <c r="W1774" s="5" t="s">
        <v>334</v>
      </c>
      <c r="X1774" s="5" t="s">
        <v>242</v>
      </c>
      <c r="Y1774" s="5"/>
      <c r="Z1774" s="5"/>
      <c r="AA1774" s="11" t="s">
        <v>152</v>
      </c>
      <c r="AB1774" s="5" t="s">
        <v>245</v>
      </c>
      <c r="AC1774" s="5" t="s">
        <v>1463</v>
      </c>
      <c r="AD1774" s="11" t="s">
        <v>4364</v>
      </c>
      <c r="AE1774" s="23" t="n">
        <v>0.54</v>
      </c>
      <c r="AF1774" s="23" t="n">
        <v>0</v>
      </c>
      <c r="AG1774" s="23" t="n">
        <v>0.33</v>
      </c>
      <c r="AH1774" s="23" t="n">
        <v>1</v>
      </c>
      <c r="AI1774" s="23" t="n">
        <v>1</v>
      </c>
      <c r="AJ1774" s="23" t="n">
        <v>0.884</v>
      </c>
      <c r="AK1774" s="23" t="n">
        <v>0.2</v>
      </c>
      <c r="AL1774" s="23" t="n">
        <v>0</v>
      </c>
      <c r="AM1774" s="16" t="n">
        <f aca="false">COUNTIFS($D$2:$D$2501,D1774,$G$2:$G$2501,"&gt;"&amp;G1774)+COUNTIFS($D$2:D1774,D1774,$G$2:G1774,G1774)</f>
        <v>218</v>
      </c>
      <c r="AN1774" s="5" t="str">
        <f aca="false">D1774&amp;"|"&amp;AM1774</f>
        <v>檢索與情資關聯|218</v>
      </c>
    </row>
    <row r="1775" customFormat="false" ht="17.15" hidden="false" customHeight="false" outlineLevel="0" collapsed="false">
      <c r="A1775" s="16" t="n">
        <f aca="false">RANK(G1775,$G$2:$G$2501)+COUNTIF($G$2:G1775,G1775)-1</f>
        <v>1774</v>
      </c>
      <c r="B1775" s="11" t="s">
        <v>4365</v>
      </c>
      <c r="C1775" s="11" t="s">
        <v>3249</v>
      </c>
      <c r="D1775" s="5" t="s">
        <v>56</v>
      </c>
      <c r="E1775" s="5" t="s">
        <v>57</v>
      </c>
      <c r="F1775" s="5"/>
      <c r="G1775" s="22" t="n">
        <f aca="false">ROUND(SUM(I1775:P1775),3)</f>
        <v>55.984</v>
      </c>
      <c r="H1775" s="5" t="str">
        <f aca="false">IF(G1775&gt;=評分方法!$C$16,"優先評估",IF(G1775&gt;=評分方法!$C$17,"列入候選",IF(G1775&gt;=評分方法!$C$18,"特定情境","不建議")))</f>
        <v>不建議</v>
      </c>
      <c r="I1775" s="15" t="n">
        <f aca="false">AE1775*評分方法!$C$5</f>
        <v>25.5</v>
      </c>
      <c r="J1775" s="15" t="n">
        <f aca="false">AF1775*評分方法!$C$6</f>
        <v>0</v>
      </c>
      <c r="K1775" s="15" t="n">
        <f aca="false">AG1775*評分方法!$C$7</f>
        <v>4.95</v>
      </c>
      <c r="L1775" s="15" t="n">
        <f aca="false">AH1775*評分方法!$C$8</f>
        <v>13.05</v>
      </c>
      <c r="M1775" s="15" t="n">
        <f aca="false">AI1775*評分方法!$C$9</f>
        <v>6</v>
      </c>
      <c r="N1775" s="15" t="n">
        <f aca="false">AJ1775*評分方法!$C$10</f>
        <v>2.484</v>
      </c>
      <c r="O1775" s="15" t="n">
        <f aca="false">AK1775*評分方法!$C$11</f>
        <v>1</v>
      </c>
      <c r="P1775" s="15" t="n">
        <f aca="false">AL1775*評分方法!$C$12</f>
        <v>3</v>
      </c>
      <c r="Q1775" s="6" t="n">
        <v>249397</v>
      </c>
      <c r="R1775" s="6" t="n">
        <v>6738546688</v>
      </c>
      <c r="S1775" s="11" t="s">
        <v>254</v>
      </c>
      <c r="T1775" s="11" t="s">
        <v>1153</v>
      </c>
      <c r="U1775" s="5" t="s">
        <v>260</v>
      </c>
      <c r="V1775" s="11" t="s">
        <v>324</v>
      </c>
      <c r="W1775" s="5" t="s">
        <v>334</v>
      </c>
      <c r="X1775" s="5" t="s">
        <v>371</v>
      </c>
      <c r="Y1775" s="5"/>
      <c r="Z1775" s="5"/>
      <c r="AA1775" s="11" t="s">
        <v>155</v>
      </c>
      <c r="AB1775" s="5" t="s">
        <v>245</v>
      </c>
      <c r="AC1775" s="5" t="s">
        <v>262</v>
      </c>
      <c r="AD1775" s="11" t="s">
        <v>4366</v>
      </c>
      <c r="AE1775" s="23" t="n">
        <v>0.85</v>
      </c>
      <c r="AF1775" s="23" t="n">
        <v>0</v>
      </c>
      <c r="AG1775" s="23" t="n">
        <v>0.33</v>
      </c>
      <c r="AH1775" s="23" t="n">
        <v>0.87</v>
      </c>
      <c r="AI1775" s="23" t="n">
        <v>0.6</v>
      </c>
      <c r="AJ1775" s="23" t="n">
        <v>0.2484</v>
      </c>
      <c r="AK1775" s="23" t="n">
        <v>0.2</v>
      </c>
      <c r="AL1775" s="23" t="n">
        <v>0.6</v>
      </c>
      <c r="AM1775" s="16" t="n">
        <f aca="false">COUNTIFS($D$2:$D$2501,D1775,$G$2:$G$2501,"&gt;"&amp;G1775)+COUNTIFS($D$2:D1775,D1775,$G$2:G1775,G1775)</f>
        <v>840</v>
      </c>
      <c r="AN1775" s="5" t="str">
        <f aca="false">D1775&amp;"|"&amp;AM1775</f>
        <v>分析與報告生成|840</v>
      </c>
    </row>
    <row r="1776" customFormat="false" ht="17.15" hidden="false" customHeight="false" outlineLevel="0" collapsed="false">
      <c r="A1776" s="16" t="n">
        <f aca="false">RANK(G1776,$G$2:$G$2501)+COUNTIF($G$2:G1776,G1776)-1</f>
        <v>1775</v>
      </c>
      <c r="B1776" s="11" t="s">
        <v>4367</v>
      </c>
      <c r="C1776" s="11" t="s">
        <v>4368</v>
      </c>
      <c r="D1776" s="5" t="s">
        <v>54</v>
      </c>
      <c r="E1776" s="5" t="s">
        <v>55</v>
      </c>
      <c r="F1776" s="5"/>
      <c r="G1776" s="22" t="n">
        <f aca="false">ROUND(SUM(I1776:P1776),3)</f>
        <v>55.978</v>
      </c>
      <c r="H1776" s="5" t="str">
        <f aca="false">IF(G1776&gt;=評分方法!$C$16,"優先評估",IF(G1776&gt;=評分方法!$C$17,"列入候選",IF(G1776&gt;=評分方法!$C$18,"特定情境","不建議")))</f>
        <v>不建議</v>
      </c>
      <c r="I1776" s="15" t="n">
        <f aca="false">AE1776*評分方法!$C$5</f>
        <v>27</v>
      </c>
      <c r="J1776" s="15" t="n">
        <f aca="false">AF1776*評分方法!$C$6</f>
        <v>0</v>
      </c>
      <c r="K1776" s="15" t="n">
        <f aca="false">AG1776*評分方法!$C$7</f>
        <v>4.95</v>
      </c>
      <c r="L1776" s="15" t="n">
        <f aca="false">AH1776*評分方法!$C$8</f>
        <v>15</v>
      </c>
      <c r="M1776" s="15" t="n">
        <f aca="false">AI1776*評分方法!$C$9</f>
        <v>2</v>
      </c>
      <c r="N1776" s="15" t="n">
        <f aca="false">AJ1776*評分方法!$C$10</f>
        <v>0.528</v>
      </c>
      <c r="O1776" s="15" t="n">
        <f aca="false">AK1776*評分方法!$C$11</f>
        <v>5</v>
      </c>
      <c r="P1776" s="15" t="n">
        <f aca="false">AL1776*評分方法!$C$12</f>
        <v>1.5</v>
      </c>
      <c r="Q1776" s="6" t="n">
        <v>133451</v>
      </c>
      <c r="R1776" s="6" t="n">
        <v>278043648</v>
      </c>
      <c r="S1776" s="11" t="s">
        <v>238</v>
      </c>
      <c r="T1776" s="5"/>
      <c r="U1776" s="5" t="s">
        <v>375</v>
      </c>
      <c r="V1776" s="11" t="s">
        <v>261</v>
      </c>
      <c r="W1776" s="5" t="s">
        <v>334</v>
      </c>
      <c r="X1776" s="5" t="s">
        <v>255</v>
      </c>
      <c r="Y1776" s="5"/>
      <c r="Z1776" s="5"/>
      <c r="AA1776" s="11" t="s">
        <v>152</v>
      </c>
      <c r="AB1776" s="5" t="s">
        <v>245</v>
      </c>
      <c r="AC1776" s="5" t="s">
        <v>262</v>
      </c>
      <c r="AD1776" s="11" t="s">
        <v>4369</v>
      </c>
      <c r="AE1776" s="23" t="n">
        <v>0.9</v>
      </c>
      <c r="AF1776" s="23" t="n">
        <v>0</v>
      </c>
      <c r="AG1776" s="23" t="n">
        <v>0.33</v>
      </c>
      <c r="AH1776" s="23" t="n">
        <v>1</v>
      </c>
      <c r="AI1776" s="23" t="n">
        <v>0.2</v>
      </c>
      <c r="AJ1776" s="23" t="n">
        <v>0.0528</v>
      </c>
      <c r="AK1776" s="23" t="n">
        <v>1</v>
      </c>
      <c r="AL1776" s="23" t="n">
        <v>0.3</v>
      </c>
      <c r="AM1776" s="16" t="n">
        <f aca="false">COUNTIFS($D$2:$D$2501,D1776,$G$2:$G$2501,"&gt;"&amp;G1776)+COUNTIFS($D$2:D1776,D1776,$G$2:G1776,G1776)</f>
        <v>219</v>
      </c>
      <c r="AN1776" s="5" t="str">
        <f aca="false">D1776&amp;"|"&amp;AM1776</f>
        <v>檢索與情資關聯|219</v>
      </c>
    </row>
    <row r="1777" customFormat="false" ht="17.15" hidden="false" customHeight="false" outlineLevel="0" collapsed="false">
      <c r="A1777" s="16" t="n">
        <f aca="false">RANK(G1777,$G$2:$G$2501)+COUNTIF($G$2:G1777,G1777)-1</f>
        <v>1776</v>
      </c>
      <c r="B1777" s="11" t="s">
        <v>4370</v>
      </c>
      <c r="C1777" s="11" t="s">
        <v>2597</v>
      </c>
      <c r="D1777" s="5" t="s">
        <v>56</v>
      </c>
      <c r="E1777" s="5" t="s">
        <v>57</v>
      </c>
      <c r="F1777" s="5"/>
      <c r="G1777" s="22" t="n">
        <f aca="false">ROUND(SUM(I1777:P1777),3)</f>
        <v>55.952</v>
      </c>
      <c r="H1777" s="5" t="str">
        <f aca="false">IF(G1777&gt;=評分方法!$C$16,"優先評估",IF(G1777&gt;=評分方法!$C$17,"列入候選",IF(G1777&gt;=評分方法!$C$18,"特定情境","不建議")))</f>
        <v>不建議</v>
      </c>
      <c r="I1777" s="15" t="n">
        <f aca="false">AE1777*評分方法!$C$5</f>
        <v>25.5</v>
      </c>
      <c r="J1777" s="15" t="n">
        <f aca="false">AF1777*評分方法!$C$6</f>
        <v>0</v>
      </c>
      <c r="K1777" s="15" t="n">
        <f aca="false">AG1777*評分方法!$C$7</f>
        <v>4.95</v>
      </c>
      <c r="L1777" s="15" t="n">
        <f aca="false">AH1777*評分方法!$C$8</f>
        <v>13.05</v>
      </c>
      <c r="M1777" s="15" t="n">
        <f aca="false">AI1777*評分方法!$C$9</f>
        <v>6</v>
      </c>
      <c r="N1777" s="15" t="n">
        <f aca="false">AJ1777*評分方法!$C$10</f>
        <v>2.452</v>
      </c>
      <c r="O1777" s="15" t="n">
        <f aca="false">AK1777*評分方法!$C$11</f>
        <v>4</v>
      </c>
      <c r="P1777" s="15" t="n">
        <f aca="false">AL1777*評分方法!$C$12</f>
        <v>0</v>
      </c>
      <c r="Q1777" s="6" t="n">
        <v>247236</v>
      </c>
      <c r="R1777" s="6" t="n">
        <v>5053827112</v>
      </c>
      <c r="S1777" s="11" t="s">
        <v>254</v>
      </c>
      <c r="T1777" s="11" t="s">
        <v>185</v>
      </c>
      <c r="U1777" s="5" t="s">
        <v>260</v>
      </c>
      <c r="V1777" s="11" t="s">
        <v>261</v>
      </c>
      <c r="W1777" s="5" t="s">
        <v>334</v>
      </c>
      <c r="X1777" s="5" t="s">
        <v>242</v>
      </c>
      <c r="Y1777" s="11" t="s">
        <v>3229</v>
      </c>
      <c r="Z1777" s="11" t="s">
        <v>244</v>
      </c>
      <c r="AA1777" s="11" t="s">
        <v>155</v>
      </c>
      <c r="AB1777" s="5" t="s">
        <v>245</v>
      </c>
      <c r="AC1777" s="5" t="s">
        <v>464</v>
      </c>
      <c r="AD1777" s="11" t="s">
        <v>4371</v>
      </c>
      <c r="AE1777" s="23" t="n">
        <v>0.85</v>
      </c>
      <c r="AF1777" s="23" t="n">
        <v>0</v>
      </c>
      <c r="AG1777" s="23" t="n">
        <v>0.33</v>
      </c>
      <c r="AH1777" s="23" t="n">
        <v>0.87</v>
      </c>
      <c r="AI1777" s="23" t="n">
        <v>0.6</v>
      </c>
      <c r="AJ1777" s="23" t="n">
        <v>0.2452</v>
      </c>
      <c r="AK1777" s="23" t="n">
        <v>0.8</v>
      </c>
      <c r="AL1777" s="23" t="n">
        <v>0</v>
      </c>
      <c r="AM1777" s="16" t="n">
        <f aca="false">COUNTIFS($D$2:$D$2501,D1777,$G$2:$G$2501,"&gt;"&amp;G1777)+COUNTIFS($D$2:D1777,D1777,$G$2:G1777,G1777)</f>
        <v>841</v>
      </c>
      <c r="AN1777" s="5" t="str">
        <f aca="false">D1777&amp;"|"&amp;AM1777</f>
        <v>分析與報告生成|841</v>
      </c>
    </row>
    <row r="1778" customFormat="false" ht="17.15" hidden="false" customHeight="false" outlineLevel="0" collapsed="false">
      <c r="A1778" s="16" t="n">
        <f aca="false">RANK(G1778,$G$2:$G$2501)+COUNTIF($G$2:G1778,G1778)-1</f>
        <v>1777</v>
      </c>
      <c r="B1778" s="11" t="s">
        <v>4372</v>
      </c>
      <c r="C1778" s="11" t="s">
        <v>2309</v>
      </c>
      <c r="D1778" s="5" t="s">
        <v>74</v>
      </c>
      <c r="E1778" s="5" t="s">
        <v>75</v>
      </c>
      <c r="F1778" s="5"/>
      <c r="G1778" s="22" t="n">
        <f aca="false">ROUND(SUM(I1778:P1778),3)</f>
        <v>55.946</v>
      </c>
      <c r="H1778" s="5" t="str">
        <f aca="false">IF(G1778&gt;=評分方法!$C$16,"優先評估",IF(G1778&gt;=評分方法!$C$17,"列入候選",IF(G1778&gt;=評分方法!$C$18,"特定情境","不建議")))</f>
        <v>不建議</v>
      </c>
      <c r="I1778" s="15" t="n">
        <f aca="false">AE1778*評分方法!$C$5</f>
        <v>12</v>
      </c>
      <c r="J1778" s="15" t="n">
        <f aca="false">AF1778*評分方法!$C$6</f>
        <v>0</v>
      </c>
      <c r="K1778" s="15" t="n">
        <f aca="false">AG1778*評分方法!$C$7</f>
        <v>15</v>
      </c>
      <c r="L1778" s="15" t="n">
        <f aca="false">AH1778*評分方法!$C$8</f>
        <v>7.05</v>
      </c>
      <c r="M1778" s="15" t="n">
        <f aca="false">AI1778*評分方法!$C$9</f>
        <v>10</v>
      </c>
      <c r="N1778" s="15" t="n">
        <f aca="false">AJ1778*評分方法!$C$10</f>
        <v>9.396</v>
      </c>
      <c r="O1778" s="15" t="n">
        <f aca="false">AK1778*評分方法!$C$11</f>
        <v>1</v>
      </c>
      <c r="P1778" s="15" t="n">
        <f aca="false">AL1778*評分方法!$C$12</f>
        <v>1.5</v>
      </c>
      <c r="Q1778" s="6" t="n">
        <v>7231964</v>
      </c>
      <c r="R1778" s="6"/>
      <c r="S1778" s="5" t="s">
        <v>255</v>
      </c>
      <c r="T1778" s="11" t="s">
        <v>278</v>
      </c>
      <c r="U1778" s="5" t="s">
        <v>240</v>
      </c>
      <c r="V1778" s="11" t="s">
        <v>324</v>
      </c>
      <c r="W1778" s="5" t="s">
        <v>205</v>
      </c>
      <c r="X1778" s="5" t="s">
        <v>255</v>
      </c>
      <c r="Y1778" s="5"/>
      <c r="Z1778" s="5"/>
      <c r="AA1778" s="11" t="s">
        <v>167</v>
      </c>
      <c r="AB1778" s="5" t="s">
        <v>245</v>
      </c>
      <c r="AC1778" s="5"/>
      <c r="AD1778" s="11" t="s">
        <v>4373</v>
      </c>
      <c r="AE1778" s="23" t="n">
        <v>0.4</v>
      </c>
      <c r="AF1778" s="23" t="n">
        <v>0</v>
      </c>
      <c r="AG1778" s="23" t="n">
        <v>1</v>
      </c>
      <c r="AH1778" s="23" t="n">
        <v>0.47</v>
      </c>
      <c r="AI1778" s="23" t="n">
        <v>1</v>
      </c>
      <c r="AJ1778" s="23" t="n">
        <v>0.9396</v>
      </c>
      <c r="AK1778" s="23" t="n">
        <v>0.2</v>
      </c>
      <c r="AL1778" s="23" t="n">
        <v>0.3</v>
      </c>
      <c r="AM1778" s="16" t="n">
        <f aca="false">COUNTIFS($D$2:$D$2501,D1778,$G$2:$G$2501,"&gt;"&amp;G1778)+COUNTIFS($D$2:D1778,D1778,$G$2:G1778,G1778)</f>
        <v>185</v>
      </c>
      <c r="AN1778" s="5" t="str">
        <f aca="false">D1778&amp;"|"&amp;AM1778</f>
        <v>文件與影像辨識|185</v>
      </c>
    </row>
    <row r="1779" customFormat="false" ht="17.15" hidden="false" customHeight="false" outlineLevel="0" collapsed="false">
      <c r="A1779" s="16" t="n">
        <f aca="false">RANK(G1779,$G$2:$G$2501)+COUNTIF($G$2:G1779,G1779)-1</f>
        <v>1778</v>
      </c>
      <c r="B1779" s="11" t="s">
        <v>4374</v>
      </c>
      <c r="C1779" s="11" t="s">
        <v>2557</v>
      </c>
      <c r="D1779" s="5" t="s">
        <v>76</v>
      </c>
      <c r="E1779" s="5" t="s">
        <v>77</v>
      </c>
      <c r="F1779" s="5"/>
      <c r="G1779" s="22" t="n">
        <f aca="false">ROUND(SUM(I1779:P1779),3)</f>
        <v>55.936</v>
      </c>
      <c r="H1779" s="5" t="str">
        <f aca="false">IF(G1779&gt;=評分方法!$C$16,"優先評估",IF(G1779&gt;=評分方法!$C$17,"列入候選",IF(G1779&gt;=評分方法!$C$18,"特定情境","不建議")))</f>
        <v>不建議</v>
      </c>
      <c r="I1779" s="15" t="n">
        <f aca="false">AE1779*評分方法!$C$5</f>
        <v>12</v>
      </c>
      <c r="J1779" s="15" t="n">
        <f aca="false">AF1779*評分方法!$C$6</f>
        <v>0</v>
      </c>
      <c r="K1779" s="15" t="n">
        <f aca="false">AG1779*評分方法!$C$7</f>
        <v>15</v>
      </c>
      <c r="L1779" s="15" t="n">
        <f aca="false">AH1779*評分方法!$C$8</f>
        <v>15</v>
      </c>
      <c r="M1779" s="15" t="n">
        <f aca="false">AI1779*評分方法!$C$9</f>
        <v>10</v>
      </c>
      <c r="N1779" s="15" t="n">
        <f aca="false">AJ1779*評分方法!$C$10</f>
        <v>2.936</v>
      </c>
      <c r="O1779" s="15" t="n">
        <f aca="false">AK1779*評分方法!$C$11</f>
        <v>1</v>
      </c>
      <c r="P1779" s="15" t="n">
        <f aca="false">AL1779*評分方法!$C$12</f>
        <v>0</v>
      </c>
      <c r="Q1779" s="6" t="n">
        <v>288835</v>
      </c>
      <c r="R1779" s="6" t="n">
        <v>232502776</v>
      </c>
      <c r="S1779" s="11" t="s">
        <v>238</v>
      </c>
      <c r="T1779" s="11" t="s">
        <v>1636</v>
      </c>
      <c r="U1779" s="5" t="s">
        <v>240</v>
      </c>
      <c r="V1779" s="11" t="s">
        <v>855</v>
      </c>
      <c r="W1779" s="5" t="s">
        <v>205</v>
      </c>
      <c r="X1779" s="5" t="s">
        <v>242</v>
      </c>
      <c r="Y1779" s="5"/>
      <c r="Z1779" s="5"/>
      <c r="AA1779" s="11" t="s">
        <v>168</v>
      </c>
      <c r="AB1779" s="5" t="s">
        <v>245</v>
      </c>
      <c r="AC1779" s="5"/>
      <c r="AD1779" s="11" t="s">
        <v>4375</v>
      </c>
      <c r="AE1779" s="23" t="n">
        <v>0.4</v>
      </c>
      <c r="AF1779" s="23" t="n">
        <v>0</v>
      </c>
      <c r="AG1779" s="23" t="n">
        <v>1</v>
      </c>
      <c r="AH1779" s="23" t="n">
        <v>1</v>
      </c>
      <c r="AI1779" s="23" t="n">
        <v>1</v>
      </c>
      <c r="AJ1779" s="23" t="n">
        <v>0.2936</v>
      </c>
      <c r="AK1779" s="23" t="n">
        <v>0.2</v>
      </c>
      <c r="AL1779" s="23" t="n">
        <v>0</v>
      </c>
      <c r="AM1779" s="16" t="n">
        <f aca="false">COUNTIFS($D$2:$D$2501,D1779,$G$2:$G$2501,"&gt;"&amp;G1779)+COUNTIFS($D$2:D1779,D1779,$G$2:G1779,G1779)</f>
        <v>10</v>
      </c>
      <c r="AN1779" s="5" t="str">
        <f aca="false">D1779&amp;"|"&amp;AM1779</f>
        <v>情資翻譯|10</v>
      </c>
    </row>
    <row r="1780" customFormat="false" ht="17.15" hidden="false" customHeight="false" outlineLevel="0" collapsed="false">
      <c r="A1780" s="16" t="n">
        <f aca="false">RANK(G1780,$G$2:$G$2501)+COUNTIF($G$2:G1780,G1780)-1</f>
        <v>1779</v>
      </c>
      <c r="B1780" s="11" t="s">
        <v>4376</v>
      </c>
      <c r="C1780" s="11" t="s">
        <v>3794</v>
      </c>
      <c r="D1780" s="5" t="s">
        <v>56</v>
      </c>
      <c r="E1780" s="5" t="s">
        <v>57</v>
      </c>
      <c r="F1780" s="5"/>
      <c r="G1780" s="22" t="n">
        <f aca="false">ROUND(SUM(I1780:P1780),3)</f>
        <v>55.924</v>
      </c>
      <c r="H1780" s="5" t="str">
        <f aca="false">IF(G1780&gt;=評分方法!$C$16,"優先評估",IF(G1780&gt;=評分方法!$C$17,"列入候選",IF(G1780&gt;=評分方法!$C$18,"特定情境","不建議")))</f>
        <v>不建議</v>
      </c>
      <c r="I1780" s="15" t="n">
        <f aca="false">AE1780*評分方法!$C$5</f>
        <v>25.5</v>
      </c>
      <c r="J1780" s="15" t="n">
        <f aca="false">AF1780*評分方法!$C$6</f>
        <v>0</v>
      </c>
      <c r="K1780" s="15" t="n">
        <f aca="false">AG1780*評分方法!$C$7</f>
        <v>4.95</v>
      </c>
      <c r="L1780" s="15" t="n">
        <f aca="false">AH1780*評分方法!$C$8</f>
        <v>1.95</v>
      </c>
      <c r="M1780" s="15" t="n">
        <f aca="false">AI1780*評分方法!$C$9</f>
        <v>10</v>
      </c>
      <c r="N1780" s="15" t="n">
        <f aca="false">AJ1780*評分方法!$C$10</f>
        <v>5.524</v>
      </c>
      <c r="O1780" s="15" t="n">
        <f aca="false">AK1780*評分方法!$C$11</f>
        <v>5</v>
      </c>
      <c r="P1780" s="15" t="n">
        <f aca="false">AL1780*評分方法!$C$12</f>
        <v>3</v>
      </c>
      <c r="Q1780" s="6" t="n">
        <v>577097</v>
      </c>
      <c r="R1780" s="6" t="n">
        <v>552845034562</v>
      </c>
      <c r="S1780" s="11" t="s">
        <v>1616</v>
      </c>
      <c r="T1780" s="11" t="s">
        <v>239</v>
      </c>
      <c r="U1780" s="5" t="s">
        <v>240</v>
      </c>
      <c r="V1780" s="11" t="s">
        <v>261</v>
      </c>
      <c r="W1780" s="5" t="s">
        <v>334</v>
      </c>
      <c r="X1780" s="5" t="s">
        <v>371</v>
      </c>
      <c r="Y1780" s="11" t="s">
        <v>2927</v>
      </c>
      <c r="Z1780" s="11" t="s">
        <v>244</v>
      </c>
      <c r="AA1780" s="11" t="s">
        <v>156</v>
      </c>
      <c r="AB1780" s="5" t="s">
        <v>245</v>
      </c>
      <c r="AC1780" s="5" t="s">
        <v>246</v>
      </c>
      <c r="AD1780" s="11" t="s">
        <v>4377</v>
      </c>
      <c r="AE1780" s="23" t="n">
        <v>0.85</v>
      </c>
      <c r="AF1780" s="23" t="n">
        <v>0</v>
      </c>
      <c r="AG1780" s="23" t="n">
        <v>0.33</v>
      </c>
      <c r="AH1780" s="23" t="n">
        <v>0.13</v>
      </c>
      <c r="AI1780" s="23" t="n">
        <v>1</v>
      </c>
      <c r="AJ1780" s="23" t="n">
        <v>0.5524</v>
      </c>
      <c r="AK1780" s="23" t="n">
        <v>1</v>
      </c>
      <c r="AL1780" s="23" t="n">
        <v>0.6</v>
      </c>
      <c r="AM1780" s="16" t="n">
        <f aca="false">COUNTIFS($D$2:$D$2501,D1780,$G$2:$G$2501,"&gt;"&amp;G1780)+COUNTIFS($D$2:D1780,D1780,$G$2:G1780,G1780)</f>
        <v>842</v>
      </c>
      <c r="AN1780" s="5" t="str">
        <f aca="false">D1780&amp;"|"&amp;AM1780</f>
        <v>分析與報告生成|842</v>
      </c>
    </row>
    <row r="1781" customFormat="false" ht="17.15" hidden="false" customHeight="false" outlineLevel="0" collapsed="false">
      <c r="A1781" s="16" t="n">
        <f aca="false">RANK(G1781,$G$2:$G$2501)+COUNTIF($G$2:G1781,G1781)-1</f>
        <v>1780</v>
      </c>
      <c r="B1781" s="11" t="s">
        <v>4378</v>
      </c>
      <c r="C1781" s="11" t="s">
        <v>4249</v>
      </c>
      <c r="D1781" s="5" t="s">
        <v>56</v>
      </c>
      <c r="E1781" s="5" t="s">
        <v>57</v>
      </c>
      <c r="F1781" s="5"/>
      <c r="G1781" s="22" t="n">
        <f aca="false">ROUND(SUM(I1781:P1781),3)</f>
        <v>55.922</v>
      </c>
      <c r="H1781" s="5" t="str">
        <f aca="false">IF(G1781&gt;=評分方法!$C$16,"優先評估",IF(G1781&gt;=評分方法!$C$17,"列入候選",IF(G1781&gt;=評分方法!$C$18,"特定情境","不建議")))</f>
        <v>不建議</v>
      </c>
      <c r="I1781" s="15" t="n">
        <f aca="false">AE1781*評分方法!$C$5</f>
        <v>25.5</v>
      </c>
      <c r="J1781" s="15" t="n">
        <f aca="false">AF1781*評分方法!$C$6</f>
        <v>0</v>
      </c>
      <c r="K1781" s="15" t="n">
        <f aca="false">AG1781*評分方法!$C$7</f>
        <v>4.95</v>
      </c>
      <c r="L1781" s="15" t="n">
        <f aca="false">AH1781*評分方法!$C$8</f>
        <v>15</v>
      </c>
      <c r="M1781" s="15" t="n">
        <f aca="false">AI1781*評分方法!$C$9</f>
        <v>6</v>
      </c>
      <c r="N1781" s="15" t="n">
        <f aca="false">AJ1781*評分方法!$C$10</f>
        <v>1.972</v>
      </c>
      <c r="O1781" s="15" t="n">
        <f aca="false">AK1781*評分方法!$C$11</f>
        <v>2.5</v>
      </c>
      <c r="P1781" s="15" t="n">
        <f aca="false">AL1781*評分方法!$C$12</f>
        <v>0</v>
      </c>
      <c r="Q1781" s="6" t="n">
        <v>207808</v>
      </c>
      <c r="R1781" s="6" t="n">
        <v>507989760</v>
      </c>
      <c r="S1781" s="11" t="s">
        <v>238</v>
      </c>
      <c r="T1781" s="11" t="s">
        <v>185</v>
      </c>
      <c r="U1781" s="5" t="s">
        <v>260</v>
      </c>
      <c r="V1781" s="11" t="s">
        <v>462</v>
      </c>
      <c r="W1781" s="5" t="s">
        <v>334</v>
      </c>
      <c r="X1781" s="5" t="s">
        <v>242</v>
      </c>
      <c r="Y1781" s="5"/>
      <c r="Z1781" s="5"/>
      <c r="AA1781" s="11" t="s">
        <v>155</v>
      </c>
      <c r="AB1781" s="5" t="s">
        <v>245</v>
      </c>
      <c r="AC1781" s="5" t="s">
        <v>262</v>
      </c>
      <c r="AD1781" s="11" t="s">
        <v>4379</v>
      </c>
      <c r="AE1781" s="23" t="n">
        <v>0.85</v>
      </c>
      <c r="AF1781" s="23" t="n">
        <v>0</v>
      </c>
      <c r="AG1781" s="23" t="n">
        <v>0.33</v>
      </c>
      <c r="AH1781" s="23" t="n">
        <v>1</v>
      </c>
      <c r="AI1781" s="23" t="n">
        <v>0.6</v>
      </c>
      <c r="AJ1781" s="23" t="n">
        <v>0.1972</v>
      </c>
      <c r="AK1781" s="23" t="n">
        <v>0.5</v>
      </c>
      <c r="AL1781" s="23" t="n">
        <v>0</v>
      </c>
      <c r="AM1781" s="16" t="n">
        <f aca="false">COUNTIFS($D$2:$D$2501,D1781,$G$2:$G$2501,"&gt;"&amp;G1781)+COUNTIFS($D$2:D1781,D1781,$G$2:G1781,G1781)</f>
        <v>843</v>
      </c>
      <c r="AN1781" s="5" t="str">
        <f aca="false">D1781&amp;"|"&amp;AM1781</f>
        <v>分析與報告生成|843</v>
      </c>
    </row>
    <row r="1782" customFormat="false" ht="17.15" hidden="false" customHeight="false" outlineLevel="0" collapsed="false">
      <c r="A1782" s="16" t="n">
        <f aca="false">RANK(G1782,$G$2:$G$2501)+COUNTIF($G$2:G1782,G1782)-1</f>
        <v>1781</v>
      </c>
      <c r="B1782" s="11" t="s">
        <v>4380</v>
      </c>
      <c r="C1782" s="11" t="s">
        <v>681</v>
      </c>
      <c r="D1782" s="5" t="s">
        <v>78</v>
      </c>
      <c r="E1782" s="5" t="s">
        <v>79</v>
      </c>
      <c r="F1782" s="5"/>
      <c r="G1782" s="22" t="n">
        <f aca="false">ROUND(SUM(I1782:P1782),3)</f>
        <v>55.888</v>
      </c>
      <c r="H1782" s="5" t="str">
        <f aca="false">IF(G1782&gt;=評分方法!$C$16,"優先評估",IF(G1782&gt;=評分方法!$C$17,"列入候選",IF(G1782&gt;=評分方法!$C$18,"特定情境","不建議")))</f>
        <v>不建議</v>
      </c>
      <c r="I1782" s="15" t="n">
        <f aca="false">AE1782*評分方法!$C$5</f>
        <v>9</v>
      </c>
      <c r="J1782" s="15" t="n">
        <f aca="false">AF1782*評分方法!$C$6</f>
        <v>0</v>
      </c>
      <c r="K1782" s="15" t="n">
        <f aca="false">AG1782*評分方法!$C$7</f>
        <v>15</v>
      </c>
      <c r="L1782" s="15" t="n">
        <f aca="false">AH1782*評分方法!$C$8</f>
        <v>15</v>
      </c>
      <c r="M1782" s="15" t="n">
        <f aca="false">AI1782*評分方法!$C$9</f>
        <v>10</v>
      </c>
      <c r="N1782" s="15" t="n">
        <f aca="false">AJ1782*評分方法!$C$10</f>
        <v>5.888</v>
      </c>
      <c r="O1782" s="15" t="n">
        <f aca="false">AK1782*評分方法!$C$11</f>
        <v>1</v>
      </c>
      <c r="P1782" s="15" t="n">
        <f aca="false">AL1782*評分方法!$C$12</f>
        <v>0</v>
      </c>
      <c r="Q1782" s="6" t="n">
        <v>607068</v>
      </c>
      <c r="R1782" s="6" t="n">
        <v>29536256</v>
      </c>
      <c r="S1782" s="11" t="s">
        <v>238</v>
      </c>
      <c r="T1782" s="11" t="s">
        <v>278</v>
      </c>
      <c r="U1782" s="5" t="s">
        <v>240</v>
      </c>
      <c r="V1782" s="11" t="s">
        <v>855</v>
      </c>
      <c r="W1782" s="5" t="s">
        <v>205</v>
      </c>
      <c r="X1782" s="5" t="s">
        <v>242</v>
      </c>
      <c r="Y1782" s="5"/>
      <c r="Z1782" s="5"/>
      <c r="AA1782" s="11" t="s">
        <v>175</v>
      </c>
      <c r="AB1782" s="5" t="s">
        <v>245</v>
      </c>
      <c r="AC1782" s="5"/>
      <c r="AD1782" s="11" t="s">
        <v>4381</v>
      </c>
      <c r="AE1782" s="23" t="n">
        <v>0.3</v>
      </c>
      <c r="AF1782" s="23" t="n">
        <v>0</v>
      </c>
      <c r="AG1782" s="23" t="n">
        <v>1</v>
      </c>
      <c r="AH1782" s="23" t="n">
        <v>1</v>
      </c>
      <c r="AI1782" s="23" t="n">
        <v>1</v>
      </c>
      <c r="AJ1782" s="23" t="n">
        <v>0.5888</v>
      </c>
      <c r="AK1782" s="23" t="n">
        <v>0.2</v>
      </c>
      <c r="AL1782" s="23" t="n">
        <v>0</v>
      </c>
      <c r="AM1782" s="16" t="n">
        <f aca="false">COUNTIFS($D$2:$D$2501,D1782,$G$2:$G$2501,"&gt;"&amp;G1782)+COUNTIFS($D$2:D1782,D1782,$G$2:G1782,G1782)</f>
        <v>38</v>
      </c>
      <c r="AN1782" s="5" t="str">
        <f aca="false">D1782&amp;"|"&amp;AM1782</f>
        <v>語音分析|38</v>
      </c>
    </row>
    <row r="1783" customFormat="false" ht="17.15" hidden="false" customHeight="false" outlineLevel="0" collapsed="false">
      <c r="A1783" s="16" t="n">
        <f aca="false">RANK(G1783,$G$2:$G$2501)+COUNTIF($G$2:G1783,G1783)-1</f>
        <v>1782</v>
      </c>
      <c r="B1783" s="11" t="s">
        <v>4382</v>
      </c>
      <c r="C1783" s="11" t="s">
        <v>308</v>
      </c>
      <c r="D1783" s="5" t="s">
        <v>74</v>
      </c>
      <c r="E1783" s="5" t="s">
        <v>75</v>
      </c>
      <c r="F1783" s="5"/>
      <c r="G1783" s="22" t="n">
        <f aca="false">ROUND(SUM(I1783:P1783),3)</f>
        <v>55.884</v>
      </c>
      <c r="H1783" s="5" t="str">
        <f aca="false">IF(G1783&gt;=評分方法!$C$16,"優先評估",IF(G1783&gt;=評分方法!$C$17,"列入候選",IF(G1783&gt;=評分方法!$C$18,"特定情境","不建議")))</f>
        <v>不建議</v>
      </c>
      <c r="I1783" s="15" t="n">
        <f aca="false">AE1783*評分方法!$C$5</f>
        <v>10.5</v>
      </c>
      <c r="J1783" s="15" t="n">
        <f aca="false">AF1783*評分方法!$C$6</f>
        <v>0</v>
      </c>
      <c r="K1783" s="15" t="n">
        <f aca="false">AG1783*評分方法!$C$7</f>
        <v>15</v>
      </c>
      <c r="L1783" s="15" t="n">
        <f aca="false">AH1783*評分方法!$C$8</f>
        <v>15</v>
      </c>
      <c r="M1783" s="15" t="n">
        <f aca="false">AI1783*評分方法!$C$9</f>
        <v>10</v>
      </c>
      <c r="N1783" s="15" t="n">
        <f aca="false">AJ1783*評分方法!$C$10</f>
        <v>2.884</v>
      </c>
      <c r="O1783" s="15" t="n">
        <f aca="false">AK1783*評分方法!$C$11</f>
        <v>1</v>
      </c>
      <c r="P1783" s="15" t="n">
        <f aca="false">AL1783*評分方法!$C$12</f>
        <v>1.5</v>
      </c>
      <c r="Q1783" s="6" t="n">
        <v>284096</v>
      </c>
      <c r="R1783" s="6" t="n">
        <v>86996692</v>
      </c>
      <c r="S1783" s="11" t="s">
        <v>238</v>
      </c>
      <c r="T1783" s="11" t="s">
        <v>239</v>
      </c>
      <c r="U1783" s="5" t="s">
        <v>240</v>
      </c>
      <c r="V1783" s="11" t="s">
        <v>813</v>
      </c>
      <c r="W1783" s="5" t="s">
        <v>205</v>
      </c>
      <c r="X1783" s="5" t="s">
        <v>255</v>
      </c>
      <c r="Y1783" s="5"/>
      <c r="Z1783" s="5"/>
      <c r="AA1783" s="11" t="s">
        <v>172</v>
      </c>
      <c r="AB1783" s="5" t="s">
        <v>245</v>
      </c>
      <c r="AC1783" s="5"/>
      <c r="AD1783" s="11" t="s">
        <v>4383</v>
      </c>
      <c r="AE1783" s="23" t="n">
        <v>0.35</v>
      </c>
      <c r="AF1783" s="23" t="n">
        <v>0</v>
      </c>
      <c r="AG1783" s="23" t="n">
        <v>1</v>
      </c>
      <c r="AH1783" s="23" t="n">
        <v>1</v>
      </c>
      <c r="AI1783" s="23" t="n">
        <v>1</v>
      </c>
      <c r="AJ1783" s="23" t="n">
        <v>0.2884</v>
      </c>
      <c r="AK1783" s="23" t="n">
        <v>0.2</v>
      </c>
      <c r="AL1783" s="23" t="n">
        <v>0.3</v>
      </c>
      <c r="AM1783" s="16" t="n">
        <f aca="false">COUNTIFS($D$2:$D$2501,D1783,$G$2:$G$2501,"&gt;"&amp;G1783)+COUNTIFS($D$2:D1783,D1783,$G$2:G1783,G1783)</f>
        <v>186</v>
      </c>
      <c r="AN1783" s="5" t="str">
        <f aca="false">D1783&amp;"|"&amp;AM1783</f>
        <v>文件與影像辨識|186</v>
      </c>
    </row>
    <row r="1784" customFormat="false" ht="17.15" hidden="false" customHeight="false" outlineLevel="0" collapsed="false">
      <c r="A1784" s="16" t="n">
        <f aca="false">RANK(G1784,$G$2:$G$2501)+COUNTIF($G$2:G1784,G1784)-1</f>
        <v>1783</v>
      </c>
      <c r="B1784" s="11" t="s">
        <v>4384</v>
      </c>
      <c r="C1784" s="11" t="s">
        <v>2693</v>
      </c>
      <c r="D1784" s="5" t="s">
        <v>74</v>
      </c>
      <c r="E1784" s="5" t="s">
        <v>75</v>
      </c>
      <c r="F1784" s="5"/>
      <c r="G1784" s="22" t="n">
        <f aca="false">ROUND(SUM(I1784:P1784),3)</f>
        <v>55.86</v>
      </c>
      <c r="H1784" s="5" t="str">
        <f aca="false">IF(G1784&gt;=評分方法!$C$16,"優先評估",IF(G1784&gt;=評分方法!$C$17,"列入候選",IF(G1784&gt;=評分方法!$C$18,"特定情境","不建議")))</f>
        <v>不建議</v>
      </c>
      <c r="I1784" s="15" t="n">
        <f aca="false">AE1784*評分方法!$C$5</f>
        <v>10.5</v>
      </c>
      <c r="J1784" s="15" t="n">
        <f aca="false">AF1784*評分方法!$C$6</f>
        <v>0</v>
      </c>
      <c r="K1784" s="15" t="n">
        <f aca="false">AG1784*評分方法!$C$7</f>
        <v>15</v>
      </c>
      <c r="L1784" s="15" t="n">
        <f aca="false">AH1784*評分方法!$C$8</f>
        <v>15</v>
      </c>
      <c r="M1784" s="15" t="n">
        <f aca="false">AI1784*評分方法!$C$9</f>
        <v>10</v>
      </c>
      <c r="N1784" s="15" t="n">
        <f aca="false">AJ1784*評分方法!$C$10</f>
        <v>1.36</v>
      </c>
      <c r="O1784" s="15" t="n">
        <f aca="false">AK1784*評分方法!$C$11</f>
        <v>2.5</v>
      </c>
      <c r="P1784" s="15" t="n">
        <f aca="false">AL1784*評分方法!$C$12</f>
        <v>1.5</v>
      </c>
      <c r="Q1784" s="6" t="n">
        <v>171673</v>
      </c>
      <c r="R1784" s="6" t="n">
        <v>1599720</v>
      </c>
      <c r="S1784" s="11" t="s">
        <v>238</v>
      </c>
      <c r="T1784" s="11" t="s">
        <v>239</v>
      </c>
      <c r="U1784" s="5" t="s">
        <v>240</v>
      </c>
      <c r="V1784" s="11" t="s">
        <v>324</v>
      </c>
      <c r="W1784" s="5" t="s">
        <v>205</v>
      </c>
      <c r="X1784" s="5" t="s">
        <v>255</v>
      </c>
      <c r="Y1784" s="5"/>
      <c r="Z1784" s="5"/>
      <c r="AA1784" s="11" t="s">
        <v>172</v>
      </c>
      <c r="AB1784" s="5" t="s">
        <v>245</v>
      </c>
      <c r="AC1784" s="5"/>
      <c r="AD1784" s="11" t="s">
        <v>4385</v>
      </c>
      <c r="AE1784" s="23" t="n">
        <v>0.35</v>
      </c>
      <c r="AF1784" s="23" t="n">
        <v>0</v>
      </c>
      <c r="AG1784" s="23" t="n">
        <v>1</v>
      </c>
      <c r="AH1784" s="23" t="n">
        <v>1</v>
      </c>
      <c r="AI1784" s="23" t="n">
        <v>1</v>
      </c>
      <c r="AJ1784" s="23" t="n">
        <v>0.136</v>
      </c>
      <c r="AK1784" s="23" t="n">
        <v>0.5</v>
      </c>
      <c r="AL1784" s="23" t="n">
        <v>0.3</v>
      </c>
      <c r="AM1784" s="16" t="n">
        <f aca="false">COUNTIFS($D$2:$D$2501,D1784,$G$2:$G$2501,"&gt;"&amp;G1784)+COUNTIFS($D$2:D1784,D1784,$G$2:G1784,G1784)</f>
        <v>187</v>
      </c>
      <c r="AN1784" s="5" t="str">
        <f aca="false">D1784&amp;"|"&amp;AM1784</f>
        <v>文件與影像辨識|187</v>
      </c>
    </row>
    <row r="1785" customFormat="false" ht="17.15" hidden="false" customHeight="false" outlineLevel="0" collapsed="false">
      <c r="A1785" s="16" t="n">
        <f aca="false">RANK(G1785,$G$2:$G$2501)+COUNTIF($G$2:G1785,G1785)-1</f>
        <v>1784</v>
      </c>
      <c r="B1785" s="11" t="s">
        <v>4386</v>
      </c>
      <c r="C1785" s="11" t="s">
        <v>4249</v>
      </c>
      <c r="D1785" s="5" t="s">
        <v>56</v>
      </c>
      <c r="E1785" s="5" t="s">
        <v>57</v>
      </c>
      <c r="F1785" s="5"/>
      <c r="G1785" s="22" t="n">
        <f aca="false">ROUND(SUM(I1785:P1785),3)</f>
        <v>55.85</v>
      </c>
      <c r="H1785" s="5" t="str">
        <f aca="false">IF(G1785&gt;=評分方法!$C$16,"優先評估",IF(G1785&gt;=評分方法!$C$17,"列入候選",IF(G1785&gt;=評分方法!$C$18,"特定情境","不建議")))</f>
        <v>不建議</v>
      </c>
      <c r="I1785" s="15" t="n">
        <f aca="false">AE1785*評分方法!$C$5</f>
        <v>25.5</v>
      </c>
      <c r="J1785" s="15" t="n">
        <f aca="false">AF1785*評分方法!$C$6</f>
        <v>0</v>
      </c>
      <c r="K1785" s="15" t="n">
        <f aca="false">AG1785*評分方法!$C$7</f>
        <v>4.95</v>
      </c>
      <c r="L1785" s="15" t="n">
        <f aca="false">AH1785*評分方法!$C$8</f>
        <v>15</v>
      </c>
      <c r="M1785" s="15" t="n">
        <f aca="false">AI1785*評分方法!$C$9</f>
        <v>8</v>
      </c>
      <c r="N1785" s="15" t="n">
        <f aca="false">AJ1785*評分方法!$C$10</f>
        <v>1.4</v>
      </c>
      <c r="O1785" s="15" t="n">
        <f aca="false">AK1785*評分方法!$C$11</f>
        <v>1</v>
      </c>
      <c r="P1785" s="15" t="n">
        <f aca="false">AL1785*評分方法!$C$12</f>
        <v>0</v>
      </c>
      <c r="Q1785" s="6" t="n">
        <v>173934</v>
      </c>
      <c r="R1785" s="6" t="n">
        <v>392754176</v>
      </c>
      <c r="S1785" s="11" t="s">
        <v>238</v>
      </c>
      <c r="T1785" s="11" t="s">
        <v>1821</v>
      </c>
      <c r="U1785" s="5" t="s">
        <v>1822</v>
      </c>
      <c r="V1785" s="11" t="s">
        <v>462</v>
      </c>
      <c r="W1785" s="5" t="s">
        <v>334</v>
      </c>
      <c r="X1785" s="5" t="s">
        <v>242</v>
      </c>
      <c r="Y1785" s="5"/>
      <c r="Z1785" s="5"/>
      <c r="AA1785" s="11" t="s">
        <v>155</v>
      </c>
      <c r="AB1785" s="5" t="s">
        <v>245</v>
      </c>
      <c r="AC1785" s="5"/>
      <c r="AD1785" s="11" t="s">
        <v>4387</v>
      </c>
      <c r="AE1785" s="23" t="n">
        <v>0.85</v>
      </c>
      <c r="AF1785" s="23" t="n">
        <v>0</v>
      </c>
      <c r="AG1785" s="23" t="n">
        <v>0.33</v>
      </c>
      <c r="AH1785" s="23" t="n">
        <v>1</v>
      </c>
      <c r="AI1785" s="23" t="n">
        <v>0.8</v>
      </c>
      <c r="AJ1785" s="23" t="n">
        <v>0.14</v>
      </c>
      <c r="AK1785" s="23" t="n">
        <v>0.2</v>
      </c>
      <c r="AL1785" s="23" t="n">
        <v>0</v>
      </c>
      <c r="AM1785" s="16" t="n">
        <f aca="false">COUNTIFS($D$2:$D$2501,D1785,$G$2:$G$2501,"&gt;"&amp;G1785)+COUNTIFS($D$2:D1785,D1785,$G$2:G1785,G1785)</f>
        <v>844</v>
      </c>
      <c r="AN1785" s="5" t="str">
        <f aca="false">D1785&amp;"|"&amp;AM1785</f>
        <v>分析與報告生成|844</v>
      </c>
    </row>
    <row r="1786" customFormat="false" ht="17.15" hidden="false" customHeight="false" outlineLevel="0" collapsed="false">
      <c r="A1786" s="16" t="n">
        <f aca="false">RANK(G1786,$G$2:$G$2501)+COUNTIF($G$2:G1786,G1786)-1</f>
        <v>1785</v>
      </c>
      <c r="B1786" s="11" t="s">
        <v>4388</v>
      </c>
      <c r="C1786" s="11" t="s">
        <v>327</v>
      </c>
      <c r="D1786" s="5" t="s">
        <v>56</v>
      </c>
      <c r="E1786" s="5" t="s">
        <v>57</v>
      </c>
      <c r="F1786" s="5"/>
      <c r="G1786" s="22" t="n">
        <f aca="false">ROUND(SUM(I1786:P1786),3)</f>
        <v>55.83</v>
      </c>
      <c r="H1786" s="5" t="str">
        <f aca="false">IF(G1786&gt;=評分方法!$C$16,"優先評估",IF(G1786&gt;=評分方法!$C$17,"列入候選",IF(G1786&gt;=評分方法!$C$18,"特定情境","不建議")))</f>
        <v>不建議</v>
      </c>
      <c r="I1786" s="15" t="n">
        <f aca="false">AE1786*評分方法!$C$5</f>
        <v>25.5</v>
      </c>
      <c r="J1786" s="15" t="n">
        <f aca="false">AF1786*評分方法!$C$6</f>
        <v>0</v>
      </c>
      <c r="K1786" s="15" t="n">
        <f aca="false">AG1786*評分方法!$C$7</f>
        <v>15</v>
      </c>
      <c r="L1786" s="15" t="n">
        <f aca="false">AH1786*評分方法!$C$8</f>
        <v>4.95</v>
      </c>
      <c r="M1786" s="15" t="n">
        <f aca="false">AI1786*評分方法!$C$9</f>
        <v>2</v>
      </c>
      <c r="N1786" s="15" t="n">
        <f aca="false">AJ1786*評分方法!$C$10</f>
        <v>2.88</v>
      </c>
      <c r="O1786" s="15" t="n">
        <f aca="false">AK1786*評分方法!$C$11</f>
        <v>2.5</v>
      </c>
      <c r="P1786" s="15" t="n">
        <f aca="false">AL1786*評分方法!$C$12</f>
        <v>3</v>
      </c>
      <c r="Q1786" s="6" t="n">
        <v>283933</v>
      </c>
      <c r="R1786" s="6" t="n">
        <v>70553706496</v>
      </c>
      <c r="S1786" s="11" t="s">
        <v>1876</v>
      </c>
      <c r="T1786" s="5"/>
      <c r="U1786" s="5" t="s">
        <v>375</v>
      </c>
      <c r="V1786" s="11" t="s">
        <v>261</v>
      </c>
      <c r="W1786" s="5" t="s">
        <v>205</v>
      </c>
      <c r="X1786" s="5" t="s">
        <v>371</v>
      </c>
      <c r="Y1786" s="11" t="s">
        <v>2742</v>
      </c>
      <c r="Z1786" s="11" t="s">
        <v>270</v>
      </c>
      <c r="AA1786" s="11" t="s">
        <v>155</v>
      </c>
      <c r="AB1786" s="5" t="s">
        <v>496</v>
      </c>
      <c r="AC1786" s="5" t="s">
        <v>1330</v>
      </c>
      <c r="AD1786" s="11" t="s">
        <v>4389</v>
      </c>
      <c r="AE1786" s="23" t="n">
        <v>0.85</v>
      </c>
      <c r="AF1786" s="23" t="n">
        <v>0</v>
      </c>
      <c r="AG1786" s="23" t="n">
        <v>1</v>
      </c>
      <c r="AH1786" s="23" t="n">
        <v>0.33</v>
      </c>
      <c r="AI1786" s="23" t="n">
        <v>0.2</v>
      </c>
      <c r="AJ1786" s="23" t="n">
        <v>0.288</v>
      </c>
      <c r="AK1786" s="23" t="n">
        <v>0.5</v>
      </c>
      <c r="AL1786" s="23" t="n">
        <v>0.6</v>
      </c>
      <c r="AM1786" s="16" t="n">
        <f aca="false">COUNTIFS($D$2:$D$2501,D1786,$G$2:$G$2501,"&gt;"&amp;G1786)+COUNTIFS($D$2:D1786,D1786,$G$2:G1786,G1786)</f>
        <v>845</v>
      </c>
      <c r="AN1786" s="5" t="str">
        <f aca="false">D1786&amp;"|"&amp;AM1786</f>
        <v>分析與報告生成|845</v>
      </c>
    </row>
    <row r="1787" customFormat="false" ht="17.15" hidden="false" customHeight="false" outlineLevel="0" collapsed="false">
      <c r="A1787" s="16" t="n">
        <f aca="false">RANK(G1787,$G$2:$G$2501)+COUNTIF($G$2:G1787,G1787)-1</f>
        <v>1786</v>
      </c>
      <c r="B1787" s="11" t="s">
        <v>4390</v>
      </c>
      <c r="C1787" s="11" t="s">
        <v>2693</v>
      </c>
      <c r="D1787" s="5" t="s">
        <v>74</v>
      </c>
      <c r="E1787" s="5" t="s">
        <v>75</v>
      </c>
      <c r="F1787" s="5"/>
      <c r="G1787" s="22" t="n">
        <f aca="false">ROUND(SUM(I1787:P1787),3)</f>
        <v>55.808</v>
      </c>
      <c r="H1787" s="5" t="str">
        <f aca="false">IF(G1787&gt;=評分方法!$C$16,"優先評估",IF(G1787&gt;=評分方法!$C$17,"列入候選",IF(G1787&gt;=評分方法!$C$18,"特定情境","不建議")))</f>
        <v>不建議</v>
      </c>
      <c r="I1787" s="15" t="n">
        <f aca="false">AE1787*評分方法!$C$5</f>
        <v>10.5</v>
      </c>
      <c r="J1787" s="15" t="n">
        <f aca="false">AF1787*評分方法!$C$6</f>
        <v>0</v>
      </c>
      <c r="K1787" s="15" t="n">
        <f aca="false">AG1787*評分方法!$C$7</f>
        <v>15</v>
      </c>
      <c r="L1787" s="15" t="n">
        <f aca="false">AH1787*評分方法!$C$8</f>
        <v>15</v>
      </c>
      <c r="M1787" s="15" t="n">
        <f aca="false">AI1787*評分方法!$C$9</f>
        <v>10</v>
      </c>
      <c r="N1787" s="15" t="n">
        <f aca="false">AJ1787*評分方法!$C$10</f>
        <v>1.308</v>
      </c>
      <c r="O1787" s="15" t="n">
        <f aca="false">AK1787*評分方法!$C$11</f>
        <v>2.5</v>
      </c>
      <c r="P1787" s="15" t="n">
        <f aca="false">AL1787*評分方法!$C$12</f>
        <v>1.5</v>
      </c>
      <c r="Q1787" s="6" t="n">
        <v>168247</v>
      </c>
      <c r="R1787" s="6" t="n">
        <v>2705640</v>
      </c>
      <c r="S1787" s="11" t="s">
        <v>238</v>
      </c>
      <c r="T1787" s="11" t="s">
        <v>278</v>
      </c>
      <c r="U1787" s="5" t="s">
        <v>240</v>
      </c>
      <c r="V1787" s="11" t="s">
        <v>324</v>
      </c>
      <c r="W1787" s="5" t="s">
        <v>205</v>
      </c>
      <c r="X1787" s="5" t="s">
        <v>255</v>
      </c>
      <c r="Y1787" s="5"/>
      <c r="Z1787" s="5"/>
      <c r="AA1787" s="11" t="s">
        <v>172</v>
      </c>
      <c r="AB1787" s="5" t="s">
        <v>245</v>
      </c>
      <c r="AC1787" s="5"/>
      <c r="AD1787" s="11" t="s">
        <v>4391</v>
      </c>
      <c r="AE1787" s="23" t="n">
        <v>0.35</v>
      </c>
      <c r="AF1787" s="23" t="n">
        <v>0</v>
      </c>
      <c r="AG1787" s="23" t="n">
        <v>1</v>
      </c>
      <c r="AH1787" s="23" t="n">
        <v>1</v>
      </c>
      <c r="AI1787" s="23" t="n">
        <v>1</v>
      </c>
      <c r="AJ1787" s="23" t="n">
        <v>0.1308</v>
      </c>
      <c r="AK1787" s="23" t="n">
        <v>0.5</v>
      </c>
      <c r="AL1787" s="23" t="n">
        <v>0.3</v>
      </c>
      <c r="AM1787" s="16" t="n">
        <f aca="false">COUNTIFS($D$2:$D$2501,D1787,$G$2:$G$2501,"&gt;"&amp;G1787)+COUNTIFS($D$2:D1787,D1787,$G$2:G1787,G1787)</f>
        <v>188</v>
      </c>
      <c r="AN1787" s="5" t="str">
        <f aca="false">D1787&amp;"|"&amp;AM1787</f>
        <v>文件與影像辨識|188</v>
      </c>
    </row>
    <row r="1788" customFormat="false" ht="17.15" hidden="false" customHeight="false" outlineLevel="0" collapsed="false">
      <c r="A1788" s="16" t="n">
        <f aca="false">RANK(G1788,$G$2:$G$2501)+COUNTIF($G$2:G1788,G1788)-1</f>
        <v>1787</v>
      </c>
      <c r="B1788" s="11" t="s">
        <v>4392</v>
      </c>
      <c r="C1788" s="11" t="s">
        <v>2693</v>
      </c>
      <c r="D1788" s="5" t="s">
        <v>74</v>
      </c>
      <c r="E1788" s="5" t="s">
        <v>75</v>
      </c>
      <c r="F1788" s="5"/>
      <c r="G1788" s="22" t="n">
        <f aca="false">ROUND(SUM(I1788:P1788),3)</f>
        <v>55.792</v>
      </c>
      <c r="H1788" s="5" t="str">
        <f aca="false">IF(G1788&gt;=評分方法!$C$16,"優先評估",IF(G1788&gt;=評分方法!$C$17,"列入候選",IF(G1788&gt;=評分方法!$C$18,"特定情境","不建議")))</f>
        <v>不建議</v>
      </c>
      <c r="I1788" s="15" t="n">
        <f aca="false">AE1788*評分方法!$C$5</f>
        <v>10.5</v>
      </c>
      <c r="J1788" s="15" t="n">
        <f aca="false">AF1788*評分方法!$C$6</f>
        <v>0</v>
      </c>
      <c r="K1788" s="15" t="n">
        <f aca="false">AG1788*評分方法!$C$7</f>
        <v>15</v>
      </c>
      <c r="L1788" s="15" t="n">
        <f aca="false">AH1788*評分方法!$C$8</f>
        <v>15</v>
      </c>
      <c r="M1788" s="15" t="n">
        <f aca="false">AI1788*評分方法!$C$9</f>
        <v>10</v>
      </c>
      <c r="N1788" s="15" t="n">
        <f aca="false">AJ1788*評分方法!$C$10</f>
        <v>1.292</v>
      </c>
      <c r="O1788" s="15" t="n">
        <f aca="false">AK1788*評分方法!$C$11</f>
        <v>2.5</v>
      </c>
      <c r="P1788" s="15" t="n">
        <f aca="false">AL1788*評分方法!$C$12</f>
        <v>1.5</v>
      </c>
      <c r="Q1788" s="6" t="n">
        <v>167224</v>
      </c>
      <c r="R1788" s="6" t="n">
        <v>3183844</v>
      </c>
      <c r="S1788" s="11" t="s">
        <v>238</v>
      </c>
      <c r="T1788" s="11" t="s">
        <v>278</v>
      </c>
      <c r="U1788" s="5" t="s">
        <v>240</v>
      </c>
      <c r="V1788" s="11" t="s">
        <v>324</v>
      </c>
      <c r="W1788" s="5" t="s">
        <v>205</v>
      </c>
      <c r="X1788" s="5" t="s">
        <v>255</v>
      </c>
      <c r="Y1788" s="5"/>
      <c r="Z1788" s="5"/>
      <c r="AA1788" s="11" t="s">
        <v>172</v>
      </c>
      <c r="AB1788" s="5" t="s">
        <v>245</v>
      </c>
      <c r="AC1788" s="5"/>
      <c r="AD1788" s="11" t="s">
        <v>4393</v>
      </c>
      <c r="AE1788" s="23" t="n">
        <v>0.35</v>
      </c>
      <c r="AF1788" s="23" t="n">
        <v>0</v>
      </c>
      <c r="AG1788" s="23" t="n">
        <v>1</v>
      </c>
      <c r="AH1788" s="23" t="n">
        <v>1</v>
      </c>
      <c r="AI1788" s="23" t="n">
        <v>1</v>
      </c>
      <c r="AJ1788" s="23" t="n">
        <v>0.1292</v>
      </c>
      <c r="AK1788" s="23" t="n">
        <v>0.5</v>
      </c>
      <c r="AL1788" s="23" t="n">
        <v>0.3</v>
      </c>
      <c r="AM1788" s="16" t="n">
        <f aca="false">COUNTIFS($D$2:$D$2501,D1788,$G$2:$G$2501,"&gt;"&amp;G1788)+COUNTIFS($D$2:D1788,D1788,$G$2:G1788,G1788)</f>
        <v>189</v>
      </c>
      <c r="AN1788" s="5" t="str">
        <f aca="false">D1788&amp;"|"&amp;AM1788</f>
        <v>文件與影像辨識|189</v>
      </c>
    </row>
    <row r="1789" customFormat="false" ht="17.15" hidden="false" customHeight="false" outlineLevel="0" collapsed="false">
      <c r="A1789" s="16" t="n">
        <f aca="false">RANK(G1789,$G$2:$G$2501)+COUNTIF($G$2:G1789,G1789)-1</f>
        <v>1788</v>
      </c>
      <c r="B1789" s="11" t="s">
        <v>4394</v>
      </c>
      <c r="C1789" s="11" t="s">
        <v>4395</v>
      </c>
      <c r="D1789" s="5" t="s">
        <v>54</v>
      </c>
      <c r="E1789" s="5" t="s">
        <v>55</v>
      </c>
      <c r="F1789" s="5"/>
      <c r="G1789" s="22" t="n">
        <f aca="false">ROUND(SUM(I1789:P1789),3)</f>
        <v>55.786</v>
      </c>
      <c r="H1789" s="5" t="str">
        <f aca="false">IF(G1789&gt;=評分方法!$C$16,"優先評估",IF(G1789&gt;=評分方法!$C$17,"列入候選",IF(G1789&gt;=評分方法!$C$18,"特定情境","不建議")))</f>
        <v>不建議</v>
      </c>
      <c r="I1789" s="15" t="n">
        <f aca="false">AE1789*評分方法!$C$5</f>
        <v>16.2</v>
      </c>
      <c r="J1789" s="15" t="n">
        <f aca="false">AF1789*評分方法!$C$6</f>
        <v>0</v>
      </c>
      <c r="K1789" s="15" t="n">
        <f aca="false">AG1789*評分方法!$C$7</f>
        <v>4.95</v>
      </c>
      <c r="L1789" s="15" t="n">
        <f aca="false">AH1789*評分方法!$C$8</f>
        <v>15</v>
      </c>
      <c r="M1789" s="15" t="n">
        <f aca="false">AI1789*評分方法!$C$9</f>
        <v>10</v>
      </c>
      <c r="N1789" s="15" t="n">
        <f aca="false">AJ1789*評分方法!$C$10</f>
        <v>7.136</v>
      </c>
      <c r="O1789" s="15" t="n">
        <f aca="false">AK1789*評分方法!$C$11</f>
        <v>2.5</v>
      </c>
      <c r="P1789" s="15" t="n">
        <f aca="false">AL1789*評分方法!$C$12</f>
        <v>0</v>
      </c>
      <c r="Q1789" s="6" t="n">
        <v>971787</v>
      </c>
      <c r="R1789" s="6" t="n">
        <v>117641089</v>
      </c>
      <c r="S1789" s="11" t="s">
        <v>238</v>
      </c>
      <c r="T1789" s="11" t="s">
        <v>278</v>
      </c>
      <c r="U1789" s="5" t="s">
        <v>240</v>
      </c>
      <c r="V1789" s="11" t="s">
        <v>261</v>
      </c>
      <c r="W1789" s="5" t="s">
        <v>334</v>
      </c>
      <c r="X1789" s="5" t="s">
        <v>242</v>
      </c>
      <c r="Y1789" s="5"/>
      <c r="Z1789" s="5"/>
      <c r="AA1789" s="11" t="s">
        <v>154</v>
      </c>
      <c r="AB1789" s="5" t="s">
        <v>245</v>
      </c>
      <c r="AC1789" s="5" t="s">
        <v>1463</v>
      </c>
      <c r="AD1789" s="11" t="s">
        <v>4396</v>
      </c>
      <c r="AE1789" s="23" t="n">
        <v>0.54</v>
      </c>
      <c r="AF1789" s="23" t="n">
        <v>0</v>
      </c>
      <c r="AG1789" s="23" t="n">
        <v>0.33</v>
      </c>
      <c r="AH1789" s="23" t="n">
        <v>1</v>
      </c>
      <c r="AI1789" s="23" t="n">
        <v>1</v>
      </c>
      <c r="AJ1789" s="23" t="n">
        <v>0.7136</v>
      </c>
      <c r="AK1789" s="23" t="n">
        <v>0.5</v>
      </c>
      <c r="AL1789" s="23" t="n">
        <v>0</v>
      </c>
      <c r="AM1789" s="16" t="n">
        <f aca="false">COUNTIFS($D$2:$D$2501,D1789,$G$2:$G$2501,"&gt;"&amp;G1789)+COUNTIFS($D$2:D1789,D1789,$G$2:G1789,G1789)</f>
        <v>220</v>
      </c>
      <c r="AN1789" s="5" t="str">
        <f aca="false">D1789&amp;"|"&amp;AM1789</f>
        <v>檢索與情資關聯|220</v>
      </c>
    </row>
    <row r="1790" customFormat="false" ht="17.15" hidden="false" customHeight="false" outlineLevel="0" collapsed="false">
      <c r="A1790" s="16" t="n">
        <f aca="false">RANK(G1790,$G$2:$G$2501)+COUNTIF($G$2:G1790,G1790)-1</f>
        <v>1789</v>
      </c>
      <c r="B1790" s="11" t="s">
        <v>4397</v>
      </c>
      <c r="C1790" s="11" t="s">
        <v>308</v>
      </c>
      <c r="D1790" s="5" t="s">
        <v>74</v>
      </c>
      <c r="E1790" s="5" t="s">
        <v>75</v>
      </c>
      <c r="F1790" s="5"/>
      <c r="G1790" s="22" t="n">
        <f aca="false">ROUND(SUM(I1790:P1790),3)</f>
        <v>55.78</v>
      </c>
      <c r="H1790" s="5" t="str">
        <f aca="false">IF(G1790&gt;=評分方法!$C$16,"優先評估",IF(G1790&gt;=評分方法!$C$17,"列入候選",IF(G1790&gt;=評分方法!$C$18,"特定情境","不建議")))</f>
        <v>不建議</v>
      </c>
      <c r="I1790" s="15" t="n">
        <f aca="false">AE1790*評分方法!$C$5</f>
        <v>10.5</v>
      </c>
      <c r="J1790" s="15" t="n">
        <f aca="false">AF1790*評分方法!$C$6</f>
        <v>0</v>
      </c>
      <c r="K1790" s="15" t="n">
        <f aca="false">AG1790*評分方法!$C$7</f>
        <v>15</v>
      </c>
      <c r="L1790" s="15" t="n">
        <f aca="false">AH1790*評分方法!$C$8</f>
        <v>15</v>
      </c>
      <c r="M1790" s="15" t="n">
        <f aca="false">AI1790*評分方法!$C$9</f>
        <v>10</v>
      </c>
      <c r="N1790" s="15" t="n">
        <f aca="false">AJ1790*評分方法!$C$10</f>
        <v>2.78</v>
      </c>
      <c r="O1790" s="15" t="n">
        <f aca="false">AK1790*評分方法!$C$11</f>
        <v>1</v>
      </c>
      <c r="P1790" s="15" t="n">
        <f aca="false">AL1790*評分方法!$C$12</f>
        <v>1.5</v>
      </c>
      <c r="Q1790" s="6" t="n">
        <v>272831</v>
      </c>
      <c r="R1790" s="6" t="n">
        <v>87825848</v>
      </c>
      <c r="S1790" s="11" t="s">
        <v>238</v>
      </c>
      <c r="T1790" s="11" t="s">
        <v>239</v>
      </c>
      <c r="U1790" s="5" t="s">
        <v>240</v>
      </c>
      <c r="V1790" s="11" t="s">
        <v>855</v>
      </c>
      <c r="W1790" s="5" t="s">
        <v>205</v>
      </c>
      <c r="X1790" s="5" t="s">
        <v>255</v>
      </c>
      <c r="Y1790" s="5"/>
      <c r="Z1790" s="5"/>
      <c r="AA1790" s="11" t="s">
        <v>172</v>
      </c>
      <c r="AB1790" s="5" t="s">
        <v>245</v>
      </c>
      <c r="AC1790" s="5"/>
      <c r="AD1790" s="11" t="s">
        <v>4398</v>
      </c>
      <c r="AE1790" s="23" t="n">
        <v>0.35</v>
      </c>
      <c r="AF1790" s="23" t="n">
        <v>0</v>
      </c>
      <c r="AG1790" s="23" t="n">
        <v>1</v>
      </c>
      <c r="AH1790" s="23" t="n">
        <v>1</v>
      </c>
      <c r="AI1790" s="23" t="n">
        <v>1</v>
      </c>
      <c r="AJ1790" s="23" t="n">
        <v>0.278</v>
      </c>
      <c r="AK1790" s="23" t="n">
        <v>0.2</v>
      </c>
      <c r="AL1790" s="23" t="n">
        <v>0.3</v>
      </c>
      <c r="AM1790" s="16" t="n">
        <f aca="false">COUNTIFS($D$2:$D$2501,D1790,$G$2:$G$2501,"&gt;"&amp;G1790)+COUNTIFS($D$2:D1790,D1790,$G$2:G1790,G1790)</f>
        <v>190</v>
      </c>
      <c r="AN1790" s="5" t="str">
        <f aca="false">D1790&amp;"|"&amp;AM1790</f>
        <v>文件與影像辨識|190</v>
      </c>
    </row>
    <row r="1791" customFormat="false" ht="17.15" hidden="false" customHeight="false" outlineLevel="0" collapsed="false">
      <c r="A1791" s="16" t="n">
        <f aca="false">RANK(G1791,$G$2:$G$2501)+COUNTIF($G$2:G1791,G1791)-1</f>
        <v>1790</v>
      </c>
      <c r="B1791" s="11" t="s">
        <v>4399</v>
      </c>
      <c r="C1791" s="11" t="s">
        <v>2693</v>
      </c>
      <c r="D1791" s="5" t="s">
        <v>74</v>
      </c>
      <c r="E1791" s="5" t="s">
        <v>75</v>
      </c>
      <c r="F1791" s="5"/>
      <c r="G1791" s="22" t="n">
        <f aca="false">ROUND(SUM(I1791:P1791),3)</f>
        <v>55.748</v>
      </c>
      <c r="H1791" s="5" t="str">
        <f aca="false">IF(G1791&gt;=評分方法!$C$16,"優先評估",IF(G1791&gt;=評分方法!$C$17,"列入候選",IF(G1791&gt;=評分方法!$C$18,"特定情境","不建議")))</f>
        <v>不建議</v>
      </c>
      <c r="I1791" s="15" t="n">
        <f aca="false">AE1791*評分方法!$C$5</f>
        <v>10.5</v>
      </c>
      <c r="J1791" s="15" t="n">
        <f aca="false">AF1791*評分方法!$C$6</f>
        <v>0</v>
      </c>
      <c r="K1791" s="15" t="n">
        <f aca="false">AG1791*評分方法!$C$7</f>
        <v>15</v>
      </c>
      <c r="L1791" s="15" t="n">
        <f aca="false">AH1791*評分方法!$C$8</f>
        <v>15</v>
      </c>
      <c r="M1791" s="15" t="n">
        <f aca="false">AI1791*評分方法!$C$9</f>
        <v>10</v>
      </c>
      <c r="N1791" s="15" t="n">
        <f aca="false">AJ1791*評分方法!$C$10</f>
        <v>1.248</v>
      </c>
      <c r="O1791" s="15" t="n">
        <f aca="false">AK1791*評分方法!$C$11</f>
        <v>2.5</v>
      </c>
      <c r="P1791" s="15" t="n">
        <f aca="false">AL1791*評分方法!$C$12</f>
        <v>1.5</v>
      </c>
      <c r="Q1791" s="6" t="n">
        <v>164178</v>
      </c>
      <c r="R1791" s="6" t="n">
        <v>5441360</v>
      </c>
      <c r="S1791" s="11" t="s">
        <v>238</v>
      </c>
      <c r="T1791" s="11" t="s">
        <v>239</v>
      </c>
      <c r="U1791" s="5" t="s">
        <v>240</v>
      </c>
      <c r="V1791" s="11" t="s">
        <v>324</v>
      </c>
      <c r="W1791" s="5" t="s">
        <v>205</v>
      </c>
      <c r="X1791" s="5" t="s">
        <v>255</v>
      </c>
      <c r="Y1791" s="5"/>
      <c r="Z1791" s="5"/>
      <c r="AA1791" s="11" t="s">
        <v>172</v>
      </c>
      <c r="AB1791" s="5" t="s">
        <v>245</v>
      </c>
      <c r="AC1791" s="5"/>
      <c r="AD1791" s="11" t="s">
        <v>4400</v>
      </c>
      <c r="AE1791" s="23" t="n">
        <v>0.35</v>
      </c>
      <c r="AF1791" s="23" t="n">
        <v>0</v>
      </c>
      <c r="AG1791" s="23" t="n">
        <v>1</v>
      </c>
      <c r="AH1791" s="23" t="n">
        <v>1</v>
      </c>
      <c r="AI1791" s="23" t="n">
        <v>1</v>
      </c>
      <c r="AJ1791" s="23" t="n">
        <v>0.1248</v>
      </c>
      <c r="AK1791" s="23" t="n">
        <v>0.5</v>
      </c>
      <c r="AL1791" s="23" t="n">
        <v>0.3</v>
      </c>
      <c r="AM1791" s="16" t="n">
        <f aca="false">COUNTIFS($D$2:$D$2501,D1791,$G$2:$G$2501,"&gt;"&amp;G1791)+COUNTIFS($D$2:D1791,D1791,$G$2:G1791,G1791)</f>
        <v>191</v>
      </c>
      <c r="AN1791" s="5" t="str">
        <f aca="false">D1791&amp;"|"&amp;AM1791</f>
        <v>文件與影像辨識|191</v>
      </c>
    </row>
    <row r="1792" customFormat="false" ht="17.15" hidden="false" customHeight="false" outlineLevel="0" collapsed="false">
      <c r="A1792" s="16" t="n">
        <f aca="false">RANK(G1792,$G$2:$G$2501)+COUNTIF($G$2:G1792,G1792)-1</f>
        <v>1791</v>
      </c>
      <c r="B1792" s="11" t="s">
        <v>4401</v>
      </c>
      <c r="C1792" s="11" t="s">
        <v>2693</v>
      </c>
      <c r="D1792" s="5" t="s">
        <v>74</v>
      </c>
      <c r="E1792" s="5" t="s">
        <v>75</v>
      </c>
      <c r="F1792" s="5"/>
      <c r="G1792" s="22" t="n">
        <f aca="false">ROUND(SUM(I1792:P1792),3)</f>
        <v>55.716</v>
      </c>
      <c r="H1792" s="5" t="str">
        <f aca="false">IF(G1792&gt;=評分方法!$C$16,"優先評估",IF(G1792&gt;=評分方法!$C$17,"列入候選",IF(G1792&gt;=評分方法!$C$18,"特定情境","不建議")))</f>
        <v>不建議</v>
      </c>
      <c r="I1792" s="15" t="n">
        <f aca="false">AE1792*評分方法!$C$5</f>
        <v>10.5</v>
      </c>
      <c r="J1792" s="15" t="n">
        <f aca="false">AF1792*評分方法!$C$6</f>
        <v>0</v>
      </c>
      <c r="K1792" s="15" t="n">
        <f aca="false">AG1792*評分方法!$C$7</f>
        <v>15</v>
      </c>
      <c r="L1792" s="15" t="n">
        <f aca="false">AH1792*評分方法!$C$8</f>
        <v>15</v>
      </c>
      <c r="M1792" s="15" t="n">
        <f aca="false">AI1792*評分方法!$C$9</f>
        <v>10</v>
      </c>
      <c r="N1792" s="15" t="n">
        <f aca="false">AJ1792*評分方法!$C$10</f>
        <v>1.216</v>
      </c>
      <c r="O1792" s="15" t="n">
        <f aca="false">AK1792*評分方法!$C$11</f>
        <v>2.5</v>
      </c>
      <c r="P1792" s="15" t="n">
        <f aca="false">AL1792*評分方法!$C$12</f>
        <v>1.5</v>
      </c>
      <c r="Q1792" s="6" t="n">
        <v>161740</v>
      </c>
      <c r="R1792" s="6" t="n">
        <v>25362856</v>
      </c>
      <c r="S1792" s="11" t="s">
        <v>238</v>
      </c>
      <c r="T1792" s="11" t="s">
        <v>239</v>
      </c>
      <c r="U1792" s="5" t="s">
        <v>240</v>
      </c>
      <c r="V1792" s="11" t="s">
        <v>324</v>
      </c>
      <c r="W1792" s="5" t="s">
        <v>205</v>
      </c>
      <c r="X1792" s="5" t="s">
        <v>255</v>
      </c>
      <c r="Y1792" s="5"/>
      <c r="Z1792" s="5"/>
      <c r="AA1792" s="11" t="s">
        <v>172</v>
      </c>
      <c r="AB1792" s="5" t="s">
        <v>245</v>
      </c>
      <c r="AC1792" s="5"/>
      <c r="AD1792" s="11" t="s">
        <v>4402</v>
      </c>
      <c r="AE1792" s="23" t="n">
        <v>0.35</v>
      </c>
      <c r="AF1792" s="23" t="n">
        <v>0</v>
      </c>
      <c r="AG1792" s="23" t="n">
        <v>1</v>
      </c>
      <c r="AH1792" s="23" t="n">
        <v>1</v>
      </c>
      <c r="AI1792" s="23" t="n">
        <v>1</v>
      </c>
      <c r="AJ1792" s="23" t="n">
        <v>0.1216</v>
      </c>
      <c r="AK1792" s="23" t="n">
        <v>0.5</v>
      </c>
      <c r="AL1792" s="23" t="n">
        <v>0.3</v>
      </c>
      <c r="AM1792" s="16" t="n">
        <f aca="false">COUNTIFS($D$2:$D$2501,D1792,$G$2:$G$2501,"&gt;"&amp;G1792)+COUNTIFS($D$2:D1792,D1792,$G$2:G1792,G1792)</f>
        <v>192</v>
      </c>
      <c r="AN1792" s="5" t="str">
        <f aca="false">D1792&amp;"|"&amp;AM1792</f>
        <v>文件與影像辨識|192</v>
      </c>
    </row>
    <row r="1793" customFormat="false" ht="17.15" hidden="false" customHeight="false" outlineLevel="0" collapsed="false">
      <c r="A1793" s="16" t="n">
        <f aca="false">RANK(G1793,$G$2:$G$2501)+COUNTIF($G$2:G1793,G1793)-1</f>
        <v>1792</v>
      </c>
      <c r="B1793" s="11" t="s">
        <v>4403</v>
      </c>
      <c r="C1793" s="11" t="s">
        <v>2693</v>
      </c>
      <c r="D1793" s="5" t="s">
        <v>74</v>
      </c>
      <c r="E1793" s="5" t="s">
        <v>75</v>
      </c>
      <c r="F1793" s="5"/>
      <c r="G1793" s="22" t="n">
        <f aca="false">ROUND(SUM(I1793:P1793),3)</f>
        <v>55.712</v>
      </c>
      <c r="H1793" s="5" t="str">
        <f aca="false">IF(G1793&gt;=評分方法!$C$16,"優先評估",IF(G1793&gt;=評分方法!$C$17,"列入候選",IF(G1793&gt;=評分方法!$C$18,"特定情境","不建議")))</f>
        <v>不建議</v>
      </c>
      <c r="I1793" s="15" t="n">
        <f aca="false">AE1793*評分方法!$C$5</f>
        <v>10.5</v>
      </c>
      <c r="J1793" s="15" t="n">
        <f aca="false">AF1793*評分方法!$C$6</f>
        <v>0</v>
      </c>
      <c r="K1793" s="15" t="n">
        <f aca="false">AG1793*評分方法!$C$7</f>
        <v>15</v>
      </c>
      <c r="L1793" s="15" t="n">
        <f aca="false">AH1793*評分方法!$C$8</f>
        <v>15</v>
      </c>
      <c r="M1793" s="15" t="n">
        <f aca="false">AI1793*評分方法!$C$9</f>
        <v>10</v>
      </c>
      <c r="N1793" s="15" t="n">
        <f aca="false">AJ1793*評分方法!$C$10</f>
        <v>1.212</v>
      </c>
      <c r="O1793" s="15" t="n">
        <f aca="false">AK1793*評分方法!$C$11</f>
        <v>2.5</v>
      </c>
      <c r="P1793" s="15" t="n">
        <f aca="false">AL1793*評分方法!$C$12</f>
        <v>1.5</v>
      </c>
      <c r="Q1793" s="6" t="n">
        <v>161738</v>
      </c>
      <c r="R1793" s="6" t="n">
        <v>25610152</v>
      </c>
      <c r="S1793" s="11" t="s">
        <v>238</v>
      </c>
      <c r="T1793" s="11" t="s">
        <v>2029</v>
      </c>
      <c r="U1793" s="5" t="s">
        <v>240</v>
      </c>
      <c r="V1793" s="11" t="s">
        <v>324</v>
      </c>
      <c r="W1793" s="5" t="s">
        <v>205</v>
      </c>
      <c r="X1793" s="5" t="s">
        <v>255</v>
      </c>
      <c r="Y1793" s="5"/>
      <c r="Z1793" s="5"/>
      <c r="AA1793" s="11" t="s">
        <v>172</v>
      </c>
      <c r="AB1793" s="5" t="s">
        <v>245</v>
      </c>
      <c r="AC1793" s="5"/>
      <c r="AD1793" s="11" t="s">
        <v>4404</v>
      </c>
      <c r="AE1793" s="23" t="n">
        <v>0.35</v>
      </c>
      <c r="AF1793" s="23" t="n">
        <v>0</v>
      </c>
      <c r="AG1793" s="23" t="n">
        <v>1</v>
      </c>
      <c r="AH1793" s="23" t="n">
        <v>1</v>
      </c>
      <c r="AI1793" s="23" t="n">
        <v>1</v>
      </c>
      <c r="AJ1793" s="23" t="n">
        <v>0.1212</v>
      </c>
      <c r="AK1793" s="23" t="n">
        <v>0.5</v>
      </c>
      <c r="AL1793" s="23" t="n">
        <v>0.3</v>
      </c>
      <c r="AM1793" s="16" t="n">
        <f aca="false">COUNTIFS($D$2:$D$2501,D1793,$G$2:$G$2501,"&gt;"&amp;G1793)+COUNTIFS($D$2:D1793,D1793,$G$2:G1793,G1793)</f>
        <v>193</v>
      </c>
      <c r="AN1793" s="5" t="str">
        <f aca="false">D1793&amp;"|"&amp;AM1793</f>
        <v>文件與影像辨識|193</v>
      </c>
    </row>
    <row r="1794" customFormat="false" ht="17.15" hidden="false" customHeight="false" outlineLevel="0" collapsed="false">
      <c r="A1794" s="16" t="n">
        <f aca="false">RANK(G1794,$G$2:$G$2501)+COUNTIF($G$2:G1794,G1794)-1</f>
        <v>1793</v>
      </c>
      <c r="B1794" s="11" t="s">
        <v>4405</v>
      </c>
      <c r="C1794" s="11" t="s">
        <v>4406</v>
      </c>
      <c r="D1794" s="5" t="s">
        <v>56</v>
      </c>
      <c r="E1794" s="5" t="s">
        <v>57</v>
      </c>
      <c r="F1794" s="5"/>
      <c r="G1794" s="22" t="n">
        <f aca="false">ROUND(SUM(I1794:P1794),3)</f>
        <v>55.69</v>
      </c>
      <c r="H1794" s="5" t="str">
        <f aca="false">IF(G1794&gt;=評分方法!$C$16,"優先評估",IF(G1794&gt;=評分方法!$C$17,"列入候選",IF(G1794&gt;=評分方法!$C$18,"特定情境","不建議")))</f>
        <v>不建議</v>
      </c>
      <c r="I1794" s="15" t="n">
        <f aca="false">AE1794*評分方法!$C$5</f>
        <v>25.5</v>
      </c>
      <c r="J1794" s="15" t="n">
        <f aca="false">AF1794*評分方法!$C$6</f>
        <v>0</v>
      </c>
      <c r="K1794" s="15" t="n">
        <f aca="false">AG1794*評分方法!$C$7</f>
        <v>4.95</v>
      </c>
      <c r="L1794" s="15" t="n">
        <f aca="false">AH1794*評分方法!$C$8</f>
        <v>9</v>
      </c>
      <c r="M1794" s="15" t="n">
        <f aca="false">AI1794*評分方法!$C$9</f>
        <v>10</v>
      </c>
      <c r="N1794" s="15" t="n">
        <f aca="false">AJ1794*評分方法!$C$10</f>
        <v>5.24</v>
      </c>
      <c r="O1794" s="15" t="n">
        <f aca="false">AK1794*評分方法!$C$11</f>
        <v>1</v>
      </c>
      <c r="P1794" s="15" t="n">
        <f aca="false">AL1794*評分方法!$C$12</f>
        <v>0</v>
      </c>
      <c r="Q1794" s="6" t="n">
        <v>553085</v>
      </c>
      <c r="R1794" s="6" t="n">
        <v>12247802880</v>
      </c>
      <c r="S1794" s="11" t="s">
        <v>389</v>
      </c>
      <c r="T1794" s="11" t="s">
        <v>239</v>
      </c>
      <c r="U1794" s="5" t="s">
        <v>240</v>
      </c>
      <c r="V1794" s="11" t="s">
        <v>333</v>
      </c>
      <c r="W1794" s="5" t="s">
        <v>334</v>
      </c>
      <c r="X1794" s="5" t="s">
        <v>242</v>
      </c>
      <c r="Y1794" s="11" t="s">
        <v>4002</v>
      </c>
      <c r="Z1794" s="11" t="s">
        <v>244</v>
      </c>
      <c r="AA1794" s="11" t="s">
        <v>155</v>
      </c>
      <c r="AB1794" s="5" t="s">
        <v>496</v>
      </c>
      <c r="AC1794" s="5" t="s">
        <v>555</v>
      </c>
      <c r="AD1794" s="11" t="s">
        <v>4407</v>
      </c>
      <c r="AE1794" s="23" t="n">
        <v>0.85</v>
      </c>
      <c r="AF1794" s="23" t="n">
        <v>0</v>
      </c>
      <c r="AG1794" s="23" t="n">
        <v>0.33</v>
      </c>
      <c r="AH1794" s="23" t="n">
        <v>0.6</v>
      </c>
      <c r="AI1794" s="23" t="n">
        <v>1</v>
      </c>
      <c r="AJ1794" s="23" t="n">
        <v>0.524</v>
      </c>
      <c r="AK1794" s="23" t="n">
        <v>0.2</v>
      </c>
      <c r="AL1794" s="23" t="n">
        <v>0</v>
      </c>
      <c r="AM1794" s="16" t="n">
        <f aca="false">COUNTIFS($D$2:$D$2501,D1794,$G$2:$G$2501,"&gt;"&amp;G1794)+COUNTIFS($D$2:D1794,D1794,$G$2:G1794,G1794)</f>
        <v>846</v>
      </c>
      <c r="AN1794" s="5" t="str">
        <f aca="false">D1794&amp;"|"&amp;AM1794</f>
        <v>分析與報告生成|846</v>
      </c>
    </row>
    <row r="1795" customFormat="false" ht="17.15" hidden="false" customHeight="false" outlineLevel="0" collapsed="false">
      <c r="A1795" s="16" t="n">
        <f aca="false">RANK(G1795,$G$2:$G$2501)+COUNTIF($G$2:G1795,G1795)-1</f>
        <v>1794</v>
      </c>
      <c r="B1795" s="11" t="s">
        <v>4408</v>
      </c>
      <c r="C1795" s="11" t="s">
        <v>3186</v>
      </c>
      <c r="D1795" s="5" t="s">
        <v>56</v>
      </c>
      <c r="E1795" s="5" t="s">
        <v>57</v>
      </c>
      <c r="F1795" s="5"/>
      <c r="G1795" s="22" t="n">
        <f aca="false">ROUND(SUM(I1795:P1795),3)</f>
        <v>55.682</v>
      </c>
      <c r="H1795" s="5" t="str">
        <f aca="false">IF(G1795&gt;=評分方法!$C$16,"優先評估",IF(G1795&gt;=評分方法!$C$17,"列入候選",IF(G1795&gt;=評分方法!$C$18,"特定情境","不建議")))</f>
        <v>不建議</v>
      </c>
      <c r="I1795" s="15" t="n">
        <f aca="false">AE1795*評分方法!$C$5</f>
        <v>25.5</v>
      </c>
      <c r="J1795" s="15" t="n">
        <f aca="false">AF1795*評分方法!$C$6</f>
        <v>0</v>
      </c>
      <c r="K1795" s="15" t="n">
        <f aca="false">AG1795*評分方法!$C$7</f>
        <v>4.95</v>
      </c>
      <c r="L1795" s="15" t="n">
        <f aca="false">AH1795*評分方法!$C$8</f>
        <v>9</v>
      </c>
      <c r="M1795" s="15" t="n">
        <f aca="false">AI1795*評分方法!$C$9</f>
        <v>10</v>
      </c>
      <c r="N1795" s="15" t="n">
        <f aca="false">AJ1795*評分方法!$C$10</f>
        <v>2.232</v>
      </c>
      <c r="O1795" s="15" t="n">
        <f aca="false">AK1795*評分方法!$C$11</f>
        <v>4</v>
      </c>
      <c r="P1795" s="15" t="n">
        <f aca="false">AL1795*評分方法!$C$12</f>
        <v>0</v>
      </c>
      <c r="Q1795" s="6" t="n">
        <v>227823</v>
      </c>
      <c r="R1795" s="6" t="n">
        <v>27009346304</v>
      </c>
      <c r="S1795" s="11" t="s">
        <v>389</v>
      </c>
      <c r="T1795" s="11" t="s">
        <v>239</v>
      </c>
      <c r="U1795" s="5" t="s">
        <v>240</v>
      </c>
      <c r="V1795" s="11" t="s">
        <v>261</v>
      </c>
      <c r="W1795" s="5" t="s">
        <v>334</v>
      </c>
      <c r="X1795" s="5" t="s">
        <v>242</v>
      </c>
      <c r="Y1795" s="11" t="s">
        <v>1345</v>
      </c>
      <c r="Z1795" s="11" t="s">
        <v>270</v>
      </c>
      <c r="AA1795" s="11" t="s">
        <v>155</v>
      </c>
      <c r="AB1795" s="5" t="s">
        <v>245</v>
      </c>
      <c r="AC1795" s="5"/>
      <c r="AD1795" s="11" t="s">
        <v>4409</v>
      </c>
      <c r="AE1795" s="23" t="n">
        <v>0.85</v>
      </c>
      <c r="AF1795" s="23" t="n">
        <v>0</v>
      </c>
      <c r="AG1795" s="23" t="n">
        <v>0.33</v>
      </c>
      <c r="AH1795" s="23" t="n">
        <v>0.6</v>
      </c>
      <c r="AI1795" s="23" t="n">
        <v>1</v>
      </c>
      <c r="AJ1795" s="23" t="n">
        <v>0.2232</v>
      </c>
      <c r="AK1795" s="23" t="n">
        <v>0.8</v>
      </c>
      <c r="AL1795" s="23" t="n">
        <v>0</v>
      </c>
      <c r="AM1795" s="16" t="n">
        <f aca="false">COUNTIFS($D$2:$D$2501,D1795,$G$2:$G$2501,"&gt;"&amp;G1795)+COUNTIFS($D$2:D1795,D1795,$G$2:G1795,G1795)</f>
        <v>847</v>
      </c>
      <c r="AN1795" s="5" t="str">
        <f aca="false">D1795&amp;"|"&amp;AM1795</f>
        <v>分析與報告生成|847</v>
      </c>
    </row>
    <row r="1796" customFormat="false" ht="17.15" hidden="false" customHeight="false" outlineLevel="0" collapsed="false">
      <c r="A1796" s="16" t="n">
        <f aca="false">RANK(G1796,$G$2:$G$2501)+COUNTIF($G$2:G1796,G1796)-1</f>
        <v>1795</v>
      </c>
      <c r="B1796" s="11" t="s">
        <v>4410</v>
      </c>
      <c r="C1796" s="11" t="s">
        <v>753</v>
      </c>
      <c r="D1796" s="5" t="s">
        <v>56</v>
      </c>
      <c r="E1796" s="5" t="s">
        <v>57</v>
      </c>
      <c r="F1796" s="5"/>
      <c r="G1796" s="22" t="n">
        <f aca="false">ROUND(SUM(I1796:P1796),3)</f>
        <v>55.672</v>
      </c>
      <c r="H1796" s="5" t="str">
        <f aca="false">IF(G1796&gt;=評分方法!$C$16,"優先評估",IF(G1796&gt;=評分方法!$C$17,"列入候選",IF(G1796&gt;=評分方法!$C$18,"特定情境","不建議")))</f>
        <v>不建議</v>
      </c>
      <c r="I1796" s="15" t="n">
        <f aca="false">AE1796*評分方法!$C$5</f>
        <v>25.5</v>
      </c>
      <c r="J1796" s="15" t="n">
        <f aca="false">AF1796*評分方法!$C$6</f>
        <v>0</v>
      </c>
      <c r="K1796" s="15" t="n">
        <f aca="false">AG1796*評分方法!$C$7</f>
        <v>10.05</v>
      </c>
      <c r="L1796" s="15" t="n">
        <f aca="false">AH1796*評分方法!$C$8</f>
        <v>1.95</v>
      </c>
      <c r="M1796" s="15" t="n">
        <f aca="false">AI1796*評分方法!$C$9</f>
        <v>6</v>
      </c>
      <c r="N1796" s="15" t="n">
        <f aca="false">AJ1796*評分方法!$C$10</f>
        <v>2.172</v>
      </c>
      <c r="O1796" s="15" t="n">
        <f aca="false">AK1796*評分方法!$C$11</f>
        <v>5</v>
      </c>
      <c r="P1796" s="15" t="n">
        <f aca="false">AL1796*評分方法!$C$12</f>
        <v>5</v>
      </c>
      <c r="Q1796" s="6" t="n">
        <v>221369</v>
      </c>
      <c r="R1796" s="6" t="n">
        <v>125025988608</v>
      </c>
      <c r="S1796" s="11" t="s">
        <v>1616</v>
      </c>
      <c r="T1796" s="11" t="s">
        <v>185</v>
      </c>
      <c r="U1796" s="5" t="s">
        <v>260</v>
      </c>
      <c r="V1796" s="11" t="s">
        <v>333</v>
      </c>
      <c r="W1796" s="5" t="s">
        <v>207</v>
      </c>
      <c r="X1796" s="5" t="s">
        <v>284</v>
      </c>
      <c r="Y1796" s="11" t="s">
        <v>2292</v>
      </c>
      <c r="Z1796" s="11" t="s">
        <v>244</v>
      </c>
      <c r="AA1796" s="11" t="s">
        <v>155</v>
      </c>
      <c r="AB1796" s="5" t="s">
        <v>328</v>
      </c>
      <c r="AC1796" s="5" t="s">
        <v>3511</v>
      </c>
      <c r="AD1796" s="11" t="s">
        <v>4411</v>
      </c>
      <c r="AE1796" s="23" t="n">
        <v>0.85</v>
      </c>
      <c r="AF1796" s="23" t="n">
        <v>0</v>
      </c>
      <c r="AG1796" s="23" t="n">
        <v>0.67</v>
      </c>
      <c r="AH1796" s="23" t="n">
        <v>0.13</v>
      </c>
      <c r="AI1796" s="23" t="n">
        <v>0.6</v>
      </c>
      <c r="AJ1796" s="23" t="n">
        <v>0.2172</v>
      </c>
      <c r="AK1796" s="23" t="n">
        <v>1</v>
      </c>
      <c r="AL1796" s="23" t="n">
        <v>1</v>
      </c>
      <c r="AM1796" s="16" t="n">
        <f aca="false">COUNTIFS($D$2:$D$2501,D1796,$G$2:$G$2501,"&gt;"&amp;G1796)+COUNTIFS($D$2:D1796,D1796,$G$2:G1796,G1796)</f>
        <v>848</v>
      </c>
      <c r="AN1796" s="5" t="str">
        <f aca="false">D1796&amp;"|"&amp;AM1796</f>
        <v>分析與報告生成|848</v>
      </c>
    </row>
    <row r="1797" customFormat="false" ht="17.15" hidden="false" customHeight="false" outlineLevel="0" collapsed="false">
      <c r="A1797" s="16" t="n">
        <f aca="false">RANK(G1797,$G$2:$G$2501)+COUNTIF($G$2:G1797,G1797)-1</f>
        <v>1796</v>
      </c>
      <c r="B1797" s="11" t="s">
        <v>4412</v>
      </c>
      <c r="C1797" s="11" t="s">
        <v>1388</v>
      </c>
      <c r="D1797" s="5" t="s">
        <v>56</v>
      </c>
      <c r="E1797" s="5" t="s">
        <v>57</v>
      </c>
      <c r="F1797" s="5"/>
      <c r="G1797" s="22" t="n">
        <f aca="false">ROUND(SUM(I1797:P1797),3)</f>
        <v>55.672</v>
      </c>
      <c r="H1797" s="5" t="str">
        <f aca="false">IF(G1797&gt;=評分方法!$C$16,"優先評估",IF(G1797&gt;=評分方法!$C$17,"列入候選",IF(G1797&gt;=評分方法!$C$18,"特定情境","不建議")))</f>
        <v>不建議</v>
      </c>
      <c r="I1797" s="15" t="n">
        <f aca="false">AE1797*評分方法!$C$5</f>
        <v>25.5</v>
      </c>
      <c r="J1797" s="15" t="n">
        <f aca="false">AF1797*評分方法!$C$6</f>
        <v>0</v>
      </c>
      <c r="K1797" s="15" t="n">
        <f aca="false">AG1797*評分方法!$C$7</f>
        <v>10.05</v>
      </c>
      <c r="L1797" s="15" t="n">
        <f aca="false">AH1797*評分方法!$C$8</f>
        <v>13.05</v>
      </c>
      <c r="M1797" s="15" t="n">
        <f aca="false">AI1797*評分方法!$C$9</f>
        <v>6</v>
      </c>
      <c r="N1797" s="15" t="n">
        <f aca="false">AJ1797*評分方法!$C$10</f>
        <v>0.072</v>
      </c>
      <c r="O1797" s="15" t="n">
        <f aca="false">AK1797*評分方法!$C$11</f>
        <v>1</v>
      </c>
      <c r="P1797" s="15" t="n">
        <f aca="false">AL1797*評分方法!$C$12</f>
        <v>0</v>
      </c>
      <c r="Q1797" s="6" t="n">
        <v>118706</v>
      </c>
      <c r="R1797" s="6" t="n">
        <v>6738415616</v>
      </c>
      <c r="S1797" s="11" t="s">
        <v>254</v>
      </c>
      <c r="T1797" s="11" t="s">
        <v>1153</v>
      </c>
      <c r="U1797" s="5" t="s">
        <v>260</v>
      </c>
      <c r="V1797" s="11" t="s">
        <v>333</v>
      </c>
      <c r="W1797" s="5" t="s">
        <v>207</v>
      </c>
      <c r="X1797" s="5" t="s">
        <v>242</v>
      </c>
      <c r="Y1797" s="11" t="s">
        <v>1413</v>
      </c>
      <c r="Z1797" s="11" t="s">
        <v>244</v>
      </c>
      <c r="AA1797" s="11" t="s">
        <v>155</v>
      </c>
      <c r="AB1797" s="5" t="s">
        <v>245</v>
      </c>
      <c r="AC1797" s="5" t="s">
        <v>464</v>
      </c>
      <c r="AD1797" s="11" t="s">
        <v>4413</v>
      </c>
      <c r="AE1797" s="23" t="n">
        <v>0.85</v>
      </c>
      <c r="AF1797" s="23" t="n">
        <v>0</v>
      </c>
      <c r="AG1797" s="23" t="n">
        <v>0.67</v>
      </c>
      <c r="AH1797" s="23" t="n">
        <v>0.87</v>
      </c>
      <c r="AI1797" s="23" t="n">
        <v>0.6</v>
      </c>
      <c r="AJ1797" s="23" t="n">
        <v>0.0072</v>
      </c>
      <c r="AK1797" s="23" t="n">
        <v>0.2</v>
      </c>
      <c r="AL1797" s="23" t="n">
        <v>0</v>
      </c>
      <c r="AM1797" s="16" t="n">
        <f aca="false">COUNTIFS($D$2:$D$2501,D1797,$G$2:$G$2501,"&gt;"&amp;G1797)+COUNTIFS($D$2:D1797,D1797,$G$2:G1797,G1797)</f>
        <v>849</v>
      </c>
      <c r="AN1797" s="5" t="str">
        <f aca="false">D1797&amp;"|"&amp;AM1797</f>
        <v>分析與報告生成|849</v>
      </c>
    </row>
    <row r="1798" customFormat="false" ht="17.15" hidden="false" customHeight="false" outlineLevel="0" collapsed="false">
      <c r="A1798" s="16" t="n">
        <f aca="false">RANK(G1798,$G$2:$G$2501)+COUNTIF($G$2:G1798,G1798)-1</f>
        <v>1797</v>
      </c>
      <c r="B1798" s="11" t="s">
        <v>4414</v>
      </c>
      <c r="C1798" s="11" t="s">
        <v>2693</v>
      </c>
      <c r="D1798" s="5" t="s">
        <v>74</v>
      </c>
      <c r="E1798" s="5" t="s">
        <v>75</v>
      </c>
      <c r="F1798" s="5"/>
      <c r="G1798" s="22" t="n">
        <f aca="false">ROUND(SUM(I1798:P1798),3)</f>
        <v>55.668</v>
      </c>
      <c r="H1798" s="5" t="str">
        <f aca="false">IF(G1798&gt;=評分方法!$C$16,"優先評估",IF(G1798&gt;=評分方法!$C$17,"列入候選",IF(G1798&gt;=評分方法!$C$18,"特定情境","不建議")))</f>
        <v>不建議</v>
      </c>
      <c r="I1798" s="15" t="n">
        <f aca="false">AE1798*評分方法!$C$5</f>
        <v>10.5</v>
      </c>
      <c r="J1798" s="15" t="n">
        <f aca="false">AF1798*評分方法!$C$6</f>
        <v>0</v>
      </c>
      <c r="K1798" s="15" t="n">
        <f aca="false">AG1798*評分方法!$C$7</f>
        <v>15</v>
      </c>
      <c r="L1798" s="15" t="n">
        <f aca="false">AH1798*評分方法!$C$8</f>
        <v>15</v>
      </c>
      <c r="M1798" s="15" t="n">
        <f aca="false">AI1798*評分方法!$C$9</f>
        <v>10</v>
      </c>
      <c r="N1798" s="15" t="n">
        <f aca="false">AJ1798*評分方法!$C$10</f>
        <v>1.168</v>
      </c>
      <c r="O1798" s="15" t="n">
        <f aca="false">AK1798*評分方法!$C$11</f>
        <v>2.5</v>
      </c>
      <c r="P1798" s="15" t="n">
        <f aca="false">AL1798*評分方法!$C$12</f>
        <v>1.5</v>
      </c>
      <c r="Q1798" s="6" t="n">
        <v>160061</v>
      </c>
      <c r="R1798" s="6" t="n">
        <v>197767336</v>
      </c>
      <c r="S1798" s="11" t="s">
        <v>238</v>
      </c>
      <c r="T1798" s="11" t="s">
        <v>239</v>
      </c>
      <c r="U1798" s="5" t="s">
        <v>240</v>
      </c>
      <c r="V1798" s="11" t="s">
        <v>324</v>
      </c>
      <c r="W1798" s="5" t="s">
        <v>205</v>
      </c>
      <c r="X1798" s="5" t="s">
        <v>255</v>
      </c>
      <c r="Y1798" s="5"/>
      <c r="Z1798" s="5"/>
      <c r="AA1798" s="11" t="s">
        <v>172</v>
      </c>
      <c r="AB1798" s="5" t="s">
        <v>245</v>
      </c>
      <c r="AC1798" s="5"/>
      <c r="AD1798" s="11" t="s">
        <v>4415</v>
      </c>
      <c r="AE1798" s="23" t="n">
        <v>0.35</v>
      </c>
      <c r="AF1798" s="23" t="n">
        <v>0</v>
      </c>
      <c r="AG1798" s="23" t="n">
        <v>1</v>
      </c>
      <c r="AH1798" s="23" t="n">
        <v>1</v>
      </c>
      <c r="AI1798" s="23" t="n">
        <v>1</v>
      </c>
      <c r="AJ1798" s="23" t="n">
        <v>0.1168</v>
      </c>
      <c r="AK1798" s="23" t="n">
        <v>0.5</v>
      </c>
      <c r="AL1798" s="23" t="n">
        <v>0.3</v>
      </c>
      <c r="AM1798" s="16" t="n">
        <f aca="false">COUNTIFS($D$2:$D$2501,D1798,$G$2:$G$2501,"&gt;"&amp;G1798)+COUNTIFS($D$2:D1798,D1798,$G$2:G1798,G1798)</f>
        <v>194</v>
      </c>
      <c r="AN1798" s="5" t="str">
        <f aca="false">D1798&amp;"|"&amp;AM1798</f>
        <v>文件與影像辨識|194</v>
      </c>
    </row>
    <row r="1799" customFormat="false" ht="17.15" hidden="false" customHeight="false" outlineLevel="0" collapsed="false">
      <c r="A1799" s="16" t="n">
        <f aca="false">RANK(G1799,$G$2:$G$2501)+COUNTIF($G$2:G1799,G1799)-1</f>
        <v>1798</v>
      </c>
      <c r="B1799" s="11" t="s">
        <v>4416</v>
      </c>
      <c r="C1799" s="11" t="s">
        <v>2693</v>
      </c>
      <c r="D1799" s="5" t="s">
        <v>74</v>
      </c>
      <c r="E1799" s="5" t="s">
        <v>75</v>
      </c>
      <c r="F1799" s="5"/>
      <c r="G1799" s="22" t="n">
        <f aca="false">ROUND(SUM(I1799:P1799),3)</f>
        <v>55.664</v>
      </c>
      <c r="H1799" s="5" t="str">
        <f aca="false">IF(G1799&gt;=評分方法!$C$16,"優先評估",IF(G1799&gt;=評分方法!$C$17,"列入候選",IF(G1799&gt;=評分方法!$C$18,"特定情境","不建議")))</f>
        <v>不建議</v>
      </c>
      <c r="I1799" s="15" t="n">
        <f aca="false">AE1799*評分方法!$C$5</f>
        <v>10.5</v>
      </c>
      <c r="J1799" s="15" t="n">
        <f aca="false">AF1799*評分方法!$C$6</f>
        <v>0</v>
      </c>
      <c r="K1799" s="15" t="n">
        <f aca="false">AG1799*評分方法!$C$7</f>
        <v>15</v>
      </c>
      <c r="L1799" s="15" t="n">
        <f aca="false">AH1799*評分方法!$C$8</f>
        <v>15</v>
      </c>
      <c r="M1799" s="15" t="n">
        <f aca="false">AI1799*評分方法!$C$9</f>
        <v>10</v>
      </c>
      <c r="N1799" s="15" t="n">
        <f aca="false">AJ1799*評分方法!$C$10</f>
        <v>1.164</v>
      </c>
      <c r="O1799" s="15" t="n">
        <f aca="false">AK1799*評分方法!$C$11</f>
        <v>2.5</v>
      </c>
      <c r="P1799" s="15" t="n">
        <f aca="false">AL1799*評分方法!$C$12</f>
        <v>1.5</v>
      </c>
      <c r="Q1799" s="6" t="n">
        <v>159993</v>
      </c>
      <c r="R1799" s="6" t="n">
        <v>88393952</v>
      </c>
      <c r="S1799" s="11" t="s">
        <v>238</v>
      </c>
      <c r="T1799" s="11" t="s">
        <v>278</v>
      </c>
      <c r="U1799" s="5" t="s">
        <v>240</v>
      </c>
      <c r="V1799" s="11" t="s">
        <v>324</v>
      </c>
      <c r="W1799" s="5" t="s">
        <v>205</v>
      </c>
      <c r="X1799" s="5" t="s">
        <v>255</v>
      </c>
      <c r="Y1799" s="5"/>
      <c r="Z1799" s="5"/>
      <c r="AA1799" s="11" t="s">
        <v>172</v>
      </c>
      <c r="AB1799" s="5" t="s">
        <v>245</v>
      </c>
      <c r="AC1799" s="5"/>
      <c r="AD1799" s="11" t="s">
        <v>4417</v>
      </c>
      <c r="AE1799" s="23" t="n">
        <v>0.35</v>
      </c>
      <c r="AF1799" s="23" t="n">
        <v>0</v>
      </c>
      <c r="AG1799" s="23" t="n">
        <v>1</v>
      </c>
      <c r="AH1799" s="23" t="n">
        <v>1</v>
      </c>
      <c r="AI1799" s="23" t="n">
        <v>1</v>
      </c>
      <c r="AJ1799" s="23" t="n">
        <v>0.1164</v>
      </c>
      <c r="AK1799" s="23" t="n">
        <v>0.5</v>
      </c>
      <c r="AL1799" s="23" t="n">
        <v>0.3</v>
      </c>
      <c r="AM1799" s="16" t="n">
        <f aca="false">COUNTIFS($D$2:$D$2501,D1799,$G$2:$G$2501,"&gt;"&amp;G1799)+COUNTIFS($D$2:D1799,D1799,$G$2:G1799,G1799)</f>
        <v>195</v>
      </c>
      <c r="AN1799" s="5" t="str">
        <f aca="false">D1799&amp;"|"&amp;AM1799</f>
        <v>文件與影像辨識|195</v>
      </c>
    </row>
    <row r="1800" customFormat="false" ht="17.15" hidden="false" customHeight="false" outlineLevel="0" collapsed="false">
      <c r="A1800" s="16" t="n">
        <f aca="false">RANK(G1800,$G$2:$G$2501)+COUNTIF($G$2:G1800,G1800)-1</f>
        <v>1799</v>
      </c>
      <c r="B1800" s="11" t="s">
        <v>4418</v>
      </c>
      <c r="C1800" s="11" t="s">
        <v>4137</v>
      </c>
      <c r="D1800" s="5" t="s">
        <v>58</v>
      </c>
      <c r="E1800" s="5" t="s">
        <v>59</v>
      </c>
      <c r="F1800" s="5"/>
      <c r="G1800" s="22" t="n">
        <f aca="false">ROUND(SUM(I1800:P1800),3)</f>
        <v>55.638</v>
      </c>
      <c r="H1800" s="5" t="str">
        <f aca="false">IF(G1800&gt;=評分方法!$C$16,"優先評估",IF(G1800&gt;=評分方法!$C$17,"列入候選",IF(G1800&gt;=評分方法!$C$18,"特定情境","不建議")))</f>
        <v>不建議</v>
      </c>
      <c r="I1800" s="15" t="n">
        <f aca="false">AE1800*評分方法!$C$5</f>
        <v>28.5</v>
      </c>
      <c r="J1800" s="15" t="n">
        <f aca="false">AF1800*評分方法!$C$6</f>
        <v>0</v>
      </c>
      <c r="K1800" s="15" t="n">
        <f aca="false">AG1800*評分方法!$C$7</f>
        <v>4.95</v>
      </c>
      <c r="L1800" s="15" t="n">
        <f aca="false">AH1800*評分方法!$C$8</f>
        <v>15</v>
      </c>
      <c r="M1800" s="15" t="n">
        <f aca="false">AI1800*評分方法!$C$9</f>
        <v>2</v>
      </c>
      <c r="N1800" s="15" t="n">
        <f aca="false">AJ1800*評分方法!$C$10</f>
        <v>2.688</v>
      </c>
      <c r="O1800" s="15" t="n">
        <f aca="false">AK1800*評分方法!$C$11</f>
        <v>1</v>
      </c>
      <c r="P1800" s="15" t="n">
        <f aca="false">AL1800*評分方法!$C$12</f>
        <v>1.5</v>
      </c>
      <c r="Q1800" s="6" t="n">
        <v>265815</v>
      </c>
      <c r="R1800" s="6" t="n">
        <v>183836166</v>
      </c>
      <c r="S1800" s="11" t="s">
        <v>238</v>
      </c>
      <c r="T1800" s="5"/>
      <c r="U1800" s="5" t="s">
        <v>375</v>
      </c>
      <c r="V1800" s="11" t="s">
        <v>261</v>
      </c>
      <c r="W1800" s="5" t="s">
        <v>334</v>
      </c>
      <c r="X1800" s="5" t="s">
        <v>255</v>
      </c>
      <c r="Y1800" s="5"/>
      <c r="Z1800" s="5"/>
      <c r="AA1800" s="11" t="s">
        <v>150</v>
      </c>
      <c r="AB1800" s="5" t="s">
        <v>245</v>
      </c>
      <c r="AC1800" s="5" t="s">
        <v>262</v>
      </c>
      <c r="AD1800" s="11" t="s">
        <v>4419</v>
      </c>
      <c r="AE1800" s="23" t="n">
        <v>0.95</v>
      </c>
      <c r="AF1800" s="23" t="n">
        <v>0</v>
      </c>
      <c r="AG1800" s="23" t="n">
        <v>0.33</v>
      </c>
      <c r="AH1800" s="23" t="n">
        <v>1</v>
      </c>
      <c r="AI1800" s="23" t="n">
        <v>0.2</v>
      </c>
      <c r="AJ1800" s="23" t="n">
        <v>0.2688</v>
      </c>
      <c r="AK1800" s="23" t="n">
        <v>0.2</v>
      </c>
      <c r="AL1800" s="23" t="n">
        <v>0.3</v>
      </c>
      <c r="AM1800" s="16" t="n">
        <f aca="false">COUNTIFS($D$2:$D$2501,D1800,$G$2:$G$2501,"&gt;"&amp;G1800)+COUNTIFS($D$2:D1800,D1800,$G$2:G1800,G1800)</f>
        <v>295</v>
      </c>
      <c r="AN1800" s="5" t="str">
        <f aca="false">D1800&amp;"|"&amp;AM1800</f>
        <v>實體擷取與去識別化|295</v>
      </c>
    </row>
    <row r="1801" customFormat="false" ht="17.15" hidden="false" customHeight="false" outlineLevel="0" collapsed="false">
      <c r="A1801" s="16" t="n">
        <f aca="false">RANK(G1801,$G$2:$G$2501)+COUNTIF($G$2:G1801,G1801)-1</f>
        <v>1800</v>
      </c>
      <c r="B1801" s="11" t="s">
        <v>4420</v>
      </c>
      <c r="C1801" s="11" t="s">
        <v>681</v>
      </c>
      <c r="D1801" s="5" t="s">
        <v>74</v>
      </c>
      <c r="E1801" s="5" t="s">
        <v>75</v>
      </c>
      <c r="F1801" s="5"/>
      <c r="G1801" s="22" t="n">
        <f aca="false">ROUND(SUM(I1801:P1801),3)</f>
        <v>55.638</v>
      </c>
      <c r="H1801" s="5" t="str">
        <f aca="false">IF(G1801&gt;=評分方法!$C$16,"優先評估",IF(G1801&gt;=評分方法!$C$17,"列入候選",IF(G1801&gt;=評分方法!$C$18,"特定情境","不建議")))</f>
        <v>不建議</v>
      </c>
      <c r="I1801" s="15" t="n">
        <f aca="false">AE1801*評分方法!$C$5</f>
        <v>10.5</v>
      </c>
      <c r="J1801" s="15" t="n">
        <f aca="false">AF1801*評分方法!$C$6</f>
        <v>0</v>
      </c>
      <c r="K1801" s="15" t="n">
        <f aca="false">AG1801*評分方法!$C$7</f>
        <v>15</v>
      </c>
      <c r="L1801" s="15" t="n">
        <f aca="false">AH1801*評分方法!$C$8</f>
        <v>13.05</v>
      </c>
      <c r="M1801" s="15" t="n">
        <f aca="false">AI1801*評分方法!$C$9</f>
        <v>10</v>
      </c>
      <c r="N1801" s="15" t="n">
        <f aca="false">AJ1801*評分方法!$C$10</f>
        <v>4.588</v>
      </c>
      <c r="O1801" s="15" t="n">
        <f aca="false">AK1801*評分方法!$C$11</f>
        <v>1</v>
      </c>
      <c r="P1801" s="15" t="n">
        <f aca="false">AL1801*評分方法!$C$12</f>
        <v>1.5</v>
      </c>
      <c r="Q1801" s="6" t="n">
        <v>499691</v>
      </c>
      <c r="R1801" s="6" t="n">
        <v>1139553768</v>
      </c>
      <c r="S1801" s="11" t="s">
        <v>254</v>
      </c>
      <c r="T1801" s="11" t="s">
        <v>239</v>
      </c>
      <c r="U1801" s="5" t="s">
        <v>240</v>
      </c>
      <c r="V1801" s="11" t="s">
        <v>324</v>
      </c>
      <c r="W1801" s="5" t="s">
        <v>205</v>
      </c>
      <c r="X1801" s="5" t="s">
        <v>255</v>
      </c>
      <c r="Y1801" s="5"/>
      <c r="Z1801" s="5"/>
      <c r="AA1801" s="11" t="s">
        <v>172</v>
      </c>
      <c r="AB1801" s="5" t="s">
        <v>245</v>
      </c>
      <c r="AC1801" s="5"/>
      <c r="AD1801" s="11" t="s">
        <v>4421</v>
      </c>
      <c r="AE1801" s="23" t="n">
        <v>0.35</v>
      </c>
      <c r="AF1801" s="23" t="n">
        <v>0</v>
      </c>
      <c r="AG1801" s="23" t="n">
        <v>1</v>
      </c>
      <c r="AH1801" s="23" t="n">
        <v>0.87</v>
      </c>
      <c r="AI1801" s="23" t="n">
        <v>1</v>
      </c>
      <c r="AJ1801" s="23" t="n">
        <v>0.4588</v>
      </c>
      <c r="AK1801" s="23" t="n">
        <v>0.2</v>
      </c>
      <c r="AL1801" s="23" t="n">
        <v>0.3</v>
      </c>
      <c r="AM1801" s="16" t="n">
        <f aca="false">COUNTIFS($D$2:$D$2501,D1801,$G$2:$G$2501,"&gt;"&amp;G1801)+COUNTIFS($D$2:D1801,D1801,$G$2:G1801,G1801)</f>
        <v>196</v>
      </c>
      <c r="AN1801" s="5" t="str">
        <f aca="false">D1801&amp;"|"&amp;AM1801</f>
        <v>文件與影像辨識|196</v>
      </c>
    </row>
    <row r="1802" customFormat="false" ht="17.15" hidden="false" customHeight="false" outlineLevel="0" collapsed="false">
      <c r="A1802" s="16" t="n">
        <f aca="false">RANK(G1802,$G$2:$G$2501)+COUNTIF($G$2:G1802,G1802)-1</f>
        <v>1801</v>
      </c>
      <c r="B1802" s="11" t="s">
        <v>4422</v>
      </c>
      <c r="C1802" s="11" t="s">
        <v>4423</v>
      </c>
      <c r="D1802" s="5" t="s">
        <v>56</v>
      </c>
      <c r="E1802" s="5" t="s">
        <v>57</v>
      </c>
      <c r="F1802" s="5"/>
      <c r="G1802" s="22" t="n">
        <f aca="false">ROUND(SUM(I1802:P1802),3)</f>
        <v>55.61</v>
      </c>
      <c r="H1802" s="5" t="str">
        <f aca="false">IF(G1802&gt;=評分方法!$C$16,"優先評估",IF(G1802&gt;=評分方法!$C$17,"列入候選",IF(G1802&gt;=評分方法!$C$18,"特定情境","不建議")))</f>
        <v>不建議</v>
      </c>
      <c r="I1802" s="15" t="n">
        <f aca="false">AE1802*評分方法!$C$5</f>
        <v>25.5</v>
      </c>
      <c r="J1802" s="15" t="n">
        <f aca="false">AF1802*評分方法!$C$6</f>
        <v>0</v>
      </c>
      <c r="K1802" s="15" t="n">
        <f aca="false">AG1802*評分方法!$C$7</f>
        <v>4.95</v>
      </c>
      <c r="L1802" s="15" t="n">
        <f aca="false">AH1802*評分方法!$C$8</f>
        <v>9</v>
      </c>
      <c r="M1802" s="15" t="n">
        <f aca="false">AI1802*評分方法!$C$9</f>
        <v>6</v>
      </c>
      <c r="N1802" s="15" t="n">
        <f aca="false">AJ1802*評分方法!$C$10</f>
        <v>2.16</v>
      </c>
      <c r="O1802" s="15" t="n">
        <f aca="false">AK1802*評分方法!$C$11</f>
        <v>5</v>
      </c>
      <c r="P1802" s="15" t="n">
        <f aca="false">AL1802*評分方法!$C$12</f>
        <v>3</v>
      </c>
      <c r="Q1802" s="6" t="n">
        <v>220636</v>
      </c>
      <c r="R1802" s="6" t="n">
        <v>11959730224</v>
      </c>
      <c r="S1802" s="11" t="s">
        <v>389</v>
      </c>
      <c r="T1802" s="11" t="s">
        <v>658</v>
      </c>
      <c r="U1802" s="5" t="s">
        <v>260</v>
      </c>
      <c r="V1802" s="11" t="s">
        <v>261</v>
      </c>
      <c r="W1802" s="5" t="s">
        <v>334</v>
      </c>
      <c r="X1802" s="5" t="s">
        <v>371</v>
      </c>
      <c r="Y1802" s="11" t="s">
        <v>755</v>
      </c>
      <c r="Z1802" s="11" t="s">
        <v>244</v>
      </c>
      <c r="AA1802" s="11" t="s">
        <v>156</v>
      </c>
      <c r="AB1802" s="5" t="s">
        <v>245</v>
      </c>
      <c r="AC1802" s="5" t="s">
        <v>464</v>
      </c>
      <c r="AD1802" s="11" t="s">
        <v>4424</v>
      </c>
      <c r="AE1802" s="23" t="n">
        <v>0.85</v>
      </c>
      <c r="AF1802" s="23" t="n">
        <v>0</v>
      </c>
      <c r="AG1802" s="23" t="n">
        <v>0.33</v>
      </c>
      <c r="AH1802" s="23" t="n">
        <v>0.6</v>
      </c>
      <c r="AI1802" s="23" t="n">
        <v>0.6</v>
      </c>
      <c r="AJ1802" s="23" t="n">
        <v>0.216</v>
      </c>
      <c r="AK1802" s="23" t="n">
        <v>1</v>
      </c>
      <c r="AL1802" s="23" t="n">
        <v>0.6</v>
      </c>
      <c r="AM1802" s="16" t="n">
        <f aca="false">COUNTIFS($D$2:$D$2501,D1802,$G$2:$G$2501,"&gt;"&amp;G1802)+COUNTIFS($D$2:D1802,D1802,$G$2:G1802,G1802)</f>
        <v>850</v>
      </c>
      <c r="AN1802" s="5" t="str">
        <f aca="false">D1802&amp;"|"&amp;AM1802</f>
        <v>分析與報告生成|850</v>
      </c>
    </row>
    <row r="1803" customFormat="false" ht="17.15" hidden="false" customHeight="false" outlineLevel="0" collapsed="false">
      <c r="A1803" s="16" t="n">
        <f aca="false">RANK(G1803,$G$2:$G$2501)+COUNTIF($G$2:G1803,G1803)-1</f>
        <v>1802</v>
      </c>
      <c r="B1803" s="11" t="s">
        <v>4425</v>
      </c>
      <c r="C1803" s="11" t="s">
        <v>4426</v>
      </c>
      <c r="D1803" s="5" t="s">
        <v>54</v>
      </c>
      <c r="E1803" s="5" t="s">
        <v>55</v>
      </c>
      <c r="F1803" s="5"/>
      <c r="G1803" s="22" t="n">
        <f aca="false">ROUND(SUM(I1803:P1803),3)</f>
        <v>55.59</v>
      </c>
      <c r="H1803" s="5" t="str">
        <f aca="false">IF(G1803&gt;=評分方法!$C$16,"優先評估",IF(G1803&gt;=評分方法!$C$17,"列入候選",IF(G1803&gt;=評分方法!$C$18,"特定情境","不建議")))</f>
        <v>不建議</v>
      </c>
      <c r="I1803" s="15" t="n">
        <f aca="false">AE1803*評分方法!$C$5</f>
        <v>16.2</v>
      </c>
      <c r="J1803" s="15" t="n">
        <f aca="false">AF1803*評分方法!$C$6</f>
        <v>0</v>
      </c>
      <c r="K1803" s="15" t="n">
        <f aca="false">AG1803*評分方法!$C$7</f>
        <v>4.95</v>
      </c>
      <c r="L1803" s="15" t="n">
        <f aca="false">AH1803*評分方法!$C$8</f>
        <v>15</v>
      </c>
      <c r="M1803" s="15" t="n">
        <f aca="false">AI1803*評分方法!$C$9</f>
        <v>10</v>
      </c>
      <c r="N1803" s="15" t="n">
        <f aca="false">AJ1803*評分方法!$C$10</f>
        <v>8.44</v>
      </c>
      <c r="O1803" s="15" t="n">
        <f aca="false">AK1803*評分方法!$C$11</f>
        <v>1</v>
      </c>
      <c r="P1803" s="15" t="n">
        <f aca="false">AL1803*評分方法!$C$12</f>
        <v>0</v>
      </c>
      <c r="Q1803" s="6" t="n">
        <v>2107081</v>
      </c>
      <c r="R1803" s="6" t="n">
        <v>559890432</v>
      </c>
      <c r="S1803" s="11" t="s">
        <v>238</v>
      </c>
      <c r="T1803" s="11" t="s">
        <v>278</v>
      </c>
      <c r="U1803" s="5" t="s">
        <v>240</v>
      </c>
      <c r="V1803" s="11" t="s">
        <v>261</v>
      </c>
      <c r="W1803" s="5" t="s">
        <v>334</v>
      </c>
      <c r="X1803" s="5" t="s">
        <v>242</v>
      </c>
      <c r="Y1803" s="5"/>
      <c r="Z1803" s="5"/>
      <c r="AA1803" s="11" t="s">
        <v>153</v>
      </c>
      <c r="AB1803" s="5" t="s">
        <v>245</v>
      </c>
      <c r="AC1803" s="5" t="s">
        <v>1463</v>
      </c>
      <c r="AD1803" s="11" t="s">
        <v>4427</v>
      </c>
      <c r="AE1803" s="23" t="n">
        <v>0.54</v>
      </c>
      <c r="AF1803" s="23" t="n">
        <v>0</v>
      </c>
      <c r="AG1803" s="23" t="n">
        <v>0.33</v>
      </c>
      <c r="AH1803" s="23" t="n">
        <v>1</v>
      </c>
      <c r="AI1803" s="23" t="n">
        <v>1</v>
      </c>
      <c r="AJ1803" s="23" t="n">
        <v>0.844</v>
      </c>
      <c r="AK1803" s="23" t="n">
        <v>0.2</v>
      </c>
      <c r="AL1803" s="23" t="n">
        <v>0</v>
      </c>
      <c r="AM1803" s="16" t="n">
        <f aca="false">COUNTIFS($D$2:$D$2501,D1803,$G$2:$G$2501,"&gt;"&amp;G1803)+COUNTIFS($D$2:D1803,D1803,$G$2:G1803,G1803)</f>
        <v>221</v>
      </c>
      <c r="AN1803" s="5" t="str">
        <f aca="false">D1803&amp;"|"&amp;AM1803</f>
        <v>檢索與情資關聯|221</v>
      </c>
    </row>
    <row r="1804" customFormat="false" ht="17.15" hidden="false" customHeight="false" outlineLevel="0" collapsed="false">
      <c r="A1804" s="16" t="n">
        <f aca="false">RANK(G1804,$G$2:$G$2501)+COUNTIF($G$2:G1804,G1804)-1</f>
        <v>1803</v>
      </c>
      <c r="B1804" s="11" t="s">
        <v>4428</v>
      </c>
      <c r="C1804" s="11" t="s">
        <v>308</v>
      </c>
      <c r="D1804" s="5" t="s">
        <v>74</v>
      </c>
      <c r="E1804" s="5" t="s">
        <v>75</v>
      </c>
      <c r="F1804" s="5"/>
      <c r="G1804" s="22" t="n">
        <f aca="false">ROUND(SUM(I1804:P1804),3)</f>
        <v>55.54</v>
      </c>
      <c r="H1804" s="5" t="str">
        <f aca="false">IF(G1804&gt;=評分方法!$C$16,"優先評估",IF(G1804&gt;=評分方法!$C$17,"列入候選",IF(G1804&gt;=評分方法!$C$18,"特定情境","不建議")))</f>
        <v>不建議</v>
      </c>
      <c r="I1804" s="15" t="n">
        <f aca="false">AE1804*評分方法!$C$5</f>
        <v>10.5</v>
      </c>
      <c r="J1804" s="15" t="n">
        <f aca="false">AF1804*評分方法!$C$6</f>
        <v>0</v>
      </c>
      <c r="K1804" s="15" t="n">
        <f aca="false">AG1804*評分方法!$C$7</f>
        <v>15</v>
      </c>
      <c r="L1804" s="15" t="n">
        <f aca="false">AH1804*評分方法!$C$8</f>
        <v>15</v>
      </c>
      <c r="M1804" s="15" t="n">
        <f aca="false">AI1804*評分方法!$C$9</f>
        <v>2</v>
      </c>
      <c r="N1804" s="15" t="n">
        <f aca="false">AJ1804*評分方法!$C$10</f>
        <v>6.54</v>
      </c>
      <c r="O1804" s="15" t="n">
        <f aca="false">AK1804*評分方法!$C$11</f>
        <v>5</v>
      </c>
      <c r="P1804" s="15" t="n">
        <f aca="false">AL1804*評分方法!$C$12</f>
        <v>1.5</v>
      </c>
      <c r="Q1804" s="6" t="n">
        <v>763725</v>
      </c>
      <c r="R1804" s="6" t="n">
        <v>86580480</v>
      </c>
      <c r="S1804" s="11" t="s">
        <v>238</v>
      </c>
      <c r="T1804" s="5"/>
      <c r="U1804" s="5" t="s">
        <v>375</v>
      </c>
      <c r="V1804" s="11" t="s">
        <v>261</v>
      </c>
      <c r="W1804" s="5" t="s">
        <v>205</v>
      </c>
      <c r="X1804" s="5" t="s">
        <v>255</v>
      </c>
      <c r="Y1804" s="5"/>
      <c r="Z1804" s="5"/>
      <c r="AA1804" s="11" t="s">
        <v>173</v>
      </c>
      <c r="AB1804" s="5" t="s">
        <v>245</v>
      </c>
      <c r="AC1804" s="5" t="s">
        <v>262</v>
      </c>
      <c r="AD1804" s="11" t="s">
        <v>4429</v>
      </c>
      <c r="AE1804" s="23" t="n">
        <v>0.35</v>
      </c>
      <c r="AF1804" s="23" t="n">
        <v>0</v>
      </c>
      <c r="AG1804" s="23" t="n">
        <v>1</v>
      </c>
      <c r="AH1804" s="23" t="n">
        <v>1</v>
      </c>
      <c r="AI1804" s="23" t="n">
        <v>0.2</v>
      </c>
      <c r="AJ1804" s="23" t="n">
        <v>0.654</v>
      </c>
      <c r="AK1804" s="23" t="n">
        <v>1</v>
      </c>
      <c r="AL1804" s="23" t="n">
        <v>0.3</v>
      </c>
      <c r="AM1804" s="16" t="n">
        <f aca="false">COUNTIFS($D$2:$D$2501,D1804,$G$2:$G$2501,"&gt;"&amp;G1804)+COUNTIFS($D$2:D1804,D1804,$G$2:G1804,G1804)</f>
        <v>197</v>
      </c>
      <c r="AN1804" s="5" t="str">
        <f aca="false">D1804&amp;"|"&amp;AM1804</f>
        <v>文件與影像辨識|197</v>
      </c>
    </row>
    <row r="1805" customFormat="false" ht="17.15" hidden="false" customHeight="false" outlineLevel="0" collapsed="false">
      <c r="A1805" s="16" t="n">
        <f aca="false">RANK(G1805,$G$2:$G$2501)+COUNTIF($G$2:G1805,G1805)-1</f>
        <v>1804</v>
      </c>
      <c r="B1805" s="11" t="s">
        <v>4430</v>
      </c>
      <c r="C1805" s="11" t="s">
        <v>258</v>
      </c>
      <c r="D1805" s="5" t="s">
        <v>56</v>
      </c>
      <c r="E1805" s="5" t="s">
        <v>57</v>
      </c>
      <c r="F1805" s="5"/>
      <c r="G1805" s="22" t="n">
        <f aca="false">ROUND(SUM(I1805:P1805),3)</f>
        <v>55.514</v>
      </c>
      <c r="H1805" s="5" t="str">
        <f aca="false">IF(G1805&gt;=評分方法!$C$16,"優先評估",IF(G1805&gt;=評分方法!$C$17,"列入候選",IF(G1805&gt;=評分方法!$C$18,"特定情境","不建議")))</f>
        <v>不建議</v>
      </c>
      <c r="I1805" s="15" t="n">
        <f aca="false">AE1805*評分方法!$C$5</f>
        <v>25.5</v>
      </c>
      <c r="J1805" s="15" t="n">
        <f aca="false">AF1805*評分方法!$C$6</f>
        <v>0</v>
      </c>
      <c r="K1805" s="15" t="n">
        <f aca="false">AG1805*評分方法!$C$7</f>
        <v>15</v>
      </c>
      <c r="L1805" s="15" t="n">
        <f aca="false">AH1805*評分方法!$C$8</f>
        <v>1.95</v>
      </c>
      <c r="M1805" s="15" t="n">
        <f aca="false">AI1805*評分方法!$C$9</f>
        <v>6</v>
      </c>
      <c r="N1805" s="15" t="n">
        <f aca="false">AJ1805*評分方法!$C$10</f>
        <v>6.064</v>
      </c>
      <c r="O1805" s="15" t="n">
        <f aca="false">AK1805*評分方法!$C$11</f>
        <v>1</v>
      </c>
      <c r="P1805" s="15" t="n">
        <f aca="false">AL1805*評分方法!$C$12</f>
        <v>0</v>
      </c>
      <c r="Q1805" s="6" t="n">
        <v>640997</v>
      </c>
      <c r="R1805" s="6" t="n">
        <v>405853388800</v>
      </c>
      <c r="S1805" s="11" t="s">
        <v>1616</v>
      </c>
      <c r="T1805" s="11" t="s">
        <v>259</v>
      </c>
      <c r="U1805" s="5" t="s">
        <v>260</v>
      </c>
      <c r="V1805" s="11" t="s">
        <v>324</v>
      </c>
      <c r="W1805" s="5" t="s">
        <v>205</v>
      </c>
      <c r="X1805" s="5" t="s">
        <v>242</v>
      </c>
      <c r="Y1805" s="11" t="s">
        <v>4285</v>
      </c>
      <c r="Z1805" s="11" t="s">
        <v>270</v>
      </c>
      <c r="AA1805" s="11" t="s">
        <v>155</v>
      </c>
      <c r="AB1805" s="5" t="s">
        <v>245</v>
      </c>
      <c r="AC1805" s="5" t="s">
        <v>262</v>
      </c>
      <c r="AD1805" s="11" t="s">
        <v>4431</v>
      </c>
      <c r="AE1805" s="23" t="n">
        <v>0.85</v>
      </c>
      <c r="AF1805" s="23" t="n">
        <v>0</v>
      </c>
      <c r="AG1805" s="23" t="n">
        <v>1</v>
      </c>
      <c r="AH1805" s="23" t="n">
        <v>0.13</v>
      </c>
      <c r="AI1805" s="23" t="n">
        <v>0.6</v>
      </c>
      <c r="AJ1805" s="23" t="n">
        <v>0.6064</v>
      </c>
      <c r="AK1805" s="23" t="n">
        <v>0.2</v>
      </c>
      <c r="AL1805" s="23" t="n">
        <v>0</v>
      </c>
      <c r="AM1805" s="16" t="n">
        <f aca="false">COUNTIFS($D$2:$D$2501,D1805,$G$2:$G$2501,"&gt;"&amp;G1805)+COUNTIFS($D$2:D1805,D1805,$G$2:G1805,G1805)</f>
        <v>851</v>
      </c>
      <c r="AN1805" s="5" t="str">
        <f aca="false">D1805&amp;"|"&amp;AM1805</f>
        <v>分析與報告生成|851</v>
      </c>
    </row>
    <row r="1806" customFormat="false" ht="17.15" hidden="false" customHeight="false" outlineLevel="0" collapsed="false">
      <c r="A1806" s="16" t="n">
        <f aca="false">RANK(G1806,$G$2:$G$2501)+COUNTIF($G$2:G1806,G1806)-1</f>
        <v>1805</v>
      </c>
      <c r="B1806" s="11" t="s">
        <v>4432</v>
      </c>
      <c r="C1806" s="11" t="s">
        <v>891</v>
      </c>
      <c r="D1806" s="5" t="s">
        <v>56</v>
      </c>
      <c r="E1806" s="5" t="s">
        <v>57</v>
      </c>
      <c r="F1806" s="5"/>
      <c r="G1806" s="22" t="n">
        <f aca="false">ROUND(SUM(I1806:P1806),3)</f>
        <v>55.5</v>
      </c>
      <c r="H1806" s="5" t="str">
        <f aca="false">IF(G1806&gt;=評分方法!$C$16,"優先評估",IF(G1806&gt;=評分方法!$C$17,"列入候選",IF(G1806&gt;=評分方法!$C$18,"特定情境","不建議")))</f>
        <v>不建議</v>
      </c>
      <c r="I1806" s="15" t="n">
        <f aca="false">AE1806*評分方法!$C$5</f>
        <v>25.5</v>
      </c>
      <c r="J1806" s="15" t="n">
        <f aca="false">AF1806*評分方法!$C$6</f>
        <v>0</v>
      </c>
      <c r="K1806" s="15" t="n">
        <f aca="false">AG1806*評分方法!$C$7</f>
        <v>10.05</v>
      </c>
      <c r="L1806" s="15" t="n">
        <f aca="false">AH1806*評分方法!$C$8</f>
        <v>1.95</v>
      </c>
      <c r="M1806" s="15" t="n">
        <f aca="false">AI1806*評分方法!$C$9</f>
        <v>10</v>
      </c>
      <c r="N1806" s="15" t="n">
        <f aca="false">AJ1806*評分方法!$C$10</f>
        <v>2.5</v>
      </c>
      <c r="O1806" s="15" t="n">
        <f aca="false">AK1806*評分方法!$C$11</f>
        <v>2.5</v>
      </c>
      <c r="P1806" s="15" t="n">
        <f aca="false">AL1806*評分方法!$C$12</f>
        <v>3</v>
      </c>
      <c r="Q1806" s="6" t="n">
        <v>249943</v>
      </c>
      <c r="R1806" s="6" t="n">
        <v>116829154368</v>
      </c>
      <c r="S1806" s="11" t="s">
        <v>1616</v>
      </c>
      <c r="T1806" s="11" t="s">
        <v>239</v>
      </c>
      <c r="U1806" s="5" t="s">
        <v>240</v>
      </c>
      <c r="V1806" s="11" t="s">
        <v>261</v>
      </c>
      <c r="W1806" s="5" t="s">
        <v>207</v>
      </c>
      <c r="X1806" s="5" t="s">
        <v>371</v>
      </c>
      <c r="Y1806" s="11" t="s">
        <v>1362</v>
      </c>
      <c r="Z1806" s="11" t="s">
        <v>244</v>
      </c>
      <c r="AA1806" s="11" t="s">
        <v>155</v>
      </c>
      <c r="AB1806" s="5" t="s">
        <v>245</v>
      </c>
      <c r="AC1806" s="5" t="s">
        <v>246</v>
      </c>
      <c r="AD1806" s="11" t="s">
        <v>4433</v>
      </c>
      <c r="AE1806" s="23" t="n">
        <v>0.85</v>
      </c>
      <c r="AF1806" s="23" t="n">
        <v>0</v>
      </c>
      <c r="AG1806" s="23" t="n">
        <v>0.67</v>
      </c>
      <c r="AH1806" s="23" t="n">
        <v>0.13</v>
      </c>
      <c r="AI1806" s="23" t="n">
        <v>1</v>
      </c>
      <c r="AJ1806" s="23" t="n">
        <v>0.25</v>
      </c>
      <c r="AK1806" s="23" t="n">
        <v>0.5</v>
      </c>
      <c r="AL1806" s="23" t="n">
        <v>0.6</v>
      </c>
      <c r="AM1806" s="16" t="n">
        <f aca="false">COUNTIFS($D$2:$D$2501,D1806,$G$2:$G$2501,"&gt;"&amp;G1806)+COUNTIFS($D$2:D1806,D1806,$G$2:G1806,G1806)</f>
        <v>852</v>
      </c>
      <c r="AN1806" s="5" t="str">
        <f aca="false">D1806&amp;"|"&amp;AM1806</f>
        <v>分析與報告生成|852</v>
      </c>
    </row>
    <row r="1807" customFormat="false" ht="17.15" hidden="false" customHeight="false" outlineLevel="0" collapsed="false">
      <c r="A1807" s="16" t="n">
        <f aca="false">RANK(G1807,$G$2:$G$2501)+COUNTIF($G$2:G1807,G1807)-1</f>
        <v>1806</v>
      </c>
      <c r="B1807" s="11" t="s">
        <v>4434</v>
      </c>
      <c r="C1807" s="11" t="s">
        <v>2693</v>
      </c>
      <c r="D1807" s="5" t="s">
        <v>74</v>
      </c>
      <c r="E1807" s="5" t="s">
        <v>75</v>
      </c>
      <c r="F1807" s="5"/>
      <c r="G1807" s="22" t="n">
        <f aca="false">ROUND(SUM(I1807:P1807),3)</f>
        <v>55.492</v>
      </c>
      <c r="H1807" s="5" t="str">
        <f aca="false">IF(G1807&gt;=評分方法!$C$16,"優先評估",IF(G1807&gt;=評分方法!$C$17,"列入候選",IF(G1807&gt;=評分方法!$C$18,"特定情境","不建議")))</f>
        <v>不建議</v>
      </c>
      <c r="I1807" s="15" t="n">
        <f aca="false">AE1807*評分方法!$C$5</f>
        <v>10.5</v>
      </c>
      <c r="J1807" s="15" t="n">
        <f aca="false">AF1807*評分方法!$C$6</f>
        <v>0</v>
      </c>
      <c r="K1807" s="15" t="n">
        <f aca="false">AG1807*評分方法!$C$7</f>
        <v>15</v>
      </c>
      <c r="L1807" s="15" t="n">
        <f aca="false">AH1807*評分方法!$C$8</f>
        <v>15</v>
      </c>
      <c r="M1807" s="15" t="n">
        <f aca="false">AI1807*評分方法!$C$9</f>
        <v>10</v>
      </c>
      <c r="N1807" s="15" t="n">
        <f aca="false">AJ1807*評分方法!$C$10</f>
        <v>0.992</v>
      </c>
      <c r="O1807" s="15" t="n">
        <f aca="false">AK1807*評分方法!$C$11</f>
        <v>2.5</v>
      </c>
      <c r="P1807" s="15" t="n">
        <f aca="false">AL1807*評分方法!$C$12</f>
        <v>1.5</v>
      </c>
      <c r="Q1807" s="6" t="n">
        <v>153271</v>
      </c>
      <c r="R1807" s="6" t="n">
        <v>87338192</v>
      </c>
      <c r="S1807" s="11" t="s">
        <v>238</v>
      </c>
      <c r="T1807" s="11" t="s">
        <v>239</v>
      </c>
      <c r="U1807" s="5" t="s">
        <v>240</v>
      </c>
      <c r="V1807" s="11" t="s">
        <v>324</v>
      </c>
      <c r="W1807" s="5" t="s">
        <v>205</v>
      </c>
      <c r="X1807" s="5" t="s">
        <v>255</v>
      </c>
      <c r="Y1807" s="5"/>
      <c r="Z1807" s="5"/>
      <c r="AA1807" s="11" t="s">
        <v>172</v>
      </c>
      <c r="AB1807" s="5" t="s">
        <v>245</v>
      </c>
      <c r="AC1807" s="5"/>
      <c r="AD1807" s="11" t="s">
        <v>4435</v>
      </c>
      <c r="AE1807" s="23" t="n">
        <v>0.35</v>
      </c>
      <c r="AF1807" s="23" t="n">
        <v>0</v>
      </c>
      <c r="AG1807" s="23" t="n">
        <v>1</v>
      </c>
      <c r="AH1807" s="23" t="n">
        <v>1</v>
      </c>
      <c r="AI1807" s="23" t="n">
        <v>1</v>
      </c>
      <c r="AJ1807" s="23" t="n">
        <v>0.0992</v>
      </c>
      <c r="AK1807" s="23" t="n">
        <v>0.5</v>
      </c>
      <c r="AL1807" s="23" t="n">
        <v>0.3</v>
      </c>
      <c r="AM1807" s="16" t="n">
        <f aca="false">COUNTIFS($D$2:$D$2501,D1807,$G$2:$G$2501,"&gt;"&amp;G1807)+COUNTIFS($D$2:D1807,D1807,$G$2:G1807,G1807)</f>
        <v>198</v>
      </c>
      <c r="AN1807" s="5" t="str">
        <f aca="false">D1807&amp;"|"&amp;AM1807</f>
        <v>文件與影像辨識|198</v>
      </c>
    </row>
    <row r="1808" customFormat="false" ht="17.15" hidden="false" customHeight="false" outlineLevel="0" collapsed="false">
      <c r="A1808" s="16" t="n">
        <f aca="false">RANK(G1808,$G$2:$G$2501)+COUNTIF($G$2:G1808,G1808)-1</f>
        <v>1807</v>
      </c>
      <c r="B1808" s="11" t="s">
        <v>4436</v>
      </c>
      <c r="C1808" s="11" t="s">
        <v>2693</v>
      </c>
      <c r="D1808" s="5" t="s">
        <v>74</v>
      </c>
      <c r="E1808" s="5" t="s">
        <v>75</v>
      </c>
      <c r="F1808" s="5"/>
      <c r="G1808" s="22" t="n">
        <f aca="false">ROUND(SUM(I1808:P1808),3)</f>
        <v>55.48</v>
      </c>
      <c r="H1808" s="5" t="str">
        <f aca="false">IF(G1808&gt;=評分方法!$C$16,"優先評估",IF(G1808&gt;=評分方法!$C$17,"列入候選",IF(G1808&gt;=評分方法!$C$18,"特定情境","不建議")))</f>
        <v>不建議</v>
      </c>
      <c r="I1808" s="15" t="n">
        <f aca="false">AE1808*評分方法!$C$5</f>
        <v>10.5</v>
      </c>
      <c r="J1808" s="15" t="n">
        <f aca="false">AF1808*評分方法!$C$6</f>
        <v>0</v>
      </c>
      <c r="K1808" s="15" t="n">
        <f aca="false">AG1808*評分方法!$C$7</f>
        <v>15</v>
      </c>
      <c r="L1808" s="15" t="n">
        <f aca="false">AH1808*評分方法!$C$8</f>
        <v>15</v>
      </c>
      <c r="M1808" s="15" t="n">
        <f aca="false">AI1808*評分方法!$C$9</f>
        <v>10</v>
      </c>
      <c r="N1808" s="15" t="n">
        <f aca="false">AJ1808*評分方法!$C$10</f>
        <v>0.98</v>
      </c>
      <c r="O1808" s="15" t="n">
        <f aca="false">AK1808*評分方法!$C$11</f>
        <v>2.5</v>
      </c>
      <c r="P1808" s="15" t="n">
        <f aca="false">AL1808*評分方法!$C$12</f>
        <v>1.5</v>
      </c>
      <c r="Q1808" s="6" t="n">
        <v>152903</v>
      </c>
      <c r="R1808" s="6" t="n">
        <v>32740416</v>
      </c>
      <c r="S1808" s="11" t="s">
        <v>238</v>
      </c>
      <c r="T1808" s="11" t="s">
        <v>239</v>
      </c>
      <c r="U1808" s="5" t="s">
        <v>240</v>
      </c>
      <c r="V1808" s="11" t="s">
        <v>324</v>
      </c>
      <c r="W1808" s="5" t="s">
        <v>205</v>
      </c>
      <c r="X1808" s="5" t="s">
        <v>255</v>
      </c>
      <c r="Y1808" s="5"/>
      <c r="Z1808" s="5"/>
      <c r="AA1808" s="11" t="s">
        <v>172</v>
      </c>
      <c r="AB1808" s="5" t="s">
        <v>245</v>
      </c>
      <c r="AC1808" s="5"/>
      <c r="AD1808" s="11" t="s">
        <v>4437</v>
      </c>
      <c r="AE1808" s="23" t="n">
        <v>0.35</v>
      </c>
      <c r="AF1808" s="23" t="n">
        <v>0</v>
      </c>
      <c r="AG1808" s="23" t="n">
        <v>1</v>
      </c>
      <c r="AH1808" s="23" t="n">
        <v>1</v>
      </c>
      <c r="AI1808" s="23" t="n">
        <v>1</v>
      </c>
      <c r="AJ1808" s="23" t="n">
        <v>0.098</v>
      </c>
      <c r="AK1808" s="23" t="n">
        <v>0.5</v>
      </c>
      <c r="AL1808" s="23" t="n">
        <v>0.3</v>
      </c>
      <c r="AM1808" s="16" t="n">
        <f aca="false">COUNTIFS($D$2:$D$2501,D1808,$G$2:$G$2501,"&gt;"&amp;G1808)+COUNTIFS($D$2:D1808,D1808,$G$2:G1808,G1808)</f>
        <v>199</v>
      </c>
      <c r="AN1808" s="5" t="str">
        <f aca="false">D1808&amp;"|"&amp;AM1808</f>
        <v>文件與影像辨識|199</v>
      </c>
    </row>
    <row r="1809" customFormat="false" ht="17.15" hidden="false" customHeight="false" outlineLevel="0" collapsed="false">
      <c r="A1809" s="16" t="n">
        <f aca="false">RANK(G1809,$G$2:$G$2501)+COUNTIF($G$2:G1809,G1809)-1</f>
        <v>1808</v>
      </c>
      <c r="B1809" s="11" t="s">
        <v>4438</v>
      </c>
      <c r="C1809" s="11" t="s">
        <v>1374</v>
      </c>
      <c r="D1809" s="5" t="s">
        <v>78</v>
      </c>
      <c r="E1809" s="5" t="s">
        <v>79</v>
      </c>
      <c r="F1809" s="5"/>
      <c r="G1809" s="22" t="n">
        <f aca="false">ROUND(SUM(I1809:P1809),3)</f>
        <v>55.474</v>
      </c>
      <c r="H1809" s="5" t="str">
        <f aca="false">IF(G1809&gt;=評分方法!$C$16,"優先評估",IF(G1809&gt;=評分方法!$C$17,"列入候選",IF(G1809&gt;=評分方法!$C$18,"特定情境","不建議")))</f>
        <v>不建議</v>
      </c>
      <c r="I1809" s="15" t="n">
        <f aca="false">AE1809*評分方法!$C$5</f>
        <v>9</v>
      </c>
      <c r="J1809" s="15" t="n">
        <f aca="false">AF1809*評分方法!$C$6</f>
        <v>0</v>
      </c>
      <c r="K1809" s="15" t="n">
        <f aca="false">AG1809*評分方法!$C$7</f>
        <v>10.05</v>
      </c>
      <c r="L1809" s="15" t="n">
        <f aca="false">AH1809*評分方法!$C$8</f>
        <v>15</v>
      </c>
      <c r="M1809" s="15" t="n">
        <f aca="false">AI1809*評分方法!$C$9</f>
        <v>10</v>
      </c>
      <c r="N1809" s="15" t="n">
        <f aca="false">AJ1809*評分方法!$C$10</f>
        <v>7.424</v>
      </c>
      <c r="O1809" s="15" t="n">
        <f aca="false">AK1809*評分方法!$C$11</f>
        <v>2.5</v>
      </c>
      <c r="P1809" s="15" t="n">
        <f aca="false">AL1809*評分方法!$C$12</f>
        <v>1.5</v>
      </c>
      <c r="Q1809" s="6" t="n">
        <v>1118297</v>
      </c>
      <c r="R1809" s="6" t="n">
        <v>114639495</v>
      </c>
      <c r="S1809" s="11" t="s">
        <v>238</v>
      </c>
      <c r="T1809" s="11" t="s">
        <v>1636</v>
      </c>
      <c r="U1809" s="5" t="s">
        <v>240</v>
      </c>
      <c r="V1809" s="11" t="s">
        <v>261</v>
      </c>
      <c r="W1809" s="5" t="s">
        <v>207</v>
      </c>
      <c r="X1809" s="5" t="s">
        <v>255</v>
      </c>
      <c r="Y1809" s="11" t="s">
        <v>4439</v>
      </c>
      <c r="Z1809" s="11" t="s">
        <v>270</v>
      </c>
      <c r="AA1809" s="11" t="s">
        <v>175</v>
      </c>
      <c r="AB1809" s="5" t="s">
        <v>245</v>
      </c>
      <c r="AC1809" s="5"/>
      <c r="AD1809" s="11" t="s">
        <v>4440</v>
      </c>
      <c r="AE1809" s="23" t="n">
        <v>0.3</v>
      </c>
      <c r="AF1809" s="23" t="n">
        <v>0</v>
      </c>
      <c r="AG1809" s="23" t="n">
        <v>0.67</v>
      </c>
      <c r="AH1809" s="23" t="n">
        <v>1</v>
      </c>
      <c r="AI1809" s="23" t="n">
        <v>1</v>
      </c>
      <c r="AJ1809" s="23" t="n">
        <v>0.7424</v>
      </c>
      <c r="AK1809" s="23" t="n">
        <v>0.5</v>
      </c>
      <c r="AL1809" s="23" t="n">
        <v>0.3</v>
      </c>
      <c r="AM1809" s="16" t="n">
        <f aca="false">COUNTIFS($D$2:$D$2501,D1809,$G$2:$G$2501,"&gt;"&amp;G1809)+COUNTIFS($D$2:D1809,D1809,$G$2:G1809,G1809)</f>
        <v>39</v>
      </c>
      <c r="AN1809" s="5" t="str">
        <f aca="false">D1809&amp;"|"&amp;AM1809</f>
        <v>語音分析|39</v>
      </c>
    </row>
    <row r="1810" customFormat="false" ht="17.15" hidden="false" customHeight="false" outlineLevel="0" collapsed="false">
      <c r="A1810" s="16" t="n">
        <f aca="false">RANK(G1810,$G$2:$G$2501)+COUNTIF($G$2:G1810,G1810)-1</f>
        <v>1809</v>
      </c>
      <c r="B1810" s="11" t="s">
        <v>4441</v>
      </c>
      <c r="C1810" s="11" t="s">
        <v>327</v>
      </c>
      <c r="D1810" s="5" t="s">
        <v>78</v>
      </c>
      <c r="E1810" s="5" t="s">
        <v>79</v>
      </c>
      <c r="F1810" s="5"/>
      <c r="G1810" s="22" t="n">
        <f aca="false">ROUND(SUM(I1810:P1810),3)</f>
        <v>55.472</v>
      </c>
      <c r="H1810" s="5" t="str">
        <f aca="false">IF(G1810&gt;=評分方法!$C$16,"優先評估",IF(G1810&gt;=評分方法!$C$17,"列入候選",IF(G1810&gt;=評分方法!$C$18,"特定情境","不建議")))</f>
        <v>不建議</v>
      </c>
      <c r="I1810" s="15" t="n">
        <f aca="false">AE1810*評分方法!$C$5</f>
        <v>9</v>
      </c>
      <c r="J1810" s="15" t="n">
        <f aca="false">AF1810*評分方法!$C$6</f>
        <v>0</v>
      </c>
      <c r="K1810" s="15" t="n">
        <f aca="false">AG1810*評分方法!$C$7</f>
        <v>15</v>
      </c>
      <c r="L1810" s="15" t="n">
        <f aca="false">AH1810*評分方法!$C$8</f>
        <v>15</v>
      </c>
      <c r="M1810" s="15" t="n">
        <f aca="false">AI1810*評分方法!$C$9</f>
        <v>10</v>
      </c>
      <c r="N1810" s="15" t="n">
        <f aca="false">AJ1810*評分方法!$C$10</f>
        <v>1.472</v>
      </c>
      <c r="O1810" s="15" t="n">
        <f aca="false">AK1810*評分方法!$C$11</f>
        <v>5</v>
      </c>
      <c r="P1810" s="15" t="n">
        <f aca="false">AL1810*評分方法!$C$12</f>
        <v>0</v>
      </c>
      <c r="Q1810" s="6" t="n">
        <v>177302</v>
      </c>
      <c r="R1810" s="6" t="n">
        <v>811049984</v>
      </c>
      <c r="S1810" s="11" t="s">
        <v>238</v>
      </c>
      <c r="T1810" s="11" t="s">
        <v>1636</v>
      </c>
      <c r="U1810" s="5" t="s">
        <v>240</v>
      </c>
      <c r="V1810" s="11" t="s">
        <v>3693</v>
      </c>
      <c r="W1810" s="5" t="s">
        <v>205</v>
      </c>
      <c r="X1810" s="5" t="s">
        <v>242</v>
      </c>
      <c r="Y1810" s="5"/>
      <c r="Z1810" s="5"/>
      <c r="AA1810" s="11" t="s">
        <v>175</v>
      </c>
      <c r="AB1810" s="5" t="s">
        <v>245</v>
      </c>
      <c r="AC1810" s="5"/>
      <c r="AD1810" s="11" t="s">
        <v>4442</v>
      </c>
      <c r="AE1810" s="23" t="n">
        <v>0.3</v>
      </c>
      <c r="AF1810" s="23" t="n">
        <v>0</v>
      </c>
      <c r="AG1810" s="23" t="n">
        <v>1</v>
      </c>
      <c r="AH1810" s="23" t="n">
        <v>1</v>
      </c>
      <c r="AI1810" s="23" t="n">
        <v>1</v>
      </c>
      <c r="AJ1810" s="23" t="n">
        <v>0.1472</v>
      </c>
      <c r="AK1810" s="23" t="n">
        <v>1</v>
      </c>
      <c r="AL1810" s="23" t="n">
        <v>0</v>
      </c>
      <c r="AM1810" s="16" t="n">
        <f aca="false">COUNTIFS($D$2:$D$2501,D1810,$G$2:$G$2501,"&gt;"&amp;G1810)+COUNTIFS($D$2:D1810,D1810,$G$2:G1810,G1810)</f>
        <v>40</v>
      </c>
      <c r="AN1810" s="5" t="str">
        <f aca="false">D1810&amp;"|"&amp;AM1810</f>
        <v>語音分析|40</v>
      </c>
    </row>
    <row r="1811" customFormat="false" ht="17.15" hidden="false" customHeight="false" outlineLevel="0" collapsed="false">
      <c r="A1811" s="16" t="n">
        <f aca="false">RANK(G1811,$G$2:$G$2501)+COUNTIF($G$2:G1811,G1811)-1</f>
        <v>1810</v>
      </c>
      <c r="B1811" s="11" t="s">
        <v>4443</v>
      </c>
      <c r="C1811" s="11" t="s">
        <v>4444</v>
      </c>
      <c r="D1811" s="5" t="s">
        <v>56</v>
      </c>
      <c r="E1811" s="5" t="s">
        <v>57</v>
      </c>
      <c r="F1811" s="5"/>
      <c r="G1811" s="22" t="n">
        <f aca="false">ROUND(SUM(I1811:P1811),3)</f>
        <v>55.47</v>
      </c>
      <c r="H1811" s="5" t="str">
        <f aca="false">IF(G1811&gt;=評分方法!$C$16,"優先評估",IF(G1811&gt;=評分方法!$C$17,"列入候選",IF(G1811&gt;=評分方法!$C$18,"特定情境","不建議")))</f>
        <v>不建議</v>
      </c>
      <c r="I1811" s="15" t="n">
        <f aca="false">AE1811*評分方法!$C$5</f>
        <v>25.5</v>
      </c>
      <c r="J1811" s="15" t="n">
        <f aca="false">AF1811*評分方法!$C$6</f>
        <v>0</v>
      </c>
      <c r="K1811" s="15" t="n">
        <f aca="false">AG1811*評分方法!$C$7</f>
        <v>4.95</v>
      </c>
      <c r="L1811" s="15" t="n">
        <f aca="false">AH1811*評分方法!$C$8</f>
        <v>15</v>
      </c>
      <c r="M1811" s="15" t="n">
        <f aca="false">AI1811*評分方法!$C$9</f>
        <v>2</v>
      </c>
      <c r="N1811" s="15" t="n">
        <f aca="false">AJ1811*評分方法!$C$10</f>
        <v>0.02</v>
      </c>
      <c r="O1811" s="15" t="n">
        <f aca="false">AK1811*評分方法!$C$11</f>
        <v>5</v>
      </c>
      <c r="P1811" s="15" t="n">
        <f aca="false">AL1811*評分方法!$C$12</f>
        <v>3</v>
      </c>
      <c r="Q1811" s="6" t="n">
        <v>117610</v>
      </c>
      <c r="R1811" s="6" t="n">
        <v>15650459</v>
      </c>
      <c r="S1811" s="11" t="s">
        <v>238</v>
      </c>
      <c r="T1811" s="5"/>
      <c r="U1811" s="5" t="s">
        <v>375</v>
      </c>
      <c r="V1811" s="11" t="s">
        <v>333</v>
      </c>
      <c r="W1811" s="5" t="s">
        <v>334</v>
      </c>
      <c r="X1811" s="5" t="s">
        <v>371</v>
      </c>
      <c r="Y1811" s="5"/>
      <c r="Z1811" s="5"/>
      <c r="AA1811" s="11" t="s">
        <v>155</v>
      </c>
      <c r="AB1811" s="5" t="s">
        <v>961</v>
      </c>
      <c r="AC1811" s="5" t="s">
        <v>1977</v>
      </c>
      <c r="AD1811" s="11" t="s">
        <v>4445</v>
      </c>
      <c r="AE1811" s="23" t="n">
        <v>0.85</v>
      </c>
      <c r="AF1811" s="23" t="n">
        <v>0</v>
      </c>
      <c r="AG1811" s="23" t="n">
        <v>0.33</v>
      </c>
      <c r="AH1811" s="23" t="n">
        <v>1</v>
      </c>
      <c r="AI1811" s="23" t="n">
        <v>0.2</v>
      </c>
      <c r="AJ1811" s="23" t="n">
        <v>0.002</v>
      </c>
      <c r="AK1811" s="23" t="n">
        <v>1</v>
      </c>
      <c r="AL1811" s="23" t="n">
        <v>0.6</v>
      </c>
      <c r="AM1811" s="16" t="n">
        <f aca="false">COUNTIFS($D$2:$D$2501,D1811,$G$2:$G$2501,"&gt;"&amp;G1811)+COUNTIFS($D$2:D1811,D1811,$G$2:G1811,G1811)</f>
        <v>853</v>
      </c>
      <c r="AN1811" s="5" t="str">
        <f aca="false">D1811&amp;"|"&amp;AM1811</f>
        <v>分析與報告生成|853</v>
      </c>
    </row>
    <row r="1812" customFormat="false" ht="17.15" hidden="false" customHeight="false" outlineLevel="0" collapsed="false">
      <c r="A1812" s="16" t="n">
        <f aca="false">RANK(G1812,$G$2:$G$2501)+COUNTIF($G$2:G1812,G1812)-1</f>
        <v>1811</v>
      </c>
      <c r="B1812" s="11" t="s">
        <v>4446</v>
      </c>
      <c r="C1812" s="11" t="s">
        <v>2309</v>
      </c>
      <c r="D1812" s="5" t="s">
        <v>74</v>
      </c>
      <c r="E1812" s="5" t="s">
        <v>75</v>
      </c>
      <c r="F1812" s="5"/>
      <c r="G1812" s="22" t="n">
        <f aca="false">ROUND(SUM(I1812:P1812),3)</f>
        <v>55.434</v>
      </c>
      <c r="H1812" s="5" t="str">
        <f aca="false">IF(G1812&gt;=評分方法!$C$16,"優先評估",IF(G1812&gt;=評分方法!$C$17,"列入候選",IF(G1812&gt;=評分方法!$C$18,"特定情境","不建議")))</f>
        <v>不建議</v>
      </c>
      <c r="I1812" s="15" t="n">
        <f aca="false">AE1812*評分方法!$C$5</f>
        <v>12</v>
      </c>
      <c r="J1812" s="15" t="n">
        <f aca="false">AF1812*評分方法!$C$6</f>
        <v>0</v>
      </c>
      <c r="K1812" s="15" t="n">
        <f aca="false">AG1812*評分方法!$C$7</f>
        <v>15</v>
      </c>
      <c r="L1812" s="15" t="n">
        <f aca="false">AH1812*評分方法!$C$8</f>
        <v>7.05</v>
      </c>
      <c r="M1812" s="15" t="n">
        <f aca="false">AI1812*評分方法!$C$9</f>
        <v>10</v>
      </c>
      <c r="N1812" s="15" t="n">
        <f aca="false">AJ1812*評分方法!$C$10</f>
        <v>8.884</v>
      </c>
      <c r="O1812" s="15" t="n">
        <f aca="false">AK1812*評分方法!$C$11</f>
        <v>1</v>
      </c>
      <c r="P1812" s="15" t="n">
        <f aca="false">AL1812*評分方法!$C$12</f>
        <v>1.5</v>
      </c>
      <c r="Q1812" s="6" t="n">
        <v>3379790</v>
      </c>
      <c r="R1812" s="6"/>
      <c r="S1812" s="5" t="s">
        <v>255</v>
      </c>
      <c r="T1812" s="11" t="s">
        <v>278</v>
      </c>
      <c r="U1812" s="5" t="s">
        <v>240</v>
      </c>
      <c r="V1812" s="11" t="s">
        <v>324</v>
      </c>
      <c r="W1812" s="5" t="s">
        <v>205</v>
      </c>
      <c r="X1812" s="5" t="s">
        <v>255</v>
      </c>
      <c r="Y1812" s="5"/>
      <c r="Z1812" s="5"/>
      <c r="AA1812" s="11" t="s">
        <v>167</v>
      </c>
      <c r="AB1812" s="5" t="s">
        <v>245</v>
      </c>
      <c r="AC1812" s="5"/>
      <c r="AD1812" s="11" t="s">
        <v>4447</v>
      </c>
      <c r="AE1812" s="23" t="n">
        <v>0.4</v>
      </c>
      <c r="AF1812" s="23" t="n">
        <v>0</v>
      </c>
      <c r="AG1812" s="23" t="n">
        <v>1</v>
      </c>
      <c r="AH1812" s="23" t="n">
        <v>0.47</v>
      </c>
      <c r="AI1812" s="23" t="n">
        <v>1</v>
      </c>
      <c r="AJ1812" s="23" t="n">
        <v>0.8884</v>
      </c>
      <c r="AK1812" s="23" t="n">
        <v>0.2</v>
      </c>
      <c r="AL1812" s="23" t="n">
        <v>0.3</v>
      </c>
      <c r="AM1812" s="16" t="n">
        <f aca="false">COUNTIFS($D$2:$D$2501,D1812,$G$2:$G$2501,"&gt;"&amp;G1812)+COUNTIFS($D$2:D1812,D1812,$G$2:G1812,G1812)</f>
        <v>200</v>
      </c>
      <c r="AN1812" s="5" t="str">
        <f aca="false">D1812&amp;"|"&amp;AM1812</f>
        <v>文件與影像辨識|200</v>
      </c>
    </row>
    <row r="1813" customFormat="false" ht="17.15" hidden="false" customHeight="false" outlineLevel="0" collapsed="false">
      <c r="A1813" s="16" t="n">
        <f aca="false">RANK(G1813,$G$2:$G$2501)+COUNTIF($G$2:G1813,G1813)-1</f>
        <v>1812</v>
      </c>
      <c r="B1813" s="11" t="s">
        <v>4448</v>
      </c>
      <c r="C1813" s="11" t="s">
        <v>4395</v>
      </c>
      <c r="D1813" s="5" t="s">
        <v>54</v>
      </c>
      <c r="E1813" s="5" t="s">
        <v>55</v>
      </c>
      <c r="F1813" s="5"/>
      <c r="G1813" s="22" t="n">
        <f aca="false">ROUND(SUM(I1813:P1813),3)</f>
        <v>55.346</v>
      </c>
      <c r="H1813" s="5" t="str">
        <f aca="false">IF(G1813&gt;=評分方法!$C$16,"優先評估",IF(G1813&gt;=評分方法!$C$17,"列入候選",IF(G1813&gt;=評分方法!$C$18,"特定情境","不建議")))</f>
        <v>不建議</v>
      </c>
      <c r="I1813" s="15" t="n">
        <f aca="false">AE1813*評分方法!$C$5</f>
        <v>16.2</v>
      </c>
      <c r="J1813" s="15" t="n">
        <f aca="false">AF1813*評分方法!$C$6</f>
        <v>0</v>
      </c>
      <c r="K1813" s="15" t="n">
        <f aca="false">AG1813*評分方法!$C$7</f>
        <v>4.95</v>
      </c>
      <c r="L1813" s="15" t="n">
        <f aca="false">AH1813*評分方法!$C$8</f>
        <v>15</v>
      </c>
      <c r="M1813" s="15" t="n">
        <f aca="false">AI1813*評分方法!$C$9</f>
        <v>10</v>
      </c>
      <c r="N1813" s="15" t="n">
        <f aca="false">AJ1813*評分方法!$C$10</f>
        <v>4.196</v>
      </c>
      <c r="O1813" s="15" t="n">
        <f aca="false">AK1813*評分方法!$C$11</f>
        <v>5</v>
      </c>
      <c r="P1813" s="15" t="n">
        <f aca="false">AL1813*評分方法!$C$12</f>
        <v>0</v>
      </c>
      <c r="Q1813" s="6" t="n">
        <v>455997</v>
      </c>
      <c r="R1813" s="6" t="n">
        <v>36771585</v>
      </c>
      <c r="S1813" s="11" t="s">
        <v>238</v>
      </c>
      <c r="T1813" s="11" t="s">
        <v>278</v>
      </c>
      <c r="U1813" s="5" t="s">
        <v>240</v>
      </c>
      <c r="V1813" s="11" t="s">
        <v>241</v>
      </c>
      <c r="W1813" s="5" t="s">
        <v>334</v>
      </c>
      <c r="X1813" s="5" t="s">
        <v>242</v>
      </c>
      <c r="Y1813" s="11" t="s">
        <v>4266</v>
      </c>
      <c r="Z1813" s="11" t="s">
        <v>244</v>
      </c>
      <c r="AA1813" s="11" t="s">
        <v>154</v>
      </c>
      <c r="AB1813" s="5" t="s">
        <v>245</v>
      </c>
      <c r="AC1813" s="5" t="s">
        <v>4081</v>
      </c>
      <c r="AD1813" s="11" t="s">
        <v>4449</v>
      </c>
      <c r="AE1813" s="23" t="n">
        <v>0.54</v>
      </c>
      <c r="AF1813" s="23" t="n">
        <v>0</v>
      </c>
      <c r="AG1813" s="23" t="n">
        <v>0.33</v>
      </c>
      <c r="AH1813" s="23" t="n">
        <v>1</v>
      </c>
      <c r="AI1813" s="23" t="n">
        <v>1</v>
      </c>
      <c r="AJ1813" s="23" t="n">
        <v>0.4196</v>
      </c>
      <c r="AK1813" s="23" t="n">
        <v>1</v>
      </c>
      <c r="AL1813" s="23" t="n">
        <v>0</v>
      </c>
      <c r="AM1813" s="16" t="n">
        <f aca="false">COUNTIFS($D$2:$D$2501,D1813,$G$2:$G$2501,"&gt;"&amp;G1813)+COUNTIFS($D$2:D1813,D1813,$G$2:G1813,G1813)</f>
        <v>222</v>
      </c>
      <c r="AN1813" s="5" t="str">
        <f aca="false">D1813&amp;"|"&amp;AM1813</f>
        <v>檢索與情資關聯|222</v>
      </c>
    </row>
    <row r="1814" customFormat="false" ht="17.15" hidden="false" customHeight="false" outlineLevel="0" collapsed="false">
      <c r="A1814" s="16" t="n">
        <f aca="false">RANK(G1814,$G$2:$G$2501)+COUNTIF($G$2:G1814,G1814)-1</f>
        <v>1813</v>
      </c>
      <c r="B1814" s="11" t="s">
        <v>4450</v>
      </c>
      <c r="C1814" s="11" t="s">
        <v>2619</v>
      </c>
      <c r="D1814" s="5" t="s">
        <v>56</v>
      </c>
      <c r="E1814" s="5" t="s">
        <v>57</v>
      </c>
      <c r="F1814" s="5"/>
      <c r="G1814" s="22" t="n">
        <f aca="false">ROUND(SUM(I1814:P1814),3)</f>
        <v>55.342</v>
      </c>
      <c r="H1814" s="5" t="str">
        <f aca="false">IF(G1814&gt;=評分方法!$C$16,"優先評估",IF(G1814&gt;=評分方法!$C$17,"列入候選",IF(G1814&gt;=評分方法!$C$18,"特定情境","不建議")))</f>
        <v>不建議</v>
      </c>
      <c r="I1814" s="15" t="n">
        <f aca="false">AE1814*評分方法!$C$5</f>
        <v>25.5</v>
      </c>
      <c r="J1814" s="15" t="n">
        <f aca="false">AF1814*評分方法!$C$6</f>
        <v>0</v>
      </c>
      <c r="K1814" s="15" t="n">
        <f aca="false">AG1814*評分方法!$C$7</f>
        <v>4.95</v>
      </c>
      <c r="L1814" s="15" t="n">
        <f aca="false">AH1814*評分方法!$C$8</f>
        <v>9</v>
      </c>
      <c r="M1814" s="15" t="n">
        <f aca="false">AI1814*評分方法!$C$9</f>
        <v>6</v>
      </c>
      <c r="N1814" s="15" t="n">
        <f aca="false">AJ1814*評分方法!$C$10</f>
        <v>2.892</v>
      </c>
      <c r="O1814" s="15" t="n">
        <f aca="false">AK1814*評分方法!$C$11</f>
        <v>4</v>
      </c>
      <c r="P1814" s="15" t="n">
        <f aca="false">AL1814*評分方法!$C$12</f>
        <v>3</v>
      </c>
      <c r="Q1814" s="6" t="n">
        <v>285064</v>
      </c>
      <c r="R1814" s="6" t="n">
        <v>13194203760</v>
      </c>
      <c r="S1814" s="11" t="s">
        <v>389</v>
      </c>
      <c r="T1814" s="11" t="s">
        <v>658</v>
      </c>
      <c r="U1814" s="5" t="s">
        <v>260</v>
      </c>
      <c r="V1814" s="11" t="s">
        <v>261</v>
      </c>
      <c r="W1814" s="5" t="s">
        <v>334</v>
      </c>
      <c r="X1814" s="5" t="s">
        <v>371</v>
      </c>
      <c r="Y1814" s="5"/>
      <c r="Z1814" s="5"/>
      <c r="AA1814" s="11" t="s">
        <v>156</v>
      </c>
      <c r="AB1814" s="5" t="s">
        <v>245</v>
      </c>
      <c r="AC1814" s="5" t="s">
        <v>262</v>
      </c>
      <c r="AD1814" s="11" t="s">
        <v>4451</v>
      </c>
      <c r="AE1814" s="23" t="n">
        <v>0.85</v>
      </c>
      <c r="AF1814" s="23" t="n">
        <v>0</v>
      </c>
      <c r="AG1814" s="23" t="n">
        <v>0.33</v>
      </c>
      <c r="AH1814" s="23" t="n">
        <v>0.6</v>
      </c>
      <c r="AI1814" s="23" t="n">
        <v>0.6</v>
      </c>
      <c r="AJ1814" s="23" t="n">
        <v>0.2892</v>
      </c>
      <c r="AK1814" s="23" t="n">
        <v>0.8</v>
      </c>
      <c r="AL1814" s="23" t="n">
        <v>0.6</v>
      </c>
      <c r="AM1814" s="16" t="n">
        <f aca="false">COUNTIFS($D$2:$D$2501,D1814,$G$2:$G$2501,"&gt;"&amp;G1814)+COUNTIFS($D$2:D1814,D1814,$G$2:G1814,G1814)</f>
        <v>854</v>
      </c>
      <c r="AN1814" s="5" t="str">
        <f aca="false">D1814&amp;"|"&amp;AM1814</f>
        <v>分析與報告生成|854</v>
      </c>
    </row>
    <row r="1815" customFormat="false" ht="17.15" hidden="false" customHeight="false" outlineLevel="0" collapsed="false">
      <c r="A1815" s="16" t="n">
        <f aca="false">RANK(G1815,$G$2:$G$2501)+COUNTIF($G$2:G1815,G1815)-1</f>
        <v>1814</v>
      </c>
      <c r="B1815" s="11" t="s">
        <v>4452</v>
      </c>
      <c r="C1815" s="11" t="s">
        <v>3638</v>
      </c>
      <c r="D1815" s="5" t="s">
        <v>56</v>
      </c>
      <c r="E1815" s="5" t="s">
        <v>57</v>
      </c>
      <c r="F1815" s="5"/>
      <c r="G1815" s="22" t="n">
        <f aca="false">ROUND(SUM(I1815:P1815),3)</f>
        <v>55.314</v>
      </c>
      <c r="H1815" s="5" t="str">
        <f aca="false">IF(G1815&gt;=評分方法!$C$16,"優先評估",IF(G1815&gt;=評分方法!$C$17,"列入候選",IF(G1815&gt;=評分方法!$C$18,"特定情境","不建議")))</f>
        <v>不建議</v>
      </c>
      <c r="I1815" s="15" t="n">
        <f aca="false">AE1815*評分方法!$C$5</f>
        <v>25.5</v>
      </c>
      <c r="J1815" s="15" t="n">
        <f aca="false">AF1815*評分方法!$C$6</f>
        <v>0</v>
      </c>
      <c r="K1815" s="15" t="n">
        <f aca="false">AG1815*評分方法!$C$7</f>
        <v>4.95</v>
      </c>
      <c r="L1815" s="15" t="n">
        <f aca="false">AH1815*評分方法!$C$8</f>
        <v>9</v>
      </c>
      <c r="M1815" s="15" t="n">
        <f aca="false">AI1815*評分方法!$C$9</f>
        <v>10</v>
      </c>
      <c r="N1815" s="15" t="n">
        <f aca="false">AJ1815*評分方法!$C$10</f>
        <v>1.864</v>
      </c>
      <c r="O1815" s="15" t="n">
        <f aca="false">AK1815*評分方法!$C$11</f>
        <v>4</v>
      </c>
      <c r="P1815" s="15" t="n">
        <f aca="false">AL1815*評分方法!$C$12</f>
        <v>0</v>
      </c>
      <c r="Q1815" s="6" t="n">
        <v>200483</v>
      </c>
      <c r="R1815" s="6" t="n">
        <v>11545677824</v>
      </c>
      <c r="S1815" s="11" t="s">
        <v>389</v>
      </c>
      <c r="T1815" s="11" t="s">
        <v>278</v>
      </c>
      <c r="U1815" s="5" t="s">
        <v>240</v>
      </c>
      <c r="V1815" s="11" t="s">
        <v>261</v>
      </c>
      <c r="W1815" s="5" t="s">
        <v>334</v>
      </c>
      <c r="X1815" s="5" t="s">
        <v>242</v>
      </c>
      <c r="Y1815" s="5"/>
      <c r="Z1815" s="5"/>
      <c r="AA1815" s="11" t="s">
        <v>155</v>
      </c>
      <c r="AB1815" s="5" t="s">
        <v>245</v>
      </c>
      <c r="AC1815" s="5"/>
      <c r="AD1815" s="11" t="s">
        <v>4453</v>
      </c>
      <c r="AE1815" s="23" t="n">
        <v>0.85</v>
      </c>
      <c r="AF1815" s="23" t="n">
        <v>0</v>
      </c>
      <c r="AG1815" s="23" t="n">
        <v>0.33</v>
      </c>
      <c r="AH1815" s="23" t="n">
        <v>0.6</v>
      </c>
      <c r="AI1815" s="23" t="n">
        <v>1</v>
      </c>
      <c r="AJ1815" s="23" t="n">
        <v>0.1864</v>
      </c>
      <c r="AK1815" s="23" t="n">
        <v>0.8</v>
      </c>
      <c r="AL1815" s="23" t="n">
        <v>0</v>
      </c>
      <c r="AM1815" s="16" t="n">
        <f aca="false">COUNTIFS($D$2:$D$2501,D1815,$G$2:$G$2501,"&gt;"&amp;G1815)+COUNTIFS($D$2:D1815,D1815,$G$2:G1815,G1815)</f>
        <v>855</v>
      </c>
      <c r="AN1815" s="5" t="str">
        <f aca="false">D1815&amp;"|"&amp;AM1815</f>
        <v>分析與報告生成|855</v>
      </c>
    </row>
    <row r="1816" customFormat="false" ht="17.15" hidden="false" customHeight="false" outlineLevel="0" collapsed="false">
      <c r="A1816" s="16" t="n">
        <f aca="false">RANK(G1816,$G$2:$G$2501)+COUNTIF($G$2:G1816,G1816)-1</f>
        <v>1815</v>
      </c>
      <c r="B1816" s="11" t="s">
        <v>4454</v>
      </c>
      <c r="C1816" s="11" t="s">
        <v>2693</v>
      </c>
      <c r="D1816" s="5" t="s">
        <v>74</v>
      </c>
      <c r="E1816" s="5" t="s">
        <v>75</v>
      </c>
      <c r="F1816" s="5"/>
      <c r="G1816" s="22" t="n">
        <f aca="false">ROUND(SUM(I1816:P1816),3)</f>
        <v>55.28</v>
      </c>
      <c r="H1816" s="5" t="str">
        <f aca="false">IF(G1816&gt;=評分方法!$C$16,"優先評估",IF(G1816&gt;=評分方法!$C$17,"列入候選",IF(G1816&gt;=評分方法!$C$18,"特定情境","不建議")))</f>
        <v>不建議</v>
      </c>
      <c r="I1816" s="15" t="n">
        <f aca="false">AE1816*評分方法!$C$5</f>
        <v>10.5</v>
      </c>
      <c r="J1816" s="15" t="n">
        <f aca="false">AF1816*評分方法!$C$6</f>
        <v>0</v>
      </c>
      <c r="K1816" s="15" t="n">
        <f aca="false">AG1816*評分方法!$C$7</f>
        <v>15</v>
      </c>
      <c r="L1816" s="15" t="n">
        <f aca="false">AH1816*評分方法!$C$8</f>
        <v>15</v>
      </c>
      <c r="M1816" s="15" t="n">
        <f aca="false">AI1816*評分方法!$C$9</f>
        <v>10</v>
      </c>
      <c r="N1816" s="15" t="n">
        <f aca="false">AJ1816*評分方法!$C$10</f>
        <v>0.78</v>
      </c>
      <c r="O1816" s="15" t="n">
        <f aca="false">AK1816*評分方法!$C$11</f>
        <v>2.5</v>
      </c>
      <c r="P1816" s="15" t="n">
        <f aca="false">AL1816*評分方法!$C$12</f>
        <v>1.5</v>
      </c>
      <c r="Q1816" s="6" t="n">
        <v>145739</v>
      </c>
      <c r="R1816" s="6" t="n">
        <v>4694024</v>
      </c>
      <c r="S1816" s="11" t="s">
        <v>238</v>
      </c>
      <c r="T1816" s="11" t="s">
        <v>239</v>
      </c>
      <c r="U1816" s="5" t="s">
        <v>240</v>
      </c>
      <c r="V1816" s="11" t="s">
        <v>324</v>
      </c>
      <c r="W1816" s="5" t="s">
        <v>205</v>
      </c>
      <c r="X1816" s="5" t="s">
        <v>255</v>
      </c>
      <c r="Y1816" s="5"/>
      <c r="Z1816" s="5"/>
      <c r="AA1816" s="11" t="s">
        <v>172</v>
      </c>
      <c r="AB1816" s="5" t="s">
        <v>245</v>
      </c>
      <c r="AC1816" s="5"/>
      <c r="AD1816" s="11" t="s">
        <v>4455</v>
      </c>
      <c r="AE1816" s="23" t="n">
        <v>0.35</v>
      </c>
      <c r="AF1816" s="23" t="n">
        <v>0</v>
      </c>
      <c r="AG1816" s="23" t="n">
        <v>1</v>
      </c>
      <c r="AH1816" s="23" t="n">
        <v>1</v>
      </c>
      <c r="AI1816" s="23" t="n">
        <v>1</v>
      </c>
      <c r="AJ1816" s="23" t="n">
        <v>0.078</v>
      </c>
      <c r="AK1816" s="23" t="n">
        <v>0.5</v>
      </c>
      <c r="AL1816" s="23" t="n">
        <v>0.3</v>
      </c>
      <c r="AM1816" s="16" t="n">
        <f aca="false">COUNTIFS($D$2:$D$2501,D1816,$G$2:$G$2501,"&gt;"&amp;G1816)+COUNTIFS($D$2:D1816,D1816,$G$2:G1816,G1816)</f>
        <v>201</v>
      </c>
      <c r="AN1816" s="5" t="str">
        <f aca="false">D1816&amp;"|"&amp;AM1816</f>
        <v>文件與影像辨識|201</v>
      </c>
    </row>
    <row r="1817" customFormat="false" ht="17.15" hidden="false" customHeight="false" outlineLevel="0" collapsed="false">
      <c r="A1817" s="16" t="n">
        <f aca="false">RANK(G1817,$G$2:$G$2501)+COUNTIF($G$2:G1817,G1817)-1</f>
        <v>1816</v>
      </c>
      <c r="B1817" s="11" t="s">
        <v>4456</v>
      </c>
      <c r="C1817" s="11" t="s">
        <v>2693</v>
      </c>
      <c r="D1817" s="5" t="s">
        <v>74</v>
      </c>
      <c r="E1817" s="5" t="s">
        <v>75</v>
      </c>
      <c r="F1817" s="5"/>
      <c r="G1817" s="22" t="n">
        <f aca="false">ROUND(SUM(I1817:P1817),3)</f>
        <v>55.27</v>
      </c>
      <c r="H1817" s="5" t="str">
        <f aca="false">IF(G1817&gt;=評分方法!$C$16,"優先評估",IF(G1817&gt;=評分方法!$C$17,"列入候選",IF(G1817&gt;=評分方法!$C$18,"特定情境","不建議")))</f>
        <v>不建議</v>
      </c>
      <c r="I1817" s="15" t="n">
        <f aca="false">AE1817*評分方法!$C$5</f>
        <v>10.5</v>
      </c>
      <c r="J1817" s="15" t="n">
        <f aca="false">AF1817*評分方法!$C$6</f>
        <v>0</v>
      </c>
      <c r="K1817" s="15" t="n">
        <f aca="false">AG1817*評分方法!$C$7</f>
        <v>15</v>
      </c>
      <c r="L1817" s="15" t="n">
        <f aca="false">AH1817*評分方法!$C$8</f>
        <v>15</v>
      </c>
      <c r="M1817" s="15" t="n">
        <f aca="false">AI1817*評分方法!$C$9</f>
        <v>10</v>
      </c>
      <c r="N1817" s="15" t="n">
        <f aca="false">AJ1817*評分方法!$C$10</f>
        <v>0.77</v>
      </c>
      <c r="O1817" s="15" t="n">
        <f aca="false">AK1817*評分方法!$C$11</f>
        <v>2.5</v>
      </c>
      <c r="P1817" s="15" t="n">
        <f aca="false">AL1817*評分方法!$C$12</f>
        <v>1.5</v>
      </c>
      <c r="Q1817" s="6" t="n">
        <v>145650</v>
      </c>
      <c r="R1817" s="6" t="n">
        <v>86567656</v>
      </c>
      <c r="S1817" s="11" t="s">
        <v>238</v>
      </c>
      <c r="T1817" s="11" t="s">
        <v>239</v>
      </c>
      <c r="U1817" s="5" t="s">
        <v>240</v>
      </c>
      <c r="V1817" s="11" t="s">
        <v>324</v>
      </c>
      <c r="W1817" s="5" t="s">
        <v>205</v>
      </c>
      <c r="X1817" s="5" t="s">
        <v>255</v>
      </c>
      <c r="Y1817" s="5"/>
      <c r="Z1817" s="5"/>
      <c r="AA1817" s="11" t="s">
        <v>172</v>
      </c>
      <c r="AB1817" s="5" t="s">
        <v>245</v>
      </c>
      <c r="AC1817" s="5"/>
      <c r="AD1817" s="11" t="s">
        <v>4457</v>
      </c>
      <c r="AE1817" s="23" t="n">
        <v>0.35</v>
      </c>
      <c r="AF1817" s="23" t="n">
        <v>0</v>
      </c>
      <c r="AG1817" s="23" t="n">
        <v>1</v>
      </c>
      <c r="AH1817" s="23" t="n">
        <v>1</v>
      </c>
      <c r="AI1817" s="23" t="n">
        <v>1</v>
      </c>
      <c r="AJ1817" s="23" t="n">
        <v>0.077</v>
      </c>
      <c r="AK1817" s="23" t="n">
        <v>0.5</v>
      </c>
      <c r="AL1817" s="23" t="n">
        <v>0.3</v>
      </c>
      <c r="AM1817" s="16" t="n">
        <f aca="false">COUNTIFS($D$2:$D$2501,D1817,$G$2:$G$2501,"&gt;"&amp;G1817)+COUNTIFS($D$2:D1817,D1817,$G$2:G1817,G1817)</f>
        <v>202</v>
      </c>
      <c r="AN1817" s="5" t="str">
        <f aca="false">D1817&amp;"|"&amp;AM1817</f>
        <v>文件與影像辨識|202</v>
      </c>
    </row>
    <row r="1818" customFormat="false" ht="17.15" hidden="false" customHeight="false" outlineLevel="0" collapsed="false">
      <c r="A1818" s="16" t="n">
        <f aca="false">RANK(G1818,$G$2:$G$2501)+COUNTIF($G$2:G1818,G1818)-1</f>
        <v>1817</v>
      </c>
      <c r="B1818" s="11" t="s">
        <v>4458</v>
      </c>
      <c r="C1818" s="11" t="s">
        <v>1438</v>
      </c>
      <c r="D1818" s="5" t="s">
        <v>56</v>
      </c>
      <c r="E1818" s="5" t="s">
        <v>57</v>
      </c>
      <c r="F1818" s="5"/>
      <c r="G1818" s="22" t="n">
        <f aca="false">ROUND(SUM(I1818:P1818),3)</f>
        <v>55.26</v>
      </c>
      <c r="H1818" s="5" t="str">
        <f aca="false">IF(G1818&gt;=評分方法!$C$16,"優先評估",IF(G1818&gt;=評分方法!$C$17,"列入候選",IF(G1818&gt;=評分方法!$C$18,"特定情境","不建議")))</f>
        <v>不建議</v>
      </c>
      <c r="I1818" s="15" t="n">
        <f aca="false">AE1818*評分方法!$C$5</f>
        <v>25.5</v>
      </c>
      <c r="J1818" s="15" t="n">
        <f aca="false">AF1818*評分方法!$C$6</f>
        <v>0</v>
      </c>
      <c r="K1818" s="15" t="n">
        <f aca="false">AG1818*評分方法!$C$7</f>
        <v>10.05</v>
      </c>
      <c r="L1818" s="15" t="n">
        <f aca="false">AH1818*評分方法!$C$8</f>
        <v>1.95</v>
      </c>
      <c r="M1818" s="15" t="n">
        <f aca="false">AI1818*評分方法!$C$9</f>
        <v>10</v>
      </c>
      <c r="N1818" s="15" t="n">
        <f aca="false">AJ1818*評分方法!$C$10</f>
        <v>6.76</v>
      </c>
      <c r="O1818" s="15" t="n">
        <f aca="false">AK1818*評分方法!$C$11</f>
        <v>1</v>
      </c>
      <c r="P1818" s="15" t="n">
        <f aca="false">AL1818*評分方法!$C$12</f>
        <v>0</v>
      </c>
      <c r="Q1818" s="6" t="n">
        <v>831269</v>
      </c>
      <c r="R1818" s="6" t="n">
        <v>140620634112</v>
      </c>
      <c r="S1818" s="11" t="s">
        <v>1616</v>
      </c>
      <c r="T1818" s="11" t="s">
        <v>239</v>
      </c>
      <c r="U1818" s="5" t="s">
        <v>240</v>
      </c>
      <c r="V1818" s="11" t="s">
        <v>333</v>
      </c>
      <c r="W1818" s="5" t="s">
        <v>207</v>
      </c>
      <c r="X1818" s="5" t="s">
        <v>242</v>
      </c>
      <c r="Y1818" s="11" t="s">
        <v>4459</v>
      </c>
      <c r="Z1818" s="11" t="s">
        <v>244</v>
      </c>
      <c r="AA1818" s="11" t="s">
        <v>155</v>
      </c>
      <c r="AB1818" s="5" t="s">
        <v>245</v>
      </c>
      <c r="AC1818" s="5" t="s">
        <v>246</v>
      </c>
      <c r="AD1818" s="11" t="s">
        <v>4460</v>
      </c>
      <c r="AE1818" s="23" t="n">
        <v>0.85</v>
      </c>
      <c r="AF1818" s="23" t="n">
        <v>0</v>
      </c>
      <c r="AG1818" s="23" t="n">
        <v>0.67</v>
      </c>
      <c r="AH1818" s="23" t="n">
        <v>0.13</v>
      </c>
      <c r="AI1818" s="23" t="n">
        <v>1</v>
      </c>
      <c r="AJ1818" s="23" t="n">
        <v>0.676</v>
      </c>
      <c r="AK1818" s="23" t="n">
        <v>0.2</v>
      </c>
      <c r="AL1818" s="23" t="n">
        <v>0</v>
      </c>
      <c r="AM1818" s="16" t="n">
        <f aca="false">COUNTIFS($D$2:$D$2501,D1818,$G$2:$G$2501,"&gt;"&amp;G1818)+COUNTIFS($D$2:D1818,D1818,$G$2:G1818,G1818)</f>
        <v>856</v>
      </c>
      <c r="AN1818" s="5" t="str">
        <f aca="false">D1818&amp;"|"&amp;AM1818</f>
        <v>分析與報告生成|856</v>
      </c>
    </row>
    <row r="1819" customFormat="false" ht="17.15" hidden="false" customHeight="false" outlineLevel="0" collapsed="false">
      <c r="A1819" s="16" t="n">
        <f aca="false">RANK(G1819,$G$2:$G$2501)+COUNTIF($G$2:G1819,G1819)-1</f>
        <v>1818</v>
      </c>
      <c r="B1819" s="11" t="s">
        <v>4461</v>
      </c>
      <c r="C1819" s="11" t="s">
        <v>2693</v>
      </c>
      <c r="D1819" s="5" t="s">
        <v>74</v>
      </c>
      <c r="E1819" s="5" t="s">
        <v>75</v>
      </c>
      <c r="F1819" s="5"/>
      <c r="G1819" s="22" t="n">
        <f aca="false">ROUND(SUM(I1819:P1819),3)</f>
        <v>55.252</v>
      </c>
      <c r="H1819" s="5" t="str">
        <f aca="false">IF(G1819&gt;=評分方法!$C$16,"優先評估",IF(G1819&gt;=評分方法!$C$17,"列入候選",IF(G1819&gt;=評分方法!$C$18,"特定情境","不建議")))</f>
        <v>不建議</v>
      </c>
      <c r="I1819" s="15" t="n">
        <f aca="false">AE1819*評分方法!$C$5</f>
        <v>10.5</v>
      </c>
      <c r="J1819" s="15" t="n">
        <f aca="false">AF1819*評分方法!$C$6</f>
        <v>0</v>
      </c>
      <c r="K1819" s="15" t="n">
        <f aca="false">AG1819*評分方法!$C$7</f>
        <v>15</v>
      </c>
      <c r="L1819" s="15" t="n">
        <f aca="false">AH1819*評分方法!$C$8</f>
        <v>15</v>
      </c>
      <c r="M1819" s="15" t="n">
        <f aca="false">AI1819*評分方法!$C$9</f>
        <v>10</v>
      </c>
      <c r="N1819" s="15" t="n">
        <f aca="false">AJ1819*評分方法!$C$10</f>
        <v>0.752</v>
      </c>
      <c r="O1819" s="15" t="n">
        <f aca="false">AK1819*評分方法!$C$11</f>
        <v>2.5</v>
      </c>
      <c r="P1819" s="15" t="n">
        <f aca="false">AL1819*評分方法!$C$12</f>
        <v>1.5</v>
      </c>
      <c r="Q1819" s="6" t="n">
        <v>145107</v>
      </c>
      <c r="R1819" s="6" t="n">
        <v>8062504</v>
      </c>
      <c r="S1819" s="11" t="s">
        <v>238</v>
      </c>
      <c r="T1819" s="11" t="s">
        <v>239</v>
      </c>
      <c r="U1819" s="5" t="s">
        <v>240</v>
      </c>
      <c r="V1819" s="11" t="s">
        <v>324</v>
      </c>
      <c r="W1819" s="5" t="s">
        <v>205</v>
      </c>
      <c r="X1819" s="5" t="s">
        <v>255</v>
      </c>
      <c r="Y1819" s="5"/>
      <c r="Z1819" s="5"/>
      <c r="AA1819" s="11" t="s">
        <v>172</v>
      </c>
      <c r="AB1819" s="5" t="s">
        <v>245</v>
      </c>
      <c r="AC1819" s="5"/>
      <c r="AD1819" s="11" t="s">
        <v>4462</v>
      </c>
      <c r="AE1819" s="23" t="n">
        <v>0.35</v>
      </c>
      <c r="AF1819" s="23" t="n">
        <v>0</v>
      </c>
      <c r="AG1819" s="23" t="n">
        <v>1</v>
      </c>
      <c r="AH1819" s="23" t="n">
        <v>1</v>
      </c>
      <c r="AI1819" s="23" t="n">
        <v>1</v>
      </c>
      <c r="AJ1819" s="23" t="n">
        <v>0.0752</v>
      </c>
      <c r="AK1819" s="23" t="n">
        <v>0.5</v>
      </c>
      <c r="AL1819" s="23" t="n">
        <v>0.3</v>
      </c>
      <c r="AM1819" s="16" t="n">
        <f aca="false">COUNTIFS($D$2:$D$2501,D1819,$G$2:$G$2501,"&gt;"&amp;G1819)+COUNTIFS($D$2:D1819,D1819,$G$2:G1819,G1819)</f>
        <v>203</v>
      </c>
      <c r="AN1819" s="5" t="str">
        <f aca="false">D1819&amp;"|"&amp;AM1819</f>
        <v>文件與影像辨識|203</v>
      </c>
    </row>
    <row r="1820" customFormat="false" ht="17.15" hidden="false" customHeight="false" outlineLevel="0" collapsed="false">
      <c r="A1820" s="16" t="n">
        <f aca="false">RANK(G1820,$G$2:$G$2501)+COUNTIF($G$2:G1820,G1820)-1</f>
        <v>1819</v>
      </c>
      <c r="B1820" s="11" t="s">
        <v>4463</v>
      </c>
      <c r="C1820" s="11" t="s">
        <v>2693</v>
      </c>
      <c r="D1820" s="5" t="s">
        <v>74</v>
      </c>
      <c r="E1820" s="5" t="s">
        <v>75</v>
      </c>
      <c r="F1820" s="5"/>
      <c r="G1820" s="22" t="n">
        <f aca="false">ROUND(SUM(I1820:P1820),3)</f>
        <v>55.236</v>
      </c>
      <c r="H1820" s="5" t="str">
        <f aca="false">IF(G1820&gt;=評分方法!$C$16,"優先評估",IF(G1820&gt;=評分方法!$C$17,"列入候選",IF(G1820&gt;=評分方法!$C$18,"特定情境","不建議")))</f>
        <v>不建議</v>
      </c>
      <c r="I1820" s="15" t="n">
        <f aca="false">AE1820*評分方法!$C$5</f>
        <v>10.5</v>
      </c>
      <c r="J1820" s="15" t="n">
        <f aca="false">AF1820*評分方法!$C$6</f>
        <v>0</v>
      </c>
      <c r="K1820" s="15" t="n">
        <f aca="false">AG1820*評分方法!$C$7</f>
        <v>15</v>
      </c>
      <c r="L1820" s="15" t="n">
        <f aca="false">AH1820*評分方法!$C$8</f>
        <v>15</v>
      </c>
      <c r="M1820" s="15" t="n">
        <f aca="false">AI1820*評分方法!$C$9</f>
        <v>10</v>
      </c>
      <c r="N1820" s="15" t="n">
        <f aca="false">AJ1820*評分方法!$C$10</f>
        <v>0.736</v>
      </c>
      <c r="O1820" s="15" t="n">
        <f aca="false">AK1820*評分方法!$C$11</f>
        <v>2.5</v>
      </c>
      <c r="P1820" s="15" t="n">
        <f aca="false">AL1820*評分方法!$C$12</f>
        <v>1.5</v>
      </c>
      <c r="Q1820" s="6" t="n">
        <v>144050</v>
      </c>
      <c r="R1820" s="6" t="n">
        <v>11718472</v>
      </c>
      <c r="S1820" s="11" t="s">
        <v>238</v>
      </c>
      <c r="T1820" s="11" t="s">
        <v>239</v>
      </c>
      <c r="U1820" s="5" t="s">
        <v>240</v>
      </c>
      <c r="V1820" s="11" t="s">
        <v>324</v>
      </c>
      <c r="W1820" s="5" t="s">
        <v>205</v>
      </c>
      <c r="X1820" s="5" t="s">
        <v>255</v>
      </c>
      <c r="Y1820" s="5"/>
      <c r="Z1820" s="5"/>
      <c r="AA1820" s="11" t="s">
        <v>172</v>
      </c>
      <c r="AB1820" s="5" t="s">
        <v>245</v>
      </c>
      <c r="AC1820" s="5"/>
      <c r="AD1820" s="11" t="s">
        <v>4464</v>
      </c>
      <c r="AE1820" s="23" t="n">
        <v>0.35</v>
      </c>
      <c r="AF1820" s="23" t="n">
        <v>0</v>
      </c>
      <c r="AG1820" s="23" t="n">
        <v>1</v>
      </c>
      <c r="AH1820" s="23" t="n">
        <v>1</v>
      </c>
      <c r="AI1820" s="23" t="n">
        <v>1</v>
      </c>
      <c r="AJ1820" s="23" t="n">
        <v>0.0736</v>
      </c>
      <c r="AK1820" s="23" t="n">
        <v>0.5</v>
      </c>
      <c r="AL1820" s="23" t="n">
        <v>0.3</v>
      </c>
      <c r="AM1820" s="16" t="n">
        <f aca="false">COUNTIFS($D$2:$D$2501,D1820,$G$2:$G$2501,"&gt;"&amp;G1820)+COUNTIFS($D$2:D1820,D1820,$G$2:G1820,G1820)</f>
        <v>204</v>
      </c>
      <c r="AN1820" s="5" t="str">
        <f aca="false">D1820&amp;"|"&amp;AM1820</f>
        <v>文件與影像辨識|204</v>
      </c>
    </row>
    <row r="1821" customFormat="false" ht="17.15" hidden="false" customHeight="false" outlineLevel="0" collapsed="false">
      <c r="A1821" s="16" t="n">
        <f aca="false">RANK(G1821,$G$2:$G$2501)+COUNTIF($G$2:G1821,G1821)-1</f>
        <v>1820</v>
      </c>
      <c r="B1821" s="11" t="s">
        <v>4465</v>
      </c>
      <c r="C1821" s="11" t="s">
        <v>3884</v>
      </c>
      <c r="D1821" s="5" t="s">
        <v>56</v>
      </c>
      <c r="E1821" s="5" t="s">
        <v>57</v>
      </c>
      <c r="F1821" s="5"/>
      <c r="G1821" s="22" t="n">
        <f aca="false">ROUND(SUM(I1821:P1821),3)</f>
        <v>55.228</v>
      </c>
      <c r="H1821" s="5" t="str">
        <f aca="false">IF(G1821&gt;=評分方法!$C$16,"優先評估",IF(G1821&gt;=評分方法!$C$17,"列入候選",IF(G1821&gt;=評分方法!$C$18,"特定情境","不建議")))</f>
        <v>不建議</v>
      </c>
      <c r="I1821" s="15" t="n">
        <f aca="false">AE1821*評分方法!$C$5</f>
        <v>25.5</v>
      </c>
      <c r="J1821" s="15" t="n">
        <f aca="false">AF1821*評分方法!$C$6</f>
        <v>0</v>
      </c>
      <c r="K1821" s="15" t="n">
        <f aca="false">AG1821*評分方法!$C$7</f>
        <v>4.95</v>
      </c>
      <c r="L1821" s="15" t="n">
        <f aca="false">AH1821*評分方法!$C$8</f>
        <v>13.05</v>
      </c>
      <c r="M1821" s="15" t="n">
        <f aca="false">AI1821*評分方法!$C$9</f>
        <v>6</v>
      </c>
      <c r="N1821" s="15" t="n">
        <f aca="false">AJ1821*評分方法!$C$10</f>
        <v>0.728</v>
      </c>
      <c r="O1821" s="15" t="n">
        <f aca="false">AK1821*評分方法!$C$11</f>
        <v>5</v>
      </c>
      <c r="P1821" s="15" t="n">
        <f aca="false">AL1821*評分方法!$C$12</f>
        <v>0</v>
      </c>
      <c r="Q1821" s="6" t="n">
        <v>143918</v>
      </c>
      <c r="R1821" s="6" t="n">
        <v>7507208320</v>
      </c>
      <c r="S1821" s="11" t="s">
        <v>254</v>
      </c>
      <c r="T1821" s="11" t="s">
        <v>185</v>
      </c>
      <c r="U1821" s="5" t="s">
        <v>260</v>
      </c>
      <c r="V1821" s="11" t="s">
        <v>261</v>
      </c>
      <c r="W1821" s="5" t="s">
        <v>334</v>
      </c>
      <c r="X1821" s="5" t="s">
        <v>242</v>
      </c>
      <c r="Y1821" s="11" t="s">
        <v>3883</v>
      </c>
      <c r="Z1821" s="11" t="s">
        <v>244</v>
      </c>
      <c r="AA1821" s="11" t="s">
        <v>156</v>
      </c>
      <c r="AB1821" s="5" t="s">
        <v>245</v>
      </c>
      <c r="AC1821" s="5" t="s">
        <v>464</v>
      </c>
      <c r="AD1821" s="11" t="s">
        <v>4466</v>
      </c>
      <c r="AE1821" s="23" t="n">
        <v>0.85</v>
      </c>
      <c r="AF1821" s="23" t="n">
        <v>0</v>
      </c>
      <c r="AG1821" s="23" t="n">
        <v>0.33</v>
      </c>
      <c r="AH1821" s="23" t="n">
        <v>0.87</v>
      </c>
      <c r="AI1821" s="23" t="n">
        <v>0.6</v>
      </c>
      <c r="AJ1821" s="23" t="n">
        <v>0.0728</v>
      </c>
      <c r="AK1821" s="23" t="n">
        <v>1</v>
      </c>
      <c r="AL1821" s="23" t="n">
        <v>0</v>
      </c>
      <c r="AM1821" s="16" t="n">
        <f aca="false">COUNTIFS($D$2:$D$2501,D1821,$G$2:$G$2501,"&gt;"&amp;G1821)+COUNTIFS($D$2:D1821,D1821,$G$2:G1821,G1821)</f>
        <v>857</v>
      </c>
      <c r="AN1821" s="5" t="str">
        <f aca="false">D1821&amp;"|"&amp;AM1821</f>
        <v>分析與報告生成|857</v>
      </c>
    </row>
    <row r="1822" customFormat="false" ht="17.15" hidden="false" customHeight="false" outlineLevel="0" collapsed="false">
      <c r="A1822" s="16" t="n">
        <f aca="false">RANK(G1822,$G$2:$G$2501)+COUNTIF($G$2:G1822,G1822)-1</f>
        <v>1821</v>
      </c>
      <c r="B1822" s="11" t="s">
        <v>4467</v>
      </c>
      <c r="C1822" s="11" t="s">
        <v>753</v>
      </c>
      <c r="D1822" s="5" t="s">
        <v>56</v>
      </c>
      <c r="E1822" s="5" t="s">
        <v>57</v>
      </c>
      <c r="F1822" s="5"/>
      <c r="G1822" s="22" t="n">
        <f aca="false">ROUND(SUM(I1822:P1822),3)</f>
        <v>55.226</v>
      </c>
      <c r="H1822" s="5" t="str">
        <f aca="false">IF(G1822&gt;=評分方法!$C$16,"優先評估",IF(G1822&gt;=評分方法!$C$17,"列入候選",IF(G1822&gt;=評分方法!$C$18,"特定情境","不建議")))</f>
        <v>不建議</v>
      </c>
      <c r="I1822" s="15" t="n">
        <f aca="false">AE1822*評分方法!$C$5</f>
        <v>25.5</v>
      </c>
      <c r="J1822" s="15" t="n">
        <f aca="false">AF1822*評分方法!$C$6</f>
        <v>0</v>
      </c>
      <c r="K1822" s="15" t="n">
        <f aca="false">AG1822*評分方法!$C$7</f>
        <v>10.05</v>
      </c>
      <c r="L1822" s="15" t="n">
        <f aca="false">AH1822*評分方法!$C$8</f>
        <v>9</v>
      </c>
      <c r="M1822" s="15" t="n">
        <f aca="false">AI1822*評分方法!$C$9</f>
        <v>6</v>
      </c>
      <c r="N1822" s="15" t="n">
        <f aca="false">AJ1822*評分方法!$C$10</f>
        <v>2.176</v>
      </c>
      <c r="O1822" s="15" t="n">
        <f aca="false">AK1822*評分方法!$C$11</f>
        <v>2.5</v>
      </c>
      <c r="P1822" s="15" t="n">
        <f aca="false">AL1822*評分方法!$C$12</f>
        <v>0</v>
      </c>
      <c r="Q1822" s="6" t="n">
        <v>221499</v>
      </c>
      <c r="R1822" s="6" t="n">
        <v>27432406640</v>
      </c>
      <c r="S1822" s="11" t="s">
        <v>389</v>
      </c>
      <c r="T1822" s="11" t="s">
        <v>658</v>
      </c>
      <c r="U1822" s="5" t="s">
        <v>260</v>
      </c>
      <c r="V1822" s="11" t="s">
        <v>261</v>
      </c>
      <c r="W1822" s="5" t="s">
        <v>207</v>
      </c>
      <c r="X1822" s="5" t="s">
        <v>242</v>
      </c>
      <c r="Y1822" s="11" t="s">
        <v>1344</v>
      </c>
      <c r="Z1822" s="11" t="s">
        <v>270</v>
      </c>
      <c r="AA1822" s="11" t="s">
        <v>156</v>
      </c>
      <c r="AB1822" s="5" t="s">
        <v>245</v>
      </c>
      <c r="AC1822" s="5" t="s">
        <v>262</v>
      </c>
      <c r="AD1822" s="11" t="s">
        <v>4468</v>
      </c>
      <c r="AE1822" s="23" t="n">
        <v>0.85</v>
      </c>
      <c r="AF1822" s="23" t="n">
        <v>0</v>
      </c>
      <c r="AG1822" s="23" t="n">
        <v>0.67</v>
      </c>
      <c r="AH1822" s="23" t="n">
        <v>0.6</v>
      </c>
      <c r="AI1822" s="23" t="n">
        <v>0.6</v>
      </c>
      <c r="AJ1822" s="23" t="n">
        <v>0.2176</v>
      </c>
      <c r="AK1822" s="23" t="n">
        <v>0.5</v>
      </c>
      <c r="AL1822" s="23" t="n">
        <v>0</v>
      </c>
      <c r="AM1822" s="16" t="n">
        <f aca="false">COUNTIFS($D$2:$D$2501,D1822,$G$2:$G$2501,"&gt;"&amp;G1822)+COUNTIFS($D$2:D1822,D1822,$G$2:G1822,G1822)</f>
        <v>858</v>
      </c>
      <c r="AN1822" s="5" t="str">
        <f aca="false">D1822&amp;"|"&amp;AM1822</f>
        <v>分析與報告生成|858</v>
      </c>
    </row>
    <row r="1823" customFormat="false" ht="17.15" hidden="false" customHeight="false" outlineLevel="0" collapsed="false">
      <c r="A1823" s="16" t="n">
        <f aca="false">RANK(G1823,$G$2:$G$2501)+COUNTIF($G$2:G1823,G1823)-1</f>
        <v>1822</v>
      </c>
      <c r="B1823" s="11" t="s">
        <v>4469</v>
      </c>
      <c r="C1823" s="11" t="s">
        <v>2693</v>
      </c>
      <c r="D1823" s="5" t="s">
        <v>74</v>
      </c>
      <c r="E1823" s="5" t="s">
        <v>75</v>
      </c>
      <c r="F1823" s="5"/>
      <c r="G1823" s="22" t="n">
        <f aca="false">ROUND(SUM(I1823:P1823),3)</f>
        <v>55.208</v>
      </c>
      <c r="H1823" s="5" t="str">
        <f aca="false">IF(G1823&gt;=評分方法!$C$16,"優先評估",IF(G1823&gt;=評分方法!$C$17,"列入候選",IF(G1823&gt;=評分方法!$C$18,"特定情境","不建議")))</f>
        <v>不建議</v>
      </c>
      <c r="I1823" s="15" t="n">
        <f aca="false">AE1823*評分方法!$C$5</f>
        <v>10.5</v>
      </c>
      <c r="J1823" s="15" t="n">
        <f aca="false">AF1823*評分方法!$C$6</f>
        <v>0</v>
      </c>
      <c r="K1823" s="15" t="n">
        <f aca="false">AG1823*評分方法!$C$7</f>
        <v>15</v>
      </c>
      <c r="L1823" s="15" t="n">
        <f aca="false">AH1823*評分方法!$C$8</f>
        <v>15</v>
      </c>
      <c r="M1823" s="15" t="n">
        <f aca="false">AI1823*評分方法!$C$9</f>
        <v>10</v>
      </c>
      <c r="N1823" s="15" t="n">
        <f aca="false">AJ1823*評分方法!$C$10</f>
        <v>0.708</v>
      </c>
      <c r="O1823" s="15" t="n">
        <f aca="false">AK1823*評分方法!$C$11</f>
        <v>2.5</v>
      </c>
      <c r="P1823" s="15" t="n">
        <f aca="false">AL1823*評分方法!$C$12</f>
        <v>1.5</v>
      </c>
      <c r="Q1823" s="6" t="n">
        <v>142462</v>
      </c>
      <c r="R1823" s="6" t="n">
        <v>44654504</v>
      </c>
      <c r="S1823" s="11" t="s">
        <v>238</v>
      </c>
      <c r="T1823" s="11" t="s">
        <v>239</v>
      </c>
      <c r="U1823" s="5" t="s">
        <v>240</v>
      </c>
      <c r="V1823" s="11" t="s">
        <v>324</v>
      </c>
      <c r="W1823" s="5" t="s">
        <v>205</v>
      </c>
      <c r="X1823" s="5" t="s">
        <v>255</v>
      </c>
      <c r="Y1823" s="5"/>
      <c r="Z1823" s="5"/>
      <c r="AA1823" s="11" t="s">
        <v>172</v>
      </c>
      <c r="AB1823" s="5" t="s">
        <v>245</v>
      </c>
      <c r="AC1823" s="5"/>
      <c r="AD1823" s="11" t="s">
        <v>4470</v>
      </c>
      <c r="AE1823" s="23" t="n">
        <v>0.35</v>
      </c>
      <c r="AF1823" s="23" t="n">
        <v>0</v>
      </c>
      <c r="AG1823" s="23" t="n">
        <v>1</v>
      </c>
      <c r="AH1823" s="23" t="n">
        <v>1</v>
      </c>
      <c r="AI1823" s="23" t="n">
        <v>1</v>
      </c>
      <c r="AJ1823" s="23" t="n">
        <v>0.0708</v>
      </c>
      <c r="AK1823" s="23" t="n">
        <v>0.5</v>
      </c>
      <c r="AL1823" s="23" t="n">
        <v>0.3</v>
      </c>
      <c r="AM1823" s="16" t="n">
        <f aca="false">COUNTIFS($D$2:$D$2501,D1823,$G$2:$G$2501,"&gt;"&amp;G1823)+COUNTIFS($D$2:D1823,D1823,$G$2:G1823,G1823)</f>
        <v>205</v>
      </c>
      <c r="AN1823" s="5" t="str">
        <f aca="false">D1823&amp;"|"&amp;AM1823</f>
        <v>文件與影像辨識|205</v>
      </c>
    </row>
    <row r="1824" customFormat="false" ht="17.15" hidden="false" customHeight="false" outlineLevel="0" collapsed="false">
      <c r="A1824" s="16" t="n">
        <f aca="false">RANK(G1824,$G$2:$G$2501)+COUNTIF($G$2:G1824,G1824)-1</f>
        <v>1823</v>
      </c>
      <c r="B1824" s="11" t="s">
        <v>4471</v>
      </c>
      <c r="C1824" s="11" t="s">
        <v>737</v>
      </c>
      <c r="D1824" s="5" t="s">
        <v>78</v>
      </c>
      <c r="E1824" s="5" t="s">
        <v>79</v>
      </c>
      <c r="F1824" s="5"/>
      <c r="G1824" s="22" t="n">
        <f aca="false">ROUND(SUM(I1824:P1824),3)</f>
        <v>55.206</v>
      </c>
      <c r="H1824" s="5" t="str">
        <f aca="false">IF(G1824&gt;=評分方法!$C$16,"優先評估",IF(G1824&gt;=評分方法!$C$17,"列入候選",IF(G1824&gt;=評分方法!$C$18,"特定情境","不建議")))</f>
        <v>不建議</v>
      </c>
      <c r="I1824" s="15" t="n">
        <f aca="false">AE1824*評分方法!$C$5</f>
        <v>9</v>
      </c>
      <c r="J1824" s="15" t="n">
        <f aca="false">AF1824*評分方法!$C$6</f>
        <v>0</v>
      </c>
      <c r="K1824" s="15" t="n">
        <f aca="false">AG1824*評分方法!$C$7</f>
        <v>15</v>
      </c>
      <c r="L1824" s="15" t="n">
        <f aca="false">AH1824*評分方法!$C$8</f>
        <v>13.05</v>
      </c>
      <c r="M1824" s="15" t="n">
        <f aca="false">AI1824*評分方法!$C$9</f>
        <v>10</v>
      </c>
      <c r="N1824" s="15" t="n">
        <f aca="false">AJ1824*評分方法!$C$10</f>
        <v>3.156</v>
      </c>
      <c r="O1824" s="15" t="n">
        <f aca="false">AK1824*評分方法!$C$11</f>
        <v>5</v>
      </c>
      <c r="P1824" s="15" t="n">
        <f aca="false">AL1824*評分方法!$C$12</f>
        <v>0</v>
      </c>
      <c r="Q1824" s="6" t="n">
        <v>307873</v>
      </c>
      <c r="R1824" s="6" t="n">
        <v>2065804048</v>
      </c>
      <c r="S1824" s="11" t="s">
        <v>254</v>
      </c>
      <c r="T1824" s="11" t="s">
        <v>239</v>
      </c>
      <c r="U1824" s="5" t="s">
        <v>240</v>
      </c>
      <c r="V1824" s="11" t="s">
        <v>261</v>
      </c>
      <c r="W1824" s="5" t="s">
        <v>205</v>
      </c>
      <c r="X1824" s="5" t="s">
        <v>242</v>
      </c>
      <c r="Y1824" s="11" t="s">
        <v>4339</v>
      </c>
      <c r="Z1824" s="11" t="s">
        <v>270</v>
      </c>
      <c r="AA1824" s="11" t="s">
        <v>175</v>
      </c>
      <c r="AB1824" s="5" t="s">
        <v>245</v>
      </c>
      <c r="AC1824" s="5"/>
      <c r="AD1824" s="11" t="s">
        <v>4472</v>
      </c>
      <c r="AE1824" s="23" t="n">
        <v>0.3</v>
      </c>
      <c r="AF1824" s="23" t="n">
        <v>0</v>
      </c>
      <c r="AG1824" s="23" t="n">
        <v>1</v>
      </c>
      <c r="AH1824" s="23" t="n">
        <v>0.87</v>
      </c>
      <c r="AI1824" s="23" t="n">
        <v>1</v>
      </c>
      <c r="AJ1824" s="23" t="n">
        <v>0.3156</v>
      </c>
      <c r="AK1824" s="23" t="n">
        <v>1</v>
      </c>
      <c r="AL1824" s="23" t="n">
        <v>0</v>
      </c>
      <c r="AM1824" s="16" t="n">
        <f aca="false">COUNTIFS($D$2:$D$2501,D1824,$G$2:$G$2501,"&gt;"&amp;G1824)+COUNTIFS($D$2:D1824,D1824,$G$2:G1824,G1824)</f>
        <v>41</v>
      </c>
      <c r="AN1824" s="5" t="str">
        <f aca="false">D1824&amp;"|"&amp;AM1824</f>
        <v>語音分析|41</v>
      </c>
    </row>
    <row r="1825" customFormat="false" ht="17.15" hidden="false" customHeight="false" outlineLevel="0" collapsed="false">
      <c r="A1825" s="16" t="n">
        <f aca="false">RANK(G1825,$G$2:$G$2501)+COUNTIF($G$2:G1825,G1825)-1</f>
        <v>1824</v>
      </c>
      <c r="B1825" s="11" t="s">
        <v>4473</v>
      </c>
      <c r="C1825" s="11" t="s">
        <v>4474</v>
      </c>
      <c r="D1825" s="5" t="s">
        <v>56</v>
      </c>
      <c r="E1825" s="5" t="s">
        <v>57</v>
      </c>
      <c r="F1825" s="5"/>
      <c r="G1825" s="22" t="n">
        <f aca="false">ROUND(SUM(I1825:P1825),3)</f>
        <v>55.198</v>
      </c>
      <c r="H1825" s="5" t="str">
        <f aca="false">IF(G1825&gt;=評分方法!$C$16,"優先評估",IF(G1825&gt;=評分方法!$C$17,"列入候選",IF(G1825&gt;=評分方法!$C$18,"特定情境","不建議")))</f>
        <v>不建議</v>
      </c>
      <c r="I1825" s="15" t="n">
        <f aca="false">AE1825*評分方法!$C$5</f>
        <v>25.5</v>
      </c>
      <c r="J1825" s="15" t="n">
        <f aca="false">AF1825*評分方法!$C$6</f>
        <v>0</v>
      </c>
      <c r="K1825" s="15" t="n">
        <f aca="false">AG1825*評分方法!$C$7</f>
        <v>4.95</v>
      </c>
      <c r="L1825" s="15" t="n">
        <f aca="false">AH1825*評分方法!$C$8</f>
        <v>15</v>
      </c>
      <c r="M1825" s="15" t="n">
        <f aca="false">AI1825*評分方法!$C$9</f>
        <v>2</v>
      </c>
      <c r="N1825" s="15" t="n">
        <f aca="false">AJ1825*評分方法!$C$10</f>
        <v>2.248</v>
      </c>
      <c r="O1825" s="15" t="n">
        <f aca="false">AK1825*評分方法!$C$11</f>
        <v>2.5</v>
      </c>
      <c r="P1825" s="15" t="n">
        <f aca="false">AL1825*評分方法!$C$12</f>
        <v>3</v>
      </c>
      <c r="Q1825" s="6" t="n">
        <v>229091</v>
      </c>
      <c r="R1825" s="6" t="n">
        <v>134515008</v>
      </c>
      <c r="S1825" s="11" t="s">
        <v>238</v>
      </c>
      <c r="T1825" s="5"/>
      <c r="U1825" s="5" t="s">
        <v>375</v>
      </c>
      <c r="V1825" s="11" t="s">
        <v>261</v>
      </c>
      <c r="W1825" s="5" t="s">
        <v>334</v>
      </c>
      <c r="X1825" s="5" t="s">
        <v>371</v>
      </c>
      <c r="Y1825" s="5"/>
      <c r="Z1825" s="5"/>
      <c r="AA1825" s="11" t="s">
        <v>155</v>
      </c>
      <c r="AB1825" s="5" t="s">
        <v>245</v>
      </c>
      <c r="AC1825" s="5" t="s">
        <v>262</v>
      </c>
      <c r="AD1825" s="11" t="s">
        <v>4475</v>
      </c>
      <c r="AE1825" s="23" t="n">
        <v>0.85</v>
      </c>
      <c r="AF1825" s="23" t="n">
        <v>0</v>
      </c>
      <c r="AG1825" s="23" t="n">
        <v>0.33</v>
      </c>
      <c r="AH1825" s="23" t="n">
        <v>1</v>
      </c>
      <c r="AI1825" s="23" t="n">
        <v>0.2</v>
      </c>
      <c r="AJ1825" s="23" t="n">
        <v>0.2248</v>
      </c>
      <c r="AK1825" s="23" t="n">
        <v>0.5</v>
      </c>
      <c r="AL1825" s="23" t="n">
        <v>0.6</v>
      </c>
      <c r="AM1825" s="16" t="n">
        <f aca="false">COUNTIFS($D$2:$D$2501,D1825,$G$2:$G$2501,"&gt;"&amp;G1825)+COUNTIFS($D$2:D1825,D1825,$G$2:G1825,G1825)</f>
        <v>859</v>
      </c>
      <c r="AN1825" s="5" t="str">
        <f aca="false">D1825&amp;"|"&amp;AM1825</f>
        <v>分析與報告生成|859</v>
      </c>
    </row>
    <row r="1826" customFormat="false" ht="17.15" hidden="false" customHeight="false" outlineLevel="0" collapsed="false">
      <c r="A1826" s="16" t="n">
        <f aca="false">RANK(G1826,$G$2:$G$2501)+COUNTIF($G$2:G1826,G1826)-1</f>
        <v>1825</v>
      </c>
      <c r="B1826" s="11" t="s">
        <v>4476</v>
      </c>
      <c r="C1826" s="11" t="s">
        <v>2693</v>
      </c>
      <c r="D1826" s="5" t="s">
        <v>74</v>
      </c>
      <c r="E1826" s="5" t="s">
        <v>75</v>
      </c>
      <c r="F1826" s="5"/>
      <c r="G1826" s="22" t="n">
        <f aca="false">ROUND(SUM(I1826:P1826),3)</f>
        <v>55.192</v>
      </c>
      <c r="H1826" s="5" t="str">
        <f aca="false">IF(G1826&gt;=評分方法!$C$16,"優先評估",IF(G1826&gt;=評分方法!$C$17,"列入候選",IF(G1826&gt;=評分方法!$C$18,"特定情境","不建議")))</f>
        <v>不建議</v>
      </c>
      <c r="I1826" s="15" t="n">
        <f aca="false">AE1826*評分方法!$C$5</f>
        <v>10.5</v>
      </c>
      <c r="J1826" s="15" t="n">
        <f aca="false">AF1826*評分方法!$C$6</f>
        <v>0</v>
      </c>
      <c r="K1826" s="15" t="n">
        <f aca="false">AG1826*評分方法!$C$7</f>
        <v>15</v>
      </c>
      <c r="L1826" s="15" t="n">
        <f aca="false">AH1826*評分方法!$C$8</f>
        <v>15</v>
      </c>
      <c r="M1826" s="15" t="n">
        <f aca="false">AI1826*評分方法!$C$9</f>
        <v>10</v>
      </c>
      <c r="N1826" s="15" t="n">
        <f aca="false">AJ1826*評分方法!$C$10</f>
        <v>0.692</v>
      </c>
      <c r="O1826" s="15" t="n">
        <f aca="false">AK1826*評分方法!$C$11</f>
        <v>2.5</v>
      </c>
      <c r="P1826" s="15" t="n">
        <f aca="false">AL1826*評分方法!$C$12</f>
        <v>1.5</v>
      </c>
      <c r="Q1826" s="6" t="n">
        <v>141700</v>
      </c>
      <c r="R1826" s="6" t="n">
        <v>304326632</v>
      </c>
      <c r="S1826" s="11" t="s">
        <v>238</v>
      </c>
      <c r="T1826" s="11" t="s">
        <v>239</v>
      </c>
      <c r="U1826" s="5" t="s">
        <v>240</v>
      </c>
      <c r="V1826" s="11" t="s">
        <v>324</v>
      </c>
      <c r="W1826" s="5" t="s">
        <v>205</v>
      </c>
      <c r="X1826" s="5" t="s">
        <v>255</v>
      </c>
      <c r="Y1826" s="5"/>
      <c r="Z1826" s="5"/>
      <c r="AA1826" s="11" t="s">
        <v>172</v>
      </c>
      <c r="AB1826" s="5" t="s">
        <v>245</v>
      </c>
      <c r="AC1826" s="5"/>
      <c r="AD1826" s="11" t="s">
        <v>4477</v>
      </c>
      <c r="AE1826" s="23" t="n">
        <v>0.35</v>
      </c>
      <c r="AF1826" s="23" t="n">
        <v>0</v>
      </c>
      <c r="AG1826" s="23" t="n">
        <v>1</v>
      </c>
      <c r="AH1826" s="23" t="n">
        <v>1</v>
      </c>
      <c r="AI1826" s="23" t="n">
        <v>1</v>
      </c>
      <c r="AJ1826" s="23" t="n">
        <v>0.0692</v>
      </c>
      <c r="AK1826" s="23" t="n">
        <v>0.5</v>
      </c>
      <c r="AL1826" s="23" t="n">
        <v>0.3</v>
      </c>
      <c r="AM1826" s="16" t="n">
        <f aca="false">COUNTIFS($D$2:$D$2501,D1826,$G$2:$G$2501,"&gt;"&amp;G1826)+COUNTIFS($D$2:D1826,D1826,$G$2:G1826,G1826)</f>
        <v>206</v>
      </c>
      <c r="AN1826" s="5" t="str">
        <f aca="false">D1826&amp;"|"&amp;AM1826</f>
        <v>文件與影像辨識|206</v>
      </c>
    </row>
    <row r="1827" customFormat="false" ht="17.15" hidden="false" customHeight="false" outlineLevel="0" collapsed="false">
      <c r="A1827" s="16" t="n">
        <f aca="false">RANK(G1827,$G$2:$G$2501)+COUNTIF($G$2:G1827,G1827)-1</f>
        <v>1826</v>
      </c>
      <c r="B1827" s="11" t="s">
        <v>4478</v>
      </c>
      <c r="C1827" s="11" t="s">
        <v>4479</v>
      </c>
      <c r="D1827" s="5" t="s">
        <v>54</v>
      </c>
      <c r="E1827" s="5" t="s">
        <v>55</v>
      </c>
      <c r="F1827" s="5"/>
      <c r="G1827" s="22" t="n">
        <f aca="false">ROUND(SUM(I1827:P1827),3)</f>
        <v>55.17</v>
      </c>
      <c r="H1827" s="5" t="str">
        <f aca="false">IF(G1827&gt;=評分方法!$C$16,"優先評估",IF(G1827&gt;=評分方法!$C$17,"列入候選",IF(G1827&gt;=評分方法!$C$18,"特定情境","不建議")))</f>
        <v>不建議</v>
      </c>
      <c r="I1827" s="15" t="n">
        <f aca="false">AE1827*評分方法!$C$5</f>
        <v>16.2</v>
      </c>
      <c r="J1827" s="15" t="n">
        <f aca="false">AF1827*評分方法!$C$6</f>
        <v>0</v>
      </c>
      <c r="K1827" s="15" t="n">
        <f aca="false">AG1827*評分方法!$C$7</f>
        <v>4.95</v>
      </c>
      <c r="L1827" s="15" t="n">
        <f aca="false">AH1827*評分方法!$C$8</f>
        <v>15</v>
      </c>
      <c r="M1827" s="15" t="n">
        <f aca="false">AI1827*評分方法!$C$9</f>
        <v>10</v>
      </c>
      <c r="N1827" s="15" t="n">
        <f aca="false">AJ1827*評分方法!$C$10</f>
        <v>8.02</v>
      </c>
      <c r="O1827" s="15" t="n">
        <f aca="false">AK1827*評分方法!$C$11</f>
        <v>1</v>
      </c>
      <c r="P1827" s="15" t="n">
        <f aca="false">AL1827*評分方法!$C$12</f>
        <v>0</v>
      </c>
      <c r="Q1827" s="6" t="n">
        <v>1579798</v>
      </c>
      <c r="R1827" s="6" t="n">
        <v>278043648</v>
      </c>
      <c r="S1827" s="11" t="s">
        <v>238</v>
      </c>
      <c r="T1827" s="11" t="s">
        <v>278</v>
      </c>
      <c r="U1827" s="5" t="s">
        <v>240</v>
      </c>
      <c r="V1827" s="11" t="s">
        <v>261</v>
      </c>
      <c r="W1827" s="5" t="s">
        <v>334</v>
      </c>
      <c r="X1827" s="5" t="s">
        <v>242</v>
      </c>
      <c r="Y1827" s="5"/>
      <c r="Z1827" s="5"/>
      <c r="AA1827" s="11" t="s">
        <v>153</v>
      </c>
      <c r="AB1827" s="5" t="s">
        <v>245</v>
      </c>
      <c r="AC1827" s="5" t="s">
        <v>1463</v>
      </c>
      <c r="AD1827" s="11" t="s">
        <v>4480</v>
      </c>
      <c r="AE1827" s="23" t="n">
        <v>0.54</v>
      </c>
      <c r="AF1827" s="23" t="n">
        <v>0</v>
      </c>
      <c r="AG1827" s="23" t="n">
        <v>0.33</v>
      </c>
      <c r="AH1827" s="23" t="n">
        <v>1</v>
      </c>
      <c r="AI1827" s="23" t="n">
        <v>1</v>
      </c>
      <c r="AJ1827" s="23" t="n">
        <v>0.802</v>
      </c>
      <c r="AK1827" s="23" t="n">
        <v>0.2</v>
      </c>
      <c r="AL1827" s="23" t="n">
        <v>0</v>
      </c>
      <c r="AM1827" s="16" t="n">
        <f aca="false">COUNTIFS($D$2:$D$2501,D1827,$G$2:$G$2501,"&gt;"&amp;G1827)+COUNTIFS($D$2:D1827,D1827,$G$2:G1827,G1827)</f>
        <v>223</v>
      </c>
      <c r="AN1827" s="5" t="str">
        <f aca="false">D1827&amp;"|"&amp;AM1827</f>
        <v>檢索與情資關聯|223</v>
      </c>
    </row>
    <row r="1828" customFormat="false" ht="17.15" hidden="false" customHeight="false" outlineLevel="0" collapsed="false">
      <c r="A1828" s="16" t="n">
        <f aca="false">RANK(G1828,$G$2:$G$2501)+COUNTIF($G$2:G1828,G1828)-1</f>
        <v>1827</v>
      </c>
      <c r="B1828" s="11" t="s">
        <v>4481</v>
      </c>
      <c r="C1828" s="11" t="s">
        <v>327</v>
      </c>
      <c r="D1828" s="5" t="s">
        <v>80</v>
      </c>
      <c r="E1828" s="5" t="s">
        <v>81</v>
      </c>
      <c r="F1828" s="5"/>
      <c r="G1828" s="22" t="n">
        <f aca="false">ROUND(SUM(I1828:P1828),3)</f>
        <v>55.17</v>
      </c>
      <c r="H1828" s="5" t="str">
        <f aca="false">IF(G1828&gt;=評分方法!$C$16,"優先評估",IF(G1828&gt;=評分方法!$C$17,"列入候選",IF(G1828&gt;=評分方法!$C$18,"特定情境","不建議")))</f>
        <v>不建議</v>
      </c>
      <c r="I1828" s="15" t="n">
        <f aca="false">AE1828*評分方法!$C$5</f>
        <v>6</v>
      </c>
      <c r="J1828" s="15" t="n">
        <f aca="false">AF1828*評分方法!$C$6</f>
        <v>0</v>
      </c>
      <c r="K1828" s="15" t="n">
        <f aca="false">AG1828*評分方法!$C$7</f>
        <v>15</v>
      </c>
      <c r="L1828" s="15" t="n">
        <f aca="false">AH1828*評分方法!$C$8</f>
        <v>13.05</v>
      </c>
      <c r="M1828" s="15" t="n">
        <f aca="false">AI1828*評分方法!$C$9</f>
        <v>6</v>
      </c>
      <c r="N1828" s="15" t="n">
        <f aca="false">AJ1828*評分方法!$C$10</f>
        <v>8.62</v>
      </c>
      <c r="O1828" s="15" t="n">
        <f aca="false">AK1828*評分方法!$C$11</f>
        <v>5</v>
      </c>
      <c r="P1828" s="15" t="n">
        <f aca="false">AL1828*評分方法!$C$12</f>
        <v>1.5</v>
      </c>
      <c r="Q1828" s="6" t="n">
        <v>2555615</v>
      </c>
      <c r="R1828" s="6" t="n">
        <v>3858999728</v>
      </c>
      <c r="S1828" s="11" t="s">
        <v>254</v>
      </c>
      <c r="T1828" s="11" t="s">
        <v>185</v>
      </c>
      <c r="U1828" s="5" t="s">
        <v>260</v>
      </c>
      <c r="V1828" s="11" t="s">
        <v>261</v>
      </c>
      <c r="W1828" s="5" t="s">
        <v>205</v>
      </c>
      <c r="X1828" s="5" t="s">
        <v>255</v>
      </c>
      <c r="Y1828" s="5"/>
      <c r="Z1828" s="5"/>
      <c r="AA1828" s="5"/>
      <c r="AB1828" s="5" t="s">
        <v>255</v>
      </c>
      <c r="AC1828" s="5" t="s">
        <v>262</v>
      </c>
      <c r="AD1828" s="11" t="s">
        <v>4482</v>
      </c>
      <c r="AE1828" s="23" t="n">
        <v>0.2</v>
      </c>
      <c r="AF1828" s="23" t="n">
        <v>0</v>
      </c>
      <c r="AG1828" s="23" t="n">
        <v>1</v>
      </c>
      <c r="AH1828" s="23" t="n">
        <v>0.87</v>
      </c>
      <c r="AI1828" s="23" t="n">
        <v>0.6</v>
      </c>
      <c r="AJ1828" s="23" t="n">
        <v>0.862</v>
      </c>
      <c r="AK1828" s="23" t="n">
        <v>1</v>
      </c>
      <c r="AL1828" s="23" t="n">
        <v>0.3</v>
      </c>
      <c r="AM1828" s="16" t="n">
        <f aca="false">COUNTIFS($D$2:$D$2501,D1828,$G$2:$G$2501,"&gt;"&amp;G1828)+COUNTIFS($D$2:D1828,D1828,$G$2:G1828,G1828)</f>
        <v>3</v>
      </c>
      <c r="AN1828" s="5" t="str">
        <f aca="false">D1828&amp;"|"&amp;AM1828</f>
        <v>其他|3</v>
      </c>
    </row>
    <row r="1829" customFormat="false" ht="17.15" hidden="false" customHeight="false" outlineLevel="0" collapsed="false">
      <c r="A1829" s="16" t="n">
        <f aca="false">RANK(G1829,$G$2:$G$2501)+COUNTIF($G$2:G1829,G1829)-1</f>
        <v>1828</v>
      </c>
      <c r="B1829" s="11" t="s">
        <v>4483</v>
      </c>
      <c r="C1829" s="11" t="s">
        <v>2693</v>
      </c>
      <c r="D1829" s="5" t="s">
        <v>74</v>
      </c>
      <c r="E1829" s="5" t="s">
        <v>75</v>
      </c>
      <c r="F1829" s="5"/>
      <c r="G1829" s="22" t="n">
        <f aca="false">ROUND(SUM(I1829:P1829),3)</f>
        <v>55.152</v>
      </c>
      <c r="H1829" s="5" t="str">
        <f aca="false">IF(G1829&gt;=評分方法!$C$16,"優先評估",IF(G1829&gt;=評分方法!$C$17,"列入候選",IF(G1829&gt;=評分方法!$C$18,"特定情境","不建議")))</f>
        <v>不建議</v>
      </c>
      <c r="I1829" s="15" t="n">
        <f aca="false">AE1829*評分方法!$C$5</f>
        <v>10.5</v>
      </c>
      <c r="J1829" s="15" t="n">
        <f aca="false">AF1829*評分方法!$C$6</f>
        <v>0</v>
      </c>
      <c r="K1829" s="15" t="n">
        <f aca="false">AG1829*評分方法!$C$7</f>
        <v>15</v>
      </c>
      <c r="L1829" s="15" t="n">
        <f aca="false">AH1829*評分方法!$C$8</f>
        <v>15</v>
      </c>
      <c r="M1829" s="15" t="n">
        <f aca="false">AI1829*評分方法!$C$9</f>
        <v>10</v>
      </c>
      <c r="N1829" s="15" t="n">
        <f aca="false">AJ1829*評分方法!$C$10</f>
        <v>0.652</v>
      </c>
      <c r="O1829" s="15" t="n">
        <f aca="false">AK1829*評分方法!$C$11</f>
        <v>2.5</v>
      </c>
      <c r="P1829" s="15" t="n">
        <f aca="false">AL1829*評分方法!$C$12</f>
        <v>1.5</v>
      </c>
      <c r="Q1829" s="6" t="n">
        <v>139742</v>
      </c>
      <c r="R1829" s="6" t="n">
        <v>28589128</v>
      </c>
      <c r="S1829" s="11" t="s">
        <v>238</v>
      </c>
      <c r="T1829" s="11" t="s">
        <v>239</v>
      </c>
      <c r="U1829" s="5" t="s">
        <v>240</v>
      </c>
      <c r="V1829" s="11" t="s">
        <v>324</v>
      </c>
      <c r="W1829" s="5" t="s">
        <v>205</v>
      </c>
      <c r="X1829" s="5" t="s">
        <v>255</v>
      </c>
      <c r="Y1829" s="5"/>
      <c r="Z1829" s="5"/>
      <c r="AA1829" s="11" t="s">
        <v>172</v>
      </c>
      <c r="AB1829" s="5" t="s">
        <v>245</v>
      </c>
      <c r="AC1829" s="5"/>
      <c r="AD1829" s="11" t="s">
        <v>4484</v>
      </c>
      <c r="AE1829" s="23" t="n">
        <v>0.35</v>
      </c>
      <c r="AF1829" s="23" t="n">
        <v>0</v>
      </c>
      <c r="AG1829" s="23" t="n">
        <v>1</v>
      </c>
      <c r="AH1829" s="23" t="n">
        <v>1</v>
      </c>
      <c r="AI1829" s="23" t="n">
        <v>1</v>
      </c>
      <c r="AJ1829" s="23" t="n">
        <v>0.0652</v>
      </c>
      <c r="AK1829" s="23" t="n">
        <v>0.5</v>
      </c>
      <c r="AL1829" s="23" t="n">
        <v>0.3</v>
      </c>
      <c r="AM1829" s="16" t="n">
        <f aca="false">COUNTIFS($D$2:$D$2501,D1829,$G$2:$G$2501,"&gt;"&amp;G1829)+COUNTIFS($D$2:D1829,D1829,$G$2:G1829,G1829)</f>
        <v>207</v>
      </c>
      <c r="AN1829" s="5" t="str">
        <f aca="false">D1829&amp;"|"&amp;AM1829</f>
        <v>文件與影像辨識|207</v>
      </c>
    </row>
    <row r="1830" customFormat="false" ht="17.15" hidden="false" customHeight="false" outlineLevel="0" collapsed="false">
      <c r="A1830" s="16" t="n">
        <f aca="false">RANK(G1830,$G$2:$G$2501)+COUNTIF($G$2:G1830,G1830)-1</f>
        <v>1829</v>
      </c>
      <c r="B1830" s="11" t="s">
        <v>4485</v>
      </c>
      <c r="C1830" s="11" t="s">
        <v>1950</v>
      </c>
      <c r="D1830" s="5" t="s">
        <v>78</v>
      </c>
      <c r="E1830" s="5" t="s">
        <v>79</v>
      </c>
      <c r="F1830" s="5"/>
      <c r="G1830" s="22" t="n">
        <f aca="false">ROUND(SUM(I1830:P1830),3)</f>
        <v>55.142</v>
      </c>
      <c r="H1830" s="5" t="str">
        <f aca="false">IF(G1830&gt;=評分方法!$C$16,"優先評估",IF(G1830&gt;=評分方法!$C$17,"列入候選",IF(G1830&gt;=評分方法!$C$18,"特定情境","不建議")))</f>
        <v>不建議</v>
      </c>
      <c r="I1830" s="15" t="n">
        <f aca="false">AE1830*評分方法!$C$5</f>
        <v>10.5</v>
      </c>
      <c r="J1830" s="15" t="n">
        <f aca="false">AF1830*評分方法!$C$6</f>
        <v>0</v>
      </c>
      <c r="K1830" s="15" t="n">
        <f aca="false">AG1830*評分方法!$C$7</f>
        <v>4.95</v>
      </c>
      <c r="L1830" s="15" t="n">
        <f aca="false">AH1830*評分方法!$C$8</f>
        <v>15</v>
      </c>
      <c r="M1830" s="15" t="n">
        <f aca="false">AI1830*評分方法!$C$9</f>
        <v>10</v>
      </c>
      <c r="N1830" s="15" t="n">
        <f aca="false">AJ1830*評分方法!$C$10</f>
        <v>8.192</v>
      </c>
      <c r="O1830" s="15" t="n">
        <f aca="false">AK1830*評分方法!$C$11</f>
        <v>5</v>
      </c>
      <c r="P1830" s="15" t="n">
        <f aca="false">AL1830*評分方法!$C$12</f>
        <v>1.5</v>
      </c>
      <c r="Q1830" s="6" t="n">
        <v>1809477</v>
      </c>
      <c r="R1830" s="6" t="n">
        <v>85728847</v>
      </c>
      <c r="S1830" s="11" t="s">
        <v>238</v>
      </c>
      <c r="T1830" s="11" t="s">
        <v>239</v>
      </c>
      <c r="U1830" s="5" t="s">
        <v>240</v>
      </c>
      <c r="V1830" s="11" t="s">
        <v>333</v>
      </c>
      <c r="W1830" s="5" t="s">
        <v>334</v>
      </c>
      <c r="X1830" s="5" t="s">
        <v>255</v>
      </c>
      <c r="Y1830" s="11" t="s">
        <v>4486</v>
      </c>
      <c r="Z1830" s="11" t="s">
        <v>244</v>
      </c>
      <c r="AA1830" s="11" t="s">
        <v>174</v>
      </c>
      <c r="AB1830" s="5" t="s">
        <v>245</v>
      </c>
      <c r="AC1830" s="5" t="s">
        <v>246</v>
      </c>
      <c r="AD1830" s="11" t="s">
        <v>4487</v>
      </c>
      <c r="AE1830" s="23" t="n">
        <v>0.35</v>
      </c>
      <c r="AF1830" s="23" t="n">
        <v>0</v>
      </c>
      <c r="AG1830" s="23" t="n">
        <v>0.33</v>
      </c>
      <c r="AH1830" s="23" t="n">
        <v>1</v>
      </c>
      <c r="AI1830" s="23" t="n">
        <v>1</v>
      </c>
      <c r="AJ1830" s="23" t="n">
        <v>0.8192</v>
      </c>
      <c r="AK1830" s="23" t="n">
        <v>1</v>
      </c>
      <c r="AL1830" s="23" t="n">
        <v>0.3</v>
      </c>
      <c r="AM1830" s="16" t="n">
        <f aca="false">COUNTIFS($D$2:$D$2501,D1830,$G$2:$G$2501,"&gt;"&amp;G1830)+COUNTIFS($D$2:D1830,D1830,$G$2:G1830,G1830)</f>
        <v>42</v>
      </c>
      <c r="AN1830" s="5" t="str">
        <f aca="false">D1830&amp;"|"&amp;AM1830</f>
        <v>語音分析|42</v>
      </c>
    </row>
    <row r="1831" customFormat="false" ht="17.15" hidden="false" customHeight="false" outlineLevel="0" collapsed="false">
      <c r="A1831" s="16" t="n">
        <f aca="false">RANK(G1831,$G$2:$G$2501)+COUNTIF($G$2:G1831,G1831)-1</f>
        <v>1830</v>
      </c>
      <c r="B1831" s="11" t="s">
        <v>4488</v>
      </c>
      <c r="C1831" s="11" t="s">
        <v>3683</v>
      </c>
      <c r="D1831" s="5" t="s">
        <v>56</v>
      </c>
      <c r="E1831" s="5" t="s">
        <v>57</v>
      </c>
      <c r="F1831" s="5"/>
      <c r="G1831" s="22" t="n">
        <f aca="false">ROUND(SUM(I1831:P1831),3)</f>
        <v>55.138</v>
      </c>
      <c r="H1831" s="5" t="str">
        <f aca="false">IF(G1831&gt;=評分方法!$C$16,"優先評估",IF(G1831&gt;=評分方法!$C$17,"列入候選",IF(G1831&gt;=評分方法!$C$18,"特定情境","不建議")))</f>
        <v>不建議</v>
      </c>
      <c r="I1831" s="15" t="n">
        <f aca="false">AE1831*評分方法!$C$5</f>
        <v>25.5</v>
      </c>
      <c r="J1831" s="15" t="n">
        <f aca="false">AF1831*評分方法!$C$6</f>
        <v>0</v>
      </c>
      <c r="K1831" s="15" t="n">
        <f aca="false">AG1831*評分方法!$C$7</f>
        <v>4.95</v>
      </c>
      <c r="L1831" s="15" t="n">
        <f aca="false">AH1831*評分方法!$C$8</f>
        <v>9</v>
      </c>
      <c r="M1831" s="15" t="n">
        <f aca="false">AI1831*評分方法!$C$9</f>
        <v>10</v>
      </c>
      <c r="N1831" s="15" t="n">
        <f aca="false">AJ1831*評分方法!$C$10</f>
        <v>0.188</v>
      </c>
      <c r="O1831" s="15" t="n">
        <f aca="false">AK1831*評分方法!$C$11</f>
        <v>2.5</v>
      </c>
      <c r="P1831" s="15" t="n">
        <f aca="false">AL1831*評分方法!$C$12</f>
        <v>3</v>
      </c>
      <c r="Q1831" s="6" t="n">
        <v>121403</v>
      </c>
      <c r="R1831" s="6" t="n">
        <v>24185032240</v>
      </c>
      <c r="S1831" s="11" t="s">
        <v>389</v>
      </c>
      <c r="T1831" s="11" t="s">
        <v>239</v>
      </c>
      <c r="U1831" s="5" t="s">
        <v>240</v>
      </c>
      <c r="V1831" s="11" t="s">
        <v>261</v>
      </c>
      <c r="W1831" s="5" t="s">
        <v>334</v>
      </c>
      <c r="X1831" s="5" t="s">
        <v>371</v>
      </c>
      <c r="Y1831" s="11" t="s">
        <v>665</v>
      </c>
      <c r="Z1831" s="11" t="s">
        <v>244</v>
      </c>
      <c r="AA1831" s="11" t="s">
        <v>156</v>
      </c>
      <c r="AB1831" s="5" t="s">
        <v>245</v>
      </c>
      <c r="AC1831" s="5" t="s">
        <v>246</v>
      </c>
      <c r="AD1831" s="11" t="s">
        <v>4489</v>
      </c>
      <c r="AE1831" s="23" t="n">
        <v>0.85</v>
      </c>
      <c r="AF1831" s="23" t="n">
        <v>0</v>
      </c>
      <c r="AG1831" s="23" t="n">
        <v>0.33</v>
      </c>
      <c r="AH1831" s="23" t="n">
        <v>0.6</v>
      </c>
      <c r="AI1831" s="23" t="n">
        <v>1</v>
      </c>
      <c r="AJ1831" s="23" t="n">
        <v>0.0188</v>
      </c>
      <c r="AK1831" s="23" t="n">
        <v>0.5</v>
      </c>
      <c r="AL1831" s="23" t="n">
        <v>0.6</v>
      </c>
      <c r="AM1831" s="16" t="n">
        <f aca="false">COUNTIFS($D$2:$D$2501,D1831,$G$2:$G$2501,"&gt;"&amp;G1831)+COUNTIFS($D$2:D1831,D1831,$G$2:G1831,G1831)</f>
        <v>860</v>
      </c>
      <c r="AN1831" s="5" t="str">
        <f aca="false">D1831&amp;"|"&amp;AM1831</f>
        <v>分析與報告生成|860</v>
      </c>
    </row>
    <row r="1832" customFormat="false" ht="17.15" hidden="false" customHeight="false" outlineLevel="0" collapsed="false">
      <c r="A1832" s="16" t="n">
        <f aca="false">RANK(G1832,$G$2:$G$2501)+COUNTIF($G$2:G1832,G1832)-1</f>
        <v>1831</v>
      </c>
      <c r="B1832" s="11" t="s">
        <v>4490</v>
      </c>
      <c r="C1832" s="11" t="s">
        <v>4046</v>
      </c>
      <c r="D1832" s="5" t="s">
        <v>78</v>
      </c>
      <c r="E1832" s="5" t="s">
        <v>79</v>
      </c>
      <c r="F1832" s="5"/>
      <c r="G1832" s="22" t="n">
        <f aca="false">ROUND(SUM(I1832:P1832),3)</f>
        <v>55.1</v>
      </c>
      <c r="H1832" s="5" t="str">
        <f aca="false">IF(G1832&gt;=評分方法!$C$16,"優先評估",IF(G1832&gt;=評分方法!$C$17,"列入候選",IF(G1832&gt;=評分方法!$C$18,"特定情境","不建議")))</f>
        <v>不建議</v>
      </c>
      <c r="I1832" s="15" t="n">
        <f aca="false">AE1832*評分方法!$C$5</f>
        <v>9</v>
      </c>
      <c r="J1832" s="15" t="n">
        <f aca="false">AF1832*評分方法!$C$6</f>
        <v>0</v>
      </c>
      <c r="K1832" s="15" t="n">
        <f aca="false">AG1832*評分方法!$C$7</f>
        <v>4.95</v>
      </c>
      <c r="L1832" s="15" t="n">
        <f aca="false">AH1832*評分方法!$C$8</f>
        <v>13.05</v>
      </c>
      <c r="M1832" s="15" t="n">
        <f aca="false">AI1832*評分方法!$C$9</f>
        <v>10</v>
      </c>
      <c r="N1832" s="15" t="n">
        <f aca="false">AJ1832*評分方法!$C$10</f>
        <v>8.1</v>
      </c>
      <c r="O1832" s="15" t="n">
        <f aca="false">AK1832*評分方法!$C$11</f>
        <v>5</v>
      </c>
      <c r="P1832" s="15" t="n">
        <f aca="false">AL1832*評分方法!$C$12</f>
        <v>5</v>
      </c>
      <c r="Q1832" s="6" t="n">
        <v>1710716</v>
      </c>
      <c r="R1832" s="6" t="n">
        <v>4429707024</v>
      </c>
      <c r="S1832" s="11" t="s">
        <v>254</v>
      </c>
      <c r="T1832" s="11" t="s">
        <v>239</v>
      </c>
      <c r="U1832" s="5" t="s">
        <v>240</v>
      </c>
      <c r="V1832" s="11" t="s">
        <v>333</v>
      </c>
      <c r="W1832" s="5" t="s">
        <v>334</v>
      </c>
      <c r="X1832" s="5" t="s">
        <v>284</v>
      </c>
      <c r="Y1832" s="11" t="s">
        <v>2371</v>
      </c>
      <c r="Z1832" s="11" t="s">
        <v>244</v>
      </c>
      <c r="AA1832" s="11" t="s">
        <v>175</v>
      </c>
      <c r="AB1832" s="5" t="s">
        <v>245</v>
      </c>
      <c r="AC1832" s="5" t="s">
        <v>246</v>
      </c>
      <c r="AD1832" s="11" t="s">
        <v>4491</v>
      </c>
      <c r="AE1832" s="23" t="n">
        <v>0.3</v>
      </c>
      <c r="AF1832" s="23" t="n">
        <v>0</v>
      </c>
      <c r="AG1832" s="23" t="n">
        <v>0.33</v>
      </c>
      <c r="AH1832" s="23" t="n">
        <v>0.87</v>
      </c>
      <c r="AI1832" s="23" t="n">
        <v>1</v>
      </c>
      <c r="AJ1832" s="23" t="n">
        <v>0.81</v>
      </c>
      <c r="AK1832" s="23" t="n">
        <v>1</v>
      </c>
      <c r="AL1832" s="23" t="n">
        <v>1</v>
      </c>
      <c r="AM1832" s="16" t="n">
        <f aca="false">COUNTIFS($D$2:$D$2501,D1832,$G$2:$G$2501,"&gt;"&amp;G1832)+COUNTIFS($D$2:D1832,D1832,$G$2:G1832,G1832)</f>
        <v>43</v>
      </c>
      <c r="AN1832" s="5" t="str">
        <f aca="false">D1832&amp;"|"&amp;AM1832</f>
        <v>語音分析|43</v>
      </c>
    </row>
    <row r="1833" customFormat="false" ht="17.15" hidden="false" customHeight="false" outlineLevel="0" collapsed="false">
      <c r="A1833" s="16" t="n">
        <f aca="false">RANK(G1833,$G$2:$G$2501)+COUNTIF($G$2:G1833,G1833)-1</f>
        <v>1832</v>
      </c>
      <c r="B1833" s="11" t="s">
        <v>4492</v>
      </c>
      <c r="C1833" s="11" t="s">
        <v>338</v>
      </c>
      <c r="D1833" s="5" t="s">
        <v>80</v>
      </c>
      <c r="E1833" s="5" t="s">
        <v>81</v>
      </c>
      <c r="F1833" s="5"/>
      <c r="G1833" s="22" t="n">
        <f aca="false">ROUND(SUM(I1833:P1833),3)</f>
        <v>55.09</v>
      </c>
      <c r="H1833" s="5" t="str">
        <f aca="false">IF(G1833&gt;=評分方法!$C$16,"優先評估",IF(G1833&gt;=評分方法!$C$17,"列入候選",IF(G1833&gt;=評分方法!$C$18,"特定情境","不建議")))</f>
        <v>不建議</v>
      </c>
      <c r="I1833" s="15" t="n">
        <f aca="false">AE1833*評分方法!$C$5</f>
        <v>6</v>
      </c>
      <c r="J1833" s="15" t="n">
        <f aca="false">AF1833*評分方法!$C$6</f>
        <v>0</v>
      </c>
      <c r="K1833" s="15" t="n">
        <f aca="false">AG1833*評分方法!$C$7</f>
        <v>15</v>
      </c>
      <c r="L1833" s="15" t="n">
        <f aca="false">AH1833*評分方法!$C$8</f>
        <v>13.05</v>
      </c>
      <c r="M1833" s="15" t="n">
        <f aca="false">AI1833*評分方法!$C$9</f>
        <v>10</v>
      </c>
      <c r="N1833" s="15" t="n">
        <f aca="false">AJ1833*評分方法!$C$10</f>
        <v>8.54</v>
      </c>
      <c r="O1833" s="15" t="n">
        <f aca="false">AK1833*評分方法!$C$11</f>
        <v>2.5</v>
      </c>
      <c r="P1833" s="15" t="n">
        <f aca="false">AL1833*評分方法!$C$12</f>
        <v>0</v>
      </c>
      <c r="Q1833" s="6" t="n">
        <v>2357212</v>
      </c>
      <c r="R1833" s="6" t="n">
        <v>4676271104</v>
      </c>
      <c r="S1833" s="11" t="s">
        <v>254</v>
      </c>
      <c r="T1833" s="11" t="s">
        <v>239</v>
      </c>
      <c r="U1833" s="5" t="s">
        <v>240</v>
      </c>
      <c r="V1833" s="11" t="s">
        <v>261</v>
      </c>
      <c r="W1833" s="5" t="s">
        <v>205</v>
      </c>
      <c r="X1833" s="5" t="s">
        <v>242</v>
      </c>
      <c r="Y1833" s="5"/>
      <c r="Z1833" s="5"/>
      <c r="AA1833" s="5"/>
      <c r="AB1833" s="5" t="s">
        <v>255</v>
      </c>
      <c r="AC1833" s="5"/>
      <c r="AD1833" s="11" t="s">
        <v>4493</v>
      </c>
      <c r="AE1833" s="23" t="n">
        <v>0.2</v>
      </c>
      <c r="AF1833" s="23" t="n">
        <v>0</v>
      </c>
      <c r="AG1833" s="23" t="n">
        <v>1</v>
      </c>
      <c r="AH1833" s="23" t="n">
        <v>0.87</v>
      </c>
      <c r="AI1833" s="23" t="n">
        <v>1</v>
      </c>
      <c r="AJ1833" s="23" t="n">
        <v>0.854</v>
      </c>
      <c r="AK1833" s="23" t="n">
        <v>0.5</v>
      </c>
      <c r="AL1833" s="23" t="n">
        <v>0</v>
      </c>
      <c r="AM1833" s="16" t="n">
        <f aca="false">COUNTIFS($D$2:$D$2501,D1833,$G$2:$G$2501,"&gt;"&amp;G1833)+COUNTIFS($D$2:D1833,D1833,$G$2:G1833,G1833)</f>
        <v>4</v>
      </c>
      <c r="AN1833" s="5" t="str">
        <f aca="false">D1833&amp;"|"&amp;AM1833</f>
        <v>其他|4</v>
      </c>
    </row>
    <row r="1834" customFormat="false" ht="17.15" hidden="false" customHeight="false" outlineLevel="0" collapsed="false">
      <c r="A1834" s="16" t="n">
        <f aca="false">RANK(G1834,$G$2:$G$2501)+COUNTIF($G$2:G1834,G1834)-1</f>
        <v>1833</v>
      </c>
      <c r="B1834" s="11" t="s">
        <v>4494</v>
      </c>
      <c r="C1834" s="11" t="s">
        <v>4495</v>
      </c>
      <c r="D1834" s="5" t="s">
        <v>72</v>
      </c>
      <c r="E1834" s="5" t="s">
        <v>73</v>
      </c>
      <c r="F1834" s="5"/>
      <c r="G1834" s="22" t="n">
        <f aca="false">ROUND(SUM(I1834:P1834),3)</f>
        <v>55.082</v>
      </c>
      <c r="H1834" s="5" t="str">
        <f aca="false">IF(G1834&gt;=評分方法!$C$16,"優先評估",IF(G1834&gt;=評分方法!$C$17,"列入候選",IF(G1834&gt;=評分方法!$C$18,"特定情境","不建議")))</f>
        <v>不建議</v>
      </c>
      <c r="I1834" s="15" t="n">
        <f aca="false">AE1834*評分方法!$C$5</f>
        <v>15</v>
      </c>
      <c r="J1834" s="15" t="n">
        <f aca="false">AF1834*評分方法!$C$6</f>
        <v>0</v>
      </c>
      <c r="K1834" s="15" t="n">
        <f aca="false">AG1834*評分方法!$C$7</f>
        <v>4.95</v>
      </c>
      <c r="L1834" s="15" t="n">
        <f aca="false">AH1834*評分方法!$C$8</f>
        <v>15</v>
      </c>
      <c r="M1834" s="15" t="n">
        <f aca="false">AI1834*評分方法!$C$9</f>
        <v>10</v>
      </c>
      <c r="N1834" s="15" t="n">
        <f aca="false">AJ1834*評分方法!$C$10</f>
        <v>9.132</v>
      </c>
      <c r="O1834" s="15" t="n">
        <f aca="false">AK1834*評分方法!$C$11</f>
        <v>1</v>
      </c>
      <c r="P1834" s="15" t="n">
        <f aca="false">AL1834*評分方法!$C$12</f>
        <v>0</v>
      </c>
      <c r="Q1834" s="6" t="n">
        <v>4673910</v>
      </c>
      <c r="R1834" s="6" t="n">
        <v>11842272</v>
      </c>
      <c r="S1834" s="11" t="s">
        <v>238</v>
      </c>
      <c r="T1834" s="11" t="s">
        <v>239</v>
      </c>
      <c r="U1834" s="5" t="s">
        <v>240</v>
      </c>
      <c r="V1834" s="11" t="s">
        <v>279</v>
      </c>
      <c r="W1834" s="5" t="s">
        <v>334</v>
      </c>
      <c r="X1834" s="5" t="s">
        <v>242</v>
      </c>
      <c r="Y1834" s="5"/>
      <c r="Z1834" s="5"/>
      <c r="AA1834" s="11" t="s">
        <v>162</v>
      </c>
      <c r="AB1834" s="5" t="s">
        <v>245</v>
      </c>
      <c r="AC1834" s="5"/>
      <c r="AD1834" s="11" t="s">
        <v>4496</v>
      </c>
      <c r="AE1834" s="23" t="n">
        <v>0.5</v>
      </c>
      <c r="AF1834" s="23" t="n">
        <v>0</v>
      </c>
      <c r="AG1834" s="23" t="n">
        <v>0.33</v>
      </c>
      <c r="AH1834" s="23" t="n">
        <v>1</v>
      </c>
      <c r="AI1834" s="23" t="n">
        <v>1</v>
      </c>
      <c r="AJ1834" s="23" t="n">
        <v>0.9132</v>
      </c>
      <c r="AK1834" s="23" t="n">
        <v>0.2</v>
      </c>
      <c r="AL1834" s="23" t="n">
        <v>0</v>
      </c>
      <c r="AM1834" s="16" t="n">
        <f aca="false">COUNTIFS($D$2:$D$2501,D1834,$G$2:$G$2501,"&gt;"&amp;G1834)+COUNTIFS($D$2:D1834,D1834,$G$2:G1834,G1834)</f>
        <v>28</v>
      </c>
      <c r="AN1834" s="5" t="str">
        <f aca="false">D1834&amp;"|"&amp;AM1834</f>
        <v>微調基底模型|28</v>
      </c>
    </row>
    <row r="1835" customFormat="false" ht="17.15" hidden="false" customHeight="false" outlineLevel="0" collapsed="false">
      <c r="A1835" s="16" t="n">
        <f aca="false">RANK(G1835,$G$2:$G$2501)+COUNTIF($G$2:G1835,G1835)-1</f>
        <v>1834</v>
      </c>
      <c r="B1835" s="11" t="s">
        <v>4497</v>
      </c>
      <c r="C1835" s="11" t="s">
        <v>4498</v>
      </c>
      <c r="D1835" s="5" t="s">
        <v>54</v>
      </c>
      <c r="E1835" s="5" t="s">
        <v>55</v>
      </c>
      <c r="F1835" s="5"/>
      <c r="G1835" s="22" t="n">
        <f aca="false">ROUND(SUM(I1835:P1835),3)</f>
        <v>55.044</v>
      </c>
      <c r="H1835" s="5" t="str">
        <f aca="false">IF(G1835&gt;=評分方法!$C$16,"優先評估",IF(G1835&gt;=評分方法!$C$17,"列入候選",IF(G1835&gt;=評分方法!$C$18,"特定情境","不建議")))</f>
        <v>不建議</v>
      </c>
      <c r="I1835" s="15" t="n">
        <f aca="false">AE1835*評分方法!$C$5</f>
        <v>27</v>
      </c>
      <c r="J1835" s="15" t="n">
        <f aca="false">AF1835*評分方法!$C$6</f>
        <v>0</v>
      </c>
      <c r="K1835" s="15" t="n">
        <f aca="false">AG1835*評分方法!$C$7</f>
        <v>4.95</v>
      </c>
      <c r="L1835" s="15" t="n">
        <f aca="false">AH1835*評分方法!$C$8</f>
        <v>7.05</v>
      </c>
      <c r="M1835" s="15" t="n">
        <f aca="false">AI1835*評分方法!$C$9</f>
        <v>10</v>
      </c>
      <c r="N1835" s="15" t="n">
        <f aca="false">AJ1835*評分方法!$C$10</f>
        <v>3.544</v>
      </c>
      <c r="O1835" s="15" t="n">
        <f aca="false">AK1835*評分方法!$C$11</f>
        <v>2.5</v>
      </c>
      <c r="P1835" s="15" t="n">
        <f aca="false">AL1835*評分方法!$C$12</f>
        <v>0</v>
      </c>
      <c r="Q1835" s="6" t="n">
        <v>355263</v>
      </c>
      <c r="R1835" s="6"/>
      <c r="S1835" s="5" t="s">
        <v>255</v>
      </c>
      <c r="T1835" s="11" t="s">
        <v>239</v>
      </c>
      <c r="U1835" s="5" t="s">
        <v>240</v>
      </c>
      <c r="V1835" s="11" t="s">
        <v>4499</v>
      </c>
      <c r="W1835" s="5" t="s">
        <v>334</v>
      </c>
      <c r="X1835" s="5" t="s">
        <v>242</v>
      </c>
      <c r="Y1835" s="5"/>
      <c r="Z1835" s="5"/>
      <c r="AA1835" s="11" t="s">
        <v>153</v>
      </c>
      <c r="AB1835" s="5" t="s">
        <v>245</v>
      </c>
      <c r="AC1835" s="5"/>
      <c r="AD1835" s="11" t="s">
        <v>4500</v>
      </c>
      <c r="AE1835" s="23" t="n">
        <v>0.9</v>
      </c>
      <c r="AF1835" s="23" t="n">
        <v>0</v>
      </c>
      <c r="AG1835" s="23" t="n">
        <v>0.33</v>
      </c>
      <c r="AH1835" s="23" t="n">
        <v>0.47</v>
      </c>
      <c r="AI1835" s="23" t="n">
        <v>1</v>
      </c>
      <c r="AJ1835" s="23" t="n">
        <v>0.3544</v>
      </c>
      <c r="AK1835" s="23" t="n">
        <v>0.5</v>
      </c>
      <c r="AL1835" s="23" t="n">
        <v>0</v>
      </c>
      <c r="AM1835" s="16" t="n">
        <f aca="false">COUNTIFS($D$2:$D$2501,D1835,$G$2:$G$2501,"&gt;"&amp;G1835)+COUNTIFS($D$2:D1835,D1835,$G$2:G1835,G1835)</f>
        <v>224</v>
      </c>
      <c r="AN1835" s="5" t="str">
        <f aca="false">D1835&amp;"|"&amp;AM1835</f>
        <v>檢索與情資關聯|224</v>
      </c>
    </row>
    <row r="1836" customFormat="false" ht="17.15" hidden="false" customHeight="false" outlineLevel="0" collapsed="false">
      <c r="A1836" s="16" t="n">
        <f aca="false">RANK(G1836,$G$2:$G$2501)+COUNTIF($G$2:G1836,G1836)-1</f>
        <v>1835</v>
      </c>
      <c r="B1836" s="11" t="s">
        <v>4501</v>
      </c>
      <c r="C1836" s="11" t="s">
        <v>1111</v>
      </c>
      <c r="D1836" s="5" t="s">
        <v>56</v>
      </c>
      <c r="E1836" s="5" t="s">
        <v>57</v>
      </c>
      <c r="F1836" s="5"/>
      <c r="G1836" s="22" t="n">
        <f aca="false">ROUND(SUM(I1836:P1836),3)</f>
        <v>55.008</v>
      </c>
      <c r="H1836" s="5" t="str">
        <f aca="false">IF(G1836&gt;=評分方法!$C$16,"優先評估",IF(G1836&gt;=評分方法!$C$17,"列入候選",IF(G1836&gt;=評分方法!$C$18,"特定情境","不建議")))</f>
        <v>不建議</v>
      </c>
      <c r="I1836" s="15" t="n">
        <f aca="false">AE1836*評分方法!$C$5</f>
        <v>25.5</v>
      </c>
      <c r="J1836" s="15" t="n">
        <f aca="false">AF1836*評分方法!$C$6</f>
        <v>0</v>
      </c>
      <c r="K1836" s="15" t="n">
        <f aca="false">AG1836*評分方法!$C$7</f>
        <v>10.05</v>
      </c>
      <c r="L1836" s="15" t="n">
        <f aca="false">AH1836*評分方法!$C$8</f>
        <v>4.95</v>
      </c>
      <c r="M1836" s="15" t="n">
        <f aca="false">AI1836*評分方法!$C$9</f>
        <v>6</v>
      </c>
      <c r="N1836" s="15" t="n">
        <f aca="false">AJ1836*評分方法!$C$10</f>
        <v>6.008</v>
      </c>
      <c r="O1836" s="15" t="n">
        <f aca="false">AK1836*評分方法!$C$11</f>
        <v>2.5</v>
      </c>
      <c r="P1836" s="15" t="n">
        <f aca="false">AL1836*評分方法!$C$12</f>
        <v>0</v>
      </c>
      <c r="Q1836" s="6" t="n">
        <v>627537</v>
      </c>
      <c r="R1836" s="6" t="n">
        <v>70553707616</v>
      </c>
      <c r="S1836" s="11" t="s">
        <v>1876</v>
      </c>
      <c r="T1836" s="11" t="s">
        <v>259</v>
      </c>
      <c r="U1836" s="5" t="s">
        <v>260</v>
      </c>
      <c r="V1836" s="11" t="s">
        <v>261</v>
      </c>
      <c r="W1836" s="5" t="s">
        <v>207</v>
      </c>
      <c r="X1836" s="5" t="s">
        <v>242</v>
      </c>
      <c r="Y1836" s="11" t="s">
        <v>3078</v>
      </c>
      <c r="Z1836" s="11" t="s">
        <v>244</v>
      </c>
      <c r="AA1836" s="11" t="s">
        <v>155</v>
      </c>
      <c r="AB1836" s="5" t="s">
        <v>245</v>
      </c>
      <c r="AC1836" s="5" t="s">
        <v>464</v>
      </c>
      <c r="AD1836" s="11" t="s">
        <v>4502</v>
      </c>
      <c r="AE1836" s="23" t="n">
        <v>0.85</v>
      </c>
      <c r="AF1836" s="23" t="n">
        <v>0</v>
      </c>
      <c r="AG1836" s="23" t="n">
        <v>0.67</v>
      </c>
      <c r="AH1836" s="23" t="n">
        <v>0.33</v>
      </c>
      <c r="AI1836" s="23" t="n">
        <v>0.6</v>
      </c>
      <c r="AJ1836" s="23" t="n">
        <v>0.6008</v>
      </c>
      <c r="AK1836" s="23" t="n">
        <v>0.5</v>
      </c>
      <c r="AL1836" s="23" t="n">
        <v>0</v>
      </c>
      <c r="AM1836" s="16" t="n">
        <f aca="false">COUNTIFS($D$2:$D$2501,D1836,$G$2:$G$2501,"&gt;"&amp;G1836)+COUNTIFS($D$2:D1836,D1836,$G$2:G1836,G1836)</f>
        <v>861</v>
      </c>
      <c r="AN1836" s="5" t="str">
        <f aca="false">D1836&amp;"|"&amp;AM1836</f>
        <v>分析與報告生成|861</v>
      </c>
    </row>
    <row r="1837" customFormat="false" ht="17.15" hidden="false" customHeight="false" outlineLevel="0" collapsed="false">
      <c r="A1837" s="16" t="n">
        <f aca="false">RANK(G1837,$G$2:$G$2501)+COUNTIF($G$2:G1837,G1837)-1</f>
        <v>1836</v>
      </c>
      <c r="B1837" s="11" t="s">
        <v>4503</v>
      </c>
      <c r="C1837" s="11" t="s">
        <v>4504</v>
      </c>
      <c r="D1837" s="5" t="s">
        <v>56</v>
      </c>
      <c r="E1837" s="5" t="s">
        <v>57</v>
      </c>
      <c r="F1837" s="5"/>
      <c r="G1837" s="22" t="n">
        <f aca="false">ROUND(SUM(I1837:P1837),3)</f>
        <v>54.992</v>
      </c>
      <c r="H1837" s="5" t="str">
        <f aca="false">IF(G1837&gt;=評分方法!$C$16,"優先評估",IF(G1837&gt;=評分方法!$C$17,"列入候選",IF(G1837&gt;=評分方法!$C$18,"特定情境","不建議")))</f>
        <v>不建議</v>
      </c>
      <c r="I1837" s="15" t="n">
        <f aca="false">AE1837*評分方法!$C$5</f>
        <v>24</v>
      </c>
      <c r="J1837" s="15" t="n">
        <f aca="false">AF1837*評分方法!$C$6</f>
        <v>0</v>
      </c>
      <c r="K1837" s="15" t="n">
        <f aca="false">AG1837*評分方法!$C$7</f>
        <v>4.95</v>
      </c>
      <c r="L1837" s="15" t="n">
        <f aca="false">AH1837*評分方法!$C$8</f>
        <v>13.05</v>
      </c>
      <c r="M1837" s="15" t="n">
        <f aca="false">AI1837*評分方法!$C$9</f>
        <v>2</v>
      </c>
      <c r="N1837" s="15" t="n">
        <f aca="false">AJ1837*評分方法!$C$10</f>
        <v>3.992</v>
      </c>
      <c r="O1837" s="15" t="n">
        <f aca="false">AK1837*評分方法!$C$11</f>
        <v>4</v>
      </c>
      <c r="P1837" s="15" t="n">
        <f aca="false">AL1837*評分方法!$C$12</f>
        <v>3</v>
      </c>
      <c r="Q1837" s="6" t="n">
        <v>415445</v>
      </c>
      <c r="R1837" s="6" t="n">
        <v>8668599882</v>
      </c>
      <c r="S1837" s="11" t="s">
        <v>254</v>
      </c>
      <c r="T1837" s="5"/>
      <c r="U1837" s="5" t="s">
        <v>375</v>
      </c>
      <c r="V1837" s="11" t="s">
        <v>261</v>
      </c>
      <c r="W1837" s="5" t="s">
        <v>334</v>
      </c>
      <c r="X1837" s="5" t="s">
        <v>371</v>
      </c>
      <c r="Y1837" s="11" t="s">
        <v>422</v>
      </c>
      <c r="Z1837" s="11" t="s">
        <v>244</v>
      </c>
      <c r="AA1837" s="11" t="s">
        <v>157</v>
      </c>
      <c r="AB1837" s="5" t="s">
        <v>496</v>
      </c>
      <c r="AC1837" s="5" t="s">
        <v>1108</v>
      </c>
      <c r="AD1837" s="11" t="s">
        <v>4505</v>
      </c>
      <c r="AE1837" s="23" t="n">
        <v>0.8</v>
      </c>
      <c r="AF1837" s="23" t="n">
        <v>0</v>
      </c>
      <c r="AG1837" s="23" t="n">
        <v>0.33</v>
      </c>
      <c r="AH1837" s="23" t="n">
        <v>0.87</v>
      </c>
      <c r="AI1837" s="23" t="n">
        <v>0.2</v>
      </c>
      <c r="AJ1837" s="23" t="n">
        <v>0.3992</v>
      </c>
      <c r="AK1837" s="23" t="n">
        <v>0.8</v>
      </c>
      <c r="AL1837" s="23" t="n">
        <v>0.6</v>
      </c>
      <c r="AM1837" s="16" t="n">
        <f aca="false">COUNTIFS($D$2:$D$2501,D1837,$G$2:$G$2501,"&gt;"&amp;G1837)+COUNTIFS($D$2:D1837,D1837,$G$2:G1837,G1837)</f>
        <v>862</v>
      </c>
      <c r="AN1837" s="5" t="str">
        <f aca="false">D1837&amp;"|"&amp;AM1837</f>
        <v>分析與報告生成|862</v>
      </c>
    </row>
    <row r="1838" customFormat="false" ht="17.15" hidden="false" customHeight="false" outlineLevel="0" collapsed="false">
      <c r="A1838" s="16" t="n">
        <f aca="false">RANK(G1838,$G$2:$G$2501)+COUNTIF($G$2:G1838,G1838)-1</f>
        <v>1837</v>
      </c>
      <c r="B1838" s="11" t="s">
        <v>4506</v>
      </c>
      <c r="C1838" s="11" t="s">
        <v>4507</v>
      </c>
      <c r="D1838" s="5" t="s">
        <v>56</v>
      </c>
      <c r="E1838" s="5" t="s">
        <v>57</v>
      </c>
      <c r="F1838" s="5"/>
      <c r="G1838" s="22" t="n">
        <f aca="false">ROUND(SUM(I1838:P1838),3)</f>
        <v>54.984</v>
      </c>
      <c r="H1838" s="5" t="str">
        <f aca="false">IF(G1838&gt;=評分方法!$C$16,"優先評估",IF(G1838&gt;=評分方法!$C$17,"列入候選",IF(G1838&gt;=評分方法!$C$18,"特定情境","不建議")))</f>
        <v>不建議</v>
      </c>
      <c r="I1838" s="15" t="n">
        <f aca="false">AE1838*評分方法!$C$5</f>
        <v>25.5</v>
      </c>
      <c r="J1838" s="15" t="n">
        <f aca="false">AF1838*評分方法!$C$6</f>
        <v>0</v>
      </c>
      <c r="K1838" s="15" t="n">
        <f aca="false">AG1838*評分方法!$C$7</f>
        <v>4.95</v>
      </c>
      <c r="L1838" s="15" t="n">
        <f aca="false">AH1838*評分方法!$C$8</f>
        <v>1.95</v>
      </c>
      <c r="M1838" s="15" t="n">
        <f aca="false">AI1838*評分方法!$C$9</f>
        <v>10</v>
      </c>
      <c r="N1838" s="15" t="n">
        <f aca="false">AJ1838*評分方法!$C$10</f>
        <v>2.584</v>
      </c>
      <c r="O1838" s="15" t="n">
        <f aca="false">AK1838*評分方法!$C$11</f>
        <v>5</v>
      </c>
      <c r="P1838" s="15" t="n">
        <f aca="false">AL1838*評分方法!$C$12</f>
        <v>5</v>
      </c>
      <c r="Q1838" s="6" t="n">
        <v>259883</v>
      </c>
      <c r="R1838" s="6" t="n">
        <v>353461556480</v>
      </c>
      <c r="S1838" s="11" t="s">
        <v>1616</v>
      </c>
      <c r="T1838" s="11" t="s">
        <v>239</v>
      </c>
      <c r="U1838" s="5" t="s">
        <v>240</v>
      </c>
      <c r="V1838" s="11" t="s">
        <v>261</v>
      </c>
      <c r="W1838" s="5" t="s">
        <v>334</v>
      </c>
      <c r="X1838" s="5" t="s">
        <v>284</v>
      </c>
      <c r="Y1838" s="11" t="s">
        <v>4508</v>
      </c>
      <c r="Z1838" s="11" t="s">
        <v>244</v>
      </c>
      <c r="AA1838" s="11" t="s">
        <v>155</v>
      </c>
      <c r="AB1838" s="5" t="s">
        <v>245</v>
      </c>
      <c r="AC1838" s="5" t="s">
        <v>246</v>
      </c>
      <c r="AD1838" s="11" t="s">
        <v>4509</v>
      </c>
      <c r="AE1838" s="23" t="n">
        <v>0.85</v>
      </c>
      <c r="AF1838" s="23" t="n">
        <v>0</v>
      </c>
      <c r="AG1838" s="23" t="n">
        <v>0.33</v>
      </c>
      <c r="AH1838" s="23" t="n">
        <v>0.13</v>
      </c>
      <c r="AI1838" s="23" t="n">
        <v>1</v>
      </c>
      <c r="AJ1838" s="23" t="n">
        <v>0.2584</v>
      </c>
      <c r="AK1838" s="23" t="n">
        <v>1</v>
      </c>
      <c r="AL1838" s="23" t="n">
        <v>1</v>
      </c>
      <c r="AM1838" s="16" t="n">
        <f aca="false">COUNTIFS($D$2:$D$2501,D1838,$G$2:$G$2501,"&gt;"&amp;G1838)+COUNTIFS($D$2:D1838,D1838,$G$2:G1838,G1838)</f>
        <v>863</v>
      </c>
      <c r="AN1838" s="5" t="str">
        <f aca="false">D1838&amp;"|"&amp;AM1838</f>
        <v>分析與報告生成|863</v>
      </c>
    </row>
    <row r="1839" customFormat="false" ht="17.15" hidden="false" customHeight="false" outlineLevel="0" collapsed="false">
      <c r="A1839" s="16" t="n">
        <f aca="false">RANK(G1839,$G$2:$G$2501)+COUNTIF($G$2:G1839,G1839)-1</f>
        <v>1838</v>
      </c>
      <c r="B1839" s="11" t="s">
        <v>4510</v>
      </c>
      <c r="C1839" s="11" t="s">
        <v>2693</v>
      </c>
      <c r="D1839" s="5" t="s">
        <v>74</v>
      </c>
      <c r="E1839" s="5" t="s">
        <v>75</v>
      </c>
      <c r="F1839" s="5"/>
      <c r="G1839" s="22" t="n">
        <f aca="false">ROUND(SUM(I1839:P1839),3)</f>
        <v>54.984</v>
      </c>
      <c r="H1839" s="5" t="str">
        <f aca="false">IF(G1839&gt;=評分方法!$C$16,"優先評估",IF(G1839&gt;=評分方法!$C$17,"列入候選",IF(G1839&gt;=評分方法!$C$18,"特定情境","不建議")))</f>
        <v>不建議</v>
      </c>
      <c r="I1839" s="15" t="n">
        <f aca="false">AE1839*評分方法!$C$5</f>
        <v>10.5</v>
      </c>
      <c r="J1839" s="15" t="n">
        <f aca="false">AF1839*評分方法!$C$6</f>
        <v>0</v>
      </c>
      <c r="K1839" s="15" t="n">
        <f aca="false">AG1839*評分方法!$C$7</f>
        <v>15</v>
      </c>
      <c r="L1839" s="15" t="n">
        <f aca="false">AH1839*評分方法!$C$8</f>
        <v>15</v>
      </c>
      <c r="M1839" s="15" t="n">
        <f aca="false">AI1839*評分方法!$C$9</f>
        <v>10</v>
      </c>
      <c r="N1839" s="15" t="n">
        <f aca="false">AJ1839*評分方法!$C$10</f>
        <v>0.484</v>
      </c>
      <c r="O1839" s="15" t="n">
        <f aca="false">AK1839*評分方法!$C$11</f>
        <v>2.5</v>
      </c>
      <c r="P1839" s="15" t="n">
        <f aca="false">AL1839*評分方法!$C$12</f>
        <v>1.5</v>
      </c>
      <c r="Q1839" s="6" t="n">
        <v>131803</v>
      </c>
      <c r="R1839" s="6" t="n">
        <v>86996692</v>
      </c>
      <c r="S1839" s="11" t="s">
        <v>238</v>
      </c>
      <c r="T1839" s="11" t="s">
        <v>239</v>
      </c>
      <c r="U1839" s="5" t="s">
        <v>240</v>
      </c>
      <c r="V1839" s="11" t="s">
        <v>324</v>
      </c>
      <c r="W1839" s="5" t="s">
        <v>205</v>
      </c>
      <c r="X1839" s="5" t="s">
        <v>255</v>
      </c>
      <c r="Y1839" s="5"/>
      <c r="Z1839" s="5"/>
      <c r="AA1839" s="11" t="s">
        <v>172</v>
      </c>
      <c r="AB1839" s="5" t="s">
        <v>245</v>
      </c>
      <c r="AC1839" s="5"/>
      <c r="AD1839" s="11" t="s">
        <v>4511</v>
      </c>
      <c r="AE1839" s="23" t="n">
        <v>0.35</v>
      </c>
      <c r="AF1839" s="23" t="n">
        <v>0</v>
      </c>
      <c r="AG1839" s="23" t="n">
        <v>1</v>
      </c>
      <c r="AH1839" s="23" t="n">
        <v>1</v>
      </c>
      <c r="AI1839" s="23" t="n">
        <v>1</v>
      </c>
      <c r="AJ1839" s="23" t="n">
        <v>0.0484</v>
      </c>
      <c r="AK1839" s="23" t="n">
        <v>0.5</v>
      </c>
      <c r="AL1839" s="23" t="n">
        <v>0.3</v>
      </c>
      <c r="AM1839" s="16" t="n">
        <f aca="false">COUNTIFS($D$2:$D$2501,D1839,$G$2:$G$2501,"&gt;"&amp;G1839)+COUNTIFS($D$2:D1839,D1839,$G$2:G1839,G1839)</f>
        <v>208</v>
      </c>
      <c r="AN1839" s="5" t="str">
        <f aca="false">D1839&amp;"|"&amp;AM1839</f>
        <v>文件與影像辨識|208</v>
      </c>
    </row>
    <row r="1840" customFormat="false" ht="17.15" hidden="false" customHeight="false" outlineLevel="0" collapsed="false">
      <c r="A1840" s="16" t="n">
        <f aca="false">RANK(G1840,$G$2:$G$2501)+COUNTIF($G$2:G1840,G1840)-1</f>
        <v>1839</v>
      </c>
      <c r="B1840" s="11" t="s">
        <v>4512</v>
      </c>
      <c r="C1840" s="11" t="s">
        <v>2693</v>
      </c>
      <c r="D1840" s="5" t="s">
        <v>74</v>
      </c>
      <c r="E1840" s="5" t="s">
        <v>75</v>
      </c>
      <c r="F1840" s="5"/>
      <c r="G1840" s="22" t="n">
        <f aca="false">ROUND(SUM(I1840:P1840),3)</f>
        <v>54.956</v>
      </c>
      <c r="H1840" s="5" t="str">
        <f aca="false">IF(G1840&gt;=評分方法!$C$16,"優先評估",IF(G1840&gt;=評分方法!$C$17,"列入候選",IF(G1840&gt;=評分方法!$C$18,"特定情境","不建議")))</f>
        <v>不建議</v>
      </c>
      <c r="I1840" s="15" t="n">
        <f aca="false">AE1840*評分方法!$C$5</f>
        <v>10.5</v>
      </c>
      <c r="J1840" s="15" t="n">
        <f aca="false">AF1840*評分方法!$C$6</f>
        <v>0</v>
      </c>
      <c r="K1840" s="15" t="n">
        <f aca="false">AG1840*評分方法!$C$7</f>
        <v>15</v>
      </c>
      <c r="L1840" s="15" t="n">
        <f aca="false">AH1840*評分方法!$C$8</f>
        <v>15</v>
      </c>
      <c r="M1840" s="15" t="n">
        <f aca="false">AI1840*評分方法!$C$9</f>
        <v>10</v>
      </c>
      <c r="N1840" s="15" t="n">
        <f aca="false">AJ1840*評分方法!$C$10</f>
        <v>0.456</v>
      </c>
      <c r="O1840" s="15" t="n">
        <f aca="false">AK1840*評分方法!$C$11</f>
        <v>2.5</v>
      </c>
      <c r="P1840" s="15" t="n">
        <f aca="false">AL1840*評分方法!$C$12</f>
        <v>1.5</v>
      </c>
      <c r="Q1840" s="6" t="n">
        <v>130279</v>
      </c>
      <c r="R1840" s="6" t="n">
        <v>7856232</v>
      </c>
      <c r="S1840" s="11" t="s">
        <v>238</v>
      </c>
      <c r="T1840" s="11" t="s">
        <v>239</v>
      </c>
      <c r="U1840" s="5" t="s">
        <v>240</v>
      </c>
      <c r="V1840" s="11" t="s">
        <v>324</v>
      </c>
      <c r="W1840" s="5" t="s">
        <v>205</v>
      </c>
      <c r="X1840" s="5" t="s">
        <v>255</v>
      </c>
      <c r="Y1840" s="5"/>
      <c r="Z1840" s="5"/>
      <c r="AA1840" s="11" t="s">
        <v>172</v>
      </c>
      <c r="AB1840" s="5" t="s">
        <v>245</v>
      </c>
      <c r="AC1840" s="5"/>
      <c r="AD1840" s="11" t="s">
        <v>4513</v>
      </c>
      <c r="AE1840" s="23" t="n">
        <v>0.35</v>
      </c>
      <c r="AF1840" s="23" t="n">
        <v>0</v>
      </c>
      <c r="AG1840" s="23" t="n">
        <v>1</v>
      </c>
      <c r="AH1840" s="23" t="n">
        <v>1</v>
      </c>
      <c r="AI1840" s="23" t="n">
        <v>1</v>
      </c>
      <c r="AJ1840" s="23" t="n">
        <v>0.0456</v>
      </c>
      <c r="AK1840" s="23" t="n">
        <v>0.5</v>
      </c>
      <c r="AL1840" s="23" t="n">
        <v>0.3</v>
      </c>
      <c r="AM1840" s="16" t="n">
        <f aca="false">COUNTIFS($D$2:$D$2501,D1840,$G$2:$G$2501,"&gt;"&amp;G1840)+COUNTIFS($D$2:D1840,D1840,$G$2:G1840,G1840)</f>
        <v>209</v>
      </c>
      <c r="AN1840" s="5" t="str">
        <f aca="false">D1840&amp;"|"&amp;AM1840</f>
        <v>文件與影像辨識|209</v>
      </c>
    </row>
    <row r="1841" customFormat="false" ht="17.15" hidden="false" customHeight="false" outlineLevel="0" collapsed="false">
      <c r="A1841" s="16" t="n">
        <f aca="false">RANK(G1841,$G$2:$G$2501)+COUNTIF($G$2:G1841,G1841)-1</f>
        <v>1840</v>
      </c>
      <c r="B1841" s="11" t="s">
        <v>4514</v>
      </c>
      <c r="C1841" s="11" t="s">
        <v>4515</v>
      </c>
      <c r="D1841" s="5" t="s">
        <v>56</v>
      </c>
      <c r="E1841" s="5" t="s">
        <v>57</v>
      </c>
      <c r="F1841" s="5"/>
      <c r="G1841" s="22" t="n">
        <f aca="false">ROUND(SUM(I1841:P1841),3)</f>
        <v>54.94</v>
      </c>
      <c r="H1841" s="5" t="str">
        <f aca="false">IF(G1841&gt;=評分方法!$C$16,"優先評估",IF(G1841&gt;=評分方法!$C$17,"列入候選",IF(G1841&gt;=評分方法!$C$18,"特定情境","不建議")))</f>
        <v>不建議</v>
      </c>
      <c r="I1841" s="15" t="n">
        <f aca="false">AE1841*評分方法!$C$5</f>
        <v>25.5</v>
      </c>
      <c r="J1841" s="15" t="n">
        <f aca="false">AF1841*評分方法!$C$6</f>
        <v>0</v>
      </c>
      <c r="K1841" s="15" t="n">
        <f aca="false">AG1841*評分方法!$C$7</f>
        <v>4.95</v>
      </c>
      <c r="L1841" s="15" t="n">
        <f aca="false">AH1841*評分方法!$C$8</f>
        <v>13.05</v>
      </c>
      <c r="M1841" s="15" t="n">
        <f aca="false">AI1841*評分方法!$C$9</f>
        <v>6</v>
      </c>
      <c r="N1841" s="15" t="n">
        <f aca="false">AJ1841*評分方法!$C$10</f>
        <v>2.94</v>
      </c>
      <c r="O1841" s="15" t="n">
        <f aca="false">AK1841*評分方法!$C$11</f>
        <v>2.5</v>
      </c>
      <c r="P1841" s="15" t="n">
        <f aca="false">AL1841*評分方法!$C$12</f>
        <v>0</v>
      </c>
      <c r="Q1841" s="6" t="n">
        <v>289612</v>
      </c>
      <c r="R1841" s="6" t="n">
        <v>8480007232</v>
      </c>
      <c r="S1841" s="11" t="s">
        <v>254</v>
      </c>
      <c r="T1841" s="11" t="s">
        <v>1177</v>
      </c>
      <c r="U1841" s="5" t="s">
        <v>260</v>
      </c>
      <c r="V1841" s="11" t="s">
        <v>261</v>
      </c>
      <c r="W1841" s="5" t="s">
        <v>334</v>
      </c>
      <c r="X1841" s="5" t="s">
        <v>242</v>
      </c>
      <c r="Y1841" s="11" t="s">
        <v>4516</v>
      </c>
      <c r="Z1841" s="11" t="s">
        <v>270</v>
      </c>
      <c r="AA1841" s="11" t="s">
        <v>156</v>
      </c>
      <c r="AB1841" s="5" t="s">
        <v>245</v>
      </c>
      <c r="AC1841" s="5" t="s">
        <v>262</v>
      </c>
      <c r="AD1841" s="11" t="s">
        <v>4517</v>
      </c>
      <c r="AE1841" s="23" t="n">
        <v>0.85</v>
      </c>
      <c r="AF1841" s="23" t="n">
        <v>0</v>
      </c>
      <c r="AG1841" s="23" t="n">
        <v>0.33</v>
      </c>
      <c r="AH1841" s="23" t="n">
        <v>0.87</v>
      </c>
      <c r="AI1841" s="23" t="n">
        <v>0.6</v>
      </c>
      <c r="AJ1841" s="23" t="n">
        <v>0.294</v>
      </c>
      <c r="AK1841" s="23" t="n">
        <v>0.5</v>
      </c>
      <c r="AL1841" s="23" t="n">
        <v>0</v>
      </c>
      <c r="AM1841" s="16" t="n">
        <f aca="false">COUNTIFS($D$2:$D$2501,D1841,$G$2:$G$2501,"&gt;"&amp;G1841)+COUNTIFS($D$2:D1841,D1841,$G$2:G1841,G1841)</f>
        <v>864</v>
      </c>
      <c r="AN1841" s="5" t="str">
        <f aca="false">D1841&amp;"|"&amp;AM1841</f>
        <v>分析與報告生成|864</v>
      </c>
    </row>
    <row r="1842" customFormat="false" ht="17.15" hidden="false" customHeight="false" outlineLevel="0" collapsed="false">
      <c r="A1842" s="16" t="n">
        <f aca="false">RANK(G1842,$G$2:$G$2501)+COUNTIF($G$2:G1842,G1842)-1</f>
        <v>1841</v>
      </c>
      <c r="B1842" s="11" t="s">
        <v>4518</v>
      </c>
      <c r="C1842" s="11" t="s">
        <v>368</v>
      </c>
      <c r="D1842" s="5" t="s">
        <v>78</v>
      </c>
      <c r="E1842" s="5" t="s">
        <v>79</v>
      </c>
      <c r="F1842" s="5"/>
      <c r="G1842" s="22" t="n">
        <f aca="false">ROUND(SUM(I1842:P1842),3)</f>
        <v>54.92</v>
      </c>
      <c r="H1842" s="5" t="str">
        <f aca="false">IF(G1842&gt;=評分方法!$C$16,"優先評估",IF(G1842&gt;=評分方法!$C$17,"列入候選",IF(G1842&gt;=評分方法!$C$18,"特定情境","不建議")))</f>
        <v>不建議</v>
      </c>
      <c r="I1842" s="15" t="n">
        <f aca="false">AE1842*評分方法!$C$5</f>
        <v>9</v>
      </c>
      <c r="J1842" s="15" t="n">
        <f aca="false">AF1842*評分方法!$C$6</f>
        <v>0</v>
      </c>
      <c r="K1842" s="15" t="n">
        <f aca="false">AG1842*評分方法!$C$7</f>
        <v>15</v>
      </c>
      <c r="L1842" s="15" t="n">
        <f aca="false">AH1842*評分方法!$C$8</f>
        <v>15</v>
      </c>
      <c r="M1842" s="15" t="n">
        <f aca="false">AI1842*評分方法!$C$9</f>
        <v>6</v>
      </c>
      <c r="N1842" s="15" t="n">
        <f aca="false">AJ1842*評分方法!$C$10</f>
        <v>4.92</v>
      </c>
      <c r="O1842" s="15" t="n">
        <f aca="false">AK1842*評分方法!$C$11</f>
        <v>5</v>
      </c>
      <c r="P1842" s="15" t="n">
        <f aca="false">AL1842*評分方法!$C$12</f>
        <v>0</v>
      </c>
      <c r="Q1842" s="6" t="n">
        <v>531344</v>
      </c>
      <c r="R1842" s="6" t="n">
        <v>105282816</v>
      </c>
      <c r="S1842" s="11" t="s">
        <v>238</v>
      </c>
      <c r="T1842" s="11" t="s">
        <v>185</v>
      </c>
      <c r="U1842" s="5" t="s">
        <v>260</v>
      </c>
      <c r="V1842" s="11" t="s">
        <v>261</v>
      </c>
      <c r="W1842" s="5" t="s">
        <v>205</v>
      </c>
      <c r="X1842" s="5" t="s">
        <v>242</v>
      </c>
      <c r="Y1842" s="5"/>
      <c r="Z1842" s="5"/>
      <c r="AA1842" s="11" t="s">
        <v>175</v>
      </c>
      <c r="AB1842" s="5" t="s">
        <v>245</v>
      </c>
      <c r="AC1842" s="5" t="s">
        <v>262</v>
      </c>
      <c r="AD1842" s="11" t="s">
        <v>4519</v>
      </c>
      <c r="AE1842" s="23" t="n">
        <v>0.3</v>
      </c>
      <c r="AF1842" s="23" t="n">
        <v>0</v>
      </c>
      <c r="AG1842" s="23" t="n">
        <v>1</v>
      </c>
      <c r="AH1842" s="23" t="n">
        <v>1</v>
      </c>
      <c r="AI1842" s="23" t="n">
        <v>0.6</v>
      </c>
      <c r="AJ1842" s="23" t="n">
        <v>0.492</v>
      </c>
      <c r="AK1842" s="23" t="n">
        <v>1</v>
      </c>
      <c r="AL1842" s="23" t="n">
        <v>0</v>
      </c>
      <c r="AM1842" s="16" t="n">
        <f aca="false">COUNTIFS($D$2:$D$2501,D1842,$G$2:$G$2501,"&gt;"&amp;G1842)+COUNTIFS($D$2:D1842,D1842,$G$2:G1842,G1842)</f>
        <v>44</v>
      </c>
      <c r="AN1842" s="5" t="str">
        <f aca="false">D1842&amp;"|"&amp;AM1842</f>
        <v>語音分析|44</v>
      </c>
    </row>
    <row r="1843" customFormat="false" ht="17.15" hidden="false" customHeight="false" outlineLevel="0" collapsed="false">
      <c r="A1843" s="16" t="n">
        <f aca="false">RANK(G1843,$G$2:$G$2501)+COUNTIF($G$2:G1843,G1843)-1</f>
        <v>1842</v>
      </c>
      <c r="B1843" s="11" t="s">
        <v>4520</v>
      </c>
      <c r="C1843" s="11" t="s">
        <v>2920</v>
      </c>
      <c r="D1843" s="5" t="s">
        <v>56</v>
      </c>
      <c r="E1843" s="5" t="s">
        <v>57</v>
      </c>
      <c r="F1843" s="5"/>
      <c r="G1843" s="22" t="n">
        <f aca="false">ROUND(SUM(I1843:P1843),3)</f>
        <v>54.92</v>
      </c>
      <c r="H1843" s="5" t="str">
        <f aca="false">IF(G1843&gt;=評分方法!$C$16,"優先評估",IF(G1843&gt;=評分方法!$C$17,"列入候選",IF(G1843&gt;=評分方法!$C$18,"特定情境","不建議")))</f>
        <v>不建議</v>
      </c>
      <c r="I1843" s="15" t="n">
        <f aca="false">AE1843*評分方法!$C$5</f>
        <v>25.5</v>
      </c>
      <c r="J1843" s="15" t="n">
        <f aca="false">AF1843*評分方法!$C$6</f>
        <v>0</v>
      </c>
      <c r="K1843" s="15" t="n">
        <f aca="false">AG1843*評分方法!$C$7</f>
        <v>4.95</v>
      </c>
      <c r="L1843" s="15" t="n">
        <f aca="false">AH1843*評分方法!$C$8</f>
        <v>13.05</v>
      </c>
      <c r="M1843" s="15" t="n">
        <f aca="false">AI1843*評分方法!$C$9</f>
        <v>2</v>
      </c>
      <c r="N1843" s="15" t="n">
        <f aca="false">AJ1843*評分方法!$C$10</f>
        <v>1.42</v>
      </c>
      <c r="O1843" s="15" t="n">
        <f aca="false">AK1843*評分方法!$C$11</f>
        <v>5</v>
      </c>
      <c r="P1843" s="15" t="n">
        <f aca="false">AL1843*評分方法!$C$12</f>
        <v>3</v>
      </c>
      <c r="Q1843" s="6" t="n">
        <v>175071</v>
      </c>
      <c r="R1843" s="6" t="n">
        <v>1114977792</v>
      </c>
      <c r="S1843" s="11" t="s">
        <v>254</v>
      </c>
      <c r="T1843" s="5"/>
      <c r="U1843" s="5" t="s">
        <v>375</v>
      </c>
      <c r="V1843" s="11" t="s">
        <v>261</v>
      </c>
      <c r="W1843" s="5" t="s">
        <v>334</v>
      </c>
      <c r="X1843" s="5" t="s">
        <v>371</v>
      </c>
      <c r="Y1843" s="11" t="s">
        <v>4521</v>
      </c>
      <c r="Z1843" s="11" t="s">
        <v>270</v>
      </c>
      <c r="AA1843" s="11" t="s">
        <v>155</v>
      </c>
      <c r="AB1843" s="5" t="s">
        <v>496</v>
      </c>
      <c r="AC1843" s="5" t="s">
        <v>1330</v>
      </c>
      <c r="AD1843" s="11" t="s">
        <v>4522</v>
      </c>
      <c r="AE1843" s="23" t="n">
        <v>0.85</v>
      </c>
      <c r="AF1843" s="23" t="n">
        <v>0</v>
      </c>
      <c r="AG1843" s="23" t="n">
        <v>0.33</v>
      </c>
      <c r="AH1843" s="23" t="n">
        <v>0.87</v>
      </c>
      <c r="AI1843" s="23" t="n">
        <v>0.2</v>
      </c>
      <c r="AJ1843" s="23" t="n">
        <v>0.142</v>
      </c>
      <c r="AK1843" s="23" t="n">
        <v>1</v>
      </c>
      <c r="AL1843" s="23" t="n">
        <v>0.6</v>
      </c>
      <c r="AM1843" s="16" t="n">
        <f aca="false">COUNTIFS($D$2:$D$2501,D1843,$G$2:$G$2501,"&gt;"&amp;G1843)+COUNTIFS($D$2:D1843,D1843,$G$2:G1843,G1843)</f>
        <v>865</v>
      </c>
      <c r="AN1843" s="5" t="str">
        <f aca="false">D1843&amp;"|"&amp;AM1843</f>
        <v>分析與報告生成|865</v>
      </c>
    </row>
    <row r="1844" customFormat="false" ht="17.15" hidden="false" customHeight="false" outlineLevel="0" collapsed="false">
      <c r="A1844" s="16" t="n">
        <f aca="false">RANK(G1844,$G$2:$G$2501)+COUNTIF($G$2:G1844,G1844)-1</f>
        <v>1843</v>
      </c>
      <c r="B1844" s="11" t="s">
        <v>4523</v>
      </c>
      <c r="C1844" s="11" t="s">
        <v>675</v>
      </c>
      <c r="D1844" s="5" t="s">
        <v>56</v>
      </c>
      <c r="E1844" s="5" t="s">
        <v>57</v>
      </c>
      <c r="F1844" s="5"/>
      <c r="G1844" s="22" t="n">
        <f aca="false">ROUND(SUM(I1844:P1844),3)</f>
        <v>54.9</v>
      </c>
      <c r="H1844" s="5" t="str">
        <f aca="false">IF(G1844&gt;=評分方法!$C$16,"優先評估",IF(G1844&gt;=評分方法!$C$17,"列入候選",IF(G1844&gt;=評分方法!$C$18,"特定情境","不建議")))</f>
        <v>不建議</v>
      </c>
      <c r="I1844" s="15" t="n">
        <f aca="false">AE1844*評分方法!$C$5</f>
        <v>18</v>
      </c>
      <c r="J1844" s="15" t="n">
        <f aca="false">AF1844*評分方法!$C$6</f>
        <v>0</v>
      </c>
      <c r="K1844" s="15" t="n">
        <f aca="false">AG1844*評分方法!$C$7</f>
        <v>15</v>
      </c>
      <c r="L1844" s="15" t="n">
        <f aca="false">AH1844*評分方法!$C$8</f>
        <v>9</v>
      </c>
      <c r="M1844" s="15" t="n">
        <f aca="false">AI1844*評分方法!$C$9</f>
        <v>10</v>
      </c>
      <c r="N1844" s="15" t="n">
        <f aca="false">AJ1844*評分方法!$C$10</f>
        <v>1.9</v>
      </c>
      <c r="O1844" s="15" t="n">
        <f aca="false">AK1844*評分方法!$C$11</f>
        <v>1</v>
      </c>
      <c r="P1844" s="15" t="n">
        <f aca="false">AL1844*評分方法!$C$12</f>
        <v>0</v>
      </c>
      <c r="Q1844" s="6" t="n">
        <v>202218</v>
      </c>
      <c r="R1844" s="6" t="n">
        <v>11135332352</v>
      </c>
      <c r="S1844" s="11" t="s">
        <v>389</v>
      </c>
      <c r="T1844" s="11" t="s">
        <v>239</v>
      </c>
      <c r="U1844" s="5" t="s">
        <v>240</v>
      </c>
      <c r="V1844" s="11" t="s">
        <v>324</v>
      </c>
      <c r="W1844" s="5" t="s">
        <v>205</v>
      </c>
      <c r="X1844" s="5" t="s">
        <v>242</v>
      </c>
      <c r="Y1844" s="5"/>
      <c r="Z1844" s="5"/>
      <c r="AA1844" s="11" t="s">
        <v>161</v>
      </c>
      <c r="AB1844" s="5" t="s">
        <v>983</v>
      </c>
      <c r="AC1844" s="5" t="s">
        <v>984</v>
      </c>
      <c r="AD1844" s="11" t="s">
        <v>4524</v>
      </c>
      <c r="AE1844" s="23" t="n">
        <v>0.6</v>
      </c>
      <c r="AF1844" s="23" t="n">
        <v>0</v>
      </c>
      <c r="AG1844" s="23" t="n">
        <v>1</v>
      </c>
      <c r="AH1844" s="23" t="n">
        <v>0.6</v>
      </c>
      <c r="AI1844" s="23" t="n">
        <v>1</v>
      </c>
      <c r="AJ1844" s="23" t="n">
        <v>0.19</v>
      </c>
      <c r="AK1844" s="23" t="n">
        <v>0.2</v>
      </c>
      <c r="AL1844" s="23" t="n">
        <v>0</v>
      </c>
      <c r="AM1844" s="16" t="n">
        <f aca="false">COUNTIFS($D$2:$D$2501,D1844,$G$2:$G$2501,"&gt;"&amp;G1844)+COUNTIFS($D$2:D1844,D1844,$G$2:G1844,G1844)</f>
        <v>866</v>
      </c>
      <c r="AN1844" s="5" t="str">
        <f aca="false">D1844&amp;"|"&amp;AM1844</f>
        <v>分析與報告生成|866</v>
      </c>
    </row>
    <row r="1845" customFormat="false" ht="17.15" hidden="false" customHeight="false" outlineLevel="0" collapsed="false">
      <c r="A1845" s="16" t="n">
        <f aca="false">RANK(G1845,$G$2:$G$2501)+COUNTIF($G$2:G1845,G1845)-1</f>
        <v>1844</v>
      </c>
      <c r="B1845" s="11" t="s">
        <v>4525</v>
      </c>
      <c r="C1845" s="11" t="s">
        <v>368</v>
      </c>
      <c r="D1845" s="5" t="s">
        <v>74</v>
      </c>
      <c r="E1845" s="5" t="s">
        <v>75</v>
      </c>
      <c r="F1845" s="5"/>
      <c r="G1845" s="22" t="n">
        <f aca="false">ROUND(SUM(I1845:P1845),3)</f>
        <v>54.9</v>
      </c>
      <c r="H1845" s="5" t="str">
        <f aca="false">IF(G1845&gt;=評分方法!$C$16,"優先評估",IF(G1845&gt;=評分方法!$C$17,"列入候選",IF(G1845&gt;=評分方法!$C$18,"特定情境","不建議")))</f>
        <v>不建議</v>
      </c>
      <c r="I1845" s="15" t="n">
        <f aca="false">AE1845*評分方法!$C$5</f>
        <v>12</v>
      </c>
      <c r="J1845" s="15" t="n">
        <f aca="false">AF1845*評分方法!$C$6</f>
        <v>0</v>
      </c>
      <c r="K1845" s="15" t="n">
        <f aca="false">AG1845*評分方法!$C$7</f>
        <v>15</v>
      </c>
      <c r="L1845" s="15" t="n">
        <f aca="false">AH1845*評分方法!$C$8</f>
        <v>15</v>
      </c>
      <c r="M1845" s="15" t="n">
        <f aca="false">AI1845*評分方法!$C$9</f>
        <v>10</v>
      </c>
      <c r="N1845" s="15" t="n">
        <f aca="false">AJ1845*評分方法!$C$10</f>
        <v>0.4</v>
      </c>
      <c r="O1845" s="15" t="n">
        <f aca="false">AK1845*評分方法!$C$11</f>
        <v>1</v>
      </c>
      <c r="P1845" s="15" t="n">
        <f aca="false">AL1845*評分方法!$C$12</f>
        <v>1.5</v>
      </c>
      <c r="Q1845" s="6" t="n">
        <v>128354</v>
      </c>
      <c r="R1845" s="6" t="n">
        <v>877360306</v>
      </c>
      <c r="S1845" s="11" t="s">
        <v>238</v>
      </c>
      <c r="T1845" s="11" t="s">
        <v>239</v>
      </c>
      <c r="U1845" s="5" t="s">
        <v>240</v>
      </c>
      <c r="V1845" s="11" t="s">
        <v>261</v>
      </c>
      <c r="W1845" s="5" t="s">
        <v>205</v>
      </c>
      <c r="X1845" s="5" t="s">
        <v>255</v>
      </c>
      <c r="Y1845" s="5"/>
      <c r="Z1845" s="5"/>
      <c r="AA1845" s="11" t="s">
        <v>167</v>
      </c>
      <c r="AB1845" s="5" t="s">
        <v>245</v>
      </c>
      <c r="AC1845" s="5"/>
      <c r="AD1845" s="11" t="s">
        <v>4526</v>
      </c>
      <c r="AE1845" s="23" t="n">
        <v>0.4</v>
      </c>
      <c r="AF1845" s="23" t="n">
        <v>0</v>
      </c>
      <c r="AG1845" s="23" t="n">
        <v>1</v>
      </c>
      <c r="AH1845" s="23" t="n">
        <v>1</v>
      </c>
      <c r="AI1845" s="23" t="n">
        <v>1</v>
      </c>
      <c r="AJ1845" s="23" t="n">
        <v>0.04</v>
      </c>
      <c r="AK1845" s="23" t="n">
        <v>0.2</v>
      </c>
      <c r="AL1845" s="23" t="n">
        <v>0.3</v>
      </c>
      <c r="AM1845" s="16" t="n">
        <f aca="false">COUNTIFS($D$2:$D$2501,D1845,$G$2:$G$2501,"&gt;"&amp;G1845)+COUNTIFS($D$2:D1845,D1845,$G$2:G1845,G1845)</f>
        <v>210</v>
      </c>
      <c r="AN1845" s="5" t="str">
        <f aca="false">D1845&amp;"|"&amp;AM1845</f>
        <v>文件與影像辨識|210</v>
      </c>
    </row>
    <row r="1846" customFormat="false" ht="17.15" hidden="false" customHeight="false" outlineLevel="0" collapsed="false">
      <c r="A1846" s="16" t="n">
        <f aca="false">RANK(G1846,$G$2:$G$2501)+COUNTIF($G$2:G1846,G1846)-1</f>
        <v>1845</v>
      </c>
      <c r="B1846" s="11" t="s">
        <v>4527</v>
      </c>
      <c r="C1846" s="11" t="s">
        <v>989</v>
      </c>
      <c r="D1846" s="5" t="s">
        <v>56</v>
      </c>
      <c r="E1846" s="5" t="s">
        <v>57</v>
      </c>
      <c r="F1846" s="5"/>
      <c r="G1846" s="22" t="n">
        <f aca="false">ROUND(SUM(I1846:P1846),3)</f>
        <v>54.886</v>
      </c>
      <c r="H1846" s="5" t="str">
        <f aca="false">IF(G1846&gt;=評分方法!$C$16,"優先評估",IF(G1846&gt;=評分方法!$C$17,"列入候選",IF(G1846&gt;=評分方法!$C$18,"特定情境","不建議")))</f>
        <v>不建議</v>
      </c>
      <c r="I1846" s="15" t="n">
        <f aca="false">AE1846*評分方法!$C$5</f>
        <v>25.5</v>
      </c>
      <c r="J1846" s="15" t="n">
        <f aca="false">AF1846*評分方法!$C$6</f>
        <v>0</v>
      </c>
      <c r="K1846" s="15" t="n">
        <f aca="false">AG1846*評分方法!$C$7</f>
        <v>10.05</v>
      </c>
      <c r="L1846" s="15" t="n">
        <f aca="false">AH1846*評分方法!$C$8</f>
        <v>9</v>
      </c>
      <c r="M1846" s="15" t="n">
        <f aca="false">AI1846*評分方法!$C$9</f>
        <v>2</v>
      </c>
      <c r="N1846" s="15" t="n">
        <f aca="false">AJ1846*評分方法!$C$10</f>
        <v>1.336</v>
      </c>
      <c r="O1846" s="15" t="n">
        <f aca="false">AK1846*評分方法!$C$11</f>
        <v>4</v>
      </c>
      <c r="P1846" s="15" t="n">
        <f aca="false">AL1846*評分方法!$C$12</f>
        <v>3</v>
      </c>
      <c r="Q1846" s="6" t="n">
        <v>170461</v>
      </c>
      <c r="R1846" s="6" t="n">
        <v>23572403200</v>
      </c>
      <c r="S1846" s="11" t="s">
        <v>389</v>
      </c>
      <c r="T1846" s="5"/>
      <c r="U1846" s="5" t="s">
        <v>375</v>
      </c>
      <c r="V1846" s="11" t="s">
        <v>333</v>
      </c>
      <c r="W1846" s="5" t="s">
        <v>207</v>
      </c>
      <c r="X1846" s="5" t="s">
        <v>371</v>
      </c>
      <c r="Y1846" s="11" t="s">
        <v>4528</v>
      </c>
      <c r="Z1846" s="11" t="s">
        <v>244</v>
      </c>
      <c r="AA1846" s="11" t="s">
        <v>155</v>
      </c>
      <c r="AB1846" s="5" t="s">
        <v>245</v>
      </c>
      <c r="AC1846" s="5" t="s">
        <v>464</v>
      </c>
      <c r="AD1846" s="11" t="s">
        <v>4529</v>
      </c>
      <c r="AE1846" s="23" t="n">
        <v>0.85</v>
      </c>
      <c r="AF1846" s="23" t="n">
        <v>0</v>
      </c>
      <c r="AG1846" s="23" t="n">
        <v>0.67</v>
      </c>
      <c r="AH1846" s="23" t="n">
        <v>0.6</v>
      </c>
      <c r="AI1846" s="23" t="n">
        <v>0.2</v>
      </c>
      <c r="AJ1846" s="23" t="n">
        <v>0.1336</v>
      </c>
      <c r="AK1846" s="23" t="n">
        <v>0.8</v>
      </c>
      <c r="AL1846" s="23" t="n">
        <v>0.6</v>
      </c>
      <c r="AM1846" s="16" t="n">
        <f aca="false">COUNTIFS($D$2:$D$2501,D1846,$G$2:$G$2501,"&gt;"&amp;G1846)+COUNTIFS($D$2:D1846,D1846,$G$2:G1846,G1846)</f>
        <v>867</v>
      </c>
      <c r="AN1846" s="5" t="str">
        <f aca="false">D1846&amp;"|"&amp;AM1846</f>
        <v>分析與報告生成|867</v>
      </c>
    </row>
    <row r="1847" customFormat="false" ht="17.15" hidden="false" customHeight="false" outlineLevel="0" collapsed="false">
      <c r="A1847" s="16" t="n">
        <f aca="false">RANK(G1847,$G$2:$G$2501)+COUNTIF($G$2:G1847,G1847)-1</f>
        <v>1846</v>
      </c>
      <c r="B1847" s="11" t="s">
        <v>4530</v>
      </c>
      <c r="C1847" s="11" t="s">
        <v>253</v>
      </c>
      <c r="D1847" s="5" t="s">
        <v>78</v>
      </c>
      <c r="E1847" s="5" t="s">
        <v>79</v>
      </c>
      <c r="F1847" s="5"/>
      <c r="G1847" s="22" t="n">
        <f aca="false">ROUND(SUM(I1847:P1847),3)</f>
        <v>54.882</v>
      </c>
      <c r="H1847" s="5" t="str">
        <f aca="false">IF(G1847&gt;=評分方法!$C$16,"優先評估",IF(G1847&gt;=評分方法!$C$17,"列入候選",IF(G1847&gt;=評分方法!$C$18,"特定情境","不建議")))</f>
        <v>不建議</v>
      </c>
      <c r="I1847" s="15" t="n">
        <f aca="false">AE1847*評分方法!$C$5</f>
        <v>9</v>
      </c>
      <c r="J1847" s="15" t="n">
        <f aca="false">AF1847*評分方法!$C$6</f>
        <v>0</v>
      </c>
      <c r="K1847" s="15" t="n">
        <f aca="false">AG1847*評分方法!$C$7</f>
        <v>15</v>
      </c>
      <c r="L1847" s="15" t="n">
        <f aca="false">AH1847*評分方法!$C$8</f>
        <v>13.05</v>
      </c>
      <c r="M1847" s="15" t="n">
        <f aca="false">AI1847*評分方法!$C$9</f>
        <v>10</v>
      </c>
      <c r="N1847" s="15" t="n">
        <f aca="false">AJ1847*評分方法!$C$10</f>
        <v>1.832</v>
      </c>
      <c r="O1847" s="15" t="n">
        <f aca="false">AK1847*評分方法!$C$11</f>
        <v>1</v>
      </c>
      <c r="P1847" s="15" t="n">
        <f aca="false">AL1847*評分方法!$C$12</f>
        <v>5</v>
      </c>
      <c r="Q1847" s="6" t="n">
        <v>198197</v>
      </c>
      <c r="R1847" s="6" t="n">
        <v>1543304960</v>
      </c>
      <c r="S1847" s="11" t="s">
        <v>254</v>
      </c>
      <c r="T1847" s="11" t="s">
        <v>239</v>
      </c>
      <c r="U1847" s="5" t="s">
        <v>240</v>
      </c>
      <c r="V1847" s="11" t="s">
        <v>279</v>
      </c>
      <c r="W1847" s="5" t="s">
        <v>205</v>
      </c>
      <c r="X1847" s="5" t="s">
        <v>284</v>
      </c>
      <c r="Y1847" s="5"/>
      <c r="Z1847" s="5"/>
      <c r="AA1847" s="11" t="s">
        <v>175</v>
      </c>
      <c r="AB1847" s="5" t="s">
        <v>245</v>
      </c>
      <c r="AC1847" s="5"/>
      <c r="AD1847" s="11" t="s">
        <v>4531</v>
      </c>
      <c r="AE1847" s="23" t="n">
        <v>0.3</v>
      </c>
      <c r="AF1847" s="23" t="n">
        <v>0</v>
      </c>
      <c r="AG1847" s="23" t="n">
        <v>1</v>
      </c>
      <c r="AH1847" s="23" t="n">
        <v>0.87</v>
      </c>
      <c r="AI1847" s="23" t="n">
        <v>1</v>
      </c>
      <c r="AJ1847" s="23" t="n">
        <v>0.1832</v>
      </c>
      <c r="AK1847" s="23" t="n">
        <v>0.2</v>
      </c>
      <c r="AL1847" s="23" t="n">
        <v>1</v>
      </c>
      <c r="AM1847" s="16" t="n">
        <f aca="false">COUNTIFS($D$2:$D$2501,D1847,$G$2:$G$2501,"&gt;"&amp;G1847)+COUNTIFS($D$2:D1847,D1847,$G$2:G1847,G1847)</f>
        <v>45</v>
      </c>
      <c r="AN1847" s="5" t="str">
        <f aca="false">D1847&amp;"|"&amp;AM1847</f>
        <v>語音分析|45</v>
      </c>
    </row>
    <row r="1848" customFormat="false" ht="17.15" hidden="false" customHeight="false" outlineLevel="0" collapsed="false">
      <c r="A1848" s="16" t="n">
        <f aca="false">RANK(G1848,$G$2:$G$2501)+COUNTIF($G$2:G1848,G1848)-1</f>
        <v>1847</v>
      </c>
      <c r="B1848" s="11" t="s">
        <v>4532</v>
      </c>
      <c r="C1848" s="11" t="s">
        <v>681</v>
      </c>
      <c r="D1848" s="5" t="s">
        <v>74</v>
      </c>
      <c r="E1848" s="5" t="s">
        <v>75</v>
      </c>
      <c r="F1848" s="5"/>
      <c r="G1848" s="22" t="n">
        <f aca="false">ROUND(SUM(I1848:P1848),3)</f>
        <v>54.872</v>
      </c>
      <c r="H1848" s="5" t="str">
        <f aca="false">IF(G1848&gt;=評分方法!$C$16,"優先評估",IF(G1848&gt;=評分方法!$C$17,"列入候選",IF(G1848&gt;=評分方法!$C$18,"特定情境","不建議")))</f>
        <v>不建議</v>
      </c>
      <c r="I1848" s="15" t="n">
        <f aca="false">AE1848*評分方法!$C$5</f>
        <v>10.5</v>
      </c>
      <c r="J1848" s="15" t="n">
        <f aca="false">AF1848*評分方法!$C$6</f>
        <v>0</v>
      </c>
      <c r="K1848" s="15" t="n">
        <f aca="false">AG1848*評分方法!$C$7</f>
        <v>15</v>
      </c>
      <c r="L1848" s="15" t="n">
        <f aca="false">AH1848*評分方法!$C$8</f>
        <v>15</v>
      </c>
      <c r="M1848" s="15" t="n">
        <f aca="false">AI1848*評分方法!$C$9</f>
        <v>6</v>
      </c>
      <c r="N1848" s="15" t="n">
        <f aca="false">AJ1848*評分方法!$C$10</f>
        <v>5.872</v>
      </c>
      <c r="O1848" s="15" t="n">
        <f aca="false">AK1848*評分方法!$C$11</f>
        <v>2.5</v>
      </c>
      <c r="P1848" s="15" t="n">
        <f aca="false">AL1848*評分方法!$C$12</f>
        <v>0</v>
      </c>
      <c r="Q1848" s="6" t="n">
        <v>604823</v>
      </c>
      <c r="R1848" s="6" t="n">
        <v>28692864</v>
      </c>
      <c r="S1848" s="11" t="s">
        <v>238</v>
      </c>
      <c r="T1848" s="11" t="s">
        <v>185</v>
      </c>
      <c r="U1848" s="5" t="s">
        <v>260</v>
      </c>
      <c r="V1848" s="11" t="s">
        <v>261</v>
      </c>
      <c r="W1848" s="5" t="s">
        <v>205</v>
      </c>
      <c r="X1848" s="5" t="s">
        <v>242</v>
      </c>
      <c r="Y1848" s="11" t="s">
        <v>3942</v>
      </c>
      <c r="Z1848" s="11" t="s">
        <v>270</v>
      </c>
      <c r="AA1848" s="11" t="s">
        <v>173</v>
      </c>
      <c r="AB1848" s="5" t="s">
        <v>245</v>
      </c>
      <c r="AC1848" s="5" t="s">
        <v>262</v>
      </c>
      <c r="AD1848" s="11" t="s">
        <v>4533</v>
      </c>
      <c r="AE1848" s="23" t="n">
        <v>0.35</v>
      </c>
      <c r="AF1848" s="23" t="n">
        <v>0</v>
      </c>
      <c r="AG1848" s="23" t="n">
        <v>1</v>
      </c>
      <c r="AH1848" s="23" t="n">
        <v>1</v>
      </c>
      <c r="AI1848" s="23" t="n">
        <v>0.6</v>
      </c>
      <c r="AJ1848" s="23" t="n">
        <v>0.5872</v>
      </c>
      <c r="AK1848" s="23" t="n">
        <v>0.5</v>
      </c>
      <c r="AL1848" s="23" t="n">
        <v>0</v>
      </c>
      <c r="AM1848" s="16" t="n">
        <f aca="false">COUNTIFS($D$2:$D$2501,D1848,$G$2:$G$2501,"&gt;"&amp;G1848)+COUNTIFS($D$2:D1848,D1848,$G$2:G1848,G1848)</f>
        <v>211</v>
      </c>
      <c r="AN1848" s="5" t="str">
        <f aca="false">D1848&amp;"|"&amp;AM1848</f>
        <v>文件與影像辨識|211</v>
      </c>
    </row>
    <row r="1849" customFormat="false" ht="17.15" hidden="false" customHeight="false" outlineLevel="0" collapsed="false">
      <c r="A1849" s="16" t="n">
        <f aca="false">RANK(G1849,$G$2:$G$2501)+COUNTIF($G$2:G1849,G1849)-1</f>
        <v>1848</v>
      </c>
      <c r="B1849" s="11" t="s">
        <v>4534</v>
      </c>
      <c r="C1849" s="11" t="s">
        <v>2693</v>
      </c>
      <c r="D1849" s="5" t="s">
        <v>74</v>
      </c>
      <c r="E1849" s="5" t="s">
        <v>75</v>
      </c>
      <c r="F1849" s="5"/>
      <c r="G1849" s="22" t="n">
        <f aca="false">ROUND(SUM(I1849:P1849),3)</f>
        <v>54.848</v>
      </c>
      <c r="H1849" s="5" t="str">
        <f aca="false">IF(G1849&gt;=評分方法!$C$16,"優先評估",IF(G1849&gt;=評分方法!$C$17,"列入候選",IF(G1849&gt;=評分方法!$C$18,"特定情境","不建議")))</f>
        <v>不建議</v>
      </c>
      <c r="I1849" s="15" t="n">
        <f aca="false">AE1849*評分方法!$C$5</f>
        <v>10.5</v>
      </c>
      <c r="J1849" s="15" t="n">
        <f aca="false">AF1849*評分方法!$C$6</f>
        <v>0</v>
      </c>
      <c r="K1849" s="15" t="n">
        <f aca="false">AG1849*評分方法!$C$7</f>
        <v>15</v>
      </c>
      <c r="L1849" s="15" t="n">
        <f aca="false">AH1849*評分方法!$C$8</f>
        <v>15</v>
      </c>
      <c r="M1849" s="15" t="n">
        <f aca="false">AI1849*評分方法!$C$9</f>
        <v>10</v>
      </c>
      <c r="N1849" s="15" t="n">
        <f aca="false">AJ1849*評分方法!$C$10</f>
        <v>0.348</v>
      </c>
      <c r="O1849" s="15" t="n">
        <f aca="false">AK1849*評分方法!$C$11</f>
        <v>2.5</v>
      </c>
      <c r="P1849" s="15" t="n">
        <f aca="false">AL1849*評分方法!$C$12</f>
        <v>1.5</v>
      </c>
      <c r="Q1849" s="6" t="n">
        <v>125988</v>
      </c>
      <c r="R1849" s="6" t="n">
        <v>85798656</v>
      </c>
      <c r="S1849" s="11" t="s">
        <v>238</v>
      </c>
      <c r="T1849" s="11" t="s">
        <v>239</v>
      </c>
      <c r="U1849" s="5" t="s">
        <v>240</v>
      </c>
      <c r="V1849" s="11" t="s">
        <v>324</v>
      </c>
      <c r="W1849" s="5" t="s">
        <v>205</v>
      </c>
      <c r="X1849" s="5" t="s">
        <v>255</v>
      </c>
      <c r="Y1849" s="5"/>
      <c r="Z1849" s="5"/>
      <c r="AA1849" s="11" t="s">
        <v>173</v>
      </c>
      <c r="AB1849" s="5" t="s">
        <v>245</v>
      </c>
      <c r="AC1849" s="5"/>
      <c r="AD1849" s="11" t="s">
        <v>4535</v>
      </c>
      <c r="AE1849" s="23" t="n">
        <v>0.35</v>
      </c>
      <c r="AF1849" s="23" t="n">
        <v>0</v>
      </c>
      <c r="AG1849" s="23" t="n">
        <v>1</v>
      </c>
      <c r="AH1849" s="23" t="n">
        <v>1</v>
      </c>
      <c r="AI1849" s="23" t="n">
        <v>1</v>
      </c>
      <c r="AJ1849" s="23" t="n">
        <v>0.0348</v>
      </c>
      <c r="AK1849" s="23" t="n">
        <v>0.5</v>
      </c>
      <c r="AL1849" s="23" t="n">
        <v>0.3</v>
      </c>
      <c r="AM1849" s="16" t="n">
        <f aca="false">COUNTIFS($D$2:$D$2501,D1849,$G$2:$G$2501,"&gt;"&amp;G1849)+COUNTIFS($D$2:D1849,D1849,$G$2:G1849,G1849)</f>
        <v>212</v>
      </c>
      <c r="AN1849" s="5" t="str">
        <f aca="false">D1849&amp;"|"&amp;AM1849</f>
        <v>文件與影像辨識|212</v>
      </c>
    </row>
    <row r="1850" customFormat="false" ht="17.15" hidden="false" customHeight="false" outlineLevel="0" collapsed="false">
      <c r="A1850" s="16" t="n">
        <f aca="false">RANK(G1850,$G$2:$G$2501)+COUNTIF($G$2:G1850,G1850)-1</f>
        <v>1849</v>
      </c>
      <c r="B1850" s="11" t="s">
        <v>4536</v>
      </c>
      <c r="C1850" s="11" t="s">
        <v>3857</v>
      </c>
      <c r="D1850" s="5" t="s">
        <v>56</v>
      </c>
      <c r="E1850" s="5" t="s">
        <v>57</v>
      </c>
      <c r="F1850" s="5"/>
      <c r="G1850" s="22" t="n">
        <f aca="false">ROUND(SUM(I1850:P1850),3)</f>
        <v>54.844</v>
      </c>
      <c r="H1850" s="5" t="str">
        <f aca="false">IF(G1850&gt;=評分方法!$C$16,"優先評估",IF(G1850&gt;=評分方法!$C$17,"列入候選",IF(G1850&gt;=評分方法!$C$18,"特定情境","不建議")))</f>
        <v>不建議</v>
      </c>
      <c r="I1850" s="15" t="n">
        <f aca="false">AE1850*評分方法!$C$5</f>
        <v>25.5</v>
      </c>
      <c r="J1850" s="15" t="n">
        <f aca="false">AF1850*評分方法!$C$6</f>
        <v>0</v>
      </c>
      <c r="K1850" s="15" t="n">
        <f aca="false">AG1850*評分方法!$C$7</f>
        <v>4.95</v>
      </c>
      <c r="L1850" s="15" t="n">
        <f aca="false">AH1850*評分方法!$C$8</f>
        <v>13.05</v>
      </c>
      <c r="M1850" s="15" t="n">
        <f aca="false">AI1850*評分方法!$C$9</f>
        <v>2</v>
      </c>
      <c r="N1850" s="15" t="n">
        <f aca="false">AJ1850*評分方法!$C$10</f>
        <v>8.344</v>
      </c>
      <c r="O1850" s="15" t="n">
        <f aca="false">AK1850*評分方法!$C$11</f>
        <v>1</v>
      </c>
      <c r="P1850" s="15" t="n">
        <f aca="false">AL1850*評分方法!$C$12</f>
        <v>0</v>
      </c>
      <c r="Q1850" s="6" t="n">
        <v>1980582</v>
      </c>
      <c r="R1850" s="6" t="n">
        <v>1235814432</v>
      </c>
      <c r="S1850" s="11" t="s">
        <v>254</v>
      </c>
      <c r="T1850" s="5"/>
      <c r="U1850" s="5" t="s">
        <v>375</v>
      </c>
      <c r="V1850" s="11" t="s">
        <v>333</v>
      </c>
      <c r="W1850" s="5" t="s">
        <v>334</v>
      </c>
      <c r="X1850" s="5" t="s">
        <v>242</v>
      </c>
      <c r="Y1850" s="11" t="s">
        <v>1309</v>
      </c>
      <c r="Z1850" s="11" t="s">
        <v>244</v>
      </c>
      <c r="AA1850" s="11" t="s">
        <v>155</v>
      </c>
      <c r="AB1850" s="5" t="s">
        <v>245</v>
      </c>
      <c r="AC1850" s="5" t="s">
        <v>464</v>
      </c>
      <c r="AD1850" s="11" t="s">
        <v>4537</v>
      </c>
      <c r="AE1850" s="23" t="n">
        <v>0.85</v>
      </c>
      <c r="AF1850" s="23" t="n">
        <v>0</v>
      </c>
      <c r="AG1850" s="23" t="n">
        <v>0.33</v>
      </c>
      <c r="AH1850" s="23" t="n">
        <v>0.87</v>
      </c>
      <c r="AI1850" s="23" t="n">
        <v>0.2</v>
      </c>
      <c r="AJ1850" s="23" t="n">
        <v>0.8344</v>
      </c>
      <c r="AK1850" s="23" t="n">
        <v>0.2</v>
      </c>
      <c r="AL1850" s="23" t="n">
        <v>0</v>
      </c>
      <c r="AM1850" s="16" t="n">
        <f aca="false">COUNTIFS($D$2:$D$2501,D1850,$G$2:$G$2501,"&gt;"&amp;G1850)+COUNTIFS($D$2:D1850,D1850,$G$2:G1850,G1850)</f>
        <v>868</v>
      </c>
      <c r="AN1850" s="5" t="str">
        <f aca="false">D1850&amp;"|"&amp;AM1850</f>
        <v>分析與報告生成|868</v>
      </c>
    </row>
    <row r="1851" customFormat="false" ht="17.15" hidden="false" customHeight="false" outlineLevel="0" collapsed="false">
      <c r="A1851" s="16" t="n">
        <f aca="false">RANK(G1851,$G$2:$G$2501)+COUNTIF($G$2:G1851,G1851)-1</f>
        <v>1850</v>
      </c>
      <c r="B1851" s="11" t="s">
        <v>4538</v>
      </c>
      <c r="C1851" s="11" t="s">
        <v>2309</v>
      </c>
      <c r="D1851" s="5" t="s">
        <v>74</v>
      </c>
      <c r="E1851" s="5" t="s">
        <v>75</v>
      </c>
      <c r="F1851" s="5"/>
      <c r="G1851" s="22" t="n">
        <f aca="false">ROUND(SUM(I1851:P1851),3)</f>
        <v>54.834</v>
      </c>
      <c r="H1851" s="5" t="str">
        <f aca="false">IF(G1851&gt;=評分方法!$C$16,"優先評估",IF(G1851&gt;=評分方法!$C$17,"列入候選",IF(G1851&gt;=評分方法!$C$18,"特定情境","不建議")))</f>
        <v>不建議</v>
      </c>
      <c r="I1851" s="15" t="n">
        <f aca="false">AE1851*評分方法!$C$5</f>
        <v>12</v>
      </c>
      <c r="J1851" s="15" t="n">
        <f aca="false">AF1851*評分方法!$C$6</f>
        <v>0</v>
      </c>
      <c r="K1851" s="15" t="n">
        <f aca="false">AG1851*評分方法!$C$7</f>
        <v>15</v>
      </c>
      <c r="L1851" s="15" t="n">
        <f aca="false">AH1851*評分方法!$C$8</f>
        <v>7.05</v>
      </c>
      <c r="M1851" s="15" t="n">
        <f aca="false">AI1851*評分方法!$C$9</f>
        <v>10</v>
      </c>
      <c r="N1851" s="15" t="n">
        <f aca="false">AJ1851*評分方法!$C$10</f>
        <v>6.784</v>
      </c>
      <c r="O1851" s="15" t="n">
        <f aca="false">AK1851*評分方法!$C$11</f>
        <v>2.5</v>
      </c>
      <c r="P1851" s="15" t="n">
        <f aca="false">AL1851*評分方法!$C$12</f>
        <v>1.5</v>
      </c>
      <c r="Q1851" s="6" t="n">
        <v>837533</v>
      </c>
      <c r="R1851" s="6"/>
      <c r="S1851" s="5" t="s">
        <v>255</v>
      </c>
      <c r="T1851" s="11" t="s">
        <v>278</v>
      </c>
      <c r="U1851" s="5" t="s">
        <v>240</v>
      </c>
      <c r="V1851" s="11" t="s">
        <v>324</v>
      </c>
      <c r="W1851" s="5" t="s">
        <v>205</v>
      </c>
      <c r="X1851" s="5" t="s">
        <v>255</v>
      </c>
      <c r="Y1851" s="5"/>
      <c r="Z1851" s="5"/>
      <c r="AA1851" s="11" t="s">
        <v>167</v>
      </c>
      <c r="AB1851" s="5" t="s">
        <v>245</v>
      </c>
      <c r="AC1851" s="5"/>
      <c r="AD1851" s="11" t="s">
        <v>4539</v>
      </c>
      <c r="AE1851" s="23" t="n">
        <v>0.4</v>
      </c>
      <c r="AF1851" s="23" t="n">
        <v>0</v>
      </c>
      <c r="AG1851" s="23" t="n">
        <v>1</v>
      </c>
      <c r="AH1851" s="23" t="n">
        <v>0.47</v>
      </c>
      <c r="AI1851" s="23" t="n">
        <v>1</v>
      </c>
      <c r="AJ1851" s="23" t="n">
        <v>0.6784</v>
      </c>
      <c r="AK1851" s="23" t="n">
        <v>0.5</v>
      </c>
      <c r="AL1851" s="23" t="n">
        <v>0.3</v>
      </c>
      <c r="AM1851" s="16" t="n">
        <f aca="false">COUNTIFS($D$2:$D$2501,D1851,$G$2:$G$2501,"&gt;"&amp;G1851)+COUNTIFS($D$2:D1851,D1851,$G$2:G1851,G1851)</f>
        <v>213</v>
      </c>
      <c r="AN1851" s="5" t="str">
        <f aca="false">D1851&amp;"|"&amp;AM1851</f>
        <v>文件與影像辨識|213</v>
      </c>
    </row>
    <row r="1852" customFormat="false" ht="17.15" hidden="false" customHeight="false" outlineLevel="0" collapsed="false">
      <c r="A1852" s="16" t="n">
        <f aca="false">RANK(G1852,$G$2:$G$2501)+COUNTIF($G$2:G1852,G1852)-1</f>
        <v>1851</v>
      </c>
      <c r="B1852" s="11" t="s">
        <v>4540</v>
      </c>
      <c r="C1852" s="11" t="s">
        <v>2693</v>
      </c>
      <c r="D1852" s="5" t="s">
        <v>74</v>
      </c>
      <c r="E1852" s="5" t="s">
        <v>75</v>
      </c>
      <c r="F1852" s="5"/>
      <c r="G1852" s="22" t="n">
        <f aca="false">ROUND(SUM(I1852:P1852),3)</f>
        <v>54.828</v>
      </c>
      <c r="H1852" s="5" t="str">
        <f aca="false">IF(G1852&gt;=評分方法!$C$16,"優先評估",IF(G1852&gt;=評分方法!$C$17,"列入候選",IF(G1852&gt;=評分方法!$C$18,"特定情境","不建議")))</f>
        <v>不建議</v>
      </c>
      <c r="I1852" s="15" t="n">
        <f aca="false">AE1852*評分方法!$C$5</f>
        <v>10.5</v>
      </c>
      <c r="J1852" s="15" t="n">
        <f aca="false">AF1852*評分方法!$C$6</f>
        <v>0</v>
      </c>
      <c r="K1852" s="15" t="n">
        <f aca="false">AG1852*評分方法!$C$7</f>
        <v>15</v>
      </c>
      <c r="L1852" s="15" t="n">
        <f aca="false">AH1852*評分方法!$C$8</f>
        <v>15</v>
      </c>
      <c r="M1852" s="15" t="n">
        <f aca="false">AI1852*評分方法!$C$9</f>
        <v>10</v>
      </c>
      <c r="N1852" s="15" t="n">
        <f aca="false">AJ1852*評分方法!$C$10</f>
        <v>0.328</v>
      </c>
      <c r="O1852" s="15" t="n">
        <f aca="false">AK1852*評分方法!$C$11</f>
        <v>2.5</v>
      </c>
      <c r="P1852" s="15" t="n">
        <f aca="false">AL1852*評分方法!$C$12</f>
        <v>1.5</v>
      </c>
      <c r="Q1852" s="6" t="n">
        <v>125513</v>
      </c>
      <c r="R1852" s="6" t="n">
        <v>28253160</v>
      </c>
      <c r="S1852" s="11" t="s">
        <v>238</v>
      </c>
      <c r="T1852" s="11" t="s">
        <v>278</v>
      </c>
      <c r="U1852" s="5" t="s">
        <v>240</v>
      </c>
      <c r="V1852" s="11" t="s">
        <v>324</v>
      </c>
      <c r="W1852" s="5" t="s">
        <v>205</v>
      </c>
      <c r="X1852" s="5" t="s">
        <v>255</v>
      </c>
      <c r="Y1852" s="5"/>
      <c r="Z1852" s="5"/>
      <c r="AA1852" s="11" t="s">
        <v>172</v>
      </c>
      <c r="AB1852" s="5" t="s">
        <v>245</v>
      </c>
      <c r="AC1852" s="5"/>
      <c r="AD1852" s="11" t="s">
        <v>4541</v>
      </c>
      <c r="AE1852" s="23" t="n">
        <v>0.35</v>
      </c>
      <c r="AF1852" s="23" t="n">
        <v>0</v>
      </c>
      <c r="AG1852" s="23" t="n">
        <v>1</v>
      </c>
      <c r="AH1852" s="23" t="n">
        <v>1</v>
      </c>
      <c r="AI1852" s="23" t="n">
        <v>1</v>
      </c>
      <c r="AJ1852" s="23" t="n">
        <v>0.0328</v>
      </c>
      <c r="AK1852" s="23" t="n">
        <v>0.5</v>
      </c>
      <c r="AL1852" s="23" t="n">
        <v>0.3</v>
      </c>
      <c r="AM1852" s="16" t="n">
        <f aca="false">COUNTIFS($D$2:$D$2501,D1852,$G$2:$G$2501,"&gt;"&amp;G1852)+COUNTIFS($D$2:D1852,D1852,$G$2:G1852,G1852)</f>
        <v>214</v>
      </c>
      <c r="AN1852" s="5" t="str">
        <f aca="false">D1852&amp;"|"&amp;AM1852</f>
        <v>文件與影像辨識|214</v>
      </c>
    </row>
    <row r="1853" customFormat="false" ht="17.15" hidden="false" customHeight="false" outlineLevel="0" collapsed="false">
      <c r="A1853" s="16" t="n">
        <f aca="false">RANK(G1853,$G$2:$G$2501)+COUNTIF($G$2:G1853,G1853)-1</f>
        <v>1852</v>
      </c>
      <c r="B1853" s="11" t="s">
        <v>4542</v>
      </c>
      <c r="C1853" s="11" t="s">
        <v>4046</v>
      </c>
      <c r="D1853" s="5" t="s">
        <v>78</v>
      </c>
      <c r="E1853" s="5" t="s">
        <v>79</v>
      </c>
      <c r="F1853" s="5"/>
      <c r="G1853" s="22" t="n">
        <f aca="false">ROUND(SUM(I1853:P1853),3)</f>
        <v>54.792</v>
      </c>
      <c r="H1853" s="5" t="str">
        <f aca="false">IF(G1853&gt;=評分方法!$C$16,"優先評估",IF(G1853&gt;=評分方法!$C$17,"列入候選",IF(G1853&gt;=評分方法!$C$18,"特定情境","不建議")))</f>
        <v>不建議</v>
      </c>
      <c r="I1853" s="15" t="n">
        <f aca="false">AE1853*評分方法!$C$5</f>
        <v>9</v>
      </c>
      <c r="J1853" s="15" t="n">
        <f aca="false">AF1853*評分方法!$C$6</f>
        <v>0</v>
      </c>
      <c r="K1853" s="15" t="n">
        <f aca="false">AG1853*評分方法!$C$7</f>
        <v>4.95</v>
      </c>
      <c r="L1853" s="15" t="n">
        <f aca="false">AH1853*評分方法!$C$8</f>
        <v>13.05</v>
      </c>
      <c r="M1853" s="15" t="n">
        <f aca="false">AI1853*評分方法!$C$9</f>
        <v>10</v>
      </c>
      <c r="N1853" s="15" t="n">
        <f aca="false">AJ1853*評分方法!$C$10</f>
        <v>7.792</v>
      </c>
      <c r="O1853" s="15" t="n">
        <f aca="false">AK1853*評分方法!$C$11</f>
        <v>5</v>
      </c>
      <c r="P1853" s="15" t="n">
        <f aca="false">AL1853*評分方法!$C$12</f>
        <v>5</v>
      </c>
      <c r="Q1853" s="6" t="n">
        <v>1367901</v>
      </c>
      <c r="R1853" s="6" t="n">
        <v>1543516688</v>
      </c>
      <c r="S1853" s="11" t="s">
        <v>254</v>
      </c>
      <c r="T1853" s="11" t="s">
        <v>239</v>
      </c>
      <c r="U1853" s="5" t="s">
        <v>240</v>
      </c>
      <c r="V1853" s="11" t="s">
        <v>333</v>
      </c>
      <c r="W1853" s="5" t="s">
        <v>334</v>
      </c>
      <c r="X1853" s="5" t="s">
        <v>284</v>
      </c>
      <c r="Y1853" s="11" t="s">
        <v>2613</v>
      </c>
      <c r="Z1853" s="11" t="s">
        <v>244</v>
      </c>
      <c r="AA1853" s="11" t="s">
        <v>175</v>
      </c>
      <c r="AB1853" s="5" t="s">
        <v>245</v>
      </c>
      <c r="AC1853" s="5" t="s">
        <v>246</v>
      </c>
      <c r="AD1853" s="11" t="s">
        <v>4543</v>
      </c>
      <c r="AE1853" s="23" t="n">
        <v>0.3</v>
      </c>
      <c r="AF1853" s="23" t="n">
        <v>0</v>
      </c>
      <c r="AG1853" s="23" t="n">
        <v>0.33</v>
      </c>
      <c r="AH1853" s="23" t="n">
        <v>0.87</v>
      </c>
      <c r="AI1853" s="23" t="n">
        <v>1</v>
      </c>
      <c r="AJ1853" s="23" t="n">
        <v>0.7792</v>
      </c>
      <c r="AK1853" s="23" t="n">
        <v>1</v>
      </c>
      <c r="AL1853" s="23" t="n">
        <v>1</v>
      </c>
      <c r="AM1853" s="16" t="n">
        <f aca="false">COUNTIFS($D$2:$D$2501,D1853,$G$2:$G$2501,"&gt;"&amp;G1853)+COUNTIFS($D$2:D1853,D1853,$G$2:G1853,G1853)</f>
        <v>46</v>
      </c>
      <c r="AN1853" s="5" t="str">
        <f aca="false">D1853&amp;"|"&amp;AM1853</f>
        <v>語音分析|46</v>
      </c>
    </row>
    <row r="1854" customFormat="false" ht="17.15" hidden="false" customHeight="false" outlineLevel="0" collapsed="false">
      <c r="A1854" s="16" t="n">
        <f aca="false">RANK(G1854,$G$2:$G$2501)+COUNTIF($G$2:G1854,G1854)-1</f>
        <v>1853</v>
      </c>
      <c r="B1854" s="11" t="s">
        <v>4544</v>
      </c>
      <c r="C1854" s="11" t="s">
        <v>308</v>
      </c>
      <c r="D1854" s="5" t="s">
        <v>74</v>
      </c>
      <c r="E1854" s="5" t="s">
        <v>75</v>
      </c>
      <c r="F1854" s="5"/>
      <c r="G1854" s="22" t="n">
        <f aca="false">ROUND(SUM(I1854:P1854),3)</f>
        <v>54.788</v>
      </c>
      <c r="H1854" s="5" t="str">
        <f aca="false">IF(G1854&gt;=評分方法!$C$16,"優先評估",IF(G1854&gt;=評分方法!$C$17,"列入候選",IF(G1854&gt;=評分方法!$C$18,"特定情境","不建議")))</f>
        <v>不建議</v>
      </c>
      <c r="I1854" s="15" t="n">
        <f aca="false">AE1854*評分方法!$C$5</f>
        <v>10.5</v>
      </c>
      <c r="J1854" s="15" t="n">
        <f aca="false">AF1854*評分方法!$C$6</f>
        <v>0</v>
      </c>
      <c r="K1854" s="15" t="n">
        <f aca="false">AG1854*評分方法!$C$7</f>
        <v>15</v>
      </c>
      <c r="L1854" s="15" t="n">
        <f aca="false">AH1854*評分方法!$C$8</f>
        <v>15</v>
      </c>
      <c r="M1854" s="15" t="n">
        <f aca="false">AI1854*評分方法!$C$9</f>
        <v>10</v>
      </c>
      <c r="N1854" s="15" t="n">
        <f aca="false">AJ1854*評分方法!$C$10</f>
        <v>1.788</v>
      </c>
      <c r="O1854" s="15" t="n">
        <f aca="false">AK1854*評分方法!$C$11</f>
        <v>1</v>
      </c>
      <c r="P1854" s="15" t="n">
        <f aca="false">AL1854*評分方法!$C$12</f>
        <v>1.5</v>
      </c>
      <c r="Q1854" s="6" t="n">
        <v>194855</v>
      </c>
      <c r="R1854" s="6" t="n">
        <v>28317166</v>
      </c>
      <c r="S1854" s="11" t="s">
        <v>238</v>
      </c>
      <c r="T1854" s="11" t="s">
        <v>239</v>
      </c>
      <c r="U1854" s="5" t="s">
        <v>240</v>
      </c>
      <c r="V1854" s="11" t="s">
        <v>855</v>
      </c>
      <c r="W1854" s="5" t="s">
        <v>205</v>
      </c>
      <c r="X1854" s="5" t="s">
        <v>255</v>
      </c>
      <c r="Y1854" s="5"/>
      <c r="Z1854" s="5"/>
      <c r="AA1854" s="11" t="s">
        <v>172</v>
      </c>
      <c r="AB1854" s="5" t="s">
        <v>245</v>
      </c>
      <c r="AC1854" s="5"/>
      <c r="AD1854" s="11" t="s">
        <v>4545</v>
      </c>
      <c r="AE1854" s="23" t="n">
        <v>0.35</v>
      </c>
      <c r="AF1854" s="23" t="n">
        <v>0</v>
      </c>
      <c r="AG1854" s="23" t="n">
        <v>1</v>
      </c>
      <c r="AH1854" s="23" t="n">
        <v>1</v>
      </c>
      <c r="AI1854" s="23" t="n">
        <v>1</v>
      </c>
      <c r="AJ1854" s="23" t="n">
        <v>0.1788</v>
      </c>
      <c r="AK1854" s="23" t="n">
        <v>0.2</v>
      </c>
      <c r="AL1854" s="23" t="n">
        <v>0.3</v>
      </c>
      <c r="AM1854" s="16" t="n">
        <f aca="false">COUNTIFS($D$2:$D$2501,D1854,$G$2:$G$2501,"&gt;"&amp;G1854)+COUNTIFS($D$2:D1854,D1854,$G$2:G1854,G1854)</f>
        <v>215</v>
      </c>
      <c r="AN1854" s="5" t="str">
        <f aca="false">D1854&amp;"|"&amp;AM1854</f>
        <v>文件與影像辨識|215</v>
      </c>
    </row>
    <row r="1855" customFormat="false" ht="17.15" hidden="false" customHeight="false" outlineLevel="0" collapsed="false">
      <c r="A1855" s="16" t="n">
        <f aca="false">RANK(G1855,$G$2:$G$2501)+COUNTIF($G$2:G1855,G1855)-1</f>
        <v>1854</v>
      </c>
      <c r="B1855" s="11" t="s">
        <v>4546</v>
      </c>
      <c r="C1855" s="11" t="s">
        <v>2693</v>
      </c>
      <c r="D1855" s="5" t="s">
        <v>74</v>
      </c>
      <c r="E1855" s="5" t="s">
        <v>75</v>
      </c>
      <c r="F1855" s="5"/>
      <c r="G1855" s="22" t="n">
        <f aca="false">ROUND(SUM(I1855:P1855),3)</f>
        <v>54.78</v>
      </c>
      <c r="H1855" s="5" t="str">
        <f aca="false">IF(G1855&gt;=評分方法!$C$16,"優先評估",IF(G1855&gt;=評分方法!$C$17,"列入候選",IF(G1855&gt;=評分方法!$C$18,"特定情境","不建議")))</f>
        <v>不建議</v>
      </c>
      <c r="I1855" s="15" t="n">
        <f aca="false">AE1855*評分方法!$C$5</f>
        <v>10.5</v>
      </c>
      <c r="J1855" s="15" t="n">
        <f aca="false">AF1855*評分方法!$C$6</f>
        <v>0</v>
      </c>
      <c r="K1855" s="15" t="n">
        <f aca="false">AG1855*評分方法!$C$7</f>
        <v>15</v>
      </c>
      <c r="L1855" s="15" t="n">
        <f aca="false">AH1855*評分方法!$C$8</f>
        <v>15</v>
      </c>
      <c r="M1855" s="15" t="n">
        <f aca="false">AI1855*評分方法!$C$9</f>
        <v>10</v>
      </c>
      <c r="N1855" s="15" t="n">
        <f aca="false">AJ1855*評分方法!$C$10</f>
        <v>0.28</v>
      </c>
      <c r="O1855" s="15" t="n">
        <f aca="false">AK1855*評分方法!$C$11</f>
        <v>2.5</v>
      </c>
      <c r="P1855" s="15" t="n">
        <f aca="false">AL1855*評分方法!$C$12</f>
        <v>1.5</v>
      </c>
      <c r="Q1855" s="6" t="n">
        <v>123987</v>
      </c>
      <c r="R1855" s="6" t="n">
        <v>235596715</v>
      </c>
      <c r="S1855" s="11" t="s">
        <v>238</v>
      </c>
      <c r="T1855" s="11" t="s">
        <v>239</v>
      </c>
      <c r="U1855" s="5" t="s">
        <v>240</v>
      </c>
      <c r="V1855" s="11" t="s">
        <v>324</v>
      </c>
      <c r="W1855" s="5" t="s">
        <v>205</v>
      </c>
      <c r="X1855" s="5" t="s">
        <v>255</v>
      </c>
      <c r="Y1855" s="5"/>
      <c r="Z1855" s="5"/>
      <c r="AA1855" s="11" t="s">
        <v>172</v>
      </c>
      <c r="AB1855" s="5" t="s">
        <v>245</v>
      </c>
      <c r="AC1855" s="5"/>
      <c r="AD1855" s="11" t="s">
        <v>4547</v>
      </c>
      <c r="AE1855" s="23" t="n">
        <v>0.35</v>
      </c>
      <c r="AF1855" s="23" t="n">
        <v>0</v>
      </c>
      <c r="AG1855" s="23" t="n">
        <v>1</v>
      </c>
      <c r="AH1855" s="23" t="n">
        <v>1</v>
      </c>
      <c r="AI1855" s="23" t="n">
        <v>1</v>
      </c>
      <c r="AJ1855" s="23" t="n">
        <v>0.028</v>
      </c>
      <c r="AK1855" s="23" t="n">
        <v>0.5</v>
      </c>
      <c r="AL1855" s="23" t="n">
        <v>0.3</v>
      </c>
      <c r="AM1855" s="16" t="n">
        <f aca="false">COUNTIFS($D$2:$D$2501,D1855,$G$2:$G$2501,"&gt;"&amp;G1855)+COUNTIFS($D$2:D1855,D1855,$G$2:G1855,G1855)</f>
        <v>216</v>
      </c>
      <c r="AN1855" s="5" t="str">
        <f aca="false">D1855&amp;"|"&amp;AM1855</f>
        <v>文件與影像辨識|216</v>
      </c>
    </row>
    <row r="1856" customFormat="false" ht="17.15" hidden="false" customHeight="false" outlineLevel="0" collapsed="false">
      <c r="A1856" s="16" t="n">
        <f aca="false">RANK(G1856,$G$2:$G$2501)+COUNTIF($G$2:G1856,G1856)-1</f>
        <v>1855</v>
      </c>
      <c r="B1856" s="11" t="s">
        <v>4548</v>
      </c>
      <c r="C1856" s="11" t="s">
        <v>1132</v>
      </c>
      <c r="D1856" s="5" t="s">
        <v>66</v>
      </c>
      <c r="E1856" s="5" t="s">
        <v>67</v>
      </c>
      <c r="F1856" s="5"/>
      <c r="G1856" s="22" t="n">
        <f aca="false">ROUND(SUM(I1856:P1856),3)</f>
        <v>54.778</v>
      </c>
      <c r="H1856" s="5" t="str">
        <f aca="false">IF(G1856&gt;=評分方法!$C$16,"優先評估",IF(G1856&gt;=評分方法!$C$17,"列入候選",IF(G1856&gt;=評分方法!$C$18,"特定情境","不建議")))</f>
        <v>不建議</v>
      </c>
      <c r="I1856" s="15" t="n">
        <f aca="false">AE1856*評分方法!$C$5</f>
        <v>10.8</v>
      </c>
      <c r="J1856" s="15" t="n">
        <f aca="false">AF1856*評分方法!$C$6</f>
        <v>0</v>
      </c>
      <c r="K1856" s="15" t="n">
        <f aca="false">AG1856*評分方法!$C$7</f>
        <v>4.95</v>
      </c>
      <c r="L1856" s="15" t="n">
        <f aca="false">AH1856*評分方法!$C$8</f>
        <v>15</v>
      </c>
      <c r="M1856" s="15" t="n">
        <f aca="false">AI1856*評分方法!$C$9</f>
        <v>10</v>
      </c>
      <c r="N1856" s="15" t="n">
        <f aca="false">AJ1856*評分方法!$C$10</f>
        <v>8.028</v>
      </c>
      <c r="O1856" s="15" t="n">
        <f aca="false">AK1856*評分方法!$C$11</f>
        <v>1</v>
      </c>
      <c r="P1856" s="15" t="n">
        <f aca="false">AL1856*評分方法!$C$12</f>
        <v>5</v>
      </c>
      <c r="Q1856" s="6" t="n">
        <v>1582989</v>
      </c>
      <c r="R1856" s="6" t="n">
        <v>278812163</v>
      </c>
      <c r="S1856" s="11" t="s">
        <v>238</v>
      </c>
      <c r="T1856" s="11" t="s">
        <v>278</v>
      </c>
      <c r="U1856" s="5" t="s">
        <v>240</v>
      </c>
      <c r="V1856" s="11" t="s">
        <v>288</v>
      </c>
      <c r="W1856" s="5" t="s">
        <v>334</v>
      </c>
      <c r="X1856" s="5" t="s">
        <v>284</v>
      </c>
      <c r="Y1856" s="5"/>
      <c r="Z1856" s="5"/>
      <c r="AA1856" s="11" t="s">
        <v>151</v>
      </c>
      <c r="AB1856" s="5" t="s">
        <v>245</v>
      </c>
      <c r="AC1856" s="5" t="s">
        <v>3044</v>
      </c>
      <c r="AD1856" s="11" t="s">
        <v>4549</v>
      </c>
      <c r="AE1856" s="23" t="n">
        <v>0.36</v>
      </c>
      <c r="AF1856" s="23" t="n">
        <v>0</v>
      </c>
      <c r="AG1856" s="23" t="n">
        <v>0.33</v>
      </c>
      <c r="AH1856" s="23" t="n">
        <v>1</v>
      </c>
      <c r="AI1856" s="23" t="n">
        <v>1</v>
      </c>
      <c r="AJ1856" s="23" t="n">
        <v>0.8028</v>
      </c>
      <c r="AK1856" s="23" t="n">
        <v>0.2</v>
      </c>
      <c r="AL1856" s="23" t="n">
        <v>1</v>
      </c>
      <c r="AM1856" s="16" t="n">
        <f aca="false">COUNTIFS($D$2:$D$2501,D1856,$G$2:$G$2501,"&gt;"&amp;G1856)+COUNTIFS($D$2:D1856,D1856,$G$2:G1856,G1856)</f>
        <v>53</v>
      </c>
      <c r="AN1856" s="5" t="str">
        <f aca="false">D1856&amp;"|"&amp;AM1856</f>
        <v>分類與偵測|53</v>
      </c>
    </row>
    <row r="1857" customFormat="false" ht="17.15" hidden="false" customHeight="false" outlineLevel="0" collapsed="false">
      <c r="A1857" s="16" t="n">
        <f aca="false">RANK(G1857,$G$2:$G$2501)+COUNTIF($G$2:G1857,G1857)-1</f>
        <v>1856</v>
      </c>
      <c r="B1857" s="11" t="s">
        <v>4550</v>
      </c>
      <c r="C1857" s="11" t="s">
        <v>368</v>
      </c>
      <c r="D1857" s="5" t="s">
        <v>74</v>
      </c>
      <c r="E1857" s="5" t="s">
        <v>75</v>
      </c>
      <c r="F1857" s="5"/>
      <c r="G1857" s="22" t="n">
        <f aca="false">ROUND(SUM(I1857:P1857),3)</f>
        <v>54.772</v>
      </c>
      <c r="H1857" s="5" t="str">
        <f aca="false">IF(G1857&gt;=評分方法!$C$16,"優先評估",IF(G1857&gt;=評分方法!$C$17,"列入候選",IF(G1857&gt;=評分方法!$C$18,"特定情境","不建議")))</f>
        <v>不建議</v>
      </c>
      <c r="I1857" s="15" t="n">
        <f aca="false">AE1857*評分方法!$C$5</f>
        <v>12</v>
      </c>
      <c r="J1857" s="15" t="n">
        <f aca="false">AF1857*評分方法!$C$6</f>
        <v>0</v>
      </c>
      <c r="K1857" s="15" t="n">
        <f aca="false">AG1857*評分方法!$C$7</f>
        <v>15</v>
      </c>
      <c r="L1857" s="15" t="n">
        <f aca="false">AH1857*評分方法!$C$8</f>
        <v>15</v>
      </c>
      <c r="M1857" s="15" t="n">
        <f aca="false">AI1857*評分方法!$C$9</f>
        <v>10</v>
      </c>
      <c r="N1857" s="15" t="n">
        <f aca="false">AJ1857*評分方法!$C$10</f>
        <v>0.272</v>
      </c>
      <c r="O1857" s="15" t="n">
        <f aca="false">AK1857*評分方法!$C$11</f>
        <v>1</v>
      </c>
      <c r="P1857" s="15" t="n">
        <f aca="false">AL1857*評分方法!$C$12</f>
        <v>1.5</v>
      </c>
      <c r="Q1857" s="6" t="n">
        <v>123063</v>
      </c>
      <c r="R1857" s="6" t="n">
        <v>370626050</v>
      </c>
      <c r="S1857" s="11" t="s">
        <v>238</v>
      </c>
      <c r="T1857" s="11" t="s">
        <v>239</v>
      </c>
      <c r="U1857" s="5" t="s">
        <v>240</v>
      </c>
      <c r="V1857" s="11" t="s">
        <v>261</v>
      </c>
      <c r="W1857" s="5" t="s">
        <v>205</v>
      </c>
      <c r="X1857" s="5" t="s">
        <v>255</v>
      </c>
      <c r="Y1857" s="5"/>
      <c r="Z1857" s="5"/>
      <c r="AA1857" s="11" t="s">
        <v>167</v>
      </c>
      <c r="AB1857" s="5" t="s">
        <v>245</v>
      </c>
      <c r="AC1857" s="5"/>
      <c r="AD1857" s="11" t="s">
        <v>4551</v>
      </c>
      <c r="AE1857" s="23" t="n">
        <v>0.4</v>
      </c>
      <c r="AF1857" s="23" t="n">
        <v>0</v>
      </c>
      <c r="AG1857" s="23" t="n">
        <v>1</v>
      </c>
      <c r="AH1857" s="23" t="n">
        <v>1</v>
      </c>
      <c r="AI1857" s="23" t="n">
        <v>1</v>
      </c>
      <c r="AJ1857" s="23" t="n">
        <v>0.0272</v>
      </c>
      <c r="AK1857" s="23" t="n">
        <v>0.2</v>
      </c>
      <c r="AL1857" s="23" t="n">
        <v>0.3</v>
      </c>
      <c r="AM1857" s="16" t="n">
        <f aca="false">COUNTIFS($D$2:$D$2501,D1857,$G$2:$G$2501,"&gt;"&amp;G1857)+COUNTIFS($D$2:D1857,D1857,$G$2:G1857,G1857)</f>
        <v>217</v>
      </c>
      <c r="AN1857" s="5" t="str">
        <f aca="false">D1857&amp;"|"&amp;AM1857</f>
        <v>文件與影像辨識|217</v>
      </c>
    </row>
    <row r="1858" customFormat="false" ht="17.15" hidden="false" customHeight="false" outlineLevel="0" collapsed="false">
      <c r="A1858" s="16" t="n">
        <f aca="false">RANK(G1858,$G$2:$G$2501)+COUNTIF($G$2:G1858,G1858)-1</f>
        <v>1857</v>
      </c>
      <c r="B1858" s="11" t="s">
        <v>4552</v>
      </c>
      <c r="C1858" s="11" t="s">
        <v>2693</v>
      </c>
      <c r="D1858" s="5" t="s">
        <v>74</v>
      </c>
      <c r="E1858" s="5" t="s">
        <v>75</v>
      </c>
      <c r="F1858" s="5"/>
      <c r="G1858" s="22" t="n">
        <f aca="false">ROUND(SUM(I1858:P1858),3)</f>
        <v>54.762</v>
      </c>
      <c r="H1858" s="5" t="str">
        <f aca="false">IF(G1858&gt;=評分方法!$C$16,"優先評估",IF(G1858&gt;=評分方法!$C$17,"列入候選",IF(G1858&gt;=評分方法!$C$18,"特定情境","不建議")))</f>
        <v>不建議</v>
      </c>
      <c r="I1858" s="15" t="n">
        <f aca="false">AE1858*評分方法!$C$5</f>
        <v>12</v>
      </c>
      <c r="J1858" s="15" t="n">
        <f aca="false">AF1858*評分方法!$C$6</f>
        <v>0</v>
      </c>
      <c r="K1858" s="15" t="n">
        <f aca="false">AG1858*評分方法!$C$7</f>
        <v>15</v>
      </c>
      <c r="L1858" s="15" t="n">
        <f aca="false">AH1858*評分方法!$C$8</f>
        <v>7.05</v>
      </c>
      <c r="M1858" s="15" t="n">
        <f aca="false">AI1858*評分方法!$C$9</f>
        <v>10</v>
      </c>
      <c r="N1858" s="15" t="n">
        <f aca="false">AJ1858*評分方法!$C$10</f>
        <v>6.712</v>
      </c>
      <c r="O1858" s="15" t="n">
        <f aca="false">AK1858*評分方法!$C$11</f>
        <v>2.5</v>
      </c>
      <c r="P1858" s="15" t="n">
        <f aca="false">AL1858*評分方法!$C$12</f>
        <v>1.5</v>
      </c>
      <c r="Q1858" s="6" t="n">
        <v>816619</v>
      </c>
      <c r="R1858" s="6"/>
      <c r="S1858" s="5" t="s">
        <v>255</v>
      </c>
      <c r="T1858" s="11" t="s">
        <v>239</v>
      </c>
      <c r="U1858" s="5" t="s">
        <v>240</v>
      </c>
      <c r="V1858" s="11" t="s">
        <v>324</v>
      </c>
      <c r="W1858" s="5" t="s">
        <v>205</v>
      </c>
      <c r="X1858" s="5" t="s">
        <v>255</v>
      </c>
      <c r="Y1858" s="5"/>
      <c r="Z1858" s="5"/>
      <c r="AA1858" s="11" t="s">
        <v>167</v>
      </c>
      <c r="AB1858" s="5" t="s">
        <v>245</v>
      </c>
      <c r="AC1858" s="5"/>
      <c r="AD1858" s="11" t="s">
        <v>4553</v>
      </c>
      <c r="AE1858" s="23" t="n">
        <v>0.4</v>
      </c>
      <c r="AF1858" s="23" t="n">
        <v>0</v>
      </c>
      <c r="AG1858" s="23" t="n">
        <v>1</v>
      </c>
      <c r="AH1858" s="23" t="n">
        <v>0.47</v>
      </c>
      <c r="AI1858" s="23" t="n">
        <v>1</v>
      </c>
      <c r="AJ1858" s="23" t="n">
        <v>0.6712</v>
      </c>
      <c r="AK1858" s="23" t="n">
        <v>0.5</v>
      </c>
      <c r="AL1858" s="23" t="n">
        <v>0.3</v>
      </c>
      <c r="AM1858" s="16" t="n">
        <f aca="false">COUNTIFS($D$2:$D$2501,D1858,$G$2:$G$2501,"&gt;"&amp;G1858)+COUNTIFS($D$2:D1858,D1858,$G$2:G1858,G1858)</f>
        <v>218</v>
      </c>
      <c r="AN1858" s="5" t="str">
        <f aca="false">D1858&amp;"|"&amp;AM1858</f>
        <v>文件與影像辨識|218</v>
      </c>
    </row>
    <row r="1859" customFormat="false" ht="17.15" hidden="false" customHeight="false" outlineLevel="0" collapsed="false">
      <c r="A1859" s="16" t="n">
        <f aca="false">RANK(G1859,$G$2:$G$2501)+COUNTIF($G$2:G1859,G1859)-1</f>
        <v>1858</v>
      </c>
      <c r="B1859" s="11" t="s">
        <v>4554</v>
      </c>
      <c r="C1859" s="11" t="s">
        <v>308</v>
      </c>
      <c r="D1859" s="5" t="s">
        <v>74</v>
      </c>
      <c r="E1859" s="5" t="s">
        <v>75</v>
      </c>
      <c r="F1859" s="5"/>
      <c r="G1859" s="22" t="n">
        <f aca="false">ROUND(SUM(I1859:P1859),3)</f>
        <v>54.76</v>
      </c>
      <c r="H1859" s="5" t="str">
        <f aca="false">IF(G1859&gt;=評分方法!$C$16,"優先評估",IF(G1859&gt;=評分方法!$C$17,"列入候選",IF(G1859&gt;=評分方法!$C$18,"特定情境","不建議")))</f>
        <v>不建議</v>
      </c>
      <c r="I1859" s="15" t="n">
        <f aca="false">AE1859*評分方法!$C$5</f>
        <v>13.5</v>
      </c>
      <c r="J1859" s="15" t="n">
        <f aca="false">AF1859*評分方法!$C$6</f>
        <v>0</v>
      </c>
      <c r="K1859" s="15" t="n">
        <f aca="false">AG1859*評分方法!$C$7</f>
        <v>15</v>
      </c>
      <c r="L1859" s="15" t="n">
        <f aca="false">AH1859*評分方法!$C$8</f>
        <v>15</v>
      </c>
      <c r="M1859" s="15" t="n">
        <f aca="false">AI1859*評分方法!$C$9</f>
        <v>10</v>
      </c>
      <c r="N1859" s="15" t="n">
        <f aca="false">AJ1859*評分方法!$C$10</f>
        <v>0.26</v>
      </c>
      <c r="O1859" s="15" t="n">
        <f aca="false">AK1859*評分方法!$C$11</f>
        <v>1</v>
      </c>
      <c r="P1859" s="15" t="n">
        <f aca="false">AL1859*評分方法!$C$12</f>
        <v>0</v>
      </c>
      <c r="Q1859" s="6" t="n">
        <v>122892</v>
      </c>
      <c r="R1859" s="6" t="n">
        <v>176620287</v>
      </c>
      <c r="S1859" s="11" t="s">
        <v>238</v>
      </c>
      <c r="T1859" s="11" t="s">
        <v>278</v>
      </c>
      <c r="U1859" s="5" t="s">
        <v>240</v>
      </c>
      <c r="V1859" s="11" t="s">
        <v>324</v>
      </c>
      <c r="W1859" s="5" t="s">
        <v>205</v>
      </c>
      <c r="X1859" s="5" t="s">
        <v>242</v>
      </c>
      <c r="Y1859" s="5"/>
      <c r="Z1859" s="5"/>
      <c r="AA1859" s="11" t="s">
        <v>163</v>
      </c>
      <c r="AB1859" s="5" t="s">
        <v>245</v>
      </c>
      <c r="AC1859" s="5"/>
      <c r="AD1859" s="11" t="s">
        <v>4555</v>
      </c>
      <c r="AE1859" s="23" t="n">
        <v>0.45</v>
      </c>
      <c r="AF1859" s="23" t="n">
        <v>0</v>
      </c>
      <c r="AG1859" s="23" t="n">
        <v>1</v>
      </c>
      <c r="AH1859" s="23" t="n">
        <v>1</v>
      </c>
      <c r="AI1859" s="23" t="n">
        <v>1</v>
      </c>
      <c r="AJ1859" s="23" t="n">
        <v>0.026</v>
      </c>
      <c r="AK1859" s="23" t="n">
        <v>0.2</v>
      </c>
      <c r="AL1859" s="23" t="n">
        <v>0</v>
      </c>
      <c r="AM1859" s="16" t="n">
        <f aca="false">COUNTIFS($D$2:$D$2501,D1859,$G$2:$G$2501,"&gt;"&amp;G1859)+COUNTIFS($D$2:D1859,D1859,$G$2:G1859,G1859)</f>
        <v>219</v>
      </c>
      <c r="AN1859" s="5" t="str">
        <f aca="false">D1859&amp;"|"&amp;AM1859</f>
        <v>文件與影像辨識|219</v>
      </c>
    </row>
    <row r="1860" customFormat="false" ht="17.15" hidden="false" customHeight="false" outlineLevel="0" collapsed="false">
      <c r="A1860" s="16" t="n">
        <f aca="false">RANK(G1860,$G$2:$G$2501)+COUNTIF($G$2:G1860,G1860)-1</f>
        <v>1859</v>
      </c>
      <c r="B1860" s="11" t="s">
        <v>4556</v>
      </c>
      <c r="C1860" s="11" t="s">
        <v>4557</v>
      </c>
      <c r="D1860" s="5" t="s">
        <v>56</v>
      </c>
      <c r="E1860" s="5" t="s">
        <v>57</v>
      </c>
      <c r="F1860" s="5"/>
      <c r="G1860" s="22" t="n">
        <f aca="false">ROUND(SUM(I1860:P1860),3)</f>
        <v>54.756</v>
      </c>
      <c r="H1860" s="5" t="str">
        <f aca="false">IF(G1860&gt;=評分方法!$C$16,"優先評估",IF(G1860&gt;=評分方法!$C$17,"列入候選",IF(G1860&gt;=評分方法!$C$18,"特定情境","不建議")))</f>
        <v>不建議</v>
      </c>
      <c r="I1860" s="15" t="n">
        <f aca="false">AE1860*評分方法!$C$5</f>
        <v>25.5</v>
      </c>
      <c r="J1860" s="15" t="n">
        <f aca="false">AF1860*評分方法!$C$6</f>
        <v>0</v>
      </c>
      <c r="K1860" s="15" t="n">
        <f aca="false">AG1860*評分方法!$C$7</f>
        <v>4.95</v>
      </c>
      <c r="L1860" s="15" t="n">
        <f aca="false">AH1860*評分方法!$C$8</f>
        <v>13.05</v>
      </c>
      <c r="M1860" s="15" t="n">
        <f aca="false">AI1860*評分方法!$C$9</f>
        <v>6</v>
      </c>
      <c r="N1860" s="15" t="n">
        <f aca="false">AJ1860*評分方法!$C$10</f>
        <v>0.256</v>
      </c>
      <c r="O1860" s="15" t="n">
        <f aca="false">AK1860*評分方法!$C$11</f>
        <v>5</v>
      </c>
      <c r="P1860" s="15" t="n">
        <f aca="false">AL1860*評分方法!$C$12</f>
        <v>0</v>
      </c>
      <c r="Q1860" s="6" t="n">
        <v>122654</v>
      </c>
      <c r="R1860" s="6" t="n">
        <v>7518069290</v>
      </c>
      <c r="S1860" s="11" t="s">
        <v>254</v>
      </c>
      <c r="T1860" s="11" t="s">
        <v>185</v>
      </c>
      <c r="U1860" s="5" t="s">
        <v>260</v>
      </c>
      <c r="V1860" s="11" t="s">
        <v>333</v>
      </c>
      <c r="W1860" s="5" t="s">
        <v>334</v>
      </c>
      <c r="X1860" s="5" t="s">
        <v>242</v>
      </c>
      <c r="Y1860" s="11" t="s">
        <v>769</v>
      </c>
      <c r="Z1860" s="11" t="s">
        <v>244</v>
      </c>
      <c r="AA1860" s="11" t="s">
        <v>155</v>
      </c>
      <c r="AB1860" s="5" t="s">
        <v>245</v>
      </c>
      <c r="AC1860" s="5" t="s">
        <v>464</v>
      </c>
      <c r="AD1860" s="11" t="s">
        <v>4558</v>
      </c>
      <c r="AE1860" s="23" t="n">
        <v>0.85</v>
      </c>
      <c r="AF1860" s="23" t="n">
        <v>0</v>
      </c>
      <c r="AG1860" s="23" t="n">
        <v>0.33</v>
      </c>
      <c r="AH1860" s="23" t="n">
        <v>0.87</v>
      </c>
      <c r="AI1860" s="23" t="n">
        <v>0.6</v>
      </c>
      <c r="AJ1860" s="23" t="n">
        <v>0.0256</v>
      </c>
      <c r="AK1860" s="23" t="n">
        <v>1</v>
      </c>
      <c r="AL1860" s="23" t="n">
        <v>0</v>
      </c>
      <c r="AM1860" s="16" t="n">
        <f aca="false">COUNTIFS($D$2:$D$2501,D1860,$G$2:$G$2501,"&gt;"&amp;G1860)+COUNTIFS($D$2:D1860,D1860,$G$2:G1860,G1860)</f>
        <v>869</v>
      </c>
      <c r="AN1860" s="5" t="str">
        <f aca="false">D1860&amp;"|"&amp;AM1860</f>
        <v>分析與報告生成|869</v>
      </c>
    </row>
    <row r="1861" customFormat="false" ht="17.15" hidden="false" customHeight="false" outlineLevel="0" collapsed="false">
      <c r="A1861" s="16" t="n">
        <f aca="false">RANK(G1861,$G$2:$G$2501)+COUNTIF($G$2:G1861,G1861)-1</f>
        <v>1860</v>
      </c>
      <c r="B1861" s="11" t="s">
        <v>4559</v>
      </c>
      <c r="C1861" s="11" t="s">
        <v>4498</v>
      </c>
      <c r="D1861" s="5" t="s">
        <v>54</v>
      </c>
      <c r="E1861" s="5" t="s">
        <v>55</v>
      </c>
      <c r="F1861" s="5"/>
      <c r="G1861" s="22" t="n">
        <f aca="false">ROUND(SUM(I1861:P1861),3)</f>
        <v>54.744</v>
      </c>
      <c r="H1861" s="5" t="str">
        <f aca="false">IF(G1861&gt;=評分方法!$C$16,"優先評估",IF(G1861&gt;=評分方法!$C$17,"列入候選",IF(G1861&gt;=評分方法!$C$18,"特定情境","不建議")))</f>
        <v>不建議</v>
      </c>
      <c r="I1861" s="15" t="n">
        <f aca="false">AE1861*評分方法!$C$5</f>
        <v>27</v>
      </c>
      <c r="J1861" s="15" t="n">
        <f aca="false">AF1861*評分方法!$C$6</f>
        <v>0</v>
      </c>
      <c r="K1861" s="15" t="n">
        <f aca="false">AG1861*評分方法!$C$7</f>
        <v>4.95</v>
      </c>
      <c r="L1861" s="15" t="n">
        <f aca="false">AH1861*評分方法!$C$8</f>
        <v>7.05</v>
      </c>
      <c r="M1861" s="15" t="n">
        <f aca="false">AI1861*評分方法!$C$9</f>
        <v>10</v>
      </c>
      <c r="N1861" s="15" t="n">
        <f aca="false">AJ1861*評分方法!$C$10</f>
        <v>3.244</v>
      </c>
      <c r="O1861" s="15" t="n">
        <f aca="false">AK1861*評分方法!$C$11</f>
        <v>2.5</v>
      </c>
      <c r="P1861" s="15" t="n">
        <f aca="false">AL1861*評分方法!$C$12</f>
        <v>0</v>
      </c>
      <c r="Q1861" s="6" t="n">
        <v>320258</v>
      </c>
      <c r="R1861" s="6"/>
      <c r="S1861" s="5" t="s">
        <v>255</v>
      </c>
      <c r="T1861" s="11" t="s">
        <v>239</v>
      </c>
      <c r="U1861" s="5" t="s">
        <v>240</v>
      </c>
      <c r="V1861" s="11" t="s">
        <v>4499</v>
      </c>
      <c r="W1861" s="5" t="s">
        <v>334</v>
      </c>
      <c r="X1861" s="5" t="s">
        <v>242</v>
      </c>
      <c r="Y1861" s="5"/>
      <c r="Z1861" s="5"/>
      <c r="AA1861" s="11" t="s">
        <v>153</v>
      </c>
      <c r="AB1861" s="5" t="s">
        <v>245</v>
      </c>
      <c r="AC1861" s="5"/>
      <c r="AD1861" s="11" t="s">
        <v>4560</v>
      </c>
      <c r="AE1861" s="23" t="n">
        <v>0.9</v>
      </c>
      <c r="AF1861" s="23" t="n">
        <v>0</v>
      </c>
      <c r="AG1861" s="23" t="n">
        <v>0.33</v>
      </c>
      <c r="AH1861" s="23" t="n">
        <v>0.47</v>
      </c>
      <c r="AI1861" s="23" t="n">
        <v>1</v>
      </c>
      <c r="AJ1861" s="23" t="n">
        <v>0.3244</v>
      </c>
      <c r="AK1861" s="23" t="n">
        <v>0.5</v>
      </c>
      <c r="AL1861" s="23" t="n">
        <v>0</v>
      </c>
      <c r="AM1861" s="16" t="n">
        <f aca="false">COUNTIFS($D$2:$D$2501,D1861,$G$2:$G$2501,"&gt;"&amp;G1861)+COUNTIFS($D$2:D1861,D1861,$G$2:G1861,G1861)</f>
        <v>225</v>
      </c>
      <c r="AN1861" s="5" t="str">
        <f aca="false">D1861&amp;"|"&amp;AM1861</f>
        <v>檢索與情資關聯|225</v>
      </c>
    </row>
    <row r="1862" customFormat="false" ht="17.15" hidden="false" customHeight="false" outlineLevel="0" collapsed="false">
      <c r="A1862" s="16" t="n">
        <f aca="false">RANK(G1862,$G$2:$G$2501)+COUNTIF($G$2:G1862,G1862)-1</f>
        <v>1861</v>
      </c>
      <c r="B1862" s="11" t="s">
        <v>4561</v>
      </c>
      <c r="C1862" s="11" t="s">
        <v>2693</v>
      </c>
      <c r="D1862" s="5" t="s">
        <v>74</v>
      </c>
      <c r="E1862" s="5" t="s">
        <v>75</v>
      </c>
      <c r="F1862" s="5"/>
      <c r="G1862" s="22" t="n">
        <f aca="false">ROUND(SUM(I1862:P1862),3)</f>
        <v>54.718</v>
      </c>
      <c r="H1862" s="5" t="str">
        <f aca="false">IF(G1862&gt;=評分方法!$C$16,"優先評估",IF(G1862&gt;=評分方法!$C$17,"列入候選",IF(G1862&gt;=評分方法!$C$18,"特定情境","不建議")))</f>
        <v>不建議</v>
      </c>
      <c r="I1862" s="15" t="n">
        <f aca="false">AE1862*評分方法!$C$5</f>
        <v>12</v>
      </c>
      <c r="J1862" s="15" t="n">
        <f aca="false">AF1862*評分方法!$C$6</f>
        <v>0</v>
      </c>
      <c r="K1862" s="15" t="n">
        <f aca="false">AG1862*評分方法!$C$7</f>
        <v>15</v>
      </c>
      <c r="L1862" s="15" t="n">
        <f aca="false">AH1862*評分方法!$C$8</f>
        <v>7.05</v>
      </c>
      <c r="M1862" s="15" t="n">
        <f aca="false">AI1862*評分方法!$C$9</f>
        <v>10</v>
      </c>
      <c r="N1862" s="15" t="n">
        <f aca="false">AJ1862*評分方法!$C$10</f>
        <v>8.168</v>
      </c>
      <c r="O1862" s="15" t="n">
        <f aca="false">AK1862*評分方法!$C$11</f>
        <v>1</v>
      </c>
      <c r="P1862" s="15" t="n">
        <f aca="false">AL1862*評分方法!$C$12</f>
        <v>1.5</v>
      </c>
      <c r="Q1862" s="6" t="n">
        <v>1774367</v>
      </c>
      <c r="R1862" s="6"/>
      <c r="S1862" s="5" t="s">
        <v>255</v>
      </c>
      <c r="T1862" s="11" t="s">
        <v>278</v>
      </c>
      <c r="U1862" s="5" t="s">
        <v>240</v>
      </c>
      <c r="V1862" s="11" t="s">
        <v>324</v>
      </c>
      <c r="W1862" s="5" t="s">
        <v>205</v>
      </c>
      <c r="X1862" s="5" t="s">
        <v>255</v>
      </c>
      <c r="Y1862" s="5"/>
      <c r="Z1862" s="5"/>
      <c r="AA1862" s="11" t="s">
        <v>167</v>
      </c>
      <c r="AB1862" s="5" t="s">
        <v>245</v>
      </c>
      <c r="AC1862" s="5"/>
      <c r="AD1862" s="11" t="s">
        <v>4562</v>
      </c>
      <c r="AE1862" s="23" t="n">
        <v>0.4</v>
      </c>
      <c r="AF1862" s="23" t="n">
        <v>0</v>
      </c>
      <c r="AG1862" s="23" t="n">
        <v>1</v>
      </c>
      <c r="AH1862" s="23" t="n">
        <v>0.47</v>
      </c>
      <c r="AI1862" s="23" t="n">
        <v>1</v>
      </c>
      <c r="AJ1862" s="23" t="n">
        <v>0.8168</v>
      </c>
      <c r="AK1862" s="23" t="n">
        <v>0.2</v>
      </c>
      <c r="AL1862" s="23" t="n">
        <v>0.3</v>
      </c>
      <c r="AM1862" s="16" t="n">
        <f aca="false">COUNTIFS($D$2:$D$2501,D1862,$G$2:$G$2501,"&gt;"&amp;G1862)+COUNTIFS($D$2:D1862,D1862,$G$2:G1862,G1862)</f>
        <v>220</v>
      </c>
      <c r="AN1862" s="5" t="str">
        <f aca="false">D1862&amp;"|"&amp;AM1862</f>
        <v>文件與影像辨識|220</v>
      </c>
    </row>
    <row r="1863" customFormat="false" ht="17.15" hidden="false" customHeight="false" outlineLevel="0" collapsed="false">
      <c r="A1863" s="16" t="n">
        <f aca="false">RANK(G1863,$G$2:$G$2501)+COUNTIF($G$2:G1863,G1863)-1</f>
        <v>1862</v>
      </c>
      <c r="B1863" s="11" t="s">
        <v>4563</v>
      </c>
      <c r="C1863" s="11" t="s">
        <v>2693</v>
      </c>
      <c r="D1863" s="5" t="s">
        <v>74</v>
      </c>
      <c r="E1863" s="5" t="s">
        <v>75</v>
      </c>
      <c r="F1863" s="5"/>
      <c r="G1863" s="22" t="n">
        <f aca="false">ROUND(SUM(I1863:P1863),3)</f>
        <v>54.716</v>
      </c>
      <c r="H1863" s="5" t="str">
        <f aca="false">IF(G1863&gt;=評分方法!$C$16,"優先評估",IF(G1863&gt;=評分方法!$C$17,"列入候選",IF(G1863&gt;=評分方法!$C$18,"特定情境","不建議")))</f>
        <v>不建議</v>
      </c>
      <c r="I1863" s="15" t="n">
        <f aca="false">AE1863*評分方法!$C$5</f>
        <v>10.5</v>
      </c>
      <c r="J1863" s="15" t="n">
        <f aca="false">AF1863*評分方法!$C$6</f>
        <v>0</v>
      </c>
      <c r="K1863" s="15" t="n">
        <f aca="false">AG1863*評分方法!$C$7</f>
        <v>15</v>
      </c>
      <c r="L1863" s="15" t="n">
        <f aca="false">AH1863*評分方法!$C$8</f>
        <v>15</v>
      </c>
      <c r="M1863" s="15" t="n">
        <f aca="false">AI1863*評分方法!$C$9</f>
        <v>10</v>
      </c>
      <c r="N1863" s="15" t="n">
        <f aca="false">AJ1863*評分方法!$C$10</f>
        <v>0.216</v>
      </c>
      <c r="O1863" s="15" t="n">
        <f aca="false">AK1863*評分方法!$C$11</f>
        <v>2.5</v>
      </c>
      <c r="P1863" s="15" t="n">
        <f aca="false">AL1863*評分方法!$C$12</f>
        <v>1.5</v>
      </c>
      <c r="Q1863" s="6" t="n">
        <v>122133</v>
      </c>
      <c r="R1863" s="6" t="n">
        <v>71489272</v>
      </c>
      <c r="S1863" s="11" t="s">
        <v>238</v>
      </c>
      <c r="T1863" s="11" t="s">
        <v>239</v>
      </c>
      <c r="U1863" s="5" t="s">
        <v>240</v>
      </c>
      <c r="V1863" s="11" t="s">
        <v>324</v>
      </c>
      <c r="W1863" s="5" t="s">
        <v>205</v>
      </c>
      <c r="X1863" s="5" t="s">
        <v>255</v>
      </c>
      <c r="Y1863" s="5"/>
      <c r="Z1863" s="5"/>
      <c r="AA1863" s="11" t="s">
        <v>172</v>
      </c>
      <c r="AB1863" s="5" t="s">
        <v>245</v>
      </c>
      <c r="AC1863" s="5"/>
      <c r="AD1863" s="11" t="s">
        <v>4564</v>
      </c>
      <c r="AE1863" s="23" t="n">
        <v>0.35</v>
      </c>
      <c r="AF1863" s="23" t="n">
        <v>0</v>
      </c>
      <c r="AG1863" s="23" t="n">
        <v>1</v>
      </c>
      <c r="AH1863" s="23" t="n">
        <v>1</v>
      </c>
      <c r="AI1863" s="23" t="n">
        <v>1</v>
      </c>
      <c r="AJ1863" s="23" t="n">
        <v>0.0216</v>
      </c>
      <c r="AK1863" s="23" t="n">
        <v>0.5</v>
      </c>
      <c r="AL1863" s="23" t="n">
        <v>0.3</v>
      </c>
      <c r="AM1863" s="16" t="n">
        <f aca="false">COUNTIFS($D$2:$D$2501,D1863,$G$2:$G$2501,"&gt;"&amp;G1863)+COUNTIFS($D$2:D1863,D1863,$G$2:G1863,G1863)</f>
        <v>221</v>
      </c>
      <c r="AN1863" s="5" t="str">
        <f aca="false">D1863&amp;"|"&amp;AM1863</f>
        <v>文件與影像辨識|221</v>
      </c>
    </row>
    <row r="1864" customFormat="false" ht="17.15" hidden="false" customHeight="false" outlineLevel="0" collapsed="false">
      <c r="A1864" s="16" t="n">
        <f aca="false">RANK(G1864,$G$2:$G$2501)+COUNTIF($G$2:G1864,G1864)-1</f>
        <v>1863</v>
      </c>
      <c r="B1864" s="11" t="s">
        <v>4565</v>
      </c>
      <c r="C1864" s="11" t="s">
        <v>3769</v>
      </c>
      <c r="D1864" s="5" t="s">
        <v>54</v>
      </c>
      <c r="E1864" s="5" t="s">
        <v>55</v>
      </c>
      <c r="F1864" s="5"/>
      <c r="G1864" s="22" t="n">
        <f aca="false">ROUND(SUM(I1864:P1864),3)</f>
        <v>54.714</v>
      </c>
      <c r="H1864" s="5" t="str">
        <f aca="false">IF(G1864&gt;=評分方法!$C$16,"優先評估",IF(G1864&gt;=評分方法!$C$17,"列入候選",IF(G1864&gt;=評分方法!$C$18,"特定情境","不建議")))</f>
        <v>不建議</v>
      </c>
      <c r="I1864" s="15" t="n">
        <f aca="false">AE1864*評分方法!$C$5</f>
        <v>16.2</v>
      </c>
      <c r="J1864" s="15" t="n">
        <f aca="false">AF1864*評分方法!$C$6</f>
        <v>0</v>
      </c>
      <c r="K1864" s="15" t="n">
        <f aca="false">AG1864*評分方法!$C$7</f>
        <v>4.95</v>
      </c>
      <c r="L1864" s="15" t="n">
        <f aca="false">AH1864*評分方法!$C$8</f>
        <v>15</v>
      </c>
      <c r="M1864" s="15" t="n">
        <f aca="false">AI1864*評分方法!$C$9</f>
        <v>10</v>
      </c>
      <c r="N1864" s="15" t="n">
        <f aca="false">AJ1864*評分方法!$C$10</f>
        <v>3.564</v>
      </c>
      <c r="O1864" s="15" t="n">
        <f aca="false">AK1864*評分方法!$C$11</f>
        <v>5</v>
      </c>
      <c r="P1864" s="15" t="n">
        <f aca="false">AL1864*評分方法!$C$12</f>
        <v>0</v>
      </c>
      <c r="Q1864" s="6" t="n">
        <v>357513</v>
      </c>
      <c r="R1864" s="6" t="n">
        <v>434961408</v>
      </c>
      <c r="S1864" s="11" t="s">
        <v>238</v>
      </c>
      <c r="T1864" s="11" t="s">
        <v>239</v>
      </c>
      <c r="U1864" s="5" t="s">
        <v>240</v>
      </c>
      <c r="V1864" s="11" t="s">
        <v>324</v>
      </c>
      <c r="W1864" s="5" t="s">
        <v>334</v>
      </c>
      <c r="X1864" s="5" t="s">
        <v>242</v>
      </c>
      <c r="Y1864" s="5"/>
      <c r="Z1864" s="5"/>
      <c r="AA1864" s="11" t="s">
        <v>152</v>
      </c>
      <c r="AB1864" s="5" t="s">
        <v>245</v>
      </c>
      <c r="AC1864" s="5" t="s">
        <v>1463</v>
      </c>
      <c r="AD1864" s="11" t="s">
        <v>4566</v>
      </c>
      <c r="AE1864" s="23" t="n">
        <v>0.54</v>
      </c>
      <c r="AF1864" s="23" t="n">
        <v>0</v>
      </c>
      <c r="AG1864" s="23" t="n">
        <v>0.33</v>
      </c>
      <c r="AH1864" s="23" t="n">
        <v>1</v>
      </c>
      <c r="AI1864" s="23" t="n">
        <v>1</v>
      </c>
      <c r="AJ1864" s="23" t="n">
        <v>0.3564</v>
      </c>
      <c r="AK1864" s="23" t="n">
        <v>1</v>
      </c>
      <c r="AL1864" s="23" t="n">
        <v>0</v>
      </c>
      <c r="AM1864" s="16" t="n">
        <f aca="false">COUNTIFS($D$2:$D$2501,D1864,$G$2:$G$2501,"&gt;"&amp;G1864)+COUNTIFS($D$2:D1864,D1864,$G$2:G1864,G1864)</f>
        <v>226</v>
      </c>
      <c r="AN1864" s="5" t="str">
        <f aca="false">D1864&amp;"|"&amp;AM1864</f>
        <v>檢索與情資關聯|226</v>
      </c>
    </row>
    <row r="1865" customFormat="false" ht="17.15" hidden="false" customHeight="false" outlineLevel="0" collapsed="false">
      <c r="A1865" s="16" t="n">
        <f aca="false">RANK(G1865,$G$2:$G$2501)+COUNTIF($G$2:G1865,G1865)-1</f>
        <v>1864</v>
      </c>
      <c r="B1865" s="11" t="s">
        <v>4567</v>
      </c>
      <c r="C1865" s="11" t="s">
        <v>4568</v>
      </c>
      <c r="D1865" s="5" t="s">
        <v>58</v>
      </c>
      <c r="E1865" s="5" t="s">
        <v>59</v>
      </c>
      <c r="F1865" s="5"/>
      <c r="G1865" s="22" t="n">
        <f aca="false">ROUND(SUM(I1865:P1865),3)</f>
        <v>54.714</v>
      </c>
      <c r="H1865" s="5" t="str">
        <f aca="false">IF(G1865&gt;=評分方法!$C$16,"優先評估",IF(G1865&gt;=評分方法!$C$17,"列入候選",IF(G1865&gt;=評分方法!$C$18,"特定情境","不建議")))</f>
        <v>不建議</v>
      </c>
      <c r="I1865" s="15" t="n">
        <f aca="false">AE1865*評分方法!$C$5</f>
        <v>28.5</v>
      </c>
      <c r="J1865" s="15" t="n">
        <f aca="false">AF1865*評分方法!$C$6</f>
        <v>0</v>
      </c>
      <c r="K1865" s="15" t="n">
        <f aca="false">AG1865*評分方法!$C$7</f>
        <v>4.95</v>
      </c>
      <c r="L1865" s="15" t="n">
        <f aca="false">AH1865*評分方法!$C$8</f>
        <v>15</v>
      </c>
      <c r="M1865" s="15" t="n">
        <f aca="false">AI1865*評分方法!$C$9</f>
        <v>2</v>
      </c>
      <c r="N1865" s="15" t="n">
        <f aca="false">AJ1865*評分方法!$C$10</f>
        <v>0.264</v>
      </c>
      <c r="O1865" s="15" t="n">
        <f aca="false">AK1865*評分方法!$C$11</f>
        <v>2.5</v>
      </c>
      <c r="P1865" s="15" t="n">
        <f aca="false">AL1865*評分方法!$C$12</f>
        <v>1.5</v>
      </c>
      <c r="Q1865" s="6" t="n">
        <v>122897</v>
      </c>
      <c r="R1865" s="6" t="n">
        <v>108493827</v>
      </c>
      <c r="S1865" s="11" t="s">
        <v>238</v>
      </c>
      <c r="T1865" s="5"/>
      <c r="U1865" s="5" t="s">
        <v>375</v>
      </c>
      <c r="V1865" s="11" t="s">
        <v>261</v>
      </c>
      <c r="W1865" s="5" t="s">
        <v>334</v>
      </c>
      <c r="X1865" s="5" t="s">
        <v>255</v>
      </c>
      <c r="Y1865" s="11" t="s">
        <v>4569</v>
      </c>
      <c r="Z1865" s="11" t="s">
        <v>270</v>
      </c>
      <c r="AA1865" s="11" t="s">
        <v>150</v>
      </c>
      <c r="AB1865" s="5" t="s">
        <v>245</v>
      </c>
      <c r="AC1865" s="5" t="s">
        <v>262</v>
      </c>
      <c r="AD1865" s="11" t="s">
        <v>4570</v>
      </c>
      <c r="AE1865" s="23" t="n">
        <v>0.95</v>
      </c>
      <c r="AF1865" s="23" t="n">
        <v>0</v>
      </c>
      <c r="AG1865" s="23" t="n">
        <v>0.33</v>
      </c>
      <c r="AH1865" s="23" t="n">
        <v>1</v>
      </c>
      <c r="AI1865" s="23" t="n">
        <v>0.2</v>
      </c>
      <c r="AJ1865" s="23" t="n">
        <v>0.0264</v>
      </c>
      <c r="AK1865" s="23" t="n">
        <v>0.5</v>
      </c>
      <c r="AL1865" s="23" t="n">
        <v>0.3</v>
      </c>
      <c r="AM1865" s="16" t="n">
        <f aca="false">COUNTIFS($D$2:$D$2501,D1865,$G$2:$G$2501,"&gt;"&amp;G1865)+COUNTIFS($D$2:D1865,D1865,$G$2:G1865,G1865)</f>
        <v>296</v>
      </c>
      <c r="AN1865" s="5" t="str">
        <f aca="false">D1865&amp;"|"&amp;AM1865</f>
        <v>實體擷取與去識別化|296</v>
      </c>
    </row>
    <row r="1866" customFormat="false" ht="17.15" hidden="false" customHeight="false" outlineLevel="0" collapsed="false">
      <c r="A1866" s="16" t="n">
        <f aca="false">RANK(G1866,$G$2:$G$2501)+COUNTIF($G$2:G1866,G1866)-1</f>
        <v>1865</v>
      </c>
      <c r="B1866" s="11" t="s">
        <v>4571</v>
      </c>
      <c r="C1866" s="11" t="s">
        <v>2693</v>
      </c>
      <c r="D1866" s="5" t="s">
        <v>74</v>
      </c>
      <c r="E1866" s="5" t="s">
        <v>75</v>
      </c>
      <c r="F1866" s="5"/>
      <c r="G1866" s="22" t="n">
        <f aca="false">ROUND(SUM(I1866:P1866),3)</f>
        <v>54.704</v>
      </c>
      <c r="H1866" s="5" t="str">
        <f aca="false">IF(G1866&gt;=評分方法!$C$16,"優先評估",IF(G1866&gt;=評分方法!$C$17,"列入候選",IF(G1866&gt;=評分方法!$C$18,"特定情境","不建議")))</f>
        <v>不建議</v>
      </c>
      <c r="I1866" s="15" t="n">
        <f aca="false">AE1866*評分方法!$C$5</f>
        <v>10.5</v>
      </c>
      <c r="J1866" s="15" t="n">
        <f aca="false">AF1866*評分方法!$C$6</f>
        <v>0</v>
      </c>
      <c r="K1866" s="15" t="n">
        <f aca="false">AG1866*評分方法!$C$7</f>
        <v>15</v>
      </c>
      <c r="L1866" s="15" t="n">
        <f aca="false">AH1866*評分方法!$C$8</f>
        <v>15</v>
      </c>
      <c r="M1866" s="15" t="n">
        <f aca="false">AI1866*評分方法!$C$9</f>
        <v>10</v>
      </c>
      <c r="N1866" s="15" t="n">
        <f aca="false">AJ1866*評分方法!$C$10</f>
        <v>0.204</v>
      </c>
      <c r="O1866" s="15" t="n">
        <f aca="false">AK1866*評分方法!$C$11</f>
        <v>2.5</v>
      </c>
      <c r="P1866" s="15" t="n">
        <f aca="false">AL1866*評分方法!$C$12</f>
        <v>1.5</v>
      </c>
      <c r="Q1866" s="6" t="n">
        <v>121612</v>
      </c>
      <c r="R1866" s="6" t="n">
        <v>24102144</v>
      </c>
      <c r="S1866" s="11" t="s">
        <v>238</v>
      </c>
      <c r="T1866" s="11" t="s">
        <v>239</v>
      </c>
      <c r="U1866" s="5" t="s">
        <v>240</v>
      </c>
      <c r="V1866" s="11" t="s">
        <v>324</v>
      </c>
      <c r="W1866" s="5" t="s">
        <v>205</v>
      </c>
      <c r="X1866" s="5" t="s">
        <v>255</v>
      </c>
      <c r="Y1866" s="5"/>
      <c r="Z1866" s="5"/>
      <c r="AA1866" s="11" t="s">
        <v>172</v>
      </c>
      <c r="AB1866" s="5" t="s">
        <v>245</v>
      </c>
      <c r="AC1866" s="5"/>
      <c r="AD1866" s="11" t="s">
        <v>4572</v>
      </c>
      <c r="AE1866" s="23" t="n">
        <v>0.35</v>
      </c>
      <c r="AF1866" s="23" t="n">
        <v>0</v>
      </c>
      <c r="AG1866" s="23" t="n">
        <v>1</v>
      </c>
      <c r="AH1866" s="23" t="n">
        <v>1</v>
      </c>
      <c r="AI1866" s="23" t="n">
        <v>1</v>
      </c>
      <c r="AJ1866" s="23" t="n">
        <v>0.0204</v>
      </c>
      <c r="AK1866" s="23" t="n">
        <v>0.5</v>
      </c>
      <c r="AL1866" s="23" t="n">
        <v>0.3</v>
      </c>
      <c r="AM1866" s="16" t="n">
        <f aca="false">COUNTIFS($D$2:$D$2501,D1866,$G$2:$G$2501,"&gt;"&amp;G1866)+COUNTIFS($D$2:D1866,D1866,$G$2:G1866,G1866)</f>
        <v>222</v>
      </c>
      <c r="AN1866" s="5" t="str">
        <f aca="false">D1866&amp;"|"&amp;AM1866</f>
        <v>文件與影像辨識|222</v>
      </c>
    </row>
    <row r="1867" customFormat="false" ht="17.15" hidden="false" customHeight="false" outlineLevel="0" collapsed="false">
      <c r="A1867" s="16" t="n">
        <f aca="false">RANK(G1867,$G$2:$G$2501)+COUNTIF($G$2:G1867,G1867)-1</f>
        <v>1866</v>
      </c>
      <c r="B1867" s="11" t="s">
        <v>4573</v>
      </c>
      <c r="C1867" s="11" t="s">
        <v>4574</v>
      </c>
      <c r="D1867" s="5" t="s">
        <v>56</v>
      </c>
      <c r="E1867" s="5" t="s">
        <v>57</v>
      </c>
      <c r="F1867" s="5"/>
      <c r="G1867" s="22" t="n">
        <f aca="false">ROUND(SUM(I1867:P1867),3)</f>
        <v>54.682</v>
      </c>
      <c r="H1867" s="5" t="str">
        <f aca="false">IF(G1867&gt;=評分方法!$C$16,"優先評估",IF(G1867&gt;=評分方法!$C$17,"列入候選",IF(G1867&gt;=評分方法!$C$18,"特定情境","不建議")))</f>
        <v>不建議</v>
      </c>
      <c r="I1867" s="15" t="n">
        <f aca="false">AE1867*評分方法!$C$5</f>
        <v>25.5</v>
      </c>
      <c r="J1867" s="15" t="n">
        <f aca="false">AF1867*評分方法!$C$6</f>
        <v>0</v>
      </c>
      <c r="K1867" s="15" t="n">
        <f aca="false">AG1867*評分方法!$C$7</f>
        <v>4.95</v>
      </c>
      <c r="L1867" s="15" t="n">
        <f aca="false">AH1867*評分方法!$C$8</f>
        <v>9</v>
      </c>
      <c r="M1867" s="15" t="n">
        <f aca="false">AI1867*評分方法!$C$9</f>
        <v>2</v>
      </c>
      <c r="N1867" s="15" t="n">
        <f aca="false">AJ1867*評分方法!$C$10</f>
        <v>5.232</v>
      </c>
      <c r="O1867" s="15" t="n">
        <f aca="false">AK1867*評分方法!$C$11</f>
        <v>5</v>
      </c>
      <c r="P1867" s="15" t="n">
        <f aca="false">AL1867*評分方法!$C$12</f>
        <v>3</v>
      </c>
      <c r="Q1867" s="6" t="n">
        <v>552335</v>
      </c>
      <c r="R1867" s="6" t="n">
        <v>15862789248</v>
      </c>
      <c r="S1867" s="11" t="s">
        <v>389</v>
      </c>
      <c r="T1867" s="5"/>
      <c r="U1867" s="5" t="s">
        <v>375</v>
      </c>
      <c r="V1867" s="11" t="s">
        <v>333</v>
      </c>
      <c r="W1867" s="5" t="s">
        <v>334</v>
      </c>
      <c r="X1867" s="5" t="s">
        <v>371</v>
      </c>
      <c r="Y1867" s="11" t="s">
        <v>4575</v>
      </c>
      <c r="Z1867" s="11" t="s">
        <v>244</v>
      </c>
      <c r="AA1867" s="11" t="s">
        <v>155</v>
      </c>
      <c r="AB1867" s="5" t="s">
        <v>245</v>
      </c>
      <c r="AC1867" s="5" t="s">
        <v>464</v>
      </c>
      <c r="AD1867" s="11" t="s">
        <v>4576</v>
      </c>
      <c r="AE1867" s="23" t="n">
        <v>0.85</v>
      </c>
      <c r="AF1867" s="23" t="n">
        <v>0</v>
      </c>
      <c r="AG1867" s="23" t="n">
        <v>0.33</v>
      </c>
      <c r="AH1867" s="23" t="n">
        <v>0.6</v>
      </c>
      <c r="AI1867" s="23" t="n">
        <v>0.2</v>
      </c>
      <c r="AJ1867" s="23" t="n">
        <v>0.5232</v>
      </c>
      <c r="AK1867" s="23" t="n">
        <v>1</v>
      </c>
      <c r="AL1867" s="23" t="n">
        <v>0.6</v>
      </c>
      <c r="AM1867" s="16" t="n">
        <f aca="false">COUNTIFS($D$2:$D$2501,D1867,$G$2:$G$2501,"&gt;"&amp;G1867)+COUNTIFS($D$2:D1867,D1867,$G$2:G1867,G1867)</f>
        <v>870</v>
      </c>
      <c r="AN1867" s="5" t="str">
        <f aca="false">D1867&amp;"|"&amp;AM1867</f>
        <v>分析與報告生成|870</v>
      </c>
    </row>
    <row r="1868" customFormat="false" ht="17.15" hidden="false" customHeight="false" outlineLevel="0" collapsed="false">
      <c r="A1868" s="16" t="n">
        <f aca="false">RANK(G1868,$G$2:$G$2501)+COUNTIF($G$2:G1868,G1868)-1</f>
        <v>1867</v>
      </c>
      <c r="B1868" s="11" t="s">
        <v>4577</v>
      </c>
      <c r="C1868" s="11" t="s">
        <v>1438</v>
      </c>
      <c r="D1868" s="5" t="s">
        <v>56</v>
      </c>
      <c r="E1868" s="5" t="s">
        <v>57</v>
      </c>
      <c r="F1868" s="5"/>
      <c r="G1868" s="22" t="n">
        <f aca="false">ROUND(SUM(I1868:P1868),3)</f>
        <v>54.664</v>
      </c>
      <c r="H1868" s="5" t="str">
        <f aca="false">IF(G1868&gt;=評分方法!$C$16,"優先評估",IF(G1868&gt;=評分方法!$C$17,"列入候選",IF(G1868&gt;=評分方法!$C$18,"特定情境","不建議")))</f>
        <v>不建議</v>
      </c>
      <c r="I1868" s="15" t="n">
        <f aca="false">AE1868*評分方法!$C$5</f>
        <v>25.5</v>
      </c>
      <c r="J1868" s="15" t="n">
        <f aca="false">AF1868*評分方法!$C$6</f>
        <v>0</v>
      </c>
      <c r="K1868" s="15" t="n">
        <f aca="false">AG1868*評分方法!$C$7</f>
        <v>10.05</v>
      </c>
      <c r="L1868" s="15" t="n">
        <f aca="false">AH1868*評分方法!$C$8</f>
        <v>4.95</v>
      </c>
      <c r="M1868" s="15" t="n">
        <f aca="false">AI1868*評分方法!$C$9</f>
        <v>2</v>
      </c>
      <c r="N1868" s="15" t="n">
        <f aca="false">AJ1868*評分方法!$C$10</f>
        <v>6.664</v>
      </c>
      <c r="O1868" s="15" t="n">
        <f aca="false">AK1868*評分方法!$C$11</f>
        <v>2.5</v>
      </c>
      <c r="P1868" s="15" t="n">
        <f aca="false">AL1868*評分方法!$C$12</f>
        <v>3</v>
      </c>
      <c r="Q1868" s="6" t="n">
        <v>800408</v>
      </c>
      <c r="R1868" s="6" t="n">
        <v>70553706560</v>
      </c>
      <c r="S1868" s="11" t="s">
        <v>1876</v>
      </c>
      <c r="T1868" s="5"/>
      <c r="U1868" s="5" t="s">
        <v>375</v>
      </c>
      <c r="V1868" s="11" t="s">
        <v>333</v>
      </c>
      <c r="W1868" s="5" t="s">
        <v>207</v>
      </c>
      <c r="X1868" s="5" t="s">
        <v>371</v>
      </c>
      <c r="Y1868" s="11" t="s">
        <v>2742</v>
      </c>
      <c r="Z1868" s="11" t="s">
        <v>244</v>
      </c>
      <c r="AA1868" s="11" t="s">
        <v>155</v>
      </c>
      <c r="AB1868" s="5" t="s">
        <v>245</v>
      </c>
      <c r="AC1868" s="5" t="s">
        <v>464</v>
      </c>
      <c r="AD1868" s="11" t="s">
        <v>4578</v>
      </c>
      <c r="AE1868" s="23" t="n">
        <v>0.85</v>
      </c>
      <c r="AF1868" s="23" t="n">
        <v>0</v>
      </c>
      <c r="AG1868" s="23" t="n">
        <v>0.67</v>
      </c>
      <c r="AH1868" s="23" t="n">
        <v>0.33</v>
      </c>
      <c r="AI1868" s="23" t="n">
        <v>0.2</v>
      </c>
      <c r="AJ1868" s="23" t="n">
        <v>0.6664</v>
      </c>
      <c r="AK1868" s="23" t="n">
        <v>0.5</v>
      </c>
      <c r="AL1868" s="23" t="n">
        <v>0.6</v>
      </c>
      <c r="AM1868" s="16" t="n">
        <f aca="false">COUNTIFS($D$2:$D$2501,D1868,$G$2:$G$2501,"&gt;"&amp;G1868)+COUNTIFS($D$2:D1868,D1868,$G$2:G1868,G1868)</f>
        <v>871</v>
      </c>
      <c r="AN1868" s="5" t="str">
        <f aca="false">D1868&amp;"|"&amp;AM1868</f>
        <v>分析與報告生成|871</v>
      </c>
    </row>
    <row r="1869" customFormat="false" ht="17.15" hidden="false" customHeight="false" outlineLevel="0" collapsed="false">
      <c r="A1869" s="16" t="n">
        <f aca="false">RANK(G1869,$G$2:$G$2501)+COUNTIF($G$2:G1869,G1869)-1</f>
        <v>1868</v>
      </c>
      <c r="B1869" s="11" t="s">
        <v>4579</v>
      </c>
      <c r="C1869" s="11" t="s">
        <v>2693</v>
      </c>
      <c r="D1869" s="5" t="s">
        <v>74</v>
      </c>
      <c r="E1869" s="5" t="s">
        <v>75</v>
      </c>
      <c r="F1869" s="5"/>
      <c r="G1869" s="22" t="n">
        <f aca="false">ROUND(SUM(I1869:P1869),3)</f>
        <v>54.656</v>
      </c>
      <c r="H1869" s="5" t="str">
        <f aca="false">IF(G1869&gt;=評分方法!$C$16,"優先評估",IF(G1869&gt;=評分方法!$C$17,"列入候選",IF(G1869&gt;=評分方法!$C$18,"特定情境","不建議")))</f>
        <v>不建議</v>
      </c>
      <c r="I1869" s="15" t="n">
        <f aca="false">AE1869*評分方法!$C$5</f>
        <v>10.5</v>
      </c>
      <c r="J1869" s="15" t="n">
        <f aca="false">AF1869*評分方法!$C$6</f>
        <v>0</v>
      </c>
      <c r="K1869" s="15" t="n">
        <f aca="false">AG1869*評分方法!$C$7</f>
        <v>15</v>
      </c>
      <c r="L1869" s="15" t="n">
        <f aca="false">AH1869*評分方法!$C$8</f>
        <v>15</v>
      </c>
      <c r="M1869" s="15" t="n">
        <f aca="false">AI1869*評分方法!$C$9</f>
        <v>10</v>
      </c>
      <c r="N1869" s="15" t="n">
        <f aca="false">AJ1869*評分方法!$C$10</f>
        <v>0.156</v>
      </c>
      <c r="O1869" s="15" t="n">
        <f aca="false">AK1869*評分方法!$C$11</f>
        <v>2.5</v>
      </c>
      <c r="P1869" s="15" t="n">
        <f aca="false">AL1869*評分方法!$C$12</f>
        <v>1.5</v>
      </c>
      <c r="Q1869" s="6" t="n">
        <v>120459</v>
      </c>
      <c r="R1869" s="6" t="n">
        <v>109953489</v>
      </c>
      <c r="S1869" s="11" t="s">
        <v>238</v>
      </c>
      <c r="T1869" s="11" t="s">
        <v>239</v>
      </c>
      <c r="U1869" s="5" t="s">
        <v>240</v>
      </c>
      <c r="V1869" s="11" t="s">
        <v>324</v>
      </c>
      <c r="W1869" s="5" t="s">
        <v>205</v>
      </c>
      <c r="X1869" s="5" t="s">
        <v>255</v>
      </c>
      <c r="Y1869" s="5"/>
      <c r="Z1869" s="5"/>
      <c r="AA1869" s="11" t="s">
        <v>172</v>
      </c>
      <c r="AB1869" s="5" t="s">
        <v>245</v>
      </c>
      <c r="AC1869" s="5"/>
      <c r="AD1869" s="11" t="s">
        <v>4580</v>
      </c>
      <c r="AE1869" s="23" t="n">
        <v>0.35</v>
      </c>
      <c r="AF1869" s="23" t="n">
        <v>0</v>
      </c>
      <c r="AG1869" s="23" t="n">
        <v>1</v>
      </c>
      <c r="AH1869" s="23" t="n">
        <v>1</v>
      </c>
      <c r="AI1869" s="23" t="n">
        <v>1</v>
      </c>
      <c r="AJ1869" s="23" t="n">
        <v>0.0156</v>
      </c>
      <c r="AK1869" s="23" t="n">
        <v>0.5</v>
      </c>
      <c r="AL1869" s="23" t="n">
        <v>0.3</v>
      </c>
      <c r="AM1869" s="16" t="n">
        <f aca="false">COUNTIFS($D$2:$D$2501,D1869,$G$2:$G$2501,"&gt;"&amp;G1869)+COUNTIFS($D$2:D1869,D1869,$G$2:G1869,G1869)</f>
        <v>223</v>
      </c>
      <c r="AN1869" s="5" t="str">
        <f aca="false">D1869&amp;"|"&amp;AM1869</f>
        <v>文件與影像辨識|223</v>
      </c>
    </row>
    <row r="1870" customFormat="false" ht="17.15" hidden="false" customHeight="false" outlineLevel="0" collapsed="false">
      <c r="A1870" s="16" t="n">
        <f aca="false">RANK(G1870,$G$2:$G$2501)+COUNTIF($G$2:G1870,G1870)-1</f>
        <v>1869</v>
      </c>
      <c r="B1870" s="11" t="s">
        <v>4581</v>
      </c>
      <c r="C1870" s="11" t="s">
        <v>2693</v>
      </c>
      <c r="D1870" s="5" t="s">
        <v>74</v>
      </c>
      <c r="E1870" s="5" t="s">
        <v>75</v>
      </c>
      <c r="F1870" s="5"/>
      <c r="G1870" s="22" t="n">
        <f aca="false">ROUND(SUM(I1870:P1870),3)</f>
        <v>54.636</v>
      </c>
      <c r="H1870" s="5" t="str">
        <f aca="false">IF(G1870&gt;=評分方法!$C$16,"優先評估",IF(G1870&gt;=評分方法!$C$17,"列入候選",IF(G1870&gt;=評分方法!$C$18,"特定情境","不建議")))</f>
        <v>不建議</v>
      </c>
      <c r="I1870" s="15" t="n">
        <f aca="false">AE1870*評分方法!$C$5</f>
        <v>10.5</v>
      </c>
      <c r="J1870" s="15" t="n">
        <f aca="false">AF1870*評分方法!$C$6</f>
        <v>0</v>
      </c>
      <c r="K1870" s="15" t="n">
        <f aca="false">AG1870*評分方法!$C$7</f>
        <v>15</v>
      </c>
      <c r="L1870" s="15" t="n">
        <f aca="false">AH1870*評分方法!$C$8</f>
        <v>15</v>
      </c>
      <c r="M1870" s="15" t="n">
        <f aca="false">AI1870*評分方法!$C$9</f>
        <v>10</v>
      </c>
      <c r="N1870" s="15" t="n">
        <f aca="false">AJ1870*評分方法!$C$10</f>
        <v>0.136</v>
      </c>
      <c r="O1870" s="15" t="n">
        <f aca="false">AK1870*評分方法!$C$11</f>
        <v>2.5</v>
      </c>
      <c r="P1870" s="15" t="n">
        <f aca="false">AL1870*評分方法!$C$12</f>
        <v>1.5</v>
      </c>
      <c r="Q1870" s="6" t="n">
        <v>119982</v>
      </c>
      <c r="R1870" s="6" t="n">
        <v>21814696</v>
      </c>
      <c r="S1870" s="11" t="s">
        <v>238</v>
      </c>
      <c r="T1870" s="11" t="s">
        <v>2029</v>
      </c>
      <c r="U1870" s="5" t="s">
        <v>240</v>
      </c>
      <c r="V1870" s="11" t="s">
        <v>324</v>
      </c>
      <c r="W1870" s="5" t="s">
        <v>205</v>
      </c>
      <c r="X1870" s="5" t="s">
        <v>255</v>
      </c>
      <c r="Y1870" s="5"/>
      <c r="Z1870" s="5"/>
      <c r="AA1870" s="11" t="s">
        <v>172</v>
      </c>
      <c r="AB1870" s="5" t="s">
        <v>245</v>
      </c>
      <c r="AC1870" s="5"/>
      <c r="AD1870" s="11" t="s">
        <v>4582</v>
      </c>
      <c r="AE1870" s="23" t="n">
        <v>0.35</v>
      </c>
      <c r="AF1870" s="23" t="n">
        <v>0</v>
      </c>
      <c r="AG1870" s="23" t="n">
        <v>1</v>
      </c>
      <c r="AH1870" s="23" t="n">
        <v>1</v>
      </c>
      <c r="AI1870" s="23" t="n">
        <v>1</v>
      </c>
      <c r="AJ1870" s="23" t="n">
        <v>0.0136</v>
      </c>
      <c r="AK1870" s="23" t="n">
        <v>0.5</v>
      </c>
      <c r="AL1870" s="23" t="n">
        <v>0.3</v>
      </c>
      <c r="AM1870" s="16" t="n">
        <f aca="false">COUNTIFS($D$2:$D$2501,D1870,$G$2:$G$2501,"&gt;"&amp;G1870)+COUNTIFS($D$2:D1870,D1870,$G$2:G1870,G1870)</f>
        <v>224</v>
      </c>
      <c r="AN1870" s="5" t="str">
        <f aca="false">D1870&amp;"|"&amp;AM1870</f>
        <v>文件與影像辨識|224</v>
      </c>
    </row>
    <row r="1871" customFormat="false" ht="17.15" hidden="false" customHeight="false" outlineLevel="0" collapsed="false">
      <c r="A1871" s="16" t="n">
        <f aca="false">RANK(G1871,$G$2:$G$2501)+COUNTIF($G$2:G1871,G1871)-1</f>
        <v>1870</v>
      </c>
      <c r="B1871" s="11" t="s">
        <v>4583</v>
      </c>
      <c r="C1871" s="11" t="s">
        <v>4584</v>
      </c>
      <c r="D1871" s="5" t="s">
        <v>54</v>
      </c>
      <c r="E1871" s="5" t="s">
        <v>55</v>
      </c>
      <c r="F1871" s="5"/>
      <c r="G1871" s="22" t="n">
        <f aca="false">ROUND(SUM(I1871:P1871),3)</f>
        <v>54.63</v>
      </c>
      <c r="H1871" s="5" t="str">
        <f aca="false">IF(G1871&gt;=評分方法!$C$16,"優先評估",IF(G1871&gt;=評分方法!$C$17,"列入候選",IF(G1871&gt;=評分方法!$C$18,"特定情境","不建議")))</f>
        <v>不建議</v>
      </c>
      <c r="I1871" s="15" t="n">
        <f aca="false">AE1871*評分方法!$C$5</f>
        <v>16.2</v>
      </c>
      <c r="J1871" s="15" t="n">
        <f aca="false">AF1871*評分方法!$C$6</f>
        <v>0</v>
      </c>
      <c r="K1871" s="15" t="n">
        <f aca="false">AG1871*評分方法!$C$7</f>
        <v>4.95</v>
      </c>
      <c r="L1871" s="15" t="n">
        <f aca="false">AH1871*評分方法!$C$8</f>
        <v>15</v>
      </c>
      <c r="M1871" s="15" t="n">
        <f aca="false">AI1871*評分方法!$C$9</f>
        <v>10</v>
      </c>
      <c r="N1871" s="15" t="n">
        <f aca="false">AJ1871*評分方法!$C$10</f>
        <v>7.48</v>
      </c>
      <c r="O1871" s="15" t="n">
        <f aca="false">AK1871*評分方法!$C$11</f>
        <v>1</v>
      </c>
      <c r="P1871" s="15" t="n">
        <f aca="false">AL1871*評分方法!$C$12</f>
        <v>0</v>
      </c>
      <c r="Q1871" s="6" t="n">
        <v>1143240</v>
      </c>
      <c r="R1871" s="6" t="n">
        <v>110618626</v>
      </c>
      <c r="S1871" s="11" t="s">
        <v>238</v>
      </c>
      <c r="T1871" s="11" t="s">
        <v>1636</v>
      </c>
      <c r="U1871" s="5" t="s">
        <v>240</v>
      </c>
      <c r="V1871" s="11" t="s">
        <v>324</v>
      </c>
      <c r="W1871" s="5" t="s">
        <v>334</v>
      </c>
      <c r="X1871" s="5" t="s">
        <v>242</v>
      </c>
      <c r="Y1871" s="5"/>
      <c r="Z1871" s="5"/>
      <c r="AA1871" s="11" t="s">
        <v>152</v>
      </c>
      <c r="AB1871" s="5" t="s">
        <v>245</v>
      </c>
      <c r="AC1871" s="5" t="s">
        <v>1463</v>
      </c>
      <c r="AD1871" s="11" t="s">
        <v>4585</v>
      </c>
      <c r="AE1871" s="23" t="n">
        <v>0.54</v>
      </c>
      <c r="AF1871" s="23" t="n">
        <v>0</v>
      </c>
      <c r="AG1871" s="23" t="n">
        <v>0.33</v>
      </c>
      <c r="AH1871" s="23" t="n">
        <v>1</v>
      </c>
      <c r="AI1871" s="23" t="n">
        <v>1</v>
      </c>
      <c r="AJ1871" s="23" t="n">
        <v>0.748</v>
      </c>
      <c r="AK1871" s="23" t="n">
        <v>0.2</v>
      </c>
      <c r="AL1871" s="23" t="n">
        <v>0</v>
      </c>
      <c r="AM1871" s="16" t="n">
        <f aca="false">COUNTIFS($D$2:$D$2501,D1871,$G$2:$G$2501,"&gt;"&amp;G1871)+COUNTIFS($D$2:D1871,D1871,$G$2:G1871,G1871)</f>
        <v>227</v>
      </c>
      <c r="AN1871" s="5" t="str">
        <f aca="false">D1871&amp;"|"&amp;AM1871</f>
        <v>檢索與情資關聯|227</v>
      </c>
    </row>
    <row r="1872" customFormat="false" ht="17.15" hidden="false" customHeight="false" outlineLevel="0" collapsed="false">
      <c r="A1872" s="16" t="n">
        <f aca="false">RANK(G1872,$G$2:$G$2501)+COUNTIF($G$2:G1872,G1872)-1</f>
        <v>1871</v>
      </c>
      <c r="B1872" s="11" t="s">
        <v>4586</v>
      </c>
      <c r="C1872" s="11" t="s">
        <v>4587</v>
      </c>
      <c r="D1872" s="5" t="s">
        <v>56</v>
      </c>
      <c r="E1872" s="5" t="s">
        <v>57</v>
      </c>
      <c r="F1872" s="5"/>
      <c r="G1872" s="22" t="n">
        <f aca="false">ROUND(SUM(I1872:P1872),3)</f>
        <v>54.63</v>
      </c>
      <c r="H1872" s="5" t="str">
        <f aca="false">IF(G1872&gt;=評分方法!$C$16,"優先評估",IF(G1872&gt;=評分方法!$C$17,"列入候選",IF(G1872&gt;=評分方法!$C$18,"特定情境","不建議")))</f>
        <v>不建議</v>
      </c>
      <c r="I1872" s="15" t="n">
        <f aca="false">AE1872*評分方法!$C$5</f>
        <v>25.5</v>
      </c>
      <c r="J1872" s="15" t="n">
        <f aca="false">AF1872*評分方法!$C$6</f>
        <v>0</v>
      </c>
      <c r="K1872" s="15" t="n">
        <f aca="false">AG1872*評分方法!$C$7</f>
        <v>4.95</v>
      </c>
      <c r="L1872" s="15" t="n">
        <f aca="false">AH1872*評分方法!$C$8</f>
        <v>9</v>
      </c>
      <c r="M1872" s="15" t="n">
        <f aca="false">AI1872*評分方法!$C$9</f>
        <v>2</v>
      </c>
      <c r="N1872" s="15" t="n">
        <f aca="false">AJ1872*評分方法!$C$10</f>
        <v>7.68</v>
      </c>
      <c r="O1872" s="15" t="n">
        <f aca="false">AK1872*評分方法!$C$11</f>
        <v>2.5</v>
      </c>
      <c r="P1872" s="15" t="n">
        <f aca="false">AL1872*評分方法!$C$12</f>
        <v>3</v>
      </c>
      <c r="Q1872" s="6" t="n">
        <v>1258341</v>
      </c>
      <c r="R1872" s="6" t="n">
        <v>23572403200</v>
      </c>
      <c r="S1872" s="11" t="s">
        <v>389</v>
      </c>
      <c r="T1872" s="5"/>
      <c r="U1872" s="5" t="s">
        <v>375</v>
      </c>
      <c r="V1872" s="11" t="s">
        <v>261</v>
      </c>
      <c r="W1872" s="5" t="s">
        <v>334</v>
      </c>
      <c r="X1872" s="5" t="s">
        <v>371</v>
      </c>
      <c r="Y1872" s="5"/>
      <c r="Z1872" s="5"/>
      <c r="AA1872" s="11" t="s">
        <v>155</v>
      </c>
      <c r="AB1872" s="5" t="s">
        <v>328</v>
      </c>
      <c r="AC1872" s="5" t="s">
        <v>329</v>
      </c>
      <c r="AD1872" s="11" t="s">
        <v>4588</v>
      </c>
      <c r="AE1872" s="23" t="n">
        <v>0.85</v>
      </c>
      <c r="AF1872" s="23" t="n">
        <v>0</v>
      </c>
      <c r="AG1872" s="23" t="n">
        <v>0.33</v>
      </c>
      <c r="AH1872" s="23" t="n">
        <v>0.6</v>
      </c>
      <c r="AI1872" s="23" t="n">
        <v>0.2</v>
      </c>
      <c r="AJ1872" s="23" t="n">
        <v>0.768</v>
      </c>
      <c r="AK1872" s="23" t="n">
        <v>0.5</v>
      </c>
      <c r="AL1872" s="23" t="n">
        <v>0.6</v>
      </c>
      <c r="AM1872" s="16" t="n">
        <f aca="false">COUNTIFS($D$2:$D$2501,D1872,$G$2:$G$2501,"&gt;"&amp;G1872)+COUNTIFS($D$2:D1872,D1872,$G$2:G1872,G1872)</f>
        <v>872</v>
      </c>
      <c r="AN1872" s="5" t="str">
        <f aca="false">D1872&amp;"|"&amp;AM1872</f>
        <v>分析與報告生成|872</v>
      </c>
    </row>
    <row r="1873" customFormat="false" ht="17.15" hidden="false" customHeight="false" outlineLevel="0" collapsed="false">
      <c r="A1873" s="16" t="n">
        <f aca="false">RANK(G1873,$G$2:$G$2501)+COUNTIF($G$2:G1873,G1873)-1</f>
        <v>1872</v>
      </c>
      <c r="B1873" s="11" t="s">
        <v>4589</v>
      </c>
      <c r="C1873" s="11" t="s">
        <v>2693</v>
      </c>
      <c r="D1873" s="5" t="s">
        <v>74</v>
      </c>
      <c r="E1873" s="5" t="s">
        <v>75</v>
      </c>
      <c r="F1873" s="5"/>
      <c r="G1873" s="22" t="n">
        <f aca="false">ROUND(SUM(I1873:P1873),3)</f>
        <v>54.628</v>
      </c>
      <c r="H1873" s="5" t="str">
        <f aca="false">IF(G1873&gt;=評分方法!$C$16,"優先評估",IF(G1873&gt;=評分方法!$C$17,"列入候選",IF(G1873&gt;=評分方法!$C$18,"特定情境","不建議")))</f>
        <v>不建議</v>
      </c>
      <c r="I1873" s="15" t="n">
        <f aca="false">AE1873*評分方法!$C$5</f>
        <v>10.5</v>
      </c>
      <c r="J1873" s="15" t="n">
        <f aca="false">AF1873*評分方法!$C$6</f>
        <v>0</v>
      </c>
      <c r="K1873" s="15" t="n">
        <f aca="false">AG1873*評分方法!$C$7</f>
        <v>15</v>
      </c>
      <c r="L1873" s="15" t="n">
        <f aca="false">AH1873*評分方法!$C$8</f>
        <v>15</v>
      </c>
      <c r="M1873" s="15" t="n">
        <f aca="false">AI1873*評分方法!$C$9</f>
        <v>10</v>
      </c>
      <c r="N1873" s="15" t="n">
        <f aca="false">AJ1873*評分方法!$C$10</f>
        <v>0.128</v>
      </c>
      <c r="O1873" s="15" t="n">
        <f aca="false">AK1873*評分方法!$C$11</f>
        <v>2.5</v>
      </c>
      <c r="P1873" s="15" t="n">
        <f aca="false">AL1873*評分方法!$C$12</f>
        <v>1.5</v>
      </c>
      <c r="Q1873" s="6" t="n">
        <v>119916</v>
      </c>
      <c r="R1873" s="6" t="n">
        <v>5507432</v>
      </c>
      <c r="S1873" s="11" t="s">
        <v>238</v>
      </c>
      <c r="T1873" s="11" t="s">
        <v>239</v>
      </c>
      <c r="U1873" s="5" t="s">
        <v>240</v>
      </c>
      <c r="V1873" s="11" t="s">
        <v>324</v>
      </c>
      <c r="W1873" s="5" t="s">
        <v>205</v>
      </c>
      <c r="X1873" s="5" t="s">
        <v>255</v>
      </c>
      <c r="Y1873" s="5"/>
      <c r="Z1873" s="5"/>
      <c r="AA1873" s="11" t="s">
        <v>172</v>
      </c>
      <c r="AB1873" s="5" t="s">
        <v>245</v>
      </c>
      <c r="AC1873" s="5"/>
      <c r="AD1873" s="11" t="s">
        <v>4590</v>
      </c>
      <c r="AE1873" s="23" t="n">
        <v>0.35</v>
      </c>
      <c r="AF1873" s="23" t="n">
        <v>0</v>
      </c>
      <c r="AG1873" s="23" t="n">
        <v>1</v>
      </c>
      <c r="AH1873" s="23" t="n">
        <v>1</v>
      </c>
      <c r="AI1873" s="23" t="n">
        <v>1</v>
      </c>
      <c r="AJ1873" s="23" t="n">
        <v>0.0128</v>
      </c>
      <c r="AK1873" s="23" t="n">
        <v>0.5</v>
      </c>
      <c r="AL1873" s="23" t="n">
        <v>0.3</v>
      </c>
      <c r="AM1873" s="16" t="n">
        <f aca="false">COUNTIFS($D$2:$D$2501,D1873,$G$2:$G$2501,"&gt;"&amp;G1873)+COUNTIFS($D$2:D1873,D1873,$G$2:G1873,G1873)</f>
        <v>225</v>
      </c>
      <c r="AN1873" s="5" t="str">
        <f aca="false">D1873&amp;"|"&amp;AM1873</f>
        <v>文件與影像辨識|225</v>
      </c>
    </row>
    <row r="1874" customFormat="false" ht="17.15" hidden="false" customHeight="false" outlineLevel="0" collapsed="false">
      <c r="A1874" s="16" t="n">
        <f aca="false">RANK(G1874,$G$2:$G$2501)+COUNTIF($G$2:G1874,G1874)-1</f>
        <v>1873</v>
      </c>
      <c r="B1874" s="11" t="s">
        <v>4591</v>
      </c>
      <c r="C1874" s="11" t="s">
        <v>2693</v>
      </c>
      <c r="D1874" s="5" t="s">
        <v>74</v>
      </c>
      <c r="E1874" s="5" t="s">
        <v>75</v>
      </c>
      <c r="F1874" s="5"/>
      <c r="G1874" s="22" t="n">
        <f aca="false">ROUND(SUM(I1874:P1874),3)</f>
        <v>54.62</v>
      </c>
      <c r="H1874" s="5" t="str">
        <f aca="false">IF(G1874&gt;=評分方法!$C$16,"優先評估",IF(G1874&gt;=評分方法!$C$17,"列入候選",IF(G1874&gt;=評分方法!$C$18,"特定情境","不建議")))</f>
        <v>不建議</v>
      </c>
      <c r="I1874" s="15" t="n">
        <f aca="false">AE1874*評分方法!$C$5</f>
        <v>10.5</v>
      </c>
      <c r="J1874" s="15" t="n">
        <f aca="false">AF1874*評分方法!$C$6</f>
        <v>0</v>
      </c>
      <c r="K1874" s="15" t="n">
        <f aca="false">AG1874*評分方法!$C$7</f>
        <v>15</v>
      </c>
      <c r="L1874" s="15" t="n">
        <f aca="false">AH1874*評分方法!$C$8</f>
        <v>15</v>
      </c>
      <c r="M1874" s="15" t="n">
        <f aca="false">AI1874*評分方法!$C$9</f>
        <v>10</v>
      </c>
      <c r="N1874" s="15" t="n">
        <f aca="false">AJ1874*評分方法!$C$10</f>
        <v>0.12</v>
      </c>
      <c r="O1874" s="15" t="n">
        <f aca="false">AK1874*評分方法!$C$11</f>
        <v>2.5</v>
      </c>
      <c r="P1874" s="15" t="n">
        <f aca="false">AL1874*評分方法!$C$12</f>
        <v>1.5</v>
      </c>
      <c r="Q1874" s="6" t="n">
        <v>119834</v>
      </c>
      <c r="R1874" s="6" t="n">
        <v>23869000</v>
      </c>
      <c r="S1874" s="11" t="s">
        <v>238</v>
      </c>
      <c r="T1874" s="11" t="s">
        <v>239</v>
      </c>
      <c r="U1874" s="5" t="s">
        <v>240</v>
      </c>
      <c r="V1874" s="11" t="s">
        <v>324</v>
      </c>
      <c r="W1874" s="5" t="s">
        <v>205</v>
      </c>
      <c r="X1874" s="5" t="s">
        <v>255</v>
      </c>
      <c r="Y1874" s="5"/>
      <c r="Z1874" s="5"/>
      <c r="AA1874" s="11" t="s">
        <v>172</v>
      </c>
      <c r="AB1874" s="5" t="s">
        <v>245</v>
      </c>
      <c r="AC1874" s="5"/>
      <c r="AD1874" s="11" t="s">
        <v>4592</v>
      </c>
      <c r="AE1874" s="23" t="n">
        <v>0.35</v>
      </c>
      <c r="AF1874" s="23" t="n">
        <v>0</v>
      </c>
      <c r="AG1874" s="23" t="n">
        <v>1</v>
      </c>
      <c r="AH1874" s="23" t="n">
        <v>1</v>
      </c>
      <c r="AI1874" s="23" t="n">
        <v>1</v>
      </c>
      <c r="AJ1874" s="23" t="n">
        <v>0.012</v>
      </c>
      <c r="AK1874" s="23" t="n">
        <v>0.5</v>
      </c>
      <c r="AL1874" s="23" t="n">
        <v>0.3</v>
      </c>
      <c r="AM1874" s="16" t="n">
        <f aca="false">COUNTIFS($D$2:$D$2501,D1874,$G$2:$G$2501,"&gt;"&amp;G1874)+COUNTIFS($D$2:D1874,D1874,$G$2:G1874,G1874)</f>
        <v>226</v>
      </c>
      <c r="AN1874" s="5" t="str">
        <f aca="false">D1874&amp;"|"&amp;AM1874</f>
        <v>文件與影像辨識|226</v>
      </c>
    </row>
    <row r="1875" customFormat="false" ht="17.15" hidden="false" customHeight="false" outlineLevel="0" collapsed="false">
      <c r="A1875" s="16" t="n">
        <f aca="false">RANK(G1875,$G$2:$G$2501)+COUNTIF($G$2:G1875,G1875)-1</f>
        <v>1874</v>
      </c>
      <c r="B1875" s="11" t="s">
        <v>4593</v>
      </c>
      <c r="C1875" s="11" t="s">
        <v>3829</v>
      </c>
      <c r="D1875" s="5" t="s">
        <v>56</v>
      </c>
      <c r="E1875" s="5" t="s">
        <v>57</v>
      </c>
      <c r="F1875" s="5"/>
      <c r="G1875" s="22" t="n">
        <f aca="false">ROUND(SUM(I1875:P1875),3)</f>
        <v>54.574</v>
      </c>
      <c r="H1875" s="5" t="str">
        <f aca="false">IF(G1875&gt;=評分方法!$C$16,"優先評估",IF(G1875&gt;=評分方法!$C$17,"列入候選",IF(G1875&gt;=評分方法!$C$18,"特定情境","不建議")))</f>
        <v>不建議</v>
      </c>
      <c r="I1875" s="15" t="n">
        <f aca="false">AE1875*評分方法!$C$5</f>
        <v>25.5</v>
      </c>
      <c r="J1875" s="15" t="n">
        <f aca="false">AF1875*評分方法!$C$6</f>
        <v>0</v>
      </c>
      <c r="K1875" s="15" t="n">
        <f aca="false">AG1875*評分方法!$C$7</f>
        <v>4.95</v>
      </c>
      <c r="L1875" s="15" t="n">
        <f aca="false">AH1875*評分方法!$C$8</f>
        <v>9</v>
      </c>
      <c r="M1875" s="15" t="n">
        <f aca="false">AI1875*評分方法!$C$9</f>
        <v>10</v>
      </c>
      <c r="N1875" s="15" t="n">
        <f aca="false">AJ1875*評分方法!$C$10</f>
        <v>1.124</v>
      </c>
      <c r="O1875" s="15" t="n">
        <f aca="false">AK1875*評分方法!$C$11</f>
        <v>1</v>
      </c>
      <c r="P1875" s="15" t="n">
        <f aca="false">AL1875*評分方法!$C$12</f>
        <v>3</v>
      </c>
      <c r="Q1875" s="6" t="n">
        <v>158334</v>
      </c>
      <c r="R1875" s="6" t="n">
        <v>34751166464</v>
      </c>
      <c r="S1875" s="11" t="s">
        <v>389</v>
      </c>
      <c r="T1875" s="11" t="s">
        <v>239</v>
      </c>
      <c r="U1875" s="5" t="s">
        <v>240</v>
      </c>
      <c r="V1875" s="11" t="s">
        <v>261</v>
      </c>
      <c r="W1875" s="5" t="s">
        <v>334</v>
      </c>
      <c r="X1875" s="5" t="s">
        <v>371</v>
      </c>
      <c r="Y1875" s="5"/>
      <c r="Z1875" s="5"/>
      <c r="AA1875" s="11" t="s">
        <v>156</v>
      </c>
      <c r="AB1875" s="5" t="s">
        <v>245</v>
      </c>
      <c r="AC1875" s="5"/>
      <c r="AD1875" s="11" t="s">
        <v>4594</v>
      </c>
      <c r="AE1875" s="23" t="n">
        <v>0.85</v>
      </c>
      <c r="AF1875" s="23" t="n">
        <v>0</v>
      </c>
      <c r="AG1875" s="23" t="n">
        <v>0.33</v>
      </c>
      <c r="AH1875" s="23" t="n">
        <v>0.6</v>
      </c>
      <c r="AI1875" s="23" t="n">
        <v>1</v>
      </c>
      <c r="AJ1875" s="23" t="n">
        <v>0.1124</v>
      </c>
      <c r="AK1875" s="23" t="n">
        <v>0.2</v>
      </c>
      <c r="AL1875" s="23" t="n">
        <v>0.6</v>
      </c>
      <c r="AM1875" s="16" t="n">
        <f aca="false">COUNTIFS($D$2:$D$2501,D1875,$G$2:$G$2501,"&gt;"&amp;G1875)+COUNTIFS($D$2:D1875,D1875,$G$2:G1875,G1875)</f>
        <v>873</v>
      </c>
      <c r="AN1875" s="5" t="str">
        <f aca="false">D1875&amp;"|"&amp;AM1875</f>
        <v>分析與報告生成|873</v>
      </c>
    </row>
    <row r="1876" customFormat="false" ht="17.15" hidden="false" customHeight="false" outlineLevel="0" collapsed="false">
      <c r="A1876" s="16" t="n">
        <f aca="false">RANK(G1876,$G$2:$G$2501)+COUNTIF($G$2:G1876,G1876)-1</f>
        <v>1875</v>
      </c>
      <c r="B1876" s="11" t="s">
        <v>4595</v>
      </c>
      <c r="C1876" s="11" t="s">
        <v>3732</v>
      </c>
      <c r="D1876" s="5" t="s">
        <v>74</v>
      </c>
      <c r="E1876" s="5" t="s">
        <v>75</v>
      </c>
      <c r="F1876" s="5"/>
      <c r="G1876" s="22" t="n">
        <f aca="false">ROUND(SUM(I1876:P1876),3)</f>
        <v>54.566</v>
      </c>
      <c r="H1876" s="5" t="str">
        <f aca="false">IF(G1876&gt;=評分方法!$C$16,"優先評估",IF(G1876&gt;=評分方法!$C$17,"列入候選",IF(G1876&gt;=評分方法!$C$18,"特定情境","不建議")))</f>
        <v>不建議</v>
      </c>
      <c r="I1876" s="15" t="n">
        <f aca="false">AE1876*評分方法!$C$5</f>
        <v>10.5</v>
      </c>
      <c r="J1876" s="15" t="n">
        <f aca="false">AF1876*評分方法!$C$6</f>
        <v>0</v>
      </c>
      <c r="K1876" s="15" t="n">
        <f aca="false">AG1876*評分方法!$C$7</f>
        <v>10.05</v>
      </c>
      <c r="L1876" s="15" t="n">
        <f aca="false">AH1876*評分方法!$C$8</f>
        <v>15</v>
      </c>
      <c r="M1876" s="15" t="n">
        <f aca="false">AI1876*評分方法!$C$9</f>
        <v>10</v>
      </c>
      <c r="N1876" s="15" t="n">
        <f aca="false">AJ1876*評分方法!$C$10</f>
        <v>5.016</v>
      </c>
      <c r="O1876" s="15" t="n">
        <f aca="false">AK1876*評分方法!$C$11</f>
        <v>2.5</v>
      </c>
      <c r="P1876" s="15" t="n">
        <f aca="false">AL1876*評分方法!$C$12</f>
        <v>1.5</v>
      </c>
      <c r="Q1876" s="6" t="n">
        <v>539617</v>
      </c>
      <c r="R1876" s="6" t="n">
        <v>85800194</v>
      </c>
      <c r="S1876" s="11" t="s">
        <v>238</v>
      </c>
      <c r="T1876" s="11" t="s">
        <v>239</v>
      </c>
      <c r="U1876" s="5" t="s">
        <v>240</v>
      </c>
      <c r="V1876" s="11" t="s">
        <v>324</v>
      </c>
      <c r="W1876" s="5" t="s">
        <v>207</v>
      </c>
      <c r="X1876" s="5" t="s">
        <v>255</v>
      </c>
      <c r="Y1876" s="11" t="s">
        <v>3146</v>
      </c>
      <c r="Z1876" s="11" t="s">
        <v>270</v>
      </c>
      <c r="AA1876" s="11" t="s">
        <v>172</v>
      </c>
      <c r="AB1876" s="5" t="s">
        <v>245</v>
      </c>
      <c r="AC1876" s="5"/>
      <c r="AD1876" s="11" t="s">
        <v>4596</v>
      </c>
      <c r="AE1876" s="23" t="n">
        <v>0.35</v>
      </c>
      <c r="AF1876" s="23" t="n">
        <v>0</v>
      </c>
      <c r="AG1876" s="23" t="n">
        <v>0.67</v>
      </c>
      <c r="AH1876" s="23" t="n">
        <v>1</v>
      </c>
      <c r="AI1876" s="23" t="n">
        <v>1</v>
      </c>
      <c r="AJ1876" s="23" t="n">
        <v>0.5016</v>
      </c>
      <c r="AK1876" s="23" t="n">
        <v>0.5</v>
      </c>
      <c r="AL1876" s="23" t="n">
        <v>0.3</v>
      </c>
      <c r="AM1876" s="16" t="n">
        <f aca="false">COUNTIFS($D$2:$D$2501,D1876,$G$2:$G$2501,"&gt;"&amp;G1876)+COUNTIFS($D$2:D1876,D1876,$G$2:G1876,G1876)</f>
        <v>227</v>
      </c>
      <c r="AN1876" s="5" t="str">
        <f aca="false">D1876&amp;"|"&amp;AM1876</f>
        <v>文件與影像辨識|227</v>
      </c>
    </row>
    <row r="1877" customFormat="false" ht="17.15" hidden="false" customHeight="false" outlineLevel="0" collapsed="false">
      <c r="A1877" s="16" t="n">
        <f aca="false">RANK(G1877,$G$2:$G$2501)+COUNTIF($G$2:G1877,G1877)-1</f>
        <v>1876</v>
      </c>
      <c r="B1877" s="11" t="s">
        <v>4597</v>
      </c>
      <c r="C1877" s="11" t="s">
        <v>2693</v>
      </c>
      <c r="D1877" s="5" t="s">
        <v>74</v>
      </c>
      <c r="E1877" s="5" t="s">
        <v>75</v>
      </c>
      <c r="F1877" s="5"/>
      <c r="G1877" s="22" t="n">
        <f aca="false">ROUND(SUM(I1877:P1877),3)</f>
        <v>54.56</v>
      </c>
      <c r="H1877" s="5" t="str">
        <f aca="false">IF(G1877&gt;=評分方法!$C$16,"優先評估",IF(G1877&gt;=評分方法!$C$17,"列入候選",IF(G1877&gt;=評分方法!$C$18,"特定情境","不建議")))</f>
        <v>不建議</v>
      </c>
      <c r="I1877" s="15" t="n">
        <f aca="false">AE1877*評分方法!$C$5</f>
        <v>10.5</v>
      </c>
      <c r="J1877" s="15" t="n">
        <f aca="false">AF1877*評分方法!$C$6</f>
        <v>0</v>
      </c>
      <c r="K1877" s="15" t="n">
        <f aca="false">AG1877*評分方法!$C$7</f>
        <v>15</v>
      </c>
      <c r="L1877" s="15" t="n">
        <f aca="false">AH1877*評分方法!$C$8</f>
        <v>15</v>
      </c>
      <c r="M1877" s="15" t="n">
        <f aca="false">AI1877*評分方法!$C$9</f>
        <v>10</v>
      </c>
      <c r="N1877" s="15" t="n">
        <f aca="false">AJ1877*評分方法!$C$10</f>
        <v>0.06</v>
      </c>
      <c r="O1877" s="15" t="n">
        <f aca="false">AK1877*評分方法!$C$11</f>
        <v>2.5</v>
      </c>
      <c r="P1877" s="15" t="n">
        <f aca="false">AL1877*評分方法!$C$12</f>
        <v>1.5</v>
      </c>
      <c r="Q1877" s="6" t="n">
        <v>118416</v>
      </c>
      <c r="R1877" s="6" t="n">
        <v>39297102</v>
      </c>
      <c r="S1877" s="11" t="s">
        <v>238</v>
      </c>
      <c r="T1877" s="11" t="s">
        <v>239</v>
      </c>
      <c r="U1877" s="5" t="s">
        <v>240</v>
      </c>
      <c r="V1877" s="11" t="s">
        <v>324</v>
      </c>
      <c r="W1877" s="5" t="s">
        <v>205</v>
      </c>
      <c r="X1877" s="5" t="s">
        <v>255</v>
      </c>
      <c r="Y1877" s="5"/>
      <c r="Z1877" s="5"/>
      <c r="AA1877" s="11" t="s">
        <v>172</v>
      </c>
      <c r="AB1877" s="5" t="s">
        <v>245</v>
      </c>
      <c r="AC1877" s="5"/>
      <c r="AD1877" s="11" t="s">
        <v>4598</v>
      </c>
      <c r="AE1877" s="23" t="n">
        <v>0.35</v>
      </c>
      <c r="AF1877" s="23" t="n">
        <v>0</v>
      </c>
      <c r="AG1877" s="23" t="n">
        <v>1</v>
      </c>
      <c r="AH1877" s="23" t="n">
        <v>1</v>
      </c>
      <c r="AI1877" s="23" t="n">
        <v>1</v>
      </c>
      <c r="AJ1877" s="23" t="n">
        <v>0.006</v>
      </c>
      <c r="AK1877" s="23" t="n">
        <v>0.5</v>
      </c>
      <c r="AL1877" s="23" t="n">
        <v>0.3</v>
      </c>
      <c r="AM1877" s="16" t="n">
        <f aca="false">COUNTIFS($D$2:$D$2501,D1877,$G$2:$G$2501,"&gt;"&amp;G1877)+COUNTIFS($D$2:D1877,D1877,$G$2:G1877,G1877)</f>
        <v>228</v>
      </c>
      <c r="AN1877" s="5" t="str">
        <f aca="false">D1877&amp;"|"&amp;AM1877</f>
        <v>文件與影像辨識|228</v>
      </c>
    </row>
    <row r="1878" customFormat="false" ht="17.15" hidden="false" customHeight="false" outlineLevel="0" collapsed="false">
      <c r="A1878" s="16" t="n">
        <f aca="false">RANK(G1878,$G$2:$G$2501)+COUNTIF($G$2:G1878,G1878)-1</f>
        <v>1877</v>
      </c>
      <c r="B1878" s="11" t="s">
        <v>4599</v>
      </c>
      <c r="C1878" s="11" t="s">
        <v>681</v>
      </c>
      <c r="D1878" s="5" t="s">
        <v>74</v>
      </c>
      <c r="E1878" s="5" t="s">
        <v>75</v>
      </c>
      <c r="F1878" s="5"/>
      <c r="G1878" s="22" t="n">
        <f aca="false">ROUND(SUM(I1878:P1878),3)</f>
        <v>54.536</v>
      </c>
      <c r="H1878" s="5" t="str">
        <f aca="false">IF(G1878&gt;=評分方法!$C$16,"優先評估",IF(G1878&gt;=評分方法!$C$17,"列入候選",IF(G1878&gt;=評分方法!$C$18,"特定情境","不建議")))</f>
        <v>不建議</v>
      </c>
      <c r="I1878" s="15" t="n">
        <f aca="false">AE1878*評分方法!$C$5</f>
        <v>10.5</v>
      </c>
      <c r="J1878" s="15" t="n">
        <f aca="false">AF1878*評分方法!$C$6</f>
        <v>0</v>
      </c>
      <c r="K1878" s="15" t="n">
        <f aca="false">AG1878*評分方法!$C$7</f>
        <v>15</v>
      </c>
      <c r="L1878" s="15" t="n">
        <f aca="false">AH1878*評分方法!$C$8</f>
        <v>15</v>
      </c>
      <c r="M1878" s="15" t="n">
        <f aca="false">AI1878*評分方法!$C$9</f>
        <v>6</v>
      </c>
      <c r="N1878" s="15" t="n">
        <f aca="false">AJ1878*評分方法!$C$10</f>
        <v>5.536</v>
      </c>
      <c r="O1878" s="15" t="n">
        <f aca="false">AK1878*評分方法!$C$11</f>
        <v>2.5</v>
      </c>
      <c r="P1878" s="15" t="n">
        <f aca="false">AL1878*評分方法!$C$12</f>
        <v>0</v>
      </c>
      <c r="Q1878" s="6" t="n">
        <v>577820</v>
      </c>
      <c r="R1878" s="6" t="n">
        <v>840592640</v>
      </c>
      <c r="S1878" s="11" t="s">
        <v>238</v>
      </c>
      <c r="T1878" s="11" t="s">
        <v>185</v>
      </c>
      <c r="U1878" s="5" t="s">
        <v>260</v>
      </c>
      <c r="V1878" s="11" t="s">
        <v>261</v>
      </c>
      <c r="W1878" s="5" t="s">
        <v>205</v>
      </c>
      <c r="X1878" s="5" t="s">
        <v>242</v>
      </c>
      <c r="Y1878" s="11" t="s">
        <v>3942</v>
      </c>
      <c r="Z1878" s="11" t="s">
        <v>270</v>
      </c>
      <c r="AA1878" s="11" t="s">
        <v>173</v>
      </c>
      <c r="AB1878" s="5" t="s">
        <v>245</v>
      </c>
      <c r="AC1878" s="5" t="s">
        <v>262</v>
      </c>
      <c r="AD1878" s="11" t="s">
        <v>4600</v>
      </c>
      <c r="AE1878" s="23" t="n">
        <v>0.35</v>
      </c>
      <c r="AF1878" s="23" t="n">
        <v>0</v>
      </c>
      <c r="AG1878" s="23" t="n">
        <v>1</v>
      </c>
      <c r="AH1878" s="23" t="n">
        <v>1</v>
      </c>
      <c r="AI1878" s="23" t="n">
        <v>0.6</v>
      </c>
      <c r="AJ1878" s="23" t="n">
        <v>0.5536</v>
      </c>
      <c r="AK1878" s="23" t="n">
        <v>0.5</v>
      </c>
      <c r="AL1878" s="23" t="n">
        <v>0</v>
      </c>
      <c r="AM1878" s="16" t="n">
        <f aca="false">COUNTIFS($D$2:$D$2501,D1878,$G$2:$G$2501,"&gt;"&amp;G1878)+COUNTIFS($D$2:D1878,D1878,$G$2:G1878,G1878)</f>
        <v>229</v>
      </c>
      <c r="AN1878" s="5" t="str">
        <f aca="false">D1878&amp;"|"&amp;AM1878</f>
        <v>文件與影像辨識|229</v>
      </c>
    </row>
    <row r="1879" customFormat="false" ht="17.15" hidden="false" customHeight="false" outlineLevel="0" collapsed="false">
      <c r="A1879" s="16" t="n">
        <f aca="false">RANK(G1879,$G$2:$G$2501)+COUNTIF($G$2:G1879,G1879)-1</f>
        <v>1878</v>
      </c>
      <c r="B1879" s="11" t="s">
        <v>4601</v>
      </c>
      <c r="C1879" s="11" t="s">
        <v>1214</v>
      </c>
      <c r="D1879" s="5" t="s">
        <v>74</v>
      </c>
      <c r="E1879" s="5" t="s">
        <v>75</v>
      </c>
      <c r="F1879" s="5"/>
      <c r="G1879" s="22" t="n">
        <f aca="false">ROUND(SUM(I1879:P1879),3)</f>
        <v>54.522</v>
      </c>
      <c r="H1879" s="5" t="str">
        <f aca="false">IF(G1879&gt;=評分方法!$C$16,"優先評估",IF(G1879&gt;=評分方法!$C$17,"列入候選",IF(G1879&gt;=評分方法!$C$18,"特定情境","不建議")))</f>
        <v>不建議</v>
      </c>
      <c r="I1879" s="15" t="n">
        <f aca="false">AE1879*評分方法!$C$5</f>
        <v>12</v>
      </c>
      <c r="J1879" s="15" t="n">
        <f aca="false">AF1879*評分方法!$C$6</f>
        <v>0</v>
      </c>
      <c r="K1879" s="15" t="n">
        <f aca="false">AG1879*評分方法!$C$7</f>
        <v>15</v>
      </c>
      <c r="L1879" s="15" t="n">
        <f aca="false">AH1879*評分方法!$C$8</f>
        <v>7.05</v>
      </c>
      <c r="M1879" s="15" t="n">
        <f aca="false">AI1879*評分方法!$C$9</f>
        <v>10</v>
      </c>
      <c r="N1879" s="15" t="n">
        <f aca="false">AJ1879*評分方法!$C$10</f>
        <v>3.972</v>
      </c>
      <c r="O1879" s="15" t="n">
        <f aca="false">AK1879*評分方法!$C$11</f>
        <v>5</v>
      </c>
      <c r="P1879" s="15" t="n">
        <f aca="false">AL1879*評分方法!$C$12</f>
        <v>1.5</v>
      </c>
      <c r="Q1879" s="6" t="n">
        <v>413013</v>
      </c>
      <c r="R1879" s="6"/>
      <c r="S1879" s="5" t="s">
        <v>255</v>
      </c>
      <c r="T1879" s="11" t="s">
        <v>239</v>
      </c>
      <c r="U1879" s="5" t="s">
        <v>240</v>
      </c>
      <c r="V1879" s="11" t="s">
        <v>261</v>
      </c>
      <c r="W1879" s="5" t="s">
        <v>205</v>
      </c>
      <c r="X1879" s="5" t="s">
        <v>255</v>
      </c>
      <c r="Y1879" s="11" t="s">
        <v>2814</v>
      </c>
      <c r="Z1879" s="11" t="s">
        <v>270</v>
      </c>
      <c r="AA1879" s="11" t="s">
        <v>167</v>
      </c>
      <c r="AB1879" s="5" t="s">
        <v>496</v>
      </c>
      <c r="AC1879" s="5" t="s">
        <v>497</v>
      </c>
      <c r="AD1879" s="11" t="s">
        <v>4602</v>
      </c>
      <c r="AE1879" s="23" t="n">
        <v>0.4</v>
      </c>
      <c r="AF1879" s="23" t="n">
        <v>0</v>
      </c>
      <c r="AG1879" s="23" t="n">
        <v>1</v>
      </c>
      <c r="AH1879" s="23" t="n">
        <v>0.47</v>
      </c>
      <c r="AI1879" s="23" t="n">
        <v>1</v>
      </c>
      <c r="AJ1879" s="23" t="n">
        <v>0.3972</v>
      </c>
      <c r="AK1879" s="23" t="n">
        <v>1</v>
      </c>
      <c r="AL1879" s="23" t="n">
        <v>0.3</v>
      </c>
      <c r="AM1879" s="16" t="n">
        <f aca="false">COUNTIFS($D$2:$D$2501,D1879,$G$2:$G$2501,"&gt;"&amp;G1879)+COUNTIFS($D$2:D1879,D1879,$G$2:G1879,G1879)</f>
        <v>230</v>
      </c>
      <c r="AN1879" s="5" t="str">
        <f aca="false">D1879&amp;"|"&amp;AM1879</f>
        <v>文件與影像辨識|230</v>
      </c>
    </row>
    <row r="1880" customFormat="false" ht="17.15" hidden="false" customHeight="false" outlineLevel="0" collapsed="false">
      <c r="A1880" s="16" t="n">
        <f aca="false">RANK(G1880,$G$2:$G$2501)+COUNTIF($G$2:G1880,G1880)-1</f>
        <v>1879</v>
      </c>
      <c r="B1880" s="11" t="s">
        <v>4603</v>
      </c>
      <c r="C1880" s="11" t="s">
        <v>2693</v>
      </c>
      <c r="D1880" s="5" t="s">
        <v>74</v>
      </c>
      <c r="E1880" s="5" t="s">
        <v>75</v>
      </c>
      <c r="F1880" s="5"/>
      <c r="G1880" s="22" t="n">
        <f aca="false">ROUND(SUM(I1880:P1880),3)</f>
        <v>54.516</v>
      </c>
      <c r="H1880" s="5" t="str">
        <f aca="false">IF(G1880&gt;=評分方法!$C$16,"優先評估",IF(G1880&gt;=評分方法!$C$17,"列入候選",IF(G1880&gt;=評分方法!$C$18,"特定情境","不建議")))</f>
        <v>不建議</v>
      </c>
      <c r="I1880" s="15" t="n">
        <f aca="false">AE1880*評分方法!$C$5</f>
        <v>10.5</v>
      </c>
      <c r="J1880" s="15" t="n">
        <f aca="false">AF1880*評分方法!$C$6</f>
        <v>0</v>
      </c>
      <c r="K1880" s="15" t="n">
        <f aca="false">AG1880*評分方法!$C$7</f>
        <v>15</v>
      </c>
      <c r="L1880" s="15" t="n">
        <f aca="false">AH1880*評分方法!$C$8</f>
        <v>15</v>
      </c>
      <c r="M1880" s="15" t="n">
        <f aca="false">AI1880*評分方法!$C$9</f>
        <v>10</v>
      </c>
      <c r="N1880" s="15" t="n">
        <f aca="false">AJ1880*評分方法!$C$10</f>
        <v>0.016</v>
      </c>
      <c r="O1880" s="15" t="n">
        <f aca="false">AK1880*評分方法!$C$11</f>
        <v>2.5</v>
      </c>
      <c r="P1880" s="15" t="n">
        <f aca="false">AL1880*評分方法!$C$12</f>
        <v>1.5</v>
      </c>
      <c r="Q1880" s="6" t="n">
        <v>117313</v>
      </c>
      <c r="R1880" s="6" t="n">
        <v>30562520</v>
      </c>
      <c r="S1880" s="11" t="s">
        <v>238</v>
      </c>
      <c r="T1880" s="11" t="s">
        <v>239</v>
      </c>
      <c r="U1880" s="5" t="s">
        <v>240</v>
      </c>
      <c r="V1880" s="11" t="s">
        <v>324</v>
      </c>
      <c r="W1880" s="5" t="s">
        <v>205</v>
      </c>
      <c r="X1880" s="5" t="s">
        <v>255</v>
      </c>
      <c r="Y1880" s="5"/>
      <c r="Z1880" s="5"/>
      <c r="AA1880" s="11" t="s">
        <v>172</v>
      </c>
      <c r="AB1880" s="5" t="s">
        <v>245</v>
      </c>
      <c r="AC1880" s="5"/>
      <c r="AD1880" s="11" t="s">
        <v>4604</v>
      </c>
      <c r="AE1880" s="23" t="n">
        <v>0.35</v>
      </c>
      <c r="AF1880" s="23" t="n">
        <v>0</v>
      </c>
      <c r="AG1880" s="23" t="n">
        <v>1</v>
      </c>
      <c r="AH1880" s="23" t="n">
        <v>1</v>
      </c>
      <c r="AI1880" s="23" t="n">
        <v>1</v>
      </c>
      <c r="AJ1880" s="23" t="n">
        <v>0.0016</v>
      </c>
      <c r="AK1880" s="23" t="n">
        <v>0.5</v>
      </c>
      <c r="AL1880" s="23" t="n">
        <v>0.3</v>
      </c>
      <c r="AM1880" s="16" t="n">
        <f aca="false">COUNTIFS($D$2:$D$2501,D1880,$G$2:$G$2501,"&gt;"&amp;G1880)+COUNTIFS($D$2:D1880,D1880,$G$2:G1880,G1880)</f>
        <v>231</v>
      </c>
      <c r="AN1880" s="5" t="str">
        <f aca="false">D1880&amp;"|"&amp;AM1880</f>
        <v>文件與影像辨識|231</v>
      </c>
    </row>
    <row r="1881" customFormat="false" ht="17.15" hidden="false" customHeight="false" outlineLevel="0" collapsed="false">
      <c r="A1881" s="16" t="n">
        <f aca="false">RANK(G1881,$G$2:$G$2501)+COUNTIF($G$2:G1881,G1881)-1</f>
        <v>1880</v>
      </c>
      <c r="B1881" s="11" t="s">
        <v>4605</v>
      </c>
      <c r="C1881" s="11" t="s">
        <v>2693</v>
      </c>
      <c r="D1881" s="5" t="s">
        <v>74</v>
      </c>
      <c r="E1881" s="5" t="s">
        <v>75</v>
      </c>
      <c r="F1881" s="5"/>
      <c r="G1881" s="22" t="n">
        <f aca="false">ROUND(SUM(I1881:P1881),3)</f>
        <v>54.512</v>
      </c>
      <c r="H1881" s="5" t="str">
        <f aca="false">IF(G1881&gt;=評分方法!$C$16,"優先評估",IF(G1881&gt;=評分方法!$C$17,"列入候選",IF(G1881&gt;=評分方法!$C$18,"特定情境","不建議")))</f>
        <v>不建議</v>
      </c>
      <c r="I1881" s="15" t="n">
        <f aca="false">AE1881*評分方法!$C$5</f>
        <v>10.5</v>
      </c>
      <c r="J1881" s="15" t="n">
        <f aca="false">AF1881*評分方法!$C$6</f>
        <v>0</v>
      </c>
      <c r="K1881" s="15" t="n">
        <f aca="false">AG1881*評分方法!$C$7</f>
        <v>15</v>
      </c>
      <c r="L1881" s="15" t="n">
        <f aca="false">AH1881*評分方法!$C$8</f>
        <v>15</v>
      </c>
      <c r="M1881" s="15" t="n">
        <f aca="false">AI1881*評分方法!$C$9</f>
        <v>10</v>
      </c>
      <c r="N1881" s="15" t="n">
        <f aca="false">AJ1881*評分方法!$C$10</f>
        <v>0.012</v>
      </c>
      <c r="O1881" s="15" t="n">
        <f aca="false">AK1881*評分方法!$C$11</f>
        <v>2.5</v>
      </c>
      <c r="P1881" s="15" t="n">
        <f aca="false">AL1881*評分方法!$C$12</f>
        <v>1.5</v>
      </c>
      <c r="Q1881" s="6" t="n">
        <v>117044</v>
      </c>
      <c r="R1881" s="6" t="n">
        <v>28900936</v>
      </c>
      <c r="S1881" s="11" t="s">
        <v>238</v>
      </c>
      <c r="T1881" s="11" t="s">
        <v>239</v>
      </c>
      <c r="U1881" s="5" t="s">
        <v>240</v>
      </c>
      <c r="V1881" s="11" t="s">
        <v>324</v>
      </c>
      <c r="W1881" s="5" t="s">
        <v>205</v>
      </c>
      <c r="X1881" s="5" t="s">
        <v>255</v>
      </c>
      <c r="Y1881" s="5"/>
      <c r="Z1881" s="5"/>
      <c r="AA1881" s="11" t="s">
        <v>172</v>
      </c>
      <c r="AB1881" s="5" t="s">
        <v>245</v>
      </c>
      <c r="AC1881" s="5"/>
      <c r="AD1881" s="11" t="s">
        <v>4606</v>
      </c>
      <c r="AE1881" s="23" t="n">
        <v>0.35</v>
      </c>
      <c r="AF1881" s="23" t="n">
        <v>0</v>
      </c>
      <c r="AG1881" s="23" t="n">
        <v>1</v>
      </c>
      <c r="AH1881" s="23" t="n">
        <v>1</v>
      </c>
      <c r="AI1881" s="23" t="n">
        <v>1</v>
      </c>
      <c r="AJ1881" s="23" t="n">
        <v>0.0012</v>
      </c>
      <c r="AK1881" s="23" t="n">
        <v>0.5</v>
      </c>
      <c r="AL1881" s="23" t="n">
        <v>0.3</v>
      </c>
      <c r="AM1881" s="16" t="n">
        <f aca="false">COUNTIFS($D$2:$D$2501,D1881,$G$2:$G$2501,"&gt;"&amp;G1881)+COUNTIFS($D$2:D1881,D1881,$G$2:G1881,G1881)</f>
        <v>232</v>
      </c>
      <c r="AN1881" s="5" t="str">
        <f aca="false">D1881&amp;"|"&amp;AM1881</f>
        <v>文件與影像辨識|232</v>
      </c>
    </row>
    <row r="1882" customFormat="false" ht="17.15" hidden="false" customHeight="false" outlineLevel="0" collapsed="false">
      <c r="A1882" s="16" t="n">
        <f aca="false">RANK(G1882,$G$2:$G$2501)+COUNTIF($G$2:G1882,G1882)-1</f>
        <v>1881</v>
      </c>
      <c r="B1882" s="11" t="s">
        <v>4607</v>
      </c>
      <c r="C1882" s="11" t="s">
        <v>4608</v>
      </c>
      <c r="D1882" s="5" t="s">
        <v>54</v>
      </c>
      <c r="E1882" s="5" t="s">
        <v>55</v>
      </c>
      <c r="F1882" s="5"/>
      <c r="G1882" s="22" t="n">
        <f aca="false">ROUND(SUM(I1882:P1882),3)</f>
        <v>54.506</v>
      </c>
      <c r="H1882" s="5" t="str">
        <f aca="false">IF(G1882&gt;=評分方法!$C$16,"優先評估",IF(G1882&gt;=評分方法!$C$17,"列入候選",IF(G1882&gt;=評分方法!$C$18,"特定情境","不建議")))</f>
        <v>不建議</v>
      </c>
      <c r="I1882" s="15" t="n">
        <f aca="false">AE1882*評分方法!$C$5</f>
        <v>27</v>
      </c>
      <c r="J1882" s="15" t="n">
        <f aca="false">AF1882*評分方法!$C$6</f>
        <v>0</v>
      </c>
      <c r="K1882" s="15" t="n">
        <f aca="false">AG1882*評分方法!$C$7</f>
        <v>4.95</v>
      </c>
      <c r="L1882" s="15" t="n">
        <f aca="false">AH1882*評分方法!$C$8</f>
        <v>15</v>
      </c>
      <c r="M1882" s="15" t="n">
        <f aca="false">AI1882*評分方法!$C$9</f>
        <v>2</v>
      </c>
      <c r="N1882" s="15" t="n">
        <f aca="false">AJ1882*評分方法!$C$10</f>
        <v>1.556</v>
      </c>
      <c r="O1882" s="15" t="n">
        <f aca="false">AK1882*評分方法!$C$11</f>
        <v>2.5</v>
      </c>
      <c r="P1882" s="15" t="n">
        <f aca="false">AL1882*評分方法!$C$12</f>
        <v>1.5</v>
      </c>
      <c r="Q1882" s="6" t="n">
        <v>182860</v>
      </c>
      <c r="R1882" s="6" t="n">
        <v>22713216</v>
      </c>
      <c r="S1882" s="11" t="s">
        <v>238</v>
      </c>
      <c r="T1882" s="5"/>
      <c r="U1882" s="5" t="s">
        <v>375</v>
      </c>
      <c r="V1882" s="11" t="s">
        <v>261</v>
      </c>
      <c r="W1882" s="5" t="s">
        <v>334</v>
      </c>
      <c r="X1882" s="5" t="s">
        <v>255</v>
      </c>
      <c r="Y1882" s="11" t="s">
        <v>352</v>
      </c>
      <c r="Z1882" s="11" t="s">
        <v>270</v>
      </c>
      <c r="AA1882" s="11" t="s">
        <v>152</v>
      </c>
      <c r="AB1882" s="5" t="s">
        <v>245</v>
      </c>
      <c r="AC1882" s="5" t="s">
        <v>262</v>
      </c>
      <c r="AD1882" s="11" t="s">
        <v>4609</v>
      </c>
      <c r="AE1882" s="23" t="n">
        <v>0.9</v>
      </c>
      <c r="AF1882" s="23" t="n">
        <v>0</v>
      </c>
      <c r="AG1882" s="23" t="n">
        <v>0.33</v>
      </c>
      <c r="AH1882" s="23" t="n">
        <v>1</v>
      </c>
      <c r="AI1882" s="23" t="n">
        <v>0.2</v>
      </c>
      <c r="AJ1882" s="23" t="n">
        <v>0.1556</v>
      </c>
      <c r="AK1882" s="23" t="n">
        <v>0.5</v>
      </c>
      <c r="AL1882" s="23" t="n">
        <v>0.3</v>
      </c>
      <c r="AM1882" s="16" t="n">
        <f aca="false">COUNTIFS($D$2:$D$2501,D1882,$G$2:$G$2501,"&gt;"&amp;G1882)+COUNTIFS($D$2:D1882,D1882,$G$2:G1882,G1882)</f>
        <v>228</v>
      </c>
      <c r="AN1882" s="5" t="str">
        <f aca="false">D1882&amp;"|"&amp;AM1882</f>
        <v>檢索與情資關聯|228</v>
      </c>
    </row>
    <row r="1883" customFormat="false" ht="17.15" hidden="false" customHeight="false" outlineLevel="0" collapsed="false">
      <c r="A1883" s="16" t="n">
        <f aca="false">RANK(G1883,$G$2:$G$2501)+COUNTIF($G$2:G1883,G1883)-1</f>
        <v>1882</v>
      </c>
      <c r="B1883" s="11" t="s">
        <v>4610</v>
      </c>
      <c r="C1883" s="11" t="s">
        <v>681</v>
      </c>
      <c r="D1883" s="5" t="s">
        <v>80</v>
      </c>
      <c r="E1883" s="5" t="s">
        <v>81</v>
      </c>
      <c r="F1883" s="5"/>
      <c r="G1883" s="22" t="n">
        <f aca="false">ROUND(SUM(I1883:P1883),3)</f>
        <v>54.496</v>
      </c>
      <c r="H1883" s="5" t="str">
        <f aca="false">IF(G1883&gt;=評分方法!$C$16,"優先評估",IF(G1883&gt;=評分方法!$C$17,"列入候選",IF(G1883&gt;=評分方法!$C$18,"特定情境","不建議")))</f>
        <v>不建議</v>
      </c>
      <c r="I1883" s="15" t="n">
        <f aca="false">AE1883*評分方法!$C$5</f>
        <v>3</v>
      </c>
      <c r="J1883" s="15" t="n">
        <f aca="false">AF1883*評分方法!$C$6</f>
        <v>0</v>
      </c>
      <c r="K1883" s="15" t="n">
        <f aca="false">AG1883*評分方法!$C$7</f>
        <v>15</v>
      </c>
      <c r="L1883" s="15" t="n">
        <f aca="false">AH1883*評分方法!$C$8</f>
        <v>15</v>
      </c>
      <c r="M1883" s="15" t="n">
        <f aca="false">AI1883*評分方法!$C$9</f>
        <v>10</v>
      </c>
      <c r="N1883" s="15" t="n">
        <f aca="false">AJ1883*評分方法!$C$10</f>
        <v>8.996</v>
      </c>
      <c r="O1883" s="15" t="n">
        <f aca="false">AK1883*評分方法!$C$11</f>
        <v>1</v>
      </c>
      <c r="P1883" s="15" t="n">
        <f aca="false">AL1883*評分方法!$C$12</f>
        <v>1.5</v>
      </c>
      <c r="Q1883" s="6" t="n">
        <v>3844249</v>
      </c>
      <c r="R1883" s="6" t="n">
        <v>93735728</v>
      </c>
      <c r="S1883" s="11" t="s">
        <v>238</v>
      </c>
      <c r="T1883" s="11" t="s">
        <v>239</v>
      </c>
      <c r="U1883" s="5" t="s">
        <v>240</v>
      </c>
      <c r="V1883" s="11" t="s">
        <v>855</v>
      </c>
      <c r="W1883" s="5" t="s">
        <v>205</v>
      </c>
      <c r="X1883" s="5" t="s">
        <v>255</v>
      </c>
      <c r="Y1883" s="5"/>
      <c r="Z1883" s="5"/>
      <c r="AA1883" s="11" t="s">
        <v>184</v>
      </c>
      <c r="AB1883" s="5" t="s">
        <v>245</v>
      </c>
      <c r="AC1883" s="5"/>
      <c r="AD1883" s="11" t="s">
        <v>4611</v>
      </c>
      <c r="AE1883" s="23" t="n">
        <v>0.1</v>
      </c>
      <c r="AF1883" s="23" t="n">
        <v>0</v>
      </c>
      <c r="AG1883" s="23" t="n">
        <v>1</v>
      </c>
      <c r="AH1883" s="23" t="n">
        <v>1</v>
      </c>
      <c r="AI1883" s="23" t="n">
        <v>1</v>
      </c>
      <c r="AJ1883" s="23" t="n">
        <v>0.8996</v>
      </c>
      <c r="AK1883" s="23" t="n">
        <v>0.2</v>
      </c>
      <c r="AL1883" s="23" t="n">
        <v>0.3</v>
      </c>
      <c r="AM1883" s="16" t="n">
        <f aca="false">COUNTIFS($D$2:$D$2501,D1883,$G$2:$G$2501,"&gt;"&amp;G1883)+COUNTIFS($D$2:D1883,D1883,$G$2:G1883,G1883)</f>
        <v>5</v>
      </c>
      <c r="AN1883" s="5" t="str">
        <f aca="false">D1883&amp;"|"&amp;AM1883</f>
        <v>其他|5</v>
      </c>
    </row>
    <row r="1884" customFormat="false" ht="17.15" hidden="false" customHeight="false" outlineLevel="0" collapsed="false">
      <c r="A1884" s="16" t="n">
        <f aca="false">RANK(G1884,$G$2:$G$2501)+COUNTIF($G$2:G1884,G1884)-1</f>
        <v>1883</v>
      </c>
      <c r="B1884" s="11" t="s">
        <v>4612</v>
      </c>
      <c r="C1884" s="11" t="s">
        <v>308</v>
      </c>
      <c r="D1884" s="5" t="s">
        <v>74</v>
      </c>
      <c r="E1884" s="5" t="s">
        <v>75</v>
      </c>
      <c r="F1884" s="5"/>
      <c r="G1884" s="22" t="n">
        <f aca="false">ROUND(SUM(I1884:P1884),3)</f>
        <v>54.488</v>
      </c>
      <c r="H1884" s="5" t="str">
        <f aca="false">IF(G1884&gt;=評分方法!$C$16,"優先評估",IF(G1884&gt;=評分方法!$C$17,"列入候選",IF(G1884&gt;=評分方法!$C$18,"特定情境","不建議")))</f>
        <v>不建議</v>
      </c>
      <c r="I1884" s="15" t="n">
        <f aca="false">AE1884*評分方法!$C$5</f>
        <v>13.5</v>
      </c>
      <c r="J1884" s="15" t="n">
        <f aca="false">AF1884*評分方法!$C$6</f>
        <v>0</v>
      </c>
      <c r="K1884" s="15" t="n">
        <f aca="false">AG1884*評分方法!$C$7</f>
        <v>15</v>
      </c>
      <c r="L1884" s="15" t="n">
        <f aca="false">AH1884*評分方法!$C$8</f>
        <v>15</v>
      </c>
      <c r="M1884" s="15" t="n">
        <f aca="false">AI1884*評分方法!$C$9</f>
        <v>2</v>
      </c>
      <c r="N1884" s="15" t="n">
        <f aca="false">AJ1884*評分方法!$C$10</f>
        <v>6.488</v>
      </c>
      <c r="O1884" s="15" t="n">
        <f aca="false">AK1884*評分方法!$C$11</f>
        <v>1</v>
      </c>
      <c r="P1884" s="15" t="n">
        <f aca="false">AL1884*評分方法!$C$12</f>
        <v>1.5</v>
      </c>
      <c r="Q1884" s="6" t="n">
        <v>752411</v>
      </c>
      <c r="R1884" s="6" t="n">
        <v>608119809</v>
      </c>
      <c r="S1884" s="11" t="s">
        <v>238</v>
      </c>
      <c r="T1884" s="5"/>
      <c r="U1884" s="5" t="s">
        <v>375</v>
      </c>
      <c r="V1884" s="11" t="s">
        <v>324</v>
      </c>
      <c r="W1884" s="5" t="s">
        <v>205</v>
      </c>
      <c r="X1884" s="5" t="s">
        <v>255</v>
      </c>
      <c r="Y1884" s="5"/>
      <c r="Z1884" s="5"/>
      <c r="AA1884" s="11" t="s">
        <v>164</v>
      </c>
      <c r="AB1884" s="5" t="s">
        <v>245</v>
      </c>
      <c r="AC1884" s="5" t="s">
        <v>262</v>
      </c>
      <c r="AD1884" s="11" t="s">
        <v>4613</v>
      </c>
      <c r="AE1884" s="23" t="n">
        <v>0.45</v>
      </c>
      <c r="AF1884" s="23" t="n">
        <v>0</v>
      </c>
      <c r="AG1884" s="23" t="n">
        <v>1</v>
      </c>
      <c r="AH1884" s="23" t="n">
        <v>1</v>
      </c>
      <c r="AI1884" s="23" t="n">
        <v>0.2</v>
      </c>
      <c r="AJ1884" s="23" t="n">
        <v>0.6488</v>
      </c>
      <c r="AK1884" s="23" t="n">
        <v>0.2</v>
      </c>
      <c r="AL1884" s="23" t="n">
        <v>0.3</v>
      </c>
      <c r="AM1884" s="16" t="n">
        <f aca="false">COUNTIFS($D$2:$D$2501,D1884,$G$2:$G$2501,"&gt;"&amp;G1884)+COUNTIFS($D$2:D1884,D1884,$G$2:G1884,G1884)</f>
        <v>233</v>
      </c>
      <c r="AN1884" s="5" t="str">
        <f aca="false">D1884&amp;"|"&amp;AM1884</f>
        <v>文件與影像辨識|233</v>
      </c>
    </row>
    <row r="1885" customFormat="false" ht="17.15" hidden="false" customHeight="false" outlineLevel="0" collapsed="false">
      <c r="A1885" s="16" t="n">
        <f aca="false">RANK(G1885,$G$2:$G$2501)+COUNTIF($G$2:G1885,G1885)-1</f>
        <v>1884</v>
      </c>
      <c r="B1885" s="11" t="s">
        <v>4614</v>
      </c>
      <c r="C1885" s="11" t="s">
        <v>753</v>
      </c>
      <c r="D1885" s="5" t="s">
        <v>56</v>
      </c>
      <c r="E1885" s="5" t="s">
        <v>57</v>
      </c>
      <c r="F1885" s="5"/>
      <c r="G1885" s="22" t="n">
        <f aca="false">ROUND(SUM(I1885:P1885),3)</f>
        <v>54.482</v>
      </c>
      <c r="H1885" s="5" t="str">
        <f aca="false">IF(G1885&gt;=評分方法!$C$16,"優先評估",IF(G1885&gt;=評分方法!$C$17,"列入候選",IF(G1885&gt;=評分方法!$C$18,"特定情境","不建議")))</f>
        <v>不建議</v>
      </c>
      <c r="I1885" s="15" t="n">
        <f aca="false">AE1885*評分方法!$C$5</f>
        <v>25.5</v>
      </c>
      <c r="J1885" s="15" t="n">
        <f aca="false">AF1885*評分方法!$C$6</f>
        <v>0</v>
      </c>
      <c r="K1885" s="15" t="n">
        <f aca="false">AG1885*評分方法!$C$7</f>
        <v>10.05</v>
      </c>
      <c r="L1885" s="15" t="n">
        <f aca="false">AH1885*評分方法!$C$8</f>
        <v>9</v>
      </c>
      <c r="M1885" s="15" t="n">
        <f aca="false">AI1885*評分方法!$C$9</f>
        <v>6</v>
      </c>
      <c r="N1885" s="15" t="n">
        <f aca="false">AJ1885*評分方法!$C$10</f>
        <v>1.432</v>
      </c>
      <c r="O1885" s="15" t="n">
        <f aca="false">AK1885*評分方法!$C$11</f>
        <v>2.5</v>
      </c>
      <c r="P1885" s="15" t="n">
        <f aca="false">AL1885*評分方法!$C$12</f>
        <v>0</v>
      </c>
      <c r="Q1885" s="6" t="n">
        <v>175401</v>
      </c>
      <c r="R1885" s="6" t="n">
        <v>27009346304</v>
      </c>
      <c r="S1885" s="11" t="s">
        <v>389</v>
      </c>
      <c r="T1885" s="11" t="s">
        <v>658</v>
      </c>
      <c r="U1885" s="5" t="s">
        <v>260</v>
      </c>
      <c r="V1885" s="11" t="s">
        <v>333</v>
      </c>
      <c r="W1885" s="5" t="s">
        <v>207</v>
      </c>
      <c r="X1885" s="5" t="s">
        <v>242</v>
      </c>
      <c r="Y1885" s="11" t="s">
        <v>1344</v>
      </c>
      <c r="Z1885" s="11" t="s">
        <v>244</v>
      </c>
      <c r="AA1885" s="11" t="s">
        <v>156</v>
      </c>
      <c r="AB1885" s="5" t="s">
        <v>245</v>
      </c>
      <c r="AC1885" s="5" t="s">
        <v>464</v>
      </c>
      <c r="AD1885" s="11" t="s">
        <v>4615</v>
      </c>
      <c r="AE1885" s="23" t="n">
        <v>0.85</v>
      </c>
      <c r="AF1885" s="23" t="n">
        <v>0</v>
      </c>
      <c r="AG1885" s="23" t="n">
        <v>0.67</v>
      </c>
      <c r="AH1885" s="23" t="n">
        <v>0.6</v>
      </c>
      <c r="AI1885" s="23" t="n">
        <v>0.6</v>
      </c>
      <c r="AJ1885" s="23" t="n">
        <v>0.1432</v>
      </c>
      <c r="AK1885" s="23" t="n">
        <v>0.5</v>
      </c>
      <c r="AL1885" s="23" t="n">
        <v>0</v>
      </c>
      <c r="AM1885" s="16" t="n">
        <f aca="false">COUNTIFS($D$2:$D$2501,D1885,$G$2:$G$2501,"&gt;"&amp;G1885)+COUNTIFS($D$2:D1885,D1885,$G$2:G1885,G1885)</f>
        <v>874</v>
      </c>
      <c r="AN1885" s="5" t="str">
        <f aca="false">D1885&amp;"|"&amp;AM1885</f>
        <v>分析與報告生成|874</v>
      </c>
    </row>
    <row r="1886" customFormat="false" ht="17.15" hidden="false" customHeight="false" outlineLevel="0" collapsed="false">
      <c r="A1886" s="16" t="n">
        <f aca="false">RANK(G1886,$G$2:$G$2501)+COUNTIF($G$2:G1886,G1886)-1</f>
        <v>1885</v>
      </c>
      <c r="B1886" s="11" t="s">
        <v>4616</v>
      </c>
      <c r="C1886" s="11" t="s">
        <v>258</v>
      </c>
      <c r="D1886" s="5" t="s">
        <v>56</v>
      </c>
      <c r="E1886" s="5" t="s">
        <v>57</v>
      </c>
      <c r="F1886" s="5"/>
      <c r="G1886" s="22" t="n">
        <f aca="false">ROUND(SUM(I1886:P1886),3)</f>
        <v>54.43</v>
      </c>
      <c r="H1886" s="5" t="str">
        <f aca="false">IF(G1886&gt;=評分方法!$C$16,"優先評估",IF(G1886&gt;=評分方法!$C$17,"列入候選",IF(G1886&gt;=評分方法!$C$18,"特定情境","不建議")))</f>
        <v>不建議</v>
      </c>
      <c r="I1886" s="15" t="n">
        <f aca="false">AE1886*評分方法!$C$5</f>
        <v>25.5</v>
      </c>
      <c r="J1886" s="15" t="n">
        <f aca="false">AF1886*評分方法!$C$6</f>
        <v>0</v>
      </c>
      <c r="K1886" s="15" t="n">
        <f aca="false">AG1886*評分方法!$C$7</f>
        <v>15</v>
      </c>
      <c r="L1886" s="15" t="n">
        <f aca="false">AH1886*評分方法!$C$8</f>
        <v>4.95</v>
      </c>
      <c r="M1886" s="15" t="n">
        <f aca="false">AI1886*評分方法!$C$9</f>
        <v>6</v>
      </c>
      <c r="N1886" s="15" t="n">
        <f aca="false">AJ1886*評分方法!$C$10</f>
        <v>1.98</v>
      </c>
      <c r="O1886" s="15" t="n">
        <f aca="false">AK1886*評分方法!$C$11</f>
        <v>1</v>
      </c>
      <c r="P1886" s="15" t="n">
        <f aca="false">AL1886*評分方法!$C$12</f>
        <v>0</v>
      </c>
      <c r="Q1886" s="6" t="n">
        <v>208780</v>
      </c>
      <c r="R1886" s="6" t="n">
        <v>68976653312</v>
      </c>
      <c r="S1886" s="11" t="s">
        <v>1876</v>
      </c>
      <c r="T1886" s="11" t="s">
        <v>1153</v>
      </c>
      <c r="U1886" s="5" t="s">
        <v>260</v>
      </c>
      <c r="V1886" s="11" t="s">
        <v>324</v>
      </c>
      <c r="W1886" s="5" t="s">
        <v>205</v>
      </c>
      <c r="X1886" s="5" t="s">
        <v>242</v>
      </c>
      <c r="Y1886" s="5"/>
      <c r="Z1886" s="5"/>
      <c r="AA1886" s="11" t="s">
        <v>155</v>
      </c>
      <c r="AB1886" s="5" t="s">
        <v>245</v>
      </c>
      <c r="AC1886" s="5" t="s">
        <v>262</v>
      </c>
      <c r="AD1886" s="11" t="s">
        <v>4617</v>
      </c>
      <c r="AE1886" s="23" t="n">
        <v>0.85</v>
      </c>
      <c r="AF1886" s="23" t="n">
        <v>0</v>
      </c>
      <c r="AG1886" s="23" t="n">
        <v>1</v>
      </c>
      <c r="AH1886" s="23" t="n">
        <v>0.33</v>
      </c>
      <c r="AI1886" s="23" t="n">
        <v>0.6</v>
      </c>
      <c r="AJ1886" s="23" t="n">
        <v>0.198</v>
      </c>
      <c r="AK1886" s="23" t="n">
        <v>0.2</v>
      </c>
      <c r="AL1886" s="23" t="n">
        <v>0</v>
      </c>
      <c r="AM1886" s="16" t="n">
        <f aca="false">COUNTIFS($D$2:$D$2501,D1886,$G$2:$G$2501,"&gt;"&amp;G1886)+COUNTIFS($D$2:D1886,D1886,$G$2:G1886,G1886)</f>
        <v>875</v>
      </c>
      <c r="AN1886" s="5" t="str">
        <f aca="false">D1886&amp;"|"&amp;AM1886</f>
        <v>分析與報告生成|875</v>
      </c>
    </row>
    <row r="1887" customFormat="false" ht="17.15" hidden="false" customHeight="false" outlineLevel="0" collapsed="false">
      <c r="A1887" s="16" t="n">
        <f aca="false">RANK(G1887,$G$2:$G$2501)+COUNTIF($G$2:G1887,G1887)-1</f>
        <v>1886</v>
      </c>
      <c r="B1887" s="11" t="s">
        <v>4618</v>
      </c>
      <c r="C1887" s="11" t="s">
        <v>308</v>
      </c>
      <c r="D1887" s="5" t="s">
        <v>74</v>
      </c>
      <c r="E1887" s="5" t="s">
        <v>75</v>
      </c>
      <c r="F1887" s="5"/>
      <c r="G1887" s="22" t="n">
        <f aca="false">ROUND(SUM(I1887:P1887),3)</f>
        <v>54.416</v>
      </c>
      <c r="H1887" s="5" t="str">
        <f aca="false">IF(G1887&gt;=評分方法!$C$16,"優先評估",IF(G1887&gt;=評分方法!$C$17,"列入候選",IF(G1887&gt;=評分方法!$C$18,"特定情境","不建議")))</f>
        <v>不建議</v>
      </c>
      <c r="I1887" s="15" t="n">
        <f aca="false">AE1887*評分方法!$C$5</f>
        <v>7.5</v>
      </c>
      <c r="J1887" s="15" t="n">
        <f aca="false">AF1887*評分方法!$C$6</f>
        <v>0</v>
      </c>
      <c r="K1887" s="15" t="n">
        <f aca="false">AG1887*評分方法!$C$7</f>
        <v>15</v>
      </c>
      <c r="L1887" s="15" t="n">
        <f aca="false">AH1887*評分方法!$C$8</f>
        <v>15</v>
      </c>
      <c r="M1887" s="15" t="n">
        <f aca="false">AI1887*評分方法!$C$9</f>
        <v>10</v>
      </c>
      <c r="N1887" s="15" t="n">
        <f aca="false">AJ1887*評分方法!$C$10</f>
        <v>5.916</v>
      </c>
      <c r="O1887" s="15" t="n">
        <f aca="false">AK1887*評分方法!$C$11</f>
        <v>1</v>
      </c>
      <c r="P1887" s="15" t="n">
        <f aca="false">AL1887*評分方法!$C$12</f>
        <v>0</v>
      </c>
      <c r="Q1887" s="6" t="n">
        <v>608356</v>
      </c>
      <c r="R1887" s="6" t="n">
        <v>196585855</v>
      </c>
      <c r="S1887" s="11" t="s">
        <v>238</v>
      </c>
      <c r="T1887" s="11" t="s">
        <v>278</v>
      </c>
      <c r="U1887" s="5" t="s">
        <v>240</v>
      </c>
      <c r="V1887" s="11" t="s">
        <v>324</v>
      </c>
      <c r="W1887" s="5" t="s">
        <v>205</v>
      </c>
      <c r="X1887" s="5" t="s">
        <v>242</v>
      </c>
      <c r="Y1887" s="5"/>
      <c r="Z1887" s="5"/>
      <c r="AA1887" s="11" t="s">
        <v>179</v>
      </c>
      <c r="AB1887" s="5" t="s">
        <v>245</v>
      </c>
      <c r="AC1887" s="5"/>
      <c r="AD1887" s="11" t="s">
        <v>4619</v>
      </c>
      <c r="AE1887" s="23" t="n">
        <v>0.25</v>
      </c>
      <c r="AF1887" s="23" t="n">
        <v>0</v>
      </c>
      <c r="AG1887" s="23" t="n">
        <v>1</v>
      </c>
      <c r="AH1887" s="23" t="n">
        <v>1</v>
      </c>
      <c r="AI1887" s="23" t="n">
        <v>1</v>
      </c>
      <c r="AJ1887" s="23" t="n">
        <v>0.5916</v>
      </c>
      <c r="AK1887" s="23" t="n">
        <v>0.2</v>
      </c>
      <c r="AL1887" s="23" t="n">
        <v>0</v>
      </c>
      <c r="AM1887" s="16" t="n">
        <f aca="false">COUNTIFS($D$2:$D$2501,D1887,$G$2:$G$2501,"&gt;"&amp;G1887)+COUNTIFS($D$2:D1887,D1887,$G$2:G1887,G1887)</f>
        <v>234</v>
      </c>
      <c r="AN1887" s="5" t="str">
        <f aca="false">D1887&amp;"|"&amp;AM1887</f>
        <v>文件與影像辨識|234</v>
      </c>
    </row>
    <row r="1888" customFormat="false" ht="17.15" hidden="false" customHeight="false" outlineLevel="0" collapsed="false">
      <c r="A1888" s="16" t="n">
        <f aca="false">RANK(G1888,$G$2:$G$2501)+COUNTIF($G$2:G1888,G1888)-1</f>
        <v>1887</v>
      </c>
      <c r="B1888" s="11" t="s">
        <v>4620</v>
      </c>
      <c r="C1888" s="11" t="s">
        <v>4046</v>
      </c>
      <c r="D1888" s="5" t="s">
        <v>78</v>
      </c>
      <c r="E1888" s="5" t="s">
        <v>79</v>
      </c>
      <c r="F1888" s="5"/>
      <c r="G1888" s="22" t="n">
        <f aca="false">ROUND(SUM(I1888:P1888),3)</f>
        <v>54.39</v>
      </c>
      <c r="H1888" s="5" t="str">
        <f aca="false">IF(G1888&gt;=評分方法!$C$16,"優先評估",IF(G1888&gt;=評分方法!$C$17,"列入候選",IF(G1888&gt;=評分方法!$C$18,"特定情境","不建議")))</f>
        <v>不建議</v>
      </c>
      <c r="I1888" s="15" t="n">
        <f aca="false">AE1888*評分方法!$C$5</f>
        <v>9</v>
      </c>
      <c r="J1888" s="15" t="n">
        <f aca="false">AF1888*評分方法!$C$6</f>
        <v>0</v>
      </c>
      <c r="K1888" s="15" t="n">
        <f aca="false">AG1888*評分方法!$C$7</f>
        <v>4.95</v>
      </c>
      <c r="L1888" s="15" t="n">
        <f aca="false">AH1888*評分方法!$C$8</f>
        <v>15</v>
      </c>
      <c r="M1888" s="15" t="n">
        <f aca="false">AI1888*評分方法!$C$9</f>
        <v>6</v>
      </c>
      <c r="N1888" s="15" t="n">
        <f aca="false">AJ1888*評分方法!$C$10</f>
        <v>9.44</v>
      </c>
      <c r="O1888" s="15" t="n">
        <f aca="false">AK1888*評分方法!$C$11</f>
        <v>5</v>
      </c>
      <c r="P1888" s="15" t="n">
        <f aca="false">AL1888*評分方法!$C$12</f>
        <v>5</v>
      </c>
      <c r="Q1888" s="6" t="n">
        <v>7706276</v>
      </c>
      <c r="R1888" s="6" t="n">
        <v>637991968</v>
      </c>
      <c r="S1888" s="11" t="s">
        <v>238</v>
      </c>
      <c r="T1888" s="11" t="s">
        <v>185</v>
      </c>
      <c r="U1888" s="5" t="s">
        <v>260</v>
      </c>
      <c r="V1888" s="11" t="s">
        <v>333</v>
      </c>
      <c r="W1888" s="5" t="s">
        <v>334</v>
      </c>
      <c r="X1888" s="5" t="s">
        <v>284</v>
      </c>
      <c r="Y1888" s="11" t="s">
        <v>2825</v>
      </c>
      <c r="Z1888" s="11" t="s">
        <v>244</v>
      </c>
      <c r="AA1888" s="11" t="s">
        <v>175</v>
      </c>
      <c r="AB1888" s="5" t="s">
        <v>245</v>
      </c>
      <c r="AC1888" s="5" t="s">
        <v>464</v>
      </c>
      <c r="AD1888" s="11" t="s">
        <v>4621</v>
      </c>
      <c r="AE1888" s="23" t="n">
        <v>0.3</v>
      </c>
      <c r="AF1888" s="23" t="n">
        <v>0</v>
      </c>
      <c r="AG1888" s="23" t="n">
        <v>0.33</v>
      </c>
      <c r="AH1888" s="23" t="n">
        <v>1</v>
      </c>
      <c r="AI1888" s="23" t="n">
        <v>0.6</v>
      </c>
      <c r="AJ1888" s="23" t="n">
        <v>0.944</v>
      </c>
      <c r="AK1888" s="23" t="n">
        <v>1</v>
      </c>
      <c r="AL1888" s="23" t="n">
        <v>1</v>
      </c>
      <c r="AM1888" s="16" t="n">
        <f aca="false">COUNTIFS($D$2:$D$2501,D1888,$G$2:$G$2501,"&gt;"&amp;G1888)+COUNTIFS($D$2:D1888,D1888,$G$2:G1888,G1888)</f>
        <v>47</v>
      </c>
      <c r="AN1888" s="5" t="str">
        <f aca="false">D1888&amp;"|"&amp;AM1888</f>
        <v>語音分析|47</v>
      </c>
    </row>
    <row r="1889" customFormat="false" ht="17.15" hidden="false" customHeight="false" outlineLevel="0" collapsed="false">
      <c r="A1889" s="16" t="n">
        <f aca="false">RANK(G1889,$G$2:$G$2501)+COUNTIF($G$2:G1889,G1889)-1</f>
        <v>1888</v>
      </c>
      <c r="B1889" s="11" t="s">
        <v>4622</v>
      </c>
      <c r="C1889" s="11" t="s">
        <v>2693</v>
      </c>
      <c r="D1889" s="5" t="s">
        <v>74</v>
      </c>
      <c r="E1889" s="5" t="s">
        <v>75</v>
      </c>
      <c r="F1889" s="5"/>
      <c r="G1889" s="22" t="n">
        <f aca="false">ROUND(SUM(I1889:P1889),3)</f>
        <v>54.372</v>
      </c>
      <c r="H1889" s="5" t="str">
        <f aca="false">IF(G1889&gt;=評分方法!$C$16,"優先評估",IF(G1889&gt;=評分方法!$C$17,"列入候選",IF(G1889&gt;=評分方法!$C$18,"特定情境","不建議")))</f>
        <v>不建議</v>
      </c>
      <c r="I1889" s="15" t="n">
        <f aca="false">AE1889*評分方法!$C$5</f>
        <v>10.5</v>
      </c>
      <c r="J1889" s="15" t="n">
        <f aca="false">AF1889*評分方法!$C$6</f>
        <v>0</v>
      </c>
      <c r="K1889" s="15" t="n">
        <f aca="false">AG1889*評分方法!$C$7</f>
        <v>15</v>
      </c>
      <c r="L1889" s="15" t="n">
        <f aca="false">AH1889*評分方法!$C$8</f>
        <v>15</v>
      </c>
      <c r="M1889" s="15" t="n">
        <f aca="false">AI1889*評分方法!$C$9</f>
        <v>6</v>
      </c>
      <c r="N1889" s="15" t="n">
        <f aca="false">AJ1889*評分方法!$C$10</f>
        <v>3.872</v>
      </c>
      <c r="O1889" s="15" t="n">
        <f aca="false">AK1889*評分方法!$C$11</f>
        <v>2.5</v>
      </c>
      <c r="P1889" s="15" t="n">
        <f aca="false">AL1889*評分方法!$C$12</f>
        <v>1.5</v>
      </c>
      <c r="Q1889" s="6" t="n">
        <v>400104</v>
      </c>
      <c r="R1889" s="6" t="n">
        <v>85659648</v>
      </c>
      <c r="S1889" s="11" t="s">
        <v>238</v>
      </c>
      <c r="T1889" s="11" t="s">
        <v>185</v>
      </c>
      <c r="U1889" s="5" t="s">
        <v>260</v>
      </c>
      <c r="V1889" s="11" t="s">
        <v>324</v>
      </c>
      <c r="W1889" s="5" t="s">
        <v>205</v>
      </c>
      <c r="X1889" s="5" t="s">
        <v>255</v>
      </c>
      <c r="Y1889" s="5"/>
      <c r="Z1889" s="5"/>
      <c r="AA1889" s="11" t="s">
        <v>173</v>
      </c>
      <c r="AB1889" s="5" t="s">
        <v>245</v>
      </c>
      <c r="AC1889" s="5" t="s">
        <v>262</v>
      </c>
      <c r="AD1889" s="11" t="s">
        <v>4623</v>
      </c>
      <c r="AE1889" s="23" t="n">
        <v>0.35</v>
      </c>
      <c r="AF1889" s="23" t="n">
        <v>0</v>
      </c>
      <c r="AG1889" s="23" t="n">
        <v>1</v>
      </c>
      <c r="AH1889" s="23" t="n">
        <v>1</v>
      </c>
      <c r="AI1889" s="23" t="n">
        <v>0.6</v>
      </c>
      <c r="AJ1889" s="23" t="n">
        <v>0.3872</v>
      </c>
      <c r="AK1889" s="23" t="n">
        <v>0.5</v>
      </c>
      <c r="AL1889" s="23" t="n">
        <v>0.3</v>
      </c>
      <c r="AM1889" s="16" t="n">
        <f aca="false">COUNTIFS($D$2:$D$2501,D1889,$G$2:$G$2501,"&gt;"&amp;G1889)+COUNTIFS($D$2:D1889,D1889,$G$2:G1889,G1889)</f>
        <v>235</v>
      </c>
      <c r="AN1889" s="5" t="str">
        <f aca="false">D1889&amp;"|"&amp;AM1889</f>
        <v>文件與影像辨識|235</v>
      </c>
    </row>
    <row r="1890" customFormat="false" ht="17.15" hidden="false" customHeight="false" outlineLevel="0" collapsed="false">
      <c r="A1890" s="16" t="n">
        <f aca="false">RANK(G1890,$G$2:$G$2501)+COUNTIF($G$2:G1890,G1890)-1</f>
        <v>1889</v>
      </c>
      <c r="B1890" s="11" t="s">
        <v>4624</v>
      </c>
      <c r="C1890" s="11" t="s">
        <v>2693</v>
      </c>
      <c r="D1890" s="5" t="s">
        <v>74</v>
      </c>
      <c r="E1890" s="5" t="s">
        <v>75</v>
      </c>
      <c r="F1890" s="5"/>
      <c r="G1890" s="22" t="n">
        <f aca="false">ROUND(SUM(I1890:P1890),3)</f>
        <v>54.316</v>
      </c>
      <c r="H1890" s="5" t="str">
        <f aca="false">IF(G1890&gt;=評分方法!$C$16,"優先評估",IF(G1890&gt;=評分方法!$C$17,"列入候選",IF(G1890&gt;=評分方法!$C$18,"特定情境","不建議")))</f>
        <v>不建議</v>
      </c>
      <c r="I1890" s="15" t="n">
        <f aca="false">AE1890*評分方法!$C$5</f>
        <v>10.5</v>
      </c>
      <c r="J1890" s="15" t="n">
        <f aca="false">AF1890*評分方法!$C$6</f>
        <v>0</v>
      </c>
      <c r="K1890" s="15" t="n">
        <f aca="false">AG1890*評分方法!$C$7</f>
        <v>15</v>
      </c>
      <c r="L1890" s="15" t="n">
        <f aca="false">AH1890*評分方法!$C$8</f>
        <v>15</v>
      </c>
      <c r="M1890" s="15" t="n">
        <f aca="false">AI1890*評分方法!$C$9</f>
        <v>6</v>
      </c>
      <c r="N1890" s="15" t="n">
        <f aca="false">AJ1890*評分方法!$C$10</f>
        <v>3.816</v>
      </c>
      <c r="O1890" s="15" t="n">
        <f aca="false">AK1890*評分方法!$C$11</f>
        <v>2.5</v>
      </c>
      <c r="P1890" s="15" t="n">
        <f aca="false">AL1890*評分方法!$C$12</f>
        <v>1.5</v>
      </c>
      <c r="Q1890" s="6" t="n">
        <v>392551</v>
      </c>
      <c r="R1890" s="6" t="n">
        <v>27820128</v>
      </c>
      <c r="S1890" s="11" t="s">
        <v>238</v>
      </c>
      <c r="T1890" s="11" t="s">
        <v>185</v>
      </c>
      <c r="U1890" s="5" t="s">
        <v>260</v>
      </c>
      <c r="V1890" s="11" t="s">
        <v>324</v>
      </c>
      <c r="W1890" s="5" t="s">
        <v>205</v>
      </c>
      <c r="X1890" s="5" t="s">
        <v>255</v>
      </c>
      <c r="Y1890" s="5"/>
      <c r="Z1890" s="5"/>
      <c r="AA1890" s="11" t="s">
        <v>173</v>
      </c>
      <c r="AB1890" s="5" t="s">
        <v>245</v>
      </c>
      <c r="AC1890" s="5" t="s">
        <v>262</v>
      </c>
      <c r="AD1890" s="11" t="s">
        <v>4625</v>
      </c>
      <c r="AE1890" s="23" t="n">
        <v>0.35</v>
      </c>
      <c r="AF1890" s="23" t="n">
        <v>0</v>
      </c>
      <c r="AG1890" s="23" t="n">
        <v>1</v>
      </c>
      <c r="AH1890" s="23" t="n">
        <v>1</v>
      </c>
      <c r="AI1890" s="23" t="n">
        <v>0.6</v>
      </c>
      <c r="AJ1890" s="23" t="n">
        <v>0.3816</v>
      </c>
      <c r="AK1890" s="23" t="n">
        <v>0.5</v>
      </c>
      <c r="AL1890" s="23" t="n">
        <v>0.3</v>
      </c>
      <c r="AM1890" s="16" t="n">
        <f aca="false">COUNTIFS($D$2:$D$2501,D1890,$G$2:$G$2501,"&gt;"&amp;G1890)+COUNTIFS($D$2:D1890,D1890,$G$2:G1890,G1890)</f>
        <v>236</v>
      </c>
      <c r="AN1890" s="5" t="str">
        <f aca="false">D1890&amp;"|"&amp;AM1890</f>
        <v>文件與影像辨識|236</v>
      </c>
    </row>
    <row r="1891" customFormat="false" ht="17.15" hidden="false" customHeight="false" outlineLevel="0" collapsed="false">
      <c r="A1891" s="16" t="n">
        <f aca="false">RANK(G1891,$G$2:$G$2501)+COUNTIF($G$2:G1891,G1891)-1</f>
        <v>1890</v>
      </c>
      <c r="B1891" s="11" t="s">
        <v>4626</v>
      </c>
      <c r="C1891" s="11" t="s">
        <v>253</v>
      </c>
      <c r="D1891" s="5" t="s">
        <v>78</v>
      </c>
      <c r="E1891" s="5" t="s">
        <v>79</v>
      </c>
      <c r="F1891" s="5"/>
      <c r="G1891" s="22" t="n">
        <f aca="false">ROUND(SUM(I1891:P1891),3)</f>
        <v>54.236</v>
      </c>
      <c r="H1891" s="5" t="str">
        <f aca="false">IF(G1891&gt;=評分方法!$C$16,"優先評估",IF(G1891&gt;=評分方法!$C$17,"列入候選",IF(G1891&gt;=評分方法!$C$18,"特定情境","不建議")))</f>
        <v>不建議</v>
      </c>
      <c r="I1891" s="15" t="n">
        <f aca="false">AE1891*評分方法!$C$5</f>
        <v>9</v>
      </c>
      <c r="J1891" s="15" t="n">
        <f aca="false">AF1891*評分方法!$C$6</f>
        <v>0</v>
      </c>
      <c r="K1891" s="15" t="n">
        <f aca="false">AG1891*評分方法!$C$7</f>
        <v>15</v>
      </c>
      <c r="L1891" s="15" t="n">
        <f aca="false">AH1891*評分方法!$C$8</f>
        <v>15</v>
      </c>
      <c r="M1891" s="15" t="n">
        <f aca="false">AI1891*評分方法!$C$9</f>
        <v>10</v>
      </c>
      <c r="N1891" s="15" t="n">
        <f aca="false">AJ1891*評分方法!$C$10</f>
        <v>4.236</v>
      </c>
      <c r="O1891" s="15" t="n">
        <f aca="false">AK1891*評分方法!$C$11</f>
        <v>1</v>
      </c>
      <c r="P1891" s="15" t="n">
        <f aca="false">AL1891*評分方法!$C$12</f>
        <v>0</v>
      </c>
      <c r="Q1891" s="6" t="n">
        <v>466216</v>
      </c>
      <c r="R1891" s="6" t="n">
        <v>241734144</v>
      </c>
      <c r="S1891" s="11" t="s">
        <v>238</v>
      </c>
      <c r="T1891" s="11" t="s">
        <v>239</v>
      </c>
      <c r="U1891" s="5" t="s">
        <v>240</v>
      </c>
      <c r="V1891" s="11" t="s">
        <v>279</v>
      </c>
      <c r="W1891" s="5" t="s">
        <v>205</v>
      </c>
      <c r="X1891" s="5" t="s">
        <v>242</v>
      </c>
      <c r="Y1891" s="5"/>
      <c r="Z1891" s="5"/>
      <c r="AA1891" s="11" t="s">
        <v>175</v>
      </c>
      <c r="AB1891" s="5" t="s">
        <v>245</v>
      </c>
      <c r="AC1891" s="5"/>
      <c r="AD1891" s="11" t="s">
        <v>4627</v>
      </c>
      <c r="AE1891" s="23" t="n">
        <v>0.3</v>
      </c>
      <c r="AF1891" s="23" t="n">
        <v>0</v>
      </c>
      <c r="AG1891" s="23" t="n">
        <v>1</v>
      </c>
      <c r="AH1891" s="23" t="n">
        <v>1</v>
      </c>
      <c r="AI1891" s="23" t="n">
        <v>1</v>
      </c>
      <c r="AJ1891" s="23" t="n">
        <v>0.4236</v>
      </c>
      <c r="AK1891" s="23" t="n">
        <v>0.2</v>
      </c>
      <c r="AL1891" s="23" t="n">
        <v>0</v>
      </c>
      <c r="AM1891" s="16" t="n">
        <f aca="false">COUNTIFS($D$2:$D$2501,D1891,$G$2:$G$2501,"&gt;"&amp;G1891)+COUNTIFS($D$2:D1891,D1891,$G$2:G1891,G1891)</f>
        <v>48</v>
      </c>
      <c r="AN1891" s="5" t="str">
        <f aca="false">D1891&amp;"|"&amp;AM1891</f>
        <v>語音分析|48</v>
      </c>
    </row>
    <row r="1892" customFormat="false" ht="17.15" hidden="false" customHeight="false" outlineLevel="0" collapsed="false">
      <c r="A1892" s="16" t="n">
        <f aca="false">RANK(G1892,$G$2:$G$2501)+COUNTIF($G$2:G1892,G1892)-1</f>
        <v>1891</v>
      </c>
      <c r="B1892" s="11" t="s">
        <v>4628</v>
      </c>
      <c r="C1892" s="11" t="s">
        <v>4629</v>
      </c>
      <c r="D1892" s="5" t="s">
        <v>56</v>
      </c>
      <c r="E1892" s="5" t="s">
        <v>57</v>
      </c>
      <c r="F1892" s="5"/>
      <c r="G1892" s="22" t="n">
        <f aca="false">ROUND(SUM(I1892:P1892),3)</f>
        <v>54.226</v>
      </c>
      <c r="H1892" s="5" t="str">
        <f aca="false">IF(G1892&gt;=評分方法!$C$16,"優先評估",IF(G1892&gt;=評分方法!$C$17,"列入候選",IF(G1892&gt;=評分方法!$C$18,"特定情境","不建議")))</f>
        <v>不建議</v>
      </c>
      <c r="I1892" s="15" t="n">
        <f aca="false">AE1892*評分方法!$C$5</f>
        <v>18</v>
      </c>
      <c r="J1892" s="15" t="n">
        <f aca="false">AF1892*評分方法!$C$6</f>
        <v>0</v>
      </c>
      <c r="K1892" s="15" t="n">
        <f aca="false">AG1892*評分方法!$C$7</f>
        <v>4.95</v>
      </c>
      <c r="L1892" s="15" t="n">
        <f aca="false">AH1892*評分方法!$C$8</f>
        <v>15</v>
      </c>
      <c r="M1892" s="15" t="n">
        <f aca="false">AI1892*評分方法!$C$9</f>
        <v>10</v>
      </c>
      <c r="N1892" s="15" t="n">
        <f aca="false">AJ1892*評分方法!$C$10</f>
        <v>2.276</v>
      </c>
      <c r="O1892" s="15" t="n">
        <f aca="false">AK1892*評分方法!$C$11</f>
        <v>4</v>
      </c>
      <c r="P1892" s="15" t="n">
        <f aca="false">AL1892*評分方法!$C$12</f>
        <v>0</v>
      </c>
      <c r="Q1892" s="6" t="n">
        <v>231308</v>
      </c>
      <c r="R1892" s="6" t="n">
        <v>247587456</v>
      </c>
      <c r="S1892" s="11" t="s">
        <v>238</v>
      </c>
      <c r="T1892" s="11" t="s">
        <v>239</v>
      </c>
      <c r="U1892" s="5" t="s">
        <v>240</v>
      </c>
      <c r="V1892" s="11" t="s">
        <v>288</v>
      </c>
      <c r="W1892" s="5" t="s">
        <v>334</v>
      </c>
      <c r="X1892" s="5" t="s">
        <v>242</v>
      </c>
      <c r="Y1892" s="11" t="s">
        <v>4630</v>
      </c>
      <c r="Z1892" s="11" t="s">
        <v>244</v>
      </c>
      <c r="AA1892" s="11" t="s">
        <v>160</v>
      </c>
      <c r="AB1892" s="5" t="s">
        <v>245</v>
      </c>
      <c r="AC1892" s="5" t="s">
        <v>246</v>
      </c>
      <c r="AD1892" s="11" t="s">
        <v>4631</v>
      </c>
      <c r="AE1892" s="23" t="n">
        <v>0.6</v>
      </c>
      <c r="AF1892" s="23" t="n">
        <v>0</v>
      </c>
      <c r="AG1892" s="23" t="n">
        <v>0.33</v>
      </c>
      <c r="AH1892" s="23" t="n">
        <v>1</v>
      </c>
      <c r="AI1892" s="23" t="n">
        <v>1</v>
      </c>
      <c r="AJ1892" s="23" t="n">
        <v>0.2276</v>
      </c>
      <c r="AK1892" s="23" t="n">
        <v>0.8</v>
      </c>
      <c r="AL1892" s="23" t="n">
        <v>0</v>
      </c>
      <c r="AM1892" s="16" t="n">
        <f aca="false">COUNTIFS($D$2:$D$2501,D1892,$G$2:$G$2501,"&gt;"&amp;G1892)+COUNTIFS($D$2:D1892,D1892,$G$2:G1892,G1892)</f>
        <v>876</v>
      </c>
      <c r="AN1892" s="5" t="str">
        <f aca="false">D1892&amp;"|"&amp;AM1892</f>
        <v>分析與報告生成|876</v>
      </c>
    </row>
    <row r="1893" customFormat="false" ht="17.15" hidden="false" customHeight="false" outlineLevel="0" collapsed="false">
      <c r="A1893" s="16" t="n">
        <f aca="false">RANK(G1893,$G$2:$G$2501)+COUNTIF($G$2:G1893,G1893)-1</f>
        <v>1892</v>
      </c>
      <c r="B1893" s="11" t="s">
        <v>4632</v>
      </c>
      <c r="C1893" s="11" t="s">
        <v>681</v>
      </c>
      <c r="D1893" s="5" t="s">
        <v>78</v>
      </c>
      <c r="E1893" s="5" t="s">
        <v>79</v>
      </c>
      <c r="F1893" s="5"/>
      <c r="G1893" s="22" t="n">
        <f aca="false">ROUND(SUM(I1893:P1893),3)</f>
        <v>54.212</v>
      </c>
      <c r="H1893" s="5" t="str">
        <f aca="false">IF(G1893&gt;=評分方法!$C$16,"優先評估",IF(G1893&gt;=評分方法!$C$17,"列入候選",IF(G1893&gt;=評分方法!$C$18,"特定情境","不建議")))</f>
        <v>不建議</v>
      </c>
      <c r="I1893" s="15" t="n">
        <f aca="false">AE1893*評分方法!$C$5</f>
        <v>9</v>
      </c>
      <c r="J1893" s="15" t="n">
        <f aca="false">AF1893*評分方法!$C$6</f>
        <v>0</v>
      </c>
      <c r="K1893" s="15" t="n">
        <f aca="false">AG1893*評分方法!$C$7</f>
        <v>15</v>
      </c>
      <c r="L1893" s="15" t="n">
        <f aca="false">AH1893*評分方法!$C$8</f>
        <v>15</v>
      </c>
      <c r="M1893" s="15" t="n">
        <f aca="false">AI1893*評分方法!$C$9</f>
        <v>10</v>
      </c>
      <c r="N1893" s="15" t="n">
        <f aca="false">AJ1893*評分方法!$C$10</f>
        <v>4.212</v>
      </c>
      <c r="O1893" s="15" t="n">
        <f aca="false">AK1893*評分方法!$C$11</f>
        <v>1</v>
      </c>
      <c r="P1893" s="15" t="n">
        <f aca="false">AL1893*評分方法!$C$12</f>
        <v>0</v>
      </c>
      <c r="Q1893" s="6" t="n">
        <v>460022</v>
      </c>
      <c r="R1893" s="6" t="n">
        <v>315471520</v>
      </c>
      <c r="S1893" s="11" t="s">
        <v>238</v>
      </c>
      <c r="T1893" s="11" t="s">
        <v>239</v>
      </c>
      <c r="U1893" s="5" t="s">
        <v>240</v>
      </c>
      <c r="V1893" s="11" t="s">
        <v>324</v>
      </c>
      <c r="W1893" s="5" t="s">
        <v>205</v>
      </c>
      <c r="X1893" s="5" t="s">
        <v>242</v>
      </c>
      <c r="Y1893" s="5"/>
      <c r="Z1893" s="5"/>
      <c r="AA1893" s="11" t="s">
        <v>175</v>
      </c>
      <c r="AB1893" s="5" t="s">
        <v>245</v>
      </c>
      <c r="AC1893" s="5"/>
      <c r="AD1893" s="11" t="s">
        <v>4633</v>
      </c>
      <c r="AE1893" s="23" t="n">
        <v>0.3</v>
      </c>
      <c r="AF1893" s="23" t="n">
        <v>0</v>
      </c>
      <c r="AG1893" s="23" t="n">
        <v>1</v>
      </c>
      <c r="AH1893" s="23" t="n">
        <v>1</v>
      </c>
      <c r="AI1893" s="23" t="n">
        <v>1</v>
      </c>
      <c r="AJ1893" s="23" t="n">
        <v>0.4212</v>
      </c>
      <c r="AK1893" s="23" t="n">
        <v>0.2</v>
      </c>
      <c r="AL1893" s="23" t="n">
        <v>0</v>
      </c>
      <c r="AM1893" s="16" t="n">
        <f aca="false">COUNTIFS($D$2:$D$2501,D1893,$G$2:$G$2501,"&gt;"&amp;G1893)+COUNTIFS($D$2:D1893,D1893,$G$2:G1893,G1893)</f>
        <v>49</v>
      </c>
      <c r="AN1893" s="5" t="str">
        <f aca="false">D1893&amp;"|"&amp;AM1893</f>
        <v>語音分析|49</v>
      </c>
    </row>
    <row r="1894" customFormat="false" ht="17.15" hidden="false" customHeight="false" outlineLevel="0" collapsed="false">
      <c r="A1894" s="16" t="n">
        <f aca="false">RANK(G1894,$G$2:$G$2501)+COUNTIF($G$2:G1894,G1894)-1</f>
        <v>1893</v>
      </c>
      <c r="B1894" s="11" t="s">
        <v>4634</v>
      </c>
      <c r="C1894" s="11" t="s">
        <v>4635</v>
      </c>
      <c r="D1894" s="5" t="s">
        <v>56</v>
      </c>
      <c r="E1894" s="5" t="s">
        <v>57</v>
      </c>
      <c r="F1894" s="5"/>
      <c r="G1894" s="22" t="n">
        <f aca="false">ROUND(SUM(I1894:P1894),3)</f>
        <v>54.198</v>
      </c>
      <c r="H1894" s="5" t="str">
        <f aca="false">IF(G1894&gt;=評分方法!$C$16,"優先評估",IF(G1894&gt;=評分方法!$C$17,"列入候選",IF(G1894&gt;=評分方法!$C$18,"特定情境","不建議")))</f>
        <v>不建議</v>
      </c>
      <c r="I1894" s="15" t="n">
        <f aca="false">AE1894*評分方法!$C$5</f>
        <v>25.5</v>
      </c>
      <c r="J1894" s="15" t="n">
        <f aca="false">AF1894*評分方法!$C$6</f>
        <v>0</v>
      </c>
      <c r="K1894" s="15" t="n">
        <f aca="false">AG1894*評分方法!$C$7</f>
        <v>4.95</v>
      </c>
      <c r="L1894" s="15" t="n">
        <f aca="false">AH1894*評分方法!$C$8</f>
        <v>9</v>
      </c>
      <c r="M1894" s="15" t="n">
        <f aca="false">AI1894*評分方法!$C$9</f>
        <v>6</v>
      </c>
      <c r="N1894" s="15" t="n">
        <f aca="false">AJ1894*評分方法!$C$10</f>
        <v>1.748</v>
      </c>
      <c r="O1894" s="15" t="n">
        <f aca="false">AK1894*評分方法!$C$11</f>
        <v>4</v>
      </c>
      <c r="P1894" s="15" t="n">
        <f aca="false">AL1894*評分方法!$C$12</f>
        <v>3</v>
      </c>
      <c r="Q1894" s="6" t="n">
        <v>192978</v>
      </c>
      <c r="R1894" s="6" t="n">
        <v>12187325040</v>
      </c>
      <c r="S1894" s="11" t="s">
        <v>389</v>
      </c>
      <c r="T1894" s="11" t="s">
        <v>658</v>
      </c>
      <c r="U1894" s="5" t="s">
        <v>260</v>
      </c>
      <c r="V1894" s="11" t="s">
        <v>261</v>
      </c>
      <c r="W1894" s="5" t="s">
        <v>334</v>
      </c>
      <c r="X1894" s="5" t="s">
        <v>371</v>
      </c>
      <c r="Y1894" s="11" t="s">
        <v>1303</v>
      </c>
      <c r="Z1894" s="11" t="s">
        <v>270</v>
      </c>
      <c r="AA1894" s="11" t="s">
        <v>156</v>
      </c>
      <c r="AB1894" s="5" t="s">
        <v>245</v>
      </c>
      <c r="AC1894" s="5" t="s">
        <v>262</v>
      </c>
      <c r="AD1894" s="11" t="s">
        <v>4636</v>
      </c>
      <c r="AE1894" s="23" t="n">
        <v>0.85</v>
      </c>
      <c r="AF1894" s="23" t="n">
        <v>0</v>
      </c>
      <c r="AG1894" s="23" t="n">
        <v>0.33</v>
      </c>
      <c r="AH1894" s="23" t="n">
        <v>0.6</v>
      </c>
      <c r="AI1894" s="23" t="n">
        <v>0.6</v>
      </c>
      <c r="AJ1894" s="23" t="n">
        <v>0.1748</v>
      </c>
      <c r="AK1894" s="23" t="n">
        <v>0.8</v>
      </c>
      <c r="AL1894" s="23" t="n">
        <v>0.6</v>
      </c>
      <c r="AM1894" s="16" t="n">
        <f aca="false">COUNTIFS($D$2:$D$2501,D1894,$G$2:$G$2501,"&gt;"&amp;G1894)+COUNTIFS($D$2:D1894,D1894,$G$2:G1894,G1894)</f>
        <v>877</v>
      </c>
      <c r="AN1894" s="5" t="str">
        <f aca="false">D1894&amp;"|"&amp;AM1894</f>
        <v>分析與報告生成|877</v>
      </c>
    </row>
    <row r="1895" customFormat="false" ht="17.15" hidden="false" customHeight="false" outlineLevel="0" collapsed="false">
      <c r="A1895" s="16" t="n">
        <f aca="false">RANK(G1895,$G$2:$G$2501)+COUNTIF($G$2:G1895,G1895)-1</f>
        <v>1894</v>
      </c>
      <c r="B1895" s="11" t="s">
        <v>4637</v>
      </c>
      <c r="C1895" s="11" t="s">
        <v>4568</v>
      </c>
      <c r="D1895" s="5" t="s">
        <v>56</v>
      </c>
      <c r="E1895" s="5" t="s">
        <v>57</v>
      </c>
      <c r="F1895" s="5"/>
      <c r="G1895" s="22" t="n">
        <f aca="false">ROUND(SUM(I1895:P1895),3)</f>
        <v>54.146</v>
      </c>
      <c r="H1895" s="5" t="str">
        <f aca="false">IF(G1895&gt;=評分方法!$C$16,"優先評估",IF(G1895&gt;=評分方法!$C$17,"列入候選",IF(G1895&gt;=評分方法!$C$18,"特定情境","不建議")))</f>
        <v>不建議</v>
      </c>
      <c r="I1895" s="15" t="n">
        <f aca="false">AE1895*評分方法!$C$5</f>
        <v>18</v>
      </c>
      <c r="J1895" s="15" t="n">
        <f aca="false">AF1895*評分方法!$C$6</f>
        <v>0</v>
      </c>
      <c r="K1895" s="15" t="n">
        <f aca="false">AG1895*評分方法!$C$7</f>
        <v>4.95</v>
      </c>
      <c r="L1895" s="15" t="n">
        <f aca="false">AH1895*評分方法!$C$8</f>
        <v>15</v>
      </c>
      <c r="M1895" s="15" t="n">
        <f aca="false">AI1895*評分方法!$C$9</f>
        <v>10</v>
      </c>
      <c r="N1895" s="15" t="n">
        <f aca="false">AJ1895*評分方法!$C$10</f>
        <v>2.196</v>
      </c>
      <c r="O1895" s="15" t="n">
        <f aca="false">AK1895*評分方法!$C$11</f>
        <v>2.5</v>
      </c>
      <c r="P1895" s="15" t="n">
        <f aca="false">AL1895*評分方法!$C$12</f>
        <v>1.5</v>
      </c>
      <c r="Q1895" s="6" t="n">
        <v>224635</v>
      </c>
      <c r="R1895" s="6" t="n">
        <v>222882048</v>
      </c>
      <c r="S1895" s="11" t="s">
        <v>238</v>
      </c>
      <c r="T1895" s="11" t="s">
        <v>239</v>
      </c>
      <c r="U1895" s="5" t="s">
        <v>240</v>
      </c>
      <c r="V1895" s="11" t="s">
        <v>261</v>
      </c>
      <c r="W1895" s="5" t="s">
        <v>334</v>
      </c>
      <c r="X1895" s="5" t="s">
        <v>255</v>
      </c>
      <c r="Y1895" s="11" t="s">
        <v>4638</v>
      </c>
      <c r="Z1895" s="11" t="s">
        <v>270</v>
      </c>
      <c r="AA1895" s="11" t="s">
        <v>161</v>
      </c>
      <c r="AB1895" s="5" t="s">
        <v>983</v>
      </c>
      <c r="AC1895" s="5" t="s">
        <v>984</v>
      </c>
      <c r="AD1895" s="11" t="s">
        <v>4639</v>
      </c>
      <c r="AE1895" s="23" t="n">
        <v>0.6</v>
      </c>
      <c r="AF1895" s="23" t="n">
        <v>0</v>
      </c>
      <c r="AG1895" s="23" t="n">
        <v>0.33</v>
      </c>
      <c r="AH1895" s="23" t="n">
        <v>1</v>
      </c>
      <c r="AI1895" s="23" t="n">
        <v>1</v>
      </c>
      <c r="AJ1895" s="23" t="n">
        <v>0.2196</v>
      </c>
      <c r="AK1895" s="23" t="n">
        <v>0.5</v>
      </c>
      <c r="AL1895" s="23" t="n">
        <v>0.3</v>
      </c>
      <c r="AM1895" s="16" t="n">
        <f aca="false">COUNTIFS($D$2:$D$2501,D1895,$G$2:$G$2501,"&gt;"&amp;G1895)+COUNTIFS($D$2:D1895,D1895,$G$2:G1895,G1895)</f>
        <v>878</v>
      </c>
      <c r="AN1895" s="5" t="str">
        <f aca="false">D1895&amp;"|"&amp;AM1895</f>
        <v>分析與報告生成|878</v>
      </c>
    </row>
    <row r="1896" customFormat="false" ht="17.15" hidden="false" customHeight="false" outlineLevel="0" collapsed="false">
      <c r="A1896" s="16" t="n">
        <f aca="false">RANK(G1896,$G$2:$G$2501)+COUNTIF($G$2:G1896,G1896)-1</f>
        <v>1895</v>
      </c>
      <c r="B1896" s="11" t="s">
        <v>4640</v>
      </c>
      <c r="C1896" s="11" t="s">
        <v>4507</v>
      </c>
      <c r="D1896" s="5" t="s">
        <v>54</v>
      </c>
      <c r="E1896" s="5" t="s">
        <v>55</v>
      </c>
      <c r="F1896" s="5"/>
      <c r="G1896" s="22" t="n">
        <f aca="false">ROUND(SUM(I1896:P1896),3)</f>
        <v>54.142</v>
      </c>
      <c r="H1896" s="5" t="str">
        <f aca="false">IF(G1896&gt;=評分方法!$C$16,"優先評估",IF(G1896&gt;=評分方法!$C$17,"列入候選",IF(G1896&gt;=評分方法!$C$18,"特定情境","不建議")))</f>
        <v>不建議</v>
      </c>
      <c r="I1896" s="15" t="n">
        <f aca="false">AE1896*評分方法!$C$5</f>
        <v>27</v>
      </c>
      <c r="J1896" s="15" t="n">
        <f aca="false">AF1896*評分方法!$C$6</f>
        <v>0</v>
      </c>
      <c r="K1896" s="15" t="n">
        <f aca="false">AG1896*評分方法!$C$7</f>
        <v>4.95</v>
      </c>
      <c r="L1896" s="15" t="n">
        <f aca="false">AH1896*評分方法!$C$8</f>
        <v>15</v>
      </c>
      <c r="M1896" s="15" t="n">
        <f aca="false">AI1896*評分方法!$C$9</f>
        <v>2</v>
      </c>
      <c r="N1896" s="15" t="n">
        <f aca="false">AJ1896*評分方法!$C$10</f>
        <v>1.192</v>
      </c>
      <c r="O1896" s="15" t="n">
        <f aca="false">AK1896*評分方法!$C$11</f>
        <v>2.5</v>
      </c>
      <c r="P1896" s="15" t="n">
        <f aca="false">AL1896*評分方法!$C$12</f>
        <v>1.5</v>
      </c>
      <c r="Q1896" s="6" t="n">
        <v>160575</v>
      </c>
      <c r="R1896" s="6" t="n">
        <v>92186880</v>
      </c>
      <c r="S1896" s="11" t="s">
        <v>238</v>
      </c>
      <c r="T1896" s="5"/>
      <c r="U1896" s="5" t="s">
        <v>375</v>
      </c>
      <c r="V1896" s="11" t="s">
        <v>288</v>
      </c>
      <c r="W1896" s="5" t="s">
        <v>334</v>
      </c>
      <c r="X1896" s="5" t="s">
        <v>255</v>
      </c>
      <c r="Y1896" s="5"/>
      <c r="Z1896" s="5"/>
      <c r="AA1896" s="11" t="s">
        <v>153</v>
      </c>
      <c r="AB1896" s="5" t="s">
        <v>245</v>
      </c>
      <c r="AC1896" s="5" t="s">
        <v>262</v>
      </c>
      <c r="AD1896" s="11" t="s">
        <v>4641</v>
      </c>
      <c r="AE1896" s="23" t="n">
        <v>0.9</v>
      </c>
      <c r="AF1896" s="23" t="n">
        <v>0</v>
      </c>
      <c r="AG1896" s="23" t="n">
        <v>0.33</v>
      </c>
      <c r="AH1896" s="23" t="n">
        <v>1</v>
      </c>
      <c r="AI1896" s="23" t="n">
        <v>0.2</v>
      </c>
      <c r="AJ1896" s="23" t="n">
        <v>0.1192</v>
      </c>
      <c r="AK1896" s="23" t="n">
        <v>0.5</v>
      </c>
      <c r="AL1896" s="23" t="n">
        <v>0.3</v>
      </c>
      <c r="AM1896" s="16" t="n">
        <f aca="false">COUNTIFS($D$2:$D$2501,D1896,$G$2:$G$2501,"&gt;"&amp;G1896)+COUNTIFS($D$2:D1896,D1896,$G$2:G1896,G1896)</f>
        <v>229</v>
      </c>
      <c r="AN1896" s="5" t="str">
        <f aca="false">D1896&amp;"|"&amp;AM1896</f>
        <v>檢索與情資關聯|229</v>
      </c>
    </row>
    <row r="1897" customFormat="false" ht="17.15" hidden="false" customHeight="false" outlineLevel="0" collapsed="false">
      <c r="A1897" s="16" t="n">
        <f aca="false">RANK(G1897,$G$2:$G$2501)+COUNTIF($G$2:G1897,G1897)-1</f>
        <v>1896</v>
      </c>
      <c r="B1897" s="11" t="s">
        <v>4642</v>
      </c>
      <c r="C1897" s="11" t="s">
        <v>4643</v>
      </c>
      <c r="D1897" s="5" t="s">
        <v>78</v>
      </c>
      <c r="E1897" s="5" t="s">
        <v>79</v>
      </c>
      <c r="F1897" s="5"/>
      <c r="G1897" s="22" t="n">
        <f aca="false">ROUND(SUM(I1897:P1897),3)</f>
        <v>54.106</v>
      </c>
      <c r="H1897" s="5" t="str">
        <f aca="false">IF(G1897&gt;=評分方法!$C$16,"優先評估",IF(G1897&gt;=評分方法!$C$17,"列入候選",IF(G1897&gt;=評分方法!$C$18,"特定情境","不建議")))</f>
        <v>不建議</v>
      </c>
      <c r="I1897" s="15" t="n">
        <f aca="false">AE1897*評分方法!$C$5</f>
        <v>9</v>
      </c>
      <c r="J1897" s="15" t="n">
        <f aca="false">AF1897*評分方法!$C$6</f>
        <v>0</v>
      </c>
      <c r="K1897" s="15" t="n">
        <f aca="false">AG1897*評分方法!$C$7</f>
        <v>4.95</v>
      </c>
      <c r="L1897" s="15" t="n">
        <f aca="false">AH1897*評分方法!$C$8</f>
        <v>15</v>
      </c>
      <c r="M1897" s="15" t="n">
        <f aca="false">AI1897*評分方法!$C$9</f>
        <v>10</v>
      </c>
      <c r="N1897" s="15" t="n">
        <f aca="false">AJ1897*評分方法!$C$10</f>
        <v>6.156</v>
      </c>
      <c r="O1897" s="15" t="n">
        <f aca="false">AK1897*評分方法!$C$11</f>
        <v>4</v>
      </c>
      <c r="P1897" s="15" t="n">
        <f aca="false">AL1897*評分方法!$C$12</f>
        <v>5</v>
      </c>
      <c r="Q1897" s="6" t="n">
        <v>656303</v>
      </c>
      <c r="R1897" s="6" t="n">
        <v>241734912</v>
      </c>
      <c r="S1897" s="11" t="s">
        <v>238</v>
      </c>
      <c r="T1897" s="11" t="s">
        <v>239</v>
      </c>
      <c r="U1897" s="5" t="s">
        <v>240</v>
      </c>
      <c r="V1897" s="11" t="s">
        <v>324</v>
      </c>
      <c r="W1897" s="5" t="s">
        <v>334</v>
      </c>
      <c r="X1897" s="5" t="s">
        <v>284</v>
      </c>
      <c r="Y1897" s="11" t="s">
        <v>2632</v>
      </c>
      <c r="Z1897" s="11" t="s">
        <v>270</v>
      </c>
      <c r="AA1897" s="11" t="s">
        <v>175</v>
      </c>
      <c r="AB1897" s="5" t="s">
        <v>245</v>
      </c>
      <c r="AC1897" s="5"/>
      <c r="AD1897" s="11" t="s">
        <v>4644</v>
      </c>
      <c r="AE1897" s="23" t="n">
        <v>0.3</v>
      </c>
      <c r="AF1897" s="23" t="n">
        <v>0</v>
      </c>
      <c r="AG1897" s="23" t="n">
        <v>0.33</v>
      </c>
      <c r="AH1897" s="23" t="n">
        <v>1</v>
      </c>
      <c r="AI1897" s="23" t="n">
        <v>1</v>
      </c>
      <c r="AJ1897" s="23" t="n">
        <v>0.6156</v>
      </c>
      <c r="AK1897" s="23" t="n">
        <v>0.8</v>
      </c>
      <c r="AL1897" s="23" t="n">
        <v>1</v>
      </c>
      <c r="AM1897" s="16" t="n">
        <f aca="false">COUNTIFS($D$2:$D$2501,D1897,$G$2:$G$2501,"&gt;"&amp;G1897)+COUNTIFS($D$2:D1897,D1897,$G$2:G1897,G1897)</f>
        <v>50</v>
      </c>
      <c r="AN1897" s="5" t="str">
        <f aca="false">D1897&amp;"|"&amp;AM1897</f>
        <v>語音分析|50</v>
      </c>
    </row>
    <row r="1898" customFormat="false" ht="17.15" hidden="false" customHeight="false" outlineLevel="0" collapsed="false">
      <c r="A1898" s="16" t="n">
        <f aca="false">RANK(G1898,$G$2:$G$2501)+COUNTIF($G$2:G1898,G1898)-1</f>
        <v>1897</v>
      </c>
      <c r="B1898" s="11" t="s">
        <v>4645</v>
      </c>
      <c r="C1898" s="11" t="s">
        <v>3073</v>
      </c>
      <c r="D1898" s="5" t="s">
        <v>58</v>
      </c>
      <c r="E1898" s="5" t="s">
        <v>59</v>
      </c>
      <c r="F1898" s="5"/>
      <c r="G1898" s="22" t="n">
        <f aca="false">ROUND(SUM(I1898:P1898),3)</f>
        <v>54.094</v>
      </c>
      <c r="H1898" s="5" t="str">
        <f aca="false">IF(G1898&gt;=評分方法!$C$16,"優先評估",IF(G1898&gt;=評分方法!$C$17,"列入候選",IF(G1898&gt;=評分方法!$C$18,"特定情境","不建議")))</f>
        <v>不建議</v>
      </c>
      <c r="I1898" s="15" t="n">
        <f aca="false">AE1898*評分方法!$C$5</f>
        <v>17.1</v>
      </c>
      <c r="J1898" s="15" t="n">
        <f aca="false">AF1898*評分方法!$C$6</f>
        <v>0</v>
      </c>
      <c r="K1898" s="15" t="n">
        <f aca="false">AG1898*評分方法!$C$7</f>
        <v>4.95</v>
      </c>
      <c r="L1898" s="15" t="n">
        <f aca="false">AH1898*評分方法!$C$8</f>
        <v>15</v>
      </c>
      <c r="M1898" s="15" t="n">
        <f aca="false">AI1898*評分方法!$C$9</f>
        <v>10</v>
      </c>
      <c r="N1898" s="15" t="n">
        <f aca="false">AJ1898*評分方法!$C$10</f>
        <v>6.044</v>
      </c>
      <c r="O1898" s="15" t="n">
        <f aca="false">AK1898*評分方法!$C$11</f>
        <v>1</v>
      </c>
      <c r="P1898" s="15" t="n">
        <f aca="false">AL1898*評分方法!$C$12</f>
        <v>0</v>
      </c>
      <c r="Q1898" s="6" t="n">
        <v>636315</v>
      </c>
      <c r="R1898" s="6" t="n">
        <v>110035719</v>
      </c>
      <c r="S1898" s="11" t="s">
        <v>238</v>
      </c>
      <c r="T1898" s="11" t="s">
        <v>278</v>
      </c>
      <c r="U1898" s="5" t="s">
        <v>240</v>
      </c>
      <c r="V1898" s="11" t="s">
        <v>288</v>
      </c>
      <c r="W1898" s="5" t="s">
        <v>334</v>
      </c>
      <c r="X1898" s="5" t="s">
        <v>242</v>
      </c>
      <c r="Y1898" s="5"/>
      <c r="Z1898" s="5"/>
      <c r="AA1898" s="11" t="s">
        <v>150</v>
      </c>
      <c r="AB1898" s="5" t="s">
        <v>245</v>
      </c>
      <c r="AC1898" s="5" t="s">
        <v>1463</v>
      </c>
      <c r="AD1898" s="11" t="s">
        <v>4646</v>
      </c>
      <c r="AE1898" s="23" t="n">
        <v>0.57</v>
      </c>
      <c r="AF1898" s="23" t="n">
        <v>0</v>
      </c>
      <c r="AG1898" s="23" t="n">
        <v>0.33</v>
      </c>
      <c r="AH1898" s="23" t="n">
        <v>1</v>
      </c>
      <c r="AI1898" s="23" t="n">
        <v>1</v>
      </c>
      <c r="AJ1898" s="23" t="n">
        <v>0.6044</v>
      </c>
      <c r="AK1898" s="23" t="n">
        <v>0.2</v>
      </c>
      <c r="AL1898" s="23" t="n">
        <v>0</v>
      </c>
      <c r="AM1898" s="16" t="n">
        <f aca="false">COUNTIFS($D$2:$D$2501,D1898,$G$2:$G$2501,"&gt;"&amp;G1898)+COUNTIFS($D$2:D1898,D1898,$G$2:G1898,G1898)</f>
        <v>297</v>
      </c>
      <c r="AN1898" s="5" t="str">
        <f aca="false">D1898&amp;"|"&amp;AM1898</f>
        <v>實體擷取與去識別化|297</v>
      </c>
    </row>
    <row r="1899" customFormat="false" ht="17.15" hidden="false" customHeight="false" outlineLevel="0" collapsed="false">
      <c r="A1899" s="16" t="n">
        <f aca="false">RANK(G1899,$G$2:$G$2501)+COUNTIF($G$2:G1899,G1899)-1</f>
        <v>1898</v>
      </c>
      <c r="B1899" s="11" t="s">
        <v>4647</v>
      </c>
      <c r="C1899" s="11" t="s">
        <v>839</v>
      </c>
      <c r="D1899" s="5" t="s">
        <v>74</v>
      </c>
      <c r="E1899" s="5" t="s">
        <v>75</v>
      </c>
      <c r="F1899" s="5"/>
      <c r="G1899" s="22" t="n">
        <f aca="false">ROUND(SUM(I1899:P1899),3)</f>
        <v>54.094</v>
      </c>
      <c r="H1899" s="5" t="str">
        <f aca="false">IF(G1899&gt;=評分方法!$C$16,"優先評估",IF(G1899&gt;=評分方法!$C$17,"列入候選",IF(G1899&gt;=評分方法!$C$18,"特定情境","不建議")))</f>
        <v>不建議</v>
      </c>
      <c r="I1899" s="15" t="n">
        <f aca="false">AE1899*評分方法!$C$5</f>
        <v>12</v>
      </c>
      <c r="J1899" s="15" t="n">
        <f aca="false">AF1899*評分方法!$C$6</f>
        <v>0</v>
      </c>
      <c r="K1899" s="15" t="n">
        <f aca="false">AG1899*評分方法!$C$7</f>
        <v>15</v>
      </c>
      <c r="L1899" s="15" t="n">
        <f aca="false">AH1899*評分方法!$C$8</f>
        <v>13.05</v>
      </c>
      <c r="M1899" s="15" t="n">
        <f aca="false">AI1899*評分方法!$C$9</f>
        <v>10</v>
      </c>
      <c r="N1899" s="15" t="n">
        <f aca="false">AJ1899*評分方法!$C$10</f>
        <v>0.044</v>
      </c>
      <c r="O1899" s="15" t="n">
        <f aca="false">AK1899*評分方法!$C$11</f>
        <v>2.5</v>
      </c>
      <c r="P1899" s="15" t="n">
        <f aca="false">AL1899*評分方法!$C$12</f>
        <v>1.5</v>
      </c>
      <c r="Q1899" s="6" t="n">
        <v>118230</v>
      </c>
      <c r="R1899" s="6" t="n">
        <v>1172032258</v>
      </c>
      <c r="S1899" s="11" t="s">
        <v>254</v>
      </c>
      <c r="T1899" s="11" t="s">
        <v>278</v>
      </c>
      <c r="U1899" s="5" t="s">
        <v>240</v>
      </c>
      <c r="V1899" s="11" t="s">
        <v>324</v>
      </c>
      <c r="W1899" s="5" t="s">
        <v>205</v>
      </c>
      <c r="X1899" s="5" t="s">
        <v>255</v>
      </c>
      <c r="Y1899" s="5"/>
      <c r="Z1899" s="5"/>
      <c r="AA1899" s="11" t="s">
        <v>167</v>
      </c>
      <c r="AB1899" s="5" t="s">
        <v>245</v>
      </c>
      <c r="AC1899" s="5"/>
      <c r="AD1899" s="11" t="s">
        <v>4648</v>
      </c>
      <c r="AE1899" s="23" t="n">
        <v>0.4</v>
      </c>
      <c r="AF1899" s="23" t="n">
        <v>0</v>
      </c>
      <c r="AG1899" s="23" t="n">
        <v>1</v>
      </c>
      <c r="AH1899" s="23" t="n">
        <v>0.87</v>
      </c>
      <c r="AI1899" s="23" t="n">
        <v>1</v>
      </c>
      <c r="AJ1899" s="23" t="n">
        <v>0.0044</v>
      </c>
      <c r="AK1899" s="23" t="n">
        <v>0.5</v>
      </c>
      <c r="AL1899" s="23" t="n">
        <v>0.3</v>
      </c>
      <c r="AM1899" s="16" t="n">
        <f aca="false">COUNTIFS($D$2:$D$2501,D1899,$G$2:$G$2501,"&gt;"&amp;G1899)+COUNTIFS($D$2:D1899,D1899,$G$2:G1899,G1899)</f>
        <v>237</v>
      </c>
      <c r="AN1899" s="5" t="str">
        <f aca="false">D1899&amp;"|"&amp;AM1899</f>
        <v>文件與影像辨識|237</v>
      </c>
    </row>
    <row r="1900" customFormat="false" ht="17.15" hidden="false" customHeight="false" outlineLevel="0" collapsed="false">
      <c r="A1900" s="16" t="n">
        <f aca="false">RANK(G1900,$G$2:$G$2501)+COUNTIF($G$2:G1900,G1900)-1</f>
        <v>1899</v>
      </c>
      <c r="B1900" s="11" t="s">
        <v>4649</v>
      </c>
      <c r="C1900" s="11" t="s">
        <v>4650</v>
      </c>
      <c r="D1900" s="5" t="s">
        <v>54</v>
      </c>
      <c r="E1900" s="5" t="s">
        <v>55</v>
      </c>
      <c r="F1900" s="5"/>
      <c r="G1900" s="22" t="n">
        <f aca="false">ROUND(SUM(I1900:P1900),3)</f>
        <v>54.086</v>
      </c>
      <c r="H1900" s="5" t="str">
        <f aca="false">IF(G1900&gt;=評分方法!$C$16,"優先評估",IF(G1900&gt;=評分方法!$C$17,"列入候選",IF(G1900&gt;=評分方法!$C$18,"特定情境","不建議")))</f>
        <v>不建議</v>
      </c>
      <c r="I1900" s="15" t="n">
        <f aca="false">AE1900*評分方法!$C$5</f>
        <v>27</v>
      </c>
      <c r="J1900" s="15" t="n">
        <f aca="false">AF1900*評分方法!$C$6</f>
        <v>0</v>
      </c>
      <c r="K1900" s="15" t="n">
        <f aca="false">AG1900*評分方法!$C$7</f>
        <v>4.95</v>
      </c>
      <c r="L1900" s="15" t="n">
        <f aca="false">AH1900*評分方法!$C$8</f>
        <v>15</v>
      </c>
      <c r="M1900" s="15" t="n">
        <f aca="false">AI1900*評分方法!$C$9</f>
        <v>2</v>
      </c>
      <c r="N1900" s="15" t="n">
        <f aca="false">AJ1900*評分方法!$C$10</f>
        <v>2.636</v>
      </c>
      <c r="O1900" s="15" t="n">
        <f aca="false">AK1900*評分方法!$C$11</f>
        <v>1</v>
      </c>
      <c r="P1900" s="15" t="n">
        <f aca="false">AL1900*評分方法!$C$12</f>
        <v>1.5</v>
      </c>
      <c r="Q1900" s="6" t="n">
        <v>263952</v>
      </c>
      <c r="R1900" s="6" t="n">
        <v>23038248</v>
      </c>
      <c r="S1900" s="11" t="s">
        <v>238</v>
      </c>
      <c r="T1900" s="5"/>
      <c r="U1900" s="5" t="s">
        <v>375</v>
      </c>
      <c r="V1900" s="11" t="s">
        <v>261</v>
      </c>
      <c r="W1900" s="5" t="s">
        <v>334</v>
      </c>
      <c r="X1900" s="5" t="s">
        <v>255</v>
      </c>
      <c r="Y1900" s="5"/>
      <c r="Z1900" s="5"/>
      <c r="AA1900" s="11" t="s">
        <v>153</v>
      </c>
      <c r="AB1900" s="5" t="s">
        <v>245</v>
      </c>
      <c r="AC1900" s="5" t="s">
        <v>262</v>
      </c>
      <c r="AD1900" s="11" t="s">
        <v>4651</v>
      </c>
      <c r="AE1900" s="23" t="n">
        <v>0.9</v>
      </c>
      <c r="AF1900" s="23" t="n">
        <v>0</v>
      </c>
      <c r="AG1900" s="23" t="n">
        <v>0.33</v>
      </c>
      <c r="AH1900" s="23" t="n">
        <v>1</v>
      </c>
      <c r="AI1900" s="23" t="n">
        <v>0.2</v>
      </c>
      <c r="AJ1900" s="23" t="n">
        <v>0.2636</v>
      </c>
      <c r="AK1900" s="23" t="n">
        <v>0.2</v>
      </c>
      <c r="AL1900" s="23" t="n">
        <v>0.3</v>
      </c>
      <c r="AM1900" s="16" t="n">
        <f aca="false">COUNTIFS($D$2:$D$2501,D1900,$G$2:$G$2501,"&gt;"&amp;G1900)+COUNTIFS($D$2:D1900,D1900,$G$2:G1900,G1900)</f>
        <v>230</v>
      </c>
      <c r="AN1900" s="5" t="str">
        <f aca="false">D1900&amp;"|"&amp;AM1900</f>
        <v>檢索與情資關聯|230</v>
      </c>
    </row>
    <row r="1901" customFormat="false" ht="17.15" hidden="false" customHeight="false" outlineLevel="0" collapsed="false">
      <c r="A1901" s="16" t="n">
        <f aca="false">RANK(G1901,$G$2:$G$2501)+COUNTIF($G$2:G1901,G1901)-1</f>
        <v>1900</v>
      </c>
      <c r="B1901" s="11" t="s">
        <v>4652</v>
      </c>
      <c r="C1901" s="11" t="s">
        <v>681</v>
      </c>
      <c r="D1901" s="5" t="s">
        <v>80</v>
      </c>
      <c r="E1901" s="5" t="s">
        <v>81</v>
      </c>
      <c r="F1901" s="5"/>
      <c r="G1901" s="22" t="n">
        <f aca="false">ROUND(SUM(I1901:P1901),3)</f>
        <v>54.056</v>
      </c>
      <c r="H1901" s="5" t="str">
        <f aca="false">IF(G1901&gt;=評分方法!$C$16,"優先評估",IF(G1901&gt;=評分方法!$C$17,"列入候選",IF(G1901&gt;=評分方法!$C$18,"特定情境","不建議")))</f>
        <v>不建議</v>
      </c>
      <c r="I1901" s="15" t="n">
        <f aca="false">AE1901*評分方法!$C$5</f>
        <v>3</v>
      </c>
      <c r="J1901" s="15" t="n">
        <f aca="false">AF1901*評分方法!$C$6</f>
        <v>0</v>
      </c>
      <c r="K1901" s="15" t="n">
        <f aca="false">AG1901*評分方法!$C$7</f>
        <v>15</v>
      </c>
      <c r="L1901" s="15" t="n">
        <f aca="false">AH1901*評分方法!$C$8</f>
        <v>15</v>
      </c>
      <c r="M1901" s="15" t="n">
        <f aca="false">AI1901*評分方法!$C$9</f>
        <v>10</v>
      </c>
      <c r="N1901" s="15" t="n">
        <f aca="false">AJ1901*評分方法!$C$10</f>
        <v>8.556</v>
      </c>
      <c r="O1901" s="15" t="n">
        <f aca="false">AK1901*評分方法!$C$11</f>
        <v>1</v>
      </c>
      <c r="P1901" s="15" t="n">
        <f aca="false">AL1901*評分方法!$C$12</f>
        <v>1.5</v>
      </c>
      <c r="Q1901" s="6" t="n">
        <v>2395266</v>
      </c>
      <c r="R1901" s="6" t="n">
        <v>641090864</v>
      </c>
      <c r="S1901" s="11" t="s">
        <v>238</v>
      </c>
      <c r="T1901" s="11" t="s">
        <v>239</v>
      </c>
      <c r="U1901" s="5" t="s">
        <v>240</v>
      </c>
      <c r="V1901" s="11" t="s">
        <v>855</v>
      </c>
      <c r="W1901" s="5" t="s">
        <v>205</v>
      </c>
      <c r="X1901" s="5" t="s">
        <v>255</v>
      </c>
      <c r="Y1901" s="5"/>
      <c r="Z1901" s="5"/>
      <c r="AA1901" s="11" t="s">
        <v>184</v>
      </c>
      <c r="AB1901" s="5" t="s">
        <v>245</v>
      </c>
      <c r="AC1901" s="5"/>
      <c r="AD1901" s="11" t="s">
        <v>4653</v>
      </c>
      <c r="AE1901" s="23" t="n">
        <v>0.1</v>
      </c>
      <c r="AF1901" s="23" t="n">
        <v>0</v>
      </c>
      <c r="AG1901" s="23" t="n">
        <v>1</v>
      </c>
      <c r="AH1901" s="23" t="n">
        <v>1</v>
      </c>
      <c r="AI1901" s="23" t="n">
        <v>1</v>
      </c>
      <c r="AJ1901" s="23" t="n">
        <v>0.8556</v>
      </c>
      <c r="AK1901" s="23" t="n">
        <v>0.2</v>
      </c>
      <c r="AL1901" s="23" t="n">
        <v>0.3</v>
      </c>
      <c r="AM1901" s="16" t="n">
        <f aca="false">COUNTIFS($D$2:$D$2501,D1901,$G$2:$G$2501,"&gt;"&amp;G1901)+COUNTIFS($D$2:D1901,D1901,$G$2:G1901,G1901)</f>
        <v>6</v>
      </c>
      <c r="AN1901" s="5" t="str">
        <f aca="false">D1901&amp;"|"&amp;AM1901</f>
        <v>其他|6</v>
      </c>
    </row>
    <row r="1902" customFormat="false" ht="17.15" hidden="false" customHeight="false" outlineLevel="0" collapsed="false">
      <c r="A1902" s="16" t="n">
        <f aca="false">RANK(G1902,$G$2:$G$2501)+COUNTIF($G$2:G1902,G1902)-1</f>
        <v>1901</v>
      </c>
      <c r="B1902" s="11" t="s">
        <v>4654</v>
      </c>
      <c r="C1902" s="11" t="s">
        <v>4655</v>
      </c>
      <c r="D1902" s="5" t="s">
        <v>56</v>
      </c>
      <c r="E1902" s="5" t="s">
        <v>57</v>
      </c>
      <c r="F1902" s="5"/>
      <c r="G1902" s="22" t="n">
        <f aca="false">ROUND(SUM(I1902:P1902),3)</f>
        <v>54.052</v>
      </c>
      <c r="H1902" s="5" t="str">
        <f aca="false">IF(G1902&gt;=評分方法!$C$16,"優先評估",IF(G1902&gt;=評分方法!$C$17,"列入候選",IF(G1902&gt;=評分方法!$C$18,"特定情境","不建議")))</f>
        <v>不建議</v>
      </c>
      <c r="I1902" s="15" t="n">
        <f aca="false">AE1902*評分方法!$C$5</f>
        <v>25.5</v>
      </c>
      <c r="J1902" s="15" t="n">
        <f aca="false">AF1902*評分方法!$C$6</f>
        <v>0</v>
      </c>
      <c r="K1902" s="15" t="n">
        <f aca="false">AG1902*評分方法!$C$7</f>
        <v>4.95</v>
      </c>
      <c r="L1902" s="15" t="n">
        <f aca="false">AH1902*評分方法!$C$8</f>
        <v>13.05</v>
      </c>
      <c r="M1902" s="15" t="n">
        <f aca="false">AI1902*評分方法!$C$9</f>
        <v>6</v>
      </c>
      <c r="N1902" s="15" t="n">
        <f aca="false">AJ1902*評分方法!$C$10</f>
        <v>0.552</v>
      </c>
      <c r="O1902" s="15" t="n">
        <f aca="false">AK1902*評分方法!$C$11</f>
        <v>1</v>
      </c>
      <c r="P1902" s="15" t="n">
        <f aca="false">AL1902*評分方法!$C$12</f>
        <v>3</v>
      </c>
      <c r="Q1902" s="6" t="n">
        <v>134599</v>
      </c>
      <c r="R1902" s="6" t="n">
        <v>3031170048</v>
      </c>
      <c r="S1902" s="11" t="s">
        <v>254</v>
      </c>
      <c r="T1902" s="11" t="s">
        <v>658</v>
      </c>
      <c r="U1902" s="5" t="s">
        <v>260</v>
      </c>
      <c r="V1902" s="11" t="s">
        <v>261</v>
      </c>
      <c r="W1902" s="5" t="s">
        <v>334</v>
      </c>
      <c r="X1902" s="5" t="s">
        <v>371</v>
      </c>
      <c r="Y1902" s="5"/>
      <c r="Z1902" s="5"/>
      <c r="AA1902" s="11" t="s">
        <v>155</v>
      </c>
      <c r="AB1902" s="5" t="s">
        <v>245</v>
      </c>
      <c r="AC1902" s="5" t="s">
        <v>262</v>
      </c>
      <c r="AD1902" s="11" t="s">
        <v>4656</v>
      </c>
      <c r="AE1902" s="23" t="n">
        <v>0.85</v>
      </c>
      <c r="AF1902" s="23" t="n">
        <v>0</v>
      </c>
      <c r="AG1902" s="23" t="n">
        <v>0.33</v>
      </c>
      <c r="AH1902" s="23" t="n">
        <v>0.87</v>
      </c>
      <c r="AI1902" s="23" t="n">
        <v>0.6</v>
      </c>
      <c r="AJ1902" s="23" t="n">
        <v>0.0552</v>
      </c>
      <c r="AK1902" s="23" t="n">
        <v>0.2</v>
      </c>
      <c r="AL1902" s="23" t="n">
        <v>0.6</v>
      </c>
      <c r="AM1902" s="16" t="n">
        <f aca="false">COUNTIFS($D$2:$D$2501,D1902,$G$2:$G$2501,"&gt;"&amp;G1902)+COUNTIFS($D$2:D1902,D1902,$G$2:G1902,G1902)</f>
        <v>879</v>
      </c>
      <c r="AN1902" s="5" t="str">
        <f aca="false">D1902&amp;"|"&amp;AM1902</f>
        <v>分析與報告生成|879</v>
      </c>
    </row>
    <row r="1903" customFormat="false" ht="17.15" hidden="false" customHeight="false" outlineLevel="0" collapsed="false">
      <c r="A1903" s="16" t="n">
        <f aca="false">RANK(G1903,$G$2:$G$2501)+COUNTIF($G$2:G1903,G1903)-1</f>
        <v>1902</v>
      </c>
      <c r="B1903" s="11" t="s">
        <v>4657</v>
      </c>
      <c r="C1903" s="11" t="s">
        <v>327</v>
      </c>
      <c r="D1903" s="5" t="s">
        <v>56</v>
      </c>
      <c r="E1903" s="5" t="s">
        <v>57</v>
      </c>
      <c r="F1903" s="5"/>
      <c r="G1903" s="22" t="n">
        <f aca="false">ROUND(SUM(I1903:P1903),3)</f>
        <v>54.046</v>
      </c>
      <c r="H1903" s="5" t="str">
        <f aca="false">IF(G1903&gt;=評分方法!$C$16,"優先評估",IF(G1903&gt;=評分方法!$C$17,"列入候選",IF(G1903&gt;=評分方法!$C$18,"特定情境","不建議")))</f>
        <v>不建議</v>
      </c>
      <c r="I1903" s="15" t="n">
        <f aca="false">AE1903*評分方法!$C$5</f>
        <v>25.5</v>
      </c>
      <c r="J1903" s="15" t="n">
        <f aca="false">AF1903*評分方法!$C$6</f>
        <v>0</v>
      </c>
      <c r="K1903" s="15" t="n">
        <f aca="false">AG1903*評分方法!$C$7</f>
        <v>15</v>
      </c>
      <c r="L1903" s="15" t="n">
        <f aca="false">AH1903*評分方法!$C$8</f>
        <v>4.95</v>
      </c>
      <c r="M1903" s="15" t="n">
        <f aca="false">AI1903*評分方法!$C$9</f>
        <v>6</v>
      </c>
      <c r="N1903" s="15" t="n">
        <f aca="false">AJ1903*評分方法!$C$10</f>
        <v>0.096</v>
      </c>
      <c r="O1903" s="15" t="n">
        <f aca="false">AK1903*評分方法!$C$11</f>
        <v>2.5</v>
      </c>
      <c r="P1903" s="15" t="n">
        <f aca="false">AL1903*評分方法!$C$12</f>
        <v>0</v>
      </c>
      <c r="Q1903" s="6" t="n">
        <v>119133</v>
      </c>
      <c r="R1903" s="6" t="n">
        <v>70553706496</v>
      </c>
      <c r="S1903" s="11" t="s">
        <v>1876</v>
      </c>
      <c r="T1903" s="11" t="s">
        <v>259</v>
      </c>
      <c r="U1903" s="5" t="s">
        <v>260</v>
      </c>
      <c r="V1903" s="11" t="s">
        <v>261</v>
      </c>
      <c r="W1903" s="5" t="s">
        <v>205</v>
      </c>
      <c r="X1903" s="5" t="s">
        <v>242</v>
      </c>
      <c r="Y1903" s="11" t="s">
        <v>3078</v>
      </c>
      <c r="Z1903" s="11" t="s">
        <v>270</v>
      </c>
      <c r="AA1903" s="11" t="s">
        <v>155</v>
      </c>
      <c r="AB1903" s="5" t="s">
        <v>245</v>
      </c>
      <c r="AC1903" s="5" t="s">
        <v>262</v>
      </c>
      <c r="AD1903" s="11" t="s">
        <v>4658</v>
      </c>
      <c r="AE1903" s="23" t="n">
        <v>0.85</v>
      </c>
      <c r="AF1903" s="23" t="n">
        <v>0</v>
      </c>
      <c r="AG1903" s="23" t="n">
        <v>1</v>
      </c>
      <c r="AH1903" s="23" t="n">
        <v>0.33</v>
      </c>
      <c r="AI1903" s="23" t="n">
        <v>0.6</v>
      </c>
      <c r="AJ1903" s="23" t="n">
        <v>0.0096</v>
      </c>
      <c r="AK1903" s="23" t="n">
        <v>0.5</v>
      </c>
      <c r="AL1903" s="23" t="n">
        <v>0</v>
      </c>
      <c r="AM1903" s="16" t="n">
        <f aca="false">COUNTIFS($D$2:$D$2501,D1903,$G$2:$G$2501,"&gt;"&amp;G1903)+COUNTIFS($D$2:D1903,D1903,$G$2:G1903,G1903)</f>
        <v>880</v>
      </c>
      <c r="AN1903" s="5" t="str">
        <f aca="false">D1903&amp;"|"&amp;AM1903</f>
        <v>分析與報告生成|880</v>
      </c>
    </row>
    <row r="1904" customFormat="false" ht="17.15" hidden="false" customHeight="false" outlineLevel="0" collapsed="false">
      <c r="A1904" s="16" t="n">
        <f aca="false">RANK(G1904,$G$2:$G$2501)+COUNTIF($G$2:G1904,G1904)-1</f>
        <v>1903</v>
      </c>
      <c r="B1904" s="11" t="s">
        <v>4659</v>
      </c>
      <c r="C1904" s="11" t="s">
        <v>2693</v>
      </c>
      <c r="D1904" s="5" t="s">
        <v>74</v>
      </c>
      <c r="E1904" s="5" t="s">
        <v>75</v>
      </c>
      <c r="F1904" s="5"/>
      <c r="G1904" s="22" t="n">
        <f aca="false">ROUND(SUM(I1904:P1904),3)</f>
        <v>54.022</v>
      </c>
      <c r="H1904" s="5" t="str">
        <f aca="false">IF(G1904&gt;=評分方法!$C$16,"優先評估",IF(G1904&gt;=評分方法!$C$17,"列入候選",IF(G1904&gt;=評分方法!$C$18,"特定情境","不建議")))</f>
        <v>不建議</v>
      </c>
      <c r="I1904" s="15" t="n">
        <f aca="false">AE1904*評分方法!$C$5</f>
        <v>12</v>
      </c>
      <c r="J1904" s="15" t="n">
        <f aca="false">AF1904*評分方法!$C$6</f>
        <v>0</v>
      </c>
      <c r="K1904" s="15" t="n">
        <f aca="false">AG1904*評分方法!$C$7</f>
        <v>15</v>
      </c>
      <c r="L1904" s="15" t="n">
        <f aca="false">AH1904*評分方法!$C$8</f>
        <v>7.05</v>
      </c>
      <c r="M1904" s="15" t="n">
        <f aca="false">AI1904*評分方法!$C$9</f>
        <v>10</v>
      </c>
      <c r="N1904" s="15" t="n">
        <f aca="false">AJ1904*評分方法!$C$10</f>
        <v>7.472</v>
      </c>
      <c r="O1904" s="15" t="n">
        <f aca="false">AK1904*評分方法!$C$11</f>
        <v>1</v>
      </c>
      <c r="P1904" s="15" t="n">
        <f aca="false">AL1904*評分方法!$C$12</f>
        <v>1.5</v>
      </c>
      <c r="Q1904" s="6" t="n">
        <v>1139696</v>
      </c>
      <c r="R1904" s="6"/>
      <c r="S1904" s="5" t="s">
        <v>255</v>
      </c>
      <c r="T1904" s="11" t="s">
        <v>239</v>
      </c>
      <c r="U1904" s="5" t="s">
        <v>240</v>
      </c>
      <c r="V1904" s="11" t="s">
        <v>324</v>
      </c>
      <c r="W1904" s="5" t="s">
        <v>205</v>
      </c>
      <c r="X1904" s="5" t="s">
        <v>255</v>
      </c>
      <c r="Y1904" s="5"/>
      <c r="Z1904" s="5"/>
      <c r="AA1904" s="11" t="s">
        <v>167</v>
      </c>
      <c r="AB1904" s="5" t="s">
        <v>245</v>
      </c>
      <c r="AC1904" s="5"/>
      <c r="AD1904" s="11" t="s">
        <v>4660</v>
      </c>
      <c r="AE1904" s="23" t="n">
        <v>0.4</v>
      </c>
      <c r="AF1904" s="23" t="n">
        <v>0</v>
      </c>
      <c r="AG1904" s="23" t="n">
        <v>1</v>
      </c>
      <c r="AH1904" s="23" t="n">
        <v>0.47</v>
      </c>
      <c r="AI1904" s="23" t="n">
        <v>1</v>
      </c>
      <c r="AJ1904" s="23" t="n">
        <v>0.7472</v>
      </c>
      <c r="AK1904" s="23" t="n">
        <v>0.2</v>
      </c>
      <c r="AL1904" s="23" t="n">
        <v>0.3</v>
      </c>
      <c r="AM1904" s="16" t="n">
        <f aca="false">COUNTIFS($D$2:$D$2501,D1904,$G$2:$G$2501,"&gt;"&amp;G1904)+COUNTIFS($D$2:D1904,D1904,$G$2:G1904,G1904)</f>
        <v>238</v>
      </c>
      <c r="AN1904" s="5" t="str">
        <f aca="false">D1904&amp;"|"&amp;AM1904</f>
        <v>文件與影像辨識|238</v>
      </c>
    </row>
    <row r="1905" customFormat="false" ht="17.15" hidden="false" customHeight="false" outlineLevel="0" collapsed="false">
      <c r="A1905" s="16" t="n">
        <f aca="false">RANK(G1905,$G$2:$G$2501)+COUNTIF($G$2:G1905,G1905)-1</f>
        <v>1904</v>
      </c>
      <c r="B1905" s="11" t="s">
        <v>4661</v>
      </c>
      <c r="C1905" s="11" t="s">
        <v>4662</v>
      </c>
      <c r="D1905" s="5" t="s">
        <v>54</v>
      </c>
      <c r="E1905" s="5" t="s">
        <v>55</v>
      </c>
      <c r="F1905" s="5"/>
      <c r="G1905" s="22" t="n">
        <f aca="false">ROUND(SUM(I1905:P1905),3)</f>
        <v>54.01</v>
      </c>
      <c r="H1905" s="5" t="str">
        <f aca="false">IF(G1905&gt;=評分方法!$C$16,"優先評估",IF(G1905&gt;=評分方法!$C$17,"列入候選",IF(G1905&gt;=評分方法!$C$18,"特定情境","不建議")))</f>
        <v>不建議</v>
      </c>
      <c r="I1905" s="15" t="n">
        <f aca="false">AE1905*評分方法!$C$5</f>
        <v>16.2</v>
      </c>
      <c r="J1905" s="15" t="n">
        <f aca="false">AF1905*評分方法!$C$6</f>
        <v>0</v>
      </c>
      <c r="K1905" s="15" t="n">
        <f aca="false">AG1905*評分方法!$C$7</f>
        <v>4.95</v>
      </c>
      <c r="L1905" s="15" t="n">
        <f aca="false">AH1905*評分方法!$C$8</f>
        <v>15</v>
      </c>
      <c r="M1905" s="15" t="n">
        <f aca="false">AI1905*評分方法!$C$9</f>
        <v>10</v>
      </c>
      <c r="N1905" s="15" t="n">
        <f aca="false">AJ1905*評分方法!$C$10</f>
        <v>3.86</v>
      </c>
      <c r="O1905" s="15" t="n">
        <f aca="false">AK1905*評分方法!$C$11</f>
        <v>4</v>
      </c>
      <c r="P1905" s="15" t="n">
        <f aca="false">AL1905*評分方法!$C$12</f>
        <v>0</v>
      </c>
      <c r="Q1905" s="6" t="n">
        <v>399485</v>
      </c>
      <c r="R1905" s="6" t="n">
        <v>124691456</v>
      </c>
      <c r="S1905" s="11" t="s">
        <v>238</v>
      </c>
      <c r="T1905" s="11" t="s">
        <v>239</v>
      </c>
      <c r="U1905" s="5" t="s">
        <v>240</v>
      </c>
      <c r="V1905" s="11" t="s">
        <v>3291</v>
      </c>
      <c r="W1905" s="5" t="s">
        <v>334</v>
      </c>
      <c r="X1905" s="5" t="s">
        <v>242</v>
      </c>
      <c r="Y1905" s="5"/>
      <c r="Z1905" s="5"/>
      <c r="AA1905" s="11" t="s">
        <v>152</v>
      </c>
      <c r="AB1905" s="5" t="s">
        <v>245</v>
      </c>
      <c r="AC1905" s="5" t="s">
        <v>1463</v>
      </c>
      <c r="AD1905" s="11" t="s">
        <v>4663</v>
      </c>
      <c r="AE1905" s="23" t="n">
        <v>0.54</v>
      </c>
      <c r="AF1905" s="23" t="n">
        <v>0</v>
      </c>
      <c r="AG1905" s="23" t="n">
        <v>0.33</v>
      </c>
      <c r="AH1905" s="23" t="n">
        <v>1</v>
      </c>
      <c r="AI1905" s="23" t="n">
        <v>1</v>
      </c>
      <c r="AJ1905" s="23" t="n">
        <v>0.386</v>
      </c>
      <c r="AK1905" s="23" t="n">
        <v>0.8</v>
      </c>
      <c r="AL1905" s="23" t="n">
        <v>0</v>
      </c>
      <c r="AM1905" s="16" t="n">
        <f aca="false">COUNTIFS($D$2:$D$2501,D1905,$G$2:$G$2501,"&gt;"&amp;G1905)+COUNTIFS($D$2:D1905,D1905,$G$2:G1905,G1905)</f>
        <v>231</v>
      </c>
      <c r="AN1905" s="5" t="str">
        <f aca="false">D1905&amp;"|"&amp;AM1905</f>
        <v>檢索與情資關聯|231</v>
      </c>
    </row>
    <row r="1906" customFormat="false" ht="17.15" hidden="false" customHeight="false" outlineLevel="0" collapsed="false">
      <c r="A1906" s="16" t="n">
        <f aca="false">RANK(G1906,$G$2:$G$2501)+COUNTIF($G$2:G1906,G1906)-1</f>
        <v>1905</v>
      </c>
      <c r="B1906" s="11" t="s">
        <v>4664</v>
      </c>
      <c r="C1906" s="11" t="s">
        <v>1550</v>
      </c>
      <c r="D1906" s="5" t="s">
        <v>74</v>
      </c>
      <c r="E1906" s="5" t="s">
        <v>75</v>
      </c>
      <c r="F1906" s="5"/>
      <c r="G1906" s="22" t="n">
        <f aca="false">ROUND(SUM(I1906:P1906),3)</f>
        <v>53.978</v>
      </c>
      <c r="H1906" s="5" t="str">
        <f aca="false">IF(G1906&gt;=評分方法!$C$16,"優先評估",IF(G1906&gt;=評分方法!$C$17,"列入候選",IF(G1906&gt;=評分方法!$C$18,"特定情境","不建議")))</f>
        <v>不建議</v>
      </c>
      <c r="I1906" s="15" t="n">
        <f aca="false">AE1906*評分方法!$C$5</f>
        <v>13.5</v>
      </c>
      <c r="J1906" s="15" t="n">
        <f aca="false">AF1906*評分方法!$C$6</f>
        <v>0</v>
      </c>
      <c r="K1906" s="15" t="n">
        <f aca="false">AG1906*評分方法!$C$7</f>
        <v>15</v>
      </c>
      <c r="L1906" s="15" t="n">
        <f aca="false">AH1906*評分方法!$C$8</f>
        <v>7.05</v>
      </c>
      <c r="M1906" s="15" t="n">
        <f aca="false">AI1906*評分方法!$C$9</f>
        <v>10</v>
      </c>
      <c r="N1906" s="15" t="n">
        <f aca="false">AJ1906*評分方法!$C$10</f>
        <v>2.928</v>
      </c>
      <c r="O1906" s="15" t="n">
        <f aca="false">AK1906*評分方法!$C$11</f>
        <v>4</v>
      </c>
      <c r="P1906" s="15" t="n">
        <f aca="false">AL1906*評分方法!$C$12</f>
        <v>1.5</v>
      </c>
      <c r="Q1906" s="6" t="n">
        <v>288069</v>
      </c>
      <c r="R1906" s="6"/>
      <c r="S1906" s="5" t="s">
        <v>255</v>
      </c>
      <c r="T1906" s="11" t="s">
        <v>239</v>
      </c>
      <c r="U1906" s="5" t="s">
        <v>240</v>
      </c>
      <c r="V1906" s="11" t="s">
        <v>514</v>
      </c>
      <c r="W1906" s="5" t="s">
        <v>205</v>
      </c>
      <c r="X1906" s="5" t="s">
        <v>255</v>
      </c>
      <c r="Y1906" s="11" t="s">
        <v>1549</v>
      </c>
      <c r="Z1906" s="11" t="s">
        <v>244</v>
      </c>
      <c r="AA1906" s="11" t="s">
        <v>164</v>
      </c>
      <c r="AB1906" s="5" t="s">
        <v>343</v>
      </c>
      <c r="AC1906" s="5" t="s">
        <v>4665</v>
      </c>
      <c r="AD1906" s="11" t="s">
        <v>4666</v>
      </c>
      <c r="AE1906" s="23" t="n">
        <v>0.45</v>
      </c>
      <c r="AF1906" s="23" t="n">
        <v>0</v>
      </c>
      <c r="AG1906" s="23" t="n">
        <v>1</v>
      </c>
      <c r="AH1906" s="23" t="n">
        <v>0.47</v>
      </c>
      <c r="AI1906" s="23" t="n">
        <v>1</v>
      </c>
      <c r="AJ1906" s="23" t="n">
        <v>0.2928</v>
      </c>
      <c r="AK1906" s="23" t="n">
        <v>0.8</v>
      </c>
      <c r="AL1906" s="23" t="n">
        <v>0.3</v>
      </c>
      <c r="AM1906" s="16" t="n">
        <f aca="false">COUNTIFS($D$2:$D$2501,D1906,$G$2:$G$2501,"&gt;"&amp;G1906)+COUNTIFS($D$2:D1906,D1906,$G$2:G1906,G1906)</f>
        <v>239</v>
      </c>
      <c r="AN1906" s="5" t="str">
        <f aca="false">D1906&amp;"|"&amp;AM1906</f>
        <v>文件與影像辨識|239</v>
      </c>
    </row>
    <row r="1907" customFormat="false" ht="17.15" hidden="false" customHeight="false" outlineLevel="0" collapsed="false">
      <c r="A1907" s="16" t="n">
        <f aca="false">RANK(G1907,$G$2:$G$2501)+COUNTIF($G$2:G1907,G1907)-1</f>
        <v>1906</v>
      </c>
      <c r="B1907" s="11" t="s">
        <v>4667</v>
      </c>
      <c r="C1907" s="11" t="s">
        <v>4668</v>
      </c>
      <c r="D1907" s="5" t="s">
        <v>56</v>
      </c>
      <c r="E1907" s="5" t="s">
        <v>57</v>
      </c>
      <c r="F1907" s="5"/>
      <c r="G1907" s="22" t="n">
        <f aca="false">ROUND(SUM(I1907:P1907),3)</f>
        <v>53.88</v>
      </c>
      <c r="H1907" s="5" t="str">
        <f aca="false">IF(G1907&gt;=評分方法!$C$16,"優先評估",IF(G1907&gt;=評分方法!$C$17,"列入候選",IF(G1907&gt;=評分方法!$C$18,"特定情境","不建議")))</f>
        <v>不建議</v>
      </c>
      <c r="I1907" s="15" t="n">
        <f aca="false">AE1907*評分方法!$C$5</f>
        <v>25.5</v>
      </c>
      <c r="J1907" s="15" t="n">
        <f aca="false">AF1907*評分方法!$C$6</f>
        <v>0</v>
      </c>
      <c r="K1907" s="15" t="n">
        <f aca="false">AG1907*評分方法!$C$7</f>
        <v>4.95</v>
      </c>
      <c r="L1907" s="15" t="n">
        <f aca="false">AH1907*評分方法!$C$8</f>
        <v>1.95</v>
      </c>
      <c r="M1907" s="15" t="n">
        <f aca="false">AI1907*評分方法!$C$9</f>
        <v>10</v>
      </c>
      <c r="N1907" s="15" t="n">
        <f aca="false">AJ1907*評分方法!$C$10</f>
        <v>3.48</v>
      </c>
      <c r="O1907" s="15" t="n">
        <f aca="false">AK1907*評分方法!$C$11</f>
        <v>5</v>
      </c>
      <c r="P1907" s="15" t="n">
        <f aca="false">AL1907*評分方法!$C$12</f>
        <v>3</v>
      </c>
      <c r="Q1907" s="6" t="n">
        <v>350607</v>
      </c>
      <c r="R1907" s="6" t="n">
        <v>117561977600</v>
      </c>
      <c r="S1907" s="11" t="s">
        <v>1616</v>
      </c>
      <c r="T1907" s="11" t="s">
        <v>1404</v>
      </c>
      <c r="U1907" s="5" t="s">
        <v>240</v>
      </c>
      <c r="V1907" s="11" t="s">
        <v>333</v>
      </c>
      <c r="W1907" s="5" t="s">
        <v>334</v>
      </c>
      <c r="X1907" s="5" t="s">
        <v>371</v>
      </c>
      <c r="Y1907" s="11" t="s">
        <v>3953</v>
      </c>
      <c r="Z1907" s="11" t="s">
        <v>244</v>
      </c>
      <c r="AA1907" s="11" t="s">
        <v>155</v>
      </c>
      <c r="AB1907" s="5" t="s">
        <v>245</v>
      </c>
      <c r="AC1907" s="5" t="s">
        <v>246</v>
      </c>
      <c r="AD1907" s="11" t="s">
        <v>4669</v>
      </c>
      <c r="AE1907" s="23" t="n">
        <v>0.85</v>
      </c>
      <c r="AF1907" s="23" t="n">
        <v>0</v>
      </c>
      <c r="AG1907" s="23" t="n">
        <v>0.33</v>
      </c>
      <c r="AH1907" s="23" t="n">
        <v>0.13</v>
      </c>
      <c r="AI1907" s="23" t="n">
        <v>1</v>
      </c>
      <c r="AJ1907" s="23" t="n">
        <v>0.348</v>
      </c>
      <c r="AK1907" s="23" t="n">
        <v>1</v>
      </c>
      <c r="AL1907" s="23" t="n">
        <v>0.6</v>
      </c>
      <c r="AM1907" s="16" t="n">
        <f aca="false">COUNTIFS($D$2:$D$2501,D1907,$G$2:$G$2501,"&gt;"&amp;G1907)+COUNTIFS($D$2:D1907,D1907,$G$2:G1907,G1907)</f>
        <v>881</v>
      </c>
      <c r="AN1907" s="5" t="str">
        <f aca="false">D1907&amp;"|"&amp;AM1907</f>
        <v>分析與報告生成|881</v>
      </c>
    </row>
    <row r="1908" customFormat="false" ht="17.15" hidden="false" customHeight="false" outlineLevel="0" collapsed="false">
      <c r="A1908" s="16" t="n">
        <f aca="false">RANK(G1908,$G$2:$G$2501)+COUNTIF($G$2:G1908,G1908)-1</f>
        <v>1907</v>
      </c>
      <c r="B1908" s="11" t="s">
        <v>4670</v>
      </c>
      <c r="C1908" s="11" t="s">
        <v>4671</v>
      </c>
      <c r="D1908" s="5" t="s">
        <v>56</v>
      </c>
      <c r="E1908" s="5" t="s">
        <v>57</v>
      </c>
      <c r="F1908" s="5"/>
      <c r="G1908" s="22" t="n">
        <f aca="false">ROUND(SUM(I1908:P1908),3)</f>
        <v>53.858</v>
      </c>
      <c r="H1908" s="5" t="str">
        <f aca="false">IF(G1908&gt;=評分方法!$C$16,"優先評估",IF(G1908&gt;=評分方法!$C$17,"列入候選",IF(G1908&gt;=評分方法!$C$18,"特定情境","不建議")))</f>
        <v>不建議</v>
      </c>
      <c r="I1908" s="15" t="n">
        <f aca="false">AE1908*評分方法!$C$5</f>
        <v>25.5</v>
      </c>
      <c r="J1908" s="15" t="n">
        <f aca="false">AF1908*評分方法!$C$6</f>
        <v>0</v>
      </c>
      <c r="K1908" s="15" t="n">
        <f aca="false">AG1908*評分方法!$C$7</f>
        <v>4.95</v>
      </c>
      <c r="L1908" s="15" t="n">
        <f aca="false">AH1908*評分方法!$C$8</f>
        <v>9</v>
      </c>
      <c r="M1908" s="15" t="n">
        <f aca="false">AI1908*評分方法!$C$9</f>
        <v>6</v>
      </c>
      <c r="N1908" s="15" t="n">
        <f aca="false">AJ1908*評分方法!$C$10</f>
        <v>2.908</v>
      </c>
      <c r="O1908" s="15" t="n">
        <f aca="false">AK1908*評分方法!$C$11</f>
        <v>2.5</v>
      </c>
      <c r="P1908" s="15" t="n">
        <f aca="false">AL1908*評分方法!$C$12</f>
        <v>3</v>
      </c>
      <c r="Q1908" s="6" t="n">
        <v>286862</v>
      </c>
      <c r="R1908" s="6" t="n">
        <v>11902391360</v>
      </c>
      <c r="S1908" s="11" t="s">
        <v>389</v>
      </c>
      <c r="T1908" s="11" t="s">
        <v>185</v>
      </c>
      <c r="U1908" s="5" t="s">
        <v>260</v>
      </c>
      <c r="V1908" s="11" t="s">
        <v>333</v>
      </c>
      <c r="W1908" s="5" t="s">
        <v>334</v>
      </c>
      <c r="X1908" s="5" t="s">
        <v>371</v>
      </c>
      <c r="Y1908" s="11" t="s">
        <v>4672</v>
      </c>
      <c r="Z1908" s="11" t="s">
        <v>244</v>
      </c>
      <c r="AA1908" s="11" t="s">
        <v>155</v>
      </c>
      <c r="AB1908" s="5" t="s">
        <v>961</v>
      </c>
      <c r="AC1908" s="5" t="s">
        <v>4673</v>
      </c>
      <c r="AD1908" s="11" t="s">
        <v>4674</v>
      </c>
      <c r="AE1908" s="23" t="n">
        <v>0.85</v>
      </c>
      <c r="AF1908" s="23" t="n">
        <v>0</v>
      </c>
      <c r="AG1908" s="23" t="n">
        <v>0.33</v>
      </c>
      <c r="AH1908" s="23" t="n">
        <v>0.6</v>
      </c>
      <c r="AI1908" s="23" t="n">
        <v>0.6</v>
      </c>
      <c r="AJ1908" s="23" t="n">
        <v>0.2908</v>
      </c>
      <c r="AK1908" s="23" t="n">
        <v>0.5</v>
      </c>
      <c r="AL1908" s="23" t="n">
        <v>0.6</v>
      </c>
      <c r="AM1908" s="16" t="n">
        <f aca="false">COUNTIFS($D$2:$D$2501,D1908,$G$2:$G$2501,"&gt;"&amp;G1908)+COUNTIFS($D$2:D1908,D1908,$G$2:G1908,G1908)</f>
        <v>882</v>
      </c>
      <c r="AN1908" s="5" t="str">
        <f aca="false">D1908&amp;"|"&amp;AM1908</f>
        <v>分析與報告生成|882</v>
      </c>
    </row>
    <row r="1909" customFormat="false" ht="17.15" hidden="false" customHeight="false" outlineLevel="0" collapsed="false">
      <c r="A1909" s="16" t="n">
        <f aca="false">RANK(G1909,$G$2:$G$2501)+COUNTIF($G$2:G1909,G1909)-1</f>
        <v>1908</v>
      </c>
      <c r="B1909" s="11" t="s">
        <v>4675</v>
      </c>
      <c r="C1909" s="11" t="s">
        <v>681</v>
      </c>
      <c r="D1909" s="5" t="s">
        <v>76</v>
      </c>
      <c r="E1909" s="5" t="s">
        <v>77</v>
      </c>
      <c r="F1909" s="5"/>
      <c r="G1909" s="22" t="n">
        <f aca="false">ROUND(SUM(I1909:P1909),3)</f>
        <v>53.812</v>
      </c>
      <c r="H1909" s="5" t="str">
        <f aca="false">IF(G1909&gt;=評分方法!$C$16,"優先評估",IF(G1909&gt;=評分方法!$C$17,"列入候選",IF(G1909&gt;=評分方法!$C$18,"特定情境","不建議")))</f>
        <v>不建議</v>
      </c>
      <c r="I1909" s="15" t="n">
        <f aca="false">AE1909*評分方法!$C$5</f>
        <v>12</v>
      </c>
      <c r="J1909" s="15" t="n">
        <f aca="false">AF1909*評分方法!$C$6</f>
        <v>0</v>
      </c>
      <c r="K1909" s="15" t="n">
        <f aca="false">AG1909*評分方法!$C$7</f>
        <v>15</v>
      </c>
      <c r="L1909" s="15" t="n">
        <f aca="false">AH1909*評分方法!$C$8</f>
        <v>15</v>
      </c>
      <c r="M1909" s="15" t="n">
        <f aca="false">AI1909*評分方法!$C$9</f>
        <v>2</v>
      </c>
      <c r="N1909" s="15" t="n">
        <f aca="false">AJ1909*評分方法!$C$10</f>
        <v>3.812</v>
      </c>
      <c r="O1909" s="15" t="n">
        <f aca="false">AK1909*評分方法!$C$11</f>
        <v>1</v>
      </c>
      <c r="P1909" s="15" t="n">
        <f aca="false">AL1909*評分方法!$C$12</f>
        <v>5</v>
      </c>
      <c r="Q1909" s="6" t="n">
        <v>392137</v>
      </c>
      <c r="R1909" s="6" t="n">
        <v>611129542</v>
      </c>
      <c r="S1909" s="11" t="s">
        <v>238</v>
      </c>
      <c r="T1909" s="5"/>
      <c r="U1909" s="5" t="s">
        <v>375</v>
      </c>
      <c r="V1909" s="11" t="s">
        <v>279</v>
      </c>
      <c r="W1909" s="5" t="s">
        <v>205</v>
      </c>
      <c r="X1909" s="5" t="s">
        <v>284</v>
      </c>
      <c r="Y1909" s="5"/>
      <c r="Z1909" s="5"/>
      <c r="AA1909" s="11" t="s">
        <v>168</v>
      </c>
      <c r="AB1909" s="5" t="s">
        <v>245</v>
      </c>
      <c r="AC1909" s="5" t="s">
        <v>262</v>
      </c>
      <c r="AD1909" s="11" t="s">
        <v>4676</v>
      </c>
      <c r="AE1909" s="23" t="n">
        <v>0.4</v>
      </c>
      <c r="AF1909" s="23" t="n">
        <v>0</v>
      </c>
      <c r="AG1909" s="23" t="n">
        <v>1</v>
      </c>
      <c r="AH1909" s="23" t="n">
        <v>1</v>
      </c>
      <c r="AI1909" s="23" t="n">
        <v>0.2</v>
      </c>
      <c r="AJ1909" s="23" t="n">
        <v>0.3812</v>
      </c>
      <c r="AK1909" s="23" t="n">
        <v>0.2</v>
      </c>
      <c r="AL1909" s="23" t="n">
        <v>1</v>
      </c>
      <c r="AM1909" s="16" t="n">
        <f aca="false">COUNTIFS($D$2:$D$2501,D1909,$G$2:$G$2501,"&gt;"&amp;G1909)+COUNTIFS($D$2:D1909,D1909,$G$2:G1909,G1909)</f>
        <v>11</v>
      </c>
      <c r="AN1909" s="5" t="str">
        <f aca="false">D1909&amp;"|"&amp;AM1909</f>
        <v>情資翻譯|11</v>
      </c>
    </row>
    <row r="1910" customFormat="false" ht="17.15" hidden="false" customHeight="false" outlineLevel="0" collapsed="false">
      <c r="A1910" s="16" t="n">
        <f aca="false">RANK(G1910,$G$2:$G$2501)+COUNTIF($G$2:G1910,G1910)-1</f>
        <v>1909</v>
      </c>
      <c r="B1910" s="11" t="s">
        <v>4677</v>
      </c>
      <c r="C1910" s="11" t="s">
        <v>891</v>
      </c>
      <c r="D1910" s="5" t="s">
        <v>56</v>
      </c>
      <c r="E1910" s="5" t="s">
        <v>57</v>
      </c>
      <c r="F1910" s="5"/>
      <c r="G1910" s="22" t="n">
        <f aca="false">ROUND(SUM(I1910:P1910),3)</f>
        <v>53.77</v>
      </c>
      <c r="H1910" s="5" t="str">
        <f aca="false">IF(G1910&gt;=評分方法!$C$16,"優先評估",IF(G1910&gt;=評分方法!$C$17,"列入候選",IF(G1910&gt;=評分方法!$C$18,"特定情境","不建議")))</f>
        <v>不建議</v>
      </c>
      <c r="I1910" s="15" t="n">
        <f aca="false">AE1910*評分方法!$C$5</f>
        <v>25.5</v>
      </c>
      <c r="J1910" s="15" t="n">
        <f aca="false">AF1910*評分方法!$C$6</f>
        <v>0</v>
      </c>
      <c r="K1910" s="15" t="n">
        <f aca="false">AG1910*評分方法!$C$7</f>
        <v>10.05</v>
      </c>
      <c r="L1910" s="15" t="n">
        <f aca="false">AH1910*評分方法!$C$8</f>
        <v>1.95</v>
      </c>
      <c r="M1910" s="15" t="n">
        <f aca="false">AI1910*評分方法!$C$9</f>
        <v>10</v>
      </c>
      <c r="N1910" s="15" t="n">
        <f aca="false">AJ1910*評分方法!$C$10</f>
        <v>0.77</v>
      </c>
      <c r="O1910" s="15" t="n">
        <f aca="false">AK1910*評分方法!$C$11</f>
        <v>2.5</v>
      </c>
      <c r="P1910" s="15" t="n">
        <f aca="false">AL1910*評分方法!$C$12</f>
        <v>3</v>
      </c>
      <c r="Q1910" s="6" t="n">
        <v>145650</v>
      </c>
      <c r="R1910" s="6" t="n">
        <v>116829156672</v>
      </c>
      <c r="S1910" s="11" t="s">
        <v>1616</v>
      </c>
      <c r="T1910" s="11" t="s">
        <v>239</v>
      </c>
      <c r="U1910" s="5" t="s">
        <v>240</v>
      </c>
      <c r="V1910" s="11" t="s">
        <v>333</v>
      </c>
      <c r="W1910" s="5" t="s">
        <v>207</v>
      </c>
      <c r="X1910" s="5" t="s">
        <v>371</v>
      </c>
      <c r="Y1910" s="11" t="s">
        <v>1362</v>
      </c>
      <c r="Z1910" s="11" t="s">
        <v>244</v>
      </c>
      <c r="AA1910" s="11" t="s">
        <v>155</v>
      </c>
      <c r="AB1910" s="5" t="s">
        <v>496</v>
      </c>
      <c r="AC1910" s="5" t="s">
        <v>555</v>
      </c>
      <c r="AD1910" s="11" t="s">
        <v>4678</v>
      </c>
      <c r="AE1910" s="23" t="n">
        <v>0.85</v>
      </c>
      <c r="AF1910" s="23" t="n">
        <v>0</v>
      </c>
      <c r="AG1910" s="23" t="n">
        <v>0.67</v>
      </c>
      <c r="AH1910" s="23" t="n">
        <v>0.13</v>
      </c>
      <c r="AI1910" s="23" t="n">
        <v>1</v>
      </c>
      <c r="AJ1910" s="23" t="n">
        <v>0.077</v>
      </c>
      <c r="AK1910" s="23" t="n">
        <v>0.5</v>
      </c>
      <c r="AL1910" s="23" t="n">
        <v>0.6</v>
      </c>
      <c r="AM1910" s="16" t="n">
        <f aca="false">COUNTIFS($D$2:$D$2501,D1910,$G$2:$G$2501,"&gt;"&amp;G1910)+COUNTIFS($D$2:D1910,D1910,$G$2:G1910,G1910)</f>
        <v>883</v>
      </c>
      <c r="AN1910" s="5" t="str">
        <f aca="false">D1910&amp;"|"&amp;AM1910</f>
        <v>分析與報告生成|883</v>
      </c>
    </row>
    <row r="1911" customFormat="false" ht="17.15" hidden="false" customHeight="false" outlineLevel="0" collapsed="false">
      <c r="A1911" s="16" t="n">
        <f aca="false">RANK(G1911,$G$2:$G$2501)+COUNTIF($G$2:G1911,G1911)-1</f>
        <v>1910</v>
      </c>
      <c r="B1911" s="11" t="s">
        <v>4679</v>
      </c>
      <c r="C1911" s="11" t="s">
        <v>2693</v>
      </c>
      <c r="D1911" s="5" t="s">
        <v>74</v>
      </c>
      <c r="E1911" s="5" t="s">
        <v>75</v>
      </c>
      <c r="F1911" s="5"/>
      <c r="G1911" s="22" t="n">
        <f aca="false">ROUND(SUM(I1911:P1911),3)</f>
        <v>53.766</v>
      </c>
      <c r="H1911" s="5" t="str">
        <f aca="false">IF(G1911&gt;=評分方法!$C$16,"優先評估",IF(G1911&gt;=評分方法!$C$17,"列入候選",IF(G1911&gt;=評分方法!$C$18,"特定情境","不建議")))</f>
        <v>不建議</v>
      </c>
      <c r="I1911" s="15" t="n">
        <f aca="false">AE1911*評分方法!$C$5</f>
        <v>10.5</v>
      </c>
      <c r="J1911" s="15" t="n">
        <f aca="false">AF1911*評分方法!$C$6</f>
        <v>0</v>
      </c>
      <c r="K1911" s="15" t="n">
        <f aca="false">AG1911*評分方法!$C$7</f>
        <v>15</v>
      </c>
      <c r="L1911" s="15" t="n">
        <f aca="false">AH1911*評分方法!$C$8</f>
        <v>7.05</v>
      </c>
      <c r="M1911" s="15" t="n">
        <f aca="false">AI1911*評分方法!$C$9</f>
        <v>10</v>
      </c>
      <c r="N1911" s="15" t="n">
        <f aca="false">AJ1911*評分方法!$C$10</f>
        <v>7.216</v>
      </c>
      <c r="O1911" s="15" t="n">
        <f aca="false">AK1911*評分方法!$C$11</f>
        <v>2.5</v>
      </c>
      <c r="P1911" s="15" t="n">
        <f aca="false">AL1911*評分方法!$C$12</f>
        <v>1.5</v>
      </c>
      <c r="Q1911" s="6" t="n">
        <v>1005459</v>
      </c>
      <c r="R1911" s="6"/>
      <c r="S1911" s="5" t="s">
        <v>255</v>
      </c>
      <c r="T1911" s="11" t="s">
        <v>239</v>
      </c>
      <c r="U1911" s="5" t="s">
        <v>240</v>
      </c>
      <c r="V1911" s="11" t="s">
        <v>324</v>
      </c>
      <c r="W1911" s="5" t="s">
        <v>205</v>
      </c>
      <c r="X1911" s="5" t="s">
        <v>255</v>
      </c>
      <c r="Y1911" s="5"/>
      <c r="Z1911" s="5"/>
      <c r="AA1911" s="11" t="s">
        <v>173</v>
      </c>
      <c r="AB1911" s="5" t="s">
        <v>245</v>
      </c>
      <c r="AC1911" s="5"/>
      <c r="AD1911" s="11" t="s">
        <v>4680</v>
      </c>
      <c r="AE1911" s="23" t="n">
        <v>0.35</v>
      </c>
      <c r="AF1911" s="23" t="n">
        <v>0</v>
      </c>
      <c r="AG1911" s="23" t="n">
        <v>1</v>
      </c>
      <c r="AH1911" s="23" t="n">
        <v>0.47</v>
      </c>
      <c r="AI1911" s="23" t="n">
        <v>1</v>
      </c>
      <c r="AJ1911" s="23" t="n">
        <v>0.7216</v>
      </c>
      <c r="AK1911" s="23" t="n">
        <v>0.5</v>
      </c>
      <c r="AL1911" s="23" t="n">
        <v>0.3</v>
      </c>
      <c r="AM1911" s="16" t="n">
        <f aca="false">COUNTIFS($D$2:$D$2501,D1911,$G$2:$G$2501,"&gt;"&amp;G1911)+COUNTIFS($D$2:D1911,D1911,$G$2:G1911,G1911)</f>
        <v>240</v>
      </c>
      <c r="AN1911" s="5" t="str">
        <f aca="false">D1911&amp;"|"&amp;AM1911</f>
        <v>文件與影像辨識|240</v>
      </c>
    </row>
    <row r="1912" customFormat="false" ht="17.15" hidden="false" customHeight="false" outlineLevel="0" collapsed="false">
      <c r="A1912" s="16" t="n">
        <f aca="false">RANK(G1912,$G$2:$G$2501)+COUNTIF($G$2:G1912,G1912)-1</f>
        <v>1911</v>
      </c>
      <c r="B1912" s="11" t="s">
        <v>4681</v>
      </c>
      <c r="C1912" s="11" t="s">
        <v>4682</v>
      </c>
      <c r="D1912" s="5" t="s">
        <v>54</v>
      </c>
      <c r="E1912" s="5" t="s">
        <v>55</v>
      </c>
      <c r="F1912" s="5"/>
      <c r="G1912" s="22" t="n">
        <f aca="false">ROUND(SUM(I1912:P1912),3)</f>
        <v>53.752</v>
      </c>
      <c r="H1912" s="5" t="str">
        <f aca="false">IF(G1912&gt;=評分方法!$C$16,"優先評估",IF(G1912&gt;=評分方法!$C$17,"列入候選",IF(G1912&gt;=評分方法!$C$18,"特定情境","不建議")))</f>
        <v>不建議</v>
      </c>
      <c r="I1912" s="15" t="n">
        <f aca="false">AE1912*評分方法!$C$5</f>
        <v>27</v>
      </c>
      <c r="J1912" s="15" t="n">
        <f aca="false">AF1912*評分方法!$C$6</f>
        <v>0</v>
      </c>
      <c r="K1912" s="15" t="n">
        <f aca="false">AG1912*評分方法!$C$7</f>
        <v>4.95</v>
      </c>
      <c r="L1912" s="15" t="n">
        <f aca="false">AH1912*評分方法!$C$8</f>
        <v>13.05</v>
      </c>
      <c r="M1912" s="15" t="n">
        <f aca="false">AI1912*評分方法!$C$9</f>
        <v>2</v>
      </c>
      <c r="N1912" s="15" t="n">
        <f aca="false">AJ1912*評分方法!$C$10</f>
        <v>4.252</v>
      </c>
      <c r="O1912" s="15" t="n">
        <f aca="false">AK1912*評分方法!$C$11</f>
        <v>2.5</v>
      </c>
      <c r="P1912" s="15" t="n">
        <f aca="false">AL1912*評分方法!$C$12</f>
        <v>0</v>
      </c>
      <c r="Q1912" s="6" t="n">
        <v>468361</v>
      </c>
      <c r="R1912" s="6" t="n">
        <v>1224038144</v>
      </c>
      <c r="S1912" s="11" t="s">
        <v>254</v>
      </c>
      <c r="T1912" s="5"/>
      <c r="U1912" s="5" t="s">
        <v>375</v>
      </c>
      <c r="V1912" s="11" t="s">
        <v>261</v>
      </c>
      <c r="W1912" s="5" t="s">
        <v>334</v>
      </c>
      <c r="X1912" s="5" t="s">
        <v>242</v>
      </c>
      <c r="Y1912" s="5"/>
      <c r="Z1912" s="5"/>
      <c r="AA1912" s="11" t="s">
        <v>152</v>
      </c>
      <c r="AB1912" s="5" t="s">
        <v>245</v>
      </c>
      <c r="AC1912" s="5" t="s">
        <v>262</v>
      </c>
      <c r="AD1912" s="11" t="s">
        <v>4683</v>
      </c>
      <c r="AE1912" s="23" t="n">
        <v>0.9</v>
      </c>
      <c r="AF1912" s="23" t="n">
        <v>0</v>
      </c>
      <c r="AG1912" s="23" t="n">
        <v>0.33</v>
      </c>
      <c r="AH1912" s="23" t="n">
        <v>0.87</v>
      </c>
      <c r="AI1912" s="23" t="n">
        <v>0.2</v>
      </c>
      <c r="AJ1912" s="23" t="n">
        <v>0.4252</v>
      </c>
      <c r="AK1912" s="23" t="n">
        <v>0.5</v>
      </c>
      <c r="AL1912" s="23" t="n">
        <v>0</v>
      </c>
      <c r="AM1912" s="16" t="n">
        <f aca="false">COUNTIFS($D$2:$D$2501,D1912,$G$2:$G$2501,"&gt;"&amp;G1912)+COUNTIFS($D$2:D1912,D1912,$G$2:G1912,G1912)</f>
        <v>232</v>
      </c>
      <c r="AN1912" s="5" t="str">
        <f aca="false">D1912&amp;"|"&amp;AM1912</f>
        <v>檢索與情資關聯|232</v>
      </c>
    </row>
    <row r="1913" customFormat="false" ht="17.15" hidden="false" customHeight="false" outlineLevel="0" collapsed="false">
      <c r="A1913" s="16" t="n">
        <f aca="false">RANK(G1913,$G$2:$G$2501)+COUNTIF($G$2:G1913,G1913)-1</f>
        <v>1912</v>
      </c>
      <c r="B1913" s="11" t="s">
        <v>4684</v>
      </c>
      <c r="C1913" s="11" t="s">
        <v>4685</v>
      </c>
      <c r="D1913" s="5" t="s">
        <v>58</v>
      </c>
      <c r="E1913" s="5" t="s">
        <v>59</v>
      </c>
      <c r="F1913" s="5"/>
      <c r="G1913" s="22" t="n">
        <f aca="false">ROUND(SUM(I1913:P1913),3)</f>
        <v>53.73</v>
      </c>
      <c r="H1913" s="5" t="str">
        <f aca="false">IF(G1913&gt;=評分方法!$C$16,"優先評估",IF(G1913&gt;=評分方法!$C$17,"列入候選",IF(G1913&gt;=評分方法!$C$18,"特定情境","不建議")))</f>
        <v>不建議</v>
      </c>
      <c r="I1913" s="15" t="n">
        <f aca="false">AE1913*評分方法!$C$5</f>
        <v>17.1</v>
      </c>
      <c r="J1913" s="15" t="n">
        <f aca="false">AF1913*評分方法!$C$6</f>
        <v>0</v>
      </c>
      <c r="K1913" s="15" t="n">
        <f aca="false">AG1913*評分方法!$C$7</f>
        <v>4.95</v>
      </c>
      <c r="L1913" s="15" t="n">
        <f aca="false">AH1913*評分方法!$C$8</f>
        <v>15</v>
      </c>
      <c r="M1913" s="15" t="n">
        <f aca="false">AI1913*評分方法!$C$9</f>
        <v>10</v>
      </c>
      <c r="N1913" s="15" t="n">
        <f aca="false">AJ1913*評分方法!$C$10</f>
        <v>4.18</v>
      </c>
      <c r="O1913" s="15" t="n">
        <f aca="false">AK1913*評分方法!$C$11</f>
        <v>2.5</v>
      </c>
      <c r="P1913" s="15" t="n">
        <f aca="false">AL1913*評分方法!$C$12</f>
        <v>0</v>
      </c>
      <c r="Q1913" s="6" t="n">
        <v>451568</v>
      </c>
      <c r="R1913" s="6" t="n">
        <v>177270281</v>
      </c>
      <c r="S1913" s="11" t="s">
        <v>238</v>
      </c>
      <c r="T1913" s="11" t="s">
        <v>278</v>
      </c>
      <c r="U1913" s="5" t="s">
        <v>240</v>
      </c>
      <c r="V1913" s="11" t="s">
        <v>324</v>
      </c>
      <c r="W1913" s="5" t="s">
        <v>334</v>
      </c>
      <c r="X1913" s="5" t="s">
        <v>242</v>
      </c>
      <c r="Y1913" s="5"/>
      <c r="Z1913" s="5"/>
      <c r="AA1913" s="11" t="s">
        <v>150</v>
      </c>
      <c r="AB1913" s="5" t="s">
        <v>245</v>
      </c>
      <c r="AC1913" s="5" t="s">
        <v>1463</v>
      </c>
      <c r="AD1913" s="11" t="s">
        <v>4686</v>
      </c>
      <c r="AE1913" s="23" t="n">
        <v>0.57</v>
      </c>
      <c r="AF1913" s="23" t="n">
        <v>0</v>
      </c>
      <c r="AG1913" s="23" t="n">
        <v>0.33</v>
      </c>
      <c r="AH1913" s="23" t="n">
        <v>1</v>
      </c>
      <c r="AI1913" s="23" t="n">
        <v>1</v>
      </c>
      <c r="AJ1913" s="23" t="n">
        <v>0.418</v>
      </c>
      <c r="AK1913" s="23" t="n">
        <v>0.5</v>
      </c>
      <c r="AL1913" s="23" t="n">
        <v>0</v>
      </c>
      <c r="AM1913" s="16" t="n">
        <f aca="false">COUNTIFS($D$2:$D$2501,D1913,$G$2:$G$2501,"&gt;"&amp;G1913)+COUNTIFS($D$2:D1913,D1913,$G$2:G1913,G1913)</f>
        <v>298</v>
      </c>
      <c r="AN1913" s="5" t="str">
        <f aca="false">D1913&amp;"|"&amp;AM1913</f>
        <v>實體擷取與去識別化|298</v>
      </c>
    </row>
    <row r="1914" customFormat="false" ht="17.15" hidden="false" customHeight="false" outlineLevel="0" collapsed="false">
      <c r="A1914" s="16" t="n">
        <f aca="false">RANK(G1914,$G$2:$G$2501)+COUNTIF($G$2:G1914,G1914)-1</f>
        <v>1913</v>
      </c>
      <c r="B1914" s="11" t="s">
        <v>4687</v>
      </c>
      <c r="C1914" s="11" t="s">
        <v>1725</v>
      </c>
      <c r="D1914" s="5" t="s">
        <v>56</v>
      </c>
      <c r="E1914" s="5" t="s">
        <v>57</v>
      </c>
      <c r="F1914" s="5"/>
      <c r="G1914" s="22" t="n">
        <f aca="false">ROUND(SUM(I1914:P1914),3)</f>
        <v>53.698</v>
      </c>
      <c r="H1914" s="5" t="str">
        <f aca="false">IF(G1914&gt;=評分方法!$C$16,"優先評估",IF(G1914&gt;=評分方法!$C$17,"列入候選",IF(G1914&gt;=評分方法!$C$18,"特定情境","不建議")))</f>
        <v>不建議</v>
      </c>
      <c r="I1914" s="15" t="n">
        <f aca="false">AE1914*評分方法!$C$5</f>
        <v>25.5</v>
      </c>
      <c r="J1914" s="15" t="n">
        <f aca="false">AF1914*評分方法!$C$6</f>
        <v>0</v>
      </c>
      <c r="K1914" s="15" t="n">
        <f aca="false">AG1914*評分方法!$C$7</f>
        <v>4.95</v>
      </c>
      <c r="L1914" s="15" t="n">
        <f aca="false">AH1914*評分方法!$C$8</f>
        <v>9</v>
      </c>
      <c r="M1914" s="15" t="n">
        <f aca="false">AI1914*評分方法!$C$9</f>
        <v>6</v>
      </c>
      <c r="N1914" s="15" t="n">
        <f aca="false">AJ1914*評分方法!$C$10</f>
        <v>0.248</v>
      </c>
      <c r="O1914" s="15" t="n">
        <f aca="false">AK1914*評分方法!$C$11</f>
        <v>5</v>
      </c>
      <c r="P1914" s="15" t="n">
        <f aca="false">AL1914*評分方法!$C$12</f>
        <v>3</v>
      </c>
      <c r="Q1914" s="6" t="n">
        <v>122527</v>
      </c>
      <c r="R1914" s="6" t="n">
        <v>22255056080</v>
      </c>
      <c r="S1914" s="11" t="s">
        <v>389</v>
      </c>
      <c r="T1914" s="11" t="s">
        <v>185</v>
      </c>
      <c r="U1914" s="5" t="s">
        <v>260</v>
      </c>
      <c r="V1914" s="11" t="s">
        <v>261</v>
      </c>
      <c r="W1914" s="5" t="s">
        <v>334</v>
      </c>
      <c r="X1914" s="5" t="s">
        <v>371</v>
      </c>
      <c r="Y1914" s="11" t="s">
        <v>4165</v>
      </c>
      <c r="Z1914" s="11" t="s">
        <v>244</v>
      </c>
      <c r="AA1914" s="11" t="s">
        <v>155</v>
      </c>
      <c r="AB1914" s="5" t="s">
        <v>328</v>
      </c>
      <c r="AC1914" s="5" t="s">
        <v>3511</v>
      </c>
      <c r="AD1914" s="11" t="s">
        <v>4688</v>
      </c>
      <c r="AE1914" s="23" t="n">
        <v>0.85</v>
      </c>
      <c r="AF1914" s="23" t="n">
        <v>0</v>
      </c>
      <c r="AG1914" s="23" t="n">
        <v>0.33</v>
      </c>
      <c r="AH1914" s="23" t="n">
        <v>0.6</v>
      </c>
      <c r="AI1914" s="23" t="n">
        <v>0.6</v>
      </c>
      <c r="AJ1914" s="23" t="n">
        <v>0.0248</v>
      </c>
      <c r="AK1914" s="23" t="n">
        <v>1</v>
      </c>
      <c r="AL1914" s="23" t="n">
        <v>0.6</v>
      </c>
      <c r="AM1914" s="16" t="n">
        <f aca="false">COUNTIFS($D$2:$D$2501,D1914,$G$2:$G$2501,"&gt;"&amp;G1914)+COUNTIFS($D$2:D1914,D1914,$G$2:G1914,G1914)</f>
        <v>884</v>
      </c>
      <c r="AN1914" s="5" t="str">
        <f aca="false">D1914&amp;"|"&amp;AM1914</f>
        <v>分析與報告生成|884</v>
      </c>
    </row>
    <row r="1915" customFormat="false" ht="17.15" hidden="false" customHeight="false" outlineLevel="0" collapsed="false">
      <c r="A1915" s="16" t="n">
        <f aca="false">RANK(G1915,$G$2:$G$2501)+COUNTIF($G$2:G1915,G1915)-1</f>
        <v>1914</v>
      </c>
      <c r="B1915" s="11" t="s">
        <v>4689</v>
      </c>
      <c r="C1915" s="11" t="s">
        <v>4690</v>
      </c>
      <c r="D1915" s="5" t="s">
        <v>54</v>
      </c>
      <c r="E1915" s="5" t="s">
        <v>55</v>
      </c>
      <c r="F1915" s="5"/>
      <c r="G1915" s="22" t="n">
        <f aca="false">ROUND(SUM(I1915:P1915),3)</f>
        <v>53.686</v>
      </c>
      <c r="H1915" s="5" t="str">
        <f aca="false">IF(G1915&gt;=評分方法!$C$16,"優先評估",IF(G1915&gt;=評分方法!$C$17,"列入候選",IF(G1915&gt;=評分方法!$C$18,"特定情境","不建議")))</f>
        <v>不建議</v>
      </c>
      <c r="I1915" s="15" t="n">
        <f aca="false">AE1915*評分方法!$C$5</f>
        <v>16.2</v>
      </c>
      <c r="J1915" s="15" t="n">
        <f aca="false">AF1915*評分方法!$C$6</f>
        <v>0</v>
      </c>
      <c r="K1915" s="15" t="n">
        <f aca="false">AG1915*評分方法!$C$7</f>
        <v>4.95</v>
      </c>
      <c r="L1915" s="15" t="n">
        <f aca="false">AH1915*評分方法!$C$8</f>
        <v>15</v>
      </c>
      <c r="M1915" s="15" t="n">
        <f aca="false">AI1915*評分方法!$C$9</f>
        <v>10</v>
      </c>
      <c r="N1915" s="15" t="n">
        <f aca="false">AJ1915*評分方法!$C$10</f>
        <v>5.036</v>
      </c>
      <c r="O1915" s="15" t="n">
        <f aca="false">AK1915*評分方法!$C$11</f>
        <v>2.5</v>
      </c>
      <c r="P1915" s="15" t="n">
        <f aca="false">AL1915*評分方法!$C$12</f>
        <v>0</v>
      </c>
      <c r="Q1915" s="6" t="n">
        <v>542700</v>
      </c>
      <c r="R1915" s="6" t="n">
        <v>110622721</v>
      </c>
      <c r="S1915" s="11" t="s">
        <v>238</v>
      </c>
      <c r="T1915" s="11" t="s">
        <v>278</v>
      </c>
      <c r="U1915" s="5" t="s">
        <v>240</v>
      </c>
      <c r="V1915" s="11" t="s">
        <v>261</v>
      </c>
      <c r="W1915" s="5" t="s">
        <v>334</v>
      </c>
      <c r="X1915" s="5" t="s">
        <v>242</v>
      </c>
      <c r="Y1915" s="11" t="s">
        <v>4691</v>
      </c>
      <c r="Z1915" s="11" t="s">
        <v>270</v>
      </c>
      <c r="AA1915" s="11" t="s">
        <v>154</v>
      </c>
      <c r="AB1915" s="5" t="s">
        <v>245</v>
      </c>
      <c r="AC1915" s="5" t="s">
        <v>1463</v>
      </c>
      <c r="AD1915" s="11" t="s">
        <v>4692</v>
      </c>
      <c r="AE1915" s="23" t="n">
        <v>0.54</v>
      </c>
      <c r="AF1915" s="23" t="n">
        <v>0</v>
      </c>
      <c r="AG1915" s="23" t="n">
        <v>0.33</v>
      </c>
      <c r="AH1915" s="23" t="n">
        <v>1</v>
      </c>
      <c r="AI1915" s="23" t="n">
        <v>1</v>
      </c>
      <c r="AJ1915" s="23" t="n">
        <v>0.5036</v>
      </c>
      <c r="AK1915" s="23" t="n">
        <v>0.5</v>
      </c>
      <c r="AL1915" s="23" t="n">
        <v>0</v>
      </c>
      <c r="AM1915" s="16" t="n">
        <f aca="false">COUNTIFS($D$2:$D$2501,D1915,$G$2:$G$2501,"&gt;"&amp;G1915)+COUNTIFS($D$2:D1915,D1915,$G$2:G1915,G1915)</f>
        <v>233</v>
      </c>
      <c r="AN1915" s="5" t="str">
        <f aca="false">D1915&amp;"|"&amp;AM1915</f>
        <v>檢索與情資關聯|233</v>
      </c>
    </row>
    <row r="1916" customFormat="false" ht="17.15" hidden="false" customHeight="false" outlineLevel="0" collapsed="false">
      <c r="A1916" s="16" t="n">
        <f aca="false">RANK(G1916,$G$2:$G$2501)+COUNTIF($G$2:G1916,G1916)-1</f>
        <v>1915</v>
      </c>
      <c r="B1916" s="11" t="s">
        <v>4693</v>
      </c>
      <c r="C1916" s="11" t="s">
        <v>1388</v>
      </c>
      <c r="D1916" s="5" t="s">
        <v>56</v>
      </c>
      <c r="E1916" s="5" t="s">
        <v>57</v>
      </c>
      <c r="F1916" s="5"/>
      <c r="G1916" s="22" t="n">
        <f aca="false">ROUND(SUM(I1916:P1916),3)</f>
        <v>53.682</v>
      </c>
      <c r="H1916" s="5" t="str">
        <f aca="false">IF(G1916&gt;=評分方法!$C$16,"優先評估",IF(G1916&gt;=評分方法!$C$17,"列入候選",IF(G1916&gt;=評分方法!$C$18,"特定情境","不建議")))</f>
        <v>不建議</v>
      </c>
      <c r="I1916" s="15" t="n">
        <f aca="false">AE1916*評分方法!$C$5</f>
        <v>25.5</v>
      </c>
      <c r="J1916" s="15" t="n">
        <f aca="false">AF1916*評分方法!$C$6</f>
        <v>0</v>
      </c>
      <c r="K1916" s="15" t="n">
        <f aca="false">AG1916*評分方法!$C$7</f>
        <v>10.05</v>
      </c>
      <c r="L1916" s="15" t="n">
        <f aca="false">AH1916*評分方法!$C$8</f>
        <v>9</v>
      </c>
      <c r="M1916" s="15" t="n">
        <f aca="false">AI1916*評分方法!$C$9</f>
        <v>6</v>
      </c>
      <c r="N1916" s="15" t="n">
        <f aca="false">AJ1916*評分方法!$C$10</f>
        <v>2.132</v>
      </c>
      <c r="O1916" s="15" t="n">
        <f aca="false">AK1916*評分方法!$C$11</f>
        <v>1</v>
      </c>
      <c r="P1916" s="15" t="n">
        <f aca="false">AL1916*評分方法!$C$12</f>
        <v>0</v>
      </c>
      <c r="Q1916" s="6" t="n">
        <v>218200</v>
      </c>
      <c r="R1916" s="6" t="n">
        <v>13015864320</v>
      </c>
      <c r="S1916" s="11" t="s">
        <v>389</v>
      </c>
      <c r="T1916" s="11" t="s">
        <v>185</v>
      </c>
      <c r="U1916" s="5" t="s">
        <v>260</v>
      </c>
      <c r="V1916" s="11" t="s">
        <v>333</v>
      </c>
      <c r="W1916" s="5" t="s">
        <v>207</v>
      </c>
      <c r="X1916" s="5" t="s">
        <v>242</v>
      </c>
      <c r="Y1916" s="11" t="s">
        <v>4694</v>
      </c>
      <c r="Z1916" s="11" t="s">
        <v>244</v>
      </c>
      <c r="AA1916" s="11" t="s">
        <v>155</v>
      </c>
      <c r="AB1916" s="5" t="s">
        <v>496</v>
      </c>
      <c r="AC1916" s="5" t="s">
        <v>1108</v>
      </c>
      <c r="AD1916" s="11" t="s">
        <v>4695</v>
      </c>
      <c r="AE1916" s="23" t="n">
        <v>0.85</v>
      </c>
      <c r="AF1916" s="23" t="n">
        <v>0</v>
      </c>
      <c r="AG1916" s="23" t="n">
        <v>0.67</v>
      </c>
      <c r="AH1916" s="23" t="n">
        <v>0.6</v>
      </c>
      <c r="AI1916" s="23" t="n">
        <v>0.6</v>
      </c>
      <c r="AJ1916" s="23" t="n">
        <v>0.2132</v>
      </c>
      <c r="AK1916" s="23" t="n">
        <v>0.2</v>
      </c>
      <c r="AL1916" s="23" t="n">
        <v>0</v>
      </c>
      <c r="AM1916" s="16" t="n">
        <f aca="false">COUNTIFS($D$2:$D$2501,D1916,$G$2:$G$2501,"&gt;"&amp;G1916)+COUNTIFS($D$2:D1916,D1916,$G$2:G1916,G1916)</f>
        <v>885</v>
      </c>
      <c r="AN1916" s="5" t="str">
        <f aca="false">D1916&amp;"|"&amp;AM1916</f>
        <v>分析與報告生成|885</v>
      </c>
    </row>
    <row r="1917" customFormat="false" ht="17.15" hidden="false" customHeight="false" outlineLevel="0" collapsed="false">
      <c r="A1917" s="16" t="n">
        <f aca="false">RANK(G1917,$G$2:$G$2501)+COUNTIF($G$2:G1917,G1917)-1</f>
        <v>1916</v>
      </c>
      <c r="B1917" s="11" t="s">
        <v>4696</v>
      </c>
      <c r="C1917" s="11" t="s">
        <v>4697</v>
      </c>
      <c r="D1917" s="5" t="s">
        <v>72</v>
      </c>
      <c r="E1917" s="5" t="s">
        <v>73</v>
      </c>
      <c r="F1917" s="5"/>
      <c r="G1917" s="22" t="n">
        <f aca="false">ROUND(SUM(I1917:P1917),3)</f>
        <v>53.674</v>
      </c>
      <c r="H1917" s="5" t="str">
        <f aca="false">IF(G1917&gt;=評分方法!$C$16,"優先評估",IF(G1917&gt;=評分方法!$C$17,"列入候選",IF(G1917&gt;=評分方法!$C$18,"特定情境","不建議")))</f>
        <v>不建議</v>
      </c>
      <c r="I1917" s="15" t="n">
        <f aca="false">AE1917*評分方法!$C$5</f>
        <v>15</v>
      </c>
      <c r="J1917" s="15" t="n">
        <f aca="false">AF1917*評分方法!$C$6</f>
        <v>0</v>
      </c>
      <c r="K1917" s="15" t="n">
        <f aca="false">AG1917*評分方法!$C$7</f>
        <v>4.95</v>
      </c>
      <c r="L1917" s="15" t="n">
        <f aca="false">AH1917*評分方法!$C$8</f>
        <v>15</v>
      </c>
      <c r="M1917" s="15" t="n">
        <f aca="false">AI1917*評分方法!$C$9</f>
        <v>10</v>
      </c>
      <c r="N1917" s="15" t="n">
        <f aca="false">AJ1917*評分方法!$C$10</f>
        <v>2.224</v>
      </c>
      <c r="O1917" s="15" t="n">
        <f aca="false">AK1917*評分方法!$C$11</f>
        <v>5</v>
      </c>
      <c r="P1917" s="15" t="n">
        <f aca="false">AL1917*評分方法!$C$12</f>
        <v>1.5</v>
      </c>
      <c r="Q1917" s="6" t="n">
        <v>227185</v>
      </c>
      <c r="R1917" s="6" t="n">
        <v>1667860</v>
      </c>
      <c r="S1917" s="11" t="s">
        <v>238</v>
      </c>
      <c r="T1917" s="11" t="s">
        <v>278</v>
      </c>
      <c r="U1917" s="5" t="s">
        <v>240</v>
      </c>
      <c r="V1917" s="11" t="s">
        <v>261</v>
      </c>
      <c r="W1917" s="5" t="s">
        <v>334</v>
      </c>
      <c r="X1917" s="5" t="s">
        <v>255</v>
      </c>
      <c r="Y1917" s="11" t="s">
        <v>1775</v>
      </c>
      <c r="Z1917" s="11" t="s">
        <v>270</v>
      </c>
      <c r="AA1917" s="11" t="s">
        <v>162</v>
      </c>
      <c r="AB1917" s="5" t="s">
        <v>496</v>
      </c>
      <c r="AC1917" s="5" t="s">
        <v>497</v>
      </c>
      <c r="AD1917" s="11" t="s">
        <v>4698</v>
      </c>
      <c r="AE1917" s="23" t="n">
        <v>0.5</v>
      </c>
      <c r="AF1917" s="23" t="n">
        <v>0</v>
      </c>
      <c r="AG1917" s="23" t="n">
        <v>0.33</v>
      </c>
      <c r="AH1917" s="23" t="n">
        <v>1</v>
      </c>
      <c r="AI1917" s="23" t="n">
        <v>1</v>
      </c>
      <c r="AJ1917" s="23" t="n">
        <v>0.2224</v>
      </c>
      <c r="AK1917" s="23" t="n">
        <v>1</v>
      </c>
      <c r="AL1917" s="23" t="n">
        <v>0.3</v>
      </c>
      <c r="AM1917" s="16" t="n">
        <f aca="false">COUNTIFS($D$2:$D$2501,D1917,$G$2:$G$2501,"&gt;"&amp;G1917)+COUNTIFS($D$2:D1917,D1917,$G$2:G1917,G1917)</f>
        <v>29</v>
      </c>
      <c r="AN1917" s="5" t="str">
        <f aca="false">D1917&amp;"|"&amp;AM1917</f>
        <v>微調基底模型|29</v>
      </c>
    </row>
    <row r="1918" customFormat="false" ht="17.15" hidden="false" customHeight="false" outlineLevel="0" collapsed="false">
      <c r="A1918" s="16" t="n">
        <f aca="false">RANK(G1918,$G$2:$G$2501)+COUNTIF($G$2:G1918,G1918)-1</f>
        <v>1917</v>
      </c>
      <c r="B1918" s="11" t="s">
        <v>4699</v>
      </c>
      <c r="C1918" s="11" t="s">
        <v>4700</v>
      </c>
      <c r="D1918" s="5" t="s">
        <v>66</v>
      </c>
      <c r="E1918" s="5" t="s">
        <v>67</v>
      </c>
      <c r="F1918" s="5"/>
      <c r="G1918" s="22" t="n">
        <f aca="false">ROUND(SUM(I1918:P1918),3)</f>
        <v>53.67</v>
      </c>
      <c r="H1918" s="5" t="str">
        <f aca="false">IF(G1918&gt;=評分方法!$C$16,"優先評估",IF(G1918&gt;=評分方法!$C$17,"列入候選",IF(G1918&gt;=評分方法!$C$18,"特定情境","不建議")))</f>
        <v>不建議</v>
      </c>
      <c r="I1918" s="15" t="n">
        <f aca="false">AE1918*評分方法!$C$5</f>
        <v>12</v>
      </c>
      <c r="J1918" s="15" t="n">
        <f aca="false">AF1918*評分方法!$C$6</f>
        <v>0</v>
      </c>
      <c r="K1918" s="15" t="n">
        <f aca="false">AG1918*評分方法!$C$7</f>
        <v>4.95</v>
      </c>
      <c r="L1918" s="15" t="n">
        <f aca="false">AH1918*評分方法!$C$8</f>
        <v>15</v>
      </c>
      <c r="M1918" s="15" t="n">
        <f aca="false">AI1918*評分方法!$C$9</f>
        <v>10</v>
      </c>
      <c r="N1918" s="15" t="n">
        <f aca="false">AJ1918*評分方法!$C$10</f>
        <v>9.22</v>
      </c>
      <c r="O1918" s="15" t="n">
        <f aca="false">AK1918*評分方法!$C$11</f>
        <v>2.5</v>
      </c>
      <c r="P1918" s="15" t="n">
        <f aca="false">AL1918*評分方法!$C$12</f>
        <v>0</v>
      </c>
      <c r="Q1918" s="6" t="n">
        <v>5294268</v>
      </c>
      <c r="R1918" s="6" t="n">
        <v>167360261</v>
      </c>
      <c r="S1918" s="11" t="s">
        <v>238</v>
      </c>
      <c r="T1918" s="11" t="s">
        <v>278</v>
      </c>
      <c r="U1918" s="5" t="s">
        <v>240</v>
      </c>
      <c r="V1918" s="11" t="s">
        <v>279</v>
      </c>
      <c r="W1918" s="5" t="s">
        <v>334</v>
      </c>
      <c r="X1918" s="5" t="s">
        <v>242</v>
      </c>
      <c r="Y1918" s="5"/>
      <c r="Z1918" s="5"/>
      <c r="AA1918" s="11" t="s">
        <v>149</v>
      </c>
      <c r="AB1918" s="5" t="s">
        <v>245</v>
      </c>
      <c r="AC1918" s="5" t="s">
        <v>3044</v>
      </c>
      <c r="AD1918" s="11" t="s">
        <v>4701</v>
      </c>
      <c r="AE1918" s="23" t="n">
        <v>0.4</v>
      </c>
      <c r="AF1918" s="23" t="n">
        <v>0</v>
      </c>
      <c r="AG1918" s="23" t="n">
        <v>0.33</v>
      </c>
      <c r="AH1918" s="23" t="n">
        <v>1</v>
      </c>
      <c r="AI1918" s="23" t="n">
        <v>1</v>
      </c>
      <c r="AJ1918" s="23" t="n">
        <v>0.922</v>
      </c>
      <c r="AK1918" s="23" t="n">
        <v>0.5</v>
      </c>
      <c r="AL1918" s="23" t="n">
        <v>0</v>
      </c>
      <c r="AM1918" s="16" t="n">
        <f aca="false">COUNTIFS($D$2:$D$2501,D1918,$G$2:$G$2501,"&gt;"&amp;G1918)+COUNTIFS($D$2:D1918,D1918,$G$2:G1918,G1918)</f>
        <v>54</v>
      </c>
      <c r="AN1918" s="5" t="str">
        <f aca="false">D1918&amp;"|"&amp;AM1918</f>
        <v>分類與偵測|54</v>
      </c>
    </row>
    <row r="1919" customFormat="false" ht="17.15" hidden="false" customHeight="false" outlineLevel="0" collapsed="false">
      <c r="A1919" s="16" t="n">
        <f aca="false">RANK(G1919,$G$2:$G$2501)+COUNTIF($G$2:G1919,G1919)-1</f>
        <v>1918</v>
      </c>
      <c r="B1919" s="11" t="s">
        <v>4702</v>
      </c>
      <c r="C1919" s="11" t="s">
        <v>4703</v>
      </c>
      <c r="D1919" s="5" t="s">
        <v>56</v>
      </c>
      <c r="E1919" s="5" t="s">
        <v>57</v>
      </c>
      <c r="F1919" s="5"/>
      <c r="G1919" s="22" t="n">
        <f aca="false">ROUND(SUM(I1919:P1919),3)</f>
        <v>53.67</v>
      </c>
      <c r="H1919" s="5" t="str">
        <f aca="false">IF(G1919&gt;=評分方法!$C$16,"優先評估",IF(G1919&gt;=評分方法!$C$17,"列入候選",IF(G1919&gt;=評分方法!$C$18,"特定情境","不建議")))</f>
        <v>不建議</v>
      </c>
      <c r="I1919" s="15" t="n">
        <f aca="false">AE1919*評分方法!$C$5</f>
        <v>25.5</v>
      </c>
      <c r="J1919" s="15" t="n">
        <f aca="false">AF1919*評分方法!$C$6</f>
        <v>0</v>
      </c>
      <c r="K1919" s="15" t="n">
        <f aca="false">AG1919*評分方法!$C$7</f>
        <v>4.95</v>
      </c>
      <c r="L1919" s="15" t="n">
        <f aca="false">AH1919*評分方法!$C$8</f>
        <v>9</v>
      </c>
      <c r="M1919" s="15" t="n">
        <f aca="false">AI1919*評分方法!$C$9</f>
        <v>6</v>
      </c>
      <c r="N1919" s="15" t="n">
        <f aca="false">AJ1919*評分方法!$C$10</f>
        <v>4.22</v>
      </c>
      <c r="O1919" s="15" t="n">
        <f aca="false">AK1919*評分方法!$C$11</f>
        <v>4</v>
      </c>
      <c r="P1919" s="15" t="n">
        <f aca="false">AL1919*評分方法!$C$12</f>
        <v>0</v>
      </c>
      <c r="Q1919" s="6" t="n">
        <v>460583</v>
      </c>
      <c r="R1919" s="6" t="n">
        <v>30697345596</v>
      </c>
      <c r="S1919" s="11" t="s">
        <v>389</v>
      </c>
      <c r="T1919" s="11" t="s">
        <v>658</v>
      </c>
      <c r="U1919" s="5" t="s">
        <v>260</v>
      </c>
      <c r="V1919" s="11" t="s">
        <v>333</v>
      </c>
      <c r="W1919" s="5" t="s">
        <v>334</v>
      </c>
      <c r="X1919" s="5" t="s">
        <v>242</v>
      </c>
      <c r="Y1919" s="5"/>
      <c r="Z1919" s="5"/>
      <c r="AA1919" s="11" t="s">
        <v>155</v>
      </c>
      <c r="AB1919" s="5" t="s">
        <v>245</v>
      </c>
      <c r="AC1919" s="5" t="s">
        <v>262</v>
      </c>
      <c r="AD1919" s="11" t="s">
        <v>4704</v>
      </c>
      <c r="AE1919" s="23" t="n">
        <v>0.85</v>
      </c>
      <c r="AF1919" s="23" t="n">
        <v>0</v>
      </c>
      <c r="AG1919" s="23" t="n">
        <v>0.33</v>
      </c>
      <c r="AH1919" s="23" t="n">
        <v>0.6</v>
      </c>
      <c r="AI1919" s="23" t="n">
        <v>0.6</v>
      </c>
      <c r="AJ1919" s="23" t="n">
        <v>0.422</v>
      </c>
      <c r="AK1919" s="23" t="n">
        <v>0.8</v>
      </c>
      <c r="AL1919" s="23" t="n">
        <v>0</v>
      </c>
      <c r="AM1919" s="16" t="n">
        <f aca="false">COUNTIFS($D$2:$D$2501,D1919,$G$2:$G$2501,"&gt;"&amp;G1919)+COUNTIFS($D$2:D1919,D1919,$G$2:G1919,G1919)</f>
        <v>886</v>
      </c>
      <c r="AN1919" s="5" t="str">
        <f aca="false">D1919&amp;"|"&amp;AM1919</f>
        <v>分析與報告生成|886</v>
      </c>
    </row>
    <row r="1920" customFormat="false" ht="17.15" hidden="false" customHeight="false" outlineLevel="0" collapsed="false">
      <c r="A1920" s="16" t="n">
        <f aca="false">RANK(G1920,$G$2:$G$2501)+COUNTIF($G$2:G1920,G1920)-1</f>
        <v>1919</v>
      </c>
      <c r="B1920" s="11" t="s">
        <v>4705</v>
      </c>
      <c r="C1920" s="11" t="s">
        <v>4706</v>
      </c>
      <c r="D1920" s="5" t="s">
        <v>72</v>
      </c>
      <c r="E1920" s="5" t="s">
        <v>73</v>
      </c>
      <c r="F1920" s="5"/>
      <c r="G1920" s="22" t="n">
        <f aca="false">ROUND(SUM(I1920:P1920),3)</f>
        <v>53.65</v>
      </c>
      <c r="H1920" s="5" t="str">
        <f aca="false">IF(G1920&gt;=評分方法!$C$16,"優先評估",IF(G1920&gt;=評分方法!$C$17,"列入候選",IF(G1920&gt;=評分方法!$C$18,"特定情境","不建議")))</f>
        <v>不建議</v>
      </c>
      <c r="I1920" s="15" t="n">
        <f aca="false">AE1920*評分方法!$C$5</f>
        <v>15</v>
      </c>
      <c r="J1920" s="15" t="n">
        <f aca="false">AF1920*評分方法!$C$6</f>
        <v>0</v>
      </c>
      <c r="K1920" s="15" t="n">
        <f aca="false">AG1920*評分方法!$C$7</f>
        <v>4.95</v>
      </c>
      <c r="L1920" s="15" t="n">
        <f aca="false">AH1920*評分方法!$C$8</f>
        <v>15</v>
      </c>
      <c r="M1920" s="15" t="n">
        <f aca="false">AI1920*評分方法!$C$9</f>
        <v>10</v>
      </c>
      <c r="N1920" s="15" t="n">
        <f aca="false">AJ1920*評分方法!$C$10</f>
        <v>2.7</v>
      </c>
      <c r="O1920" s="15" t="n">
        <f aca="false">AK1920*評分方法!$C$11</f>
        <v>1</v>
      </c>
      <c r="P1920" s="15" t="n">
        <f aca="false">AL1920*評分方法!$C$12</f>
        <v>5</v>
      </c>
      <c r="Q1920" s="6" t="n">
        <v>266861</v>
      </c>
      <c r="R1920" s="6" t="n">
        <v>279080594</v>
      </c>
      <c r="S1920" s="11" t="s">
        <v>238</v>
      </c>
      <c r="T1920" s="11" t="s">
        <v>239</v>
      </c>
      <c r="U1920" s="5" t="s">
        <v>240</v>
      </c>
      <c r="V1920" s="11" t="s">
        <v>324</v>
      </c>
      <c r="W1920" s="5" t="s">
        <v>334</v>
      </c>
      <c r="X1920" s="5" t="s">
        <v>284</v>
      </c>
      <c r="Y1920" s="5"/>
      <c r="Z1920" s="5"/>
      <c r="AA1920" s="11" t="s">
        <v>162</v>
      </c>
      <c r="AB1920" s="5" t="s">
        <v>245</v>
      </c>
      <c r="AC1920" s="5"/>
      <c r="AD1920" s="11" t="s">
        <v>4707</v>
      </c>
      <c r="AE1920" s="23" t="n">
        <v>0.5</v>
      </c>
      <c r="AF1920" s="23" t="n">
        <v>0</v>
      </c>
      <c r="AG1920" s="23" t="n">
        <v>0.33</v>
      </c>
      <c r="AH1920" s="23" t="n">
        <v>1</v>
      </c>
      <c r="AI1920" s="23" t="n">
        <v>1</v>
      </c>
      <c r="AJ1920" s="23" t="n">
        <v>0.27</v>
      </c>
      <c r="AK1920" s="23" t="n">
        <v>0.2</v>
      </c>
      <c r="AL1920" s="23" t="n">
        <v>1</v>
      </c>
      <c r="AM1920" s="16" t="n">
        <f aca="false">COUNTIFS($D$2:$D$2501,D1920,$G$2:$G$2501,"&gt;"&amp;G1920)+COUNTIFS($D$2:D1920,D1920,$G$2:G1920,G1920)</f>
        <v>30</v>
      </c>
      <c r="AN1920" s="5" t="str">
        <f aca="false">D1920&amp;"|"&amp;AM1920</f>
        <v>微調基底模型|30</v>
      </c>
    </row>
    <row r="1921" customFormat="false" ht="17.15" hidden="false" customHeight="false" outlineLevel="0" collapsed="false">
      <c r="A1921" s="16" t="n">
        <f aca="false">RANK(G1921,$G$2:$G$2501)+COUNTIF($G$2:G1921,G1921)-1</f>
        <v>1920</v>
      </c>
      <c r="B1921" s="11" t="s">
        <v>4708</v>
      </c>
      <c r="C1921" s="11" t="s">
        <v>2693</v>
      </c>
      <c r="D1921" s="5" t="s">
        <v>74</v>
      </c>
      <c r="E1921" s="5" t="s">
        <v>75</v>
      </c>
      <c r="F1921" s="5"/>
      <c r="G1921" s="22" t="n">
        <f aca="false">ROUND(SUM(I1921:P1921),3)</f>
        <v>53.626</v>
      </c>
      <c r="H1921" s="5" t="str">
        <f aca="false">IF(G1921&gt;=評分方法!$C$16,"優先評估",IF(G1921&gt;=評分方法!$C$17,"列入候選",IF(G1921&gt;=評分方法!$C$18,"特定情境","不建議")))</f>
        <v>不建議</v>
      </c>
      <c r="I1921" s="15" t="n">
        <f aca="false">AE1921*評分方法!$C$5</f>
        <v>12</v>
      </c>
      <c r="J1921" s="15" t="n">
        <f aca="false">AF1921*評分方法!$C$6</f>
        <v>0</v>
      </c>
      <c r="K1921" s="15" t="n">
        <f aca="false">AG1921*評分方法!$C$7</f>
        <v>15</v>
      </c>
      <c r="L1921" s="15" t="n">
        <f aca="false">AH1921*評分方法!$C$8</f>
        <v>7.05</v>
      </c>
      <c r="M1921" s="15" t="n">
        <f aca="false">AI1921*評分方法!$C$9</f>
        <v>10</v>
      </c>
      <c r="N1921" s="15" t="n">
        <f aca="false">AJ1921*評分方法!$C$10</f>
        <v>7.076</v>
      </c>
      <c r="O1921" s="15" t="n">
        <f aca="false">AK1921*評分方法!$C$11</f>
        <v>1</v>
      </c>
      <c r="P1921" s="15" t="n">
        <f aca="false">AL1921*評分方法!$C$12</f>
        <v>1.5</v>
      </c>
      <c r="Q1921" s="6" t="n">
        <v>950755</v>
      </c>
      <c r="R1921" s="6"/>
      <c r="S1921" s="5" t="s">
        <v>255</v>
      </c>
      <c r="T1921" s="11" t="s">
        <v>239</v>
      </c>
      <c r="U1921" s="5" t="s">
        <v>240</v>
      </c>
      <c r="V1921" s="11" t="s">
        <v>324</v>
      </c>
      <c r="W1921" s="5" t="s">
        <v>205</v>
      </c>
      <c r="X1921" s="5" t="s">
        <v>255</v>
      </c>
      <c r="Y1921" s="5"/>
      <c r="Z1921" s="5"/>
      <c r="AA1921" s="11" t="s">
        <v>167</v>
      </c>
      <c r="AB1921" s="5" t="s">
        <v>245</v>
      </c>
      <c r="AC1921" s="5"/>
      <c r="AD1921" s="11" t="s">
        <v>4709</v>
      </c>
      <c r="AE1921" s="23" t="n">
        <v>0.4</v>
      </c>
      <c r="AF1921" s="23" t="n">
        <v>0</v>
      </c>
      <c r="AG1921" s="23" t="n">
        <v>1</v>
      </c>
      <c r="AH1921" s="23" t="n">
        <v>0.47</v>
      </c>
      <c r="AI1921" s="23" t="n">
        <v>1</v>
      </c>
      <c r="AJ1921" s="23" t="n">
        <v>0.7076</v>
      </c>
      <c r="AK1921" s="23" t="n">
        <v>0.2</v>
      </c>
      <c r="AL1921" s="23" t="n">
        <v>0.3</v>
      </c>
      <c r="AM1921" s="16" t="n">
        <f aca="false">COUNTIFS($D$2:$D$2501,D1921,$G$2:$G$2501,"&gt;"&amp;G1921)+COUNTIFS($D$2:D1921,D1921,$G$2:G1921,G1921)</f>
        <v>241</v>
      </c>
      <c r="AN1921" s="5" t="str">
        <f aca="false">D1921&amp;"|"&amp;AM1921</f>
        <v>文件與影像辨識|241</v>
      </c>
    </row>
    <row r="1922" customFormat="false" ht="17.15" hidden="false" customHeight="false" outlineLevel="0" collapsed="false">
      <c r="A1922" s="16" t="n">
        <f aca="false">RANK(G1922,$G$2:$G$2501)+COUNTIF($G$2:G1922,G1922)-1</f>
        <v>1921</v>
      </c>
      <c r="B1922" s="11" t="s">
        <v>4710</v>
      </c>
      <c r="C1922" s="11" t="s">
        <v>4711</v>
      </c>
      <c r="D1922" s="5" t="s">
        <v>56</v>
      </c>
      <c r="E1922" s="5" t="s">
        <v>57</v>
      </c>
      <c r="F1922" s="5"/>
      <c r="G1922" s="22" t="n">
        <f aca="false">ROUND(SUM(I1922:P1922),3)</f>
        <v>53.534</v>
      </c>
      <c r="H1922" s="5" t="str">
        <f aca="false">IF(G1922&gt;=評分方法!$C$16,"優先評估",IF(G1922&gt;=評分方法!$C$17,"列入候選",IF(G1922&gt;=評分方法!$C$18,"特定情境","不建議")))</f>
        <v>不建議</v>
      </c>
      <c r="I1922" s="15" t="n">
        <f aca="false">AE1922*評分方法!$C$5</f>
        <v>25.5</v>
      </c>
      <c r="J1922" s="15" t="n">
        <f aca="false">AF1922*評分方法!$C$6</f>
        <v>0</v>
      </c>
      <c r="K1922" s="15" t="n">
        <f aca="false">AG1922*評分方法!$C$7</f>
        <v>4.95</v>
      </c>
      <c r="L1922" s="15" t="n">
        <f aca="false">AH1922*評分方法!$C$8</f>
        <v>9</v>
      </c>
      <c r="M1922" s="15" t="n">
        <f aca="false">AI1922*評分方法!$C$9</f>
        <v>2</v>
      </c>
      <c r="N1922" s="15" t="n">
        <f aca="false">AJ1922*評分方法!$C$10</f>
        <v>5.084</v>
      </c>
      <c r="O1922" s="15" t="n">
        <f aca="false">AK1922*評分方法!$C$11</f>
        <v>4</v>
      </c>
      <c r="P1922" s="15" t="n">
        <f aca="false">AL1922*評分方法!$C$12</f>
        <v>3</v>
      </c>
      <c r="Q1922" s="6" t="n">
        <v>545962</v>
      </c>
      <c r="R1922" s="6" t="n">
        <v>23850910720</v>
      </c>
      <c r="S1922" s="11" t="s">
        <v>389</v>
      </c>
      <c r="T1922" s="5"/>
      <c r="U1922" s="5" t="s">
        <v>375</v>
      </c>
      <c r="V1922" s="11" t="s">
        <v>3291</v>
      </c>
      <c r="W1922" s="5" t="s">
        <v>334</v>
      </c>
      <c r="X1922" s="5" t="s">
        <v>371</v>
      </c>
      <c r="Y1922" s="5"/>
      <c r="Z1922" s="5"/>
      <c r="AA1922" s="11" t="s">
        <v>155</v>
      </c>
      <c r="AB1922" s="5" t="s">
        <v>328</v>
      </c>
      <c r="AC1922" s="5" t="s">
        <v>329</v>
      </c>
      <c r="AD1922" s="11" t="s">
        <v>4712</v>
      </c>
      <c r="AE1922" s="23" t="n">
        <v>0.85</v>
      </c>
      <c r="AF1922" s="23" t="n">
        <v>0</v>
      </c>
      <c r="AG1922" s="23" t="n">
        <v>0.33</v>
      </c>
      <c r="AH1922" s="23" t="n">
        <v>0.6</v>
      </c>
      <c r="AI1922" s="23" t="n">
        <v>0.2</v>
      </c>
      <c r="AJ1922" s="23" t="n">
        <v>0.5084</v>
      </c>
      <c r="AK1922" s="23" t="n">
        <v>0.8</v>
      </c>
      <c r="AL1922" s="23" t="n">
        <v>0.6</v>
      </c>
      <c r="AM1922" s="16" t="n">
        <f aca="false">COUNTIFS($D$2:$D$2501,D1922,$G$2:$G$2501,"&gt;"&amp;G1922)+COUNTIFS($D$2:D1922,D1922,$G$2:G1922,G1922)</f>
        <v>887</v>
      </c>
      <c r="AN1922" s="5" t="str">
        <f aca="false">D1922&amp;"|"&amp;AM1922</f>
        <v>分析與報告生成|887</v>
      </c>
    </row>
    <row r="1923" customFormat="false" ht="17.15" hidden="false" customHeight="false" outlineLevel="0" collapsed="false">
      <c r="A1923" s="16" t="n">
        <f aca="false">RANK(G1923,$G$2:$G$2501)+COUNTIF($G$2:G1923,G1923)-1</f>
        <v>1922</v>
      </c>
      <c r="B1923" s="11" t="s">
        <v>4713</v>
      </c>
      <c r="C1923" s="11" t="s">
        <v>1111</v>
      </c>
      <c r="D1923" s="5" t="s">
        <v>56</v>
      </c>
      <c r="E1923" s="5" t="s">
        <v>57</v>
      </c>
      <c r="F1923" s="5"/>
      <c r="G1923" s="22" t="n">
        <f aca="false">ROUND(SUM(I1923:P1923),3)</f>
        <v>53.508</v>
      </c>
      <c r="H1923" s="5" t="str">
        <f aca="false">IF(G1923&gt;=評分方法!$C$16,"優先評估",IF(G1923&gt;=評分方法!$C$17,"列入候選",IF(G1923&gt;=評分方法!$C$18,"特定情境","不建議")))</f>
        <v>不建議</v>
      </c>
      <c r="I1923" s="15" t="n">
        <f aca="false">AE1923*評分方法!$C$5</f>
        <v>25.5</v>
      </c>
      <c r="J1923" s="15" t="n">
        <f aca="false">AF1923*評分方法!$C$6</f>
        <v>0</v>
      </c>
      <c r="K1923" s="15" t="n">
        <f aca="false">AG1923*評分方法!$C$7</f>
        <v>10.05</v>
      </c>
      <c r="L1923" s="15" t="n">
        <f aca="false">AH1923*評分方法!$C$8</f>
        <v>4.95</v>
      </c>
      <c r="M1923" s="15" t="n">
        <f aca="false">AI1923*評分方法!$C$9</f>
        <v>10</v>
      </c>
      <c r="N1923" s="15" t="n">
        <f aca="false">AJ1923*評分方法!$C$10</f>
        <v>0.508</v>
      </c>
      <c r="O1923" s="15" t="n">
        <f aca="false">AK1923*評分方法!$C$11</f>
        <v>2.5</v>
      </c>
      <c r="P1923" s="15" t="n">
        <f aca="false">AL1923*評分方法!$C$12</f>
        <v>0</v>
      </c>
      <c r="Q1923" s="6" t="n">
        <v>132656</v>
      </c>
      <c r="R1923" s="6" t="n">
        <v>46702794496</v>
      </c>
      <c r="S1923" s="11" t="s">
        <v>1876</v>
      </c>
      <c r="T1923" s="11" t="s">
        <v>239</v>
      </c>
      <c r="U1923" s="5" t="s">
        <v>240</v>
      </c>
      <c r="V1923" s="11" t="s">
        <v>261</v>
      </c>
      <c r="W1923" s="5" t="s">
        <v>207</v>
      </c>
      <c r="X1923" s="5" t="s">
        <v>242</v>
      </c>
      <c r="Y1923" s="5"/>
      <c r="Z1923" s="5"/>
      <c r="AA1923" s="11" t="s">
        <v>155</v>
      </c>
      <c r="AB1923" s="5" t="s">
        <v>328</v>
      </c>
      <c r="AC1923" s="5" t="s">
        <v>400</v>
      </c>
      <c r="AD1923" s="11" t="s">
        <v>4714</v>
      </c>
      <c r="AE1923" s="23" t="n">
        <v>0.85</v>
      </c>
      <c r="AF1923" s="23" t="n">
        <v>0</v>
      </c>
      <c r="AG1923" s="23" t="n">
        <v>0.67</v>
      </c>
      <c r="AH1923" s="23" t="n">
        <v>0.33</v>
      </c>
      <c r="AI1923" s="23" t="n">
        <v>1</v>
      </c>
      <c r="AJ1923" s="23" t="n">
        <v>0.0508</v>
      </c>
      <c r="AK1923" s="23" t="n">
        <v>0.5</v>
      </c>
      <c r="AL1923" s="23" t="n">
        <v>0</v>
      </c>
      <c r="AM1923" s="16" t="n">
        <f aca="false">COUNTIFS($D$2:$D$2501,D1923,$G$2:$G$2501,"&gt;"&amp;G1923)+COUNTIFS($D$2:D1923,D1923,$G$2:G1923,G1923)</f>
        <v>888</v>
      </c>
      <c r="AN1923" s="5" t="str">
        <f aca="false">D1923&amp;"|"&amp;AM1923</f>
        <v>分析與報告生成|888</v>
      </c>
    </row>
    <row r="1924" customFormat="false" ht="17.15" hidden="false" customHeight="false" outlineLevel="0" collapsed="false">
      <c r="A1924" s="16" t="n">
        <f aca="false">RANK(G1924,$G$2:$G$2501)+COUNTIF($G$2:G1924,G1924)-1</f>
        <v>1923</v>
      </c>
      <c r="B1924" s="11" t="s">
        <v>4508</v>
      </c>
      <c r="C1924" s="11" t="s">
        <v>4507</v>
      </c>
      <c r="D1924" s="5" t="s">
        <v>56</v>
      </c>
      <c r="E1924" s="5" t="s">
        <v>57</v>
      </c>
      <c r="F1924" s="5"/>
      <c r="G1924" s="22" t="n">
        <f aca="false">ROUND(SUM(I1924:P1924),3)</f>
        <v>53.504</v>
      </c>
      <c r="H1924" s="5" t="str">
        <f aca="false">IF(G1924&gt;=評分方法!$C$16,"優先評估",IF(G1924&gt;=評分方法!$C$17,"列入候選",IF(G1924&gt;=評分方法!$C$18,"特定情境","不建議")))</f>
        <v>不建議</v>
      </c>
      <c r="I1924" s="15" t="n">
        <f aca="false">AE1924*評分方法!$C$5</f>
        <v>25.5</v>
      </c>
      <c r="J1924" s="15" t="n">
        <f aca="false">AF1924*評分方法!$C$6</f>
        <v>0</v>
      </c>
      <c r="K1924" s="15" t="n">
        <f aca="false">AG1924*評分方法!$C$7</f>
        <v>4.95</v>
      </c>
      <c r="L1924" s="15" t="n">
        <f aca="false">AH1924*評分方法!$C$8</f>
        <v>1.95</v>
      </c>
      <c r="M1924" s="15" t="n">
        <f aca="false">AI1924*評分方法!$C$9</f>
        <v>10</v>
      </c>
      <c r="N1924" s="15" t="n">
        <f aca="false">AJ1924*評分方法!$C$10</f>
        <v>1.104</v>
      </c>
      <c r="O1924" s="15" t="n">
        <f aca="false">AK1924*評分方法!$C$11</f>
        <v>5</v>
      </c>
      <c r="P1924" s="15" t="n">
        <f aca="false">AL1924*評分方法!$C$12</f>
        <v>5</v>
      </c>
      <c r="Q1924" s="6" t="n">
        <v>157957</v>
      </c>
      <c r="R1924" s="6" t="n">
        <v>691690231040</v>
      </c>
      <c r="S1924" s="11" t="s">
        <v>1616</v>
      </c>
      <c r="T1924" s="11" t="s">
        <v>239</v>
      </c>
      <c r="U1924" s="5" t="s">
        <v>240</v>
      </c>
      <c r="V1924" s="11" t="s">
        <v>261</v>
      </c>
      <c r="W1924" s="5" t="s">
        <v>334</v>
      </c>
      <c r="X1924" s="5" t="s">
        <v>284</v>
      </c>
      <c r="Y1924" s="5"/>
      <c r="Z1924" s="5"/>
      <c r="AA1924" s="11" t="s">
        <v>155</v>
      </c>
      <c r="AB1924" s="5" t="s">
        <v>245</v>
      </c>
      <c r="AC1924" s="5"/>
      <c r="AD1924" s="11" t="s">
        <v>4715</v>
      </c>
      <c r="AE1924" s="23" t="n">
        <v>0.85</v>
      </c>
      <c r="AF1924" s="23" t="n">
        <v>0</v>
      </c>
      <c r="AG1924" s="23" t="n">
        <v>0.33</v>
      </c>
      <c r="AH1924" s="23" t="n">
        <v>0.13</v>
      </c>
      <c r="AI1924" s="23" t="n">
        <v>1</v>
      </c>
      <c r="AJ1924" s="23" t="n">
        <v>0.1104</v>
      </c>
      <c r="AK1924" s="23" t="n">
        <v>1</v>
      </c>
      <c r="AL1924" s="23" t="n">
        <v>1</v>
      </c>
      <c r="AM1924" s="16" t="n">
        <f aca="false">COUNTIFS($D$2:$D$2501,D1924,$G$2:$G$2501,"&gt;"&amp;G1924)+COUNTIFS($D$2:D1924,D1924,$G$2:G1924,G1924)</f>
        <v>889</v>
      </c>
      <c r="AN1924" s="5" t="str">
        <f aca="false">D1924&amp;"|"&amp;AM1924</f>
        <v>分析與報告生成|889</v>
      </c>
    </row>
    <row r="1925" customFormat="false" ht="17.15" hidden="false" customHeight="false" outlineLevel="0" collapsed="false">
      <c r="A1925" s="16" t="n">
        <f aca="false">RANK(G1925,$G$2:$G$2501)+COUNTIF($G$2:G1925,G1925)-1</f>
        <v>1924</v>
      </c>
      <c r="B1925" s="11" t="s">
        <v>1462</v>
      </c>
      <c r="C1925" s="11" t="s">
        <v>1461</v>
      </c>
      <c r="D1925" s="5" t="s">
        <v>72</v>
      </c>
      <c r="E1925" s="5" t="s">
        <v>73</v>
      </c>
      <c r="F1925" s="5"/>
      <c r="G1925" s="22" t="n">
        <f aca="false">ROUND(SUM(I1925:P1925),3)</f>
        <v>53.498</v>
      </c>
      <c r="H1925" s="5" t="str">
        <f aca="false">IF(G1925&gt;=評分方法!$C$16,"優先評估",IF(G1925&gt;=評分方法!$C$17,"列入候選",IF(G1925&gt;=評分方法!$C$18,"特定情境","不建議")))</f>
        <v>不建議</v>
      </c>
      <c r="I1925" s="15" t="n">
        <f aca="false">AE1925*評分方法!$C$5</f>
        <v>15</v>
      </c>
      <c r="J1925" s="15" t="n">
        <f aca="false">AF1925*評分方法!$C$6</f>
        <v>0</v>
      </c>
      <c r="K1925" s="15" t="n">
        <f aca="false">AG1925*評分方法!$C$7</f>
        <v>10.05</v>
      </c>
      <c r="L1925" s="15" t="n">
        <f aca="false">AH1925*評分方法!$C$8</f>
        <v>15</v>
      </c>
      <c r="M1925" s="15" t="n">
        <f aca="false">AI1925*評分方法!$C$9</f>
        <v>10</v>
      </c>
      <c r="N1925" s="15" t="n">
        <f aca="false">AJ1925*評分方法!$C$10</f>
        <v>2.448</v>
      </c>
      <c r="O1925" s="15" t="n">
        <f aca="false">AK1925*評分方法!$C$11</f>
        <v>1</v>
      </c>
      <c r="P1925" s="15" t="n">
        <f aca="false">AL1925*評分方法!$C$12</f>
        <v>0</v>
      </c>
      <c r="Q1925" s="6" t="n">
        <v>247056</v>
      </c>
      <c r="R1925" s="6" t="n">
        <v>11913150</v>
      </c>
      <c r="S1925" s="11" t="s">
        <v>238</v>
      </c>
      <c r="T1925" s="11" t="s">
        <v>278</v>
      </c>
      <c r="U1925" s="5" t="s">
        <v>240</v>
      </c>
      <c r="V1925" s="11" t="s">
        <v>324</v>
      </c>
      <c r="W1925" s="5" t="s">
        <v>207</v>
      </c>
      <c r="X1925" s="5" t="s">
        <v>242</v>
      </c>
      <c r="Y1925" s="5"/>
      <c r="Z1925" s="5"/>
      <c r="AA1925" s="11" t="s">
        <v>162</v>
      </c>
      <c r="AB1925" s="5" t="s">
        <v>245</v>
      </c>
      <c r="AC1925" s="5"/>
      <c r="AD1925" s="11" t="s">
        <v>4716</v>
      </c>
      <c r="AE1925" s="23" t="n">
        <v>0.5</v>
      </c>
      <c r="AF1925" s="23" t="n">
        <v>0</v>
      </c>
      <c r="AG1925" s="23" t="n">
        <v>0.67</v>
      </c>
      <c r="AH1925" s="23" t="n">
        <v>1</v>
      </c>
      <c r="AI1925" s="23" t="n">
        <v>1</v>
      </c>
      <c r="AJ1925" s="23" t="n">
        <v>0.2448</v>
      </c>
      <c r="AK1925" s="23" t="n">
        <v>0.2</v>
      </c>
      <c r="AL1925" s="23" t="n">
        <v>0</v>
      </c>
      <c r="AM1925" s="16" t="n">
        <f aca="false">COUNTIFS($D$2:$D$2501,D1925,$G$2:$G$2501,"&gt;"&amp;G1925)+COUNTIFS($D$2:D1925,D1925,$G$2:G1925,G1925)</f>
        <v>31</v>
      </c>
      <c r="AN1925" s="5" t="str">
        <f aca="false">D1925&amp;"|"&amp;AM1925</f>
        <v>微調基底模型|31</v>
      </c>
    </row>
    <row r="1926" customFormat="false" ht="17.15" hidden="false" customHeight="false" outlineLevel="0" collapsed="false">
      <c r="A1926" s="16" t="n">
        <f aca="false">RANK(G1926,$G$2:$G$2501)+COUNTIF($G$2:G1926,G1926)-1</f>
        <v>1925</v>
      </c>
      <c r="B1926" s="11" t="s">
        <v>4717</v>
      </c>
      <c r="C1926" s="11" t="s">
        <v>4718</v>
      </c>
      <c r="D1926" s="5" t="s">
        <v>66</v>
      </c>
      <c r="E1926" s="5" t="s">
        <v>67</v>
      </c>
      <c r="F1926" s="5"/>
      <c r="G1926" s="22" t="n">
        <f aca="false">ROUND(SUM(I1926:P1926),3)</f>
        <v>53.482</v>
      </c>
      <c r="H1926" s="5" t="str">
        <f aca="false">IF(G1926&gt;=評分方法!$C$16,"優先評估",IF(G1926&gt;=評分方法!$C$17,"列入候選",IF(G1926&gt;=評分方法!$C$18,"特定情境","不建議")))</f>
        <v>不建議</v>
      </c>
      <c r="I1926" s="15" t="n">
        <f aca="false">AE1926*評分方法!$C$5</f>
        <v>12</v>
      </c>
      <c r="J1926" s="15" t="n">
        <f aca="false">AF1926*評分方法!$C$6</f>
        <v>0</v>
      </c>
      <c r="K1926" s="15" t="n">
        <f aca="false">AG1926*評分方法!$C$7</f>
        <v>4.95</v>
      </c>
      <c r="L1926" s="15" t="n">
        <f aca="false">AH1926*評分方法!$C$8</f>
        <v>15</v>
      </c>
      <c r="M1926" s="15" t="n">
        <f aca="false">AI1926*評分方法!$C$9</f>
        <v>10</v>
      </c>
      <c r="N1926" s="15" t="n">
        <f aca="false">AJ1926*評分方法!$C$10</f>
        <v>9.032</v>
      </c>
      <c r="O1926" s="15" t="n">
        <f aca="false">AK1926*評分方法!$C$11</f>
        <v>1</v>
      </c>
      <c r="P1926" s="15" t="n">
        <f aca="false">AL1926*評分方法!$C$12</f>
        <v>1.5</v>
      </c>
      <c r="Q1926" s="6" t="n">
        <v>4009540</v>
      </c>
      <c r="R1926" s="6" t="n">
        <v>278045955</v>
      </c>
      <c r="S1926" s="11" t="s">
        <v>238</v>
      </c>
      <c r="T1926" s="11" t="s">
        <v>278</v>
      </c>
      <c r="U1926" s="5" t="s">
        <v>240</v>
      </c>
      <c r="V1926" s="11" t="s">
        <v>324</v>
      </c>
      <c r="W1926" s="5" t="s">
        <v>334</v>
      </c>
      <c r="X1926" s="5" t="s">
        <v>255</v>
      </c>
      <c r="Y1926" s="11" t="s">
        <v>856</v>
      </c>
      <c r="Z1926" s="11" t="s">
        <v>270</v>
      </c>
      <c r="AA1926" s="11" t="s">
        <v>149</v>
      </c>
      <c r="AB1926" s="5" t="s">
        <v>245</v>
      </c>
      <c r="AC1926" s="5" t="s">
        <v>3044</v>
      </c>
      <c r="AD1926" s="11" t="s">
        <v>4719</v>
      </c>
      <c r="AE1926" s="23" t="n">
        <v>0.4</v>
      </c>
      <c r="AF1926" s="23" t="n">
        <v>0</v>
      </c>
      <c r="AG1926" s="23" t="n">
        <v>0.33</v>
      </c>
      <c r="AH1926" s="23" t="n">
        <v>1</v>
      </c>
      <c r="AI1926" s="23" t="n">
        <v>1</v>
      </c>
      <c r="AJ1926" s="23" t="n">
        <v>0.9032</v>
      </c>
      <c r="AK1926" s="23" t="n">
        <v>0.2</v>
      </c>
      <c r="AL1926" s="23" t="n">
        <v>0.3</v>
      </c>
      <c r="AM1926" s="16" t="n">
        <f aca="false">COUNTIFS($D$2:$D$2501,D1926,$G$2:$G$2501,"&gt;"&amp;G1926)+COUNTIFS($D$2:D1926,D1926,$G$2:G1926,G1926)</f>
        <v>55</v>
      </c>
      <c r="AN1926" s="5" t="str">
        <f aca="false">D1926&amp;"|"&amp;AM1926</f>
        <v>分類與偵測|55</v>
      </c>
    </row>
    <row r="1927" customFormat="false" ht="17.15" hidden="false" customHeight="false" outlineLevel="0" collapsed="false">
      <c r="A1927" s="16" t="n">
        <f aca="false">RANK(G1927,$G$2:$G$2501)+COUNTIF($G$2:G1927,G1927)-1</f>
        <v>1926</v>
      </c>
      <c r="B1927" s="11" t="s">
        <v>4720</v>
      </c>
      <c r="C1927" s="11" t="s">
        <v>681</v>
      </c>
      <c r="D1927" s="5" t="s">
        <v>80</v>
      </c>
      <c r="E1927" s="5" t="s">
        <v>81</v>
      </c>
      <c r="F1927" s="5"/>
      <c r="G1927" s="22" t="n">
        <f aca="false">ROUND(SUM(I1927:P1927),3)</f>
        <v>53.436</v>
      </c>
      <c r="H1927" s="5" t="str">
        <f aca="false">IF(G1927&gt;=評分方法!$C$16,"優先評估",IF(G1927&gt;=評分方法!$C$17,"列入候選",IF(G1927&gt;=評分方法!$C$18,"特定情境","不建議")))</f>
        <v>不建議</v>
      </c>
      <c r="I1927" s="15" t="n">
        <f aca="false">AE1927*評分方法!$C$5</f>
        <v>3</v>
      </c>
      <c r="J1927" s="15" t="n">
        <f aca="false">AF1927*評分方法!$C$6</f>
        <v>0</v>
      </c>
      <c r="K1927" s="15" t="n">
        <f aca="false">AG1927*評分方法!$C$7</f>
        <v>15</v>
      </c>
      <c r="L1927" s="15" t="n">
        <f aca="false">AH1927*評分方法!$C$8</f>
        <v>15</v>
      </c>
      <c r="M1927" s="15" t="n">
        <f aca="false">AI1927*評分方法!$C$9</f>
        <v>10</v>
      </c>
      <c r="N1927" s="15" t="n">
        <f aca="false">AJ1927*評分方法!$C$10</f>
        <v>6.436</v>
      </c>
      <c r="O1927" s="15" t="n">
        <f aca="false">AK1927*評分方法!$C$11</f>
        <v>2.5</v>
      </c>
      <c r="P1927" s="15" t="n">
        <f aca="false">AL1927*評分方法!$C$12</f>
        <v>1.5</v>
      </c>
      <c r="Q1927" s="6" t="n">
        <v>733445</v>
      </c>
      <c r="R1927" s="6" t="n">
        <v>224447154</v>
      </c>
      <c r="S1927" s="11" t="s">
        <v>238</v>
      </c>
      <c r="T1927" s="11" t="s">
        <v>239</v>
      </c>
      <c r="U1927" s="5" t="s">
        <v>240</v>
      </c>
      <c r="V1927" s="11" t="s">
        <v>324</v>
      </c>
      <c r="W1927" s="5" t="s">
        <v>205</v>
      </c>
      <c r="X1927" s="5" t="s">
        <v>255</v>
      </c>
      <c r="Y1927" s="5"/>
      <c r="Z1927" s="5"/>
      <c r="AA1927" s="11" t="s">
        <v>184</v>
      </c>
      <c r="AB1927" s="5" t="s">
        <v>245</v>
      </c>
      <c r="AC1927" s="5"/>
      <c r="AD1927" s="11" t="s">
        <v>4721</v>
      </c>
      <c r="AE1927" s="23" t="n">
        <v>0.1</v>
      </c>
      <c r="AF1927" s="23" t="n">
        <v>0</v>
      </c>
      <c r="AG1927" s="23" t="n">
        <v>1</v>
      </c>
      <c r="AH1927" s="23" t="n">
        <v>1</v>
      </c>
      <c r="AI1927" s="23" t="n">
        <v>1</v>
      </c>
      <c r="AJ1927" s="23" t="n">
        <v>0.6436</v>
      </c>
      <c r="AK1927" s="23" t="n">
        <v>0.5</v>
      </c>
      <c r="AL1927" s="23" t="n">
        <v>0.3</v>
      </c>
      <c r="AM1927" s="16" t="n">
        <f aca="false">COUNTIFS($D$2:$D$2501,D1927,$G$2:$G$2501,"&gt;"&amp;G1927)+COUNTIFS($D$2:D1927,D1927,$G$2:G1927,G1927)</f>
        <v>7</v>
      </c>
      <c r="AN1927" s="5" t="str">
        <f aca="false">D1927&amp;"|"&amp;AM1927</f>
        <v>其他|7</v>
      </c>
    </row>
    <row r="1928" customFormat="false" ht="17.15" hidden="false" customHeight="false" outlineLevel="0" collapsed="false">
      <c r="A1928" s="16" t="n">
        <f aca="false">RANK(G1928,$G$2:$G$2501)+COUNTIF($G$2:G1928,G1928)-1</f>
        <v>1927</v>
      </c>
      <c r="B1928" s="11" t="s">
        <v>4722</v>
      </c>
      <c r="C1928" s="11" t="s">
        <v>989</v>
      </c>
      <c r="D1928" s="5" t="s">
        <v>56</v>
      </c>
      <c r="E1928" s="5" t="s">
        <v>57</v>
      </c>
      <c r="F1928" s="5"/>
      <c r="G1928" s="22" t="n">
        <f aca="false">ROUND(SUM(I1928:P1928),3)</f>
        <v>53.414</v>
      </c>
      <c r="H1928" s="5" t="str">
        <f aca="false">IF(G1928&gt;=評分方法!$C$16,"優先評估",IF(G1928&gt;=評分方法!$C$17,"列入候選",IF(G1928&gt;=評分方法!$C$18,"特定情境","不建議")))</f>
        <v>不建議</v>
      </c>
      <c r="I1928" s="15" t="n">
        <f aca="false">AE1928*評分方法!$C$5</f>
        <v>25.5</v>
      </c>
      <c r="J1928" s="15" t="n">
        <f aca="false">AF1928*評分方法!$C$6</f>
        <v>0</v>
      </c>
      <c r="K1928" s="15" t="n">
        <f aca="false">AG1928*評分方法!$C$7</f>
        <v>10.05</v>
      </c>
      <c r="L1928" s="15" t="n">
        <f aca="false">AH1928*評分方法!$C$8</f>
        <v>9</v>
      </c>
      <c r="M1928" s="15" t="n">
        <f aca="false">AI1928*評分方法!$C$9</f>
        <v>2</v>
      </c>
      <c r="N1928" s="15" t="n">
        <f aca="false">AJ1928*評分方法!$C$10</f>
        <v>1.364</v>
      </c>
      <c r="O1928" s="15" t="n">
        <f aca="false">AK1928*評分方法!$C$11</f>
        <v>2.5</v>
      </c>
      <c r="P1928" s="15" t="n">
        <f aca="false">AL1928*評分方法!$C$12</f>
        <v>3</v>
      </c>
      <c r="Q1928" s="6" t="n">
        <v>171976</v>
      </c>
      <c r="R1928" s="6" t="n">
        <v>14768307200</v>
      </c>
      <c r="S1928" s="11" t="s">
        <v>389</v>
      </c>
      <c r="T1928" s="5"/>
      <c r="U1928" s="5" t="s">
        <v>375</v>
      </c>
      <c r="V1928" s="11" t="s">
        <v>333</v>
      </c>
      <c r="W1928" s="5" t="s">
        <v>207</v>
      </c>
      <c r="X1928" s="5" t="s">
        <v>371</v>
      </c>
      <c r="Y1928" s="11" t="s">
        <v>4723</v>
      </c>
      <c r="Z1928" s="11" t="s">
        <v>244</v>
      </c>
      <c r="AA1928" s="11" t="s">
        <v>155</v>
      </c>
      <c r="AB1928" s="5" t="s">
        <v>245</v>
      </c>
      <c r="AC1928" s="5" t="s">
        <v>464</v>
      </c>
      <c r="AD1928" s="11" t="s">
        <v>4724</v>
      </c>
      <c r="AE1928" s="23" t="n">
        <v>0.85</v>
      </c>
      <c r="AF1928" s="23" t="n">
        <v>0</v>
      </c>
      <c r="AG1928" s="23" t="n">
        <v>0.67</v>
      </c>
      <c r="AH1928" s="23" t="n">
        <v>0.6</v>
      </c>
      <c r="AI1928" s="23" t="n">
        <v>0.2</v>
      </c>
      <c r="AJ1928" s="23" t="n">
        <v>0.1364</v>
      </c>
      <c r="AK1928" s="23" t="n">
        <v>0.5</v>
      </c>
      <c r="AL1928" s="23" t="n">
        <v>0.6</v>
      </c>
      <c r="AM1928" s="16" t="n">
        <f aca="false">COUNTIFS($D$2:$D$2501,D1928,$G$2:$G$2501,"&gt;"&amp;G1928)+COUNTIFS($D$2:D1928,D1928,$G$2:G1928,G1928)</f>
        <v>890</v>
      </c>
      <c r="AN1928" s="5" t="str">
        <f aca="false">D1928&amp;"|"&amp;AM1928</f>
        <v>分析與報告生成|890</v>
      </c>
    </row>
    <row r="1929" customFormat="false" ht="17.15" hidden="false" customHeight="false" outlineLevel="0" collapsed="false">
      <c r="A1929" s="16" t="n">
        <f aca="false">RANK(G1929,$G$2:$G$2501)+COUNTIF($G$2:G1929,G1929)-1</f>
        <v>1928</v>
      </c>
      <c r="B1929" s="11" t="s">
        <v>4725</v>
      </c>
      <c r="C1929" s="11" t="s">
        <v>2309</v>
      </c>
      <c r="D1929" s="5" t="s">
        <v>74</v>
      </c>
      <c r="E1929" s="5" t="s">
        <v>75</v>
      </c>
      <c r="F1929" s="5"/>
      <c r="G1929" s="22" t="n">
        <f aca="false">ROUND(SUM(I1929:P1929),3)</f>
        <v>53.354</v>
      </c>
      <c r="H1929" s="5" t="str">
        <f aca="false">IF(G1929&gt;=評分方法!$C$16,"優先評估",IF(G1929&gt;=評分方法!$C$17,"列入候選",IF(G1929&gt;=評分方法!$C$18,"特定情境","不建議")))</f>
        <v>不建議</v>
      </c>
      <c r="I1929" s="15" t="n">
        <f aca="false">AE1929*評分方法!$C$5</f>
        <v>12</v>
      </c>
      <c r="J1929" s="15" t="n">
        <f aca="false">AF1929*評分方法!$C$6</f>
        <v>0</v>
      </c>
      <c r="K1929" s="15" t="n">
        <f aca="false">AG1929*評分方法!$C$7</f>
        <v>15</v>
      </c>
      <c r="L1929" s="15" t="n">
        <f aca="false">AH1929*評分方法!$C$8</f>
        <v>13.05</v>
      </c>
      <c r="M1929" s="15" t="n">
        <f aca="false">AI1929*評分方法!$C$9</f>
        <v>10</v>
      </c>
      <c r="N1929" s="15" t="n">
        <f aca="false">AJ1929*評分方法!$C$10</f>
        <v>0.804</v>
      </c>
      <c r="O1929" s="15" t="n">
        <f aca="false">AK1929*評分方法!$C$11</f>
        <v>1</v>
      </c>
      <c r="P1929" s="15" t="n">
        <f aca="false">AL1929*評分方法!$C$12</f>
        <v>1.5</v>
      </c>
      <c r="Q1929" s="6" t="n">
        <v>146506</v>
      </c>
      <c r="R1929" s="6" t="n">
        <v>1366678606</v>
      </c>
      <c r="S1929" s="11" t="s">
        <v>254</v>
      </c>
      <c r="T1929" s="11" t="s">
        <v>278</v>
      </c>
      <c r="U1929" s="5" t="s">
        <v>240</v>
      </c>
      <c r="V1929" s="11" t="s">
        <v>324</v>
      </c>
      <c r="W1929" s="5" t="s">
        <v>205</v>
      </c>
      <c r="X1929" s="5" t="s">
        <v>255</v>
      </c>
      <c r="Y1929" s="5"/>
      <c r="Z1929" s="5"/>
      <c r="AA1929" s="11" t="s">
        <v>167</v>
      </c>
      <c r="AB1929" s="5" t="s">
        <v>961</v>
      </c>
      <c r="AC1929" s="5" t="s">
        <v>1203</v>
      </c>
      <c r="AD1929" s="11" t="s">
        <v>4726</v>
      </c>
      <c r="AE1929" s="23" t="n">
        <v>0.4</v>
      </c>
      <c r="AF1929" s="23" t="n">
        <v>0</v>
      </c>
      <c r="AG1929" s="23" t="n">
        <v>1</v>
      </c>
      <c r="AH1929" s="23" t="n">
        <v>0.87</v>
      </c>
      <c r="AI1929" s="23" t="n">
        <v>1</v>
      </c>
      <c r="AJ1929" s="23" t="n">
        <v>0.0804</v>
      </c>
      <c r="AK1929" s="23" t="n">
        <v>0.2</v>
      </c>
      <c r="AL1929" s="23" t="n">
        <v>0.3</v>
      </c>
      <c r="AM1929" s="16" t="n">
        <f aca="false">COUNTIFS($D$2:$D$2501,D1929,$G$2:$G$2501,"&gt;"&amp;G1929)+COUNTIFS($D$2:D1929,D1929,$G$2:G1929,G1929)</f>
        <v>242</v>
      </c>
      <c r="AN1929" s="5" t="str">
        <f aca="false">D1929&amp;"|"&amp;AM1929</f>
        <v>文件與影像辨識|242</v>
      </c>
    </row>
    <row r="1930" customFormat="false" ht="17.15" hidden="false" customHeight="false" outlineLevel="0" collapsed="false">
      <c r="A1930" s="16" t="n">
        <f aca="false">RANK(G1930,$G$2:$G$2501)+COUNTIF($G$2:G1930,G1930)-1</f>
        <v>1929</v>
      </c>
      <c r="B1930" s="11" t="s">
        <v>4727</v>
      </c>
      <c r="C1930" s="11" t="s">
        <v>4728</v>
      </c>
      <c r="D1930" s="5" t="s">
        <v>56</v>
      </c>
      <c r="E1930" s="5" t="s">
        <v>57</v>
      </c>
      <c r="F1930" s="5"/>
      <c r="G1930" s="22" t="n">
        <f aca="false">ROUND(SUM(I1930:P1930),3)</f>
        <v>53.352</v>
      </c>
      <c r="H1930" s="5" t="str">
        <f aca="false">IF(G1930&gt;=評分方法!$C$16,"優先評估",IF(G1930&gt;=評分方法!$C$17,"列入候選",IF(G1930&gt;=評分方法!$C$18,"特定情境","不建議")))</f>
        <v>不建議</v>
      </c>
      <c r="I1930" s="15" t="n">
        <f aca="false">AE1930*評分方法!$C$5</f>
        <v>25.5</v>
      </c>
      <c r="J1930" s="15" t="n">
        <f aca="false">AF1930*評分方法!$C$6</f>
        <v>0</v>
      </c>
      <c r="K1930" s="15" t="n">
        <f aca="false">AG1930*評分方法!$C$7</f>
        <v>4.95</v>
      </c>
      <c r="L1930" s="15" t="n">
        <f aca="false">AH1930*評分方法!$C$8</f>
        <v>13.05</v>
      </c>
      <c r="M1930" s="15" t="n">
        <f aca="false">AI1930*評分方法!$C$9</f>
        <v>2</v>
      </c>
      <c r="N1930" s="15" t="n">
        <f aca="false">AJ1930*評分方法!$C$10</f>
        <v>0.852</v>
      </c>
      <c r="O1930" s="15" t="n">
        <f aca="false">AK1930*評分方法!$C$11</f>
        <v>4</v>
      </c>
      <c r="P1930" s="15" t="n">
        <f aca="false">AL1930*評分方法!$C$12</f>
        <v>3</v>
      </c>
      <c r="Q1930" s="6" t="n">
        <v>148319</v>
      </c>
      <c r="R1930" s="6" t="n">
        <v>1665408353</v>
      </c>
      <c r="S1930" s="11" t="s">
        <v>254</v>
      </c>
      <c r="T1930" s="5"/>
      <c r="U1930" s="5" t="s">
        <v>375</v>
      </c>
      <c r="V1930" s="11" t="s">
        <v>333</v>
      </c>
      <c r="W1930" s="5" t="s">
        <v>334</v>
      </c>
      <c r="X1930" s="5" t="s">
        <v>371</v>
      </c>
      <c r="Y1930" s="5"/>
      <c r="Z1930" s="5"/>
      <c r="AA1930" s="11" t="s">
        <v>155</v>
      </c>
      <c r="AB1930" s="5" t="s">
        <v>961</v>
      </c>
      <c r="AC1930" s="5" t="s">
        <v>1977</v>
      </c>
      <c r="AD1930" s="11" t="s">
        <v>4729</v>
      </c>
      <c r="AE1930" s="23" t="n">
        <v>0.85</v>
      </c>
      <c r="AF1930" s="23" t="n">
        <v>0</v>
      </c>
      <c r="AG1930" s="23" t="n">
        <v>0.33</v>
      </c>
      <c r="AH1930" s="23" t="n">
        <v>0.87</v>
      </c>
      <c r="AI1930" s="23" t="n">
        <v>0.2</v>
      </c>
      <c r="AJ1930" s="23" t="n">
        <v>0.0852</v>
      </c>
      <c r="AK1930" s="23" t="n">
        <v>0.8</v>
      </c>
      <c r="AL1930" s="23" t="n">
        <v>0.6</v>
      </c>
      <c r="AM1930" s="16" t="n">
        <f aca="false">COUNTIFS($D$2:$D$2501,D1930,$G$2:$G$2501,"&gt;"&amp;G1930)+COUNTIFS($D$2:D1930,D1930,$G$2:G1930,G1930)</f>
        <v>891</v>
      </c>
      <c r="AN1930" s="5" t="str">
        <f aca="false">D1930&amp;"|"&amp;AM1930</f>
        <v>分析與報告生成|891</v>
      </c>
    </row>
    <row r="1931" customFormat="false" ht="17.15" hidden="false" customHeight="false" outlineLevel="0" collapsed="false">
      <c r="A1931" s="16" t="n">
        <f aca="false">RANK(G1931,$G$2:$G$2501)+COUNTIF($G$2:G1931,G1931)-1</f>
        <v>1930</v>
      </c>
      <c r="B1931" s="11" t="s">
        <v>4730</v>
      </c>
      <c r="C1931" s="11" t="s">
        <v>681</v>
      </c>
      <c r="D1931" s="5" t="s">
        <v>74</v>
      </c>
      <c r="E1931" s="5" t="s">
        <v>75</v>
      </c>
      <c r="F1931" s="5"/>
      <c r="G1931" s="22" t="n">
        <f aca="false">ROUND(SUM(I1931:P1931),3)</f>
        <v>53.312</v>
      </c>
      <c r="H1931" s="5" t="str">
        <f aca="false">IF(G1931&gt;=評分方法!$C$16,"優先評估",IF(G1931&gt;=評分方法!$C$17,"列入候選",IF(G1931&gt;=評分方法!$C$18,"特定情境","不建議")))</f>
        <v>不建議</v>
      </c>
      <c r="I1931" s="15" t="n">
        <f aca="false">AE1931*評分方法!$C$5</f>
        <v>10.5</v>
      </c>
      <c r="J1931" s="15" t="n">
        <f aca="false">AF1931*評分方法!$C$6</f>
        <v>0</v>
      </c>
      <c r="K1931" s="15" t="n">
        <f aca="false">AG1931*評分方法!$C$7</f>
        <v>15</v>
      </c>
      <c r="L1931" s="15" t="n">
        <f aca="false">AH1931*評分方法!$C$8</f>
        <v>15</v>
      </c>
      <c r="M1931" s="15" t="n">
        <f aca="false">AI1931*評分方法!$C$9</f>
        <v>10</v>
      </c>
      <c r="N1931" s="15" t="n">
        <f aca="false">AJ1931*評分方法!$C$10</f>
        <v>0.312</v>
      </c>
      <c r="O1931" s="15" t="n">
        <f aca="false">AK1931*評分方法!$C$11</f>
        <v>1</v>
      </c>
      <c r="P1931" s="15" t="n">
        <f aca="false">AL1931*評分方法!$C$12</f>
        <v>1.5</v>
      </c>
      <c r="Q1931" s="6" t="n">
        <v>124728</v>
      </c>
      <c r="R1931" s="6" t="n">
        <v>50223688</v>
      </c>
      <c r="S1931" s="11" t="s">
        <v>238</v>
      </c>
      <c r="T1931" s="11" t="s">
        <v>239</v>
      </c>
      <c r="U1931" s="5" t="s">
        <v>240</v>
      </c>
      <c r="V1931" s="11" t="s">
        <v>855</v>
      </c>
      <c r="W1931" s="5" t="s">
        <v>205</v>
      </c>
      <c r="X1931" s="5" t="s">
        <v>255</v>
      </c>
      <c r="Y1931" s="5"/>
      <c r="Z1931" s="5"/>
      <c r="AA1931" s="11" t="s">
        <v>172</v>
      </c>
      <c r="AB1931" s="5" t="s">
        <v>245</v>
      </c>
      <c r="AC1931" s="5"/>
      <c r="AD1931" s="11" t="s">
        <v>4731</v>
      </c>
      <c r="AE1931" s="23" t="n">
        <v>0.35</v>
      </c>
      <c r="AF1931" s="23" t="n">
        <v>0</v>
      </c>
      <c r="AG1931" s="23" t="n">
        <v>1</v>
      </c>
      <c r="AH1931" s="23" t="n">
        <v>1</v>
      </c>
      <c r="AI1931" s="23" t="n">
        <v>1</v>
      </c>
      <c r="AJ1931" s="23" t="n">
        <v>0.0312</v>
      </c>
      <c r="AK1931" s="23" t="n">
        <v>0.2</v>
      </c>
      <c r="AL1931" s="23" t="n">
        <v>0.3</v>
      </c>
      <c r="AM1931" s="16" t="n">
        <f aca="false">COUNTIFS($D$2:$D$2501,D1931,$G$2:$G$2501,"&gt;"&amp;G1931)+COUNTIFS($D$2:D1931,D1931,$G$2:G1931,G1931)</f>
        <v>243</v>
      </c>
      <c r="AN1931" s="5" t="str">
        <f aca="false">D1931&amp;"|"&amp;AM1931</f>
        <v>文件與影像辨識|243</v>
      </c>
    </row>
    <row r="1932" customFormat="false" ht="17.15" hidden="false" customHeight="false" outlineLevel="0" collapsed="false">
      <c r="A1932" s="16" t="n">
        <f aca="false">RANK(G1932,$G$2:$G$2501)+COUNTIF($G$2:G1932,G1932)-1</f>
        <v>1931</v>
      </c>
      <c r="B1932" s="11" t="s">
        <v>4732</v>
      </c>
      <c r="C1932" s="11" t="s">
        <v>4733</v>
      </c>
      <c r="D1932" s="5" t="s">
        <v>56</v>
      </c>
      <c r="E1932" s="5" t="s">
        <v>57</v>
      </c>
      <c r="F1932" s="5"/>
      <c r="G1932" s="22" t="n">
        <f aca="false">ROUND(SUM(I1932:P1932),3)</f>
        <v>53.272</v>
      </c>
      <c r="H1932" s="5" t="str">
        <f aca="false">IF(G1932&gt;=評分方法!$C$16,"優先評估",IF(G1932&gt;=評分方法!$C$17,"列入候選",IF(G1932&gt;=評分方法!$C$18,"特定情境","不建議")))</f>
        <v>不建議</v>
      </c>
      <c r="I1932" s="15" t="n">
        <f aca="false">AE1932*評分方法!$C$5</f>
        <v>25.5</v>
      </c>
      <c r="J1932" s="15" t="n">
        <f aca="false">AF1932*評分方法!$C$6</f>
        <v>0</v>
      </c>
      <c r="K1932" s="15" t="n">
        <f aca="false">AG1932*評分方法!$C$7</f>
        <v>4.95</v>
      </c>
      <c r="L1932" s="15" t="n">
        <f aca="false">AH1932*評分方法!$C$8</f>
        <v>4.95</v>
      </c>
      <c r="M1932" s="15" t="n">
        <f aca="false">AI1932*評分方法!$C$9</f>
        <v>6</v>
      </c>
      <c r="N1932" s="15" t="n">
        <f aca="false">AJ1932*評分方法!$C$10</f>
        <v>6.372</v>
      </c>
      <c r="O1932" s="15" t="n">
        <f aca="false">AK1932*評分方法!$C$11</f>
        <v>2.5</v>
      </c>
      <c r="P1932" s="15" t="n">
        <f aca="false">AL1932*評分方法!$C$12</f>
        <v>3</v>
      </c>
      <c r="Q1932" s="6" t="n">
        <v>711178</v>
      </c>
      <c r="R1932" s="6" t="n">
        <v>70560423936</v>
      </c>
      <c r="S1932" s="11" t="s">
        <v>1876</v>
      </c>
      <c r="T1932" s="11" t="s">
        <v>185</v>
      </c>
      <c r="U1932" s="5" t="s">
        <v>260</v>
      </c>
      <c r="V1932" s="11" t="s">
        <v>261</v>
      </c>
      <c r="W1932" s="5" t="s">
        <v>334</v>
      </c>
      <c r="X1932" s="5" t="s">
        <v>371</v>
      </c>
      <c r="Y1932" s="11" t="s">
        <v>2742</v>
      </c>
      <c r="Z1932" s="11" t="s">
        <v>244</v>
      </c>
      <c r="AA1932" s="11" t="s">
        <v>155</v>
      </c>
      <c r="AB1932" s="5" t="s">
        <v>496</v>
      </c>
      <c r="AC1932" s="5" t="s">
        <v>1108</v>
      </c>
      <c r="AD1932" s="11" t="s">
        <v>4734</v>
      </c>
      <c r="AE1932" s="23" t="n">
        <v>0.85</v>
      </c>
      <c r="AF1932" s="23" t="n">
        <v>0</v>
      </c>
      <c r="AG1932" s="23" t="n">
        <v>0.33</v>
      </c>
      <c r="AH1932" s="23" t="n">
        <v>0.33</v>
      </c>
      <c r="AI1932" s="23" t="n">
        <v>0.6</v>
      </c>
      <c r="AJ1932" s="23" t="n">
        <v>0.6372</v>
      </c>
      <c r="AK1932" s="23" t="n">
        <v>0.5</v>
      </c>
      <c r="AL1932" s="23" t="n">
        <v>0.6</v>
      </c>
      <c r="AM1932" s="16" t="n">
        <f aca="false">COUNTIFS($D$2:$D$2501,D1932,$G$2:$G$2501,"&gt;"&amp;G1932)+COUNTIFS($D$2:D1932,D1932,$G$2:G1932,G1932)</f>
        <v>892</v>
      </c>
      <c r="AN1932" s="5" t="str">
        <f aca="false">D1932&amp;"|"&amp;AM1932</f>
        <v>分析與報告生成|892</v>
      </c>
    </row>
    <row r="1933" customFormat="false" ht="17.15" hidden="false" customHeight="false" outlineLevel="0" collapsed="false">
      <c r="A1933" s="16" t="n">
        <f aca="false">RANK(G1933,$G$2:$G$2501)+COUNTIF($G$2:G1933,G1933)-1</f>
        <v>1932</v>
      </c>
      <c r="B1933" s="11" t="s">
        <v>4735</v>
      </c>
      <c r="C1933" s="11" t="s">
        <v>681</v>
      </c>
      <c r="D1933" s="5" t="s">
        <v>74</v>
      </c>
      <c r="E1933" s="5" t="s">
        <v>75</v>
      </c>
      <c r="F1933" s="5"/>
      <c r="G1933" s="22" t="n">
        <f aca="false">ROUND(SUM(I1933:P1933),3)</f>
        <v>53.272</v>
      </c>
      <c r="H1933" s="5" t="str">
        <f aca="false">IF(G1933&gt;=評分方法!$C$16,"優先評估",IF(G1933&gt;=評分方法!$C$17,"列入候選",IF(G1933&gt;=評分方法!$C$18,"特定情境","不建議")))</f>
        <v>不建議</v>
      </c>
      <c r="I1933" s="15" t="n">
        <f aca="false">AE1933*評分方法!$C$5</f>
        <v>7.5</v>
      </c>
      <c r="J1933" s="15" t="n">
        <f aca="false">AF1933*評分方法!$C$6</f>
        <v>0</v>
      </c>
      <c r="K1933" s="15" t="n">
        <f aca="false">AG1933*評分方法!$C$7</f>
        <v>15</v>
      </c>
      <c r="L1933" s="15" t="n">
        <f aca="false">AH1933*評分方法!$C$8</f>
        <v>15</v>
      </c>
      <c r="M1933" s="15" t="n">
        <f aca="false">AI1933*評分方法!$C$9</f>
        <v>10</v>
      </c>
      <c r="N1933" s="15" t="n">
        <f aca="false">AJ1933*評分方法!$C$10</f>
        <v>1.772</v>
      </c>
      <c r="O1933" s="15" t="n">
        <f aca="false">AK1933*評分方法!$C$11</f>
        <v>2.5</v>
      </c>
      <c r="P1933" s="15" t="n">
        <f aca="false">AL1933*評分方法!$C$12</f>
        <v>1.5</v>
      </c>
      <c r="Q1933" s="6" t="n">
        <v>193744</v>
      </c>
      <c r="R1933" s="6" t="n">
        <v>653930880</v>
      </c>
      <c r="S1933" s="11" t="s">
        <v>238</v>
      </c>
      <c r="T1933" s="11" t="s">
        <v>278</v>
      </c>
      <c r="U1933" s="5" t="s">
        <v>240</v>
      </c>
      <c r="V1933" s="11" t="s">
        <v>324</v>
      </c>
      <c r="W1933" s="5" t="s">
        <v>205</v>
      </c>
      <c r="X1933" s="5" t="s">
        <v>255</v>
      </c>
      <c r="Y1933" s="5"/>
      <c r="Z1933" s="5"/>
      <c r="AA1933" s="11" t="s">
        <v>179</v>
      </c>
      <c r="AB1933" s="5" t="s">
        <v>245</v>
      </c>
      <c r="AC1933" s="5"/>
      <c r="AD1933" s="11" t="s">
        <v>4736</v>
      </c>
      <c r="AE1933" s="23" t="n">
        <v>0.25</v>
      </c>
      <c r="AF1933" s="23" t="n">
        <v>0</v>
      </c>
      <c r="AG1933" s="23" t="n">
        <v>1</v>
      </c>
      <c r="AH1933" s="23" t="n">
        <v>1</v>
      </c>
      <c r="AI1933" s="23" t="n">
        <v>1</v>
      </c>
      <c r="AJ1933" s="23" t="n">
        <v>0.1772</v>
      </c>
      <c r="AK1933" s="23" t="n">
        <v>0.5</v>
      </c>
      <c r="AL1933" s="23" t="n">
        <v>0.3</v>
      </c>
      <c r="AM1933" s="16" t="n">
        <f aca="false">COUNTIFS($D$2:$D$2501,D1933,$G$2:$G$2501,"&gt;"&amp;G1933)+COUNTIFS($D$2:D1933,D1933,$G$2:G1933,G1933)</f>
        <v>244</v>
      </c>
      <c r="AN1933" s="5" t="str">
        <f aca="false">D1933&amp;"|"&amp;AM1933</f>
        <v>文件與影像辨識|244</v>
      </c>
    </row>
    <row r="1934" customFormat="false" ht="17.15" hidden="false" customHeight="false" outlineLevel="0" collapsed="false">
      <c r="A1934" s="16" t="n">
        <f aca="false">RANK(G1934,$G$2:$G$2501)+COUNTIF($G$2:G1934,G1934)-1</f>
        <v>1933</v>
      </c>
      <c r="B1934" s="11" t="s">
        <v>4737</v>
      </c>
      <c r="C1934" s="11" t="s">
        <v>2557</v>
      </c>
      <c r="D1934" s="5" t="s">
        <v>76</v>
      </c>
      <c r="E1934" s="5" t="s">
        <v>77</v>
      </c>
      <c r="F1934" s="5"/>
      <c r="G1934" s="22" t="n">
        <f aca="false">ROUND(SUM(I1934:P1934),3)</f>
        <v>53.268</v>
      </c>
      <c r="H1934" s="5" t="str">
        <f aca="false">IF(G1934&gt;=評分方法!$C$16,"優先評估",IF(G1934&gt;=評分方法!$C$17,"列入候選",IF(G1934&gt;=評分方法!$C$18,"特定情境","不建議")))</f>
        <v>不建議</v>
      </c>
      <c r="I1934" s="15" t="n">
        <f aca="false">AE1934*評分方法!$C$5</f>
        <v>12</v>
      </c>
      <c r="J1934" s="15" t="n">
        <f aca="false">AF1934*評分方法!$C$6</f>
        <v>0</v>
      </c>
      <c r="K1934" s="15" t="n">
        <f aca="false">AG1934*評分方法!$C$7</f>
        <v>15</v>
      </c>
      <c r="L1934" s="15" t="n">
        <f aca="false">AH1934*評分方法!$C$8</f>
        <v>15</v>
      </c>
      <c r="M1934" s="15" t="n">
        <f aca="false">AI1934*評分方法!$C$9</f>
        <v>10</v>
      </c>
      <c r="N1934" s="15" t="n">
        <f aca="false">AJ1934*評分方法!$C$10</f>
        <v>0.268</v>
      </c>
      <c r="O1934" s="15" t="n">
        <f aca="false">AK1934*評分方法!$C$11</f>
        <v>1</v>
      </c>
      <c r="P1934" s="15" t="n">
        <f aca="false">AL1934*評分方法!$C$12</f>
        <v>0</v>
      </c>
      <c r="Q1934" s="6" t="n">
        <v>122973</v>
      </c>
      <c r="R1934" s="6" t="n">
        <v>238295051</v>
      </c>
      <c r="S1934" s="11" t="s">
        <v>238</v>
      </c>
      <c r="T1934" s="11" t="s">
        <v>1636</v>
      </c>
      <c r="U1934" s="5" t="s">
        <v>240</v>
      </c>
      <c r="V1934" s="11" t="s">
        <v>855</v>
      </c>
      <c r="W1934" s="5" t="s">
        <v>205</v>
      </c>
      <c r="X1934" s="5" t="s">
        <v>242</v>
      </c>
      <c r="Y1934" s="5"/>
      <c r="Z1934" s="5"/>
      <c r="AA1934" s="11" t="s">
        <v>168</v>
      </c>
      <c r="AB1934" s="5" t="s">
        <v>245</v>
      </c>
      <c r="AC1934" s="5"/>
      <c r="AD1934" s="11" t="s">
        <v>4738</v>
      </c>
      <c r="AE1934" s="23" t="n">
        <v>0.4</v>
      </c>
      <c r="AF1934" s="23" t="n">
        <v>0</v>
      </c>
      <c r="AG1934" s="23" t="n">
        <v>1</v>
      </c>
      <c r="AH1934" s="23" t="n">
        <v>1</v>
      </c>
      <c r="AI1934" s="23" t="n">
        <v>1</v>
      </c>
      <c r="AJ1934" s="23" t="n">
        <v>0.0268</v>
      </c>
      <c r="AK1934" s="23" t="n">
        <v>0.2</v>
      </c>
      <c r="AL1934" s="23" t="n">
        <v>0</v>
      </c>
      <c r="AM1934" s="16" t="n">
        <f aca="false">COUNTIFS($D$2:$D$2501,D1934,$G$2:$G$2501,"&gt;"&amp;G1934)+COUNTIFS($D$2:D1934,D1934,$G$2:G1934,G1934)</f>
        <v>12</v>
      </c>
      <c r="AN1934" s="5" t="str">
        <f aca="false">D1934&amp;"|"&amp;AM1934</f>
        <v>情資翻譯|12</v>
      </c>
    </row>
    <row r="1935" customFormat="false" ht="17.15" hidden="false" customHeight="false" outlineLevel="0" collapsed="false">
      <c r="A1935" s="16" t="n">
        <f aca="false">RANK(G1935,$G$2:$G$2501)+COUNTIF($G$2:G1935,G1935)-1</f>
        <v>1934</v>
      </c>
      <c r="B1935" s="11" t="s">
        <v>4739</v>
      </c>
      <c r="C1935" s="11" t="s">
        <v>4740</v>
      </c>
      <c r="D1935" s="5" t="s">
        <v>54</v>
      </c>
      <c r="E1935" s="5" t="s">
        <v>55</v>
      </c>
      <c r="F1935" s="5"/>
      <c r="G1935" s="22" t="n">
        <f aca="false">ROUND(SUM(I1935:P1935),3)</f>
        <v>53.246</v>
      </c>
      <c r="H1935" s="5" t="str">
        <f aca="false">IF(G1935&gt;=評分方法!$C$16,"優先評估",IF(G1935&gt;=評分方法!$C$17,"列入候選",IF(G1935&gt;=評分方法!$C$18,"特定情境","不建議")))</f>
        <v>不建議</v>
      </c>
      <c r="I1935" s="15" t="n">
        <f aca="false">AE1935*評分方法!$C$5</f>
        <v>16.2</v>
      </c>
      <c r="J1935" s="15" t="n">
        <f aca="false">AF1935*評分方法!$C$6</f>
        <v>0</v>
      </c>
      <c r="K1935" s="15" t="n">
        <f aca="false">AG1935*評分方法!$C$7</f>
        <v>4.95</v>
      </c>
      <c r="L1935" s="15" t="n">
        <f aca="false">AH1935*評分方法!$C$8</f>
        <v>15</v>
      </c>
      <c r="M1935" s="15" t="n">
        <f aca="false">AI1935*評分方法!$C$9</f>
        <v>10</v>
      </c>
      <c r="N1935" s="15" t="n">
        <f aca="false">AJ1935*評分方法!$C$10</f>
        <v>4.596</v>
      </c>
      <c r="O1935" s="15" t="n">
        <f aca="false">AK1935*評分方法!$C$11</f>
        <v>2.5</v>
      </c>
      <c r="P1935" s="15" t="n">
        <f aca="false">AL1935*評分方法!$C$12</f>
        <v>0</v>
      </c>
      <c r="Q1935" s="6" t="n">
        <v>500725</v>
      </c>
      <c r="R1935" s="6" t="n">
        <v>884593152</v>
      </c>
      <c r="S1935" s="11" t="s">
        <v>238</v>
      </c>
      <c r="T1935" s="11" t="s">
        <v>278</v>
      </c>
      <c r="U1935" s="5" t="s">
        <v>240</v>
      </c>
      <c r="V1935" s="11" t="s">
        <v>261</v>
      </c>
      <c r="W1935" s="5" t="s">
        <v>334</v>
      </c>
      <c r="X1935" s="5" t="s">
        <v>242</v>
      </c>
      <c r="Y1935" s="5"/>
      <c r="Z1935" s="5"/>
      <c r="AA1935" s="11" t="s">
        <v>152</v>
      </c>
      <c r="AB1935" s="5" t="s">
        <v>245</v>
      </c>
      <c r="AC1935" s="5" t="s">
        <v>1463</v>
      </c>
      <c r="AD1935" s="11" t="s">
        <v>4741</v>
      </c>
      <c r="AE1935" s="23" t="n">
        <v>0.54</v>
      </c>
      <c r="AF1935" s="23" t="n">
        <v>0</v>
      </c>
      <c r="AG1935" s="23" t="n">
        <v>0.33</v>
      </c>
      <c r="AH1935" s="23" t="n">
        <v>1</v>
      </c>
      <c r="AI1935" s="23" t="n">
        <v>1</v>
      </c>
      <c r="AJ1935" s="23" t="n">
        <v>0.4596</v>
      </c>
      <c r="AK1935" s="23" t="n">
        <v>0.5</v>
      </c>
      <c r="AL1935" s="23" t="n">
        <v>0</v>
      </c>
      <c r="AM1935" s="16" t="n">
        <f aca="false">COUNTIFS($D$2:$D$2501,D1935,$G$2:$G$2501,"&gt;"&amp;G1935)+COUNTIFS($D$2:D1935,D1935,$G$2:G1935,G1935)</f>
        <v>234</v>
      </c>
      <c r="AN1935" s="5" t="str">
        <f aca="false">D1935&amp;"|"&amp;AM1935</f>
        <v>檢索與情資關聯|234</v>
      </c>
    </row>
    <row r="1936" customFormat="false" ht="17.15" hidden="false" customHeight="false" outlineLevel="0" collapsed="false">
      <c r="A1936" s="16" t="n">
        <f aca="false">RANK(G1936,$G$2:$G$2501)+COUNTIF($G$2:G1936,G1936)-1</f>
        <v>1935</v>
      </c>
      <c r="B1936" s="11" t="s">
        <v>4742</v>
      </c>
      <c r="C1936" s="11" t="s">
        <v>368</v>
      </c>
      <c r="D1936" s="5" t="s">
        <v>74</v>
      </c>
      <c r="E1936" s="5" t="s">
        <v>75</v>
      </c>
      <c r="F1936" s="5"/>
      <c r="G1936" s="22" t="n">
        <f aca="false">ROUND(SUM(I1936:P1936),3)</f>
        <v>53.24</v>
      </c>
      <c r="H1936" s="5" t="str">
        <f aca="false">IF(G1936&gt;=評分方法!$C$16,"優先評估",IF(G1936&gt;=評分方法!$C$17,"列入候選",IF(G1936&gt;=評分方法!$C$18,"特定情境","不建議")))</f>
        <v>不建議</v>
      </c>
      <c r="I1936" s="15" t="n">
        <f aca="false">AE1936*評分方法!$C$5</f>
        <v>7.5</v>
      </c>
      <c r="J1936" s="15" t="n">
        <f aca="false">AF1936*評分方法!$C$6</f>
        <v>0</v>
      </c>
      <c r="K1936" s="15" t="n">
        <f aca="false">AG1936*評分方法!$C$7</f>
        <v>15</v>
      </c>
      <c r="L1936" s="15" t="n">
        <f aca="false">AH1936*評分方法!$C$8</f>
        <v>15</v>
      </c>
      <c r="M1936" s="15" t="n">
        <f aca="false">AI1936*評分方法!$C$9</f>
        <v>10</v>
      </c>
      <c r="N1936" s="15" t="n">
        <f aca="false">AJ1936*評分方法!$C$10</f>
        <v>3.24</v>
      </c>
      <c r="O1936" s="15" t="n">
        <f aca="false">AK1936*評分方法!$C$11</f>
        <v>1</v>
      </c>
      <c r="P1936" s="15" t="n">
        <f aca="false">AL1936*評分方法!$C$12</f>
        <v>1.5</v>
      </c>
      <c r="Q1936" s="6" t="n">
        <v>320240</v>
      </c>
      <c r="R1936" s="6" t="n">
        <v>154966791</v>
      </c>
      <c r="S1936" s="11" t="s">
        <v>238</v>
      </c>
      <c r="T1936" s="11" t="s">
        <v>239</v>
      </c>
      <c r="U1936" s="5" t="s">
        <v>240</v>
      </c>
      <c r="V1936" s="11" t="s">
        <v>324</v>
      </c>
      <c r="W1936" s="5" t="s">
        <v>205</v>
      </c>
      <c r="X1936" s="5" t="s">
        <v>255</v>
      </c>
      <c r="Y1936" s="5"/>
      <c r="Z1936" s="5"/>
      <c r="AA1936" s="11" t="s">
        <v>180</v>
      </c>
      <c r="AB1936" s="5" t="s">
        <v>245</v>
      </c>
      <c r="AC1936" s="5"/>
      <c r="AD1936" s="11" t="s">
        <v>4743</v>
      </c>
      <c r="AE1936" s="23" t="n">
        <v>0.25</v>
      </c>
      <c r="AF1936" s="23" t="n">
        <v>0</v>
      </c>
      <c r="AG1936" s="23" t="n">
        <v>1</v>
      </c>
      <c r="AH1936" s="23" t="n">
        <v>1</v>
      </c>
      <c r="AI1936" s="23" t="n">
        <v>1</v>
      </c>
      <c r="AJ1936" s="23" t="n">
        <v>0.324</v>
      </c>
      <c r="AK1936" s="23" t="n">
        <v>0.2</v>
      </c>
      <c r="AL1936" s="23" t="n">
        <v>0.3</v>
      </c>
      <c r="AM1936" s="16" t="n">
        <f aca="false">COUNTIFS($D$2:$D$2501,D1936,$G$2:$G$2501,"&gt;"&amp;G1936)+COUNTIFS($D$2:D1936,D1936,$G$2:G1936,G1936)</f>
        <v>245</v>
      </c>
      <c r="AN1936" s="5" t="str">
        <f aca="false">D1936&amp;"|"&amp;AM1936</f>
        <v>文件與影像辨識|245</v>
      </c>
    </row>
    <row r="1937" customFormat="false" ht="17.15" hidden="false" customHeight="false" outlineLevel="0" collapsed="false">
      <c r="A1937" s="16" t="n">
        <f aca="false">RANK(G1937,$G$2:$G$2501)+COUNTIF($G$2:G1937,G1937)-1</f>
        <v>1936</v>
      </c>
      <c r="B1937" s="11" t="s">
        <v>4744</v>
      </c>
      <c r="C1937" s="11" t="s">
        <v>681</v>
      </c>
      <c r="D1937" s="5" t="s">
        <v>80</v>
      </c>
      <c r="E1937" s="5" t="s">
        <v>81</v>
      </c>
      <c r="F1937" s="5"/>
      <c r="G1937" s="22" t="n">
        <f aca="false">ROUND(SUM(I1937:P1937),3)</f>
        <v>53.232</v>
      </c>
      <c r="H1937" s="5" t="str">
        <f aca="false">IF(G1937&gt;=評分方法!$C$16,"優先評估",IF(G1937&gt;=評分方法!$C$17,"列入候選",IF(G1937&gt;=評分方法!$C$18,"特定情境","不建議")))</f>
        <v>不建議</v>
      </c>
      <c r="I1937" s="15" t="n">
        <f aca="false">AE1937*評分方法!$C$5</f>
        <v>3</v>
      </c>
      <c r="J1937" s="15" t="n">
        <f aca="false">AF1937*評分方法!$C$6</f>
        <v>0</v>
      </c>
      <c r="K1937" s="15" t="n">
        <f aca="false">AG1937*評分方法!$C$7</f>
        <v>15</v>
      </c>
      <c r="L1937" s="15" t="n">
        <f aca="false">AH1937*評分方法!$C$8</f>
        <v>15</v>
      </c>
      <c r="M1937" s="15" t="n">
        <f aca="false">AI1937*評分方法!$C$9</f>
        <v>10</v>
      </c>
      <c r="N1937" s="15" t="n">
        <f aca="false">AJ1937*評分方法!$C$10</f>
        <v>6.232</v>
      </c>
      <c r="O1937" s="15" t="n">
        <f aca="false">AK1937*評分方法!$C$11</f>
        <v>2.5</v>
      </c>
      <c r="P1937" s="15" t="n">
        <f aca="false">AL1937*評分方法!$C$12</f>
        <v>1.5</v>
      </c>
      <c r="Q1937" s="6" t="n">
        <v>677274</v>
      </c>
      <c r="R1937" s="6" t="n">
        <v>80834178</v>
      </c>
      <c r="S1937" s="11" t="s">
        <v>238</v>
      </c>
      <c r="T1937" s="11" t="s">
        <v>239</v>
      </c>
      <c r="U1937" s="5" t="s">
        <v>240</v>
      </c>
      <c r="V1937" s="11" t="s">
        <v>324</v>
      </c>
      <c r="W1937" s="5" t="s">
        <v>205</v>
      </c>
      <c r="X1937" s="5" t="s">
        <v>255</v>
      </c>
      <c r="Y1937" s="5"/>
      <c r="Z1937" s="5"/>
      <c r="AA1937" s="11" t="s">
        <v>184</v>
      </c>
      <c r="AB1937" s="5" t="s">
        <v>245</v>
      </c>
      <c r="AC1937" s="5"/>
      <c r="AD1937" s="11" t="s">
        <v>4745</v>
      </c>
      <c r="AE1937" s="23" t="n">
        <v>0.1</v>
      </c>
      <c r="AF1937" s="23" t="n">
        <v>0</v>
      </c>
      <c r="AG1937" s="23" t="n">
        <v>1</v>
      </c>
      <c r="AH1937" s="23" t="n">
        <v>1</v>
      </c>
      <c r="AI1937" s="23" t="n">
        <v>1</v>
      </c>
      <c r="AJ1937" s="23" t="n">
        <v>0.6232</v>
      </c>
      <c r="AK1937" s="23" t="n">
        <v>0.5</v>
      </c>
      <c r="AL1937" s="23" t="n">
        <v>0.3</v>
      </c>
      <c r="AM1937" s="16" t="n">
        <f aca="false">COUNTIFS($D$2:$D$2501,D1937,$G$2:$G$2501,"&gt;"&amp;G1937)+COUNTIFS($D$2:D1937,D1937,$G$2:G1937,G1937)</f>
        <v>8</v>
      </c>
      <c r="AN1937" s="5" t="str">
        <f aca="false">D1937&amp;"|"&amp;AM1937</f>
        <v>其他|8</v>
      </c>
    </row>
    <row r="1938" customFormat="false" ht="17.15" hidden="false" customHeight="false" outlineLevel="0" collapsed="false">
      <c r="A1938" s="16" t="n">
        <f aca="false">RANK(G1938,$G$2:$G$2501)+COUNTIF($G$2:G1938,G1938)-1</f>
        <v>1937</v>
      </c>
      <c r="B1938" s="11" t="s">
        <v>4746</v>
      </c>
      <c r="C1938" s="11" t="s">
        <v>2693</v>
      </c>
      <c r="D1938" s="5" t="s">
        <v>74</v>
      </c>
      <c r="E1938" s="5" t="s">
        <v>75</v>
      </c>
      <c r="F1938" s="5"/>
      <c r="G1938" s="22" t="n">
        <f aca="false">ROUND(SUM(I1938:P1938),3)</f>
        <v>53.218</v>
      </c>
      <c r="H1938" s="5" t="str">
        <f aca="false">IF(G1938&gt;=評分方法!$C$16,"優先評估",IF(G1938&gt;=評分方法!$C$17,"列入候選",IF(G1938&gt;=評分方法!$C$18,"特定情境","不建議")))</f>
        <v>不建議</v>
      </c>
      <c r="I1938" s="15" t="n">
        <f aca="false">AE1938*評分方法!$C$5</f>
        <v>12</v>
      </c>
      <c r="J1938" s="15" t="n">
        <f aca="false">AF1938*評分方法!$C$6</f>
        <v>0</v>
      </c>
      <c r="K1938" s="15" t="n">
        <f aca="false">AG1938*評分方法!$C$7</f>
        <v>15</v>
      </c>
      <c r="L1938" s="15" t="n">
        <f aca="false">AH1938*評分方法!$C$8</f>
        <v>7.05</v>
      </c>
      <c r="M1938" s="15" t="n">
        <f aca="false">AI1938*評分方法!$C$9</f>
        <v>10</v>
      </c>
      <c r="N1938" s="15" t="n">
        <f aca="false">AJ1938*評分方法!$C$10</f>
        <v>5.168</v>
      </c>
      <c r="O1938" s="15" t="n">
        <f aca="false">AK1938*評分方法!$C$11</f>
        <v>2.5</v>
      </c>
      <c r="P1938" s="15" t="n">
        <f aca="false">AL1938*評分方法!$C$12</f>
        <v>1.5</v>
      </c>
      <c r="Q1938" s="6" t="n">
        <v>549109</v>
      </c>
      <c r="R1938" s="6"/>
      <c r="S1938" s="5" t="s">
        <v>255</v>
      </c>
      <c r="T1938" s="11" t="s">
        <v>239</v>
      </c>
      <c r="U1938" s="5" t="s">
        <v>240</v>
      </c>
      <c r="V1938" s="11" t="s">
        <v>324</v>
      </c>
      <c r="W1938" s="5" t="s">
        <v>205</v>
      </c>
      <c r="X1938" s="5" t="s">
        <v>255</v>
      </c>
      <c r="Y1938" s="5"/>
      <c r="Z1938" s="5"/>
      <c r="AA1938" s="11" t="s">
        <v>167</v>
      </c>
      <c r="AB1938" s="5" t="s">
        <v>245</v>
      </c>
      <c r="AC1938" s="5"/>
      <c r="AD1938" s="11" t="s">
        <v>4747</v>
      </c>
      <c r="AE1938" s="23" t="n">
        <v>0.4</v>
      </c>
      <c r="AF1938" s="23" t="n">
        <v>0</v>
      </c>
      <c r="AG1938" s="23" t="n">
        <v>1</v>
      </c>
      <c r="AH1938" s="23" t="n">
        <v>0.47</v>
      </c>
      <c r="AI1938" s="23" t="n">
        <v>1</v>
      </c>
      <c r="AJ1938" s="23" t="n">
        <v>0.5168</v>
      </c>
      <c r="AK1938" s="23" t="n">
        <v>0.5</v>
      </c>
      <c r="AL1938" s="23" t="n">
        <v>0.3</v>
      </c>
      <c r="AM1938" s="16" t="n">
        <f aca="false">COUNTIFS($D$2:$D$2501,D1938,$G$2:$G$2501,"&gt;"&amp;G1938)+COUNTIFS($D$2:D1938,D1938,$G$2:G1938,G1938)</f>
        <v>246</v>
      </c>
      <c r="AN1938" s="5" t="str">
        <f aca="false">D1938&amp;"|"&amp;AM1938</f>
        <v>文件與影像辨識|246</v>
      </c>
    </row>
    <row r="1939" customFormat="false" ht="17.15" hidden="false" customHeight="false" outlineLevel="0" collapsed="false">
      <c r="A1939" s="16" t="n">
        <f aca="false">RANK(G1939,$G$2:$G$2501)+COUNTIF($G$2:G1939,G1939)-1</f>
        <v>1938</v>
      </c>
      <c r="B1939" s="11" t="s">
        <v>4748</v>
      </c>
      <c r="C1939" s="11" t="s">
        <v>3459</v>
      </c>
      <c r="D1939" s="5" t="s">
        <v>54</v>
      </c>
      <c r="E1939" s="5" t="s">
        <v>55</v>
      </c>
      <c r="F1939" s="5"/>
      <c r="G1939" s="22" t="n">
        <f aca="false">ROUND(SUM(I1939:P1939),3)</f>
        <v>53.19</v>
      </c>
      <c r="H1939" s="5" t="str">
        <f aca="false">IF(G1939&gt;=評分方法!$C$16,"優先評估",IF(G1939&gt;=評分方法!$C$17,"列入候選",IF(G1939&gt;=評分方法!$C$18,"特定情境","不建議")))</f>
        <v>不建議</v>
      </c>
      <c r="I1939" s="15" t="n">
        <f aca="false">AE1939*評分方法!$C$5</f>
        <v>27</v>
      </c>
      <c r="J1939" s="15" t="n">
        <f aca="false">AF1939*評分方法!$C$6</f>
        <v>0</v>
      </c>
      <c r="K1939" s="15" t="n">
        <f aca="false">AG1939*評分方法!$C$7</f>
        <v>4.95</v>
      </c>
      <c r="L1939" s="15" t="n">
        <f aca="false">AH1939*評分方法!$C$8</f>
        <v>15</v>
      </c>
      <c r="M1939" s="15" t="n">
        <f aca="false">AI1939*評分方法!$C$9</f>
        <v>2</v>
      </c>
      <c r="N1939" s="15" t="n">
        <f aca="false">AJ1939*評分方法!$C$10</f>
        <v>1.74</v>
      </c>
      <c r="O1939" s="15" t="n">
        <f aca="false">AK1939*評分方法!$C$11</f>
        <v>1</v>
      </c>
      <c r="P1939" s="15" t="n">
        <f aca="false">AL1939*評分方法!$C$12</f>
        <v>1.5</v>
      </c>
      <c r="Q1939" s="6" t="n">
        <v>192960</v>
      </c>
      <c r="R1939" s="6" t="n">
        <v>4385920</v>
      </c>
      <c r="S1939" s="11" t="s">
        <v>238</v>
      </c>
      <c r="T1939" s="5"/>
      <c r="U1939" s="5" t="s">
        <v>375</v>
      </c>
      <c r="V1939" s="11" t="s">
        <v>324</v>
      </c>
      <c r="W1939" s="5" t="s">
        <v>334</v>
      </c>
      <c r="X1939" s="5" t="s">
        <v>255</v>
      </c>
      <c r="Y1939" s="5"/>
      <c r="Z1939" s="5"/>
      <c r="AA1939" s="11" t="s">
        <v>152</v>
      </c>
      <c r="AB1939" s="5" t="s">
        <v>245</v>
      </c>
      <c r="AC1939" s="5" t="s">
        <v>262</v>
      </c>
      <c r="AD1939" s="11" t="s">
        <v>4749</v>
      </c>
      <c r="AE1939" s="23" t="n">
        <v>0.9</v>
      </c>
      <c r="AF1939" s="23" t="n">
        <v>0</v>
      </c>
      <c r="AG1939" s="23" t="n">
        <v>0.33</v>
      </c>
      <c r="AH1939" s="23" t="n">
        <v>1</v>
      </c>
      <c r="AI1939" s="23" t="n">
        <v>0.2</v>
      </c>
      <c r="AJ1939" s="23" t="n">
        <v>0.174</v>
      </c>
      <c r="AK1939" s="23" t="n">
        <v>0.2</v>
      </c>
      <c r="AL1939" s="23" t="n">
        <v>0.3</v>
      </c>
      <c r="AM1939" s="16" t="n">
        <f aca="false">COUNTIFS($D$2:$D$2501,D1939,$G$2:$G$2501,"&gt;"&amp;G1939)+COUNTIFS($D$2:D1939,D1939,$G$2:G1939,G1939)</f>
        <v>235</v>
      </c>
      <c r="AN1939" s="5" t="str">
        <f aca="false">D1939&amp;"|"&amp;AM1939</f>
        <v>檢索與情資關聯|235</v>
      </c>
    </row>
    <row r="1940" customFormat="false" ht="17.15" hidden="false" customHeight="false" outlineLevel="0" collapsed="false">
      <c r="A1940" s="16" t="n">
        <f aca="false">RANK(G1940,$G$2:$G$2501)+COUNTIF($G$2:G1940,G1940)-1</f>
        <v>1939</v>
      </c>
      <c r="B1940" s="11" t="s">
        <v>4750</v>
      </c>
      <c r="C1940" s="11" t="s">
        <v>1111</v>
      </c>
      <c r="D1940" s="5" t="s">
        <v>56</v>
      </c>
      <c r="E1940" s="5" t="s">
        <v>57</v>
      </c>
      <c r="F1940" s="5"/>
      <c r="G1940" s="22" t="n">
        <f aca="false">ROUND(SUM(I1940:P1940),3)</f>
        <v>53.184</v>
      </c>
      <c r="H1940" s="5" t="str">
        <f aca="false">IF(G1940&gt;=評分方法!$C$16,"優先評估",IF(G1940&gt;=評分方法!$C$17,"列入候選",IF(G1940&gt;=評分方法!$C$18,"特定情境","不建議")))</f>
        <v>不建議</v>
      </c>
      <c r="I1940" s="15" t="n">
        <f aca="false">AE1940*評分方法!$C$5</f>
        <v>25.5</v>
      </c>
      <c r="J1940" s="15" t="n">
        <f aca="false">AF1940*評分方法!$C$6</f>
        <v>0</v>
      </c>
      <c r="K1940" s="15" t="n">
        <f aca="false">AG1940*評分方法!$C$7</f>
        <v>10.05</v>
      </c>
      <c r="L1940" s="15" t="n">
        <f aca="false">AH1940*評分方法!$C$8</f>
        <v>4.95</v>
      </c>
      <c r="M1940" s="15" t="n">
        <f aca="false">AI1940*評分方法!$C$9</f>
        <v>6</v>
      </c>
      <c r="N1940" s="15" t="n">
        <f aca="false">AJ1940*評分方法!$C$10</f>
        <v>4.184</v>
      </c>
      <c r="O1940" s="15" t="n">
        <f aca="false">AK1940*評分方法!$C$11</f>
        <v>2.5</v>
      </c>
      <c r="P1940" s="15" t="n">
        <f aca="false">AL1940*評分方法!$C$12</f>
        <v>0</v>
      </c>
      <c r="Q1940" s="6" t="n">
        <v>452336</v>
      </c>
      <c r="R1940" s="6" t="n">
        <v>70553706496</v>
      </c>
      <c r="S1940" s="11" t="s">
        <v>1876</v>
      </c>
      <c r="T1940" s="11" t="s">
        <v>259</v>
      </c>
      <c r="U1940" s="5" t="s">
        <v>260</v>
      </c>
      <c r="V1940" s="11" t="s">
        <v>261</v>
      </c>
      <c r="W1940" s="5" t="s">
        <v>207</v>
      </c>
      <c r="X1940" s="5" t="s">
        <v>242</v>
      </c>
      <c r="Y1940" s="11" t="s">
        <v>3078</v>
      </c>
      <c r="Z1940" s="11" t="s">
        <v>244</v>
      </c>
      <c r="AA1940" s="11" t="s">
        <v>155</v>
      </c>
      <c r="AB1940" s="5" t="s">
        <v>245</v>
      </c>
      <c r="AC1940" s="5" t="s">
        <v>464</v>
      </c>
      <c r="AD1940" s="11" t="s">
        <v>4751</v>
      </c>
      <c r="AE1940" s="23" t="n">
        <v>0.85</v>
      </c>
      <c r="AF1940" s="23" t="n">
        <v>0</v>
      </c>
      <c r="AG1940" s="23" t="n">
        <v>0.67</v>
      </c>
      <c r="AH1940" s="23" t="n">
        <v>0.33</v>
      </c>
      <c r="AI1940" s="23" t="n">
        <v>0.6</v>
      </c>
      <c r="AJ1940" s="23" t="n">
        <v>0.4184</v>
      </c>
      <c r="AK1940" s="23" t="n">
        <v>0.5</v>
      </c>
      <c r="AL1940" s="23" t="n">
        <v>0</v>
      </c>
      <c r="AM1940" s="16" t="n">
        <f aca="false">COUNTIFS($D$2:$D$2501,D1940,$G$2:$G$2501,"&gt;"&amp;G1940)+COUNTIFS($D$2:D1940,D1940,$G$2:G1940,G1940)</f>
        <v>893</v>
      </c>
      <c r="AN1940" s="5" t="str">
        <f aca="false">D1940&amp;"|"&amp;AM1940</f>
        <v>分析與報告生成|893</v>
      </c>
    </row>
    <row r="1941" customFormat="false" ht="17.15" hidden="false" customHeight="false" outlineLevel="0" collapsed="false">
      <c r="A1941" s="16" t="n">
        <f aca="false">RANK(G1941,$G$2:$G$2501)+COUNTIF($G$2:G1941,G1941)-1</f>
        <v>1940</v>
      </c>
      <c r="B1941" s="11" t="s">
        <v>4752</v>
      </c>
      <c r="C1941" s="11" t="s">
        <v>2619</v>
      </c>
      <c r="D1941" s="5" t="s">
        <v>56</v>
      </c>
      <c r="E1941" s="5" t="s">
        <v>57</v>
      </c>
      <c r="F1941" s="5"/>
      <c r="G1941" s="22" t="n">
        <f aca="false">ROUND(SUM(I1941:P1941),3)</f>
        <v>53.166</v>
      </c>
      <c r="H1941" s="5" t="str">
        <f aca="false">IF(G1941&gt;=評分方法!$C$16,"優先評估",IF(G1941&gt;=評分方法!$C$17,"列入候選",IF(G1941&gt;=評分方法!$C$18,"特定情境","不建議")))</f>
        <v>不建議</v>
      </c>
      <c r="I1941" s="15" t="n">
        <f aca="false">AE1941*評分方法!$C$5</f>
        <v>25.5</v>
      </c>
      <c r="J1941" s="15" t="n">
        <f aca="false">AF1941*評分方法!$C$6</f>
        <v>0</v>
      </c>
      <c r="K1941" s="15" t="n">
        <f aca="false">AG1941*評分方法!$C$7</f>
        <v>4.95</v>
      </c>
      <c r="L1941" s="15" t="n">
        <f aca="false">AH1941*評分方法!$C$8</f>
        <v>9</v>
      </c>
      <c r="M1941" s="15" t="n">
        <f aca="false">AI1941*評分方法!$C$9</f>
        <v>6</v>
      </c>
      <c r="N1941" s="15" t="n">
        <f aca="false">AJ1941*評分方法!$C$10</f>
        <v>0.716</v>
      </c>
      <c r="O1941" s="15" t="n">
        <f aca="false">AK1941*評分方法!$C$11</f>
        <v>4</v>
      </c>
      <c r="P1941" s="15" t="n">
        <f aca="false">AL1941*評分方法!$C$12</f>
        <v>3</v>
      </c>
      <c r="Q1941" s="6" t="n">
        <v>142645</v>
      </c>
      <c r="R1941" s="6" t="n">
        <v>28842036848</v>
      </c>
      <c r="S1941" s="11" t="s">
        <v>389</v>
      </c>
      <c r="T1941" s="11" t="s">
        <v>658</v>
      </c>
      <c r="U1941" s="5" t="s">
        <v>260</v>
      </c>
      <c r="V1941" s="11" t="s">
        <v>261</v>
      </c>
      <c r="W1941" s="5" t="s">
        <v>334</v>
      </c>
      <c r="X1941" s="5" t="s">
        <v>371</v>
      </c>
      <c r="Y1941" s="5"/>
      <c r="Z1941" s="5"/>
      <c r="AA1941" s="11" t="s">
        <v>156</v>
      </c>
      <c r="AB1941" s="5" t="s">
        <v>245</v>
      </c>
      <c r="AC1941" s="5" t="s">
        <v>262</v>
      </c>
      <c r="AD1941" s="11" t="s">
        <v>4753</v>
      </c>
      <c r="AE1941" s="23" t="n">
        <v>0.85</v>
      </c>
      <c r="AF1941" s="23" t="n">
        <v>0</v>
      </c>
      <c r="AG1941" s="23" t="n">
        <v>0.33</v>
      </c>
      <c r="AH1941" s="23" t="n">
        <v>0.6</v>
      </c>
      <c r="AI1941" s="23" t="n">
        <v>0.6</v>
      </c>
      <c r="AJ1941" s="23" t="n">
        <v>0.0716</v>
      </c>
      <c r="AK1941" s="23" t="n">
        <v>0.8</v>
      </c>
      <c r="AL1941" s="23" t="n">
        <v>0.6</v>
      </c>
      <c r="AM1941" s="16" t="n">
        <f aca="false">COUNTIFS($D$2:$D$2501,D1941,$G$2:$G$2501,"&gt;"&amp;G1941)+COUNTIFS($D$2:D1941,D1941,$G$2:G1941,G1941)</f>
        <v>894</v>
      </c>
      <c r="AN1941" s="5" t="str">
        <f aca="false">D1941&amp;"|"&amp;AM1941</f>
        <v>分析與報告生成|894</v>
      </c>
    </row>
    <row r="1942" customFormat="false" ht="17.15" hidden="false" customHeight="false" outlineLevel="0" collapsed="false">
      <c r="A1942" s="16" t="n">
        <f aca="false">RANK(G1942,$G$2:$G$2501)+COUNTIF($G$2:G1942,G1942)-1</f>
        <v>1941</v>
      </c>
      <c r="B1942" s="11" t="s">
        <v>4754</v>
      </c>
      <c r="C1942" s="11" t="s">
        <v>1677</v>
      </c>
      <c r="D1942" s="5" t="s">
        <v>54</v>
      </c>
      <c r="E1942" s="5" t="s">
        <v>55</v>
      </c>
      <c r="F1942" s="5"/>
      <c r="G1942" s="22" t="n">
        <f aca="false">ROUND(SUM(I1942:P1942),3)</f>
        <v>53.148</v>
      </c>
      <c r="H1942" s="5" t="str">
        <f aca="false">IF(G1942&gt;=評分方法!$C$16,"優先評估",IF(G1942&gt;=評分方法!$C$17,"列入候選",IF(G1942&gt;=評分方法!$C$18,"特定情境","不建議")))</f>
        <v>不建議</v>
      </c>
      <c r="I1942" s="15" t="n">
        <f aca="false">AE1942*評分方法!$C$5</f>
        <v>27</v>
      </c>
      <c r="J1942" s="15" t="n">
        <f aca="false">AF1942*評分方法!$C$6</f>
        <v>0</v>
      </c>
      <c r="K1942" s="15" t="n">
        <f aca="false">AG1942*評分方法!$C$7</f>
        <v>10.05</v>
      </c>
      <c r="L1942" s="15" t="n">
        <f aca="false">AH1942*評分方法!$C$8</f>
        <v>7.05</v>
      </c>
      <c r="M1942" s="15" t="n">
        <f aca="false">AI1942*評分方法!$C$9</f>
        <v>2</v>
      </c>
      <c r="N1942" s="15" t="n">
        <f aca="false">AJ1942*評分方法!$C$10</f>
        <v>3.048</v>
      </c>
      <c r="O1942" s="15" t="n">
        <f aca="false">AK1942*評分方法!$C$11</f>
        <v>2.5</v>
      </c>
      <c r="P1942" s="15" t="n">
        <f aca="false">AL1942*評分方法!$C$12</f>
        <v>1.5</v>
      </c>
      <c r="Q1942" s="6" t="n">
        <v>298978</v>
      </c>
      <c r="R1942" s="6"/>
      <c r="S1942" s="5" t="s">
        <v>255</v>
      </c>
      <c r="T1942" s="5"/>
      <c r="U1942" s="5" t="s">
        <v>375</v>
      </c>
      <c r="V1942" s="11" t="s">
        <v>514</v>
      </c>
      <c r="W1942" s="5" t="s">
        <v>207</v>
      </c>
      <c r="X1942" s="5" t="s">
        <v>255</v>
      </c>
      <c r="Y1942" s="11" t="s">
        <v>296</v>
      </c>
      <c r="Z1942" s="11" t="s">
        <v>244</v>
      </c>
      <c r="AA1942" s="11" t="s">
        <v>153</v>
      </c>
      <c r="AB1942" s="5" t="s">
        <v>245</v>
      </c>
      <c r="AC1942" s="5" t="s">
        <v>464</v>
      </c>
      <c r="AD1942" s="11" t="s">
        <v>4755</v>
      </c>
      <c r="AE1942" s="23" t="n">
        <v>0.9</v>
      </c>
      <c r="AF1942" s="23" t="n">
        <v>0</v>
      </c>
      <c r="AG1942" s="23" t="n">
        <v>0.67</v>
      </c>
      <c r="AH1942" s="23" t="n">
        <v>0.47</v>
      </c>
      <c r="AI1942" s="23" t="n">
        <v>0.2</v>
      </c>
      <c r="AJ1942" s="23" t="n">
        <v>0.3048</v>
      </c>
      <c r="AK1942" s="23" t="n">
        <v>0.5</v>
      </c>
      <c r="AL1942" s="23" t="n">
        <v>0.3</v>
      </c>
      <c r="AM1942" s="16" t="n">
        <f aca="false">COUNTIFS($D$2:$D$2501,D1942,$G$2:$G$2501,"&gt;"&amp;G1942)+COUNTIFS($D$2:D1942,D1942,$G$2:G1942,G1942)</f>
        <v>236</v>
      </c>
      <c r="AN1942" s="5" t="str">
        <f aca="false">D1942&amp;"|"&amp;AM1942</f>
        <v>檢索與情資關聯|236</v>
      </c>
    </row>
    <row r="1943" customFormat="false" ht="17.15" hidden="false" customHeight="false" outlineLevel="0" collapsed="false">
      <c r="A1943" s="16" t="n">
        <f aca="false">RANK(G1943,$G$2:$G$2501)+COUNTIF($G$2:G1943,G1943)-1</f>
        <v>1942</v>
      </c>
      <c r="B1943" s="11" t="s">
        <v>4756</v>
      </c>
      <c r="C1943" s="11" t="s">
        <v>4757</v>
      </c>
      <c r="D1943" s="5" t="s">
        <v>56</v>
      </c>
      <c r="E1943" s="5" t="s">
        <v>57</v>
      </c>
      <c r="F1943" s="5"/>
      <c r="G1943" s="22" t="n">
        <f aca="false">ROUND(SUM(I1943:P1943),3)</f>
        <v>53.146</v>
      </c>
      <c r="H1943" s="5" t="str">
        <f aca="false">IF(G1943&gt;=評分方法!$C$16,"優先評估",IF(G1943&gt;=評分方法!$C$17,"列入候選",IF(G1943&gt;=評分方法!$C$18,"特定情境","不建議")))</f>
        <v>不建議</v>
      </c>
      <c r="I1943" s="15" t="n">
        <f aca="false">AE1943*評分方法!$C$5</f>
        <v>25.5</v>
      </c>
      <c r="J1943" s="15" t="n">
        <f aca="false">AF1943*評分方法!$C$6</f>
        <v>0</v>
      </c>
      <c r="K1943" s="15" t="n">
        <f aca="false">AG1943*評分方法!$C$7</f>
        <v>4.95</v>
      </c>
      <c r="L1943" s="15" t="n">
        <f aca="false">AH1943*評分方法!$C$8</f>
        <v>9</v>
      </c>
      <c r="M1943" s="15" t="n">
        <f aca="false">AI1943*評分方法!$C$9</f>
        <v>6</v>
      </c>
      <c r="N1943" s="15" t="n">
        <f aca="false">AJ1943*評分方法!$C$10</f>
        <v>0.696</v>
      </c>
      <c r="O1943" s="15" t="n">
        <f aca="false">AK1943*評分方法!$C$11</f>
        <v>4</v>
      </c>
      <c r="P1943" s="15" t="n">
        <f aca="false">AL1943*評分方法!$C$12</f>
        <v>3</v>
      </c>
      <c r="Q1943" s="6" t="n">
        <v>141946</v>
      </c>
      <c r="R1943" s="6" t="n">
        <v>18876174592</v>
      </c>
      <c r="S1943" s="11" t="s">
        <v>389</v>
      </c>
      <c r="T1943" s="11" t="s">
        <v>185</v>
      </c>
      <c r="U1943" s="5" t="s">
        <v>260</v>
      </c>
      <c r="V1943" s="11" t="s">
        <v>462</v>
      </c>
      <c r="W1943" s="5" t="s">
        <v>334</v>
      </c>
      <c r="X1943" s="5" t="s">
        <v>371</v>
      </c>
      <c r="Y1943" s="5"/>
      <c r="Z1943" s="5"/>
      <c r="AA1943" s="11" t="s">
        <v>155</v>
      </c>
      <c r="AB1943" s="5" t="s">
        <v>961</v>
      </c>
      <c r="AC1943" s="5" t="s">
        <v>1977</v>
      </c>
      <c r="AD1943" s="11" t="s">
        <v>4758</v>
      </c>
      <c r="AE1943" s="23" t="n">
        <v>0.85</v>
      </c>
      <c r="AF1943" s="23" t="n">
        <v>0</v>
      </c>
      <c r="AG1943" s="23" t="n">
        <v>0.33</v>
      </c>
      <c r="AH1943" s="23" t="n">
        <v>0.6</v>
      </c>
      <c r="AI1943" s="23" t="n">
        <v>0.6</v>
      </c>
      <c r="AJ1943" s="23" t="n">
        <v>0.0696</v>
      </c>
      <c r="AK1943" s="23" t="n">
        <v>0.8</v>
      </c>
      <c r="AL1943" s="23" t="n">
        <v>0.6</v>
      </c>
      <c r="AM1943" s="16" t="n">
        <f aca="false">COUNTIFS($D$2:$D$2501,D1943,$G$2:$G$2501,"&gt;"&amp;G1943)+COUNTIFS($D$2:D1943,D1943,$G$2:G1943,G1943)</f>
        <v>895</v>
      </c>
      <c r="AN1943" s="5" t="str">
        <f aca="false">D1943&amp;"|"&amp;AM1943</f>
        <v>分析與報告生成|895</v>
      </c>
    </row>
    <row r="1944" customFormat="false" ht="17.15" hidden="false" customHeight="false" outlineLevel="0" collapsed="false">
      <c r="A1944" s="16" t="n">
        <f aca="false">RANK(G1944,$G$2:$G$2501)+COUNTIF($G$2:G1944,G1944)-1</f>
        <v>1943</v>
      </c>
      <c r="B1944" s="11" t="s">
        <v>4759</v>
      </c>
      <c r="C1944" s="11" t="s">
        <v>4760</v>
      </c>
      <c r="D1944" s="5" t="s">
        <v>56</v>
      </c>
      <c r="E1944" s="5" t="s">
        <v>57</v>
      </c>
      <c r="F1944" s="5"/>
      <c r="G1944" s="22" t="n">
        <f aca="false">ROUND(SUM(I1944:P1944),3)</f>
        <v>53.126</v>
      </c>
      <c r="H1944" s="5" t="str">
        <f aca="false">IF(G1944&gt;=評分方法!$C$16,"優先評估",IF(G1944&gt;=評分方法!$C$17,"列入候選",IF(G1944&gt;=評分方法!$C$18,"特定情境","不建議")))</f>
        <v>不建議</v>
      </c>
      <c r="I1944" s="15" t="n">
        <f aca="false">AE1944*評分方法!$C$5</f>
        <v>25.5</v>
      </c>
      <c r="J1944" s="15" t="n">
        <f aca="false">AF1944*評分方法!$C$6</f>
        <v>0</v>
      </c>
      <c r="K1944" s="15" t="n">
        <f aca="false">AG1944*評分方法!$C$7</f>
        <v>4.95</v>
      </c>
      <c r="L1944" s="15" t="n">
        <f aca="false">AH1944*評分方法!$C$8</f>
        <v>9</v>
      </c>
      <c r="M1944" s="15" t="n">
        <f aca="false">AI1944*評分方法!$C$9</f>
        <v>2</v>
      </c>
      <c r="N1944" s="15" t="n">
        <f aca="false">AJ1944*評分方法!$C$10</f>
        <v>7.676</v>
      </c>
      <c r="O1944" s="15" t="n">
        <f aca="false">AK1944*評分方法!$C$11</f>
        <v>1</v>
      </c>
      <c r="P1944" s="15" t="n">
        <f aca="false">AL1944*評分方法!$C$12</f>
        <v>3</v>
      </c>
      <c r="Q1944" s="6" t="n">
        <v>1258006</v>
      </c>
      <c r="R1944" s="6" t="n">
        <v>12249584640</v>
      </c>
      <c r="S1944" s="11" t="s">
        <v>389</v>
      </c>
      <c r="T1944" s="5"/>
      <c r="U1944" s="5" t="s">
        <v>375</v>
      </c>
      <c r="V1944" s="11" t="s">
        <v>261</v>
      </c>
      <c r="W1944" s="5" t="s">
        <v>334</v>
      </c>
      <c r="X1944" s="5" t="s">
        <v>371</v>
      </c>
      <c r="Y1944" s="11" t="s">
        <v>4761</v>
      </c>
      <c r="Z1944" s="11" t="s">
        <v>270</v>
      </c>
      <c r="AA1944" s="11" t="s">
        <v>155</v>
      </c>
      <c r="AB1944" s="5" t="s">
        <v>496</v>
      </c>
      <c r="AC1944" s="5" t="s">
        <v>1330</v>
      </c>
      <c r="AD1944" s="11" t="s">
        <v>4762</v>
      </c>
      <c r="AE1944" s="23" t="n">
        <v>0.85</v>
      </c>
      <c r="AF1944" s="23" t="n">
        <v>0</v>
      </c>
      <c r="AG1944" s="23" t="n">
        <v>0.33</v>
      </c>
      <c r="AH1944" s="23" t="n">
        <v>0.6</v>
      </c>
      <c r="AI1944" s="23" t="n">
        <v>0.2</v>
      </c>
      <c r="AJ1944" s="23" t="n">
        <v>0.7676</v>
      </c>
      <c r="AK1944" s="23" t="n">
        <v>0.2</v>
      </c>
      <c r="AL1944" s="23" t="n">
        <v>0.6</v>
      </c>
      <c r="AM1944" s="16" t="n">
        <f aca="false">COUNTIFS($D$2:$D$2501,D1944,$G$2:$G$2501,"&gt;"&amp;G1944)+COUNTIFS($D$2:D1944,D1944,$G$2:G1944,G1944)</f>
        <v>896</v>
      </c>
      <c r="AN1944" s="5" t="str">
        <f aca="false">D1944&amp;"|"&amp;AM1944</f>
        <v>分析與報告生成|896</v>
      </c>
    </row>
    <row r="1945" customFormat="false" ht="17.15" hidden="false" customHeight="false" outlineLevel="0" collapsed="false">
      <c r="A1945" s="16" t="n">
        <f aca="false">RANK(G1945,$G$2:$G$2501)+COUNTIF($G$2:G1945,G1945)-1</f>
        <v>1944</v>
      </c>
      <c r="B1945" s="11" t="s">
        <v>4763</v>
      </c>
      <c r="C1945" s="11" t="s">
        <v>4764</v>
      </c>
      <c r="D1945" s="5" t="s">
        <v>54</v>
      </c>
      <c r="E1945" s="5" t="s">
        <v>55</v>
      </c>
      <c r="F1945" s="5"/>
      <c r="G1945" s="22" t="n">
        <f aca="false">ROUND(SUM(I1945:P1945),3)</f>
        <v>53.126</v>
      </c>
      <c r="H1945" s="5" t="str">
        <f aca="false">IF(G1945&gt;=評分方法!$C$16,"優先評估",IF(G1945&gt;=評分方法!$C$17,"列入候選",IF(G1945&gt;=評分方法!$C$18,"特定情境","不建議")))</f>
        <v>不建議</v>
      </c>
      <c r="I1945" s="15" t="n">
        <f aca="false">AE1945*評分方法!$C$5</f>
        <v>27</v>
      </c>
      <c r="J1945" s="15" t="n">
        <f aca="false">AF1945*評分方法!$C$6</f>
        <v>0</v>
      </c>
      <c r="K1945" s="15" t="n">
        <f aca="false">AG1945*評分方法!$C$7</f>
        <v>4.95</v>
      </c>
      <c r="L1945" s="15" t="n">
        <f aca="false">AH1945*評分方法!$C$8</f>
        <v>15</v>
      </c>
      <c r="M1945" s="15" t="n">
        <f aca="false">AI1945*評分方法!$C$9</f>
        <v>2</v>
      </c>
      <c r="N1945" s="15" t="n">
        <f aca="false">AJ1945*評分方法!$C$10</f>
        <v>1.676</v>
      </c>
      <c r="O1945" s="15" t="n">
        <f aca="false">AK1945*評分方法!$C$11</f>
        <v>1</v>
      </c>
      <c r="P1945" s="15" t="n">
        <f aca="false">AL1945*評分方法!$C$12</f>
        <v>1.5</v>
      </c>
      <c r="Q1945" s="6" t="n">
        <v>189753</v>
      </c>
      <c r="R1945" s="6" t="n">
        <v>109486464</v>
      </c>
      <c r="S1945" s="11" t="s">
        <v>238</v>
      </c>
      <c r="T1945" s="5"/>
      <c r="U1945" s="5" t="s">
        <v>375</v>
      </c>
      <c r="V1945" s="11" t="s">
        <v>261</v>
      </c>
      <c r="W1945" s="5" t="s">
        <v>334</v>
      </c>
      <c r="X1945" s="5" t="s">
        <v>255</v>
      </c>
      <c r="Y1945" s="11" t="s">
        <v>441</v>
      </c>
      <c r="Z1945" s="11" t="s">
        <v>270</v>
      </c>
      <c r="AA1945" s="11" t="s">
        <v>152</v>
      </c>
      <c r="AB1945" s="5" t="s">
        <v>245</v>
      </c>
      <c r="AC1945" s="5" t="s">
        <v>262</v>
      </c>
      <c r="AD1945" s="11" t="s">
        <v>4765</v>
      </c>
      <c r="AE1945" s="23" t="n">
        <v>0.9</v>
      </c>
      <c r="AF1945" s="23" t="n">
        <v>0</v>
      </c>
      <c r="AG1945" s="23" t="n">
        <v>0.33</v>
      </c>
      <c r="AH1945" s="23" t="n">
        <v>1</v>
      </c>
      <c r="AI1945" s="23" t="n">
        <v>0.2</v>
      </c>
      <c r="AJ1945" s="23" t="n">
        <v>0.1676</v>
      </c>
      <c r="AK1945" s="23" t="n">
        <v>0.2</v>
      </c>
      <c r="AL1945" s="23" t="n">
        <v>0.3</v>
      </c>
      <c r="AM1945" s="16" t="n">
        <f aca="false">COUNTIFS($D$2:$D$2501,D1945,$G$2:$G$2501,"&gt;"&amp;G1945)+COUNTIFS($D$2:D1945,D1945,$G$2:G1945,G1945)</f>
        <v>237</v>
      </c>
      <c r="AN1945" s="5" t="str">
        <f aca="false">D1945&amp;"|"&amp;AM1945</f>
        <v>檢索與情資關聯|237</v>
      </c>
    </row>
    <row r="1946" customFormat="false" ht="17.15" hidden="false" customHeight="false" outlineLevel="0" collapsed="false">
      <c r="A1946" s="16" t="n">
        <f aca="false">RANK(G1946,$G$2:$G$2501)+COUNTIF($G$2:G1946,G1946)-1</f>
        <v>1945</v>
      </c>
      <c r="B1946" s="11" t="s">
        <v>4766</v>
      </c>
      <c r="C1946" s="11" t="s">
        <v>4767</v>
      </c>
      <c r="D1946" s="5" t="s">
        <v>58</v>
      </c>
      <c r="E1946" s="5" t="s">
        <v>59</v>
      </c>
      <c r="F1946" s="5"/>
      <c r="G1946" s="22" t="n">
        <f aca="false">ROUND(SUM(I1946:P1946),3)</f>
        <v>53.114</v>
      </c>
      <c r="H1946" s="5" t="str">
        <f aca="false">IF(G1946&gt;=評分方法!$C$16,"優先評估",IF(G1946&gt;=評分方法!$C$17,"列入候選",IF(G1946&gt;=評分方法!$C$18,"特定情境","不建議")))</f>
        <v>不建議</v>
      </c>
      <c r="I1946" s="15" t="n">
        <f aca="false">AE1946*評分方法!$C$5</f>
        <v>17.1</v>
      </c>
      <c r="J1946" s="15" t="n">
        <f aca="false">AF1946*評分方法!$C$6</f>
        <v>0</v>
      </c>
      <c r="K1946" s="15" t="n">
        <f aca="false">AG1946*評分方法!$C$7</f>
        <v>4.95</v>
      </c>
      <c r="L1946" s="15" t="n">
        <f aca="false">AH1946*評分方法!$C$8</f>
        <v>15</v>
      </c>
      <c r="M1946" s="15" t="n">
        <f aca="false">AI1946*評分方法!$C$9</f>
        <v>10</v>
      </c>
      <c r="N1946" s="15" t="n">
        <f aca="false">AJ1946*評分方法!$C$10</f>
        <v>5.064</v>
      </c>
      <c r="O1946" s="15" t="n">
        <f aca="false">AK1946*評分方法!$C$11</f>
        <v>1</v>
      </c>
      <c r="P1946" s="15" t="n">
        <f aca="false">AL1946*評分方法!$C$12</f>
        <v>0</v>
      </c>
      <c r="Q1946" s="6" t="n">
        <v>545501</v>
      </c>
      <c r="R1946" s="6" t="n">
        <v>104682020</v>
      </c>
      <c r="S1946" s="11" t="s">
        <v>238</v>
      </c>
      <c r="T1946" s="11" t="s">
        <v>1636</v>
      </c>
      <c r="U1946" s="5" t="s">
        <v>240</v>
      </c>
      <c r="V1946" s="11" t="s">
        <v>324</v>
      </c>
      <c r="W1946" s="5" t="s">
        <v>334</v>
      </c>
      <c r="X1946" s="5" t="s">
        <v>242</v>
      </c>
      <c r="Y1946" s="5"/>
      <c r="Z1946" s="5"/>
      <c r="AA1946" s="11" t="s">
        <v>150</v>
      </c>
      <c r="AB1946" s="5" t="s">
        <v>245</v>
      </c>
      <c r="AC1946" s="5" t="s">
        <v>1463</v>
      </c>
      <c r="AD1946" s="11" t="s">
        <v>4768</v>
      </c>
      <c r="AE1946" s="23" t="n">
        <v>0.57</v>
      </c>
      <c r="AF1946" s="23" t="n">
        <v>0</v>
      </c>
      <c r="AG1946" s="23" t="n">
        <v>0.33</v>
      </c>
      <c r="AH1946" s="23" t="n">
        <v>1</v>
      </c>
      <c r="AI1946" s="23" t="n">
        <v>1</v>
      </c>
      <c r="AJ1946" s="23" t="n">
        <v>0.5064</v>
      </c>
      <c r="AK1946" s="23" t="n">
        <v>0.2</v>
      </c>
      <c r="AL1946" s="23" t="n">
        <v>0</v>
      </c>
      <c r="AM1946" s="16" t="n">
        <f aca="false">COUNTIFS($D$2:$D$2501,D1946,$G$2:$G$2501,"&gt;"&amp;G1946)+COUNTIFS($D$2:D1946,D1946,$G$2:G1946,G1946)</f>
        <v>299</v>
      </c>
      <c r="AN1946" s="5" t="str">
        <f aca="false">D1946&amp;"|"&amp;AM1946</f>
        <v>實體擷取與去識別化|299</v>
      </c>
    </row>
    <row r="1947" customFormat="false" ht="17.15" hidden="false" customHeight="false" outlineLevel="0" collapsed="false">
      <c r="A1947" s="16" t="n">
        <f aca="false">RANK(G1947,$G$2:$G$2501)+COUNTIF($G$2:G1947,G1947)-1</f>
        <v>1946</v>
      </c>
      <c r="B1947" s="11" t="s">
        <v>4769</v>
      </c>
      <c r="C1947" s="11" t="s">
        <v>4770</v>
      </c>
      <c r="D1947" s="5" t="s">
        <v>70</v>
      </c>
      <c r="E1947" s="5" t="s">
        <v>71</v>
      </c>
      <c r="F1947" s="5" t="s">
        <v>70</v>
      </c>
      <c r="G1947" s="22" t="n">
        <f aca="false">ROUND(SUM(I1947:P1947),3)</f>
        <v>53.106</v>
      </c>
      <c r="H1947" s="5" t="str">
        <f aca="false">IF(G1947&gt;=評分方法!$C$16,"優先評估",IF(G1947&gt;=評分方法!$C$17,"列入候選",IF(G1947&gt;=評分方法!$C$18,"特定情境","不建議")))</f>
        <v>不建議</v>
      </c>
      <c r="I1947" s="15" t="n">
        <f aca="false">AE1947*評分方法!$C$5</f>
        <v>10.5</v>
      </c>
      <c r="J1947" s="15" t="n">
        <f aca="false">AF1947*評分方法!$C$6</f>
        <v>5</v>
      </c>
      <c r="K1947" s="15" t="n">
        <f aca="false">AG1947*評分方法!$C$7</f>
        <v>4.95</v>
      </c>
      <c r="L1947" s="15" t="n">
        <f aca="false">AH1947*評分方法!$C$8</f>
        <v>15</v>
      </c>
      <c r="M1947" s="15" t="n">
        <f aca="false">AI1947*評分方法!$C$9</f>
        <v>10</v>
      </c>
      <c r="N1947" s="15" t="n">
        <f aca="false">AJ1947*評分方法!$C$10</f>
        <v>5.156</v>
      </c>
      <c r="O1947" s="15" t="n">
        <f aca="false">AK1947*評分方法!$C$11</f>
        <v>2.5</v>
      </c>
      <c r="P1947" s="15" t="n">
        <f aca="false">AL1947*評分方法!$C$12</f>
        <v>0</v>
      </c>
      <c r="Q1947" s="6" t="n">
        <v>548728</v>
      </c>
      <c r="R1947" s="6" t="n">
        <v>85800194</v>
      </c>
      <c r="S1947" s="11" t="s">
        <v>238</v>
      </c>
      <c r="T1947" s="11" t="s">
        <v>239</v>
      </c>
      <c r="U1947" s="5" t="s">
        <v>240</v>
      </c>
      <c r="V1947" s="11" t="s">
        <v>324</v>
      </c>
      <c r="W1947" s="5" t="s">
        <v>334</v>
      </c>
      <c r="X1947" s="5" t="s">
        <v>242</v>
      </c>
      <c r="Y1947" s="5"/>
      <c r="Z1947" s="5"/>
      <c r="AA1947" s="11" t="s">
        <v>172</v>
      </c>
      <c r="AB1947" s="5" t="s">
        <v>245</v>
      </c>
      <c r="AC1947" s="5"/>
      <c r="AD1947" s="11" t="s">
        <v>4771</v>
      </c>
      <c r="AE1947" s="23" t="n">
        <v>0.35</v>
      </c>
      <c r="AF1947" s="23" t="n">
        <v>0.5</v>
      </c>
      <c r="AG1947" s="23" t="n">
        <v>0.33</v>
      </c>
      <c r="AH1947" s="23" t="n">
        <v>1</v>
      </c>
      <c r="AI1947" s="23" t="n">
        <v>1</v>
      </c>
      <c r="AJ1947" s="23" t="n">
        <v>0.5156</v>
      </c>
      <c r="AK1947" s="23" t="n">
        <v>0.5</v>
      </c>
      <c r="AL1947" s="23" t="n">
        <v>0</v>
      </c>
      <c r="AM1947" s="16" t="n">
        <f aca="false">COUNTIFS($D$2:$D$2501,D1947,$G$2:$G$2501,"&gt;"&amp;G1947)+COUNTIFS($D$2:D1947,D1947,$G$2:G1947,G1947)</f>
        <v>11</v>
      </c>
      <c r="AN1947" s="5" t="str">
        <f aca="false">D1947&amp;"|"&amp;AM1947</f>
        <v>內容安全審查|11</v>
      </c>
    </row>
    <row r="1948" customFormat="false" ht="17.15" hidden="false" customHeight="false" outlineLevel="0" collapsed="false">
      <c r="A1948" s="16" t="n">
        <f aca="false">RANK(G1948,$G$2:$G$2501)+COUNTIF($G$2:G1948,G1948)-1</f>
        <v>1947</v>
      </c>
      <c r="B1948" s="11" t="s">
        <v>4772</v>
      </c>
      <c r="C1948" s="11" t="s">
        <v>2309</v>
      </c>
      <c r="D1948" s="5" t="s">
        <v>74</v>
      </c>
      <c r="E1948" s="5" t="s">
        <v>75</v>
      </c>
      <c r="F1948" s="5"/>
      <c r="G1948" s="22" t="n">
        <f aca="false">ROUND(SUM(I1948:P1948),3)</f>
        <v>53.094</v>
      </c>
      <c r="H1948" s="5" t="str">
        <f aca="false">IF(G1948&gt;=評分方法!$C$16,"優先評估",IF(G1948&gt;=評分方法!$C$17,"列入候選",IF(G1948&gt;=評分方法!$C$18,"特定情境","不建議")))</f>
        <v>不建議</v>
      </c>
      <c r="I1948" s="15" t="n">
        <f aca="false">AE1948*評分方法!$C$5</f>
        <v>12</v>
      </c>
      <c r="J1948" s="15" t="n">
        <f aca="false">AF1948*評分方法!$C$6</f>
        <v>0</v>
      </c>
      <c r="K1948" s="15" t="n">
        <f aca="false">AG1948*評分方法!$C$7</f>
        <v>15</v>
      </c>
      <c r="L1948" s="15" t="n">
        <f aca="false">AH1948*評分方法!$C$8</f>
        <v>7.05</v>
      </c>
      <c r="M1948" s="15" t="n">
        <f aca="false">AI1948*評分方法!$C$9</f>
        <v>10</v>
      </c>
      <c r="N1948" s="15" t="n">
        <f aca="false">AJ1948*評分方法!$C$10</f>
        <v>5.044</v>
      </c>
      <c r="O1948" s="15" t="n">
        <f aca="false">AK1948*評分方法!$C$11</f>
        <v>2.5</v>
      </c>
      <c r="P1948" s="15" t="n">
        <f aca="false">AL1948*評分方法!$C$12</f>
        <v>1.5</v>
      </c>
      <c r="Q1948" s="6" t="n">
        <v>544258</v>
      </c>
      <c r="R1948" s="6"/>
      <c r="S1948" s="5" t="s">
        <v>255</v>
      </c>
      <c r="T1948" s="11" t="s">
        <v>278</v>
      </c>
      <c r="U1948" s="5" t="s">
        <v>240</v>
      </c>
      <c r="V1948" s="11" t="s">
        <v>324</v>
      </c>
      <c r="W1948" s="5" t="s">
        <v>205</v>
      </c>
      <c r="X1948" s="5" t="s">
        <v>255</v>
      </c>
      <c r="Y1948" s="5"/>
      <c r="Z1948" s="5"/>
      <c r="AA1948" s="11" t="s">
        <v>167</v>
      </c>
      <c r="AB1948" s="5" t="s">
        <v>245</v>
      </c>
      <c r="AC1948" s="5"/>
      <c r="AD1948" s="11" t="s">
        <v>4773</v>
      </c>
      <c r="AE1948" s="23" t="n">
        <v>0.4</v>
      </c>
      <c r="AF1948" s="23" t="n">
        <v>0</v>
      </c>
      <c r="AG1948" s="23" t="n">
        <v>1</v>
      </c>
      <c r="AH1948" s="23" t="n">
        <v>0.47</v>
      </c>
      <c r="AI1948" s="23" t="n">
        <v>1</v>
      </c>
      <c r="AJ1948" s="23" t="n">
        <v>0.5044</v>
      </c>
      <c r="AK1948" s="23" t="n">
        <v>0.5</v>
      </c>
      <c r="AL1948" s="23" t="n">
        <v>0.3</v>
      </c>
      <c r="AM1948" s="16" t="n">
        <f aca="false">COUNTIFS($D$2:$D$2501,D1948,$G$2:$G$2501,"&gt;"&amp;G1948)+COUNTIFS($D$2:D1948,D1948,$G$2:G1948,G1948)</f>
        <v>247</v>
      </c>
      <c r="AN1948" s="5" t="str">
        <f aca="false">D1948&amp;"|"&amp;AM1948</f>
        <v>文件與影像辨識|247</v>
      </c>
    </row>
    <row r="1949" customFormat="false" ht="17.15" hidden="false" customHeight="false" outlineLevel="0" collapsed="false">
      <c r="A1949" s="16" t="n">
        <f aca="false">RANK(G1949,$G$2:$G$2501)+COUNTIF($G$2:G1949,G1949)-1</f>
        <v>1948</v>
      </c>
      <c r="B1949" s="11" t="s">
        <v>4774</v>
      </c>
      <c r="C1949" s="11" t="s">
        <v>4775</v>
      </c>
      <c r="D1949" s="5" t="s">
        <v>54</v>
      </c>
      <c r="E1949" s="5" t="s">
        <v>55</v>
      </c>
      <c r="F1949" s="5"/>
      <c r="G1949" s="22" t="n">
        <f aca="false">ROUND(SUM(I1949:P1949),3)</f>
        <v>52.988</v>
      </c>
      <c r="H1949" s="5" t="str">
        <f aca="false">IF(G1949&gt;=評分方法!$C$16,"優先評估",IF(G1949&gt;=評分方法!$C$17,"列入候選",IF(G1949&gt;=評分方法!$C$18,"特定情境","不建議")))</f>
        <v>不建議</v>
      </c>
      <c r="I1949" s="15" t="n">
        <f aca="false">AE1949*評分方法!$C$5</f>
        <v>27</v>
      </c>
      <c r="J1949" s="15" t="n">
        <f aca="false">AF1949*評分方法!$C$6</f>
        <v>0</v>
      </c>
      <c r="K1949" s="15" t="n">
        <f aca="false">AG1949*評分方法!$C$7</f>
        <v>4.95</v>
      </c>
      <c r="L1949" s="15" t="n">
        <f aca="false">AH1949*評分方法!$C$8</f>
        <v>13.05</v>
      </c>
      <c r="M1949" s="15" t="n">
        <f aca="false">AI1949*評分方法!$C$9</f>
        <v>2</v>
      </c>
      <c r="N1949" s="15" t="n">
        <f aca="false">AJ1949*評分方法!$C$10</f>
        <v>0.488</v>
      </c>
      <c r="O1949" s="15" t="n">
        <f aca="false">AK1949*評分方法!$C$11</f>
        <v>4</v>
      </c>
      <c r="P1949" s="15" t="n">
        <f aca="false">AL1949*評分方法!$C$12</f>
        <v>1.5</v>
      </c>
      <c r="Q1949" s="6" t="n">
        <v>132170</v>
      </c>
      <c r="R1949" s="6" t="n">
        <v>9243562496</v>
      </c>
      <c r="S1949" s="11" t="s">
        <v>254</v>
      </c>
      <c r="T1949" s="5"/>
      <c r="U1949" s="5" t="s">
        <v>375</v>
      </c>
      <c r="V1949" s="11" t="s">
        <v>261</v>
      </c>
      <c r="W1949" s="5" t="s">
        <v>334</v>
      </c>
      <c r="X1949" s="5" t="s">
        <v>255</v>
      </c>
      <c r="Y1949" s="5"/>
      <c r="Z1949" s="5"/>
      <c r="AA1949" s="11" t="s">
        <v>153</v>
      </c>
      <c r="AB1949" s="5" t="s">
        <v>245</v>
      </c>
      <c r="AC1949" s="5" t="s">
        <v>262</v>
      </c>
      <c r="AD1949" s="11" t="s">
        <v>4776</v>
      </c>
      <c r="AE1949" s="23" t="n">
        <v>0.9</v>
      </c>
      <c r="AF1949" s="23" t="n">
        <v>0</v>
      </c>
      <c r="AG1949" s="23" t="n">
        <v>0.33</v>
      </c>
      <c r="AH1949" s="23" t="n">
        <v>0.87</v>
      </c>
      <c r="AI1949" s="23" t="n">
        <v>0.2</v>
      </c>
      <c r="AJ1949" s="23" t="n">
        <v>0.0488</v>
      </c>
      <c r="AK1949" s="23" t="n">
        <v>0.8</v>
      </c>
      <c r="AL1949" s="23" t="n">
        <v>0.3</v>
      </c>
      <c r="AM1949" s="16" t="n">
        <f aca="false">COUNTIFS($D$2:$D$2501,D1949,$G$2:$G$2501,"&gt;"&amp;G1949)+COUNTIFS($D$2:D1949,D1949,$G$2:G1949,G1949)</f>
        <v>238</v>
      </c>
      <c r="AN1949" s="5" t="str">
        <f aca="false">D1949&amp;"|"&amp;AM1949</f>
        <v>檢索與情資關聯|238</v>
      </c>
    </row>
    <row r="1950" customFormat="false" ht="17.15" hidden="false" customHeight="false" outlineLevel="0" collapsed="false">
      <c r="A1950" s="16" t="n">
        <f aca="false">RANK(G1950,$G$2:$G$2501)+COUNTIF($G$2:G1950,G1950)-1</f>
        <v>1949</v>
      </c>
      <c r="B1950" s="11" t="s">
        <v>4777</v>
      </c>
      <c r="C1950" s="11" t="s">
        <v>681</v>
      </c>
      <c r="D1950" s="5" t="s">
        <v>78</v>
      </c>
      <c r="E1950" s="5" t="s">
        <v>79</v>
      </c>
      <c r="F1950" s="5"/>
      <c r="G1950" s="22" t="n">
        <f aca="false">ROUND(SUM(I1950:P1950),3)</f>
        <v>52.976</v>
      </c>
      <c r="H1950" s="5" t="str">
        <f aca="false">IF(G1950&gt;=評分方法!$C$16,"優先評估",IF(G1950&gt;=評分方法!$C$17,"列入候選",IF(G1950&gt;=評分方法!$C$18,"特定情境","不建議")))</f>
        <v>不建議</v>
      </c>
      <c r="I1950" s="15" t="n">
        <f aca="false">AE1950*評分方法!$C$5</f>
        <v>10.5</v>
      </c>
      <c r="J1950" s="15" t="n">
        <f aca="false">AF1950*評分方法!$C$6</f>
        <v>0</v>
      </c>
      <c r="K1950" s="15" t="n">
        <f aca="false">AG1950*評分方法!$C$7</f>
        <v>15</v>
      </c>
      <c r="L1950" s="15" t="n">
        <f aca="false">AH1950*評分方法!$C$8</f>
        <v>15</v>
      </c>
      <c r="M1950" s="15" t="n">
        <f aca="false">AI1950*評分方法!$C$9</f>
        <v>2</v>
      </c>
      <c r="N1950" s="15" t="n">
        <f aca="false">AJ1950*評分方法!$C$10</f>
        <v>7.976</v>
      </c>
      <c r="O1950" s="15" t="n">
        <f aca="false">AK1950*評分方法!$C$11</f>
        <v>1</v>
      </c>
      <c r="P1950" s="15" t="n">
        <f aca="false">AL1950*評分方法!$C$12</f>
        <v>1.5</v>
      </c>
      <c r="Q1950" s="6" t="n">
        <v>1532425</v>
      </c>
      <c r="R1950" s="6" t="n">
        <v>23273218</v>
      </c>
      <c r="S1950" s="11" t="s">
        <v>238</v>
      </c>
      <c r="T1950" s="5"/>
      <c r="U1950" s="5" t="s">
        <v>375</v>
      </c>
      <c r="V1950" s="11" t="s">
        <v>324</v>
      </c>
      <c r="W1950" s="5" t="s">
        <v>205</v>
      </c>
      <c r="X1950" s="5" t="s">
        <v>255</v>
      </c>
      <c r="Y1950" s="5"/>
      <c r="Z1950" s="5"/>
      <c r="AA1950" s="11" t="s">
        <v>174</v>
      </c>
      <c r="AB1950" s="5" t="s">
        <v>245</v>
      </c>
      <c r="AC1950" s="5" t="s">
        <v>262</v>
      </c>
      <c r="AD1950" s="11" t="s">
        <v>4778</v>
      </c>
      <c r="AE1950" s="23" t="n">
        <v>0.35</v>
      </c>
      <c r="AF1950" s="23" t="n">
        <v>0</v>
      </c>
      <c r="AG1950" s="23" t="n">
        <v>1</v>
      </c>
      <c r="AH1950" s="23" t="n">
        <v>1</v>
      </c>
      <c r="AI1950" s="23" t="n">
        <v>0.2</v>
      </c>
      <c r="AJ1950" s="23" t="n">
        <v>0.7976</v>
      </c>
      <c r="AK1950" s="23" t="n">
        <v>0.2</v>
      </c>
      <c r="AL1950" s="23" t="n">
        <v>0.3</v>
      </c>
      <c r="AM1950" s="16" t="n">
        <f aca="false">COUNTIFS($D$2:$D$2501,D1950,$G$2:$G$2501,"&gt;"&amp;G1950)+COUNTIFS($D$2:D1950,D1950,$G$2:G1950,G1950)</f>
        <v>51</v>
      </c>
      <c r="AN1950" s="5" t="str">
        <f aca="false">D1950&amp;"|"&amp;AM1950</f>
        <v>語音分析|51</v>
      </c>
    </row>
    <row r="1951" customFormat="false" ht="17.15" hidden="false" customHeight="false" outlineLevel="0" collapsed="false">
      <c r="A1951" s="16" t="n">
        <f aca="false">RANK(G1951,$G$2:$G$2501)+COUNTIF($G$2:G1951,G1951)-1</f>
        <v>1950</v>
      </c>
      <c r="B1951" s="11" t="s">
        <v>4779</v>
      </c>
      <c r="C1951" s="11" t="s">
        <v>2693</v>
      </c>
      <c r="D1951" s="5" t="s">
        <v>74</v>
      </c>
      <c r="E1951" s="5" t="s">
        <v>75</v>
      </c>
      <c r="F1951" s="5"/>
      <c r="G1951" s="22" t="n">
        <f aca="false">ROUND(SUM(I1951:P1951),3)</f>
        <v>52.924</v>
      </c>
      <c r="H1951" s="5" t="str">
        <f aca="false">IF(G1951&gt;=評分方法!$C$16,"優先評估",IF(G1951&gt;=評分方法!$C$17,"列入候選",IF(G1951&gt;=評分方法!$C$18,"特定情境","不建議")))</f>
        <v>不建議</v>
      </c>
      <c r="I1951" s="15" t="n">
        <f aca="false">AE1951*評分方法!$C$5</f>
        <v>10.5</v>
      </c>
      <c r="J1951" s="15" t="n">
        <f aca="false">AF1951*評分方法!$C$6</f>
        <v>0</v>
      </c>
      <c r="K1951" s="15" t="n">
        <f aca="false">AG1951*評分方法!$C$7</f>
        <v>15</v>
      </c>
      <c r="L1951" s="15" t="n">
        <f aca="false">AH1951*評分方法!$C$8</f>
        <v>15</v>
      </c>
      <c r="M1951" s="15" t="n">
        <f aca="false">AI1951*評分方法!$C$9</f>
        <v>6</v>
      </c>
      <c r="N1951" s="15" t="n">
        <f aca="false">AJ1951*評分方法!$C$10</f>
        <v>2.424</v>
      </c>
      <c r="O1951" s="15" t="n">
        <f aca="false">AK1951*評分方法!$C$11</f>
        <v>2.5</v>
      </c>
      <c r="P1951" s="15" t="n">
        <f aca="false">AL1951*評分方法!$C$12</f>
        <v>1.5</v>
      </c>
      <c r="Q1951" s="6" t="n">
        <v>244702</v>
      </c>
      <c r="R1951" s="6" t="n">
        <v>5590888</v>
      </c>
      <c r="S1951" s="11" t="s">
        <v>238</v>
      </c>
      <c r="T1951" s="11" t="s">
        <v>185</v>
      </c>
      <c r="U1951" s="5" t="s">
        <v>260</v>
      </c>
      <c r="V1951" s="11" t="s">
        <v>324</v>
      </c>
      <c r="W1951" s="5" t="s">
        <v>205</v>
      </c>
      <c r="X1951" s="5" t="s">
        <v>255</v>
      </c>
      <c r="Y1951" s="5"/>
      <c r="Z1951" s="5"/>
      <c r="AA1951" s="11" t="s">
        <v>172</v>
      </c>
      <c r="AB1951" s="5" t="s">
        <v>245</v>
      </c>
      <c r="AC1951" s="5" t="s">
        <v>262</v>
      </c>
      <c r="AD1951" s="11" t="s">
        <v>4780</v>
      </c>
      <c r="AE1951" s="23" t="n">
        <v>0.35</v>
      </c>
      <c r="AF1951" s="23" t="n">
        <v>0</v>
      </c>
      <c r="AG1951" s="23" t="n">
        <v>1</v>
      </c>
      <c r="AH1951" s="23" t="n">
        <v>1</v>
      </c>
      <c r="AI1951" s="23" t="n">
        <v>0.6</v>
      </c>
      <c r="AJ1951" s="23" t="n">
        <v>0.2424</v>
      </c>
      <c r="AK1951" s="23" t="n">
        <v>0.5</v>
      </c>
      <c r="AL1951" s="23" t="n">
        <v>0.3</v>
      </c>
      <c r="AM1951" s="16" t="n">
        <f aca="false">COUNTIFS($D$2:$D$2501,D1951,$G$2:$G$2501,"&gt;"&amp;G1951)+COUNTIFS($D$2:D1951,D1951,$G$2:G1951,G1951)</f>
        <v>248</v>
      </c>
      <c r="AN1951" s="5" t="str">
        <f aca="false">D1951&amp;"|"&amp;AM1951</f>
        <v>文件與影像辨識|248</v>
      </c>
    </row>
    <row r="1952" customFormat="false" ht="17.15" hidden="false" customHeight="false" outlineLevel="0" collapsed="false">
      <c r="A1952" s="16" t="n">
        <f aca="false">RANK(G1952,$G$2:$G$2501)+COUNTIF($G$2:G1952,G1952)-1</f>
        <v>1951</v>
      </c>
      <c r="B1952" s="11" t="s">
        <v>4781</v>
      </c>
      <c r="C1952" s="11" t="s">
        <v>4782</v>
      </c>
      <c r="D1952" s="5" t="s">
        <v>56</v>
      </c>
      <c r="E1952" s="5" t="s">
        <v>57</v>
      </c>
      <c r="F1952" s="5"/>
      <c r="G1952" s="22" t="n">
        <f aca="false">ROUND(SUM(I1952:P1952),3)</f>
        <v>52.924</v>
      </c>
      <c r="H1952" s="5" t="str">
        <f aca="false">IF(G1952&gt;=評分方法!$C$16,"優先評估",IF(G1952&gt;=評分方法!$C$17,"列入候選",IF(G1952&gt;=評分方法!$C$18,"特定情境","不建議")))</f>
        <v>不建議</v>
      </c>
      <c r="I1952" s="15" t="n">
        <f aca="false">AE1952*評分方法!$C$5</f>
        <v>25.5</v>
      </c>
      <c r="J1952" s="15" t="n">
        <f aca="false">AF1952*評分方法!$C$6</f>
        <v>0</v>
      </c>
      <c r="K1952" s="15" t="n">
        <f aca="false">AG1952*評分方法!$C$7</f>
        <v>4.95</v>
      </c>
      <c r="L1952" s="15" t="n">
        <f aca="false">AH1952*評分方法!$C$8</f>
        <v>13.05</v>
      </c>
      <c r="M1952" s="15" t="n">
        <f aca="false">AI1952*評分方法!$C$9</f>
        <v>2</v>
      </c>
      <c r="N1952" s="15" t="n">
        <f aca="false">AJ1952*評分方法!$C$10</f>
        <v>0.424</v>
      </c>
      <c r="O1952" s="15" t="n">
        <f aca="false">AK1952*評分方法!$C$11</f>
        <v>4</v>
      </c>
      <c r="P1952" s="15" t="n">
        <f aca="false">AL1952*評分方法!$C$12</f>
        <v>3</v>
      </c>
      <c r="Q1952" s="6" t="n">
        <v>129122</v>
      </c>
      <c r="R1952" s="6" t="n">
        <v>8953803264</v>
      </c>
      <c r="S1952" s="11" t="s">
        <v>254</v>
      </c>
      <c r="T1952" s="5"/>
      <c r="U1952" s="5" t="s">
        <v>375</v>
      </c>
      <c r="V1952" s="11" t="s">
        <v>333</v>
      </c>
      <c r="W1952" s="5" t="s">
        <v>334</v>
      </c>
      <c r="X1952" s="5" t="s">
        <v>371</v>
      </c>
      <c r="Y1952" s="5"/>
      <c r="Z1952" s="5"/>
      <c r="AA1952" s="11" t="s">
        <v>155</v>
      </c>
      <c r="AB1952" s="5" t="s">
        <v>961</v>
      </c>
      <c r="AC1952" s="5" t="s">
        <v>1977</v>
      </c>
      <c r="AD1952" s="11" t="s">
        <v>4783</v>
      </c>
      <c r="AE1952" s="23" t="n">
        <v>0.85</v>
      </c>
      <c r="AF1952" s="23" t="n">
        <v>0</v>
      </c>
      <c r="AG1952" s="23" t="n">
        <v>0.33</v>
      </c>
      <c r="AH1952" s="23" t="n">
        <v>0.87</v>
      </c>
      <c r="AI1952" s="23" t="n">
        <v>0.2</v>
      </c>
      <c r="AJ1952" s="23" t="n">
        <v>0.0424</v>
      </c>
      <c r="AK1952" s="23" t="n">
        <v>0.8</v>
      </c>
      <c r="AL1952" s="23" t="n">
        <v>0.6</v>
      </c>
      <c r="AM1952" s="16" t="n">
        <f aca="false">COUNTIFS($D$2:$D$2501,D1952,$G$2:$G$2501,"&gt;"&amp;G1952)+COUNTIFS($D$2:D1952,D1952,$G$2:G1952,G1952)</f>
        <v>897</v>
      </c>
      <c r="AN1952" s="5" t="str">
        <f aca="false">D1952&amp;"|"&amp;AM1952</f>
        <v>分析與報告生成|897</v>
      </c>
    </row>
    <row r="1953" customFormat="false" ht="17.15" hidden="false" customHeight="false" outlineLevel="0" collapsed="false">
      <c r="A1953" s="16" t="n">
        <f aca="false">RANK(G1953,$G$2:$G$2501)+COUNTIF($G$2:G1953,G1953)-1</f>
        <v>1952</v>
      </c>
      <c r="B1953" s="11" t="s">
        <v>4784</v>
      </c>
      <c r="C1953" s="11" t="s">
        <v>4785</v>
      </c>
      <c r="D1953" s="5" t="s">
        <v>54</v>
      </c>
      <c r="E1953" s="5" t="s">
        <v>55</v>
      </c>
      <c r="F1953" s="5"/>
      <c r="G1953" s="22" t="n">
        <f aca="false">ROUND(SUM(I1953:P1953),3)</f>
        <v>52.91</v>
      </c>
      <c r="H1953" s="5" t="str">
        <f aca="false">IF(G1953&gt;=評分方法!$C$16,"優先評估",IF(G1953&gt;=評分方法!$C$17,"列入候選",IF(G1953&gt;=評分方法!$C$18,"特定情境","不建議")))</f>
        <v>不建議</v>
      </c>
      <c r="I1953" s="15" t="n">
        <f aca="false">AE1953*評分方法!$C$5</f>
        <v>16.2</v>
      </c>
      <c r="J1953" s="15" t="n">
        <f aca="false">AF1953*評分方法!$C$6</f>
        <v>0</v>
      </c>
      <c r="K1953" s="15" t="n">
        <f aca="false">AG1953*評分方法!$C$7</f>
        <v>4.95</v>
      </c>
      <c r="L1953" s="15" t="n">
        <f aca="false">AH1953*評分方法!$C$8</f>
        <v>15</v>
      </c>
      <c r="M1953" s="15" t="n">
        <f aca="false">AI1953*評分方法!$C$9</f>
        <v>10</v>
      </c>
      <c r="N1953" s="15" t="n">
        <f aca="false">AJ1953*評分方法!$C$10</f>
        <v>5.76</v>
      </c>
      <c r="O1953" s="15" t="n">
        <f aca="false">AK1953*評分方法!$C$11</f>
        <v>1</v>
      </c>
      <c r="P1953" s="15" t="n">
        <f aca="false">AL1953*評分方法!$C$12</f>
        <v>0</v>
      </c>
      <c r="Q1953" s="6" t="n">
        <v>594302</v>
      </c>
      <c r="R1953" s="6" t="n">
        <v>133067008</v>
      </c>
      <c r="S1953" s="11" t="s">
        <v>238</v>
      </c>
      <c r="T1953" s="11" t="s">
        <v>239</v>
      </c>
      <c r="U1953" s="5" t="s">
        <v>240</v>
      </c>
      <c r="V1953" s="11" t="s">
        <v>261</v>
      </c>
      <c r="W1953" s="5" t="s">
        <v>334</v>
      </c>
      <c r="X1953" s="5" t="s">
        <v>242</v>
      </c>
      <c r="Y1953" s="11" t="s">
        <v>4786</v>
      </c>
      <c r="Z1953" s="11" t="s">
        <v>270</v>
      </c>
      <c r="AA1953" s="11" t="s">
        <v>152</v>
      </c>
      <c r="AB1953" s="5" t="s">
        <v>245</v>
      </c>
      <c r="AC1953" s="5" t="s">
        <v>1463</v>
      </c>
      <c r="AD1953" s="11" t="s">
        <v>4787</v>
      </c>
      <c r="AE1953" s="23" t="n">
        <v>0.54</v>
      </c>
      <c r="AF1953" s="23" t="n">
        <v>0</v>
      </c>
      <c r="AG1953" s="23" t="n">
        <v>0.33</v>
      </c>
      <c r="AH1953" s="23" t="n">
        <v>1</v>
      </c>
      <c r="AI1953" s="23" t="n">
        <v>1</v>
      </c>
      <c r="AJ1953" s="23" t="n">
        <v>0.576</v>
      </c>
      <c r="AK1953" s="23" t="n">
        <v>0.2</v>
      </c>
      <c r="AL1953" s="23" t="n">
        <v>0</v>
      </c>
      <c r="AM1953" s="16" t="n">
        <f aca="false">COUNTIFS($D$2:$D$2501,D1953,$G$2:$G$2501,"&gt;"&amp;G1953)+COUNTIFS($D$2:D1953,D1953,$G$2:G1953,G1953)</f>
        <v>239</v>
      </c>
      <c r="AN1953" s="5" t="str">
        <f aca="false">D1953&amp;"|"&amp;AM1953</f>
        <v>檢索與情資關聯|239</v>
      </c>
    </row>
    <row r="1954" customFormat="false" ht="17.15" hidden="false" customHeight="false" outlineLevel="0" collapsed="false">
      <c r="A1954" s="16" t="n">
        <f aca="false">RANK(G1954,$G$2:$G$2501)+COUNTIF($G$2:G1954,G1954)-1</f>
        <v>1953</v>
      </c>
      <c r="B1954" s="11" t="s">
        <v>4788</v>
      </c>
      <c r="C1954" s="11" t="s">
        <v>4789</v>
      </c>
      <c r="D1954" s="5" t="s">
        <v>56</v>
      </c>
      <c r="E1954" s="5" t="s">
        <v>57</v>
      </c>
      <c r="F1954" s="5"/>
      <c r="G1954" s="22" t="n">
        <f aca="false">ROUND(SUM(I1954:P1954),3)</f>
        <v>52.888</v>
      </c>
      <c r="H1954" s="5" t="str">
        <f aca="false">IF(G1954&gt;=評分方法!$C$16,"優先評估",IF(G1954&gt;=評分方法!$C$17,"列入候選",IF(G1954&gt;=評分方法!$C$18,"特定情境","不建議")))</f>
        <v>不建議</v>
      </c>
      <c r="I1954" s="15" t="n">
        <f aca="false">AE1954*評分方法!$C$5</f>
        <v>25.5</v>
      </c>
      <c r="J1954" s="15" t="n">
        <f aca="false">AF1954*評分方法!$C$6</f>
        <v>0</v>
      </c>
      <c r="K1954" s="15" t="n">
        <f aca="false">AG1954*評分方法!$C$7</f>
        <v>4.95</v>
      </c>
      <c r="L1954" s="15" t="n">
        <f aca="false">AH1954*評分方法!$C$8</f>
        <v>13.05</v>
      </c>
      <c r="M1954" s="15" t="n">
        <f aca="false">AI1954*評分方法!$C$9</f>
        <v>6</v>
      </c>
      <c r="N1954" s="15" t="n">
        <f aca="false">AJ1954*評分方法!$C$10</f>
        <v>0.888</v>
      </c>
      <c r="O1954" s="15" t="n">
        <f aca="false">AK1954*評分方法!$C$11</f>
        <v>2.5</v>
      </c>
      <c r="P1954" s="15" t="n">
        <f aca="false">AL1954*評分方法!$C$12</f>
        <v>0</v>
      </c>
      <c r="Q1954" s="6" t="n">
        <v>149628</v>
      </c>
      <c r="R1954" s="6" t="n">
        <v>8030261248</v>
      </c>
      <c r="S1954" s="11" t="s">
        <v>254</v>
      </c>
      <c r="T1954" s="11" t="s">
        <v>4790</v>
      </c>
      <c r="U1954" s="5" t="s">
        <v>260</v>
      </c>
      <c r="V1954" s="11" t="s">
        <v>261</v>
      </c>
      <c r="W1954" s="5" t="s">
        <v>334</v>
      </c>
      <c r="X1954" s="5" t="s">
        <v>242</v>
      </c>
      <c r="Y1954" s="11" t="s">
        <v>4791</v>
      </c>
      <c r="Z1954" s="11" t="s">
        <v>270</v>
      </c>
      <c r="AA1954" s="11" t="s">
        <v>155</v>
      </c>
      <c r="AB1954" s="5" t="s">
        <v>245</v>
      </c>
      <c r="AC1954" s="5" t="s">
        <v>262</v>
      </c>
      <c r="AD1954" s="11" t="s">
        <v>4792</v>
      </c>
      <c r="AE1954" s="23" t="n">
        <v>0.85</v>
      </c>
      <c r="AF1954" s="23" t="n">
        <v>0</v>
      </c>
      <c r="AG1954" s="23" t="n">
        <v>0.33</v>
      </c>
      <c r="AH1954" s="23" t="n">
        <v>0.87</v>
      </c>
      <c r="AI1954" s="23" t="n">
        <v>0.6</v>
      </c>
      <c r="AJ1954" s="23" t="n">
        <v>0.0888</v>
      </c>
      <c r="AK1954" s="23" t="n">
        <v>0.5</v>
      </c>
      <c r="AL1954" s="23" t="n">
        <v>0</v>
      </c>
      <c r="AM1954" s="16" t="n">
        <f aca="false">COUNTIFS($D$2:$D$2501,D1954,$G$2:$G$2501,"&gt;"&amp;G1954)+COUNTIFS($D$2:D1954,D1954,$G$2:G1954,G1954)</f>
        <v>898</v>
      </c>
      <c r="AN1954" s="5" t="str">
        <f aca="false">D1954&amp;"|"&amp;AM1954</f>
        <v>分析與報告生成|898</v>
      </c>
    </row>
    <row r="1955" customFormat="false" ht="17.15" hidden="false" customHeight="false" outlineLevel="0" collapsed="false">
      <c r="A1955" s="16" t="n">
        <f aca="false">RANK(G1955,$G$2:$G$2501)+COUNTIF($G$2:G1955,G1955)-1</f>
        <v>1954</v>
      </c>
      <c r="B1955" s="11" t="s">
        <v>4793</v>
      </c>
      <c r="C1955" s="11" t="s">
        <v>368</v>
      </c>
      <c r="D1955" s="5" t="s">
        <v>74</v>
      </c>
      <c r="E1955" s="5" t="s">
        <v>75</v>
      </c>
      <c r="F1955" s="5"/>
      <c r="G1955" s="22" t="n">
        <f aca="false">ROUND(SUM(I1955:P1955),3)</f>
        <v>52.884</v>
      </c>
      <c r="H1955" s="5" t="str">
        <f aca="false">IF(G1955&gt;=評分方法!$C$16,"優先評估",IF(G1955&gt;=評分方法!$C$17,"列入候選",IF(G1955&gt;=評分方法!$C$18,"特定情境","不建議")))</f>
        <v>不建議</v>
      </c>
      <c r="I1955" s="15" t="n">
        <f aca="false">AE1955*評分方法!$C$5</f>
        <v>12</v>
      </c>
      <c r="J1955" s="15" t="n">
        <f aca="false">AF1955*評分方法!$C$6</f>
        <v>0</v>
      </c>
      <c r="K1955" s="15" t="n">
        <f aca="false">AG1955*評分方法!$C$7</f>
        <v>15</v>
      </c>
      <c r="L1955" s="15" t="n">
        <f aca="false">AH1955*評分方法!$C$8</f>
        <v>15</v>
      </c>
      <c r="M1955" s="15" t="n">
        <f aca="false">AI1955*評分方法!$C$9</f>
        <v>6</v>
      </c>
      <c r="N1955" s="15" t="n">
        <f aca="false">AJ1955*評分方法!$C$10</f>
        <v>0.884</v>
      </c>
      <c r="O1955" s="15" t="n">
        <f aca="false">AK1955*評分方法!$C$11</f>
        <v>2.5</v>
      </c>
      <c r="P1955" s="15" t="n">
        <f aca="false">AL1955*評分方法!$C$12</f>
        <v>1.5</v>
      </c>
      <c r="Q1955" s="6" t="n">
        <v>149431</v>
      </c>
      <c r="R1955" s="6" t="n">
        <v>878300338</v>
      </c>
      <c r="S1955" s="11" t="s">
        <v>238</v>
      </c>
      <c r="T1955" s="11" t="s">
        <v>185</v>
      </c>
      <c r="U1955" s="5" t="s">
        <v>260</v>
      </c>
      <c r="V1955" s="11" t="s">
        <v>261</v>
      </c>
      <c r="W1955" s="5" t="s">
        <v>205</v>
      </c>
      <c r="X1955" s="5" t="s">
        <v>255</v>
      </c>
      <c r="Y1955" s="5"/>
      <c r="Z1955" s="5"/>
      <c r="AA1955" s="11" t="s">
        <v>167</v>
      </c>
      <c r="AB1955" s="5" t="s">
        <v>245</v>
      </c>
      <c r="AC1955" s="5" t="s">
        <v>262</v>
      </c>
      <c r="AD1955" s="11" t="s">
        <v>4794</v>
      </c>
      <c r="AE1955" s="23" t="n">
        <v>0.4</v>
      </c>
      <c r="AF1955" s="23" t="n">
        <v>0</v>
      </c>
      <c r="AG1955" s="23" t="n">
        <v>1</v>
      </c>
      <c r="AH1955" s="23" t="n">
        <v>1</v>
      </c>
      <c r="AI1955" s="23" t="n">
        <v>0.6</v>
      </c>
      <c r="AJ1955" s="23" t="n">
        <v>0.0884</v>
      </c>
      <c r="AK1955" s="23" t="n">
        <v>0.5</v>
      </c>
      <c r="AL1955" s="23" t="n">
        <v>0.3</v>
      </c>
      <c r="AM1955" s="16" t="n">
        <f aca="false">COUNTIFS($D$2:$D$2501,D1955,$G$2:$G$2501,"&gt;"&amp;G1955)+COUNTIFS($D$2:D1955,D1955,$G$2:G1955,G1955)</f>
        <v>249</v>
      </c>
      <c r="AN1955" s="5" t="str">
        <f aca="false">D1955&amp;"|"&amp;AM1955</f>
        <v>文件與影像辨識|249</v>
      </c>
    </row>
    <row r="1956" customFormat="false" ht="17.15" hidden="false" customHeight="false" outlineLevel="0" collapsed="false">
      <c r="A1956" s="16" t="n">
        <f aca="false">RANK(G1956,$G$2:$G$2501)+COUNTIF($G$2:G1956,G1956)-1</f>
        <v>1955</v>
      </c>
      <c r="B1956" s="11" t="s">
        <v>4795</v>
      </c>
      <c r="C1956" s="11" t="s">
        <v>327</v>
      </c>
      <c r="D1956" s="5" t="s">
        <v>78</v>
      </c>
      <c r="E1956" s="5" t="s">
        <v>79</v>
      </c>
      <c r="F1956" s="5"/>
      <c r="G1956" s="22" t="n">
        <f aca="false">ROUND(SUM(I1956:P1956),3)</f>
        <v>52.84</v>
      </c>
      <c r="H1956" s="5" t="str">
        <f aca="false">IF(G1956&gt;=評分方法!$C$16,"優先評估",IF(G1956&gt;=評分方法!$C$17,"列入候選",IF(G1956&gt;=評分方法!$C$18,"特定情境","不建議")))</f>
        <v>不建議</v>
      </c>
      <c r="I1956" s="15" t="n">
        <f aca="false">AE1956*評分方法!$C$5</f>
        <v>9</v>
      </c>
      <c r="J1956" s="15" t="n">
        <f aca="false">AF1956*評分方法!$C$6</f>
        <v>0</v>
      </c>
      <c r="K1956" s="15" t="n">
        <f aca="false">AG1956*評分方法!$C$7</f>
        <v>15</v>
      </c>
      <c r="L1956" s="15" t="n">
        <f aca="false">AH1956*評分方法!$C$8</f>
        <v>15</v>
      </c>
      <c r="M1956" s="15" t="n">
        <f aca="false">AI1956*評分方法!$C$9</f>
        <v>10</v>
      </c>
      <c r="N1956" s="15" t="n">
        <f aca="false">AJ1956*評分方法!$C$10</f>
        <v>1.34</v>
      </c>
      <c r="O1956" s="15" t="n">
        <f aca="false">AK1956*評分方法!$C$11</f>
        <v>2.5</v>
      </c>
      <c r="P1956" s="15" t="n">
        <f aca="false">AL1956*評分方法!$C$12</f>
        <v>0</v>
      </c>
      <c r="Q1956" s="6" t="n">
        <v>171105</v>
      </c>
      <c r="R1956" s="6" t="n">
        <v>608848897</v>
      </c>
      <c r="S1956" s="11" t="s">
        <v>238</v>
      </c>
      <c r="T1956" s="11" t="s">
        <v>1636</v>
      </c>
      <c r="U1956" s="5" t="s">
        <v>240</v>
      </c>
      <c r="V1956" s="11" t="s">
        <v>3693</v>
      </c>
      <c r="W1956" s="5" t="s">
        <v>205</v>
      </c>
      <c r="X1956" s="5" t="s">
        <v>242</v>
      </c>
      <c r="Y1956" s="5"/>
      <c r="Z1956" s="5"/>
      <c r="AA1956" s="11" t="s">
        <v>175</v>
      </c>
      <c r="AB1956" s="5" t="s">
        <v>245</v>
      </c>
      <c r="AC1956" s="5"/>
      <c r="AD1956" s="11" t="s">
        <v>4796</v>
      </c>
      <c r="AE1956" s="23" t="n">
        <v>0.3</v>
      </c>
      <c r="AF1956" s="23" t="n">
        <v>0</v>
      </c>
      <c r="AG1956" s="23" t="n">
        <v>1</v>
      </c>
      <c r="AH1956" s="23" t="n">
        <v>1</v>
      </c>
      <c r="AI1956" s="23" t="n">
        <v>1</v>
      </c>
      <c r="AJ1956" s="23" t="n">
        <v>0.134</v>
      </c>
      <c r="AK1956" s="23" t="n">
        <v>0.5</v>
      </c>
      <c r="AL1956" s="23" t="n">
        <v>0</v>
      </c>
      <c r="AM1956" s="16" t="n">
        <f aca="false">COUNTIFS($D$2:$D$2501,D1956,$G$2:$G$2501,"&gt;"&amp;G1956)+COUNTIFS($D$2:D1956,D1956,$G$2:G1956,G1956)</f>
        <v>52</v>
      </c>
      <c r="AN1956" s="5" t="str">
        <f aca="false">D1956&amp;"|"&amp;AM1956</f>
        <v>語音分析|52</v>
      </c>
    </row>
    <row r="1957" customFormat="false" ht="17.15" hidden="false" customHeight="false" outlineLevel="0" collapsed="false">
      <c r="A1957" s="16" t="n">
        <f aca="false">RANK(G1957,$G$2:$G$2501)+COUNTIF($G$2:G1957,G1957)-1</f>
        <v>1956</v>
      </c>
      <c r="B1957" s="11" t="s">
        <v>4797</v>
      </c>
      <c r="C1957" s="11" t="s">
        <v>4798</v>
      </c>
      <c r="D1957" s="5" t="s">
        <v>72</v>
      </c>
      <c r="E1957" s="5" t="s">
        <v>73</v>
      </c>
      <c r="F1957" s="5"/>
      <c r="G1957" s="22" t="n">
        <f aca="false">ROUND(SUM(I1957:P1957),3)</f>
        <v>52.838</v>
      </c>
      <c r="H1957" s="5" t="str">
        <f aca="false">IF(G1957&gt;=評分方法!$C$16,"優先評估",IF(G1957&gt;=評分方法!$C$17,"列入候選",IF(G1957&gt;=評分方法!$C$18,"特定情境","不建議")))</f>
        <v>不建議</v>
      </c>
      <c r="I1957" s="15" t="n">
        <f aca="false">AE1957*評分方法!$C$5</f>
        <v>15</v>
      </c>
      <c r="J1957" s="15" t="n">
        <f aca="false">AF1957*評分方法!$C$6</f>
        <v>0</v>
      </c>
      <c r="K1957" s="15" t="n">
        <f aca="false">AG1957*評分方法!$C$7</f>
        <v>4.95</v>
      </c>
      <c r="L1957" s="15" t="n">
        <f aca="false">AH1957*評分方法!$C$8</f>
        <v>15</v>
      </c>
      <c r="M1957" s="15" t="n">
        <f aca="false">AI1957*評分方法!$C$9</f>
        <v>10</v>
      </c>
      <c r="N1957" s="15" t="n">
        <f aca="false">AJ1957*評分方法!$C$10</f>
        <v>3.888</v>
      </c>
      <c r="O1957" s="15" t="n">
        <f aca="false">AK1957*評分方法!$C$11</f>
        <v>2.5</v>
      </c>
      <c r="P1957" s="15" t="n">
        <f aca="false">AL1957*評分方法!$C$12</f>
        <v>1.5</v>
      </c>
      <c r="Q1957" s="6" t="n">
        <v>401320</v>
      </c>
      <c r="R1957" s="6" t="n">
        <v>569010</v>
      </c>
      <c r="S1957" s="11" t="s">
        <v>238</v>
      </c>
      <c r="T1957" s="11" t="s">
        <v>278</v>
      </c>
      <c r="U1957" s="5" t="s">
        <v>240</v>
      </c>
      <c r="V1957" s="11" t="s">
        <v>261</v>
      </c>
      <c r="W1957" s="5" t="s">
        <v>334</v>
      </c>
      <c r="X1957" s="5" t="s">
        <v>255</v>
      </c>
      <c r="Y1957" s="5"/>
      <c r="Z1957" s="5"/>
      <c r="AA1957" s="11" t="s">
        <v>162</v>
      </c>
      <c r="AB1957" s="5" t="s">
        <v>328</v>
      </c>
      <c r="AC1957" s="5" t="s">
        <v>400</v>
      </c>
      <c r="AD1957" s="11" t="s">
        <v>4799</v>
      </c>
      <c r="AE1957" s="23" t="n">
        <v>0.5</v>
      </c>
      <c r="AF1957" s="23" t="n">
        <v>0</v>
      </c>
      <c r="AG1957" s="23" t="n">
        <v>0.33</v>
      </c>
      <c r="AH1957" s="23" t="n">
        <v>1</v>
      </c>
      <c r="AI1957" s="23" t="n">
        <v>1</v>
      </c>
      <c r="AJ1957" s="23" t="n">
        <v>0.3888</v>
      </c>
      <c r="AK1957" s="23" t="n">
        <v>0.5</v>
      </c>
      <c r="AL1957" s="23" t="n">
        <v>0.3</v>
      </c>
      <c r="AM1957" s="16" t="n">
        <f aca="false">COUNTIFS($D$2:$D$2501,D1957,$G$2:$G$2501,"&gt;"&amp;G1957)+COUNTIFS($D$2:D1957,D1957,$G$2:G1957,G1957)</f>
        <v>32</v>
      </c>
      <c r="AN1957" s="5" t="str">
        <f aca="false">D1957&amp;"|"&amp;AM1957</f>
        <v>微調基底模型|32</v>
      </c>
    </row>
    <row r="1958" customFormat="false" ht="17.15" hidden="false" customHeight="false" outlineLevel="0" collapsed="false">
      <c r="A1958" s="16" t="n">
        <f aca="false">RANK(G1958,$G$2:$G$2501)+COUNTIF($G$2:G1958,G1958)-1</f>
        <v>1957</v>
      </c>
      <c r="B1958" s="11" t="s">
        <v>4800</v>
      </c>
      <c r="C1958" s="11" t="s">
        <v>1635</v>
      </c>
      <c r="D1958" s="5" t="s">
        <v>72</v>
      </c>
      <c r="E1958" s="5" t="s">
        <v>73</v>
      </c>
      <c r="F1958" s="5"/>
      <c r="G1958" s="22" t="n">
        <f aca="false">ROUND(SUM(I1958:P1958),3)</f>
        <v>52.828</v>
      </c>
      <c r="H1958" s="5" t="str">
        <f aca="false">IF(G1958&gt;=評分方法!$C$16,"優先評估",IF(G1958&gt;=評分方法!$C$17,"列入候選",IF(G1958&gt;=評分方法!$C$18,"特定情境","不建議")))</f>
        <v>不建議</v>
      </c>
      <c r="I1958" s="15" t="n">
        <f aca="false">AE1958*評分方法!$C$5</f>
        <v>9</v>
      </c>
      <c r="J1958" s="15" t="n">
        <f aca="false">AF1958*評分方法!$C$6</f>
        <v>0</v>
      </c>
      <c r="K1958" s="15" t="n">
        <f aca="false">AG1958*評分方法!$C$7</f>
        <v>15</v>
      </c>
      <c r="L1958" s="15" t="n">
        <f aca="false">AH1958*評分方法!$C$8</f>
        <v>15</v>
      </c>
      <c r="M1958" s="15" t="n">
        <f aca="false">AI1958*評分方法!$C$9</f>
        <v>10</v>
      </c>
      <c r="N1958" s="15" t="n">
        <f aca="false">AJ1958*評分方法!$C$10</f>
        <v>2.828</v>
      </c>
      <c r="O1958" s="15" t="n">
        <f aca="false">AK1958*評分方法!$C$11</f>
        <v>1</v>
      </c>
      <c r="P1958" s="15" t="n">
        <f aca="false">AL1958*評分方法!$C$12</f>
        <v>0</v>
      </c>
      <c r="Q1958" s="6" t="n">
        <v>276069</v>
      </c>
      <c r="R1958" s="6" t="n">
        <v>110552448</v>
      </c>
      <c r="S1958" s="11" t="s">
        <v>238</v>
      </c>
      <c r="T1958" s="11" t="s">
        <v>278</v>
      </c>
      <c r="U1958" s="5" t="s">
        <v>240</v>
      </c>
      <c r="V1958" s="11" t="s">
        <v>855</v>
      </c>
      <c r="W1958" s="5" t="s">
        <v>205</v>
      </c>
      <c r="X1958" s="5" t="s">
        <v>242</v>
      </c>
      <c r="Y1958" s="5"/>
      <c r="Z1958" s="5"/>
      <c r="AA1958" s="11" t="s">
        <v>162</v>
      </c>
      <c r="AB1958" s="5" t="s">
        <v>245</v>
      </c>
      <c r="AC1958" s="5" t="s">
        <v>1463</v>
      </c>
      <c r="AD1958" s="11" t="s">
        <v>4801</v>
      </c>
      <c r="AE1958" s="23" t="n">
        <v>0.3</v>
      </c>
      <c r="AF1958" s="23" t="n">
        <v>0</v>
      </c>
      <c r="AG1958" s="23" t="n">
        <v>1</v>
      </c>
      <c r="AH1958" s="23" t="n">
        <v>1</v>
      </c>
      <c r="AI1958" s="23" t="n">
        <v>1</v>
      </c>
      <c r="AJ1958" s="23" t="n">
        <v>0.2828</v>
      </c>
      <c r="AK1958" s="23" t="n">
        <v>0.2</v>
      </c>
      <c r="AL1958" s="23" t="n">
        <v>0</v>
      </c>
      <c r="AM1958" s="16" t="n">
        <f aca="false">COUNTIFS($D$2:$D$2501,D1958,$G$2:$G$2501,"&gt;"&amp;G1958)+COUNTIFS($D$2:D1958,D1958,$G$2:G1958,G1958)</f>
        <v>33</v>
      </c>
      <c r="AN1958" s="5" t="str">
        <f aca="false">D1958&amp;"|"&amp;AM1958</f>
        <v>微調基底模型|33</v>
      </c>
    </row>
    <row r="1959" customFormat="false" ht="17.15" hidden="false" customHeight="false" outlineLevel="0" collapsed="false">
      <c r="A1959" s="16" t="n">
        <f aca="false">RANK(G1959,$G$2:$G$2501)+COUNTIF($G$2:G1959,G1959)-1</f>
        <v>1958</v>
      </c>
      <c r="B1959" s="11" t="s">
        <v>4802</v>
      </c>
      <c r="C1959" s="11" t="s">
        <v>4803</v>
      </c>
      <c r="D1959" s="5" t="s">
        <v>56</v>
      </c>
      <c r="E1959" s="5" t="s">
        <v>57</v>
      </c>
      <c r="F1959" s="5"/>
      <c r="G1959" s="22" t="n">
        <f aca="false">ROUND(SUM(I1959:P1959),3)</f>
        <v>52.812</v>
      </c>
      <c r="H1959" s="5" t="str">
        <f aca="false">IF(G1959&gt;=評分方法!$C$16,"優先評估",IF(G1959&gt;=評分方法!$C$17,"列入候選",IF(G1959&gt;=評分方法!$C$18,"特定情境","不建議")))</f>
        <v>不建議</v>
      </c>
      <c r="I1959" s="15" t="n">
        <f aca="false">AE1959*評分方法!$C$5</f>
        <v>25.5</v>
      </c>
      <c r="J1959" s="15" t="n">
        <f aca="false">AF1959*評分方法!$C$6</f>
        <v>0</v>
      </c>
      <c r="K1959" s="15" t="n">
        <f aca="false">AG1959*評分方法!$C$7</f>
        <v>4.95</v>
      </c>
      <c r="L1959" s="15" t="n">
        <f aca="false">AH1959*評分方法!$C$8</f>
        <v>13.05</v>
      </c>
      <c r="M1959" s="15" t="n">
        <f aca="false">AI1959*評分方法!$C$9</f>
        <v>6</v>
      </c>
      <c r="N1959" s="15" t="n">
        <f aca="false">AJ1959*評分方法!$C$10</f>
        <v>0.812</v>
      </c>
      <c r="O1959" s="15" t="n">
        <f aca="false">AK1959*評分方法!$C$11</f>
        <v>2.5</v>
      </c>
      <c r="P1959" s="15" t="n">
        <f aca="false">AL1959*評分方法!$C$12</f>
        <v>0</v>
      </c>
      <c r="Q1959" s="6" t="n">
        <v>146694</v>
      </c>
      <c r="R1959" s="6" t="n">
        <v>8030261248</v>
      </c>
      <c r="S1959" s="11" t="s">
        <v>254</v>
      </c>
      <c r="T1959" s="11" t="s">
        <v>1177</v>
      </c>
      <c r="U1959" s="5" t="s">
        <v>260</v>
      </c>
      <c r="V1959" s="11" t="s">
        <v>261</v>
      </c>
      <c r="W1959" s="5" t="s">
        <v>334</v>
      </c>
      <c r="X1959" s="5" t="s">
        <v>242</v>
      </c>
      <c r="Y1959" s="5"/>
      <c r="Z1959" s="5"/>
      <c r="AA1959" s="11" t="s">
        <v>155</v>
      </c>
      <c r="AB1959" s="5" t="s">
        <v>245</v>
      </c>
      <c r="AC1959" s="5" t="s">
        <v>262</v>
      </c>
      <c r="AD1959" s="11" t="s">
        <v>4804</v>
      </c>
      <c r="AE1959" s="23" t="n">
        <v>0.85</v>
      </c>
      <c r="AF1959" s="23" t="n">
        <v>0</v>
      </c>
      <c r="AG1959" s="23" t="n">
        <v>0.33</v>
      </c>
      <c r="AH1959" s="23" t="n">
        <v>0.87</v>
      </c>
      <c r="AI1959" s="23" t="n">
        <v>0.6</v>
      </c>
      <c r="AJ1959" s="23" t="n">
        <v>0.0812</v>
      </c>
      <c r="AK1959" s="23" t="n">
        <v>0.5</v>
      </c>
      <c r="AL1959" s="23" t="n">
        <v>0</v>
      </c>
      <c r="AM1959" s="16" t="n">
        <f aca="false">COUNTIFS($D$2:$D$2501,D1959,$G$2:$G$2501,"&gt;"&amp;G1959)+COUNTIFS($D$2:D1959,D1959,$G$2:G1959,G1959)</f>
        <v>899</v>
      </c>
      <c r="AN1959" s="5" t="str">
        <f aca="false">D1959&amp;"|"&amp;AM1959</f>
        <v>分析與報告生成|899</v>
      </c>
    </row>
    <row r="1960" customFormat="false" ht="17.15" hidden="false" customHeight="false" outlineLevel="0" collapsed="false">
      <c r="A1960" s="16" t="n">
        <f aca="false">RANK(G1960,$G$2:$G$2501)+COUNTIF($G$2:G1960,G1960)-1</f>
        <v>1959</v>
      </c>
      <c r="B1960" s="11" t="s">
        <v>4805</v>
      </c>
      <c r="C1960" s="11" t="s">
        <v>368</v>
      </c>
      <c r="D1960" s="5" t="s">
        <v>74</v>
      </c>
      <c r="E1960" s="5" t="s">
        <v>75</v>
      </c>
      <c r="F1960" s="5"/>
      <c r="G1960" s="22" t="n">
        <f aca="false">ROUND(SUM(I1960:P1960),3)</f>
        <v>52.712</v>
      </c>
      <c r="H1960" s="5" t="str">
        <f aca="false">IF(G1960&gt;=評分方法!$C$16,"優先評估",IF(G1960&gt;=評分方法!$C$17,"列入候選",IF(G1960&gt;=評分方法!$C$18,"特定情境","不建議")))</f>
        <v>不建議</v>
      </c>
      <c r="I1960" s="15" t="n">
        <f aca="false">AE1960*評分方法!$C$5</f>
        <v>10.5</v>
      </c>
      <c r="J1960" s="15" t="n">
        <f aca="false">AF1960*評分方法!$C$6</f>
        <v>0</v>
      </c>
      <c r="K1960" s="15" t="n">
        <f aca="false">AG1960*評分方法!$C$7</f>
        <v>15</v>
      </c>
      <c r="L1960" s="15" t="n">
        <f aca="false">AH1960*評分方法!$C$8</f>
        <v>15</v>
      </c>
      <c r="M1960" s="15" t="n">
        <f aca="false">AI1960*評分方法!$C$9</f>
        <v>6</v>
      </c>
      <c r="N1960" s="15" t="n">
        <f aca="false">AJ1960*評分方法!$C$10</f>
        <v>3.712</v>
      </c>
      <c r="O1960" s="15" t="n">
        <f aca="false">AK1960*評分方法!$C$11</f>
        <v>1</v>
      </c>
      <c r="P1960" s="15" t="n">
        <f aca="false">AL1960*評分方法!$C$12</f>
        <v>1.5</v>
      </c>
      <c r="Q1960" s="6" t="n">
        <v>376809</v>
      </c>
      <c r="R1960" s="6" t="n">
        <v>3540265</v>
      </c>
      <c r="S1960" s="11" t="s">
        <v>238</v>
      </c>
      <c r="T1960" s="11" t="s">
        <v>185</v>
      </c>
      <c r="U1960" s="5" t="s">
        <v>260</v>
      </c>
      <c r="V1960" s="11" t="s">
        <v>324</v>
      </c>
      <c r="W1960" s="5" t="s">
        <v>205</v>
      </c>
      <c r="X1960" s="5" t="s">
        <v>255</v>
      </c>
      <c r="Y1960" s="5"/>
      <c r="Z1960" s="5"/>
      <c r="AA1960" s="11" t="s">
        <v>172</v>
      </c>
      <c r="AB1960" s="5" t="s">
        <v>245</v>
      </c>
      <c r="AC1960" s="5" t="s">
        <v>262</v>
      </c>
      <c r="AD1960" s="11" t="s">
        <v>4806</v>
      </c>
      <c r="AE1960" s="23" t="n">
        <v>0.35</v>
      </c>
      <c r="AF1960" s="23" t="n">
        <v>0</v>
      </c>
      <c r="AG1960" s="23" t="n">
        <v>1</v>
      </c>
      <c r="AH1960" s="23" t="n">
        <v>1</v>
      </c>
      <c r="AI1960" s="23" t="n">
        <v>0.6</v>
      </c>
      <c r="AJ1960" s="23" t="n">
        <v>0.3712</v>
      </c>
      <c r="AK1960" s="23" t="n">
        <v>0.2</v>
      </c>
      <c r="AL1960" s="23" t="n">
        <v>0.3</v>
      </c>
      <c r="AM1960" s="16" t="n">
        <f aca="false">COUNTIFS($D$2:$D$2501,D1960,$G$2:$G$2501,"&gt;"&amp;G1960)+COUNTIFS($D$2:D1960,D1960,$G$2:G1960,G1960)</f>
        <v>250</v>
      </c>
      <c r="AN1960" s="5" t="str">
        <f aca="false">D1960&amp;"|"&amp;AM1960</f>
        <v>文件與影像辨識|250</v>
      </c>
    </row>
    <row r="1961" customFormat="false" ht="17.15" hidden="false" customHeight="false" outlineLevel="0" collapsed="false">
      <c r="A1961" s="16" t="n">
        <f aca="false">RANK(G1961,$G$2:$G$2501)+COUNTIF($G$2:G1961,G1961)-1</f>
        <v>1960</v>
      </c>
      <c r="B1961" s="11" t="s">
        <v>4807</v>
      </c>
      <c r="C1961" s="11" t="s">
        <v>4209</v>
      </c>
      <c r="D1961" s="5" t="s">
        <v>56</v>
      </c>
      <c r="E1961" s="5" t="s">
        <v>57</v>
      </c>
      <c r="F1961" s="5"/>
      <c r="G1961" s="22" t="n">
        <f aca="false">ROUND(SUM(I1961:P1961),3)</f>
        <v>52.704</v>
      </c>
      <c r="H1961" s="5" t="str">
        <f aca="false">IF(G1961&gt;=評分方法!$C$16,"優先評估",IF(G1961&gt;=評分方法!$C$17,"列入候選",IF(G1961&gt;=評分方法!$C$18,"特定情境","不建議")))</f>
        <v>不建議</v>
      </c>
      <c r="I1961" s="15" t="n">
        <f aca="false">AE1961*評分方法!$C$5</f>
        <v>25.5</v>
      </c>
      <c r="J1961" s="15" t="n">
        <f aca="false">AF1961*評分方法!$C$6</f>
        <v>0</v>
      </c>
      <c r="K1961" s="15" t="n">
        <f aca="false">AG1961*評分方法!$C$7</f>
        <v>4.95</v>
      </c>
      <c r="L1961" s="15" t="n">
        <f aca="false">AH1961*評分方法!$C$8</f>
        <v>4.95</v>
      </c>
      <c r="M1961" s="15" t="n">
        <f aca="false">AI1961*評分方法!$C$9</f>
        <v>6</v>
      </c>
      <c r="N1961" s="15" t="n">
        <f aca="false">AJ1961*評分方法!$C$10</f>
        <v>8.804</v>
      </c>
      <c r="O1961" s="15" t="n">
        <f aca="false">AK1961*評分方法!$C$11</f>
        <v>2.5</v>
      </c>
      <c r="P1961" s="15" t="n">
        <f aca="false">AL1961*評分方法!$C$12</f>
        <v>0</v>
      </c>
      <c r="Q1961" s="6" t="n">
        <v>3069284</v>
      </c>
      <c r="R1961" s="6" t="n">
        <v>70553706496</v>
      </c>
      <c r="S1961" s="11" t="s">
        <v>1876</v>
      </c>
      <c r="T1961" s="11" t="s">
        <v>2741</v>
      </c>
      <c r="U1961" s="5" t="s">
        <v>260</v>
      </c>
      <c r="V1961" s="11" t="s">
        <v>261</v>
      </c>
      <c r="W1961" s="5" t="s">
        <v>334</v>
      </c>
      <c r="X1961" s="5" t="s">
        <v>242</v>
      </c>
      <c r="Y1961" s="11" t="s">
        <v>3064</v>
      </c>
      <c r="Z1961" s="11" t="s">
        <v>244</v>
      </c>
      <c r="AA1961" s="11" t="s">
        <v>155</v>
      </c>
      <c r="AB1961" s="5" t="s">
        <v>245</v>
      </c>
      <c r="AC1961" s="5" t="s">
        <v>464</v>
      </c>
      <c r="AD1961" s="11" t="s">
        <v>4808</v>
      </c>
      <c r="AE1961" s="23" t="n">
        <v>0.85</v>
      </c>
      <c r="AF1961" s="23" t="n">
        <v>0</v>
      </c>
      <c r="AG1961" s="23" t="n">
        <v>0.33</v>
      </c>
      <c r="AH1961" s="23" t="n">
        <v>0.33</v>
      </c>
      <c r="AI1961" s="23" t="n">
        <v>0.6</v>
      </c>
      <c r="AJ1961" s="23" t="n">
        <v>0.8804</v>
      </c>
      <c r="AK1961" s="23" t="n">
        <v>0.5</v>
      </c>
      <c r="AL1961" s="23" t="n">
        <v>0</v>
      </c>
      <c r="AM1961" s="16" t="n">
        <f aca="false">COUNTIFS($D$2:$D$2501,D1961,$G$2:$G$2501,"&gt;"&amp;G1961)+COUNTIFS($D$2:D1961,D1961,$G$2:G1961,G1961)</f>
        <v>900</v>
      </c>
      <c r="AN1961" s="5" t="str">
        <f aca="false">D1961&amp;"|"&amp;AM1961</f>
        <v>分析與報告生成|900</v>
      </c>
    </row>
    <row r="1962" customFormat="false" ht="17.15" hidden="false" customHeight="false" outlineLevel="0" collapsed="false">
      <c r="A1962" s="16" t="n">
        <f aca="false">RANK(G1962,$G$2:$G$2501)+COUNTIF($G$2:G1962,G1962)-1</f>
        <v>1961</v>
      </c>
      <c r="B1962" s="11" t="s">
        <v>4809</v>
      </c>
      <c r="C1962" s="11" t="s">
        <v>4810</v>
      </c>
      <c r="D1962" s="5" t="s">
        <v>58</v>
      </c>
      <c r="E1962" s="5" t="s">
        <v>59</v>
      </c>
      <c r="F1962" s="5"/>
      <c r="G1962" s="22" t="n">
        <f aca="false">ROUND(SUM(I1962:P1962),3)</f>
        <v>52.69</v>
      </c>
      <c r="H1962" s="5" t="str">
        <f aca="false">IF(G1962&gt;=評分方法!$C$16,"優先評估",IF(G1962&gt;=評分方法!$C$17,"列入候選",IF(G1962&gt;=評分方法!$C$18,"特定情境","不建議")))</f>
        <v>不建議</v>
      </c>
      <c r="I1962" s="15" t="n">
        <f aca="false">AE1962*評分方法!$C$5</f>
        <v>17.1</v>
      </c>
      <c r="J1962" s="15" t="n">
        <f aca="false">AF1962*評分方法!$C$6</f>
        <v>0</v>
      </c>
      <c r="K1962" s="15" t="n">
        <f aca="false">AG1962*評分方法!$C$7</f>
        <v>4.95</v>
      </c>
      <c r="L1962" s="15" t="n">
        <f aca="false">AH1962*評分方法!$C$8</f>
        <v>15</v>
      </c>
      <c r="M1962" s="15" t="n">
        <f aca="false">AI1962*評分方法!$C$9</f>
        <v>10</v>
      </c>
      <c r="N1962" s="15" t="n">
        <f aca="false">AJ1962*評分方法!$C$10</f>
        <v>4.64</v>
      </c>
      <c r="O1962" s="15" t="n">
        <f aca="false">AK1962*評分方法!$C$11</f>
        <v>1</v>
      </c>
      <c r="P1962" s="15" t="n">
        <f aca="false">AL1962*評分方法!$C$12</f>
        <v>0</v>
      </c>
      <c r="Q1962" s="6" t="n">
        <v>507260</v>
      </c>
      <c r="R1962" s="6" t="n">
        <v>110032647</v>
      </c>
      <c r="S1962" s="11" t="s">
        <v>238</v>
      </c>
      <c r="T1962" s="11" t="s">
        <v>278</v>
      </c>
      <c r="U1962" s="5" t="s">
        <v>240</v>
      </c>
      <c r="V1962" s="11" t="s">
        <v>288</v>
      </c>
      <c r="W1962" s="5" t="s">
        <v>334</v>
      </c>
      <c r="X1962" s="5" t="s">
        <v>242</v>
      </c>
      <c r="Y1962" s="5"/>
      <c r="Z1962" s="5"/>
      <c r="AA1962" s="11" t="s">
        <v>150</v>
      </c>
      <c r="AB1962" s="5" t="s">
        <v>245</v>
      </c>
      <c r="AC1962" s="5" t="s">
        <v>1463</v>
      </c>
      <c r="AD1962" s="11" t="s">
        <v>4811</v>
      </c>
      <c r="AE1962" s="23" t="n">
        <v>0.57</v>
      </c>
      <c r="AF1962" s="23" t="n">
        <v>0</v>
      </c>
      <c r="AG1962" s="23" t="n">
        <v>0.33</v>
      </c>
      <c r="AH1962" s="23" t="n">
        <v>1</v>
      </c>
      <c r="AI1962" s="23" t="n">
        <v>1</v>
      </c>
      <c r="AJ1962" s="23" t="n">
        <v>0.464</v>
      </c>
      <c r="AK1962" s="23" t="n">
        <v>0.2</v>
      </c>
      <c r="AL1962" s="23" t="n">
        <v>0</v>
      </c>
      <c r="AM1962" s="16" t="n">
        <f aca="false">COUNTIFS($D$2:$D$2501,D1962,$G$2:$G$2501,"&gt;"&amp;G1962)+COUNTIFS($D$2:D1962,D1962,$G$2:G1962,G1962)</f>
        <v>300</v>
      </c>
      <c r="AN1962" s="5" t="str">
        <f aca="false">D1962&amp;"|"&amp;AM1962</f>
        <v>實體擷取與去識別化|300</v>
      </c>
    </row>
    <row r="1963" customFormat="false" ht="17.15" hidden="false" customHeight="false" outlineLevel="0" collapsed="false">
      <c r="A1963" s="16" t="n">
        <f aca="false">RANK(G1963,$G$2:$G$2501)+COUNTIF($G$2:G1963,G1963)-1</f>
        <v>1962</v>
      </c>
      <c r="B1963" s="11" t="s">
        <v>4812</v>
      </c>
      <c r="C1963" s="11" t="s">
        <v>4046</v>
      </c>
      <c r="D1963" s="5" t="s">
        <v>78</v>
      </c>
      <c r="E1963" s="5" t="s">
        <v>79</v>
      </c>
      <c r="F1963" s="5"/>
      <c r="G1963" s="22" t="n">
        <f aca="false">ROUND(SUM(I1963:P1963),3)</f>
        <v>52.682</v>
      </c>
      <c r="H1963" s="5" t="str">
        <f aca="false">IF(G1963&gt;=評分方法!$C$16,"優先評估",IF(G1963&gt;=評分方法!$C$17,"列入候選",IF(G1963&gt;=評分方法!$C$18,"特定情境","不建議")))</f>
        <v>不建議</v>
      </c>
      <c r="I1963" s="15" t="n">
        <f aca="false">AE1963*評分方法!$C$5</f>
        <v>9</v>
      </c>
      <c r="J1963" s="15" t="n">
        <f aca="false">AF1963*評分方法!$C$6</f>
        <v>0</v>
      </c>
      <c r="K1963" s="15" t="n">
        <f aca="false">AG1963*評分方法!$C$7</f>
        <v>4.95</v>
      </c>
      <c r="L1963" s="15" t="n">
        <f aca="false">AH1963*評分方法!$C$8</f>
        <v>15</v>
      </c>
      <c r="M1963" s="15" t="n">
        <f aca="false">AI1963*評分方法!$C$9</f>
        <v>10</v>
      </c>
      <c r="N1963" s="15" t="n">
        <f aca="false">AJ1963*評分方法!$C$10</f>
        <v>3.732</v>
      </c>
      <c r="O1963" s="15" t="n">
        <f aca="false">AK1963*評分方法!$C$11</f>
        <v>5</v>
      </c>
      <c r="P1963" s="15" t="n">
        <f aca="false">AL1963*評分方法!$C$12</f>
        <v>5</v>
      </c>
      <c r="Q1963" s="6" t="n">
        <v>381453</v>
      </c>
      <c r="R1963" s="6" t="n">
        <v>980046848</v>
      </c>
      <c r="S1963" s="11" t="s">
        <v>238</v>
      </c>
      <c r="T1963" s="11" t="s">
        <v>1636</v>
      </c>
      <c r="U1963" s="5" t="s">
        <v>240</v>
      </c>
      <c r="V1963" s="11" t="s">
        <v>333</v>
      </c>
      <c r="W1963" s="5" t="s">
        <v>334</v>
      </c>
      <c r="X1963" s="5" t="s">
        <v>284</v>
      </c>
      <c r="Y1963" s="11" t="s">
        <v>3692</v>
      </c>
      <c r="Z1963" s="11" t="s">
        <v>244</v>
      </c>
      <c r="AA1963" s="11" t="s">
        <v>175</v>
      </c>
      <c r="AB1963" s="5" t="s">
        <v>245</v>
      </c>
      <c r="AC1963" s="5" t="s">
        <v>246</v>
      </c>
      <c r="AD1963" s="11" t="s">
        <v>4813</v>
      </c>
      <c r="AE1963" s="23" t="n">
        <v>0.3</v>
      </c>
      <c r="AF1963" s="23" t="n">
        <v>0</v>
      </c>
      <c r="AG1963" s="23" t="n">
        <v>0.33</v>
      </c>
      <c r="AH1963" s="23" t="n">
        <v>1</v>
      </c>
      <c r="AI1963" s="23" t="n">
        <v>1</v>
      </c>
      <c r="AJ1963" s="23" t="n">
        <v>0.3732</v>
      </c>
      <c r="AK1963" s="23" t="n">
        <v>1</v>
      </c>
      <c r="AL1963" s="23" t="n">
        <v>1</v>
      </c>
      <c r="AM1963" s="16" t="n">
        <f aca="false">COUNTIFS($D$2:$D$2501,D1963,$G$2:$G$2501,"&gt;"&amp;G1963)+COUNTIFS($D$2:D1963,D1963,$G$2:G1963,G1963)</f>
        <v>53</v>
      </c>
      <c r="AN1963" s="5" t="str">
        <f aca="false">D1963&amp;"|"&amp;AM1963</f>
        <v>語音分析|53</v>
      </c>
    </row>
    <row r="1964" customFormat="false" ht="17.15" hidden="false" customHeight="false" outlineLevel="0" collapsed="false">
      <c r="A1964" s="16" t="n">
        <f aca="false">RANK(G1964,$G$2:$G$2501)+COUNTIF($G$2:G1964,G1964)-1</f>
        <v>1963</v>
      </c>
      <c r="B1964" s="11" t="s">
        <v>4814</v>
      </c>
      <c r="C1964" s="11" t="s">
        <v>681</v>
      </c>
      <c r="D1964" s="5" t="s">
        <v>80</v>
      </c>
      <c r="E1964" s="5" t="s">
        <v>81</v>
      </c>
      <c r="F1964" s="5"/>
      <c r="G1964" s="22" t="n">
        <f aca="false">ROUND(SUM(I1964:P1964),3)</f>
        <v>52.68</v>
      </c>
      <c r="H1964" s="5" t="str">
        <f aca="false">IF(G1964&gt;=評分方法!$C$16,"優先評估",IF(G1964&gt;=評分方法!$C$17,"列入候選",IF(G1964&gt;=評分方法!$C$18,"特定情境","不建議")))</f>
        <v>不建議</v>
      </c>
      <c r="I1964" s="15" t="n">
        <f aca="false">AE1964*評分方法!$C$5</f>
        <v>3</v>
      </c>
      <c r="J1964" s="15" t="n">
        <f aca="false">AF1964*評分方法!$C$6</f>
        <v>0</v>
      </c>
      <c r="K1964" s="15" t="n">
        <f aca="false">AG1964*評分方法!$C$7</f>
        <v>15</v>
      </c>
      <c r="L1964" s="15" t="n">
        <f aca="false">AH1964*評分方法!$C$8</f>
        <v>15</v>
      </c>
      <c r="M1964" s="15" t="n">
        <f aca="false">AI1964*評分方法!$C$9</f>
        <v>6</v>
      </c>
      <c r="N1964" s="15" t="n">
        <f aca="false">AJ1964*評分方法!$C$10</f>
        <v>9.68</v>
      </c>
      <c r="O1964" s="15" t="n">
        <f aca="false">AK1964*評分方法!$C$11</f>
        <v>4</v>
      </c>
      <c r="P1964" s="15" t="n">
        <f aca="false">AL1964*評分方法!$C$12</f>
        <v>0</v>
      </c>
      <c r="Q1964" s="6" t="n">
        <v>13384511</v>
      </c>
      <c r="R1964" s="6" t="n">
        <v>859922360</v>
      </c>
      <c r="S1964" s="11" t="s">
        <v>238</v>
      </c>
      <c r="T1964" s="11" t="s">
        <v>185</v>
      </c>
      <c r="U1964" s="5" t="s">
        <v>260</v>
      </c>
      <c r="V1964" s="11" t="s">
        <v>324</v>
      </c>
      <c r="W1964" s="5" t="s">
        <v>205</v>
      </c>
      <c r="X1964" s="5" t="s">
        <v>242</v>
      </c>
      <c r="Y1964" s="5"/>
      <c r="Z1964" s="5"/>
      <c r="AA1964" s="11" t="s">
        <v>184</v>
      </c>
      <c r="AB1964" s="5" t="s">
        <v>245</v>
      </c>
      <c r="AC1964" s="5" t="s">
        <v>262</v>
      </c>
      <c r="AD1964" s="11" t="s">
        <v>4815</v>
      </c>
      <c r="AE1964" s="23" t="n">
        <v>0.1</v>
      </c>
      <c r="AF1964" s="23" t="n">
        <v>0</v>
      </c>
      <c r="AG1964" s="23" t="n">
        <v>1</v>
      </c>
      <c r="AH1964" s="23" t="n">
        <v>1</v>
      </c>
      <c r="AI1964" s="23" t="n">
        <v>0.6</v>
      </c>
      <c r="AJ1964" s="23" t="n">
        <v>0.968</v>
      </c>
      <c r="AK1964" s="23" t="n">
        <v>0.8</v>
      </c>
      <c r="AL1964" s="23" t="n">
        <v>0</v>
      </c>
      <c r="AM1964" s="16" t="n">
        <f aca="false">COUNTIFS($D$2:$D$2501,D1964,$G$2:$G$2501,"&gt;"&amp;G1964)+COUNTIFS($D$2:D1964,D1964,$G$2:G1964,G1964)</f>
        <v>9</v>
      </c>
      <c r="AN1964" s="5" t="str">
        <f aca="false">D1964&amp;"|"&amp;AM1964</f>
        <v>其他|9</v>
      </c>
    </row>
    <row r="1965" customFormat="false" ht="17.15" hidden="false" customHeight="false" outlineLevel="0" collapsed="false">
      <c r="A1965" s="16" t="n">
        <f aca="false">RANK(G1965,$G$2:$G$2501)+COUNTIF($G$2:G1965,G1965)-1</f>
        <v>1964</v>
      </c>
      <c r="B1965" s="11" t="s">
        <v>4816</v>
      </c>
      <c r="C1965" s="11" t="s">
        <v>4817</v>
      </c>
      <c r="D1965" s="5" t="s">
        <v>68</v>
      </c>
      <c r="E1965" s="11" t="s">
        <v>69</v>
      </c>
      <c r="F1965" s="5"/>
      <c r="G1965" s="22" t="n">
        <f aca="false">ROUND(SUM(I1965:P1965),3)</f>
        <v>52.672</v>
      </c>
      <c r="H1965" s="5" t="str">
        <f aca="false">IF(G1965&gt;=評分方法!$C$16,"優先評估",IF(G1965&gt;=評分方法!$C$17,"列入候選",IF(G1965&gt;=評分方法!$C$18,"特定情境","不建議")))</f>
        <v>不建議</v>
      </c>
      <c r="I1965" s="15" t="n">
        <f aca="false">AE1965*評分方法!$C$5</f>
        <v>21</v>
      </c>
      <c r="J1965" s="15" t="n">
        <f aca="false">AF1965*評分方法!$C$6</f>
        <v>0</v>
      </c>
      <c r="K1965" s="15" t="n">
        <f aca="false">AG1965*評分方法!$C$7</f>
        <v>4.95</v>
      </c>
      <c r="L1965" s="15" t="n">
        <f aca="false">AH1965*評分方法!$C$8</f>
        <v>7.05</v>
      </c>
      <c r="M1965" s="15" t="n">
        <f aca="false">AI1965*評分方法!$C$9</f>
        <v>6</v>
      </c>
      <c r="N1965" s="15" t="n">
        <f aca="false">AJ1965*評分方法!$C$10</f>
        <v>8.172</v>
      </c>
      <c r="O1965" s="15" t="n">
        <f aca="false">AK1965*評分方法!$C$11</f>
        <v>4</v>
      </c>
      <c r="P1965" s="15" t="n">
        <f aca="false">AL1965*評分方法!$C$12</f>
        <v>1.5</v>
      </c>
      <c r="Q1965" s="6" t="n">
        <v>1794557</v>
      </c>
      <c r="R1965" s="6"/>
      <c r="S1965" s="5" t="s">
        <v>255</v>
      </c>
      <c r="T1965" s="11" t="s">
        <v>185</v>
      </c>
      <c r="U1965" s="5" t="s">
        <v>260</v>
      </c>
      <c r="V1965" s="11" t="s">
        <v>4499</v>
      </c>
      <c r="W1965" s="5" t="s">
        <v>334</v>
      </c>
      <c r="X1965" s="5" t="s">
        <v>255</v>
      </c>
      <c r="Y1965" s="5"/>
      <c r="Z1965" s="5"/>
      <c r="AA1965" s="11" t="s">
        <v>158</v>
      </c>
      <c r="AB1965" s="5" t="s">
        <v>245</v>
      </c>
      <c r="AC1965" s="5" t="s">
        <v>262</v>
      </c>
      <c r="AD1965" s="11" t="s">
        <v>4818</v>
      </c>
      <c r="AE1965" s="23" t="n">
        <v>0.7</v>
      </c>
      <c r="AF1965" s="23" t="n">
        <v>0</v>
      </c>
      <c r="AG1965" s="23" t="n">
        <v>0.33</v>
      </c>
      <c r="AH1965" s="23" t="n">
        <v>0.47</v>
      </c>
      <c r="AI1965" s="23" t="n">
        <v>0.6</v>
      </c>
      <c r="AJ1965" s="23" t="n">
        <v>0.8172</v>
      </c>
      <c r="AK1965" s="23" t="n">
        <v>0.8</v>
      </c>
      <c r="AL1965" s="23" t="n">
        <v>0.3</v>
      </c>
      <c r="AM1965" s="16" t="n">
        <f aca="false">COUNTIFS($D$2:$D$2501,D1965,$G$2:$G$2501,"&gt;"&amp;G1965)+COUNTIFS($D$2:D1965,D1965,$G$2:G1965,G1965)</f>
        <v>50</v>
      </c>
      <c r="AN1965" s="5" t="str">
        <f aca="false">D1965&amp;"|"&amp;AM1965</f>
        <v>時序異常偵測|50</v>
      </c>
    </row>
    <row r="1966" customFormat="false" ht="17.15" hidden="false" customHeight="false" outlineLevel="0" collapsed="false">
      <c r="A1966" s="16" t="n">
        <f aca="false">RANK(G1966,$G$2:$G$2501)+COUNTIF($G$2:G1966,G1966)-1</f>
        <v>1965</v>
      </c>
      <c r="B1966" s="11" t="s">
        <v>4819</v>
      </c>
      <c r="C1966" s="11" t="s">
        <v>4820</v>
      </c>
      <c r="D1966" s="5" t="s">
        <v>74</v>
      </c>
      <c r="E1966" s="5" t="s">
        <v>75</v>
      </c>
      <c r="F1966" s="5"/>
      <c r="G1966" s="22" t="n">
        <f aca="false">ROUND(SUM(I1966:P1966),3)</f>
        <v>52.67</v>
      </c>
      <c r="H1966" s="5" t="str">
        <f aca="false">IF(G1966&gt;=評分方法!$C$16,"優先評估",IF(G1966&gt;=評分方法!$C$17,"列入候選",IF(G1966&gt;=評分方法!$C$18,"特定情境","不建議")))</f>
        <v>不建議</v>
      </c>
      <c r="I1966" s="15" t="n">
        <f aca="false">AE1966*評分方法!$C$5</f>
        <v>12</v>
      </c>
      <c r="J1966" s="15" t="n">
        <f aca="false">AF1966*評分方法!$C$6</f>
        <v>0</v>
      </c>
      <c r="K1966" s="15" t="n">
        <f aca="false">AG1966*評分方法!$C$7</f>
        <v>4.95</v>
      </c>
      <c r="L1966" s="15" t="n">
        <f aca="false">AH1966*評分方法!$C$8</f>
        <v>15</v>
      </c>
      <c r="M1966" s="15" t="n">
        <f aca="false">AI1966*評分方法!$C$9</f>
        <v>10</v>
      </c>
      <c r="N1966" s="15" t="n">
        <f aca="false">AJ1966*評分方法!$C$10</f>
        <v>9.72</v>
      </c>
      <c r="O1966" s="15" t="n">
        <f aca="false">AK1966*評分方法!$C$11</f>
        <v>1</v>
      </c>
      <c r="P1966" s="15" t="n">
        <f aca="false">AL1966*評分方法!$C$12</f>
        <v>0</v>
      </c>
      <c r="Q1966" s="6" t="n">
        <v>15563783</v>
      </c>
      <c r="R1966" s="6" t="n">
        <v>151277439</v>
      </c>
      <c r="S1966" s="11" t="s">
        <v>238</v>
      </c>
      <c r="T1966" s="11" t="s">
        <v>278</v>
      </c>
      <c r="U1966" s="5" t="s">
        <v>240</v>
      </c>
      <c r="V1966" s="11" t="s">
        <v>288</v>
      </c>
      <c r="W1966" s="5" t="s">
        <v>334</v>
      </c>
      <c r="X1966" s="5" t="s">
        <v>242</v>
      </c>
      <c r="Y1966" s="5"/>
      <c r="Z1966" s="5"/>
      <c r="AA1966" s="11" t="s">
        <v>167</v>
      </c>
      <c r="AB1966" s="5" t="s">
        <v>245</v>
      </c>
      <c r="AC1966" s="5"/>
      <c r="AD1966" s="11" t="s">
        <v>4821</v>
      </c>
      <c r="AE1966" s="23" t="n">
        <v>0.4</v>
      </c>
      <c r="AF1966" s="23" t="n">
        <v>0</v>
      </c>
      <c r="AG1966" s="23" t="n">
        <v>0.33</v>
      </c>
      <c r="AH1966" s="23" t="n">
        <v>1</v>
      </c>
      <c r="AI1966" s="23" t="n">
        <v>1</v>
      </c>
      <c r="AJ1966" s="23" t="n">
        <v>0.972</v>
      </c>
      <c r="AK1966" s="23" t="n">
        <v>0.2</v>
      </c>
      <c r="AL1966" s="23" t="n">
        <v>0</v>
      </c>
      <c r="AM1966" s="16" t="n">
        <f aca="false">COUNTIFS($D$2:$D$2501,D1966,$G$2:$G$2501,"&gt;"&amp;G1966)+COUNTIFS($D$2:D1966,D1966,$G$2:G1966,G1966)</f>
        <v>251</v>
      </c>
      <c r="AN1966" s="5" t="str">
        <f aca="false">D1966&amp;"|"&amp;AM1966</f>
        <v>文件與影像辨識|251</v>
      </c>
    </row>
    <row r="1967" customFormat="false" ht="17.15" hidden="false" customHeight="false" outlineLevel="0" collapsed="false">
      <c r="A1967" s="16" t="n">
        <f aca="false">RANK(G1967,$G$2:$G$2501)+COUNTIF($G$2:G1967,G1967)-1</f>
        <v>1966</v>
      </c>
      <c r="B1967" s="11" t="s">
        <v>4822</v>
      </c>
      <c r="C1967" s="11" t="s">
        <v>253</v>
      </c>
      <c r="D1967" s="5" t="s">
        <v>78</v>
      </c>
      <c r="E1967" s="5" t="s">
        <v>79</v>
      </c>
      <c r="F1967" s="5"/>
      <c r="G1967" s="22" t="n">
        <f aca="false">ROUND(SUM(I1967:P1967),3)</f>
        <v>52.628</v>
      </c>
      <c r="H1967" s="5" t="str">
        <f aca="false">IF(G1967&gt;=評分方法!$C$16,"優先評估",IF(G1967&gt;=評分方法!$C$17,"列入候選",IF(G1967&gt;=評分方法!$C$18,"特定情境","不建議")))</f>
        <v>不建議</v>
      </c>
      <c r="I1967" s="15" t="n">
        <f aca="false">AE1967*評分方法!$C$5</f>
        <v>9</v>
      </c>
      <c r="J1967" s="15" t="n">
        <f aca="false">AF1967*評分方法!$C$6</f>
        <v>0</v>
      </c>
      <c r="K1967" s="15" t="n">
        <f aca="false">AG1967*評分方法!$C$7</f>
        <v>15</v>
      </c>
      <c r="L1967" s="15" t="n">
        <f aca="false">AH1967*評分方法!$C$8</f>
        <v>15</v>
      </c>
      <c r="M1967" s="15" t="n">
        <f aca="false">AI1967*評分方法!$C$9</f>
        <v>10</v>
      </c>
      <c r="N1967" s="15" t="n">
        <f aca="false">AJ1967*評分方法!$C$10</f>
        <v>2.628</v>
      </c>
      <c r="O1967" s="15" t="n">
        <f aca="false">AK1967*評分方法!$C$11</f>
        <v>1</v>
      </c>
      <c r="P1967" s="15" t="n">
        <f aca="false">AL1967*評分方法!$C$12</f>
        <v>0</v>
      </c>
      <c r="Q1967" s="6" t="n">
        <v>263743</v>
      </c>
      <c r="R1967" s="6" t="n">
        <v>763856896</v>
      </c>
      <c r="S1967" s="11" t="s">
        <v>238</v>
      </c>
      <c r="T1967" s="11" t="s">
        <v>239</v>
      </c>
      <c r="U1967" s="5" t="s">
        <v>240</v>
      </c>
      <c r="V1967" s="11" t="s">
        <v>279</v>
      </c>
      <c r="W1967" s="5" t="s">
        <v>205</v>
      </c>
      <c r="X1967" s="5" t="s">
        <v>242</v>
      </c>
      <c r="Y1967" s="5"/>
      <c r="Z1967" s="5"/>
      <c r="AA1967" s="11" t="s">
        <v>175</v>
      </c>
      <c r="AB1967" s="5" t="s">
        <v>245</v>
      </c>
      <c r="AC1967" s="5"/>
      <c r="AD1967" s="11" t="s">
        <v>4823</v>
      </c>
      <c r="AE1967" s="23" t="n">
        <v>0.3</v>
      </c>
      <c r="AF1967" s="23" t="n">
        <v>0</v>
      </c>
      <c r="AG1967" s="23" t="n">
        <v>1</v>
      </c>
      <c r="AH1967" s="23" t="n">
        <v>1</v>
      </c>
      <c r="AI1967" s="23" t="n">
        <v>1</v>
      </c>
      <c r="AJ1967" s="23" t="n">
        <v>0.2628</v>
      </c>
      <c r="AK1967" s="23" t="n">
        <v>0.2</v>
      </c>
      <c r="AL1967" s="23" t="n">
        <v>0</v>
      </c>
      <c r="AM1967" s="16" t="n">
        <f aca="false">COUNTIFS($D$2:$D$2501,D1967,$G$2:$G$2501,"&gt;"&amp;G1967)+COUNTIFS($D$2:D1967,D1967,$G$2:G1967,G1967)</f>
        <v>54</v>
      </c>
      <c r="AN1967" s="5" t="str">
        <f aca="false">D1967&amp;"|"&amp;AM1967</f>
        <v>語音分析|54</v>
      </c>
    </row>
    <row r="1968" customFormat="false" ht="17.15" hidden="false" customHeight="false" outlineLevel="0" collapsed="false">
      <c r="A1968" s="16" t="n">
        <f aca="false">RANK(G1968,$G$2:$G$2501)+COUNTIF($G$2:G1968,G1968)-1</f>
        <v>1967</v>
      </c>
      <c r="B1968" s="11" t="s">
        <v>4824</v>
      </c>
      <c r="C1968" s="11" t="s">
        <v>4030</v>
      </c>
      <c r="D1968" s="5" t="s">
        <v>54</v>
      </c>
      <c r="E1968" s="5" t="s">
        <v>55</v>
      </c>
      <c r="F1968" s="5"/>
      <c r="G1968" s="22" t="n">
        <f aca="false">ROUND(SUM(I1968:P1968),3)</f>
        <v>52.566</v>
      </c>
      <c r="H1968" s="5" t="str">
        <f aca="false">IF(G1968&gt;=評分方法!$C$16,"優先評估",IF(G1968&gt;=評分方法!$C$17,"列入候選",IF(G1968&gt;=評分方法!$C$18,"特定情境","不建議")))</f>
        <v>不建議</v>
      </c>
      <c r="I1968" s="15" t="n">
        <f aca="false">AE1968*評分方法!$C$5</f>
        <v>16.2</v>
      </c>
      <c r="J1968" s="15" t="n">
        <f aca="false">AF1968*評分方法!$C$6</f>
        <v>0</v>
      </c>
      <c r="K1968" s="15" t="n">
        <f aca="false">AG1968*評分方法!$C$7</f>
        <v>4.95</v>
      </c>
      <c r="L1968" s="15" t="n">
        <f aca="false">AH1968*評分方法!$C$8</f>
        <v>15</v>
      </c>
      <c r="M1968" s="15" t="n">
        <f aca="false">AI1968*評分方法!$C$9</f>
        <v>10</v>
      </c>
      <c r="N1968" s="15" t="n">
        <f aca="false">AJ1968*評分方法!$C$10</f>
        <v>3.916</v>
      </c>
      <c r="O1968" s="15" t="n">
        <f aca="false">AK1968*評分方法!$C$11</f>
        <v>2.5</v>
      </c>
      <c r="P1968" s="15" t="n">
        <f aca="false">AL1968*評分方法!$C$12</f>
        <v>0</v>
      </c>
      <c r="Q1968" s="6" t="n">
        <v>403616</v>
      </c>
      <c r="R1968" s="6" t="n">
        <v>132140544</v>
      </c>
      <c r="S1968" s="11" t="s">
        <v>238</v>
      </c>
      <c r="T1968" s="11" t="s">
        <v>239</v>
      </c>
      <c r="U1968" s="5" t="s">
        <v>240</v>
      </c>
      <c r="V1968" s="11" t="s">
        <v>261</v>
      </c>
      <c r="W1968" s="5" t="s">
        <v>334</v>
      </c>
      <c r="X1968" s="5" t="s">
        <v>242</v>
      </c>
      <c r="Y1968" s="11" t="s">
        <v>4825</v>
      </c>
      <c r="Z1968" s="11" t="s">
        <v>270</v>
      </c>
      <c r="AA1968" s="11" t="s">
        <v>152</v>
      </c>
      <c r="AB1968" s="5" t="s">
        <v>245</v>
      </c>
      <c r="AC1968" s="5" t="s">
        <v>1463</v>
      </c>
      <c r="AD1968" s="11" t="s">
        <v>4826</v>
      </c>
      <c r="AE1968" s="23" t="n">
        <v>0.54</v>
      </c>
      <c r="AF1968" s="23" t="n">
        <v>0</v>
      </c>
      <c r="AG1968" s="23" t="n">
        <v>0.33</v>
      </c>
      <c r="AH1968" s="23" t="n">
        <v>1</v>
      </c>
      <c r="AI1968" s="23" t="n">
        <v>1</v>
      </c>
      <c r="AJ1968" s="23" t="n">
        <v>0.3916</v>
      </c>
      <c r="AK1968" s="23" t="n">
        <v>0.5</v>
      </c>
      <c r="AL1968" s="23" t="n">
        <v>0</v>
      </c>
      <c r="AM1968" s="16" t="n">
        <f aca="false">COUNTIFS($D$2:$D$2501,D1968,$G$2:$G$2501,"&gt;"&amp;G1968)+COUNTIFS($D$2:D1968,D1968,$G$2:G1968,G1968)</f>
        <v>240</v>
      </c>
      <c r="AN1968" s="5" t="str">
        <f aca="false">D1968&amp;"|"&amp;AM1968</f>
        <v>檢索與情資關聯|240</v>
      </c>
    </row>
    <row r="1969" customFormat="false" ht="17.15" hidden="false" customHeight="false" outlineLevel="0" collapsed="false">
      <c r="A1969" s="16" t="n">
        <f aca="false">RANK(G1969,$G$2:$G$2501)+COUNTIF($G$2:G1969,G1969)-1</f>
        <v>1968</v>
      </c>
      <c r="B1969" s="11" t="s">
        <v>4827</v>
      </c>
      <c r="C1969" s="11" t="s">
        <v>4828</v>
      </c>
      <c r="D1969" s="5" t="s">
        <v>54</v>
      </c>
      <c r="E1969" s="5" t="s">
        <v>55</v>
      </c>
      <c r="F1969" s="5"/>
      <c r="G1969" s="22" t="n">
        <f aca="false">ROUND(SUM(I1969:P1969),3)</f>
        <v>52.532</v>
      </c>
      <c r="H1969" s="5" t="str">
        <f aca="false">IF(G1969&gt;=評分方法!$C$16,"優先評估",IF(G1969&gt;=評分方法!$C$17,"列入候選",IF(G1969&gt;=評分方法!$C$18,"特定情境","不建議")))</f>
        <v>不建議</v>
      </c>
      <c r="I1969" s="15" t="n">
        <f aca="false">AE1969*評分方法!$C$5</f>
        <v>27</v>
      </c>
      <c r="J1969" s="15" t="n">
        <f aca="false">AF1969*評分方法!$C$6</f>
        <v>0</v>
      </c>
      <c r="K1969" s="15" t="n">
        <f aca="false">AG1969*評分方法!$C$7</f>
        <v>4.95</v>
      </c>
      <c r="L1969" s="15" t="n">
        <f aca="false">AH1969*評分方法!$C$8</f>
        <v>7.05</v>
      </c>
      <c r="M1969" s="15" t="n">
        <f aca="false">AI1969*評分方法!$C$9</f>
        <v>10</v>
      </c>
      <c r="N1969" s="15" t="n">
        <f aca="false">AJ1969*評分方法!$C$10</f>
        <v>2.532</v>
      </c>
      <c r="O1969" s="15" t="n">
        <f aca="false">AK1969*評分方法!$C$11</f>
        <v>1</v>
      </c>
      <c r="P1969" s="15" t="n">
        <f aca="false">AL1969*評分方法!$C$12</f>
        <v>0</v>
      </c>
      <c r="Q1969" s="6" t="n">
        <v>252655</v>
      </c>
      <c r="R1969" s="6"/>
      <c r="S1969" s="5" t="s">
        <v>255</v>
      </c>
      <c r="T1969" s="11" t="s">
        <v>278</v>
      </c>
      <c r="U1969" s="5" t="s">
        <v>240</v>
      </c>
      <c r="V1969" s="11" t="s">
        <v>4499</v>
      </c>
      <c r="W1969" s="5" t="s">
        <v>334</v>
      </c>
      <c r="X1969" s="5" t="s">
        <v>242</v>
      </c>
      <c r="Y1969" s="5"/>
      <c r="Z1969" s="5"/>
      <c r="AA1969" s="11" t="s">
        <v>153</v>
      </c>
      <c r="AB1969" s="5" t="s">
        <v>245</v>
      </c>
      <c r="AC1969" s="5"/>
      <c r="AD1969" s="11" t="s">
        <v>4829</v>
      </c>
      <c r="AE1969" s="23" t="n">
        <v>0.9</v>
      </c>
      <c r="AF1969" s="23" t="n">
        <v>0</v>
      </c>
      <c r="AG1969" s="23" t="n">
        <v>0.33</v>
      </c>
      <c r="AH1969" s="23" t="n">
        <v>0.47</v>
      </c>
      <c r="AI1969" s="23" t="n">
        <v>1</v>
      </c>
      <c r="AJ1969" s="23" t="n">
        <v>0.2532</v>
      </c>
      <c r="AK1969" s="23" t="n">
        <v>0.2</v>
      </c>
      <c r="AL1969" s="23" t="n">
        <v>0</v>
      </c>
      <c r="AM1969" s="16" t="n">
        <f aca="false">COUNTIFS($D$2:$D$2501,D1969,$G$2:$G$2501,"&gt;"&amp;G1969)+COUNTIFS($D$2:D1969,D1969,$G$2:G1969,G1969)</f>
        <v>241</v>
      </c>
      <c r="AN1969" s="5" t="str">
        <f aca="false">D1969&amp;"|"&amp;AM1969</f>
        <v>檢索與情資關聯|241</v>
      </c>
    </row>
    <row r="1970" customFormat="false" ht="17.15" hidden="false" customHeight="false" outlineLevel="0" collapsed="false">
      <c r="A1970" s="16" t="n">
        <f aca="false">RANK(G1970,$G$2:$G$2501)+COUNTIF($G$2:G1970,G1970)-1</f>
        <v>1969</v>
      </c>
      <c r="B1970" s="11" t="s">
        <v>4830</v>
      </c>
      <c r="C1970" s="11" t="s">
        <v>753</v>
      </c>
      <c r="D1970" s="5" t="s">
        <v>56</v>
      </c>
      <c r="E1970" s="5" t="s">
        <v>57</v>
      </c>
      <c r="F1970" s="5"/>
      <c r="G1970" s="22" t="n">
        <f aca="false">ROUND(SUM(I1970:P1970),3)</f>
        <v>52.528</v>
      </c>
      <c r="H1970" s="5" t="str">
        <f aca="false">IF(G1970&gt;=評分方法!$C$16,"優先評估",IF(G1970&gt;=評分方法!$C$17,"列入候選",IF(G1970&gt;=評分方法!$C$18,"特定情境","不建議")))</f>
        <v>不建議</v>
      </c>
      <c r="I1970" s="15" t="n">
        <f aca="false">AE1970*評分方法!$C$5</f>
        <v>25.5</v>
      </c>
      <c r="J1970" s="15" t="n">
        <f aca="false">AF1970*評分方法!$C$6</f>
        <v>0</v>
      </c>
      <c r="K1970" s="15" t="n">
        <f aca="false">AG1970*評分方法!$C$7</f>
        <v>10.05</v>
      </c>
      <c r="L1970" s="15" t="n">
        <f aca="false">AH1970*評分方法!$C$8</f>
        <v>4.95</v>
      </c>
      <c r="M1970" s="15" t="n">
        <f aca="false">AI1970*評分方法!$C$9</f>
        <v>6</v>
      </c>
      <c r="N1970" s="15" t="n">
        <f aca="false">AJ1970*評分方法!$C$10</f>
        <v>2.028</v>
      </c>
      <c r="O1970" s="15" t="n">
        <f aca="false">AK1970*評分方法!$C$11</f>
        <v>4</v>
      </c>
      <c r="P1970" s="15" t="n">
        <f aca="false">AL1970*評分方法!$C$12</f>
        <v>0</v>
      </c>
      <c r="Q1970" s="6" t="n">
        <v>212573</v>
      </c>
      <c r="R1970" s="6" t="n">
        <v>70553706496</v>
      </c>
      <c r="S1970" s="11" t="s">
        <v>1876</v>
      </c>
      <c r="T1970" s="11" t="s">
        <v>2741</v>
      </c>
      <c r="U1970" s="5" t="s">
        <v>260</v>
      </c>
      <c r="V1970" s="11" t="s">
        <v>261</v>
      </c>
      <c r="W1970" s="5" t="s">
        <v>207</v>
      </c>
      <c r="X1970" s="5" t="s">
        <v>242</v>
      </c>
      <c r="Y1970" s="11" t="s">
        <v>2742</v>
      </c>
      <c r="Z1970" s="11" t="s">
        <v>270</v>
      </c>
      <c r="AA1970" s="11" t="s">
        <v>155</v>
      </c>
      <c r="AB1970" s="5" t="s">
        <v>245</v>
      </c>
      <c r="AC1970" s="5" t="s">
        <v>262</v>
      </c>
      <c r="AD1970" s="11" t="s">
        <v>4831</v>
      </c>
      <c r="AE1970" s="23" t="n">
        <v>0.85</v>
      </c>
      <c r="AF1970" s="23" t="n">
        <v>0</v>
      </c>
      <c r="AG1970" s="23" t="n">
        <v>0.67</v>
      </c>
      <c r="AH1970" s="23" t="n">
        <v>0.33</v>
      </c>
      <c r="AI1970" s="23" t="n">
        <v>0.6</v>
      </c>
      <c r="AJ1970" s="23" t="n">
        <v>0.2028</v>
      </c>
      <c r="AK1970" s="23" t="n">
        <v>0.8</v>
      </c>
      <c r="AL1970" s="23" t="n">
        <v>0</v>
      </c>
      <c r="AM1970" s="16" t="n">
        <f aca="false">COUNTIFS($D$2:$D$2501,D1970,$G$2:$G$2501,"&gt;"&amp;G1970)+COUNTIFS($D$2:D1970,D1970,$G$2:G1970,G1970)</f>
        <v>901</v>
      </c>
      <c r="AN1970" s="5" t="str">
        <f aca="false">D1970&amp;"|"&amp;AM1970</f>
        <v>分析與報告生成|901</v>
      </c>
    </row>
    <row r="1971" customFormat="false" ht="17.15" hidden="false" customHeight="false" outlineLevel="0" collapsed="false">
      <c r="A1971" s="16" t="n">
        <f aca="false">RANK(G1971,$G$2:$G$2501)+COUNTIF($G$2:G1971,G1971)-1</f>
        <v>1970</v>
      </c>
      <c r="B1971" s="11" t="s">
        <v>4832</v>
      </c>
      <c r="C1971" s="11" t="s">
        <v>1381</v>
      </c>
      <c r="D1971" s="5" t="s">
        <v>54</v>
      </c>
      <c r="E1971" s="5" t="s">
        <v>55</v>
      </c>
      <c r="F1971" s="5"/>
      <c r="G1971" s="22" t="n">
        <f aca="false">ROUND(SUM(I1971:P1971),3)</f>
        <v>52.518</v>
      </c>
      <c r="H1971" s="5" t="str">
        <f aca="false">IF(G1971&gt;=評分方法!$C$16,"優先評估",IF(G1971&gt;=評分方法!$C$17,"列入候選",IF(G1971&gt;=評分方法!$C$18,"特定情境","不建議")))</f>
        <v>不建議</v>
      </c>
      <c r="I1971" s="15" t="n">
        <f aca="false">AE1971*評分方法!$C$5</f>
        <v>16.2</v>
      </c>
      <c r="J1971" s="15" t="n">
        <f aca="false">AF1971*評分方法!$C$6</f>
        <v>0</v>
      </c>
      <c r="K1971" s="15" t="n">
        <f aca="false">AG1971*評分方法!$C$7</f>
        <v>4.95</v>
      </c>
      <c r="L1971" s="15" t="n">
        <f aca="false">AH1971*評分方法!$C$8</f>
        <v>15</v>
      </c>
      <c r="M1971" s="15" t="n">
        <f aca="false">AI1971*評分方法!$C$9</f>
        <v>10</v>
      </c>
      <c r="N1971" s="15" t="n">
        <f aca="false">AJ1971*評分方法!$C$10</f>
        <v>3.868</v>
      </c>
      <c r="O1971" s="15" t="n">
        <f aca="false">AK1971*評分方法!$C$11</f>
        <v>2.5</v>
      </c>
      <c r="P1971" s="15" t="n">
        <f aca="false">AL1971*評分方法!$C$12</f>
        <v>0</v>
      </c>
      <c r="Q1971" s="6" t="n">
        <v>400001</v>
      </c>
      <c r="R1971" s="6" t="n">
        <v>426908672</v>
      </c>
      <c r="S1971" s="11" t="s">
        <v>238</v>
      </c>
      <c r="T1971" s="11" t="s">
        <v>278</v>
      </c>
      <c r="U1971" s="5" t="s">
        <v>240</v>
      </c>
      <c r="V1971" s="11" t="s">
        <v>324</v>
      </c>
      <c r="W1971" s="5" t="s">
        <v>334</v>
      </c>
      <c r="X1971" s="5" t="s">
        <v>242</v>
      </c>
      <c r="Y1971" s="5"/>
      <c r="Z1971" s="5"/>
      <c r="AA1971" s="11" t="s">
        <v>153</v>
      </c>
      <c r="AB1971" s="5" t="s">
        <v>245</v>
      </c>
      <c r="AC1971" s="5" t="s">
        <v>1463</v>
      </c>
      <c r="AD1971" s="11" t="s">
        <v>4833</v>
      </c>
      <c r="AE1971" s="23" t="n">
        <v>0.54</v>
      </c>
      <c r="AF1971" s="23" t="n">
        <v>0</v>
      </c>
      <c r="AG1971" s="23" t="n">
        <v>0.33</v>
      </c>
      <c r="AH1971" s="23" t="n">
        <v>1</v>
      </c>
      <c r="AI1971" s="23" t="n">
        <v>1</v>
      </c>
      <c r="AJ1971" s="23" t="n">
        <v>0.3868</v>
      </c>
      <c r="AK1971" s="23" t="n">
        <v>0.5</v>
      </c>
      <c r="AL1971" s="23" t="n">
        <v>0</v>
      </c>
      <c r="AM1971" s="16" t="n">
        <f aca="false">COUNTIFS($D$2:$D$2501,D1971,$G$2:$G$2501,"&gt;"&amp;G1971)+COUNTIFS($D$2:D1971,D1971,$G$2:G1971,G1971)</f>
        <v>242</v>
      </c>
      <c r="AN1971" s="5" t="str">
        <f aca="false">D1971&amp;"|"&amp;AM1971</f>
        <v>檢索與情資關聯|242</v>
      </c>
    </row>
    <row r="1972" customFormat="false" ht="17.15" hidden="false" customHeight="false" outlineLevel="0" collapsed="false">
      <c r="A1972" s="16" t="n">
        <f aca="false">RANK(G1972,$G$2:$G$2501)+COUNTIF($G$2:G1972,G1972)-1</f>
        <v>1971</v>
      </c>
      <c r="B1972" s="11" t="s">
        <v>4834</v>
      </c>
      <c r="C1972" s="11" t="s">
        <v>989</v>
      </c>
      <c r="D1972" s="5" t="s">
        <v>56</v>
      </c>
      <c r="E1972" s="5" t="s">
        <v>57</v>
      </c>
      <c r="F1972" s="5"/>
      <c r="G1972" s="22" t="n">
        <f aca="false">ROUND(SUM(I1972:P1972),3)</f>
        <v>52.502</v>
      </c>
      <c r="H1972" s="5" t="str">
        <f aca="false">IF(G1972&gt;=評分方法!$C$16,"優先評估",IF(G1972&gt;=評分方法!$C$17,"列入候選",IF(G1972&gt;=評分方法!$C$18,"特定情境","不建議")))</f>
        <v>不建議</v>
      </c>
      <c r="I1972" s="15" t="n">
        <f aca="false">AE1972*評分方法!$C$5</f>
        <v>25.5</v>
      </c>
      <c r="J1972" s="15" t="n">
        <f aca="false">AF1972*評分方法!$C$6</f>
        <v>0</v>
      </c>
      <c r="K1972" s="15" t="n">
        <f aca="false">AG1972*評分方法!$C$7</f>
        <v>10.05</v>
      </c>
      <c r="L1972" s="15" t="n">
        <f aca="false">AH1972*評分方法!$C$8</f>
        <v>9</v>
      </c>
      <c r="M1972" s="15" t="n">
        <f aca="false">AI1972*評分方法!$C$9</f>
        <v>2</v>
      </c>
      <c r="N1972" s="15" t="n">
        <f aca="false">AJ1972*評分方法!$C$10</f>
        <v>0.452</v>
      </c>
      <c r="O1972" s="15" t="n">
        <f aca="false">AK1972*評分方法!$C$11</f>
        <v>2.5</v>
      </c>
      <c r="P1972" s="15" t="n">
        <f aca="false">AL1972*評分方法!$C$12</f>
        <v>3</v>
      </c>
      <c r="Q1972" s="6" t="n">
        <v>130087</v>
      </c>
      <c r="R1972" s="6" t="n">
        <v>23572403200</v>
      </c>
      <c r="S1972" s="11" t="s">
        <v>389</v>
      </c>
      <c r="T1972" s="5"/>
      <c r="U1972" s="5" t="s">
        <v>375</v>
      </c>
      <c r="V1972" s="11" t="s">
        <v>333</v>
      </c>
      <c r="W1972" s="5" t="s">
        <v>207</v>
      </c>
      <c r="X1972" s="5" t="s">
        <v>371</v>
      </c>
      <c r="Y1972" s="11" t="s">
        <v>4835</v>
      </c>
      <c r="Z1972" s="11" t="s">
        <v>244</v>
      </c>
      <c r="AA1972" s="11" t="s">
        <v>155</v>
      </c>
      <c r="AB1972" s="5" t="s">
        <v>245</v>
      </c>
      <c r="AC1972" s="5" t="s">
        <v>464</v>
      </c>
      <c r="AD1972" s="11" t="s">
        <v>4836</v>
      </c>
      <c r="AE1972" s="23" t="n">
        <v>0.85</v>
      </c>
      <c r="AF1972" s="23" t="n">
        <v>0</v>
      </c>
      <c r="AG1972" s="23" t="n">
        <v>0.67</v>
      </c>
      <c r="AH1972" s="23" t="n">
        <v>0.6</v>
      </c>
      <c r="AI1972" s="23" t="n">
        <v>0.2</v>
      </c>
      <c r="AJ1972" s="23" t="n">
        <v>0.0452</v>
      </c>
      <c r="AK1972" s="23" t="n">
        <v>0.5</v>
      </c>
      <c r="AL1972" s="23" t="n">
        <v>0.6</v>
      </c>
      <c r="AM1972" s="16" t="n">
        <f aca="false">COUNTIFS($D$2:$D$2501,D1972,$G$2:$G$2501,"&gt;"&amp;G1972)+COUNTIFS($D$2:D1972,D1972,$G$2:G1972,G1972)</f>
        <v>902</v>
      </c>
      <c r="AN1972" s="5" t="str">
        <f aca="false">D1972&amp;"|"&amp;AM1972</f>
        <v>分析與報告生成|902</v>
      </c>
    </row>
    <row r="1973" customFormat="false" ht="17.15" hidden="false" customHeight="false" outlineLevel="0" collapsed="false">
      <c r="A1973" s="16" t="n">
        <f aca="false">RANK(G1973,$G$2:$G$2501)+COUNTIF($G$2:G1973,G1973)-1</f>
        <v>1972</v>
      </c>
      <c r="B1973" s="11" t="s">
        <v>4837</v>
      </c>
      <c r="C1973" s="11" t="s">
        <v>2785</v>
      </c>
      <c r="D1973" s="5" t="s">
        <v>56</v>
      </c>
      <c r="E1973" s="5" t="s">
        <v>57</v>
      </c>
      <c r="F1973" s="5"/>
      <c r="G1973" s="22" t="n">
        <f aca="false">ROUND(SUM(I1973:P1973),3)</f>
        <v>52.496</v>
      </c>
      <c r="H1973" s="5" t="str">
        <f aca="false">IF(G1973&gt;=評分方法!$C$16,"優先評估",IF(G1973&gt;=評分方法!$C$17,"列入候選",IF(G1973&gt;=評分方法!$C$18,"特定情境","不建議")))</f>
        <v>不建議</v>
      </c>
      <c r="I1973" s="15" t="n">
        <f aca="false">AE1973*評分方法!$C$5</f>
        <v>25.5</v>
      </c>
      <c r="J1973" s="15" t="n">
        <f aca="false">AF1973*評分方法!$C$6</f>
        <v>0</v>
      </c>
      <c r="K1973" s="15" t="n">
        <f aca="false">AG1973*評分方法!$C$7</f>
        <v>10.05</v>
      </c>
      <c r="L1973" s="15" t="n">
        <f aca="false">AH1973*評分方法!$C$8</f>
        <v>13.05</v>
      </c>
      <c r="M1973" s="15" t="n">
        <f aca="false">AI1973*評分方法!$C$9</f>
        <v>2</v>
      </c>
      <c r="N1973" s="15" t="n">
        <f aca="false">AJ1973*評分方法!$C$10</f>
        <v>0.896</v>
      </c>
      <c r="O1973" s="15" t="n">
        <f aca="false">AK1973*評分方法!$C$11</f>
        <v>1</v>
      </c>
      <c r="P1973" s="15" t="n">
        <f aca="false">AL1973*評分方法!$C$12</f>
        <v>0</v>
      </c>
      <c r="Q1973" s="6" t="n">
        <v>149708</v>
      </c>
      <c r="R1973" s="6" t="n">
        <v>6738417664</v>
      </c>
      <c r="S1973" s="11" t="s">
        <v>254</v>
      </c>
      <c r="T1973" s="5"/>
      <c r="U1973" s="5" t="s">
        <v>375</v>
      </c>
      <c r="V1973" s="11" t="s">
        <v>324</v>
      </c>
      <c r="W1973" s="5" t="s">
        <v>207</v>
      </c>
      <c r="X1973" s="5" t="s">
        <v>242</v>
      </c>
      <c r="Y1973" s="5"/>
      <c r="Z1973" s="5"/>
      <c r="AA1973" s="11" t="s">
        <v>155</v>
      </c>
      <c r="AB1973" s="5" t="s">
        <v>245</v>
      </c>
      <c r="AC1973" s="5" t="s">
        <v>262</v>
      </c>
      <c r="AD1973" s="11" t="s">
        <v>4838</v>
      </c>
      <c r="AE1973" s="23" t="n">
        <v>0.85</v>
      </c>
      <c r="AF1973" s="23" t="n">
        <v>0</v>
      </c>
      <c r="AG1973" s="23" t="n">
        <v>0.67</v>
      </c>
      <c r="AH1973" s="23" t="n">
        <v>0.87</v>
      </c>
      <c r="AI1973" s="23" t="n">
        <v>0.2</v>
      </c>
      <c r="AJ1973" s="23" t="n">
        <v>0.0896</v>
      </c>
      <c r="AK1973" s="23" t="n">
        <v>0.2</v>
      </c>
      <c r="AL1973" s="23" t="n">
        <v>0</v>
      </c>
      <c r="AM1973" s="16" t="n">
        <f aca="false">COUNTIFS($D$2:$D$2501,D1973,$G$2:$G$2501,"&gt;"&amp;G1973)+COUNTIFS($D$2:D1973,D1973,$G$2:G1973,G1973)</f>
        <v>903</v>
      </c>
      <c r="AN1973" s="5" t="str">
        <f aca="false">D1973&amp;"|"&amp;AM1973</f>
        <v>分析與報告生成|903</v>
      </c>
    </row>
    <row r="1974" customFormat="false" ht="17.15" hidden="false" customHeight="false" outlineLevel="0" collapsed="false">
      <c r="A1974" s="16" t="n">
        <f aca="false">RANK(G1974,$G$2:$G$2501)+COUNTIF($G$2:G1974,G1974)-1</f>
        <v>1973</v>
      </c>
      <c r="B1974" s="11" t="s">
        <v>4839</v>
      </c>
      <c r="C1974" s="11" t="s">
        <v>4840</v>
      </c>
      <c r="D1974" s="5" t="s">
        <v>54</v>
      </c>
      <c r="E1974" s="5" t="s">
        <v>55</v>
      </c>
      <c r="F1974" s="5"/>
      <c r="G1974" s="22" t="n">
        <f aca="false">ROUND(SUM(I1974:P1974),3)</f>
        <v>52.486</v>
      </c>
      <c r="H1974" s="5" t="str">
        <f aca="false">IF(G1974&gt;=評分方法!$C$16,"優先評估",IF(G1974&gt;=評分方法!$C$17,"列入候選",IF(G1974&gt;=評分方法!$C$18,"特定情境","不建議")))</f>
        <v>不建議</v>
      </c>
      <c r="I1974" s="15" t="n">
        <f aca="false">AE1974*評分方法!$C$5</f>
        <v>16.2</v>
      </c>
      <c r="J1974" s="15" t="n">
        <f aca="false">AF1974*評分方法!$C$6</f>
        <v>0</v>
      </c>
      <c r="K1974" s="15" t="n">
        <f aca="false">AG1974*評分方法!$C$7</f>
        <v>4.95</v>
      </c>
      <c r="L1974" s="15" t="n">
        <f aca="false">AH1974*評分方法!$C$8</f>
        <v>15</v>
      </c>
      <c r="M1974" s="15" t="n">
        <f aca="false">AI1974*評分方法!$C$9</f>
        <v>2</v>
      </c>
      <c r="N1974" s="15" t="n">
        <f aca="false">AJ1974*評分方法!$C$10</f>
        <v>9.336</v>
      </c>
      <c r="O1974" s="15" t="n">
        <f aca="false">AK1974*評分方法!$C$11</f>
        <v>5</v>
      </c>
      <c r="P1974" s="15" t="n">
        <f aca="false">AL1974*評分方法!$C$12</f>
        <v>0</v>
      </c>
      <c r="Q1974" s="6" t="n">
        <v>6536142</v>
      </c>
      <c r="R1974" s="6" t="n">
        <v>110618626</v>
      </c>
      <c r="S1974" s="11" t="s">
        <v>238</v>
      </c>
      <c r="T1974" s="5"/>
      <c r="U1974" s="5" t="s">
        <v>375</v>
      </c>
      <c r="V1974" s="11" t="s">
        <v>283</v>
      </c>
      <c r="W1974" s="5" t="s">
        <v>334</v>
      </c>
      <c r="X1974" s="5" t="s">
        <v>242</v>
      </c>
      <c r="Y1974" s="5"/>
      <c r="Z1974" s="5"/>
      <c r="AA1974" s="11" t="s">
        <v>152</v>
      </c>
      <c r="AB1974" s="5" t="s">
        <v>245</v>
      </c>
      <c r="AC1974" s="5" t="s">
        <v>4841</v>
      </c>
      <c r="AD1974" s="11" t="s">
        <v>4842</v>
      </c>
      <c r="AE1974" s="23" t="n">
        <v>0.54</v>
      </c>
      <c r="AF1974" s="23" t="n">
        <v>0</v>
      </c>
      <c r="AG1974" s="23" t="n">
        <v>0.33</v>
      </c>
      <c r="AH1974" s="23" t="n">
        <v>1</v>
      </c>
      <c r="AI1974" s="23" t="n">
        <v>0.2</v>
      </c>
      <c r="AJ1974" s="23" t="n">
        <v>0.9336</v>
      </c>
      <c r="AK1974" s="23" t="n">
        <v>1</v>
      </c>
      <c r="AL1974" s="23" t="n">
        <v>0</v>
      </c>
      <c r="AM1974" s="16" t="n">
        <f aca="false">COUNTIFS($D$2:$D$2501,D1974,$G$2:$G$2501,"&gt;"&amp;G1974)+COUNTIFS($D$2:D1974,D1974,$G$2:G1974,G1974)</f>
        <v>243</v>
      </c>
      <c r="AN1974" s="5" t="str">
        <f aca="false">D1974&amp;"|"&amp;AM1974</f>
        <v>檢索與情資關聯|243</v>
      </c>
    </row>
    <row r="1975" customFormat="false" ht="17.15" hidden="false" customHeight="false" outlineLevel="0" collapsed="false">
      <c r="A1975" s="16" t="n">
        <f aca="false">RANK(G1975,$G$2:$G$2501)+COUNTIF($G$2:G1975,G1975)-1</f>
        <v>1974</v>
      </c>
      <c r="B1975" s="11" t="s">
        <v>4843</v>
      </c>
      <c r="C1975" s="11" t="s">
        <v>2616</v>
      </c>
      <c r="D1975" s="5" t="s">
        <v>80</v>
      </c>
      <c r="E1975" s="5" t="s">
        <v>81</v>
      </c>
      <c r="F1975" s="5"/>
      <c r="G1975" s="22" t="n">
        <f aca="false">ROUND(SUM(I1975:P1975),3)</f>
        <v>52.486</v>
      </c>
      <c r="H1975" s="5" t="str">
        <f aca="false">IF(G1975&gt;=評分方法!$C$16,"優先評估",IF(G1975&gt;=評分方法!$C$17,"列入候選",IF(G1975&gt;=評分方法!$C$18,"特定情境","不建議")))</f>
        <v>不建議</v>
      </c>
      <c r="I1975" s="15" t="n">
        <f aca="false">AE1975*評分方法!$C$5</f>
        <v>6</v>
      </c>
      <c r="J1975" s="15" t="n">
        <f aca="false">AF1975*評分方法!$C$6</f>
        <v>0</v>
      </c>
      <c r="K1975" s="15" t="n">
        <f aca="false">AG1975*評分方法!$C$7</f>
        <v>15</v>
      </c>
      <c r="L1975" s="15" t="n">
        <f aca="false">AH1975*評分方法!$C$8</f>
        <v>13.05</v>
      </c>
      <c r="M1975" s="15" t="n">
        <f aca="false">AI1975*評分方法!$C$9</f>
        <v>10</v>
      </c>
      <c r="N1975" s="15" t="n">
        <f aca="false">AJ1975*評分方法!$C$10</f>
        <v>7.436</v>
      </c>
      <c r="O1975" s="15" t="n">
        <f aca="false">AK1975*評分方法!$C$11</f>
        <v>1</v>
      </c>
      <c r="P1975" s="15" t="n">
        <f aca="false">AL1975*評分方法!$C$12</f>
        <v>0</v>
      </c>
      <c r="Q1975" s="6" t="n">
        <v>1120516</v>
      </c>
      <c r="R1975" s="6" t="n">
        <v>7687729152</v>
      </c>
      <c r="S1975" s="11" t="s">
        <v>254</v>
      </c>
      <c r="T1975" s="11" t="s">
        <v>1636</v>
      </c>
      <c r="U1975" s="5" t="s">
        <v>240</v>
      </c>
      <c r="V1975" s="11" t="s">
        <v>261</v>
      </c>
      <c r="W1975" s="5" t="s">
        <v>205</v>
      </c>
      <c r="X1975" s="5" t="s">
        <v>242</v>
      </c>
      <c r="Y1975" s="5"/>
      <c r="Z1975" s="5"/>
      <c r="AA1975" s="5"/>
      <c r="AB1975" s="5" t="s">
        <v>255</v>
      </c>
      <c r="AC1975" s="5"/>
      <c r="AD1975" s="11" t="s">
        <v>4844</v>
      </c>
      <c r="AE1975" s="23" t="n">
        <v>0.2</v>
      </c>
      <c r="AF1975" s="23" t="n">
        <v>0</v>
      </c>
      <c r="AG1975" s="23" t="n">
        <v>1</v>
      </c>
      <c r="AH1975" s="23" t="n">
        <v>0.87</v>
      </c>
      <c r="AI1975" s="23" t="n">
        <v>1</v>
      </c>
      <c r="AJ1975" s="23" t="n">
        <v>0.7436</v>
      </c>
      <c r="AK1975" s="23" t="n">
        <v>0.2</v>
      </c>
      <c r="AL1975" s="23" t="n">
        <v>0</v>
      </c>
      <c r="AM1975" s="16" t="n">
        <f aca="false">COUNTIFS($D$2:$D$2501,D1975,$G$2:$G$2501,"&gt;"&amp;G1975)+COUNTIFS($D$2:D1975,D1975,$G$2:G1975,G1975)</f>
        <v>10</v>
      </c>
      <c r="AN1975" s="5" t="str">
        <f aca="false">D1975&amp;"|"&amp;AM1975</f>
        <v>其他|10</v>
      </c>
    </row>
    <row r="1976" customFormat="false" ht="17.15" hidden="false" customHeight="false" outlineLevel="0" collapsed="false">
      <c r="A1976" s="16" t="n">
        <f aca="false">RANK(G1976,$G$2:$G$2501)+COUNTIF($G$2:G1976,G1976)-1</f>
        <v>1975</v>
      </c>
      <c r="B1976" s="11" t="s">
        <v>4845</v>
      </c>
      <c r="C1976" s="11" t="s">
        <v>2693</v>
      </c>
      <c r="D1976" s="5" t="s">
        <v>74</v>
      </c>
      <c r="E1976" s="5" t="s">
        <v>75</v>
      </c>
      <c r="F1976" s="5"/>
      <c r="G1976" s="22" t="n">
        <f aca="false">ROUND(SUM(I1976:P1976),3)</f>
        <v>52.456</v>
      </c>
      <c r="H1976" s="5" t="str">
        <f aca="false">IF(G1976&gt;=評分方法!$C$16,"優先評估",IF(G1976&gt;=評分方法!$C$17,"列入候選",IF(G1976&gt;=評分方法!$C$18,"特定情境","不建議")))</f>
        <v>不建議</v>
      </c>
      <c r="I1976" s="15" t="n">
        <f aca="false">AE1976*評分方法!$C$5</f>
        <v>10.5</v>
      </c>
      <c r="J1976" s="15" t="n">
        <f aca="false">AF1976*評分方法!$C$6</f>
        <v>0</v>
      </c>
      <c r="K1976" s="15" t="n">
        <f aca="false">AG1976*評分方法!$C$7</f>
        <v>15</v>
      </c>
      <c r="L1976" s="15" t="n">
        <f aca="false">AH1976*評分方法!$C$8</f>
        <v>15</v>
      </c>
      <c r="M1976" s="15" t="n">
        <f aca="false">AI1976*評分方法!$C$9</f>
        <v>6</v>
      </c>
      <c r="N1976" s="15" t="n">
        <f aca="false">AJ1976*評分方法!$C$10</f>
        <v>1.956</v>
      </c>
      <c r="O1976" s="15" t="n">
        <f aca="false">AK1976*評分方法!$C$11</f>
        <v>2.5</v>
      </c>
      <c r="P1976" s="15" t="n">
        <f aca="false">AL1976*評分方法!$C$12</f>
        <v>1.5</v>
      </c>
      <c r="Q1976" s="6" t="n">
        <v>207559</v>
      </c>
      <c r="R1976" s="6" t="n">
        <v>4053496</v>
      </c>
      <c r="S1976" s="11" t="s">
        <v>238</v>
      </c>
      <c r="T1976" s="11" t="s">
        <v>185</v>
      </c>
      <c r="U1976" s="5" t="s">
        <v>260</v>
      </c>
      <c r="V1976" s="11" t="s">
        <v>324</v>
      </c>
      <c r="W1976" s="5" t="s">
        <v>205</v>
      </c>
      <c r="X1976" s="5" t="s">
        <v>255</v>
      </c>
      <c r="Y1976" s="5"/>
      <c r="Z1976" s="5"/>
      <c r="AA1976" s="11" t="s">
        <v>172</v>
      </c>
      <c r="AB1976" s="5" t="s">
        <v>245</v>
      </c>
      <c r="AC1976" s="5" t="s">
        <v>262</v>
      </c>
      <c r="AD1976" s="11" t="s">
        <v>4846</v>
      </c>
      <c r="AE1976" s="23" t="n">
        <v>0.35</v>
      </c>
      <c r="AF1976" s="23" t="n">
        <v>0</v>
      </c>
      <c r="AG1976" s="23" t="n">
        <v>1</v>
      </c>
      <c r="AH1976" s="23" t="n">
        <v>1</v>
      </c>
      <c r="AI1976" s="23" t="n">
        <v>0.6</v>
      </c>
      <c r="AJ1976" s="23" t="n">
        <v>0.1956</v>
      </c>
      <c r="AK1976" s="23" t="n">
        <v>0.5</v>
      </c>
      <c r="AL1976" s="23" t="n">
        <v>0.3</v>
      </c>
      <c r="AM1976" s="16" t="n">
        <f aca="false">COUNTIFS($D$2:$D$2501,D1976,$G$2:$G$2501,"&gt;"&amp;G1976)+COUNTIFS($D$2:D1976,D1976,$G$2:G1976,G1976)</f>
        <v>252</v>
      </c>
      <c r="AN1976" s="5" t="str">
        <f aca="false">D1976&amp;"|"&amp;AM1976</f>
        <v>文件與影像辨識|252</v>
      </c>
    </row>
    <row r="1977" customFormat="false" ht="17.15" hidden="false" customHeight="false" outlineLevel="0" collapsed="false">
      <c r="A1977" s="16" t="n">
        <f aca="false">RANK(G1977,$G$2:$G$2501)+COUNTIF($G$2:G1977,G1977)-1</f>
        <v>1976</v>
      </c>
      <c r="B1977" s="11" t="s">
        <v>4847</v>
      </c>
      <c r="C1977" s="11" t="s">
        <v>2481</v>
      </c>
      <c r="D1977" s="5" t="s">
        <v>66</v>
      </c>
      <c r="E1977" s="5" t="s">
        <v>67</v>
      </c>
      <c r="F1977" s="5"/>
      <c r="G1977" s="22" t="n">
        <f aca="false">ROUND(SUM(I1977:P1977),3)</f>
        <v>52.454</v>
      </c>
      <c r="H1977" s="5" t="str">
        <f aca="false">IF(G1977&gt;=評分方法!$C$16,"優先評估",IF(G1977&gt;=評分方法!$C$17,"列入候選",IF(G1977&gt;=評分方法!$C$18,"特定情境","不建議")))</f>
        <v>不建議</v>
      </c>
      <c r="I1977" s="15" t="n">
        <f aca="false">AE1977*評分方法!$C$5</f>
        <v>12</v>
      </c>
      <c r="J1977" s="15" t="n">
        <f aca="false">AF1977*評分方法!$C$6</f>
        <v>0</v>
      </c>
      <c r="K1977" s="15" t="n">
        <f aca="false">AG1977*評分方法!$C$7</f>
        <v>4.95</v>
      </c>
      <c r="L1977" s="15" t="n">
        <f aca="false">AH1977*評分方法!$C$8</f>
        <v>15</v>
      </c>
      <c r="M1977" s="15" t="n">
        <f aca="false">AI1977*評分方法!$C$9</f>
        <v>10</v>
      </c>
      <c r="N1977" s="15" t="n">
        <f aca="false">AJ1977*評分方法!$C$10</f>
        <v>8.004</v>
      </c>
      <c r="O1977" s="15" t="n">
        <f aca="false">AK1977*評分方法!$C$11</f>
        <v>1</v>
      </c>
      <c r="P1977" s="15" t="n">
        <f aca="false">AL1977*評分方法!$C$12</f>
        <v>1.5</v>
      </c>
      <c r="Q1977" s="6" t="n">
        <v>1557678</v>
      </c>
      <c r="R1977" s="6" t="n">
        <v>82121221</v>
      </c>
      <c r="S1977" s="11" t="s">
        <v>238</v>
      </c>
      <c r="T1977" s="11" t="s">
        <v>239</v>
      </c>
      <c r="U1977" s="5" t="s">
        <v>240</v>
      </c>
      <c r="V1977" s="11" t="s">
        <v>324</v>
      </c>
      <c r="W1977" s="5" t="s">
        <v>334</v>
      </c>
      <c r="X1977" s="5" t="s">
        <v>255</v>
      </c>
      <c r="Y1977" s="5"/>
      <c r="Z1977" s="5"/>
      <c r="AA1977" s="11" t="s">
        <v>149</v>
      </c>
      <c r="AB1977" s="5" t="s">
        <v>245</v>
      </c>
      <c r="AC1977" s="5" t="s">
        <v>3044</v>
      </c>
      <c r="AD1977" s="11" t="s">
        <v>4848</v>
      </c>
      <c r="AE1977" s="23" t="n">
        <v>0.4</v>
      </c>
      <c r="AF1977" s="23" t="n">
        <v>0</v>
      </c>
      <c r="AG1977" s="23" t="n">
        <v>0.33</v>
      </c>
      <c r="AH1977" s="23" t="n">
        <v>1</v>
      </c>
      <c r="AI1977" s="23" t="n">
        <v>1</v>
      </c>
      <c r="AJ1977" s="23" t="n">
        <v>0.8004</v>
      </c>
      <c r="AK1977" s="23" t="n">
        <v>0.2</v>
      </c>
      <c r="AL1977" s="23" t="n">
        <v>0.3</v>
      </c>
      <c r="AM1977" s="16" t="n">
        <f aca="false">COUNTIFS($D$2:$D$2501,D1977,$G$2:$G$2501,"&gt;"&amp;G1977)+COUNTIFS($D$2:D1977,D1977,$G$2:G1977,G1977)</f>
        <v>56</v>
      </c>
      <c r="AN1977" s="5" t="str">
        <f aca="false">D1977&amp;"|"&amp;AM1977</f>
        <v>分類與偵測|56</v>
      </c>
    </row>
    <row r="1978" customFormat="false" ht="17.15" hidden="false" customHeight="false" outlineLevel="0" collapsed="false">
      <c r="A1978" s="16" t="n">
        <f aca="false">RANK(G1978,$G$2:$G$2501)+COUNTIF($G$2:G1978,G1978)-1</f>
        <v>1977</v>
      </c>
      <c r="B1978" s="11" t="s">
        <v>4849</v>
      </c>
      <c r="C1978" s="11" t="s">
        <v>258</v>
      </c>
      <c r="D1978" s="5" t="s">
        <v>56</v>
      </c>
      <c r="E1978" s="5" t="s">
        <v>57</v>
      </c>
      <c r="F1978" s="5"/>
      <c r="G1978" s="22" t="n">
        <f aca="false">ROUND(SUM(I1978:P1978),3)</f>
        <v>52.454</v>
      </c>
      <c r="H1978" s="5" t="str">
        <f aca="false">IF(G1978&gt;=評分方法!$C$16,"優先評估",IF(G1978&gt;=評分方法!$C$17,"列入候選",IF(G1978&gt;=評分方法!$C$18,"特定情境","不建議")))</f>
        <v>不建議</v>
      </c>
      <c r="I1978" s="15" t="n">
        <f aca="false">AE1978*評分方法!$C$5</f>
        <v>25.5</v>
      </c>
      <c r="J1978" s="15" t="n">
        <f aca="false">AF1978*評分方法!$C$6</f>
        <v>0</v>
      </c>
      <c r="K1978" s="15" t="n">
        <f aca="false">AG1978*評分方法!$C$7</f>
        <v>15</v>
      </c>
      <c r="L1978" s="15" t="n">
        <f aca="false">AH1978*評分方法!$C$8</f>
        <v>1.95</v>
      </c>
      <c r="M1978" s="15" t="n">
        <f aca="false">AI1978*評分方法!$C$9</f>
        <v>6</v>
      </c>
      <c r="N1978" s="15" t="n">
        <f aca="false">AJ1978*評分方法!$C$10</f>
        <v>1.504</v>
      </c>
      <c r="O1978" s="15" t="n">
        <f aca="false">AK1978*評分方法!$C$11</f>
        <v>2.5</v>
      </c>
      <c r="P1978" s="15" t="n">
        <f aca="false">AL1978*評分方法!$C$12</f>
        <v>0</v>
      </c>
      <c r="Q1978" s="6" t="n">
        <v>179965</v>
      </c>
      <c r="R1978" s="6" t="n">
        <v>401583781376</v>
      </c>
      <c r="S1978" s="11" t="s">
        <v>1616</v>
      </c>
      <c r="T1978" s="11" t="s">
        <v>185</v>
      </c>
      <c r="U1978" s="5" t="s">
        <v>260</v>
      </c>
      <c r="V1978" s="11" t="s">
        <v>261</v>
      </c>
      <c r="W1978" s="5" t="s">
        <v>205</v>
      </c>
      <c r="X1978" s="5" t="s">
        <v>242</v>
      </c>
      <c r="Y1978" s="11" t="s">
        <v>4850</v>
      </c>
      <c r="Z1978" s="11" t="s">
        <v>270</v>
      </c>
      <c r="AA1978" s="11" t="s">
        <v>156</v>
      </c>
      <c r="AB1978" s="5" t="s">
        <v>245</v>
      </c>
      <c r="AC1978" s="5" t="s">
        <v>262</v>
      </c>
      <c r="AD1978" s="11" t="s">
        <v>4851</v>
      </c>
      <c r="AE1978" s="23" t="n">
        <v>0.85</v>
      </c>
      <c r="AF1978" s="23" t="n">
        <v>0</v>
      </c>
      <c r="AG1978" s="23" t="n">
        <v>1</v>
      </c>
      <c r="AH1978" s="23" t="n">
        <v>0.13</v>
      </c>
      <c r="AI1978" s="23" t="n">
        <v>0.6</v>
      </c>
      <c r="AJ1978" s="23" t="n">
        <v>0.1504</v>
      </c>
      <c r="AK1978" s="23" t="n">
        <v>0.5</v>
      </c>
      <c r="AL1978" s="23" t="n">
        <v>0</v>
      </c>
      <c r="AM1978" s="16" t="n">
        <f aca="false">COUNTIFS($D$2:$D$2501,D1978,$G$2:$G$2501,"&gt;"&amp;G1978)+COUNTIFS($D$2:D1978,D1978,$G$2:G1978,G1978)</f>
        <v>904</v>
      </c>
      <c r="AN1978" s="5" t="str">
        <f aca="false">D1978&amp;"|"&amp;AM1978</f>
        <v>分析與報告生成|904</v>
      </c>
    </row>
    <row r="1979" customFormat="false" ht="17.15" hidden="false" customHeight="false" outlineLevel="0" collapsed="false">
      <c r="A1979" s="16" t="n">
        <f aca="false">RANK(G1979,$G$2:$G$2501)+COUNTIF($G$2:G1979,G1979)-1</f>
        <v>1978</v>
      </c>
      <c r="B1979" s="11" t="s">
        <v>4852</v>
      </c>
      <c r="C1979" s="11" t="s">
        <v>308</v>
      </c>
      <c r="D1979" s="5" t="s">
        <v>74</v>
      </c>
      <c r="E1979" s="5" t="s">
        <v>75</v>
      </c>
      <c r="F1979" s="5"/>
      <c r="G1979" s="22" t="n">
        <f aca="false">ROUND(SUM(I1979:P1979),3)</f>
        <v>52.444</v>
      </c>
      <c r="H1979" s="5" t="str">
        <f aca="false">IF(G1979&gt;=評分方法!$C$16,"優先評估",IF(G1979&gt;=評分方法!$C$17,"列入候選",IF(G1979&gt;=評分方法!$C$18,"特定情境","不建議")))</f>
        <v>不建議</v>
      </c>
      <c r="I1979" s="15" t="n">
        <f aca="false">AE1979*評分方法!$C$5</f>
        <v>7.5</v>
      </c>
      <c r="J1979" s="15" t="n">
        <f aca="false">AF1979*評分方法!$C$6</f>
        <v>0</v>
      </c>
      <c r="K1979" s="15" t="n">
        <f aca="false">AG1979*評分方法!$C$7</f>
        <v>15</v>
      </c>
      <c r="L1979" s="15" t="n">
        <f aca="false">AH1979*評分方法!$C$8</f>
        <v>15</v>
      </c>
      <c r="M1979" s="15" t="n">
        <f aca="false">AI1979*評分方法!$C$9</f>
        <v>10</v>
      </c>
      <c r="N1979" s="15" t="n">
        <f aca="false">AJ1979*評分方法!$C$10</f>
        <v>3.944</v>
      </c>
      <c r="O1979" s="15" t="n">
        <f aca="false">AK1979*評分方法!$C$11</f>
        <v>1</v>
      </c>
      <c r="P1979" s="15" t="n">
        <f aca="false">AL1979*評分方法!$C$12</f>
        <v>0</v>
      </c>
      <c r="Q1979" s="6" t="n">
        <v>408795</v>
      </c>
      <c r="R1979" s="6" t="n">
        <v>194941714</v>
      </c>
      <c r="S1979" s="11" t="s">
        <v>238</v>
      </c>
      <c r="T1979" s="11" t="s">
        <v>278</v>
      </c>
      <c r="U1979" s="5" t="s">
        <v>240</v>
      </c>
      <c r="V1979" s="11" t="s">
        <v>324</v>
      </c>
      <c r="W1979" s="5" t="s">
        <v>205</v>
      </c>
      <c r="X1979" s="5" t="s">
        <v>242</v>
      </c>
      <c r="Y1979" s="5"/>
      <c r="Z1979" s="5"/>
      <c r="AA1979" s="11" t="s">
        <v>179</v>
      </c>
      <c r="AB1979" s="5" t="s">
        <v>245</v>
      </c>
      <c r="AC1979" s="5"/>
      <c r="AD1979" s="11" t="s">
        <v>4853</v>
      </c>
      <c r="AE1979" s="23" t="n">
        <v>0.25</v>
      </c>
      <c r="AF1979" s="23" t="n">
        <v>0</v>
      </c>
      <c r="AG1979" s="23" t="n">
        <v>1</v>
      </c>
      <c r="AH1979" s="23" t="n">
        <v>1</v>
      </c>
      <c r="AI1979" s="23" t="n">
        <v>1</v>
      </c>
      <c r="AJ1979" s="23" t="n">
        <v>0.3944</v>
      </c>
      <c r="AK1979" s="23" t="n">
        <v>0.2</v>
      </c>
      <c r="AL1979" s="23" t="n">
        <v>0</v>
      </c>
      <c r="AM1979" s="16" t="n">
        <f aca="false">COUNTIFS($D$2:$D$2501,D1979,$G$2:$G$2501,"&gt;"&amp;G1979)+COUNTIFS($D$2:D1979,D1979,$G$2:G1979,G1979)</f>
        <v>253</v>
      </c>
      <c r="AN1979" s="5" t="str">
        <f aca="false">D1979&amp;"|"&amp;AM1979</f>
        <v>文件與影像辨識|253</v>
      </c>
    </row>
    <row r="1980" customFormat="false" ht="17.15" hidden="false" customHeight="false" outlineLevel="0" collapsed="false">
      <c r="A1980" s="16" t="n">
        <f aca="false">RANK(G1980,$G$2:$G$2501)+COUNTIF($G$2:G1980,G1980)-1</f>
        <v>1979</v>
      </c>
      <c r="B1980" s="11" t="s">
        <v>4854</v>
      </c>
      <c r="C1980" s="11" t="s">
        <v>4855</v>
      </c>
      <c r="D1980" s="5" t="s">
        <v>74</v>
      </c>
      <c r="E1980" s="5" t="s">
        <v>75</v>
      </c>
      <c r="F1980" s="5"/>
      <c r="G1980" s="22" t="n">
        <f aca="false">ROUND(SUM(I1980:P1980),3)</f>
        <v>52.346</v>
      </c>
      <c r="H1980" s="5" t="str">
        <f aca="false">IF(G1980&gt;=評分方法!$C$16,"優先評估",IF(G1980&gt;=評分方法!$C$17,"列入候選",IF(G1980&gt;=評分方法!$C$18,"特定情境","不建議")))</f>
        <v>不建議</v>
      </c>
      <c r="I1980" s="15" t="n">
        <f aca="false">AE1980*評分方法!$C$5</f>
        <v>12</v>
      </c>
      <c r="J1980" s="15" t="n">
        <f aca="false">AF1980*評分方法!$C$6</f>
        <v>0</v>
      </c>
      <c r="K1980" s="15" t="n">
        <f aca="false">AG1980*評分方法!$C$7</f>
        <v>4.95</v>
      </c>
      <c r="L1980" s="15" t="n">
        <f aca="false">AH1980*評分方法!$C$8</f>
        <v>15</v>
      </c>
      <c r="M1980" s="15" t="n">
        <f aca="false">AI1980*評分方法!$C$9</f>
        <v>10</v>
      </c>
      <c r="N1980" s="15" t="n">
        <f aca="false">AJ1980*評分方法!$C$10</f>
        <v>7.896</v>
      </c>
      <c r="O1980" s="15" t="n">
        <f aca="false">AK1980*評分方法!$C$11</f>
        <v>1</v>
      </c>
      <c r="P1980" s="15" t="n">
        <f aca="false">AL1980*評分方法!$C$12</f>
        <v>1.5</v>
      </c>
      <c r="Q1980" s="6" t="n">
        <v>1469303</v>
      </c>
      <c r="R1980" s="6" t="n">
        <v>23446290</v>
      </c>
      <c r="S1980" s="11" t="s">
        <v>238</v>
      </c>
      <c r="T1980" s="11" t="s">
        <v>278</v>
      </c>
      <c r="U1980" s="5" t="s">
        <v>240</v>
      </c>
      <c r="V1980" s="11" t="s">
        <v>324</v>
      </c>
      <c r="W1980" s="5" t="s">
        <v>334</v>
      </c>
      <c r="X1980" s="5" t="s">
        <v>255</v>
      </c>
      <c r="Y1980" s="5"/>
      <c r="Z1980" s="5"/>
      <c r="AA1980" s="11" t="s">
        <v>167</v>
      </c>
      <c r="AB1980" s="5" t="s">
        <v>245</v>
      </c>
      <c r="AC1980" s="5"/>
      <c r="AD1980" s="11" t="s">
        <v>4856</v>
      </c>
      <c r="AE1980" s="23" t="n">
        <v>0.4</v>
      </c>
      <c r="AF1980" s="23" t="n">
        <v>0</v>
      </c>
      <c r="AG1980" s="23" t="n">
        <v>0.33</v>
      </c>
      <c r="AH1980" s="23" t="n">
        <v>1</v>
      </c>
      <c r="AI1980" s="23" t="n">
        <v>1</v>
      </c>
      <c r="AJ1980" s="23" t="n">
        <v>0.7896</v>
      </c>
      <c r="AK1980" s="23" t="n">
        <v>0.2</v>
      </c>
      <c r="AL1980" s="23" t="n">
        <v>0.3</v>
      </c>
      <c r="AM1980" s="16" t="n">
        <f aca="false">COUNTIFS($D$2:$D$2501,D1980,$G$2:$G$2501,"&gt;"&amp;G1980)+COUNTIFS($D$2:D1980,D1980,$G$2:G1980,G1980)</f>
        <v>254</v>
      </c>
      <c r="AN1980" s="5" t="str">
        <f aca="false">D1980&amp;"|"&amp;AM1980</f>
        <v>文件與影像辨識|254</v>
      </c>
    </row>
    <row r="1981" customFormat="false" ht="17.15" hidden="false" customHeight="false" outlineLevel="0" collapsed="false">
      <c r="A1981" s="16" t="n">
        <f aca="false">RANK(G1981,$G$2:$G$2501)+COUNTIF($G$2:G1981,G1981)-1</f>
        <v>1980</v>
      </c>
      <c r="B1981" s="11" t="s">
        <v>4857</v>
      </c>
      <c r="C1981" s="11" t="s">
        <v>4690</v>
      </c>
      <c r="D1981" s="5" t="s">
        <v>54</v>
      </c>
      <c r="E1981" s="5" t="s">
        <v>55</v>
      </c>
      <c r="F1981" s="5"/>
      <c r="G1981" s="22" t="n">
        <f aca="false">ROUND(SUM(I1981:P1981),3)</f>
        <v>52.302</v>
      </c>
      <c r="H1981" s="5" t="str">
        <f aca="false">IF(G1981&gt;=評分方法!$C$16,"優先評估",IF(G1981&gt;=評分方法!$C$17,"列入候選",IF(G1981&gt;=評分方法!$C$18,"特定情境","不建議")))</f>
        <v>不建議</v>
      </c>
      <c r="I1981" s="15" t="n">
        <f aca="false">AE1981*評分方法!$C$5</f>
        <v>16.2</v>
      </c>
      <c r="J1981" s="15" t="n">
        <f aca="false">AF1981*評分方法!$C$6</f>
        <v>0</v>
      </c>
      <c r="K1981" s="15" t="n">
        <f aca="false">AG1981*評分方法!$C$7</f>
        <v>4.95</v>
      </c>
      <c r="L1981" s="15" t="n">
        <f aca="false">AH1981*評分方法!$C$8</f>
        <v>15</v>
      </c>
      <c r="M1981" s="15" t="n">
        <f aca="false">AI1981*評分方法!$C$9</f>
        <v>10</v>
      </c>
      <c r="N1981" s="15" t="n">
        <f aca="false">AJ1981*評分方法!$C$10</f>
        <v>3.652</v>
      </c>
      <c r="O1981" s="15" t="n">
        <f aca="false">AK1981*評分方法!$C$11</f>
        <v>2.5</v>
      </c>
      <c r="P1981" s="15" t="n">
        <f aca="false">AL1981*評分方法!$C$12</f>
        <v>0</v>
      </c>
      <c r="Q1981" s="6" t="n">
        <v>371021</v>
      </c>
      <c r="R1981" s="6" t="n">
        <v>68095489</v>
      </c>
      <c r="S1981" s="11" t="s">
        <v>238</v>
      </c>
      <c r="T1981" s="11" t="s">
        <v>278</v>
      </c>
      <c r="U1981" s="5" t="s">
        <v>240</v>
      </c>
      <c r="V1981" s="11" t="s">
        <v>261</v>
      </c>
      <c r="W1981" s="5" t="s">
        <v>334</v>
      </c>
      <c r="X1981" s="5" t="s">
        <v>242</v>
      </c>
      <c r="Y1981" s="11" t="s">
        <v>4858</v>
      </c>
      <c r="Z1981" s="11" t="s">
        <v>270</v>
      </c>
      <c r="AA1981" s="11" t="s">
        <v>154</v>
      </c>
      <c r="AB1981" s="5" t="s">
        <v>245</v>
      </c>
      <c r="AC1981" s="5" t="s">
        <v>1463</v>
      </c>
      <c r="AD1981" s="11" t="s">
        <v>4859</v>
      </c>
      <c r="AE1981" s="23" t="n">
        <v>0.54</v>
      </c>
      <c r="AF1981" s="23" t="n">
        <v>0</v>
      </c>
      <c r="AG1981" s="23" t="n">
        <v>0.33</v>
      </c>
      <c r="AH1981" s="23" t="n">
        <v>1</v>
      </c>
      <c r="AI1981" s="23" t="n">
        <v>1</v>
      </c>
      <c r="AJ1981" s="23" t="n">
        <v>0.3652</v>
      </c>
      <c r="AK1981" s="23" t="n">
        <v>0.5</v>
      </c>
      <c r="AL1981" s="23" t="n">
        <v>0</v>
      </c>
      <c r="AM1981" s="16" t="n">
        <f aca="false">COUNTIFS($D$2:$D$2501,D1981,$G$2:$G$2501,"&gt;"&amp;G1981)+COUNTIFS($D$2:D1981,D1981,$G$2:G1981,G1981)</f>
        <v>244</v>
      </c>
      <c r="AN1981" s="5" t="str">
        <f aca="false">D1981&amp;"|"&amp;AM1981</f>
        <v>檢索與情資關聯|244</v>
      </c>
    </row>
    <row r="1982" customFormat="false" ht="17.15" hidden="false" customHeight="false" outlineLevel="0" collapsed="false">
      <c r="A1982" s="16" t="n">
        <f aca="false">RANK(G1982,$G$2:$G$2501)+COUNTIF($G$2:G1982,G1982)-1</f>
        <v>1981</v>
      </c>
      <c r="B1982" s="11" t="s">
        <v>4860</v>
      </c>
      <c r="C1982" s="11" t="s">
        <v>4861</v>
      </c>
      <c r="D1982" s="5" t="s">
        <v>56</v>
      </c>
      <c r="E1982" s="5" t="s">
        <v>57</v>
      </c>
      <c r="F1982" s="5"/>
      <c r="G1982" s="22" t="n">
        <f aca="false">ROUND(SUM(I1982:P1982),3)</f>
        <v>52.284</v>
      </c>
      <c r="H1982" s="5" t="str">
        <f aca="false">IF(G1982&gt;=評分方法!$C$16,"優先評估",IF(G1982&gt;=評分方法!$C$17,"列入候選",IF(G1982&gt;=評分方法!$C$18,"特定情境","不建議")))</f>
        <v>不建議</v>
      </c>
      <c r="I1982" s="15" t="n">
        <f aca="false">AE1982*評分方法!$C$5</f>
        <v>25.5</v>
      </c>
      <c r="J1982" s="15" t="n">
        <f aca="false">AF1982*評分方法!$C$6</f>
        <v>0</v>
      </c>
      <c r="K1982" s="15" t="n">
        <f aca="false">AG1982*評分方法!$C$7</f>
        <v>4.95</v>
      </c>
      <c r="L1982" s="15" t="n">
        <f aca="false">AH1982*評分方法!$C$8</f>
        <v>4.95</v>
      </c>
      <c r="M1982" s="15" t="n">
        <f aca="false">AI1982*評分方法!$C$9</f>
        <v>6</v>
      </c>
      <c r="N1982" s="15" t="n">
        <f aca="false">AJ1982*評分方法!$C$10</f>
        <v>5.384</v>
      </c>
      <c r="O1982" s="15" t="n">
        <f aca="false">AK1982*評分方法!$C$11</f>
        <v>2.5</v>
      </c>
      <c r="P1982" s="15" t="n">
        <f aca="false">AL1982*評分方法!$C$12</f>
        <v>3</v>
      </c>
      <c r="Q1982" s="6" t="n">
        <v>566439</v>
      </c>
      <c r="R1982" s="6" t="n">
        <v>70553706496</v>
      </c>
      <c r="S1982" s="11" t="s">
        <v>1876</v>
      </c>
      <c r="T1982" s="11" t="s">
        <v>1177</v>
      </c>
      <c r="U1982" s="5" t="s">
        <v>260</v>
      </c>
      <c r="V1982" s="11" t="s">
        <v>261</v>
      </c>
      <c r="W1982" s="5" t="s">
        <v>334</v>
      </c>
      <c r="X1982" s="5" t="s">
        <v>371</v>
      </c>
      <c r="Y1982" s="11" t="s">
        <v>4862</v>
      </c>
      <c r="Z1982" s="11" t="s">
        <v>270</v>
      </c>
      <c r="AA1982" s="11" t="s">
        <v>155</v>
      </c>
      <c r="AB1982" s="5" t="s">
        <v>245</v>
      </c>
      <c r="AC1982" s="5" t="s">
        <v>262</v>
      </c>
      <c r="AD1982" s="11" t="s">
        <v>4863</v>
      </c>
      <c r="AE1982" s="23" t="n">
        <v>0.85</v>
      </c>
      <c r="AF1982" s="23" t="n">
        <v>0</v>
      </c>
      <c r="AG1982" s="23" t="n">
        <v>0.33</v>
      </c>
      <c r="AH1982" s="23" t="n">
        <v>0.33</v>
      </c>
      <c r="AI1982" s="23" t="n">
        <v>0.6</v>
      </c>
      <c r="AJ1982" s="23" t="n">
        <v>0.5384</v>
      </c>
      <c r="AK1982" s="23" t="n">
        <v>0.5</v>
      </c>
      <c r="AL1982" s="23" t="n">
        <v>0.6</v>
      </c>
      <c r="AM1982" s="16" t="n">
        <f aca="false">COUNTIFS($D$2:$D$2501,D1982,$G$2:$G$2501,"&gt;"&amp;G1982)+COUNTIFS($D$2:D1982,D1982,$G$2:G1982,G1982)</f>
        <v>905</v>
      </c>
      <c r="AN1982" s="5" t="str">
        <f aca="false">D1982&amp;"|"&amp;AM1982</f>
        <v>分析與報告生成|905</v>
      </c>
    </row>
    <row r="1983" customFormat="false" ht="17.15" hidden="false" customHeight="false" outlineLevel="0" collapsed="false">
      <c r="A1983" s="16" t="n">
        <f aca="false">RANK(G1983,$G$2:$G$2501)+COUNTIF($G$2:G1983,G1983)-1</f>
        <v>1982</v>
      </c>
      <c r="B1983" s="11" t="s">
        <v>4864</v>
      </c>
      <c r="C1983" s="11" t="s">
        <v>753</v>
      </c>
      <c r="D1983" s="5" t="s">
        <v>56</v>
      </c>
      <c r="E1983" s="5" t="s">
        <v>57</v>
      </c>
      <c r="F1983" s="5"/>
      <c r="G1983" s="22" t="n">
        <f aca="false">ROUND(SUM(I1983:P1983),3)</f>
        <v>52.284</v>
      </c>
      <c r="H1983" s="5" t="str">
        <f aca="false">IF(G1983&gt;=評分方法!$C$16,"優先評估",IF(G1983&gt;=評分方法!$C$17,"列入候選",IF(G1983&gt;=評分方法!$C$18,"特定情境","不建議")))</f>
        <v>不建議</v>
      </c>
      <c r="I1983" s="15" t="n">
        <f aca="false">AE1983*評分方法!$C$5</f>
        <v>25.5</v>
      </c>
      <c r="J1983" s="15" t="n">
        <f aca="false">AF1983*評分方法!$C$6</f>
        <v>0</v>
      </c>
      <c r="K1983" s="15" t="n">
        <f aca="false">AG1983*評分方法!$C$7</f>
        <v>10.05</v>
      </c>
      <c r="L1983" s="15" t="n">
        <f aca="false">AH1983*評分方法!$C$8</f>
        <v>4.95</v>
      </c>
      <c r="M1983" s="15" t="n">
        <f aca="false">AI1983*評分方法!$C$9</f>
        <v>6</v>
      </c>
      <c r="N1983" s="15" t="n">
        <f aca="false">AJ1983*評分方法!$C$10</f>
        <v>3.284</v>
      </c>
      <c r="O1983" s="15" t="n">
        <f aca="false">AK1983*評分方法!$C$11</f>
        <v>2.5</v>
      </c>
      <c r="P1983" s="15" t="n">
        <f aca="false">AL1983*評分方法!$C$12</f>
        <v>0</v>
      </c>
      <c r="Q1983" s="6" t="n">
        <v>328382</v>
      </c>
      <c r="R1983" s="6" t="n">
        <v>70553706560</v>
      </c>
      <c r="S1983" s="11" t="s">
        <v>1876</v>
      </c>
      <c r="T1983" s="11" t="s">
        <v>2741</v>
      </c>
      <c r="U1983" s="5" t="s">
        <v>260</v>
      </c>
      <c r="V1983" s="11" t="s">
        <v>333</v>
      </c>
      <c r="W1983" s="5" t="s">
        <v>207</v>
      </c>
      <c r="X1983" s="5" t="s">
        <v>242</v>
      </c>
      <c r="Y1983" s="11" t="s">
        <v>2742</v>
      </c>
      <c r="Z1983" s="11" t="s">
        <v>244</v>
      </c>
      <c r="AA1983" s="11" t="s">
        <v>155</v>
      </c>
      <c r="AB1983" s="5" t="s">
        <v>245</v>
      </c>
      <c r="AC1983" s="5" t="s">
        <v>464</v>
      </c>
      <c r="AD1983" s="11" t="s">
        <v>4865</v>
      </c>
      <c r="AE1983" s="23" t="n">
        <v>0.85</v>
      </c>
      <c r="AF1983" s="23" t="n">
        <v>0</v>
      </c>
      <c r="AG1983" s="23" t="n">
        <v>0.67</v>
      </c>
      <c r="AH1983" s="23" t="n">
        <v>0.33</v>
      </c>
      <c r="AI1983" s="23" t="n">
        <v>0.6</v>
      </c>
      <c r="AJ1983" s="23" t="n">
        <v>0.3284</v>
      </c>
      <c r="AK1983" s="23" t="n">
        <v>0.5</v>
      </c>
      <c r="AL1983" s="23" t="n">
        <v>0</v>
      </c>
      <c r="AM1983" s="16" t="n">
        <f aca="false">COUNTIFS($D$2:$D$2501,D1983,$G$2:$G$2501,"&gt;"&amp;G1983)+COUNTIFS($D$2:D1983,D1983,$G$2:G1983,G1983)</f>
        <v>906</v>
      </c>
      <c r="AN1983" s="5" t="str">
        <f aca="false">D1983&amp;"|"&amp;AM1983</f>
        <v>分析與報告生成|906</v>
      </c>
    </row>
    <row r="1984" customFormat="false" ht="17.15" hidden="false" customHeight="false" outlineLevel="0" collapsed="false">
      <c r="A1984" s="16" t="n">
        <f aca="false">RANK(G1984,$G$2:$G$2501)+COUNTIF($G$2:G1984,G1984)-1</f>
        <v>1983</v>
      </c>
      <c r="B1984" s="11" t="s">
        <v>4866</v>
      </c>
      <c r="C1984" s="11" t="s">
        <v>4867</v>
      </c>
      <c r="D1984" s="5" t="s">
        <v>54</v>
      </c>
      <c r="E1984" s="5" t="s">
        <v>55</v>
      </c>
      <c r="F1984" s="5"/>
      <c r="G1984" s="22" t="n">
        <f aca="false">ROUND(SUM(I1984:P1984),3)</f>
        <v>52.242</v>
      </c>
      <c r="H1984" s="5" t="str">
        <f aca="false">IF(G1984&gt;=評分方法!$C$16,"優先評估",IF(G1984&gt;=評分方法!$C$17,"列入候選",IF(G1984&gt;=評分方法!$C$18,"特定情境","不建議")))</f>
        <v>不建議</v>
      </c>
      <c r="I1984" s="15" t="n">
        <f aca="false">AE1984*評分方法!$C$5</f>
        <v>16.2</v>
      </c>
      <c r="J1984" s="15" t="n">
        <f aca="false">AF1984*評分方法!$C$6</f>
        <v>0</v>
      </c>
      <c r="K1984" s="15" t="n">
        <f aca="false">AG1984*評分方法!$C$7</f>
        <v>4.95</v>
      </c>
      <c r="L1984" s="15" t="n">
        <f aca="false">AH1984*評分方法!$C$8</f>
        <v>15</v>
      </c>
      <c r="M1984" s="15" t="n">
        <f aca="false">AI1984*評分方法!$C$9</f>
        <v>8</v>
      </c>
      <c r="N1984" s="15" t="n">
        <f aca="false">AJ1984*評分方法!$C$10</f>
        <v>7.092</v>
      </c>
      <c r="O1984" s="15" t="n">
        <f aca="false">AK1984*評分方法!$C$11</f>
        <v>1</v>
      </c>
      <c r="P1984" s="15" t="n">
        <f aca="false">AL1984*評分方法!$C$12</f>
        <v>0</v>
      </c>
      <c r="Q1984" s="6" t="n">
        <v>955218</v>
      </c>
      <c r="R1984" s="6" t="n">
        <v>110617856</v>
      </c>
      <c r="S1984" s="11" t="s">
        <v>238</v>
      </c>
      <c r="T1984" s="11" t="s">
        <v>1821</v>
      </c>
      <c r="U1984" s="5" t="s">
        <v>1822</v>
      </c>
      <c r="V1984" s="11" t="s">
        <v>324</v>
      </c>
      <c r="W1984" s="5" t="s">
        <v>334</v>
      </c>
      <c r="X1984" s="5" t="s">
        <v>242</v>
      </c>
      <c r="Y1984" s="5"/>
      <c r="Z1984" s="5"/>
      <c r="AA1984" s="11" t="s">
        <v>153</v>
      </c>
      <c r="AB1984" s="5" t="s">
        <v>245</v>
      </c>
      <c r="AC1984" s="5" t="s">
        <v>1463</v>
      </c>
      <c r="AD1984" s="11" t="s">
        <v>4868</v>
      </c>
      <c r="AE1984" s="23" t="n">
        <v>0.54</v>
      </c>
      <c r="AF1984" s="23" t="n">
        <v>0</v>
      </c>
      <c r="AG1984" s="23" t="n">
        <v>0.33</v>
      </c>
      <c r="AH1984" s="23" t="n">
        <v>1</v>
      </c>
      <c r="AI1984" s="23" t="n">
        <v>0.8</v>
      </c>
      <c r="AJ1984" s="23" t="n">
        <v>0.7092</v>
      </c>
      <c r="AK1984" s="23" t="n">
        <v>0.2</v>
      </c>
      <c r="AL1984" s="23" t="n">
        <v>0</v>
      </c>
      <c r="AM1984" s="16" t="n">
        <f aca="false">COUNTIFS($D$2:$D$2501,D1984,$G$2:$G$2501,"&gt;"&amp;G1984)+COUNTIFS($D$2:D1984,D1984,$G$2:G1984,G1984)</f>
        <v>245</v>
      </c>
      <c r="AN1984" s="5" t="str">
        <f aca="false">D1984&amp;"|"&amp;AM1984</f>
        <v>檢索與情資關聯|245</v>
      </c>
    </row>
    <row r="1985" customFormat="false" ht="17.15" hidden="false" customHeight="false" outlineLevel="0" collapsed="false">
      <c r="A1985" s="16" t="n">
        <f aca="false">RANK(G1985,$G$2:$G$2501)+COUNTIF($G$2:G1985,G1985)-1</f>
        <v>1984</v>
      </c>
      <c r="B1985" s="11" t="s">
        <v>4869</v>
      </c>
      <c r="C1985" s="11" t="s">
        <v>681</v>
      </c>
      <c r="D1985" s="5" t="s">
        <v>74</v>
      </c>
      <c r="E1985" s="5" t="s">
        <v>75</v>
      </c>
      <c r="F1985" s="5"/>
      <c r="G1985" s="22" t="n">
        <f aca="false">ROUND(SUM(I1985:P1985),3)</f>
        <v>52.24</v>
      </c>
      <c r="H1985" s="5" t="str">
        <f aca="false">IF(G1985&gt;=評分方法!$C$16,"優先評估",IF(G1985&gt;=評分方法!$C$17,"列入候選",IF(G1985&gt;=評分方法!$C$18,"特定情境","不建議")))</f>
        <v>不建議</v>
      </c>
      <c r="I1985" s="15" t="n">
        <f aca="false">AE1985*評分方法!$C$5</f>
        <v>7.5</v>
      </c>
      <c r="J1985" s="15" t="n">
        <f aca="false">AF1985*評分方法!$C$6</f>
        <v>0</v>
      </c>
      <c r="K1985" s="15" t="n">
        <f aca="false">AG1985*評分方法!$C$7</f>
        <v>15</v>
      </c>
      <c r="L1985" s="15" t="n">
        <f aca="false">AH1985*評分方法!$C$8</f>
        <v>15</v>
      </c>
      <c r="M1985" s="15" t="n">
        <f aca="false">AI1985*評分方法!$C$9</f>
        <v>10</v>
      </c>
      <c r="N1985" s="15" t="n">
        <f aca="false">AJ1985*評分方法!$C$10</f>
        <v>2.24</v>
      </c>
      <c r="O1985" s="15" t="n">
        <f aca="false">AK1985*評分方法!$C$11</f>
        <v>1</v>
      </c>
      <c r="P1985" s="15" t="n">
        <f aca="false">AL1985*評分方法!$C$12</f>
        <v>1.5</v>
      </c>
      <c r="Q1985" s="6" t="n">
        <v>228206</v>
      </c>
      <c r="R1985" s="6" t="n">
        <v>60675360</v>
      </c>
      <c r="S1985" s="11" t="s">
        <v>238</v>
      </c>
      <c r="T1985" s="11" t="s">
        <v>239</v>
      </c>
      <c r="U1985" s="5" t="s">
        <v>240</v>
      </c>
      <c r="V1985" s="11" t="s">
        <v>324</v>
      </c>
      <c r="W1985" s="5" t="s">
        <v>205</v>
      </c>
      <c r="X1985" s="5" t="s">
        <v>255</v>
      </c>
      <c r="Y1985" s="5"/>
      <c r="Z1985" s="5"/>
      <c r="AA1985" s="11" t="s">
        <v>178</v>
      </c>
      <c r="AB1985" s="5" t="s">
        <v>245</v>
      </c>
      <c r="AC1985" s="5"/>
      <c r="AD1985" s="11" t="s">
        <v>4870</v>
      </c>
      <c r="AE1985" s="23" t="n">
        <v>0.25</v>
      </c>
      <c r="AF1985" s="23" t="n">
        <v>0</v>
      </c>
      <c r="AG1985" s="23" t="n">
        <v>1</v>
      </c>
      <c r="AH1985" s="23" t="n">
        <v>1</v>
      </c>
      <c r="AI1985" s="23" t="n">
        <v>1</v>
      </c>
      <c r="AJ1985" s="23" t="n">
        <v>0.224</v>
      </c>
      <c r="AK1985" s="23" t="n">
        <v>0.2</v>
      </c>
      <c r="AL1985" s="23" t="n">
        <v>0.3</v>
      </c>
      <c r="AM1985" s="16" t="n">
        <f aca="false">COUNTIFS($D$2:$D$2501,D1985,$G$2:$G$2501,"&gt;"&amp;G1985)+COUNTIFS($D$2:D1985,D1985,$G$2:G1985,G1985)</f>
        <v>255</v>
      </c>
      <c r="AN1985" s="5" t="str">
        <f aca="false">D1985&amp;"|"&amp;AM1985</f>
        <v>文件與影像辨識|255</v>
      </c>
    </row>
    <row r="1986" customFormat="false" ht="17.15" hidden="false" customHeight="false" outlineLevel="0" collapsed="false">
      <c r="A1986" s="16" t="n">
        <f aca="false">RANK(G1986,$G$2:$G$2501)+COUNTIF($G$2:G1986,G1986)-1</f>
        <v>1985</v>
      </c>
      <c r="B1986" s="11" t="s">
        <v>4871</v>
      </c>
      <c r="C1986" s="11" t="s">
        <v>4872</v>
      </c>
      <c r="D1986" s="5" t="s">
        <v>78</v>
      </c>
      <c r="E1986" s="5" t="s">
        <v>79</v>
      </c>
      <c r="F1986" s="5"/>
      <c r="G1986" s="22" t="n">
        <f aca="false">ROUND(SUM(I1986:P1986),3)</f>
        <v>52.234</v>
      </c>
      <c r="H1986" s="5" t="str">
        <f aca="false">IF(G1986&gt;=評分方法!$C$16,"優先評估",IF(G1986&gt;=評分方法!$C$17,"列入候選",IF(G1986&gt;=評分方法!$C$18,"特定情境","不建議")))</f>
        <v>不建議</v>
      </c>
      <c r="I1986" s="15" t="n">
        <f aca="false">AE1986*評分方法!$C$5</f>
        <v>9</v>
      </c>
      <c r="J1986" s="15" t="n">
        <f aca="false">AF1986*評分方法!$C$6</f>
        <v>0</v>
      </c>
      <c r="K1986" s="15" t="n">
        <f aca="false">AG1986*評分方法!$C$7</f>
        <v>4.95</v>
      </c>
      <c r="L1986" s="15" t="n">
        <f aca="false">AH1986*評分方法!$C$8</f>
        <v>15</v>
      </c>
      <c r="M1986" s="15" t="n">
        <f aca="false">AI1986*評分方法!$C$9</f>
        <v>10</v>
      </c>
      <c r="N1986" s="15" t="n">
        <f aca="false">AJ1986*評分方法!$C$10</f>
        <v>9.284</v>
      </c>
      <c r="O1986" s="15" t="n">
        <f aca="false">AK1986*評分方法!$C$11</f>
        <v>4</v>
      </c>
      <c r="P1986" s="15" t="n">
        <f aca="false">AL1986*評分方法!$C$12</f>
        <v>0</v>
      </c>
      <c r="Q1986" s="6" t="n">
        <v>5963199</v>
      </c>
      <c r="R1986" s="6" t="n">
        <v>756405760</v>
      </c>
      <c r="S1986" s="11" t="s">
        <v>238</v>
      </c>
      <c r="T1986" s="11" t="s">
        <v>278</v>
      </c>
      <c r="U1986" s="5" t="s">
        <v>240</v>
      </c>
      <c r="V1986" s="11" t="s">
        <v>4873</v>
      </c>
      <c r="W1986" s="5" t="s">
        <v>334</v>
      </c>
      <c r="X1986" s="5" t="s">
        <v>242</v>
      </c>
      <c r="Y1986" s="5"/>
      <c r="Z1986" s="5"/>
      <c r="AA1986" s="11" t="s">
        <v>175</v>
      </c>
      <c r="AB1986" s="5" t="s">
        <v>245</v>
      </c>
      <c r="AC1986" s="5"/>
      <c r="AD1986" s="11" t="s">
        <v>4874</v>
      </c>
      <c r="AE1986" s="23" t="n">
        <v>0.3</v>
      </c>
      <c r="AF1986" s="23" t="n">
        <v>0</v>
      </c>
      <c r="AG1986" s="23" t="n">
        <v>0.33</v>
      </c>
      <c r="AH1986" s="23" t="n">
        <v>1</v>
      </c>
      <c r="AI1986" s="23" t="n">
        <v>1</v>
      </c>
      <c r="AJ1986" s="23" t="n">
        <v>0.9284</v>
      </c>
      <c r="AK1986" s="23" t="n">
        <v>0.8</v>
      </c>
      <c r="AL1986" s="23" t="n">
        <v>0</v>
      </c>
      <c r="AM1986" s="16" t="n">
        <f aca="false">COUNTIFS($D$2:$D$2501,D1986,$G$2:$G$2501,"&gt;"&amp;G1986)+COUNTIFS($D$2:D1986,D1986,$G$2:G1986,G1986)</f>
        <v>55</v>
      </c>
      <c r="AN1986" s="5" t="str">
        <f aca="false">D1986&amp;"|"&amp;AM1986</f>
        <v>語音分析|55</v>
      </c>
    </row>
    <row r="1987" customFormat="false" ht="17.15" hidden="false" customHeight="false" outlineLevel="0" collapsed="false">
      <c r="A1987" s="16" t="n">
        <f aca="false">RANK(G1987,$G$2:$G$2501)+COUNTIF($G$2:G1987,G1987)-1</f>
        <v>1986</v>
      </c>
      <c r="B1987" s="11" t="s">
        <v>4875</v>
      </c>
      <c r="C1987" s="11" t="s">
        <v>4876</v>
      </c>
      <c r="D1987" s="5" t="s">
        <v>74</v>
      </c>
      <c r="E1987" s="5" t="s">
        <v>75</v>
      </c>
      <c r="F1987" s="5"/>
      <c r="G1987" s="22" t="n">
        <f aca="false">ROUND(SUM(I1987:P1987),3)</f>
        <v>52.226</v>
      </c>
      <c r="H1987" s="5" t="str">
        <f aca="false">IF(G1987&gt;=評分方法!$C$16,"優先評估",IF(G1987&gt;=評分方法!$C$17,"列入候選",IF(G1987&gt;=評分方法!$C$18,"特定情境","不建議")))</f>
        <v>不建議</v>
      </c>
      <c r="I1987" s="15" t="n">
        <f aca="false">AE1987*評分方法!$C$5</f>
        <v>10.5</v>
      </c>
      <c r="J1987" s="15" t="n">
        <f aca="false">AF1987*評分方法!$C$6</f>
        <v>0</v>
      </c>
      <c r="K1987" s="15" t="n">
        <f aca="false">AG1987*評分方法!$C$7</f>
        <v>4.95</v>
      </c>
      <c r="L1987" s="15" t="n">
        <f aca="false">AH1987*評分方法!$C$8</f>
        <v>15</v>
      </c>
      <c r="M1987" s="15" t="n">
        <f aca="false">AI1987*評分方法!$C$9</f>
        <v>10</v>
      </c>
      <c r="N1987" s="15" t="n">
        <f aca="false">AJ1987*評分方法!$C$10</f>
        <v>9.276</v>
      </c>
      <c r="O1987" s="15" t="n">
        <f aca="false">AK1987*評分方法!$C$11</f>
        <v>1</v>
      </c>
      <c r="P1987" s="15" t="n">
        <f aca="false">AL1987*評分方法!$C$12</f>
        <v>1.5</v>
      </c>
      <c r="Q1987" s="6" t="n">
        <v>5902244</v>
      </c>
      <c r="R1987" s="6" t="n">
        <v>85800194</v>
      </c>
      <c r="S1987" s="11" t="s">
        <v>238</v>
      </c>
      <c r="T1987" s="11" t="s">
        <v>239</v>
      </c>
      <c r="U1987" s="5" t="s">
        <v>240</v>
      </c>
      <c r="V1987" s="11" t="s">
        <v>261</v>
      </c>
      <c r="W1987" s="5" t="s">
        <v>334</v>
      </c>
      <c r="X1987" s="5" t="s">
        <v>255</v>
      </c>
      <c r="Y1987" s="11" t="s">
        <v>3146</v>
      </c>
      <c r="Z1987" s="11" t="s">
        <v>270</v>
      </c>
      <c r="AA1987" s="11" t="s">
        <v>172</v>
      </c>
      <c r="AB1987" s="5" t="s">
        <v>245</v>
      </c>
      <c r="AC1987" s="5"/>
      <c r="AD1987" s="11" t="s">
        <v>4877</v>
      </c>
      <c r="AE1987" s="23" t="n">
        <v>0.35</v>
      </c>
      <c r="AF1987" s="23" t="n">
        <v>0</v>
      </c>
      <c r="AG1987" s="23" t="n">
        <v>0.33</v>
      </c>
      <c r="AH1987" s="23" t="n">
        <v>1</v>
      </c>
      <c r="AI1987" s="23" t="n">
        <v>1</v>
      </c>
      <c r="AJ1987" s="23" t="n">
        <v>0.9276</v>
      </c>
      <c r="AK1987" s="23" t="n">
        <v>0.2</v>
      </c>
      <c r="AL1987" s="23" t="n">
        <v>0.3</v>
      </c>
      <c r="AM1987" s="16" t="n">
        <f aca="false">COUNTIFS($D$2:$D$2501,D1987,$G$2:$G$2501,"&gt;"&amp;G1987)+COUNTIFS($D$2:D1987,D1987,$G$2:G1987,G1987)</f>
        <v>256</v>
      </c>
      <c r="AN1987" s="5" t="str">
        <f aca="false">D1987&amp;"|"&amp;AM1987</f>
        <v>文件與影像辨識|256</v>
      </c>
    </row>
    <row r="1988" customFormat="false" ht="17.15" hidden="false" customHeight="false" outlineLevel="0" collapsed="false">
      <c r="A1988" s="16" t="n">
        <f aca="false">RANK(G1988,$G$2:$G$2501)+COUNTIF($G$2:G1988,G1988)-1</f>
        <v>1987</v>
      </c>
      <c r="B1988" s="11" t="s">
        <v>4878</v>
      </c>
      <c r="C1988" s="11" t="s">
        <v>4879</v>
      </c>
      <c r="D1988" s="5" t="s">
        <v>78</v>
      </c>
      <c r="E1988" s="5" t="s">
        <v>79</v>
      </c>
      <c r="F1988" s="5"/>
      <c r="G1988" s="22" t="n">
        <f aca="false">ROUND(SUM(I1988:P1988),3)</f>
        <v>52.166</v>
      </c>
      <c r="H1988" s="5" t="str">
        <f aca="false">IF(G1988&gt;=評分方法!$C$16,"優先評估",IF(G1988&gt;=評分方法!$C$17,"列入候選",IF(G1988&gt;=評分方法!$C$18,"特定情境","不建議")))</f>
        <v>不建議</v>
      </c>
      <c r="I1988" s="15" t="n">
        <f aca="false">AE1988*評分方法!$C$5</f>
        <v>10.5</v>
      </c>
      <c r="J1988" s="15" t="n">
        <f aca="false">AF1988*評分方法!$C$6</f>
        <v>0</v>
      </c>
      <c r="K1988" s="15" t="n">
        <f aca="false">AG1988*評分方法!$C$7</f>
        <v>4.95</v>
      </c>
      <c r="L1988" s="15" t="n">
        <f aca="false">AH1988*評分方法!$C$8</f>
        <v>15</v>
      </c>
      <c r="M1988" s="15" t="n">
        <f aca="false">AI1988*評分方法!$C$9</f>
        <v>10</v>
      </c>
      <c r="N1988" s="15" t="n">
        <f aca="false">AJ1988*評分方法!$C$10</f>
        <v>9.216</v>
      </c>
      <c r="O1988" s="15" t="n">
        <f aca="false">AK1988*評分方法!$C$11</f>
        <v>1</v>
      </c>
      <c r="P1988" s="15" t="n">
        <f aca="false">AL1988*評分方法!$C$12</f>
        <v>1.5</v>
      </c>
      <c r="Q1988" s="6" t="n">
        <v>5292930</v>
      </c>
      <c r="R1988" s="6" t="n">
        <v>86594063</v>
      </c>
      <c r="S1988" s="11" t="s">
        <v>238</v>
      </c>
      <c r="T1988" s="11" t="s">
        <v>2029</v>
      </c>
      <c r="U1988" s="5" t="s">
        <v>240</v>
      </c>
      <c r="V1988" s="11" t="s">
        <v>324</v>
      </c>
      <c r="W1988" s="5" t="s">
        <v>334</v>
      </c>
      <c r="X1988" s="5" t="s">
        <v>255</v>
      </c>
      <c r="Y1988" s="5"/>
      <c r="Z1988" s="5"/>
      <c r="AA1988" s="11" t="s">
        <v>174</v>
      </c>
      <c r="AB1988" s="5" t="s">
        <v>245</v>
      </c>
      <c r="AC1988" s="5"/>
      <c r="AD1988" s="11" t="s">
        <v>4880</v>
      </c>
      <c r="AE1988" s="23" t="n">
        <v>0.35</v>
      </c>
      <c r="AF1988" s="23" t="n">
        <v>0</v>
      </c>
      <c r="AG1988" s="23" t="n">
        <v>0.33</v>
      </c>
      <c r="AH1988" s="23" t="n">
        <v>1</v>
      </c>
      <c r="AI1988" s="23" t="n">
        <v>1</v>
      </c>
      <c r="AJ1988" s="23" t="n">
        <v>0.9216</v>
      </c>
      <c r="AK1988" s="23" t="n">
        <v>0.2</v>
      </c>
      <c r="AL1988" s="23" t="n">
        <v>0.3</v>
      </c>
      <c r="AM1988" s="16" t="n">
        <f aca="false">COUNTIFS($D$2:$D$2501,D1988,$G$2:$G$2501,"&gt;"&amp;G1988)+COUNTIFS($D$2:D1988,D1988,$G$2:G1988,G1988)</f>
        <v>56</v>
      </c>
      <c r="AN1988" s="5" t="str">
        <f aca="false">D1988&amp;"|"&amp;AM1988</f>
        <v>語音分析|56</v>
      </c>
    </row>
    <row r="1989" customFormat="false" ht="17.15" hidden="false" customHeight="false" outlineLevel="0" collapsed="false">
      <c r="A1989" s="16" t="n">
        <f aca="false">RANK(G1989,$G$2:$G$2501)+COUNTIF($G$2:G1989,G1989)-1</f>
        <v>1988</v>
      </c>
      <c r="B1989" s="11" t="s">
        <v>4881</v>
      </c>
      <c r="C1989" s="11" t="s">
        <v>4882</v>
      </c>
      <c r="D1989" s="5" t="s">
        <v>78</v>
      </c>
      <c r="E1989" s="5" t="s">
        <v>79</v>
      </c>
      <c r="F1989" s="5"/>
      <c r="G1989" s="22" t="n">
        <f aca="false">ROUND(SUM(I1989:P1989),3)</f>
        <v>52.162</v>
      </c>
      <c r="H1989" s="5" t="str">
        <f aca="false">IF(G1989&gt;=評分方法!$C$16,"優先評估",IF(G1989&gt;=評分方法!$C$17,"列入候選",IF(G1989&gt;=評分方法!$C$18,"特定情境","不建議")))</f>
        <v>不建議</v>
      </c>
      <c r="I1989" s="15" t="n">
        <f aca="false">AE1989*評分方法!$C$5</f>
        <v>9</v>
      </c>
      <c r="J1989" s="15" t="n">
        <f aca="false">AF1989*評分方法!$C$6</f>
        <v>0</v>
      </c>
      <c r="K1989" s="15" t="n">
        <f aca="false">AG1989*評分方法!$C$7</f>
        <v>4.95</v>
      </c>
      <c r="L1989" s="15" t="n">
        <f aca="false">AH1989*評分方法!$C$8</f>
        <v>15</v>
      </c>
      <c r="M1989" s="15" t="n">
        <f aca="false">AI1989*評分方法!$C$9</f>
        <v>10</v>
      </c>
      <c r="N1989" s="15" t="n">
        <f aca="false">AJ1989*評分方法!$C$10</f>
        <v>9.212</v>
      </c>
      <c r="O1989" s="15" t="n">
        <f aca="false">AK1989*評分方法!$C$11</f>
        <v>2.5</v>
      </c>
      <c r="P1989" s="15" t="n">
        <f aca="false">AL1989*評分方法!$C$12</f>
        <v>1.5</v>
      </c>
      <c r="Q1989" s="6" t="n">
        <v>5282546</v>
      </c>
      <c r="R1989" s="6" t="n">
        <v>962549929</v>
      </c>
      <c r="S1989" s="11" t="s">
        <v>238</v>
      </c>
      <c r="T1989" s="11" t="s">
        <v>239</v>
      </c>
      <c r="U1989" s="5" t="s">
        <v>240</v>
      </c>
      <c r="V1989" s="11" t="s">
        <v>324</v>
      </c>
      <c r="W1989" s="5" t="s">
        <v>334</v>
      </c>
      <c r="X1989" s="5" t="s">
        <v>255</v>
      </c>
      <c r="Y1989" s="5"/>
      <c r="Z1989" s="5"/>
      <c r="AA1989" s="11" t="s">
        <v>175</v>
      </c>
      <c r="AB1989" s="5" t="s">
        <v>245</v>
      </c>
      <c r="AC1989" s="5"/>
      <c r="AD1989" s="11" t="s">
        <v>4883</v>
      </c>
      <c r="AE1989" s="23" t="n">
        <v>0.3</v>
      </c>
      <c r="AF1989" s="23" t="n">
        <v>0</v>
      </c>
      <c r="AG1989" s="23" t="n">
        <v>0.33</v>
      </c>
      <c r="AH1989" s="23" t="n">
        <v>1</v>
      </c>
      <c r="AI1989" s="23" t="n">
        <v>1</v>
      </c>
      <c r="AJ1989" s="23" t="n">
        <v>0.9212</v>
      </c>
      <c r="AK1989" s="23" t="n">
        <v>0.5</v>
      </c>
      <c r="AL1989" s="23" t="n">
        <v>0.3</v>
      </c>
      <c r="AM1989" s="16" t="n">
        <f aca="false">COUNTIFS($D$2:$D$2501,D1989,$G$2:$G$2501,"&gt;"&amp;G1989)+COUNTIFS($D$2:D1989,D1989,$G$2:G1989,G1989)</f>
        <v>57</v>
      </c>
      <c r="AN1989" s="5" t="str">
        <f aca="false">D1989&amp;"|"&amp;AM1989</f>
        <v>語音分析|57</v>
      </c>
    </row>
    <row r="1990" customFormat="false" ht="17.15" hidden="false" customHeight="false" outlineLevel="0" collapsed="false">
      <c r="A1990" s="16" t="n">
        <f aca="false">RANK(G1990,$G$2:$G$2501)+COUNTIF($G$2:G1990,G1990)-1</f>
        <v>1989</v>
      </c>
      <c r="B1990" s="11" t="s">
        <v>4884</v>
      </c>
      <c r="C1990" s="11" t="s">
        <v>3884</v>
      </c>
      <c r="D1990" s="5" t="s">
        <v>56</v>
      </c>
      <c r="E1990" s="5" t="s">
        <v>57</v>
      </c>
      <c r="F1990" s="5"/>
      <c r="G1990" s="22" t="n">
        <f aca="false">ROUND(SUM(I1990:P1990),3)</f>
        <v>52.16</v>
      </c>
      <c r="H1990" s="5" t="str">
        <f aca="false">IF(G1990&gt;=評分方法!$C$16,"優先評估",IF(G1990&gt;=評分方法!$C$17,"列入候選",IF(G1990&gt;=評分方法!$C$18,"特定情境","不建議")))</f>
        <v>不建議</v>
      </c>
      <c r="I1990" s="15" t="n">
        <f aca="false">AE1990*評分方法!$C$5</f>
        <v>25.5</v>
      </c>
      <c r="J1990" s="15" t="n">
        <f aca="false">AF1990*評分方法!$C$6</f>
        <v>0</v>
      </c>
      <c r="K1990" s="15" t="n">
        <f aca="false">AG1990*評分方法!$C$7</f>
        <v>4.95</v>
      </c>
      <c r="L1990" s="15" t="n">
        <f aca="false">AH1990*評分方法!$C$8</f>
        <v>13.05</v>
      </c>
      <c r="M1990" s="15" t="n">
        <f aca="false">AI1990*評分方法!$C$9</f>
        <v>6</v>
      </c>
      <c r="N1990" s="15" t="n">
        <f aca="false">AJ1990*評分方法!$C$10</f>
        <v>0.16</v>
      </c>
      <c r="O1990" s="15" t="n">
        <f aca="false">AK1990*評分方法!$C$11</f>
        <v>2.5</v>
      </c>
      <c r="P1990" s="15" t="n">
        <f aca="false">AL1990*評分方法!$C$12</f>
        <v>0</v>
      </c>
      <c r="Q1990" s="6" t="n">
        <v>120530</v>
      </c>
      <c r="R1990" s="6" t="n">
        <v>1279391488</v>
      </c>
      <c r="S1990" s="11" t="s">
        <v>254</v>
      </c>
      <c r="T1990" s="11" t="s">
        <v>185</v>
      </c>
      <c r="U1990" s="5" t="s">
        <v>260</v>
      </c>
      <c r="V1990" s="11" t="s">
        <v>261</v>
      </c>
      <c r="W1990" s="5" t="s">
        <v>334</v>
      </c>
      <c r="X1990" s="5" t="s">
        <v>242</v>
      </c>
      <c r="Y1990" s="5"/>
      <c r="Z1990" s="5"/>
      <c r="AA1990" s="11" t="s">
        <v>155</v>
      </c>
      <c r="AB1990" s="5" t="s">
        <v>245</v>
      </c>
      <c r="AC1990" s="5" t="s">
        <v>262</v>
      </c>
      <c r="AD1990" s="11" t="s">
        <v>4885</v>
      </c>
      <c r="AE1990" s="23" t="n">
        <v>0.85</v>
      </c>
      <c r="AF1990" s="23" t="n">
        <v>0</v>
      </c>
      <c r="AG1990" s="23" t="n">
        <v>0.33</v>
      </c>
      <c r="AH1990" s="23" t="n">
        <v>0.87</v>
      </c>
      <c r="AI1990" s="23" t="n">
        <v>0.6</v>
      </c>
      <c r="AJ1990" s="23" t="n">
        <v>0.016</v>
      </c>
      <c r="AK1990" s="23" t="n">
        <v>0.5</v>
      </c>
      <c r="AL1990" s="23" t="n">
        <v>0</v>
      </c>
      <c r="AM1990" s="16" t="n">
        <f aca="false">COUNTIFS($D$2:$D$2501,D1990,$G$2:$G$2501,"&gt;"&amp;G1990)+COUNTIFS($D$2:D1990,D1990,$G$2:G1990,G1990)</f>
        <v>907</v>
      </c>
      <c r="AN1990" s="5" t="str">
        <f aca="false">D1990&amp;"|"&amp;AM1990</f>
        <v>分析與報告生成|907</v>
      </c>
    </row>
    <row r="1991" customFormat="false" ht="17.15" hidden="false" customHeight="false" outlineLevel="0" collapsed="false">
      <c r="A1991" s="16" t="n">
        <f aca="false">RANK(G1991,$G$2:$G$2501)+COUNTIF($G$2:G1991,G1991)-1</f>
        <v>1990</v>
      </c>
      <c r="B1991" s="11" t="s">
        <v>4886</v>
      </c>
      <c r="C1991" s="11" t="s">
        <v>4887</v>
      </c>
      <c r="D1991" s="5" t="s">
        <v>56</v>
      </c>
      <c r="E1991" s="5" t="s">
        <v>57</v>
      </c>
      <c r="F1991" s="5"/>
      <c r="G1991" s="22" t="n">
        <f aca="false">ROUND(SUM(I1991:P1991),3)</f>
        <v>52.158</v>
      </c>
      <c r="H1991" s="5" t="str">
        <f aca="false">IF(G1991&gt;=評分方法!$C$16,"優先評估",IF(G1991&gt;=評分方法!$C$17,"列入候選",IF(G1991&gt;=評分方法!$C$18,"特定情境","不建議")))</f>
        <v>不建議</v>
      </c>
      <c r="I1991" s="15" t="n">
        <f aca="false">AE1991*評分方法!$C$5</f>
        <v>25.5</v>
      </c>
      <c r="J1991" s="15" t="n">
        <f aca="false">AF1991*評分方法!$C$6</f>
        <v>0</v>
      </c>
      <c r="K1991" s="15" t="n">
        <f aca="false">AG1991*評分方法!$C$7</f>
        <v>4.95</v>
      </c>
      <c r="L1991" s="15" t="n">
        <f aca="false">AH1991*評分方法!$C$8</f>
        <v>9</v>
      </c>
      <c r="M1991" s="15" t="n">
        <f aca="false">AI1991*評分方法!$C$9</f>
        <v>2</v>
      </c>
      <c r="N1991" s="15" t="n">
        <f aca="false">AJ1991*評分方法!$C$10</f>
        <v>2.708</v>
      </c>
      <c r="O1991" s="15" t="n">
        <f aca="false">AK1991*評分方法!$C$11</f>
        <v>5</v>
      </c>
      <c r="P1991" s="15" t="n">
        <f aca="false">AL1991*評分方法!$C$12</f>
        <v>3</v>
      </c>
      <c r="Q1991" s="6" t="n">
        <v>267764</v>
      </c>
      <c r="R1991" s="6" t="n">
        <v>18100386304</v>
      </c>
      <c r="S1991" s="11" t="s">
        <v>389</v>
      </c>
      <c r="T1991" s="5"/>
      <c r="U1991" s="5" t="s">
        <v>375</v>
      </c>
      <c r="V1991" s="11" t="s">
        <v>261</v>
      </c>
      <c r="W1991" s="5" t="s">
        <v>334</v>
      </c>
      <c r="X1991" s="5" t="s">
        <v>371</v>
      </c>
      <c r="Y1991" s="11" t="s">
        <v>1265</v>
      </c>
      <c r="Z1991" s="11" t="s">
        <v>244</v>
      </c>
      <c r="AA1991" s="11" t="s">
        <v>156</v>
      </c>
      <c r="AB1991" s="5" t="s">
        <v>245</v>
      </c>
      <c r="AC1991" s="5" t="s">
        <v>464</v>
      </c>
      <c r="AD1991" s="11" t="s">
        <v>4888</v>
      </c>
      <c r="AE1991" s="23" t="n">
        <v>0.85</v>
      </c>
      <c r="AF1991" s="23" t="n">
        <v>0</v>
      </c>
      <c r="AG1991" s="23" t="n">
        <v>0.33</v>
      </c>
      <c r="AH1991" s="23" t="n">
        <v>0.6</v>
      </c>
      <c r="AI1991" s="23" t="n">
        <v>0.2</v>
      </c>
      <c r="AJ1991" s="23" t="n">
        <v>0.2708</v>
      </c>
      <c r="AK1991" s="23" t="n">
        <v>1</v>
      </c>
      <c r="AL1991" s="23" t="n">
        <v>0.6</v>
      </c>
      <c r="AM1991" s="16" t="n">
        <f aca="false">COUNTIFS($D$2:$D$2501,D1991,$G$2:$G$2501,"&gt;"&amp;G1991)+COUNTIFS($D$2:D1991,D1991,$G$2:G1991,G1991)</f>
        <v>908</v>
      </c>
      <c r="AN1991" s="5" t="str">
        <f aca="false">D1991&amp;"|"&amp;AM1991</f>
        <v>分析與報告生成|908</v>
      </c>
    </row>
    <row r="1992" customFormat="false" ht="17.15" hidden="false" customHeight="false" outlineLevel="0" collapsed="false">
      <c r="A1992" s="16" t="n">
        <f aca="false">RANK(G1992,$G$2:$G$2501)+COUNTIF($G$2:G1992,G1992)-1</f>
        <v>1991</v>
      </c>
      <c r="B1992" s="11" t="s">
        <v>4889</v>
      </c>
      <c r="C1992" s="11" t="s">
        <v>4890</v>
      </c>
      <c r="D1992" s="5" t="s">
        <v>56</v>
      </c>
      <c r="E1992" s="5" t="s">
        <v>57</v>
      </c>
      <c r="F1992" s="5"/>
      <c r="G1992" s="22" t="n">
        <f aca="false">ROUND(SUM(I1992:P1992),3)</f>
        <v>52.156</v>
      </c>
      <c r="H1992" s="5" t="str">
        <f aca="false">IF(G1992&gt;=評分方法!$C$16,"優先評估",IF(G1992&gt;=評分方法!$C$17,"列入候選",IF(G1992&gt;=評分方法!$C$18,"特定情境","不建議")))</f>
        <v>不建議</v>
      </c>
      <c r="I1992" s="15" t="n">
        <f aca="false">AE1992*評分方法!$C$5</f>
        <v>25.5</v>
      </c>
      <c r="J1992" s="15" t="n">
        <f aca="false">AF1992*評分方法!$C$6</f>
        <v>0</v>
      </c>
      <c r="K1992" s="15" t="n">
        <f aca="false">AG1992*評分方法!$C$7</f>
        <v>4.95</v>
      </c>
      <c r="L1992" s="15" t="n">
        <f aca="false">AH1992*評分方法!$C$8</f>
        <v>4.95</v>
      </c>
      <c r="M1992" s="15" t="n">
        <f aca="false">AI1992*評分方法!$C$9</f>
        <v>6</v>
      </c>
      <c r="N1992" s="15" t="n">
        <f aca="false">AJ1992*評分方法!$C$10</f>
        <v>0.756</v>
      </c>
      <c r="O1992" s="15" t="n">
        <f aca="false">AK1992*評分方法!$C$11</f>
        <v>5</v>
      </c>
      <c r="P1992" s="15" t="n">
        <f aca="false">AL1992*評分方法!$C$12</f>
        <v>5</v>
      </c>
      <c r="Q1992" s="6" t="n">
        <v>145254</v>
      </c>
      <c r="R1992" s="6" t="n">
        <v>74415579088</v>
      </c>
      <c r="S1992" s="11" t="s">
        <v>1876</v>
      </c>
      <c r="T1992" s="11" t="s">
        <v>185</v>
      </c>
      <c r="U1992" s="5" t="s">
        <v>260</v>
      </c>
      <c r="V1992" s="11" t="s">
        <v>261</v>
      </c>
      <c r="W1992" s="5" t="s">
        <v>334</v>
      </c>
      <c r="X1992" s="5" t="s">
        <v>284</v>
      </c>
      <c r="Y1992" s="11" t="s">
        <v>2292</v>
      </c>
      <c r="Z1992" s="11" t="s">
        <v>244</v>
      </c>
      <c r="AA1992" s="11" t="s">
        <v>155</v>
      </c>
      <c r="AB1992" s="5" t="s">
        <v>328</v>
      </c>
      <c r="AC1992" s="5" t="s">
        <v>3511</v>
      </c>
      <c r="AD1992" s="11" t="s">
        <v>4891</v>
      </c>
      <c r="AE1992" s="23" t="n">
        <v>0.85</v>
      </c>
      <c r="AF1992" s="23" t="n">
        <v>0</v>
      </c>
      <c r="AG1992" s="23" t="n">
        <v>0.33</v>
      </c>
      <c r="AH1992" s="23" t="n">
        <v>0.33</v>
      </c>
      <c r="AI1992" s="23" t="n">
        <v>0.6</v>
      </c>
      <c r="AJ1992" s="23" t="n">
        <v>0.0756</v>
      </c>
      <c r="AK1992" s="23" t="n">
        <v>1</v>
      </c>
      <c r="AL1992" s="23" t="n">
        <v>1</v>
      </c>
      <c r="AM1992" s="16" t="n">
        <f aca="false">COUNTIFS($D$2:$D$2501,D1992,$G$2:$G$2501,"&gt;"&amp;G1992)+COUNTIFS($D$2:D1992,D1992,$G$2:G1992,G1992)</f>
        <v>909</v>
      </c>
      <c r="AN1992" s="5" t="str">
        <f aca="false">D1992&amp;"|"&amp;AM1992</f>
        <v>分析與報告生成|909</v>
      </c>
    </row>
    <row r="1993" customFormat="false" ht="17.15" hidden="false" customHeight="false" outlineLevel="0" collapsed="false">
      <c r="A1993" s="16" t="n">
        <f aca="false">RANK(G1993,$G$2:$G$2501)+COUNTIF($G$2:G1993,G1993)-1</f>
        <v>1992</v>
      </c>
      <c r="B1993" s="11" t="s">
        <v>4892</v>
      </c>
      <c r="C1993" s="11" t="s">
        <v>4882</v>
      </c>
      <c r="D1993" s="5" t="s">
        <v>54</v>
      </c>
      <c r="E1993" s="5" t="s">
        <v>55</v>
      </c>
      <c r="F1993" s="5"/>
      <c r="G1993" s="22" t="n">
        <f aca="false">ROUND(SUM(I1993:P1993),3)</f>
        <v>52.126</v>
      </c>
      <c r="H1993" s="5" t="str">
        <f aca="false">IF(G1993&gt;=評分方法!$C$16,"優先評估",IF(G1993&gt;=評分方法!$C$17,"列入候選",IF(G1993&gt;=評分方法!$C$18,"特定情境","不建議")))</f>
        <v>不建議</v>
      </c>
      <c r="I1993" s="15" t="n">
        <f aca="false">AE1993*評分方法!$C$5</f>
        <v>16.2</v>
      </c>
      <c r="J1993" s="15" t="n">
        <f aca="false">AF1993*評分方法!$C$6</f>
        <v>0</v>
      </c>
      <c r="K1993" s="15" t="n">
        <f aca="false">AG1993*評分方法!$C$7</f>
        <v>4.95</v>
      </c>
      <c r="L1993" s="15" t="n">
        <f aca="false">AH1993*評分方法!$C$8</f>
        <v>15</v>
      </c>
      <c r="M1993" s="15" t="n">
        <f aca="false">AI1993*評分方法!$C$9</f>
        <v>10</v>
      </c>
      <c r="N1993" s="15" t="n">
        <f aca="false">AJ1993*評分方法!$C$10</f>
        <v>1.976</v>
      </c>
      <c r="O1993" s="15" t="n">
        <f aca="false">AK1993*評分方法!$C$11</f>
        <v>4</v>
      </c>
      <c r="P1993" s="15" t="n">
        <f aca="false">AL1993*評分方法!$C$12</f>
        <v>0</v>
      </c>
      <c r="Q1993" s="6" t="n">
        <v>208557</v>
      </c>
      <c r="R1993" s="6" t="n">
        <v>177853952</v>
      </c>
      <c r="S1993" s="11" t="s">
        <v>238</v>
      </c>
      <c r="T1993" s="11" t="s">
        <v>239</v>
      </c>
      <c r="U1993" s="5" t="s">
        <v>240</v>
      </c>
      <c r="V1993" s="11" t="s">
        <v>324</v>
      </c>
      <c r="W1993" s="5" t="s">
        <v>334</v>
      </c>
      <c r="X1993" s="5" t="s">
        <v>242</v>
      </c>
      <c r="Y1993" s="5"/>
      <c r="Z1993" s="5"/>
      <c r="AA1993" s="11" t="s">
        <v>152</v>
      </c>
      <c r="AB1993" s="5" t="s">
        <v>245</v>
      </c>
      <c r="AC1993" s="5" t="s">
        <v>1463</v>
      </c>
      <c r="AD1993" s="11" t="s">
        <v>4893</v>
      </c>
      <c r="AE1993" s="23" t="n">
        <v>0.54</v>
      </c>
      <c r="AF1993" s="23" t="n">
        <v>0</v>
      </c>
      <c r="AG1993" s="23" t="n">
        <v>0.33</v>
      </c>
      <c r="AH1993" s="23" t="n">
        <v>1</v>
      </c>
      <c r="AI1993" s="23" t="n">
        <v>1</v>
      </c>
      <c r="AJ1993" s="23" t="n">
        <v>0.1976</v>
      </c>
      <c r="AK1993" s="23" t="n">
        <v>0.8</v>
      </c>
      <c r="AL1993" s="23" t="n">
        <v>0</v>
      </c>
      <c r="AM1993" s="16" t="n">
        <f aca="false">COUNTIFS($D$2:$D$2501,D1993,$G$2:$G$2501,"&gt;"&amp;G1993)+COUNTIFS($D$2:D1993,D1993,$G$2:G1993,G1993)</f>
        <v>246</v>
      </c>
      <c r="AN1993" s="5" t="str">
        <f aca="false">D1993&amp;"|"&amp;AM1993</f>
        <v>檢索與情資關聯|246</v>
      </c>
    </row>
    <row r="1994" customFormat="false" ht="17.15" hidden="false" customHeight="false" outlineLevel="0" collapsed="false">
      <c r="A1994" s="16" t="n">
        <f aca="false">RANK(G1994,$G$2:$G$2501)+COUNTIF($G$2:G1994,G1994)-1</f>
        <v>1993</v>
      </c>
      <c r="B1994" s="11" t="s">
        <v>4894</v>
      </c>
      <c r="C1994" s="11" t="s">
        <v>681</v>
      </c>
      <c r="D1994" s="5" t="s">
        <v>74</v>
      </c>
      <c r="E1994" s="5" t="s">
        <v>75</v>
      </c>
      <c r="F1994" s="5"/>
      <c r="G1994" s="22" t="n">
        <f aca="false">ROUND(SUM(I1994:P1994),3)</f>
        <v>52.1</v>
      </c>
      <c r="H1994" s="5" t="str">
        <f aca="false">IF(G1994&gt;=評分方法!$C$16,"優先評估",IF(G1994&gt;=評分方法!$C$17,"列入候選",IF(G1994&gt;=評分方法!$C$18,"特定情境","不建議")))</f>
        <v>不建議</v>
      </c>
      <c r="I1994" s="15" t="n">
        <f aca="false">AE1994*評分方法!$C$5</f>
        <v>10.5</v>
      </c>
      <c r="J1994" s="15" t="n">
        <f aca="false">AF1994*評分方法!$C$6</f>
        <v>0</v>
      </c>
      <c r="K1994" s="15" t="n">
        <f aca="false">AG1994*評分方法!$C$7</f>
        <v>15</v>
      </c>
      <c r="L1994" s="15" t="n">
        <f aca="false">AH1994*評分方法!$C$8</f>
        <v>15</v>
      </c>
      <c r="M1994" s="15" t="n">
        <f aca="false">AI1994*評分方法!$C$9</f>
        <v>6</v>
      </c>
      <c r="N1994" s="15" t="n">
        <f aca="false">AJ1994*評分方法!$C$10</f>
        <v>3.1</v>
      </c>
      <c r="O1994" s="15" t="n">
        <f aca="false">AK1994*評分方法!$C$11</f>
        <v>2.5</v>
      </c>
      <c r="P1994" s="15" t="n">
        <f aca="false">AL1994*評分方法!$C$12</f>
        <v>0</v>
      </c>
      <c r="Q1994" s="6" t="n">
        <v>304912</v>
      </c>
      <c r="R1994" s="6" t="n">
        <v>27820128</v>
      </c>
      <c r="S1994" s="11" t="s">
        <v>238</v>
      </c>
      <c r="T1994" s="11" t="s">
        <v>185</v>
      </c>
      <c r="U1994" s="5" t="s">
        <v>260</v>
      </c>
      <c r="V1994" s="11" t="s">
        <v>261</v>
      </c>
      <c r="W1994" s="5" t="s">
        <v>205</v>
      </c>
      <c r="X1994" s="5" t="s">
        <v>242</v>
      </c>
      <c r="Y1994" s="11" t="s">
        <v>3942</v>
      </c>
      <c r="Z1994" s="11" t="s">
        <v>270</v>
      </c>
      <c r="AA1994" s="11" t="s">
        <v>173</v>
      </c>
      <c r="AB1994" s="5" t="s">
        <v>245</v>
      </c>
      <c r="AC1994" s="5" t="s">
        <v>262</v>
      </c>
      <c r="AD1994" s="11" t="s">
        <v>4895</v>
      </c>
      <c r="AE1994" s="23" t="n">
        <v>0.35</v>
      </c>
      <c r="AF1994" s="23" t="n">
        <v>0</v>
      </c>
      <c r="AG1994" s="23" t="n">
        <v>1</v>
      </c>
      <c r="AH1994" s="23" t="n">
        <v>1</v>
      </c>
      <c r="AI1994" s="23" t="n">
        <v>0.6</v>
      </c>
      <c r="AJ1994" s="23" t="n">
        <v>0.31</v>
      </c>
      <c r="AK1994" s="23" t="n">
        <v>0.5</v>
      </c>
      <c r="AL1994" s="23" t="n">
        <v>0</v>
      </c>
      <c r="AM1994" s="16" t="n">
        <f aca="false">COUNTIFS($D$2:$D$2501,D1994,$G$2:$G$2501,"&gt;"&amp;G1994)+COUNTIFS($D$2:D1994,D1994,$G$2:G1994,G1994)</f>
        <v>257</v>
      </c>
      <c r="AN1994" s="5" t="str">
        <f aca="false">D1994&amp;"|"&amp;AM1994</f>
        <v>文件與影像辨識|257</v>
      </c>
    </row>
    <row r="1995" customFormat="false" ht="17.15" hidden="false" customHeight="false" outlineLevel="0" collapsed="false">
      <c r="A1995" s="16" t="n">
        <f aca="false">RANK(G1995,$G$2:$G$2501)+COUNTIF($G$2:G1995,G1995)-1</f>
        <v>1994</v>
      </c>
      <c r="B1995" s="11" t="s">
        <v>4896</v>
      </c>
      <c r="C1995" s="11" t="s">
        <v>4643</v>
      </c>
      <c r="D1995" s="5" t="s">
        <v>78</v>
      </c>
      <c r="E1995" s="5" t="s">
        <v>79</v>
      </c>
      <c r="F1995" s="5"/>
      <c r="G1995" s="22" t="n">
        <f aca="false">ROUND(SUM(I1995:P1995),3)</f>
        <v>52.098</v>
      </c>
      <c r="H1995" s="5" t="str">
        <f aca="false">IF(G1995&gt;=評分方法!$C$16,"優先評估",IF(G1995&gt;=評分方法!$C$17,"列入候選",IF(G1995&gt;=評分方法!$C$18,"特定情境","不建議")))</f>
        <v>不建議</v>
      </c>
      <c r="I1995" s="15" t="n">
        <f aca="false">AE1995*評分方法!$C$5</f>
        <v>9</v>
      </c>
      <c r="J1995" s="15" t="n">
        <f aca="false">AF1995*評分方法!$C$6</f>
        <v>0</v>
      </c>
      <c r="K1995" s="15" t="n">
        <f aca="false">AG1995*評分方法!$C$7</f>
        <v>4.95</v>
      </c>
      <c r="L1995" s="15" t="n">
        <f aca="false">AH1995*評分方法!$C$8</f>
        <v>15</v>
      </c>
      <c r="M1995" s="15" t="n">
        <f aca="false">AI1995*評分方法!$C$9</f>
        <v>10</v>
      </c>
      <c r="N1995" s="15" t="n">
        <f aca="false">AJ1995*評分方法!$C$10</f>
        <v>7.148</v>
      </c>
      <c r="O1995" s="15" t="n">
        <f aca="false">AK1995*評分方法!$C$11</f>
        <v>1</v>
      </c>
      <c r="P1995" s="15" t="n">
        <f aca="false">AL1995*評分方法!$C$12</f>
        <v>5</v>
      </c>
      <c r="Q1995" s="6" t="n">
        <v>976923</v>
      </c>
      <c r="R1995" s="6" t="n">
        <v>608443851</v>
      </c>
      <c r="S1995" s="11" t="s">
        <v>238</v>
      </c>
      <c r="T1995" s="11" t="s">
        <v>239</v>
      </c>
      <c r="U1995" s="5" t="s">
        <v>240</v>
      </c>
      <c r="V1995" s="11" t="s">
        <v>261</v>
      </c>
      <c r="W1995" s="5" t="s">
        <v>334</v>
      </c>
      <c r="X1995" s="5" t="s">
        <v>284</v>
      </c>
      <c r="Y1995" s="5"/>
      <c r="Z1995" s="5"/>
      <c r="AA1995" s="11" t="s">
        <v>175</v>
      </c>
      <c r="AB1995" s="5" t="s">
        <v>245</v>
      </c>
      <c r="AC1995" s="5"/>
      <c r="AD1995" s="11" t="s">
        <v>4897</v>
      </c>
      <c r="AE1995" s="23" t="n">
        <v>0.3</v>
      </c>
      <c r="AF1995" s="23" t="n">
        <v>0</v>
      </c>
      <c r="AG1995" s="23" t="n">
        <v>0.33</v>
      </c>
      <c r="AH1995" s="23" t="n">
        <v>1</v>
      </c>
      <c r="AI1995" s="23" t="n">
        <v>1</v>
      </c>
      <c r="AJ1995" s="23" t="n">
        <v>0.7148</v>
      </c>
      <c r="AK1995" s="23" t="n">
        <v>0.2</v>
      </c>
      <c r="AL1995" s="23" t="n">
        <v>1</v>
      </c>
      <c r="AM1995" s="16" t="n">
        <f aca="false">COUNTIFS($D$2:$D$2501,D1995,$G$2:$G$2501,"&gt;"&amp;G1995)+COUNTIFS($D$2:D1995,D1995,$G$2:G1995,G1995)</f>
        <v>58</v>
      </c>
      <c r="AN1995" s="5" t="str">
        <f aca="false">D1995&amp;"|"&amp;AM1995</f>
        <v>語音分析|58</v>
      </c>
    </row>
    <row r="1996" customFormat="false" ht="17.15" hidden="false" customHeight="false" outlineLevel="0" collapsed="false">
      <c r="A1996" s="16" t="n">
        <f aca="false">RANK(G1996,$G$2:$G$2501)+COUNTIF($G$2:G1996,G1996)-1</f>
        <v>1995</v>
      </c>
      <c r="B1996" s="11" t="s">
        <v>4898</v>
      </c>
      <c r="C1996" s="11" t="s">
        <v>2851</v>
      </c>
      <c r="D1996" s="5" t="s">
        <v>56</v>
      </c>
      <c r="E1996" s="5" t="s">
        <v>57</v>
      </c>
      <c r="F1996" s="5"/>
      <c r="G1996" s="22" t="n">
        <f aca="false">ROUND(SUM(I1996:P1996),3)</f>
        <v>52.096</v>
      </c>
      <c r="H1996" s="5" t="str">
        <f aca="false">IF(G1996&gt;=評分方法!$C$16,"優先評估",IF(G1996&gt;=評分方法!$C$17,"列入候選",IF(G1996&gt;=評分方法!$C$18,"特定情境","不建議")))</f>
        <v>不建議</v>
      </c>
      <c r="I1996" s="15" t="n">
        <f aca="false">AE1996*評分方法!$C$5</f>
        <v>25.5</v>
      </c>
      <c r="J1996" s="15" t="n">
        <f aca="false">AF1996*評分方法!$C$6</f>
        <v>0</v>
      </c>
      <c r="K1996" s="15" t="n">
        <f aca="false">AG1996*評分方法!$C$7</f>
        <v>4.95</v>
      </c>
      <c r="L1996" s="15" t="n">
        <f aca="false">AH1996*評分方法!$C$8</f>
        <v>13.05</v>
      </c>
      <c r="M1996" s="15" t="n">
        <f aca="false">AI1996*評分方法!$C$9</f>
        <v>2</v>
      </c>
      <c r="N1996" s="15" t="n">
        <f aca="false">AJ1996*評分方法!$C$10</f>
        <v>2.596</v>
      </c>
      <c r="O1996" s="15" t="n">
        <f aca="false">AK1996*評分方法!$C$11</f>
        <v>1</v>
      </c>
      <c r="P1996" s="15" t="n">
        <f aca="false">AL1996*評分方法!$C$12</f>
        <v>3</v>
      </c>
      <c r="Q1996" s="6" t="n">
        <v>261318</v>
      </c>
      <c r="R1996" s="6" t="n">
        <v>8030261248</v>
      </c>
      <c r="S1996" s="11" t="s">
        <v>254</v>
      </c>
      <c r="T1996" s="5"/>
      <c r="U1996" s="5" t="s">
        <v>375</v>
      </c>
      <c r="V1996" s="11" t="s">
        <v>261</v>
      </c>
      <c r="W1996" s="5" t="s">
        <v>334</v>
      </c>
      <c r="X1996" s="5" t="s">
        <v>371</v>
      </c>
      <c r="Y1996" s="11" t="s">
        <v>2784</v>
      </c>
      <c r="Z1996" s="11" t="s">
        <v>244</v>
      </c>
      <c r="AA1996" s="11" t="s">
        <v>155</v>
      </c>
      <c r="AB1996" s="5" t="s">
        <v>245</v>
      </c>
      <c r="AC1996" s="5" t="s">
        <v>464</v>
      </c>
      <c r="AD1996" s="11" t="s">
        <v>4899</v>
      </c>
      <c r="AE1996" s="23" t="n">
        <v>0.85</v>
      </c>
      <c r="AF1996" s="23" t="n">
        <v>0</v>
      </c>
      <c r="AG1996" s="23" t="n">
        <v>0.33</v>
      </c>
      <c r="AH1996" s="23" t="n">
        <v>0.87</v>
      </c>
      <c r="AI1996" s="23" t="n">
        <v>0.2</v>
      </c>
      <c r="AJ1996" s="23" t="n">
        <v>0.2596</v>
      </c>
      <c r="AK1996" s="23" t="n">
        <v>0.2</v>
      </c>
      <c r="AL1996" s="23" t="n">
        <v>0.6</v>
      </c>
      <c r="AM1996" s="16" t="n">
        <f aca="false">COUNTIFS($D$2:$D$2501,D1996,$G$2:$G$2501,"&gt;"&amp;G1996)+COUNTIFS($D$2:D1996,D1996,$G$2:G1996,G1996)</f>
        <v>910</v>
      </c>
      <c r="AN1996" s="5" t="str">
        <f aca="false">D1996&amp;"|"&amp;AM1996</f>
        <v>分析與報告生成|910</v>
      </c>
    </row>
    <row r="1997" customFormat="false" ht="17.15" hidden="false" customHeight="false" outlineLevel="0" collapsed="false">
      <c r="A1997" s="16" t="n">
        <f aca="false">RANK(G1997,$G$2:$G$2501)+COUNTIF($G$2:G1997,G1997)-1</f>
        <v>1996</v>
      </c>
      <c r="B1997" s="11" t="s">
        <v>4900</v>
      </c>
      <c r="C1997" s="11" t="s">
        <v>4079</v>
      </c>
      <c r="D1997" s="5" t="s">
        <v>54</v>
      </c>
      <c r="E1997" s="5" t="s">
        <v>55</v>
      </c>
      <c r="F1997" s="5"/>
      <c r="G1997" s="22" t="n">
        <f aca="false">ROUND(SUM(I1997:P1997),3)</f>
        <v>52.09</v>
      </c>
      <c r="H1997" s="5" t="str">
        <f aca="false">IF(G1997&gt;=評分方法!$C$16,"優先評估",IF(G1997&gt;=評分方法!$C$17,"列入候選",IF(G1997&gt;=評分方法!$C$18,"特定情境","不建議")))</f>
        <v>不建議</v>
      </c>
      <c r="I1997" s="15" t="n">
        <f aca="false">AE1997*評分方法!$C$5</f>
        <v>16.2</v>
      </c>
      <c r="J1997" s="15" t="n">
        <f aca="false">AF1997*評分方法!$C$6</f>
        <v>0</v>
      </c>
      <c r="K1997" s="15" t="n">
        <f aca="false">AG1997*評分方法!$C$7</f>
        <v>4.95</v>
      </c>
      <c r="L1997" s="15" t="n">
        <f aca="false">AH1997*評分方法!$C$8</f>
        <v>15</v>
      </c>
      <c r="M1997" s="15" t="n">
        <f aca="false">AI1997*評分方法!$C$9</f>
        <v>10</v>
      </c>
      <c r="N1997" s="15" t="n">
        <f aca="false">AJ1997*評分方法!$C$10</f>
        <v>3.44</v>
      </c>
      <c r="O1997" s="15" t="n">
        <f aca="false">AK1997*評分方法!$C$11</f>
        <v>2.5</v>
      </c>
      <c r="P1997" s="15" t="n">
        <f aca="false">AL1997*評分方法!$C$12</f>
        <v>0</v>
      </c>
      <c r="Q1997" s="6" t="n">
        <v>346628</v>
      </c>
      <c r="R1997" s="6" t="n">
        <v>124043520</v>
      </c>
      <c r="S1997" s="11" t="s">
        <v>238</v>
      </c>
      <c r="T1997" s="11" t="s">
        <v>239</v>
      </c>
      <c r="U1997" s="5" t="s">
        <v>240</v>
      </c>
      <c r="V1997" s="11" t="s">
        <v>261</v>
      </c>
      <c r="W1997" s="5" t="s">
        <v>334</v>
      </c>
      <c r="X1997" s="5" t="s">
        <v>242</v>
      </c>
      <c r="Y1997" s="5"/>
      <c r="Z1997" s="5"/>
      <c r="AA1997" s="11" t="s">
        <v>152</v>
      </c>
      <c r="AB1997" s="5" t="s">
        <v>245</v>
      </c>
      <c r="AC1997" s="5" t="s">
        <v>1463</v>
      </c>
      <c r="AD1997" s="11" t="s">
        <v>4901</v>
      </c>
      <c r="AE1997" s="23" t="n">
        <v>0.54</v>
      </c>
      <c r="AF1997" s="23" t="n">
        <v>0</v>
      </c>
      <c r="AG1997" s="23" t="n">
        <v>0.33</v>
      </c>
      <c r="AH1997" s="23" t="n">
        <v>1</v>
      </c>
      <c r="AI1997" s="23" t="n">
        <v>1</v>
      </c>
      <c r="AJ1997" s="23" t="n">
        <v>0.344</v>
      </c>
      <c r="AK1997" s="23" t="n">
        <v>0.5</v>
      </c>
      <c r="AL1997" s="23" t="n">
        <v>0</v>
      </c>
      <c r="AM1997" s="16" t="n">
        <f aca="false">COUNTIFS($D$2:$D$2501,D1997,$G$2:$G$2501,"&gt;"&amp;G1997)+COUNTIFS($D$2:D1997,D1997,$G$2:G1997,G1997)</f>
        <v>247</v>
      </c>
      <c r="AN1997" s="5" t="str">
        <f aca="false">D1997&amp;"|"&amp;AM1997</f>
        <v>檢索與情資關聯|247</v>
      </c>
    </row>
    <row r="1998" customFormat="false" ht="17.15" hidden="false" customHeight="false" outlineLevel="0" collapsed="false">
      <c r="A1998" s="16" t="n">
        <f aca="false">RANK(G1998,$G$2:$G$2501)+COUNTIF($G$2:G1998,G1998)-1</f>
        <v>1997</v>
      </c>
      <c r="B1998" s="11" t="s">
        <v>4902</v>
      </c>
      <c r="C1998" s="11" t="s">
        <v>891</v>
      </c>
      <c r="D1998" s="5" t="s">
        <v>56</v>
      </c>
      <c r="E1998" s="5" t="s">
        <v>57</v>
      </c>
      <c r="F1998" s="5"/>
      <c r="G1998" s="22" t="n">
        <f aca="false">ROUND(SUM(I1998:P1998),3)</f>
        <v>52.084</v>
      </c>
      <c r="H1998" s="5" t="str">
        <f aca="false">IF(G1998&gt;=評分方法!$C$16,"優先評估",IF(G1998&gt;=評分方法!$C$17,"列入候選",IF(G1998&gt;=評分方法!$C$18,"特定情境","不建議")))</f>
        <v>不建議</v>
      </c>
      <c r="I1998" s="15" t="n">
        <f aca="false">AE1998*評分方法!$C$5</f>
        <v>25.5</v>
      </c>
      <c r="J1998" s="15" t="n">
        <f aca="false">AF1998*評分方法!$C$6</f>
        <v>0</v>
      </c>
      <c r="K1998" s="15" t="n">
        <f aca="false">AG1998*評分方法!$C$7</f>
        <v>10.05</v>
      </c>
      <c r="L1998" s="15" t="n">
        <f aca="false">AH1998*評分方法!$C$8</f>
        <v>4.95</v>
      </c>
      <c r="M1998" s="15" t="n">
        <f aca="false">AI1998*評分方法!$C$9</f>
        <v>2</v>
      </c>
      <c r="N1998" s="15" t="n">
        <f aca="false">AJ1998*評分方法!$C$10</f>
        <v>4.084</v>
      </c>
      <c r="O1998" s="15" t="n">
        <f aca="false">AK1998*評分方法!$C$11</f>
        <v>2.5</v>
      </c>
      <c r="P1998" s="15" t="n">
        <f aca="false">AL1998*評分方法!$C$12</f>
        <v>3</v>
      </c>
      <c r="Q1998" s="6" t="n">
        <v>432310</v>
      </c>
      <c r="R1998" s="6" t="n">
        <v>70553706496</v>
      </c>
      <c r="S1998" s="11" t="s">
        <v>1876</v>
      </c>
      <c r="T1998" s="5"/>
      <c r="U1998" s="5" t="s">
        <v>375</v>
      </c>
      <c r="V1998" s="11" t="s">
        <v>261</v>
      </c>
      <c r="W1998" s="5" t="s">
        <v>207</v>
      </c>
      <c r="X1998" s="5" t="s">
        <v>371</v>
      </c>
      <c r="Y1998" s="11" t="s">
        <v>4903</v>
      </c>
      <c r="Z1998" s="11" t="s">
        <v>244</v>
      </c>
      <c r="AA1998" s="11" t="s">
        <v>155</v>
      </c>
      <c r="AB1998" s="5" t="s">
        <v>496</v>
      </c>
      <c r="AC1998" s="5" t="s">
        <v>1108</v>
      </c>
      <c r="AD1998" s="11" t="s">
        <v>4904</v>
      </c>
      <c r="AE1998" s="23" t="n">
        <v>0.85</v>
      </c>
      <c r="AF1998" s="23" t="n">
        <v>0</v>
      </c>
      <c r="AG1998" s="23" t="n">
        <v>0.67</v>
      </c>
      <c r="AH1998" s="23" t="n">
        <v>0.33</v>
      </c>
      <c r="AI1998" s="23" t="n">
        <v>0.2</v>
      </c>
      <c r="AJ1998" s="23" t="n">
        <v>0.4084</v>
      </c>
      <c r="AK1998" s="23" t="n">
        <v>0.5</v>
      </c>
      <c r="AL1998" s="23" t="n">
        <v>0.6</v>
      </c>
      <c r="AM1998" s="16" t="n">
        <f aca="false">COUNTIFS($D$2:$D$2501,D1998,$G$2:$G$2501,"&gt;"&amp;G1998)+COUNTIFS($D$2:D1998,D1998,$G$2:G1998,G1998)</f>
        <v>911</v>
      </c>
      <c r="AN1998" s="5" t="str">
        <f aca="false">D1998&amp;"|"&amp;AM1998</f>
        <v>分析與報告生成|911</v>
      </c>
    </row>
    <row r="1999" customFormat="false" ht="17.15" hidden="false" customHeight="false" outlineLevel="0" collapsed="false">
      <c r="A1999" s="16" t="n">
        <f aca="false">RANK(G1999,$G$2:$G$2501)+COUNTIF($G$2:G1999,G1999)-1</f>
        <v>1998</v>
      </c>
      <c r="B1999" s="11" t="s">
        <v>4905</v>
      </c>
      <c r="C1999" s="11" t="s">
        <v>4906</v>
      </c>
      <c r="D1999" s="5" t="s">
        <v>56</v>
      </c>
      <c r="E1999" s="5" t="s">
        <v>57</v>
      </c>
      <c r="F1999" s="5"/>
      <c r="G1999" s="22" t="n">
        <f aca="false">ROUND(SUM(I1999:P1999),3)</f>
        <v>52.062</v>
      </c>
      <c r="H1999" s="5" t="str">
        <f aca="false">IF(G1999&gt;=評分方法!$C$16,"優先評估",IF(G1999&gt;=評分方法!$C$17,"列入候選",IF(G1999&gt;=評分方法!$C$18,"特定情境","不建議")))</f>
        <v>不建議</v>
      </c>
      <c r="I1999" s="15" t="n">
        <f aca="false">AE1999*評分方法!$C$5</f>
        <v>25.5</v>
      </c>
      <c r="J1999" s="15" t="n">
        <f aca="false">AF1999*評分方法!$C$6</f>
        <v>0</v>
      </c>
      <c r="K1999" s="15" t="n">
        <f aca="false">AG1999*評分方法!$C$7</f>
        <v>4.95</v>
      </c>
      <c r="L1999" s="15" t="n">
        <f aca="false">AH1999*評分方法!$C$8</f>
        <v>9</v>
      </c>
      <c r="M1999" s="15" t="n">
        <f aca="false">AI1999*評分方法!$C$9</f>
        <v>6</v>
      </c>
      <c r="N1999" s="15" t="n">
        <f aca="false">AJ1999*評分方法!$C$10</f>
        <v>1.112</v>
      </c>
      <c r="O1999" s="15" t="n">
        <f aca="false">AK1999*評分方法!$C$11</f>
        <v>2.5</v>
      </c>
      <c r="P1999" s="15" t="n">
        <f aca="false">AL1999*評分方法!$C$12</f>
        <v>3</v>
      </c>
      <c r="Q1999" s="6" t="n">
        <v>158037</v>
      </c>
      <c r="R1999" s="6" t="n">
        <v>11765788416</v>
      </c>
      <c r="S1999" s="11" t="s">
        <v>389</v>
      </c>
      <c r="T1999" s="11" t="s">
        <v>658</v>
      </c>
      <c r="U1999" s="5" t="s">
        <v>260</v>
      </c>
      <c r="V1999" s="11" t="s">
        <v>333</v>
      </c>
      <c r="W1999" s="5" t="s">
        <v>334</v>
      </c>
      <c r="X1999" s="5" t="s">
        <v>371</v>
      </c>
      <c r="Y1999" s="5"/>
      <c r="Z1999" s="5"/>
      <c r="AA1999" s="11" t="s">
        <v>155</v>
      </c>
      <c r="AB1999" s="5" t="s">
        <v>961</v>
      </c>
      <c r="AC1999" s="5" t="s">
        <v>1977</v>
      </c>
      <c r="AD1999" s="11" t="s">
        <v>4907</v>
      </c>
      <c r="AE1999" s="23" t="n">
        <v>0.85</v>
      </c>
      <c r="AF1999" s="23" t="n">
        <v>0</v>
      </c>
      <c r="AG1999" s="23" t="n">
        <v>0.33</v>
      </c>
      <c r="AH1999" s="23" t="n">
        <v>0.6</v>
      </c>
      <c r="AI1999" s="23" t="n">
        <v>0.6</v>
      </c>
      <c r="AJ1999" s="23" t="n">
        <v>0.1112</v>
      </c>
      <c r="AK1999" s="23" t="n">
        <v>0.5</v>
      </c>
      <c r="AL1999" s="23" t="n">
        <v>0.6</v>
      </c>
      <c r="AM1999" s="16" t="n">
        <f aca="false">COUNTIFS($D$2:$D$2501,D1999,$G$2:$G$2501,"&gt;"&amp;G1999)+COUNTIFS($D$2:D1999,D1999,$G$2:G1999,G1999)</f>
        <v>912</v>
      </c>
      <c r="AN1999" s="5" t="str">
        <f aca="false">D1999&amp;"|"&amp;AM1999</f>
        <v>分析與報告生成|912</v>
      </c>
    </row>
    <row r="2000" customFormat="false" ht="17.15" hidden="false" customHeight="false" outlineLevel="0" collapsed="false">
      <c r="A2000" s="16" t="n">
        <f aca="false">RANK(G2000,$G$2:$G$2501)+COUNTIF($G$2:G2000,G2000)-1</f>
        <v>1999</v>
      </c>
      <c r="B2000" s="11" t="s">
        <v>4908</v>
      </c>
      <c r="C2000" s="11" t="s">
        <v>2910</v>
      </c>
      <c r="D2000" s="5" t="s">
        <v>74</v>
      </c>
      <c r="E2000" s="5" t="s">
        <v>75</v>
      </c>
      <c r="F2000" s="5"/>
      <c r="G2000" s="22" t="n">
        <f aca="false">ROUND(SUM(I2000:P2000),3)</f>
        <v>51.974</v>
      </c>
      <c r="H2000" s="5" t="str">
        <f aca="false">IF(G2000&gt;=評分方法!$C$16,"優先評估",IF(G2000&gt;=評分方法!$C$17,"列入候選",IF(G2000&gt;=評分方法!$C$18,"特定情境","不建議")))</f>
        <v>不建議</v>
      </c>
      <c r="I2000" s="15" t="n">
        <f aca="false">AE2000*評分方法!$C$5</f>
        <v>10.5</v>
      </c>
      <c r="J2000" s="15" t="n">
        <f aca="false">AF2000*評分方法!$C$6</f>
        <v>0</v>
      </c>
      <c r="K2000" s="15" t="n">
        <f aca="false">AG2000*評分方法!$C$7</f>
        <v>10.05</v>
      </c>
      <c r="L2000" s="15" t="n">
        <f aca="false">AH2000*評分方法!$C$8</f>
        <v>15</v>
      </c>
      <c r="M2000" s="15" t="n">
        <f aca="false">AI2000*評分方法!$C$9</f>
        <v>10</v>
      </c>
      <c r="N2000" s="15" t="n">
        <f aca="false">AJ2000*評分方法!$C$10</f>
        <v>3.924</v>
      </c>
      <c r="O2000" s="15" t="n">
        <f aca="false">AK2000*評分方法!$C$11</f>
        <v>2.5</v>
      </c>
      <c r="P2000" s="15" t="n">
        <f aca="false">AL2000*評分方法!$C$12</f>
        <v>0</v>
      </c>
      <c r="Q2000" s="6" t="n">
        <v>406381</v>
      </c>
      <c r="R2000" s="6" t="n">
        <v>92934149</v>
      </c>
      <c r="S2000" s="11" t="s">
        <v>238</v>
      </c>
      <c r="T2000" s="11" t="s">
        <v>239</v>
      </c>
      <c r="U2000" s="5" t="s">
        <v>240</v>
      </c>
      <c r="V2000" s="11" t="s">
        <v>261</v>
      </c>
      <c r="W2000" s="5" t="s">
        <v>207</v>
      </c>
      <c r="X2000" s="5" t="s">
        <v>242</v>
      </c>
      <c r="Y2000" s="11" t="s">
        <v>2524</v>
      </c>
      <c r="Z2000" s="11" t="s">
        <v>270</v>
      </c>
      <c r="AA2000" s="11" t="s">
        <v>172</v>
      </c>
      <c r="AB2000" s="5" t="s">
        <v>245</v>
      </c>
      <c r="AC2000" s="5"/>
      <c r="AD2000" s="11" t="s">
        <v>4909</v>
      </c>
      <c r="AE2000" s="23" t="n">
        <v>0.35</v>
      </c>
      <c r="AF2000" s="23" t="n">
        <v>0</v>
      </c>
      <c r="AG2000" s="23" t="n">
        <v>0.67</v>
      </c>
      <c r="AH2000" s="23" t="n">
        <v>1</v>
      </c>
      <c r="AI2000" s="23" t="n">
        <v>1</v>
      </c>
      <c r="AJ2000" s="23" t="n">
        <v>0.3924</v>
      </c>
      <c r="AK2000" s="23" t="n">
        <v>0.5</v>
      </c>
      <c r="AL2000" s="23" t="n">
        <v>0</v>
      </c>
      <c r="AM2000" s="16" t="n">
        <f aca="false">COUNTIFS($D$2:$D$2501,D2000,$G$2:$G$2501,"&gt;"&amp;G2000)+COUNTIFS($D$2:D2000,D2000,$G$2:G2000,G2000)</f>
        <v>258</v>
      </c>
      <c r="AN2000" s="5" t="str">
        <f aca="false">D2000&amp;"|"&amp;AM2000</f>
        <v>文件與影像辨識|258</v>
      </c>
    </row>
    <row r="2001" customFormat="false" ht="17.15" hidden="false" customHeight="false" outlineLevel="0" collapsed="false">
      <c r="A2001" s="16" t="n">
        <f aca="false">RANK(G2001,$G$2:$G$2501)+COUNTIF($G$2:G2001,G2001)-1</f>
        <v>2000</v>
      </c>
      <c r="B2001" s="11" t="s">
        <v>4910</v>
      </c>
      <c r="C2001" s="11" t="s">
        <v>681</v>
      </c>
      <c r="D2001" s="5" t="s">
        <v>74</v>
      </c>
      <c r="E2001" s="5" t="s">
        <v>75</v>
      </c>
      <c r="F2001" s="5"/>
      <c r="G2001" s="22" t="n">
        <f aca="false">ROUND(SUM(I2001:P2001),3)</f>
        <v>51.972</v>
      </c>
      <c r="H2001" s="5" t="str">
        <f aca="false">IF(G2001&gt;=評分方法!$C$16,"優先評估",IF(G2001&gt;=評分方法!$C$17,"列入候選",IF(G2001&gt;=評分方法!$C$18,"特定情境","不建議")))</f>
        <v>不建議</v>
      </c>
      <c r="I2001" s="15" t="n">
        <f aca="false">AE2001*評分方法!$C$5</f>
        <v>7.5</v>
      </c>
      <c r="J2001" s="15" t="n">
        <f aca="false">AF2001*評分方法!$C$6</f>
        <v>0</v>
      </c>
      <c r="K2001" s="15" t="n">
        <f aca="false">AG2001*評分方法!$C$7</f>
        <v>15</v>
      </c>
      <c r="L2001" s="15" t="n">
        <f aca="false">AH2001*評分方法!$C$8</f>
        <v>15</v>
      </c>
      <c r="M2001" s="15" t="n">
        <f aca="false">AI2001*評分方法!$C$9</f>
        <v>10</v>
      </c>
      <c r="N2001" s="15" t="n">
        <f aca="false">AJ2001*評分方法!$C$10</f>
        <v>0.472</v>
      </c>
      <c r="O2001" s="15" t="n">
        <f aca="false">AK2001*評分方法!$C$11</f>
        <v>2.5</v>
      </c>
      <c r="P2001" s="15" t="n">
        <f aca="false">AL2001*評分方法!$C$12</f>
        <v>1.5</v>
      </c>
      <c r="Q2001" s="6" t="n">
        <v>131352</v>
      </c>
      <c r="R2001" s="6" t="n">
        <v>375485998</v>
      </c>
      <c r="S2001" s="11" t="s">
        <v>238</v>
      </c>
      <c r="T2001" s="11" t="s">
        <v>278</v>
      </c>
      <c r="U2001" s="5" t="s">
        <v>240</v>
      </c>
      <c r="V2001" s="11" t="s">
        <v>261</v>
      </c>
      <c r="W2001" s="5" t="s">
        <v>205</v>
      </c>
      <c r="X2001" s="5" t="s">
        <v>255</v>
      </c>
      <c r="Y2001" s="11" t="s">
        <v>3714</v>
      </c>
      <c r="Z2001" s="11" t="s">
        <v>270</v>
      </c>
      <c r="AA2001" s="11" t="s">
        <v>179</v>
      </c>
      <c r="AB2001" s="5" t="s">
        <v>245</v>
      </c>
      <c r="AC2001" s="5"/>
      <c r="AD2001" s="11" t="s">
        <v>4911</v>
      </c>
      <c r="AE2001" s="23" t="n">
        <v>0.25</v>
      </c>
      <c r="AF2001" s="23" t="n">
        <v>0</v>
      </c>
      <c r="AG2001" s="23" t="n">
        <v>1</v>
      </c>
      <c r="AH2001" s="23" t="n">
        <v>1</v>
      </c>
      <c r="AI2001" s="23" t="n">
        <v>1</v>
      </c>
      <c r="AJ2001" s="23" t="n">
        <v>0.0472</v>
      </c>
      <c r="AK2001" s="23" t="n">
        <v>0.5</v>
      </c>
      <c r="AL2001" s="23" t="n">
        <v>0.3</v>
      </c>
      <c r="AM2001" s="16" t="n">
        <f aca="false">COUNTIFS($D$2:$D$2501,D2001,$G$2:$G$2501,"&gt;"&amp;G2001)+COUNTIFS($D$2:D2001,D2001,$G$2:G2001,G2001)</f>
        <v>259</v>
      </c>
      <c r="AN2001" s="5" t="str">
        <f aca="false">D2001&amp;"|"&amp;AM2001</f>
        <v>文件與影像辨識|259</v>
      </c>
    </row>
    <row r="2002" customFormat="false" ht="17.15" hidden="false" customHeight="false" outlineLevel="0" collapsed="false">
      <c r="A2002" s="16" t="n">
        <f aca="false">RANK(G2002,$G$2:$G$2501)+COUNTIF($G$2:G2002,G2002)-1</f>
        <v>2001</v>
      </c>
      <c r="B2002" s="11" t="s">
        <v>4912</v>
      </c>
      <c r="C2002" s="11" t="s">
        <v>4495</v>
      </c>
      <c r="D2002" s="5" t="s">
        <v>72</v>
      </c>
      <c r="E2002" s="5" t="s">
        <v>73</v>
      </c>
      <c r="F2002" s="5"/>
      <c r="G2002" s="22" t="n">
        <f aca="false">ROUND(SUM(I2002:P2002),3)</f>
        <v>51.954</v>
      </c>
      <c r="H2002" s="5" t="str">
        <f aca="false">IF(G2002&gt;=評分方法!$C$16,"優先評估",IF(G2002&gt;=評分方法!$C$17,"列入候選",IF(G2002&gt;=評分方法!$C$18,"特定情境","不建議")))</f>
        <v>不建議</v>
      </c>
      <c r="I2002" s="15" t="n">
        <f aca="false">AE2002*評分方法!$C$5</f>
        <v>15</v>
      </c>
      <c r="J2002" s="15" t="n">
        <f aca="false">AF2002*評分方法!$C$6</f>
        <v>0</v>
      </c>
      <c r="K2002" s="15" t="n">
        <f aca="false">AG2002*評分方法!$C$7</f>
        <v>4.95</v>
      </c>
      <c r="L2002" s="15" t="n">
        <f aca="false">AH2002*評分方法!$C$8</f>
        <v>15</v>
      </c>
      <c r="M2002" s="15" t="n">
        <f aca="false">AI2002*評分方法!$C$9</f>
        <v>10</v>
      </c>
      <c r="N2002" s="15" t="n">
        <f aca="false">AJ2002*評分方法!$C$10</f>
        <v>6.004</v>
      </c>
      <c r="O2002" s="15" t="n">
        <f aca="false">AK2002*評分方法!$C$11</f>
        <v>1</v>
      </c>
      <c r="P2002" s="15" t="n">
        <f aca="false">AL2002*評分方法!$C$12</f>
        <v>0</v>
      </c>
      <c r="Q2002" s="6" t="n">
        <v>626031</v>
      </c>
      <c r="R2002" s="6" t="n">
        <v>11842272</v>
      </c>
      <c r="S2002" s="11" t="s">
        <v>238</v>
      </c>
      <c r="T2002" s="11" t="s">
        <v>239</v>
      </c>
      <c r="U2002" s="5" t="s">
        <v>240</v>
      </c>
      <c r="V2002" s="11" t="s">
        <v>855</v>
      </c>
      <c r="W2002" s="5" t="s">
        <v>334</v>
      </c>
      <c r="X2002" s="5" t="s">
        <v>242</v>
      </c>
      <c r="Y2002" s="5"/>
      <c r="Z2002" s="5"/>
      <c r="AA2002" s="11" t="s">
        <v>162</v>
      </c>
      <c r="AB2002" s="5" t="s">
        <v>245</v>
      </c>
      <c r="AC2002" s="5"/>
      <c r="AD2002" s="11" t="s">
        <v>4913</v>
      </c>
      <c r="AE2002" s="23" t="n">
        <v>0.5</v>
      </c>
      <c r="AF2002" s="23" t="n">
        <v>0</v>
      </c>
      <c r="AG2002" s="23" t="n">
        <v>0.33</v>
      </c>
      <c r="AH2002" s="23" t="n">
        <v>1</v>
      </c>
      <c r="AI2002" s="23" t="n">
        <v>1</v>
      </c>
      <c r="AJ2002" s="23" t="n">
        <v>0.6004</v>
      </c>
      <c r="AK2002" s="23" t="n">
        <v>0.2</v>
      </c>
      <c r="AL2002" s="23" t="n">
        <v>0</v>
      </c>
      <c r="AM2002" s="16" t="n">
        <f aca="false">COUNTIFS($D$2:$D$2501,D2002,$G$2:$G$2501,"&gt;"&amp;G2002)+COUNTIFS($D$2:D2002,D2002,$G$2:G2002,G2002)</f>
        <v>34</v>
      </c>
      <c r="AN2002" s="5" t="str">
        <f aca="false">D2002&amp;"|"&amp;AM2002</f>
        <v>微調基底模型|34</v>
      </c>
    </row>
    <row r="2003" customFormat="false" ht="17.15" hidden="false" customHeight="false" outlineLevel="0" collapsed="false">
      <c r="A2003" s="16" t="n">
        <f aca="false">RANK(G2003,$G$2:$G$2501)+COUNTIF($G$2:G2003,G2003)-1</f>
        <v>2002</v>
      </c>
      <c r="B2003" s="11" t="s">
        <v>4914</v>
      </c>
      <c r="C2003" s="11" t="s">
        <v>4915</v>
      </c>
      <c r="D2003" s="5" t="s">
        <v>78</v>
      </c>
      <c r="E2003" s="5" t="s">
        <v>79</v>
      </c>
      <c r="F2003" s="5"/>
      <c r="G2003" s="22" t="n">
        <f aca="false">ROUND(SUM(I2003:P2003),3)</f>
        <v>51.938</v>
      </c>
      <c r="H2003" s="5" t="str">
        <f aca="false">IF(G2003&gt;=評分方法!$C$16,"優先評估",IF(G2003&gt;=評分方法!$C$17,"列入候選",IF(G2003&gt;=評分方法!$C$18,"特定情境","不建議")))</f>
        <v>不建議</v>
      </c>
      <c r="I2003" s="15" t="n">
        <f aca="false">AE2003*評分方法!$C$5</f>
        <v>10.5</v>
      </c>
      <c r="J2003" s="15" t="n">
        <f aca="false">AF2003*評分方法!$C$6</f>
        <v>0</v>
      </c>
      <c r="K2003" s="15" t="n">
        <f aca="false">AG2003*評分方法!$C$7</f>
        <v>4.95</v>
      </c>
      <c r="L2003" s="15" t="n">
        <f aca="false">AH2003*評分方法!$C$8</f>
        <v>15</v>
      </c>
      <c r="M2003" s="15" t="n">
        <f aca="false">AI2003*評分方法!$C$9</f>
        <v>10</v>
      </c>
      <c r="N2003" s="15" t="n">
        <f aca="false">AJ2003*評分方法!$C$10</f>
        <v>8.988</v>
      </c>
      <c r="O2003" s="15" t="n">
        <f aca="false">AK2003*評分方法!$C$11</f>
        <v>1</v>
      </c>
      <c r="P2003" s="15" t="n">
        <f aca="false">AL2003*評分方法!$C$12</f>
        <v>1.5</v>
      </c>
      <c r="Q2003" s="6" t="n">
        <v>3793295</v>
      </c>
      <c r="R2003" s="6" t="n">
        <v>315701634</v>
      </c>
      <c r="S2003" s="11" t="s">
        <v>238</v>
      </c>
      <c r="T2003" s="11" t="s">
        <v>239</v>
      </c>
      <c r="U2003" s="5" t="s">
        <v>240</v>
      </c>
      <c r="V2003" s="11" t="s">
        <v>324</v>
      </c>
      <c r="W2003" s="5" t="s">
        <v>334</v>
      </c>
      <c r="X2003" s="5" t="s">
        <v>255</v>
      </c>
      <c r="Y2003" s="11" t="s">
        <v>4916</v>
      </c>
      <c r="Z2003" s="11" t="s">
        <v>270</v>
      </c>
      <c r="AA2003" s="11" t="s">
        <v>174</v>
      </c>
      <c r="AB2003" s="5" t="s">
        <v>245</v>
      </c>
      <c r="AC2003" s="5"/>
      <c r="AD2003" s="11" t="s">
        <v>4917</v>
      </c>
      <c r="AE2003" s="23" t="n">
        <v>0.35</v>
      </c>
      <c r="AF2003" s="23" t="n">
        <v>0</v>
      </c>
      <c r="AG2003" s="23" t="n">
        <v>0.33</v>
      </c>
      <c r="AH2003" s="23" t="n">
        <v>1</v>
      </c>
      <c r="AI2003" s="23" t="n">
        <v>1</v>
      </c>
      <c r="AJ2003" s="23" t="n">
        <v>0.8988</v>
      </c>
      <c r="AK2003" s="23" t="n">
        <v>0.2</v>
      </c>
      <c r="AL2003" s="23" t="n">
        <v>0.3</v>
      </c>
      <c r="AM2003" s="16" t="n">
        <f aca="false">COUNTIFS($D$2:$D$2501,D2003,$G$2:$G$2501,"&gt;"&amp;G2003)+COUNTIFS($D$2:D2003,D2003,$G$2:G2003,G2003)</f>
        <v>59</v>
      </c>
      <c r="AN2003" s="5" t="str">
        <f aca="false">D2003&amp;"|"&amp;AM2003</f>
        <v>語音分析|59</v>
      </c>
    </row>
    <row r="2004" customFormat="false" ht="17.15" hidden="false" customHeight="false" outlineLevel="0" collapsed="false">
      <c r="A2004" s="16" t="n">
        <f aca="false">RANK(G2004,$G$2:$G$2501)+COUNTIF($G$2:G2004,G2004)-1</f>
        <v>2003</v>
      </c>
      <c r="B2004" s="11" t="s">
        <v>4918</v>
      </c>
      <c r="C2004" s="11" t="s">
        <v>4919</v>
      </c>
      <c r="D2004" s="5" t="s">
        <v>70</v>
      </c>
      <c r="E2004" s="5" t="s">
        <v>71</v>
      </c>
      <c r="F2004" s="5" t="s">
        <v>70</v>
      </c>
      <c r="G2004" s="22" t="n">
        <f aca="false">ROUND(SUM(I2004:P2004),3)</f>
        <v>51.914</v>
      </c>
      <c r="H2004" s="5" t="str">
        <f aca="false">IF(G2004&gt;=評分方法!$C$16,"優先評估",IF(G2004&gt;=評分方法!$C$17,"列入候選",IF(G2004&gt;=評分方法!$C$18,"特定情境","不建議")))</f>
        <v>不建議</v>
      </c>
      <c r="I2004" s="15" t="n">
        <f aca="false">AE2004*評分方法!$C$5</f>
        <v>10.5</v>
      </c>
      <c r="J2004" s="15" t="n">
        <f aca="false">AF2004*評分方法!$C$6</f>
        <v>5</v>
      </c>
      <c r="K2004" s="15" t="n">
        <f aca="false">AG2004*評分方法!$C$7</f>
        <v>4.95</v>
      </c>
      <c r="L2004" s="15" t="n">
        <f aca="false">AH2004*評分方法!$C$8</f>
        <v>15</v>
      </c>
      <c r="M2004" s="15" t="n">
        <f aca="false">AI2004*評分方法!$C$9</f>
        <v>10</v>
      </c>
      <c r="N2004" s="15" t="n">
        <f aca="false">AJ2004*評分方法!$C$10</f>
        <v>2.464</v>
      </c>
      <c r="O2004" s="15" t="n">
        <f aca="false">AK2004*評分方法!$C$11</f>
        <v>2.5</v>
      </c>
      <c r="P2004" s="15" t="n">
        <f aca="false">AL2004*評分方法!$C$12</f>
        <v>1.5</v>
      </c>
      <c r="Q2004" s="6" t="n">
        <v>248252</v>
      </c>
      <c r="R2004" s="6" t="n">
        <v>85802501</v>
      </c>
      <c r="S2004" s="11" t="s">
        <v>238</v>
      </c>
      <c r="T2004" s="11" t="s">
        <v>239</v>
      </c>
      <c r="U2004" s="5" t="s">
        <v>240</v>
      </c>
      <c r="V2004" s="11" t="s">
        <v>324</v>
      </c>
      <c r="W2004" s="5" t="s">
        <v>334</v>
      </c>
      <c r="X2004" s="5" t="s">
        <v>255</v>
      </c>
      <c r="Y2004" s="11" t="s">
        <v>3146</v>
      </c>
      <c r="Z2004" s="11" t="s">
        <v>270</v>
      </c>
      <c r="AA2004" s="11" t="s">
        <v>172</v>
      </c>
      <c r="AB2004" s="5" t="s">
        <v>245</v>
      </c>
      <c r="AC2004" s="5"/>
      <c r="AD2004" s="11" t="s">
        <v>4920</v>
      </c>
      <c r="AE2004" s="23" t="n">
        <v>0.35</v>
      </c>
      <c r="AF2004" s="23" t="n">
        <v>0.5</v>
      </c>
      <c r="AG2004" s="23" t="n">
        <v>0.33</v>
      </c>
      <c r="AH2004" s="23" t="n">
        <v>1</v>
      </c>
      <c r="AI2004" s="23" t="n">
        <v>1</v>
      </c>
      <c r="AJ2004" s="23" t="n">
        <v>0.2464</v>
      </c>
      <c r="AK2004" s="23" t="n">
        <v>0.5</v>
      </c>
      <c r="AL2004" s="23" t="n">
        <v>0.3</v>
      </c>
      <c r="AM2004" s="16" t="n">
        <f aca="false">COUNTIFS($D$2:$D$2501,D2004,$G$2:$G$2501,"&gt;"&amp;G2004)+COUNTIFS($D$2:D2004,D2004,$G$2:G2004,G2004)</f>
        <v>12</v>
      </c>
      <c r="AN2004" s="5" t="str">
        <f aca="false">D2004&amp;"|"&amp;AM2004</f>
        <v>內容安全審查|12</v>
      </c>
    </row>
    <row r="2005" customFormat="false" ht="17.15" hidden="false" customHeight="false" outlineLevel="0" collapsed="false">
      <c r="A2005" s="16" t="n">
        <f aca="false">RANK(G2005,$G$2:$G$2501)+COUNTIF($G$2:G2005,G2005)-1</f>
        <v>2004</v>
      </c>
      <c r="B2005" s="11" t="s">
        <v>4921</v>
      </c>
      <c r="C2005" s="11" t="s">
        <v>891</v>
      </c>
      <c r="D2005" s="5" t="s">
        <v>56</v>
      </c>
      <c r="E2005" s="5" t="s">
        <v>57</v>
      </c>
      <c r="F2005" s="5"/>
      <c r="G2005" s="22" t="n">
        <f aca="false">ROUND(SUM(I2005:P2005),3)</f>
        <v>51.864</v>
      </c>
      <c r="H2005" s="5" t="str">
        <f aca="false">IF(G2005&gt;=評分方法!$C$16,"優先評估",IF(G2005&gt;=評分方法!$C$17,"列入候選",IF(G2005&gt;=評分方法!$C$18,"特定情境","不建議")))</f>
        <v>不建議</v>
      </c>
      <c r="I2005" s="15" t="n">
        <f aca="false">AE2005*評分方法!$C$5</f>
        <v>25.5</v>
      </c>
      <c r="J2005" s="15" t="n">
        <f aca="false">AF2005*評分方法!$C$6</f>
        <v>0</v>
      </c>
      <c r="K2005" s="15" t="n">
        <f aca="false">AG2005*評分方法!$C$7</f>
        <v>10.05</v>
      </c>
      <c r="L2005" s="15" t="n">
        <f aca="false">AH2005*評分方法!$C$8</f>
        <v>4.95</v>
      </c>
      <c r="M2005" s="15" t="n">
        <f aca="false">AI2005*評分方法!$C$9</f>
        <v>2</v>
      </c>
      <c r="N2005" s="15" t="n">
        <f aca="false">AJ2005*評分方法!$C$10</f>
        <v>3.864</v>
      </c>
      <c r="O2005" s="15" t="n">
        <f aca="false">AK2005*評分方法!$C$11</f>
        <v>2.5</v>
      </c>
      <c r="P2005" s="15" t="n">
        <f aca="false">AL2005*評分方法!$C$12</f>
        <v>3</v>
      </c>
      <c r="Q2005" s="6" t="n">
        <v>399988</v>
      </c>
      <c r="R2005" s="6" t="n">
        <v>70553706496</v>
      </c>
      <c r="S2005" s="11" t="s">
        <v>1876</v>
      </c>
      <c r="T2005" s="5"/>
      <c r="U2005" s="5" t="s">
        <v>375</v>
      </c>
      <c r="V2005" s="11" t="s">
        <v>261</v>
      </c>
      <c r="W2005" s="5" t="s">
        <v>207</v>
      </c>
      <c r="X2005" s="5" t="s">
        <v>371</v>
      </c>
      <c r="Y2005" s="11" t="s">
        <v>4903</v>
      </c>
      <c r="Z2005" s="11" t="s">
        <v>244</v>
      </c>
      <c r="AA2005" s="11" t="s">
        <v>155</v>
      </c>
      <c r="AB2005" s="5" t="s">
        <v>496</v>
      </c>
      <c r="AC2005" s="5" t="s">
        <v>1108</v>
      </c>
      <c r="AD2005" s="11" t="s">
        <v>4922</v>
      </c>
      <c r="AE2005" s="23" t="n">
        <v>0.85</v>
      </c>
      <c r="AF2005" s="23" t="n">
        <v>0</v>
      </c>
      <c r="AG2005" s="23" t="n">
        <v>0.67</v>
      </c>
      <c r="AH2005" s="23" t="n">
        <v>0.33</v>
      </c>
      <c r="AI2005" s="23" t="n">
        <v>0.2</v>
      </c>
      <c r="AJ2005" s="23" t="n">
        <v>0.3864</v>
      </c>
      <c r="AK2005" s="23" t="n">
        <v>0.5</v>
      </c>
      <c r="AL2005" s="23" t="n">
        <v>0.6</v>
      </c>
      <c r="AM2005" s="16" t="n">
        <f aca="false">COUNTIFS($D$2:$D$2501,D2005,$G$2:$G$2501,"&gt;"&amp;G2005)+COUNTIFS($D$2:D2005,D2005,$G$2:G2005,G2005)</f>
        <v>913</v>
      </c>
      <c r="AN2005" s="5" t="str">
        <f aca="false">D2005&amp;"|"&amp;AM2005</f>
        <v>分析與報告生成|913</v>
      </c>
    </row>
    <row r="2006" customFormat="false" ht="17.15" hidden="false" customHeight="false" outlineLevel="0" collapsed="false">
      <c r="A2006" s="16" t="n">
        <f aca="false">RANK(G2006,$G$2:$G$2501)+COUNTIF($G$2:G2006,G2006)-1</f>
        <v>2005</v>
      </c>
      <c r="B2006" s="11" t="s">
        <v>4923</v>
      </c>
      <c r="C2006" s="11" t="s">
        <v>891</v>
      </c>
      <c r="D2006" s="5" t="s">
        <v>56</v>
      </c>
      <c r="E2006" s="5" t="s">
        <v>57</v>
      </c>
      <c r="F2006" s="5"/>
      <c r="G2006" s="22" t="n">
        <f aca="false">ROUND(SUM(I2006:P2006),3)</f>
        <v>51.84</v>
      </c>
      <c r="H2006" s="5" t="str">
        <f aca="false">IF(G2006&gt;=評分方法!$C$16,"優先評估",IF(G2006&gt;=評分方法!$C$17,"列入候選",IF(G2006&gt;=評分方法!$C$18,"特定情境","不建議")))</f>
        <v>不建議</v>
      </c>
      <c r="I2006" s="15" t="n">
        <f aca="false">AE2006*評分方法!$C$5</f>
        <v>25.5</v>
      </c>
      <c r="J2006" s="15" t="n">
        <f aca="false">AF2006*評分方法!$C$6</f>
        <v>0</v>
      </c>
      <c r="K2006" s="15" t="n">
        <f aca="false">AG2006*評分方法!$C$7</f>
        <v>10.05</v>
      </c>
      <c r="L2006" s="15" t="n">
        <f aca="false">AH2006*評分方法!$C$8</f>
        <v>4.95</v>
      </c>
      <c r="M2006" s="15" t="n">
        <f aca="false">AI2006*評分方法!$C$9</f>
        <v>2</v>
      </c>
      <c r="N2006" s="15" t="n">
        <f aca="false">AJ2006*評分方法!$C$10</f>
        <v>3.84</v>
      </c>
      <c r="O2006" s="15" t="n">
        <f aca="false">AK2006*評分方法!$C$11</f>
        <v>2.5</v>
      </c>
      <c r="P2006" s="15" t="n">
        <f aca="false">AL2006*評分方法!$C$12</f>
        <v>3</v>
      </c>
      <c r="Q2006" s="6" t="n">
        <v>396040</v>
      </c>
      <c r="R2006" s="6" t="n">
        <v>70553706496</v>
      </c>
      <c r="S2006" s="11" t="s">
        <v>1876</v>
      </c>
      <c r="T2006" s="5"/>
      <c r="U2006" s="5" t="s">
        <v>375</v>
      </c>
      <c r="V2006" s="11" t="s">
        <v>261</v>
      </c>
      <c r="W2006" s="5" t="s">
        <v>207</v>
      </c>
      <c r="X2006" s="5" t="s">
        <v>371</v>
      </c>
      <c r="Y2006" s="11" t="s">
        <v>4903</v>
      </c>
      <c r="Z2006" s="11" t="s">
        <v>244</v>
      </c>
      <c r="AA2006" s="11" t="s">
        <v>155</v>
      </c>
      <c r="AB2006" s="5" t="s">
        <v>496</v>
      </c>
      <c r="AC2006" s="5" t="s">
        <v>1108</v>
      </c>
      <c r="AD2006" s="11" t="s">
        <v>4924</v>
      </c>
      <c r="AE2006" s="23" t="n">
        <v>0.85</v>
      </c>
      <c r="AF2006" s="23" t="n">
        <v>0</v>
      </c>
      <c r="AG2006" s="23" t="n">
        <v>0.67</v>
      </c>
      <c r="AH2006" s="23" t="n">
        <v>0.33</v>
      </c>
      <c r="AI2006" s="23" t="n">
        <v>0.2</v>
      </c>
      <c r="AJ2006" s="23" t="n">
        <v>0.384</v>
      </c>
      <c r="AK2006" s="23" t="n">
        <v>0.5</v>
      </c>
      <c r="AL2006" s="23" t="n">
        <v>0.6</v>
      </c>
      <c r="AM2006" s="16" t="n">
        <f aca="false">COUNTIFS($D$2:$D$2501,D2006,$G$2:$G$2501,"&gt;"&amp;G2006)+COUNTIFS($D$2:D2006,D2006,$G$2:G2006,G2006)</f>
        <v>914</v>
      </c>
      <c r="AN2006" s="5" t="str">
        <f aca="false">D2006&amp;"|"&amp;AM2006</f>
        <v>分析與報告生成|914</v>
      </c>
    </row>
    <row r="2007" customFormat="false" ht="17.15" hidden="false" customHeight="false" outlineLevel="0" collapsed="false">
      <c r="A2007" s="16" t="n">
        <f aca="false">RANK(G2007,$G$2:$G$2501)+COUNTIF($G$2:G2007,G2007)-1</f>
        <v>2006</v>
      </c>
      <c r="B2007" s="11" t="s">
        <v>4925</v>
      </c>
      <c r="C2007" s="11" t="s">
        <v>891</v>
      </c>
      <c r="D2007" s="5" t="s">
        <v>56</v>
      </c>
      <c r="E2007" s="5" t="s">
        <v>57</v>
      </c>
      <c r="F2007" s="5"/>
      <c r="G2007" s="22" t="n">
        <f aca="false">ROUND(SUM(I2007:P2007),3)</f>
        <v>51.832</v>
      </c>
      <c r="H2007" s="5" t="str">
        <f aca="false">IF(G2007&gt;=評分方法!$C$16,"優先評估",IF(G2007&gt;=評分方法!$C$17,"列入候選",IF(G2007&gt;=評分方法!$C$18,"特定情境","不建議")))</f>
        <v>不建議</v>
      </c>
      <c r="I2007" s="15" t="n">
        <f aca="false">AE2007*評分方法!$C$5</f>
        <v>25.5</v>
      </c>
      <c r="J2007" s="15" t="n">
        <f aca="false">AF2007*評分方法!$C$6</f>
        <v>0</v>
      </c>
      <c r="K2007" s="15" t="n">
        <f aca="false">AG2007*評分方法!$C$7</f>
        <v>10.05</v>
      </c>
      <c r="L2007" s="15" t="n">
        <f aca="false">AH2007*評分方法!$C$8</f>
        <v>4.95</v>
      </c>
      <c r="M2007" s="15" t="n">
        <f aca="false">AI2007*評分方法!$C$9</f>
        <v>2</v>
      </c>
      <c r="N2007" s="15" t="n">
        <f aca="false">AJ2007*評分方法!$C$10</f>
        <v>3.832</v>
      </c>
      <c r="O2007" s="15" t="n">
        <f aca="false">AK2007*評分方法!$C$11</f>
        <v>2.5</v>
      </c>
      <c r="P2007" s="15" t="n">
        <f aca="false">AL2007*評分方法!$C$12</f>
        <v>3</v>
      </c>
      <c r="Q2007" s="6" t="n">
        <v>394452</v>
      </c>
      <c r="R2007" s="6" t="n">
        <v>70553706496</v>
      </c>
      <c r="S2007" s="11" t="s">
        <v>1876</v>
      </c>
      <c r="T2007" s="5"/>
      <c r="U2007" s="5" t="s">
        <v>375</v>
      </c>
      <c r="V2007" s="11" t="s">
        <v>261</v>
      </c>
      <c r="W2007" s="5" t="s">
        <v>207</v>
      </c>
      <c r="X2007" s="5" t="s">
        <v>371</v>
      </c>
      <c r="Y2007" s="11" t="s">
        <v>4903</v>
      </c>
      <c r="Z2007" s="11" t="s">
        <v>244</v>
      </c>
      <c r="AA2007" s="11" t="s">
        <v>155</v>
      </c>
      <c r="AB2007" s="5" t="s">
        <v>496</v>
      </c>
      <c r="AC2007" s="5" t="s">
        <v>1108</v>
      </c>
      <c r="AD2007" s="11" t="s">
        <v>4926</v>
      </c>
      <c r="AE2007" s="23" t="n">
        <v>0.85</v>
      </c>
      <c r="AF2007" s="23" t="n">
        <v>0</v>
      </c>
      <c r="AG2007" s="23" t="n">
        <v>0.67</v>
      </c>
      <c r="AH2007" s="23" t="n">
        <v>0.33</v>
      </c>
      <c r="AI2007" s="23" t="n">
        <v>0.2</v>
      </c>
      <c r="AJ2007" s="23" t="n">
        <v>0.3832</v>
      </c>
      <c r="AK2007" s="23" t="n">
        <v>0.5</v>
      </c>
      <c r="AL2007" s="23" t="n">
        <v>0.6</v>
      </c>
      <c r="AM2007" s="16" t="n">
        <f aca="false">COUNTIFS($D$2:$D$2501,D2007,$G$2:$G$2501,"&gt;"&amp;G2007)+COUNTIFS($D$2:D2007,D2007,$G$2:G2007,G2007)</f>
        <v>915</v>
      </c>
      <c r="AN2007" s="5" t="str">
        <f aca="false">D2007&amp;"|"&amp;AM2007</f>
        <v>分析與報告生成|915</v>
      </c>
    </row>
    <row r="2008" customFormat="false" ht="17.15" hidden="false" customHeight="false" outlineLevel="0" collapsed="false">
      <c r="A2008" s="16" t="n">
        <f aca="false">RANK(G2008,$G$2:$G$2501)+COUNTIF($G$2:G2008,G2008)-1</f>
        <v>2007</v>
      </c>
      <c r="B2008" s="11" t="s">
        <v>4927</v>
      </c>
      <c r="C2008" s="11" t="s">
        <v>681</v>
      </c>
      <c r="D2008" s="5" t="s">
        <v>74</v>
      </c>
      <c r="E2008" s="5" t="s">
        <v>75</v>
      </c>
      <c r="F2008" s="5"/>
      <c r="G2008" s="22" t="n">
        <f aca="false">ROUND(SUM(I2008:P2008),3)</f>
        <v>51.816</v>
      </c>
      <c r="H2008" s="5" t="str">
        <f aca="false">IF(G2008&gt;=評分方法!$C$16,"優先評估",IF(G2008&gt;=評分方法!$C$17,"列入候選",IF(G2008&gt;=評分方法!$C$18,"特定情境","不建議")))</f>
        <v>不建議</v>
      </c>
      <c r="I2008" s="15" t="n">
        <f aca="false">AE2008*評分方法!$C$5</f>
        <v>7.5</v>
      </c>
      <c r="J2008" s="15" t="n">
        <f aca="false">AF2008*評分方法!$C$6</f>
        <v>0</v>
      </c>
      <c r="K2008" s="15" t="n">
        <f aca="false">AG2008*評分方法!$C$7</f>
        <v>15</v>
      </c>
      <c r="L2008" s="15" t="n">
        <f aca="false">AH2008*評分方法!$C$8</f>
        <v>15</v>
      </c>
      <c r="M2008" s="15" t="n">
        <f aca="false">AI2008*評分方法!$C$9</f>
        <v>10</v>
      </c>
      <c r="N2008" s="15" t="n">
        <f aca="false">AJ2008*評分方法!$C$10</f>
        <v>1.816</v>
      </c>
      <c r="O2008" s="15" t="n">
        <f aca="false">AK2008*評分方法!$C$11</f>
        <v>1</v>
      </c>
      <c r="P2008" s="15" t="n">
        <f aca="false">AL2008*評分方法!$C$12</f>
        <v>1.5</v>
      </c>
      <c r="Q2008" s="6" t="n">
        <v>197197</v>
      </c>
      <c r="R2008" s="6" t="n">
        <v>41631008</v>
      </c>
      <c r="S2008" s="11" t="s">
        <v>238</v>
      </c>
      <c r="T2008" s="11" t="s">
        <v>239</v>
      </c>
      <c r="U2008" s="5" t="s">
        <v>240</v>
      </c>
      <c r="V2008" s="11" t="s">
        <v>324</v>
      </c>
      <c r="W2008" s="5" t="s">
        <v>205</v>
      </c>
      <c r="X2008" s="5" t="s">
        <v>255</v>
      </c>
      <c r="Y2008" s="5"/>
      <c r="Z2008" s="5"/>
      <c r="AA2008" s="11" t="s">
        <v>178</v>
      </c>
      <c r="AB2008" s="5" t="s">
        <v>245</v>
      </c>
      <c r="AC2008" s="5"/>
      <c r="AD2008" s="11" t="s">
        <v>4928</v>
      </c>
      <c r="AE2008" s="23" t="n">
        <v>0.25</v>
      </c>
      <c r="AF2008" s="23" t="n">
        <v>0</v>
      </c>
      <c r="AG2008" s="23" t="n">
        <v>1</v>
      </c>
      <c r="AH2008" s="23" t="n">
        <v>1</v>
      </c>
      <c r="AI2008" s="23" t="n">
        <v>1</v>
      </c>
      <c r="AJ2008" s="23" t="n">
        <v>0.1816</v>
      </c>
      <c r="AK2008" s="23" t="n">
        <v>0.2</v>
      </c>
      <c r="AL2008" s="23" t="n">
        <v>0.3</v>
      </c>
      <c r="AM2008" s="16" t="n">
        <f aca="false">COUNTIFS($D$2:$D$2501,D2008,$G$2:$G$2501,"&gt;"&amp;G2008)+COUNTIFS($D$2:D2008,D2008,$G$2:G2008,G2008)</f>
        <v>260</v>
      </c>
      <c r="AN2008" s="5" t="str">
        <f aca="false">D2008&amp;"|"&amp;AM2008</f>
        <v>文件與影像辨識|260</v>
      </c>
    </row>
    <row r="2009" customFormat="false" ht="17.15" hidden="false" customHeight="false" outlineLevel="0" collapsed="false">
      <c r="A2009" s="16" t="n">
        <f aca="false">RANK(G2009,$G$2:$G$2501)+COUNTIF($G$2:G2009,G2009)-1</f>
        <v>2008</v>
      </c>
      <c r="B2009" s="11" t="s">
        <v>4929</v>
      </c>
      <c r="C2009" s="11" t="s">
        <v>1728</v>
      </c>
      <c r="D2009" s="5" t="s">
        <v>72</v>
      </c>
      <c r="E2009" s="5" t="s">
        <v>73</v>
      </c>
      <c r="F2009" s="5"/>
      <c r="G2009" s="22" t="n">
        <f aca="false">ROUND(SUM(I2009:P2009),3)</f>
        <v>51.806</v>
      </c>
      <c r="H2009" s="5" t="str">
        <f aca="false">IF(G2009&gt;=評分方法!$C$16,"優先評估",IF(G2009&gt;=評分方法!$C$17,"列入候選",IF(G2009&gt;=評分方法!$C$18,"特定情境","不建議")))</f>
        <v>不建議</v>
      </c>
      <c r="I2009" s="15" t="n">
        <f aca="false">AE2009*評分方法!$C$5</f>
        <v>9</v>
      </c>
      <c r="J2009" s="15" t="n">
        <f aca="false">AF2009*評分方法!$C$6</f>
        <v>0</v>
      </c>
      <c r="K2009" s="15" t="n">
        <f aca="false">AG2009*評分方法!$C$7</f>
        <v>10.05</v>
      </c>
      <c r="L2009" s="15" t="n">
        <f aca="false">AH2009*評分方法!$C$8</f>
        <v>15</v>
      </c>
      <c r="M2009" s="15" t="n">
        <f aca="false">AI2009*評分方法!$C$9</f>
        <v>10</v>
      </c>
      <c r="N2009" s="15" t="n">
        <f aca="false">AJ2009*評分方法!$C$10</f>
        <v>6.756</v>
      </c>
      <c r="O2009" s="15" t="n">
        <f aca="false">AK2009*評分方法!$C$11</f>
        <v>1</v>
      </c>
      <c r="P2009" s="15" t="n">
        <f aca="false">AL2009*評分方法!$C$12</f>
        <v>0</v>
      </c>
      <c r="Q2009" s="6" t="n">
        <v>830323</v>
      </c>
      <c r="R2009" s="6" t="n">
        <v>111321448</v>
      </c>
      <c r="S2009" s="11" t="s">
        <v>238</v>
      </c>
      <c r="T2009" s="11" t="s">
        <v>278</v>
      </c>
      <c r="U2009" s="5" t="s">
        <v>240</v>
      </c>
      <c r="V2009" s="11" t="s">
        <v>279</v>
      </c>
      <c r="W2009" s="5" t="s">
        <v>207</v>
      </c>
      <c r="X2009" s="5" t="s">
        <v>242</v>
      </c>
      <c r="Y2009" s="5"/>
      <c r="Z2009" s="5"/>
      <c r="AA2009" s="11" t="s">
        <v>162</v>
      </c>
      <c r="AB2009" s="5" t="s">
        <v>245</v>
      </c>
      <c r="AC2009" s="5" t="s">
        <v>1463</v>
      </c>
      <c r="AD2009" s="11" t="s">
        <v>4930</v>
      </c>
      <c r="AE2009" s="23" t="n">
        <v>0.3</v>
      </c>
      <c r="AF2009" s="23" t="n">
        <v>0</v>
      </c>
      <c r="AG2009" s="23" t="n">
        <v>0.67</v>
      </c>
      <c r="AH2009" s="23" t="n">
        <v>1</v>
      </c>
      <c r="AI2009" s="23" t="n">
        <v>1</v>
      </c>
      <c r="AJ2009" s="23" t="n">
        <v>0.6756</v>
      </c>
      <c r="AK2009" s="23" t="n">
        <v>0.2</v>
      </c>
      <c r="AL2009" s="23" t="n">
        <v>0</v>
      </c>
      <c r="AM2009" s="16" t="n">
        <f aca="false">COUNTIFS($D$2:$D$2501,D2009,$G$2:$G$2501,"&gt;"&amp;G2009)+COUNTIFS($D$2:D2009,D2009,$G$2:G2009,G2009)</f>
        <v>35</v>
      </c>
      <c r="AN2009" s="5" t="str">
        <f aca="false">D2009&amp;"|"&amp;AM2009</f>
        <v>微調基底模型|35</v>
      </c>
    </row>
    <row r="2010" customFormat="false" ht="17.15" hidden="false" customHeight="false" outlineLevel="0" collapsed="false">
      <c r="A2010" s="16" t="n">
        <f aca="false">RANK(G2010,$G$2:$G$2501)+COUNTIF($G$2:G2010,G2010)-1</f>
        <v>2009</v>
      </c>
      <c r="B2010" s="11" t="s">
        <v>4931</v>
      </c>
      <c r="C2010" s="11" t="s">
        <v>4932</v>
      </c>
      <c r="D2010" s="5" t="s">
        <v>74</v>
      </c>
      <c r="E2010" s="5" t="s">
        <v>75</v>
      </c>
      <c r="F2010" s="5"/>
      <c r="G2010" s="22" t="n">
        <f aca="false">ROUND(SUM(I2010:P2010),3)</f>
        <v>51.786</v>
      </c>
      <c r="H2010" s="5" t="str">
        <f aca="false">IF(G2010&gt;=評分方法!$C$16,"優先評估",IF(G2010&gt;=評分方法!$C$17,"列入候選",IF(G2010&gt;=評分方法!$C$18,"特定情境","不建議")))</f>
        <v>不建議</v>
      </c>
      <c r="I2010" s="15" t="n">
        <f aca="false">AE2010*評分方法!$C$5</f>
        <v>13.5</v>
      </c>
      <c r="J2010" s="15" t="n">
        <f aca="false">AF2010*評分方法!$C$6</f>
        <v>0</v>
      </c>
      <c r="K2010" s="15" t="n">
        <f aca="false">AG2010*評分方法!$C$7</f>
        <v>4.95</v>
      </c>
      <c r="L2010" s="15" t="n">
        <f aca="false">AH2010*評分方法!$C$8</f>
        <v>15</v>
      </c>
      <c r="M2010" s="15" t="n">
        <f aca="false">AI2010*評分方法!$C$9</f>
        <v>10</v>
      </c>
      <c r="N2010" s="15" t="n">
        <f aca="false">AJ2010*評分方法!$C$10</f>
        <v>7.336</v>
      </c>
      <c r="O2010" s="15" t="n">
        <f aca="false">AK2010*評分方法!$C$11</f>
        <v>1</v>
      </c>
      <c r="P2010" s="15" t="n">
        <f aca="false">AL2010*評分方法!$C$12</f>
        <v>0</v>
      </c>
      <c r="Q2010" s="6" t="n">
        <v>1063747</v>
      </c>
      <c r="R2010" s="6" t="n">
        <v>127793412</v>
      </c>
      <c r="S2010" s="11" t="s">
        <v>238</v>
      </c>
      <c r="T2010" s="11" t="s">
        <v>278</v>
      </c>
      <c r="U2010" s="5" t="s">
        <v>240</v>
      </c>
      <c r="V2010" s="11" t="s">
        <v>855</v>
      </c>
      <c r="W2010" s="5" t="s">
        <v>334</v>
      </c>
      <c r="X2010" s="5" t="s">
        <v>242</v>
      </c>
      <c r="Y2010" s="5"/>
      <c r="Z2010" s="5"/>
      <c r="AA2010" s="11" t="s">
        <v>164</v>
      </c>
      <c r="AB2010" s="5" t="s">
        <v>245</v>
      </c>
      <c r="AC2010" s="5"/>
      <c r="AD2010" s="11" t="s">
        <v>4933</v>
      </c>
      <c r="AE2010" s="23" t="n">
        <v>0.45</v>
      </c>
      <c r="AF2010" s="23" t="n">
        <v>0</v>
      </c>
      <c r="AG2010" s="23" t="n">
        <v>0.33</v>
      </c>
      <c r="AH2010" s="23" t="n">
        <v>1</v>
      </c>
      <c r="AI2010" s="23" t="n">
        <v>1</v>
      </c>
      <c r="AJ2010" s="23" t="n">
        <v>0.7336</v>
      </c>
      <c r="AK2010" s="23" t="n">
        <v>0.2</v>
      </c>
      <c r="AL2010" s="23" t="n">
        <v>0</v>
      </c>
      <c r="AM2010" s="16" t="n">
        <f aca="false">COUNTIFS($D$2:$D$2501,D2010,$G$2:$G$2501,"&gt;"&amp;G2010)+COUNTIFS($D$2:D2010,D2010,$G$2:G2010,G2010)</f>
        <v>261</v>
      </c>
      <c r="AN2010" s="5" t="str">
        <f aca="false">D2010&amp;"|"&amp;AM2010</f>
        <v>文件與影像辨識|261</v>
      </c>
    </row>
    <row r="2011" customFormat="false" ht="17.15" hidden="false" customHeight="false" outlineLevel="0" collapsed="false">
      <c r="A2011" s="16" t="n">
        <f aca="false">RANK(G2011,$G$2:$G$2501)+COUNTIF($G$2:G2011,G2011)-1</f>
        <v>2010</v>
      </c>
      <c r="B2011" s="11" t="s">
        <v>4934</v>
      </c>
      <c r="C2011" s="11" t="s">
        <v>4935</v>
      </c>
      <c r="D2011" s="5" t="s">
        <v>54</v>
      </c>
      <c r="E2011" s="5" t="s">
        <v>55</v>
      </c>
      <c r="F2011" s="5"/>
      <c r="G2011" s="22" t="n">
        <f aca="false">ROUND(SUM(I2011:P2011),3)</f>
        <v>51.766</v>
      </c>
      <c r="H2011" s="5" t="str">
        <f aca="false">IF(G2011&gt;=評分方法!$C$16,"優先評估",IF(G2011&gt;=評分方法!$C$17,"列入候選",IF(G2011&gt;=評分方法!$C$18,"特定情境","不建議")))</f>
        <v>不建議</v>
      </c>
      <c r="I2011" s="15" t="n">
        <f aca="false">AE2011*評分方法!$C$5</f>
        <v>16.2</v>
      </c>
      <c r="J2011" s="15" t="n">
        <f aca="false">AF2011*評分方法!$C$6</f>
        <v>0</v>
      </c>
      <c r="K2011" s="15" t="n">
        <f aca="false">AG2011*評分方法!$C$7</f>
        <v>4.95</v>
      </c>
      <c r="L2011" s="15" t="n">
        <f aca="false">AH2011*評分方法!$C$8</f>
        <v>15</v>
      </c>
      <c r="M2011" s="15" t="n">
        <f aca="false">AI2011*評分方法!$C$9</f>
        <v>10</v>
      </c>
      <c r="N2011" s="15" t="n">
        <f aca="false">AJ2011*評分方法!$C$10</f>
        <v>3.116</v>
      </c>
      <c r="O2011" s="15" t="n">
        <f aca="false">AK2011*評分方法!$C$11</f>
        <v>2.5</v>
      </c>
      <c r="P2011" s="15" t="n">
        <f aca="false">AL2011*評分方法!$C$12</f>
        <v>0</v>
      </c>
      <c r="Q2011" s="6" t="n">
        <v>305973</v>
      </c>
      <c r="R2011" s="6" t="n">
        <v>177854209</v>
      </c>
      <c r="S2011" s="11" t="s">
        <v>238</v>
      </c>
      <c r="T2011" s="11" t="s">
        <v>278</v>
      </c>
      <c r="U2011" s="5" t="s">
        <v>240</v>
      </c>
      <c r="V2011" s="11" t="s">
        <v>261</v>
      </c>
      <c r="W2011" s="5" t="s">
        <v>334</v>
      </c>
      <c r="X2011" s="5" t="s">
        <v>242</v>
      </c>
      <c r="Y2011" s="11" t="s">
        <v>4936</v>
      </c>
      <c r="Z2011" s="11" t="s">
        <v>270</v>
      </c>
      <c r="AA2011" s="11" t="s">
        <v>154</v>
      </c>
      <c r="AB2011" s="5" t="s">
        <v>245</v>
      </c>
      <c r="AC2011" s="5" t="s">
        <v>1463</v>
      </c>
      <c r="AD2011" s="11" t="s">
        <v>4937</v>
      </c>
      <c r="AE2011" s="23" t="n">
        <v>0.54</v>
      </c>
      <c r="AF2011" s="23" t="n">
        <v>0</v>
      </c>
      <c r="AG2011" s="23" t="n">
        <v>0.33</v>
      </c>
      <c r="AH2011" s="23" t="n">
        <v>1</v>
      </c>
      <c r="AI2011" s="23" t="n">
        <v>1</v>
      </c>
      <c r="AJ2011" s="23" t="n">
        <v>0.3116</v>
      </c>
      <c r="AK2011" s="23" t="n">
        <v>0.5</v>
      </c>
      <c r="AL2011" s="23" t="n">
        <v>0</v>
      </c>
      <c r="AM2011" s="16" t="n">
        <f aca="false">COUNTIFS($D$2:$D$2501,D2011,$G$2:$G$2501,"&gt;"&amp;G2011)+COUNTIFS($D$2:D2011,D2011,$G$2:G2011,G2011)</f>
        <v>248</v>
      </c>
      <c r="AN2011" s="5" t="str">
        <f aca="false">D2011&amp;"|"&amp;AM2011</f>
        <v>檢索與情資關聯|248</v>
      </c>
    </row>
    <row r="2012" customFormat="false" ht="17.15" hidden="false" customHeight="false" outlineLevel="0" collapsed="false">
      <c r="A2012" s="16" t="n">
        <f aca="false">RANK(G2012,$G$2:$G$2501)+COUNTIF($G$2:G2012,G2012)-1</f>
        <v>2011</v>
      </c>
      <c r="B2012" s="11" t="s">
        <v>4938</v>
      </c>
      <c r="C2012" s="11" t="s">
        <v>2785</v>
      </c>
      <c r="D2012" s="5" t="s">
        <v>56</v>
      </c>
      <c r="E2012" s="5" t="s">
        <v>57</v>
      </c>
      <c r="F2012" s="5"/>
      <c r="G2012" s="22" t="n">
        <f aca="false">ROUND(SUM(I2012:P2012),3)</f>
        <v>51.732</v>
      </c>
      <c r="H2012" s="5" t="str">
        <f aca="false">IF(G2012&gt;=評分方法!$C$16,"優先評估",IF(G2012&gt;=評分方法!$C$17,"列入候選",IF(G2012&gt;=評分方法!$C$18,"特定情境","不建議")))</f>
        <v>不建議</v>
      </c>
      <c r="I2012" s="15" t="n">
        <f aca="false">AE2012*評分方法!$C$5</f>
        <v>25.5</v>
      </c>
      <c r="J2012" s="15" t="n">
        <f aca="false">AF2012*評分方法!$C$6</f>
        <v>0</v>
      </c>
      <c r="K2012" s="15" t="n">
        <f aca="false">AG2012*評分方法!$C$7</f>
        <v>10.05</v>
      </c>
      <c r="L2012" s="15" t="n">
        <f aca="false">AH2012*評分方法!$C$8</f>
        <v>4.95</v>
      </c>
      <c r="M2012" s="15" t="n">
        <f aca="false">AI2012*評分方法!$C$9</f>
        <v>10</v>
      </c>
      <c r="N2012" s="15" t="n">
        <f aca="false">AJ2012*評分方法!$C$10</f>
        <v>0.232</v>
      </c>
      <c r="O2012" s="15" t="n">
        <f aca="false">AK2012*評分方法!$C$11</f>
        <v>1</v>
      </c>
      <c r="P2012" s="15" t="n">
        <f aca="false">AL2012*評分方法!$C$12</f>
        <v>0</v>
      </c>
      <c r="Q2012" s="6" t="n">
        <v>122497</v>
      </c>
      <c r="R2012" s="6" t="n">
        <v>46702809088</v>
      </c>
      <c r="S2012" s="11" t="s">
        <v>1876</v>
      </c>
      <c r="T2012" s="11" t="s">
        <v>239</v>
      </c>
      <c r="U2012" s="5" t="s">
        <v>240</v>
      </c>
      <c r="V2012" s="11" t="s">
        <v>261</v>
      </c>
      <c r="W2012" s="5" t="s">
        <v>207</v>
      </c>
      <c r="X2012" s="5" t="s">
        <v>242</v>
      </c>
      <c r="Y2012" s="11" t="s">
        <v>1877</v>
      </c>
      <c r="Z2012" s="11" t="s">
        <v>270</v>
      </c>
      <c r="AA2012" s="11" t="s">
        <v>155</v>
      </c>
      <c r="AB2012" s="5" t="s">
        <v>245</v>
      </c>
      <c r="AC2012" s="5"/>
      <c r="AD2012" s="11" t="s">
        <v>4939</v>
      </c>
      <c r="AE2012" s="23" t="n">
        <v>0.85</v>
      </c>
      <c r="AF2012" s="23" t="n">
        <v>0</v>
      </c>
      <c r="AG2012" s="23" t="n">
        <v>0.67</v>
      </c>
      <c r="AH2012" s="23" t="n">
        <v>0.33</v>
      </c>
      <c r="AI2012" s="23" t="n">
        <v>1</v>
      </c>
      <c r="AJ2012" s="23" t="n">
        <v>0.0232</v>
      </c>
      <c r="AK2012" s="23" t="n">
        <v>0.2</v>
      </c>
      <c r="AL2012" s="23" t="n">
        <v>0</v>
      </c>
      <c r="AM2012" s="16" t="n">
        <f aca="false">COUNTIFS($D$2:$D$2501,D2012,$G$2:$G$2501,"&gt;"&amp;G2012)+COUNTIFS($D$2:D2012,D2012,$G$2:G2012,G2012)</f>
        <v>916</v>
      </c>
      <c r="AN2012" s="5" t="str">
        <f aca="false">D2012&amp;"|"&amp;AM2012</f>
        <v>分析與報告生成|916</v>
      </c>
    </row>
    <row r="2013" customFormat="false" ht="17.15" hidden="false" customHeight="false" outlineLevel="0" collapsed="false">
      <c r="A2013" s="16" t="n">
        <f aca="false">RANK(G2013,$G$2:$G$2501)+COUNTIF($G$2:G2013,G2013)-1</f>
        <v>2012</v>
      </c>
      <c r="B2013" s="11" t="s">
        <v>4940</v>
      </c>
      <c r="C2013" s="11" t="s">
        <v>4395</v>
      </c>
      <c r="D2013" s="5" t="s">
        <v>54</v>
      </c>
      <c r="E2013" s="5" t="s">
        <v>55</v>
      </c>
      <c r="F2013" s="5"/>
      <c r="G2013" s="22" t="n">
        <f aca="false">ROUND(SUM(I2013:P2013),3)</f>
        <v>51.71</v>
      </c>
      <c r="H2013" s="5" t="str">
        <f aca="false">IF(G2013&gt;=評分方法!$C$16,"優先評估",IF(G2013&gt;=評分方法!$C$17,"列入候選",IF(G2013&gt;=評分方法!$C$18,"特定情境","不建議")))</f>
        <v>不建議</v>
      </c>
      <c r="I2013" s="15" t="n">
        <f aca="false">AE2013*評分方法!$C$5</f>
        <v>16.2</v>
      </c>
      <c r="J2013" s="15" t="n">
        <f aca="false">AF2013*評分方法!$C$6</f>
        <v>0</v>
      </c>
      <c r="K2013" s="15" t="n">
        <f aca="false">AG2013*評分方法!$C$7</f>
        <v>4.95</v>
      </c>
      <c r="L2013" s="15" t="n">
        <f aca="false">AH2013*評分方法!$C$8</f>
        <v>15</v>
      </c>
      <c r="M2013" s="15" t="n">
        <f aca="false">AI2013*評分方法!$C$9</f>
        <v>10</v>
      </c>
      <c r="N2013" s="15" t="n">
        <f aca="false">AJ2013*評分方法!$C$10</f>
        <v>3.06</v>
      </c>
      <c r="O2013" s="15" t="n">
        <f aca="false">AK2013*評分方法!$C$11</f>
        <v>2.5</v>
      </c>
      <c r="P2013" s="15" t="n">
        <f aca="false">AL2013*評分方法!$C$12</f>
        <v>0</v>
      </c>
      <c r="Q2013" s="6" t="n">
        <v>300366</v>
      </c>
      <c r="R2013" s="6" t="n">
        <v>106994305</v>
      </c>
      <c r="S2013" s="11" t="s">
        <v>238</v>
      </c>
      <c r="T2013" s="11" t="s">
        <v>278</v>
      </c>
      <c r="U2013" s="5" t="s">
        <v>240</v>
      </c>
      <c r="V2013" s="11" t="s">
        <v>261</v>
      </c>
      <c r="W2013" s="5" t="s">
        <v>334</v>
      </c>
      <c r="X2013" s="5" t="s">
        <v>242</v>
      </c>
      <c r="Y2013" s="5"/>
      <c r="Z2013" s="5"/>
      <c r="AA2013" s="11" t="s">
        <v>154</v>
      </c>
      <c r="AB2013" s="5" t="s">
        <v>245</v>
      </c>
      <c r="AC2013" s="5" t="s">
        <v>1463</v>
      </c>
      <c r="AD2013" s="11" t="s">
        <v>4941</v>
      </c>
      <c r="AE2013" s="23" t="n">
        <v>0.54</v>
      </c>
      <c r="AF2013" s="23" t="n">
        <v>0</v>
      </c>
      <c r="AG2013" s="23" t="n">
        <v>0.33</v>
      </c>
      <c r="AH2013" s="23" t="n">
        <v>1</v>
      </c>
      <c r="AI2013" s="23" t="n">
        <v>1</v>
      </c>
      <c r="AJ2013" s="23" t="n">
        <v>0.306</v>
      </c>
      <c r="AK2013" s="23" t="n">
        <v>0.5</v>
      </c>
      <c r="AL2013" s="23" t="n">
        <v>0</v>
      </c>
      <c r="AM2013" s="16" t="n">
        <f aca="false">COUNTIFS($D$2:$D$2501,D2013,$G$2:$G$2501,"&gt;"&amp;G2013)+COUNTIFS($D$2:D2013,D2013,$G$2:G2013,G2013)</f>
        <v>249</v>
      </c>
      <c r="AN2013" s="5" t="str">
        <f aca="false">D2013&amp;"|"&amp;AM2013</f>
        <v>檢索與情資關聯|249</v>
      </c>
    </row>
    <row r="2014" customFormat="false" ht="17.15" hidden="false" customHeight="false" outlineLevel="0" collapsed="false">
      <c r="A2014" s="16" t="n">
        <f aca="false">RANK(G2014,$G$2:$G$2501)+COUNTIF($G$2:G2014,G2014)-1</f>
        <v>2013</v>
      </c>
      <c r="B2014" s="11" t="s">
        <v>4942</v>
      </c>
      <c r="C2014" s="11" t="s">
        <v>4867</v>
      </c>
      <c r="D2014" s="5" t="s">
        <v>54</v>
      </c>
      <c r="E2014" s="5" t="s">
        <v>55</v>
      </c>
      <c r="F2014" s="5"/>
      <c r="G2014" s="22" t="n">
        <f aca="false">ROUND(SUM(I2014:P2014),3)</f>
        <v>51.706</v>
      </c>
      <c r="H2014" s="5" t="str">
        <f aca="false">IF(G2014&gt;=評分方法!$C$16,"優先評估",IF(G2014&gt;=評分方法!$C$17,"列入候選",IF(G2014&gt;=評分方法!$C$18,"特定情境","不建議")))</f>
        <v>不建議</v>
      </c>
      <c r="I2014" s="15" t="n">
        <f aca="false">AE2014*評分方法!$C$5</f>
        <v>16.2</v>
      </c>
      <c r="J2014" s="15" t="n">
        <f aca="false">AF2014*評分方法!$C$6</f>
        <v>0</v>
      </c>
      <c r="K2014" s="15" t="n">
        <f aca="false">AG2014*評分方法!$C$7</f>
        <v>4.95</v>
      </c>
      <c r="L2014" s="15" t="n">
        <f aca="false">AH2014*評分方法!$C$8</f>
        <v>15</v>
      </c>
      <c r="M2014" s="15" t="n">
        <f aca="false">AI2014*評分方法!$C$9</f>
        <v>8</v>
      </c>
      <c r="N2014" s="15" t="n">
        <f aca="false">AJ2014*評分方法!$C$10</f>
        <v>5.056</v>
      </c>
      <c r="O2014" s="15" t="n">
        <f aca="false">AK2014*評分方法!$C$11</f>
        <v>2.5</v>
      </c>
      <c r="P2014" s="15" t="n">
        <f aca="false">AL2014*評分方法!$C$12</f>
        <v>0</v>
      </c>
      <c r="Q2014" s="6" t="n">
        <v>545148</v>
      </c>
      <c r="R2014" s="6" t="n">
        <v>222903552</v>
      </c>
      <c r="S2014" s="11" t="s">
        <v>238</v>
      </c>
      <c r="T2014" s="11" t="s">
        <v>1821</v>
      </c>
      <c r="U2014" s="5" t="s">
        <v>1822</v>
      </c>
      <c r="V2014" s="11" t="s">
        <v>813</v>
      </c>
      <c r="W2014" s="5" t="s">
        <v>334</v>
      </c>
      <c r="X2014" s="5" t="s">
        <v>242</v>
      </c>
      <c r="Y2014" s="5"/>
      <c r="Z2014" s="5"/>
      <c r="AA2014" s="11" t="s">
        <v>153</v>
      </c>
      <c r="AB2014" s="5" t="s">
        <v>245</v>
      </c>
      <c r="AC2014" s="5" t="s">
        <v>1463</v>
      </c>
      <c r="AD2014" s="11" t="s">
        <v>4943</v>
      </c>
      <c r="AE2014" s="23" t="n">
        <v>0.54</v>
      </c>
      <c r="AF2014" s="23" t="n">
        <v>0</v>
      </c>
      <c r="AG2014" s="23" t="n">
        <v>0.33</v>
      </c>
      <c r="AH2014" s="23" t="n">
        <v>1</v>
      </c>
      <c r="AI2014" s="23" t="n">
        <v>0.8</v>
      </c>
      <c r="AJ2014" s="23" t="n">
        <v>0.5056</v>
      </c>
      <c r="AK2014" s="23" t="n">
        <v>0.5</v>
      </c>
      <c r="AL2014" s="23" t="n">
        <v>0</v>
      </c>
      <c r="AM2014" s="16" t="n">
        <f aca="false">COUNTIFS($D$2:$D$2501,D2014,$G$2:$G$2501,"&gt;"&amp;G2014)+COUNTIFS($D$2:D2014,D2014,$G$2:G2014,G2014)</f>
        <v>250</v>
      </c>
      <c r="AN2014" s="5" t="str">
        <f aca="false">D2014&amp;"|"&amp;AM2014</f>
        <v>檢索與情資關聯|250</v>
      </c>
    </row>
    <row r="2015" customFormat="false" ht="17.15" hidden="false" customHeight="false" outlineLevel="0" collapsed="false">
      <c r="A2015" s="16" t="n">
        <f aca="false">RANK(G2015,$G$2:$G$2501)+COUNTIF($G$2:G2015,G2015)-1</f>
        <v>2014</v>
      </c>
      <c r="B2015" s="11" t="s">
        <v>4944</v>
      </c>
      <c r="C2015" s="11" t="s">
        <v>989</v>
      </c>
      <c r="D2015" s="5" t="s">
        <v>56</v>
      </c>
      <c r="E2015" s="5" t="s">
        <v>57</v>
      </c>
      <c r="F2015" s="5"/>
      <c r="G2015" s="22" t="n">
        <f aca="false">ROUND(SUM(I2015:P2015),3)</f>
        <v>51.694</v>
      </c>
      <c r="H2015" s="5" t="str">
        <f aca="false">IF(G2015&gt;=評分方法!$C$16,"優先評估",IF(G2015&gt;=評分方法!$C$17,"列入候選",IF(G2015&gt;=評分方法!$C$18,"特定情境","不建議")))</f>
        <v>不建議</v>
      </c>
      <c r="I2015" s="15" t="n">
        <f aca="false">AE2015*評分方法!$C$5</f>
        <v>25.5</v>
      </c>
      <c r="J2015" s="15" t="n">
        <f aca="false">AF2015*評分方法!$C$6</f>
        <v>0</v>
      </c>
      <c r="K2015" s="15" t="n">
        <f aca="false">AG2015*評分方法!$C$7</f>
        <v>10.05</v>
      </c>
      <c r="L2015" s="15" t="n">
        <f aca="false">AH2015*評分方法!$C$8</f>
        <v>9</v>
      </c>
      <c r="M2015" s="15" t="n">
        <f aca="false">AI2015*評分方法!$C$9</f>
        <v>2</v>
      </c>
      <c r="N2015" s="15" t="n">
        <f aca="false">AJ2015*評分方法!$C$10</f>
        <v>1.144</v>
      </c>
      <c r="O2015" s="15" t="n">
        <f aca="false">AK2015*評分方法!$C$11</f>
        <v>1</v>
      </c>
      <c r="P2015" s="15" t="n">
        <f aca="false">AL2015*評分方法!$C$12</f>
        <v>3</v>
      </c>
      <c r="Q2015" s="6" t="n">
        <v>159131</v>
      </c>
      <c r="R2015" s="6" t="n">
        <v>12247782400</v>
      </c>
      <c r="S2015" s="11" t="s">
        <v>389</v>
      </c>
      <c r="T2015" s="5"/>
      <c r="U2015" s="5" t="s">
        <v>375</v>
      </c>
      <c r="V2015" s="11" t="s">
        <v>333</v>
      </c>
      <c r="W2015" s="5" t="s">
        <v>207</v>
      </c>
      <c r="X2015" s="5" t="s">
        <v>371</v>
      </c>
      <c r="Y2015" s="11" t="s">
        <v>4945</v>
      </c>
      <c r="Z2015" s="11" t="s">
        <v>244</v>
      </c>
      <c r="AA2015" s="11" t="s">
        <v>155</v>
      </c>
      <c r="AB2015" s="5" t="s">
        <v>245</v>
      </c>
      <c r="AC2015" s="5" t="s">
        <v>464</v>
      </c>
      <c r="AD2015" s="11" t="s">
        <v>4946</v>
      </c>
      <c r="AE2015" s="23" t="n">
        <v>0.85</v>
      </c>
      <c r="AF2015" s="23" t="n">
        <v>0</v>
      </c>
      <c r="AG2015" s="23" t="n">
        <v>0.67</v>
      </c>
      <c r="AH2015" s="23" t="n">
        <v>0.6</v>
      </c>
      <c r="AI2015" s="23" t="n">
        <v>0.2</v>
      </c>
      <c r="AJ2015" s="23" t="n">
        <v>0.1144</v>
      </c>
      <c r="AK2015" s="23" t="n">
        <v>0.2</v>
      </c>
      <c r="AL2015" s="23" t="n">
        <v>0.6</v>
      </c>
      <c r="AM2015" s="16" t="n">
        <f aca="false">COUNTIFS($D$2:$D$2501,D2015,$G$2:$G$2501,"&gt;"&amp;G2015)+COUNTIFS($D$2:D2015,D2015,$G$2:G2015,G2015)</f>
        <v>917</v>
      </c>
      <c r="AN2015" s="5" t="str">
        <f aca="false">D2015&amp;"|"&amp;AM2015</f>
        <v>分析與報告生成|917</v>
      </c>
    </row>
    <row r="2016" customFormat="false" ht="17.15" hidden="false" customHeight="false" outlineLevel="0" collapsed="false">
      <c r="A2016" s="16" t="n">
        <f aca="false">RANK(G2016,$G$2:$G$2501)+COUNTIF($G$2:G2016,G2016)-1</f>
        <v>2015</v>
      </c>
      <c r="B2016" s="11" t="s">
        <v>4947</v>
      </c>
      <c r="C2016" s="11" t="s">
        <v>1388</v>
      </c>
      <c r="D2016" s="5" t="s">
        <v>56</v>
      </c>
      <c r="E2016" s="5" t="s">
        <v>57</v>
      </c>
      <c r="F2016" s="5"/>
      <c r="G2016" s="22" t="n">
        <f aca="false">ROUND(SUM(I2016:P2016),3)</f>
        <v>51.684</v>
      </c>
      <c r="H2016" s="5" t="str">
        <f aca="false">IF(G2016&gt;=評分方法!$C$16,"優先評估",IF(G2016&gt;=評分方法!$C$17,"列入候選",IF(G2016&gt;=評分方法!$C$18,"特定情境","不建議")))</f>
        <v>不建議</v>
      </c>
      <c r="I2016" s="15" t="n">
        <f aca="false">AE2016*評分方法!$C$5</f>
        <v>25.5</v>
      </c>
      <c r="J2016" s="15" t="n">
        <f aca="false">AF2016*評分方法!$C$6</f>
        <v>0</v>
      </c>
      <c r="K2016" s="15" t="n">
        <f aca="false">AG2016*評分方法!$C$7</f>
        <v>10.05</v>
      </c>
      <c r="L2016" s="15" t="n">
        <f aca="false">AH2016*評分方法!$C$8</f>
        <v>4.95</v>
      </c>
      <c r="M2016" s="15" t="n">
        <f aca="false">AI2016*評分方法!$C$9</f>
        <v>10</v>
      </c>
      <c r="N2016" s="15" t="n">
        <f aca="false">AJ2016*評分方法!$C$10</f>
        <v>0.184</v>
      </c>
      <c r="O2016" s="15" t="n">
        <f aca="false">AK2016*評分方法!$C$11</f>
        <v>1</v>
      </c>
      <c r="P2016" s="15" t="n">
        <f aca="false">AL2016*評分方法!$C$12</f>
        <v>0</v>
      </c>
      <c r="Q2016" s="6" t="n">
        <v>121389</v>
      </c>
      <c r="R2016" s="6" t="n">
        <v>46702792704</v>
      </c>
      <c r="S2016" s="11" t="s">
        <v>1876</v>
      </c>
      <c r="T2016" s="11" t="s">
        <v>239</v>
      </c>
      <c r="U2016" s="5" t="s">
        <v>240</v>
      </c>
      <c r="V2016" s="11" t="s">
        <v>333</v>
      </c>
      <c r="W2016" s="5" t="s">
        <v>207</v>
      </c>
      <c r="X2016" s="5" t="s">
        <v>242</v>
      </c>
      <c r="Y2016" s="11" t="s">
        <v>1875</v>
      </c>
      <c r="Z2016" s="11" t="s">
        <v>244</v>
      </c>
      <c r="AA2016" s="11" t="s">
        <v>155</v>
      </c>
      <c r="AB2016" s="5" t="s">
        <v>328</v>
      </c>
      <c r="AC2016" s="5" t="s">
        <v>340</v>
      </c>
      <c r="AD2016" s="11" t="s">
        <v>4948</v>
      </c>
      <c r="AE2016" s="23" t="n">
        <v>0.85</v>
      </c>
      <c r="AF2016" s="23" t="n">
        <v>0</v>
      </c>
      <c r="AG2016" s="23" t="n">
        <v>0.67</v>
      </c>
      <c r="AH2016" s="23" t="n">
        <v>0.33</v>
      </c>
      <c r="AI2016" s="23" t="n">
        <v>1</v>
      </c>
      <c r="AJ2016" s="23" t="n">
        <v>0.0184</v>
      </c>
      <c r="AK2016" s="23" t="n">
        <v>0.2</v>
      </c>
      <c r="AL2016" s="23" t="n">
        <v>0</v>
      </c>
      <c r="AM2016" s="16" t="n">
        <f aca="false">COUNTIFS($D$2:$D$2501,D2016,$G$2:$G$2501,"&gt;"&amp;G2016)+COUNTIFS($D$2:D2016,D2016,$G$2:G2016,G2016)</f>
        <v>918</v>
      </c>
      <c r="AN2016" s="5" t="str">
        <f aca="false">D2016&amp;"|"&amp;AM2016</f>
        <v>分析與報告生成|918</v>
      </c>
    </row>
    <row r="2017" customFormat="false" ht="17.15" hidden="false" customHeight="false" outlineLevel="0" collapsed="false">
      <c r="A2017" s="16" t="n">
        <f aca="false">RANK(G2017,$G$2:$G$2501)+COUNTIF($G$2:G2017,G2017)-1</f>
        <v>2016</v>
      </c>
      <c r="B2017" s="11" t="s">
        <v>4949</v>
      </c>
      <c r="C2017" s="11" t="s">
        <v>681</v>
      </c>
      <c r="D2017" s="5" t="s">
        <v>74</v>
      </c>
      <c r="E2017" s="5" t="s">
        <v>75</v>
      </c>
      <c r="F2017" s="5"/>
      <c r="G2017" s="22" t="n">
        <f aca="false">ROUND(SUM(I2017:P2017),3)</f>
        <v>51.672</v>
      </c>
      <c r="H2017" s="5" t="str">
        <f aca="false">IF(G2017&gt;=評分方法!$C$16,"優先評估",IF(G2017&gt;=評分方法!$C$17,"列入候選",IF(G2017&gt;=評分方法!$C$18,"特定情境","不建議")))</f>
        <v>不建議</v>
      </c>
      <c r="I2017" s="15" t="n">
        <f aca="false">AE2017*評分方法!$C$5</f>
        <v>4.5</v>
      </c>
      <c r="J2017" s="15" t="n">
        <f aca="false">AF2017*評分方法!$C$6</f>
        <v>0</v>
      </c>
      <c r="K2017" s="15" t="n">
        <f aca="false">AG2017*評分方法!$C$7</f>
        <v>15</v>
      </c>
      <c r="L2017" s="15" t="n">
        <f aca="false">AH2017*評分方法!$C$8</f>
        <v>15</v>
      </c>
      <c r="M2017" s="15" t="n">
        <f aca="false">AI2017*評分方法!$C$9</f>
        <v>6</v>
      </c>
      <c r="N2017" s="15" t="n">
        <f aca="false">AJ2017*評分方法!$C$10</f>
        <v>8.672</v>
      </c>
      <c r="O2017" s="15" t="n">
        <f aca="false">AK2017*評分方法!$C$11</f>
        <v>1</v>
      </c>
      <c r="P2017" s="15" t="n">
        <f aca="false">AL2017*評分方法!$C$12</f>
        <v>1.5</v>
      </c>
      <c r="Q2017" s="6" t="n">
        <v>2691142</v>
      </c>
      <c r="R2017" s="6" t="n">
        <v>215986594</v>
      </c>
      <c r="S2017" s="11" t="s">
        <v>238</v>
      </c>
      <c r="T2017" s="11" t="s">
        <v>185</v>
      </c>
      <c r="U2017" s="5" t="s">
        <v>260</v>
      </c>
      <c r="V2017" s="11" t="s">
        <v>324</v>
      </c>
      <c r="W2017" s="5" t="s">
        <v>205</v>
      </c>
      <c r="X2017" s="5" t="s">
        <v>255</v>
      </c>
      <c r="Y2017" s="5"/>
      <c r="Z2017" s="5"/>
      <c r="AA2017" s="11" t="s">
        <v>183</v>
      </c>
      <c r="AB2017" s="5" t="s">
        <v>245</v>
      </c>
      <c r="AC2017" s="5" t="s">
        <v>262</v>
      </c>
      <c r="AD2017" s="11" t="s">
        <v>4950</v>
      </c>
      <c r="AE2017" s="23" t="n">
        <v>0.15</v>
      </c>
      <c r="AF2017" s="23" t="n">
        <v>0</v>
      </c>
      <c r="AG2017" s="23" t="n">
        <v>1</v>
      </c>
      <c r="AH2017" s="23" t="n">
        <v>1</v>
      </c>
      <c r="AI2017" s="23" t="n">
        <v>0.6</v>
      </c>
      <c r="AJ2017" s="23" t="n">
        <v>0.8672</v>
      </c>
      <c r="AK2017" s="23" t="n">
        <v>0.2</v>
      </c>
      <c r="AL2017" s="23" t="n">
        <v>0.3</v>
      </c>
      <c r="AM2017" s="16" t="n">
        <f aca="false">COUNTIFS($D$2:$D$2501,D2017,$G$2:$G$2501,"&gt;"&amp;G2017)+COUNTIFS($D$2:D2017,D2017,$G$2:G2017,G2017)</f>
        <v>262</v>
      </c>
      <c r="AN2017" s="5" t="str">
        <f aca="false">D2017&amp;"|"&amp;AM2017</f>
        <v>文件與影像辨識|262</v>
      </c>
    </row>
    <row r="2018" customFormat="false" ht="17.15" hidden="false" customHeight="false" outlineLevel="0" collapsed="false">
      <c r="A2018" s="16" t="n">
        <f aca="false">RANK(G2018,$G$2:$G$2501)+COUNTIF($G$2:G2018,G2018)-1</f>
        <v>2017</v>
      </c>
      <c r="B2018" s="11" t="s">
        <v>4951</v>
      </c>
      <c r="C2018" s="11" t="s">
        <v>4952</v>
      </c>
      <c r="D2018" s="5" t="s">
        <v>56</v>
      </c>
      <c r="E2018" s="5" t="s">
        <v>57</v>
      </c>
      <c r="F2018" s="5"/>
      <c r="G2018" s="22" t="n">
        <f aca="false">ROUND(SUM(I2018:P2018),3)</f>
        <v>51.642</v>
      </c>
      <c r="H2018" s="5" t="str">
        <f aca="false">IF(G2018&gt;=評分方法!$C$16,"優先評估",IF(G2018&gt;=評分方法!$C$17,"列入候選",IF(G2018&gt;=評分方法!$C$18,"特定情境","不建議")))</f>
        <v>不建議</v>
      </c>
      <c r="I2018" s="15" t="n">
        <f aca="false">AE2018*評分方法!$C$5</f>
        <v>18</v>
      </c>
      <c r="J2018" s="15" t="n">
        <f aca="false">AF2018*評分方法!$C$6</f>
        <v>0</v>
      </c>
      <c r="K2018" s="15" t="n">
        <f aca="false">AG2018*評分方法!$C$7</f>
        <v>4.95</v>
      </c>
      <c r="L2018" s="15" t="n">
        <f aca="false">AH2018*評分方法!$C$8</f>
        <v>15</v>
      </c>
      <c r="M2018" s="15" t="n">
        <f aca="false">AI2018*評分方法!$C$9</f>
        <v>10</v>
      </c>
      <c r="N2018" s="15" t="n">
        <f aca="false">AJ2018*評分方法!$C$10</f>
        <v>2.692</v>
      </c>
      <c r="O2018" s="15" t="n">
        <f aca="false">AK2018*評分方法!$C$11</f>
        <v>1</v>
      </c>
      <c r="P2018" s="15" t="n">
        <f aca="false">AL2018*評分方法!$C$12</f>
        <v>0</v>
      </c>
      <c r="Q2018" s="6" t="n">
        <v>266165</v>
      </c>
      <c r="R2018" s="6" t="n">
        <v>406340696</v>
      </c>
      <c r="S2018" s="11" t="s">
        <v>238</v>
      </c>
      <c r="T2018" s="11" t="s">
        <v>239</v>
      </c>
      <c r="U2018" s="5" t="s">
        <v>240</v>
      </c>
      <c r="V2018" s="11" t="s">
        <v>855</v>
      </c>
      <c r="W2018" s="5" t="s">
        <v>334</v>
      </c>
      <c r="X2018" s="5" t="s">
        <v>242</v>
      </c>
      <c r="Y2018" s="5"/>
      <c r="Z2018" s="5"/>
      <c r="AA2018" s="11" t="s">
        <v>160</v>
      </c>
      <c r="AB2018" s="5" t="s">
        <v>245</v>
      </c>
      <c r="AC2018" s="5"/>
      <c r="AD2018" s="11" t="s">
        <v>4953</v>
      </c>
      <c r="AE2018" s="23" t="n">
        <v>0.6</v>
      </c>
      <c r="AF2018" s="23" t="n">
        <v>0</v>
      </c>
      <c r="AG2018" s="23" t="n">
        <v>0.33</v>
      </c>
      <c r="AH2018" s="23" t="n">
        <v>1</v>
      </c>
      <c r="AI2018" s="23" t="n">
        <v>1</v>
      </c>
      <c r="AJ2018" s="23" t="n">
        <v>0.2692</v>
      </c>
      <c r="AK2018" s="23" t="n">
        <v>0.2</v>
      </c>
      <c r="AL2018" s="23" t="n">
        <v>0</v>
      </c>
      <c r="AM2018" s="16" t="n">
        <f aca="false">COUNTIFS($D$2:$D$2501,D2018,$G$2:$G$2501,"&gt;"&amp;G2018)+COUNTIFS($D$2:D2018,D2018,$G$2:G2018,G2018)</f>
        <v>919</v>
      </c>
      <c r="AN2018" s="5" t="str">
        <f aca="false">D2018&amp;"|"&amp;AM2018</f>
        <v>分析與報告生成|919</v>
      </c>
    </row>
    <row r="2019" customFormat="false" ht="17.15" hidden="false" customHeight="false" outlineLevel="0" collapsed="false">
      <c r="A2019" s="16" t="n">
        <f aca="false">RANK(G2019,$G$2:$G$2501)+COUNTIF($G$2:G2019,G2019)-1</f>
        <v>2018</v>
      </c>
      <c r="B2019" s="11" t="s">
        <v>4954</v>
      </c>
      <c r="C2019" s="11" t="s">
        <v>308</v>
      </c>
      <c r="D2019" s="5" t="s">
        <v>74</v>
      </c>
      <c r="E2019" s="5" t="s">
        <v>75</v>
      </c>
      <c r="F2019" s="5"/>
      <c r="G2019" s="22" t="n">
        <f aca="false">ROUND(SUM(I2019:P2019),3)</f>
        <v>51.632</v>
      </c>
      <c r="H2019" s="5" t="str">
        <f aca="false">IF(G2019&gt;=評分方法!$C$16,"優先評估",IF(G2019&gt;=評分方法!$C$17,"列入候選",IF(G2019&gt;=評分方法!$C$18,"特定情境","不建議")))</f>
        <v>不建議</v>
      </c>
      <c r="I2019" s="15" t="n">
        <f aca="false">AE2019*評分方法!$C$5</f>
        <v>13.5</v>
      </c>
      <c r="J2019" s="15" t="n">
        <f aca="false">AF2019*評分方法!$C$6</f>
        <v>0</v>
      </c>
      <c r="K2019" s="15" t="n">
        <f aca="false">AG2019*評分方法!$C$7</f>
        <v>15</v>
      </c>
      <c r="L2019" s="15" t="n">
        <f aca="false">AH2019*評分方法!$C$8</f>
        <v>15</v>
      </c>
      <c r="M2019" s="15" t="n">
        <f aca="false">AI2019*評分方法!$C$9</f>
        <v>2</v>
      </c>
      <c r="N2019" s="15" t="n">
        <f aca="false">AJ2019*評分方法!$C$10</f>
        <v>3.632</v>
      </c>
      <c r="O2019" s="15" t="n">
        <f aca="false">AK2019*評分方法!$C$11</f>
        <v>1</v>
      </c>
      <c r="P2019" s="15" t="n">
        <f aca="false">AL2019*評分方法!$C$12</f>
        <v>1.5</v>
      </c>
      <c r="Q2019" s="6" t="n">
        <v>368384</v>
      </c>
      <c r="R2019" s="6" t="n">
        <v>384274177</v>
      </c>
      <c r="S2019" s="11" t="s">
        <v>238</v>
      </c>
      <c r="T2019" s="5"/>
      <c r="U2019" s="5" t="s">
        <v>375</v>
      </c>
      <c r="V2019" s="11" t="s">
        <v>324</v>
      </c>
      <c r="W2019" s="5" t="s">
        <v>205</v>
      </c>
      <c r="X2019" s="5" t="s">
        <v>255</v>
      </c>
      <c r="Y2019" s="5"/>
      <c r="Z2019" s="5"/>
      <c r="AA2019" s="11" t="s">
        <v>164</v>
      </c>
      <c r="AB2019" s="5" t="s">
        <v>245</v>
      </c>
      <c r="AC2019" s="5" t="s">
        <v>262</v>
      </c>
      <c r="AD2019" s="11" t="s">
        <v>4955</v>
      </c>
      <c r="AE2019" s="23" t="n">
        <v>0.45</v>
      </c>
      <c r="AF2019" s="23" t="n">
        <v>0</v>
      </c>
      <c r="AG2019" s="23" t="n">
        <v>1</v>
      </c>
      <c r="AH2019" s="23" t="n">
        <v>1</v>
      </c>
      <c r="AI2019" s="23" t="n">
        <v>0.2</v>
      </c>
      <c r="AJ2019" s="23" t="n">
        <v>0.3632</v>
      </c>
      <c r="AK2019" s="23" t="n">
        <v>0.2</v>
      </c>
      <c r="AL2019" s="23" t="n">
        <v>0.3</v>
      </c>
      <c r="AM2019" s="16" t="n">
        <f aca="false">COUNTIFS($D$2:$D$2501,D2019,$G$2:$G$2501,"&gt;"&amp;G2019)+COUNTIFS($D$2:D2019,D2019,$G$2:G2019,G2019)</f>
        <v>263</v>
      </c>
      <c r="AN2019" s="5" t="str">
        <f aca="false">D2019&amp;"|"&amp;AM2019</f>
        <v>文件與影像辨識|263</v>
      </c>
    </row>
    <row r="2020" customFormat="false" ht="17.15" hidden="false" customHeight="false" outlineLevel="0" collapsed="false">
      <c r="A2020" s="16" t="n">
        <f aca="false">RANK(G2020,$G$2:$G$2501)+COUNTIF($G$2:G2020,G2020)-1</f>
        <v>2019</v>
      </c>
      <c r="B2020" s="11" t="s">
        <v>4956</v>
      </c>
      <c r="C2020" s="11" t="s">
        <v>2693</v>
      </c>
      <c r="D2020" s="5" t="s">
        <v>74</v>
      </c>
      <c r="E2020" s="5" t="s">
        <v>75</v>
      </c>
      <c r="F2020" s="5"/>
      <c r="G2020" s="22" t="n">
        <f aca="false">ROUND(SUM(I2020:P2020),3)</f>
        <v>51.608</v>
      </c>
      <c r="H2020" s="5" t="str">
        <f aca="false">IF(G2020&gt;=評分方法!$C$16,"優先評估",IF(G2020&gt;=評分方法!$C$17,"列入候選",IF(G2020&gt;=評分方法!$C$18,"特定情境","不建議")))</f>
        <v>不建議</v>
      </c>
      <c r="I2020" s="15" t="n">
        <f aca="false">AE2020*評分方法!$C$5</f>
        <v>10.5</v>
      </c>
      <c r="J2020" s="15" t="n">
        <f aca="false">AF2020*評分方法!$C$6</f>
        <v>0</v>
      </c>
      <c r="K2020" s="15" t="n">
        <f aca="false">AG2020*評分方法!$C$7</f>
        <v>15</v>
      </c>
      <c r="L2020" s="15" t="n">
        <f aca="false">AH2020*評分方法!$C$8</f>
        <v>15</v>
      </c>
      <c r="M2020" s="15" t="n">
        <f aca="false">AI2020*評分方法!$C$9</f>
        <v>6</v>
      </c>
      <c r="N2020" s="15" t="n">
        <f aca="false">AJ2020*評分方法!$C$10</f>
        <v>1.108</v>
      </c>
      <c r="O2020" s="15" t="n">
        <f aca="false">AK2020*評分方法!$C$11</f>
        <v>2.5</v>
      </c>
      <c r="P2020" s="15" t="n">
        <f aca="false">AL2020*評分方法!$C$12</f>
        <v>1.5</v>
      </c>
      <c r="Q2020" s="6" t="n">
        <v>157976</v>
      </c>
      <c r="R2020" s="6" t="n">
        <v>87566464</v>
      </c>
      <c r="S2020" s="11" t="s">
        <v>238</v>
      </c>
      <c r="T2020" s="11" t="s">
        <v>185</v>
      </c>
      <c r="U2020" s="5" t="s">
        <v>260</v>
      </c>
      <c r="V2020" s="11" t="s">
        <v>324</v>
      </c>
      <c r="W2020" s="5" t="s">
        <v>205</v>
      </c>
      <c r="X2020" s="5" t="s">
        <v>255</v>
      </c>
      <c r="Y2020" s="5"/>
      <c r="Z2020" s="5"/>
      <c r="AA2020" s="11" t="s">
        <v>173</v>
      </c>
      <c r="AB2020" s="5" t="s">
        <v>245</v>
      </c>
      <c r="AC2020" s="5" t="s">
        <v>262</v>
      </c>
      <c r="AD2020" s="11" t="s">
        <v>4957</v>
      </c>
      <c r="AE2020" s="23" t="n">
        <v>0.35</v>
      </c>
      <c r="AF2020" s="23" t="n">
        <v>0</v>
      </c>
      <c r="AG2020" s="23" t="n">
        <v>1</v>
      </c>
      <c r="AH2020" s="23" t="n">
        <v>1</v>
      </c>
      <c r="AI2020" s="23" t="n">
        <v>0.6</v>
      </c>
      <c r="AJ2020" s="23" t="n">
        <v>0.1108</v>
      </c>
      <c r="AK2020" s="23" t="n">
        <v>0.5</v>
      </c>
      <c r="AL2020" s="23" t="n">
        <v>0.3</v>
      </c>
      <c r="AM2020" s="16" t="n">
        <f aca="false">COUNTIFS($D$2:$D$2501,D2020,$G$2:$G$2501,"&gt;"&amp;G2020)+COUNTIFS($D$2:D2020,D2020,$G$2:G2020,G2020)</f>
        <v>264</v>
      </c>
      <c r="AN2020" s="5" t="str">
        <f aca="false">D2020&amp;"|"&amp;AM2020</f>
        <v>文件與影像辨識|264</v>
      </c>
    </row>
    <row r="2021" customFormat="false" ht="17.15" hidden="false" customHeight="false" outlineLevel="0" collapsed="false">
      <c r="A2021" s="16" t="n">
        <f aca="false">RANK(G2021,$G$2:$G$2501)+COUNTIF($G$2:G2021,G2021)-1</f>
        <v>2020</v>
      </c>
      <c r="B2021" s="11" t="s">
        <v>4958</v>
      </c>
      <c r="C2021" s="11" t="s">
        <v>4959</v>
      </c>
      <c r="D2021" s="5" t="s">
        <v>74</v>
      </c>
      <c r="E2021" s="5" t="s">
        <v>75</v>
      </c>
      <c r="F2021" s="5"/>
      <c r="G2021" s="22" t="n">
        <f aca="false">ROUND(SUM(I2021:P2021),3)</f>
        <v>51.57</v>
      </c>
      <c r="H2021" s="5" t="str">
        <f aca="false">IF(G2021&gt;=評分方法!$C$16,"優先評估",IF(G2021&gt;=評分方法!$C$17,"列入候選",IF(G2021&gt;=評分方法!$C$18,"特定情境","不建議")))</f>
        <v>不建議</v>
      </c>
      <c r="I2021" s="15" t="n">
        <f aca="false">AE2021*評分方法!$C$5</f>
        <v>10.5</v>
      </c>
      <c r="J2021" s="15" t="n">
        <f aca="false">AF2021*評分方法!$C$6</f>
        <v>0</v>
      </c>
      <c r="K2021" s="15" t="n">
        <f aca="false">AG2021*評分方法!$C$7</f>
        <v>4.95</v>
      </c>
      <c r="L2021" s="15" t="n">
        <f aca="false">AH2021*評分方法!$C$8</f>
        <v>15</v>
      </c>
      <c r="M2021" s="15" t="n">
        <f aca="false">AI2021*評分方法!$C$9</f>
        <v>10</v>
      </c>
      <c r="N2021" s="15" t="n">
        <f aca="false">AJ2021*評分方法!$C$10</f>
        <v>7.12</v>
      </c>
      <c r="O2021" s="15" t="n">
        <f aca="false">AK2021*評分方法!$C$11</f>
        <v>2.5</v>
      </c>
      <c r="P2021" s="15" t="n">
        <f aca="false">AL2021*評分方法!$C$12</f>
        <v>1.5</v>
      </c>
      <c r="Q2021" s="6" t="n">
        <v>968705</v>
      </c>
      <c r="R2021" s="6" t="n">
        <v>85827109</v>
      </c>
      <c r="S2021" s="11" t="s">
        <v>238</v>
      </c>
      <c r="T2021" s="11" t="s">
        <v>239</v>
      </c>
      <c r="U2021" s="5" t="s">
        <v>240</v>
      </c>
      <c r="V2021" s="11" t="s">
        <v>261</v>
      </c>
      <c r="W2021" s="5" t="s">
        <v>334</v>
      </c>
      <c r="X2021" s="5" t="s">
        <v>255</v>
      </c>
      <c r="Y2021" s="11" t="s">
        <v>3086</v>
      </c>
      <c r="Z2021" s="11" t="s">
        <v>270</v>
      </c>
      <c r="AA2021" s="11" t="s">
        <v>172</v>
      </c>
      <c r="AB2021" s="5" t="s">
        <v>245</v>
      </c>
      <c r="AC2021" s="5"/>
      <c r="AD2021" s="11" t="s">
        <v>4960</v>
      </c>
      <c r="AE2021" s="23" t="n">
        <v>0.35</v>
      </c>
      <c r="AF2021" s="23" t="n">
        <v>0</v>
      </c>
      <c r="AG2021" s="23" t="n">
        <v>0.33</v>
      </c>
      <c r="AH2021" s="23" t="n">
        <v>1</v>
      </c>
      <c r="AI2021" s="23" t="n">
        <v>1</v>
      </c>
      <c r="AJ2021" s="23" t="n">
        <v>0.712</v>
      </c>
      <c r="AK2021" s="23" t="n">
        <v>0.5</v>
      </c>
      <c r="AL2021" s="23" t="n">
        <v>0.3</v>
      </c>
      <c r="AM2021" s="16" t="n">
        <f aca="false">COUNTIFS($D$2:$D$2501,D2021,$G$2:$G$2501,"&gt;"&amp;G2021)+COUNTIFS($D$2:D2021,D2021,$G$2:G2021,G2021)</f>
        <v>265</v>
      </c>
      <c r="AN2021" s="5" t="str">
        <f aca="false">D2021&amp;"|"&amp;AM2021</f>
        <v>文件與影像辨識|265</v>
      </c>
    </row>
    <row r="2022" customFormat="false" ht="17.15" hidden="false" customHeight="false" outlineLevel="0" collapsed="false">
      <c r="A2022" s="16" t="n">
        <f aca="false">RANK(G2022,$G$2:$G$2501)+COUNTIF($G$2:G2022,G2022)-1</f>
        <v>2021</v>
      </c>
      <c r="B2022" s="11" t="s">
        <v>4961</v>
      </c>
      <c r="C2022" s="11" t="s">
        <v>327</v>
      </c>
      <c r="D2022" s="5" t="s">
        <v>78</v>
      </c>
      <c r="E2022" s="5" t="s">
        <v>79</v>
      </c>
      <c r="F2022" s="5"/>
      <c r="G2022" s="22" t="n">
        <f aca="false">ROUND(SUM(I2022:P2022),3)</f>
        <v>51.564</v>
      </c>
      <c r="H2022" s="5" t="str">
        <f aca="false">IF(G2022&gt;=評分方法!$C$16,"優先評估",IF(G2022&gt;=評分方法!$C$17,"列入候選",IF(G2022&gt;=評分方法!$C$18,"特定情境","不建議")))</f>
        <v>不建議</v>
      </c>
      <c r="I2022" s="15" t="n">
        <f aca="false">AE2022*評分方法!$C$5</f>
        <v>4.5</v>
      </c>
      <c r="J2022" s="15" t="n">
        <f aca="false">AF2022*評分方法!$C$6</f>
        <v>0</v>
      </c>
      <c r="K2022" s="15" t="n">
        <f aca="false">AG2022*評分方法!$C$7</f>
        <v>15</v>
      </c>
      <c r="L2022" s="15" t="n">
        <f aca="false">AH2022*評分方法!$C$8</f>
        <v>15</v>
      </c>
      <c r="M2022" s="15" t="n">
        <f aca="false">AI2022*評分方法!$C$9</f>
        <v>10</v>
      </c>
      <c r="N2022" s="15" t="n">
        <f aca="false">AJ2022*評分方法!$C$10</f>
        <v>0.564</v>
      </c>
      <c r="O2022" s="15" t="n">
        <f aca="false">AK2022*評分方法!$C$11</f>
        <v>5</v>
      </c>
      <c r="P2022" s="15" t="n">
        <f aca="false">AL2022*評分方法!$C$12</f>
        <v>1.5</v>
      </c>
      <c r="Q2022" s="6" t="n">
        <v>135801</v>
      </c>
      <c r="R2022" s="6" t="n">
        <v>99226504</v>
      </c>
      <c r="S2022" s="11" t="s">
        <v>238</v>
      </c>
      <c r="T2022" s="11" t="s">
        <v>1404</v>
      </c>
      <c r="U2022" s="5" t="s">
        <v>240</v>
      </c>
      <c r="V2022" s="11" t="s">
        <v>2826</v>
      </c>
      <c r="W2022" s="5" t="s">
        <v>205</v>
      </c>
      <c r="X2022" s="5" t="s">
        <v>255</v>
      </c>
      <c r="Y2022" s="5"/>
      <c r="Z2022" s="5"/>
      <c r="AA2022" s="11" t="s">
        <v>182</v>
      </c>
      <c r="AB2022" s="5" t="s">
        <v>245</v>
      </c>
      <c r="AC2022" s="5"/>
      <c r="AD2022" s="11" t="s">
        <v>4962</v>
      </c>
      <c r="AE2022" s="23" t="n">
        <v>0.15</v>
      </c>
      <c r="AF2022" s="23" t="n">
        <v>0</v>
      </c>
      <c r="AG2022" s="23" t="n">
        <v>1</v>
      </c>
      <c r="AH2022" s="23" t="n">
        <v>1</v>
      </c>
      <c r="AI2022" s="23" t="n">
        <v>1</v>
      </c>
      <c r="AJ2022" s="23" t="n">
        <v>0.0564</v>
      </c>
      <c r="AK2022" s="23" t="n">
        <v>1</v>
      </c>
      <c r="AL2022" s="23" t="n">
        <v>0.3</v>
      </c>
      <c r="AM2022" s="16" t="n">
        <f aca="false">COUNTIFS($D$2:$D$2501,D2022,$G$2:$G$2501,"&gt;"&amp;G2022)+COUNTIFS($D$2:D2022,D2022,$G$2:G2022,G2022)</f>
        <v>60</v>
      </c>
      <c r="AN2022" s="5" t="str">
        <f aca="false">D2022&amp;"|"&amp;AM2022</f>
        <v>語音分析|60</v>
      </c>
    </row>
    <row r="2023" customFormat="false" ht="17.15" hidden="false" customHeight="false" outlineLevel="0" collapsed="false">
      <c r="A2023" s="16" t="n">
        <f aca="false">RANK(G2023,$G$2:$G$2501)+COUNTIF($G$2:G2023,G2023)-1</f>
        <v>2022</v>
      </c>
      <c r="B2023" s="11" t="s">
        <v>4963</v>
      </c>
      <c r="C2023" s="11" t="s">
        <v>2693</v>
      </c>
      <c r="D2023" s="5" t="s">
        <v>74</v>
      </c>
      <c r="E2023" s="5" t="s">
        <v>75</v>
      </c>
      <c r="F2023" s="5"/>
      <c r="G2023" s="22" t="n">
        <f aca="false">ROUND(SUM(I2023:P2023),3)</f>
        <v>51.548</v>
      </c>
      <c r="H2023" s="5" t="str">
        <f aca="false">IF(G2023&gt;=評分方法!$C$16,"優先評估",IF(G2023&gt;=評分方法!$C$17,"列入候選",IF(G2023&gt;=評分方法!$C$18,"特定情境","不建議")))</f>
        <v>不建議</v>
      </c>
      <c r="I2023" s="15" t="n">
        <f aca="false">AE2023*評分方法!$C$5</f>
        <v>10.5</v>
      </c>
      <c r="J2023" s="15" t="n">
        <f aca="false">AF2023*評分方法!$C$6</f>
        <v>0</v>
      </c>
      <c r="K2023" s="15" t="n">
        <f aca="false">AG2023*評分方法!$C$7</f>
        <v>15</v>
      </c>
      <c r="L2023" s="15" t="n">
        <f aca="false">AH2023*評分方法!$C$8</f>
        <v>15</v>
      </c>
      <c r="M2023" s="15" t="n">
        <f aca="false">AI2023*評分方法!$C$9</f>
        <v>6</v>
      </c>
      <c r="N2023" s="15" t="n">
        <f aca="false">AJ2023*評分方法!$C$10</f>
        <v>1.048</v>
      </c>
      <c r="O2023" s="15" t="n">
        <f aca="false">AK2023*評分方法!$C$11</f>
        <v>2.5</v>
      </c>
      <c r="P2023" s="15" t="n">
        <f aca="false">AL2023*評分方法!$C$12</f>
        <v>1.5</v>
      </c>
      <c r="Q2023" s="6" t="n">
        <v>155982</v>
      </c>
      <c r="R2023" s="6" t="n">
        <v>28683264</v>
      </c>
      <c r="S2023" s="11" t="s">
        <v>238</v>
      </c>
      <c r="T2023" s="11" t="s">
        <v>185</v>
      </c>
      <c r="U2023" s="5" t="s">
        <v>260</v>
      </c>
      <c r="V2023" s="11" t="s">
        <v>324</v>
      </c>
      <c r="W2023" s="5" t="s">
        <v>205</v>
      </c>
      <c r="X2023" s="5" t="s">
        <v>255</v>
      </c>
      <c r="Y2023" s="5"/>
      <c r="Z2023" s="5"/>
      <c r="AA2023" s="11" t="s">
        <v>173</v>
      </c>
      <c r="AB2023" s="5" t="s">
        <v>245</v>
      </c>
      <c r="AC2023" s="5" t="s">
        <v>262</v>
      </c>
      <c r="AD2023" s="11" t="s">
        <v>4964</v>
      </c>
      <c r="AE2023" s="23" t="n">
        <v>0.35</v>
      </c>
      <c r="AF2023" s="23" t="n">
        <v>0</v>
      </c>
      <c r="AG2023" s="23" t="n">
        <v>1</v>
      </c>
      <c r="AH2023" s="23" t="n">
        <v>1</v>
      </c>
      <c r="AI2023" s="23" t="n">
        <v>0.6</v>
      </c>
      <c r="AJ2023" s="23" t="n">
        <v>0.1048</v>
      </c>
      <c r="AK2023" s="23" t="n">
        <v>0.5</v>
      </c>
      <c r="AL2023" s="23" t="n">
        <v>0.3</v>
      </c>
      <c r="AM2023" s="16" t="n">
        <f aca="false">COUNTIFS($D$2:$D$2501,D2023,$G$2:$G$2501,"&gt;"&amp;G2023)+COUNTIFS($D$2:D2023,D2023,$G$2:G2023,G2023)</f>
        <v>266</v>
      </c>
      <c r="AN2023" s="5" t="str">
        <f aca="false">D2023&amp;"|"&amp;AM2023</f>
        <v>文件與影像辨識|266</v>
      </c>
    </row>
    <row r="2024" customFormat="false" ht="17.15" hidden="false" customHeight="false" outlineLevel="0" collapsed="false">
      <c r="A2024" s="16" t="n">
        <f aca="false">RANK(G2024,$G$2:$G$2501)+COUNTIF($G$2:G2024,G2024)-1</f>
        <v>2023</v>
      </c>
      <c r="B2024" s="11" t="s">
        <v>4965</v>
      </c>
      <c r="C2024" s="11" t="s">
        <v>681</v>
      </c>
      <c r="D2024" s="5" t="s">
        <v>80</v>
      </c>
      <c r="E2024" s="5" t="s">
        <v>81</v>
      </c>
      <c r="F2024" s="5"/>
      <c r="G2024" s="22" t="n">
        <f aca="false">ROUND(SUM(I2024:P2024),3)</f>
        <v>51.536</v>
      </c>
      <c r="H2024" s="5" t="str">
        <f aca="false">IF(G2024&gt;=評分方法!$C$16,"優先評估",IF(G2024&gt;=評分方法!$C$17,"列入候選",IF(G2024&gt;=評分方法!$C$18,"特定情境","不建議")))</f>
        <v>不建議</v>
      </c>
      <c r="I2024" s="15" t="n">
        <f aca="false">AE2024*評分方法!$C$5</f>
        <v>3</v>
      </c>
      <c r="J2024" s="15" t="n">
        <f aca="false">AF2024*評分方法!$C$6</f>
        <v>0</v>
      </c>
      <c r="K2024" s="15" t="n">
        <f aca="false">AG2024*評分方法!$C$7</f>
        <v>15</v>
      </c>
      <c r="L2024" s="15" t="n">
        <f aca="false">AH2024*評分方法!$C$8</f>
        <v>15</v>
      </c>
      <c r="M2024" s="15" t="n">
        <f aca="false">AI2024*評分方法!$C$9</f>
        <v>10</v>
      </c>
      <c r="N2024" s="15" t="n">
        <f aca="false">AJ2024*評分方法!$C$10</f>
        <v>4.536</v>
      </c>
      <c r="O2024" s="15" t="n">
        <f aca="false">AK2024*評分方法!$C$11</f>
        <v>2.5</v>
      </c>
      <c r="P2024" s="15" t="n">
        <f aca="false">AL2024*評分方法!$C$12</f>
        <v>1.5</v>
      </c>
      <c r="Q2024" s="6" t="n">
        <v>495177</v>
      </c>
      <c r="R2024" s="6" t="n">
        <v>38963010</v>
      </c>
      <c r="S2024" s="11" t="s">
        <v>238</v>
      </c>
      <c r="T2024" s="11" t="s">
        <v>239</v>
      </c>
      <c r="U2024" s="5" t="s">
        <v>240</v>
      </c>
      <c r="V2024" s="11" t="s">
        <v>324</v>
      </c>
      <c r="W2024" s="5" t="s">
        <v>205</v>
      </c>
      <c r="X2024" s="5" t="s">
        <v>255</v>
      </c>
      <c r="Y2024" s="5"/>
      <c r="Z2024" s="5"/>
      <c r="AA2024" s="11" t="s">
        <v>184</v>
      </c>
      <c r="AB2024" s="5" t="s">
        <v>245</v>
      </c>
      <c r="AC2024" s="5"/>
      <c r="AD2024" s="11" t="s">
        <v>4966</v>
      </c>
      <c r="AE2024" s="23" t="n">
        <v>0.1</v>
      </c>
      <c r="AF2024" s="23" t="n">
        <v>0</v>
      </c>
      <c r="AG2024" s="23" t="n">
        <v>1</v>
      </c>
      <c r="AH2024" s="23" t="n">
        <v>1</v>
      </c>
      <c r="AI2024" s="23" t="n">
        <v>1</v>
      </c>
      <c r="AJ2024" s="23" t="n">
        <v>0.4536</v>
      </c>
      <c r="AK2024" s="23" t="n">
        <v>0.5</v>
      </c>
      <c r="AL2024" s="23" t="n">
        <v>0.3</v>
      </c>
      <c r="AM2024" s="16" t="n">
        <f aca="false">COUNTIFS($D$2:$D$2501,D2024,$G$2:$G$2501,"&gt;"&amp;G2024)+COUNTIFS($D$2:D2024,D2024,$G$2:G2024,G2024)</f>
        <v>11</v>
      </c>
      <c r="AN2024" s="5" t="str">
        <f aca="false">D2024&amp;"|"&amp;AM2024</f>
        <v>其他|11</v>
      </c>
    </row>
    <row r="2025" customFormat="false" ht="17.15" hidden="false" customHeight="false" outlineLevel="0" collapsed="false">
      <c r="A2025" s="16" t="n">
        <f aca="false">RANK(G2025,$G$2:$G$2501)+COUNTIF($G$2:G2025,G2025)-1</f>
        <v>2024</v>
      </c>
      <c r="B2025" s="11" t="s">
        <v>4967</v>
      </c>
      <c r="C2025" s="11" t="s">
        <v>4046</v>
      </c>
      <c r="D2025" s="5" t="s">
        <v>78</v>
      </c>
      <c r="E2025" s="5" t="s">
        <v>79</v>
      </c>
      <c r="F2025" s="5"/>
      <c r="G2025" s="22" t="n">
        <f aca="false">ROUND(SUM(I2025:P2025),3)</f>
        <v>51.502</v>
      </c>
      <c r="H2025" s="5" t="str">
        <f aca="false">IF(G2025&gt;=評分方法!$C$16,"優先評估",IF(G2025&gt;=評分方法!$C$17,"列入候選",IF(G2025&gt;=評分方法!$C$18,"特定情境","不建議")))</f>
        <v>不建議</v>
      </c>
      <c r="I2025" s="15" t="n">
        <f aca="false">AE2025*評分方法!$C$5</f>
        <v>9</v>
      </c>
      <c r="J2025" s="15" t="n">
        <f aca="false">AF2025*評分方法!$C$6</f>
        <v>0</v>
      </c>
      <c r="K2025" s="15" t="n">
        <f aca="false">AG2025*評分方法!$C$7</f>
        <v>4.95</v>
      </c>
      <c r="L2025" s="15" t="n">
        <f aca="false">AH2025*評分方法!$C$8</f>
        <v>15</v>
      </c>
      <c r="M2025" s="15" t="n">
        <f aca="false">AI2025*評分方法!$C$9</f>
        <v>10</v>
      </c>
      <c r="N2025" s="15" t="n">
        <f aca="false">AJ2025*評分方法!$C$10</f>
        <v>7.552</v>
      </c>
      <c r="O2025" s="15" t="n">
        <f aca="false">AK2025*評分方法!$C$11</f>
        <v>5</v>
      </c>
      <c r="P2025" s="15" t="n">
        <f aca="false">AL2025*評分方法!$C$12</f>
        <v>0</v>
      </c>
      <c r="Q2025" s="6" t="n">
        <v>1193337</v>
      </c>
      <c r="R2025" s="6" t="n">
        <v>189083776</v>
      </c>
      <c r="S2025" s="11" t="s">
        <v>238</v>
      </c>
      <c r="T2025" s="11" t="s">
        <v>1636</v>
      </c>
      <c r="U2025" s="5" t="s">
        <v>240</v>
      </c>
      <c r="V2025" s="11" t="s">
        <v>333</v>
      </c>
      <c r="W2025" s="5" t="s">
        <v>334</v>
      </c>
      <c r="X2025" s="5" t="s">
        <v>242</v>
      </c>
      <c r="Y2025" s="11" t="s">
        <v>4968</v>
      </c>
      <c r="Z2025" s="11" t="s">
        <v>244</v>
      </c>
      <c r="AA2025" s="11" t="s">
        <v>175</v>
      </c>
      <c r="AB2025" s="5" t="s">
        <v>245</v>
      </c>
      <c r="AC2025" s="5" t="s">
        <v>246</v>
      </c>
      <c r="AD2025" s="11" t="s">
        <v>4969</v>
      </c>
      <c r="AE2025" s="23" t="n">
        <v>0.3</v>
      </c>
      <c r="AF2025" s="23" t="n">
        <v>0</v>
      </c>
      <c r="AG2025" s="23" t="n">
        <v>0.33</v>
      </c>
      <c r="AH2025" s="23" t="n">
        <v>1</v>
      </c>
      <c r="AI2025" s="23" t="n">
        <v>1</v>
      </c>
      <c r="AJ2025" s="23" t="n">
        <v>0.7552</v>
      </c>
      <c r="AK2025" s="23" t="n">
        <v>1</v>
      </c>
      <c r="AL2025" s="23" t="n">
        <v>0</v>
      </c>
      <c r="AM2025" s="16" t="n">
        <f aca="false">COUNTIFS($D$2:$D$2501,D2025,$G$2:$G$2501,"&gt;"&amp;G2025)+COUNTIFS($D$2:D2025,D2025,$G$2:G2025,G2025)</f>
        <v>61</v>
      </c>
      <c r="AN2025" s="5" t="str">
        <f aca="false">D2025&amp;"|"&amp;AM2025</f>
        <v>語音分析|61</v>
      </c>
    </row>
    <row r="2026" customFormat="false" ht="17.15" hidden="false" customHeight="false" outlineLevel="0" collapsed="false">
      <c r="A2026" s="16" t="n">
        <f aca="false">RANK(G2026,$G$2:$G$2501)+COUNTIF($G$2:G2026,G2026)-1</f>
        <v>2025</v>
      </c>
      <c r="B2026" s="11" t="s">
        <v>4970</v>
      </c>
      <c r="C2026" s="11" t="s">
        <v>4971</v>
      </c>
      <c r="D2026" s="5" t="s">
        <v>78</v>
      </c>
      <c r="E2026" s="5" t="s">
        <v>79</v>
      </c>
      <c r="F2026" s="5"/>
      <c r="G2026" s="22" t="n">
        <f aca="false">ROUND(SUM(I2026:P2026),3)</f>
        <v>51.502</v>
      </c>
      <c r="H2026" s="5" t="str">
        <f aca="false">IF(G2026&gt;=評分方法!$C$16,"優先評估",IF(G2026&gt;=評分方法!$C$17,"列入候選",IF(G2026&gt;=評分方法!$C$18,"特定情境","不建議")))</f>
        <v>不建議</v>
      </c>
      <c r="I2026" s="15" t="n">
        <f aca="false">AE2026*評分方法!$C$5</f>
        <v>10.5</v>
      </c>
      <c r="J2026" s="15" t="n">
        <f aca="false">AF2026*評分方法!$C$6</f>
        <v>0</v>
      </c>
      <c r="K2026" s="15" t="n">
        <f aca="false">AG2026*評分方法!$C$7</f>
        <v>4.95</v>
      </c>
      <c r="L2026" s="15" t="n">
        <f aca="false">AH2026*評分方法!$C$8</f>
        <v>15</v>
      </c>
      <c r="M2026" s="15" t="n">
        <f aca="false">AI2026*評分方法!$C$9</f>
        <v>10</v>
      </c>
      <c r="N2026" s="15" t="n">
        <f aca="false">AJ2026*評分方法!$C$10</f>
        <v>5.552</v>
      </c>
      <c r="O2026" s="15" t="n">
        <f aca="false">AK2026*評分方法!$C$11</f>
        <v>4</v>
      </c>
      <c r="P2026" s="15" t="n">
        <f aca="false">AL2026*評分方法!$C$12</f>
        <v>1.5</v>
      </c>
      <c r="Q2026" s="6" t="n">
        <v>579392</v>
      </c>
      <c r="R2026" s="6" t="n">
        <v>6630080</v>
      </c>
      <c r="S2026" s="11" t="s">
        <v>238</v>
      </c>
      <c r="T2026" s="11" t="s">
        <v>278</v>
      </c>
      <c r="U2026" s="5" t="s">
        <v>240</v>
      </c>
      <c r="V2026" s="11" t="s">
        <v>261</v>
      </c>
      <c r="W2026" s="5" t="s">
        <v>334</v>
      </c>
      <c r="X2026" s="5" t="s">
        <v>255</v>
      </c>
      <c r="Y2026" s="11" t="s">
        <v>4972</v>
      </c>
      <c r="Z2026" s="11" t="s">
        <v>270</v>
      </c>
      <c r="AA2026" s="11" t="s">
        <v>174</v>
      </c>
      <c r="AB2026" s="5" t="s">
        <v>245</v>
      </c>
      <c r="AC2026" s="5"/>
      <c r="AD2026" s="11" t="s">
        <v>4973</v>
      </c>
      <c r="AE2026" s="23" t="n">
        <v>0.35</v>
      </c>
      <c r="AF2026" s="23" t="n">
        <v>0</v>
      </c>
      <c r="AG2026" s="23" t="n">
        <v>0.33</v>
      </c>
      <c r="AH2026" s="23" t="n">
        <v>1</v>
      </c>
      <c r="AI2026" s="23" t="n">
        <v>1</v>
      </c>
      <c r="AJ2026" s="23" t="n">
        <v>0.5552</v>
      </c>
      <c r="AK2026" s="23" t="n">
        <v>0.8</v>
      </c>
      <c r="AL2026" s="23" t="n">
        <v>0.3</v>
      </c>
      <c r="AM2026" s="16" t="n">
        <f aca="false">COUNTIFS($D$2:$D$2501,D2026,$G$2:$G$2501,"&gt;"&amp;G2026)+COUNTIFS($D$2:D2026,D2026,$G$2:G2026,G2026)</f>
        <v>62</v>
      </c>
      <c r="AN2026" s="5" t="str">
        <f aca="false">D2026&amp;"|"&amp;AM2026</f>
        <v>語音分析|62</v>
      </c>
    </row>
    <row r="2027" customFormat="false" ht="17.15" hidden="false" customHeight="false" outlineLevel="0" collapsed="false">
      <c r="A2027" s="16" t="n">
        <f aca="false">RANK(G2027,$G$2:$G$2501)+COUNTIF($G$2:G2027,G2027)-1</f>
        <v>2026</v>
      </c>
      <c r="B2027" s="11" t="s">
        <v>4974</v>
      </c>
      <c r="C2027" s="11" t="s">
        <v>681</v>
      </c>
      <c r="D2027" s="5" t="s">
        <v>80</v>
      </c>
      <c r="E2027" s="5" t="s">
        <v>81</v>
      </c>
      <c r="F2027" s="5"/>
      <c r="G2027" s="22" t="n">
        <f aca="false">ROUND(SUM(I2027:P2027),3)</f>
        <v>51.488</v>
      </c>
      <c r="H2027" s="5" t="str">
        <f aca="false">IF(G2027&gt;=評分方法!$C$16,"優先評估",IF(G2027&gt;=評分方法!$C$17,"列入候選",IF(G2027&gt;=評分方法!$C$18,"特定情境","不建議")))</f>
        <v>不建議</v>
      </c>
      <c r="I2027" s="15" t="n">
        <f aca="false">AE2027*評分方法!$C$5</f>
        <v>6</v>
      </c>
      <c r="J2027" s="15" t="n">
        <f aca="false">AF2027*評分方法!$C$6</f>
        <v>0</v>
      </c>
      <c r="K2027" s="15" t="n">
        <f aca="false">AG2027*評分方法!$C$7</f>
        <v>15</v>
      </c>
      <c r="L2027" s="15" t="n">
        <f aca="false">AH2027*評分方法!$C$8</f>
        <v>15</v>
      </c>
      <c r="M2027" s="15" t="n">
        <f aca="false">AI2027*評分方法!$C$9</f>
        <v>10</v>
      </c>
      <c r="N2027" s="15" t="n">
        <f aca="false">AJ2027*評分方法!$C$10</f>
        <v>2.988</v>
      </c>
      <c r="O2027" s="15" t="n">
        <f aca="false">AK2027*評分方法!$C$11</f>
        <v>1</v>
      </c>
      <c r="P2027" s="15" t="n">
        <f aca="false">AL2027*評分方法!$C$12</f>
        <v>1.5</v>
      </c>
      <c r="Q2027" s="6" t="n">
        <v>293464</v>
      </c>
      <c r="R2027" s="6" t="n">
        <v>111907840</v>
      </c>
      <c r="S2027" s="11" t="s">
        <v>238</v>
      </c>
      <c r="T2027" s="11" t="s">
        <v>239</v>
      </c>
      <c r="U2027" s="5" t="s">
        <v>240</v>
      </c>
      <c r="V2027" s="11" t="s">
        <v>855</v>
      </c>
      <c r="W2027" s="5" t="s">
        <v>205</v>
      </c>
      <c r="X2027" s="5" t="s">
        <v>255</v>
      </c>
      <c r="Y2027" s="5"/>
      <c r="Z2027" s="5"/>
      <c r="AA2027" s="5"/>
      <c r="AB2027" s="5" t="s">
        <v>255</v>
      </c>
      <c r="AC2027" s="5"/>
      <c r="AD2027" s="11" t="s">
        <v>4975</v>
      </c>
      <c r="AE2027" s="23" t="n">
        <v>0.2</v>
      </c>
      <c r="AF2027" s="23" t="n">
        <v>0</v>
      </c>
      <c r="AG2027" s="23" t="n">
        <v>1</v>
      </c>
      <c r="AH2027" s="23" t="n">
        <v>1</v>
      </c>
      <c r="AI2027" s="23" t="n">
        <v>1</v>
      </c>
      <c r="AJ2027" s="23" t="n">
        <v>0.2988</v>
      </c>
      <c r="AK2027" s="23" t="n">
        <v>0.2</v>
      </c>
      <c r="AL2027" s="23" t="n">
        <v>0.3</v>
      </c>
      <c r="AM2027" s="16" t="n">
        <f aca="false">COUNTIFS($D$2:$D$2501,D2027,$G$2:$G$2501,"&gt;"&amp;G2027)+COUNTIFS($D$2:D2027,D2027,$G$2:G2027,G2027)</f>
        <v>12</v>
      </c>
      <c r="AN2027" s="5" t="str">
        <f aca="false">D2027&amp;"|"&amp;AM2027</f>
        <v>其他|12</v>
      </c>
    </row>
    <row r="2028" customFormat="false" ht="17.15" hidden="false" customHeight="false" outlineLevel="0" collapsed="false">
      <c r="A2028" s="16" t="n">
        <f aca="false">RANK(G2028,$G$2:$G$2501)+COUNTIF($G$2:G2028,G2028)-1</f>
        <v>2027</v>
      </c>
      <c r="B2028" s="11" t="s">
        <v>4976</v>
      </c>
      <c r="C2028" s="11" t="s">
        <v>1438</v>
      </c>
      <c r="D2028" s="5" t="s">
        <v>56</v>
      </c>
      <c r="E2028" s="5" t="s">
        <v>57</v>
      </c>
      <c r="F2028" s="5"/>
      <c r="G2028" s="22" t="n">
        <f aca="false">ROUND(SUM(I2028:P2028),3)</f>
        <v>51.484</v>
      </c>
      <c r="H2028" s="5" t="str">
        <f aca="false">IF(G2028&gt;=評分方法!$C$16,"優先評估",IF(G2028&gt;=評分方法!$C$17,"列入候選",IF(G2028&gt;=評分方法!$C$18,"特定情境","不建議")))</f>
        <v>不建議</v>
      </c>
      <c r="I2028" s="15" t="n">
        <f aca="false">AE2028*評分方法!$C$5</f>
        <v>25.5</v>
      </c>
      <c r="J2028" s="15" t="n">
        <f aca="false">AF2028*評分方法!$C$6</f>
        <v>0</v>
      </c>
      <c r="K2028" s="15" t="n">
        <f aca="false">AG2028*評分方法!$C$7</f>
        <v>10.05</v>
      </c>
      <c r="L2028" s="15" t="n">
        <f aca="false">AH2028*評分方法!$C$8</f>
        <v>1.95</v>
      </c>
      <c r="M2028" s="15" t="n">
        <f aca="false">AI2028*評分方法!$C$9</f>
        <v>2</v>
      </c>
      <c r="N2028" s="15" t="n">
        <f aca="false">AJ2028*評分方法!$C$10</f>
        <v>6.484</v>
      </c>
      <c r="O2028" s="15" t="n">
        <f aca="false">AK2028*評分方法!$C$11</f>
        <v>2.5</v>
      </c>
      <c r="P2028" s="15" t="n">
        <f aca="false">AL2028*評分方法!$C$12</f>
        <v>3</v>
      </c>
      <c r="Q2028" s="6" t="n">
        <v>748053</v>
      </c>
      <c r="R2028" s="6" t="n">
        <v>122610069504</v>
      </c>
      <c r="S2028" s="11" t="s">
        <v>1616</v>
      </c>
      <c r="T2028" s="5"/>
      <c r="U2028" s="5" t="s">
        <v>375</v>
      </c>
      <c r="V2028" s="11" t="s">
        <v>333</v>
      </c>
      <c r="W2028" s="5" t="s">
        <v>207</v>
      </c>
      <c r="X2028" s="5" t="s">
        <v>371</v>
      </c>
      <c r="Y2028" s="11" t="s">
        <v>4977</v>
      </c>
      <c r="Z2028" s="11" t="s">
        <v>244</v>
      </c>
      <c r="AA2028" s="11" t="s">
        <v>155</v>
      </c>
      <c r="AB2028" s="5" t="s">
        <v>245</v>
      </c>
      <c r="AC2028" s="5" t="s">
        <v>464</v>
      </c>
      <c r="AD2028" s="11" t="s">
        <v>4978</v>
      </c>
      <c r="AE2028" s="23" t="n">
        <v>0.85</v>
      </c>
      <c r="AF2028" s="23" t="n">
        <v>0</v>
      </c>
      <c r="AG2028" s="23" t="n">
        <v>0.67</v>
      </c>
      <c r="AH2028" s="23" t="n">
        <v>0.13</v>
      </c>
      <c r="AI2028" s="23" t="n">
        <v>0.2</v>
      </c>
      <c r="AJ2028" s="23" t="n">
        <v>0.6484</v>
      </c>
      <c r="AK2028" s="23" t="n">
        <v>0.5</v>
      </c>
      <c r="AL2028" s="23" t="n">
        <v>0.6</v>
      </c>
      <c r="AM2028" s="16" t="n">
        <f aca="false">COUNTIFS($D$2:$D$2501,D2028,$G$2:$G$2501,"&gt;"&amp;G2028)+COUNTIFS($D$2:D2028,D2028,$G$2:G2028,G2028)</f>
        <v>920</v>
      </c>
      <c r="AN2028" s="5" t="str">
        <f aca="false">D2028&amp;"|"&amp;AM2028</f>
        <v>分析與報告生成|920</v>
      </c>
    </row>
    <row r="2029" customFormat="false" ht="17.15" hidden="false" customHeight="false" outlineLevel="0" collapsed="false">
      <c r="A2029" s="16" t="n">
        <f aca="false">RANK(G2029,$G$2:$G$2501)+COUNTIF($G$2:G2029,G2029)-1</f>
        <v>2028</v>
      </c>
      <c r="B2029" s="11" t="s">
        <v>4979</v>
      </c>
      <c r="C2029" s="11" t="s">
        <v>327</v>
      </c>
      <c r="D2029" s="5" t="s">
        <v>74</v>
      </c>
      <c r="E2029" s="5" t="s">
        <v>75</v>
      </c>
      <c r="F2029" s="5"/>
      <c r="G2029" s="22" t="n">
        <f aca="false">ROUND(SUM(I2029:P2029),3)</f>
        <v>51.444</v>
      </c>
      <c r="H2029" s="5" t="str">
        <f aca="false">IF(G2029&gt;=評分方法!$C$16,"優先評估",IF(G2029&gt;=評分方法!$C$17,"列入候選",IF(G2029&gt;=評分方法!$C$18,"特定情境","不建議")))</f>
        <v>不建議</v>
      </c>
      <c r="I2029" s="15" t="n">
        <f aca="false">AE2029*評分方法!$C$5</f>
        <v>4.5</v>
      </c>
      <c r="J2029" s="15" t="n">
        <f aca="false">AF2029*評分方法!$C$6</f>
        <v>0</v>
      </c>
      <c r="K2029" s="15" t="n">
        <f aca="false">AG2029*評分方法!$C$7</f>
        <v>15</v>
      </c>
      <c r="L2029" s="15" t="n">
        <f aca="false">AH2029*評分方法!$C$8</f>
        <v>15</v>
      </c>
      <c r="M2029" s="15" t="n">
        <f aca="false">AI2029*評分方法!$C$9</f>
        <v>6</v>
      </c>
      <c r="N2029" s="15" t="n">
        <f aca="false">AJ2029*評分方法!$C$10</f>
        <v>8.444</v>
      </c>
      <c r="O2029" s="15" t="n">
        <f aca="false">AK2029*評分方法!$C$11</f>
        <v>1</v>
      </c>
      <c r="P2029" s="15" t="n">
        <f aca="false">AL2029*評分方法!$C$12</f>
        <v>1.5</v>
      </c>
      <c r="Q2029" s="6" t="n">
        <v>2108379</v>
      </c>
      <c r="R2029" s="6" t="n">
        <v>3753206</v>
      </c>
      <c r="S2029" s="11" t="s">
        <v>238</v>
      </c>
      <c r="T2029" s="11" t="s">
        <v>185</v>
      </c>
      <c r="U2029" s="5" t="s">
        <v>260</v>
      </c>
      <c r="V2029" s="11" t="s">
        <v>855</v>
      </c>
      <c r="W2029" s="5" t="s">
        <v>205</v>
      </c>
      <c r="X2029" s="5" t="s">
        <v>255</v>
      </c>
      <c r="Y2029" s="5"/>
      <c r="Z2029" s="5"/>
      <c r="AA2029" s="11" t="s">
        <v>183</v>
      </c>
      <c r="AB2029" s="5" t="s">
        <v>245</v>
      </c>
      <c r="AC2029" s="5" t="s">
        <v>262</v>
      </c>
      <c r="AD2029" s="11" t="s">
        <v>4980</v>
      </c>
      <c r="AE2029" s="23" t="n">
        <v>0.15</v>
      </c>
      <c r="AF2029" s="23" t="n">
        <v>0</v>
      </c>
      <c r="AG2029" s="23" t="n">
        <v>1</v>
      </c>
      <c r="AH2029" s="23" t="n">
        <v>1</v>
      </c>
      <c r="AI2029" s="23" t="n">
        <v>0.6</v>
      </c>
      <c r="AJ2029" s="23" t="n">
        <v>0.8444</v>
      </c>
      <c r="AK2029" s="23" t="n">
        <v>0.2</v>
      </c>
      <c r="AL2029" s="23" t="n">
        <v>0.3</v>
      </c>
      <c r="AM2029" s="16" t="n">
        <f aca="false">COUNTIFS($D$2:$D$2501,D2029,$G$2:$G$2501,"&gt;"&amp;G2029)+COUNTIFS($D$2:D2029,D2029,$G$2:G2029,G2029)</f>
        <v>267</v>
      </c>
      <c r="AN2029" s="5" t="str">
        <f aca="false">D2029&amp;"|"&amp;AM2029</f>
        <v>文件與影像辨識|267</v>
      </c>
    </row>
    <row r="2030" customFormat="false" ht="17.15" hidden="false" customHeight="false" outlineLevel="0" collapsed="false">
      <c r="A2030" s="16" t="n">
        <f aca="false">RANK(G2030,$G$2:$G$2501)+COUNTIF($G$2:G2030,G2030)-1</f>
        <v>2029</v>
      </c>
      <c r="B2030" s="11" t="s">
        <v>4981</v>
      </c>
      <c r="C2030" s="11" t="s">
        <v>4982</v>
      </c>
      <c r="D2030" s="5" t="s">
        <v>66</v>
      </c>
      <c r="E2030" s="5" t="s">
        <v>67</v>
      </c>
      <c r="F2030" s="5"/>
      <c r="G2030" s="22" t="n">
        <f aca="false">ROUND(SUM(I2030:P2030),3)</f>
        <v>51.434</v>
      </c>
      <c r="H2030" s="5" t="str">
        <f aca="false">IF(G2030&gt;=評分方法!$C$16,"優先評估",IF(G2030&gt;=評分方法!$C$17,"列入候選",IF(G2030&gt;=評分方法!$C$18,"特定情境","不建議")))</f>
        <v>不建議</v>
      </c>
      <c r="I2030" s="15" t="n">
        <f aca="false">AE2030*評分方法!$C$5</f>
        <v>18</v>
      </c>
      <c r="J2030" s="15" t="n">
        <f aca="false">AF2030*評分方法!$C$6</f>
        <v>0</v>
      </c>
      <c r="K2030" s="15" t="n">
        <f aca="false">AG2030*評分方法!$C$7</f>
        <v>4.95</v>
      </c>
      <c r="L2030" s="15" t="n">
        <f aca="false">AH2030*評分方法!$C$8</f>
        <v>15</v>
      </c>
      <c r="M2030" s="15" t="n">
        <f aca="false">AI2030*評分方法!$C$9</f>
        <v>10</v>
      </c>
      <c r="N2030" s="15" t="n">
        <f aca="false">AJ2030*評分方法!$C$10</f>
        <v>0.984</v>
      </c>
      <c r="O2030" s="15" t="n">
        <f aca="false">AK2030*評分方法!$C$11</f>
        <v>2.5</v>
      </c>
      <c r="P2030" s="15" t="n">
        <f aca="false">AL2030*評分方法!$C$12</f>
        <v>0</v>
      </c>
      <c r="Q2030" s="6" t="n">
        <v>153079</v>
      </c>
      <c r="R2030" s="6" t="n">
        <v>355388444</v>
      </c>
      <c r="S2030" s="11" t="s">
        <v>238</v>
      </c>
      <c r="T2030" s="11" t="s">
        <v>278</v>
      </c>
      <c r="U2030" s="5" t="s">
        <v>240</v>
      </c>
      <c r="V2030" s="11" t="s">
        <v>241</v>
      </c>
      <c r="W2030" s="5" t="s">
        <v>334</v>
      </c>
      <c r="X2030" s="5" t="s">
        <v>242</v>
      </c>
      <c r="Y2030" s="11" t="s">
        <v>2365</v>
      </c>
      <c r="Z2030" s="11" t="s">
        <v>270</v>
      </c>
      <c r="AA2030" s="11" t="s">
        <v>149</v>
      </c>
      <c r="AB2030" s="5" t="s">
        <v>245</v>
      </c>
      <c r="AC2030" s="5" t="s">
        <v>1463</v>
      </c>
      <c r="AD2030" s="11" t="s">
        <v>4983</v>
      </c>
      <c r="AE2030" s="23" t="n">
        <v>0.6</v>
      </c>
      <c r="AF2030" s="23" t="n">
        <v>0</v>
      </c>
      <c r="AG2030" s="23" t="n">
        <v>0.33</v>
      </c>
      <c r="AH2030" s="23" t="n">
        <v>1</v>
      </c>
      <c r="AI2030" s="23" t="n">
        <v>1</v>
      </c>
      <c r="AJ2030" s="23" t="n">
        <v>0.0984</v>
      </c>
      <c r="AK2030" s="23" t="n">
        <v>0.5</v>
      </c>
      <c r="AL2030" s="23" t="n">
        <v>0</v>
      </c>
      <c r="AM2030" s="16" t="n">
        <f aca="false">COUNTIFS($D$2:$D$2501,D2030,$G$2:$G$2501,"&gt;"&amp;G2030)+COUNTIFS($D$2:D2030,D2030,$G$2:G2030,G2030)</f>
        <v>57</v>
      </c>
      <c r="AN2030" s="5" t="str">
        <f aca="false">D2030&amp;"|"&amp;AM2030</f>
        <v>分類與偵測|57</v>
      </c>
    </row>
    <row r="2031" customFormat="false" ht="17.15" hidden="false" customHeight="false" outlineLevel="0" collapsed="false">
      <c r="A2031" s="16" t="n">
        <f aca="false">RANK(G2031,$G$2:$G$2501)+COUNTIF($G$2:G2031,G2031)-1</f>
        <v>2030</v>
      </c>
      <c r="B2031" s="11" t="s">
        <v>4984</v>
      </c>
      <c r="C2031" s="11" t="s">
        <v>327</v>
      </c>
      <c r="D2031" s="5" t="s">
        <v>80</v>
      </c>
      <c r="E2031" s="5" t="s">
        <v>81</v>
      </c>
      <c r="F2031" s="5"/>
      <c r="G2031" s="22" t="n">
        <f aca="false">ROUND(SUM(I2031:P2031),3)</f>
        <v>51.396</v>
      </c>
      <c r="H2031" s="5" t="str">
        <f aca="false">IF(G2031&gt;=評分方法!$C$16,"優先評估",IF(G2031&gt;=評分方法!$C$17,"列入候選",IF(G2031&gt;=評分方法!$C$18,"特定情境","不建議")))</f>
        <v>不建議</v>
      </c>
      <c r="I2031" s="15" t="n">
        <f aca="false">AE2031*評分方法!$C$5</f>
        <v>3</v>
      </c>
      <c r="J2031" s="15" t="n">
        <f aca="false">AF2031*評分方法!$C$6</f>
        <v>0</v>
      </c>
      <c r="K2031" s="15" t="n">
        <f aca="false">AG2031*評分方法!$C$7</f>
        <v>15</v>
      </c>
      <c r="L2031" s="15" t="n">
        <f aca="false">AH2031*評分方法!$C$8</f>
        <v>15</v>
      </c>
      <c r="M2031" s="15" t="n">
        <f aca="false">AI2031*評分方法!$C$9</f>
        <v>10</v>
      </c>
      <c r="N2031" s="15" t="n">
        <f aca="false">AJ2031*評分方法!$C$10</f>
        <v>2.896</v>
      </c>
      <c r="O2031" s="15" t="n">
        <f aca="false">AK2031*評分方法!$C$11</f>
        <v>4</v>
      </c>
      <c r="P2031" s="15" t="n">
        <f aca="false">AL2031*評分方法!$C$12</f>
        <v>1.5</v>
      </c>
      <c r="Q2031" s="6" t="n">
        <v>285513</v>
      </c>
      <c r="R2031" s="6" t="n">
        <v>67256576</v>
      </c>
      <c r="S2031" s="11" t="s">
        <v>238</v>
      </c>
      <c r="T2031" s="11" t="s">
        <v>239</v>
      </c>
      <c r="U2031" s="5" t="s">
        <v>240</v>
      </c>
      <c r="V2031" s="11" t="s">
        <v>261</v>
      </c>
      <c r="W2031" s="5" t="s">
        <v>205</v>
      </c>
      <c r="X2031" s="5" t="s">
        <v>255</v>
      </c>
      <c r="Y2031" s="5"/>
      <c r="Z2031" s="5"/>
      <c r="AA2031" s="11" t="s">
        <v>185</v>
      </c>
      <c r="AB2031" s="5" t="s">
        <v>245</v>
      </c>
      <c r="AC2031" s="5"/>
      <c r="AD2031" s="11" t="s">
        <v>4985</v>
      </c>
      <c r="AE2031" s="23" t="n">
        <v>0.1</v>
      </c>
      <c r="AF2031" s="23" t="n">
        <v>0</v>
      </c>
      <c r="AG2031" s="23" t="n">
        <v>1</v>
      </c>
      <c r="AH2031" s="23" t="n">
        <v>1</v>
      </c>
      <c r="AI2031" s="23" t="n">
        <v>1</v>
      </c>
      <c r="AJ2031" s="23" t="n">
        <v>0.2896</v>
      </c>
      <c r="AK2031" s="23" t="n">
        <v>0.8</v>
      </c>
      <c r="AL2031" s="23" t="n">
        <v>0.3</v>
      </c>
      <c r="AM2031" s="16" t="n">
        <f aca="false">COUNTIFS($D$2:$D$2501,D2031,$G$2:$G$2501,"&gt;"&amp;G2031)+COUNTIFS($D$2:D2031,D2031,$G$2:G2031,G2031)</f>
        <v>13</v>
      </c>
      <c r="AN2031" s="5" t="str">
        <f aca="false">D2031&amp;"|"&amp;AM2031</f>
        <v>其他|13</v>
      </c>
    </row>
    <row r="2032" customFormat="false" ht="17.15" hidden="false" customHeight="false" outlineLevel="0" collapsed="false">
      <c r="A2032" s="16" t="n">
        <f aca="false">RANK(G2032,$G$2:$G$2501)+COUNTIF($G$2:G2032,G2032)-1</f>
        <v>2031</v>
      </c>
      <c r="B2032" s="11" t="s">
        <v>4986</v>
      </c>
      <c r="C2032" s="11" t="s">
        <v>2693</v>
      </c>
      <c r="D2032" s="5" t="s">
        <v>74</v>
      </c>
      <c r="E2032" s="5" t="s">
        <v>75</v>
      </c>
      <c r="F2032" s="5"/>
      <c r="G2032" s="22" t="n">
        <f aca="false">ROUND(SUM(I2032:P2032),3)</f>
        <v>51.392</v>
      </c>
      <c r="H2032" s="5" t="str">
        <f aca="false">IF(G2032&gt;=評分方法!$C$16,"優先評估",IF(G2032&gt;=評分方法!$C$17,"列入候選",IF(G2032&gt;=評分方法!$C$18,"特定情境","不建議")))</f>
        <v>不建議</v>
      </c>
      <c r="I2032" s="15" t="n">
        <f aca="false">AE2032*評分方法!$C$5</f>
        <v>10.5</v>
      </c>
      <c r="J2032" s="15" t="n">
        <f aca="false">AF2032*評分方法!$C$6</f>
        <v>0</v>
      </c>
      <c r="K2032" s="15" t="n">
        <f aca="false">AG2032*評分方法!$C$7</f>
        <v>15</v>
      </c>
      <c r="L2032" s="15" t="n">
        <f aca="false">AH2032*評分方法!$C$8</f>
        <v>15</v>
      </c>
      <c r="M2032" s="15" t="n">
        <f aca="false">AI2032*評分方法!$C$9</f>
        <v>6</v>
      </c>
      <c r="N2032" s="15" t="n">
        <f aca="false">AJ2032*評分方法!$C$10</f>
        <v>0.892</v>
      </c>
      <c r="O2032" s="15" t="n">
        <f aca="false">AK2032*評分方法!$C$11</f>
        <v>2.5</v>
      </c>
      <c r="P2032" s="15" t="n">
        <f aca="false">AL2032*評分方法!$C$12</f>
        <v>1.5</v>
      </c>
      <c r="Q2032" s="6" t="n">
        <v>149664</v>
      </c>
      <c r="R2032" s="6" t="n">
        <v>840509440</v>
      </c>
      <c r="S2032" s="11" t="s">
        <v>238</v>
      </c>
      <c r="T2032" s="11" t="s">
        <v>185</v>
      </c>
      <c r="U2032" s="5" t="s">
        <v>260</v>
      </c>
      <c r="V2032" s="11" t="s">
        <v>324</v>
      </c>
      <c r="W2032" s="5" t="s">
        <v>205</v>
      </c>
      <c r="X2032" s="5" t="s">
        <v>255</v>
      </c>
      <c r="Y2032" s="5"/>
      <c r="Z2032" s="5"/>
      <c r="AA2032" s="11" t="s">
        <v>173</v>
      </c>
      <c r="AB2032" s="5" t="s">
        <v>245</v>
      </c>
      <c r="AC2032" s="5" t="s">
        <v>262</v>
      </c>
      <c r="AD2032" s="11" t="s">
        <v>4987</v>
      </c>
      <c r="AE2032" s="23" t="n">
        <v>0.35</v>
      </c>
      <c r="AF2032" s="23" t="n">
        <v>0</v>
      </c>
      <c r="AG2032" s="23" t="n">
        <v>1</v>
      </c>
      <c r="AH2032" s="23" t="n">
        <v>1</v>
      </c>
      <c r="AI2032" s="23" t="n">
        <v>0.6</v>
      </c>
      <c r="AJ2032" s="23" t="n">
        <v>0.0892</v>
      </c>
      <c r="AK2032" s="23" t="n">
        <v>0.5</v>
      </c>
      <c r="AL2032" s="23" t="n">
        <v>0.3</v>
      </c>
      <c r="AM2032" s="16" t="n">
        <f aca="false">COUNTIFS($D$2:$D$2501,D2032,$G$2:$G$2501,"&gt;"&amp;G2032)+COUNTIFS($D$2:D2032,D2032,$G$2:G2032,G2032)</f>
        <v>268</v>
      </c>
      <c r="AN2032" s="5" t="str">
        <f aca="false">D2032&amp;"|"&amp;AM2032</f>
        <v>文件與影像辨識|268</v>
      </c>
    </row>
    <row r="2033" customFormat="false" ht="17.15" hidden="false" customHeight="false" outlineLevel="0" collapsed="false">
      <c r="A2033" s="16" t="n">
        <f aca="false">RANK(G2033,$G$2:$G$2501)+COUNTIF($G$2:G2033,G2033)-1</f>
        <v>2032</v>
      </c>
      <c r="B2033" s="11" t="s">
        <v>4988</v>
      </c>
      <c r="C2033" s="11" t="s">
        <v>402</v>
      </c>
      <c r="D2033" s="5" t="s">
        <v>58</v>
      </c>
      <c r="E2033" s="5" t="s">
        <v>59</v>
      </c>
      <c r="F2033" s="5"/>
      <c r="G2033" s="22" t="n">
        <f aca="false">ROUND(SUM(I2033:P2033),3)</f>
        <v>51.346</v>
      </c>
      <c r="H2033" s="5" t="str">
        <f aca="false">IF(G2033&gt;=評分方法!$C$16,"優先評估",IF(G2033&gt;=評分方法!$C$17,"列入候選",IF(G2033&gt;=評分方法!$C$18,"特定情境","不建議")))</f>
        <v>不建議</v>
      </c>
      <c r="I2033" s="15" t="n">
        <f aca="false">AE2033*評分方法!$C$5</f>
        <v>11.4</v>
      </c>
      <c r="J2033" s="15" t="n">
        <f aca="false">AF2033*評分方法!$C$6</f>
        <v>0</v>
      </c>
      <c r="K2033" s="15" t="n">
        <f aca="false">AG2033*評分方法!$C$7</f>
        <v>4.95</v>
      </c>
      <c r="L2033" s="15" t="n">
        <f aca="false">AH2033*評分方法!$C$8</f>
        <v>15</v>
      </c>
      <c r="M2033" s="15" t="n">
        <f aca="false">AI2033*評分方法!$C$9</f>
        <v>10</v>
      </c>
      <c r="N2033" s="15" t="n">
        <f aca="false">AJ2033*評分方法!$C$10</f>
        <v>7.496</v>
      </c>
      <c r="O2033" s="15" t="n">
        <f aca="false">AK2033*評分方法!$C$11</f>
        <v>2.5</v>
      </c>
      <c r="P2033" s="15" t="n">
        <f aca="false">AL2033*評分方法!$C$12</f>
        <v>0</v>
      </c>
      <c r="Q2033" s="6" t="n">
        <v>1151781</v>
      </c>
      <c r="R2033" s="6" t="n">
        <v>334095363</v>
      </c>
      <c r="S2033" s="11" t="s">
        <v>238</v>
      </c>
      <c r="T2033" s="11" t="s">
        <v>239</v>
      </c>
      <c r="U2033" s="5" t="s">
        <v>240</v>
      </c>
      <c r="V2033" s="11" t="s">
        <v>261</v>
      </c>
      <c r="W2033" s="5" t="s">
        <v>334</v>
      </c>
      <c r="X2033" s="5" t="s">
        <v>242</v>
      </c>
      <c r="Y2033" s="5"/>
      <c r="Z2033" s="5"/>
      <c r="AA2033" s="11" t="s">
        <v>150</v>
      </c>
      <c r="AB2033" s="5" t="s">
        <v>245</v>
      </c>
      <c r="AC2033" s="5" t="s">
        <v>3044</v>
      </c>
      <c r="AD2033" s="11" t="s">
        <v>4989</v>
      </c>
      <c r="AE2033" s="23" t="n">
        <v>0.38</v>
      </c>
      <c r="AF2033" s="23" t="n">
        <v>0</v>
      </c>
      <c r="AG2033" s="23" t="n">
        <v>0.33</v>
      </c>
      <c r="AH2033" s="23" t="n">
        <v>1</v>
      </c>
      <c r="AI2033" s="23" t="n">
        <v>1</v>
      </c>
      <c r="AJ2033" s="23" t="n">
        <v>0.7496</v>
      </c>
      <c r="AK2033" s="23" t="n">
        <v>0.5</v>
      </c>
      <c r="AL2033" s="23" t="n">
        <v>0</v>
      </c>
      <c r="AM2033" s="16" t="n">
        <f aca="false">COUNTIFS($D$2:$D$2501,D2033,$G$2:$G$2501,"&gt;"&amp;G2033)+COUNTIFS($D$2:D2033,D2033,$G$2:G2033,G2033)</f>
        <v>301</v>
      </c>
      <c r="AN2033" s="5" t="str">
        <f aca="false">D2033&amp;"|"&amp;AM2033</f>
        <v>實體擷取與去識別化|301</v>
      </c>
    </row>
    <row r="2034" customFormat="false" ht="17.15" hidden="false" customHeight="false" outlineLevel="0" collapsed="false">
      <c r="A2034" s="16" t="n">
        <f aca="false">RANK(G2034,$G$2:$G$2501)+COUNTIF($G$2:G2034,G2034)-1</f>
        <v>2033</v>
      </c>
      <c r="B2034" s="11" t="s">
        <v>4990</v>
      </c>
      <c r="C2034" s="11" t="s">
        <v>4991</v>
      </c>
      <c r="D2034" s="5" t="s">
        <v>54</v>
      </c>
      <c r="E2034" s="5" t="s">
        <v>55</v>
      </c>
      <c r="F2034" s="5"/>
      <c r="G2034" s="22" t="n">
        <f aca="false">ROUND(SUM(I2034:P2034),3)</f>
        <v>51.322</v>
      </c>
      <c r="H2034" s="5" t="str">
        <f aca="false">IF(G2034&gt;=評分方法!$C$16,"優先評估",IF(G2034&gt;=評分方法!$C$17,"列入候選",IF(G2034&gt;=評分方法!$C$18,"特定情境","不建議")))</f>
        <v>不建議</v>
      </c>
      <c r="I2034" s="15" t="n">
        <f aca="false">AE2034*評分方法!$C$5</f>
        <v>16.2</v>
      </c>
      <c r="J2034" s="15" t="n">
        <f aca="false">AF2034*評分方法!$C$6</f>
        <v>0</v>
      </c>
      <c r="K2034" s="15" t="n">
        <f aca="false">AG2034*評分方法!$C$7</f>
        <v>4.95</v>
      </c>
      <c r="L2034" s="15" t="n">
        <f aca="false">AH2034*評分方法!$C$8</f>
        <v>15</v>
      </c>
      <c r="M2034" s="15" t="n">
        <f aca="false">AI2034*評分方法!$C$9</f>
        <v>10</v>
      </c>
      <c r="N2034" s="15" t="n">
        <f aca="false">AJ2034*評分方法!$C$10</f>
        <v>2.672</v>
      </c>
      <c r="O2034" s="15" t="n">
        <f aca="false">AK2034*評分方法!$C$11</f>
        <v>2.5</v>
      </c>
      <c r="P2034" s="15" t="n">
        <f aca="false">AL2034*評分方法!$C$12</f>
        <v>0</v>
      </c>
      <c r="Q2034" s="6" t="n">
        <v>265380</v>
      </c>
      <c r="R2034" s="6" t="n">
        <v>335141888</v>
      </c>
      <c r="S2034" s="11" t="s">
        <v>238</v>
      </c>
      <c r="T2034" s="11" t="s">
        <v>239</v>
      </c>
      <c r="U2034" s="5" t="s">
        <v>240</v>
      </c>
      <c r="V2034" s="11" t="s">
        <v>241</v>
      </c>
      <c r="W2034" s="5" t="s">
        <v>334</v>
      </c>
      <c r="X2034" s="5" t="s">
        <v>242</v>
      </c>
      <c r="Y2034" s="11" t="s">
        <v>4992</v>
      </c>
      <c r="Z2034" s="11" t="s">
        <v>244</v>
      </c>
      <c r="AA2034" s="11" t="s">
        <v>152</v>
      </c>
      <c r="AB2034" s="5" t="s">
        <v>245</v>
      </c>
      <c r="AC2034" s="5" t="s">
        <v>4081</v>
      </c>
      <c r="AD2034" s="11" t="s">
        <v>4993</v>
      </c>
      <c r="AE2034" s="23" t="n">
        <v>0.54</v>
      </c>
      <c r="AF2034" s="23" t="n">
        <v>0</v>
      </c>
      <c r="AG2034" s="23" t="n">
        <v>0.33</v>
      </c>
      <c r="AH2034" s="23" t="n">
        <v>1</v>
      </c>
      <c r="AI2034" s="23" t="n">
        <v>1</v>
      </c>
      <c r="AJ2034" s="23" t="n">
        <v>0.2672</v>
      </c>
      <c r="AK2034" s="23" t="n">
        <v>0.5</v>
      </c>
      <c r="AL2034" s="23" t="n">
        <v>0</v>
      </c>
      <c r="AM2034" s="16" t="n">
        <f aca="false">COUNTIFS($D$2:$D$2501,D2034,$G$2:$G$2501,"&gt;"&amp;G2034)+COUNTIFS($D$2:D2034,D2034,$G$2:G2034,G2034)</f>
        <v>251</v>
      </c>
      <c r="AN2034" s="5" t="str">
        <f aca="false">D2034&amp;"|"&amp;AM2034</f>
        <v>檢索與情資關聯|251</v>
      </c>
    </row>
    <row r="2035" customFormat="false" ht="17.15" hidden="false" customHeight="false" outlineLevel="0" collapsed="false">
      <c r="A2035" s="16" t="n">
        <f aca="false">RANK(G2035,$G$2:$G$2501)+COUNTIF($G$2:G2035,G2035)-1</f>
        <v>2034</v>
      </c>
      <c r="B2035" s="11" t="s">
        <v>4994</v>
      </c>
      <c r="C2035" s="11" t="s">
        <v>2693</v>
      </c>
      <c r="D2035" s="5" t="s">
        <v>74</v>
      </c>
      <c r="E2035" s="5" t="s">
        <v>75</v>
      </c>
      <c r="F2035" s="5"/>
      <c r="G2035" s="22" t="n">
        <f aca="false">ROUND(SUM(I2035:P2035),3)</f>
        <v>51.3</v>
      </c>
      <c r="H2035" s="5" t="str">
        <f aca="false">IF(G2035&gt;=評分方法!$C$16,"優先評估",IF(G2035&gt;=評分方法!$C$17,"列入候選",IF(G2035&gt;=評分方法!$C$18,"特定情境","不建議")))</f>
        <v>不建議</v>
      </c>
      <c r="I2035" s="15" t="n">
        <f aca="false">AE2035*評分方法!$C$5</f>
        <v>10.5</v>
      </c>
      <c r="J2035" s="15" t="n">
        <f aca="false">AF2035*評分方法!$C$6</f>
        <v>0</v>
      </c>
      <c r="K2035" s="15" t="n">
        <f aca="false">AG2035*評分方法!$C$7</f>
        <v>15</v>
      </c>
      <c r="L2035" s="15" t="n">
        <f aca="false">AH2035*評分方法!$C$8</f>
        <v>15</v>
      </c>
      <c r="M2035" s="15" t="n">
        <f aca="false">AI2035*評分方法!$C$9</f>
        <v>6</v>
      </c>
      <c r="N2035" s="15" t="n">
        <f aca="false">AJ2035*評分方法!$C$10</f>
        <v>0.8</v>
      </c>
      <c r="O2035" s="15" t="n">
        <f aca="false">AK2035*評分方法!$C$11</f>
        <v>2.5</v>
      </c>
      <c r="P2035" s="15" t="n">
        <f aca="false">AL2035*評分方法!$C$12</f>
        <v>1.5</v>
      </c>
      <c r="Q2035" s="6" t="n">
        <v>146370</v>
      </c>
      <c r="R2035" s="6" t="n">
        <v>49454688</v>
      </c>
      <c r="S2035" s="11" t="s">
        <v>238</v>
      </c>
      <c r="T2035" s="11" t="s">
        <v>185</v>
      </c>
      <c r="U2035" s="5" t="s">
        <v>260</v>
      </c>
      <c r="V2035" s="11" t="s">
        <v>324</v>
      </c>
      <c r="W2035" s="5" t="s">
        <v>205</v>
      </c>
      <c r="X2035" s="5" t="s">
        <v>255</v>
      </c>
      <c r="Y2035" s="5"/>
      <c r="Z2035" s="5"/>
      <c r="AA2035" s="11" t="s">
        <v>173</v>
      </c>
      <c r="AB2035" s="5" t="s">
        <v>245</v>
      </c>
      <c r="AC2035" s="5" t="s">
        <v>262</v>
      </c>
      <c r="AD2035" s="11" t="s">
        <v>4995</v>
      </c>
      <c r="AE2035" s="23" t="n">
        <v>0.35</v>
      </c>
      <c r="AF2035" s="23" t="n">
        <v>0</v>
      </c>
      <c r="AG2035" s="23" t="n">
        <v>1</v>
      </c>
      <c r="AH2035" s="23" t="n">
        <v>1</v>
      </c>
      <c r="AI2035" s="23" t="n">
        <v>0.6</v>
      </c>
      <c r="AJ2035" s="23" t="n">
        <v>0.08</v>
      </c>
      <c r="AK2035" s="23" t="n">
        <v>0.5</v>
      </c>
      <c r="AL2035" s="23" t="n">
        <v>0.3</v>
      </c>
      <c r="AM2035" s="16" t="n">
        <f aca="false">COUNTIFS($D$2:$D$2501,D2035,$G$2:$G$2501,"&gt;"&amp;G2035)+COUNTIFS($D$2:D2035,D2035,$G$2:G2035,G2035)</f>
        <v>269</v>
      </c>
      <c r="AN2035" s="5" t="str">
        <f aca="false">D2035&amp;"|"&amp;AM2035</f>
        <v>文件與影像辨識|269</v>
      </c>
    </row>
    <row r="2036" customFormat="false" ht="17.15" hidden="false" customHeight="false" outlineLevel="0" collapsed="false">
      <c r="A2036" s="16" t="n">
        <f aca="false">RANK(G2036,$G$2:$G$2501)+COUNTIF($G$2:G2036,G2036)-1</f>
        <v>2035</v>
      </c>
      <c r="B2036" s="11" t="s">
        <v>4996</v>
      </c>
      <c r="C2036" s="11" t="s">
        <v>4682</v>
      </c>
      <c r="D2036" s="5" t="s">
        <v>72</v>
      </c>
      <c r="E2036" s="5" t="s">
        <v>73</v>
      </c>
      <c r="F2036" s="5"/>
      <c r="G2036" s="22" t="n">
        <f aca="false">ROUND(SUM(I2036:P2036),3)</f>
        <v>51.286</v>
      </c>
      <c r="H2036" s="5" t="str">
        <f aca="false">IF(G2036&gt;=評分方法!$C$16,"優先評估",IF(G2036&gt;=評分方法!$C$17,"列入候選",IF(G2036&gt;=評分方法!$C$18,"特定情境","不建議")))</f>
        <v>不建議</v>
      </c>
      <c r="I2036" s="15" t="n">
        <f aca="false">AE2036*評分方法!$C$5</f>
        <v>15</v>
      </c>
      <c r="J2036" s="15" t="n">
        <f aca="false">AF2036*評分方法!$C$6</f>
        <v>0</v>
      </c>
      <c r="K2036" s="15" t="n">
        <f aca="false">AG2036*評分方法!$C$7</f>
        <v>4.95</v>
      </c>
      <c r="L2036" s="15" t="n">
        <f aca="false">AH2036*評分方法!$C$8</f>
        <v>15</v>
      </c>
      <c r="M2036" s="15" t="n">
        <f aca="false">AI2036*評分方法!$C$9</f>
        <v>10</v>
      </c>
      <c r="N2036" s="15" t="n">
        <f aca="false">AJ2036*評分方法!$C$10</f>
        <v>3.836</v>
      </c>
      <c r="O2036" s="15" t="n">
        <f aca="false">AK2036*評分方法!$C$11</f>
        <v>2.5</v>
      </c>
      <c r="P2036" s="15" t="n">
        <f aca="false">AL2036*評分方法!$C$12</f>
        <v>0</v>
      </c>
      <c r="Q2036" s="6" t="n">
        <v>395289</v>
      </c>
      <c r="R2036" s="6" t="n">
        <v>132505600</v>
      </c>
      <c r="S2036" s="11" t="s">
        <v>238</v>
      </c>
      <c r="T2036" s="11" t="s">
        <v>278</v>
      </c>
      <c r="U2036" s="5" t="s">
        <v>240</v>
      </c>
      <c r="V2036" s="11" t="s">
        <v>261</v>
      </c>
      <c r="W2036" s="5" t="s">
        <v>334</v>
      </c>
      <c r="X2036" s="5" t="s">
        <v>242</v>
      </c>
      <c r="Y2036" s="5"/>
      <c r="Z2036" s="5"/>
      <c r="AA2036" s="11" t="s">
        <v>162</v>
      </c>
      <c r="AB2036" s="5" t="s">
        <v>245</v>
      </c>
      <c r="AC2036" s="5"/>
      <c r="AD2036" s="11" t="s">
        <v>4997</v>
      </c>
      <c r="AE2036" s="23" t="n">
        <v>0.5</v>
      </c>
      <c r="AF2036" s="23" t="n">
        <v>0</v>
      </c>
      <c r="AG2036" s="23" t="n">
        <v>0.33</v>
      </c>
      <c r="AH2036" s="23" t="n">
        <v>1</v>
      </c>
      <c r="AI2036" s="23" t="n">
        <v>1</v>
      </c>
      <c r="AJ2036" s="23" t="n">
        <v>0.3836</v>
      </c>
      <c r="AK2036" s="23" t="n">
        <v>0.5</v>
      </c>
      <c r="AL2036" s="23" t="n">
        <v>0</v>
      </c>
      <c r="AM2036" s="16" t="n">
        <f aca="false">COUNTIFS($D$2:$D$2501,D2036,$G$2:$G$2501,"&gt;"&amp;G2036)+COUNTIFS($D$2:D2036,D2036,$G$2:G2036,G2036)</f>
        <v>36</v>
      </c>
      <c r="AN2036" s="5" t="str">
        <f aca="false">D2036&amp;"|"&amp;AM2036</f>
        <v>微調基底模型|36</v>
      </c>
    </row>
    <row r="2037" customFormat="false" ht="17.15" hidden="false" customHeight="false" outlineLevel="0" collapsed="false">
      <c r="A2037" s="16" t="n">
        <f aca="false">RANK(G2037,$G$2:$G$2501)+COUNTIF($G$2:G2037,G2037)-1</f>
        <v>2036</v>
      </c>
      <c r="B2037" s="11" t="s">
        <v>4998</v>
      </c>
      <c r="C2037" s="11" t="s">
        <v>4999</v>
      </c>
      <c r="D2037" s="5" t="s">
        <v>78</v>
      </c>
      <c r="E2037" s="5" t="s">
        <v>79</v>
      </c>
      <c r="F2037" s="5"/>
      <c r="G2037" s="22" t="n">
        <f aca="false">ROUND(SUM(I2037:P2037),3)</f>
        <v>51.282</v>
      </c>
      <c r="H2037" s="5" t="str">
        <f aca="false">IF(G2037&gt;=評分方法!$C$16,"優先評估",IF(G2037&gt;=評分方法!$C$17,"列入候選",IF(G2037&gt;=評分方法!$C$18,"特定情境","不建議")))</f>
        <v>不建議</v>
      </c>
      <c r="I2037" s="15" t="n">
        <f aca="false">AE2037*評分方法!$C$5</f>
        <v>9</v>
      </c>
      <c r="J2037" s="15" t="n">
        <f aca="false">AF2037*評分方法!$C$6</f>
        <v>0</v>
      </c>
      <c r="K2037" s="15" t="n">
        <f aca="false">AG2037*評分方法!$C$7</f>
        <v>4.95</v>
      </c>
      <c r="L2037" s="15" t="n">
        <f aca="false">AH2037*評分方法!$C$8</f>
        <v>15</v>
      </c>
      <c r="M2037" s="15" t="n">
        <f aca="false">AI2037*評分方法!$C$9</f>
        <v>10</v>
      </c>
      <c r="N2037" s="15" t="n">
        <f aca="false">AJ2037*評分方法!$C$10</f>
        <v>3.332</v>
      </c>
      <c r="O2037" s="15" t="n">
        <f aca="false">AK2037*評分方法!$C$11</f>
        <v>4</v>
      </c>
      <c r="P2037" s="15" t="n">
        <f aca="false">AL2037*評分方法!$C$12</f>
        <v>5</v>
      </c>
      <c r="Q2037" s="6" t="n">
        <v>331903</v>
      </c>
      <c r="R2037" s="6" t="n">
        <v>606103776</v>
      </c>
      <c r="S2037" s="11" t="s">
        <v>238</v>
      </c>
      <c r="T2037" s="11" t="s">
        <v>1636</v>
      </c>
      <c r="U2037" s="5" t="s">
        <v>240</v>
      </c>
      <c r="V2037" s="11" t="s">
        <v>261</v>
      </c>
      <c r="W2037" s="5" t="s">
        <v>334</v>
      </c>
      <c r="X2037" s="5" t="s">
        <v>284</v>
      </c>
      <c r="Y2037" s="11" t="s">
        <v>2166</v>
      </c>
      <c r="Z2037" s="11" t="s">
        <v>270</v>
      </c>
      <c r="AA2037" s="11" t="s">
        <v>175</v>
      </c>
      <c r="AB2037" s="5" t="s">
        <v>245</v>
      </c>
      <c r="AC2037" s="5"/>
      <c r="AD2037" s="11" t="s">
        <v>5000</v>
      </c>
      <c r="AE2037" s="23" t="n">
        <v>0.3</v>
      </c>
      <c r="AF2037" s="23" t="n">
        <v>0</v>
      </c>
      <c r="AG2037" s="23" t="n">
        <v>0.33</v>
      </c>
      <c r="AH2037" s="23" t="n">
        <v>1</v>
      </c>
      <c r="AI2037" s="23" t="n">
        <v>1</v>
      </c>
      <c r="AJ2037" s="23" t="n">
        <v>0.3332</v>
      </c>
      <c r="AK2037" s="23" t="n">
        <v>0.8</v>
      </c>
      <c r="AL2037" s="23" t="n">
        <v>1</v>
      </c>
      <c r="AM2037" s="16" t="n">
        <f aca="false">COUNTIFS($D$2:$D$2501,D2037,$G$2:$G$2501,"&gt;"&amp;G2037)+COUNTIFS($D$2:D2037,D2037,$G$2:G2037,G2037)</f>
        <v>63</v>
      </c>
      <c r="AN2037" s="5" t="str">
        <f aca="false">D2037&amp;"|"&amp;AM2037</f>
        <v>語音分析|63</v>
      </c>
    </row>
    <row r="2038" customFormat="false" ht="17.15" hidden="false" customHeight="false" outlineLevel="0" collapsed="false">
      <c r="A2038" s="16" t="n">
        <f aca="false">RANK(G2038,$G$2:$G$2501)+COUNTIF($G$2:G2038,G2038)-1</f>
        <v>2037</v>
      </c>
      <c r="B2038" s="11" t="s">
        <v>5001</v>
      </c>
      <c r="C2038" s="11" t="s">
        <v>3683</v>
      </c>
      <c r="D2038" s="5" t="s">
        <v>56</v>
      </c>
      <c r="E2038" s="5" t="s">
        <v>57</v>
      </c>
      <c r="F2038" s="5"/>
      <c r="G2038" s="22" t="n">
        <f aca="false">ROUND(SUM(I2038:P2038),3)</f>
        <v>51.256</v>
      </c>
      <c r="H2038" s="5" t="str">
        <f aca="false">IF(G2038&gt;=評分方法!$C$16,"優先評估",IF(G2038&gt;=評分方法!$C$17,"列入候選",IF(G2038&gt;=評分方法!$C$18,"特定情境","不建議")))</f>
        <v>不建議</v>
      </c>
      <c r="I2038" s="15" t="n">
        <f aca="false">AE2038*評分方法!$C$5</f>
        <v>25.5</v>
      </c>
      <c r="J2038" s="15" t="n">
        <f aca="false">AF2038*評分方法!$C$6</f>
        <v>0</v>
      </c>
      <c r="K2038" s="15" t="n">
        <f aca="false">AG2038*評分方法!$C$7</f>
        <v>4.95</v>
      </c>
      <c r="L2038" s="15" t="n">
        <f aca="false">AH2038*評分方法!$C$8</f>
        <v>9</v>
      </c>
      <c r="M2038" s="15" t="n">
        <f aca="false">AI2038*評分方法!$C$9</f>
        <v>6</v>
      </c>
      <c r="N2038" s="15" t="n">
        <f aca="false">AJ2038*評分方法!$C$10</f>
        <v>0.306</v>
      </c>
      <c r="O2038" s="15" t="n">
        <f aca="false">AK2038*評分方法!$C$11</f>
        <v>2.5</v>
      </c>
      <c r="P2038" s="15" t="n">
        <f aca="false">AL2038*評分方法!$C$12</f>
        <v>3</v>
      </c>
      <c r="Q2038" s="6" t="n">
        <v>124538</v>
      </c>
      <c r="R2038" s="6" t="n">
        <v>12271375632</v>
      </c>
      <c r="S2038" s="11" t="s">
        <v>389</v>
      </c>
      <c r="T2038" s="11" t="s">
        <v>658</v>
      </c>
      <c r="U2038" s="5" t="s">
        <v>260</v>
      </c>
      <c r="V2038" s="11" t="s">
        <v>261</v>
      </c>
      <c r="W2038" s="5" t="s">
        <v>334</v>
      </c>
      <c r="X2038" s="5" t="s">
        <v>371</v>
      </c>
      <c r="Y2038" s="11" t="s">
        <v>1303</v>
      </c>
      <c r="Z2038" s="11" t="s">
        <v>244</v>
      </c>
      <c r="AA2038" s="11" t="s">
        <v>156</v>
      </c>
      <c r="AB2038" s="5" t="s">
        <v>245</v>
      </c>
      <c r="AC2038" s="5" t="s">
        <v>464</v>
      </c>
      <c r="AD2038" s="11" t="s">
        <v>5002</v>
      </c>
      <c r="AE2038" s="23" t="n">
        <v>0.85</v>
      </c>
      <c r="AF2038" s="23" t="n">
        <v>0</v>
      </c>
      <c r="AG2038" s="23" t="n">
        <v>0.33</v>
      </c>
      <c r="AH2038" s="23" t="n">
        <v>0.6</v>
      </c>
      <c r="AI2038" s="23" t="n">
        <v>0.6</v>
      </c>
      <c r="AJ2038" s="23" t="n">
        <v>0.0306</v>
      </c>
      <c r="AK2038" s="23" t="n">
        <v>0.5</v>
      </c>
      <c r="AL2038" s="23" t="n">
        <v>0.6</v>
      </c>
      <c r="AM2038" s="16" t="n">
        <f aca="false">COUNTIFS($D$2:$D$2501,D2038,$G$2:$G$2501,"&gt;"&amp;G2038)+COUNTIFS($D$2:D2038,D2038,$G$2:G2038,G2038)</f>
        <v>921</v>
      </c>
      <c r="AN2038" s="5" t="str">
        <f aca="false">D2038&amp;"|"&amp;AM2038</f>
        <v>分析與報告生成|921</v>
      </c>
    </row>
    <row r="2039" customFormat="false" ht="17.15" hidden="false" customHeight="false" outlineLevel="0" collapsed="false">
      <c r="A2039" s="16" t="n">
        <f aca="false">RANK(G2039,$G$2:$G$2501)+COUNTIF($G$2:G2039,G2039)-1</f>
        <v>2038</v>
      </c>
      <c r="B2039" s="11" t="s">
        <v>5003</v>
      </c>
      <c r="C2039" s="11" t="s">
        <v>3073</v>
      </c>
      <c r="D2039" s="5" t="s">
        <v>58</v>
      </c>
      <c r="E2039" s="5" t="s">
        <v>59</v>
      </c>
      <c r="F2039" s="5"/>
      <c r="G2039" s="22" t="n">
        <f aca="false">ROUND(SUM(I2039:P2039),3)</f>
        <v>51.254</v>
      </c>
      <c r="H2039" s="5" t="str">
        <f aca="false">IF(G2039&gt;=評分方法!$C$16,"優先評估",IF(G2039&gt;=評分方法!$C$17,"列入候選",IF(G2039&gt;=評分方法!$C$18,"特定情境","不建議")))</f>
        <v>不建議</v>
      </c>
      <c r="I2039" s="15" t="n">
        <f aca="false">AE2039*評分方法!$C$5</f>
        <v>17.1</v>
      </c>
      <c r="J2039" s="15" t="n">
        <f aca="false">AF2039*評分方法!$C$6</f>
        <v>0</v>
      </c>
      <c r="K2039" s="15" t="n">
        <f aca="false">AG2039*評分方法!$C$7</f>
        <v>4.95</v>
      </c>
      <c r="L2039" s="15" t="n">
        <f aca="false">AH2039*評分方法!$C$8</f>
        <v>15</v>
      </c>
      <c r="M2039" s="15" t="n">
        <f aca="false">AI2039*評分方法!$C$9</f>
        <v>10</v>
      </c>
      <c r="N2039" s="15" t="n">
        <f aca="false">AJ2039*評分方法!$C$10</f>
        <v>3.204</v>
      </c>
      <c r="O2039" s="15" t="n">
        <f aca="false">AK2039*評分方法!$C$11</f>
        <v>1</v>
      </c>
      <c r="P2039" s="15" t="n">
        <f aca="false">AL2039*評分方法!$C$12</f>
        <v>0</v>
      </c>
      <c r="Q2039" s="6" t="n">
        <v>315820</v>
      </c>
      <c r="R2039" s="6" t="n">
        <v>110036488</v>
      </c>
      <c r="S2039" s="11" t="s">
        <v>238</v>
      </c>
      <c r="T2039" s="11" t="s">
        <v>278</v>
      </c>
      <c r="U2039" s="5" t="s">
        <v>240</v>
      </c>
      <c r="V2039" s="11" t="s">
        <v>288</v>
      </c>
      <c r="W2039" s="5" t="s">
        <v>334</v>
      </c>
      <c r="X2039" s="5" t="s">
        <v>242</v>
      </c>
      <c r="Y2039" s="5"/>
      <c r="Z2039" s="5"/>
      <c r="AA2039" s="11" t="s">
        <v>150</v>
      </c>
      <c r="AB2039" s="5" t="s">
        <v>245</v>
      </c>
      <c r="AC2039" s="5" t="s">
        <v>1463</v>
      </c>
      <c r="AD2039" s="11" t="s">
        <v>5004</v>
      </c>
      <c r="AE2039" s="23" t="n">
        <v>0.57</v>
      </c>
      <c r="AF2039" s="23" t="n">
        <v>0</v>
      </c>
      <c r="AG2039" s="23" t="n">
        <v>0.33</v>
      </c>
      <c r="AH2039" s="23" t="n">
        <v>1</v>
      </c>
      <c r="AI2039" s="23" t="n">
        <v>1</v>
      </c>
      <c r="AJ2039" s="23" t="n">
        <v>0.3204</v>
      </c>
      <c r="AK2039" s="23" t="n">
        <v>0.2</v>
      </c>
      <c r="AL2039" s="23" t="n">
        <v>0</v>
      </c>
      <c r="AM2039" s="16" t="n">
        <f aca="false">COUNTIFS($D$2:$D$2501,D2039,$G$2:$G$2501,"&gt;"&amp;G2039)+COUNTIFS($D$2:D2039,D2039,$G$2:G2039,G2039)</f>
        <v>302</v>
      </c>
      <c r="AN2039" s="5" t="str">
        <f aca="false">D2039&amp;"|"&amp;AM2039</f>
        <v>實體擷取與去識別化|302</v>
      </c>
    </row>
    <row r="2040" customFormat="false" ht="17.15" hidden="false" customHeight="false" outlineLevel="0" collapsed="false">
      <c r="A2040" s="16" t="n">
        <f aca="false">RANK(G2040,$G$2:$G$2501)+COUNTIF($G$2:G2040,G2040)-1</f>
        <v>2039</v>
      </c>
      <c r="B2040" s="11" t="s">
        <v>5005</v>
      </c>
      <c r="C2040" s="11" t="s">
        <v>3829</v>
      </c>
      <c r="D2040" s="5" t="s">
        <v>56</v>
      </c>
      <c r="E2040" s="5" t="s">
        <v>57</v>
      </c>
      <c r="F2040" s="5"/>
      <c r="G2040" s="22" t="n">
        <f aca="false">ROUND(SUM(I2040:P2040),3)</f>
        <v>51.128</v>
      </c>
      <c r="H2040" s="5" t="str">
        <f aca="false">IF(G2040&gt;=評分方法!$C$16,"優先評估",IF(G2040&gt;=評分方法!$C$17,"列入候選",IF(G2040&gt;=評分方法!$C$18,"特定情境","不建議")))</f>
        <v>不建議</v>
      </c>
      <c r="I2040" s="15" t="n">
        <f aca="false">AE2040*評分方法!$C$5</f>
        <v>25.5</v>
      </c>
      <c r="J2040" s="15" t="n">
        <f aca="false">AF2040*評分方法!$C$6</f>
        <v>0</v>
      </c>
      <c r="K2040" s="15" t="n">
        <f aca="false">AG2040*評分方法!$C$7</f>
        <v>4.95</v>
      </c>
      <c r="L2040" s="15" t="n">
        <f aca="false">AH2040*評分方法!$C$8</f>
        <v>13.05</v>
      </c>
      <c r="M2040" s="15" t="n">
        <f aca="false">AI2040*評分方法!$C$9</f>
        <v>2</v>
      </c>
      <c r="N2040" s="15" t="n">
        <f aca="false">AJ2040*評分方法!$C$10</f>
        <v>1.628</v>
      </c>
      <c r="O2040" s="15" t="n">
        <f aca="false">AK2040*評分方法!$C$11</f>
        <v>1</v>
      </c>
      <c r="P2040" s="15" t="n">
        <f aca="false">AL2040*評分方法!$C$12</f>
        <v>3</v>
      </c>
      <c r="Q2040" s="6" t="n">
        <v>186503</v>
      </c>
      <c r="R2040" s="6" t="n">
        <v>7062906880</v>
      </c>
      <c r="S2040" s="11" t="s">
        <v>254</v>
      </c>
      <c r="T2040" s="5"/>
      <c r="U2040" s="5" t="s">
        <v>375</v>
      </c>
      <c r="V2040" s="11" t="s">
        <v>261</v>
      </c>
      <c r="W2040" s="5" t="s">
        <v>334</v>
      </c>
      <c r="X2040" s="5" t="s">
        <v>371</v>
      </c>
      <c r="Y2040" s="5"/>
      <c r="Z2040" s="5"/>
      <c r="AA2040" s="11" t="s">
        <v>156</v>
      </c>
      <c r="AB2040" s="5" t="s">
        <v>245</v>
      </c>
      <c r="AC2040" s="5" t="s">
        <v>262</v>
      </c>
      <c r="AD2040" s="11" t="s">
        <v>5006</v>
      </c>
      <c r="AE2040" s="23" t="n">
        <v>0.85</v>
      </c>
      <c r="AF2040" s="23" t="n">
        <v>0</v>
      </c>
      <c r="AG2040" s="23" t="n">
        <v>0.33</v>
      </c>
      <c r="AH2040" s="23" t="n">
        <v>0.87</v>
      </c>
      <c r="AI2040" s="23" t="n">
        <v>0.2</v>
      </c>
      <c r="AJ2040" s="23" t="n">
        <v>0.1628</v>
      </c>
      <c r="AK2040" s="23" t="n">
        <v>0.2</v>
      </c>
      <c r="AL2040" s="23" t="n">
        <v>0.6</v>
      </c>
      <c r="AM2040" s="16" t="n">
        <f aca="false">COUNTIFS($D$2:$D$2501,D2040,$G$2:$G$2501,"&gt;"&amp;G2040)+COUNTIFS($D$2:D2040,D2040,$G$2:G2040,G2040)</f>
        <v>922</v>
      </c>
      <c r="AN2040" s="5" t="str">
        <f aca="false">D2040&amp;"|"&amp;AM2040</f>
        <v>分析與報告生成|922</v>
      </c>
    </row>
    <row r="2041" customFormat="false" ht="17.15" hidden="false" customHeight="false" outlineLevel="0" collapsed="false">
      <c r="A2041" s="16" t="n">
        <f aca="false">RANK(G2041,$G$2:$G$2501)+COUNTIF($G$2:G2041,G2041)-1</f>
        <v>2040</v>
      </c>
      <c r="B2041" s="11" t="s">
        <v>5007</v>
      </c>
      <c r="C2041" s="11" t="s">
        <v>402</v>
      </c>
      <c r="D2041" s="5" t="s">
        <v>58</v>
      </c>
      <c r="E2041" s="5" t="s">
        <v>59</v>
      </c>
      <c r="F2041" s="5"/>
      <c r="G2041" s="22" t="n">
        <f aca="false">ROUND(SUM(I2041:P2041),3)</f>
        <v>51.074</v>
      </c>
      <c r="H2041" s="5" t="str">
        <f aca="false">IF(G2041&gt;=評分方法!$C$16,"優先評估",IF(G2041&gt;=評分方法!$C$17,"列入候選",IF(G2041&gt;=評分方法!$C$18,"特定情境","不建議")))</f>
        <v>不建議</v>
      </c>
      <c r="I2041" s="15" t="n">
        <f aca="false">AE2041*評分方法!$C$5</f>
        <v>11.4</v>
      </c>
      <c r="J2041" s="15" t="n">
        <f aca="false">AF2041*評分方法!$C$6</f>
        <v>0</v>
      </c>
      <c r="K2041" s="15" t="n">
        <f aca="false">AG2041*評分方法!$C$7</f>
        <v>4.95</v>
      </c>
      <c r="L2041" s="15" t="n">
        <f aca="false">AH2041*評分方法!$C$8</f>
        <v>15</v>
      </c>
      <c r="M2041" s="15" t="n">
        <f aca="false">AI2041*評分方法!$C$9</f>
        <v>10</v>
      </c>
      <c r="N2041" s="15" t="n">
        <f aca="false">AJ2041*評分方法!$C$10</f>
        <v>7.224</v>
      </c>
      <c r="O2041" s="15" t="n">
        <f aca="false">AK2041*評分方法!$C$11</f>
        <v>2.5</v>
      </c>
      <c r="P2041" s="15" t="n">
        <f aca="false">AL2041*評分方法!$C$12</f>
        <v>0</v>
      </c>
      <c r="Q2041" s="6" t="n">
        <v>1006864</v>
      </c>
      <c r="R2041" s="6" t="n">
        <v>108893955</v>
      </c>
      <c r="S2041" s="11" t="s">
        <v>238</v>
      </c>
      <c r="T2041" s="11" t="s">
        <v>239</v>
      </c>
      <c r="U2041" s="5" t="s">
        <v>240</v>
      </c>
      <c r="V2041" s="11" t="s">
        <v>261</v>
      </c>
      <c r="W2041" s="5" t="s">
        <v>334</v>
      </c>
      <c r="X2041" s="5" t="s">
        <v>242</v>
      </c>
      <c r="Y2041" s="5"/>
      <c r="Z2041" s="5"/>
      <c r="AA2041" s="11" t="s">
        <v>150</v>
      </c>
      <c r="AB2041" s="5" t="s">
        <v>245</v>
      </c>
      <c r="AC2041" s="5" t="s">
        <v>3044</v>
      </c>
      <c r="AD2041" s="11" t="s">
        <v>5008</v>
      </c>
      <c r="AE2041" s="23" t="n">
        <v>0.38</v>
      </c>
      <c r="AF2041" s="23" t="n">
        <v>0</v>
      </c>
      <c r="AG2041" s="23" t="n">
        <v>0.33</v>
      </c>
      <c r="AH2041" s="23" t="n">
        <v>1</v>
      </c>
      <c r="AI2041" s="23" t="n">
        <v>1</v>
      </c>
      <c r="AJ2041" s="23" t="n">
        <v>0.7224</v>
      </c>
      <c r="AK2041" s="23" t="n">
        <v>0.5</v>
      </c>
      <c r="AL2041" s="23" t="n">
        <v>0</v>
      </c>
      <c r="AM2041" s="16" t="n">
        <f aca="false">COUNTIFS($D$2:$D$2501,D2041,$G$2:$G$2501,"&gt;"&amp;G2041)+COUNTIFS($D$2:D2041,D2041,$G$2:G2041,G2041)</f>
        <v>303</v>
      </c>
      <c r="AN2041" s="5" t="str">
        <f aca="false">D2041&amp;"|"&amp;AM2041</f>
        <v>實體擷取與去識別化|303</v>
      </c>
    </row>
    <row r="2042" customFormat="false" ht="17.15" hidden="false" customHeight="false" outlineLevel="0" collapsed="false">
      <c r="A2042" s="16" t="n">
        <f aca="false">RANK(G2042,$G$2:$G$2501)+COUNTIF($G$2:G2042,G2042)-1</f>
        <v>2041</v>
      </c>
      <c r="B2042" s="11" t="s">
        <v>5009</v>
      </c>
      <c r="C2042" s="11" t="s">
        <v>4314</v>
      </c>
      <c r="D2042" s="5" t="s">
        <v>56</v>
      </c>
      <c r="E2042" s="5" t="s">
        <v>57</v>
      </c>
      <c r="F2042" s="5"/>
      <c r="G2042" s="22" t="n">
        <f aca="false">ROUND(SUM(I2042:P2042),3)</f>
        <v>51.066</v>
      </c>
      <c r="H2042" s="5" t="str">
        <f aca="false">IF(G2042&gt;=評分方法!$C$16,"優先評估",IF(G2042&gt;=評分方法!$C$17,"列入候選",IF(G2042&gt;=評分方法!$C$18,"特定情境","不建議")))</f>
        <v>不建議</v>
      </c>
      <c r="I2042" s="15" t="n">
        <f aca="false">AE2042*評分方法!$C$5</f>
        <v>25.5</v>
      </c>
      <c r="J2042" s="15" t="n">
        <f aca="false">AF2042*評分方法!$C$6</f>
        <v>0</v>
      </c>
      <c r="K2042" s="15" t="n">
        <f aca="false">AG2042*評分方法!$C$7</f>
        <v>4.95</v>
      </c>
      <c r="L2042" s="15" t="n">
        <f aca="false">AH2042*評分方法!$C$8</f>
        <v>9</v>
      </c>
      <c r="M2042" s="15" t="n">
        <f aca="false">AI2042*評分方法!$C$9</f>
        <v>2</v>
      </c>
      <c r="N2042" s="15" t="n">
        <f aca="false">AJ2042*評分方法!$C$10</f>
        <v>2.616</v>
      </c>
      <c r="O2042" s="15" t="n">
        <f aca="false">AK2042*評分方法!$C$11</f>
        <v>4</v>
      </c>
      <c r="P2042" s="15" t="n">
        <f aca="false">AL2042*評分方法!$C$12</f>
        <v>3</v>
      </c>
      <c r="Q2042" s="6" t="n">
        <v>263010</v>
      </c>
      <c r="R2042" s="6" t="n">
        <v>23572403200</v>
      </c>
      <c r="S2042" s="11" t="s">
        <v>389</v>
      </c>
      <c r="T2042" s="5"/>
      <c r="U2042" s="5" t="s">
        <v>375</v>
      </c>
      <c r="V2042" s="11" t="s">
        <v>333</v>
      </c>
      <c r="W2042" s="5" t="s">
        <v>334</v>
      </c>
      <c r="X2042" s="5" t="s">
        <v>371</v>
      </c>
      <c r="Y2042" s="11" t="s">
        <v>612</v>
      </c>
      <c r="Z2042" s="11" t="s">
        <v>244</v>
      </c>
      <c r="AA2042" s="11" t="s">
        <v>155</v>
      </c>
      <c r="AB2042" s="5" t="s">
        <v>961</v>
      </c>
      <c r="AC2042" s="5" t="s">
        <v>4673</v>
      </c>
      <c r="AD2042" s="11" t="s">
        <v>5010</v>
      </c>
      <c r="AE2042" s="23" t="n">
        <v>0.85</v>
      </c>
      <c r="AF2042" s="23" t="n">
        <v>0</v>
      </c>
      <c r="AG2042" s="23" t="n">
        <v>0.33</v>
      </c>
      <c r="AH2042" s="23" t="n">
        <v>0.6</v>
      </c>
      <c r="AI2042" s="23" t="n">
        <v>0.2</v>
      </c>
      <c r="AJ2042" s="23" t="n">
        <v>0.2616</v>
      </c>
      <c r="AK2042" s="23" t="n">
        <v>0.8</v>
      </c>
      <c r="AL2042" s="23" t="n">
        <v>0.6</v>
      </c>
      <c r="AM2042" s="16" t="n">
        <f aca="false">COUNTIFS($D$2:$D$2501,D2042,$G$2:$G$2501,"&gt;"&amp;G2042)+COUNTIFS($D$2:D2042,D2042,$G$2:G2042,G2042)</f>
        <v>923</v>
      </c>
      <c r="AN2042" s="5" t="str">
        <f aca="false">D2042&amp;"|"&amp;AM2042</f>
        <v>分析與報告生成|923</v>
      </c>
    </row>
    <row r="2043" customFormat="false" ht="17.15" hidden="false" customHeight="false" outlineLevel="0" collapsed="false">
      <c r="A2043" s="16" t="n">
        <f aca="false">RANK(G2043,$G$2:$G$2501)+COUNTIF($G$2:G2043,G2043)-1</f>
        <v>2042</v>
      </c>
      <c r="B2043" s="11" t="s">
        <v>5011</v>
      </c>
      <c r="C2043" s="11" t="s">
        <v>3769</v>
      </c>
      <c r="D2043" s="5" t="s">
        <v>54</v>
      </c>
      <c r="E2043" s="5" t="s">
        <v>55</v>
      </c>
      <c r="F2043" s="5"/>
      <c r="G2043" s="22" t="n">
        <f aca="false">ROUND(SUM(I2043:P2043),3)</f>
        <v>51.03</v>
      </c>
      <c r="H2043" s="5" t="str">
        <f aca="false">IF(G2043&gt;=評分方法!$C$16,"優先評估",IF(G2043&gt;=評分方法!$C$17,"列入候選",IF(G2043&gt;=評分方法!$C$18,"特定情境","不建議")))</f>
        <v>不建議</v>
      </c>
      <c r="I2043" s="15" t="n">
        <f aca="false">AE2043*評分方法!$C$5</f>
        <v>16.2</v>
      </c>
      <c r="J2043" s="15" t="n">
        <f aca="false">AF2043*評分方法!$C$6</f>
        <v>0</v>
      </c>
      <c r="K2043" s="15" t="n">
        <f aca="false">AG2043*評分方法!$C$7</f>
        <v>4.95</v>
      </c>
      <c r="L2043" s="15" t="n">
        <f aca="false">AH2043*評分方法!$C$8</f>
        <v>15</v>
      </c>
      <c r="M2043" s="15" t="n">
        <f aca="false">AI2043*評分方法!$C$9</f>
        <v>5</v>
      </c>
      <c r="N2043" s="15" t="n">
        <f aca="false">AJ2043*評分方法!$C$10</f>
        <v>4.88</v>
      </c>
      <c r="O2043" s="15" t="n">
        <f aca="false">AK2043*評分方法!$C$11</f>
        <v>5</v>
      </c>
      <c r="P2043" s="15" t="n">
        <f aca="false">AL2043*評分方法!$C$12</f>
        <v>0</v>
      </c>
      <c r="Q2043" s="6" t="n">
        <v>528594</v>
      </c>
      <c r="R2043" s="6" t="n">
        <v>124443394</v>
      </c>
      <c r="S2043" s="11" t="s">
        <v>238</v>
      </c>
      <c r="T2043" s="11" t="s">
        <v>5012</v>
      </c>
      <c r="U2043" s="11" t="s">
        <v>3992</v>
      </c>
      <c r="V2043" s="11" t="s">
        <v>324</v>
      </c>
      <c r="W2043" s="5" t="s">
        <v>334</v>
      </c>
      <c r="X2043" s="5" t="s">
        <v>242</v>
      </c>
      <c r="Y2043" s="5"/>
      <c r="Z2043" s="5"/>
      <c r="AA2043" s="11" t="s">
        <v>152</v>
      </c>
      <c r="AB2043" s="5" t="s">
        <v>245</v>
      </c>
      <c r="AC2043" s="5" t="s">
        <v>1463</v>
      </c>
      <c r="AD2043" s="11" t="s">
        <v>5013</v>
      </c>
      <c r="AE2043" s="23" t="n">
        <v>0.54</v>
      </c>
      <c r="AF2043" s="23" t="n">
        <v>0</v>
      </c>
      <c r="AG2043" s="23" t="n">
        <v>0.33</v>
      </c>
      <c r="AH2043" s="23" t="n">
        <v>1</v>
      </c>
      <c r="AI2043" s="23" t="n">
        <v>0.5</v>
      </c>
      <c r="AJ2043" s="23" t="n">
        <v>0.488</v>
      </c>
      <c r="AK2043" s="23" t="n">
        <v>1</v>
      </c>
      <c r="AL2043" s="23" t="n">
        <v>0</v>
      </c>
      <c r="AM2043" s="16" t="n">
        <f aca="false">COUNTIFS($D$2:$D$2501,D2043,$G$2:$G$2501,"&gt;"&amp;G2043)+COUNTIFS($D$2:D2043,D2043,$G$2:G2043,G2043)</f>
        <v>252</v>
      </c>
      <c r="AN2043" s="5" t="str">
        <f aca="false">D2043&amp;"|"&amp;AM2043</f>
        <v>檢索與情資關聯|252</v>
      </c>
    </row>
    <row r="2044" customFormat="false" ht="17.15" hidden="false" customHeight="false" outlineLevel="0" collapsed="false">
      <c r="A2044" s="16" t="n">
        <f aca="false">RANK(G2044,$G$2:$G$2501)+COUNTIF($G$2:G2044,G2044)-1</f>
        <v>2043</v>
      </c>
      <c r="B2044" s="11" t="s">
        <v>5014</v>
      </c>
      <c r="C2044" s="11" t="s">
        <v>5015</v>
      </c>
      <c r="D2044" s="5" t="s">
        <v>72</v>
      </c>
      <c r="E2044" s="5" t="s">
        <v>73</v>
      </c>
      <c r="F2044" s="5"/>
      <c r="G2044" s="22" t="n">
        <f aca="false">ROUND(SUM(I2044:P2044),3)</f>
        <v>51.026</v>
      </c>
      <c r="H2044" s="5" t="str">
        <f aca="false">IF(G2044&gt;=評分方法!$C$16,"優先評估",IF(G2044&gt;=評分方法!$C$17,"列入候選",IF(G2044&gt;=評分方法!$C$18,"特定情境","不建議")))</f>
        <v>不建議</v>
      </c>
      <c r="I2044" s="15" t="n">
        <f aca="false">AE2044*評分方法!$C$5</f>
        <v>9</v>
      </c>
      <c r="J2044" s="15" t="n">
        <f aca="false">AF2044*評分方法!$C$6</f>
        <v>0</v>
      </c>
      <c r="K2044" s="15" t="n">
        <f aca="false">AG2044*評分方法!$C$7</f>
        <v>4.95</v>
      </c>
      <c r="L2044" s="15" t="n">
        <f aca="false">AH2044*評分方法!$C$8</f>
        <v>15</v>
      </c>
      <c r="M2044" s="15" t="n">
        <f aca="false">AI2044*評分方法!$C$9</f>
        <v>10</v>
      </c>
      <c r="N2044" s="15" t="n">
        <f aca="false">AJ2044*評分方法!$C$10</f>
        <v>8.076</v>
      </c>
      <c r="O2044" s="15" t="n">
        <f aca="false">AK2044*評分方法!$C$11</f>
        <v>4</v>
      </c>
      <c r="P2044" s="15" t="n">
        <f aca="false">AL2044*評分方法!$C$12</f>
        <v>0</v>
      </c>
      <c r="Q2044" s="6" t="n">
        <v>1685960</v>
      </c>
      <c r="R2044" s="6" t="n">
        <v>108954466</v>
      </c>
      <c r="S2044" s="11" t="s">
        <v>238</v>
      </c>
      <c r="T2044" s="11" t="s">
        <v>239</v>
      </c>
      <c r="U2044" s="5" t="s">
        <v>240</v>
      </c>
      <c r="V2044" s="11" t="s">
        <v>324</v>
      </c>
      <c r="W2044" s="5" t="s">
        <v>334</v>
      </c>
      <c r="X2044" s="5" t="s">
        <v>242</v>
      </c>
      <c r="Y2044" s="11" t="s">
        <v>5016</v>
      </c>
      <c r="Z2044" s="11" t="s">
        <v>270</v>
      </c>
      <c r="AA2044" s="11" t="s">
        <v>162</v>
      </c>
      <c r="AB2044" s="5" t="s">
        <v>496</v>
      </c>
      <c r="AC2044" s="5" t="s">
        <v>3677</v>
      </c>
      <c r="AD2044" s="11" t="s">
        <v>5017</v>
      </c>
      <c r="AE2044" s="23" t="n">
        <v>0.3</v>
      </c>
      <c r="AF2044" s="23" t="n">
        <v>0</v>
      </c>
      <c r="AG2044" s="23" t="n">
        <v>0.33</v>
      </c>
      <c r="AH2044" s="23" t="n">
        <v>1</v>
      </c>
      <c r="AI2044" s="23" t="n">
        <v>1</v>
      </c>
      <c r="AJ2044" s="23" t="n">
        <v>0.8076</v>
      </c>
      <c r="AK2044" s="23" t="n">
        <v>0.8</v>
      </c>
      <c r="AL2044" s="23" t="n">
        <v>0</v>
      </c>
      <c r="AM2044" s="16" t="n">
        <f aca="false">COUNTIFS($D$2:$D$2501,D2044,$G$2:$G$2501,"&gt;"&amp;G2044)+COUNTIFS($D$2:D2044,D2044,$G$2:G2044,G2044)</f>
        <v>37</v>
      </c>
      <c r="AN2044" s="5" t="str">
        <f aca="false">D2044&amp;"|"&amp;AM2044</f>
        <v>微調基底模型|37</v>
      </c>
    </row>
    <row r="2045" customFormat="false" ht="17.15" hidden="false" customHeight="false" outlineLevel="0" collapsed="false">
      <c r="A2045" s="16" t="n">
        <f aca="false">RANK(G2045,$G$2:$G$2501)+COUNTIF($G$2:G2045,G2045)-1</f>
        <v>2044</v>
      </c>
      <c r="B2045" s="11" t="s">
        <v>5018</v>
      </c>
      <c r="C2045" s="11" t="s">
        <v>681</v>
      </c>
      <c r="D2045" s="5" t="s">
        <v>74</v>
      </c>
      <c r="E2045" s="5" t="s">
        <v>75</v>
      </c>
      <c r="F2045" s="5"/>
      <c r="G2045" s="22" t="n">
        <f aca="false">ROUND(SUM(I2045:P2045),3)</f>
        <v>50.988</v>
      </c>
      <c r="H2045" s="5" t="str">
        <f aca="false">IF(G2045&gt;=評分方法!$C$16,"優先評估",IF(G2045&gt;=評分方法!$C$17,"列入候選",IF(G2045&gt;=評分方法!$C$18,"特定情境","不建議")))</f>
        <v>不建議</v>
      </c>
      <c r="I2045" s="15" t="n">
        <f aca="false">AE2045*評分方法!$C$5</f>
        <v>4.5</v>
      </c>
      <c r="J2045" s="15" t="n">
        <f aca="false">AF2045*評分方法!$C$6</f>
        <v>0</v>
      </c>
      <c r="K2045" s="15" t="n">
        <f aca="false">AG2045*評分方法!$C$7</f>
        <v>15</v>
      </c>
      <c r="L2045" s="15" t="n">
        <f aca="false">AH2045*評分方法!$C$8</f>
        <v>15</v>
      </c>
      <c r="M2045" s="15" t="n">
        <f aca="false">AI2045*評分方法!$C$9</f>
        <v>6</v>
      </c>
      <c r="N2045" s="15" t="n">
        <f aca="false">AJ2045*評分方法!$C$10</f>
        <v>7.988</v>
      </c>
      <c r="O2045" s="15" t="n">
        <f aca="false">AK2045*評分方法!$C$11</f>
        <v>1</v>
      </c>
      <c r="P2045" s="15" t="n">
        <f aca="false">AL2045*評分方法!$C$12</f>
        <v>1.5</v>
      </c>
      <c r="Q2045" s="6" t="n">
        <v>1547326</v>
      </c>
      <c r="R2045" s="6" t="n">
        <v>215952796</v>
      </c>
      <c r="S2045" s="11" t="s">
        <v>238</v>
      </c>
      <c r="T2045" s="11" t="s">
        <v>185</v>
      </c>
      <c r="U2045" s="5" t="s">
        <v>260</v>
      </c>
      <c r="V2045" s="11" t="s">
        <v>324</v>
      </c>
      <c r="W2045" s="5" t="s">
        <v>205</v>
      </c>
      <c r="X2045" s="5" t="s">
        <v>255</v>
      </c>
      <c r="Y2045" s="5"/>
      <c r="Z2045" s="5"/>
      <c r="AA2045" s="11" t="s">
        <v>183</v>
      </c>
      <c r="AB2045" s="5" t="s">
        <v>245</v>
      </c>
      <c r="AC2045" s="5" t="s">
        <v>262</v>
      </c>
      <c r="AD2045" s="11" t="s">
        <v>5019</v>
      </c>
      <c r="AE2045" s="23" t="n">
        <v>0.15</v>
      </c>
      <c r="AF2045" s="23" t="n">
        <v>0</v>
      </c>
      <c r="AG2045" s="23" t="n">
        <v>1</v>
      </c>
      <c r="AH2045" s="23" t="n">
        <v>1</v>
      </c>
      <c r="AI2045" s="23" t="n">
        <v>0.6</v>
      </c>
      <c r="AJ2045" s="23" t="n">
        <v>0.7988</v>
      </c>
      <c r="AK2045" s="23" t="n">
        <v>0.2</v>
      </c>
      <c r="AL2045" s="23" t="n">
        <v>0.3</v>
      </c>
      <c r="AM2045" s="16" t="n">
        <f aca="false">COUNTIFS($D$2:$D$2501,D2045,$G$2:$G$2501,"&gt;"&amp;G2045)+COUNTIFS($D$2:D2045,D2045,$G$2:G2045,G2045)</f>
        <v>270</v>
      </c>
      <c r="AN2045" s="5" t="str">
        <f aca="false">D2045&amp;"|"&amp;AM2045</f>
        <v>文件與影像辨識|270</v>
      </c>
    </row>
    <row r="2046" customFormat="false" ht="17.15" hidden="false" customHeight="false" outlineLevel="0" collapsed="false">
      <c r="A2046" s="16" t="n">
        <f aca="false">RANK(G2046,$G$2:$G$2501)+COUNTIF($G$2:G2046,G2046)-1</f>
        <v>2045</v>
      </c>
      <c r="B2046" s="11" t="s">
        <v>5020</v>
      </c>
      <c r="C2046" s="11" t="s">
        <v>402</v>
      </c>
      <c r="D2046" s="5" t="s">
        <v>58</v>
      </c>
      <c r="E2046" s="5" t="s">
        <v>59</v>
      </c>
      <c r="F2046" s="5"/>
      <c r="G2046" s="22" t="n">
        <f aca="false">ROUND(SUM(I2046:P2046),3)</f>
        <v>50.982</v>
      </c>
      <c r="H2046" s="5" t="str">
        <f aca="false">IF(G2046&gt;=評分方法!$C$16,"優先評估",IF(G2046&gt;=評分方法!$C$17,"列入候選",IF(G2046&gt;=評分方法!$C$18,"特定情境","不建議")))</f>
        <v>不建議</v>
      </c>
      <c r="I2046" s="15" t="n">
        <f aca="false">AE2046*評分方法!$C$5</f>
        <v>11.4</v>
      </c>
      <c r="J2046" s="15" t="n">
        <f aca="false">AF2046*評分方法!$C$6</f>
        <v>0</v>
      </c>
      <c r="K2046" s="15" t="n">
        <f aca="false">AG2046*評分方法!$C$7</f>
        <v>4.95</v>
      </c>
      <c r="L2046" s="15" t="n">
        <f aca="false">AH2046*評分方法!$C$8</f>
        <v>15</v>
      </c>
      <c r="M2046" s="15" t="n">
        <f aca="false">AI2046*評分方法!$C$9</f>
        <v>10</v>
      </c>
      <c r="N2046" s="15" t="n">
        <f aca="false">AJ2046*評分方法!$C$10</f>
        <v>7.132</v>
      </c>
      <c r="O2046" s="15" t="n">
        <f aca="false">AK2046*評分方法!$C$11</f>
        <v>2.5</v>
      </c>
      <c r="P2046" s="15" t="n">
        <f aca="false">AL2046*評分方法!$C$12</f>
        <v>0</v>
      </c>
      <c r="Q2046" s="6" t="n">
        <v>971561</v>
      </c>
      <c r="R2046" s="6" t="n">
        <v>334095363</v>
      </c>
      <c r="S2046" s="11" t="s">
        <v>238</v>
      </c>
      <c r="T2046" s="11" t="s">
        <v>239</v>
      </c>
      <c r="U2046" s="5" t="s">
        <v>240</v>
      </c>
      <c r="V2046" s="11" t="s">
        <v>261</v>
      </c>
      <c r="W2046" s="5" t="s">
        <v>334</v>
      </c>
      <c r="X2046" s="5" t="s">
        <v>242</v>
      </c>
      <c r="Y2046" s="5"/>
      <c r="Z2046" s="5"/>
      <c r="AA2046" s="11" t="s">
        <v>150</v>
      </c>
      <c r="AB2046" s="5" t="s">
        <v>245</v>
      </c>
      <c r="AC2046" s="5" t="s">
        <v>3044</v>
      </c>
      <c r="AD2046" s="11" t="s">
        <v>5021</v>
      </c>
      <c r="AE2046" s="23" t="n">
        <v>0.38</v>
      </c>
      <c r="AF2046" s="23" t="n">
        <v>0</v>
      </c>
      <c r="AG2046" s="23" t="n">
        <v>0.33</v>
      </c>
      <c r="AH2046" s="23" t="n">
        <v>1</v>
      </c>
      <c r="AI2046" s="23" t="n">
        <v>1</v>
      </c>
      <c r="AJ2046" s="23" t="n">
        <v>0.7132</v>
      </c>
      <c r="AK2046" s="23" t="n">
        <v>0.5</v>
      </c>
      <c r="AL2046" s="23" t="n">
        <v>0</v>
      </c>
      <c r="AM2046" s="16" t="n">
        <f aca="false">COUNTIFS($D$2:$D$2501,D2046,$G$2:$G$2501,"&gt;"&amp;G2046)+COUNTIFS($D$2:D2046,D2046,$G$2:G2046,G2046)</f>
        <v>304</v>
      </c>
      <c r="AN2046" s="5" t="str">
        <f aca="false">D2046&amp;"|"&amp;AM2046</f>
        <v>實體擷取與去識別化|304</v>
      </c>
    </row>
    <row r="2047" customFormat="false" ht="17.15" hidden="false" customHeight="false" outlineLevel="0" collapsed="false">
      <c r="A2047" s="16" t="n">
        <f aca="false">RANK(G2047,$G$2:$G$2501)+COUNTIF($G$2:G2047,G2047)-1</f>
        <v>2046</v>
      </c>
      <c r="B2047" s="11" t="s">
        <v>5022</v>
      </c>
      <c r="C2047" s="11" t="s">
        <v>2805</v>
      </c>
      <c r="D2047" s="5" t="s">
        <v>56</v>
      </c>
      <c r="E2047" s="5" t="s">
        <v>57</v>
      </c>
      <c r="F2047" s="5"/>
      <c r="G2047" s="22" t="n">
        <f aca="false">ROUND(SUM(I2047:P2047),3)</f>
        <v>50.964</v>
      </c>
      <c r="H2047" s="5" t="str">
        <f aca="false">IF(G2047&gt;=評分方法!$C$16,"優先評估",IF(G2047&gt;=評分方法!$C$17,"列入候選",IF(G2047&gt;=評分方法!$C$18,"特定情境","不建議")))</f>
        <v>不建議</v>
      </c>
      <c r="I2047" s="15" t="n">
        <f aca="false">AE2047*評分方法!$C$5</f>
        <v>25.5</v>
      </c>
      <c r="J2047" s="15" t="n">
        <f aca="false">AF2047*評分方法!$C$6</f>
        <v>0</v>
      </c>
      <c r="K2047" s="15" t="n">
        <f aca="false">AG2047*評分方法!$C$7</f>
        <v>4.95</v>
      </c>
      <c r="L2047" s="15" t="n">
        <f aca="false">AH2047*評分方法!$C$8</f>
        <v>1.95</v>
      </c>
      <c r="M2047" s="15" t="n">
        <f aca="false">AI2047*評分方法!$C$9</f>
        <v>6</v>
      </c>
      <c r="N2047" s="15" t="n">
        <f aca="false">AJ2047*評分方法!$C$10</f>
        <v>2.564</v>
      </c>
      <c r="O2047" s="15" t="n">
        <f aca="false">AK2047*評分方法!$C$11</f>
        <v>5</v>
      </c>
      <c r="P2047" s="15" t="n">
        <f aca="false">AL2047*評分方法!$C$12</f>
        <v>5</v>
      </c>
      <c r="Q2047" s="6" t="n">
        <v>257101</v>
      </c>
      <c r="R2047" s="6" t="n">
        <v>176943899520</v>
      </c>
      <c r="S2047" s="11" t="s">
        <v>1616</v>
      </c>
      <c r="T2047" s="11" t="s">
        <v>185</v>
      </c>
      <c r="U2047" s="5" t="s">
        <v>260</v>
      </c>
      <c r="V2047" s="11" t="s">
        <v>1976</v>
      </c>
      <c r="W2047" s="5" t="s">
        <v>334</v>
      </c>
      <c r="X2047" s="5" t="s">
        <v>284</v>
      </c>
      <c r="Y2047" s="11" t="s">
        <v>5023</v>
      </c>
      <c r="Z2047" s="11" t="s">
        <v>244</v>
      </c>
      <c r="AA2047" s="11" t="s">
        <v>155</v>
      </c>
      <c r="AB2047" s="5" t="s">
        <v>245</v>
      </c>
      <c r="AC2047" s="5" t="s">
        <v>464</v>
      </c>
      <c r="AD2047" s="11" t="s">
        <v>5024</v>
      </c>
      <c r="AE2047" s="23" t="n">
        <v>0.85</v>
      </c>
      <c r="AF2047" s="23" t="n">
        <v>0</v>
      </c>
      <c r="AG2047" s="23" t="n">
        <v>0.33</v>
      </c>
      <c r="AH2047" s="23" t="n">
        <v>0.13</v>
      </c>
      <c r="AI2047" s="23" t="n">
        <v>0.6</v>
      </c>
      <c r="AJ2047" s="23" t="n">
        <v>0.2564</v>
      </c>
      <c r="AK2047" s="23" t="n">
        <v>1</v>
      </c>
      <c r="AL2047" s="23" t="n">
        <v>1</v>
      </c>
      <c r="AM2047" s="16" t="n">
        <f aca="false">COUNTIFS($D$2:$D$2501,D2047,$G$2:$G$2501,"&gt;"&amp;G2047)+COUNTIFS($D$2:D2047,D2047,$G$2:G2047,G2047)</f>
        <v>924</v>
      </c>
      <c r="AN2047" s="5" t="str">
        <f aca="false">D2047&amp;"|"&amp;AM2047</f>
        <v>分析與報告生成|924</v>
      </c>
    </row>
    <row r="2048" customFormat="false" ht="17.15" hidden="false" customHeight="false" outlineLevel="0" collapsed="false">
      <c r="A2048" s="16" t="n">
        <f aca="false">RANK(G2048,$G$2:$G$2501)+COUNTIF($G$2:G2048,G2048)-1</f>
        <v>2047</v>
      </c>
      <c r="B2048" s="11" t="s">
        <v>5025</v>
      </c>
      <c r="C2048" s="11" t="s">
        <v>1438</v>
      </c>
      <c r="D2048" s="5" t="s">
        <v>56</v>
      </c>
      <c r="E2048" s="5" t="s">
        <v>57</v>
      </c>
      <c r="F2048" s="5"/>
      <c r="G2048" s="22" t="n">
        <f aca="false">ROUND(SUM(I2048:P2048),3)</f>
        <v>50.96</v>
      </c>
      <c r="H2048" s="5" t="str">
        <f aca="false">IF(G2048&gt;=評分方法!$C$16,"優先評估",IF(G2048&gt;=評分方法!$C$17,"列入候選",IF(G2048&gt;=評分方法!$C$18,"特定情境","不建議")))</f>
        <v>不建議</v>
      </c>
      <c r="I2048" s="15" t="n">
        <f aca="false">AE2048*評分方法!$C$5</f>
        <v>25.5</v>
      </c>
      <c r="J2048" s="15" t="n">
        <f aca="false">AF2048*評分方法!$C$6</f>
        <v>0</v>
      </c>
      <c r="K2048" s="15" t="n">
        <f aca="false">AG2048*評分方法!$C$7</f>
        <v>10.05</v>
      </c>
      <c r="L2048" s="15" t="n">
        <f aca="false">AH2048*評分方法!$C$8</f>
        <v>1.95</v>
      </c>
      <c r="M2048" s="15" t="n">
        <f aca="false">AI2048*評分方法!$C$9</f>
        <v>6</v>
      </c>
      <c r="N2048" s="15" t="n">
        <f aca="false">AJ2048*評分方法!$C$10</f>
        <v>6.46</v>
      </c>
      <c r="O2048" s="15" t="n">
        <f aca="false">AK2048*評分方法!$C$11</f>
        <v>1</v>
      </c>
      <c r="P2048" s="15" t="n">
        <f aca="false">AL2048*評分方法!$C$12</f>
        <v>0</v>
      </c>
      <c r="Q2048" s="6" t="n">
        <v>740294</v>
      </c>
      <c r="R2048" s="6" t="n">
        <v>410081247232</v>
      </c>
      <c r="S2048" s="11" t="s">
        <v>1616</v>
      </c>
      <c r="T2048" s="11" t="s">
        <v>259</v>
      </c>
      <c r="U2048" s="5" t="s">
        <v>260</v>
      </c>
      <c r="V2048" s="11" t="s">
        <v>333</v>
      </c>
      <c r="W2048" s="5" t="s">
        <v>207</v>
      </c>
      <c r="X2048" s="5" t="s">
        <v>242</v>
      </c>
      <c r="Y2048" s="11" t="s">
        <v>4430</v>
      </c>
      <c r="Z2048" s="11" t="s">
        <v>244</v>
      </c>
      <c r="AA2048" s="11" t="s">
        <v>155</v>
      </c>
      <c r="AB2048" s="5" t="s">
        <v>245</v>
      </c>
      <c r="AC2048" s="5" t="s">
        <v>464</v>
      </c>
      <c r="AD2048" s="11" t="s">
        <v>5026</v>
      </c>
      <c r="AE2048" s="23" t="n">
        <v>0.85</v>
      </c>
      <c r="AF2048" s="23" t="n">
        <v>0</v>
      </c>
      <c r="AG2048" s="23" t="n">
        <v>0.67</v>
      </c>
      <c r="AH2048" s="23" t="n">
        <v>0.13</v>
      </c>
      <c r="AI2048" s="23" t="n">
        <v>0.6</v>
      </c>
      <c r="AJ2048" s="23" t="n">
        <v>0.646</v>
      </c>
      <c r="AK2048" s="23" t="n">
        <v>0.2</v>
      </c>
      <c r="AL2048" s="23" t="n">
        <v>0</v>
      </c>
      <c r="AM2048" s="16" t="n">
        <f aca="false">COUNTIFS($D$2:$D$2501,D2048,$G$2:$G$2501,"&gt;"&amp;G2048)+COUNTIFS($D$2:D2048,D2048,$G$2:G2048,G2048)</f>
        <v>925</v>
      </c>
      <c r="AN2048" s="5" t="str">
        <f aca="false">D2048&amp;"|"&amp;AM2048</f>
        <v>分析與報告生成|925</v>
      </c>
    </row>
    <row r="2049" customFormat="false" ht="17.15" hidden="false" customHeight="false" outlineLevel="0" collapsed="false">
      <c r="A2049" s="16" t="n">
        <f aca="false">RANK(G2049,$G$2:$G$2501)+COUNTIF($G$2:G2049,G2049)-1</f>
        <v>2048</v>
      </c>
      <c r="B2049" s="11" t="s">
        <v>5027</v>
      </c>
      <c r="C2049" s="11" t="s">
        <v>5028</v>
      </c>
      <c r="D2049" s="5" t="s">
        <v>74</v>
      </c>
      <c r="E2049" s="5" t="s">
        <v>75</v>
      </c>
      <c r="F2049" s="5"/>
      <c r="G2049" s="22" t="n">
        <f aca="false">ROUND(SUM(I2049:P2049),3)</f>
        <v>50.954</v>
      </c>
      <c r="H2049" s="5" t="str">
        <f aca="false">IF(G2049&gt;=評分方法!$C$16,"優先評估",IF(G2049&gt;=評分方法!$C$17,"列入候選",IF(G2049&gt;=評分方法!$C$18,"特定情境","不建議")))</f>
        <v>不建議</v>
      </c>
      <c r="I2049" s="15" t="n">
        <f aca="false">AE2049*評分方法!$C$5</f>
        <v>10.5</v>
      </c>
      <c r="J2049" s="15" t="n">
        <f aca="false">AF2049*評分方法!$C$6</f>
        <v>0</v>
      </c>
      <c r="K2049" s="15" t="n">
        <f aca="false">AG2049*評分方法!$C$7</f>
        <v>4.95</v>
      </c>
      <c r="L2049" s="15" t="n">
        <f aca="false">AH2049*評分方法!$C$8</f>
        <v>15</v>
      </c>
      <c r="M2049" s="15" t="n">
        <f aca="false">AI2049*評分方法!$C$9</f>
        <v>10</v>
      </c>
      <c r="N2049" s="15" t="n">
        <f aca="false">AJ2049*評分方法!$C$10</f>
        <v>4.004</v>
      </c>
      <c r="O2049" s="15" t="n">
        <f aca="false">AK2049*評分方法!$C$11</f>
        <v>5</v>
      </c>
      <c r="P2049" s="15" t="n">
        <f aca="false">AL2049*評分方法!$C$12</f>
        <v>1.5</v>
      </c>
      <c r="Q2049" s="6" t="n">
        <v>416833</v>
      </c>
      <c r="R2049" s="6" t="n">
        <v>228639552</v>
      </c>
      <c r="S2049" s="11" t="s">
        <v>238</v>
      </c>
      <c r="T2049" s="11" t="s">
        <v>278</v>
      </c>
      <c r="U2049" s="5" t="s">
        <v>240</v>
      </c>
      <c r="V2049" s="11" t="s">
        <v>241</v>
      </c>
      <c r="W2049" s="5" t="s">
        <v>334</v>
      </c>
      <c r="X2049" s="5" t="s">
        <v>255</v>
      </c>
      <c r="Y2049" s="5"/>
      <c r="Z2049" s="5"/>
      <c r="AA2049" s="11" t="s">
        <v>173</v>
      </c>
      <c r="AB2049" s="5" t="s">
        <v>245</v>
      </c>
      <c r="AC2049" s="5"/>
      <c r="AD2049" s="11" t="s">
        <v>5029</v>
      </c>
      <c r="AE2049" s="23" t="n">
        <v>0.35</v>
      </c>
      <c r="AF2049" s="23" t="n">
        <v>0</v>
      </c>
      <c r="AG2049" s="23" t="n">
        <v>0.33</v>
      </c>
      <c r="AH2049" s="23" t="n">
        <v>1</v>
      </c>
      <c r="AI2049" s="23" t="n">
        <v>1</v>
      </c>
      <c r="AJ2049" s="23" t="n">
        <v>0.4004</v>
      </c>
      <c r="AK2049" s="23" t="n">
        <v>1</v>
      </c>
      <c r="AL2049" s="23" t="n">
        <v>0.3</v>
      </c>
      <c r="AM2049" s="16" t="n">
        <f aca="false">COUNTIFS($D$2:$D$2501,D2049,$G$2:$G$2501,"&gt;"&amp;G2049)+COUNTIFS($D$2:D2049,D2049,$G$2:G2049,G2049)</f>
        <v>271</v>
      </c>
      <c r="AN2049" s="5" t="str">
        <f aca="false">D2049&amp;"|"&amp;AM2049</f>
        <v>文件與影像辨識|271</v>
      </c>
    </row>
    <row r="2050" customFormat="false" ht="17.15" hidden="false" customHeight="false" outlineLevel="0" collapsed="false">
      <c r="A2050" s="16" t="n">
        <f aca="false">RANK(G2050,$G$2:$G$2501)+COUNTIF($G$2:G2050,G2050)-1</f>
        <v>2049</v>
      </c>
      <c r="B2050" s="11" t="s">
        <v>5030</v>
      </c>
      <c r="C2050" s="11" t="s">
        <v>5031</v>
      </c>
      <c r="D2050" s="5" t="s">
        <v>56</v>
      </c>
      <c r="E2050" s="5" t="s">
        <v>57</v>
      </c>
      <c r="F2050" s="5"/>
      <c r="G2050" s="22" t="n">
        <f aca="false">ROUND(SUM(I2050:P2050),3)</f>
        <v>50.946</v>
      </c>
      <c r="H2050" s="5" t="str">
        <f aca="false">IF(G2050&gt;=評分方法!$C$16,"優先評估",IF(G2050&gt;=評分方法!$C$17,"列入候選",IF(G2050&gt;=評分方法!$C$18,"特定情境","不建議")))</f>
        <v>不建議</v>
      </c>
      <c r="I2050" s="15" t="n">
        <f aca="false">AE2050*評分方法!$C$5</f>
        <v>18</v>
      </c>
      <c r="J2050" s="15" t="n">
        <f aca="false">AF2050*評分方法!$C$6</f>
        <v>0</v>
      </c>
      <c r="K2050" s="15" t="n">
        <f aca="false">AG2050*評分方法!$C$7</f>
        <v>4.95</v>
      </c>
      <c r="L2050" s="15" t="n">
        <f aca="false">AH2050*評分方法!$C$8</f>
        <v>15</v>
      </c>
      <c r="M2050" s="15" t="n">
        <f aca="false">AI2050*評分方法!$C$9</f>
        <v>10</v>
      </c>
      <c r="N2050" s="15" t="n">
        <f aca="false">AJ2050*評分方法!$C$10</f>
        <v>0.496</v>
      </c>
      <c r="O2050" s="15" t="n">
        <f aca="false">AK2050*評分方法!$C$11</f>
        <v>2.5</v>
      </c>
      <c r="P2050" s="15" t="n">
        <f aca="false">AL2050*評分方法!$C$12</f>
        <v>0</v>
      </c>
      <c r="Q2050" s="6" t="n">
        <v>132441</v>
      </c>
      <c r="R2050" s="6" t="n">
        <v>198640896</v>
      </c>
      <c r="S2050" s="11" t="s">
        <v>238</v>
      </c>
      <c r="T2050" s="11" t="s">
        <v>278</v>
      </c>
      <c r="U2050" s="5" t="s">
        <v>240</v>
      </c>
      <c r="V2050" s="11" t="s">
        <v>261</v>
      </c>
      <c r="W2050" s="5" t="s">
        <v>334</v>
      </c>
      <c r="X2050" s="5" t="s">
        <v>242</v>
      </c>
      <c r="Y2050" s="5"/>
      <c r="Z2050" s="5"/>
      <c r="AA2050" s="11" t="s">
        <v>161</v>
      </c>
      <c r="AB2050" s="5" t="s">
        <v>983</v>
      </c>
      <c r="AC2050" s="5" t="s">
        <v>984</v>
      </c>
      <c r="AD2050" s="11" t="s">
        <v>5032</v>
      </c>
      <c r="AE2050" s="23" t="n">
        <v>0.6</v>
      </c>
      <c r="AF2050" s="23" t="n">
        <v>0</v>
      </c>
      <c r="AG2050" s="23" t="n">
        <v>0.33</v>
      </c>
      <c r="AH2050" s="23" t="n">
        <v>1</v>
      </c>
      <c r="AI2050" s="23" t="n">
        <v>1</v>
      </c>
      <c r="AJ2050" s="23" t="n">
        <v>0.0496</v>
      </c>
      <c r="AK2050" s="23" t="n">
        <v>0.5</v>
      </c>
      <c r="AL2050" s="23" t="n">
        <v>0</v>
      </c>
      <c r="AM2050" s="16" t="n">
        <f aca="false">COUNTIFS($D$2:$D$2501,D2050,$G$2:$G$2501,"&gt;"&amp;G2050)+COUNTIFS($D$2:D2050,D2050,$G$2:G2050,G2050)</f>
        <v>926</v>
      </c>
      <c r="AN2050" s="5" t="str">
        <f aca="false">D2050&amp;"|"&amp;AM2050</f>
        <v>分析與報告生成|926</v>
      </c>
    </row>
    <row r="2051" customFormat="false" ht="17.15" hidden="false" customHeight="false" outlineLevel="0" collapsed="false">
      <c r="A2051" s="16" t="n">
        <f aca="false">RANK(G2051,$G$2:$G$2501)+COUNTIF($G$2:G2051,G2051)-1</f>
        <v>2050</v>
      </c>
      <c r="B2051" s="11" t="s">
        <v>5033</v>
      </c>
      <c r="C2051" s="11" t="s">
        <v>681</v>
      </c>
      <c r="D2051" s="5" t="s">
        <v>80</v>
      </c>
      <c r="E2051" s="5" t="s">
        <v>81</v>
      </c>
      <c r="F2051" s="5"/>
      <c r="G2051" s="22" t="n">
        <f aca="false">ROUND(SUM(I2051:P2051),3)</f>
        <v>50.946</v>
      </c>
      <c r="H2051" s="5" t="str">
        <f aca="false">IF(G2051&gt;=評分方法!$C$16,"優先評估",IF(G2051&gt;=評分方法!$C$17,"列入候選",IF(G2051&gt;=評分方法!$C$18,"特定情境","不建議")))</f>
        <v>不建議</v>
      </c>
      <c r="I2051" s="15" t="n">
        <f aca="false">AE2051*評分方法!$C$5</f>
        <v>6</v>
      </c>
      <c r="J2051" s="15" t="n">
        <f aca="false">AF2051*評分方法!$C$6</f>
        <v>0</v>
      </c>
      <c r="K2051" s="15" t="n">
        <f aca="false">AG2051*評分方法!$C$7</f>
        <v>15</v>
      </c>
      <c r="L2051" s="15" t="n">
        <f aca="false">AH2051*評分方法!$C$8</f>
        <v>13.05</v>
      </c>
      <c r="M2051" s="15" t="n">
        <f aca="false">AI2051*評分方法!$C$9</f>
        <v>10</v>
      </c>
      <c r="N2051" s="15" t="n">
        <f aca="false">AJ2051*評分方法!$C$10</f>
        <v>1.396</v>
      </c>
      <c r="O2051" s="15" t="n">
        <f aca="false">AK2051*評分方法!$C$11</f>
        <v>4</v>
      </c>
      <c r="P2051" s="15" t="n">
        <f aca="false">AL2051*評分方法!$C$12</f>
        <v>1.5</v>
      </c>
      <c r="Q2051" s="6" t="n">
        <v>173908</v>
      </c>
      <c r="R2051" s="6" t="n">
        <v>2234700748</v>
      </c>
      <c r="S2051" s="11" t="s">
        <v>254</v>
      </c>
      <c r="T2051" s="11" t="s">
        <v>239</v>
      </c>
      <c r="U2051" s="5" t="s">
        <v>240</v>
      </c>
      <c r="V2051" s="11" t="s">
        <v>261</v>
      </c>
      <c r="W2051" s="5" t="s">
        <v>205</v>
      </c>
      <c r="X2051" s="5" t="s">
        <v>255</v>
      </c>
      <c r="Y2051" s="5"/>
      <c r="Z2051" s="5"/>
      <c r="AA2051" s="5"/>
      <c r="AB2051" s="5" t="s">
        <v>255</v>
      </c>
      <c r="AC2051" s="5"/>
      <c r="AD2051" s="11" t="s">
        <v>5034</v>
      </c>
      <c r="AE2051" s="23" t="n">
        <v>0.2</v>
      </c>
      <c r="AF2051" s="23" t="n">
        <v>0</v>
      </c>
      <c r="AG2051" s="23" t="n">
        <v>1</v>
      </c>
      <c r="AH2051" s="23" t="n">
        <v>0.87</v>
      </c>
      <c r="AI2051" s="23" t="n">
        <v>1</v>
      </c>
      <c r="AJ2051" s="23" t="n">
        <v>0.1396</v>
      </c>
      <c r="AK2051" s="23" t="n">
        <v>0.8</v>
      </c>
      <c r="AL2051" s="23" t="n">
        <v>0.3</v>
      </c>
      <c r="AM2051" s="16" t="n">
        <f aca="false">COUNTIFS($D$2:$D$2501,D2051,$G$2:$G$2501,"&gt;"&amp;G2051)+COUNTIFS($D$2:D2051,D2051,$G$2:G2051,G2051)</f>
        <v>14</v>
      </c>
      <c r="AN2051" s="5" t="str">
        <f aca="false">D2051&amp;"|"&amp;AM2051</f>
        <v>其他|14</v>
      </c>
    </row>
    <row r="2052" customFormat="false" ht="17.15" hidden="false" customHeight="false" outlineLevel="0" collapsed="false">
      <c r="A2052" s="16" t="n">
        <f aca="false">RANK(G2052,$G$2:$G$2501)+COUNTIF($G$2:G2052,G2052)-1</f>
        <v>2051</v>
      </c>
      <c r="B2052" s="11" t="s">
        <v>5035</v>
      </c>
      <c r="C2052" s="11" t="s">
        <v>4304</v>
      </c>
      <c r="D2052" s="5" t="s">
        <v>54</v>
      </c>
      <c r="E2052" s="5" t="s">
        <v>55</v>
      </c>
      <c r="F2052" s="5"/>
      <c r="G2052" s="22" t="n">
        <f aca="false">ROUND(SUM(I2052:P2052),3)</f>
        <v>50.934</v>
      </c>
      <c r="H2052" s="5" t="str">
        <f aca="false">IF(G2052&gt;=評分方法!$C$16,"優先評估",IF(G2052&gt;=評分方法!$C$17,"列入候選",IF(G2052&gt;=評分方法!$C$18,"特定情境","不建議")))</f>
        <v>不建議</v>
      </c>
      <c r="I2052" s="15" t="n">
        <f aca="false">AE2052*評分方法!$C$5</f>
        <v>16.2</v>
      </c>
      <c r="J2052" s="15" t="n">
        <f aca="false">AF2052*評分方法!$C$6</f>
        <v>0</v>
      </c>
      <c r="K2052" s="15" t="n">
        <f aca="false">AG2052*評分方法!$C$7</f>
        <v>4.95</v>
      </c>
      <c r="L2052" s="15" t="n">
        <f aca="false">AH2052*評分方法!$C$8</f>
        <v>15</v>
      </c>
      <c r="M2052" s="15" t="n">
        <f aca="false">AI2052*評分方法!$C$9</f>
        <v>10</v>
      </c>
      <c r="N2052" s="15" t="n">
        <f aca="false">AJ2052*評分方法!$C$10</f>
        <v>2.284</v>
      </c>
      <c r="O2052" s="15" t="n">
        <f aca="false">AK2052*評分方法!$C$11</f>
        <v>2.5</v>
      </c>
      <c r="P2052" s="15" t="n">
        <f aca="false">AL2052*評分方法!$C$12</f>
        <v>0</v>
      </c>
      <c r="Q2052" s="6" t="n">
        <v>232205</v>
      </c>
      <c r="R2052" s="6" t="n">
        <v>196612352</v>
      </c>
      <c r="S2052" s="11" t="s">
        <v>238</v>
      </c>
      <c r="T2052" s="11" t="s">
        <v>239</v>
      </c>
      <c r="U2052" s="5" t="s">
        <v>240</v>
      </c>
      <c r="V2052" s="11" t="s">
        <v>324</v>
      </c>
      <c r="W2052" s="5" t="s">
        <v>334</v>
      </c>
      <c r="X2052" s="5" t="s">
        <v>242</v>
      </c>
      <c r="Y2052" s="5"/>
      <c r="Z2052" s="5"/>
      <c r="AA2052" s="11" t="s">
        <v>153</v>
      </c>
      <c r="AB2052" s="5" t="s">
        <v>245</v>
      </c>
      <c r="AC2052" s="5" t="s">
        <v>1463</v>
      </c>
      <c r="AD2052" s="11" t="s">
        <v>5036</v>
      </c>
      <c r="AE2052" s="23" t="n">
        <v>0.54</v>
      </c>
      <c r="AF2052" s="23" t="n">
        <v>0</v>
      </c>
      <c r="AG2052" s="23" t="n">
        <v>0.33</v>
      </c>
      <c r="AH2052" s="23" t="n">
        <v>1</v>
      </c>
      <c r="AI2052" s="23" t="n">
        <v>1</v>
      </c>
      <c r="AJ2052" s="23" t="n">
        <v>0.2284</v>
      </c>
      <c r="AK2052" s="23" t="n">
        <v>0.5</v>
      </c>
      <c r="AL2052" s="23" t="n">
        <v>0</v>
      </c>
      <c r="AM2052" s="16" t="n">
        <f aca="false">COUNTIFS($D$2:$D$2501,D2052,$G$2:$G$2501,"&gt;"&amp;G2052)+COUNTIFS($D$2:D2052,D2052,$G$2:G2052,G2052)</f>
        <v>253</v>
      </c>
      <c r="AN2052" s="5" t="str">
        <f aca="false">D2052&amp;"|"&amp;AM2052</f>
        <v>檢索與情資關聯|253</v>
      </c>
    </row>
    <row r="2053" customFormat="false" ht="17.15" hidden="false" customHeight="false" outlineLevel="0" collapsed="false">
      <c r="A2053" s="16" t="n">
        <f aca="false">RANK(G2053,$G$2:$G$2501)+COUNTIF($G$2:G2053,G2053)-1</f>
        <v>2052</v>
      </c>
      <c r="B2053" s="11" t="s">
        <v>5037</v>
      </c>
      <c r="C2053" s="11" t="s">
        <v>1728</v>
      </c>
      <c r="D2053" s="5" t="s">
        <v>72</v>
      </c>
      <c r="E2053" s="5" t="s">
        <v>73</v>
      </c>
      <c r="F2053" s="5"/>
      <c r="G2053" s="22" t="n">
        <f aca="false">ROUND(SUM(I2053:P2053),3)</f>
        <v>50.894</v>
      </c>
      <c r="H2053" s="5" t="str">
        <f aca="false">IF(G2053&gt;=評分方法!$C$16,"優先評估",IF(G2053&gt;=評分方法!$C$17,"列入候選",IF(G2053&gt;=評分方法!$C$18,"特定情境","不建議")))</f>
        <v>不建議</v>
      </c>
      <c r="I2053" s="15" t="n">
        <f aca="false">AE2053*評分方法!$C$5</f>
        <v>9</v>
      </c>
      <c r="J2053" s="15" t="n">
        <f aca="false">AF2053*評分方法!$C$6</f>
        <v>0</v>
      </c>
      <c r="K2053" s="15" t="n">
        <f aca="false">AG2053*評分方法!$C$7</f>
        <v>10.05</v>
      </c>
      <c r="L2053" s="15" t="n">
        <f aca="false">AH2053*評分方法!$C$8</f>
        <v>15</v>
      </c>
      <c r="M2053" s="15" t="n">
        <f aca="false">AI2053*評分方法!$C$9</f>
        <v>10</v>
      </c>
      <c r="N2053" s="15" t="n">
        <f aca="false">AJ2053*評分方法!$C$10</f>
        <v>4.344</v>
      </c>
      <c r="O2053" s="15" t="n">
        <f aca="false">AK2053*評分方法!$C$11</f>
        <v>2.5</v>
      </c>
      <c r="P2053" s="15" t="n">
        <f aca="false">AL2053*評分方法!$C$12</f>
        <v>0</v>
      </c>
      <c r="Q2053" s="6" t="n">
        <v>477170</v>
      </c>
      <c r="R2053" s="6" t="n">
        <v>111243010</v>
      </c>
      <c r="S2053" s="11" t="s">
        <v>238</v>
      </c>
      <c r="T2053" s="11" t="s">
        <v>278</v>
      </c>
      <c r="U2053" s="5" t="s">
        <v>240</v>
      </c>
      <c r="V2053" s="11" t="s">
        <v>279</v>
      </c>
      <c r="W2053" s="5" t="s">
        <v>207</v>
      </c>
      <c r="X2053" s="5" t="s">
        <v>242</v>
      </c>
      <c r="Y2053" s="5"/>
      <c r="Z2053" s="5"/>
      <c r="AA2053" s="11" t="s">
        <v>162</v>
      </c>
      <c r="AB2053" s="5" t="s">
        <v>328</v>
      </c>
      <c r="AC2053" s="5" t="s">
        <v>5038</v>
      </c>
      <c r="AD2053" s="11" t="s">
        <v>5039</v>
      </c>
      <c r="AE2053" s="23" t="n">
        <v>0.3</v>
      </c>
      <c r="AF2053" s="23" t="n">
        <v>0</v>
      </c>
      <c r="AG2053" s="23" t="n">
        <v>0.67</v>
      </c>
      <c r="AH2053" s="23" t="n">
        <v>1</v>
      </c>
      <c r="AI2053" s="23" t="n">
        <v>1</v>
      </c>
      <c r="AJ2053" s="23" t="n">
        <v>0.4344</v>
      </c>
      <c r="AK2053" s="23" t="n">
        <v>0.5</v>
      </c>
      <c r="AL2053" s="23" t="n">
        <v>0</v>
      </c>
      <c r="AM2053" s="16" t="n">
        <f aca="false">COUNTIFS($D$2:$D$2501,D2053,$G$2:$G$2501,"&gt;"&amp;G2053)+COUNTIFS($D$2:D2053,D2053,$G$2:G2053,G2053)</f>
        <v>38</v>
      </c>
      <c r="AN2053" s="5" t="str">
        <f aca="false">D2053&amp;"|"&amp;AM2053</f>
        <v>微調基底模型|38</v>
      </c>
    </row>
    <row r="2054" customFormat="false" ht="17.15" hidden="false" customHeight="false" outlineLevel="0" collapsed="false">
      <c r="A2054" s="16" t="n">
        <f aca="false">RANK(G2054,$G$2:$G$2501)+COUNTIF($G$2:G2054,G2054)-1</f>
        <v>2053</v>
      </c>
      <c r="B2054" s="11" t="s">
        <v>5040</v>
      </c>
      <c r="C2054" s="11" t="s">
        <v>4682</v>
      </c>
      <c r="D2054" s="5" t="s">
        <v>56</v>
      </c>
      <c r="E2054" s="5" t="s">
        <v>57</v>
      </c>
      <c r="F2054" s="5"/>
      <c r="G2054" s="22" t="n">
        <f aca="false">ROUND(SUM(I2054:P2054),3)</f>
        <v>50.886</v>
      </c>
      <c r="H2054" s="5" t="str">
        <f aca="false">IF(G2054&gt;=評分方法!$C$16,"優先評估",IF(G2054&gt;=評分方法!$C$17,"列入候選",IF(G2054&gt;=評分方法!$C$18,"特定情境","不建議")))</f>
        <v>不建議</v>
      </c>
      <c r="I2054" s="15" t="n">
        <f aca="false">AE2054*評分方法!$C$5</f>
        <v>15.3</v>
      </c>
      <c r="J2054" s="15" t="n">
        <f aca="false">AF2054*評分方法!$C$6</f>
        <v>0</v>
      </c>
      <c r="K2054" s="15" t="n">
        <f aca="false">AG2054*評分方法!$C$7</f>
        <v>4.95</v>
      </c>
      <c r="L2054" s="15" t="n">
        <f aca="false">AH2054*評分方法!$C$8</f>
        <v>15</v>
      </c>
      <c r="M2054" s="15" t="n">
        <f aca="false">AI2054*評分方法!$C$9</f>
        <v>10</v>
      </c>
      <c r="N2054" s="15" t="n">
        <f aca="false">AJ2054*評分方法!$C$10</f>
        <v>3.136</v>
      </c>
      <c r="O2054" s="15" t="n">
        <f aca="false">AK2054*評分方法!$C$11</f>
        <v>2.5</v>
      </c>
      <c r="P2054" s="15" t="n">
        <f aca="false">AL2054*評分方法!$C$12</f>
        <v>0</v>
      </c>
      <c r="Q2054" s="6" t="n">
        <v>306975</v>
      </c>
      <c r="R2054" s="6" t="n">
        <v>793048320</v>
      </c>
      <c r="S2054" s="11" t="s">
        <v>238</v>
      </c>
      <c r="T2054" s="11" t="s">
        <v>278</v>
      </c>
      <c r="U2054" s="5" t="s">
        <v>240</v>
      </c>
      <c r="V2054" s="11" t="s">
        <v>261</v>
      </c>
      <c r="W2054" s="5" t="s">
        <v>334</v>
      </c>
      <c r="X2054" s="5" t="s">
        <v>242</v>
      </c>
      <c r="Y2054" s="11" t="s">
        <v>5041</v>
      </c>
      <c r="Z2054" s="11" t="s">
        <v>270</v>
      </c>
      <c r="AA2054" s="11" t="s">
        <v>155</v>
      </c>
      <c r="AB2054" s="5" t="s">
        <v>245</v>
      </c>
      <c r="AC2054" s="5" t="s">
        <v>1463</v>
      </c>
      <c r="AD2054" s="11" t="s">
        <v>5042</v>
      </c>
      <c r="AE2054" s="23" t="n">
        <v>0.51</v>
      </c>
      <c r="AF2054" s="23" t="n">
        <v>0</v>
      </c>
      <c r="AG2054" s="23" t="n">
        <v>0.33</v>
      </c>
      <c r="AH2054" s="23" t="n">
        <v>1</v>
      </c>
      <c r="AI2054" s="23" t="n">
        <v>1</v>
      </c>
      <c r="AJ2054" s="23" t="n">
        <v>0.3136</v>
      </c>
      <c r="AK2054" s="23" t="n">
        <v>0.5</v>
      </c>
      <c r="AL2054" s="23" t="n">
        <v>0</v>
      </c>
      <c r="AM2054" s="16" t="n">
        <f aca="false">COUNTIFS($D$2:$D$2501,D2054,$G$2:$G$2501,"&gt;"&amp;G2054)+COUNTIFS($D$2:D2054,D2054,$G$2:G2054,G2054)</f>
        <v>927</v>
      </c>
      <c r="AN2054" s="5" t="str">
        <f aca="false">D2054&amp;"|"&amp;AM2054</f>
        <v>分析與報告生成|927</v>
      </c>
    </row>
    <row r="2055" customFormat="false" ht="17.15" hidden="false" customHeight="false" outlineLevel="0" collapsed="false">
      <c r="A2055" s="16" t="n">
        <f aca="false">RANK(G2055,$G$2:$G$2501)+COUNTIF($G$2:G2055,G2055)-1</f>
        <v>2054</v>
      </c>
      <c r="B2055" s="11" t="s">
        <v>5043</v>
      </c>
      <c r="C2055" s="11" t="s">
        <v>5031</v>
      </c>
      <c r="D2055" s="5" t="s">
        <v>56</v>
      </c>
      <c r="E2055" s="5" t="s">
        <v>57</v>
      </c>
      <c r="F2055" s="5"/>
      <c r="G2055" s="22" t="n">
        <f aca="false">ROUND(SUM(I2055:P2055),3)</f>
        <v>50.862</v>
      </c>
      <c r="H2055" s="5" t="str">
        <f aca="false">IF(G2055&gt;=評分方法!$C$16,"優先評估",IF(G2055&gt;=評分方法!$C$17,"列入候選",IF(G2055&gt;=評分方法!$C$18,"特定情境","不建議")))</f>
        <v>不建議</v>
      </c>
      <c r="I2055" s="15" t="n">
        <f aca="false">AE2055*評分方法!$C$5</f>
        <v>18</v>
      </c>
      <c r="J2055" s="15" t="n">
        <f aca="false">AF2055*評分方法!$C$6</f>
        <v>0</v>
      </c>
      <c r="K2055" s="15" t="n">
        <f aca="false">AG2055*評分方法!$C$7</f>
        <v>4.95</v>
      </c>
      <c r="L2055" s="15" t="n">
        <f aca="false">AH2055*評分方法!$C$8</f>
        <v>15</v>
      </c>
      <c r="M2055" s="15" t="n">
        <f aca="false">AI2055*評分方法!$C$9</f>
        <v>10</v>
      </c>
      <c r="N2055" s="15" t="n">
        <f aca="false">AJ2055*評分方法!$C$10</f>
        <v>0.412</v>
      </c>
      <c r="O2055" s="15" t="n">
        <f aca="false">AK2055*評分方法!$C$11</f>
        <v>2.5</v>
      </c>
      <c r="P2055" s="15" t="n">
        <f aca="false">AL2055*評分方法!$C$12</f>
        <v>0</v>
      </c>
      <c r="Q2055" s="6" t="n">
        <v>128752</v>
      </c>
      <c r="R2055" s="6" t="n">
        <v>198640896</v>
      </c>
      <c r="S2055" s="11" t="s">
        <v>238</v>
      </c>
      <c r="T2055" s="11" t="s">
        <v>278</v>
      </c>
      <c r="U2055" s="5" t="s">
        <v>240</v>
      </c>
      <c r="V2055" s="11" t="s">
        <v>261</v>
      </c>
      <c r="W2055" s="5" t="s">
        <v>334</v>
      </c>
      <c r="X2055" s="5" t="s">
        <v>242</v>
      </c>
      <c r="Y2055" s="5"/>
      <c r="Z2055" s="5"/>
      <c r="AA2055" s="11" t="s">
        <v>161</v>
      </c>
      <c r="AB2055" s="5" t="s">
        <v>983</v>
      </c>
      <c r="AC2055" s="5" t="s">
        <v>984</v>
      </c>
      <c r="AD2055" s="11" t="s">
        <v>5044</v>
      </c>
      <c r="AE2055" s="23" t="n">
        <v>0.6</v>
      </c>
      <c r="AF2055" s="23" t="n">
        <v>0</v>
      </c>
      <c r="AG2055" s="23" t="n">
        <v>0.33</v>
      </c>
      <c r="AH2055" s="23" t="n">
        <v>1</v>
      </c>
      <c r="AI2055" s="23" t="n">
        <v>1</v>
      </c>
      <c r="AJ2055" s="23" t="n">
        <v>0.0412</v>
      </c>
      <c r="AK2055" s="23" t="n">
        <v>0.5</v>
      </c>
      <c r="AL2055" s="23" t="n">
        <v>0</v>
      </c>
      <c r="AM2055" s="16" t="n">
        <f aca="false">COUNTIFS($D$2:$D$2501,D2055,$G$2:$G$2501,"&gt;"&amp;G2055)+COUNTIFS($D$2:D2055,D2055,$G$2:G2055,G2055)</f>
        <v>928</v>
      </c>
      <c r="AN2055" s="5" t="str">
        <f aca="false">D2055&amp;"|"&amp;AM2055</f>
        <v>分析與報告生成|928</v>
      </c>
    </row>
    <row r="2056" customFormat="false" ht="17.15" hidden="false" customHeight="false" outlineLevel="0" collapsed="false">
      <c r="A2056" s="16" t="n">
        <f aca="false">RANK(G2056,$G$2:$G$2501)+COUNTIF($G$2:G2056,G2056)-1</f>
        <v>2055</v>
      </c>
      <c r="B2056" s="11" t="s">
        <v>5045</v>
      </c>
      <c r="C2056" s="11" t="s">
        <v>4740</v>
      </c>
      <c r="D2056" s="5" t="s">
        <v>54</v>
      </c>
      <c r="E2056" s="5" t="s">
        <v>55</v>
      </c>
      <c r="F2056" s="5"/>
      <c r="G2056" s="22" t="n">
        <f aca="false">ROUND(SUM(I2056:P2056),3)</f>
        <v>50.818</v>
      </c>
      <c r="H2056" s="5" t="str">
        <f aca="false">IF(G2056&gt;=評分方法!$C$16,"優先評估",IF(G2056&gt;=評分方法!$C$17,"列入候選",IF(G2056&gt;=評分方法!$C$18,"特定情境","不建議")))</f>
        <v>不建議</v>
      </c>
      <c r="I2056" s="15" t="n">
        <f aca="false">AE2056*評分方法!$C$5</f>
        <v>16.2</v>
      </c>
      <c r="J2056" s="15" t="n">
        <f aca="false">AF2056*評分方法!$C$6</f>
        <v>0</v>
      </c>
      <c r="K2056" s="15" t="n">
        <f aca="false">AG2056*評分方法!$C$7</f>
        <v>4.95</v>
      </c>
      <c r="L2056" s="15" t="n">
        <f aca="false">AH2056*評分方法!$C$8</f>
        <v>15</v>
      </c>
      <c r="M2056" s="15" t="n">
        <f aca="false">AI2056*評分方法!$C$9</f>
        <v>10</v>
      </c>
      <c r="N2056" s="15" t="n">
        <f aca="false">AJ2056*評分方法!$C$10</f>
        <v>2.168</v>
      </c>
      <c r="O2056" s="15" t="n">
        <f aca="false">AK2056*評分方法!$C$11</f>
        <v>2.5</v>
      </c>
      <c r="P2056" s="15" t="n">
        <f aca="false">AL2056*評分方法!$C$12</f>
        <v>0</v>
      </c>
      <c r="Q2056" s="6" t="n">
        <v>221215</v>
      </c>
      <c r="R2056" s="6" t="n">
        <v>334396416</v>
      </c>
      <c r="S2056" s="11" t="s">
        <v>238</v>
      </c>
      <c r="T2056" s="11" t="s">
        <v>278</v>
      </c>
      <c r="U2056" s="5" t="s">
        <v>240</v>
      </c>
      <c r="V2056" s="11" t="s">
        <v>261</v>
      </c>
      <c r="W2056" s="5" t="s">
        <v>334</v>
      </c>
      <c r="X2056" s="5" t="s">
        <v>242</v>
      </c>
      <c r="Y2056" s="5"/>
      <c r="Z2056" s="5"/>
      <c r="AA2056" s="11" t="s">
        <v>152</v>
      </c>
      <c r="AB2056" s="5" t="s">
        <v>245</v>
      </c>
      <c r="AC2056" s="5" t="s">
        <v>1463</v>
      </c>
      <c r="AD2056" s="11" t="s">
        <v>5046</v>
      </c>
      <c r="AE2056" s="23" t="n">
        <v>0.54</v>
      </c>
      <c r="AF2056" s="23" t="n">
        <v>0</v>
      </c>
      <c r="AG2056" s="23" t="n">
        <v>0.33</v>
      </c>
      <c r="AH2056" s="23" t="n">
        <v>1</v>
      </c>
      <c r="AI2056" s="23" t="n">
        <v>1</v>
      </c>
      <c r="AJ2056" s="23" t="n">
        <v>0.2168</v>
      </c>
      <c r="AK2056" s="23" t="n">
        <v>0.5</v>
      </c>
      <c r="AL2056" s="23" t="n">
        <v>0</v>
      </c>
      <c r="AM2056" s="16" t="n">
        <f aca="false">COUNTIFS($D$2:$D$2501,D2056,$G$2:$G$2501,"&gt;"&amp;G2056)+COUNTIFS($D$2:D2056,D2056,$G$2:G2056,G2056)</f>
        <v>254</v>
      </c>
      <c r="AN2056" s="5" t="str">
        <f aca="false">D2056&amp;"|"&amp;AM2056</f>
        <v>檢索與情資關聯|254</v>
      </c>
    </row>
    <row r="2057" customFormat="false" ht="17.15" hidden="false" customHeight="false" outlineLevel="0" collapsed="false">
      <c r="A2057" s="16" t="n">
        <f aca="false">RANK(G2057,$G$2:$G$2501)+COUNTIF($G$2:G2057,G2057)-1</f>
        <v>2056</v>
      </c>
      <c r="B2057" s="11" t="s">
        <v>4691</v>
      </c>
      <c r="C2057" s="11" t="s">
        <v>5047</v>
      </c>
      <c r="D2057" s="5" t="s">
        <v>72</v>
      </c>
      <c r="E2057" s="5" t="s">
        <v>73</v>
      </c>
      <c r="F2057" s="5"/>
      <c r="G2057" s="22" t="n">
        <f aca="false">ROUND(SUM(I2057:P2057),3)</f>
        <v>50.758</v>
      </c>
      <c r="H2057" s="5" t="str">
        <f aca="false">IF(G2057&gt;=評分方法!$C$16,"優先評估",IF(G2057&gt;=評分方法!$C$17,"列入候選",IF(G2057&gt;=評分方法!$C$18,"特定情境","不建議")))</f>
        <v>不建議</v>
      </c>
      <c r="I2057" s="15" t="n">
        <f aca="false">AE2057*評分方法!$C$5</f>
        <v>9</v>
      </c>
      <c r="J2057" s="15" t="n">
        <f aca="false">AF2057*評分方法!$C$6</f>
        <v>0</v>
      </c>
      <c r="K2057" s="15" t="n">
        <f aca="false">AG2057*評分方法!$C$7</f>
        <v>4.95</v>
      </c>
      <c r="L2057" s="15" t="n">
        <f aca="false">AH2057*評分方法!$C$8</f>
        <v>15</v>
      </c>
      <c r="M2057" s="15" t="n">
        <f aca="false">AI2057*評分方法!$C$9</f>
        <v>10</v>
      </c>
      <c r="N2057" s="15" t="n">
        <f aca="false">AJ2057*評分方法!$C$10</f>
        <v>9.308</v>
      </c>
      <c r="O2057" s="15" t="n">
        <f aca="false">AK2057*評分方法!$C$11</f>
        <v>2.5</v>
      </c>
      <c r="P2057" s="15" t="n">
        <f aca="false">AL2057*評分方法!$C$12</f>
        <v>0</v>
      </c>
      <c r="Q2057" s="6" t="n">
        <v>6256254</v>
      </c>
      <c r="R2057" s="6" t="n">
        <v>111246085</v>
      </c>
      <c r="S2057" s="11" t="s">
        <v>238</v>
      </c>
      <c r="T2057" s="11" t="s">
        <v>278</v>
      </c>
      <c r="U2057" s="5" t="s">
        <v>240</v>
      </c>
      <c r="V2057" s="11" t="s">
        <v>855</v>
      </c>
      <c r="W2057" s="5" t="s">
        <v>334</v>
      </c>
      <c r="X2057" s="5" t="s">
        <v>242</v>
      </c>
      <c r="Y2057" s="5"/>
      <c r="Z2057" s="5"/>
      <c r="AA2057" s="11" t="s">
        <v>162</v>
      </c>
      <c r="AB2057" s="5" t="s">
        <v>245</v>
      </c>
      <c r="AC2057" s="5" t="s">
        <v>1463</v>
      </c>
      <c r="AD2057" s="11" t="s">
        <v>5048</v>
      </c>
      <c r="AE2057" s="23" t="n">
        <v>0.3</v>
      </c>
      <c r="AF2057" s="23" t="n">
        <v>0</v>
      </c>
      <c r="AG2057" s="23" t="n">
        <v>0.33</v>
      </c>
      <c r="AH2057" s="23" t="n">
        <v>1</v>
      </c>
      <c r="AI2057" s="23" t="n">
        <v>1</v>
      </c>
      <c r="AJ2057" s="23" t="n">
        <v>0.9308</v>
      </c>
      <c r="AK2057" s="23" t="n">
        <v>0.5</v>
      </c>
      <c r="AL2057" s="23" t="n">
        <v>0</v>
      </c>
      <c r="AM2057" s="16" t="n">
        <f aca="false">COUNTIFS($D$2:$D$2501,D2057,$G$2:$G$2501,"&gt;"&amp;G2057)+COUNTIFS($D$2:D2057,D2057,$G$2:G2057,G2057)</f>
        <v>39</v>
      </c>
      <c r="AN2057" s="5" t="str">
        <f aca="false">D2057&amp;"|"&amp;AM2057</f>
        <v>微調基底模型|39</v>
      </c>
    </row>
    <row r="2058" customFormat="false" ht="17.15" hidden="false" customHeight="false" outlineLevel="0" collapsed="false">
      <c r="A2058" s="16" t="n">
        <f aca="false">RANK(G2058,$G$2:$G$2501)+COUNTIF($G$2:G2058,G2058)-1</f>
        <v>2057</v>
      </c>
      <c r="B2058" s="11" t="s">
        <v>5049</v>
      </c>
      <c r="C2058" s="11" t="s">
        <v>402</v>
      </c>
      <c r="D2058" s="5" t="s">
        <v>58</v>
      </c>
      <c r="E2058" s="5" t="s">
        <v>59</v>
      </c>
      <c r="F2058" s="5"/>
      <c r="G2058" s="22" t="n">
        <f aca="false">ROUND(SUM(I2058:P2058),3)</f>
        <v>50.738</v>
      </c>
      <c r="H2058" s="5" t="str">
        <f aca="false">IF(G2058&gt;=評分方法!$C$16,"優先評估",IF(G2058&gt;=評分方法!$C$17,"列入候選",IF(G2058&gt;=評分方法!$C$18,"特定情境","不建議")))</f>
        <v>不建議</v>
      </c>
      <c r="I2058" s="15" t="n">
        <f aca="false">AE2058*評分方法!$C$5</f>
        <v>11.4</v>
      </c>
      <c r="J2058" s="15" t="n">
        <f aca="false">AF2058*評分方法!$C$6</f>
        <v>0</v>
      </c>
      <c r="K2058" s="15" t="n">
        <f aca="false">AG2058*評分方法!$C$7</f>
        <v>4.95</v>
      </c>
      <c r="L2058" s="15" t="n">
        <f aca="false">AH2058*評分方法!$C$8</f>
        <v>15</v>
      </c>
      <c r="M2058" s="15" t="n">
        <f aca="false">AI2058*評分方法!$C$9</f>
        <v>10</v>
      </c>
      <c r="N2058" s="15" t="n">
        <f aca="false">AJ2058*評分方法!$C$10</f>
        <v>6.888</v>
      </c>
      <c r="O2058" s="15" t="n">
        <f aca="false">AK2058*評分方法!$C$11</f>
        <v>2.5</v>
      </c>
      <c r="P2058" s="15" t="n">
        <f aca="false">AL2058*評分方法!$C$12</f>
        <v>0</v>
      </c>
      <c r="Q2058" s="6" t="n">
        <v>866987</v>
      </c>
      <c r="R2058" s="6" t="n">
        <v>108893955</v>
      </c>
      <c r="S2058" s="11" t="s">
        <v>238</v>
      </c>
      <c r="T2058" s="11" t="s">
        <v>239</v>
      </c>
      <c r="U2058" s="5" t="s">
        <v>240</v>
      </c>
      <c r="V2058" s="11" t="s">
        <v>261</v>
      </c>
      <c r="W2058" s="5" t="s">
        <v>334</v>
      </c>
      <c r="X2058" s="5" t="s">
        <v>242</v>
      </c>
      <c r="Y2058" s="5"/>
      <c r="Z2058" s="5"/>
      <c r="AA2058" s="11" t="s">
        <v>150</v>
      </c>
      <c r="AB2058" s="5" t="s">
        <v>245</v>
      </c>
      <c r="AC2058" s="5" t="s">
        <v>3044</v>
      </c>
      <c r="AD2058" s="11" t="s">
        <v>5050</v>
      </c>
      <c r="AE2058" s="23" t="n">
        <v>0.38</v>
      </c>
      <c r="AF2058" s="23" t="n">
        <v>0</v>
      </c>
      <c r="AG2058" s="23" t="n">
        <v>0.33</v>
      </c>
      <c r="AH2058" s="23" t="n">
        <v>1</v>
      </c>
      <c r="AI2058" s="23" t="n">
        <v>1</v>
      </c>
      <c r="AJ2058" s="23" t="n">
        <v>0.6888</v>
      </c>
      <c r="AK2058" s="23" t="n">
        <v>0.5</v>
      </c>
      <c r="AL2058" s="23" t="n">
        <v>0</v>
      </c>
      <c r="AM2058" s="16" t="n">
        <f aca="false">COUNTIFS($D$2:$D$2501,D2058,$G$2:$G$2501,"&gt;"&amp;G2058)+COUNTIFS($D$2:D2058,D2058,$G$2:G2058,G2058)</f>
        <v>305</v>
      </c>
      <c r="AN2058" s="5" t="str">
        <f aca="false">D2058&amp;"|"&amp;AM2058</f>
        <v>實體擷取與去識別化|305</v>
      </c>
    </row>
    <row r="2059" customFormat="false" ht="17.15" hidden="false" customHeight="false" outlineLevel="0" collapsed="false">
      <c r="A2059" s="16" t="n">
        <f aca="false">RANK(G2059,$G$2:$G$2501)+COUNTIF($G$2:G2059,G2059)-1</f>
        <v>2058</v>
      </c>
      <c r="B2059" s="11" t="s">
        <v>5051</v>
      </c>
      <c r="C2059" s="11" t="s">
        <v>681</v>
      </c>
      <c r="D2059" s="5" t="s">
        <v>74</v>
      </c>
      <c r="E2059" s="5" t="s">
        <v>75</v>
      </c>
      <c r="F2059" s="5"/>
      <c r="G2059" s="22" t="n">
        <f aca="false">ROUND(SUM(I2059:P2059),3)</f>
        <v>50.732</v>
      </c>
      <c r="H2059" s="5" t="str">
        <f aca="false">IF(G2059&gt;=評分方法!$C$16,"優先評估",IF(G2059&gt;=評分方法!$C$17,"列入候選",IF(G2059&gt;=評分方法!$C$18,"特定情境","不建議")))</f>
        <v>不建議</v>
      </c>
      <c r="I2059" s="15" t="n">
        <f aca="false">AE2059*評分方法!$C$5</f>
        <v>10.5</v>
      </c>
      <c r="J2059" s="15" t="n">
        <f aca="false">AF2059*評分方法!$C$6</f>
        <v>0</v>
      </c>
      <c r="K2059" s="15" t="n">
        <f aca="false">AG2059*評分方法!$C$7</f>
        <v>15</v>
      </c>
      <c r="L2059" s="15" t="n">
        <f aca="false">AH2059*評分方法!$C$8</f>
        <v>15</v>
      </c>
      <c r="M2059" s="15" t="n">
        <f aca="false">AI2059*評分方法!$C$9</f>
        <v>6</v>
      </c>
      <c r="N2059" s="15" t="n">
        <f aca="false">AJ2059*評分方法!$C$10</f>
        <v>1.732</v>
      </c>
      <c r="O2059" s="15" t="n">
        <f aca="false">AK2059*評分方法!$C$11</f>
        <v>2.5</v>
      </c>
      <c r="P2059" s="15" t="n">
        <f aca="false">AL2059*評分方法!$C$12</f>
        <v>0</v>
      </c>
      <c r="Q2059" s="6" t="n">
        <v>192869</v>
      </c>
      <c r="R2059" s="6" t="n">
        <v>303129600</v>
      </c>
      <c r="S2059" s="11" t="s">
        <v>238</v>
      </c>
      <c r="T2059" s="11" t="s">
        <v>185</v>
      </c>
      <c r="U2059" s="5" t="s">
        <v>260</v>
      </c>
      <c r="V2059" s="11" t="s">
        <v>261</v>
      </c>
      <c r="W2059" s="5" t="s">
        <v>205</v>
      </c>
      <c r="X2059" s="5" t="s">
        <v>242</v>
      </c>
      <c r="Y2059" s="11" t="s">
        <v>5052</v>
      </c>
      <c r="Z2059" s="11" t="s">
        <v>270</v>
      </c>
      <c r="AA2059" s="11" t="s">
        <v>173</v>
      </c>
      <c r="AB2059" s="5" t="s">
        <v>245</v>
      </c>
      <c r="AC2059" s="5" t="s">
        <v>262</v>
      </c>
      <c r="AD2059" s="11" t="s">
        <v>5053</v>
      </c>
      <c r="AE2059" s="23" t="n">
        <v>0.35</v>
      </c>
      <c r="AF2059" s="23" t="n">
        <v>0</v>
      </c>
      <c r="AG2059" s="23" t="n">
        <v>1</v>
      </c>
      <c r="AH2059" s="23" t="n">
        <v>1</v>
      </c>
      <c r="AI2059" s="23" t="n">
        <v>0.6</v>
      </c>
      <c r="AJ2059" s="23" t="n">
        <v>0.1732</v>
      </c>
      <c r="AK2059" s="23" t="n">
        <v>0.5</v>
      </c>
      <c r="AL2059" s="23" t="n">
        <v>0</v>
      </c>
      <c r="AM2059" s="16" t="n">
        <f aca="false">COUNTIFS($D$2:$D$2501,D2059,$G$2:$G$2501,"&gt;"&amp;G2059)+COUNTIFS($D$2:D2059,D2059,$G$2:G2059,G2059)</f>
        <v>272</v>
      </c>
      <c r="AN2059" s="5" t="str">
        <f aca="false">D2059&amp;"|"&amp;AM2059</f>
        <v>文件與影像辨識|272</v>
      </c>
    </row>
    <row r="2060" customFormat="false" ht="17.15" hidden="false" customHeight="false" outlineLevel="0" collapsed="false">
      <c r="A2060" s="16" t="n">
        <f aca="false">RANK(G2060,$G$2:$G$2501)+COUNTIF($G$2:G2060,G2060)-1</f>
        <v>2059</v>
      </c>
      <c r="B2060" s="11" t="s">
        <v>5054</v>
      </c>
      <c r="C2060" s="11" t="s">
        <v>2693</v>
      </c>
      <c r="D2060" s="5" t="s">
        <v>74</v>
      </c>
      <c r="E2060" s="5" t="s">
        <v>75</v>
      </c>
      <c r="F2060" s="5"/>
      <c r="G2060" s="22" t="n">
        <f aca="false">ROUND(SUM(I2060:P2060),3)</f>
        <v>50.674</v>
      </c>
      <c r="H2060" s="5" t="str">
        <f aca="false">IF(G2060&gt;=評分方法!$C$16,"優先評估",IF(G2060&gt;=評分方法!$C$17,"列入候選",IF(G2060&gt;=評分方法!$C$18,"特定情境","不建議")))</f>
        <v>不建議</v>
      </c>
      <c r="I2060" s="15" t="n">
        <f aca="false">AE2060*評分方法!$C$5</f>
        <v>12</v>
      </c>
      <c r="J2060" s="15" t="n">
        <f aca="false">AF2060*評分方法!$C$6</f>
        <v>0</v>
      </c>
      <c r="K2060" s="15" t="n">
        <f aca="false">AG2060*評分方法!$C$7</f>
        <v>15</v>
      </c>
      <c r="L2060" s="15" t="n">
        <f aca="false">AH2060*評分方法!$C$8</f>
        <v>7.05</v>
      </c>
      <c r="M2060" s="15" t="n">
        <f aca="false">AI2060*評分方法!$C$9</f>
        <v>10</v>
      </c>
      <c r="N2060" s="15" t="n">
        <f aca="false">AJ2060*評分方法!$C$10</f>
        <v>4.124</v>
      </c>
      <c r="O2060" s="15" t="n">
        <f aca="false">AK2060*評分方法!$C$11</f>
        <v>1</v>
      </c>
      <c r="P2060" s="15" t="n">
        <f aca="false">AL2060*評分方法!$C$12</f>
        <v>1.5</v>
      </c>
      <c r="Q2060" s="6" t="n">
        <v>441774</v>
      </c>
      <c r="R2060" s="6"/>
      <c r="S2060" s="5" t="s">
        <v>255</v>
      </c>
      <c r="T2060" s="11" t="s">
        <v>239</v>
      </c>
      <c r="U2060" s="5" t="s">
        <v>240</v>
      </c>
      <c r="V2060" s="11" t="s">
        <v>324</v>
      </c>
      <c r="W2060" s="5" t="s">
        <v>205</v>
      </c>
      <c r="X2060" s="5" t="s">
        <v>255</v>
      </c>
      <c r="Y2060" s="5"/>
      <c r="Z2060" s="5"/>
      <c r="AA2060" s="11" t="s">
        <v>167</v>
      </c>
      <c r="AB2060" s="5" t="s">
        <v>245</v>
      </c>
      <c r="AC2060" s="5"/>
      <c r="AD2060" s="11" t="s">
        <v>5055</v>
      </c>
      <c r="AE2060" s="23" t="n">
        <v>0.4</v>
      </c>
      <c r="AF2060" s="23" t="n">
        <v>0</v>
      </c>
      <c r="AG2060" s="23" t="n">
        <v>1</v>
      </c>
      <c r="AH2060" s="23" t="n">
        <v>0.47</v>
      </c>
      <c r="AI2060" s="23" t="n">
        <v>1</v>
      </c>
      <c r="AJ2060" s="23" t="n">
        <v>0.4124</v>
      </c>
      <c r="AK2060" s="23" t="n">
        <v>0.2</v>
      </c>
      <c r="AL2060" s="23" t="n">
        <v>0.3</v>
      </c>
      <c r="AM2060" s="16" t="n">
        <f aca="false">COUNTIFS($D$2:$D$2501,D2060,$G$2:$G$2501,"&gt;"&amp;G2060)+COUNTIFS($D$2:D2060,D2060,$G$2:G2060,G2060)</f>
        <v>273</v>
      </c>
      <c r="AN2060" s="5" t="str">
        <f aca="false">D2060&amp;"|"&amp;AM2060</f>
        <v>文件與影像辨識|273</v>
      </c>
    </row>
    <row r="2061" customFormat="false" ht="17.15" hidden="false" customHeight="false" outlineLevel="0" collapsed="false">
      <c r="A2061" s="16" t="n">
        <f aca="false">RANK(G2061,$G$2:$G$2501)+COUNTIF($G$2:G2061,G2061)-1</f>
        <v>2060</v>
      </c>
      <c r="B2061" s="11" t="s">
        <v>5056</v>
      </c>
      <c r="C2061" s="11" t="s">
        <v>4046</v>
      </c>
      <c r="D2061" s="5" t="s">
        <v>78</v>
      </c>
      <c r="E2061" s="5" t="s">
        <v>79</v>
      </c>
      <c r="F2061" s="5"/>
      <c r="G2061" s="22" t="n">
        <f aca="false">ROUND(SUM(I2061:P2061),3)</f>
        <v>50.65</v>
      </c>
      <c r="H2061" s="5" t="str">
        <f aca="false">IF(G2061&gt;=評分方法!$C$16,"優先評估",IF(G2061&gt;=評分方法!$C$17,"列入候選",IF(G2061&gt;=評分方法!$C$18,"特定情境","不建議")))</f>
        <v>不建議</v>
      </c>
      <c r="I2061" s="15" t="n">
        <f aca="false">AE2061*評分方法!$C$5</f>
        <v>9</v>
      </c>
      <c r="J2061" s="15" t="n">
        <f aca="false">AF2061*評分方法!$C$6</f>
        <v>0</v>
      </c>
      <c r="K2061" s="15" t="n">
        <f aca="false">AG2061*評分方法!$C$7</f>
        <v>4.95</v>
      </c>
      <c r="L2061" s="15" t="n">
        <f aca="false">AH2061*評分方法!$C$8</f>
        <v>15</v>
      </c>
      <c r="M2061" s="15" t="n">
        <f aca="false">AI2061*評分方法!$C$9</f>
        <v>10</v>
      </c>
      <c r="N2061" s="15" t="n">
        <f aca="false">AJ2061*評分方法!$C$10</f>
        <v>1.7</v>
      </c>
      <c r="O2061" s="15" t="n">
        <f aca="false">AK2061*評分方法!$C$11</f>
        <v>5</v>
      </c>
      <c r="P2061" s="15" t="n">
        <f aca="false">AL2061*評分方法!$C$12</f>
        <v>5</v>
      </c>
      <c r="Q2061" s="6" t="n">
        <v>191105</v>
      </c>
      <c r="R2061" s="6" t="n">
        <v>241751392</v>
      </c>
      <c r="S2061" s="11" t="s">
        <v>238</v>
      </c>
      <c r="T2061" s="11" t="s">
        <v>239</v>
      </c>
      <c r="U2061" s="5" t="s">
        <v>240</v>
      </c>
      <c r="V2061" s="11" t="s">
        <v>333</v>
      </c>
      <c r="W2061" s="5" t="s">
        <v>334</v>
      </c>
      <c r="X2061" s="5" t="s">
        <v>284</v>
      </c>
      <c r="Y2061" s="11" t="s">
        <v>2632</v>
      </c>
      <c r="Z2061" s="11" t="s">
        <v>244</v>
      </c>
      <c r="AA2061" s="11" t="s">
        <v>175</v>
      </c>
      <c r="AB2061" s="5" t="s">
        <v>245</v>
      </c>
      <c r="AC2061" s="5" t="s">
        <v>246</v>
      </c>
      <c r="AD2061" s="11" t="s">
        <v>5057</v>
      </c>
      <c r="AE2061" s="23" t="n">
        <v>0.3</v>
      </c>
      <c r="AF2061" s="23" t="n">
        <v>0</v>
      </c>
      <c r="AG2061" s="23" t="n">
        <v>0.33</v>
      </c>
      <c r="AH2061" s="23" t="n">
        <v>1</v>
      </c>
      <c r="AI2061" s="23" t="n">
        <v>1</v>
      </c>
      <c r="AJ2061" s="23" t="n">
        <v>0.17</v>
      </c>
      <c r="AK2061" s="23" t="n">
        <v>1</v>
      </c>
      <c r="AL2061" s="23" t="n">
        <v>1</v>
      </c>
      <c r="AM2061" s="16" t="n">
        <f aca="false">COUNTIFS($D$2:$D$2501,D2061,$G$2:$G$2501,"&gt;"&amp;G2061)+COUNTIFS($D$2:D2061,D2061,$G$2:G2061,G2061)</f>
        <v>64</v>
      </c>
      <c r="AN2061" s="5" t="str">
        <f aca="false">D2061&amp;"|"&amp;AM2061</f>
        <v>語音分析|64</v>
      </c>
    </row>
    <row r="2062" customFormat="false" ht="17.15" hidden="false" customHeight="false" outlineLevel="0" collapsed="false">
      <c r="A2062" s="16" t="n">
        <f aca="false">RANK(G2062,$G$2:$G$2501)+COUNTIF($G$2:G2062,G2062)-1</f>
        <v>2061</v>
      </c>
      <c r="B2062" s="11" t="s">
        <v>5058</v>
      </c>
      <c r="C2062" s="11" t="s">
        <v>5059</v>
      </c>
      <c r="D2062" s="5" t="s">
        <v>56</v>
      </c>
      <c r="E2062" s="5" t="s">
        <v>57</v>
      </c>
      <c r="F2062" s="5"/>
      <c r="G2062" s="22" t="n">
        <f aca="false">ROUND(SUM(I2062:P2062),3)</f>
        <v>50.606</v>
      </c>
      <c r="H2062" s="5" t="str">
        <f aca="false">IF(G2062&gt;=評分方法!$C$16,"優先評估",IF(G2062&gt;=評分方法!$C$17,"列入候選",IF(G2062&gt;=評分方法!$C$18,"特定情境","不建議")))</f>
        <v>不建議</v>
      </c>
      <c r="I2062" s="15" t="n">
        <f aca="false">AE2062*評分方法!$C$5</f>
        <v>25.5</v>
      </c>
      <c r="J2062" s="15" t="n">
        <f aca="false">AF2062*評分方法!$C$6</f>
        <v>0</v>
      </c>
      <c r="K2062" s="15" t="n">
        <f aca="false">AG2062*評分方法!$C$7</f>
        <v>4.95</v>
      </c>
      <c r="L2062" s="15" t="n">
        <f aca="false">AH2062*評分方法!$C$8</f>
        <v>9</v>
      </c>
      <c r="M2062" s="15" t="n">
        <f aca="false">AI2062*評分方法!$C$9</f>
        <v>6</v>
      </c>
      <c r="N2062" s="15" t="n">
        <f aca="false">AJ2062*評分方法!$C$10</f>
        <v>2.656</v>
      </c>
      <c r="O2062" s="15" t="n">
        <f aca="false">AK2062*評分方法!$C$11</f>
        <v>2.5</v>
      </c>
      <c r="P2062" s="15" t="n">
        <f aca="false">AL2062*評分方法!$C$12</f>
        <v>0</v>
      </c>
      <c r="Q2062" s="6" t="n">
        <v>264434</v>
      </c>
      <c r="R2062" s="6" t="n">
        <v>12247833600</v>
      </c>
      <c r="S2062" s="11" t="s">
        <v>389</v>
      </c>
      <c r="T2062" s="11" t="s">
        <v>185</v>
      </c>
      <c r="U2062" s="5" t="s">
        <v>260</v>
      </c>
      <c r="V2062" s="11" t="s">
        <v>261</v>
      </c>
      <c r="W2062" s="5" t="s">
        <v>334</v>
      </c>
      <c r="X2062" s="5" t="s">
        <v>242</v>
      </c>
      <c r="Y2062" s="11" t="s">
        <v>772</v>
      </c>
      <c r="Z2062" s="11" t="s">
        <v>270</v>
      </c>
      <c r="AA2062" s="11" t="s">
        <v>155</v>
      </c>
      <c r="AB2062" s="5" t="s">
        <v>245</v>
      </c>
      <c r="AC2062" s="5" t="s">
        <v>262</v>
      </c>
      <c r="AD2062" s="11" t="s">
        <v>5060</v>
      </c>
      <c r="AE2062" s="23" t="n">
        <v>0.85</v>
      </c>
      <c r="AF2062" s="23" t="n">
        <v>0</v>
      </c>
      <c r="AG2062" s="23" t="n">
        <v>0.33</v>
      </c>
      <c r="AH2062" s="23" t="n">
        <v>0.6</v>
      </c>
      <c r="AI2062" s="23" t="n">
        <v>0.6</v>
      </c>
      <c r="AJ2062" s="23" t="n">
        <v>0.2656</v>
      </c>
      <c r="AK2062" s="23" t="n">
        <v>0.5</v>
      </c>
      <c r="AL2062" s="23" t="n">
        <v>0</v>
      </c>
      <c r="AM2062" s="16" t="n">
        <f aca="false">COUNTIFS($D$2:$D$2501,D2062,$G$2:$G$2501,"&gt;"&amp;G2062)+COUNTIFS($D$2:D2062,D2062,$G$2:G2062,G2062)</f>
        <v>929</v>
      </c>
      <c r="AN2062" s="5" t="str">
        <f aca="false">D2062&amp;"|"&amp;AM2062</f>
        <v>分析與報告生成|929</v>
      </c>
    </row>
    <row r="2063" customFormat="false" ht="17.15" hidden="false" customHeight="false" outlineLevel="0" collapsed="false">
      <c r="A2063" s="16" t="n">
        <f aca="false">RANK(G2063,$G$2:$G$2501)+COUNTIF($G$2:G2063,G2063)-1</f>
        <v>2062</v>
      </c>
      <c r="B2063" s="11" t="s">
        <v>5061</v>
      </c>
      <c r="C2063" s="11" t="s">
        <v>5062</v>
      </c>
      <c r="D2063" s="5" t="s">
        <v>74</v>
      </c>
      <c r="E2063" s="5" t="s">
        <v>75</v>
      </c>
      <c r="F2063" s="5"/>
      <c r="G2063" s="22" t="n">
        <f aca="false">ROUND(SUM(I2063:P2063),3)</f>
        <v>50.582</v>
      </c>
      <c r="H2063" s="5" t="str">
        <f aca="false">IF(G2063&gt;=評分方法!$C$16,"優先評估",IF(G2063&gt;=評分方法!$C$17,"列入候選",IF(G2063&gt;=評分方法!$C$18,"特定情境","不建議")))</f>
        <v>不建議</v>
      </c>
      <c r="I2063" s="15" t="n">
        <f aca="false">AE2063*評分方法!$C$5</f>
        <v>7.5</v>
      </c>
      <c r="J2063" s="15" t="n">
        <f aca="false">AF2063*評分方法!$C$6</f>
        <v>0</v>
      </c>
      <c r="K2063" s="15" t="n">
        <f aca="false">AG2063*評分方法!$C$7</f>
        <v>4.95</v>
      </c>
      <c r="L2063" s="15" t="n">
        <f aca="false">AH2063*評分方法!$C$8</f>
        <v>15</v>
      </c>
      <c r="M2063" s="15" t="n">
        <f aca="false">AI2063*評分方法!$C$9</f>
        <v>10</v>
      </c>
      <c r="N2063" s="15" t="n">
        <f aca="false">AJ2063*評分方法!$C$10</f>
        <v>7.632</v>
      </c>
      <c r="O2063" s="15" t="n">
        <f aca="false">AK2063*評分方法!$C$11</f>
        <v>4</v>
      </c>
      <c r="P2063" s="15" t="n">
        <f aca="false">AL2063*評分方法!$C$12</f>
        <v>1.5</v>
      </c>
      <c r="Q2063" s="6" t="n">
        <v>1225966</v>
      </c>
      <c r="R2063" s="6" t="n">
        <v>41608135</v>
      </c>
      <c r="S2063" s="11" t="s">
        <v>238</v>
      </c>
      <c r="T2063" s="11" t="s">
        <v>239</v>
      </c>
      <c r="U2063" s="5" t="s">
        <v>240</v>
      </c>
      <c r="V2063" s="11" t="s">
        <v>288</v>
      </c>
      <c r="W2063" s="5" t="s">
        <v>334</v>
      </c>
      <c r="X2063" s="5" t="s">
        <v>255</v>
      </c>
      <c r="Y2063" s="11" t="s">
        <v>3771</v>
      </c>
      <c r="Z2063" s="11" t="s">
        <v>244</v>
      </c>
      <c r="AA2063" s="11" t="s">
        <v>178</v>
      </c>
      <c r="AB2063" s="5" t="s">
        <v>245</v>
      </c>
      <c r="AC2063" s="5" t="s">
        <v>246</v>
      </c>
      <c r="AD2063" s="11" t="s">
        <v>5063</v>
      </c>
      <c r="AE2063" s="23" t="n">
        <v>0.25</v>
      </c>
      <c r="AF2063" s="23" t="n">
        <v>0</v>
      </c>
      <c r="AG2063" s="23" t="n">
        <v>0.33</v>
      </c>
      <c r="AH2063" s="23" t="n">
        <v>1</v>
      </c>
      <c r="AI2063" s="23" t="n">
        <v>1</v>
      </c>
      <c r="AJ2063" s="23" t="n">
        <v>0.7632</v>
      </c>
      <c r="AK2063" s="23" t="n">
        <v>0.8</v>
      </c>
      <c r="AL2063" s="23" t="n">
        <v>0.3</v>
      </c>
      <c r="AM2063" s="16" t="n">
        <f aca="false">COUNTIFS($D$2:$D$2501,D2063,$G$2:$G$2501,"&gt;"&amp;G2063)+COUNTIFS($D$2:D2063,D2063,$G$2:G2063,G2063)</f>
        <v>274</v>
      </c>
      <c r="AN2063" s="5" t="str">
        <f aca="false">D2063&amp;"|"&amp;AM2063</f>
        <v>文件與影像辨識|274</v>
      </c>
    </row>
    <row r="2064" customFormat="false" ht="17.15" hidden="false" customHeight="false" outlineLevel="0" collapsed="false">
      <c r="A2064" s="16" t="n">
        <f aca="false">RANK(G2064,$G$2:$G$2501)+COUNTIF($G$2:G2064,G2064)-1</f>
        <v>2063</v>
      </c>
      <c r="B2064" s="11" t="s">
        <v>5064</v>
      </c>
      <c r="C2064" s="11" t="s">
        <v>4030</v>
      </c>
      <c r="D2064" s="5" t="s">
        <v>54</v>
      </c>
      <c r="E2064" s="5" t="s">
        <v>55</v>
      </c>
      <c r="F2064" s="5"/>
      <c r="G2064" s="22" t="n">
        <f aca="false">ROUND(SUM(I2064:P2064),3)</f>
        <v>50.562</v>
      </c>
      <c r="H2064" s="5" t="str">
        <f aca="false">IF(G2064&gt;=評分方法!$C$16,"優先評估",IF(G2064&gt;=評分方法!$C$17,"列入候選",IF(G2064&gt;=評分方法!$C$18,"特定情境","不建議")))</f>
        <v>不建議</v>
      </c>
      <c r="I2064" s="15" t="n">
        <f aca="false">AE2064*評分方法!$C$5</f>
        <v>16.2</v>
      </c>
      <c r="J2064" s="15" t="n">
        <f aca="false">AF2064*評分方法!$C$6</f>
        <v>0</v>
      </c>
      <c r="K2064" s="15" t="n">
        <f aca="false">AG2064*評分方法!$C$7</f>
        <v>4.95</v>
      </c>
      <c r="L2064" s="15" t="n">
        <f aca="false">AH2064*評分方法!$C$8</f>
        <v>15</v>
      </c>
      <c r="M2064" s="15" t="n">
        <f aca="false">AI2064*評分方法!$C$9</f>
        <v>10</v>
      </c>
      <c r="N2064" s="15" t="n">
        <f aca="false">AJ2064*評分方法!$C$10</f>
        <v>1.912</v>
      </c>
      <c r="O2064" s="15" t="n">
        <f aca="false">AK2064*評分方法!$C$11</f>
        <v>2.5</v>
      </c>
      <c r="P2064" s="15" t="n">
        <f aca="false">AL2064*評分方法!$C$12</f>
        <v>0</v>
      </c>
      <c r="Q2064" s="6" t="n">
        <v>204323</v>
      </c>
      <c r="R2064" s="6" t="n">
        <v>70002816</v>
      </c>
      <c r="S2064" s="11" t="s">
        <v>238</v>
      </c>
      <c r="T2064" s="11" t="s">
        <v>239</v>
      </c>
      <c r="U2064" s="5" t="s">
        <v>240</v>
      </c>
      <c r="V2064" s="11" t="s">
        <v>261</v>
      </c>
      <c r="W2064" s="5" t="s">
        <v>334</v>
      </c>
      <c r="X2064" s="5" t="s">
        <v>242</v>
      </c>
      <c r="Y2064" s="11" t="s">
        <v>5065</v>
      </c>
      <c r="Z2064" s="11" t="s">
        <v>270</v>
      </c>
      <c r="AA2064" s="11" t="s">
        <v>152</v>
      </c>
      <c r="AB2064" s="5" t="s">
        <v>245</v>
      </c>
      <c r="AC2064" s="5" t="s">
        <v>1463</v>
      </c>
      <c r="AD2064" s="11" t="s">
        <v>5066</v>
      </c>
      <c r="AE2064" s="23" t="n">
        <v>0.54</v>
      </c>
      <c r="AF2064" s="23" t="n">
        <v>0</v>
      </c>
      <c r="AG2064" s="23" t="n">
        <v>0.33</v>
      </c>
      <c r="AH2064" s="23" t="n">
        <v>1</v>
      </c>
      <c r="AI2064" s="23" t="n">
        <v>1</v>
      </c>
      <c r="AJ2064" s="23" t="n">
        <v>0.1912</v>
      </c>
      <c r="AK2064" s="23" t="n">
        <v>0.5</v>
      </c>
      <c r="AL2064" s="23" t="n">
        <v>0</v>
      </c>
      <c r="AM2064" s="16" t="n">
        <f aca="false">COUNTIFS($D$2:$D$2501,D2064,$G$2:$G$2501,"&gt;"&amp;G2064)+COUNTIFS($D$2:D2064,D2064,$G$2:G2064,G2064)</f>
        <v>255</v>
      </c>
      <c r="AN2064" s="5" t="str">
        <f aca="false">D2064&amp;"|"&amp;AM2064</f>
        <v>檢索與情資關聯|255</v>
      </c>
    </row>
    <row r="2065" customFormat="false" ht="17.15" hidden="false" customHeight="false" outlineLevel="0" collapsed="false">
      <c r="A2065" s="16" t="n">
        <f aca="false">RANK(G2065,$G$2:$G$2501)+COUNTIF($G$2:G2065,G2065)-1</f>
        <v>2064</v>
      </c>
      <c r="B2065" s="11" t="s">
        <v>5067</v>
      </c>
      <c r="C2065" s="11" t="s">
        <v>5068</v>
      </c>
      <c r="D2065" s="5" t="s">
        <v>66</v>
      </c>
      <c r="E2065" s="5" t="s">
        <v>67</v>
      </c>
      <c r="F2065" s="5"/>
      <c r="G2065" s="22" t="n">
        <f aca="false">ROUND(SUM(I2065:P2065),3)</f>
        <v>50.554</v>
      </c>
      <c r="H2065" s="5" t="str">
        <f aca="false">IF(G2065&gt;=評分方法!$C$16,"優先評估",IF(G2065&gt;=評分方法!$C$17,"列入候選",IF(G2065&gt;=評分方法!$C$18,"特定情境","不建議")))</f>
        <v>不建議</v>
      </c>
      <c r="I2065" s="15" t="n">
        <f aca="false">AE2065*評分方法!$C$5</f>
        <v>12</v>
      </c>
      <c r="J2065" s="15" t="n">
        <f aca="false">AF2065*評分方法!$C$6</f>
        <v>0</v>
      </c>
      <c r="K2065" s="15" t="n">
        <f aca="false">AG2065*評分方法!$C$7</f>
        <v>4.95</v>
      </c>
      <c r="L2065" s="15" t="n">
        <f aca="false">AH2065*評分方法!$C$8</f>
        <v>15</v>
      </c>
      <c r="M2065" s="15" t="n">
        <f aca="false">AI2065*評分方法!$C$9</f>
        <v>10</v>
      </c>
      <c r="N2065" s="15" t="n">
        <f aca="false">AJ2065*評分方法!$C$10</f>
        <v>7.604</v>
      </c>
      <c r="O2065" s="15" t="n">
        <f aca="false">AK2065*評分方法!$C$11</f>
        <v>1</v>
      </c>
      <c r="P2065" s="15" t="n">
        <f aca="false">AL2065*評分方法!$C$12</f>
        <v>0</v>
      </c>
      <c r="Q2065" s="6" t="n">
        <v>1214109</v>
      </c>
      <c r="R2065" s="6" t="n">
        <v>82134294</v>
      </c>
      <c r="S2065" s="11" t="s">
        <v>238</v>
      </c>
      <c r="T2065" s="11" t="s">
        <v>278</v>
      </c>
      <c r="U2065" s="5" t="s">
        <v>240</v>
      </c>
      <c r="V2065" s="11" t="s">
        <v>324</v>
      </c>
      <c r="W2065" s="5" t="s">
        <v>334</v>
      </c>
      <c r="X2065" s="5" t="s">
        <v>242</v>
      </c>
      <c r="Y2065" s="5"/>
      <c r="Z2065" s="5"/>
      <c r="AA2065" s="11" t="s">
        <v>149</v>
      </c>
      <c r="AB2065" s="5" t="s">
        <v>245</v>
      </c>
      <c r="AC2065" s="5" t="s">
        <v>3044</v>
      </c>
      <c r="AD2065" s="11" t="s">
        <v>5069</v>
      </c>
      <c r="AE2065" s="23" t="n">
        <v>0.4</v>
      </c>
      <c r="AF2065" s="23" t="n">
        <v>0</v>
      </c>
      <c r="AG2065" s="23" t="n">
        <v>0.33</v>
      </c>
      <c r="AH2065" s="23" t="n">
        <v>1</v>
      </c>
      <c r="AI2065" s="23" t="n">
        <v>1</v>
      </c>
      <c r="AJ2065" s="23" t="n">
        <v>0.7604</v>
      </c>
      <c r="AK2065" s="23" t="n">
        <v>0.2</v>
      </c>
      <c r="AL2065" s="23" t="n">
        <v>0</v>
      </c>
      <c r="AM2065" s="16" t="n">
        <f aca="false">COUNTIFS($D$2:$D$2501,D2065,$G$2:$G$2501,"&gt;"&amp;G2065)+COUNTIFS($D$2:D2065,D2065,$G$2:G2065,G2065)</f>
        <v>58</v>
      </c>
      <c r="AN2065" s="5" t="str">
        <f aca="false">D2065&amp;"|"&amp;AM2065</f>
        <v>分類與偵測|58</v>
      </c>
    </row>
    <row r="2066" customFormat="false" ht="17.15" hidden="false" customHeight="false" outlineLevel="0" collapsed="false">
      <c r="A2066" s="16" t="n">
        <f aca="false">RANK(G2066,$G$2:$G$2501)+COUNTIF($G$2:G2066,G2066)-1</f>
        <v>2065</v>
      </c>
      <c r="B2066" s="11" t="s">
        <v>5070</v>
      </c>
      <c r="C2066" s="11" t="s">
        <v>5071</v>
      </c>
      <c r="D2066" s="5" t="s">
        <v>72</v>
      </c>
      <c r="E2066" s="5" t="s">
        <v>73</v>
      </c>
      <c r="F2066" s="5"/>
      <c r="G2066" s="22" t="n">
        <f aca="false">ROUND(SUM(I2066:P2066),3)</f>
        <v>50.55</v>
      </c>
      <c r="H2066" s="5" t="str">
        <f aca="false">IF(G2066&gt;=評分方法!$C$16,"優先評估",IF(G2066&gt;=評分方法!$C$17,"列入候選",IF(G2066&gt;=評分方法!$C$18,"特定情境","不建議")))</f>
        <v>不建議</v>
      </c>
      <c r="I2066" s="15" t="n">
        <f aca="false">AE2066*評分方法!$C$5</f>
        <v>15</v>
      </c>
      <c r="J2066" s="15" t="n">
        <f aca="false">AF2066*評分方法!$C$6</f>
        <v>0</v>
      </c>
      <c r="K2066" s="15" t="n">
        <f aca="false">AG2066*評分方法!$C$7</f>
        <v>4.95</v>
      </c>
      <c r="L2066" s="15" t="n">
        <f aca="false">AH2066*評分方法!$C$8</f>
        <v>15</v>
      </c>
      <c r="M2066" s="15" t="n">
        <f aca="false">AI2066*評分方法!$C$9</f>
        <v>10</v>
      </c>
      <c r="N2066" s="15" t="n">
        <f aca="false">AJ2066*評分方法!$C$10</f>
        <v>4.6</v>
      </c>
      <c r="O2066" s="15" t="n">
        <f aca="false">AK2066*評分方法!$C$11</f>
        <v>1</v>
      </c>
      <c r="P2066" s="15" t="n">
        <f aca="false">AL2066*評分方法!$C$12</f>
        <v>0</v>
      </c>
      <c r="Q2066" s="6" t="n">
        <v>501106</v>
      </c>
      <c r="R2066" s="6" t="n">
        <v>201108230</v>
      </c>
      <c r="S2066" s="11" t="s">
        <v>238</v>
      </c>
      <c r="T2066" s="11" t="s">
        <v>239</v>
      </c>
      <c r="U2066" s="5" t="s">
        <v>240</v>
      </c>
      <c r="V2066" s="11" t="s">
        <v>324</v>
      </c>
      <c r="W2066" s="5" t="s">
        <v>334</v>
      </c>
      <c r="X2066" s="5" t="s">
        <v>242</v>
      </c>
      <c r="Y2066" s="5"/>
      <c r="Z2066" s="5"/>
      <c r="AA2066" s="11" t="s">
        <v>162</v>
      </c>
      <c r="AB2066" s="5" t="s">
        <v>245</v>
      </c>
      <c r="AC2066" s="5"/>
      <c r="AD2066" s="11" t="s">
        <v>5072</v>
      </c>
      <c r="AE2066" s="23" t="n">
        <v>0.5</v>
      </c>
      <c r="AF2066" s="23" t="n">
        <v>0</v>
      </c>
      <c r="AG2066" s="23" t="n">
        <v>0.33</v>
      </c>
      <c r="AH2066" s="23" t="n">
        <v>1</v>
      </c>
      <c r="AI2066" s="23" t="n">
        <v>1</v>
      </c>
      <c r="AJ2066" s="23" t="n">
        <v>0.46</v>
      </c>
      <c r="AK2066" s="23" t="n">
        <v>0.2</v>
      </c>
      <c r="AL2066" s="23" t="n">
        <v>0</v>
      </c>
      <c r="AM2066" s="16" t="n">
        <f aca="false">COUNTIFS($D$2:$D$2501,D2066,$G$2:$G$2501,"&gt;"&amp;G2066)+COUNTIFS($D$2:D2066,D2066,$G$2:G2066,G2066)</f>
        <v>40</v>
      </c>
      <c r="AN2066" s="5" t="str">
        <f aca="false">D2066&amp;"|"&amp;AM2066</f>
        <v>微調基底模型|40</v>
      </c>
    </row>
    <row r="2067" customFormat="false" ht="17.15" hidden="false" customHeight="false" outlineLevel="0" collapsed="false">
      <c r="A2067" s="16" t="n">
        <f aca="false">RANK(G2067,$G$2:$G$2501)+COUNTIF($G$2:G2067,G2067)-1</f>
        <v>2066</v>
      </c>
      <c r="B2067" s="11" t="s">
        <v>5073</v>
      </c>
      <c r="C2067" s="11" t="s">
        <v>681</v>
      </c>
      <c r="D2067" s="5" t="s">
        <v>80</v>
      </c>
      <c r="E2067" s="5" t="s">
        <v>81</v>
      </c>
      <c r="F2067" s="5"/>
      <c r="G2067" s="22" t="n">
        <f aca="false">ROUND(SUM(I2067:P2067),3)</f>
        <v>50.536</v>
      </c>
      <c r="H2067" s="5" t="str">
        <f aca="false">IF(G2067&gt;=評分方法!$C$16,"優先評估",IF(G2067&gt;=評分方法!$C$17,"列入候選",IF(G2067&gt;=評分方法!$C$18,"特定情境","不建議")))</f>
        <v>不建議</v>
      </c>
      <c r="I2067" s="15" t="n">
        <f aca="false">AE2067*評分方法!$C$5</f>
        <v>3</v>
      </c>
      <c r="J2067" s="15" t="n">
        <f aca="false">AF2067*評分方法!$C$6</f>
        <v>0</v>
      </c>
      <c r="K2067" s="15" t="n">
        <f aca="false">AG2067*評分方法!$C$7</f>
        <v>15</v>
      </c>
      <c r="L2067" s="15" t="n">
        <f aca="false">AH2067*評分方法!$C$8</f>
        <v>15</v>
      </c>
      <c r="M2067" s="15" t="n">
        <f aca="false">AI2067*評分方法!$C$9</f>
        <v>10</v>
      </c>
      <c r="N2067" s="15" t="n">
        <f aca="false">AJ2067*評分方法!$C$10</f>
        <v>3.536</v>
      </c>
      <c r="O2067" s="15" t="n">
        <f aca="false">AK2067*評分方法!$C$11</f>
        <v>2.5</v>
      </c>
      <c r="P2067" s="15" t="n">
        <f aca="false">AL2067*評分方法!$C$12</f>
        <v>1.5</v>
      </c>
      <c r="Q2067" s="6" t="n">
        <v>354816</v>
      </c>
      <c r="R2067" s="6" t="n">
        <v>46060866</v>
      </c>
      <c r="S2067" s="11" t="s">
        <v>238</v>
      </c>
      <c r="T2067" s="11" t="s">
        <v>239</v>
      </c>
      <c r="U2067" s="5" t="s">
        <v>240</v>
      </c>
      <c r="V2067" s="11" t="s">
        <v>324</v>
      </c>
      <c r="W2067" s="5" t="s">
        <v>205</v>
      </c>
      <c r="X2067" s="5" t="s">
        <v>255</v>
      </c>
      <c r="Y2067" s="5"/>
      <c r="Z2067" s="5"/>
      <c r="AA2067" s="11" t="s">
        <v>184</v>
      </c>
      <c r="AB2067" s="5" t="s">
        <v>245</v>
      </c>
      <c r="AC2067" s="5"/>
      <c r="AD2067" s="11" t="s">
        <v>5074</v>
      </c>
      <c r="AE2067" s="23" t="n">
        <v>0.1</v>
      </c>
      <c r="AF2067" s="23" t="n">
        <v>0</v>
      </c>
      <c r="AG2067" s="23" t="n">
        <v>1</v>
      </c>
      <c r="AH2067" s="23" t="n">
        <v>1</v>
      </c>
      <c r="AI2067" s="23" t="n">
        <v>1</v>
      </c>
      <c r="AJ2067" s="23" t="n">
        <v>0.3536</v>
      </c>
      <c r="AK2067" s="23" t="n">
        <v>0.5</v>
      </c>
      <c r="AL2067" s="23" t="n">
        <v>0.3</v>
      </c>
      <c r="AM2067" s="16" t="n">
        <f aca="false">COUNTIFS($D$2:$D$2501,D2067,$G$2:$G$2501,"&gt;"&amp;G2067)+COUNTIFS($D$2:D2067,D2067,$G$2:G2067,G2067)</f>
        <v>15</v>
      </c>
      <c r="AN2067" s="5" t="str">
        <f aca="false">D2067&amp;"|"&amp;AM2067</f>
        <v>其他|15</v>
      </c>
    </row>
    <row r="2068" customFormat="false" ht="17.15" hidden="false" customHeight="false" outlineLevel="0" collapsed="false">
      <c r="A2068" s="16" t="n">
        <f aca="false">RANK(G2068,$G$2:$G$2501)+COUNTIF($G$2:G2068,G2068)-1</f>
        <v>2067</v>
      </c>
      <c r="B2068" s="11" t="s">
        <v>5075</v>
      </c>
      <c r="C2068" s="11" t="s">
        <v>5076</v>
      </c>
      <c r="D2068" s="5" t="s">
        <v>56</v>
      </c>
      <c r="E2068" s="5" t="s">
        <v>57</v>
      </c>
      <c r="F2068" s="5"/>
      <c r="G2068" s="22" t="n">
        <f aca="false">ROUND(SUM(I2068:P2068),3)</f>
        <v>50.528</v>
      </c>
      <c r="H2068" s="5" t="str">
        <f aca="false">IF(G2068&gt;=評分方法!$C$16,"優先評估",IF(G2068&gt;=評分方法!$C$17,"列入候選",IF(G2068&gt;=評分方法!$C$18,"特定情境","不建議")))</f>
        <v>不建議</v>
      </c>
      <c r="I2068" s="15" t="n">
        <f aca="false">AE2068*評分方法!$C$5</f>
        <v>25.5</v>
      </c>
      <c r="J2068" s="15" t="n">
        <f aca="false">AF2068*評分方法!$C$6</f>
        <v>0</v>
      </c>
      <c r="K2068" s="15" t="n">
        <f aca="false">AG2068*評分方法!$C$7</f>
        <v>4.95</v>
      </c>
      <c r="L2068" s="15" t="n">
        <f aca="false">AH2068*評分方法!$C$8</f>
        <v>4.95</v>
      </c>
      <c r="M2068" s="15" t="n">
        <f aca="false">AI2068*評分方法!$C$9</f>
        <v>6</v>
      </c>
      <c r="N2068" s="15" t="n">
        <f aca="false">AJ2068*評分方法!$C$10</f>
        <v>6.628</v>
      </c>
      <c r="O2068" s="15" t="n">
        <f aca="false">AK2068*評分方法!$C$11</f>
        <v>2.5</v>
      </c>
      <c r="P2068" s="15" t="n">
        <f aca="false">AL2068*評分方法!$C$12</f>
        <v>0</v>
      </c>
      <c r="Q2068" s="6" t="n">
        <v>786206</v>
      </c>
      <c r="R2068" s="6" t="n">
        <v>70553706496</v>
      </c>
      <c r="S2068" s="11" t="s">
        <v>1876</v>
      </c>
      <c r="T2068" s="11" t="s">
        <v>2741</v>
      </c>
      <c r="U2068" s="5" t="s">
        <v>260</v>
      </c>
      <c r="V2068" s="11" t="s">
        <v>261</v>
      </c>
      <c r="W2068" s="5" t="s">
        <v>334</v>
      </c>
      <c r="X2068" s="5" t="s">
        <v>242</v>
      </c>
      <c r="Y2068" s="11" t="s">
        <v>2742</v>
      </c>
      <c r="Z2068" s="11" t="s">
        <v>244</v>
      </c>
      <c r="AA2068" s="11" t="s">
        <v>155</v>
      </c>
      <c r="AB2068" s="5" t="s">
        <v>245</v>
      </c>
      <c r="AC2068" s="5" t="s">
        <v>464</v>
      </c>
      <c r="AD2068" s="11" t="s">
        <v>5077</v>
      </c>
      <c r="AE2068" s="23" t="n">
        <v>0.85</v>
      </c>
      <c r="AF2068" s="23" t="n">
        <v>0</v>
      </c>
      <c r="AG2068" s="23" t="n">
        <v>0.33</v>
      </c>
      <c r="AH2068" s="23" t="n">
        <v>0.33</v>
      </c>
      <c r="AI2068" s="23" t="n">
        <v>0.6</v>
      </c>
      <c r="AJ2068" s="23" t="n">
        <v>0.6628</v>
      </c>
      <c r="AK2068" s="23" t="n">
        <v>0.5</v>
      </c>
      <c r="AL2068" s="23" t="n">
        <v>0</v>
      </c>
      <c r="AM2068" s="16" t="n">
        <f aca="false">COUNTIFS($D$2:$D$2501,D2068,$G$2:$G$2501,"&gt;"&amp;G2068)+COUNTIFS($D$2:D2068,D2068,$G$2:G2068,G2068)</f>
        <v>930</v>
      </c>
      <c r="AN2068" s="5" t="str">
        <f aca="false">D2068&amp;"|"&amp;AM2068</f>
        <v>分析與報告生成|930</v>
      </c>
    </row>
    <row r="2069" customFormat="false" ht="17.15" hidden="false" customHeight="false" outlineLevel="0" collapsed="false">
      <c r="A2069" s="16" t="n">
        <f aca="false">RANK(G2069,$G$2:$G$2501)+COUNTIF($G$2:G2069,G2069)-1</f>
        <v>2068</v>
      </c>
      <c r="B2069" s="11" t="s">
        <v>5078</v>
      </c>
      <c r="C2069" s="11" t="s">
        <v>5079</v>
      </c>
      <c r="D2069" s="5" t="s">
        <v>74</v>
      </c>
      <c r="E2069" s="5" t="s">
        <v>75</v>
      </c>
      <c r="F2069" s="5"/>
      <c r="G2069" s="22" t="n">
        <f aca="false">ROUND(SUM(I2069:P2069),3)</f>
        <v>50.514</v>
      </c>
      <c r="H2069" s="5" t="str">
        <f aca="false">IF(G2069&gt;=評分方法!$C$16,"優先評估",IF(G2069&gt;=評分方法!$C$17,"列入候選",IF(G2069&gt;=評分方法!$C$18,"特定情境","不建議")))</f>
        <v>不建議</v>
      </c>
      <c r="I2069" s="15" t="n">
        <f aca="false">AE2069*評分方法!$C$5</f>
        <v>13.5</v>
      </c>
      <c r="J2069" s="15" t="n">
        <f aca="false">AF2069*評分方法!$C$6</f>
        <v>0</v>
      </c>
      <c r="K2069" s="15" t="n">
        <f aca="false">AG2069*評分方法!$C$7</f>
        <v>4.95</v>
      </c>
      <c r="L2069" s="15" t="n">
        <f aca="false">AH2069*評分方法!$C$8</f>
        <v>15</v>
      </c>
      <c r="M2069" s="15" t="n">
        <f aca="false">AI2069*評分方法!$C$9</f>
        <v>10</v>
      </c>
      <c r="N2069" s="15" t="n">
        <f aca="false">AJ2069*評分方法!$C$10</f>
        <v>3.064</v>
      </c>
      <c r="O2069" s="15" t="n">
        <f aca="false">AK2069*評分方法!$C$11</f>
        <v>2.5</v>
      </c>
      <c r="P2069" s="15" t="n">
        <f aca="false">AL2069*評分方法!$C$12</f>
        <v>1.5</v>
      </c>
      <c r="Q2069" s="6" t="n">
        <v>300441</v>
      </c>
      <c r="R2069" s="6" t="n">
        <v>333921792</v>
      </c>
      <c r="S2069" s="11" t="s">
        <v>238</v>
      </c>
      <c r="T2069" s="11" t="s">
        <v>239</v>
      </c>
      <c r="U2069" s="5" t="s">
        <v>240</v>
      </c>
      <c r="V2069" s="11" t="s">
        <v>261</v>
      </c>
      <c r="W2069" s="5" t="s">
        <v>334</v>
      </c>
      <c r="X2069" s="5" t="s">
        <v>255</v>
      </c>
      <c r="Y2069" s="11" t="s">
        <v>4297</v>
      </c>
      <c r="Z2069" s="11" t="s">
        <v>270</v>
      </c>
      <c r="AA2069" s="11" t="s">
        <v>164</v>
      </c>
      <c r="AB2069" s="5" t="s">
        <v>496</v>
      </c>
      <c r="AC2069" s="5" t="s">
        <v>497</v>
      </c>
      <c r="AD2069" s="11" t="s">
        <v>5080</v>
      </c>
      <c r="AE2069" s="23" t="n">
        <v>0.45</v>
      </c>
      <c r="AF2069" s="23" t="n">
        <v>0</v>
      </c>
      <c r="AG2069" s="23" t="n">
        <v>0.33</v>
      </c>
      <c r="AH2069" s="23" t="n">
        <v>1</v>
      </c>
      <c r="AI2069" s="23" t="n">
        <v>1</v>
      </c>
      <c r="AJ2069" s="23" t="n">
        <v>0.3064</v>
      </c>
      <c r="AK2069" s="23" t="n">
        <v>0.5</v>
      </c>
      <c r="AL2069" s="23" t="n">
        <v>0.3</v>
      </c>
      <c r="AM2069" s="16" t="n">
        <f aca="false">COUNTIFS($D$2:$D$2501,D2069,$G$2:$G$2501,"&gt;"&amp;G2069)+COUNTIFS($D$2:D2069,D2069,$G$2:G2069,G2069)</f>
        <v>275</v>
      </c>
      <c r="AN2069" s="5" t="str">
        <f aca="false">D2069&amp;"|"&amp;AM2069</f>
        <v>文件與影像辨識|275</v>
      </c>
    </row>
    <row r="2070" customFormat="false" ht="17.15" hidden="false" customHeight="false" outlineLevel="0" collapsed="false">
      <c r="A2070" s="16" t="n">
        <f aca="false">RANK(G2070,$G$2:$G$2501)+COUNTIF($G$2:G2070,G2070)-1</f>
        <v>2069</v>
      </c>
      <c r="B2070" s="11" t="s">
        <v>5081</v>
      </c>
      <c r="C2070" s="11" t="s">
        <v>2920</v>
      </c>
      <c r="D2070" s="5" t="s">
        <v>56</v>
      </c>
      <c r="E2070" s="5" t="s">
        <v>57</v>
      </c>
      <c r="F2070" s="5"/>
      <c r="G2070" s="22" t="n">
        <f aca="false">ROUND(SUM(I2070:P2070),3)</f>
        <v>50.512</v>
      </c>
      <c r="H2070" s="5" t="str">
        <f aca="false">IF(G2070&gt;=評分方法!$C$16,"優先評估",IF(G2070&gt;=評分方法!$C$17,"列入候選",IF(G2070&gt;=評分方法!$C$18,"特定情境","不建議")))</f>
        <v>不建議</v>
      </c>
      <c r="I2070" s="15" t="n">
        <f aca="false">AE2070*評分方法!$C$5</f>
        <v>25.5</v>
      </c>
      <c r="J2070" s="15" t="n">
        <f aca="false">AF2070*評分方法!$C$6</f>
        <v>0</v>
      </c>
      <c r="K2070" s="15" t="n">
        <f aca="false">AG2070*評分方法!$C$7</f>
        <v>4.95</v>
      </c>
      <c r="L2070" s="15" t="n">
        <f aca="false">AH2070*評分方法!$C$8</f>
        <v>1.95</v>
      </c>
      <c r="M2070" s="15" t="n">
        <f aca="false">AI2070*評分方法!$C$9</f>
        <v>2</v>
      </c>
      <c r="N2070" s="15" t="n">
        <f aca="false">AJ2070*評分方法!$C$10</f>
        <v>8.112</v>
      </c>
      <c r="O2070" s="15" t="n">
        <f aca="false">AK2070*評分方法!$C$11</f>
        <v>5</v>
      </c>
      <c r="P2070" s="15" t="n">
        <f aca="false">AL2070*評分方法!$C$12</f>
        <v>3</v>
      </c>
      <c r="Q2070" s="6" t="n">
        <v>1721622</v>
      </c>
      <c r="R2070" s="6" t="n">
        <v>117561977600</v>
      </c>
      <c r="S2070" s="11" t="s">
        <v>1616</v>
      </c>
      <c r="T2070" s="5"/>
      <c r="U2070" s="5" t="s">
        <v>375</v>
      </c>
      <c r="V2070" s="11" t="s">
        <v>333</v>
      </c>
      <c r="W2070" s="5" t="s">
        <v>334</v>
      </c>
      <c r="X2070" s="5" t="s">
        <v>371</v>
      </c>
      <c r="Y2070" s="11" t="s">
        <v>3953</v>
      </c>
      <c r="Z2070" s="11" t="s">
        <v>244</v>
      </c>
      <c r="AA2070" s="11" t="s">
        <v>155</v>
      </c>
      <c r="AB2070" s="5" t="s">
        <v>496</v>
      </c>
      <c r="AC2070" s="5" t="s">
        <v>1108</v>
      </c>
      <c r="AD2070" s="11" t="s">
        <v>5082</v>
      </c>
      <c r="AE2070" s="23" t="n">
        <v>0.85</v>
      </c>
      <c r="AF2070" s="23" t="n">
        <v>0</v>
      </c>
      <c r="AG2070" s="23" t="n">
        <v>0.33</v>
      </c>
      <c r="AH2070" s="23" t="n">
        <v>0.13</v>
      </c>
      <c r="AI2070" s="23" t="n">
        <v>0.2</v>
      </c>
      <c r="AJ2070" s="23" t="n">
        <v>0.8112</v>
      </c>
      <c r="AK2070" s="23" t="n">
        <v>1</v>
      </c>
      <c r="AL2070" s="23" t="n">
        <v>0.6</v>
      </c>
      <c r="AM2070" s="16" t="n">
        <f aca="false">COUNTIFS($D$2:$D$2501,D2070,$G$2:$G$2501,"&gt;"&amp;G2070)+COUNTIFS($D$2:D2070,D2070,$G$2:G2070,G2070)</f>
        <v>931</v>
      </c>
      <c r="AN2070" s="5" t="str">
        <f aca="false">D2070&amp;"|"&amp;AM2070</f>
        <v>分析與報告生成|931</v>
      </c>
    </row>
    <row r="2071" customFormat="false" ht="17.15" hidden="false" customHeight="false" outlineLevel="0" collapsed="false">
      <c r="A2071" s="16" t="n">
        <f aca="false">RANK(G2071,$G$2:$G$2501)+COUNTIF($G$2:G2071,G2071)-1</f>
        <v>2070</v>
      </c>
      <c r="B2071" s="11" t="s">
        <v>5083</v>
      </c>
      <c r="C2071" s="11" t="s">
        <v>989</v>
      </c>
      <c r="D2071" s="5" t="s">
        <v>56</v>
      </c>
      <c r="E2071" s="5" t="s">
        <v>57</v>
      </c>
      <c r="F2071" s="5"/>
      <c r="G2071" s="22" t="n">
        <f aca="false">ROUND(SUM(I2071:P2071),3)</f>
        <v>50.496</v>
      </c>
      <c r="H2071" s="5" t="str">
        <f aca="false">IF(G2071&gt;=評分方法!$C$16,"優先評估",IF(G2071&gt;=評分方法!$C$17,"列入候選",IF(G2071&gt;=評分方法!$C$18,"特定情境","不建議")))</f>
        <v>不建議</v>
      </c>
      <c r="I2071" s="15" t="n">
        <f aca="false">AE2071*評分方法!$C$5</f>
        <v>25.5</v>
      </c>
      <c r="J2071" s="15" t="n">
        <f aca="false">AF2071*評分方法!$C$6</f>
        <v>0</v>
      </c>
      <c r="K2071" s="15" t="n">
        <f aca="false">AG2071*評分方法!$C$7</f>
        <v>10.05</v>
      </c>
      <c r="L2071" s="15" t="n">
        <f aca="false">AH2071*評分方法!$C$8</f>
        <v>4.95</v>
      </c>
      <c r="M2071" s="15" t="n">
        <f aca="false">AI2071*評分方法!$C$9</f>
        <v>6</v>
      </c>
      <c r="N2071" s="15" t="n">
        <f aca="false">AJ2071*評分方法!$C$10</f>
        <v>1.496</v>
      </c>
      <c r="O2071" s="15" t="n">
        <f aca="false">AK2071*評分方法!$C$11</f>
        <v>2.5</v>
      </c>
      <c r="P2071" s="15" t="n">
        <f aca="false">AL2071*評分方法!$C$12</f>
        <v>0</v>
      </c>
      <c r="Q2071" s="6" t="n">
        <v>179482</v>
      </c>
      <c r="R2071" s="6" t="n">
        <v>70553706560</v>
      </c>
      <c r="S2071" s="11" t="s">
        <v>1876</v>
      </c>
      <c r="T2071" s="11" t="s">
        <v>2741</v>
      </c>
      <c r="U2071" s="5" t="s">
        <v>260</v>
      </c>
      <c r="V2071" s="11" t="s">
        <v>333</v>
      </c>
      <c r="W2071" s="5" t="s">
        <v>207</v>
      </c>
      <c r="X2071" s="5" t="s">
        <v>242</v>
      </c>
      <c r="Y2071" s="11" t="s">
        <v>2742</v>
      </c>
      <c r="Z2071" s="11" t="s">
        <v>244</v>
      </c>
      <c r="AA2071" s="11" t="s">
        <v>155</v>
      </c>
      <c r="AB2071" s="5" t="s">
        <v>245</v>
      </c>
      <c r="AC2071" s="5" t="s">
        <v>464</v>
      </c>
      <c r="AD2071" s="11" t="s">
        <v>5084</v>
      </c>
      <c r="AE2071" s="23" t="n">
        <v>0.85</v>
      </c>
      <c r="AF2071" s="23" t="n">
        <v>0</v>
      </c>
      <c r="AG2071" s="23" t="n">
        <v>0.67</v>
      </c>
      <c r="AH2071" s="23" t="n">
        <v>0.33</v>
      </c>
      <c r="AI2071" s="23" t="n">
        <v>0.6</v>
      </c>
      <c r="AJ2071" s="23" t="n">
        <v>0.1496</v>
      </c>
      <c r="AK2071" s="23" t="n">
        <v>0.5</v>
      </c>
      <c r="AL2071" s="23" t="n">
        <v>0</v>
      </c>
      <c r="AM2071" s="16" t="n">
        <f aca="false">COUNTIFS($D$2:$D$2501,D2071,$G$2:$G$2501,"&gt;"&amp;G2071)+COUNTIFS($D$2:D2071,D2071,$G$2:G2071,G2071)</f>
        <v>932</v>
      </c>
      <c r="AN2071" s="5" t="str">
        <f aca="false">D2071&amp;"|"&amp;AM2071</f>
        <v>分析與報告生成|932</v>
      </c>
    </row>
    <row r="2072" customFormat="false" ht="17.15" hidden="false" customHeight="false" outlineLevel="0" collapsed="false">
      <c r="A2072" s="16" t="n">
        <f aca="false">RANK(G2072,$G$2:$G$2501)+COUNTIF($G$2:G2072,G2072)-1</f>
        <v>2071</v>
      </c>
      <c r="B2072" s="11" t="s">
        <v>5085</v>
      </c>
      <c r="C2072" s="11" t="s">
        <v>5086</v>
      </c>
      <c r="D2072" s="5" t="s">
        <v>56</v>
      </c>
      <c r="E2072" s="5" t="s">
        <v>57</v>
      </c>
      <c r="F2072" s="5"/>
      <c r="G2072" s="22" t="n">
        <f aca="false">ROUND(SUM(I2072:P2072),3)</f>
        <v>50.474</v>
      </c>
      <c r="H2072" s="5" t="str">
        <f aca="false">IF(G2072&gt;=評分方法!$C$16,"優先評估",IF(G2072&gt;=評分方法!$C$17,"列入候選",IF(G2072&gt;=評分方法!$C$18,"特定情境","不建議")))</f>
        <v>不建議</v>
      </c>
      <c r="I2072" s="15" t="n">
        <f aca="false">AE2072*評分方法!$C$5</f>
        <v>25.5</v>
      </c>
      <c r="J2072" s="15" t="n">
        <f aca="false">AF2072*評分方法!$C$6</f>
        <v>0</v>
      </c>
      <c r="K2072" s="15" t="n">
        <f aca="false">AG2072*評分方法!$C$7</f>
        <v>4.95</v>
      </c>
      <c r="L2072" s="15" t="n">
        <f aca="false">AH2072*評分方法!$C$8</f>
        <v>9</v>
      </c>
      <c r="M2072" s="15" t="n">
        <f aca="false">AI2072*評分方法!$C$9</f>
        <v>2</v>
      </c>
      <c r="N2072" s="15" t="n">
        <f aca="false">AJ2072*評分方法!$C$10</f>
        <v>1.024</v>
      </c>
      <c r="O2072" s="15" t="n">
        <f aca="false">AK2072*評分方法!$C$11</f>
        <v>5</v>
      </c>
      <c r="P2072" s="15" t="n">
        <f aca="false">AL2072*評分方法!$C$12</f>
        <v>3</v>
      </c>
      <c r="Q2072" s="6" t="n">
        <v>154260</v>
      </c>
      <c r="R2072" s="6" t="n">
        <v>30697345596</v>
      </c>
      <c r="S2072" s="11" t="s">
        <v>389</v>
      </c>
      <c r="T2072" s="5"/>
      <c r="U2072" s="5" t="s">
        <v>375</v>
      </c>
      <c r="V2072" s="11" t="s">
        <v>333</v>
      </c>
      <c r="W2072" s="5" t="s">
        <v>334</v>
      </c>
      <c r="X2072" s="5" t="s">
        <v>371</v>
      </c>
      <c r="Y2072" s="5"/>
      <c r="Z2072" s="5"/>
      <c r="AA2072" s="11" t="s">
        <v>155</v>
      </c>
      <c r="AB2072" s="5" t="s">
        <v>961</v>
      </c>
      <c r="AC2072" s="5" t="s">
        <v>1977</v>
      </c>
      <c r="AD2072" s="11" t="s">
        <v>5087</v>
      </c>
      <c r="AE2072" s="23" t="n">
        <v>0.85</v>
      </c>
      <c r="AF2072" s="23" t="n">
        <v>0</v>
      </c>
      <c r="AG2072" s="23" t="n">
        <v>0.33</v>
      </c>
      <c r="AH2072" s="23" t="n">
        <v>0.6</v>
      </c>
      <c r="AI2072" s="23" t="n">
        <v>0.2</v>
      </c>
      <c r="AJ2072" s="23" t="n">
        <v>0.1024</v>
      </c>
      <c r="AK2072" s="23" t="n">
        <v>1</v>
      </c>
      <c r="AL2072" s="23" t="n">
        <v>0.6</v>
      </c>
      <c r="AM2072" s="16" t="n">
        <f aca="false">COUNTIFS($D$2:$D$2501,D2072,$G$2:$G$2501,"&gt;"&amp;G2072)+COUNTIFS($D$2:D2072,D2072,$G$2:G2072,G2072)</f>
        <v>933</v>
      </c>
      <c r="AN2072" s="5" t="str">
        <f aca="false">D2072&amp;"|"&amp;AM2072</f>
        <v>分析與報告生成|933</v>
      </c>
    </row>
    <row r="2073" customFormat="false" ht="17.15" hidden="false" customHeight="false" outlineLevel="0" collapsed="false">
      <c r="A2073" s="16" t="n">
        <f aca="false">RANK(G2073,$G$2:$G$2501)+COUNTIF($G$2:G2073,G2073)-1</f>
        <v>2072</v>
      </c>
      <c r="B2073" s="11" t="s">
        <v>5088</v>
      </c>
      <c r="C2073" s="11" t="s">
        <v>681</v>
      </c>
      <c r="D2073" s="5" t="s">
        <v>80</v>
      </c>
      <c r="E2073" s="5" t="s">
        <v>81</v>
      </c>
      <c r="F2073" s="5"/>
      <c r="G2073" s="22" t="n">
        <f aca="false">ROUND(SUM(I2073:P2073),3)</f>
        <v>50.474</v>
      </c>
      <c r="H2073" s="5" t="str">
        <f aca="false">IF(G2073&gt;=評分方法!$C$16,"優先評估",IF(G2073&gt;=評分方法!$C$17,"列入候選",IF(G2073&gt;=評分方法!$C$18,"特定情境","不建議")))</f>
        <v>不建議</v>
      </c>
      <c r="I2073" s="15" t="n">
        <f aca="false">AE2073*評分方法!$C$5</f>
        <v>6</v>
      </c>
      <c r="J2073" s="15" t="n">
        <f aca="false">AF2073*評分方法!$C$6</f>
        <v>0</v>
      </c>
      <c r="K2073" s="15" t="n">
        <f aca="false">AG2073*評分方法!$C$7</f>
        <v>15</v>
      </c>
      <c r="L2073" s="15" t="n">
        <f aca="false">AH2073*評分方法!$C$8</f>
        <v>13.05</v>
      </c>
      <c r="M2073" s="15" t="n">
        <f aca="false">AI2073*評分方法!$C$9</f>
        <v>10</v>
      </c>
      <c r="N2073" s="15" t="n">
        <f aca="false">AJ2073*評分方法!$C$10</f>
        <v>0.924</v>
      </c>
      <c r="O2073" s="15" t="n">
        <f aca="false">AK2073*評分方法!$C$11</f>
        <v>4</v>
      </c>
      <c r="P2073" s="15" t="n">
        <f aca="false">AL2073*評分方法!$C$12</f>
        <v>1.5</v>
      </c>
      <c r="Q2073" s="6" t="n">
        <v>150471</v>
      </c>
      <c r="R2073" s="6" t="n">
        <v>1033701580</v>
      </c>
      <c r="S2073" s="11" t="s">
        <v>254</v>
      </c>
      <c r="T2073" s="11" t="s">
        <v>239</v>
      </c>
      <c r="U2073" s="5" t="s">
        <v>240</v>
      </c>
      <c r="V2073" s="11" t="s">
        <v>261</v>
      </c>
      <c r="W2073" s="5" t="s">
        <v>205</v>
      </c>
      <c r="X2073" s="5" t="s">
        <v>255</v>
      </c>
      <c r="Y2073" s="5"/>
      <c r="Z2073" s="5"/>
      <c r="AA2073" s="5"/>
      <c r="AB2073" s="5" t="s">
        <v>255</v>
      </c>
      <c r="AC2073" s="5"/>
      <c r="AD2073" s="11" t="s">
        <v>5089</v>
      </c>
      <c r="AE2073" s="23" t="n">
        <v>0.2</v>
      </c>
      <c r="AF2073" s="23" t="n">
        <v>0</v>
      </c>
      <c r="AG2073" s="23" t="n">
        <v>1</v>
      </c>
      <c r="AH2073" s="23" t="n">
        <v>0.87</v>
      </c>
      <c r="AI2073" s="23" t="n">
        <v>1</v>
      </c>
      <c r="AJ2073" s="23" t="n">
        <v>0.0924</v>
      </c>
      <c r="AK2073" s="23" t="n">
        <v>0.8</v>
      </c>
      <c r="AL2073" s="23" t="n">
        <v>0.3</v>
      </c>
      <c r="AM2073" s="16" t="n">
        <f aca="false">COUNTIFS($D$2:$D$2501,D2073,$G$2:$G$2501,"&gt;"&amp;G2073)+COUNTIFS($D$2:D2073,D2073,$G$2:G2073,G2073)</f>
        <v>16</v>
      </c>
      <c r="AN2073" s="5" t="str">
        <f aca="false">D2073&amp;"|"&amp;AM2073</f>
        <v>其他|16</v>
      </c>
    </row>
    <row r="2074" customFormat="false" ht="17.15" hidden="false" customHeight="false" outlineLevel="0" collapsed="false">
      <c r="A2074" s="16" t="n">
        <f aca="false">RANK(G2074,$G$2:$G$2501)+COUNTIF($G$2:G2074,G2074)-1</f>
        <v>2073</v>
      </c>
      <c r="B2074" s="11" t="s">
        <v>5090</v>
      </c>
      <c r="C2074" s="11" t="s">
        <v>2693</v>
      </c>
      <c r="D2074" s="5" t="s">
        <v>74</v>
      </c>
      <c r="E2074" s="5" t="s">
        <v>75</v>
      </c>
      <c r="F2074" s="5"/>
      <c r="G2074" s="22" t="n">
        <f aca="false">ROUND(SUM(I2074:P2074),3)</f>
        <v>50.47</v>
      </c>
      <c r="H2074" s="5" t="str">
        <f aca="false">IF(G2074&gt;=評分方法!$C$16,"優先評估",IF(G2074&gt;=評分方法!$C$17,"列入候選",IF(G2074&gt;=評分方法!$C$18,"特定情境","不建議")))</f>
        <v>不建議</v>
      </c>
      <c r="I2074" s="15" t="n">
        <f aca="false">AE2074*評分方法!$C$5</f>
        <v>12</v>
      </c>
      <c r="J2074" s="15" t="n">
        <f aca="false">AF2074*評分方法!$C$6</f>
        <v>0</v>
      </c>
      <c r="K2074" s="15" t="n">
        <f aca="false">AG2074*評分方法!$C$7</f>
        <v>15</v>
      </c>
      <c r="L2074" s="15" t="n">
        <f aca="false">AH2074*評分方法!$C$8</f>
        <v>7.05</v>
      </c>
      <c r="M2074" s="15" t="n">
        <f aca="false">AI2074*評分方法!$C$9</f>
        <v>10</v>
      </c>
      <c r="N2074" s="15" t="n">
        <f aca="false">AJ2074*評分方法!$C$10</f>
        <v>2.42</v>
      </c>
      <c r="O2074" s="15" t="n">
        <f aca="false">AK2074*評分方法!$C$11</f>
        <v>2.5</v>
      </c>
      <c r="P2074" s="15" t="n">
        <f aca="false">AL2074*評分方法!$C$12</f>
        <v>1.5</v>
      </c>
      <c r="Q2074" s="6" t="n">
        <v>244517</v>
      </c>
      <c r="R2074" s="6"/>
      <c r="S2074" s="5" t="s">
        <v>255</v>
      </c>
      <c r="T2074" s="11" t="s">
        <v>239</v>
      </c>
      <c r="U2074" s="5" t="s">
        <v>240</v>
      </c>
      <c r="V2074" s="11" t="s">
        <v>324</v>
      </c>
      <c r="W2074" s="5" t="s">
        <v>205</v>
      </c>
      <c r="X2074" s="5" t="s">
        <v>255</v>
      </c>
      <c r="Y2074" s="5"/>
      <c r="Z2074" s="5"/>
      <c r="AA2074" s="11" t="s">
        <v>167</v>
      </c>
      <c r="AB2074" s="5" t="s">
        <v>245</v>
      </c>
      <c r="AC2074" s="5"/>
      <c r="AD2074" s="11" t="s">
        <v>5091</v>
      </c>
      <c r="AE2074" s="23" t="n">
        <v>0.4</v>
      </c>
      <c r="AF2074" s="23" t="n">
        <v>0</v>
      </c>
      <c r="AG2074" s="23" t="n">
        <v>1</v>
      </c>
      <c r="AH2074" s="23" t="n">
        <v>0.47</v>
      </c>
      <c r="AI2074" s="23" t="n">
        <v>1</v>
      </c>
      <c r="AJ2074" s="23" t="n">
        <v>0.242</v>
      </c>
      <c r="AK2074" s="23" t="n">
        <v>0.5</v>
      </c>
      <c r="AL2074" s="23" t="n">
        <v>0.3</v>
      </c>
      <c r="AM2074" s="16" t="n">
        <f aca="false">COUNTIFS($D$2:$D$2501,D2074,$G$2:$G$2501,"&gt;"&amp;G2074)+COUNTIFS($D$2:D2074,D2074,$G$2:G2074,G2074)</f>
        <v>276</v>
      </c>
      <c r="AN2074" s="5" t="str">
        <f aca="false">D2074&amp;"|"&amp;AM2074</f>
        <v>文件與影像辨識|276</v>
      </c>
    </row>
    <row r="2075" customFormat="false" ht="17.15" hidden="false" customHeight="false" outlineLevel="0" collapsed="false">
      <c r="A2075" s="16" t="n">
        <f aca="false">RANK(G2075,$G$2:$G$2501)+COUNTIF($G$2:G2075,G2075)-1</f>
        <v>2074</v>
      </c>
      <c r="B2075" s="11" t="s">
        <v>5092</v>
      </c>
      <c r="C2075" s="11" t="s">
        <v>1677</v>
      </c>
      <c r="D2075" s="5" t="s">
        <v>54</v>
      </c>
      <c r="E2075" s="5" t="s">
        <v>55</v>
      </c>
      <c r="F2075" s="5"/>
      <c r="G2075" s="22" t="n">
        <f aca="false">ROUND(SUM(I2075:P2075),3)</f>
        <v>50.452</v>
      </c>
      <c r="H2075" s="5" t="str">
        <f aca="false">IF(G2075&gt;=評分方法!$C$16,"優先評估",IF(G2075&gt;=評分方法!$C$17,"列入候選",IF(G2075&gt;=評分方法!$C$18,"特定情境","不建議")))</f>
        <v>不建議</v>
      </c>
      <c r="I2075" s="15" t="n">
        <f aca="false">AE2075*評分方法!$C$5</f>
        <v>27</v>
      </c>
      <c r="J2075" s="15" t="n">
        <f aca="false">AF2075*評分方法!$C$6</f>
        <v>0</v>
      </c>
      <c r="K2075" s="15" t="n">
        <f aca="false">AG2075*評分方法!$C$7</f>
        <v>10.05</v>
      </c>
      <c r="L2075" s="15" t="n">
        <f aca="false">AH2075*評分方法!$C$8</f>
        <v>7.05</v>
      </c>
      <c r="M2075" s="15" t="n">
        <f aca="false">AI2075*評分方法!$C$9</f>
        <v>2</v>
      </c>
      <c r="N2075" s="15" t="n">
        <f aca="false">AJ2075*評分方法!$C$10</f>
        <v>0.352</v>
      </c>
      <c r="O2075" s="15" t="n">
        <f aca="false">AK2075*評分方法!$C$11</f>
        <v>2.5</v>
      </c>
      <c r="P2075" s="15" t="n">
        <f aca="false">AL2075*評分方法!$C$12</f>
        <v>1.5</v>
      </c>
      <c r="Q2075" s="6" t="n">
        <v>126193</v>
      </c>
      <c r="R2075" s="6"/>
      <c r="S2075" s="5" t="s">
        <v>255</v>
      </c>
      <c r="T2075" s="5"/>
      <c r="U2075" s="5" t="s">
        <v>375</v>
      </c>
      <c r="V2075" s="11" t="s">
        <v>514</v>
      </c>
      <c r="W2075" s="5" t="s">
        <v>207</v>
      </c>
      <c r="X2075" s="5" t="s">
        <v>255</v>
      </c>
      <c r="Y2075" s="11" t="s">
        <v>441</v>
      </c>
      <c r="Z2075" s="11" t="s">
        <v>244</v>
      </c>
      <c r="AA2075" s="11" t="s">
        <v>153</v>
      </c>
      <c r="AB2075" s="5" t="s">
        <v>245</v>
      </c>
      <c r="AC2075" s="5" t="s">
        <v>464</v>
      </c>
      <c r="AD2075" s="11" t="s">
        <v>5093</v>
      </c>
      <c r="AE2075" s="23" t="n">
        <v>0.9</v>
      </c>
      <c r="AF2075" s="23" t="n">
        <v>0</v>
      </c>
      <c r="AG2075" s="23" t="n">
        <v>0.67</v>
      </c>
      <c r="AH2075" s="23" t="n">
        <v>0.47</v>
      </c>
      <c r="AI2075" s="23" t="n">
        <v>0.2</v>
      </c>
      <c r="AJ2075" s="23" t="n">
        <v>0.0352</v>
      </c>
      <c r="AK2075" s="23" t="n">
        <v>0.5</v>
      </c>
      <c r="AL2075" s="23" t="n">
        <v>0.3</v>
      </c>
      <c r="AM2075" s="16" t="n">
        <f aca="false">COUNTIFS($D$2:$D$2501,D2075,$G$2:$G$2501,"&gt;"&amp;G2075)+COUNTIFS($D$2:D2075,D2075,$G$2:G2075,G2075)</f>
        <v>256</v>
      </c>
      <c r="AN2075" s="5" t="str">
        <f aca="false">D2075&amp;"|"&amp;AM2075</f>
        <v>檢索與情資關聯|256</v>
      </c>
    </row>
    <row r="2076" customFormat="false" ht="17.15" hidden="false" customHeight="false" outlineLevel="0" collapsed="false">
      <c r="A2076" s="16" t="n">
        <f aca="false">RANK(G2076,$G$2:$G$2501)+COUNTIF($G$2:G2076,G2076)-1</f>
        <v>2075</v>
      </c>
      <c r="B2076" s="11" t="s">
        <v>5094</v>
      </c>
      <c r="C2076" s="11" t="s">
        <v>989</v>
      </c>
      <c r="D2076" s="5" t="s">
        <v>56</v>
      </c>
      <c r="E2076" s="5" t="s">
        <v>57</v>
      </c>
      <c r="F2076" s="5"/>
      <c r="G2076" s="22" t="n">
        <f aca="false">ROUND(SUM(I2076:P2076),3)</f>
        <v>50.432</v>
      </c>
      <c r="H2076" s="5" t="str">
        <f aca="false">IF(G2076&gt;=評分方法!$C$16,"優先評估",IF(G2076&gt;=評分方法!$C$17,"列入候選",IF(G2076&gt;=評分方法!$C$18,"特定情境","不建議")))</f>
        <v>不建議</v>
      </c>
      <c r="I2076" s="15" t="n">
        <f aca="false">AE2076*評分方法!$C$5</f>
        <v>25.5</v>
      </c>
      <c r="J2076" s="15" t="n">
        <f aca="false">AF2076*評分方法!$C$6</f>
        <v>0</v>
      </c>
      <c r="K2076" s="15" t="n">
        <f aca="false">AG2076*評分方法!$C$7</f>
        <v>10.05</v>
      </c>
      <c r="L2076" s="15" t="n">
        <f aca="false">AH2076*評分方法!$C$8</f>
        <v>4.95</v>
      </c>
      <c r="M2076" s="15" t="n">
        <f aca="false">AI2076*評分方法!$C$9</f>
        <v>6</v>
      </c>
      <c r="N2076" s="15" t="n">
        <f aca="false">AJ2076*評分方法!$C$10</f>
        <v>2.932</v>
      </c>
      <c r="O2076" s="15" t="n">
        <f aca="false">AK2076*評分方法!$C$11</f>
        <v>1</v>
      </c>
      <c r="P2076" s="15" t="n">
        <f aca="false">AL2076*評分方法!$C$12</f>
        <v>0</v>
      </c>
      <c r="Q2076" s="6" t="n">
        <v>288546</v>
      </c>
      <c r="R2076" s="6" t="n">
        <v>70553706560</v>
      </c>
      <c r="S2076" s="11" t="s">
        <v>1876</v>
      </c>
      <c r="T2076" s="11" t="s">
        <v>259</v>
      </c>
      <c r="U2076" s="5" t="s">
        <v>260</v>
      </c>
      <c r="V2076" s="11" t="s">
        <v>333</v>
      </c>
      <c r="W2076" s="5" t="s">
        <v>207</v>
      </c>
      <c r="X2076" s="5" t="s">
        <v>242</v>
      </c>
      <c r="Y2076" s="11" t="s">
        <v>3078</v>
      </c>
      <c r="Z2076" s="11" t="s">
        <v>244</v>
      </c>
      <c r="AA2076" s="11" t="s">
        <v>155</v>
      </c>
      <c r="AB2076" s="5" t="s">
        <v>245</v>
      </c>
      <c r="AC2076" s="5" t="s">
        <v>464</v>
      </c>
      <c r="AD2076" s="11" t="s">
        <v>5095</v>
      </c>
      <c r="AE2076" s="23" t="n">
        <v>0.85</v>
      </c>
      <c r="AF2076" s="23" t="n">
        <v>0</v>
      </c>
      <c r="AG2076" s="23" t="n">
        <v>0.67</v>
      </c>
      <c r="AH2076" s="23" t="n">
        <v>0.33</v>
      </c>
      <c r="AI2076" s="23" t="n">
        <v>0.6</v>
      </c>
      <c r="AJ2076" s="23" t="n">
        <v>0.2932</v>
      </c>
      <c r="AK2076" s="23" t="n">
        <v>0.2</v>
      </c>
      <c r="AL2076" s="23" t="n">
        <v>0</v>
      </c>
      <c r="AM2076" s="16" t="n">
        <f aca="false">COUNTIFS($D$2:$D$2501,D2076,$G$2:$G$2501,"&gt;"&amp;G2076)+COUNTIFS($D$2:D2076,D2076,$G$2:G2076,G2076)</f>
        <v>934</v>
      </c>
      <c r="AN2076" s="5" t="str">
        <f aca="false">D2076&amp;"|"&amp;AM2076</f>
        <v>分析與報告生成|934</v>
      </c>
    </row>
    <row r="2077" customFormat="false" ht="17.15" hidden="false" customHeight="false" outlineLevel="0" collapsed="false">
      <c r="A2077" s="16" t="n">
        <f aca="false">RANK(G2077,$G$2:$G$2501)+COUNTIF($G$2:G2077,G2077)-1</f>
        <v>2076</v>
      </c>
      <c r="B2077" s="11" t="s">
        <v>5096</v>
      </c>
      <c r="C2077" s="11" t="s">
        <v>1677</v>
      </c>
      <c r="D2077" s="5" t="s">
        <v>78</v>
      </c>
      <c r="E2077" s="5" t="s">
        <v>79</v>
      </c>
      <c r="F2077" s="5"/>
      <c r="G2077" s="22" t="n">
        <f aca="false">ROUND(SUM(I2077:P2077),3)</f>
        <v>50.428</v>
      </c>
      <c r="H2077" s="5" t="str">
        <f aca="false">IF(G2077&gt;=評分方法!$C$16,"優先評估",IF(G2077&gt;=評分方法!$C$17,"列入候選",IF(G2077&gt;=評分方法!$C$18,"特定情境","不建議")))</f>
        <v>不建議</v>
      </c>
      <c r="I2077" s="15" t="n">
        <f aca="false">AE2077*評分方法!$C$5</f>
        <v>9</v>
      </c>
      <c r="J2077" s="15" t="n">
        <f aca="false">AF2077*評分方法!$C$6</f>
        <v>0</v>
      </c>
      <c r="K2077" s="15" t="n">
        <f aca="false">AG2077*評分方法!$C$7</f>
        <v>10.05</v>
      </c>
      <c r="L2077" s="15" t="n">
        <f aca="false">AH2077*評分方法!$C$8</f>
        <v>7.05</v>
      </c>
      <c r="M2077" s="15" t="n">
        <f aca="false">AI2077*評分方法!$C$9</f>
        <v>10</v>
      </c>
      <c r="N2077" s="15" t="n">
        <f aca="false">AJ2077*評分方法!$C$10</f>
        <v>8.828</v>
      </c>
      <c r="O2077" s="15" t="n">
        <f aca="false">AK2077*評分方法!$C$11</f>
        <v>4</v>
      </c>
      <c r="P2077" s="15" t="n">
        <f aca="false">AL2077*評分方法!$C$12</f>
        <v>1.5</v>
      </c>
      <c r="Q2077" s="6" t="n">
        <v>3137008</v>
      </c>
      <c r="R2077" s="6"/>
      <c r="S2077" s="5" t="s">
        <v>255</v>
      </c>
      <c r="T2077" s="11" t="s">
        <v>239</v>
      </c>
      <c r="U2077" s="5" t="s">
        <v>240</v>
      </c>
      <c r="V2077" s="11" t="s">
        <v>514</v>
      </c>
      <c r="W2077" s="5" t="s">
        <v>207</v>
      </c>
      <c r="X2077" s="5" t="s">
        <v>255</v>
      </c>
      <c r="Y2077" s="11" t="s">
        <v>4185</v>
      </c>
      <c r="Z2077" s="11" t="s">
        <v>244</v>
      </c>
      <c r="AA2077" s="11" t="s">
        <v>175</v>
      </c>
      <c r="AB2077" s="5" t="s">
        <v>245</v>
      </c>
      <c r="AC2077" s="5" t="s">
        <v>246</v>
      </c>
      <c r="AD2077" s="11" t="s">
        <v>5097</v>
      </c>
      <c r="AE2077" s="23" t="n">
        <v>0.3</v>
      </c>
      <c r="AF2077" s="23" t="n">
        <v>0</v>
      </c>
      <c r="AG2077" s="23" t="n">
        <v>0.67</v>
      </c>
      <c r="AH2077" s="23" t="n">
        <v>0.47</v>
      </c>
      <c r="AI2077" s="23" t="n">
        <v>1</v>
      </c>
      <c r="AJ2077" s="23" t="n">
        <v>0.8828</v>
      </c>
      <c r="AK2077" s="23" t="n">
        <v>0.8</v>
      </c>
      <c r="AL2077" s="23" t="n">
        <v>0.3</v>
      </c>
      <c r="AM2077" s="16" t="n">
        <f aca="false">COUNTIFS($D$2:$D$2501,D2077,$G$2:$G$2501,"&gt;"&amp;G2077)+COUNTIFS($D$2:D2077,D2077,$G$2:G2077,G2077)</f>
        <v>65</v>
      </c>
      <c r="AN2077" s="5" t="str">
        <f aca="false">D2077&amp;"|"&amp;AM2077</f>
        <v>語音分析|65</v>
      </c>
    </row>
    <row r="2078" customFormat="false" ht="17.15" hidden="false" customHeight="false" outlineLevel="0" collapsed="false">
      <c r="A2078" s="16" t="n">
        <f aca="false">RANK(G2078,$G$2:$G$2501)+COUNTIF($G$2:G2078,G2078)-1</f>
        <v>2077</v>
      </c>
      <c r="B2078" s="11" t="s">
        <v>5098</v>
      </c>
      <c r="C2078" s="11" t="s">
        <v>5099</v>
      </c>
      <c r="D2078" s="5" t="s">
        <v>72</v>
      </c>
      <c r="E2078" s="5" t="s">
        <v>73</v>
      </c>
      <c r="F2078" s="5"/>
      <c r="G2078" s="22" t="n">
        <f aca="false">ROUND(SUM(I2078:P2078),3)</f>
        <v>50.414</v>
      </c>
      <c r="H2078" s="5" t="str">
        <f aca="false">IF(G2078&gt;=評分方法!$C$16,"優先評估",IF(G2078&gt;=評分方法!$C$17,"列入候選",IF(G2078&gt;=評分方法!$C$18,"特定情境","不建議")))</f>
        <v>不建議</v>
      </c>
      <c r="I2078" s="15" t="n">
        <f aca="false">AE2078*評分方法!$C$5</f>
        <v>15</v>
      </c>
      <c r="J2078" s="15" t="n">
        <f aca="false">AF2078*評分方法!$C$6</f>
        <v>0</v>
      </c>
      <c r="K2078" s="15" t="n">
        <f aca="false">AG2078*評分方法!$C$7</f>
        <v>15</v>
      </c>
      <c r="L2078" s="15" t="n">
        <f aca="false">AH2078*評分方法!$C$8</f>
        <v>7.05</v>
      </c>
      <c r="M2078" s="15" t="n">
        <f aca="false">AI2078*評分方法!$C$9</f>
        <v>10</v>
      </c>
      <c r="N2078" s="15" t="n">
        <f aca="false">AJ2078*評分方法!$C$10</f>
        <v>0.864</v>
      </c>
      <c r="O2078" s="15" t="n">
        <f aca="false">AK2078*評分方法!$C$11</f>
        <v>2.5</v>
      </c>
      <c r="P2078" s="15" t="n">
        <f aca="false">AL2078*評分方法!$C$12</f>
        <v>0</v>
      </c>
      <c r="Q2078" s="6" t="n">
        <v>148792</v>
      </c>
      <c r="R2078" s="6"/>
      <c r="S2078" s="5" t="s">
        <v>255</v>
      </c>
      <c r="T2078" s="11" t="s">
        <v>278</v>
      </c>
      <c r="U2078" s="5" t="s">
        <v>240</v>
      </c>
      <c r="V2078" s="11" t="s">
        <v>4499</v>
      </c>
      <c r="W2078" s="5" t="s">
        <v>205</v>
      </c>
      <c r="X2078" s="5" t="s">
        <v>242</v>
      </c>
      <c r="Y2078" s="5"/>
      <c r="Z2078" s="5"/>
      <c r="AA2078" s="11" t="s">
        <v>162</v>
      </c>
      <c r="AB2078" s="5" t="s">
        <v>245</v>
      </c>
      <c r="AC2078" s="5"/>
      <c r="AD2078" s="11" t="s">
        <v>5100</v>
      </c>
      <c r="AE2078" s="23" t="n">
        <v>0.5</v>
      </c>
      <c r="AF2078" s="23" t="n">
        <v>0</v>
      </c>
      <c r="AG2078" s="23" t="n">
        <v>1</v>
      </c>
      <c r="AH2078" s="23" t="n">
        <v>0.47</v>
      </c>
      <c r="AI2078" s="23" t="n">
        <v>1</v>
      </c>
      <c r="AJ2078" s="23" t="n">
        <v>0.0864</v>
      </c>
      <c r="AK2078" s="23" t="n">
        <v>0.5</v>
      </c>
      <c r="AL2078" s="23" t="n">
        <v>0</v>
      </c>
      <c r="AM2078" s="16" t="n">
        <f aca="false">COUNTIFS($D$2:$D$2501,D2078,$G$2:$G$2501,"&gt;"&amp;G2078)+COUNTIFS($D$2:D2078,D2078,$G$2:G2078,G2078)</f>
        <v>41</v>
      </c>
      <c r="AN2078" s="5" t="str">
        <f aca="false">D2078&amp;"|"&amp;AM2078</f>
        <v>微調基底模型|41</v>
      </c>
    </row>
    <row r="2079" customFormat="false" ht="17.15" hidden="false" customHeight="false" outlineLevel="0" collapsed="false">
      <c r="A2079" s="16" t="n">
        <f aca="false">RANK(G2079,$G$2:$G$2501)+COUNTIF($G$2:G2079,G2079)-1</f>
        <v>2078</v>
      </c>
      <c r="B2079" s="11" t="s">
        <v>5101</v>
      </c>
      <c r="C2079" s="11" t="s">
        <v>3249</v>
      </c>
      <c r="D2079" s="5" t="s">
        <v>56</v>
      </c>
      <c r="E2079" s="5" t="s">
        <v>57</v>
      </c>
      <c r="F2079" s="5"/>
      <c r="G2079" s="22" t="n">
        <f aca="false">ROUND(SUM(I2079:P2079),3)</f>
        <v>50.37</v>
      </c>
      <c r="H2079" s="5" t="str">
        <f aca="false">IF(G2079&gt;=評分方法!$C$16,"優先評估",IF(G2079&gt;=評分方法!$C$17,"列入候選",IF(G2079&gt;=評分方法!$C$18,"特定情境","不建議")))</f>
        <v>不建議</v>
      </c>
      <c r="I2079" s="15" t="n">
        <f aca="false">AE2079*評分方法!$C$5</f>
        <v>25.5</v>
      </c>
      <c r="J2079" s="15" t="n">
        <f aca="false">AF2079*評分方法!$C$6</f>
        <v>0</v>
      </c>
      <c r="K2079" s="15" t="n">
        <f aca="false">AG2079*評分方法!$C$7</f>
        <v>4.95</v>
      </c>
      <c r="L2079" s="15" t="n">
        <f aca="false">AH2079*評分方法!$C$8</f>
        <v>9</v>
      </c>
      <c r="M2079" s="15" t="n">
        <f aca="false">AI2079*評分方法!$C$9</f>
        <v>6</v>
      </c>
      <c r="N2079" s="15" t="n">
        <f aca="false">AJ2079*評分方法!$C$10</f>
        <v>0.92</v>
      </c>
      <c r="O2079" s="15" t="n">
        <f aca="false">AK2079*評分方法!$C$11</f>
        <v>1</v>
      </c>
      <c r="P2079" s="15" t="n">
        <f aca="false">AL2079*評分方法!$C$12</f>
        <v>3</v>
      </c>
      <c r="Q2079" s="6" t="n">
        <v>150373</v>
      </c>
      <c r="R2079" s="6" t="n">
        <v>33743970304</v>
      </c>
      <c r="S2079" s="11" t="s">
        <v>389</v>
      </c>
      <c r="T2079" s="11" t="s">
        <v>1153</v>
      </c>
      <c r="U2079" s="5" t="s">
        <v>260</v>
      </c>
      <c r="V2079" s="11" t="s">
        <v>324</v>
      </c>
      <c r="W2079" s="5" t="s">
        <v>334</v>
      </c>
      <c r="X2079" s="5" t="s">
        <v>371</v>
      </c>
      <c r="Y2079" s="5"/>
      <c r="Z2079" s="5"/>
      <c r="AA2079" s="11" t="s">
        <v>155</v>
      </c>
      <c r="AB2079" s="5" t="s">
        <v>245</v>
      </c>
      <c r="AC2079" s="5" t="s">
        <v>262</v>
      </c>
      <c r="AD2079" s="11" t="s">
        <v>5102</v>
      </c>
      <c r="AE2079" s="23" t="n">
        <v>0.85</v>
      </c>
      <c r="AF2079" s="23" t="n">
        <v>0</v>
      </c>
      <c r="AG2079" s="23" t="n">
        <v>0.33</v>
      </c>
      <c r="AH2079" s="23" t="n">
        <v>0.6</v>
      </c>
      <c r="AI2079" s="23" t="n">
        <v>0.6</v>
      </c>
      <c r="AJ2079" s="23" t="n">
        <v>0.092</v>
      </c>
      <c r="AK2079" s="23" t="n">
        <v>0.2</v>
      </c>
      <c r="AL2079" s="23" t="n">
        <v>0.6</v>
      </c>
      <c r="AM2079" s="16" t="n">
        <f aca="false">COUNTIFS($D$2:$D$2501,D2079,$G$2:$G$2501,"&gt;"&amp;G2079)+COUNTIFS($D$2:D2079,D2079,$G$2:G2079,G2079)</f>
        <v>935</v>
      </c>
      <c r="AN2079" s="5" t="str">
        <f aca="false">D2079&amp;"|"&amp;AM2079</f>
        <v>分析與報告生成|935</v>
      </c>
    </row>
    <row r="2080" customFormat="false" ht="17.15" hidden="false" customHeight="false" outlineLevel="0" collapsed="false">
      <c r="A2080" s="16" t="n">
        <f aca="false">RANK(G2080,$G$2:$G$2501)+COUNTIF($G$2:G2080,G2080)-1</f>
        <v>2079</v>
      </c>
      <c r="B2080" s="11" t="s">
        <v>5103</v>
      </c>
      <c r="C2080" s="11" t="s">
        <v>5104</v>
      </c>
      <c r="D2080" s="5" t="s">
        <v>58</v>
      </c>
      <c r="E2080" s="5" t="s">
        <v>59</v>
      </c>
      <c r="F2080" s="5"/>
      <c r="G2080" s="22" t="n">
        <f aca="false">ROUND(SUM(I2080:P2080),3)</f>
        <v>50.342</v>
      </c>
      <c r="H2080" s="5" t="str">
        <f aca="false">IF(G2080&gt;=評分方法!$C$16,"優先評估",IF(G2080&gt;=評分方法!$C$17,"列入候選",IF(G2080&gt;=評分方法!$C$18,"特定情境","不建議")))</f>
        <v>不建議</v>
      </c>
      <c r="I2080" s="15" t="n">
        <f aca="false">AE2080*評分方法!$C$5</f>
        <v>17.1</v>
      </c>
      <c r="J2080" s="15" t="n">
        <f aca="false">AF2080*評分方法!$C$6</f>
        <v>0</v>
      </c>
      <c r="K2080" s="15" t="n">
        <f aca="false">AG2080*評分方法!$C$7</f>
        <v>4.95</v>
      </c>
      <c r="L2080" s="15" t="n">
        <f aca="false">AH2080*評分方法!$C$8</f>
        <v>15</v>
      </c>
      <c r="M2080" s="15" t="n">
        <f aca="false">AI2080*評分方法!$C$9</f>
        <v>10</v>
      </c>
      <c r="N2080" s="15" t="n">
        <f aca="false">AJ2080*評分方法!$C$10</f>
        <v>2.292</v>
      </c>
      <c r="O2080" s="15" t="n">
        <f aca="false">AK2080*評分方法!$C$11</f>
        <v>1</v>
      </c>
      <c r="P2080" s="15" t="n">
        <f aca="false">AL2080*評分方法!$C$12</f>
        <v>0</v>
      </c>
      <c r="Q2080" s="6" t="n">
        <v>232715</v>
      </c>
      <c r="R2080" s="6" t="n">
        <v>425872397</v>
      </c>
      <c r="S2080" s="11" t="s">
        <v>238</v>
      </c>
      <c r="T2080" s="11" t="s">
        <v>239</v>
      </c>
      <c r="U2080" s="5" t="s">
        <v>240</v>
      </c>
      <c r="V2080" s="11" t="s">
        <v>261</v>
      </c>
      <c r="W2080" s="5" t="s">
        <v>334</v>
      </c>
      <c r="X2080" s="5" t="s">
        <v>242</v>
      </c>
      <c r="Y2080" s="11" t="s">
        <v>4832</v>
      </c>
      <c r="Z2080" s="11" t="s">
        <v>270</v>
      </c>
      <c r="AA2080" s="11" t="s">
        <v>150</v>
      </c>
      <c r="AB2080" s="5" t="s">
        <v>245</v>
      </c>
      <c r="AC2080" s="5" t="s">
        <v>1463</v>
      </c>
      <c r="AD2080" s="11" t="s">
        <v>5105</v>
      </c>
      <c r="AE2080" s="23" t="n">
        <v>0.57</v>
      </c>
      <c r="AF2080" s="23" t="n">
        <v>0</v>
      </c>
      <c r="AG2080" s="23" t="n">
        <v>0.33</v>
      </c>
      <c r="AH2080" s="23" t="n">
        <v>1</v>
      </c>
      <c r="AI2080" s="23" t="n">
        <v>1</v>
      </c>
      <c r="AJ2080" s="23" t="n">
        <v>0.2292</v>
      </c>
      <c r="AK2080" s="23" t="n">
        <v>0.2</v>
      </c>
      <c r="AL2080" s="23" t="n">
        <v>0</v>
      </c>
      <c r="AM2080" s="16" t="n">
        <f aca="false">COUNTIFS($D$2:$D$2501,D2080,$G$2:$G$2501,"&gt;"&amp;G2080)+COUNTIFS($D$2:D2080,D2080,$G$2:G2080,G2080)</f>
        <v>306</v>
      </c>
      <c r="AN2080" s="5" t="str">
        <f aca="false">D2080&amp;"|"&amp;AM2080</f>
        <v>實體擷取與去識別化|306</v>
      </c>
    </row>
    <row r="2081" customFormat="false" ht="17.15" hidden="false" customHeight="false" outlineLevel="0" collapsed="false">
      <c r="A2081" s="16" t="n">
        <f aca="false">RANK(G2081,$G$2:$G$2501)+COUNTIF($G$2:G2081,G2081)-1</f>
        <v>2080</v>
      </c>
      <c r="B2081" s="11" t="s">
        <v>5106</v>
      </c>
      <c r="C2081" s="11" t="s">
        <v>4209</v>
      </c>
      <c r="D2081" s="5" t="s">
        <v>56</v>
      </c>
      <c r="E2081" s="5" t="s">
        <v>57</v>
      </c>
      <c r="F2081" s="5"/>
      <c r="G2081" s="22" t="n">
        <f aca="false">ROUND(SUM(I2081:P2081),3)</f>
        <v>50.31</v>
      </c>
      <c r="H2081" s="5" t="str">
        <f aca="false">IF(G2081&gt;=評分方法!$C$16,"優先評估",IF(G2081&gt;=評分方法!$C$17,"列入候選",IF(G2081&gt;=評分方法!$C$18,"特定情境","不建議")))</f>
        <v>不建議</v>
      </c>
      <c r="I2081" s="15" t="n">
        <f aca="false">AE2081*評分方法!$C$5</f>
        <v>25.5</v>
      </c>
      <c r="J2081" s="15" t="n">
        <f aca="false">AF2081*評分方法!$C$6</f>
        <v>0</v>
      </c>
      <c r="K2081" s="15" t="n">
        <f aca="false">AG2081*評分方法!$C$7</f>
        <v>4.95</v>
      </c>
      <c r="L2081" s="15" t="n">
        <f aca="false">AH2081*評分方法!$C$8</f>
        <v>9</v>
      </c>
      <c r="M2081" s="15" t="n">
        <f aca="false">AI2081*評分方法!$C$9</f>
        <v>2</v>
      </c>
      <c r="N2081" s="15" t="n">
        <f aca="false">AJ2081*評分方法!$C$10</f>
        <v>4.86</v>
      </c>
      <c r="O2081" s="15" t="n">
        <f aca="false">AK2081*評分方法!$C$11</f>
        <v>1</v>
      </c>
      <c r="P2081" s="15" t="n">
        <f aca="false">AL2081*評分方法!$C$12</f>
        <v>3</v>
      </c>
      <c r="Q2081" s="6" t="n">
        <v>527787</v>
      </c>
      <c r="R2081" s="6" t="n">
        <v>12247782400</v>
      </c>
      <c r="S2081" s="11" t="s">
        <v>389</v>
      </c>
      <c r="T2081" s="5"/>
      <c r="U2081" s="5" t="s">
        <v>375</v>
      </c>
      <c r="V2081" s="11" t="s">
        <v>261</v>
      </c>
      <c r="W2081" s="5" t="s">
        <v>334</v>
      </c>
      <c r="X2081" s="5" t="s">
        <v>371</v>
      </c>
      <c r="Y2081" s="11" t="s">
        <v>771</v>
      </c>
      <c r="Z2081" s="11" t="s">
        <v>244</v>
      </c>
      <c r="AA2081" s="11" t="s">
        <v>155</v>
      </c>
      <c r="AB2081" s="5" t="s">
        <v>245</v>
      </c>
      <c r="AC2081" s="5" t="s">
        <v>464</v>
      </c>
      <c r="AD2081" s="11" t="s">
        <v>5107</v>
      </c>
      <c r="AE2081" s="23" t="n">
        <v>0.85</v>
      </c>
      <c r="AF2081" s="23" t="n">
        <v>0</v>
      </c>
      <c r="AG2081" s="23" t="n">
        <v>0.33</v>
      </c>
      <c r="AH2081" s="23" t="n">
        <v>0.6</v>
      </c>
      <c r="AI2081" s="23" t="n">
        <v>0.2</v>
      </c>
      <c r="AJ2081" s="23" t="n">
        <v>0.486</v>
      </c>
      <c r="AK2081" s="23" t="n">
        <v>0.2</v>
      </c>
      <c r="AL2081" s="23" t="n">
        <v>0.6</v>
      </c>
      <c r="AM2081" s="16" t="n">
        <f aca="false">COUNTIFS($D$2:$D$2501,D2081,$G$2:$G$2501,"&gt;"&amp;G2081)+COUNTIFS($D$2:D2081,D2081,$G$2:G2081,G2081)</f>
        <v>936</v>
      </c>
      <c r="AN2081" s="5" t="str">
        <f aca="false">D2081&amp;"|"&amp;AM2081</f>
        <v>分析與報告生成|936</v>
      </c>
    </row>
    <row r="2082" customFormat="false" ht="17.15" hidden="false" customHeight="false" outlineLevel="0" collapsed="false">
      <c r="A2082" s="16" t="n">
        <f aca="false">RANK(G2082,$G$2:$G$2501)+COUNTIF($G$2:G2082,G2082)-1</f>
        <v>2081</v>
      </c>
      <c r="B2082" s="11" t="s">
        <v>5108</v>
      </c>
      <c r="C2082" s="11" t="s">
        <v>402</v>
      </c>
      <c r="D2082" s="5" t="s">
        <v>58</v>
      </c>
      <c r="E2082" s="5" t="s">
        <v>59</v>
      </c>
      <c r="F2082" s="5"/>
      <c r="G2082" s="22" t="n">
        <f aca="false">ROUND(SUM(I2082:P2082),3)</f>
        <v>50.298</v>
      </c>
      <c r="H2082" s="5" t="str">
        <f aca="false">IF(G2082&gt;=評分方法!$C$16,"優先評估",IF(G2082&gt;=評分方法!$C$17,"列入候選",IF(G2082&gt;=評分方法!$C$18,"特定情境","不建議")))</f>
        <v>不建議</v>
      </c>
      <c r="I2082" s="15" t="n">
        <f aca="false">AE2082*評分方法!$C$5</f>
        <v>11.4</v>
      </c>
      <c r="J2082" s="15" t="n">
        <f aca="false">AF2082*評分方法!$C$6</f>
        <v>0</v>
      </c>
      <c r="K2082" s="15" t="n">
        <f aca="false">AG2082*評分方法!$C$7</f>
        <v>4.95</v>
      </c>
      <c r="L2082" s="15" t="n">
        <f aca="false">AH2082*評分方法!$C$8</f>
        <v>15</v>
      </c>
      <c r="M2082" s="15" t="n">
        <f aca="false">AI2082*評分方法!$C$9</f>
        <v>10</v>
      </c>
      <c r="N2082" s="15" t="n">
        <f aca="false">AJ2082*評分方法!$C$10</f>
        <v>6.448</v>
      </c>
      <c r="O2082" s="15" t="n">
        <f aca="false">AK2082*評分方法!$C$11</f>
        <v>2.5</v>
      </c>
      <c r="P2082" s="15" t="n">
        <f aca="false">AL2082*評分方法!$C$12</f>
        <v>0</v>
      </c>
      <c r="Q2082" s="6" t="n">
        <v>736806</v>
      </c>
      <c r="R2082" s="6" t="n">
        <v>334095363</v>
      </c>
      <c r="S2082" s="11" t="s">
        <v>238</v>
      </c>
      <c r="T2082" s="11" t="s">
        <v>239</v>
      </c>
      <c r="U2082" s="5" t="s">
        <v>240</v>
      </c>
      <c r="V2082" s="11" t="s">
        <v>261</v>
      </c>
      <c r="W2082" s="5" t="s">
        <v>334</v>
      </c>
      <c r="X2082" s="5" t="s">
        <v>242</v>
      </c>
      <c r="Y2082" s="5"/>
      <c r="Z2082" s="5"/>
      <c r="AA2082" s="11" t="s">
        <v>150</v>
      </c>
      <c r="AB2082" s="5" t="s">
        <v>245</v>
      </c>
      <c r="AC2082" s="5" t="s">
        <v>3044</v>
      </c>
      <c r="AD2082" s="11" t="s">
        <v>5109</v>
      </c>
      <c r="AE2082" s="23" t="n">
        <v>0.38</v>
      </c>
      <c r="AF2082" s="23" t="n">
        <v>0</v>
      </c>
      <c r="AG2082" s="23" t="n">
        <v>0.33</v>
      </c>
      <c r="AH2082" s="23" t="n">
        <v>1</v>
      </c>
      <c r="AI2082" s="23" t="n">
        <v>1</v>
      </c>
      <c r="AJ2082" s="23" t="n">
        <v>0.6448</v>
      </c>
      <c r="AK2082" s="23" t="n">
        <v>0.5</v>
      </c>
      <c r="AL2082" s="23" t="n">
        <v>0</v>
      </c>
      <c r="AM2082" s="16" t="n">
        <f aca="false">COUNTIFS($D$2:$D$2501,D2082,$G$2:$G$2501,"&gt;"&amp;G2082)+COUNTIFS($D$2:D2082,D2082,$G$2:G2082,G2082)</f>
        <v>307</v>
      </c>
      <c r="AN2082" s="5" t="str">
        <f aca="false">D2082&amp;"|"&amp;AM2082</f>
        <v>實體擷取與去識別化|307</v>
      </c>
    </row>
    <row r="2083" customFormat="false" ht="17.15" hidden="false" customHeight="false" outlineLevel="0" collapsed="false">
      <c r="A2083" s="16" t="n">
        <f aca="false">RANK(G2083,$G$2:$G$2501)+COUNTIF($G$2:G2083,G2083)-1</f>
        <v>2082</v>
      </c>
      <c r="B2083" s="11" t="s">
        <v>5110</v>
      </c>
      <c r="C2083" s="11" t="s">
        <v>3857</v>
      </c>
      <c r="D2083" s="5" t="s">
        <v>56</v>
      </c>
      <c r="E2083" s="5" t="s">
        <v>57</v>
      </c>
      <c r="F2083" s="5"/>
      <c r="G2083" s="22" t="n">
        <f aca="false">ROUND(SUM(I2083:P2083),3)</f>
        <v>50.284</v>
      </c>
      <c r="H2083" s="5" t="str">
        <f aca="false">IF(G2083&gt;=評分方法!$C$16,"優先評估",IF(G2083&gt;=評分方法!$C$17,"列入候選",IF(G2083&gt;=評分方法!$C$18,"特定情境","不建議")))</f>
        <v>不建議</v>
      </c>
      <c r="I2083" s="15" t="n">
        <f aca="false">AE2083*評分方法!$C$5</f>
        <v>25.5</v>
      </c>
      <c r="J2083" s="15" t="n">
        <f aca="false">AF2083*評分方法!$C$6</f>
        <v>0</v>
      </c>
      <c r="K2083" s="15" t="n">
        <f aca="false">AG2083*評分方法!$C$7</f>
        <v>4.95</v>
      </c>
      <c r="L2083" s="15" t="n">
        <f aca="false">AH2083*評分方法!$C$8</f>
        <v>4.95</v>
      </c>
      <c r="M2083" s="15" t="n">
        <f aca="false">AI2083*評分方法!$C$9</f>
        <v>6</v>
      </c>
      <c r="N2083" s="15" t="n">
        <f aca="false">AJ2083*評分方法!$C$10</f>
        <v>7.884</v>
      </c>
      <c r="O2083" s="15" t="n">
        <f aca="false">AK2083*評分方法!$C$11</f>
        <v>1</v>
      </c>
      <c r="P2083" s="15" t="n">
        <f aca="false">AL2083*評分方法!$C$12</f>
        <v>0</v>
      </c>
      <c r="Q2083" s="6" t="n">
        <v>1462735</v>
      </c>
      <c r="R2083" s="6" t="n">
        <v>70553706496</v>
      </c>
      <c r="S2083" s="11" t="s">
        <v>1876</v>
      </c>
      <c r="T2083" s="11" t="s">
        <v>259</v>
      </c>
      <c r="U2083" s="5" t="s">
        <v>260</v>
      </c>
      <c r="V2083" s="11" t="s">
        <v>261</v>
      </c>
      <c r="W2083" s="5" t="s">
        <v>334</v>
      </c>
      <c r="X2083" s="5" t="s">
        <v>242</v>
      </c>
      <c r="Y2083" s="5"/>
      <c r="Z2083" s="5"/>
      <c r="AA2083" s="11" t="s">
        <v>155</v>
      </c>
      <c r="AB2083" s="5" t="s">
        <v>245</v>
      </c>
      <c r="AC2083" s="5" t="s">
        <v>262</v>
      </c>
      <c r="AD2083" s="11" t="s">
        <v>5111</v>
      </c>
      <c r="AE2083" s="23" t="n">
        <v>0.85</v>
      </c>
      <c r="AF2083" s="23" t="n">
        <v>0</v>
      </c>
      <c r="AG2083" s="23" t="n">
        <v>0.33</v>
      </c>
      <c r="AH2083" s="23" t="n">
        <v>0.33</v>
      </c>
      <c r="AI2083" s="23" t="n">
        <v>0.6</v>
      </c>
      <c r="AJ2083" s="23" t="n">
        <v>0.7884</v>
      </c>
      <c r="AK2083" s="23" t="n">
        <v>0.2</v>
      </c>
      <c r="AL2083" s="23" t="n">
        <v>0</v>
      </c>
      <c r="AM2083" s="16" t="n">
        <f aca="false">COUNTIFS($D$2:$D$2501,D2083,$G$2:$G$2501,"&gt;"&amp;G2083)+COUNTIFS($D$2:D2083,D2083,$G$2:G2083,G2083)</f>
        <v>937</v>
      </c>
      <c r="AN2083" s="5" t="str">
        <f aca="false">D2083&amp;"|"&amp;AM2083</f>
        <v>分析與報告生成|937</v>
      </c>
    </row>
    <row r="2084" customFormat="false" ht="17.15" hidden="false" customHeight="false" outlineLevel="0" collapsed="false">
      <c r="A2084" s="16" t="n">
        <f aca="false">RANK(G2084,$G$2:$G$2501)+COUNTIF($G$2:G2084,G2084)-1</f>
        <v>2083</v>
      </c>
      <c r="B2084" s="11" t="s">
        <v>5112</v>
      </c>
      <c r="C2084" s="11" t="s">
        <v>3857</v>
      </c>
      <c r="D2084" s="5" t="s">
        <v>56</v>
      </c>
      <c r="E2084" s="5" t="s">
        <v>57</v>
      </c>
      <c r="F2084" s="5"/>
      <c r="G2084" s="22" t="n">
        <f aca="false">ROUND(SUM(I2084:P2084),3)</f>
        <v>50.276</v>
      </c>
      <c r="H2084" s="5" t="str">
        <f aca="false">IF(G2084&gt;=評分方法!$C$16,"優先評估",IF(G2084&gt;=評分方法!$C$17,"列入候選",IF(G2084&gt;=評分方法!$C$18,"特定情境","不建議")))</f>
        <v>不建議</v>
      </c>
      <c r="I2084" s="15" t="n">
        <f aca="false">AE2084*評分方法!$C$5</f>
        <v>25.5</v>
      </c>
      <c r="J2084" s="15" t="n">
        <f aca="false">AF2084*評分方法!$C$6</f>
        <v>0</v>
      </c>
      <c r="K2084" s="15" t="n">
        <f aca="false">AG2084*評分方法!$C$7</f>
        <v>4.95</v>
      </c>
      <c r="L2084" s="15" t="n">
        <f aca="false">AH2084*評分方法!$C$8</f>
        <v>13.05</v>
      </c>
      <c r="M2084" s="15" t="n">
        <f aca="false">AI2084*評分方法!$C$9</f>
        <v>2</v>
      </c>
      <c r="N2084" s="15" t="n">
        <f aca="false">AJ2084*評分方法!$C$10</f>
        <v>3.776</v>
      </c>
      <c r="O2084" s="15" t="n">
        <f aca="false">AK2084*評分方法!$C$11</f>
        <v>1</v>
      </c>
      <c r="P2084" s="15" t="n">
        <f aca="false">AL2084*評分方法!$C$12</f>
        <v>0</v>
      </c>
      <c r="Q2084" s="6" t="n">
        <v>387103</v>
      </c>
      <c r="R2084" s="6" t="n">
        <v>1235814432</v>
      </c>
      <c r="S2084" s="11" t="s">
        <v>254</v>
      </c>
      <c r="T2084" s="5"/>
      <c r="U2084" s="5" t="s">
        <v>375</v>
      </c>
      <c r="V2084" s="11" t="s">
        <v>333</v>
      </c>
      <c r="W2084" s="5" t="s">
        <v>334</v>
      </c>
      <c r="X2084" s="5" t="s">
        <v>242</v>
      </c>
      <c r="Y2084" s="11" t="s">
        <v>1309</v>
      </c>
      <c r="Z2084" s="11" t="s">
        <v>244</v>
      </c>
      <c r="AA2084" s="11" t="s">
        <v>155</v>
      </c>
      <c r="AB2084" s="5" t="s">
        <v>245</v>
      </c>
      <c r="AC2084" s="5" t="s">
        <v>464</v>
      </c>
      <c r="AD2084" s="11" t="s">
        <v>5113</v>
      </c>
      <c r="AE2084" s="23" t="n">
        <v>0.85</v>
      </c>
      <c r="AF2084" s="23" t="n">
        <v>0</v>
      </c>
      <c r="AG2084" s="23" t="n">
        <v>0.33</v>
      </c>
      <c r="AH2084" s="23" t="n">
        <v>0.87</v>
      </c>
      <c r="AI2084" s="23" t="n">
        <v>0.2</v>
      </c>
      <c r="AJ2084" s="23" t="n">
        <v>0.3776</v>
      </c>
      <c r="AK2084" s="23" t="n">
        <v>0.2</v>
      </c>
      <c r="AL2084" s="23" t="n">
        <v>0</v>
      </c>
      <c r="AM2084" s="16" t="n">
        <f aca="false">COUNTIFS($D$2:$D$2501,D2084,$G$2:$G$2501,"&gt;"&amp;G2084)+COUNTIFS($D$2:D2084,D2084,$G$2:G2084,G2084)</f>
        <v>938</v>
      </c>
      <c r="AN2084" s="5" t="str">
        <f aca="false">D2084&amp;"|"&amp;AM2084</f>
        <v>分析與報告生成|938</v>
      </c>
    </row>
    <row r="2085" customFormat="false" ht="17.15" hidden="false" customHeight="false" outlineLevel="0" collapsed="false">
      <c r="A2085" s="16" t="n">
        <f aca="false">RANK(G2085,$G$2:$G$2501)+COUNTIF($G$2:G2085,G2085)-1</f>
        <v>2084</v>
      </c>
      <c r="B2085" s="11" t="s">
        <v>5114</v>
      </c>
      <c r="C2085" s="11" t="s">
        <v>5115</v>
      </c>
      <c r="D2085" s="5" t="s">
        <v>76</v>
      </c>
      <c r="E2085" s="5" t="s">
        <v>77</v>
      </c>
      <c r="F2085" s="5"/>
      <c r="G2085" s="22" t="n">
        <f aca="false">ROUND(SUM(I2085:P2085),3)</f>
        <v>50.27</v>
      </c>
      <c r="H2085" s="5" t="str">
        <f aca="false">IF(G2085&gt;=評分方法!$C$16,"優先評估",IF(G2085&gt;=評分方法!$C$17,"列入候選",IF(G2085&gt;=評分方法!$C$18,"特定情境","不建議")))</f>
        <v>不建議</v>
      </c>
      <c r="I2085" s="15" t="n">
        <f aca="false">AE2085*評分方法!$C$5</f>
        <v>12</v>
      </c>
      <c r="J2085" s="15" t="n">
        <f aca="false">AF2085*評分方法!$C$6</f>
        <v>0</v>
      </c>
      <c r="K2085" s="15" t="n">
        <f aca="false">AG2085*評分方法!$C$7</f>
        <v>15</v>
      </c>
      <c r="L2085" s="15" t="n">
        <f aca="false">AH2085*評分方法!$C$8</f>
        <v>13.05</v>
      </c>
      <c r="M2085" s="15" t="n">
        <f aca="false">AI2085*評分方法!$C$9</f>
        <v>5</v>
      </c>
      <c r="N2085" s="15" t="n">
        <f aca="false">AJ2085*評分方法!$C$10</f>
        <v>0.22</v>
      </c>
      <c r="O2085" s="15" t="n">
        <f aca="false">AK2085*評分方法!$C$11</f>
        <v>5</v>
      </c>
      <c r="P2085" s="15" t="n">
        <f aca="false">AL2085*評分方法!$C$12</f>
        <v>0</v>
      </c>
      <c r="Q2085" s="6" t="n">
        <v>122215</v>
      </c>
      <c r="R2085" s="6" t="n">
        <v>4300079472</v>
      </c>
      <c r="S2085" s="11" t="s">
        <v>254</v>
      </c>
      <c r="T2085" s="11" t="s">
        <v>3991</v>
      </c>
      <c r="U2085" s="11" t="s">
        <v>3992</v>
      </c>
      <c r="V2085" s="11" t="s">
        <v>261</v>
      </c>
      <c r="W2085" s="5" t="s">
        <v>205</v>
      </c>
      <c r="X2085" s="5" t="s">
        <v>242</v>
      </c>
      <c r="Y2085" s="11" t="s">
        <v>868</v>
      </c>
      <c r="Z2085" s="11" t="s">
        <v>270</v>
      </c>
      <c r="AA2085" s="11" t="s">
        <v>168</v>
      </c>
      <c r="AB2085" s="5" t="s">
        <v>245</v>
      </c>
      <c r="AC2085" s="5"/>
      <c r="AD2085" s="11" t="s">
        <v>5116</v>
      </c>
      <c r="AE2085" s="23" t="n">
        <v>0.4</v>
      </c>
      <c r="AF2085" s="23" t="n">
        <v>0</v>
      </c>
      <c r="AG2085" s="23" t="n">
        <v>1</v>
      </c>
      <c r="AH2085" s="23" t="n">
        <v>0.87</v>
      </c>
      <c r="AI2085" s="23" t="n">
        <v>0.5</v>
      </c>
      <c r="AJ2085" s="23" t="n">
        <v>0.022</v>
      </c>
      <c r="AK2085" s="23" t="n">
        <v>1</v>
      </c>
      <c r="AL2085" s="23" t="n">
        <v>0</v>
      </c>
      <c r="AM2085" s="16" t="n">
        <f aca="false">COUNTIFS($D$2:$D$2501,D2085,$G$2:$G$2501,"&gt;"&amp;G2085)+COUNTIFS($D$2:D2085,D2085,$G$2:G2085,G2085)</f>
        <v>13</v>
      </c>
      <c r="AN2085" s="5" t="str">
        <f aca="false">D2085&amp;"|"&amp;AM2085</f>
        <v>情資翻譯|13</v>
      </c>
    </row>
    <row r="2086" customFormat="false" ht="17.15" hidden="false" customHeight="false" outlineLevel="0" collapsed="false">
      <c r="A2086" s="16" t="n">
        <f aca="false">RANK(G2086,$G$2:$G$2501)+COUNTIF($G$2:G2086,G2086)-1</f>
        <v>2085</v>
      </c>
      <c r="B2086" s="11" t="s">
        <v>5117</v>
      </c>
      <c r="C2086" s="11" t="s">
        <v>2693</v>
      </c>
      <c r="D2086" s="5" t="s">
        <v>74</v>
      </c>
      <c r="E2086" s="5" t="s">
        <v>75</v>
      </c>
      <c r="F2086" s="5"/>
      <c r="G2086" s="22" t="n">
        <f aca="false">ROUND(SUM(I2086:P2086),3)</f>
        <v>50.23</v>
      </c>
      <c r="H2086" s="5" t="str">
        <f aca="false">IF(G2086&gt;=評分方法!$C$16,"優先評估",IF(G2086&gt;=評分方法!$C$17,"列入候選",IF(G2086&gt;=評分方法!$C$18,"特定情境","不建議")))</f>
        <v>不建議</v>
      </c>
      <c r="I2086" s="15" t="n">
        <f aca="false">AE2086*評分方法!$C$5</f>
        <v>12</v>
      </c>
      <c r="J2086" s="15" t="n">
        <f aca="false">AF2086*評分方法!$C$6</f>
        <v>0</v>
      </c>
      <c r="K2086" s="15" t="n">
        <f aca="false">AG2086*評分方法!$C$7</f>
        <v>15</v>
      </c>
      <c r="L2086" s="15" t="n">
        <f aca="false">AH2086*評分方法!$C$8</f>
        <v>7.05</v>
      </c>
      <c r="M2086" s="15" t="n">
        <f aca="false">AI2086*評分方法!$C$9</f>
        <v>10</v>
      </c>
      <c r="N2086" s="15" t="n">
        <f aca="false">AJ2086*評分方法!$C$10</f>
        <v>2.18</v>
      </c>
      <c r="O2086" s="15" t="n">
        <f aca="false">AK2086*評分方法!$C$11</f>
        <v>2.5</v>
      </c>
      <c r="P2086" s="15" t="n">
        <f aca="false">AL2086*評分方法!$C$12</f>
        <v>1.5</v>
      </c>
      <c r="Q2086" s="6" t="n">
        <v>222334</v>
      </c>
      <c r="R2086" s="6"/>
      <c r="S2086" s="5" t="s">
        <v>255</v>
      </c>
      <c r="T2086" s="11" t="s">
        <v>239</v>
      </c>
      <c r="U2086" s="5" t="s">
        <v>240</v>
      </c>
      <c r="V2086" s="11" t="s">
        <v>324</v>
      </c>
      <c r="W2086" s="5" t="s">
        <v>205</v>
      </c>
      <c r="X2086" s="5" t="s">
        <v>255</v>
      </c>
      <c r="Y2086" s="5"/>
      <c r="Z2086" s="5"/>
      <c r="AA2086" s="11" t="s">
        <v>167</v>
      </c>
      <c r="AB2086" s="5" t="s">
        <v>245</v>
      </c>
      <c r="AC2086" s="5"/>
      <c r="AD2086" s="11" t="s">
        <v>5118</v>
      </c>
      <c r="AE2086" s="23" t="n">
        <v>0.4</v>
      </c>
      <c r="AF2086" s="23" t="n">
        <v>0</v>
      </c>
      <c r="AG2086" s="23" t="n">
        <v>1</v>
      </c>
      <c r="AH2086" s="23" t="n">
        <v>0.47</v>
      </c>
      <c r="AI2086" s="23" t="n">
        <v>1</v>
      </c>
      <c r="AJ2086" s="23" t="n">
        <v>0.218</v>
      </c>
      <c r="AK2086" s="23" t="n">
        <v>0.5</v>
      </c>
      <c r="AL2086" s="23" t="n">
        <v>0.3</v>
      </c>
      <c r="AM2086" s="16" t="n">
        <f aca="false">COUNTIFS($D$2:$D$2501,D2086,$G$2:$G$2501,"&gt;"&amp;G2086)+COUNTIFS($D$2:D2086,D2086,$G$2:G2086,G2086)</f>
        <v>277</v>
      </c>
      <c r="AN2086" s="5" t="str">
        <f aca="false">D2086&amp;"|"&amp;AM2086</f>
        <v>文件與影像辨識|277</v>
      </c>
    </row>
    <row r="2087" customFormat="false" ht="17.15" hidden="false" customHeight="false" outlineLevel="0" collapsed="false">
      <c r="A2087" s="16" t="n">
        <f aca="false">RANK(G2087,$G$2:$G$2501)+COUNTIF($G$2:G2087,G2087)-1</f>
        <v>2086</v>
      </c>
      <c r="B2087" s="11" t="s">
        <v>5119</v>
      </c>
      <c r="C2087" s="11" t="s">
        <v>1677</v>
      </c>
      <c r="D2087" s="5" t="s">
        <v>78</v>
      </c>
      <c r="E2087" s="5" t="s">
        <v>79</v>
      </c>
      <c r="F2087" s="5"/>
      <c r="G2087" s="22" t="n">
        <f aca="false">ROUND(SUM(I2087:P2087),3)</f>
        <v>50.204</v>
      </c>
      <c r="H2087" s="5" t="str">
        <f aca="false">IF(G2087&gt;=評分方法!$C$16,"優先評估",IF(G2087&gt;=評分方法!$C$17,"列入候選",IF(G2087&gt;=評分方法!$C$18,"特定情境","不建議")))</f>
        <v>不建議</v>
      </c>
      <c r="I2087" s="15" t="n">
        <f aca="false">AE2087*評分方法!$C$5</f>
        <v>9</v>
      </c>
      <c r="J2087" s="15" t="n">
        <f aca="false">AF2087*評分方法!$C$6</f>
        <v>0</v>
      </c>
      <c r="K2087" s="15" t="n">
        <f aca="false">AG2087*評分方法!$C$7</f>
        <v>10.05</v>
      </c>
      <c r="L2087" s="15" t="n">
        <f aca="false">AH2087*評分方法!$C$8</f>
        <v>7.05</v>
      </c>
      <c r="M2087" s="15" t="n">
        <f aca="false">AI2087*評分方法!$C$9</f>
        <v>10</v>
      </c>
      <c r="N2087" s="15" t="n">
        <f aca="false">AJ2087*評分方法!$C$10</f>
        <v>8.604</v>
      </c>
      <c r="O2087" s="15" t="n">
        <f aca="false">AK2087*評分方法!$C$11</f>
        <v>4</v>
      </c>
      <c r="P2087" s="15" t="n">
        <f aca="false">AL2087*評分方法!$C$12</f>
        <v>1.5</v>
      </c>
      <c r="Q2087" s="6" t="n">
        <v>2507253</v>
      </c>
      <c r="R2087" s="6"/>
      <c r="S2087" s="5" t="s">
        <v>255</v>
      </c>
      <c r="T2087" s="11" t="s">
        <v>239</v>
      </c>
      <c r="U2087" s="5" t="s">
        <v>240</v>
      </c>
      <c r="V2087" s="11" t="s">
        <v>514</v>
      </c>
      <c r="W2087" s="5" t="s">
        <v>207</v>
      </c>
      <c r="X2087" s="5" t="s">
        <v>255</v>
      </c>
      <c r="Y2087" s="11" t="s">
        <v>2684</v>
      </c>
      <c r="Z2087" s="11" t="s">
        <v>244</v>
      </c>
      <c r="AA2087" s="11" t="s">
        <v>175</v>
      </c>
      <c r="AB2087" s="5" t="s">
        <v>245</v>
      </c>
      <c r="AC2087" s="5" t="s">
        <v>246</v>
      </c>
      <c r="AD2087" s="11" t="s">
        <v>5120</v>
      </c>
      <c r="AE2087" s="23" t="n">
        <v>0.3</v>
      </c>
      <c r="AF2087" s="23" t="n">
        <v>0</v>
      </c>
      <c r="AG2087" s="23" t="n">
        <v>0.67</v>
      </c>
      <c r="AH2087" s="23" t="n">
        <v>0.47</v>
      </c>
      <c r="AI2087" s="23" t="n">
        <v>1</v>
      </c>
      <c r="AJ2087" s="23" t="n">
        <v>0.8604</v>
      </c>
      <c r="AK2087" s="23" t="n">
        <v>0.8</v>
      </c>
      <c r="AL2087" s="23" t="n">
        <v>0.3</v>
      </c>
      <c r="AM2087" s="16" t="n">
        <f aca="false">COUNTIFS($D$2:$D$2501,D2087,$G$2:$G$2501,"&gt;"&amp;G2087)+COUNTIFS($D$2:D2087,D2087,$G$2:G2087,G2087)</f>
        <v>66</v>
      </c>
      <c r="AN2087" s="5" t="str">
        <f aca="false">D2087&amp;"|"&amp;AM2087</f>
        <v>語音分析|66</v>
      </c>
    </row>
    <row r="2088" customFormat="false" ht="17.15" hidden="false" customHeight="false" outlineLevel="0" collapsed="false">
      <c r="A2088" s="16" t="n">
        <f aca="false">RANK(G2088,$G$2:$G$2501)+COUNTIF($G$2:G2088,G2088)-1</f>
        <v>2087</v>
      </c>
      <c r="B2088" s="11" t="s">
        <v>5121</v>
      </c>
      <c r="C2088" s="11" t="s">
        <v>681</v>
      </c>
      <c r="D2088" s="5" t="s">
        <v>74</v>
      </c>
      <c r="E2088" s="5" t="s">
        <v>75</v>
      </c>
      <c r="F2088" s="5"/>
      <c r="G2088" s="22" t="n">
        <f aca="false">ROUND(SUM(I2088:P2088),3)</f>
        <v>50.188</v>
      </c>
      <c r="H2088" s="5" t="str">
        <f aca="false">IF(G2088&gt;=評分方法!$C$16,"優先評估",IF(G2088&gt;=評分方法!$C$17,"列入候選",IF(G2088&gt;=評分方法!$C$18,"特定情境","不建議")))</f>
        <v>不建議</v>
      </c>
      <c r="I2088" s="15" t="n">
        <f aca="false">AE2088*評分方法!$C$5</f>
        <v>10.5</v>
      </c>
      <c r="J2088" s="15" t="n">
        <f aca="false">AF2088*評分方法!$C$6</f>
        <v>0</v>
      </c>
      <c r="K2088" s="15" t="n">
        <f aca="false">AG2088*評分方法!$C$7</f>
        <v>15</v>
      </c>
      <c r="L2088" s="15" t="n">
        <f aca="false">AH2088*評分方法!$C$8</f>
        <v>15</v>
      </c>
      <c r="M2088" s="15" t="n">
        <f aca="false">AI2088*評分方法!$C$9</f>
        <v>6</v>
      </c>
      <c r="N2088" s="15" t="n">
        <f aca="false">AJ2088*評分方法!$C$10</f>
        <v>1.188</v>
      </c>
      <c r="O2088" s="15" t="n">
        <f aca="false">AK2088*評分方法!$C$11</f>
        <v>2.5</v>
      </c>
      <c r="P2088" s="15" t="n">
        <f aca="false">AL2088*評分方法!$C$12</f>
        <v>0</v>
      </c>
      <c r="Q2088" s="6" t="n">
        <v>160564</v>
      </c>
      <c r="R2088" s="6" t="n">
        <v>49454688</v>
      </c>
      <c r="S2088" s="11" t="s">
        <v>238</v>
      </c>
      <c r="T2088" s="11" t="s">
        <v>185</v>
      </c>
      <c r="U2088" s="5" t="s">
        <v>260</v>
      </c>
      <c r="V2088" s="11" t="s">
        <v>261</v>
      </c>
      <c r="W2088" s="5" t="s">
        <v>205</v>
      </c>
      <c r="X2088" s="5" t="s">
        <v>242</v>
      </c>
      <c r="Y2088" s="11" t="s">
        <v>3942</v>
      </c>
      <c r="Z2088" s="11" t="s">
        <v>270</v>
      </c>
      <c r="AA2088" s="11" t="s">
        <v>173</v>
      </c>
      <c r="AB2088" s="5" t="s">
        <v>245</v>
      </c>
      <c r="AC2088" s="5" t="s">
        <v>262</v>
      </c>
      <c r="AD2088" s="11" t="s">
        <v>5122</v>
      </c>
      <c r="AE2088" s="23" t="n">
        <v>0.35</v>
      </c>
      <c r="AF2088" s="23" t="n">
        <v>0</v>
      </c>
      <c r="AG2088" s="23" t="n">
        <v>1</v>
      </c>
      <c r="AH2088" s="23" t="n">
        <v>1</v>
      </c>
      <c r="AI2088" s="23" t="n">
        <v>0.6</v>
      </c>
      <c r="AJ2088" s="23" t="n">
        <v>0.1188</v>
      </c>
      <c r="AK2088" s="23" t="n">
        <v>0.5</v>
      </c>
      <c r="AL2088" s="23" t="n">
        <v>0</v>
      </c>
      <c r="AM2088" s="16" t="n">
        <f aca="false">COUNTIFS($D$2:$D$2501,D2088,$G$2:$G$2501,"&gt;"&amp;G2088)+COUNTIFS($D$2:D2088,D2088,$G$2:G2088,G2088)</f>
        <v>278</v>
      </c>
      <c r="AN2088" s="5" t="str">
        <f aca="false">D2088&amp;"|"&amp;AM2088</f>
        <v>文件與影像辨識|278</v>
      </c>
    </row>
    <row r="2089" customFormat="false" ht="17.15" hidden="false" customHeight="false" outlineLevel="0" collapsed="false">
      <c r="A2089" s="16" t="n">
        <f aca="false">RANK(G2089,$G$2:$G$2501)+COUNTIF($G$2:G2089,G2089)-1</f>
        <v>2088</v>
      </c>
      <c r="B2089" s="11" t="s">
        <v>5123</v>
      </c>
      <c r="C2089" s="11" t="s">
        <v>4304</v>
      </c>
      <c r="D2089" s="5" t="s">
        <v>72</v>
      </c>
      <c r="E2089" s="5" t="s">
        <v>73</v>
      </c>
      <c r="F2089" s="5"/>
      <c r="G2089" s="22" t="n">
        <f aca="false">ROUND(SUM(I2089:P2089),3)</f>
        <v>50.166</v>
      </c>
      <c r="H2089" s="5" t="str">
        <f aca="false">IF(G2089&gt;=評分方法!$C$16,"優先評估",IF(G2089&gt;=評分方法!$C$17,"列入候選",IF(G2089&gt;=評分方法!$C$18,"特定情境","不建議")))</f>
        <v>不建議</v>
      </c>
      <c r="I2089" s="15" t="n">
        <f aca="false">AE2089*評分方法!$C$5</f>
        <v>9</v>
      </c>
      <c r="J2089" s="15" t="n">
        <f aca="false">AF2089*評分方法!$C$6</f>
        <v>0</v>
      </c>
      <c r="K2089" s="15" t="n">
        <f aca="false">AG2089*評分方法!$C$7</f>
        <v>4.95</v>
      </c>
      <c r="L2089" s="15" t="n">
        <f aca="false">AH2089*評分方法!$C$8</f>
        <v>15</v>
      </c>
      <c r="M2089" s="15" t="n">
        <f aca="false">AI2089*評分方法!$C$9</f>
        <v>10</v>
      </c>
      <c r="N2089" s="15" t="n">
        <f aca="false">AJ2089*評分方法!$C$10</f>
        <v>8.716</v>
      </c>
      <c r="O2089" s="15" t="n">
        <f aca="false">AK2089*評分方法!$C$11</f>
        <v>2.5</v>
      </c>
      <c r="P2089" s="15" t="n">
        <f aca="false">AL2089*評分方法!$C$12</f>
        <v>0</v>
      </c>
      <c r="Q2089" s="6" t="n">
        <v>2842414</v>
      </c>
      <c r="R2089" s="6" t="n">
        <v>110652930</v>
      </c>
      <c r="S2089" s="11" t="s">
        <v>238</v>
      </c>
      <c r="T2089" s="11" t="s">
        <v>278</v>
      </c>
      <c r="U2089" s="5" t="s">
        <v>240</v>
      </c>
      <c r="V2089" s="11" t="s">
        <v>855</v>
      </c>
      <c r="W2089" s="5" t="s">
        <v>334</v>
      </c>
      <c r="X2089" s="5" t="s">
        <v>242</v>
      </c>
      <c r="Y2089" s="5"/>
      <c r="Z2089" s="5"/>
      <c r="AA2089" s="11" t="s">
        <v>162</v>
      </c>
      <c r="AB2089" s="5" t="s">
        <v>245</v>
      </c>
      <c r="AC2089" s="5" t="s">
        <v>1463</v>
      </c>
      <c r="AD2089" s="11" t="s">
        <v>5124</v>
      </c>
      <c r="AE2089" s="23" t="n">
        <v>0.3</v>
      </c>
      <c r="AF2089" s="23" t="n">
        <v>0</v>
      </c>
      <c r="AG2089" s="23" t="n">
        <v>0.33</v>
      </c>
      <c r="AH2089" s="23" t="n">
        <v>1</v>
      </c>
      <c r="AI2089" s="23" t="n">
        <v>1</v>
      </c>
      <c r="AJ2089" s="23" t="n">
        <v>0.8716</v>
      </c>
      <c r="AK2089" s="23" t="n">
        <v>0.5</v>
      </c>
      <c r="AL2089" s="23" t="n">
        <v>0</v>
      </c>
      <c r="AM2089" s="16" t="n">
        <f aca="false">COUNTIFS($D$2:$D$2501,D2089,$G$2:$G$2501,"&gt;"&amp;G2089)+COUNTIFS($D$2:D2089,D2089,$G$2:G2089,G2089)</f>
        <v>42</v>
      </c>
      <c r="AN2089" s="5" t="str">
        <f aca="false">D2089&amp;"|"&amp;AM2089</f>
        <v>微調基底模型|42</v>
      </c>
    </row>
    <row r="2090" customFormat="false" ht="17.15" hidden="false" customHeight="false" outlineLevel="0" collapsed="false">
      <c r="A2090" s="16" t="n">
        <f aca="false">RANK(G2090,$G$2:$G$2501)+COUNTIF($G$2:G2090,G2090)-1</f>
        <v>2089</v>
      </c>
      <c r="B2090" s="11" t="s">
        <v>5125</v>
      </c>
      <c r="C2090" s="11" t="s">
        <v>2309</v>
      </c>
      <c r="D2090" s="5" t="s">
        <v>74</v>
      </c>
      <c r="E2090" s="5" t="s">
        <v>75</v>
      </c>
      <c r="F2090" s="5"/>
      <c r="G2090" s="22" t="n">
        <f aca="false">ROUND(SUM(I2090:P2090),3)</f>
        <v>50.158</v>
      </c>
      <c r="H2090" s="5" t="str">
        <f aca="false">IF(G2090&gt;=評分方法!$C$16,"優先評估",IF(G2090&gt;=評分方法!$C$17,"列入候選",IF(G2090&gt;=評分方法!$C$18,"特定情境","不建議")))</f>
        <v>不建議</v>
      </c>
      <c r="I2090" s="15" t="n">
        <f aca="false">AE2090*評分方法!$C$5</f>
        <v>12</v>
      </c>
      <c r="J2090" s="15" t="n">
        <f aca="false">AF2090*評分方法!$C$6</f>
        <v>0</v>
      </c>
      <c r="K2090" s="15" t="n">
        <f aca="false">AG2090*評分方法!$C$7</f>
        <v>15</v>
      </c>
      <c r="L2090" s="15" t="n">
        <f aca="false">AH2090*評分方法!$C$8</f>
        <v>7.05</v>
      </c>
      <c r="M2090" s="15" t="n">
        <f aca="false">AI2090*評分方法!$C$9</f>
        <v>10</v>
      </c>
      <c r="N2090" s="15" t="n">
        <f aca="false">AJ2090*評分方法!$C$10</f>
        <v>2.108</v>
      </c>
      <c r="O2090" s="15" t="n">
        <f aca="false">AK2090*評分方法!$C$11</f>
        <v>2.5</v>
      </c>
      <c r="P2090" s="15" t="n">
        <f aca="false">AL2090*評分方法!$C$12</f>
        <v>1.5</v>
      </c>
      <c r="Q2090" s="6" t="n">
        <v>217377</v>
      </c>
      <c r="R2090" s="6"/>
      <c r="S2090" s="5" t="s">
        <v>255</v>
      </c>
      <c r="T2090" s="11" t="s">
        <v>278</v>
      </c>
      <c r="U2090" s="5" t="s">
        <v>240</v>
      </c>
      <c r="V2090" s="11" t="s">
        <v>324</v>
      </c>
      <c r="W2090" s="5" t="s">
        <v>205</v>
      </c>
      <c r="X2090" s="5" t="s">
        <v>255</v>
      </c>
      <c r="Y2090" s="5"/>
      <c r="Z2090" s="5"/>
      <c r="AA2090" s="11" t="s">
        <v>167</v>
      </c>
      <c r="AB2090" s="5" t="s">
        <v>245</v>
      </c>
      <c r="AC2090" s="5"/>
      <c r="AD2090" s="11" t="s">
        <v>5126</v>
      </c>
      <c r="AE2090" s="23" t="n">
        <v>0.4</v>
      </c>
      <c r="AF2090" s="23" t="n">
        <v>0</v>
      </c>
      <c r="AG2090" s="23" t="n">
        <v>1</v>
      </c>
      <c r="AH2090" s="23" t="n">
        <v>0.47</v>
      </c>
      <c r="AI2090" s="23" t="n">
        <v>1</v>
      </c>
      <c r="AJ2090" s="23" t="n">
        <v>0.2108</v>
      </c>
      <c r="AK2090" s="23" t="n">
        <v>0.5</v>
      </c>
      <c r="AL2090" s="23" t="n">
        <v>0.3</v>
      </c>
      <c r="AM2090" s="16" t="n">
        <f aca="false">COUNTIFS($D$2:$D$2501,D2090,$G$2:$G$2501,"&gt;"&amp;G2090)+COUNTIFS($D$2:D2090,D2090,$G$2:G2090,G2090)</f>
        <v>279</v>
      </c>
      <c r="AN2090" s="5" t="str">
        <f aca="false">D2090&amp;"|"&amp;AM2090</f>
        <v>文件與影像辨識|279</v>
      </c>
    </row>
    <row r="2091" customFormat="false" ht="17.15" hidden="false" customHeight="false" outlineLevel="0" collapsed="false">
      <c r="A2091" s="16" t="n">
        <f aca="false">RANK(G2091,$G$2:$G$2501)+COUNTIF($G$2:G2091,G2091)-1</f>
        <v>2090</v>
      </c>
      <c r="B2091" s="11" t="s">
        <v>5127</v>
      </c>
      <c r="C2091" s="11" t="s">
        <v>3203</v>
      </c>
      <c r="D2091" s="5" t="s">
        <v>58</v>
      </c>
      <c r="E2091" s="5" t="s">
        <v>59</v>
      </c>
      <c r="F2091" s="5"/>
      <c r="G2091" s="22" t="n">
        <f aca="false">ROUND(SUM(I2091:P2091),3)</f>
        <v>50.154</v>
      </c>
      <c r="H2091" s="5" t="str">
        <f aca="false">IF(G2091&gt;=評分方法!$C$16,"優先評估",IF(G2091&gt;=評分方法!$C$17,"列入候選",IF(G2091&gt;=評分方法!$C$18,"特定情境","不建議")))</f>
        <v>不建議</v>
      </c>
      <c r="I2091" s="15" t="n">
        <f aca="false">AE2091*評分方法!$C$5</f>
        <v>17.1</v>
      </c>
      <c r="J2091" s="15" t="n">
        <f aca="false">AF2091*評分方法!$C$6</f>
        <v>0</v>
      </c>
      <c r="K2091" s="15" t="n">
        <f aca="false">AG2091*評分方法!$C$7</f>
        <v>4.95</v>
      </c>
      <c r="L2091" s="15" t="n">
        <f aca="false">AH2091*評分方法!$C$8</f>
        <v>15</v>
      </c>
      <c r="M2091" s="15" t="n">
        <f aca="false">AI2091*評分方法!$C$9</f>
        <v>10</v>
      </c>
      <c r="N2091" s="15" t="n">
        <f aca="false">AJ2091*評分方法!$C$10</f>
        <v>0.604</v>
      </c>
      <c r="O2091" s="15" t="n">
        <f aca="false">AK2091*評分方法!$C$11</f>
        <v>2.5</v>
      </c>
      <c r="P2091" s="15" t="n">
        <f aca="false">AL2091*評分方法!$C$12</f>
        <v>0</v>
      </c>
      <c r="Q2091" s="6" t="n">
        <v>137894</v>
      </c>
      <c r="R2091" s="6" t="n">
        <v>110195061</v>
      </c>
      <c r="S2091" s="11" t="s">
        <v>238</v>
      </c>
      <c r="T2091" s="11" t="s">
        <v>239</v>
      </c>
      <c r="U2091" s="5" t="s">
        <v>240</v>
      </c>
      <c r="V2091" s="11" t="s">
        <v>324</v>
      </c>
      <c r="W2091" s="5" t="s">
        <v>334</v>
      </c>
      <c r="X2091" s="5" t="s">
        <v>242</v>
      </c>
      <c r="Y2091" s="5"/>
      <c r="Z2091" s="5"/>
      <c r="AA2091" s="11" t="s">
        <v>150</v>
      </c>
      <c r="AB2091" s="5" t="s">
        <v>245</v>
      </c>
      <c r="AC2091" s="5" t="s">
        <v>1463</v>
      </c>
      <c r="AD2091" s="11" t="s">
        <v>5128</v>
      </c>
      <c r="AE2091" s="23" t="n">
        <v>0.57</v>
      </c>
      <c r="AF2091" s="23" t="n">
        <v>0</v>
      </c>
      <c r="AG2091" s="23" t="n">
        <v>0.33</v>
      </c>
      <c r="AH2091" s="23" t="n">
        <v>1</v>
      </c>
      <c r="AI2091" s="23" t="n">
        <v>1</v>
      </c>
      <c r="AJ2091" s="23" t="n">
        <v>0.0604</v>
      </c>
      <c r="AK2091" s="23" t="n">
        <v>0.5</v>
      </c>
      <c r="AL2091" s="23" t="n">
        <v>0</v>
      </c>
      <c r="AM2091" s="16" t="n">
        <f aca="false">COUNTIFS($D$2:$D$2501,D2091,$G$2:$G$2501,"&gt;"&amp;G2091)+COUNTIFS($D$2:D2091,D2091,$G$2:G2091,G2091)</f>
        <v>308</v>
      </c>
      <c r="AN2091" s="5" t="str">
        <f aca="false">D2091&amp;"|"&amp;AM2091</f>
        <v>實體擷取與去識別化|308</v>
      </c>
    </row>
    <row r="2092" customFormat="false" ht="17.15" hidden="false" customHeight="false" outlineLevel="0" collapsed="false">
      <c r="A2092" s="16" t="n">
        <f aca="false">RANK(G2092,$G$2:$G$2501)+COUNTIF($G$2:G2092,G2092)-1</f>
        <v>2091</v>
      </c>
      <c r="B2092" s="11" t="s">
        <v>5129</v>
      </c>
      <c r="C2092" s="11" t="s">
        <v>308</v>
      </c>
      <c r="D2092" s="5" t="s">
        <v>74</v>
      </c>
      <c r="E2092" s="5" t="s">
        <v>75</v>
      </c>
      <c r="F2092" s="5"/>
      <c r="G2092" s="22" t="n">
        <f aca="false">ROUND(SUM(I2092:P2092),3)</f>
        <v>50.144</v>
      </c>
      <c r="H2092" s="5" t="str">
        <f aca="false">IF(G2092&gt;=評分方法!$C$16,"優先評估",IF(G2092&gt;=評分方法!$C$17,"列入候選",IF(G2092&gt;=評分方法!$C$18,"特定情境","不建議")))</f>
        <v>不建議</v>
      </c>
      <c r="I2092" s="15" t="n">
        <f aca="false">AE2092*評分方法!$C$5</f>
        <v>13.5</v>
      </c>
      <c r="J2092" s="15" t="n">
        <f aca="false">AF2092*評分方法!$C$6</f>
        <v>0</v>
      </c>
      <c r="K2092" s="15" t="n">
        <f aca="false">AG2092*評分方法!$C$7</f>
        <v>15</v>
      </c>
      <c r="L2092" s="15" t="n">
        <f aca="false">AH2092*評分方法!$C$8</f>
        <v>15</v>
      </c>
      <c r="M2092" s="15" t="n">
        <f aca="false">AI2092*評分方法!$C$9</f>
        <v>2</v>
      </c>
      <c r="N2092" s="15" t="n">
        <f aca="false">AJ2092*評分方法!$C$10</f>
        <v>2.144</v>
      </c>
      <c r="O2092" s="15" t="n">
        <f aca="false">AK2092*評分方法!$C$11</f>
        <v>1</v>
      </c>
      <c r="P2092" s="15" t="n">
        <f aca="false">AL2092*評分方法!$C$12</f>
        <v>1.5</v>
      </c>
      <c r="Q2092" s="6" t="n">
        <v>219320</v>
      </c>
      <c r="R2092" s="6" t="n">
        <v>61448832</v>
      </c>
      <c r="S2092" s="11" t="s">
        <v>238</v>
      </c>
      <c r="T2092" s="5"/>
      <c r="U2092" s="5" t="s">
        <v>375</v>
      </c>
      <c r="V2092" s="11" t="s">
        <v>324</v>
      </c>
      <c r="W2092" s="5" t="s">
        <v>205</v>
      </c>
      <c r="X2092" s="5" t="s">
        <v>255</v>
      </c>
      <c r="Y2092" s="5"/>
      <c r="Z2092" s="5"/>
      <c r="AA2092" s="11" t="s">
        <v>164</v>
      </c>
      <c r="AB2092" s="5" t="s">
        <v>245</v>
      </c>
      <c r="AC2092" s="5" t="s">
        <v>262</v>
      </c>
      <c r="AD2092" s="11" t="s">
        <v>5130</v>
      </c>
      <c r="AE2092" s="23" t="n">
        <v>0.45</v>
      </c>
      <c r="AF2092" s="23" t="n">
        <v>0</v>
      </c>
      <c r="AG2092" s="23" t="n">
        <v>1</v>
      </c>
      <c r="AH2092" s="23" t="n">
        <v>1</v>
      </c>
      <c r="AI2092" s="23" t="n">
        <v>0.2</v>
      </c>
      <c r="AJ2092" s="23" t="n">
        <v>0.2144</v>
      </c>
      <c r="AK2092" s="23" t="n">
        <v>0.2</v>
      </c>
      <c r="AL2092" s="23" t="n">
        <v>0.3</v>
      </c>
      <c r="AM2092" s="16" t="n">
        <f aca="false">COUNTIFS($D$2:$D$2501,D2092,$G$2:$G$2501,"&gt;"&amp;G2092)+COUNTIFS($D$2:D2092,D2092,$G$2:G2092,G2092)</f>
        <v>280</v>
      </c>
      <c r="AN2092" s="5" t="str">
        <f aca="false">D2092&amp;"|"&amp;AM2092</f>
        <v>文件與影像辨識|280</v>
      </c>
    </row>
    <row r="2093" customFormat="false" ht="17.15" hidden="false" customHeight="false" outlineLevel="0" collapsed="false">
      <c r="A2093" s="16" t="n">
        <f aca="false">RANK(G2093,$G$2:$G$2501)+COUNTIF($G$2:G2093,G2093)-1</f>
        <v>2092</v>
      </c>
      <c r="B2093" s="11" t="s">
        <v>5131</v>
      </c>
      <c r="C2093" s="11" t="s">
        <v>5132</v>
      </c>
      <c r="D2093" s="5" t="s">
        <v>78</v>
      </c>
      <c r="E2093" s="5" t="s">
        <v>79</v>
      </c>
      <c r="F2093" s="5"/>
      <c r="G2093" s="22" t="n">
        <f aca="false">ROUND(SUM(I2093:P2093),3)</f>
        <v>50.142</v>
      </c>
      <c r="H2093" s="5" t="str">
        <f aca="false">IF(G2093&gt;=評分方法!$C$16,"優先評估",IF(G2093&gt;=評分方法!$C$17,"列入候選",IF(G2093&gt;=評分方法!$C$18,"特定情境","不建議")))</f>
        <v>不建議</v>
      </c>
      <c r="I2093" s="15" t="n">
        <f aca="false">AE2093*評分方法!$C$5</f>
        <v>10.5</v>
      </c>
      <c r="J2093" s="15" t="n">
        <f aca="false">AF2093*評分方法!$C$6</f>
        <v>0</v>
      </c>
      <c r="K2093" s="15" t="n">
        <f aca="false">AG2093*評分方法!$C$7</f>
        <v>4.95</v>
      </c>
      <c r="L2093" s="15" t="n">
        <f aca="false">AH2093*評分方法!$C$8</f>
        <v>15</v>
      </c>
      <c r="M2093" s="15" t="n">
        <f aca="false">AI2093*評分方法!$C$9</f>
        <v>10</v>
      </c>
      <c r="N2093" s="15" t="n">
        <f aca="false">AJ2093*評分方法!$C$10</f>
        <v>5.692</v>
      </c>
      <c r="O2093" s="15" t="n">
        <f aca="false">AK2093*評分方法!$C$11</f>
        <v>2.5</v>
      </c>
      <c r="P2093" s="15" t="n">
        <f aca="false">AL2093*評分方法!$C$12</f>
        <v>1.5</v>
      </c>
      <c r="Q2093" s="6" t="n">
        <v>588813</v>
      </c>
      <c r="R2093" s="6" t="n">
        <v>15471682</v>
      </c>
      <c r="S2093" s="11" t="s">
        <v>238</v>
      </c>
      <c r="T2093" s="11" t="s">
        <v>278</v>
      </c>
      <c r="U2093" s="5" t="s">
        <v>240</v>
      </c>
      <c r="V2093" s="11" t="s">
        <v>261</v>
      </c>
      <c r="W2093" s="5" t="s">
        <v>334</v>
      </c>
      <c r="X2093" s="5" t="s">
        <v>255</v>
      </c>
      <c r="Y2093" s="5"/>
      <c r="Z2093" s="5"/>
      <c r="AA2093" s="11" t="s">
        <v>174</v>
      </c>
      <c r="AB2093" s="5" t="s">
        <v>245</v>
      </c>
      <c r="AC2093" s="5"/>
      <c r="AD2093" s="11" t="s">
        <v>5133</v>
      </c>
      <c r="AE2093" s="23" t="n">
        <v>0.35</v>
      </c>
      <c r="AF2093" s="23" t="n">
        <v>0</v>
      </c>
      <c r="AG2093" s="23" t="n">
        <v>0.33</v>
      </c>
      <c r="AH2093" s="23" t="n">
        <v>1</v>
      </c>
      <c r="AI2093" s="23" t="n">
        <v>1</v>
      </c>
      <c r="AJ2093" s="23" t="n">
        <v>0.5692</v>
      </c>
      <c r="AK2093" s="23" t="n">
        <v>0.5</v>
      </c>
      <c r="AL2093" s="23" t="n">
        <v>0.3</v>
      </c>
      <c r="AM2093" s="16" t="n">
        <f aca="false">COUNTIFS($D$2:$D$2501,D2093,$G$2:$G$2501,"&gt;"&amp;G2093)+COUNTIFS($D$2:D2093,D2093,$G$2:G2093,G2093)</f>
        <v>67</v>
      </c>
      <c r="AN2093" s="5" t="str">
        <f aca="false">D2093&amp;"|"&amp;AM2093</f>
        <v>語音分析|67</v>
      </c>
    </row>
    <row r="2094" customFormat="false" ht="17.15" hidden="false" customHeight="false" outlineLevel="0" collapsed="false">
      <c r="A2094" s="16" t="n">
        <f aca="false">RANK(G2094,$G$2:$G$2501)+COUNTIF($G$2:G2094,G2094)-1</f>
        <v>2093</v>
      </c>
      <c r="B2094" s="11" t="s">
        <v>5134</v>
      </c>
      <c r="C2094" s="11" t="s">
        <v>402</v>
      </c>
      <c r="D2094" s="5" t="s">
        <v>58</v>
      </c>
      <c r="E2094" s="5" t="s">
        <v>59</v>
      </c>
      <c r="F2094" s="5"/>
      <c r="G2094" s="22" t="n">
        <f aca="false">ROUND(SUM(I2094:P2094),3)</f>
        <v>50.11</v>
      </c>
      <c r="H2094" s="5" t="str">
        <f aca="false">IF(G2094&gt;=評分方法!$C$16,"優先評估",IF(G2094&gt;=評分方法!$C$17,"列入候選",IF(G2094&gt;=評分方法!$C$18,"特定情境","不建議")))</f>
        <v>不建議</v>
      </c>
      <c r="I2094" s="15" t="n">
        <f aca="false">AE2094*評分方法!$C$5</f>
        <v>11.4</v>
      </c>
      <c r="J2094" s="15" t="n">
        <f aca="false">AF2094*評分方法!$C$6</f>
        <v>0</v>
      </c>
      <c r="K2094" s="15" t="n">
        <f aca="false">AG2094*評分方法!$C$7</f>
        <v>4.95</v>
      </c>
      <c r="L2094" s="15" t="n">
        <f aca="false">AH2094*評分方法!$C$8</f>
        <v>15</v>
      </c>
      <c r="M2094" s="15" t="n">
        <f aca="false">AI2094*評分方法!$C$9</f>
        <v>10</v>
      </c>
      <c r="N2094" s="15" t="n">
        <f aca="false">AJ2094*評分方法!$C$10</f>
        <v>6.26</v>
      </c>
      <c r="O2094" s="15" t="n">
        <f aca="false">AK2094*評分方法!$C$11</f>
        <v>2.5</v>
      </c>
      <c r="P2094" s="15" t="n">
        <f aca="false">AL2094*評分方法!$C$12</f>
        <v>0</v>
      </c>
      <c r="Q2094" s="6" t="n">
        <v>685081</v>
      </c>
      <c r="R2094" s="6" t="n">
        <v>108893955</v>
      </c>
      <c r="S2094" s="11" t="s">
        <v>238</v>
      </c>
      <c r="T2094" s="11" t="s">
        <v>239</v>
      </c>
      <c r="U2094" s="5" t="s">
        <v>240</v>
      </c>
      <c r="V2094" s="11" t="s">
        <v>261</v>
      </c>
      <c r="W2094" s="5" t="s">
        <v>334</v>
      </c>
      <c r="X2094" s="5" t="s">
        <v>242</v>
      </c>
      <c r="Y2094" s="5"/>
      <c r="Z2094" s="5"/>
      <c r="AA2094" s="11" t="s">
        <v>150</v>
      </c>
      <c r="AB2094" s="5" t="s">
        <v>245</v>
      </c>
      <c r="AC2094" s="5" t="s">
        <v>3044</v>
      </c>
      <c r="AD2094" s="11" t="s">
        <v>5135</v>
      </c>
      <c r="AE2094" s="23" t="n">
        <v>0.38</v>
      </c>
      <c r="AF2094" s="23" t="n">
        <v>0</v>
      </c>
      <c r="AG2094" s="23" t="n">
        <v>0.33</v>
      </c>
      <c r="AH2094" s="23" t="n">
        <v>1</v>
      </c>
      <c r="AI2094" s="23" t="n">
        <v>1</v>
      </c>
      <c r="AJ2094" s="23" t="n">
        <v>0.626</v>
      </c>
      <c r="AK2094" s="23" t="n">
        <v>0.5</v>
      </c>
      <c r="AL2094" s="23" t="n">
        <v>0</v>
      </c>
      <c r="AM2094" s="16" t="n">
        <f aca="false">COUNTIFS($D$2:$D$2501,D2094,$G$2:$G$2501,"&gt;"&amp;G2094)+COUNTIFS($D$2:D2094,D2094,$G$2:G2094,G2094)</f>
        <v>309</v>
      </c>
      <c r="AN2094" s="5" t="str">
        <f aca="false">D2094&amp;"|"&amp;AM2094</f>
        <v>實體擷取與去識別化|309</v>
      </c>
    </row>
    <row r="2095" customFormat="false" ht="17.15" hidden="false" customHeight="false" outlineLevel="0" collapsed="false">
      <c r="A2095" s="16" t="n">
        <f aca="false">RANK(G2095,$G$2:$G$2501)+COUNTIF($G$2:G2095,G2095)-1</f>
        <v>2094</v>
      </c>
      <c r="B2095" s="11" t="s">
        <v>5136</v>
      </c>
      <c r="C2095" s="11" t="s">
        <v>1438</v>
      </c>
      <c r="D2095" s="5" t="s">
        <v>56</v>
      </c>
      <c r="E2095" s="5" t="s">
        <v>57</v>
      </c>
      <c r="F2095" s="5"/>
      <c r="G2095" s="22" t="n">
        <f aca="false">ROUND(SUM(I2095:P2095),3)</f>
        <v>50.104</v>
      </c>
      <c r="H2095" s="5" t="str">
        <f aca="false">IF(G2095&gt;=評分方法!$C$16,"優先評估",IF(G2095&gt;=評分方法!$C$17,"列入候選",IF(G2095&gt;=評分方法!$C$18,"特定情境","不建議")))</f>
        <v>不建議</v>
      </c>
      <c r="I2095" s="15" t="n">
        <f aca="false">AE2095*評分方法!$C$5</f>
        <v>25.5</v>
      </c>
      <c r="J2095" s="15" t="n">
        <f aca="false">AF2095*評分方法!$C$6</f>
        <v>0</v>
      </c>
      <c r="K2095" s="15" t="n">
        <f aca="false">AG2095*評分方法!$C$7</f>
        <v>10.05</v>
      </c>
      <c r="L2095" s="15" t="n">
        <f aca="false">AH2095*評分方法!$C$8</f>
        <v>4.95</v>
      </c>
      <c r="M2095" s="15" t="n">
        <f aca="false">AI2095*評分方法!$C$9</f>
        <v>2</v>
      </c>
      <c r="N2095" s="15" t="n">
        <f aca="false">AJ2095*評分方法!$C$10</f>
        <v>6.604</v>
      </c>
      <c r="O2095" s="15" t="n">
        <f aca="false">AK2095*評分方法!$C$11</f>
        <v>1</v>
      </c>
      <c r="P2095" s="15" t="n">
        <f aca="false">AL2095*評分方法!$C$12</f>
        <v>0</v>
      </c>
      <c r="Q2095" s="6" t="n">
        <v>782227</v>
      </c>
      <c r="R2095" s="6" t="n">
        <v>70553706496</v>
      </c>
      <c r="S2095" s="11" t="s">
        <v>1876</v>
      </c>
      <c r="T2095" s="5"/>
      <c r="U2095" s="5" t="s">
        <v>375</v>
      </c>
      <c r="V2095" s="11" t="s">
        <v>333</v>
      </c>
      <c r="W2095" s="5" t="s">
        <v>207</v>
      </c>
      <c r="X2095" s="5" t="s">
        <v>242</v>
      </c>
      <c r="Y2095" s="11" t="s">
        <v>3078</v>
      </c>
      <c r="Z2095" s="11" t="s">
        <v>244</v>
      </c>
      <c r="AA2095" s="11" t="s">
        <v>155</v>
      </c>
      <c r="AB2095" s="5" t="s">
        <v>245</v>
      </c>
      <c r="AC2095" s="5" t="s">
        <v>464</v>
      </c>
      <c r="AD2095" s="11" t="s">
        <v>5137</v>
      </c>
      <c r="AE2095" s="23" t="n">
        <v>0.85</v>
      </c>
      <c r="AF2095" s="23" t="n">
        <v>0</v>
      </c>
      <c r="AG2095" s="23" t="n">
        <v>0.67</v>
      </c>
      <c r="AH2095" s="23" t="n">
        <v>0.33</v>
      </c>
      <c r="AI2095" s="23" t="n">
        <v>0.2</v>
      </c>
      <c r="AJ2095" s="23" t="n">
        <v>0.6604</v>
      </c>
      <c r="AK2095" s="23" t="n">
        <v>0.2</v>
      </c>
      <c r="AL2095" s="23" t="n">
        <v>0</v>
      </c>
      <c r="AM2095" s="16" t="n">
        <f aca="false">COUNTIFS($D$2:$D$2501,D2095,$G$2:$G$2501,"&gt;"&amp;G2095)+COUNTIFS($D$2:D2095,D2095,$G$2:G2095,G2095)</f>
        <v>939</v>
      </c>
      <c r="AN2095" s="5" t="str">
        <f aca="false">D2095&amp;"|"&amp;AM2095</f>
        <v>分析與報告生成|939</v>
      </c>
    </row>
    <row r="2096" customFormat="false" ht="17.15" hidden="false" customHeight="false" outlineLevel="0" collapsed="false">
      <c r="A2096" s="16" t="n">
        <f aca="false">RANK(G2096,$G$2:$G$2501)+COUNTIF($G$2:G2096,G2096)-1</f>
        <v>2095</v>
      </c>
      <c r="B2096" s="11" t="s">
        <v>5138</v>
      </c>
      <c r="C2096" s="11" t="s">
        <v>1597</v>
      </c>
      <c r="D2096" s="5" t="s">
        <v>80</v>
      </c>
      <c r="E2096" s="5" t="s">
        <v>81</v>
      </c>
      <c r="F2096" s="5"/>
      <c r="G2096" s="22" t="n">
        <f aca="false">ROUND(SUM(I2096:P2096),3)</f>
        <v>50.084</v>
      </c>
      <c r="H2096" s="5" t="str">
        <f aca="false">IF(G2096&gt;=評分方法!$C$16,"優先評估",IF(G2096&gt;=評分方法!$C$17,"列入候選",IF(G2096&gt;=評分方法!$C$18,"特定情境","不建議")))</f>
        <v>不建議</v>
      </c>
      <c r="I2096" s="15" t="n">
        <f aca="false">AE2096*評分方法!$C$5</f>
        <v>1.5</v>
      </c>
      <c r="J2096" s="15" t="n">
        <f aca="false">AF2096*評分方法!$C$6</f>
        <v>0</v>
      </c>
      <c r="K2096" s="15" t="n">
        <f aca="false">AG2096*評分方法!$C$7</f>
        <v>15</v>
      </c>
      <c r="L2096" s="15" t="n">
        <f aca="false">AH2096*評分方法!$C$8</f>
        <v>15</v>
      </c>
      <c r="M2096" s="15" t="n">
        <f aca="false">AI2096*評分方法!$C$9</f>
        <v>10</v>
      </c>
      <c r="N2096" s="15" t="n">
        <f aca="false">AJ2096*評分方法!$C$10</f>
        <v>6.084</v>
      </c>
      <c r="O2096" s="15" t="n">
        <f aca="false">AK2096*評分方法!$C$11</f>
        <v>1</v>
      </c>
      <c r="P2096" s="15" t="n">
        <f aca="false">AL2096*評分方法!$C$12</f>
        <v>1.5</v>
      </c>
      <c r="Q2096" s="6" t="n">
        <v>643400</v>
      </c>
      <c r="R2096" s="6" t="n">
        <v>345073307</v>
      </c>
      <c r="S2096" s="11" t="s">
        <v>238</v>
      </c>
      <c r="T2096" s="11" t="s">
        <v>278</v>
      </c>
      <c r="U2096" s="5" t="s">
        <v>240</v>
      </c>
      <c r="V2096" s="11" t="s">
        <v>261</v>
      </c>
      <c r="W2096" s="5" t="s">
        <v>205</v>
      </c>
      <c r="X2096" s="5" t="s">
        <v>255</v>
      </c>
      <c r="Y2096" s="5"/>
      <c r="Z2096" s="5"/>
      <c r="AA2096" s="11" t="s">
        <v>187</v>
      </c>
      <c r="AB2096" s="5" t="s">
        <v>245</v>
      </c>
      <c r="AC2096" s="5"/>
      <c r="AD2096" s="11" t="s">
        <v>5139</v>
      </c>
      <c r="AE2096" s="23" t="n">
        <v>0.05</v>
      </c>
      <c r="AF2096" s="23" t="n">
        <v>0</v>
      </c>
      <c r="AG2096" s="23" t="n">
        <v>1</v>
      </c>
      <c r="AH2096" s="23" t="n">
        <v>1</v>
      </c>
      <c r="AI2096" s="23" t="n">
        <v>1</v>
      </c>
      <c r="AJ2096" s="23" t="n">
        <v>0.6084</v>
      </c>
      <c r="AK2096" s="23" t="n">
        <v>0.2</v>
      </c>
      <c r="AL2096" s="23" t="n">
        <v>0.3</v>
      </c>
      <c r="AM2096" s="16" t="n">
        <f aca="false">COUNTIFS($D$2:$D$2501,D2096,$G$2:$G$2501,"&gt;"&amp;G2096)+COUNTIFS($D$2:D2096,D2096,$G$2:G2096,G2096)</f>
        <v>17</v>
      </c>
      <c r="AN2096" s="5" t="str">
        <f aca="false">D2096&amp;"|"&amp;AM2096</f>
        <v>其他|17</v>
      </c>
    </row>
    <row r="2097" customFormat="false" ht="17.15" hidden="false" customHeight="false" outlineLevel="0" collapsed="false">
      <c r="A2097" s="16" t="n">
        <f aca="false">RANK(G2097,$G$2:$G$2501)+COUNTIF($G$2:G2097,G2097)-1</f>
        <v>2096</v>
      </c>
      <c r="B2097" s="11" t="s">
        <v>5140</v>
      </c>
      <c r="C2097" s="11" t="s">
        <v>5141</v>
      </c>
      <c r="D2097" s="5" t="s">
        <v>78</v>
      </c>
      <c r="E2097" s="5" t="s">
        <v>79</v>
      </c>
      <c r="F2097" s="5"/>
      <c r="G2097" s="22" t="n">
        <f aca="false">ROUND(SUM(I2097:P2097),3)</f>
        <v>50.074</v>
      </c>
      <c r="H2097" s="5" t="str">
        <f aca="false">IF(G2097&gt;=評分方法!$C$16,"優先評估",IF(G2097&gt;=評分方法!$C$17,"列入候選",IF(G2097&gt;=評分方法!$C$18,"特定情境","不建議")))</f>
        <v>不建議</v>
      </c>
      <c r="I2097" s="15" t="n">
        <f aca="false">AE2097*評分方法!$C$5</f>
        <v>10.5</v>
      </c>
      <c r="J2097" s="15" t="n">
        <f aca="false">AF2097*評分方法!$C$6</f>
        <v>0</v>
      </c>
      <c r="K2097" s="15" t="n">
        <f aca="false">AG2097*評分方法!$C$7</f>
        <v>4.95</v>
      </c>
      <c r="L2097" s="15" t="n">
        <f aca="false">AH2097*評分方法!$C$8</f>
        <v>15</v>
      </c>
      <c r="M2097" s="15" t="n">
        <f aca="false">AI2097*評分方法!$C$9</f>
        <v>10</v>
      </c>
      <c r="N2097" s="15" t="n">
        <f aca="false">AJ2097*評分方法!$C$10</f>
        <v>3.124</v>
      </c>
      <c r="O2097" s="15" t="n">
        <f aca="false">AK2097*評分方法!$C$11</f>
        <v>5</v>
      </c>
      <c r="P2097" s="15" t="n">
        <f aca="false">AL2097*評分方法!$C$12</f>
        <v>1.5</v>
      </c>
      <c r="Q2097" s="6" t="n">
        <v>306341</v>
      </c>
      <c r="R2097" s="6" t="n">
        <v>94371712</v>
      </c>
      <c r="S2097" s="11" t="s">
        <v>238</v>
      </c>
      <c r="T2097" s="11" t="s">
        <v>239</v>
      </c>
      <c r="U2097" s="5" t="s">
        <v>240</v>
      </c>
      <c r="V2097" s="11" t="s">
        <v>261</v>
      </c>
      <c r="W2097" s="5" t="s">
        <v>334</v>
      </c>
      <c r="X2097" s="5" t="s">
        <v>255</v>
      </c>
      <c r="Y2097" s="5"/>
      <c r="Z2097" s="5"/>
      <c r="AA2097" s="11" t="s">
        <v>174</v>
      </c>
      <c r="AB2097" s="5" t="s">
        <v>245</v>
      </c>
      <c r="AC2097" s="5"/>
      <c r="AD2097" s="11" t="s">
        <v>5142</v>
      </c>
      <c r="AE2097" s="23" t="n">
        <v>0.35</v>
      </c>
      <c r="AF2097" s="23" t="n">
        <v>0</v>
      </c>
      <c r="AG2097" s="23" t="n">
        <v>0.33</v>
      </c>
      <c r="AH2097" s="23" t="n">
        <v>1</v>
      </c>
      <c r="AI2097" s="23" t="n">
        <v>1</v>
      </c>
      <c r="AJ2097" s="23" t="n">
        <v>0.3124</v>
      </c>
      <c r="AK2097" s="23" t="n">
        <v>1</v>
      </c>
      <c r="AL2097" s="23" t="n">
        <v>0.3</v>
      </c>
      <c r="AM2097" s="16" t="n">
        <f aca="false">COUNTIFS($D$2:$D$2501,D2097,$G$2:$G$2501,"&gt;"&amp;G2097)+COUNTIFS($D$2:D2097,D2097,$G$2:G2097,G2097)</f>
        <v>68</v>
      </c>
      <c r="AN2097" s="5" t="str">
        <f aca="false">D2097&amp;"|"&amp;AM2097</f>
        <v>語音分析|68</v>
      </c>
    </row>
    <row r="2098" customFormat="false" ht="17.15" hidden="false" customHeight="false" outlineLevel="0" collapsed="false">
      <c r="A2098" s="16" t="n">
        <f aca="false">RANK(G2098,$G$2:$G$2501)+COUNTIF($G$2:G2098,G2098)-1</f>
        <v>2097</v>
      </c>
      <c r="B2098" s="11" t="s">
        <v>5143</v>
      </c>
      <c r="C2098" s="11" t="s">
        <v>2693</v>
      </c>
      <c r="D2098" s="5" t="s">
        <v>74</v>
      </c>
      <c r="E2098" s="5" t="s">
        <v>75</v>
      </c>
      <c r="F2098" s="5"/>
      <c r="G2098" s="22" t="n">
        <f aca="false">ROUND(SUM(I2098:P2098),3)</f>
        <v>50.01</v>
      </c>
      <c r="H2098" s="5" t="str">
        <f aca="false">IF(G2098&gt;=評分方法!$C$16,"優先評估",IF(G2098&gt;=評分方法!$C$17,"列入候選",IF(G2098&gt;=評分方法!$C$18,"特定情境","不建議")))</f>
        <v>不建議</v>
      </c>
      <c r="I2098" s="15" t="n">
        <f aca="false">AE2098*評分方法!$C$5</f>
        <v>12</v>
      </c>
      <c r="J2098" s="15" t="n">
        <f aca="false">AF2098*評分方法!$C$6</f>
        <v>0</v>
      </c>
      <c r="K2098" s="15" t="n">
        <f aca="false">AG2098*評分方法!$C$7</f>
        <v>15</v>
      </c>
      <c r="L2098" s="15" t="n">
        <f aca="false">AH2098*評分方法!$C$8</f>
        <v>7.05</v>
      </c>
      <c r="M2098" s="15" t="n">
        <f aca="false">AI2098*評分方法!$C$9</f>
        <v>10</v>
      </c>
      <c r="N2098" s="15" t="n">
        <f aca="false">AJ2098*評分方法!$C$10</f>
        <v>1.96</v>
      </c>
      <c r="O2098" s="15" t="n">
        <f aca="false">AK2098*評分方法!$C$11</f>
        <v>2.5</v>
      </c>
      <c r="P2098" s="15" t="n">
        <f aca="false">AL2098*評分方法!$C$12</f>
        <v>1.5</v>
      </c>
      <c r="Q2098" s="6" t="n">
        <v>207603</v>
      </c>
      <c r="R2098" s="6"/>
      <c r="S2098" s="5" t="s">
        <v>255</v>
      </c>
      <c r="T2098" s="11" t="s">
        <v>239</v>
      </c>
      <c r="U2098" s="5" t="s">
        <v>240</v>
      </c>
      <c r="V2098" s="11" t="s">
        <v>324</v>
      </c>
      <c r="W2098" s="5" t="s">
        <v>205</v>
      </c>
      <c r="X2098" s="5" t="s">
        <v>255</v>
      </c>
      <c r="Y2098" s="5"/>
      <c r="Z2098" s="5"/>
      <c r="AA2098" s="11" t="s">
        <v>167</v>
      </c>
      <c r="AB2098" s="5" t="s">
        <v>245</v>
      </c>
      <c r="AC2098" s="5"/>
      <c r="AD2098" s="11" t="s">
        <v>5144</v>
      </c>
      <c r="AE2098" s="23" t="n">
        <v>0.4</v>
      </c>
      <c r="AF2098" s="23" t="n">
        <v>0</v>
      </c>
      <c r="AG2098" s="23" t="n">
        <v>1</v>
      </c>
      <c r="AH2098" s="23" t="n">
        <v>0.47</v>
      </c>
      <c r="AI2098" s="23" t="n">
        <v>1</v>
      </c>
      <c r="AJ2098" s="23" t="n">
        <v>0.196</v>
      </c>
      <c r="AK2098" s="23" t="n">
        <v>0.5</v>
      </c>
      <c r="AL2098" s="23" t="n">
        <v>0.3</v>
      </c>
      <c r="AM2098" s="16" t="n">
        <f aca="false">COUNTIFS($D$2:$D$2501,D2098,$G$2:$G$2501,"&gt;"&amp;G2098)+COUNTIFS($D$2:D2098,D2098,$G$2:G2098,G2098)</f>
        <v>281</v>
      </c>
      <c r="AN2098" s="5" t="str">
        <f aca="false">D2098&amp;"|"&amp;AM2098</f>
        <v>文件與影像辨識|281</v>
      </c>
    </row>
    <row r="2099" customFormat="false" ht="17.15" hidden="false" customHeight="false" outlineLevel="0" collapsed="false">
      <c r="A2099" s="16" t="n">
        <f aca="false">RANK(G2099,$G$2:$G$2501)+COUNTIF($G$2:G2099,G2099)-1</f>
        <v>2098</v>
      </c>
      <c r="B2099" s="11" t="s">
        <v>5145</v>
      </c>
      <c r="C2099" s="11" t="s">
        <v>402</v>
      </c>
      <c r="D2099" s="5" t="s">
        <v>58</v>
      </c>
      <c r="E2099" s="5" t="s">
        <v>59</v>
      </c>
      <c r="F2099" s="5"/>
      <c r="G2099" s="22" t="n">
        <f aca="false">ROUND(SUM(I2099:P2099),3)</f>
        <v>49.998</v>
      </c>
      <c r="H2099" s="5" t="str">
        <f aca="false">IF(G2099&gt;=評分方法!$C$16,"優先評估",IF(G2099&gt;=評分方法!$C$17,"列入候選",IF(G2099&gt;=評分方法!$C$18,"特定情境","不建議")))</f>
        <v>不建議</v>
      </c>
      <c r="I2099" s="15" t="n">
        <f aca="false">AE2099*評分方法!$C$5</f>
        <v>11.4</v>
      </c>
      <c r="J2099" s="15" t="n">
        <f aca="false">AF2099*評分方法!$C$6</f>
        <v>0</v>
      </c>
      <c r="K2099" s="15" t="n">
        <f aca="false">AG2099*評分方法!$C$7</f>
        <v>4.95</v>
      </c>
      <c r="L2099" s="15" t="n">
        <f aca="false">AH2099*評分方法!$C$8</f>
        <v>15</v>
      </c>
      <c r="M2099" s="15" t="n">
        <f aca="false">AI2099*評分方法!$C$9</f>
        <v>10</v>
      </c>
      <c r="N2099" s="15" t="n">
        <f aca="false">AJ2099*評分方法!$C$10</f>
        <v>6.148</v>
      </c>
      <c r="O2099" s="15" t="n">
        <f aca="false">AK2099*評分方法!$C$11</f>
        <v>2.5</v>
      </c>
      <c r="P2099" s="15" t="n">
        <f aca="false">AL2099*評分方法!$C$12</f>
        <v>0</v>
      </c>
      <c r="Q2099" s="6" t="n">
        <v>654670</v>
      </c>
      <c r="R2099" s="6" t="n">
        <v>108893955</v>
      </c>
      <c r="S2099" s="11" t="s">
        <v>238</v>
      </c>
      <c r="T2099" s="11" t="s">
        <v>239</v>
      </c>
      <c r="U2099" s="5" t="s">
        <v>240</v>
      </c>
      <c r="V2099" s="11" t="s">
        <v>261</v>
      </c>
      <c r="W2099" s="5" t="s">
        <v>334</v>
      </c>
      <c r="X2099" s="5" t="s">
        <v>242</v>
      </c>
      <c r="Y2099" s="5"/>
      <c r="Z2099" s="5"/>
      <c r="AA2099" s="11" t="s">
        <v>150</v>
      </c>
      <c r="AB2099" s="5" t="s">
        <v>245</v>
      </c>
      <c r="AC2099" s="5" t="s">
        <v>3044</v>
      </c>
      <c r="AD2099" s="11" t="s">
        <v>5146</v>
      </c>
      <c r="AE2099" s="23" t="n">
        <v>0.38</v>
      </c>
      <c r="AF2099" s="23" t="n">
        <v>0</v>
      </c>
      <c r="AG2099" s="23" t="n">
        <v>0.33</v>
      </c>
      <c r="AH2099" s="23" t="n">
        <v>1</v>
      </c>
      <c r="AI2099" s="23" t="n">
        <v>1</v>
      </c>
      <c r="AJ2099" s="23" t="n">
        <v>0.6148</v>
      </c>
      <c r="AK2099" s="23" t="n">
        <v>0.5</v>
      </c>
      <c r="AL2099" s="23" t="n">
        <v>0</v>
      </c>
      <c r="AM2099" s="16" t="n">
        <f aca="false">COUNTIFS($D$2:$D$2501,D2099,$G$2:$G$2501,"&gt;"&amp;G2099)+COUNTIFS($D$2:D2099,D2099,$G$2:G2099,G2099)</f>
        <v>310</v>
      </c>
      <c r="AN2099" s="5" t="str">
        <f aca="false">D2099&amp;"|"&amp;AM2099</f>
        <v>實體擷取與去識別化|310</v>
      </c>
    </row>
    <row r="2100" customFormat="false" ht="17.15" hidden="false" customHeight="false" outlineLevel="0" collapsed="false">
      <c r="A2100" s="16" t="n">
        <f aca="false">RANK(G2100,$G$2:$G$2501)+COUNTIF($G$2:G2100,G2100)-1</f>
        <v>2099</v>
      </c>
      <c r="B2100" s="11" t="s">
        <v>5147</v>
      </c>
      <c r="C2100" s="11" t="s">
        <v>402</v>
      </c>
      <c r="D2100" s="5" t="s">
        <v>58</v>
      </c>
      <c r="E2100" s="5" t="s">
        <v>59</v>
      </c>
      <c r="F2100" s="5"/>
      <c r="G2100" s="22" t="n">
        <f aca="false">ROUND(SUM(I2100:P2100),3)</f>
        <v>49.982</v>
      </c>
      <c r="H2100" s="5" t="str">
        <f aca="false">IF(G2100&gt;=評分方法!$C$16,"優先評估",IF(G2100&gt;=評分方法!$C$17,"列入候選",IF(G2100&gt;=評分方法!$C$18,"特定情境","不建議")))</f>
        <v>不建議</v>
      </c>
      <c r="I2100" s="15" t="n">
        <f aca="false">AE2100*評分方法!$C$5</f>
        <v>11.4</v>
      </c>
      <c r="J2100" s="15" t="n">
        <f aca="false">AF2100*評分方法!$C$6</f>
        <v>0</v>
      </c>
      <c r="K2100" s="15" t="n">
        <f aca="false">AG2100*評分方法!$C$7</f>
        <v>4.95</v>
      </c>
      <c r="L2100" s="15" t="n">
        <f aca="false">AH2100*評分方法!$C$8</f>
        <v>15</v>
      </c>
      <c r="M2100" s="15" t="n">
        <f aca="false">AI2100*評分方法!$C$9</f>
        <v>10</v>
      </c>
      <c r="N2100" s="15" t="n">
        <f aca="false">AJ2100*評分方法!$C$10</f>
        <v>6.132</v>
      </c>
      <c r="O2100" s="15" t="n">
        <f aca="false">AK2100*評分方法!$C$11</f>
        <v>2.5</v>
      </c>
      <c r="P2100" s="15" t="n">
        <f aca="false">AL2100*評分方法!$C$12</f>
        <v>0</v>
      </c>
      <c r="Q2100" s="6" t="n">
        <v>653498</v>
      </c>
      <c r="R2100" s="6" t="n">
        <v>108893955</v>
      </c>
      <c r="S2100" s="11" t="s">
        <v>238</v>
      </c>
      <c r="T2100" s="11" t="s">
        <v>239</v>
      </c>
      <c r="U2100" s="5" t="s">
        <v>240</v>
      </c>
      <c r="V2100" s="11" t="s">
        <v>261</v>
      </c>
      <c r="W2100" s="5" t="s">
        <v>334</v>
      </c>
      <c r="X2100" s="5" t="s">
        <v>242</v>
      </c>
      <c r="Y2100" s="5"/>
      <c r="Z2100" s="5"/>
      <c r="AA2100" s="11" t="s">
        <v>150</v>
      </c>
      <c r="AB2100" s="5" t="s">
        <v>245</v>
      </c>
      <c r="AC2100" s="5" t="s">
        <v>3044</v>
      </c>
      <c r="AD2100" s="11" t="s">
        <v>5148</v>
      </c>
      <c r="AE2100" s="23" t="n">
        <v>0.38</v>
      </c>
      <c r="AF2100" s="23" t="n">
        <v>0</v>
      </c>
      <c r="AG2100" s="23" t="n">
        <v>0.33</v>
      </c>
      <c r="AH2100" s="23" t="n">
        <v>1</v>
      </c>
      <c r="AI2100" s="23" t="n">
        <v>1</v>
      </c>
      <c r="AJ2100" s="23" t="n">
        <v>0.6132</v>
      </c>
      <c r="AK2100" s="23" t="n">
        <v>0.5</v>
      </c>
      <c r="AL2100" s="23" t="n">
        <v>0</v>
      </c>
      <c r="AM2100" s="16" t="n">
        <f aca="false">COUNTIFS($D$2:$D$2501,D2100,$G$2:$G$2501,"&gt;"&amp;G2100)+COUNTIFS($D$2:D2100,D2100,$G$2:G2100,G2100)</f>
        <v>311</v>
      </c>
      <c r="AN2100" s="5" t="str">
        <f aca="false">D2100&amp;"|"&amp;AM2100</f>
        <v>實體擷取與去識別化|311</v>
      </c>
    </row>
    <row r="2101" customFormat="false" ht="17.15" hidden="false" customHeight="false" outlineLevel="0" collapsed="false">
      <c r="A2101" s="16" t="n">
        <f aca="false">RANK(G2101,$G$2:$G$2501)+COUNTIF($G$2:G2101,G2101)-1</f>
        <v>2100</v>
      </c>
      <c r="B2101" s="11" t="s">
        <v>5149</v>
      </c>
      <c r="C2101" s="11" t="s">
        <v>5150</v>
      </c>
      <c r="D2101" s="5" t="s">
        <v>54</v>
      </c>
      <c r="E2101" s="5" t="s">
        <v>55</v>
      </c>
      <c r="F2101" s="5"/>
      <c r="G2101" s="22" t="n">
        <f aca="false">ROUND(SUM(I2101:P2101),3)</f>
        <v>49.97</v>
      </c>
      <c r="H2101" s="5" t="str">
        <f aca="false">IF(G2101&gt;=評分方法!$C$16,"優先評估",IF(G2101&gt;=評分方法!$C$17,"列入候選",IF(G2101&gt;=評分方法!$C$18,"特定情境","不建議")))</f>
        <v>不建議</v>
      </c>
      <c r="I2101" s="15" t="n">
        <f aca="false">AE2101*評分方法!$C$5</f>
        <v>16.2</v>
      </c>
      <c r="J2101" s="15" t="n">
        <f aca="false">AF2101*評分方法!$C$6</f>
        <v>0</v>
      </c>
      <c r="K2101" s="15" t="n">
        <f aca="false">AG2101*評分方法!$C$7</f>
        <v>4.95</v>
      </c>
      <c r="L2101" s="15" t="n">
        <f aca="false">AH2101*評分方法!$C$8</f>
        <v>15</v>
      </c>
      <c r="M2101" s="15" t="n">
        <f aca="false">AI2101*評分方法!$C$9</f>
        <v>10</v>
      </c>
      <c r="N2101" s="15" t="n">
        <f aca="false">AJ2101*評分方法!$C$10</f>
        <v>1.32</v>
      </c>
      <c r="O2101" s="15" t="n">
        <f aca="false">AK2101*評分方法!$C$11</f>
        <v>2.5</v>
      </c>
      <c r="P2101" s="15" t="n">
        <f aca="false">AL2101*評分方法!$C$12</f>
        <v>0</v>
      </c>
      <c r="Q2101" s="6" t="n">
        <v>169723</v>
      </c>
      <c r="R2101" s="6" t="n">
        <v>118893058</v>
      </c>
      <c r="S2101" s="11" t="s">
        <v>238</v>
      </c>
      <c r="T2101" s="11" t="s">
        <v>239</v>
      </c>
      <c r="U2101" s="5" t="s">
        <v>240</v>
      </c>
      <c r="V2101" s="11" t="s">
        <v>324</v>
      </c>
      <c r="W2101" s="5" t="s">
        <v>334</v>
      </c>
      <c r="X2101" s="5" t="s">
        <v>242</v>
      </c>
      <c r="Y2101" s="11" t="s">
        <v>5151</v>
      </c>
      <c r="Z2101" s="11" t="s">
        <v>270</v>
      </c>
      <c r="AA2101" s="11" t="s">
        <v>152</v>
      </c>
      <c r="AB2101" s="5" t="s">
        <v>245</v>
      </c>
      <c r="AC2101" s="5" t="s">
        <v>1463</v>
      </c>
      <c r="AD2101" s="11" t="s">
        <v>5152</v>
      </c>
      <c r="AE2101" s="23" t="n">
        <v>0.54</v>
      </c>
      <c r="AF2101" s="23" t="n">
        <v>0</v>
      </c>
      <c r="AG2101" s="23" t="n">
        <v>0.33</v>
      </c>
      <c r="AH2101" s="23" t="n">
        <v>1</v>
      </c>
      <c r="AI2101" s="23" t="n">
        <v>1</v>
      </c>
      <c r="AJ2101" s="23" t="n">
        <v>0.132</v>
      </c>
      <c r="AK2101" s="23" t="n">
        <v>0.5</v>
      </c>
      <c r="AL2101" s="23" t="n">
        <v>0</v>
      </c>
      <c r="AM2101" s="16" t="n">
        <f aca="false">COUNTIFS($D$2:$D$2501,D2101,$G$2:$G$2501,"&gt;"&amp;G2101)+COUNTIFS($D$2:D2101,D2101,$G$2:G2101,G2101)</f>
        <v>257</v>
      </c>
      <c r="AN2101" s="5" t="str">
        <f aca="false">D2101&amp;"|"&amp;AM2101</f>
        <v>檢索與情資關聯|257</v>
      </c>
    </row>
    <row r="2102" customFormat="false" ht="17.15" hidden="false" customHeight="false" outlineLevel="0" collapsed="false">
      <c r="A2102" s="16" t="n">
        <f aca="false">RANK(G2102,$G$2:$G$2501)+COUNTIF($G$2:G2102,G2102)-1</f>
        <v>2101</v>
      </c>
      <c r="B2102" s="11" t="s">
        <v>5153</v>
      </c>
      <c r="C2102" s="11" t="s">
        <v>5154</v>
      </c>
      <c r="D2102" s="5" t="s">
        <v>56</v>
      </c>
      <c r="E2102" s="5" t="s">
        <v>57</v>
      </c>
      <c r="F2102" s="5"/>
      <c r="G2102" s="22" t="n">
        <f aca="false">ROUND(SUM(I2102:P2102),3)</f>
        <v>49.964</v>
      </c>
      <c r="H2102" s="5" t="str">
        <f aca="false">IF(G2102&gt;=評分方法!$C$16,"優先評估",IF(G2102&gt;=評分方法!$C$17,"列入候選",IF(G2102&gt;=評分方法!$C$18,"特定情境","不建議")))</f>
        <v>不建議</v>
      </c>
      <c r="I2102" s="15" t="n">
        <f aca="false">AE2102*評分方法!$C$5</f>
        <v>25.5</v>
      </c>
      <c r="J2102" s="15" t="n">
        <f aca="false">AF2102*評分方法!$C$6</f>
        <v>0</v>
      </c>
      <c r="K2102" s="15" t="n">
        <f aca="false">AG2102*評分方法!$C$7</f>
        <v>4.95</v>
      </c>
      <c r="L2102" s="15" t="n">
        <f aca="false">AH2102*評分方法!$C$8</f>
        <v>7.05</v>
      </c>
      <c r="M2102" s="15" t="n">
        <f aca="false">AI2102*評分方法!$C$9</f>
        <v>6</v>
      </c>
      <c r="N2102" s="15" t="n">
        <f aca="false">AJ2102*評分方法!$C$10</f>
        <v>1.464</v>
      </c>
      <c r="O2102" s="15" t="n">
        <f aca="false">AK2102*評分方法!$C$11</f>
        <v>5</v>
      </c>
      <c r="P2102" s="15" t="n">
        <f aca="false">AL2102*評分方法!$C$12</f>
        <v>0</v>
      </c>
      <c r="Q2102" s="6" t="n">
        <v>176673</v>
      </c>
      <c r="R2102" s="6"/>
      <c r="S2102" s="5" t="s">
        <v>255</v>
      </c>
      <c r="T2102" s="11" t="s">
        <v>658</v>
      </c>
      <c r="U2102" s="5" t="s">
        <v>260</v>
      </c>
      <c r="V2102" s="11" t="s">
        <v>261</v>
      </c>
      <c r="W2102" s="5" t="s">
        <v>334</v>
      </c>
      <c r="X2102" s="5" t="s">
        <v>242</v>
      </c>
      <c r="Y2102" s="11" t="s">
        <v>5155</v>
      </c>
      <c r="Z2102" s="11" t="s">
        <v>270</v>
      </c>
      <c r="AA2102" s="11" t="s">
        <v>155</v>
      </c>
      <c r="AB2102" s="5" t="s">
        <v>245</v>
      </c>
      <c r="AC2102" s="5" t="s">
        <v>262</v>
      </c>
      <c r="AD2102" s="11" t="s">
        <v>5156</v>
      </c>
      <c r="AE2102" s="23" t="n">
        <v>0.85</v>
      </c>
      <c r="AF2102" s="23" t="n">
        <v>0</v>
      </c>
      <c r="AG2102" s="23" t="n">
        <v>0.33</v>
      </c>
      <c r="AH2102" s="23" t="n">
        <v>0.47</v>
      </c>
      <c r="AI2102" s="23" t="n">
        <v>0.6</v>
      </c>
      <c r="AJ2102" s="23" t="n">
        <v>0.1464</v>
      </c>
      <c r="AK2102" s="23" t="n">
        <v>1</v>
      </c>
      <c r="AL2102" s="23" t="n">
        <v>0</v>
      </c>
      <c r="AM2102" s="16" t="n">
        <f aca="false">COUNTIFS($D$2:$D$2501,D2102,$G$2:$G$2501,"&gt;"&amp;G2102)+COUNTIFS($D$2:D2102,D2102,$G$2:G2102,G2102)</f>
        <v>940</v>
      </c>
      <c r="AN2102" s="5" t="str">
        <f aca="false">D2102&amp;"|"&amp;AM2102</f>
        <v>分析與報告生成|940</v>
      </c>
    </row>
    <row r="2103" customFormat="false" ht="17.15" hidden="false" customHeight="false" outlineLevel="0" collapsed="false">
      <c r="A2103" s="16" t="n">
        <f aca="false">RANK(G2103,$G$2:$G$2501)+COUNTIF($G$2:G2103,G2103)-1</f>
        <v>2102</v>
      </c>
      <c r="B2103" s="11" t="s">
        <v>5157</v>
      </c>
      <c r="C2103" s="11" t="s">
        <v>5158</v>
      </c>
      <c r="D2103" s="5" t="s">
        <v>74</v>
      </c>
      <c r="E2103" s="5" t="s">
        <v>75</v>
      </c>
      <c r="F2103" s="5"/>
      <c r="G2103" s="22" t="n">
        <f aca="false">ROUND(SUM(I2103:P2103),3)</f>
        <v>49.942</v>
      </c>
      <c r="H2103" s="5" t="str">
        <f aca="false">IF(G2103&gt;=評分方法!$C$16,"優先評估",IF(G2103&gt;=評分方法!$C$17,"列入候選",IF(G2103&gt;=評分方法!$C$18,"特定情境","不建議")))</f>
        <v>不建議</v>
      </c>
      <c r="I2103" s="15" t="n">
        <f aca="false">AE2103*評分方法!$C$5</f>
        <v>12</v>
      </c>
      <c r="J2103" s="15" t="n">
        <f aca="false">AF2103*評分方法!$C$6</f>
        <v>0</v>
      </c>
      <c r="K2103" s="15" t="n">
        <f aca="false">AG2103*評分方法!$C$7</f>
        <v>4.95</v>
      </c>
      <c r="L2103" s="15" t="n">
        <f aca="false">AH2103*評分方法!$C$8</f>
        <v>15</v>
      </c>
      <c r="M2103" s="15" t="n">
        <f aca="false">AI2103*評分方法!$C$9</f>
        <v>10</v>
      </c>
      <c r="N2103" s="15" t="n">
        <f aca="false">AJ2103*評分方法!$C$10</f>
        <v>5.492</v>
      </c>
      <c r="O2103" s="15" t="n">
        <f aca="false">AK2103*評分方法!$C$11</f>
        <v>1</v>
      </c>
      <c r="P2103" s="15" t="n">
        <f aca="false">AL2103*評分方法!$C$12</f>
        <v>1.5</v>
      </c>
      <c r="Q2103" s="6" t="n">
        <v>575847</v>
      </c>
      <c r="R2103" s="6" t="n">
        <v>149621010</v>
      </c>
      <c r="S2103" s="11" t="s">
        <v>238</v>
      </c>
      <c r="T2103" s="11" t="s">
        <v>278</v>
      </c>
      <c r="U2103" s="5" t="s">
        <v>240</v>
      </c>
      <c r="V2103" s="11" t="s">
        <v>324</v>
      </c>
      <c r="W2103" s="5" t="s">
        <v>334</v>
      </c>
      <c r="X2103" s="5" t="s">
        <v>255</v>
      </c>
      <c r="Y2103" s="5"/>
      <c r="Z2103" s="5"/>
      <c r="AA2103" s="11" t="s">
        <v>167</v>
      </c>
      <c r="AB2103" s="5" t="s">
        <v>245</v>
      </c>
      <c r="AC2103" s="5"/>
      <c r="AD2103" s="11" t="s">
        <v>5159</v>
      </c>
      <c r="AE2103" s="23" t="n">
        <v>0.4</v>
      </c>
      <c r="AF2103" s="23" t="n">
        <v>0</v>
      </c>
      <c r="AG2103" s="23" t="n">
        <v>0.33</v>
      </c>
      <c r="AH2103" s="23" t="n">
        <v>1</v>
      </c>
      <c r="AI2103" s="23" t="n">
        <v>1</v>
      </c>
      <c r="AJ2103" s="23" t="n">
        <v>0.5492</v>
      </c>
      <c r="AK2103" s="23" t="n">
        <v>0.2</v>
      </c>
      <c r="AL2103" s="23" t="n">
        <v>0.3</v>
      </c>
      <c r="AM2103" s="16" t="n">
        <f aca="false">COUNTIFS($D$2:$D$2501,D2103,$G$2:$G$2501,"&gt;"&amp;G2103)+COUNTIFS($D$2:D2103,D2103,$G$2:G2103,G2103)</f>
        <v>282</v>
      </c>
      <c r="AN2103" s="5" t="str">
        <f aca="false">D2103&amp;"|"&amp;AM2103</f>
        <v>文件與影像辨識|282</v>
      </c>
    </row>
    <row r="2104" customFormat="false" ht="17.15" hidden="false" customHeight="false" outlineLevel="0" collapsed="false">
      <c r="A2104" s="16" t="n">
        <f aca="false">RANK(G2104,$G$2:$G$2501)+COUNTIF($G$2:G2104,G2104)-1</f>
        <v>2103</v>
      </c>
      <c r="B2104" s="11" t="s">
        <v>5160</v>
      </c>
      <c r="C2104" s="11" t="s">
        <v>1132</v>
      </c>
      <c r="D2104" s="5" t="s">
        <v>66</v>
      </c>
      <c r="E2104" s="5" t="s">
        <v>67</v>
      </c>
      <c r="F2104" s="5"/>
      <c r="G2104" s="22" t="n">
        <f aca="false">ROUND(SUM(I2104:P2104),3)</f>
        <v>49.926</v>
      </c>
      <c r="H2104" s="5" t="str">
        <f aca="false">IF(G2104&gt;=評分方法!$C$16,"優先評估",IF(G2104&gt;=評分方法!$C$17,"列入候選",IF(G2104&gt;=評分方法!$C$18,"特定情境","不建議")))</f>
        <v>不建議</v>
      </c>
      <c r="I2104" s="15" t="n">
        <f aca="false">AE2104*評分方法!$C$5</f>
        <v>10.8</v>
      </c>
      <c r="J2104" s="15" t="n">
        <f aca="false">AF2104*評分方法!$C$6</f>
        <v>0</v>
      </c>
      <c r="K2104" s="15" t="n">
        <f aca="false">AG2104*評分方法!$C$7</f>
        <v>4.95</v>
      </c>
      <c r="L2104" s="15" t="n">
        <f aca="false">AH2104*評分方法!$C$8</f>
        <v>15</v>
      </c>
      <c r="M2104" s="15" t="n">
        <f aca="false">AI2104*評分方法!$C$9</f>
        <v>10</v>
      </c>
      <c r="N2104" s="15" t="n">
        <f aca="false">AJ2104*評分方法!$C$10</f>
        <v>8.176</v>
      </c>
      <c r="O2104" s="15" t="n">
        <f aca="false">AK2104*評分方法!$C$11</f>
        <v>1</v>
      </c>
      <c r="P2104" s="15" t="n">
        <f aca="false">AL2104*評分方法!$C$12</f>
        <v>0</v>
      </c>
      <c r="Q2104" s="6" t="n">
        <v>1795525</v>
      </c>
      <c r="R2104" s="6" t="n">
        <v>184424963</v>
      </c>
      <c r="S2104" s="11" t="s">
        <v>238</v>
      </c>
      <c r="T2104" s="11" t="s">
        <v>278</v>
      </c>
      <c r="U2104" s="5" t="s">
        <v>240</v>
      </c>
      <c r="V2104" s="11" t="s">
        <v>324</v>
      </c>
      <c r="W2104" s="5" t="s">
        <v>334</v>
      </c>
      <c r="X2104" s="5" t="s">
        <v>242</v>
      </c>
      <c r="Y2104" s="5"/>
      <c r="Z2104" s="5"/>
      <c r="AA2104" s="11" t="s">
        <v>151</v>
      </c>
      <c r="AB2104" s="5" t="s">
        <v>245</v>
      </c>
      <c r="AC2104" s="5" t="s">
        <v>3044</v>
      </c>
      <c r="AD2104" s="11" t="s">
        <v>5161</v>
      </c>
      <c r="AE2104" s="23" t="n">
        <v>0.36</v>
      </c>
      <c r="AF2104" s="23" t="n">
        <v>0</v>
      </c>
      <c r="AG2104" s="23" t="n">
        <v>0.33</v>
      </c>
      <c r="AH2104" s="23" t="n">
        <v>1</v>
      </c>
      <c r="AI2104" s="23" t="n">
        <v>1</v>
      </c>
      <c r="AJ2104" s="23" t="n">
        <v>0.8176</v>
      </c>
      <c r="AK2104" s="23" t="n">
        <v>0.2</v>
      </c>
      <c r="AL2104" s="23" t="n">
        <v>0</v>
      </c>
      <c r="AM2104" s="16" t="n">
        <f aca="false">COUNTIFS($D$2:$D$2501,D2104,$G$2:$G$2501,"&gt;"&amp;G2104)+COUNTIFS($D$2:D2104,D2104,$G$2:G2104,G2104)</f>
        <v>59</v>
      </c>
      <c r="AN2104" s="5" t="str">
        <f aca="false">D2104&amp;"|"&amp;AM2104</f>
        <v>分類與偵測|59</v>
      </c>
    </row>
    <row r="2105" customFormat="false" ht="17.15" hidden="false" customHeight="false" outlineLevel="0" collapsed="false">
      <c r="A2105" s="16" t="n">
        <f aca="false">RANK(G2105,$G$2:$G$2501)+COUNTIF($G$2:G2105,G2105)-1</f>
        <v>2104</v>
      </c>
      <c r="B2105" s="11" t="s">
        <v>5162</v>
      </c>
      <c r="C2105" s="11" t="s">
        <v>2693</v>
      </c>
      <c r="D2105" s="5" t="s">
        <v>74</v>
      </c>
      <c r="E2105" s="5" t="s">
        <v>75</v>
      </c>
      <c r="F2105" s="5"/>
      <c r="G2105" s="22" t="n">
        <f aca="false">ROUND(SUM(I2105:P2105),3)</f>
        <v>49.926</v>
      </c>
      <c r="H2105" s="5" t="str">
        <f aca="false">IF(G2105&gt;=評分方法!$C$16,"優先評估",IF(G2105&gt;=評分方法!$C$17,"列入候選",IF(G2105&gt;=評分方法!$C$18,"特定情境","不建議")))</f>
        <v>不建議</v>
      </c>
      <c r="I2105" s="15" t="n">
        <f aca="false">AE2105*評分方法!$C$5</f>
        <v>12</v>
      </c>
      <c r="J2105" s="15" t="n">
        <f aca="false">AF2105*評分方法!$C$6</f>
        <v>0</v>
      </c>
      <c r="K2105" s="15" t="n">
        <f aca="false">AG2105*評分方法!$C$7</f>
        <v>15</v>
      </c>
      <c r="L2105" s="15" t="n">
        <f aca="false">AH2105*評分方法!$C$8</f>
        <v>7.05</v>
      </c>
      <c r="M2105" s="15" t="n">
        <f aca="false">AI2105*評分方法!$C$9</f>
        <v>10</v>
      </c>
      <c r="N2105" s="15" t="n">
        <f aca="false">AJ2105*評分方法!$C$10</f>
        <v>1.876</v>
      </c>
      <c r="O2105" s="15" t="n">
        <f aca="false">AK2105*評分方法!$C$11</f>
        <v>2.5</v>
      </c>
      <c r="P2105" s="15" t="n">
        <f aca="false">AL2105*評分方法!$C$12</f>
        <v>1.5</v>
      </c>
      <c r="Q2105" s="6" t="n">
        <v>201337</v>
      </c>
      <c r="R2105" s="6"/>
      <c r="S2105" s="5" t="s">
        <v>255</v>
      </c>
      <c r="T2105" s="11" t="s">
        <v>239</v>
      </c>
      <c r="U2105" s="5" t="s">
        <v>240</v>
      </c>
      <c r="V2105" s="11" t="s">
        <v>324</v>
      </c>
      <c r="W2105" s="5" t="s">
        <v>205</v>
      </c>
      <c r="X2105" s="5" t="s">
        <v>255</v>
      </c>
      <c r="Y2105" s="5"/>
      <c r="Z2105" s="5"/>
      <c r="AA2105" s="11" t="s">
        <v>167</v>
      </c>
      <c r="AB2105" s="5" t="s">
        <v>245</v>
      </c>
      <c r="AC2105" s="5"/>
      <c r="AD2105" s="11" t="s">
        <v>5163</v>
      </c>
      <c r="AE2105" s="23" t="n">
        <v>0.4</v>
      </c>
      <c r="AF2105" s="23" t="n">
        <v>0</v>
      </c>
      <c r="AG2105" s="23" t="n">
        <v>1</v>
      </c>
      <c r="AH2105" s="23" t="n">
        <v>0.47</v>
      </c>
      <c r="AI2105" s="23" t="n">
        <v>1</v>
      </c>
      <c r="AJ2105" s="23" t="n">
        <v>0.1876</v>
      </c>
      <c r="AK2105" s="23" t="n">
        <v>0.5</v>
      </c>
      <c r="AL2105" s="23" t="n">
        <v>0.3</v>
      </c>
      <c r="AM2105" s="16" t="n">
        <f aca="false">COUNTIFS($D$2:$D$2501,D2105,$G$2:$G$2501,"&gt;"&amp;G2105)+COUNTIFS($D$2:D2105,D2105,$G$2:G2105,G2105)</f>
        <v>283</v>
      </c>
      <c r="AN2105" s="5" t="str">
        <f aca="false">D2105&amp;"|"&amp;AM2105</f>
        <v>文件與影像辨識|283</v>
      </c>
    </row>
    <row r="2106" customFormat="false" ht="17.15" hidden="false" customHeight="false" outlineLevel="0" collapsed="false">
      <c r="A2106" s="16" t="n">
        <f aca="false">RANK(G2106,$G$2:$G$2501)+COUNTIF($G$2:G2106,G2106)-1</f>
        <v>2105</v>
      </c>
      <c r="B2106" s="11" t="s">
        <v>5164</v>
      </c>
      <c r="C2106" s="11" t="s">
        <v>5165</v>
      </c>
      <c r="D2106" s="5" t="s">
        <v>68</v>
      </c>
      <c r="E2106" s="11" t="s">
        <v>69</v>
      </c>
      <c r="F2106" s="5"/>
      <c r="G2106" s="22" t="n">
        <f aca="false">ROUND(SUM(I2106:P2106),3)</f>
        <v>49.854</v>
      </c>
      <c r="H2106" s="5" t="str">
        <f aca="false">IF(G2106&gt;=評分方法!$C$16,"優先評估",IF(G2106&gt;=評分方法!$C$17,"列入候選",IF(G2106&gt;=評分方法!$C$18,"特定情境","不建議")))</f>
        <v>不建議</v>
      </c>
      <c r="I2106" s="15" t="n">
        <f aca="false">AE2106*評分方法!$C$5</f>
        <v>12</v>
      </c>
      <c r="J2106" s="15" t="n">
        <f aca="false">AF2106*評分方法!$C$6</f>
        <v>0</v>
      </c>
      <c r="K2106" s="15" t="n">
        <f aca="false">AG2106*評分方法!$C$7</f>
        <v>4.95</v>
      </c>
      <c r="L2106" s="15" t="n">
        <f aca="false">AH2106*評分方法!$C$8</f>
        <v>15</v>
      </c>
      <c r="M2106" s="15" t="n">
        <f aca="false">AI2106*評分方法!$C$9</f>
        <v>10</v>
      </c>
      <c r="N2106" s="15" t="n">
        <f aca="false">AJ2106*評分方法!$C$10</f>
        <v>3.904</v>
      </c>
      <c r="O2106" s="15" t="n">
        <f aca="false">AK2106*評分方法!$C$11</f>
        <v>2.5</v>
      </c>
      <c r="P2106" s="15" t="n">
        <f aca="false">AL2106*評分方法!$C$12</f>
        <v>1.5</v>
      </c>
      <c r="Q2106" s="6" t="n">
        <v>402500</v>
      </c>
      <c r="R2106" s="6" t="n">
        <v>47263874</v>
      </c>
      <c r="S2106" s="11" t="s">
        <v>238</v>
      </c>
      <c r="T2106" s="11" t="s">
        <v>1636</v>
      </c>
      <c r="U2106" s="5" t="s">
        <v>240</v>
      </c>
      <c r="V2106" s="11" t="s">
        <v>261</v>
      </c>
      <c r="W2106" s="5" t="s">
        <v>334</v>
      </c>
      <c r="X2106" s="5" t="s">
        <v>255</v>
      </c>
      <c r="Y2106" s="11" t="s">
        <v>490</v>
      </c>
      <c r="Z2106" s="11" t="s">
        <v>270</v>
      </c>
      <c r="AA2106" s="11" t="s">
        <v>169</v>
      </c>
      <c r="AB2106" s="5" t="s">
        <v>245</v>
      </c>
      <c r="AC2106" s="5"/>
      <c r="AD2106" s="11" t="s">
        <v>5166</v>
      </c>
      <c r="AE2106" s="23" t="n">
        <v>0.4</v>
      </c>
      <c r="AF2106" s="23" t="n">
        <v>0</v>
      </c>
      <c r="AG2106" s="23" t="n">
        <v>0.33</v>
      </c>
      <c r="AH2106" s="23" t="n">
        <v>1</v>
      </c>
      <c r="AI2106" s="23" t="n">
        <v>1</v>
      </c>
      <c r="AJ2106" s="23" t="n">
        <v>0.3904</v>
      </c>
      <c r="AK2106" s="23" t="n">
        <v>0.5</v>
      </c>
      <c r="AL2106" s="23" t="n">
        <v>0.3</v>
      </c>
      <c r="AM2106" s="16" t="n">
        <f aca="false">COUNTIFS($D$2:$D$2501,D2106,$G$2:$G$2501,"&gt;"&amp;G2106)+COUNTIFS($D$2:D2106,D2106,$G$2:G2106,G2106)</f>
        <v>51</v>
      </c>
      <c r="AN2106" s="5" t="str">
        <f aca="false">D2106&amp;"|"&amp;AM2106</f>
        <v>時序異常偵測|51</v>
      </c>
    </row>
    <row r="2107" customFormat="false" ht="17.15" hidden="false" customHeight="false" outlineLevel="0" collapsed="false">
      <c r="A2107" s="16" t="n">
        <f aca="false">RANK(G2107,$G$2:$G$2501)+COUNTIF($G$2:G2107,G2107)-1</f>
        <v>2106</v>
      </c>
      <c r="B2107" s="11" t="s">
        <v>5167</v>
      </c>
      <c r="C2107" s="11" t="s">
        <v>5168</v>
      </c>
      <c r="D2107" s="5" t="s">
        <v>56</v>
      </c>
      <c r="E2107" s="5" t="s">
        <v>57</v>
      </c>
      <c r="F2107" s="5"/>
      <c r="G2107" s="22" t="n">
        <f aca="false">ROUND(SUM(I2107:P2107),3)</f>
        <v>49.848</v>
      </c>
      <c r="H2107" s="5" t="str">
        <f aca="false">IF(G2107&gt;=評分方法!$C$16,"優先評估",IF(G2107&gt;=評分方法!$C$17,"列入候選",IF(G2107&gt;=評分方法!$C$18,"特定情境","不建議")))</f>
        <v>不建議</v>
      </c>
      <c r="I2107" s="15" t="n">
        <f aca="false">AE2107*評分方法!$C$5</f>
        <v>25.5</v>
      </c>
      <c r="J2107" s="15" t="n">
        <f aca="false">AF2107*評分方法!$C$6</f>
        <v>0</v>
      </c>
      <c r="K2107" s="15" t="n">
        <f aca="false">AG2107*評分方法!$C$7</f>
        <v>4.95</v>
      </c>
      <c r="L2107" s="15" t="n">
        <f aca="false">AH2107*評分方法!$C$8</f>
        <v>4.95</v>
      </c>
      <c r="M2107" s="15" t="n">
        <f aca="false">AI2107*評分方法!$C$9</f>
        <v>6</v>
      </c>
      <c r="N2107" s="15" t="n">
        <f aca="false">AJ2107*評分方法!$C$10</f>
        <v>5.948</v>
      </c>
      <c r="O2107" s="15" t="n">
        <f aca="false">AK2107*評分方法!$C$11</f>
        <v>2.5</v>
      </c>
      <c r="P2107" s="15" t="n">
        <f aca="false">AL2107*評分方法!$C$12</f>
        <v>0</v>
      </c>
      <c r="Q2107" s="6" t="n">
        <v>612250</v>
      </c>
      <c r="R2107" s="6" t="n">
        <v>70553706496</v>
      </c>
      <c r="S2107" s="11" t="s">
        <v>1876</v>
      </c>
      <c r="T2107" s="11" t="s">
        <v>2741</v>
      </c>
      <c r="U2107" s="5" t="s">
        <v>260</v>
      </c>
      <c r="V2107" s="11" t="s">
        <v>261</v>
      </c>
      <c r="W2107" s="5" t="s">
        <v>334</v>
      </c>
      <c r="X2107" s="5" t="s">
        <v>242</v>
      </c>
      <c r="Y2107" s="11" t="s">
        <v>2742</v>
      </c>
      <c r="Z2107" s="11" t="s">
        <v>244</v>
      </c>
      <c r="AA2107" s="11" t="s">
        <v>155</v>
      </c>
      <c r="AB2107" s="5" t="s">
        <v>245</v>
      </c>
      <c r="AC2107" s="5" t="s">
        <v>464</v>
      </c>
      <c r="AD2107" s="11" t="s">
        <v>5169</v>
      </c>
      <c r="AE2107" s="23" t="n">
        <v>0.85</v>
      </c>
      <c r="AF2107" s="23" t="n">
        <v>0</v>
      </c>
      <c r="AG2107" s="23" t="n">
        <v>0.33</v>
      </c>
      <c r="AH2107" s="23" t="n">
        <v>0.33</v>
      </c>
      <c r="AI2107" s="23" t="n">
        <v>0.6</v>
      </c>
      <c r="AJ2107" s="23" t="n">
        <v>0.5948</v>
      </c>
      <c r="AK2107" s="23" t="n">
        <v>0.5</v>
      </c>
      <c r="AL2107" s="23" t="n">
        <v>0</v>
      </c>
      <c r="AM2107" s="16" t="n">
        <f aca="false">COUNTIFS($D$2:$D$2501,D2107,$G$2:$G$2501,"&gt;"&amp;G2107)+COUNTIFS($D$2:D2107,D2107,$G$2:G2107,G2107)</f>
        <v>941</v>
      </c>
      <c r="AN2107" s="5" t="str">
        <f aca="false">D2107&amp;"|"&amp;AM2107</f>
        <v>分析與報告生成|941</v>
      </c>
    </row>
    <row r="2108" customFormat="false" ht="17.15" hidden="false" customHeight="false" outlineLevel="0" collapsed="false">
      <c r="A2108" s="16" t="n">
        <f aca="false">RANK(G2108,$G$2:$G$2501)+COUNTIF($G$2:G2108,G2108)-1</f>
        <v>2107</v>
      </c>
      <c r="B2108" s="11" t="s">
        <v>5170</v>
      </c>
      <c r="C2108" s="11" t="s">
        <v>5171</v>
      </c>
      <c r="D2108" s="5" t="s">
        <v>74</v>
      </c>
      <c r="E2108" s="5" t="s">
        <v>75</v>
      </c>
      <c r="F2108" s="5"/>
      <c r="G2108" s="22" t="n">
        <f aca="false">ROUND(SUM(I2108:P2108),3)</f>
        <v>49.784</v>
      </c>
      <c r="H2108" s="5" t="str">
        <f aca="false">IF(G2108&gt;=評分方法!$C$16,"優先評估",IF(G2108&gt;=評分方法!$C$17,"列入候選",IF(G2108&gt;=評分方法!$C$18,"特定情境","不建議")))</f>
        <v>不建議</v>
      </c>
      <c r="I2108" s="15" t="n">
        <f aca="false">AE2108*評分方法!$C$5</f>
        <v>13.5</v>
      </c>
      <c r="J2108" s="15" t="n">
        <f aca="false">AF2108*評分方法!$C$6</f>
        <v>0</v>
      </c>
      <c r="K2108" s="15" t="n">
        <f aca="false">AG2108*評分方法!$C$7</f>
        <v>4.95</v>
      </c>
      <c r="L2108" s="15" t="n">
        <f aca="false">AH2108*評分方法!$C$8</f>
        <v>13.05</v>
      </c>
      <c r="M2108" s="15" t="n">
        <f aca="false">AI2108*評分方法!$C$9</f>
        <v>6</v>
      </c>
      <c r="N2108" s="15" t="n">
        <f aca="false">AJ2108*評分方法!$C$10</f>
        <v>7.284</v>
      </c>
      <c r="O2108" s="15" t="n">
        <f aca="false">AK2108*評分方法!$C$11</f>
        <v>5</v>
      </c>
      <c r="P2108" s="15" t="n">
        <f aca="false">AL2108*評分方法!$C$12</f>
        <v>0</v>
      </c>
      <c r="Q2108" s="6" t="n">
        <v>1039163</v>
      </c>
      <c r="R2108" s="6" t="n">
        <v>2924613488</v>
      </c>
      <c r="S2108" s="11" t="s">
        <v>254</v>
      </c>
      <c r="T2108" s="11" t="s">
        <v>658</v>
      </c>
      <c r="U2108" s="5" t="s">
        <v>260</v>
      </c>
      <c r="V2108" s="11" t="s">
        <v>261</v>
      </c>
      <c r="W2108" s="5" t="s">
        <v>334</v>
      </c>
      <c r="X2108" s="5" t="s">
        <v>242</v>
      </c>
      <c r="Y2108" s="11" t="s">
        <v>5172</v>
      </c>
      <c r="Z2108" s="11" t="s">
        <v>270</v>
      </c>
      <c r="AA2108" s="11" t="s">
        <v>164</v>
      </c>
      <c r="AB2108" s="5" t="s">
        <v>245</v>
      </c>
      <c r="AC2108" s="5" t="s">
        <v>262</v>
      </c>
      <c r="AD2108" s="11" t="s">
        <v>5173</v>
      </c>
      <c r="AE2108" s="23" t="n">
        <v>0.45</v>
      </c>
      <c r="AF2108" s="23" t="n">
        <v>0</v>
      </c>
      <c r="AG2108" s="23" t="n">
        <v>0.33</v>
      </c>
      <c r="AH2108" s="23" t="n">
        <v>0.87</v>
      </c>
      <c r="AI2108" s="23" t="n">
        <v>0.6</v>
      </c>
      <c r="AJ2108" s="23" t="n">
        <v>0.7284</v>
      </c>
      <c r="AK2108" s="23" t="n">
        <v>1</v>
      </c>
      <c r="AL2108" s="23" t="n">
        <v>0</v>
      </c>
      <c r="AM2108" s="16" t="n">
        <f aca="false">COUNTIFS($D$2:$D$2501,D2108,$G$2:$G$2501,"&gt;"&amp;G2108)+COUNTIFS($D$2:D2108,D2108,$G$2:G2108,G2108)</f>
        <v>284</v>
      </c>
      <c r="AN2108" s="5" t="str">
        <f aca="false">D2108&amp;"|"&amp;AM2108</f>
        <v>文件與影像辨識|284</v>
      </c>
    </row>
    <row r="2109" customFormat="false" ht="17.15" hidden="false" customHeight="false" outlineLevel="0" collapsed="false">
      <c r="A2109" s="16" t="n">
        <f aca="false">RANK(G2109,$G$2:$G$2501)+COUNTIF($G$2:G2109,G2109)-1</f>
        <v>2108</v>
      </c>
      <c r="B2109" s="11" t="s">
        <v>5174</v>
      </c>
      <c r="C2109" s="11" t="s">
        <v>5175</v>
      </c>
      <c r="D2109" s="5" t="s">
        <v>78</v>
      </c>
      <c r="E2109" s="5" t="s">
        <v>79</v>
      </c>
      <c r="F2109" s="5"/>
      <c r="G2109" s="22" t="n">
        <f aca="false">ROUND(SUM(I2109:P2109),3)</f>
        <v>49.782</v>
      </c>
      <c r="H2109" s="5" t="str">
        <f aca="false">IF(G2109&gt;=評分方法!$C$16,"優先評估",IF(G2109&gt;=評分方法!$C$17,"列入候選",IF(G2109&gt;=評分方法!$C$18,"特定情境","不建議")))</f>
        <v>不建議</v>
      </c>
      <c r="I2109" s="15" t="n">
        <f aca="false">AE2109*評分方法!$C$5</f>
        <v>5.4</v>
      </c>
      <c r="J2109" s="15" t="n">
        <f aca="false">AF2109*評分方法!$C$6</f>
        <v>0</v>
      </c>
      <c r="K2109" s="15" t="n">
        <f aca="false">AG2109*評分方法!$C$7</f>
        <v>4.95</v>
      </c>
      <c r="L2109" s="15" t="n">
        <f aca="false">AH2109*評分方法!$C$8</f>
        <v>15</v>
      </c>
      <c r="M2109" s="15" t="n">
        <f aca="false">AI2109*評分方法!$C$9</f>
        <v>10</v>
      </c>
      <c r="N2109" s="15" t="n">
        <f aca="false">AJ2109*評分方法!$C$10</f>
        <v>9.432</v>
      </c>
      <c r="O2109" s="15" t="n">
        <f aca="false">AK2109*評分方法!$C$11</f>
        <v>5</v>
      </c>
      <c r="P2109" s="15" t="n">
        <f aca="false">AL2109*評分方法!$C$12</f>
        <v>0</v>
      </c>
      <c r="Q2109" s="6" t="n">
        <v>7658295</v>
      </c>
      <c r="R2109" s="6" t="n">
        <v>315497145</v>
      </c>
      <c r="S2109" s="11" t="s">
        <v>238</v>
      </c>
      <c r="T2109" s="11" t="s">
        <v>239</v>
      </c>
      <c r="U2109" s="5" t="s">
        <v>240</v>
      </c>
      <c r="V2109" s="11" t="s">
        <v>324</v>
      </c>
      <c r="W2109" s="5" t="s">
        <v>334</v>
      </c>
      <c r="X2109" s="5" t="s">
        <v>242</v>
      </c>
      <c r="Y2109" s="11" t="s">
        <v>4916</v>
      </c>
      <c r="Z2109" s="11" t="s">
        <v>270</v>
      </c>
      <c r="AA2109" s="11" t="s">
        <v>175</v>
      </c>
      <c r="AB2109" s="5" t="s">
        <v>245</v>
      </c>
      <c r="AC2109" s="5" t="s">
        <v>1463</v>
      </c>
      <c r="AD2109" s="11" t="s">
        <v>5176</v>
      </c>
      <c r="AE2109" s="23" t="n">
        <v>0.18</v>
      </c>
      <c r="AF2109" s="23" t="n">
        <v>0</v>
      </c>
      <c r="AG2109" s="23" t="n">
        <v>0.33</v>
      </c>
      <c r="AH2109" s="23" t="n">
        <v>1</v>
      </c>
      <c r="AI2109" s="23" t="n">
        <v>1</v>
      </c>
      <c r="AJ2109" s="23" t="n">
        <v>0.9432</v>
      </c>
      <c r="AK2109" s="23" t="n">
        <v>1</v>
      </c>
      <c r="AL2109" s="23" t="n">
        <v>0</v>
      </c>
      <c r="AM2109" s="16" t="n">
        <f aca="false">COUNTIFS($D$2:$D$2501,D2109,$G$2:$G$2501,"&gt;"&amp;G2109)+COUNTIFS($D$2:D2109,D2109,$G$2:G2109,G2109)</f>
        <v>69</v>
      </c>
      <c r="AN2109" s="5" t="str">
        <f aca="false">D2109&amp;"|"&amp;AM2109</f>
        <v>語音分析|69</v>
      </c>
    </row>
    <row r="2110" customFormat="false" ht="17.15" hidden="false" customHeight="false" outlineLevel="0" collapsed="false">
      <c r="A2110" s="16" t="n">
        <f aca="false">RANK(G2110,$G$2:$G$2501)+COUNTIF($G$2:G2110,G2110)-1</f>
        <v>2109</v>
      </c>
      <c r="B2110" s="11" t="s">
        <v>5177</v>
      </c>
      <c r="C2110" s="11" t="s">
        <v>402</v>
      </c>
      <c r="D2110" s="5" t="s">
        <v>58</v>
      </c>
      <c r="E2110" s="5" t="s">
        <v>59</v>
      </c>
      <c r="F2110" s="5"/>
      <c r="G2110" s="22" t="n">
        <f aca="false">ROUND(SUM(I2110:P2110),3)</f>
        <v>49.77</v>
      </c>
      <c r="H2110" s="5" t="str">
        <f aca="false">IF(G2110&gt;=評分方法!$C$16,"優先評估",IF(G2110&gt;=評分方法!$C$17,"列入候選",IF(G2110&gt;=評分方法!$C$18,"特定情境","不建議")))</f>
        <v>不建議</v>
      </c>
      <c r="I2110" s="15" t="n">
        <f aca="false">AE2110*評分方法!$C$5</f>
        <v>11.4</v>
      </c>
      <c r="J2110" s="15" t="n">
        <f aca="false">AF2110*評分方法!$C$6</f>
        <v>0</v>
      </c>
      <c r="K2110" s="15" t="n">
        <f aca="false">AG2110*評分方法!$C$7</f>
        <v>4.95</v>
      </c>
      <c r="L2110" s="15" t="n">
        <f aca="false">AH2110*評分方法!$C$8</f>
        <v>15</v>
      </c>
      <c r="M2110" s="15" t="n">
        <f aca="false">AI2110*評分方法!$C$9</f>
        <v>10</v>
      </c>
      <c r="N2110" s="15" t="n">
        <f aca="false">AJ2110*評分方法!$C$10</f>
        <v>5.92</v>
      </c>
      <c r="O2110" s="15" t="n">
        <f aca="false">AK2110*評分方法!$C$11</f>
        <v>2.5</v>
      </c>
      <c r="P2110" s="15" t="n">
        <f aca="false">AL2110*評分方法!$C$12</f>
        <v>0</v>
      </c>
      <c r="Q2110" s="6" t="n">
        <v>608389</v>
      </c>
      <c r="R2110" s="6" t="n">
        <v>334095363</v>
      </c>
      <c r="S2110" s="11" t="s">
        <v>238</v>
      </c>
      <c r="T2110" s="11" t="s">
        <v>239</v>
      </c>
      <c r="U2110" s="5" t="s">
        <v>240</v>
      </c>
      <c r="V2110" s="11" t="s">
        <v>261</v>
      </c>
      <c r="W2110" s="5" t="s">
        <v>334</v>
      </c>
      <c r="X2110" s="5" t="s">
        <v>242</v>
      </c>
      <c r="Y2110" s="5"/>
      <c r="Z2110" s="5"/>
      <c r="AA2110" s="11" t="s">
        <v>150</v>
      </c>
      <c r="AB2110" s="5" t="s">
        <v>245</v>
      </c>
      <c r="AC2110" s="5" t="s">
        <v>3044</v>
      </c>
      <c r="AD2110" s="11" t="s">
        <v>5178</v>
      </c>
      <c r="AE2110" s="23" t="n">
        <v>0.38</v>
      </c>
      <c r="AF2110" s="23" t="n">
        <v>0</v>
      </c>
      <c r="AG2110" s="23" t="n">
        <v>0.33</v>
      </c>
      <c r="AH2110" s="23" t="n">
        <v>1</v>
      </c>
      <c r="AI2110" s="23" t="n">
        <v>1</v>
      </c>
      <c r="AJ2110" s="23" t="n">
        <v>0.592</v>
      </c>
      <c r="AK2110" s="23" t="n">
        <v>0.5</v>
      </c>
      <c r="AL2110" s="23" t="n">
        <v>0</v>
      </c>
      <c r="AM2110" s="16" t="n">
        <f aca="false">COUNTIFS($D$2:$D$2501,D2110,$G$2:$G$2501,"&gt;"&amp;G2110)+COUNTIFS($D$2:D2110,D2110,$G$2:G2110,G2110)</f>
        <v>312</v>
      </c>
      <c r="AN2110" s="5" t="str">
        <f aca="false">D2110&amp;"|"&amp;AM2110</f>
        <v>實體擷取與去識別化|312</v>
      </c>
    </row>
    <row r="2111" customFormat="false" ht="17.15" hidden="false" customHeight="false" outlineLevel="0" collapsed="false">
      <c r="A2111" s="16" t="n">
        <f aca="false">RANK(G2111,$G$2:$G$2501)+COUNTIF($G$2:G2111,G2111)-1</f>
        <v>2110</v>
      </c>
      <c r="B2111" s="11" t="s">
        <v>5179</v>
      </c>
      <c r="C2111" s="11" t="s">
        <v>5180</v>
      </c>
      <c r="D2111" s="5" t="s">
        <v>74</v>
      </c>
      <c r="E2111" s="5" t="s">
        <v>75</v>
      </c>
      <c r="F2111" s="5"/>
      <c r="G2111" s="22" t="n">
        <f aca="false">ROUND(SUM(I2111:P2111),3)</f>
        <v>49.766</v>
      </c>
      <c r="H2111" s="5" t="str">
        <f aca="false">IF(G2111&gt;=評分方法!$C$16,"優先評估",IF(G2111&gt;=評分方法!$C$17,"列入候選",IF(G2111&gt;=評分方法!$C$18,"特定情境","不建議")))</f>
        <v>不建議</v>
      </c>
      <c r="I2111" s="15" t="n">
        <f aca="false">AE2111*評分方法!$C$5</f>
        <v>13.5</v>
      </c>
      <c r="J2111" s="15" t="n">
        <f aca="false">AF2111*評分方法!$C$6</f>
        <v>0</v>
      </c>
      <c r="K2111" s="15" t="n">
        <f aca="false">AG2111*評分方法!$C$7</f>
        <v>4.95</v>
      </c>
      <c r="L2111" s="15" t="n">
        <f aca="false">AH2111*評分方法!$C$8</f>
        <v>9</v>
      </c>
      <c r="M2111" s="15" t="n">
        <f aca="false">AI2111*評分方法!$C$9</f>
        <v>10</v>
      </c>
      <c r="N2111" s="15" t="n">
        <f aca="false">AJ2111*評分方法!$C$10</f>
        <v>7.316</v>
      </c>
      <c r="O2111" s="15" t="n">
        <f aca="false">AK2111*評分方法!$C$11</f>
        <v>5</v>
      </c>
      <c r="P2111" s="15" t="n">
        <f aca="false">AL2111*評分方法!$C$12</f>
        <v>0</v>
      </c>
      <c r="Q2111" s="6" t="n">
        <v>1053936</v>
      </c>
      <c r="R2111" s="6" t="n">
        <v>26895998464</v>
      </c>
      <c r="S2111" s="11" t="s">
        <v>389</v>
      </c>
      <c r="T2111" s="11" t="s">
        <v>239</v>
      </c>
      <c r="U2111" s="5" t="s">
        <v>240</v>
      </c>
      <c r="V2111" s="11" t="s">
        <v>333</v>
      </c>
      <c r="W2111" s="5" t="s">
        <v>334</v>
      </c>
      <c r="X2111" s="5" t="s">
        <v>242</v>
      </c>
      <c r="Y2111" s="11" t="s">
        <v>5181</v>
      </c>
      <c r="Z2111" s="11" t="s">
        <v>244</v>
      </c>
      <c r="AA2111" s="11" t="s">
        <v>164</v>
      </c>
      <c r="AB2111" s="5" t="s">
        <v>496</v>
      </c>
      <c r="AC2111" s="5" t="s">
        <v>555</v>
      </c>
      <c r="AD2111" s="11" t="s">
        <v>5182</v>
      </c>
      <c r="AE2111" s="23" t="n">
        <v>0.45</v>
      </c>
      <c r="AF2111" s="23" t="n">
        <v>0</v>
      </c>
      <c r="AG2111" s="23" t="n">
        <v>0.33</v>
      </c>
      <c r="AH2111" s="23" t="n">
        <v>0.6</v>
      </c>
      <c r="AI2111" s="23" t="n">
        <v>1</v>
      </c>
      <c r="AJ2111" s="23" t="n">
        <v>0.7316</v>
      </c>
      <c r="AK2111" s="23" t="n">
        <v>1</v>
      </c>
      <c r="AL2111" s="23" t="n">
        <v>0</v>
      </c>
      <c r="AM2111" s="16" t="n">
        <f aca="false">COUNTIFS($D$2:$D$2501,D2111,$G$2:$G$2501,"&gt;"&amp;G2111)+COUNTIFS($D$2:D2111,D2111,$G$2:G2111,G2111)</f>
        <v>285</v>
      </c>
      <c r="AN2111" s="5" t="str">
        <f aca="false">D2111&amp;"|"&amp;AM2111</f>
        <v>文件與影像辨識|285</v>
      </c>
    </row>
    <row r="2112" customFormat="false" ht="17.15" hidden="false" customHeight="false" outlineLevel="0" collapsed="false">
      <c r="A2112" s="16" t="n">
        <f aca="false">RANK(G2112,$G$2:$G$2501)+COUNTIF($G$2:G2112,G2112)-1</f>
        <v>2111</v>
      </c>
      <c r="B2112" s="11" t="s">
        <v>5183</v>
      </c>
      <c r="C2112" s="11" t="s">
        <v>327</v>
      </c>
      <c r="D2112" s="5" t="s">
        <v>80</v>
      </c>
      <c r="E2112" s="5" t="s">
        <v>81</v>
      </c>
      <c r="F2112" s="5"/>
      <c r="G2112" s="22" t="n">
        <f aca="false">ROUND(SUM(I2112:P2112),3)</f>
        <v>49.764</v>
      </c>
      <c r="H2112" s="5" t="str">
        <f aca="false">IF(G2112&gt;=評分方法!$C$16,"優先評估",IF(G2112&gt;=評分方法!$C$17,"列入候選",IF(G2112&gt;=評分方法!$C$18,"特定情境","不建議")))</f>
        <v>不建議</v>
      </c>
      <c r="I2112" s="15" t="n">
        <f aca="false">AE2112*評分方法!$C$5</f>
        <v>6</v>
      </c>
      <c r="J2112" s="15" t="n">
        <f aca="false">AF2112*評分方法!$C$6</f>
        <v>0</v>
      </c>
      <c r="K2112" s="15" t="n">
        <f aca="false">AG2112*評分方法!$C$7</f>
        <v>15</v>
      </c>
      <c r="L2112" s="15" t="n">
        <f aca="false">AH2112*評分方法!$C$8</f>
        <v>9</v>
      </c>
      <c r="M2112" s="15" t="n">
        <f aca="false">AI2112*評分方法!$C$9</f>
        <v>6</v>
      </c>
      <c r="N2112" s="15" t="n">
        <f aca="false">AJ2112*評分方法!$C$10</f>
        <v>7.264</v>
      </c>
      <c r="O2112" s="15" t="n">
        <f aca="false">AK2112*評分方法!$C$11</f>
        <v>5</v>
      </c>
      <c r="P2112" s="15" t="n">
        <f aca="false">AL2112*評分方法!$C$12</f>
        <v>1.5</v>
      </c>
      <c r="Q2112" s="6" t="n">
        <v>1029046</v>
      </c>
      <c r="R2112" s="6" t="n">
        <v>15750057456</v>
      </c>
      <c r="S2112" s="11" t="s">
        <v>389</v>
      </c>
      <c r="T2112" s="11" t="s">
        <v>185</v>
      </c>
      <c r="U2112" s="5" t="s">
        <v>260</v>
      </c>
      <c r="V2112" s="11" t="s">
        <v>261</v>
      </c>
      <c r="W2112" s="5" t="s">
        <v>205</v>
      </c>
      <c r="X2112" s="5" t="s">
        <v>255</v>
      </c>
      <c r="Y2112" s="5"/>
      <c r="Z2112" s="5"/>
      <c r="AA2112" s="5"/>
      <c r="AB2112" s="5" t="s">
        <v>255</v>
      </c>
      <c r="AC2112" s="5" t="s">
        <v>262</v>
      </c>
      <c r="AD2112" s="11" t="s">
        <v>5184</v>
      </c>
      <c r="AE2112" s="23" t="n">
        <v>0.2</v>
      </c>
      <c r="AF2112" s="23" t="n">
        <v>0</v>
      </c>
      <c r="AG2112" s="23" t="n">
        <v>1</v>
      </c>
      <c r="AH2112" s="23" t="n">
        <v>0.6</v>
      </c>
      <c r="AI2112" s="23" t="n">
        <v>0.6</v>
      </c>
      <c r="AJ2112" s="23" t="n">
        <v>0.7264</v>
      </c>
      <c r="AK2112" s="23" t="n">
        <v>1</v>
      </c>
      <c r="AL2112" s="23" t="n">
        <v>0.3</v>
      </c>
      <c r="AM2112" s="16" t="n">
        <f aca="false">COUNTIFS($D$2:$D$2501,D2112,$G$2:$G$2501,"&gt;"&amp;G2112)+COUNTIFS($D$2:D2112,D2112,$G$2:G2112,G2112)</f>
        <v>18</v>
      </c>
      <c r="AN2112" s="5" t="str">
        <f aca="false">D2112&amp;"|"&amp;AM2112</f>
        <v>其他|18</v>
      </c>
    </row>
    <row r="2113" customFormat="false" ht="17.15" hidden="false" customHeight="false" outlineLevel="0" collapsed="false">
      <c r="A2113" s="16" t="n">
        <f aca="false">RANK(G2113,$G$2:$G$2501)+COUNTIF($G$2:G2113,G2113)-1</f>
        <v>2112</v>
      </c>
      <c r="B2113" s="11" t="s">
        <v>5185</v>
      </c>
      <c r="C2113" s="11" t="s">
        <v>5186</v>
      </c>
      <c r="D2113" s="5" t="s">
        <v>56</v>
      </c>
      <c r="E2113" s="5" t="s">
        <v>57</v>
      </c>
      <c r="F2113" s="5"/>
      <c r="G2113" s="22" t="n">
        <f aca="false">ROUND(SUM(I2113:P2113),3)</f>
        <v>49.736</v>
      </c>
      <c r="H2113" s="5" t="str">
        <f aca="false">IF(G2113&gt;=評分方法!$C$16,"優先評估",IF(G2113&gt;=評分方法!$C$17,"列入候選",IF(G2113&gt;=評分方法!$C$18,"特定情境","不建議")))</f>
        <v>不建議</v>
      </c>
      <c r="I2113" s="15" t="n">
        <f aca="false">AE2113*評分方法!$C$5</f>
        <v>25.5</v>
      </c>
      <c r="J2113" s="15" t="n">
        <f aca="false">AF2113*評分方法!$C$6</f>
        <v>0</v>
      </c>
      <c r="K2113" s="15" t="n">
        <f aca="false">AG2113*評分方法!$C$7</f>
        <v>4.95</v>
      </c>
      <c r="L2113" s="15" t="n">
        <f aca="false">AH2113*評分方法!$C$8</f>
        <v>7.05</v>
      </c>
      <c r="M2113" s="15" t="n">
        <f aca="false">AI2113*評分方法!$C$9</f>
        <v>2</v>
      </c>
      <c r="N2113" s="15" t="n">
        <f aca="false">AJ2113*評分方法!$C$10</f>
        <v>6.236</v>
      </c>
      <c r="O2113" s="15" t="n">
        <f aca="false">AK2113*評分方法!$C$11</f>
        <v>1</v>
      </c>
      <c r="P2113" s="15" t="n">
        <f aca="false">AL2113*評分方法!$C$12</f>
        <v>3</v>
      </c>
      <c r="Q2113" s="6" t="n">
        <v>677941</v>
      </c>
      <c r="R2113" s="6"/>
      <c r="S2113" s="5" t="s">
        <v>255</v>
      </c>
      <c r="T2113" s="5"/>
      <c r="U2113" s="5" t="s">
        <v>375</v>
      </c>
      <c r="V2113" s="11" t="s">
        <v>261</v>
      </c>
      <c r="W2113" s="5" t="s">
        <v>334</v>
      </c>
      <c r="X2113" s="5" t="s">
        <v>371</v>
      </c>
      <c r="Y2113" s="11" t="s">
        <v>1273</v>
      </c>
      <c r="Z2113" s="11" t="s">
        <v>942</v>
      </c>
      <c r="AA2113" s="11" t="s">
        <v>155</v>
      </c>
      <c r="AB2113" s="5" t="s">
        <v>496</v>
      </c>
      <c r="AC2113" s="5" t="s">
        <v>1330</v>
      </c>
      <c r="AD2113" s="11" t="s">
        <v>5187</v>
      </c>
      <c r="AE2113" s="23" t="n">
        <v>0.85</v>
      </c>
      <c r="AF2113" s="23" t="n">
        <v>0</v>
      </c>
      <c r="AG2113" s="23" t="n">
        <v>0.33</v>
      </c>
      <c r="AH2113" s="23" t="n">
        <v>0.47</v>
      </c>
      <c r="AI2113" s="23" t="n">
        <v>0.2</v>
      </c>
      <c r="AJ2113" s="23" t="n">
        <v>0.6236</v>
      </c>
      <c r="AK2113" s="23" t="n">
        <v>0.2</v>
      </c>
      <c r="AL2113" s="23" t="n">
        <v>0.6</v>
      </c>
      <c r="AM2113" s="16" t="n">
        <f aca="false">COUNTIFS($D$2:$D$2501,D2113,$G$2:$G$2501,"&gt;"&amp;G2113)+COUNTIFS($D$2:D2113,D2113,$G$2:G2113,G2113)</f>
        <v>942</v>
      </c>
      <c r="AN2113" s="5" t="str">
        <f aca="false">D2113&amp;"|"&amp;AM2113</f>
        <v>分析與報告生成|942</v>
      </c>
    </row>
    <row r="2114" customFormat="false" ht="17.15" hidden="false" customHeight="false" outlineLevel="0" collapsed="false">
      <c r="A2114" s="16" t="n">
        <f aca="false">RANK(G2114,$G$2:$G$2501)+COUNTIF($G$2:G2114,G2114)-1</f>
        <v>2113</v>
      </c>
      <c r="B2114" s="11" t="s">
        <v>5188</v>
      </c>
      <c r="C2114" s="11" t="s">
        <v>5189</v>
      </c>
      <c r="D2114" s="5" t="s">
        <v>54</v>
      </c>
      <c r="E2114" s="5" t="s">
        <v>55</v>
      </c>
      <c r="F2114" s="5"/>
      <c r="G2114" s="22" t="n">
        <f aca="false">ROUND(SUM(I2114:P2114),3)</f>
        <v>49.718</v>
      </c>
      <c r="H2114" s="5" t="str">
        <f aca="false">IF(G2114&gt;=評分方法!$C$16,"優先評估",IF(G2114&gt;=評分方法!$C$17,"列入候選",IF(G2114&gt;=評分方法!$C$18,"特定情境","不建議")))</f>
        <v>不建議</v>
      </c>
      <c r="I2114" s="15" t="n">
        <f aca="false">AE2114*評分方法!$C$5</f>
        <v>16.2</v>
      </c>
      <c r="J2114" s="15" t="n">
        <f aca="false">AF2114*評分方法!$C$6</f>
        <v>0</v>
      </c>
      <c r="K2114" s="15" t="n">
        <f aca="false">AG2114*評分方法!$C$7</f>
        <v>4.95</v>
      </c>
      <c r="L2114" s="15" t="n">
        <f aca="false">AH2114*評分方法!$C$8</f>
        <v>15</v>
      </c>
      <c r="M2114" s="15" t="n">
        <f aca="false">AI2114*評分方法!$C$9</f>
        <v>10</v>
      </c>
      <c r="N2114" s="15" t="n">
        <f aca="false">AJ2114*評分方法!$C$10</f>
        <v>2.568</v>
      </c>
      <c r="O2114" s="15" t="n">
        <f aca="false">AK2114*評分方法!$C$11</f>
        <v>1</v>
      </c>
      <c r="P2114" s="15" t="n">
        <f aca="false">AL2114*評分方法!$C$12</f>
        <v>0</v>
      </c>
      <c r="Q2114" s="6" t="n">
        <v>257360</v>
      </c>
      <c r="R2114" s="6" t="n">
        <v>110622466</v>
      </c>
      <c r="S2114" s="11" t="s">
        <v>238</v>
      </c>
      <c r="T2114" s="11" t="s">
        <v>239</v>
      </c>
      <c r="U2114" s="5" t="s">
        <v>240</v>
      </c>
      <c r="V2114" s="11" t="s">
        <v>324</v>
      </c>
      <c r="W2114" s="5" t="s">
        <v>334</v>
      </c>
      <c r="X2114" s="5" t="s">
        <v>242</v>
      </c>
      <c r="Y2114" s="5"/>
      <c r="Z2114" s="5"/>
      <c r="AA2114" s="11" t="s">
        <v>152</v>
      </c>
      <c r="AB2114" s="5" t="s">
        <v>245</v>
      </c>
      <c r="AC2114" s="5" t="s">
        <v>1463</v>
      </c>
      <c r="AD2114" s="11" t="s">
        <v>5190</v>
      </c>
      <c r="AE2114" s="23" t="n">
        <v>0.54</v>
      </c>
      <c r="AF2114" s="23" t="n">
        <v>0</v>
      </c>
      <c r="AG2114" s="23" t="n">
        <v>0.33</v>
      </c>
      <c r="AH2114" s="23" t="n">
        <v>1</v>
      </c>
      <c r="AI2114" s="23" t="n">
        <v>1</v>
      </c>
      <c r="AJ2114" s="23" t="n">
        <v>0.2568</v>
      </c>
      <c r="AK2114" s="23" t="n">
        <v>0.2</v>
      </c>
      <c r="AL2114" s="23" t="n">
        <v>0</v>
      </c>
      <c r="AM2114" s="16" t="n">
        <f aca="false">COUNTIFS($D$2:$D$2501,D2114,$G$2:$G$2501,"&gt;"&amp;G2114)+COUNTIFS($D$2:D2114,D2114,$G$2:G2114,G2114)</f>
        <v>258</v>
      </c>
      <c r="AN2114" s="5" t="str">
        <f aca="false">D2114&amp;"|"&amp;AM2114</f>
        <v>檢索與情資關聯|258</v>
      </c>
    </row>
    <row r="2115" customFormat="false" ht="17.15" hidden="false" customHeight="false" outlineLevel="0" collapsed="false">
      <c r="A2115" s="16" t="n">
        <f aca="false">RANK(G2115,$G$2:$G$2501)+COUNTIF($G$2:G2115,G2115)-1</f>
        <v>2114</v>
      </c>
      <c r="B2115" s="11" t="s">
        <v>5191</v>
      </c>
      <c r="C2115" s="11" t="s">
        <v>402</v>
      </c>
      <c r="D2115" s="5" t="s">
        <v>58</v>
      </c>
      <c r="E2115" s="5" t="s">
        <v>59</v>
      </c>
      <c r="F2115" s="5"/>
      <c r="G2115" s="22" t="n">
        <f aca="false">ROUND(SUM(I2115:P2115),3)</f>
        <v>49.714</v>
      </c>
      <c r="H2115" s="5" t="str">
        <f aca="false">IF(G2115&gt;=評分方法!$C$16,"優先評估",IF(G2115&gt;=評分方法!$C$17,"列入候選",IF(G2115&gt;=評分方法!$C$18,"特定情境","不建議")))</f>
        <v>不建議</v>
      </c>
      <c r="I2115" s="15" t="n">
        <f aca="false">AE2115*評分方法!$C$5</f>
        <v>11.4</v>
      </c>
      <c r="J2115" s="15" t="n">
        <f aca="false">AF2115*評分方法!$C$6</f>
        <v>0</v>
      </c>
      <c r="K2115" s="15" t="n">
        <f aca="false">AG2115*評分方法!$C$7</f>
        <v>4.95</v>
      </c>
      <c r="L2115" s="15" t="n">
        <f aca="false">AH2115*評分方法!$C$8</f>
        <v>15</v>
      </c>
      <c r="M2115" s="15" t="n">
        <f aca="false">AI2115*評分方法!$C$9</f>
        <v>10</v>
      </c>
      <c r="N2115" s="15" t="n">
        <f aca="false">AJ2115*評分方法!$C$10</f>
        <v>5.864</v>
      </c>
      <c r="O2115" s="15" t="n">
        <f aca="false">AK2115*評分方法!$C$11</f>
        <v>2.5</v>
      </c>
      <c r="P2115" s="15" t="n">
        <f aca="false">AL2115*評分方法!$C$12</f>
        <v>0</v>
      </c>
      <c r="Q2115" s="6" t="n">
        <v>603803</v>
      </c>
      <c r="R2115" s="6" t="n">
        <v>334095363</v>
      </c>
      <c r="S2115" s="11" t="s">
        <v>238</v>
      </c>
      <c r="T2115" s="11" t="s">
        <v>239</v>
      </c>
      <c r="U2115" s="5" t="s">
        <v>240</v>
      </c>
      <c r="V2115" s="11" t="s">
        <v>261</v>
      </c>
      <c r="W2115" s="5" t="s">
        <v>334</v>
      </c>
      <c r="X2115" s="5" t="s">
        <v>242</v>
      </c>
      <c r="Y2115" s="5"/>
      <c r="Z2115" s="5"/>
      <c r="AA2115" s="11" t="s">
        <v>150</v>
      </c>
      <c r="AB2115" s="5" t="s">
        <v>245</v>
      </c>
      <c r="AC2115" s="5" t="s">
        <v>3044</v>
      </c>
      <c r="AD2115" s="11" t="s">
        <v>5192</v>
      </c>
      <c r="AE2115" s="23" t="n">
        <v>0.38</v>
      </c>
      <c r="AF2115" s="23" t="n">
        <v>0</v>
      </c>
      <c r="AG2115" s="23" t="n">
        <v>0.33</v>
      </c>
      <c r="AH2115" s="23" t="n">
        <v>1</v>
      </c>
      <c r="AI2115" s="23" t="n">
        <v>1</v>
      </c>
      <c r="AJ2115" s="23" t="n">
        <v>0.5864</v>
      </c>
      <c r="AK2115" s="23" t="n">
        <v>0.5</v>
      </c>
      <c r="AL2115" s="23" t="n">
        <v>0</v>
      </c>
      <c r="AM2115" s="16" t="n">
        <f aca="false">COUNTIFS($D$2:$D$2501,D2115,$G$2:$G$2501,"&gt;"&amp;G2115)+COUNTIFS($D$2:D2115,D2115,$G$2:G2115,G2115)</f>
        <v>313</v>
      </c>
      <c r="AN2115" s="5" t="str">
        <f aca="false">D2115&amp;"|"&amp;AM2115</f>
        <v>實體擷取與去識別化|313</v>
      </c>
    </row>
    <row r="2116" customFormat="false" ht="17.15" hidden="false" customHeight="false" outlineLevel="0" collapsed="false">
      <c r="A2116" s="16" t="n">
        <f aca="false">RANK(G2116,$G$2:$G$2501)+COUNTIF($G$2:G2116,G2116)-1</f>
        <v>2115</v>
      </c>
      <c r="B2116" s="11" t="s">
        <v>5193</v>
      </c>
      <c r="C2116" s="11" t="s">
        <v>402</v>
      </c>
      <c r="D2116" s="5" t="s">
        <v>58</v>
      </c>
      <c r="E2116" s="5" t="s">
        <v>59</v>
      </c>
      <c r="F2116" s="5"/>
      <c r="G2116" s="22" t="n">
        <f aca="false">ROUND(SUM(I2116:P2116),3)</f>
        <v>49.694</v>
      </c>
      <c r="H2116" s="5" t="str">
        <f aca="false">IF(G2116&gt;=評分方法!$C$16,"優先評估",IF(G2116&gt;=評分方法!$C$17,"列入候選",IF(G2116&gt;=評分方法!$C$18,"特定情境","不建議")))</f>
        <v>不建議</v>
      </c>
      <c r="I2116" s="15" t="n">
        <f aca="false">AE2116*評分方法!$C$5</f>
        <v>11.4</v>
      </c>
      <c r="J2116" s="15" t="n">
        <f aca="false">AF2116*評分方法!$C$6</f>
        <v>0</v>
      </c>
      <c r="K2116" s="15" t="n">
        <f aca="false">AG2116*評分方法!$C$7</f>
        <v>4.95</v>
      </c>
      <c r="L2116" s="15" t="n">
        <f aca="false">AH2116*評分方法!$C$8</f>
        <v>15</v>
      </c>
      <c r="M2116" s="15" t="n">
        <f aca="false">AI2116*評分方法!$C$9</f>
        <v>10</v>
      </c>
      <c r="N2116" s="15" t="n">
        <f aca="false">AJ2116*評分方法!$C$10</f>
        <v>5.844</v>
      </c>
      <c r="O2116" s="15" t="n">
        <f aca="false">AK2116*評分方法!$C$11</f>
        <v>2.5</v>
      </c>
      <c r="P2116" s="15" t="n">
        <f aca="false">AL2116*評分方法!$C$12</f>
        <v>0</v>
      </c>
      <c r="Q2116" s="6" t="n">
        <v>601813</v>
      </c>
      <c r="R2116" s="6" t="n">
        <v>108893955</v>
      </c>
      <c r="S2116" s="11" t="s">
        <v>238</v>
      </c>
      <c r="T2116" s="11" t="s">
        <v>239</v>
      </c>
      <c r="U2116" s="5" t="s">
        <v>240</v>
      </c>
      <c r="V2116" s="11" t="s">
        <v>261</v>
      </c>
      <c r="W2116" s="5" t="s">
        <v>334</v>
      </c>
      <c r="X2116" s="5" t="s">
        <v>242</v>
      </c>
      <c r="Y2116" s="5"/>
      <c r="Z2116" s="5"/>
      <c r="AA2116" s="11" t="s">
        <v>150</v>
      </c>
      <c r="AB2116" s="5" t="s">
        <v>245</v>
      </c>
      <c r="AC2116" s="5" t="s">
        <v>3044</v>
      </c>
      <c r="AD2116" s="11" t="s">
        <v>5194</v>
      </c>
      <c r="AE2116" s="23" t="n">
        <v>0.38</v>
      </c>
      <c r="AF2116" s="23" t="n">
        <v>0</v>
      </c>
      <c r="AG2116" s="23" t="n">
        <v>0.33</v>
      </c>
      <c r="AH2116" s="23" t="n">
        <v>1</v>
      </c>
      <c r="AI2116" s="23" t="n">
        <v>1</v>
      </c>
      <c r="AJ2116" s="23" t="n">
        <v>0.5844</v>
      </c>
      <c r="AK2116" s="23" t="n">
        <v>0.5</v>
      </c>
      <c r="AL2116" s="23" t="n">
        <v>0</v>
      </c>
      <c r="AM2116" s="16" t="n">
        <f aca="false">COUNTIFS($D$2:$D$2501,D2116,$G$2:$G$2501,"&gt;"&amp;G2116)+COUNTIFS($D$2:D2116,D2116,$G$2:G2116,G2116)</f>
        <v>314</v>
      </c>
      <c r="AN2116" s="5" t="str">
        <f aca="false">D2116&amp;"|"&amp;AM2116</f>
        <v>實體擷取與去識別化|314</v>
      </c>
    </row>
    <row r="2117" customFormat="false" ht="17.15" hidden="false" customHeight="false" outlineLevel="0" collapsed="false">
      <c r="A2117" s="16" t="n">
        <f aca="false">RANK(G2117,$G$2:$G$2501)+COUNTIF($G$2:G2117,G2117)-1</f>
        <v>2116</v>
      </c>
      <c r="B2117" s="11" t="s">
        <v>5195</v>
      </c>
      <c r="C2117" s="11" t="s">
        <v>3732</v>
      </c>
      <c r="D2117" s="5" t="s">
        <v>74</v>
      </c>
      <c r="E2117" s="5" t="s">
        <v>75</v>
      </c>
      <c r="F2117" s="5"/>
      <c r="G2117" s="22" t="n">
        <f aca="false">ROUND(SUM(I2117:P2117),3)</f>
        <v>49.666</v>
      </c>
      <c r="H2117" s="5" t="str">
        <f aca="false">IF(G2117&gt;=評分方法!$C$16,"優先評估",IF(G2117&gt;=評分方法!$C$17,"列入候選",IF(G2117&gt;=評分方法!$C$18,"特定情境","不建議")))</f>
        <v>不建議</v>
      </c>
      <c r="I2117" s="15" t="n">
        <f aca="false">AE2117*評分方法!$C$5</f>
        <v>10.5</v>
      </c>
      <c r="J2117" s="15" t="n">
        <f aca="false">AF2117*評分方法!$C$6</f>
        <v>0</v>
      </c>
      <c r="K2117" s="15" t="n">
        <f aca="false">AG2117*評分方法!$C$7</f>
        <v>10.05</v>
      </c>
      <c r="L2117" s="15" t="n">
        <f aca="false">AH2117*評分方法!$C$8</f>
        <v>15</v>
      </c>
      <c r="M2117" s="15" t="n">
        <f aca="false">AI2117*評分方法!$C$9</f>
        <v>10</v>
      </c>
      <c r="N2117" s="15" t="n">
        <f aca="false">AJ2117*評分方法!$C$10</f>
        <v>1.616</v>
      </c>
      <c r="O2117" s="15" t="n">
        <f aca="false">AK2117*評分方法!$C$11</f>
        <v>1</v>
      </c>
      <c r="P2117" s="15" t="n">
        <f aca="false">AL2117*評分方法!$C$12</f>
        <v>1.5</v>
      </c>
      <c r="Q2117" s="6" t="n">
        <v>185819</v>
      </c>
      <c r="R2117" s="6" t="n">
        <v>85804039</v>
      </c>
      <c r="S2117" s="11" t="s">
        <v>238</v>
      </c>
      <c r="T2117" s="11" t="s">
        <v>239</v>
      </c>
      <c r="U2117" s="5" t="s">
        <v>240</v>
      </c>
      <c r="V2117" s="11" t="s">
        <v>324</v>
      </c>
      <c r="W2117" s="5" t="s">
        <v>207</v>
      </c>
      <c r="X2117" s="5" t="s">
        <v>255</v>
      </c>
      <c r="Y2117" s="11" t="s">
        <v>3146</v>
      </c>
      <c r="Z2117" s="11" t="s">
        <v>270</v>
      </c>
      <c r="AA2117" s="11" t="s">
        <v>172</v>
      </c>
      <c r="AB2117" s="5" t="s">
        <v>245</v>
      </c>
      <c r="AC2117" s="5"/>
      <c r="AD2117" s="11" t="s">
        <v>5196</v>
      </c>
      <c r="AE2117" s="23" t="n">
        <v>0.35</v>
      </c>
      <c r="AF2117" s="23" t="n">
        <v>0</v>
      </c>
      <c r="AG2117" s="23" t="n">
        <v>0.67</v>
      </c>
      <c r="AH2117" s="23" t="n">
        <v>1</v>
      </c>
      <c r="AI2117" s="23" t="n">
        <v>1</v>
      </c>
      <c r="AJ2117" s="23" t="n">
        <v>0.1616</v>
      </c>
      <c r="AK2117" s="23" t="n">
        <v>0.2</v>
      </c>
      <c r="AL2117" s="23" t="n">
        <v>0.3</v>
      </c>
      <c r="AM2117" s="16" t="n">
        <f aca="false">COUNTIFS($D$2:$D$2501,D2117,$G$2:$G$2501,"&gt;"&amp;G2117)+COUNTIFS($D$2:D2117,D2117,$G$2:G2117,G2117)</f>
        <v>286</v>
      </c>
      <c r="AN2117" s="5" t="str">
        <f aca="false">D2117&amp;"|"&amp;AM2117</f>
        <v>文件與影像辨識|286</v>
      </c>
    </row>
    <row r="2118" customFormat="false" ht="17.15" hidden="false" customHeight="false" outlineLevel="0" collapsed="false">
      <c r="A2118" s="16" t="n">
        <f aca="false">RANK(G2118,$G$2:$G$2501)+COUNTIF($G$2:G2118,G2118)-1</f>
        <v>2117</v>
      </c>
      <c r="B2118" s="11" t="s">
        <v>5197</v>
      </c>
      <c r="C2118" s="11" t="s">
        <v>402</v>
      </c>
      <c r="D2118" s="5" t="s">
        <v>58</v>
      </c>
      <c r="E2118" s="5" t="s">
        <v>59</v>
      </c>
      <c r="F2118" s="5"/>
      <c r="G2118" s="22" t="n">
        <f aca="false">ROUND(SUM(I2118:P2118),3)</f>
        <v>49.662</v>
      </c>
      <c r="H2118" s="5" t="str">
        <f aca="false">IF(G2118&gt;=評分方法!$C$16,"優先評估",IF(G2118&gt;=評分方法!$C$17,"列入候選",IF(G2118&gt;=評分方法!$C$18,"特定情境","不建議")))</f>
        <v>不建議</v>
      </c>
      <c r="I2118" s="15" t="n">
        <f aca="false">AE2118*評分方法!$C$5</f>
        <v>11.4</v>
      </c>
      <c r="J2118" s="15" t="n">
        <f aca="false">AF2118*評分方法!$C$6</f>
        <v>0</v>
      </c>
      <c r="K2118" s="15" t="n">
        <f aca="false">AG2118*評分方法!$C$7</f>
        <v>4.95</v>
      </c>
      <c r="L2118" s="15" t="n">
        <f aca="false">AH2118*評分方法!$C$8</f>
        <v>15</v>
      </c>
      <c r="M2118" s="15" t="n">
        <f aca="false">AI2118*評分方法!$C$9</f>
        <v>10</v>
      </c>
      <c r="N2118" s="15" t="n">
        <f aca="false">AJ2118*評分方法!$C$10</f>
        <v>5.812</v>
      </c>
      <c r="O2118" s="15" t="n">
        <f aca="false">AK2118*評分方法!$C$11</f>
        <v>2.5</v>
      </c>
      <c r="P2118" s="15" t="n">
        <f aca="false">AL2118*評分方法!$C$12</f>
        <v>0</v>
      </c>
      <c r="Q2118" s="6" t="n">
        <v>595638</v>
      </c>
      <c r="R2118" s="6" t="n">
        <v>334095363</v>
      </c>
      <c r="S2118" s="11" t="s">
        <v>238</v>
      </c>
      <c r="T2118" s="11" t="s">
        <v>239</v>
      </c>
      <c r="U2118" s="5" t="s">
        <v>240</v>
      </c>
      <c r="V2118" s="11" t="s">
        <v>261</v>
      </c>
      <c r="W2118" s="5" t="s">
        <v>334</v>
      </c>
      <c r="X2118" s="5" t="s">
        <v>242</v>
      </c>
      <c r="Y2118" s="5"/>
      <c r="Z2118" s="5"/>
      <c r="AA2118" s="11" t="s">
        <v>150</v>
      </c>
      <c r="AB2118" s="5" t="s">
        <v>245</v>
      </c>
      <c r="AC2118" s="5" t="s">
        <v>3044</v>
      </c>
      <c r="AD2118" s="11" t="s">
        <v>5198</v>
      </c>
      <c r="AE2118" s="23" t="n">
        <v>0.38</v>
      </c>
      <c r="AF2118" s="23" t="n">
        <v>0</v>
      </c>
      <c r="AG2118" s="23" t="n">
        <v>0.33</v>
      </c>
      <c r="AH2118" s="23" t="n">
        <v>1</v>
      </c>
      <c r="AI2118" s="23" t="n">
        <v>1</v>
      </c>
      <c r="AJ2118" s="23" t="n">
        <v>0.5812</v>
      </c>
      <c r="AK2118" s="23" t="n">
        <v>0.5</v>
      </c>
      <c r="AL2118" s="23" t="n">
        <v>0</v>
      </c>
      <c r="AM2118" s="16" t="n">
        <f aca="false">COUNTIFS($D$2:$D$2501,D2118,$G$2:$G$2501,"&gt;"&amp;G2118)+COUNTIFS($D$2:D2118,D2118,$G$2:G2118,G2118)</f>
        <v>315</v>
      </c>
      <c r="AN2118" s="5" t="str">
        <f aca="false">D2118&amp;"|"&amp;AM2118</f>
        <v>實體擷取與去識別化|315</v>
      </c>
    </row>
    <row r="2119" customFormat="false" ht="17.15" hidden="false" customHeight="false" outlineLevel="0" collapsed="false">
      <c r="A2119" s="16" t="n">
        <f aca="false">RANK(G2119,$G$2:$G$2501)+COUNTIF($G$2:G2119,G2119)-1</f>
        <v>2118</v>
      </c>
      <c r="B2119" s="11" t="s">
        <v>5199</v>
      </c>
      <c r="C2119" s="11" t="s">
        <v>5200</v>
      </c>
      <c r="D2119" s="5" t="s">
        <v>56</v>
      </c>
      <c r="E2119" s="5" t="s">
        <v>57</v>
      </c>
      <c r="F2119" s="5"/>
      <c r="G2119" s="22" t="n">
        <f aca="false">ROUND(SUM(I2119:P2119),3)</f>
        <v>49.654</v>
      </c>
      <c r="H2119" s="5" t="str">
        <f aca="false">IF(G2119&gt;=評分方法!$C$16,"優先評估",IF(G2119&gt;=評分方法!$C$17,"列入候選",IF(G2119&gt;=評分方法!$C$18,"特定情境","不建議")))</f>
        <v>不建議</v>
      </c>
      <c r="I2119" s="15" t="n">
        <f aca="false">AE2119*評分方法!$C$5</f>
        <v>18</v>
      </c>
      <c r="J2119" s="15" t="n">
        <f aca="false">AF2119*評分方法!$C$6</f>
        <v>0</v>
      </c>
      <c r="K2119" s="15" t="n">
        <f aca="false">AG2119*評分方法!$C$7</f>
        <v>4.95</v>
      </c>
      <c r="L2119" s="15" t="n">
        <f aca="false">AH2119*評分方法!$C$8</f>
        <v>15</v>
      </c>
      <c r="M2119" s="15" t="n">
        <f aca="false">AI2119*評分方法!$C$9</f>
        <v>2</v>
      </c>
      <c r="N2119" s="15" t="n">
        <f aca="false">AJ2119*評分方法!$C$10</f>
        <v>7.204</v>
      </c>
      <c r="O2119" s="15" t="n">
        <f aca="false">AK2119*評分方法!$C$11</f>
        <v>1</v>
      </c>
      <c r="P2119" s="15" t="n">
        <f aca="false">AL2119*評分方法!$C$12</f>
        <v>1.5</v>
      </c>
      <c r="Q2119" s="6" t="n">
        <v>998327</v>
      </c>
      <c r="R2119" s="6" t="n">
        <v>13698306</v>
      </c>
      <c r="S2119" s="11" t="s">
        <v>238</v>
      </c>
      <c r="T2119" s="5"/>
      <c r="U2119" s="5" t="s">
        <v>375</v>
      </c>
      <c r="V2119" s="11" t="s">
        <v>855</v>
      </c>
      <c r="W2119" s="5" t="s">
        <v>334</v>
      </c>
      <c r="X2119" s="5" t="s">
        <v>255</v>
      </c>
      <c r="Y2119" s="5"/>
      <c r="Z2119" s="5"/>
      <c r="AA2119" s="11" t="s">
        <v>159</v>
      </c>
      <c r="AB2119" s="5" t="s">
        <v>245</v>
      </c>
      <c r="AC2119" s="5" t="s">
        <v>262</v>
      </c>
      <c r="AD2119" s="11" t="s">
        <v>5201</v>
      </c>
      <c r="AE2119" s="23" t="n">
        <v>0.6</v>
      </c>
      <c r="AF2119" s="23" t="n">
        <v>0</v>
      </c>
      <c r="AG2119" s="23" t="n">
        <v>0.33</v>
      </c>
      <c r="AH2119" s="23" t="n">
        <v>1</v>
      </c>
      <c r="AI2119" s="23" t="n">
        <v>0.2</v>
      </c>
      <c r="AJ2119" s="23" t="n">
        <v>0.7204</v>
      </c>
      <c r="AK2119" s="23" t="n">
        <v>0.2</v>
      </c>
      <c r="AL2119" s="23" t="n">
        <v>0.3</v>
      </c>
      <c r="AM2119" s="16" t="n">
        <f aca="false">COUNTIFS($D$2:$D$2501,D2119,$G$2:$G$2501,"&gt;"&amp;G2119)+COUNTIFS($D$2:D2119,D2119,$G$2:G2119,G2119)</f>
        <v>943</v>
      </c>
      <c r="AN2119" s="5" t="str">
        <f aca="false">D2119&amp;"|"&amp;AM2119</f>
        <v>分析與報告生成|943</v>
      </c>
    </row>
    <row r="2120" customFormat="false" ht="17.15" hidden="false" customHeight="false" outlineLevel="0" collapsed="false">
      <c r="A2120" s="16" t="n">
        <f aca="false">RANK(G2120,$G$2:$G$2501)+COUNTIF($G$2:G2120,G2120)-1</f>
        <v>2119</v>
      </c>
      <c r="B2120" s="11" t="s">
        <v>5202</v>
      </c>
      <c r="C2120" s="11" t="s">
        <v>5203</v>
      </c>
      <c r="D2120" s="5" t="s">
        <v>54</v>
      </c>
      <c r="E2120" s="5" t="s">
        <v>55</v>
      </c>
      <c r="F2120" s="5"/>
      <c r="G2120" s="22" t="n">
        <f aca="false">ROUND(SUM(I2120:P2120),3)</f>
        <v>49.642</v>
      </c>
      <c r="H2120" s="5" t="str">
        <f aca="false">IF(G2120&gt;=評分方法!$C$16,"優先評估",IF(G2120&gt;=評分方法!$C$17,"列入候選",IF(G2120&gt;=評分方法!$C$18,"特定情境","不建議")))</f>
        <v>不建議</v>
      </c>
      <c r="I2120" s="15" t="n">
        <f aca="false">AE2120*評分方法!$C$5</f>
        <v>16.2</v>
      </c>
      <c r="J2120" s="15" t="n">
        <f aca="false">AF2120*評分方法!$C$6</f>
        <v>0</v>
      </c>
      <c r="K2120" s="15" t="n">
        <f aca="false">AG2120*評分方法!$C$7</f>
        <v>4.95</v>
      </c>
      <c r="L2120" s="15" t="n">
        <f aca="false">AH2120*評分方法!$C$8</f>
        <v>15</v>
      </c>
      <c r="M2120" s="15" t="n">
        <f aca="false">AI2120*評分方法!$C$9</f>
        <v>10</v>
      </c>
      <c r="N2120" s="15" t="n">
        <f aca="false">AJ2120*評分方法!$C$10</f>
        <v>2.492</v>
      </c>
      <c r="O2120" s="15" t="n">
        <f aca="false">AK2120*評分方法!$C$11</f>
        <v>1</v>
      </c>
      <c r="P2120" s="15" t="n">
        <f aca="false">AL2120*評分方法!$C$12</f>
        <v>0</v>
      </c>
      <c r="Q2120" s="6" t="n">
        <v>249545</v>
      </c>
      <c r="R2120" s="6" t="n">
        <v>237556736</v>
      </c>
      <c r="S2120" s="11" t="s">
        <v>238</v>
      </c>
      <c r="T2120" s="11" t="s">
        <v>1636</v>
      </c>
      <c r="U2120" s="5" t="s">
        <v>240</v>
      </c>
      <c r="V2120" s="11" t="s">
        <v>324</v>
      </c>
      <c r="W2120" s="5" t="s">
        <v>334</v>
      </c>
      <c r="X2120" s="5" t="s">
        <v>242</v>
      </c>
      <c r="Y2120" s="5"/>
      <c r="Z2120" s="5"/>
      <c r="AA2120" s="11" t="s">
        <v>152</v>
      </c>
      <c r="AB2120" s="5" t="s">
        <v>245</v>
      </c>
      <c r="AC2120" s="5" t="s">
        <v>1463</v>
      </c>
      <c r="AD2120" s="11" t="s">
        <v>5204</v>
      </c>
      <c r="AE2120" s="23" t="n">
        <v>0.54</v>
      </c>
      <c r="AF2120" s="23" t="n">
        <v>0</v>
      </c>
      <c r="AG2120" s="23" t="n">
        <v>0.33</v>
      </c>
      <c r="AH2120" s="23" t="n">
        <v>1</v>
      </c>
      <c r="AI2120" s="23" t="n">
        <v>1</v>
      </c>
      <c r="AJ2120" s="23" t="n">
        <v>0.2492</v>
      </c>
      <c r="AK2120" s="23" t="n">
        <v>0.2</v>
      </c>
      <c r="AL2120" s="23" t="n">
        <v>0</v>
      </c>
      <c r="AM2120" s="16" t="n">
        <f aca="false">COUNTIFS($D$2:$D$2501,D2120,$G$2:$G$2501,"&gt;"&amp;G2120)+COUNTIFS($D$2:D2120,D2120,$G$2:G2120,G2120)</f>
        <v>259</v>
      </c>
      <c r="AN2120" s="5" t="str">
        <f aca="false">D2120&amp;"|"&amp;AM2120</f>
        <v>檢索與情資關聯|259</v>
      </c>
    </row>
    <row r="2121" customFormat="false" ht="17.15" hidden="false" customHeight="false" outlineLevel="0" collapsed="false">
      <c r="A2121" s="16" t="n">
        <f aca="false">RANK(G2121,$G$2:$G$2501)+COUNTIF($G$2:G2121,G2121)-1</f>
        <v>2120</v>
      </c>
      <c r="B2121" s="11" t="s">
        <v>5205</v>
      </c>
      <c r="C2121" s="11" t="s">
        <v>402</v>
      </c>
      <c r="D2121" s="5" t="s">
        <v>58</v>
      </c>
      <c r="E2121" s="5" t="s">
        <v>59</v>
      </c>
      <c r="F2121" s="5"/>
      <c r="G2121" s="22" t="n">
        <f aca="false">ROUND(SUM(I2121:P2121),3)</f>
        <v>49.626</v>
      </c>
      <c r="H2121" s="5" t="str">
        <f aca="false">IF(G2121&gt;=評分方法!$C$16,"優先評估",IF(G2121&gt;=評分方法!$C$17,"列入候選",IF(G2121&gt;=評分方法!$C$18,"特定情境","不建議")))</f>
        <v>不建議</v>
      </c>
      <c r="I2121" s="15" t="n">
        <f aca="false">AE2121*評分方法!$C$5</f>
        <v>11.4</v>
      </c>
      <c r="J2121" s="15" t="n">
        <f aca="false">AF2121*評分方法!$C$6</f>
        <v>0</v>
      </c>
      <c r="K2121" s="15" t="n">
        <f aca="false">AG2121*評分方法!$C$7</f>
        <v>4.95</v>
      </c>
      <c r="L2121" s="15" t="n">
        <f aca="false">AH2121*評分方法!$C$8</f>
        <v>15</v>
      </c>
      <c r="M2121" s="15" t="n">
        <f aca="false">AI2121*評分方法!$C$9</f>
        <v>10</v>
      </c>
      <c r="N2121" s="15" t="n">
        <f aca="false">AJ2121*評分方法!$C$10</f>
        <v>5.776</v>
      </c>
      <c r="O2121" s="15" t="n">
        <f aca="false">AK2121*評分方法!$C$11</f>
        <v>2.5</v>
      </c>
      <c r="P2121" s="15" t="n">
        <f aca="false">AL2121*評分方法!$C$12</f>
        <v>0</v>
      </c>
      <c r="Q2121" s="6" t="n">
        <v>594831</v>
      </c>
      <c r="R2121" s="6" t="n">
        <v>334095363</v>
      </c>
      <c r="S2121" s="11" t="s">
        <v>238</v>
      </c>
      <c r="T2121" s="11" t="s">
        <v>239</v>
      </c>
      <c r="U2121" s="5" t="s">
        <v>240</v>
      </c>
      <c r="V2121" s="11" t="s">
        <v>261</v>
      </c>
      <c r="W2121" s="5" t="s">
        <v>334</v>
      </c>
      <c r="X2121" s="5" t="s">
        <v>242</v>
      </c>
      <c r="Y2121" s="5"/>
      <c r="Z2121" s="5"/>
      <c r="AA2121" s="11" t="s">
        <v>150</v>
      </c>
      <c r="AB2121" s="5" t="s">
        <v>245</v>
      </c>
      <c r="AC2121" s="5" t="s">
        <v>3044</v>
      </c>
      <c r="AD2121" s="11" t="s">
        <v>5206</v>
      </c>
      <c r="AE2121" s="23" t="n">
        <v>0.38</v>
      </c>
      <c r="AF2121" s="23" t="n">
        <v>0</v>
      </c>
      <c r="AG2121" s="23" t="n">
        <v>0.33</v>
      </c>
      <c r="AH2121" s="23" t="n">
        <v>1</v>
      </c>
      <c r="AI2121" s="23" t="n">
        <v>1</v>
      </c>
      <c r="AJ2121" s="23" t="n">
        <v>0.5776</v>
      </c>
      <c r="AK2121" s="23" t="n">
        <v>0.5</v>
      </c>
      <c r="AL2121" s="23" t="n">
        <v>0</v>
      </c>
      <c r="AM2121" s="16" t="n">
        <f aca="false">COUNTIFS($D$2:$D$2501,D2121,$G$2:$G$2501,"&gt;"&amp;G2121)+COUNTIFS($D$2:D2121,D2121,$G$2:G2121,G2121)</f>
        <v>316</v>
      </c>
      <c r="AN2121" s="5" t="str">
        <f aca="false">D2121&amp;"|"&amp;AM2121</f>
        <v>實體擷取與去識別化|316</v>
      </c>
    </row>
    <row r="2122" customFormat="false" ht="17.15" hidden="false" customHeight="false" outlineLevel="0" collapsed="false">
      <c r="A2122" s="16" t="n">
        <f aca="false">RANK(G2122,$G$2:$G$2501)+COUNTIF($G$2:G2122,G2122)-1</f>
        <v>2121</v>
      </c>
      <c r="B2122" s="11" t="s">
        <v>5207</v>
      </c>
      <c r="C2122" s="11" t="s">
        <v>402</v>
      </c>
      <c r="D2122" s="5" t="s">
        <v>58</v>
      </c>
      <c r="E2122" s="5" t="s">
        <v>59</v>
      </c>
      <c r="F2122" s="5"/>
      <c r="G2122" s="22" t="n">
        <f aca="false">ROUND(SUM(I2122:P2122),3)</f>
        <v>49.578</v>
      </c>
      <c r="H2122" s="5" t="str">
        <f aca="false">IF(G2122&gt;=評分方法!$C$16,"優先評估",IF(G2122&gt;=評分方法!$C$17,"列入候選",IF(G2122&gt;=評分方法!$C$18,"特定情境","不建議")))</f>
        <v>不建議</v>
      </c>
      <c r="I2122" s="15" t="n">
        <f aca="false">AE2122*評分方法!$C$5</f>
        <v>11.4</v>
      </c>
      <c r="J2122" s="15" t="n">
        <f aca="false">AF2122*評分方法!$C$6</f>
        <v>0</v>
      </c>
      <c r="K2122" s="15" t="n">
        <f aca="false">AG2122*評分方法!$C$7</f>
        <v>4.95</v>
      </c>
      <c r="L2122" s="15" t="n">
        <f aca="false">AH2122*評分方法!$C$8</f>
        <v>15</v>
      </c>
      <c r="M2122" s="15" t="n">
        <f aca="false">AI2122*評分方法!$C$9</f>
        <v>10</v>
      </c>
      <c r="N2122" s="15" t="n">
        <f aca="false">AJ2122*評分方法!$C$10</f>
        <v>5.728</v>
      </c>
      <c r="O2122" s="15" t="n">
        <f aca="false">AK2122*評分方法!$C$11</f>
        <v>2.5</v>
      </c>
      <c r="P2122" s="15" t="n">
        <f aca="false">AL2122*評分方法!$C$12</f>
        <v>0</v>
      </c>
      <c r="Q2122" s="6" t="n">
        <v>590862</v>
      </c>
      <c r="R2122" s="6" t="n">
        <v>334103563</v>
      </c>
      <c r="S2122" s="11" t="s">
        <v>238</v>
      </c>
      <c r="T2122" s="11" t="s">
        <v>239</v>
      </c>
      <c r="U2122" s="5" t="s">
        <v>240</v>
      </c>
      <c r="V2122" s="11" t="s">
        <v>261</v>
      </c>
      <c r="W2122" s="5" t="s">
        <v>334</v>
      </c>
      <c r="X2122" s="5" t="s">
        <v>242</v>
      </c>
      <c r="Y2122" s="5"/>
      <c r="Z2122" s="5"/>
      <c r="AA2122" s="11" t="s">
        <v>150</v>
      </c>
      <c r="AB2122" s="5" t="s">
        <v>245</v>
      </c>
      <c r="AC2122" s="5" t="s">
        <v>3044</v>
      </c>
      <c r="AD2122" s="11" t="s">
        <v>5208</v>
      </c>
      <c r="AE2122" s="23" t="n">
        <v>0.38</v>
      </c>
      <c r="AF2122" s="23" t="n">
        <v>0</v>
      </c>
      <c r="AG2122" s="23" t="n">
        <v>0.33</v>
      </c>
      <c r="AH2122" s="23" t="n">
        <v>1</v>
      </c>
      <c r="AI2122" s="23" t="n">
        <v>1</v>
      </c>
      <c r="AJ2122" s="23" t="n">
        <v>0.5728</v>
      </c>
      <c r="AK2122" s="23" t="n">
        <v>0.5</v>
      </c>
      <c r="AL2122" s="23" t="n">
        <v>0</v>
      </c>
      <c r="AM2122" s="16" t="n">
        <f aca="false">COUNTIFS($D$2:$D$2501,D2122,$G$2:$G$2501,"&gt;"&amp;G2122)+COUNTIFS($D$2:D2122,D2122,$G$2:G2122,G2122)</f>
        <v>317</v>
      </c>
      <c r="AN2122" s="5" t="str">
        <f aca="false">D2122&amp;"|"&amp;AM2122</f>
        <v>實體擷取與去識別化|317</v>
      </c>
    </row>
    <row r="2123" customFormat="false" ht="17.15" hidden="false" customHeight="false" outlineLevel="0" collapsed="false">
      <c r="A2123" s="16" t="n">
        <f aca="false">RANK(G2123,$G$2:$G$2501)+COUNTIF($G$2:G2123,G2123)-1</f>
        <v>2122</v>
      </c>
      <c r="B2123" s="11" t="s">
        <v>5209</v>
      </c>
      <c r="C2123" s="11" t="s">
        <v>5210</v>
      </c>
      <c r="D2123" s="5" t="s">
        <v>54</v>
      </c>
      <c r="E2123" s="5" t="s">
        <v>55</v>
      </c>
      <c r="F2123" s="5"/>
      <c r="G2123" s="22" t="n">
        <f aca="false">ROUND(SUM(I2123:P2123),3)</f>
        <v>49.578</v>
      </c>
      <c r="H2123" s="5" t="str">
        <f aca="false">IF(G2123&gt;=評分方法!$C$16,"優先評估",IF(G2123&gt;=評分方法!$C$17,"列入候選",IF(G2123&gt;=評分方法!$C$18,"特定情境","不建議")))</f>
        <v>不建議</v>
      </c>
      <c r="I2123" s="15" t="n">
        <f aca="false">AE2123*評分方法!$C$5</f>
        <v>16.2</v>
      </c>
      <c r="J2123" s="15" t="n">
        <f aca="false">AF2123*評分方法!$C$6</f>
        <v>0</v>
      </c>
      <c r="K2123" s="15" t="n">
        <f aca="false">AG2123*評分方法!$C$7</f>
        <v>4.95</v>
      </c>
      <c r="L2123" s="15" t="n">
        <f aca="false">AH2123*評分方法!$C$8</f>
        <v>15</v>
      </c>
      <c r="M2123" s="15" t="n">
        <f aca="false">AI2123*評分方法!$C$9</f>
        <v>10</v>
      </c>
      <c r="N2123" s="15" t="n">
        <f aca="false">AJ2123*評分方法!$C$10</f>
        <v>0.928</v>
      </c>
      <c r="O2123" s="15" t="n">
        <f aca="false">AK2123*評分方法!$C$11</f>
        <v>2.5</v>
      </c>
      <c r="P2123" s="15" t="n">
        <f aca="false">AL2123*評分方法!$C$12</f>
        <v>0</v>
      </c>
      <c r="Q2123" s="6" t="n">
        <v>150729</v>
      </c>
      <c r="R2123" s="6" t="n">
        <v>109928192</v>
      </c>
      <c r="S2123" s="11" t="s">
        <v>238</v>
      </c>
      <c r="T2123" s="11" t="s">
        <v>278</v>
      </c>
      <c r="U2123" s="5" t="s">
        <v>240</v>
      </c>
      <c r="V2123" s="11" t="s">
        <v>324</v>
      </c>
      <c r="W2123" s="5" t="s">
        <v>334</v>
      </c>
      <c r="X2123" s="5" t="s">
        <v>242</v>
      </c>
      <c r="Y2123" s="5"/>
      <c r="Z2123" s="5"/>
      <c r="AA2123" s="11" t="s">
        <v>152</v>
      </c>
      <c r="AB2123" s="5" t="s">
        <v>245</v>
      </c>
      <c r="AC2123" s="5" t="s">
        <v>1463</v>
      </c>
      <c r="AD2123" s="11" t="s">
        <v>5211</v>
      </c>
      <c r="AE2123" s="23" t="n">
        <v>0.54</v>
      </c>
      <c r="AF2123" s="23" t="n">
        <v>0</v>
      </c>
      <c r="AG2123" s="23" t="n">
        <v>0.33</v>
      </c>
      <c r="AH2123" s="23" t="n">
        <v>1</v>
      </c>
      <c r="AI2123" s="23" t="n">
        <v>1</v>
      </c>
      <c r="AJ2123" s="23" t="n">
        <v>0.0928</v>
      </c>
      <c r="AK2123" s="23" t="n">
        <v>0.5</v>
      </c>
      <c r="AL2123" s="23" t="n">
        <v>0</v>
      </c>
      <c r="AM2123" s="16" t="n">
        <f aca="false">COUNTIFS($D$2:$D$2501,D2123,$G$2:$G$2501,"&gt;"&amp;G2123)+COUNTIFS($D$2:D2123,D2123,$G$2:G2123,G2123)</f>
        <v>260</v>
      </c>
      <c r="AN2123" s="5" t="str">
        <f aca="false">D2123&amp;"|"&amp;AM2123</f>
        <v>檢索與情資關聯|260</v>
      </c>
    </row>
    <row r="2124" customFormat="false" ht="17.15" hidden="false" customHeight="false" outlineLevel="0" collapsed="false">
      <c r="A2124" s="16" t="n">
        <f aca="false">RANK(G2124,$G$2:$G$2501)+COUNTIF($G$2:G2124,G2124)-1</f>
        <v>2123</v>
      </c>
      <c r="B2124" s="11" t="s">
        <v>5212</v>
      </c>
      <c r="C2124" s="11" t="s">
        <v>5213</v>
      </c>
      <c r="D2124" s="5" t="s">
        <v>56</v>
      </c>
      <c r="E2124" s="5" t="s">
        <v>57</v>
      </c>
      <c r="F2124" s="5"/>
      <c r="G2124" s="22" t="n">
        <f aca="false">ROUND(SUM(I2124:P2124),3)</f>
        <v>49.574</v>
      </c>
      <c r="H2124" s="5" t="str">
        <f aca="false">IF(G2124&gt;=評分方法!$C$16,"優先評估",IF(G2124&gt;=評分方法!$C$17,"列入候選",IF(G2124&gt;=評分方法!$C$18,"特定情境","不建議")))</f>
        <v>不建議</v>
      </c>
      <c r="I2124" s="15" t="n">
        <f aca="false">AE2124*評分方法!$C$5</f>
        <v>18</v>
      </c>
      <c r="J2124" s="15" t="n">
        <f aca="false">AF2124*評分方法!$C$6</f>
        <v>0</v>
      </c>
      <c r="K2124" s="15" t="n">
        <f aca="false">AG2124*評分方法!$C$7</f>
        <v>4.95</v>
      </c>
      <c r="L2124" s="15" t="n">
        <f aca="false">AH2124*評分方法!$C$8</f>
        <v>15</v>
      </c>
      <c r="M2124" s="15" t="n">
        <f aca="false">AI2124*評分方法!$C$9</f>
        <v>10</v>
      </c>
      <c r="N2124" s="15" t="n">
        <f aca="false">AJ2124*評分方法!$C$10</f>
        <v>0.624</v>
      </c>
      <c r="O2124" s="15" t="n">
        <f aca="false">AK2124*評分方法!$C$11</f>
        <v>1</v>
      </c>
      <c r="P2124" s="15" t="n">
        <f aca="false">AL2124*評分方法!$C$12</f>
        <v>0</v>
      </c>
      <c r="Q2124" s="6" t="n">
        <v>138534</v>
      </c>
      <c r="R2124" s="6" t="n">
        <v>24582914</v>
      </c>
      <c r="S2124" s="11" t="s">
        <v>238</v>
      </c>
      <c r="T2124" s="11" t="s">
        <v>278</v>
      </c>
      <c r="U2124" s="5" t="s">
        <v>240</v>
      </c>
      <c r="V2124" s="11" t="s">
        <v>288</v>
      </c>
      <c r="W2124" s="5" t="s">
        <v>334</v>
      </c>
      <c r="X2124" s="5" t="s">
        <v>242</v>
      </c>
      <c r="Y2124" s="5"/>
      <c r="Z2124" s="5"/>
      <c r="AA2124" s="11" t="s">
        <v>159</v>
      </c>
      <c r="AB2124" s="5" t="s">
        <v>245</v>
      </c>
      <c r="AC2124" s="5"/>
      <c r="AD2124" s="11" t="s">
        <v>5214</v>
      </c>
      <c r="AE2124" s="23" t="n">
        <v>0.6</v>
      </c>
      <c r="AF2124" s="23" t="n">
        <v>0</v>
      </c>
      <c r="AG2124" s="23" t="n">
        <v>0.33</v>
      </c>
      <c r="AH2124" s="23" t="n">
        <v>1</v>
      </c>
      <c r="AI2124" s="23" t="n">
        <v>1</v>
      </c>
      <c r="AJ2124" s="23" t="n">
        <v>0.0624</v>
      </c>
      <c r="AK2124" s="23" t="n">
        <v>0.2</v>
      </c>
      <c r="AL2124" s="23" t="n">
        <v>0</v>
      </c>
      <c r="AM2124" s="16" t="n">
        <f aca="false">COUNTIFS($D$2:$D$2501,D2124,$G$2:$G$2501,"&gt;"&amp;G2124)+COUNTIFS($D$2:D2124,D2124,$G$2:G2124,G2124)</f>
        <v>944</v>
      </c>
      <c r="AN2124" s="5" t="str">
        <f aca="false">D2124&amp;"|"&amp;AM2124</f>
        <v>分析與報告生成|944</v>
      </c>
    </row>
    <row r="2125" customFormat="false" ht="17.15" hidden="false" customHeight="false" outlineLevel="0" collapsed="false">
      <c r="A2125" s="16" t="n">
        <f aca="false">RANK(G2125,$G$2:$G$2501)+COUNTIF($G$2:G2125,G2125)-1</f>
        <v>2124</v>
      </c>
      <c r="B2125" s="11" t="s">
        <v>5215</v>
      </c>
      <c r="C2125" s="11" t="s">
        <v>402</v>
      </c>
      <c r="D2125" s="5" t="s">
        <v>58</v>
      </c>
      <c r="E2125" s="5" t="s">
        <v>59</v>
      </c>
      <c r="F2125" s="5"/>
      <c r="G2125" s="22" t="n">
        <f aca="false">ROUND(SUM(I2125:P2125),3)</f>
        <v>49.53</v>
      </c>
      <c r="H2125" s="5" t="str">
        <f aca="false">IF(G2125&gt;=評分方法!$C$16,"優先評估",IF(G2125&gt;=評分方法!$C$17,"列入候選",IF(G2125&gt;=評分方法!$C$18,"特定情境","不建議")))</f>
        <v>不建議</v>
      </c>
      <c r="I2125" s="15" t="n">
        <f aca="false">AE2125*評分方法!$C$5</f>
        <v>11.4</v>
      </c>
      <c r="J2125" s="15" t="n">
        <f aca="false">AF2125*評分方法!$C$6</f>
        <v>0</v>
      </c>
      <c r="K2125" s="15" t="n">
        <f aca="false">AG2125*評分方法!$C$7</f>
        <v>4.95</v>
      </c>
      <c r="L2125" s="15" t="n">
        <f aca="false">AH2125*評分方法!$C$8</f>
        <v>15</v>
      </c>
      <c r="M2125" s="15" t="n">
        <f aca="false">AI2125*評分方法!$C$9</f>
        <v>10</v>
      </c>
      <c r="N2125" s="15" t="n">
        <f aca="false">AJ2125*評分方法!$C$10</f>
        <v>5.68</v>
      </c>
      <c r="O2125" s="15" t="n">
        <f aca="false">AK2125*評分方法!$C$11</f>
        <v>2.5</v>
      </c>
      <c r="P2125" s="15" t="n">
        <f aca="false">AL2125*評分方法!$C$12</f>
        <v>0</v>
      </c>
      <c r="Q2125" s="6" t="n">
        <v>588257</v>
      </c>
      <c r="R2125" s="6" t="n">
        <v>334095363</v>
      </c>
      <c r="S2125" s="11" t="s">
        <v>238</v>
      </c>
      <c r="T2125" s="11" t="s">
        <v>239</v>
      </c>
      <c r="U2125" s="5" t="s">
        <v>240</v>
      </c>
      <c r="V2125" s="11" t="s">
        <v>261</v>
      </c>
      <c r="W2125" s="5" t="s">
        <v>334</v>
      </c>
      <c r="X2125" s="5" t="s">
        <v>242</v>
      </c>
      <c r="Y2125" s="5"/>
      <c r="Z2125" s="5"/>
      <c r="AA2125" s="11" t="s">
        <v>150</v>
      </c>
      <c r="AB2125" s="5" t="s">
        <v>245</v>
      </c>
      <c r="AC2125" s="5" t="s">
        <v>3044</v>
      </c>
      <c r="AD2125" s="11" t="s">
        <v>5216</v>
      </c>
      <c r="AE2125" s="23" t="n">
        <v>0.38</v>
      </c>
      <c r="AF2125" s="23" t="n">
        <v>0</v>
      </c>
      <c r="AG2125" s="23" t="n">
        <v>0.33</v>
      </c>
      <c r="AH2125" s="23" t="n">
        <v>1</v>
      </c>
      <c r="AI2125" s="23" t="n">
        <v>1</v>
      </c>
      <c r="AJ2125" s="23" t="n">
        <v>0.568</v>
      </c>
      <c r="AK2125" s="23" t="n">
        <v>0.5</v>
      </c>
      <c r="AL2125" s="23" t="n">
        <v>0</v>
      </c>
      <c r="AM2125" s="16" t="n">
        <f aca="false">COUNTIFS($D$2:$D$2501,D2125,$G$2:$G$2501,"&gt;"&amp;G2125)+COUNTIFS($D$2:D2125,D2125,$G$2:G2125,G2125)</f>
        <v>318</v>
      </c>
      <c r="AN2125" s="5" t="str">
        <f aca="false">D2125&amp;"|"&amp;AM2125</f>
        <v>實體擷取與去識別化|318</v>
      </c>
    </row>
    <row r="2126" customFormat="false" ht="17.15" hidden="false" customHeight="false" outlineLevel="0" collapsed="false">
      <c r="A2126" s="16" t="n">
        <f aca="false">RANK(G2126,$G$2:$G$2501)+COUNTIF($G$2:G2126,G2126)-1</f>
        <v>2125</v>
      </c>
      <c r="B2126" s="11" t="s">
        <v>5217</v>
      </c>
      <c r="C2126" s="11" t="s">
        <v>4655</v>
      </c>
      <c r="D2126" s="5" t="s">
        <v>56</v>
      </c>
      <c r="E2126" s="5" t="s">
        <v>57</v>
      </c>
      <c r="F2126" s="5"/>
      <c r="G2126" s="22" t="n">
        <f aca="false">ROUND(SUM(I2126:P2126),3)</f>
        <v>49.524</v>
      </c>
      <c r="H2126" s="5" t="str">
        <f aca="false">IF(G2126&gt;=評分方法!$C$16,"優先評估",IF(G2126&gt;=評分方法!$C$17,"列入候選",IF(G2126&gt;=評分方法!$C$18,"特定情境","不建議")))</f>
        <v>不建議</v>
      </c>
      <c r="I2126" s="15" t="n">
        <f aca="false">AE2126*評分方法!$C$5</f>
        <v>25.5</v>
      </c>
      <c r="J2126" s="15" t="n">
        <f aca="false">AF2126*評分方法!$C$6</f>
        <v>0</v>
      </c>
      <c r="K2126" s="15" t="n">
        <f aca="false">AG2126*評分方法!$C$7</f>
        <v>4.95</v>
      </c>
      <c r="L2126" s="15" t="n">
        <f aca="false">AH2126*評分方法!$C$8</f>
        <v>1.95</v>
      </c>
      <c r="M2126" s="15" t="n">
        <f aca="false">AI2126*評分方法!$C$9</f>
        <v>6</v>
      </c>
      <c r="N2126" s="15" t="n">
        <f aca="false">AJ2126*評分方法!$C$10</f>
        <v>3.624</v>
      </c>
      <c r="O2126" s="15" t="n">
        <f aca="false">AK2126*評分方法!$C$11</f>
        <v>2.5</v>
      </c>
      <c r="P2126" s="15" t="n">
        <f aca="false">AL2126*評分方法!$C$12</f>
        <v>5</v>
      </c>
      <c r="Q2126" s="6" t="n">
        <v>367640</v>
      </c>
      <c r="R2126" s="6" t="n">
        <v>122610069504</v>
      </c>
      <c r="S2126" s="11" t="s">
        <v>1616</v>
      </c>
      <c r="T2126" s="11" t="s">
        <v>185</v>
      </c>
      <c r="U2126" s="5" t="s">
        <v>260</v>
      </c>
      <c r="V2126" s="11" t="s">
        <v>261</v>
      </c>
      <c r="W2126" s="5" t="s">
        <v>334</v>
      </c>
      <c r="X2126" s="5" t="s">
        <v>284</v>
      </c>
      <c r="Y2126" s="11" t="s">
        <v>4977</v>
      </c>
      <c r="Z2126" s="11" t="s">
        <v>244</v>
      </c>
      <c r="AA2126" s="11" t="s">
        <v>155</v>
      </c>
      <c r="AB2126" s="5" t="s">
        <v>328</v>
      </c>
      <c r="AC2126" s="5" t="s">
        <v>3511</v>
      </c>
      <c r="AD2126" s="11" t="s">
        <v>5218</v>
      </c>
      <c r="AE2126" s="23" t="n">
        <v>0.85</v>
      </c>
      <c r="AF2126" s="23" t="n">
        <v>0</v>
      </c>
      <c r="AG2126" s="23" t="n">
        <v>0.33</v>
      </c>
      <c r="AH2126" s="23" t="n">
        <v>0.13</v>
      </c>
      <c r="AI2126" s="23" t="n">
        <v>0.6</v>
      </c>
      <c r="AJ2126" s="23" t="n">
        <v>0.3624</v>
      </c>
      <c r="AK2126" s="23" t="n">
        <v>0.5</v>
      </c>
      <c r="AL2126" s="23" t="n">
        <v>1</v>
      </c>
      <c r="AM2126" s="16" t="n">
        <f aca="false">COUNTIFS($D$2:$D$2501,D2126,$G$2:$G$2501,"&gt;"&amp;G2126)+COUNTIFS($D$2:D2126,D2126,$G$2:G2126,G2126)</f>
        <v>945</v>
      </c>
      <c r="AN2126" s="5" t="str">
        <f aca="false">D2126&amp;"|"&amp;AM2126</f>
        <v>分析與報告生成|945</v>
      </c>
    </row>
    <row r="2127" customFormat="false" ht="17.15" hidden="false" customHeight="false" outlineLevel="0" collapsed="false">
      <c r="A2127" s="16" t="n">
        <f aca="false">RANK(G2127,$G$2:$G$2501)+COUNTIF($G$2:G2127,G2127)-1</f>
        <v>2126</v>
      </c>
      <c r="B2127" s="11" t="s">
        <v>5219</v>
      </c>
      <c r="C2127" s="11" t="s">
        <v>5189</v>
      </c>
      <c r="D2127" s="5" t="s">
        <v>54</v>
      </c>
      <c r="E2127" s="5" t="s">
        <v>55</v>
      </c>
      <c r="F2127" s="5"/>
      <c r="G2127" s="22" t="n">
        <f aca="false">ROUND(SUM(I2127:P2127),3)</f>
        <v>49.522</v>
      </c>
      <c r="H2127" s="5" t="str">
        <f aca="false">IF(G2127&gt;=評分方法!$C$16,"優先評估",IF(G2127&gt;=評分方法!$C$17,"列入候選",IF(G2127&gt;=評分方法!$C$18,"特定情境","不建議")))</f>
        <v>不建議</v>
      </c>
      <c r="I2127" s="15" t="n">
        <f aca="false">AE2127*評分方法!$C$5</f>
        <v>16.2</v>
      </c>
      <c r="J2127" s="15" t="n">
        <f aca="false">AF2127*評分方法!$C$6</f>
        <v>0</v>
      </c>
      <c r="K2127" s="15" t="n">
        <f aca="false">AG2127*評分方法!$C$7</f>
        <v>4.95</v>
      </c>
      <c r="L2127" s="15" t="n">
        <f aca="false">AH2127*評分方法!$C$8</f>
        <v>15</v>
      </c>
      <c r="M2127" s="15" t="n">
        <f aca="false">AI2127*評分方法!$C$9</f>
        <v>10</v>
      </c>
      <c r="N2127" s="15" t="n">
        <f aca="false">AJ2127*評分方法!$C$10</f>
        <v>2.372</v>
      </c>
      <c r="O2127" s="15" t="n">
        <f aca="false">AK2127*評分方法!$C$11</f>
        <v>1</v>
      </c>
      <c r="P2127" s="15" t="n">
        <f aca="false">AL2127*評分方法!$C$12</f>
        <v>0</v>
      </c>
      <c r="Q2127" s="6" t="n">
        <v>238651</v>
      </c>
      <c r="R2127" s="6" t="n">
        <v>336662018</v>
      </c>
      <c r="S2127" s="11" t="s">
        <v>238</v>
      </c>
      <c r="T2127" s="11" t="s">
        <v>239</v>
      </c>
      <c r="U2127" s="5" t="s">
        <v>240</v>
      </c>
      <c r="V2127" s="11" t="s">
        <v>855</v>
      </c>
      <c r="W2127" s="5" t="s">
        <v>334</v>
      </c>
      <c r="X2127" s="5" t="s">
        <v>242</v>
      </c>
      <c r="Y2127" s="5"/>
      <c r="Z2127" s="5"/>
      <c r="AA2127" s="11" t="s">
        <v>152</v>
      </c>
      <c r="AB2127" s="5" t="s">
        <v>245</v>
      </c>
      <c r="AC2127" s="5" t="s">
        <v>1463</v>
      </c>
      <c r="AD2127" s="11" t="s">
        <v>5220</v>
      </c>
      <c r="AE2127" s="23" t="n">
        <v>0.54</v>
      </c>
      <c r="AF2127" s="23" t="n">
        <v>0</v>
      </c>
      <c r="AG2127" s="23" t="n">
        <v>0.33</v>
      </c>
      <c r="AH2127" s="23" t="n">
        <v>1</v>
      </c>
      <c r="AI2127" s="23" t="n">
        <v>1</v>
      </c>
      <c r="AJ2127" s="23" t="n">
        <v>0.2372</v>
      </c>
      <c r="AK2127" s="23" t="n">
        <v>0.2</v>
      </c>
      <c r="AL2127" s="23" t="n">
        <v>0</v>
      </c>
      <c r="AM2127" s="16" t="n">
        <f aca="false">COUNTIFS($D$2:$D$2501,D2127,$G$2:$G$2501,"&gt;"&amp;G2127)+COUNTIFS($D$2:D2127,D2127,$G$2:G2127,G2127)</f>
        <v>261</v>
      </c>
      <c r="AN2127" s="5" t="str">
        <f aca="false">D2127&amp;"|"&amp;AM2127</f>
        <v>檢索與情資關聯|261</v>
      </c>
    </row>
    <row r="2128" customFormat="false" ht="17.15" hidden="false" customHeight="false" outlineLevel="0" collapsed="false">
      <c r="A2128" s="16" t="n">
        <f aca="false">RANK(G2128,$G$2:$G$2501)+COUNTIF($G$2:G2128,G2128)-1</f>
        <v>2127</v>
      </c>
      <c r="B2128" s="11" t="s">
        <v>5221</v>
      </c>
      <c r="C2128" s="11" t="s">
        <v>5222</v>
      </c>
      <c r="D2128" s="5" t="s">
        <v>56</v>
      </c>
      <c r="E2128" s="5" t="s">
        <v>57</v>
      </c>
      <c r="F2128" s="5"/>
      <c r="G2128" s="22" t="n">
        <f aca="false">ROUND(SUM(I2128:P2128),3)</f>
        <v>49.504</v>
      </c>
      <c r="H2128" s="5" t="str">
        <f aca="false">IF(G2128&gt;=評分方法!$C$16,"優先評估",IF(G2128&gt;=評分方法!$C$17,"列入候選",IF(G2128&gt;=評分方法!$C$18,"特定情境","不建議")))</f>
        <v>不建議</v>
      </c>
      <c r="I2128" s="15" t="n">
        <f aca="false">AE2128*評分方法!$C$5</f>
        <v>15.3</v>
      </c>
      <c r="J2128" s="15" t="n">
        <f aca="false">AF2128*評分方法!$C$6</f>
        <v>0</v>
      </c>
      <c r="K2128" s="15" t="n">
        <f aca="false">AG2128*評分方法!$C$7</f>
        <v>4.95</v>
      </c>
      <c r="L2128" s="15" t="n">
        <f aca="false">AH2128*評分方法!$C$8</f>
        <v>13.05</v>
      </c>
      <c r="M2128" s="15" t="n">
        <f aca="false">AI2128*評分方法!$C$9</f>
        <v>6</v>
      </c>
      <c r="N2128" s="15" t="n">
        <f aca="false">AJ2128*評分方法!$C$10</f>
        <v>7.704</v>
      </c>
      <c r="O2128" s="15" t="n">
        <f aca="false">AK2128*評分方法!$C$11</f>
        <v>2.5</v>
      </c>
      <c r="P2128" s="15" t="n">
        <f aca="false">AL2128*評分方法!$C$12</f>
        <v>0</v>
      </c>
      <c r="Q2128" s="6" t="n">
        <v>1282742</v>
      </c>
      <c r="R2128" s="6" t="n">
        <v>1100048384</v>
      </c>
      <c r="S2128" s="11" t="s">
        <v>254</v>
      </c>
      <c r="T2128" s="11" t="s">
        <v>185</v>
      </c>
      <c r="U2128" s="5" t="s">
        <v>260</v>
      </c>
      <c r="V2128" s="11" t="s">
        <v>261</v>
      </c>
      <c r="W2128" s="5" t="s">
        <v>334</v>
      </c>
      <c r="X2128" s="5" t="s">
        <v>242</v>
      </c>
      <c r="Y2128" s="5"/>
      <c r="Z2128" s="5"/>
      <c r="AA2128" s="11" t="s">
        <v>155</v>
      </c>
      <c r="AB2128" s="5" t="s">
        <v>245</v>
      </c>
      <c r="AC2128" s="5" t="s">
        <v>4841</v>
      </c>
      <c r="AD2128" s="11" t="s">
        <v>5223</v>
      </c>
      <c r="AE2128" s="23" t="n">
        <v>0.51</v>
      </c>
      <c r="AF2128" s="23" t="n">
        <v>0</v>
      </c>
      <c r="AG2128" s="23" t="n">
        <v>0.33</v>
      </c>
      <c r="AH2128" s="23" t="n">
        <v>0.87</v>
      </c>
      <c r="AI2128" s="23" t="n">
        <v>0.6</v>
      </c>
      <c r="AJ2128" s="23" t="n">
        <v>0.7704</v>
      </c>
      <c r="AK2128" s="23" t="n">
        <v>0.5</v>
      </c>
      <c r="AL2128" s="23" t="n">
        <v>0</v>
      </c>
      <c r="AM2128" s="16" t="n">
        <f aca="false">COUNTIFS($D$2:$D$2501,D2128,$G$2:$G$2501,"&gt;"&amp;G2128)+COUNTIFS($D$2:D2128,D2128,$G$2:G2128,G2128)</f>
        <v>946</v>
      </c>
      <c r="AN2128" s="5" t="str">
        <f aca="false">D2128&amp;"|"&amp;AM2128</f>
        <v>分析與報告生成|946</v>
      </c>
    </row>
    <row r="2129" customFormat="false" ht="17.15" hidden="false" customHeight="false" outlineLevel="0" collapsed="false">
      <c r="A2129" s="16" t="n">
        <f aca="false">RANK(G2129,$G$2:$G$2501)+COUNTIF($G$2:G2129,G2129)-1</f>
        <v>2128</v>
      </c>
      <c r="B2129" s="11" t="s">
        <v>5224</v>
      </c>
      <c r="C2129" s="11" t="s">
        <v>1733</v>
      </c>
      <c r="D2129" s="5" t="s">
        <v>56</v>
      </c>
      <c r="E2129" s="5" t="s">
        <v>57</v>
      </c>
      <c r="F2129" s="5"/>
      <c r="G2129" s="22" t="n">
        <f aca="false">ROUND(SUM(I2129:P2129),3)</f>
        <v>49.494</v>
      </c>
      <c r="H2129" s="5" t="str">
        <f aca="false">IF(G2129&gt;=評分方法!$C$16,"優先評估",IF(G2129&gt;=評分方法!$C$17,"列入候選",IF(G2129&gt;=評分方法!$C$18,"特定情境","不建議")))</f>
        <v>不建議</v>
      </c>
      <c r="I2129" s="15" t="n">
        <f aca="false">AE2129*評分方法!$C$5</f>
        <v>25.5</v>
      </c>
      <c r="J2129" s="15" t="n">
        <f aca="false">AF2129*評分方法!$C$6</f>
        <v>0</v>
      </c>
      <c r="K2129" s="15" t="n">
        <f aca="false">AG2129*評分方法!$C$7</f>
        <v>10.05</v>
      </c>
      <c r="L2129" s="15" t="n">
        <f aca="false">AH2129*評分方法!$C$8</f>
        <v>9</v>
      </c>
      <c r="M2129" s="15" t="n">
        <f aca="false">AI2129*評分方法!$C$9</f>
        <v>2</v>
      </c>
      <c r="N2129" s="15" t="n">
        <f aca="false">AJ2129*評分方法!$C$10</f>
        <v>1.944</v>
      </c>
      <c r="O2129" s="15" t="n">
        <f aca="false">AK2129*評分方法!$C$11</f>
        <v>1</v>
      </c>
      <c r="P2129" s="15" t="n">
        <f aca="false">AL2129*評分方法!$C$12</f>
        <v>0</v>
      </c>
      <c r="Q2129" s="6" t="n">
        <v>206850</v>
      </c>
      <c r="R2129" s="6" t="n">
        <v>12247782400</v>
      </c>
      <c r="S2129" s="11" t="s">
        <v>389</v>
      </c>
      <c r="T2129" s="5"/>
      <c r="U2129" s="5" t="s">
        <v>375</v>
      </c>
      <c r="V2129" s="11" t="s">
        <v>333</v>
      </c>
      <c r="W2129" s="5" t="s">
        <v>207</v>
      </c>
      <c r="X2129" s="5" t="s">
        <v>242</v>
      </c>
      <c r="Y2129" s="11" t="s">
        <v>5225</v>
      </c>
      <c r="Z2129" s="11" t="s">
        <v>244</v>
      </c>
      <c r="AA2129" s="11" t="s">
        <v>155</v>
      </c>
      <c r="AB2129" s="5" t="s">
        <v>496</v>
      </c>
      <c r="AC2129" s="5" t="s">
        <v>1108</v>
      </c>
      <c r="AD2129" s="11" t="s">
        <v>5226</v>
      </c>
      <c r="AE2129" s="23" t="n">
        <v>0.85</v>
      </c>
      <c r="AF2129" s="23" t="n">
        <v>0</v>
      </c>
      <c r="AG2129" s="23" t="n">
        <v>0.67</v>
      </c>
      <c r="AH2129" s="23" t="n">
        <v>0.6</v>
      </c>
      <c r="AI2129" s="23" t="n">
        <v>0.2</v>
      </c>
      <c r="AJ2129" s="23" t="n">
        <v>0.1944</v>
      </c>
      <c r="AK2129" s="23" t="n">
        <v>0.2</v>
      </c>
      <c r="AL2129" s="23" t="n">
        <v>0</v>
      </c>
      <c r="AM2129" s="16" t="n">
        <f aca="false">COUNTIFS($D$2:$D$2501,D2129,$G$2:$G$2501,"&gt;"&amp;G2129)+COUNTIFS($D$2:D2129,D2129,$G$2:G2129,G2129)</f>
        <v>947</v>
      </c>
      <c r="AN2129" s="5" t="str">
        <f aca="false">D2129&amp;"|"&amp;AM2129</f>
        <v>分析與報告生成|947</v>
      </c>
    </row>
    <row r="2130" customFormat="false" ht="17.15" hidden="false" customHeight="false" outlineLevel="0" collapsed="false">
      <c r="A2130" s="16" t="n">
        <f aca="false">RANK(G2130,$G$2:$G$2501)+COUNTIF($G$2:G2130,G2130)-1</f>
        <v>2129</v>
      </c>
      <c r="B2130" s="11" t="s">
        <v>5227</v>
      </c>
      <c r="C2130" s="11" t="s">
        <v>3884</v>
      </c>
      <c r="D2130" s="5" t="s">
        <v>56</v>
      </c>
      <c r="E2130" s="5" t="s">
        <v>57</v>
      </c>
      <c r="F2130" s="5"/>
      <c r="G2130" s="22" t="n">
        <f aca="false">ROUND(SUM(I2130:P2130),3)</f>
        <v>49.486</v>
      </c>
      <c r="H2130" s="5" t="str">
        <f aca="false">IF(G2130&gt;=評分方法!$C$16,"優先評估",IF(G2130&gt;=評分方法!$C$17,"列入候選",IF(G2130&gt;=評分方法!$C$18,"特定情境","不建議")))</f>
        <v>不建議</v>
      </c>
      <c r="I2130" s="15" t="n">
        <f aca="false">AE2130*評分方法!$C$5</f>
        <v>25.5</v>
      </c>
      <c r="J2130" s="15" t="n">
        <f aca="false">AF2130*評分方法!$C$6</f>
        <v>0</v>
      </c>
      <c r="K2130" s="15" t="n">
        <f aca="false">AG2130*評分方法!$C$7</f>
        <v>4.95</v>
      </c>
      <c r="L2130" s="15" t="n">
        <f aca="false">AH2130*評分方法!$C$8</f>
        <v>9</v>
      </c>
      <c r="M2130" s="15" t="n">
        <f aca="false">AI2130*評分方法!$C$9</f>
        <v>6</v>
      </c>
      <c r="N2130" s="15" t="n">
        <f aca="false">AJ2130*評分方法!$C$10</f>
        <v>1.536</v>
      </c>
      <c r="O2130" s="15" t="n">
        <f aca="false">AK2130*評分方法!$C$11</f>
        <v>2.5</v>
      </c>
      <c r="P2130" s="15" t="n">
        <f aca="false">AL2130*評分方法!$C$12</f>
        <v>0</v>
      </c>
      <c r="Q2130" s="6" t="n">
        <v>181254</v>
      </c>
      <c r="R2130" s="6" t="n">
        <v>32003216384</v>
      </c>
      <c r="S2130" s="11" t="s">
        <v>389</v>
      </c>
      <c r="T2130" s="11" t="s">
        <v>185</v>
      </c>
      <c r="U2130" s="5" t="s">
        <v>260</v>
      </c>
      <c r="V2130" s="11" t="s">
        <v>261</v>
      </c>
      <c r="W2130" s="5" t="s">
        <v>334</v>
      </c>
      <c r="X2130" s="5" t="s">
        <v>242</v>
      </c>
      <c r="Y2130" s="5"/>
      <c r="Z2130" s="5"/>
      <c r="AA2130" s="11" t="s">
        <v>155</v>
      </c>
      <c r="AB2130" s="5" t="s">
        <v>245</v>
      </c>
      <c r="AC2130" s="5" t="s">
        <v>262</v>
      </c>
      <c r="AD2130" s="11" t="s">
        <v>5228</v>
      </c>
      <c r="AE2130" s="23" t="n">
        <v>0.85</v>
      </c>
      <c r="AF2130" s="23" t="n">
        <v>0</v>
      </c>
      <c r="AG2130" s="23" t="n">
        <v>0.33</v>
      </c>
      <c r="AH2130" s="23" t="n">
        <v>0.6</v>
      </c>
      <c r="AI2130" s="23" t="n">
        <v>0.6</v>
      </c>
      <c r="AJ2130" s="23" t="n">
        <v>0.1536</v>
      </c>
      <c r="AK2130" s="23" t="n">
        <v>0.5</v>
      </c>
      <c r="AL2130" s="23" t="n">
        <v>0</v>
      </c>
      <c r="AM2130" s="16" t="n">
        <f aca="false">COUNTIFS($D$2:$D$2501,D2130,$G$2:$G$2501,"&gt;"&amp;G2130)+COUNTIFS($D$2:D2130,D2130,$G$2:G2130,G2130)</f>
        <v>948</v>
      </c>
      <c r="AN2130" s="5" t="str">
        <f aca="false">D2130&amp;"|"&amp;AM2130</f>
        <v>分析與報告生成|948</v>
      </c>
    </row>
    <row r="2131" customFormat="false" ht="17.15" hidden="false" customHeight="false" outlineLevel="0" collapsed="false">
      <c r="A2131" s="16" t="n">
        <f aca="false">RANK(G2131,$G$2:$G$2501)+COUNTIF($G$2:G2131,G2131)-1</f>
        <v>2130</v>
      </c>
      <c r="B2131" s="11" t="s">
        <v>5229</v>
      </c>
      <c r="C2131" s="11" t="s">
        <v>402</v>
      </c>
      <c r="D2131" s="5" t="s">
        <v>58</v>
      </c>
      <c r="E2131" s="5" t="s">
        <v>59</v>
      </c>
      <c r="F2131" s="5"/>
      <c r="G2131" s="22" t="n">
        <f aca="false">ROUND(SUM(I2131:P2131),3)</f>
        <v>49.47</v>
      </c>
      <c r="H2131" s="5" t="str">
        <f aca="false">IF(G2131&gt;=評分方法!$C$16,"優先評估",IF(G2131&gt;=評分方法!$C$17,"列入候選",IF(G2131&gt;=評分方法!$C$18,"特定情境","不建議")))</f>
        <v>不建議</v>
      </c>
      <c r="I2131" s="15" t="n">
        <f aca="false">AE2131*評分方法!$C$5</f>
        <v>11.4</v>
      </c>
      <c r="J2131" s="15" t="n">
        <f aca="false">AF2131*評分方法!$C$6</f>
        <v>0</v>
      </c>
      <c r="K2131" s="15" t="n">
        <f aca="false">AG2131*評分方法!$C$7</f>
        <v>4.95</v>
      </c>
      <c r="L2131" s="15" t="n">
        <f aca="false">AH2131*評分方法!$C$8</f>
        <v>15</v>
      </c>
      <c r="M2131" s="15" t="n">
        <f aca="false">AI2131*評分方法!$C$9</f>
        <v>10</v>
      </c>
      <c r="N2131" s="15" t="n">
        <f aca="false">AJ2131*評分方法!$C$10</f>
        <v>5.62</v>
      </c>
      <c r="O2131" s="15" t="n">
        <f aca="false">AK2131*評分方法!$C$11</f>
        <v>2.5</v>
      </c>
      <c r="P2131" s="15" t="n">
        <f aca="false">AL2131*評分方法!$C$12</f>
        <v>0</v>
      </c>
      <c r="Q2131" s="6" t="n">
        <v>582477</v>
      </c>
      <c r="R2131" s="6" t="n">
        <v>108893955</v>
      </c>
      <c r="S2131" s="11" t="s">
        <v>238</v>
      </c>
      <c r="T2131" s="11" t="s">
        <v>239</v>
      </c>
      <c r="U2131" s="5" t="s">
        <v>240</v>
      </c>
      <c r="V2131" s="11" t="s">
        <v>261</v>
      </c>
      <c r="W2131" s="5" t="s">
        <v>334</v>
      </c>
      <c r="X2131" s="5" t="s">
        <v>242</v>
      </c>
      <c r="Y2131" s="5"/>
      <c r="Z2131" s="5"/>
      <c r="AA2131" s="11" t="s">
        <v>150</v>
      </c>
      <c r="AB2131" s="5" t="s">
        <v>245</v>
      </c>
      <c r="AC2131" s="5" t="s">
        <v>3044</v>
      </c>
      <c r="AD2131" s="11" t="s">
        <v>5230</v>
      </c>
      <c r="AE2131" s="23" t="n">
        <v>0.38</v>
      </c>
      <c r="AF2131" s="23" t="n">
        <v>0</v>
      </c>
      <c r="AG2131" s="23" t="n">
        <v>0.33</v>
      </c>
      <c r="AH2131" s="23" t="n">
        <v>1</v>
      </c>
      <c r="AI2131" s="23" t="n">
        <v>1</v>
      </c>
      <c r="AJ2131" s="23" t="n">
        <v>0.562</v>
      </c>
      <c r="AK2131" s="23" t="n">
        <v>0.5</v>
      </c>
      <c r="AL2131" s="23" t="n">
        <v>0</v>
      </c>
      <c r="AM2131" s="16" t="n">
        <f aca="false">COUNTIFS($D$2:$D$2501,D2131,$G$2:$G$2501,"&gt;"&amp;G2131)+COUNTIFS($D$2:D2131,D2131,$G$2:G2131,G2131)</f>
        <v>319</v>
      </c>
      <c r="AN2131" s="5" t="str">
        <f aca="false">D2131&amp;"|"&amp;AM2131</f>
        <v>實體擷取與去識別化|319</v>
      </c>
    </row>
    <row r="2132" customFormat="false" ht="17.15" hidden="false" customHeight="false" outlineLevel="0" collapsed="false">
      <c r="A2132" s="16" t="n">
        <f aca="false">RANK(G2132,$G$2:$G$2501)+COUNTIF($G$2:G2132,G2132)-1</f>
        <v>2131</v>
      </c>
      <c r="B2132" s="11" t="s">
        <v>5231</v>
      </c>
      <c r="C2132" s="11" t="s">
        <v>402</v>
      </c>
      <c r="D2132" s="5" t="s">
        <v>58</v>
      </c>
      <c r="E2132" s="5" t="s">
        <v>59</v>
      </c>
      <c r="F2132" s="5"/>
      <c r="G2132" s="22" t="n">
        <f aca="false">ROUND(SUM(I2132:P2132),3)</f>
        <v>49.442</v>
      </c>
      <c r="H2132" s="5" t="str">
        <f aca="false">IF(G2132&gt;=評分方法!$C$16,"優先評估",IF(G2132&gt;=評分方法!$C$17,"列入候選",IF(G2132&gt;=評分方法!$C$18,"特定情境","不建議")))</f>
        <v>不建議</v>
      </c>
      <c r="I2132" s="15" t="n">
        <f aca="false">AE2132*評分方法!$C$5</f>
        <v>11.4</v>
      </c>
      <c r="J2132" s="15" t="n">
        <f aca="false">AF2132*評分方法!$C$6</f>
        <v>0</v>
      </c>
      <c r="K2132" s="15" t="n">
        <f aca="false">AG2132*評分方法!$C$7</f>
        <v>4.95</v>
      </c>
      <c r="L2132" s="15" t="n">
        <f aca="false">AH2132*評分方法!$C$8</f>
        <v>15</v>
      </c>
      <c r="M2132" s="15" t="n">
        <f aca="false">AI2132*評分方法!$C$9</f>
        <v>10</v>
      </c>
      <c r="N2132" s="15" t="n">
        <f aca="false">AJ2132*評分方法!$C$10</f>
        <v>5.592</v>
      </c>
      <c r="O2132" s="15" t="n">
        <f aca="false">AK2132*評分方法!$C$11</f>
        <v>2.5</v>
      </c>
      <c r="P2132" s="15" t="n">
        <f aca="false">AL2132*評分方法!$C$12</f>
        <v>0</v>
      </c>
      <c r="Q2132" s="6" t="n">
        <v>580524</v>
      </c>
      <c r="R2132" s="6" t="n">
        <v>108893955</v>
      </c>
      <c r="S2132" s="11" t="s">
        <v>238</v>
      </c>
      <c r="T2132" s="11" t="s">
        <v>239</v>
      </c>
      <c r="U2132" s="5" t="s">
        <v>240</v>
      </c>
      <c r="V2132" s="11" t="s">
        <v>261</v>
      </c>
      <c r="W2132" s="5" t="s">
        <v>334</v>
      </c>
      <c r="X2132" s="5" t="s">
        <v>242</v>
      </c>
      <c r="Y2132" s="5"/>
      <c r="Z2132" s="5"/>
      <c r="AA2132" s="11" t="s">
        <v>150</v>
      </c>
      <c r="AB2132" s="5" t="s">
        <v>245</v>
      </c>
      <c r="AC2132" s="5" t="s">
        <v>3044</v>
      </c>
      <c r="AD2132" s="11" t="s">
        <v>5232</v>
      </c>
      <c r="AE2132" s="23" t="n">
        <v>0.38</v>
      </c>
      <c r="AF2132" s="23" t="n">
        <v>0</v>
      </c>
      <c r="AG2132" s="23" t="n">
        <v>0.33</v>
      </c>
      <c r="AH2132" s="23" t="n">
        <v>1</v>
      </c>
      <c r="AI2132" s="23" t="n">
        <v>1</v>
      </c>
      <c r="AJ2132" s="23" t="n">
        <v>0.5592</v>
      </c>
      <c r="AK2132" s="23" t="n">
        <v>0.5</v>
      </c>
      <c r="AL2132" s="23" t="n">
        <v>0</v>
      </c>
      <c r="AM2132" s="16" t="n">
        <f aca="false">COUNTIFS($D$2:$D$2501,D2132,$G$2:$G$2501,"&gt;"&amp;G2132)+COUNTIFS($D$2:D2132,D2132,$G$2:G2132,G2132)</f>
        <v>320</v>
      </c>
      <c r="AN2132" s="5" t="str">
        <f aca="false">D2132&amp;"|"&amp;AM2132</f>
        <v>實體擷取與去識別化|320</v>
      </c>
    </row>
    <row r="2133" customFormat="false" ht="17.15" hidden="false" customHeight="false" outlineLevel="0" collapsed="false">
      <c r="A2133" s="16" t="n">
        <f aca="false">RANK(G2133,$G$2:$G$2501)+COUNTIF($G$2:G2133,G2133)-1</f>
        <v>2132</v>
      </c>
      <c r="B2133" s="11" t="s">
        <v>5233</v>
      </c>
      <c r="C2133" s="11" t="s">
        <v>402</v>
      </c>
      <c r="D2133" s="5" t="s">
        <v>58</v>
      </c>
      <c r="E2133" s="5" t="s">
        <v>59</v>
      </c>
      <c r="F2133" s="5"/>
      <c r="G2133" s="22" t="n">
        <f aca="false">ROUND(SUM(I2133:P2133),3)</f>
        <v>49.43</v>
      </c>
      <c r="H2133" s="5" t="str">
        <f aca="false">IF(G2133&gt;=評分方法!$C$16,"優先評估",IF(G2133&gt;=評分方法!$C$17,"列入候選",IF(G2133&gt;=評分方法!$C$18,"特定情境","不建議")))</f>
        <v>不建議</v>
      </c>
      <c r="I2133" s="15" t="n">
        <f aca="false">AE2133*評分方法!$C$5</f>
        <v>11.4</v>
      </c>
      <c r="J2133" s="15" t="n">
        <f aca="false">AF2133*評分方法!$C$6</f>
        <v>0</v>
      </c>
      <c r="K2133" s="15" t="n">
        <f aca="false">AG2133*評分方法!$C$7</f>
        <v>4.95</v>
      </c>
      <c r="L2133" s="15" t="n">
        <f aca="false">AH2133*評分方法!$C$8</f>
        <v>15</v>
      </c>
      <c r="M2133" s="15" t="n">
        <f aca="false">AI2133*評分方法!$C$9</f>
        <v>10</v>
      </c>
      <c r="N2133" s="15" t="n">
        <f aca="false">AJ2133*評分方法!$C$10</f>
        <v>5.58</v>
      </c>
      <c r="O2133" s="15" t="n">
        <f aca="false">AK2133*評分方法!$C$11</f>
        <v>2.5</v>
      </c>
      <c r="P2133" s="15" t="n">
        <f aca="false">AL2133*評分方法!$C$12</f>
        <v>0</v>
      </c>
      <c r="Q2133" s="6" t="n">
        <v>580143</v>
      </c>
      <c r="R2133" s="6" t="n">
        <v>108900107</v>
      </c>
      <c r="S2133" s="11" t="s">
        <v>238</v>
      </c>
      <c r="T2133" s="11" t="s">
        <v>239</v>
      </c>
      <c r="U2133" s="5" t="s">
        <v>240</v>
      </c>
      <c r="V2133" s="11" t="s">
        <v>261</v>
      </c>
      <c r="W2133" s="5" t="s">
        <v>334</v>
      </c>
      <c r="X2133" s="5" t="s">
        <v>242</v>
      </c>
      <c r="Y2133" s="5"/>
      <c r="Z2133" s="5"/>
      <c r="AA2133" s="11" t="s">
        <v>150</v>
      </c>
      <c r="AB2133" s="5" t="s">
        <v>245</v>
      </c>
      <c r="AC2133" s="5" t="s">
        <v>3044</v>
      </c>
      <c r="AD2133" s="11" t="s">
        <v>5234</v>
      </c>
      <c r="AE2133" s="23" t="n">
        <v>0.38</v>
      </c>
      <c r="AF2133" s="23" t="n">
        <v>0</v>
      </c>
      <c r="AG2133" s="23" t="n">
        <v>0.33</v>
      </c>
      <c r="AH2133" s="23" t="n">
        <v>1</v>
      </c>
      <c r="AI2133" s="23" t="n">
        <v>1</v>
      </c>
      <c r="AJ2133" s="23" t="n">
        <v>0.558</v>
      </c>
      <c r="AK2133" s="23" t="n">
        <v>0.5</v>
      </c>
      <c r="AL2133" s="23" t="n">
        <v>0</v>
      </c>
      <c r="AM2133" s="16" t="n">
        <f aca="false">COUNTIFS($D$2:$D$2501,D2133,$G$2:$G$2501,"&gt;"&amp;G2133)+COUNTIFS($D$2:D2133,D2133,$G$2:G2133,G2133)</f>
        <v>321</v>
      </c>
      <c r="AN2133" s="5" t="str">
        <f aca="false">D2133&amp;"|"&amp;AM2133</f>
        <v>實體擷取與去識別化|321</v>
      </c>
    </row>
    <row r="2134" customFormat="false" ht="17.15" hidden="false" customHeight="false" outlineLevel="0" collapsed="false">
      <c r="A2134" s="16" t="n">
        <f aca="false">RANK(G2134,$G$2:$G$2501)+COUNTIF($G$2:G2134,G2134)-1</f>
        <v>2133</v>
      </c>
      <c r="B2134" s="11" t="s">
        <v>5235</v>
      </c>
      <c r="C2134" s="11" t="s">
        <v>3832</v>
      </c>
      <c r="D2134" s="5" t="s">
        <v>66</v>
      </c>
      <c r="E2134" s="5" t="s">
        <v>67</v>
      </c>
      <c r="F2134" s="5"/>
      <c r="G2134" s="22" t="n">
        <f aca="false">ROUND(SUM(I2134:P2134),3)</f>
        <v>49.418</v>
      </c>
      <c r="H2134" s="5" t="str">
        <f aca="false">IF(G2134&gt;=評分方法!$C$16,"優先評估",IF(G2134&gt;=評分方法!$C$17,"列入候選",IF(G2134&gt;=評分方法!$C$18,"特定情境","不建議")))</f>
        <v>不建議</v>
      </c>
      <c r="I2134" s="15" t="n">
        <f aca="false">AE2134*評分方法!$C$5</f>
        <v>7.2</v>
      </c>
      <c r="J2134" s="15" t="n">
        <f aca="false">AF2134*評分方法!$C$6</f>
        <v>0</v>
      </c>
      <c r="K2134" s="15" t="n">
        <f aca="false">AG2134*評分方法!$C$7</f>
        <v>10.05</v>
      </c>
      <c r="L2134" s="15" t="n">
        <f aca="false">AH2134*評分方法!$C$8</f>
        <v>15</v>
      </c>
      <c r="M2134" s="15" t="n">
        <f aca="false">AI2134*評分方法!$C$9</f>
        <v>10</v>
      </c>
      <c r="N2134" s="15" t="n">
        <f aca="false">AJ2134*評分方法!$C$10</f>
        <v>6.168</v>
      </c>
      <c r="O2134" s="15" t="n">
        <f aca="false">AK2134*評分方法!$C$11</f>
        <v>1</v>
      </c>
      <c r="P2134" s="15" t="n">
        <f aca="false">AL2134*評分方法!$C$12</f>
        <v>0</v>
      </c>
      <c r="Q2134" s="6" t="n">
        <v>657532</v>
      </c>
      <c r="R2134" s="6" t="n">
        <v>124648453</v>
      </c>
      <c r="S2134" s="11" t="s">
        <v>238</v>
      </c>
      <c r="T2134" s="11" t="s">
        <v>278</v>
      </c>
      <c r="U2134" s="5" t="s">
        <v>240</v>
      </c>
      <c r="V2134" s="11" t="s">
        <v>855</v>
      </c>
      <c r="W2134" s="5" t="s">
        <v>207</v>
      </c>
      <c r="X2134" s="5" t="s">
        <v>242</v>
      </c>
      <c r="Y2134" s="5"/>
      <c r="Z2134" s="5"/>
      <c r="AA2134" s="11" t="s">
        <v>149</v>
      </c>
      <c r="AB2134" s="5" t="s">
        <v>245</v>
      </c>
      <c r="AC2134" s="5" t="s">
        <v>5236</v>
      </c>
      <c r="AD2134" s="11" t="s">
        <v>5237</v>
      </c>
      <c r="AE2134" s="23" t="n">
        <v>0.24</v>
      </c>
      <c r="AF2134" s="23" t="n">
        <v>0</v>
      </c>
      <c r="AG2134" s="23" t="n">
        <v>0.67</v>
      </c>
      <c r="AH2134" s="23" t="n">
        <v>1</v>
      </c>
      <c r="AI2134" s="23" t="n">
        <v>1</v>
      </c>
      <c r="AJ2134" s="23" t="n">
        <v>0.6168</v>
      </c>
      <c r="AK2134" s="23" t="n">
        <v>0.2</v>
      </c>
      <c r="AL2134" s="23" t="n">
        <v>0</v>
      </c>
      <c r="AM2134" s="16" t="n">
        <f aca="false">COUNTIFS($D$2:$D$2501,D2134,$G$2:$G$2501,"&gt;"&amp;G2134)+COUNTIFS($D$2:D2134,D2134,$G$2:G2134,G2134)</f>
        <v>60</v>
      </c>
      <c r="AN2134" s="5" t="str">
        <f aca="false">D2134&amp;"|"&amp;AM2134</f>
        <v>分類與偵測|60</v>
      </c>
    </row>
    <row r="2135" customFormat="false" ht="17.15" hidden="false" customHeight="false" outlineLevel="0" collapsed="false">
      <c r="A2135" s="16" t="n">
        <f aca="false">RANK(G2135,$G$2:$G$2501)+COUNTIF($G$2:G2135,G2135)-1</f>
        <v>2134</v>
      </c>
      <c r="B2135" s="11" t="s">
        <v>5238</v>
      </c>
      <c r="C2135" s="11" t="s">
        <v>2693</v>
      </c>
      <c r="D2135" s="5" t="s">
        <v>74</v>
      </c>
      <c r="E2135" s="5" t="s">
        <v>75</v>
      </c>
      <c r="F2135" s="5"/>
      <c r="G2135" s="22" t="n">
        <f aca="false">ROUND(SUM(I2135:P2135),3)</f>
        <v>49.39</v>
      </c>
      <c r="H2135" s="5" t="str">
        <f aca="false">IF(G2135&gt;=評分方法!$C$16,"優先評估",IF(G2135&gt;=評分方法!$C$17,"列入候選",IF(G2135&gt;=評分方法!$C$18,"特定情境","不建議")))</f>
        <v>不建議</v>
      </c>
      <c r="I2135" s="15" t="n">
        <f aca="false">AE2135*評分方法!$C$5</f>
        <v>12</v>
      </c>
      <c r="J2135" s="15" t="n">
        <f aca="false">AF2135*評分方法!$C$6</f>
        <v>0</v>
      </c>
      <c r="K2135" s="15" t="n">
        <f aca="false">AG2135*評分方法!$C$7</f>
        <v>15</v>
      </c>
      <c r="L2135" s="15" t="n">
        <f aca="false">AH2135*評分方法!$C$8</f>
        <v>7.05</v>
      </c>
      <c r="M2135" s="15" t="n">
        <f aca="false">AI2135*評分方法!$C$9</f>
        <v>10</v>
      </c>
      <c r="N2135" s="15" t="n">
        <f aca="false">AJ2135*評分方法!$C$10</f>
        <v>2.84</v>
      </c>
      <c r="O2135" s="15" t="n">
        <f aca="false">AK2135*評分方法!$C$11</f>
        <v>1</v>
      </c>
      <c r="P2135" s="15" t="n">
        <f aca="false">AL2135*評分方法!$C$12</f>
        <v>1.5</v>
      </c>
      <c r="Q2135" s="6" t="n">
        <v>276674</v>
      </c>
      <c r="R2135" s="6"/>
      <c r="S2135" s="5" t="s">
        <v>255</v>
      </c>
      <c r="T2135" s="11" t="s">
        <v>239</v>
      </c>
      <c r="U2135" s="5" t="s">
        <v>240</v>
      </c>
      <c r="V2135" s="11" t="s">
        <v>324</v>
      </c>
      <c r="W2135" s="5" t="s">
        <v>205</v>
      </c>
      <c r="X2135" s="5" t="s">
        <v>255</v>
      </c>
      <c r="Y2135" s="5"/>
      <c r="Z2135" s="5"/>
      <c r="AA2135" s="11" t="s">
        <v>167</v>
      </c>
      <c r="AB2135" s="5" t="s">
        <v>245</v>
      </c>
      <c r="AC2135" s="5"/>
      <c r="AD2135" s="11" t="s">
        <v>5239</v>
      </c>
      <c r="AE2135" s="23" t="n">
        <v>0.4</v>
      </c>
      <c r="AF2135" s="23" t="n">
        <v>0</v>
      </c>
      <c r="AG2135" s="23" t="n">
        <v>1</v>
      </c>
      <c r="AH2135" s="23" t="n">
        <v>0.47</v>
      </c>
      <c r="AI2135" s="23" t="n">
        <v>1</v>
      </c>
      <c r="AJ2135" s="23" t="n">
        <v>0.284</v>
      </c>
      <c r="AK2135" s="23" t="n">
        <v>0.2</v>
      </c>
      <c r="AL2135" s="23" t="n">
        <v>0.3</v>
      </c>
      <c r="AM2135" s="16" t="n">
        <f aca="false">COUNTIFS($D$2:$D$2501,D2135,$G$2:$G$2501,"&gt;"&amp;G2135)+COUNTIFS($D$2:D2135,D2135,$G$2:G2135,G2135)</f>
        <v>287</v>
      </c>
      <c r="AN2135" s="5" t="str">
        <f aca="false">D2135&amp;"|"&amp;AM2135</f>
        <v>文件與影像辨識|287</v>
      </c>
    </row>
    <row r="2136" customFormat="false" ht="17.15" hidden="false" customHeight="false" outlineLevel="0" collapsed="false">
      <c r="A2136" s="16" t="n">
        <f aca="false">RANK(G2136,$G$2:$G$2501)+COUNTIF($G$2:G2136,G2136)-1</f>
        <v>2135</v>
      </c>
      <c r="B2136" s="11" t="s">
        <v>5240</v>
      </c>
      <c r="C2136" s="11" t="s">
        <v>4867</v>
      </c>
      <c r="D2136" s="5" t="s">
        <v>54</v>
      </c>
      <c r="E2136" s="5" t="s">
        <v>55</v>
      </c>
      <c r="F2136" s="5"/>
      <c r="G2136" s="22" t="n">
        <f aca="false">ROUND(SUM(I2136:P2136),3)</f>
        <v>49.366</v>
      </c>
      <c r="H2136" s="5" t="str">
        <f aca="false">IF(G2136&gt;=評分方法!$C$16,"優先評估",IF(G2136&gt;=評分方法!$C$17,"列入候選",IF(G2136&gt;=評分方法!$C$18,"特定情境","不建議")))</f>
        <v>不建議</v>
      </c>
      <c r="I2136" s="15" t="n">
        <f aca="false">AE2136*評分方法!$C$5</f>
        <v>16.2</v>
      </c>
      <c r="J2136" s="15" t="n">
        <f aca="false">AF2136*評分方法!$C$6</f>
        <v>0</v>
      </c>
      <c r="K2136" s="15" t="n">
        <f aca="false">AG2136*評分方法!$C$7</f>
        <v>4.95</v>
      </c>
      <c r="L2136" s="15" t="n">
        <f aca="false">AH2136*評分方法!$C$8</f>
        <v>15</v>
      </c>
      <c r="M2136" s="15" t="n">
        <f aca="false">AI2136*評分方法!$C$9</f>
        <v>8</v>
      </c>
      <c r="N2136" s="15" t="n">
        <f aca="false">AJ2136*評分方法!$C$10</f>
        <v>4.216</v>
      </c>
      <c r="O2136" s="15" t="n">
        <f aca="false">AK2136*評分方法!$C$11</f>
        <v>1</v>
      </c>
      <c r="P2136" s="15" t="n">
        <f aca="false">AL2136*評分方法!$C$12</f>
        <v>0</v>
      </c>
      <c r="Q2136" s="6" t="n">
        <v>460126</v>
      </c>
      <c r="R2136" s="6" t="n">
        <v>110617344</v>
      </c>
      <c r="S2136" s="11" t="s">
        <v>238</v>
      </c>
      <c r="T2136" s="11" t="s">
        <v>1821</v>
      </c>
      <c r="U2136" s="5" t="s">
        <v>1822</v>
      </c>
      <c r="V2136" s="11" t="s">
        <v>324</v>
      </c>
      <c r="W2136" s="5" t="s">
        <v>334</v>
      </c>
      <c r="X2136" s="5" t="s">
        <v>242</v>
      </c>
      <c r="Y2136" s="5"/>
      <c r="Z2136" s="5"/>
      <c r="AA2136" s="11" t="s">
        <v>153</v>
      </c>
      <c r="AB2136" s="5" t="s">
        <v>245</v>
      </c>
      <c r="AC2136" s="5" t="s">
        <v>1463</v>
      </c>
      <c r="AD2136" s="11" t="s">
        <v>5241</v>
      </c>
      <c r="AE2136" s="23" t="n">
        <v>0.54</v>
      </c>
      <c r="AF2136" s="23" t="n">
        <v>0</v>
      </c>
      <c r="AG2136" s="23" t="n">
        <v>0.33</v>
      </c>
      <c r="AH2136" s="23" t="n">
        <v>1</v>
      </c>
      <c r="AI2136" s="23" t="n">
        <v>0.8</v>
      </c>
      <c r="AJ2136" s="23" t="n">
        <v>0.4216</v>
      </c>
      <c r="AK2136" s="23" t="n">
        <v>0.2</v>
      </c>
      <c r="AL2136" s="23" t="n">
        <v>0</v>
      </c>
      <c r="AM2136" s="16" t="n">
        <f aca="false">COUNTIFS($D$2:$D$2501,D2136,$G$2:$G$2501,"&gt;"&amp;G2136)+COUNTIFS($D$2:D2136,D2136,$G$2:G2136,G2136)</f>
        <v>262</v>
      </c>
      <c r="AN2136" s="5" t="str">
        <f aca="false">D2136&amp;"|"&amp;AM2136</f>
        <v>檢索與情資關聯|262</v>
      </c>
    </row>
    <row r="2137" customFormat="false" ht="17.15" hidden="false" customHeight="false" outlineLevel="0" collapsed="false">
      <c r="A2137" s="16" t="n">
        <f aca="false">RANK(G2137,$G$2:$G$2501)+COUNTIF($G$2:G2137,G2137)-1</f>
        <v>2136</v>
      </c>
      <c r="B2137" s="11" t="s">
        <v>5242</v>
      </c>
      <c r="C2137" s="11" t="s">
        <v>5200</v>
      </c>
      <c r="D2137" s="5" t="s">
        <v>56</v>
      </c>
      <c r="E2137" s="5" t="s">
        <v>57</v>
      </c>
      <c r="F2137" s="5"/>
      <c r="G2137" s="22" t="n">
        <f aca="false">ROUND(SUM(I2137:P2137),3)</f>
        <v>49.366</v>
      </c>
      <c r="H2137" s="5" t="str">
        <f aca="false">IF(G2137&gt;=評分方法!$C$16,"優先評估",IF(G2137&gt;=評分方法!$C$17,"列入候選",IF(G2137&gt;=評分方法!$C$18,"特定情境","不建議")))</f>
        <v>不建議</v>
      </c>
      <c r="I2137" s="15" t="n">
        <f aca="false">AE2137*評分方法!$C$5</f>
        <v>18</v>
      </c>
      <c r="J2137" s="15" t="n">
        <f aca="false">AF2137*評分方法!$C$6</f>
        <v>0</v>
      </c>
      <c r="K2137" s="15" t="n">
        <f aca="false">AG2137*評分方法!$C$7</f>
        <v>4.95</v>
      </c>
      <c r="L2137" s="15" t="n">
        <f aca="false">AH2137*評分方法!$C$8</f>
        <v>15</v>
      </c>
      <c r="M2137" s="15" t="n">
        <f aca="false">AI2137*評分方法!$C$9</f>
        <v>2</v>
      </c>
      <c r="N2137" s="15" t="n">
        <f aca="false">AJ2137*評分方法!$C$10</f>
        <v>6.916</v>
      </c>
      <c r="O2137" s="15" t="n">
        <f aca="false">AK2137*評分方法!$C$11</f>
        <v>1</v>
      </c>
      <c r="P2137" s="15" t="n">
        <f aca="false">AL2137*評分方法!$C$12</f>
        <v>1.5</v>
      </c>
      <c r="Q2137" s="6" t="n">
        <v>879447</v>
      </c>
      <c r="R2137" s="6" t="n">
        <v>112332802</v>
      </c>
      <c r="S2137" s="11" t="s">
        <v>238</v>
      </c>
      <c r="T2137" s="5"/>
      <c r="U2137" s="5" t="s">
        <v>375</v>
      </c>
      <c r="V2137" s="11" t="s">
        <v>324</v>
      </c>
      <c r="W2137" s="5" t="s">
        <v>334</v>
      </c>
      <c r="X2137" s="5" t="s">
        <v>255</v>
      </c>
      <c r="Y2137" s="5"/>
      <c r="Z2137" s="5"/>
      <c r="AA2137" s="11" t="s">
        <v>159</v>
      </c>
      <c r="AB2137" s="5" t="s">
        <v>245</v>
      </c>
      <c r="AC2137" s="5" t="s">
        <v>262</v>
      </c>
      <c r="AD2137" s="11" t="s">
        <v>5243</v>
      </c>
      <c r="AE2137" s="23" t="n">
        <v>0.6</v>
      </c>
      <c r="AF2137" s="23" t="n">
        <v>0</v>
      </c>
      <c r="AG2137" s="23" t="n">
        <v>0.33</v>
      </c>
      <c r="AH2137" s="23" t="n">
        <v>1</v>
      </c>
      <c r="AI2137" s="23" t="n">
        <v>0.2</v>
      </c>
      <c r="AJ2137" s="23" t="n">
        <v>0.6916</v>
      </c>
      <c r="AK2137" s="23" t="n">
        <v>0.2</v>
      </c>
      <c r="AL2137" s="23" t="n">
        <v>0.3</v>
      </c>
      <c r="AM2137" s="16" t="n">
        <f aca="false">COUNTIFS($D$2:$D$2501,D2137,$G$2:$G$2501,"&gt;"&amp;G2137)+COUNTIFS($D$2:D2137,D2137,$G$2:G2137,G2137)</f>
        <v>949</v>
      </c>
      <c r="AN2137" s="5" t="str">
        <f aca="false">D2137&amp;"|"&amp;AM2137</f>
        <v>分析與報告生成|949</v>
      </c>
    </row>
    <row r="2138" customFormat="false" ht="17.15" hidden="false" customHeight="false" outlineLevel="0" collapsed="false">
      <c r="A2138" s="16" t="n">
        <f aca="false">RANK(G2138,$G$2:$G$2501)+COUNTIF($G$2:G2138,G2138)-1</f>
        <v>2137</v>
      </c>
      <c r="B2138" s="11" t="s">
        <v>5244</v>
      </c>
      <c r="C2138" s="11" t="s">
        <v>2910</v>
      </c>
      <c r="D2138" s="5" t="s">
        <v>74</v>
      </c>
      <c r="E2138" s="5" t="s">
        <v>75</v>
      </c>
      <c r="F2138" s="5"/>
      <c r="G2138" s="22" t="n">
        <f aca="false">ROUND(SUM(I2138:P2138),3)</f>
        <v>49.362</v>
      </c>
      <c r="H2138" s="5" t="str">
        <f aca="false">IF(G2138&gt;=評分方法!$C$16,"優先評估",IF(G2138&gt;=評分方法!$C$17,"列入候選",IF(G2138&gt;=評分方法!$C$18,"特定情境","不建議")))</f>
        <v>不建議</v>
      </c>
      <c r="I2138" s="15" t="n">
        <f aca="false">AE2138*評分方法!$C$5</f>
        <v>10.5</v>
      </c>
      <c r="J2138" s="15" t="n">
        <f aca="false">AF2138*評分方法!$C$6</f>
        <v>0</v>
      </c>
      <c r="K2138" s="15" t="n">
        <f aca="false">AG2138*評分方法!$C$7</f>
        <v>10.05</v>
      </c>
      <c r="L2138" s="15" t="n">
        <f aca="false">AH2138*評分方法!$C$8</f>
        <v>15</v>
      </c>
      <c r="M2138" s="15" t="n">
        <f aca="false">AI2138*評分方法!$C$9</f>
        <v>10</v>
      </c>
      <c r="N2138" s="15" t="n">
        <f aca="false">AJ2138*評分方法!$C$10</f>
        <v>1.312</v>
      </c>
      <c r="O2138" s="15" t="n">
        <f aca="false">AK2138*評分方法!$C$11</f>
        <v>2.5</v>
      </c>
      <c r="P2138" s="15" t="n">
        <f aca="false">AL2138*評分方法!$C$12</f>
        <v>0</v>
      </c>
      <c r="Q2138" s="6" t="n">
        <v>169258</v>
      </c>
      <c r="R2138" s="6" t="n">
        <v>92888069</v>
      </c>
      <c r="S2138" s="11" t="s">
        <v>238</v>
      </c>
      <c r="T2138" s="11" t="s">
        <v>239</v>
      </c>
      <c r="U2138" s="5" t="s">
        <v>240</v>
      </c>
      <c r="V2138" s="11" t="s">
        <v>261</v>
      </c>
      <c r="W2138" s="5" t="s">
        <v>207</v>
      </c>
      <c r="X2138" s="5" t="s">
        <v>242</v>
      </c>
      <c r="Y2138" s="11" t="s">
        <v>3027</v>
      </c>
      <c r="Z2138" s="11" t="s">
        <v>270</v>
      </c>
      <c r="AA2138" s="11" t="s">
        <v>172</v>
      </c>
      <c r="AB2138" s="5" t="s">
        <v>245</v>
      </c>
      <c r="AC2138" s="5"/>
      <c r="AD2138" s="11" t="s">
        <v>5245</v>
      </c>
      <c r="AE2138" s="23" t="n">
        <v>0.35</v>
      </c>
      <c r="AF2138" s="23" t="n">
        <v>0</v>
      </c>
      <c r="AG2138" s="23" t="n">
        <v>0.67</v>
      </c>
      <c r="AH2138" s="23" t="n">
        <v>1</v>
      </c>
      <c r="AI2138" s="23" t="n">
        <v>1</v>
      </c>
      <c r="AJ2138" s="23" t="n">
        <v>0.1312</v>
      </c>
      <c r="AK2138" s="23" t="n">
        <v>0.5</v>
      </c>
      <c r="AL2138" s="23" t="n">
        <v>0</v>
      </c>
      <c r="AM2138" s="16" t="n">
        <f aca="false">COUNTIFS($D$2:$D$2501,D2138,$G$2:$G$2501,"&gt;"&amp;G2138)+COUNTIFS($D$2:D2138,D2138,$G$2:G2138,G2138)</f>
        <v>288</v>
      </c>
      <c r="AN2138" s="5" t="str">
        <f aca="false">D2138&amp;"|"&amp;AM2138</f>
        <v>文件與影像辨識|288</v>
      </c>
    </row>
    <row r="2139" customFormat="false" ht="17.15" hidden="false" customHeight="false" outlineLevel="0" collapsed="false">
      <c r="A2139" s="16" t="n">
        <f aca="false">RANK(G2139,$G$2:$G$2501)+COUNTIF($G$2:G2139,G2139)-1</f>
        <v>2138</v>
      </c>
      <c r="B2139" s="11" t="s">
        <v>5246</v>
      </c>
      <c r="C2139" s="11" t="s">
        <v>5247</v>
      </c>
      <c r="D2139" s="5" t="s">
        <v>72</v>
      </c>
      <c r="E2139" s="5" t="s">
        <v>73</v>
      </c>
      <c r="F2139" s="5"/>
      <c r="G2139" s="22" t="n">
        <f aca="false">ROUND(SUM(I2139:P2139),3)</f>
        <v>49.358</v>
      </c>
      <c r="H2139" s="5" t="str">
        <f aca="false">IF(G2139&gt;=評分方法!$C$16,"優先評估",IF(G2139&gt;=評分方法!$C$17,"列入候選",IF(G2139&gt;=評分方法!$C$18,"特定情境","不建議")))</f>
        <v>不建議</v>
      </c>
      <c r="I2139" s="15" t="n">
        <f aca="false">AE2139*評分方法!$C$5</f>
        <v>15</v>
      </c>
      <c r="J2139" s="15" t="n">
        <f aca="false">AF2139*評分方法!$C$6</f>
        <v>0</v>
      </c>
      <c r="K2139" s="15" t="n">
        <f aca="false">AG2139*評分方法!$C$7</f>
        <v>4.95</v>
      </c>
      <c r="L2139" s="15" t="n">
        <f aca="false">AH2139*評分方法!$C$8</f>
        <v>15</v>
      </c>
      <c r="M2139" s="15" t="n">
        <f aca="false">AI2139*評分方法!$C$9</f>
        <v>10</v>
      </c>
      <c r="N2139" s="15" t="n">
        <f aca="false">AJ2139*評分方法!$C$10</f>
        <v>0.408</v>
      </c>
      <c r="O2139" s="15" t="n">
        <f aca="false">AK2139*評分方法!$C$11</f>
        <v>2.5</v>
      </c>
      <c r="P2139" s="15" t="n">
        <f aca="false">AL2139*評分方法!$C$12</f>
        <v>1.5</v>
      </c>
      <c r="Q2139" s="6" t="n">
        <v>128701</v>
      </c>
      <c r="R2139" s="6" t="n">
        <v>109483009</v>
      </c>
      <c r="S2139" s="11" t="s">
        <v>238</v>
      </c>
      <c r="T2139" s="11" t="s">
        <v>239</v>
      </c>
      <c r="U2139" s="5" t="s">
        <v>240</v>
      </c>
      <c r="V2139" s="11" t="s">
        <v>261</v>
      </c>
      <c r="W2139" s="5" t="s">
        <v>334</v>
      </c>
      <c r="X2139" s="5" t="s">
        <v>255</v>
      </c>
      <c r="Y2139" s="5"/>
      <c r="Z2139" s="5"/>
      <c r="AA2139" s="11" t="s">
        <v>162</v>
      </c>
      <c r="AB2139" s="5" t="s">
        <v>328</v>
      </c>
      <c r="AC2139" s="5" t="s">
        <v>400</v>
      </c>
      <c r="AD2139" s="11" t="s">
        <v>5248</v>
      </c>
      <c r="AE2139" s="23" t="n">
        <v>0.5</v>
      </c>
      <c r="AF2139" s="23" t="n">
        <v>0</v>
      </c>
      <c r="AG2139" s="23" t="n">
        <v>0.33</v>
      </c>
      <c r="AH2139" s="23" t="n">
        <v>1</v>
      </c>
      <c r="AI2139" s="23" t="n">
        <v>1</v>
      </c>
      <c r="AJ2139" s="23" t="n">
        <v>0.0408</v>
      </c>
      <c r="AK2139" s="23" t="n">
        <v>0.5</v>
      </c>
      <c r="AL2139" s="23" t="n">
        <v>0.3</v>
      </c>
      <c r="AM2139" s="16" t="n">
        <f aca="false">COUNTIFS($D$2:$D$2501,D2139,$G$2:$G$2501,"&gt;"&amp;G2139)+COUNTIFS($D$2:D2139,D2139,$G$2:G2139,G2139)</f>
        <v>43</v>
      </c>
      <c r="AN2139" s="5" t="str">
        <f aca="false">D2139&amp;"|"&amp;AM2139</f>
        <v>微調基底模型|43</v>
      </c>
    </row>
    <row r="2140" customFormat="false" ht="17.15" hidden="false" customHeight="false" outlineLevel="0" collapsed="false">
      <c r="A2140" s="16" t="n">
        <f aca="false">RANK(G2140,$G$2:$G$2501)+COUNTIF($G$2:G2140,G2140)-1</f>
        <v>2139</v>
      </c>
      <c r="B2140" s="11" t="s">
        <v>5249</v>
      </c>
      <c r="C2140" s="11" t="s">
        <v>5250</v>
      </c>
      <c r="D2140" s="5" t="s">
        <v>56</v>
      </c>
      <c r="E2140" s="5" t="s">
        <v>57</v>
      </c>
      <c r="F2140" s="5"/>
      <c r="G2140" s="22" t="n">
        <f aca="false">ROUND(SUM(I2140:P2140),3)</f>
        <v>49.334</v>
      </c>
      <c r="H2140" s="5" t="str">
        <f aca="false">IF(G2140&gt;=評分方法!$C$16,"優先評估",IF(G2140&gt;=評分方法!$C$17,"列入候選",IF(G2140&gt;=評分方法!$C$18,"特定情境","不建議")))</f>
        <v>不建議</v>
      </c>
      <c r="I2140" s="15" t="n">
        <f aca="false">AE2140*評分方法!$C$5</f>
        <v>4.8</v>
      </c>
      <c r="J2140" s="15" t="n">
        <f aca="false">AF2140*評分方法!$C$6</f>
        <v>0</v>
      </c>
      <c r="K2140" s="15" t="n">
        <f aca="false">AG2140*評分方法!$C$7</f>
        <v>4.95</v>
      </c>
      <c r="L2140" s="15" t="n">
        <f aca="false">AH2140*評分方法!$C$8</f>
        <v>15</v>
      </c>
      <c r="M2140" s="15" t="n">
        <f aca="false">AI2140*評分方法!$C$9</f>
        <v>10</v>
      </c>
      <c r="N2140" s="15" t="n">
        <f aca="false">AJ2140*評分方法!$C$10</f>
        <v>8.084</v>
      </c>
      <c r="O2140" s="15" t="n">
        <f aca="false">AK2140*評分方法!$C$11</f>
        <v>5</v>
      </c>
      <c r="P2140" s="15" t="n">
        <f aca="false">AL2140*評分方法!$C$12</f>
        <v>1.5</v>
      </c>
      <c r="Q2140" s="6" t="n">
        <v>1689906</v>
      </c>
      <c r="R2140" s="6" t="n">
        <v>861728128</v>
      </c>
      <c r="S2140" s="11" t="s">
        <v>238</v>
      </c>
      <c r="T2140" s="11" t="s">
        <v>239</v>
      </c>
      <c r="U2140" s="5" t="s">
        <v>240</v>
      </c>
      <c r="V2140" s="11" t="s">
        <v>333</v>
      </c>
      <c r="W2140" s="5" t="s">
        <v>334</v>
      </c>
      <c r="X2140" s="5" t="s">
        <v>255</v>
      </c>
      <c r="Y2140" s="11" t="s">
        <v>5251</v>
      </c>
      <c r="Z2140" s="11" t="s">
        <v>244</v>
      </c>
      <c r="AA2140" s="11" t="s">
        <v>171</v>
      </c>
      <c r="AB2140" s="5" t="s">
        <v>245</v>
      </c>
      <c r="AC2140" s="5" t="s">
        <v>5252</v>
      </c>
      <c r="AD2140" s="11" t="s">
        <v>5253</v>
      </c>
      <c r="AE2140" s="23" t="n">
        <v>0.16</v>
      </c>
      <c r="AF2140" s="23" t="n">
        <v>0</v>
      </c>
      <c r="AG2140" s="23" t="n">
        <v>0.33</v>
      </c>
      <c r="AH2140" s="23" t="n">
        <v>1</v>
      </c>
      <c r="AI2140" s="23" t="n">
        <v>1</v>
      </c>
      <c r="AJ2140" s="23" t="n">
        <v>0.8084</v>
      </c>
      <c r="AK2140" s="23" t="n">
        <v>1</v>
      </c>
      <c r="AL2140" s="23" t="n">
        <v>0.3</v>
      </c>
      <c r="AM2140" s="16" t="n">
        <f aca="false">COUNTIFS($D$2:$D$2501,D2140,$G$2:$G$2501,"&gt;"&amp;G2140)+COUNTIFS($D$2:D2140,D2140,$G$2:G2140,G2140)</f>
        <v>950</v>
      </c>
      <c r="AN2140" s="5" t="str">
        <f aca="false">D2140&amp;"|"&amp;AM2140</f>
        <v>分析與報告生成|950</v>
      </c>
    </row>
    <row r="2141" customFormat="false" ht="17.15" hidden="false" customHeight="false" outlineLevel="0" collapsed="false">
      <c r="A2141" s="16" t="n">
        <f aca="false">RANK(G2141,$G$2:$G$2501)+COUNTIF($G$2:G2141,G2141)-1</f>
        <v>2140</v>
      </c>
      <c r="B2141" s="11" t="s">
        <v>5254</v>
      </c>
      <c r="C2141" s="11" t="s">
        <v>402</v>
      </c>
      <c r="D2141" s="5" t="s">
        <v>58</v>
      </c>
      <c r="E2141" s="5" t="s">
        <v>59</v>
      </c>
      <c r="F2141" s="5"/>
      <c r="G2141" s="22" t="n">
        <f aca="false">ROUND(SUM(I2141:P2141),3)</f>
        <v>49.326</v>
      </c>
      <c r="H2141" s="5" t="str">
        <f aca="false">IF(G2141&gt;=評分方法!$C$16,"優先評估",IF(G2141&gt;=評分方法!$C$17,"列入候選",IF(G2141&gt;=評分方法!$C$18,"特定情境","不建議")))</f>
        <v>不建議</v>
      </c>
      <c r="I2141" s="15" t="n">
        <f aca="false">AE2141*評分方法!$C$5</f>
        <v>11.4</v>
      </c>
      <c r="J2141" s="15" t="n">
        <f aca="false">AF2141*評分方法!$C$6</f>
        <v>0</v>
      </c>
      <c r="K2141" s="15" t="n">
        <f aca="false">AG2141*評分方法!$C$7</f>
        <v>4.95</v>
      </c>
      <c r="L2141" s="15" t="n">
        <f aca="false">AH2141*評分方法!$C$8</f>
        <v>15</v>
      </c>
      <c r="M2141" s="15" t="n">
        <f aca="false">AI2141*評分方法!$C$9</f>
        <v>10</v>
      </c>
      <c r="N2141" s="15" t="n">
        <f aca="false">AJ2141*評分方法!$C$10</f>
        <v>5.476</v>
      </c>
      <c r="O2141" s="15" t="n">
        <f aca="false">AK2141*評分方法!$C$11</f>
        <v>2.5</v>
      </c>
      <c r="P2141" s="15" t="n">
        <f aca="false">AL2141*評分方法!$C$12</f>
        <v>0</v>
      </c>
      <c r="Q2141" s="6" t="n">
        <v>574929</v>
      </c>
      <c r="R2141" s="6" t="n">
        <v>108893955</v>
      </c>
      <c r="S2141" s="11" t="s">
        <v>238</v>
      </c>
      <c r="T2141" s="11" t="s">
        <v>239</v>
      </c>
      <c r="U2141" s="5" t="s">
        <v>240</v>
      </c>
      <c r="V2141" s="11" t="s">
        <v>261</v>
      </c>
      <c r="W2141" s="5" t="s">
        <v>334</v>
      </c>
      <c r="X2141" s="5" t="s">
        <v>242</v>
      </c>
      <c r="Y2141" s="5"/>
      <c r="Z2141" s="5"/>
      <c r="AA2141" s="11" t="s">
        <v>150</v>
      </c>
      <c r="AB2141" s="5" t="s">
        <v>245</v>
      </c>
      <c r="AC2141" s="5" t="s">
        <v>3044</v>
      </c>
      <c r="AD2141" s="11" t="s">
        <v>5255</v>
      </c>
      <c r="AE2141" s="23" t="n">
        <v>0.38</v>
      </c>
      <c r="AF2141" s="23" t="n">
        <v>0</v>
      </c>
      <c r="AG2141" s="23" t="n">
        <v>0.33</v>
      </c>
      <c r="AH2141" s="23" t="n">
        <v>1</v>
      </c>
      <c r="AI2141" s="23" t="n">
        <v>1</v>
      </c>
      <c r="AJ2141" s="23" t="n">
        <v>0.5476</v>
      </c>
      <c r="AK2141" s="23" t="n">
        <v>0.5</v>
      </c>
      <c r="AL2141" s="23" t="n">
        <v>0</v>
      </c>
      <c r="AM2141" s="16" t="n">
        <f aca="false">COUNTIFS($D$2:$D$2501,D2141,$G$2:$G$2501,"&gt;"&amp;G2141)+COUNTIFS($D$2:D2141,D2141,$G$2:G2141,G2141)</f>
        <v>322</v>
      </c>
      <c r="AN2141" s="5" t="str">
        <f aca="false">D2141&amp;"|"&amp;AM2141</f>
        <v>實體擷取與去識別化|322</v>
      </c>
    </row>
    <row r="2142" customFormat="false" ht="17.15" hidden="false" customHeight="false" outlineLevel="0" collapsed="false">
      <c r="A2142" s="16" t="n">
        <f aca="false">RANK(G2142,$G$2:$G$2501)+COUNTIF($G$2:G2142,G2142)-1</f>
        <v>2141</v>
      </c>
      <c r="B2142" s="11" t="s">
        <v>5256</v>
      </c>
      <c r="C2142" s="11" t="s">
        <v>4046</v>
      </c>
      <c r="D2142" s="5" t="s">
        <v>78</v>
      </c>
      <c r="E2142" s="5" t="s">
        <v>79</v>
      </c>
      <c r="F2142" s="5"/>
      <c r="G2142" s="22" t="n">
        <f aca="false">ROUND(SUM(I2142:P2142),3)</f>
        <v>49.314</v>
      </c>
      <c r="H2142" s="5" t="str">
        <f aca="false">IF(G2142&gt;=評分方法!$C$16,"優先評估",IF(G2142&gt;=評分方法!$C$17,"列入候選",IF(G2142&gt;=評分方法!$C$18,"特定情境","不建議")))</f>
        <v>不建議</v>
      </c>
      <c r="I2142" s="15" t="n">
        <f aca="false">AE2142*評分方法!$C$5</f>
        <v>9</v>
      </c>
      <c r="J2142" s="15" t="n">
        <f aca="false">AF2142*評分方法!$C$6</f>
        <v>0</v>
      </c>
      <c r="K2142" s="15" t="n">
        <f aca="false">AG2142*評分方法!$C$7</f>
        <v>4.95</v>
      </c>
      <c r="L2142" s="15" t="n">
        <f aca="false">AH2142*評分方法!$C$8</f>
        <v>15</v>
      </c>
      <c r="M2142" s="15" t="n">
        <f aca="false">AI2142*評分方法!$C$9</f>
        <v>6</v>
      </c>
      <c r="N2142" s="15" t="n">
        <f aca="false">AJ2142*評分方法!$C$10</f>
        <v>9.364</v>
      </c>
      <c r="O2142" s="15" t="n">
        <f aca="false">AK2142*評分方法!$C$11</f>
        <v>5</v>
      </c>
      <c r="P2142" s="15" t="n">
        <f aca="false">AL2142*評分方法!$C$12</f>
        <v>0</v>
      </c>
      <c r="Q2142" s="6" t="n">
        <v>7022564</v>
      </c>
      <c r="R2142" s="6" t="n">
        <v>618309121</v>
      </c>
      <c r="S2142" s="11" t="s">
        <v>238</v>
      </c>
      <c r="T2142" s="11" t="s">
        <v>185</v>
      </c>
      <c r="U2142" s="5" t="s">
        <v>260</v>
      </c>
      <c r="V2142" s="11" t="s">
        <v>333</v>
      </c>
      <c r="W2142" s="5" t="s">
        <v>334</v>
      </c>
      <c r="X2142" s="5" t="s">
        <v>242</v>
      </c>
      <c r="Y2142" s="11" t="s">
        <v>5257</v>
      </c>
      <c r="Z2142" s="11" t="s">
        <v>244</v>
      </c>
      <c r="AA2142" s="11" t="s">
        <v>175</v>
      </c>
      <c r="AB2142" s="5" t="s">
        <v>245</v>
      </c>
      <c r="AC2142" s="5" t="s">
        <v>464</v>
      </c>
      <c r="AD2142" s="11" t="s">
        <v>5258</v>
      </c>
      <c r="AE2142" s="23" t="n">
        <v>0.3</v>
      </c>
      <c r="AF2142" s="23" t="n">
        <v>0</v>
      </c>
      <c r="AG2142" s="23" t="n">
        <v>0.33</v>
      </c>
      <c r="AH2142" s="23" t="n">
        <v>1</v>
      </c>
      <c r="AI2142" s="23" t="n">
        <v>0.6</v>
      </c>
      <c r="AJ2142" s="23" t="n">
        <v>0.9364</v>
      </c>
      <c r="AK2142" s="23" t="n">
        <v>1</v>
      </c>
      <c r="AL2142" s="23" t="n">
        <v>0</v>
      </c>
      <c r="AM2142" s="16" t="n">
        <f aca="false">COUNTIFS($D$2:$D$2501,D2142,$G$2:$G$2501,"&gt;"&amp;G2142)+COUNTIFS($D$2:D2142,D2142,$G$2:G2142,G2142)</f>
        <v>70</v>
      </c>
      <c r="AN2142" s="5" t="str">
        <f aca="false">D2142&amp;"|"&amp;AM2142</f>
        <v>語音分析|70</v>
      </c>
    </row>
    <row r="2143" customFormat="false" ht="17.15" hidden="false" customHeight="false" outlineLevel="0" collapsed="false">
      <c r="A2143" s="16" t="n">
        <f aca="false">RANK(G2143,$G$2:$G$2501)+COUNTIF($G$2:G2143,G2143)-1</f>
        <v>2142</v>
      </c>
      <c r="B2143" s="11" t="s">
        <v>5259</v>
      </c>
      <c r="C2143" s="11" t="s">
        <v>681</v>
      </c>
      <c r="D2143" s="5" t="s">
        <v>74</v>
      </c>
      <c r="E2143" s="5" t="s">
        <v>75</v>
      </c>
      <c r="F2143" s="5"/>
      <c r="G2143" s="22" t="n">
        <f aca="false">ROUND(SUM(I2143:P2143),3)</f>
        <v>49.272</v>
      </c>
      <c r="H2143" s="5" t="str">
        <f aca="false">IF(G2143&gt;=評分方法!$C$16,"優先評估",IF(G2143&gt;=評分方法!$C$17,"列入候選",IF(G2143&gt;=評分方法!$C$18,"特定情境","不建議")))</f>
        <v>不建議</v>
      </c>
      <c r="I2143" s="15" t="n">
        <f aca="false">AE2143*評分方法!$C$5</f>
        <v>4.5</v>
      </c>
      <c r="J2143" s="15" t="n">
        <f aca="false">AF2143*評分方法!$C$6</f>
        <v>0</v>
      </c>
      <c r="K2143" s="15" t="n">
        <f aca="false">AG2143*評分方法!$C$7</f>
        <v>15</v>
      </c>
      <c r="L2143" s="15" t="n">
        <f aca="false">AH2143*評分方法!$C$8</f>
        <v>15</v>
      </c>
      <c r="M2143" s="15" t="n">
        <f aca="false">AI2143*評分方法!$C$9</f>
        <v>6</v>
      </c>
      <c r="N2143" s="15" t="n">
        <f aca="false">AJ2143*評分方法!$C$10</f>
        <v>6.272</v>
      </c>
      <c r="O2143" s="15" t="n">
        <f aca="false">AK2143*評分方法!$C$11</f>
        <v>1</v>
      </c>
      <c r="P2143" s="15" t="n">
        <f aca="false">AL2143*評分方法!$C$12</f>
        <v>1.5</v>
      </c>
      <c r="Q2143" s="6" t="n">
        <v>685808</v>
      </c>
      <c r="R2143" s="6" t="n">
        <v>47450536</v>
      </c>
      <c r="S2143" s="11" t="s">
        <v>238</v>
      </c>
      <c r="T2143" s="11" t="s">
        <v>185</v>
      </c>
      <c r="U2143" s="5" t="s">
        <v>260</v>
      </c>
      <c r="V2143" s="11" t="s">
        <v>324</v>
      </c>
      <c r="W2143" s="5" t="s">
        <v>205</v>
      </c>
      <c r="X2143" s="5" t="s">
        <v>255</v>
      </c>
      <c r="Y2143" s="5"/>
      <c r="Z2143" s="5"/>
      <c r="AA2143" s="11" t="s">
        <v>183</v>
      </c>
      <c r="AB2143" s="5" t="s">
        <v>245</v>
      </c>
      <c r="AC2143" s="5" t="s">
        <v>262</v>
      </c>
      <c r="AD2143" s="11" t="s">
        <v>5260</v>
      </c>
      <c r="AE2143" s="23" t="n">
        <v>0.15</v>
      </c>
      <c r="AF2143" s="23" t="n">
        <v>0</v>
      </c>
      <c r="AG2143" s="23" t="n">
        <v>1</v>
      </c>
      <c r="AH2143" s="23" t="n">
        <v>1</v>
      </c>
      <c r="AI2143" s="23" t="n">
        <v>0.6</v>
      </c>
      <c r="AJ2143" s="23" t="n">
        <v>0.6272</v>
      </c>
      <c r="AK2143" s="23" t="n">
        <v>0.2</v>
      </c>
      <c r="AL2143" s="23" t="n">
        <v>0.3</v>
      </c>
      <c r="AM2143" s="16" t="n">
        <f aca="false">COUNTIFS($D$2:$D$2501,D2143,$G$2:$G$2501,"&gt;"&amp;G2143)+COUNTIFS($D$2:D2143,D2143,$G$2:G2143,G2143)</f>
        <v>289</v>
      </c>
      <c r="AN2143" s="5" t="str">
        <f aca="false">D2143&amp;"|"&amp;AM2143</f>
        <v>文件與影像辨識|289</v>
      </c>
    </row>
    <row r="2144" customFormat="false" ht="17.15" hidden="false" customHeight="false" outlineLevel="0" collapsed="false">
      <c r="A2144" s="16" t="n">
        <f aca="false">RANK(G2144,$G$2:$G$2501)+COUNTIF($G$2:G2144,G2144)-1</f>
        <v>2143</v>
      </c>
      <c r="B2144" s="11" t="s">
        <v>5261</v>
      </c>
      <c r="C2144" s="11" t="s">
        <v>402</v>
      </c>
      <c r="D2144" s="5" t="s">
        <v>58</v>
      </c>
      <c r="E2144" s="5" t="s">
        <v>59</v>
      </c>
      <c r="F2144" s="5"/>
      <c r="G2144" s="22" t="n">
        <f aca="false">ROUND(SUM(I2144:P2144),3)</f>
        <v>49.262</v>
      </c>
      <c r="H2144" s="5" t="str">
        <f aca="false">IF(G2144&gt;=評分方法!$C$16,"優先評估",IF(G2144&gt;=評分方法!$C$17,"列入候選",IF(G2144&gt;=評分方法!$C$18,"特定情境","不建議")))</f>
        <v>不建議</v>
      </c>
      <c r="I2144" s="15" t="n">
        <f aca="false">AE2144*評分方法!$C$5</f>
        <v>11.4</v>
      </c>
      <c r="J2144" s="15" t="n">
        <f aca="false">AF2144*評分方法!$C$6</f>
        <v>0</v>
      </c>
      <c r="K2144" s="15" t="n">
        <f aca="false">AG2144*評分方法!$C$7</f>
        <v>4.95</v>
      </c>
      <c r="L2144" s="15" t="n">
        <f aca="false">AH2144*評分方法!$C$8</f>
        <v>15</v>
      </c>
      <c r="M2144" s="15" t="n">
        <f aca="false">AI2144*評分方法!$C$9</f>
        <v>10</v>
      </c>
      <c r="N2144" s="15" t="n">
        <f aca="false">AJ2144*評分方法!$C$10</f>
        <v>5.412</v>
      </c>
      <c r="O2144" s="15" t="n">
        <f aca="false">AK2144*評分方法!$C$11</f>
        <v>2.5</v>
      </c>
      <c r="P2144" s="15" t="n">
        <f aca="false">AL2144*評分方法!$C$12</f>
        <v>0</v>
      </c>
      <c r="Q2144" s="6" t="n">
        <v>569565</v>
      </c>
      <c r="R2144" s="6" t="n">
        <v>108893955</v>
      </c>
      <c r="S2144" s="11" t="s">
        <v>238</v>
      </c>
      <c r="T2144" s="11" t="s">
        <v>239</v>
      </c>
      <c r="U2144" s="5" t="s">
        <v>240</v>
      </c>
      <c r="V2144" s="11" t="s">
        <v>261</v>
      </c>
      <c r="W2144" s="5" t="s">
        <v>334</v>
      </c>
      <c r="X2144" s="5" t="s">
        <v>242</v>
      </c>
      <c r="Y2144" s="5"/>
      <c r="Z2144" s="5"/>
      <c r="AA2144" s="11" t="s">
        <v>150</v>
      </c>
      <c r="AB2144" s="5" t="s">
        <v>245</v>
      </c>
      <c r="AC2144" s="5" t="s">
        <v>3044</v>
      </c>
      <c r="AD2144" s="11" t="s">
        <v>5262</v>
      </c>
      <c r="AE2144" s="23" t="n">
        <v>0.38</v>
      </c>
      <c r="AF2144" s="23" t="n">
        <v>0</v>
      </c>
      <c r="AG2144" s="23" t="n">
        <v>0.33</v>
      </c>
      <c r="AH2144" s="23" t="n">
        <v>1</v>
      </c>
      <c r="AI2144" s="23" t="n">
        <v>1</v>
      </c>
      <c r="AJ2144" s="23" t="n">
        <v>0.5412</v>
      </c>
      <c r="AK2144" s="23" t="n">
        <v>0.5</v>
      </c>
      <c r="AL2144" s="23" t="n">
        <v>0</v>
      </c>
      <c r="AM2144" s="16" t="n">
        <f aca="false">COUNTIFS($D$2:$D$2501,D2144,$G$2:$G$2501,"&gt;"&amp;G2144)+COUNTIFS($D$2:D2144,D2144,$G$2:G2144,G2144)</f>
        <v>323</v>
      </c>
      <c r="AN2144" s="5" t="str">
        <f aca="false">D2144&amp;"|"&amp;AM2144</f>
        <v>實體擷取與去識別化|323</v>
      </c>
    </row>
    <row r="2145" customFormat="false" ht="17.15" hidden="false" customHeight="false" outlineLevel="0" collapsed="false">
      <c r="A2145" s="16" t="n">
        <f aca="false">RANK(G2145,$G$2:$G$2501)+COUNTIF($G$2:G2145,G2145)-1</f>
        <v>2144</v>
      </c>
      <c r="B2145" s="11" t="s">
        <v>5263</v>
      </c>
      <c r="C2145" s="11" t="s">
        <v>402</v>
      </c>
      <c r="D2145" s="5" t="s">
        <v>58</v>
      </c>
      <c r="E2145" s="5" t="s">
        <v>59</v>
      </c>
      <c r="F2145" s="5"/>
      <c r="G2145" s="22" t="n">
        <f aca="false">ROUND(SUM(I2145:P2145),3)</f>
        <v>49.258</v>
      </c>
      <c r="H2145" s="5" t="str">
        <f aca="false">IF(G2145&gt;=評分方法!$C$16,"優先評估",IF(G2145&gt;=評分方法!$C$17,"列入候選",IF(G2145&gt;=評分方法!$C$18,"特定情境","不建議")))</f>
        <v>不建議</v>
      </c>
      <c r="I2145" s="15" t="n">
        <f aca="false">AE2145*評分方法!$C$5</f>
        <v>11.4</v>
      </c>
      <c r="J2145" s="15" t="n">
        <f aca="false">AF2145*評分方法!$C$6</f>
        <v>0</v>
      </c>
      <c r="K2145" s="15" t="n">
        <f aca="false">AG2145*評分方法!$C$7</f>
        <v>4.95</v>
      </c>
      <c r="L2145" s="15" t="n">
        <f aca="false">AH2145*評分方法!$C$8</f>
        <v>15</v>
      </c>
      <c r="M2145" s="15" t="n">
        <f aca="false">AI2145*評分方法!$C$9</f>
        <v>10</v>
      </c>
      <c r="N2145" s="15" t="n">
        <f aca="false">AJ2145*評分方法!$C$10</f>
        <v>5.408</v>
      </c>
      <c r="O2145" s="15" t="n">
        <f aca="false">AK2145*評分方法!$C$11</f>
        <v>2.5</v>
      </c>
      <c r="P2145" s="15" t="n">
        <f aca="false">AL2145*評分方法!$C$12</f>
        <v>0</v>
      </c>
      <c r="Q2145" s="6" t="n">
        <v>569490</v>
      </c>
      <c r="R2145" s="6" t="n">
        <v>334095363</v>
      </c>
      <c r="S2145" s="11" t="s">
        <v>238</v>
      </c>
      <c r="T2145" s="11" t="s">
        <v>239</v>
      </c>
      <c r="U2145" s="5" t="s">
        <v>240</v>
      </c>
      <c r="V2145" s="11" t="s">
        <v>261</v>
      </c>
      <c r="W2145" s="5" t="s">
        <v>334</v>
      </c>
      <c r="X2145" s="5" t="s">
        <v>242</v>
      </c>
      <c r="Y2145" s="5"/>
      <c r="Z2145" s="5"/>
      <c r="AA2145" s="11" t="s">
        <v>150</v>
      </c>
      <c r="AB2145" s="5" t="s">
        <v>245</v>
      </c>
      <c r="AC2145" s="5" t="s">
        <v>3044</v>
      </c>
      <c r="AD2145" s="11" t="s">
        <v>5264</v>
      </c>
      <c r="AE2145" s="23" t="n">
        <v>0.38</v>
      </c>
      <c r="AF2145" s="23" t="n">
        <v>0</v>
      </c>
      <c r="AG2145" s="23" t="n">
        <v>0.33</v>
      </c>
      <c r="AH2145" s="23" t="n">
        <v>1</v>
      </c>
      <c r="AI2145" s="23" t="n">
        <v>1</v>
      </c>
      <c r="AJ2145" s="23" t="n">
        <v>0.5408</v>
      </c>
      <c r="AK2145" s="23" t="n">
        <v>0.5</v>
      </c>
      <c r="AL2145" s="23" t="n">
        <v>0</v>
      </c>
      <c r="AM2145" s="16" t="n">
        <f aca="false">COUNTIFS($D$2:$D$2501,D2145,$G$2:$G$2501,"&gt;"&amp;G2145)+COUNTIFS($D$2:D2145,D2145,$G$2:G2145,G2145)</f>
        <v>324</v>
      </c>
      <c r="AN2145" s="5" t="str">
        <f aca="false">D2145&amp;"|"&amp;AM2145</f>
        <v>實體擷取與去識別化|324</v>
      </c>
    </row>
    <row r="2146" customFormat="false" ht="17.15" hidden="false" customHeight="false" outlineLevel="0" collapsed="false">
      <c r="A2146" s="16" t="n">
        <f aca="false">RANK(G2146,$G$2:$G$2501)+COUNTIF($G$2:G2146,G2146)-1</f>
        <v>2145</v>
      </c>
      <c r="B2146" s="11" t="s">
        <v>5265</v>
      </c>
      <c r="C2146" s="11" t="s">
        <v>5266</v>
      </c>
      <c r="D2146" s="5" t="s">
        <v>74</v>
      </c>
      <c r="E2146" s="5" t="s">
        <v>75</v>
      </c>
      <c r="F2146" s="5"/>
      <c r="G2146" s="22" t="n">
        <f aca="false">ROUND(SUM(I2146:P2146),3)</f>
        <v>49.25</v>
      </c>
      <c r="H2146" s="5" t="str">
        <f aca="false">IF(G2146&gt;=評分方法!$C$16,"優先評估",IF(G2146&gt;=評分方法!$C$17,"列入候選",IF(G2146&gt;=評分方法!$C$18,"特定情境","不建議")))</f>
        <v>不建議</v>
      </c>
      <c r="I2146" s="15" t="n">
        <f aca="false">AE2146*評分方法!$C$5</f>
        <v>10.5</v>
      </c>
      <c r="J2146" s="15" t="n">
        <f aca="false">AF2146*評分方法!$C$6</f>
        <v>0</v>
      </c>
      <c r="K2146" s="15" t="n">
        <f aca="false">AG2146*評分方法!$C$7</f>
        <v>4.95</v>
      </c>
      <c r="L2146" s="15" t="n">
        <f aca="false">AH2146*評分方法!$C$8</f>
        <v>15</v>
      </c>
      <c r="M2146" s="15" t="n">
        <f aca="false">AI2146*評分方法!$C$9</f>
        <v>6</v>
      </c>
      <c r="N2146" s="15" t="n">
        <f aca="false">AJ2146*評分方法!$C$10</f>
        <v>8.8</v>
      </c>
      <c r="O2146" s="15" t="n">
        <f aca="false">AK2146*評分方法!$C$11</f>
        <v>4</v>
      </c>
      <c r="P2146" s="15" t="n">
        <f aca="false">AL2146*評分方法!$C$12</f>
        <v>0</v>
      </c>
      <c r="Q2146" s="6" t="n">
        <v>3065298</v>
      </c>
      <c r="R2146" s="6" t="n">
        <v>303129600</v>
      </c>
      <c r="S2146" s="11" t="s">
        <v>238</v>
      </c>
      <c r="T2146" s="11" t="s">
        <v>185</v>
      </c>
      <c r="U2146" s="5" t="s">
        <v>260</v>
      </c>
      <c r="V2146" s="11" t="s">
        <v>261</v>
      </c>
      <c r="W2146" s="5" t="s">
        <v>334</v>
      </c>
      <c r="X2146" s="5" t="s">
        <v>242</v>
      </c>
      <c r="Y2146" s="11" t="s">
        <v>3942</v>
      </c>
      <c r="Z2146" s="11" t="s">
        <v>270</v>
      </c>
      <c r="AA2146" s="11" t="s">
        <v>173</v>
      </c>
      <c r="AB2146" s="5" t="s">
        <v>245</v>
      </c>
      <c r="AC2146" s="5" t="s">
        <v>262</v>
      </c>
      <c r="AD2146" s="11" t="s">
        <v>5267</v>
      </c>
      <c r="AE2146" s="23" t="n">
        <v>0.35</v>
      </c>
      <c r="AF2146" s="23" t="n">
        <v>0</v>
      </c>
      <c r="AG2146" s="23" t="n">
        <v>0.33</v>
      </c>
      <c r="AH2146" s="23" t="n">
        <v>1</v>
      </c>
      <c r="AI2146" s="23" t="n">
        <v>0.6</v>
      </c>
      <c r="AJ2146" s="23" t="n">
        <v>0.88</v>
      </c>
      <c r="AK2146" s="23" t="n">
        <v>0.8</v>
      </c>
      <c r="AL2146" s="23" t="n">
        <v>0</v>
      </c>
      <c r="AM2146" s="16" t="n">
        <f aca="false">COUNTIFS($D$2:$D$2501,D2146,$G$2:$G$2501,"&gt;"&amp;G2146)+COUNTIFS($D$2:D2146,D2146,$G$2:G2146,G2146)</f>
        <v>290</v>
      </c>
      <c r="AN2146" s="5" t="str">
        <f aca="false">D2146&amp;"|"&amp;AM2146</f>
        <v>文件與影像辨識|290</v>
      </c>
    </row>
    <row r="2147" customFormat="false" ht="17.15" hidden="false" customHeight="false" outlineLevel="0" collapsed="false">
      <c r="A2147" s="16" t="n">
        <f aca="false">RANK(G2147,$G$2:$G$2501)+COUNTIF($G$2:G2147,G2147)-1</f>
        <v>2146</v>
      </c>
      <c r="B2147" s="11" t="s">
        <v>5268</v>
      </c>
      <c r="C2147" s="11" t="s">
        <v>5269</v>
      </c>
      <c r="D2147" s="5" t="s">
        <v>54</v>
      </c>
      <c r="E2147" s="5" t="s">
        <v>55</v>
      </c>
      <c r="F2147" s="5"/>
      <c r="G2147" s="22" t="n">
        <f aca="false">ROUND(SUM(I2147:P2147),3)</f>
        <v>49.234</v>
      </c>
      <c r="H2147" s="5" t="str">
        <f aca="false">IF(G2147&gt;=評分方法!$C$16,"優先評估",IF(G2147&gt;=評分方法!$C$17,"列入候選",IF(G2147&gt;=評分方法!$C$18,"特定情境","不建議")))</f>
        <v>不建議</v>
      </c>
      <c r="I2147" s="15" t="n">
        <f aca="false">AE2147*評分方法!$C$5</f>
        <v>16.2</v>
      </c>
      <c r="J2147" s="15" t="n">
        <f aca="false">AF2147*評分方法!$C$6</f>
        <v>0</v>
      </c>
      <c r="K2147" s="15" t="n">
        <f aca="false">AG2147*評分方法!$C$7</f>
        <v>4.95</v>
      </c>
      <c r="L2147" s="15" t="n">
        <f aca="false">AH2147*評分方法!$C$8</f>
        <v>15</v>
      </c>
      <c r="M2147" s="15" t="n">
        <f aca="false">AI2147*評分方法!$C$9</f>
        <v>10</v>
      </c>
      <c r="N2147" s="15" t="n">
        <f aca="false">AJ2147*評分方法!$C$10</f>
        <v>2.084</v>
      </c>
      <c r="O2147" s="15" t="n">
        <f aca="false">AK2147*評分方法!$C$11</f>
        <v>1</v>
      </c>
      <c r="P2147" s="15" t="n">
        <f aca="false">AL2147*評分方法!$C$12</f>
        <v>0</v>
      </c>
      <c r="Q2147" s="6" t="n">
        <v>216522</v>
      </c>
      <c r="R2147" s="6" t="n">
        <v>109851392</v>
      </c>
      <c r="S2147" s="11" t="s">
        <v>238</v>
      </c>
      <c r="T2147" s="11" t="s">
        <v>239</v>
      </c>
      <c r="U2147" s="5" t="s">
        <v>240</v>
      </c>
      <c r="V2147" s="11" t="s">
        <v>324</v>
      </c>
      <c r="W2147" s="5" t="s">
        <v>334</v>
      </c>
      <c r="X2147" s="5" t="s">
        <v>242</v>
      </c>
      <c r="Y2147" s="5"/>
      <c r="Z2147" s="5"/>
      <c r="AA2147" s="11" t="s">
        <v>152</v>
      </c>
      <c r="AB2147" s="5" t="s">
        <v>245</v>
      </c>
      <c r="AC2147" s="5" t="s">
        <v>1463</v>
      </c>
      <c r="AD2147" s="11" t="s">
        <v>5270</v>
      </c>
      <c r="AE2147" s="23" t="n">
        <v>0.54</v>
      </c>
      <c r="AF2147" s="23" t="n">
        <v>0</v>
      </c>
      <c r="AG2147" s="23" t="n">
        <v>0.33</v>
      </c>
      <c r="AH2147" s="23" t="n">
        <v>1</v>
      </c>
      <c r="AI2147" s="23" t="n">
        <v>1</v>
      </c>
      <c r="AJ2147" s="23" t="n">
        <v>0.2084</v>
      </c>
      <c r="AK2147" s="23" t="n">
        <v>0.2</v>
      </c>
      <c r="AL2147" s="23" t="n">
        <v>0</v>
      </c>
      <c r="AM2147" s="16" t="n">
        <f aca="false">COUNTIFS($D$2:$D$2501,D2147,$G$2:$G$2501,"&gt;"&amp;G2147)+COUNTIFS($D$2:D2147,D2147,$G$2:G2147,G2147)</f>
        <v>263</v>
      </c>
      <c r="AN2147" s="5" t="str">
        <f aca="false">D2147&amp;"|"&amp;AM2147</f>
        <v>檢索與情資關聯|263</v>
      </c>
    </row>
    <row r="2148" customFormat="false" ht="17.15" hidden="false" customHeight="false" outlineLevel="0" collapsed="false">
      <c r="A2148" s="16" t="n">
        <f aca="false">RANK(G2148,$G$2:$G$2501)+COUNTIF($G$2:G2148,G2148)-1</f>
        <v>2147</v>
      </c>
      <c r="B2148" s="11" t="s">
        <v>5271</v>
      </c>
      <c r="C2148" s="11" t="s">
        <v>5272</v>
      </c>
      <c r="D2148" s="5" t="s">
        <v>56</v>
      </c>
      <c r="E2148" s="5" t="s">
        <v>57</v>
      </c>
      <c r="F2148" s="5"/>
      <c r="G2148" s="22" t="n">
        <f aca="false">ROUND(SUM(I2148:P2148),3)</f>
        <v>49.23</v>
      </c>
      <c r="H2148" s="5" t="str">
        <f aca="false">IF(G2148&gt;=評分方法!$C$16,"優先評估",IF(G2148&gt;=評分方法!$C$17,"列入候選",IF(G2148&gt;=評分方法!$C$18,"特定情境","不建議")))</f>
        <v>不建議</v>
      </c>
      <c r="I2148" s="15" t="n">
        <f aca="false">AE2148*評分方法!$C$5</f>
        <v>25.5</v>
      </c>
      <c r="J2148" s="15" t="n">
        <f aca="false">AF2148*評分方法!$C$6</f>
        <v>0</v>
      </c>
      <c r="K2148" s="15" t="n">
        <f aca="false">AG2148*評分方法!$C$7</f>
        <v>4.95</v>
      </c>
      <c r="L2148" s="15" t="n">
        <f aca="false">AH2148*評分方法!$C$8</f>
        <v>9</v>
      </c>
      <c r="M2148" s="15" t="n">
        <f aca="false">AI2148*評分方法!$C$9</f>
        <v>2</v>
      </c>
      <c r="N2148" s="15" t="n">
        <f aca="false">AJ2148*評分方法!$C$10</f>
        <v>2.28</v>
      </c>
      <c r="O2148" s="15" t="n">
        <f aca="false">AK2148*評分方法!$C$11</f>
        <v>2.5</v>
      </c>
      <c r="P2148" s="15" t="n">
        <f aca="false">AL2148*評分方法!$C$12</f>
        <v>3</v>
      </c>
      <c r="Q2148" s="6" t="n">
        <v>231987</v>
      </c>
      <c r="R2148" s="6" t="n">
        <v>23575680000</v>
      </c>
      <c r="S2148" s="11" t="s">
        <v>389</v>
      </c>
      <c r="T2148" s="5"/>
      <c r="U2148" s="5" t="s">
        <v>375</v>
      </c>
      <c r="V2148" s="11" t="s">
        <v>261</v>
      </c>
      <c r="W2148" s="5" t="s">
        <v>334</v>
      </c>
      <c r="X2148" s="5" t="s">
        <v>371</v>
      </c>
      <c r="Y2148" s="5"/>
      <c r="Z2148" s="5"/>
      <c r="AA2148" s="11" t="s">
        <v>155</v>
      </c>
      <c r="AB2148" s="5" t="s">
        <v>328</v>
      </c>
      <c r="AC2148" s="5" t="s">
        <v>329</v>
      </c>
      <c r="AD2148" s="11" t="s">
        <v>5273</v>
      </c>
      <c r="AE2148" s="23" t="n">
        <v>0.85</v>
      </c>
      <c r="AF2148" s="23" t="n">
        <v>0</v>
      </c>
      <c r="AG2148" s="23" t="n">
        <v>0.33</v>
      </c>
      <c r="AH2148" s="23" t="n">
        <v>0.6</v>
      </c>
      <c r="AI2148" s="23" t="n">
        <v>0.2</v>
      </c>
      <c r="AJ2148" s="23" t="n">
        <v>0.228</v>
      </c>
      <c r="AK2148" s="23" t="n">
        <v>0.5</v>
      </c>
      <c r="AL2148" s="23" t="n">
        <v>0.6</v>
      </c>
      <c r="AM2148" s="16" t="n">
        <f aca="false">COUNTIFS($D$2:$D$2501,D2148,$G$2:$G$2501,"&gt;"&amp;G2148)+COUNTIFS($D$2:D2148,D2148,$G$2:G2148,G2148)</f>
        <v>951</v>
      </c>
      <c r="AN2148" s="5" t="str">
        <f aca="false">D2148&amp;"|"&amp;AM2148</f>
        <v>分析與報告生成|951</v>
      </c>
    </row>
    <row r="2149" customFormat="false" ht="17.15" hidden="false" customHeight="false" outlineLevel="0" collapsed="false">
      <c r="A2149" s="16" t="n">
        <f aca="false">RANK(G2149,$G$2:$G$2501)+COUNTIF($G$2:G2149,G2149)-1</f>
        <v>2148</v>
      </c>
      <c r="B2149" s="11" t="s">
        <v>5274</v>
      </c>
      <c r="C2149" s="11" t="s">
        <v>5275</v>
      </c>
      <c r="D2149" s="5" t="s">
        <v>78</v>
      </c>
      <c r="E2149" s="5" t="s">
        <v>79</v>
      </c>
      <c r="F2149" s="5"/>
      <c r="G2149" s="22" t="n">
        <f aca="false">ROUND(SUM(I2149:P2149),3)</f>
        <v>49.226</v>
      </c>
      <c r="H2149" s="5" t="str">
        <f aca="false">IF(G2149&gt;=評分方法!$C$16,"優先評估",IF(G2149&gt;=評分方法!$C$17,"列入候選",IF(G2149&gt;=評分方法!$C$18,"特定情境","不建議")))</f>
        <v>不建議</v>
      </c>
      <c r="I2149" s="15" t="n">
        <f aca="false">AE2149*評分方法!$C$5</f>
        <v>9</v>
      </c>
      <c r="J2149" s="15" t="n">
        <f aca="false">AF2149*評分方法!$C$6</f>
        <v>0</v>
      </c>
      <c r="K2149" s="15" t="n">
        <f aca="false">AG2149*評分方法!$C$7</f>
        <v>4.95</v>
      </c>
      <c r="L2149" s="15" t="n">
        <f aca="false">AH2149*評分方法!$C$8</f>
        <v>15</v>
      </c>
      <c r="M2149" s="15" t="n">
        <f aca="false">AI2149*評分方法!$C$9</f>
        <v>10</v>
      </c>
      <c r="N2149" s="15" t="n">
        <f aca="false">AJ2149*評分方法!$C$10</f>
        <v>7.776</v>
      </c>
      <c r="O2149" s="15" t="n">
        <f aca="false">AK2149*評分方法!$C$11</f>
        <v>1</v>
      </c>
      <c r="P2149" s="15" t="n">
        <f aca="false">AL2149*評分方法!$C$12</f>
        <v>1.5</v>
      </c>
      <c r="Q2149" s="6" t="n">
        <v>1355118</v>
      </c>
      <c r="R2149" s="6" t="n">
        <v>315473570</v>
      </c>
      <c r="S2149" s="11" t="s">
        <v>238</v>
      </c>
      <c r="T2149" s="11" t="s">
        <v>239</v>
      </c>
      <c r="U2149" s="5" t="s">
        <v>240</v>
      </c>
      <c r="V2149" s="11" t="s">
        <v>261</v>
      </c>
      <c r="W2149" s="5" t="s">
        <v>334</v>
      </c>
      <c r="X2149" s="5" t="s">
        <v>255</v>
      </c>
      <c r="Y2149" s="11" t="s">
        <v>4916</v>
      </c>
      <c r="Z2149" s="11" t="s">
        <v>270</v>
      </c>
      <c r="AA2149" s="11" t="s">
        <v>175</v>
      </c>
      <c r="AB2149" s="5" t="s">
        <v>245</v>
      </c>
      <c r="AC2149" s="5"/>
      <c r="AD2149" s="11" t="s">
        <v>5276</v>
      </c>
      <c r="AE2149" s="23" t="n">
        <v>0.3</v>
      </c>
      <c r="AF2149" s="23" t="n">
        <v>0</v>
      </c>
      <c r="AG2149" s="23" t="n">
        <v>0.33</v>
      </c>
      <c r="AH2149" s="23" t="n">
        <v>1</v>
      </c>
      <c r="AI2149" s="23" t="n">
        <v>1</v>
      </c>
      <c r="AJ2149" s="23" t="n">
        <v>0.7776</v>
      </c>
      <c r="AK2149" s="23" t="n">
        <v>0.2</v>
      </c>
      <c r="AL2149" s="23" t="n">
        <v>0.3</v>
      </c>
      <c r="AM2149" s="16" t="n">
        <f aca="false">COUNTIFS($D$2:$D$2501,D2149,$G$2:$G$2501,"&gt;"&amp;G2149)+COUNTIFS($D$2:D2149,D2149,$G$2:G2149,G2149)</f>
        <v>71</v>
      </c>
      <c r="AN2149" s="5" t="str">
        <f aca="false">D2149&amp;"|"&amp;AM2149</f>
        <v>語音分析|71</v>
      </c>
    </row>
    <row r="2150" customFormat="false" ht="17.15" hidden="false" customHeight="false" outlineLevel="0" collapsed="false">
      <c r="A2150" s="16" t="n">
        <f aca="false">RANK(G2150,$G$2:$G$2501)+COUNTIF($G$2:G2150,G2150)-1</f>
        <v>2149</v>
      </c>
      <c r="B2150" s="11" t="s">
        <v>5277</v>
      </c>
      <c r="C2150" s="11" t="s">
        <v>402</v>
      </c>
      <c r="D2150" s="5" t="s">
        <v>58</v>
      </c>
      <c r="E2150" s="5" t="s">
        <v>59</v>
      </c>
      <c r="F2150" s="5"/>
      <c r="G2150" s="22" t="n">
        <f aca="false">ROUND(SUM(I2150:P2150),3)</f>
        <v>49.21</v>
      </c>
      <c r="H2150" s="5" t="str">
        <f aca="false">IF(G2150&gt;=評分方法!$C$16,"優先評估",IF(G2150&gt;=評分方法!$C$17,"列入候選",IF(G2150&gt;=評分方法!$C$18,"特定情境","不建議")))</f>
        <v>不建議</v>
      </c>
      <c r="I2150" s="15" t="n">
        <f aca="false">AE2150*評分方法!$C$5</f>
        <v>11.4</v>
      </c>
      <c r="J2150" s="15" t="n">
        <f aca="false">AF2150*評分方法!$C$6</f>
        <v>0</v>
      </c>
      <c r="K2150" s="15" t="n">
        <f aca="false">AG2150*評分方法!$C$7</f>
        <v>4.95</v>
      </c>
      <c r="L2150" s="15" t="n">
        <f aca="false">AH2150*評分方法!$C$8</f>
        <v>15</v>
      </c>
      <c r="M2150" s="15" t="n">
        <f aca="false">AI2150*評分方法!$C$9</f>
        <v>10</v>
      </c>
      <c r="N2150" s="15" t="n">
        <f aca="false">AJ2150*評分方法!$C$10</f>
        <v>5.36</v>
      </c>
      <c r="O2150" s="15" t="n">
        <f aca="false">AK2150*評分方法!$C$11</f>
        <v>2.5</v>
      </c>
      <c r="P2150" s="15" t="n">
        <f aca="false">AL2150*評分方法!$C$12</f>
        <v>0</v>
      </c>
      <c r="Q2150" s="6" t="n">
        <v>564204</v>
      </c>
      <c r="R2150" s="6" t="n">
        <v>108900107</v>
      </c>
      <c r="S2150" s="11" t="s">
        <v>238</v>
      </c>
      <c r="T2150" s="11" t="s">
        <v>239</v>
      </c>
      <c r="U2150" s="5" t="s">
        <v>240</v>
      </c>
      <c r="V2150" s="11" t="s">
        <v>261</v>
      </c>
      <c r="W2150" s="5" t="s">
        <v>334</v>
      </c>
      <c r="X2150" s="5" t="s">
        <v>242</v>
      </c>
      <c r="Y2150" s="5"/>
      <c r="Z2150" s="5"/>
      <c r="AA2150" s="11" t="s">
        <v>150</v>
      </c>
      <c r="AB2150" s="5" t="s">
        <v>245</v>
      </c>
      <c r="AC2150" s="5" t="s">
        <v>3044</v>
      </c>
      <c r="AD2150" s="11" t="s">
        <v>5278</v>
      </c>
      <c r="AE2150" s="23" t="n">
        <v>0.38</v>
      </c>
      <c r="AF2150" s="23" t="n">
        <v>0</v>
      </c>
      <c r="AG2150" s="23" t="n">
        <v>0.33</v>
      </c>
      <c r="AH2150" s="23" t="n">
        <v>1</v>
      </c>
      <c r="AI2150" s="23" t="n">
        <v>1</v>
      </c>
      <c r="AJ2150" s="23" t="n">
        <v>0.536</v>
      </c>
      <c r="AK2150" s="23" t="n">
        <v>0.5</v>
      </c>
      <c r="AL2150" s="23" t="n">
        <v>0</v>
      </c>
      <c r="AM2150" s="16" t="n">
        <f aca="false">COUNTIFS($D$2:$D$2501,D2150,$G$2:$G$2501,"&gt;"&amp;G2150)+COUNTIFS($D$2:D2150,D2150,$G$2:G2150,G2150)</f>
        <v>325</v>
      </c>
      <c r="AN2150" s="5" t="str">
        <f aca="false">D2150&amp;"|"&amp;AM2150</f>
        <v>實體擷取與去識別化|325</v>
      </c>
    </row>
    <row r="2151" customFormat="false" ht="17.15" hidden="false" customHeight="false" outlineLevel="0" collapsed="false">
      <c r="A2151" s="16" t="n">
        <f aca="false">RANK(G2151,$G$2:$G$2501)+COUNTIF($G$2:G2151,G2151)-1</f>
        <v>2150</v>
      </c>
      <c r="B2151" s="11" t="s">
        <v>5279</v>
      </c>
      <c r="C2151" s="11" t="s">
        <v>2785</v>
      </c>
      <c r="D2151" s="5" t="s">
        <v>56</v>
      </c>
      <c r="E2151" s="5" t="s">
        <v>57</v>
      </c>
      <c r="F2151" s="5"/>
      <c r="G2151" s="22" t="n">
        <f aca="false">ROUND(SUM(I2151:P2151),3)</f>
        <v>49.204</v>
      </c>
      <c r="H2151" s="5" t="str">
        <f aca="false">IF(G2151&gt;=評分方法!$C$16,"優先評估",IF(G2151&gt;=評分方法!$C$17,"列入候選",IF(G2151&gt;=評分方法!$C$18,"特定情境","不建議")))</f>
        <v>不建議</v>
      </c>
      <c r="I2151" s="15" t="n">
        <f aca="false">AE2151*評分方法!$C$5</f>
        <v>25.5</v>
      </c>
      <c r="J2151" s="15" t="n">
        <f aca="false">AF2151*評分方法!$C$6</f>
        <v>0</v>
      </c>
      <c r="K2151" s="15" t="n">
        <f aca="false">AG2151*評分方法!$C$7</f>
        <v>10.05</v>
      </c>
      <c r="L2151" s="15" t="n">
        <f aca="false">AH2151*評分方法!$C$8</f>
        <v>4.95</v>
      </c>
      <c r="M2151" s="15" t="n">
        <f aca="false">AI2151*評分方法!$C$9</f>
        <v>6</v>
      </c>
      <c r="N2151" s="15" t="n">
        <f aca="false">AJ2151*評分方法!$C$10</f>
        <v>1.704</v>
      </c>
      <c r="O2151" s="15" t="n">
        <f aca="false">AK2151*評分方法!$C$11</f>
        <v>1</v>
      </c>
      <c r="P2151" s="15" t="n">
        <f aca="false">AL2151*評分方法!$C$12</f>
        <v>0</v>
      </c>
      <c r="Q2151" s="6" t="n">
        <v>191298</v>
      </c>
      <c r="R2151" s="6" t="n">
        <v>70560423936</v>
      </c>
      <c r="S2151" s="11" t="s">
        <v>1876</v>
      </c>
      <c r="T2151" s="11" t="s">
        <v>1177</v>
      </c>
      <c r="U2151" s="5" t="s">
        <v>260</v>
      </c>
      <c r="V2151" s="11" t="s">
        <v>261</v>
      </c>
      <c r="W2151" s="5" t="s">
        <v>207</v>
      </c>
      <c r="X2151" s="5" t="s">
        <v>242</v>
      </c>
      <c r="Y2151" s="11" t="s">
        <v>3064</v>
      </c>
      <c r="Z2151" s="11" t="s">
        <v>270</v>
      </c>
      <c r="AA2151" s="11" t="s">
        <v>155</v>
      </c>
      <c r="AB2151" s="5" t="s">
        <v>496</v>
      </c>
      <c r="AC2151" s="5" t="s">
        <v>1330</v>
      </c>
      <c r="AD2151" s="11" t="s">
        <v>5280</v>
      </c>
      <c r="AE2151" s="23" t="n">
        <v>0.85</v>
      </c>
      <c r="AF2151" s="23" t="n">
        <v>0</v>
      </c>
      <c r="AG2151" s="23" t="n">
        <v>0.67</v>
      </c>
      <c r="AH2151" s="23" t="n">
        <v>0.33</v>
      </c>
      <c r="AI2151" s="23" t="n">
        <v>0.6</v>
      </c>
      <c r="AJ2151" s="23" t="n">
        <v>0.1704</v>
      </c>
      <c r="AK2151" s="23" t="n">
        <v>0.2</v>
      </c>
      <c r="AL2151" s="23" t="n">
        <v>0</v>
      </c>
      <c r="AM2151" s="16" t="n">
        <f aca="false">COUNTIFS($D$2:$D$2501,D2151,$G$2:$G$2501,"&gt;"&amp;G2151)+COUNTIFS($D$2:D2151,D2151,$G$2:G2151,G2151)</f>
        <v>952</v>
      </c>
      <c r="AN2151" s="5" t="str">
        <f aca="false">D2151&amp;"|"&amp;AM2151</f>
        <v>分析與報告生成|952</v>
      </c>
    </row>
    <row r="2152" customFormat="false" ht="17.15" hidden="false" customHeight="false" outlineLevel="0" collapsed="false">
      <c r="A2152" s="16" t="n">
        <f aca="false">RANK(G2152,$G$2:$G$2501)+COUNTIF($G$2:G2152,G2152)-1</f>
        <v>2151</v>
      </c>
      <c r="B2152" s="11" t="s">
        <v>5281</v>
      </c>
      <c r="C2152" s="11" t="s">
        <v>5282</v>
      </c>
      <c r="D2152" s="5" t="s">
        <v>78</v>
      </c>
      <c r="E2152" s="5" t="s">
        <v>79</v>
      </c>
      <c r="F2152" s="5"/>
      <c r="G2152" s="22" t="n">
        <f aca="false">ROUND(SUM(I2152:P2152),3)</f>
        <v>49.198</v>
      </c>
      <c r="H2152" s="5" t="str">
        <f aca="false">IF(G2152&gt;=評分方法!$C$16,"優先評估",IF(G2152&gt;=評分方法!$C$17,"列入候選",IF(G2152&gt;=評分方法!$C$18,"特定情境","不建議")))</f>
        <v>不建議</v>
      </c>
      <c r="I2152" s="15" t="n">
        <f aca="false">AE2152*評分方法!$C$5</f>
        <v>9</v>
      </c>
      <c r="J2152" s="15" t="n">
        <f aca="false">AF2152*評分方法!$C$6</f>
        <v>0</v>
      </c>
      <c r="K2152" s="15" t="n">
        <f aca="false">AG2152*評分方法!$C$7</f>
        <v>4.95</v>
      </c>
      <c r="L2152" s="15" t="n">
        <f aca="false">AH2152*評分方法!$C$8</f>
        <v>15</v>
      </c>
      <c r="M2152" s="15" t="n">
        <f aca="false">AI2152*評分方法!$C$9</f>
        <v>10</v>
      </c>
      <c r="N2152" s="15" t="n">
        <f aca="false">AJ2152*評分方法!$C$10</f>
        <v>7.748</v>
      </c>
      <c r="O2152" s="15" t="n">
        <f aca="false">AK2152*評分方法!$C$11</f>
        <v>1</v>
      </c>
      <c r="P2152" s="15" t="n">
        <f aca="false">AL2152*評分方法!$C$12</f>
        <v>1.5</v>
      </c>
      <c r="Q2152" s="6" t="n">
        <v>1326733</v>
      </c>
      <c r="R2152" s="6" t="n">
        <v>319029295</v>
      </c>
      <c r="S2152" s="11" t="s">
        <v>238</v>
      </c>
      <c r="T2152" s="11" t="s">
        <v>239</v>
      </c>
      <c r="U2152" s="5" t="s">
        <v>240</v>
      </c>
      <c r="V2152" s="11" t="s">
        <v>261</v>
      </c>
      <c r="W2152" s="5" t="s">
        <v>334</v>
      </c>
      <c r="X2152" s="5" t="s">
        <v>255</v>
      </c>
      <c r="Y2152" s="11" t="s">
        <v>5283</v>
      </c>
      <c r="Z2152" s="11" t="s">
        <v>270</v>
      </c>
      <c r="AA2152" s="11" t="s">
        <v>175</v>
      </c>
      <c r="AB2152" s="5" t="s">
        <v>245</v>
      </c>
      <c r="AC2152" s="5"/>
      <c r="AD2152" s="11" t="s">
        <v>5284</v>
      </c>
      <c r="AE2152" s="23" t="n">
        <v>0.3</v>
      </c>
      <c r="AF2152" s="23" t="n">
        <v>0</v>
      </c>
      <c r="AG2152" s="23" t="n">
        <v>0.33</v>
      </c>
      <c r="AH2152" s="23" t="n">
        <v>1</v>
      </c>
      <c r="AI2152" s="23" t="n">
        <v>1</v>
      </c>
      <c r="AJ2152" s="23" t="n">
        <v>0.7748</v>
      </c>
      <c r="AK2152" s="23" t="n">
        <v>0.2</v>
      </c>
      <c r="AL2152" s="23" t="n">
        <v>0.3</v>
      </c>
      <c r="AM2152" s="16" t="n">
        <f aca="false">COUNTIFS($D$2:$D$2501,D2152,$G$2:$G$2501,"&gt;"&amp;G2152)+COUNTIFS($D$2:D2152,D2152,$G$2:G2152,G2152)</f>
        <v>72</v>
      </c>
      <c r="AN2152" s="5" t="str">
        <f aca="false">D2152&amp;"|"&amp;AM2152</f>
        <v>語音分析|72</v>
      </c>
    </row>
    <row r="2153" customFormat="false" ht="17.15" hidden="false" customHeight="false" outlineLevel="0" collapsed="false">
      <c r="A2153" s="16" t="n">
        <f aca="false">RANK(G2153,$G$2:$G$2501)+COUNTIF($G$2:G2153,G2153)-1</f>
        <v>2152</v>
      </c>
      <c r="B2153" s="11" t="s">
        <v>5285</v>
      </c>
      <c r="C2153" s="11" t="s">
        <v>402</v>
      </c>
      <c r="D2153" s="5" t="s">
        <v>58</v>
      </c>
      <c r="E2153" s="5" t="s">
        <v>59</v>
      </c>
      <c r="F2153" s="5"/>
      <c r="G2153" s="22" t="n">
        <f aca="false">ROUND(SUM(I2153:P2153),3)</f>
        <v>49.186</v>
      </c>
      <c r="H2153" s="5" t="str">
        <f aca="false">IF(G2153&gt;=評分方法!$C$16,"優先評估",IF(G2153&gt;=評分方法!$C$17,"列入候選",IF(G2153&gt;=評分方法!$C$18,"特定情境","不建議")))</f>
        <v>不建議</v>
      </c>
      <c r="I2153" s="15" t="n">
        <f aca="false">AE2153*評分方法!$C$5</f>
        <v>11.4</v>
      </c>
      <c r="J2153" s="15" t="n">
        <f aca="false">AF2153*評分方法!$C$6</f>
        <v>0</v>
      </c>
      <c r="K2153" s="15" t="n">
        <f aca="false">AG2153*評分方法!$C$7</f>
        <v>4.95</v>
      </c>
      <c r="L2153" s="15" t="n">
        <f aca="false">AH2153*評分方法!$C$8</f>
        <v>15</v>
      </c>
      <c r="M2153" s="15" t="n">
        <f aca="false">AI2153*評分方法!$C$9</f>
        <v>10</v>
      </c>
      <c r="N2153" s="15" t="n">
        <f aca="false">AJ2153*評分方法!$C$10</f>
        <v>5.336</v>
      </c>
      <c r="O2153" s="15" t="n">
        <f aca="false">AK2153*評分方法!$C$11</f>
        <v>2.5</v>
      </c>
      <c r="P2153" s="15" t="n">
        <f aca="false">AL2153*評分方法!$C$12</f>
        <v>0</v>
      </c>
      <c r="Q2153" s="6" t="n">
        <v>561700</v>
      </c>
      <c r="R2153" s="6" t="n">
        <v>108900107</v>
      </c>
      <c r="S2153" s="11" t="s">
        <v>238</v>
      </c>
      <c r="T2153" s="11" t="s">
        <v>239</v>
      </c>
      <c r="U2153" s="5" t="s">
        <v>240</v>
      </c>
      <c r="V2153" s="11" t="s">
        <v>261</v>
      </c>
      <c r="W2153" s="5" t="s">
        <v>334</v>
      </c>
      <c r="X2153" s="5" t="s">
        <v>242</v>
      </c>
      <c r="Y2153" s="5"/>
      <c r="Z2153" s="5"/>
      <c r="AA2153" s="11" t="s">
        <v>150</v>
      </c>
      <c r="AB2153" s="5" t="s">
        <v>245</v>
      </c>
      <c r="AC2153" s="5" t="s">
        <v>3044</v>
      </c>
      <c r="AD2153" s="11" t="s">
        <v>5286</v>
      </c>
      <c r="AE2153" s="23" t="n">
        <v>0.38</v>
      </c>
      <c r="AF2153" s="23" t="n">
        <v>0</v>
      </c>
      <c r="AG2153" s="23" t="n">
        <v>0.33</v>
      </c>
      <c r="AH2153" s="23" t="n">
        <v>1</v>
      </c>
      <c r="AI2153" s="23" t="n">
        <v>1</v>
      </c>
      <c r="AJ2153" s="23" t="n">
        <v>0.5336</v>
      </c>
      <c r="AK2153" s="23" t="n">
        <v>0.5</v>
      </c>
      <c r="AL2153" s="23" t="n">
        <v>0</v>
      </c>
      <c r="AM2153" s="16" t="n">
        <f aca="false">COUNTIFS($D$2:$D$2501,D2153,$G$2:$G$2501,"&gt;"&amp;G2153)+COUNTIFS($D$2:D2153,D2153,$G$2:G2153,G2153)</f>
        <v>326</v>
      </c>
      <c r="AN2153" s="5" t="str">
        <f aca="false">D2153&amp;"|"&amp;AM2153</f>
        <v>實體擷取與去識別化|326</v>
      </c>
    </row>
    <row r="2154" customFormat="false" ht="17.15" hidden="false" customHeight="false" outlineLevel="0" collapsed="false">
      <c r="A2154" s="16" t="n">
        <f aca="false">RANK(G2154,$G$2:$G$2501)+COUNTIF($G$2:G2154,G2154)-1</f>
        <v>2153</v>
      </c>
      <c r="B2154" s="11" t="s">
        <v>5287</v>
      </c>
      <c r="C2154" s="11" t="s">
        <v>402</v>
      </c>
      <c r="D2154" s="5" t="s">
        <v>58</v>
      </c>
      <c r="E2154" s="5" t="s">
        <v>59</v>
      </c>
      <c r="F2154" s="5"/>
      <c r="G2154" s="22" t="n">
        <f aca="false">ROUND(SUM(I2154:P2154),3)</f>
        <v>49.166</v>
      </c>
      <c r="H2154" s="5" t="str">
        <f aca="false">IF(G2154&gt;=評分方法!$C$16,"優先評估",IF(G2154&gt;=評分方法!$C$17,"列入候選",IF(G2154&gt;=評分方法!$C$18,"特定情境","不建議")))</f>
        <v>不建議</v>
      </c>
      <c r="I2154" s="15" t="n">
        <f aca="false">AE2154*評分方法!$C$5</f>
        <v>11.4</v>
      </c>
      <c r="J2154" s="15" t="n">
        <f aca="false">AF2154*評分方法!$C$6</f>
        <v>0</v>
      </c>
      <c r="K2154" s="15" t="n">
        <f aca="false">AG2154*評分方法!$C$7</f>
        <v>4.95</v>
      </c>
      <c r="L2154" s="15" t="n">
        <f aca="false">AH2154*評分方法!$C$8</f>
        <v>15</v>
      </c>
      <c r="M2154" s="15" t="n">
        <f aca="false">AI2154*評分方法!$C$9</f>
        <v>10</v>
      </c>
      <c r="N2154" s="15" t="n">
        <f aca="false">AJ2154*評分方法!$C$10</f>
        <v>5.316</v>
      </c>
      <c r="O2154" s="15" t="n">
        <f aca="false">AK2154*評分方法!$C$11</f>
        <v>2.5</v>
      </c>
      <c r="P2154" s="15" t="n">
        <f aca="false">AL2154*評分方法!$C$12</f>
        <v>0</v>
      </c>
      <c r="Q2154" s="6" t="n">
        <v>559218</v>
      </c>
      <c r="R2154" s="6" t="n">
        <v>108893955</v>
      </c>
      <c r="S2154" s="11" t="s">
        <v>238</v>
      </c>
      <c r="T2154" s="11" t="s">
        <v>239</v>
      </c>
      <c r="U2154" s="5" t="s">
        <v>240</v>
      </c>
      <c r="V2154" s="11" t="s">
        <v>261</v>
      </c>
      <c r="W2154" s="5" t="s">
        <v>334</v>
      </c>
      <c r="X2154" s="5" t="s">
        <v>242</v>
      </c>
      <c r="Y2154" s="5"/>
      <c r="Z2154" s="5"/>
      <c r="AA2154" s="11" t="s">
        <v>150</v>
      </c>
      <c r="AB2154" s="5" t="s">
        <v>245</v>
      </c>
      <c r="AC2154" s="5" t="s">
        <v>3044</v>
      </c>
      <c r="AD2154" s="11" t="s">
        <v>5288</v>
      </c>
      <c r="AE2154" s="23" t="n">
        <v>0.38</v>
      </c>
      <c r="AF2154" s="23" t="n">
        <v>0</v>
      </c>
      <c r="AG2154" s="23" t="n">
        <v>0.33</v>
      </c>
      <c r="AH2154" s="23" t="n">
        <v>1</v>
      </c>
      <c r="AI2154" s="23" t="n">
        <v>1</v>
      </c>
      <c r="AJ2154" s="23" t="n">
        <v>0.5316</v>
      </c>
      <c r="AK2154" s="23" t="n">
        <v>0.5</v>
      </c>
      <c r="AL2154" s="23" t="n">
        <v>0</v>
      </c>
      <c r="AM2154" s="16" t="n">
        <f aca="false">COUNTIFS($D$2:$D$2501,D2154,$G$2:$G$2501,"&gt;"&amp;G2154)+COUNTIFS($D$2:D2154,D2154,$G$2:G2154,G2154)</f>
        <v>327</v>
      </c>
      <c r="AN2154" s="5" t="str">
        <f aca="false">D2154&amp;"|"&amp;AM2154</f>
        <v>實體擷取與去識別化|327</v>
      </c>
    </row>
    <row r="2155" customFormat="false" ht="17.15" hidden="false" customHeight="false" outlineLevel="0" collapsed="false">
      <c r="A2155" s="16" t="n">
        <f aca="false">RANK(G2155,$G$2:$G$2501)+COUNTIF($G$2:G2155,G2155)-1</f>
        <v>2154</v>
      </c>
      <c r="B2155" s="11" t="s">
        <v>5289</v>
      </c>
      <c r="C2155" s="11" t="s">
        <v>402</v>
      </c>
      <c r="D2155" s="5" t="s">
        <v>58</v>
      </c>
      <c r="E2155" s="5" t="s">
        <v>59</v>
      </c>
      <c r="F2155" s="5"/>
      <c r="G2155" s="22" t="n">
        <f aca="false">ROUND(SUM(I2155:P2155),3)</f>
        <v>49.15</v>
      </c>
      <c r="H2155" s="5" t="str">
        <f aca="false">IF(G2155&gt;=評分方法!$C$16,"優先評估",IF(G2155&gt;=評分方法!$C$17,"列入候選",IF(G2155&gt;=評分方法!$C$18,"特定情境","不建議")))</f>
        <v>不建議</v>
      </c>
      <c r="I2155" s="15" t="n">
        <f aca="false">AE2155*評分方法!$C$5</f>
        <v>11.4</v>
      </c>
      <c r="J2155" s="15" t="n">
        <f aca="false">AF2155*評分方法!$C$6</f>
        <v>0</v>
      </c>
      <c r="K2155" s="15" t="n">
        <f aca="false">AG2155*評分方法!$C$7</f>
        <v>4.95</v>
      </c>
      <c r="L2155" s="15" t="n">
        <f aca="false">AH2155*評分方法!$C$8</f>
        <v>15</v>
      </c>
      <c r="M2155" s="15" t="n">
        <f aca="false">AI2155*評分方法!$C$9</f>
        <v>10</v>
      </c>
      <c r="N2155" s="15" t="n">
        <f aca="false">AJ2155*評分方法!$C$10</f>
        <v>5.3</v>
      </c>
      <c r="O2155" s="15" t="n">
        <f aca="false">AK2155*評分方法!$C$11</f>
        <v>2.5</v>
      </c>
      <c r="P2155" s="15" t="n">
        <f aca="false">AL2155*評分方法!$C$12</f>
        <v>0</v>
      </c>
      <c r="Q2155" s="6" t="n">
        <v>557995</v>
      </c>
      <c r="R2155" s="6" t="n">
        <v>334095363</v>
      </c>
      <c r="S2155" s="11" t="s">
        <v>238</v>
      </c>
      <c r="T2155" s="11" t="s">
        <v>239</v>
      </c>
      <c r="U2155" s="5" t="s">
        <v>240</v>
      </c>
      <c r="V2155" s="11" t="s">
        <v>261</v>
      </c>
      <c r="W2155" s="5" t="s">
        <v>334</v>
      </c>
      <c r="X2155" s="5" t="s">
        <v>242</v>
      </c>
      <c r="Y2155" s="5"/>
      <c r="Z2155" s="5"/>
      <c r="AA2155" s="11" t="s">
        <v>150</v>
      </c>
      <c r="AB2155" s="5" t="s">
        <v>245</v>
      </c>
      <c r="AC2155" s="5" t="s">
        <v>3044</v>
      </c>
      <c r="AD2155" s="11" t="s">
        <v>5290</v>
      </c>
      <c r="AE2155" s="23" t="n">
        <v>0.38</v>
      </c>
      <c r="AF2155" s="23" t="n">
        <v>0</v>
      </c>
      <c r="AG2155" s="23" t="n">
        <v>0.33</v>
      </c>
      <c r="AH2155" s="23" t="n">
        <v>1</v>
      </c>
      <c r="AI2155" s="23" t="n">
        <v>1</v>
      </c>
      <c r="AJ2155" s="23" t="n">
        <v>0.53</v>
      </c>
      <c r="AK2155" s="23" t="n">
        <v>0.5</v>
      </c>
      <c r="AL2155" s="23" t="n">
        <v>0</v>
      </c>
      <c r="AM2155" s="16" t="n">
        <f aca="false">COUNTIFS($D$2:$D$2501,D2155,$G$2:$G$2501,"&gt;"&amp;G2155)+COUNTIFS($D$2:D2155,D2155,$G$2:G2155,G2155)</f>
        <v>328</v>
      </c>
      <c r="AN2155" s="5" t="str">
        <f aca="false">D2155&amp;"|"&amp;AM2155</f>
        <v>實體擷取與去識別化|328</v>
      </c>
    </row>
    <row r="2156" customFormat="false" ht="17.15" hidden="false" customHeight="false" outlineLevel="0" collapsed="false">
      <c r="A2156" s="16" t="n">
        <f aca="false">RANK(G2156,$G$2:$G$2501)+COUNTIF($G$2:G2156,G2156)-1</f>
        <v>2155</v>
      </c>
      <c r="B2156" s="11" t="s">
        <v>5291</v>
      </c>
      <c r="C2156" s="11" t="s">
        <v>402</v>
      </c>
      <c r="D2156" s="5" t="s">
        <v>58</v>
      </c>
      <c r="E2156" s="5" t="s">
        <v>59</v>
      </c>
      <c r="F2156" s="5"/>
      <c r="G2156" s="22" t="n">
        <f aca="false">ROUND(SUM(I2156:P2156),3)</f>
        <v>49.146</v>
      </c>
      <c r="H2156" s="5" t="str">
        <f aca="false">IF(G2156&gt;=評分方法!$C$16,"優先評估",IF(G2156&gt;=評分方法!$C$17,"列入候選",IF(G2156&gt;=評分方法!$C$18,"特定情境","不建議")))</f>
        <v>不建議</v>
      </c>
      <c r="I2156" s="15" t="n">
        <f aca="false">AE2156*評分方法!$C$5</f>
        <v>11.4</v>
      </c>
      <c r="J2156" s="15" t="n">
        <f aca="false">AF2156*評分方法!$C$6</f>
        <v>0</v>
      </c>
      <c r="K2156" s="15" t="n">
        <f aca="false">AG2156*評分方法!$C$7</f>
        <v>4.95</v>
      </c>
      <c r="L2156" s="15" t="n">
        <f aca="false">AH2156*評分方法!$C$8</f>
        <v>15</v>
      </c>
      <c r="M2156" s="15" t="n">
        <f aca="false">AI2156*評分方法!$C$9</f>
        <v>10</v>
      </c>
      <c r="N2156" s="15" t="n">
        <f aca="false">AJ2156*評分方法!$C$10</f>
        <v>5.296</v>
      </c>
      <c r="O2156" s="15" t="n">
        <f aca="false">AK2156*評分方法!$C$11</f>
        <v>2.5</v>
      </c>
      <c r="P2156" s="15" t="n">
        <f aca="false">AL2156*評分方法!$C$12</f>
        <v>0</v>
      </c>
      <c r="Q2156" s="6" t="n">
        <v>557661</v>
      </c>
      <c r="R2156" s="6" t="n">
        <v>108893955</v>
      </c>
      <c r="S2156" s="11" t="s">
        <v>238</v>
      </c>
      <c r="T2156" s="11" t="s">
        <v>239</v>
      </c>
      <c r="U2156" s="5" t="s">
        <v>240</v>
      </c>
      <c r="V2156" s="11" t="s">
        <v>261</v>
      </c>
      <c r="W2156" s="5" t="s">
        <v>334</v>
      </c>
      <c r="X2156" s="5" t="s">
        <v>242</v>
      </c>
      <c r="Y2156" s="5"/>
      <c r="Z2156" s="5"/>
      <c r="AA2156" s="11" t="s">
        <v>150</v>
      </c>
      <c r="AB2156" s="5" t="s">
        <v>245</v>
      </c>
      <c r="AC2156" s="5" t="s">
        <v>3044</v>
      </c>
      <c r="AD2156" s="11" t="s">
        <v>5292</v>
      </c>
      <c r="AE2156" s="23" t="n">
        <v>0.38</v>
      </c>
      <c r="AF2156" s="23" t="n">
        <v>0</v>
      </c>
      <c r="AG2156" s="23" t="n">
        <v>0.33</v>
      </c>
      <c r="AH2156" s="23" t="n">
        <v>1</v>
      </c>
      <c r="AI2156" s="23" t="n">
        <v>1</v>
      </c>
      <c r="AJ2156" s="23" t="n">
        <v>0.5296</v>
      </c>
      <c r="AK2156" s="23" t="n">
        <v>0.5</v>
      </c>
      <c r="AL2156" s="23" t="n">
        <v>0</v>
      </c>
      <c r="AM2156" s="16" t="n">
        <f aca="false">COUNTIFS($D$2:$D$2501,D2156,$G$2:$G$2501,"&gt;"&amp;G2156)+COUNTIFS($D$2:D2156,D2156,$G$2:G2156,G2156)</f>
        <v>329</v>
      </c>
      <c r="AN2156" s="5" t="str">
        <f aca="false">D2156&amp;"|"&amp;AM2156</f>
        <v>實體擷取與去識別化|329</v>
      </c>
    </row>
    <row r="2157" customFormat="false" ht="17.15" hidden="false" customHeight="false" outlineLevel="0" collapsed="false">
      <c r="A2157" s="16" t="n">
        <f aca="false">RANK(G2157,$G$2:$G$2501)+COUNTIF($G$2:G2157,G2157)-1</f>
        <v>2156</v>
      </c>
      <c r="B2157" s="11" t="s">
        <v>5293</v>
      </c>
      <c r="C2157" s="11" t="s">
        <v>402</v>
      </c>
      <c r="D2157" s="5" t="s">
        <v>58</v>
      </c>
      <c r="E2157" s="5" t="s">
        <v>59</v>
      </c>
      <c r="F2157" s="5"/>
      <c r="G2157" s="22" t="n">
        <f aca="false">ROUND(SUM(I2157:P2157),3)</f>
        <v>49.134</v>
      </c>
      <c r="H2157" s="5" t="str">
        <f aca="false">IF(G2157&gt;=評分方法!$C$16,"優先評估",IF(G2157&gt;=評分方法!$C$17,"列入候選",IF(G2157&gt;=評分方法!$C$18,"特定情境","不建議")))</f>
        <v>不建議</v>
      </c>
      <c r="I2157" s="15" t="n">
        <f aca="false">AE2157*評分方法!$C$5</f>
        <v>11.4</v>
      </c>
      <c r="J2157" s="15" t="n">
        <f aca="false">AF2157*評分方法!$C$6</f>
        <v>0</v>
      </c>
      <c r="K2157" s="15" t="n">
        <f aca="false">AG2157*評分方法!$C$7</f>
        <v>4.95</v>
      </c>
      <c r="L2157" s="15" t="n">
        <f aca="false">AH2157*評分方法!$C$8</f>
        <v>15</v>
      </c>
      <c r="M2157" s="15" t="n">
        <f aca="false">AI2157*評分方法!$C$9</f>
        <v>10</v>
      </c>
      <c r="N2157" s="15" t="n">
        <f aca="false">AJ2157*評分方法!$C$10</f>
        <v>5.284</v>
      </c>
      <c r="O2157" s="15" t="n">
        <f aca="false">AK2157*評分方法!$C$11</f>
        <v>2.5</v>
      </c>
      <c r="P2157" s="15" t="n">
        <f aca="false">AL2157*評分方法!$C$12</f>
        <v>0</v>
      </c>
      <c r="Q2157" s="6" t="n">
        <v>557166</v>
      </c>
      <c r="R2157" s="6" t="n">
        <v>108893955</v>
      </c>
      <c r="S2157" s="11" t="s">
        <v>238</v>
      </c>
      <c r="T2157" s="11" t="s">
        <v>239</v>
      </c>
      <c r="U2157" s="5" t="s">
        <v>240</v>
      </c>
      <c r="V2157" s="11" t="s">
        <v>261</v>
      </c>
      <c r="W2157" s="5" t="s">
        <v>334</v>
      </c>
      <c r="X2157" s="5" t="s">
        <v>242</v>
      </c>
      <c r="Y2157" s="5"/>
      <c r="Z2157" s="5"/>
      <c r="AA2157" s="11" t="s">
        <v>150</v>
      </c>
      <c r="AB2157" s="5" t="s">
        <v>245</v>
      </c>
      <c r="AC2157" s="5" t="s">
        <v>3044</v>
      </c>
      <c r="AD2157" s="11" t="s">
        <v>5294</v>
      </c>
      <c r="AE2157" s="23" t="n">
        <v>0.38</v>
      </c>
      <c r="AF2157" s="23" t="n">
        <v>0</v>
      </c>
      <c r="AG2157" s="23" t="n">
        <v>0.33</v>
      </c>
      <c r="AH2157" s="23" t="n">
        <v>1</v>
      </c>
      <c r="AI2157" s="23" t="n">
        <v>1</v>
      </c>
      <c r="AJ2157" s="23" t="n">
        <v>0.5284</v>
      </c>
      <c r="AK2157" s="23" t="n">
        <v>0.5</v>
      </c>
      <c r="AL2157" s="23" t="n">
        <v>0</v>
      </c>
      <c r="AM2157" s="16" t="n">
        <f aca="false">COUNTIFS($D$2:$D$2501,D2157,$G$2:$G$2501,"&gt;"&amp;G2157)+COUNTIFS($D$2:D2157,D2157,$G$2:G2157,G2157)</f>
        <v>330</v>
      </c>
      <c r="AN2157" s="5" t="str">
        <f aca="false">D2157&amp;"|"&amp;AM2157</f>
        <v>實體擷取與去識別化|330</v>
      </c>
    </row>
    <row r="2158" customFormat="false" ht="17.15" hidden="false" customHeight="false" outlineLevel="0" collapsed="false">
      <c r="A2158" s="16" t="n">
        <f aca="false">RANK(G2158,$G$2:$G$2501)+COUNTIF($G$2:G2158,G2158)-1</f>
        <v>2157</v>
      </c>
      <c r="B2158" s="11" t="s">
        <v>5295</v>
      </c>
      <c r="C2158" s="11" t="s">
        <v>402</v>
      </c>
      <c r="D2158" s="5" t="s">
        <v>58</v>
      </c>
      <c r="E2158" s="5" t="s">
        <v>59</v>
      </c>
      <c r="F2158" s="5"/>
      <c r="G2158" s="22" t="n">
        <f aca="false">ROUND(SUM(I2158:P2158),3)</f>
        <v>49.114</v>
      </c>
      <c r="H2158" s="5" t="str">
        <f aca="false">IF(G2158&gt;=評分方法!$C$16,"優先評估",IF(G2158&gt;=評分方法!$C$17,"列入候選",IF(G2158&gt;=評分方法!$C$18,"特定情境","不建議")))</f>
        <v>不建議</v>
      </c>
      <c r="I2158" s="15" t="n">
        <f aca="false">AE2158*評分方法!$C$5</f>
        <v>11.4</v>
      </c>
      <c r="J2158" s="15" t="n">
        <f aca="false">AF2158*評分方法!$C$6</f>
        <v>0</v>
      </c>
      <c r="K2158" s="15" t="n">
        <f aca="false">AG2158*評分方法!$C$7</f>
        <v>4.95</v>
      </c>
      <c r="L2158" s="15" t="n">
        <f aca="false">AH2158*評分方法!$C$8</f>
        <v>15</v>
      </c>
      <c r="M2158" s="15" t="n">
        <f aca="false">AI2158*評分方法!$C$9</f>
        <v>10</v>
      </c>
      <c r="N2158" s="15" t="n">
        <f aca="false">AJ2158*評分方法!$C$10</f>
        <v>5.264</v>
      </c>
      <c r="O2158" s="15" t="n">
        <f aca="false">AK2158*評分方法!$C$11</f>
        <v>2.5</v>
      </c>
      <c r="P2158" s="15" t="n">
        <f aca="false">AL2158*評分方法!$C$12</f>
        <v>0</v>
      </c>
      <c r="Q2158" s="6" t="n">
        <v>555859</v>
      </c>
      <c r="R2158" s="6" t="n">
        <v>334103563</v>
      </c>
      <c r="S2158" s="11" t="s">
        <v>238</v>
      </c>
      <c r="T2158" s="11" t="s">
        <v>239</v>
      </c>
      <c r="U2158" s="5" t="s">
        <v>240</v>
      </c>
      <c r="V2158" s="11" t="s">
        <v>261</v>
      </c>
      <c r="W2158" s="5" t="s">
        <v>334</v>
      </c>
      <c r="X2158" s="5" t="s">
        <v>242</v>
      </c>
      <c r="Y2158" s="5"/>
      <c r="Z2158" s="5"/>
      <c r="AA2158" s="11" t="s">
        <v>150</v>
      </c>
      <c r="AB2158" s="5" t="s">
        <v>245</v>
      </c>
      <c r="AC2158" s="5" t="s">
        <v>3044</v>
      </c>
      <c r="AD2158" s="11" t="s">
        <v>5296</v>
      </c>
      <c r="AE2158" s="23" t="n">
        <v>0.38</v>
      </c>
      <c r="AF2158" s="23" t="n">
        <v>0</v>
      </c>
      <c r="AG2158" s="23" t="n">
        <v>0.33</v>
      </c>
      <c r="AH2158" s="23" t="n">
        <v>1</v>
      </c>
      <c r="AI2158" s="23" t="n">
        <v>1</v>
      </c>
      <c r="AJ2158" s="23" t="n">
        <v>0.5264</v>
      </c>
      <c r="AK2158" s="23" t="n">
        <v>0.5</v>
      </c>
      <c r="AL2158" s="23" t="n">
        <v>0</v>
      </c>
      <c r="AM2158" s="16" t="n">
        <f aca="false">COUNTIFS($D$2:$D$2501,D2158,$G$2:$G$2501,"&gt;"&amp;G2158)+COUNTIFS($D$2:D2158,D2158,$G$2:G2158,G2158)</f>
        <v>331</v>
      </c>
      <c r="AN2158" s="5" t="str">
        <f aca="false">D2158&amp;"|"&amp;AM2158</f>
        <v>實體擷取與去識別化|331</v>
      </c>
    </row>
    <row r="2159" customFormat="false" ht="17.15" hidden="false" customHeight="false" outlineLevel="0" collapsed="false">
      <c r="A2159" s="16" t="n">
        <f aca="false">RANK(G2159,$G$2:$G$2501)+COUNTIF($G$2:G2159,G2159)-1</f>
        <v>2158</v>
      </c>
      <c r="B2159" s="11" t="s">
        <v>5297</v>
      </c>
      <c r="C2159" s="11" t="s">
        <v>402</v>
      </c>
      <c r="D2159" s="5" t="s">
        <v>58</v>
      </c>
      <c r="E2159" s="5" t="s">
        <v>59</v>
      </c>
      <c r="F2159" s="5"/>
      <c r="G2159" s="22" t="n">
        <f aca="false">ROUND(SUM(I2159:P2159),3)</f>
        <v>49.094</v>
      </c>
      <c r="H2159" s="5" t="str">
        <f aca="false">IF(G2159&gt;=評分方法!$C$16,"優先評估",IF(G2159&gt;=評分方法!$C$17,"列入候選",IF(G2159&gt;=評分方法!$C$18,"特定情境","不建議")))</f>
        <v>不建議</v>
      </c>
      <c r="I2159" s="15" t="n">
        <f aca="false">AE2159*評分方法!$C$5</f>
        <v>11.4</v>
      </c>
      <c r="J2159" s="15" t="n">
        <f aca="false">AF2159*評分方法!$C$6</f>
        <v>0</v>
      </c>
      <c r="K2159" s="15" t="n">
        <f aca="false">AG2159*評分方法!$C$7</f>
        <v>4.95</v>
      </c>
      <c r="L2159" s="15" t="n">
        <f aca="false">AH2159*評分方法!$C$8</f>
        <v>15</v>
      </c>
      <c r="M2159" s="15" t="n">
        <f aca="false">AI2159*評分方法!$C$9</f>
        <v>10</v>
      </c>
      <c r="N2159" s="15" t="n">
        <f aca="false">AJ2159*評分方法!$C$10</f>
        <v>5.244</v>
      </c>
      <c r="O2159" s="15" t="n">
        <f aca="false">AK2159*評分方法!$C$11</f>
        <v>2.5</v>
      </c>
      <c r="P2159" s="15" t="n">
        <f aca="false">AL2159*評分方法!$C$12</f>
        <v>0</v>
      </c>
      <c r="Q2159" s="6" t="n">
        <v>553288</v>
      </c>
      <c r="R2159" s="6" t="n">
        <v>108893955</v>
      </c>
      <c r="S2159" s="11" t="s">
        <v>238</v>
      </c>
      <c r="T2159" s="11" t="s">
        <v>239</v>
      </c>
      <c r="U2159" s="5" t="s">
        <v>240</v>
      </c>
      <c r="V2159" s="11" t="s">
        <v>261</v>
      </c>
      <c r="W2159" s="5" t="s">
        <v>334</v>
      </c>
      <c r="X2159" s="5" t="s">
        <v>242</v>
      </c>
      <c r="Y2159" s="5"/>
      <c r="Z2159" s="5"/>
      <c r="AA2159" s="11" t="s">
        <v>150</v>
      </c>
      <c r="AB2159" s="5" t="s">
        <v>245</v>
      </c>
      <c r="AC2159" s="5" t="s">
        <v>3044</v>
      </c>
      <c r="AD2159" s="11" t="s">
        <v>5298</v>
      </c>
      <c r="AE2159" s="23" t="n">
        <v>0.38</v>
      </c>
      <c r="AF2159" s="23" t="n">
        <v>0</v>
      </c>
      <c r="AG2159" s="23" t="n">
        <v>0.33</v>
      </c>
      <c r="AH2159" s="23" t="n">
        <v>1</v>
      </c>
      <c r="AI2159" s="23" t="n">
        <v>1</v>
      </c>
      <c r="AJ2159" s="23" t="n">
        <v>0.5244</v>
      </c>
      <c r="AK2159" s="23" t="n">
        <v>0.5</v>
      </c>
      <c r="AL2159" s="23" t="n">
        <v>0</v>
      </c>
      <c r="AM2159" s="16" t="n">
        <f aca="false">COUNTIFS($D$2:$D$2501,D2159,$G$2:$G$2501,"&gt;"&amp;G2159)+COUNTIFS($D$2:D2159,D2159,$G$2:G2159,G2159)</f>
        <v>332</v>
      </c>
      <c r="AN2159" s="5" t="str">
        <f aca="false">D2159&amp;"|"&amp;AM2159</f>
        <v>實體擷取與去識別化|332</v>
      </c>
    </row>
    <row r="2160" customFormat="false" ht="17.15" hidden="false" customHeight="false" outlineLevel="0" collapsed="false">
      <c r="A2160" s="16" t="n">
        <f aca="false">RANK(G2160,$G$2:$G$2501)+COUNTIF($G$2:G2160,G2160)-1</f>
        <v>2159</v>
      </c>
      <c r="B2160" s="11" t="s">
        <v>5299</v>
      </c>
      <c r="C2160" s="11" t="s">
        <v>308</v>
      </c>
      <c r="D2160" s="5" t="s">
        <v>74</v>
      </c>
      <c r="E2160" s="5" t="s">
        <v>75</v>
      </c>
      <c r="F2160" s="5"/>
      <c r="G2160" s="22" t="n">
        <f aca="false">ROUND(SUM(I2160:P2160),3)</f>
        <v>49.08</v>
      </c>
      <c r="H2160" s="5" t="str">
        <f aca="false">IF(G2160&gt;=評分方法!$C$16,"優先評估",IF(G2160&gt;=評分方法!$C$17,"列入候選",IF(G2160&gt;=評分方法!$C$18,"特定情境","不建議")))</f>
        <v>不建議</v>
      </c>
      <c r="I2160" s="15" t="n">
        <f aca="false">AE2160*評分方法!$C$5</f>
        <v>10.5</v>
      </c>
      <c r="J2160" s="15" t="n">
        <f aca="false">AF2160*評分方法!$C$6</f>
        <v>0</v>
      </c>
      <c r="K2160" s="15" t="n">
        <f aca="false">AG2160*評分方法!$C$7</f>
        <v>15</v>
      </c>
      <c r="L2160" s="15" t="n">
        <f aca="false">AH2160*評分方法!$C$8</f>
        <v>15</v>
      </c>
      <c r="M2160" s="15" t="n">
        <f aca="false">AI2160*評分方法!$C$9</f>
        <v>6</v>
      </c>
      <c r="N2160" s="15" t="n">
        <f aca="false">AJ2160*評分方法!$C$10</f>
        <v>0.08</v>
      </c>
      <c r="O2160" s="15" t="n">
        <f aca="false">AK2160*評分方法!$C$11</f>
        <v>1</v>
      </c>
      <c r="P2160" s="15" t="n">
        <f aca="false">AL2160*評分方法!$C$12</f>
        <v>1.5</v>
      </c>
      <c r="Q2160" s="6" t="n">
        <v>118773</v>
      </c>
      <c r="R2160" s="6" t="n">
        <v>86580480</v>
      </c>
      <c r="S2160" s="11" t="s">
        <v>238</v>
      </c>
      <c r="T2160" s="11" t="s">
        <v>185</v>
      </c>
      <c r="U2160" s="5" t="s">
        <v>260</v>
      </c>
      <c r="V2160" s="11" t="s">
        <v>261</v>
      </c>
      <c r="W2160" s="5" t="s">
        <v>205</v>
      </c>
      <c r="X2160" s="5" t="s">
        <v>255</v>
      </c>
      <c r="Y2160" s="5"/>
      <c r="Z2160" s="5"/>
      <c r="AA2160" s="11" t="s">
        <v>173</v>
      </c>
      <c r="AB2160" s="5" t="s">
        <v>245</v>
      </c>
      <c r="AC2160" s="5" t="s">
        <v>262</v>
      </c>
      <c r="AD2160" s="11" t="s">
        <v>5300</v>
      </c>
      <c r="AE2160" s="23" t="n">
        <v>0.35</v>
      </c>
      <c r="AF2160" s="23" t="n">
        <v>0</v>
      </c>
      <c r="AG2160" s="23" t="n">
        <v>1</v>
      </c>
      <c r="AH2160" s="23" t="n">
        <v>1</v>
      </c>
      <c r="AI2160" s="23" t="n">
        <v>0.6</v>
      </c>
      <c r="AJ2160" s="23" t="n">
        <v>0.008</v>
      </c>
      <c r="AK2160" s="23" t="n">
        <v>0.2</v>
      </c>
      <c r="AL2160" s="23" t="n">
        <v>0.3</v>
      </c>
      <c r="AM2160" s="16" t="n">
        <f aca="false">COUNTIFS($D$2:$D$2501,D2160,$G$2:$G$2501,"&gt;"&amp;G2160)+COUNTIFS($D$2:D2160,D2160,$G$2:G2160,G2160)</f>
        <v>291</v>
      </c>
      <c r="AN2160" s="5" t="str">
        <f aca="false">D2160&amp;"|"&amp;AM2160</f>
        <v>文件與影像辨識|291</v>
      </c>
    </row>
    <row r="2161" customFormat="false" ht="17.15" hidden="false" customHeight="false" outlineLevel="0" collapsed="false">
      <c r="A2161" s="16" t="n">
        <f aca="false">RANK(G2161,$G$2:$G$2501)+COUNTIF($G$2:G2161,G2161)-1</f>
        <v>2160</v>
      </c>
      <c r="B2161" s="11" t="s">
        <v>5301</v>
      </c>
      <c r="C2161" s="11" t="s">
        <v>632</v>
      </c>
      <c r="D2161" s="5" t="s">
        <v>80</v>
      </c>
      <c r="E2161" s="5" t="s">
        <v>81</v>
      </c>
      <c r="F2161" s="5"/>
      <c r="G2161" s="22" t="n">
        <f aca="false">ROUND(SUM(I2161:P2161),3)</f>
        <v>49.064</v>
      </c>
      <c r="H2161" s="5" t="str">
        <f aca="false">IF(G2161&gt;=評分方法!$C$16,"優先評估",IF(G2161&gt;=評分方法!$C$17,"列入候選",IF(G2161&gt;=評分方法!$C$18,"特定情境","不建議")))</f>
        <v>不建議</v>
      </c>
      <c r="I2161" s="15" t="n">
        <f aca="false">AE2161*評分方法!$C$5</f>
        <v>2.4</v>
      </c>
      <c r="J2161" s="15" t="n">
        <f aca="false">AF2161*評分方法!$C$6</f>
        <v>0</v>
      </c>
      <c r="K2161" s="15" t="n">
        <f aca="false">AG2161*評分方法!$C$7</f>
        <v>15</v>
      </c>
      <c r="L2161" s="15" t="n">
        <f aca="false">AH2161*評分方法!$C$8</f>
        <v>15</v>
      </c>
      <c r="M2161" s="15" t="n">
        <f aca="false">AI2161*評分方法!$C$9</f>
        <v>10</v>
      </c>
      <c r="N2161" s="15" t="n">
        <f aca="false">AJ2161*評分方法!$C$10</f>
        <v>2.664</v>
      </c>
      <c r="O2161" s="15" t="n">
        <f aca="false">AK2161*評分方法!$C$11</f>
        <v>2.5</v>
      </c>
      <c r="P2161" s="15" t="n">
        <f aca="false">AL2161*評分方法!$C$12</f>
        <v>1.5</v>
      </c>
      <c r="Q2161" s="6" t="n">
        <v>264897</v>
      </c>
      <c r="R2161" s="6" t="n">
        <v>458007202</v>
      </c>
      <c r="S2161" s="11" t="s">
        <v>238</v>
      </c>
      <c r="T2161" s="11" t="s">
        <v>239</v>
      </c>
      <c r="U2161" s="5" t="s">
        <v>240</v>
      </c>
      <c r="V2161" s="11" t="s">
        <v>261</v>
      </c>
      <c r="W2161" s="5" t="s">
        <v>205</v>
      </c>
      <c r="X2161" s="5" t="s">
        <v>255</v>
      </c>
      <c r="Y2161" s="11" t="s">
        <v>5302</v>
      </c>
      <c r="Z2161" s="11" t="s">
        <v>270</v>
      </c>
      <c r="AA2161" s="5"/>
      <c r="AB2161" s="5" t="s">
        <v>255</v>
      </c>
      <c r="AC2161" s="5" t="s">
        <v>3044</v>
      </c>
      <c r="AD2161" s="11" t="s">
        <v>5303</v>
      </c>
      <c r="AE2161" s="23" t="n">
        <v>0.08</v>
      </c>
      <c r="AF2161" s="23" t="n">
        <v>0</v>
      </c>
      <c r="AG2161" s="23" t="n">
        <v>1</v>
      </c>
      <c r="AH2161" s="23" t="n">
        <v>1</v>
      </c>
      <c r="AI2161" s="23" t="n">
        <v>1</v>
      </c>
      <c r="AJ2161" s="23" t="n">
        <v>0.2664</v>
      </c>
      <c r="AK2161" s="23" t="n">
        <v>0.5</v>
      </c>
      <c r="AL2161" s="23" t="n">
        <v>0.3</v>
      </c>
      <c r="AM2161" s="16" t="n">
        <f aca="false">COUNTIFS($D$2:$D$2501,D2161,$G$2:$G$2501,"&gt;"&amp;G2161)+COUNTIFS($D$2:D2161,D2161,$G$2:G2161,G2161)</f>
        <v>19</v>
      </c>
      <c r="AN2161" s="5" t="str">
        <f aca="false">D2161&amp;"|"&amp;AM2161</f>
        <v>其他|19</v>
      </c>
    </row>
    <row r="2162" customFormat="false" ht="17.15" hidden="false" customHeight="false" outlineLevel="0" collapsed="false">
      <c r="A2162" s="16" t="n">
        <f aca="false">RANK(G2162,$G$2:$G$2501)+COUNTIF($G$2:G2162,G2162)-1</f>
        <v>2161</v>
      </c>
      <c r="B2162" s="11" t="s">
        <v>5304</v>
      </c>
      <c r="C2162" s="11" t="s">
        <v>402</v>
      </c>
      <c r="D2162" s="5" t="s">
        <v>58</v>
      </c>
      <c r="E2162" s="5" t="s">
        <v>59</v>
      </c>
      <c r="F2162" s="5"/>
      <c r="G2162" s="22" t="n">
        <f aca="false">ROUND(SUM(I2162:P2162),3)</f>
        <v>49.054</v>
      </c>
      <c r="H2162" s="5" t="str">
        <f aca="false">IF(G2162&gt;=評分方法!$C$16,"優先評估",IF(G2162&gt;=評分方法!$C$17,"列入候選",IF(G2162&gt;=評分方法!$C$18,"特定情境","不建議")))</f>
        <v>不建議</v>
      </c>
      <c r="I2162" s="15" t="n">
        <f aca="false">AE2162*評分方法!$C$5</f>
        <v>11.4</v>
      </c>
      <c r="J2162" s="15" t="n">
        <f aca="false">AF2162*評分方法!$C$6</f>
        <v>0</v>
      </c>
      <c r="K2162" s="15" t="n">
        <f aca="false">AG2162*評分方法!$C$7</f>
        <v>4.95</v>
      </c>
      <c r="L2162" s="15" t="n">
        <f aca="false">AH2162*評分方法!$C$8</f>
        <v>15</v>
      </c>
      <c r="M2162" s="15" t="n">
        <f aca="false">AI2162*評分方法!$C$9</f>
        <v>10</v>
      </c>
      <c r="N2162" s="15" t="n">
        <f aca="false">AJ2162*評分方法!$C$10</f>
        <v>5.204</v>
      </c>
      <c r="O2162" s="15" t="n">
        <f aca="false">AK2162*評分方法!$C$11</f>
        <v>2.5</v>
      </c>
      <c r="P2162" s="15" t="n">
        <f aca="false">AL2162*評分方法!$C$12</f>
        <v>0</v>
      </c>
      <c r="Q2162" s="6" t="n">
        <v>550699</v>
      </c>
      <c r="R2162" s="6" t="n">
        <v>334126113</v>
      </c>
      <c r="S2162" s="11" t="s">
        <v>238</v>
      </c>
      <c r="T2162" s="11" t="s">
        <v>239</v>
      </c>
      <c r="U2162" s="5" t="s">
        <v>240</v>
      </c>
      <c r="V2162" s="11" t="s">
        <v>261</v>
      </c>
      <c r="W2162" s="5" t="s">
        <v>334</v>
      </c>
      <c r="X2162" s="5" t="s">
        <v>242</v>
      </c>
      <c r="Y2162" s="5"/>
      <c r="Z2162" s="5"/>
      <c r="AA2162" s="11" t="s">
        <v>150</v>
      </c>
      <c r="AB2162" s="5" t="s">
        <v>245</v>
      </c>
      <c r="AC2162" s="5" t="s">
        <v>3044</v>
      </c>
      <c r="AD2162" s="11" t="s">
        <v>5305</v>
      </c>
      <c r="AE2162" s="23" t="n">
        <v>0.38</v>
      </c>
      <c r="AF2162" s="23" t="n">
        <v>0</v>
      </c>
      <c r="AG2162" s="23" t="n">
        <v>0.33</v>
      </c>
      <c r="AH2162" s="23" t="n">
        <v>1</v>
      </c>
      <c r="AI2162" s="23" t="n">
        <v>1</v>
      </c>
      <c r="AJ2162" s="23" t="n">
        <v>0.5204</v>
      </c>
      <c r="AK2162" s="23" t="n">
        <v>0.5</v>
      </c>
      <c r="AL2162" s="23" t="n">
        <v>0</v>
      </c>
      <c r="AM2162" s="16" t="n">
        <f aca="false">COUNTIFS($D$2:$D$2501,D2162,$G$2:$G$2501,"&gt;"&amp;G2162)+COUNTIFS($D$2:D2162,D2162,$G$2:G2162,G2162)</f>
        <v>333</v>
      </c>
      <c r="AN2162" s="5" t="str">
        <f aca="false">D2162&amp;"|"&amp;AM2162</f>
        <v>實體擷取與去識別化|333</v>
      </c>
    </row>
    <row r="2163" customFormat="false" ht="17.15" hidden="false" customHeight="false" outlineLevel="0" collapsed="false">
      <c r="A2163" s="16" t="n">
        <f aca="false">RANK(G2163,$G$2:$G$2501)+COUNTIF($G$2:G2163,G2163)-1</f>
        <v>2162</v>
      </c>
      <c r="B2163" s="11" t="s">
        <v>5306</v>
      </c>
      <c r="C2163" s="11" t="s">
        <v>989</v>
      </c>
      <c r="D2163" s="5" t="s">
        <v>56</v>
      </c>
      <c r="E2163" s="5" t="s">
        <v>57</v>
      </c>
      <c r="F2163" s="5"/>
      <c r="G2163" s="22" t="n">
        <f aca="false">ROUND(SUM(I2163:P2163),3)</f>
        <v>49.02</v>
      </c>
      <c r="H2163" s="5" t="str">
        <f aca="false">IF(G2163&gt;=評分方法!$C$16,"優先評估",IF(G2163&gt;=評分方法!$C$17,"列入候選",IF(G2163&gt;=評分方法!$C$18,"特定情境","不建議")))</f>
        <v>不建議</v>
      </c>
      <c r="I2163" s="15" t="n">
        <f aca="false">AE2163*評分方法!$C$5</f>
        <v>25.5</v>
      </c>
      <c r="J2163" s="15" t="n">
        <f aca="false">AF2163*評分方法!$C$6</f>
        <v>0</v>
      </c>
      <c r="K2163" s="15" t="n">
        <f aca="false">AG2163*評分方法!$C$7</f>
        <v>10.05</v>
      </c>
      <c r="L2163" s="15" t="n">
        <f aca="false">AH2163*評分方法!$C$8</f>
        <v>4.95</v>
      </c>
      <c r="M2163" s="15" t="n">
        <f aca="false">AI2163*評分方法!$C$9</f>
        <v>6</v>
      </c>
      <c r="N2163" s="15" t="n">
        <f aca="false">AJ2163*評分方法!$C$10</f>
        <v>1.52</v>
      </c>
      <c r="O2163" s="15" t="n">
        <f aca="false">AK2163*評分方法!$C$11</f>
        <v>1</v>
      </c>
      <c r="P2163" s="15" t="n">
        <f aca="false">AL2163*評分方法!$C$12</f>
        <v>0</v>
      </c>
      <c r="Q2163" s="6" t="n">
        <v>180432</v>
      </c>
      <c r="R2163" s="6" t="n">
        <v>70553706560</v>
      </c>
      <c r="S2163" s="11" t="s">
        <v>1876</v>
      </c>
      <c r="T2163" s="11" t="s">
        <v>1177</v>
      </c>
      <c r="U2163" s="5" t="s">
        <v>260</v>
      </c>
      <c r="V2163" s="11" t="s">
        <v>333</v>
      </c>
      <c r="W2163" s="5" t="s">
        <v>207</v>
      </c>
      <c r="X2163" s="5" t="s">
        <v>242</v>
      </c>
      <c r="Y2163" s="11" t="s">
        <v>5307</v>
      </c>
      <c r="Z2163" s="11" t="s">
        <v>244</v>
      </c>
      <c r="AA2163" s="11" t="s">
        <v>155</v>
      </c>
      <c r="AB2163" s="5" t="s">
        <v>245</v>
      </c>
      <c r="AC2163" s="5" t="s">
        <v>464</v>
      </c>
      <c r="AD2163" s="11" t="s">
        <v>5308</v>
      </c>
      <c r="AE2163" s="23" t="n">
        <v>0.85</v>
      </c>
      <c r="AF2163" s="23" t="n">
        <v>0</v>
      </c>
      <c r="AG2163" s="23" t="n">
        <v>0.67</v>
      </c>
      <c r="AH2163" s="23" t="n">
        <v>0.33</v>
      </c>
      <c r="AI2163" s="23" t="n">
        <v>0.6</v>
      </c>
      <c r="AJ2163" s="23" t="n">
        <v>0.152</v>
      </c>
      <c r="AK2163" s="23" t="n">
        <v>0.2</v>
      </c>
      <c r="AL2163" s="23" t="n">
        <v>0</v>
      </c>
      <c r="AM2163" s="16" t="n">
        <f aca="false">COUNTIFS($D$2:$D$2501,D2163,$G$2:$G$2501,"&gt;"&amp;G2163)+COUNTIFS($D$2:D2163,D2163,$G$2:G2163,G2163)</f>
        <v>953</v>
      </c>
      <c r="AN2163" s="5" t="str">
        <f aca="false">D2163&amp;"|"&amp;AM2163</f>
        <v>分析與報告生成|953</v>
      </c>
    </row>
    <row r="2164" customFormat="false" ht="17.15" hidden="false" customHeight="false" outlineLevel="0" collapsed="false">
      <c r="A2164" s="16" t="n">
        <f aca="false">RANK(G2164,$G$2:$G$2501)+COUNTIF($G$2:G2164,G2164)-1</f>
        <v>2163</v>
      </c>
      <c r="B2164" s="11" t="s">
        <v>5309</v>
      </c>
      <c r="C2164" s="11" t="s">
        <v>5310</v>
      </c>
      <c r="D2164" s="5" t="s">
        <v>56</v>
      </c>
      <c r="E2164" s="5" t="s">
        <v>57</v>
      </c>
      <c r="F2164" s="5"/>
      <c r="G2164" s="22" t="n">
        <f aca="false">ROUND(SUM(I2164:P2164),3)</f>
        <v>48.994</v>
      </c>
      <c r="H2164" s="5" t="str">
        <f aca="false">IF(G2164&gt;=評分方法!$C$16,"優先評估",IF(G2164&gt;=評分方法!$C$17,"列入候選",IF(G2164&gt;=評分方法!$C$18,"特定情境","不建議")))</f>
        <v>不建議</v>
      </c>
      <c r="I2164" s="15" t="n">
        <f aca="false">AE2164*評分方法!$C$5</f>
        <v>25.5</v>
      </c>
      <c r="J2164" s="15" t="n">
        <f aca="false">AF2164*評分方法!$C$6</f>
        <v>0</v>
      </c>
      <c r="K2164" s="15" t="n">
        <f aca="false">AG2164*評分方法!$C$7</f>
        <v>4.95</v>
      </c>
      <c r="L2164" s="15" t="n">
        <f aca="false">AH2164*評分方法!$C$8</f>
        <v>9</v>
      </c>
      <c r="M2164" s="15" t="n">
        <f aca="false">AI2164*評分方法!$C$9</f>
        <v>2</v>
      </c>
      <c r="N2164" s="15" t="n">
        <f aca="false">AJ2164*評分方法!$C$10</f>
        <v>2.044</v>
      </c>
      <c r="O2164" s="15" t="n">
        <f aca="false">AK2164*評分方法!$C$11</f>
        <v>2.5</v>
      </c>
      <c r="P2164" s="15" t="n">
        <f aca="false">AL2164*評分方法!$C$12</f>
        <v>3</v>
      </c>
      <c r="Q2164" s="6" t="n">
        <v>213652</v>
      </c>
      <c r="R2164" s="6" t="n">
        <v>24185032240</v>
      </c>
      <c r="S2164" s="11" t="s">
        <v>389</v>
      </c>
      <c r="T2164" s="5"/>
      <c r="U2164" s="5" t="s">
        <v>375</v>
      </c>
      <c r="V2164" s="11" t="s">
        <v>261</v>
      </c>
      <c r="W2164" s="5" t="s">
        <v>334</v>
      </c>
      <c r="X2164" s="5" t="s">
        <v>371</v>
      </c>
      <c r="Y2164" s="11" t="s">
        <v>612</v>
      </c>
      <c r="Z2164" s="11" t="s">
        <v>244</v>
      </c>
      <c r="AA2164" s="11" t="s">
        <v>155</v>
      </c>
      <c r="AB2164" s="5" t="s">
        <v>328</v>
      </c>
      <c r="AC2164" s="5" t="s">
        <v>3511</v>
      </c>
      <c r="AD2164" s="11" t="s">
        <v>5311</v>
      </c>
      <c r="AE2164" s="23" t="n">
        <v>0.85</v>
      </c>
      <c r="AF2164" s="23" t="n">
        <v>0</v>
      </c>
      <c r="AG2164" s="23" t="n">
        <v>0.33</v>
      </c>
      <c r="AH2164" s="23" t="n">
        <v>0.6</v>
      </c>
      <c r="AI2164" s="23" t="n">
        <v>0.2</v>
      </c>
      <c r="AJ2164" s="23" t="n">
        <v>0.2044</v>
      </c>
      <c r="AK2164" s="23" t="n">
        <v>0.5</v>
      </c>
      <c r="AL2164" s="23" t="n">
        <v>0.6</v>
      </c>
      <c r="AM2164" s="16" t="n">
        <f aca="false">COUNTIFS($D$2:$D$2501,D2164,$G$2:$G$2501,"&gt;"&amp;G2164)+COUNTIFS($D$2:D2164,D2164,$G$2:G2164,G2164)</f>
        <v>954</v>
      </c>
      <c r="AN2164" s="5" t="str">
        <f aca="false">D2164&amp;"|"&amp;AM2164</f>
        <v>分析與報告生成|954</v>
      </c>
    </row>
    <row r="2165" customFormat="false" ht="17.15" hidden="false" customHeight="false" outlineLevel="0" collapsed="false">
      <c r="A2165" s="16" t="n">
        <f aca="false">RANK(G2165,$G$2:$G$2501)+COUNTIF($G$2:G2165,G2165)-1</f>
        <v>2164</v>
      </c>
      <c r="B2165" s="11" t="s">
        <v>5312</v>
      </c>
      <c r="C2165" s="11" t="s">
        <v>402</v>
      </c>
      <c r="D2165" s="5" t="s">
        <v>58</v>
      </c>
      <c r="E2165" s="5" t="s">
        <v>59</v>
      </c>
      <c r="F2165" s="5"/>
      <c r="G2165" s="22" t="n">
        <f aca="false">ROUND(SUM(I2165:P2165),3)</f>
        <v>48.958</v>
      </c>
      <c r="H2165" s="5" t="str">
        <f aca="false">IF(G2165&gt;=評分方法!$C$16,"優先評估",IF(G2165&gt;=評分方法!$C$17,"列入候選",IF(G2165&gt;=評分方法!$C$18,"特定情境","不建議")))</f>
        <v>不建議</v>
      </c>
      <c r="I2165" s="15" t="n">
        <f aca="false">AE2165*評分方法!$C$5</f>
        <v>11.4</v>
      </c>
      <c r="J2165" s="15" t="n">
        <f aca="false">AF2165*評分方法!$C$6</f>
        <v>0</v>
      </c>
      <c r="K2165" s="15" t="n">
        <f aca="false">AG2165*評分方法!$C$7</f>
        <v>4.95</v>
      </c>
      <c r="L2165" s="15" t="n">
        <f aca="false">AH2165*評分方法!$C$8</f>
        <v>15</v>
      </c>
      <c r="M2165" s="15" t="n">
        <f aca="false">AI2165*評分方法!$C$9</f>
        <v>10</v>
      </c>
      <c r="N2165" s="15" t="n">
        <f aca="false">AJ2165*評分方法!$C$10</f>
        <v>5.108</v>
      </c>
      <c r="O2165" s="15" t="n">
        <f aca="false">AK2165*評分方法!$C$11</f>
        <v>2.5</v>
      </c>
      <c r="P2165" s="15" t="n">
        <f aca="false">AL2165*評分方法!$C$12</f>
        <v>0</v>
      </c>
      <c r="Q2165" s="6" t="n">
        <v>546832</v>
      </c>
      <c r="R2165" s="6" t="n">
        <v>334095363</v>
      </c>
      <c r="S2165" s="11" t="s">
        <v>238</v>
      </c>
      <c r="T2165" s="11" t="s">
        <v>239</v>
      </c>
      <c r="U2165" s="5" t="s">
        <v>240</v>
      </c>
      <c r="V2165" s="11" t="s">
        <v>261</v>
      </c>
      <c r="W2165" s="5" t="s">
        <v>334</v>
      </c>
      <c r="X2165" s="5" t="s">
        <v>242</v>
      </c>
      <c r="Y2165" s="5"/>
      <c r="Z2165" s="5"/>
      <c r="AA2165" s="11" t="s">
        <v>150</v>
      </c>
      <c r="AB2165" s="5" t="s">
        <v>245</v>
      </c>
      <c r="AC2165" s="5" t="s">
        <v>3044</v>
      </c>
      <c r="AD2165" s="11" t="s">
        <v>5313</v>
      </c>
      <c r="AE2165" s="23" t="n">
        <v>0.38</v>
      </c>
      <c r="AF2165" s="23" t="n">
        <v>0</v>
      </c>
      <c r="AG2165" s="23" t="n">
        <v>0.33</v>
      </c>
      <c r="AH2165" s="23" t="n">
        <v>1</v>
      </c>
      <c r="AI2165" s="23" t="n">
        <v>1</v>
      </c>
      <c r="AJ2165" s="23" t="n">
        <v>0.5108</v>
      </c>
      <c r="AK2165" s="23" t="n">
        <v>0.5</v>
      </c>
      <c r="AL2165" s="23" t="n">
        <v>0</v>
      </c>
      <c r="AM2165" s="16" t="n">
        <f aca="false">COUNTIFS($D$2:$D$2501,D2165,$G$2:$G$2501,"&gt;"&amp;G2165)+COUNTIFS($D$2:D2165,D2165,$G$2:G2165,G2165)</f>
        <v>334</v>
      </c>
      <c r="AN2165" s="5" t="str">
        <f aca="false">D2165&amp;"|"&amp;AM2165</f>
        <v>實體擷取與去識別化|334</v>
      </c>
    </row>
    <row r="2166" customFormat="false" ht="17.15" hidden="false" customHeight="false" outlineLevel="0" collapsed="false">
      <c r="A2166" s="16" t="n">
        <f aca="false">RANK(G2166,$G$2:$G$2501)+COUNTIF($G$2:G2166,G2166)-1</f>
        <v>2165</v>
      </c>
      <c r="B2166" s="11" t="s">
        <v>5314</v>
      </c>
      <c r="C2166" s="11" t="s">
        <v>327</v>
      </c>
      <c r="D2166" s="5" t="s">
        <v>80</v>
      </c>
      <c r="E2166" s="5" t="s">
        <v>81</v>
      </c>
      <c r="F2166" s="5"/>
      <c r="G2166" s="22" t="n">
        <f aca="false">ROUND(SUM(I2166:P2166),3)</f>
        <v>48.956</v>
      </c>
      <c r="H2166" s="5" t="str">
        <f aca="false">IF(G2166&gt;=評分方法!$C$16,"優先評估",IF(G2166&gt;=評分方法!$C$17,"列入候選",IF(G2166&gt;=評分方法!$C$18,"特定情境","不建議")))</f>
        <v>不建議</v>
      </c>
      <c r="I2166" s="15" t="n">
        <f aca="false">AE2166*評分方法!$C$5</f>
        <v>6</v>
      </c>
      <c r="J2166" s="15" t="n">
        <f aca="false">AF2166*評分方法!$C$6</f>
        <v>0</v>
      </c>
      <c r="K2166" s="15" t="n">
        <f aca="false">AG2166*評分方法!$C$7</f>
        <v>15</v>
      </c>
      <c r="L2166" s="15" t="n">
        <f aca="false">AH2166*評分方法!$C$8</f>
        <v>15</v>
      </c>
      <c r="M2166" s="15" t="n">
        <f aca="false">AI2166*評分方法!$C$9</f>
        <v>6</v>
      </c>
      <c r="N2166" s="15" t="n">
        <f aca="false">AJ2166*評分方法!$C$10</f>
        <v>2.956</v>
      </c>
      <c r="O2166" s="15" t="n">
        <f aca="false">AK2166*評分方法!$C$11</f>
        <v>2.5</v>
      </c>
      <c r="P2166" s="15" t="n">
        <f aca="false">AL2166*評分方法!$C$12</f>
        <v>1.5</v>
      </c>
      <c r="Q2166" s="6" t="n">
        <v>291282</v>
      </c>
      <c r="R2166" s="6" t="n">
        <v>183856160</v>
      </c>
      <c r="S2166" s="11" t="s">
        <v>238</v>
      </c>
      <c r="T2166" s="11" t="s">
        <v>185</v>
      </c>
      <c r="U2166" s="5" t="s">
        <v>260</v>
      </c>
      <c r="V2166" s="11" t="s">
        <v>261</v>
      </c>
      <c r="W2166" s="5" t="s">
        <v>205</v>
      </c>
      <c r="X2166" s="5" t="s">
        <v>255</v>
      </c>
      <c r="Y2166" s="5"/>
      <c r="Z2166" s="5"/>
      <c r="AA2166" s="5"/>
      <c r="AB2166" s="5" t="s">
        <v>255</v>
      </c>
      <c r="AC2166" s="5" t="s">
        <v>262</v>
      </c>
      <c r="AD2166" s="11" t="s">
        <v>5315</v>
      </c>
      <c r="AE2166" s="23" t="n">
        <v>0.2</v>
      </c>
      <c r="AF2166" s="23" t="n">
        <v>0</v>
      </c>
      <c r="AG2166" s="23" t="n">
        <v>1</v>
      </c>
      <c r="AH2166" s="23" t="n">
        <v>1</v>
      </c>
      <c r="AI2166" s="23" t="n">
        <v>0.6</v>
      </c>
      <c r="AJ2166" s="23" t="n">
        <v>0.2956</v>
      </c>
      <c r="AK2166" s="23" t="n">
        <v>0.5</v>
      </c>
      <c r="AL2166" s="23" t="n">
        <v>0.3</v>
      </c>
      <c r="AM2166" s="16" t="n">
        <f aca="false">COUNTIFS($D$2:$D$2501,D2166,$G$2:$G$2501,"&gt;"&amp;G2166)+COUNTIFS($D$2:D2166,D2166,$G$2:G2166,G2166)</f>
        <v>20</v>
      </c>
      <c r="AN2166" s="5" t="str">
        <f aca="false">D2166&amp;"|"&amp;AM2166</f>
        <v>其他|20</v>
      </c>
    </row>
    <row r="2167" customFormat="false" ht="17.15" hidden="false" customHeight="false" outlineLevel="0" collapsed="false">
      <c r="A2167" s="16" t="n">
        <f aca="false">RANK(G2167,$G$2:$G$2501)+COUNTIF($G$2:G2167,G2167)-1</f>
        <v>2166</v>
      </c>
      <c r="B2167" s="11" t="s">
        <v>5316</v>
      </c>
      <c r="C2167" s="11" t="s">
        <v>681</v>
      </c>
      <c r="D2167" s="5" t="s">
        <v>80</v>
      </c>
      <c r="E2167" s="5" t="s">
        <v>81</v>
      </c>
      <c r="F2167" s="5"/>
      <c r="G2167" s="22" t="n">
        <f aca="false">ROUND(SUM(I2167:P2167),3)</f>
        <v>48.948</v>
      </c>
      <c r="H2167" s="5" t="str">
        <f aca="false">IF(G2167&gt;=評分方法!$C$16,"優先評估",IF(G2167&gt;=評分方法!$C$17,"列入候選",IF(G2167&gt;=評分方法!$C$18,"特定情境","不建議")))</f>
        <v>不建議</v>
      </c>
      <c r="I2167" s="15" t="n">
        <f aca="false">AE2167*評分方法!$C$5</f>
        <v>3</v>
      </c>
      <c r="J2167" s="15" t="n">
        <f aca="false">AF2167*評分方法!$C$6</f>
        <v>0</v>
      </c>
      <c r="K2167" s="15" t="n">
        <f aca="false">AG2167*評分方法!$C$7</f>
        <v>15</v>
      </c>
      <c r="L2167" s="15" t="n">
        <f aca="false">AH2167*評分方法!$C$8</f>
        <v>15</v>
      </c>
      <c r="M2167" s="15" t="n">
        <f aca="false">AI2167*評分方法!$C$9</f>
        <v>10</v>
      </c>
      <c r="N2167" s="15" t="n">
        <f aca="false">AJ2167*評分方法!$C$10</f>
        <v>1.948</v>
      </c>
      <c r="O2167" s="15" t="n">
        <f aca="false">AK2167*評分方法!$C$11</f>
        <v>2.5</v>
      </c>
      <c r="P2167" s="15" t="n">
        <f aca="false">AL2167*評分方法!$C$12</f>
        <v>1.5</v>
      </c>
      <c r="Q2167" s="6" t="n">
        <v>207087</v>
      </c>
      <c r="R2167" s="6" t="n">
        <v>80850690</v>
      </c>
      <c r="S2167" s="11" t="s">
        <v>238</v>
      </c>
      <c r="T2167" s="11" t="s">
        <v>239</v>
      </c>
      <c r="U2167" s="5" t="s">
        <v>240</v>
      </c>
      <c r="V2167" s="11" t="s">
        <v>324</v>
      </c>
      <c r="W2167" s="5" t="s">
        <v>205</v>
      </c>
      <c r="X2167" s="5" t="s">
        <v>255</v>
      </c>
      <c r="Y2167" s="5"/>
      <c r="Z2167" s="5"/>
      <c r="AA2167" s="11" t="s">
        <v>184</v>
      </c>
      <c r="AB2167" s="5" t="s">
        <v>245</v>
      </c>
      <c r="AC2167" s="5"/>
      <c r="AD2167" s="11" t="s">
        <v>5317</v>
      </c>
      <c r="AE2167" s="23" t="n">
        <v>0.1</v>
      </c>
      <c r="AF2167" s="23" t="n">
        <v>0</v>
      </c>
      <c r="AG2167" s="23" t="n">
        <v>1</v>
      </c>
      <c r="AH2167" s="23" t="n">
        <v>1</v>
      </c>
      <c r="AI2167" s="23" t="n">
        <v>1</v>
      </c>
      <c r="AJ2167" s="23" t="n">
        <v>0.1948</v>
      </c>
      <c r="AK2167" s="23" t="n">
        <v>0.5</v>
      </c>
      <c r="AL2167" s="23" t="n">
        <v>0.3</v>
      </c>
      <c r="AM2167" s="16" t="n">
        <f aca="false">COUNTIFS($D$2:$D$2501,D2167,$G$2:$G$2501,"&gt;"&amp;G2167)+COUNTIFS($D$2:D2167,D2167,$G$2:G2167,G2167)</f>
        <v>21</v>
      </c>
      <c r="AN2167" s="5" t="str">
        <f aca="false">D2167&amp;"|"&amp;AM2167</f>
        <v>其他|21</v>
      </c>
    </row>
    <row r="2168" customFormat="false" ht="17.15" hidden="false" customHeight="false" outlineLevel="0" collapsed="false">
      <c r="A2168" s="16" t="n">
        <f aca="false">RANK(G2168,$G$2:$G$2501)+COUNTIF($G$2:G2168,G2168)-1</f>
        <v>2167</v>
      </c>
      <c r="B2168" s="11" t="s">
        <v>5318</v>
      </c>
      <c r="C2168" s="11" t="s">
        <v>5319</v>
      </c>
      <c r="D2168" s="5" t="s">
        <v>56</v>
      </c>
      <c r="E2168" s="5" t="s">
        <v>57</v>
      </c>
      <c r="F2168" s="5"/>
      <c r="G2168" s="22" t="n">
        <f aca="false">ROUND(SUM(I2168:P2168),3)</f>
        <v>48.936</v>
      </c>
      <c r="H2168" s="5" t="str">
        <f aca="false">IF(G2168&gt;=評分方法!$C$16,"優先評估",IF(G2168&gt;=評分方法!$C$17,"列入候選",IF(G2168&gt;=評分方法!$C$18,"特定情境","不建議")))</f>
        <v>不建議</v>
      </c>
      <c r="I2168" s="15" t="n">
        <f aca="false">AE2168*評分方法!$C$5</f>
        <v>15.3</v>
      </c>
      <c r="J2168" s="15" t="n">
        <f aca="false">AF2168*評分方法!$C$6</f>
        <v>0</v>
      </c>
      <c r="K2168" s="15" t="n">
        <f aca="false">AG2168*評分方法!$C$7</f>
        <v>4.95</v>
      </c>
      <c r="L2168" s="15" t="n">
        <f aca="false">AH2168*評分方法!$C$8</f>
        <v>13.05</v>
      </c>
      <c r="M2168" s="15" t="n">
        <f aca="false">AI2168*評分方法!$C$9</f>
        <v>6</v>
      </c>
      <c r="N2168" s="15" t="n">
        <f aca="false">AJ2168*評分方法!$C$10</f>
        <v>8.636</v>
      </c>
      <c r="O2168" s="15" t="n">
        <f aca="false">AK2168*評分方法!$C$11</f>
        <v>1</v>
      </c>
      <c r="P2168" s="15" t="n">
        <f aca="false">AL2168*評分方法!$C$12</f>
        <v>0</v>
      </c>
      <c r="Q2168" s="6" t="n">
        <v>2581255</v>
      </c>
      <c r="R2168" s="6" t="n">
        <v>8030261248</v>
      </c>
      <c r="S2168" s="11" t="s">
        <v>254</v>
      </c>
      <c r="T2168" s="11" t="s">
        <v>185</v>
      </c>
      <c r="U2168" s="5" t="s">
        <v>260</v>
      </c>
      <c r="V2168" s="11" t="s">
        <v>261</v>
      </c>
      <c r="W2168" s="5" t="s">
        <v>334</v>
      </c>
      <c r="X2168" s="5" t="s">
        <v>242</v>
      </c>
      <c r="Y2168" s="5"/>
      <c r="Z2168" s="5"/>
      <c r="AA2168" s="11" t="s">
        <v>155</v>
      </c>
      <c r="AB2168" s="5" t="s">
        <v>245</v>
      </c>
      <c r="AC2168" s="5" t="s">
        <v>4841</v>
      </c>
      <c r="AD2168" s="11" t="s">
        <v>5320</v>
      </c>
      <c r="AE2168" s="23" t="n">
        <v>0.51</v>
      </c>
      <c r="AF2168" s="23" t="n">
        <v>0</v>
      </c>
      <c r="AG2168" s="23" t="n">
        <v>0.33</v>
      </c>
      <c r="AH2168" s="23" t="n">
        <v>0.87</v>
      </c>
      <c r="AI2168" s="23" t="n">
        <v>0.6</v>
      </c>
      <c r="AJ2168" s="23" t="n">
        <v>0.8636</v>
      </c>
      <c r="AK2168" s="23" t="n">
        <v>0.2</v>
      </c>
      <c r="AL2168" s="23" t="n">
        <v>0</v>
      </c>
      <c r="AM2168" s="16" t="n">
        <f aca="false">COUNTIFS($D$2:$D$2501,D2168,$G$2:$G$2501,"&gt;"&amp;G2168)+COUNTIFS($D$2:D2168,D2168,$G$2:G2168,G2168)</f>
        <v>955</v>
      </c>
      <c r="AN2168" s="5" t="str">
        <f aca="false">D2168&amp;"|"&amp;AM2168</f>
        <v>分析與報告生成|955</v>
      </c>
    </row>
    <row r="2169" customFormat="false" ht="17.15" hidden="false" customHeight="false" outlineLevel="0" collapsed="false">
      <c r="A2169" s="16" t="n">
        <f aca="false">RANK(G2169,$G$2:$G$2501)+COUNTIF($G$2:G2169,G2169)-1</f>
        <v>2168</v>
      </c>
      <c r="B2169" s="11" t="s">
        <v>5321</v>
      </c>
      <c r="C2169" s="11" t="s">
        <v>402</v>
      </c>
      <c r="D2169" s="5" t="s">
        <v>58</v>
      </c>
      <c r="E2169" s="5" t="s">
        <v>59</v>
      </c>
      <c r="F2169" s="5"/>
      <c r="G2169" s="22" t="n">
        <f aca="false">ROUND(SUM(I2169:P2169),3)</f>
        <v>48.918</v>
      </c>
      <c r="H2169" s="5" t="str">
        <f aca="false">IF(G2169&gt;=評分方法!$C$16,"優先評估",IF(G2169&gt;=評分方法!$C$17,"列入候選",IF(G2169&gt;=評分方法!$C$18,"特定情境","不建議")))</f>
        <v>不建議</v>
      </c>
      <c r="I2169" s="15" t="n">
        <f aca="false">AE2169*評分方法!$C$5</f>
        <v>11.4</v>
      </c>
      <c r="J2169" s="15" t="n">
        <f aca="false">AF2169*評分方法!$C$6</f>
        <v>0</v>
      </c>
      <c r="K2169" s="15" t="n">
        <f aca="false">AG2169*評分方法!$C$7</f>
        <v>4.95</v>
      </c>
      <c r="L2169" s="15" t="n">
        <f aca="false">AH2169*評分方法!$C$8</f>
        <v>15</v>
      </c>
      <c r="M2169" s="15" t="n">
        <f aca="false">AI2169*評分方法!$C$9</f>
        <v>10</v>
      </c>
      <c r="N2169" s="15" t="n">
        <f aca="false">AJ2169*評分方法!$C$10</f>
        <v>5.068</v>
      </c>
      <c r="O2169" s="15" t="n">
        <f aca="false">AK2169*評分方法!$C$11</f>
        <v>2.5</v>
      </c>
      <c r="P2169" s="15" t="n">
        <f aca="false">AL2169*評分方法!$C$12</f>
        <v>0</v>
      </c>
      <c r="Q2169" s="6" t="n">
        <v>545584</v>
      </c>
      <c r="R2169" s="6" t="n">
        <v>108900107</v>
      </c>
      <c r="S2169" s="11" t="s">
        <v>238</v>
      </c>
      <c r="T2169" s="11" t="s">
        <v>239</v>
      </c>
      <c r="U2169" s="5" t="s">
        <v>240</v>
      </c>
      <c r="V2169" s="11" t="s">
        <v>261</v>
      </c>
      <c r="W2169" s="5" t="s">
        <v>334</v>
      </c>
      <c r="X2169" s="5" t="s">
        <v>242</v>
      </c>
      <c r="Y2169" s="5"/>
      <c r="Z2169" s="5"/>
      <c r="AA2169" s="11" t="s">
        <v>150</v>
      </c>
      <c r="AB2169" s="5" t="s">
        <v>245</v>
      </c>
      <c r="AC2169" s="5" t="s">
        <v>3044</v>
      </c>
      <c r="AD2169" s="11" t="s">
        <v>5322</v>
      </c>
      <c r="AE2169" s="23" t="n">
        <v>0.38</v>
      </c>
      <c r="AF2169" s="23" t="n">
        <v>0</v>
      </c>
      <c r="AG2169" s="23" t="n">
        <v>0.33</v>
      </c>
      <c r="AH2169" s="23" t="n">
        <v>1</v>
      </c>
      <c r="AI2169" s="23" t="n">
        <v>1</v>
      </c>
      <c r="AJ2169" s="23" t="n">
        <v>0.5068</v>
      </c>
      <c r="AK2169" s="23" t="n">
        <v>0.5</v>
      </c>
      <c r="AL2169" s="23" t="n">
        <v>0</v>
      </c>
      <c r="AM2169" s="16" t="n">
        <f aca="false">COUNTIFS($D$2:$D$2501,D2169,$G$2:$G$2501,"&gt;"&amp;G2169)+COUNTIFS($D$2:D2169,D2169,$G$2:G2169,G2169)</f>
        <v>335</v>
      </c>
      <c r="AN2169" s="5" t="str">
        <f aca="false">D2169&amp;"|"&amp;AM2169</f>
        <v>實體擷取與去識別化|335</v>
      </c>
    </row>
    <row r="2170" customFormat="false" ht="17.15" hidden="false" customHeight="false" outlineLevel="0" collapsed="false">
      <c r="A2170" s="16" t="n">
        <f aca="false">RANK(G2170,$G$2:$G$2501)+COUNTIF($G$2:G2170,G2170)-1</f>
        <v>2169</v>
      </c>
      <c r="B2170" s="11" t="s">
        <v>5323</v>
      </c>
      <c r="C2170" s="11" t="s">
        <v>402</v>
      </c>
      <c r="D2170" s="5" t="s">
        <v>58</v>
      </c>
      <c r="E2170" s="5" t="s">
        <v>59</v>
      </c>
      <c r="F2170" s="5"/>
      <c r="G2170" s="22" t="n">
        <f aca="false">ROUND(SUM(I2170:P2170),3)</f>
        <v>48.89</v>
      </c>
      <c r="H2170" s="5" t="str">
        <f aca="false">IF(G2170&gt;=評分方法!$C$16,"優先評估",IF(G2170&gt;=評分方法!$C$17,"列入候選",IF(G2170&gt;=評分方法!$C$18,"特定情境","不建議")))</f>
        <v>不建議</v>
      </c>
      <c r="I2170" s="15" t="n">
        <f aca="false">AE2170*評分方法!$C$5</f>
        <v>11.4</v>
      </c>
      <c r="J2170" s="15" t="n">
        <f aca="false">AF2170*評分方法!$C$6</f>
        <v>0</v>
      </c>
      <c r="K2170" s="15" t="n">
        <f aca="false">AG2170*評分方法!$C$7</f>
        <v>4.95</v>
      </c>
      <c r="L2170" s="15" t="n">
        <f aca="false">AH2170*評分方法!$C$8</f>
        <v>15</v>
      </c>
      <c r="M2170" s="15" t="n">
        <f aca="false">AI2170*評分方法!$C$9</f>
        <v>10</v>
      </c>
      <c r="N2170" s="15" t="n">
        <f aca="false">AJ2170*評分方法!$C$10</f>
        <v>5.04</v>
      </c>
      <c r="O2170" s="15" t="n">
        <f aca="false">AK2170*評分方法!$C$11</f>
        <v>2.5</v>
      </c>
      <c r="P2170" s="15" t="n">
        <f aca="false">AL2170*評分方法!$C$12</f>
        <v>0</v>
      </c>
      <c r="Q2170" s="6" t="n">
        <v>543925</v>
      </c>
      <c r="R2170" s="6" t="n">
        <v>334126113</v>
      </c>
      <c r="S2170" s="11" t="s">
        <v>238</v>
      </c>
      <c r="T2170" s="11" t="s">
        <v>239</v>
      </c>
      <c r="U2170" s="5" t="s">
        <v>240</v>
      </c>
      <c r="V2170" s="11" t="s">
        <v>261</v>
      </c>
      <c r="W2170" s="5" t="s">
        <v>334</v>
      </c>
      <c r="X2170" s="5" t="s">
        <v>242</v>
      </c>
      <c r="Y2170" s="5"/>
      <c r="Z2170" s="5"/>
      <c r="AA2170" s="11" t="s">
        <v>150</v>
      </c>
      <c r="AB2170" s="5" t="s">
        <v>245</v>
      </c>
      <c r="AC2170" s="5" t="s">
        <v>3044</v>
      </c>
      <c r="AD2170" s="11" t="s">
        <v>5324</v>
      </c>
      <c r="AE2170" s="23" t="n">
        <v>0.38</v>
      </c>
      <c r="AF2170" s="23" t="n">
        <v>0</v>
      </c>
      <c r="AG2170" s="23" t="n">
        <v>0.33</v>
      </c>
      <c r="AH2170" s="23" t="n">
        <v>1</v>
      </c>
      <c r="AI2170" s="23" t="n">
        <v>1</v>
      </c>
      <c r="AJ2170" s="23" t="n">
        <v>0.504</v>
      </c>
      <c r="AK2170" s="23" t="n">
        <v>0.5</v>
      </c>
      <c r="AL2170" s="23" t="n">
        <v>0</v>
      </c>
      <c r="AM2170" s="16" t="n">
        <f aca="false">COUNTIFS($D$2:$D$2501,D2170,$G$2:$G$2501,"&gt;"&amp;G2170)+COUNTIFS($D$2:D2170,D2170,$G$2:G2170,G2170)</f>
        <v>336</v>
      </c>
      <c r="AN2170" s="5" t="str">
        <f aca="false">D2170&amp;"|"&amp;AM2170</f>
        <v>實體擷取與去識別化|336</v>
      </c>
    </row>
    <row r="2171" customFormat="false" ht="17.15" hidden="false" customHeight="false" outlineLevel="0" collapsed="false">
      <c r="A2171" s="16" t="n">
        <f aca="false">RANK(G2171,$G$2:$G$2501)+COUNTIF($G$2:G2171,G2171)-1</f>
        <v>2170</v>
      </c>
      <c r="B2171" s="11" t="s">
        <v>5325</v>
      </c>
      <c r="C2171" s="11" t="s">
        <v>402</v>
      </c>
      <c r="D2171" s="5" t="s">
        <v>58</v>
      </c>
      <c r="E2171" s="5" t="s">
        <v>59</v>
      </c>
      <c r="F2171" s="5"/>
      <c r="G2171" s="22" t="n">
        <f aca="false">ROUND(SUM(I2171:P2171),3)</f>
        <v>48.87</v>
      </c>
      <c r="H2171" s="5" t="str">
        <f aca="false">IF(G2171&gt;=評分方法!$C$16,"優先評估",IF(G2171&gt;=評分方法!$C$17,"列入候選",IF(G2171&gt;=評分方法!$C$18,"特定情境","不建議")))</f>
        <v>不建議</v>
      </c>
      <c r="I2171" s="15" t="n">
        <f aca="false">AE2171*評分方法!$C$5</f>
        <v>11.4</v>
      </c>
      <c r="J2171" s="15" t="n">
        <f aca="false">AF2171*評分方法!$C$6</f>
        <v>0</v>
      </c>
      <c r="K2171" s="15" t="n">
        <f aca="false">AG2171*評分方法!$C$7</f>
        <v>4.95</v>
      </c>
      <c r="L2171" s="15" t="n">
        <f aca="false">AH2171*評分方法!$C$8</f>
        <v>15</v>
      </c>
      <c r="M2171" s="15" t="n">
        <f aca="false">AI2171*評分方法!$C$9</f>
        <v>10</v>
      </c>
      <c r="N2171" s="15" t="n">
        <f aca="false">AJ2171*評分方法!$C$10</f>
        <v>5.02</v>
      </c>
      <c r="O2171" s="15" t="n">
        <f aca="false">AK2171*評分方法!$C$11</f>
        <v>2.5</v>
      </c>
      <c r="P2171" s="15" t="n">
        <f aca="false">AL2171*評分方法!$C$12</f>
        <v>0</v>
      </c>
      <c r="Q2171" s="6" t="n">
        <v>539651</v>
      </c>
      <c r="R2171" s="6" t="n">
        <v>334095363</v>
      </c>
      <c r="S2171" s="11" t="s">
        <v>238</v>
      </c>
      <c r="T2171" s="11" t="s">
        <v>239</v>
      </c>
      <c r="U2171" s="5" t="s">
        <v>240</v>
      </c>
      <c r="V2171" s="11" t="s">
        <v>261</v>
      </c>
      <c r="W2171" s="5" t="s">
        <v>334</v>
      </c>
      <c r="X2171" s="5" t="s">
        <v>242</v>
      </c>
      <c r="Y2171" s="5"/>
      <c r="Z2171" s="5"/>
      <c r="AA2171" s="11" t="s">
        <v>150</v>
      </c>
      <c r="AB2171" s="5" t="s">
        <v>245</v>
      </c>
      <c r="AC2171" s="5" t="s">
        <v>3044</v>
      </c>
      <c r="AD2171" s="11" t="s">
        <v>5326</v>
      </c>
      <c r="AE2171" s="23" t="n">
        <v>0.38</v>
      </c>
      <c r="AF2171" s="23" t="n">
        <v>0</v>
      </c>
      <c r="AG2171" s="23" t="n">
        <v>0.33</v>
      </c>
      <c r="AH2171" s="23" t="n">
        <v>1</v>
      </c>
      <c r="AI2171" s="23" t="n">
        <v>1</v>
      </c>
      <c r="AJ2171" s="23" t="n">
        <v>0.502</v>
      </c>
      <c r="AK2171" s="23" t="n">
        <v>0.5</v>
      </c>
      <c r="AL2171" s="23" t="n">
        <v>0</v>
      </c>
      <c r="AM2171" s="16" t="n">
        <f aca="false">COUNTIFS($D$2:$D$2501,D2171,$G$2:$G$2501,"&gt;"&amp;G2171)+COUNTIFS($D$2:D2171,D2171,$G$2:G2171,G2171)</f>
        <v>337</v>
      </c>
      <c r="AN2171" s="5" t="str">
        <f aca="false">D2171&amp;"|"&amp;AM2171</f>
        <v>實體擷取與去識別化|337</v>
      </c>
    </row>
    <row r="2172" customFormat="false" ht="17.15" hidden="false" customHeight="false" outlineLevel="0" collapsed="false">
      <c r="A2172" s="16" t="n">
        <f aca="false">RANK(G2172,$G$2:$G$2501)+COUNTIF($G$2:G2172,G2172)-1</f>
        <v>2171</v>
      </c>
      <c r="B2172" s="11" t="s">
        <v>5327</v>
      </c>
      <c r="C2172" s="11" t="s">
        <v>5328</v>
      </c>
      <c r="D2172" s="5" t="s">
        <v>56</v>
      </c>
      <c r="E2172" s="5" t="s">
        <v>57</v>
      </c>
      <c r="F2172" s="5"/>
      <c r="G2172" s="22" t="n">
        <f aca="false">ROUND(SUM(I2172:P2172),3)</f>
        <v>48.856</v>
      </c>
      <c r="H2172" s="5" t="str">
        <f aca="false">IF(G2172&gt;=評分方法!$C$16,"優先評估",IF(G2172&gt;=評分方法!$C$17,"列入候選",IF(G2172&gt;=評分方法!$C$18,"特定情境","不建議")))</f>
        <v>不建議</v>
      </c>
      <c r="I2172" s="15" t="n">
        <f aca="false">AE2172*評分方法!$C$5</f>
        <v>25.5</v>
      </c>
      <c r="J2172" s="15" t="n">
        <f aca="false">AF2172*評分方法!$C$6</f>
        <v>0</v>
      </c>
      <c r="K2172" s="15" t="n">
        <f aca="false">AG2172*評分方法!$C$7</f>
        <v>4.95</v>
      </c>
      <c r="L2172" s="15" t="n">
        <f aca="false">AH2172*評分方法!$C$8</f>
        <v>4.95</v>
      </c>
      <c r="M2172" s="15" t="n">
        <f aca="false">AI2172*評分方法!$C$9</f>
        <v>6</v>
      </c>
      <c r="N2172" s="15" t="n">
        <f aca="false">AJ2172*評分方法!$C$10</f>
        <v>2.456</v>
      </c>
      <c r="O2172" s="15" t="n">
        <f aca="false">AK2172*評分方法!$C$11</f>
        <v>5</v>
      </c>
      <c r="P2172" s="15" t="n">
        <f aca="false">AL2172*評分方法!$C$12</f>
        <v>0</v>
      </c>
      <c r="Q2172" s="6" t="n">
        <v>247470</v>
      </c>
      <c r="R2172" s="6" t="n">
        <v>70553706496</v>
      </c>
      <c r="S2172" s="11" t="s">
        <v>1876</v>
      </c>
      <c r="T2172" s="11" t="s">
        <v>259</v>
      </c>
      <c r="U2172" s="5" t="s">
        <v>260</v>
      </c>
      <c r="V2172" s="11" t="s">
        <v>261</v>
      </c>
      <c r="W2172" s="5" t="s">
        <v>334</v>
      </c>
      <c r="X2172" s="5" t="s">
        <v>242</v>
      </c>
      <c r="Y2172" s="11" t="s">
        <v>3064</v>
      </c>
      <c r="Z2172" s="11" t="s">
        <v>270</v>
      </c>
      <c r="AA2172" s="11" t="s">
        <v>155</v>
      </c>
      <c r="AB2172" s="5" t="s">
        <v>245</v>
      </c>
      <c r="AC2172" s="5" t="s">
        <v>262</v>
      </c>
      <c r="AD2172" s="11" t="s">
        <v>5329</v>
      </c>
      <c r="AE2172" s="23" t="n">
        <v>0.85</v>
      </c>
      <c r="AF2172" s="23" t="n">
        <v>0</v>
      </c>
      <c r="AG2172" s="23" t="n">
        <v>0.33</v>
      </c>
      <c r="AH2172" s="23" t="n">
        <v>0.33</v>
      </c>
      <c r="AI2172" s="23" t="n">
        <v>0.6</v>
      </c>
      <c r="AJ2172" s="23" t="n">
        <v>0.2456</v>
      </c>
      <c r="AK2172" s="23" t="n">
        <v>1</v>
      </c>
      <c r="AL2172" s="23" t="n">
        <v>0</v>
      </c>
      <c r="AM2172" s="16" t="n">
        <f aca="false">COUNTIFS($D$2:$D$2501,D2172,$G$2:$G$2501,"&gt;"&amp;G2172)+COUNTIFS($D$2:D2172,D2172,$G$2:G2172,G2172)</f>
        <v>956</v>
      </c>
      <c r="AN2172" s="5" t="str">
        <f aca="false">D2172&amp;"|"&amp;AM2172</f>
        <v>分析與報告生成|956</v>
      </c>
    </row>
    <row r="2173" customFormat="false" ht="17.15" hidden="false" customHeight="false" outlineLevel="0" collapsed="false">
      <c r="A2173" s="16" t="n">
        <f aca="false">RANK(G2173,$G$2:$G$2501)+COUNTIF($G$2:G2173,G2173)-1</f>
        <v>2172</v>
      </c>
      <c r="B2173" s="11" t="s">
        <v>5330</v>
      </c>
      <c r="C2173" s="11" t="s">
        <v>5331</v>
      </c>
      <c r="D2173" s="5" t="s">
        <v>78</v>
      </c>
      <c r="E2173" s="5" t="s">
        <v>79</v>
      </c>
      <c r="F2173" s="5"/>
      <c r="G2173" s="22" t="n">
        <f aca="false">ROUND(SUM(I2173:P2173),3)</f>
        <v>48.786</v>
      </c>
      <c r="H2173" s="5" t="str">
        <f aca="false">IF(G2173&gt;=評分方法!$C$16,"優先評估",IF(G2173&gt;=評分方法!$C$17,"列入候選",IF(G2173&gt;=評分方法!$C$18,"特定情境","不建議")))</f>
        <v>不建議</v>
      </c>
      <c r="I2173" s="15" t="n">
        <f aca="false">AE2173*評分方法!$C$5</f>
        <v>9</v>
      </c>
      <c r="J2173" s="15" t="n">
        <f aca="false">AF2173*評分方法!$C$6</f>
        <v>0</v>
      </c>
      <c r="K2173" s="15" t="n">
        <f aca="false">AG2173*評分方法!$C$7</f>
        <v>10.05</v>
      </c>
      <c r="L2173" s="15" t="n">
        <f aca="false">AH2173*評分方法!$C$8</f>
        <v>15</v>
      </c>
      <c r="M2173" s="15" t="n">
        <f aca="false">AI2173*評分方法!$C$9</f>
        <v>10</v>
      </c>
      <c r="N2173" s="15" t="n">
        <f aca="false">AJ2173*評分方法!$C$10</f>
        <v>3.736</v>
      </c>
      <c r="O2173" s="15" t="n">
        <f aca="false">AK2173*評分方法!$C$11</f>
        <v>1</v>
      </c>
      <c r="P2173" s="15" t="n">
        <f aca="false">AL2173*評分方法!$C$12</f>
        <v>0</v>
      </c>
      <c r="Q2173" s="6" t="n">
        <v>382153</v>
      </c>
      <c r="R2173" s="6" t="n">
        <v>315472545</v>
      </c>
      <c r="S2173" s="11" t="s">
        <v>238</v>
      </c>
      <c r="T2173" s="11" t="s">
        <v>239</v>
      </c>
      <c r="U2173" s="5" t="s">
        <v>240</v>
      </c>
      <c r="V2173" s="11" t="s">
        <v>813</v>
      </c>
      <c r="W2173" s="5" t="s">
        <v>207</v>
      </c>
      <c r="X2173" s="5" t="s">
        <v>242</v>
      </c>
      <c r="Y2173" s="5"/>
      <c r="Z2173" s="5"/>
      <c r="AA2173" s="11" t="s">
        <v>175</v>
      </c>
      <c r="AB2173" s="5" t="s">
        <v>245</v>
      </c>
      <c r="AC2173" s="5"/>
      <c r="AD2173" s="11" t="s">
        <v>5332</v>
      </c>
      <c r="AE2173" s="23" t="n">
        <v>0.3</v>
      </c>
      <c r="AF2173" s="23" t="n">
        <v>0</v>
      </c>
      <c r="AG2173" s="23" t="n">
        <v>0.67</v>
      </c>
      <c r="AH2173" s="23" t="n">
        <v>1</v>
      </c>
      <c r="AI2173" s="23" t="n">
        <v>1</v>
      </c>
      <c r="AJ2173" s="23" t="n">
        <v>0.3736</v>
      </c>
      <c r="AK2173" s="23" t="n">
        <v>0.2</v>
      </c>
      <c r="AL2173" s="23" t="n">
        <v>0</v>
      </c>
      <c r="AM2173" s="16" t="n">
        <f aca="false">COUNTIFS($D$2:$D$2501,D2173,$G$2:$G$2501,"&gt;"&amp;G2173)+COUNTIFS($D$2:D2173,D2173,$G$2:G2173,G2173)</f>
        <v>73</v>
      </c>
      <c r="AN2173" s="5" t="str">
        <f aca="false">D2173&amp;"|"&amp;AM2173</f>
        <v>語音分析|73</v>
      </c>
    </row>
    <row r="2174" customFormat="false" ht="17.15" hidden="false" customHeight="false" outlineLevel="0" collapsed="false">
      <c r="A2174" s="16" t="n">
        <f aca="false">RANK(G2174,$G$2:$G$2501)+COUNTIF($G$2:G2174,G2174)-1</f>
        <v>2173</v>
      </c>
      <c r="B2174" s="11" t="s">
        <v>5333</v>
      </c>
      <c r="C2174" s="11" t="s">
        <v>2910</v>
      </c>
      <c r="D2174" s="5" t="s">
        <v>74</v>
      </c>
      <c r="E2174" s="5" t="s">
        <v>75</v>
      </c>
      <c r="F2174" s="5"/>
      <c r="G2174" s="22" t="n">
        <f aca="false">ROUND(SUM(I2174:P2174),3)</f>
        <v>48.762</v>
      </c>
      <c r="H2174" s="5" t="str">
        <f aca="false">IF(G2174&gt;=評分方法!$C$16,"優先評估",IF(G2174&gt;=評分方法!$C$17,"列入候選",IF(G2174&gt;=評分方法!$C$18,"特定情境","不建議")))</f>
        <v>不建議</v>
      </c>
      <c r="I2174" s="15" t="n">
        <f aca="false">AE2174*評分方法!$C$5</f>
        <v>10.5</v>
      </c>
      <c r="J2174" s="15" t="n">
        <f aca="false">AF2174*評分方法!$C$6</f>
        <v>0</v>
      </c>
      <c r="K2174" s="15" t="n">
        <f aca="false">AG2174*評分方法!$C$7</f>
        <v>10.05</v>
      </c>
      <c r="L2174" s="15" t="n">
        <f aca="false">AH2174*評分方法!$C$8</f>
        <v>15</v>
      </c>
      <c r="M2174" s="15" t="n">
        <f aca="false">AI2174*評分方法!$C$9</f>
        <v>10</v>
      </c>
      <c r="N2174" s="15" t="n">
        <f aca="false">AJ2174*評分方法!$C$10</f>
        <v>0.712</v>
      </c>
      <c r="O2174" s="15" t="n">
        <f aca="false">AK2174*評分方法!$C$11</f>
        <v>2.5</v>
      </c>
      <c r="P2174" s="15" t="n">
        <f aca="false">AL2174*評分方法!$C$12</f>
        <v>0</v>
      </c>
      <c r="Q2174" s="6" t="n">
        <v>142527</v>
      </c>
      <c r="R2174" s="6" t="n">
        <v>92888069</v>
      </c>
      <c r="S2174" s="11" t="s">
        <v>238</v>
      </c>
      <c r="T2174" s="11" t="s">
        <v>239</v>
      </c>
      <c r="U2174" s="5" t="s">
        <v>240</v>
      </c>
      <c r="V2174" s="11" t="s">
        <v>261</v>
      </c>
      <c r="W2174" s="5" t="s">
        <v>207</v>
      </c>
      <c r="X2174" s="5" t="s">
        <v>242</v>
      </c>
      <c r="Y2174" s="11" t="s">
        <v>2499</v>
      </c>
      <c r="Z2174" s="11" t="s">
        <v>270</v>
      </c>
      <c r="AA2174" s="11" t="s">
        <v>172</v>
      </c>
      <c r="AB2174" s="5" t="s">
        <v>245</v>
      </c>
      <c r="AC2174" s="5"/>
      <c r="AD2174" s="11" t="s">
        <v>5334</v>
      </c>
      <c r="AE2174" s="23" t="n">
        <v>0.35</v>
      </c>
      <c r="AF2174" s="23" t="n">
        <v>0</v>
      </c>
      <c r="AG2174" s="23" t="n">
        <v>0.67</v>
      </c>
      <c r="AH2174" s="23" t="n">
        <v>1</v>
      </c>
      <c r="AI2174" s="23" t="n">
        <v>1</v>
      </c>
      <c r="AJ2174" s="23" t="n">
        <v>0.0712</v>
      </c>
      <c r="AK2174" s="23" t="n">
        <v>0.5</v>
      </c>
      <c r="AL2174" s="23" t="n">
        <v>0</v>
      </c>
      <c r="AM2174" s="16" t="n">
        <f aca="false">COUNTIFS($D$2:$D$2501,D2174,$G$2:$G$2501,"&gt;"&amp;G2174)+COUNTIFS($D$2:D2174,D2174,$G$2:G2174,G2174)</f>
        <v>292</v>
      </c>
      <c r="AN2174" s="5" t="str">
        <f aca="false">D2174&amp;"|"&amp;AM2174</f>
        <v>文件與影像辨識|292</v>
      </c>
    </row>
    <row r="2175" customFormat="false" ht="17.15" hidden="false" customHeight="false" outlineLevel="0" collapsed="false">
      <c r="A2175" s="16" t="n">
        <f aca="false">RANK(G2175,$G$2:$G$2501)+COUNTIF($G$2:G2175,G2175)-1</f>
        <v>2174</v>
      </c>
      <c r="B2175" s="11" t="s">
        <v>5335</v>
      </c>
      <c r="C2175" s="11" t="s">
        <v>402</v>
      </c>
      <c r="D2175" s="5" t="s">
        <v>58</v>
      </c>
      <c r="E2175" s="5" t="s">
        <v>59</v>
      </c>
      <c r="F2175" s="5"/>
      <c r="G2175" s="22" t="n">
        <f aca="false">ROUND(SUM(I2175:P2175),3)</f>
        <v>48.718</v>
      </c>
      <c r="H2175" s="5" t="str">
        <f aca="false">IF(G2175&gt;=評分方法!$C$16,"優先評估",IF(G2175&gt;=評分方法!$C$17,"列入候選",IF(G2175&gt;=評分方法!$C$18,"特定情境","不建議")))</f>
        <v>不建議</v>
      </c>
      <c r="I2175" s="15" t="n">
        <f aca="false">AE2175*評分方法!$C$5</f>
        <v>11.4</v>
      </c>
      <c r="J2175" s="15" t="n">
        <f aca="false">AF2175*評分方法!$C$6</f>
        <v>0</v>
      </c>
      <c r="K2175" s="15" t="n">
        <f aca="false">AG2175*評分方法!$C$7</f>
        <v>4.95</v>
      </c>
      <c r="L2175" s="15" t="n">
        <f aca="false">AH2175*評分方法!$C$8</f>
        <v>15</v>
      </c>
      <c r="M2175" s="15" t="n">
        <f aca="false">AI2175*評分方法!$C$9</f>
        <v>10</v>
      </c>
      <c r="N2175" s="15" t="n">
        <f aca="false">AJ2175*評分方法!$C$10</f>
        <v>4.868</v>
      </c>
      <c r="O2175" s="15" t="n">
        <f aca="false">AK2175*評分方法!$C$11</f>
        <v>2.5</v>
      </c>
      <c r="P2175" s="15" t="n">
        <f aca="false">AL2175*評分方法!$C$12</f>
        <v>0</v>
      </c>
      <c r="Q2175" s="6" t="n">
        <v>528192</v>
      </c>
      <c r="R2175" s="6" t="n">
        <v>334095363</v>
      </c>
      <c r="S2175" s="11" t="s">
        <v>238</v>
      </c>
      <c r="T2175" s="11" t="s">
        <v>239</v>
      </c>
      <c r="U2175" s="5" t="s">
        <v>240</v>
      </c>
      <c r="V2175" s="11" t="s">
        <v>261</v>
      </c>
      <c r="W2175" s="5" t="s">
        <v>334</v>
      </c>
      <c r="X2175" s="5" t="s">
        <v>242</v>
      </c>
      <c r="Y2175" s="5"/>
      <c r="Z2175" s="5"/>
      <c r="AA2175" s="11" t="s">
        <v>150</v>
      </c>
      <c r="AB2175" s="5" t="s">
        <v>245</v>
      </c>
      <c r="AC2175" s="5" t="s">
        <v>3044</v>
      </c>
      <c r="AD2175" s="11" t="s">
        <v>5336</v>
      </c>
      <c r="AE2175" s="23" t="n">
        <v>0.38</v>
      </c>
      <c r="AF2175" s="23" t="n">
        <v>0</v>
      </c>
      <c r="AG2175" s="23" t="n">
        <v>0.33</v>
      </c>
      <c r="AH2175" s="23" t="n">
        <v>1</v>
      </c>
      <c r="AI2175" s="23" t="n">
        <v>1</v>
      </c>
      <c r="AJ2175" s="23" t="n">
        <v>0.4868</v>
      </c>
      <c r="AK2175" s="23" t="n">
        <v>0.5</v>
      </c>
      <c r="AL2175" s="23" t="n">
        <v>0</v>
      </c>
      <c r="AM2175" s="16" t="n">
        <f aca="false">COUNTIFS($D$2:$D$2501,D2175,$G$2:$G$2501,"&gt;"&amp;G2175)+COUNTIFS($D$2:D2175,D2175,$G$2:G2175,G2175)</f>
        <v>338</v>
      </c>
      <c r="AN2175" s="5" t="str">
        <f aca="false">D2175&amp;"|"&amp;AM2175</f>
        <v>實體擷取與去識別化|338</v>
      </c>
    </row>
    <row r="2176" customFormat="false" ht="17.15" hidden="false" customHeight="false" outlineLevel="0" collapsed="false">
      <c r="A2176" s="16" t="n">
        <f aca="false">RANK(G2176,$G$2:$G$2501)+COUNTIF($G$2:G2176,G2176)-1</f>
        <v>2175</v>
      </c>
      <c r="B2176" s="11" t="s">
        <v>5337</v>
      </c>
      <c r="C2176" s="11" t="s">
        <v>5338</v>
      </c>
      <c r="D2176" s="5" t="s">
        <v>74</v>
      </c>
      <c r="E2176" s="5" t="s">
        <v>75</v>
      </c>
      <c r="F2176" s="5"/>
      <c r="G2176" s="22" t="n">
        <f aca="false">ROUND(SUM(I2176:P2176),3)</f>
        <v>48.714</v>
      </c>
      <c r="H2176" s="5" t="str">
        <f aca="false">IF(G2176&gt;=評分方法!$C$16,"優先評估",IF(G2176&gt;=評分方法!$C$17,"列入候選",IF(G2176&gt;=評分方法!$C$18,"特定情境","不建議")))</f>
        <v>不建議</v>
      </c>
      <c r="I2176" s="15" t="n">
        <f aca="false">AE2176*評分方法!$C$5</f>
        <v>12</v>
      </c>
      <c r="J2176" s="15" t="n">
        <f aca="false">AF2176*評分方法!$C$6</f>
        <v>0</v>
      </c>
      <c r="K2176" s="15" t="n">
        <f aca="false">AG2176*評分方法!$C$7</f>
        <v>4.95</v>
      </c>
      <c r="L2176" s="15" t="n">
        <f aca="false">AH2176*評分方法!$C$8</f>
        <v>15</v>
      </c>
      <c r="M2176" s="15" t="n">
        <f aca="false">AI2176*評分方法!$C$9</f>
        <v>10</v>
      </c>
      <c r="N2176" s="15" t="n">
        <f aca="false">AJ2176*評分方法!$C$10</f>
        <v>1.264</v>
      </c>
      <c r="O2176" s="15" t="n">
        <f aca="false">AK2176*評分方法!$C$11</f>
        <v>4</v>
      </c>
      <c r="P2176" s="15" t="n">
        <f aca="false">AL2176*評分方法!$C$12</f>
        <v>1.5</v>
      </c>
      <c r="Q2176" s="6" t="n">
        <v>164915</v>
      </c>
      <c r="R2176" s="6" t="n">
        <v>427616512</v>
      </c>
      <c r="S2176" s="11" t="s">
        <v>238</v>
      </c>
      <c r="T2176" s="11" t="s">
        <v>278</v>
      </c>
      <c r="U2176" s="5" t="s">
        <v>240</v>
      </c>
      <c r="V2176" s="11" t="s">
        <v>324</v>
      </c>
      <c r="W2176" s="5" t="s">
        <v>334</v>
      </c>
      <c r="X2176" s="5" t="s">
        <v>255</v>
      </c>
      <c r="Y2176" s="11" t="s">
        <v>4275</v>
      </c>
      <c r="Z2176" s="11" t="s">
        <v>270</v>
      </c>
      <c r="AA2176" s="11" t="s">
        <v>167</v>
      </c>
      <c r="AB2176" s="5" t="s">
        <v>245</v>
      </c>
      <c r="AC2176" s="5"/>
      <c r="AD2176" s="11" t="s">
        <v>5339</v>
      </c>
      <c r="AE2176" s="23" t="n">
        <v>0.4</v>
      </c>
      <c r="AF2176" s="23" t="n">
        <v>0</v>
      </c>
      <c r="AG2176" s="23" t="n">
        <v>0.33</v>
      </c>
      <c r="AH2176" s="23" t="n">
        <v>1</v>
      </c>
      <c r="AI2176" s="23" t="n">
        <v>1</v>
      </c>
      <c r="AJ2176" s="23" t="n">
        <v>0.1264</v>
      </c>
      <c r="AK2176" s="23" t="n">
        <v>0.8</v>
      </c>
      <c r="AL2176" s="23" t="n">
        <v>0.3</v>
      </c>
      <c r="AM2176" s="16" t="n">
        <f aca="false">COUNTIFS($D$2:$D$2501,D2176,$G$2:$G$2501,"&gt;"&amp;G2176)+COUNTIFS($D$2:D2176,D2176,$G$2:G2176,G2176)</f>
        <v>293</v>
      </c>
      <c r="AN2176" s="5" t="str">
        <f aca="false">D2176&amp;"|"&amp;AM2176</f>
        <v>文件與影像辨識|293</v>
      </c>
    </row>
    <row r="2177" customFormat="false" ht="17.15" hidden="false" customHeight="false" outlineLevel="0" collapsed="false">
      <c r="A2177" s="16" t="n">
        <f aca="false">RANK(G2177,$G$2:$G$2501)+COUNTIF($G$2:G2177,G2177)-1</f>
        <v>2176</v>
      </c>
      <c r="B2177" s="11" t="s">
        <v>5340</v>
      </c>
      <c r="C2177" s="11" t="s">
        <v>2481</v>
      </c>
      <c r="D2177" s="5" t="s">
        <v>66</v>
      </c>
      <c r="E2177" s="5" t="s">
        <v>67</v>
      </c>
      <c r="F2177" s="5"/>
      <c r="G2177" s="22" t="n">
        <f aca="false">ROUND(SUM(I2177:P2177),3)</f>
        <v>48.71</v>
      </c>
      <c r="H2177" s="5" t="str">
        <f aca="false">IF(G2177&gt;=評分方法!$C$16,"優先評估",IF(G2177&gt;=評分方法!$C$17,"列入候選",IF(G2177&gt;=評分方法!$C$18,"特定情境","不建議")))</f>
        <v>不建議</v>
      </c>
      <c r="I2177" s="15" t="n">
        <f aca="false">AE2177*評分方法!$C$5</f>
        <v>12</v>
      </c>
      <c r="J2177" s="15" t="n">
        <f aca="false">AF2177*評分方法!$C$6</f>
        <v>0</v>
      </c>
      <c r="K2177" s="15" t="n">
        <f aca="false">AG2177*評分方法!$C$7</f>
        <v>4.95</v>
      </c>
      <c r="L2177" s="15" t="n">
        <f aca="false">AH2177*評分方法!$C$8</f>
        <v>15</v>
      </c>
      <c r="M2177" s="15" t="n">
        <f aca="false">AI2177*評分方法!$C$9</f>
        <v>10</v>
      </c>
      <c r="N2177" s="15" t="n">
        <f aca="false">AJ2177*評分方法!$C$10</f>
        <v>4.26</v>
      </c>
      <c r="O2177" s="15" t="n">
        <f aca="false">AK2177*評分方法!$C$11</f>
        <v>1</v>
      </c>
      <c r="P2177" s="15" t="n">
        <f aca="false">AL2177*評分方法!$C$12</f>
        <v>1.5</v>
      </c>
      <c r="Q2177" s="6" t="n">
        <v>470138</v>
      </c>
      <c r="R2177" s="6" t="n">
        <v>141897219</v>
      </c>
      <c r="S2177" s="11" t="s">
        <v>238</v>
      </c>
      <c r="T2177" s="11" t="s">
        <v>278</v>
      </c>
      <c r="U2177" s="5" t="s">
        <v>240</v>
      </c>
      <c r="V2177" s="11" t="s">
        <v>261</v>
      </c>
      <c r="W2177" s="5" t="s">
        <v>334</v>
      </c>
      <c r="X2177" s="5" t="s">
        <v>255</v>
      </c>
      <c r="Y2177" s="11" t="s">
        <v>474</v>
      </c>
      <c r="Z2177" s="11" t="s">
        <v>270</v>
      </c>
      <c r="AA2177" s="11" t="s">
        <v>149</v>
      </c>
      <c r="AB2177" s="5" t="s">
        <v>245</v>
      </c>
      <c r="AC2177" s="5" t="s">
        <v>3044</v>
      </c>
      <c r="AD2177" s="11" t="s">
        <v>5341</v>
      </c>
      <c r="AE2177" s="23" t="n">
        <v>0.4</v>
      </c>
      <c r="AF2177" s="23" t="n">
        <v>0</v>
      </c>
      <c r="AG2177" s="23" t="n">
        <v>0.33</v>
      </c>
      <c r="AH2177" s="23" t="n">
        <v>1</v>
      </c>
      <c r="AI2177" s="23" t="n">
        <v>1</v>
      </c>
      <c r="AJ2177" s="23" t="n">
        <v>0.426</v>
      </c>
      <c r="AK2177" s="23" t="n">
        <v>0.2</v>
      </c>
      <c r="AL2177" s="23" t="n">
        <v>0.3</v>
      </c>
      <c r="AM2177" s="16" t="n">
        <f aca="false">COUNTIFS($D$2:$D$2501,D2177,$G$2:$G$2501,"&gt;"&amp;G2177)+COUNTIFS($D$2:D2177,D2177,$G$2:G2177,G2177)</f>
        <v>61</v>
      </c>
      <c r="AN2177" s="5" t="str">
        <f aca="false">D2177&amp;"|"&amp;AM2177</f>
        <v>分類與偵測|61</v>
      </c>
    </row>
    <row r="2178" customFormat="false" ht="17.15" hidden="false" customHeight="false" outlineLevel="0" collapsed="false">
      <c r="A2178" s="16" t="n">
        <f aca="false">RANK(G2178,$G$2:$G$2501)+COUNTIF($G$2:G2178,G2178)-1</f>
        <v>2177</v>
      </c>
      <c r="B2178" s="11" t="s">
        <v>5342</v>
      </c>
      <c r="C2178" s="11" t="s">
        <v>4046</v>
      </c>
      <c r="D2178" s="5" t="s">
        <v>78</v>
      </c>
      <c r="E2178" s="5" t="s">
        <v>79</v>
      </c>
      <c r="F2178" s="5"/>
      <c r="G2178" s="22" t="n">
        <f aca="false">ROUND(SUM(I2178:P2178),3)</f>
        <v>48.658</v>
      </c>
      <c r="H2178" s="5" t="str">
        <f aca="false">IF(G2178&gt;=評分方法!$C$16,"優先評估",IF(G2178&gt;=評分方法!$C$17,"列入候選",IF(G2178&gt;=評分方法!$C$18,"特定情境","不建議")))</f>
        <v>不建議</v>
      </c>
      <c r="I2178" s="15" t="n">
        <f aca="false">AE2178*評分方法!$C$5</f>
        <v>9</v>
      </c>
      <c r="J2178" s="15" t="n">
        <f aca="false">AF2178*評分方法!$C$6</f>
        <v>0</v>
      </c>
      <c r="K2178" s="15" t="n">
        <f aca="false">AG2178*評分方法!$C$7</f>
        <v>4.95</v>
      </c>
      <c r="L2178" s="15" t="n">
        <f aca="false">AH2178*評分方法!$C$8</f>
        <v>15</v>
      </c>
      <c r="M2178" s="15" t="n">
        <f aca="false">AI2178*評分方法!$C$9</f>
        <v>10</v>
      </c>
      <c r="N2178" s="15" t="n">
        <f aca="false">AJ2178*評分方法!$C$10</f>
        <v>4.708</v>
      </c>
      <c r="O2178" s="15" t="n">
        <f aca="false">AK2178*評分方法!$C$11</f>
        <v>5</v>
      </c>
      <c r="P2178" s="15" t="n">
        <f aca="false">AL2178*評分方法!$C$12</f>
        <v>0</v>
      </c>
      <c r="Q2178" s="6" t="n">
        <v>514448</v>
      </c>
      <c r="R2178" s="6" t="n">
        <v>617869958</v>
      </c>
      <c r="S2178" s="11" t="s">
        <v>238</v>
      </c>
      <c r="T2178" s="11" t="s">
        <v>1636</v>
      </c>
      <c r="U2178" s="5" t="s">
        <v>240</v>
      </c>
      <c r="V2178" s="11" t="s">
        <v>333</v>
      </c>
      <c r="W2178" s="5" t="s">
        <v>334</v>
      </c>
      <c r="X2178" s="5" t="s">
        <v>242</v>
      </c>
      <c r="Y2178" s="11" t="s">
        <v>4056</v>
      </c>
      <c r="Z2178" s="11" t="s">
        <v>244</v>
      </c>
      <c r="AA2178" s="11" t="s">
        <v>175</v>
      </c>
      <c r="AB2178" s="5" t="s">
        <v>245</v>
      </c>
      <c r="AC2178" s="5" t="s">
        <v>246</v>
      </c>
      <c r="AD2178" s="11" t="s">
        <v>5343</v>
      </c>
      <c r="AE2178" s="23" t="n">
        <v>0.3</v>
      </c>
      <c r="AF2178" s="23" t="n">
        <v>0</v>
      </c>
      <c r="AG2178" s="23" t="n">
        <v>0.33</v>
      </c>
      <c r="AH2178" s="23" t="n">
        <v>1</v>
      </c>
      <c r="AI2178" s="23" t="n">
        <v>1</v>
      </c>
      <c r="AJ2178" s="23" t="n">
        <v>0.4708</v>
      </c>
      <c r="AK2178" s="23" t="n">
        <v>1</v>
      </c>
      <c r="AL2178" s="23" t="n">
        <v>0</v>
      </c>
      <c r="AM2178" s="16" t="n">
        <f aca="false">COUNTIFS($D$2:$D$2501,D2178,$G$2:$G$2501,"&gt;"&amp;G2178)+COUNTIFS($D$2:D2178,D2178,$G$2:G2178,G2178)</f>
        <v>74</v>
      </c>
      <c r="AN2178" s="5" t="str">
        <f aca="false">D2178&amp;"|"&amp;AM2178</f>
        <v>語音分析|74</v>
      </c>
    </row>
    <row r="2179" customFormat="false" ht="17.15" hidden="false" customHeight="false" outlineLevel="0" collapsed="false">
      <c r="A2179" s="16" t="n">
        <f aca="false">RANK(G2179,$G$2:$G$2501)+COUNTIF($G$2:G2179,G2179)-1</f>
        <v>2178</v>
      </c>
      <c r="B2179" s="11" t="s">
        <v>5344</v>
      </c>
      <c r="C2179" s="11" t="s">
        <v>5345</v>
      </c>
      <c r="D2179" s="5" t="s">
        <v>80</v>
      </c>
      <c r="E2179" s="5" t="s">
        <v>81</v>
      </c>
      <c r="F2179" s="5"/>
      <c r="G2179" s="22" t="n">
        <f aca="false">ROUND(SUM(I2179:P2179),3)</f>
        <v>48.65</v>
      </c>
      <c r="H2179" s="5" t="str">
        <f aca="false">IF(G2179&gt;=評分方法!$C$16,"優先評估",IF(G2179&gt;=評分方法!$C$17,"列入候選",IF(G2179&gt;=評分方法!$C$18,"特定情境","不建議")))</f>
        <v>不建議</v>
      </c>
      <c r="I2179" s="15" t="n">
        <f aca="false">AE2179*評分方法!$C$5</f>
        <v>6</v>
      </c>
      <c r="J2179" s="15" t="n">
        <f aca="false">AF2179*評分方法!$C$6</f>
        <v>0</v>
      </c>
      <c r="K2179" s="15" t="n">
        <f aca="false">AG2179*評分方法!$C$7</f>
        <v>4.95</v>
      </c>
      <c r="L2179" s="15" t="n">
        <f aca="false">AH2179*評分方法!$C$8</f>
        <v>15</v>
      </c>
      <c r="M2179" s="15" t="n">
        <f aca="false">AI2179*評分方法!$C$9</f>
        <v>10</v>
      </c>
      <c r="N2179" s="15" t="n">
        <f aca="false">AJ2179*評分方法!$C$10</f>
        <v>7.7</v>
      </c>
      <c r="O2179" s="15" t="n">
        <f aca="false">AK2179*評分方法!$C$11</f>
        <v>5</v>
      </c>
      <c r="P2179" s="15" t="n">
        <f aca="false">AL2179*評分方法!$C$12</f>
        <v>0</v>
      </c>
      <c r="Q2179" s="6" t="n">
        <v>1276234</v>
      </c>
      <c r="R2179" s="6" t="n">
        <v>179303900</v>
      </c>
      <c r="S2179" s="11" t="s">
        <v>238</v>
      </c>
      <c r="T2179" s="11" t="s">
        <v>278</v>
      </c>
      <c r="U2179" s="5" t="s">
        <v>240</v>
      </c>
      <c r="V2179" s="11" t="s">
        <v>261</v>
      </c>
      <c r="W2179" s="5" t="s">
        <v>334</v>
      </c>
      <c r="X2179" s="5" t="s">
        <v>242</v>
      </c>
      <c r="Y2179" s="5"/>
      <c r="Z2179" s="5"/>
      <c r="AA2179" s="5"/>
      <c r="AB2179" s="5" t="s">
        <v>255</v>
      </c>
      <c r="AC2179" s="5"/>
      <c r="AD2179" s="11" t="s">
        <v>5346</v>
      </c>
      <c r="AE2179" s="23" t="n">
        <v>0.2</v>
      </c>
      <c r="AF2179" s="23" t="n">
        <v>0</v>
      </c>
      <c r="AG2179" s="23" t="n">
        <v>0.33</v>
      </c>
      <c r="AH2179" s="23" t="n">
        <v>1</v>
      </c>
      <c r="AI2179" s="23" t="n">
        <v>1</v>
      </c>
      <c r="AJ2179" s="23" t="n">
        <v>0.77</v>
      </c>
      <c r="AK2179" s="23" t="n">
        <v>1</v>
      </c>
      <c r="AL2179" s="23" t="n">
        <v>0</v>
      </c>
      <c r="AM2179" s="16" t="n">
        <f aca="false">COUNTIFS($D$2:$D$2501,D2179,$G$2:$G$2501,"&gt;"&amp;G2179)+COUNTIFS($D$2:D2179,D2179,$G$2:G2179,G2179)</f>
        <v>22</v>
      </c>
      <c r="AN2179" s="5" t="str">
        <f aca="false">D2179&amp;"|"&amp;AM2179</f>
        <v>其他|22</v>
      </c>
    </row>
    <row r="2180" customFormat="false" ht="17.15" hidden="false" customHeight="false" outlineLevel="0" collapsed="false">
      <c r="A2180" s="16" t="n">
        <f aca="false">RANK(G2180,$G$2:$G$2501)+COUNTIF($G$2:G2180,G2180)-1</f>
        <v>2179</v>
      </c>
      <c r="B2180" s="11" t="s">
        <v>5347</v>
      </c>
      <c r="C2180" s="11" t="s">
        <v>5348</v>
      </c>
      <c r="D2180" s="5" t="s">
        <v>72</v>
      </c>
      <c r="E2180" s="5" t="s">
        <v>73</v>
      </c>
      <c r="F2180" s="5"/>
      <c r="G2180" s="22" t="n">
        <f aca="false">ROUND(SUM(I2180:P2180),3)</f>
        <v>48.646</v>
      </c>
      <c r="H2180" s="5" t="str">
        <f aca="false">IF(G2180&gt;=評分方法!$C$16,"優先評估",IF(G2180&gt;=評分方法!$C$17,"列入候選",IF(G2180&gt;=評分方法!$C$18,"特定情境","不建議")))</f>
        <v>不建議</v>
      </c>
      <c r="I2180" s="15" t="n">
        <f aca="false">AE2180*評分方法!$C$5</f>
        <v>9</v>
      </c>
      <c r="J2180" s="15" t="n">
        <f aca="false">AF2180*評分方法!$C$6</f>
        <v>0</v>
      </c>
      <c r="K2180" s="15" t="n">
        <f aca="false">AG2180*評分方法!$C$7</f>
        <v>4.95</v>
      </c>
      <c r="L2180" s="15" t="n">
        <f aca="false">AH2180*評分方法!$C$8</f>
        <v>15</v>
      </c>
      <c r="M2180" s="15" t="n">
        <f aca="false">AI2180*評分方法!$C$9</f>
        <v>10</v>
      </c>
      <c r="N2180" s="15" t="n">
        <f aca="false">AJ2180*評分方法!$C$10</f>
        <v>8.696</v>
      </c>
      <c r="O2180" s="15" t="n">
        <f aca="false">AK2180*評分方法!$C$11</f>
        <v>1</v>
      </c>
      <c r="P2180" s="15" t="n">
        <f aca="false">AL2180*評分方法!$C$12</f>
        <v>0</v>
      </c>
      <c r="Q2180" s="6" t="n">
        <v>2747935</v>
      </c>
      <c r="R2180" s="6" t="n">
        <v>110650112</v>
      </c>
      <c r="S2180" s="11" t="s">
        <v>238</v>
      </c>
      <c r="T2180" s="11" t="s">
        <v>278</v>
      </c>
      <c r="U2180" s="5" t="s">
        <v>240</v>
      </c>
      <c r="V2180" s="11" t="s">
        <v>261</v>
      </c>
      <c r="W2180" s="5" t="s">
        <v>334</v>
      </c>
      <c r="X2180" s="5" t="s">
        <v>242</v>
      </c>
      <c r="Y2180" s="5"/>
      <c r="Z2180" s="5"/>
      <c r="AA2180" s="11" t="s">
        <v>162</v>
      </c>
      <c r="AB2180" s="5" t="s">
        <v>245</v>
      </c>
      <c r="AC2180" s="5" t="s">
        <v>1463</v>
      </c>
      <c r="AD2180" s="11" t="s">
        <v>5349</v>
      </c>
      <c r="AE2180" s="23" t="n">
        <v>0.3</v>
      </c>
      <c r="AF2180" s="23" t="n">
        <v>0</v>
      </c>
      <c r="AG2180" s="23" t="n">
        <v>0.33</v>
      </c>
      <c r="AH2180" s="23" t="n">
        <v>1</v>
      </c>
      <c r="AI2180" s="23" t="n">
        <v>1</v>
      </c>
      <c r="AJ2180" s="23" t="n">
        <v>0.8696</v>
      </c>
      <c r="AK2180" s="23" t="n">
        <v>0.2</v>
      </c>
      <c r="AL2180" s="23" t="n">
        <v>0</v>
      </c>
      <c r="AM2180" s="16" t="n">
        <f aca="false">COUNTIFS($D$2:$D$2501,D2180,$G$2:$G$2501,"&gt;"&amp;G2180)+COUNTIFS($D$2:D2180,D2180,$G$2:G2180,G2180)</f>
        <v>44</v>
      </c>
      <c r="AN2180" s="5" t="str">
        <f aca="false">D2180&amp;"|"&amp;AM2180</f>
        <v>微調基底模型|44</v>
      </c>
    </row>
    <row r="2181" customFormat="false" ht="17.15" hidden="false" customHeight="false" outlineLevel="0" collapsed="false">
      <c r="A2181" s="16" t="n">
        <f aca="false">RANK(G2181,$G$2:$G$2501)+COUNTIF($G$2:G2181,G2181)-1</f>
        <v>2180</v>
      </c>
      <c r="B2181" s="11" t="s">
        <v>5350</v>
      </c>
      <c r="C2181" s="11" t="s">
        <v>402</v>
      </c>
      <c r="D2181" s="5" t="s">
        <v>58</v>
      </c>
      <c r="E2181" s="5" t="s">
        <v>59</v>
      </c>
      <c r="F2181" s="5"/>
      <c r="G2181" s="22" t="n">
        <f aca="false">ROUND(SUM(I2181:P2181),3)</f>
        <v>48.618</v>
      </c>
      <c r="H2181" s="5" t="str">
        <f aca="false">IF(G2181&gt;=評分方法!$C$16,"優先評估",IF(G2181&gt;=評分方法!$C$17,"列入候選",IF(G2181&gt;=評分方法!$C$18,"特定情境","不建議")))</f>
        <v>不建議</v>
      </c>
      <c r="I2181" s="15" t="n">
        <f aca="false">AE2181*評分方法!$C$5</f>
        <v>11.4</v>
      </c>
      <c r="J2181" s="15" t="n">
        <f aca="false">AF2181*評分方法!$C$6</f>
        <v>0</v>
      </c>
      <c r="K2181" s="15" t="n">
        <f aca="false">AG2181*評分方法!$C$7</f>
        <v>4.95</v>
      </c>
      <c r="L2181" s="15" t="n">
        <f aca="false">AH2181*評分方法!$C$8</f>
        <v>15</v>
      </c>
      <c r="M2181" s="15" t="n">
        <f aca="false">AI2181*評分方法!$C$9</f>
        <v>10</v>
      </c>
      <c r="N2181" s="15" t="n">
        <f aca="false">AJ2181*評分方法!$C$10</f>
        <v>4.768</v>
      </c>
      <c r="O2181" s="15" t="n">
        <f aca="false">AK2181*評分方法!$C$11</f>
        <v>2.5</v>
      </c>
      <c r="P2181" s="15" t="n">
        <f aca="false">AL2181*評分方法!$C$12</f>
        <v>0</v>
      </c>
      <c r="Q2181" s="6" t="n">
        <v>519915</v>
      </c>
      <c r="R2181" s="6" t="n">
        <v>334103563</v>
      </c>
      <c r="S2181" s="11" t="s">
        <v>238</v>
      </c>
      <c r="T2181" s="11" t="s">
        <v>239</v>
      </c>
      <c r="U2181" s="5" t="s">
        <v>240</v>
      </c>
      <c r="V2181" s="11" t="s">
        <v>261</v>
      </c>
      <c r="W2181" s="5" t="s">
        <v>334</v>
      </c>
      <c r="X2181" s="5" t="s">
        <v>242</v>
      </c>
      <c r="Y2181" s="5"/>
      <c r="Z2181" s="5"/>
      <c r="AA2181" s="11" t="s">
        <v>150</v>
      </c>
      <c r="AB2181" s="5" t="s">
        <v>245</v>
      </c>
      <c r="AC2181" s="5" t="s">
        <v>3044</v>
      </c>
      <c r="AD2181" s="11" t="s">
        <v>5351</v>
      </c>
      <c r="AE2181" s="23" t="n">
        <v>0.38</v>
      </c>
      <c r="AF2181" s="23" t="n">
        <v>0</v>
      </c>
      <c r="AG2181" s="23" t="n">
        <v>0.33</v>
      </c>
      <c r="AH2181" s="23" t="n">
        <v>1</v>
      </c>
      <c r="AI2181" s="23" t="n">
        <v>1</v>
      </c>
      <c r="AJ2181" s="23" t="n">
        <v>0.4768</v>
      </c>
      <c r="AK2181" s="23" t="n">
        <v>0.5</v>
      </c>
      <c r="AL2181" s="23" t="n">
        <v>0</v>
      </c>
      <c r="AM2181" s="16" t="n">
        <f aca="false">COUNTIFS($D$2:$D$2501,D2181,$G$2:$G$2501,"&gt;"&amp;G2181)+COUNTIFS($D$2:D2181,D2181,$G$2:G2181,G2181)</f>
        <v>339</v>
      </c>
      <c r="AN2181" s="5" t="str">
        <f aca="false">D2181&amp;"|"&amp;AM2181</f>
        <v>實體擷取與去識別化|339</v>
      </c>
    </row>
    <row r="2182" customFormat="false" ht="17.15" hidden="false" customHeight="false" outlineLevel="0" collapsed="false">
      <c r="A2182" s="16" t="n">
        <f aca="false">RANK(G2182,$G$2:$G$2501)+COUNTIF($G$2:G2182,G2182)-1</f>
        <v>2181</v>
      </c>
      <c r="B2182" s="11" t="s">
        <v>5352</v>
      </c>
      <c r="C2182" s="11" t="s">
        <v>1132</v>
      </c>
      <c r="D2182" s="5" t="s">
        <v>66</v>
      </c>
      <c r="E2182" s="5" t="s">
        <v>67</v>
      </c>
      <c r="F2182" s="5"/>
      <c r="G2182" s="22" t="n">
        <f aca="false">ROUND(SUM(I2182:P2182),3)</f>
        <v>48.606</v>
      </c>
      <c r="H2182" s="5" t="str">
        <f aca="false">IF(G2182&gt;=評分方法!$C$16,"優先評估",IF(G2182&gt;=評分方法!$C$17,"列入候選",IF(G2182&gt;=評分方法!$C$18,"特定情境","不建議")))</f>
        <v>不建議</v>
      </c>
      <c r="I2182" s="15" t="n">
        <f aca="false">AE2182*評分方法!$C$5</f>
        <v>10.8</v>
      </c>
      <c r="J2182" s="15" t="n">
        <f aca="false">AF2182*評分方法!$C$6</f>
        <v>0</v>
      </c>
      <c r="K2182" s="15" t="n">
        <f aca="false">AG2182*評分方法!$C$7</f>
        <v>4.95</v>
      </c>
      <c r="L2182" s="15" t="n">
        <f aca="false">AH2182*評分方法!$C$8</f>
        <v>15</v>
      </c>
      <c r="M2182" s="15" t="n">
        <f aca="false">AI2182*評分方法!$C$9</f>
        <v>10</v>
      </c>
      <c r="N2182" s="15" t="n">
        <f aca="false">AJ2182*評分方法!$C$10</f>
        <v>6.856</v>
      </c>
      <c r="O2182" s="15" t="n">
        <f aca="false">AK2182*評分方法!$C$11</f>
        <v>1</v>
      </c>
      <c r="P2182" s="15" t="n">
        <f aca="false">AL2182*評分方法!$C$12</f>
        <v>0</v>
      </c>
      <c r="Q2182" s="6" t="n">
        <v>855812</v>
      </c>
      <c r="R2182" s="6" t="n">
        <v>435065347</v>
      </c>
      <c r="S2182" s="11" t="s">
        <v>238</v>
      </c>
      <c r="T2182" s="11" t="s">
        <v>278</v>
      </c>
      <c r="U2182" s="5" t="s">
        <v>240</v>
      </c>
      <c r="V2182" s="11" t="s">
        <v>288</v>
      </c>
      <c r="W2182" s="5" t="s">
        <v>334</v>
      </c>
      <c r="X2182" s="5" t="s">
        <v>242</v>
      </c>
      <c r="Y2182" s="5"/>
      <c r="Z2182" s="5"/>
      <c r="AA2182" s="11" t="s">
        <v>151</v>
      </c>
      <c r="AB2182" s="5" t="s">
        <v>245</v>
      </c>
      <c r="AC2182" s="5" t="s">
        <v>3044</v>
      </c>
      <c r="AD2182" s="11" t="s">
        <v>5353</v>
      </c>
      <c r="AE2182" s="23" t="n">
        <v>0.36</v>
      </c>
      <c r="AF2182" s="23" t="n">
        <v>0</v>
      </c>
      <c r="AG2182" s="23" t="n">
        <v>0.33</v>
      </c>
      <c r="AH2182" s="23" t="n">
        <v>1</v>
      </c>
      <c r="AI2182" s="23" t="n">
        <v>1</v>
      </c>
      <c r="AJ2182" s="23" t="n">
        <v>0.6856</v>
      </c>
      <c r="AK2182" s="23" t="n">
        <v>0.2</v>
      </c>
      <c r="AL2182" s="23" t="n">
        <v>0</v>
      </c>
      <c r="AM2182" s="16" t="n">
        <f aca="false">COUNTIFS($D$2:$D$2501,D2182,$G$2:$G$2501,"&gt;"&amp;G2182)+COUNTIFS($D$2:D2182,D2182,$G$2:G2182,G2182)</f>
        <v>62</v>
      </c>
      <c r="AN2182" s="5" t="str">
        <f aca="false">D2182&amp;"|"&amp;AM2182</f>
        <v>分類與偵測|62</v>
      </c>
    </row>
    <row r="2183" customFormat="false" ht="17.15" hidden="false" customHeight="false" outlineLevel="0" collapsed="false">
      <c r="A2183" s="16" t="n">
        <f aca="false">RANK(G2183,$G$2:$G$2501)+COUNTIF($G$2:G2183,G2183)-1</f>
        <v>2182</v>
      </c>
      <c r="B2183" s="11" t="s">
        <v>5354</v>
      </c>
      <c r="C2183" s="11" t="s">
        <v>2910</v>
      </c>
      <c r="D2183" s="5" t="s">
        <v>74</v>
      </c>
      <c r="E2183" s="5" t="s">
        <v>75</v>
      </c>
      <c r="F2183" s="5"/>
      <c r="G2183" s="22" t="n">
        <f aca="false">ROUND(SUM(I2183:P2183),3)</f>
        <v>48.606</v>
      </c>
      <c r="H2183" s="5" t="str">
        <f aca="false">IF(G2183&gt;=評分方法!$C$16,"優先評估",IF(G2183&gt;=評分方法!$C$17,"列入候選",IF(G2183&gt;=評分方法!$C$18,"特定情境","不建議")))</f>
        <v>不建議</v>
      </c>
      <c r="I2183" s="15" t="n">
        <f aca="false">AE2183*評分方法!$C$5</f>
        <v>10.5</v>
      </c>
      <c r="J2183" s="15" t="n">
        <f aca="false">AF2183*評分方法!$C$6</f>
        <v>0</v>
      </c>
      <c r="K2183" s="15" t="n">
        <f aca="false">AG2183*評分方法!$C$7</f>
        <v>10.05</v>
      </c>
      <c r="L2183" s="15" t="n">
        <f aca="false">AH2183*評分方法!$C$8</f>
        <v>15</v>
      </c>
      <c r="M2183" s="15" t="n">
        <f aca="false">AI2183*評分方法!$C$9</f>
        <v>10</v>
      </c>
      <c r="N2183" s="15" t="n">
        <f aca="false">AJ2183*評分方法!$C$10</f>
        <v>0.556</v>
      </c>
      <c r="O2183" s="15" t="n">
        <f aca="false">AK2183*評分方法!$C$11</f>
        <v>2.5</v>
      </c>
      <c r="P2183" s="15" t="n">
        <f aca="false">AL2183*評分方法!$C$12</f>
        <v>0</v>
      </c>
      <c r="Q2183" s="6" t="n">
        <v>135072</v>
      </c>
      <c r="R2183" s="6" t="n">
        <v>92885762</v>
      </c>
      <c r="S2183" s="11" t="s">
        <v>238</v>
      </c>
      <c r="T2183" s="11" t="s">
        <v>239</v>
      </c>
      <c r="U2183" s="5" t="s">
        <v>240</v>
      </c>
      <c r="V2183" s="11" t="s">
        <v>261</v>
      </c>
      <c r="W2183" s="5" t="s">
        <v>207</v>
      </c>
      <c r="X2183" s="5" t="s">
        <v>242</v>
      </c>
      <c r="Y2183" s="11" t="s">
        <v>2499</v>
      </c>
      <c r="Z2183" s="11" t="s">
        <v>270</v>
      </c>
      <c r="AA2183" s="11" t="s">
        <v>172</v>
      </c>
      <c r="AB2183" s="5" t="s">
        <v>245</v>
      </c>
      <c r="AC2183" s="5"/>
      <c r="AD2183" s="11" t="s">
        <v>5355</v>
      </c>
      <c r="AE2183" s="23" t="n">
        <v>0.35</v>
      </c>
      <c r="AF2183" s="23" t="n">
        <v>0</v>
      </c>
      <c r="AG2183" s="23" t="n">
        <v>0.67</v>
      </c>
      <c r="AH2183" s="23" t="n">
        <v>1</v>
      </c>
      <c r="AI2183" s="23" t="n">
        <v>1</v>
      </c>
      <c r="AJ2183" s="23" t="n">
        <v>0.0556</v>
      </c>
      <c r="AK2183" s="23" t="n">
        <v>0.5</v>
      </c>
      <c r="AL2183" s="23" t="n">
        <v>0</v>
      </c>
      <c r="AM2183" s="16" t="n">
        <f aca="false">COUNTIFS($D$2:$D$2501,D2183,$G$2:$G$2501,"&gt;"&amp;G2183)+COUNTIFS($D$2:D2183,D2183,$G$2:G2183,G2183)</f>
        <v>294</v>
      </c>
      <c r="AN2183" s="5" t="str">
        <f aca="false">D2183&amp;"|"&amp;AM2183</f>
        <v>文件與影像辨識|294</v>
      </c>
    </row>
    <row r="2184" customFormat="false" ht="17.15" hidden="false" customHeight="false" outlineLevel="0" collapsed="false">
      <c r="A2184" s="16" t="n">
        <f aca="false">RANK(G2184,$G$2:$G$2501)+COUNTIF($G$2:G2184,G2184)-1</f>
        <v>2183</v>
      </c>
      <c r="B2184" s="11" t="s">
        <v>5356</v>
      </c>
      <c r="C2184" s="11" t="s">
        <v>402</v>
      </c>
      <c r="D2184" s="5" t="s">
        <v>58</v>
      </c>
      <c r="E2184" s="5" t="s">
        <v>59</v>
      </c>
      <c r="F2184" s="5"/>
      <c r="G2184" s="22" t="n">
        <f aca="false">ROUND(SUM(I2184:P2184),3)</f>
        <v>48.594</v>
      </c>
      <c r="H2184" s="5" t="str">
        <f aca="false">IF(G2184&gt;=評分方法!$C$16,"優先評估",IF(G2184&gt;=評分方法!$C$17,"列入候選",IF(G2184&gt;=評分方法!$C$18,"特定情境","不建議")))</f>
        <v>不建議</v>
      </c>
      <c r="I2184" s="15" t="n">
        <f aca="false">AE2184*評分方法!$C$5</f>
        <v>11.4</v>
      </c>
      <c r="J2184" s="15" t="n">
        <f aca="false">AF2184*評分方法!$C$6</f>
        <v>0</v>
      </c>
      <c r="K2184" s="15" t="n">
        <f aca="false">AG2184*評分方法!$C$7</f>
        <v>4.95</v>
      </c>
      <c r="L2184" s="15" t="n">
        <f aca="false">AH2184*評分方法!$C$8</f>
        <v>15</v>
      </c>
      <c r="M2184" s="15" t="n">
        <f aca="false">AI2184*評分方法!$C$9</f>
        <v>10</v>
      </c>
      <c r="N2184" s="15" t="n">
        <f aca="false">AJ2184*評分方法!$C$10</f>
        <v>4.744</v>
      </c>
      <c r="O2184" s="15" t="n">
        <f aca="false">AK2184*評分方法!$C$11</f>
        <v>2.5</v>
      </c>
      <c r="P2184" s="15" t="n">
        <f aca="false">AL2184*評分方法!$C$12</f>
        <v>0</v>
      </c>
      <c r="Q2184" s="6" t="n">
        <v>518292</v>
      </c>
      <c r="R2184" s="6" t="n">
        <v>108893955</v>
      </c>
      <c r="S2184" s="11" t="s">
        <v>238</v>
      </c>
      <c r="T2184" s="11" t="s">
        <v>239</v>
      </c>
      <c r="U2184" s="5" t="s">
        <v>240</v>
      </c>
      <c r="V2184" s="11" t="s">
        <v>261</v>
      </c>
      <c r="W2184" s="5" t="s">
        <v>334</v>
      </c>
      <c r="X2184" s="5" t="s">
        <v>242</v>
      </c>
      <c r="Y2184" s="5"/>
      <c r="Z2184" s="5"/>
      <c r="AA2184" s="11" t="s">
        <v>150</v>
      </c>
      <c r="AB2184" s="5" t="s">
        <v>245</v>
      </c>
      <c r="AC2184" s="5" t="s">
        <v>3044</v>
      </c>
      <c r="AD2184" s="11" t="s">
        <v>5357</v>
      </c>
      <c r="AE2184" s="23" t="n">
        <v>0.38</v>
      </c>
      <c r="AF2184" s="23" t="n">
        <v>0</v>
      </c>
      <c r="AG2184" s="23" t="n">
        <v>0.33</v>
      </c>
      <c r="AH2184" s="23" t="n">
        <v>1</v>
      </c>
      <c r="AI2184" s="23" t="n">
        <v>1</v>
      </c>
      <c r="AJ2184" s="23" t="n">
        <v>0.4744</v>
      </c>
      <c r="AK2184" s="23" t="n">
        <v>0.5</v>
      </c>
      <c r="AL2184" s="23" t="n">
        <v>0</v>
      </c>
      <c r="AM2184" s="16" t="n">
        <f aca="false">COUNTIFS($D$2:$D$2501,D2184,$G$2:$G$2501,"&gt;"&amp;G2184)+COUNTIFS($D$2:D2184,D2184,$G$2:G2184,G2184)</f>
        <v>340</v>
      </c>
      <c r="AN2184" s="5" t="str">
        <f aca="false">D2184&amp;"|"&amp;AM2184</f>
        <v>實體擷取與去識別化|340</v>
      </c>
    </row>
    <row r="2185" customFormat="false" ht="17.15" hidden="false" customHeight="false" outlineLevel="0" collapsed="false">
      <c r="A2185" s="16" t="n">
        <f aca="false">RANK(G2185,$G$2:$G$2501)+COUNTIF($G$2:G2185,G2185)-1</f>
        <v>2184</v>
      </c>
      <c r="B2185" s="11" t="s">
        <v>5358</v>
      </c>
      <c r="C2185" s="11" t="s">
        <v>5345</v>
      </c>
      <c r="D2185" s="5" t="s">
        <v>80</v>
      </c>
      <c r="E2185" s="5" t="s">
        <v>81</v>
      </c>
      <c r="F2185" s="5"/>
      <c r="G2185" s="22" t="n">
        <f aca="false">ROUND(SUM(I2185:P2185),3)</f>
        <v>48.59</v>
      </c>
      <c r="H2185" s="5" t="str">
        <f aca="false">IF(G2185&gt;=評分方法!$C$16,"優先評估",IF(G2185&gt;=評分方法!$C$17,"列入候選",IF(G2185&gt;=評分方法!$C$18,"特定情境","不建議")))</f>
        <v>不建議</v>
      </c>
      <c r="I2185" s="15" t="n">
        <f aca="false">AE2185*評分方法!$C$5</f>
        <v>6</v>
      </c>
      <c r="J2185" s="15" t="n">
        <f aca="false">AF2185*評分方法!$C$6</f>
        <v>0</v>
      </c>
      <c r="K2185" s="15" t="n">
        <f aca="false">AG2185*評分方法!$C$7</f>
        <v>4.95</v>
      </c>
      <c r="L2185" s="15" t="n">
        <f aca="false">AH2185*評分方法!$C$8</f>
        <v>15</v>
      </c>
      <c r="M2185" s="15" t="n">
        <f aca="false">AI2185*評分方法!$C$9</f>
        <v>10</v>
      </c>
      <c r="N2185" s="15" t="n">
        <f aca="false">AJ2185*評分方法!$C$10</f>
        <v>7.64</v>
      </c>
      <c r="O2185" s="15" t="n">
        <f aca="false">AK2185*評分方法!$C$11</f>
        <v>5</v>
      </c>
      <c r="P2185" s="15" t="n">
        <f aca="false">AL2185*評分方法!$C$12</f>
        <v>0</v>
      </c>
      <c r="Q2185" s="6" t="n">
        <v>1233652</v>
      </c>
      <c r="R2185" s="6" t="n">
        <v>179303900</v>
      </c>
      <c r="S2185" s="11" t="s">
        <v>238</v>
      </c>
      <c r="T2185" s="11" t="s">
        <v>278</v>
      </c>
      <c r="U2185" s="5" t="s">
        <v>240</v>
      </c>
      <c r="V2185" s="11" t="s">
        <v>261</v>
      </c>
      <c r="W2185" s="5" t="s">
        <v>334</v>
      </c>
      <c r="X2185" s="5" t="s">
        <v>242</v>
      </c>
      <c r="Y2185" s="5"/>
      <c r="Z2185" s="5"/>
      <c r="AA2185" s="5"/>
      <c r="AB2185" s="5" t="s">
        <v>255</v>
      </c>
      <c r="AC2185" s="5"/>
      <c r="AD2185" s="11" t="s">
        <v>5359</v>
      </c>
      <c r="AE2185" s="23" t="n">
        <v>0.2</v>
      </c>
      <c r="AF2185" s="23" t="n">
        <v>0</v>
      </c>
      <c r="AG2185" s="23" t="n">
        <v>0.33</v>
      </c>
      <c r="AH2185" s="23" t="n">
        <v>1</v>
      </c>
      <c r="AI2185" s="23" t="n">
        <v>1</v>
      </c>
      <c r="AJ2185" s="23" t="n">
        <v>0.764</v>
      </c>
      <c r="AK2185" s="23" t="n">
        <v>1</v>
      </c>
      <c r="AL2185" s="23" t="n">
        <v>0</v>
      </c>
      <c r="AM2185" s="16" t="n">
        <f aca="false">COUNTIFS($D$2:$D$2501,D2185,$G$2:$G$2501,"&gt;"&amp;G2185)+COUNTIFS($D$2:D2185,D2185,$G$2:G2185,G2185)</f>
        <v>23</v>
      </c>
      <c r="AN2185" s="5" t="str">
        <f aca="false">D2185&amp;"|"&amp;AM2185</f>
        <v>其他|23</v>
      </c>
    </row>
    <row r="2186" customFormat="false" ht="17.15" hidden="false" customHeight="false" outlineLevel="0" collapsed="false">
      <c r="A2186" s="16" t="n">
        <f aca="false">RANK(G2186,$G$2:$G$2501)+COUNTIF($G$2:G2186,G2186)-1</f>
        <v>2185</v>
      </c>
      <c r="B2186" s="11" t="s">
        <v>5360</v>
      </c>
      <c r="C2186" s="11" t="s">
        <v>5200</v>
      </c>
      <c r="D2186" s="5" t="s">
        <v>54</v>
      </c>
      <c r="E2186" s="5" t="s">
        <v>55</v>
      </c>
      <c r="F2186" s="5"/>
      <c r="G2186" s="22" t="n">
        <f aca="false">ROUND(SUM(I2186:P2186),3)</f>
        <v>48.59</v>
      </c>
      <c r="H2186" s="5" t="str">
        <f aca="false">IF(G2186&gt;=評分方法!$C$16,"優先評估",IF(G2186&gt;=評分方法!$C$17,"列入候選",IF(G2186&gt;=評分方法!$C$18,"特定情境","不建議")))</f>
        <v>不建議</v>
      </c>
      <c r="I2186" s="15" t="n">
        <f aca="false">AE2186*評分方法!$C$5</f>
        <v>16.2</v>
      </c>
      <c r="J2186" s="15" t="n">
        <f aca="false">AF2186*評分方法!$C$6</f>
        <v>0</v>
      </c>
      <c r="K2186" s="15" t="n">
        <f aca="false">AG2186*評分方法!$C$7</f>
        <v>4.95</v>
      </c>
      <c r="L2186" s="15" t="n">
        <f aca="false">AH2186*評分方法!$C$8</f>
        <v>15</v>
      </c>
      <c r="M2186" s="15" t="n">
        <f aca="false">AI2186*評分方法!$C$9</f>
        <v>10</v>
      </c>
      <c r="N2186" s="15" t="n">
        <f aca="false">AJ2186*評分方法!$C$10</f>
        <v>1.44</v>
      </c>
      <c r="O2186" s="15" t="n">
        <f aca="false">AK2186*評分方法!$C$11</f>
        <v>1</v>
      </c>
      <c r="P2186" s="15" t="n">
        <f aca="false">AL2186*評分方法!$C$12</f>
        <v>0</v>
      </c>
      <c r="Q2186" s="6" t="n">
        <v>175895</v>
      </c>
      <c r="R2186" s="6" t="n">
        <v>92186880</v>
      </c>
      <c r="S2186" s="11" t="s">
        <v>238</v>
      </c>
      <c r="T2186" s="11" t="s">
        <v>239</v>
      </c>
      <c r="U2186" s="5" t="s">
        <v>240</v>
      </c>
      <c r="V2186" s="11" t="s">
        <v>813</v>
      </c>
      <c r="W2186" s="5" t="s">
        <v>334</v>
      </c>
      <c r="X2186" s="5" t="s">
        <v>242</v>
      </c>
      <c r="Y2186" s="5"/>
      <c r="Z2186" s="5"/>
      <c r="AA2186" s="11" t="s">
        <v>153</v>
      </c>
      <c r="AB2186" s="5" t="s">
        <v>245</v>
      </c>
      <c r="AC2186" s="5" t="s">
        <v>1463</v>
      </c>
      <c r="AD2186" s="11" t="s">
        <v>5361</v>
      </c>
      <c r="AE2186" s="23" t="n">
        <v>0.54</v>
      </c>
      <c r="AF2186" s="23" t="n">
        <v>0</v>
      </c>
      <c r="AG2186" s="23" t="n">
        <v>0.33</v>
      </c>
      <c r="AH2186" s="23" t="n">
        <v>1</v>
      </c>
      <c r="AI2186" s="23" t="n">
        <v>1</v>
      </c>
      <c r="AJ2186" s="23" t="n">
        <v>0.144</v>
      </c>
      <c r="AK2186" s="23" t="n">
        <v>0.2</v>
      </c>
      <c r="AL2186" s="23" t="n">
        <v>0</v>
      </c>
      <c r="AM2186" s="16" t="n">
        <f aca="false">COUNTIFS($D$2:$D$2501,D2186,$G$2:$G$2501,"&gt;"&amp;G2186)+COUNTIFS($D$2:D2186,D2186,$G$2:G2186,G2186)</f>
        <v>264</v>
      </c>
      <c r="AN2186" s="5" t="str">
        <f aca="false">D2186&amp;"|"&amp;AM2186</f>
        <v>檢索與情資關聯|264</v>
      </c>
    </row>
    <row r="2187" customFormat="false" ht="17.15" hidden="false" customHeight="false" outlineLevel="0" collapsed="false">
      <c r="A2187" s="16" t="n">
        <f aca="false">RANK(G2187,$G$2:$G$2501)+COUNTIF($G$2:G2187,G2187)-1</f>
        <v>2186</v>
      </c>
      <c r="B2187" s="11" t="s">
        <v>5362</v>
      </c>
      <c r="C2187" s="11" t="s">
        <v>5363</v>
      </c>
      <c r="D2187" s="5" t="s">
        <v>54</v>
      </c>
      <c r="E2187" s="5" t="s">
        <v>55</v>
      </c>
      <c r="F2187" s="5"/>
      <c r="G2187" s="22" t="n">
        <f aca="false">ROUND(SUM(I2187:P2187),3)</f>
        <v>48.558</v>
      </c>
      <c r="H2187" s="5" t="str">
        <f aca="false">IF(G2187&gt;=評分方法!$C$16,"優先評估",IF(G2187&gt;=評分方法!$C$17,"列入候選",IF(G2187&gt;=評分方法!$C$18,"特定情境","不建議")))</f>
        <v>不建議</v>
      </c>
      <c r="I2187" s="15" t="n">
        <f aca="false">AE2187*評分方法!$C$5</f>
        <v>16.2</v>
      </c>
      <c r="J2187" s="15" t="n">
        <f aca="false">AF2187*評分方法!$C$6</f>
        <v>0</v>
      </c>
      <c r="K2187" s="15" t="n">
        <f aca="false">AG2187*評分方法!$C$7</f>
        <v>4.95</v>
      </c>
      <c r="L2187" s="15" t="n">
        <f aca="false">AH2187*評分方法!$C$8</f>
        <v>15</v>
      </c>
      <c r="M2187" s="15" t="n">
        <f aca="false">AI2187*評分方法!$C$9</f>
        <v>10</v>
      </c>
      <c r="N2187" s="15" t="n">
        <f aca="false">AJ2187*評分方法!$C$10</f>
        <v>1.408</v>
      </c>
      <c r="O2187" s="15" t="n">
        <f aca="false">AK2187*評分方法!$C$11</f>
        <v>1</v>
      </c>
      <c r="P2187" s="15" t="n">
        <f aca="false">AL2187*評分方法!$C$12</f>
        <v>0</v>
      </c>
      <c r="Q2187" s="6" t="n">
        <v>174132</v>
      </c>
      <c r="R2187" s="6" t="n">
        <v>29193768</v>
      </c>
      <c r="S2187" s="11" t="s">
        <v>238</v>
      </c>
      <c r="T2187" s="11" t="s">
        <v>278</v>
      </c>
      <c r="U2187" s="5" t="s">
        <v>240</v>
      </c>
      <c r="V2187" s="11" t="s">
        <v>261</v>
      </c>
      <c r="W2187" s="5" t="s">
        <v>334</v>
      </c>
      <c r="X2187" s="5" t="s">
        <v>242</v>
      </c>
      <c r="Y2187" s="11" t="s">
        <v>2876</v>
      </c>
      <c r="Z2187" s="11" t="s">
        <v>270</v>
      </c>
      <c r="AA2187" s="11" t="s">
        <v>152</v>
      </c>
      <c r="AB2187" s="5" t="s">
        <v>245</v>
      </c>
      <c r="AC2187" s="5" t="s">
        <v>1463</v>
      </c>
      <c r="AD2187" s="11" t="s">
        <v>5364</v>
      </c>
      <c r="AE2187" s="23" t="n">
        <v>0.54</v>
      </c>
      <c r="AF2187" s="23" t="n">
        <v>0</v>
      </c>
      <c r="AG2187" s="23" t="n">
        <v>0.33</v>
      </c>
      <c r="AH2187" s="23" t="n">
        <v>1</v>
      </c>
      <c r="AI2187" s="23" t="n">
        <v>1</v>
      </c>
      <c r="AJ2187" s="23" t="n">
        <v>0.1408</v>
      </c>
      <c r="AK2187" s="23" t="n">
        <v>0.2</v>
      </c>
      <c r="AL2187" s="23" t="n">
        <v>0</v>
      </c>
      <c r="AM2187" s="16" t="n">
        <f aca="false">COUNTIFS($D$2:$D$2501,D2187,$G$2:$G$2501,"&gt;"&amp;G2187)+COUNTIFS($D$2:D2187,D2187,$G$2:G2187,G2187)</f>
        <v>265</v>
      </c>
      <c r="AN2187" s="5" t="str">
        <f aca="false">D2187&amp;"|"&amp;AM2187</f>
        <v>檢索與情資關聯|265</v>
      </c>
    </row>
    <row r="2188" customFormat="false" ht="17.15" hidden="false" customHeight="false" outlineLevel="0" collapsed="false">
      <c r="A2188" s="16" t="n">
        <f aca="false">RANK(G2188,$G$2:$G$2501)+COUNTIF($G$2:G2188,G2188)-1</f>
        <v>2187</v>
      </c>
      <c r="B2188" s="11" t="s">
        <v>5365</v>
      </c>
      <c r="C2188" s="11" t="s">
        <v>402</v>
      </c>
      <c r="D2188" s="5" t="s">
        <v>58</v>
      </c>
      <c r="E2188" s="5" t="s">
        <v>59</v>
      </c>
      <c r="F2188" s="5"/>
      <c r="G2188" s="22" t="n">
        <f aca="false">ROUND(SUM(I2188:P2188),3)</f>
        <v>48.546</v>
      </c>
      <c r="H2188" s="5" t="str">
        <f aca="false">IF(G2188&gt;=評分方法!$C$16,"優先評估",IF(G2188&gt;=評分方法!$C$17,"列入候選",IF(G2188&gt;=評分方法!$C$18,"特定情境","不建議")))</f>
        <v>不建議</v>
      </c>
      <c r="I2188" s="15" t="n">
        <f aca="false">AE2188*評分方法!$C$5</f>
        <v>11.4</v>
      </c>
      <c r="J2188" s="15" t="n">
        <f aca="false">AF2188*評分方法!$C$6</f>
        <v>0</v>
      </c>
      <c r="K2188" s="15" t="n">
        <f aca="false">AG2188*評分方法!$C$7</f>
        <v>4.95</v>
      </c>
      <c r="L2188" s="15" t="n">
        <f aca="false">AH2188*評分方法!$C$8</f>
        <v>15</v>
      </c>
      <c r="M2188" s="15" t="n">
        <f aca="false">AI2188*評分方法!$C$9</f>
        <v>10</v>
      </c>
      <c r="N2188" s="15" t="n">
        <f aca="false">AJ2188*評分方法!$C$10</f>
        <v>4.696</v>
      </c>
      <c r="O2188" s="15" t="n">
        <f aca="false">AK2188*評分方法!$C$11</f>
        <v>2.5</v>
      </c>
      <c r="P2188" s="15" t="n">
        <f aca="false">AL2188*評分方法!$C$12</f>
        <v>0</v>
      </c>
      <c r="Q2188" s="6" t="n">
        <v>514098</v>
      </c>
      <c r="R2188" s="6" t="n">
        <v>108893955</v>
      </c>
      <c r="S2188" s="11" t="s">
        <v>238</v>
      </c>
      <c r="T2188" s="11" t="s">
        <v>239</v>
      </c>
      <c r="U2188" s="5" t="s">
        <v>240</v>
      </c>
      <c r="V2188" s="11" t="s">
        <v>261</v>
      </c>
      <c r="W2188" s="5" t="s">
        <v>334</v>
      </c>
      <c r="X2188" s="5" t="s">
        <v>242</v>
      </c>
      <c r="Y2188" s="5"/>
      <c r="Z2188" s="5"/>
      <c r="AA2188" s="11" t="s">
        <v>150</v>
      </c>
      <c r="AB2188" s="5" t="s">
        <v>245</v>
      </c>
      <c r="AC2188" s="5" t="s">
        <v>3044</v>
      </c>
      <c r="AD2188" s="11" t="s">
        <v>5366</v>
      </c>
      <c r="AE2188" s="23" t="n">
        <v>0.38</v>
      </c>
      <c r="AF2188" s="23" t="n">
        <v>0</v>
      </c>
      <c r="AG2188" s="23" t="n">
        <v>0.33</v>
      </c>
      <c r="AH2188" s="23" t="n">
        <v>1</v>
      </c>
      <c r="AI2188" s="23" t="n">
        <v>1</v>
      </c>
      <c r="AJ2188" s="23" t="n">
        <v>0.4696</v>
      </c>
      <c r="AK2188" s="23" t="n">
        <v>0.5</v>
      </c>
      <c r="AL2188" s="23" t="n">
        <v>0</v>
      </c>
      <c r="AM2188" s="16" t="n">
        <f aca="false">COUNTIFS($D$2:$D$2501,D2188,$G$2:$G$2501,"&gt;"&amp;G2188)+COUNTIFS($D$2:D2188,D2188,$G$2:G2188,G2188)</f>
        <v>341</v>
      </c>
      <c r="AN2188" s="5" t="str">
        <f aca="false">D2188&amp;"|"&amp;AM2188</f>
        <v>實體擷取與去識別化|341</v>
      </c>
    </row>
    <row r="2189" customFormat="false" ht="17.15" hidden="false" customHeight="false" outlineLevel="0" collapsed="false">
      <c r="A2189" s="16" t="n">
        <f aca="false">RANK(G2189,$G$2:$G$2501)+COUNTIF($G$2:G2189,G2189)-1</f>
        <v>2188</v>
      </c>
      <c r="B2189" s="11" t="s">
        <v>5225</v>
      </c>
      <c r="C2189" s="11" t="s">
        <v>5367</v>
      </c>
      <c r="D2189" s="5" t="s">
        <v>56</v>
      </c>
      <c r="E2189" s="5" t="s">
        <v>57</v>
      </c>
      <c r="F2189" s="5"/>
      <c r="G2189" s="22" t="n">
        <f aca="false">ROUND(SUM(I2189:P2189),3)</f>
        <v>48.542</v>
      </c>
      <c r="H2189" s="5" t="str">
        <f aca="false">IF(G2189&gt;=評分方法!$C$16,"優先評估",IF(G2189&gt;=評分方法!$C$17,"列入候選",IF(G2189&gt;=評分方法!$C$18,"特定情境","不建議")))</f>
        <v>不建議</v>
      </c>
      <c r="I2189" s="15" t="n">
        <f aca="false">AE2189*評分方法!$C$5</f>
        <v>25.5</v>
      </c>
      <c r="J2189" s="15" t="n">
        <f aca="false">AF2189*評分方法!$C$6</f>
        <v>0</v>
      </c>
      <c r="K2189" s="15" t="n">
        <f aca="false">AG2189*評分方法!$C$7</f>
        <v>4.95</v>
      </c>
      <c r="L2189" s="15" t="n">
        <f aca="false">AH2189*評分方法!$C$8</f>
        <v>9</v>
      </c>
      <c r="M2189" s="15" t="n">
        <f aca="false">AI2189*評分方法!$C$9</f>
        <v>2</v>
      </c>
      <c r="N2189" s="15" t="n">
        <f aca="false">AJ2189*評分方法!$C$10</f>
        <v>1.592</v>
      </c>
      <c r="O2189" s="15" t="n">
        <f aca="false">AK2189*評分方法!$C$11</f>
        <v>2.5</v>
      </c>
      <c r="P2189" s="15" t="n">
        <f aca="false">AL2189*評分方法!$C$12</f>
        <v>3</v>
      </c>
      <c r="Q2189" s="6" t="n">
        <v>184227</v>
      </c>
      <c r="R2189" s="6" t="n">
        <v>12247782400</v>
      </c>
      <c r="S2189" s="11" t="s">
        <v>389</v>
      </c>
      <c r="T2189" s="5"/>
      <c r="U2189" s="5" t="s">
        <v>375</v>
      </c>
      <c r="V2189" s="11" t="s">
        <v>261</v>
      </c>
      <c r="W2189" s="5" t="s">
        <v>334</v>
      </c>
      <c r="X2189" s="5" t="s">
        <v>371</v>
      </c>
      <c r="Y2189" s="11" t="s">
        <v>5368</v>
      </c>
      <c r="Z2189" s="11" t="s">
        <v>1287</v>
      </c>
      <c r="AA2189" s="11" t="s">
        <v>155</v>
      </c>
      <c r="AB2189" s="5" t="s">
        <v>245</v>
      </c>
      <c r="AC2189" s="5" t="s">
        <v>262</v>
      </c>
      <c r="AD2189" s="11" t="s">
        <v>5369</v>
      </c>
      <c r="AE2189" s="23" t="n">
        <v>0.85</v>
      </c>
      <c r="AF2189" s="23" t="n">
        <v>0</v>
      </c>
      <c r="AG2189" s="23" t="n">
        <v>0.33</v>
      </c>
      <c r="AH2189" s="23" t="n">
        <v>0.6</v>
      </c>
      <c r="AI2189" s="23" t="n">
        <v>0.2</v>
      </c>
      <c r="AJ2189" s="23" t="n">
        <v>0.1592</v>
      </c>
      <c r="AK2189" s="23" t="n">
        <v>0.5</v>
      </c>
      <c r="AL2189" s="23" t="n">
        <v>0.6</v>
      </c>
      <c r="AM2189" s="16" t="n">
        <f aca="false">COUNTIFS($D$2:$D$2501,D2189,$G$2:$G$2501,"&gt;"&amp;G2189)+COUNTIFS($D$2:D2189,D2189,$G$2:G2189,G2189)</f>
        <v>957</v>
      </c>
      <c r="AN2189" s="5" t="str">
        <f aca="false">D2189&amp;"|"&amp;AM2189</f>
        <v>分析與報告生成|957</v>
      </c>
    </row>
    <row r="2190" customFormat="false" ht="17.15" hidden="false" customHeight="false" outlineLevel="0" collapsed="false">
      <c r="A2190" s="16" t="n">
        <f aca="false">RANK(G2190,$G$2:$G$2501)+COUNTIF($G$2:G2190,G2190)-1</f>
        <v>2189</v>
      </c>
      <c r="B2190" s="11" t="s">
        <v>5307</v>
      </c>
      <c r="C2190" s="11" t="s">
        <v>2785</v>
      </c>
      <c r="D2190" s="5" t="s">
        <v>56</v>
      </c>
      <c r="E2190" s="5" t="s">
        <v>57</v>
      </c>
      <c r="F2190" s="5"/>
      <c r="G2190" s="22" t="n">
        <f aca="false">ROUND(SUM(I2190:P2190),3)</f>
        <v>48.536</v>
      </c>
      <c r="H2190" s="5" t="str">
        <f aca="false">IF(G2190&gt;=評分方法!$C$16,"優先評估",IF(G2190&gt;=評分方法!$C$17,"列入候選",IF(G2190&gt;=評分方法!$C$18,"特定情境","不建議")))</f>
        <v>不建議</v>
      </c>
      <c r="I2190" s="15" t="n">
        <f aca="false">AE2190*評分方法!$C$5</f>
        <v>25.5</v>
      </c>
      <c r="J2190" s="15" t="n">
        <f aca="false">AF2190*評分方法!$C$6</f>
        <v>0</v>
      </c>
      <c r="K2190" s="15" t="n">
        <f aca="false">AG2190*評分方法!$C$7</f>
        <v>10.05</v>
      </c>
      <c r="L2190" s="15" t="n">
        <f aca="false">AH2190*評分方法!$C$8</f>
        <v>4.95</v>
      </c>
      <c r="M2190" s="15" t="n">
        <f aca="false">AI2190*評分方法!$C$9</f>
        <v>6</v>
      </c>
      <c r="N2190" s="15" t="n">
        <f aca="false">AJ2190*評分方法!$C$10</f>
        <v>1.036</v>
      </c>
      <c r="O2190" s="15" t="n">
        <f aca="false">AK2190*評分方法!$C$11</f>
        <v>1</v>
      </c>
      <c r="P2190" s="15" t="n">
        <f aca="false">AL2190*評分方法!$C$12</f>
        <v>0</v>
      </c>
      <c r="Q2190" s="6" t="n">
        <v>155021</v>
      </c>
      <c r="R2190" s="6" t="n">
        <v>70553706496</v>
      </c>
      <c r="S2190" s="11" t="s">
        <v>1876</v>
      </c>
      <c r="T2190" s="11" t="s">
        <v>1177</v>
      </c>
      <c r="U2190" s="5" t="s">
        <v>260</v>
      </c>
      <c r="V2190" s="11" t="s">
        <v>261</v>
      </c>
      <c r="W2190" s="5" t="s">
        <v>207</v>
      </c>
      <c r="X2190" s="5" t="s">
        <v>242</v>
      </c>
      <c r="Y2190" s="11" t="s">
        <v>3064</v>
      </c>
      <c r="Z2190" s="11" t="s">
        <v>270</v>
      </c>
      <c r="AA2190" s="11" t="s">
        <v>155</v>
      </c>
      <c r="AB2190" s="5" t="s">
        <v>245</v>
      </c>
      <c r="AC2190" s="5" t="s">
        <v>262</v>
      </c>
      <c r="AD2190" s="11" t="s">
        <v>5370</v>
      </c>
      <c r="AE2190" s="23" t="n">
        <v>0.85</v>
      </c>
      <c r="AF2190" s="23" t="n">
        <v>0</v>
      </c>
      <c r="AG2190" s="23" t="n">
        <v>0.67</v>
      </c>
      <c r="AH2190" s="23" t="n">
        <v>0.33</v>
      </c>
      <c r="AI2190" s="23" t="n">
        <v>0.6</v>
      </c>
      <c r="AJ2190" s="23" t="n">
        <v>0.1036</v>
      </c>
      <c r="AK2190" s="23" t="n">
        <v>0.2</v>
      </c>
      <c r="AL2190" s="23" t="n">
        <v>0</v>
      </c>
      <c r="AM2190" s="16" t="n">
        <f aca="false">COUNTIFS($D$2:$D$2501,D2190,$G$2:$G$2501,"&gt;"&amp;G2190)+COUNTIFS($D$2:D2190,D2190,$G$2:G2190,G2190)</f>
        <v>958</v>
      </c>
      <c r="AN2190" s="5" t="str">
        <f aca="false">D2190&amp;"|"&amp;AM2190</f>
        <v>分析與報告生成|958</v>
      </c>
    </row>
    <row r="2191" customFormat="false" ht="17.15" hidden="false" customHeight="false" outlineLevel="0" collapsed="false">
      <c r="A2191" s="16" t="n">
        <f aca="false">RANK(G2191,$G$2:$G$2501)+COUNTIF($G$2:G2191,G2191)-1</f>
        <v>2190</v>
      </c>
      <c r="B2191" s="11" t="s">
        <v>5371</v>
      </c>
      <c r="C2191" s="11" t="s">
        <v>402</v>
      </c>
      <c r="D2191" s="5" t="s">
        <v>58</v>
      </c>
      <c r="E2191" s="5" t="s">
        <v>59</v>
      </c>
      <c r="F2191" s="5"/>
      <c r="G2191" s="22" t="n">
        <f aca="false">ROUND(SUM(I2191:P2191),3)</f>
        <v>48.53</v>
      </c>
      <c r="H2191" s="5" t="str">
        <f aca="false">IF(G2191&gt;=評分方法!$C$16,"優先評估",IF(G2191&gt;=評分方法!$C$17,"列入候選",IF(G2191&gt;=評分方法!$C$18,"特定情境","不建議")))</f>
        <v>不建議</v>
      </c>
      <c r="I2191" s="15" t="n">
        <f aca="false">AE2191*評分方法!$C$5</f>
        <v>11.4</v>
      </c>
      <c r="J2191" s="15" t="n">
        <f aca="false">AF2191*評分方法!$C$6</f>
        <v>0</v>
      </c>
      <c r="K2191" s="15" t="n">
        <f aca="false">AG2191*評分方法!$C$7</f>
        <v>4.95</v>
      </c>
      <c r="L2191" s="15" t="n">
        <f aca="false">AH2191*評分方法!$C$8</f>
        <v>15</v>
      </c>
      <c r="M2191" s="15" t="n">
        <f aca="false">AI2191*評分方法!$C$9</f>
        <v>10</v>
      </c>
      <c r="N2191" s="15" t="n">
        <f aca="false">AJ2191*評分方法!$C$10</f>
        <v>4.68</v>
      </c>
      <c r="O2191" s="15" t="n">
        <f aca="false">AK2191*評分方法!$C$11</f>
        <v>2.5</v>
      </c>
      <c r="P2191" s="15" t="n">
        <f aca="false">AL2191*評分方法!$C$12</f>
        <v>0</v>
      </c>
      <c r="Q2191" s="6" t="n">
        <v>512327</v>
      </c>
      <c r="R2191" s="6" t="n">
        <v>334095363</v>
      </c>
      <c r="S2191" s="11" t="s">
        <v>238</v>
      </c>
      <c r="T2191" s="11" t="s">
        <v>239</v>
      </c>
      <c r="U2191" s="5" t="s">
        <v>240</v>
      </c>
      <c r="V2191" s="11" t="s">
        <v>261</v>
      </c>
      <c r="W2191" s="5" t="s">
        <v>334</v>
      </c>
      <c r="X2191" s="5" t="s">
        <v>242</v>
      </c>
      <c r="Y2191" s="5"/>
      <c r="Z2191" s="5"/>
      <c r="AA2191" s="11" t="s">
        <v>150</v>
      </c>
      <c r="AB2191" s="5" t="s">
        <v>245</v>
      </c>
      <c r="AC2191" s="5" t="s">
        <v>3044</v>
      </c>
      <c r="AD2191" s="11" t="s">
        <v>5372</v>
      </c>
      <c r="AE2191" s="23" t="n">
        <v>0.38</v>
      </c>
      <c r="AF2191" s="23" t="n">
        <v>0</v>
      </c>
      <c r="AG2191" s="23" t="n">
        <v>0.33</v>
      </c>
      <c r="AH2191" s="23" t="n">
        <v>1</v>
      </c>
      <c r="AI2191" s="23" t="n">
        <v>1</v>
      </c>
      <c r="AJ2191" s="23" t="n">
        <v>0.468</v>
      </c>
      <c r="AK2191" s="23" t="n">
        <v>0.5</v>
      </c>
      <c r="AL2191" s="23" t="n">
        <v>0</v>
      </c>
      <c r="AM2191" s="16" t="n">
        <f aca="false">COUNTIFS($D$2:$D$2501,D2191,$G$2:$G$2501,"&gt;"&amp;G2191)+COUNTIFS($D$2:D2191,D2191,$G$2:G2191,G2191)</f>
        <v>342</v>
      </c>
      <c r="AN2191" s="5" t="str">
        <f aca="false">D2191&amp;"|"&amp;AM2191</f>
        <v>實體擷取與去識別化|342</v>
      </c>
    </row>
    <row r="2192" customFormat="false" ht="17.15" hidden="false" customHeight="false" outlineLevel="0" collapsed="false">
      <c r="A2192" s="16" t="n">
        <f aca="false">RANK(G2192,$G$2:$G$2501)+COUNTIF($G$2:G2192,G2192)-1</f>
        <v>2191</v>
      </c>
      <c r="B2192" s="11" t="s">
        <v>5373</v>
      </c>
      <c r="C2192" s="11" t="s">
        <v>402</v>
      </c>
      <c r="D2192" s="5" t="s">
        <v>58</v>
      </c>
      <c r="E2192" s="5" t="s">
        <v>59</v>
      </c>
      <c r="F2192" s="5"/>
      <c r="G2192" s="22" t="n">
        <f aca="false">ROUND(SUM(I2192:P2192),3)</f>
        <v>48.506</v>
      </c>
      <c r="H2192" s="5" t="str">
        <f aca="false">IF(G2192&gt;=評分方法!$C$16,"優先評估",IF(G2192&gt;=評分方法!$C$17,"列入候選",IF(G2192&gt;=評分方法!$C$18,"特定情境","不建議")))</f>
        <v>不建議</v>
      </c>
      <c r="I2192" s="15" t="n">
        <f aca="false">AE2192*評分方法!$C$5</f>
        <v>11.4</v>
      </c>
      <c r="J2192" s="15" t="n">
        <f aca="false">AF2192*評分方法!$C$6</f>
        <v>0</v>
      </c>
      <c r="K2192" s="15" t="n">
        <f aca="false">AG2192*評分方法!$C$7</f>
        <v>4.95</v>
      </c>
      <c r="L2192" s="15" t="n">
        <f aca="false">AH2192*評分方法!$C$8</f>
        <v>15</v>
      </c>
      <c r="M2192" s="15" t="n">
        <f aca="false">AI2192*評分方法!$C$9</f>
        <v>10</v>
      </c>
      <c r="N2192" s="15" t="n">
        <f aca="false">AJ2192*評分方法!$C$10</f>
        <v>4.656</v>
      </c>
      <c r="O2192" s="15" t="n">
        <f aca="false">AK2192*評分方法!$C$11</f>
        <v>2.5</v>
      </c>
      <c r="P2192" s="15" t="n">
        <f aca="false">AL2192*評分方法!$C$12</f>
        <v>0</v>
      </c>
      <c r="Q2192" s="6" t="n">
        <v>509683</v>
      </c>
      <c r="R2192" s="6" t="n">
        <v>334095363</v>
      </c>
      <c r="S2192" s="11" t="s">
        <v>238</v>
      </c>
      <c r="T2192" s="11" t="s">
        <v>239</v>
      </c>
      <c r="U2192" s="5" t="s">
        <v>240</v>
      </c>
      <c r="V2192" s="11" t="s">
        <v>261</v>
      </c>
      <c r="W2192" s="5" t="s">
        <v>334</v>
      </c>
      <c r="X2192" s="5" t="s">
        <v>242</v>
      </c>
      <c r="Y2192" s="5"/>
      <c r="Z2192" s="5"/>
      <c r="AA2192" s="11" t="s">
        <v>150</v>
      </c>
      <c r="AB2192" s="5" t="s">
        <v>245</v>
      </c>
      <c r="AC2192" s="5" t="s">
        <v>3044</v>
      </c>
      <c r="AD2192" s="11" t="s">
        <v>5374</v>
      </c>
      <c r="AE2192" s="23" t="n">
        <v>0.38</v>
      </c>
      <c r="AF2192" s="23" t="n">
        <v>0</v>
      </c>
      <c r="AG2192" s="23" t="n">
        <v>0.33</v>
      </c>
      <c r="AH2192" s="23" t="n">
        <v>1</v>
      </c>
      <c r="AI2192" s="23" t="n">
        <v>1</v>
      </c>
      <c r="AJ2192" s="23" t="n">
        <v>0.4656</v>
      </c>
      <c r="AK2192" s="23" t="n">
        <v>0.5</v>
      </c>
      <c r="AL2192" s="23" t="n">
        <v>0</v>
      </c>
      <c r="AM2192" s="16" t="n">
        <f aca="false">COUNTIFS($D$2:$D$2501,D2192,$G$2:$G$2501,"&gt;"&amp;G2192)+COUNTIFS($D$2:D2192,D2192,$G$2:G2192,G2192)</f>
        <v>343</v>
      </c>
      <c r="AN2192" s="5" t="str">
        <f aca="false">D2192&amp;"|"&amp;AM2192</f>
        <v>實體擷取與去識別化|343</v>
      </c>
    </row>
    <row r="2193" customFormat="false" ht="17.15" hidden="false" customHeight="false" outlineLevel="0" collapsed="false">
      <c r="A2193" s="16" t="n">
        <f aca="false">RANK(G2193,$G$2:$G$2501)+COUNTIF($G$2:G2193,G2193)-1</f>
        <v>2192</v>
      </c>
      <c r="B2193" s="11" t="s">
        <v>5375</v>
      </c>
      <c r="C2193" s="11" t="s">
        <v>1950</v>
      </c>
      <c r="D2193" s="5" t="s">
        <v>78</v>
      </c>
      <c r="E2193" s="5" t="s">
        <v>79</v>
      </c>
      <c r="F2193" s="5"/>
      <c r="G2193" s="22" t="n">
        <f aca="false">ROUND(SUM(I2193:P2193),3)</f>
        <v>48.478</v>
      </c>
      <c r="H2193" s="5" t="str">
        <f aca="false">IF(G2193&gt;=評分方法!$C$16,"優先評估",IF(G2193&gt;=評分方法!$C$17,"列入候選",IF(G2193&gt;=評分方法!$C$18,"特定情境","不建議")))</f>
        <v>不建議</v>
      </c>
      <c r="I2193" s="15" t="n">
        <f aca="false">AE2193*評分方法!$C$5</f>
        <v>9</v>
      </c>
      <c r="J2193" s="15" t="n">
        <f aca="false">AF2193*評分方法!$C$6</f>
        <v>0</v>
      </c>
      <c r="K2193" s="15" t="n">
        <f aca="false">AG2193*評分方法!$C$7</f>
        <v>4.95</v>
      </c>
      <c r="L2193" s="15" t="n">
        <f aca="false">AH2193*評分方法!$C$8</f>
        <v>15</v>
      </c>
      <c r="M2193" s="15" t="n">
        <f aca="false">AI2193*評分方法!$C$9</f>
        <v>10</v>
      </c>
      <c r="N2193" s="15" t="n">
        <f aca="false">AJ2193*評分方法!$C$10</f>
        <v>3.028</v>
      </c>
      <c r="O2193" s="15" t="n">
        <f aca="false">AK2193*評分方法!$C$11</f>
        <v>5</v>
      </c>
      <c r="P2193" s="15" t="n">
        <f aca="false">AL2193*評分方法!$C$12</f>
        <v>1.5</v>
      </c>
      <c r="Q2193" s="6" t="n">
        <v>298022</v>
      </c>
      <c r="R2193" s="6" t="n">
        <v>0</v>
      </c>
      <c r="S2193" s="11" t="s">
        <v>238</v>
      </c>
      <c r="T2193" s="11" t="s">
        <v>278</v>
      </c>
      <c r="U2193" s="5" t="s">
        <v>240</v>
      </c>
      <c r="V2193" s="11" t="s">
        <v>333</v>
      </c>
      <c r="W2193" s="5" t="s">
        <v>334</v>
      </c>
      <c r="X2193" s="5" t="s">
        <v>255</v>
      </c>
      <c r="Y2193" s="11" t="s">
        <v>2578</v>
      </c>
      <c r="Z2193" s="11" t="s">
        <v>244</v>
      </c>
      <c r="AA2193" s="11" t="s">
        <v>175</v>
      </c>
      <c r="AB2193" s="5" t="s">
        <v>496</v>
      </c>
      <c r="AC2193" s="5" t="s">
        <v>555</v>
      </c>
      <c r="AD2193" s="11" t="s">
        <v>5376</v>
      </c>
      <c r="AE2193" s="23" t="n">
        <v>0.3</v>
      </c>
      <c r="AF2193" s="23" t="n">
        <v>0</v>
      </c>
      <c r="AG2193" s="23" t="n">
        <v>0.33</v>
      </c>
      <c r="AH2193" s="23" t="n">
        <v>1</v>
      </c>
      <c r="AI2193" s="23" t="n">
        <v>1</v>
      </c>
      <c r="AJ2193" s="23" t="n">
        <v>0.3028</v>
      </c>
      <c r="AK2193" s="23" t="n">
        <v>1</v>
      </c>
      <c r="AL2193" s="23" t="n">
        <v>0.3</v>
      </c>
      <c r="AM2193" s="16" t="n">
        <f aca="false">COUNTIFS($D$2:$D$2501,D2193,$G$2:$G$2501,"&gt;"&amp;G2193)+COUNTIFS($D$2:D2193,D2193,$G$2:G2193,G2193)</f>
        <v>75</v>
      </c>
      <c r="AN2193" s="5" t="str">
        <f aca="false">D2193&amp;"|"&amp;AM2193</f>
        <v>語音分析|75</v>
      </c>
    </row>
    <row r="2194" customFormat="false" ht="17.15" hidden="false" customHeight="false" outlineLevel="0" collapsed="false">
      <c r="A2194" s="16" t="n">
        <f aca="false">RANK(G2194,$G$2:$G$2501)+COUNTIF($G$2:G2194,G2194)-1</f>
        <v>2193</v>
      </c>
      <c r="B2194" s="11" t="s">
        <v>5377</v>
      </c>
      <c r="C2194" s="11" t="s">
        <v>4682</v>
      </c>
      <c r="D2194" s="5" t="s">
        <v>72</v>
      </c>
      <c r="E2194" s="5" t="s">
        <v>73</v>
      </c>
      <c r="F2194" s="5"/>
      <c r="G2194" s="22" t="n">
        <f aca="false">ROUND(SUM(I2194:P2194),3)</f>
        <v>48.454</v>
      </c>
      <c r="H2194" s="5" t="str">
        <f aca="false">IF(G2194&gt;=評分方法!$C$16,"優先評估",IF(G2194&gt;=評分方法!$C$17,"列入候選",IF(G2194&gt;=評分方法!$C$18,"特定情境","不建議")))</f>
        <v>不建議</v>
      </c>
      <c r="I2194" s="15" t="n">
        <f aca="false">AE2194*評分方法!$C$5</f>
        <v>15</v>
      </c>
      <c r="J2194" s="15" t="n">
        <f aca="false">AF2194*評分方法!$C$6</f>
        <v>0</v>
      </c>
      <c r="K2194" s="15" t="n">
        <f aca="false">AG2194*評分方法!$C$7</f>
        <v>4.95</v>
      </c>
      <c r="L2194" s="15" t="n">
        <f aca="false">AH2194*評分方法!$C$8</f>
        <v>15</v>
      </c>
      <c r="M2194" s="15" t="n">
        <f aca="false">AI2194*評分方法!$C$9</f>
        <v>10</v>
      </c>
      <c r="N2194" s="15" t="n">
        <f aca="false">AJ2194*評分方法!$C$10</f>
        <v>1.004</v>
      </c>
      <c r="O2194" s="15" t="n">
        <f aca="false">AK2194*評分方法!$C$11</f>
        <v>2.5</v>
      </c>
      <c r="P2194" s="15" t="n">
        <f aca="false">AL2194*評分方法!$C$12</f>
        <v>0</v>
      </c>
      <c r="Q2194" s="6" t="n">
        <v>153561</v>
      </c>
      <c r="R2194" s="6" t="n">
        <v>315304960</v>
      </c>
      <c r="S2194" s="11" t="s">
        <v>238</v>
      </c>
      <c r="T2194" s="11" t="s">
        <v>278</v>
      </c>
      <c r="U2194" s="5" t="s">
        <v>240</v>
      </c>
      <c r="V2194" s="11" t="s">
        <v>261</v>
      </c>
      <c r="W2194" s="5" t="s">
        <v>334</v>
      </c>
      <c r="X2194" s="5" t="s">
        <v>242</v>
      </c>
      <c r="Y2194" s="5"/>
      <c r="Z2194" s="5"/>
      <c r="AA2194" s="11" t="s">
        <v>162</v>
      </c>
      <c r="AB2194" s="5" t="s">
        <v>245</v>
      </c>
      <c r="AC2194" s="5"/>
      <c r="AD2194" s="11" t="s">
        <v>5378</v>
      </c>
      <c r="AE2194" s="23" t="n">
        <v>0.5</v>
      </c>
      <c r="AF2194" s="23" t="n">
        <v>0</v>
      </c>
      <c r="AG2194" s="23" t="n">
        <v>0.33</v>
      </c>
      <c r="AH2194" s="23" t="n">
        <v>1</v>
      </c>
      <c r="AI2194" s="23" t="n">
        <v>1</v>
      </c>
      <c r="AJ2194" s="23" t="n">
        <v>0.1004</v>
      </c>
      <c r="AK2194" s="23" t="n">
        <v>0.5</v>
      </c>
      <c r="AL2194" s="23" t="n">
        <v>0</v>
      </c>
      <c r="AM2194" s="16" t="n">
        <f aca="false">COUNTIFS($D$2:$D$2501,D2194,$G$2:$G$2501,"&gt;"&amp;G2194)+COUNTIFS($D$2:D2194,D2194,$G$2:G2194,G2194)</f>
        <v>45</v>
      </c>
      <c r="AN2194" s="5" t="str">
        <f aca="false">D2194&amp;"|"&amp;AM2194</f>
        <v>微調基底模型|45</v>
      </c>
    </row>
    <row r="2195" customFormat="false" ht="17.15" hidden="false" customHeight="false" outlineLevel="0" collapsed="false">
      <c r="A2195" s="16" t="n">
        <f aca="false">RANK(G2195,$G$2:$G$2501)+COUNTIF($G$2:G2195,G2195)-1</f>
        <v>2194</v>
      </c>
      <c r="B2195" s="11" t="s">
        <v>5379</v>
      </c>
      <c r="C2195" s="11" t="s">
        <v>402</v>
      </c>
      <c r="D2195" s="5" t="s">
        <v>58</v>
      </c>
      <c r="E2195" s="5" t="s">
        <v>59</v>
      </c>
      <c r="F2195" s="5"/>
      <c r="G2195" s="22" t="n">
        <f aca="false">ROUND(SUM(I2195:P2195),3)</f>
        <v>48.434</v>
      </c>
      <c r="H2195" s="5" t="str">
        <f aca="false">IF(G2195&gt;=評分方法!$C$16,"優先評估",IF(G2195&gt;=評分方法!$C$17,"列入候選",IF(G2195&gt;=評分方法!$C$18,"特定情境","不建議")))</f>
        <v>不建議</v>
      </c>
      <c r="I2195" s="15" t="n">
        <f aca="false">AE2195*評分方法!$C$5</f>
        <v>11.4</v>
      </c>
      <c r="J2195" s="15" t="n">
        <f aca="false">AF2195*評分方法!$C$6</f>
        <v>0</v>
      </c>
      <c r="K2195" s="15" t="n">
        <f aca="false">AG2195*評分方法!$C$7</f>
        <v>4.95</v>
      </c>
      <c r="L2195" s="15" t="n">
        <f aca="false">AH2195*評分方法!$C$8</f>
        <v>15</v>
      </c>
      <c r="M2195" s="15" t="n">
        <f aca="false">AI2195*評分方法!$C$9</f>
        <v>10</v>
      </c>
      <c r="N2195" s="15" t="n">
        <f aca="false">AJ2195*評分方法!$C$10</f>
        <v>4.584</v>
      </c>
      <c r="O2195" s="15" t="n">
        <f aca="false">AK2195*評分方法!$C$11</f>
        <v>2.5</v>
      </c>
      <c r="P2195" s="15" t="n">
        <f aca="false">AL2195*評分方法!$C$12</f>
        <v>0</v>
      </c>
      <c r="Q2195" s="6" t="n">
        <v>499403</v>
      </c>
      <c r="R2195" s="6" t="n">
        <v>108900107</v>
      </c>
      <c r="S2195" s="11" t="s">
        <v>238</v>
      </c>
      <c r="T2195" s="11" t="s">
        <v>239</v>
      </c>
      <c r="U2195" s="5" t="s">
        <v>240</v>
      </c>
      <c r="V2195" s="11" t="s">
        <v>261</v>
      </c>
      <c r="W2195" s="5" t="s">
        <v>334</v>
      </c>
      <c r="X2195" s="5" t="s">
        <v>242</v>
      </c>
      <c r="Y2195" s="5"/>
      <c r="Z2195" s="5"/>
      <c r="AA2195" s="11" t="s">
        <v>150</v>
      </c>
      <c r="AB2195" s="5" t="s">
        <v>245</v>
      </c>
      <c r="AC2195" s="5" t="s">
        <v>3044</v>
      </c>
      <c r="AD2195" s="11" t="s">
        <v>5380</v>
      </c>
      <c r="AE2195" s="23" t="n">
        <v>0.38</v>
      </c>
      <c r="AF2195" s="23" t="n">
        <v>0</v>
      </c>
      <c r="AG2195" s="23" t="n">
        <v>0.33</v>
      </c>
      <c r="AH2195" s="23" t="n">
        <v>1</v>
      </c>
      <c r="AI2195" s="23" t="n">
        <v>1</v>
      </c>
      <c r="AJ2195" s="23" t="n">
        <v>0.4584</v>
      </c>
      <c r="AK2195" s="23" t="n">
        <v>0.5</v>
      </c>
      <c r="AL2195" s="23" t="n">
        <v>0</v>
      </c>
      <c r="AM2195" s="16" t="n">
        <f aca="false">COUNTIFS($D$2:$D$2501,D2195,$G$2:$G$2501,"&gt;"&amp;G2195)+COUNTIFS($D$2:D2195,D2195,$G$2:G2195,G2195)</f>
        <v>344</v>
      </c>
      <c r="AN2195" s="5" t="str">
        <f aca="false">D2195&amp;"|"&amp;AM2195</f>
        <v>實體擷取與去識別化|344</v>
      </c>
    </row>
    <row r="2196" customFormat="false" ht="17.15" hidden="false" customHeight="false" outlineLevel="0" collapsed="false">
      <c r="A2196" s="16" t="n">
        <f aca="false">RANK(G2196,$G$2:$G$2501)+COUNTIF($G$2:G2196,G2196)-1</f>
        <v>2195</v>
      </c>
      <c r="B2196" s="11" t="s">
        <v>5381</v>
      </c>
      <c r="C2196" s="11" t="s">
        <v>402</v>
      </c>
      <c r="D2196" s="5" t="s">
        <v>58</v>
      </c>
      <c r="E2196" s="5" t="s">
        <v>59</v>
      </c>
      <c r="F2196" s="5"/>
      <c r="G2196" s="22" t="n">
        <f aca="false">ROUND(SUM(I2196:P2196),3)</f>
        <v>48.422</v>
      </c>
      <c r="H2196" s="5" t="str">
        <f aca="false">IF(G2196&gt;=評分方法!$C$16,"優先評估",IF(G2196&gt;=評分方法!$C$17,"列入候選",IF(G2196&gt;=評分方法!$C$18,"特定情境","不建議")))</f>
        <v>不建議</v>
      </c>
      <c r="I2196" s="15" t="n">
        <f aca="false">AE2196*評分方法!$C$5</f>
        <v>11.4</v>
      </c>
      <c r="J2196" s="15" t="n">
        <f aca="false">AF2196*評分方法!$C$6</f>
        <v>0</v>
      </c>
      <c r="K2196" s="15" t="n">
        <f aca="false">AG2196*評分方法!$C$7</f>
        <v>4.95</v>
      </c>
      <c r="L2196" s="15" t="n">
        <f aca="false">AH2196*評分方法!$C$8</f>
        <v>15</v>
      </c>
      <c r="M2196" s="15" t="n">
        <f aca="false">AI2196*評分方法!$C$9</f>
        <v>10</v>
      </c>
      <c r="N2196" s="15" t="n">
        <f aca="false">AJ2196*評分方法!$C$10</f>
        <v>4.572</v>
      </c>
      <c r="O2196" s="15" t="n">
        <f aca="false">AK2196*評分方法!$C$11</f>
        <v>2.5</v>
      </c>
      <c r="P2196" s="15" t="n">
        <f aca="false">AL2196*評分方法!$C$12</f>
        <v>0</v>
      </c>
      <c r="Q2196" s="6" t="n">
        <v>498047</v>
      </c>
      <c r="R2196" s="6" t="n">
        <v>108893955</v>
      </c>
      <c r="S2196" s="11" t="s">
        <v>238</v>
      </c>
      <c r="T2196" s="11" t="s">
        <v>239</v>
      </c>
      <c r="U2196" s="5" t="s">
        <v>240</v>
      </c>
      <c r="V2196" s="11" t="s">
        <v>261</v>
      </c>
      <c r="W2196" s="5" t="s">
        <v>334</v>
      </c>
      <c r="X2196" s="5" t="s">
        <v>242</v>
      </c>
      <c r="Y2196" s="5"/>
      <c r="Z2196" s="5"/>
      <c r="AA2196" s="11" t="s">
        <v>150</v>
      </c>
      <c r="AB2196" s="5" t="s">
        <v>245</v>
      </c>
      <c r="AC2196" s="5" t="s">
        <v>3044</v>
      </c>
      <c r="AD2196" s="11" t="s">
        <v>5382</v>
      </c>
      <c r="AE2196" s="23" t="n">
        <v>0.38</v>
      </c>
      <c r="AF2196" s="23" t="n">
        <v>0</v>
      </c>
      <c r="AG2196" s="23" t="n">
        <v>0.33</v>
      </c>
      <c r="AH2196" s="23" t="n">
        <v>1</v>
      </c>
      <c r="AI2196" s="23" t="n">
        <v>1</v>
      </c>
      <c r="AJ2196" s="23" t="n">
        <v>0.4572</v>
      </c>
      <c r="AK2196" s="23" t="n">
        <v>0.5</v>
      </c>
      <c r="AL2196" s="23" t="n">
        <v>0</v>
      </c>
      <c r="AM2196" s="16" t="n">
        <f aca="false">COUNTIFS($D$2:$D$2501,D2196,$G$2:$G$2501,"&gt;"&amp;G2196)+COUNTIFS($D$2:D2196,D2196,$G$2:G2196,G2196)</f>
        <v>345</v>
      </c>
      <c r="AN2196" s="5" t="str">
        <f aca="false">D2196&amp;"|"&amp;AM2196</f>
        <v>實體擷取與去識別化|345</v>
      </c>
    </row>
    <row r="2197" customFormat="false" ht="17.15" hidden="false" customHeight="false" outlineLevel="0" collapsed="false">
      <c r="A2197" s="16" t="n">
        <f aca="false">RANK(G2197,$G$2:$G$2501)+COUNTIF($G$2:G2197,G2197)-1</f>
        <v>2196</v>
      </c>
      <c r="B2197" s="11" t="s">
        <v>5383</v>
      </c>
      <c r="C2197" s="11" t="s">
        <v>402</v>
      </c>
      <c r="D2197" s="5" t="s">
        <v>58</v>
      </c>
      <c r="E2197" s="5" t="s">
        <v>59</v>
      </c>
      <c r="F2197" s="5"/>
      <c r="G2197" s="22" t="n">
        <f aca="false">ROUND(SUM(I2197:P2197),3)</f>
        <v>48.382</v>
      </c>
      <c r="H2197" s="5" t="str">
        <f aca="false">IF(G2197&gt;=評分方法!$C$16,"優先評估",IF(G2197&gt;=評分方法!$C$17,"列入候選",IF(G2197&gt;=評分方法!$C$18,"特定情境","不建議")))</f>
        <v>不建議</v>
      </c>
      <c r="I2197" s="15" t="n">
        <f aca="false">AE2197*評分方法!$C$5</f>
        <v>11.4</v>
      </c>
      <c r="J2197" s="15" t="n">
        <f aca="false">AF2197*評分方法!$C$6</f>
        <v>0</v>
      </c>
      <c r="K2197" s="15" t="n">
        <f aca="false">AG2197*評分方法!$C$7</f>
        <v>4.95</v>
      </c>
      <c r="L2197" s="15" t="n">
        <f aca="false">AH2197*評分方法!$C$8</f>
        <v>15</v>
      </c>
      <c r="M2197" s="15" t="n">
        <f aca="false">AI2197*評分方法!$C$9</f>
        <v>10</v>
      </c>
      <c r="N2197" s="15" t="n">
        <f aca="false">AJ2197*評分方法!$C$10</f>
        <v>4.532</v>
      </c>
      <c r="O2197" s="15" t="n">
        <f aca="false">AK2197*評分方法!$C$11</f>
        <v>2.5</v>
      </c>
      <c r="P2197" s="15" t="n">
        <f aca="false">AL2197*評分方法!$C$12</f>
        <v>0</v>
      </c>
      <c r="Q2197" s="6" t="n">
        <v>494725</v>
      </c>
      <c r="R2197" s="6" t="n">
        <v>108893955</v>
      </c>
      <c r="S2197" s="11" t="s">
        <v>238</v>
      </c>
      <c r="T2197" s="11" t="s">
        <v>239</v>
      </c>
      <c r="U2197" s="5" t="s">
        <v>240</v>
      </c>
      <c r="V2197" s="11" t="s">
        <v>261</v>
      </c>
      <c r="W2197" s="5" t="s">
        <v>334</v>
      </c>
      <c r="X2197" s="5" t="s">
        <v>242</v>
      </c>
      <c r="Y2197" s="5"/>
      <c r="Z2197" s="5"/>
      <c r="AA2197" s="11" t="s">
        <v>150</v>
      </c>
      <c r="AB2197" s="5" t="s">
        <v>245</v>
      </c>
      <c r="AC2197" s="5" t="s">
        <v>3044</v>
      </c>
      <c r="AD2197" s="11" t="s">
        <v>5384</v>
      </c>
      <c r="AE2197" s="23" t="n">
        <v>0.38</v>
      </c>
      <c r="AF2197" s="23" t="n">
        <v>0</v>
      </c>
      <c r="AG2197" s="23" t="n">
        <v>0.33</v>
      </c>
      <c r="AH2197" s="23" t="n">
        <v>1</v>
      </c>
      <c r="AI2197" s="23" t="n">
        <v>1</v>
      </c>
      <c r="AJ2197" s="23" t="n">
        <v>0.4532</v>
      </c>
      <c r="AK2197" s="23" t="n">
        <v>0.5</v>
      </c>
      <c r="AL2197" s="23" t="n">
        <v>0</v>
      </c>
      <c r="AM2197" s="16" t="n">
        <f aca="false">COUNTIFS($D$2:$D$2501,D2197,$G$2:$G$2501,"&gt;"&amp;G2197)+COUNTIFS($D$2:D2197,D2197,$G$2:G2197,G2197)</f>
        <v>346</v>
      </c>
      <c r="AN2197" s="5" t="str">
        <f aca="false">D2197&amp;"|"&amp;AM2197</f>
        <v>實體擷取與去識別化|346</v>
      </c>
    </row>
    <row r="2198" customFormat="false" ht="17.15" hidden="false" customHeight="false" outlineLevel="0" collapsed="false">
      <c r="A2198" s="16" t="n">
        <f aca="false">RANK(G2198,$G$2:$G$2501)+COUNTIF($G$2:G2198,G2198)-1</f>
        <v>2197</v>
      </c>
      <c r="B2198" s="11" t="s">
        <v>5385</v>
      </c>
      <c r="C2198" s="11" t="s">
        <v>4046</v>
      </c>
      <c r="D2198" s="5" t="s">
        <v>78</v>
      </c>
      <c r="E2198" s="5" t="s">
        <v>79</v>
      </c>
      <c r="F2198" s="5"/>
      <c r="G2198" s="22" t="n">
        <f aca="false">ROUND(SUM(I2198:P2198),3)</f>
        <v>48.376</v>
      </c>
      <c r="H2198" s="5" t="str">
        <f aca="false">IF(G2198&gt;=評分方法!$C$16,"優先評估",IF(G2198&gt;=評分方法!$C$17,"列入候選",IF(G2198&gt;=評分方法!$C$18,"特定情境","不建議")))</f>
        <v>不建議</v>
      </c>
      <c r="I2198" s="15" t="n">
        <f aca="false">AE2198*評分方法!$C$5</f>
        <v>9</v>
      </c>
      <c r="J2198" s="15" t="n">
        <f aca="false">AF2198*評分方法!$C$6</f>
        <v>0</v>
      </c>
      <c r="K2198" s="15" t="n">
        <f aca="false">AG2198*評分方法!$C$7</f>
        <v>4.95</v>
      </c>
      <c r="L2198" s="15" t="n">
        <f aca="false">AH2198*評分方法!$C$8</f>
        <v>13.05</v>
      </c>
      <c r="M2198" s="15" t="n">
        <f aca="false">AI2198*評分方法!$C$9</f>
        <v>10</v>
      </c>
      <c r="N2198" s="15" t="n">
        <f aca="false">AJ2198*評分方法!$C$10</f>
        <v>1.376</v>
      </c>
      <c r="O2198" s="15" t="n">
        <f aca="false">AK2198*評分方法!$C$11</f>
        <v>5</v>
      </c>
      <c r="P2198" s="15" t="n">
        <f aca="false">AL2198*評分方法!$C$12</f>
        <v>5</v>
      </c>
      <c r="Q2198" s="6" t="n">
        <v>173010</v>
      </c>
      <c r="R2198" s="6" t="n">
        <v>2254656316</v>
      </c>
      <c r="S2198" s="11" t="s">
        <v>254</v>
      </c>
      <c r="T2198" s="11" t="s">
        <v>239</v>
      </c>
      <c r="U2198" s="5" t="s">
        <v>240</v>
      </c>
      <c r="V2198" s="11" t="s">
        <v>333</v>
      </c>
      <c r="W2198" s="5" t="s">
        <v>334</v>
      </c>
      <c r="X2198" s="5" t="s">
        <v>284</v>
      </c>
      <c r="Y2198" s="11" t="s">
        <v>5386</v>
      </c>
      <c r="Z2198" s="11" t="s">
        <v>244</v>
      </c>
      <c r="AA2198" s="11" t="s">
        <v>175</v>
      </c>
      <c r="AB2198" s="5" t="s">
        <v>245</v>
      </c>
      <c r="AC2198" s="5" t="s">
        <v>246</v>
      </c>
      <c r="AD2198" s="11" t="s">
        <v>5387</v>
      </c>
      <c r="AE2198" s="23" t="n">
        <v>0.3</v>
      </c>
      <c r="AF2198" s="23" t="n">
        <v>0</v>
      </c>
      <c r="AG2198" s="23" t="n">
        <v>0.33</v>
      </c>
      <c r="AH2198" s="23" t="n">
        <v>0.87</v>
      </c>
      <c r="AI2198" s="23" t="n">
        <v>1</v>
      </c>
      <c r="AJ2198" s="23" t="n">
        <v>0.1376</v>
      </c>
      <c r="AK2198" s="23" t="n">
        <v>1</v>
      </c>
      <c r="AL2198" s="23" t="n">
        <v>1</v>
      </c>
      <c r="AM2198" s="16" t="n">
        <f aca="false">COUNTIFS($D$2:$D$2501,D2198,$G$2:$G$2501,"&gt;"&amp;G2198)+COUNTIFS($D$2:D2198,D2198,$G$2:G2198,G2198)</f>
        <v>76</v>
      </c>
      <c r="AN2198" s="5" t="str">
        <f aca="false">D2198&amp;"|"&amp;AM2198</f>
        <v>語音分析|76</v>
      </c>
    </row>
    <row r="2199" customFormat="false" ht="17.15" hidden="false" customHeight="false" outlineLevel="0" collapsed="false">
      <c r="A2199" s="16" t="n">
        <f aca="false">RANK(G2199,$G$2:$G$2501)+COUNTIF($G$2:G2199,G2199)-1</f>
        <v>2198</v>
      </c>
      <c r="B2199" s="11" t="s">
        <v>5388</v>
      </c>
      <c r="C2199" s="11" t="s">
        <v>402</v>
      </c>
      <c r="D2199" s="5" t="s">
        <v>58</v>
      </c>
      <c r="E2199" s="5" t="s">
        <v>59</v>
      </c>
      <c r="F2199" s="5"/>
      <c r="G2199" s="22" t="n">
        <f aca="false">ROUND(SUM(I2199:P2199),3)</f>
        <v>48.37</v>
      </c>
      <c r="H2199" s="5" t="str">
        <f aca="false">IF(G2199&gt;=評分方法!$C$16,"優先評估",IF(G2199&gt;=評分方法!$C$17,"列入候選",IF(G2199&gt;=評分方法!$C$18,"特定情境","不建議")))</f>
        <v>不建議</v>
      </c>
      <c r="I2199" s="15" t="n">
        <f aca="false">AE2199*評分方法!$C$5</f>
        <v>11.4</v>
      </c>
      <c r="J2199" s="15" t="n">
        <f aca="false">AF2199*評分方法!$C$6</f>
        <v>0</v>
      </c>
      <c r="K2199" s="15" t="n">
        <f aca="false">AG2199*評分方法!$C$7</f>
        <v>4.95</v>
      </c>
      <c r="L2199" s="15" t="n">
        <f aca="false">AH2199*評分方法!$C$8</f>
        <v>15</v>
      </c>
      <c r="M2199" s="15" t="n">
        <f aca="false">AI2199*評分方法!$C$9</f>
        <v>10</v>
      </c>
      <c r="N2199" s="15" t="n">
        <f aca="false">AJ2199*評分方法!$C$10</f>
        <v>4.52</v>
      </c>
      <c r="O2199" s="15" t="n">
        <f aca="false">AK2199*評分方法!$C$11</f>
        <v>2.5</v>
      </c>
      <c r="P2199" s="15" t="n">
        <f aca="false">AL2199*評分方法!$C$12</f>
        <v>0</v>
      </c>
      <c r="Q2199" s="6" t="n">
        <v>493004</v>
      </c>
      <c r="R2199" s="6" t="n">
        <v>108900107</v>
      </c>
      <c r="S2199" s="11" t="s">
        <v>238</v>
      </c>
      <c r="T2199" s="11" t="s">
        <v>239</v>
      </c>
      <c r="U2199" s="5" t="s">
        <v>240</v>
      </c>
      <c r="V2199" s="11" t="s">
        <v>261</v>
      </c>
      <c r="W2199" s="5" t="s">
        <v>334</v>
      </c>
      <c r="X2199" s="5" t="s">
        <v>242</v>
      </c>
      <c r="Y2199" s="5"/>
      <c r="Z2199" s="5"/>
      <c r="AA2199" s="11" t="s">
        <v>150</v>
      </c>
      <c r="AB2199" s="5" t="s">
        <v>245</v>
      </c>
      <c r="AC2199" s="5" t="s">
        <v>3044</v>
      </c>
      <c r="AD2199" s="11" t="s">
        <v>5389</v>
      </c>
      <c r="AE2199" s="23" t="n">
        <v>0.38</v>
      </c>
      <c r="AF2199" s="23" t="n">
        <v>0</v>
      </c>
      <c r="AG2199" s="23" t="n">
        <v>0.33</v>
      </c>
      <c r="AH2199" s="23" t="n">
        <v>1</v>
      </c>
      <c r="AI2199" s="23" t="n">
        <v>1</v>
      </c>
      <c r="AJ2199" s="23" t="n">
        <v>0.452</v>
      </c>
      <c r="AK2199" s="23" t="n">
        <v>0.5</v>
      </c>
      <c r="AL2199" s="23" t="n">
        <v>0</v>
      </c>
      <c r="AM2199" s="16" t="n">
        <f aca="false">COUNTIFS($D$2:$D$2501,D2199,$G$2:$G$2501,"&gt;"&amp;G2199)+COUNTIFS($D$2:D2199,D2199,$G$2:G2199,G2199)</f>
        <v>347</v>
      </c>
      <c r="AN2199" s="5" t="str">
        <f aca="false">D2199&amp;"|"&amp;AM2199</f>
        <v>實體擷取與去識別化|347</v>
      </c>
    </row>
    <row r="2200" customFormat="false" ht="17.15" hidden="false" customHeight="false" outlineLevel="0" collapsed="false">
      <c r="A2200" s="16" t="n">
        <f aca="false">RANK(G2200,$G$2:$G$2501)+COUNTIF($G$2:G2200,G2200)-1</f>
        <v>2199</v>
      </c>
      <c r="B2200" s="11" t="s">
        <v>5390</v>
      </c>
      <c r="C2200" s="11" t="s">
        <v>402</v>
      </c>
      <c r="D2200" s="5" t="s">
        <v>58</v>
      </c>
      <c r="E2200" s="5" t="s">
        <v>59</v>
      </c>
      <c r="F2200" s="5"/>
      <c r="G2200" s="22" t="n">
        <f aca="false">ROUND(SUM(I2200:P2200),3)</f>
        <v>48.362</v>
      </c>
      <c r="H2200" s="5" t="str">
        <f aca="false">IF(G2200&gt;=評分方法!$C$16,"優先評估",IF(G2200&gt;=評分方法!$C$17,"列入候選",IF(G2200&gt;=評分方法!$C$18,"特定情境","不建議")))</f>
        <v>不建議</v>
      </c>
      <c r="I2200" s="15" t="n">
        <f aca="false">AE2200*評分方法!$C$5</f>
        <v>11.4</v>
      </c>
      <c r="J2200" s="15" t="n">
        <f aca="false">AF2200*評分方法!$C$6</f>
        <v>0</v>
      </c>
      <c r="K2200" s="15" t="n">
        <f aca="false">AG2200*評分方法!$C$7</f>
        <v>4.95</v>
      </c>
      <c r="L2200" s="15" t="n">
        <f aca="false">AH2200*評分方法!$C$8</f>
        <v>15</v>
      </c>
      <c r="M2200" s="15" t="n">
        <f aca="false">AI2200*評分方法!$C$9</f>
        <v>10</v>
      </c>
      <c r="N2200" s="15" t="n">
        <f aca="false">AJ2200*評分方法!$C$10</f>
        <v>4.512</v>
      </c>
      <c r="O2200" s="15" t="n">
        <f aca="false">AK2200*評分方法!$C$11</f>
        <v>2.5</v>
      </c>
      <c r="P2200" s="15" t="n">
        <f aca="false">AL2200*評分方法!$C$12</f>
        <v>0</v>
      </c>
      <c r="Q2200" s="6" t="n">
        <v>492202</v>
      </c>
      <c r="R2200" s="6" t="n">
        <v>108917025</v>
      </c>
      <c r="S2200" s="11" t="s">
        <v>238</v>
      </c>
      <c r="T2200" s="11" t="s">
        <v>239</v>
      </c>
      <c r="U2200" s="5" t="s">
        <v>240</v>
      </c>
      <c r="V2200" s="11" t="s">
        <v>261</v>
      </c>
      <c r="W2200" s="5" t="s">
        <v>334</v>
      </c>
      <c r="X2200" s="5" t="s">
        <v>242</v>
      </c>
      <c r="Y2200" s="5"/>
      <c r="Z2200" s="5"/>
      <c r="AA2200" s="11" t="s">
        <v>150</v>
      </c>
      <c r="AB2200" s="5" t="s">
        <v>245</v>
      </c>
      <c r="AC2200" s="5" t="s">
        <v>3044</v>
      </c>
      <c r="AD2200" s="11" t="s">
        <v>5391</v>
      </c>
      <c r="AE2200" s="23" t="n">
        <v>0.38</v>
      </c>
      <c r="AF2200" s="23" t="n">
        <v>0</v>
      </c>
      <c r="AG2200" s="23" t="n">
        <v>0.33</v>
      </c>
      <c r="AH2200" s="23" t="n">
        <v>1</v>
      </c>
      <c r="AI2200" s="23" t="n">
        <v>1</v>
      </c>
      <c r="AJ2200" s="23" t="n">
        <v>0.4512</v>
      </c>
      <c r="AK2200" s="23" t="n">
        <v>0.5</v>
      </c>
      <c r="AL2200" s="23" t="n">
        <v>0</v>
      </c>
      <c r="AM2200" s="16" t="n">
        <f aca="false">COUNTIFS($D$2:$D$2501,D2200,$G$2:$G$2501,"&gt;"&amp;G2200)+COUNTIFS($D$2:D2200,D2200,$G$2:G2200,G2200)</f>
        <v>348</v>
      </c>
      <c r="AN2200" s="5" t="str">
        <f aca="false">D2200&amp;"|"&amp;AM2200</f>
        <v>實體擷取與去識別化|348</v>
      </c>
    </row>
    <row r="2201" customFormat="false" ht="17.15" hidden="false" customHeight="false" outlineLevel="0" collapsed="false">
      <c r="A2201" s="16" t="n">
        <f aca="false">RANK(G2201,$G$2:$G$2501)+COUNTIF($G$2:G2201,G2201)-1</f>
        <v>2200</v>
      </c>
      <c r="B2201" s="11" t="s">
        <v>5392</v>
      </c>
      <c r="C2201" s="11" t="s">
        <v>402</v>
      </c>
      <c r="D2201" s="5" t="s">
        <v>58</v>
      </c>
      <c r="E2201" s="5" t="s">
        <v>59</v>
      </c>
      <c r="F2201" s="5"/>
      <c r="G2201" s="22" t="n">
        <f aca="false">ROUND(SUM(I2201:P2201),3)</f>
        <v>48.358</v>
      </c>
      <c r="H2201" s="5" t="str">
        <f aca="false">IF(G2201&gt;=評分方法!$C$16,"優先評估",IF(G2201&gt;=評分方法!$C$17,"列入候選",IF(G2201&gt;=評分方法!$C$18,"特定情境","不建議")))</f>
        <v>不建議</v>
      </c>
      <c r="I2201" s="15" t="n">
        <f aca="false">AE2201*評分方法!$C$5</f>
        <v>11.4</v>
      </c>
      <c r="J2201" s="15" t="n">
        <f aca="false">AF2201*評分方法!$C$6</f>
        <v>0</v>
      </c>
      <c r="K2201" s="15" t="n">
        <f aca="false">AG2201*評分方法!$C$7</f>
        <v>4.95</v>
      </c>
      <c r="L2201" s="15" t="n">
        <f aca="false">AH2201*評分方法!$C$8</f>
        <v>15</v>
      </c>
      <c r="M2201" s="15" t="n">
        <f aca="false">AI2201*評分方法!$C$9</f>
        <v>10</v>
      </c>
      <c r="N2201" s="15" t="n">
        <f aca="false">AJ2201*評分方法!$C$10</f>
        <v>4.508</v>
      </c>
      <c r="O2201" s="15" t="n">
        <f aca="false">AK2201*評分方法!$C$11</f>
        <v>2.5</v>
      </c>
      <c r="P2201" s="15" t="n">
        <f aca="false">AL2201*評分方法!$C$12</f>
        <v>0</v>
      </c>
      <c r="Q2201" s="6" t="n">
        <v>491801</v>
      </c>
      <c r="R2201" s="6" t="n">
        <v>334103563</v>
      </c>
      <c r="S2201" s="11" t="s">
        <v>238</v>
      </c>
      <c r="T2201" s="11" t="s">
        <v>239</v>
      </c>
      <c r="U2201" s="5" t="s">
        <v>240</v>
      </c>
      <c r="V2201" s="11" t="s">
        <v>261</v>
      </c>
      <c r="W2201" s="5" t="s">
        <v>334</v>
      </c>
      <c r="X2201" s="5" t="s">
        <v>242</v>
      </c>
      <c r="Y2201" s="5"/>
      <c r="Z2201" s="5"/>
      <c r="AA2201" s="11" t="s">
        <v>150</v>
      </c>
      <c r="AB2201" s="5" t="s">
        <v>245</v>
      </c>
      <c r="AC2201" s="5" t="s">
        <v>3044</v>
      </c>
      <c r="AD2201" s="11" t="s">
        <v>5393</v>
      </c>
      <c r="AE2201" s="23" t="n">
        <v>0.38</v>
      </c>
      <c r="AF2201" s="23" t="n">
        <v>0</v>
      </c>
      <c r="AG2201" s="23" t="n">
        <v>0.33</v>
      </c>
      <c r="AH2201" s="23" t="n">
        <v>1</v>
      </c>
      <c r="AI2201" s="23" t="n">
        <v>1</v>
      </c>
      <c r="AJ2201" s="23" t="n">
        <v>0.4508</v>
      </c>
      <c r="AK2201" s="23" t="n">
        <v>0.5</v>
      </c>
      <c r="AL2201" s="23" t="n">
        <v>0</v>
      </c>
      <c r="AM2201" s="16" t="n">
        <f aca="false">COUNTIFS($D$2:$D$2501,D2201,$G$2:$G$2501,"&gt;"&amp;G2201)+COUNTIFS($D$2:D2201,D2201,$G$2:G2201,G2201)</f>
        <v>349</v>
      </c>
      <c r="AN2201" s="5" t="str">
        <f aca="false">D2201&amp;"|"&amp;AM2201</f>
        <v>實體擷取與去識別化|349</v>
      </c>
    </row>
    <row r="2202" customFormat="false" ht="17.15" hidden="false" customHeight="false" outlineLevel="0" collapsed="false">
      <c r="A2202" s="16" t="n">
        <f aca="false">RANK(G2202,$G$2:$G$2501)+COUNTIF($G$2:G2202,G2202)-1</f>
        <v>2201</v>
      </c>
      <c r="B2202" s="11" t="s">
        <v>5394</v>
      </c>
      <c r="C2202" s="11" t="s">
        <v>753</v>
      </c>
      <c r="D2202" s="5" t="s">
        <v>56</v>
      </c>
      <c r="E2202" s="5" t="s">
        <v>57</v>
      </c>
      <c r="F2202" s="5"/>
      <c r="G2202" s="22" t="n">
        <f aca="false">ROUND(SUM(I2202:P2202),3)</f>
        <v>48.336</v>
      </c>
      <c r="H2202" s="5" t="str">
        <f aca="false">IF(G2202&gt;=評分方法!$C$16,"優先評估",IF(G2202&gt;=評分方法!$C$17,"列入候選",IF(G2202&gt;=評分方法!$C$18,"特定情境","不建議")))</f>
        <v>不建議</v>
      </c>
      <c r="I2202" s="15" t="n">
        <f aca="false">AE2202*評分方法!$C$5</f>
        <v>25.5</v>
      </c>
      <c r="J2202" s="15" t="n">
        <f aca="false">AF2202*評分方法!$C$6</f>
        <v>0</v>
      </c>
      <c r="K2202" s="15" t="n">
        <f aca="false">AG2202*評分方法!$C$7</f>
        <v>10.05</v>
      </c>
      <c r="L2202" s="15" t="n">
        <f aca="false">AH2202*評分方法!$C$8</f>
        <v>1.95</v>
      </c>
      <c r="M2202" s="15" t="n">
        <f aca="false">AI2202*評分方法!$C$9</f>
        <v>6</v>
      </c>
      <c r="N2202" s="15" t="n">
        <f aca="false">AJ2202*評分方法!$C$10</f>
        <v>2.336</v>
      </c>
      <c r="O2202" s="15" t="n">
        <f aca="false">AK2202*評分方法!$C$11</f>
        <v>2.5</v>
      </c>
      <c r="P2202" s="15" t="n">
        <f aca="false">AL2202*評分方法!$C$12</f>
        <v>0</v>
      </c>
      <c r="Q2202" s="6" t="n">
        <v>235327</v>
      </c>
      <c r="R2202" s="6" t="n">
        <v>107769861184</v>
      </c>
      <c r="S2202" s="11" t="s">
        <v>1616</v>
      </c>
      <c r="T2202" s="11" t="s">
        <v>185</v>
      </c>
      <c r="U2202" s="5" t="s">
        <v>260</v>
      </c>
      <c r="V2202" s="11" t="s">
        <v>333</v>
      </c>
      <c r="W2202" s="5" t="s">
        <v>207</v>
      </c>
      <c r="X2202" s="5" t="s">
        <v>242</v>
      </c>
      <c r="Y2202" s="11" t="s">
        <v>3049</v>
      </c>
      <c r="Z2202" s="11" t="s">
        <v>244</v>
      </c>
      <c r="AA2202" s="11" t="s">
        <v>156</v>
      </c>
      <c r="AB2202" s="5" t="s">
        <v>245</v>
      </c>
      <c r="AC2202" s="5" t="s">
        <v>464</v>
      </c>
      <c r="AD2202" s="11" t="s">
        <v>5395</v>
      </c>
      <c r="AE2202" s="23" t="n">
        <v>0.85</v>
      </c>
      <c r="AF2202" s="23" t="n">
        <v>0</v>
      </c>
      <c r="AG2202" s="23" t="n">
        <v>0.67</v>
      </c>
      <c r="AH2202" s="23" t="n">
        <v>0.13</v>
      </c>
      <c r="AI2202" s="23" t="n">
        <v>0.6</v>
      </c>
      <c r="AJ2202" s="23" t="n">
        <v>0.2336</v>
      </c>
      <c r="AK2202" s="23" t="n">
        <v>0.5</v>
      </c>
      <c r="AL2202" s="23" t="n">
        <v>0</v>
      </c>
      <c r="AM2202" s="16" t="n">
        <f aca="false">COUNTIFS($D$2:$D$2501,D2202,$G$2:$G$2501,"&gt;"&amp;G2202)+COUNTIFS($D$2:D2202,D2202,$G$2:G2202,G2202)</f>
        <v>959</v>
      </c>
      <c r="AN2202" s="5" t="str">
        <f aca="false">D2202&amp;"|"&amp;AM2202</f>
        <v>分析與報告生成|959</v>
      </c>
    </row>
    <row r="2203" customFormat="false" ht="17.15" hidden="false" customHeight="false" outlineLevel="0" collapsed="false">
      <c r="A2203" s="16" t="n">
        <f aca="false">RANK(G2203,$G$2:$G$2501)+COUNTIF($G$2:G2203,G2203)-1</f>
        <v>2202</v>
      </c>
      <c r="B2203" s="11" t="s">
        <v>5396</v>
      </c>
      <c r="C2203" s="11" t="s">
        <v>5397</v>
      </c>
      <c r="D2203" s="5" t="s">
        <v>72</v>
      </c>
      <c r="E2203" s="5" t="s">
        <v>73</v>
      </c>
      <c r="F2203" s="5"/>
      <c r="G2203" s="22" t="n">
        <f aca="false">ROUND(SUM(I2203:P2203),3)</f>
        <v>48.33</v>
      </c>
      <c r="H2203" s="5" t="str">
        <f aca="false">IF(G2203&gt;=評分方法!$C$16,"優先評估",IF(G2203&gt;=評分方法!$C$17,"列入候選",IF(G2203&gt;=評分方法!$C$18,"特定情境","不建議")))</f>
        <v>不建議</v>
      </c>
      <c r="I2203" s="15" t="n">
        <f aca="false">AE2203*評分方法!$C$5</f>
        <v>15</v>
      </c>
      <c r="J2203" s="15" t="n">
        <f aca="false">AF2203*評分方法!$C$6</f>
        <v>0</v>
      </c>
      <c r="K2203" s="15" t="n">
        <f aca="false">AG2203*評分方法!$C$7</f>
        <v>4.95</v>
      </c>
      <c r="L2203" s="15" t="n">
        <f aca="false">AH2203*評分方法!$C$8</f>
        <v>15</v>
      </c>
      <c r="M2203" s="15" t="n">
        <f aca="false">AI2203*評分方法!$C$9</f>
        <v>7</v>
      </c>
      <c r="N2203" s="15" t="n">
        <f aca="false">AJ2203*評分方法!$C$10</f>
        <v>3.88</v>
      </c>
      <c r="O2203" s="15" t="n">
        <f aca="false">AK2203*評分方法!$C$11</f>
        <v>2.5</v>
      </c>
      <c r="P2203" s="15" t="n">
        <f aca="false">AL2203*評分方法!$C$12</f>
        <v>0</v>
      </c>
      <c r="Q2203" s="6" t="n">
        <v>400740</v>
      </c>
      <c r="R2203" s="6" t="n">
        <v>108341316</v>
      </c>
      <c r="S2203" s="11" t="s">
        <v>238</v>
      </c>
      <c r="T2203" s="11" t="s">
        <v>1715</v>
      </c>
      <c r="U2203" s="5" t="s">
        <v>902</v>
      </c>
      <c r="V2203" s="11" t="s">
        <v>324</v>
      </c>
      <c r="W2203" s="5" t="s">
        <v>334</v>
      </c>
      <c r="X2203" s="5" t="s">
        <v>242</v>
      </c>
      <c r="Y2203" s="11" t="s">
        <v>363</v>
      </c>
      <c r="Z2203" s="11" t="s">
        <v>270</v>
      </c>
      <c r="AA2203" s="11" t="s">
        <v>162</v>
      </c>
      <c r="AB2203" s="5" t="s">
        <v>245</v>
      </c>
      <c r="AC2203" s="5"/>
      <c r="AD2203" s="11" t="s">
        <v>5398</v>
      </c>
      <c r="AE2203" s="23" t="n">
        <v>0.5</v>
      </c>
      <c r="AF2203" s="23" t="n">
        <v>0</v>
      </c>
      <c r="AG2203" s="23" t="n">
        <v>0.33</v>
      </c>
      <c r="AH2203" s="23" t="n">
        <v>1</v>
      </c>
      <c r="AI2203" s="23" t="n">
        <v>0.7</v>
      </c>
      <c r="AJ2203" s="23" t="n">
        <v>0.388</v>
      </c>
      <c r="AK2203" s="23" t="n">
        <v>0.5</v>
      </c>
      <c r="AL2203" s="23" t="n">
        <v>0</v>
      </c>
      <c r="AM2203" s="16" t="n">
        <f aca="false">COUNTIFS($D$2:$D$2501,D2203,$G$2:$G$2501,"&gt;"&amp;G2203)+COUNTIFS($D$2:D2203,D2203,$G$2:G2203,G2203)</f>
        <v>46</v>
      </c>
      <c r="AN2203" s="5" t="str">
        <f aca="false">D2203&amp;"|"&amp;AM2203</f>
        <v>微調基底模型|46</v>
      </c>
    </row>
    <row r="2204" customFormat="false" ht="17.15" hidden="false" customHeight="false" outlineLevel="0" collapsed="false">
      <c r="A2204" s="16" t="n">
        <f aca="false">RANK(G2204,$G$2:$G$2501)+COUNTIF($G$2:G2204,G2204)-1</f>
        <v>2203</v>
      </c>
      <c r="B2204" s="11" t="s">
        <v>5399</v>
      </c>
      <c r="C2204" s="11" t="s">
        <v>402</v>
      </c>
      <c r="D2204" s="5" t="s">
        <v>58</v>
      </c>
      <c r="E2204" s="5" t="s">
        <v>59</v>
      </c>
      <c r="F2204" s="5"/>
      <c r="G2204" s="22" t="n">
        <f aca="false">ROUND(SUM(I2204:P2204),3)</f>
        <v>48.282</v>
      </c>
      <c r="H2204" s="5" t="str">
        <f aca="false">IF(G2204&gt;=評分方法!$C$16,"優先評估",IF(G2204&gt;=評分方法!$C$17,"列入候選",IF(G2204&gt;=評分方法!$C$18,"特定情境","不建議")))</f>
        <v>不建議</v>
      </c>
      <c r="I2204" s="15" t="n">
        <f aca="false">AE2204*評分方法!$C$5</f>
        <v>11.4</v>
      </c>
      <c r="J2204" s="15" t="n">
        <f aca="false">AF2204*評分方法!$C$6</f>
        <v>0</v>
      </c>
      <c r="K2204" s="15" t="n">
        <f aca="false">AG2204*評分方法!$C$7</f>
        <v>4.95</v>
      </c>
      <c r="L2204" s="15" t="n">
        <f aca="false">AH2204*評分方法!$C$8</f>
        <v>15</v>
      </c>
      <c r="M2204" s="15" t="n">
        <f aca="false">AI2204*評分方法!$C$9</f>
        <v>10</v>
      </c>
      <c r="N2204" s="15" t="n">
        <f aca="false">AJ2204*評分方法!$C$10</f>
        <v>4.432</v>
      </c>
      <c r="O2204" s="15" t="n">
        <f aca="false">AK2204*評分方法!$C$11</f>
        <v>2.5</v>
      </c>
      <c r="P2204" s="15" t="n">
        <f aca="false">AL2204*評分方法!$C$12</f>
        <v>0</v>
      </c>
      <c r="Q2204" s="6" t="n">
        <v>482370</v>
      </c>
      <c r="R2204" s="6" t="n">
        <v>108893955</v>
      </c>
      <c r="S2204" s="11" t="s">
        <v>238</v>
      </c>
      <c r="T2204" s="11" t="s">
        <v>239</v>
      </c>
      <c r="U2204" s="5" t="s">
        <v>240</v>
      </c>
      <c r="V2204" s="11" t="s">
        <v>261</v>
      </c>
      <c r="W2204" s="5" t="s">
        <v>334</v>
      </c>
      <c r="X2204" s="5" t="s">
        <v>242</v>
      </c>
      <c r="Y2204" s="5"/>
      <c r="Z2204" s="5"/>
      <c r="AA2204" s="11" t="s">
        <v>150</v>
      </c>
      <c r="AB2204" s="5" t="s">
        <v>245</v>
      </c>
      <c r="AC2204" s="5" t="s">
        <v>3044</v>
      </c>
      <c r="AD2204" s="11" t="s">
        <v>5400</v>
      </c>
      <c r="AE2204" s="23" t="n">
        <v>0.38</v>
      </c>
      <c r="AF2204" s="23" t="n">
        <v>0</v>
      </c>
      <c r="AG2204" s="23" t="n">
        <v>0.33</v>
      </c>
      <c r="AH2204" s="23" t="n">
        <v>1</v>
      </c>
      <c r="AI2204" s="23" t="n">
        <v>1</v>
      </c>
      <c r="AJ2204" s="23" t="n">
        <v>0.4432</v>
      </c>
      <c r="AK2204" s="23" t="n">
        <v>0.5</v>
      </c>
      <c r="AL2204" s="23" t="n">
        <v>0</v>
      </c>
      <c r="AM2204" s="16" t="n">
        <f aca="false">COUNTIFS($D$2:$D$2501,D2204,$G$2:$G$2501,"&gt;"&amp;G2204)+COUNTIFS($D$2:D2204,D2204,$G$2:G2204,G2204)</f>
        <v>350</v>
      </c>
      <c r="AN2204" s="5" t="str">
        <f aca="false">D2204&amp;"|"&amp;AM2204</f>
        <v>實體擷取與去識別化|350</v>
      </c>
    </row>
    <row r="2205" customFormat="false" ht="17.15" hidden="false" customHeight="false" outlineLevel="0" collapsed="false">
      <c r="A2205" s="16" t="n">
        <f aca="false">RANK(G2205,$G$2:$G$2501)+COUNTIF($G$2:G2205,G2205)-1</f>
        <v>2204</v>
      </c>
      <c r="B2205" s="11" t="s">
        <v>5401</v>
      </c>
      <c r="C2205" s="11" t="s">
        <v>1728</v>
      </c>
      <c r="D2205" s="5" t="s">
        <v>72</v>
      </c>
      <c r="E2205" s="5" t="s">
        <v>73</v>
      </c>
      <c r="F2205" s="5"/>
      <c r="G2205" s="22" t="n">
        <f aca="false">ROUND(SUM(I2205:P2205),3)</f>
        <v>48.266</v>
      </c>
      <c r="H2205" s="5" t="str">
        <f aca="false">IF(G2205&gt;=評分方法!$C$16,"優先評估",IF(G2205&gt;=評分方法!$C$17,"列入候選",IF(G2205&gt;=評分方法!$C$18,"特定情境","不建議")))</f>
        <v>不建議</v>
      </c>
      <c r="I2205" s="15" t="n">
        <f aca="false">AE2205*評分方法!$C$5</f>
        <v>9</v>
      </c>
      <c r="J2205" s="15" t="n">
        <f aca="false">AF2205*評分方法!$C$6</f>
        <v>0</v>
      </c>
      <c r="K2205" s="15" t="n">
        <f aca="false">AG2205*評分方法!$C$7</f>
        <v>10.05</v>
      </c>
      <c r="L2205" s="15" t="n">
        <f aca="false">AH2205*評分方法!$C$8</f>
        <v>15</v>
      </c>
      <c r="M2205" s="15" t="n">
        <f aca="false">AI2205*評分方法!$C$9</f>
        <v>10</v>
      </c>
      <c r="N2205" s="15" t="n">
        <f aca="false">AJ2205*評分方法!$C$10</f>
        <v>3.216</v>
      </c>
      <c r="O2205" s="15" t="n">
        <f aca="false">AK2205*評分方法!$C$11</f>
        <v>1</v>
      </c>
      <c r="P2205" s="15" t="n">
        <f aca="false">AL2205*評分方法!$C$12</f>
        <v>0</v>
      </c>
      <c r="Q2205" s="6" t="n">
        <v>317071</v>
      </c>
      <c r="R2205" s="6" t="n">
        <v>110550910</v>
      </c>
      <c r="S2205" s="11" t="s">
        <v>238</v>
      </c>
      <c r="T2205" s="11" t="s">
        <v>278</v>
      </c>
      <c r="U2205" s="5" t="s">
        <v>240</v>
      </c>
      <c r="V2205" s="11" t="s">
        <v>279</v>
      </c>
      <c r="W2205" s="5" t="s">
        <v>207</v>
      </c>
      <c r="X2205" s="5" t="s">
        <v>242</v>
      </c>
      <c r="Y2205" s="5"/>
      <c r="Z2205" s="5"/>
      <c r="AA2205" s="11" t="s">
        <v>162</v>
      </c>
      <c r="AB2205" s="5" t="s">
        <v>245</v>
      </c>
      <c r="AC2205" s="5" t="s">
        <v>1463</v>
      </c>
      <c r="AD2205" s="11" t="s">
        <v>5402</v>
      </c>
      <c r="AE2205" s="23" t="n">
        <v>0.3</v>
      </c>
      <c r="AF2205" s="23" t="n">
        <v>0</v>
      </c>
      <c r="AG2205" s="23" t="n">
        <v>0.67</v>
      </c>
      <c r="AH2205" s="23" t="n">
        <v>1</v>
      </c>
      <c r="AI2205" s="23" t="n">
        <v>1</v>
      </c>
      <c r="AJ2205" s="23" t="n">
        <v>0.3216</v>
      </c>
      <c r="AK2205" s="23" t="n">
        <v>0.2</v>
      </c>
      <c r="AL2205" s="23" t="n">
        <v>0</v>
      </c>
      <c r="AM2205" s="16" t="n">
        <f aca="false">COUNTIFS($D$2:$D$2501,D2205,$G$2:$G$2501,"&gt;"&amp;G2205)+COUNTIFS($D$2:D2205,D2205,$G$2:G2205,G2205)</f>
        <v>47</v>
      </c>
      <c r="AN2205" s="5" t="str">
        <f aca="false">D2205&amp;"|"&amp;AM2205</f>
        <v>微調基底模型|47</v>
      </c>
    </row>
    <row r="2206" customFormat="false" ht="17.15" hidden="false" customHeight="false" outlineLevel="0" collapsed="false">
      <c r="A2206" s="16" t="n">
        <f aca="false">RANK(G2206,$G$2:$G$2501)+COUNTIF($G$2:G2206,G2206)-1</f>
        <v>2205</v>
      </c>
      <c r="B2206" s="11" t="s">
        <v>5403</v>
      </c>
      <c r="C2206" s="11" t="s">
        <v>4046</v>
      </c>
      <c r="D2206" s="5" t="s">
        <v>78</v>
      </c>
      <c r="E2206" s="5" t="s">
        <v>79</v>
      </c>
      <c r="F2206" s="5"/>
      <c r="G2206" s="22" t="n">
        <f aca="false">ROUND(SUM(I2206:P2206),3)</f>
        <v>48.258</v>
      </c>
      <c r="H2206" s="5" t="str">
        <f aca="false">IF(G2206&gt;=評分方法!$C$16,"優先評估",IF(G2206&gt;=評分方法!$C$17,"列入候選",IF(G2206&gt;=評分方法!$C$18,"特定情境","不建議")))</f>
        <v>不建議</v>
      </c>
      <c r="I2206" s="15" t="n">
        <f aca="false">AE2206*評分方法!$C$5</f>
        <v>9</v>
      </c>
      <c r="J2206" s="15" t="n">
        <f aca="false">AF2206*評分方法!$C$6</f>
        <v>0</v>
      </c>
      <c r="K2206" s="15" t="n">
        <f aca="false">AG2206*評分方法!$C$7</f>
        <v>4.95</v>
      </c>
      <c r="L2206" s="15" t="n">
        <f aca="false">AH2206*評分方法!$C$8</f>
        <v>9</v>
      </c>
      <c r="M2206" s="15" t="n">
        <f aca="false">AI2206*評分方法!$C$9</f>
        <v>10</v>
      </c>
      <c r="N2206" s="15" t="n">
        <f aca="false">AJ2206*評分方法!$C$10</f>
        <v>5.308</v>
      </c>
      <c r="O2206" s="15" t="n">
        <f aca="false">AK2206*評分方法!$C$11</f>
        <v>5</v>
      </c>
      <c r="P2206" s="15" t="n">
        <f aca="false">AL2206*評分方法!$C$12</f>
        <v>5</v>
      </c>
      <c r="Q2206" s="6" t="n">
        <v>558624</v>
      </c>
      <c r="R2206" s="6" t="n">
        <v>24261827088</v>
      </c>
      <c r="S2206" s="11" t="s">
        <v>389</v>
      </c>
      <c r="T2206" s="11" t="s">
        <v>239</v>
      </c>
      <c r="U2206" s="5" t="s">
        <v>240</v>
      </c>
      <c r="V2206" s="11" t="s">
        <v>333</v>
      </c>
      <c r="W2206" s="5" t="s">
        <v>334</v>
      </c>
      <c r="X2206" s="5" t="s">
        <v>284</v>
      </c>
      <c r="Y2206" s="11" t="s">
        <v>4273</v>
      </c>
      <c r="Z2206" s="11" t="s">
        <v>244</v>
      </c>
      <c r="AA2206" s="11" t="s">
        <v>175</v>
      </c>
      <c r="AB2206" s="5" t="s">
        <v>245</v>
      </c>
      <c r="AC2206" s="5" t="s">
        <v>246</v>
      </c>
      <c r="AD2206" s="11" t="s">
        <v>5404</v>
      </c>
      <c r="AE2206" s="23" t="n">
        <v>0.3</v>
      </c>
      <c r="AF2206" s="23" t="n">
        <v>0</v>
      </c>
      <c r="AG2206" s="23" t="n">
        <v>0.33</v>
      </c>
      <c r="AH2206" s="23" t="n">
        <v>0.6</v>
      </c>
      <c r="AI2206" s="23" t="n">
        <v>1</v>
      </c>
      <c r="AJ2206" s="23" t="n">
        <v>0.5308</v>
      </c>
      <c r="AK2206" s="23" t="n">
        <v>1</v>
      </c>
      <c r="AL2206" s="23" t="n">
        <v>1</v>
      </c>
      <c r="AM2206" s="16" t="n">
        <f aca="false">COUNTIFS($D$2:$D$2501,D2206,$G$2:$G$2501,"&gt;"&amp;G2206)+COUNTIFS($D$2:D2206,D2206,$G$2:G2206,G2206)</f>
        <v>77</v>
      </c>
      <c r="AN2206" s="5" t="str">
        <f aca="false">D2206&amp;"|"&amp;AM2206</f>
        <v>語音分析|77</v>
      </c>
    </row>
    <row r="2207" customFormat="false" ht="17.15" hidden="false" customHeight="false" outlineLevel="0" collapsed="false">
      <c r="A2207" s="16" t="n">
        <f aca="false">RANK(G2207,$G$2:$G$2501)+COUNTIF($G$2:G2207,G2207)-1</f>
        <v>2206</v>
      </c>
      <c r="B2207" s="11" t="s">
        <v>5405</v>
      </c>
      <c r="C2207" s="11" t="s">
        <v>402</v>
      </c>
      <c r="D2207" s="5" t="s">
        <v>58</v>
      </c>
      <c r="E2207" s="5" t="s">
        <v>59</v>
      </c>
      <c r="F2207" s="5"/>
      <c r="G2207" s="22" t="n">
        <f aca="false">ROUND(SUM(I2207:P2207),3)</f>
        <v>48.254</v>
      </c>
      <c r="H2207" s="5" t="str">
        <f aca="false">IF(G2207&gt;=評分方法!$C$16,"優先評估",IF(G2207&gt;=評分方法!$C$17,"列入候選",IF(G2207&gt;=評分方法!$C$18,"特定情境","不建議")))</f>
        <v>不建議</v>
      </c>
      <c r="I2207" s="15" t="n">
        <f aca="false">AE2207*評分方法!$C$5</f>
        <v>11.4</v>
      </c>
      <c r="J2207" s="15" t="n">
        <f aca="false">AF2207*評分方法!$C$6</f>
        <v>0</v>
      </c>
      <c r="K2207" s="15" t="n">
        <f aca="false">AG2207*評分方法!$C$7</f>
        <v>4.95</v>
      </c>
      <c r="L2207" s="15" t="n">
        <f aca="false">AH2207*評分方法!$C$8</f>
        <v>15</v>
      </c>
      <c r="M2207" s="15" t="n">
        <f aca="false">AI2207*評分方法!$C$9</f>
        <v>10</v>
      </c>
      <c r="N2207" s="15" t="n">
        <f aca="false">AJ2207*評分方法!$C$10</f>
        <v>4.404</v>
      </c>
      <c r="O2207" s="15" t="n">
        <f aca="false">AK2207*評分方法!$C$11</f>
        <v>2.5</v>
      </c>
      <c r="P2207" s="15" t="n">
        <f aca="false">AL2207*評分方法!$C$12</f>
        <v>0</v>
      </c>
      <c r="Q2207" s="6" t="n">
        <v>480661</v>
      </c>
      <c r="R2207" s="6" t="n">
        <v>334095363</v>
      </c>
      <c r="S2207" s="11" t="s">
        <v>238</v>
      </c>
      <c r="T2207" s="11" t="s">
        <v>239</v>
      </c>
      <c r="U2207" s="5" t="s">
        <v>240</v>
      </c>
      <c r="V2207" s="11" t="s">
        <v>261</v>
      </c>
      <c r="W2207" s="5" t="s">
        <v>334</v>
      </c>
      <c r="X2207" s="5" t="s">
        <v>242</v>
      </c>
      <c r="Y2207" s="5"/>
      <c r="Z2207" s="5"/>
      <c r="AA2207" s="11" t="s">
        <v>150</v>
      </c>
      <c r="AB2207" s="5" t="s">
        <v>245</v>
      </c>
      <c r="AC2207" s="5" t="s">
        <v>3044</v>
      </c>
      <c r="AD2207" s="11" t="s">
        <v>5406</v>
      </c>
      <c r="AE2207" s="23" t="n">
        <v>0.38</v>
      </c>
      <c r="AF2207" s="23" t="n">
        <v>0</v>
      </c>
      <c r="AG2207" s="23" t="n">
        <v>0.33</v>
      </c>
      <c r="AH2207" s="23" t="n">
        <v>1</v>
      </c>
      <c r="AI2207" s="23" t="n">
        <v>1</v>
      </c>
      <c r="AJ2207" s="23" t="n">
        <v>0.4404</v>
      </c>
      <c r="AK2207" s="23" t="n">
        <v>0.5</v>
      </c>
      <c r="AL2207" s="23" t="n">
        <v>0</v>
      </c>
      <c r="AM2207" s="16" t="n">
        <f aca="false">COUNTIFS($D$2:$D$2501,D2207,$G$2:$G$2501,"&gt;"&amp;G2207)+COUNTIFS($D$2:D2207,D2207,$G$2:G2207,G2207)</f>
        <v>351</v>
      </c>
      <c r="AN2207" s="5" t="str">
        <f aca="false">D2207&amp;"|"&amp;AM2207</f>
        <v>實體擷取與去識別化|351</v>
      </c>
    </row>
    <row r="2208" customFormat="false" ht="17.15" hidden="false" customHeight="false" outlineLevel="0" collapsed="false">
      <c r="A2208" s="16" t="n">
        <f aca="false">RANK(G2208,$G$2:$G$2501)+COUNTIF($G$2:G2208,G2208)-1</f>
        <v>2207</v>
      </c>
      <c r="B2208" s="11" t="s">
        <v>5407</v>
      </c>
      <c r="C2208" s="11" t="s">
        <v>3857</v>
      </c>
      <c r="D2208" s="5" t="s">
        <v>56</v>
      </c>
      <c r="E2208" s="5" t="s">
        <v>57</v>
      </c>
      <c r="F2208" s="5"/>
      <c r="G2208" s="22" t="n">
        <f aca="false">ROUND(SUM(I2208:P2208),3)</f>
        <v>48.22</v>
      </c>
      <c r="H2208" s="5" t="str">
        <f aca="false">IF(G2208&gt;=評分方法!$C$16,"優先評估",IF(G2208&gt;=評分方法!$C$17,"列入候選",IF(G2208&gt;=評分方法!$C$18,"特定情境","不建議")))</f>
        <v>不建議</v>
      </c>
      <c r="I2208" s="15" t="n">
        <f aca="false">AE2208*評分方法!$C$5</f>
        <v>25.5</v>
      </c>
      <c r="J2208" s="15" t="n">
        <f aca="false">AF2208*評分方法!$C$6</f>
        <v>0</v>
      </c>
      <c r="K2208" s="15" t="n">
        <f aca="false">AG2208*評分方法!$C$7</f>
        <v>4.95</v>
      </c>
      <c r="L2208" s="15" t="n">
        <f aca="false">AH2208*評分方法!$C$8</f>
        <v>13.05</v>
      </c>
      <c r="M2208" s="15" t="n">
        <f aca="false">AI2208*評分方法!$C$9</f>
        <v>2</v>
      </c>
      <c r="N2208" s="15" t="n">
        <f aca="false">AJ2208*評分方法!$C$10</f>
        <v>1.72</v>
      </c>
      <c r="O2208" s="15" t="n">
        <f aca="false">AK2208*評分方法!$C$11</f>
        <v>1</v>
      </c>
      <c r="P2208" s="15" t="n">
        <f aca="false">AL2208*評分方法!$C$12</f>
        <v>0</v>
      </c>
      <c r="Q2208" s="6" t="n">
        <v>192292</v>
      </c>
      <c r="R2208" s="6" t="n">
        <v>3212749888</v>
      </c>
      <c r="S2208" s="11" t="s">
        <v>254</v>
      </c>
      <c r="T2208" s="5"/>
      <c r="U2208" s="5" t="s">
        <v>375</v>
      </c>
      <c r="V2208" s="11" t="s">
        <v>333</v>
      </c>
      <c r="W2208" s="5" t="s">
        <v>334</v>
      </c>
      <c r="X2208" s="5" t="s">
        <v>242</v>
      </c>
      <c r="Y2208" s="11" t="s">
        <v>1340</v>
      </c>
      <c r="Z2208" s="11" t="s">
        <v>244</v>
      </c>
      <c r="AA2208" s="11" t="s">
        <v>155</v>
      </c>
      <c r="AB2208" s="5" t="s">
        <v>245</v>
      </c>
      <c r="AC2208" s="5" t="s">
        <v>464</v>
      </c>
      <c r="AD2208" s="11" t="s">
        <v>5408</v>
      </c>
      <c r="AE2208" s="23" t="n">
        <v>0.85</v>
      </c>
      <c r="AF2208" s="23" t="n">
        <v>0</v>
      </c>
      <c r="AG2208" s="23" t="n">
        <v>0.33</v>
      </c>
      <c r="AH2208" s="23" t="n">
        <v>0.87</v>
      </c>
      <c r="AI2208" s="23" t="n">
        <v>0.2</v>
      </c>
      <c r="AJ2208" s="23" t="n">
        <v>0.172</v>
      </c>
      <c r="AK2208" s="23" t="n">
        <v>0.2</v>
      </c>
      <c r="AL2208" s="23" t="n">
        <v>0</v>
      </c>
      <c r="AM2208" s="16" t="n">
        <f aca="false">COUNTIFS($D$2:$D$2501,D2208,$G$2:$G$2501,"&gt;"&amp;G2208)+COUNTIFS($D$2:D2208,D2208,$G$2:G2208,G2208)</f>
        <v>960</v>
      </c>
      <c r="AN2208" s="5" t="str">
        <f aca="false">D2208&amp;"|"&amp;AM2208</f>
        <v>分析與報告生成|960</v>
      </c>
    </row>
    <row r="2209" customFormat="false" ht="17.15" hidden="false" customHeight="false" outlineLevel="0" collapsed="false">
      <c r="A2209" s="16" t="n">
        <f aca="false">RANK(G2209,$G$2:$G$2501)+COUNTIF($G$2:G2209,G2209)-1</f>
        <v>2208</v>
      </c>
      <c r="B2209" s="11" t="s">
        <v>5409</v>
      </c>
      <c r="C2209" s="11" t="s">
        <v>1132</v>
      </c>
      <c r="D2209" s="5" t="s">
        <v>66</v>
      </c>
      <c r="E2209" s="5" t="s">
        <v>67</v>
      </c>
      <c r="F2209" s="5"/>
      <c r="G2209" s="22" t="n">
        <f aca="false">ROUND(SUM(I2209:P2209),3)</f>
        <v>48.198</v>
      </c>
      <c r="H2209" s="5" t="str">
        <f aca="false">IF(G2209&gt;=評分方法!$C$16,"優先評估",IF(G2209&gt;=評分方法!$C$17,"列入候選",IF(G2209&gt;=評分方法!$C$18,"特定情境","不建議")))</f>
        <v>不建議</v>
      </c>
      <c r="I2209" s="15" t="n">
        <f aca="false">AE2209*評分方法!$C$5</f>
        <v>10.8</v>
      </c>
      <c r="J2209" s="15" t="n">
        <f aca="false">AF2209*評分方法!$C$6</f>
        <v>0</v>
      </c>
      <c r="K2209" s="15" t="n">
        <f aca="false">AG2209*評分方法!$C$7</f>
        <v>4.95</v>
      </c>
      <c r="L2209" s="15" t="n">
        <f aca="false">AH2209*評分方法!$C$8</f>
        <v>15</v>
      </c>
      <c r="M2209" s="15" t="n">
        <f aca="false">AI2209*評分方法!$C$9</f>
        <v>10</v>
      </c>
      <c r="N2209" s="15" t="n">
        <f aca="false">AJ2209*評分方法!$C$10</f>
        <v>1.448</v>
      </c>
      <c r="O2209" s="15" t="n">
        <f aca="false">AK2209*評分方法!$C$11</f>
        <v>1</v>
      </c>
      <c r="P2209" s="15" t="n">
        <f aca="false">AL2209*評分方法!$C$12</f>
        <v>5</v>
      </c>
      <c r="Q2209" s="6" t="n">
        <v>176004</v>
      </c>
      <c r="R2209" s="6" t="n">
        <v>117642373</v>
      </c>
      <c r="S2209" s="11" t="s">
        <v>238</v>
      </c>
      <c r="T2209" s="11" t="s">
        <v>278</v>
      </c>
      <c r="U2209" s="5" t="s">
        <v>240</v>
      </c>
      <c r="V2209" s="11" t="s">
        <v>324</v>
      </c>
      <c r="W2209" s="5" t="s">
        <v>334</v>
      </c>
      <c r="X2209" s="5" t="s">
        <v>284</v>
      </c>
      <c r="Y2209" s="5"/>
      <c r="Z2209" s="5"/>
      <c r="AA2209" s="11" t="s">
        <v>151</v>
      </c>
      <c r="AB2209" s="5" t="s">
        <v>245</v>
      </c>
      <c r="AC2209" s="5" t="s">
        <v>3044</v>
      </c>
      <c r="AD2209" s="11" t="s">
        <v>5410</v>
      </c>
      <c r="AE2209" s="23" t="n">
        <v>0.36</v>
      </c>
      <c r="AF2209" s="23" t="n">
        <v>0</v>
      </c>
      <c r="AG2209" s="23" t="n">
        <v>0.33</v>
      </c>
      <c r="AH2209" s="23" t="n">
        <v>1</v>
      </c>
      <c r="AI2209" s="23" t="n">
        <v>1</v>
      </c>
      <c r="AJ2209" s="23" t="n">
        <v>0.1448</v>
      </c>
      <c r="AK2209" s="23" t="n">
        <v>0.2</v>
      </c>
      <c r="AL2209" s="23" t="n">
        <v>1</v>
      </c>
      <c r="AM2209" s="16" t="n">
        <f aca="false">COUNTIFS($D$2:$D$2501,D2209,$G$2:$G$2501,"&gt;"&amp;G2209)+COUNTIFS($D$2:D2209,D2209,$G$2:G2209,G2209)</f>
        <v>63</v>
      </c>
      <c r="AN2209" s="5" t="str">
        <f aca="false">D2209&amp;"|"&amp;AM2209</f>
        <v>分類與偵測|63</v>
      </c>
    </row>
    <row r="2210" customFormat="false" ht="17.15" hidden="false" customHeight="false" outlineLevel="0" collapsed="false">
      <c r="A2210" s="16" t="n">
        <f aca="false">RANK(G2210,$G$2:$G$2501)+COUNTIF($G$2:G2210,G2210)-1</f>
        <v>2209</v>
      </c>
      <c r="B2210" s="11" t="s">
        <v>5411</v>
      </c>
      <c r="C2210" s="11" t="s">
        <v>2693</v>
      </c>
      <c r="D2210" s="5" t="s">
        <v>74</v>
      </c>
      <c r="E2210" s="5" t="s">
        <v>75</v>
      </c>
      <c r="F2210" s="5"/>
      <c r="G2210" s="22" t="n">
        <f aca="false">ROUND(SUM(I2210:P2210),3)</f>
        <v>48.186</v>
      </c>
      <c r="H2210" s="5" t="str">
        <f aca="false">IF(G2210&gt;=評分方法!$C$16,"優先評估",IF(G2210&gt;=評分方法!$C$17,"列入候選",IF(G2210&gt;=評分方法!$C$18,"特定情境","不建議")))</f>
        <v>不建議</v>
      </c>
      <c r="I2210" s="15" t="n">
        <f aca="false">AE2210*評分方法!$C$5</f>
        <v>12</v>
      </c>
      <c r="J2210" s="15" t="n">
        <f aca="false">AF2210*評分方法!$C$6</f>
        <v>0</v>
      </c>
      <c r="K2210" s="15" t="n">
        <f aca="false">AG2210*評分方法!$C$7</f>
        <v>15</v>
      </c>
      <c r="L2210" s="15" t="n">
        <f aca="false">AH2210*評分方法!$C$8</f>
        <v>7.05</v>
      </c>
      <c r="M2210" s="15" t="n">
        <f aca="false">AI2210*評分方法!$C$9</f>
        <v>10</v>
      </c>
      <c r="N2210" s="15" t="n">
        <f aca="false">AJ2210*評分方法!$C$10</f>
        <v>1.636</v>
      </c>
      <c r="O2210" s="15" t="n">
        <f aca="false">AK2210*評分方法!$C$11</f>
        <v>1</v>
      </c>
      <c r="P2210" s="15" t="n">
        <f aca="false">AL2210*評分方法!$C$12</f>
        <v>1.5</v>
      </c>
      <c r="Q2210" s="6" t="n">
        <v>186703</v>
      </c>
      <c r="R2210" s="6"/>
      <c r="S2210" s="5" t="s">
        <v>255</v>
      </c>
      <c r="T2210" s="11" t="s">
        <v>239</v>
      </c>
      <c r="U2210" s="5" t="s">
        <v>240</v>
      </c>
      <c r="V2210" s="11" t="s">
        <v>324</v>
      </c>
      <c r="W2210" s="5" t="s">
        <v>205</v>
      </c>
      <c r="X2210" s="5" t="s">
        <v>255</v>
      </c>
      <c r="Y2210" s="5"/>
      <c r="Z2210" s="5"/>
      <c r="AA2210" s="11" t="s">
        <v>167</v>
      </c>
      <c r="AB2210" s="5" t="s">
        <v>245</v>
      </c>
      <c r="AC2210" s="5"/>
      <c r="AD2210" s="11" t="s">
        <v>5412</v>
      </c>
      <c r="AE2210" s="23" t="n">
        <v>0.4</v>
      </c>
      <c r="AF2210" s="23" t="n">
        <v>0</v>
      </c>
      <c r="AG2210" s="23" t="n">
        <v>1</v>
      </c>
      <c r="AH2210" s="23" t="n">
        <v>0.47</v>
      </c>
      <c r="AI2210" s="23" t="n">
        <v>1</v>
      </c>
      <c r="AJ2210" s="23" t="n">
        <v>0.1636</v>
      </c>
      <c r="AK2210" s="23" t="n">
        <v>0.2</v>
      </c>
      <c r="AL2210" s="23" t="n">
        <v>0.3</v>
      </c>
      <c r="AM2210" s="16" t="n">
        <f aca="false">COUNTIFS($D$2:$D$2501,D2210,$G$2:$G$2501,"&gt;"&amp;G2210)+COUNTIFS($D$2:D2210,D2210,$G$2:G2210,G2210)</f>
        <v>295</v>
      </c>
      <c r="AN2210" s="5" t="str">
        <f aca="false">D2210&amp;"|"&amp;AM2210</f>
        <v>文件與影像辨識|295</v>
      </c>
    </row>
    <row r="2211" customFormat="false" ht="17.15" hidden="false" customHeight="false" outlineLevel="0" collapsed="false">
      <c r="A2211" s="16" t="n">
        <f aca="false">RANK(G2211,$G$2:$G$2501)+COUNTIF($G$2:G2211,G2211)-1</f>
        <v>2210</v>
      </c>
      <c r="B2211" s="11" t="s">
        <v>5413</v>
      </c>
      <c r="C2211" s="11" t="s">
        <v>5414</v>
      </c>
      <c r="D2211" s="5" t="s">
        <v>80</v>
      </c>
      <c r="E2211" s="5" t="s">
        <v>81</v>
      </c>
      <c r="F2211" s="5"/>
      <c r="G2211" s="22" t="n">
        <f aca="false">ROUND(SUM(I2211:P2211),3)</f>
        <v>48.174</v>
      </c>
      <c r="H2211" s="5" t="str">
        <f aca="false">IF(G2211&gt;=評分方法!$C$16,"優先評估",IF(G2211&gt;=評分方法!$C$17,"列入候選",IF(G2211&gt;=評分方法!$C$18,"特定情境","不建議")))</f>
        <v>不建議</v>
      </c>
      <c r="I2211" s="15" t="n">
        <f aca="false">AE2211*評分方法!$C$5</f>
        <v>1.5</v>
      </c>
      <c r="J2211" s="15" t="n">
        <f aca="false">AF2211*評分方法!$C$6</f>
        <v>0</v>
      </c>
      <c r="K2211" s="15" t="n">
        <f aca="false">AG2211*評分方法!$C$7</f>
        <v>4.95</v>
      </c>
      <c r="L2211" s="15" t="n">
        <f aca="false">AH2211*評分方法!$C$8</f>
        <v>15</v>
      </c>
      <c r="M2211" s="15" t="n">
        <f aca="false">AI2211*評分方法!$C$9</f>
        <v>10</v>
      </c>
      <c r="N2211" s="15" t="n">
        <f aca="false">AJ2211*評分方法!$C$10</f>
        <v>7.724</v>
      </c>
      <c r="O2211" s="15" t="n">
        <f aca="false">AK2211*評分方法!$C$11</f>
        <v>4</v>
      </c>
      <c r="P2211" s="15" t="n">
        <f aca="false">AL2211*評分方法!$C$12</f>
        <v>5</v>
      </c>
      <c r="Q2211" s="6" t="n">
        <v>1303721</v>
      </c>
      <c r="R2211" s="6" t="n">
        <v>132016399</v>
      </c>
      <c r="S2211" s="11" t="s">
        <v>238</v>
      </c>
      <c r="T2211" s="11" t="s">
        <v>278</v>
      </c>
      <c r="U2211" s="5" t="s">
        <v>240</v>
      </c>
      <c r="V2211" s="11" t="s">
        <v>261</v>
      </c>
      <c r="W2211" s="5" t="s">
        <v>334</v>
      </c>
      <c r="X2211" s="5" t="s">
        <v>284</v>
      </c>
      <c r="Y2211" s="11" t="s">
        <v>5415</v>
      </c>
      <c r="Z2211" s="11" t="s">
        <v>270</v>
      </c>
      <c r="AA2211" s="11" t="s">
        <v>188</v>
      </c>
      <c r="AB2211" s="5" t="s">
        <v>245</v>
      </c>
      <c r="AC2211" s="5"/>
      <c r="AD2211" s="11" t="s">
        <v>5416</v>
      </c>
      <c r="AE2211" s="23" t="n">
        <v>0.05</v>
      </c>
      <c r="AF2211" s="23" t="n">
        <v>0</v>
      </c>
      <c r="AG2211" s="23" t="n">
        <v>0.33</v>
      </c>
      <c r="AH2211" s="23" t="n">
        <v>1</v>
      </c>
      <c r="AI2211" s="23" t="n">
        <v>1</v>
      </c>
      <c r="AJ2211" s="23" t="n">
        <v>0.7724</v>
      </c>
      <c r="AK2211" s="23" t="n">
        <v>0.8</v>
      </c>
      <c r="AL2211" s="23" t="n">
        <v>1</v>
      </c>
      <c r="AM2211" s="16" t="n">
        <f aca="false">COUNTIFS($D$2:$D$2501,D2211,$G$2:$G$2501,"&gt;"&amp;G2211)+COUNTIFS($D$2:D2211,D2211,$G$2:G2211,G2211)</f>
        <v>24</v>
      </c>
      <c r="AN2211" s="5" t="str">
        <f aca="false">D2211&amp;"|"&amp;AM2211</f>
        <v>其他|24</v>
      </c>
    </row>
    <row r="2212" customFormat="false" ht="17.15" hidden="false" customHeight="false" outlineLevel="0" collapsed="false">
      <c r="A2212" s="16" t="n">
        <f aca="false">RANK(G2212,$G$2:$G$2501)+COUNTIF($G$2:G2212,G2212)-1</f>
        <v>2211</v>
      </c>
      <c r="B2212" s="11" t="s">
        <v>5417</v>
      </c>
      <c r="C2212" s="11" t="s">
        <v>402</v>
      </c>
      <c r="D2212" s="5" t="s">
        <v>58</v>
      </c>
      <c r="E2212" s="5" t="s">
        <v>59</v>
      </c>
      <c r="F2212" s="5"/>
      <c r="G2212" s="22" t="n">
        <f aca="false">ROUND(SUM(I2212:P2212),3)</f>
        <v>48.154</v>
      </c>
      <c r="H2212" s="5" t="str">
        <f aca="false">IF(G2212&gt;=評分方法!$C$16,"優先評估",IF(G2212&gt;=評分方法!$C$17,"列入候選",IF(G2212&gt;=評分方法!$C$18,"特定情境","不建議")))</f>
        <v>不建議</v>
      </c>
      <c r="I2212" s="15" t="n">
        <f aca="false">AE2212*評分方法!$C$5</f>
        <v>11.4</v>
      </c>
      <c r="J2212" s="15" t="n">
        <f aca="false">AF2212*評分方法!$C$6</f>
        <v>0</v>
      </c>
      <c r="K2212" s="15" t="n">
        <f aca="false">AG2212*評分方法!$C$7</f>
        <v>4.95</v>
      </c>
      <c r="L2212" s="15" t="n">
        <f aca="false">AH2212*評分方法!$C$8</f>
        <v>15</v>
      </c>
      <c r="M2212" s="15" t="n">
        <f aca="false">AI2212*評分方法!$C$9</f>
        <v>10</v>
      </c>
      <c r="N2212" s="15" t="n">
        <f aca="false">AJ2212*評分方法!$C$10</f>
        <v>4.304</v>
      </c>
      <c r="O2212" s="15" t="n">
        <f aca="false">AK2212*評分方法!$C$11</f>
        <v>2.5</v>
      </c>
      <c r="P2212" s="15" t="n">
        <f aca="false">AL2212*評分方法!$C$12</f>
        <v>0</v>
      </c>
      <c r="Q2212" s="6" t="n">
        <v>473832</v>
      </c>
      <c r="R2212" s="6" t="n">
        <v>108893955</v>
      </c>
      <c r="S2212" s="11" t="s">
        <v>238</v>
      </c>
      <c r="T2212" s="11" t="s">
        <v>239</v>
      </c>
      <c r="U2212" s="5" t="s">
        <v>240</v>
      </c>
      <c r="V2212" s="11" t="s">
        <v>261</v>
      </c>
      <c r="W2212" s="5" t="s">
        <v>334</v>
      </c>
      <c r="X2212" s="5" t="s">
        <v>242</v>
      </c>
      <c r="Y2212" s="5"/>
      <c r="Z2212" s="5"/>
      <c r="AA2212" s="11" t="s">
        <v>150</v>
      </c>
      <c r="AB2212" s="5" t="s">
        <v>245</v>
      </c>
      <c r="AC2212" s="5" t="s">
        <v>3044</v>
      </c>
      <c r="AD2212" s="11" t="s">
        <v>5418</v>
      </c>
      <c r="AE2212" s="23" t="n">
        <v>0.38</v>
      </c>
      <c r="AF2212" s="23" t="n">
        <v>0</v>
      </c>
      <c r="AG2212" s="23" t="n">
        <v>0.33</v>
      </c>
      <c r="AH2212" s="23" t="n">
        <v>1</v>
      </c>
      <c r="AI2212" s="23" t="n">
        <v>1</v>
      </c>
      <c r="AJ2212" s="23" t="n">
        <v>0.4304</v>
      </c>
      <c r="AK2212" s="23" t="n">
        <v>0.5</v>
      </c>
      <c r="AL2212" s="23" t="n">
        <v>0</v>
      </c>
      <c r="AM2212" s="16" t="n">
        <f aca="false">COUNTIFS($D$2:$D$2501,D2212,$G$2:$G$2501,"&gt;"&amp;G2212)+COUNTIFS($D$2:D2212,D2212,$G$2:G2212,G2212)</f>
        <v>352</v>
      </c>
      <c r="AN2212" s="5" t="str">
        <f aca="false">D2212&amp;"|"&amp;AM2212</f>
        <v>實體擷取與去識別化|352</v>
      </c>
    </row>
    <row r="2213" customFormat="false" ht="17.15" hidden="false" customHeight="false" outlineLevel="0" collapsed="false">
      <c r="A2213" s="16" t="n">
        <f aca="false">RANK(G2213,$G$2:$G$2501)+COUNTIF($G$2:G2213,G2213)-1</f>
        <v>2212</v>
      </c>
      <c r="B2213" s="11" t="s">
        <v>5419</v>
      </c>
      <c r="C2213" s="11" t="s">
        <v>681</v>
      </c>
      <c r="D2213" s="5" t="s">
        <v>78</v>
      </c>
      <c r="E2213" s="5" t="s">
        <v>79</v>
      </c>
      <c r="F2213" s="5"/>
      <c r="G2213" s="22" t="n">
        <f aca="false">ROUND(SUM(I2213:P2213),3)</f>
        <v>48.148</v>
      </c>
      <c r="H2213" s="5" t="str">
        <f aca="false">IF(G2213&gt;=評分方法!$C$16,"優先評估",IF(G2213&gt;=評分方法!$C$17,"列入候選",IF(G2213&gt;=評分方法!$C$18,"特定情境","不建議")))</f>
        <v>不建議</v>
      </c>
      <c r="I2213" s="15" t="n">
        <f aca="false">AE2213*評分方法!$C$5</f>
        <v>10.5</v>
      </c>
      <c r="J2213" s="15" t="n">
        <f aca="false">AF2213*評分方法!$C$6</f>
        <v>0</v>
      </c>
      <c r="K2213" s="15" t="n">
        <f aca="false">AG2213*評分方法!$C$7</f>
        <v>15</v>
      </c>
      <c r="L2213" s="15" t="n">
        <f aca="false">AH2213*評分方法!$C$8</f>
        <v>15</v>
      </c>
      <c r="M2213" s="15" t="n">
        <f aca="false">AI2213*評分方法!$C$9</f>
        <v>2</v>
      </c>
      <c r="N2213" s="15" t="n">
        <f aca="false">AJ2213*評分方法!$C$10</f>
        <v>3.148</v>
      </c>
      <c r="O2213" s="15" t="n">
        <f aca="false">AK2213*評分方法!$C$11</f>
        <v>1</v>
      </c>
      <c r="P2213" s="15" t="n">
        <f aca="false">AL2213*評分方法!$C$12</f>
        <v>1.5</v>
      </c>
      <c r="Q2213" s="6" t="n">
        <v>307150</v>
      </c>
      <c r="R2213" s="6" t="n">
        <v>58990022</v>
      </c>
      <c r="S2213" s="11" t="s">
        <v>238</v>
      </c>
      <c r="T2213" s="5"/>
      <c r="U2213" s="5" t="s">
        <v>375</v>
      </c>
      <c r="V2213" s="11" t="s">
        <v>324</v>
      </c>
      <c r="W2213" s="5" t="s">
        <v>205</v>
      </c>
      <c r="X2213" s="5" t="s">
        <v>255</v>
      </c>
      <c r="Y2213" s="5"/>
      <c r="Z2213" s="5"/>
      <c r="AA2213" s="11" t="s">
        <v>174</v>
      </c>
      <c r="AB2213" s="5" t="s">
        <v>245</v>
      </c>
      <c r="AC2213" s="5" t="s">
        <v>262</v>
      </c>
      <c r="AD2213" s="11" t="s">
        <v>5420</v>
      </c>
      <c r="AE2213" s="23" t="n">
        <v>0.35</v>
      </c>
      <c r="AF2213" s="23" t="n">
        <v>0</v>
      </c>
      <c r="AG2213" s="23" t="n">
        <v>1</v>
      </c>
      <c r="AH2213" s="23" t="n">
        <v>1</v>
      </c>
      <c r="AI2213" s="23" t="n">
        <v>0.2</v>
      </c>
      <c r="AJ2213" s="23" t="n">
        <v>0.3148</v>
      </c>
      <c r="AK2213" s="23" t="n">
        <v>0.2</v>
      </c>
      <c r="AL2213" s="23" t="n">
        <v>0.3</v>
      </c>
      <c r="AM2213" s="16" t="n">
        <f aca="false">COUNTIFS($D$2:$D$2501,D2213,$G$2:$G$2501,"&gt;"&amp;G2213)+COUNTIFS($D$2:D2213,D2213,$G$2:G2213,G2213)</f>
        <v>78</v>
      </c>
      <c r="AN2213" s="5" t="str">
        <f aca="false">D2213&amp;"|"&amp;AM2213</f>
        <v>語音分析|78</v>
      </c>
    </row>
    <row r="2214" customFormat="false" ht="17.15" hidden="false" customHeight="false" outlineLevel="0" collapsed="false">
      <c r="A2214" s="16" t="n">
        <f aca="false">RANK(G2214,$G$2:$G$2501)+COUNTIF($G$2:G2214,G2214)-1</f>
        <v>2213</v>
      </c>
      <c r="B2214" s="11" t="s">
        <v>5421</v>
      </c>
      <c r="C2214" s="11" t="s">
        <v>4046</v>
      </c>
      <c r="D2214" s="5" t="s">
        <v>78</v>
      </c>
      <c r="E2214" s="5" t="s">
        <v>79</v>
      </c>
      <c r="F2214" s="5"/>
      <c r="G2214" s="22" t="n">
        <f aca="false">ROUND(SUM(I2214:P2214),3)</f>
        <v>48.052</v>
      </c>
      <c r="H2214" s="5" t="str">
        <f aca="false">IF(G2214&gt;=評分方法!$C$16,"優先評估",IF(G2214&gt;=評分方法!$C$17,"列入候選",IF(G2214&gt;=評分方法!$C$18,"特定情境","不建議")))</f>
        <v>不建議</v>
      </c>
      <c r="I2214" s="15" t="n">
        <f aca="false">AE2214*評分方法!$C$5</f>
        <v>9</v>
      </c>
      <c r="J2214" s="15" t="n">
        <f aca="false">AF2214*評分方法!$C$6</f>
        <v>0</v>
      </c>
      <c r="K2214" s="15" t="n">
        <f aca="false">AG2214*評分方法!$C$7</f>
        <v>4.95</v>
      </c>
      <c r="L2214" s="15" t="n">
        <f aca="false">AH2214*評分方法!$C$8</f>
        <v>13.05</v>
      </c>
      <c r="M2214" s="15" t="n">
        <f aca="false">AI2214*評分方法!$C$9</f>
        <v>10</v>
      </c>
      <c r="N2214" s="15" t="n">
        <f aca="false">AJ2214*評分方法!$C$10</f>
        <v>1.052</v>
      </c>
      <c r="O2214" s="15" t="n">
        <f aca="false">AK2214*評分方法!$C$11</f>
        <v>5</v>
      </c>
      <c r="P2214" s="15" t="n">
        <f aca="false">AL2214*評分方法!$C$12</f>
        <v>5</v>
      </c>
      <c r="Q2214" s="6" t="n">
        <v>156036</v>
      </c>
      <c r="R2214" s="6" t="n">
        <v>2313228092</v>
      </c>
      <c r="S2214" s="11" t="s">
        <v>254</v>
      </c>
      <c r="T2214" s="11" t="s">
        <v>239</v>
      </c>
      <c r="U2214" s="5" t="s">
        <v>240</v>
      </c>
      <c r="V2214" s="11" t="s">
        <v>333</v>
      </c>
      <c r="W2214" s="5" t="s">
        <v>334</v>
      </c>
      <c r="X2214" s="5" t="s">
        <v>284</v>
      </c>
      <c r="Y2214" s="11" t="s">
        <v>2413</v>
      </c>
      <c r="Z2214" s="11" t="s">
        <v>244</v>
      </c>
      <c r="AA2214" s="11" t="s">
        <v>175</v>
      </c>
      <c r="AB2214" s="5" t="s">
        <v>245</v>
      </c>
      <c r="AC2214" s="5" t="s">
        <v>246</v>
      </c>
      <c r="AD2214" s="11" t="s">
        <v>5422</v>
      </c>
      <c r="AE2214" s="23" t="n">
        <v>0.3</v>
      </c>
      <c r="AF2214" s="23" t="n">
        <v>0</v>
      </c>
      <c r="AG2214" s="23" t="n">
        <v>0.33</v>
      </c>
      <c r="AH2214" s="23" t="n">
        <v>0.87</v>
      </c>
      <c r="AI2214" s="23" t="n">
        <v>1</v>
      </c>
      <c r="AJ2214" s="23" t="n">
        <v>0.1052</v>
      </c>
      <c r="AK2214" s="23" t="n">
        <v>1</v>
      </c>
      <c r="AL2214" s="23" t="n">
        <v>1</v>
      </c>
      <c r="AM2214" s="16" t="n">
        <f aca="false">COUNTIFS($D$2:$D$2501,D2214,$G$2:$G$2501,"&gt;"&amp;G2214)+COUNTIFS($D$2:D2214,D2214,$G$2:G2214,G2214)</f>
        <v>79</v>
      </c>
      <c r="AN2214" s="5" t="str">
        <f aca="false">D2214&amp;"|"&amp;AM2214</f>
        <v>語音分析|79</v>
      </c>
    </row>
    <row r="2215" customFormat="false" ht="17.15" hidden="false" customHeight="false" outlineLevel="0" collapsed="false">
      <c r="A2215" s="16" t="n">
        <f aca="false">RANK(G2215,$G$2:$G$2501)+COUNTIF($G$2:G2215,G2215)-1</f>
        <v>2214</v>
      </c>
      <c r="B2215" s="11" t="s">
        <v>5423</v>
      </c>
      <c r="C2215" s="11" t="s">
        <v>368</v>
      </c>
      <c r="D2215" s="5" t="s">
        <v>68</v>
      </c>
      <c r="E2215" s="11" t="s">
        <v>69</v>
      </c>
      <c r="F2215" s="5"/>
      <c r="G2215" s="22" t="n">
        <f aca="false">ROUND(SUM(I2215:P2215),3)</f>
        <v>48.026</v>
      </c>
      <c r="H2215" s="5" t="str">
        <f aca="false">IF(G2215&gt;=評分方法!$C$16,"優先評估",IF(G2215&gt;=評分方法!$C$17,"列入候選",IF(G2215&gt;=評分方法!$C$18,"特定情境","不建議")))</f>
        <v>不建議</v>
      </c>
      <c r="I2215" s="15" t="n">
        <f aca="false">AE2215*評分方法!$C$5</f>
        <v>12</v>
      </c>
      <c r="J2215" s="15" t="n">
        <f aca="false">AF2215*評分方法!$C$6</f>
        <v>0</v>
      </c>
      <c r="K2215" s="15" t="n">
        <f aca="false">AG2215*評分方法!$C$7</f>
        <v>15</v>
      </c>
      <c r="L2215" s="15" t="n">
        <f aca="false">AH2215*評分方法!$C$8</f>
        <v>7.05</v>
      </c>
      <c r="M2215" s="15" t="n">
        <f aca="false">AI2215*評分方法!$C$9</f>
        <v>6</v>
      </c>
      <c r="N2215" s="15" t="n">
        <f aca="false">AJ2215*評分方法!$C$10</f>
        <v>1.476</v>
      </c>
      <c r="O2215" s="15" t="n">
        <f aca="false">AK2215*評分方法!$C$11</f>
        <v>5</v>
      </c>
      <c r="P2215" s="15" t="n">
        <f aca="false">AL2215*評分方法!$C$12</f>
        <v>1.5</v>
      </c>
      <c r="Q2215" s="6" t="n">
        <v>177740</v>
      </c>
      <c r="R2215" s="6"/>
      <c r="S2215" s="5" t="s">
        <v>255</v>
      </c>
      <c r="T2215" s="11" t="s">
        <v>185</v>
      </c>
      <c r="U2215" s="5" t="s">
        <v>260</v>
      </c>
      <c r="V2215" s="11" t="s">
        <v>261</v>
      </c>
      <c r="W2215" s="5" t="s">
        <v>205</v>
      </c>
      <c r="X2215" s="5" t="s">
        <v>255</v>
      </c>
      <c r="Y2215" s="5"/>
      <c r="Z2215" s="5"/>
      <c r="AA2215" s="11" t="s">
        <v>169</v>
      </c>
      <c r="AB2215" s="5" t="s">
        <v>245</v>
      </c>
      <c r="AC2215" s="5" t="s">
        <v>262</v>
      </c>
      <c r="AD2215" s="11" t="s">
        <v>5424</v>
      </c>
      <c r="AE2215" s="23" t="n">
        <v>0.4</v>
      </c>
      <c r="AF2215" s="23" t="n">
        <v>0</v>
      </c>
      <c r="AG2215" s="23" t="n">
        <v>1</v>
      </c>
      <c r="AH2215" s="23" t="n">
        <v>0.47</v>
      </c>
      <c r="AI2215" s="23" t="n">
        <v>0.6</v>
      </c>
      <c r="AJ2215" s="23" t="n">
        <v>0.1476</v>
      </c>
      <c r="AK2215" s="23" t="n">
        <v>1</v>
      </c>
      <c r="AL2215" s="23" t="n">
        <v>0.3</v>
      </c>
      <c r="AM2215" s="16" t="n">
        <f aca="false">COUNTIFS($D$2:$D$2501,D2215,$G$2:$G$2501,"&gt;"&amp;G2215)+COUNTIFS($D$2:D2215,D2215,$G$2:G2215,G2215)</f>
        <v>52</v>
      </c>
      <c r="AN2215" s="5" t="str">
        <f aca="false">D2215&amp;"|"&amp;AM2215</f>
        <v>時序異常偵測|52</v>
      </c>
    </row>
    <row r="2216" customFormat="false" ht="17.15" hidden="false" customHeight="false" outlineLevel="0" collapsed="false">
      <c r="A2216" s="16" t="n">
        <f aca="false">RANK(G2216,$G$2:$G$2501)+COUNTIF($G$2:G2216,G2216)-1</f>
        <v>2215</v>
      </c>
      <c r="B2216" s="11" t="s">
        <v>5425</v>
      </c>
      <c r="C2216" s="11" t="s">
        <v>2693</v>
      </c>
      <c r="D2216" s="5" t="s">
        <v>74</v>
      </c>
      <c r="E2216" s="5" t="s">
        <v>75</v>
      </c>
      <c r="F2216" s="5"/>
      <c r="G2216" s="22" t="n">
        <f aca="false">ROUND(SUM(I2216:P2216),3)</f>
        <v>47.986</v>
      </c>
      <c r="H2216" s="5" t="str">
        <f aca="false">IF(G2216&gt;=評分方法!$C$16,"優先評估",IF(G2216&gt;=評分方法!$C$17,"列入候選",IF(G2216&gt;=評分方法!$C$18,"特定情境","不建議")))</f>
        <v>不建議</v>
      </c>
      <c r="I2216" s="15" t="n">
        <f aca="false">AE2216*評分方法!$C$5</f>
        <v>12</v>
      </c>
      <c r="J2216" s="15" t="n">
        <f aca="false">AF2216*評分方法!$C$6</f>
        <v>0</v>
      </c>
      <c r="K2216" s="15" t="n">
        <f aca="false">AG2216*評分方法!$C$7</f>
        <v>15</v>
      </c>
      <c r="L2216" s="15" t="n">
        <f aca="false">AH2216*評分方法!$C$8</f>
        <v>7.05</v>
      </c>
      <c r="M2216" s="15" t="n">
        <f aca="false">AI2216*評分方法!$C$9</f>
        <v>10</v>
      </c>
      <c r="N2216" s="15" t="n">
        <f aca="false">AJ2216*評分方法!$C$10</f>
        <v>1.436</v>
      </c>
      <c r="O2216" s="15" t="n">
        <f aca="false">AK2216*評分方法!$C$11</f>
        <v>1</v>
      </c>
      <c r="P2216" s="15" t="n">
        <f aca="false">AL2216*評分方法!$C$12</f>
        <v>1.5</v>
      </c>
      <c r="Q2216" s="6" t="n">
        <v>175852</v>
      </c>
      <c r="R2216" s="6"/>
      <c r="S2216" s="5" t="s">
        <v>255</v>
      </c>
      <c r="T2216" s="11" t="s">
        <v>278</v>
      </c>
      <c r="U2216" s="5" t="s">
        <v>240</v>
      </c>
      <c r="V2216" s="11" t="s">
        <v>324</v>
      </c>
      <c r="W2216" s="5" t="s">
        <v>205</v>
      </c>
      <c r="X2216" s="5" t="s">
        <v>255</v>
      </c>
      <c r="Y2216" s="5"/>
      <c r="Z2216" s="5"/>
      <c r="AA2216" s="11" t="s">
        <v>167</v>
      </c>
      <c r="AB2216" s="5" t="s">
        <v>245</v>
      </c>
      <c r="AC2216" s="5"/>
      <c r="AD2216" s="11" t="s">
        <v>5426</v>
      </c>
      <c r="AE2216" s="23" t="n">
        <v>0.4</v>
      </c>
      <c r="AF2216" s="23" t="n">
        <v>0</v>
      </c>
      <c r="AG2216" s="23" t="n">
        <v>1</v>
      </c>
      <c r="AH2216" s="23" t="n">
        <v>0.47</v>
      </c>
      <c r="AI2216" s="23" t="n">
        <v>1</v>
      </c>
      <c r="AJ2216" s="23" t="n">
        <v>0.1436</v>
      </c>
      <c r="AK2216" s="23" t="n">
        <v>0.2</v>
      </c>
      <c r="AL2216" s="23" t="n">
        <v>0.3</v>
      </c>
      <c r="AM2216" s="16" t="n">
        <f aca="false">COUNTIFS($D$2:$D$2501,D2216,$G$2:$G$2501,"&gt;"&amp;G2216)+COUNTIFS($D$2:D2216,D2216,$G$2:G2216,G2216)</f>
        <v>296</v>
      </c>
      <c r="AN2216" s="5" t="str">
        <f aca="false">D2216&amp;"|"&amp;AM2216</f>
        <v>文件與影像辨識|296</v>
      </c>
    </row>
    <row r="2217" customFormat="false" ht="17.15" hidden="false" customHeight="false" outlineLevel="0" collapsed="false">
      <c r="A2217" s="16" t="n">
        <f aca="false">RANK(G2217,$G$2:$G$2501)+COUNTIF($G$2:G2217,G2217)-1</f>
        <v>2216</v>
      </c>
      <c r="B2217" s="11" t="s">
        <v>5427</v>
      </c>
      <c r="C2217" s="11" t="s">
        <v>5428</v>
      </c>
      <c r="D2217" s="5" t="s">
        <v>66</v>
      </c>
      <c r="E2217" s="5" t="s">
        <v>67</v>
      </c>
      <c r="F2217" s="5"/>
      <c r="G2217" s="22" t="n">
        <f aca="false">ROUND(SUM(I2217:P2217),3)</f>
        <v>47.962</v>
      </c>
      <c r="H2217" s="5" t="str">
        <f aca="false">IF(G2217&gt;=評分方法!$C$16,"優先評估",IF(G2217&gt;=評分方法!$C$17,"列入候選",IF(G2217&gt;=評分方法!$C$18,"特定情境","不建議")))</f>
        <v>不建議</v>
      </c>
      <c r="I2217" s="15" t="n">
        <f aca="false">AE2217*評分方法!$C$5</f>
        <v>12</v>
      </c>
      <c r="J2217" s="15" t="n">
        <f aca="false">AF2217*評分方法!$C$6</f>
        <v>0</v>
      </c>
      <c r="K2217" s="15" t="n">
        <f aca="false">AG2217*評分方法!$C$7</f>
        <v>4.95</v>
      </c>
      <c r="L2217" s="15" t="n">
        <f aca="false">AH2217*評分方法!$C$8</f>
        <v>15</v>
      </c>
      <c r="M2217" s="15" t="n">
        <f aca="false">AI2217*評分方法!$C$9</f>
        <v>10</v>
      </c>
      <c r="N2217" s="15" t="n">
        <f aca="false">AJ2217*評分方法!$C$10</f>
        <v>0.512</v>
      </c>
      <c r="O2217" s="15" t="n">
        <f aca="false">AK2217*評分方法!$C$11</f>
        <v>4</v>
      </c>
      <c r="P2217" s="15" t="n">
        <f aca="false">AL2217*評分方法!$C$12</f>
        <v>1.5</v>
      </c>
      <c r="Q2217" s="6" t="n">
        <v>132816</v>
      </c>
      <c r="R2217" s="6" t="n">
        <v>110624259</v>
      </c>
      <c r="S2217" s="11" t="s">
        <v>238</v>
      </c>
      <c r="T2217" s="11" t="s">
        <v>278</v>
      </c>
      <c r="U2217" s="5" t="s">
        <v>240</v>
      </c>
      <c r="V2217" s="11" t="s">
        <v>261</v>
      </c>
      <c r="W2217" s="5" t="s">
        <v>334</v>
      </c>
      <c r="X2217" s="5" t="s">
        <v>255</v>
      </c>
      <c r="Y2217" s="11" t="s">
        <v>4691</v>
      </c>
      <c r="Z2217" s="11" t="s">
        <v>270</v>
      </c>
      <c r="AA2217" s="11" t="s">
        <v>149</v>
      </c>
      <c r="AB2217" s="5" t="s">
        <v>245</v>
      </c>
      <c r="AC2217" s="5" t="s">
        <v>3044</v>
      </c>
      <c r="AD2217" s="11" t="s">
        <v>5429</v>
      </c>
      <c r="AE2217" s="23" t="n">
        <v>0.4</v>
      </c>
      <c r="AF2217" s="23" t="n">
        <v>0</v>
      </c>
      <c r="AG2217" s="23" t="n">
        <v>0.33</v>
      </c>
      <c r="AH2217" s="23" t="n">
        <v>1</v>
      </c>
      <c r="AI2217" s="23" t="n">
        <v>1</v>
      </c>
      <c r="AJ2217" s="23" t="n">
        <v>0.0512</v>
      </c>
      <c r="AK2217" s="23" t="n">
        <v>0.8</v>
      </c>
      <c r="AL2217" s="23" t="n">
        <v>0.3</v>
      </c>
      <c r="AM2217" s="16" t="n">
        <f aca="false">COUNTIFS($D$2:$D$2501,D2217,$G$2:$G$2501,"&gt;"&amp;G2217)+COUNTIFS($D$2:D2217,D2217,$G$2:G2217,G2217)</f>
        <v>64</v>
      </c>
      <c r="AN2217" s="5" t="str">
        <f aca="false">D2217&amp;"|"&amp;AM2217</f>
        <v>分類與偵測|64</v>
      </c>
    </row>
    <row r="2218" customFormat="false" ht="17.15" hidden="false" customHeight="false" outlineLevel="0" collapsed="false">
      <c r="A2218" s="16" t="n">
        <f aca="false">RANK(G2218,$G$2:$G$2501)+COUNTIF($G$2:G2218,G2218)-1</f>
        <v>2217</v>
      </c>
      <c r="B2218" s="11" t="s">
        <v>5430</v>
      </c>
      <c r="C2218" s="11" t="s">
        <v>5431</v>
      </c>
      <c r="D2218" s="5" t="s">
        <v>66</v>
      </c>
      <c r="E2218" s="5" t="s">
        <v>67</v>
      </c>
      <c r="F2218" s="5"/>
      <c r="G2218" s="22" t="n">
        <f aca="false">ROUND(SUM(I2218:P2218),3)</f>
        <v>47.902</v>
      </c>
      <c r="H2218" s="5" t="str">
        <f aca="false">IF(G2218&gt;=評分方法!$C$16,"優先評估",IF(G2218&gt;=評分方法!$C$17,"列入候選",IF(G2218&gt;=評分方法!$C$18,"特定情境","不建議")))</f>
        <v>不建議</v>
      </c>
      <c r="I2218" s="15" t="n">
        <f aca="false">AE2218*評分方法!$C$5</f>
        <v>7.2</v>
      </c>
      <c r="J2218" s="15" t="n">
        <f aca="false">AF2218*評分方法!$C$6</f>
        <v>0</v>
      </c>
      <c r="K2218" s="15" t="n">
        <f aca="false">AG2218*評分方法!$C$7</f>
        <v>4.95</v>
      </c>
      <c r="L2218" s="15" t="n">
        <f aca="false">AH2218*評分方法!$C$8</f>
        <v>15</v>
      </c>
      <c r="M2218" s="15" t="n">
        <f aca="false">AI2218*評分方法!$C$9</f>
        <v>10</v>
      </c>
      <c r="N2218" s="15" t="n">
        <f aca="false">AJ2218*評分方法!$C$10</f>
        <v>8.252</v>
      </c>
      <c r="O2218" s="15" t="n">
        <f aca="false">AK2218*評分方法!$C$11</f>
        <v>2.5</v>
      </c>
      <c r="P2218" s="15" t="n">
        <f aca="false">AL2218*評分方法!$C$12</f>
        <v>0</v>
      </c>
      <c r="Q2218" s="6" t="n">
        <v>1871204</v>
      </c>
      <c r="R2218" s="6" t="n">
        <v>125953536</v>
      </c>
      <c r="S2218" s="11" t="s">
        <v>238</v>
      </c>
      <c r="T2218" s="11" t="s">
        <v>278</v>
      </c>
      <c r="U2218" s="5" t="s">
        <v>240</v>
      </c>
      <c r="V2218" s="11" t="s">
        <v>261</v>
      </c>
      <c r="W2218" s="5" t="s">
        <v>334</v>
      </c>
      <c r="X2218" s="5" t="s">
        <v>242</v>
      </c>
      <c r="Y2218" s="11" t="s">
        <v>5432</v>
      </c>
      <c r="Z2218" s="11" t="s">
        <v>270</v>
      </c>
      <c r="AA2218" s="11" t="s">
        <v>149</v>
      </c>
      <c r="AB2218" s="5" t="s">
        <v>245</v>
      </c>
      <c r="AC2218" s="5" t="s">
        <v>5236</v>
      </c>
      <c r="AD2218" s="11" t="s">
        <v>5433</v>
      </c>
      <c r="AE2218" s="23" t="n">
        <v>0.24</v>
      </c>
      <c r="AF2218" s="23" t="n">
        <v>0</v>
      </c>
      <c r="AG2218" s="23" t="n">
        <v>0.33</v>
      </c>
      <c r="AH2218" s="23" t="n">
        <v>1</v>
      </c>
      <c r="AI2218" s="23" t="n">
        <v>1</v>
      </c>
      <c r="AJ2218" s="23" t="n">
        <v>0.8252</v>
      </c>
      <c r="AK2218" s="23" t="n">
        <v>0.5</v>
      </c>
      <c r="AL2218" s="23" t="n">
        <v>0</v>
      </c>
      <c r="AM2218" s="16" t="n">
        <f aca="false">COUNTIFS($D$2:$D$2501,D2218,$G$2:$G$2501,"&gt;"&amp;G2218)+COUNTIFS($D$2:D2218,D2218,$G$2:G2218,G2218)</f>
        <v>65</v>
      </c>
      <c r="AN2218" s="5" t="str">
        <f aca="false">D2218&amp;"|"&amp;AM2218</f>
        <v>分類與偵測|65</v>
      </c>
    </row>
    <row r="2219" customFormat="false" ht="17.15" hidden="false" customHeight="false" outlineLevel="0" collapsed="false">
      <c r="A2219" s="16" t="n">
        <f aca="false">RANK(G2219,$G$2:$G$2501)+COUNTIF($G$2:G2219,G2219)-1</f>
        <v>2218</v>
      </c>
      <c r="B2219" s="11" t="s">
        <v>5434</v>
      </c>
      <c r="C2219" s="11" t="s">
        <v>5435</v>
      </c>
      <c r="D2219" s="5" t="s">
        <v>74</v>
      </c>
      <c r="E2219" s="5" t="s">
        <v>75</v>
      </c>
      <c r="F2219" s="5"/>
      <c r="G2219" s="22" t="n">
        <f aca="false">ROUND(SUM(I2219:P2219),3)</f>
        <v>47.83</v>
      </c>
      <c r="H2219" s="5" t="str">
        <f aca="false">IF(G2219&gt;=評分方法!$C$16,"優先評估",IF(G2219&gt;=評分方法!$C$17,"列入候選",IF(G2219&gt;=評分方法!$C$18,"特定情境","不建議")))</f>
        <v>不建議</v>
      </c>
      <c r="I2219" s="15" t="n">
        <f aca="false">AE2219*評分方法!$C$5</f>
        <v>4.5</v>
      </c>
      <c r="J2219" s="15" t="n">
        <f aca="false">AF2219*評分方法!$C$6</f>
        <v>0</v>
      </c>
      <c r="K2219" s="15" t="n">
        <f aca="false">AG2219*評分方法!$C$7</f>
        <v>4.95</v>
      </c>
      <c r="L2219" s="15" t="n">
        <f aca="false">AH2219*評分方法!$C$8</f>
        <v>15</v>
      </c>
      <c r="M2219" s="15" t="n">
        <f aca="false">AI2219*評分方法!$C$9</f>
        <v>10</v>
      </c>
      <c r="N2219" s="15" t="n">
        <f aca="false">AJ2219*評分方法!$C$10</f>
        <v>9.38</v>
      </c>
      <c r="O2219" s="15" t="n">
        <f aca="false">AK2219*評分方法!$C$11</f>
        <v>2.5</v>
      </c>
      <c r="P2219" s="15" t="n">
        <f aca="false">AL2219*評分方法!$C$12</f>
        <v>1.5</v>
      </c>
      <c r="Q2219" s="6" t="n">
        <v>7159784</v>
      </c>
      <c r="R2219" s="6" t="n">
        <v>150748019</v>
      </c>
      <c r="S2219" s="11" t="s">
        <v>238</v>
      </c>
      <c r="T2219" s="11" t="s">
        <v>239</v>
      </c>
      <c r="U2219" s="5" t="s">
        <v>240</v>
      </c>
      <c r="V2219" s="11" t="s">
        <v>324</v>
      </c>
      <c r="W2219" s="5" t="s">
        <v>334</v>
      </c>
      <c r="X2219" s="5" t="s">
        <v>255</v>
      </c>
      <c r="Y2219" s="5"/>
      <c r="Z2219" s="5"/>
      <c r="AA2219" s="11" t="s">
        <v>183</v>
      </c>
      <c r="AB2219" s="5" t="s">
        <v>245</v>
      </c>
      <c r="AC2219" s="5"/>
      <c r="AD2219" s="11" t="s">
        <v>5436</v>
      </c>
      <c r="AE2219" s="23" t="n">
        <v>0.15</v>
      </c>
      <c r="AF2219" s="23" t="n">
        <v>0</v>
      </c>
      <c r="AG2219" s="23" t="n">
        <v>0.33</v>
      </c>
      <c r="AH2219" s="23" t="n">
        <v>1</v>
      </c>
      <c r="AI2219" s="23" t="n">
        <v>1</v>
      </c>
      <c r="AJ2219" s="23" t="n">
        <v>0.938</v>
      </c>
      <c r="AK2219" s="23" t="n">
        <v>0.5</v>
      </c>
      <c r="AL2219" s="23" t="n">
        <v>0.3</v>
      </c>
      <c r="AM2219" s="16" t="n">
        <f aca="false">COUNTIFS($D$2:$D$2501,D2219,$G$2:$G$2501,"&gt;"&amp;G2219)+COUNTIFS($D$2:D2219,D2219,$G$2:G2219,G2219)</f>
        <v>297</v>
      </c>
      <c r="AN2219" s="5" t="str">
        <f aca="false">D2219&amp;"|"&amp;AM2219</f>
        <v>文件與影像辨識|297</v>
      </c>
    </row>
    <row r="2220" customFormat="false" ht="17.15" hidden="false" customHeight="false" outlineLevel="0" collapsed="false">
      <c r="A2220" s="16" t="n">
        <f aca="false">RANK(G2220,$G$2:$G$2501)+COUNTIF($G$2:G2220,G2220)-1</f>
        <v>2219</v>
      </c>
      <c r="B2220" s="11" t="s">
        <v>5437</v>
      </c>
      <c r="C2220" s="11" t="s">
        <v>5345</v>
      </c>
      <c r="D2220" s="5" t="s">
        <v>80</v>
      </c>
      <c r="E2220" s="5" t="s">
        <v>81</v>
      </c>
      <c r="F2220" s="5"/>
      <c r="G2220" s="22" t="n">
        <f aca="false">ROUND(SUM(I2220:P2220),3)</f>
        <v>47.822</v>
      </c>
      <c r="H2220" s="5" t="str">
        <f aca="false">IF(G2220&gt;=評分方法!$C$16,"優先評估",IF(G2220&gt;=評分方法!$C$17,"列入候選",IF(G2220&gt;=評分方法!$C$18,"特定情境","不建議")))</f>
        <v>不建議</v>
      </c>
      <c r="I2220" s="15" t="n">
        <f aca="false">AE2220*評分方法!$C$5</f>
        <v>6</v>
      </c>
      <c r="J2220" s="15" t="n">
        <f aca="false">AF2220*評分方法!$C$6</f>
        <v>0</v>
      </c>
      <c r="K2220" s="15" t="n">
        <f aca="false">AG2220*評分方法!$C$7</f>
        <v>4.95</v>
      </c>
      <c r="L2220" s="15" t="n">
        <f aca="false">AH2220*評分方法!$C$8</f>
        <v>15</v>
      </c>
      <c r="M2220" s="15" t="n">
        <f aca="false">AI2220*評分方法!$C$9</f>
        <v>10</v>
      </c>
      <c r="N2220" s="15" t="n">
        <f aca="false">AJ2220*評分方法!$C$10</f>
        <v>6.872</v>
      </c>
      <c r="O2220" s="15" t="n">
        <f aca="false">AK2220*評分方法!$C$11</f>
        <v>5</v>
      </c>
      <c r="P2220" s="15" t="n">
        <f aca="false">AL2220*評分方法!$C$12</f>
        <v>0</v>
      </c>
      <c r="Q2220" s="6" t="n">
        <v>861340</v>
      </c>
      <c r="R2220" s="6" t="n">
        <v>225753308</v>
      </c>
      <c r="S2220" s="11" t="s">
        <v>238</v>
      </c>
      <c r="T2220" s="11" t="s">
        <v>278</v>
      </c>
      <c r="U2220" s="5" t="s">
        <v>240</v>
      </c>
      <c r="V2220" s="11" t="s">
        <v>261</v>
      </c>
      <c r="W2220" s="5" t="s">
        <v>334</v>
      </c>
      <c r="X2220" s="5" t="s">
        <v>242</v>
      </c>
      <c r="Y2220" s="5"/>
      <c r="Z2220" s="5"/>
      <c r="AA2220" s="5"/>
      <c r="AB2220" s="5" t="s">
        <v>255</v>
      </c>
      <c r="AC2220" s="5"/>
      <c r="AD2220" s="11" t="s">
        <v>5438</v>
      </c>
      <c r="AE2220" s="23" t="n">
        <v>0.2</v>
      </c>
      <c r="AF2220" s="23" t="n">
        <v>0</v>
      </c>
      <c r="AG2220" s="23" t="n">
        <v>0.33</v>
      </c>
      <c r="AH2220" s="23" t="n">
        <v>1</v>
      </c>
      <c r="AI2220" s="23" t="n">
        <v>1</v>
      </c>
      <c r="AJ2220" s="23" t="n">
        <v>0.6872</v>
      </c>
      <c r="AK2220" s="23" t="n">
        <v>1</v>
      </c>
      <c r="AL2220" s="23" t="n">
        <v>0</v>
      </c>
      <c r="AM2220" s="16" t="n">
        <f aca="false">COUNTIFS($D$2:$D$2501,D2220,$G$2:$G$2501,"&gt;"&amp;G2220)+COUNTIFS($D$2:D2220,D2220,$G$2:G2220,G2220)</f>
        <v>25</v>
      </c>
      <c r="AN2220" s="5" t="str">
        <f aca="false">D2220&amp;"|"&amp;AM2220</f>
        <v>其他|25</v>
      </c>
    </row>
    <row r="2221" customFormat="false" ht="17.15" hidden="false" customHeight="false" outlineLevel="0" collapsed="false">
      <c r="A2221" s="16" t="n">
        <f aca="false">RANK(G2221,$G$2:$G$2501)+COUNTIF($G$2:G2221,G2221)-1</f>
        <v>2220</v>
      </c>
      <c r="B2221" s="11" t="s">
        <v>5439</v>
      </c>
      <c r="C2221" s="11" t="s">
        <v>4046</v>
      </c>
      <c r="D2221" s="5" t="s">
        <v>78</v>
      </c>
      <c r="E2221" s="5" t="s">
        <v>79</v>
      </c>
      <c r="F2221" s="5"/>
      <c r="G2221" s="22" t="n">
        <f aca="false">ROUND(SUM(I2221:P2221),3)</f>
        <v>47.808</v>
      </c>
      <c r="H2221" s="5" t="str">
        <f aca="false">IF(G2221&gt;=評分方法!$C$16,"優先評估",IF(G2221&gt;=評分方法!$C$17,"列入候選",IF(G2221&gt;=評分方法!$C$18,"特定情境","不建議")))</f>
        <v>不建議</v>
      </c>
      <c r="I2221" s="15" t="n">
        <f aca="false">AE2221*評分方法!$C$5</f>
        <v>9</v>
      </c>
      <c r="J2221" s="15" t="n">
        <f aca="false">AF2221*評分方法!$C$6</f>
        <v>0</v>
      </c>
      <c r="K2221" s="15" t="n">
        <f aca="false">AG2221*評分方法!$C$7</f>
        <v>4.95</v>
      </c>
      <c r="L2221" s="15" t="n">
        <f aca="false">AH2221*評分方法!$C$8</f>
        <v>13.05</v>
      </c>
      <c r="M2221" s="15" t="n">
        <f aca="false">AI2221*評分方法!$C$9</f>
        <v>10</v>
      </c>
      <c r="N2221" s="15" t="n">
        <f aca="false">AJ2221*評分方法!$C$10</f>
        <v>0.808</v>
      </c>
      <c r="O2221" s="15" t="n">
        <f aca="false">AK2221*評分方法!$C$11</f>
        <v>5</v>
      </c>
      <c r="P2221" s="15" t="n">
        <f aca="false">AL2221*評分方法!$C$12</f>
        <v>5</v>
      </c>
      <c r="Q2221" s="6" t="n">
        <v>146599</v>
      </c>
      <c r="R2221" s="6" t="n">
        <v>1543321440</v>
      </c>
      <c r="S2221" s="11" t="s">
        <v>254</v>
      </c>
      <c r="T2221" s="11" t="s">
        <v>239</v>
      </c>
      <c r="U2221" s="5" t="s">
        <v>240</v>
      </c>
      <c r="V2221" s="11" t="s">
        <v>333</v>
      </c>
      <c r="W2221" s="5" t="s">
        <v>334</v>
      </c>
      <c r="X2221" s="5" t="s">
        <v>284</v>
      </c>
      <c r="Y2221" s="11" t="s">
        <v>4530</v>
      </c>
      <c r="Z2221" s="11" t="s">
        <v>244</v>
      </c>
      <c r="AA2221" s="11" t="s">
        <v>175</v>
      </c>
      <c r="AB2221" s="5" t="s">
        <v>245</v>
      </c>
      <c r="AC2221" s="5" t="s">
        <v>246</v>
      </c>
      <c r="AD2221" s="11" t="s">
        <v>5440</v>
      </c>
      <c r="AE2221" s="23" t="n">
        <v>0.3</v>
      </c>
      <c r="AF2221" s="23" t="n">
        <v>0</v>
      </c>
      <c r="AG2221" s="23" t="n">
        <v>0.33</v>
      </c>
      <c r="AH2221" s="23" t="n">
        <v>0.87</v>
      </c>
      <c r="AI2221" s="23" t="n">
        <v>1</v>
      </c>
      <c r="AJ2221" s="23" t="n">
        <v>0.0808</v>
      </c>
      <c r="AK2221" s="23" t="n">
        <v>1</v>
      </c>
      <c r="AL2221" s="23" t="n">
        <v>1</v>
      </c>
      <c r="AM2221" s="16" t="n">
        <f aca="false">COUNTIFS($D$2:$D$2501,D2221,$G$2:$G$2501,"&gt;"&amp;G2221)+COUNTIFS($D$2:D2221,D2221,$G$2:G2221,G2221)</f>
        <v>80</v>
      </c>
      <c r="AN2221" s="5" t="str">
        <f aca="false">D2221&amp;"|"&amp;AM2221</f>
        <v>語音分析|80</v>
      </c>
    </row>
    <row r="2222" customFormat="false" ht="17.15" hidden="false" customHeight="false" outlineLevel="0" collapsed="false">
      <c r="A2222" s="16" t="n">
        <f aca="false">RANK(G2222,$G$2:$G$2501)+COUNTIF($G$2:G2222,G2222)-1</f>
        <v>2221</v>
      </c>
      <c r="B2222" s="11" t="s">
        <v>5441</v>
      </c>
      <c r="C2222" s="11" t="s">
        <v>5442</v>
      </c>
      <c r="D2222" s="5" t="s">
        <v>56</v>
      </c>
      <c r="E2222" s="5" t="s">
        <v>57</v>
      </c>
      <c r="F2222" s="5"/>
      <c r="G2222" s="22" t="n">
        <f aca="false">ROUND(SUM(I2222:P2222),3)</f>
        <v>47.784</v>
      </c>
      <c r="H2222" s="5" t="str">
        <f aca="false">IF(G2222&gt;=評分方法!$C$16,"優先評估",IF(G2222&gt;=評分方法!$C$17,"列入候選",IF(G2222&gt;=評分方法!$C$18,"特定情境","不建議")))</f>
        <v>不建議</v>
      </c>
      <c r="I2222" s="15" t="n">
        <f aca="false">AE2222*評分方法!$C$5</f>
        <v>25.5</v>
      </c>
      <c r="J2222" s="15" t="n">
        <f aca="false">AF2222*評分方法!$C$6</f>
        <v>0</v>
      </c>
      <c r="K2222" s="15" t="n">
        <f aca="false">AG2222*評分方法!$C$7</f>
        <v>4.95</v>
      </c>
      <c r="L2222" s="15" t="n">
        <f aca="false">AH2222*評分方法!$C$8</f>
        <v>1.95</v>
      </c>
      <c r="M2222" s="15" t="n">
        <f aca="false">AI2222*評分方法!$C$9</f>
        <v>10</v>
      </c>
      <c r="N2222" s="15" t="n">
        <f aca="false">AJ2222*評分方法!$C$10</f>
        <v>1.384</v>
      </c>
      <c r="O2222" s="15" t="n">
        <f aca="false">AK2222*評分方法!$C$11</f>
        <v>1</v>
      </c>
      <c r="P2222" s="15" t="n">
        <f aca="false">AL2222*評分方法!$C$12</f>
        <v>3</v>
      </c>
      <c r="Q2222" s="6" t="n">
        <v>173177</v>
      </c>
      <c r="R2222" s="6" t="n">
        <v>316490127360</v>
      </c>
      <c r="S2222" s="11" t="s">
        <v>1616</v>
      </c>
      <c r="T2222" s="11" t="s">
        <v>239</v>
      </c>
      <c r="U2222" s="5" t="s">
        <v>240</v>
      </c>
      <c r="V2222" s="11" t="s">
        <v>333</v>
      </c>
      <c r="W2222" s="5" t="s">
        <v>334</v>
      </c>
      <c r="X2222" s="5" t="s">
        <v>371</v>
      </c>
      <c r="Y2222" s="5"/>
      <c r="Z2222" s="5"/>
      <c r="AA2222" s="11" t="s">
        <v>155</v>
      </c>
      <c r="AB2222" s="5" t="s">
        <v>961</v>
      </c>
      <c r="AC2222" s="5" t="s">
        <v>1203</v>
      </c>
      <c r="AD2222" s="11" t="s">
        <v>5443</v>
      </c>
      <c r="AE2222" s="23" t="n">
        <v>0.85</v>
      </c>
      <c r="AF2222" s="23" t="n">
        <v>0</v>
      </c>
      <c r="AG2222" s="23" t="n">
        <v>0.33</v>
      </c>
      <c r="AH2222" s="23" t="n">
        <v>0.13</v>
      </c>
      <c r="AI2222" s="23" t="n">
        <v>1</v>
      </c>
      <c r="AJ2222" s="23" t="n">
        <v>0.1384</v>
      </c>
      <c r="AK2222" s="23" t="n">
        <v>0.2</v>
      </c>
      <c r="AL2222" s="23" t="n">
        <v>0.6</v>
      </c>
      <c r="AM2222" s="16" t="n">
        <f aca="false">COUNTIFS($D$2:$D$2501,D2222,$G$2:$G$2501,"&gt;"&amp;G2222)+COUNTIFS($D$2:D2222,D2222,$G$2:G2222,G2222)</f>
        <v>961</v>
      </c>
      <c r="AN2222" s="5" t="str">
        <f aca="false">D2222&amp;"|"&amp;AM2222</f>
        <v>分析與報告生成|961</v>
      </c>
    </row>
    <row r="2223" customFormat="false" ht="17.15" hidden="false" customHeight="false" outlineLevel="0" collapsed="false">
      <c r="A2223" s="16" t="n">
        <f aca="false">RANK(G2223,$G$2:$G$2501)+COUNTIF($G$2:G2223,G2223)-1</f>
        <v>2222</v>
      </c>
      <c r="B2223" s="11" t="s">
        <v>5444</v>
      </c>
      <c r="C2223" s="11" t="s">
        <v>4507</v>
      </c>
      <c r="D2223" s="5" t="s">
        <v>56</v>
      </c>
      <c r="E2223" s="5" t="s">
        <v>57</v>
      </c>
      <c r="F2223" s="5"/>
      <c r="G2223" s="22" t="n">
        <f aca="false">ROUND(SUM(I2223:P2223),3)</f>
        <v>47.784</v>
      </c>
      <c r="H2223" s="5" t="str">
        <f aca="false">IF(G2223&gt;=評分方法!$C$16,"優先評估",IF(G2223&gt;=評分方法!$C$17,"列入候選",IF(G2223&gt;=評分方法!$C$18,"特定情境","不建議")))</f>
        <v>不建議</v>
      </c>
      <c r="I2223" s="15" t="n">
        <f aca="false">AE2223*評分方法!$C$5</f>
        <v>25.5</v>
      </c>
      <c r="J2223" s="15" t="n">
        <f aca="false">AF2223*評分方法!$C$6</f>
        <v>0</v>
      </c>
      <c r="K2223" s="15" t="n">
        <f aca="false">AG2223*評分方法!$C$7</f>
        <v>4.95</v>
      </c>
      <c r="L2223" s="15" t="n">
        <f aca="false">AH2223*評分方法!$C$8</f>
        <v>1.95</v>
      </c>
      <c r="M2223" s="15" t="n">
        <f aca="false">AI2223*評分方法!$C$9</f>
        <v>10</v>
      </c>
      <c r="N2223" s="15" t="n">
        <f aca="false">AJ2223*評分方法!$C$10</f>
        <v>0.384</v>
      </c>
      <c r="O2223" s="15" t="n">
        <f aca="false">AK2223*評分方法!$C$11</f>
        <v>5</v>
      </c>
      <c r="P2223" s="15" t="n">
        <f aca="false">AL2223*評分方法!$C$12</f>
        <v>0</v>
      </c>
      <c r="Q2223" s="6" t="n">
        <v>127872</v>
      </c>
      <c r="R2223" s="6" t="n">
        <v>518983059456</v>
      </c>
      <c r="S2223" s="11" t="s">
        <v>1616</v>
      </c>
      <c r="T2223" s="11" t="s">
        <v>239</v>
      </c>
      <c r="U2223" s="5" t="s">
        <v>240</v>
      </c>
      <c r="V2223" s="11" t="s">
        <v>261</v>
      </c>
      <c r="W2223" s="5" t="s">
        <v>334</v>
      </c>
      <c r="X2223" s="5" t="s">
        <v>242</v>
      </c>
      <c r="Y2223" s="5"/>
      <c r="Z2223" s="5"/>
      <c r="AA2223" s="11" t="s">
        <v>155</v>
      </c>
      <c r="AB2223" s="5" t="s">
        <v>245</v>
      </c>
      <c r="AC2223" s="5"/>
      <c r="AD2223" s="11" t="s">
        <v>5445</v>
      </c>
      <c r="AE2223" s="23" t="n">
        <v>0.85</v>
      </c>
      <c r="AF2223" s="23" t="n">
        <v>0</v>
      </c>
      <c r="AG2223" s="23" t="n">
        <v>0.33</v>
      </c>
      <c r="AH2223" s="23" t="n">
        <v>0.13</v>
      </c>
      <c r="AI2223" s="23" t="n">
        <v>1</v>
      </c>
      <c r="AJ2223" s="23" t="n">
        <v>0.0384</v>
      </c>
      <c r="AK2223" s="23" t="n">
        <v>1</v>
      </c>
      <c r="AL2223" s="23" t="n">
        <v>0</v>
      </c>
      <c r="AM2223" s="16" t="n">
        <f aca="false">COUNTIFS($D$2:$D$2501,D2223,$G$2:$G$2501,"&gt;"&amp;G2223)+COUNTIFS($D$2:D2223,D2223,$G$2:G2223,G2223)</f>
        <v>962</v>
      </c>
      <c r="AN2223" s="5" t="str">
        <f aca="false">D2223&amp;"|"&amp;AM2223</f>
        <v>分析與報告生成|962</v>
      </c>
    </row>
    <row r="2224" customFormat="false" ht="17.15" hidden="false" customHeight="false" outlineLevel="0" collapsed="false">
      <c r="A2224" s="16" t="n">
        <f aca="false">RANK(G2224,$G$2:$G$2501)+COUNTIF($G$2:G2224,G2224)-1</f>
        <v>2223</v>
      </c>
      <c r="B2224" s="11" t="s">
        <v>5446</v>
      </c>
      <c r="C2224" s="11" t="s">
        <v>5447</v>
      </c>
      <c r="D2224" s="5" t="s">
        <v>54</v>
      </c>
      <c r="E2224" s="5" t="s">
        <v>55</v>
      </c>
      <c r="F2224" s="5"/>
      <c r="G2224" s="22" t="n">
        <f aca="false">ROUND(SUM(I2224:P2224),3)</f>
        <v>47.766</v>
      </c>
      <c r="H2224" s="5" t="str">
        <f aca="false">IF(G2224&gt;=評分方法!$C$16,"優先評估",IF(G2224&gt;=評分方法!$C$17,"列入候選",IF(G2224&gt;=評分方法!$C$18,"特定情境","不建議")))</f>
        <v>不建議</v>
      </c>
      <c r="I2224" s="15" t="n">
        <f aca="false">AE2224*評分方法!$C$5</f>
        <v>16.2</v>
      </c>
      <c r="J2224" s="15" t="n">
        <f aca="false">AF2224*評分方法!$C$6</f>
        <v>0</v>
      </c>
      <c r="K2224" s="15" t="n">
        <f aca="false">AG2224*評分方法!$C$7</f>
        <v>4.95</v>
      </c>
      <c r="L2224" s="15" t="n">
        <f aca="false">AH2224*評分方法!$C$8</f>
        <v>15</v>
      </c>
      <c r="M2224" s="15" t="n">
        <f aca="false">AI2224*評分方法!$C$9</f>
        <v>2</v>
      </c>
      <c r="N2224" s="15" t="n">
        <f aca="false">AJ2224*評分方法!$C$10</f>
        <v>8.616</v>
      </c>
      <c r="O2224" s="15" t="n">
        <f aca="false">AK2224*評分方法!$C$11</f>
        <v>1</v>
      </c>
      <c r="P2224" s="15" t="n">
        <f aca="false">AL2224*評分方法!$C$12</f>
        <v>0</v>
      </c>
      <c r="Q2224" s="6" t="n">
        <v>2552146</v>
      </c>
      <c r="R2224" s="6" t="n">
        <v>135589122</v>
      </c>
      <c r="S2224" s="11" t="s">
        <v>238</v>
      </c>
      <c r="T2224" s="5"/>
      <c r="U2224" s="5" t="s">
        <v>375</v>
      </c>
      <c r="V2224" s="11" t="s">
        <v>324</v>
      </c>
      <c r="W2224" s="5" t="s">
        <v>334</v>
      </c>
      <c r="X2224" s="5" t="s">
        <v>242</v>
      </c>
      <c r="Y2224" s="5"/>
      <c r="Z2224" s="5"/>
      <c r="AA2224" s="11" t="s">
        <v>152</v>
      </c>
      <c r="AB2224" s="5" t="s">
        <v>245</v>
      </c>
      <c r="AC2224" s="5" t="s">
        <v>4841</v>
      </c>
      <c r="AD2224" s="11" t="s">
        <v>5448</v>
      </c>
      <c r="AE2224" s="23" t="n">
        <v>0.54</v>
      </c>
      <c r="AF2224" s="23" t="n">
        <v>0</v>
      </c>
      <c r="AG2224" s="23" t="n">
        <v>0.33</v>
      </c>
      <c r="AH2224" s="23" t="n">
        <v>1</v>
      </c>
      <c r="AI2224" s="23" t="n">
        <v>0.2</v>
      </c>
      <c r="AJ2224" s="23" t="n">
        <v>0.8616</v>
      </c>
      <c r="AK2224" s="23" t="n">
        <v>0.2</v>
      </c>
      <c r="AL2224" s="23" t="n">
        <v>0</v>
      </c>
      <c r="AM2224" s="16" t="n">
        <f aca="false">COUNTIFS($D$2:$D$2501,D2224,$G$2:$G$2501,"&gt;"&amp;G2224)+COUNTIFS($D$2:D2224,D2224,$G$2:G2224,G2224)</f>
        <v>266</v>
      </c>
      <c r="AN2224" s="5" t="str">
        <f aca="false">D2224&amp;"|"&amp;AM2224</f>
        <v>檢索與情資關聯|266</v>
      </c>
    </row>
    <row r="2225" customFormat="false" ht="17.15" hidden="false" customHeight="false" outlineLevel="0" collapsed="false">
      <c r="A2225" s="16" t="n">
        <f aca="false">RANK(G2225,$G$2:$G$2501)+COUNTIF($G$2:G2225,G2225)-1</f>
        <v>2224</v>
      </c>
      <c r="B2225" s="11" t="s">
        <v>5449</v>
      </c>
      <c r="C2225" s="11" t="s">
        <v>5450</v>
      </c>
      <c r="D2225" s="5" t="s">
        <v>72</v>
      </c>
      <c r="E2225" s="5" t="s">
        <v>73</v>
      </c>
      <c r="F2225" s="5"/>
      <c r="G2225" s="22" t="n">
        <f aca="false">ROUND(SUM(I2225:P2225),3)</f>
        <v>47.73</v>
      </c>
      <c r="H2225" s="5" t="str">
        <f aca="false">IF(G2225&gt;=評分方法!$C$16,"優先評估",IF(G2225&gt;=評分方法!$C$17,"列入候選",IF(G2225&gt;=評分方法!$C$18,"特定情境","不建議")))</f>
        <v>不建議</v>
      </c>
      <c r="I2225" s="15" t="n">
        <f aca="false">AE2225*評分方法!$C$5</f>
        <v>15</v>
      </c>
      <c r="J2225" s="15" t="n">
        <f aca="false">AF2225*評分方法!$C$6</f>
        <v>0</v>
      </c>
      <c r="K2225" s="15" t="n">
        <f aca="false">AG2225*評分方法!$C$7</f>
        <v>4.95</v>
      </c>
      <c r="L2225" s="15" t="n">
        <f aca="false">AH2225*評分方法!$C$8</f>
        <v>15</v>
      </c>
      <c r="M2225" s="15" t="n">
        <f aca="false">AI2225*評分方法!$C$9</f>
        <v>2</v>
      </c>
      <c r="N2225" s="15" t="n">
        <f aca="false">AJ2225*評分方法!$C$10</f>
        <v>6.78</v>
      </c>
      <c r="O2225" s="15" t="n">
        <f aca="false">AK2225*評分方法!$C$11</f>
        <v>2.5</v>
      </c>
      <c r="P2225" s="15" t="n">
        <f aca="false">AL2225*評分方法!$C$12</f>
        <v>1.5</v>
      </c>
      <c r="Q2225" s="6" t="n">
        <v>835318</v>
      </c>
      <c r="R2225" s="6" t="n">
        <v>124697947</v>
      </c>
      <c r="S2225" s="11" t="s">
        <v>238</v>
      </c>
      <c r="T2225" s="5"/>
      <c r="U2225" s="5" t="s">
        <v>375</v>
      </c>
      <c r="V2225" s="11" t="s">
        <v>324</v>
      </c>
      <c r="W2225" s="5" t="s">
        <v>334</v>
      </c>
      <c r="X2225" s="5" t="s">
        <v>255</v>
      </c>
      <c r="Y2225" s="5"/>
      <c r="Z2225" s="5"/>
      <c r="AA2225" s="11" t="s">
        <v>162</v>
      </c>
      <c r="AB2225" s="5" t="s">
        <v>245</v>
      </c>
      <c r="AC2225" s="5" t="s">
        <v>262</v>
      </c>
      <c r="AD2225" s="11" t="s">
        <v>5451</v>
      </c>
      <c r="AE2225" s="23" t="n">
        <v>0.5</v>
      </c>
      <c r="AF2225" s="23" t="n">
        <v>0</v>
      </c>
      <c r="AG2225" s="23" t="n">
        <v>0.33</v>
      </c>
      <c r="AH2225" s="23" t="n">
        <v>1</v>
      </c>
      <c r="AI2225" s="23" t="n">
        <v>0.2</v>
      </c>
      <c r="AJ2225" s="23" t="n">
        <v>0.678</v>
      </c>
      <c r="AK2225" s="23" t="n">
        <v>0.5</v>
      </c>
      <c r="AL2225" s="23" t="n">
        <v>0.3</v>
      </c>
      <c r="AM2225" s="16" t="n">
        <f aca="false">COUNTIFS($D$2:$D$2501,D2225,$G$2:$G$2501,"&gt;"&amp;G2225)+COUNTIFS($D$2:D2225,D2225,$G$2:G2225,G2225)</f>
        <v>48</v>
      </c>
      <c r="AN2225" s="5" t="str">
        <f aca="false">D2225&amp;"|"&amp;AM2225</f>
        <v>微調基底模型|48</v>
      </c>
    </row>
    <row r="2226" customFormat="false" ht="17.15" hidden="false" customHeight="false" outlineLevel="0" collapsed="false">
      <c r="A2226" s="16" t="n">
        <f aca="false">RANK(G2226,$G$2:$G$2501)+COUNTIF($G$2:G2226,G2226)-1</f>
        <v>2225</v>
      </c>
      <c r="B2226" s="11" t="s">
        <v>5452</v>
      </c>
      <c r="C2226" s="11" t="s">
        <v>2879</v>
      </c>
      <c r="D2226" s="5" t="s">
        <v>66</v>
      </c>
      <c r="E2226" s="5" t="s">
        <v>67</v>
      </c>
      <c r="F2226" s="5"/>
      <c r="G2226" s="22" t="n">
        <f aca="false">ROUND(SUM(I2226:P2226),3)</f>
        <v>47.68</v>
      </c>
      <c r="H2226" s="5" t="str">
        <f aca="false">IF(G2226&gt;=評分方法!$C$16,"優先評估",IF(G2226&gt;=評分方法!$C$17,"列入候選",IF(G2226&gt;=評分方法!$C$18,"特定情境","不建議")))</f>
        <v>不建議</v>
      </c>
      <c r="I2226" s="15" t="n">
        <f aca="false">AE2226*評分方法!$C$5</f>
        <v>12</v>
      </c>
      <c r="J2226" s="15" t="n">
        <f aca="false">AF2226*評分方法!$C$6</f>
        <v>0</v>
      </c>
      <c r="K2226" s="15" t="n">
        <f aca="false">AG2226*評分方法!$C$7</f>
        <v>10.05</v>
      </c>
      <c r="L2226" s="15" t="n">
        <f aca="false">AH2226*評分方法!$C$8</f>
        <v>7.05</v>
      </c>
      <c r="M2226" s="15" t="n">
        <f aca="false">AI2226*評分方法!$C$9</f>
        <v>10</v>
      </c>
      <c r="N2226" s="15" t="n">
        <f aca="false">AJ2226*評分方法!$C$10</f>
        <v>4.58</v>
      </c>
      <c r="O2226" s="15" t="n">
        <f aca="false">AK2226*評分方法!$C$11</f>
        <v>2.5</v>
      </c>
      <c r="P2226" s="15" t="n">
        <f aca="false">AL2226*評分方法!$C$12</f>
        <v>1.5</v>
      </c>
      <c r="Q2226" s="6" t="n">
        <v>498715</v>
      </c>
      <c r="R2226" s="6"/>
      <c r="S2226" s="5" t="s">
        <v>255</v>
      </c>
      <c r="T2226" s="11" t="s">
        <v>239</v>
      </c>
      <c r="U2226" s="5" t="s">
        <v>240</v>
      </c>
      <c r="V2226" s="11" t="s">
        <v>288</v>
      </c>
      <c r="W2226" s="5" t="s">
        <v>207</v>
      </c>
      <c r="X2226" s="5" t="s">
        <v>255</v>
      </c>
      <c r="Y2226" s="11" t="s">
        <v>1885</v>
      </c>
      <c r="Z2226" s="11" t="s">
        <v>244</v>
      </c>
      <c r="AA2226" s="11" t="s">
        <v>149</v>
      </c>
      <c r="AB2226" s="5" t="s">
        <v>245</v>
      </c>
      <c r="AC2226" s="5" t="s">
        <v>5252</v>
      </c>
      <c r="AD2226" s="11" t="s">
        <v>5453</v>
      </c>
      <c r="AE2226" s="23" t="n">
        <v>0.4</v>
      </c>
      <c r="AF2226" s="23" t="n">
        <v>0</v>
      </c>
      <c r="AG2226" s="23" t="n">
        <v>0.67</v>
      </c>
      <c r="AH2226" s="23" t="n">
        <v>0.47</v>
      </c>
      <c r="AI2226" s="23" t="n">
        <v>1</v>
      </c>
      <c r="AJ2226" s="23" t="n">
        <v>0.458</v>
      </c>
      <c r="AK2226" s="23" t="n">
        <v>0.5</v>
      </c>
      <c r="AL2226" s="23" t="n">
        <v>0.3</v>
      </c>
      <c r="AM2226" s="16" t="n">
        <f aca="false">COUNTIFS($D$2:$D$2501,D2226,$G$2:$G$2501,"&gt;"&amp;G2226)+COUNTIFS($D$2:D2226,D2226,$G$2:G2226,G2226)</f>
        <v>66</v>
      </c>
      <c r="AN2226" s="5" t="str">
        <f aca="false">D2226&amp;"|"&amp;AM2226</f>
        <v>分類與偵測|66</v>
      </c>
    </row>
    <row r="2227" customFormat="false" ht="17.15" hidden="false" customHeight="false" outlineLevel="0" collapsed="false">
      <c r="A2227" s="16" t="n">
        <f aca="false">RANK(G2227,$G$2:$G$2501)+COUNTIF($G$2:G2227,G2227)-1</f>
        <v>2226</v>
      </c>
      <c r="B2227" s="11" t="s">
        <v>5454</v>
      </c>
      <c r="C2227" s="11" t="s">
        <v>1950</v>
      </c>
      <c r="D2227" s="5" t="s">
        <v>74</v>
      </c>
      <c r="E2227" s="5" t="s">
        <v>75</v>
      </c>
      <c r="F2227" s="5"/>
      <c r="G2227" s="22" t="n">
        <f aca="false">ROUND(SUM(I2227:P2227),3)</f>
        <v>47.664</v>
      </c>
      <c r="H2227" s="5" t="str">
        <f aca="false">IF(G2227&gt;=評分方法!$C$16,"優先評估",IF(G2227&gt;=評分方法!$C$17,"列入候選",IF(G2227&gt;=評分方法!$C$18,"特定情境","不建議")))</f>
        <v>不建議</v>
      </c>
      <c r="I2227" s="15" t="n">
        <f aca="false">AE2227*評分方法!$C$5</f>
        <v>7.5</v>
      </c>
      <c r="J2227" s="15" t="n">
        <f aca="false">AF2227*評分方法!$C$6</f>
        <v>0</v>
      </c>
      <c r="K2227" s="15" t="n">
        <f aca="false">AG2227*評分方法!$C$7</f>
        <v>4.95</v>
      </c>
      <c r="L2227" s="15" t="n">
        <f aca="false">AH2227*評分方法!$C$8</f>
        <v>13.05</v>
      </c>
      <c r="M2227" s="15" t="n">
        <f aca="false">AI2227*評分方法!$C$9</f>
        <v>6</v>
      </c>
      <c r="N2227" s="15" t="n">
        <f aca="false">AJ2227*評分方法!$C$10</f>
        <v>9.664</v>
      </c>
      <c r="O2227" s="15" t="n">
        <f aca="false">AK2227*評分方法!$C$11</f>
        <v>5</v>
      </c>
      <c r="P2227" s="15" t="n">
        <f aca="false">AL2227*評分方法!$C$12</f>
        <v>1.5</v>
      </c>
      <c r="Q2227" s="6" t="n">
        <v>12392986</v>
      </c>
      <c r="R2227" s="6" t="n">
        <v>3830665968</v>
      </c>
      <c r="S2227" s="11" t="s">
        <v>254</v>
      </c>
      <c r="T2227" s="11" t="s">
        <v>185</v>
      </c>
      <c r="U2227" s="5" t="s">
        <v>260</v>
      </c>
      <c r="V2227" s="11" t="s">
        <v>333</v>
      </c>
      <c r="W2227" s="5" t="s">
        <v>334</v>
      </c>
      <c r="X2227" s="5" t="s">
        <v>255</v>
      </c>
      <c r="Y2227" s="11" t="s">
        <v>5455</v>
      </c>
      <c r="Z2227" s="11" t="s">
        <v>244</v>
      </c>
      <c r="AA2227" s="11" t="s">
        <v>178</v>
      </c>
      <c r="AB2227" s="5" t="s">
        <v>245</v>
      </c>
      <c r="AC2227" s="5" t="s">
        <v>464</v>
      </c>
      <c r="AD2227" s="11" t="s">
        <v>5456</v>
      </c>
      <c r="AE2227" s="23" t="n">
        <v>0.25</v>
      </c>
      <c r="AF2227" s="23" t="n">
        <v>0</v>
      </c>
      <c r="AG2227" s="23" t="n">
        <v>0.33</v>
      </c>
      <c r="AH2227" s="23" t="n">
        <v>0.87</v>
      </c>
      <c r="AI2227" s="23" t="n">
        <v>0.6</v>
      </c>
      <c r="AJ2227" s="23" t="n">
        <v>0.9664</v>
      </c>
      <c r="AK2227" s="23" t="n">
        <v>1</v>
      </c>
      <c r="AL2227" s="23" t="n">
        <v>0.3</v>
      </c>
      <c r="AM2227" s="16" t="n">
        <f aca="false">COUNTIFS($D$2:$D$2501,D2227,$G$2:$G$2501,"&gt;"&amp;G2227)+COUNTIFS($D$2:D2227,D2227,$G$2:G2227,G2227)</f>
        <v>298</v>
      </c>
      <c r="AN2227" s="5" t="str">
        <f aca="false">D2227&amp;"|"&amp;AM2227</f>
        <v>文件與影像辨識|298</v>
      </c>
    </row>
    <row r="2228" customFormat="false" ht="17.15" hidden="false" customHeight="false" outlineLevel="0" collapsed="false">
      <c r="A2228" s="16" t="n">
        <f aca="false">RANK(G2228,$G$2:$G$2501)+COUNTIF($G$2:G2228,G2228)-1</f>
        <v>2227</v>
      </c>
      <c r="B2228" s="11" t="s">
        <v>5457</v>
      </c>
      <c r="C2228" s="11" t="s">
        <v>5458</v>
      </c>
      <c r="D2228" s="5" t="s">
        <v>72</v>
      </c>
      <c r="E2228" s="5" t="s">
        <v>73</v>
      </c>
      <c r="F2228" s="5"/>
      <c r="G2228" s="22" t="n">
        <f aca="false">ROUND(SUM(I2228:P2228),3)</f>
        <v>47.614</v>
      </c>
      <c r="H2228" s="5" t="str">
        <f aca="false">IF(G2228&gt;=評分方法!$C$16,"優先評估",IF(G2228&gt;=評分方法!$C$17,"列入候選",IF(G2228&gt;=評分方法!$C$18,"特定情境","不建議")))</f>
        <v>不建議</v>
      </c>
      <c r="I2228" s="15" t="n">
        <f aca="false">AE2228*評分方法!$C$5</f>
        <v>9</v>
      </c>
      <c r="J2228" s="15" t="n">
        <f aca="false">AF2228*評分方法!$C$6</f>
        <v>0</v>
      </c>
      <c r="K2228" s="15" t="n">
        <f aca="false">AG2228*評分方法!$C$7</f>
        <v>4.95</v>
      </c>
      <c r="L2228" s="15" t="n">
        <f aca="false">AH2228*評分方法!$C$8</f>
        <v>15</v>
      </c>
      <c r="M2228" s="15" t="n">
        <f aca="false">AI2228*評分方法!$C$9</f>
        <v>10</v>
      </c>
      <c r="N2228" s="15" t="n">
        <f aca="false">AJ2228*評分方法!$C$10</f>
        <v>7.664</v>
      </c>
      <c r="O2228" s="15" t="n">
        <f aca="false">AK2228*評分方法!$C$11</f>
        <v>1</v>
      </c>
      <c r="P2228" s="15" t="n">
        <f aca="false">AL2228*評分方法!$C$12</f>
        <v>0</v>
      </c>
      <c r="Q2228" s="6" t="n">
        <v>1255172</v>
      </c>
      <c r="R2228" s="6" t="n">
        <v>126031392</v>
      </c>
      <c r="S2228" s="11" t="s">
        <v>238</v>
      </c>
      <c r="T2228" s="11" t="s">
        <v>1636</v>
      </c>
      <c r="U2228" s="5" t="s">
        <v>240</v>
      </c>
      <c r="V2228" s="11" t="s">
        <v>324</v>
      </c>
      <c r="W2228" s="5" t="s">
        <v>334</v>
      </c>
      <c r="X2228" s="5" t="s">
        <v>242</v>
      </c>
      <c r="Y2228" s="5"/>
      <c r="Z2228" s="5"/>
      <c r="AA2228" s="11" t="s">
        <v>162</v>
      </c>
      <c r="AB2228" s="5" t="s">
        <v>245</v>
      </c>
      <c r="AC2228" s="5" t="s">
        <v>1463</v>
      </c>
      <c r="AD2228" s="11" t="s">
        <v>5459</v>
      </c>
      <c r="AE2228" s="23" t="n">
        <v>0.3</v>
      </c>
      <c r="AF2228" s="23" t="n">
        <v>0</v>
      </c>
      <c r="AG2228" s="23" t="n">
        <v>0.33</v>
      </c>
      <c r="AH2228" s="23" t="n">
        <v>1</v>
      </c>
      <c r="AI2228" s="23" t="n">
        <v>1</v>
      </c>
      <c r="AJ2228" s="23" t="n">
        <v>0.7664</v>
      </c>
      <c r="AK2228" s="23" t="n">
        <v>0.2</v>
      </c>
      <c r="AL2228" s="23" t="n">
        <v>0</v>
      </c>
      <c r="AM2228" s="16" t="n">
        <f aca="false">COUNTIFS($D$2:$D$2501,D2228,$G$2:$G$2501,"&gt;"&amp;G2228)+COUNTIFS($D$2:D2228,D2228,$G$2:G2228,G2228)</f>
        <v>49</v>
      </c>
      <c r="AN2228" s="5" t="str">
        <f aca="false">D2228&amp;"|"&amp;AM2228</f>
        <v>微調基底模型|49</v>
      </c>
    </row>
    <row r="2229" customFormat="false" ht="17.15" hidden="false" customHeight="false" outlineLevel="0" collapsed="false">
      <c r="A2229" s="16" t="n">
        <f aca="false">RANK(G2229,$G$2:$G$2501)+COUNTIF($G$2:G2229,G2229)-1</f>
        <v>2228</v>
      </c>
      <c r="B2229" s="11" t="s">
        <v>5460</v>
      </c>
      <c r="C2229" s="11" t="s">
        <v>5461</v>
      </c>
      <c r="D2229" s="5" t="s">
        <v>78</v>
      </c>
      <c r="E2229" s="5" t="s">
        <v>79</v>
      </c>
      <c r="F2229" s="5"/>
      <c r="G2229" s="22" t="n">
        <f aca="false">ROUND(SUM(I2229:P2229),3)</f>
        <v>47.61</v>
      </c>
      <c r="H2229" s="5" t="str">
        <f aca="false">IF(G2229&gt;=評分方法!$C$16,"優先評估",IF(G2229&gt;=評分方法!$C$17,"列入候選",IF(G2229&gt;=評分方法!$C$18,"特定情境","不建議")))</f>
        <v>不建議</v>
      </c>
      <c r="I2229" s="15" t="n">
        <f aca="false">AE2229*評分方法!$C$5</f>
        <v>10.5</v>
      </c>
      <c r="J2229" s="15" t="n">
        <f aca="false">AF2229*評分方法!$C$6</f>
        <v>0</v>
      </c>
      <c r="K2229" s="15" t="n">
        <f aca="false">AG2229*評分方法!$C$7</f>
        <v>4.95</v>
      </c>
      <c r="L2229" s="15" t="n">
        <f aca="false">AH2229*評分方法!$C$8</f>
        <v>15</v>
      </c>
      <c r="M2229" s="15" t="n">
        <f aca="false">AI2229*評分方法!$C$9</f>
        <v>10</v>
      </c>
      <c r="N2229" s="15" t="n">
        <f aca="false">AJ2229*評分方法!$C$10</f>
        <v>6.16</v>
      </c>
      <c r="O2229" s="15" t="n">
        <f aca="false">AK2229*評分方法!$C$11</f>
        <v>1</v>
      </c>
      <c r="P2229" s="15" t="n">
        <f aca="false">AL2229*評分方法!$C$12</f>
        <v>0</v>
      </c>
      <c r="Q2229" s="6" t="n">
        <v>656377</v>
      </c>
      <c r="R2229" s="6" t="n">
        <v>23491968</v>
      </c>
      <c r="S2229" s="11" t="s">
        <v>238</v>
      </c>
      <c r="T2229" s="11" t="s">
        <v>239</v>
      </c>
      <c r="U2229" s="5" t="s">
        <v>240</v>
      </c>
      <c r="V2229" s="11" t="s">
        <v>324</v>
      </c>
      <c r="W2229" s="5" t="s">
        <v>334</v>
      </c>
      <c r="X2229" s="5" t="s">
        <v>242</v>
      </c>
      <c r="Y2229" s="5"/>
      <c r="Z2229" s="5"/>
      <c r="AA2229" s="11" t="s">
        <v>174</v>
      </c>
      <c r="AB2229" s="5" t="s">
        <v>245</v>
      </c>
      <c r="AC2229" s="5"/>
      <c r="AD2229" s="11" t="s">
        <v>5462</v>
      </c>
      <c r="AE2229" s="23" t="n">
        <v>0.35</v>
      </c>
      <c r="AF2229" s="23" t="n">
        <v>0</v>
      </c>
      <c r="AG2229" s="23" t="n">
        <v>0.33</v>
      </c>
      <c r="AH2229" s="23" t="n">
        <v>1</v>
      </c>
      <c r="AI2229" s="23" t="n">
        <v>1</v>
      </c>
      <c r="AJ2229" s="23" t="n">
        <v>0.616</v>
      </c>
      <c r="AK2229" s="23" t="n">
        <v>0.2</v>
      </c>
      <c r="AL2229" s="23" t="n">
        <v>0</v>
      </c>
      <c r="AM2229" s="16" t="n">
        <f aca="false">COUNTIFS($D$2:$D$2501,D2229,$G$2:$G$2501,"&gt;"&amp;G2229)+COUNTIFS($D$2:D2229,D2229,$G$2:G2229,G2229)</f>
        <v>81</v>
      </c>
      <c r="AN2229" s="5" t="str">
        <f aca="false">D2229&amp;"|"&amp;AM2229</f>
        <v>語音分析|81</v>
      </c>
    </row>
    <row r="2230" customFormat="false" ht="17.15" hidden="false" customHeight="false" outlineLevel="0" collapsed="false">
      <c r="A2230" s="16" t="n">
        <f aca="false">RANK(G2230,$G$2:$G$2501)+COUNTIF($G$2:G2230,G2230)-1</f>
        <v>2229</v>
      </c>
      <c r="B2230" s="11" t="s">
        <v>5463</v>
      </c>
      <c r="C2230" s="11" t="s">
        <v>681</v>
      </c>
      <c r="D2230" s="5" t="s">
        <v>80</v>
      </c>
      <c r="E2230" s="5" t="s">
        <v>81</v>
      </c>
      <c r="F2230" s="5"/>
      <c r="G2230" s="22" t="n">
        <f aca="false">ROUND(SUM(I2230:P2230),3)</f>
        <v>47.576</v>
      </c>
      <c r="H2230" s="5" t="str">
        <f aca="false">IF(G2230&gt;=評分方法!$C$16,"優先評估",IF(G2230&gt;=評分方法!$C$17,"列入候選",IF(G2230&gt;=評分方法!$C$18,"特定情境","不建議")))</f>
        <v>不建議</v>
      </c>
      <c r="I2230" s="15" t="n">
        <f aca="false">AE2230*評分方法!$C$5</f>
        <v>3</v>
      </c>
      <c r="J2230" s="15" t="n">
        <f aca="false">AF2230*評分方法!$C$6</f>
        <v>0</v>
      </c>
      <c r="K2230" s="15" t="n">
        <f aca="false">AG2230*評分方法!$C$7</f>
        <v>15</v>
      </c>
      <c r="L2230" s="15" t="n">
        <f aca="false">AH2230*評分方法!$C$8</f>
        <v>15</v>
      </c>
      <c r="M2230" s="15" t="n">
        <f aca="false">AI2230*評分方法!$C$9</f>
        <v>10</v>
      </c>
      <c r="N2230" s="15" t="n">
        <f aca="false">AJ2230*評分方法!$C$10</f>
        <v>0.576</v>
      </c>
      <c r="O2230" s="15" t="n">
        <f aca="false">AK2230*評分方法!$C$11</f>
        <v>2.5</v>
      </c>
      <c r="P2230" s="15" t="n">
        <f aca="false">AL2230*評分方法!$C$12</f>
        <v>1.5</v>
      </c>
      <c r="Q2230" s="6" t="n">
        <v>137054</v>
      </c>
      <c r="R2230" s="6" t="n">
        <v>224430642</v>
      </c>
      <c r="S2230" s="11" t="s">
        <v>238</v>
      </c>
      <c r="T2230" s="11" t="s">
        <v>239</v>
      </c>
      <c r="U2230" s="5" t="s">
        <v>240</v>
      </c>
      <c r="V2230" s="11" t="s">
        <v>324</v>
      </c>
      <c r="W2230" s="5" t="s">
        <v>205</v>
      </c>
      <c r="X2230" s="5" t="s">
        <v>255</v>
      </c>
      <c r="Y2230" s="5"/>
      <c r="Z2230" s="5"/>
      <c r="AA2230" s="11" t="s">
        <v>184</v>
      </c>
      <c r="AB2230" s="5" t="s">
        <v>245</v>
      </c>
      <c r="AC2230" s="5"/>
      <c r="AD2230" s="11" t="s">
        <v>5464</v>
      </c>
      <c r="AE2230" s="23" t="n">
        <v>0.1</v>
      </c>
      <c r="AF2230" s="23" t="n">
        <v>0</v>
      </c>
      <c r="AG2230" s="23" t="n">
        <v>1</v>
      </c>
      <c r="AH2230" s="23" t="n">
        <v>1</v>
      </c>
      <c r="AI2230" s="23" t="n">
        <v>1</v>
      </c>
      <c r="AJ2230" s="23" t="n">
        <v>0.0576</v>
      </c>
      <c r="AK2230" s="23" t="n">
        <v>0.5</v>
      </c>
      <c r="AL2230" s="23" t="n">
        <v>0.3</v>
      </c>
      <c r="AM2230" s="16" t="n">
        <f aca="false">COUNTIFS($D$2:$D$2501,D2230,$G$2:$G$2501,"&gt;"&amp;G2230)+COUNTIFS($D$2:D2230,D2230,$G$2:G2230,G2230)</f>
        <v>26</v>
      </c>
      <c r="AN2230" s="5" t="str">
        <f aca="false">D2230&amp;"|"&amp;AM2230</f>
        <v>其他|26</v>
      </c>
    </row>
    <row r="2231" customFormat="false" ht="17.15" hidden="false" customHeight="false" outlineLevel="0" collapsed="false">
      <c r="A2231" s="16" t="n">
        <f aca="false">RANK(G2231,$G$2:$G$2501)+COUNTIF($G$2:G2231,G2231)-1</f>
        <v>2230</v>
      </c>
      <c r="B2231" s="11" t="s">
        <v>5465</v>
      </c>
      <c r="C2231" s="11" t="s">
        <v>2309</v>
      </c>
      <c r="D2231" s="5" t="s">
        <v>74</v>
      </c>
      <c r="E2231" s="5" t="s">
        <v>75</v>
      </c>
      <c r="F2231" s="5"/>
      <c r="G2231" s="22" t="n">
        <f aca="false">ROUND(SUM(I2231:P2231),3)</f>
        <v>47.566</v>
      </c>
      <c r="H2231" s="5" t="str">
        <f aca="false">IF(G2231&gt;=評分方法!$C$16,"優先評估",IF(G2231&gt;=評分方法!$C$17,"列入候選",IF(G2231&gt;=評分方法!$C$18,"特定情境","不建議")))</f>
        <v>不建議</v>
      </c>
      <c r="I2231" s="15" t="n">
        <f aca="false">AE2231*評分方法!$C$5</f>
        <v>12</v>
      </c>
      <c r="J2231" s="15" t="n">
        <f aca="false">AF2231*評分方法!$C$6</f>
        <v>0</v>
      </c>
      <c r="K2231" s="15" t="n">
        <f aca="false">AG2231*評分方法!$C$7</f>
        <v>15</v>
      </c>
      <c r="L2231" s="15" t="n">
        <f aca="false">AH2231*評分方法!$C$8</f>
        <v>7.05</v>
      </c>
      <c r="M2231" s="15" t="n">
        <f aca="false">AI2231*評分方法!$C$9</f>
        <v>10</v>
      </c>
      <c r="N2231" s="15" t="n">
        <f aca="false">AJ2231*評分方法!$C$10</f>
        <v>1.016</v>
      </c>
      <c r="O2231" s="15" t="n">
        <f aca="false">AK2231*評分方法!$C$11</f>
        <v>1</v>
      </c>
      <c r="P2231" s="15" t="n">
        <f aca="false">AL2231*評分方法!$C$12</f>
        <v>1.5</v>
      </c>
      <c r="Q2231" s="6" t="n">
        <v>153824</v>
      </c>
      <c r="R2231" s="6"/>
      <c r="S2231" s="5" t="s">
        <v>255</v>
      </c>
      <c r="T2231" s="11" t="s">
        <v>278</v>
      </c>
      <c r="U2231" s="5" t="s">
        <v>240</v>
      </c>
      <c r="V2231" s="11" t="s">
        <v>324</v>
      </c>
      <c r="W2231" s="5" t="s">
        <v>205</v>
      </c>
      <c r="X2231" s="5" t="s">
        <v>255</v>
      </c>
      <c r="Y2231" s="5"/>
      <c r="Z2231" s="5"/>
      <c r="AA2231" s="11" t="s">
        <v>167</v>
      </c>
      <c r="AB2231" s="5" t="s">
        <v>245</v>
      </c>
      <c r="AC2231" s="5"/>
      <c r="AD2231" s="11" t="s">
        <v>5466</v>
      </c>
      <c r="AE2231" s="23" t="n">
        <v>0.4</v>
      </c>
      <c r="AF2231" s="23" t="n">
        <v>0</v>
      </c>
      <c r="AG2231" s="23" t="n">
        <v>1</v>
      </c>
      <c r="AH2231" s="23" t="n">
        <v>0.47</v>
      </c>
      <c r="AI2231" s="23" t="n">
        <v>1</v>
      </c>
      <c r="AJ2231" s="23" t="n">
        <v>0.1016</v>
      </c>
      <c r="AK2231" s="23" t="n">
        <v>0.2</v>
      </c>
      <c r="AL2231" s="23" t="n">
        <v>0.3</v>
      </c>
      <c r="AM2231" s="16" t="n">
        <f aca="false">COUNTIFS($D$2:$D$2501,D2231,$G$2:$G$2501,"&gt;"&amp;G2231)+COUNTIFS($D$2:D2231,D2231,$G$2:G2231,G2231)</f>
        <v>299</v>
      </c>
      <c r="AN2231" s="5" t="str">
        <f aca="false">D2231&amp;"|"&amp;AM2231</f>
        <v>文件與影像辨識|299</v>
      </c>
    </row>
    <row r="2232" customFormat="false" ht="17.15" hidden="false" customHeight="false" outlineLevel="0" collapsed="false">
      <c r="A2232" s="16" t="n">
        <f aca="false">RANK(G2232,$G$2:$G$2501)+COUNTIF($G$2:G2232,G2232)-1</f>
        <v>2231</v>
      </c>
      <c r="B2232" s="11" t="s">
        <v>5467</v>
      </c>
      <c r="C2232" s="11" t="s">
        <v>327</v>
      </c>
      <c r="D2232" s="5" t="s">
        <v>80</v>
      </c>
      <c r="E2232" s="5" t="s">
        <v>81</v>
      </c>
      <c r="F2232" s="5"/>
      <c r="G2232" s="22" t="n">
        <f aca="false">ROUND(SUM(I2232:P2232),3)</f>
        <v>47.55</v>
      </c>
      <c r="H2232" s="5" t="str">
        <f aca="false">IF(G2232&gt;=評分方法!$C$16,"優先評估",IF(G2232&gt;=評分方法!$C$17,"列入候選",IF(G2232&gt;=評分方法!$C$18,"特定情境","不建議")))</f>
        <v>不建議</v>
      </c>
      <c r="I2232" s="15" t="n">
        <f aca="false">AE2232*評分方法!$C$5</f>
        <v>1.5</v>
      </c>
      <c r="J2232" s="15" t="n">
        <f aca="false">AF2232*評分方法!$C$6</f>
        <v>0</v>
      </c>
      <c r="K2232" s="15" t="n">
        <f aca="false">AG2232*評分方法!$C$7</f>
        <v>15</v>
      </c>
      <c r="L2232" s="15" t="n">
        <f aca="false">AH2232*評分方法!$C$8</f>
        <v>13.05</v>
      </c>
      <c r="M2232" s="15" t="n">
        <f aca="false">AI2232*評分方法!$C$9</f>
        <v>6</v>
      </c>
      <c r="N2232" s="15" t="n">
        <f aca="false">AJ2232*評分方法!$C$10</f>
        <v>8</v>
      </c>
      <c r="O2232" s="15" t="n">
        <f aca="false">AK2232*評分方法!$C$11</f>
        <v>4</v>
      </c>
      <c r="P2232" s="15" t="n">
        <f aca="false">AL2232*評分方法!$C$12</f>
        <v>0</v>
      </c>
      <c r="Q2232" s="6" t="n">
        <v>1552314</v>
      </c>
      <c r="R2232" s="6" t="n">
        <v>8371408896</v>
      </c>
      <c r="S2232" s="11" t="s">
        <v>254</v>
      </c>
      <c r="T2232" s="11" t="s">
        <v>185</v>
      </c>
      <c r="U2232" s="5" t="s">
        <v>260</v>
      </c>
      <c r="V2232" s="11" t="s">
        <v>261</v>
      </c>
      <c r="W2232" s="5" t="s">
        <v>205</v>
      </c>
      <c r="X2232" s="5" t="s">
        <v>242</v>
      </c>
      <c r="Y2232" s="11" t="s">
        <v>4843</v>
      </c>
      <c r="Z2232" s="11" t="s">
        <v>270</v>
      </c>
      <c r="AA2232" s="11" t="s">
        <v>188</v>
      </c>
      <c r="AB2232" s="5" t="s">
        <v>245</v>
      </c>
      <c r="AC2232" s="5" t="s">
        <v>262</v>
      </c>
      <c r="AD2232" s="11" t="s">
        <v>5468</v>
      </c>
      <c r="AE2232" s="23" t="n">
        <v>0.05</v>
      </c>
      <c r="AF2232" s="23" t="n">
        <v>0</v>
      </c>
      <c r="AG2232" s="23" t="n">
        <v>1</v>
      </c>
      <c r="AH2232" s="23" t="n">
        <v>0.87</v>
      </c>
      <c r="AI2232" s="23" t="n">
        <v>0.6</v>
      </c>
      <c r="AJ2232" s="23" t="n">
        <v>0.8</v>
      </c>
      <c r="AK2232" s="23" t="n">
        <v>0.8</v>
      </c>
      <c r="AL2232" s="23" t="n">
        <v>0</v>
      </c>
      <c r="AM2232" s="16" t="n">
        <f aca="false">COUNTIFS($D$2:$D$2501,D2232,$G$2:$G$2501,"&gt;"&amp;G2232)+COUNTIFS($D$2:D2232,D2232,$G$2:G2232,G2232)</f>
        <v>27</v>
      </c>
      <c r="AN2232" s="5" t="str">
        <f aca="false">D2232&amp;"|"&amp;AM2232</f>
        <v>其他|27</v>
      </c>
    </row>
    <row r="2233" customFormat="false" ht="17.15" hidden="false" customHeight="false" outlineLevel="0" collapsed="false">
      <c r="A2233" s="16" t="n">
        <f aca="false">RANK(G2233,$G$2:$G$2501)+COUNTIF($G$2:G2233,G2233)-1</f>
        <v>2232</v>
      </c>
      <c r="B2233" s="11" t="s">
        <v>5469</v>
      </c>
      <c r="C2233" s="11" t="s">
        <v>1021</v>
      </c>
      <c r="D2233" s="5" t="s">
        <v>66</v>
      </c>
      <c r="E2233" s="5" t="s">
        <v>67</v>
      </c>
      <c r="F2233" s="5"/>
      <c r="G2233" s="22" t="n">
        <f aca="false">ROUND(SUM(I2233:P2233),3)</f>
        <v>47.55</v>
      </c>
      <c r="H2233" s="5" t="str">
        <f aca="false">IF(G2233&gt;=評分方法!$C$16,"優先評估",IF(G2233&gt;=評分方法!$C$17,"列入候選",IF(G2233&gt;=評分方法!$C$18,"特定情境","不建議")))</f>
        <v>不建議</v>
      </c>
      <c r="I2233" s="15" t="n">
        <f aca="false">AE2233*評分方法!$C$5</f>
        <v>7.2</v>
      </c>
      <c r="J2233" s="15" t="n">
        <f aca="false">AF2233*評分方法!$C$6</f>
        <v>0</v>
      </c>
      <c r="K2233" s="15" t="n">
        <f aca="false">AG2233*評分方法!$C$7</f>
        <v>4.95</v>
      </c>
      <c r="L2233" s="15" t="n">
        <f aca="false">AH2233*評分方法!$C$8</f>
        <v>15</v>
      </c>
      <c r="M2233" s="15" t="n">
        <f aca="false">AI2233*評分方法!$C$9</f>
        <v>10</v>
      </c>
      <c r="N2233" s="15" t="n">
        <f aca="false">AJ2233*評分方法!$C$10</f>
        <v>7.9</v>
      </c>
      <c r="O2233" s="15" t="n">
        <f aca="false">AK2233*評分方法!$C$11</f>
        <v>2.5</v>
      </c>
      <c r="P2233" s="15" t="n">
        <f aca="false">AL2233*評分方法!$C$12</f>
        <v>0</v>
      </c>
      <c r="Q2233" s="6" t="n">
        <v>1474121</v>
      </c>
      <c r="R2233" s="6" t="n">
        <v>109083651</v>
      </c>
      <c r="S2233" s="11" t="s">
        <v>238</v>
      </c>
      <c r="T2233" s="11" t="s">
        <v>278</v>
      </c>
      <c r="U2233" s="5" t="s">
        <v>240</v>
      </c>
      <c r="V2233" s="11" t="s">
        <v>320</v>
      </c>
      <c r="W2233" s="5" t="s">
        <v>334</v>
      </c>
      <c r="X2233" s="5" t="s">
        <v>242</v>
      </c>
      <c r="Y2233" s="5"/>
      <c r="Z2233" s="5"/>
      <c r="AA2233" s="11" t="s">
        <v>149</v>
      </c>
      <c r="AB2233" s="5" t="s">
        <v>245</v>
      </c>
      <c r="AC2233" s="5" t="s">
        <v>5236</v>
      </c>
      <c r="AD2233" s="11" t="s">
        <v>5470</v>
      </c>
      <c r="AE2233" s="23" t="n">
        <v>0.24</v>
      </c>
      <c r="AF2233" s="23" t="n">
        <v>0</v>
      </c>
      <c r="AG2233" s="23" t="n">
        <v>0.33</v>
      </c>
      <c r="AH2233" s="23" t="n">
        <v>1</v>
      </c>
      <c r="AI2233" s="23" t="n">
        <v>1</v>
      </c>
      <c r="AJ2233" s="23" t="n">
        <v>0.79</v>
      </c>
      <c r="AK2233" s="23" t="n">
        <v>0.5</v>
      </c>
      <c r="AL2233" s="23" t="n">
        <v>0</v>
      </c>
      <c r="AM2233" s="16" t="n">
        <f aca="false">COUNTIFS($D$2:$D$2501,D2233,$G$2:$G$2501,"&gt;"&amp;G2233)+COUNTIFS($D$2:D2233,D2233,$G$2:G2233,G2233)</f>
        <v>67</v>
      </c>
      <c r="AN2233" s="5" t="str">
        <f aca="false">D2233&amp;"|"&amp;AM2233</f>
        <v>分類與偵測|67</v>
      </c>
    </row>
    <row r="2234" customFormat="false" ht="17.15" hidden="false" customHeight="false" outlineLevel="0" collapsed="false">
      <c r="A2234" s="16" t="n">
        <f aca="false">RANK(G2234,$G$2:$G$2501)+COUNTIF($G$2:G2234,G2234)-1</f>
        <v>2233</v>
      </c>
      <c r="B2234" s="11" t="s">
        <v>5471</v>
      </c>
      <c r="C2234" s="11" t="s">
        <v>2309</v>
      </c>
      <c r="D2234" s="5" t="s">
        <v>74</v>
      </c>
      <c r="E2234" s="5" t="s">
        <v>75</v>
      </c>
      <c r="F2234" s="5"/>
      <c r="G2234" s="22" t="n">
        <f aca="false">ROUND(SUM(I2234:P2234),3)</f>
        <v>47.49</v>
      </c>
      <c r="H2234" s="5" t="str">
        <f aca="false">IF(G2234&gt;=評分方法!$C$16,"優先評估",IF(G2234&gt;=評分方法!$C$17,"列入候選",IF(G2234&gt;=評分方法!$C$18,"特定情境","不建議")))</f>
        <v>不建議</v>
      </c>
      <c r="I2234" s="15" t="n">
        <f aca="false">AE2234*評分方法!$C$5</f>
        <v>12</v>
      </c>
      <c r="J2234" s="15" t="n">
        <f aca="false">AF2234*評分方法!$C$6</f>
        <v>0</v>
      </c>
      <c r="K2234" s="15" t="n">
        <f aca="false">AG2234*評分方法!$C$7</f>
        <v>15</v>
      </c>
      <c r="L2234" s="15" t="n">
        <f aca="false">AH2234*評分方法!$C$8</f>
        <v>7.05</v>
      </c>
      <c r="M2234" s="15" t="n">
        <f aca="false">AI2234*評分方法!$C$9</f>
        <v>10</v>
      </c>
      <c r="N2234" s="15" t="n">
        <f aca="false">AJ2234*評分方法!$C$10</f>
        <v>0.94</v>
      </c>
      <c r="O2234" s="15" t="n">
        <f aca="false">AK2234*評分方法!$C$11</f>
        <v>1</v>
      </c>
      <c r="P2234" s="15" t="n">
        <f aca="false">AL2234*評分方法!$C$12</f>
        <v>1.5</v>
      </c>
      <c r="Q2234" s="6" t="n">
        <v>151194</v>
      </c>
      <c r="R2234" s="6"/>
      <c r="S2234" s="5" t="s">
        <v>255</v>
      </c>
      <c r="T2234" s="11" t="s">
        <v>278</v>
      </c>
      <c r="U2234" s="5" t="s">
        <v>240</v>
      </c>
      <c r="V2234" s="11" t="s">
        <v>324</v>
      </c>
      <c r="W2234" s="5" t="s">
        <v>205</v>
      </c>
      <c r="X2234" s="5" t="s">
        <v>255</v>
      </c>
      <c r="Y2234" s="5"/>
      <c r="Z2234" s="5"/>
      <c r="AA2234" s="11" t="s">
        <v>167</v>
      </c>
      <c r="AB2234" s="5" t="s">
        <v>245</v>
      </c>
      <c r="AC2234" s="5"/>
      <c r="AD2234" s="11" t="s">
        <v>5472</v>
      </c>
      <c r="AE2234" s="23" t="n">
        <v>0.4</v>
      </c>
      <c r="AF2234" s="23" t="n">
        <v>0</v>
      </c>
      <c r="AG2234" s="23" t="n">
        <v>1</v>
      </c>
      <c r="AH2234" s="23" t="n">
        <v>0.47</v>
      </c>
      <c r="AI2234" s="23" t="n">
        <v>1</v>
      </c>
      <c r="AJ2234" s="23" t="n">
        <v>0.094</v>
      </c>
      <c r="AK2234" s="23" t="n">
        <v>0.2</v>
      </c>
      <c r="AL2234" s="23" t="n">
        <v>0.3</v>
      </c>
      <c r="AM2234" s="16" t="n">
        <f aca="false">COUNTIFS($D$2:$D$2501,D2234,$G$2:$G$2501,"&gt;"&amp;G2234)+COUNTIFS($D$2:D2234,D2234,$G$2:G2234,G2234)</f>
        <v>300</v>
      </c>
      <c r="AN2234" s="5" t="str">
        <f aca="false">D2234&amp;"|"&amp;AM2234</f>
        <v>文件與影像辨識|300</v>
      </c>
    </row>
    <row r="2235" customFormat="false" ht="17.15" hidden="false" customHeight="false" outlineLevel="0" collapsed="false">
      <c r="A2235" s="16" t="n">
        <f aca="false">RANK(G2235,$G$2:$G$2501)+COUNTIF($G$2:G2235,G2235)-1</f>
        <v>2234</v>
      </c>
      <c r="B2235" s="11" t="s">
        <v>5473</v>
      </c>
      <c r="C2235" s="11" t="s">
        <v>5474</v>
      </c>
      <c r="D2235" s="5" t="s">
        <v>58</v>
      </c>
      <c r="E2235" s="5" t="s">
        <v>59</v>
      </c>
      <c r="F2235" s="5"/>
      <c r="G2235" s="22" t="n">
        <f aca="false">ROUND(SUM(I2235:P2235),3)</f>
        <v>47.462</v>
      </c>
      <c r="H2235" s="5" t="str">
        <f aca="false">IF(G2235&gt;=評分方法!$C$16,"優先評估",IF(G2235&gt;=評分方法!$C$17,"列入候選",IF(G2235&gt;=評分方法!$C$18,"特定情境","不建議")))</f>
        <v>不建議</v>
      </c>
      <c r="I2235" s="15" t="n">
        <f aca="false">AE2235*評分方法!$C$5</f>
        <v>17.1</v>
      </c>
      <c r="J2235" s="15" t="n">
        <f aca="false">AF2235*評分方法!$C$6</f>
        <v>0</v>
      </c>
      <c r="K2235" s="15" t="n">
        <f aca="false">AG2235*評分方法!$C$7</f>
        <v>4.95</v>
      </c>
      <c r="L2235" s="15" t="n">
        <f aca="false">AH2235*評分方法!$C$8</f>
        <v>15</v>
      </c>
      <c r="M2235" s="15" t="n">
        <f aca="false">AI2235*評分方法!$C$9</f>
        <v>2</v>
      </c>
      <c r="N2235" s="15" t="n">
        <f aca="false">AJ2235*評分方法!$C$10</f>
        <v>7.412</v>
      </c>
      <c r="O2235" s="15" t="n">
        <f aca="false">AK2235*評分方法!$C$11</f>
        <v>1</v>
      </c>
      <c r="P2235" s="15" t="n">
        <f aca="false">AL2235*評分方法!$C$12</f>
        <v>0</v>
      </c>
      <c r="Q2235" s="6" t="n">
        <v>1111102</v>
      </c>
      <c r="R2235" s="6" t="n">
        <v>14064671</v>
      </c>
      <c r="S2235" s="11" t="s">
        <v>238</v>
      </c>
      <c r="T2235" s="5"/>
      <c r="U2235" s="5" t="s">
        <v>375</v>
      </c>
      <c r="V2235" s="11" t="s">
        <v>324</v>
      </c>
      <c r="W2235" s="5" t="s">
        <v>334</v>
      </c>
      <c r="X2235" s="5" t="s">
        <v>242</v>
      </c>
      <c r="Y2235" s="5"/>
      <c r="Z2235" s="5"/>
      <c r="AA2235" s="11" t="s">
        <v>150</v>
      </c>
      <c r="AB2235" s="5" t="s">
        <v>245</v>
      </c>
      <c r="AC2235" s="5" t="s">
        <v>4841</v>
      </c>
      <c r="AD2235" s="11" t="s">
        <v>5475</v>
      </c>
      <c r="AE2235" s="23" t="n">
        <v>0.57</v>
      </c>
      <c r="AF2235" s="23" t="n">
        <v>0</v>
      </c>
      <c r="AG2235" s="23" t="n">
        <v>0.33</v>
      </c>
      <c r="AH2235" s="23" t="n">
        <v>1</v>
      </c>
      <c r="AI2235" s="23" t="n">
        <v>0.2</v>
      </c>
      <c r="AJ2235" s="23" t="n">
        <v>0.7412</v>
      </c>
      <c r="AK2235" s="23" t="n">
        <v>0.2</v>
      </c>
      <c r="AL2235" s="23" t="n">
        <v>0</v>
      </c>
      <c r="AM2235" s="16" t="n">
        <f aca="false">COUNTIFS($D$2:$D$2501,D2235,$G$2:$G$2501,"&gt;"&amp;G2235)+COUNTIFS($D$2:D2235,D2235,$G$2:G2235,G2235)</f>
        <v>353</v>
      </c>
      <c r="AN2235" s="5" t="str">
        <f aca="false">D2235&amp;"|"&amp;AM2235</f>
        <v>實體擷取與去識別化|353</v>
      </c>
    </row>
    <row r="2236" customFormat="false" ht="17.15" hidden="false" customHeight="false" outlineLevel="0" collapsed="false">
      <c r="A2236" s="16" t="n">
        <f aca="false">RANK(G2236,$G$2:$G$2501)+COUNTIF($G$2:G2236,G2236)-1</f>
        <v>2235</v>
      </c>
      <c r="B2236" s="11" t="s">
        <v>5476</v>
      </c>
      <c r="C2236" s="11" t="s">
        <v>1728</v>
      </c>
      <c r="D2236" s="5" t="s">
        <v>72</v>
      </c>
      <c r="E2236" s="5" t="s">
        <v>73</v>
      </c>
      <c r="F2236" s="5"/>
      <c r="G2236" s="22" t="n">
        <f aca="false">ROUND(SUM(I2236:P2236),3)</f>
        <v>47.422</v>
      </c>
      <c r="H2236" s="5" t="str">
        <f aca="false">IF(G2236&gt;=評分方法!$C$16,"優先評估",IF(G2236&gt;=評分方法!$C$17,"列入候選",IF(G2236&gt;=評分方法!$C$18,"特定情境","不建議")))</f>
        <v>不建議</v>
      </c>
      <c r="I2236" s="15" t="n">
        <f aca="false">AE2236*評分方法!$C$5</f>
        <v>9</v>
      </c>
      <c r="J2236" s="15" t="n">
        <f aca="false">AF2236*評分方法!$C$6</f>
        <v>0</v>
      </c>
      <c r="K2236" s="15" t="n">
        <f aca="false">AG2236*評分方法!$C$7</f>
        <v>10.05</v>
      </c>
      <c r="L2236" s="15" t="n">
        <f aca="false">AH2236*評分方法!$C$8</f>
        <v>15</v>
      </c>
      <c r="M2236" s="15" t="n">
        <f aca="false">AI2236*評分方法!$C$9</f>
        <v>10</v>
      </c>
      <c r="N2236" s="15" t="n">
        <f aca="false">AJ2236*評分方法!$C$10</f>
        <v>0.872</v>
      </c>
      <c r="O2236" s="15" t="n">
        <f aca="false">AK2236*評分方法!$C$11</f>
        <v>2.5</v>
      </c>
      <c r="P2236" s="15" t="n">
        <f aca="false">AL2236*評分方法!$C$12</f>
        <v>0</v>
      </c>
      <c r="Q2236" s="6" t="n">
        <v>148935</v>
      </c>
      <c r="R2236" s="6" t="n">
        <v>185067010</v>
      </c>
      <c r="S2236" s="11" t="s">
        <v>238</v>
      </c>
      <c r="T2236" s="11" t="s">
        <v>278</v>
      </c>
      <c r="U2236" s="5" t="s">
        <v>240</v>
      </c>
      <c r="V2236" s="11" t="s">
        <v>279</v>
      </c>
      <c r="W2236" s="5" t="s">
        <v>207</v>
      </c>
      <c r="X2236" s="5" t="s">
        <v>242</v>
      </c>
      <c r="Y2236" s="5"/>
      <c r="Z2236" s="5"/>
      <c r="AA2236" s="11" t="s">
        <v>162</v>
      </c>
      <c r="AB2236" s="5" t="s">
        <v>328</v>
      </c>
      <c r="AC2236" s="5" t="s">
        <v>5038</v>
      </c>
      <c r="AD2236" s="11" t="s">
        <v>5477</v>
      </c>
      <c r="AE2236" s="23" t="n">
        <v>0.3</v>
      </c>
      <c r="AF2236" s="23" t="n">
        <v>0</v>
      </c>
      <c r="AG2236" s="23" t="n">
        <v>0.67</v>
      </c>
      <c r="AH2236" s="23" t="n">
        <v>1</v>
      </c>
      <c r="AI2236" s="23" t="n">
        <v>1</v>
      </c>
      <c r="AJ2236" s="23" t="n">
        <v>0.0872</v>
      </c>
      <c r="AK2236" s="23" t="n">
        <v>0.5</v>
      </c>
      <c r="AL2236" s="23" t="n">
        <v>0</v>
      </c>
      <c r="AM2236" s="16" t="n">
        <f aca="false">COUNTIFS($D$2:$D$2501,D2236,$G$2:$G$2501,"&gt;"&amp;G2236)+COUNTIFS($D$2:D2236,D2236,$G$2:G2236,G2236)</f>
        <v>50</v>
      </c>
      <c r="AN2236" s="5" t="str">
        <f aca="false">D2236&amp;"|"&amp;AM2236</f>
        <v>微調基底模型|50</v>
      </c>
    </row>
    <row r="2237" customFormat="false" ht="17.15" hidden="false" customHeight="false" outlineLevel="0" collapsed="false">
      <c r="A2237" s="16" t="n">
        <f aca="false">RANK(G2237,$G$2:$G$2501)+COUNTIF($G$2:G2237,G2237)-1</f>
        <v>2236</v>
      </c>
      <c r="B2237" s="11" t="s">
        <v>5478</v>
      </c>
      <c r="C2237" s="11" t="s">
        <v>4173</v>
      </c>
      <c r="D2237" s="5" t="s">
        <v>56</v>
      </c>
      <c r="E2237" s="5" t="s">
        <v>57</v>
      </c>
      <c r="F2237" s="5"/>
      <c r="G2237" s="22" t="n">
        <f aca="false">ROUND(SUM(I2237:P2237),3)</f>
        <v>47.352</v>
      </c>
      <c r="H2237" s="5" t="str">
        <f aca="false">IF(G2237&gt;=評分方法!$C$16,"優先評估",IF(G2237&gt;=評分方法!$C$17,"列入候選",IF(G2237&gt;=評分方法!$C$18,"特定情境","不建議")))</f>
        <v>不建議</v>
      </c>
      <c r="I2237" s="15" t="n">
        <f aca="false">AE2237*評分方法!$C$5</f>
        <v>25.5</v>
      </c>
      <c r="J2237" s="15" t="n">
        <f aca="false">AF2237*評分方法!$C$6</f>
        <v>0</v>
      </c>
      <c r="K2237" s="15" t="n">
        <f aca="false">AG2237*評分方法!$C$7</f>
        <v>4.95</v>
      </c>
      <c r="L2237" s="15" t="n">
        <f aca="false">AH2237*評分方法!$C$8</f>
        <v>4.95</v>
      </c>
      <c r="M2237" s="15" t="n">
        <f aca="false">AI2237*評分方法!$C$9</f>
        <v>6</v>
      </c>
      <c r="N2237" s="15" t="n">
        <f aca="false">AJ2237*評分方法!$C$10</f>
        <v>0.952</v>
      </c>
      <c r="O2237" s="15" t="n">
        <f aca="false">AK2237*評分方法!$C$11</f>
        <v>5</v>
      </c>
      <c r="P2237" s="15" t="n">
        <f aca="false">AL2237*評分方法!$C$12</f>
        <v>0</v>
      </c>
      <c r="Q2237" s="6" t="n">
        <v>151327</v>
      </c>
      <c r="R2237" s="6" t="n">
        <v>70560710656</v>
      </c>
      <c r="S2237" s="11" t="s">
        <v>1876</v>
      </c>
      <c r="T2237" s="11" t="s">
        <v>2741</v>
      </c>
      <c r="U2237" s="5" t="s">
        <v>260</v>
      </c>
      <c r="V2237" s="11" t="s">
        <v>261</v>
      </c>
      <c r="W2237" s="5" t="s">
        <v>334</v>
      </c>
      <c r="X2237" s="5" t="s">
        <v>242</v>
      </c>
      <c r="Y2237" s="11" t="s">
        <v>2742</v>
      </c>
      <c r="Z2237" s="11" t="s">
        <v>244</v>
      </c>
      <c r="AA2237" s="11" t="s">
        <v>155</v>
      </c>
      <c r="AB2237" s="5" t="s">
        <v>245</v>
      </c>
      <c r="AC2237" s="5" t="s">
        <v>464</v>
      </c>
      <c r="AD2237" s="11" t="s">
        <v>5479</v>
      </c>
      <c r="AE2237" s="23" t="n">
        <v>0.85</v>
      </c>
      <c r="AF2237" s="23" t="n">
        <v>0</v>
      </c>
      <c r="AG2237" s="23" t="n">
        <v>0.33</v>
      </c>
      <c r="AH2237" s="23" t="n">
        <v>0.33</v>
      </c>
      <c r="AI2237" s="23" t="n">
        <v>0.6</v>
      </c>
      <c r="AJ2237" s="23" t="n">
        <v>0.0952</v>
      </c>
      <c r="AK2237" s="23" t="n">
        <v>1</v>
      </c>
      <c r="AL2237" s="23" t="n">
        <v>0</v>
      </c>
      <c r="AM2237" s="16" t="n">
        <f aca="false">COUNTIFS($D$2:$D$2501,D2237,$G$2:$G$2501,"&gt;"&amp;G2237)+COUNTIFS($D$2:D2237,D2237,$G$2:G2237,G2237)</f>
        <v>963</v>
      </c>
      <c r="AN2237" s="5" t="str">
        <f aca="false">D2237&amp;"|"&amp;AM2237</f>
        <v>分析與報告生成|963</v>
      </c>
    </row>
    <row r="2238" customFormat="false" ht="17.15" hidden="false" customHeight="false" outlineLevel="0" collapsed="false">
      <c r="A2238" s="16" t="n">
        <f aca="false">RANK(G2238,$G$2:$G$2501)+COUNTIF($G$2:G2238,G2238)-1</f>
        <v>2237</v>
      </c>
      <c r="B2238" s="11" t="s">
        <v>5480</v>
      </c>
      <c r="C2238" s="11" t="s">
        <v>327</v>
      </c>
      <c r="D2238" s="5" t="s">
        <v>56</v>
      </c>
      <c r="E2238" s="5" t="s">
        <v>57</v>
      </c>
      <c r="F2238" s="5"/>
      <c r="G2238" s="22" t="n">
        <f aca="false">ROUND(SUM(I2238:P2238),3)</f>
        <v>47.346</v>
      </c>
      <c r="H2238" s="5" t="str">
        <f aca="false">IF(G2238&gt;=評分方法!$C$16,"優先評估",IF(G2238&gt;=評分方法!$C$17,"列入候選",IF(G2238&gt;=評分方法!$C$18,"特定情境","不建議")))</f>
        <v>不建議</v>
      </c>
      <c r="I2238" s="15" t="n">
        <f aca="false">AE2238*評分方法!$C$5</f>
        <v>4.8</v>
      </c>
      <c r="J2238" s="15" t="n">
        <f aca="false">AF2238*評分方法!$C$6</f>
        <v>0</v>
      </c>
      <c r="K2238" s="15" t="n">
        <f aca="false">AG2238*評分方法!$C$7</f>
        <v>15</v>
      </c>
      <c r="L2238" s="15" t="n">
        <f aca="false">AH2238*評分方法!$C$8</f>
        <v>13.05</v>
      </c>
      <c r="M2238" s="15" t="n">
        <f aca="false">AI2238*評分方法!$C$9</f>
        <v>6</v>
      </c>
      <c r="N2238" s="15" t="n">
        <f aca="false">AJ2238*評分方法!$C$10</f>
        <v>4.496</v>
      </c>
      <c r="O2238" s="15" t="n">
        <f aca="false">AK2238*評分方法!$C$11</f>
        <v>4</v>
      </c>
      <c r="P2238" s="15" t="n">
        <f aca="false">AL2238*評分方法!$C$12</f>
        <v>0</v>
      </c>
      <c r="Q2238" s="6" t="n">
        <v>490659</v>
      </c>
      <c r="R2238" s="6" t="n">
        <v>8267215360</v>
      </c>
      <c r="S2238" s="11" t="s">
        <v>254</v>
      </c>
      <c r="T2238" s="11" t="s">
        <v>185</v>
      </c>
      <c r="U2238" s="5" t="s">
        <v>260</v>
      </c>
      <c r="V2238" s="11" t="s">
        <v>261</v>
      </c>
      <c r="W2238" s="5" t="s">
        <v>205</v>
      </c>
      <c r="X2238" s="5" t="s">
        <v>242</v>
      </c>
      <c r="Y2238" s="5"/>
      <c r="Z2238" s="5"/>
      <c r="AA2238" s="11" t="s">
        <v>171</v>
      </c>
      <c r="AB2238" s="5" t="s">
        <v>245</v>
      </c>
      <c r="AC2238" s="5" t="s">
        <v>5481</v>
      </c>
      <c r="AD2238" s="11" t="s">
        <v>5482</v>
      </c>
      <c r="AE2238" s="23" t="n">
        <v>0.16</v>
      </c>
      <c r="AF2238" s="23" t="n">
        <v>0</v>
      </c>
      <c r="AG2238" s="23" t="n">
        <v>1</v>
      </c>
      <c r="AH2238" s="23" t="n">
        <v>0.87</v>
      </c>
      <c r="AI2238" s="23" t="n">
        <v>0.6</v>
      </c>
      <c r="AJ2238" s="23" t="n">
        <v>0.4496</v>
      </c>
      <c r="AK2238" s="23" t="n">
        <v>0.8</v>
      </c>
      <c r="AL2238" s="23" t="n">
        <v>0</v>
      </c>
      <c r="AM2238" s="16" t="n">
        <f aca="false">COUNTIFS($D$2:$D$2501,D2238,$G$2:$G$2501,"&gt;"&amp;G2238)+COUNTIFS($D$2:D2238,D2238,$G$2:G2238,G2238)</f>
        <v>964</v>
      </c>
      <c r="AN2238" s="5" t="str">
        <f aca="false">D2238&amp;"|"&amp;AM2238</f>
        <v>分析與報告生成|964</v>
      </c>
    </row>
    <row r="2239" customFormat="false" ht="17.15" hidden="false" customHeight="false" outlineLevel="0" collapsed="false">
      <c r="A2239" s="16" t="n">
        <f aca="false">RANK(G2239,$G$2:$G$2501)+COUNTIF($G$2:G2239,G2239)-1</f>
        <v>2238</v>
      </c>
      <c r="B2239" s="11" t="s">
        <v>5483</v>
      </c>
      <c r="C2239" s="11" t="s">
        <v>4046</v>
      </c>
      <c r="D2239" s="5" t="s">
        <v>78</v>
      </c>
      <c r="E2239" s="5" t="s">
        <v>79</v>
      </c>
      <c r="F2239" s="5"/>
      <c r="G2239" s="22" t="n">
        <f aca="false">ROUND(SUM(I2239:P2239),3)</f>
        <v>47.344</v>
      </c>
      <c r="H2239" s="5" t="str">
        <f aca="false">IF(G2239&gt;=評分方法!$C$16,"優先評估",IF(G2239&gt;=評分方法!$C$17,"列入候選",IF(G2239&gt;=評分方法!$C$18,"特定情境","不建議")))</f>
        <v>不建議</v>
      </c>
      <c r="I2239" s="15" t="n">
        <f aca="false">AE2239*評分方法!$C$5</f>
        <v>9</v>
      </c>
      <c r="J2239" s="15" t="n">
        <f aca="false">AF2239*評分方法!$C$6</f>
        <v>0</v>
      </c>
      <c r="K2239" s="15" t="n">
        <f aca="false">AG2239*評分方法!$C$7</f>
        <v>4.95</v>
      </c>
      <c r="L2239" s="15" t="n">
        <f aca="false">AH2239*評分方法!$C$8</f>
        <v>13.05</v>
      </c>
      <c r="M2239" s="15" t="n">
        <f aca="false">AI2239*評分方法!$C$9</f>
        <v>10</v>
      </c>
      <c r="N2239" s="15" t="n">
        <f aca="false">AJ2239*評分方法!$C$10</f>
        <v>0.344</v>
      </c>
      <c r="O2239" s="15" t="n">
        <f aca="false">AK2239*評分方法!$C$11</f>
        <v>5</v>
      </c>
      <c r="P2239" s="15" t="n">
        <f aca="false">AL2239*評分方法!$C$12</f>
        <v>5</v>
      </c>
      <c r="Q2239" s="6" t="n">
        <v>125952</v>
      </c>
      <c r="R2239" s="6" t="n">
        <v>1543321440</v>
      </c>
      <c r="S2239" s="11" t="s">
        <v>254</v>
      </c>
      <c r="T2239" s="11" t="s">
        <v>239</v>
      </c>
      <c r="U2239" s="5" t="s">
        <v>240</v>
      </c>
      <c r="V2239" s="11" t="s">
        <v>333</v>
      </c>
      <c r="W2239" s="5" t="s">
        <v>334</v>
      </c>
      <c r="X2239" s="5" t="s">
        <v>284</v>
      </c>
      <c r="Y2239" s="11" t="s">
        <v>3824</v>
      </c>
      <c r="Z2239" s="11" t="s">
        <v>244</v>
      </c>
      <c r="AA2239" s="11" t="s">
        <v>175</v>
      </c>
      <c r="AB2239" s="5" t="s">
        <v>245</v>
      </c>
      <c r="AC2239" s="5" t="s">
        <v>246</v>
      </c>
      <c r="AD2239" s="11" t="s">
        <v>5484</v>
      </c>
      <c r="AE2239" s="23" t="n">
        <v>0.3</v>
      </c>
      <c r="AF2239" s="23" t="n">
        <v>0</v>
      </c>
      <c r="AG2239" s="23" t="n">
        <v>0.33</v>
      </c>
      <c r="AH2239" s="23" t="n">
        <v>0.87</v>
      </c>
      <c r="AI2239" s="23" t="n">
        <v>1</v>
      </c>
      <c r="AJ2239" s="23" t="n">
        <v>0.0344</v>
      </c>
      <c r="AK2239" s="23" t="n">
        <v>1</v>
      </c>
      <c r="AL2239" s="23" t="n">
        <v>1</v>
      </c>
      <c r="AM2239" s="16" t="n">
        <f aca="false">COUNTIFS($D$2:$D$2501,D2239,$G$2:$G$2501,"&gt;"&amp;G2239)+COUNTIFS($D$2:D2239,D2239,$G$2:G2239,G2239)</f>
        <v>82</v>
      </c>
      <c r="AN2239" s="5" t="str">
        <f aca="false">D2239&amp;"|"&amp;AM2239</f>
        <v>語音分析|82</v>
      </c>
    </row>
    <row r="2240" customFormat="false" ht="17.15" hidden="false" customHeight="false" outlineLevel="0" collapsed="false">
      <c r="A2240" s="16" t="n">
        <f aca="false">RANK(G2240,$G$2:$G$2501)+COUNTIF($G$2:G2240,G2240)-1</f>
        <v>2239</v>
      </c>
      <c r="B2240" s="11" t="s">
        <v>5485</v>
      </c>
      <c r="C2240" s="11" t="s">
        <v>4662</v>
      </c>
      <c r="D2240" s="5" t="s">
        <v>78</v>
      </c>
      <c r="E2240" s="5" t="s">
        <v>79</v>
      </c>
      <c r="F2240" s="5"/>
      <c r="G2240" s="22" t="n">
        <f aca="false">ROUND(SUM(I2240:P2240),3)</f>
        <v>47.338</v>
      </c>
      <c r="H2240" s="5" t="str">
        <f aca="false">IF(G2240&gt;=評分方法!$C$16,"優先評估",IF(G2240&gt;=評分方法!$C$17,"列入候選",IF(G2240&gt;=評分方法!$C$18,"特定情境","不建議")))</f>
        <v>不建議</v>
      </c>
      <c r="I2240" s="15" t="n">
        <f aca="false">AE2240*評分方法!$C$5</f>
        <v>5.4</v>
      </c>
      <c r="J2240" s="15" t="n">
        <f aca="false">AF2240*評分方法!$C$6</f>
        <v>0</v>
      </c>
      <c r="K2240" s="15" t="n">
        <f aca="false">AG2240*評分方法!$C$7</f>
        <v>4.95</v>
      </c>
      <c r="L2240" s="15" t="n">
        <f aca="false">AH2240*評分方法!$C$8</f>
        <v>15</v>
      </c>
      <c r="M2240" s="15" t="n">
        <f aca="false">AI2240*評分方法!$C$9</f>
        <v>10</v>
      </c>
      <c r="N2240" s="15" t="n">
        <f aca="false">AJ2240*評分方法!$C$10</f>
        <v>9.488</v>
      </c>
      <c r="O2240" s="15" t="n">
        <f aca="false">AK2240*評分方法!$C$11</f>
        <v>2.5</v>
      </c>
      <c r="P2240" s="15" t="n">
        <f aca="false">AL2240*評分方法!$C$12</f>
        <v>0</v>
      </c>
      <c r="Q2240" s="6" t="n">
        <v>8583581</v>
      </c>
      <c r="R2240" s="6" t="n">
        <v>315485870</v>
      </c>
      <c r="S2240" s="11" t="s">
        <v>238</v>
      </c>
      <c r="T2240" s="11" t="s">
        <v>3175</v>
      </c>
      <c r="U2240" s="5" t="s">
        <v>240</v>
      </c>
      <c r="V2240" s="11" t="s">
        <v>324</v>
      </c>
      <c r="W2240" s="5" t="s">
        <v>334</v>
      </c>
      <c r="X2240" s="5" t="s">
        <v>242</v>
      </c>
      <c r="Y2240" s="5"/>
      <c r="Z2240" s="5"/>
      <c r="AA2240" s="11" t="s">
        <v>175</v>
      </c>
      <c r="AB2240" s="5" t="s">
        <v>245</v>
      </c>
      <c r="AC2240" s="5" t="s">
        <v>1463</v>
      </c>
      <c r="AD2240" s="11" t="s">
        <v>5486</v>
      </c>
      <c r="AE2240" s="23" t="n">
        <v>0.18</v>
      </c>
      <c r="AF2240" s="23" t="n">
        <v>0</v>
      </c>
      <c r="AG2240" s="23" t="n">
        <v>0.33</v>
      </c>
      <c r="AH2240" s="23" t="n">
        <v>1</v>
      </c>
      <c r="AI2240" s="23" t="n">
        <v>1</v>
      </c>
      <c r="AJ2240" s="23" t="n">
        <v>0.9488</v>
      </c>
      <c r="AK2240" s="23" t="n">
        <v>0.5</v>
      </c>
      <c r="AL2240" s="23" t="n">
        <v>0</v>
      </c>
      <c r="AM2240" s="16" t="n">
        <f aca="false">COUNTIFS($D$2:$D$2501,D2240,$G$2:$G$2501,"&gt;"&amp;G2240)+COUNTIFS($D$2:D2240,D2240,$G$2:G2240,G2240)</f>
        <v>83</v>
      </c>
      <c r="AN2240" s="5" t="str">
        <f aca="false">D2240&amp;"|"&amp;AM2240</f>
        <v>語音分析|83</v>
      </c>
    </row>
    <row r="2241" customFormat="false" ht="17.15" hidden="false" customHeight="false" outlineLevel="0" collapsed="false">
      <c r="A2241" s="16" t="n">
        <f aca="false">RANK(G2241,$G$2:$G$2501)+COUNTIF($G$2:G2241,G2241)-1</f>
        <v>2240</v>
      </c>
      <c r="B2241" s="11" t="s">
        <v>5487</v>
      </c>
      <c r="C2241" s="11" t="s">
        <v>5488</v>
      </c>
      <c r="D2241" s="5" t="s">
        <v>76</v>
      </c>
      <c r="E2241" s="5" t="s">
        <v>77</v>
      </c>
      <c r="F2241" s="5"/>
      <c r="G2241" s="22" t="n">
        <f aca="false">ROUND(SUM(I2241:P2241),3)</f>
        <v>47.32</v>
      </c>
      <c r="H2241" s="5" t="str">
        <f aca="false">IF(G2241&gt;=評分方法!$C$16,"優先評估",IF(G2241&gt;=評分方法!$C$17,"列入候選",IF(G2241&gt;=評分方法!$C$18,"特定情境","不建議")))</f>
        <v>不建議</v>
      </c>
      <c r="I2241" s="15" t="n">
        <f aca="false">AE2241*評分方法!$C$5</f>
        <v>12</v>
      </c>
      <c r="J2241" s="15" t="n">
        <f aca="false">AF2241*評分方法!$C$6</f>
        <v>0</v>
      </c>
      <c r="K2241" s="15" t="n">
        <f aca="false">AG2241*評分方法!$C$7</f>
        <v>4.95</v>
      </c>
      <c r="L2241" s="15" t="n">
        <f aca="false">AH2241*評分方法!$C$8</f>
        <v>13.05</v>
      </c>
      <c r="M2241" s="15" t="n">
        <f aca="false">AI2241*評分方法!$C$9</f>
        <v>6</v>
      </c>
      <c r="N2241" s="15" t="n">
        <f aca="false">AJ2241*評分方法!$C$10</f>
        <v>8.82</v>
      </c>
      <c r="O2241" s="15" t="n">
        <f aca="false">AK2241*評分方法!$C$11</f>
        <v>2.5</v>
      </c>
      <c r="P2241" s="15" t="n">
        <f aca="false">AL2241*評分方法!$C$12</f>
        <v>0</v>
      </c>
      <c r="Q2241" s="6" t="n">
        <v>3117138</v>
      </c>
      <c r="R2241" s="6" t="n">
        <v>8030261248</v>
      </c>
      <c r="S2241" s="11" t="s">
        <v>254</v>
      </c>
      <c r="T2241" s="11" t="s">
        <v>1177</v>
      </c>
      <c r="U2241" s="5" t="s">
        <v>260</v>
      </c>
      <c r="V2241" s="11" t="s">
        <v>333</v>
      </c>
      <c r="W2241" s="5" t="s">
        <v>334</v>
      </c>
      <c r="X2241" s="5" t="s">
        <v>242</v>
      </c>
      <c r="Y2241" s="11" t="s">
        <v>5489</v>
      </c>
      <c r="Z2241" s="11" t="s">
        <v>244</v>
      </c>
      <c r="AA2241" s="11" t="s">
        <v>168</v>
      </c>
      <c r="AB2241" s="5" t="s">
        <v>245</v>
      </c>
      <c r="AC2241" s="5" t="s">
        <v>464</v>
      </c>
      <c r="AD2241" s="11" t="s">
        <v>5490</v>
      </c>
      <c r="AE2241" s="23" t="n">
        <v>0.4</v>
      </c>
      <c r="AF2241" s="23" t="n">
        <v>0</v>
      </c>
      <c r="AG2241" s="23" t="n">
        <v>0.33</v>
      </c>
      <c r="AH2241" s="23" t="n">
        <v>0.87</v>
      </c>
      <c r="AI2241" s="23" t="n">
        <v>0.6</v>
      </c>
      <c r="AJ2241" s="23" t="n">
        <v>0.882</v>
      </c>
      <c r="AK2241" s="23" t="n">
        <v>0.5</v>
      </c>
      <c r="AL2241" s="23" t="n">
        <v>0</v>
      </c>
      <c r="AM2241" s="16" t="n">
        <f aca="false">COUNTIFS($D$2:$D$2501,D2241,$G$2:$G$2501,"&gt;"&amp;G2241)+COUNTIFS($D$2:D2241,D2241,$G$2:G2241,G2241)</f>
        <v>14</v>
      </c>
      <c r="AN2241" s="5" t="str">
        <f aca="false">D2241&amp;"|"&amp;AM2241</f>
        <v>情資翻譯|14</v>
      </c>
    </row>
    <row r="2242" customFormat="false" ht="17.15" hidden="false" customHeight="false" outlineLevel="0" collapsed="false">
      <c r="A2242" s="16" t="n">
        <f aca="false">RANK(G2242,$G$2:$G$2501)+COUNTIF($G$2:G2242,G2242)-1</f>
        <v>2241</v>
      </c>
      <c r="B2242" s="11" t="s">
        <v>5491</v>
      </c>
      <c r="C2242" s="11" t="s">
        <v>1677</v>
      </c>
      <c r="D2242" s="5" t="s">
        <v>78</v>
      </c>
      <c r="E2242" s="5" t="s">
        <v>79</v>
      </c>
      <c r="F2242" s="5"/>
      <c r="G2242" s="22" t="n">
        <f aca="false">ROUND(SUM(I2242:P2242),3)</f>
        <v>47.316</v>
      </c>
      <c r="H2242" s="5" t="str">
        <f aca="false">IF(G2242&gt;=評分方法!$C$16,"優先評估",IF(G2242&gt;=評分方法!$C$17,"列入候選",IF(G2242&gt;=評分方法!$C$18,"特定情境","不建議")))</f>
        <v>不建議</v>
      </c>
      <c r="I2242" s="15" t="n">
        <f aca="false">AE2242*評分方法!$C$5</f>
        <v>9</v>
      </c>
      <c r="J2242" s="15" t="n">
        <f aca="false">AF2242*評分方法!$C$6</f>
        <v>0</v>
      </c>
      <c r="K2242" s="15" t="n">
        <f aca="false">AG2242*評分方法!$C$7</f>
        <v>10.05</v>
      </c>
      <c r="L2242" s="15" t="n">
        <f aca="false">AH2242*評分方法!$C$8</f>
        <v>7.05</v>
      </c>
      <c r="M2242" s="15" t="n">
        <f aca="false">AI2242*評分方法!$C$9</f>
        <v>10</v>
      </c>
      <c r="N2242" s="15" t="n">
        <f aca="false">AJ2242*評分方法!$C$10</f>
        <v>5.716</v>
      </c>
      <c r="O2242" s="15" t="n">
        <f aca="false">AK2242*評分方法!$C$11</f>
        <v>4</v>
      </c>
      <c r="P2242" s="15" t="n">
        <f aca="false">AL2242*評分方法!$C$12</f>
        <v>1.5</v>
      </c>
      <c r="Q2242" s="6" t="n">
        <v>590627</v>
      </c>
      <c r="R2242" s="6"/>
      <c r="S2242" s="5" t="s">
        <v>255</v>
      </c>
      <c r="T2242" s="11" t="s">
        <v>239</v>
      </c>
      <c r="U2242" s="5" t="s">
        <v>240</v>
      </c>
      <c r="V2242" s="11" t="s">
        <v>514</v>
      </c>
      <c r="W2242" s="5" t="s">
        <v>207</v>
      </c>
      <c r="X2242" s="5" t="s">
        <v>255</v>
      </c>
      <c r="Y2242" s="11" t="s">
        <v>4254</v>
      </c>
      <c r="Z2242" s="11" t="s">
        <v>244</v>
      </c>
      <c r="AA2242" s="11" t="s">
        <v>175</v>
      </c>
      <c r="AB2242" s="5" t="s">
        <v>245</v>
      </c>
      <c r="AC2242" s="5" t="s">
        <v>246</v>
      </c>
      <c r="AD2242" s="11" t="s">
        <v>5492</v>
      </c>
      <c r="AE2242" s="23" t="n">
        <v>0.3</v>
      </c>
      <c r="AF2242" s="23" t="n">
        <v>0</v>
      </c>
      <c r="AG2242" s="23" t="n">
        <v>0.67</v>
      </c>
      <c r="AH2242" s="23" t="n">
        <v>0.47</v>
      </c>
      <c r="AI2242" s="23" t="n">
        <v>1</v>
      </c>
      <c r="AJ2242" s="23" t="n">
        <v>0.5716</v>
      </c>
      <c r="AK2242" s="23" t="n">
        <v>0.8</v>
      </c>
      <c r="AL2242" s="23" t="n">
        <v>0.3</v>
      </c>
      <c r="AM2242" s="16" t="n">
        <f aca="false">COUNTIFS($D$2:$D$2501,D2242,$G$2:$G$2501,"&gt;"&amp;G2242)+COUNTIFS($D$2:D2242,D2242,$G$2:G2242,G2242)</f>
        <v>84</v>
      </c>
      <c r="AN2242" s="5" t="str">
        <f aca="false">D2242&amp;"|"&amp;AM2242</f>
        <v>語音分析|84</v>
      </c>
    </row>
    <row r="2243" customFormat="false" ht="17.15" hidden="false" customHeight="false" outlineLevel="0" collapsed="false">
      <c r="A2243" s="16" t="n">
        <f aca="false">RANK(G2243,$G$2:$G$2501)+COUNTIF($G$2:G2243,G2243)-1</f>
        <v>2242</v>
      </c>
      <c r="B2243" s="11" t="s">
        <v>5493</v>
      </c>
      <c r="C2243" s="11" t="s">
        <v>5494</v>
      </c>
      <c r="D2243" s="5" t="s">
        <v>66</v>
      </c>
      <c r="E2243" s="5" t="s">
        <v>67</v>
      </c>
      <c r="F2243" s="5"/>
      <c r="G2243" s="22" t="n">
        <f aca="false">ROUND(SUM(I2243:P2243),3)</f>
        <v>47.298</v>
      </c>
      <c r="H2243" s="5" t="str">
        <f aca="false">IF(G2243&gt;=評分方法!$C$16,"優先評估",IF(G2243&gt;=評分方法!$C$17,"列入候選",IF(G2243&gt;=評分方法!$C$18,"特定情境","不建議")))</f>
        <v>不建議</v>
      </c>
      <c r="I2243" s="15" t="n">
        <f aca="false">AE2243*評分方法!$C$5</f>
        <v>12</v>
      </c>
      <c r="J2243" s="15" t="n">
        <f aca="false">AF2243*評分方法!$C$6</f>
        <v>0</v>
      </c>
      <c r="K2243" s="15" t="n">
        <f aca="false">AG2243*評分方法!$C$7</f>
        <v>4.95</v>
      </c>
      <c r="L2243" s="15" t="n">
        <f aca="false">AH2243*評分方法!$C$8</f>
        <v>15</v>
      </c>
      <c r="M2243" s="15" t="n">
        <f aca="false">AI2243*評分方法!$C$9</f>
        <v>10</v>
      </c>
      <c r="N2243" s="15" t="n">
        <f aca="false">AJ2243*評分方法!$C$10</f>
        <v>4.348</v>
      </c>
      <c r="O2243" s="15" t="n">
        <f aca="false">AK2243*評分方法!$C$11</f>
        <v>1</v>
      </c>
      <c r="P2243" s="15" t="n">
        <f aca="false">AL2243*評分方法!$C$12</f>
        <v>0</v>
      </c>
      <c r="Q2243" s="6" t="n">
        <v>477306</v>
      </c>
      <c r="R2243" s="6" t="n">
        <v>66958086</v>
      </c>
      <c r="S2243" s="11" t="s">
        <v>238</v>
      </c>
      <c r="T2243" s="11" t="s">
        <v>239</v>
      </c>
      <c r="U2243" s="5" t="s">
        <v>240</v>
      </c>
      <c r="V2243" s="11" t="s">
        <v>279</v>
      </c>
      <c r="W2243" s="5" t="s">
        <v>334</v>
      </c>
      <c r="X2243" s="5" t="s">
        <v>242</v>
      </c>
      <c r="Y2243" s="5"/>
      <c r="Z2243" s="5"/>
      <c r="AA2243" s="11" t="s">
        <v>149</v>
      </c>
      <c r="AB2243" s="5" t="s">
        <v>245</v>
      </c>
      <c r="AC2243" s="5" t="s">
        <v>3044</v>
      </c>
      <c r="AD2243" s="11" t="s">
        <v>5495</v>
      </c>
      <c r="AE2243" s="23" t="n">
        <v>0.4</v>
      </c>
      <c r="AF2243" s="23" t="n">
        <v>0</v>
      </c>
      <c r="AG2243" s="23" t="n">
        <v>0.33</v>
      </c>
      <c r="AH2243" s="23" t="n">
        <v>1</v>
      </c>
      <c r="AI2243" s="23" t="n">
        <v>1</v>
      </c>
      <c r="AJ2243" s="23" t="n">
        <v>0.4348</v>
      </c>
      <c r="AK2243" s="23" t="n">
        <v>0.2</v>
      </c>
      <c r="AL2243" s="23" t="n">
        <v>0</v>
      </c>
      <c r="AM2243" s="16" t="n">
        <f aca="false">COUNTIFS($D$2:$D$2501,D2243,$G$2:$G$2501,"&gt;"&amp;G2243)+COUNTIFS($D$2:D2243,D2243,$G$2:G2243,G2243)</f>
        <v>68</v>
      </c>
      <c r="AN2243" s="5" t="str">
        <f aca="false">D2243&amp;"|"&amp;AM2243</f>
        <v>分類與偵測|68</v>
      </c>
    </row>
    <row r="2244" customFormat="false" ht="17.15" hidden="false" customHeight="false" outlineLevel="0" collapsed="false">
      <c r="A2244" s="16" t="n">
        <f aca="false">RANK(G2244,$G$2:$G$2501)+COUNTIF($G$2:G2244,G2244)-1</f>
        <v>2243</v>
      </c>
      <c r="B2244" s="11" t="s">
        <v>5496</v>
      </c>
      <c r="C2244" s="11" t="s">
        <v>4629</v>
      </c>
      <c r="D2244" s="5" t="s">
        <v>66</v>
      </c>
      <c r="E2244" s="5" t="s">
        <v>67</v>
      </c>
      <c r="F2244" s="5"/>
      <c r="G2244" s="22" t="n">
        <f aca="false">ROUND(SUM(I2244:P2244),3)</f>
        <v>47.25</v>
      </c>
      <c r="H2244" s="5" t="str">
        <f aca="false">IF(G2244&gt;=評分方法!$C$16,"優先評估",IF(G2244&gt;=評分方法!$C$17,"列入候選",IF(G2244&gt;=評分方法!$C$18,"特定情境","不建議")))</f>
        <v>不建議</v>
      </c>
      <c r="I2244" s="15" t="n">
        <f aca="false">AE2244*評分方法!$C$5</f>
        <v>12</v>
      </c>
      <c r="J2244" s="15" t="n">
        <f aca="false">AF2244*評分方法!$C$6</f>
        <v>0</v>
      </c>
      <c r="K2244" s="15" t="n">
        <f aca="false">AG2244*評分方法!$C$7</f>
        <v>4.95</v>
      </c>
      <c r="L2244" s="15" t="n">
        <f aca="false">AH2244*評分方法!$C$8</f>
        <v>15</v>
      </c>
      <c r="M2244" s="15" t="n">
        <f aca="false">AI2244*評分方法!$C$9</f>
        <v>10</v>
      </c>
      <c r="N2244" s="15" t="n">
        <f aca="false">AJ2244*評分方法!$C$10</f>
        <v>1.3</v>
      </c>
      <c r="O2244" s="15" t="n">
        <f aca="false">AK2244*評分方法!$C$11</f>
        <v>4</v>
      </c>
      <c r="P2244" s="15" t="n">
        <f aca="false">AL2244*評分方法!$C$12</f>
        <v>0</v>
      </c>
      <c r="Q2244" s="6" t="n">
        <v>167685</v>
      </c>
      <c r="R2244" s="6" t="n">
        <v>13549826</v>
      </c>
      <c r="S2244" s="11" t="s">
        <v>238</v>
      </c>
      <c r="T2244" s="11" t="s">
        <v>239</v>
      </c>
      <c r="U2244" s="5" t="s">
        <v>240</v>
      </c>
      <c r="V2244" s="11" t="s">
        <v>324</v>
      </c>
      <c r="W2244" s="5" t="s">
        <v>334</v>
      </c>
      <c r="X2244" s="5" t="s">
        <v>242</v>
      </c>
      <c r="Y2244" s="11" t="s">
        <v>5497</v>
      </c>
      <c r="Z2244" s="11" t="s">
        <v>270</v>
      </c>
      <c r="AA2244" s="11" t="s">
        <v>149</v>
      </c>
      <c r="AB2244" s="5" t="s">
        <v>245</v>
      </c>
      <c r="AC2244" s="5" t="s">
        <v>3044</v>
      </c>
      <c r="AD2244" s="11" t="s">
        <v>5498</v>
      </c>
      <c r="AE2244" s="23" t="n">
        <v>0.4</v>
      </c>
      <c r="AF2244" s="23" t="n">
        <v>0</v>
      </c>
      <c r="AG2244" s="23" t="n">
        <v>0.33</v>
      </c>
      <c r="AH2244" s="23" t="n">
        <v>1</v>
      </c>
      <c r="AI2244" s="23" t="n">
        <v>1</v>
      </c>
      <c r="AJ2244" s="23" t="n">
        <v>0.13</v>
      </c>
      <c r="AK2244" s="23" t="n">
        <v>0.8</v>
      </c>
      <c r="AL2244" s="23" t="n">
        <v>0</v>
      </c>
      <c r="AM2244" s="16" t="n">
        <f aca="false">COUNTIFS($D$2:$D$2501,D2244,$G$2:$G$2501,"&gt;"&amp;G2244)+COUNTIFS($D$2:D2244,D2244,$G$2:G2244,G2244)</f>
        <v>69</v>
      </c>
      <c r="AN2244" s="5" t="str">
        <f aca="false">D2244&amp;"|"&amp;AM2244</f>
        <v>分類與偵測|69</v>
      </c>
    </row>
    <row r="2245" customFormat="false" ht="17.15" hidden="false" customHeight="false" outlineLevel="0" collapsed="false">
      <c r="A2245" s="16" t="n">
        <f aca="false">RANK(G2245,$G$2:$G$2501)+COUNTIF($G$2:G2245,G2245)-1</f>
        <v>2244</v>
      </c>
      <c r="B2245" s="11" t="s">
        <v>5499</v>
      </c>
      <c r="C2245" s="11" t="s">
        <v>5500</v>
      </c>
      <c r="D2245" s="5" t="s">
        <v>80</v>
      </c>
      <c r="E2245" s="5" t="s">
        <v>81</v>
      </c>
      <c r="F2245" s="5"/>
      <c r="G2245" s="22" t="n">
        <f aca="false">ROUND(SUM(I2245:P2245),3)</f>
        <v>47.23</v>
      </c>
      <c r="H2245" s="5" t="str">
        <f aca="false">IF(G2245&gt;=評分方法!$C$16,"優先評估",IF(G2245&gt;=評分方法!$C$17,"列入候選",IF(G2245&gt;=評分方法!$C$18,"特定情境","不建議")))</f>
        <v>不建議</v>
      </c>
      <c r="I2245" s="15" t="n">
        <f aca="false">AE2245*評分方法!$C$5</f>
        <v>6</v>
      </c>
      <c r="J2245" s="15" t="n">
        <f aca="false">AF2245*評分方法!$C$6</f>
        <v>0</v>
      </c>
      <c r="K2245" s="15" t="n">
        <f aca="false">AG2245*評分方法!$C$7</f>
        <v>4.95</v>
      </c>
      <c r="L2245" s="15" t="n">
        <f aca="false">AH2245*評分方法!$C$8</f>
        <v>15</v>
      </c>
      <c r="M2245" s="15" t="n">
        <f aca="false">AI2245*評分方法!$C$9</f>
        <v>10</v>
      </c>
      <c r="N2245" s="15" t="n">
        <f aca="false">AJ2245*評分方法!$C$10</f>
        <v>8.78</v>
      </c>
      <c r="O2245" s="15" t="n">
        <f aca="false">AK2245*評分方法!$C$11</f>
        <v>1</v>
      </c>
      <c r="P2245" s="15" t="n">
        <f aca="false">AL2245*評分方法!$C$12</f>
        <v>1.5</v>
      </c>
      <c r="Q2245" s="6" t="n">
        <v>3025123</v>
      </c>
      <c r="R2245" s="6" t="n">
        <v>98026341</v>
      </c>
      <c r="S2245" s="11" t="s">
        <v>238</v>
      </c>
      <c r="T2245" s="11" t="s">
        <v>239</v>
      </c>
      <c r="U2245" s="5" t="s">
        <v>240</v>
      </c>
      <c r="V2245" s="11" t="s">
        <v>4873</v>
      </c>
      <c r="W2245" s="5" t="s">
        <v>334</v>
      </c>
      <c r="X2245" s="5" t="s">
        <v>255</v>
      </c>
      <c r="Y2245" s="5"/>
      <c r="Z2245" s="5"/>
      <c r="AA2245" s="5"/>
      <c r="AB2245" s="5" t="s">
        <v>255</v>
      </c>
      <c r="AC2245" s="5"/>
      <c r="AD2245" s="11" t="s">
        <v>5501</v>
      </c>
      <c r="AE2245" s="23" t="n">
        <v>0.2</v>
      </c>
      <c r="AF2245" s="23" t="n">
        <v>0</v>
      </c>
      <c r="AG2245" s="23" t="n">
        <v>0.33</v>
      </c>
      <c r="AH2245" s="23" t="n">
        <v>1</v>
      </c>
      <c r="AI2245" s="23" t="n">
        <v>1</v>
      </c>
      <c r="AJ2245" s="23" t="n">
        <v>0.878</v>
      </c>
      <c r="AK2245" s="23" t="n">
        <v>0.2</v>
      </c>
      <c r="AL2245" s="23" t="n">
        <v>0.3</v>
      </c>
      <c r="AM2245" s="16" t="n">
        <f aca="false">COUNTIFS($D$2:$D$2501,D2245,$G$2:$G$2501,"&gt;"&amp;G2245)+COUNTIFS($D$2:D2245,D2245,$G$2:G2245,G2245)</f>
        <v>28</v>
      </c>
      <c r="AN2245" s="5" t="str">
        <f aca="false">D2245&amp;"|"&amp;AM2245</f>
        <v>其他|28</v>
      </c>
    </row>
    <row r="2246" customFormat="false" ht="17.15" hidden="false" customHeight="false" outlineLevel="0" collapsed="false">
      <c r="A2246" s="16" t="n">
        <f aca="false">RANK(G2246,$G$2:$G$2501)+COUNTIF($G$2:G2246,G2246)-1</f>
        <v>2245</v>
      </c>
      <c r="B2246" s="11" t="s">
        <v>5502</v>
      </c>
      <c r="C2246" s="11" t="s">
        <v>5503</v>
      </c>
      <c r="D2246" s="5" t="s">
        <v>72</v>
      </c>
      <c r="E2246" s="5" t="s">
        <v>73</v>
      </c>
      <c r="F2246" s="5"/>
      <c r="G2246" s="22" t="n">
        <f aca="false">ROUND(SUM(I2246:P2246),3)</f>
        <v>47.214</v>
      </c>
      <c r="H2246" s="5" t="str">
        <f aca="false">IF(G2246&gt;=評分方法!$C$16,"優先評估",IF(G2246&gt;=評分方法!$C$17,"列入候選",IF(G2246&gt;=評分方法!$C$18,"特定情境","不建議")))</f>
        <v>不建議</v>
      </c>
      <c r="I2246" s="15" t="n">
        <f aca="false">AE2246*評分方法!$C$5</f>
        <v>9</v>
      </c>
      <c r="J2246" s="15" t="n">
        <f aca="false">AF2246*評分方法!$C$6</f>
        <v>0</v>
      </c>
      <c r="K2246" s="15" t="n">
        <f aca="false">AG2246*評分方法!$C$7</f>
        <v>4.95</v>
      </c>
      <c r="L2246" s="15" t="n">
        <f aca="false">AH2246*評分方法!$C$8</f>
        <v>15</v>
      </c>
      <c r="M2246" s="15" t="n">
        <f aca="false">AI2246*評分方法!$C$9</f>
        <v>10</v>
      </c>
      <c r="N2246" s="15" t="n">
        <f aca="false">AJ2246*評分方法!$C$10</f>
        <v>3.264</v>
      </c>
      <c r="O2246" s="15" t="n">
        <f aca="false">AK2246*評分方法!$C$11</f>
        <v>5</v>
      </c>
      <c r="P2246" s="15" t="n">
        <f aca="false">AL2246*評分方法!$C$12</f>
        <v>0</v>
      </c>
      <c r="Q2246" s="6" t="n">
        <v>325886</v>
      </c>
      <c r="R2246" s="6" t="n">
        <v>442890240</v>
      </c>
      <c r="S2246" s="11" t="s">
        <v>238</v>
      </c>
      <c r="T2246" s="11" t="s">
        <v>239</v>
      </c>
      <c r="U2246" s="5" t="s">
        <v>240</v>
      </c>
      <c r="V2246" s="11" t="s">
        <v>261</v>
      </c>
      <c r="W2246" s="5" t="s">
        <v>334</v>
      </c>
      <c r="X2246" s="5" t="s">
        <v>242</v>
      </c>
      <c r="Y2246" s="5"/>
      <c r="Z2246" s="5"/>
      <c r="AA2246" s="11" t="s">
        <v>162</v>
      </c>
      <c r="AB2246" s="5" t="s">
        <v>328</v>
      </c>
      <c r="AC2246" s="5" t="s">
        <v>5038</v>
      </c>
      <c r="AD2246" s="11" t="s">
        <v>5504</v>
      </c>
      <c r="AE2246" s="23" t="n">
        <v>0.3</v>
      </c>
      <c r="AF2246" s="23" t="n">
        <v>0</v>
      </c>
      <c r="AG2246" s="23" t="n">
        <v>0.33</v>
      </c>
      <c r="AH2246" s="23" t="n">
        <v>1</v>
      </c>
      <c r="AI2246" s="23" t="n">
        <v>1</v>
      </c>
      <c r="AJ2246" s="23" t="n">
        <v>0.3264</v>
      </c>
      <c r="AK2246" s="23" t="n">
        <v>1</v>
      </c>
      <c r="AL2246" s="23" t="n">
        <v>0</v>
      </c>
      <c r="AM2246" s="16" t="n">
        <f aca="false">COUNTIFS($D$2:$D$2501,D2246,$G$2:$G$2501,"&gt;"&amp;G2246)+COUNTIFS($D$2:D2246,D2246,$G$2:G2246,G2246)</f>
        <v>51</v>
      </c>
      <c r="AN2246" s="5" t="str">
        <f aca="false">D2246&amp;"|"&amp;AM2246</f>
        <v>微調基底模型|51</v>
      </c>
    </row>
    <row r="2247" customFormat="false" ht="17.15" hidden="false" customHeight="false" outlineLevel="0" collapsed="false">
      <c r="A2247" s="16" t="n">
        <f aca="false">RANK(G2247,$G$2:$G$2501)+COUNTIF($G$2:G2247,G2247)-1</f>
        <v>2246</v>
      </c>
      <c r="B2247" s="11" t="s">
        <v>5505</v>
      </c>
      <c r="C2247" s="11" t="s">
        <v>4046</v>
      </c>
      <c r="D2247" s="5" t="s">
        <v>78</v>
      </c>
      <c r="E2247" s="5" t="s">
        <v>79</v>
      </c>
      <c r="F2247" s="5"/>
      <c r="G2247" s="22" t="n">
        <f aca="false">ROUND(SUM(I2247:P2247),3)</f>
        <v>47.2</v>
      </c>
      <c r="H2247" s="5" t="str">
        <f aca="false">IF(G2247&gt;=評分方法!$C$16,"優先評估",IF(G2247&gt;=評分方法!$C$17,"列入候選",IF(G2247&gt;=評分方法!$C$18,"特定情境","不建議")))</f>
        <v>不建議</v>
      </c>
      <c r="I2247" s="15" t="n">
        <f aca="false">AE2247*評分方法!$C$5</f>
        <v>9</v>
      </c>
      <c r="J2247" s="15" t="n">
        <f aca="false">AF2247*評分方法!$C$6</f>
        <v>0</v>
      </c>
      <c r="K2247" s="15" t="n">
        <f aca="false">AG2247*評分方法!$C$7</f>
        <v>4.95</v>
      </c>
      <c r="L2247" s="15" t="n">
        <f aca="false">AH2247*評分方法!$C$8</f>
        <v>13.05</v>
      </c>
      <c r="M2247" s="15" t="n">
        <f aca="false">AI2247*評分方法!$C$9</f>
        <v>10</v>
      </c>
      <c r="N2247" s="15" t="n">
        <f aca="false">AJ2247*評分方法!$C$10</f>
        <v>0.2</v>
      </c>
      <c r="O2247" s="15" t="n">
        <f aca="false">AK2247*評分方法!$C$11</f>
        <v>5</v>
      </c>
      <c r="P2247" s="15" t="n">
        <f aca="false">AL2247*評分方法!$C$12</f>
        <v>5</v>
      </c>
      <c r="Q2247" s="6" t="n">
        <v>121584</v>
      </c>
      <c r="R2247" s="6" t="n">
        <v>4676297232</v>
      </c>
      <c r="S2247" s="11" t="s">
        <v>254</v>
      </c>
      <c r="T2247" s="11" t="s">
        <v>239</v>
      </c>
      <c r="U2247" s="5" t="s">
        <v>240</v>
      </c>
      <c r="V2247" s="11" t="s">
        <v>333</v>
      </c>
      <c r="W2247" s="5" t="s">
        <v>334</v>
      </c>
      <c r="X2247" s="5" t="s">
        <v>284</v>
      </c>
      <c r="Y2247" s="11" t="s">
        <v>4492</v>
      </c>
      <c r="Z2247" s="11" t="s">
        <v>244</v>
      </c>
      <c r="AA2247" s="11" t="s">
        <v>175</v>
      </c>
      <c r="AB2247" s="5" t="s">
        <v>245</v>
      </c>
      <c r="AC2247" s="5" t="s">
        <v>246</v>
      </c>
      <c r="AD2247" s="11" t="s">
        <v>5506</v>
      </c>
      <c r="AE2247" s="23" t="n">
        <v>0.3</v>
      </c>
      <c r="AF2247" s="23" t="n">
        <v>0</v>
      </c>
      <c r="AG2247" s="23" t="n">
        <v>0.33</v>
      </c>
      <c r="AH2247" s="23" t="n">
        <v>0.87</v>
      </c>
      <c r="AI2247" s="23" t="n">
        <v>1</v>
      </c>
      <c r="AJ2247" s="23" t="n">
        <v>0.02</v>
      </c>
      <c r="AK2247" s="23" t="n">
        <v>1</v>
      </c>
      <c r="AL2247" s="23" t="n">
        <v>1</v>
      </c>
      <c r="AM2247" s="16" t="n">
        <f aca="false">COUNTIFS($D$2:$D$2501,D2247,$G$2:$G$2501,"&gt;"&amp;G2247)+COUNTIFS($D$2:D2247,D2247,$G$2:G2247,G2247)</f>
        <v>85</v>
      </c>
      <c r="AN2247" s="5" t="str">
        <f aca="false">D2247&amp;"|"&amp;AM2247</f>
        <v>語音分析|85</v>
      </c>
    </row>
    <row r="2248" customFormat="false" ht="17.15" hidden="false" customHeight="false" outlineLevel="0" collapsed="false">
      <c r="A2248" s="16" t="n">
        <f aca="false">RANK(G2248,$G$2:$G$2501)+COUNTIF($G$2:G2248,G2248)-1</f>
        <v>2247</v>
      </c>
      <c r="B2248" s="11" t="s">
        <v>5507</v>
      </c>
      <c r="C2248" s="11" t="s">
        <v>1214</v>
      </c>
      <c r="D2248" s="5" t="s">
        <v>74</v>
      </c>
      <c r="E2248" s="5" t="s">
        <v>75</v>
      </c>
      <c r="F2248" s="5"/>
      <c r="G2248" s="22" t="n">
        <f aca="false">ROUND(SUM(I2248:P2248),3)</f>
        <v>47.158</v>
      </c>
      <c r="H2248" s="5" t="str">
        <f aca="false">IF(G2248&gt;=評分方法!$C$16,"優先評估",IF(G2248&gt;=評分方法!$C$17,"列入候選",IF(G2248&gt;=評分方法!$C$18,"特定情境","不建議")))</f>
        <v>不建議</v>
      </c>
      <c r="I2248" s="15" t="n">
        <f aca="false">AE2248*評分方法!$C$5</f>
        <v>4.5</v>
      </c>
      <c r="J2248" s="15" t="n">
        <f aca="false">AF2248*評分方法!$C$6</f>
        <v>0</v>
      </c>
      <c r="K2248" s="15" t="n">
        <f aca="false">AG2248*評分方法!$C$7</f>
        <v>15</v>
      </c>
      <c r="L2248" s="15" t="n">
        <f aca="false">AH2248*評分方法!$C$8</f>
        <v>7.05</v>
      </c>
      <c r="M2248" s="15" t="n">
        <f aca="false">AI2248*評分方法!$C$9</f>
        <v>10</v>
      </c>
      <c r="N2248" s="15" t="n">
        <f aca="false">AJ2248*評分方法!$C$10</f>
        <v>4.108</v>
      </c>
      <c r="O2248" s="15" t="n">
        <f aca="false">AK2248*評分方法!$C$11</f>
        <v>5</v>
      </c>
      <c r="P2248" s="15" t="n">
        <f aca="false">AL2248*評分方法!$C$12</f>
        <v>1.5</v>
      </c>
      <c r="Q2248" s="6" t="n">
        <v>438629</v>
      </c>
      <c r="R2248" s="6"/>
      <c r="S2248" s="5" t="s">
        <v>255</v>
      </c>
      <c r="T2248" s="11" t="s">
        <v>278</v>
      </c>
      <c r="U2248" s="5" t="s">
        <v>240</v>
      </c>
      <c r="V2248" s="11" t="s">
        <v>261</v>
      </c>
      <c r="W2248" s="5" t="s">
        <v>205</v>
      </c>
      <c r="X2248" s="5" t="s">
        <v>255</v>
      </c>
      <c r="Y2248" s="11" t="s">
        <v>5508</v>
      </c>
      <c r="Z2248" s="11" t="s">
        <v>270</v>
      </c>
      <c r="AA2248" s="11" t="s">
        <v>183</v>
      </c>
      <c r="AB2248" s="5" t="s">
        <v>496</v>
      </c>
      <c r="AC2248" s="5" t="s">
        <v>497</v>
      </c>
      <c r="AD2248" s="11" t="s">
        <v>5509</v>
      </c>
      <c r="AE2248" s="23" t="n">
        <v>0.15</v>
      </c>
      <c r="AF2248" s="23" t="n">
        <v>0</v>
      </c>
      <c r="AG2248" s="23" t="n">
        <v>1</v>
      </c>
      <c r="AH2248" s="23" t="n">
        <v>0.47</v>
      </c>
      <c r="AI2248" s="23" t="n">
        <v>1</v>
      </c>
      <c r="AJ2248" s="23" t="n">
        <v>0.4108</v>
      </c>
      <c r="AK2248" s="23" t="n">
        <v>1</v>
      </c>
      <c r="AL2248" s="23" t="n">
        <v>0.3</v>
      </c>
      <c r="AM2248" s="16" t="n">
        <f aca="false">COUNTIFS($D$2:$D$2501,D2248,$G$2:$G$2501,"&gt;"&amp;G2248)+COUNTIFS($D$2:D2248,D2248,$G$2:G2248,G2248)</f>
        <v>301</v>
      </c>
      <c r="AN2248" s="5" t="str">
        <f aca="false">D2248&amp;"|"&amp;AM2248</f>
        <v>文件與影像辨識|301</v>
      </c>
    </row>
    <row r="2249" customFormat="false" ht="17.15" hidden="false" customHeight="false" outlineLevel="0" collapsed="false">
      <c r="A2249" s="16" t="n">
        <f aca="false">RANK(G2249,$G$2:$G$2501)+COUNTIF($G$2:G2249,G2249)-1</f>
        <v>2248</v>
      </c>
      <c r="B2249" s="11" t="s">
        <v>5510</v>
      </c>
      <c r="C2249" s="11" t="s">
        <v>681</v>
      </c>
      <c r="D2249" s="5" t="s">
        <v>80</v>
      </c>
      <c r="E2249" s="5" t="s">
        <v>81</v>
      </c>
      <c r="F2249" s="5"/>
      <c r="G2249" s="22" t="n">
        <f aca="false">ROUND(SUM(I2249:P2249),3)</f>
        <v>47.098</v>
      </c>
      <c r="H2249" s="5" t="str">
        <f aca="false">IF(G2249&gt;=評分方法!$C$16,"優先評估",IF(G2249&gt;=評分方法!$C$17,"列入候選",IF(G2249&gt;=評分方法!$C$18,"特定情境","不建議")))</f>
        <v>不建議</v>
      </c>
      <c r="I2249" s="15" t="n">
        <f aca="false">AE2249*評分方法!$C$5</f>
        <v>6</v>
      </c>
      <c r="J2249" s="15" t="n">
        <f aca="false">AF2249*評分方法!$C$6</f>
        <v>0</v>
      </c>
      <c r="K2249" s="15" t="n">
        <f aca="false">AG2249*評分方法!$C$7</f>
        <v>15</v>
      </c>
      <c r="L2249" s="15" t="n">
        <f aca="false">AH2249*評分方法!$C$8</f>
        <v>13.05</v>
      </c>
      <c r="M2249" s="15" t="n">
        <f aca="false">AI2249*評分方法!$C$9</f>
        <v>6</v>
      </c>
      <c r="N2249" s="15" t="n">
        <f aca="false">AJ2249*評分方法!$C$10</f>
        <v>1.548</v>
      </c>
      <c r="O2249" s="15" t="n">
        <f aca="false">AK2249*評分方法!$C$11</f>
        <v>4</v>
      </c>
      <c r="P2249" s="15" t="n">
        <f aca="false">AL2249*評分方法!$C$12</f>
        <v>1.5</v>
      </c>
      <c r="Q2249" s="6" t="n">
        <v>181768</v>
      </c>
      <c r="R2249" s="6" t="n">
        <v>1533794568</v>
      </c>
      <c r="S2249" s="11" t="s">
        <v>254</v>
      </c>
      <c r="T2249" s="11" t="s">
        <v>185</v>
      </c>
      <c r="U2249" s="5" t="s">
        <v>260</v>
      </c>
      <c r="V2249" s="11" t="s">
        <v>324</v>
      </c>
      <c r="W2249" s="5" t="s">
        <v>205</v>
      </c>
      <c r="X2249" s="5" t="s">
        <v>255</v>
      </c>
      <c r="Y2249" s="5"/>
      <c r="Z2249" s="5"/>
      <c r="AA2249" s="5"/>
      <c r="AB2249" s="5" t="s">
        <v>255</v>
      </c>
      <c r="AC2249" s="5" t="s">
        <v>262</v>
      </c>
      <c r="AD2249" s="11" t="s">
        <v>5511</v>
      </c>
      <c r="AE2249" s="23" t="n">
        <v>0.2</v>
      </c>
      <c r="AF2249" s="23" t="n">
        <v>0</v>
      </c>
      <c r="AG2249" s="23" t="n">
        <v>1</v>
      </c>
      <c r="AH2249" s="23" t="n">
        <v>0.87</v>
      </c>
      <c r="AI2249" s="23" t="n">
        <v>0.6</v>
      </c>
      <c r="AJ2249" s="23" t="n">
        <v>0.1548</v>
      </c>
      <c r="AK2249" s="23" t="n">
        <v>0.8</v>
      </c>
      <c r="AL2249" s="23" t="n">
        <v>0.3</v>
      </c>
      <c r="AM2249" s="16" t="n">
        <f aca="false">COUNTIFS($D$2:$D$2501,D2249,$G$2:$G$2501,"&gt;"&amp;G2249)+COUNTIFS($D$2:D2249,D2249,$G$2:G2249,G2249)</f>
        <v>29</v>
      </c>
      <c r="AN2249" s="5" t="str">
        <f aca="false">D2249&amp;"|"&amp;AM2249</f>
        <v>其他|29</v>
      </c>
    </row>
    <row r="2250" customFormat="false" ht="17.15" hidden="false" customHeight="false" outlineLevel="0" collapsed="false">
      <c r="A2250" s="16" t="n">
        <f aca="false">RANK(G2250,$G$2:$G$2501)+COUNTIF($G$2:G2250,G2250)-1</f>
        <v>2249</v>
      </c>
      <c r="B2250" s="11" t="s">
        <v>5512</v>
      </c>
      <c r="C2250" s="11" t="s">
        <v>5513</v>
      </c>
      <c r="D2250" s="5" t="s">
        <v>78</v>
      </c>
      <c r="E2250" s="5" t="s">
        <v>79</v>
      </c>
      <c r="F2250" s="5"/>
      <c r="G2250" s="22" t="n">
        <f aca="false">ROUND(SUM(I2250:P2250),3)</f>
        <v>47.094</v>
      </c>
      <c r="H2250" s="5" t="str">
        <f aca="false">IF(G2250&gt;=評分方法!$C$16,"優先評估",IF(G2250&gt;=評分方法!$C$17,"列入候選",IF(G2250&gt;=評分方法!$C$18,"特定情境","不建議")))</f>
        <v>不建議</v>
      </c>
      <c r="I2250" s="15" t="n">
        <f aca="false">AE2250*評分方法!$C$5</f>
        <v>5.4</v>
      </c>
      <c r="J2250" s="15" t="n">
        <f aca="false">AF2250*評分方法!$C$6</f>
        <v>0</v>
      </c>
      <c r="K2250" s="15" t="n">
        <f aca="false">AG2250*評分方法!$C$7</f>
        <v>4.95</v>
      </c>
      <c r="L2250" s="15" t="n">
        <f aca="false">AH2250*評分方法!$C$8</f>
        <v>15</v>
      </c>
      <c r="M2250" s="15" t="n">
        <f aca="false">AI2250*評分方法!$C$9</f>
        <v>10</v>
      </c>
      <c r="N2250" s="15" t="n">
        <f aca="false">AJ2250*評分方法!$C$10</f>
        <v>9.244</v>
      </c>
      <c r="O2250" s="15" t="n">
        <f aca="false">AK2250*評分方法!$C$11</f>
        <v>2.5</v>
      </c>
      <c r="P2250" s="15" t="n">
        <f aca="false">AL2250*評分方法!$C$12</f>
        <v>0</v>
      </c>
      <c r="Q2250" s="6" t="n">
        <v>5550925</v>
      </c>
      <c r="R2250" s="6" t="n">
        <v>315479720</v>
      </c>
      <c r="S2250" s="11" t="s">
        <v>238</v>
      </c>
      <c r="T2250" s="11" t="s">
        <v>239</v>
      </c>
      <c r="U2250" s="5" t="s">
        <v>240</v>
      </c>
      <c r="V2250" s="11" t="s">
        <v>261</v>
      </c>
      <c r="W2250" s="5" t="s">
        <v>334</v>
      </c>
      <c r="X2250" s="5" t="s">
        <v>242</v>
      </c>
      <c r="Y2250" s="11" t="s">
        <v>4916</v>
      </c>
      <c r="Z2250" s="11" t="s">
        <v>270</v>
      </c>
      <c r="AA2250" s="11" t="s">
        <v>175</v>
      </c>
      <c r="AB2250" s="5" t="s">
        <v>245</v>
      </c>
      <c r="AC2250" s="5" t="s">
        <v>1463</v>
      </c>
      <c r="AD2250" s="11" t="s">
        <v>5514</v>
      </c>
      <c r="AE2250" s="23" t="n">
        <v>0.18</v>
      </c>
      <c r="AF2250" s="23" t="n">
        <v>0</v>
      </c>
      <c r="AG2250" s="23" t="n">
        <v>0.33</v>
      </c>
      <c r="AH2250" s="23" t="n">
        <v>1</v>
      </c>
      <c r="AI2250" s="23" t="n">
        <v>1</v>
      </c>
      <c r="AJ2250" s="23" t="n">
        <v>0.9244</v>
      </c>
      <c r="AK2250" s="23" t="n">
        <v>0.5</v>
      </c>
      <c r="AL2250" s="23" t="n">
        <v>0</v>
      </c>
      <c r="AM2250" s="16" t="n">
        <f aca="false">COUNTIFS($D$2:$D$2501,D2250,$G$2:$G$2501,"&gt;"&amp;G2250)+COUNTIFS($D$2:D2250,D2250,$G$2:G2250,G2250)</f>
        <v>86</v>
      </c>
      <c r="AN2250" s="5" t="str">
        <f aca="false">D2250&amp;"|"&amp;AM2250</f>
        <v>語音分析|86</v>
      </c>
    </row>
    <row r="2251" customFormat="false" ht="17.15" hidden="false" customHeight="false" outlineLevel="0" collapsed="false">
      <c r="A2251" s="16" t="n">
        <f aca="false">RANK(G2251,$G$2:$G$2501)+COUNTIF($G$2:G2251,G2251)-1</f>
        <v>2250</v>
      </c>
      <c r="B2251" s="11" t="s">
        <v>5515</v>
      </c>
      <c r="C2251" s="11" t="s">
        <v>4882</v>
      </c>
      <c r="D2251" s="5" t="s">
        <v>78</v>
      </c>
      <c r="E2251" s="5" t="s">
        <v>79</v>
      </c>
      <c r="F2251" s="5"/>
      <c r="G2251" s="22" t="n">
        <f aca="false">ROUND(SUM(I2251:P2251),3)</f>
        <v>47.074</v>
      </c>
      <c r="H2251" s="5" t="str">
        <f aca="false">IF(G2251&gt;=評分方法!$C$16,"優先評估",IF(G2251&gt;=評分方法!$C$17,"列入候選",IF(G2251&gt;=評分方法!$C$18,"特定情境","不建議")))</f>
        <v>不建議</v>
      </c>
      <c r="I2251" s="15" t="n">
        <f aca="false">AE2251*評分方法!$C$5</f>
        <v>5.4</v>
      </c>
      <c r="J2251" s="15" t="n">
        <f aca="false">AF2251*評分方法!$C$6</f>
        <v>0</v>
      </c>
      <c r="K2251" s="15" t="n">
        <f aca="false">AG2251*評分方法!$C$7</f>
        <v>4.95</v>
      </c>
      <c r="L2251" s="15" t="n">
        <f aca="false">AH2251*評分方法!$C$8</f>
        <v>15</v>
      </c>
      <c r="M2251" s="15" t="n">
        <f aca="false">AI2251*評分方法!$C$9</f>
        <v>10</v>
      </c>
      <c r="N2251" s="15" t="n">
        <f aca="false">AJ2251*評分方法!$C$10</f>
        <v>9.224</v>
      </c>
      <c r="O2251" s="15" t="n">
        <f aca="false">AK2251*評分方法!$C$11</f>
        <v>2.5</v>
      </c>
      <c r="P2251" s="15" t="n">
        <f aca="false">AL2251*評分方法!$C$12</f>
        <v>0</v>
      </c>
      <c r="Q2251" s="6" t="n">
        <v>5355343</v>
      </c>
      <c r="R2251" s="6" t="n">
        <v>962540962</v>
      </c>
      <c r="S2251" s="11" t="s">
        <v>238</v>
      </c>
      <c r="T2251" s="11" t="s">
        <v>239</v>
      </c>
      <c r="U2251" s="5" t="s">
        <v>240</v>
      </c>
      <c r="V2251" s="11" t="s">
        <v>324</v>
      </c>
      <c r="W2251" s="5" t="s">
        <v>334</v>
      </c>
      <c r="X2251" s="5" t="s">
        <v>242</v>
      </c>
      <c r="Y2251" s="5"/>
      <c r="Z2251" s="5"/>
      <c r="AA2251" s="11" t="s">
        <v>175</v>
      </c>
      <c r="AB2251" s="5" t="s">
        <v>245</v>
      </c>
      <c r="AC2251" s="5" t="s">
        <v>1463</v>
      </c>
      <c r="AD2251" s="11" t="s">
        <v>5516</v>
      </c>
      <c r="AE2251" s="23" t="n">
        <v>0.18</v>
      </c>
      <c r="AF2251" s="23" t="n">
        <v>0</v>
      </c>
      <c r="AG2251" s="23" t="n">
        <v>0.33</v>
      </c>
      <c r="AH2251" s="23" t="n">
        <v>1</v>
      </c>
      <c r="AI2251" s="23" t="n">
        <v>1</v>
      </c>
      <c r="AJ2251" s="23" t="n">
        <v>0.9224</v>
      </c>
      <c r="AK2251" s="23" t="n">
        <v>0.5</v>
      </c>
      <c r="AL2251" s="23" t="n">
        <v>0</v>
      </c>
      <c r="AM2251" s="16" t="n">
        <f aca="false">COUNTIFS($D$2:$D$2501,D2251,$G$2:$G$2501,"&gt;"&amp;G2251)+COUNTIFS($D$2:D2251,D2251,$G$2:G2251,G2251)</f>
        <v>87</v>
      </c>
      <c r="AN2251" s="5" t="str">
        <f aca="false">D2251&amp;"|"&amp;AM2251</f>
        <v>語音分析|87</v>
      </c>
    </row>
    <row r="2252" customFormat="false" ht="17.15" hidden="false" customHeight="false" outlineLevel="0" collapsed="false">
      <c r="A2252" s="16" t="n">
        <f aca="false">RANK(G2252,$G$2:$G$2501)+COUNTIF($G$2:G2252,G2252)-1</f>
        <v>2251</v>
      </c>
      <c r="B2252" s="11" t="s">
        <v>5517</v>
      </c>
      <c r="C2252" s="11" t="s">
        <v>4046</v>
      </c>
      <c r="D2252" s="5" t="s">
        <v>78</v>
      </c>
      <c r="E2252" s="5" t="s">
        <v>79</v>
      </c>
      <c r="F2252" s="5"/>
      <c r="G2252" s="22" t="n">
        <f aca="false">ROUND(SUM(I2252:P2252),3)</f>
        <v>47.068</v>
      </c>
      <c r="H2252" s="5" t="str">
        <f aca="false">IF(G2252&gt;=評分方法!$C$16,"優先評估",IF(G2252&gt;=評分方法!$C$17,"列入候選",IF(G2252&gt;=評分方法!$C$18,"特定情境","不建議")))</f>
        <v>不建議</v>
      </c>
      <c r="I2252" s="15" t="n">
        <f aca="false">AE2252*評分方法!$C$5</f>
        <v>9</v>
      </c>
      <c r="J2252" s="15" t="n">
        <f aca="false">AF2252*評分方法!$C$6</f>
        <v>0</v>
      </c>
      <c r="K2252" s="15" t="n">
        <f aca="false">AG2252*評分方法!$C$7</f>
        <v>4.95</v>
      </c>
      <c r="L2252" s="15" t="n">
        <f aca="false">AH2252*評分方法!$C$8</f>
        <v>13.05</v>
      </c>
      <c r="M2252" s="15" t="n">
        <f aca="false">AI2252*評分方法!$C$9</f>
        <v>10</v>
      </c>
      <c r="N2252" s="15" t="n">
        <f aca="false">AJ2252*評分方法!$C$10</f>
        <v>0.068</v>
      </c>
      <c r="O2252" s="15" t="n">
        <f aca="false">AK2252*評分方法!$C$11</f>
        <v>5</v>
      </c>
      <c r="P2252" s="15" t="n">
        <f aca="false">AL2252*評分方法!$C$12</f>
        <v>5</v>
      </c>
      <c r="Q2252" s="6" t="n">
        <v>118678</v>
      </c>
      <c r="R2252" s="6" t="n">
        <v>1543321440</v>
      </c>
      <c r="S2252" s="11" t="s">
        <v>254</v>
      </c>
      <c r="T2252" s="11" t="s">
        <v>239</v>
      </c>
      <c r="U2252" s="5" t="s">
        <v>240</v>
      </c>
      <c r="V2252" s="11" t="s">
        <v>333</v>
      </c>
      <c r="W2252" s="5" t="s">
        <v>334</v>
      </c>
      <c r="X2252" s="5" t="s">
        <v>284</v>
      </c>
      <c r="Y2252" s="11" t="s">
        <v>5518</v>
      </c>
      <c r="Z2252" s="11" t="s">
        <v>244</v>
      </c>
      <c r="AA2252" s="11" t="s">
        <v>175</v>
      </c>
      <c r="AB2252" s="5" t="s">
        <v>245</v>
      </c>
      <c r="AC2252" s="5" t="s">
        <v>246</v>
      </c>
      <c r="AD2252" s="11" t="s">
        <v>5519</v>
      </c>
      <c r="AE2252" s="23" t="n">
        <v>0.3</v>
      </c>
      <c r="AF2252" s="23" t="n">
        <v>0</v>
      </c>
      <c r="AG2252" s="23" t="n">
        <v>0.33</v>
      </c>
      <c r="AH2252" s="23" t="n">
        <v>0.87</v>
      </c>
      <c r="AI2252" s="23" t="n">
        <v>1</v>
      </c>
      <c r="AJ2252" s="23" t="n">
        <v>0.0068</v>
      </c>
      <c r="AK2252" s="23" t="n">
        <v>1</v>
      </c>
      <c r="AL2252" s="23" t="n">
        <v>1</v>
      </c>
      <c r="AM2252" s="16" t="n">
        <f aca="false">COUNTIFS($D$2:$D$2501,D2252,$G$2:$G$2501,"&gt;"&amp;G2252)+COUNTIFS($D$2:D2252,D2252,$G$2:G2252,G2252)</f>
        <v>88</v>
      </c>
      <c r="AN2252" s="5" t="str">
        <f aca="false">D2252&amp;"|"&amp;AM2252</f>
        <v>語音分析|88</v>
      </c>
    </row>
    <row r="2253" customFormat="false" ht="17.15" hidden="false" customHeight="false" outlineLevel="0" collapsed="false">
      <c r="A2253" s="16" t="n">
        <f aca="false">RANK(G2253,$G$2:$G$2501)+COUNTIF($G$2:G2253,G2253)-1</f>
        <v>2252</v>
      </c>
      <c r="B2253" s="11" t="s">
        <v>5520</v>
      </c>
      <c r="C2253" s="11" t="s">
        <v>5521</v>
      </c>
      <c r="D2253" s="5" t="s">
        <v>74</v>
      </c>
      <c r="E2253" s="5" t="s">
        <v>75</v>
      </c>
      <c r="F2253" s="5"/>
      <c r="G2253" s="22" t="n">
        <f aca="false">ROUND(SUM(I2253:P2253),3)</f>
        <v>47.014</v>
      </c>
      <c r="H2253" s="5" t="str">
        <f aca="false">IF(G2253&gt;=評分方法!$C$16,"優先評估",IF(G2253&gt;=評分方法!$C$17,"列入候選",IF(G2253&gt;=評分方法!$C$18,"特定情境","不建議")))</f>
        <v>不建議</v>
      </c>
      <c r="I2253" s="15" t="n">
        <f aca="false">AE2253*評分方法!$C$5</f>
        <v>8.1</v>
      </c>
      <c r="J2253" s="15" t="n">
        <f aca="false">AF2253*評分方法!$C$6</f>
        <v>0</v>
      </c>
      <c r="K2253" s="15" t="n">
        <f aca="false">AG2253*評分方法!$C$7</f>
        <v>4.95</v>
      </c>
      <c r="L2253" s="15" t="n">
        <f aca="false">AH2253*評分方法!$C$8</f>
        <v>15</v>
      </c>
      <c r="M2253" s="15" t="n">
        <f aca="false">AI2253*評分方法!$C$9</f>
        <v>10</v>
      </c>
      <c r="N2253" s="15" t="n">
        <f aca="false">AJ2253*評分方法!$C$10</f>
        <v>3.964</v>
      </c>
      <c r="O2253" s="15" t="n">
        <f aca="false">AK2253*評分方法!$C$11</f>
        <v>5</v>
      </c>
      <c r="P2253" s="15" t="n">
        <f aca="false">AL2253*評分方法!$C$12</f>
        <v>0</v>
      </c>
      <c r="Q2253" s="6" t="n">
        <v>411796</v>
      </c>
      <c r="R2253" s="6" t="n">
        <v>384864769</v>
      </c>
      <c r="S2253" s="11" t="s">
        <v>238</v>
      </c>
      <c r="T2253" s="11" t="s">
        <v>239</v>
      </c>
      <c r="U2253" s="5" t="s">
        <v>240</v>
      </c>
      <c r="V2253" s="11" t="s">
        <v>261</v>
      </c>
      <c r="W2253" s="5" t="s">
        <v>334</v>
      </c>
      <c r="X2253" s="5" t="s">
        <v>242</v>
      </c>
      <c r="Y2253" s="11" t="s">
        <v>2636</v>
      </c>
      <c r="Z2253" s="11" t="s">
        <v>270</v>
      </c>
      <c r="AA2253" s="11" t="s">
        <v>164</v>
      </c>
      <c r="AB2253" s="5" t="s">
        <v>245</v>
      </c>
      <c r="AC2253" s="5" t="s">
        <v>1463</v>
      </c>
      <c r="AD2253" s="11" t="s">
        <v>5522</v>
      </c>
      <c r="AE2253" s="23" t="n">
        <v>0.27</v>
      </c>
      <c r="AF2253" s="23" t="n">
        <v>0</v>
      </c>
      <c r="AG2253" s="23" t="n">
        <v>0.33</v>
      </c>
      <c r="AH2253" s="23" t="n">
        <v>1</v>
      </c>
      <c r="AI2253" s="23" t="n">
        <v>1</v>
      </c>
      <c r="AJ2253" s="23" t="n">
        <v>0.3964</v>
      </c>
      <c r="AK2253" s="23" t="n">
        <v>1</v>
      </c>
      <c r="AL2253" s="23" t="n">
        <v>0</v>
      </c>
      <c r="AM2253" s="16" t="n">
        <f aca="false">COUNTIFS($D$2:$D$2501,D2253,$G$2:$G$2501,"&gt;"&amp;G2253)+COUNTIFS($D$2:D2253,D2253,$G$2:G2253,G2253)</f>
        <v>302</v>
      </c>
      <c r="AN2253" s="5" t="str">
        <f aca="false">D2253&amp;"|"&amp;AM2253</f>
        <v>文件與影像辨識|302</v>
      </c>
    </row>
    <row r="2254" customFormat="false" ht="17.15" hidden="false" customHeight="false" outlineLevel="0" collapsed="false">
      <c r="A2254" s="16" t="n">
        <f aca="false">RANK(G2254,$G$2:$G$2501)+COUNTIF($G$2:G2254,G2254)-1</f>
        <v>2253</v>
      </c>
      <c r="B2254" s="11" t="s">
        <v>5523</v>
      </c>
      <c r="C2254" s="11" t="s">
        <v>5345</v>
      </c>
      <c r="D2254" s="5" t="s">
        <v>80</v>
      </c>
      <c r="E2254" s="5" t="s">
        <v>81</v>
      </c>
      <c r="F2254" s="5"/>
      <c r="G2254" s="22" t="n">
        <f aca="false">ROUND(SUM(I2254:P2254),3)</f>
        <v>46.978</v>
      </c>
      <c r="H2254" s="5" t="str">
        <f aca="false">IF(G2254&gt;=評分方法!$C$16,"優先評估",IF(G2254&gt;=評分方法!$C$17,"列入候選",IF(G2254&gt;=評分方法!$C$18,"特定情境","不建議")))</f>
        <v>不建議</v>
      </c>
      <c r="I2254" s="15" t="n">
        <f aca="false">AE2254*評分方法!$C$5</f>
        <v>6</v>
      </c>
      <c r="J2254" s="15" t="n">
        <f aca="false">AF2254*評分方法!$C$6</f>
        <v>0</v>
      </c>
      <c r="K2254" s="15" t="n">
        <f aca="false">AG2254*評分方法!$C$7</f>
        <v>4.95</v>
      </c>
      <c r="L2254" s="15" t="n">
        <f aca="false">AH2254*評分方法!$C$8</f>
        <v>15</v>
      </c>
      <c r="M2254" s="15" t="n">
        <f aca="false">AI2254*評分方法!$C$9</f>
        <v>10</v>
      </c>
      <c r="N2254" s="15" t="n">
        <f aca="false">AJ2254*評分方法!$C$10</f>
        <v>6.028</v>
      </c>
      <c r="O2254" s="15" t="n">
        <f aca="false">AK2254*評分方法!$C$11</f>
        <v>5</v>
      </c>
      <c r="P2254" s="15" t="n">
        <f aca="false">AL2254*評分方法!$C$12</f>
        <v>0</v>
      </c>
      <c r="Q2254" s="6" t="n">
        <v>630545</v>
      </c>
      <c r="R2254" s="6" t="n">
        <v>225753308</v>
      </c>
      <c r="S2254" s="11" t="s">
        <v>238</v>
      </c>
      <c r="T2254" s="11" t="s">
        <v>278</v>
      </c>
      <c r="U2254" s="5" t="s">
        <v>240</v>
      </c>
      <c r="V2254" s="11" t="s">
        <v>261</v>
      </c>
      <c r="W2254" s="5" t="s">
        <v>334</v>
      </c>
      <c r="X2254" s="5" t="s">
        <v>242</v>
      </c>
      <c r="Y2254" s="5"/>
      <c r="Z2254" s="5"/>
      <c r="AA2254" s="5"/>
      <c r="AB2254" s="5" t="s">
        <v>255</v>
      </c>
      <c r="AC2254" s="5"/>
      <c r="AD2254" s="11" t="s">
        <v>5524</v>
      </c>
      <c r="AE2254" s="23" t="n">
        <v>0.2</v>
      </c>
      <c r="AF2254" s="23" t="n">
        <v>0</v>
      </c>
      <c r="AG2254" s="23" t="n">
        <v>0.33</v>
      </c>
      <c r="AH2254" s="23" t="n">
        <v>1</v>
      </c>
      <c r="AI2254" s="23" t="n">
        <v>1</v>
      </c>
      <c r="AJ2254" s="23" t="n">
        <v>0.6028</v>
      </c>
      <c r="AK2254" s="23" t="n">
        <v>1</v>
      </c>
      <c r="AL2254" s="23" t="n">
        <v>0</v>
      </c>
      <c r="AM2254" s="16" t="n">
        <f aca="false">COUNTIFS($D$2:$D$2501,D2254,$G$2:$G$2501,"&gt;"&amp;G2254)+COUNTIFS($D$2:D2254,D2254,$G$2:G2254,G2254)</f>
        <v>30</v>
      </c>
      <c r="AN2254" s="5" t="str">
        <f aca="false">D2254&amp;"|"&amp;AM2254</f>
        <v>其他|30</v>
      </c>
    </row>
    <row r="2255" customFormat="false" ht="17.15" hidden="false" customHeight="false" outlineLevel="0" collapsed="false">
      <c r="A2255" s="16" t="n">
        <f aca="false">RANK(G2255,$G$2:$G$2501)+COUNTIF($G$2:G2255,G2255)-1</f>
        <v>2254</v>
      </c>
      <c r="B2255" s="11" t="s">
        <v>5525</v>
      </c>
      <c r="C2255" s="11" t="s">
        <v>5526</v>
      </c>
      <c r="D2255" s="5" t="s">
        <v>74</v>
      </c>
      <c r="E2255" s="5" t="s">
        <v>75</v>
      </c>
      <c r="F2255" s="5"/>
      <c r="G2255" s="22" t="n">
        <f aca="false">ROUND(SUM(I2255:P2255),3)</f>
        <v>46.97</v>
      </c>
      <c r="H2255" s="5" t="str">
        <f aca="false">IF(G2255&gt;=評分方法!$C$16,"優先評估",IF(G2255&gt;=評分方法!$C$17,"列入候選",IF(G2255&gt;=評分方法!$C$18,"特定情境","不建議")))</f>
        <v>不建議</v>
      </c>
      <c r="I2255" s="15" t="n">
        <f aca="false">AE2255*評分方法!$C$5</f>
        <v>10.5</v>
      </c>
      <c r="J2255" s="15" t="n">
        <f aca="false">AF2255*評分方法!$C$6</f>
        <v>0</v>
      </c>
      <c r="K2255" s="15" t="n">
        <f aca="false">AG2255*評分方法!$C$7</f>
        <v>4.95</v>
      </c>
      <c r="L2255" s="15" t="n">
        <f aca="false">AH2255*評分方法!$C$8</f>
        <v>15</v>
      </c>
      <c r="M2255" s="15" t="n">
        <f aca="false">AI2255*評分方法!$C$9</f>
        <v>10</v>
      </c>
      <c r="N2255" s="15" t="n">
        <f aca="false">AJ2255*評分方法!$C$10</f>
        <v>1.02</v>
      </c>
      <c r="O2255" s="15" t="n">
        <f aca="false">AK2255*評分方法!$C$11</f>
        <v>4</v>
      </c>
      <c r="P2255" s="15" t="n">
        <f aca="false">AL2255*評分方法!$C$12</f>
        <v>1.5</v>
      </c>
      <c r="Q2255" s="6" t="n">
        <v>154253</v>
      </c>
      <c r="R2255" s="6" t="n">
        <v>195206006</v>
      </c>
      <c r="S2255" s="11" t="s">
        <v>238</v>
      </c>
      <c r="T2255" s="11" t="s">
        <v>278</v>
      </c>
      <c r="U2255" s="5" t="s">
        <v>240</v>
      </c>
      <c r="V2255" s="11" t="s">
        <v>261</v>
      </c>
      <c r="W2255" s="5" t="s">
        <v>334</v>
      </c>
      <c r="X2255" s="5" t="s">
        <v>255</v>
      </c>
      <c r="Y2255" s="11" t="s">
        <v>5527</v>
      </c>
      <c r="Z2255" s="11" t="s">
        <v>270</v>
      </c>
      <c r="AA2255" s="11" t="s">
        <v>172</v>
      </c>
      <c r="AB2255" s="5" t="s">
        <v>245</v>
      </c>
      <c r="AC2255" s="5"/>
      <c r="AD2255" s="11" t="s">
        <v>5528</v>
      </c>
      <c r="AE2255" s="23" t="n">
        <v>0.35</v>
      </c>
      <c r="AF2255" s="23" t="n">
        <v>0</v>
      </c>
      <c r="AG2255" s="23" t="n">
        <v>0.33</v>
      </c>
      <c r="AH2255" s="23" t="n">
        <v>1</v>
      </c>
      <c r="AI2255" s="23" t="n">
        <v>1</v>
      </c>
      <c r="AJ2255" s="23" t="n">
        <v>0.102</v>
      </c>
      <c r="AK2255" s="23" t="n">
        <v>0.8</v>
      </c>
      <c r="AL2255" s="23" t="n">
        <v>0.3</v>
      </c>
      <c r="AM2255" s="16" t="n">
        <f aca="false">COUNTIFS($D$2:$D$2501,D2255,$G$2:$G$2501,"&gt;"&amp;G2255)+COUNTIFS($D$2:D2255,D2255,$G$2:G2255,G2255)</f>
        <v>303</v>
      </c>
      <c r="AN2255" s="5" t="str">
        <f aca="false">D2255&amp;"|"&amp;AM2255</f>
        <v>文件與影像辨識|303</v>
      </c>
    </row>
    <row r="2256" customFormat="false" ht="17.15" hidden="false" customHeight="false" outlineLevel="0" collapsed="false">
      <c r="A2256" s="16" t="n">
        <f aca="false">RANK(G2256,$G$2:$G$2501)+COUNTIF($G$2:G2256,G2256)-1</f>
        <v>2255</v>
      </c>
      <c r="B2256" s="11" t="s">
        <v>5529</v>
      </c>
      <c r="C2256" s="11" t="s">
        <v>5530</v>
      </c>
      <c r="D2256" s="5" t="s">
        <v>56</v>
      </c>
      <c r="E2256" s="5" t="s">
        <v>57</v>
      </c>
      <c r="F2256" s="5"/>
      <c r="G2256" s="22" t="n">
        <f aca="false">ROUND(SUM(I2256:P2256),3)</f>
        <v>46.962</v>
      </c>
      <c r="H2256" s="5" t="str">
        <f aca="false">IF(G2256&gt;=評分方法!$C$16,"優先評估",IF(G2256&gt;=評分方法!$C$17,"列入候選",IF(G2256&gt;=評分方法!$C$18,"特定情境","不建議")))</f>
        <v>不建議</v>
      </c>
      <c r="I2256" s="15" t="n">
        <f aca="false">AE2256*評分方法!$C$5</f>
        <v>18</v>
      </c>
      <c r="J2256" s="15" t="n">
        <f aca="false">AF2256*評分方法!$C$6</f>
        <v>0</v>
      </c>
      <c r="K2256" s="15" t="n">
        <f aca="false">AG2256*評分方法!$C$7</f>
        <v>4.95</v>
      </c>
      <c r="L2256" s="15" t="n">
        <f aca="false">AH2256*評分方法!$C$8</f>
        <v>15</v>
      </c>
      <c r="M2256" s="15" t="n">
        <f aca="false">AI2256*評分方法!$C$9</f>
        <v>2</v>
      </c>
      <c r="N2256" s="15" t="n">
        <f aca="false">AJ2256*評分方法!$C$10</f>
        <v>6.012</v>
      </c>
      <c r="O2256" s="15" t="n">
        <f aca="false">AK2256*評分方法!$C$11</f>
        <v>1</v>
      </c>
      <c r="P2256" s="15" t="n">
        <f aca="false">AL2256*評分方法!$C$12</f>
        <v>0</v>
      </c>
      <c r="Q2256" s="6" t="n">
        <v>627577</v>
      </c>
      <c r="R2256" s="6" t="n">
        <v>568796007</v>
      </c>
      <c r="S2256" s="11" t="s">
        <v>238</v>
      </c>
      <c r="T2256" s="5"/>
      <c r="U2256" s="5" t="s">
        <v>375</v>
      </c>
      <c r="V2256" s="11" t="s">
        <v>855</v>
      </c>
      <c r="W2256" s="5" t="s">
        <v>334</v>
      </c>
      <c r="X2256" s="5" t="s">
        <v>242</v>
      </c>
      <c r="Y2256" s="5"/>
      <c r="Z2256" s="5"/>
      <c r="AA2256" s="11" t="s">
        <v>160</v>
      </c>
      <c r="AB2256" s="5" t="s">
        <v>245</v>
      </c>
      <c r="AC2256" s="5" t="s">
        <v>262</v>
      </c>
      <c r="AD2256" s="11" t="s">
        <v>5531</v>
      </c>
      <c r="AE2256" s="23" t="n">
        <v>0.6</v>
      </c>
      <c r="AF2256" s="23" t="n">
        <v>0</v>
      </c>
      <c r="AG2256" s="23" t="n">
        <v>0.33</v>
      </c>
      <c r="AH2256" s="23" t="n">
        <v>1</v>
      </c>
      <c r="AI2256" s="23" t="n">
        <v>0.2</v>
      </c>
      <c r="AJ2256" s="23" t="n">
        <v>0.6012</v>
      </c>
      <c r="AK2256" s="23" t="n">
        <v>0.2</v>
      </c>
      <c r="AL2256" s="23" t="n">
        <v>0</v>
      </c>
      <c r="AM2256" s="16" t="n">
        <f aca="false">COUNTIFS($D$2:$D$2501,D2256,$G$2:$G$2501,"&gt;"&amp;G2256)+COUNTIFS($D$2:D2256,D2256,$G$2:G2256,G2256)</f>
        <v>965</v>
      </c>
      <c r="AN2256" s="5" t="str">
        <f aca="false">D2256&amp;"|"&amp;AM2256</f>
        <v>分析與報告生成|965</v>
      </c>
    </row>
    <row r="2257" customFormat="false" ht="17.15" hidden="false" customHeight="false" outlineLevel="0" collapsed="false">
      <c r="A2257" s="16" t="n">
        <f aca="false">RANK(G2257,$G$2:$G$2501)+COUNTIF($G$2:G2257,G2257)-1</f>
        <v>2256</v>
      </c>
      <c r="B2257" s="11" t="s">
        <v>5518</v>
      </c>
      <c r="C2257" s="11" t="s">
        <v>5532</v>
      </c>
      <c r="D2257" s="5" t="s">
        <v>78</v>
      </c>
      <c r="E2257" s="5" t="s">
        <v>79</v>
      </c>
      <c r="F2257" s="5"/>
      <c r="G2257" s="22" t="n">
        <f aca="false">ROUND(SUM(I2257:P2257),3)</f>
        <v>46.928</v>
      </c>
      <c r="H2257" s="5" t="str">
        <f aca="false">IF(G2257&gt;=評分方法!$C$16,"優先評估",IF(G2257&gt;=評分方法!$C$17,"列入候選",IF(G2257&gt;=評分方法!$C$18,"特定情境","不建議")))</f>
        <v>不建議</v>
      </c>
      <c r="I2257" s="15" t="n">
        <f aca="false">AE2257*評分方法!$C$5</f>
        <v>9</v>
      </c>
      <c r="J2257" s="15" t="n">
        <f aca="false">AF2257*評分方法!$C$6</f>
        <v>0</v>
      </c>
      <c r="K2257" s="15" t="n">
        <f aca="false">AG2257*評分方法!$C$7</f>
        <v>4.95</v>
      </c>
      <c r="L2257" s="15" t="n">
        <f aca="false">AH2257*評分方法!$C$8</f>
        <v>13.05</v>
      </c>
      <c r="M2257" s="15" t="n">
        <f aca="false">AI2257*評分方法!$C$9</f>
        <v>10</v>
      </c>
      <c r="N2257" s="15" t="n">
        <f aca="false">AJ2257*評分方法!$C$10</f>
        <v>2.428</v>
      </c>
      <c r="O2257" s="15" t="n">
        <f aca="false">AK2257*評分方法!$C$11</f>
        <v>2.5</v>
      </c>
      <c r="P2257" s="15" t="n">
        <f aca="false">AL2257*評分方法!$C$12</f>
        <v>5</v>
      </c>
      <c r="Q2257" s="6" t="n">
        <v>244724</v>
      </c>
      <c r="R2257" s="6" t="n">
        <v>1543304960</v>
      </c>
      <c r="S2257" s="11" t="s">
        <v>254</v>
      </c>
      <c r="T2257" s="11" t="s">
        <v>239</v>
      </c>
      <c r="U2257" s="5" t="s">
        <v>240</v>
      </c>
      <c r="V2257" s="11" t="s">
        <v>324</v>
      </c>
      <c r="W2257" s="5" t="s">
        <v>334</v>
      </c>
      <c r="X2257" s="5" t="s">
        <v>284</v>
      </c>
      <c r="Y2257" s="11" t="s">
        <v>3824</v>
      </c>
      <c r="Z2257" s="11" t="s">
        <v>270</v>
      </c>
      <c r="AA2257" s="11" t="s">
        <v>175</v>
      </c>
      <c r="AB2257" s="5" t="s">
        <v>245</v>
      </c>
      <c r="AC2257" s="5"/>
      <c r="AD2257" s="11" t="s">
        <v>5533</v>
      </c>
      <c r="AE2257" s="23" t="n">
        <v>0.3</v>
      </c>
      <c r="AF2257" s="23" t="n">
        <v>0</v>
      </c>
      <c r="AG2257" s="23" t="n">
        <v>0.33</v>
      </c>
      <c r="AH2257" s="23" t="n">
        <v>0.87</v>
      </c>
      <c r="AI2257" s="23" t="n">
        <v>1</v>
      </c>
      <c r="AJ2257" s="23" t="n">
        <v>0.2428</v>
      </c>
      <c r="AK2257" s="23" t="n">
        <v>0.5</v>
      </c>
      <c r="AL2257" s="23" t="n">
        <v>1</v>
      </c>
      <c r="AM2257" s="16" t="n">
        <f aca="false">COUNTIFS($D$2:$D$2501,D2257,$G$2:$G$2501,"&gt;"&amp;G2257)+COUNTIFS($D$2:D2257,D2257,$G$2:G2257,G2257)</f>
        <v>89</v>
      </c>
      <c r="AN2257" s="5" t="str">
        <f aca="false">D2257&amp;"|"&amp;AM2257</f>
        <v>語音分析|89</v>
      </c>
    </row>
    <row r="2258" customFormat="false" ht="17.15" hidden="false" customHeight="false" outlineLevel="0" collapsed="false">
      <c r="A2258" s="16" t="n">
        <f aca="false">RANK(G2258,$G$2:$G$2501)+COUNTIF($G$2:G2258,G2258)-1</f>
        <v>2257</v>
      </c>
      <c r="B2258" s="11" t="s">
        <v>5534</v>
      </c>
      <c r="C2258" s="11" t="s">
        <v>5535</v>
      </c>
      <c r="D2258" s="5" t="s">
        <v>58</v>
      </c>
      <c r="E2258" s="5" t="s">
        <v>59</v>
      </c>
      <c r="F2258" s="5"/>
      <c r="G2258" s="22" t="n">
        <f aca="false">ROUND(SUM(I2258:P2258),3)</f>
        <v>46.918</v>
      </c>
      <c r="H2258" s="5" t="str">
        <f aca="false">IF(G2258&gt;=評分方法!$C$16,"優先評估",IF(G2258&gt;=評分方法!$C$17,"列入候選",IF(G2258&gt;=評分方法!$C$18,"特定情境","不建議")))</f>
        <v>不建議</v>
      </c>
      <c r="I2258" s="15" t="n">
        <f aca="false">AE2258*評分方法!$C$5</f>
        <v>17.1</v>
      </c>
      <c r="J2258" s="15" t="n">
        <f aca="false">AF2258*評分方法!$C$6</f>
        <v>0</v>
      </c>
      <c r="K2258" s="15" t="n">
        <f aca="false">AG2258*評分方法!$C$7</f>
        <v>4.95</v>
      </c>
      <c r="L2258" s="15" t="n">
        <f aca="false">AH2258*評分方法!$C$8</f>
        <v>15</v>
      </c>
      <c r="M2258" s="15" t="n">
        <f aca="false">AI2258*評分方法!$C$9</f>
        <v>2</v>
      </c>
      <c r="N2258" s="15" t="n">
        <f aca="false">AJ2258*評分方法!$C$10</f>
        <v>6.868</v>
      </c>
      <c r="O2258" s="15" t="n">
        <f aca="false">AK2258*評分方法!$C$11</f>
        <v>1</v>
      </c>
      <c r="P2258" s="15" t="n">
        <f aca="false">AL2258*評分方法!$C$12</f>
        <v>0</v>
      </c>
      <c r="Q2258" s="6" t="n">
        <v>860006</v>
      </c>
      <c r="R2258" s="6" t="n">
        <v>110645022</v>
      </c>
      <c r="S2258" s="11" t="s">
        <v>238</v>
      </c>
      <c r="T2258" s="5"/>
      <c r="U2258" s="5" t="s">
        <v>375</v>
      </c>
      <c r="V2258" s="11" t="s">
        <v>855</v>
      </c>
      <c r="W2258" s="5" t="s">
        <v>334</v>
      </c>
      <c r="X2258" s="5" t="s">
        <v>242</v>
      </c>
      <c r="Y2258" s="5"/>
      <c r="Z2258" s="5"/>
      <c r="AA2258" s="11" t="s">
        <v>150</v>
      </c>
      <c r="AB2258" s="5" t="s">
        <v>245</v>
      </c>
      <c r="AC2258" s="5" t="s">
        <v>4841</v>
      </c>
      <c r="AD2258" s="11" t="s">
        <v>5536</v>
      </c>
      <c r="AE2258" s="23" t="n">
        <v>0.57</v>
      </c>
      <c r="AF2258" s="23" t="n">
        <v>0</v>
      </c>
      <c r="AG2258" s="23" t="n">
        <v>0.33</v>
      </c>
      <c r="AH2258" s="23" t="n">
        <v>1</v>
      </c>
      <c r="AI2258" s="23" t="n">
        <v>0.2</v>
      </c>
      <c r="AJ2258" s="23" t="n">
        <v>0.6868</v>
      </c>
      <c r="AK2258" s="23" t="n">
        <v>0.2</v>
      </c>
      <c r="AL2258" s="23" t="n">
        <v>0</v>
      </c>
      <c r="AM2258" s="16" t="n">
        <f aca="false">COUNTIFS($D$2:$D$2501,D2258,$G$2:$G$2501,"&gt;"&amp;G2258)+COUNTIFS($D$2:D2258,D2258,$G$2:G2258,G2258)</f>
        <v>354</v>
      </c>
      <c r="AN2258" s="5" t="str">
        <f aca="false">D2258&amp;"|"&amp;AM2258</f>
        <v>實體擷取與去識別化|354</v>
      </c>
    </row>
    <row r="2259" customFormat="false" ht="17.15" hidden="false" customHeight="false" outlineLevel="0" collapsed="false">
      <c r="A2259" s="16" t="n">
        <f aca="false">RANK(G2259,$G$2:$G$2501)+COUNTIF($G$2:G2259,G2259)-1</f>
        <v>2258</v>
      </c>
      <c r="B2259" s="11" t="s">
        <v>5537</v>
      </c>
      <c r="C2259" s="11" t="s">
        <v>1597</v>
      </c>
      <c r="D2259" s="5" t="s">
        <v>80</v>
      </c>
      <c r="E2259" s="5" t="s">
        <v>81</v>
      </c>
      <c r="F2259" s="5"/>
      <c r="G2259" s="22" t="n">
        <f aca="false">ROUND(SUM(I2259:P2259),3)</f>
        <v>46.888</v>
      </c>
      <c r="H2259" s="5" t="str">
        <f aca="false">IF(G2259&gt;=評分方法!$C$16,"優先評估",IF(G2259&gt;=評分方法!$C$17,"列入候選",IF(G2259&gt;=評分方法!$C$18,"特定情境","不建議")))</f>
        <v>不建議</v>
      </c>
      <c r="I2259" s="15" t="n">
        <f aca="false">AE2259*評分方法!$C$5</f>
        <v>1.5</v>
      </c>
      <c r="J2259" s="15" t="n">
        <f aca="false">AF2259*評分方法!$C$6</f>
        <v>0</v>
      </c>
      <c r="K2259" s="15" t="n">
        <f aca="false">AG2259*評分方法!$C$7</f>
        <v>15</v>
      </c>
      <c r="L2259" s="15" t="n">
        <f aca="false">AH2259*評分方法!$C$8</f>
        <v>15</v>
      </c>
      <c r="M2259" s="15" t="n">
        <f aca="false">AI2259*評分方法!$C$9</f>
        <v>10</v>
      </c>
      <c r="N2259" s="15" t="n">
        <f aca="false">AJ2259*評分方法!$C$10</f>
        <v>2.888</v>
      </c>
      <c r="O2259" s="15" t="n">
        <f aca="false">AK2259*評分方法!$C$11</f>
        <v>1</v>
      </c>
      <c r="P2259" s="15" t="n">
        <f aca="false">AL2259*評分方法!$C$12</f>
        <v>1.5</v>
      </c>
      <c r="Q2259" s="6" t="n">
        <v>284820</v>
      </c>
      <c r="R2259" s="6" t="n">
        <v>341850305</v>
      </c>
      <c r="S2259" s="11" t="s">
        <v>238</v>
      </c>
      <c r="T2259" s="11" t="s">
        <v>239</v>
      </c>
      <c r="U2259" s="5" t="s">
        <v>240</v>
      </c>
      <c r="V2259" s="11" t="s">
        <v>324</v>
      </c>
      <c r="W2259" s="5" t="s">
        <v>205</v>
      </c>
      <c r="X2259" s="5" t="s">
        <v>255</v>
      </c>
      <c r="Y2259" s="5"/>
      <c r="Z2259" s="5"/>
      <c r="AA2259" s="11" t="s">
        <v>187</v>
      </c>
      <c r="AB2259" s="5" t="s">
        <v>245</v>
      </c>
      <c r="AC2259" s="5"/>
      <c r="AD2259" s="11" t="s">
        <v>5538</v>
      </c>
      <c r="AE2259" s="23" t="n">
        <v>0.05</v>
      </c>
      <c r="AF2259" s="23" t="n">
        <v>0</v>
      </c>
      <c r="AG2259" s="23" t="n">
        <v>1</v>
      </c>
      <c r="AH2259" s="23" t="n">
        <v>1</v>
      </c>
      <c r="AI2259" s="23" t="n">
        <v>1</v>
      </c>
      <c r="AJ2259" s="23" t="n">
        <v>0.2888</v>
      </c>
      <c r="AK2259" s="23" t="n">
        <v>0.2</v>
      </c>
      <c r="AL2259" s="23" t="n">
        <v>0.3</v>
      </c>
      <c r="AM2259" s="16" t="n">
        <f aca="false">COUNTIFS($D$2:$D$2501,D2259,$G$2:$G$2501,"&gt;"&amp;G2259)+COUNTIFS($D$2:D2259,D2259,$G$2:G2259,G2259)</f>
        <v>31</v>
      </c>
      <c r="AN2259" s="5" t="str">
        <f aca="false">D2259&amp;"|"&amp;AM2259</f>
        <v>其他|31</v>
      </c>
    </row>
    <row r="2260" customFormat="false" ht="17.15" hidden="false" customHeight="false" outlineLevel="0" collapsed="false">
      <c r="A2260" s="16" t="n">
        <f aca="false">RANK(G2260,$G$2:$G$2501)+COUNTIF($G$2:G2260,G2260)-1</f>
        <v>2259</v>
      </c>
      <c r="B2260" s="11" t="s">
        <v>5539</v>
      </c>
      <c r="C2260" s="11" t="s">
        <v>5540</v>
      </c>
      <c r="D2260" s="5" t="s">
        <v>74</v>
      </c>
      <c r="E2260" s="5" t="s">
        <v>75</v>
      </c>
      <c r="F2260" s="5"/>
      <c r="G2260" s="22" t="n">
        <f aca="false">ROUND(SUM(I2260:P2260),3)</f>
        <v>46.866</v>
      </c>
      <c r="H2260" s="5" t="str">
        <f aca="false">IF(G2260&gt;=評分方法!$C$16,"優先評估",IF(G2260&gt;=評分方法!$C$17,"列入候選",IF(G2260&gt;=評分方法!$C$18,"特定情境","不建議")))</f>
        <v>不建議</v>
      </c>
      <c r="I2260" s="15" t="n">
        <f aca="false">AE2260*評分方法!$C$5</f>
        <v>12</v>
      </c>
      <c r="J2260" s="15" t="n">
        <f aca="false">AF2260*評分方法!$C$6</f>
        <v>0</v>
      </c>
      <c r="K2260" s="15" t="n">
        <f aca="false">AG2260*評分方法!$C$7</f>
        <v>4.95</v>
      </c>
      <c r="L2260" s="15" t="n">
        <f aca="false">AH2260*評分方法!$C$8</f>
        <v>15</v>
      </c>
      <c r="M2260" s="15" t="n">
        <f aca="false">AI2260*評分方法!$C$9</f>
        <v>10</v>
      </c>
      <c r="N2260" s="15" t="n">
        <f aca="false">AJ2260*評分方法!$C$10</f>
        <v>2.416</v>
      </c>
      <c r="O2260" s="15" t="n">
        <f aca="false">AK2260*評分方法!$C$11</f>
        <v>1</v>
      </c>
      <c r="P2260" s="15" t="n">
        <f aca="false">AL2260*評分方法!$C$12</f>
        <v>1.5</v>
      </c>
      <c r="Q2260" s="6" t="n">
        <v>243578</v>
      </c>
      <c r="R2260" s="6" t="n">
        <v>151277312</v>
      </c>
      <c r="S2260" s="11" t="s">
        <v>238</v>
      </c>
      <c r="T2260" s="11" t="s">
        <v>278</v>
      </c>
      <c r="U2260" s="5" t="s">
        <v>240</v>
      </c>
      <c r="V2260" s="11" t="s">
        <v>261</v>
      </c>
      <c r="W2260" s="5" t="s">
        <v>334</v>
      </c>
      <c r="X2260" s="5" t="s">
        <v>255</v>
      </c>
      <c r="Y2260" s="11" t="s">
        <v>5541</v>
      </c>
      <c r="Z2260" s="11" t="s">
        <v>270</v>
      </c>
      <c r="AA2260" s="11" t="s">
        <v>167</v>
      </c>
      <c r="AB2260" s="5" t="s">
        <v>245</v>
      </c>
      <c r="AC2260" s="5"/>
      <c r="AD2260" s="11" t="s">
        <v>5542</v>
      </c>
      <c r="AE2260" s="23" t="n">
        <v>0.4</v>
      </c>
      <c r="AF2260" s="23" t="n">
        <v>0</v>
      </c>
      <c r="AG2260" s="23" t="n">
        <v>0.33</v>
      </c>
      <c r="AH2260" s="23" t="n">
        <v>1</v>
      </c>
      <c r="AI2260" s="23" t="n">
        <v>1</v>
      </c>
      <c r="AJ2260" s="23" t="n">
        <v>0.2416</v>
      </c>
      <c r="AK2260" s="23" t="n">
        <v>0.2</v>
      </c>
      <c r="AL2260" s="23" t="n">
        <v>0.3</v>
      </c>
      <c r="AM2260" s="16" t="n">
        <f aca="false">COUNTIFS($D$2:$D$2501,D2260,$G$2:$G$2501,"&gt;"&amp;G2260)+COUNTIFS($D$2:D2260,D2260,$G$2:G2260,G2260)</f>
        <v>304</v>
      </c>
      <c r="AN2260" s="5" t="str">
        <f aca="false">D2260&amp;"|"&amp;AM2260</f>
        <v>文件與影像辨識|304</v>
      </c>
    </row>
    <row r="2261" customFormat="false" ht="17.15" hidden="false" customHeight="false" outlineLevel="0" collapsed="false">
      <c r="A2261" s="16" t="n">
        <f aca="false">RANK(G2261,$G$2:$G$2501)+COUNTIF($G$2:G2261,G2261)-1</f>
        <v>2260</v>
      </c>
      <c r="B2261" s="11" t="s">
        <v>5543</v>
      </c>
      <c r="C2261" s="11" t="s">
        <v>5171</v>
      </c>
      <c r="D2261" s="5" t="s">
        <v>74</v>
      </c>
      <c r="E2261" s="5" t="s">
        <v>75</v>
      </c>
      <c r="F2261" s="5"/>
      <c r="G2261" s="22" t="n">
        <f aca="false">ROUND(SUM(I2261:P2261),3)</f>
        <v>46.664</v>
      </c>
      <c r="H2261" s="5" t="str">
        <f aca="false">IF(G2261&gt;=評分方法!$C$16,"優先評估",IF(G2261&gt;=評分方法!$C$17,"列入候選",IF(G2261&gt;=評分方法!$C$18,"特定情境","不建議")))</f>
        <v>不建議</v>
      </c>
      <c r="I2261" s="15" t="n">
        <f aca="false">AE2261*評分方法!$C$5</f>
        <v>13.5</v>
      </c>
      <c r="J2261" s="15" t="n">
        <f aca="false">AF2261*評分方法!$C$6</f>
        <v>0</v>
      </c>
      <c r="K2261" s="15" t="n">
        <f aca="false">AG2261*評分方法!$C$7</f>
        <v>4.95</v>
      </c>
      <c r="L2261" s="15" t="n">
        <f aca="false">AH2261*評分方法!$C$8</f>
        <v>7.05</v>
      </c>
      <c r="M2261" s="15" t="n">
        <f aca="false">AI2261*評分方法!$C$9</f>
        <v>10</v>
      </c>
      <c r="N2261" s="15" t="n">
        <f aca="false">AJ2261*評分方法!$C$10</f>
        <v>6.164</v>
      </c>
      <c r="O2261" s="15" t="n">
        <f aca="false">AK2261*評分方法!$C$11</f>
        <v>5</v>
      </c>
      <c r="P2261" s="15" t="n">
        <f aca="false">AL2261*評分方法!$C$12</f>
        <v>0</v>
      </c>
      <c r="Q2261" s="6" t="n">
        <v>657450</v>
      </c>
      <c r="R2261" s="6"/>
      <c r="S2261" s="5" t="s">
        <v>255</v>
      </c>
      <c r="T2261" s="11" t="s">
        <v>278</v>
      </c>
      <c r="U2261" s="5" t="s">
        <v>240</v>
      </c>
      <c r="V2261" s="11" t="s">
        <v>261</v>
      </c>
      <c r="W2261" s="5" t="s">
        <v>334</v>
      </c>
      <c r="X2261" s="5" t="s">
        <v>242</v>
      </c>
      <c r="Y2261" s="11" t="s">
        <v>5544</v>
      </c>
      <c r="Z2261" s="11" t="s">
        <v>270</v>
      </c>
      <c r="AA2261" s="11" t="s">
        <v>166</v>
      </c>
      <c r="AB2261" s="5" t="s">
        <v>245</v>
      </c>
      <c r="AC2261" s="5"/>
      <c r="AD2261" s="11" t="s">
        <v>5545</v>
      </c>
      <c r="AE2261" s="23" t="n">
        <v>0.45</v>
      </c>
      <c r="AF2261" s="23" t="n">
        <v>0</v>
      </c>
      <c r="AG2261" s="23" t="n">
        <v>0.33</v>
      </c>
      <c r="AH2261" s="23" t="n">
        <v>0.47</v>
      </c>
      <c r="AI2261" s="23" t="n">
        <v>1</v>
      </c>
      <c r="AJ2261" s="23" t="n">
        <v>0.6164</v>
      </c>
      <c r="AK2261" s="23" t="n">
        <v>1</v>
      </c>
      <c r="AL2261" s="23" t="n">
        <v>0</v>
      </c>
      <c r="AM2261" s="16" t="n">
        <f aca="false">COUNTIFS($D$2:$D$2501,D2261,$G$2:$G$2501,"&gt;"&amp;G2261)+COUNTIFS($D$2:D2261,D2261,$G$2:G2261,G2261)</f>
        <v>305</v>
      </c>
      <c r="AN2261" s="5" t="str">
        <f aca="false">D2261&amp;"|"&amp;AM2261</f>
        <v>文件與影像辨識|305</v>
      </c>
    </row>
    <row r="2262" customFormat="false" ht="17.15" hidden="false" customHeight="false" outlineLevel="0" collapsed="false">
      <c r="A2262" s="16" t="n">
        <f aca="false">RANK(G2262,$G$2:$G$2501)+COUNTIF($G$2:G2262,G2262)-1</f>
        <v>2261</v>
      </c>
      <c r="B2262" s="11" t="s">
        <v>5546</v>
      </c>
      <c r="C2262" s="11" t="s">
        <v>5547</v>
      </c>
      <c r="D2262" s="5" t="s">
        <v>66</v>
      </c>
      <c r="E2262" s="5" t="s">
        <v>67</v>
      </c>
      <c r="F2262" s="5"/>
      <c r="G2262" s="22" t="n">
        <f aca="false">ROUND(SUM(I2262:P2262),3)</f>
        <v>46.658</v>
      </c>
      <c r="H2262" s="5" t="str">
        <f aca="false">IF(G2262&gt;=評分方法!$C$16,"優先評估",IF(G2262&gt;=評分方法!$C$17,"列入候選",IF(G2262&gt;=評分方法!$C$18,"特定情境","不建議")))</f>
        <v>不建議</v>
      </c>
      <c r="I2262" s="15" t="n">
        <f aca="false">AE2262*評分方法!$C$5</f>
        <v>12</v>
      </c>
      <c r="J2262" s="15" t="n">
        <f aca="false">AF2262*評分方法!$C$6</f>
        <v>0</v>
      </c>
      <c r="K2262" s="15" t="n">
        <f aca="false">AG2262*評分方法!$C$7</f>
        <v>4.95</v>
      </c>
      <c r="L2262" s="15" t="n">
        <f aca="false">AH2262*評分方法!$C$8</f>
        <v>15</v>
      </c>
      <c r="M2262" s="15" t="n">
        <f aca="false">AI2262*評分方法!$C$9</f>
        <v>10</v>
      </c>
      <c r="N2262" s="15" t="n">
        <f aca="false">AJ2262*評分方法!$C$10</f>
        <v>3.708</v>
      </c>
      <c r="O2262" s="15" t="n">
        <f aca="false">AK2262*評分方法!$C$11</f>
        <v>1</v>
      </c>
      <c r="P2262" s="15" t="n">
        <f aca="false">AL2262*評分方法!$C$12</f>
        <v>0</v>
      </c>
      <c r="Q2262" s="6" t="n">
        <v>376694</v>
      </c>
      <c r="R2262" s="6" t="n">
        <v>109755651</v>
      </c>
      <c r="S2262" s="11" t="s">
        <v>238</v>
      </c>
      <c r="T2262" s="11" t="s">
        <v>278</v>
      </c>
      <c r="U2262" s="5" t="s">
        <v>240</v>
      </c>
      <c r="V2262" s="11" t="s">
        <v>261</v>
      </c>
      <c r="W2262" s="5" t="s">
        <v>334</v>
      </c>
      <c r="X2262" s="5" t="s">
        <v>242</v>
      </c>
      <c r="Y2262" s="11" t="s">
        <v>5548</v>
      </c>
      <c r="Z2262" s="11" t="s">
        <v>270</v>
      </c>
      <c r="AA2262" s="11" t="s">
        <v>149</v>
      </c>
      <c r="AB2262" s="5" t="s">
        <v>245</v>
      </c>
      <c r="AC2262" s="5" t="s">
        <v>3044</v>
      </c>
      <c r="AD2262" s="11" t="s">
        <v>5549</v>
      </c>
      <c r="AE2262" s="23" t="n">
        <v>0.4</v>
      </c>
      <c r="AF2262" s="23" t="n">
        <v>0</v>
      </c>
      <c r="AG2262" s="23" t="n">
        <v>0.33</v>
      </c>
      <c r="AH2262" s="23" t="n">
        <v>1</v>
      </c>
      <c r="AI2262" s="23" t="n">
        <v>1</v>
      </c>
      <c r="AJ2262" s="23" t="n">
        <v>0.3708</v>
      </c>
      <c r="AK2262" s="23" t="n">
        <v>0.2</v>
      </c>
      <c r="AL2262" s="23" t="n">
        <v>0</v>
      </c>
      <c r="AM2262" s="16" t="n">
        <f aca="false">COUNTIFS($D$2:$D$2501,D2262,$G$2:$G$2501,"&gt;"&amp;G2262)+COUNTIFS($D$2:D2262,D2262,$G$2:G2262,G2262)</f>
        <v>70</v>
      </c>
      <c r="AN2262" s="5" t="str">
        <f aca="false">D2262&amp;"|"&amp;AM2262</f>
        <v>分類與偵測|70</v>
      </c>
    </row>
    <row r="2263" customFormat="false" ht="17.15" hidden="false" customHeight="false" outlineLevel="0" collapsed="false">
      <c r="A2263" s="16" t="n">
        <f aca="false">RANK(G2263,$G$2:$G$2501)+COUNTIF($G$2:G2263,G2263)-1</f>
        <v>2262</v>
      </c>
      <c r="B2263" s="11" t="s">
        <v>5550</v>
      </c>
      <c r="C2263" s="11" t="s">
        <v>5551</v>
      </c>
      <c r="D2263" s="5" t="s">
        <v>78</v>
      </c>
      <c r="E2263" s="5" t="s">
        <v>79</v>
      </c>
      <c r="F2263" s="5"/>
      <c r="G2263" s="22" t="n">
        <f aca="false">ROUND(SUM(I2263:P2263),3)</f>
        <v>46.612</v>
      </c>
      <c r="H2263" s="5" t="str">
        <f aca="false">IF(G2263&gt;=評分方法!$C$16,"優先評估",IF(G2263&gt;=評分方法!$C$17,"列入候選",IF(G2263&gt;=評分方法!$C$18,"特定情境","不建議")))</f>
        <v>不建議</v>
      </c>
      <c r="I2263" s="15" t="n">
        <f aca="false">AE2263*評分方法!$C$5</f>
        <v>9</v>
      </c>
      <c r="J2263" s="15" t="n">
        <f aca="false">AF2263*評分方法!$C$6</f>
        <v>0</v>
      </c>
      <c r="K2263" s="15" t="n">
        <f aca="false">AG2263*評分方法!$C$7</f>
        <v>4.95</v>
      </c>
      <c r="L2263" s="15" t="n">
        <f aca="false">AH2263*評分方法!$C$8</f>
        <v>13.05</v>
      </c>
      <c r="M2263" s="15" t="n">
        <f aca="false">AI2263*評分方法!$C$9</f>
        <v>10</v>
      </c>
      <c r="N2263" s="15" t="n">
        <f aca="false">AJ2263*評分方法!$C$10</f>
        <v>5.612</v>
      </c>
      <c r="O2263" s="15" t="n">
        <f aca="false">AK2263*評分方法!$C$11</f>
        <v>4</v>
      </c>
      <c r="P2263" s="15" t="n">
        <f aca="false">AL2263*評分方法!$C$12</f>
        <v>0</v>
      </c>
      <c r="Q2263" s="6" t="n">
        <v>581424</v>
      </c>
      <c r="R2263" s="6" t="n">
        <v>1543490560</v>
      </c>
      <c r="S2263" s="11" t="s">
        <v>254</v>
      </c>
      <c r="T2263" s="11" t="s">
        <v>239</v>
      </c>
      <c r="U2263" s="5" t="s">
        <v>240</v>
      </c>
      <c r="V2263" s="11" t="s">
        <v>261</v>
      </c>
      <c r="W2263" s="5" t="s">
        <v>334</v>
      </c>
      <c r="X2263" s="5" t="s">
        <v>242</v>
      </c>
      <c r="Y2263" s="11" t="s">
        <v>2613</v>
      </c>
      <c r="Z2263" s="11" t="s">
        <v>270</v>
      </c>
      <c r="AA2263" s="11" t="s">
        <v>175</v>
      </c>
      <c r="AB2263" s="5" t="s">
        <v>245</v>
      </c>
      <c r="AC2263" s="5"/>
      <c r="AD2263" s="11" t="s">
        <v>5552</v>
      </c>
      <c r="AE2263" s="23" t="n">
        <v>0.3</v>
      </c>
      <c r="AF2263" s="23" t="n">
        <v>0</v>
      </c>
      <c r="AG2263" s="23" t="n">
        <v>0.33</v>
      </c>
      <c r="AH2263" s="23" t="n">
        <v>0.87</v>
      </c>
      <c r="AI2263" s="23" t="n">
        <v>1</v>
      </c>
      <c r="AJ2263" s="23" t="n">
        <v>0.5612</v>
      </c>
      <c r="AK2263" s="23" t="n">
        <v>0.8</v>
      </c>
      <c r="AL2263" s="23" t="n">
        <v>0</v>
      </c>
      <c r="AM2263" s="16" t="n">
        <f aca="false">COUNTIFS($D$2:$D$2501,D2263,$G$2:$G$2501,"&gt;"&amp;G2263)+COUNTIFS($D$2:D2263,D2263,$G$2:G2263,G2263)</f>
        <v>90</v>
      </c>
      <c r="AN2263" s="5" t="str">
        <f aca="false">D2263&amp;"|"&amp;AM2263</f>
        <v>語音分析|90</v>
      </c>
    </row>
    <row r="2264" customFormat="false" ht="17.15" hidden="false" customHeight="false" outlineLevel="0" collapsed="false">
      <c r="A2264" s="16" t="n">
        <f aca="false">RANK(G2264,$G$2:$G$2501)+COUNTIF($G$2:G2264,G2264)-1</f>
        <v>2263</v>
      </c>
      <c r="B2264" s="11" t="s">
        <v>5553</v>
      </c>
      <c r="C2264" s="11" t="s">
        <v>5141</v>
      </c>
      <c r="D2264" s="5" t="s">
        <v>78</v>
      </c>
      <c r="E2264" s="5" t="s">
        <v>79</v>
      </c>
      <c r="F2264" s="5"/>
      <c r="G2264" s="22" t="n">
        <f aca="false">ROUND(SUM(I2264:P2264),3)</f>
        <v>46.554</v>
      </c>
      <c r="H2264" s="5" t="str">
        <f aca="false">IF(G2264&gt;=評分方法!$C$16,"優先評估",IF(G2264&gt;=評分方法!$C$17,"列入候選",IF(G2264&gt;=評分方法!$C$18,"特定情境","不建議")))</f>
        <v>不建議</v>
      </c>
      <c r="I2264" s="15" t="n">
        <f aca="false">AE2264*評分方法!$C$5</f>
        <v>10.5</v>
      </c>
      <c r="J2264" s="15" t="n">
        <f aca="false">AF2264*評分方法!$C$6</f>
        <v>0</v>
      </c>
      <c r="K2264" s="15" t="n">
        <f aca="false">AG2264*評分方法!$C$7</f>
        <v>4.95</v>
      </c>
      <c r="L2264" s="15" t="n">
        <f aca="false">AH2264*評分方法!$C$8</f>
        <v>15</v>
      </c>
      <c r="M2264" s="15" t="n">
        <f aca="false">AI2264*評分方法!$C$9</f>
        <v>6</v>
      </c>
      <c r="N2264" s="15" t="n">
        <f aca="false">AJ2264*評分方法!$C$10</f>
        <v>3.604</v>
      </c>
      <c r="O2264" s="15" t="n">
        <f aca="false">AK2264*評分方法!$C$11</f>
        <v>5</v>
      </c>
      <c r="P2264" s="15" t="n">
        <f aca="false">AL2264*評分方法!$C$12</f>
        <v>1.5</v>
      </c>
      <c r="Q2264" s="6" t="n">
        <v>365476</v>
      </c>
      <c r="R2264" s="6" t="n">
        <v>201400553</v>
      </c>
      <c r="S2264" s="11" t="s">
        <v>238</v>
      </c>
      <c r="T2264" s="11" t="s">
        <v>185</v>
      </c>
      <c r="U2264" s="5" t="s">
        <v>260</v>
      </c>
      <c r="V2264" s="11" t="s">
        <v>261</v>
      </c>
      <c r="W2264" s="5" t="s">
        <v>334</v>
      </c>
      <c r="X2264" s="5" t="s">
        <v>255</v>
      </c>
      <c r="Y2264" s="5"/>
      <c r="Z2264" s="5"/>
      <c r="AA2264" s="11" t="s">
        <v>174</v>
      </c>
      <c r="AB2264" s="5" t="s">
        <v>245</v>
      </c>
      <c r="AC2264" s="5" t="s">
        <v>262</v>
      </c>
      <c r="AD2264" s="11" t="s">
        <v>5554</v>
      </c>
      <c r="AE2264" s="23" t="n">
        <v>0.35</v>
      </c>
      <c r="AF2264" s="23" t="n">
        <v>0</v>
      </c>
      <c r="AG2264" s="23" t="n">
        <v>0.33</v>
      </c>
      <c r="AH2264" s="23" t="n">
        <v>1</v>
      </c>
      <c r="AI2264" s="23" t="n">
        <v>0.6</v>
      </c>
      <c r="AJ2264" s="23" t="n">
        <v>0.3604</v>
      </c>
      <c r="AK2264" s="23" t="n">
        <v>1</v>
      </c>
      <c r="AL2264" s="23" t="n">
        <v>0.3</v>
      </c>
      <c r="AM2264" s="16" t="n">
        <f aca="false">COUNTIFS($D$2:$D$2501,D2264,$G$2:$G$2501,"&gt;"&amp;G2264)+COUNTIFS($D$2:D2264,D2264,$G$2:G2264,G2264)</f>
        <v>91</v>
      </c>
      <c r="AN2264" s="5" t="str">
        <f aca="false">D2264&amp;"|"&amp;AM2264</f>
        <v>語音分析|91</v>
      </c>
    </row>
    <row r="2265" customFormat="false" ht="17.15" hidden="false" customHeight="false" outlineLevel="0" collapsed="false">
      <c r="A2265" s="16" t="n">
        <f aca="false">RANK(G2265,$G$2:$G$2501)+COUNTIF($G$2:G2265,G2265)-1</f>
        <v>2264</v>
      </c>
      <c r="B2265" s="11" t="s">
        <v>5555</v>
      </c>
      <c r="C2265" s="11" t="s">
        <v>5556</v>
      </c>
      <c r="D2265" s="5" t="s">
        <v>56</v>
      </c>
      <c r="E2265" s="5" t="s">
        <v>57</v>
      </c>
      <c r="F2265" s="5"/>
      <c r="G2265" s="22" t="n">
        <f aca="false">ROUND(SUM(I2265:P2265),3)</f>
        <v>46.438</v>
      </c>
      <c r="H2265" s="5" t="str">
        <f aca="false">IF(G2265&gt;=評分方法!$C$16,"優先評估",IF(G2265&gt;=評分方法!$C$17,"列入候選",IF(G2265&gt;=評分方法!$C$18,"特定情境","不建議")))</f>
        <v>不建議</v>
      </c>
      <c r="I2265" s="15" t="n">
        <f aca="false">AE2265*評分方法!$C$5</f>
        <v>25.5</v>
      </c>
      <c r="J2265" s="15" t="n">
        <f aca="false">AF2265*評分方法!$C$6</f>
        <v>0</v>
      </c>
      <c r="K2265" s="15" t="n">
        <f aca="false">AG2265*評分方法!$C$7</f>
        <v>4.95</v>
      </c>
      <c r="L2265" s="15" t="n">
        <f aca="false">AH2265*評分方法!$C$8</f>
        <v>9</v>
      </c>
      <c r="M2265" s="15" t="n">
        <f aca="false">AI2265*評分方法!$C$9</f>
        <v>2</v>
      </c>
      <c r="N2265" s="15" t="n">
        <f aca="false">AJ2265*評分方法!$C$10</f>
        <v>0.988</v>
      </c>
      <c r="O2265" s="15" t="n">
        <f aca="false">AK2265*評分方法!$C$11</f>
        <v>1</v>
      </c>
      <c r="P2265" s="15" t="n">
        <f aca="false">AL2265*評分方法!$C$12</f>
        <v>3</v>
      </c>
      <c r="Q2265" s="6" t="n">
        <v>153169</v>
      </c>
      <c r="R2265" s="6" t="n">
        <v>33342991360</v>
      </c>
      <c r="S2265" s="11" t="s">
        <v>389</v>
      </c>
      <c r="T2265" s="5"/>
      <c r="U2265" s="5" t="s">
        <v>375</v>
      </c>
      <c r="V2265" s="11" t="s">
        <v>333</v>
      </c>
      <c r="W2265" s="5" t="s">
        <v>334</v>
      </c>
      <c r="X2265" s="5" t="s">
        <v>371</v>
      </c>
      <c r="Y2265" s="5"/>
      <c r="Z2265" s="5"/>
      <c r="AA2265" s="11" t="s">
        <v>155</v>
      </c>
      <c r="AB2265" s="5" t="s">
        <v>961</v>
      </c>
      <c r="AC2265" s="5" t="s">
        <v>1977</v>
      </c>
      <c r="AD2265" s="11" t="s">
        <v>5557</v>
      </c>
      <c r="AE2265" s="23" t="n">
        <v>0.85</v>
      </c>
      <c r="AF2265" s="23" t="n">
        <v>0</v>
      </c>
      <c r="AG2265" s="23" t="n">
        <v>0.33</v>
      </c>
      <c r="AH2265" s="23" t="n">
        <v>0.6</v>
      </c>
      <c r="AI2265" s="23" t="n">
        <v>0.2</v>
      </c>
      <c r="AJ2265" s="23" t="n">
        <v>0.0988</v>
      </c>
      <c r="AK2265" s="23" t="n">
        <v>0.2</v>
      </c>
      <c r="AL2265" s="23" t="n">
        <v>0.6</v>
      </c>
      <c r="AM2265" s="16" t="n">
        <f aca="false">COUNTIFS($D$2:$D$2501,D2265,$G$2:$G$2501,"&gt;"&amp;G2265)+COUNTIFS($D$2:D2265,D2265,$G$2:G2265,G2265)</f>
        <v>966</v>
      </c>
      <c r="AN2265" s="5" t="str">
        <f aca="false">D2265&amp;"|"&amp;AM2265</f>
        <v>分析與報告生成|966</v>
      </c>
    </row>
    <row r="2266" customFormat="false" ht="17.15" hidden="false" customHeight="false" outlineLevel="0" collapsed="false">
      <c r="A2266" s="16" t="n">
        <f aca="false">RANK(G2266,$G$2:$G$2501)+COUNTIF($G$2:G2266,G2266)-1</f>
        <v>2265</v>
      </c>
      <c r="B2266" s="11" t="s">
        <v>5558</v>
      </c>
      <c r="C2266" s="11" t="s">
        <v>5180</v>
      </c>
      <c r="D2266" s="5" t="s">
        <v>74</v>
      </c>
      <c r="E2266" s="5" t="s">
        <v>75</v>
      </c>
      <c r="F2266" s="5"/>
      <c r="G2266" s="22" t="n">
        <f aca="false">ROUND(SUM(I2266:P2266),3)</f>
        <v>46.382</v>
      </c>
      <c r="H2266" s="5" t="str">
        <f aca="false">IF(G2266&gt;=評分方法!$C$16,"優先評估",IF(G2266&gt;=評分方法!$C$17,"列入候選",IF(G2266&gt;=評分方法!$C$18,"特定情境","不建議")))</f>
        <v>不建議</v>
      </c>
      <c r="I2266" s="15" t="n">
        <f aca="false">AE2266*評分方法!$C$5</f>
        <v>13.5</v>
      </c>
      <c r="J2266" s="15" t="n">
        <f aca="false">AF2266*評分方法!$C$6</f>
        <v>0</v>
      </c>
      <c r="K2266" s="15" t="n">
        <f aca="false">AG2266*評分方法!$C$7</f>
        <v>4.95</v>
      </c>
      <c r="L2266" s="15" t="n">
        <f aca="false">AH2266*評分方法!$C$8</f>
        <v>9</v>
      </c>
      <c r="M2266" s="15" t="n">
        <f aca="false">AI2266*評分方法!$C$9</f>
        <v>10</v>
      </c>
      <c r="N2266" s="15" t="n">
        <f aca="false">AJ2266*評分方法!$C$10</f>
        <v>3.932</v>
      </c>
      <c r="O2266" s="15" t="n">
        <f aca="false">AK2266*評分方法!$C$11</f>
        <v>5</v>
      </c>
      <c r="P2266" s="15" t="n">
        <f aca="false">AL2266*評分方法!$C$12</f>
        <v>0</v>
      </c>
      <c r="Q2266" s="6" t="n">
        <v>407384</v>
      </c>
      <c r="R2266" s="6" t="n">
        <v>27320697856</v>
      </c>
      <c r="S2266" s="11" t="s">
        <v>389</v>
      </c>
      <c r="T2266" s="11" t="s">
        <v>239</v>
      </c>
      <c r="U2266" s="5" t="s">
        <v>240</v>
      </c>
      <c r="V2266" s="11" t="s">
        <v>333</v>
      </c>
      <c r="W2266" s="5" t="s">
        <v>334</v>
      </c>
      <c r="X2266" s="5" t="s">
        <v>242</v>
      </c>
      <c r="Y2266" s="11" t="s">
        <v>5559</v>
      </c>
      <c r="Z2266" s="11" t="s">
        <v>244</v>
      </c>
      <c r="AA2266" s="11" t="s">
        <v>164</v>
      </c>
      <c r="AB2266" s="5" t="s">
        <v>343</v>
      </c>
      <c r="AC2266" s="5" t="s">
        <v>4665</v>
      </c>
      <c r="AD2266" s="11" t="s">
        <v>5560</v>
      </c>
      <c r="AE2266" s="23" t="n">
        <v>0.45</v>
      </c>
      <c r="AF2266" s="23" t="n">
        <v>0</v>
      </c>
      <c r="AG2266" s="23" t="n">
        <v>0.33</v>
      </c>
      <c r="AH2266" s="23" t="n">
        <v>0.6</v>
      </c>
      <c r="AI2266" s="23" t="n">
        <v>1</v>
      </c>
      <c r="AJ2266" s="23" t="n">
        <v>0.3932</v>
      </c>
      <c r="AK2266" s="23" t="n">
        <v>1</v>
      </c>
      <c r="AL2266" s="23" t="n">
        <v>0</v>
      </c>
      <c r="AM2266" s="16" t="n">
        <f aca="false">COUNTIFS($D$2:$D$2501,D2266,$G$2:$G$2501,"&gt;"&amp;G2266)+COUNTIFS($D$2:D2266,D2266,$G$2:G2266,G2266)</f>
        <v>306</v>
      </c>
      <c r="AN2266" s="5" t="str">
        <f aca="false">D2266&amp;"|"&amp;AM2266</f>
        <v>文件與影像辨識|306</v>
      </c>
    </row>
    <row r="2267" customFormat="false" ht="17.15" hidden="false" customHeight="false" outlineLevel="0" collapsed="false">
      <c r="A2267" s="16" t="n">
        <f aca="false">RANK(G2267,$G$2:$G$2501)+COUNTIF($G$2:G2267,G2267)-1</f>
        <v>2266</v>
      </c>
      <c r="B2267" s="11" t="s">
        <v>5561</v>
      </c>
      <c r="C2267" s="11" t="s">
        <v>3814</v>
      </c>
      <c r="D2267" s="5" t="s">
        <v>56</v>
      </c>
      <c r="E2267" s="5" t="s">
        <v>57</v>
      </c>
      <c r="F2267" s="5"/>
      <c r="G2267" s="22" t="n">
        <f aca="false">ROUND(SUM(I2267:P2267),3)</f>
        <v>46.38</v>
      </c>
      <c r="H2267" s="5" t="str">
        <f aca="false">IF(G2267&gt;=評分方法!$C$16,"優先評估",IF(G2267&gt;=評分方法!$C$17,"列入候選",IF(G2267&gt;=評分方法!$C$18,"特定情境","不建議")))</f>
        <v>不建議</v>
      </c>
      <c r="I2267" s="15" t="n">
        <f aca="false">AE2267*評分方法!$C$5</f>
        <v>25.5</v>
      </c>
      <c r="J2267" s="15" t="n">
        <f aca="false">AF2267*評分方法!$C$6</f>
        <v>0</v>
      </c>
      <c r="K2267" s="15" t="n">
        <f aca="false">AG2267*評分方法!$C$7</f>
        <v>10.05</v>
      </c>
      <c r="L2267" s="15" t="n">
        <f aca="false">AH2267*評分方法!$C$8</f>
        <v>1.95</v>
      </c>
      <c r="M2267" s="15" t="n">
        <f aca="false">AI2267*評分方法!$C$9</f>
        <v>2</v>
      </c>
      <c r="N2267" s="15" t="n">
        <f aca="false">AJ2267*評分方法!$C$10</f>
        <v>1.38</v>
      </c>
      <c r="O2267" s="15" t="n">
        <f aca="false">AK2267*評分方法!$C$11</f>
        <v>2.5</v>
      </c>
      <c r="P2267" s="15" t="n">
        <f aca="false">AL2267*評分方法!$C$12</f>
        <v>3</v>
      </c>
      <c r="Q2267" s="6" t="n">
        <v>173069</v>
      </c>
      <c r="R2267" s="6" t="n">
        <v>116829156672</v>
      </c>
      <c r="S2267" s="11" t="s">
        <v>1616</v>
      </c>
      <c r="T2267" s="5"/>
      <c r="U2267" s="5" t="s">
        <v>375</v>
      </c>
      <c r="V2267" s="11" t="s">
        <v>261</v>
      </c>
      <c r="W2267" s="5" t="s">
        <v>207</v>
      </c>
      <c r="X2267" s="5" t="s">
        <v>371</v>
      </c>
      <c r="Y2267" s="5"/>
      <c r="Z2267" s="5"/>
      <c r="AA2267" s="11" t="s">
        <v>155</v>
      </c>
      <c r="AB2267" s="5" t="s">
        <v>328</v>
      </c>
      <c r="AC2267" s="5" t="s">
        <v>329</v>
      </c>
      <c r="AD2267" s="11" t="s">
        <v>5562</v>
      </c>
      <c r="AE2267" s="23" t="n">
        <v>0.85</v>
      </c>
      <c r="AF2267" s="23" t="n">
        <v>0</v>
      </c>
      <c r="AG2267" s="23" t="n">
        <v>0.67</v>
      </c>
      <c r="AH2267" s="23" t="n">
        <v>0.13</v>
      </c>
      <c r="AI2267" s="23" t="n">
        <v>0.2</v>
      </c>
      <c r="AJ2267" s="23" t="n">
        <v>0.138</v>
      </c>
      <c r="AK2267" s="23" t="n">
        <v>0.5</v>
      </c>
      <c r="AL2267" s="23" t="n">
        <v>0.6</v>
      </c>
      <c r="AM2267" s="16" t="n">
        <f aca="false">COUNTIFS($D$2:$D$2501,D2267,$G$2:$G$2501,"&gt;"&amp;G2267)+COUNTIFS($D$2:D2267,D2267,$G$2:G2267,G2267)</f>
        <v>967</v>
      </c>
      <c r="AN2267" s="5" t="str">
        <f aca="false">D2267&amp;"|"&amp;AM2267</f>
        <v>分析與報告生成|967</v>
      </c>
    </row>
    <row r="2268" customFormat="false" ht="17.15" hidden="false" customHeight="false" outlineLevel="0" collapsed="false">
      <c r="A2268" s="16" t="n">
        <f aca="false">RANK(G2268,$G$2:$G$2501)+COUNTIF($G$2:G2268,G2268)-1</f>
        <v>2267</v>
      </c>
      <c r="B2268" s="11" t="s">
        <v>5563</v>
      </c>
      <c r="C2268" s="11" t="s">
        <v>5564</v>
      </c>
      <c r="D2268" s="5" t="s">
        <v>72</v>
      </c>
      <c r="E2268" s="5" t="s">
        <v>73</v>
      </c>
      <c r="F2268" s="5"/>
      <c r="G2268" s="22" t="n">
        <f aca="false">ROUND(SUM(I2268:P2268),3)</f>
        <v>46.338</v>
      </c>
      <c r="H2268" s="5" t="str">
        <f aca="false">IF(G2268&gt;=評分方法!$C$16,"優先評估",IF(G2268&gt;=評分方法!$C$17,"列入候選",IF(G2268&gt;=評分方法!$C$18,"特定情境","不建議")))</f>
        <v>不建議</v>
      </c>
      <c r="I2268" s="15" t="n">
        <f aca="false">AE2268*評分方法!$C$5</f>
        <v>15</v>
      </c>
      <c r="J2268" s="15" t="n">
        <f aca="false">AF2268*評分方法!$C$6</f>
        <v>0</v>
      </c>
      <c r="K2268" s="15" t="n">
        <f aca="false">AG2268*評分方法!$C$7</f>
        <v>4.95</v>
      </c>
      <c r="L2268" s="15" t="n">
        <f aca="false">AH2268*評分方法!$C$8</f>
        <v>15</v>
      </c>
      <c r="M2268" s="15" t="n">
        <f aca="false">AI2268*評分方法!$C$9</f>
        <v>10</v>
      </c>
      <c r="N2268" s="15" t="n">
        <f aca="false">AJ2268*評分方法!$C$10</f>
        <v>0.388</v>
      </c>
      <c r="O2268" s="15" t="n">
        <f aca="false">AK2268*評分方法!$C$11</f>
        <v>1</v>
      </c>
      <c r="P2268" s="15" t="n">
        <f aca="false">AL2268*評分方法!$C$12</f>
        <v>0</v>
      </c>
      <c r="Q2268" s="6" t="n">
        <v>127907</v>
      </c>
      <c r="R2268" s="6" t="n">
        <v>109951602</v>
      </c>
      <c r="S2268" s="11" t="s">
        <v>238</v>
      </c>
      <c r="T2268" s="11" t="s">
        <v>278</v>
      </c>
      <c r="U2268" s="5" t="s">
        <v>240</v>
      </c>
      <c r="V2268" s="11" t="s">
        <v>324</v>
      </c>
      <c r="W2268" s="5" t="s">
        <v>334</v>
      </c>
      <c r="X2268" s="5" t="s">
        <v>242</v>
      </c>
      <c r="Y2268" s="5"/>
      <c r="Z2268" s="5"/>
      <c r="AA2268" s="11" t="s">
        <v>162</v>
      </c>
      <c r="AB2268" s="5" t="s">
        <v>245</v>
      </c>
      <c r="AC2268" s="5"/>
      <c r="AD2268" s="11" t="s">
        <v>5565</v>
      </c>
      <c r="AE2268" s="23" t="n">
        <v>0.5</v>
      </c>
      <c r="AF2268" s="23" t="n">
        <v>0</v>
      </c>
      <c r="AG2268" s="23" t="n">
        <v>0.33</v>
      </c>
      <c r="AH2268" s="23" t="n">
        <v>1</v>
      </c>
      <c r="AI2268" s="23" t="n">
        <v>1</v>
      </c>
      <c r="AJ2268" s="23" t="n">
        <v>0.0388</v>
      </c>
      <c r="AK2268" s="23" t="n">
        <v>0.2</v>
      </c>
      <c r="AL2268" s="23" t="n">
        <v>0</v>
      </c>
      <c r="AM2268" s="16" t="n">
        <f aca="false">COUNTIFS($D$2:$D$2501,D2268,$G$2:$G$2501,"&gt;"&amp;G2268)+COUNTIFS($D$2:D2268,D2268,$G$2:G2268,G2268)</f>
        <v>52</v>
      </c>
      <c r="AN2268" s="5" t="str">
        <f aca="false">D2268&amp;"|"&amp;AM2268</f>
        <v>微調基底模型|52</v>
      </c>
    </row>
    <row r="2269" customFormat="false" ht="17.15" hidden="false" customHeight="false" outlineLevel="0" collapsed="false">
      <c r="A2269" s="16" t="n">
        <f aca="false">RANK(G2269,$G$2:$G$2501)+COUNTIF($G$2:G2269,G2269)-1</f>
        <v>2268</v>
      </c>
      <c r="B2269" s="11" t="s">
        <v>5566</v>
      </c>
      <c r="C2269" s="11" t="s">
        <v>5567</v>
      </c>
      <c r="D2269" s="5" t="s">
        <v>74</v>
      </c>
      <c r="E2269" s="5" t="s">
        <v>75</v>
      </c>
      <c r="F2269" s="5"/>
      <c r="G2269" s="22" t="n">
        <f aca="false">ROUND(SUM(I2269:P2269),3)</f>
        <v>46.296</v>
      </c>
      <c r="H2269" s="5" t="str">
        <f aca="false">IF(G2269&gt;=評分方法!$C$16,"優先評估",IF(G2269&gt;=評分方法!$C$17,"列入候選",IF(G2269&gt;=評分方法!$C$18,"特定情境","不建議")))</f>
        <v>不建議</v>
      </c>
      <c r="I2269" s="15" t="n">
        <f aca="false">AE2269*評分方法!$C$5</f>
        <v>4.5</v>
      </c>
      <c r="J2269" s="15" t="n">
        <f aca="false">AF2269*評分方法!$C$6</f>
        <v>0</v>
      </c>
      <c r="K2269" s="15" t="n">
        <f aca="false">AG2269*評分方法!$C$7</f>
        <v>15</v>
      </c>
      <c r="L2269" s="15" t="n">
        <f aca="false">AH2269*評分方法!$C$8</f>
        <v>15</v>
      </c>
      <c r="M2269" s="15" t="n">
        <f aca="false">AI2269*評分方法!$C$9</f>
        <v>10</v>
      </c>
      <c r="N2269" s="15" t="n">
        <f aca="false">AJ2269*評分方法!$C$10</f>
        <v>0.796</v>
      </c>
      <c r="O2269" s="15" t="n">
        <f aca="false">AK2269*評分方法!$C$11</f>
        <v>1</v>
      </c>
      <c r="P2269" s="15" t="n">
        <f aca="false">AL2269*評分方法!$C$12</f>
        <v>0</v>
      </c>
      <c r="Q2269" s="6" t="n">
        <v>146285</v>
      </c>
      <c r="R2269" s="6" t="n">
        <v>234473440</v>
      </c>
      <c r="S2269" s="11" t="s">
        <v>238</v>
      </c>
      <c r="T2269" s="11" t="s">
        <v>278</v>
      </c>
      <c r="U2269" s="5" t="s">
        <v>240</v>
      </c>
      <c r="V2269" s="11" t="s">
        <v>324</v>
      </c>
      <c r="W2269" s="5" t="s">
        <v>205</v>
      </c>
      <c r="X2269" s="5" t="s">
        <v>242</v>
      </c>
      <c r="Y2269" s="5"/>
      <c r="Z2269" s="5"/>
      <c r="AA2269" s="11" t="s">
        <v>183</v>
      </c>
      <c r="AB2269" s="5" t="s">
        <v>245</v>
      </c>
      <c r="AC2269" s="5"/>
      <c r="AD2269" s="11" t="s">
        <v>5568</v>
      </c>
      <c r="AE2269" s="23" t="n">
        <v>0.15</v>
      </c>
      <c r="AF2269" s="23" t="n">
        <v>0</v>
      </c>
      <c r="AG2269" s="23" t="n">
        <v>1</v>
      </c>
      <c r="AH2269" s="23" t="n">
        <v>1</v>
      </c>
      <c r="AI2269" s="23" t="n">
        <v>1</v>
      </c>
      <c r="AJ2269" s="23" t="n">
        <v>0.0796</v>
      </c>
      <c r="AK2269" s="23" t="n">
        <v>0.2</v>
      </c>
      <c r="AL2269" s="23" t="n">
        <v>0</v>
      </c>
      <c r="AM2269" s="16" t="n">
        <f aca="false">COUNTIFS($D$2:$D$2501,D2269,$G$2:$G$2501,"&gt;"&amp;G2269)+COUNTIFS($D$2:D2269,D2269,$G$2:G2269,G2269)</f>
        <v>307</v>
      </c>
      <c r="AN2269" s="5" t="str">
        <f aca="false">D2269&amp;"|"&amp;AM2269</f>
        <v>文件與影像辨識|307</v>
      </c>
    </row>
    <row r="2270" customFormat="false" ht="17.15" hidden="false" customHeight="false" outlineLevel="0" collapsed="false">
      <c r="A2270" s="16" t="n">
        <f aca="false">RANK(G2270,$G$2:$G$2501)+COUNTIF($G$2:G2270,G2270)-1</f>
        <v>2269</v>
      </c>
      <c r="B2270" s="11" t="s">
        <v>5569</v>
      </c>
      <c r="C2270" s="11" t="s">
        <v>5570</v>
      </c>
      <c r="D2270" s="5" t="s">
        <v>72</v>
      </c>
      <c r="E2270" s="5" t="s">
        <v>73</v>
      </c>
      <c r="F2270" s="5"/>
      <c r="G2270" s="22" t="n">
        <f aca="false">ROUND(SUM(I2270:P2270),3)</f>
        <v>46.274</v>
      </c>
      <c r="H2270" s="5" t="str">
        <f aca="false">IF(G2270&gt;=評分方法!$C$16,"優先評估",IF(G2270&gt;=評分方法!$C$17,"列入候選",IF(G2270&gt;=評分方法!$C$18,"特定情境","不建議")))</f>
        <v>不建議</v>
      </c>
      <c r="I2270" s="15" t="n">
        <f aca="false">AE2270*評分方法!$C$5</f>
        <v>9</v>
      </c>
      <c r="J2270" s="15" t="n">
        <f aca="false">AF2270*評分方法!$C$6</f>
        <v>0</v>
      </c>
      <c r="K2270" s="15" t="n">
        <f aca="false">AG2270*評分方法!$C$7</f>
        <v>4.95</v>
      </c>
      <c r="L2270" s="15" t="n">
        <f aca="false">AH2270*評分方法!$C$8</f>
        <v>15</v>
      </c>
      <c r="M2270" s="15" t="n">
        <f aca="false">AI2270*評分方法!$C$9</f>
        <v>10</v>
      </c>
      <c r="N2270" s="15" t="n">
        <f aca="false">AJ2270*評分方法!$C$10</f>
        <v>6.324</v>
      </c>
      <c r="O2270" s="15" t="n">
        <f aca="false">AK2270*評分方法!$C$11</f>
        <v>1</v>
      </c>
      <c r="P2270" s="15" t="n">
        <f aca="false">AL2270*評分方法!$C$12</f>
        <v>0</v>
      </c>
      <c r="Q2270" s="6" t="n">
        <v>700526</v>
      </c>
      <c r="R2270" s="6" t="n">
        <v>109542194</v>
      </c>
      <c r="S2270" s="11" t="s">
        <v>238</v>
      </c>
      <c r="T2270" s="11" t="s">
        <v>239</v>
      </c>
      <c r="U2270" s="5" t="s">
        <v>240</v>
      </c>
      <c r="V2270" s="11" t="s">
        <v>813</v>
      </c>
      <c r="W2270" s="5" t="s">
        <v>334</v>
      </c>
      <c r="X2270" s="5" t="s">
        <v>242</v>
      </c>
      <c r="Y2270" s="5"/>
      <c r="Z2270" s="5"/>
      <c r="AA2270" s="11" t="s">
        <v>162</v>
      </c>
      <c r="AB2270" s="5" t="s">
        <v>245</v>
      </c>
      <c r="AC2270" s="5" t="s">
        <v>1463</v>
      </c>
      <c r="AD2270" s="11" t="s">
        <v>5571</v>
      </c>
      <c r="AE2270" s="23" t="n">
        <v>0.3</v>
      </c>
      <c r="AF2270" s="23" t="n">
        <v>0</v>
      </c>
      <c r="AG2270" s="23" t="n">
        <v>0.33</v>
      </c>
      <c r="AH2270" s="23" t="n">
        <v>1</v>
      </c>
      <c r="AI2270" s="23" t="n">
        <v>1</v>
      </c>
      <c r="AJ2270" s="23" t="n">
        <v>0.6324</v>
      </c>
      <c r="AK2270" s="23" t="n">
        <v>0.2</v>
      </c>
      <c r="AL2270" s="23" t="n">
        <v>0</v>
      </c>
      <c r="AM2270" s="16" t="n">
        <f aca="false">COUNTIFS($D$2:$D$2501,D2270,$G$2:$G$2501,"&gt;"&amp;G2270)+COUNTIFS($D$2:D2270,D2270,$G$2:G2270,G2270)</f>
        <v>53</v>
      </c>
      <c r="AN2270" s="5" t="str">
        <f aca="false">D2270&amp;"|"&amp;AM2270</f>
        <v>微調基底模型|53</v>
      </c>
    </row>
    <row r="2271" customFormat="false" ht="17.15" hidden="false" customHeight="false" outlineLevel="0" collapsed="false">
      <c r="A2271" s="16" t="n">
        <f aca="false">RANK(G2271,$G$2:$G$2501)+COUNTIF($G$2:G2271,G2271)-1</f>
        <v>2270</v>
      </c>
      <c r="B2271" s="11" t="s">
        <v>5572</v>
      </c>
      <c r="C2271" s="11" t="s">
        <v>5573</v>
      </c>
      <c r="D2271" s="5" t="s">
        <v>78</v>
      </c>
      <c r="E2271" s="5" t="s">
        <v>79</v>
      </c>
      <c r="F2271" s="5"/>
      <c r="G2271" s="22" t="n">
        <f aca="false">ROUND(SUM(I2271:P2271),3)</f>
        <v>46.258</v>
      </c>
      <c r="H2271" s="5" t="str">
        <f aca="false">IF(G2271&gt;=評分方法!$C$16,"優先評估",IF(G2271&gt;=評分方法!$C$17,"列入候選",IF(G2271&gt;=評分方法!$C$18,"特定情境","不建議")))</f>
        <v>不建議</v>
      </c>
      <c r="I2271" s="15" t="n">
        <f aca="false">AE2271*評分方法!$C$5</f>
        <v>5.4</v>
      </c>
      <c r="J2271" s="15" t="n">
        <f aca="false">AF2271*評分方法!$C$6</f>
        <v>0</v>
      </c>
      <c r="K2271" s="15" t="n">
        <f aca="false">AG2271*評分方法!$C$7</f>
        <v>4.95</v>
      </c>
      <c r="L2271" s="15" t="n">
        <f aca="false">AH2271*評分方法!$C$8</f>
        <v>15</v>
      </c>
      <c r="M2271" s="15" t="n">
        <f aca="false">AI2271*評分方法!$C$9</f>
        <v>10</v>
      </c>
      <c r="N2271" s="15" t="n">
        <f aca="false">AJ2271*評分方法!$C$10</f>
        <v>8.408</v>
      </c>
      <c r="O2271" s="15" t="n">
        <f aca="false">AK2271*評分方法!$C$11</f>
        <v>2.5</v>
      </c>
      <c r="P2271" s="15" t="n">
        <f aca="false">AL2271*評分方法!$C$12</f>
        <v>0</v>
      </c>
      <c r="Q2271" s="6" t="n">
        <v>2072707</v>
      </c>
      <c r="R2271" s="6" t="n">
        <v>315470495</v>
      </c>
      <c r="S2271" s="11" t="s">
        <v>238</v>
      </c>
      <c r="T2271" s="11" t="s">
        <v>239</v>
      </c>
      <c r="U2271" s="5" t="s">
        <v>240</v>
      </c>
      <c r="V2271" s="11" t="s">
        <v>324</v>
      </c>
      <c r="W2271" s="5" t="s">
        <v>334</v>
      </c>
      <c r="X2271" s="5" t="s">
        <v>242</v>
      </c>
      <c r="Y2271" s="5"/>
      <c r="Z2271" s="5"/>
      <c r="AA2271" s="11" t="s">
        <v>175</v>
      </c>
      <c r="AB2271" s="5" t="s">
        <v>245</v>
      </c>
      <c r="AC2271" s="5" t="s">
        <v>1463</v>
      </c>
      <c r="AD2271" s="11" t="s">
        <v>5574</v>
      </c>
      <c r="AE2271" s="23" t="n">
        <v>0.18</v>
      </c>
      <c r="AF2271" s="23" t="n">
        <v>0</v>
      </c>
      <c r="AG2271" s="23" t="n">
        <v>0.33</v>
      </c>
      <c r="AH2271" s="23" t="n">
        <v>1</v>
      </c>
      <c r="AI2271" s="23" t="n">
        <v>1</v>
      </c>
      <c r="AJ2271" s="23" t="n">
        <v>0.8408</v>
      </c>
      <c r="AK2271" s="23" t="n">
        <v>0.5</v>
      </c>
      <c r="AL2271" s="23" t="n">
        <v>0</v>
      </c>
      <c r="AM2271" s="16" t="n">
        <f aca="false">COUNTIFS($D$2:$D$2501,D2271,$G$2:$G$2501,"&gt;"&amp;G2271)+COUNTIFS($D$2:D2271,D2271,$G$2:G2271,G2271)</f>
        <v>92</v>
      </c>
      <c r="AN2271" s="5" t="str">
        <f aca="false">D2271&amp;"|"&amp;AM2271</f>
        <v>語音分析|92</v>
      </c>
    </row>
    <row r="2272" customFormat="false" ht="17.15" hidden="false" customHeight="false" outlineLevel="0" collapsed="false">
      <c r="A2272" s="16" t="n">
        <f aca="false">RANK(G2272,$G$2:$G$2501)+COUNTIF($G$2:G2272,G2272)-1</f>
        <v>2271</v>
      </c>
      <c r="B2272" s="11" t="s">
        <v>5575</v>
      </c>
      <c r="C2272" s="11" t="s">
        <v>4252</v>
      </c>
      <c r="D2272" s="5" t="s">
        <v>74</v>
      </c>
      <c r="E2272" s="5" t="s">
        <v>75</v>
      </c>
      <c r="F2272" s="5"/>
      <c r="G2272" s="22" t="n">
        <f aca="false">ROUND(SUM(I2272:P2272),3)</f>
        <v>46.186</v>
      </c>
      <c r="H2272" s="5" t="str">
        <f aca="false">IF(G2272&gt;=評分方法!$C$16,"優先評估",IF(G2272&gt;=評分方法!$C$17,"列入候選",IF(G2272&gt;=評分方法!$C$18,"特定情境","不建議")))</f>
        <v>不建議</v>
      </c>
      <c r="I2272" s="15" t="n">
        <f aca="false">AE2272*評分方法!$C$5</f>
        <v>10.5</v>
      </c>
      <c r="J2272" s="15" t="n">
        <f aca="false">AF2272*評分方法!$C$6</f>
        <v>0</v>
      </c>
      <c r="K2272" s="15" t="n">
        <f aca="false">AG2272*評分方法!$C$7</f>
        <v>4.95</v>
      </c>
      <c r="L2272" s="15" t="n">
        <f aca="false">AH2272*評分方法!$C$8</f>
        <v>15</v>
      </c>
      <c r="M2272" s="15" t="n">
        <f aca="false">AI2272*評分方法!$C$9</f>
        <v>6</v>
      </c>
      <c r="N2272" s="15" t="n">
        <f aca="false">AJ2272*評分方法!$C$10</f>
        <v>5.736</v>
      </c>
      <c r="O2272" s="15" t="n">
        <f aca="false">AK2272*評分方法!$C$11</f>
        <v>4</v>
      </c>
      <c r="P2272" s="15" t="n">
        <f aca="false">AL2272*評分方法!$C$12</f>
        <v>0</v>
      </c>
      <c r="Q2272" s="6" t="n">
        <v>591211</v>
      </c>
      <c r="R2272" s="6" t="n">
        <v>303351808</v>
      </c>
      <c r="S2272" s="11" t="s">
        <v>238</v>
      </c>
      <c r="T2272" s="11" t="s">
        <v>185</v>
      </c>
      <c r="U2272" s="5" t="s">
        <v>260</v>
      </c>
      <c r="V2272" s="11" t="s">
        <v>261</v>
      </c>
      <c r="W2272" s="5" t="s">
        <v>334</v>
      </c>
      <c r="X2272" s="5" t="s">
        <v>242</v>
      </c>
      <c r="Y2272" s="5"/>
      <c r="Z2272" s="5"/>
      <c r="AA2272" s="11" t="s">
        <v>173</v>
      </c>
      <c r="AB2272" s="5" t="s">
        <v>245</v>
      </c>
      <c r="AC2272" s="5" t="s">
        <v>262</v>
      </c>
      <c r="AD2272" s="11" t="s">
        <v>5576</v>
      </c>
      <c r="AE2272" s="23" t="n">
        <v>0.35</v>
      </c>
      <c r="AF2272" s="23" t="n">
        <v>0</v>
      </c>
      <c r="AG2272" s="23" t="n">
        <v>0.33</v>
      </c>
      <c r="AH2272" s="23" t="n">
        <v>1</v>
      </c>
      <c r="AI2272" s="23" t="n">
        <v>0.6</v>
      </c>
      <c r="AJ2272" s="23" t="n">
        <v>0.5736</v>
      </c>
      <c r="AK2272" s="23" t="n">
        <v>0.8</v>
      </c>
      <c r="AL2272" s="23" t="n">
        <v>0</v>
      </c>
      <c r="AM2272" s="16" t="n">
        <f aca="false">COUNTIFS($D$2:$D$2501,D2272,$G$2:$G$2501,"&gt;"&amp;G2272)+COUNTIFS($D$2:D2272,D2272,$G$2:G2272,G2272)</f>
        <v>308</v>
      </c>
      <c r="AN2272" s="5" t="str">
        <f aca="false">D2272&amp;"|"&amp;AM2272</f>
        <v>文件與影像辨識|308</v>
      </c>
    </row>
    <row r="2273" customFormat="false" ht="17.15" hidden="false" customHeight="false" outlineLevel="0" collapsed="false">
      <c r="A2273" s="16" t="n">
        <f aca="false">RANK(G2273,$G$2:$G$2501)+COUNTIF($G$2:G2273,G2273)-1</f>
        <v>2272</v>
      </c>
      <c r="B2273" s="11" t="s">
        <v>5577</v>
      </c>
      <c r="C2273" s="11" t="s">
        <v>5578</v>
      </c>
      <c r="D2273" s="5" t="s">
        <v>78</v>
      </c>
      <c r="E2273" s="5" t="s">
        <v>79</v>
      </c>
      <c r="F2273" s="5"/>
      <c r="G2273" s="22" t="n">
        <f aca="false">ROUND(SUM(I2273:P2273),3)</f>
        <v>46.178</v>
      </c>
      <c r="H2273" s="5" t="str">
        <f aca="false">IF(G2273&gt;=評分方法!$C$16,"優先評估",IF(G2273&gt;=評分方法!$C$17,"列入候選",IF(G2273&gt;=評分方法!$C$18,"特定情境","不建議")))</f>
        <v>不建議</v>
      </c>
      <c r="I2273" s="15" t="n">
        <f aca="false">AE2273*評分方法!$C$5</f>
        <v>5.4</v>
      </c>
      <c r="J2273" s="15" t="n">
        <f aca="false">AF2273*評分方法!$C$6</f>
        <v>0</v>
      </c>
      <c r="K2273" s="15" t="n">
        <f aca="false">AG2273*評分方法!$C$7</f>
        <v>4.95</v>
      </c>
      <c r="L2273" s="15" t="n">
        <f aca="false">AH2273*評分方法!$C$8</f>
        <v>15</v>
      </c>
      <c r="M2273" s="15" t="n">
        <f aca="false">AI2273*評分方法!$C$9</f>
        <v>10</v>
      </c>
      <c r="N2273" s="15" t="n">
        <f aca="false">AJ2273*評分方法!$C$10</f>
        <v>8.328</v>
      </c>
      <c r="O2273" s="15" t="n">
        <f aca="false">AK2273*評分方法!$C$11</f>
        <v>2.5</v>
      </c>
      <c r="P2273" s="15" t="n">
        <f aca="false">AL2273*評分方法!$C$12</f>
        <v>0</v>
      </c>
      <c r="Q2273" s="6" t="n">
        <v>1952225</v>
      </c>
      <c r="R2273" s="6" t="n">
        <v>315508420</v>
      </c>
      <c r="S2273" s="11" t="s">
        <v>238</v>
      </c>
      <c r="T2273" s="11" t="s">
        <v>239</v>
      </c>
      <c r="U2273" s="5" t="s">
        <v>240</v>
      </c>
      <c r="V2273" s="11" t="s">
        <v>324</v>
      </c>
      <c r="W2273" s="5" t="s">
        <v>334</v>
      </c>
      <c r="X2273" s="5" t="s">
        <v>242</v>
      </c>
      <c r="Y2273" s="11" t="s">
        <v>5579</v>
      </c>
      <c r="Z2273" s="11" t="s">
        <v>270</v>
      </c>
      <c r="AA2273" s="11" t="s">
        <v>175</v>
      </c>
      <c r="AB2273" s="5" t="s">
        <v>245</v>
      </c>
      <c r="AC2273" s="5" t="s">
        <v>1463</v>
      </c>
      <c r="AD2273" s="11" t="s">
        <v>5580</v>
      </c>
      <c r="AE2273" s="23" t="n">
        <v>0.18</v>
      </c>
      <c r="AF2273" s="23" t="n">
        <v>0</v>
      </c>
      <c r="AG2273" s="23" t="n">
        <v>0.33</v>
      </c>
      <c r="AH2273" s="23" t="n">
        <v>1</v>
      </c>
      <c r="AI2273" s="23" t="n">
        <v>1</v>
      </c>
      <c r="AJ2273" s="23" t="n">
        <v>0.8328</v>
      </c>
      <c r="AK2273" s="23" t="n">
        <v>0.5</v>
      </c>
      <c r="AL2273" s="23" t="n">
        <v>0</v>
      </c>
      <c r="AM2273" s="16" t="n">
        <f aca="false">COUNTIFS($D$2:$D$2501,D2273,$G$2:$G$2501,"&gt;"&amp;G2273)+COUNTIFS($D$2:D2273,D2273,$G$2:G2273,G2273)</f>
        <v>93</v>
      </c>
      <c r="AN2273" s="5" t="str">
        <f aca="false">D2273&amp;"|"&amp;AM2273</f>
        <v>語音分析|93</v>
      </c>
    </row>
    <row r="2274" customFormat="false" ht="17.15" hidden="false" customHeight="false" outlineLevel="0" collapsed="false">
      <c r="A2274" s="16" t="n">
        <f aca="false">RANK(G2274,$G$2:$G$2501)+COUNTIF($G$2:G2274,G2274)-1</f>
        <v>2273</v>
      </c>
      <c r="B2274" s="11" t="s">
        <v>5581</v>
      </c>
      <c r="C2274" s="11" t="s">
        <v>5582</v>
      </c>
      <c r="D2274" s="5" t="s">
        <v>80</v>
      </c>
      <c r="E2274" s="5" t="s">
        <v>81</v>
      </c>
      <c r="F2274" s="5"/>
      <c r="G2274" s="22" t="n">
        <f aca="false">ROUND(SUM(I2274:P2274),3)</f>
        <v>46.126</v>
      </c>
      <c r="H2274" s="5" t="str">
        <f aca="false">IF(G2274&gt;=評分方法!$C$16,"優先評估",IF(G2274&gt;=評分方法!$C$17,"列入候選",IF(G2274&gt;=評分方法!$C$18,"特定情境","不建議")))</f>
        <v>不建議</v>
      </c>
      <c r="I2274" s="15" t="n">
        <f aca="false">AE2274*評分方法!$C$5</f>
        <v>6</v>
      </c>
      <c r="J2274" s="15" t="n">
        <f aca="false">AF2274*評分方法!$C$6</f>
        <v>0</v>
      </c>
      <c r="K2274" s="15" t="n">
        <f aca="false">AG2274*評分方法!$C$7</f>
        <v>4.95</v>
      </c>
      <c r="L2274" s="15" t="n">
        <f aca="false">AH2274*評分方法!$C$8</f>
        <v>15</v>
      </c>
      <c r="M2274" s="15" t="n">
        <f aca="false">AI2274*評分方法!$C$9</f>
        <v>10</v>
      </c>
      <c r="N2274" s="15" t="n">
        <f aca="false">AJ2274*評分方法!$C$10</f>
        <v>3.676</v>
      </c>
      <c r="O2274" s="15" t="n">
        <f aca="false">AK2274*評分方法!$C$11</f>
        <v>5</v>
      </c>
      <c r="P2274" s="15" t="n">
        <f aca="false">AL2274*評分方法!$C$12</f>
        <v>1.5</v>
      </c>
      <c r="Q2274" s="6" t="n">
        <v>373689</v>
      </c>
      <c r="R2274" s="6" t="n">
        <v>42861209</v>
      </c>
      <c r="S2274" s="11" t="s">
        <v>238</v>
      </c>
      <c r="T2274" s="11" t="s">
        <v>239</v>
      </c>
      <c r="U2274" s="5" t="s">
        <v>240</v>
      </c>
      <c r="V2274" s="11" t="s">
        <v>241</v>
      </c>
      <c r="W2274" s="5" t="s">
        <v>334</v>
      </c>
      <c r="X2274" s="5" t="s">
        <v>255</v>
      </c>
      <c r="Y2274" s="5"/>
      <c r="Z2274" s="5"/>
      <c r="AA2274" s="5"/>
      <c r="AB2274" s="5" t="s">
        <v>255</v>
      </c>
      <c r="AC2274" s="5"/>
      <c r="AD2274" s="11" t="s">
        <v>5583</v>
      </c>
      <c r="AE2274" s="23" t="n">
        <v>0.2</v>
      </c>
      <c r="AF2274" s="23" t="n">
        <v>0</v>
      </c>
      <c r="AG2274" s="23" t="n">
        <v>0.33</v>
      </c>
      <c r="AH2274" s="23" t="n">
        <v>1</v>
      </c>
      <c r="AI2274" s="23" t="n">
        <v>1</v>
      </c>
      <c r="AJ2274" s="23" t="n">
        <v>0.3676</v>
      </c>
      <c r="AK2274" s="23" t="n">
        <v>1</v>
      </c>
      <c r="AL2274" s="23" t="n">
        <v>0.3</v>
      </c>
      <c r="AM2274" s="16" t="n">
        <f aca="false">COUNTIFS($D$2:$D$2501,D2274,$G$2:$G$2501,"&gt;"&amp;G2274)+COUNTIFS($D$2:D2274,D2274,$G$2:G2274,G2274)</f>
        <v>32</v>
      </c>
      <c r="AN2274" s="5" t="str">
        <f aca="false">D2274&amp;"|"&amp;AM2274</f>
        <v>其他|32</v>
      </c>
    </row>
    <row r="2275" customFormat="false" ht="17.15" hidden="false" customHeight="false" outlineLevel="0" collapsed="false">
      <c r="A2275" s="16" t="n">
        <f aca="false">RANK(G2275,$G$2:$G$2501)+COUNTIF($G$2:G2275,G2275)-1</f>
        <v>2274</v>
      </c>
      <c r="B2275" s="11" t="s">
        <v>5584</v>
      </c>
      <c r="C2275" s="11" t="s">
        <v>4209</v>
      </c>
      <c r="D2275" s="5" t="s">
        <v>56</v>
      </c>
      <c r="E2275" s="5" t="s">
        <v>57</v>
      </c>
      <c r="F2275" s="5"/>
      <c r="G2275" s="22" t="n">
        <f aca="false">ROUND(SUM(I2275:P2275),3)</f>
        <v>46.104</v>
      </c>
      <c r="H2275" s="5" t="str">
        <f aca="false">IF(G2275&gt;=評分方法!$C$16,"優先評估",IF(G2275&gt;=評分方法!$C$17,"列入候選",IF(G2275&gt;=評分方法!$C$18,"特定情境","不建議")))</f>
        <v>不建議</v>
      </c>
      <c r="I2275" s="15" t="n">
        <f aca="false">AE2275*評分方法!$C$5</f>
        <v>25.5</v>
      </c>
      <c r="J2275" s="15" t="n">
        <f aca="false">AF2275*評分方法!$C$6</f>
        <v>0</v>
      </c>
      <c r="K2275" s="15" t="n">
        <f aca="false">AG2275*評分方法!$C$7</f>
        <v>4.95</v>
      </c>
      <c r="L2275" s="15" t="n">
        <f aca="false">AH2275*評分方法!$C$8</f>
        <v>4.95</v>
      </c>
      <c r="M2275" s="15" t="n">
        <f aca="false">AI2275*評分方法!$C$9</f>
        <v>2</v>
      </c>
      <c r="N2275" s="15" t="n">
        <f aca="false">AJ2275*評分方法!$C$10</f>
        <v>4.704</v>
      </c>
      <c r="O2275" s="15" t="n">
        <f aca="false">AK2275*評分方法!$C$11</f>
        <v>1</v>
      </c>
      <c r="P2275" s="15" t="n">
        <f aca="false">AL2275*評分方法!$C$12</f>
        <v>3</v>
      </c>
      <c r="Q2275" s="6" t="n">
        <v>514289</v>
      </c>
      <c r="R2275" s="6" t="n">
        <v>70553706496</v>
      </c>
      <c r="S2275" s="11" t="s">
        <v>1876</v>
      </c>
      <c r="T2275" s="5"/>
      <c r="U2275" s="5" t="s">
        <v>375</v>
      </c>
      <c r="V2275" s="11" t="s">
        <v>261</v>
      </c>
      <c r="W2275" s="5" t="s">
        <v>334</v>
      </c>
      <c r="X2275" s="5" t="s">
        <v>371</v>
      </c>
      <c r="Y2275" s="5"/>
      <c r="Z2275" s="5"/>
      <c r="AA2275" s="11" t="s">
        <v>155</v>
      </c>
      <c r="AB2275" s="5" t="s">
        <v>245</v>
      </c>
      <c r="AC2275" s="5" t="s">
        <v>262</v>
      </c>
      <c r="AD2275" s="11" t="s">
        <v>5585</v>
      </c>
      <c r="AE2275" s="23" t="n">
        <v>0.85</v>
      </c>
      <c r="AF2275" s="23" t="n">
        <v>0</v>
      </c>
      <c r="AG2275" s="23" t="n">
        <v>0.33</v>
      </c>
      <c r="AH2275" s="23" t="n">
        <v>0.33</v>
      </c>
      <c r="AI2275" s="23" t="n">
        <v>0.2</v>
      </c>
      <c r="AJ2275" s="23" t="n">
        <v>0.4704</v>
      </c>
      <c r="AK2275" s="23" t="n">
        <v>0.2</v>
      </c>
      <c r="AL2275" s="23" t="n">
        <v>0.6</v>
      </c>
      <c r="AM2275" s="16" t="n">
        <f aca="false">COUNTIFS($D$2:$D$2501,D2275,$G$2:$G$2501,"&gt;"&amp;G2275)+COUNTIFS($D$2:D2275,D2275,$G$2:G2275,G2275)</f>
        <v>968</v>
      </c>
      <c r="AN2275" s="5" t="str">
        <f aca="false">D2275&amp;"|"&amp;AM2275</f>
        <v>分析與報告生成|968</v>
      </c>
    </row>
    <row r="2276" customFormat="false" ht="17.15" hidden="false" customHeight="false" outlineLevel="0" collapsed="false">
      <c r="A2276" s="16" t="n">
        <f aca="false">RANK(G2276,$G$2:$G$2501)+COUNTIF($G$2:G2276,G2276)-1</f>
        <v>2275</v>
      </c>
      <c r="B2276" s="11" t="s">
        <v>5586</v>
      </c>
      <c r="C2276" s="11" t="s">
        <v>5587</v>
      </c>
      <c r="D2276" s="5" t="s">
        <v>72</v>
      </c>
      <c r="E2276" s="5" t="s">
        <v>73</v>
      </c>
      <c r="F2276" s="5"/>
      <c r="G2276" s="22" t="n">
        <f aca="false">ROUND(SUM(I2276:P2276),3)</f>
        <v>46.102</v>
      </c>
      <c r="H2276" s="5" t="str">
        <f aca="false">IF(G2276&gt;=評分方法!$C$16,"優先評估",IF(G2276&gt;=評分方法!$C$17,"列入候選",IF(G2276&gt;=評分方法!$C$18,"特定情境","不建議")))</f>
        <v>不建議</v>
      </c>
      <c r="I2276" s="15" t="n">
        <f aca="false">AE2276*評分方法!$C$5</f>
        <v>9</v>
      </c>
      <c r="J2276" s="15" t="n">
        <f aca="false">AF2276*評分方法!$C$6</f>
        <v>0</v>
      </c>
      <c r="K2276" s="15" t="n">
        <f aca="false">AG2276*評分方法!$C$7</f>
        <v>4.95</v>
      </c>
      <c r="L2276" s="15" t="n">
        <f aca="false">AH2276*評分方法!$C$8</f>
        <v>15</v>
      </c>
      <c r="M2276" s="15" t="n">
        <f aca="false">AI2276*評分方法!$C$9</f>
        <v>8</v>
      </c>
      <c r="N2276" s="15" t="n">
        <f aca="false">AJ2276*評分方法!$C$10</f>
        <v>8.152</v>
      </c>
      <c r="O2276" s="15" t="n">
        <f aca="false">AK2276*評分方法!$C$11</f>
        <v>1</v>
      </c>
      <c r="P2276" s="15" t="n">
        <f aca="false">AL2276*評分方法!$C$12</f>
        <v>0</v>
      </c>
      <c r="Q2276" s="6" t="n">
        <v>1760092</v>
      </c>
      <c r="R2276" s="6" t="n">
        <v>329601020</v>
      </c>
      <c r="S2276" s="11" t="s">
        <v>238</v>
      </c>
      <c r="T2276" s="11" t="s">
        <v>1821</v>
      </c>
      <c r="U2276" s="5" t="s">
        <v>1822</v>
      </c>
      <c r="V2276" s="11" t="s">
        <v>324</v>
      </c>
      <c r="W2276" s="5" t="s">
        <v>334</v>
      </c>
      <c r="X2276" s="5" t="s">
        <v>242</v>
      </c>
      <c r="Y2276" s="5"/>
      <c r="Z2276" s="5"/>
      <c r="AA2276" s="11" t="s">
        <v>162</v>
      </c>
      <c r="AB2276" s="5" t="s">
        <v>245</v>
      </c>
      <c r="AC2276" s="5" t="s">
        <v>1463</v>
      </c>
      <c r="AD2276" s="11" t="s">
        <v>5588</v>
      </c>
      <c r="AE2276" s="23" t="n">
        <v>0.3</v>
      </c>
      <c r="AF2276" s="23" t="n">
        <v>0</v>
      </c>
      <c r="AG2276" s="23" t="n">
        <v>0.33</v>
      </c>
      <c r="AH2276" s="23" t="n">
        <v>1</v>
      </c>
      <c r="AI2276" s="23" t="n">
        <v>0.8</v>
      </c>
      <c r="AJ2276" s="23" t="n">
        <v>0.8152</v>
      </c>
      <c r="AK2276" s="23" t="n">
        <v>0.2</v>
      </c>
      <c r="AL2276" s="23" t="n">
        <v>0</v>
      </c>
      <c r="AM2276" s="16" t="n">
        <f aca="false">COUNTIFS($D$2:$D$2501,D2276,$G$2:$G$2501,"&gt;"&amp;G2276)+COUNTIFS($D$2:D2276,D2276,$G$2:G2276,G2276)</f>
        <v>54</v>
      </c>
      <c r="AN2276" s="5" t="str">
        <f aca="false">D2276&amp;"|"&amp;AM2276</f>
        <v>微調基底模型|54</v>
      </c>
    </row>
    <row r="2277" customFormat="false" ht="17.15" hidden="false" customHeight="false" outlineLevel="0" collapsed="false">
      <c r="A2277" s="16" t="n">
        <f aca="false">RANK(G2277,$G$2:$G$2501)+COUNTIF($G$2:G2277,G2277)-1</f>
        <v>2276</v>
      </c>
      <c r="B2277" s="11" t="s">
        <v>5589</v>
      </c>
      <c r="C2277" s="11" t="s">
        <v>5590</v>
      </c>
      <c r="D2277" s="5" t="s">
        <v>54</v>
      </c>
      <c r="E2277" s="5" t="s">
        <v>55</v>
      </c>
      <c r="F2277" s="5"/>
      <c r="G2277" s="22" t="n">
        <f aca="false">ROUND(SUM(I2277:P2277),3)</f>
        <v>46.07</v>
      </c>
      <c r="H2277" s="5" t="str">
        <f aca="false">IF(G2277&gt;=評分方法!$C$16,"優先評估",IF(G2277&gt;=評分方法!$C$17,"列入候選",IF(G2277&gt;=評分方法!$C$18,"特定情境","不建議")))</f>
        <v>不建議</v>
      </c>
      <c r="I2277" s="15" t="n">
        <f aca="false">AE2277*評分方法!$C$5</f>
        <v>16.2</v>
      </c>
      <c r="J2277" s="15" t="n">
        <f aca="false">AF2277*評分方法!$C$6</f>
        <v>0</v>
      </c>
      <c r="K2277" s="15" t="n">
        <f aca="false">AG2277*評分方法!$C$7</f>
        <v>4.95</v>
      </c>
      <c r="L2277" s="15" t="n">
        <f aca="false">AH2277*評分方法!$C$8</f>
        <v>15</v>
      </c>
      <c r="M2277" s="15" t="n">
        <f aca="false">AI2277*評分方法!$C$9</f>
        <v>2</v>
      </c>
      <c r="N2277" s="15" t="n">
        <f aca="false">AJ2277*評分方法!$C$10</f>
        <v>6.92</v>
      </c>
      <c r="O2277" s="15" t="n">
        <f aca="false">AK2277*評分方法!$C$11</f>
        <v>1</v>
      </c>
      <c r="P2277" s="15" t="n">
        <f aca="false">AL2277*評分方法!$C$12</f>
        <v>0</v>
      </c>
      <c r="Q2277" s="6" t="n">
        <v>880209</v>
      </c>
      <c r="R2277" s="6" t="n">
        <v>335736320</v>
      </c>
      <c r="S2277" s="11" t="s">
        <v>238</v>
      </c>
      <c r="T2277" s="5"/>
      <c r="U2277" s="5" t="s">
        <v>375</v>
      </c>
      <c r="V2277" s="11" t="s">
        <v>324</v>
      </c>
      <c r="W2277" s="5" t="s">
        <v>334</v>
      </c>
      <c r="X2277" s="5" t="s">
        <v>242</v>
      </c>
      <c r="Y2277" s="5"/>
      <c r="Z2277" s="5"/>
      <c r="AA2277" s="11" t="s">
        <v>152</v>
      </c>
      <c r="AB2277" s="5" t="s">
        <v>245</v>
      </c>
      <c r="AC2277" s="5" t="s">
        <v>4841</v>
      </c>
      <c r="AD2277" s="11" t="s">
        <v>5591</v>
      </c>
      <c r="AE2277" s="23" t="n">
        <v>0.54</v>
      </c>
      <c r="AF2277" s="23" t="n">
        <v>0</v>
      </c>
      <c r="AG2277" s="23" t="n">
        <v>0.33</v>
      </c>
      <c r="AH2277" s="23" t="n">
        <v>1</v>
      </c>
      <c r="AI2277" s="23" t="n">
        <v>0.2</v>
      </c>
      <c r="AJ2277" s="23" t="n">
        <v>0.692</v>
      </c>
      <c r="AK2277" s="23" t="n">
        <v>0.2</v>
      </c>
      <c r="AL2277" s="23" t="n">
        <v>0</v>
      </c>
      <c r="AM2277" s="16" t="n">
        <f aca="false">COUNTIFS($D$2:$D$2501,D2277,$G$2:$G$2501,"&gt;"&amp;G2277)+COUNTIFS($D$2:D2277,D2277,$G$2:G2277,G2277)</f>
        <v>267</v>
      </c>
      <c r="AN2277" s="5" t="str">
        <f aca="false">D2277&amp;"|"&amp;AM2277</f>
        <v>檢索與情資關聯|267</v>
      </c>
    </row>
    <row r="2278" customFormat="false" ht="17.15" hidden="false" customHeight="false" outlineLevel="0" collapsed="false">
      <c r="A2278" s="16" t="n">
        <f aca="false">RANK(G2278,$G$2:$G$2501)+COUNTIF($G$2:G2278,G2278)-1</f>
        <v>2277</v>
      </c>
      <c r="B2278" s="11" t="s">
        <v>5592</v>
      </c>
      <c r="C2278" s="11" t="s">
        <v>1158</v>
      </c>
      <c r="D2278" s="5" t="s">
        <v>66</v>
      </c>
      <c r="E2278" s="5" t="s">
        <v>67</v>
      </c>
      <c r="F2278" s="5"/>
      <c r="G2278" s="22" t="n">
        <f aca="false">ROUND(SUM(I2278:P2278),3)</f>
        <v>46.006</v>
      </c>
      <c r="H2278" s="5" t="str">
        <f aca="false">IF(G2278&gt;=評分方法!$C$16,"優先評估",IF(G2278&gt;=評分方法!$C$17,"列入候選",IF(G2278&gt;=評分方法!$C$18,"特定情境","不建議")))</f>
        <v>不建議</v>
      </c>
      <c r="I2278" s="15" t="n">
        <f aca="false">AE2278*評分方法!$C$5</f>
        <v>10.8</v>
      </c>
      <c r="J2278" s="15" t="n">
        <f aca="false">AF2278*評分方法!$C$6</f>
        <v>0</v>
      </c>
      <c r="K2278" s="15" t="n">
        <f aca="false">AG2278*評分方法!$C$7</f>
        <v>4.95</v>
      </c>
      <c r="L2278" s="15" t="n">
        <f aca="false">AH2278*評分方法!$C$8</f>
        <v>15</v>
      </c>
      <c r="M2278" s="15" t="n">
        <f aca="false">AI2278*評分方法!$C$9</f>
        <v>10</v>
      </c>
      <c r="N2278" s="15" t="n">
        <f aca="false">AJ2278*評分方法!$C$10</f>
        <v>2.756</v>
      </c>
      <c r="O2278" s="15" t="n">
        <f aca="false">AK2278*評分方法!$C$11</f>
        <v>2.5</v>
      </c>
      <c r="P2278" s="15" t="n">
        <f aca="false">AL2278*評分方法!$C$12</f>
        <v>0</v>
      </c>
      <c r="Q2278" s="6" t="n">
        <v>270085</v>
      </c>
      <c r="R2278" s="6" t="n">
        <v>407344131</v>
      </c>
      <c r="S2278" s="11" t="s">
        <v>238</v>
      </c>
      <c r="T2278" s="11" t="s">
        <v>239</v>
      </c>
      <c r="U2278" s="5" t="s">
        <v>240</v>
      </c>
      <c r="V2278" s="11" t="s">
        <v>813</v>
      </c>
      <c r="W2278" s="5" t="s">
        <v>334</v>
      </c>
      <c r="X2278" s="5" t="s">
        <v>242</v>
      </c>
      <c r="Y2278" s="11" t="s">
        <v>3043</v>
      </c>
      <c r="Z2278" s="11" t="s">
        <v>270</v>
      </c>
      <c r="AA2278" s="11" t="s">
        <v>151</v>
      </c>
      <c r="AB2278" s="5" t="s">
        <v>245</v>
      </c>
      <c r="AC2278" s="5" t="s">
        <v>3044</v>
      </c>
      <c r="AD2278" s="11" t="s">
        <v>5593</v>
      </c>
      <c r="AE2278" s="23" t="n">
        <v>0.36</v>
      </c>
      <c r="AF2278" s="23" t="n">
        <v>0</v>
      </c>
      <c r="AG2278" s="23" t="n">
        <v>0.33</v>
      </c>
      <c r="AH2278" s="23" t="n">
        <v>1</v>
      </c>
      <c r="AI2278" s="23" t="n">
        <v>1</v>
      </c>
      <c r="AJ2278" s="23" t="n">
        <v>0.2756</v>
      </c>
      <c r="AK2278" s="23" t="n">
        <v>0.5</v>
      </c>
      <c r="AL2278" s="23" t="n">
        <v>0</v>
      </c>
      <c r="AM2278" s="16" t="n">
        <f aca="false">COUNTIFS($D$2:$D$2501,D2278,$G$2:$G$2501,"&gt;"&amp;G2278)+COUNTIFS($D$2:D2278,D2278,$G$2:G2278,G2278)</f>
        <v>71</v>
      </c>
      <c r="AN2278" s="5" t="str">
        <f aca="false">D2278&amp;"|"&amp;AM2278</f>
        <v>分類與偵測|71</v>
      </c>
    </row>
    <row r="2279" customFormat="false" ht="17.15" hidden="false" customHeight="false" outlineLevel="0" collapsed="false">
      <c r="A2279" s="16" t="n">
        <f aca="false">RANK(G2279,$G$2:$G$2501)+COUNTIF($G$2:G2279,G2279)-1</f>
        <v>2278</v>
      </c>
      <c r="B2279" s="11" t="s">
        <v>5594</v>
      </c>
      <c r="C2279" s="11" t="s">
        <v>5595</v>
      </c>
      <c r="D2279" s="5" t="s">
        <v>78</v>
      </c>
      <c r="E2279" s="5" t="s">
        <v>79</v>
      </c>
      <c r="F2279" s="5"/>
      <c r="G2279" s="22" t="n">
        <f aca="false">ROUND(SUM(I2279:P2279),3)</f>
        <v>45.886</v>
      </c>
      <c r="H2279" s="5" t="str">
        <f aca="false">IF(G2279&gt;=評分方法!$C$16,"優先評估",IF(G2279&gt;=評分方法!$C$17,"列入候選",IF(G2279&gt;=評分方法!$C$18,"特定情境","不建議")))</f>
        <v>不建議</v>
      </c>
      <c r="I2279" s="15" t="n">
        <f aca="false">AE2279*評分方法!$C$5</f>
        <v>5.4</v>
      </c>
      <c r="J2279" s="15" t="n">
        <f aca="false">AF2279*評分方法!$C$6</f>
        <v>0</v>
      </c>
      <c r="K2279" s="15" t="n">
        <f aca="false">AG2279*評分方法!$C$7</f>
        <v>4.95</v>
      </c>
      <c r="L2279" s="15" t="n">
        <f aca="false">AH2279*評分方法!$C$8</f>
        <v>15</v>
      </c>
      <c r="M2279" s="15" t="n">
        <f aca="false">AI2279*評分方法!$C$9</f>
        <v>10</v>
      </c>
      <c r="N2279" s="15" t="n">
        <f aca="false">AJ2279*評分方法!$C$10</f>
        <v>9.536</v>
      </c>
      <c r="O2279" s="15" t="n">
        <f aca="false">AK2279*評分方法!$C$11</f>
        <v>1</v>
      </c>
      <c r="P2279" s="15" t="n">
        <f aca="false">AL2279*評分方法!$C$12</f>
        <v>0</v>
      </c>
      <c r="Q2279" s="6" t="n">
        <v>9285049</v>
      </c>
      <c r="R2279" s="6" t="n">
        <v>315475620</v>
      </c>
      <c r="S2279" s="11" t="s">
        <v>238</v>
      </c>
      <c r="T2279" s="11" t="s">
        <v>239</v>
      </c>
      <c r="U2279" s="5" t="s">
        <v>240</v>
      </c>
      <c r="V2279" s="11" t="s">
        <v>324</v>
      </c>
      <c r="W2279" s="5" t="s">
        <v>334</v>
      </c>
      <c r="X2279" s="5" t="s">
        <v>242</v>
      </c>
      <c r="Y2279" s="11" t="s">
        <v>4916</v>
      </c>
      <c r="Z2279" s="11" t="s">
        <v>270</v>
      </c>
      <c r="AA2279" s="11" t="s">
        <v>175</v>
      </c>
      <c r="AB2279" s="5" t="s">
        <v>245</v>
      </c>
      <c r="AC2279" s="5" t="s">
        <v>1463</v>
      </c>
      <c r="AD2279" s="11" t="s">
        <v>5596</v>
      </c>
      <c r="AE2279" s="23" t="n">
        <v>0.18</v>
      </c>
      <c r="AF2279" s="23" t="n">
        <v>0</v>
      </c>
      <c r="AG2279" s="23" t="n">
        <v>0.33</v>
      </c>
      <c r="AH2279" s="23" t="n">
        <v>1</v>
      </c>
      <c r="AI2279" s="23" t="n">
        <v>1</v>
      </c>
      <c r="AJ2279" s="23" t="n">
        <v>0.9536</v>
      </c>
      <c r="AK2279" s="23" t="n">
        <v>0.2</v>
      </c>
      <c r="AL2279" s="23" t="n">
        <v>0</v>
      </c>
      <c r="AM2279" s="16" t="n">
        <f aca="false">COUNTIFS($D$2:$D$2501,D2279,$G$2:$G$2501,"&gt;"&amp;G2279)+COUNTIFS($D$2:D2279,D2279,$G$2:G2279,G2279)</f>
        <v>94</v>
      </c>
      <c r="AN2279" s="5" t="str">
        <f aca="false">D2279&amp;"|"&amp;AM2279</f>
        <v>語音分析|94</v>
      </c>
    </row>
    <row r="2280" customFormat="false" ht="17.15" hidden="false" customHeight="false" outlineLevel="0" collapsed="false">
      <c r="A2280" s="16" t="n">
        <f aca="false">RANK(G2280,$G$2:$G$2501)+COUNTIF($G$2:G2280,G2280)-1</f>
        <v>2279</v>
      </c>
      <c r="B2280" s="11" t="s">
        <v>5597</v>
      </c>
      <c r="C2280" s="11" t="s">
        <v>5598</v>
      </c>
      <c r="D2280" s="5" t="s">
        <v>78</v>
      </c>
      <c r="E2280" s="5" t="s">
        <v>79</v>
      </c>
      <c r="F2280" s="5"/>
      <c r="G2280" s="22" t="n">
        <f aca="false">ROUND(SUM(I2280:P2280),3)</f>
        <v>45.872</v>
      </c>
      <c r="H2280" s="5" t="str">
        <f aca="false">IF(G2280&gt;=評分方法!$C$16,"優先評估",IF(G2280&gt;=評分方法!$C$17,"列入候選",IF(G2280&gt;=評分方法!$C$18,"特定情境","不建議")))</f>
        <v>不建議</v>
      </c>
      <c r="I2280" s="15" t="n">
        <f aca="false">AE2280*評分方法!$C$5</f>
        <v>9</v>
      </c>
      <c r="J2280" s="15" t="n">
        <f aca="false">AF2280*評分方法!$C$6</f>
        <v>0</v>
      </c>
      <c r="K2280" s="15" t="n">
        <f aca="false">AG2280*評分方法!$C$7</f>
        <v>4.95</v>
      </c>
      <c r="L2280" s="15" t="n">
        <f aca="false">AH2280*評分方法!$C$8</f>
        <v>13.05</v>
      </c>
      <c r="M2280" s="15" t="n">
        <f aca="false">AI2280*評分方法!$C$9</f>
        <v>10</v>
      </c>
      <c r="N2280" s="15" t="n">
        <f aca="false">AJ2280*評分方法!$C$10</f>
        <v>3.372</v>
      </c>
      <c r="O2280" s="15" t="n">
        <f aca="false">AK2280*評分方法!$C$11</f>
        <v>4</v>
      </c>
      <c r="P2280" s="15" t="n">
        <f aca="false">AL2280*評分方法!$C$12</f>
        <v>1.5</v>
      </c>
      <c r="Q2280" s="6" t="n">
        <v>337589</v>
      </c>
      <c r="R2280" s="6" t="n">
        <v>8674021857</v>
      </c>
      <c r="S2280" s="11" t="s">
        <v>254</v>
      </c>
      <c r="T2280" s="11" t="s">
        <v>278</v>
      </c>
      <c r="U2280" s="5" t="s">
        <v>240</v>
      </c>
      <c r="V2280" s="11" t="s">
        <v>261</v>
      </c>
      <c r="W2280" s="5" t="s">
        <v>334</v>
      </c>
      <c r="X2280" s="5" t="s">
        <v>255</v>
      </c>
      <c r="Y2280" s="11" t="s">
        <v>2578</v>
      </c>
      <c r="Z2280" s="11" t="s">
        <v>244</v>
      </c>
      <c r="AA2280" s="11" t="s">
        <v>175</v>
      </c>
      <c r="AB2280" s="5" t="s">
        <v>496</v>
      </c>
      <c r="AC2280" s="5" t="s">
        <v>555</v>
      </c>
      <c r="AD2280" s="11" t="s">
        <v>5599</v>
      </c>
      <c r="AE2280" s="23" t="n">
        <v>0.3</v>
      </c>
      <c r="AF2280" s="23" t="n">
        <v>0</v>
      </c>
      <c r="AG2280" s="23" t="n">
        <v>0.33</v>
      </c>
      <c r="AH2280" s="23" t="n">
        <v>0.87</v>
      </c>
      <c r="AI2280" s="23" t="n">
        <v>1</v>
      </c>
      <c r="AJ2280" s="23" t="n">
        <v>0.3372</v>
      </c>
      <c r="AK2280" s="23" t="n">
        <v>0.8</v>
      </c>
      <c r="AL2280" s="23" t="n">
        <v>0.3</v>
      </c>
      <c r="AM2280" s="16" t="n">
        <f aca="false">COUNTIFS($D$2:$D$2501,D2280,$G$2:$G$2501,"&gt;"&amp;G2280)+COUNTIFS($D$2:D2280,D2280,$G$2:G2280,G2280)</f>
        <v>95</v>
      </c>
      <c r="AN2280" s="5" t="str">
        <f aca="false">D2280&amp;"|"&amp;AM2280</f>
        <v>語音分析|95</v>
      </c>
    </row>
    <row r="2281" customFormat="false" ht="17.15" hidden="false" customHeight="false" outlineLevel="0" collapsed="false">
      <c r="A2281" s="16" t="n">
        <f aca="false">RANK(G2281,$G$2:$G$2501)+COUNTIF($G$2:G2281,G2281)-1</f>
        <v>2280</v>
      </c>
      <c r="B2281" s="11" t="s">
        <v>5600</v>
      </c>
      <c r="C2281" s="11" t="s">
        <v>5601</v>
      </c>
      <c r="D2281" s="5" t="s">
        <v>78</v>
      </c>
      <c r="E2281" s="5" t="s">
        <v>79</v>
      </c>
      <c r="F2281" s="5"/>
      <c r="G2281" s="22" t="n">
        <f aca="false">ROUND(SUM(I2281:P2281),3)</f>
        <v>45.842</v>
      </c>
      <c r="H2281" s="5" t="str">
        <f aca="false">IF(G2281&gt;=評分方法!$C$16,"優先評估",IF(G2281&gt;=評分方法!$C$17,"列入候選",IF(G2281&gt;=評分方法!$C$18,"特定情境","不建議")))</f>
        <v>不建議</v>
      </c>
      <c r="I2281" s="15" t="n">
        <f aca="false">AE2281*評分方法!$C$5</f>
        <v>9</v>
      </c>
      <c r="J2281" s="15" t="n">
        <f aca="false">AF2281*評分方法!$C$6</f>
        <v>0</v>
      </c>
      <c r="K2281" s="15" t="n">
        <f aca="false">AG2281*評分方法!$C$7</f>
        <v>4.95</v>
      </c>
      <c r="L2281" s="15" t="n">
        <f aca="false">AH2281*評分方法!$C$8</f>
        <v>15</v>
      </c>
      <c r="M2281" s="15" t="n">
        <f aca="false">AI2281*評分方法!$C$9</f>
        <v>10</v>
      </c>
      <c r="N2281" s="15" t="n">
        <f aca="false">AJ2281*評分方法!$C$10</f>
        <v>4.392</v>
      </c>
      <c r="O2281" s="15" t="n">
        <f aca="false">AK2281*評分方法!$C$11</f>
        <v>2.5</v>
      </c>
      <c r="P2281" s="15" t="n">
        <f aca="false">AL2281*評分方法!$C$12</f>
        <v>0</v>
      </c>
      <c r="Q2281" s="6" t="n">
        <v>479804</v>
      </c>
      <c r="R2281" s="6" t="n">
        <v>27092736</v>
      </c>
      <c r="S2281" s="11" t="s">
        <v>238</v>
      </c>
      <c r="T2281" s="11" t="s">
        <v>278</v>
      </c>
      <c r="U2281" s="5" t="s">
        <v>240</v>
      </c>
      <c r="V2281" s="11" t="s">
        <v>261</v>
      </c>
      <c r="W2281" s="5" t="s">
        <v>334</v>
      </c>
      <c r="X2281" s="5" t="s">
        <v>242</v>
      </c>
      <c r="Y2281" s="5"/>
      <c r="Z2281" s="5"/>
      <c r="AA2281" s="11" t="s">
        <v>175</v>
      </c>
      <c r="AB2281" s="5" t="s">
        <v>245</v>
      </c>
      <c r="AC2281" s="5"/>
      <c r="AD2281" s="11" t="s">
        <v>5602</v>
      </c>
      <c r="AE2281" s="23" t="n">
        <v>0.3</v>
      </c>
      <c r="AF2281" s="23" t="n">
        <v>0</v>
      </c>
      <c r="AG2281" s="23" t="n">
        <v>0.33</v>
      </c>
      <c r="AH2281" s="23" t="n">
        <v>1</v>
      </c>
      <c r="AI2281" s="23" t="n">
        <v>1</v>
      </c>
      <c r="AJ2281" s="23" t="n">
        <v>0.4392</v>
      </c>
      <c r="AK2281" s="23" t="n">
        <v>0.5</v>
      </c>
      <c r="AL2281" s="23" t="n">
        <v>0</v>
      </c>
      <c r="AM2281" s="16" t="n">
        <f aca="false">COUNTIFS($D$2:$D$2501,D2281,$G$2:$G$2501,"&gt;"&amp;G2281)+COUNTIFS($D$2:D2281,D2281,$G$2:G2281,G2281)</f>
        <v>96</v>
      </c>
      <c r="AN2281" s="5" t="str">
        <f aca="false">D2281&amp;"|"&amp;AM2281</f>
        <v>語音分析|96</v>
      </c>
    </row>
    <row r="2282" customFormat="false" ht="17.15" hidden="false" customHeight="false" outlineLevel="0" collapsed="false">
      <c r="A2282" s="16" t="n">
        <f aca="false">RANK(G2282,$G$2:$G$2501)+COUNTIF($G$2:G2282,G2282)-1</f>
        <v>2281</v>
      </c>
      <c r="B2282" s="11" t="s">
        <v>5603</v>
      </c>
      <c r="C2282" s="11" t="s">
        <v>3829</v>
      </c>
      <c r="D2282" s="5" t="s">
        <v>56</v>
      </c>
      <c r="E2282" s="5" t="s">
        <v>57</v>
      </c>
      <c r="F2282" s="5"/>
      <c r="G2282" s="22" t="n">
        <f aca="false">ROUND(SUM(I2282:P2282),3)</f>
        <v>45.814</v>
      </c>
      <c r="H2282" s="5" t="str">
        <f aca="false">IF(G2282&gt;=評分方法!$C$16,"優先評估",IF(G2282&gt;=評分方法!$C$17,"列入候選",IF(G2282&gt;=評分方法!$C$18,"特定情境","不建議")))</f>
        <v>不建議</v>
      </c>
      <c r="I2282" s="15" t="n">
        <f aca="false">AE2282*評分方法!$C$5</f>
        <v>25.5</v>
      </c>
      <c r="J2282" s="15" t="n">
        <f aca="false">AF2282*評分方法!$C$6</f>
        <v>0</v>
      </c>
      <c r="K2282" s="15" t="n">
        <f aca="false">AG2282*評分方法!$C$7</f>
        <v>4.95</v>
      </c>
      <c r="L2282" s="15" t="n">
        <f aca="false">AH2282*評分方法!$C$8</f>
        <v>9</v>
      </c>
      <c r="M2282" s="15" t="n">
        <f aca="false">AI2282*評分方法!$C$9</f>
        <v>2</v>
      </c>
      <c r="N2282" s="15" t="n">
        <f aca="false">AJ2282*評分方法!$C$10</f>
        <v>0.364</v>
      </c>
      <c r="O2282" s="15" t="n">
        <f aca="false">AK2282*評分方法!$C$11</f>
        <v>1</v>
      </c>
      <c r="P2282" s="15" t="n">
        <f aca="false">AL2282*評分方法!$C$12</f>
        <v>3</v>
      </c>
      <c r="Q2282" s="6" t="n">
        <v>127078</v>
      </c>
      <c r="R2282" s="6" t="n">
        <v>13350844416</v>
      </c>
      <c r="S2282" s="11" t="s">
        <v>389</v>
      </c>
      <c r="T2282" s="5"/>
      <c r="U2282" s="5" t="s">
        <v>375</v>
      </c>
      <c r="V2282" s="11" t="s">
        <v>261</v>
      </c>
      <c r="W2282" s="5" t="s">
        <v>334</v>
      </c>
      <c r="X2282" s="5" t="s">
        <v>371</v>
      </c>
      <c r="Y2282" s="5"/>
      <c r="Z2282" s="5"/>
      <c r="AA2282" s="11" t="s">
        <v>156</v>
      </c>
      <c r="AB2282" s="5" t="s">
        <v>245</v>
      </c>
      <c r="AC2282" s="5" t="s">
        <v>262</v>
      </c>
      <c r="AD2282" s="11" t="s">
        <v>5604</v>
      </c>
      <c r="AE2282" s="23" t="n">
        <v>0.85</v>
      </c>
      <c r="AF2282" s="23" t="n">
        <v>0</v>
      </c>
      <c r="AG2282" s="23" t="n">
        <v>0.33</v>
      </c>
      <c r="AH2282" s="23" t="n">
        <v>0.6</v>
      </c>
      <c r="AI2282" s="23" t="n">
        <v>0.2</v>
      </c>
      <c r="AJ2282" s="23" t="n">
        <v>0.0364</v>
      </c>
      <c r="AK2282" s="23" t="n">
        <v>0.2</v>
      </c>
      <c r="AL2282" s="23" t="n">
        <v>0.6</v>
      </c>
      <c r="AM2282" s="16" t="n">
        <f aca="false">COUNTIFS($D$2:$D$2501,D2282,$G$2:$G$2501,"&gt;"&amp;G2282)+COUNTIFS($D$2:D2282,D2282,$G$2:G2282,G2282)</f>
        <v>969</v>
      </c>
      <c r="AN2282" s="5" t="str">
        <f aca="false">D2282&amp;"|"&amp;AM2282</f>
        <v>分析與報告生成|969</v>
      </c>
    </row>
    <row r="2283" customFormat="false" ht="17.15" hidden="false" customHeight="false" outlineLevel="0" collapsed="false">
      <c r="A2283" s="16" t="n">
        <f aca="false">RANK(G2283,$G$2:$G$2501)+COUNTIF($G$2:G2283,G2283)-1</f>
        <v>2282</v>
      </c>
      <c r="B2283" s="11" t="s">
        <v>5605</v>
      </c>
      <c r="C2283" s="11" t="s">
        <v>2693</v>
      </c>
      <c r="D2283" s="5" t="s">
        <v>80</v>
      </c>
      <c r="E2283" s="5" t="s">
        <v>81</v>
      </c>
      <c r="F2283" s="5"/>
      <c r="G2283" s="22" t="n">
        <f aca="false">ROUND(SUM(I2283:P2283),3)</f>
        <v>45.802</v>
      </c>
      <c r="H2283" s="5" t="str">
        <f aca="false">IF(G2283&gt;=評分方法!$C$16,"優先評估",IF(G2283&gt;=評分方法!$C$17,"列入候選",IF(G2283&gt;=評分方法!$C$18,"特定情境","不建議")))</f>
        <v>不建議</v>
      </c>
      <c r="I2283" s="15" t="n">
        <f aca="false">AE2283*評分方法!$C$5</f>
        <v>6</v>
      </c>
      <c r="J2283" s="15" t="n">
        <f aca="false">AF2283*評分方法!$C$6</f>
        <v>0</v>
      </c>
      <c r="K2283" s="15" t="n">
        <f aca="false">AG2283*評分方法!$C$7</f>
        <v>15</v>
      </c>
      <c r="L2283" s="15" t="n">
        <f aca="false">AH2283*評分方法!$C$8</f>
        <v>7.05</v>
      </c>
      <c r="M2283" s="15" t="n">
        <f aca="false">AI2283*評分方法!$C$9</f>
        <v>10</v>
      </c>
      <c r="N2283" s="15" t="n">
        <f aca="false">AJ2283*評分方法!$C$10</f>
        <v>3.752</v>
      </c>
      <c r="O2283" s="15" t="n">
        <f aca="false">AK2283*評分方法!$C$11</f>
        <v>2.5</v>
      </c>
      <c r="P2283" s="15" t="n">
        <f aca="false">AL2283*評分方法!$C$12</f>
        <v>1.5</v>
      </c>
      <c r="Q2283" s="6" t="n">
        <v>384038</v>
      </c>
      <c r="R2283" s="6"/>
      <c r="S2283" s="5" t="s">
        <v>255</v>
      </c>
      <c r="T2283" s="11" t="s">
        <v>239</v>
      </c>
      <c r="U2283" s="5" t="s">
        <v>240</v>
      </c>
      <c r="V2283" s="11" t="s">
        <v>324</v>
      </c>
      <c r="W2283" s="5" t="s">
        <v>205</v>
      </c>
      <c r="X2283" s="5" t="s">
        <v>255</v>
      </c>
      <c r="Y2283" s="5"/>
      <c r="Z2283" s="5"/>
      <c r="AA2283" s="5"/>
      <c r="AB2283" s="5" t="s">
        <v>255</v>
      </c>
      <c r="AC2283" s="5"/>
      <c r="AD2283" s="11" t="s">
        <v>5606</v>
      </c>
      <c r="AE2283" s="23" t="n">
        <v>0.2</v>
      </c>
      <c r="AF2283" s="23" t="n">
        <v>0</v>
      </c>
      <c r="AG2283" s="23" t="n">
        <v>1</v>
      </c>
      <c r="AH2283" s="23" t="n">
        <v>0.47</v>
      </c>
      <c r="AI2283" s="23" t="n">
        <v>1</v>
      </c>
      <c r="AJ2283" s="23" t="n">
        <v>0.3752</v>
      </c>
      <c r="AK2283" s="23" t="n">
        <v>0.5</v>
      </c>
      <c r="AL2283" s="23" t="n">
        <v>0.3</v>
      </c>
      <c r="AM2283" s="16" t="n">
        <f aca="false">COUNTIFS($D$2:$D$2501,D2283,$G$2:$G$2501,"&gt;"&amp;G2283)+COUNTIFS($D$2:D2283,D2283,$G$2:G2283,G2283)</f>
        <v>33</v>
      </c>
      <c r="AN2283" s="5" t="str">
        <f aca="false">D2283&amp;"|"&amp;AM2283</f>
        <v>其他|33</v>
      </c>
    </row>
    <row r="2284" customFormat="false" ht="17.15" hidden="false" customHeight="false" outlineLevel="0" collapsed="false">
      <c r="A2284" s="16" t="n">
        <f aca="false">RANK(G2284,$G$2:$G$2501)+COUNTIF($G$2:G2284,G2284)-1</f>
        <v>2283</v>
      </c>
      <c r="B2284" s="11" t="s">
        <v>5607</v>
      </c>
      <c r="C2284" s="11" t="s">
        <v>5608</v>
      </c>
      <c r="D2284" s="5" t="s">
        <v>78</v>
      </c>
      <c r="E2284" s="5" t="s">
        <v>79</v>
      </c>
      <c r="F2284" s="5"/>
      <c r="G2284" s="22" t="n">
        <f aca="false">ROUND(SUM(I2284:P2284),3)</f>
        <v>45.798</v>
      </c>
      <c r="H2284" s="5" t="str">
        <f aca="false">IF(G2284&gt;=評分方法!$C$16,"優先評估",IF(G2284&gt;=評分方法!$C$17,"列入候選",IF(G2284&gt;=評分方法!$C$18,"特定情境","不建議")))</f>
        <v>不建議</v>
      </c>
      <c r="I2284" s="15" t="n">
        <f aca="false">AE2284*評分方法!$C$5</f>
        <v>5.4</v>
      </c>
      <c r="J2284" s="15" t="n">
        <f aca="false">AF2284*評分方法!$C$6</f>
        <v>0</v>
      </c>
      <c r="K2284" s="15" t="n">
        <f aca="false">AG2284*評分方法!$C$7</f>
        <v>4.95</v>
      </c>
      <c r="L2284" s="15" t="n">
        <f aca="false">AH2284*評分方法!$C$8</f>
        <v>15</v>
      </c>
      <c r="M2284" s="15" t="n">
        <f aca="false">AI2284*評分方法!$C$9</f>
        <v>10</v>
      </c>
      <c r="N2284" s="15" t="n">
        <f aca="false">AJ2284*評分方法!$C$10</f>
        <v>9.448</v>
      </c>
      <c r="O2284" s="15" t="n">
        <f aca="false">AK2284*評分方法!$C$11</f>
        <v>1</v>
      </c>
      <c r="P2284" s="15" t="n">
        <f aca="false">AL2284*評分方法!$C$12</f>
        <v>0</v>
      </c>
      <c r="Q2284" s="6" t="n">
        <v>7880812</v>
      </c>
      <c r="R2284" s="6" t="n">
        <v>315485870</v>
      </c>
      <c r="S2284" s="11" t="s">
        <v>238</v>
      </c>
      <c r="T2284" s="11" t="s">
        <v>239</v>
      </c>
      <c r="U2284" s="5" t="s">
        <v>240</v>
      </c>
      <c r="V2284" s="11" t="s">
        <v>324</v>
      </c>
      <c r="W2284" s="5" t="s">
        <v>334</v>
      </c>
      <c r="X2284" s="5" t="s">
        <v>242</v>
      </c>
      <c r="Y2284" s="11" t="s">
        <v>4916</v>
      </c>
      <c r="Z2284" s="11" t="s">
        <v>270</v>
      </c>
      <c r="AA2284" s="11" t="s">
        <v>175</v>
      </c>
      <c r="AB2284" s="5" t="s">
        <v>245</v>
      </c>
      <c r="AC2284" s="5" t="s">
        <v>1463</v>
      </c>
      <c r="AD2284" s="11" t="s">
        <v>5609</v>
      </c>
      <c r="AE2284" s="23" t="n">
        <v>0.18</v>
      </c>
      <c r="AF2284" s="23" t="n">
        <v>0</v>
      </c>
      <c r="AG2284" s="23" t="n">
        <v>0.33</v>
      </c>
      <c r="AH2284" s="23" t="n">
        <v>1</v>
      </c>
      <c r="AI2284" s="23" t="n">
        <v>1</v>
      </c>
      <c r="AJ2284" s="23" t="n">
        <v>0.9448</v>
      </c>
      <c r="AK2284" s="23" t="n">
        <v>0.2</v>
      </c>
      <c r="AL2284" s="23" t="n">
        <v>0</v>
      </c>
      <c r="AM2284" s="16" t="n">
        <f aca="false">COUNTIFS($D$2:$D$2501,D2284,$G$2:$G$2501,"&gt;"&amp;G2284)+COUNTIFS($D$2:D2284,D2284,$G$2:G2284,G2284)</f>
        <v>97</v>
      </c>
      <c r="AN2284" s="5" t="str">
        <f aca="false">D2284&amp;"|"&amp;AM2284</f>
        <v>語音分析|97</v>
      </c>
    </row>
    <row r="2285" customFormat="false" ht="17.15" hidden="false" customHeight="false" outlineLevel="0" collapsed="false">
      <c r="A2285" s="16" t="n">
        <f aca="false">RANK(G2285,$G$2:$G$2501)+COUNTIF($G$2:G2285,G2285)-1</f>
        <v>2284</v>
      </c>
      <c r="B2285" s="11" t="s">
        <v>5610</v>
      </c>
      <c r="C2285" s="11" t="s">
        <v>5611</v>
      </c>
      <c r="D2285" s="5" t="s">
        <v>78</v>
      </c>
      <c r="E2285" s="5" t="s">
        <v>79</v>
      </c>
      <c r="F2285" s="5"/>
      <c r="G2285" s="22" t="n">
        <f aca="false">ROUND(SUM(I2285:P2285),3)</f>
        <v>45.79</v>
      </c>
      <c r="H2285" s="5" t="str">
        <f aca="false">IF(G2285&gt;=評分方法!$C$16,"優先評估",IF(G2285&gt;=評分方法!$C$17,"列入候選",IF(G2285&gt;=評分方法!$C$18,"特定情境","不建議")))</f>
        <v>不建議</v>
      </c>
      <c r="I2285" s="15" t="n">
        <f aca="false">AE2285*評分方法!$C$5</f>
        <v>5.4</v>
      </c>
      <c r="J2285" s="15" t="n">
        <f aca="false">AF2285*評分方法!$C$6</f>
        <v>0</v>
      </c>
      <c r="K2285" s="15" t="n">
        <f aca="false">AG2285*評分方法!$C$7</f>
        <v>4.95</v>
      </c>
      <c r="L2285" s="15" t="n">
        <f aca="false">AH2285*評分方法!$C$8</f>
        <v>15</v>
      </c>
      <c r="M2285" s="15" t="n">
        <f aca="false">AI2285*評分方法!$C$9</f>
        <v>10</v>
      </c>
      <c r="N2285" s="15" t="n">
        <f aca="false">AJ2285*評分方法!$C$10</f>
        <v>7.94</v>
      </c>
      <c r="O2285" s="15" t="n">
        <f aca="false">AK2285*評分方法!$C$11</f>
        <v>2.5</v>
      </c>
      <c r="P2285" s="15" t="n">
        <f aca="false">AL2285*評分方法!$C$12</f>
        <v>0</v>
      </c>
      <c r="Q2285" s="6" t="n">
        <v>1503945</v>
      </c>
      <c r="R2285" s="6" t="n">
        <v>315477670</v>
      </c>
      <c r="S2285" s="11" t="s">
        <v>238</v>
      </c>
      <c r="T2285" s="11" t="s">
        <v>239</v>
      </c>
      <c r="U2285" s="5" t="s">
        <v>240</v>
      </c>
      <c r="V2285" s="11" t="s">
        <v>813</v>
      </c>
      <c r="W2285" s="5" t="s">
        <v>334</v>
      </c>
      <c r="X2285" s="5" t="s">
        <v>242</v>
      </c>
      <c r="Y2285" s="11" t="s">
        <v>5579</v>
      </c>
      <c r="Z2285" s="11" t="s">
        <v>270</v>
      </c>
      <c r="AA2285" s="11" t="s">
        <v>175</v>
      </c>
      <c r="AB2285" s="5" t="s">
        <v>245</v>
      </c>
      <c r="AC2285" s="5" t="s">
        <v>1463</v>
      </c>
      <c r="AD2285" s="11" t="s">
        <v>5612</v>
      </c>
      <c r="AE2285" s="23" t="n">
        <v>0.18</v>
      </c>
      <c r="AF2285" s="23" t="n">
        <v>0</v>
      </c>
      <c r="AG2285" s="23" t="n">
        <v>0.33</v>
      </c>
      <c r="AH2285" s="23" t="n">
        <v>1</v>
      </c>
      <c r="AI2285" s="23" t="n">
        <v>1</v>
      </c>
      <c r="AJ2285" s="23" t="n">
        <v>0.794</v>
      </c>
      <c r="AK2285" s="23" t="n">
        <v>0.5</v>
      </c>
      <c r="AL2285" s="23" t="n">
        <v>0</v>
      </c>
      <c r="AM2285" s="16" t="n">
        <f aca="false">COUNTIFS($D$2:$D$2501,D2285,$G$2:$G$2501,"&gt;"&amp;G2285)+COUNTIFS($D$2:D2285,D2285,$G$2:G2285,G2285)</f>
        <v>98</v>
      </c>
      <c r="AN2285" s="5" t="str">
        <f aca="false">D2285&amp;"|"&amp;AM2285</f>
        <v>語音分析|98</v>
      </c>
    </row>
    <row r="2286" customFormat="false" ht="17.15" hidden="false" customHeight="false" outlineLevel="0" collapsed="false">
      <c r="A2286" s="16" t="n">
        <f aca="false">RANK(G2286,$G$2:$G$2501)+COUNTIF($G$2:G2286,G2286)-1</f>
        <v>2285</v>
      </c>
      <c r="B2286" s="11" t="s">
        <v>5613</v>
      </c>
      <c r="C2286" s="11" t="s">
        <v>681</v>
      </c>
      <c r="D2286" s="5" t="s">
        <v>74</v>
      </c>
      <c r="E2286" s="5" t="s">
        <v>75</v>
      </c>
      <c r="F2286" s="5"/>
      <c r="G2286" s="22" t="n">
        <f aca="false">ROUND(SUM(I2286:P2286),3)</f>
        <v>45.736</v>
      </c>
      <c r="H2286" s="5" t="str">
        <f aca="false">IF(G2286&gt;=評分方法!$C$16,"優先評估",IF(G2286&gt;=評分方法!$C$17,"列入候選",IF(G2286&gt;=評分方法!$C$18,"特定情境","不建議")))</f>
        <v>不建議</v>
      </c>
      <c r="I2286" s="15" t="n">
        <f aca="false">AE2286*評分方法!$C$5</f>
        <v>4.5</v>
      </c>
      <c r="J2286" s="15" t="n">
        <f aca="false">AF2286*評分方法!$C$6</f>
        <v>0</v>
      </c>
      <c r="K2286" s="15" t="n">
        <f aca="false">AG2286*評分方法!$C$7</f>
        <v>15</v>
      </c>
      <c r="L2286" s="15" t="n">
        <f aca="false">AH2286*評分方法!$C$8</f>
        <v>15</v>
      </c>
      <c r="M2286" s="15" t="n">
        <f aca="false">AI2286*評分方法!$C$9</f>
        <v>6</v>
      </c>
      <c r="N2286" s="15" t="n">
        <f aca="false">AJ2286*評分方法!$C$10</f>
        <v>2.736</v>
      </c>
      <c r="O2286" s="15" t="n">
        <f aca="false">AK2286*評分方法!$C$11</f>
        <v>1</v>
      </c>
      <c r="P2286" s="15" t="n">
        <f aca="false">AL2286*評分方法!$C$12</f>
        <v>1.5</v>
      </c>
      <c r="Q2286" s="6" t="n">
        <v>269243</v>
      </c>
      <c r="R2286" s="6" t="n">
        <v>68797252</v>
      </c>
      <c r="S2286" s="11" t="s">
        <v>238</v>
      </c>
      <c r="T2286" s="11" t="s">
        <v>185</v>
      </c>
      <c r="U2286" s="5" t="s">
        <v>260</v>
      </c>
      <c r="V2286" s="11" t="s">
        <v>324</v>
      </c>
      <c r="W2286" s="5" t="s">
        <v>205</v>
      </c>
      <c r="X2286" s="5" t="s">
        <v>255</v>
      </c>
      <c r="Y2286" s="5"/>
      <c r="Z2286" s="5"/>
      <c r="AA2286" s="11" t="s">
        <v>183</v>
      </c>
      <c r="AB2286" s="5" t="s">
        <v>245</v>
      </c>
      <c r="AC2286" s="5" t="s">
        <v>262</v>
      </c>
      <c r="AD2286" s="11" t="s">
        <v>5614</v>
      </c>
      <c r="AE2286" s="23" t="n">
        <v>0.15</v>
      </c>
      <c r="AF2286" s="23" t="n">
        <v>0</v>
      </c>
      <c r="AG2286" s="23" t="n">
        <v>1</v>
      </c>
      <c r="AH2286" s="23" t="n">
        <v>1</v>
      </c>
      <c r="AI2286" s="23" t="n">
        <v>0.6</v>
      </c>
      <c r="AJ2286" s="23" t="n">
        <v>0.2736</v>
      </c>
      <c r="AK2286" s="23" t="n">
        <v>0.2</v>
      </c>
      <c r="AL2286" s="23" t="n">
        <v>0.3</v>
      </c>
      <c r="AM2286" s="16" t="n">
        <f aca="false">COUNTIFS($D$2:$D$2501,D2286,$G$2:$G$2501,"&gt;"&amp;G2286)+COUNTIFS($D$2:D2286,D2286,$G$2:G2286,G2286)</f>
        <v>309</v>
      </c>
      <c r="AN2286" s="5" t="str">
        <f aca="false">D2286&amp;"|"&amp;AM2286</f>
        <v>文件與影像辨識|309</v>
      </c>
    </row>
    <row r="2287" customFormat="false" ht="17.15" hidden="false" customHeight="false" outlineLevel="0" collapsed="false">
      <c r="A2287" s="16" t="n">
        <f aca="false">RANK(G2287,$G$2:$G$2501)+COUNTIF($G$2:G2287,G2287)-1</f>
        <v>2286</v>
      </c>
      <c r="B2287" s="11" t="s">
        <v>5615</v>
      </c>
      <c r="C2287" s="11" t="s">
        <v>1214</v>
      </c>
      <c r="D2287" s="5" t="s">
        <v>80</v>
      </c>
      <c r="E2287" s="5" t="s">
        <v>81</v>
      </c>
      <c r="F2287" s="5"/>
      <c r="G2287" s="22" t="n">
        <f aca="false">ROUND(SUM(I2287:P2287),3)</f>
        <v>45.714</v>
      </c>
      <c r="H2287" s="5" t="str">
        <f aca="false">IF(G2287&gt;=評分方法!$C$16,"優先評估",IF(G2287&gt;=評分方法!$C$17,"列入候選",IF(G2287&gt;=評分方法!$C$18,"特定情境","不建議")))</f>
        <v>不建議</v>
      </c>
      <c r="I2287" s="15" t="n">
        <f aca="false">AE2287*評分方法!$C$5</f>
        <v>3</v>
      </c>
      <c r="J2287" s="15" t="n">
        <f aca="false">AF2287*評分方法!$C$6</f>
        <v>0</v>
      </c>
      <c r="K2287" s="15" t="n">
        <f aca="false">AG2287*評分方法!$C$7</f>
        <v>15</v>
      </c>
      <c r="L2287" s="15" t="n">
        <f aca="false">AH2287*評分方法!$C$8</f>
        <v>7.05</v>
      </c>
      <c r="M2287" s="15" t="n">
        <f aca="false">AI2287*評分方法!$C$9</f>
        <v>10</v>
      </c>
      <c r="N2287" s="15" t="n">
        <f aca="false">AJ2287*評分方法!$C$10</f>
        <v>4.164</v>
      </c>
      <c r="O2287" s="15" t="n">
        <f aca="false">AK2287*評分方法!$C$11</f>
        <v>5</v>
      </c>
      <c r="P2287" s="15" t="n">
        <f aca="false">AL2287*評分方法!$C$12</f>
        <v>1.5</v>
      </c>
      <c r="Q2287" s="6" t="n">
        <v>449371</v>
      </c>
      <c r="R2287" s="6"/>
      <c r="S2287" s="5" t="s">
        <v>255</v>
      </c>
      <c r="T2287" s="11" t="s">
        <v>278</v>
      </c>
      <c r="U2287" s="5" t="s">
        <v>240</v>
      </c>
      <c r="V2287" s="11" t="s">
        <v>261</v>
      </c>
      <c r="W2287" s="5" t="s">
        <v>205</v>
      </c>
      <c r="X2287" s="5" t="s">
        <v>255</v>
      </c>
      <c r="Y2287" s="11" t="s">
        <v>5616</v>
      </c>
      <c r="Z2287" s="11" t="s">
        <v>270</v>
      </c>
      <c r="AA2287" s="11" t="s">
        <v>5617</v>
      </c>
      <c r="AB2287" s="5" t="s">
        <v>496</v>
      </c>
      <c r="AC2287" s="5" t="s">
        <v>497</v>
      </c>
      <c r="AD2287" s="11" t="s">
        <v>5618</v>
      </c>
      <c r="AE2287" s="23" t="n">
        <v>0.1</v>
      </c>
      <c r="AF2287" s="23" t="n">
        <v>0</v>
      </c>
      <c r="AG2287" s="23" t="n">
        <v>1</v>
      </c>
      <c r="AH2287" s="23" t="n">
        <v>0.47</v>
      </c>
      <c r="AI2287" s="23" t="n">
        <v>1</v>
      </c>
      <c r="AJ2287" s="23" t="n">
        <v>0.4164</v>
      </c>
      <c r="AK2287" s="23" t="n">
        <v>1</v>
      </c>
      <c r="AL2287" s="23" t="n">
        <v>0.3</v>
      </c>
      <c r="AM2287" s="16" t="n">
        <f aca="false">COUNTIFS($D$2:$D$2501,D2287,$G$2:$G$2501,"&gt;"&amp;G2287)+COUNTIFS($D$2:D2287,D2287,$G$2:G2287,G2287)</f>
        <v>34</v>
      </c>
      <c r="AN2287" s="5" t="str">
        <f aca="false">D2287&amp;"|"&amp;AM2287</f>
        <v>其他|34</v>
      </c>
    </row>
    <row r="2288" customFormat="false" ht="17.15" hidden="false" customHeight="false" outlineLevel="0" collapsed="false">
      <c r="A2288" s="16" t="n">
        <f aca="false">RANK(G2288,$G$2:$G$2501)+COUNTIF($G$2:G2288,G2288)-1</f>
        <v>2287</v>
      </c>
      <c r="B2288" s="11" t="s">
        <v>5619</v>
      </c>
      <c r="C2288" s="11" t="s">
        <v>5620</v>
      </c>
      <c r="D2288" s="5" t="s">
        <v>58</v>
      </c>
      <c r="E2288" s="5" t="s">
        <v>59</v>
      </c>
      <c r="F2288" s="5"/>
      <c r="G2288" s="22" t="n">
        <f aca="false">ROUND(SUM(I2288:P2288),3)</f>
        <v>45.678</v>
      </c>
      <c r="H2288" s="5" t="str">
        <f aca="false">IF(G2288&gt;=評分方法!$C$16,"優先評估",IF(G2288&gt;=評分方法!$C$17,"列入候選",IF(G2288&gt;=評分方法!$C$18,"特定情境","不建議")))</f>
        <v>不建議</v>
      </c>
      <c r="I2288" s="15" t="n">
        <f aca="false">AE2288*評分方法!$C$5</f>
        <v>11.4</v>
      </c>
      <c r="J2288" s="15" t="n">
        <f aca="false">AF2288*評分方法!$C$6</f>
        <v>0</v>
      </c>
      <c r="K2288" s="15" t="n">
        <f aca="false">AG2288*評分方法!$C$7</f>
        <v>4.95</v>
      </c>
      <c r="L2288" s="15" t="n">
        <f aca="false">AH2288*評分方法!$C$8</f>
        <v>15</v>
      </c>
      <c r="M2288" s="15" t="n">
        <f aca="false">AI2288*評分方法!$C$9</f>
        <v>10</v>
      </c>
      <c r="N2288" s="15" t="n">
        <f aca="false">AJ2288*評分方法!$C$10</f>
        <v>1.828</v>
      </c>
      <c r="O2288" s="15" t="n">
        <f aca="false">AK2288*評分方法!$C$11</f>
        <v>1</v>
      </c>
      <c r="P2288" s="15" t="n">
        <f aca="false">AL2288*評分方法!$C$12</f>
        <v>1.5</v>
      </c>
      <c r="Q2288" s="6" t="n">
        <v>198074</v>
      </c>
      <c r="R2288" s="6" t="n">
        <v>183895379</v>
      </c>
      <c r="S2288" s="11" t="s">
        <v>238</v>
      </c>
      <c r="T2288" s="11" t="s">
        <v>278</v>
      </c>
      <c r="U2288" s="5" t="s">
        <v>240</v>
      </c>
      <c r="V2288" s="11" t="s">
        <v>261</v>
      </c>
      <c r="W2288" s="5" t="s">
        <v>334</v>
      </c>
      <c r="X2288" s="5" t="s">
        <v>255</v>
      </c>
      <c r="Y2288" s="11" t="s">
        <v>243</v>
      </c>
      <c r="Z2288" s="11" t="s">
        <v>270</v>
      </c>
      <c r="AA2288" s="11" t="s">
        <v>150</v>
      </c>
      <c r="AB2288" s="5" t="s">
        <v>245</v>
      </c>
      <c r="AC2288" s="5" t="s">
        <v>3044</v>
      </c>
      <c r="AD2288" s="11" t="s">
        <v>5621</v>
      </c>
      <c r="AE2288" s="23" t="n">
        <v>0.38</v>
      </c>
      <c r="AF2288" s="23" t="n">
        <v>0</v>
      </c>
      <c r="AG2288" s="23" t="n">
        <v>0.33</v>
      </c>
      <c r="AH2288" s="23" t="n">
        <v>1</v>
      </c>
      <c r="AI2288" s="23" t="n">
        <v>1</v>
      </c>
      <c r="AJ2288" s="23" t="n">
        <v>0.1828</v>
      </c>
      <c r="AK2288" s="23" t="n">
        <v>0.2</v>
      </c>
      <c r="AL2288" s="23" t="n">
        <v>0.3</v>
      </c>
      <c r="AM2288" s="16" t="n">
        <f aca="false">COUNTIFS($D$2:$D$2501,D2288,$G$2:$G$2501,"&gt;"&amp;G2288)+COUNTIFS($D$2:D2288,D2288,$G$2:G2288,G2288)</f>
        <v>355</v>
      </c>
      <c r="AN2288" s="5" t="str">
        <f aca="false">D2288&amp;"|"&amp;AM2288</f>
        <v>實體擷取與去識別化|355</v>
      </c>
    </row>
    <row r="2289" customFormat="false" ht="17.15" hidden="false" customHeight="false" outlineLevel="0" collapsed="false">
      <c r="A2289" s="16" t="n">
        <f aca="false">RANK(G2289,$G$2:$G$2501)+COUNTIF($G$2:G2289,G2289)-1</f>
        <v>2288</v>
      </c>
      <c r="B2289" s="11" t="s">
        <v>5622</v>
      </c>
      <c r="C2289" s="11" t="s">
        <v>1677</v>
      </c>
      <c r="D2289" s="5" t="s">
        <v>78</v>
      </c>
      <c r="E2289" s="5" t="s">
        <v>79</v>
      </c>
      <c r="F2289" s="5"/>
      <c r="G2289" s="22" t="n">
        <f aca="false">ROUND(SUM(I2289:P2289),3)</f>
        <v>45.632</v>
      </c>
      <c r="H2289" s="5" t="str">
        <f aca="false">IF(G2289&gt;=評分方法!$C$16,"優先評估",IF(G2289&gt;=評分方法!$C$17,"列入候選",IF(G2289&gt;=評分方法!$C$18,"特定情境","不建議")))</f>
        <v>不建議</v>
      </c>
      <c r="I2289" s="15" t="n">
        <f aca="false">AE2289*評分方法!$C$5</f>
        <v>9</v>
      </c>
      <c r="J2289" s="15" t="n">
        <f aca="false">AF2289*評分方法!$C$6</f>
        <v>0</v>
      </c>
      <c r="K2289" s="15" t="n">
        <f aca="false">AG2289*評分方法!$C$7</f>
        <v>10.05</v>
      </c>
      <c r="L2289" s="15" t="n">
        <f aca="false">AH2289*評分方法!$C$8</f>
        <v>7.05</v>
      </c>
      <c r="M2289" s="15" t="n">
        <f aca="false">AI2289*評分方法!$C$9</f>
        <v>10</v>
      </c>
      <c r="N2289" s="15" t="n">
        <f aca="false">AJ2289*評分方法!$C$10</f>
        <v>4.032</v>
      </c>
      <c r="O2289" s="15" t="n">
        <f aca="false">AK2289*評分方法!$C$11</f>
        <v>4</v>
      </c>
      <c r="P2289" s="15" t="n">
        <f aca="false">AL2289*評分方法!$C$12</f>
        <v>1.5</v>
      </c>
      <c r="Q2289" s="6" t="n">
        <v>422915</v>
      </c>
      <c r="R2289" s="6"/>
      <c r="S2289" s="5" t="s">
        <v>255</v>
      </c>
      <c r="T2289" s="11" t="s">
        <v>239</v>
      </c>
      <c r="U2289" s="5" t="s">
        <v>240</v>
      </c>
      <c r="V2289" s="11" t="s">
        <v>514</v>
      </c>
      <c r="W2289" s="5" t="s">
        <v>207</v>
      </c>
      <c r="X2289" s="5" t="s">
        <v>255</v>
      </c>
      <c r="Y2289" s="11" t="s">
        <v>2621</v>
      </c>
      <c r="Z2289" s="11" t="s">
        <v>244</v>
      </c>
      <c r="AA2289" s="11" t="s">
        <v>175</v>
      </c>
      <c r="AB2289" s="5" t="s">
        <v>245</v>
      </c>
      <c r="AC2289" s="5" t="s">
        <v>246</v>
      </c>
      <c r="AD2289" s="11" t="s">
        <v>5623</v>
      </c>
      <c r="AE2289" s="23" t="n">
        <v>0.3</v>
      </c>
      <c r="AF2289" s="23" t="n">
        <v>0</v>
      </c>
      <c r="AG2289" s="23" t="n">
        <v>0.67</v>
      </c>
      <c r="AH2289" s="23" t="n">
        <v>0.47</v>
      </c>
      <c r="AI2289" s="23" t="n">
        <v>1</v>
      </c>
      <c r="AJ2289" s="23" t="n">
        <v>0.4032</v>
      </c>
      <c r="AK2289" s="23" t="n">
        <v>0.8</v>
      </c>
      <c r="AL2289" s="23" t="n">
        <v>0.3</v>
      </c>
      <c r="AM2289" s="16" t="n">
        <f aca="false">COUNTIFS($D$2:$D$2501,D2289,$G$2:$G$2501,"&gt;"&amp;G2289)+COUNTIFS($D$2:D2289,D2289,$G$2:G2289,G2289)</f>
        <v>99</v>
      </c>
      <c r="AN2289" s="5" t="str">
        <f aca="false">D2289&amp;"|"&amp;AM2289</f>
        <v>語音分析|99</v>
      </c>
    </row>
    <row r="2290" customFormat="false" ht="17.15" hidden="false" customHeight="false" outlineLevel="0" collapsed="false">
      <c r="A2290" s="16" t="n">
        <f aca="false">RANK(G2290,$G$2:$G$2501)+COUNTIF($G$2:G2290,G2290)-1</f>
        <v>2289</v>
      </c>
      <c r="B2290" s="11" t="s">
        <v>5624</v>
      </c>
      <c r="C2290" s="11" t="s">
        <v>5551</v>
      </c>
      <c r="D2290" s="5" t="s">
        <v>78</v>
      </c>
      <c r="E2290" s="5" t="s">
        <v>79</v>
      </c>
      <c r="F2290" s="5"/>
      <c r="G2290" s="22" t="n">
        <f aca="false">ROUND(SUM(I2290:P2290),3)</f>
        <v>45.61</v>
      </c>
      <c r="H2290" s="5" t="str">
        <f aca="false">IF(G2290&gt;=評分方法!$C$16,"優先評估",IF(G2290&gt;=評分方法!$C$17,"列入候選",IF(G2290&gt;=評分方法!$C$18,"特定情境","不建議")))</f>
        <v>不建議</v>
      </c>
      <c r="I2290" s="15" t="n">
        <f aca="false">AE2290*評分方法!$C$5</f>
        <v>9</v>
      </c>
      <c r="J2290" s="15" t="n">
        <f aca="false">AF2290*評分方法!$C$6</f>
        <v>0</v>
      </c>
      <c r="K2290" s="15" t="n">
        <f aca="false">AG2290*評分方法!$C$7</f>
        <v>4.95</v>
      </c>
      <c r="L2290" s="15" t="n">
        <f aca="false">AH2290*評分方法!$C$8</f>
        <v>15</v>
      </c>
      <c r="M2290" s="15" t="n">
        <f aca="false">AI2290*評分方法!$C$9</f>
        <v>10</v>
      </c>
      <c r="N2290" s="15" t="n">
        <f aca="false">AJ2290*評分方法!$C$10</f>
        <v>2.66</v>
      </c>
      <c r="O2290" s="15" t="n">
        <f aca="false">AK2290*評分方法!$C$11</f>
        <v>4</v>
      </c>
      <c r="P2290" s="15" t="n">
        <f aca="false">AL2290*評分方法!$C$12</f>
        <v>0</v>
      </c>
      <c r="Q2290" s="6" t="n">
        <v>264539</v>
      </c>
      <c r="R2290" s="6" t="n">
        <v>808878080</v>
      </c>
      <c r="S2290" s="11" t="s">
        <v>238</v>
      </c>
      <c r="T2290" s="11" t="s">
        <v>239</v>
      </c>
      <c r="U2290" s="5" t="s">
        <v>240</v>
      </c>
      <c r="V2290" s="11" t="s">
        <v>261</v>
      </c>
      <c r="W2290" s="5" t="s">
        <v>334</v>
      </c>
      <c r="X2290" s="5" t="s">
        <v>242</v>
      </c>
      <c r="Y2290" s="11" t="s">
        <v>2612</v>
      </c>
      <c r="Z2290" s="11" t="s">
        <v>270</v>
      </c>
      <c r="AA2290" s="11" t="s">
        <v>175</v>
      </c>
      <c r="AB2290" s="5" t="s">
        <v>245</v>
      </c>
      <c r="AC2290" s="5"/>
      <c r="AD2290" s="11" t="s">
        <v>5625</v>
      </c>
      <c r="AE2290" s="23" t="n">
        <v>0.3</v>
      </c>
      <c r="AF2290" s="23" t="n">
        <v>0</v>
      </c>
      <c r="AG2290" s="23" t="n">
        <v>0.33</v>
      </c>
      <c r="AH2290" s="23" t="n">
        <v>1</v>
      </c>
      <c r="AI2290" s="23" t="n">
        <v>1</v>
      </c>
      <c r="AJ2290" s="23" t="n">
        <v>0.266</v>
      </c>
      <c r="AK2290" s="23" t="n">
        <v>0.8</v>
      </c>
      <c r="AL2290" s="23" t="n">
        <v>0</v>
      </c>
      <c r="AM2290" s="16" t="n">
        <f aca="false">COUNTIFS($D$2:$D$2501,D2290,$G$2:$G$2501,"&gt;"&amp;G2290)+COUNTIFS($D$2:D2290,D2290,$G$2:G2290,G2290)</f>
        <v>100</v>
      </c>
      <c r="AN2290" s="5" t="str">
        <f aca="false">D2290&amp;"|"&amp;AM2290</f>
        <v>語音分析|100</v>
      </c>
    </row>
    <row r="2291" customFormat="false" ht="17.15" hidden="false" customHeight="false" outlineLevel="0" collapsed="false">
      <c r="A2291" s="16" t="n">
        <f aca="false">RANK(G2291,$G$2:$G$2501)+COUNTIF($G$2:G2291,G2291)-1</f>
        <v>2290</v>
      </c>
      <c r="B2291" s="11" t="s">
        <v>5626</v>
      </c>
      <c r="C2291" s="11" t="s">
        <v>5627</v>
      </c>
      <c r="D2291" s="5" t="s">
        <v>78</v>
      </c>
      <c r="E2291" s="5" t="s">
        <v>79</v>
      </c>
      <c r="F2291" s="5"/>
      <c r="G2291" s="22" t="n">
        <f aca="false">ROUND(SUM(I2291:P2291),3)</f>
        <v>45.602</v>
      </c>
      <c r="H2291" s="5" t="str">
        <f aca="false">IF(G2291&gt;=評分方法!$C$16,"優先評估",IF(G2291&gt;=評分方法!$C$17,"列入候選",IF(G2291&gt;=評分方法!$C$18,"特定情境","不建議")))</f>
        <v>不建議</v>
      </c>
      <c r="I2291" s="15" t="n">
        <f aca="false">AE2291*評分方法!$C$5</f>
        <v>5.4</v>
      </c>
      <c r="J2291" s="15" t="n">
        <f aca="false">AF2291*評分方法!$C$6</f>
        <v>0</v>
      </c>
      <c r="K2291" s="15" t="n">
        <f aca="false">AG2291*評分方法!$C$7</f>
        <v>4.95</v>
      </c>
      <c r="L2291" s="15" t="n">
        <f aca="false">AH2291*評分方法!$C$8</f>
        <v>15</v>
      </c>
      <c r="M2291" s="15" t="n">
        <f aca="false">AI2291*評分方法!$C$9</f>
        <v>10</v>
      </c>
      <c r="N2291" s="15" t="n">
        <f aca="false">AJ2291*評分方法!$C$10</f>
        <v>9.252</v>
      </c>
      <c r="O2291" s="15" t="n">
        <f aca="false">AK2291*評分方法!$C$11</f>
        <v>1</v>
      </c>
      <c r="P2291" s="15" t="n">
        <f aca="false">AL2291*評分方法!$C$12</f>
        <v>0</v>
      </c>
      <c r="Q2291" s="6" t="n">
        <v>5598316</v>
      </c>
      <c r="R2291" s="6" t="n">
        <v>316673845</v>
      </c>
      <c r="S2291" s="11" t="s">
        <v>238</v>
      </c>
      <c r="T2291" s="11" t="s">
        <v>239</v>
      </c>
      <c r="U2291" s="5" t="s">
        <v>240</v>
      </c>
      <c r="V2291" s="11" t="s">
        <v>324</v>
      </c>
      <c r="W2291" s="5" t="s">
        <v>334</v>
      </c>
      <c r="X2291" s="5" t="s">
        <v>242</v>
      </c>
      <c r="Y2291" s="5"/>
      <c r="Z2291" s="5"/>
      <c r="AA2291" s="11" t="s">
        <v>175</v>
      </c>
      <c r="AB2291" s="5" t="s">
        <v>245</v>
      </c>
      <c r="AC2291" s="5" t="s">
        <v>1463</v>
      </c>
      <c r="AD2291" s="11" t="s">
        <v>5628</v>
      </c>
      <c r="AE2291" s="23" t="n">
        <v>0.18</v>
      </c>
      <c r="AF2291" s="23" t="n">
        <v>0</v>
      </c>
      <c r="AG2291" s="23" t="n">
        <v>0.33</v>
      </c>
      <c r="AH2291" s="23" t="n">
        <v>1</v>
      </c>
      <c r="AI2291" s="23" t="n">
        <v>1</v>
      </c>
      <c r="AJ2291" s="23" t="n">
        <v>0.9252</v>
      </c>
      <c r="AK2291" s="23" t="n">
        <v>0.2</v>
      </c>
      <c r="AL2291" s="23" t="n">
        <v>0</v>
      </c>
      <c r="AM2291" s="16" t="n">
        <f aca="false">COUNTIFS($D$2:$D$2501,D2291,$G$2:$G$2501,"&gt;"&amp;G2291)+COUNTIFS($D$2:D2291,D2291,$G$2:G2291,G2291)</f>
        <v>101</v>
      </c>
      <c r="AN2291" s="5" t="str">
        <f aca="false">D2291&amp;"|"&amp;AM2291</f>
        <v>語音分析|101</v>
      </c>
    </row>
    <row r="2292" customFormat="false" ht="17.15" hidden="false" customHeight="false" outlineLevel="0" collapsed="false">
      <c r="A2292" s="16" t="n">
        <f aca="false">RANK(G2292,$G$2:$G$2501)+COUNTIF($G$2:G2292,G2292)-1</f>
        <v>2291</v>
      </c>
      <c r="B2292" s="11" t="s">
        <v>5629</v>
      </c>
      <c r="C2292" s="11" t="s">
        <v>1132</v>
      </c>
      <c r="D2292" s="5" t="s">
        <v>66</v>
      </c>
      <c r="E2292" s="5" t="s">
        <v>67</v>
      </c>
      <c r="F2292" s="5"/>
      <c r="G2292" s="22" t="n">
        <f aca="false">ROUND(SUM(I2292:P2292),3)</f>
        <v>45.602</v>
      </c>
      <c r="H2292" s="5" t="str">
        <f aca="false">IF(G2292&gt;=評分方法!$C$16,"優先評估",IF(G2292&gt;=評分方法!$C$17,"列入候選",IF(G2292&gt;=評分方法!$C$18,"特定情境","不建議")))</f>
        <v>不建議</v>
      </c>
      <c r="I2292" s="15" t="n">
        <f aca="false">AE2292*評分方法!$C$5</f>
        <v>12</v>
      </c>
      <c r="J2292" s="15" t="n">
        <f aca="false">AF2292*評分方法!$C$6</f>
        <v>0</v>
      </c>
      <c r="K2292" s="15" t="n">
        <f aca="false">AG2292*評分方法!$C$7</f>
        <v>4.95</v>
      </c>
      <c r="L2292" s="15" t="n">
        <f aca="false">AH2292*評分方法!$C$8</f>
        <v>15</v>
      </c>
      <c r="M2292" s="15" t="n">
        <f aca="false">AI2292*評分方法!$C$9</f>
        <v>10</v>
      </c>
      <c r="N2292" s="15" t="n">
        <f aca="false">AJ2292*評分方法!$C$10</f>
        <v>2.652</v>
      </c>
      <c r="O2292" s="15" t="n">
        <f aca="false">AK2292*評分方法!$C$11</f>
        <v>1</v>
      </c>
      <c r="P2292" s="15" t="n">
        <f aca="false">AL2292*評分方法!$C$12</f>
        <v>0</v>
      </c>
      <c r="Q2292" s="6" t="n">
        <v>264358</v>
      </c>
      <c r="R2292" s="6" t="n">
        <v>184424194</v>
      </c>
      <c r="S2292" s="11" t="s">
        <v>238</v>
      </c>
      <c r="T2292" s="11" t="s">
        <v>278</v>
      </c>
      <c r="U2292" s="5" t="s">
        <v>240</v>
      </c>
      <c r="V2292" s="11" t="s">
        <v>324</v>
      </c>
      <c r="W2292" s="5" t="s">
        <v>334</v>
      </c>
      <c r="X2292" s="5" t="s">
        <v>242</v>
      </c>
      <c r="Y2292" s="5"/>
      <c r="Z2292" s="5"/>
      <c r="AA2292" s="11" t="s">
        <v>149</v>
      </c>
      <c r="AB2292" s="5" t="s">
        <v>245</v>
      </c>
      <c r="AC2292" s="5" t="s">
        <v>3044</v>
      </c>
      <c r="AD2292" s="11" t="s">
        <v>5630</v>
      </c>
      <c r="AE2292" s="23" t="n">
        <v>0.4</v>
      </c>
      <c r="AF2292" s="23" t="n">
        <v>0</v>
      </c>
      <c r="AG2292" s="23" t="n">
        <v>0.33</v>
      </c>
      <c r="AH2292" s="23" t="n">
        <v>1</v>
      </c>
      <c r="AI2292" s="23" t="n">
        <v>1</v>
      </c>
      <c r="AJ2292" s="23" t="n">
        <v>0.2652</v>
      </c>
      <c r="AK2292" s="23" t="n">
        <v>0.2</v>
      </c>
      <c r="AL2292" s="23" t="n">
        <v>0</v>
      </c>
      <c r="AM2292" s="16" t="n">
        <f aca="false">COUNTIFS($D$2:$D$2501,D2292,$G$2:$G$2501,"&gt;"&amp;G2292)+COUNTIFS($D$2:D2292,D2292,$G$2:G2292,G2292)</f>
        <v>72</v>
      </c>
      <c r="AN2292" s="5" t="str">
        <f aca="false">D2292&amp;"|"&amp;AM2292</f>
        <v>分類與偵測|72</v>
      </c>
    </row>
    <row r="2293" customFormat="false" ht="17.15" hidden="false" customHeight="false" outlineLevel="0" collapsed="false">
      <c r="A2293" s="16" t="n">
        <f aca="false">RANK(G2293,$G$2:$G$2501)+COUNTIF($G$2:G2293,G2293)-1</f>
        <v>2292</v>
      </c>
      <c r="B2293" s="11" t="s">
        <v>5631</v>
      </c>
      <c r="C2293" s="11" t="s">
        <v>5180</v>
      </c>
      <c r="D2293" s="5" t="s">
        <v>74</v>
      </c>
      <c r="E2293" s="5" t="s">
        <v>75</v>
      </c>
      <c r="F2293" s="5"/>
      <c r="G2293" s="22" t="n">
        <f aca="false">ROUND(SUM(I2293:P2293),3)</f>
        <v>45.59</v>
      </c>
      <c r="H2293" s="5" t="str">
        <f aca="false">IF(G2293&gt;=評分方法!$C$16,"優先評估",IF(G2293&gt;=評分方法!$C$17,"列入候選",IF(G2293&gt;=評分方法!$C$18,"特定情境","不建議")))</f>
        <v>不建議</v>
      </c>
      <c r="I2293" s="15" t="n">
        <f aca="false">AE2293*評分方法!$C$5</f>
        <v>13.5</v>
      </c>
      <c r="J2293" s="15" t="n">
        <f aca="false">AF2293*評分方法!$C$6</f>
        <v>0</v>
      </c>
      <c r="K2293" s="15" t="n">
        <f aca="false">AG2293*評分方法!$C$7</f>
        <v>4.95</v>
      </c>
      <c r="L2293" s="15" t="n">
        <f aca="false">AH2293*評分方法!$C$8</f>
        <v>9</v>
      </c>
      <c r="M2293" s="15" t="n">
        <f aca="false">AI2293*評分方法!$C$9</f>
        <v>10</v>
      </c>
      <c r="N2293" s="15" t="n">
        <f aca="false">AJ2293*評分方法!$C$10</f>
        <v>3.14</v>
      </c>
      <c r="O2293" s="15" t="n">
        <f aca="false">AK2293*評分方法!$C$11</f>
        <v>5</v>
      </c>
      <c r="P2293" s="15" t="n">
        <f aca="false">AL2293*評分方法!$C$12</f>
        <v>0</v>
      </c>
      <c r="Q2293" s="6" t="n">
        <v>307012</v>
      </c>
      <c r="R2293" s="6" t="n">
        <v>26895998464</v>
      </c>
      <c r="S2293" s="11" t="s">
        <v>389</v>
      </c>
      <c r="T2293" s="11" t="s">
        <v>239</v>
      </c>
      <c r="U2293" s="5" t="s">
        <v>240</v>
      </c>
      <c r="V2293" s="11" t="s">
        <v>333</v>
      </c>
      <c r="W2293" s="5" t="s">
        <v>334</v>
      </c>
      <c r="X2293" s="5" t="s">
        <v>242</v>
      </c>
      <c r="Y2293" s="11" t="s">
        <v>5181</v>
      </c>
      <c r="Z2293" s="11" t="s">
        <v>244</v>
      </c>
      <c r="AA2293" s="11" t="s">
        <v>164</v>
      </c>
      <c r="AB2293" s="5" t="s">
        <v>496</v>
      </c>
      <c r="AC2293" s="5" t="s">
        <v>555</v>
      </c>
      <c r="AD2293" s="11" t="s">
        <v>5632</v>
      </c>
      <c r="AE2293" s="23" t="n">
        <v>0.45</v>
      </c>
      <c r="AF2293" s="23" t="n">
        <v>0</v>
      </c>
      <c r="AG2293" s="23" t="n">
        <v>0.33</v>
      </c>
      <c r="AH2293" s="23" t="n">
        <v>0.6</v>
      </c>
      <c r="AI2293" s="23" t="n">
        <v>1</v>
      </c>
      <c r="AJ2293" s="23" t="n">
        <v>0.314</v>
      </c>
      <c r="AK2293" s="23" t="n">
        <v>1</v>
      </c>
      <c r="AL2293" s="23" t="n">
        <v>0</v>
      </c>
      <c r="AM2293" s="16" t="n">
        <f aca="false">COUNTIFS($D$2:$D$2501,D2293,$G$2:$G$2501,"&gt;"&amp;G2293)+COUNTIFS($D$2:D2293,D2293,$G$2:G2293,G2293)</f>
        <v>310</v>
      </c>
      <c r="AN2293" s="5" t="str">
        <f aca="false">D2293&amp;"|"&amp;AM2293</f>
        <v>文件與影像辨識|310</v>
      </c>
    </row>
    <row r="2294" customFormat="false" ht="17.15" hidden="false" customHeight="false" outlineLevel="0" collapsed="false">
      <c r="A2294" s="16" t="n">
        <f aca="false">RANK(G2294,$G$2:$G$2501)+COUNTIF($G$2:G2294,G2294)-1</f>
        <v>2293</v>
      </c>
      <c r="B2294" s="11" t="s">
        <v>5633</v>
      </c>
      <c r="C2294" s="11" t="s">
        <v>3884</v>
      </c>
      <c r="D2294" s="5" t="s">
        <v>56</v>
      </c>
      <c r="E2294" s="5" t="s">
        <v>57</v>
      </c>
      <c r="F2294" s="5"/>
      <c r="G2294" s="22" t="n">
        <f aca="false">ROUND(SUM(I2294:P2294),3)</f>
        <v>45.588</v>
      </c>
      <c r="H2294" s="5" t="str">
        <f aca="false">IF(G2294&gt;=評分方法!$C$16,"優先評估",IF(G2294&gt;=評分方法!$C$17,"列入候選",IF(G2294&gt;=評分方法!$C$18,"特定情境","不建議")))</f>
        <v>不建議</v>
      </c>
      <c r="I2294" s="15" t="n">
        <f aca="false">AE2294*評分方法!$C$5</f>
        <v>25.5</v>
      </c>
      <c r="J2294" s="15" t="n">
        <f aca="false">AF2294*評分方法!$C$6</f>
        <v>0</v>
      </c>
      <c r="K2294" s="15" t="n">
        <f aca="false">AG2294*評分方法!$C$7</f>
        <v>4.95</v>
      </c>
      <c r="L2294" s="15" t="n">
        <f aca="false">AH2294*評分方法!$C$8</f>
        <v>1.95</v>
      </c>
      <c r="M2294" s="15" t="n">
        <f aca="false">AI2294*評分方法!$C$9</f>
        <v>6</v>
      </c>
      <c r="N2294" s="15" t="n">
        <f aca="false">AJ2294*評分方法!$C$10</f>
        <v>2.188</v>
      </c>
      <c r="O2294" s="15" t="n">
        <f aca="false">AK2294*評分方法!$C$11</f>
        <v>5</v>
      </c>
      <c r="P2294" s="15" t="n">
        <f aca="false">AL2294*評分方法!$C$12</f>
        <v>0</v>
      </c>
      <c r="Q2294" s="6" t="n">
        <v>224307</v>
      </c>
      <c r="R2294" s="6" t="n">
        <v>237099669632</v>
      </c>
      <c r="S2294" s="11" t="s">
        <v>1616</v>
      </c>
      <c r="T2294" s="11" t="s">
        <v>185</v>
      </c>
      <c r="U2294" s="5" t="s">
        <v>260</v>
      </c>
      <c r="V2294" s="11" t="s">
        <v>261</v>
      </c>
      <c r="W2294" s="5" t="s">
        <v>334</v>
      </c>
      <c r="X2294" s="5" t="s">
        <v>242</v>
      </c>
      <c r="Y2294" s="5"/>
      <c r="Z2294" s="5"/>
      <c r="AA2294" s="11" t="s">
        <v>155</v>
      </c>
      <c r="AB2294" s="5" t="s">
        <v>245</v>
      </c>
      <c r="AC2294" s="5" t="s">
        <v>262</v>
      </c>
      <c r="AD2294" s="11" t="s">
        <v>5634</v>
      </c>
      <c r="AE2294" s="23" t="n">
        <v>0.85</v>
      </c>
      <c r="AF2294" s="23" t="n">
        <v>0</v>
      </c>
      <c r="AG2294" s="23" t="n">
        <v>0.33</v>
      </c>
      <c r="AH2294" s="23" t="n">
        <v>0.13</v>
      </c>
      <c r="AI2294" s="23" t="n">
        <v>0.6</v>
      </c>
      <c r="AJ2294" s="23" t="n">
        <v>0.2188</v>
      </c>
      <c r="AK2294" s="23" t="n">
        <v>1</v>
      </c>
      <c r="AL2294" s="23" t="n">
        <v>0</v>
      </c>
      <c r="AM2294" s="16" t="n">
        <f aca="false">COUNTIFS($D$2:$D$2501,D2294,$G$2:$G$2501,"&gt;"&amp;G2294)+COUNTIFS($D$2:D2294,D2294,$G$2:G2294,G2294)</f>
        <v>970</v>
      </c>
      <c r="AN2294" s="5" t="str">
        <f aca="false">D2294&amp;"|"&amp;AM2294</f>
        <v>分析與報告生成|970</v>
      </c>
    </row>
    <row r="2295" customFormat="false" ht="17.15" hidden="false" customHeight="false" outlineLevel="0" collapsed="false">
      <c r="A2295" s="16" t="n">
        <f aca="false">RANK(G2295,$G$2:$G$2501)+COUNTIF($G$2:G2295,G2295)-1</f>
        <v>2294</v>
      </c>
      <c r="B2295" s="11" t="s">
        <v>5635</v>
      </c>
      <c r="C2295" s="11" t="s">
        <v>5636</v>
      </c>
      <c r="D2295" s="5" t="s">
        <v>74</v>
      </c>
      <c r="E2295" s="5" t="s">
        <v>75</v>
      </c>
      <c r="F2295" s="5"/>
      <c r="G2295" s="22" t="n">
        <f aca="false">ROUND(SUM(I2295:P2295),3)</f>
        <v>45.586</v>
      </c>
      <c r="H2295" s="5" t="str">
        <f aca="false">IF(G2295&gt;=評分方法!$C$16,"優先評估",IF(G2295&gt;=評分方法!$C$17,"列入候選",IF(G2295&gt;=評分方法!$C$18,"特定情境","不建議")))</f>
        <v>不建議</v>
      </c>
      <c r="I2295" s="15" t="n">
        <f aca="false">AE2295*評分方法!$C$5</f>
        <v>12</v>
      </c>
      <c r="J2295" s="15" t="n">
        <f aca="false">AF2295*評分方法!$C$6</f>
        <v>0</v>
      </c>
      <c r="K2295" s="15" t="n">
        <f aca="false">AG2295*評分方法!$C$7</f>
        <v>4.95</v>
      </c>
      <c r="L2295" s="15" t="n">
        <f aca="false">AH2295*評分方法!$C$8</f>
        <v>15</v>
      </c>
      <c r="M2295" s="15" t="n">
        <f aca="false">AI2295*評分方法!$C$9</f>
        <v>2</v>
      </c>
      <c r="N2295" s="15" t="n">
        <f aca="false">AJ2295*評分方法!$C$10</f>
        <v>9.136</v>
      </c>
      <c r="O2295" s="15" t="n">
        <f aca="false">AK2295*評分方法!$C$11</f>
        <v>1</v>
      </c>
      <c r="P2295" s="15" t="n">
        <f aca="false">AL2295*評分方法!$C$12</f>
        <v>1.5</v>
      </c>
      <c r="Q2295" s="6" t="n">
        <v>4674487</v>
      </c>
      <c r="R2295" s="6" t="n">
        <v>986109774</v>
      </c>
      <c r="S2295" s="11" t="s">
        <v>238</v>
      </c>
      <c r="T2295" s="5"/>
      <c r="U2295" s="5" t="s">
        <v>375</v>
      </c>
      <c r="V2295" s="11" t="s">
        <v>324</v>
      </c>
      <c r="W2295" s="5" t="s">
        <v>334</v>
      </c>
      <c r="X2295" s="5" t="s">
        <v>255</v>
      </c>
      <c r="Y2295" s="5"/>
      <c r="Z2295" s="5"/>
      <c r="AA2295" s="11" t="s">
        <v>167</v>
      </c>
      <c r="AB2295" s="5" t="s">
        <v>245</v>
      </c>
      <c r="AC2295" s="5" t="s">
        <v>262</v>
      </c>
      <c r="AD2295" s="11" t="s">
        <v>5637</v>
      </c>
      <c r="AE2295" s="23" t="n">
        <v>0.4</v>
      </c>
      <c r="AF2295" s="23" t="n">
        <v>0</v>
      </c>
      <c r="AG2295" s="23" t="n">
        <v>0.33</v>
      </c>
      <c r="AH2295" s="23" t="n">
        <v>1</v>
      </c>
      <c r="AI2295" s="23" t="n">
        <v>0.2</v>
      </c>
      <c r="AJ2295" s="23" t="n">
        <v>0.9136</v>
      </c>
      <c r="AK2295" s="23" t="n">
        <v>0.2</v>
      </c>
      <c r="AL2295" s="23" t="n">
        <v>0.3</v>
      </c>
      <c r="AM2295" s="16" t="n">
        <f aca="false">COUNTIFS($D$2:$D$2501,D2295,$G$2:$G$2501,"&gt;"&amp;G2295)+COUNTIFS($D$2:D2295,D2295,$G$2:G2295,G2295)</f>
        <v>311</v>
      </c>
      <c r="AN2295" s="5" t="str">
        <f aca="false">D2295&amp;"|"&amp;AM2295</f>
        <v>文件與影像辨識|311</v>
      </c>
    </row>
    <row r="2296" customFormat="false" ht="17.15" hidden="false" customHeight="false" outlineLevel="0" collapsed="false">
      <c r="A2296" s="16" t="n">
        <f aca="false">RANK(G2296,$G$2:$G$2501)+COUNTIF($G$2:G2296,G2296)-1</f>
        <v>2295</v>
      </c>
      <c r="B2296" s="11" t="s">
        <v>5638</v>
      </c>
      <c r="C2296" s="11" t="s">
        <v>5639</v>
      </c>
      <c r="D2296" s="5" t="s">
        <v>78</v>
      </c>
      <c r="E2296" s="5" t="s">
        <v>79</v>
      </c>
      <c r="F2296" s="5"/>
      <c r="G2296" s="22" t="n">
        <f aca="false">ROUND(SUM(I2296:P2296),3)</f>
        <v>45.562</v>
      </c>
      <c r="H2296" s="5" t="str">
        <f aca="false">IF(G2296&gt;=評分方法!$C$16,"優先評估",IF(G2296&gt;=評分方法!$C$17,"列入候選",IF(G2296&gt;=評分方法!$C$18,"特定情境","不建議")))</f>
        <v>不建議</v>
      </c>
      <c r="I2296" s="15" t="n">
        <f aca="false">AE2296*評分方法!$C$5</f>
        <v>5.4</v>
      </c>
      <c r="J2296" s="15" t="n">
        <f aca="false">AF2296*評分方法!$C$6</f>
        <v>0</v>
      </c>
      <c r="K2296" s="15" t="n">
        <f aca="false">AG2296*評分方法!$C$7</f>
        <v>4.95</v>
      </c>
      <c r="L2296" s="15" t="n">
        <f aca="false">AH2296*評分方法!$C$8</f>
        <v>15</v>
      </c>
      <c r="M2296" s="15" t="n">
        <f aca="false">AI2296*評分方法!$C$9</f>
        <v>10</v>
      </c>
      <c r="N2296" s="15" t="n">
        <f aca="false">AJ2296*評分方法!$C$10</f>
        <v>7.712</v>
      </c>
      <c r="O2296" s="15" t="n">
        <f aca="false">AK2296*評分方法!$C$11</f>
        <v>2.5</v>
      </c>
      <c r="P2296" s="15" t="n">
        <f aca="false">AL2296*評分方法!$C$12</f>
        <v>0</v>
      </c>
      <c r="Q2296" s="6" t="n">
        <v>1289156</v>
      </c>
      <c r="R2296" s="6" t="n">
        <v>808878080</v>
      </c>
      <c r="S2296" s="11" t="s">
        <v>238</v>
      </c>
      <c r="T2296" s="11" t="s">
        <v>239</v>
      </c>
      <c r="U2296" s="5" t="s">
        <v>240</v>
      </c>
      <c r="V2296" s="11" t="s">
        <v>261</v>
      </c>
      <c r="W2296" s="5" t="s">
        <v>334</v>
      </c>
      <c r="X2296" s="5" t="s">
        <v>242</v>
      </c>
      <c r="Y2296" s="11" t="s">
        <v>5640</v>
      </c>
      <c r="Z2296" s="11" t="s">
        <v>270</v>
      </c>
      <c r="AA2296" s="11" t="s">
        <v>175</v>
      </c>
      <c r="AB2296" s="5" t="s">
        <v>245</v>
      </c>
      <c r="AC2296" s="5" t="s">
        <v>1463</v>
      </c>
      <c r="AD2296" s="11" t="s">
        <v>5641</v>
      </c>
      <c r="AE2296" s="23" t="n">
        <v>0.18</v>
      </c>
      <c r="AF2296" s="23" t="n">
        <v>0</v>
      </c>
      <c r="AG2296" s="23" t="n">
        <v>0.33</v>
      </c>
      <c r="AH2296" s="23" t="n">
        <v>1</v>
      </c>
      <c r="AI2296" s="23" t="n">
        <v>1</v>
      </c>
      <c r="AJ2296" s="23" t="n">
        <v>0.7712</v>
      </c>
      <c r="AK2296" s="23" t="n">
        <v>0.5</v>
      </c>
      <c r="AL2296" s="23" t="n">
        <v>0</v>
      </c>
      <c r="AM2296" s="16" t="n">
        <f aca="false">COUNTIFS($D$2:$D$2501,D2296,$G$2:$G$2501,"&gt;"&amp;G2296)+COUNTIFS($D$2:D2296,D2296,$G$2:G2296,G2296)</f>
        <v>102</v>
      </c>
      <c r="AN2296" s="5" t="str">
        <f aca="false">D2296&amp;"|"&amp;AM2296</f>
        <v>語音分析|102</v>
      </c>
    </row>
    <row r="2297" customFormat="false" ht="17.15" hidden="false" customHeight="false" outlineLevel="0" collapsed="false">
      <c r="A2297" s="16" t="n">
        <f aca="false">RANK(G2297,$G$2:$G$2501)+COUNTIF($G$2:G2297,G2297)-1</f>
        <v>2296</v>
      </c>
      <c r="B2297" s="11" t="s">
        <v>5642</v>
      </c>
      <c r="C2297" s="11" t="s">
        <v>5643</v>
      </c>
      <c r="D2297" s="5" t="s">
        <v>66</v>
      </c>
      <c r="E2297" s="5" t="s">
        <v>67</v>
      </c>
      <c r="F2297" s="5"/>
      <c r="G2297" s="22" t="n">
        <f aca="false">ROUND(SUM(I2297:P2297),3)</f>
        <v>45.542</v>
      </c>
      <c r="H2297" s="5" t="str">
        <f aca="false">IF(G2297&gt;=評分方法!$C$16,"優先評估",IF(G2297&gt;=評分方法!$C$17,"列入候選",IF(G2297&gt;=評分方法!$C$18,"特定情境","不建議")))</f>
        <v>不建議</v>
      </c>
      <c r="I2297" s="15" t="n">
        <f aca="false">AE2297*評分方法!$C$5</f>
        <v>7.2</v>
      </c>
      <c r="J2297" s="15" t="n">
        <f aca="false">AF2297*評分方法!$C$6</f>
        <v>0</v>
      </c>
      <c r="K2297" s="15" t="n">
        <f aca="false">AG2297*評分方法!$C$7</f>
        <v>4.95</v>
      </c>
      <c r="L2297" s="15" t="n">
        <f aca="false">AH2297*評分方法!$C$8</f>
        <v>15</v>
      </c>
      <c r="M2297" s="15" t="n">
        <f aca="false">AI2297*評分方法!$C$9</f>
        <v>10</v>
      </c>
      <c r="N2297" s="15" t="n">
        <f aca="false">AJ2297*評分方法!$C$10</f>
        <v>5.892</v>
      </c>
      <c r="O2297" s="15" t="n">
        <f aca="false">AK2297*評分方法!$C$11</f>
        <v>2.5</v>
      </c>
      <c r="P2297" s="15" t="n">
        <f aca="false">AL2297*評分方法!$C$12</f>
        <v>0</v>
      </c>
      <c r="Q2297" s="6" t="n">
        <v>607279</v>
      </c>
      <c r="R2297" s="6" t="n">
        <v>124442882</v>
      </c>
      <c r="S2297" s="11" t="s">
        <v>238</v>
      </c>
      <c r="T2297" s="11" t="s">
        <v>239</v>
      </c>
      <c r="U2297" s="5" t="s">
        <v>240</v>
      </c>
      <c r="V2297" s="11" t="s">
        <v>261</v>
      </c>
      <c r="W2297" s="5" t="s">
        <v>334</v>
      </c>
      <c r="X2297" s="5" t="s">
        <v>242</v>
      </c>
      <c r="Y2297" s="11" t="s">
        <v>5644</v>
      </c>
      <c r="Z2297" s="11" t="s">
        <v>270</v>
      </c>
      <c r="AA2297" s="11" t="s">
        <v>149</v>
      </c>
      <c r="AB2297" s="5" t="s">
        <v>245</v>
      </c>
      <c r="AC2297" s="5" t="s">
        <v>5236</v>
      </c>
      <c r="AD2297" s="11" t="s">
        <v>5645</v>
      </c>
      <c r="AE2297" s="23" t="n">
        <v>0.24</v>
      </c>
      <c r="AF2297" s="23" t="n">
        <v>0</v>
      </c>
      <c r="AG2297" s="23" t="n">
        <v>0.33</v>
      </c>
      <c r="AH2297" s="23" t="n">
        <v>1</v>
      </c>
      <c r="AI2297" s="23" t="n">
        <v>1</v>
      </c>
      <c r="AJ2297" s="23" t="n">
        <v>0.5892</v>
      </c>
      <c r="AK2297" s="23" t="n">
        <v>0.5</v>
      </c>
      <c r="AL2297" s="23" t="n">
        <v>0</v>
      </c>
      <c r="AM2297" s="16" t="n">
        <f aca="false">COUNTIFS($D$2:$D$2501,D2297,$G$2:$G$2501,"&gt;"&amp;G2297)+COUNTIFS($D$2:D2297,D2297,$G$2:G2297,G2297)</f>
        <v>73</v>
      </c>
      <c r="AN2297" s="5" t="str">
        <f aca="false">D2297&amp;"|"&amp;AM2297</f>
        <v>分類與偵測|73</v>
      </c>
    </row>
    <row r="2298" customFormat="false" ht="17.15" hidden="false" customHeight="false" outlineLevel="0" collapsed="false">
      <c r="A2298" s="16" t="n">
        <f aca="false">RANK(G2298,$G$2:$G$2501)+COUNTIF($G$2:G2298,G2298)-1</f>
        <v>2297</v>
      </c>
      <c r="B2298" s="11" t="s">
        <v>5646</v>
      </c>
      <c r="C2298" s="11" t="s">
        <v>5647</v>
      </c>
      <c r="D2298" s="5" t="s">
        <v>78</v>
      </c>
      <c r="E2298" s="5" t="s">
        <v>79</v>
      </c>
      <c r="F2298" s="5"/>
      <c r="G2298" s="22" t="n">
        <f aca="false">ROUND(SUM(I2298:P2298),3)</f>
        <v>45.49</v>
      </c>
      <c r="H2298" s="5" t="str">
        <f aca="false">IF(G2298&gt;=評分方法!$C$16,"優先評估",IF(G2298&gt;=評分方法!$C$17,"列入候選",IF(G2298&gt;=評分方法!$C$18,"特定情境","不建議")))</f>
        <v>不建議</v>
      </c>
      <c r="I2298" s="15" t="n">
        <f aca="false">AE2298*評分方法!$C$5</f>
        <v>5.4</v>
      </c>
      <c r="J2298" s="15" t="n">
        <f aca="false">AF2298*評分方法!$C$6</f>
        <v>0</v>
      </c>
      <c r="K2298" s="15" t="n">
        <f aca="false">AG2298*評分方法!$C$7</f>
        <v>4.95</v>
      </c>
      <c r="L2298" s="15" t="n">
        <f aca="false">AH2298*評分方法!$C$8</f>
        <v>15</v>
      </c>
      <c r="M2298" s="15" t="n">
        <f aca="false">AI2298*評分方法!$C$9</f>
        <v>10</v>
      </c>
      <c r="N2298" s="15" t="n">
        <f aca="false">AJ2298*評分方法!$C$10</f>
        <v>6.14</v>
      </c>
      <c r="O2298" s="15" t="n">
        <f aca="false">AK2298*評分方法!$C$11</f>
        <v>4</v>
      </c>
      <c r="P2298" s="15" t="n">
        <f aca="false">AL2298*評分方法!$C$12</f>
        <v>0</v>
      </c>
      <c r="Q2298" s="6" t="n">
        <v>654220</v>
      </c>
      <c r="R2298" s="6" t="n">
        <v>94402472</v>
      </c>
      <c r="S2298" s="11" t="s">
        <v>238</v>
      </c>
      <c r="T2298" s="11" t="s">
        <v>239</v>
      </c>
      <c r="U2298" s="5" t="s">
        <v>240</v>
      </c>
      <c r="V2298" s="11" t="s">
        <v>261</v>
      </c>
      <c r="W2298" s="5" t="s">
        <v>334</v>
      </c>
      <c r="X2298" s="5" t="s">
        <v>242</v>
      </c>
      <c r="Y2298" s="11" t="s">
        <v>5648</v>
      </c>
      <c r="Z2298" s="11" t="s">
        <v>270</v>
      </c>
      <c r="AA2298" s="11" t="s">
        <v>175</v>
      </c>
      <c r="AB2298" s="5" t="s">
        <v>245</v>
      </c>
      <c r="AC2298" s="5" t="s">
        <v>1463</v>
      </c>
      <c r="AD2298" s="11" t="s">
        <v>5649</v>
      </c>
      <c r="AE2298" s="23" t="n">
        <v>0.18</v>
      </c>
      <c r="AF2298" s="23" t="n">
        <v>0</v>
      </c>
      <c r="AG2298" s="23" t="n">
        <v>0.33</v>
      </c>
      <c r="AH2298" s="23" t="n">
        <v>1</v>
      </c>
      <c r="AI2298" s="23" t="n">
        <v>1</v>
      </c>
      <c r="AJ2298" s="23" t="n">
        <v>0.614</v>
      </c>
      <c r="AK2298" s="23" t="n">
        <v>0.8</v>
      </c>
      <c r="AL2298" s="23" t="n">
        <v>0</v>
      </c>
      <c r="AM2298" s="16" t="n">
        <f aca="false">COUNTIFS($D$2:$D$2501,D2298,$G$2:$G$2501,"&gt;"&amp;G2298)+COUNTIFS($D$2:D2298,D2298,$G$2:G2298,G2298)</f>
        <v>103</v>
      </c>
      <c r="AN2298" s="5" t="str">
        <f aca="false">D2298&amp;"|"&amp;AM2298</f>
        <v>語音分析|103</v>
      </c>
    </row>
    <row r="2299" customFormat="false" ht="17.15" hidden="false" customHeight="false" outlineLevel="0" collapsed="false">
      <c r="A2299" s="16" t="n">
        <f aca="false">RANK(G2299,$G$2:$G$2501)+COUNTIF($G$2:G2299,G2299)-1</f>
        <v>2298</v>
      </c>
      <c r="B2299" s="11" t="s">
        <v>5650</v>
      </c>
      <c r="C2299" s="11" t="s">
        <v>5651</v>
      </c>
      <c r="D2299" s="5" t="s">
        <v>80</v>
      </c>
      <c r="E2299" s="5" t="s">
        <v>81</v>
      </c>
      <c r="F2299" s="5"/>
      <c r="G2299" s="22" t="n">
        <f aca="false">ROUND(SUM(I2299:P2299),3)</f>
        <v>45.43</v>
      </c>
      <c r="H2299" s="5" t="str">
        <f aca="false">IF(G2299&gt;=評分方法!$C$16,"優先評估",IF(G2299&gt;=評分方法!$C$17,"列入候選",IF(G2299&gt;=評分方法!$C$18,"特定情境","不建議")))</f>
        <v>不建議</v>
      </c>
      <c r="I2299" s="15" t="n">
        <f aca="false">AE2299*評分方法!$C$5</f>
        <v>6</v>
      </c>
      <c r="J2299" s="15" t="n">
        <f aca="false">AF2299*評分方法!$C$6</f>
        <v>0</v>
      </c>
      <c r="K2299" s="15" t="n">
        <f aca="false">AG2299*評分方法!$C$7</f>
        <v>4.95</v>
      </c>
      <c r="L2299" s="15" t="n">
        <f aca="false">AH2299*評分方法!$C$8</f>
        <v>15</v>
      </c>
      <c r="M2299" s="15" t="n">
        <f aca="false">AI2299*評分方法!$C$9</f>
        <v>10</v>
      </c>
      <c r="N2299" s="15" t="n">
        <f aca="false">AJ2299*評分方法!$C$10</f>
        <v>2.98</v>
      </c>
      <c r="O2299" s="15" t="n">
        <f aca="false">AK2299*評分方法!$C$11</f>
        <v>5</v>
      </c>
      <c r="P2299" s="15" t="n">
        <f aca="false">AL2299*評分方法!$C$12</f>
        <v>1.5</v>
      </c>
      <c r="Q2299" s="6" t="n">
        <v>292453</v>
      </c>
      <c r="R2299" s="6" t="n">
        <v>4188690</v>
      </c>
      <c r="S2299" s="11" t="s">
        <v>238</v>
      </c>
      <c r="T2299" s="11" t="s">
        <v>239</v>
      </c>
      <c r="U2299" s="5" t="s">
        <v>240</v>
      </c>
      <c r="V2299" s="11" t="s">
        <v>261</v>
      </c>
      <c r="W2299" s="5" t="s">
        <v>334</v>
      </c>
      <c r="X2299" s="5" t="s">
        <v>255</v>
      </c>
      <c r="Y2299" s="5"/>
      <c r="Z2299" s="5"/>
      <c r="AA2299" s="5"/>
      <c r="AB2299" s="5" t="s">
        <v>255</v>
      </c>
      <c r="AC2299" s="5"/>
      <c r="AD2299" s="11" t="s">
        <v>5652</v>
      </c>
      <c r="AE2299" s="23" t="n">
        <v>0.2</v>
      </c>
      <c r="AF2299" s="23" t="n">
        <v>0</v>
      </c>
      <c r="AG2299" s="23" t="n">
        <v>0.33</v>
      </c>
      <c r="AH2299" s="23" t="n">
        <v>1</v>
      </c>
      <c r="AI2299" s="23" t="n">
        <v>1</v>
      </c>
      <c r="AJ2299" s="23" t="n">
        <v>0.298</v>
      </c>
      <c r="AK2299" s="23" t="n">
        <v>1</v>
      </c>
      <c r="AL2299" s="23" t="n">
        <v>0.3</v>
      </c>
      <c r="AM2299" s="16" t="n">
        <f aca="false">COUNTIFS($D$2:$D$2501,D2299,$G$2:$G$2501,"&gt;"&amp;G2299)+COUNTIFS($D$2:D2299,D2299,$G$2:G2299,G2299)</f>
        <v>35</v>
      </c>
      <c r="AN2299" s="5" t="str">
        <f aca="false">D2299&amp;"|"&amp;AM2299</f>
        <v>其他|35</v>
      </c>
    </row>
    <row r="2300" customFormat="false" ht="17.15" hidden="false" customHeight="false" outlineLevel="0" collapsed="false">
      <c r="A2300" s="16" t="n">
        <f aca="false">RANK(G2300,$G$2:$G$2501)+COUNTIF($G$2:G2300,G2300)-1</f>
        <v>2299</v>
      </c>
      <c r="B2300" s="11" t="s">
        <v>5653</v>
      </c>
      <c r="C2300" s="11" t="s">
        <v>5654</v>
      </c>
      <c r="D2300" s="5" t="s">
        <v>78</v>
      </c>
      <c r="E2300" s="5" t="s">
        <v>79</v>
      </c>
      <c r="F2300" s="5"/>
      <c r="G2300" s="22" t="n">
        <f aca="false">ROUND(SUM(I2300:P2300),3)</f>
        <v>45.334</v>
      </c>
      <c r="H2300" s="5" t="str">
        <f aca="false">IF(G2300&gt;=評分方法!$C$16,"優先評估",IF(G2300&gt;=評分方法!$C$17,"列入候選",IF(G2300&gt;=評分方法!$C$18,"特定情境","不建議")))</f>
        <v>不建議</v>
      </c>
      <c r="I2300" s="15" t="n">
        <f aca="false">AE2300*評分方法!$C$5</f>
        <v>5.4</v>
      </c>
      <c r="J2300" s="15" t="n">
        <f aca="false">AF2300*評分方法!$C$6</f>
        <v>0</v>
      </c>
      <c r="K2300" s="15" t="n">
        <f aca="false">AG2300*評分方法!$C$7</f>
        <v>4.95</v>
      </c>
      <c r="L2300" s="15" t="n">
        <f aca="false">AH2300*評分方法!$C$8</f>
        <v>15</v>
      </c>
      <c r="M2300" s="15" t="n">
        <f aca="false">AI2300*評分方法!$C$9</f>
        <v>10</v>
      </c>
      <c r="N2300" s="15" t="n">
        <f aca="false">AJ2300*評分方法!$C$10</f>
        <v>8.984</v>
      </c>
      <c r="O2300" s="15" t="n">
        <f aca="false">AK2300*評分方法!$C$11</f>
        <v>1</v>
      </c>
      <c r="P2300" s="15" t="n">
        <f aca="false">AL2300*評分方法!$C$12</f>
        <v>0</v>
      </c>
      <c r="Q2300" s="6" t="n">
        <v>3790634</v>
      </c>
      <c r="R2300" s="6" t="n">
        <v>315499195</v>
      </c>
      <c r="S2300" s="11" t="s">
        <v>238</v>
      </c>
      <c r="T2300" s="11" t="s">
        <v>239</v>
      </c>
      <c r="U2300" s="5" t="s">
        <v>240</v>
      </c>
      <c r="V2300" s="11" t="s">
        <v>261</v>
      </c>
      <c r="W2300" s="5" t="s">
        <v>334</v>
      </c>
      <c r="X2300" s="5" t="s">
        <v>242</v>
      </c>
      <c r="Y2300" s="11" t="s">
        <v>5579</v>
      </c>
      <c r="Z2300" s="11" t="s">
        <v>270</v>
      </c>
      <c r="AA2300" s="11" t="s">
        <v>175</v>
      </c>
      <c r="AB2300" s="5" t="s">
        <v>245</v>
      </c>
      <c r="AC2300" s="5" t="s">
        <v>1463</v>
      </c>
      <c r="AD2300" s="11" t="s">
        <v>5655</v>
      </c>
      <c r="AE2300" s="23" t="n">
        <v>0.18</v>
      </c>
      <c r="AF2300" s="23" t="n">
        <v>0</v>
      </c>
      <c r="AG2300" s="23" t="n">
        <v>0.33</v>
      </c>
      <c r="AH2300" s="23" t="n">
        <v>1</v>
      </c>
      <c r="AI2300" s="23" t="n">
        <v>1</v>
      </c>
      <c r="AJ2300" s="23" t="n">
        <v>0.8984</v>
      </c>
      <c r="AK2300" s="23" t="n">
        <v>0.2</v>
      </c>
      <c r="AL2300" s="23" t="n">
        <v>0</v>
      </c>
      <c r="AM2300" s="16" t="n">
        <f aca="false">COUNTIFS($D$2:$D$2501,D2300,$G$2:$G$2501,"&gt;"&amp;G2300)+COUNTIFS($D$2:D2300,D2300,$G$2:G2300,G2300)</f>
        <v>104</v>
      </c>
      <c r="AN2300" s="5" t="str">
        <f aca="false">D2300&amp;"|"&amp;AM2300</f>
        <v>語音分析|104</v>
      </c>
    </row>
    <row r="2301" customFormat="false" ht="17.15" hidden="false" customHeight="false" outlineLevel="0" collapsed="false">
      <c r="A2301" s="16" t="n">
        <f aca="false">RANK(G2301,$G$2:$G$2501)+COUNTIF($G$2:G2301,G2301)-1</f>
        <v>2300</v>
      </c>
      <c r="B2301" s="11" t="s">
        <v>5656</v>
      </c>
      <c r="C2301" s="11" t="s">
        <v>5657</v>
      </c>
      <c r="D2301" s="5" t="s">
        <v>80</v>
      </c>
      <c r="E2301" s="5" t="s">
        <v>81</v>
      </c>
      <c r="F2301" s="5"/>
      <c r="G2301" s="22" t="n">
        <f aca="false">ROUND(SUM(I2301:P2301),3)</f>
        <v>45.25</v>
      </c>
      <c r="H2301" s="5" t="str">
        <f aca="false">IF(G2301&gt;=評分方法!$C$16,"優先評估",IF(G2301&gt;=評分方法!$C$17,"列入候選",IF(G2301&gt;=評分方法!$C$18,"特定情境","不建議")))</f>
        <v>不建議</v>
      </c>
      <c r="I2301" s="15" t="n">
        <f aca="false">AE2301*評分方法!$C$5</f>
        <v>1.5</v>
      </c>
      <c r="J2301" s="15" t="n">
        <f aca="false">AF2301*評分方法!$C$6</f>
        <v>0</v>
      </c>
      <c r="K2301" s="15" t="n">
        <f aca="false">AG2301*評分方法!$C$7</f>
        <v>4.95</v>
      </c>
      <c r="L2301" s="15" t="n">
        <f aca="false">AH2301*評分方法!$C$8</f>
        <v>15</v>
      </c>
      <c r="M2301" s="15" t="n">
        <f aca="false">AI2301*評分方法!$C$9</f>
        <v>10</v>
      </c>
      <c r="N2301" s="15" t="n">
        <f aca="false">AJ2301*評分方法!$C$10</f>
        <v>7.3</v>
      </c>
      <c r="O2301" s="15" t="n">
        <f aca="false">AK2301*評分方法!$C$11</f>
        <v>5</v>
      </c>
      <c r="P2301" s="15" t="n">
        <f aca="false">AL2301*評分方法!$C$12</f>
        <v>1.5</v>
      </c>
      <c r="Q2301" s="6" t="n">
        <v>1045845</v>
      </c>
      <c r="R2301" s="6" t="n">
        <v>629937706</v>
      </c>
      <c r="S2301" s="11" t="s">
        <v>238</v>
      </c>
      <c r="T2301" s="11" t="s">
        <v>239</v>
      </c>
      <c r="U2301" s="5" t="s">
        <v>240</v>
      </c>
      <c r="V2301" s="11" t="s">
        <v>324</v>
      </c>
      <c r="W2301" s="5" t="s">
        <v>334</v>
      </c>
      <c r="X2301" s="5" t="s">
        <v>255</v>
      </c>
      <c r="Y2301" s="5"/>
      <c r="Z2301" s="5"/>
      <c r="AA2301" s="11" t="s">
        <v>188</v>
      </c>
      <c r="AB2301" s="5" t="s">
        <v>245</v>
      </c>
      <c r="AC2301" s="5"/>
      <c r="AD2301" s="11" t="s">
        <v>5658</v>
      </c>
      <c r="AE2301" s="23" t="n">
        <v>0.05</v>
      </c>
      <c r="AF2301" s="23" t="n">
        <v>0</v>
      </c>
      <c r="AG2301" s="23" t="n">
        <v>0.33</v>
      </c>
      <c r="AH2301" s="23" t="n">
        <v>1</v>
      </c>
      <c r="AI2301" s="23" t="n">
        <v>1</v>
      </c>
      <c r="AJ2301" s="23" t="n">
        <v>0.73</v>
      </c>
      <c r="AK2301" s="23" t="n">
        <v>1</v>
      </c>
      <c r="AL2301" s="23" t="n">
        <v>0.3</v>
      </c>
      <c r="AM2301" s="16" t="n">
        <f aca="false">COUNTIFS($D$2:$D$2501,D2301,$G$2:$G$2501,"&gt;"&amp;G2301)+COUNTIFS($D$2:D2301,D2301,$G$2:G2301,G2301)</f>
        <v>36</v>
      </c>
      <c r="AN2301" s="5" t="str">
        <f aca="false">D2301&amp;"|"&amp;AM2301</f>
        <v>其他|36</v>
      </c>
    </row>
    <row r="2302" customFormat="false" ht="17.15" hidden="false" customHeight="false" outlineLevel="0" collapsed="false">
      <c r="A2302" s="16" t="n">
        <f aca="false">RANK(G2302,$G$2:$G$2501)+COUNTIF($G$2:G2302,G2302)-1</f>
        <v>2301</v>
      </c>
      <c r="B2302" s="11" t="s">
        <v>5659</v>
      </c>
      <c r="C2302" s="11" t="s">
        <v>5660</v>
      </c>
      <c r="D2302" s="5" t="s">
        <v>78</v>
      </c>
      <c r="E2302" s="5" t="s">
        <v>79</v>
      </c>
      <c r="F2302" s="5"/>
      <c r="G2302" s="22" t="n">
        <f aca="false">ROUND(SUM(I2302:P2302),3)</f>
        <v>45.198</v>
      </c>
      <c r="H2302" s="5" t="str">
        <f aca="false">IF(G2302&gt;=評分方法!$C$16,"優先評估",IF(G2302&gt;=評分方法!$C$17,"列入候選",IF(G2302&gt;=評分方法!$C$18,"特定情境","不建議")))</f>
        <v>不建議</v>
      </c>
      <c r="I2302" s="15" t="n">
        <f aca="false">AE2302*評分方法!$C$5</f>
        <v>9</v>
      </c>
      <c r="J2302" s="15" t="n">
        <f aca="false">AF2302*評分方法!$C$6</f>
        <v>0</v>
      </c>
      <c r="K2302" s="15" t="n">
        <f aca="false">AG2302*評分方法!$C$7</f>
        <v>4.95</v>
      </c>
      <c r="L2302" s="15" t="n">
        <f aca="false">AH2302*評分方法!$C$8</f>
        <v>15</v>
      </c>
      <c r="M2302" s="15" t="n">
        <f aca="false">AI2302*評分方法!$C$9</f>
        <v>2</v>
      </c>
      <c r="N2302" s="15" t="n">
        <f aca="false">AJ2302*評分方法!$C$10</f>
        <v>8.748</v>
      </c>
      <c r="O2302" s="15" t="n">
        <f aca="false">AK2302*評分方法!$C$11</f>
        <v>4</v>
      </c>
      <c r="P2302" s="15" t="n">
        <f aca="false">AL2302*評分方法!$C$12</f>
        <v>1.5</v>
      </c>
      <c r="Q2302" s="6" t="n">
        <v>2897965</v>
      </c>
      <c r="R2302" s="6" t="n">
        <v>241734912</v>
      </c>
      <c r="S2302" s="11" t="s">
        <v>238</v>
      </c>
      <c r="T2302" s="5"/>
      <c r="U2302" s="5" t="s">
        <v>375</v>
      </c>
      <c r="V2302" s="11" t="s">
        <v>261</v>
      </c>
      <c r="W2302" s="5" t="s">
        <v>334</v>
      </c>
      <c r="X2302" s="5" t="s">
        <v>255</v>
      </c>
      <c r="Y2302" s="5"/>
      <c r="Z2302" s="5"/>
      <c r="AA2302" s="11" t="s">
        <v>175</v>
      </c>
      <c r="AB2302" s="5" t="s">
        <v>245</v>
      </c>
      <c r="AC2302" s="5" t="s">
        <v>262</v>
      </c>
      <c r="AD2302" s="11" t="s">
        <v>5661</v>
      </c>
      <c r="AE2302" s="23" t="n">
        <v>0.3</v>
      </c>
      <c r="AF2302" s="23" t="n">
        <v>0</v>
      </c>
      <c r="AG2302" s="23" t="n">
        <v>0.33</v>
      </c>
      <c r="AH2302" s="23" t="n">
        <v>1</v>
      </c>
      <c r="AI2302" s="23" t="n">
        <v>0.2</v>
      </c>
      <c r="AJ2302" s="23" t="n">
        <v>0.8748</v>
      </c>
      <c r="AK2302" s="23" t="n">
        <v>0.8</v>
      </c>
      <c r="AL2302" s="23" t="n">
        <v>0.3</v>
      </c>
      <c r="AM2302" s="16" t="n">
        <f aca="false">COUNTIFS($D$2:$D$2501,D2302,$G$2:$G$2501,"&gt;"&amp;G2302)+COUNTIFS($D$2:D2302,D2302,$G$2:G2302,G2302)</f>
        <v>105</v>
      </c>
      <c r="AN2302" s="5" t="str">
        <f aca="false">D2302&amp;"|"&amp;AM2302</f>
        <v>語音分析|105</v>
      </c>
    </row>
    <row r="2303" customFormat="false" ht="17.15" hidden="false" customHeight="false" outlineLevel="0" collapsed="false">
      <c r="A2303" s="16" t="n">
        <f aca="false">RANK(G2303,$G$2:$G$2501)+COUNTIF($G$2:G2303,G2303)-1</f>
        <v>2302</v>
      </c>
      <c r="B2303" s="11" t="s">
        <v>5662</v>
      </c>
      <c r="C2303" s="11" t="s">
        <v>5663</v>
      </c>
      <c r="D2303" s="5" t="s">
        <v>56</v>
      </c>
      <c r="E2303" s="5" t="s">
        <v>57</v>
      </c>
      <c r="F2303" s="5"/>
      <c r="G2303" s="22" t="n">
        <f aca="false">ROUND(SUM(I2303:P2303),3)</f>
        <v>45.12</v>
      </c>
      <c r="H2303" s="5" t="str">
        <f aca="false">IF(G2303&gt;=評分方法!$C$16,"優先評估",IF(G2303&gt;=評分方法!$C$17,"列入候選",IF(G2303&gt;=評分方法!$C$18,"特定情境","不建議")))</f>
        <v>不建議</v>
      </c>
      <c r="I2303" s="15" t="n">
        <f aca="false">AE2303*評分方法!$C$5</f>
        <v>25.5</v>
      </c>
      <c r="J2303" s="15" t="n">
        <f aca="false">AF2303*評分方法!$C$6</f>
        <v>0</v>
      </c>
      <c r="K2303" s="15" t="n">
        <f aca="false">AG2303*評分方法!$C$7</f>
        <v>4.95</v>
      </c>
      <c r="L2303" s="15" t="n">
        <f aca="false">AH2303*評分方法!$C$8</f>
        <v>7.05</v>
      </c>
      <c r="M2303" s="15" t="n">
        <f aca="false">AI2303*評分方法!$C$9</f>
        <v>2</v>
      </c>
      <c r="N2303" s="15" t="n">
        <f aca="false">AJ2303*評分方法!$C$10</f>
        <v>1.62</v>
      </c>
      <c r="O2303" s="15" t="n">
        <f aca="false">AK2303*評分方法!$C$11</f>
        <v>1</v>
      </c>
      <c r="P2303" s="15" t="n">
        <f aca="false">AL2303*評分方法!$C$12</f>
        <v>3</v>
      </c>
      <c r="Q2303" s="6" t="n">
        <v>185882</v>
      </c>
      <c r="R2303" s="6"/>
      <c r="S2303" s="5" t="s">
        <v>255</v>
      </c>
      <c r="T2303" s="5"/>
      <c r="U2303" s="5" t="s">
        <v>375</v>
      </c>
      <c r="V2303" s="11" t="s">
        <v>333</v>
      </c>
      <c r="W2303" s="5" t="s">
        <v>334</v>
      </c>
      <c r="X2303" s="5" t="s">
        <v>371</v>
      </c>
      <c r="Y2303" s="5"/>
      <c r="Z2303" s="5"/>
      <c r="AA2303" s="11" t="s">
        <v>155</v>
      </c>
      <c r="AB2303" s="5" t="s">
        <v>961</v>
      </c>
      <c r="AC2303" s="5" t="s">
        <v>1977</v>
      </c>
      <c r="AD2303" s="11" t="s">
        <v>5664</v>
      </c>
      <c r="AE2303" s="23" t="n">
        <v>0.85</v>
      </c>
      <c r="AF2303" s="23" t="n">
        <v>0</v>
      </c>
      <c r="AG2303" s="23" t="n">
        <v>0.33</v>
      </c>
      <c r="AH2303" s="23" t="n">
        <v>0.47</v>
      </c>
      <c r="AI2303" s="23" t="n">
        <v>0.2</v>
      </c>
      <c r="AJ2303" s="23" t="n">
        <v>0.162</v>
      </c>
      <c r="AK2303" s="23" t="n">
        <v>0.2</v>
      </c>
      <c r="AL2303" s="23" t="n">
        <v>0.6</v>
      </c>
      <c r="AM2303" s="16" t="n">
        <f aca="false">COUNTIFS($D$2:$D$2501,D2303,$G$2:$G$2501,"&gt;"&amp;G2303)+COUNTIFS($D$2:D2303,D2303,$G$2:G2303,G2303)</f>
        <v>971</v>
      </c>
      <c r="AN2303" s="5" t="str">
        <f aca="false">D2303&amp;"|"&amp;AM2303</f>
        <v>分析與報告生成|971</v>
      </c>
    </row>
    <row r="2304" customFormat="false" ht="17.15" hidden="false" customHeight="false" outlineLevel="0" collapsed="false">
      <c r="A2304" s="16" t="n">
        <f aca="false">RANK(G2304,$G$2:$G$2501)+COUNTIF($G$2:G2304,G2304)-1</f>
        <v>2303</v>
      </c>
      <c r="B2304" s="11" t="s">
        <v>5665</v>
      </c>
      <c r="C2304" s="11" t="s">
        <v>681</v>
      </c>
      <c r="D2304" s="5" t="s">
        <v>74</v>
      </c>
      <c r="E2304" s="5" t="s">
        <v>75</v>
      </c>
      <c r="F2304" s="5"/>
      <c r="G2304" s="22" t="n">
        <f aca="false">ROUND(SUM(I2304:P2304),3)</f>
        <v>45.064</v>
      </c>
      <c r="H2304" s="5" t="str">
        <f aca="false">IF(G2304&gt;=評分方法!$C$16,"優先評估",IF(G2304&gt;=評分方法!$C$17,"列入候選",IF(G2304&gt;=評分方法!$C$18,"特定情境","不建議")))</f>
        <v>不建議</v>
      </c>
      <c r="I2304" s="15" t="n">
        <f aca="false">AE2304*評分方法!$C$5</f>
        <v>4.5</v>
      </c>
      <c r="J2304" s="15" t="n">
        <f aca="false">AF2304*評分方法!$C$6</f>
        <v>0</v>
      </c>
      <c r="K2304" s="15" t="n">
        <f aca="false">AG2304*評分方法!$C$7</f>
        <v>15</v>
      </c>
      <c r="L2304" s="15" t="n">
        <f aca="false">AH2304*評分方法!$C$8</f>
        <v>15</v>
      </c>
      <c r="M2304" s="15" t="n">
        <f aca="false">AI2304*評分方法!$C$9</f>
        <v>6</v>
      </c>
      <c r="N2304" s="15" t="n">
        <f aca="false">AJ2304*評分方法!$C$10</f>
        <v>2.064</v>
      </c>
      <c r="O2304" s="15" t="n">
        <f aca="false">AK2304*評分方法!$C$11</f>
        <v>1</v>
      </c>
      <c r="P2304" s="15" t="n">
        <f aca="false">AL2304*評分方法!$C$12</f>
        <v>1.5</v>
      </c>
      <c r="Q2304" s="6" t="n">
        <v>215256</v>
      </c>
      <c r="R2304" s="6" t="n">
        <v>215964664</v>
      </c>
      <c r="S2304" s="11" t="s">
        <v>238</v>
      </c>
      <c r="T2304" s="11" t="s">
        <v>185</v>
      </c>
      <c r="U2304" s="5" t="s">
        <v>260</v>
      </c>
      <c r="V2304" s="11" t="s">
        <v>324</v>
      </c>
      <c r="W2304" s="5" t="s">
        <v>205</v>
      </c>
      <c r="X2304" s="5" t="s">
        <v>255</v>
      </c>
      <c r="Y2304" s="5"/>
      <c r="Z2304" s="5"/>
      <c r="AA2304" s="11" t="s">
        <v>183</v>
      </c>
      <c r="AB2304" s="5" t="s">
        <v>245</v>
      </c>
      <c r="AC2304" s="5" t="s">
        <v>262</v>
      </c>
      <c r="AD2304" s="11" t="s">
        <v>5666</v>
      </c>
      <c r="AE2304" s="23" t="n">
        <v>0.15</v>
      </c>
      <c r="AF2304" s="23" t="n">
        <v>0</v>
      </c>
      <c r="AG2304" s="23" t="n">
        <v>1</v>
      </c>
      <c r="AH2304" s="23" t="n">
        <v>1</v>
      </c>
      <c r="AI2304" s="23" t="n">
        <v>0.6</v>
      </c>
      <c r="AJ2304" s="23" t="n">
        <v>0.2064</v>
      </c>
      <c r="AK2304" s="23" t="n">
        <v>0.2</v>
      </c>
      <c r="AL2304" s="23" t="n">
        <v>0.3</v>
      </c>
      <c r="AM2304" s="16" t="n">
        <f aca="false">COUNTIFS($D$2:$D$2501,D2304,$G$2:$G$2501,"&gt;"&amp;G2304)+COUNTIFS($D$2:D2304,D2304,$G$2:G2304,G2304)</f>
        <v>312</v>
      </c>
      <c r="AN2304" s="5" t="str">
        <f aca="false">D2304&amp;"|"&amp;AM2304</f>
        <v>文件與影像辨識|312</v>
      </c>
    </row>
    <row r="2305" customFormat="false" ht="17.15" hidden="false" customHeight="false" outlineLevel="0" collapsed="false">
      <c r="A2305" s="16" t="n">
        <f aca="false">RANK(G2305,$G$2:$G$2501)+COUNTIF($G$2:G2305,G2305)-1</f>
        <v>2304</v>
      </c>
      <c r="B2305" s="11" t="s">
        <v>5667</v>
      </c>
      <c r="C2305" s="11" t="s">
        <v>5668</v>
      </c>
      <c r="D2305" s="5" t="s">
        <v>76</v>
      </c>
      <c r="E2305" s="5" t="s">
        <v>77</v>
      </c>
      <c r="F2305" s="5"/>
      <c r="G2305" s="22" t="n">
        <f aca="false">ROUND(SUM(I2305:P2305),3)</f>
        <v>45.022</v>
      </c>
      <c r="H2305" s="5" t="str">
        <f aca="false">IF(G2305&gt;=評分方法!$C$16,"優先評估",IF(G2305&gt;=評分方法!$C$17,"列入候選",IF(G2305&gt;=評分方法!$C$18,"特定情境","不建議")))</f>
        <v>不建議</v>
      </c>
      <c r="I2305" s="15" t="n">
        <f aca="false">AE2305*評分方法!$C$5</f>
        <v>12</v>
      </c>
      <c r="J2305" s="15" t="n">
        <f aca="false">AF2305*評分方法!$C$6</f>
        <v>0</v>
      </c>
      <c r="K2305" s="15" t="n">
        <f aca="false">AG2305*評分方法!$C$7</f>
        <v>4.95</v>
      </c>
      <c r="L2305" s="15" t="n">
        <f aca="false">AH2305*評分方法!$C$8</f>
        <v>9</v>
      </c>
      <c r="M2305" s="15" t="n">
        <f aca="false">AI2305*評分方法!$C$9</f>
        <v>10</v>
      </c>
      <c r="N2305" s="15" t="n">
        <f aca="false">AJ2305*評分方法!$C$10</f>
        <v>6.572</v>
      </c>
      <c r="O2305" s="15" t="n">
        <f aca="false">AK2305*評分方法!$C$11</f>
        <v>2.5</v>
      </c>
      <c r="P2305" s="15" t="n">
        <f aca="false">AL2305*評分方法!$C$12</f>
        <v>0</v>
      </c>
      <c r="Q2305" s="6" t="n">
        <v>772938</v>
      </c>
      <c r="R2305" s="6" t="n">
        <v>14770033664</v>
      </c>
      <c r="S2305" s="11" t="s">
        <v>389</v>
      </c>
      <c r="T2305" s="11" t="s">
        <v>239</v>
      </c>
      <c r="U2305" s="5" t="s">
        <v>240</v>
      </c>
      <c r="V2305" s="11" t="s">
        <v>333</v>
      </c>
      <c r="W2305" s="5" t="s">
        <v>334</v>
      </c>
      <c r="X2305" s="5" t="s">
        <v>242</v>
      </c>
      <c r="Y2305" s="11" t="s">
        <v>5669</v>
      </c>
      <c r="Z2305" s="11" t="s">
        <v>244</v>
      </c>
      <c r="AA2305" s="11" t="s">
        <v>168</v>
      </c>
      <c r="AB2305" s="5" t="s">
        <v>245</v>
      </c>
      <c r="AC2305" s="5" t="s">
        <v>246</v>
      </c>
      <c r="AD2305" s="11" t="s">
        <v>5670</v>
      </c>
      <c r="AE2305" s="23" t="n">
        <v>0.4</v>
      </c>
      <c r="AF2305" s="23" t="n">
        <v>0</v>
      </c>
      <c r="AG2305" s="23" t="n">
        <v>0.33</v>
      </c>
      <c r="AH2305" s="23" t="n">
        <v>0.6</v>
      </c>
      <c r="AI2305" s="23" t="n">
        <v>1</v>
      </c>
      <c r="AJ2305" s="23" t="n">
        <v>0.6572</v>
      </c>
      <c r="AK2305" s="23" t="n">
        <v>0.5</v>
      </c>
      <c r="AL2305" s="23" t="n">
        <v>0</v>
      </c>
      <c r="AM2305" s="16" t="n">
        <f aca="false">COUNTIFS($D$2:$D$2501,D2305,$G$2:$G$2501,"&gt;"&amp;G2305)+COUNTIFS($D$2:D2305,D2305,$G$2:G2305,G2305)</f>
        <v>15</v>
      </c>
      <c r="AN2305" s="5" t="str">
        <f aca="false">D2305&amp;"|"&amp;AM2305</f>
        <v>情資翻譯|15</v>
      </c>
    </row>
    <row r="2306" customFormat="false" ht="17.15" hidden="false" customHeight="false" outlineLevel="0" collapsed="false">
      <c r="A2306" s="16" t="n">
        <f aca="false">RANK(G2306,$G$2:$G$2501)+COUNTIF($G$2:G2306,G2306)-1</f>
        <v>2305</v>
      </c>
      <c r="B2306" s="11" t="s">
        <v>5671</v>
      </c>
      <c r="C2306" s="11" t="s">
        <v>5672</v>
      </c>
      <c r="D2306" s="5" t="s">
        <v>74</v>
      </c>
      <c r="E2306" s="5" t="s">
        <v>75</v>
      </c>
      <c r="F2306" s="5"/>
      <c r="G2306" s="22" t="n">
        <f aca="false">ROUND(SUM(I2306:P2306),3)</f>
        <v>44.926</v>
      </c>
      <c r="H2306" s="5" t="str">
        <f aca="false">IF(G2306&gt;=評分方法!$C$16,"優先評估",IF(G2306&gt;=評分方法!$C$17,"列入候選",IF(G2306&gt;=評分方法!$C$18,"特定情境","不建議")))</f>
        <v>不建議</v>
      </c>
      <c r="I2306" s="15" t="n">
        <f aca="false">AE2306*評分方法!$C$5</f>
        <v>4.5</v>
      </c>
      <c r="J2306" s="15" t="n">
        <f aca="false">AF2306*評分方法!$C$6</f>
        <v>0</v>
      </c>
      <c r="K2306" s="15" t="n">
        <f aca="false">AG2306*評分方法!$C$7</f>
        <v>4.95</v>
      </c>
      <c r="L2306" s="15" t="n">
        <f aca="false">AH2306*評分方法!$C$8</f>
        <v>15</v>
      </c>
      <c r="M2306" s="15" t="n">
        <f aca="false">AI2306*評分方法!$C$9</f>
        <v>10</v>
      </c>
      <c r="N2306" s="15" t="n">
        <f aca="false">AJ2306*評分方法!$C$10</f>
        <v>4.976</v>
      </c>
      <c r="O2306" s="15" t="n">
        <f aca="false">AK2306*評分方法!$C$11</f>
        <v>4</v>
      </c>
      <c r="P2306" s="15" t="n">
        <f aca="false">AL2306*評分方法!$C$12</f>
        <v>1.5</v>
      </c>
      <c r="Q2306" s="6" t="n">
        <v>536406</v>
      </c>
      <c r="R2306" s="6" t="n">
        <v>94632322</v>
      </c>
      <c r="S2306" s="11" t="s">
        <v>238</v>
      </c>
      <c r="T2306" s="11" t="s">
        <v>278</v>
      </c>
      <c r="U2306" s="5" t="s">
        <v>240</v>
      </c>
      <c r="V2306" s="11" t="s">
        <v>288</v>
      </c>
      <c r="W2306" s="5" t="s">
        <v>334</v>
      </c>
      <c r="X2306" s="5" t="s">
        <v>255</v>
      </c>
      <c r="Y2306" s="5"/>
      <c r="Z2306" s="5"/>
      <c r="AA2306" s="11" t="s">
        <v>183</v>
      </c>
      <c r="AB2306" s="5" t="s">
        <v>245</v>
      </c>
      <c r="AC2306" s="5"/>
      <c r="AD2306" s="11" t="s">
        <v>5673</v>
      </c>
      <c r="AE2306" s="23" t="n">
        <v>0.15</v>
      </c>
      <c r="AF2306" s="23" t="n">
        <v>0</v>
      </c>
      <c r="AG2306" s="23" t="n">
        <v>0.33</v>
      </c>
      <c r="AH2306" s="23" t="n">
        <v>1</v>
      </c>
      <c r="AI2306" s="23" t="n">
        <v>1</v>
      </c>
      <c r="AJ2306" s="23" t="n">
        <v>0.4976</v>
      </c>
      <c r="AK2306" s="23" t="n">
        <v>0.8</v>
      </c>
      <c r="AL2306" s="23" t="n">
        <v>0.3</v>
      </c>
      <c r="AM2306" s="16" t="n">
        <f aca="false">COUNTIFS($D$2:$D$2501,D2306,$G$2:$G$2501,"&gt;"&amp;G2306)+COUNTIFS($D$2:D2306,D2306,$G$2:G2306,G2306)</f>
        <v>313</v>
      </c>
      <c r="AN2306" s="5" t="str">
        <f aca="false">D2306&amp;"|"&amp;AM2306</f>
        <v>文件與影像辨識|313</v>
      </c>
    </row>
    <row r="2307" customFormat="false" ht="17.15" hidden="false" customHeight="false" outlineLevel="0" collapsed="false">
      <c r="A2307" s="16" t="n">
        <f aca="false">RANK(G2307,$G$2:$G$2501)+COUNTIF($G$2:G2307,G2307)-1</f>
        <v>2306</v>
      </c>
      <c r="B2307" s="11" t="s">
        <v>5674</v>
      </c>
      <c r="C2307" s="11" t="s">
        <v>5675</v>
      </c>
      <c r="D2307" s="5" t="s">
        <v>72</v>
      </c>
      <c r="E2307" s="5" t="s">
        <v>73</v>
      </c>
      <c r="F2307" s="5"/>
      <c r="G2307" s="22" t="n">
        <f aca="false">ROUND(SUM(I2307:P2307),3)</f>
        <v>44.926</v>
      </c>
      <c r="H2307" s="5" t="str">
        <f aca="false">IF(G2307&gt;=評分方法!$C$16,"優先評估",IF(G2307&gt;=評分方法!$C$17,"列入候選",IF(G2307&gt;=評分方法!$C$18,"特定情境","不建議")))</f>
        <v>不建議</v>
      </c>
      <c r="I2307" s="15" t="n">
        <f aca="false">AE2307*評分方法!$C$5</f>
        <v>15</v>
      </c>
      <c r="J2307" s="15" t="n">
        <f aca="false">AF2307*評分方法!$C$6</f>
        <v>0</v>
      </c>
      <c r="K2307" s="15" t="n">
        <f aca="false">AG2307*評分方法!$C$7</f>
        <v>4.95</v>
      </c>
      <c r="L2307" s="15" t="n">
        <f aca="false">AH2307*評分方法!$C$8</f>
        <v>15</v>
      </c>
      <c r="M2307" s="15" t="n">
        <f aca="false">AI2307*評分方法!$C$9</f>
        <v>3</v>
      </c>
      <c r="N2307" s="15" t="n">
        <f aca="false">AJ2307*評分方法!$C$10</f>
        <v>0.476</v>
      </c>
      <c r="O2307" s="15" t="n">
        <f aca="false">AK2307*評分方法!$C$11</f>
        <v>5</v>
      </c>
      <c r="P2307" s="15" t="n">
        <f aca="false">AL2307*評分方法!$C$12</f>
        <v>1.5</v>
      </c>
      <c r="Q2307" s="6" t="n">
        <v>131438</v>
      </c>
      <c r="R2307" s="6" t="n">
        <v>131068416</v>
      </c>
      <c r="S2307" s="11" t="s">
        <v>238</v>
      </c>
      <c r="T2307" s="11" t="s">
        <v>5676</v>
      </c>
      <c r="U2307" s="5" t="s">
        <v>5677</v>
      </c>
      <c r="V2307" s="11" t="s">
        <v>261</v>
      </c>
      <c r="W2307" s="5" t="s">
        <v>334</v>
      </c>
      <c r="X2307" s="5" t="s">
        <v>255</v>
      </c>
      <c r="Y2307" s="5"/>
      <c r="Z2307" s="5"/>
      <c r="AA2307" s="11" t="s">
        <v>162</v>
      </c>
      <c r="AB2307" s="5" t="s">
        <v>328</v>
      </c>
      <c r="AC2307" s="5" t="s">
        <v>400</v>
      </c>
      <c r="AD2307" s="11" t="s">
        <v>5678</v>
      </c>
      <c r="AE2307" s="23" t="n">
        <v>0.5</v>
      </c>
      <c r="AF2307" s="23" t="n">
        <v>0</v>
      </c>
      <c r="AG2307" s="23" t="n">
        <v>0.33</v>
      </c>
      <c r="AH2307" s="23" t="n">
        <v>1</v>
      </c>
      <c r="AI2307" s="23" t="n">
        <v>0.3</v>
      </c>
      <c r="AJ2307" s="23" t="n">
        <v>0.0476</v>
      </c>
      <c r="AK2307" s="23" t="n">
        <v>1</v>
      </c>
      <c r="AL2307" s="23" t="n">
        <v>0.3</v>
      </c>
      <c r="AM2307" s="16" t="n">
        <f aca="false">COUNTIFS($D$2:$D$2501,D2307,$G$2:$G$2501,"&gt;"&amp;G2307)+COUNTIFS($D$2:D2307,D2307,$G$2:G2307,G2307)</f>
        <v>55</v>
      </c>
      <c r="AN2307" s="5" t="str">
        <f aca="false">D2307&amp;"|"&amp;AM2307</f>
        <v>微調基底模型|55</v>
      </c>
    </row>
    <row r="2308" customFormat="false" ht="17.15" hidden="false" customHeight="false" outlineLevel="0" collapsed="false">
      <c r="A2308" s="16" t="n">
        <f aca="false">RANK(G2308,$G$2:$G$2501)+COUNTIF($G$2:G2308,G2308)-1</f>
        <v>2307</v>
      </c>
      <c r="B2308" s="11" t="s">
        <v>5679</v>
      </c>
      <c r="C2308" s="11" t="s">
        <v>5680</v>
      </c>
      <c r="D2308" s="5" t="s">
        <v>56</v>
      </c>
      <c r="E2308" s="5" t="s">
        <v>57</v>
      </c>
      <c r="F2308" s="5"/>
      <c r="G2308" s="22" t="n">
        <f aca="false">ROUND(SUM(I2308:P2308),3)</f>
        <v>44.904</v>
      </c>
      <c r="H2308" s="5" t="str">
        <f aca="false">IF(G2308&gt;=評分方法!$C$16,"優先評估",IF(G2308&gt;=評分方法!$C$17,"列入候選",IF(G2308&gt;=評分方法!$C$18,"特定情境","不建議")))</f>
        <v>不建議</v>
      </c>
      <c r="I2308" s="15" t="n">
        <f aca="false">AE2308*評分方法!$C$5</f>
        <v>25.5</v>
      </c>
      <c r="J2308" s="15" t="n">
        <f aca="false">AF2308*評分方法!$C$6</f>
        <v>0</v>
      </c>
      <c r="K2308" s="15" t="n">
        <f aca="false">AG2308*評分方法!$C$7</f>
        <v>4.95</v>
      </c>
      <c r="L2308" s="15" t="n">
        <f aca="false">AH2308*評分方法!$C$8</f>
        <v>7.05</v>
      </c>
      <c r="M2308" s="15" t="n">
        <f aca="false">AI2308*評分方法!$C$9</f>
        <v>3</v>
      </c>
      <c r="N2308" s="15" t="n">
        <f aca="false">AJ2308*評分方法!$C$10</f>
        <v>0.404</v>
      </c>
      <c r="O2308" s="15" t="n">
        <f aca="false">AK2308*評分方法!$C$11</f>
        <v>1</v>
      </c>
      <c r="P2308" s="15" t="n">
        <f aca="false">AL2308*評分方法!$C$12</f>
        <v>3</v>
      </c>
      <c r="Q2308" s="6" t="n">
        <v>128482</v>
      </c>
      <c r="R2308" s="6"/>
      <c r="S2308" s="5" t="s">
        <v>255</v>
      </c>
      <c r="T2308" s="11" t="s">
        <v>5676</v>
      </c>
      <c r="U2308" s="5" t="s">
        <v>5677</v>
      </c>
      <c r="V2308" s="11" t="s">
        <v>261</v>
      </c>
      <c r="W2308" s="5" t="s">
        <v>334</v>
      </c>
      <c r="X2308" s="5" t="s">
        <v>371</v>
      </c>
      <c r="Y2308" s="5"/>
      <c r="Z2308" s="5"/>
      <c r="AA2308" s="11" t="s">
        <v>155</v>
      </c>
      <c r="AB2308" s="5" t="s">
        <v>245</v>
      </c>
      <c r="AC2308" s="5"/>
      <c r="AD2308" s="11" t="s">
        <v>5681</v>
      </c>
      <c r="AE2308" s="23" t="n">
        <v>0.85</v>
      </c>
      <c r="AF2308" s="23" t="n">
        <v>0</v>
      </c>
      <c r="AG2308" s="23" t="n">
        <v>0.33</v>
      </c>
      <c r="AH2308" s="23" t="n">
        <v>0.47</v>
      </c>
      <c r="AI2308" s="23" t="n">
        <v>0.3</v>
      </c>
      <c r="AJ2308" s="23" t="n">
        <v>0.0404</v>
      </c>
      <c r="AK2308" s="23" t="n">
        <v>0.2</v>
      </c>
      <c r="AL2308" s="23" t="n">
        <v>0.6</v>
      </c>
      <c r="AM2308" s="16" t="n">
        <f aca="false">COUNTIFS($D$2:$D$2501,D2308,$G$2:$G$2501,"&gt;"&amp;G2308)+COUNTIFS($D$2:D2308,D2308,$G$2:G2308,G2308)</f>
        <v>972</v>
      </c>
      <c r="AN2308" s="5" t="str">
        <f aca="false">D2308&amp;"|"&amp;AM2308</f>
        <v>分析與報告生成|972</v>
      </c>
    </row>
    <row r="2309" customFormat="false" ht="17.15" hidden="false" customHeight="false" outlineLevel="0" collapsed="false">
      <c r="A2309" s="16" t="n">
        <f aca="false">RANK(G2309,$G$2:$G$2501)+COUNTIF($G$2:G2309,G2309)-1</f>
        <v>2308</v>
      </c>
      <c r="B2309" s="11" t="s">
        <v>5682</v>
      </c>
      <c r="C2309" s="11" t="s">
        <v>5171</v>
      </c>
      <c r="D2309" s="5" t="s">
        <v>74</v>
      </c>
      <c r="E2309" s="5" t="s">
        <v>75</v>
      </c>
      <c r="F2309" s="5"/>
      <c r="G2309" s="22" t="n">
        <f aca="false">ROUND(SUM(I2309:P2309),3)</f>
        <v>44.896</v>
      </c>
      <c r="H2309" s="5" t="str">
        <f aca="false">IF(G2309&gt;=評分方法!$C$16,"優先評估",IF(G2309&gt;=評分方法!$C$17,"列入候選",IF(G2309&gt;=評分方法!$C$18,"特定情境","不建議")))</f>
        <v>不建議</v>
      </c>
      <c r="I2309" s="15" t="n">
        <f aca="false">AE2309*評分方法!$C$5</f>
        <v>13.5</v>
      </c>
      <c r="J2309" s="15" t="n">
        <f aca="false">AF2309*評分方法!$C$6</f>
        <v>0</v>
      </c>
      <c r="K2309" s="15" t="n">
        <f aca="false">AG2309*評分方法!$C$7</f>
        <v>4.95</v>
      </c>
      <c r="L2309" s="15" t="n">
        <f aca="false">AH2309*評分方法!$C$8</f>
        <v>7.05</v>
      </c>
      <c r="M2309" s="15" t="n">
        <f aca="false">AI2309*評分方法!$C$9</f>
        <v>10</v>
      </c>
      <c r="N2309" s="15" t="n">
        <f aca="false">AJ2309*評分方法!$C$10</f>
        <v>4.396</v>
      </c>
      <c r="O2309" s="15" t="n">
        <f aca="false">AK2309*評分方法!$C$11</f>
        <v>5</v>
      </c>
      <c r="P2309" s="15" t="n">
        <f aca="false">AL2309*評分方法!$C$12</f>
        <v>0</v>
      </c>
      <c r="Q2309" s="6" t="n">
        <v>479824</v>
      </c>
      <c r="R2309" s="6"/>
      <c r="S2309" s="5" t="s">
        <v>255</v>
      </c>
      <c r="T2309" s="11" t="s">
        <v>278</v>
      </c>
      <c r="U2309" s="5" t="s">
        <v>240</v>
      </c>
      <c r="V2309" s="11" t="s">
        <v>261</v>
      </c>
      <c r="W2309" s="5" t="s">
        <v>334</v>
      </c>
      <c r="X2309" s="5" t="s">
        <v>242</v>
      </c>
      <c r="Y2309" s="11" t="s">
        <v>5172</v>
      </c>
      <c r="Z2309" s="11" t="s">
        <v>270</v>
      </c>
      <c r="AA2309" s="11" t="s">
        <v>164</v>
      </c>
      <c r="AB2309" s="5" t="s">
        <v>245</v>
      </c>
      <c r="AC2309" s="5"/>
      <c r="AD2309" s="11" t="s">
        <v>5683</v>
      </c>
      <c r="AE2309" s="23" t="n">
        <v>0.45</v>
      </c>
      <c r="AF2309" s="23" t="n">
        <v>0</v>
      </c>
      <c r="AG2309" s="23" t="n">
        <v>0.33</v>
      </c>
      <c r="AH2309" s="23" t="n">
        <v>0.47</v>
      </c>
      <c r="AI2309" s="23" t="n">
        <v>1</v>
      </c>
      <c r="AJ2309" s="23" t="n">
        <v>0.4396</v>
      </c>
      <c r="AK2309" s="23" t="n">
        <v>1</v>
      </c>
      <c r="AL2309" s="23" t="n">
        <v>0</v>
      </c>
      <c r="AM2309" s="16" t="n">
        <f aca="false">COUNTIFS($D$2:$D$2501,D2309,$G$2:$G$2501,"&gt;"&amp;G2309)+COUNTIFS($D$2:D2309,D2309,$G$2:G2309,G2309)</f>
        <v>314</v>
      </c>
      <c r="AN2309" s="5" t="str">
        <f aca="false">D2309&amp;"|"&amp;AM2309</f>
        <v>文件與影像辨識|314</v>
      </c>
    </row>
    <row r="2310" customFormat="false" ht="17.15" hidden="false" customHeight="false" outlineLevel="0" collapsed="false">
      <c r="A2310" s="16" t="n">
        <f aca="false">RANK(G2310,$G$2:$G$2501)+COUNTIF($G$2:G2310,G2310)-1</f>
        <v>2309</v>
      </c>
      <c r="B2310" s="11" t="s">
        <v>5684</v>
      </c>
      <c r="C2310" s="11" t="s">
        <v>5685</v>
      </c>
      <c r="D2310" s="5" t="s">
        <v>72</v>
      </c>
      <c r="E2310" s="5" t="s">
        <v>73</v>
      </c>
      <c r="F2310" s="5"/>
      <c r="G2310" s="22" t="n">
        <f aca="false">ROUND(SUM(I2310:P2310),3)</f>
        <v>44.834</v>
      </c>
      <c r="H2310" s="5" t="str">
        <f aca="false">IF(G2310&gt;=評分方法!$C$16,"優先評估",IF(G2310&gt;=評分方法!$C$17,"列入候選",IF(G2310&gt;=評分方法!$C$18,"特定情境","不建議")))</f>
        <v>不建議</v>
      </c>
      <c r="I2310" s="15" t="n">
        <f aca="false">AE2310*評分方法!$C$5</f>
        <v>9</v>
      </c>
      <c r="J2310" s="15" t="n">
        <f aca="false">AF2310*評分方法!$C$6</f>
        <v>0</v>
      </c>
      <c r="K2310" s="15" t="n">
        <f aca="false">AG2310*評分方法!$C$7</f>
        <v>4.95</v>
      </c>
      <c r="L2310" s="15" t="n">
        <f aca="false">AH2310*評分方法!$C$8</f>
        <v>15</v>
      </c>
      <c r="M2310" s="15" t="n">
        <f aca="false">AI2310*評分方法!$C$9</f>
        <v>10</v>
      </c>
      <c r="N2310" s="15" t="n">
        <f aca="false">AJ2310*評分方法!$C$10</f>
        <v>4.884</v>
      </c>
      <c r="O2310" s="15" t="n">
        <f aca="false">AK2310*評分方法!$C$11</f>
        <v>1</v>
      </c>
      <c r="P2310" s="15" t="n">
        <f aca="false">AL2310*評分方法!$C$12</f>
        <v>0</v>
      </c>
      <c r="Q2310" s="6" t="n">
        <v>528621</v>
      </c>
      <c r="R2310" s="6" t="n">
        <v>138301817</v>
      </c>
      <c r="S2310" s="11" t="s">
        <v>238</v>
      </c>
      <c r="T2310" s="11" t="s">
        <v>278</v>
      </c>
      <c r="U2310" s="5" t="s">
        <v>240</v>
      </c>
      <c r="V2310" s="11" t="s">
        <v>324</v>
      </c>
      <c r="W2310" s="5" t="s">
        <v>334</v>
      </c>
      <c r="X2310" s="5" t="s">
        <v>242</v>
      </c>
      <c r="Y2310" s="5"/>
      <c r="Z2310" s="5"/>
      <c r="AA2310" s="11" t="s">
        <v>162</v>
      </c>
      <c r="AB2310" s="5" t="s">
        <v>245</v>
      </c>
      <c r="AC2310" s="5" t="s">
        <v>1463</v>
      </c>
      <c r="AD2310" s="11" t="s">
        <v>5686</v>
      </c>
      <c r="AE2310" s="23" t="n">
        <v>0.3</v>
      </c>
      <c r="AF2310" s="23" t="n">
        <v>0</v>
      </c>
      <c r="AG2310" s="23" t="n">
        <v>0.33</v>
      </c>
      <c r="AH2310" s="23" t="n">
        <v>1</v>
      </c>
      <c r="AI2310" s="23" t="n">
        <v>1</v>
      </c>
      <c r="AJ2310" s="23" t="n">
        <v>0.4884</v>
      </c>
      <c r="AK2310" s="23" t="n">
        <v>0.2</v>
      </c>
      <c r="AL2310" s="23" t="n">
        <v>0</v>
      </c>
      <c r="AM2310" s="16" t="n">
        <f aca="false">COUNTIFS($D$2:$D$2501,D2310,$G$2:$G$2501,"&gt;"&amp;G2310)+COUNTIFS($D$2:D2310,D2310,$G$2:G2310,G2310)</f>
        <v>56</v>
      </c>
      <c r="AN2310" s="5" t="str">
        <f aca="false">D2310&amp;"|"&amp;AM2310</f>
        <v>微調基底模型|56</v>
      </c>
    </row>
    <row r="2311" customFormat="false" ht="17.15" hidden="false" customHeight="false" outlineLevel="0" collapsed="false">
      <c r="A2311" s="16" t="n">
        <f aca="false">RANK(G2311,$G$2:$G$2501)+COUNTIF($G$2:G2311,G2311)-1</f>
        <v>2310</v>
      </c>
      <c r="B2311" s="11" t="s">
        <v>5687</v>
      </c>
      <c r="C2311" s="11" t="s">
        <v>5688</v>
      </c>
      <c r="D2311" s="5" t="s">
        <v>72</v>
      </c>
      <c r="E2311" s="5" t="s">
        <v>73</v>
      </c>
      <c r="F2311" s="5"/>
      <c r="G2311" s="22" t="n">
        <f aca="false">ROUND(SUM(I2311:P2311),3)</f>
        <v>44.826</v>
      </c>
      <c r="H2311" s="5" t="str">
        <f aca="false">IF(G2311&gt;=評分方法!$C$16,"優先評估",IF(G2311&gt;=評分方法!$C$17,"列入候選",IF(G2311&gt;=評分方法!$C$18,"特定情境","不建議")))</f>
        <v>不建議</v>
      </c>
      <c r="I2311" s="15" t="n">
        <f aca="false">AE2311*評分方法!$C$5</f>
        <v>15</v>
      </c>
      <c r="J2311" s="15" t="n">
        <f aca="false">AF2311*評分方法!$C$6</f>
        <v>0</v>
      </c>
      <c r="K2311" s="15" t="n">
        <f aca="false">AG2311*評分方法!$C$7</f>
        <v>4.95</v>
      </c>
      <c r="L2311" s="15" t="n">
        <f aca="false">AH2311*評分方法!$C$8</f>
        <v>15</v>
      </c>
      <c r="M2311" s="15" t="n">
        <f aca="false">AI2311*評分方法!$C$9</f>
        <v>5</v>
      </c>
      <c r="N2311" s="15" t="n">
        <f aca="false">AJ2311*評分方法!$C$10</f>
        <v>2.376</v>
      </c>
      <c r="O2311" s="15" t="n">
        <f aca="false">AK2311*評分方法!$C$11</f>
        <v>2.5</v>
      </c>
      <c r="P2311" s="15" t="n">
        <f aca="false">AL2311*評分方法!$C$12</f>
        <v>0</v>
      </c>
      <c r="Q2311" s="6" t="n">
        <v>239239</v>
      </c>
      <c r="R2311" s="6" t="n">
        <v>124653322</v>
      </c>
      <c r="S2311" s="11" t="s">
        <v>238</v>
      </c>
      <c r="T2311" s="11" t="s">
        <v>3991</v>
      </c>
      <c r="U2311" s="11" t="s">
        <v>3992</v>
      </c>
      <c r="V2311" s="11" t="s">
        <v>324</v>
      </c>
      <c r="W2311" s="5" t="s">
        <v>334</v>
      </c>
      <c r="X2311" s="5" t="s">
        <v>242</v>
      </c>
      <c r="Y2311" s="5"/>
      <c r="Z2311" s="5"/>
      <c r="AA2311" s="11" t="s">
        <v>162</v>
      </c>
      <c r="AB2311" s="5" t="s">
        <v>245</v>
      </c>
      <c r="AC2311" s="5"/>
      <c r="AD2311" s="11" t="s">
        <v>5689</v>
      </c>
      <c r="AE2311" s="23" t="n">
        <v>0.5</v>
      </c>
      <c r="AF2311" s="23" t="n">
        <v>0</v>
      </c>
      <c r="AG2311" s="23" t="n">
        <v>0.33</v>
      </c>
      <c r="AH2311" s="23" t="n">
        <v>1</v>
      </c>
      <c r="AI2311" s="23" t="n">
        <v>0.5</v>
      </c>
      <c r="AJ2311" s="23" t="n">
        <v>0.2376</v>
      </c>
      <c r="AK2311" s="23" t="n">
        <v>0.5</v>
      </c>
      <c r="AL2311" s="23" t="n">
        <v>0</v>
      </c>
      <c r="AM2311" s="16" t="n">
        <f aca="false">COUNTIFS($D$2:$D$2501,D2311,$G$2:$G$2501,"&gt;"&amp;G2311)+COUNTIFS($D$2:D2311,D2311,$G$2:G2311,G2311)</f>
        <v>57</v>
      </c>
      <c r="AN2311" s="5" t="str">
        <f aca="false">D2311&amp;"|"&amp;AM2311</f>
        <v>微調基底模型|57</v>
      </c>
    </row>
    <row r="2312" customFormat="false" ht="17.15" hidden="false" customHeight="false" outlineLevel="0" collapsed="false">
      <c r="A2312" s="16" t="n">
        <f aca="false">RANK(G2312,$G$2:$G$2501)+COUNTIF($G$2:G2312,G2312)-1</f>
        <v>2311</v>
      </c>
      <c r="B2312" s="11" t="s">
        <v>5690</v>
      </c>
      <c r="C2312" s="11" t="s">
        <v>3732</v>
      </c>
      <c r="D2312" s="5" t="s">
        <v>78</v>
      </c>
      <c r="E2312" s="5" t="s">
        <v>79</v>
      </c>
      <c r="F2312" s="5"/>
      <c r="G2312" s="22" t="n">
        <f aca="false">ROUND(SUM(I2312:P2312),3)</f>
        <v>44.77</v>
      </c>
      <c r="H2312" s="5" t="str">
        <f aca="false">IF(G2312&gt;=評分方法!$C$16,"優先評估",IF(G2312&gt;=評分方法!$C$17,"列入候選",IF(G2312&gt;=評分方法!$C$18,"特定情境","不建議")))</f>
        <v>不建議</v>
      </c>
      <c r="I2312" s="15" t="n">
        <f aca="false">AE2312*評分方法!$C$5</f>
        <v>4.2</v>
      </c>
      <c r="J2312" s="15" t="n">
        <f aca="false">AF2312*評分方法!$C$6</f>
        <v>0</v>
      </c>
      <c r="K2312" s="15" t="n">
        <f aca="false">AG2312*評分方法!$C$7</f>
        <v>10.05</v>
      </c>
      <c r="L2312" s="15" t="n">
        <f aca="false">AH2312*評分方法!$C$8</f>
        <v>15</v>
      </c>
      <c r="M2312" s="15" t="n">
        <f aca="false">AI2312*評分方法!$C$9</f>
        <v>10</v>
      </c>
      <c r="N2312" s="15" t="n">
        <f aca="false">AJ2312*評分方法!$C$10</f>
        <v>3.02</v>
      </c>
      <c r="O2312" s="15" t="n">
        <f aca="false">AK2312*評分方法!$C$11</f>
        <v>1</v>
      </c>
      <c r="P2312" s="15" t="n">
        <f aca="false">AL2312*評分方法!$C$12</f>
        <v>1.5</v>
      </c>
      <c r="Q2312" s="6" t="n">
        <v>297120</v>
      </c>
      <c r="R2312" s="6" t="n">
        <v>94571146</v>
      </c>
      <c r="S2312" s="11" t="s">
        <v>238</v>
      </c>
      <c r="T2312" s="11" t="s">
        <v>239</v>
      </c>
      <c r="U2312" s="5" t="s">
        <v>240</v>
      </c>
      <c r="V2312" s="11" t="s">
        <v>324</v>
      </c>
      <c r="W2312" s="5" t="s">
        <v>207</v>
      </c>
      <c r="X2312" s="5" t="s">
        <v>255</v>
      </c>
      <c r="Y2312" s="11" t="s">
        <v>3699</v>
      </c>
      <c r="Z2312" s="11" t="s">
        <v>270</v>
      </c>
      <c r="AA2312" s="11" t="s">
        <v>174</v>
      </c>
      <c r="AB2312" s="5" t="s">
        <v>245</v>
      </c>
      <c r="AC2312" s="5" t="s">
        <v>3044</v>
      </c>
      <c r="AD2312" s="11" t="s">
        <v>5691</v>
      </c>
      <c r="AE2312" s="23" t="n">
        <v>0.14</v>
      </c>
      <c r="AF2312" s="23" t="n">
        <v>0</v>
      </c>
      <c r="AG2312" s="23" t="n">
        <v>0.67</v>
      </c>
      <c r="AH2312" s="23" t="n">
        <v>1</v>
      </c>
      <c r="AI2312" s="23" t="n">
        <v>1</v>
      </c>
      <c r="AJ2312" s="23" t="n">
        <v>0.302</v>
      </c>
      <c r="AK2312" s="23" t="n">
        <v>0.2</v>
      </c>
      <c r="AL2312" s="23" t="n">
        <v>0.3</v>
      </c>
      <c r="AM2312" s="16" t="n">
        <f aca="false">COUNTIFS($D$2:$D$2501,D2312,$G$2:$G$2501,"&gt;"&amp;G2312)+COUNTIFS($D$2:D2312,D2312,$G$2:G2312,G2312)</f>
        <v>106</v>
      </c>
      <c r="AN2312" s="5" t="str">
        <f aca="false">D2312&amp;"|"&amp;AM2312</f>
        <v>語音分析|106</v>
      </c>
    </row>
    <row r="2313" customFormat="false" ht="17.15" hidden="false" customHeight="false" outlineLevel="0" collapsed="false">
      <c r="A2313" s="16" t="n">
        <f aca="false">RANK(G2313,$G$2:$G$2501)+COUNTIF($G$2:G2313,G2313)-1</f>
        <v>2312</v>
      </c>
      <c r="B2313" s="11" t="s">
        <v>5692</v>
      </c>
      <c r="C2313" s="11" t="s">
        <v>5175</v>
      </c>
      <c r="D2313" s="5" t="s">
        <v>78</v>
      </c>
      <c r="E2313" s="5" t="s">
        <v>79</v>
      </c>
      <c r="F2313" s="5"/>
      <c r="G2313" s="22" t="n">
        <f aca="false">ROUND(SUM(I2313:P2313),3)</f>
        <v>44.706</v>
      </c>
      <c r="H2313" s="5" t="str">
        <f aca="false">IF(G2313&gt;=評分方法!$C$16,"優先評估",IF(G2313&gt;=評分方法!$C$17,"列入候選",IF(G2313&gt;=評分方法!$C$18,"特定情境","不建議")))</f>
        <v>不建議</v>
      </c>
      <c r="I2313" s="15" t="n">
        <f aca="false">AE2313*評分方法!$C$5</f>
        <v>5.4</v>
      </c>
      <c r="J2313" s="15" t="n">
        <f aca="false">AF2313*評分方法!$C$6</f>
        <v>0</v>
      </c>
      <c r="K2313" s="15" t="n">
        <f aca="false">AG2313*評分方法!$C$7</f>
        <v>4.95</v>
      </c>
      <c r="L2313" s="15" t="n">
        <f aca="false">AH2313*評分方法!$C$8</f>
        <v>15</v>
      </c>
      <c r="M2313" s="15" t="n">
        <f aca="false">AI2313*評分方法!$C$9</f>
        <v>10</v>
      </c>
      <c r="N2313" s="15" t="n">
        <f aca="false">AJ2313*評分方法!$C$10</f>
        <v>8.356</v>
      </c>
      <c r="O2313" s="15" t="n">
        <f aca="false">AK2313*評分方法!$C$11</f>
        <v>1</v>
      </c>
      <c r="P2313" s="15" t="n">
        <f aca="false">AL2313*評分方法!$C$12</f>
        <v>0</v>
      </c>
      <c r="Q2313" s="6" t="n">
        <v>2007308</v>
      </c>
      <c r="R2313" s="6" t="n">
        <v>94421697</v>
      </c>
      <c r="S2313" s="11" t="s">
        <v>238</v>
      </c>
      <c r="T2313" s="11" t="s">
        <v>239</v>
      </c>
      <c r="U2313" s="5" t="s">
        <v>240</v>
      </c>
      <c r="V2313" s="11" t="s">
        <v>324</v>
      </c>
      <c r="W2313" s="5" t="s">
        <v>334</v>
      </c>
      <c r="X2313" s="5" t="s">
        <v>242</v>
      </c>
      <c r="Y2313" s="11" t="s">
        <v>5693</v>
      </c>
      <c r="Z2313" s="11" t="s">
        <v>270</v>
      </c>
      <c r="AA2313" s="11" t="s">
        <v>175</v>
      </c>
      <c r="AB2313" s="5" t="s">
        <v>245</v>
      </c>
      <c r="AC2313" s="5" t="s">
        <v>1463</v>
      </c>
      <c r="AD2313" s="11" t="s">
        <v>5694</v>
      </c>
      <c r="AE2313" s="23" t="n">
        <v>0.18</v>
      </c>
      <c r="AF2313" s="23" t="n">
        <v>0</v>
      </c>
      <c r="AG2313" s="23" t="n">
        <v>0.33</v>
      </c>
      <c r="AH2313" s="23" t="n">
        <v>1</v>
      </c>
      <c r="AI2313" s="23" t="n">
        <v>1</v>
      </c>
      <c r="AJ2313" s="23" t="n">
        <v>0.8356</v>
      </c>
      <c r="AK2313" s="23" t="n">
        <v>0.2</v>
      </c>
      <c r="AL2313" s="23" t="n">
        <v>0</v>
      </c>
      <c r="AM2313" s="16" t="n">
        <f aca="false">COUNTIFS($D$2:$D$2501,D2313,$G$2:$G$2501,"&gt;"&amp;G2313)+COUNTIFS($D$2:D2313,D2313,$G$2:G2313,G2313)</f>
        <v>107</v>
      </c>
      <c r="AN2313" s="5" t="str">
        <f aca="false">D2313&amp;"|"&amp;AM2313</f>
        <v>語音分析|107</v>
      </c>
    </row>
    <row r="2314" customFormat="false" ht="17.15" hidden="false" customHeight="false" outlineLevel="0" collapsed="false">
      <c r="A2314" s="16" t="n">
        <f aca="false">RANK(G2314,$G$2:$G$2501)+COUNTIF($G$2:G2314,G2314)-1</f>
        <v>2313</v>
      </c>
      <c r="B2314" s="11" t="s">
        <v>5695</v>
      </c>
      <c r="C2314" s="11" t="s">
        <v>4855</v>
      </c>
      <c r="D2314" s="5" t="s">
        <v>74</v>
      </c>
      <c r="E2314" s="5" t="s">
        <v>75</v>
      </c>
      <c r="F2314" s="5"/>
      <c r="G2314" s="22" t="n">
        <f aca="false">ROUND(SUM(I2314:P2314),3)</f>
        <v>44.678</v>
      </c>
      <c r="H2314" s="5" t="str">
        <f aca="false">IF(G2314&gt;=評分方法!$C$16,"優先評估",IF(G2314&gt;=評分方法!$C$17,"列入候選",IF(G2314&gt;=評分方法!$C$18,"特定情境","不建議")))</f>
        <v>不建議</v>
      </c>
      <c r="I2314" s="15" t="n">
        <f aca="false">AE2314*評分方法!$C$5</f>
        <v>12</v>
      </c>
      <c r="J2314" s="15" t="n">
        <f aca="false">AF2314*評分方法!$C$6</f>
        <v>0</v>
      </c>
      <c r="K2314" s="15" t="n">
        <f aca="false">AG2314*評分方法!$C$7</f>
        <v>4.95</v>
      </c>
      <c r="L2314" s="15" t="n">
        <f aca="false">AH2314*評分方法!$C$8</f>
        <v>15</v>
      </c>
      <c r="M2314" s="15" t="n">
        <f aca="false">AI2314*評分方法!$C$9</f>
        <v>10</v>
      </c>
      <c r="N2314" s="15" t="n">
        <f aca="false">AJ2314*評分方法!$C$10</f>
        <v>0.228</v>
      </c>
      <c r="O2314" s="15" t="n">
        <f aca="false">AK2314*評分方法!$C$11</f>
        <v>1</v>
      </c>
      <c r="P2314" s="15" t="n">
        <f aca="false">AL2314*評分方法!$C$12</f>
        <v>1.5</v>
      </c>
      <c r="Q2314" s="6" t="n">
        <v>122490</v>
      </c>
      <c r="R2314" s="6" t="n">
        <v>83101458</v>
      </c>
      <c r="S2314" s="11" t="s">
        <v>238</v>
      </c>
      <c r="T2314" s="11" t="s">
        <v>278</v>
      </c>
      <c r="U2314" s="5" t="s">
        <v>240</v>
      </c>
      <c r="V2314" s="11" t="s">
        <v>324</v>
      </c>
      <c r="W2314" s="5" t="s">
        <v>334</v>
      </c>
      <c r="X2314" s="5" t="s">
        <v>255</v>
      </c>
      <c r="Y2314" s="5"/>
      <c r="Z2314" s="5"/>
      <c r="AA2314" s="11" t="s">
        <v>167</v>
      </c>
      <c r="AB2314" s="5" t="s">
        <v>245</v>
      </c>
      <c r="AC2314" s="5"/>
      <c r="AD2314" s="11" t="s">
        <v>5696</v>
      </c>
      <c r="AE2314" s="23" t="n">
        <v>0.4</v>
      </c>
      <c r="AF2314" s="23" t="n">
        <v>0</v>
      </c>
      <c r="AG2314" s="23" t="n">
        <v>0.33</v>
      </c>
      <c r="AH2314" s="23" t="n">
        <v>1</v>
      </c>
      <c r="AI2314" s="23" t="n">
        <v>1</v>
      </c>
      <c r="AJ2314" s="23" t="n">
        <v>0.0228</v>
      </c>
      <c r="AK2314" s="23" t="n">
        <v>0.2</v>
      </c>
      <c r="AL2314" s="23" t="n">
        <v>0.3</v>
      </c>
      <c r="AM2314" s="16" t="n">
        <f aca="false">COUNTIFS($D$2:$D$2501,D2314,$G$2:$G$2501,"&gt;"&amp;G2314)+COUNTIFS($D$2:D2314,D2314,$G$2:G2314,G2314)</f>
        <v>315</v>
      </c>
      <c r="AN2314" s="5" t="str">
        <f aca="false">D2314&amp;"|"&amp;AM2314</f>
        <v>文件與影像辨識|315</v>
      </c>
    </row>
    <row r="2315" customFormat="false" ht="17.15" hidden="false" customHeight="false" outlineLevel="0" collapsed="false">
      <c r="A2315" s="16" t="n">
        <f aca="false">RANK(G2315,$G$2:$G$2501)+COUNTIF($G$2:G2315,G2315)-1</f>
        <v>2314</v>
      </c>
      <c r="B2315" s="11" t="s">
        <v>5697</v>
      </c>
      <c r="C2315" s="11" t="s">
        <v>5698</v>
      </c>
      <c r="D2315" s="5" t="s">
        <v>78</v>
      </c>
      <c r="E2315" s="5" t="s">
        <v>79</v>
      </c>
      <c r="F2315" s="5"/>
      <c r="G2315" s="22" t="n">
        <f aca="false">ROUND(SUM(I2315:P2315),3)</f>
        <v>44.642</v>
      </c>
      <c r="H2315" s="5" t="str">
        <f aca="false">IF(G2315&gt;=評分方法!$C$16,"優先評估",IF(G2315&gt;=評分方法!$C$17,"列入候選",IF(G2315&gt;=評分方法!$C$18,"特定情境","不建議")))</f>
        <v>不建議</v>
      </c>
      <c r="I2315" s="15" t="n">
        <f aca="false">AE2315*評分方法!$C$5</f>
        <v>5.4</v>
      </c>
      <c r="J2315" s="15" t="n">
        <f aca="false">AF2315*評分方法!$C$6</f>
        <v>0</v>
      </c>
      <c r="K2315" s="15" t="n">
        <f aca="false">AG2315*評分方法!$C$7</f>
        <v>4.95</v>
      </c>
      <c r="L2315" s="15" t="n">
        <f aca="false">AH2315*評分方法!$C$8</f>
        <v>15</v>
      </c>
      <c r="M2315" s="15" t="n">
        <f aca="false">AI2315*評分方法!$C$9</f>
        <v>10</v>
      </c>
      <c r="N2315" s="15" t="n">
        <f aca="false">AJ2315*評分方法!$C$10</f>
        <v>8.292</v>
      </c>
      <c r="O2315" s="15" t="n">
        <f aca="false">AK2315*評分方法!$C$11</f>
        <v>1</v>
      </c>
      <c r="P2315" s="15" t="n">
        <f aca="false">AL2315*評分方法!$C$12</f>
        <v>0</v>
      </c>
      <c r="Q2315" s="6" t="n">
        <v>1927926</v>
      </c>
      <c r="R2315" s="6" t="n">
        <v>315484845</v>
      </c>
      <c r="S2315" s="11" t="s">
        <v>238</v>
      </c>
      <c r="T2315" s="11" t="s">
        <v>239</v>
      </c>
      <c r="U2315" s="5" t="s">
        <v>240</v>
      </c>
      <c r="V2315" s="11" t="s">
        <v>813</v>
      </c>
      <c r="W2315" s="5" t="s">
        <v>334</v>
      </c>
      <c r="X2315" s="5" t="s">
        <v>242</v>
      </c>
      <c r="Y2315" s="11" t="s">
        <v>5579</v>
      </c>
      <c r="Z2315" s="11" t="s">
        <v>270</v>
      </c>
      <c r="AA2315" s="11" t="s">
        <v>175</v>
      </c>
      <c r="AB2315" s="5" t="s">
        <v>245</v>
      </c>
      <c r="AC2315" s="5" t="s">
        <v>1463</v>
      </c>
      <c r="AD2315" s="11" t="s">
        <v>5699</v>
      </c>
      <c r="AE2315" s="23" t="n">
        <v>0.18</v>
      </c>
      <c r="AF2315" s="23" t="n">
        <v>0</v>
      </c>
      <c r="AG2315" s="23" t="n">
        <v>0.33</v>
      </c>
      <c r="AH2315" s="23" t="n">
        <v>1</v>
      </c>
      <c r="AI2315" s="23" t="n">
        <v>1</v>
      </c>
      <c r="AJ2315" s="23" t="n">
        <v>0.8292</v>
      </c>
      <c r="AK2315" s="23" t="n">
        <v>0.2</v>
      </c>
      <c r="AL2315" s="23" t="n">
        <v>0</v>
      </c>
      <c r="AM2315" s="16" t="n">
        <f aca="false">COUNTIFS($D$2:$D$2501,D2315,$G$2:$G$2501,"&gt;"&amp;G2315)+COUNTIFS($D$2:D2315,D2315,$G$2:G2315,G2315)</f>
        <v>108</v>
      </c>
      <c r="AN2315" s="5" t="str">
        <f aca="false">D2315&amp;"|"&amp;AM2315</f>
        <v>語音分析|108</v>
      </c>
    </row>
    <row r="2316" customFormat="false" ht="17.15" hidden="false" customHeight="false" outlineLevel="0" collapsed="false">
      <c r="A2316" s="16" t="n">
        <f aca="false">RANK(G2316,$G$2:$G$2501)+COUNTIF($G$2:G2316,G2316)-1</f>
        <v>2315</v>
      </c>
      <c r="B2316" s="11" t="s">
        <v>5700</v>
      </c>
      <c r="C2316" s="11" t="s">
        <v>681</v>
      </c>
      <c r="D2316" s="5" t="s">
        <v>74</v>
      </c>
      <c r="E2316" s="5" t="s">
        <v>75</v>
      </c>
      <c r="F2316" s="5"/>
      <c r="G2316" s="22" t="n">
        <f aca="false">ROUND(SUM(I2316:P2316),3)</f>
        <v>44.488</v>
      </c>
      <c r="H2316" s="5" t="str">
        <f aca="false">IF(G2316&gt;=評分方法!$C$16,"優先評估",IF(G2316&gt;=評分方法!$C$17,"列入候選",IF(G2316&gt;=評分方法!$C$18,"特定情境","不建議")))</f>
        <v>不建議</v>
      </c>
      <c r="I2316" s="15" t="n">
        <f aca="false">AE2316*評分方法!$C$5</f>
        <v>4.5</v>
      </c>
      <c r="J2316" s="15" t="n">
        <f aca="false">AF2316*評分方法!$C$6</f>
        <v>0</v>
      </c>
      <c r="K2316" s="15" t="n">
        <f aca="false">AG2316*評分方法!$C$7</f>
        <v>15</v>
      </c>
      <c r="L2316" s="15" t="n">
        <f aca="false">AH2316*評分方法!$C$8</f>
        <v>15</v>
      </c>
      <c r="M2316" s="15" t="n">
        <f aca="false">AI2316*評分方法!$C$9</f>
        <v>6</v>
      </c>
      <c r="N2316" s="15" t="n">
        <f aca="false">AJ2316*評分方法!$C$10</f>
        <v>1.488</v>
      </c>
      <c r="O2316" s="15" t="n">
        <f aca="false">AK2316*評分方法!$C$11</f>
        <v>1</v>
      </c>
      <c r="P2316" s="15" t="n">
        <f aca="false">AL2316*評分方法!$C$12</f>
        <v>1.5</v>
      </c>
      <c r="Q2316" s="6" t="n">
        <v>178649</v>
      </c>
      <c r="R2316" s="6" t="n">
        <v>216019734</v>
      </c>
      <c r="S2316" s="11" t="s">
        <v>238</v>
      </c>
      <c r="T2316" s="11" t="s">
        <v>185</v>
      </c>
      <c r="U2316" s="5" t="s">
        <v>260</v>
      </c>
      <c r="V2316" s="11" t="s">
        <v>324</v>
      </c>
      <c r="W2316" s="5" t="s">
        <v>205</v>
      </c>
      <c r="X2316" s="5" t="s">
        <v>255</v>
      </c>
      <c r="Y2316" s="5"/>
      <c r="Z2316" s="5"/>
      <c r="AA2316" s="11" t="s">
        <v>183</v>
      </c>
      <c r="AB2316" s="5" t="s">
        <v>245</v>
      </c>
      <c r="AC2316" s="5" t="s">
        <v>262</v>
      </c>
      <c r="AD2316" s="11" t="s">
        <v>5701</v>
      </c>
      <c r="AE2316" s="23" t="n">
        <v>0.15</v>
      </c>
      <c r="AF2316" s="23" t="n">
        <v>0</v>
      </c>
      <c r="AG2316" s="23" t="n">
        <v>1</v>
      </c>
      <c r="AH2316" s="23" t="n">
        <v>1</v>
      </c>
      <c r="AI2316" s="23" t="n">
        <v>0.6</v>
      </c>
      <c r="AJ2316" s="23" t="n">
        <v>0.1488</v>
      </c>
      <c r="AK2316" s="23" t="n">
        <v>0.2</v>
      </c>
      <c r="AL2316" s="23" t="n">
        <v>0.3</v>
      </c>
      <c r="AM2316" s="16" t="n">
        <f aca="false">COUNTIFS($D$2:$D$2501,D2316,$G$2:$G$2501,"&gt;"&amp;G2316)+COUNTIFS($D$2:D2316,D2316,$G$2:G2316,G2316)</f>
        <v>316</v>
      </c>
      <c r="AN2316" s="5" t="str">
        <f aca="false">D2316&amp;"|"&amp;AM2316</f>
        <v>文件與影像辨識|316</v>
      </c>
    </row>
    <row r="2317" customFormat="false" ht="17.15" hidden="false" customHeight="false" outlineLevel="0" collapsed="false">
      <c r="A2317" s="16" t="n">
        <f aca="false">RANK(G2317,$G$2:$G$2501)+COUNTIF($G$2:G2317,G2317)-1</f>
        <v>2316</v>
      </c>
      <c r="B2317" s="11" t="s">
        <v>5702</v>
      </c>
      <c r="C2317" s="11" t="s">
        <v>5703</v>
      </c>
      <c r="D2317" s="5" t="s">
        <v>74</v>
      </c>
      <c r="E2317" s="5" t="s">
        <v>75</v>
      </c>
      <c r="F2317" s="5"/>
      <c r="G2317" s="22" t="n">
        <f aca="false">ROUND(SUM(I2317:P2317),3)</f>
        <v>44.482</v>
      </c>
      <c r="H2317" s="5" t="str">
        <f aca="false">IF(G2317&gt;=評分方法!$C$16,"優先評估",IF(G2317&gt;=評分方法!$C$17,"列入候選",IF(G2317&gt;=評分方法!$C$18,"特定情境","不建議")))</f>
        <v>不建議</v>
      </c>
      <c r="I2317" s="15" t="n">
        <f aca="false">AE2317*評分方法!$C$5</f>
        <v>10.5</v>
      </c>
      <c r="J2317" s="15" t="n">
        <f aca="false">AF2317*評分方法!$C$6</f>
        <v>0</v>
      </c>
      <c r="K2317" s="15" t="n">
        <f aca="false">AG2317*評分方法!$C$7</f>
        <v>4.95</v>
      </c>
      <c r="L2317" s="15" t="n">
        <f aca="false">AH2317*評分方法!$C$8</f>
        <v>15</v>
      </c>
      <c r="M2317" s="15" t="n">
        <f aca="false">AI2317*評分方法!$C$9</f>
        <v>2</v>
      </c>
      <c r="N2317" s="15" t="n">
        <f aca="false">AJ2317*評分方法!$C$10</f>
        <v>9.532</v>
      </c>
      <c r="O2317" s="15" t="n">
        <f aca="false">AK2317*評分方法!$C$11</f>
        <v>1</v>
      </c>
      <c r="P2317" s="15" t="n">
        <f aca="false">AL2317*評分方法!$C$12</f>
        <v>1.5</v>
      </c>
      <c r="Q2317" s="6" t="n">
        <v>9186419</v>
      </c>
      <c r="R2317" s="6" t="n">
        <v>85800194</v>
      </c>
      <c r="S2317" s="11" t="s">
        <v>238</v>
      </c>
      <c r="T2317" s="5"/>
      <c r="U2317" s="5" t="s">
        <v>375</v>
      </c>
      <c r="V2317" s="11" t="s">
        <v>324</v>
      </c>
      <c r="W2317" s="5" t="s">
        <v>334</v>
      </c>
      <c r="X2317" s="5" t="s">
        <v>255</v>
      </c>
      <c r="Y2317" s="5"/>
      <c r="Z2317" s="5"/>
      <c r="AA2317" s="11" t="s">
        <v>172</v>
      </c>
      <c r="AB2317" s="5" t="s">
        <v>245</v>
      </c>
      <c r="AC2317" s="5" t="s">
        <v>262</v>
      </c>
      <c r="AD2317" s="11" t="s">
        <v>5704</v>
      </c>
      <c r="AE2317" s="23" t="n">
        <v>0.35</v>
      </c>
      <c r="AF2317" s="23" t="n">
        <v>0</v>
      </c>
      <c r="AG2317" s="23" t="n">
        <v>0.33</v>
      </c>
      <c r="AH2317" s="23" t="n">
        <v>1</v>
      </c>
      <c r="AI2317" s="23" t="n">
        <v>0.2</v>
      </c>
      <c r="AJ2317" s="23" t="n">
        <v>0.9532</v>
      </c>
      <c r="AK2317" s="23" t="n">
        <v>0.2</v>
      </c>
      <c r="AL2317" s="23" t="n">
        <v>0.3</v>
      </c>
      <c r="AM2317" s="16" t="n">
        <f aca="false">COUNTIFS($D$2:$D$2501,D2317,$G$2:$G$2501,"&gt;"&amp;G2317)+COUNTIFS($D$2:D2317,D2317,$G$2:G2317,G2317)</f>
        <v>317</v>
      </c>
      <c r="AN2317" s="5" t="str">
        <f aca="false">D2317&amp;"|"&amp;AM2317</f>
        <v>文件與影像辨識|317</v>
      </c>
    </row>
    <row r="2318" customFormat="false" ht="17.15" hidden="false" customHeight="false" outlineLevel="0" collapsed="false">
      <c r="A2318" s="16" t="n">
        <f aca="false">RANK(G2318,$G$2:$G$2501)+COUNTIF($G$2:G2318,G2318)-1</f>
        <v>2317</v>
      </c>
      <c r="B2318" s="11" t="s">
        <v>5705</v>
      </c>
      <c r="C2318" s="11" t="s">
        <v>4046</v>
      </c>
      <c r="D2318" s="5" t="s">
        <v>78</v>
      </c>
      <c r="E2318" s="5" t="s">
        <v>79</v>
      </c>
      <c r="F2318" s="5"/>
      <c r="G2318" s="22" t="n">
        <f aca="false">ROUND(SUM(I2318:P2318),3)</f>
        <v>44.418</v>
      </c>
      <c r="H2318" s="5" t="str">
        <f aca="false">IF(G2318&gt;=評分方法!$C$16,"優先評估",IF(G2318&gt;=評分方法!$C$17,"列入候選",IF(G2318&gt;=評分方法!$C$18,"特定情境","不建議")))</f>
        <v>不建議</v>
      </c>
      <c r="I2318" s="15" t="n">
        <f aca="false">AE2318*評分方法!$C$5</f>
        <v>9</v>
      </c>
      <c r="J2318" s="15" t="n">
        <f aca="false">AF2318*評分方法!$C$6</f>
        <v>0</v>
      </c>
      <c r="K2318" s="15" t="n">
        <f aca="false">AG2318*評分方法!$C$7</f>
        <v>4.95</v>
      </c>
      <c r="L2318" s="15" t="n">
        <f aca="false">AH2318*評分方法!$C$8</f>
        <v>15</v>
      </c>
      <c r="M2318" s="15" t="n">
        <f aca="false">AI2318*評分方法!$C$9</f>
        <v>10</v>
      </c>
      <c r="N2318" s="15" t="n">
        <f aca="false">AJ2318*評分方法!$C$10</f>
        <v>0.468</v>
      </c>
      <c r="O2318" s="15" t="n">
        <f aca="false">AK2318*評分方法!$C$11</f>
        <v>5</v>
      </c>
      <c r="P2318" s="15" t="n">
        <f aca="false">AL2318*評分方法!$C$12</f>
        <v>0</v>
      </c>
      <c r="Q2318" s="6" t="n">
        <v>131094</v>
      </c>
      <c r="R2318" s="6" t="n">
        <v>890042496</v>
      </c>
      <c r="S2318" s="11" t="s">
        <v>238</v>
      </c>
      <c r="T2318" s="11" t="s">
        <v>1636</v>
      </c>
      <c r="U2318" s="5" t="s">
        <v>240</v>
      </c>
      <c r="V2318" s="11" t="s">
        <v>333</v>
      </c>
      <c r="W2318" s="5" t="s">
        <v>334</v>
      </c>
      <c r="X2318" s="5" t="s">
        <v>242</v>
      </c>
      <c r="Y2318" s="11" t="s">
        <v>4441</v>
      </c>
      <c r="Z2318" s="11" t="s">
        <v>244</v>
      </c>
      <c r="AA2318" s="11" t="s">
        <v>175</v>
      </c>
      <c r="AB2318" s="5" t="s">
        <v>245</v>
      </c>
      <c r="AC2318" s="5" t="s">
        <v>246</v>
      </c>
      <c r="AD2318" s="11" t="s">
        <v>5706</v>
      </c>
      <c r="AE2318" s="23" t="n">
        <v>0.3</v>
      </c>
      <c r="AF2318" s="23" t="n">
        <v>0</v>
      </c>
      <c r="AG2318" s="23" t="n">
        <v>0.33</v>
      </c>
      <c r="AH2318" s="23" t="n">
        <v>1</v>
      </c>
      <c r="AI2318" s="23" t="n">
        <v>1</v>
      </c>
      <c r="AJ2318" s="23" t="n">
        <v>0.0468</v>
      </c>
      <c r="AK2318" s="23" t="n">
        <v>1</v>
      </c>
      <c r="AL2318" s="23" t="n">
        <v>0</v>
      </c>
      <c r="AM2318" s="16" t="n">
        <f aca="false">COUNTIFS($D$2:$D$2501,D2318,$G$2:$G$2501,"&gt;"&amp;G2318)+COUNTIFS($D$2:D2318,D2318,$G$2:G2318,G2318)</f>
        <v>109</v>
      </c>
      <c r="AN2318" s="5" t="str">
        <f aca="false">D2318&amp;"|"&amp;AM2318</f>
        <v>語音分析|109</v>
      </c>
    </row>
    <row r="2319" customFormat="false" ht="17.15" hidden="false" customHeight="false" outlineLevel="0" collapsed="false">
      <c r="A2319" s="16" t="n">
        <f aca="false">RANK(G2319,$G$2:$G$2501)+COUNTIF($G$2:G2319,G2319)-1</f>
        <v>2318</v>
      </c>
      <c r="B2319" s="11" t="s">
        <v>5707</v>
      </c>
      <c r="C2319" s="11" t="s">
        <v>5708</v>
      </c>
      <c r="D2319" s="5" t="s">
        <v>80</v>
      </c>
      <c r="E2319" s="5" t="s">
        <v>81</v>
      </c>
      <c r="F2319" s="5"/>
      <c r="G2319" s="22" t="n">
        <f aca="false">ROUND(SUM(I2319:P2319),3)</f>
        <v>44.366</v>
      </c>
      <c r="H2319" s="5" t="str">
        <f aca="false">IF(G2319&gt;=評分方法!$C$16,"優先評估",IF(G2319&gt;=評分方法!$C$17,"列入候選",IF(G2319&gt;=評分方法!$C$18,"特定情境","不建議")))</f>
        <v>不建議</v>
      </c>
      <c r="I2319" s="15" t="n">
        <f aca="false">AE2319*評分方法!$C$5</f>
        <v>6</v>
      </c>
      <c r="J2319" s="15" t="n">
        <f aca="false">AF2319*評分方法!$C$6</f>
        <v>0</v>
      </c>
      <c r="K2319" s="15" t="n">
        <f aca="false">AG2319*評分方法!$C$7</f>
        <v>4.95</v>
      </c>
      <c r="L2319" s="15" t="n">
        <f aca="false">AH2319*評分方法!$C$8</f>
        <v>15</v>
      </c>
      <c r="M2319" s="15" t="n">
        <f aca="false">AI2319*評分方法!$C$9</f>
        <v>10</v>
      </c>
      <c r="N2319" s="15" t="n">
        <f aca="false">AJ2319*評分方法!$C$10</f>
        <v>1.916</v>
      </c>
      <c r="O2319" s="15" t="n">
        <f aca="false">AK2319*評分方法!$C$11</f>
        <v>5</v>
      </c>
      <c r="P2319" s="15" t="n">
        <f aca="false">AL2319*評分方法!$C$12</f>
        <v>1.5</v>
      </c>
      <c r="Q2319" s="6" t="n">
        <v>205117</v>
      </c>
      <c r="R2319" s="6" t="n">
        <v>216464769</v>
      </c>
      <c r="S2319" s="11" t="s">
        <v>238</v>
      </c>
      <c r="T2319" s="11" t="s">
        <v>278</v>
      </c>
      <c r="U2319" s="5" t="s">
        <v>240</v>
      </c>
      <c r="V2319" s="11" t="s">
        <v>261</v>
      </c>
      <c r="W2319" s="5" t="s">
        <v>334</v>
      </c>
      <c r="X2319" s="5" t="s">
        <v>255</v>
      </c>
      <c r="Y2319" s="5"/>
      <c r="Z2319" s="5"/>
      <c r="AA2319" s="5"/>
      <c r="AB2319" s="5" t="s">
        <v>255</v>
      </c>
      <c r="AC2319" s="5"/>
      <c r="AD2319" s="11" t="s">
        <v>5709</v>
      </c>
      <c r="AE2319" s="23" t="n">
        <v>0.2</v>
      </c>
      <c r="AF2319" s="23" t="n">
        <v>0</v>
      </c>
      <c r="AG2319" s="23" t="n">
        <v>0.33</v>
      </c>
      <c r="AH2319" s="23" t="n">
        <v>1</v>
      </c>
      <c r="AI2319" s="23" t="n">
        <v>1</v>
      </c>
      <c r="AJ2319" s="23" t="n">
        <v>0.1916</v>
      </c>
      <c r="AK2319" s="23" t="n">
        <v>1</v>
      </c>
      <c r="AL2319" s="23" t="n">
        <v>0.3</v>
      </c>
      <c r="AM2319" s="16" t="n">
        <f aca="false">COUNTIFS($D$2:$D$2501,D2319,$G$2:$G$2501,"&gt;"&amp;G2319)+COUNTIFS($D$2:D2319,D2319,$G$2:G2319,G2319)</f>
        <v>37</v>
      </c>
      <c r="AN2319" s="5" t="str">
        <f aca="false">D2319&amp;"|"&amp;AM2319</f>
        <v>其他|37</v>
      </c>
    </row>
    <row r="2320" customFormat="false" ht="17.15" hidden="false" customHeight="false" outlineLevel="0" collapsed="false">
      <c r="A2320" s="16" t="n">
        <f aca="false">RANK(G2320,$G$2:$G$2501)+COUNTIF($G$2:G2320,G2320)-1</f>
        <v>2319</v>
      </c>
      <c r="B2320" s="11" t="s">
        <v>5710</v>
      </c>
      <c r="C2320" s="11" t="s">
        <v>2693</v>
      </c>
      <c r="D2320" s="5" t="s">
        <v>80</v>
      </c>
      <c r="E2320" s="5" t="s">
        <v>81</v>
      </c>
      <c r="F2320" s="5"/>
      <c r="G2320" s="22" t="n">
        <f aca="false">ROUND(SUM(I2320:P2320),3)</f>
        <v>44.312</v>
      </c>
      <c r="H2320" s="5" t="str">
        <f aca="false">IF(G2320&gt;=評分方法!$C$16,"優先評估",IF(G2320&gt;=評分方法!$C$17,"列入候選",IF(G2320&gt;=評分方法!$C$18,"特定情境","不建議")))</f>
        <v>不建議</v>
      </c>
      <c r="I2320" s="15" t="n">
        <f aca="false">AE2320*評分方法!$C$5</f>
        <v>6</v>
      </c>
      <c r="J2320" s="15" t="n">
        <f aca="false">AF2320*評分方法!$C$6</f>
        <v>0</v>
      </c>
      <c r="K2320" s="15" t="n">
        <f aca="false">AG2320*評分方法!$C$7</f>
        <v>15</v>
      </c>
      <c r="L2320" s="15" t="n">
        <f aca="false">AH2320*評分方法!$C$8</f>
        <v>7.05</v>
      </c>
      <c r="M2320" s="15" t="n">
        <f aca="false">AI2320*評分方法!$C$9</f>
        <v>10</v>
      </c>
      <c r="N2320" s="15" t="n">
        <f aca="false">AJ2320*評分方法!$C$10</f>
        <v>2.262</v>
      </c>
      <c r="O2320" s="15" t="n">
        <f aca="false">AK2320*評分方法!$C$11</f>
        <v>2.5</v>
      </c>
      <c r="P2320" s="15" t="n">
        <f aca="false">AL2320*評分方法!$C$12</f>
        <v>1.5</v>
      </c>
      <c r="Q2320" s="6" t="n">
        <v>229949</v>
      </c>
      <c r="R2320" s="6"/>
      <c r="S2320" s="5" t="s">
        <v>255</v>
      </c>
      <c r="T2320" s="11" t="s">
        <v>239</v>
      </c>
      <c r="U2320" s="5" t="s">
        <v>240</v>
      </c>
      <c r="V2320" s="11" t="s">
        <v>324</v>
      </c>
      <c r="W2320" s="5" t="s">
        <v>205</v>
      </c>
      <c r="X2320" s="5" t="s">
        <v>255</v>
      </c>
      <c r="Y2320" s="5"/>
      <c r="Z2320" s="5"/>
      <c r="AA2320" s="5"/>
      <c r="AB2320" s="5" t="s">
        <v>255</v>
      </c>
      <c r="AC2320" s="5"/>
      <c r="AD2320" s="11" t="s">
        <v>5711</v>
      </c>
      <c r="AE2320" s="23" t="n">
        <v>0.2</v>
      </c>
      <c r="AF2320" s="23" t="n">
        <v>0</v>
      </c>
      <c r="AG2320" s="23" t="n">
        <v>1</v>
      </c>
      <c r="AH2320" s="23" t="n">
        <v>0.47</v>
      </c>
      <c r="AI2320" s="23" t="n">
        <v>1</v>
      </c>
      <c r="AJ2320" s="23" t="n">
        <v>0.2262</v>
      </c>
      <c r="AK2320" s="23" t="n">
        <v>0.5</v>
      </c>
      <c r="AL2320" s="23" t="n">
        <v>0.3</v>
      </c>
      <c r="AM2320" s="16" t="n">
        <f aca="false">COUNTIFS($D$2:$D$2501,D2320,$G$2:$G$2501,"&gt;"&amp;G2320)+COUNTIFS($D$2:D2320,D2320,$G$2:G2320,G2320)</f>
        <v>38</v>
      </c>
      <c r="AN2320" s="5" t="str">
        <f aca="false">D2320&amp;"|"&amp;AM2320</f>
        <v>其他|38</v>
      </c>
    </row>
    <row r="2321" customFormat="false" ht="17.15" hidden="false" customHeight="false" outlineLevel="0" collapsed="false">
      <c r="A2321" s="16" t="n">
        <f aca="false">RANK(G2321,$G$2:$G$2501)+COUNTIF($G$2:G2321,G2321)-1</f>
        <v>2320</v>
      </c>
      <c r="B2321" s="11" t="s">
        <v>5712</v>
      </c>
      <c r="C2321" s="11" t="s">
        <v>5713</v>
      </c>
      <c r="D2321" s="5" t="s">
        <v>74</v>
      </c>
      <c r="E2321" s="5" t="s">
        <v>75</v>
      </c>
      <c r="F2321" s="5"/>
      <c r="G2321" s="22" t="n">
        <f aca="false">ROUND(SUM(I2321:P2321),3)</f>
        <v>44.278</v>
      </c>
      <c r="H2321" s="5" t="str">
        <f aca="false">IF(G2321&gt;=評分方法!$C$16,"優先評估",IF(G2321&gt;=評分方法!$C$17,"列入候選",IF(G2321&gt;=評分方法!$C$18,"特定情境","不建議")))</f>
        <v>不建議</v>
      </c>
      <c r="I2321" s="15" t="n">
        <f aca="false">AE2321*評分方法!$C$5</f>
        <v>10.5</v>
      </c>
      <c r="J2321" s="15" t="n">
        <f aca="false">AF2321*評分方法!$C$6</f>
        <v>0</v>
      </c>
      <c r="K2321" s="15" t="n">
        <f aca="false">AG2321*評分方法!$C$7</f>
        <v>4.95</v>
      </c>
      <c r="L2321" s="15" t="n">
        <f aca="false">AH2321*評分方法!$C$8</f>
        <v>15</v>
      </c>
      <c r="M2321" s="15" t="n">
        <f aca="false">AI2321*評分方法!$C$9</f>
        <v>10</v>
      </c>
      <c r="N2321" s="15" t="n">
        <f aca="false">AJ2321*評分方法!$C$10</f>
        <v>1.328</v>
      </c>
      <c r="O2321" s="15" t="n">
        <f aca="false">AK2321*評分方法!$C$11</f>
        <v>1</v>
      </c>
      <c r="P2321" s="15" t="n">
        <f aca="false">AL2321*評分方法!$C$12</f>
        <v>1.5</v>
      </c>
      <c r="Q2321" s="6" t="n">
        <v>170134</v>
      </c>
      <c r="R2321" s="6" t="n">
        <v>5717416</v>
      </c>
      <c r="S2321" s="11" t="s">
        <v>238</v>
      </c>
      <c r="T2321" s="11" t="s">
        <v>239</v>
      </c>
      <c r="U2321" s="5" t="s">
        <v>240</v>
      </c>
      <c r="V2321" s="11" t="s">
        <v>324</v>
      </c>
      <c r="W2321" s="5" t="s">
        <v>334</v>
      </c>
      <c r="X2321" s="5" t="s">
        <v>255</v>
      </c>
      <c r="Y2321" s="5"/>
      <c r="Z2321" s="5"/>
      <c r="AA2321" s="11" t="s">
        <v>172</v>
      </c>
      <c r="AB2321" s="5" t="s">
        <v>245</v>
      </c>
      <c r="AC2321" s="5"/>
      <c r="AD2321" s="11" t="s">
        <v>5714</v>
      </c>
      <c r="AE2321" s="23" t="n">
        <v>0.35</v>
      </c>
      <c r="AF2321" s="23" t="n">
        <v>0</v>
      </c>
      <c r="AG2321" s="23" t="n">
        <v>0.33</v>
      </c>
      <c r="AH2321" s="23" t="n">
        <v>1</v>
      </c>
      <c r="AI2321" s="23" t="n">
        <v>1</v>
      </c>
      <c r="AJ2321" s="23" t="n">
        <v>0.1328</v>
      </c>
      <c r="AK2321" s="23" t="n">
        <v>0.2</v>
      </c>
      <c r="AL2321" s="23" t="n">
        <v>0.3</v>
      </c>
      <c r="AM2321" s="16" t="n">
        <f aca="false">COUNTIFS($D$2:$D$2501,D2321,$G$2:$G$2501,"&gt;"&amp;G2321)+COUNTIFS($D$2:D2321,D2321,$G$2:G2321,G2321)</f>
        <v>318</v>
      </c>
      <c r="AN2321" s="5" t="str">
        <f aca="false">D2321&amp;"|"&amp;AM2321</f>
        <v>文件與影像辨識|318</v>
      </c>
    </row>
    <row r="2322" customFormat="false" ht="17.15" hidden="false" customHeight="false" outlineLevel="0" collapsed="false">
      <c r="A2322" s="16" t="n">
        <f aca="false">RANK(G2322,$G$2:$G$2501)+COUNTIF($G$2:G2322,G2322)-1</f>
        <v>2321</v>
      </c>
      <c r="B2322" s="11" t="s">
        <v>5715</v>
      </c>
      <c r="C2322" s="11" t="s">
        <v>1739</v>
      </c>
      <c r="D2322" s="5" t="s">
        <v>56</v>
      </c>
      <c r="E2322" s="5" t="s">
        <v>57</v>
      </c>
      <c r="F2322" s="5"/>
      <c r="G2322" s="22" t="n">
        <f aca="false">ROUND(SUM(I2322:P2322),3)</f>
        <v>44.258</v>
      </c>
      <c r="H2322" s="5" t="str">
        <f aca="false">IF(G2322&gt;=評分方法!$C$16,"優先評估",IF(G2322&gt;=評分方法!$C$17,"列入候選",IF(G2322&gt;=評分方法!$C$18,"特定情境","不建議")))</f>
        <v>不建議</v>
      </c>
      <c r="I2322" s="15" t="n">
        <f aca="false">AE2322*評分方法!$C$5</f>
        <v>15.3</v>
      </c>
      <c r="J2322" s="15" t="n">
        <f aca="false">AF2322*評分方法!$C$6</f>
        <v>0</v>
      </c>
      <c r="K2322" s="15" t="n">
        <f aca="false">AG2322*評分方法!$C$7</f>
        <v>4.95</v>
      </c>
      <c r="L2322" s="15" t="n">
        <f aca="false">AH2322*評分方法!$C$8</f>
        <v>9</v>
      </c>
      <c r="M2322" s="15" t="n">
        <f aca="false">AI2322*評分方法!$C$9</f>
        <v>10</v>
      </c>
      <c r="N2322" s="15" t="n">
        <f aca="false">AJ2322*評分方法!$C$10</f>
        <v>1.008</v>
      </c>
      <c r="O2322" s="15" t="n">
        <f aca="false">AK2322*評分方法!$C$11</f>
        <v>4</v>
      </c>
      <c r="P2322" s="15" t="n">
        <f aca="false">AL2322*評分方法!$C$12</f>
        <v>0</v>
      </c>
      <c r="Q2322" s="6" t="n">
        <v>153600</v>
      </c>
      <c r="R2322" s="6" t="n">
        <v>11168796672</v>
      </c>
      <c r="S2322" s="11" t="s">
        <v>389</v>
      </c>
      <c r="T2322" s="11" t="s">
        <v>239</v>
      </c>
      <c r="U2322" s="5" t="s">
        <v>240</v>
      </c>
      <c r="V2322" s="11" t="s">
        <v>261</v>
      </c>
      <c r="W2322" s="5" t="s">
        <v>334</v>
      </c>
      <c r="X2322" s="5" t="s">
        <v>242</v>
      </c>
      <c r="Y2322" s="11" t="s">
        <v>5716</v>
      </c>
      <c r="Z2322" s="11" t="s">
        <v>1287</v>
      </c>
      <c r="AA2322" s="11" t="s">
        <v>155</v>
      </c>
      <c r="AB2322" s="5" t="s">
        <v>245</v>
      </c>
      <c r="AC2322" s="5" t="s">
        <v>1463</v>
      </c>
      <c r="AD2322" s="11" t="s">
        <v>5717</v>
      </c>
      <c r="AE2322" s="23" t="n">
        <v>0.51</v>
      </c>
      <c r="AF2322" s="23" t="n">
        <v>0</v>
      </c>
      <c r="AG2322" s="23" t="n">
        <v>0.33</v>
      </c>
      <c r="AH2322" s="23" t="n">
        <v>0.6</v>
      </c>
      <c r="AI2322" s="23" t="n">
        <v>1</v>
      </c>
      <c r="AJ2322" s="23" t="n">
        <v>0.1008</v>
      </c>
      <c r="AK2322" s="23" t="n">
        <v>0.8</v>
      </c>
      <c r="AL2322" s="23" t="n">
        <v>0</v>
      </c>
      <c r="AM2322" s="16" t="n">
        <f aca="false">COUNTIFS($D$2:$D$2501,D2322,$G$2:$G$2501,"&gt;"&amp;G2322)+COUNTIFS($D$2:D2322,D2322,$G$2:G2322,G2322)</f>
        <v>973</v>
      </c>
      <c r="AN2322" s="5" t="str">
        <f aca="false">D2322&amp;"|"&amp;AM2322</f>
        <v>分析與報告生成|973</v>
      </c>
    </row>
    <row r="2323" customFormat="false" ht="17.15" hidden="false" customHeight="false" outlineLevel="0" collapsed="false">
      <c r="A2323" s="16" t="n">
        <f aca="false">RANK(G2323,$G$2:$G$2501)+COUNTIF($G$2:G2323,G2323)-1</f>
        <v>2322</v>
      </c>
      <c r="B2323" s="11" t="s">
        <v>5718</v>
      </c>
      <c r="C2323" s="11" t="s">
        <v>5719</v>
      </c>
      <c r="D2323" s="5" t="s">
        <v>80</v>
      </c>
      <c r="E2323" s="5" t="s">
        <v>81</v>
      </c>
      <c r="F2323" s="5"/>
      <c r="G2323" s="22" t="n">
        <f aca="false">ROUND(SUM(I2323:P2323),3)</f>
        <v>44.25</v>
      </c>
      <c r="H2323" s="5" t="str">
        <f aca="false">IF(G2323&gt;=評分方法!$C$16,"優先評估",IF(G2323&gt;=評分方法!$C$17,"列入候選",IF(G2323&gt;=評分方法!$C$18,"特定情境","不建議")))</f>
        <v>不建議</v>
      </c>
      <c r="I2323" s="15" t="n">
        <f aca="false">AE2323*評分方法!$C$5</f>
        <v>6</v>
      </c>
      <c r="J2323" s="15" t="n">
        <f aca="false">AF2323*評分方法!$C$6</f>
        <v>0</v>
      </c>
      <c r="K2323" s="15" t="n">
        <f aca="false">AG2323*評分方法!$C$7</f>
        <v>4.95</v>
      </c>
      <c r="L2323" s="15" t="n">
        <f aca="false">AH2323*評分方法!$C$8</f>
        <v>15</v>
      </c>
      <c r="M2323" s="15" t="n">
        <f aca="false">AI2323*評分方法!$C$9</f>
        <v>10</v>
      </c>
      <c r="N2323" s="15" t="n">
        <f aca="false">AJ2323*評分方法!$C$10</f>
        <v>4.3</v>
      </c>
      <c r="O2323" s="15" t="n">
        <f aca="false">AK2323*評分方法!$C$11</f>
        <v>2.5</v>
      </c>
      <c r="P2323" s="15" t="n">
        <f aca="false">AL2323*評分方法!$C$12</f>
        <v>1.5</v>
      </c>
      <c r="Q2323" s="6" t="n">
        <v>473348</v>
      </c>
      <c r="R2323" s="6" t="n">
        <v>197104459</v>
      </c>
      <c r="S2323" s="11" t="s">
        <v>238</v>
      </c>
      <c r="T2323" s="11" t="s">
        <v>278</v>
      </c>
      <c r="U2323" s="5" t="s">
        <v>240</v>
      </c>
      <c r="V2323" s="11" t="s">
        <v>324</v>
      </c>
      <c r="W2323" s="5" t="s">
        <v>334</v>
      </c>
      <c r="X2323" s="5" t="s">
        <v>255</v>
      </c>
      <c r="Y2323" s="5"/>
      <c r="Z2323" s="5"/>
      <c r="AA2323" s="5"/>
      <c r="AB2323" s="5" t="s">
        <v>255</v>
      </c>
      <c r="AC2323" s="5"/>
      <c r="AD2323" s="11" t="s">
        <v>5720</v>
      </c>
      <c r="AE2323" s="23" t="n">
        <v>0.2</v>
      </c>
      <c r="AF2323" s="23" t="n">
        <v>0</v>
      </c>
      <c r="AG2323" s="23" t="n">
        <v>0.33</v>
      </c>
      <c r="AH2323" s="23" t="n">
        <v>1</v>
      </c>
      <c r="AI2323" s="23" t="n">
        <v>1</v>
      </c>
      <c r="AJ2323" s="23" t="n">
        <v>0.43</v>
      </c>
      <c r="AK2323" s="23" t="n">
        <v>0.5</v>
      </c>
      <c r="AL2323" s="23" t="n">
        <v>0.3</v>
      </c>
      <c r="AM2323" s="16" t="n">
        <f aca="false">COUNTIFS($D$2:$D$2501,D2323,$G$2:$G$2501,"&gt;"&amp;G2323)+COUNTIFS($D$2:D2323,D2323,$G$2:G2323,G2323)</f>
        <v>39</v>
      </c>
      <c r="AN2323" s="5" t="str">
        <f aca="false">D2323&amp;"|"&amp;AM2323</f>
        <v>其他|39</v>
      </c>
    </row>
    <row r="2324" customFormat="false" ht="17.15" hidden="false" customHeight="false" outlineLevel="0" collapsed="false">
      <c r="A2324" s="16" t="n">
        <f aca="false">RANK(G2324,$G$2:$G$2501)+COUNTIF($G$2:G2324,G2324)-1</f>
        <v>2323</v>
      </c>
      <c r="B2324" s="11" t="s">
        <v>5721</v>
      </c>
      <c r="C2324" s="11" t="s">
        <v>5722</v>
      </c>
      <c r="D2324" s="5" t="s">
        <v>78</v>
      </c>
      <c r="E2324" s="5" t="s">
        <v>79</v>
      </c>
      <c r="F2324" s="5"/>
      <c r="G2324" s="22" t="n">
        <f aca="false">ROUND(SUM(I2324:P2324),3)</f>
        <v>44.206</v>
      </c>
      <c r="H2324" s="5" t="str">
        <f aca="false">IF(G2324&gt;=評分方法!$C$16,"優先評估",IF(G2324&gt;=評分方法!$C$17,"列入候選",IF(G2324&gt;=評分方法!$C$18,"特定情境","不建議")))</f>
        <v>不建議</v>
      </c>
      <c r="I2324" s="15" t="n">
        <f aca="false">AE2324*評分方法!$C$5</f>
        <v>5.4</v>
      </c>
      <c r="J2324" s="15" t="n">
        <f aca="false">AF2324*評分方法!$C$6</f>
        <v>0</v>
      </c>
      <c r="K2324" s="15" t="n">
        <f aca="false">AG2324*評分方法!$C$7</f>
        <v>4.95</v>
      </c>
      <c r="L2324" s="15" t="n">
        <f aca="false">AH2324*評分方法!$C$8</f>
        <v>15</v>
      </c>
      <c r="M2324" s="15" t="n">
        <f aca="false">AI2324*評分方法!$C$9</f>
        <v>10</v>
      </c>
      <c r="N2324" s="15" t="n">
        <f aca="false">AJ2324*評分方法!$C$10</f>
        <v>7.856</v>
      </c>
      <c r="O2324" s="15" t="n">
        <f aca="false">AK2324*評分方法!$C$11</f>
        <v>1</v>
      </c>
      <c r="P2324" s="15" t="n">
        <f aca="false">AL2324*評分方法!$C$12</f>
        <v>0</v>
      </c>
      <c r="Q2324" s="6" t="n">
        <v>1440429</v>
      </c>
      <c r="R2324" s="6" t="n">
        <v>315558645</v>
      </c>
      <c r="S2324" s="11" t="s">
        <v>238</v>
      </c>
      <c r="T2324" s="11" t="s">
        <v>239</v>
      </c>
      <c r="U2324" s="5" t="s">
        <v>240</v>
      </c>
      <c r="V2324" s="11" t="s">
        <v>324</v>
      </c>
      <c r="W2324" s="5" t="s">
        <v>334</v>
      </c>
      <c r="X2324" s="5" t="s">
        <v>242</v>
      </c>
      <c r="Y2324" s="11" t="s">
        <v>4916</v>
      </c>
      <c r="Z2324" s="11" t="s">
        <v>270</v>
      </c>
      <c r="AA2324" s="11" t="s">
        <v>175</v>
      </c>
      <c r="AB2324" s="5" t="s">
        <v>245</v>
      </c>
      <c r="AC2324" s="5" t="s">
        <v>1463</v>
      </c>
      <c r="AD2324" s="11" t="s">
        <v>5723</v>
      </c>
      <c r="AE2324" s="23" t="n">
        <v>0.18</v>
      </c>
      <c r="AF2324" s="23" t="n">
        <v>0</v>
      </c>
      <c r="AG2324" s="23" t="n">
        <v>0.33</v>
      </c>
      <c r="AH2324" s="23" t="n">
        <v>1</v>
      </c>
      <c r="AI2324" s="23" t="n">
        <v>1</v>
      </c>
      <c r="AJ2324" s="23" t="n">
        <v>0.7856</v>
      </c>
      <c r="AK2324" s="23" t="n">
        <v>0.2</v>
      </c>
      <c r="AL2324" s="23" t="n">
        <v>0</v>
      </c>
      <c r="AM2324" s="16" t="n">
        <f aca="false">COUNTIFS($D$2:$D$2501,D2324,$G$2:$G$2501,"&gt;"&amp;G2324)+COUNTIFS($D$2:D2324,D2324,$G$2:G2324,G2324)</f>
        <v>110</v>
      </c>
      <c r="AN2324" s="5" t="str">
        <f aca="false">D2324&amp;"|"&amp;AM2324</f>
        <v>語音分析|110</v>
      </c>
    </row>
    <row r="2325" customFormat="false" ht="17.15" hidden="false" customHeight="false" outlineLevel="0" collapsed="false">
      <c r="A2325" s="16" t="n">
        <f aca="false">RANK(G2325,$G$2:$G$2501)+COUNTIF($G$2:G2325,G2325)-1</f>
        <v>2324</v>
      </c>
      <c r="B2325" s="11" t="s">
        <v>5724</v>
      </c>
      <c r="C2325" s="11" t="s">
        <v>5725</v>
      </c>
      <c r="D2325" s="5" t="s">
        <v>72</v>
      </c>
      <c r="E2325" s="5" t="s">
        <v>73</v>
      </c>
      <c r="F2325" s="5"/>
      <c r="G2325" s="22" t="n">
        <f aca="false">ROUND(SUM(I2325:P2325),3)</f>
        <v>44.114</v>
      </c>
      <c r="H2325" s="5" t="str">
        <f aca="false">IF(G2325&gt;=評分方法!$C$16,"優先評估",IF(G2325&gt;=評分方法!$C$17,"列入候選",IF(G2325&gt;=評分方法!$C$18,"特定情境","不建議")))</f>
        <v>不建議</v>
      </c>
      <c r="I2325" s="15" t="n">
        <f aca="false">AE2325*評分方法!$C$5</f>
        <v>9</v>
      </c>
      <c r="J2325" s="15" t="n">
        <f aca="false">AF2325*評分方法!$C$6</f>
        <v>0</v>
      </c>
      <c r="K2325" s="15" t="n">
        <f aca="false">AG2325*評分方法!$C$7</f>
        <v>4.95</v>
      </c>
      <c r="L2325" s="15" t="n">
        <f aca="false">AH2325*評分方法!$C$8</f>
        <v>15</v>
      </c>
      <c r="M2325" s="15" t="n">
        <f aca="false">AI2325*評分方法!$C$9</f>
        <v>10</v>
      </c>
      <c r="N2325" s="15" t="n">
        <f aca="false">AJ2325*評分方法!$C$10</f>
        <v>0.164</v>
      </c>
      <c r="O2325" s="15" t="n">
        <f aca="false">AK2325*評分方法!$C$11</f>
        <v>5</v>
      </c>
      <c r="P2325" s="15" t="n">
        <f aca="false">AL2325*評分方法!$C$12</f>
        <v>0</v>
      </c>
      <c r="Q2325" s="6" t="n">
        <v>120649</v>
      </c>
      <c r="R2325" s="6" t="n">
        <v>102993666</v>
      </c>
      <c r="S2325" s="11" t="s">
        <v>238</v>
      </c>
      <c r="T2325" s="11" t="s">
        <v>5726</v>
      </c>
      <c r="U2325" s="5" t="s">
        <v>240</v>
      </c>
      <c r="V2325" s="11" t="s">
        <v>261</v>
      </c>
      <c r="W2325" s="5" t="s">
        <v>334</v>
      </c>
      <c r="X2325" s="5" t="s">
        <v>242</v>
      </c>
      <c r="Y2325" s="5"/>
      <c r="Z2325" s="5"/>
      <c r="AA2325" s="11" t="s">
        <v>162</v>
      </c>
      <c r="AB2325" s="5" t="s">
        <v>328</v>
      </c>
      <c r="AC2325" s="5" t="s">
        <v>5038</v>
      </c>
      <c r="AD2325" s="11" t="s">
        <v>5727</v>
      </c>
      <c r="AE2325" s="23" t="n">
        <v>0.3</v>
      </c>
      <c r="AF2325" s="23" t="n">
        <v>0</v>
      </c>
      <c r="AG2325" s="23" t="n">
        <v>0.33</v>
      </c>
      <c r="AH2325" s="23" t="n">
        <v>1</v>
      </c>
      <c r="AI2325" s="23" t="n">
        <v>1</v>
      </c>
      <c r="AJ2325" s="23" t="n">
        <v>0.0164</v>
      </c>
      <c r="AK2325" s="23" t="n">
        <v>1</v>
      </c>
      <c r="AL2325" s="23" t="n">
        <v>0</v>
      </c>
      <c r="AM2325" s="16" t="n">
        <f aca="false">COUNTIFS($D$2:$D$2501,D2325,$G$2:$G$2501,"&gt;"&amp;G2325)+COUNTIFS($D$2:D2325,D2325,$G$2:G2325,G2325)</f>
        <v>58</v>
      </c>
      <c r="AN2325" s="5" t="str">
        <f aca="false">D2325&amp;"|"&amp;AM2325</f>
        <v>微調基底模型|58</v>
      </c>
    </row>
    <row r="2326" customFormat="false" ht="17.15" hidden="false" customHeight="false" outlineLevel="0" collapsed="false">
      <c r="A2326" s="16" t="n">
        <f aca="false">RANK(G2326,$G$2:$G$2501)+COUNTIF($G$2:G2326,G2326)-1</f>
        <v>2325</v>
      </c>
      <c r="B2326" s="11" t="s">
        <v>5728</v>
      </c>
      <c r="C2326" s="11" t="s">
        <v>5729</v>
      </c>
      <c r="D2326" s="5" t="s">
        <v>74</v>
      </c>
      <c r="E2326" s="5" t="s">
        <v>75</v>
      </c>
      <c r="F2326" s="5"/>
      <c r="G2326" s="22" t="n">
        <f aca="false">ROUND(SUM(I2326:P2326),3)</f>
        <v>44.038</v>
      </c>
      <c r="H2326" s="5" t="str">
        <f aca="false">IF(G2326&gt;=評分方法!$C$16,"優先評估",IF(G2326&gt;=評分方法!$C$17,"列入候選",IF(G2326&gt;=評分方法!$C$18,"特定情境","不建議")))</f>
        <v>不建議</v>
      </c>
      <c r="I2326" s="15" t="n">
        <f aca="false">AE2326*評分方法!$C$5</f>
        <v>7.5</v>
      </c>
      <c r="J2326" s="15" t="n">
        <f aca="false">AF2326*評分方法!$C$6</f>
        <v>0</v>
      </c>
      <c r="K2326" s="15" t="n">
        <f aca="false">AG2326*評分方法!$C$7</f>
        <v>4.95</v>
      </c>
      <c r="L2326" s="15" t="n">
        <f aca="false">AH2326*評分方法!$C$8</f>
        <v>15</v>
      </c>
      <c r="M2326" s="15" t="n">
        <f aca="false">AI2326*評分方法!$C$9</f>
        <v>10</v>
      </c>
      <c r="N2326" s="15" t="n">
        <f aca="false">AJ2326*評分方法!$C$10</f>
        <v>2.588</v>
      </c>
      <c r="O2326" s="15" t="n">
        <f aca="false">AK2326*評分方法!$C$11</f>
        <v>2.5</v>
      </c>
      <c r="P2326" s="15" t="n">
        <f aca="false">AL2326*評分方法!$C$12</f>
        <v>1.5</v>
      </c>
      <c r="Q2326" s="6" t="n">
        <v>260147</v>
      </c>
      <c r="R2326" s="6" t="n">
        <v>343550288</v>
      </c>
      <c r="S2326" s="11" t="s">
        <v>238</v>
      </c>
      <c r="T2326" s="11" t="s">
        <v>239</v>
      </c>
      <c r="U2326" s="5" t="s">
        <v>240</v>
      </c>
      <c r="V2326" s="11" t="s">
        <v>261</v>
      </c>
      <c r="W2326" s="5" t="s">
        <v>334</v>
      </c>
      <c r="X2326" s="5" t="s">
        <v>255</v>
      </c>
      <c r="Y2326" s="5"/>
      <c r="Z2326" s="5"/>
      <c r="AA2326" s="11" t="s">
        <v>180</v>
      </c>
      <c r="AB2326" s="5" t="s">
        <v>245</v>
      </c>
      <c r="AC2326" s="5"/>
      <c r="AD2326" s="11" t="s">
        <v>5730</v>
      </c>
      <c r="AE2326" s="23" t="n">
        <v>0.25</v>
      </c>
      <c r="AF2326" s="23" t="n">
        <v>0</v>
      </c>
      <c r="AG2326" s="23" t="n">
        <v>0.33</v>
      </c>
      <c r="AH2326" s="23" t="n">
        <v>1</v>
      </c>
      <c r="AI2326" s="23" t="n">
        <v>1</v>
      </c>
      <c r="AJ2326" s="23" t="n">
        <v>0.2588</v>
      </c>
      <c r="AK2326" s="23" t="n">
        <v>0.5</v>
      </c>
      <c r="AL2326" s="23" t="n">
        <v>0.3</v>
      </c>
      <c r="AM2326" s="16" t="n">
        <f aca="false">COUNTIFS($D$2:$D$2501,D2326,$G$2:$G$2501,"&gt;"&amp;G2326)+COUNTIFS($D$2:D2326,D2326,$G$2:G2326,G2326)</f>
        <v>319</v>
      </c>
      <c r="AN2326" s="5" t="str">
        <f aca="false">D2326&amp;"|"&amp;AM2326</f>
        <v>文件與影像辨識|319</v>
      </c>
    </row>
    <row r="2327" customFormat="false" ht="17.15" hidden="false" customHeight="false" outlineLevel="0" collapsed="false">
      <c r="A2327" s="16" t="n">
        <f aca="false">RANK(G2327,$G$2:$G$2501)+COUNTIF($G$2:G2327,G2327)-1</f>
        <v>2326</v>
      </c>
      <c r="B2327" s="11" t="s">
        <v>5731</v>
      </c>
      <c r="C2327" s="11" t="s">
        <v>4879</v>
      </c>
      <c r="D2327" s="5" t="s">
        <v>78</v>
      </c>
      <c r="E2327" s="5" t="s">
        <v>79</v>
      </c>
      <c r="F2327" s="5"/>
      <c r="G2327" s="22" t="n">
        <f aca="false">ROUND(SUM(I2327:P2327),3)</f>
        <v>44.03</v>
      </c>
      <c r="H2327" s="5" t="str">
        <f aca="false">IF(G2327&gt;=評分方法!$C$16,"優先評估",IF(G2327&gt;=評分方法!$C$17,"列入候選",IF(G2327&gt;=評分方法!$C$18,"特定情境","不建議")))</f>
        <v>不建議</v>
      </c>
      <c r="I2327" s="15" t="n">
        <f aca="false">AE2327*評分方法!$C$5</f>
        <v>10.5</v>
      </c>
      <c r="J2327" s="15" t="n">
        <f aca="false">AF2327*評分方法!$C$6</f>
        <v>0</v>
      </c>
      <c r="K2327" s="15" t="n">
        <f aca="false">AG2327*評分方法!$C$7</f>
        <v>4.95</v>
      </c>
      <c r="L2327" s="15" t="n">
        <f aca="false">AH2327*評分方法!$C$8</f>
        <v>15</v>
      </c>
      <c r="M2327" s="15" t="n">
        <f aca="false">AI2327*評分方法!$C$9</f>
        <v>10</v>
      </c>
      <c r="N2327" s="15" t="n">
        <f aca="false">AJ2327*評分方法!$C$10</f>
        <v>1.08</v>
      </c>
      <c r="O2327" s="15" t="n">
        <f aca="false">AK2327*評分方法!$C$11</f>
        <v>1</v>
      </c>
      <c r="P2327" s="15" t="n">
        <f aca="false">AL2327*評分方法!$C$12</f>
        <v>1.5</v>
      </c>
      <c r="Q2327" s="6" t="n">
        <v>156883</v>
      </c>
      <c r="R2327" s="6" t="n">
        <v>86167823</v>
      </c>
      <c r="S2327" s="11" t="s">
        <v>238</v>
      </c>
      <c r="T2327" s="11" t="s">
        <v>2029</v>
      </c>
      <c r="U2327" s="5" t="s">
        <v>240</v>
      </c>
      <c r="V2327" s="11" t="s">
        <v>324</v>
      </c>
      <c r="W2327" s="5" t="s">
        <v>334</v>
      </c>
      <c r="X2327" s="5" t="s">
        <v>255</v>
      </c>
      <c r="Y2327" s="5"/>
      <c r="Z2327" s="5"/>
      <c r="AA2327" s="11" t="s">
        <v>174</v>
      </c>
      <c r="AB2327" s="5" t="s">
        <v>245</v>
      </c>
      <c r="AC2327" s="5"/>
      <c r="AD2327" s="11" t="s">
        <v>5732</v>
      </c>
      <c r="AE2327" s="23" t="n">
        <v>0.35</v>
      </c>
      <c r="AF2327" s="23" t="n">
        <v>0</v>
      </c>
      <c r="AG2327" s="23" t="n">
        <v>0.33</v>
      </c>
      <c r="AH2327" s="23" t="n">
        <v>1</v>
      </c>
      <c r="AI2327" s="23" t="n">
        <v>1</v>
      </c>
      <c r="AJ2327" s="23" t="n">
        <v>0.108</v>
      </c>
      <c r="AK2327" s="23" t="n">
        <v>0.2</v>
      </c>
      <c r="AL2327" s="23" t="n">
        <v>0.3</v>
      </c>
      <c r="AM2327" s="16" t="n">
        <f aca="false">COUNTIFS($D$2:$D$2501,D2327,$G$2:$G$2501,"&gt;"&amp;G2327)+COUNTIFS($D$2:D2327,D2327,$G$2:G2327,G2327)</f>
        <v>111</v>
      </c>
      <c r="AN2327" s="5" t="str">
        <f aca="false">D2327&amp;"|"&amp;AM2327</f>
        <v>語音分析|111</v>
      </c>
    </row>
    <row r="2328" customFormat="false" ht="17.15" hidden="false" customHeight="false" outlineLevel="0" collapsed="false">
      <c r="A2328" s="16" t="n">
        <f aca="false">RANK(G2328,$G$2:$G$2501)+COUNTIF($G$2:G2328,G2328)-1</f>
        <v>2327</v>
      </c>
      <c r="B2328" s="11" t="s">
        <v>5733</v>
      </c>
      <c r="C2328" s="11" t="s">
        <v>5734</v>
      </c>
      <c r="D2328" s="5" t="s">
        <v>74</v>
      </c>
      <c r="E2328" s="5" t="s">
        <v>75</v>
      </c>
      <c r="F2328" s="5"/>
      <c r="G2328" s="22" t="n">
        <f aca="false">ROUND(SUM(I2328:P2328),3)</f>
        <v>44.004</v>
      </c>
      <c r="H2328" s="5" t="str">
        <f aca="false">IF(G2328&gt;=評分方法!$C$16,"優先評估",IF(G2328&gt;=評分方法!$C$17,"列入候選",IF(G2328&gt;=評分方法!$C$18,"特定情境","不建議")))</f>
        <v>不建議</v>
      </c>
      <c r="I2328" s="15" t="n">
        <f aca="false">AE2328*評分方法!$C$5</f>
        <v>13.5</v>
      </c>
      <c r="J2328" s="15" t="n">
        <f aca="false">AF2328*評分方法!$C$6</f>
        <v>0</v>
      </c>
      <c r="K2328" s="15" t="n">
        <f aca="false">AG2328*評分方法!$C$7</f>
        <v>4.95</v>
      </c>
      <c r="L2328" s="15" t="n">
        <f aca="false">AH2328*評分方法!$C$8</f>
        <v>7.05</v>
      </c>
      <c r="M2328" s="15" t="n">
        <f aca="false">AI2328*評分方法!$C$9</f>
        <v>10</v>
      </c>
      <c r="N2328" s="15" t="n">
        <f aca="false">AJ2328*評分方法!$C$10</f>
        <v>3.504</v>
      </c>
      <c r="O2328" s="15" t="n">
        <f aca="false">AK2328*評分方法!$C$11</f>
        <v>5</v>
      </c>
      <c r="P2328" s="15" t="n">
        <f aca="false">AL2328*評分方法!$C$12</f>
        <v>0</v>
      </c>
      <c r="Q2328" s="6" t="n">
        <v>352570</v>
      </c>
      <c r="R2328" s="6"/>
      <c r="S2328" s="5" t="s">
        <v>255</v>
      </c>
      <c r="T2328" s="11" t="s">
        <v>278</v>
      </c>
      <c r="U2328" s="5" t="s">
        <v>240</v>
      </c>
      <c r="V2328" s="11" t="s">
        <v>261</v>
      </c>
      <c r="W2328" s="5" t="s">
        <v>334</v>
      </c>
      <c r="X2328" s="5" t="s">
        <v>242</v>
      </c>
      <c r="Y2328" s="5"/>
      <c r="Z2328" s="5"/>
      <c r="AA2328" s="11" t="s">
        <v>166</v>
      </c>
      <c r="AB2328" s="5" t="s">
        <v>245</v>
      </c>
      <c r="AC2328" s="5"/>
      <c r="AD2328" s="11" t="s">
        <v>5735</v>
      </c>
      <c r="AE2328" s="23" t="n">
        <v>0.45</v>
      </c>
      <c r="AF2328" s="23" t="n">
        <v>0</v>
      </c>
      <c r="AG2328" s="23" t="n">
        <v>0.33</v>
      </c>
      <c r="AH2328" s="23" t="n">
        <v>0.47</v>
      </c>
      <c r="AI2328" s="23" t="n">
        <v>1</v>
      </c>
      <c r="AJ2328" s="23" t="n">
        <v>0.3504</v>
      </c>
      <c r="AK2328" s="23" t="n">
        <v>1</v>
      </c>
      <c r="AL2328" s="23" t="n">
        <v>0</v>
      </c>
      <c r="AM2328" s="16" t="n">
        <f aca="false">COUNTIFS($D$2:$D$2501,D2328,$G$2:$G$2501,"&gt;"&amp;G2328)+COUNTIFS($D$2:D2328,D2328,$G$2:G2328,G2328)</f>
        <v>320</v>
      </c>
      <c r="AN2328" s="5" t="str">
        <f aca="false">D2328&amp;"|"&amp;AM2328</f>
        <v>文件與影像辨識|320</v>
      </c>
    </row>
    <row r="2329" customFormat="false" ht="17.15" hidden="false" customHeight="false" outlineLevel="0" collapsed="false">
      <c r="A2329" s="16" t="n">
        <f aca="false">RANK(G2329,$G$2:$G$2501)+COUNTIF($G$2:G2329,G2329)-1</f>
        <v>2328</v>
      </c>
      <c r="B2329" s="11" t="s">
        <v>5736</v>
      </c>
      <c r="C2329" s="11" t="s">
        <v>5651</v>
      </c>
      <c r="D2329" s="5" t="s">
        <v>80</v>
      </c>
      <c r="E2329" s="5" t="s">
        <v>81</v>
      </c>
      <c r="F2329" s="5"/>
      <c r="G2329" s="22" t="n">
        <f aca="false">ROUND(SUM(I2329:P2329),3)</f>
        <v>43.994</v>
      </c>
      <c r="H2329" s="5" t="str">
        <f aca="false">IF(G2329&gt;=評分方法!$C$16,"優先評估",IF(G2329&gt;=評分方法!$C$17,"列入候選",IF(G2329&gt;=評分方法!$C$18,"特定情境","不建議")))</f>
        <v>不建議</v>
      </c>
      <c r="I2329" s="15" t="n">
        <f aca="false">AE2329*評分方法!$C$5</f>
        <v>6</v>
      </c>
      <c r="J2329" s="15" t="n">
        <f aca="false">AF2329*評分方法!$C$6</f>
        <v>0</v>
      </c>
      <c r="K2329" s="15" t="n">
        <f aca="false">AG2329*評分方法!$C$7</f>
        <v>4.95</v>
      </c>
      <c r="L2329" s="15" t="n">
        <f aca="false">AH2329*評分方法!$C$8</f>
        <v>15</v>
      </c>
      <c r="M2329" s="15" t="n">
        <f aca="false">AI2329*評分方法!$C$9</f>
        <v>10</v>
      </c>
      <c r="N2329" s="15" t="n">
        <f aca="false">AJ2329*評分方法!$C$10</f>
        <v>1.544</v>
      </c>
      <c r="O2329" s="15" t="n">
        <f aca="false">AK2329*評分方法!$C$11</f>
        <v>5</v>
      </c>
      <c r="P2329" s="15" t="n">
        <f aca="false">AL2329*評分方法!$C$12</f>
        <v>1.5</v>
      </c>
      <c r="Q2329" s="6" t="n">
        <v>181435</v>
      </c>
      <c r="R2329" s="6" t="n">
        <v>8112384</v>
      </c>
      <c r="S2329" s="11" t="s">
        <v>238</v>
      </c>
      <c r="T2329" s="11" t="s">
        <v>239</v>
      </c>
      <c r="U2329" s="5" t="s">
        <v>240</v>
      </c>
      <c r="V2329" s="11" t="s">
        <v>261</v>
      </c>
      <c r="W2329" s="5" t="s">
        <v>334</v>
      </c>
      <c r="X2329" s="5" t="s">
        <v>255</v>
      </c>
      <c r="Y2329" s="5"/>
      <c r="Z2329" s="5"/>
      <c r="AA2329" s="5"/>
      <c r="AB2329" s="5" t="s">
        <v>255</v>
      </c>
      <c r="AC2329" s="5"/>
      <c r="AD2329" s="11" t="s">
        <v>5737</v>
      </c>
      <c r="AE2329" s="23" t="n">
        <v>0.2</v>
      </c>
      <c r="AF2329" s="23" t="n">
        <v>0</v>
      </c>
      <c r="AG2329" s="23" t="n">
        <v>0.33</v>
      </c>
      <c r="AH2329" s="23" t="n">
        <v>1</v>
      </c>
      <c r="AI2329" s="23" t="n">
        <v>1</v>
      </c>
      <c r="AJ2329" s="23" t="n">
        <v>0.1544</v>
      </c>
      <c r="AK2329" s="23" t="n">
        <v>1</v>
      </c>
      <c r="AL2329" s="23" t="n">
        <v>0.3</v>
      </c>
      <c r="AM2329" s="16" t="n">
        <f aca="false">COUNTIFS($D$2:$D$2501,D2329,$G$2:$G$2501,"&gt;"&amp;G2329)+COUNTIFS($D$2:D2329,D2329,$G$2:G2329,G2329)</f>
        <v>40</v>
      </c>
      <c r="AN2329" s="5" t="str">
        <f aca="false">D2329&amp;"|"&amp;AM2329</f>
        <v>其他|40</v>
      </c>
    </row>
    <row r="2330" customFormat="false" ht="17.15" hidden="false" customHeight="false" outlineLevel="0" collapsed="false">
      <c r="A2330" s="16" t="n">
        <f aca="false">RANK(G2330,$G$2:$G$2501)+COUNTIF($G$2:G2330,G2330)-1</f>
        <v>2329</v>
      </c>
      <c r="B2330" s="11" t="s">
        <v>5738</v>
      </c>
      <c r="C2330" s="11" t="s">
        <v>5739</v>
      </c>
      <c r="D2330" s="5" t="s">
        <v>78</v>
      </c>
      <c r="E2330" s="5" t="s">
        <v>79</v>
      </c>
      <c r="F2330" s="5"/>
      <c r="G2330" s="22" t="n">
        <f aca="false">ROUND(SUM(I2330:P2330),3)</f>
        <v>43.95</v>
      </c>
      <c r="H2330" s="5" t="str">
        <f aca="false">IF(G2330&gt;=評分方法!$C$16,"優先評估",IF(G2330&gt;=評分方法!$C$17,"列入候選",IF(G2330&gt;=評分方法!$C$18,"特定情境","不建議")))</f>
        <v>不建議</v>
      </c>
      <c r="I2330" s="15" t="n">
        <f aca="false">AE2330*評分方法!$C$5</f>
        <v>10.5</v>
      </c>
      <c r="J2330" s="15" t="n">
        <f aca="false">AF2330*評分方法!$C$6</f>
        <v>0</v>
      </c>
      <c r="K2330" s="15" t="n">
        <f aca="false">AG2330*評分方法!$C$7</f>
        <v>4.95</v>
      </c>
      <c r="L2330" s="15" t="n">
        <f aca="false">AH2330*評分方法!$C$8</f>
        <v>15</v>
      </c>
      <c r="M2330" s="15" t="n">
        <f aca="false">AI2330*評分方法!$C$9</f>
        <v>2</v>
      </c>
      <c r="N2330" s="15" t="n">
        <f aca="false">AJ2330*評分方法!$C$10</f>
        <v>6</v>
      </c>
      <c r="O2330" s="15" t="n">
        <f aca="false">AK2330*評分方法!$C$11</f>
        <v>4</v>
      </c>
      <c r="P2330" s="15" t="n">
        <f aca="false">AL2330*評分方法!$C$12</f>
        <v>1.5</v>
      </c>
      <c r="Q2330" s="6" t="n">
        <v>625344</v>
      </c>
      <c r="R2330" s="6" t="n">
        <v>201400553</v>
      </c>
      <c r="S2330" s="11" t="s">
        <v>238</v>
      </c>
      <c r="T2330" s="5"/>
      <c r="U2330" s="5" t="s">
        <v>375</v>
      </c>
      <c r="V2330" s="11" t="s">
        <v>261</v>
      </c>
      <c r="W2330" s="5" t="s">
        <v>334</v>
      </c>
      <c r="X2330" s="5" t="s">
        <v>255</v>
      </c>
      <c r="Y2330" s="5"/>
      <c r="Z2330" s="5"/>
      <c r="AA2330" s="11" t="s">
        <v>174</v>
      </c>
      <c r="AB2330" s="5" t="s">
        <v>245</v>
      </c>
      <c r="AC2330" s="5" t="s">
        <v>262</v>
      </c>
      <c r="AD2330" s="11" t="s">
        <v>5740</v>
      </c>
      <c r="AE2330" s="23" t="n">
        <v>0.35</v>
      </c>
      <c r="AF2330" s="23" t="n">
        <v>0</v>
      </c>
      <c r="AG2330" s="23" t="n">
        <v>0.33</v>
      </c>
      <c r="AH2330" s="23" t="n">
        <v>1</v>
      </c>
      <c r="AI2330" s="23" t="n">
        <v>0.2</v>
      </c>
      <c r="AJ2330" s="23" t="n">
        <v>0.6</v>
      </c>
      <c r="AK2330" s="23" t="n">
        <v>0.8</v>
      </c>
      <c r="AL2330" s="23" t="n">
        <v>0.3</v>
      </c>
      <c r="AM2330" s="16" t="n">
        <f aca="false">COUNTIFS($D$2:$D$2501,D2330,$G$2:$G$2501,"&gt;"&amp;G2330)+COUNTIFS($D$2:D2330,D2330,$G$2:G2330,G2330)</f>
        <v>112</v>
      </c>
      <c r="AN2330" s="5" t="str">
        <f aca="false">D2330&amp;"|"&amp;AM2330</f>
        <v>語音分析|112</v>
      </c>
    </row>
    <row r="2331" customFormat="false" ht="17.15" hidden="false" customHeight="false" outlineLevel="0" collapsed="false">
      <c r="A2331" s="16" t="n">
        <f aca="false">RANK(G2331,$G$2:$G$2501)+COUNTIF($G$2:G2331,G2331)-1</f>
        <v>2330</v>
      </c>
      <c r="B2331" s="11" t="s">
        <v>5741</v>
      </c>
      <c r="C2331" s="11" t="s">
        <v>1214</v>
      </c>
      <c r="D2331" s="5" t="s">
        <v>80</v>
      </c>
      <c r="E2331" s="5" t="s">
        <v>81</v>
      </c>
      <c r="F2331" s="5"/>
      <c r="G2331" s="22" t="n">
        <f aca="false">ROUND(SUM(I2331:P2331),3)</f>
        <v>43.926</v>
      </c>
      <c r="H2331" s="5" t="str">
        <f aca="false">IF(G2331&gt;=評分方法!$C$16,"優先評估",IF(G2331&gt;=評分方法!$C$17,"列入候選",IF(G2331&gt;=評分方法!$C$18,"特定情境","不建議")))</f>
        <v>不建議</v>
      </c>
      <c r="I2331" s="15" t="n">
        <f aca="false">AE2331*評分方法!$C$5</f>
        <v>3</v>
      </c>
      <c r="J2331" s="15" t="n">
        <f aca="false">AF2331*評分方法!$C$6</f>
        <v>0</v>
      </c>
      <c r="K2331" s="15" t="n">
        <f aca="false">AG2331*評分方法!$C$7</f>
        <v>15</v>
      </c>
      <c r="L2331" s="15" t="n">
        <f aca="false">AH2331*評分方法!$C$8</f>
        <v>7.05</v>
      </c>
      <c r="M2331" s="15" t="n">
        <f aca="false">AI2331*評分方法!$C$9</f>
        <v>6</v>
      </c>
      <c r="N2331" s="15" t="n">
        <f aca="false">AJ2331*評分方法!$C$10</f>
        <v>6.376</v>
      </c>
      <c r="O2331" s="15" t="n">
        <f aca="false">AK2331*評分方法!$C$11</f>
        <v>5</v>
      </c>
      <c r="P2331" s="15" t="n">
        <f aca="false">AL2331*評分方法!$C$12</f>
        <v>1.5</v>
      </c>
      <c r="Q2331" s="6" t="n">
        <v>711513</v>
      </c>
      <c r="R2331" s="6"/>
      <c r="S2331" s="5" t="s">
        <v>255</v>
      </c>
      <c r="T2331" s="11" t="s">
        <v>185</v>
      </c>
      <c r="U2331" s="5" t="s">
        <v>260</v>
      </c>
      <c r="V2331" s="11" t="s">
        <v>261</v>
      </c>
      <c r="W2331" s="5" t="s">
        <v>205</v>
      </c>
      <c r="X2331" s="5" t="s">
        <v>255</v>
      </c>
      <c r="Y2331" s="11" t="s">
        <v>5742</v>
      </c>
      <c r="Z2331" s="11" t="s">
        <v>270</v>
      </c>
      <c r="AA2331" s="11" t="s">
        <v>184</v>
      </c>
      <c r="AB2331" s="5" t="s">
        <v>496</v>
      </c>
      <c r="AC2331" s="5" t="s">
        <v>1330</v>
      </c>
      <c r="AD2331" s="11" t="s">
        <v>5743</v>
      </c>
      <c r="AE2331" s="23" t="n">
        <v>0.1</v>
      </c>
      <c r="AF2331" s="23" t="n">
        <v>0</v>
      </c>
      <c r="AG2331" s="23" t="n">
        <v>1</v>
      </c>
      <c r="AH2331" s="23" t="n">
        <v>0.47</v>
      </c>
      <c r="AI2331" s="23" t="n">
        <v>0.6</v>
      </c>
      <c r="AJ2331" s="23" t="n">
        <v>0.6376</v>
      </c>
      <c r="AK2331" s="23" t="n">
        <v>1</v>
      </c>
      <c r="AL2331" s="23" t="n">
        <v>0.3</v>
      </c>
      <c r="AM2331" s="16" t="n">
        <f aca="false">COUNTIFS($D$2:$D$2501,D2331,$G$2:$G$2501,"&gt;"&amp;G2331)+COUNTIFS($D$2:D2331,D2331,$G$2:G2331,G2331)</f>
        <v>41</v>
      </c>
      <c r="AN2331" s="5" t="str">
        <f aca="false">D2331&amp;"|"&amp;AM2331</f>
        <v>其他|41</v>
      </c>
    </row>
    <row r="2332" customFormat="false" ht="17.15" hidden="false" customHeight="false" outlineLevel="0" collapsed="false">
      <c r="A2332" s="16" t="n">
        <f aca="false">RANK(G2332,$G$2:$G$2501)+COUNTIF($G$2:G2332,G2332)-1</f>
        <v>2331</v>
      </c>
      <c r="B2332" s="11" t="s">
        <v>5744</v>
      </c>
      <c r="C2332" s="11" t="s">
        <v>5745</v>
      </c>
      <c r="D2332" s="5" t="s">
        <v>74</v>
      </c>
      <c r="E2332" s="5" t="s">
        <v>75</v>
      </c>
      <c r="F2332" s="5"/>
      <c r="G2332" s="22" t="n">
        <f aca="false">ROUND(SUM(I2332:P2332),3)</f>
        <v>43.784</v>
      </c>
      <c r="H2332" s="5" t="str">
        <f aca="false">IF(G2332&gt;=評分方法!$C$16,"優先評估",IF(G2332&gt;=評分方法!$C$17,"列入候選",IF(G2332&gt;=評分方法!$C$18,"特定情境","不建議")))</f>
        <v>不建議</v>
      </c>
      <c r="I2332" s="15" t="n">
        <f aca="false">AE2332*評分方法!$C$5</f>
        <v>12</v>
      </c>
      <c r="J2332" s="15" t="n">
        <f aca="false">AF2332*評分方法!$C$6</f>
        <v>0</v>
      </c>
      <c r="K2332" s="15" t="n">
        <f aca="false">AG2332*評分方法!$C$7</f>
        <v>4.95</v>
      </c>
      <c r="L2332" s="15" t="n">
        <f aca="false">AH2332*評分方法!$C$8</f>
        <v>7.05</v>
      </c>
      <c r="M2332" s="15" t="n">
        <f aca="false">AI2332*評分方法!$C$9</f>
        <v>10</v>
      </c>
      <c r="N2332" s="15" t="n">
        <f aca="false">AJ2332*評分方法!$C$10</f>
        <v>4.784</v>
      </c>
      <c r="O2332" s="15" t="n">
        <f aca="false">AK2332*評分方法!$C$11</f>
        <v>5</v>
      </c>
      <c r="P2332" s="15" t="n">
        <f aca="false">AL2332*評分方法!$C$12</f>
        <v>0</v>
      </c>
      <c r="Q2332" s="6" t="n">
        <v>522370</v>
      </c>
      <c r="R2332" s="6"/>
      <c r="S2332" s="5" t="s">
        <v>255</v>
      </c>
      <c r="T2332" s="11" t="s">
        <v>278</v>
      </c>
      <c r="U2332" s="5" t="s">
        <v>240</v>
      </c>
      <c r="V2332" s="11" t="s">
        <v>324</v>
      </c>
      <c r="W2332" s="5" t="s">
        <v>334</v>
      </c>
      <c r="X2332" s="5" t="s">
        <v>242</v>
      </c>
      <c r="Y2332" s="5"/>
      <c r="Z2332" s="5"/>
      <c r="AA2332" s="11" t="s">
        <v>167</v>
      </c>
      <c r="AB2332" s="5" t="s">
        <v>245</v>
      </c>
      <c r="AC2332" s="5"/>
      <c r="AD2332" s="11" t="s">
        <v>5746</v>
      </c>
      <c r="AE2332" s="23" t="n">
        <v>0.4</v>
      </c>
      <c r="AF2332" s="23" t="n">
        <v>0</v>
      </c>
      <c r="AG2332" s="23" t="n">
        <v>0.33</v>
      </c>
      <c r="AH2332" s="23" t="n">
        <v>0.47</v>
      </c>
      <c r="AI2332" s="23" t="n">
        <v>1</v>
      </c>
      <c r="AJ2332" s="23" t="n">
        <v>0.4784</v>
      </c>
      <c r="AK2332" s="23" t="n">
        <v>1</v>
      </c>
      <c r="AL2332" s="23" t="n">
        <v>0</v>
      </c>
      <c r="AM2332" s="16" t="n">
        <f aca="false">COUNTIFS($D$2:$D$2501,D2332,$G$2:$G$2501,"&gt;"&amp;G2332)+COUNTIFS($D$2:D2332,D2332,$G$2:G2332,G2332)</f>
        <v>321</v>
      </c>
      <c r="AN2332" s="5" t="str">
        <f aca="false">D2332&amp;"|"&amp;AM2332</f>
        <v>文件與影像辨識|321</v>
      </c>
    </row>
    <row r="2333" customFormat="false" ht="17.15" hidden="false" customHeight="false" outlineLevel="0" collapsed="false">
      <c r="A2333" s="16" t="n">
        <f aca="false">RANK(G2333,$G$2:$G$2501)+COUNTIF($G$2:G2333,G2333)-1</f>
        <v>2332</v>
      </c>
      <c r="B2333" s="11" t="s">
        <v>5747</v>
      </c>
      <c r="C2333" s="11" t="s">
        <v>5748</v>
      </c>
      <c r="D2333" s="5" t="s">
        <v>78</v>
      </c>
      <c r="E2333" s="5" t="s">
        <v>79</v>
      </c>
      <c r="F2333" s="5"/>
      <c r="G2333" s="22" t="n">
        <f aca="false">ROUND(SUM(I2333:P2333),3)</f>
        <v>43.774</v>
      </c>
      <c r="H2333" s="5" t="str">
        <f aca="false">IF(G2333&gt;=評分方法!$C$16,"優先評估",IF(G2333&gt;=評分方法!$C$17,"列入候選",IF(G2333&gt;=評分方法!$C$18,"特定情境","不建議")))</f>
        <v>不建議</v>
      </c>
      <c r="I2333" s="15" t="n">
        <f aca="false">AE2333*評分方法!$C$5</f>
        <v>10.5</v>
      </c>
      <c r="J2333" s="15" t="n">
        <f aca="false">AF2333*評分方法!$C$6</f>
        <v>0</v>
      </c>
      <c r="K2333" s="15" t="n">
        <f aca="false">AG2333*評分方法!$C$7</f>
        <v>4.95</v>
      </c>
      <c r="L2333" s="15" t="n">
        <f aca="false">AH2333*評分方法!$C$8</f>
        <v>15</v>
      </c>
      <c r="M2333" s="15" t="n">
        <f aca="false">AI2333*評分方法!$C$9</f>
        <v>10</v>
      </c>
      <c r="N2333" s="15" t="n">
        <f aca="false">AJ2333*評分方法!$C$10</f>
        <v>0.824</v>
      </c>
      <c r="O2333" s="15" t="n">
        <f aca="false">AK2333*評分方法!$C$11</f>
        <v>2.5</v>
      </c>
      <c r="P2333" s="15" t="n">
        <f aca="false">AL2333*評分方法!$C$12</f>
        <v>0</v>
      </c>
      <c r="Q2333" s="6" t="n">
        <v>147166</v>
      </c>
      <c r="R2333" s="6" t="n">
        <v>315701634</v>
      </c>
      <c r="S2333" s="11" t="s">
        <v>238</v>
      </c>
      <c r="T2333" s="11" t="s">
        <v>239</v>
      </c>
      <c r="U2333" s="5" t="s">
        <v>240</v>
      </c>
      <c r="V2333" s="11" t="s">
        <v>261</v>
      </c>
      <c r="W2333" s="5" t="s">
        <v>334</v>
      </c>
      <c r="X2333" s="5" t="s">
        <v>242</v>
      </c>
      <c r="Y2333" s="11" t="s">
        <v>4916</v>
      </c>
      <c r="Z2333" s="11" t="s">
        <v>270</v>
      </c>
      <c r="AA2333" s="11" t="s">
        <v>174</v>
      </c>
      <c r="AB2333" s="5" t="s">
        <v>245</v>
      </c>
      <c r="AC2333" s="5"/>
      <c r="AD2333" s="11" t="s">
        <v>5749</v>
      </c>
      <c r="AE2333" s="23" t="n">
        <v>0.35</v>
      </c>
      <c r="AF2333" s="23" t="n">
        <v>0</v>
      </c>
      <c r="AG2333" s="23" t="n">
        <v>0.33</v>
      </c>
      <c r="AH2333" s="23" t="n">
        <v>1</v>
      </c>
      <c r="AI2333" s="23" t="n">
        <v>1</v>
      </c>
      <c r="AJ2333" s="23" t="n">
        <v>0.0824</v>
      </c>
      <c r="AK2333" s="23" t="n">
        <v>0.5</v>
      </c>
      <c r="AL2333" s="23" t="n">
        <v>0</v>
      </c>
      <c r="AM2333" s="16" t="n">
        <f aca="false">COUNTIFS($D$2:$D$2501,D2333,$G$2:$G$2501,"&gt;"&amp;G2333)+COUNTIFS($D$2:D2333,D2333,$G$2:G2333,G2333)</f>
        <v>113</v>
      </c>
      <c r="AN2333" s="5" t="str">
        <f aca="false">D2333&amp;"|"&amp;AM2333</f>
        <v>語音分析|113</v>
      </c>
    </row>
    <row r="2334" customFormat="false" ht="17.15" hidden="false" customHeight="false" outlineLevel="0" collapsed="false">
      <c r="A2334" s="16" t="n">
        <f aca="false">RANK(G2334,$G$2:$G$2501)+COUNTIF($G$2:G2334,G2334)-1</f>
        <v>2333</v>
      </c>
      <c r="B2334" s="11" t="s">
        <v>5750</v>
      </c>
      <c r="C2334" s="11" t="s">
        <v>5601</v>
      </c>
      <c r="D2334" s="5" t="s">
        <v>78</v>
      </c>
      <c r="E2334" s="5" t="s">
        <v>79</v>
      </c>
      <c r="F2334" s="5"/>
      <c r="G2334" s="22" t="n">
        <f aca="false">ROUND(SUM(I2334:P2334),3)</f>
        <v>43.766</v>
      </c>
      <c r="H2334" s="5" t="str">
        <f aca="false">IF(G2334&gt;=評分方法!$C$16,"優先評估",IF(G2334&gt;=評分方法!$C$17,"列入候選",IF(G2334&gt;=評分方法!$C$18,"特定情境","不建議")))</f>
        <v>不建議</v>
      </c>
      <c r="I2334" s="15" t="n">
        <f aca="false">AE2334*評分方法!$C$5</f>
        <v>9</v>
      </c>
      <c r="J2334" s="15" t="n">
        <f aca="false">AF2334*評分方法!$C$6</f>
        <v>0</v>
      </c>
      <c r="K2334" s="15" t="n">
        <f aca="false">AG2334*評分方法!$C$7</f>
        <v>4.95</v>
      </c>
      <c r="L2334" s="15" t="n">
        <f aca="false">AH2334*評分方法!$C$8</f>
        <v>15</v>
      </c>
      <c r="M2334" s="15" t="n">
        <f aca="false">AI2334*評分方法!$C$9</f>
        <v>10</v>
      </c>
      <c r="N2334" s="15" t="n">
        <f aca="false">AJ2334*評分方法!$C$10</f>
        <v>0.816</v>
      </c>
      <c r="O2334" s="15" t="n">
        <f aca="false">AK2334*評分方法!$C$11</f>
        <v>4</v>
      </c>
      <c r="P2334" s="15" t="n">
        <f aca="false">AL2334*評分方法!$C$12</f>
        <v>0</v>
      </c>
      <c r="Q2334" s="6" t="n">
        <v>146787</v>
      </c>
      <c r="R2334" s="6" t="n">
        <v>44054720</v>
      </c>
      <c r="S2334" s="11" t="s">
        <v>238</v>
      </c>
      <c r="T2334" s="11" t="s">
        <v>278</v>
      </c>
      <c r="U2334" s="5" t="s">
        <v>240</v>
      </c>
      <c r="V2334" s="11" t="s">
        <v>261</v>
      </c>
      <c r="W2334" s="5" t="s">
        <v>334</v>
      </c>
      <c r="X2334" s="5" t="s">
        <v>242</v>
      </c>
      <c r="Y2334" s="5"/>
      <c r="Z2334" s="5"/>
      <c r="AA2334" s="11" t="s">
        <v>175</v>
      </c>
      <c r="AB2334" s="5" t="s">
        <v>245</v>
      </c>
      <c r="AC2334" s="5"/>
      <c r="AD2334" s="11" t="s">
        <v>5751</v>
      </c>
      <c r="AE2334" s="23" t="n">
        <v>0.3</v>
      </c>
      <c r="AF2334" s="23" t="n">
        <v>0</v>
      </c>
      <c r="AG2334" s="23" t="n">
        <v>0.33</v>
      </c>
      <c r="AH2334" s="23" t="n">
        <v>1</v>
      </c>
      <c r="AI2334" s="23" t="n">
        <v>1</v>
      </c>
      <c r="AJ2334" s="23" t="n">
        <v>0.0816</v>
      </c>
      <c r="AK2334" s="23" t="n">
        <v>0.8</v>
      </c>
      <c r="AL2334" s="23" t="n">
        <v>0</v>
      </c>
      <c r="AM2334" s="16" t="n">
        <f aca="false">COUNTIFS($D$2:$D$2501,D2334,$G$2:$G$2501,"&gt;"&amp;G2334)+COUNTIFS($D$2:D2334,D2334,$G$2:G2334,G2334)</f>
        <v>114</v>
      </c>
      <c r="AN2334" s="5" t="str">
        <f aca="false">D2334&amp;"|"&amp;AM2334</f>
        <v>語音分析|114</v>
      </c>
    </row>
    <row r="2335" customFormat="false" ht="17.15" hidden="false" customHeight="false" outlineLevel="0" collapsed="false">
      <c r="A2335" s="16" t="n">
        <f aca="false">RANK(G2335,$G$2:$G$2501)+COUNTIF($G$2:G2335,G2335)-1</f>
        <v>2334</v>
      </c>
      <c r="B2335" s="11" t="s">
        <v>5752</v>
      </c>
      <c r="C2335" s="11" t="s">
        <v>5753</v>
      </c>
      <c r="D2335" s="5" t="s">
        <v>56</v>
      </c>
      <c r="E2335" s="5" t="s">
        <v>57</v>
      </c>
      <c r="F2335" s="5"/>
      <c r="G2335" s="22" t="n">
        <f aca="false">ROUND(SUM(I2335:P2335),3)</f>
        <v>43.76</v>
      </c>
      <c r="H2335" s="5" t="str">
        <f aca="false">IF(G2335&gt;=評分方法!$C$16,"優先評估",IF(G2335&gt;=評分方法!$C$17,"列入候選",IF(G2335&gt;=評分方法!$C$18,"特定情境","不建議")))</f>
        <v>不建議</v>
      </c>
      <c r="I2335" s="15" t="n">
        <f aca="false">AE2335*評分方法!$C$5</f>
        <v>15.3</v>
      </c>
      <c r="J2335" s="15" t="n">
        <f aca="false">AF2335*評分方法!$C$6</f>
        <v>0</v>
      </c>
      <c r="K2335" s="15" t="n">
        <f aca="false">AG2335*評分方法!$C$7</f>
        <v>4.95</v>
      </c>
      <c r="L2335" s="15" t="n">
        <f aca="false">AH2335*評分方法!$C$8</f>
        <v>13.05</v>
      </c>
      <c r="M2335" s="15" t="n">
        <f aca="false">AI2335*評分方法!$C$9</f>
        <v>6</v>
      </c>
      <c r="N2335" s="15" t="n">
        <f aca="false">AJ2335*評分方法!$C$10</f>
        <v>0.46</v>
      </c>
      <c r="O2335" s="15" t="n">
        <f aca="false">AK2335*評分方法!$C$11</f>
        <v>4</v>
      </c>
      <c r="P2335" s="15" t="n">
        <f aca="false">AL2335*評分方法!$C$12</f>
        <v>0</v>
      </c>
      <c r="Q2335" s="6" t="n">
        <v>130357</v>
      </c>
      <c r="R2335" s="6" t="n">
        <v>6738415616</v>
      </c>
      <c r="S2335" s="11" t="s">
        <v>254</v>
      </c>
      <c r="T2335" s="11" t="s">
        <v>1153</v>
      </c>
      <c r="U2335" s="5" t="s">
        <v>260</v>
      </c>
      <c r="V2335" s="11" t="s">
        <v>261</v>
      </c>
      <c r="W2335" s="5" t="s">
        <v>334</v>
      </c>
      <c r="X2335" s="5" t="s">
        <v>242</v>
      </c>
      <c r="Y2335" s="11" t="s">
        <v>5754</v>
      </c>
      <c r="Z2335" s="11" t="s">
        <v>270</v>
      </c>
      <c r="AA2335" s="11" t="s">
        <v>155</v>
      </c>
      <c r="AB2335" s="5" t="s">
        <v>245</v>
      </c>
      <c r="AC2335" s="5" t="s">
        <v>4841</v>
      </c>
      <c r="AD2335" s="11" t="s">
        <v>5755</v>
      </c>
      <c r="AE2335" s="23" t="n">
        <v>0.51</v>
      </c>
      <c r="AF2335" s="23" t="n">
        <v>0</v>
      </c>
      <c r="AG2335" s="23" t="n">
        <v>0.33</v>
      </c>
      <c r="AH2335" s="23" t="n">
        <v>0.87</v>
      </c>
      <c r="AI2335" s="23" t="n">
        <v>0.6</v>
      </c>
      <c r="AJ2335" s="23" t="n">
        <v>0.046</v>
      </c>
      <c r="AK2335" s="23" t="n">
        <v>0.8</v>
      </c>
      <c r="AL2335" s="23" t="n">
        <v>0</v>
      </c>
      <c r="AM2335" s="16" t="n">
        <f aca="false">COUNTIFS($D$2:$D$2501,D2335,$G$2:$G$2501,"&gt;"&amp;G2335)+COUNTIFS($D$2:D2335,D2335,$G$2:G2335,G2335)</f>
        <v>974</v>
      </c>
      <c r="AN2335" s="5" t="str">
        <f aca="false">D2335&amp;"|"&amp;AM2335</f>
        <v>分析與報告生成|974</v>
      </c>
    </row>
    <row r="2336" customFormat="false" ht="17.15" hidden="false" customHeight="false" outlineLevel="0" collapsed="false">
      <c r="A2336" s="16" t="n">
        <f aca="false">RANK(G2336,$G$2:$G$2501)+COUNTIF($G$2:G2336,G2336)-1</f>
        <v>2335</v>
      </c>
      <c r="B2336" s="11" t="s">
        <v>5756</v>
      </c>
      <c r="C2336" s="11" t="s">
        <v>681</v>
      </c>
      <c r="D2336" s="5" t="s">
        <v>74</v>
      </c>
      <c r="E2336" s="5" t="s">
        <v>75</v>
      </c>
      <c r="F2336" s="5"/>
      <c r="G2336" s="22" t="n">
        <f aca="false">ROUND(SUM(I2336:P2336),3)</f>
        <v>43.684</v>
      </c>
      <c r="H2336" s="5" t="str">
        <f aca="false">IF(G2336&gt;=評分方法!$C$16,"優先評估",IF(G2336&gt;=評分方法!$C$17,"列入候選",IF(G2336&gt;=評分方法!$C$18,"特定情境","不建議")))</f>
        <v>不建議</v>
      </c>
      <c r="I2336" s="15" t="n">
        <f aca="false">AE2336*評分方法!$C$5</f>
        <v>4.5</v>
      </c>
      <c r="J2336" s="15" t="n">
        <f aca="false">AF2336*評分方法!$C$6</f>
        <v>0</v>
      </c>
      <c r="K2336" s="15" t="n">
        <f aca="false">AG2336*評分方法!$C$7</f>
        <v>15</v>
      </c>
      <c r="L2336" s="15" t="n">
        <f aca="false">AH2336*評分方法!$C$8</f>
        <v>15</v>
      </c>
      <c r="M2336" s="15" t="n">
        <f aca="false">AI2336*評分方法!$C$9</f>
        <v>6</v>
      </c>
      <c r="N2336" s="15" t="n">
        <f aca="false">AJ2336*評分方法!$C$10</f>
        <v>0.684</v>
      </c>
      <c r="O2336" s="15" t="n">
        <f aca="false">AK2336*評分方法!$C$11</f>
        <v>1</v>
      </c>
      <c r="P2336" s="15" t="n">
        <f aca="false">AL2336*評分方法!$C$12</f>
        <v>1.5</v>
      </c>
      <c r="Q2336" s="6" t="n">
        <v>141504</v>
      </c>
      <c r="R2336" s="6" t="n">
        <v>107415620</v>
      </c>
      <c r="S2336" s="11" t="s">
        <v>238</v>
      </c>
      <c r="T2336" s="11" t="s">
        <v>185</v>
      </c>
      <c r="U2336" s="5" t="s">
        <v>260</v>
      </c>
      <c r="V2336" s="11" t="s">
        <v>324</v>
      </c>
      <c r="W2336" s="5" t="s">
        <v>205</v>
      </c>
      <c r="X2336" s="5" t="s">
        <v>255</v>
      </c>
      <c r="Y2336" s="5"/>
      <c r="Z2336" s="5"/>
      <c r="AA2336" s="11" t="s">
        <v>183</v>
      </c>
      <c r="AB2336" s="5" t="s">
        <v>245</v>
      </c>
      <c r="AC2336" s="5" t="s">
        <v>262</v>
      </c>
      <c r="AD2336" s="11" t="s">
        <v>5757</v>
      </c>
      <c r="AE2336" s="23" t="n">
        <v>0.15</v>
      </c>
      <c r="AF2336" s="23" t="n">
        <v>0</v>
      </c>
      <c r="AG2336" s="23" t="n">
        <v>1</v>
      </c>
      <c r="AH2336" s="23" t="n">
        <v>1</v>
      </c>
      <c r="AI2336" s="23" t="n">
        <v>0.6</v>
      </c>
      <c r="AJ2336" s="23" t="n">
        <v>0.0684</v>
      </c>
      <c r="AK2336" s="23" t="n">
        <v>0.2</v>
      </c>
      <c r="AL2336" s="23" t="n">
        <v>0.3</v>
      </c>
      <c r="AM2336" s="16" t="n">
        <f aca="false">COUNTIFS($D$2:$D$2501,D2336,$G$2:$G$2501,"&gt;"&amp;G2336)+COUNTIFS($D$2:D2336,D2336,$G$2:G2336,G2336)</f>
        <v>322</v>
      </c>
      <c r="AN2336" s="5" t="str">
        <f aca="false">D2336&amp;"|"&amp;AM2336</f>
        <v>文件與影像辨識|322</v>
      </c>
    </row>
    <row r="2337" customFormat="false" ht="17.15" hidden="false" customHeight="false" outlineLevel="0" collapsed="false">
      <c r="A2337" s="16" t="n">
        <f aca="false">RANK(G2337,$G$2:$G$2501)+COUNTIF($G$2:G2337,G2337)-1</f>
        <v>2336</v>
      </c>
      <c r="B2337" s="11" t="s">
        <v>5758</v>
      </c>
      <c r="C2337" s="11" t="s">
        <v>5759</v>
      </c>
      <c r="D2337" s="5" t="s">
        <v>74</v>
      </c>
      <c r="E2337" s="5" t="s">
        <v>75</v>
      </c>
      <c r="F2337" s="5"/>
      <c r="G2337" s="22" t="n">
        <f aca="false">ROUND(SUM(I2337:P2337),3)</f>
        <v>43.678</v>
      </c>
      <c r="H2337" s="5" t="str">
        <f aca="false">IF(G2337&gt;=評分方法!$C$16,"優先評估",IF(G2337&gt;=評分方法!$C$17,"列入候選",IF(G2337&gt;=評分方法!$C$18,"特定情境","不建議")))</f>
        <v>不建議</v>
      </c>
      <c r="I2337" s="15" t="n">
        <f aca="false">AE2337*評分方法!$C$5</f>
        <v>10.5</v>
      </c>
      <c r="J2337" s="15" t="n">
        <f aca="false">AF2337*評分方法!$C$6</f>
        <v>0</v>
      </c>
      <c r="K2337" s="15" t="n">
        <f aca="false">AG2337*評分方法!$C$7</f>
        <v>4.95</v>
      </c>
      <c r="L2337" s="15" t="n">
        <f aca="false">AH2337*評分方法!$C$8</f>
        <v>15</v>
      </c>
      <c r="M2337" s="15" t="n">
        <f aca="false">AI2337*評分方法!$C$9</f>
        <v>6</v>
      </c>
      <c r="N2337" s="15" t="n">
        <f aca="false">AJ2337*評分方法!$C$10</f>
        <v>3.228</v>
      </c>
      <c r="O2337" s="15" t="n">
        <f aca="false">AK2337*評分方法!$C$11</f>
        <v>2.5</v>
      </c>
      <c r="P2337" s="15" t="n">
        <f aca="false">AL2337*評分方法!$C$12</f>
        <v>1.5</v>
      </c>
      <c r="Q2337" s="6" t="n">
        <v>318258</v>
      </c>
      <c r="R2337" s="6" t="n">
        <v>21814696</v>
      </c>
      <c r="S2337" s="11" t="s">
        <v>238</v>
      </c>
      <c r="T2337" s="11" t="s">
        <v>185</v>
      </c>
      <c r="U2337" s="5" t="s">
        <v>260</v>
      </c>
      <c r="V2337" s="11" t="s">
        <v>261</v>
      </c>
      <c r="W2337" s="5" t="s">
        <v>334</v>
      </c>
      <c r="X2337" s="5" t="s">
        <v>255</v>
      </c>
      <c r="Y2337" s="5"/>
      <c r="Z2337" s="5"/>
      <c r="AA2337" s="11" t="s">
        <v>172</v>
      </c>
      <c r="AB2337" s="5" t="s">
        <v>245</v>
      </c>
      <c r="AC2337" s="5" t="s">
        <v>262</v>
      </c>
      <c r="AD2337" s="11" t="s">
        <v>5760</v>
      </c>
      <c r="AE2337" s="23" t="n">
        <v>0.35</v>
      </c>
      <c r="AF2337" s="23" t="n">
        <v>0</v>
      </c>
      <c r="AG2337" s="23" t="n">
        <v>0.33</v>
      </c>
      <c r="AH2337" s="23" t="n">
        <v>1</v>
      </c>
      <c r="AI2337" s="23" t="n">
        <v>0.6</v>
      </c>
      <c r="AJ2337" s="23" t="n">
        <v>0.3228</v>
      </c>
      <c r="AK2337" s="23" t="n">
        <v>0.5</v>
      </c>
      <c r="AL2337" s="23" t="n">
        <v>0.3</v>
      </c>
      <c r="AM2337" s="16" t="n">
        <f aca="false">COUNTIFS($D$2:$D$2501,D2337,$G$2:$G$2501,"&gt;"&amp;G2337)+COUNTIFS($D$2:D2337,D2337,$G$2:G2337,G2337)</f>
        <v>323</v>
      </c>
      <c r="AN2337" s="5" t="str">
        <f aca="false">D2337&amp;"|"&amp;AM2337</f>
        <v>文件與影像辨識|323</v>
      </c>
    </row>
    <row r="2338" customFormat="false" ht="17.15" hidden="false" customHeight="false" outlineLevel="0" collapsed="false">
      <c r="A2338" s="16" t="n">
        <f aca="false">RANK(G2338,$G$2:$G$2501)+COUNTIF($G$2:G2338,G2338)-1</f>
        <v>2337</v>
      </c>
      <c r="B2338" s="11" t="s">
        <v>5761</v>
      </c>
      <c r="C2338" s="11" t="s">
        <v>1214</v>
      </c>
      <c r="D2338" s="5" t="s">
        <v>80</v>
      </c>
      <c r="E2338" s="5" t="s">
        <v>81</v>
      </c>
      <c r="F2338" s="5"/>
      <c r="G2338" s="22" t="n">
        <f aca="false">ROUND(SUM(I2338:P2338),3)</f>
        <v>43.662</v>
      </c>
      <c r="H2338" s="5" t="str">
        <f aca="false">IF(G2338&gt;=評分方法!$C$16,"優先評估",IF(G2338&gt;=評分方法!$C$17,"列入候選",IF(G2338&gt;=評分方法!$C$18,"特定情境","不建議")))</f>
        <v>不建議</v>
      </c>
      <c r="I2338" s="15" t="n">
        <f aca="false">AE2338*評分方法!$C$5</f>
        <v>1.5</v>
      </c>
      <c r="J2338" s="15" t="n">
        <f aca="false">AF2338*評分方法!$C$6</f>
        <v>0</v>
      </c>
      <c r="K2338" s="15" t="n">
        <f aca="false">AG2338*評分方法!$C$7</f>
        <v>15</v>
      </c>
      <c r="L2338" s="15" t="n">
        <f aca="false">AH2338*評分方法!$C$8</f>
        <v>7.05</v>
      </c>
      <c r="M2338" s="15" t="n">
        <f aca="false">AI2338*評分方法!$C$9</f>
        <v>10</v>
      </c>
      <c r="N2338" s="15" t="n">
        <f aca="false">AJ2338*評分方法!$C$10</f>
        <v>3.612</v>
      </c>
      <c r="O2338" s="15" t="n">
        <f aca="false">AK2338*評分方法!$C$11</f>
        <v>5</v>
      </c>
      <c r="P2338" s="15" t="n">
        <f aca="false">AL2338*評分方法!$C$12</f>
        <v>1.5</v>
      </c>
      <c r="Q2338" s="6" t="n">
        <v>365913</v>
      </c>
      <c r="R2338" s="6"/>
      <c r="S2338" s="5" t="s">
        <v>255</v>
      </c>
      <c r="T2338" s="11" t="s">
        <v>278</v>
      </c>
      <c r="U2338" s="5" t="s">
        <v>240</v>
      </c>
      <c r="V2338" s="11" t="s">
        <v>261</v>
      </c>
      <c r="W2338" s="5" t="s">
        <v>205</v>
      </c>
      <c r="X2338" s="5" t="s">
        <v>255</v>
      </c>
      <c r="Y2338" s="11" t="s">
        <v>5762</v>
      </c>
      <c r="Z2338" s="11" t="s">
        <v>270</v>
      </c>
      <c r="AA2338" s="11" t="s">
        <v>186</v>
      </c>
      <c r="AB2338" s="5" t="s">
        <v>496</v>
      </c>
      <c r="AC2338" s="5" t="s">
        <v>497</v>
      </c>
      <c r="AD2338" s="11" t="s">
        <v>5763</v>
      </c>
      <c r="AE2338" s="23" t="n">
        <v>0.05</v>
      </c>
      <c r="AF2338" s="23" t="n">
        <v>0</v>
      </c>
      <c r="AG2338" s="23" t="n">
        <v>1</v>
      </c>
      <c r="AH2338" s="23" t="n">
        <v>0.47</v>
      </c>
      <c r="AI2338" s="23" t="n">
        <v>1</v>
      </c>
      <c r="AJ2338" s="23" t="n">
        <v>0.3612</v>
      </c>
      <c r="AK2338" s="23" t="n">
        <v>1</v>
      </c>
      <c r="AL2338" s="23" t="n">
        <v>0.3</v>
      </c>
      <c r="AM2338" s="16" t="n">
        <f aca="false">COUNTIFS($D$2:$D$2501,D2338,$G$2:$G$2501,"&gt;"&amp;G2338)+COUNTIFS($D$2:D2338,D2338,$G$2:G2338,G2338)</f>
        <v>42</v>
      </c>
      <c r="AN2338" s="5" t="str">
        <f aca="false">D2338&amp;"|"&amp;AM2338</f>
        <v>其他|42</v>
      </c>
    </row>
    <row r="2339" customFormat="false" ht="17.15" hidden="false" customHeight="false" outlineLevel="0" collapsed="false">
      <c r="A2339" s="16" t="n">
        <f aca="false">RANK(G2339,$G$2:$G$2501)+COUNTIF($G$2:G2339,G2339)-1</f>
        <v>2338</v>
      </c>
      <c r="B2339" s="11" t="s">
        <v>5764</v>
      </c>
      <c r="C2339" s="11" t="s">
        <v>681</v>
      </c>
      <c r="D2339" s="5" t="s">
        <v>74</v>
      </c>
      <c r="E2339" s="5" t="s">
        <v>75</v>
      </c>
      <c r="F2339" s="5"/>
      <c r="G2339" s="22" t="n">
        <f aca="false">ROUND(SUM(I2339:P2339),3)</f>
        <v>43.588</v>
      </c>
      <c r="H2339" s="5" t="str">
        <f aca="false">IF(G2339&gt;=評分方法!$C$16,"優先評估",IF(G2339&gt;=評分方法!$C$17,"列入候選",IF(G2339&gt;=評分方法!$C$18,"特定情境","不建議")))</f>
        <v>不建議</v>
      </c>
      <c r="I2339" s="15" t="n">
        <f aca="false">AE2339*評分方法!$C$5</f>
        <v>4.5</v>
      </c>
      <c r="J2339" s="15" t="n">
        <f aca="false">AF2339*評分方法!$C$6</f>
        <v>0</v>
      </c>
      <c r="K2339" s="15" t="n">
        <f aca="false">AG2339*評分方法!$C$7</f>
        <v>15</v>
      </c>
      <c r="L2339" s="15" t="n">
        <f aca="false">AH2339*評分方法!$C$8</f>
        <v>15</v>
      </c>
      <c r="M2339" s="15" t="n">
        <f aca="false">AI2339*評分方法!$C$9</f>
        <v>6</v>
      </c>
      <c r="N2339" s="15" t="n">
        <f aca="false">AJ2339*評分方法!$C$10</f>
        <v>0.588</v>
      </c>
      <c r="O2339" s="15" t="n">
        <f aca="false">AK2339*評分方法!$C$11</f>
        <v>1</v>
      </c>
      <c r="P2339" s="15" t="n">
        <f aca="false">AL2339*評分方法!$C$12</f>
        <v>1.5</v>
      </c>
      <c r="Q2339" s="6" t="n">
        <v>137575</v>
      </c>
      <c r="R2339" s="6" t="n">
        <v>68815312</v>
      </c>
      <c r="S2339" s="11" t="s">
        <v>238</v>
      </c>
      <c r="T2339" s="11" t="s">
        <v>185</v>
      </c>
      <c r="U2339" s="5" t="s">
        <v>260</v>
      </c>
      <c r="V2339" s="11" t="s">
        <v>324</v>
      </c>
      <c r="W2339" s="5" t="s">
        <v>205</v>
      </c>
      <c r="X2339" s="5" t="s">
        <v>255</v>
      </c>
      <c r="Y2339" s="5"/>
      <c r="Z2339" s="5"/>
      <c r="AA2339" s="11" t="s">
        <v>183</v>
      </c>
      <c r="AB2339" s="5" t="s">
        <v>245</v>
      </c>
      <c r="AC2339" s="5" t="s">
        <v>262</v>
      </c>
      <c r="AD2339" s="11" t="s">
        <v>5765</v>
      </c>
      <c r="AE2339" s="23" t="n">
        <v>0.15</v>
      </c>
      <c r="AF2339" s="23" t="n">
        <v>0</v>
      </c>
      <c r="AG2339" s="23" t="n">
        <v>1</v>
      </c>
      <c r="AH2339" s="23" t="n">
        <v>1</v>
      </c>
      <c r="AI2339" s="23" t="n">
        <v>0.6</v>
      </c>
      <c r="AJ2339" s="23" t="n">
        <v>0.0588</v>
      </c>
      <c r="AK2339" s="23" t="n">
        <v>0.2</v>
      </c>
      <c r="AL2339" s="23" t="n">
        <v>0.3</v>
      </c>
      <c r="AM2339" s="16" t="n">
        <f aca="false">COUNTIFS($D$2:$D$2501,D2339,$G$2:$G$2501,"&gt;"&amp;G2339)+COUNTIFS($D$2:D2339,D2339,$G$2:G2339,G2339)</f>
        <v>324</v>
      </c>
      <c r="AN2339" s="5" t="str">
        <f aca="false">D2339&amp;"|"&amp;AM2339</f>
        <v>文件與影像辨識|324</v>
      </c>
    </row>
    <row r="2340" customFormat="false" ht="17.15" hidden="false" customHeight="false" outlineLevel="0" collapsed="false">
      <c r="A2340" s="16" t="n">
        <f aca="false">RANK(G2340,$G$2:$G$2501)+COUNTIF($G$2:G2340,G2340)-1</f>
        <v>2339</v>
      </c>
      <c r="B2340" s="11" t="s">
        <v>5766</v>
      </c>
      <c r="C2340" s="11" t="s">
        <v>5767</v>
      </c>
      <c r="D2340" s="5" t="s">
        <v>80</v>
      </c>
      <c r="E2340" s="5" t="s">
        <v>81</v>
      </c>
      <c r="F2340" s="5"/>
      <c r="G2340" s="22" t="n">
        <f aca="false">ROUND(SUM(I2340:P2340),3)</f>
        <v>43.586</v>
      </c>
      <c r="H2340" s="5" t="str">
        <f aca="false">IF(G2340&gt;=評分方法!$C$16,"優先評估",IF(G2340&gt;=評分方法!$C$17,"列入候選",IF(G2340&gt;=評分方法!$C$18,"特定情境","不建議")))</f>
        <v>不建議</v>
      </c>
      <c r="I2340" s="15" t="n">
        <f aca="false">AE2340*評分方法!$C$5</f>
        <v>6</v>
      </c>
      <c r="J2340" s="15" t="n">
        <f aca="false">AF2340*評分方法!$C$6</f>
        <v>0</v>
      </c>
      <c r="K2340" s="15" t="n">
        <f aca="false">AG2340*評分方法!$C$7</f>
        <v>4.95</v>
      </c>
      <c r="L2340" s="15" t="n">
        <f aca="false">AH2340*評分方法!$C$8</f>
        <v>15</v>
      </c>
      <c r="M2340" s="15" t="n">
        <f aca="false">AI2340*評分方法!$C$9</f>
        <v>10</v>
      </c>
      <c r="N2340" s="15" t="n">
        <f aca="false">AJ2340*評分方法!$C$10</f>
        <v>6.636</v>
      </c>
      <c r="O2340" s="15" t="n">
        <f aca="false">AK2340*評分方法!$C$11</f>
        <v>1</v>
      </c>
      <c r="P2340" s="15" t="n">
        <f aca="false">AL2340*評分方法!$C$12</f>
        <v>0</v>
      </c>
      <c r="Q2340" s="6" t="n">
        <v>789211</v>
      </c>
      <c r="R2340" s="6" t="n">
        <v>32254189</v>
      </c>
      <c r="S2340" s="11" t="s">
        <v>238</v>
      </c>
      <c r="T2340" s="11" t="s">
        <v>278</v>
      </c>
      <c r="U2340" s="5" t="s">
        <v>240</v>
      </c>
      <c r="V2340" s="11" t="s">
        <v>324</v>
      </c>
      <c r="W2340" s="5" t="s">
        <v>334</v>
      </c>
      <c r="X2340" s="5" t="s">
        <v>242</v>
      </c>
      <c r="Y2340" s="5"/>
      <c r="Z2340" s="5"/>
      <c r="AA2340" s="5"/>
      <c r="AB2340" s="5" t="s">
        <v>255</v>
      </c>
      <c r="AC2340" s="5"/>
      <c r="AD2340" s="11" t="s">
        <v>5768</v>
      </c>
      <c r="AE2340" s="23" t="n">
        <v>0.2</v>
      </c>
      <c r="AF2340" s="23" t="n">
        <v>0</v>
      </c>
      <c r="AG2340" s="23" t="n">
        <v>0.33</v>
      </c>
      <c r="AH2340" s="23" t="n">
        <v>1</v>
      </c>
      <c r="AI2340" s="23" t="n">
        <v>1</v>
      </c>
      <c r="AJ2340" s="23" t="n">
        <v>0.6636</v>
      </c>
      <c r="AK2340" s="23" t="n">
        <v>0.2</v>
      </c>
      <c r="AL2340" s="23" t="n">
        <v>0</v>
      </c>
      <c r="AM2340" s="16" t="n">
        <f aca="false">COUNTIFS($D$2:$D$2501,D2340,$G$2:$G$2501,"&gt;"&amp;G2340)+COUNTIFS($D$2:D2340,D2340,$G$2:G2340,G2340)</f>
        <v>43</v>
      </c>
      <c r="AN2340" s="5" t="str">
        <f aca="false">D2340&amp;"|"&amp;AM2340</f>
        <v>其他|43</v>
      </c>
    </row>
    <row r="2341" customFormat="false" ht="17.15" hidden="false" customHeight="false" outlineLevel="0" collapsed="false">
      <c r="A2341" s="16" t="n">
        <f aca="false">RANK(G2341,$G$2:$G$2501)+COUNTIF($G$2:G2341,G2341)-1</f>
        <v>2340</v>
      </c>
      <c r="B2341" s="11" t="s">
        <v>5769</v>
      </c>
      <c r="C2341" s="11" t="s">
        <v>5770</v>
      </c>
      <c r="D2341" s="5" t="s">
        <v>80</v>
      </c>
      <c r="E2341" s="5" t="s">
        <v>81</v>
      </c>
      <c r="F2341" s="5"/>
      <c r="G2341" s="22" t="n">
        <f aca="false">ROUND(SUM(I2341:P2341),3)</f>
        <v>43.522</v>
      </c>
      <c r="H2341" s="5" t="str">
        <f aca="false">IF(G2341&gt;=評分方法!$C$16,"優先評估",IF(G2341&gt;=評分方法!$C$17,"列入候選",IF(G2341&gt;=評分方法!$C$18,"特定情境","不建議")))</f>
        <v>不建議</v>
      </c>
      <c r="I2341" s="15" t="n">
        <f aca="false">AE2341*評分方法!$C$5</f>
        <v>1.5</v>
      </c>
      <c r="J2341" s="15" t="n">
        <f aca="false">AF2341*評分方法!$C$6</f>
        <v>0</v>
      </c>
      <c r="K2341" s="15" t="n">
        <f aca="false">AG2341*評分方法!$C$7</f>
        <v>4.95</v>
      </c>
      <c r="L2341" s="15" t="n">
        <f aca="false">AH2341*評分方法!$C$8</f>
        <v>15</v>
      </c>
      <c r="M2341" s="15" t="n">
        <f aca="false">AI2341*評分方法!$C$9</f>
        <v>10</v>
      </c>
      <c r="N2341" s="15" t="n">
        <f aca="false">AJ2341*評分方法!$C$10</f>
        <v>9.572</v>
      </c>
      <c r="O2341" s="15" t="n">
        <f aca="false">AK2341*評分方法!$C$11</f>
        <v>2.5</v>
      </c>
      <c r="P2341" s="15" t="n">
        <f aca="false">AL2341*評分方法!$C$12</f>
        <v>0</v>
      </c>
      <c r="Q2341" s="6" t="n">
        <v>9743854</v>
      </c>
      <c r="R2341" s="6" t="n">
        <v>125396497</v>
      </c>
      <c r="S2341" s="11" t="s">
        <v>238</v>
      </c>
      <c r="T2341" s="11" t="s">
        <v>239</v>
      </c>
      <c r="U2341" s="5" t="s">
        <v>240</v>
      </c>
      <c r="V2341" s="11" t="s">
        <v>261</v>
      </c>
      <c r="W2341" s="5" t="s">
        <v>334</v>
      </c>
      <c r="X2341" s="5" t="s">
        <v>242</v>
      </c>
      <c r="Y2341" s="5"/>
      <c r="Z2341" s="5"/>
      <c r="AA2341" s="11" t="s">
        <v>186</v>
      </c>
      <c r="AB2341" s="5" t="s">
        <v>245</v>
      </c>
      <c r="AC2341" s="5"/>
      <c r="AD2341" s="11" t="s">
        <v>5771</v>
      </c>
      <c r="AE2341" s="23" t="n">
        <v>0.05</v>
      </c>
      <c r="AF2341" s="23" t="n">
        <v>0</v>
      </c>
      <c r="AG2341" s="23" t="n">
        <v>0.33</v>
      </c>
      <c r="AH2341" s="23" t="n">
        <v>1</v>
      </c>
      <c r="AI2341" s="23" t="n">
        <v>1</v>
      </c>
      <c r="AJ2341" s="23" t="n">
        <v>0.9572</v>
      </c>
      <c r="AK2341" s="23" t="n">
        <v>0.5</v>
      </c>
      <c r="AL2341" s="23" t="n">
        <v>0</v>
      </c>
      <c r="AM2341" s="16" t="n">
        <f aca="false">COUNTIFS($D$2:$D$2501,D2341,$G$2:$G$2501,"&gt;"&amp;G2341)+COUNTIFS($D$2:D2341,D2341,$G$2:G2341,G2341)</f>
        <v>44</v>
      </c>
      <c r="AN2341" s="5" t="str">
        <f aca="false">D2341&amp;"|"&amp;AM2341</f>
        <v>其他|44</v>
      </c>
    </row>
    <row r="2342" customFormat="false" ht="17.15" hidden="false" customHeight="false" outlineLevel="0" collapsed="false">
      <c r="A2342" s="16" t="n">
        <f aca="false">RANK(G2342,$G$2:$G$2501)+COUNTIF($G$2:G2342,G2342)-1</f>
        <v>2341</v>
      </c>
      <c r="B2342" s="11" t="s">
        <v>5772</v>
      </c>
      <c r="C2342" s="11" t="s">
        <v>5759</v>
      </c>
      <c r="D2342" s="5" t="s">
        <v>74</v>
      </c>
      <c r="E2342" s="5" t="s">
        <v>75</v>
      </c>
      <c r="F2342" s="5"/>
      <c r="G2342" s="22" t="n">
        <f aca="false">ROUND(SUM(I2342:P2342),3)</f>
        <v>43.45</v>
      </c>
      <c r="H2342" s="5" t="str">
        <f aca="false">IF(G2342&gt;=評分方法!$C$16,"優先評估",IF(G2342&gt;=評分方法!$C$17,"列入候選",IF(G2342&gt;=評分方法!$C$18,"特定情境","不建議")))</f>
        <v>不建議</v>
      </c>
      <c r="I2342" s="15" t="n">
        <f aca="false">AE2342*評分方法!$C$5</f>
        <v>10.5</v>
      </c>
      <c r="J2342" s="15" t="n">
        <f aca="false">AF2342*評分方法!$C$6</f>
        <v>0</v>
      </c>
      <c r="K2342" s="15" t="n">
        <f aca="false">AG2342*評分方法!$C$7</f>
        <v>4.95</v>
      </c>
      <c r="L2342" s="15" t="n">
        <f aca="false">AH2342*評分方法!$C$8</f>
        <v>15</v>
      </c>
      <c r="M2342" s="15" t="n">
        <f aca="false">AI2342*評分方法!$C$9</f>
        <v>6</v>
      </c>
      <c r="N2342" s="15" t="n">
        <f aca="false">AJ2342*評分方法!$C$10</f>
        <v>3</v>
      </c>
      <c r="O2342" s="15" t="n">
        <f aca="false">AK2342*評分方法!$C$11</f>
        <v>2.5</v>
      </c>
      <c r="P2342" s="15" t="n">
        <f aca="false">AL2342*評分方法!$C$12</f>
        <v>1.5</v>
      </c>
      <c r="Q2342" s="6" t="n">
        <v>295344</v>
      </c>
      <c r="R2342" s="6" t="n">
        <v>11699112</v>
      </c>
      <c r="S2342" s="11" t="s">
        <v>238</v>
      </c>
      <c r="T2342" s="11" t="s">
        <v>185</v>
      </c>
      <c r="U2342" s="5" t="s">
        <v>260</v>
      </c>
      <c r="V2342" s="11" t="s">
        <v>261</v>
      </c>
      <c r="W2342" s="5" t="s">
        <v>334</v>
      </c>
      <c r="X2342" s="5" t="s">
        <v>255</v>
      </c>
      <c r="Y2342" s="5"/>
      <c r="Z2342" s="5"/>
      <c r="AA2342" s="11" t="s">
        <v>172</v>
      </c>
      <c r="AB2342" s="5" t="s">
        <v>245</v>
      </c>
      <c r="AC2342" s="5" t="s">
        <v>262</v>
      </c>
      <c r="AD2342" s="11" t="s">
        <v>5773</v>
      </c>
      <c r="AE2342" s="23" t="n">
        <v>0.35</v>
      </c>
      <c r="AF2342" s="23" t="n">
        <v>0</v>
      </c>
      <c r="AG2342" s="23" t="n">
        <v>0.33</v>
      </c>
      <c r="AH2342" s="23" t="n">
        <v>1</v>
      </c>
      <c r="AI2342" s="23" t="n">
        <v>0.6</v>
      </c>
      <c r="AJ2342" s="23" t="n">
        <v>0.3</v>
      </c>
      <c r="AK2342" s="23" t="n">
        <v>0.5</v>
      </c>
      <c r="AL2342" s="23" t="n">
        <v>0.3</v>
      </c>
      <c r="AM2342" s="16" t="n">
        <f aca="false">COUNTIFS($D$2:$D$2501,D2342,$G$2:$G$2501,"&gt;"&amp;G2342)+COUNTIFS($D$2:D2342,D2342,$G$2:G2342,G2342)</f>
        <v>325</v>
      </c>
      <c r="AN2342" s="5" t="str">
        <f aca="false">D2342&amp;"|"&amp;AM2342</f>
        <v>文件與影像辨識|325</v>
      </c>
    </row>
    <row r="2343" customFormat="false" ht="17.15" hidden="false" customHeight="false" outlineLevel="0" collapsed="false">
      <c r="A2343" s="16" t="n">
        <f aca="false">RANK(G2343,$G$2:$G$2501)+COUNTIF($G$2:G2343,G2343)-1</f>
        <v>2342</v>
      </c>
      <c r="B2343" s="11" t="s">
        <v>5774</v>
      </c>
      <c r="C2343" s="11" t="s">
        <v>1674</v>
      </c>
      <c r="D2343" s="5" t="s">
        <v>80</v>
      </c>
      <c r="E2343" s="5" t="s">
        <v>81</v>
      </c>
      <c r="F2343" s="5"/>
      <c r="G2343" s="22" t="n">
        <f aca="false">ROUND(SUM(I2343:P2343),3)</f>
        <v>43.346</v>
      </c>
      <c r="H2343" s="5" t="str">
        <f aca="false">IF(G2343&gt;=評分方法!$C$16,"優先評估",IF(G2343&gt;=評分方法!$C$17,"列入候選",IF(G2343&gt;=評分方法!$C$18,"特定情境","不建議")))</f>
        <v>不建議</v>
      </c>
      <c r="I2343" s="15" t="n">
        <f aca="false">AE2343*評分方法!$C$5</f>
        <v>6</v>
      </c>
      <c r="J2343" s="15" t="n">
        <f aca="false">AF2343*評分方法!$C$6</f>
        <v>0</v>
      </c>
      <c r="K2343" s="15" t="n">
        <f aca="false">AG2343*評分方法!$C$7</f>
        <v>4.95</v>
      </c>
      <c r="L2343" s="15" t="n">
        <f aca="false">AH2343*評分方法!$C$8</f>
        <v>15</v>
      </c>
      <c r="M2343" s="15" t="n">
        <f aca="false">AI2343*評分方法!$C$9</f>
        <v>10</v>
      </c>
      <c r="N2343" s="15" t="n">
        <f aca="false">AJ2343*評分方法!$C$10</f>
        <v>1.896</v>
      </c>
      <c r="O2343" s="15" t="n">
        <f aca="false">AK2343*評分方法!$C$11</f>
        <v>4</v>
      </c>
      <c r="P2343" s="15" t="n">
        <f aca="false">AL2343*評分方法!$C$12</f>
        <v>1.5</v>
      </c>
      <c r="Q2343" s="6" t="n">
        <v>202107</v>
      </c>
      <c r="R2343" s="6" t="n">
        <v>5819936</v>
      </c>
      <c r="S2343" s="11" t="s">
        <v>238</v>
      </c>
      <c r="T2343" s="11" t="s">
        <v>2029</v>
      </c>
      <c r="U2343" s="5" t="s">
        <v>240</v>
      </c>
      <c r="V2343" s="11" t="s">
        <v>324</v>
      </c>
      <c r="W2343" s="5" t="s">
        <v>334</v>
      </c>
      <c r="X2343" s="5" t="s">
        <v>255</v>
      </c>
      <c r="Y2343" s="5"/>
      <c r="Z2343" s="5"/>
      <c r="AA2343" s="5"/>
      <c r="AB2343" s="5" t="s">
        <v>255</v>
      </c>
      <c r="AC2343" s="5"/>
      <c r="AD2343" s="11" t="s">
        <v>5775</v>
      </c>
      <c r="AE2343" s="23" t="n">
        <v>0.2</v>
      </c>
      <c r="AF2343" s="23" t="n">
        <v>0</v>
      </c>
      <c r="AG2343" s="23" t="n">
        <v>0.33</v>
      </c>
      <c r="AH2343" s="23" t="n">
        <v>1</v>
      </c>
      <c r="AI2343" s="23" t="n">
        <v>1</v>
      </c>
      <c r="AJ2343" s="23" t="n">
        <v>0.1896</v>
      </c>
      <c r="AK2343" s="23" t="n">
        <v>0.8</v>
      </c>
      <c r="AL2343" s="23" t="n">
        <v>0.3</v>
      </c>
      <c r="AM2343" s="16" t="n">
        <f aca="false">COUNTIFS($D$2:$D$2501,D2343,$G$2:$G$2501,"&gt;"&amp;G2343)+COUNTIFS($D$2:D2343,D2343,$G$2:G2343,G2343)</f>
        <v>45</v>
      </c>
      <c r="AN2343" s="5" t="str">
        <f aca="false">D2343&amp;"|"&amp;AM2343</f>
        <v>其他|45</v>
      </c>
    </row>
    <row r="2344" customFormat="false" ht="17.15" hidden="false" customHeight="false" outlineLevel="0" collapsed="false">
      <c r="A2344" s="16" t="n">
        <f aca="false">RANK(G2344,$G$2:$G$2501)+COUNTIF($G$2:G2344,G2344)-1</f>
        <v>2343</v>
      </c>
      <c r="B2344" s="11" t="s">
        <v>5776</v>
      </c>
      <c r="C2344" s="11" t="s">
        <v>5759</v>
      </c>
      <c r="D2344" s="5" t="s">
        <v>74</v>
      </c>
      <c r="E2344" s="5" t="s">
        <v>75</v>
      </c>
      <c r="F2344" s="5"/>
      <c r="G2344" s="22" t="n">
        <f aca="false">ROUND(SUM(I2344:P2344),3)</f>
        <v>43.326</v>
      </c>
      <c r="H2344" s="5" t="str">
        <f aca="false">IF(G2344&gt;=評分方法!$C$16,"優先評估",IF(G2344&gt;=評分方法!$C$17,"列入候選",IF(G2344&gt;=評分方法!$C$18,"特定情境","不建議")))</f>
        <v>不建議</v>
      </c>
      <c r="I2344" s="15" t="n">
        <f aca="false">AE2344*評分方法!$C$5</f>
        <v>10.5</v>
      </c>
      <c r="J2344" s="15" t="n">
        <f aca="false">AF2344*評分方法!$C$6</f>
        <v>0</v>
      </c>
      <c r="K2344" s="15" t="n">
        <f aca="false">AG2344*評分方法!$C$7</f>
        <v>4.95</v>
      </c>
      <c r="L2344" s="15" t="n">
        <f aca="false">AH2344*評分方法!$C$8</f>
        <v>15</v>
      </c>
      <c r="M2344" s="15" t="n">
        <f aca="false">AI2344*評分方法!$C$9</f>
        <v>6</v>
      </c>
      <c r="N2344" s="15" t="n">
        <f aca="false">AJ2344*評分方法!$C$10</f>
        <v>2.876</v>
      </c>
      <c r="O2344" s="15" t="n">
        <f aca="false">AK2344*評分方法!$C$11</f>
        <v>2.5</v>
      </c>
      <c r="P2344" s="15" t="n">
        <f aca="false">AL2344*評分方法!$C$12</f>
        <v>1.5</v>
      </c>
      <c r="Q2344" s="6" t="n">
        <v>280447</v>
      </c>
      <c r="R2344" s="6" t="n">
        <v>12320528</v>
      </c>
      <c r="S2344" s="11" t="s">
        <v>238</v>
      </c>
      <c r="T2344" s="11" t="s">
        <v>185</v>
      </c>
      <c r="U2344" s="5" t="s">
        <v>260</v>
      </c>
      <c r="V2344" s="11" t="s">
        <v>261</v>
      </c>
      <c r="W2344" s="5" t="s">
        <v>334</v>
      </c>
      <c r="X2344" s="5" t="s">
        <v>255</v>
      </c>
      <c r="Y2344" s="5"/>
      <c r="Z2344" s="5"/>
      <c r="AA2344" s="11" t="s">
        <v>172</v>
      </c>
      <c r="AB2344" s="5" t="s">
        <v>245</v>
      </c>
      <c r="AC2344" s="5" t="s">
        <v>262</v>
      </c>
      <c r="AD2344" s="11" t="s">
        <v>5777</v>
      </c>
      <c r="AE2344" s="23" t="n">
        <v>0.35</v>
      </c>
      <c r="AF2344" s="23" t="n">
        <v>0</v>
      </c>
      <c r="AG2344" s="23" t="n">
        <v>0.33</v>
      </c>
      <c r="AH2344" s="23" t="n">
        <v>1</v>
      </c>
      <c r="AI2344" s="23" t="n">
        <v>0.6</v>
      </c>
      <c r="AJ2344" s="23" t="n">
        <v>0.2876</v>
      </c>
      <c r="AK2344" s="23" t="n">
        <v>0.5</v>
      </c>
      <c r="AL2344" s="23" t="n">
        <v>0.3</v>
      </c>
      <c r="AM2344" s="16" t="n">
        <f aca="false">COUNTIFS($D$2:$D$2501,D2344,$G$2:$G$2501,"&gt;"&amp;G2344)+COUNTIFS($D$2:D2344,D2344,$G$2:G2344,G2344)</f>
        <v>326</v>
      </c>
      <c r="AN2344" s="5" t="str">
        <f aca="false">D2344&amp;"|"&amp;AM2344</f>
        <v>文件與影像辨識|326</v>
      </c>
    </row>
    <row r="2345" customFormat="false" ht="17.15" hidden="false" customHeight="false" outlineLevel="0" collapsed="false">
      <c r="A2345" s="16" t="n">
        <f aca="false">RANK(G2345,$G$2:$G$2501)+COUNTIF($G$2:G2345,G2345)-1</f>
        <v>2344</v>
      </c>
      <c r="B2345" s="11" t="s">
        <v>5778</v>
      </c>
      <c r="C2345" s="11" t="s">
        <v>461</v>
      </c>
      <c r="D2345" s="5" t="s">
        <v>80</v>
      </c>
      <c r="E2345" s="5" t="s">
        <v>81</v>
      </c>
      <c r="F2345" s="5"/>
      <c r="G2345" s="22" t="n">
        <f aca="false">ROUND(SUM(I2345:P2345),3)</f>
        <v>43.246</v>
      </c>
      <c r="H2345" s="5" t="str">
        <f aca="false">IF(G2345&gt;=評分方法!$C$16,"優先評估",IF(G2345&gt;=評分方法!$C$17,"列入候選",IF(G2345&gt;=評分方法!$C$18,"特定情境","不建議")))</f>
        <v>不建議</v>
      </c>
      <c r="I2345" s="15" t="n">
        <f aca="false">AE2345*評分方法!$C$5</f>
        <v>1.5</v>
      </c>
      <c r="J2345" s="15" t="n">
        <f aca="false">AF2345*評分方法!$C$6</f>
        <v>0</v>
      </c>
      <c r="K2345" s="15" t="n">
        <f aca="false">AG2345*評分方法!$C$7</f>
        <v>15</v>
      </c>
      <c r="L2345" s="15" t="n">
        <f aca="false">AH2345*評分方法!$C$8</f>
        <v>13.05</v>
      </c>
      <c r="M2345" s="15" t="n">
        <f aca="false">AI2345*評分方法!$C$9</f>
        <v>6</v>
      </c>
      <c r="N2345" s="15" t="n">
        <f aca="false">AJ2345*評分方法!$C$10</f>
        <v>3.696</v>
      </c>
      <c r="O2345" s="15" t="n">
        <f aca="false">AK2345*評分方法!$C$11</f>
        <v>4</v>
      </c>
      <c r="P2345" s="15" t="n">
        <f aca="false">AL2345*評分方法!$C$12</f>
        <v>0</v>
      </c>
      <c r="Q2345" s="6" t="n">
        <v>375805</v>
      </c>
      <c r="R2345" s="6" t="n">
        <v>1170340608</v>
      </c>
      <c r="S2345" s="11" t="s">
        <v>254</v>
      </c>
      <c r="T2345" s="11" t="s">
        <v>185</v>
      </c>
      <c r="U2345" s="5" t="s">
        <v>260</v>
      </c>
      <c r="V2345" s="11" t="s">
        <v>333</v>
      </c>
      <c r="W2345" s="5" t="s">
        <v>205</v>
      </c>
      <c r="X2345" s="5" t="s">
        <v>242</v>
      </c>
      <c r="Y2345" s="11" t="s">
        <v>5779</v>
      </c>
      <c r="Z2345" s="11" t="s">
        <v>244</v>
      </c>
      <c r="AA2345" s="11" t="s">
        <v>188</v>
      </c>
      <c r="AB2345" s="5" t="s">
        <v>496</v>
      </c>
      <c r="AC2345" s="5" t="s">
        <v>1108</v>
      </c>
      <c r="AD2345" s="11" t="s">
        <v>5780</v>
      </c>
      <c r="AE2345" s="23" t="n">
        <v>0.05</v>
      </c>
      <c r="AF2345" s="23" t="n">
        <v>0</v>
      </c>
      <c r="AG2345" s="23" t="n">
        <v>1</v>
      </c>
      <c r="AH2345" s="23" t="n">
        <v>0.87</v>
      </c>
      <c r="AI2345" s="23" t="n">
        <v>0.6</v>
      </c>
      <c r="AJ2345" s="23" t="n">
        <v>0.3696</v>
      </c>
      <c r="AK2345" s="23" t="n">
        <v>0.8</v>
      </c>
      <c r="AL2345" s="23" t="n">
        <v>0</v>
      </c>
      <c r="AM2345" s="16" t="n">
        <f aca="false">COUNTIFS($D$2:$D$2501,D2345,$G$2:$G$2501,"&gt;"&amp;G2345)+COUNTIFS($D$2:D2345,D2345,$G$2:G2345,G2345)</f>
        <v>46</v>
      </c>
      <c r="AN2345" s="5" t="str">
        <f aca="false">D2345&amp;"|"&amp;AM2345</f>
        <v>其他|46</v>
      </c>
    </row>
    <row r="2346" customFormat="false" ht="17.15" hidden="false" customHeight="false" outlineLevel="0" collapsed="false">
      <c r="A2346" s="16" t="n">
        <f aca="false">RANK(G2346,$G$2:$G$2501)+COUNTIF($G$2:G2346,G2346)-1</f>
        <v>2345</v>
      </c>
      <c r="B2346" s="11" t="s">
        <v>5781</v>
      </c>
      <c r="C2346" s="11" t="s">
        <v>5200</v>
      </c>
      <c r="D2346" s="5" t="s">
        <v>72</v>
      </c>
      <c r="E2346" s="5" t="s">
        <v>73</v>
      </c>
      <c r="F2346" s="5"/>
      <c r="G2346" s="22" t="n">
        <f aca="false">ROUND(SUM(I2346:P2346),3)</f>
        <v>43.23</v>
      </c>
      <c r="H2346" s="5" t="str">
        <f aca="false">IF(G2346&gt;=評分方法!$C$16,"優先評估",IF(G2346&gt;=評分方法!$C$17,"列入候選",IF(G2346&gt;=評分方法!$C$18,"特定情境","不建議")))</f>
        <v>不建議</v>
      </c>
      <c r="I2346" s="15" t="n">
        <f aca="false">AE2346*評分方法!$C$5</f>
        <v>9</v>
      </c>
      <c r="J2346" s="15" t="n">
        <f aca="false">AF2346*評分方法!$C$6</f>
        <v>0</v>
      </c>
      <c r="K2346" s="15" t="n">
        <f aca="false">AG2346*評分方法!$C$7</f>
        <v>4.95</v>
      </c>
      <c r="L2346" s="15" t="n">
        <f aca="false">AH2346*評分方法!$C$8</f>
        <v>15</v>
      </c>
      <c r="M2346" s="15" t="n">
        <f aca="false">AI2346*評分方法!$C$9</f>
        <v>10</v>
      </c>
      <c r="N2346" s="15" t="n">
        <f aca="false">AJ2346*評分方法!$C$10</f>
        <v>3.28</v>
      </c>
      <c r="O2346" s="15" t="n">
        <f aca="false">AK2346*評分方法!$C$11</f>
        <v>1</v>
      </c>
      <c r="P2346" s="15" t="n">
        <f aca="false">AL2346*評分方法!$C$12</f>
        <v>0</v>
      </c>
      <c r="Q2346" s="6" t="n">
        <v>328225</v>
      </c>
      <c r="R2346" s="6" t="n">
        <v>28404034</v>
      </c>
      <c r="S2346" s="11" t="s">
        <v>238</v>
      </c>
      <c r="T2346" s="11" t="s">
        <v>239</v>
      </c>
      <c r="U2346" s="5" t="s">
        <v>240</v>
      </c>
      <c r="V2346" s="11" t="s">
        <v>324</v>
      </c>
      <c r="W2346" s="5" t="s">
        <v>334</v>
      </c>
      <c r="X2346" s="5" t="s">
        <v>242</v>
      </c>
      <c r="Y2346" s="5"/>
      <c r="Z2346" s="5"/>
      <c r="AA2346" s="11" t="s">
        <v>162</v>
      </c>
      <c r="AB2346" s="5" t="s">
        <v>245</v>
      </c>
      <c r="AC2346" s="5" t="s">
        <v>1463</v>
      </c>
      <c r="AD2346" s="11" t="s">
        <v>5782</v>
      </c>
      <c r="AE2346" s="23" t="n">
        <v>0.3</v>
      </c>
      <c r="AF2346" s="23" t="n">
        <v>0</v>
      </c>
      <c r="AG2346" s="23" t="n">
        <v>0.33</v>
      </c>
      <c r="AH2346" s="23" t="n">
        <v>1</v>
      </c>
      <c r="AI2346" s="23" t="n">
        <v>1</v>
      </c>
      <c r="AJ2346" s="23" t="n">
        <v>0.328</v>
      </c>
      <c r="AK2346" s="23" t="n">
        <v>0.2</v>
      </c>
      <c r="AL2346" s="23" t="n">
        <v>0</v>
      </c>
      <c r="AM2346" s="16" t="n">
        <f aca="false">COUNTIFS($D$2:$D$2501,D2346,$G$2:$G$2501,"&gt;"&amp;G2346)+COUNTIFS($D$2:D2346,D2346,$G$2:G2346,G2346)</f>
        <v>59</v>
      </c>
      <c r="AN2346" s="5" t="str">
        <f aca="false">D2346&amp;"|"&amp;AM2346</f>
        <v>微調基底模型|59</v>
      </c>
    </row>
    <row r="2347" customFormat="false" ht="17.15" hidden="false" customHeight="false" outlineLevel="0" collapsed="false">
      <c r="A2347" s="16" t="n">
        <f aca="false">RANK(G2347,$G$2:$G$2501)+COUNTIF($G$2:G2347,G2347)-1</f>
        <v>2346</v>
      </c>
      <c r="B2347" s="11" t="s">
        <v>5783</v>
      </c>
      <c r="C2347" s="11" t="s">
        <v>5784</v>
      </c>
      <c r="D2347" s="5" t="s">
        <v>54</v>
      </c>
      <c r="E2347" s="5" t="s">
        <v>55</v>
      </c>
      <c r="F2347" s="5"/>
      <c r="G2347" s="22" t="n">
        <f aca="false">ROUND(SUM(I2347:P2347),3)</f>
        <v>43.222</v>
      </c>
      <c r="H2347" s="5" t="str">
        <f aca="false">IF(G2347&gt;=評分方法!$C$16,"優先評估",IF(G2347&gt;=評分方法!$C$17,"列入候選",IF(G2347&gt;=評分方法!$C$18,"特定情境","不建議")))</f>
        <v>不建議</v>
      </c>
      <c r="I2347" s="15" t="n">
        <f aca="false">AE2347*評分方法!$C$5</f>
        <v>16.2</v>
      </c>
      <c r="J2347" s="15" t="n">
        <f aca="false">AF2347*評分方法!$C$6</f>
        <v>0</v>
      </c>
      <c r="K2347" s="15" t="n">
        <f aca="false">AG2347*評分方法!$C$7</f>
        <v>4.95</v>
      </c>
      <c r="L2347" s="15" t="n">
        <f aca="false">AH2347*評分方法!$C$8</f>
        <v>15</v>
      </c>
      <c r="M2347" s="15" t="n">
        <f aca="false">AI2347*評分方法!$C$9</f>
        <v>2</v>
      </c>
      <c r="N2347" s="15" t="n">
        <f aca="false">AJ2347*評分方法!$C$10</f>
        <v>4.072</v>
      </c>
      <c r="O2347" s="15" t="n">
        <f aca="false">AK2347*評分方法!$C$11</f>
        <v>1</v>
      </c>
      <c r="P2347" s="15" t="n">
        <f aca="false">AL2347*評分方法!$C$12</f>
        <v>0</v>
      </c>
      <c r="Q2347" s="6" t="n">
        <v>428928</v>
      </c>
      <c r="R2347" s="6" t="n">
        <v>101401344</v>
      </c>
      <c r="S2347" s="11" t="s">
        <v>238</v>
      </c>
      <c r="T2347" s="5"/>
      <c r="U2347" s="5" t="s">
        <v>375</v>
      </c>
      <c r="V2347" s="11" t="s">
        <v>261</v>
      </c>
      <c r="W2347" s="5" t="s">
        <v>334</v>
      </c>
      <c r="X2347" s="5" t="s">
        <v>242</v>
      </c>
      <c r="Y2347" s="5"/>
      <c r="Z2347" s="5"/>
      <c r="AA2347" s="11" t="s">
        <v>152</v>
      </c>
      <c r="AB2347" s="5" t="s">
        <v>245</v>
      </c>
      <c r="AC2347" s="5" t="s">
        <v>4841</v>
      </c>
      <c r="AD2347" s="11" t="s">
        <v>5785</v>
      </c>
      <c r="AE2347" s="23" t="n">
        <v>0.54</v>
      </c>
      <c r="AF2347" s="23" t="n">
        <v>0</v>
      </c>
      <c r="AG2347" s="23" t="n">
        <v>0.33</v>
      </c>
      <c r="AH2347" s="23" t="n">
        <v>1</v>
      </c>
      <c r="AI2347" s="23" t="n">
        <v>0.2</v>
      </c>
      <c r="AJ2347" s="23" t="n">
        <v>0.4072</v>
      </c>
      <c r="AK2347" s="23" t="n">
        <v>0.2</v>
      </c>
      <c r="AL2347" s="23" t="n">
        <v>0</v>
      </c>
      <c r="AM2347" s="16" t="n">
        <f aca="false">COUNTIFS($D$2:$D$2501,D2347,$G$2:$G$2501,"&gt;"&amp;G2347)+COUNTIFS($D$2:D2347,D2347,$G$2:G2347,G2347)</f>
        <v>268</v>
      </c>
      <c r="AN2347" s="5" t="str">
        <f aca="false">D2347&amp;"|"&amp;AM2347</f>
        <v>檢索與情資關聯|268</v>
      </c>
    </row>
    <row r="2348" customFormat="false" ht="17.15" hidden="false" customHeight="false" outlineLevel="0" collapsed="false">
      <c r="A2348" s="16" t="n">
        <f aca="false">RANK(G2348,$G$2:$G$2501)+COUNTIF($G$2:G2348,G2348)-1</f>
        <v>2347</v>
      </c>
      <c r="B2348" s="11" t="s">
        <v>5786</v>
      </c>
      <c r="C2348" s="11" t="s">
        <v>5787</v>
      </c>
      <c r="D2348" s="5" t="s">
        <v>78</v>
      </c>
      <c r="E2348" s="5" t="s">
        <v>79</v>
      </c>
      <c r="F2348" s="5"/>
      <c r="G2348" s="22" t="n">
        <f aca="false">ROUND(SUM(I2348:P2348),3)</f>
        <v>43.222</v>
      </c>
      <c r="H2348" s="5" t="str">
        <f aca="false">IF(G2348&gt;=評分方法!$C$16,"優先評估",IF(G2348&gt;=評分方法!$C$17,"列入候選",IF(G2348&gt;=評分方法!$C$18,"特定情境","不建議")))</f>
        <v>不建議</v>
      </c>
      <c r="I2348" s="15" t="n">
        <f aca="false">AE2348*評分方法!$C$5</f>
        <v>5.4</v>
      </c>
      <c r="J2348" s="15" t="n">
        <f aca="false">AF2348*評分方法!$C$6</f>
        <v>0</v>
      </c>
      <c r="K2348" s="15" t="n">
        <f aca="false">AG2348*評分方法!$C$7</f>
        <v>4.95</v>
      </c>
      <c r="L2348" s="15" t="n">
        <f aca="false">AH2348*評分方法!$C$8</f>
        <v>15</v>
      </c>
      <c r="M2348" s="15" t="n">
        <f aca="false">AI2348*評分方法!$C$9</f>
        <v>10</v>
      </c>
      <c r="N2348" s="15" t="n">
        <f aca="false">AJ2348*評分方法!$C$10</f>
        <v>2.872</v>
      </c>
      <c r="O2348" s="15" t="n">
        <f aca="false">AK2348*評分方法!$C$11</f>
        <v>5</v>
      </c>
      <c r="P2348" s="15" t="n">
        <f aca="false">AL2348*評分方法!$C$12</f>
        <v>0</v>
      </c>
      <c r="Q2348" s="6" t="n">
        <v>279556</v>
      </c>
      <c r="R2348" s="6" t="n">
        <v>808878080</v>
      </c>
      <c r="S2348" s="11" t="s">
        <v>238</v>
      </c>
      <c r="T2348" s="11" t="s">
        <v>239</v>
      </c>
      <c r="U2348" s="5" t="s">
        <v>240</v>
      </c>
      <c r="V2348" s="11" t="s">
        <v>261</v>
      </c>
      <c r="W2348" s="5" t="s">
        <v>334</v>
      </c>
      <c r="X2348" s="5" t="s">
        <v>242</v>
      </c>
      <c r="Y2348" s="11" t="s">
        <v>2612</v>
      </c>
      <c r="Z2348" s="11" t="s">
        <v>270</v>
      </c>
      <c r="AA2348" s="11" t="s">
        <v>175</v>
      </c>
      <c r="AB2348" s="5" t="s">
        <v>245</v>
      </c>
      <c r="AC2348" s="5" t="s">
        <v>1463</v>
      </c>
      <c r="AD2348" s="11" t="s">
        <v>5788</v>
      </c>
      <c r="AE2348" s="23" t="n">
        <v>0.18</v>
      </c>
      <c r="AF2348" s="23" t="n">
        <v>0</v>
      </c>
      <c r="AG2348" s="23" t="n">
        <v>0.33</v>
      </c>
      <c r="AH2348" s="23" t="n">
        <v>1</v>
      </c>
      <c r="AI2348" s="23" t="n">
        <v>1</v>
      </c>
      <c r="AJ2348" s="23" t="n">
        <v>0.2872</v>
      </c>
      <c r="AK2348" s="23" t="n">
        <v>1</v>
      </c>
      <c r="AL2348" s="23" t="n">
        <v>0</v>
      </c>
      <c r="AM2348" s="16" t="n">
        <f aca="false">COUNTIFS($D$2:$D$2501,D2348,$G$2:$G$2501,"&gt;"&amp;G2348)+COUNTIFS($D$2:D2348,D2348,$G$2:G2348,G2348)</f>
        <v>115</v>
      </c>
      <c r="AN2348" s="5" t="str">
        <f aca="false">D2348&amp;"|"&amp;AM2348</f>
        <v>語音分析|115</v>
      </c>
    </row>
    <row r="2349" customFormat="false" ht="17.15" hidden="false" customHeight="false" outlineLevel="0" collapsed="false">
      <c r="A2349" s="16" t="n">
        <f aca="false">RANK(G2349,$G$2:$G$2501)+COUNTIF($G$2:G2349,G2349)-1</f>
        <v>2348</v>
      </c>
      <c r="B2349" s="11" t="s">
        <v>5789</v>
      </c>
      <c r="C2349" s="11" t="s">
        <v>5790</v>
      </c>
      <c r="D2349" s="5" t="s">
        <v>66</v>
      </c>
      <c r="E2349" s="5" t="s">
        <v>67</v>
      </c>
      <c r="F2349" s="5"/>
      <c r="G2349" s="22" t="n">
        <f aca="false">ROUND(SUM(I2349:P2349),3)</f>
        <v>43.166</v>
      </c>
      <c r="H2349" s="5" t="str">
        <f aca="false">IF(G2349&gt;=評分方法!$C$16,"優先評估",IF(G2349&gt;=評分方法!$C$17,"列入候選",IF(G2349&gt;=評分方法!$C$18,"特定情境","不建議")))</f>
        <v>不建議</v>
      </c>
      <c r="I2349" s="15" t="n">
        <f aca="false">AE2349*評分方法!$C$5</f>
        <v>7.2</v>
      </c>
      <c r="J2349" s="15" t="n">
        <f aca="false">AF2349*評分方法!$C$6</f>
        <v>0</v>
      </c>
      <c r="K2349" s="15" t="n">
        <f aca="false">AG2349*評分方法!$C$7</f>
        <v>4.95</v>
      </c>
      <c r="L2349" s="15" t="n">
        <f aca="false">AH2349*評分方法!$C$8</f>
        <v>15</v>
      </c>
      <c r="M2349" s="15" t="n">
        <f aca="false">AI2349*評分方法!$C$9</f>
        <v>10</v>
      </c>
      <c r="N2349" s="15" t="n">
        <f aca="false">AJ2349*評分方法!$C$10</f>
        <v>3.516</v>
      </c>
      <c r="O2349" s="15" t="n">
        <f aca="false">AK2349*評分方法!$C$11</f>
        <v>2.5</v>
      </c>
      <c r="P2349" s="15" t="n">
        <f aca="false">AL2349*評分方法!$C$12</f>
        <v>0</v>
      </c>
      <c r="Q2349" s="6" t="n">
        <v>353891</v>
      </c>
      <c r="R2349" s="6" t="n">
        <v>177856259</v>
      </c>
      <c r="S2349" s="11" t="s">
        <v>238</v>
      </c>
      <c r="T2349" s="11" t="s">
        <v>278</v>
      </c>
      <c r="U2349" s="5" t="s">
        <v>240</v>
      </c>
      <c r="V2349" s="11" t="s">
        <v>279</v>
      </c>
      <c r="W2349" s="5" t="s">
        <v>334</v>
      </c>
      <c r="X2349" s="5" t="s">
        <v>242</v>
      </c>
      <c r="Y2349" s="5"/>
      <c r="Z2349" s="5"/>
      <c r="AA2349" s="11" t="s">
        <v>149</v>
      </c>
      <c r="AB2349" s="5" t="s">
        <v>245</v>
      </c>
      <c r="AC2349" s="5" t="s">
        <v>5236</v>
      </c>
      <c r="AD2349" s="11" t="s">
        <v>5791</v>
      </c>
      <c r="AE2349" s="23" t="n">
        <v>0.24</v>
      </c>
      <c r="AF2349" s="23" t="n">
        <v>0</v>
      </c>
      <c r="AG2349" s="23" t="n">
        <v>0.33</v>
      </c>
      <c r="AH2349" s="23" t="n">
        <v>1</v>
      </c>
      <c r="AI2349" s="23" t="n">
        <v>1</v>
      </c>
      <c r="AJ2349" s="23" t="n">
        <v>0.3516</v>
      </c>
      <c r="AK2349" s="23" t="n">
        <v>0.5</v>
      </c>
      <c r="AL2349" s="23" t="n">
        <v>0</v>
      </c>
      <c r="AM2349" s="16" t="n">
        <f aca="false">COUNTIFS($D$2:$D$2501,D2349,$G$2:$G$2501,"&gt;"&amp;G2349)+COUNTIFS($D$2:D2349,D2349,$G$2:G2349,G2349)</f>
        <v>74</v>
      </c>
      <c r="AN2349" s="5" t="str">
        <f aca="false">D2349&amp;"|"&amp;AM2349</f>
        <v>分類與偵測|74</v>
      </c>
    </row>
    <row r="2350" customFormat="false" ht="17.15" hidden="false" customHeight="false" outlineLevel="0" collapsed="false">
      <c r="A2350" s="16" t="n">
        <f aca="false">RANK(G2350,$G$2:$G$2501)+COUNTIF($G$2:G2350,G2350)-1</f>
        <v>2349</v>
      </c>
      <c r="B2350" s="11" t="s">
        <v>5792</v>
      </c>
      <c r="C2350" s="11" t="s">
        <v>4046</v>
      </c>
      <c r="D2350" s="5" t="s">
        <v>78</v>
      </c>
      <c r="E2350" s="5" t="s">
        <v>79</v>
      </c>
      <c r="F2350" s="5"/>
      <c r="G2350" s="22" t="n">
        <f aca="false">ROUND(SUM(I2350:P2350),3)</f>
        <v>43.11</v>
      </c>
      <c r="H2350" s="5" t="str">
        <f aca="false">IF(G2350&gt;=評分方法!$C$16,"優先評估",IF(G2350&gt;=評分方法!$C$17,"列入候選",IF(G2350&gt;=評分方法!$C$18,"特定情境","不建議")))</f>
        <v>不建議</v>
      </c>
      <c r="I2350" s="15" t="n">
        <f aca="false">AE2350*評分方法!$C$5</f>
        <v>5.4</v>
      </c>
      <c r="J2350" s="15" t="n">
        <f aca="false">AF2350*評分方法!$C$6</f>
        <v>0</v>
      </c>
      <c r="K2350" s="15" t="n">
        <f aca="false">AG2350*評分方法!$C$7</f>
        <v>4.95</v>
      </c>
      <c r="L2350" s="15" t="n">
        <f aca="false">AH2350*評分方法!$C$8</f>
        <v>15</v>
      </c>
      <c r="M2350" s="15" t="n">
        <f aca="false">AI2350*評分方法!$C$9</f>
        <v>10</v>
      </c>
      <c r="N2350" s="15" t="n">
        <f aca="false">AJ2350*評分方法!$C$10</f>
        <v>2.76</v>
      </c>
      <c r="O2350" s="15" t="n">
        <f aca="false">AK2350*評分方法!$C$11</f>
        <v>5</v>
      </c>
      <c r="P2350" s="15" t="n">
        <f aca="false">AL2350*評分方法!$C$12</f>
        <v>0</v>
      </c>
      <c r="Q2350" s="6" t="n">
        <v>270468</v>
      </c>
      <c r="R2350" s="6" t="n">
        <v>222518657</v>
      </c>
      <c r="S2350" s="11" t="s">
        <v>238</v>
      </c>
      <c r="T2350" s="11" t="s">
        <v>278</v>
      </c>
      <c r="U2350" s="5" t="s">
        <v>240</v>
      </c>
      <c r="V2350" s="11" t="s">
        <v>333</v>
      </c>
      <c r="W2350" s="5" t="s">
        <v>334</v>
      </c>
      <c r="X2350" s="5" t="s">
        <v>242</v>
      </c>
      <c r="Y2350" s="11" t="s">
        <v>5793</v>
      </c>
      <c r="Z2350" s="11" t="s">
        <v>244</v>
      </c>
      <c r="AA2350" s="11" t="s">
        <v>175</v>
      </c>
      <c r="AB2350" s="5" t="s">
        <v>245</v>
      </c>
      <c r="AC2350" s="5" t="s">
        <v>4081</v>
      </c>
      <c r="AD2350" s="11" t="s">
        <v>5794</v>
      </c>
      <c r="AE2350" s="23" t="n">
        <v>0.18</v>
      </c>
      <c r="AF2350" s="23" t="n">
        <v>0</v>
      </c>
      <c r="AG2350" s="23" t="n">
        <v>0.33</v>
      </c>
      <c r="AH2350" s="23" t="n">
        <v>1</v>
      </c>
      <c r="AI2350" s="23" t="n">
        <v>1</v>
      </c>
      <c r="AJ2350" s="23" t="n">
        <v>0.276</v>
      </c>
      <c r="AK2350" s="23" t="n">
        <v>1</v>
      </c>
      <c r="AL2350" s="23" t="n">
        <v>0</v>
      </c>
      <c r="AM2350" s="16" t="n">
        <f aca="false">COUNTIFS($D$2:$D$2501,D2350,$G$2:$G$2501,"&gt;"&amp;G2350)+COUNTIFS($D$2:D2350,D2350,$G$2:G2350,G2350)</f>
        <v>116</v>
      </c>
      <c r="AN2350" s="5" t="str">
        <f aca="false">D2350&amp;"|"&amp;AM2350</f>
        <v>語音分析|116</v>
      </c>
    </row>
    <row r="2351" customFormat="false" ht="17.15" hidden="false" customHeight="false" outlineLevel="0" collapsed="false">
      <c r="A2351" s="16" t="n">
        <f aca="false">RANK(G2351,$G$2:$G$2501)+COUNTIF($G$2:G2351,G2351)-1</f>
        <v>2350</v>
      </c>
      <c r="B2351" s="11" t="s">
        <v>5795</v>
      </c>
      <c r="C2351" s="11" t="s">
        <v>2729</v>
      </c>
      <c r="D2351" s="5" t="s">
        <v>72</v>
      </c>
      <c r="E2351" s="5" t="s">
        <v>73</v>
      </c>
      <c r="F2351" s="5"/>
      <c r="G2351" s="22" t="n">
        <f aca="false">ROUND(SUM(I2351:P2351),3)</f>
        <v>43.068</v>
      </c>
      <c r="H2351" s="5" t="str">
        <f aca="false">IF(G2351&gt;=評分方法!$C$16,"優先評估",IF(G2351&gt;=評分方法!$C$17,"列入候選",IF(G2351&gt;=評分方法!$C$18,"特定情境","不建議")))</f>
        <v>不建議</v>
      </c>
      <c r="I2351" s="15" t="n">
        <f aca="false">AE2351*評分方法!$C$5</f>
        <v>15</v>
      </c>
      <c r="J2351" s="15" t="n">
        <f aca="false">AF2351*評分方法!$C$6</f>
        <v>0</v>
      </c>
      <c r="K2351" s="15" t="n">
        <f aca="false">AG2351*評分方法!$C$7</f>
        <v>4.95</v>
      </c>
      <c r="L2351" s="15" t="n">
        <f aca="false">AH2351*評分方法!$C$8</f>
        <v>7.05</v>
      </c>
      <c r="M2351" s="15" t="n">
        <f aca="false">AI2351*評分方法!$C$9</f>
        <v>2</v>
      </c>
      <c r="N2351" s="15" t="n">
        <f aca="false">AJ2351*評分方法!$C$10</f>
        <v>8.568</v>
      </c>
      <c r="O2351" s="15" t="n">
        <f aca="false">AK2351*評分方法!$C$11</f>
        <v>4</v>
      </c>
      <c r="P2351" s="15" t="n">
        <f aca="false">AL2351*評分方法!$C$12</f>
        <v>1.5</v>
      </c>
      <c r="Q2351" s="6" t="n">
        <v>2404166</v>
      </c>
      <c r="R2351" s="6"/>
      <c r="S2351" s="5" t="s">
        <v>255</v>
      </c>
      <c r="T2351" s="5"/>
      <c r="U2351" s="5" t="s">
        <v>375</v>
      </c>
      <c r="V2351" s="11" t="s">
        <v>514</v>
      </c>
      <c r="W2351" s="5" t="s">
        <v>334</v>
      </c>
      <c r="X2351" s="5" t="s">
        <v>255</v>
      </c>
      <c r="Y2351" s="5"/>
      <c r="Z2351" s="5"/>
      <c r="AA2351" s="11" t="s">
        <v>162</v>
      </c>
      <c r="AB2351" s="5" t="s">
        <v>328</v>
      </c>
      <c r="AC2351" s="5" t="s">
        <v>329</v>
      </c>
      <c r="AD2351" s="11" t="s">
        <v>5796</v>
      </c>
      <c r="AE2351" s="23" t="n">
        <v>0.5</v>
      </c>
      <c r="AF2351" s="23" t="n">
        <v>0</v>
      </c>
      <c r="AG2351" s="23" t="n">
        <v>0.33</v>
      </c>
      <c r="AH2351" s="23" t="n">
        <v>0.47</v>
      </c>
      <c r="AI2351" s="23" t="n">
        <v>0.2</v>
      </c>
      <c r="AJ2351" s="23" t="n">
        <v>0.8568</v>
      </c>
      <c r="AK2351" s="23" t="n">
        <v>0.8</v>
      </c>
      <c r="AL2351" s="23" t="n">
        <v>0.3</v>
      </c>
      <c r="AM2351" s="16" t="n">
        <f aca="false">COUNTIFS($D$2:$D$2501,D2351,$G$2:$G$2501,"&gt;"&amp;G2351)+COUNTIFS($D$2:D2351,D2351,$G$2:G2351,G2351)</f>
        <v>60</v>
      </c>
      <c r="AN2351" s="5" t="str">
        <f aca="false">D2351&amp;"|"&amp;AM2351</f>
        <v>微調基底模型|60</v>
      </c>
    </row>
    <row r="2352" customFormat="false" ht="17.15" hidden="false" customHeight="false" outlineLevel="0" collapsed="false">
      <c r="A2352" s="16" t="n">
        <f aca="false">RANK(G2352,$G$2:$G$2501)+COUNTIF($G$2:G2352,G2352)-1</f>
        <v>2351</v>
      </c>
      <c r="B2352" s="11" t="s">
        <v>5797</v>
      </c>
      <c r="C2352" s="11" t="s">
        <v>327</v>
      </c>
      <c r="D2352" s="5" t="s">
        <v>80</v>
      </c>
      <c r="E2352" s="5" t="s">
        <v>81</v>
      </c>
      <c r="F2352" s="5"/>
      <c r="G2352" s="22" t="n">
        <f aca="false">ROUND(SUM(I2352:P2352),3)</f>
        <v>43.026</v>
      </c>
      <c r="H2352" s="5" t="str">
        <f aca="false">IF(G2352&gt;=評分方法!$C$16,"優先評估",IF(G2352&gt;=評分方法!$C$17,"列入候選",IF(G2352&gt;=評分方法!$C$18,"特定情境","不建議")))</f>
        <v>不建議</v>
      </c>
      <c r="I2352" s="15" t="n">
        <f aca="false">AE2352*評分方法!$C$5</f>
        <v>6</v>
      </c>
      <c r="J2352" s="15" t="n">
        <f aca="false">AF2352*評分方法!$C$6</f>
        <v>0</v>
      </c>
      <c r="K2352" s="15" t="n">
        <f aca="false">AG2352*評分方法!$C$7</f>
        <v>15</v>
      </c>
      <c r="L2352" s="15" t="n">
        <f aca="false">AH2352*評分方法!$C$8</f>
        <v>4.95</v>
      </c>
      <c r="M2352" s="15" t="n">
        <f aca="false">AI2352*評分方法!$C$9</f>
        <v>6</v>
      </c>
      <c r="N2352" s="15" t="n">
        <f aca="false">AJ2352*評分方法!$C$10</f>
        <v>4.576</v>
      </c>
      <c r="O2352" s="15" t="n">
        <f aca="false">AK2352*評分方法!$C$11</f>
        <v>5</v>
      </c>
      <c r="P2352" s="15" t="n">
        <f aca="false">AL2352*評分方法!$C$12</f>
        <v>1.5</v>
      </c>
      <c r="Q2352" s="6" t="n">
        <v>498639</v>
      </c>
      <c r="R2352" s="6" t="n">
        <v>64615003632</v>
      </c>
      <c r="S2352" s="11" t="s">
        <v>1876</v>
      </c>
      <c r="T2352" s="11" t="s">
        <v>185</v>
      </c>
      <c r="U2352" s="5" t="s">
        <v>260</v>
      </c>
      <c r="V2352" s="11" t="s">
        <v>261</v>
      </c>
      <c r="W2352" s="5" t="s">
        <v>205</v>
      </c>
      <c r="X2352" s="5" t="s">
        <v>255</v>
      </c>
      <c r="Y2352" s="5"/>
      <c r="Z2352" s="5"/>
      <c r="AA2352" s="5"/>
      <c r="AB2352" s="5" t="s">
        <v>255</v>
      </c>
      <c r="AC2352" s="5" t="s">
        <v>262</v>
      </c>
      <c r="AD2352" s="11" t="s">
        <v>5798</v>
      </c>
      <c r="AE2352" s="23" t="n">
        <v>0.2</v>
      </c>
      <c r="AF2352" s="23" t="n">
        <v>0</v>
      </c>
      <c r="AG2352" s="23" t="n">
        <v>1</v>
      </c>
      <c r="AH2352" s="23" t="n">
        <v>0.33</v>
      </c>
      <c r="AI2352" s="23" t="n">
        <v>0.6</v>
      </c>
      <c r="AJ2352" s="23" t="n">
        <v>0.4576</v>
      </c>
      <c r="AK2352" s="23" t="n">
        <v>1</v>
      </c>
      <c r="AL2352" s="23" t="n">
        <v>0.3</v>
      </c>
      <c r="AM2352" s="16" t="n">
        <f aca="false">COUNTIFS($D$2:$D$2501,D2352,$G$2:$G$2501,"&gt;"&amp;G2352)+COUNTIFS($D$2:D2352,D2352,$G$2:G2352,G2352)</f>
        <v>47</v>
      </c>
      <c r="AN2352" s="5" t="str">
        <f aca="false">D2352&amp;"|"&amp;AM2352</f>
        <v>其他|47</v>
      </c>
    </row>
    <row r="2353" customFormat="false" ht="17.15" hidden="false" customHeight="false" outlineLevel="0" collapsed="false">
      <c r="A2353" s="16" t="n">
        <f aca="false">RANK(G2353,$G$2:$G$2501)+COUNTIF($G$2:G2353,G2353)-1</f>
        <v>2352</v>
      </c>
      <c r="B2353" s="11" t="s">
        <v>5799</v>
      </c>
      <c r="C2353" s="11" t="s">
        <v>5800</v>
      </c>
      <c r="D2353" s="5" t="s">
        <v>66</v>
      </c>
      <c r="E2353" s="5" t="s">
        <v>67</v>
      </c>
      <c r="F2353" s="5"/>
      <c r="G2353" s="22" t="n">
        <f aca="false">ROUND(SUM(I2353:P2353),3)</f>
        <v>42.99</v>
      </c>
      <c r="H2353" s="5" t="str">
        <f aca="false">IF(G2353&gt;=評分方法!$C$16,"優先評估",IF(G2353&gt;=評分方法!$C$17,"列入候選",IF(G2353&gt;=評分方法!$C$18,"特定情境","不建議")))</f>
        <v>不建議</v>
      </c>
      <c r="I2353" s="15" t="n">
        <f aca="false">AE2353*評分方法!$C$5</f>
        <v>12</v>
      </c>
      <c r="J2353" s="15" t="n">
        <f aca="false">AF2353*評分方法!$C$6</f>
        <v>0</v>
      </c>
      <c r="K2353" s="15" t="n">
        <f aca="false">AG2353*評分方法!$C$7</f>
        <v>4.95</v>
      </c>
      <c r="L2353" s="15" t="n">
        <f aca="false">AH2353*評分方法!$C$8</f>
        <v>15</v>
      </c>
      <c r="M2353" s="15" t="n">
        <f aca="false">AI2353*評分方法!$C$9</f>
        <v>10</v>
      </c>
      <c r="N2353" s="15" t="n">
        <f aca="false">AJ2353*評分方法!$C$10</f>
        <v>0.04</v>
      </c>
      <c r="O2353" s="15" t="n">
        <f aca="false">AK2353*評分方法!$C$11</f>
        <v>1</v>
      </c>
      <c r="P2353" s="15" t="n">
        <f aca="false">AL2353*評分方法!$C$12</f>
        <v>0</v>
      </c>
      <c r="Q2353" s="6" t="n">
        <v>118219</v>
      </c>
      <c r="R2353" s="6" t="n">
        <v>124443651</v>
      </c>
      <c r="S2353" s="11" t="s">
        <v>238</v>
      </c>
      <c r="T2353" s="11" t="s">
        <v>278</v>
      </c>
      <c r="U2353" s="5" t="s">
        <v>240</v>
      </c>
      <c r="V2353" s="11" t="s">
        <v>261</v>
      </c>
      <c r="W2353" s="5" t="s">
        <v>334</v>
      </c>
      <c r="X2353" s="5" t="s">
        <v>242</v>
      </c>
      <c r="Y2353" s="11" t="s">
        <v>5644</v>
      </c>
      <c r="Z2353" s="11" t="s">
        <v>270</v>
      </c>
      <c r="AA2353" s="11" t="s">
        <v>149</v>
      </c>
      <c r="AB2353" s="5" t="s">
        <v>245</v>
      </c>
      <c r="AC2353" s="5" t="s">
        <v>3044</v>
      </c>
      <c r="AD2353" s="11" t="s">
        <v>5801</v>
      </c>
      <c r="AE2353" s="23" t="n">
        <v>0.4</v>
      </c>
      <c r="AF2353" s="23" t="n">
        <v>0</v>
      </c>
      <c r="AG2353" s="23" t="n">
        <v>0.33</v>
      </c>
      <c r="AH2353" s="23" t="n">
        <v>1</v>
      </c>
      <c r="AI2353" s="23" t="n">
        <v>1</v>
      </c>
      <c r="AJ2353" s="23" t="n">
        <v>0.004</v>
      </c>
      <c r="AK2353" s="23" t="n">
        <v>0.2</v>
      </c>
      <c r="AL2353" s="23" t="n">
        <v>0</v>
      </c>
      <c r="AM2353" s="16" t="n">
        <f aca="false">COUNTIFS($D$2:$D$2501,D2353,$G$2:$G$2501,"&gt;"&amp;G2353)+COUNTIFS($D$2:D2353,D2353,$G$2:G2353,G2353)</f>
        <v>75</v>
      </c>
      <c r="AN2353" s="5" t="str">
        <f aca="false">D2353&amp;"|"&amp;AM2353</f>
        <v>分類與偵測|75</v>
      </c>
    </row>
    <row r="2354" customFormat="false" ht="17.15" hidden="false" customHeight="false" outlineLevel="0" collapsed="false">
      <c r="A2354" s="16" t="n">
        <f aca="false">RANK(G2354,$G$2:$G$2501)+COUNTIF($G$2:G2354,G2354)-1</f>
        <v>2353</v>
      </c>
      <c r="B2354" s="11" t="s">
        <v>5802</v>
      </c>
      <c r="C2354" s="11" t="s">
        <v>5803</v>
      </c>
      <c r="D2354" s="5" t="s">
        <v>78</v>
      </c>
      <c r="E2354" s="5" t="s">
        <v>79</v>
      </c>
      <c r="F2354" s="5"/>
      <c r="G2354" s="22" t="n">
        <f aca="false">ROUND(SUM(I2354:P2354),3)</f>
        <v>42.934</v>
      </c>
      <c r="H2354" s="5" t="str">
        <f aca="false">IF(G2354&gt;=評分方法!$C$16,"優先評估",IF(G2354&gt;=評分方法!$C$17,"列入候選",IF(G2354&gt;=評分方法!$C$18,"特定情境","不建議")))</f>
        <v>不建議</v>
      </c>
      <c r="I2354" s="15" t="n">
        <f aca="false">AE2354*評分方法!$C$5</f>
        <v>5.4</v>
      </c>
      <c r="J2354" s="15" t="n">
        <f aca="false">AF2354*評分方法!$C$6</f>
        <v>0</v>
      </c>
      <c r="K2354" s="15" t="n">
        <f aca="false">AG2354*評分方法!$C$7</f>
        <v>4.95</v>
      </c>
      <c r="L2354" s="15" t="n">
        <f aca="false">AH2354*評分方法!$C$8</f>
        <v>15</v>
      </c>
      <c r="M2354" s="15" t="n">
        <f aca="false">AI2354*評分方法!$C$9</f>
        <v>10</v>
      </c>
      <c r="N2354" s="15" t="n">
        <f aca="false">AJ2354*評分方法!$C$10</f>
        <v>6.584</v>
      </c>
      <c r="O2354" s="15" t="n">
        <f aca="false">AK2354*評分方法!$C$11</f>
        <v>1</v>
      </c>
      <c r="P2354" s="15" t="n">
        <f aca="false">AL2354*評分方法!$C$12</f>
        <v>0</v>
      </c>
      <c r="Q2354" s="6" t="n">
        <v>775667</v>
      </c>
      <c r="R2354" s="6" t="n">
        <v>756405760</v>
      </c>
      <c r="S2354" s="11" t="s">
        <v>238</v>
      </c>
      <c r="T2354" s="11" t="s">
        <v>239</v>
      </c>
      <c r="U2354" s="5" t="s">
        <v>240</v>
      </c>
      <c r="V2354" s="11" t="s">
        <v>261</v>
      </c>
      <c r="W2354" s="5" t="s">
        <v>334</v>
      </c>
      <c r="X2354" s="5" t="s">
        <v>242</v>
      </c>
      <c r="Y2354" s="5"/>
      <c r="Z2354" s="5"/>
      <c r="AA2354" s="11" t="s">
        <v>175</v>
      </c>
      <c r="AB2354" s="5" t="s">
        <v>245</v>
      </c>
      <c r="AC2354" s="5" t="s">
        <v>1463</v>
      </c>
      <c r="AD2354" s="11" t="s">
        <v>5804</v>
      </c>
      <c r="AE2354" s="23" t="n">
        <v>0.18</v>
      </c>
      <c r="AF2354" s="23" t="n">
        <v>0</v>
      </c>
      <c r="AG2354" s="23" t="n">
        <v>0.33</v>
      </c>
      <c r="AH2354" s="23" t="n">
        <v>1</v>
      </c>
      <c r="AI2354" s="23" t="n">
        <v>1</v>
      </c>
      <c r="AJ2354" s="23" t="n">
        <v>0.6584</v>
      </c>
      <c r="AK2354" s="23" t="n">
        <v>0.2</v>
      </c>
      <c r="AL2354" s="23" t="n">
        <v>0</v>
      </c>
      <c r="AM2354" s="16" t="n">
        <f aca="false">COUNTIFS($D$2:$D$2501,D2354,$G$2:$G$2501,"&gt;"&amp;G2354)+COUNTIFS($D$2:D2354,D2354,$G$2:G2354,G2354)</f>
        <v>117</v>
      </c>
      <c r="AN2354" s="5" t="str">
        <f aca="false">D2354&amp;"|"&amp;AM2354</f>
        <v>語音分析|117</v>
      </c>
    </row>
    <row r="2355" customFormat="false" ht="17.15" hidden="false" customHeight="false" outlineLevel="0" collapsed="false">
      <c r="A2355" s="16" t="n">
        <f aca="false">RANK(G2355,$G$2:$G$2501)+COUNTIF($G$2:G2355,G2355)-1</f>
        <v>2354</v>
      </c>
      <c r="B2355" s="11" t="s">
        <v>5805</v>
      </c>
      <c r="C2355" s="11" t="s">
        <v>5759</v>
      </c>
      <c r="D2355" s="5" t="s">
        <v>74</v>
      </c>
      <c r="E2355" s="5" t="s">
        <v>75</v>
      </c>
      <c r="F2355" s="5"/>
      <c r="G2355" s="22" t="n">
        <f aca="false">ROUND(SUM(I2355:P2355),3)</f>
        <v>42.918</v>
      </c>
      <c r="H2355" s="5" t="str">
        <f aca="false">IF(G2355&gt;=評分方法!$C$16,"優先評估",IF(G2355&gt;=評分方法!$C$17,"列入候選",IF(G2355&gt;=評分方法!$C$18,"特定情境","不建議")))</f>
        <v>不建議</v>
      </c>
      <c r="I2355" s="15" t="n">
        <f aca="false">AE2355*評分方法!$C$5</f>
        <v>10.5</v>
      </c>
      <c r="J2355" s="15" t="n">
        <f aca="false">AF2355*評分方法!$C$6</f>
        <v>0</v>
      </c>
      <c r="K2355" s="15" t="n">
        <f aca="false">AG2355*評分方法!$C$7</f>
        <v>4.95</v>
      </c>
      <c r="L2355" s="15" t="n">
        <f aca="false">AH2355*評分方法!$C$8</f>
        <v>15</v>
      </c>
      <c r="M2355" s="15" t="n">
        <f aca="false">AI2355*評分方法!$C$9</f>
        <v>6</v>
      </c>
      <c r="N2355" s="15" t="n">
        <f aca="false">AJ2355*評分方法!$C$10</f>
        <v>2.468</v>
      </c>
      <c r="O2355" s="15" t="n">
        <f aca="false">AK2355*評分方法!$C$11</f>
        <v>2.5</v>
      </c>
      <c r="P2355" s="15" t="n">
        <f aca="false">AL2355*評分方法!$C$12</f>
        <v>1.5</v>
      </c>
      <c r="Q2355" s="6" t="n">
        <v>248442</v>
      </c>
      <c r="R2355" s="6" t="n">
        <v>13664424</v>
      </c>
      <c r="S2355" s="11" t="s">
        <v>238</v>
      </c>
      <c r="T2355" s="11" t="s">
        <v>185</v>
      </c>
      <c r="U2355" s="5" t="s">
        <v>260</v>
      </c>
      <c r="V2355" s="11" t="s">
        <v>261</v>
      </c>
      <c r="W2355" s="5" t="s">
        <v>334</v>
      </c>
      <c r="X2355" s="5" t="s">
        <v>255</v>
      </c>
      <c r="Y2355" s="5"/>
      <c r="Z2355" s="5"/>
      <c r="AA2355" s="11" t="s">
        <v>172</v>
      </c>
      <c r="AB2355" s="5" t="s">
        <v>245</v>
      </c>
      <c r="AC2355" s="5" t="s">
        <v>262</v>
      </c>
      <c r="AD2355" s="11" t="s">
        <v>5806</v>
      </c>
      <c r="AE2355" s="23" t="n">
        <v>0.35</v>
      </c>
      <c r="AF2355" s="23" t="n">
        <v>0</v>
      </c>
      <c r="AG2355" s="23" t="n">
        <v>0.33</v>
      </c>
      <c r="AH2355" s="23" t="n">
        <v>1</v>
      </c>
      <c r="AI2355" s="23" t="n">
        <v>0.6</v>
      </c>
      <c r="AJ2355" s="23" t="n">
        <v>0.2468</v>
      </c>
      <c r="AK2355" s="23" t="n">
        <v>0.5</v>
      </c>
      <c r="AL2355" s="23" t="n">
        <v>0.3</v>
      </c>
      <c r="AM2355" s="16" t="n">
        <f aca="false">COUNTIFS($D$2:$D$2501,D2355,$G$2:$G$2501,"&gt;"&amp;G2355)+COUNTIFS($D$2:D2355,D2355,$G$2:G2355,G2355)</f>
        <v>327</v>
      </c>
      <c r="AN2355" s="5" t="str">
        <f aca="false">D2355&amp;"|"&amp;AM2355</f>
        <v>文件與影像辨識|327</v>
      </c>
    </row>
    <row r="2356" customFormat="false" ht="17.15" hidden="false" customHeight="false" outlineLevel="0" collapsed="false">
      <c r="A2356" s="16" t="n">
        <f aca="false">RANK(G2356,$G$2:$G$2501)+COUNTIF($G$2:G2356,G2356)-1</f>
        <v>2355</v>
      </c>
      <c r="B2356" s="11" t="s">
        <v>5807</v>
      </c>
      <c r="C2356" s="11" t="s">
        <v>5808</v>
      </c>
      <c r="D2356" s="5" t="s">
        <v>78</v>
      </c>
      <c r="E2356" s="5" t="s">
        <v>79</v>
      </c>
      <c r="F2356" s="5"/>
      <c r="G2356" s="22" t="n">
        <f aca="false">ROUND(SUM(I2356:P2356),3)</f>
        <v>42.858</v>
      </c>
      <c r="H2356" s="5" t="str">
        <f aca="false">IF(G2356&gt;=評分方法!$C$16,"優先評估",IF(G2356&gt;=評分方法!$C$17,"列入候選",IF(G2356&gt;=評分方法!$C$18,"特定情境","不建議")))</f>
        <v>不建議</v>
      </c>
      <c r="I2356" s="15" t="n">
        <f aca="false">AE2356*評分方法!$C$5</f>
        <v>5.4</v>
      </c>
      <c r="J2356" s="15" t="n">
        <f aca="false">AF2356*評分方法!$C$6</f>
        <v>0</v>
      </c>
      <c r="K2356" s="15" t="n">
        <f aca="false">AG2356*評分方法!$C$7</f>
        <v>4.95</v>
      </c>
      <c r="L2356" s="15" t="n">
        <f aca="false">AH2356*評分方法!$C$8</f>
        <v>15</v>
      </c>
      <c r="M2356" s="15" t="n">
        <f aca="false">AI2356*評分方法!$C$9</f>
        <v>10</v>
      </c>
      <c r="N2356" s="15" t="n">
        <f aca="false">AJ2356*評分方法!$C$10</f>
        <v>6.508</v>
      </c>
      <c r="O2356" s="15" t="n">
        <f aca="false">AK2356*評分方法!$C$11</f>
        <v>1</v>
      </c>
      <c r="P2356" s="15" t="n">
        <f aca="false">AL2356*評分方法!$C$12</f>
        <v>0</v>
      </c>
      <c r="Q2356" s="6" t="n">
        <v>758024</v>
      </c>
      <c r="R2356" s="6" t="n">
        <v>315526870</v>
      </c>
      <c r="S2356" s="11" t="s">
        <v>238</v>
      </c>
      <c r="T2356" s="11" t="s">
        <v>239</v>
      </c>
      <c r="U2356" s="5" t="s">
        <v>240</v>
      </c>
      <c r="V2356" s="11" t="s">
        <v>324</v>
      </c>
      <c r="W2356" s="5" t="s">
        <v>334</v>
      </c>
      <c r="X2356" s="5" t="s">
        <v>242</v>
      </c>
      <c r="Y2356" s="5"/>
      <c r="Z2356" s="5"/>
      <c r="AA2356" s="11" t="s">
        <v>175</v>
      </c>
      <c r="AB2356" s="5" t="s">
        <v>245</v>
      </c>
      <c r="AC2356" s="5" t="s">
        <v>1463</v>
      </c>
      <c r="AD2356" s="11" t="s">
        <v>5809</v>
      </c>
      <c r="AE2356" s="23" t="n">
        <v>0.18</v>
      </c>
      <c r="AF2356" s="23" t="n">
        <v>0</v>
      </c>
      <c r="AG2356" s="23" t="n">
        <v>0.33</v>
      </c>
      <c r="AH2356" s="23" t="n">
        <v>1</v>
      </c>
      <c r="AI2356" s="23" t="n">
        <v>1</v>
      </c>
      <c r="AJ2356" s="23" t="n">
        <v>0.6508</v>
      </c>
      <c r="AK2356" s="23" t="n">
        <v>0.2</v>
      </c>
      <c r="AL2356" s="23" t="n">
        <v>0</v>
      </c>
      <c r="AM2356" s="16" t="n">
        <f aca="false">COUNTIFS($D$2:$D$2501,D2356,$G$2:$G$2501,"&gt;"&amp;G2356)+COUNTIFS($D$2:D2356,D2356,$G$2:G2356,G2356)</f>
        <v>118</v>
      </c>
      <c r="AN2356" s="5" t="str">
        <f aca="false">D2356&amp;"|"&amp;AM2356</f>
        <v>語音分析|118</v>
      </c>
    </row>
    <row r="2357" customFormat="false" ht="17.15" hidden="false" customHeight="false" outlineLevel="0" collapsed="false">
      <c r="A2357" s="16" t="n">
        <f aca="false">RANK(G2357,$G$2:$G$2501)+COUNTIF($G$2:G2357,G2357)-1</f>
        <v>2356</v>
      </c>
      <c r="B2357" s="11" t="s">
        <v>5810</v>
      </c>
      <c r="C2357" s="11" t="s">
        <v>5719</v>
      </c>
      <c r="D2357" s="5" t="s">
        <v>80</v>
      </c>
      <c r="E2357" s="5" t="s">
        <v>81</v>
      </c>
      <c r="F2357" s="5"/>
      <c r="G2357" s="22" t="n">
        <f aca="false">ROUND(SUM(I2357:P2357),3)</f>
        <v>42.75</v>
      </c>
      <c r="H2357" s="5" t="str">
        <f aca="false">IF(G2357&gt;=評分方法!$C$16,"優先評估",IF(G2357&gt;=評分方法!$C$17,"列入候選",IF(G2357&gt;=評分方法!$C$18,"特定情境","不建議")))</f>
        <v>不建議</v>
      </c>
      <c r="I2357" s="15" t="n">
        <f aca="false">AE2357*評分方法!$C$5</f>
        <v>6</v>
      </c>
      <c r="J2357" s="15" t="n">
        <f aca="false">AF2357*評分方法!$C$6</f>
        <v>0</v>
      </c>
      <c r="K2357" s="15" t="n">
        <f aca="false">AG2357*評分方法!$C$7</f>
        <v>4.95</v>
      </c>
      <c r="L2357" s="15" t="n">
        <f aca="false">AH2357*評分方法!$C$8</f>
        <v>15</v>
      </c>
      <c r="M2357" s="15" t="n">
        <f aca="false">AI2357*評分方法!$C$9</f>
        <v>10</v>
      </c>
      <c r="N2357" s="15" t="n">
        <f aca="false">AJ2357*評分方法!$C$10</f>
        <v>2.8</v>
      </c>
      <c r="O2357" s="15" t="n">
        <f aca="false">AK2357*評分方法!$C$11</f>
        <v>2.5</v>
      </c>
      <c r="P2357" s="15" t="n">
        <f aca="false">AL2357*評分方法!$C$12</f>
        <v>1.5</v>
      </c>
      <c r="Q2357" s="6" t="n">
        <v>273268</v>
      </c>
      <c r="R2357" s="6" t="n">
        <v>185917723</v>
      </c>
      <c r="S2357" s="11" t="s">
        <v>238</v>
      </c>
      <c r="T2357" s="11" t="s">
        <v>1636</v>
      </c>
      <c r="U2357" s="5" t="s">
        <v>240</v>
      </c>
      <c r="V2357" s="11" t="s">
        <v>324</v>
      </c>
      <c r="W2357" s="5" t="s">
        <v>334</v>
      </c>
      <c r="X2357" s="5" t="s">
        <v>255</v>
      </c>
      <c r="Y2357" s="5"/>
      <c r="Z2357" s="5"/>
      <c r="AA2357" s="5"/>
      <c r="AB2357" s="5" t="s">
        <v>255</v>
      </c>
      <c r="AC2357" s="5"/>
      <c r="AD2357" s="11" t="s">
        <v>5811</v>
      </c>
      <c r="AE2357" s="23" t="n">
        <v>0.2</v>
      </c>
      <c r="AF2357" s="23" t="n">
        <v>0</v>
      </c>
      <c r="AG2357" s="23" t="n">
        <v>0.33</v>
      </c>
      <c r="AH2357" s="23" t="n">
        <v>1</v>
      </c>
      <c r="AI2357" s="23" t="n">
        <v>1</v>
      </c>
      <c r="AJ2357" s="23" t="n">
        <v>0.28</v>
      </c>
      <c r="AK2357" s="23" t="n">
        <v>0.5</v>
      </c>
      <c r="AL2357" s="23" t="n">
        <v>0.3</v>
      </c>
      <c r="AM2357" s="16" t="n">
        <f aca="false">COUNTIFS($D$2:$D$2501,D2357,$G$2:$G$2501,"&gt;"&amp;G2357)+COUNTIFS($D$2:D2357,D2357,$G$2:G2357,G2357)</f>
        <v>48</v>
      </c>
      <c r="AN2357" s="5" t="str">
        <f aca="false">D2357&amp;"|"&amp;AM2357</f>
        <v>其他|48</v>
      </c>
    </row>
    <row r="2358" customFormat="false" ht="17.15" hidden="false" customHeight="false" outlineLevel="0" collapsed="false">
      <c r="A2358" s="16" t="n">
        <f aca="false">RANK(G2358,$G$2:$G$2501)+COUNTIF($G$2:G2358,G2358)-1</f>
        <v>2357</v>
      </c>
      <c r="B2358" s="11" t="s">
        <v>5812</v>
      </c>
      <c r="C2358" s="11" t="s">
        <v>5813</v>
      </c>
      <c r="D2358" s="5" t="s">
        <v>56</v>
      </c>
      <c r="E2358" s="5" t="s">
        <v>57</v>
      </c>
      <c r="F2358" s="5"/>
      <c r="G2358" s="22" t="n">
        <f aca="false">ROUND(SUM(I2358:P2358),3)</f>
        <v>42.738</v>
      </c>
      <c r="H2358" s="5" t="str">
        <f aca="false">IF(G2358&gt;=評分方法!$C$16,"優先評估",IF(G2358&gt;=評分方法!$C$17,"列入候選",IF(G2358&gt;=評分方法!$C$18,"特定情境","不建議")))</f>
        <v>不建議</v>
      </c>
      <c r="I2358" s="15" t="n">
        <f aca="false">AE2358*評分方法!$C$5</f>
        <v>18</v>
      </c>
      <c r="J2358" s="15" t="n">
        <f aca="false">AF2358*評分方法!$C$6</f>
        <v>0</v>
      </c>
      <c r="K2358" s="15" t="n">
        <f aca="false">AG2358*評分方法!$C$7</f>
        <v>4.95</v>
      </c>
      <c r="L2358" s="15" t="n">
        <f aca="false">AH2358*評分方法!$C$8</f>
        <v>15</v>
      </c>
      <c r="M2358" s="15" t="n">
        <f aca="false">AI2358*評分方法!$C$9</f>
        <v>2</v>
      </c>
      <c r="N2358" s="15" t="n">
        <f aca="false">AJ2358*評分方法!$C$10</f>
        <v>0.288</v>
      </c>
      <c r="O2358" s="15" t="n">
        <f aca="false">AK2358*評分方法!$C$11</f>
        <v>1</v>
      </c>
      <c r="P2358" s="15" t="n">
        <f aca="false">AL2358*評分方法!$C$12</f>
        <v>1.5</v>
      </c>
      <c r="Q2358" s="6" t="n">
        <v>124150</v>
      </c>
      <c r="R2358" s="6" t="n">
        <v>222903552</v>
      </c>
      <c r="S2358" s="11" t="s">
        <v>238</v>
      </c>
      <c r="T2358" s="5"/>
      <c r="U2358" s="5" t="s">
        <v>375</v>
      </c>
      <c r="V2358" s="11" t="s">
        <v>261</v>
      </c>
      <c r="W2358" s="5" t="s">
        <v>334</v>
      </c>
      <c r="X2358" s="5" t="s">
        <v>255</v>
      </c>
      <c r="Y2358" s="5"/>
      <c r="Z2358" s="5"/>
      <c r="AA2358" s="11" t="s">
        <v>160</v>
      </c>
      <c r="AB2358" s="5" t="s">
        <v>245</v>
      </c>
      <c r="AC2358" s="5" t="s">
        <v>262</v>
      </c>
      <c r="AD2358" s="11" t="s">
        <v>5814</v>
      </c>
      <c r="AE2358" s="23" t="n">
        <v>0.6</v>
      </c>
      <c r="AF2358" s="23" t="n">
        <v>0</v>
      </c>
      <c r="AG2358" s="23" t="n">
        <v>0.33</v>
      </c>
      <c r="AH2358" s="23" t="n">
        <v>1</v>
      </c>
      <c r="AI2358" s="23" t="n">
        <v>0.2</v>
      </c>
      <c r="AJ2358" s="23" t="n">
        <v>0.0288</v>
      </c>
      <c r="AK2358" s="23" t="n">
        <v>0.2</v>
      </c>
      <c r="AL2358" s="23" t="n">
        <v>0.3</v>
      </c>
      <c r="AM2358" s="16" t="n">
        <f aca="false">COUNTIFS($D$2:$D$2501,D2358,$G$2:$G$2501,"&gt;"&amp;G2358)+COUNTIFS($D$2:D2358,D2358,$G$2:G2358,G2358)</f>
        <v>975</v>
      </c>
      <c r="AN2358" s="5" t="str">
        <f aca="false">D2358&amp;"|"&amp;AM2358</f>
        <v>分析與報告生成|975</v>
      </c>
    </row>
    <row r="2359" customFormat="false" ht="17.15" hidden="false" customHeight="false" outlineLevel="0" collapsed="false">
      <c r="A2359" s="16" t="n">
        <f aca="false">RANK(G2359,$G$2:$G$2501)+COUNTIF($G$2:G2359,G2359)-1</f>
        <v>2358</v>
      </c>
      <c r="B2359" s="11" t="s">
        <v>5815</v>
      </c>
      <c r="C2359" s="11" t="s">
        <v>1677</v>
      </c>
      <c r="D2359" s="5" t="s">
        <v>78</v>
      </c>
      <c r="E2359" s="5" t="s">
        <v>79</v>
      </c>
      <c r="F2359" s="5"/>
      <c r="G2359" s="22" t="n">
        <f aca="false">ROUND(SUM(I2359:P2359),3)</f>
        <v>42.736</v>
      </c>
      <c r="H2359" s="5" t="str">
        <f aca="false">IF(G2359&gt;=評分方法!$C$16,"優先評估",IF(G2359&gt;=評分方法!$C$17,"列入候選",IF(G2359&gt;=評分方法!$C$18,"特定情境","不建議")))</f>
        <v>不建議</v>
      </c>
      <c r="I2359" s="15" t="n">
        <f aca="false">AE2359*評分方法!$C$5</f>
        <v>9</v>
      </c>
      <c r="J2359" s="15" t="n">
        <f aca="false">AF2359*評分方法!$C$6</f>
        <v>0</v>
      </c>
      <c r="K2359" s="15" t="n">
        <f aca="false">AG2359*評分方法!$C$7</f>
        <v>10.05</v>
      </c>
      <c r="L2359" s="15" t="n">
        <f aca="false">AH2359*評分方法!$C$8</f>
        <v>7.05</v>
      </c>
      <c r="M2359" s="15" t="n">
        <f aca="false">AI2359*評分方法!$C$9</f>
        <v>10</v>
      </c>
      <c r="N2359" s="15" t="n">
        <f aca="false">AJ2359*評分方法!$C$10</f>
        <v>1.136</v>
      </c>
      <c r="O2359" s="15" t="n">
        <f aca="false">AK2359*評分方法!$C$11</f>
        <v>4</v>
      </c>
      <c r="P2359" s="15" t="n">
        <f aca="false">AL2359*評分方法!$C$12</f>
        <v>1.5</v>
      </c>
      <c r="Q2359" s="6" t="n">
        <v>158784</v>
      </c>
      <c r="R2359" s="6"/>
      <c r="S2359" s="5" t="s">
        <v>255</v>
      </c>
      <c r="T2359" s="11" t="s">
        <v>239</v>
      </c>
      <c r="U2359" s="5" t="s">
        <v>240</v>
      </c>
      <c r="V2359" s="11" t="s">
        <v>514</v>
      </c>
      <c r="W2359" s="5" t="s">
        <v>207</v>
      </c>
      <c r="X2359" s="5" t="s">
        <v>255</v>
      </c>
      <c r="Y2359" s="11" t="s">
        <v>2632</v>
      </c>
      <c r="Z2359" s="11" t="s">
        <v>244</v>
      </c>
      <c r="AA2359" s="11" t="s">
        <v>175</v>
      </c>
      <c r="AB2359" s="5" t="s">
        <v>245</v>
      </c>
      <c r="AC2359" s="5" t="s">
        <v>246</v>
      </c>
      <c r="AD2359" s="11" t="s">
        <v>5816</v>
      </c>
      <c r="AE2359" s="23" t="n">
        <v>0.3</v>
      </c>
      <c r="AF2359" s="23" t="n">
        <v>0</v>
      </c>
      <c r="AG2359" s="23" t="n">
        <v>0.67</v>
      </c>
      <c r="AH2359" s="23" t="n">
        <v>0.47</v>
      </c>
      <c r="AI2359" s="23" t="n">
        <v>1</v>
      </c>
      <c r="AJ2359" s="23" t="n">
        <v>0.1136</v>
      </c>
      <c r="AK2359" s="23" t="n">
        <v>0.8</v>
      </c>
      <c r="AL2359" s="23" t="n">
        <v>0.3</v>
      </c>
      <c r="AM2359" s="16" t="n">
        <f aca="false">COUNTIFS($D$2:$D$2501,D2359,$G$2:$G$2501,"&gt;"&amp;G2359)+COUNTIFS($D$2:D2359,D2359,$G$2:G2359,G2359)</f>
        <v>119</v>
      </c>
      <c r="AN2359" s="5" t="str">
        <f aca="false">D2359&amp;"|"&amp;AM2359</f>
        <v>語音分析|119</v>
      </c>
    </row>
    <row r="2360" customFormat="false" ht="17.15" hidden="false" customHeight="false" outlineLevel="0" collapsed="false">
      <c r="A2360" s="16" t="n">
        <f aca="false">RANK(G2360,$G$2:$G$2501)+COUNTIF($G$2:G2360,G2360)-1</f>
        <v>2359</v>
      </c>
      <c r="B2360" s="11" t="s">
        <v>5817</v>
      </c>
      <c r="C2360" s="11" t="s">
        <v>461</v>
      </c>
      <c r="D2360" s="5" t="s">
        <v>80</v>
      </c>
      <c r="E2360" s="5" t="s">
        <v>81</v>
      </c>
      <c r="F2360" s="5"/>
      <c r="G2360" s="22" t="n">
        <f aca="false">ROUND(SUM(I2360:P2360),3)</f>
        <v>42.722</v>
      </c>
      <c r="H2360" s="5" t="str">
        <f aca="false">IF(G2360&gt;=評分方法!$C$16,"優先評估",IF(G2360&gt;=評分方法!$C$17,"列入候選",IF(G2360&gt;=評分方法!$C$18,"特定情境","不建議")))</f>
        <v>不建議</v>
      </c>
      <c r="I2360" s="15" t="n">
        <f aca="false">AE2360*評分方法!$C$5</f>
        <v>0.9</v>
      </c>
      <c r="J2360" s="15" t="n">
        <f aca="false">AF2360*評分方法!$C$6</f>
        <v>0</v>
      </c>
      <c r="K2360" s="15" t="n">
        <f aca="false">AG2360*評分方法!$C$7</f>
        <v>15</v>
      </c>
      <c r="L2360" s="15" t="n">
        <f aca="false">AH2360*評分方法!$C$8</f>
        <v>13.05</v>
      </c>
      <c r="M2360" s="15" t="n">
        <f aca="false">AI2360*評分方法!$C$9</f>
        <v>6</v>
      </c>
      <c r="N2360" s="15" t="n">
        <f aca="false">AJ2360*評分方法!$C$10</f>
        <v>2.772</v>
      </c>
      <c r="O2360" s="15" t="n">
        <f aca="false">AK2360*評分方法!$C$11</f>
        <v>5</v>
      </c>
      <c r="P2360" s="15" t="n">
        <f aca="false">AL2360*評分方法!$C$12</f>
        <v>0</v>
      </c>
      <c r="Q2360" s="6" t="n">
        <v>271528</v>
      </c>
      <c r="R2360" s="6" t="n">
        <v>1170340608</v>
      </c>
      <c r="S2360" s="11" t="s">
        <v>254</v>
      </c>
      <c r="T2360" s="11" t="s">
        <v>185</v>
      </c>
      <c r="U2360" s="5" t="s">
        <v>260</v>
      </c>
      <c r="V2360" s="11" t="s">
        <v>333</v>
      </c>
      <c r="W2360" s="5" t="s">
        <v>205</v>
      </c>
      <c r="X2360" s="5" t="s">
        <v>242</v>
      </c>
      <c r="Y2360" s="11" t="s">
        <v>5818</v>
      </c>
      <c r="Z2360" s="11" t="s">
        <v>244</v>
      </c>
      <c r="AA2360" s="11" t="s">
        <v>188</v>
      </c>
      <c r="AB2360" s="5" t="s">
        <v>245</v>
      </c>
      <c r="AC2360" s="5" t="s">
        <v>5819</v>
      </c>
      <c r="AD2360" s="11" t="s">
        <v>5820</v>
      </c>
      <c r="AE2360" s="23" t="n">
        <v>0.03</v>
      </c>
      <c r="AF2360" s="23" t="n">
        <v>0</v>
      </c>
      <c r="AG2360" s="23" t="n">
        <v>1</v>
      </c>
      <c r="AH2360" s="23" t="n">
        <v>0.87</v>
      </c>
      <c r="AI2360" s="23" t="n">
        <v>0.6</v>
      </c>
      <c r="AJ2360" s="23" t="n">
        <v>0.2772</v>
      </c>
      <c r="AK2360" s="23" t="n">
        <v>1</v>
      </c>
      <c r="AL2360" s="23" t="n">
        <v>0</v>
      </c>
      <c r="AM2360" s="16" t="n">
        <f aca="false">COUNTIFS($D$2:$D$2501,D2360,$G$2:$G$2501,"&gt;"&amp;G2360)+COUNTIFS($D$2:D2360,D2360,$G$2:G2360,G2360)</f>
        <v>49</v>
      </c>
      <c r="AN2360" s="5" t="str">
        <f aca="false">D2360&amp;"|"&amp;AM2360</f>
        <v>其他|49</v>
      </c>
    </row>
    <row r="2361" customFormat="false" ht="17.15" hidden="false" customHeight="false" outlineLevel="0" collapsed="false">
      <c r="A2361" s="16" t="n">
        <f aca="false">RANK(G2361,$G$2:$G$2501)+COUNTIF($G$2:G2361,G2361)-1</f>
        <v>2360</v>
      </c>
      <c r="B2361" s="11" t="s">
        <v>5821</v>
      </c>
      <c r="C2361" s="11" t="s">
        <v>1674</v>
      </c>
      <c r="D2361" s="5" t="s">
        <v>80</v>
      </c>
      <c r="E2361" s="5" t="s">
        <v>81</v>
      </c>
      <c r="F2361" s="5"/>
      <c r="G2361" s="22" t="n">
        <f aca="false">ROUND(SUM(I2361:P2361),3)</f>
        <v>42.718</v>
      </c>
      <c r="H2361" s="5" t="str">
        <f aca="false">IF(G2361&gt;=評分方法!$C$16,"優先評估",IF(G2361&gt;=評分方法!$C$17,"列入候選",IF(G2361&gt;=評分方法!$C$18,"特定情境","不建議")))</f>
        <v>不建議</v>
      </c>
      <c r="I2361" s="15" t="n">
        <f aca="false">AE2361*評分方法!$C$5</f>
        <v>6</v>
      </c>
      <c r="J2361" s="15" t="n">
        <f aca="false">AF2361*評分方法!$C$6</f>
        <v>0</v>
      </c>
      <c r="K2361" s="15" t="n">
        <f aca="false">AG2361*評分方法!$C$7</f>
        <v>4.95</v>
      </c>
      <c r="L2361" s="15" t="n">
        <f aca="false">AH2361*評分方法!$C$8</f>
        <v>15</v>
      </c>
      <c r="M2361" s="15" t="n">
        <f aca="false">AI2361*評分方法!$C$9</f>
        <v>10</v>
      </c>
      <c r="N2361" s="15" t="n">
        <f aca="false">AJ2361*評分方法!$C$10</f>
        <v>1.268</v>
      </c>
      <c r="O2361" s="15" t="n">
        <f aca="false">AK2361*評分方法!$C$11</f>
        <v>4</v>
      </c>
      <c r="P2361" s="15" t="n">
        <f aca="false">AL2361*評分方法!$C$12</f>
        <v>1.5</v>
      </c>
      <c r="Q2361" s="6" t="n">
        <v>165416</v>
      </c>
      <c r="R2361" s="6" t="n">
        <v>4924000</v>
      </c>
      <c r="S2361" s="11" t="s">
        <v>238</v>
      </c>
      <c r="T2361" s="11" t="s">
        <v>2029</v>
      </c>
      <c r="U2361" s="5" t="s">
        <v>240</v>
      </c>
      <c r="V2361" s="11" t="s">
        <v>324</v>
      </c>
      <c r="W2361" s="5" t="s">
        <v>334</v>
      </c>
      <c r="X2361" s="5" t="s">
        <v>255</v>
      </c>
      <c r="Y2361" s="5"/>
      <c r="Z2361" s="5"/>
      <c r="AA2361" s="5"/>
      <c r="AB2361" s="5" t="s">
        <v>255</v>
      </c>
      <c r="AC2361" s="5"/>
      <c r="AD2361" s="11" t="s">
        <v>5822</v>
      </c>
      <c r="AE2361" s="23" t="n">
        <v>0.2</v>
      </c>
      <c r="AF2361" s="23" t="n">
        <v>0</v>
      </c>
      <c r="AG2361" s="23" t="n">
        <v>0.33</v>
      </c>
      <c r="AH2361" s="23" t="n">
        <v>1</v>
      </c>
      <c r="AI2361" s="23" t="n">
        <v>1</v>
      </c>
      <c r="AJ2361" s="23" t="n">
        <v>0.1268</v>
      </c>
      <c r="AK2361" s="23" t="n">
        <v>0.8</v>
      </c>
      <c r="AL2361" s="23" t="n">
        <v>0.3</v>
      </c>
      <c r="AM2361" s="16" t="n">
        <f aca="false">COUNTIFS($D$2:$D$2501,D2361,$G$2:$G$2501,"&gt;"&amp;G2361)+COUNTIFS($D$2:D2361,D2361,$G$2:G2361,G2361)</f>
        <v>50</v>
      </c>
      <c r="AN2361" s="5" t="str">
        <f aca="false">D2361&amp;"|"&amp;AM2361</f>
        <v>其他|50</v>
      </c>
    </row>
    <row r="2362" customFormat="false" ht="17.15" hidden="false" customHeight="false" outlineLevel="0" collapsed="false">
      <c r="A2362" s="16" t="n">
        <f aca="false">RANK(G2362,$G$2:$G$2501)+COUNTIF($G$2:G2362,G2362)-1</f>
        <v>2361</v>
      </c>
      <c r="B2362" s="11" t="s">
        <v>5823</v>
      </c>
      <c r="C2362" s="11" t="s">
        <v>5824</v>
      </c>
      <c r="D2362" s="5" t="s">
        <v>74</v>
      </c>
      <c r="E2362" s="5" t="s">
        <v>75</v>
      </c>
      <c r="F2362" s="5"/>
      <c r="G2362" s="22" t="n">
        <f aca="false">ROUND(SUM(I2362:P2362),3)</f>
        <v>42.654</v>
      </c>
      <c r="H2362" s="5" t="str">
        <f aca="false">IF(G2362&gt;=評分方法!$C$16,"優先評估",IF(G2362&gt;=評分方法!$C$17,"列入候選",IF(G2362&gt;=評分方法!$C$18,"特定情境","不建議")))</f>
        <v>不建議</v>
      </c>
      <c r="I2362" s="15" t="n">
        <f aca="false">AE2362*評分方法!$C$5</f>
        <v>4.5</v>
      </c>
      <c r="J2362" s="15" t="n">
        <f aca="false">AF2362*評分方法!$C$6</f>
        <v>0</v>
      </c>
      <c r="K2362" s="15" t="n">
        <f aca="false">AG2362*評分方法!$C$7</f>
        <v>4.95</v>
      </c>
      <c r="L2362" s="15" t="n">
        <f aca="false">AH2362*評分方法!$C$8</f>
        <v>15</v>
      </c>
      <c r="M2362" s="15" t="n">
        <f aca="false">AI2362*評分方法!$C$9</f>
        <v>6</v>
      </c>
      <c r="N2362" s="15" t="n">
        <f aca="false">AJ2362*評分方法!$C$10</f>
        <v>8.204</v>
      </c>
      <c r="O2362" s="15" t="n">
        <f aca="false">AK2362*評分方法!$C$11</f>
        <v>2.5</v>
      </c>
      <c r="P2362" s="15" t="n">
        <f aca="false">AL2362*評分方法!$C$12</f>
        <v>1.5</v>
      </c>
      <c r="Q2362" s="6" t="n">
        <v>1815956</v>
      </c>
      <c r="R2362" s="6" t="n">
        <v>27362002</v>
      </c>
      <c r="S2362" s="11" t="s">
        <v>238</v>
      </c>
      <c r="T2362" s="11" t="s">
        <v>185</v>
      </c>
      <c r="U2362" s="5" t="s">
        <v>260</v>
      </c>
      <c r="V2362" s="11" t="s">
        <v>288</v>
      </c>
      <c r="W2362" s="5" t="s">
        <v>334</v>
      </c>
      <c r="X2362" s="5" t="s">
        <v>255</v>
      </c>
      <c r="Y2362" s="5"/>
      <c r="Z2362" s="5"/>
      <c r="AA2362" s="11" t="s">
        <v>183</v>
      </c>
      <c r="AB2362" s="5" t="s">
        <v>245</v>
      </c>
      <c r="AC2362" s="5" t="s">
        <v>262</v>
      </c>
      <c r="AD2362" s="11" t="s">
        <v>5825</v>
      </c>
      <c r="AE2362" s="23" t="n">
        <v>0.15</v>
      </c>
      <c r="AF2362" s="23" t="n">
        <v>0</v>
      </c>
      <c r="AG2362" s="23" t="n">
        <v>0.33</v>
      </c>
      <c r="AH2362" s="23" t="n">
        <v>1</v>
      </c>
      <c r="AI2362" s="23" t="n">
        <v>0.6</v>
      </c>
      <c r="AJ2362" s="23" t="n">
        <v>0.8204</v>
      </c>
      <c r="AK2362" s="23" t="n">
        <v>0.5</v>
      </c>
      <c r="AL2362" s="23" t="n">
        <v>0.3</v>
      </c>
      <c r="AM2362" s="16" t="n">
        <f aca="false">COUNTIFS($D$2:$D$2501,D2362,$G$2:$G$2501,"&gt;"&amp;G2362)+COUNTIFS($D$2:D2362,D2362,$G$2:G2362,G2362)</f>
        <v>328</v>
      </c>
      <c r="AN2362" s="5" t="str">
        <f aca="false">D2362&amp;"|"&amp;AM2362</f>
        <v>文件與影像辨識|328</v>
      </c>
    </row>
    <row r="2363" customFormat="false" ht="17.15" hidden="false" customHeight="false" outlineLevel="0" collapsed="false">
      <c r="A2363" s="16" t="n">
        <f aca="false">RANK(G2363,$G$2:$G$2501)+COUNTIF($G$2:G2363,G2363)-1</f>
        <v>2362</v>
      </c>
      <c r="B2363" s="11" t="s">
        <v>5826</v>
      </c>
      <c r="C2363" s="11" t="s">
        <v>5827</v>
      </c>
      <c r="D2363" s="5" t="s">
        <v>80</v>
      </c>
      <c r="E2363" s="5" t="s">
        <v>81</v>
      </c>
      <c r="F2363" s="5"/>
      <c r="G2363" s="22" t="n">
        <f aca="false">ROUND(SUM(I2363:P2363),3)</f>
        <v>42.544</v>
      </c>
      <c r="H2363" s="5" t="str">
        <f aca="false">IF(G2363&gt;=評分方法!$C$16,"優先評估",IF(G2363&gt;=評分方法!$C$17,"列入候選",IF(G2363&gt;=評分方法!$C$18,"特定情境","不建議")))</f>
        <v>不建議</v>
      </c>
      <c r="I2363" s="15" t="n">
        <f aca="false">AE2363*評分方法!$C$5</f>
        <v>6</v>
      </c>
      <c r="J2363" s="15" t="n">
        <f aca="false">AF2363*評分方法!$C$6</f>
        <v>0</v>
      </c>
      <c r="K2363" s="15" t="n">
        <f aca="false">AG2363*評分方法!$C$7</f>
        <v>4.95</v>
      </c>
      <c r="L2363" s="15" t="n">
        <f aca="false">AH2363*評分方法!$C$8</f>
        <v>7.05</v>
      </c>
      <c r="M2363" s="15" t="n">
        <f aca="false">AI2363*評分方法!$C$9</f>
        <v>10</v>
      </c>
      <c r="N2363" s="15" t="n">
        <f aca="false">AJ2363*評分方法!$C$10</f>
        <v>8.544</v>
      </c>
      <c r="O2363" s="15" t="n">
        <f aca="false">AK2363*評分方法!$C$11</f>
        <v>1</v>
      </c>
      <c r="P2363" s="15" t="n">
        <f aca="false">AL2363*評分方法!$C$12</f>
        <v>5</v>
      </c>
      <c r="Q2363" s="6" t="n">
        <v>2375089</v>
      </c>
      <c r="R2363" s="6"/>
      <c r="S2363" s="5" t="s">
        <v>255</v>
      </c>
      <c r="T2363" s="11" t="s">
        <v>239</v>
      </c>
      <c r="U2363" s="5" t="s">
        <v>240</v>
      </c>
      <c r="V2363" s="11" t="s">
        <v>5828</v>
      </c>
      <c r="W2363" s="5" t="s">
        <v>334</v>
      </c>
      <c r="X2363" s="5" t="s">
        <v>284</v>
      </c>
      <c r="Y2363" s="5"/>
      <c r="Z2363" s="5"/>
      <c r="AA2363" s="5"/>
      <c r="AB2363" s="5" t="s">
        <v>255</v>
      </c>
      <c r="AC2363" s="5"/>
      <c r="AD2363" s="11" t="s">
        <v>5829</v>
      </c>
      <c r="AE2363" s="23" t="n">
        <v>0.2</v>
      </c>
      <c r="AF2363" s="23" t="n">
        <v>0</v>
      </c>
      <c r="AG2363" s="23" t="n">
        <v>0.33</v>
      </c>
      <c r="AH2363" s="23" t="n">
        <v>0.47</v>
      </c>
      <c r="AI2363" s="23" t="n">
        <v>1</v>
      </c>
      <c r="AJ2363" s="23" t="n">
        <v>0.8544</v>
      </c>
      <c r="AK2363" s="23" t="n">
        <v>0.2</v>
      </c>
      <c r="AL2363" s="23" t="n">
        <v>1</v>
      </c>
      <c r="AM2363" s="16" t="n">
        <f aca="false">COUNTIFS($D$2:$D$2501,D2363,$G$2:$G$2501,"&gt;"&amp;G2363)+COUNTIFS($D$2:D2363,D2363,$G$2:G2363,G2363)</f>
        <v>51</v>
      </c>
      <c r="AN2363" s="5" t="str">
        <f aca="false">D2363&amp;"|"&amp;AM2363</f>
        <v>其他|51</v>
      </c>
    </row>
    <row r="2364" customFormat="false" ht="17.15" hidden="false" customHeight="false" outlineLevel="0" collapsed="false">
      <c r="A2364" s="16" t="n">
        <f aca="false">RANK(G2364,$G$2:$G$2501)+COUNTIF($G$2:G2364,G2364)-1</f>
        <v>2363</v>
      </c>
      <c r="B2364" s="11" t="s">
        <v>5830</v>
      </c>
      <c r="C2364" s="11" t="s">
        <v>1677</v>
      </c>
      <c r="D2364" s="5" t="s">
        <v>74</v>
      </c>
      <c r="E2364" s="5" t="s">
        <v>75</v>
      </c>
      <c r="F2364" s="5"/>
      <c r="G2364" s="22" t="n">
        <f aca="false">ROUND(SUM(I2364:P2364),3)</f>
        <v>42.356</v>
      </c>
      <c r="H2364" s="5" t="str">
        <f aca="false">IF(G2364&gt;=評分方法!$C$16,"優先評估",IF(G2364&gt;=評分方法!$C$17,"列入候選",IF(G2364&gt;=評分方法!$C$18,"特定情境","不建議")))</f>
        <v>不建議</v>
      </c>
      <c r="I2364" s="15" t="n">
        <f aca="false">AE2364*評分方法!$C$5</f>
        <v>12</v>
      </c>
      <c r="J2364" s="15" t="n">
        <f aca="false">AF2364*評分方法!$C$6</f>
        <v>0</v>
      </c>
      <c r="K2364" s="15" t="n">
        <f aca="false">AG2364*評分方法!$C$7</f>
        <v>10.05</v>
      </c>
      <c r="L2364" s="15" t="n">
        <f aca="false">AH2364*評分方法!$C$8</f>
        <v>7.05</v>
      </c>
      <c r="M2364" s="15" t="n">
        <f aca="false">AI2364*評分方法!$C$9</f>
        <v>2</v>
      </c>
      <c r="N2364" s="15" t="n">
        <f aca="false">AJ2364*評分方法!$C$10</f>
        <v>7.256</v>
      </c>
      <c r="O2364" s="15" t="n">
        <f aca="false">AK2364*評分方法!$C$11</f>
        <v>2.5</v>
      </c>
      <c r="P2364" s="15" t="n">
        <f aca="false">AL2364*評分方法!$C$12</f>
        <v>1.5</v>
      </c>
      <c r="Q2364" s="6" t="n">
        <v>1023358</v>
      </c>
      <c r="R2364" s="6"/>
      <c r="S2364" s="5" t="s">
        <v>255</v>
      </c>
      <c r="T2364" s="5"/>
      <c r="U2364" s="5" t="s">
        <v>375</v>
      </c>
      <c r="V2364" s="11" t="s">
        <v>514</v>
      </c>
      <c r="W2364" s="5" t="s">
        <v>207</v>
      </c>
      <c r="X2364" s="5" t="s">
        <v>255</v>
      </c>
      <c r="Y2364" s="11" t="s">
        <v>5831</v>
      </c>
      <c r="Z2364" s="11" t="s">
        <v>244</v>
      </c>
      <c r="AA2364" s="11" t="s">
        <v>167</v>
      </c>
      <c r="AB2364" s="5" t="s">
        <v>245</v>
      </c>
      <c r="AC2364" s="5" t="s">
        <v>464</v>
      </c>
      <c r="AD2364" s="11" t="s">
        <v>5832</v>
      </c>
      <c r="AE2364" s="23" t="n">
        <v>0.4</v>
      </c>
      <c r="AF2364" s="23" t="n">
        <v>0</v>
      </c>
      <c r="AG2364" s="23" t="n">
        <v>0.67</v>
      </c>
      <c r="AH2364" s="23" t="n">
        <v>0.47</v>
      </c>
      <c r="AI2364" s="23" t="n">
        <v>0.2</v>
      </c>
      <c r="AJ2364" s="23" t="n">
        <v>0.7256</v>
      </c>
      <c r="AK2364" s="23" t="n">
        <v>0.5</v>
      </c>
      <c r="AL2364" s="23" t="n">
        <v>0.3</v>
      </c>
      <c r="AM2364" s="16" t="n">
        <f aca="false">COUNTIFS($D$2:$D$2501,D2364,$G$2:$G$2501,"&gt;"&amp;G2364)+COUNTIFS($D$2:D2364,D2364,$G$2:G2364,G2364)</f>
        <v>329</v>
      </c>
      <c r="AN2364" s="5" t="str">
        <f aca="false">D2364&amp;"|"&amp;AM2364</f>
        <v>文件與影像辨識|329</v>
      </c>
    </row>
    <row r="2365" customFormat="false" ht="17.15" hidden="false" customHeight="false" outlineLevel="0" collapsed="false">
      <c r="A2365" s="16" t="n">
        <f aca="false">RANK(G2365,$G$2:$G$2501)+COUNTIF($G$2:G2365,G2365)-1</f>
        <v>2364</v>
      </c>
      <c r="B2365" s="11" t="s">
        <v>5833</v>
      </c>
      <c r="C2365" s="11" t="s">
        <v>5834</v>
      </c>
      <c r="D2365" s="5" t="s">
        <v>78</v>
      </c>
      <c r="E2365" s="5" t="s">
        <v>79</v>
      </c>
      <c r="F2365" s="5"/>
      <c r="G2365" s="22" t="n">
        <f aca="false">ROUND(SUM(I2365:P2365),3)</f>
        <v>42.33</v>
      </c>
      <c r="H2365" s="5" t="str">
        <f aca="false">IF(G2365&gt;=評分方法!$C$16,"優先評估",IF(G2365&gt;=評分方法!$C$17,"列入候選",IF(G2365&gt;=評分方法!$C$18,"特定情境","不建議")))</f>
        <v>不建議</v>
      </c>
      <c r="I2365" s="15" t="n">
        <f aca="false">AE2365*評分方法!$C$5</f>
        <v>9</v>
      </c>
      <c r="J2365" s="15" t="n">
        <f aca="false">AF2365*評分方法!$C$6</f>
        <v>0</v>
      </c>
      <c r="K2365" s="15" t="n">
        <f aca="false">AG2365*評分方法!$C$7</f>
        <v>4.95</v>
      </c>
      <c r="L2365" s="15" t="n">
        <f aca="false">AH2365*評分方法!$C$8</f>
        <v>15</v>
      </c>
      <c r="M2365" s="15" t="n">
        <f aca="false">AI2365*評分方法!$C$9</f>
        <v>10</v>
      </c>
      <c r="N2365" s="15" t="n">
        <f aca="false">AJ2365*評分方法!$C$10</f>
        <v>2.38</v>
      </c>
      <c r="O2365" s="15" t="n">
        <f aca="false">AK2365*評分方法!$C$11</f>
        <v>1</v>
      </c>
      <c r="P2365" s="15" t="n">
        <f aca="false">AL2365*評分方法!$C$12</f>
        <v>0</v>
      </c>
      <c r="Q2365" s="6" t="n">
        <v>239778</v>
      </c>
      <c r="R2365" s="6" t="n">
        <v>241734912</v>
      </c>
      <c r="S2365" s="11" t="s">
        <v>238</v>
      </c>
      <c r="T2365" s="11" t="s">
        <v>278</v>
      </c>
      <c r="U2365" s="5" t="s">
        <v>240</v>
      </c>
      <c r="V2365" s="11" t="s">
        <v>261</v>
      </c>
      <c r="W2365" s="5" t="s">
        <v>334</v>
      </c>
      <c r="X2365" s="5" t="s">
        <v>242</v>
      </c>
      <c r="Y2365" s="11" t="s">
        <v>2632</v>
      </c>
      <c r="Z2365" s="11" t="s">
        <v>270</v>
      </c>
      <c r="AA2365" s="11" t="s">
        <v>175</v>
      </c>
      <c r="AB2365" s="5" t="s">
        <v>245</v>
      </c>
      <c r="AC2365" s="5"/>
      <c r="AD2365" s="11" t="s">
        <v>5835</v>
      </c>
      <c r="AE2365" s="23" t="n">
        <v>0.3</v>
      </c>
      <c r="AF2365" s="23" t="n">
        <v>0</v>
      </c>
      <c r="AG2365" s="23" t="n">
        <v>0.33</v>
      </c>
      <c r="AH2365" s="23" t="n">
        <v>1</v>
      </c>
      <c r="AI2365" s="23" t="n">
        <v>1</v>
      </c>
      <c r="AJ2365" s="23" t="n">
        <v>0.238</v>
      </c>
      <c r="AK2365" s="23" t="n">
        <v>0.2</v>
      </c>
      <c r="AL2365" s="23" t="n">
        <v>0</v>
      </c>
      <c r="AM2365" s="16" t="n">
        <f aca="false">COUNTIFS($D$2:$D$2501,D2365,$G$2:$G$2501,"&gt;"&amp;G2365)+COUNTIFS($D$2:D2365,D2365,$G$2:G2365,G2365)</f>
        <v>120</v>
      </c>
      <c r="AN2365" s="5" t="str">
        <f aca="false">D2365&amp;"|"&amp;AM2365</f>
        <v>語音分析|120</v>
      </c>
    </row>
    <row r="2366" customFormat="false" ht="17.15" hidden="false" customHeight="false" outlineLevel="0" collapsed="false">
      <c r="A2366" s="16" t="n">
        <f aca="false">RANK(G2366,$G$2:$G$2501)+COUNTIF($G$2:G2366,G2366)-1</f>
        <v>2365</v>
      </c>
      <c r="B2366" s="11" t="s">
        <v>5836</v>
      </c>
      <c r="C2366" s="11" t="s">
        <v>5837</v>
      </c>
      <c r="D2366" s="5" t="s">
        <v>56</v>
      </c>
      <c r="E2366" s="5" t="s">
        <v>57</v>
      </c>
      <c r="F2366" s="5"/>
      <c r="G2366" s="22" t="n">
        <f aca="false">ROUND(SUM(I2366:P2366),3)</f>
        <v>42.324</v>
      </c>
      <c r="H2366" s="5" t="str">
        <f aca="false">IF(G2366&gt;=評分方法!$C$16,"優先評估",IF(G2366&gt;=評分方法!$C$17,"列入候選",IF(G2366&gt;=評分方法!$C$18,"特定情境","不建議")))</f>
        <v>不建議</v>
      </c>
      <c r="I2366" s="15" t="n">
        <f aca="false">AE2366*評分方法!$C$5</f>
        <v>15.3</v>
      </c>
      <c r="J2366" s="15" t="n">
        <f aca="false">AF2366*評分方法!$C$6</f>
        <v>0</v>
      </c>
      <c r="K2366" s="15" t="n">
        <f aca="false">AG2366*評分方法!$C$7</f>
        <v>4.95</v>
      </c>
      <c r="L2366" s="15" t="n">
        <f aca="false">AH2366*評分方法!$C$8</f>
        <v>13.05</v>
      </c>
      <c r="M2366" s="15" t="n">
        <f aca="false">AI2366*評分方法!$C$9</f>
        <v>6</v>
      </c>
      <c r="N2366" s="15" t="n">
        <f aca="false">AJ2366*評分方法!$C$10</f>
        <v>0.524</v>
      </c>
      <c r="O2366" s="15" t="n">
        <f aca="false">AK2366*評分方法!$C$11</f>
        <v>2.5</v>
      </c>
      <c r="P2366" s="15" t="n">
        <f aca="false">AL2366*評分方法!$C$12</f>
        <v>0</v>
      </c>
      <c r="Q2366" s="6" t="n">
        <v>133443</v>
      </c>
      <c r="R2366" s="6" t="n">
        <v>8030261248</v>
      </c>
      <c r="S2366" s="11" t="s">
        <v>254</v>
      </c>
      <c r="T2366" s="11" t="s">
        <v>259</v>
      </c>
      <c r="U2366" s="5" t="s">
        <v>260</v>
      </c>
      <c r="V2366" s="11" t="s">
        <v>261</v>
      </c>
      <c r="W2366" s="5" t="s">
        <v>334</v>
      </c>
      <c r="X2366" s="5" t="s">
        <v>242</v>
      </c>
      <c r="Y2366" s="5"/>
      <c r="Z2366" s="5"/>
      <c r="AA2366" s="11" t="s">
        <v>155</v>
      </c>
      <c r="AB2366" s="5" t="s">
        <v>245</v>
      </c>
      <c r="AC2366" s="5" t="s">
        <v>4841</v>
      </c>
      <c r="AD2366" s="11" t="s">
        <v>5838</v>
      </c>
      <c r="AE2366" s="23" t="n">
        <v>0.51</v>
      </c>
      <c r="AF2366" s="23" t="n">
        <v>0</v>
      </c>
      <c r="AG2366" s="23" t="n">
        <v>0.33</v>
      </c>
      <c r="AH2366" s="23" t="n">
        <v>0.87</v>
      </c>
      <c r="AI2366" s="23" t="n">
        <v>0.6</v>
      </c>
      <c r="AJ2366" s="23" t="n">
        <v>0.0524</v>
      </c>
      <c r="AK2366" s="23" t="n">
        <v>0.5</v>
      </c>
      <c r="AL2366" s="23" t="n">
        <v>0</v>
      </c>
      <c r="AM2366" s="16" t="n">
        <f aca="false">COUNTIFS($D$2:$D$2501,D2366,$G$2:$G$2501,"&gt;"&amp;G2366)+COUNTIFS($D$2:D2366,D2366,$G$2:G2366,G2366)</f>
        <v>976</v>
      </c>
      <c r="AN2366" s="5" t="str">
        <f aca="false">D2366&amp;"|"&amp;AM2366</f>
        <v>分析與報告生成|976</v>
      </c>
    </row>
    <row r="2367" customFormat="false" ht="17.15" hidden="false" customHeight="false" outlineLevel="0" collapsed="false">
      <c r="A2367" s="16" t="n">
        <f aca="false">RANK(G2367,$G$2:$G$2501)+COUNTIF($G$2:G2367,G2367)-1</f>
        <v>2366</v>
      </c>
      <c r="B2367" s="11" t="s">
        <v>5839</v>
      </c>
      <c r="C2367" s="11" t="s">
        <v>5840</v>
      </c>
      <c r="D2367" s="5" t="s">
        <v>78</v>
      </c>
      <c r="E2367" s="5" t="s">
        <v>79</v>
      </c>
      <c r="F2367" s="5"/>
      <c r="G2367" s="22" t="n">
        <f aca="false">ROUND(SUM(I2367:P2367),3)</f>
        <v>42.31</v>
      </c>
      <c r="H2367" s="5" t="str">
        <f aca="false">IF(G2367&gt;=評分方法!$C$16,"優先評估",IF(G2367&gt;=評分方法!$C$17,"列入候選",IF(G2367&gt;=評分方法!$C$18,"特定情境","不建議")))</f>
        <v>不建議</v>
      </c>
      <c r="I2367" s="15" t="n">
        <f aca="false">AE2367*評分方法!$C$5</f>
        <v>6.3</v>
      </c>
      <c r="J2367" s="15" t="n">
        <f aca="false">AF2367*評分方法!$C$6</f>
        <v>0</v>
      </c>
      <c r="K2367" s="15" t="n">
        <f aca="false">AG2367*評分方法!$C$7</f>
        <v>4.95</v>
      </c>
      <c r="L2367" s="15" t="n">
        <f aca="false">AH2367*評分方法!$C$8</f>
        <v>15</v>
      </c>
      <c r="M2367" s="15" t="n">
        <f aca="false">AI2367*評分方法!$C$9</f>
        <v>10</v>
      </c>
      <c r="N2367" s="15" t="n">
        <f aca="false">AJ2367*評分方法!$C$10</f>
        <v>2.06</v>
      </c>
      <c r="O2367" s="15" t="n">
        <f aca="false">AK2367*評分方法!$C$11</f>
        <v>4</v>
      </c>
      <c r="P2367" s="15" t="n">
        <f aca="false">AL2367*評分方法!$C$12</f>
        <v>0</v>
      </c>
      <c r="Q2367" s="6" t="n">
        <v>215035</v>
      </c>
      <c r="R2367" s="6" t="n">
        <v>94371712</v>
      </c>
      <c r="S2367" s="11" t="s">
        <v>238</v>
      </c>
      <c r="T2367" s="11" t="s">
        <v>239</v>
      </c>
      <c r="U2367" s="5" t="s">
        <v>240</v>
      </c>
      <c r="V2367" s="11" t="s">
        <v>324</v>
      </c>
      <c r="W2367" s="5" t="s">
        <v>334</v>
      </c>
      <c r="X2367" s="5" t="s">
        <v>242</v>
      </c>
      <c r="Y2367" s="5"/>
      <c r="Z2367" s="5"/>
      <c r="AA2367" s="11" t="s">
        <v>174</v>
      </c>
      <c r="AB2367" s="5" t="s">
        <v>245</v>
      </c>
      <c r="AC2367" s="5" t="s">
        <v>1463</v>
      </c>
      <c r="AD2367" s="11" t="s">
        <v>5841</v>
      </c>
      <c r="AE2367" s="23" t="n">
        <v>0.21</v>
      </c>
      <c r="AF2367" s="23" t="n">
        <v>0</v>
      </c>
      <c r="AG2367" s="23" t="n">
        <v>0.33</v>
      </c>
      <c r="AH2367" s="23" t="n">
        <v>1</v>
      </c>
      <c r="AI2367" s="23" t="n">
        <v>1</v>
      </c>
      <c r="AJ2367" s="23" t="n">
        <v>0.206</v>
      </c>
      <c r="AK2367" s="23" t="n">
        <v>0.8</v>
      </c>
      <c r="AL2367" s="23" t="n">
        <v>0</v>
      </c>
      <c r="AM2367" s="16" t="n">
        <f aca="false">COUNTIFS($D$2:$D$2501,D2367,$G$2:$G$2501,"&gt;"&amp;G2367)+COUNTIFS($D$2:D2367,D2367,$G$2:G2367,G2367)</f>
        <v>121</v>
      </c>
      <c r="AN2367" s="5" t="str">
        <f aca="false">D2367&amp;"|"&amp;AM2367</f>
        <v>語音分析|121</v>
      </c>
    </row>
    <row r="2368" customFormat="false" ht="17.15" hidden="false" customHeight="false" outlineLevel="0" collapsed="false">
      <c r="A2368" s="16" t="n">
        <f aca="false">RANK(G2368,$G$2:$G$2501)+COUNTIF($G$2:G2368,G2368)-1</f>
        <v>2367</v>
      </c>
      <c r="B2368" s="11" t="s">
        <v>5842</v>
      </c>
      <c r="C2368" s="11" t="s">
        <v>5843</v>
      </c>
      <c r="D2368" s="5" t="s">
        <v>58</v>
      </c>
      <c r="E2368" s="5" t="s">
        <v>59</v>
      </c>
      <c r="F2368" s="5"/>
      <c r="G2368" s="22" t="n">
        <f aca="false">ROUND(SUM(I2368:P2368),3)</f>
        <v>42.27</v>
      </c>
      <c r="H2368" s="5" t="str">
        <f aca="false">IF(G2368&gt;=評分方法!$C$16,"優先評估",IF(G2368&gt;=評分方法!$C$17,"列入候選",IF(G2368&gt;=評分方法!$C$18,"特定情境","不建議")))</f>
        <v>不建議</v>
      </c>
      <c r="I2368" s="15" t="n">
        <f aca="false">AE2368*評分方法!$C$5</f>
        <v>17.1</v>
      </c>
      <c r="J2368" s="15" t="n">
        <f aca="false">AF2368*評分方法!$C$6</f>
        <v>0</v>
      </c>
      <c r="K2368" s="15" t="n">
        <f aca="false">AG2368*評分方法!$C$7</f>
        <v>4.95</v>
      </c>
      <c r="L2368" s="15" t="n">
        <f aca="false">AH2368*評分方法!$C$8</f>
        <v>15</v>
      </c>
      <c r="M2368" s="15" t="n">
        <f aca="false">AI2368*評分方法!$C$9</f>
        <v>2</v>
      </c>
      <c r="N2368" s="15" t="n">
        <f aca="false">AJ2368*評分方法!$C$10</f>
        <v>2.22</v>
      </c>
      <c r="O2368" s="15" t="n">
        <f aca="false">AK2368*評分方法!$C$11</f>
        <v>1</v>
      </c>
      <c r="P2368" s="15" t="n">
        <f aca="false">AL2368*評分方法!$C$12</f>
        <v>0</v>
      </c>
      <c r="Q2368" s="6" t="n">
        <v>226422</v>
      </c>
      <c r="R2368" s="6" t="n">
        <v>558850571</v>
      </c>
      <c r="S2368" s="11" t="s">
        <v>238</v>
      </c>
      <c r="T2368" s="5"/>
      <c r="U2368" s="5" t="s">
        <v>375</v>
      </c>
      <c r="V2368" s="11" t="s">
        <v>324</v>
      </c>
      <c r="W2368" s="5" t="s">
        <v>334</v>
      </c>
      <c r="X2368" s="5" t="s">
        <v>242</v>
      </c>
      <c r="Y2368" s="5"/>
      <c r="Z2368" s="5"/>
      <c r="AA2368" s="11" t="s">
        <v>150</v>
      </c>
      <c r="AB2368" s="5" t="s">
        <v>245</v>
      </c>
      <c r="AC2368" s="5" t="s">
        <v>4841</v>
      </c>
      <c r="AD2368" s="11" t="s">
        <v>5844</v>
      </c>
      <c r="AE2368" s="23" t="n">
        <v>0.57</v>
      </c>
      <c r="AF2368" s="23" t="n">
        <v>0</v>
      </c>
      <c r="AG2368" s="23" t="n">
        <v>0.33</v>
      </c>
      <c r="AH2368" s="23" t="n">
        <v>1</v>
      </c>
      <c r="AI2368" s="23" t="n">
        <v>0.2</v>
      </c>
      <c r="AJ2368" s="23" t="n">
        <v>0.222</v>
      </c>
      <c r="AK2368" s="23" t="n">
        <v>0.2</v>
      </c>
      <c r="AL2368" s="23" t="n">
        <v>0</v>
      </c>
      <c r="AM2368" s="16" t="n">
        <f aca="false">COUNTIFS($D$2:$D$2501,D2368,$G$2:$G$2501,"&gt;"&amp;G2368)+COUNTIFS($D$2:D2368,D2368,$G$2:G2368,G2368)</f>
        <v>356</v>
      </c>
      <c r="AN2368" s="5" t="str">
        <f aca="false">D2368&amp;"|"&amp;AM2368</f>
        <v>實體擷取與去識別化|356</v>
      </c>
    </row>
    <row r="2369" customFormat="false" ht="17.15" hidden="false" customHeight="false" outlineLevel="0" collapsed="false">
      <c r="A2369" s="16" t="n">
        <f aca="false">RANK(G2369,$G$2:$G$2501)+COUNTIF($G$2:G2369,G2369)-1</f>
        <v>2368</v>
      </c>
      <c r="B2369" s="11" t="s">
        <v>5845</v>
      </c>
      <c r="C2369" s="11" t="s">
        <v>5846</v>
      </c>
      <c r="D2369" s="5" t="s">
        <v>74</v>
      </c>
      <c r="E2369" s="5" t="s">
        <v>75</v>
      </c>
      <c r="F2369" s="5"/>
      <c r="G2369" s="22" t="n">
        <f aca="false">ROUND(SUM(I2369:P2369),3)</f>
        <v>42.066</v>
      </c>
      <c r="H2369" s="5" t="str">
        <f aca="false">IF(G2369&gt;=評分方法!$C$16,"優先評估",IF(G2369&gt;=評分方法!$C$17,"列入候選",IF(G2369&gt;=評分方法!$C$18,"特定情境","不建議")))</f>
        <v>不建議</v>
      </c>
      <c r="I2369" s="15" t="n">
        <f aca="false">AE2369*評分方法!$C$5</f>
        <v>4.5</v>
      </c>
      <c r="J2369" s="15" t="n">
        <f aca="false">AF2369*評分方法!$C$6</f>
        <v>0</v>
      </c>
      <c r="K2369" s="15" t="n">
        <f aca="false">AG2369*評分方法!$C$7</f>
        <v>4.95</v>
      </c>
      <c r="L2369" s="15" t="n">
        <f aca="false">AH2369*評分方法!$C$8</f>
        <v>15</v>
      </c>
      <c r="M2369" s="15" t="n">
        <f aca="false">AI2369*評分方法!$C$9</f>
        <v>10</v>
      </c>
      <c r="N2369" s="15" t="n">
        <f aca="false">AJ2369*評分方法!$C$10</f>
        <v>3.616</v>
      </c>
      <c r="O2369" s="15" t="n">
        <f aca="false">AK2369*評分方法!$C$11</f>
        <v>2.5</v>
      </c>
      <c r="P2369" s="15" t="n">
        <f aca="false">AL2369*評分方法!$C$12</f>
        <v>1.5</v>
      </c>
      <c r="Q2369" s="6" t="n">
        <v>366297</v>
      </c>
      <c r="R2369" s="6" t="n">
        <v>316695824</v>
      </c>
      <c r="S2369" s="11" t="s">
        <v>238</v>
      </c>
      <c r="T2369" s="11" t="s">
        <v>278</v>
      </c>
      <c r="U2369" s="5" t="s">
        <v>240</v>
      </c>
      <c r="V2369" s="11" t="s">
        <v>324</v>
      </c>
      <c r="W2369" s="5" t="s">
        <v>334</v>
      </c>
      <c r="X2369" s="5" t="s">
        <v>255</v>
      </c>
      <c r="Y2369" s="5"/>
      <c r="Z2369" s="5"/>
      <c r="AA2369" s="11" t="s">
        <v>183</v>
      </c>
      <c r="AB2369" s="5" t="s">
        <v>245</v>
      </c>
      <c r="AC2369" s="5"/>
      <c r="AD2369" s="11" t="s">
        <v>5847</v>
      </c>
      <c r="AE2369" s="23" t="n">
        <v>0.15</v>
      </c>
      <c r="AF2369" s="23" t="n">
        <v>0</v>
      </c>
      <c r="AG2369" s="23" t="n">
        <v>0.33</v>
      </c>
      <c r="AH2369" s="23" t="n">
        <v>1</v>
      </c>
      <c r="AI2369" s="23" t="n">
        <v>1</v>
      </c>
      <c r="AJ2369" s="23" t="n">
        <v>0.3616</v>
      </c>
      <c r="AK2369" s="23" t="n">
        <v>0.5</v>
      </c>
      <c r="AL2369" s="23" t="n">
        <v>0.3</v>
      </c>
      <c r="AM2369" s="16" t="n">
        <f aca="false">COUNTIFS($D$2:$D$2501,D2369,$G$2:$G$2501,"&gt;"&amp;G2369)+COUNTIFS($D$2:D2369,D2369,$G$2:G2369,G2369)</f>
        <v>330</v>
      </c>
      <c r="AN2369" s="5" t="str">
        <f aca="false">D2369&amp;"|"&amp;AM2369</f>
        <v>文件與影像辨識|330</v>
      </c>
    </row>
    <row r="2370" customFormat="false" ht="17.15" hidden="false" customHeight="false" outlineLevel="0" collapsed="false">
      <c r="A2370" s="16" t="n">
        <f aca="false">RANK(G2370,$G$2:$G$2501)+COUNTIF($G$2:G2370,G2370)-1</f>
        <v>2369</v>
      </c>
      <c r="B2370" s="11" t="s">
        <v>5848</v>
      </c>
      <c r="C2370" s="11" t="s">
        <v>1950</v>
      </c>
      <c r="D2370" s="5" t="s">
        <v>78</v>
      </c>
      <c r="E2370" s="5" t="s">
        <v>79</v>
      </c>
      <c r="F2370" s="5"/>
      <c r="G2370" s="22" t="n">
        <f aca="false">ROUND(SUM(I2370:P2370),3)</f>
        <v>42.018</v>
      </c>
      <c r="H2370" s="5" t="str">
        <f aca="false">IF(G2370&gt;=評分方法!$C$16,"優先評估",IF(G2370&gt;=評分方法!$C$17,"列入候選",IF(G2370&gt;=評分方法!$C$18,"特定情境","不建議")))</f>
        <v>不建議</v>
      </c>
      <c r="I2370" s="15" t="n">
        <f aca="false">AE2370*評分方法!$C$5</f>
        <v>9</v>
      </c>
      <c r="J2370" s="15" t="n">
        <f aca="false">AF2370*評分方法!$C$6</f>
        <v>0</v>
      </c>
      <c r="K2370" s="15" t="n">
        <f aca="false">AG2370*評分方法!$C$7</f>
        <v>4.95</v>
      </c>
      <c r="L2370" s="15" t="n">
        <f aca="false">AH2370*評分方法!$C$8</f>
        <v>15</v>
      </c>
      <c r="M2370" s="15" t="n">
        <f aca="false">AI2370*評分方法!$C$9</f>
        <v>6</v>
      </c>
      <c r="N2370" s="15" t="n">
        <f aca="false">AJ2370*評分方法!$C$10</f>
        <v>0.568</v>
      </c>
      <c r="O2370" s="15" t="n">
        <f aca="false">AK2370*評分方法!$C$11</f>
        <v>5</v>
      </c>
      <c r="P2370" s="15" t="n">
        <f aca="false">AL2370*評分方法!$C$12</f>
        <v>1.5</v>
      </c>
      <c r="Q2370" s="6" t="n">
        <v>135874</v>
      </c>
      <c r="R2370" s="6" t="n">
        <v>608869857</v>
      </c>
      <c r="S2370" s="11" t="s">
        <v>238</v>
      </c>
      <c r="T2370" s="11" t="s">
        <v>185</v>
      </c>
      <c r="U2370" s="5" t="s">
        <v>260</v>
      </c>
      <c r="V2370" s="11" t="s">
        <v>333</v>
      </c>
      <c r="W2370" s="5" t="s">
        <v>334</v>
      </c>
      <c r="X2370" s="5" t="s">
        <v>255</v>
      </c>
      <c r="Y2370" s="11" t="s">
        <v>5849</v>
      </c>
      <c r="Z2370" s="11" t="s">
        <v>244</v>
      </c>
      <c r="AA2370" s="11" t="s">
        <v>175</v>
      </c>
      <c r="AB2370" s="5" t="s">
        <v>245</v>
      </c>
      <c r="AC2370" s="5" t="s">
        <v>464</v>
      </c>
      <c r="AD2370" s="11" t="s">
        <v>5850</v>
      </c>
      <c r="AE2370" s="23" t="n">
        <v>0.3</v>
      </c>
      <c r="AF2370" s="23" t="n">
        <v>0</v>
      </c>
      <c r="AG2370" s="23" t="n">
        <v>0.33</v>
      </c>
      <c r="AH2370" s="23" t="n">
        <v>1</v>
      </c>
      <c r="AI2370" s="23" t="n">
        <v>0.6</v>
      </c>
      <c r="AJ2370" s="23" t="n">
        <v>0.0568</v>
      </c>
      <c r="AK2370" s="23" t="n">
        <v>1</v>
      </c>
      <c r="AL2370" s="23" t="n">
        <v>0.3</v>
      </c>
      <c r="AM2370" s="16" t="n">
        <f aca="false">COUNTIFS($D$2:$D$2501,D2370,$G$2:$G$2501,"&gt;"&amp;G2370)+COUNTIFS($D$2:D2370,D2370,$G$2:G2370,G2370)</f>
        <v>122</v>
      </c>
      <c r="AN2370" s="5" t="str">
        <f aca="false">D2370&amp;"|"&amp;AM2370</f>
        <v>語音分析|122</v>
      </c>
    </row>
    <row r="2371" customFormat="false" ht="17.15" hidden="false" customHeight="false" outlineLevel="0" collapsed="false">
      <c r="A2371" s="16" t="n">
        <f aca="false">RANK(G2371,$G$2:$G$2501)+COUNTIF($G$2:G2371,G2371)-1</f>
        <v>2370</v>
      </c>
      <c r="B2371" s="11" t="s">
        <v>5851</v>
      </c>
      <c r="C2371" s="11" t="s">
        <v>5852</v>
      </c>
      <c r="D2371" s="5" t="s">
        <v>74</v>
      </c>
      <c r="E2371" s="5" t="s">
        <v>75</v>
      </c>
      <c r="F2371" s="5"/>
      <c r="G2371" s="22" t="n">
        <f aca="false">ROUND(SUM(I2371:P2371),3)</f>
        <v>41.97</v>
      </c>
      <c r="H2371" s="5" t="str">
        <f aca="false">IF(G2371&gt;=評分方法!$C$16,"優先評估",IF(G2371&gt;=評分方法!$C$17,"列入候選",IF(G2371&gt;=評分方法!$C$18,"特定情境","不建議")))</f>
        <v>不建議</v>
      </c>
      <c r="I2371" s="15" t="n">
        <f aca="false">AE2371*評分方法!$C$5</f>
        <v>7.5</v>
      </c>
      <c r="J2371" s="15" t="n">
        <f aca="false">AF2371*評分方法!$C$6</f>
        <v>0</v>
      </c>
      <c r="K2371" s="15" t="n">
        <f aca="false">AG2371*評分方法!$C$7</f>
        <v>4.95</v>
      </c>
      <c r="L2371" s="15" t="n">
        <f aca="false">AH2371*評分方法!$C$8</f>
        <v>15</v>
      </c>
      <c r="M2371" s="15" t="n">
        <f aca="false">AI2371*評分方法!$C$9</f>
        <v>10</v>
      </c>
      <c r="N2371" s="15" t="n">
        <f aca="false">AJ2371*評分方法!$C$10</f>
        <v>0.52</v>
      </c>
      <c r="O2371" s="15" t="n">
        <f aca="false">AK2371*評分方法!$C$11</f>
        <v>2.5</v>
      </c>
      <c r="P2371" s="15" t="n">
        <f aca="false">AL2371*評分方法!$C$12</f>
        <v>1.5</v>
      </c>
      <c r="Q2371" s="6" t="n">
        <v>133348</v>
      </c>
      <c r="R2371" s="6" t="n">
        <v>41145648</v>
      </c>
      <c r="S2371" s="11" t="s">
        <v>238</v>
      </c>
      <c r="T2371" s="11" t="s">
        <v>239</v>
      </c>
      <c r="U2371" s="5" t="s">
        <v>240</v>
      </c>
      <c r="V2371" s="11" t="s">
        <v>261</v>
      </c>
      <c r="W2371" s="5" t="s">
        <v>334</v>
      </c>
      <c r="X2371" s="5" t="s">
        <v>255</v>
      </c>
      <c r="Y2371" s="5"/>
      <c r="Z2371" s="5"/>
      <c r="AA2371" s="11" t="s">
        <v>178</v>
      </c>
      <c r="AB2371" s="5" t="s">
        <v>245</v>
      </c>
      <c r="AC2371" s="5"/>
      <c r="AD2371" s="11" t="s">
        <v>5853</v>
      </c>
      <c r="AE2371" s="23" t="n">
        <v>0.25</v>
      </c>
      <c r="AF2371" s="23" t="n">
        <v>0</v>
      </c>
      <c r="AG2371" s="23" t="n">
        <v>0.33</v>
      </c>
      <c r="AH2371" s="23" t="n">
        <v>1</v>
      </c>
      <c r="AI2371" s="23" t="n">
        <v>1</v>
      </c>
      <c r="AJ2371" s="23" t="n">
        <v>0.052</v>
      </c>
      <c r="AK2371" s="23" t="n">
        <v>0.5</v>
      </c>
      <c r="AL2371" s="23" t="n">
        <v>0.3</v>
      </c>
      <c r="AM2371" s="16" t="n">
        <f aca="false">COUNTIFS($D$2:$D$2501,D2371,$G$2:$G$2501,"&gt;"&amp;G2371)+COUNTIFS($D$2:D2371,D2371,$G$2:G2371,G2371)</f>
        <v>331</v>
      </c>
      <c r="AN2371" s="5" t="str">
        <f aca="false">D2371&amp;"|"&amp;AM2371</f>
        <v>文件與影像辨識|331</v>
      </c>
    </row>
    <row r="2372" customFormat="false" ht="17.15" hidden="false" customHeight="false" outlineLevel="0" collapsed="false">
      <c r="A2372" s="16" t="n">
        <f aca="false">RANK(G2372,$G$2:$G$2501)+COUNTIF($G$2:G2372,G2372)-1</f>
        <v>2371</v>
      </c>
      <c r="B2372" s="11" t="s">
        <v>5854</v>
      </c>
      <c r="C2372" s="11" t="s">
        <v>5855</v>
      </c>
      <c r="D2372" s="5" t="s">
        <v>66</v>
      </c>
      <c r="E2372" s="5" t="s">
        <v>67</v>
      </c>
      <c r="F2372" s="5"/>
      <c r="G2372" s="22" t="n">
        <f aca="false">ROUND(SUM(I2372:P2372),3)</f>
        <v>41.914</v>
      </c>
      <c r="H2372" s="5" t="str">
        <f aca="false">IF(G2372&gt;=評分方法!$C$16,"優先評估",IF(G2372&gt;=評分方法!$C$17,"列入候選",IF(G2372&gt;=評分方法!$C$18,"特定情境","不建議")))</f>
        <v>不建議</v>
      </c>
      <c r="I2372" s="15" t="n">
        <f aca="false">AE2372*評分方法!$C$5</f>
        <v>10.8</v>
      </c>
      <c r="J2372" s="15" t="n">
        <f aca="false">AF2372*評分方法!$C$6</f>
        <v>0</v>
      </c>
      <c r="K2372" s="15" t="n">
        <f aca="false">AG2372*評分方法!$C$7</f>
        <v>4.95</v>
      </c>
      <c r="L2372" s="15" t="n">
        <f aca="false">AH2372*評分方法!$C$8</f>
        <v>15</v>
      </c>
      <c r="M2372" s="15" t="n">
        <f aca="false">AI2372*評分方法!$C$9</f>
        <v>2</v>
      </c>
      <c r="N2372" s="15" t="n">
        <f aca="false">AJ2372*評分方法!$C$10</f>
        <v>8.164</v>
      </c>
      <c r="O2372" s="15" t="n">
        <f aca="false">AK2372*評分方法!$C$11</f>
        <v>1</v>
      </c>
      <c r="P2372" s="15" t="n">
        <f aca="false">AL2372*評分方法!$C$12</f>
        <v>0</v>
      </c>
      <c r="Q2372" s="6" t="n">
        <v>1773525</v>
      </c>
      <c r="R2372" s="6" t="n">
        <v>66955779</v>
      </c>
      <c r="S2372" s="11" t="s">
        <v>238</v>
      </c>
      <c r="T2372" s="5"/>
      <c r="U2372" s="5" t="s">
        <v>375</v>
      </c>
      <c r="V2372" s="11" t="s">
        <v>855</v>
      </c>
      <c r="W2372" s="5" t="s">
        <v>334</v>
      </c>
      <c r="X2372" s="5" t="s">
        <v>242</v>
      </c>
      <c r="Y2372" s="5"/>
      <c r="Z2372" s="5"/>
      <c r="AA2372" s="11" t="s">
        <v>151</v>
      </c>
      <c r="AB2372" s="5" t="s">
        <v>245</v>
      </c>
      <c r="AC2372" s="5" t="s">
        <v>5481</v>
      </c>
      <c r="AD2372" s="11" t="s">
        <v>5856</v>
      </c>
      <c r="AE2372" s="23" t="n">
        <v>0.36</v>
      </c>
      <c r="AF2372" s="23" t="n">
        <v>0</v>
      </c>
      <c r="AG2372" s="23" t="n">
        <v>0.33</v>
      </c>
      <c r="AH2372" s="23" t="n">
        <v>1</v>
      </c>
      <c r="AI2372" s="23" t="n">
        <v>0.2</v>
      </c>
      <c r="AJ2372" s="23" t="n">
        <v>0.8164</v>
      </c>
      <c r="AK2372" s="23" t="n">
        <v>0.2</v>
      </c>
      <c r="AL2372" s="23" t="n">
        <v>0</v>
      </c>
      <c r="AM2372" s="16" t="n">
        <f aca="false">COUNTIFS($D$2:$D$2501,D2372,$G$2:$G$2501,"&gt;"&amp;G2372)+COUNTIFS($D$2:D2372,D2372,$G$2:G2372,G2372)</f>
        <v>76</v>
      </c>
      <c r="AN2372" s="5" t="str">
        <f aca="false">D2372&amp;"|"&amp;AM2372</f>
        <v>分類與偵測|76</v>
      </c>
    </row>
    <row r="2373" customFormat="false" ht="17.15" hidden="false" customHeight="false" outlineLevel="0" collapsed="false">
      <c r="A2373" s="16" t="n">
        <f aca="false">RANK(G2373,$G$2:$G$2501)+COUNTIF($G$2:G2373,G2373)-1</f>
        <v>2372</v>
      </c>
      <c r="B2373" s="11" t="s">
        <v>5857</v>
      </c>
      <c r="C2373" s="11" t="s">
        <v>5858</v>
      </c>
      <c r="D2373" s="5" t="s">
        <v>80</v>
      </c>
      <c r="E2373" s="5" t="s">
        <v>81</v>
      </c>
      <c r="F2373" s="5"/>
      <c r="G2373" s="22" t="n">
        <f aca="false">ROUND(SUM(I2373:P2373),3)</f>
        <v>41.894</v>
      </c>
      <c r="H2373" s="5" t="str">
        <f aca="false">IF(G2373&gt;=評分方法!$C$16,"優先評估",IF(G2373&gt;=評分方法!$C$17,"列入候選",IF(G2373&gt;=評分方法!$C$18,"特定情境","不建議")))</f>
        <v>不建議</v>
      </c>
      <c r="I2373" s="15" t="n">
        <f aca="false">AE2373*評分方法!$C$5</f>
        <v>6</v>
      </c>
      <c r="J2373" s="15" t="n">
        <f aca="false">AF2373*評分方法!$C$6</f>
        <v>0</v>
      </c>
      <c r="K2373" s="15" t="n">
        <f aca="false">AG2373*評分方法!$C$7</f>
        <v>4.95</v>
      </c>
      <c r="L2373" s="15" t="n">
        <f aca="false">AH2373*評分方法!$C$8</f>
        <v>15</v>
      </c>
      <c r="M2373" s="15" t="n">
        <f aca="false">AI2373*評分方法!$C$9</f>
        <v>2</v>
      </c>
      <c r="N2373" s="15" t="n">
        <f aca="false">AJ2373*評分方法!$C$10</f>
        <v>9.944</v>
      </c>
      <c r="O2373" s="15" t="n">
        <f aca="false">AK2373*評分方法!$C$11</f>
        <v>2.5</v>
      </c>
      <c r="P2373" s="15" t="n">
        <f aca="false">AL2373*評分方法!$C$12</f>
        <v>1.5</v>
      </c>
      <c r="Q2373" s="6" t="n">
        <v>70976522</v>
      </c>
      <c r="R2373" s="6" t="n">
        <v>353831043</v>
      </c>
      <c r="S2373" s="11" t="s">
        <v>238</v>
      </c>
      <c r="T2373" s="5"/>
      <c r="U2373" s="5" t="s">
        <v>375</v>
      </c>
      <c r="V2373" s="11" t="s">
        <v>324</v>
      </c>
      <c r="W2373" s="5" t="s">
        <v>334</v>
      </c>
      <c r="X2373" s="5" t="s">
        <v>255</v>
      </c>
      <c r="Y2373" s="5"/>
      <c r="Z2373" s="5"/>
      <c r="AA2373" s="5"/>
      <c r="AB2373" s="5" t="s">
        <v>255</v>
      </c>
      <c r="AC2373" s="5" t="s">
        <v>262</v>
      </c>
      <c r="AD2373" s="11" t="s">
        <v>5859</v>
      </c>
      <c r="AE2373" s="23" t="n">
        <v>0.2</v>
      </c>
      <c r="AF2373" s="23" t="n">
        <v>0</v>
      </c>
      <c r="AG2373" s="23" t="n">
        <v>0.33</v>
      </c>
      <c r="AH2373" s="23" t="n">
        <v>1</v>
      </c>
      <c r="AI2373" s="23" t="n">
        <v>0.2</v>
      </c>
      <c r="AJ2373" s="23" t="n">
        <v>0.9944</v>
      </c>
      <c r="AK2373" s="23" t="n">
        <v>0.5</v>
      </c>
      <c r="AL2373" s="23" t="n">
        <v>0.3</v>
      </c>
      <c r="AM2373" s="16" t="n">
        <f aca="false">COUNTIFS($D$2:$D$2501,D2373,$G$2:$G$2501,"&gt;"&amp;G2373)+COUNTIFS($D$2:D2373,D2373,$G$2:G2373,G2373)</f>
        <v>52</v>
      </c>
      <c r="AN2373" s="5" t="str">
        <f aca="false">D2373&amp;"|"&amp;AM2373</f>
        <v>其他|52</v>
      </c>
    </row>
    <row r="2374" customFormat="false" ht="17.15" hidden="false" customHeight="false" outlineLevel="0" collapsed="false">
      <c r="A2374" s="16" t="n">
        <f aca="false">RANK(G2374,$G$2:$G$2501)+COUNTIF($G$2:G2374,G2374)-1</f>
        <v>2373</v>
      </c>
      <c r="B2374" s="11" t="s">
        <v>5860</v>
      </c>
      <c r="C2374" s="11" t="s">
        <v>5861</v>
      </c>
      <c r="D2374" s="5" t="s">
        <v>78</v>
      </c>
      <c r="E2374" s="5" t="s">
        <v>79</v>
      </c>
      <c r="F2374" s="5"/>
      <c r="G2374" s="22" t="n">
        <f aca="false">ROUND(SUM(I2374:P2374),3)</f>
        <v>41.878</v>
      </c>
      <c r="H2374" s="5" t="str">
        <f aca="false">IF(G2374&gt;=評分方法!$C$16,"優先評估",IF(G2374&gt;=評分方法!$C$17,"列入候選",IF(G2374&gt;=評分方法!$C$18,"特定情境","不建議")))</f>
        <v>不建議</v>
      </c>
      <c r="I2374" s="15" t="n">
        <f aca="false">AE2374*評分方法!$C$5</f>
        <v>9</v>
      </c>
      <c r="J2374" s="15" t="n">
        <f aca="false">AF2374*評分方法!$C$6</f>
        <v>0</v>
      </c>
      <c r="K2374" s="15" t="n">
        <f aca="false">AG2374*評分方法!$C$7</f>
        <v>4.95</v>
      </c>
      <c r="L2374" s="15" t="n">
        <f aca="false">AH2374*評分方法!$C$8</f>
        <v>15</v>
      </c>
      <c r="M2374" s="15" t="n">
        <f aca="false">AI2374*評分方法!$C$9</f>
        <v>2</v>
      </c>
      <c r="N2374" s="15" t="n">
        <f aca="false">AJ2374*評分方法!$C$10</f>
        <v>8.428</v>
      </c>
      <c r="O2374" s="15" t="n">
        <f aca="false">AK2374*評分方法!$C$11</f>
        <v>1</v>
      </c>
      <c r="P2374" s="15" t="n">
        <f aca="false">AL2374*評分方法!$C$12</f>
        <v>1.5</v>
      </c>
      <c r="Q2374" s="6" t="n">
        <v>2084255</v>
      </c>
      <c r="R2374" s="6" t="n">
        <v>315520720</v>
      </c>
      <c r="S2374" s="11" t="s">
        <v>238</v>
      </c>
      <c r="T2374" s="5"/>
      <c r="U2374" s="5" t="s">
        <v>375</v>
      </c>
      <c r="V2374" s="11" t="s">
        <v>261</v>
      </c>
      <c r="W2374" s="5" t="s">
        <v>334</v>
      </c>
      <c r="X2374" s="5" t="s">
        <v>255</v>
      </c>
      <c r="Y2374" s="5"/>
      <c r="Z2374" s="5"/>
      <c r="AA2374" s="11" t="s">
        <v>175</v>
      </c>
      <c r="AB2374" s="5" t="s">
        <v>245</v>
      </c>
      <c r="AC2374" s="5" t="s">
        <v>262</v>
      </c>
      <c r="AD2374" s="11" t="s">
        <v>5862</v>
      </c>
      <c r="AE2374" s="23" t="n">
        <v>0.3</v>
      </c>
      <c r="AF2374" s="23" t="n">
        <v>0</v>
      </c>
      <c r="AG2374" s="23" t="n">
        <v>0.33</v>
      </c>
      <c r="AH2374" s="23" t="n">
        <v>1</v>
      </c>
      <c r="AI2374" s="23" t="n">
        <v>0.2</v>
      </c>
      <c r="AJ2374" s="23" t="n">
        <v>0.8428</v>
      </c>
      <c r="AK2374" s="23" t="n">
        <v>0.2</v>
      </c>
      <c r="AL2374" s="23" t="n">
        <v>0.3</v>
      </c>
      <c r="AM2374" s="16" t="n">
        <f aca="false">COUNTIFS($D$2:$D$2501,D2374,$G$2:$G$2501,"&gt;"&amp;G2374)+COUNTIFS($D$2:D2374,D2374,$G$2:G2374,G2374)</f>
        <v>123</v>
      </c>
      <c r="AN2374" s="5" t="str">
        <f aca="false">D2374&amp;"|"&amp;AM2374</f>
        <v>語音分析|123</v>
      </c>
    </row>
    <row r="2375" customFormat="false" ht="17.15" hidden="false" customHeight="false" outlineLevel="0" collapsed="false">
      <c r="A2375" s="16" t="n">
        <f aca="false">RANK(G2375,$G$2:$G$2501)+COUNTIF($G$2:G2375,G2375)-1</f>
        <v>2374</v>
      </c>
      <c r="B2375" s="11" t="s">
        <v>5863</v>
      </c>
      <c r="C2375" s="11" t="s">
        <v>5703</v>
      </c>
      <c r="D2375" s="5" t="s">
        <v>74</v>
      </c>
      <c r="E2375" s="5" t="s">
        <v>75</v>
      </c>
      <c r="F2375" s="5"/>
      <c r="G2375" s="22" t="n">
        <f aca="false">ROUND(SUM(I2375:P2375),3)</f>
        <v>41.874</v>
      </c>
      <c r="H2375" s="5" t="str">
        <f aca="false">IF(G2375&gt;=評分方法!$C$16,"優先評估",IF(G2375&gt;=評分方法!$C$17,"列入候選",IF(G2375&gt;=評分方法!$C$18,"特定情境","不建議")))</f>
        <v>不建議</v>
      </c>
      <c r="I2375" s="15" t="n">
        <f aca="false">AE2375*評分方法!$C$5</f>
        <v>10.5</v>
      </c>
      <c r="J2375" s="15" t="n">
        <f aca="false">AF2375*評分方法!$C$6</f>
        <v>0</v>
      </c>
      <c r="K2375" s="15" t="n">
        <f aca="false">AG2375*評分方法!$C$7</f>
        <v>4.95</v>
      </c>
      <c r="L2375" s="15" t="n">
        <f aca="false">AH2375*評分方法!$C$8</f>
        <v>15</v>
      </c>
      <c r="M2375" s="15" t="n">
        <f aca="false">AI2375*評分方法!$C$9</f>
        <v>2</v>
      </c>
      <c r="N2375" s="15" t="n">
        <f aca="false">AJ2375*評分方法!$C$10</f>
        <v>6.924</v>
      </c>
      <c r="O2375" s="15" t="n">
        <f aca="false">AK2375*評分方法!$C$11</f>
        <v>1</v>
      </c>
      <c r="P2375" s="15" t="n">
        <f aca="false">AL2375*評分方法!$C$12</f>
        <v>1.5</v>
      </c>
      <c r="Q2375" s="6" t="n">
        <v>885847</v>
      </c>
      <c r="R2375" s="6" t="n">
        <v>85800194</v>
      </c>
      <c r="S2375" s="11" t="s">
        <v>238</v>
      </c>
      <c r="T2375" s="5"/>
      <c r="U2375" s="5" t="s">
        <v>375</v>
      </c>
      <c r="V2375" s="11" t="s">
        <v>324</v>
      </c>
      <c r="W2375" s="5" t="s">
        <v>334</v>
      </c>
      <c r="X2375" s="5" t="s">
        <v>255</v>
      </c>
      <c r="Y2375" s="5"/>
      <c r="Z2375" s="5"/>
      <c r="AA2375" s="11" t="s">
        <v>172</v>
      </c>
      <c r="AB2375" s="5" t="s">
        <v>245</v>
      </c>
      <c r="AC2375" s="5" t="s">
        <v>262</v>
      </c>
      <c r="AD2375" s="11" t="s">
        <v>5864</v>
      </c>
      <c r="AE2375" s="23" t="n">
        <v>0.35</v>
      </c>
      <c r="AF2375" s="23" t="n">
        <v>0</v>
      </c>
      <c r="AG2375" s="23" t="n">
        <v>0.33</v>
      </c>
      <c r="AH2375" s="23" t="n">
        <v>1</v>
      </c>
      <c r="AI2375" s="23" t="n">
        <v>0.2</v>
      </c>
      <c r="AJ2375" s="23" t="n">
        <v>0.6924</v>
      </c>
      <c r="AK2375" s="23" t="n">
        <v>0.2</v>
      </c>
      <c r="AL2375" s="23" t="n">
        <v>0.3</v>
      </c>
      <c r="AM2375" s="16" t="n">
        <f aca="false">COUNTIFS($D$2:$D$2501,D2375,$G$2:$G$2501,"&gt;"&amp;G2375)+COUNTIFS($D$2:D2375,D2375,$G$2:G2375,G2375)</f>
        <v>332</v>
      </c>
      <c r="AN2375" s="5" t="str">
        <f aca="false">D2375&amp;"|"&amp;AM2375</f>
        <v>文件與影像辨識|332</v>
      </c>
    </row>
    <row r="2376" customFormat="false" ht="17.15" hidden="false" customHeight="false" outlineLevel="0" collapsed="false">
      <c r="A2376" s="16" t="n">
        <f aca="false">RANK(G2376,$G$2:$G$2501)+COUNTIF($G$2:G2376,G2376)-1</f>
        <v>2375</v>
      </c>
      <c r="B2376" s="11" t="s">
        <v>5865</v>
      </c>
      <c r="C2376" s="11" t="s">
        <v>5601</v>
      </c>
      <c r="D2376" s="5" t="s">
        <v>78</v>
      </c>
      <c r="E2376" s="5" t="s">
        <v>79</v>
      </c>
      <c r="F2376" s="5"/>
      <c r="G2376" s="22" t="n">
        <f aca="false">ROUND(SUM(I2376:P2376),3)</f>
        <v>41.81</v>
      </c>
      <c r="H2376" s="5" t="str">
        <f aca="false">IF(G2376&gt;=評分方法!$C$16,"優先評估",IF(G2376&gt;=評分方法!$C$17,"列入候選",IF(G2376&gt;=評分方法!$C$18,"特定情境","不建議")))</f>
        <v>不建議</v>
      </c>
      <c r="I2376" s="15" t="n">
        <f aca="false">AE2376*評分方法!$C$5</f>
        <v>9</v>
      </c>
      <c r="J2376" s="15" t="n">
        <f aca="false">AF2376*評分方法!$C$6</f>
        <v>0</v>
      </c>
      <c r="K2376" s="15" t="n">
        <f aca="false">AG2376*評分方法!$C$7</f>
        <v>4.95</v>
      </c>
      <c r="L2376" s="15" t="n">
        <f aca="false">AH2376*評分方法!$C$8</f>
        <v>15</v>
      </c>
      <c r="M2376" s="15" t="n">
        <f aca="false">AI2376*評分方法!$C$9</f>
        <v>10</v>
      </c>
      <c r="N2376" s="15" t="n">
        <f aca="false">AJ2376*評分方法!$C$10</f>
        <v>0.36</v>
      </c>
      <c r="O2376" s="15" t="n">
        <f aca="false">AK2376*評分方法!$C$11</f>
        <v>2.5</v>
      </c>
      <c r="P2376" s="15" t="n">
        <f aca="false">AL2376*評分方法!$C$12</f>
        <v>0</v>
      </c>
      <c r="Q2376" s="6" t="n">
        <v>126638</v>
      </c>
      <c r="R2376" s="6" t="n">
        <v>61513920</v>
      </c>
      <c r="S2376" s="11" t="s">
        <v>238</v>
      </c>
      <c r="T2376" s="11" t="s">
        <v>278</v>
      </c>
      <c r="U2376" s="5" t="s">
        <v>240</v>
      </c>
      <c r="V2376" s="11" t="s">
        <v>261</v>
      </c>
      <c r="W2376" s="5" t="s">
        <v>334</v>
      </c>
      <c r="X2376" s="5" t="s">
        <v>242</v>
      </c>
      <c r="Y2376" s="5"/>
      <c r="Z2376" s="5"/>
      <c r="AA2376" s="11" t="s">
        <v>175</v>
      </c>
      <c r="AB2376" s="5" t="s">
        <v>245</v>
      </c>
      <c r="AC2376" s="5"/>
      <c r="AD2376" s="11" t="s">
        <v>5866</v>
      </c>
      <c r="AE2376" s="23" t="n">
        <v>0.3</v>
      </c>
      <c r="AF2376" s="23" t="n">
        <v>0</v>
      </c>
      <c r="AG2376" s="23" t="n">
        <v>0.33</v>
      </c>
      <c r="AH2376" s="23" t="n">
        <v>1</v>
      </c>
      <c r="AI2376" s="23" t="n">
        <v>1</v>
      </c>
      <c r="AJ2376" s="23" t="n">
        <v>0.036</v>
      </c>
      <c r="AK2376" s="23" t="n">
        <v>0.5</v>
      </c>
      <c r="AL2376" s="23" t="n">
        <v>0</v>
      </c>
      <c r="AM2376" s="16" t="n">
        <f aca="false">COUNTIFS($D$2:$D$2501,D2376,$G$2:$G$2501,"&gt;"&amp;G2376)+COUNTIFS($D$2:D2376,D2376,$G$2:G2376,G2376)</f>
        <v>124</v>
      </c>
      <c r="AN2376" s="5" t="str">
        <f aca="false">D2376&amp;"|"&amp;AM2376</f>
        <v>語音分析|124</v>
      </c>
    </row>
    <row r="2377" customFormat="false" ht="17.15" hidden="false" customHeight="false" outlineLevel="0" collapsed="false">
      <c r="A2377" s="16" t="n">
        <f aca="false">RANK(G2377,$G$2:$G$2501)+COUNTIF($G$2:G2377,G2377)-1</f>
        <v>2376</v>
      </c>
      <c r="B2377" s="11" t="s">
        <v>5867</v>
      </c>
      <c r="C2377" s="11" t="s">
        <v>5868</v>
      </c>
      <c r="D2377" s="5" t="s">
        <v>78</v>
      </c>
      <c r="E2377" s="5" t="s">
        <v>79</v>
      </c>
      <c r="F2377" s="5"/>
      <c r="G2377" s="22" t="n">
        <f aca="false">ROUND(SUM(I2377:P2377),3)</f>
        <v>41.742</v>
      </c>
      <c r="H2377" s="5" t="str">
        <f aca="false">IF(G2377&gt;=評分方法!$C$16,"優先評估",IF(G2377&gt;=評分方法!$C$17,"列入候選",IF(G2377&gt;=評分方法!$C$18,"特定情境","不建議")))</f>
        <v>不建議</v>
      </c>
      <c r="I2377" s="15" t="n">
        <f aca="false">AE2377*評分方法!$C$5</f>
        <v>5.4</v>
      </c>
      <c r="J2377" s="15" t="n">
        <f aca="false">AF2377*評分方法!$C$6</f>
        <v>0</v>
      </c>
      <c r="K2377" s="15" t="n">
        <f aca="false">AG2377*評分方法!$C$7</f>
        <v>4.95</v>
      </c>
      <c r="L2377" s="15" t="n">
        <f aca="false">AH2377*評分方法!$C$8</f>
        <v>15</v>
      </c>
      <c r="M2377" s="15" t="n">
        <f aca="false">AI2377*評分方法!$C$9</f>
        <v>2</v>
      </c>
      <c r="N2377" s="15" t="n">
        <f aca="false">AJ2377*評分方法!$C$10</f>
        <v>9.392</v>
      </c>
      <c r="O2377" s="15" t="n">
        <f aca="false">AK2377*評分方法!$C$11</f>
        <v>5</v>
      </c>
      <c r="P2377" s="15" t="n">
        <f aca="false">AL2377*評分方法!$C$12</f>
        <v>0</v>
      </c>
      <c r="Q2377" s="6" t="n">
        <v>7172399</v>
      </c>
      <c r="R2377" s="6" t="n">
        <v>315504320</v>
      </c>
      <c r="S2377" s="11" t="s">
        <v>238</v>
      </c>
      <c r="T2377" s="5"/>
      <c r="U2377" s="5" t="s">
        <v>375</v>
      </c>
      <c r="V2377" s="11" t="s">
        <v>324</v>
      </c>
      <c r="W2377" s="5" t="s">
        <v>334</v>
      </c>
      <c r="X2377" s="5" t="s">
        <v>242</v>
      </c>
      <c r="Y2377" s="11" t="s">
        <v>5579</v>
      </c>
      <c r="Z2377" s="11" t="s">
        <v>270</v>
      </c>
      <c r="AA2377" s="11" t="s">
        <v>175</v>
      </c>
      <c r="AB2377" s="5" t="s">
        <v>245</v>
      </c>
      <c r="AC2377" s="5" t="s">
        <v>4841</v>
      </c>
      <c r="AD2377" s="11" t="s">
        <v>5869</v>
      </c>
      <c r="AE2377" s="23" t="n">
        <v>0.18</v>
      </c>
      <c r="AF2377" s="23" t="n">
        <v>0</v>
      </c>
      <c r="AG2377" s="23" t="n">
        <v>0.33</v>
      </c>
      <c r="AH2377" s="23" t="n">
        <v>1</v>
      </c>
      <c r="AI2377" s="23" t="n">
        <v>0.2</v>
      </c>
      <c r="AJ2377" s="23" t="n">
        <v>0.9392</v>
      </c>
      <c r="AK2377" s="23" t="n">
        <v>1</v>
      </c>
      <c r="AL2377" s="23" t="n">
        <v>0</v>
      </c>
      <c r="AM2377" s="16" t="n">
        <f aca="false">COUNTIFS($D$2:$D$2501,D2377,$G$2:$G$2501,"&gt;"&amp;G2377)+COUNTIFS($D$2:D2377,D2377,$G$2:G2377,G2377)</f>
        <v>125</v>
      </c>
      <c r="AN2377" s="5" t="str">
        <f aca="false">D2377&amp;"|"&amp;AM2377</f>
        <v>語音分析|125</v>
      </c>
    </row>
    <row r="2378" customFormat="false" ht="17.15" hidden="false" customHeight="false" outlineLevel="0" collapsed="false">
      <c r="A2378" s="16" t="n">
        <f aca="false">RANK(G2378,$G$2:$G$2501)+COUNTIF($G$2:G2378,G2378)-1</f>
        <v>2377</v>
      </c>
      <c r="B2378" s="11" t="s">
        <v>5870</v>
      </c>
      <c r="C2378" s="11" t="s">
        <v>5871</v>
      </c>
      <c r="D2378" s="5" t="s">
        <v>74</v>
      </c>
      <c r="E2378" s="5" t="s">
        <v>75</v>
      </c>
      <c r="F2378" s="5"/>
      <c r="G2378" s="22" t="n">
        <f aca="false">ROUND(SUM(I2378:P2378),3)</f>
        <v>41.674</v>
      </c>
      <c r="H2378" s="5" t="str">
        <f aca="false">IF(G2378&gt;=評分方法!$C$16,"優先評估",IF(G2378&gt;=評分方法!$C$17,"列入候選",IF(G2378&gt;=評分方法!$C$18,"特定情境","不建議")))</f>
        <v>不建議</v>
      </c>
      <c r="I2378" s="15" t="n">
        <f aca="false">AE2378*評分方法!$C$5</f>
        <v>10.5</v>
      </c>
      <c r="J2378" s="15" t="n">
        <f aca="false">AF2378*評分方法!$C$6</f>
        <v>0</v>
      </c>
      <c r="K2378" s="15" t="n">
        <f aca="false">AG2378*評分方法!$C$7</f>
        <v>4.95</v>
      </c>
      <c r="L2378" s="15" t="n">
        <f aca="false">AH2378*評分方法!$C$8</f>
        <v>15</v>
      </c>
      <c r="M2378" s="15" t="n">
        <f aca="false">AI2378*評分方法!$C$9</f>
        <v>2</v>
      </c>
      <c r="N2378" s="15" t="n">
        <f aca="false">AJ2378*評分方法!$C$10</f>
        <v>6.724</v>
      </c>
      <c r="O2378" s="15" t="n">
        <f aca="false">AK2378*評分方法!$C$11</f>
        <v>1</v>
      </c>
      <c r="P2378" s="15" t="n">
        <f aca="false">AL2378*評分方法!$C$12</f>
        <v>1.5</v>
      </c>
      <c r="Q2378" s="6" t="n">
        <v>816962</v>
      </c>
      <c r="R2378" s="6" t="n">
        <v>85805577</v>
      </c>
      <c r="S2378" s="11" t="s">
        <v>238</v>
      </c>
      <c r="T2378" s="5"/>
      <c r="U2378" s="5" t="s">
        <v>375</v>
      </c>
      <c r="V2378" s="11" t="s">
        <v>324</v>
      </c>
      <c r="W2378" s="5" t="s">
        <v>334</v>
      </c>
      <c r="X2378" s="5" t="s">
        <v>255</v>
      </c>
      <c r="Y2378" s="5"/>
      <c r="Z2378" s="5"/>
      <c r="AA2378" s="11" t="s">
        <v>172</v>
      </c>
      <c r="AB2378" s="5" t="s">
        <v>245</v>
      </c>
      <c r="AC2378" s="5" t="s">
        <v>262</v>
      </c>
      <c r="AD2378" s="11" t="s">
        <v>5872</v>
      </c>
      <c r="AE2378" s="23" t="n">
        <v>0.35</v>
      </c>
      <c r="AF2378" s="23" t="n">
        <v>0</v>
      </c>
      <c r="AG2378" s="23" t="n">
        <v>0.33</v>
      </c>
      <c r="AH2378" s="23" t="n">
        <v>1</v>
      </c>
      <c r="AI2378" s="23" t="n">
        <v>0.2</v>
      </c>
      <c r="AJ2378" s="23" t="n">
        <v>0.6724</v>
      </c>
      <c r="AK2378" s="23" t="n">
        <v>0.2</v>
      </c>
      <c r="AL2378" s="23" t="n">
        <v>0.3</v>
      </c>
      <c r="AM2378" s="16" t="n">
        <f aca="false">COUNTIFS($D$2:$D$2501,D2378,$G$2:$G$2501,"&gt;"&amp;G2378)+COUNTIFS($D$2:D2378,D2378,$G$2:G2378,G2378)</f>
        <v>333</v>
      </c>
      <c r="AN2378" s="5" t="str">
        <f aca="false">D2378&amp;"|"&amp;AM2378</f>
        <v>文件與影像辨識|333</v>
      </c>
    </row>
    <row r="2379" customFormat="false" ht="17.15" hidden="false" customHeight="false" outlineLevel="0" collapsed="false">
      <c r="A2379" s="16" t="n">
        <f aca="false">RANK(G2379,$G$2:$G$2501)+COUNTIF($G$2:G2379,G2379)-1</f>
        <v>2378</v>
      </c>
      <c r="B2379" s="11" t="s">
        <v>5873</v>
      </c>
      <c r="C2379" s="11" t="s">
        <v>5759</v>
      </c>
      <c r="D2379" s="5" t="s">
        <v>74</v>
      </c>
      <c r="E2379" s="5" t="s">
        <v>75</v>
      </c>
      <c r="F2379" s="5"/>
      <c r="G2379" s="22" t="n">
        <f aca="false">ROUND(SUM(I2379:P2379),3)</f>
        <v>41.67</v>
      </c>
      <c r="H2379" s="5" t="str">
        <f aca="false">IF(G2379&gt;=評分方法!$C$16,"優先評估",IF(G2379&gt;=評分方法!$C$17,"列入候選",IF(G2379&gt;=評分方法!$C$18,"特定情境","不建議")))</f>
        <v>不建議</v>
      </c>
      <c r="I2379" s="15" t="n">
        <f aca="false">AE2379*評分方法!$C$5</f>
        <v>10.5</v>
      </c>
      <c r="J2379" s="15" t="n">
        <f aca="false">AF2379*評分方法!$C$6</f>
        <v>0</v>
      </c>
      <c r="K2379" s="15" t="n">
        <f aca="false">AG2379*評分方法!$C$7</f>
        <v>4.95</v>
      </c>
      <c r="L2379" s="15" t="n">
        <f aca="false">AH2379*評分方法!$C$8</f>
        <v>15</v>
      </c>
      <c r="M2379" s="15" t="n">
        <f aca="false">AI2379*評分方法!$C$9</f>
        <v>6</v>
      </c>
      <c r="N2379" s="15" t="n">
        <f aca="false">AJ2379*評分方法!$C$10</f>
        <v>1.22</v>
      </c>
      <c r="O2379" s="15" t="n">
        <f aca="false">AK2379*評分方法!$C$11</f>
        <v>2.5</v>
      </c>
      <c r="P2379" s="15" t="n">
        <f aca="false">AL2379*評分方法!$C$12</f>
        <v>1.5</v>
      </c>
      <c r="Q2379" s="6" t="n">
        <v>161948</v>
      </c>
      <c r="R2379" s="6" t="n">
        <v>5330564</v>
      </c>
      <c r="S2379" s="11" t="s">
        <v>238</v>
      </c>
      <c r="T2379" s="11" t="s">
        <v>185</v>
      </c>
      <c r="U2379" s="5" t="s">
        <v>260</v>
      </c>
      <c r="V2379" s="11" t="s">
        <v>261</v>
      </c>
      <c r="W2379" s="5" t="s">
        <v>334</v>
      </c>
      <c r="X2379" s="5" t="s">
        <v>255</v>
      </c>
      <c r="Y2379" s="5"/>
      <c r="Z2379" s="5"/>
      <c r="AA2379" s="11" t="s">
        <v>172</v>
      </c>
      <c r="AB2379" s="5" t="s">
        <v>245</v>
      </c>
      <c r="AC2379" s="5" t="s">
        <v>262</v>
      </c>
      <c r="AD2379" s="11" t="s">
        <v>5874</v>
      </c>
      <c r="AE2379" s="23" t="n">
        <v>0.35</v>
      </c>
      <c r="AF2379" s="23" t="n">
        <v>0</v>
      </c>
      <c r="AG2379" s="23" t="n">
        <v>0.33</v>
      </c>
      <c r="AH2379" s="23" t="n">
        <v>1</v>
      </c>
      <c r="AI2379" s="23" t="n">
        <v>0.6</v>
      </c>
      <c r="AJ2379" s="23" t="n">
        <v>0.122</v>
      </c>
      <c r="AK2379" s="23" t="n">
        <v>0.5</v>
      </c>
      <c r="AL2379" s="23" t="n">
        <v>0.3</v>
      </c>
      <c r="AM2379" s="16" t="n">
        <f aca="false">COUNTIFS($D$2:$D$2501,D2379,$G$2:$G$2501,"&gt;"&amp;G2379)+COUNTIFS($D$2:D2379,D2379,$G$2:G2379,G2379)</f>
        <v>334</v>
      </c>
      <c r="AN2379" s="5" t="str">
        <f aca="false">D2379&amp;"|"&amp;AM2379</f>
        <v>文件與影像辨識|334</v>
      </c>
    </row>
    <row r="2380" customFormat="false" ht="17.15" hidden="false" customHeight="false" outlineLevel="0" collapsed="false">
      <c r="A2380" s="16" t="n">
        <f aca="false">RANK(G2380,$G$2:$G$2501)+COUNTIF($G$2:G2380,G2380)-1</f>
        <v>2379</v>
      </c>
      <c r="B2380" s="11" t="s">
        <v>5875</v>
      </c>
      <c r="C2380" s="11" t="s">
        <v>5876</v>
      </c>
      <c r="D2380" s="5" t="s">
        <v>78</v>
      </c>
      <c r="E2380" s="5" t="s">
        <v>79</v>
      </c>
      <c r="F2380" s="5"/>
      <c r="G2380" s="22" t="n">
        <f aca="false">ROUND(SUM(I2380:P2380),3)</f>
        <v>41.584</v>
      </c>
      <c r="H2380" s="5" t="str">
        <f aca="false">IF(G2380&gt;=評分方法!$C$16,"優先評估",IF(G2380&gt;=評分方法!$C$17,"列入候選",IF(G2380&gt;=評分方法!$C$18,"特定情境","不建議")))</f>
        <v>不建議</v>
      </c>
      <c r="I2380" s="15" t="n">
        <f aca="false">AE2380*評分方法!$C$5</f>
        <v>9</v>
      </c>
      <c r="J2380" s="15" t="n">
        <f aca="false">AF2380*評分方法!$C$6</f>
        <v>0</v>
      </c>
      <c r="K2380" s="15" t="n">
        <f aca="false">AG2380*評分方法!$C$7</f>
        <v>4.95</v>
      </c>
      <c r="L2380" s="15" t="n">
        <f aca="false">AH2380*評分方法!$C$8</f>
        <v>7.05</v>
      </c>
      <c r="M2380" s="15" t="n">
        <f aca="false">AI2380*評分方法!$C$9</f>
        <v>10</v>
      </c>
      <c r="N2380" s="15" t="n">
        <f aca="false">AJ2380*評分方法!$C$10</f>
        <v>0.584</v>
      </c>
      <c r="O2380" s="15" t="n">
        <f aca="false">AK2380*評分方法!$C$11</f>
        <v>5</v>
      </c>
      <c r="P2380" s="15" t="n">
        <f aca="false">AL2380*評分方法!$C$12</f>
        <v>5</v>
      </c>
      <c r="Q2380" s="6" t="n">
        <v>137530</v>
      </c>
      <c r="R2380" s="6"/>
      <c r="S2380" s="5" t="s">
        <v>255</v>
      </c>
      <c r="T2380" s="11" t="s">
        <v>278</v>
      </c>
      <c r="U2380" s="5" t="s">
        <v>240</v>
      </c>
      <c r="V2380" s="11" t="s">
        <v>333</v>
      </c>
      <c r="W2380" s="5" t="s">
        <v>334</v>
      </c>
      <c r="X2380" s="5" t="s">
        <v>284</v>
      </c>
      <c r="Y2380" s="11" t="s">
        <v>5877</v>
      </c>
      <c r="Z2380" s="11" t="s">
        <v>244</v>
      </c>
      <c r="AA2380" s="11" t="s">
        <v>175</v>
      </c>
      <c r="AB2380" s="5" t="s">
        <v>245</v>
      </c>
      <c r="AC2380" s="5" t="s">
        <v>246</v>
      </c>
      <c r="AD2380" s="11" t="s">
        <v>5878</v>
      </c>
      <c r="AE2380" s="23" t="n">
        <v>0.3</v>
      </c>
      <c r="AF2380" s="23" t="n">
        <v>0</v>
      </c>
      <c r="AG2380" s="23" t="n">
        <v>0.33</v>
      </c>
      <c r="AH2380" s="23" t="n">
        <v>0.47</v>
      </c>
      <c r="AI2380" s="23" t="n">
        <v>1</v>
      </c>
      <c r="AJ2380" s="23" t="n">
        <v>0.0584</v>
      </c>
      <c r="AK2380" s="23" t="n">
        <v>1</v>
      </c>
      <c r="AL2380" s="23" t="n">
        <v>1</v>
      </c>
      <c r="AM2380" s="16" t="n">
        <f aca="false">COUNTIFS($D$2:$D$2501,D2380,$G$2:$G$2501,"&gt;"&amp;G2380)+COUNTIFS($D$2:D2380,D2380,$G$2:G2380,G2380)</f>
        <v>126</v>
      </c>
      <c r="AN2380" s="5" t="str">
        <f aca="false">D2380&amp;"|"&amp;AM2380</f>
        <v>語音分析|126</v>
      </c>
    </row>
    <row r="2381" customFormat="false" ht="17.15" hidden="false" customHeight="false" outlineLevel="0" collapsed="false">
      <c r="A2381" s="16" t="n">
        <f aca="false">RANK(G2381,$G$2:$G$2501)+COUNTIF($G$2:G2381,G2381)-1</f>
        <v>2380</v>
      </c>
      <c r="B2381" s="11" t="s">
        <v>5879</v>
      </c>
      <c r="C2381" s="11" t="s">
        <v>5171</v>
      </c>
      <c r="D2381" s="5" t="s">
        <v>74</v>
      </c>
      <c r="E2381" s="5" t="s">
        <v>75</v>
      </c>
      <c r="F2381" s="5"/>
      <c r="G2381" s="22" t="n">
        <f aca="false">ROUND(SUM(I2381:P2381),3)</f>
        <v>41.572</v>
      </c>
      <c r="H2381" s="5" t="str">
        <f aca="false">IF(G2381&gt;=評分方法!$C$16,"優先評估",IF(G2381&gt;=評分方法!$C$17,"列入候選",IF(G2381&gt;=評分方法!$C$18,"特定情境","不建議")))</f>
        <v>不建議</v>
      </c>
      <c r="I2381" s="15" t="n">
        <f aca="false">AE2381*評分方法!$C$5</f>
        <v>13.5</v>
      </c>
      <c r="J2381" s="15" t="n">
        <f aca="false">AF2381*評分方法!$C$6</f>
        <v>0</v>
      </c>
      <c r="K2381" s="15" t="n">
        <f aca="false">AG2381*評分方法!$C$7</f>
        <v>4.95</v>
      </c>
      <c r="L2381" s="15" t="n">
        <f aca="false">AH2381*評分方法!$C$8</f>
        <v>7.05</v>
      </c>
      <c r="M2381" s="15" t="n">
        <f aca="false">AI2381*評分方法!$C$9</f>
        <v>10</v>
      </c>
      <c r="N2381" s="15" t="n">
        <f aca="false">AJ2381*評分方法!$C$10</f>
        <v>1.072</v>
      </c>
      <c r="O2381" s="15" t="n">
        <f aca="false">AK2381*評分方法!$C$11</f>
        <v>5</v>
      </c>
      <c r="P2381" s="15" t="n">
        <f aca="false">AL2381*評分方法!$C$12</f>
        <v>0</v>
      </c>
      <c r="Q2381" s="6" t="n">
        <v>156667</v>
      </c>
      <c r="R2381" s="6"/>
      <c r="S2381" s="5" t="s">
        <v>255</v>
      </c>
      <c r="T2381" s="11" t="s">
        <v>278</v>
      </c>
      <c r="U2381" s="5" t="s">
        <v>240</v>
      </c>
      <c r="V2381" s="11" t="s">
        <v>261</v>
      </c>
      <c r="W2381" s="5" t="s">
        <v>334</v>
      </c>
      <c r="X2381" s="5" t="s">
        <v>242</v>
      </c>
      <c r="Y2381" s="11" t="s">
        <v>5172</v>
      </c>
      <c r="Z2381" s="11" t="s">
        <v>270</v>
      </c>
      <c r="AA2381" s="11" t="s">
        <v>164</v>
      </c>
      <c r="AB2381" s="5" t="s">
        <v>245</v>
      </c>
      <c r="AC2381" s="5"/>
      <c r="AD2381" s="11" t="s">
        <v>5880</v>
      </c>
      <c r="AE2381" s="23" t="n">
        <v>0.45</v>
      </c>
      <c r="AF2381" s="23" t="n">
        <v>0</v>
      </c>
      <c r="AG2381" s="23" t="n">
        <v>0.33</v>
      </c>
      <c r="AH2381" s="23" t="n">
        <v>0.47</v>
      </c>
      <c r="AI2381" s="23" t="n">
        <v>1</v>
      </c>
      <c r="AJ2381" s="23" t="n">
        <v>0.1072</v>
      </c>
      <c r="AK2381" s="23" t="n">
        <v>1</v>
      </c>
      <c r="AL2381" s="23" t="n">
        <v>0</v>
      </c>
      <c r="AM2381" s="16" t="n">
        <f aca="false">COUNTIFS($D$2:$D$2501,D2381,$G$2:$G$2501,"&gt;"&amp;G2381)+COUNTIFS($D$2:D2381,D2381,$G$2:G2381,G2381)</f>
        <v>335</v>
      </c>
      <c r="AN2381" s="5" t="str">
        <f aca="false">D2381&amp;"|"&amp;AM2381</f>
        <v>文件與影像辨識|335</v>
      </c>
    </row>
    <row r="2382" customFormat="false" ht="17.15" hidden="false" customHeight="false" outlineLevel="0" collapsed="false">
      <c r="A2382" s="16" t="n">
        <f aca="false">RANK(G2382,$G$2:$G$2501)+COUNTIF($G$2:G2382,G2382)-1</f>
        <v>2381</v>
      </c>
      <c r="B2382" s="11" t="s">
        <v>5881</v>
      </c>
      <c r="C2382" s="11" t="s">
        <v>1677</v>
      </c>
      <c r="D2382" s="5" t="s">
        <v>74</v>
      </c>
      <c r="E2382" s="5" t="s">
        <v>75</v>
      </c>
      <c r="F2382" s="5"/>
      <c r="G2382" s="22" t="n">
        <f aca="false">ROUND(SUM(I2382:P2382),3)</f>
        <v>41.56</v>
      </c>
      <c r="H2382" s="5" t="str">
        <f aca="false">IF(G2382&gt;=評分方法!$C$16,"優先評估",IF(G2382&gt;=評分方法!$C$17,"列入候選",IF(G2382&gt;=評分方法!$C$18,"特定情境","不建議")))</f>
        <v>不建議</v>
      </c>
      <c r="I2382" s="15" t="n">
        <f aca="false">AE2382*評分方法!$C$5</f>
        <v>4.5</v>
      </c>
      <c r="J2382" s="15" t="n">
        <f aca="false">AF2382*評分方法!$C$6</f>
        <v>0</v>
      </c>
      <c r="K2382" s="15" t="n">
        <f aca="false">AG2382*評分方法!$C$7</f>
        <v>10.05</v>
      </c>
      <c r="L2382" s="15" t="n">
        <f aca="false">AH2382*評分方法!$C$8</f>
        <v>7.05</v>
      </c>
      <c r="M2382" s="15" t="n">
        <f aca="false">AI2382*評分方法!$C$9</f>
        <v>10</v>
      </c>
      <c r="N2382" s="15" t="n">
        <f aca="false">AJ2382*評分方法!$C$10</f>
        <v>4.46</v>
      </c>
      <c r="O2382" s="15" t="n">
        <f aca="false">AK2382*評分方法!$C$11</f>
        <v>4</v>
      </c>
      <c r="P2382" s="15" t="n">
        <f aca="false">AL2382*評分方法!$C$12</f>
        <v>1.5</v>
      </c>
      <c r="Q2382" s="6" t="n">
        <v>484895</v>
      </c>
      <c r="R2382" s="6"/>
      <c r="S2382" s="5" t="s">
        <v>255</v>
      </c>
      <c r="T2382" s="11" t="s">
        <v>239</v>
      </c>
      <c r="U2382" s="5" t="s">
        <v>240</v>
      </c>
      <c r="V2382" s="11" t="s">
        <v>514</v>
      </c>
      <c r="W2382" s="5" t="s">
        <v>207</v>
      </c>
      <c r="X2382" s="5" t="s">
        <v>255</v>
      </c>
      <c r="Y2382" s="5"/>
      <c r="Z2382" s="5"/>
      <c r="AA2382" s="11" t="s">
        <v>183</v>
      </c>
      <c r="AB2382" s="5" t="s">
        <v>245</v>
      </c>
      <c r="AC2382" s="5"/>
      <c r="AD2382" s="11" t="s">
        <v>5882</v>
      </c>
      <c r="AE2382" s="23" t="n">
        <v>0.15</v>
      </c>
      <c r="AF2382" s="23" t="n">
        <v>0</v>
      </c>
      <c r="AG2382" s="23" t="n">
        <v>0.67</v>
      </c>
      <c r="AH2382" s="23" t="n">
        <v>0.47</v>
      </c>
      <c r="AI2382" s="23" t="n">
        <v>1</v>
      </c>
      <c r="AJ2382" s="23" t="n">
        <v>0.446</v>
      </c>
      <c r="AK2382" s="23" t="n">
        <v>0.8</v>
      </c>
      <c r="AL2382" s="23" t="n">
        <v>0.3</v>
      </c>
      <c r="AM2382" s="16" t="n">
        <f aca="false">COUNTIFS($D$2:$D$2501,D2382,$G$2:$G$2501,"&gt;"&amp;G2382)+COUNTIFS($D$2:D2382,D2382,$G$2:G2382,G2382)</f>
        <v>336</v>
      </c>
      <c r="AN2382" s="5" t="str">
        <f aca="false">D2382&amp;"|"&amp;AM2382</f>
        <v>文件與影像辨識|336</v>
      </c>
    </row>
    <row r="2383" customFormat="false" ht="17.15" hidden="false" customHeight="false" outlineLevel="0" collapsed="false">
      <c r="A2383" s="16" t="n">
        <f aca="false">RANK(G2383,$G$2:$G$2501)+COUNTIF($G$2:G2383,G2383)-1</f>
        <v>2382</v>
      </c>
      <c r="B2383" s="11" t="s">
        <v>5883</v>
      </c>
      <c r="C2383" s="11" t="s">
        <v>5884</v>
      </c>
      <c r="D2383" s="5" t="s">
        <v>78</v>
      </c>
      <c r="E2383" s="5" t="s">
        <v>79</v>
      </c>
      <c r="F2383" s="5"/>
      <c r="G2383" s="22" t="n">
        <f aca="false">ROUND(SUM(I2383:P2383),3)</f>
        <v>41.55</v>
      </c>
      <c r="H2383" s="5" t="str">
        <f aca="false">IF(G2383&gt;=評分方法!$C$16,"優先評估",IF(G2383&gt;=評分方法!$C$17,"列入候選",IF(G2383&gt;=評分方法!$C$18,"特定情境","不建議")))</f>
        <v>不建議</v>
      </c>
      <c r="I2383" s="15" t="n">
        <f aca="false">AE2383*評分方法!$C$5</f>
        <v>2.52</v>
      </c>
      <c r="J2383" s="15" t="n">
        <f aca="false">AF2383*評分方法!$C$6</f>
        <v>0</v>
      </c>
      <c r="K2383" s="15" t="n">
        <f aca="false">AG2383*評分方法!$C$7</f>
        <v>4.95</v>
      </c>
      <c r="L2383" s="15" t="n">
        <f aca="false">AH2383*評分方法!$C$8</f>
        <v>15</v>
      </c>
      <c r="M2383" s="15" t="n">
        <f aca="false">AI2383*評分方法!$C$9</f>
        <v>10</v>
      </c>
      <c r="N2383" s="15" t="n">
        <f aca="false">AJ2383*評分方法!$C$10</f>
        <v>8.08</v>
      </c>
      <c r="O2383" s="15" t="n">
        <f aca="false">AK2383*評分方法!$C$11</f>
        <v>1</v>
      </c>
      <c r="P2383" s="15" t="n">
        <f aca="false">AL2383*評分方法!$C$12</f>
        <v>0</v>
      </c>
      <c r="Q2383" s="6" t="n">
        <v>1688350</v>
      </c>
      <c r="R2383" s="6" t="n">
        <v>315702405</v>
      </c>
      <c r="S2383" s="11" t="s">
        <v>238</v>
      </c>
      <c r="T2383" s="11" t="s">
        <v>239</v>
      </c>
      <c r="U2383" s="5" t="s">
        <v>240</v>
      </c>
      <c r="V2383" s="11" t="s">
        <v>324</v>
      </c>
      <c r="W2383" s="5" t="s">
        <v>334</v>
      </c>
      <c r="X2383" s="5" t="s">
        <v>242</v>
      </c>
      <c r="Y2383" s="11" t="s">
        <v>5885</v>
      </c>
      <c r="Z2383" s="11" t="s">
        <v>270</v>
      </c>
      <c r="AA2383" s="11" t="s">
        <v>174</v>
      </c>
      <c r="AB2383" s="5" t="s">
        <v>245</v>
      </c>
      <c r="AC2383" s="5" t="s">
        <v>5236</v>
      </c>
      <c r="AD2383" s="11" t="s">
        <v>5886</v>
      </c>
      <c r="AE2383" s="23" t="n">
        <v>0.084</v>
      </c>
      <c r="AF2383" s="23" t="n">
        <v>0</v>
      </c>
      <c r="AG2383" s="23" t="n">
        <v>0.33</v>
      </c>
      <c r="AH2383" s="23" t="n">
        <v>1</v>
      </c>
      <c r="AI2383" s="23" t="n">
        <v>1</v>
      </c>
      <c r="AJ2383" s="23" t="n">
        <v>0.808</v>
      </c>
      <c r="AK2383" s="23" t="n">
        <v>0.2</v>
      </c>
      <c r="AL2383" s="23" t="n">
        <v>0</v>
      </c>
      <c r="AM2383" s="16" t="n">
        <f aca="false">COUNTIFS($D$2:$D$2501,D2383,$G$2:$G$2501,"&gt;"&amp;G2383)+COUNTIFS($D$2:D2383,D2383,$G$2:G2383,G2383)</f>
        <v>127</v>
      </c>
      <c r="AN2383" s="5" t="str">
        <f aca="false">D2383&amp;"|"&amp;AM2383</f>
        <v>語音分析|127</v>
      </c>
    </row>
    <row r="2384" customFormat="false" ht="17.15" hidden="false" customHeight="false" outlineLevel="0" collapsed="false">
      <c r="A2384" s="16" t="n">
        <f aca="false">RANK(G2384,$G$2:$G$2501)+COUNTIF($G$2:G2384,G2384)-1</f>
        <v>2383</v>
      </c>
      <c r="B2384" s="11" t="s">
        <v>5887</v>
      </c>
      <c r="C2384" s="11" t="s">
        <v>4685</v>
      </c>
      <c r="D2384" s="5" t="s">
        <v>78</v>
      </c>
      <c r="E2384" s="5" t="s">
        <v>79</v>
      </c>
      <c r="F2384" s="5"/>
      <c r="G2384" s="22" t="n">
        <f aca="false">ROUND(SUM(I2384:P2384),3)</f>
        <v>41.526</v>
      </c>
      <c r="H2384" s="5" t="str">
        <f aca="false">IF(G2384&gt;=評分方法!$C$16,"優先評估",IF(G2384&gt;=評分方法!$C$17,"列入候選",IF(G2384&gt;=評分方法!$C$18,"特定情境","不建議")))</f>
        <v>不建議</v>
      </c>
      <c r="I2384" s="15" t="n">
        <f aca="false">AE2384*評分方法!$C$5</f>
        <v>5.4</v>
      </c>
      <c r="J2384" s="15" t="n">
        <f aca="false">AF2384*評分方法!$C$6</f>
        <v>0</v>
      </c>
      <c r="K2384" s="15" t="n">
        <f aca="false">AG2384*評分方法!$C$7</f>
        <v>4.95</v>
      </c>
      <c r="L2384" s="15" t="n">
        <f aca="false">AH2384*評分方法!$C$8</f>
        <v>15</v>
      </c>
      <c r="M2384" s="15" t="n">
        <f aca="false">AI2384*評分方法!$C$9</f>
        <v>6</v>
      </c>
      <c r="N2384" s="15" t="n">
        <f aca="false">AJ2384*評分方法!$C$10</f>
        <v>9.176</v>
      </c>
      <c r="O2384" s="15" t="n">
        <f aca="false">AK2384*評分方法!$C$11</f>
        <v>1</v>
      </c>
      <c r="P2384" s="15" t="n">
        <f aca="false">AL2384*評分方法!$C$12</f>
        <v>0</v>
      </c>
      <c r="Q2384" s="6" t="n">
        <v>4880964</v>
      </c>
      <c r="R2384" s="6" t="n">
        <v>315474595</v>
      </c>
      <c r="S2384" s="11" t="s">
        <v>238</v>
      </c>
      <c r="T2384" s="11" t="s">
        <v>185</v>
      </c>
      <c r="U2384" s="5" t="s">
        <v>260</v>
      </c>
      <c r="V2384" s="11" t="s">
        <v>324</v>
      </c>
      <c r="W2384" s="5" t="s">
        <v>334</v>
      </c>
      <c r="X2384" s="5" t="s">
        <v>242</v>
      </c>
      <c r="Y2384" s="11" t="s">
        <v>4916</v>
      </c>
      <c r="Z2384" s="11" t="s">
        <v>270</v>
      </c>
      <c r="AA2384" s="11" t="s">
        <v>175</v>
      </c>
      <c r="AB2384" s="5" t="s">
        <v>245</v>
      </c>
      <c r="AC2384" s="5" t="s">
        <v>4841</v>
      </c>
      <c r="AD2384" s="11" t="s">
        <v>5888</v>
      </c>
      <c r="AE2384" s="23" t="n">
        <v>0.18</v>
      </c>
      <c r="AF2384" s="23" t="n">
        <v>0</v>
      </c>
      <c r="AG2384" s="23" t="n">
        <v>0.33</v>
      </c>
      <c r="AH2384" s="23" t="n">
        <v>1</v>
      </c>
      <c r="AI2384" s="23" t="n">
        <v>0.6</v>
      </c>
      <c r="AJ2384" s="23" t="n">
        <v>0.9176</v>
      </c>
      <c r="AK2384" s="23" t="n">
        <v>0.2</v>
      </c>
      <c r="AL2384" s="23" t="n">
        <v>0</v>
      </c>
      <c r="AM2384" s="16" t="n">
        <f aca="false">COUNTIFS($D$2:$D$2501,D2384,$G$2:$G$2501,"&gt;"&amp;G2384)+COUNTIFS($D$2:D2384,D2384,$G$2:G2384,G2384)</f>
        <v>128</v>
      </c>
      <c r="AN2384" s="5" t="str">
        <f aca="false">D2384&amp;"|"&amp;AM2384</f>
        <v>語音分析|128</v>
      </c>
    </row>
    <row r="2385" customFormat="false" ht="17.15" hidden="false" customHeight="false" outlineLevel="0" collapsed="false">
      <c r="A2385" s="16" t="n">
        <f aca="false">RANK(G2385,$G$2:$G$2501)+COUNTIF($G$2:G2385,G2385)-1</f>
        <v>2384</v>
      </c>
      <c r="B2385" s="11" t="s">
        <v>5889</v>
      </c>
      <c r="C2385" s="11" t="s">
        <v>5890</v>
      </c>
      <c r="D2385" s="5" t="s">
        <v>78</v>
      </c>
      <c r="E2385" s="5" t="s">
        <v>79</v>
      </c>
      <c r="F2385" s="5"/>
      <c r="G2385" s="22" t="n">
        <f aca="false">ROUND(SUM(I2385:P2385),3)</f>
        <v>41.498</v>
      </c>
      <c r="H2385" s="5" t="str">
        <f aca="false">IF(G2385&gt;=評分方法!$C$16,"優先評估",IF(G2385&gt;=評分方法!$C$17,"列入候選",IF(G2385&gt;=評分方法!$C$18,"特定情境","不建議")))</f>
        <v>不建議</v>
      </c>
      <c r="I2385" s="15" t="n">
        <f aca="false">AE2385*評分方法!$C$5</f>
        <v>9</v>
      </c>
      <c r="J2385" s="15" t="n">
        <f aca="false">AF2385*評分方法!$C$6</f>
        <v>0</v>
      </c>
      <c r="K2385" s="15" t="n">
        <f aca="false">AG2385*評分方法!$C$7</f>
        <v>4.95</v>
      </c>
      <c r="L2385" s="15" t="n">
        <f aca="false">AH2385*評分方法!$C$8</f>
        <v>15</v>
      </c>
      <c r="M2385" s="15" t="n">
        <f aca="false">AI2385*評分方法!$C$9</f>
        <v>10</v>
      </c>
      <c r="N2385" s="15" t="n">
        <f aca="false">AJ2385*評分方法!$C$10</f>
        <v>0.048</v>
      </c>
      <c r="O2385" s="15" t="n">
        <f aca="false">AK2385*評分方法!$C$11</f>
        <v>1</v>
      </c>
      <c r="P2385" s="15" t="n">
        <f aca="false">AL2385*評分方法!$C$12</f>
        <v>1.5</v>
      </c>
      <c r="Q2385" s="6" t="n">
        <v>118253</v>
      </c>
      <c r="R2385" s="6" t="n">
        <v>315510470</v>
      </c>
      <c r="S2385" s="11" t="s">
        <v>238</v>
      </c>
      <c r="T2385" s="11" t="s">
        <v>239</v>
      </c>
      <c r="U2385" s="5" t="s">
        <v>240</v>
      </c>
      <c r="V2385" s="11" t="s">
        <v>261</v>
      </c>
      <c r="W2385" s="5" t="s">
        <v>334</v>
      </c>
      <c r="X2385" s="5" t="s">
        <v>255</v>
      </c>
      <c r="Y2385" s="11" t="s">
        <v>4916</v>
      </c>
      <c r="Z2385" s="11" t="s">
        <v>270</v>
      </c>
      <c r="AA2385" s="11" t="s">
        <v>175</v>
      </c>
      <c r="AB2385" s="5" t="s">
        <v>245</v>
      </c>
      <c r="AC2385" s="5"/>
      <c r="AD2385" s="11" t="s">
        <v>5891</v>
      </c>
      <c r="AE2385" s="23" t="n">
        <v>0.3</v>
      </c>
      <c r="AF2385" s="23" t="n">
        <v>0</v>
      </c>
      <c r="AG2385" s="23" t="n">
        <v>0.33</v>
      </c>
      <c r="AH2385" s="23" t="n">
        <v>1</v>
      </c>
      <c r="AI2385" s="23" t="n">
        <v>1</v>
      </c>
      <c r="AJ2385" s="23" t="n">
        <v>0.0048</v>
      </c>
      <c r="AK2385" s="23" t="n">
        <v>0.2</v>
      </c>
      <c r="AL2385" s="23" t="n">
        <v>0.3</v>
      </c>
      <c r="AM2385" s="16" t="n">
        <f aca="false">COUNTIFS($D$2:$D$2501,D2385,$G$2:$G$2501,"&gt;"&amp;G2385)+COUNTIFS($D$2:D2385,D2385,$G$2:G2385,G2385)</f>
        <v>129</v>
      </c>
      <c r="AN2385" s="5" t="str">
        <f aca="false">D2385&amp;"|"&amp;AM2385</f>
        <v>語音分析|129</v>
      </c>
    </row>
    <row r="2386" customFormat="false" ht="17.15" hidden="false" customHeight="false" outlineLevel="0" collapsed="false">
      <c r="A2386" s="16" t="n">
        <f aca="false">RANK(G2386,$G$2:$G$2501)+COUNTIF($G$2:G2386,G2386)-1</f>
        <v>2385</v>
      </c>
      <c r="B2386" s="11" t="s">
        <v>5892</v>
      </c>
      <c r="C2386" s="11" t="s">
        <v>5893</v>
      </c>
      <c r="D2386" s="5" t="s">
        <v>54</v>
      </c>
      <c r="E2386" s="5" t="s">
        <v>55</v>
      </c>
      <c r="F2386" s="5"/>
      <c r="G2386" s="22" t="n">
        <f aca="false">ROUND(SUM(I2386:P2386),3)</f>
        <v>41.45</v>
      </c>
      <c r="H2386" s="5" t="str">
        <f aca="false">IF(G2386&gt;=評分方法!$C$16,"優先評估",IF(G2386&gt;=評分方法!$C$17,"列入候選",IF(G2386&gt;=評分方法!$C$18,"特定情境","不建議")))</f>
        <v>不建議</v>
      </c>
      <c r="I2386" s="15" t="n">
        <f aca="false">AE2386*評分方法!$C$5</f>
        <v>16.2</v>
      </c>
      <c r="J2386" s="15" t="n">
        <f aca="false">AF2386*評分方法!$C$6</f>
        <v>0</v>
      </c>
      <c r="K2386" s="15" t="n">
        <f aca="false">AG2386*評分方法!$C$7</f>
        <v>4.95</v>
      </c>
      <c r="L2386" s="15" t="n">
        <f aca="false">AH2386*評分方法!$C$8</f>
        <v>15</v>
      </c>
      <c r="M2386" s="15" t="n">
        <f aca="false">AI2386*評分方法!$C$9</f>
        <v>2</v>
      </c>
      <c r="N2386" s="15" t="n">
        <f aca="false">AJ2386*評分方法!$C$10</f>
        <v>2.3</v>
      </c>
      <c r="O2386" s="15" t="n">
        <f aca="false">AK2386*評分方法!$C$11</f>
        <v>1</v>
      </c>
      <c r="P2386" s="15" t="n">
        <f aca="false">AL2386*評分方法!$C$12</f>
        <v>0</v>
      </c>
      <c r="Q2386" s="6" t="n">
        <v>233241</v>
      </c>
      <c r="R2386" s="6" t="n">
        <v>110618626</v>
      </c>
      <c r="S2386" s="11" t="s">
        <v>238</v>
      </c>
      <c r="T2386" s="5"/>
      <c r="U2386" s="5" t="s">
        <v>375</v>
      </c>
      <c r="V2386" s="11" t="s">
        <v>324</v>
      </c>
      <c r="W2386" s="5" t="s">
        <v>334</v>
      </c>
      <c r="X2386" s="5" t="s">
        <v>242</v>
      </c>
      <c r="Y2386" s="5"/>
      <c r="Z2386" s="5"/>
      <c r="AA2386" s="11" t="s">
        <v>153</v>
      </c>
      <c r="AB2386" s="5" t="s">
        <v>245</v>
      </c>
      <c r="AC2386" s="5" t="s">
        <v>4841</v>
      </c>
      <c r="AD2386" s="11" t="s">
        <v>5894</v>
      </c>
      <c r="AE2386" s="23" t="n">
        <v>0.54</v>
      </c>
      <c r="AF2386" s="23" t="n">
        <v>0</v>
      </c>
      <c r="AG2386" s="23" t="n">
        <v>0.33</v>
      </c>
      <c r="AH2386" s="23" t="n">
        <v>1</v>
      </c>
      <c r="AI2386" s="23" t="n">
        <v>0.2</v>
      </c>
      <c r="AJ2386" s="23" t="n">
        <v>0.23</v>
      </c>
      <c r="AK2386" s="23" t="n">
        <v>0.2</v>
      </c>
      <c r="AL2386" s="23" t="n">
        <v>0</v>
      </c>
      <c r="AM2386" s="16" t="n">
        <f aca="false">COUNTIFS($D$2:$D$2501,D2386,$G$2:$G$2501,"&gt;"&amp;G2386)+COUNTIFS($D$2:D2386,D2386,$G$2:G2386,G2386)</f>
        <v>269</v>
      </c>
      <c r="AN2386" s="5" t="str">
        <f aca="false">D2386&amp;"|"&amp;AM2386</f>
        <v>檢索與情資關聯|269</v>
      </c>
    </row>
    <row r="2387" customFormat="false" ht="17.15" hidden="false" customHeight="false" outlineLevel="0" collapsed="false">
      <c r="A2387" s="16" t="n">
        <f aca="false">RANK(G2387,$G$2:$G$2501)+COUNTIF($G$2:G2387,G2387)-1</f>
        <v>2386</v>
      </c>
      <c r="B2387" s="11" t="s">
        <v>5895</v>
      </c>
      <c r="C2387" s="11" t="s">
        <v>5896</v>
      </c>
      <c r="D2387" s="5" t="s">
        <v>72</v>
      </c>
      <c r="E2387" s="5" t="s">
        <v>73</v>
      </c>
      <c r="F2387" s="5"/>
      <c r="G2387" s="22" t="n">
        <f aca="false">ROUND(SUM(I2387:P2387),3)</f>
        <v>41.45</v>
      </c>
      <c r="H2387" s="5" t="str">
        <f aca="false">IF(G2387&gt;=評分方法!$C$16,"優先評估",IF(G2387&gt;=評分方法!$C$17,"列入候選",IF(G2387&gt;=評分方法!$C$18,"特定情境","不建議")))</f>
        <v>不建議</v>
      </c>
      <c r="I2387" s="15" t="n">
        <f aca="false">AE2387*評分方法!$C$5</f>
        <v>6</v>
      </c>
      <c r="J2387" s="15" t="n">
        <f aca="false">AF2387*評分方法!$C$6</f>
        <v>0</v>
      </c>
      <c r="K2387" s="15" t="n">
        <f aca="false">AG2387*評分方法!$C$7</f>
        <v>4.95</v>
      </c>
      <c r="L2387" s="15" t="n">
        <f aca="false">AH2387*評分方法!$C$8</f>
        <v>15</v>
      </c>
      <c r="M2387" s="15" t="n">
        <f aca="false">AI2387*評分方法!$C$9</f>
        <v>10</v>
      </c>
      <c r="N2387" s="15" t="n">
        <f aca="false">AJ2387*評分方法!$C$10</f>
        <v>1.5</v>
      </c>
      <c r="O2387" s="15" t="n">
        <f aca="false">AK2387*評分方法!$C$11</f>
        <v>2.5</v>
      </c>
      <c r="P2387" s="15" t="n">
        <f aca="false">AL2387*評分方法!$C$12</f>
        <v>1.5</v>
      </c>
      <c r="Q2387" s="6" t="n">
        <v>179802</v>
      </c>
      <c r="R2387" s="6" t="n">
        <v>109484547</v>
      </c>
      <c r="S2387" s="11" t="s">
        <v>238</v>
      </c>
      <c r="T2387" s="11" t="s">
        <v>278</v>
      </c>
      <c r="U2387" s="5" t="s">
        <v>240</v>
      </c>
      <c r="V2387" s="11" t="s">
        <v>261</v>
      </c>
      <c r="W2387" s="5" t="s">
        <v>334</v>
      </c>
      <c r="X2387" s="5" t="s">
        <v>255</v>
      </c>
      <c r="Y2387" s="5"/>
      <c r="Z2387" s="5"/>
      <c r="AA2387" s="11" t="s">
        <v>162</v>
      </c>
      <c r="AB2387" s="5" t="s">
        <v>328</v>
      </c>
      <c r="AC2387" s="5" t="s">
        <v>5897</v>
      </c>
      <c r="AD2387" s="11" t="s">
        <v>5898</v>
      </c>
      <c r="AE2387" s="23" t="n">
        <v>0.2</v>
      </c>
      <c r="AF2387" s="23" t="n">
        <v>0</v>
      </c>
      <c r="AG2387" s="23" t="n">
        <v>0.33</v>
      </c>
      <c r="AH2387" s="23" t="n">
        <v>1</v>
      </c>
      <c r="AI2387" s="23" t="n">
        <v>1</v>
      </c>
      <c r="AJ2387" s="23" t="n">
        <v>0.15</v>
      </c>
      <c r="AK2387" s="23" t="n">
        <v>0.5</v>
      </c>
      <c r="AL2387" s="23" t="n">
        <v>0.3</v>
      </c>
      <c r="AM2387" s="16" t="n">
        <f aca="false">COUNTIFS($D$2:$D$2501,D2387,$G$2:$G$2501,"&gt;"&amp;G2387)+COUNTIFS($D$2:D2387,D2387,$G$2:G2387,G2387)</f>
        <v>61</v>
      </c>
      <c r="AN2387" s="5" t="str">
        <f aca="false">D2387&amp;"|"&amp;AM2387</f>
        <v>微調基底模型|61</v>
      </c>
    </row>
    <row r="2388" customFormat="false" ht="17.15" hidden="false" customHeight="false" outlineLevel="0" collapsed="false">
      <c r="A2388" s="16" t="n">
        <f aca="false">RANK(G2388,$G$2:$G$2501)+COUNTIF($G$2:G2388,G2388)-1</f>
        <v>2387</v>
      </c>
      <c r="B2388" s="11" t="s">
        <v>5899</v>
      </c>
      <c r="C2388" s="11" t="s">
        <v>5759</v>
      </c>
      <c r="D2388" s="5" t="s">
        <v>74</v>
      </c>
      <c r="E2388" s="5" t="s">
        <v>75</v>
      </c>
      <c r="F2388" s="5"/>
      <c r="G2388" s="22" t="n">
        <f aca="false">ROUND(SUM(I2388:P2388),3)</f>
        <v>41.29</v>
      </c>
      <c r="H2388" s="5" t="str">
        <f aca="false">IF(G2388&gt;=評分方法!$C$16,"優先評估",IF(G2388&gt;=評分方法!$C$17,"列入候選",IF(G2388&gt;=評分方法!$C$18,"特定情境","不建議")))</f>
        <v>不建議</v>
      </c>
      <c r="I2388" s="15" t="n">
        <f aca="false">AE2388*評分方法!$C$5</f>
        <v>10.5</v>
      </c>
      <c r="J2388" s="15" t="n">
        <f aca="false">AF2388*評分方法!$C$6</f>
        <v>0</v>
      </c>
      <c r="K2388" s="15" t="n">
        <f aca="false">AG2388*評分方法!$C$7</f>
        <v>4.95</v>
      </c>
      <c r="L2388" s="15" t="n">
        <f aca="false">AH2388*評分方法!$C$8</f>
        <v>15</v>
      </c>
      <c r="M2388" s="15" t="n">
        <f aca="false">AI2388*評分方法!$C$9</f>
        <v>6</v>
      </c>
      <c r="N2388" s="15" t="n">
        <f aca="false">AJ2388*評分方法!$C$10</f>
        <v>0.84</v>
      </c>
      <c r="O2388" s="15" t="n">
        <f aca="false">AK2388*評分方法!$C$11</f>
        <v>2.5</v>
      </c>
      <c r="P2388" s="15" t="n">
        <f aca="false">AL2388*評分方法!$C$12</f>
        <v>1.5</v>
      </c>
      <c r="Q2388" s="6" t="n">
        <v>148060</v>
      </c>
      <c r="R2388" s="6" t="n">
        <v>25610152</v>
      </c>
      <c r="S2388" s="11" t="s">
        <v>238</v>
      </c>
      <c r="T2388" s="11" t="s">
        <v>185</v>
      </c>
      <c r="U2388" s="5" t="s">
        <v>260</v>
      </c>
      <c r="V2388" s="11" t="s">
        <v>261</v>
      </c>
      <c r="W2388" s="5" t="s">
        <v>334</v>
      </c>
      <c r="X2388" s="5" t="s">
        <v>255</v>
      </c>
      <c r="Y2388" s="5"/>
      <c r="Z2388" s="5"/>
      <c r="AA2388" s="11" t="s">
        <v>172</v>
      </c>
      <c r="AB2388" s="5" t="s">
        <v>245</v>
      </c>
      <c r="AC2388" s="5" t="s">
        <v>262</v>
      </c>
      <c r="AD2388" s="11" t="s">
        <v>5900</v>
      </c>
      <c r="AE2388" s="23" t="n">
        <v>0.35</v>
      </c>
      <c r="AF2388" s="23" t="n">
        <v>0</v>
      </c>
      <c r="AG2388" s="23" t="n">
        <v>0.33</v>
      </c>
      <c r="AH2388" s="23" t="n">
        <v>1</v>
      </c>
      <c r="AI2388" s="23" t="n">
        <v>0.6</v>
      </c>
      <c r="AJ2388" s="23" t="n">
        <v>0.084</v>
      </c>
      <c r="AK2388" s="23" t="n">
        <v>0.5</v>
      </c>
      <c r="AL2388" s="23" t="n">
        <v>0.3</v>
      </c>
      <c r="AM2388" s="16" t="n">
        <f aca="false">COUNTIFS($D$2:$D$2501,D2388,$G$2:$G$2501,"&gt;"&amp;G2388)+COUNTIFS($D$2:D2388,D2388,$G$2:G2388,G2388)</f>
        <v>337</v>
      </c>
      <c r="AN2388" s="5" t="str">
        <f aca="false">D2388&amp;"|"&amp;AM2388</f>
        <v>文件與影像辨識|337</v>
      </c>
    </row>
    <row r="2389" customFormat="false" ht="17.15" hidden="false" customHeight="false" outlineLevel="0" collapsed="false">
      <c r="A2389" s="16" t="n">
        <f aca="false">RANK(G2389,$G$2:$G$2501)+COUNTIF($G$2:G2389,G2389)-1</f>
        <v>2388</v>
      </c>
      <c r="B2389" s="11" t="s">
        <v>5901</v>
      </c>
      <c r="C2389" s="11" t="s">
        <v>1214</v>
      </c>
      <c r="D2389" s="5" t="s">
        <v>80</v>
      </c>
      <c r="E2389" s="5" t="s">
        <v>81</v>
      </c>
      <c r="F2389" s="5"/>
      <c r="G2389" s="22" t="n">
        <f aca="false">ROUND(SUM(I2389:P2389),3)</f>
        <v>41.246</v>
      </c>
      <c r="H2389" s="5" t="str">
        <f aca="false">IF(G2389&gt;=評分方法!$C$16,"優先評估",IF(G2389&gt;=評分方法!$C$17,"列入候選",IF(G2389&gt;=評分方法!$C$18,"特定情境","不建議")))</f>
        <v>不建議</v>
      </c>
      <c r="I2389" s="15" t="n">
        <f aca="false">AE2389*評分方法!$C$5</f>
        <v>1.5</v>
      </c>
      <c r="J2389" s="15" t="n">
        <f aca="false">AF2389*評分方法!$C$6</f>
        <v>0</v>
      </c>
      <c r="K2389" s="15" t="n">
        <f aca="false">AG2389*評分方法!$C$7</f>
        <v>15</v>
      </c>
      <c r="L2389" s="15" t="n">
        <f aca="false">AH2389*評分方法!$C$8</f>
        <v>7.05</v>
      </c>
      <c r="M2389" s="15" t="n">
        <f aca="false">AI2389*評分方法!$C$9</f>
        <v>10</v>
      </c>
      <c r="N2389" s="15" t="n">
        <f aca="false">AJ2389*評分方法!$C$10</f>
        <v>1.196</v>
      </c>
      <c r="O2389" s="15" t="n">
        <f aca="false">AK2389*評分方法!$C$11</f>
        <v>5</v>
      </c>
      <c r="P2389" s="15" t="n">
        <f aca="false">AL2389*評分方法!$C$12</f>
        <v>1.5</v>
      </c>
      <c r="Q2389" s="6" t="n">
        <v>160585</v>
      </c>
      <c r="R2389" s="6"/>
      <c r="S2389" s="5" t="s">
        <v>255</v>
      </c>
      <c r="T2389" s="11" t="s">
        <v>239</v>
      </c>
      <c r="U2389" s="5" t="s">
        <v>240</v>
      </c>
      <c r="V2389" s="11" t="s">
        <v>261</v>
      </c>
      <c r="W2389" s="5" t="s">
        <v>205</v>
      </c>
      <c r="X2389" s="5" t="s">
        <v>255</v>
      </c>
      <c r="Y2389" s="11" t="s">
        <v>5902</v>
      </c>
      <c r="Z2389" s="11" t="s">
        <v>270</v>
      </c>
      <c r="AA2389" s="11" t="s">
        <v>187</v>
      </c>
      <c r="AB2389" s="5" t="s">
        <v>496</v>
      </c>
      <c r="AC2389" s="5" t="s">
        <v>497</v>
      </c>
      <c r="AD2389" s="11" t="s">
        <v>5903</v>
      </c>
      <c r="AE2389" s="23" t="n">
        <v>0.05</v>
      </c>
      <c r="AF2389" s="23" t="n">
        <v>0</v>
      </c>
      <c r="AG2389" s="23" t="n">
        <v>1</v>
      </c>
      <c r="AH2389" s="23" t="n">
        <v>0.47</v>
      </c>
      <c r="AI2389" s="23" t="n">
        <v>1</v>
      </c>
      <c r="AJ2389" s="23" t="n">
        <v>0.1196</v>
      </c>
      <c r="AK2389" s="23" t="n">
        <v>1</v>
      </c>
      <c r="AL2389" s="23" t="n">
        <v>0.3</v>
      </c>
      <c r="AM2389" s="16" t="n">
        <f aca="false">COUNTIFS($D$2:$D$2501,D2389,$G$2:$G$2501,"&gt;"&amp;G2389)+COUNTIFS($D$2:D2389,D2389,$G$2:G2389,G2389)</f>
        <v>53</v>
      </c>
      <c r="AN2389" s="5" t="str">
        <f aca="false">D2389&amp;"|"&amp;AM2389</f>
        <v>其他|53</v>
      </c>
    </row>
    <row r="2390" customFormat="false" ht="17.15" hidden="false" customHeight="false" outlineLevel="0" collapsed="false">
      <c r="A2390" s="16" t="n">
        <f aca="false">RANK(G2390,$G$2:$G$2501)+COUNTIF($G$2:G2390,G2390)-1</f>
        <v>2389</v>
      </c>
      <c r="B2390" s="11" t="s">
        <v>5904</v>
      </c>
      <c r="C2390" s="11" t="s">
        <v>5905</v>
      </c>
      <c r="D2390" s="5" t="s">
        <v>72</v>
      </c>
      <c r="E2390" s="5" t="s">
        <v>73</v>
      </c>
      <c r="F2390" s="5"/>
      <c r="G2390" s="22" t="n">
        <f aca="false">ROUND(SUM(I2390:P2390),3)</f>
        <v>41.222</v>
      </c>
      <c r="H2390" s="5" t="str">
        <f aca="false">IF(G2390&gt;=評分方法!$C$16,"優先評估",IF(G2390&gt;=評分方法!$C$17,"列入候選",IF(G2390&gt;=評分方法!$C$18,"特定情境","不建議")))</f>
        <v>不建議</v>
      </c>
      <c r="I2390" s="15" t="n">
        <f aca="false">AE2390*評分方法!$C$5</f>
        <v>9</v>
      </c>
      <c r="J2390" s="15" t="n">
        <f aca="false">AF2390*評分方法!$C$6</f>
        <v>0</v>
      </c>
      <c r="K2390" s="15" t="n">
        <f aca="false">AG2390*評分方法!$C$7</f>
        <v>4.95</v>
      </c>
      <c r="L2390" s="15" t="n">
        <f aca="false">AH2390*評分方法!$C$8</f>
        <v>15</v>
      </c>
      <c r="M2390" s="15" t="n">
        <f aca="false">AI2390*評分方法!$C$9</f>
        <v>8</v>
      </c>
      <c r="N2390" s="15" t="n">
        <f aca="false">AJ2390*評分方法!$C$10</f>
        <v>3.272</v>
      </c>
      <c r="O2390" s="15" t="n">
        <f aca="false">AK2390*評分方法!$C$11</f>
        <v>1</v>
      </c>
      <c r="P2390" s="15" t="n">
        <f aca="false">AL2390*評分方法!$C$12</f>
        <v>0</v>
      </c>
      <c r="Q2390" s="6" t="n">
        <v>326329</v>
      </c>
      <c r="R2390" s="6" t="n">
        <v>111243522</v>
      </c>
      <c r="S2390" s="11" t="s">
        <v>238</v>
      </c>
      <c r="T2390" s="11" t="s">
        <v>1821</v>
      </c>
      <c r="U2390" s="5" t="s">
        <v>1822</v>
      </c>
      <c r="V2390" s="11" t="s">
        <v>324</v>
      </c>
      <c r="W2390" s="5" t="s">
        <v>334</v>
      </c>
      <c r="X2390" s="5" t="s">
        <v>242</v>
      </c>
      <c r="Y2390" s="5"/>
      <c r="Z2390" s="5"/>
      <c r="AA2390" s="11" t="s">
        <v>162</v>
      </c>
      <c r="AB2390" s="5" t="s">
        <v>245</v>
      </c>
      <c r="AC2390" s="5" t="s">
        <v>1463</v>
      </c>
      <c r="AD2390" s="11" t="s">
        <v>5906</v>
      </c>
      <c r="AE2390" s="23" t="n">
        <v>0.3</v>
      </c>
      <c r="AF2390" s="23" t="n">
        <v>0</v>
      </c>
      <c r="AG2390" s="23" t="n">
        <v>0.33</v>
      </c>
      <c r="AH2390" s="23" t="n">
        <v>1</v>
      </c>
      <c r="AI2390" s="23" t="n">
        <v>0.8</v>
      </c>
      <c r="AJ2390" s="23" t="n">
        <v>0.3272</v>
      </c>
      <c r="AK2390" s="23" t="n">
        <v>0.2</v>
      </c>
      <c r="AL2390" s="23" t="n">
        <v>0</v>
      </c>
      <c r="AM2390" s="16" t="n">
        <f aca="false">COUNTIFS($D$2:$D$2501,D2390,$G$2:$G$2501,"&gt;"&amp;G2390)+COUNTIFS($D$2:D2390,D2390,$G$2:G2390,G2390)</f>
        <v>62</v>
      </c>
      <c r="AN2390" s="5" t="str">
        <f aca="false">D2390&amp;"|"&amp;AM2390</f>
        <v>微調基底模型|62</v>
      </c>
    </row>
    <row r="2391" customFormat="false" ht="17.15" hidden="false" customHeight="false" outlineLevel="0" collapsed="false">
      <c r="A2391" s="16" t="n">
        <f aca="false">RANK(G2391,$G$2:$G$2501)+COUNTIF($G$2:G2391,G2391)-1</f>
        <v>2390</v>
      </c>
      <c r="B2391" s="11" t="s">
        <v>5907</v>
      </c>
      <c r="C2391" s="11" t="s">
        <v>5908</v>
      </c>
      <c r="D2391" s="5" t="s">
        <v>78</v>
      </c>
      <c r="E2391" s="5" t="s">
        <v>79</v>
      </c>
      <c r="F2391" s="5"/>
      <c r="G2391" s="22" t="n">
        <f aca="false">ROUND(SUM(I2391:P2391),3)</f>
        <v>41.114</v>
      </c>
      <c r="H2391" s="5" t="str">
        <f aca="false">IF(G2391&gt;=評分方法!$C$16,"優先評估",IF(G2391&gt;=評分方法!$C$17,"列入候選",IF(G2391&gt;=評分方法!$C$18,"特定情境","不建議")))</f>
        <v>不建議</v>
      </c>
      <c r="I2391" s="15" t="n">
        <f aca="false">AE2391*評分方法!$C$5</f>
        <v>5.4</v>
      </c>
      <c r="J2391" s="15" t="n">
        <f aca="false">AF2391*評分方法!$C$6</f>
        <v>0</v>
      </c>
      <c r="K2391" s="15" t="n">
        <f aca="false">AG2391*評分方法!$C$7</f>
        <v>4.95</v>
      </c>
      <c r="L2391" s="15" t="n">
        <f aca="false">AH2391*評分方法!$C$8</f>
        <v>15</v>
      </c>
      <c r="M2391" s="15" t="n">
        <f aca="false">AI2391*評分方法!$C$9</f>
        <v>10</v>
      </c>
      <c r="N2391" s="15" t="n">
        <f aca="false">AJ2391*評分方法!$C$10</f>
        <v>4.764</v>
      </c>
      <c r="O2391" s="15" t="n">
        <f aca="false">AK2391*評分方法!$C$11</f>
        <v>1</v>
      </c>
      <c r="P2391" s="15" t="n">
        <f aca="false">AL2391*評分方法!$C$12</f>
        <v>0</v>
      </c>
      <c r="Q2391" s="6" t="n">
        <v>518939</v>
      </c>
      <c r="R2391" s="6" t="n">
        <v>315678570</v>
      </c>
      <c r="S2391" s="11" t="s">
        <v>238</v>
      </c>
      <c r="T2391" s="11" t="s">
        <v>278</v>
      </c>
      <c r="U2391" s="5" t="s">
        <v>240</v>
      </c>
      <c r="V2391" s="11" t="s">
        <v>324</v>
      </c>
      <c r="W2391" s="5" t="s">
        <v>334</v>
      </c>
      <c r="X2391" s="5" t="s">
        <v>242</v>
      </c>
      <c r="Y2391" s="5"/>
      <c r="Z2391" s="5"/>
      <c r="AA2391" s="11" t="s">
        <v>175</v>
      </c>
      <c r="AB2391" s="5" t="s">
        <v>245</v>
      </c>
      <c r="AC2391" s="5" t="s">
        <v>1463</v>
      </c>
      <c r="AD2391" s="11" t="s">
        <v>5909</v>
      </c>
      <c r="AE2391" s="23" t="n">
        <v>0.18</v>
      </c>
      <c r="AF2391" s="23" t="n">
        <v>0</v>
      </c>
      <c r="AG2391" s="23" t="n">
        <v>0.33</v>
      </c>
      <c r="AH2391" s="23" t="n">
        <v>1</v>
      </c>
      <c r="AI2391" s="23" t="n">
        <v>1</v>
      </c>
      <c r="AJ2391" s="23" t="n">
        <v>0.4764</v>
      </c>
      <c r="AK2391" s="23" t="n">
        <v>0.2</v>
      </c>
      <c r="AL2391" s="23" t="n">
        <v>0</v>
      </c>
      <c r="AM2391" s="16" t="n">
        <f aca="false">COUNTIFS($D$2:$D$2501,D2391,$G$2:$G$2501,"&gt;"&amp;G2391)+COUNTIFS($D$2:D2391,D2391,$G$2:G2391,G2391)</f>
        <v>130</v>
      </c>
      <c r="AN2391" s="5" t="str">
        <f aca="false">D2391&amp;"|"&amp;AM2391</f>
        <v>語音分析|130</v>
      </c>
    </row>
    <row r="2392" customFormat="false" ht="17.15" hidden="false" customHeight="false" outlineLevel="0" collapsed="false">
      <c r="A2392" s="16" t="n">
        <f aca="false">RANK(G2392,$G$2:$G$2501)+COUNTIF($G$2:G2392,G2392)-1</f>
        <v>2391</v>
      </c>
      <c r="B2392" s="11" t="s">
        <v>5910</v>
      </c>
      <c r="C2392" s="11" t="s">
        <v>5911</v>
      </c>
      <c r="D2392" s="5" t="s">
        <v>56</v>
      </c>
      <c r="E2392" s="5" t="s">
        <v>57</v>
      </c>
      <c r="F2392" s="5"/>
      <c r="G2392" s="22" t="n">
        <f aca="false">ROUND(SUM(I2392:P2392),3)</f>
        <v>41.096</v>
      </c>
      <c r="H2392" s="5" t="str">
        <f aca="false">IF(G2392&gt;=評分方法!$C$16,"優先評估",IF(G2392&gt;=評分方法!$C$17,"列入候選",IF(G2392&gt;=評分方法!$C$18,"特定情境","不建議")))</f>
        <v>不建議</v>
      </c>
      <c r="I2392" s="15" t="n">
        <f aca="false">AE2392*評分方法!$C$5</f>
        <v>25.5</v>
      </c>
      <c r="J2392" s="15" t="n">
        <f aca="false">AF2392*評分方法!$C$6</f>
        <v>0</v>
      </c>
      <c r="K2392" s="15" t="n">
        <f aca="false">AG2392*評分方法!$C$7</f>
        <v>4.95</v>
      </c>
      <c r="L2392" s="15" t="n">
        <f aca="false">AH2392*評分方法!$C$8</f>
        <v>4.95</v>
      </c>
      <c r="M2392" s="15" t="n">
        <f aca="false">AI2392*評分方法!$C$9</f>
        <v>2</v>
      </c>
      <c r="N2392" s="15" t="n">
        <f aca="false">AJ2392*評分方法!$C$10</f>
        <v>2.696</v>
      </c>
      <c r="O2392" s="15" t="n">
        <f aca="false">AK2392*評分方法!$C$11</f>
        <v>1</v>
      </c>
      <c r="P2392" s="15" t="n">
        <f aca="false">AL2392*評分方法!$C$12</f>
        <v>0</v>
      </c>
      <c r="Q2392" s="6" t="n">
        <v>266272</v>
      </c>
      <c r="R2392" s="6" t="n">
        <v>68976648192</v>
      </c>
      <c r="S2392" s="11" t="s">
        <v>1876</v>
      </c>
      <c r="T2392" s="5"/>
      <c r="U2392" s="5" t="s">
        <v>375</v>
      </c>
      <c r="V2392" s="11" t="s">
        <v>261</v>
      </c>
      <c r="W2392" s="5" t="s">
        <v>334</v>
      </c>
      <c r="X2392" s="5" t="s">
        <v>242</v>
      </c>
      <c r="Y2392" s="5"/>
      <c r="Z2392" s="5"/>
      <c r="AA2392" s="11" t="s">
        <v>155</v>
      </c>
      <c r="AB2392" s="5" t="s">
        <v>245</v>
      </c>
      <c r="AC2392" s="5" t="s">
        <v>262</v>
      </c>
      <c r="AD2392" s="11" t="s">
        <v>5912</v>
      </c>
      <c r="AE2392" s="23" t="n">
        <v>0.85</v>
      </c>
      <c r="AF2392" s="23" t="n">
        <v>0</v>
      </c>
      <c r="AG2392" s="23" t="n">
        <v>0.33</v>
      </c>
      <c r="AH2392" s="23" t="n">
        <v>0.33</v>
      </c>
      <c r="AI2392" s="23" t="n">
        <v>0.2</v>
      </c>
      <c r="AJ2392" s="23" t="n">
        <v>0.2696</v>
      </c>
      <c r="AK2392" s="23" t="n">
        <v>0.2</v>
      </c>
      <c r="AL2392" s="23" t="n">
        <v>0</v>
      </c>
      <c r="AM2392" s="16" t="n">
        <f aca="false">COUNTIFS($D$2:$D$2501,D2392,$G$2:$G$2501,"&gt;"&amp;G2392)+COUNTIFS($D$2:D2392,D2392,$G$2:G2392,G2392)</f>
        <v>977</v>
      </c>
      <c r="AN2392" s="5" t="str">
        <f aca="false">D2392&amp;"|"&amp;AM2392</f>
        <v>分析與報告生成|977</v>
      </c>
    </row>
    <row r="2393" customFormat="false" ht="17.15" hidden="false" customHeight="false" outlineLevel="0" collapsed="false">
      <c r="A2393" s="16" t="n">
        <f aca="false">RANK(G2393,$G$2:$G$2501)+COUNTIF($G$2:G2393,G2393)-1</f>
        <v>2392</v>
      </c>
      <c r="B2393" s="11" t="s">
        <v>5913</v>
      </c>
      <c r="C2393" s="11" t="s">
        <v>5893</v>
      </c>
      <c r="D2393" s="5" t="s">
        <v>54</v>
      </c>
      <c r="E2393" s="5" t="s">
        <v>55</v>
      </c>
      <c r="F2393" s="5"/>
      <c r="G2393" s="22" t="n">
        <f aca="false">ROUND(SUM(I2393:P2393),3)</f>
        <v>41.078</v>
      </c>
      <c r="H2393" s="5" t="str">
        <f aca="false">IF(G2393&gt;=評分方法!$C$16,"優先評估",IF(G2393&gt;=評分方法!$C$17,"列入候選",IF(G2393&gt;=評分方法!$C$18,"特定情境","不建議")))</f>
        <v>不建議</v>
      </c>
      <c r="I2393" s="15" t="n">
        <f aca="false">AE2393*評分方法!$C$5</f>
        <v>16.2</v>
      </c>
      <c r="J2393" s="15" t="n">
        <f aca="false">AF2393*評分方法!$C$6</f>
        <v>0</v>
      </c>
      <c r="K2393" s="15" t="n">
        <f aca="false">AG2393*評分方法!$C$7</f>
        <v>4.95</v>
      </c>
      <c r="L2393" s="15" t="n">
        <f aca="false">AH2393*評分方法!$C$8</f>
        <v>15</v>
      </c>
      <c r="M2393" s="15" t="n">
        <f aca="false">AI2393*評分方法!$C$9</f>
        <v>2</v>
      </c>
      <c r="N2393" s="15" t="n">
        <f aca="false">AJ2393*評分方法!$C$10</f>
        <v>1.928</v>
      </c>
      <c r="O2393" s="15" t="n">
        <f aca="false">AK2393*評分方法!$C$11</f>
        <v>1</v>
      </c>
      <c r="P2393" s="15" t="n">
        <f aca="false">AL2393*評分方法!$C$12</f>
        <v>0</v>
      </c>
      <c r="Q2393" s="6" t="n">
        <v>206313</v>
      </c>
      <c r="R2393" s="6" t="n">
        <v>110618626</v>
      </c>
      <c r="S2393" s="11" t="s">
        <v>238</v>
      </c>
      <c r="T2393" s="5"/>
      <c r="U2393" s="5" t="s">
        <v>375</v>
      </c>
      <c r="V2393" s="11" t="s">
        <v>324</v>
      </c>
      <c r="W2393" s="5" t="s">
        <v>334</v>
      </c>
      <c r="X2393" s="5" t="s">
        <v>242</v>
      </c>
      <c r="Y2393" s="5"/>
      <c r="Z2393" s="5"/>
      <c r="AA2393" s="11" t="s">
        <v>153</v>
      </c>
      <c r="AB2393" s="5" t="s">
        <v>245</v>
      </c>
      <c r="AC2393" s="5" t="s">
        <v>4841</v>
      </c>
      <c r="AD2393" s="11" t="s">
        <v>5914</v>
      </c>
      <c r="AE2393" s="23" t="n">
        <v>0.54</v>
      </c>
      <c r="AF2393" s="23" t="n">
        <v>0</v>
      </c>
      <c r="AG2393" s="23" t="n">
        <v>0.33</v>
      </c>
      <c r="AH2393" s="23" t="n">
        <v>1</v>
      </c>
      <c r="AI2393" s="23" t="n">
        <v>0.2</v>
      </c>
      <c r="AJ2393" s="23" t="n">
        <v>0.1928</v>
      </c>
      <c r="AK2393" s="23" t="n">
        <v>0.2</v>
      </c>
      <c r="AL2393" s="23" t="n">
        <v>0</v>
      </c>
      <c r="AM2393" s="16" t="n">
        <f aca="false">COUNTIFS($D$2:$D$2501,D2393,$G$2:$G$2501,"&gt;"&amp;G2393)+COUNTIFS($D$2:D2393,D2393,$G$2:G2393,G2393)</f>
        <v>270</v>
      </c>
      <c r="AN2393" s="5" t="str">
        <f aca="false">D2393&amp;"|"&amp;AM2393</f>
        <v>檢索與情資關聯|270</v>
      </c>
    </row>
    <row r="2394" customFormat="false" ht="17.15" hidden="false" customHeight="false" outlineLevel="0" collapsed="false">
      <c r="A2394" s="16" t="n">
        <f aca="false">RANK(G2394,$G$2:$G$2501)+COUNTIF($G$2:G2394,G2394)-1</f>
        <v>2393</v>
      </c>
      <c r="B2394" s="11" t="s">
        <v>5915</v>
      </c>
      <c r="C2394" s="11" t="s">
        <v>5790</v>
      </c>
      <c r="D2394" s="5" t="s">
        <v>66</v>
      </c>
      <c r="E2394" s="5" t="s">
        <v>67</v>
      </c>
      <c r="F2394" s="5"/>
      <c r="G2394" s="22" t="n">
        <f aca="false">ROUND(SUM(I2394:P2394),3)</f>
        <v>41.078</v>
      </c>
      <c r="H2394" s="5" t="str">
        <f aca="false">IF(G2394&gt;=評分方法!$C$16,"優先評估",IF(G2394&gt;=評分方法!$C$17,"列入候選",IF(G2394&gt;=評分方法!$C$18,"特定情境","不建議")))</f>
        <v>不建議</v>
      </c>
      <c r="I2394" s="15" t="n">
        <f aca="false">AE2394*評分方法!$C$5</f>
        <v>7.2</v>
      </c>
      <c r="J2394" s="15" t="n">
        <f aca="false">AF2394*評分方法!$C$6</f>
        <v>0</v>
      </c>
      <c r="K2394" s="15" t="n">
        <f aca="false">AG2394*評分方法!$C$7</f>
        <v>4.95</v>
      </c>
      <c r="L2394" s="15" t="n">
        <f aca="false">AH2394*評分方法!$C$8</f>
        <v>15</v>
      </c>
      <c r="M2394" s="15" t="n">
        <f aca="false">AI2394*評分方法!$C$9</f>
        <v>10</v>
      </c>
      <c r="N2394" s="15" t="n">
        <f aca="false">AJ2394*評分方法!$C$10</f>
        <v>1.428</v>
      </c>
      <c r="O2394" s="15" t="n">
        <f aca="false">AK2394*評分方法!$C$11</f>
        <v>2.5</v>
      </c>
      <c r="P2394" s="15" t="n">
        <f aca="false">AL2394*評分方法!$C$12</f>
        <v>0</v>
      </c>
      <c r="Q2394" s="6" t="n">
        <v>175178</v>
      </c>
      <c r="R2394" s="6" t="n">
        <v>29196755</v>
      </c>
      <c r="S2394" s="11" t="s">
        <v>238</v>
      </c>
      <c r="T2394" s="11" t="s">
        <v>278</v>
      </c>
      <c r="U2394" s="5" t="s">
        <v>240</v>
      </c>
      <c r="V2394" s="11" t="s">
        <v>279</v>
      </c>
      <c r="W2394" s="5" t="s">
        <v>334</v>
      </c>
      <c r="X2394" s="5" t="s">
        <v>242</v>
      </c>
      <c r="Y2394" s="5"/>
      <c r="Z2394" s="5"/>
      <c r="AA2394" s="11" t="s">
        <v>149</v>
      </c>
      <c r="AB2394" s="5" t="s">
        <v>245</v>
      </c>
      <c r="AC2394" s="5" t="s">
        <v>5236</v>
      </c>
      <c r="AD2394" s="11" t="s">
        <v>5916</v>
      </c>
      <c r="AE2394" s="23" t="n">
        <v>0.24</v>
      </c>
      <c r="AF2394" s="23" t="n">
        <v>0</v>
      </c>
      <c r="AG2394" s="23" t="n">
        <v>0.33</v>
      </c>
      <c r="AH2394" s="23" t="n">
        <v>1</v>
      </c>
      <c r="AI2394" s="23" t="n">
        <v>1</v>
      </c>
      <c r="AJ2394" s="23" t="n">
        <v>0.1428</v>
      </c>
      <c r="AK2394" s="23" t="n">
        <v>0.5</v>
      </c>
      <c r="AL2394" s="23" t="n">
        <v>0</v>
      </c>
      <c r="AM2394" s="16" t="n">
        <f aca="false">COUNTIFS($D$2:$D$2501,D2394,$G$2:$G$2501,"&gt;"&amp;G2394)+COUNTIFS($D$2:D2394,D2394,$G$2:G2394,G2394)</f>
        <v>77</v>
      </c>
      <c r="AN2394" s="5" t="str">
        <f aca="false">D2394&amp;"|"&amp;AM2394</f>
        <v>分類與偵測|77</v>
      </c>
    </row>
    <row r="2395" customFormat="false" ht="17.15" hidden="false" customHeight="false" outlineLevel="0" collapsed="false">
      <c r="A2395" s="16" t="n">
        <f aca="false">RANK(G2395,$G$2:$G$2501)+COUNTIF($G$2:G2395,G2395)-1</f>
        <v>2394</v>
      </c>
      <c r="B2395" s="11" t="s">
        <v>5917</v>
      </c>
      <c r="C2395" s="11" t="s">
        <v>5719</v>
      </c>
      <c r="D2395" s="5" t="s">
        <v>80</v>
      </c>
      <c r="E2395" s="5" t="s">
        <v>81</v>
      </c>
      <c r="F2395" s="5"/>
      <c r="G2395" s="22" t="n">
        <f aca="false">ROUND(SUM(I2395:P2395),3)</f>
        <v>41.026</v>
      </c>
      <c r="H2395" s="5" t="str">
        <f aca="false">IF(G2395&gt;=評分方法!$C$16,"優先評估",IF(G2395&gt;=評分方法!$C$17,"列入候選",IF(G2395&gt;=評分方法!$C$18,"特定情境","不建議")))</f>
        <v>不建議</v>
      </c>
      <c r="I2395" s="15" t="n">
        <f aca="false">AE2395*評分方法!$C$5</f>
        <v>6</v>
      </c>
      <c r="J2395" s="15" t="n">
        <f aca="false">AF2395*評分方法!$C$6</f>
        <v>0</v>
      </c>
      <c r="K2395" s="15" t="n">
        <f aca="false">AG2395*評分方法!$C$7</f>
        <v>4.95</v>
      </c>
      <c r="L2395" s="15" t="n">
        <f aca="false">AH2395*評分方法!$C$8</f>
        <v>15</v>
      </c>
      <c r="M2395" s="15" t="n">
        <f aca="false">AI2395*評分方法!$C$9</f>
        <v>10</v>
      </c>
      <c r="N2395" s="15" t="n">
        <f aca="false">AJ2395*評分方法!$C$10</f>
        <v>1.076</v>
      </c>
      <c r="O2395" s="15" t="n">
        <f aca="false">AK2395*評分方法!$C$11</f>
        <v>2.5</v>
      </c>
      <c r="P2395" s="15" t="n">
        <f aca="false">AL2395*評分方法!$C$12</f>
        <v>1.5</v>
      </c>
      <c r="Q2395" s="6" t="n">
        <v>156869</v>
      </c>
      <c r="R2395" s="6" t="n">
        <v>176306960</v>
      </c>
      <c r="S2395" s="11" t="s">
        <v>238</v>
      </c>
      <c r="T2395" s="11" t="s">
        <v>1636</v>
      </c>
      <c r="U2395" s="5" t="s">
        <v>240</v>
      </c>
      <c r="V2395" s="11" t="s">
        <v>261</v>
      </c>
      <c r="W2395" s="5" t="s">
        <v>334</v>
      </c>
      <c r="X2395" s="5" t="s">
        <v>255</v>
      </c>
      <c r="Y2395" s="5"/>
      <c r="Z2395" s="5"/>
      <c r="AA2395" s="5"/>
      <c r="AB2395" s="5" t="s">
        <v>255</v>
      </c>
      <c r="AC2395" s="5"/>
      <c r="AD2395" s="11" t="s">
        <v>5918</v>
      </c>
      <c r="AE2395" s="23" t="n">
        <v>0.2</v>
      </c>
      <c r="AF2395" s="23" t="n">
        <v>0</v>
      </c>
      <c r="AG2395" s="23" t="n">
        <v>0.33</v>
      </c>
      <c r="AH2395" s="23" t="n">
        <v>1</v>
      </c>
      <c r="AI2395" s="23" t="n">
        <v>1</v>
      </c>
      <c r="AJ2395" s="23" t="n">
        <v>0.1076</v>
      </c>
      <c r="AK2395" s="23" t="n">
        <v>0.5</v>
      </c>
      <c r="AL2395" s="23" t="n">
        <v>0.3</v>
      </c>
      <c r="AM2395" s="16" t="n">
        <f aca="false">COUNTIFS($D$2:$D$2501,D2395,$G$2:$G$2501,"&gt;"&amp;G2395)+COUNTIFS($D$2:D2395,D2395,$G$2:G2395,G2395)</f>
        <v>54</v>
      </c>
      <c r="AN2395" s="5" t="str">
        <f aca="false">D2395&amp;"|"&amp;AM2395</f>
        <v>其他|54</v>
      </c>
    </row>
    <row r="2396" customFormat="false" ht="17.15" hidden="false" customHeight="false" outlineLevel="0" collapsed="false">
      <c r="A2396" s="16" t="n">
        <f aca="false">RANK(G2396,$G$2:$G$2501)+COUNTIF($G$2:G2396,G2396)-1</f>
        <v>2395</v>
      </c>
      <c r="B2396" s="11" t="s">
        <v>5919</v>
      </c>
      <c r="C2396" s="11" t="s">
        <v>5920</v>
      </c>
      <c r="D2396" s="5" t="s">
        <v>78</v>
      </c>
      <c r="E2396" s="5" t="s">
        <v>79</v>
      </c>
      <c r="F2396" s="5"/>
      <c r="G2396" s="22" t="n">
        <f aca="false">ROUND(SUM(I2396:P2396),3)</f>
        <v>41.018</v>
      </c>
      <c r="H2396" s="5" t="str">
        <f aca="false">IF(G2396&gt;=評分方法!$C$16,"優先評估",IF(G2396&gt;=評分方法!$C$17,"列入候選",IF(G2396&gt;=評分方法!$C$18,"特定情境","不建議")))</f>
        <v>不建議</v>
      </c>
      <c r="I2396" s="15" t="n">
        <f aca="false">AE2396*評分方法!$C$5</f>
        <v>9</v>
      </c>
      <c r="J2396" s="15" t="n">
        <f aca="false">AF2396*評分方法!$C$6</f>
        <v>0</v>
      </c>
      <c r="K2396" s="15" t="n">
        <f aca="false">AG2396*評分方法!$C$7</f>
        <v>4.95</v>
      </c>
      <c r="L2396" s="15" t="n">
        <f aca="false">AH2396*評分方法!$C$8</f>
        <v>15</v>
      </c>
      <c r="M2396" s="15" t="n">
        <f aca="false">AI2396*評分方法!$C$9</f>
        <v>2</v>
      </c>
      <c r="N2396" s="15" t="n">
        <f aca="false">AJ2396*評分方法!$C$10</f>
        <v>6.068</v>
      </c>
      <c r="O2396" s="15" t="n">
        <f aca="false">AK2396*評分方法!$C$11</f>
        <v>2.5</v>
      </c>
      <c r="P2396" s="15" t="n">
        <f aca="false">AL2396*評分方法!$C$12</f>
        <v>1.5</v>
      </c>
      <c r="Q2396" s="6" t="n">
        <v>641255</v>
      </c>
      <c r="R2396" s="6" t="n">
        <v>315534045</v>
      </c>
      <c r="S2396" s="11" t="s">
        <v>238</v>
      </c>
      <c r="T2396" s="5"/>
      <c r="U2396" s="5" t="s">
        <v>375</v>
      </c>
      <c r="V2396" s="11" t="s">
        <v>261</v>
      </c>
      <c r="W2396" s="5" t="s">
        <v>334</v>
      </c>
      <c r="X2396" s="5" t="s">
        <v>255</v>
      </c>
      <c r="Y2396" s="5"/>
      <c r="Z2396" s="5"/>
      <c r="AA2396" s="11" t="s">
        <v>175</v>
      </c>
      <c r="AB2396" s="5" t="s">
        <v>245</v>
      </c>
      <c r="AC2396" s="5" t="s">
        <v>262</v>
      </c>
      <c r="AD2396" s="11" t="s">
        <v>5921</v>
      </c>
      <c r="AE2396" s="23" t="n">
        <v>0.3</v>
      </c>
      <c r="AF2396" s="23" t="n">
        <v>0</v>
      </c>
      <c r="AG2396" s="23" t="n">
        <v>0.33</v>
      </c>
      <c r="AH2396" s="23" t="n">
        <v>1</v>
      </c>
      <c r="AI2396" s="23" t="n">
        <v>0.2</v>
      </c>
      <c r="AJ2396" s="23" t="n">
        <v>0.6068</v>
      </c>
      <c r="AK2396" s="23" t="n">
        <v>0.5</v>
      </c>
      <c r="AL2396" s="23" t="n">
        <v>0.3</v>
      </c>
      <c r="AM2396" s="16" t="n">
        <f aca="false">COUNTIFS($D$2:$D$2501,D2396,$G$2:$G$2501,"&gt;"&amp;G2396)+COUNTIFS($D$2:D2396,D2396,$G$2:G2396,G2396)</f>
        <v>131</v>
      </c>
      <c r="AN2396" s="5" t="str">
        <f aca="false">D2396&amp;"|"&amp;AM2396</f>
        <v>語音分析|131</v>
      </c>
    </row>
    <row r="2397" customFormat="false" ht="17.15" hidden="false" customHeight="false" outlineLevel="0" collapsed="false">
      <c r="A2397" s="16" t="n">
        <f aca="false">RANK(G2397,$G$2:$G$2501)+COUNTIF($G$2:G2397,G2397)-1</f>
        <v>2396</v>
      </c>
      <c r="B2397" s="11" t="s">
        <v>5922</v>
      </c>
      <c r="C2397" s="11" t="s">
        <v>5923</v>
      </c>
      <c r="D2397" s="5" t="s">
        <v>72</v>
      </c>
      <c r="E2397" s="5" t="s">
        <v>73</v>
      </c>
      <c r="F2397" s="5"/>
      <c r="G2397" s="22" t="n">
        <f aca="false">ROUND(SUM(I2397:P2397),3)</f>
        <v>40.942</v>
      </c>
      <c r="H2397" s="5" t="str">
        <f aca="false">IF(G2397&gt;=評分方法!$C$16,"優先評估",IF(G2397&gt;=評分方法!$C$17,"列入候選",IF(G2397&gt;=評分方法!$C$18,"特定情境","不建議")))</f>
        <v>不建議</v>
      </c>
      <c r="I2397" s="15" t="n">
        <f aca="false">AE2397*評分方法!$C$5</f>
        <v>9</v>
      </c>
      <c r="J2397" s="15" t="n">
        <f aca="false">AF2397*評分方法!$C$6</f>
        <v>0</v>
      </c>
      <c r="K2397" s="15" t="n">
        <f aca="false">AG2397*評分方法!$C$7</f>
        <v>4.95</v>
      </c>
      <c r="L2397" s="15" t="n">
        <f aca="false">AH2397*評分方法!$C$8</f>
        <v>15</v>
      </c>
      <c r="M2397" s="15" t="n">
        <f aca="false">AI2397*評分方法!$C$9</f>
        <v>2</v>
      </c>
      <c r="N2397" s="15" t="n">
        <f aca="false">AJ2397*評分方法!$C$10</f>
        <v>8.992</v>
      </c>
      <c r="O2397" s="15" t="n">
        <f aca="false">AK2397*評分方法!$C$11</f>
        <v>1</v>
      </c>
      <c r="P2397" s="15" t="n">
        <f aca="false">AL2397*評分方法!$C$12</f>
        <v>0</v>
      </c>
      <c r="Q2397" s="6" t="n">
        <v>3807795</v>
      </c>
      <c r="R2397" s="6" t="n">
        <v>135851522</v>
      </c>
      <c r="S2397" s="11" t="s">
        <v>238</v>
      </c>
      <c r="T2397" s="5"/>
      <c r="U2397" s="5" t="s">
        <v>375</v>
      </c>
      <c r="V2397" s="11" t="s">
        <v>279</v>
      </c>
      <c r="W2397" s="5" t="s">
        <v>334</v>
      </c>
      <c r="X2397" s="5" t="s">
        <v>242</v>
      </c>
      <c r="Y2397" s="5"/>
      <c r="Z2397" s="5"/>
      <c r="AA2397" s="11" t="s">
        <v>162</v>
      </c>
      <c r="AB2397" s="5" t="s">
        <v>245</v>
      </c>
      <c r="AC2397" s="5" t="s">
        <v>4841</v>
      </c>
      <c r="AD2397" s="11" t="s">
        <v>5924</v>
      </c>
      <c r="AE2397" s="23" t="n">
        <v>0.3</v>
      </c>
      <c r="AF2397" s="23" t="n">
        <v>0</v>
      </c>
      <c r="AG2397" s="23" t="n">
        <v>0.33</v>
      </c>
      <c r="AH2397" s="23" t="n">
        <v>1</v>
      </c>
      <c r="AI2397" s="23" t="n">
        <v>0.2</v>
      </c>
      <c r="AJ2397" s="23" t="n">
        <v>0.8992</v>
      </c>
      <c r="AK2397" s="23" t="n">
        <v>0.2</v>
      </c>
      <c r="AL2397" s="23" t="n">
        <v>0</v>
      </c>
      <c r="AM2397" s="16" t="n">
        <f aca="false">COUNTIFS($D$2:$D$2501,D2397,$G$2:$G$2501,"&gt;"&amp;G2397)+COUNTIFS($D$2:D2397,D2397,$G$2:G2397,G2397)</f>
        <v>63</v>
      </c>
      <c r="AN2397" s="5" t="str">
        <f aca="false">D2397&amp;"|"&amp;AM2397</f>
        <v>微調基底模型|63</v>
      </c>
    </row>
    <row r="2398" customFormat="false" ht="17.15" hidden="false" customHeight="false" outlineLevel="0" collapsed="false">
      <c r="A2398" s="16" t="n">
        <f aca="false">RANK(G2398,$G$2:$G$2501)+COUNTIF($G$2:G2398,G2398)-1</f>
        <v>2397</v>
      </c>
      <c r="B2398" s="11" t="s">
        <v>5925</v>
      </c>
      <c r="C2398" s="11" t="s">
        <v>5926</v>
      </c>
      <c r="D2398" s="5" t="s">
        <v>66</v>
      </c>
      <c r="E2398" s="5" t="s">
        <v>67</v>
      </c>
      <c r="F2398" s="5"/>
      <c r="G2398" s="22" t="n">
        <f aca="false">ROUND(SUM(I2398:P2398),3)</f>
        <v>40.938</v>
      </c>
      <c r="H2398" s="5" t="str">
        <f aca="false">IF(G2398&gt;=評分方法!$C$16,"優先評估",IF(G2398&gt;=評分方法!$C$17,"列入候選",IF(G2398&gt;=評分方法!$C$18,"特定情境","不建議")))</f>
        <v>不建議</v>
      </c>
      <c r="I2398" s="15" t="n">
        <f aca="false">AE2398*評分方法!$C$5</f>
        <v>7.2</v>
      </c>
      <c r="J2398" s="15" t="n">
        <f aca="false">AF2398*評分方法!$C$6</f>
        <v>0</v>
      </c>
      <c r="K2398" s="15" t="n">
        <f aca="false">AG2398*評分方法!$C$7</f>
        <v>4.95</v>
      </c>
      <c r="L2398" s="15" t="n">
        <f aca="false">AH2398*評分方法!$C$8</f>
        <v>15</v>
      </c>
      <c r="M2398" s="15" t="n">
        <f aca="false">AI2398*評分方法!$C$9</f>
        <v>10</v>
      </c>
      <c r="N2398" s="15" t="n">
        <f aca="false">AJ2398*評分方法!$C$10</f>
        <v>1.288</v>
      </c>
      <c r="O2398" s="15" t="n">
        <f aca="false">AK2398*評分方法!$C$11</f>
        <v>2.5</v>
      </c>
      <c r="P2398" s="15" t="n">
        <f aca="false">AL2398*評分方法!$C$12</f>
        <v>0</v>
      </c>
      <c r="Q2398" s="6" t="n">
        <v>166834</v>
      </c>
      <c r="R2398" s="6" t="n">
        <v>68099079</v>
      </c>
      <c r="S2398" s="11" t="s">
        <v>238</v>
      </c>
      <c r="T2398" s="11" t="s">
        <v>278</v>
      </c>
      <c r="U2398" s="5" t="s">
        <v>240</v>
      </c>
      <c r="V2398" s="11" t="s">
        <v>283</v>
      </c>
      <c r="W2398" s="5" t="s">
        <v>334</v>
      </c>
      <c r="X2398" s="5" t="s">
        <v>242</v>
      </c>
      <c r="Y2398" s="11" t="s">
        <v>4858</v>
      </c>
      <c r="Z2398" s="11" t="s">
        <v>244</v>
      </c>
      <c r="AA2398" s="11" t="s">
        <v>149</v>
      </c>
      <c r="AB2398" s="5" t="s">
        <v>245</v>
      </c>
      <c r="AC2398" s="5" t="s">
        <v>5927</v>
      </c>
      <c r="AD2398" s="11" t="s">
        <v>5928</v>
      </c>
      <c r="AE2398" s="23" t="n">
        <v>0.24</v>
      </c>
      <c r="AF2398" s="23" t="n">
        <v>0</v>
      </c>
      <c r="AG2398" s="23" t="n">
        <v>0.33</v>
      </c>
      <c r="AH2398" s="23" t="n">
        <v>1</v>
      </c>
      <c r="AI2398" s="23" t="n">
        <v>1</v>
      </c>
      <c r="AJ2398" s="23" t="n">
        <v>0.1288</v>
      </c>
      <c r="AK2398" s="23" t="n">
        <v>0.5</v>
      </c>
      <c r="AL2398" s="23" t="n">
        <v>0</v>
      </c>
      <c r="AM2398" s="16" t="n">
        <f aca="false">COUNTIFS($D$2:$D$2501,D2398,$G$2:$G$2501,"&gt;"&amp;G2398)+COUNTIFS($D$2:D2398,D2398,$G$2:G2398,G2398)</f>
        <v>78</v>
      </c>
      <c r="AN2398" s="5" t="str">
        <f aca="false">D2398&amp;"|"&amp;AM2398</f>
        <v>分類與偵測|78</v>
      </c>
    </row>
    <row r="2399" customFormat="false" ht="17.15" hidden="false" customHeight="false" outlineLevel="0" collapsed="false">
      <c r="A2399" s="16" t="n">
        <f aca="false">RANK(G2399,$G$2:$G$2501)+COUNTIF($G$2:G2399,G2399)-1</f>
        <v>2398</v>
      </c>
      <c r="B2399" s="11" t="s">
        <v>5929</v>
      </c>
      <c r="C2399" s="11" t="s">
        <v>5500</v>
      </c>
      <c r="D2399" s="5" t="s">
        <v>80</v>
      </c>
      <c r="E2399" s="5" t="s">
        <v>81</v>
      </c>
      <c r="F2399" s="5"/>
      <c r="G2399" s="22" t="n">
        <f aca="false">ROUND(SUM(I2399:P2399),3)</f>
        <v>40.922</v>
      </c>
      <c r="H2399" s="5" t="str">
        <f aca="false">IF(G2399&gt;=評分方法!$C$16,"優先評估",IF(G2399&gt;=評分方法!$C$17,"列入候選",IF(G2399&gt;=評分方法!$C$18,"特定情境","不建議")))</f>
        <v>不建議</v>
      </c>
      <c r="I2399" s="15" t="n">
        <f aca="false">AE2399*評分方法!$C$5</f>
        <v>6</v>
      </c>
      <c r="J2399" s="15" t="n">
        <f aca="false">AF2399*評分方法!$C$6</f>
        <v>0</v>
      </c>
      <c r="K2399" s="15" t="n">
        <f aca="false">AG2399*評分方法!$C$7</f>
        <v>4.95</v>
      </c>
      <c r="L2399" s="15" t="n">
        <f aca="false">AH2399*評分方法!$C$8</f>
        <v>15</v>
      </c>
      <c r="M2399" s="15" t="n">
        <f aca="false">AI2399*評分方法!$C$9</f>
        <v>10</v>
      </c>
      <c r="N2399" s="15" t="n">
        <f aca="false">AJ2399*評分方法!$C$10</f>
        <v>2.472</v>
      </c>
      <c r="O2399" s="15" t="n">
        <f aca="false">AK2399*評分方法!$C$11</f>
        <v>1</v>
      </c>
      <c r="P2399" s="15" t="n">
        <f aca="false">AL2399*評分方法!$C$12</f>
        <v>1.5</v>
      </c>
      <c r="Q2399" s="6" t="n">
        <v>248690</v>
      </c>
      <c r="R2399" s="6" t="n">
        <v>94600813</v>
      </c>
      <c r="S2399" s="11" t="s">
        <v>238</v>
      </c>
      <c r="T2399" s="11" t="s">
        <v>239</v>
      </c>
      <c r="U2399" s="5" t="s">
        <v>240</v>
      </c>
      <c r="V2399" s="11" t="s">
        <v>4873</v>
      </c>
      <c r="W2399" s="5" t="s">
        <v>334</v>
      </c>
      <c r="X2399" s="5" t="s">
        <v>255</v>
      </c>
      <c r="Y2399" s="5"/>
      <c r="Z2399" s="5"/>
      <c r="AA2399" s="5"/>
      <c r="AB2399" s="5" t="s">
        <v>255</v>
      </c>
      <c r="AC2399" s="5"/>
      <c r="AD2399" s="11" t="s">
        <v>5930</v>
      </c>
      <c r="AE2399" s="23" t="n">
        <v>0.2</v>
      </c>
      <c r="AF2399" s="23" t="n">
        <v>0</v>
      </c>
      <c r="AG2399" s="23" t="n">
        <v>0.33</v>
      </c>
      <c r="AH2399" s="23" t="n">
        <v>1</v>
      </c>
      <c r="AI2399" s="23" t="n">
        <v>1</v>
      </c>
      <c r="AJ2399" s="23" t="n">
        <v>0.2472</v>
      </c>
      <c r="AK2399" s="23" t="n">
        <v>0.2</v>
      </c>
      <c r="AL2399" s="23" t="n">
        <v>0.3</v>
      </c>
      <c r="AM2399" s="16" t="n">
        <f aca="false">COUNTIFS($D$2:$D$2501,D2399,$G$2:$G$2501,"&gt;"&amp;G2399)+COUNTIFS($D$2:D2399,D2399,$G$2:G2399,G2399)</f>
        <v>55</v>
      </c>
      <c r="AN2399" s="5" t="str">
        <f aca="false">D2399&amp;"|"&amp;AM2399</f>
        <v>其他|55</v>
      </c>
    </row>
    <row r="2400" customFormat="false" ht="17.15" hidden="false" customHeight="false" outlineLevel="0" collapsed="false">
      <c r="A2400" s="16" t="n">
        <f aca="false">RANK(G2400,$G$2:$G$2501)+COUNTIF($G$2:G2400,G2400)-1</f>
        <v>2399</v>
      </c>
      <c r="B2400" s="11" t="s">
        <v>5931</v>
      </c>
      <c r="C2400" s="11" t="s">
        <v>5719</v>
      </c>
      <c r="D2400" s="5" t="s">
        <v>80</v>
      </c>
      <c r="E2400" s="5" t="s">
        <v>81</v>
      </c>
      <c r="F2400" s="5"/>
      <c r="G2400" s="22" t="n">
        <f aca="false">ROUND(SUM(I2400:P2400),3)</f>
        <v>40.906</v>
      </c>
      <c r="H2400" s="5" t="str">
        <f aca="false">IF(G2400&gt;=評分方法!$C$16,"優先評估",IF(G2400&gt;=評分方法!$C$17,"列入候選",IF(G2400&gt;=評分方法!$C$18,"特定情境","不建議")))</f>
        <v>不建議</v>
      </c>
      <c r="I2400" s="15" t="n">
        <f aca="false">AE2400*評分方法!$C$5</f>
        <v>6</v>
      </c>
      <c r="J2400" s="15" t="n">
        <f aca="false">AF2400*評分方法!$C$6</f>
        <v>0</v>
      </c>
      <c r="K2400" s="15" t="n">
        <f aca="false">AG2400*評分方法!$C$7</f>
        <v>4.95</v>
      </c>
      <c r="L2400" s="15" t="n">
        <f aca="false">AH2400*評分方法!$C$8</f>
        <v>15</v>
      </c>
      <c r="M2400" s="15" t="n">
        <f aca="false">AI2400*評分方法!$C$9</f>
        <v>10</v>
      </c>
      <c r="N2400" s="15" t="n">
        <f aca="false">AJ2400*評分方法!$C$10</f>
        <v>0.956</v>
      </c>
      <c r="O2400" s="15" t="n">
        <f aca="false">AK2400*評分方法!$C$11</f>
        <v>2.5</v>
      </c>
      <c r="P2400" s="15" t="n">
        <f aca="false">AL2400*評分方法!$C$12</f>
        <v>1.5</v>
      </c>
      <c r="Q2400" s="6" t="n">
        <v>151331</v>
      </c>
      <c r="R2400" s="6" t="n">
        <v>176306960</v>
      </c>
      <c r="S2400" s="11" t="s">
        <v>238</v>
      </c>
      <c r="T2400" s="11" t="s">
        <v>1636</v>
      </c>
      <c r="U2400" s="5" t="s">
        <v>240</v>
      </c>
      <c r="V2400" s="11" t="s">
        <v>261</v>
      </c>
      <c r="W2400" s="5" t="s">
        <v>334</v>
      </c>
      <c r="X2400" s="5" t="s">
        <v>255</v>
      </c>
      <c r="Y2400" s="5"/>
      <c r="Z2400" s="5"/>
      <c r="AA2400" s="5"/>
      <c r="AB2400" s="5" t="s">
        <v>255</v>
      </c>
      <c r="AC2400" s="5"/>
      <c r="AD2400" s="11" t="s">
        <v>5932</v>
      </c>
      <c r="AE2400" s="23" t="n">
        <v>0.2</v>
      </c>
      <c r="AF2400" s="23" t="n">
        <v>0</v>
      </c>
      <c r="AG2400" s="23" t="n">
        <v>0.33</v>
      </c>
      <c r="AH2400" s="23" t="n">
        <v>1</v>
      </c>
      <c r="AI2400" s="23" t="n">
        <v>1</v>
      </c>
      <c r="AJ2400" s="23" t="n">
        <v>0.0956</v>
      </c>
      <c r="AK2400" s="23" t="n">
        <v>0.5</v>
      </c>
      <c r="AL2400" s="23" t="n">
        <v>0.3</v>
      </c>
      <c r="AM2400" s="16" t="n">
        <f aca="false">COUNTIFS($D$2:$D$2501,D2400,$G$2:$G$2501,"&gt;"&amp;G2400)+COUNTIFS($D$2:D2400,D2400,$G$2:G2400,G2400)</f>
        <v>56</v>
      </c>
      <c r="AN2400" s="5" t="str">
        <f aca="false">D2400&amp;"|"&amp;AM2400</f>
        <v>其他|56</v>
      </c>
    </row>
    <row r="2401" customFormat="false" ht="17.15" hidden="false" customHeight="false" outlineLevel="0" collapsed="false">
      <c r="A2401" s="16" t="n">
        <f aca="false">RANK(G2401,$G$2:$G$2501)+COUNTIF($G$2:G2401,G2401)-1</f>
        <v>2400</v>
      </c>
      <c r="B2401" s="11" t="s">
        <v>5933</v>
      </c>
      <c r="C2401" s="11" t="s">
        <v>5934</v>
      </c>
      <c r="D2401" s="5" t="s">
        <v>72</v>
      </c>
      <c r="E2401" s="5" t="s">
        <v>73</v>
      </c>
      <c r="F2401" s="5"/>
      <c r="G2401" s="22" t="n">
        <f aca="false">ROUND(SUM(I2401:P2401),3)</f>
        <v>40.902</v>
      </c>
      <c r="H2401" s="5" t="str">
        <f aca="false">IF(G2401&gt;=評分方法!$C$16,"優先評估",IF(G2401&gt;=評分方法!$C$17,"列入候選",IF(G2401&gt;=評分方法!$C$18,"特定情境","不建議")))</f>
        <v>不建議</v>
      </c>
      <c r="I2401" s="15" t="n">
        <f aca="false">AE2401*評分方法!$C$5</f>
        <v>3.6</v>
      </c>
      <c r="J2401" s="15" t="n">
        <f aca="false">AF2401*評分方法!$C$6</f>
        <v>0</v>
      </c>
      <c r="K2401" s="15" t="n">
        <f aca="false">AG2401*評分方法!$C$7</f>
        <v>4.95</v>
      </c>
      <c r="L2401" s="15" t="n">
        <f aca="false">AH2401*評分方法!$C$8</f>
        <v>15</v>
      </c>
      <c r="M2401" s="15" t="n">
        <f aca="false">AI2401*評分方法!$C$9</f>
        <v>10</v>
      </c>
      <c r="N2401" s="15" t="n">
        <f aca="false">AJ2401*評分方法!$C$10</f>
        <v>2.352</v>
      </c>
      <c r="O2401" s="15" t="n">
        <f aca="false">AK2401*評分方法!$C$11</f>
        <v>5</v>
      </c>
      <c r="P2401" s="15" t="n">
        <f aca="false">AL2401*評分方法!$C$12</f>
        <v>0</v>
      </c>
      <c r="Q2401" s="6" t="n">
        <v>235527</v>
      </c>
      <c r="R2401" s="6" t="n">
        <v>124745902</v>
      </c>
      <c r="S2401" s="11" t="s">
        <v>238</v>
      </c>
      <c r="T2401" s="11" t="s">
        <v>239</v>
      </c>
      <c r="U2401" s="5" t="s">
        <v>240</v>
      </c>
      <c r="V2401" s="11" t="s">
        <v>324</v>
      </c>
      <c r="W2401" s="5" t="s">
        <v>334</v>
      </c>
      <c r="X2401" s="5" t="s">
        <v>242</v>
      </c>
      <c r="Y2401" s="5"/>
      <c r="Z2401" s="5"/>
      <c r="AA2401" s="11" t="s">
        <v>162</v>
      </c>
      <c r="AB2401" s="5" t="s">
        <v>245</v>
      </c>
      <c r="AC2401" s="5" t="s">
        <v>5236</v>
      </c>
      <c r="AD2401" s="11" t="s">
        <v>5935</v>
      </c>
      <c r="AE2401" s="23" t="n">
        <v>0.12</v>
      </c>
      <c r="AF2401" s="23" t="n">
        <v>0</v>
      </c>
      <c r="AG2401" s="23" t="n">
        <v>0.33</v>
      </c>
      <c r="AH2401" s="23" t="n">
        <v>1</v>
      </c>
      <c r="AI2401" s="23" t="n">
        <v>1</v>
      </c>
      <c r="AJ2401" s="23" t="n">
        <v>0.2352</v>
      </c>
      <c r="AK2401" s="23" t="n">
        <v>1</v>
      </c>
      <c r="AL2401" s="23" t="n">
        <v>0</v>
      </c>
      <c r="AM2401" s="16" t="n">
        <f aca="false">COUNTIFS($D$2:$D$2501,D2401,$G$2:$G$2501,"&gt;"&amp;G2401)+COUNTIFS($D$2:D2401,D2401,$G$2:G2401,G2401)</f>
        <v>64</v>
      </c>
      <c r="AN2401" s="5" t="str">
        <f aca="false">D2401&amp;"|"&amp;AM2401</f>
        <v>微調基底模型|64</v>
      </c>
    </row>
    <row r="2402" customFormat="false" ht="17.15" hidden="false" customHeight="false" outlineLevel="0" collapsed="false">
      <c r="A2402" s="16" t="n">
        <f aca="false">RANK(G2402,$G$2:$G$2501)+COUNTIF($G$2:G2402,G2402)-1</f>
        <v>2401</v>
      </c>
      <c r="B2402" s="11" t="s">
        <v>5936</v>
      </c>
      <c r="C2402" s="11" t="s">
        <v>5719</v>
      </c>
      <c r="D2402" s="5" t="s">
        <v>80</v>
      </c>
      <c r="E2402" s="5" t="s">
        <v>81</v>
      </c>
      <c r="F2402" s="5"/>
      <c r="G2402" s="22" t="n">
        <f aca="false">ROUND(SUM(I2402:P2402),3)</f>
        <v>40.898</v>
      </c>
      <c r="H2402" s="5" t="str">
        <f aca="false">IF(G2402&gt;=評分方法!$C$16,"優先評估",IF(G2402&gt;=評分方法!$C$17,"列入候選",IF(G2402&gt;=評分方法!$C$18,"特定情境","不建議")))</f>
        <v>不建議</v>
      </c>
      <c r="I2402" s="15" t="n">
        <f aca="false">AE2402*評分方法!$C$5</f>
        <v>6</v>
      </c>
      <c r="J2402" s="15" t="n">
        <f aca="false">AF2402*評分方法!$C$6</f>
        <v>0</v>
      </c>
      <c r="K2402" s="15" t="n">
        <f aca="false">AG2402*評分方法!$C$7</f>
        <v>4.95</v>
      </c>
      <c r="L2402" s="15" t="n">
        <f aca="false">AH2402*評分方法!$C$8</f>
        <v>15</v>
      </c>
      <c r="M2402" s="15" t="n">
        <f aca="false">AI2402*評分方法!$C$9</f>
        <v>10</v>
      </c>
      <c r="N2402" s="15" t="n">
        <f aca="false">AJ2402*評分方法!$C$10</f>
        <v>0.948</v>
      </c>
      <c r="O2402" s="15" t="n">
        <f aca="false">AK2402*評分方法!$C$11</f>
        <v>2.5</v>
      </c>
      <c r="P2402" s="15" t="n">
        <f aca="false">AL2402*評分方法!$C$12</f>
        <v>1.5</v>
      </c>
      <c r="Q2402" s="6" t="n">
        <v>151247</v>
      </c>
      <c r="R2402" s="6" t="n">
        <v>176306960</v>
      </c>
      <c r="S2402" s="11" t="s">
        <v>238</v>
      </c>
      <c r="T2402" s="11" t="s">
        <v>1636</v>
      </c>
      <c r="U2402" s="5" t="s">
        <v>240</v>
      </c>
      <c r="V2402" s="11" t="s">
        <v>261</v>
      </c>
      <c r="W2402" s="5" t="s">
        <v>334</v>
      </c>
      <c r="X2402" s="5" t="s">
        <v>255</v>
      </c>
      <c r="Y2402" s="5"/>
      <c r="Z2402" s="5"/>
      <c r="AA2402" s="5"/>
      <c r="AB2402" s="5" t="s">
        <v>255</v>
      </c>
      <c r="AC2402" s="5"/>
      <c r="AD2402" s="11" t="s">
        <v>5937</v>
      </c>
      <c r="AE2402" s="23" t="n">
        <v>0.2</v>
      </c>
      <c r="AF2402" s="23" t="n">
        <v>0</v>
      </c>
      <c r="AG2402" s="23" t="n">
        <v>0.33</v>
      </c>
      <c r="AH2402" s="23" t="n">
        <v>1</v>
      </c>
      <c r="AI2402" s="23" t="n">
        <v>1</v>
      </c>
      <c r="AJ2402" s="23" t="n">
        <v>0.0948</v>
      </c>
      <c r="AK2402" s="23" t="n">
        <v>0.5</v>
      </c>
      <c r="AL2402" s="23" t="n">
        <v>0.3</v>
      </c>
      <c r="AM2402" s="16" t="n">
        <f aca="false">COUNTIFS($D$2:$D$2501,D2402,$G$2:$G$2501,"&gt;"&amp;G2402)+COUNTIFS($D$2:D2402,D2402,$G$2:G2402,G2402)</f>
        <v>57</v>
      </c>
      <c r="AN2402" s="5" t="str">
        <f aca="false">D2402&amp;"|"&amp;AM2402</f>
        <v>其他|57</v>
      </c>
    </row>
    <row r="2403" customFormat="false" ht="17.15" hidden="false" customHeight="false" outlineLevel="0" collapsed="false">
      <c r="A2403" s="16" t="n">
        <f aca="false">RANK(G2403,$G$2:$G$2501)+COUNTIF($G$2:G2403,G2403)-1</f>
        <v>2402</v>
      </c>
      <c r="B2403" s="11" t="s">
        <v>5938</v>
      </c>
      <c r="C2403" s="11" t="s">
        <v>5719</v>
      </c>
      <c r="D2403" s="5" t="s">
        <v>80</v>
      </c>
      <c r="E2403" s="5" t="s">
        <v>81</v>
      </c>
      <c r="F2403" s="5"/>
      <c r="G2403" s="22" t="n">
        <f aca="false">ROUND(SUM(I2403:P2403),3)</f>
        <v>40.894</v>
      </c>
      <c r="H2403" s="5" t="str">
        <f aca="false">IF(G2403&gt;=評分方法!$C$16,"優先評估",IF(G2403&gt;=評分方法!$C$17,"列入候選",IF(G2403&gt;=評分方法!$C$18,"特定情境","不建議")))</f>
        <v>不建議</v>
      </c>
      <c r="I2403" s="15" t="n">
        <f aca="false">AE2403*評分方法!$C$5</f>
        <v>6</v>
      </c>
      <c r="J2403" s="15" t="n">
        <f aca="false">AF2403*評分方法!$C$6</f>
        <v>0</v>
      </c>
      <c r="K2403" s="15" t="n">
        <f aca="false">AG2403*評分方法!$C$7</f>
        <v>4.95</v>
      </c>
      <c r="L2403" s="15" t="n">
        <f aca="false">AH2403*評分方法!$C$8</f>
        <v>15</v>
      </c>
      <c r="M2403" s="15" t="n">
        <f aca="false">AI2403*評分方法!$C$9</f>
        <v>10</v>
      </c>
      <c r="N2403" s="15" t="n">
        <f aca="false">AJ2403*評分方法!$C$10</f>
        <v>0.944</v>
      </c>
      <c r="O2403" s="15" t="n">
        <f aca="false">AK2403*評分方法!$C$11</f>
        <v>2.5</v>
      </c>
      <c r="P2403" s="15" t="n">
        <f aca="false">AL2403*評分方法!$C$12</f>
        <v>1.5</v>
      </c>
      <c r="Q2403" s="6" t="n">
        <v>151208</v>
      </c>
      <c r="R2403" s="6" t="n">
        <v>176306960</v>
      </c>
      <c r="S2403" s="11" t="s">
        <v>238</v>
      </c>
      <c r="T2403" s="11" t="s">
        <v>1636</v>
      </c>
      <c r="U2403" s="5" t="s">
        <v>240</v>
      </c>
      <c r="V2403" s="11" t="s">
        <v>261</v>
      </c>
      <c r="W2403" s="5" t="s">
        <v>334</v>
      </c>
      <c r="X2403" s="5" t="s">
        <v>255</v>
      </c>
      <c r="Y2403" s="5"/>
      <c r="Z2403" s="5"/>
      <c r="AA2403" s="5"/>
      <c r="AB2403" s="5" t="s">
        <v>255</v>
      </c>
      <c r="AC2403" s="5"/>
      <c r="AD2403" s="11" t="s">
        <v>5939</v>
      </c>
      <c r="AE2403" s="23" t="n">
        <v>0.2</v>
      </c>
      <c r="AF2403" s="23" t="n">
        <v>0</v>
      </c>
      <c r="AG2403" s="23" t="n">
        <v>0.33</v>
      </c>
      <c r="AH2403" s="23" t="n">
        <v>1</v>
      </c>
      <c r="AI2403" s="23" t="n">
        <v>1</v>
      </c>
      <c r="AJ2403" s="23" t="n">
        <v>0.0944</v>
      </c>
      <c r="AK2403" s="23" t="n">
        <v>0.5</v>
      </c>
      <c r="AL2403" s="23" t="n">
        <v>0.3</v>
      </c>
      <c r="AM2403" s="16" t="n">
        <f aca="false">COUNTIFS($D$2:$D$2501,D2403,$G$2:$G$2501,"&gt;"&amp;G2403)+COUNTIFS($D$2:D2403,D2403,$G$2:G2403,G2403)</f>
        <v>58</v>
      </c>
      <c r="AN2403" s="5" t="str">
        <f aca="false">D2403&amp;"|"&amp;AM2403</f>
        <v>其他|58</v>
      </c>
    </row>
    <row r="2404" customFormat="false" ht="17.15" hidden="false" customHeight="false" outlineLevel="0" collapsed="false">
      <c r="A2404" s="16" t="n">
        <f aca="false">RANK(G2404,$G$2:$G$2501)+COUNTIF($G$2:G2404,G2404)-1</f>
        <v>2403</v>
      </c>
      <c r="B2404" s="11" t="s">
        <v>5940</v>
      </c>
      <c r="C2404" s="11" t="s">
        <v>4971</v>
      </c>
      <c r="D2404" s="5" t="s">
        <v>78</v>
      </c>
      <c r="E2404" s="5" t="s">
        <v>79</v>
      </c>
      <c r="F2404" s="5"/>
      <c r="G2404" s="22" t="n">
        <f aca="false">ROUND(SUM(I2404:P2404),3)</f>
        <v>40.854</v>
      </c>
      <c r="H2404" s="5" t="str">
        <f aca="false">IF(G2404&gt;=評分方法!$C$16,"優先評估",IF(G2404&gt;=評分方法!$C$17,"列入候選",IF(G2404&gt;=評分方法!$C$18,"特定情境","不建議")))</f>
        <v>不建議</v>
      </c>
      <c r="I2404" s="15" t="n">
        <f aca="false">AE2404*評分方法!$C$5</f>
        <v>4.5</v>
      </c>
      <c r="J2404" s="15" t="n">
        <f aca="false">AF2404*評分方法!$C$6</f>
        <v>0</v>
      </c>
      <c r="K2404" s="15" t="n">
        <f aca="false">AG2404*評分方法!$C$7</f>
        <v>4.95</v>
      </c>
      <c r="L2404" s="15" t="n">
        <f aca="false">AH2404*評分方法!$C$8</f>
        <v>15</v>
      </c>
      <c r="M2404" s="15" t="n">
        <f aca="false">AI2404*評分方法!$C$9</f>
        <v>10</v>
      </c>
      <c r="N2404" s="15" t="n">
        <f aca="false">AJ2404*評分方法!$C$10</f>
        <v>0.904</v>
      </c>
      <c r="O2404" s="15" t="n">
        <f aca="false">AK2404*評分方法!$C$11</f>
        <v>4</v>
      </c>
      <c r="P2404" s="15" t="n">
        <f aca="false">AL2404*評分方法!$C$12</f>
        <v>1.5</v>
      </c>
      <c r="Q2404" s="6" t="n">
        <v>149790</v>
      </c>
      <c r="R2404" s="6" t="n">
        <v>309121</v>
      </c>
      <c r="S2404" s="11" t="s">
        <v>238</v>
      </c>
      <c r="T2404" s="11" t="s">
        <v>278</v>
      </c>
      <c r="U2404" s="5" t="s">
        <v>240</v>
      </c>
      <c r="V2404" s="11" t="s">
        <v>261</v>
      </c>
      <c r="W2404" s="5" t="s">
        <v>334</v>
      </c>
      <c r="X2404" s="5" t="s">
        <v>255</v>
      </c>
      <c r="Y2404" s="5"/>
      <c r="Z2404" s="5"/>
      <c r="AA2404" s="11" t="s">
        <v>182</v>
      </c>
      <c r="AB2404" s="5" t="s">
        <v>245</v>
      </c>
      <c r="AC2404" s="5"/>
      <c r="AD2404" s="11" t="s">
        <v>5941</v>
      </c>
      <c r="AE2404" s="23" t="n">
        <v>0.15</v>
      </c>
      <c r="AF2404" s="23" t="n">
        <v>0</v>
      </c>
      <c r="AG2404" s="23" t="n">
        <v>0.33</v>
      </c>
      <c r="AH2404" s="23" t="n">
        <v>1</v>
      </c>
      <c r="AI2404" s="23" t="n">
        <v>1</v>
      </c>
      <c r="AJ2404" s="23" t="n">
        <v>0.0904</v>
      </c>
      <c r="AK2404" s="23" t="n">
        <v>0.8</v>
      </c>
      <c r="AL2404" s="23" t="n">
        <v>0.3</v>
      </c>
      <c r="AM2404" s="16" t="n">
        <f aca="false">COUNTIFS($D$2:$D$2501,D2404,$G$2:$G$2501,"&gt;"&amp;G2404)+COUNTIFS($D$2:D2404,D2404,$G$2:G2404,G2404)</f>
        <v>132</v>
      </c>
      <c r="AN2404" s="5" t="str">
        <f aca="false">D2404&amp;"|"&amp;AM2404</f>
        <v>語音分析|132</v>
      </c>
    </row>
    <row r="2405" customFormat="false" ht="17.15" hidden="false" customHeight="false" outlineLevel="0" collapsed="false">
      <c r="A2405" s="16" t="n">
        <f aca="false">RANK(G2405,$G$2:$G$2501)+COUNTIF($G$2:G2405,G2405)-1</f>
        <v>2404</v>
      </c>
      <c r="B2405" s="11" t="s">
        <v>5942</v>
      </c>
      <c r="C2405" s="11" t="s">
        <v>5770</v>
      </c>
      <c r="D2405" s="5" t="s">
        <v>80</v>
      </c>
      <c r="E2405" s="5" t="s">
        <v>81</v>
      </c>
      <c r="F2405" s="5"/>
      <c r="G2405" s="22" t="n">
        <f aca="false">ROUND(SUM(I2405:P2405),3)</f>
        <v>40.85</v>
      </c>
      <c r="H2405" s="5" t="str">
        <f aca="false">IF(G2405&gt;=評分方法!$C$16,"優先評估",IF(G2405&gt;=評分方法!$C$17,"列入候選",IF(G2405&gt;=評分方法!$C$18,"特定情境","不建議")))</f>
        <v>不建議</v>
      </c>
      <c r="I2405" s="15" t="n">
        <f aca="false">AE2405*評分方法!$C$5</f>
        <v>1.5</v>
      </c>
      <c r="J2405" s="15" t="n">
        <f aca="false">AF2405*評分方法!$C$6</f>
        <v>0</v>
      </c>
      <c r="K2405" s="15" t="n">
        <f aca="false">AG2405*評分方法!$C$7</f>
        <v>4.95</v>
      </c>
      <c r="L2405" s="15" t="n">
        <f aca="false">AH2405*評分方法!$C$8</f>
        <v>15</v>
      </c>
      <c r="M2405" s="15" t="n">
        <f aca="false">AI2405*評分方法!$C$9</f>
        <v>10</v>
      </c>
      <c r="N2405" s="15" t="n">
        <f aca="false">AJ2405*評分方法!$C$10</f>
        <v>6.9</v>
      </c>
      <c r="O2405" s="15" t="n">
        <f aca="false">AK2405*評分方法!$C$11</f>
        <v>2.5</v>
      </c>
      <c r="P2405" s="15" t="n">
        <f aca="false">AL2405*評分方法!$C$12</f>
        <v>0</v>
      </c>
      <c r="Q2405" s="6" t="n">
        <v>876107</v>
      </c>
      <c r="R2405" s="6" t="n">
        <v>85912337</v>
      </c>
      <c r="S2405" s="11" t="s">
        <v>238</v>
      </c>
      <c r="T2405" s="11" t="s">
        <v>239</v>
      </c>
      <c r="U2405" s="5" t="s">
        <v>240</v>
      </c>
      <c r="V2405" s="11" t="s">
        <v>261</v>
      </c>
      <c r="W2405" s="5" t="s">
        <v>334</v>
      </c>
      <c r="X2405" s="5" t="s">
        <v>242</v>
      </c>
      <c r="Y2405" s="5"/>
      <c r="Z2405" s="5"/>
      <c r="AA2405" s="11" t="s">
        <v>186</v>
      </c>
      <c r="AB2405" s="5" t="s">
        <v>245</v>
      </c>
      <c r="AC2405" s="5"/>
      <c r="AD2405" s="11" t="s">
        <v>5943</v>
      </c>
      <c r="AE2405" s="23" t="n">
        <v>0.05</v>
      </c>
      <c r="AF2405" s="23" t="n">
        <v>0</v>
      </c>
      <c r="AG2405" s="23" t="n">
        <v>0.33</v>
      </c>
      <c r="AH2405" s="23" t="n">
        <v>1</v>
      </c>
      <c r="AI2405" s="23" t="n">
        <v>1</v>
      </c>
      <c r="AJ2405" s="23" t="n">
        <v>0.69</v>
      </c>
      <c r="AK2405" s="23" t="n">
        <v>0.5</v>
      </c>
      <c r="AL2405" s="23" t="n">
        <v>0</v>
      </c>
      <c r="AM2405" s="16" t="n">
        <f aca="false">COUNTIFS($D$2:$D$2501,D2405,$G$2:$G$2501,"&gt;"&amp;G2405)+COUNTIFS($D$2:D2405,D2405,$G$2:G2405,G2405)</f>
        <v>59</v>
      </c>
      <c r="AN2405" s="5" t="str">
        <f aca="false">D2405&amp;"|"&amp;AM2405</f>
        <v>其他|59</v>
      </c>
    </row>
    <row r="2406" customFormat="false" ht="17.15" hidden="false" customHeight="false" outlineLevel="0" collapsed="false">
      <c r="A2406" s="16" t="n">
        <f aca="false">RANK(G2406,$G$2:$G$2501)+COUNTIF($G$2:G2406,G2406)-1</f>
        <v>2405</v>
      </c>
      <c r="B2406" s="11" t="s">
        <v>5944</v>
      </c>
      <c r="C2406" s="11" t="s">
        <v>5759</v>
      </c>
      <c r="D2406" s="5" t="s">
        <v>74</v>
      </c>
      <c r="E2406" s="5" t="s">
        <v>75</v>
      </c>
      <c r="F2406" s="5"/>
      <c r="G2406" s="22" t="n">
        <f aca="false">ROUND(SUM(I2406:P2406),3)</f>
        <v>40.818</v>
      </c>
      <c r="H2406" s="5" t="str">
        <f aca="false">IF(G2406&gt;=評分方法!$C$16,"優先評估",IF(G2406&gt;=評分方法!$C$17,"列入候選",IF(G2406&gt;=評分方法!$C$18,"特定情境","不建議")))</f>
        <v>不建議</v>
      </c>
      <c r="I2406" s="15" t="n">
        <f aca="false">AE2406*評分方法!$C$5</f>
        <v>10.5</v>
      </c>
      <c r="J2406" s="15" t="n">
        <f aca="false">AF2406*評分方法!$C$6</f>
        <v>0</v>
      </c>
      <c r="K2406" s="15" t="n">
        <f aca="false">AG2406*評分方法!$C$7</f>
        <v>4.95</v>
      </c>
      <c r="L2406" s="15" t="n">
        <f aca="false">AH2406*評分方法!$C$8</f>
        <v>15</v>
      </c>
      <c r="M2406" s="15" t="n">
        <f aca="false">AI2406*評分方法!$C$9</f>
        <v>6</v>
      </c>
      <c r="N2406" s="15" t="n">
        <f aca="false">AJ2406*評分方法!$C$10</f>
        <v>0.368</v>
      </c>
      <c r="O2406" s="15" t="n">
        <f aca="false">AK2406*評分方法!$C$11</f>
        <v>2.5</v>
      </c>
      <c r="P2406" s="15" t="n">
        <f aca="false">AL2406*評分方法!$C$12</f>
        <v>1.5</v>
      </c>
      <c r="Q2406" s="6" t="n">
        <v>127243</v>
      </c>
      <c r="R2406" s="6" t="n">
        <v>3538984</v>
      </c>
      <c r="S2406" s="11" t="s">
        <v>238</v>
      </c>
      <c r="T2406" s="11" t="s">
        <v>185</v>
      </c>
      <c r="U2406" s="5" t="s">
        <v>260</v>
      </c>
      <c r="V2406" s="11" t="s">
        <v>261</v>
      </c>
      <c r="W2406" s="5" t="s">
        <v>334</v>
      </c>
      <c r="X2406" s="5" t="s">
        <v>255</v>
      </c>
      <c r="Y2406" s="5"/>
      <c r="Z2406" s="5"/>
      <c r="AA2406" s="11" t="s">
        <v>172</v>
      </c>
      <c r="AB2406" s="5" t="s">
        <v>245</v>
      </c>
      <c r="AC2406" s="5" t="s">
        <v>262</v>
      </c>
      <c r="AD2406" s="11" t="s">
        <v>5945</v>
      </c>
      <c r="AE2406" s="23" t="n">
        <v>0.35</v>
      </c>
      <c r="AF2406" s="23" t="n">
        <v>0</v>
      </c>
      <c r="AG2406" s="23" t="n">
        <v>0.33</v>
      </c>
      <c r="AH2406" s="23" t="n">
        <v>1</v>
      </c>
      <c r="AI2406" s="23" t="n">
        <v>0.6</v>
      </c>
      <c r="AJ2406" s="23" t="n">
        <v>0.0368</v>
      </c>
      <c r="AK2406" s="23" t="n">
        <v>0.5</v>
      </c>
      <c r="AL2406" s="23" t="n">
        <v>0.3</v>
      </c>
      <c r="AM2406" s="16" t="n">
        <f aca="false">COUNTIFS($D$2:$D$2501,D2406,$G$2:$G$2501,"&gt;"&amp;G2406)+COUNTIFS($D$2:D2406,D2406,$G$2:G2406,G2406)</f>
        <v>338</v>
      </c>
      <c r="AN2406" s="5" t="str">
        <f aca="false">D2406&amp;"|"&amp;AM2406</f>
        <v>文件與影像辨識|338</v>
      </c>
    </row>
    <row r="2407" customFormat="false" ht="17.15" hidden="false" customHeight="false" outlineLevel="0" collapsed="false">
      <c r="A2407" s="16" t="n">
        <f aca="false">RANK(G2407,$G$2:$G$2501)+COUNTIF($G$2:G2407,G2407)-1</f>
        <v>2406</v>
      </c>
      <c r="B2407" s="11" t="s">
        <v>5946</v>
      </c>
      <c r="C2407" s="11" t="s">
        <v>5947</v>
      </c>
      <c r="D2407" s="5" t="s">
        <v>72</v>
      </c>
      <c r="E2407" s="5" t="s">
        <v>73</v>
      </c>
      <c r="F2407" s="5"/>
      <c r="G2407" s="22" t="n">
        <f aca="false">ROUND(SUM(I2407:P2407),3)</f>
        <v>40.806</v>
      </c>
      <c r="H2407" s="5" t="str">
        <f aca="false">IF(G2407&gt;=評分方法!$C$16,"優先評估",IF(G2407&gt;=評分方法!$C$17,"列入候選",IF(G2407&gt;=評分方法!$C$18,"特定情境","不建議")))</f>
        <v>不建議</v>
      </c>
      <c r="I2407" s="15" t="n">
        <f aca="false">AE2407*評分方法!$C$5</f>
        <v>6</v>
      </c>
      <c r="J2407" s="15" t="n">
        <f aca="false">AF2407*評分方法!$C$6</f>
        <v>0</v>
      </c>
      <c r="K2407" s="15" t="n">
        <f aca="false">AG2407*評分方法!$C$7</f>
        <v>4.95</v>
      </c>
      <c r="L2407" s="15" t="n">
        <f aca="false">AH2407*評分方法!$C$8</f>
        <v>15</v>
      </c>
      <c r="M2407" s="15" t="n">
        <f aca="false">AI2407*評分方法!$C$9</f>
        <v>2</v>
      </c>
      <c r="N2407" s="15" t="n">
        <f aca="false">AJ2407*評分方法!$C$10</f>
        <v>8.856</v>
      </c>
      <c r="O2407" s="15" t="n">
        <f aca="false">AK2407*評分方法!$C$11</f>
        <v>2.5</v>
      </c>
      <c r="P2407" s="15" t="n">
        <f aca="false">AL2407*評分方法!$C$12</f>
        <v>1.5</v>
      </c>
      <c r="Q2407" s="6" t="n">
        <v>3210831</v>
      </c>
      <c r="R2407" s="6" t="n">
        <v>108920835</v>
      </c>
      <c r="S2407" s="11" t="s">
        <v>238</v>
      </c>
      <c r="T2407" s="5"/>
      <c r="U2407" s="5" t="s">
        <v>375</v>
      </c>
      <c r="V2407" s="11" t="s">
        <v>261</v>
      </c>
      <c r="W2407" s="5" t="s">
        <v>334</v>
      </c>
      <c r="X2407" s="5" t="s">
        <v>255</v>
      </c>
      <c r="Y2407" s="5"/>
      <c r="Z2407" s="5"/>
      <c r="AA2407" s="11" t="s">
        <v>162</v>
      </c>
      <c r="AB2407" s="5" t="s">
        <v>328</v>
      </c>
      <c r="AC2407" s="5" t="s">
        <v>5948</v>
      </c>
      <c r="AD2407" s="11" t="s">
        <v>5949</v>
      </c>
      <c r="AE2407" s="23" t="n">
        <v>0.2</v>
      </c>
      <c r="AF2407" s="23" t="n">
        <v>0</v>
      </c>
      <c r="AG2407" s="23" t="n">
        <v>0.33</v>
      </c>
      <c r="AH2407" s="23" t="n">
        <v>1</v>
      </c>
      <c r="AI2407" s="23" t="n">
        <v>0.2</v>
      </c>
      <c r="AJ2407" s="23" t="n">
        <v>0.8856</v>
      </c>
      <c r="AK2407" s="23" t="n">
        <v>0.5</v>
      </c>
      <c r="AL2407" s="23" t="n">
        <v>0.3</v>
      </c>
      <c r="AM2407" s="16" t="n">
        <f aca="false">COUNTIFS($D$2:$D$2501,D2407,$G$2:$G$2501,"&gt;"&amp;G2407)+COUNTIFS($D$2:D2407,D2407,$G$2:G2407,G2407)</f>
        <v>65</v>
      </c>
      <c r="AN2407" s="5" t="str">
        <f aca="false">D2407&amp;"|"&amp;AM2407</f>
        <v>微調基底模型|65</v>
      </c>
    </row>
    <row r="2408" customFormat="false" ht="17.15" hidden="false" customHeight="false" outlineLevel="0" collapsed="false">
      <c r="A2408" s="16" t="n">
        <f aca="false">RANK(G2408,$G$2:$G$2501)+COUNTIF($G$2:G2408,G2408)-1</f>
        <v>2407</v>
      </c>
      <c r="B2408" s="11" t="s">
        <v>5950</v>
      </c>
      <c r="C2408" s="11" t="s">
        <v>4682</v>
      </c>
      <c r="D2408" s="5" t="s">
        <v>78</v>
      </c>
      <c r="E2408" s="5" t="s">
        <v>79</v>
      </c>
      <c r="F2408" s="5"/>
      <c r="G2408" s="22" t="n">
        <f aca="false">ROUND(SUM(I2408:P2408),3)</f>
        <v>40.546</v>
      </c>
      <c r="H2408" s="5" t="str">
        <f aca="false">IF(G2408&gt;=評分方法!$C$16,"優先評估",IF(G2408&gt;=評分方法!$C$17,"列入候選",IF(G2408&gt;=評分方法!$C$18,"特定情境","不建議")))</f>
        <v>不建議</v>
      </c>
      <c r="I2408" s="15" t="n">
        <f aca="false">AE2408*評分方法!$C$5</f>
        <v>5.4</v>
      </c>
      <c r="J2408" s="15" t="n">
        <f aca="false">AF2408*評分方法!$C$6</f>
        <v>0</v>
      </c>
      <c r="K2408" s="15" t="n">
        <f aca="false">AG2408*評分方法!$C$7</f>
        <v>4.95</v>
      </c>
      <c r="L2408" s="15" t="n">
        <f aca="false">AH2408*評分方法!$C$8</f>
        <v>15</v>
      </c>
      <c r="M2408" s="15" t="n">
        <f aca="false">AI2408*評分方法!$C$9</f>
        <v>10</v>
      </c>
      <c r="N2408" s="15" t="n">
        <f aca="false">AJ2408*評分方法!$C$10</f>
        <v>0.196</v>
      </c>
      <c r="O2408" s="15" t="n">
        <f aca="false">AK2408*評分方法!$C$11</f>
        <v>5</v>
      </c>
      <c r="P2408" s="15" t="n">
        <f aca="false">AL2408*評分方法!$C$12</f>
        <v>0</v>
      </c>
      <c r="Q2408" s="6" t="n">
        <v>121451</v>
      </c>
      <c r="R2408" s="6" t="n">
        <v>808878080</v>
      </c>
      <c r="S2408" s="11" t="s">
        <v>238</v>
      </c>
      <c r="T2408" s="11" t="s">
        <v>278</v>
      </c>
      <c r="U2408" s="5" t="s">
        <v>240</v>
      </c>
      <c r="V2408" s="11" t="s">
        <v>261</v>
      </c>
      <c r="W2408" s="5" t="s">
        <v>334</v>
      </c>
      <c r="X2408" s="5" t="s">
        <v>242</v>
      </c>
      <c r="Y2408" s="11" t="s">
        <v>2612</v>
      </c>
      <c r="Z2408" s="11" t="s">
        <v>270</v>
      </c>
      <c r="AA2408" s="11" t="s">
        <v>175</v>
      </c>
      <c r="AB2408" s="5" t="s">
        <v>496</v>
      </c>
      <c r="AC2408" s="5" t="s">
        <v>3677</v>
      </c>
      <c r="AD2408" s="11" t="s">
        <v>5951</v>
      </c>
      <c r="AE2408" s="23" t="n">
        <v>0.18</v>
      </c>
      <c r="AF2408" s="23" t="n">
        <v>0</v>
      </c>
      <c r="AG2408" s="23" t="n">
        <v>0.33</v>
      </c>
      <c r="AH2408" s="23" t="n">
        <v>1</v>
      </c>
      <c r="AI2408" s="23" t="n">
        <v>1</v>
      </c>
      <c r="AJ2408" s="23" t="n">
        <v>0.0196</v>
      </c>
      <c r="AK2408" s="23" t="n">
        <v>1</v>
      </c>
      <c r="AL2408" s="23" t="n">
        <v>0</v>
      </c>
      <c r="AM2408" s="16" t="n">
        <f aca="false">COUNTIFS($D$2:$D$2501,D2408,$G$2:$G$2501,"&gt;"&amp;G2408)+COUNTIFS($D$2:D2408,D2408,$G$2:G2408,G2408)</f>
        <v>133</v>
      </c>
      <c r="AN2408" s="5" t="str">
        <f aca="false">D2408&amp;"|"&amp;AM2408</f>
        <v>語音分析|133</v>
      </c>
    </row>
    <row r="2409" customFormat="false" ht="17.15" hidden="false" customHeight="false" outlineLevel="0" collapsed="false">
      <c r="A2409" s="16" t="n">
        <f aca="false">RANK(G2409,$G$2:$G$2501)+COUNTIF($G$2:G2409,G2409)-1</f>
        <v>2408</v>
      </c>
      <c r="B2409" s="11" t="s">
        <v>5952</v>
      </c>
      <c r="C2409" s="11" t="s">
        <v>4046</v>
      </c>
      <c r="D2409" s="5" t="s">
        <v>78</v>
      </c>
      <c r="E2409" s="5" t="s">
        <v>79</v>
      </c>
      <c r="F2409" s="5"/>
      <c r="G2409" s="22" t="n">
        <f aca="false">ROUND(SUM(I2409:P2409),3)</f>
        <v>40.53</v>
      </c>
      <c r="H2409" s="5" t="str">
        <f aca="false">IF(G2409&gt;=評分方法!$C$16,"優先評估",IF(G2409&gt;=評分方法!$C$17,"列入候選",IF(G2409&gt;=評分方法!$C$18,"特定情境","不建議")))</f>
        <v>不建議</v>
      </c>
      <c r="I2409" s="15" t="n">
        <f aca="false">AE2409*評分方法!$C$5</f>
        <v>5.4</v>
      </c>
      <c r="J2409" s="15" t="n">
        <f aca="false">AF2409*評分方法!$C$6</f>
        <v>0</v>
      </c>
      <c r="K2409" s="15" t="n">
        <f aca="false">AG2409*評分方法!$C$7</f>
        <v>4.95</v>
      </c>
      <c r="L2409" s="15" t="n">
        <f aca="false">AH2409*評分方法!$C$8</f>
        <v>15</v>
      </c>
      <c r="M2409" s="15" t="n">
        <f aca="false">AI2409*評分方法!$C$9</f>
        <v>10</v>
      </c>
      <c r="N2409" s="15" t="n">
        <f aca="false">AJ2409*評分方法!$C$10</f>
        <v>0.18</v>
      </c>
      <c r="O2409" s="15" t="n">
        <f aca="false">AK2409*評分方法!$C$11</f>
        <v>5</v>
      </c>
      <c r="P2409" s="15" t="n">
        <f aca="false">AL2409*評分方法!$C$12</f>
        <v>0</v>
      </c>
      <c r="Q2409" s="6" t="n">
        <v>121257</v>
      </c>
      <c r="R2409" s="6" t="n">
        <v>220889985</v>
      </c>
      <c r="S2409" s="11" t="s">
        <v>238</v>
      </c>
      <c r="T2409" s="11" t="s">
        <v>278</v>
      </c>
      <c r="U2409" s="5" t="s">
        <v>240</v>
      </c>
      <c r="V2409" s="11" t="s">
        <v>333</v>
      </c>
      <c r="W2409" s="5" t="s">
        <v>334</v>
      </c>
      <c r="X2409" s="5" t="s">
        <v>242</v>
      </c>
      <c r="Y2409" s="11" t="s">
        <v>5793</v>
      </c>
      <c r="Z2409" s="11" t="s">
        <v>244</v>
      </c>
      <c r="AA2409" s="11" t="s">
        <v>175</v>
      </c>
      <c r="AB2409" s="5" t="s">
        <v>245</v>
      </c>
      <c r="AC2409" s="5" t="s">
        <v>4081</v>
      </c>
      <c r="AD2409" s="11" t="s">
        <v>5953</v>
      </c>
      <c r="AE2409" s="23" t="n">
        <v>0.18</v>
      </c>
      <c r="AF2409" s="23" t="n">
        <v>0</v>
      </c>
      <c r="AG2409" s="23" t="n">
        <v>0.33</v>
      </c>
      <c r="AH2409" s="23" t="n">
        <v>1</v>
      </c>
      <c r="AI2409" s="23" t="n">
        <v>1</v>
      </c>
      <c r="AJ2409" s="23" t="n">
        <v>0.018</v>
      </c>
      <c r="AK2409" s="23" t="n">
        <v>1</v>
      </c>
      <c r="AL2409" s="23" t="n">
        <v>0</v>
      </c>
      <c r="AM2409" s="16" t="n">
        <f aca="false">COUNTIFS($D$2:$D$2501,D2409,$G$2:$G$2501,"&gt;"&amp;G2409)+COUNTIFS($D$2:D2409,D2409,$G$2:G2409,G2409)</f>
        <v>134</v>
      </c>
      <c r="AN2409" s="5" t="str">
        <f aca="false">D2409&amp;"|"&amp;AM2409</f>
        <v>語音分析|134</v>
      </c>
    </row>
    <row r="2410" customFormat="false" ht="17.15" hidden="false" customHeight="false" outlineLevel="0" collapsed="false">
      <c r="A2410" s="16" t="n">
        <f aca="false">RANK(G2410,$G$2:$G$2501)+COUNTIF($G$2:G2410,G2410)-1</f>
        <v>2409</v>
      </c>
      <c r="B2410" s="11" t="s">
        <v>5954</v>
      </c>
      <c r="C2410" s="11" t="s">
        <v>5955</v>
      </c>
      <c r="D2410" s="5" t="s">
        <v>78</v>
      </c>
      <c r="E2410" s="5" t="s">
        <v>79</v>
      </c>
      <c r="F2410" s="5"/>
      <c r="G2410" s="22" t="n">
        <f aca="false">ROUND(SUM(I2410:P2410),3)</f>
        <v>40.506</v>
      </c>
      <c r="H2410" s="5" t="str">
        <f aca="false">IF(G2410&gt;=評分方法!$C$16,"優先評估",IF(G2410&gt;=評分方法!$C$17,"列入候選",IF(G2410&gt;=評分方法!$C$18,"特定情境","不建議")))</f>
        <v>不建議</v>
      </c>
      <c r="I2410" s="15" t="n">
        <f aca="false">AE2410*評分方法!$C$5</f>
        <v>4.5</v>
      </c>
      <c r="J2410" s="15" t="n">
        <f aca="false">AF2410*評分方法!$C$6</f>
        <v>0</v>
      </c>
      <c r="K2410" s="15" t="n">
        <f aca="false">AG2410*評分方法!$C$7</f>
        <v>4.95</v>
      </c>
      <c r="L2410" s="15" t="n">
        <f aca="false">AH2410*評分方法!$C$8</f>
        <v>15</v>
      </c>
      <c r="M2410" s="15" t="n">
        <f aca="false">AI2410*評分方法!$C$9</f>
        <v>10</v>
      </c>
      <c r="N2410" s="15" t="n">
        <f aca="false">AJ2410*評分方法!$C$10</f>
        <v>3.556</v>
      </c>
      <c r="O2410" s="15" t="n">
        <f aca="false">AK2410*評分方法!$C$11</f>
        <v>1</v>
      </c>
      <c r="P2410" s="15" t="n">
        <f aca="false">AL2410*評分方法!$C$12</f>
        <v>1.5</v>
      </c>
      <c r="Q2410" s="6" t="n">
        <v>356413</v>
      </c>
      <c r="R2410" s="6" t="n">
        <v>1473515</v>
      </c>
      <c r="S2410" s="11" t="s">
        <v>238</v>
      </c>
      <c r="T2410" s="11" t="s">
        <v>278</v>
      </c>
      <c r="U2410" s="5" t="s">
        <v>240</v>
      </c>
      <c r="V2410" s="11" t="s">
        <v>261</v>
      </c>
      <c r="W2410" s="5" t="s">
        <v>334</v>
      </c>
      <c r="X2410" s="5" t="s">
        <v>255</v>
      </c>
      <c r="Y2410" s="11" t="s">
        <v>5956</v>
      </c>
      <c r="Z2410" s="11" t="s">
        <v>270</v>
      </c>
      <c r="AA2410" s="11" t="s">
        <v>182</v>
      </c>
      <c r="AB2410" s="5" t="s">
        <v>496</v>
      </c>
      <c r="AC2410" s="5" t="s">
        <v>497</v>
      </c>
      <c r="AD2410" s="11" t="s">
        <v>5957</v>
      </c>
      <c r="AE2410" s="23" t="n">
        <v>0.15</v>
      </c>
      <c r="AF2410" s="23" t="n">
        <v>0</v>
      </c>
      <c r="AG2410" s="23" t="n">
        <v>0.33</v>
      </c>
      <c r="AH2410" s="23" t="n">
        <v>1</v>
      </c>
      <c r="AI2410" s="23" t="n">
        <v>1</v>
      </c>
      <c r="AJ2410" s="23" t="n">
        <v>0.3556</v>
      </c>
      <c r="AK2410" s="23" t="n">
        <v>0.2</v>
      </c>
      <c r="AL2410" s="23" t="n">
        <v>0.3</v>
      </c>
      <c r="AM2410" s="16" t="n">
        <f aca="false">COUNTIFS($D$2:$D$2501,D2410,$G$2:$G$2501,"&gt;"&amp;G2410)+COUNTIFS($D$2:D2410,D2410,$G$2:G2410,G2410)</f>
        <v>135</v>
      </c>
      <c r="AN2410" s="5" t="str">
        <f aca="false">D2410&amp;"|"&amp;AM2410</f>
        <v>語音分析|135</v>
      </c>
    </row>
    <row r="2411" customFormat="false" ht="17.15" hidden="false" customHeight="false" outlineLevel="0" collapsed="false">
      <c r="A2411" s="16" t="n">
        <f aca="false">RANK(G2411,$G$2:$G$2501)+COUNTIF($G$2:G2411,G2411)-1</f>
        <v>2410</v>
      </c>
      <c r="B2411" s="11" t="s">
        <v>5958</v>
      </c>
      <c r="C2411" s="11" t="s">
        <v>5959</v>
      </c>
      <c r="D2411" s="5" t="s">
        <v>72</v>
      </c>
      <c r="E2411" s="5" t="s">
        <v>73</v>
      </c>
      <c r="F2411" s="5"/>
      <c r="G2411" s="22" t="n">
        <f aca="false">ROUND(SUM(I2411:P2411),3)</f>
        <v>40.342</v>
      </c>
      <c r="H2411" s="5" t="str">
        <f aca="false">IF(G2411&gt;=評分方法!$C$16,"優先評估",IF(G2411&gt;=評分方法!$C$17,"列入候選",IF(G2411&gt;=評分方法!$C$18,"特定情境","不建議")))</f>
        <v>不建議</v>
      </c>
      <c r="I2411" s="15" t="n">
        <f aca="false">AE2411*評分方法!$C$5</f>
        <v>9</v>
      </c>
      <c r="J2411" s="15" t="n">
        <f aca="false">AF2411*評分方法!$C$6</f>
        <v>0</v>
      </c>
      <c r="K2411" s="15" t="n">
        <f aca="false">AG2411*評分方法!$C$7</f>
        <v>4.95</v>
      </c>
      <c r="L2411" s="15" t="n">
        <f aca="false">AH2411*評分方法!$C$8</f>
        <v>15</v>
      </c>
      <c r="M2411" s="15" t="n">
        <f aca="false">AI2411*評分方法!$C$9</f>
        <v>10</v>
      </c>
      <c r="N2411" s="15" t="n">
        <f aca="false">AJ2411*評分方法!$C$10</f>
        <v>0.392</v>
      </c>
      <c r="O2411" s="15" t="n">
        <f aca="false">AK2411*評分方法!$C$11</f>
        <v>1</v>
      </c>
      <c r="P2411" s="15" t="n">
        <f aca="false">AL2411*評分方法!$C$12</f>
        <v>0</v>
      </c>
      <c r="Q2411" s="6" t="n">
        <v>128050</v>
      </c>
      <c r="R2411" s="6" t="n">
        <v>165092235</v>
      </c>
      <c r="S2411" s="11" t="s">
        <v>238</v>
      </c>
      <c r="T2411" s="11" t="s">
        <v>278</v>
      </c>
      <c r="U2411" s="5" t="s">
        <v>240</v>
      </c>
      <c r="V2411" s="11" t="s">
        <v>279</v>
      </c>
      <c r="W2411" s="5" t="s">
        <v>334</v>
      </c>
      <c r="X2411" s="5" t="s">
        <v>242</v>
      </c>
      <c r="Y2411" s="5"/>
      <c r="Z2411" s="5"/>
      <c r="AA2411" s="11" t="s">
        <v>162</v>
      </c>
      <c r="AB2411" s="5" t="s">
        <v>245</v>
      </c>
      <c r="AC2411" s="5" t="s">
        <v>1463</v>
      </c>
      <c r="AD2411" s="11" t="s">
        <v>5960</v>
      </c>
      <c r="AE2411" s="23" t="n">
        <v>0.3</v>
      </c>
      <c r="AF2411" s="23" t="n">
        <v>0</v>
      </c>
      <c r="AG2411" s="23" t="n">
        <v>0.33</v>
      </c>
      <c r="AH2411" s="23" t="n">
        <v>1</v>
      </c>
      <c r="AI2411" s="23" t="n">
        <v>1</v>
      </c>
      <c r="AJ2411" s="23" t="n">
        <v>0.0392</v>
      </c>
      <c r="AK2411" s="23" t="n">
        <v>0.2</v>
      </c>
      <c r="AL2411" s="23" t="n">
        <v>0</v>
      </c>
      <c r="AM2411" s="16" t="n">
        <f aca="false">COUNTIFS($D$2:$D$2501,D2411,$G$2:$G$2501,"&gt;"&amp;G2411)+COUNTIFS($D$2:D2411,D2411,$G$2:G2411,G2411)</f>
        <v>66</v>
      </c>
      <c r="AN2411" s="5" t="str">
        <f aca="false">D2411&amp;"|"&amp;AM2411</f>
        <v>微調基底模型|66</v>
      </c>
    </row>
    <row r="2412" customFormat="false" ht="17.15" hidden="false" customHeight="false" outlineLevel="0" collapsed="false">
      <c r="A2412" s="16" t="n">
        <f aca="false">RANK(G2412,$G$2:$G$2501)+COUNTIF($G$2:G2412,G2412)-1</f>
        <v>2411</v>
      </c>
      <c r="B2412" s="11" t="s">
        <v>5961</v>
      </c>
      <c r="C2412" s="11" t="s">
        <v>5962</v>
      </c>
      <c r="D2412" s="5" t="s">
        <v>58</v>
      </c>
      <c r="E2412" s="5" t="s">
        <v>59</v>
      </c>
      <c r="F2412" s="5"/>
      <c r="G2412" s="22" t="n">
        <f aca="false">ROUND(SUM(I2412:P2412),3)</f>
        <v>40.334</v>
      </c>
      <c r="H2412" s="5" t="str">
        <f aca="false">IF(G2412&gt;=評分方法!$C$16,"優先評估",IF(G2412&gt;=評分方法!$C$17,"列入候選",IF(G2412&gt;=評分方法!$C$18,"特定情境","不建議")))</f>
        <v>不建議</v>
      </c>
      <c r="I2412" s="15" t="n">
        <f aca="false">AE2412*評分方法!$C$5</f>
        <v>11.4</v>
      </c>
      <c r="J2412" s="15" t="n">
        <f aca="false">AF2412*評分方法!$C$6</f>
        <v>0</v>
      </c>
      <c r="K2412" s="15" t="n">
        <f aca="false">AG2412*評分方法!$C$7</f>
        <v>4.95</v>
      </c>
      <c r="L2412" s="15" t="n">
        <f aca="false">AH2412*評分方法!$C$8</f>
        <v>15</v>
      </c>
      <c r="M2412" s="15" t="n">
        <f aca="false">AI2412*評分方法!$C$9</f>
        <v>2</v>
      </c>
      <c r="N2412" s="15" t="n">
        <f aca="false">AJ2412*評分方法!$C$10</f>
        <v>2.984</v>
      </c>
      <c r="O2412" s="15" t="n">
        <f aca="false">AK2412*評分方法!$C$11</f>
        <v>2.5</v>
      </c>
      <c r="P2412" s="15" t="n">
        <f aca="false">AL2412*評分方法!$C$12</f>
        <v>1.5</v>
      </c>
      <c r="Q2412" s="6" t="n">
        <v>293324</v>
      </c>
      <c r="R2412" s="6" t="n">
        <v>109495825</v>
      </c>
      <c r="S2412" s="11" t="s">
        <v>238</v>
      </c>
      <c r="T2412" s="5"/>
      <c r="U2412" s="5" t="s">
        <v>375</v>
      </c>
      <c r="V2412" s="11" t="s">
        <v>813</v>
      </c>
      <c r="W2412" s="5" t="s">
        <v>334</v>
      </c>
      <c r="X2412" s="5" t="s">
        <v>255</v>
      </c>
      <c r="Y2412" s="5"/>
      <c r="Z2412" s="5"/>
      <c r="AA2412" s="11" t="s">
        <v>150</v>
      </c>
      <c r="AB2412" s="5" t="s">
        <v>245</v>
      </c>
      <c r="AC2412" s="5" t="s">
        <v>5481</v>
      </c>
      <c r="AD2412" s="11" t="s">
        <v>5963</v>
      </c>
      <c r="AE2412" s="23" t="n">
        <v>0.38</v>
      </c>
      <c r="AF2412" s="23" t="n">
        <v>0</v>
      </c>
      <c r="AG2412" s="23" t="n">
        <v>0.33</v>
      </c>
      <c r="AH2412" s="23" t="n">
        <v>1</v>
      </c>
      <c r="AI2412" s="23" t="n">
        <v>0.2</v>
      </c>
      <c r="AJ2412" s="23" t="n">
        <v>0.2984</v>
      </c>
      <c r="AK2412" s="23" t="n">
        <v>0.5</v>
      </c>
      <c r="AL2412" s="23" t="n">
        <v>0.3</v>
      </c>
      <c r="AM2412" s="16" t="n">
        <f aca="false">COUNTIFS($D$2:$D$2501,D2412,$G$2:$G$2501,"&gt;"&amp;G2412)+COUNTIFS($D$2:D2412,D2412,$G$2:G2412,G2412)</f>
        <v>357</v>
      </c>
      <c r="AN2412" s="5" t="str">
        <f aca="false">D2412&amp;"|"&amp;AM2412</f>
        <v>實體擷取與去識別化|357</v>
      </c>
    </row>
    <row r="2413" customFormat="false" ht="17.15" hidden="false" customHeight="false" outlineLevel="0" collapsed="false">
      <c r="A2413" s="16" t="n">
        <f aca="false">RANK(G2413,$G$2:$G$2501)+COUNTIF($G$2:G2413,G2413)-1</f>
        <v>2412</v>
      </c>
      <c r="B2413" s="11" t="s">
        <v>5964</v>
      </c>
      <c r="C2413" s="11" t="s">
        <v>1374</v>
      </c>
      <c r="D2413" s="5" t="s">
        <v>78</v>
      </c>
      <c r="E2413" s="5" t="s">
        <v>79</v>
      </c>
      <c r="F2413" s="5"/>
      <c r="G2413" s="22" t="n">
        <f aca="false">ROUND(SUM(I2413:P2413),3)</f>
        <v>40.284</v>
      </c>
      <c r="H2413" s="5" t="str">
        <f aca="false">IF(G2413&gt;=評分方法!$C$16,"優先評估",IF(G2413&gt;=評分方法!$C$17,"列入候選",IF(G2413&gt;=評分方法!$C$18,"特定情境","不建議")))</f>
        <v>不建議</v>
      </c>
      <c r="I2413" s="15" t="n">
        <f aca="false">AE2413*評分方法!$C$5</f>
        <v>9</v>
      </c>
      <c r="J2413" s="15" t="n">
        <f aca="false">AF2413*評分方法!$C$6</f>
        <v>0</v>
      </c>
      <c r="K2413" s="15" t="n">
        <f aca="false">AG2413*評分方法!$C$7</f>
        <v>10.05</v>
      </c>
      <c r="L2413" s="15" t="n">
        <f aca="false">AH2413*評分方法!$C$8</f>
        <v>7.05</v>
      </c>
      <c r="M2413" s="15" t="n">
        <f aca="false">AI2413*評分方法!$C$9</f>
        <v>2</v>
      </c>
      <c r="N2413" s="15" t="n">
        <f aca="false">AJ2413*評分方法!$C$10</f>
        <v>6.684</v>
      </c>
      <c r="O2413" s="15" t="n">
        <f aca="false">AK2413*評分方法!$C$11</f>
        <v>4</v>
      </c>
      <c r="P2413" s="15" t="n">
        <f aca="false">AL2413*評分方法!$C$12</f>
        <v>1.5</v>
      </c>
      <c r="Q2413" s="6" t="n">
        <v>808150</v>
      </c>
      <c r="R2413" s="6"/>
      <c r="S2413" s="5" t="s">
        <v>255</v>
      </c>
      <c r="T2413" s="5"/>
      <c r="U2413" s="5" t="s">
        <v>375</v>
      </c>
      <c r="V2413" s="11" t="s">
        <v>261</v>
      </c>
      <c r="W2413" s="5" t="s">
        <v>207</v>
      </c>
      <c r="X2413" s="5" t="s">
        <v>255</v>
      </c>
      <c r="Y2413" s="5"/>
      <c r="Z2413" s="5"/>
      <c r="AA2413" s="11" t="s">
        <v>175</v>
      </c>
      <c r="AB2413" s="5" t="s">
        <v>245</v>
      </c>
      <c r="AC2413" s="5" t="s">
        <v>262</v>
      </c>
      <c r="AD2413" s="11" t="s">
        <v>5965</v>
      </c>
      <c r="AE2413" s="23" t="n">
        <v>0.3</v>
      </c>
      <c r="AF2413" s="23" t="n">
        <v>0</v>
      </c>
      <c r="AG2413" s="23" t="n">
        <v>0.67</v>
      </c>
      <c r="AH2413" s="23" t="n">
        <v>0.47</v>
      </c>
      <c r="AI2413" s="23" t="n">
        <v>0.2</v>
      </c>
      <c r="AJ2413" s="23" t="n">
        <v>0.6684</v>
      </c>
      <c r="AK2413" s="23" t="n">
        <v>0.8</v>
      </c>
      <c r="AL2413" s="23" t="n">
        <v>0.3</v>
      </c>
      <c r="AM2413" s="16" t="n">
        <f aca="false">COUNTIFS($D$2:$D$2501,D2413,$G$2:$G$2501,"&gt;"&amp;G2413)+COUNTIFS($D$2:D2413,D2413,$G$2:G2413,G2413)</f>
        <v>136</v>
      </c>
      <c r="AN2413" s="5" t="str">
        <f aca="false">D2413&amp;"|"&amp;AM2413</f>
        <v>語音分析|136</v>
      </c>
    </row>
    <row r="2414" customFormat="false" ht="17.15" hidden="false" customHeight="false" outlineLevel="0" collapsed="false">
      <c r="A2414" s="16" t="n">
        <f aca="false">RANK(G2414,$G$2:$G$2501)+COUNTIF($G$2:G2414,G2414)-1</f>
        <v>2413</v>
      </c>
      <c r="B2414" s="11" t="s">
        <v>5966</v>
      </c>
      <c r="C2414" s="11" t="s">
        <v>5967</v>
      </c>
      <c r="D2414" s="5" t="s">
        <v>56</v>
      </c>
      <c r="E2414" s="5" t="s">
        <v>57</v>
      </c>
      <c r="F2414" s="5"/>
      <c r="G2414" s="22" t="n">
        <f aca="false">ROUND(SUM(I2414:P2414),3)</f>
        <v>40.274</v>
      </c>
      <c r="H2414" s="5" t="str">
        <f aca="false">IF(G2414&gt;=評分方法!$C$16,"優先評估",IF(G2414&gt;=評分方法!$C$17,"列入候選",IF(G2414&gt;=評分方法!$C$18,"特定情境","不建議")))</f>
        <v>不建議</v>
      </c>
      <c r="I2414" s="15" t="n">
        <f aca="false">AE2414*評分方法!$C$5</f>
        <v>15.3</v>
      </c>
      <c r="J2414" s="15" t="n">
        <f aca="false">AF2414*評分方法!$C$6</f>
        <v>0</v>
      </c>
      <c r="K2414" s="15" t="n">
        <f aca="false">AG2414*評分方法!$C$7</f>
        <v>4.95</v>
      </c>
      <c r="L2414" s="15" t="n">
        <f aca="false">AH2414*評分方法!$C$8</f>
        <v>15</v>
      </c>
      <c r="M2414" s="15" t="n">
        <f aca="false">AI2414*評分方法!$C$9</f>
        <v>2</v>
      </c>
      <c r="N2414" s="15" t="n">
        <f aca="false">AJ2414*評分方法!$C$10</f>
        <v>2.024</v>
      </c>
      <c r="O2414" s="15" t="n">
        <f aca="false">AK2414*評分方法!$C$11</f>
        <v>1</v>
      </c>
      <c r="P2414" s="15" t="n">
        <f aca="false">AL2414*評分方法!$C$12</f>
        <v>0</v>
      </c>
      <c r="Q2414" s="6" t="n">
        <v>212538</v>
      </c>
      <c r="R2414" s="6" t="n">
        <v>129145344</v>
      </c>
      <c r="S2414" s="11" t="s">
        <v>238</v>
      </c>
      <c r="T2414" s="5"/>
      <c r="U2414" s="5" t="s">
        <v>375</v>
      </c>
      <c r="V2414" s="11" t="s">
        <v>279</v>
      </c>
      <c r="W2414" s="5" t="s">
        <v>334</v>
      </c>
      <c r="X2414" s="5" t="s">
        <v>242</v>
      </c>
      <c r="Y2414" s="5"/>
      <c r="Z2414" s="5"/>
      <c r="AA2414" s="11" t="s">
        <v>155</v>
      </c>
      <c r="AB2414" s="5" t="s">
        <v>245</v>
      </c>
      <c r="AC2414" s="5" t="s">
        <v>4841</v>
      </c>
      <c r="AD2414" s="11" t="s">
        <v>5968</v>
      </c>
      <c r="AE2414" s="23" t="n">
        <v>0.51</v>
      </c>
      <c r="AF2414" s="23" t="n">
        <v>0</v>
      </c>
      <c r="AG2414" s="23" t="n">
        <v>0.33</v>
      </c>
      <c r="AH2414" s="23" t="n">
        <v>1</v>
      </c>
      <c r="AI2414" s="23" t="n">
        <v>0.2</v>
      </c>
      <c r="AJ2414" s="23" t="n">
        <v>0.2024</v>
      </c>
      <c r="AK2414" s="23" t="n">
        <v>0.2</v>
      </c>
      <c r="AL2414" s="23" t="n">
        <v>0</v>
      </c>
      <c r="AM2414" s="16" t="n">
        <f aca="false">COUNTIFS($D$2:$D$2501,D2414,$G$2:$G$2501,"&gt;"&amp;G2414)+COUNTIFS($D$2:D2414,D2414,$G$2:G2414,G2414)</f>
        <v>978</v>
      </c>
      <c r="AN2414" s="5" t="str">
        <f aca="false">D2414&amp;"|"&amp;AM2414</f>
        <v>分析與報告生成|978</v>
      </c>
    </row>
    <row r="2415" customFormat="false" ht="17.15" hidden="false" customHeight="false" outlineLevel="0" collapsed="false">
      <c r="A2415" s="16" t="n">
        <f aca="false">RANK(G2415,$G$2:$G$2501)+COUNTIF($G$2:G2415,G2415)-1</f>
        <v>2414</v>
      </c>
      <c r="B2415" s="11" t="s">
        <v>5969</v>
      </c>
      <c r="C2415" s="11" t="s">
        <v>5770</v>
      </c>
      <c r="D2415" s="5" t="s">
        <v>80</v>
      </c>
      <c r="E2415" s="5" t="s">
        <v>81</v>
      </c>
      <c r="F2415" s="5"/>
      <c r="G2415" s="22" t="n">
        <f aca="false">ROUND(SUM(I2415:P2415),3)</f>
        <v>40.006</v>
      </c>
      <c r="H2415" s="5" t="str">
        <f aca="false">IF(G2415&gt;=評分方法!$C$16,"優先評估",IF(G2415&gt;=評分方法!$C$17,"列入候選",IF(G2415&gt;=評分方法!$C$18,"特定情境","不建議")))</f>
        <v>不建議</v>
      </c>
      <c r="I2415" s="15" t="n">
        <f aca="false">AE2415*評分方法!$C$5</f>
        <v>1.5</v>
      </c>
      <c r="J2415" s="15" t="n">
        <f aca="false">AF2415*評分方法!$C$6</f>
        <v>0</v>
      </c>
      <c r="K2415" s="15" t="n">
        <f aca="false">AG2415*評分方法!$C$7</f>
        <v>4.95</v>
      </c>
      <c r="L2415" s="15" t="n">
        <f aca="false">AH2415*評分方法!$C$8</f>
        <v>15</v>
      </c>
      <c r="M2415" s="15" t="n">
        <f aca="false">AI2415*評分方法!$C$9</f>
        <v>10</v>
      </c>
      <c r="N2415" s="15" t="n">
        <f aca="false">AJ2415*評分方法!$C$10</f>
        <v>4.556</v>
      </c>
      <c r="O2415" s="15" t="n">
        <f aca="false">AK2415*評分方法!$C$11</f>
        <v>2.5</v>
      </c>
      <c r="P2415" s="15" t="n">
        <f aca="false">AL2415*評分方法!$C$12</f>
        <v>1.5</v>
      </c>
      <c r="Q2415" s="6" t="n">
        <v>497250</v>
      </c>
      <c r="R2415" s="6" t="n">
        <v>899405073</v>
      </c>
      <c r="S2415" s="11" t="s">
        <v>238</v>
      </c>
      <c r="T2415" s="11" t="s">
        <v>239</v>
      </c>
      <c r="U2415" s="5" t="s">
        <v>240</v>
      </c>
      <c r="V2415" s="11" t="s">
        <v>261</v>
      </c>
      <c r="W2415" s="5" t="s">
        <v>334</v>
      </c>
      <c r="X2415" s="5" t="s">
        <v>255</v>
      </c>
      <c r="Y2415" s="5"/>
      <c r="Z2415" s="5"/>
      <c r="AA2415" s="11" t="s">
        <v>186</v>
      </c>
      <c r="AB2415" s="5" t="s">
        <v>245</v>
      </c>
      <c r="AC2415" s="5"/>
      <c r="AD2415" s="11" t="s">
        <v>5970</v>
      </c>
      <c r="AE2415" s="23" t="n">
        <v>0.05</v>
      </c>
      <c r="AF2415" s="23" t="n">
        <v>0</v>
      </c>
      <c r="AG2415" s="23" t="n">
        <v>0.33</v>
      </c>
      <c r="AH2415" s="23" t="n">
        <v>1</v>
      </c>
      <c r="AI2415" s="23" t="n">
        <v>1</v>
      </c>
      <c r="AJ2415" s="23" t="n">
        <v>0.4556</v>
      </c>
      <c r="AK2415" s="23" t="n">
        <v>0.5</v>
      </c>
      <c r="AL2415" s="23" t="n">
        <v>0.3</v>
      </c>
      <c r="AM2415" s="16" t="n">
        <f aca="false">COUNTIFS($D$2:$D$2501,D2415,$G$2:$G$2501,"&gt;"&amp;G2415)+COUNTIFS($D$2:D2415,D2415,$G$2:G2415,G2415)</f>
        <v>60</v>
      </c>
      <c r="AN2415" s="5" t="str">
        <f aca="false">D2415&amp;"|"&amp;AM2415</f>
        <v>其他|60</v>
      </c>
    </row>
    <row r="2416" customFormat="false" ht="17.15" hidden="false" customHeight="false" outlineLevel="0" collapsed="false">
      <c r="A2416" s="16" t="n">
        <f aca="false">RANK(G2416,$G$2:$G$2501)+COUNTIF($G$2:G2416,G2416)-1</f>
        <v>2415</v>
      </c>
      <c r="B2416" s="11" t="s">
        <v>5971</v>
      </c>
      <c r="C2416" s="11" t="s">
        <v>5972</v>
      </c>
      <c r="D2416" s="5" t="s">
        <v>66</v>
      </c>
      <c r="E2416" s="5" t="s">
        <v>67</v>
      </c>
      <c r="F2416" s="5"/>
      <c r="G2416" s="22" t="n">
        <f aca="false">ROUND(SUM(I2416:P2416),3)</f>
        <v>39.938</v>
      </c>
      <c r="H2416" s="5" t="str">
        <f aca="false">IF(G2416&gt;=評分方法!$C$16,"優先評估",IF(G2416&gt;=評分方法!$C$17,"列入候選",IF(G2416&gt;=評分方法!$C$18,"特定情境","不建議")))</f>
        <v>不建議</v>
      </c>
      <c r="I2416" s="15" t="n">
        <f aca="false">AE2416*評分方法!$C$5</f>
        <v>12</v>
      </c>
      <c r="J2416" s="15" t="n">
        <f aca="false">AF2416*評分方法!$C$6</f>
        <v>0</v>
      </c>
      <c r="K2416" s="15" t="n">
        <f aca="false">AG2416*評分方法!$C$7</f>
        <v>4.95</v>
      </c>
      <c r="L2416" s="15" t="n">
        <f aca="false">AH2416*評分方法!$C$8</f>
        <v>15</v>
      </c>
      <c r="M2416" s="15" t="n">
        <f aca="false">AI2416*評分方法!$C$9</f>
        <v>2</v>
      </c>
      <c r="N2416" s="15" t="n">
        <f aca="false">AJ2416*評分方法!$C$10</f>
        <v>3.488</v>
      </c>
      <c r="O2416" s="15" t="n">
        <f aca="false">AK2416*評分方法!$C$11</f>
        <v>1</v>
      </c>
      <c r="P2416" s="15" t="n">
        <f aca="false">AL2416*評分方法!$C$12</f>
        <v>1.5</v>
      </c>
      <c r="Q2416" s="6" t="n">
        <v>350724</v>
      </c>
      <c r="R2416" s="6" t="n">
        <v>58731523</v>
      </c>
      <c r="S2416" s="11" t="s">
        <v>238</v>
      </c>
      <c r="T2416" s="5"/>
      <c r="U2416" s="5" t="s">
        <v>375</v>
      </c>
      <c r="V2416" s="11" t="s">
        <v>855</v>
      </c>
      <c r="W2416" s="5" t="s">
        <v>334</v>
      </c>
      <c r="X2416" s="5" t="s">
        <v>255</v>
      </c>
      <c r="Y2416" s="5"/>
      <c r="Z2416" s="5"/>
      <c r="AA2416" s="11" t="s">
        <v>149</v>
      </c>
      <c r="AB2416" s="5" t="s">
        <v>245</v>
      </c>
      <c r="AC2416" s="5" t="s">
        <v>5481</v>
      </c>
      <c r="AD2416" s="11" t="s">
        <v>5973</v>
      </c>
      <c r="AE2416" s="23" t="n">
        <v>0.4</v>
      </c>
      <c r="AF2416" s="23" t="n">
        <v>0</v>
      </c>
      <c r="AG2416" s="23" t="n">
        <v>0.33</v>
      </c>
      <c r="AH2416" s="23" t="n">
        <v>1</v>
      </c>
      <c r="AI2416" s="23" t="n">
        <v>0.2</v>
      </c>
      <c r="AJ2416" s="23" t="n">
        <v>0.3488</v>
      </c>
      <c r="AK2416" s="23" t="n">
        <v>0.2</v>
      </c>
      <c r="AL2416" s="23" t="n">
        <v>0.3</v>
      </c>
      <c r="AM2416" s="16" t="n">
        <f aca="false">COUNTIFS($D$2:$D$2501,D2416,$G$2:$G$2501,"&gt;"&amp;G2416)+COUNTIFS($D$2:D2416,D2416,$G$2:G2416,G2416)</f>
        <v>79</v>
      </c>
      <c r="AN2416" s="5" t="str">
        <f aca="false">D2416&amp;"|"&amp;AM2416</f>
        <v>分類與偵測|79</v>
      </c>
    </row>
    <row r="2417" customFormat="false" ht="17.15" hidden="false" customHeight="false" outlineLevel="0" collapsed="false">
      <c r="A2417" s="16" t="n">
        <f aca="false">RANK(G2417,$G$2:$G$2501)+COUNTIF($G$2:G2417,G2417)-1</f>
        <v>2416</v>
      </c>
      <c r="B2417" s="11" t="s">
        <v>5974</v>
      </c>
      <c r="C2417" s="11" t="s">
        <v>1677</v>
      </c>
      <c r="D2417" s="5" t="s">
        <v>74</v>
      </c>
      <c r="E2417" s="5" t="s">
        <v>75</v>
      </c>
      <c r="F2417" s="5"/>
      <c r="G2417" s="22" t="n">
        <f aca="false">ROUND(SUM(I2417:P2417),3)</f>
        <v>39.408</v>
      </c>
      <c r="H2417" s="5" t="str">
        <f aca="false">IF(G2417&gt;=評分方法!$C$16,"優先評估",IF(G2417&gt;=評分方法!$C$17,"列入候選",IF(G2417&gt;=評分方法!$C$18,"特定情境","不建議")))</f>
        <v>不建議</v>
      </c>
      <c r="I2417" s="15" t="n">
        <f aca="false">AE2417*評分方法!$C$5</f>
        <v>12</v>
      </c>
      <c r="J2417" s="15" t="n">
        <f aca="false">AF2417*評分方法!$C$6</f>
        <v>0</v>
      </c>
      <c r="K2417" s="15" t="n">
        <f aca="false">AG2417*評分方法!$C$7</f>
        <v>10.05</v>
      </c>
      <c r="L2417" s="15" t="n">
        <f aca="false">AH2417*評分方法!$C$8</f>
        <v>7.05</v>
      </c>
      <c r="M2417" s="15" t="n">
        <f aca="false">AI2417*評分方法!$C$9</f>
        <v>2</v>
      </c>
      <c r="N2417" s="15" t="n">
        <f aca="false">AJ2417*評分方法!$C$10</f>
        <v>5.808</v>
      </c>
      <c r="O2417" s="15" t="n">
        <f aca="false">AK2417*評分方法!$C$11</f>
        <v>1</v>
      </c>
      <c r="P2417" s="15" t="n">
        <f aca="false">AL2417*評分方法!$C$12</f>
        <v>1.5</v>
      </c>
      <c r="Q2417" s="6" t="n">
        <v>595583</v>
      </c>
      <c r="R2417" s="6"/>
      <c r="S2417" s="5" t="s">
        <v>255</v>
      </c>
      <c r="T2417" s="5"/>
      <c r="U2417" s="5" t="s">
        <v>375</v>
      </c>
      <c r="V2417" s="11" t="s">
        <v>514</v>
      </c>
      <c r="W2417" s="5" t="s">
        <v>207</v>
      </c>
      <c r="X2417" s="5" t="s">
        <v>255</v>
      </c>
      <c r="Y2417" s="11" t="s">
        <v>5975</v>
      </c>
      <c r="Z2417" s="11" t="s">
        <v>244</v>
      </c>
      <c r="AA2417" s="11" t="s">
        <v>167</v>
      </c>
      <c r="AB2417" s="5" t="s">
        <v>245</v>
      </c>
      <c r="AC2417" s="5" t="s">
        <v>464</v>
      </c>
      <c r="AD2417" s="11" t="s">
        <v>5976</v>
      </c>
      <c r="AE2417" s="23" t="n">
        <v>0.4</v>
      </c>
      <c r="AF2417" s="23" t="n">
        <v>0</v>
      </c>
      <c r="AG2417" s="23" t="n">
        <v>0.67</v>
      </c>
      <c r="AH2417" s="23" t="n">
        <v>0.47</v>
      </c>
      <c r="AI2417" s="23" t="n">
        <v>0.2</v>
      </c>
      <c r="AJ2417" s="23" t="n">
        <v>0.5808</v>
      </c>
      <c r="AK2417" s="23" t="n">
        <v>0.2</v>
      </c>
      <c r="AL2417" s="23" t="n">
        <v>0.3</v>
      </c>
      <c r="AM2417" s="16" t="n">
        <f aca="false">COUNTIFS($D$2:$D$2501,D2417,$G$2:$G$2501,"&gt;"&amp;G2417)+COUNTIFS($D$2:D2417,D2417,$G$2:G2417,G2417)</f>
        <v>339</v>
      </c>
      <c r="AN2417" s="5" t="str">
        <f aca="false">D2417&amp;"|"&amp;AM2417</f>
        <v>文件與影像辨識|339</v>
      </c>
    </row>
    <row r="2418" customFormat="false" ht="17.15" hidden="false" customHeight="false" outlineLevel="0" collapsed="false">
      <c r="A2418" s="16" t="n">
        <f aca="false">RANK(G2418,$G$2:$G$2501)+COUNTIF($G$2:G2418,G2418)-1</f>
        <v>2417</v>
      </c>
      <c r="B2418" s="11" t="s">
        <v>5977</v>
      </c>
      <c r="C2418" s="11" t="s">
        <v>4059</v>
      </c>
      <c r="D2418" s="5" t="s">
        <v>74</v>
      </c>
      <c r="E2418" s="5" t="s">
        <v>75</v>
      </c>
      <c r="F2418" s="5"/>
      <c r="G2418" s="22" t="n">
        <f aca="false">ROUND(SUM(I2418:P2418),3)</f>
        <v>39.304</v>
      </c>
      <c r="H2418" s="5" t="str">
        <f aca="false">IF(G2418&gt;=評分方法!$C$16,"優先評估",IF(G2418&gt;=評分方法!$C$17,"列入候選",IF(G2418&gt;=評分方法!$C$18,"特定情境","不建議")))</f>
        <v>不建議</v>
      </c>
      <c r="I2418" s="15" t="n">
        <f aca="false">AE2418*評分方法!$C$5</f>
        <v>12</v>
      </c>
      <c r="J2418" s="15" t="n">
        <f aca="false">AF2418*評分方法!$C$6</f>
        <v>0</v>
      </c>
      <c r="K2418" s="15" t="n">
        <f aca="false">AG2418*評分方法!$C$7</f>
        <v>4.95</v>
      </c>
      <c r="L2418" s="15" t="n">
        <f aca="false">AH2418*評分方法!$C$8</f>
        <v>13.05</v>
      </c>
      <c r="M2418" s="15" t="n">
        <f aca="false">AI2418*評分方法!$C$9</f>
        <v>2</v>
      </c>
      <c r="N2418" s="15" t="n">
        <f aca="false">AJ2418*評分方法!$C$10</f>
        <v>3.304</v>
      </c>
      <c r="O2418" s="15" t="n">
        <f aca="false">AK2418*評分方法!$C$11</f>
        <v>2.5</v>
      </c>
      <c r="P2418" s="15" t="n">
        <f aca="false">AL2418*評分方法!$C$12</f>
        <v>1.5</v>
      </c>
      <c r="Q2418" s="6" t="n">
        <v>328764</v>
      </c>
      <c r="R2418" s="6" t="n">
        <v>8479990848</v>
      </c>
      <c r="S2418" s="11" t="s">
        <v>254</v>
      </c>
      <c r="T2418" s="5"/>
      <c r="U2418" s="5" t="s">
        <v>375</v>
      </c>
      <c r="V2418" s="11" t="s">
        <v>261</v>
      </c>
      <c r="W2418" s="5" t="s">
        <v>334</v>
      </c>
      <c r="X2418" s="5" t="s">
        <v>255</v>
      </c>
      <c r="Y2418" s="11" t="s">
        <v>2814</v>
      </c>
      <c r="Z2418" s="11" t="s">
        <v>270</v>
      </c>
      <c r="AA2418" s="11" t="s">
        <v>167</v>
      </c>
      <c r="AB2418" s="5" t="s">
        <v>496</v>
      </c>
      <c r="AC2418" s="5" t="s">
        <v>1330</v>
      </c>
      <c r="AD2418" s="11" t="s">
        <v>5978</v>
      </c>
      <c r="AE2418" s="23" t="n">
        <v>0.4</v>
      </c>
      <c r="AF2418" s="23" t="n">
        <v>0</v>
      </c>
      <c r="AG2418" s="23" t="n">
        <v>0.33</v>
      </c>
      <c r="AH2418" s="23" t="n">
        <v>0.87</v>
      </c>
      <c r="AI2418" s="23" t="n">
        <v>0.2</v>
      </c>
      <c r="AJ2418" s="23" t="n">
        <v>0.3304</v>
      </c>
      <c r="AK2418" s="23" t="n">
        <v>0.5</v>
      </c>
      <c r="AL2418" s="23" t="n">
        <v>0.3</v>
      </c>
      <c r="AM2418" s="16" t="n">
        <f aca="false">COUNTIFS($D$2:$D$2501,D2418,$G$2:$G$2501,"&gt;"&amp;G2418)+COUNTIFS($D$2:D2418,D2418,$G$2:G2418,G2418)</f>
        <v>340</v>
      </c>
      <c r="AN2418" s="5" t="str">
        <f aca="false">D2418&amp;"|"&amp;AM2418</f>
        <v>文件與影像辨識|340</v>
      </c>
    </row>
    <row r="2419" customFormat="false" ht="17.15" hidden="false" customHeight="false" outlineLevel="0" collapsed="false">
      <c r="A2419" s="16" t="n">
        <f aca="false">RANK(G2419,$G$2:$G$2501)+COUNTIF($G$2:G2419,G2419)-1</f>
        <v>2418</v>
      </c>
      <c r="B2419" s="11" t="s">
        <v>5979</v>
      </c>
      <c r="C2419" s="11" t="s">
        <v>5980</v>
      </c>
      <c r="D2419" s="5" t="s">
        <v>74</v>
      </c>
      <c r="E2419" s="5" t="s">
        <v>75</v>
      </c>
      <c r="F2419" s="5"/>
      <c r="G2419" s="22" t="n">
        <f aca="false">ROUND(SUM(I2419:P2419),3)</f>
        <v>39.296</v>
      </c>
      <c r="H2419" s="5" t="str">
        <f aca="false">IF(G2419&gt;=評分方法!$C$16,"優先評估",IF(G2419&gt;=評分方法!$C$17,"列入候選",IF(G2419&gt;=評分方法!$C$18,"特定情境","不建議")))</f>
        <v>不建議</v>
      </c>
      <c r="I2419" s="15" t="n">
        <f aca="false">AE2419*評分方法!$C$5</f>
        <v>10.5</v>
      </c>
      <c r="J2419" s="15" t="n">
        <f aca="false">AF2419*評分方法!$C$6</f>
        <v>0</v>
      </c>
      <c r="K2419" s="15" t="n">
        <f aca="false">AG2419*評分方法!$C$7</f>
        <v>4.95</v>
      </c>
      <c r="L2419" s="15" t="n">
        <f aca="false">AH2419*評分方法!$C$8</f>
        <v>7.05</v>
      </c>
      <c r="M2419" s="15" t="n">
        <f aca="false">AI2419*評分方法!$C$9</f>
        <v>10</v>
      </c>
      <c r="N2419" s="15" t="n">
        <f aca="false">AJ2419*評分方法!$C$10</f>
        <v>0.296</v>
      </c>
      <c r="O2419" s="15" t="n">
        <f aca="false">AK2419*評分方法!$C$11</f>
        <v>5</v>
      </c>
      <c r="P2419" s="15" t="n">
        <f aca="false">AL2419*評分方法!$C$12</f>
        <v>1.5</v>
      </c>
      <c r="Q2419" s="6" t="n">
        <v>124308</v>
      </c>
      <c r="R2419" s="6"/>
      <c r="S2419" s="5" t="s">
        <v>255</v>
      </c>
      <c r="T2419" s="11" t="s">
        <v>239</v>
      </c>
      <c r="U2419" s="5" t="s">
        <v>240</v>
      </c>
      <c r="V2419" s="11" t="s">
        <v>324</v>
      </c>
      <c r="W2419" s="5" t="s">
        <v>334</v>
      </c>
      <c r="X2419" s="5" t="s">
        <v>255</v>
      </c>
      <c r="Y2419" s="11" t="s">
        <v>4072</v>
      </c>
      <c r="Z2419" s="11" t="s">
        <v>942</v>
      </c>
      <c r="AA2419" s="11" t="s">
        <v>173</v>
      </c>
      <c r="AB2419" s="5" t="s">
        <v>496</v>
      </c>
      <c r="AC2419" s="5" t="s">
        <v>497</v>
      </c>
      <c r="AD2419" s="11" t="s">
        <v>5981</v>
      </c>
      <c r="AE2419" s="23" t="n">
        <v>0.35</v>
      </c>
      <c r="AF2419" s="23" t="n">
        <v>0</v>
      </c>
      <c r="AG2419" s="23" t="n">
        <v>0.33</v>
      </c>
      <c r="AH2419" s="23" t="n">
        <v>0.47</v>
      </c>
      <c r="AI2419" s="23" t="n">
        <v>1</v>
      </c>
      <c r="AJ2419" s="23" t="n">
        <v>0.0296</v>
      </c>
      <c r="AK2419" s="23" t="n">
        <v>1</v>
      </c>
      <c r="AL2419" s="23" t="n">
        <v>0.3</v>
      </c>
      <c r="AM2419" s="16" t="n">
        <f aca="false">COUNTIFS($D$2:$D$2501,D2419,$G$2:$G$2501,"&gt;"&amp;G2419)+COUNTIFS($D$2:D2419,D2419,$G$2:G2419,G2419)</f>
        <v>341</v>
      </c>
      <c r="AN2419" s="5" t="str">
        <f aca="false">D2419&amp;"|"&amp;AM2419</f>
        <v>文件與影像辨識|341</v>
      </c>
    </row>
    <row r="2420" customFormat="false" ht="17.15" hidden="false" customHeight="false" outlineLevel="0" collapsed="false">
      <c r="A2420" s="16" t="n">
        <f aca="false">RANK(G2420,$G$2:$G$2501)+COUNTIF($G$2:G2420,G2420)-1</f>
        <v>2419</v>
      </c>
      <c r="B2420" s="11" t="s">
        <v>5982</v>
      </c>
      <c r="C2420" s="11" t="s">
        <v>5983</v>
      </c>
      <c r="D2420" s="5" t="s">
        <v>66</v>
      </c>
      <c r="E2420" s="5" t="s">
        <v>67</v>
      </c>
      <c r="F2420" s="5"/>
      <c r="G2420" s="22" t="n">
        <f aca="false">ROUND(SUM(I2420:P2420),3)</f>
        <v>39.246</v>
      </c>
      <c r="H2420" s="5" t="str">
        <f aca="false">IF(G2420&gt;=評分方法!$C$16,"優先評估",IF(G2420&gt;=評分方法!$C$17,"列入候選",IF(G2420&gt;=評分方法!$C$18,"特定情境","不建議")))</f>
        <v>不建議</v>
      </c>
      <c r="I2420" s="15" t="n">
        <f aca="false">AE2420*評分方法!$C$5</f>
        <v>7.2</v>
      </c>
      <c r="J2420" s="15" t="n">
        <f aca="false">AF2420*評分方法!$C$6</f>
        <v>0</v>
      </c>
      <c r="K2420" s="15" t="n">
        <f aca="false">AG2420*評分方法!$C$7</f>
        <v>4.95</v>
      </c>
      <c r="L2420" s="15" t="n">
        <f aca="false">AH2420*評分方法!$C$8</f>
        <v>15</v>
      </c>
      <c r="M2420" s="15" t="n">
        <f aca="false">AI2420*評分方法!$C$9</f>
        <v>2</v>
      </c>
      <c r="N2420" s="15" t="n">
        <f aca="false">AJ2420*評分方法!$C$10</f>
        <v>9.096</v>
      </c>
      <c r="O2420" s="15" t="n">
        <f aca="false">AK2420*評分方法!$C$11</f>
        <v>1</v>
      </c>
      <c r="P2420" s="15" t="n">
        <f aca="false">AL2420*評分方法!$C$12</f>
        <v>0</v>
      </c>
      <c r="Q2420" s="6" t="n">
        <v>4408540</v>
      </c>
      <c r="R2420" s="6" t="n">
        <v>108791173</v>
      </c>
      <c r="S2420" s="11" t="s">
        <v>238</v>
      </c>
      <c r="T2420" s="5"/>
      <c r="U2420" s="5" t="s">
        <v>375</v>
      </c>
      <c r="V2420" s="11" t="s">
        <v>855</v>
      </c>
      <c r="W2420" s="5" t="s">
        <v>334</v>
      </c>
      <c r="X2420" s="5" t="s">
        <v>242</v>
      </c>
      <c r="Y2420" s="5"/>
      <c r="Z2420" s="5"/>
      <c r="AA2420" s="11" t="s">
        <v>149</v>
      </c>
      <c r="AB2420" s="5" t="s">
        <v>245</v>
      </c>
      <c r="AC2420" s="5" t="s">
        <v>5984</v>
      </c>
      <c r="AD2420" s="11" t="s">
        <v>5985</v>
      </c>
      <c r="AE2420" s="23" t="n">
        <v>0.24</v>
      </c>
      <c r="AF2420" s="23" t="n">
        <v>0</v>
      </c>
      <c r="AG2420" s="23" t="n">
        <v>0.33</v>
      </c>
      <c r="AH2420" s="23" t="n">
        <v>1</v>
      </c>
      <c r="AI2420" s="23" t="n">
        <v>0.2</v>
      </c>
      <c r="AJ2420" s="23" t="n">
        <v>0.9096</v>
      </c>
      <c r="AK2420" s="23" t="n">
        <v>0.2</v>
      </c>
      <c r="AL2420" s="23" t="n">
        <v>0</v>
      </c>
      <c r="AM2420" s="16" t="n">
        <f aca="false">COUNTIFS($D$2:$D$2501,D2420,$G$2:$G$2501,"&gt;"&amp;G2420)+COUNTIFS($D$2:D2420,D2420,$G$2:G2420,G2420)</f>
        <v>80</v>
      </c>
      <c r="AN2420" s="5" t="str">
        <f aca="false">D2420&amp;"|"&amp;AM2420</f>
        <v>分類與偵測|80</v>
      </c>
    </row>
    <row r="2421" customFormat="false" ht="17.15" hidden="false" customHeight="false" outlineLevel="0" collapsed="false">
      <c r="A2421" s="16" t="n">
        <f aca="false">RANK(G2421,$G$2:$G$2501)+COUNTIF($G$2:G2421,G2421)-1</f>
        <v>2420</v>
      </c>
      <c r="B2421" s="11" t="s">
        <v>5986</v>
      </c>
      <c r="C2421" s="11" t="s">
        <v>2829</v>
      </c>
      <c r="D2421" s="5" t="s">
        <v>66</v>
      </c>
      <c r="E2421" s="5" t="s">
        <v>67</v>
      </c>
      <c r="F2421" s="5"/>
      <c r="G2421" s="22" t="n">
        <f aca="false">ROUND(SUM(I2421:P2421),3)</f>
        <v>39.234</v>
      </c>
      <c r="H2421" s="5" t="str">
        <f aca="false">IF(G2421&gt;=評分方法!$C$16,"優先評估",IF(G2421&gt;=評分方法!$C$17,"列入候選",IF(G2421&gt;=評分方法!$C$18,"特定情境","不建議")))</f>
        <v>不建議</v>
      </c>
      <c r="I2421" s="15" t="n">
        <f aca="false">AE2421*評分方法!$C$5</f>
        <v>7.2</v>
      </c>
      <c r="J2421" s="15" t="n">
        <f aca="false">AF2421*評分方法!$C$6</f>
        <v>0</v>
      </c>
      <c r="K2421" s="15" t="n">
        <f aca="false">AG2421*評分方法!$C$7</f>
        <v>4.95</v>
      </c>
      <c r="L2421" s="15" t="n">
        <f aca="false">AH2421*評分方法!$C$8</f>
        <v>15</v>
      </c>
      <c r="M2421" s="15" t="n">
        <f aca="false">AI2421*評分方法!$C$9</f>
        <v>10</v>
      </c>
      <c r="N2421" s="15" t="n">
        <f aca="false">AJ2421*評分方法!$C$10</f>
        <v>1.084</v>
      </c>
      <c r="O2421" s="15" t="n">
        <f aca="false">AK2421*評分方法!$C$11</f>
        <v>1</v>
      </c>
      <c r="P2421" s="15" t="n">
        <f aca="false">AL2421*評分方法!$C$12</f>
        <v>0</v>
      </c>
      <c r="Q2421" s="6" t="n">
        <v>157125</v>
      </c>
      <c r="R2421" s="6" t="n">
        <v>124445701</v>
      </c>
      <c r="S2421" s="11" t="s">
        <v>238</v>
      </c>
      <c r="T2421" s="11" t="s">
        <v>1636</v>
      </c>
      <c r="U2421" s="5" t="s">
        <v>240</v>
      </c>
      <c r="V2421" s="11" t="s">
        <v>324</v>
      </c>
      <c r="W2421" s="5" t="s">
        <v>334</v>
      </c>
      <c r="X2421" s="5" t="s">
        <v>242</v>
      </c>
      <c r="Y2421" s="5"/>
      <c r="Z2421" s="5"/>
      <c r="AA2421" s="11" t="s">
        <v>149</v>
      </c>
      <c r="AB2421" s="5" t="s">
        <v>245</v>
      </c>
      <c r="AC2421" s="5" t="s">
        <v>5236</v>
      </c>
      <c r="AD2421" s="11" t="s">
        <v>5987</v>
      </c>
      <c r="AE2421" s="23" t="n">
        <v>0.24</v>
      </c>
      <c r="AF2421" s="23" t="n">
        <v>0</v>
      </c>
      <c r="AG2421" s="23" t="n">
        <v>0.33</v>
      </c>
      <c r="AH2421" s="23" t="n">
        <v>1</v>
      </c>
      <c r="AI2421" s="23" t="n">
        <v>1</v>
      </c>
      <c r="AJ2421" s="23" t="n">
        <v>0.1084</v>
      </c>
      <c r="AK2421" s="23" t="n">
        <v>0.2</v>
      </c>
      <c r="AL2421" s="23" t="n">
        <v>0</v>
      </c>
      <c r="AM2421" s="16" t="n">
        <f aca="false">COUNTIFS($D$2:$D$2501,D2421,$G$2:$G$2501,"&gt;"&amp;G2421)+COUNTIFS($D$2:D2421,D2421,$G$2:G2421,G2421)</f>
        <v>81</v>
      </c>
      <c r="AN2421" s="5" t="str">
        <f aca="false">D2421&amp;"|"&amp;AM2421</f>
        <v>分類與偵測|81</v>
      </c>
    </row>
    <row r="2422" customFormat="false" ht="17.15" hidden="false" customHeight="false" outlineLevel="0" collapsed="false">
      <c r="A2422" s="16" t="n">
        <f aca="false">RANK(G2422,$G$2:$G$2501)+COUNTIF($G$2:G2422,G2422)-1</f>
        <v>2421</v>
      </c>
      <c r="B2422" s="11" t="s">
        <v>5988</v>
      </c>
      <c r="C2422" s="11" t="s">
        <v>5500</v>
      </c>
      <c r="D2422" s="5" t="s">
        <v>80</v>
      </c>
      <c r="E2422" s="5" t="s">
        <v>81</v>
      </c>
      <c r="F2422" s="5"/>
      <c r="G2422" s="22" t="n">
        <f aca="false">ROUND(SUM(I2422:P2422),3)</f>
        <v>39.062</v>
      </c>
      <c r="H2422" s="5" t="str">
        <f aca="false">IF(G2422&gt;=評分方法!$C$16,"優先評估",IF(G2422&gt;=評分方法!$C$17,"列入候選",IF(G2422&gt;=評分方法!$C$18,"特定情境","不建議")))</f>
        <v>不建議</v>
      </c>
      <c r="I2422" s="15" t="n">
        <f aca="false">AE2422*評分方法!$C$5</f>
        <v>6</v>
      </c>
      <c r="J2422" s="15" t="n">
        <f aca="false">AF2422*評分方法!$C$6</f>
        <v>0</v>
      </c>
      <c r="K2422" s="15" t="n">
        <f aca="false">AG2422*評分方法!$C$7</f>
        <v>4.95</v>
      </c>
      <c r="L2422" s="15" t="n">
        <f aca="false">AH2422*評分方法!$C$8</f>
        <v>15</v>
      </c>
      <c r="M2422" s="15" t="n">
        <f aca="false">AI2422*評分方法!$C$9</f>
        <v>10</v>
      </c>
      <c r="N2422" s="15" t="n">
        <f aca="false">AJ2422*評分方法!$C$10</f>
        <v>0.612</v>
      </c>
      <c r="O2422" s="15" t="n">
        <f aca="false">AK2422*評分方法!$C$11</f>
        <v>1</v>
      </c>
      <c r="P2422" s="15" t="n">
        <f aca="false">AL2422*評分方法!$C$12</f>
        <v>1.5</v>
      </c>
      <c r="Q2422" s="6" t="n">
        <v>138033</v>
      </c>
      <c r="R2422" s="6" t="n">
        <v>315187757</v>
      </c>
      <c r="S2422" s="11" t="s">
        <v>238</v>
      </c>
      <c r="T2422" s="11" t="s">
        <v>239</v>
      </c>
      <c r="U2422" s="5" t="s">
        <v>240</v>
      </c>
      <c r="V2422" s="11" t="s">
        <v>4873</v>
      </c>
      <c r="W2422" s="5" t="s">
        <v>334</v>
      </c>
      <c r="X2422" s="5" t="s">
        <v>255</v>
      </c>
      <c r="Y2422" s="5"/>
      <c r="Z2422" s="5"/>
      <c r="AA2422" s="5"/>
      <c r="AB2422" s="5" t="s">
        <v>255</v>
      </c>
      <c r="AC2422" s="5"/>
      <c r="AD2422" s="11" t="s">
        <v>5989</v>
      </c>
      <c r="AE2422" s="23" t="n">
        <v>0.2</v>
      </c>
      <c r="AF2422" s="23" t="n">
        <v>0</v>
      </c>
      <c r="AG2422" s="23" t="n">
        <v>0.33</v>
      </c>
      <c r="AH2422" s="23" t="n">
        <v>1</v>
      </c>
      <c r="AI2422" s="23" t="n">
        <v>1</v>
      </c>
      <c r="AJ2422" s="23" t="n">
        <v>0.0612</v>
      </c>
      <c r="AK2422" s="23" t="n">
        <v>0.2</v>
      </c>
      <c r="AL2422" s="23" t="n">
        <v>0.3</v>
      </c>
      <c r="AM2422" s="16" t="n">
        <f aca="false">COUNTIFS($D$2:$D$2501,D2422,$G$2:$G$2501,"&gt;"&amp;G2422)+COUNTIFS($D$2:D2422,D2422,$G$2:G2422,G2422)</f>
        <v>61</v>
      </c>
      <c r="AN2422" s="5" t="str">
        <f aca="false">D2422&amp;"|"&amp;AM2422</f>
        <v>其他|61</v>
      </c>
    </row>
    <row r="2423" customFormat="false" ht="17.15" hidden="false" customHeight="false" outlineLevel="0" collapsed="false">
      <c r="A2423" s="16" t="n">
        <f aca="false">RANK(G2423,$G$2:$G$2501)+COUNTIF($G$2:G2423,G2423)-1</f>
        <v>2422</v>
      </c>
      <c r="B2423" s="11" t="s">
        <v>5990</v>
      </c>
      <c r="C2423" s="11" t="s">
        <v>5991</v>
      </c>
      <c r="D2423" s="5" t="s">
        <v>74</v>
      </c>
      <c r="E2423" s="5" t="s">
        <v>75</v>
      </c>
      <c r="F2423" s="5"/>
      <c r="G2423" s="22" t="n">
        <f aca="false">ROUND(SUM(I2423:P2423),3)</f>
        <v>39.05</v>
      </c>
      <c r="H2423" s="5" t="str">
        <f aca="false">IF(G2423&gt;=評分方法!$C$16,"優先評估",IF(G2423&gt;=評分方法!$C$17,"列入候選",IF(G2423&gt;=評分方法!$C$18,"特定情境","不建議")))</f>
        <v>不建議</v>
      </c>
      <c r="I2423" s="15" t="n">
        <f aca="false">AE2423*評分方法!$C$5</f>
        <v>13.5</v>
      </c>
      <c r="J2423" s="15" t="n">
        <f aca="false">AF2423*評分方法!$C$6</f>
        <v>0</v>
      </c>
      <c r="K2423" s="15" t="n">
        <f aca="false">AG2423*評分方法!$C$7</f>
        <v>4.95</v>
      </c>
      <c r="L2423" s="15" t="n">
        <f aca="false">AH2423*評分方法!$C$8</f>
        <v>15</v>
      </c>
      <c r="M2423" s="15" t="n">
        <f aca="false">AI2423*評分方法!$C$9</f>
        <v>2</v>
      </c>
      <c r="N2423" s="15" t="n">
        <f aca="false">AJ2423*評分方法!$C$10</f>
        <v>1.1</v>
      </c>
      <c r="O2423" s="15" t="n">
        <f aca="false">AK2423*評分方法!$C$11</f>
        <v>1</v>
      </c>
      <c r="P2423" s="15" t="n">
        <f aca="false">AL2423*評分方法!$C$12</f>
        <v>1.5</v>
      </c>
      <c r="Q2423" s="6" t="n">
        <v>157646</v>
      </c>
      <c r="R2423" s="6" t="n">
        <v>125332873</v>
      </c>
      <c r="S2423" s="11" t="s">
        <v>238</v>
      </c>
      <c r="T2423" s="5"/>
      <c r="U2423" s="5" t="s">
        <v>375</v>
      </c>
      <c r="V2423" s="11" t="s">
        <v>324</v>
      </c>
      <c r="W2423" s="5" t="s">
        <v>334</v>
      </c>
      <c r="X2423" s="5" t="s">
        <v>255</v>
      </c>
      <c r="Y2423" s="11" t="s">
        <v>5992</v>
      </c>
      <c r="Z2423" s="11" t="s">
        <v>270</v>
      </c>
      <c r="AA2423" s="11" t="s">
        <v>164</v>
      </c>
      <c r="AB2423" s="5" t="s">
        <v>245</v>
      </c>
      <c r="AC2423" s="5" t="s">
        <v>262</v>
      </c>
      <c r="AD2423" s="11" t="s">
        <v>5993</v>
      </c>
      <c r="AE2423" s="23" t="n">
        <v>0.45</v>
      </c>
      <c r="AF2423" s="23" t="n">
        <v>0</v>
      </c>
      <c r="AG2423" s="23" t="n">
        <v>0.33</v>
      </c>
      <c r="AH2423" s="23" t="n">
        <v>1</v>
      </c>
      <c r="AI2423" s="23" t="n">
        <v>0.2</v>
      </c>
      <c r="AJ2423" s="23" t="n">
        <v>0.11</v>
      </c>
      <c r="AK2423" s="23" t="n">
        <v>0.2</v>
      </c>
      <c r="AL2423" s="23" t="n">
        <v>0.3</v>
      </c>
      <c r="AM2423" s="16" t="n">
        <f aca="false">COUNTIFS($D$2:$D$2501,D2423,$G$2:$G$2501,"&gt;"&amp;G2423)+COUNTIFS($D$2:D2423,D2423,$G$2:G2423,G2423)</f>
        <v>342</v>
      </c>
      <c r="AN2423" s="5" t="str">
        <f aca="false">D2423&amp;"|"&amp;AM2423</f>
        <v>文件與影像辨識|342</v>
      </c>
    </row>
    <row r="2424" customFormat="false" ht="17.15" hidden="false" customHeight="false" outlineLevel="0" collapsed="false">
      <c r="A2424" s="16" t="n">
        <f aca="false">RANK(G2424,$G$2:$G$2501)+COUNTIF($G$2:G2424,G2424)-1</f>
        <v>2423</v>
      </c>
      <c r="B2424" s="11" t="s">
        <v>5994</v>
      </c>
      <c r="C2424" s="11" t="s">
        <v>1820</v>
      </c>
      <c r="D2424" s="5" t="s">
        <v>78</v>
      </c>
      <c r="E2424" s="5" t="s">
        <v>79</v>
      </c>
      <c r="F2424" s="5"/>
      <c r="G2424" s="22" t="n">
        <f aca="false">ROUND(SUM(I2424:P2424),3)</f>
        <v>39.03</v>
      </c>
      <c r="H2424" s="5" t="str">
        <f aca="false">IF(G2424&gt;=評分方法!$C$16,"優先評估",IF(G2424&gt;=評分方法!$C$17,"列入候選",IF(G2424&gt;=評分方法!$C$18,"特定情境","不建議")))</f>
        <v>不建議</v>
      </c>
      <c r="I2424" s="15" t="n">
        <f aca="false">AE2424*評分方法!$C$5</f>
        <v>5.4</v>
      </c>
      <c r="J2424" s="15" t="n">
        <f aca="false">AF2424*評分方法!$C$6</f>
        <v>0</v>
      </c>
      <c r="K2424" s="15" t="n">
        <f aca="false">AG2424*評分方法!$C$7</f>
        <v>4.95</v>
      </c>
      <c r="L2424" s="15" t="n">
        <f aca="false">AH2424*評分方法!$C$8</f>
        <v>15</v>
      </c>
      <c r="M2424" s="15" t="n">
        <f aca="false">AI2424*評分方法!$C$9</f>
        <v>2</v>
      </c>
      <c r="N2424" s="15" t="n">
        <f aca="false">AJ2424*評分方法!$C$10</f>
        <v>9.18</v>
      </c>
      <c r="O2424" s="15" t="n">
        <f aca="false">AK2424*評分方法!$C$11</f>
        <v>2.5</v>
      </c>
      <c r="P2424" s="15" t="n">
        <f aca="false">AL2424*評分方法!$C$12</f>
        <v>0</v>
      </c>
      <c r="Q2424" s="6" t="n">
        <v>4990581</v>
      </c>
      <c r="R2424" s="6" t="n">
        <v>315489970</v>
      </c>
      <c r="S2424" s="11" t="s">
        <v>238</v>
      </c>
      <c r="T2424" s="5"/>
      <c r="U2424" s="5" t="s">
        <v>375</v>
      </c>
      <c r="V2424" s="11" t="s">
        <v>324</v>
      </c>
      <c r="W2424" s="5" t="s">
        <v>334</v>
      </c>
      <c r="X2424" s="5" t="s">
        <v>242</v>
      </c>
      <c r="Y2424" s="5"/>
      <c r="Z2424" s="5"/>
      <c r="AA2424" s="11" t="s">
        <v>175</v>
      </c>
      <c r="AB2424" s="5" t="s">
        <v>245</v>
      </c>
      <c r="AC2424" s="5" t="s">
        <v>4841</v>
      </c>
      <c r="AD2424" s="11" t="s">
        <v>5995</v>
      </c>
      <c r="AE2424" s="23" t="n">
        <v>0.18</v>
      </c>
      <c r="AF2424" s="23" t="n">
        <v>0</v>
      </c>
      <c r="AG2424" s="23" t="n">
        <v>0.33</v>
      </c>
      <c r="AH2424" s="23" t="n">
        <v>1</v>
      </c>
      <c r="AI2424" s="23" t="n">
        <v>0.2</v>
      </c>
      <c r="AJ2424" s="23" t="n">
        <v>0.918</v>
      </c>
      <c r="AK2424" s="23" t="n">
        <v>0.5</v>
      </c>
      <c r="AL2424" s="23" t="n">
        <v>0</v>
      </c>
      <c r="AM2424" s="16" t="n">
        <f aca="false">COUNTIFS($D$2:$D$2501,D2424,$G$2:$G$2501,"&gt;"&amp;G2424)+COUNTIFS($D$2:D2424,D2424,$G$2:G2424,G2424)</f>
        <v>137</v>
      </c>
      <c r="AN2424" s="5" t="str">
        <f aca="false">D2424&amp;"|"&amp;AM2424</f>
        <v>語音分析|137</v>
      </c>
    </row>
    <row r="2425" customFormat="false" ht="17.15" hidden="false" customHeight="false" outlineLevel="0" collapsed="false">
      <c r="A2425" s="16" t="n">
        <f aca="false">RANK(G2425,$G$2:$G$2501)+COUNTIF($G$2:G2425,G2425)-1</f>
        <v>2424</v>
      </c>
      <c r="B2425" s="11" t="s">
        <v>5996</v>
      </c>
      <c r="C2425" s="11" t="s">
        <v>5997</v>
      </c>
      <c r="D2425" s="5" t="s">
        <v>56</v>
      </c>
      <c r="E2425" s="5" t="s">
        <v>57</v>
      </c>
      <c r="F2425" s="5"/>
      <c r="G2425" s="22" t="n">
        <f aca="false">ROUND(SUM(I2425:P2425),3)</f>
        <v>39.018</v>
      </c>
      <c r="H2425" s="5" t="str">
        <f aca="false">IF(G2425&gt;=評分方法!$C$16,"優先評估",IF(G2425&gt;=評分方法!$C$17,"列入候選",IF(G2425&gt;=評分方法!$C$18,"特定情境","不建議")))</f>
        <v>不建議</v>
      </c>
      <c r="I2425" s="15" t="n">
        <f aca="false">AE2425*評分方法!$C$5</f>
        <v>10.8</v>
      </c>
      <c r="J2425" s="15" t="n">
        <f aca="false">AF2425*評分方法!$C$6</f>
        <v>0</v>
      </c>
      <c r="K2425" s="15" t="n">
        <f aca="false">AG2425*評分方法!$C$7</f>
        <v>4.95</v>
      </c>
      <c r="L2425" s="15" t="n">
        <f aca="false">AH2425*評分方法!$C$8</f>
        <v>15</v>
      </c>
      <c r="M2425" s="15" t="n">
        <f aca="false">AI2425*評分方法!$C$9</f>
        <v>2</v>
      </c>
      <c r="N2425" s="15" t="n">
        <f aca="false">AJ2425*評分方法!$C$10</f>
        <v>2.268</v>
      </c>
      <c r="O2425" s="15" t="n">
        <f aca="false">AK2425*評分方法!$C$11</f>
        <v>4</v>
      </c>
      <c r="P2425" s="15" t="n">
        <f aca="false">AL2425*評分方法!$C$12</f>
        <v>0</v>
      </c>
      <c r="Q2425" s="6" t="n">
        <v>230194</v>
      </c>
      <c r="R2425" s="6" t="n">
        <v>225950976</v>
      </c>
      <c r="S2425" s="11" t="s">
        <v>238</v>
      </c>
      <c r="T2425" s="5"/>
      <c r="U2425" s="5" t="s">
        <v>375</v>
      </c>
      <c r="V2425" s="11" t="s">
        <v>261</v>
      </c>
      <c r="W2425" s="5" t="s">
        <v>334</v>
      </c>
      <c r="X2425" s="5" t="s">
        <v>242</v>
      </c>
      <c r="Y2425" s="5"/>
      <c r="Z2425" s="5"/>
      <c r="AA2425" s="11" t="s">
        <v>161</v>
      </c>
      <c r="AB2425" s="5" t="s">
        <v>328</v>
      </c>
      <c r="AC2425" s="5" t="s">
        <v>5998</v>
      </c>
      <c r="AD2425" s="11" t="s">
        <v>5999</v>
      </c>
      <c r="AE2425" s="23" t="n">
        <v>0.36</v>
      </c>
      <c r="AF2425" s="23" t="n">
        <v>0</v>
      </c>
      <c r="AG2425" s="23" t="n">
        <v>0.33</v>
      </c>
      <c r="AH2425" s="23" t="n">
        <v>1</v>
      </c>
      <c r="AI2425" s="23" t="n">
        <v>0.2</v>
      </c>
      <c r="AJ2425" s="23" t="n">
        <v>0.2268</v>
      </c>
      <c r="AK2425" s="23" t="n">
        <v>0.8</v>
      </c>
      <c r="AL2425" s="23" t="n">
        <v>0</v>
      </c>
      <c r="AM2425" s="16" t="n">
        <f aca="false">COUNTIFS($D$2:$D$2501,D2425,$G$2:$G$2501,"&gt;"&amp;G2425)+COUNTIFS($D$2:D2425,D2425,$G$2:G2425,G2425)</f>
        <v>979</v>
      </c>
      <c r="AN2425" s="5" t="str">
        <f aca="false">D2425&amp;"|"&amp;AM2425</f>
        <v>分析與報告生成|979</v>
      </c>
    </row>
    <row r="2426" customFormat="false" ht="17.15" hidden="false" customHeight="false" outlineLevel="0" collapsed="false">
      <c r="A2426" s="16" t="n">
        <f aca="false">RANK(G2426,$G$2:$G$2501)+COUNTIF($G$2:G2426,G2426)-1</f>
        <v>2425</v>
      </c>
      <c r="B2426" s="11" t="s">
        <v>6000</v>
      </c>
      <c r="C2426" s="11" t="s">
        <v>6001</v>
      </c>
      <c r="D2426" s="5" t="s">
        <v>72</v>
      </c>
      <c r="E2426" s="5" t="s">
        <v>73</v>
      </c>
      <c r="F2426" s="5"/>
      <c r="G2426" s="22" t="n">
        <f aca="false">ROUND(SUM(I2426:P2426),3)</f>
        <v>39.002</v>
      </c>
      <c r="H2426" s="5" t="str">
        <f aca="false">IF(G2426&gt;=評分方法!$C$16,"優先評估",IF(G2426&gt;=評分方法!$C$17,"列入候選",IF(G2426&gt;=評分方法!$C$18,"特定情境","不建議")))</f>
        <v>不建議</v>
      </c>
      <c r="I2426" s="15" t="n">
        <f aca="false">AE2426*評分方法!$C$5</f>
        <v>9</v>
      </c>
      <c r="J2426" s="15" t="n">
        <f aca="false">AF2426*評分方法!$C$6</f>
        <v>0</v>
      </c>
      <c r="K2426" s="15" t="n">
        <f aca="false">AG2426*評分方法!$C$7</f>
        <v>4.95</v>
      </c>
      <c r="L2426" s="15" t="n">
        <f aca="false">AH2426*評分方法!$C$8</f>
        <v>15</v>
      </c>
      <c r="M2426" s="15" t="n">
        <f aca="false">AI2426*評分方法!$C$9</f>
        <v>2</v>
      </c>
      <c r="N2426" s="15" t="n">
        <f aca="false">AJ2426*評分方法!$C$10</f>
        <v>7.052</v>
      </c>
      <c r="O2426" s="15" t="n">
        <f aca="false">AK2426*評分方法!$C$11</f>
        <v>1</v>
      </c>
      <c r="P2426" s="15" t="n">
        <f aca="false">AL2426*評分方法!$C$12</f>
        <v>0</v>
      </c>
      <c r="Q2426" s="6" t="n">
        <v>937435</v>
      </c>
      <c r="R2426" s="6" t="n">
        <v>105861549</v>
      </c>
      <c r="S2426" s="11" t="s">
        <v>238</v>
      </c>
      <c r="T2426" s="5"/>
      <c r="U2426" s="5" t="s">
        <v>375</v>
      </c>
      <c r="V2426" s="11" t="s">
        <v>324</v>
      </c>
      <c r="W2426" s="5" t="s">
        <v>334</v>
      </c>
      <c r="X2426" s="5" t="s">
        <v>242</v>
      </c>
      <c r="Y2426" s="5"/>
      <c r="Z2426" s="5"/>
      <c r="AA2426" s="11" t="s">
        <v>162</v>
      </c>
      <c r="AB2426" s="5" t="s">
        <v>245</v>
      </c>
      <c r="AC2426" s="5" t="s">
        <v>4841</v>
      </c>
      <c r="AD2426" s="11" t="s">
        <v>6002</v>
      </c>
      <c r="AE2426" s="23" t="n">
        <v>0.3</v>
      </c>
      <c r="AF2426" s="23" t="n">
        <v>0</v>
      </c>
      <c r="AG2426" s="23" t="n">
        <v>0.33</v>
      </c>
      <c r="AH2426" s="23" t="n">
        <v>1</v>
      </c>
      <c r="AI2426" s="23" t="n">
        <v>0.2</v>
      </c>
      <c r="AJ2426" s="23" t="n">
        <v>0.7052</v>
      </c>
      <c r="AK2426" s="23" t="n">
        <v>0.2</v>
      </c>
      <c r="AL2426" s="23" t="n">
        <v>0</v>
      </c>
      <c r="AM2426" s="16" t="n">
        <f aca="false">COUNTIFS($D$2:$D$2501,D2426,$G$2:$G$2501,"&gt;"&amp;G2426)+COUNTIFS($D$2:D2426,D2426,$G$2:G2426,G2426)</f>
        <v>67</v>
      </c>
      <c r="AN2426" s="5" t="str">
        <f aca="false">D2426&amp;"|"&amp;AM2426</f>
        <v>微調基底模型|67</v>
      </c>
    </row>
    <row r="2427" customFormat="false" ht="17.15" hidden="false" customHeight="false" outlineLevel="0" collapsed="false">
      <c r="A2427" s="16" t="n">
        <f aca="false">RANK(G2427,$G$2:$G$2501)+COUNTIF($G$2:G2427,G2427)-1</f>
        <v>2426</v>
      </c>
      <c r="B2427" s="11" t="s">
        <v>6003</v>
      </c>
      <c r="C2427" s="11" t="s">
        <v>5923</v>
      </c>
      <c r="D2427" s="5" t="s">
        <v>56</v>
      </c>
      <c r="E2427" s="5" t="s">
        <v>57</v>
      </c>
      <c r="F2427" s="5"/>
      <c r="G2427" s="22" t="n">
        <f aca="false">ROUND(SUM(I2427:P2427),3)</f>
        <v>38.91</v>
      </c>
      <c r="H2427" s="5" t="str">
        <f aca="false">IF(G2427&gt;=評分方法!$C$16,"優先評估",IF(G2427&gt;=評分方法!$C$17,"列入候選",IF(G2427&gt;=評分方法!$C$18,"特定情境","不建議")))</f>
        <v>不建議</v>
      </c>
      <c r="I2427" s="15" t="n">
        <f aca="false">AE2427*評分方法!$C$5</f>
        <v>15.3</v>
      </c>
      <c r="J2427" s="15" t="n">
        <f aca="false">AF2427*評分方法!$C$6</f>
        <v>0</v>
      </c>
      <c r="K2427" s="15" t="n">
        <f aca="false">AG2427*評分方法!$C$7</f>
        <v>4.95</v>
      </c>
      <c r="L2427" s="15" t="n">
        <f aca="false">AH2427*評分方法!$C$8</f>
        <v>15</v>
      </c>
      <c r="M2427" s="15" t="n">
        <f aca="false">AI2427*評分方法!$C$9</f>
        <v>2</v>
      </c>
      <c r="N2427" s="15" t="n">
        <f aca="false">AJ2427*評分方法!$C$10</f>
        <v>0.66</v>
      </c>
      <c r="O2427" s="15" t="n">
        <f aca="false">AK2427*評分方法!$C$11</f>
        <v>1</v>
      </c>
      <c r="P2427" s="15" t="n">
        <f aca="false">AL2427*評分方法!$C$12</f>
        <v>0</v>
      </c>
      <c r="Q2427" s="6" t="n">
        <v>140256</v>
      </c>
      <c r="R2427" s="6" t="n">
        <v>147577344</v>
      </c>
      <c r="S2427" s="11" t="s">
        <v>238</v>
      </c>
      <c r="T2427" s="5"/>
      <c r="U2427" s="5" t="s">
        <v>375</v>
      </c>
      <c r="V2427" s="11" t="s">
        <v>279</v>
      </c>
      <c r="W2427" s="5" t="s">
        <v>334</v>
      </c>
      <c r="X2427" s="5" t="s">
        <v>242</v>
      </c>
      <c r="Y2427" s="5"/>
      <c r="Z2427" s="5"/>
      <c r="AA2427" s="11" t="s">
        <v>155</v>
      </c>
      <c r="AB2427" s="5" t="s">
        <v>245</v>
      </c>
      <c r="AC2427" s="5" t="s">
        <v>4841</v>
      </c>
      <c r="AD2427" s="11" t="s">
        <v>6004</v>
      </c>
      <c r="AE2427" s="23" t="n">
        <v>0.51</v>
      </c>
      <c r="AF2427" s="23" t="n">
        <v>0</v>
      </c>
      <c r="AG2427" s="23" t="n">
        <v>0.33</v>
      </c>
      <c r="AH2427" s="23" t="n">
        <v>1</v>
      </c>
      <c r="AI2427" s="23" t="n">
        <v>0.2</v>
      </c>
      <c r="AJ2427" s="23" t="n">
        <v>0.066</v>
      </c>
      <c r="AK2427" s="23" t="n">
        <v>0.2</v>
      </c>
      <c r="AL2427" s="23" t="n">
        <v>0</v>
      </c>
      <c r="AM2427" s="16" t="n">
        <f aca="false">COUNTIFS($D$2:$D$2501,D2427,$G$2:$G$2501,"&gt;"&amp;G2427)+COUNTIFS($D$2:D2427,D2427,$G$2:G2427,G2427)</f>
        <v>980</v>
      </c>
      <c r="AN2427" s="5" t="str">
        <f aca="false">D2427&amp;"|"&amp;AM2427</f>
        <v>分析與報告生成|980</v>
      </c>
    </row>
    <row r="2428" customFormat="false" ht="17.15" hidden="false" customHeight="false" outlineLevel="0" collapsed="false">
      <c r="A2428" s="16" t="n">
        <f aca="false">RANK(G2428,$G$2:$G$2501)+COUNTIF($G$2:G2428,G2428)-1</f>
        <v>2427</v>
      </c>
      <c r="B2428" s="11" t="s">
        <v>6005</v>
      </c>
      <c r="C2428" s="11" t="s">
        <v>1677</v>
      </c>
      <c r="D2428" s="5" t="s">
        <v>80</v>
      </c>
      <c r="E2428" s="5" t="s">
        <v>81</v>
      </c>
      <c r="F2428" s="5"/>
      <c r="G2428" s="22" t="n">
        <f aca="false">ROUND(SUM(I2428:P2428),3)</f>
        <v>38.892</v>
      </c>
      <c r="H2428" s="5" t="str">
        <f aca="false">IF(G2428&gt;=評分方法!$C$16,"優先評估",IF(G2428&gt;=評分方法!$C$17,"列入候選",IF(G2428&gt;=評分方法!$C$18,"特定情境","不建議")))</f>
        <v>不建議</v>
      </c>
      <c r="I2428" s="15" t="n">
        <f aca="false">AE2428*評分方法!$C$5</f>
        <v>3</v>
      </c>
      <c r="J2428" s="15" t="n">
        <f aca="false">AF2428*評分方法!$C$6</f>
        <v>0</v>
      </c>
      <c r="K2428" s="15" t="n">
        <f aca="false">AG2428*評分方法!$C$7</f>
        <v>10.05</v>
      </c>
      <c r="L2428" s="15" t="n">
        <f aca="false">AH2428*評分方法!$C$8</f>
        <v>7.05</v>
      </c>
      <c r="M2428" s="15" t="n">
        <f aca="false">AI2428*評分方法!$C$9</f>
        <v>10</v>
      </c>
      <c r="N2428" s="15" t="n">
        <f aca="false">AJ2428*評分方法!$C$10</f>
        <v>3.292</v>
      </c>
      <c r="O2428" s="15" t="n">
        <f aca="false">AK2428*評分方法!$C$11</f>
        <v>4</v>
      </c>
      <c r="P2428" s="15" t="n">
        <f aca="false">AL2428*評分方法!$C$12</f>
        <v>1.5</v>
      </c>
      <c r="Q2428" s="6" t="n">
        <v>328727</v>
      </c>
      <c r="R2428" s="6"/>
      <c r="S2428" s="5" t="s">
        <v>255</v>
      </c>
      <c r="T2428" s="11" t="s">
        <v>239</v>
      </c>
      <c r="U2428" s="5" t="s">
        <v>240</v>
      </c>
      <c r="V2428" s="11" t="s">
        <v>514</v>
      </c>
      <c r="W2428" s="5" t="s">
        <v>207</v>
      </c>
      <c r="X2428" s="5" t="s">
        <v>255</v>
      </c>
      <c r="Y2428" s="11" t="s">
        <v>6006</v>
      </c>
      <c r="Z2428" s="11" t="s">
        <v>244</v>
      </c>
      <c r="AA2428" s="11" t="s">
        <v>184</v>
      </c>
      <c r="AB2428" s="5" t="s">
        <v>245</v>
      </c>
      <c r="AC2428" s="5" t="s">
        <v>246</v>
      </c>
      <c r="AD2428" s="11" t="s">
        <v>6007</v>
      </c>
      <c r="AE2428" s="23" t="n">
        <v>0.1</v>
      </c>
      <c r="AF2428" s="23" t="n">
        <v>0</v>
      </c>
      <c r="AG2428" s="23" t="n">
        <v>0.67</v>
      </c>
      <c r="AH2428" s="23" t="n">
        <v>0.47</v>
      </c>
      <c r="AI2428" s="23" t="n">
        <v>1</v>
      </c>
      <c r="AJ2428" s="23" t="n">
        <v>0.3292</v>
      </c>
      <c r="AK2428" s="23" t="n">
        <v>0.8</v>
      </c>
      <c r="AL2428" s="23" t="n">
        <v>0.3</v>
      </c>
      <c r="AM2428" s="16" t="n">
        <f aca="false">COUNTIFS($D$2:$D$2501,D2428,$G$2:$G$2501,"&gt;"&amp;G2428)+COUNTIFS($D$2:D2428,D2428,$G$2:G2428,G2428)</f>
        <v>62</v>
      </c>
      <c r="AN2428" s="5" t="str">
        <f aca="false">D2428&amp;"|"&amp;AM2428</f>
        <v>其他|62</v>
      </c>
    </row>
    <row r="2429" customFormat="false" ht="17.15" hidden="false" customHeight="false" outlineLevel="0" collapsed="false">
      <c r="A2429" s="16" t="n">
        <f aca="false">RANK(G2429,$G$2:$G$2501)+COUNTIF($G$2:G2429,G2429)-1</f>
        <v>2428</v>
      </c>
      <c r="B2429" s="11" t="s">
        <v>6008</v>
      </c>
      <c r="C2429" s="11" t="s">
        <v>5827</v>
      </c>
      <c r="D2429" s="5" t="s">
        <v>80</v>
      </c>
      <c r="E2429" s="5" t="s">
        <v>81</v>
      </c>
      <c r="F2429" s="5"/>
      <c r="G2429" s="22" t="n">
        <f aca="false">ROUND(SUM(I2429:P2429),3)</f>
        <v>38.812</v>
      </c>
      <c r="H2429" s="5" t="str">
        <f aca="false">IF(G2429&gt;=評分方法!$C$16,"優先評估",IF(G2429&gt;=評分方法!$C$17,"列入候選",IF(G2429&gt;=評分方法!$C$18,"特定情境","不建議")))</f>
        <v>不建議</v>
      </c>
      <c r="I2429" s="15" t="n">
        <f aca="false">AE2429*評分方法!$C$5</f>
        <v>6</v>
      </c>
      <c r="J2429" s="15" t="n">
        <f aca="false">AF2429*評分方法!$C$6</f>
        <v>0</v>
      </c>
      <c r="K2429" s="15" t="n">
        <f aca="false">AG2429*評分方法!$C$7</f>
        <v>4.95</v>
      </c>
      <c r="L2429" s="15" t="n">
        <f aca="false">AH2429*評分方法!$C$8</f>
        <v>7.05</v>
      </c>
      <c r="M2429" s="15" t="n">
        <f aca="false">AI2429*評分方法!$C$9</f>
        <v>10</v>
      </c>
      <c r="N2429" s="15" t="n">
        <f aca="false">AJ2429*評分方法!$C$10</f>
        <v>4.812</v>
      </c>
      <c r="O2429" s="15" t="n">
        <f aca="false">AK2429*評分方法!$C$11</f>
        <v>1</v>
      </c>
      <c r="P2429" s="15" t="n">
        <f aca="false">AL2429*評分方法!$C$12</f>
        <v>5</v>
      </c>
      <c r="Q2429" s="6" t="n">
        <v>523729</v>
      </c>
      <c r="R2429" s="6"/>
      <c r="S2429" s="5" t="s">
        <v>255</v>
      </c>
      <c r="T2429" s="11" t="s">
        <v>239</v>
      </c>
      <c r="U2429" s="5" t="s">
        <v>240</v>
      </c>
      <c r="V2429" s="11" t="s">
        <v>514</v>
      </c>
      <c r="W2429" s="5" t="s">
        <v>334</v>
      </c>
      <c r="X2429" s="5" t="s">
        <v>284</v>
      </c>
      <c r="Y2429" s="5"/>
      <c r="Z2429" s="5"/>
      <c r="AA2429" s="5"/>
      <c r="AB2429" s="5" t="s">
        <v>255</v>
      </c>
      <c r="AC2429" s="5"/>
      <c r="AD2429" s="11" t="s">
        <v>6009</v>
      </c>
      <c r="AE2429" s="23" t="n">
        <v>0.2</v>
      </c>
      <c r="AF2429" s="23" t="n">
        <v>0</v>
      </c>
      <c r="AG2429" s="23" t="n">
        <v>0.33</v>
      </c>
      <c r="AH2429" s="23" t="n">
        <v>0.47</v>
      </c>
      <c r="AI2429" s="23" t="n">
        <v>1</v>
      </c>
      <c r="AJ2429" s="23" t="n">
        <v>0.4812</v>
      </c>
      <c r="AK2429" s="23" t="n">
        <v>0.2</v>
      </c>
      <c r="AL2429" s="23" t="n">
        <v>1</v>
      </c>
      <c r="AM2429" s="16" t="n">
        <f aca="false">COUNTIFS($D$2:$D$2501,D2429,$G$2:$G$2501,"&gt;"&amp;G2429)+COUNTIFS($D$2:D2429,D2429,$G$2:G2429,G2429)</f>
        <v>63</v>
      </c>
      <c r="AN2429" s="5" t="str">
        <f aca="false">D2429&amp;"|"&amp;AM2429</f>
        <v>其他|63</v>
      </c>
    </row>
    <row r="2430" customFormat="false" ht="17.15" hidden="false" customHeight="false" outlineLevel="0" collapsed="false">
      <c r="A2430" s="16" t="n">
        <f aca="false">RANK(G2430,$G$2:$G$2501)+COUNTIF($G$2:G2430,G2430)-1</f>
        <v>2429</v>
      </c>
      <c r="B2430" s="11" t="s">
        <v>6010</v>
      </c>
      <c r="C2430" s="11" t="s">
        <v>6011</v>
      </c>
      <c r="D2430" s="5" t="s">
        <v>80</v>
      </c>
      <c r="E2430" s="5" t="s">
        <v>81</v>
      </c>
      <c r="F2430" s="5"/>
      <c r="G2430" s="22" t="n">
        <f aca="false">ROUND(SUM(I2430:P2430),3)</f>
        <v>38.766</v>
      </c>
      <c r="H2430" s="5" t="str">
        <f aca="false">IF(G2430&gt;=評分方法!$C$16,"優先評估",IF(G2430&gt;=評分方法!$C$17,"列入候選",IF(G2430&gt;=評分方法!$C$18,"特定情境","不建議")))</f>
        <v>不建議</v>
      </c>
      <c r="I2430" s="15" t="n">
        <f aca="false">AE2430*評分方法!$C$5</f>
        <v>1.5</v>
      </c>
      <c r="J2430" s="15" t="n">
        <f aca="false">AF2430*評分方法!$C$6</f>
        <v>0</v>
      </c>
      <c r="K2430" s="15" t="n">
        <f aca="false">AG2430*評分方法!$C$7</f>
        <v>4.95</v>
      </c>
      <c r="L2430" s="15" t="n">
        <f aca="false">AH2430*評分方法!$C$8</f>
        <v>15</v>
      </c>
      <c r="M2430" s="15" t="n">
        <f aca="false">AI2430*評分方法!$C$9</f>
        <v>10</v>
      </c>
      <c r="N2430" s="15" t="n">
        <f aca="false">AJ2430*評分方法!$C$10</f>
        <v>3.316</v>
      </c>
      <c r="O2430" s="15" t="n">
        <f aca="false">AK2430*評分方法!$C$11</f>
        <v>2.5</v>
      </c>
      <c r="P2430" s="15" t="n">
        <f aca="false">AL2430*評分方法!$C$12</f>
        <v>1.5</v>
      </c>
      <c r="Q2430" s="6" t="n">
        <v>329238</v>
      </c>
      <c r="R2430" s="6" t="n">
        <v>2263372</v>
      </c>
      <c r="S2430" s="11" t="s">
        <v>238</v>
      </c>
      <c r="T2430" s="11" t="s">
        <v>278</v>
      </c>
      <c r="U2430" s="5" t="s">
        <v>240</v>
      </c>
      <c r="V2430" s="11" t="s">
        <v>261</v>
      </c>
      <c r="W2430" s="5" t="s">
        <v>334</v>
      </c>
      <c r="X2430" s="5" t="s">
        <v>255</v>
      </c>
      <c r="Y2430" s="5"/>
      <c r="Z2430" s="5"/>
      <c r="AA2430" s="11" t="s">
        <v>188</v>
      </c>
      <c r="AB2430" s="5" t="s">
        <v>245</v>
      </c>
      <c r="AC2430" s="5"/>
      <c r="AD2430" s="11" t="s">
        <v>6012</v>
      </c>
      <c r="AE2430" s="23" t="n">
        <v>0.05</v>
      </c>
      <c r="AF2430" s="23" t="n">
        <v>0</v>
      </c>
      <c r="AG2430" s="23" t="n">
        <v>0.33</v>
      </c>
      <c r="AH2430" s="23" t="n">
        <v>1</v>
      </c>
      <c r="AI2430" s="23" t="n">
        <v>1</v>
      </c>
      <c r="AJ2430" s="23" t="n">
        <v>0.3316</v>
      </c>
      <c r="AK2430" s="23" t="n">
        <v>0.5</v>
      </c>
      <c r="AL2430" s="23" t="n">
        <v>0.3</v>
      </c>
      <c r="AM2430" s="16" t="n">
        <f aca="false">COUNTIFS($D$2:$D$2501,D2430,$G$2:$G$2501,"&gt;"&amp;G2430)+COUNTIFS($D$2:D2430,D2430,$G$2:G2430,G2430)</f>
        <v>64</v>
      </c>
      <c r="AN2430" s="5" t="str">
        <f aca="false">D2430&amp;"|"&amp;AM2430</f>
        <v>其他|64</v>
      </c>
    </row>
    <row r="2431" customFormat="false" ht="17.15" hidden="false" customHeight="false" outlineLevel="0" collapsed="false">
      <c r="A2431" s="16" t="n">
        <f aca="false">RANK(G2431,$G$2:$G$2501)+COUNTIF($G$2:G2431,G2431)-1</f>
        <v>2430</v>
      </c>
      <c r="B2431" s="11" t="s">
        <v>6013</v>
      </c>
      <c r="C2431" s="11" t="s">
        <v>6014</v>
      </c>
      <c r="D2431" s="5" t="s">
        <v>74</v>
      </c>
      <c r="E2431" s="5" t="s">
        <v>75</v>
      </c>
      <c r="F2431" s="5"/>
      <c r="G2431" s="22" t="n">
        <f aca="false">ROUND(SUM(I2431:P2431),3)</f>
        <v>38.708</v>
      </c>
      <c r="H2431" s="5" t="str">
        <f aca="false">IF(G2431&gt;=評分方法!$C$16,"優先評估",IF(G2431&gt;=評分方法!$C$17,"列入候選",IF(G2431&gt;=評分方法!$C$18,"特定情境","不建議")))</f>
        <v>不建議</v>
      </c>
      <c r="I2431" s="15" t="n">
        <f aca="false">AE2431*評分方法!$C$5</f>
        <v>13.5</v>
      </c>
      <c r="J2431" s="15" t="n">
        <f aca="false">AF2431*評分方法!$C$6</f>
        <v>0</v>
      </c>
      <c r="K2431" s="15" t="n">
        <f aca="false">AG2431*評分方法!$C$7</f>
        <v>4.95</v>
      </c>
      <c r="L2431" s="15" t="n">
        <f aca="false">AH2431*評分方法!$C$8</f>
        <v>7.05</v>
      </c>
      <c r="M2431" s="15" t="n">
        <f aca="false">AI2431*評分方法!$C$9</f>
        <v>5</v>
      </c>
      <c r="N2431" s="15" t="n">
        <f aca="false">AJ2431*評分方法!$C$10</f>
        <v>4.208</v>
      </c>
      <c r="O2431" s="15" t="n">
        <f aca="false">AK2431*評分方法!$C$11</f>
        <v>4</v>
      </c>
      <c r="P2431" s="15" t="n">
        <f aca="false">AL2431*評分方法!$C$12</f>
        <v>0</v>
      </c>
      <c r="Q2431" s="6" t="n">
        <v>458243</v>
      </c>
      <c r="R2431" s="6"/>
      <c r="S2431" s="5" t="s">
        <v>255</v>
      </c>
      <c r="T2431" s="11" t="s">
        <v>6015</v>
      </c>
      <c r="U2431" s="11" t="s">
        <v>3992</v>
      </c>
      <c r="V2431" s="11" t="s">
        <v>514</v>
      </c>
      <c r="W2431" s="5" t="s">
        <v>334</v>
      </c>
      <c r="X2431" s="5" t="s">
        <v>242</v>
      </c>
      <c r="Y2431" s="5"/>
      <c r="Z2431" s="5"/>
      <c r="AA2431" s="11" t="s">
        <v>163</v>
      </c>
      <c r="AB2431" s="5" t="s">
        <v>245</v>
      </c>
      <c r="AC2431" s="5"/>
      <c r="AD2431" s="11" t="s">
        <v>6016</v>
      </c>
      <c r="AE2431" s="23" t="n">
        <v>0.45</v>
      </c>
      <c r="AF2431" s="23" t="n">
        <v>0</v>
      </c>
      <c r="AG2431" s="23" t="n">
        <v>0.33</v>
      </c>
      <c r="AH2431" s="23" t="n">
        <v>0.47</v>
      </c>
      <c r="AI2431" s="23" t="n">
        <v>0.5</v>
      </c>
      <c r="AJ2431" s="23" t="n">
        <v>0.4208</v>
      </c>
      <c r="AK2431" s="23" t="n">
        <v>0.8</v>
      </c>
      <c r="AL2431" s="23" t="n">
        <v>0</v>
      </c>
      <c r="AM2431" s="16" t="n">
        <f aca="false">COUNTIFS($D$2:$D$2501,D2431,$G$2:$G$2501,"&gt;"&amp;G2431)+COUNTIFS($D$2:D2431,D2431,$G$2:G2431,G2431)</f>
        <v>343</v>
      </c>
      <c r="AN2431" s="5" t="str">
        <f aca="false">D2431&amp;"|"&amp;AM2431</f>
        <v>文件與影像辨識|343</v>
      </c>
    </row>
    <row r="2432" customFormat="false" ht="17.15" hidden="false" customHeight="false" outlineLevel="0" collapsed="false">
      <c r="A2432" s="16" t="n">
        <f aca="false">RANK(G2432,$G$2:$G$2501)+COUNTIF($G$2:G2432,G2432)-1</f>
        <v>2431</v>
      </c>
      <c r="B2432" s="11" t="s">
        <v>6017</v>
      </c>
      <c r="C2432" s="11" t="s">
        <v>6018</v>
      </c>
      <c r="D2432" s="5" t="s">
        <v>80</v>
      </c>
      <c r="E2432" s="5" t="s">
        <v>81</v>
      </c>
      <c r="F2432" s="5"/>
      <c r="G2432" s="22" t="n">
        <f aca="false">ROUND(SUM(I2432:P2432),3)</f>
        <v>38.674</v>
      </c>
      <c r="H2432" s="5" t="str">
        <f aca="false">IF(G2432&gt;=評分方法!$C$16,"優先評估",IF(G2432&gt;=評分方法!$C$17,"列入候選",IF(G2432&gt;=評分方法!$C$18,"特定情境","不建議")))</f>
        <v>不建議</v>
      </c>
      <c r="I2432" s="15" t="n">
        <f aca="false">AE2432*評分方法!$C$5</f>
        <v>3</v>
      </c>
      <c r="J2432" s="15" t="n">
        <f aca="false">AF2432*評分方法!$C$6</f>
        <v>0</v>
      </c>
      <c r="K2432" s="15" t="n">
        <f aca="false">AG2432*評分方法!$C$7</f>
        <v>4.95</v>
      </c>
      <c r="L2432" s="15" t="n">
        <f aca="false">AH2432*評分方法!$C$8</f>
        <v>15</v>
      </c>
      <c r="M2432" s="15" t="n">
        <f aca="false">AI2432*評分方法!$C$9</f>
        <v>10</v>
      </c>
      <c r="N2432" s="15" t="n">
        <f aca="false">AJ2432*評分方法!$C$10</f>
        <v>0.224</v>
      </c>
      <c r="O2432" s="15" t="n">
        <f aca="false">AK2432*評分方法!$C$11</f>
        <v>4</v>
      </c>
      <c r="P2432" s="15" t="n">
        <f aca="false">AL2432*評分方法!$C$12</f>
        <v>1.5</v>
      </c>
      <c r="Q2432" s="6" t="n">
        <v>122469</v>
      </c>
      <c r="R2432" s="6" t="n">
        <v>13943298</v>
      </c>
      <c r="S2432" s="11" t="s">
        <v>238</v>
      </c>
      <c r="T2432" s="11" t="s">
        <v>239</v>
      </c>
      <c r="U2432" s="5" t="s">
        <v>240</v>
      </c>
      <c r="V2432" s="11" t="s">
        <v>261</v>
      </c>
      <c r="W2432" s="5" t="s">
        <v>334</v>
      </c>
      <c r="X2432" s="5" t="s">
        <v>255</v>
      </c>
      <c r="Y2432" s="5"/>
      <c r="Z2432" s="5"/>
      <c r="AA2432" s="11" t="s">
        <v>184</v>
      </c>
      <c r="AB2432" s="5" t="s">
        <v>245</v>
      </c>
      <c r="AC2432" s="5"/>
      <c r="AD2432" s="11" t="s">
        <v>6019</v>
      </c>
      <c r="AE2432" s="23" t="n">
        <v>0.1</v>
      </c>
      <c r="AF2432" s="23" t="n">
        <v>0</v>
      </c>
      <c r="AG2432" s="23" t="n">
        <v>0.33</v>
      </c>
      <c r="AH2432" s="23" t="n">
        <v>1</v>
      </c>
      <c r="AI2432" s="23" t="n">
        <v>1</v>
      </c>
      <c r="AJ2432" s="23" t="n">
        <v>0.0224</v>
      </c>
      <c r="AK2432" s="23" t="n">
        <v>0.8</v>
      </c>
      <c r="AL2432" s="23" t="n">
        <v>0.3</v>
      </c>
      <c r="AM2432" s="16" t="n">
        <f aca="false">COUNTIFS($D$2:$D$2501,D2432,$G$2:$G$2501,"&gt;"&amp;G2432)+COUNTIFS($D$2:D2432,D2432,$G$2:G2432,G2432)</f>
        <v>65</v>
      </c>
      <c r="AN2432" s="5" t="str">
        <f aca="false">D2432&amp;"|"&amp;AM2432</f>
        <v>其他|65</v>
      </c>
    </row>
    <row r="2433" customFormat="false" ht="17.15" hidden="false" customHeight="false" outlineLevel="0" collapsed="false">
      <c r="A2433" s="16" t="n">
        <f aca="false">RANK(G2433,$G$2:$G$2501)+COUNTIF($G$2:G2433,G2433)-1</f>
        <v>2432</v>
      </c>
      <c r="B2433" s="11" t="s">
        <v>6020</v>
      </c>
      <c r="C2433" s="11" t="s">
        <v>1677</v>
      </c>
      <c r="D2433" s="5" t="s">
        <v>74</v>
      </c>
      <c r="E2433" s="5" t="s">
        <v>75</v>
      </c>
      <c r="F2433" s="5"/>
      <c r="G2433" s="22" t="n">
        <f aca="false">ROUND(SUM(I2433:P2433),3)</f>
        <v>38.536</v>
      </c>
      <c r="H2433" s="5" t="str">
        <f aca="false">IF(G2433&gt;=評分方法!$C$16,"優先評估",IF(G2433&gt;=評分方法!$C$17,"列入候選",IF(G2433&gt;=評分方法!$C$18,"特定情境","不建議")))</f>
        <v>不建議</v>
      </c>
      <c r="I2433" s="15" t="n">
        <f aca="false">AE2433*評分方法!$C$5</f>
        <v>12</v>
      </c>
      <c r="J2433" s="15" t="n">
        <f aca="false">AF2433*評分方法!$C$6</f>
        <v>0</v>
      </c>
      <c r="K2433" s="15" t="n">
        <f aca="false">AG2433*評分方法!$C$7</f>
        <v>10.05</v>
      </c>
      <c r="L2433" s="15" t="n">
        <f aca="false">AH2433*評分方法!$C$8</f>
        <v>7.05</v>
      </c>
      <c r="M2433" s="15" t="n">
        <f aca="false">AI2433*評分方法!$C$9</f>
        <v>2</v>
      </c>
      <c r="N2433" s="15" t="n">
        <f aca="false">AJ2433*評分方法!$C$10</f>
        <v>3.436</v>
      </c>
      <c r="O2433" s="15" t="n">
        <f aca="false">AK2433*評分方法!$C$11</f>
        <v>2.5</v>
      </c>
      <c r="P2433" s="15" t="n">
        <f aca="false">AL2433*評分方法!$C$12</f>
        <v>1.5</v>
      </c>
      <c r="Q2433" s="6" t="n">
        <v>345714</v>
      </c>
      <c r="R2433" s="6"/>
      <c r="S2433" s="5" t="s">
        <v>255</v>
      </c>
      <c r="T2433" s="5"/>
      <c r="U2433" s="5" t="s">
        <v>375</v>
      </c>
      <c r="V2433" s="11" t="s">
        <v>514</v>
      </c>
      <c r="W2433" s="5" t="s">
        <v>207</v>
      </c>
      <c r="X2433" s="5" t="s">
        <v>255</v>
      </c>
      <c r="Y2433" s="11" t="s">
        <v>2823</v>
      </c>
      <c r="Z2433" s="11" t="s">
        <v>244</v>
      </c>
      <c r="AA2433" s="11" t="s">
        <v>167</v>
      </c>
      <c r="AB2433" s="5" t="s">
        <v>245</v>
      </c>
      <c r="AC2433" s="5" t="s">
        <v>464</v>
      </c>
      <c r="AD2433" s="11" t="s">
        <v>6021</v>
      </c>
      <c r="AE2433" s="23" t="n">
        <v>0.4</v>
      </c>
      <c r="AF2433" s="23" t="n">
        <v>0</v>
      </c>
      <c r="AG2433" s="23" t="n">
        <v>0.67</v>
      </c>
      <c r="AH2433" s="23" t="n">
        <v>0.47</v>
      </c>
      <c r="AI2433" s="23" t="n">
        <v>0.2</v>
      </c>
      <c r="AJ2433" s="23" t="n">
        <v>0.3436</v>
      </c>
      <c r="AK2433" s="23" t="n">
        <v>0.5</v>
      </c>
      <c r="AL2433" s="23" t="n">
        <v>0.3</v>
      </c>
      <c r="AM2433" s="16" t="n">
        <f aca="false">COUNTIFS($D$2:$D$2501,D2433,$G$2:$G$2501,"&gt;"&amp;G2433)+COUNTIFS($D$2:D2433,D2433,$G$2:G2433,G2433)</f>
        <v>344</v>
      </c>
      <c r="AN2433" s="5" t="str">
        <f aca="false">D2433&amp;"|"&amp;AM2433</f>
        <v>文件與影像辨識|344</v>
      </c>
    </row>
    <row r="2434" customFormat="false" ht="17.15" hidden="false" customHeight="false" outlineLevel="0" collapsed="false">
      <c r="A2434" s="16" t="n">
        <f aca="false">RANK(G2434,$G$2:$G$2501)+COUNTIF($G$2:G2434,G2434)-1</f>
        <v>2433</v>
      </c>
      <c r="B2434" s="11" t="s">
        <v>6022</v>
      </c>
      <c r="C2434" s="11" t="s">
        <v>6023</v>
      </c>
      <c r="D2434" s="5" t="s">
        <v>68</v>
      </c>
      <c r="E2434" s="11" t="s">
        <v>69</v>
      </c>
      <c r="F2434" s="5"/>
      <c r="G2434" s="22" t="n">
        <f aca="false">ROUND(SUM(I2434:P2434),3)</f>
        <v>38.508</v>
      </c>
      <c r="H2434" s="5" t="str">
        <f aca="false">IF(G2434&gt;=評分方法!$C$16,"優先評估",IF(G2434&gt;=評分方法!$C$17,"列入候選",IF(G2434&gt;=評分方法!$C$18,"特定情境","不建議")))</f>
        <v>不建議</v>
      </c>
      <c r="I2434" s="15" t="n">
        <f aca="false">AE2434*評分方法!$C$5</f>
        <v>12</v>
      </c>
      <c r="J2434" s="15" t="n">
        <f aca="false">AF2434*評分方法!$C$6</f>
        <v>0</v>
      </c>
      <c r="K2434" s="15" t="n">
        <f aca="false">AG2434*評分方法!$C$7</f>
        <v>4.95</v>
      </c>
      <c r="L2434" s="15" t="n">
        <f aca="false">AH2434*評分方法!$C$8</f>
        <v>7.05</v>
      </c>
      <c r="M2434" s="15" t="n">
        <f aca="false">AI2434*評分方法!$C$9</f>
        <v>6</v>
      </c>
      <c r="N2434" s="15" t="n">
        <f aca="false">AJ2434*評分方法!$C$10</f>
        <v>2.008</v>
      </c>
      <c r="O2434" s="15" t="n">
        <f aca="false">AK2434*評分方法!$C$11</f>
        <v>5</v>
      </c>
      <c r="P2434" s="15" t="n">
        <f aca="false">AL2434*評分方法!$C$12</f>
        <v>1.5</v>
      </c>
      <c r="Q2434" s="6" t="n">
        <v>210737</v>
      </c>
      <c r="R2434" s="6"/>
      <c r="S2434" s="5" t="s">
        <v>255</v>
      </c>
      <c r="T2434" s="11" t="s">
        <v>185</v>
      </c>
      <c r="U2434" s="5" t="s">
        <v>260</v>
      </c>
      <c r="V2434" s="11" t="s">
        <v>261</v>
      </c>
      <c r="W2434" s="5" t="s">
        <v>334</v>
      </c>
      <c r="X2434" s="5" t="s">
        <v>255</v>
      </c>
      <c r="Y2434" s="5"/>
      <c r="Z2434" s="5"/>
      <c r="AA2434" s="11" t="s">
        <v>169</v>
      </c>
      <c r="AB2434" s="5" t="s">
        <v>245</v>
      </c>
      <c r="AC2434" s="5" t="s">
        <v>262</v>
      </c>
      <c r="AD2434" s="11" t="s">
        <v>6024</v>
      </c>
      <c r="AE2434" s="23" t="n">
        <v>0.4</v>
      </c>
      <c r="AF2434" s="23" t="n">
        <v>0</v>
      </c>
      <c r="AG2434" s="23" t="n">
        <v>0.33</v>
      </c>
      <c r="AH2434" s="23" t="n">
        <v>0.47</v>
      </c>
      <c r="AI2434" s="23" t="n">
        <v>0.6</v>
      </c>
      <c r="AJ2434" s="23" t="n">
        <v>0.2008</v>
      </c>
      <c r="AK2434" s="23" t="n">
        <v>1</v>
      </c>
      <c r="AL2434" s="23" t="n">
        <v>0.3</v>
      </c>
      <c r="AM2434" s="16" t="n">
        <f aca="false">COUNTIFS($D$2:$D$2501,D2434,$G$2:$G$2501,"&gt;"&amp;G2434)+COUNTIFS($D$2:D2434,D2434,$G$2:G2434,G2434)</f>
        <v>53</v>
      </c>
      <c r="AN2434" s="5" t="str">
        <f aca="false">D2434&amp;"|"&amp;AM2434</f>
        <v>時序異常偵測|53</v>
      </c>
    </row>
    <row r="2435" customFormat="false" ht="17.15" hidden="false" customHeight="false" outlineLevel="0" collapsed="false">
      <c r="A2435" s="16" t="n">
        <f aca="false">RANK(G2435,$G$2:$G$2501)+COUNTIF($G$2:G2435,G2435)-1</f>
        <v>2434</v>
      </c>
      <c r="B2435" s="11" t="s">
        <v>6025</v>
      </c>
      <c r="C2435" s="11" t="s">
        <v>6026</v>
      </c>
      <c r="D2435" s="5" t="s">
        <v>78</v>
      </c>
      <c r="E2435" s="5" t="s">
        <v>79</v>
      </c>
      <c r="F2435" s="5"/>
      <c r="G2435" s="22" t="n">
        <f aca="false">ROUND(SUM(I2435:P2435),3)</f>
        <v>38.498</v>
      </c>
      <c r="H2435" s="5" t="str">
        <f aca="false">IF(G2435&gt;=評分方法!$C$16,"優先評估",IF(G2435&gt;=評分方法!$C$17,"列入候選",IF(G2435&gt;=評分方法!$C$18,"特定情境","不建議")))</f>
        <v>不建議</v>
      </c>
      <c r="I2435" s="15" t="n">
        <f aca="false">AE2435*評分方法!$C$5</f>
        <v>5.4</v>
      </c>
      <c r="J2435" s="15" t="n">
        <f aca="false">AF2435*評分方法!$C$6</f>
        <v>0</v>
      </c>
      <c r="K2435" s="15" t="n">
        <f aca="false">AG2435*評分方法!$C$7</f>
        <v>4.95</v>
      </c>
      <c r="L2435" s="15" t="n">
        <f aca="false">AH2435*評分方法!$C$8</f>
        <v>15</v>
      </c>
      <c r="M2435" s="15" t="n">
        <f aca="false">AI2435*評分方法!$C$9</f>
        <v>10</v>
      </c>
      <c r="N2435" s="15" t="n">
        <f aca="false">AJ2435*評分方法!$C$10</f>
        <v>2.148</v>
      </c>
      <c r="O2435" s="15" t="n">
        <f aca="false">AK2435*評分方法!$C$11</f>
        <v>1</v>
      </c>
      <c r="P2435" s="15" t="n">
        <f aca="false">AL2435*評分方法!$C$12</f>
        <v>0</v>
      </c>
      <c r="Q2435" s="6" t="n">
        <v>220109</v>
      </c>
      <c r="R2435" s="6" t="n">
        <v>315472545</v>
      </c>
      <c r="S2435" s="11" t="s">
        <v>238</v>
      </c>
      <c r="T2435" s="11" t="s">
        <v>239</v>
      </c>
      <c r="U2435" s="5" t="s">
        <v>240</v>
      </c>
      <c r="V2435" s="11" t="s">
        <v>261</v>
      </c>
      <c r="W2435" s="5" t="s">
        <v>334</v>
      </c>
      <c r="X2435" s="5" t="s">
        <v>242</v>
      </c>
      <c r="Y2435" s="5"/>
      <c r="Z2435" s="5"/>
      <c r="AA2435" s="11" t="s">
        <v>175</v>
      </c>
      <c r="AB2435" s="5" t="s">
        <v>245</v>
      </c>
      <c r="AC2435" s="5" t="s">
        <v>1463</v>
      </c>
      <c r="AD2435" s="11" t="s">
        <v>6027</v>
      </c>
      <c r="AE2435" s="23" t="n">
        <v>0.18</v>
      </c>
      <c r="AF2435" s="23" t="n">
        <v>0</v>
      </c>
      <c r="AG2435" s="23" t="n">
        <v>0.33</v>
      </c>
      <c r="AH2435" s="23" t="n">
        <v>1</v>
      </c>
      <c r="AI2435" s="23" t="n">
        <v>1</v>
      </c>
      <c r="AJ2435" s="23" t="n">
        <v>0.2148</v>
      </c>
      <c r="AK2435" s="23" t="n">
        <v>0.2</v>
      </c>
      <c r="AL2435" s="23" t="n">
        <v>0</v>
      </c>
      <c r="AM2435" s="16" t="n">
        <f aca="false">COUNTIFS($D$2:$D$2501,D2435,$G$2:$G$2501,"&gt;"&amp;G2435)+COUNTIFS($D$2:D2435,D2435,$G$2:G2435,G2435)</f>
        <v>138</v>
      </c>
      <c r="AN2435" s="5" t="str">
        <f aca="false">D2435&amp;"|"&amp;AM2435</f>
        <v>語音分析|138</v>
      </c>
    </row>
    <row r="2436" customFormat="false" ht="17.15" hidden="false" customHeight="false" outlineLevel="0" collapsed="false">
      <c r="A2436" s="16" t="n">
        <f aca="false">RANK(G2436,$G$2:$G$2501)+COUNTIF($G$2:G2436,G2436)-1</f>
        <v>2435</v>
      </c>
      <c r="B2436" s="11" t="s">
        <v>6028</v>
      </c>
      <c r="C2436" s="11" t="s">
        <v>6029</v>
      </c>
      <c r="D2436" s="5" t="s">
        <v>78</v>
      </c>
      <c r="E2436" s="5" t="s">
        <v>79</v>
      </c>
      <c r="F2436" s="5"/>
      <c r="G2436" s="22" t="n">
        <f aca="false">ROUND(SUM(I2436:P2436),3)</f>
        <v>38.496</v>
      </c>
      <c r="H2436" s="5" t="str">
        <f aca="false">IF(G2436&gt;=評分方法!$C$16,"優先評估",IF(G2436&gt;=評分方法!$C$17,"列入候選",IF(G2436&gt;=評分方法!$C$18,"特定情境","不建議")))</f>
        <v>不建議</v>
      </c>
      <c r="I2436" s="15" t="n">
        <f aca="false">AE2436*評分方法!$C$5</f>
        <v>9</v>
      </c>
      <c r="J2436" s="15" t="n">
        <f aca="false">AF2436*評分方法!$C$6</f>
        <v>0</v>
      </c>
      <c r="K2436" s="15" t="n">
        <f aca="false">AG2436*評分方法!$C$7</f>
        <v>4.95</v>
      </c>
      <c r="L2436" s="15" t="n">
        <f aca="false">AH2436*評分方法!$C$8</f>
        <v>7.05</v>
      </c>
      <c r="M2436" s="15" t="n">
        <f aca="false">AI2436*評分方法!$C$9</f>
        <v>10</v>
      </c>
      <c r="N2436" s="15" t="n">
        <f aca="false">AJ2436*評分方法!$C$10</f>
        <v>3.496</v>
      </c>
      <c r="O2436" s="15" t="n">
        <f aca="false">AK2436*評分方法!$C$11</f>
        <v>4</v>
      </c>
      <c r="P2436" s="15" t="n">
        <f aca="false">AL2436*評分方法!$C$12</f>
        <v>0</v>
      </c>
      <c r="Q2436" s="6" t="n">
        <v>351683</v>
      </c>
      <c r="R2436" s="6"/>
      <c r="S2436" s="5" t="s">
        <v>255</v>
      </c>
      <c r="T2436" s="11" t="s">
        <v>1636</v>
      </c>
      <c r="U2436" s="5" t="s">
        <v>240</v>
      </c>
      <c r="V2436" s="11" t="s">
        <v>514</v>
      </c>
      <c r="W2436" s="5" t="s">
        <v>334</v>
      </c>
      <c r="X2436" s="5" t="s">
        <v>242</v>
      </c>
      <c r="Y2436" s="11" t="s">
        <v>3150</v>
      </c>
      <c r="Z2436" s="11" t="s">
        <v>244</v>
      </c>
      <c r="AA2436" s="11" t="s">
        <v>175</v>
      </c>
      <c r="AB2436" s="5" t="s">
        <v>245</v>
      </c>
      <c r="AC2436" s="5" t="s">
        <v>246</v>
      </c>
      <c r="AD2436" s="11" t="s">
        <v>6030</v>
      </c>
      <c r="AE2436" s="23" t="n">
        <v>0.3</v>
      </c>
      <c r="AF2436" s="23" t="n">
        <v>0</v>
      </c>
      <c r="AG2436" s="23" t="n">
        <v>0.33</v>
      </c>
      <c r="AH2436" s="23" t="n">
        <v>0.47</v>
      </c>
      <c r="AI2436" s="23" t="n">
        <v>1</v>
      </c>
      <c r="AJ2436" s="23" t="n">
        <v>0.3496</v>
      </c>
      <c r="AK2436" s="23" t="n">
        <v>0.8</v>
      </c>
      <c r="AL2436" s="23" t="n">
        <v>0</v>
      </c>
      <c r="AM2436" s="16" t="n">
        <f aca="false">COUNTIFS($D$2:$D$2501,D2436,$G$2:$G$2501,"&gt;"&amp;G2436)+COUNTIFS($D$2:D2436,D2436,$G$2:G2436,G2436)</f>
        <v>139</v>
      </c>
      <c r="AN2436" s="5" t="str">
        <f aca="false">D2436&amp;"|"&amp;AM2436</f>
        <v>語音分析|139</v>
      </c>
    </row>
    <row r="2437" customFormat="false" ht="17.15" hidden="false" customHeight="false" outlineLevel="0" collapsed="false">
      <c r="A2437" s="16" t="n">
        <f aca="false">RANK(G2437,$G$2:$G$2501)+COUNTIF($G$2:G2437,G2437)-1</f>
        <v>2436</v>
      </c>
      <c r="B2437" s="11" t="s">
        <v>6031</v>
      </c>
      <c r="C2437" s="11" t="s">
        <v>1325</v>
      </c>
      <c r="D2437" s="5" t="s">
        <v>78</v>
      </c>
      <c r="E2437" s="5" t="s">
        <v>79</v>
      </c>
      <c r="F2437" s="5"/>
      <c r="G2437" s="22" t="n">
        <f aca="false">ROUND(SUM(I2437:P2437),3)</f>
        <v>38.34</v>
      </c>
      <c r="H2437" s="5" t="str">
        <f aca="false">IF(G2437&gt;=評分方法!$C$16,"優先評估",IF(G2437&gt;=評分方法!$C$17,"列入候選",IF(G2437&gt;=評分方法!$C$18,"特定情境","不建議")))</f>
        <v>不建議</v>
      </c>
      <c r="I2437" s="15" t="n">
        <f aca="false">AE2437*評分方法!$C$5</f>
        <v>9</v>
      </c>
      <c r="J2437" s="15" t="n">
        <f aca="false">AF2437*評分方法!$C$6</f>
        <v>0</v>
      </c>
      <c r="K2437" s="15" t="n">
        <f aca="false">AG2437*評分方法!$C$7</f>
        <v>10.05</v>
      </c>
      <c r="L2437" s="15" t="n">
        <f aca="false">AH2437*評分方法!$C$8</f>
        <v>7.05</v>
      </c>
      <c r="M2437" s="15" t="n">
        <f aca="false">AI2437*評分方法!$C$9</f>
        <v>2</v>
      </c>
      <c r="N2437" s="15" t="n">
        <f aca="false">AJ2437*評分方法!$C$10</f>
        <v>6.24</v>
      </c>
      <c r="O2437" s="15" t="n">
        <f aca="false">AK2437*評分方法!$C$11</f>
        <v>2.5</v>
      </c>
      <c r="P2437" s="15" t="n">
        <f aca="false">AL2437*評分方法!$C$12</f>
        <v>1.5</v>
      </c>
      <c r="Q2437" s="6" t="n">
        <v>678081</v>
      </c>
      <c r="R2437" s="6"/>
      <c r="S2437" s="5" t="s">
        <v>255</v>
      </c>
      <c r="T2437" s="5"/>
      <c r="U2437" s="5" t="s">
        <v>375</v>
      </c>
      <c r="V2437" s="11" t="s">
        <v>514</v>
      </c>
      <c r="W2437" s="5" t="s">
        <v>207</v>
      </c>
      <c r="X2437" s="5" t="s">
        <v>255</v>
      </c>
      <c r="Y2437" s="11" t="s">
        <v>2632</v>
      </c>
      <c r="Z2437" s="11" t="s">
        <v>244</v>
      </c>
      <c r="AA2437" s="11" t="s">
        <v>175</v>
      </c>
      <c r="AB2437" s="5" t="s">
        <v>245</v>
      </c>
      <c r="AC2437" s="5" t="s">
        <v>464</v>
      </c>
      <c r="AD2437" s="11" t="s">
        <v>6032</v>
      </c>
      <c r="AE2437" s="23" t="n">
        <v>0.3</v>
      </c>
      <c r="AF2437" s="23" t="n">
        <v>0</v>
      </c>
      <c r="AG2437" s="23" t="n">
        <v>0.67</v>
      </c>
      <c r="AH2437" s="23" t="n">
        <v>0.47</v>
      </c>
      <c r="AI2437" s="23" t="n">
        <v>0.2</v>
      </c>
      <c r="AJ2437" s="23" t="n">
        <v>0.624</v>
      </c>
      <c r="AK2437" s="23" t="n">
        <v>0.5</v>
      </c>
      <c r="AL2437" s="23" t="n">
        <v>0.3</v>
      </c>
      <c r="AM2437" s="16" t="n">
        <f aca="false">COUNTIFS($D$2:$D$2501,D2437,$G$2:$G$2501,"&gt;"&amp;G2437)+COUNTIFS($D$2:D2437,D2437,$G$2:G2437,G2437)</f>
        <v>140</v>
      </c>
      <c r="AN2437" s="5" t="str">
        <f aca="false">D2437&amp;"|"&amp;AM2437</f>
        <v>語音分析|140</v>
      </c>
    </row>
    <row r="2438" customFormat="false" ht="17.15" hidden="false" customHeight="false" outlineLevel="0" collapsed="false">
      <c r="A2438" s="16" t="n">
        <f aca="false">RANK(G2438,$G$2:$G$2501)+COUNTIF($G$2:G2438,G2438)-1</f>
        <v>2437</v>
      </c>
      <c r="B2438" s="11" t="s">
        <v>6033</v>
      </c>
      <c r="C2438" s="11" t="s">
        <v>6034</v>
      </c>
      <c r="D2438" s="5" t="s">
        <v>78</v>
      </c>
      <c r="E2438" s="5" t="s">
        <v>79</v>
      </c>
      <c r="F2438" s="5"/>
      <c r="G2438" s="22" t="n">
        <f aca="false">ROUND(SUM(I2438:P2438),3)</f>
        <v>38.258</v>
      </c>
      <c r="H2438" s="5" t="str">
        <f aca="false">IF(G2438&gt;=評分方法!$C$16,"優先評估",IF(G2438&gt;=評分方法!$C$17,"列入候選",IF(G2438&gt;=評分方法!$C$18,"特定情境","不建議")))</f>
        <v>不建議</v>
      </c>
      <c r="I2438" s="15" t="n">
        <f aca="false">AE2438*評分方法!$C$5</f>
        <v>4.2</v>
      </c>
      <c r="J2438" s="15" t="n">
        <f aca="false">AF2438*評分方法!$C$6</f>
        <v>0</v>
      </c>
      <c r="K2438" s="15" t="n">
        <f aca="false">AG2438*評分方法!$C$7</f>
        <v>4.95</v>
      </c>
      <c r="L2438" s="15" t="n">
        <f aca="false">AH2438*評分方法!$C$8</f>
        <v>15</v>
      </c>
      <c r="M2438" s="15" t="n">
        <f aca="false">AI2438*評分方法!$C$9</f>
        <v>10</v>
      </c>
      <c r="N2438" s="15" t="n">
        <f aca="false">AJ2438*評分方法!$C$10</f>
        <v>0.108</v>
      </c>
      <c r="O2438" s="15" t="n">
        <f aca="false">AK2438*評分方法!$C$11</f>
        <v>4</v>
      </c>
      <c r="P2438" s="15" t="n">
        <f aca="false">AL2438*評分方法!$C$12</f>
        <v>0</v>
      </c>
      <c r="Q2438" s="6" t="n">
        <v>119416</v>
      </c>
      <c r="R2438" s="6" t="n">
        <v>94570375</v>
      </c>
      <c r="S2438" s="11" t="s">
        <v>238</v>
      </c>
      <c r="T2438" s="11" t="s">
        <v>278</v>
      </c>
      <c r="U2438" s="5" t="s">
        <v>240</v>
      </c>
      <c r="V2438" s="11" t="s">
        <v>261</v>
      </c>
      <c r="W2438" s="5" t="s">
        <v>334</v>
      </c>
      <c r="X2438" s="5" t="s">
        <v>242</v>
      </c>
      <c r="Y2438" s="5"/>
      <c r="Z2438" s="5"/>
      <c r="AA2438" s="11" t="s">
        <v>174</v>
      </c>
      <c r="AB2438" s="5" t="s">
        <v>245</v>
      </c>
      <c r="AC2438" s="5" t="s">
        <v>3044</v>
      </c>
      <c r="AD2438" s="11" t="s">
        <v>6035</v>
      </c>
      <c r="AE2438" s="23" t="n">
        <v>0.14</v>
      </c>
      <c r="AF2438" s="23" t="n">
        <v>0</v>
      </c>
      <c r="AG2438" s="23" t="n">
        <v>0.33</v>
      </c>
      <c r="AH2438" s="23" t="n">
        <v>1</v>
      </c>
      <c r="AI2438" s="23" t="n">
        <v>1</v>
      </c>
      <c r="AJ2438" s="23" t="n">
        <v>0.0108</v>
      </c>
      <c r="AK2438" s="23" t="n">
        <v>0.8</v>
      </c>
      <c r="AL2438" s="23" t="n">
        <v>0</v>
      </c>
      <c r="AM2438" s="16" t="n">
        <f aca="false">COUNTIFS($D$2:$D$2501,D2438,$G$2:$G$2501,"&gt;"&amp;G2438)+COUNTIFS($D$2:D2438,D2438,$G$2:G2438,G2438)</f>
        <v>141</v>
      </c>
      <c r="AN2438" s="5" t="str">
        <f aca="false">D2438&amp;"|"&amp;AM2438</f>
        <v>語音分析|141</v>
      </c>
    </row>
    <row r="2439" customFormat="false" ht="17.15" hidden="false" customHeight="false" outlineLevel="0" collapsed="false">
      <c r="A2439" s="16" t="n">
        <f aca="false">RANK(G2439,$G$2:$G$2501)+COUNTIF($G$2:G2439,G2439)-1</f>
        <v>2438</v>
      </c>
      <c r="B2439" s="11" t="s">
        <v>6036</v>
      </c>
      <c r="C2439" s="11" t="s">
        <v>6037</v>
      </c>
      <c r="D2439" s="5" t="s">
        <v>74</v>
      </c>
      <c r="E2439" s="5" t="s">
        <v>75</v>
      </c>
      <c r="F2439" s="5"/>
      <c r="G2439" s="22" t="n">
        <f aca="false">ROUND(SUM(I2439:P2439),3)</f>
        <v>38.254</v>
      </c>
      <c r="H2439" s="5" t="str">
        <f aca="false">IF(G2439&gt;=評分方法!$C$16,"優先評估",IF(G2439&gt;=評分方法!$C$17,"列入候選",IF(G2439&gt;=評分方法!$C$18,"特定情境","不建議")))</f>
        <v>不建議</v>
      </c>
      <c r="I2439" s="15" t="n">
        <f aca="false">AE2439*評分方法!$C$5</f>
        <v>4.5</v>
      </c>
      <c r="J2439" s="15" t="n">
        <f aca="false">AF2439*評分方法!$C$6</f>
        <v>0</v>
      </c>
      <c r="K2439" s="15" t="n">
        <f aca="false">AG2439*評分方法!$C$7</f>
        <v>4.95</v>
      </c>
      <c r="L2439" s="15" t="n">
        <f aca="false">AH2439*評分方法!$C$8</f>
        <v>15</v>
      </c>
      <c r="M2439" s="15" t="n">
        <f aca="false">AI2439*評分方法!$C$9</f>
        <v>6</v>
      </c>
      <c r="N2439" s="15" t="n">
        <f aca="false">AJ2439*評分方法!$C$10</f>
        <v>3.804</v>
      </c>
      <c r="O2439" s="15" t="n">
        <f aca="false">AK2439*評分方法!$C$11</f>
        <v>4</v>
      </c>
      <c r="P2439" s="15" t="n">
        <f aca="false">AL2439*評分方法!$C$12</f>
        <v>0</v>
      </c>
      <c r="Q2439" s="6" t="n">
        <v>389444</v>
      </c>
      <c r="R2439" s="6" t="n">
        <v>64008402</v>
      </c>
      <c r="S2439" s="11" t="s">
        <v>238</v>
      </c>
      <c r="T2439" s="11" t="s">
        <v>185</v>
      </c>
      <c r="U2439" s="5" t="s">
        <v>260</v>
      </c>
      <c r="V2439" s="11" t="s">
        <v>261</v>
      </c>
      <c r="W2439" s="5" t="s">
        <v>334</v>
      </c>
      <c r="X2439" s="5" t="s">
        <v>242</v>
      </c>
      <c r="Y2439" s="5"/>
      <c r="Z2439" s="5"/>
      <c r="AA2439" s="11" t="s">
        <v>183</v>
      </c>
      <c r="AB2439" s="5" t="s">
        <v>245</v>
      </c>
      <c r="AC2439" s="5" t="s">
        <v>262</v>
      </c>
      <c r="AD2439" s="11" t="s">
        <v>6038</v>
      </c>
      <c r="AE2439" s="23" t="n">
        <v>0.15</v>
      </c>
      <c r="AF2439" s="23" t="n">
        <v>0</v>
      </c>
      <c r="AG2439" s="23" t="n">
        <v>0.33</v>
      </c>
      <c r="AH2439" s="23" t="n">
        <v>1</v>
      </c>
      <c r="AI2439" s="23" t="n">
        <v>0.6</v>
      </c>
      <c r="AJ2439" s="23" t="n">
        <v>0.3804</v>
      </c>
      <c r="AK2439" s="23" t="n">
        <v>0.8</v>
      </c>
      <c r="AL2439" s="23" t="n">
        <v>0</v>
      </c>
      <c r="AM2439" s="16" t="n">
        <f aca="false">COUNTIFS($D$2:$D$2501,D2439,$G$2:$G$2501,"&gt;"&amp;G2439)+COUNTIFS($D$2:D2439,D2439,$G$2:G2439,G2439)</f>
        <v>345</v>
      </c>
      <c r="AN2439" s="5" t="str">
        <f aca="false">D2439&amp;"|"&amp;AM2439</f>
        <v>文件與影像辨識|345</v>
      </c>
    </row>
    <row r="2440" customFormat="false" ht="17.15" hidden="false" customHeight="false" outlineLevel="0" collapsed="false">
      <c r="A2440" s="16" t="n">
        <f aca="false">RANK(G2440,$G$2:$G$2501)+COUNTIF($G$2:G2440,G2440)-1</f>
        <v>2439</v>
      </c>
      <c r="B2440" s="11" t="s">
        <v>6039</v>
      </c>
      <c r="C2440" s="11" t="s">
        <v>6040</v>
      </c>
      <c r="D2440" s="5" t="s">
        <v>78</v>
      </c>
      <c r="E2440" s="5" t="s">
        <v>79</v>
      </c>
      <c r="F2440" s="5"/>
      <c r="G2440" s="22" t="n">
        <f aca="false">ROUND(SUM(I2440:P2440),3)</f>
        <v>38.25</v>
      </c>
      <c r="H2440" s="5" t="str">
        <f aca="false">IF(G2440&gt;=評分方法!$C$16,"優先評估",IF(G2440&gt;=評分方法!$C$17,"列入候選",IF(G2440&gt;=評分方法!$C$18,"特定情境","不建議")))</f>
        <v>不建議</v>
      </c>
      <c r="I2440" s="15" t="n">
        <f aca="false">AE2440*評分方法!$C$5</f>
        <v>9</v>
      </c>
      <c r="J2440" s="15" t="n">
        <f aca="false">AF2440*評分方法!$C$6</f>
        <v>0</v>
      </c>
      <c r="K2440" s="15" t="n">
        <f aca="false">AG2440*評分方法!$C$7</f>
        <v>4.95</v>
      </c>
      <c r="L2440" s="15" t="n">
        <f aca="false">AH2440*評分方法!$C$8</f>
        <v>15</v>
      </c>
      <c r="M2440" s="15" t="n">
        <f aca="false">AI2440*評分方法!$C$9</f>
        <v>2</v>
      </c>
      <c r="N2440" s="15" t="n">
        <f aca="false">AJ2440*評分方法!$C$10</f>
        <v>3.3</v>
      </c>
      <c r="O2440" s="15" t="n">
        <f aca="false">AK2440*評分方法!$C$11</f>
        <v>2.5</v>
      </c>
      <c r="P2440" s="15" t="n">
        <f aca="false">AL2440*評分方法!$C$12</f>
        <v>1.5</v>
      </c>
      <c r="Q2440" s="6" t="n">
        <v>328757</v>
      </c>
      <c r="R2440" s="6" t="n">
        <v>964803577</v>
      </c>
      <c r="S2440" s="11" t="s">
        <v>238</v>
      </c>
      <c r="T2440" s="5"/>
      <c r="U2440" s="5" t="s">
        <v>375</v>
      </c>
      <c r="V2440" s="11" t="s">
        <v>261</v>
      </c>
      <c r="W2440" s="5" t="s">
        <v>334</v>
      </c>
      <c r="X2440" s="5" t="s">
        <v>255</v>
      </c>
      <c r="Y2440" s="5"/>
      <c r="Z2440" s="5"/>
      <c r="AA2440" s="11" t="s">
        <v>175</v>
      </c>
      <c r="AB2440" s="5" t="s">
        <v>245</v>
      </c>
      <c r="AC2440" s="5" t="s">
        <v>262</v>
      </c>
      <c r="AD2440" s="11" t="s">
        <v>6041</v>
      </c>
      <c r="AE2440" s="23" t="n">
        <v>0.3</v>
      </c>
      <c r="AF2440" s="23" t="n">
        <v>0</v>
      </c>
      <c r="AG2440" s="23" t="n">
        <v>0.33</v>
      </c>
      <c r="AH2440" s="23" t="n">
        <v>1</v>
      </c>
      <c r="AI2440" s="23" t="n">
        <v>0.2</v>
      </c>
      <c r="AJ2440" s="23" t="n">
        <v>0.33</v>
      </c>
      <c r="AK2440" s="23" t="n">
        <v>0.5</v>
      </c>
      <c r="AL2440" s="23" t="n">
        <v>0.3</v>
      </c>
      <c r="AM2440" s="16" t="n">
        <f aca="false">COUNTIFS($D$2:$D$2501,D2440,$G$2:$G$2501,"&gt;"&amp;G2440)+COUNTIFS($D$2:D2440,D2440,$G$2:G2440,G2440)</f>
        <v>142</v>
      </c>
      <c r="AN2440" s="5" t="str">
        <f aca="false">D2440&amp;"|"&amp;AM2440</f>
        <v>語音分析|142</v>
      </c>
    </row>
    <row r="2441" customFormat="false" ht="17.15" hidden="false" customHeight="false" outlineLevel="0" collapsed="false">
      <c r="A2441" s="16" t="n">
        <f aca="false">RANK(G2441,$G$2:$G$2501)+COUNTIF($G$2:G2441,G2441)-1</f>
        <v>2440</v>
      </c>
      <c r="B2441" s="11" t="s">
        <v>6042</v>
      </c>
      <c r="C2441" s="11" t="s">
        <v>6043</v>
      </c>
      <c r="D2441" s="5" t="s">
        <v>74</v>
      </c>
      <c r="E2441" s="5" t="s">
        <v>75</v>
      </c>
      <c r="F2441" s="5"/>
      <c r="G2441" s="22" t="n">
        <f aca="false">ROUND(SUM(I2441:P2441),3)</f>
        <v>38.158</v>
      </c>
      <c r="H2441" s="5" t="str">
        <f aca="false">IF(G2441&gt;=評分方法!$C$16,"優先評估",IF(G2441&gt;=評分方法!$C$17,"列入候選",IF(G2441&gt;=評分方法!$C$18,"特定情境","不建議")))</f>
        <v>不建議</v>
      </c>
      <c r="I2441" s="15" t="n">
        <f aca="false">AE2441*評分方法!$C$5</f>
        <v>4.5</v>
      </c>
      <c r="J2441" s="15" t="n">
        <f aca="false">AF2441*評分方法!$C$6</f>
        <v>0</v>
      </c>
      <c r="K2441" s="15" t="n">
        <f aca="false">AG2441*評分方法!$C$7</f>
        <v>4.95</v>
      </c>
      <c r="L2441" s="15" t="n">
        <f aca="false">AH2441*評分方法!$C$8</f>
        <v>15</v>
      </c>
      <c r="M2441" s="15" t="n">
        <f aca="false">AI2441*評分方法!$C$9</f>
        <v>2</v>
      </c>
      <c r="N2441" s="15" t="n">
        <f aca="false">AJ2441*評分方法!$C$10</f>
        <v>7.708</v>
      </c>
      <c r="O2441" s="15" t="n">
        <f aca="false">AK2441*評分方法!$C$11</f>
        <v>4</v>
      </c>
      <c r="P2441" s="15" t="n">
        <f aca="false">AL2441*評分方法!$C$12</f>
        <v>0</v>
      </c>
      <c r="Q2441" s="6" t="n">
        <v>1282803</v>
      </c>
      <c r="R2441" s="6" t="n">
        <v>84609491</v>
      </c>
      <c r="S2441" s="11" t="s">
        <v>238</v>
      </c>
      <c r="T2441" s="5"/>
      <c r="U2441" s="5" t="s">
        <v>375</v>
      </c>
      <c r="V2441" s="11" t="s">
        <v>288</v>
      </c>
      <c r="W2441" s="5" t="s">
        <v>334</v>
      </c>
      <c r="X2441" s="5" t="s">
        <v>242</v>
      </c>
      <c r="Y2441" s="5"/>
      <c r="Z2441" s="5"/>
      <c r="AA2441" s="11" t="s">
        <v>183</v>
      </c>
      <c r="AB2441" s="5" t="s">
        <v>245</v>
      </c>
      <c r="AC2441" s="5" t="s">
        <v>262</v>
      </c>
      <c r="AD2441" s="11" t="s">
        <v>6044</v>
      </c>
      <c r="AE2441" s="23" t="n">
        <v>0.15</v>
      </c>
      <c r="AF2441" s="23" t="n">
        <v>0</v>
      </c>
      <c r="AG2441" s="23" t="n">
        <v>0.33</v>
      </c>
      <c r="AH2441" s="23" t="n">
        <v>1</v>
      </c>
      <c r="AI2441" s="23" t="n">
        <v>0.2</v>
      </c>
      <c r="AJ2441" s="23" t="n">
        <v>0.7708</v>
      </c>
      <c r="AK2441" s="23" t="n">
        <v>0.8</v>
      </c>
      <c r="AL2441" s="23" t="n">
        <v>0</v>
      </c>
      <c r="AM2441" s="16" t="n">
        <f aca="false">COUNTIFS($D$2:$D$2501,D2441,$G$2:$G$2501,"&gt;"&amp;G2441)+COUNTIFS($D$2:D2441,D2441,$G$2:G2441,G2441)</f>
        <v>346</v>
      </c>
      <c r="AN2441" s="5" t="str">
        <f aca="false">D2441&amp;"|"&amp;AM2441</f>
        <v>文件與影像辨識|346</v>
      </c>
    </row>
    <row r="2442" customFormat="false" ht="17.15" hidden="false" customHeight="false" outlineLevel="0" collapsed="false">
      <c r="A2442" s="16" t="n">
        <f aca="false">RANK(G2442,$G$2:$G$2501)+COUNTIF($G$2:G2442,G2442)-1</f>
        <v>2441</v>
      </c>
      <c r="B2442" s="11" t="s">
        <v>6045</v>
      </c>
      <c r="C2442" s="11" t="s">
        <v>4149</v>
      </c>
      <c r="D2442" s="5" t="s">
        <v>80</v>
      </c>
      <c r="E2442" s="5" t="s">
        <v>81</v>
      </c>
      <c r="F2442" s="5"/>
      <c r="G2442" s="22" t="n">
        <f aca="false">ROUND(SUM(I2442:P2442),3)</f>
        <v>38.112</v>
      </c>
      <c r="H2442" s="5" t="str">
        <f aca="false">IF(G2442&gt;=評分方法!$C$16,"優先評估",IF(G2442&gt;=評分方法!$C$17,"列入候選",IF(G2442&gt;=評分方法!$C$18,"特定情境","不建議")))</f>
        <v>不建議</v>
      </c>
      <c r="I2442" s="15" t="n">
        <f aca="false">AE2442*評分方法!$C$5</f>
        <v>6</v>
      </c>
      <c r="J2442" s="15" t="n">
        <f aca="false">AF2442*評分方法!$C$6</f>
        <v>0</v>
      </c>
      <c r="K2442" s="15" t="n">
        <f aca="false">AG2442*評分方法!$C$7</f>
        <v>4.95</v>
      </c>
      <c r="L2442" s="15" t="n">
        <f aca="false">AH2442*評分方法!$C$8</f>
        <v>13.05</v>
      </c>
      <c r="M2442" s="15" t="n">
        <f aca="false">AI2442*評分方法!$C$9</f>
        <v>10</v>
      </c>
      <c r="N2442" s="15" t="n">
        <f aca="false">AJ2442*評分方法!$C$10</f>
        <v>0.112</v>
      </c>
      <c r="O2442" s="15" t="n">
        <f aca="false">AK2442*評分方法!$C$11</f>
        <v>2.5</v>
      </c>
      <c r="P2442" s="15" t="n">
        <f aca="false">AL2442*評分方法!$C$12</f>
        <v>1.5</v>
      </c>
      <c r="Q2442" s="6" t="n">
        <v>119458</v>
      </c>
      <c r="R2442" s="6" t="n">
        <v>8291375616</v>
      </c>
      <c r="S2442" s="11" t="s">
        <v>254</v>
      </c>
      <c r="T2442" s="11" t="s">
        <v>239</v>
      </c>
      <c r="U2442" s="5" t="s">
        <v>240</v>
      </c>
      <c r="V2442" s="11" t="s">
        <v>261</v>
      </c>
      <c r="W2442" s="5" t="s">
        <v>334</v>
      </c>
      <c r="X2442" s="5" t="s">
        <v>255</v>
      </c>
      <c r="Y2442" s="5"/>
      <c r="Z2442" s="5"/>
      <c r="AA2442" s="5"/>
      <c r="AB2442" s="5" t="s">
        <v>255</v>
      </c>
      <c r="AC2442" s="5"/>
      <c r="AD2442" s="11" t="s">
        <v>6046</v>
      </c>
      <c r="AE2442" s="23" t="n">
        <v>0.2</v>
      </c>
      <c r="AF2442" s="23" t="n">
        <v>0</v>
      </c>
      <c r="AG2442" s="23" t="n">
        <v>0.33</v>
      </c>
      <c r="AH2442" s="23" t="n">
        <v>0.87</v>
      </c>
      <c r="AI2442" s="23" t="n">
        <v>1</v>
      </c>
      <c r="AJ2442" s="23" t="n">
        <v>0.0112</v>
      </c>
      <c r="AK2442" s="23" t="n">
        <v>0.5</v>
      </c>
      <c r="AL2442" s="23" t="n">
        <v>0.3</v>
      </c>
      <c r="AM2442" s="16" t="n">
        <f aca="false">COUNTIFS($D$2:$D$2501,D2442,$G$2:$G$2501,"&gt;"&amp;G2442)+COUNTIFS($D$2:D2442,D2442,$G$2:G2442,G2442)</f>
        <v>66</v>
      </c>
      <c r="AN2442" s="5" t="str">
        <f aca="false">D2442&amp;"|"&amp;AM2442</f>
        <v>其他|66</v>
      </c>
    </row>
    <row r="2443" customFormat="false" ht="17.15" hidden="false" customHeight="false" outlineLevel="0" collapsed="false">
      <c r="A2443" s="16" t="n">
        <f aca="false">RANK(G2443,$G$2:$G$2501)+COUNTIF($G$2:G2443,G2443)-1</f>
        <v>2442</v>
      </c>
      <c r="B2443" s="11" t="s">
        <v>6047</v>
      </c>
      <c r="C2443" s="11" t="s">
        <v>6048</v>
      </c>
      <c r="D2443" s="5" t="s">
        <v>78</v>
      </c>
      <c r="E2443" s="5" t="s">
        <v>79</v>
      </c>
      <c r="F2443" s="5"/>
      <c r="G2443" s="22" t="n">
        <f aca="false">ROUND(SUM(I2443:P2443),3)</f>
        <v>38.11</v>
      </c>
      <c r="H2443" s="5" t="str">
        <f aca="false">IF(G2443&gt;=評分方法!$C$16,"優先評估",IF(G2443&gt;=評分方法!$C$17,"列入候選",IF(G2443&gt;=評分方法!$C$18,"特定情境","不建議")))</f>
        <v>不建議</v>
      </c>
      <c r="I2443" s="15" t="n">
        <f aca="false">AE2443*評分方法!$C$5</f>
        <v>9</v>
      </c>
      <c r="J2443" s="15" t="n">
        <f aca="false">AF2443*評分方法!$C$6</f>
        <v>0</v>
      </c>
      <c r="K2443" s="15" t="n">
        <f aca="false">AG2443*評分方法!$C$7</f>
        <v>4.95</v>
      </c>
      <c r="L2443" s="15" t="n">
        <f aca="false">AH2443*評分方法!$C$8</f>
        <v>15</v>
      </c>
      <c r="M2443" s="15" t="n">
        <f aca="false">AI2443*評分方法!$C$9</f>
        <v>2</v>
      </c>
      <c r="N2443" s="15" t="n">
        <f aca="false">AJ2443*評分方法!$C$10</f>
        <v>1.66</v>
      </c>
      <c r="O2443" s="15" t="n">
        <f aca="false">AK2443*評分方法!$C$11</f>
        <v>4</v>
      </c>
      <c r="P2443" s="15" t="n">
        <f aca="false">AL2443*評分方法!$C$12</f>
        <v>1.5</v>
      </c>
      <c r="Q2443" s="6" t="n">
        <v>188462</v>
      </c>
      <c r="R2443" s="6" t="n">
        <v>241734912</v>
      </c>
      <c r="S2443" s="11" t="s">
        <v>238</v>
      </c>
      <c r="T2443" s="5"/>
      <c r="U2443" s="5" t="s">
        <v>375</v>
      </c>
      <c r="V2443" s="11" t="s">
        <v>261</v>
      </c>
      <c r="W2443" s="5" t="s">
        <v>334</v>
      </c>
      <c r="X2443" s="5" t="s">
        <v>255</v>
      </c>
      <c r="Y2443" s="5"/>
      <c r="Z2443" s="5"/>
      <c r="AA2443" s="11" t="s">
        <v>175</v>
      </c>
      <c r="AB2443" s="5" t="s">
        <v>328</v>
      </c>
      <c r="AC2443" s="5" t="s">
        <v>329</v>
      </c>
      <c r="AD2443" s="11" t="s">
        <v>6049</v>
      </c>
      <c r="AE2443" s="23" t="n">
        <v>0.3</v>
      </c>
      <c r="AF2443" s="23" t="n">
        <v>0</v>
      </c>
      <c r="AG2443" s="23" t="n">
        <v>0.33</v>
      </c>
      <c r="AH2443" s="23" t="n">
        <v>1</v>
      </c>
      <c r="AI2443" s="23" t="n">
        <v>0.2</v>
      </c>
      <c r="AJ2443" s="23" t="n">
        <v>0.166</v>
      </c>
      <c r="AK2443" s="23" t="n">
        <v>0.8</v>
      </c>
      <c r="AL2443" s="23" t="n">
        <v>0.3</v>
      </c>
      <c r="AM2443" s="16" t="n">
        <f aca="false">COUNTIFS($D$2:$D$2501,D2443,$G$2:$G$2501,"&gt;"&amp;G2443)+COUNTIFS($D$2:D2443,D2443,$G$2:G2443,G2443)</f>
        <v>143</v>
      </c>
      <c r="AN2443" s="5" t="str">
        <f aca="false">D2443&amp;"|"&amp;AM2443</f>
        <v>語音分析|143</v>
      </c>
    </row>
    <row r="2444" customFormat="false" ht="17.15" hidden="false" customHeight="false" outlineLevel="0" collapsed="false">
      <c r="A2444" s="16" t="n">
        <f aca="false">RANK(G2444,$G$2:$G$2501)+COUNTIF($G$2:G2444,G2444)-1</f>
        <v>2443</v>
      </c>
      <c r="B2444" s="11" t="s">
        <v>6050</v>
      </c>
      <c r="C2444" s="11" t="s">
        <v>6051</v>
      </c>
      <c r="D2444" s="5" t="s">
        <v>78</v>
      </c>
      <c r="E2444" s="5" t="s">
        <v>79</v>
      </c>
      <c r="F2444" s="5"/>
      <c r="G2444" s="22" t="n">
        <f aca="false">ROUND(SUM(I2444:P2444),3)</f>
        <v>38.102</v>
      </c>
      <c r="H2444" s="5" t="str">
        <f aca="false">IF(G2444&gt;=評分方法!$C$16,"優先評估",IF(G2444&gt;=評分方法!$C$17,"列入候選",IF(G2444&gt;=評分方法!$C$18,"特定情境","不建議")))</f>
        <v>不建議</v>
      </c>
      <c r="I2444" s="15" t="n">
        <f aca="false">AE2444*評分方法!$C$5</f>
        <v>5.4</v>
      </c>
      <c r="J2444" s="15" t="n">
        <f aca="false">AF2444*評分方法!$C$6</f>
        <v>0</v>
      </c>
      <c r="K2444" s="15" t="n">
        <f aca="false">AG2444*評分方法!$C$7</f>
        <v>4.95</v>
      </c>
      <c r="L2444" s="15" t="n">
        <f aca="false">AH2444*評分方法!$C$8</f>
        <v>15</v>
      </c>
      <c r="M2444" s="15" t="n">
        <f aca="false">AI2444*評分方法!$C$9</f>
        <v>10</v>
      </c>
      <c r="N2444" s="15" t="n">
        <f aca="false">AJ2444*評分方法!$C$10</f>
        <v>1.752</v>
      </c>
      <c r="O2444" s="15" t="n">
        <f aca="false">AK2444*評分方法!$C$11</f>
        <v>1</v>
      </c>
      <c r="P2444" s="15" t="n">
        <f aca="false">AL2444*評分方法!$C$12</f>
        <v>0</v>
      </c>
      <c r="Q2444" s="6" t="n">
        <v>192990</v>
      </c>
      <c r="R2444" s="6" t="n">
        <v>315622195</v>
      </c>
      <c r="S2444" s="11" t="s">
        <v>238</v>
      </c>
      <c r="T2444" s="11" t="s">
        <v>239</v>
      </c>
      <c r="U2444" s="5" t="s">
        <v>240</v>
      </c>
      <c r="V2444" s="11" t="s">
        <v>324</v>
      </c>
      <c r="W2444" s="5" t="s">
        <v>334</v>
      </c>
      <c r="X2444" s="5" t="s">
        <v>242</v>
      </c>
      <c r="Y2444" s="5"/>
      <c r="Z2444" s="5"/>
      <c r="AA2444" s="11" t="s">
        <v>175</v>
      </c>
      <c r="AB2444" s="5" t="s">
        <v>245</v>
      </c>
      <c r="AC2444" s="5" t="s">
        <v>1463</v>
      </c>
      <c r="AD2444" s="11" t="s">
        <v>6052</v>
      </c>
      <c r="AE2444" s="23" t="n">
        <v>0.18</v>
      </c>
      <c r="AF2444" s="23" t="n">
        <v>0</v>
      </c>
      <c r="AG2444" s="23" t="n">
        <v>0.33</v>
      </c>
      <c r="AH2444" s="23" t="n">
        <v>1</v>
      </c>
      <c r="AI2444" s="23" t="n">
        <v>1</v>
      </c>
      <c r="AJ2444" s="23" t="n">
        <v>0.1752</v>
      </c>
      <c r="AK2444" s="23" t="n">
        <v>0.2</v>
      </c>
      <c r="AL2444" s="23" t="n">
        <v>0</v>
      </c>
      <c r="AM2444" s="16" t="n">
        <f aca="false">COUNTIFS($D$2:$D$2501,D2444,$G$2:$G$2501,"&gt;"&amp;G2444)+COUNTIFS($D$2:D2444,D2444,$G$2:G2444,G2444)</f>
        <v>144</v>
      </c>
      <c r="AN2444" s="5" t="str">
        <f aca="false">D2444&amp;"|"&amp;AM2444</f>
        <v>語音分析|144</v>
      </c>
    </row>
    <row r="2445" customFormat="false" ht="17.15" hidden="false" customHeight="false" outlineLevel="0" collapsed="false">
      <c r="A2445" s="16" t="n">
        <f aca="false">RANK(G2445,$G$2:$G$2501)+COUNTIF($G$2:G2445,G2445)-1</f>
        <v>2444</v>
      </c>
      <c r="B2445" s="11" t="s">
        <v>6053</v>
      </c>
      <c r="C2445" s="11" t="s">
        <v>5770</v>
      </c>
      <c r="D2445" s="5" t="s">
        <v>80</v>
      </c>
      <c r="E2445" s="5" t="s">
        <v>81</v>
      </c>
      <c r="F2445" s="5"/>
      <c r="G2445" s="22" t="n">
        <f aca="false">ROUND(SUM(I2445:P2445),3)</f>
        <v>38.022</v>
      </c>
      <c r="H2445" s="5" t="str">
        <f aca="false">IF(G2445&gt;=評分方法!$C$16,"優先評估",IF(G2445&gt;=評分方法!$C$17,"列入候選",IF(G2445&gt;=評分方法!$C$18,"特定情境","不建議")))</f>
        <v>不建議</v>
      </c>
      <c r="I2445" s="15" t="n">
        <f aca="false">AE2445*評分方法!$C$5</f>
        <v>1.5</v>
      </c>
      <c r="J2445" s="15" t="n">
        <f aca="false">AF2445*評分方法!$C$6</f>
        <v>0</v>
      </c>
      <c r="K2445" s="15" t="n">
        <f aca="false">AG2445*評分方法!$C$7</f>
        <v>4.95</v>
      </c>
      <c r="L2445" s="15" t="n">
        <f aca="false">AH2445*評分方法!$C$8</f>
        <v>15</v>
      </c>
      <c r="M2445" s="15" t="n">
        <f aca="false">AI2445*評分方法!$C$9</f>
        <v>10</v>
      </c>
      <c r="N2445" s="15" t="n">
        <f aca="false">AJ2445*評分方法!$C$10</f>
        <v>2.572</v>
      </c>
      <c r="O2445" s="15" t="n">
        <f aca="false">AK2445*評分方法!$C$11</f>
        <v>2.5</v>
      </c>
      <c r="P2445" s="15" t="n">
        <f aca="false">AL2445*評分方法!$C$12</f>
        <v>1.5</v>
      </c>
      <c r="Q2445" s="6" t="n">
        <v>257681</v>
      </c>
      <c r="R2445" s="6" t="n">
        <v>33144721</v>
      </c>
      <c r="S2445" s="11" t="s">
        <v>238</v>
      </c>
      <c r="T2445" s="11" t="s">
        <v>239</v>
      </c>
      <c r="U2445" s="5" t="s">
        <v>240</v>
      </c>
      <c r="V2445" s="11" t="s">
        <v>261</v>
      </c>
      <c r="W2445" s="5" t="s">
        <v>334</v>
      </c>
      <c r="X2445" s="5" t="s">
        <v>255</v>
      </c>
      <c r="Y2445" s="5"/>
      <c r="Z2445" s="5"/>
      <c r="AA2445" s="11" t="s">
        <v>186</v>
      </c>
      <c r="AB2445" s="5" t="s">
        <v>245</v>
      </c>
      <c r="AC2445" s="5"/>
      <c r="AD2445" s="11" t="s">
        <v>6054</v>
      </c>
      <c r="AE2445" s="23" t="n">
        <v>0.05</v>
      </c>
      <c r="AF2445" s="23" t="n">
        <v>0</v>
      </c>
      <c r="AG2445" s="23" t="n">
        <v>0.33</v>
      </c>
      <c r="AH2445" s="23" t="n">
        <v>1</v>
      </c>
      <c r="AI2445" s="23" t="n">
        <v>1</v>
      </c>
      <c r="AJ2445" s="23" t="n">
        <v>0.2572</v>
      </c>
      <c r="AK2445" s="23" t="n">
        <v>0.5</v>
      </c>
      <c r="AL2445" s="23" t="n">
        <v>0.3</v>
      </c>
      <c r="AM2445" s="16" t="n">
        <f aca="false">COUNTIFS($D$2:$D$2501,D2445,$G$2:$G$2501,"&gt;"&amp;G2445)+COUNTIFS($D$2:D2445,D2445,$G$2:G2445,G2445)</f>
        <v>67</v>
      </c>
      <c r="AN2445" s="5" t="str">
        <f aca="false">D2445&amp;"|"&amp;AM2445</f>
        <v>其他|67</v>
      </c>
    </row>
    <row r="2446" customFormat="false" ht="17.15" hidden="false" customHeight="false" outlineLevel="0" collapsed="false">
      <c r="A2446" s="16" t="n">
        <f aca="false">RANK(G2446,$G$2:$G$2501)+COUNTIF($G$2:G2446,G2446)-1</f>
        <v>2445</v>
      </c>
      <c r="B2446" s="11" t="s">
        <v>6055</v>
      </c>
      <c r="C2446" s="11" t="s">
        <v>1677</v>
      </c>
      <c r="D2446" s="5" t="s">
        <v>66</v>
      </c>
      <c r="E2446" s="5" t="s">
        <v>67</v>
      </c>
      <c r="F2446" s="5"/>
      <c r="G2446" s="22" t="n">
        <f aca="false">ROUND(SUM(I2446:P2446),3)</f>
        <v>37.908</v>
      </c>
      <c r="H2446" s="5" t="str">
        <f aca="false">IF(G2446&gt;=評分方法!$C$16,"優先評估",IF(G2446&gt;=評分方法!$C$17,"列入候選",IF(G2446&gt;=評分方法!$C$18,"特定情境","不建議")))</f>
        <v>不建議</v>
      </c>
      <c r="I2446" s="15" t="n">
        <f aca="false">AE2446*評分方法!$C$5</f>
        <v>10.8</v>
      </c>
      <c r="J2446" s="15" t="n">
        <f aca="false">AF2446*評分方法!$C$6</f>
        <v>0</v>
      </c>
      <c r="K2446" s="15" t="n">
        <f aca="false">AG2446*評分方法!$C$7</f>
        <v>10.05</v>
      </c>
      <c r="L2446" s="15" t="n">
        <f aca="false">AH2446*評分方法!$C$8</f>
        <v>7.05</v>
      </c>
      <c r="M2446" s="15" t="n">
        <f aca="false">AI2446*評分方法!$C$9</f>
        <v>2</v>
      </c>
      <c r="N2446" s="15" t="n">
        <f aca="false">AJ2446*評分方法!$C$10</f>
        <v>4.008</v>
      </c>
      <c r="O2446" s="15" t="n">
        <f aca="false">AK2446*評分方法!$C$11</f>
        <v>2.5</v>
      </c>
      <c r="P2446" s="15" t="n">
        <f aca="false">AL2446*評分方法!$C$12</f>
        <v>1.5</v>
      </c>
      <c r="Q2446" s="6" t="n">
        <v>417312</v>
      </c>
      <c r="R2446" s="6"/>
      <c r="S2446" s="5" t="s">
        <v>255</v>
      </c>
      <c r="T2446" s="5"/>
      <c r="U2446" s="5" t="s">
        <v>375</v>
      </c>
      <c r="V2446" s="11" t="s">
        <v>514</v>
      </c>
      <c r="W2446" s="5" t="s">
        <v>207</v>
      </c>
      <c r="X2446" s="5" t="s">
        <v>255</v>
      </c>
      <c r="Y2446" s="11" t="s">
        <v>3043</v>
      </c>
      <c r="Z2446" s="11" t="s">
        <v>244</v>
      </c>
      <c r="AA2446" s="11" t="s">
        <v>151</v>
      </c>
      <c r="AB2446" s="5" t="s">
        <v>245</v>
      </c>
      <c r="AC2446" s="5" t="s">
        <v>6056</v>
      </c>
      <c r="AD2446" s="11" t="s">
        <v>6057</v>
      </c>
      <c r="AE2446" s="23" t="n">
        <v>0.36</v>
      </c>
      <c r="AF2446" s="23" t="n">
        <v>0</v>
      </c>
      <c r="AG2446" s="23" t="n">
        <v>0.67</v>
      </c>
      <c r="AH2446" s="23" t="n">
        <v>0.47</v>
      </c>
      <c r="AI2446" s="23" t="n">
        <v>0.2</v>
      </c>
      <c r="AJ2446" s="23" t="n">
        <v>0.4008</v>
      </c>
      <c r="AK2446" s="23" t="n">
        <v>0.5</v>
      </c>
      <c r="AL2446" s="23" t="n">
        <v>0.3</v>
      </c>
      <c r="AM2446" s="16" t="n">
        <f aca="false">COUNTIFS($D$2:$D$2501,D2446,$G$2:$G$2501,"&gt;"&amp;G2446)+COUNTIFS($D$2:D2446,D2446,$G$2:G2446,G2446)</f>
        <v>82</v>
      </c>
      <c r="AN2446" s="5" t="str">
        <f aca="false">D2446&amp;"|"&amp;AM2446</f>
        <v>分類與偵測|82</v>
      </c>
    </row>
    <row r="2447" customFormat="false" ht="17.15" hidden="false" customHeight="false" outlineLevel="0" collapsed="false">
      <c r="A2447" s="16" t="n">
        <f aca="false">RANK(G2447,$G$2:$G$2501)+COUNTIF($G$2:G2447,G2447)-1</f>
        <v>2446</v>
      </c>
      <c r="B2447" s="11" t="s">
        <v>6058</v>
      </c>
      <c r="C2447" s="11" t="s">
        <v>6059</v>
      </c>
      <c r="D2447" s="5" t="s">
        <v>78</v>
      </c>
      <c r="E2447" s="5" t="s">
        <v>79</v>
      </c>
      <c r="F2447" s="5"/>
      <c r="G2447" s="22" t="n">
        <f aca="false">ROUND(SUM(I2447:P2447),3)</f>
        <v>37.646</v>
      </c>
      <c r="H2447" s="5" t="str">
        <f aca="false">IF(G2447&gt;=評分方法!$C$16,"優先評估",IF(G2447&gt;=評分方法!$C$17,"列入候選",IF(G2447&gt;=評分方法!$C$18,"特定情境","不建議")))</f>
        <v>不建議</v>
      </c>
      <c r="I2447" s="15" t="n">
        <f aca="false">AE2447*評分方法!$C$5</f>
        <v>2.16</v>
      </c>
      <c r="J2447" s="15" t="n">
        <f aca="false">AF2447*評分方法!$C$6</f>
        <v>0</v>
      </c>
      <c r="K2447" s="15" t="n">
        <f aca="false">AG2447*評分方法!$C$7</f>
        <v>4.95</v>
      </c>
      <c r="L2447" s="15" t="n">
        <f aca="false">AH2447*評分方法!$C$8</f>
        <v>15</v>
      </c>
      <c r="M2447" s="15" t="n">
        <f aca="false">AI2447*評分方法!$C$9</f>
        <v>10</v>
      </c>
      <c r="N2447" s="15" t="n">
        <f aca="false">AJ2447*評分方法!$C$10</f>
        <v>3.036</v>
      </c>
      <c r="O2447" s="15" t="n">
        <f aca="false">AK2447*評分方法!$C$11</f>
        <v>2.5</v>
      </c>
      <c r="P2447" s="15" t="n">
        <f aca="false">AL2447*評分方法!$C$12</f>
        <v>0</v>
      </c>
      <c r="Q2447" s="6" t="n">
        <v>298260</v>
      </c>
      <c r="R2447" s="6" t="n">
        <v>756405760</v>
      </c>
      <c r="S2447" s="11" t="s">
        <v>238</v>
      </c>
      <c r="T2447" s="11" t="s">
        <v>278</v>
      </c>
      <c r="U2447" s="5" t="s">
        <v>240</v>
      </c>
      <c r="V2447" s="11" t="s">
        <v>261</v>
      </c>
      <c r="W2447" s="5" t="s">
        <v>334</v>
      </c>
      <c r="X2447" s="5" t="s">
        <v>242</v>
      </c>
      <c r="Y2447" s="11" t="s">
        <v>6060</v>
      </c>
      <c r="Z2447" s="11" t="s">
        <v>270</v>
      </c>
      <c r="AA2447" s="11" t="s">
        <v>175</v>
      </c>
      <c r="AB2447" s="5" t="s">
        <v>245</v>
      </c>
      <c r="AC2447" s="5" t="s">
        <v>5236</v>
      </c>
      <c r="AD2447" s="11" t="s">
        <v>6061</v>
      </c>
      <c r="AE2447" s="23" t="n">
        <v>0.072</v>
      </c>
      <c r="AF2447" s="23" t="n">
        <v>0</v>
      </c>
      <c r="AG2447" s="23" t="n">
        <v>0.33</v>
      </c>
      <c r="AH2447" s="23" t="n">
        <v>1</v>
      </c>
      <c r="AI2447" s="23" t="n">
        <v>1</v>
      </c>
      <c r="AJ2447" s="23" t="n">
        <v>0.3036</v>
      </c>
      <c r="AK2447" s="23" t="n">
        <v>0.5</v>
      </c>
      <c r="AL2447" s="23" t="n">
        <v>0</v>
      </c>
      <c r="AM2447" s="16" t="n">
        <f aca="false">COUNTIFS($D$2:$D$2501,D2447,$G$2:$G$2501,"&gt;"&amp;G2447)+COUNTIFS($D$2:D2447,D2447,$G$2:G2447,G2447)</f>
        <v>145</v>
      </c>
      <c r="AN2447" s="5" t="str">
        <f aca="false">D2447&amp;"|"&amp;AM2447</f>
        <v>語音分析|145</v>
      </c>
    </row>
    <row r="2448" customFormat="false" ht="17.15" hidden="false" customHeight="false" outlineLevel="0" collapsed="false">
      <c r="A2448" s="16" t="n">
        <f aca="false">RANK(G2448,$G$2:$G$2501)+COUNTIF($G$2:G2448,G2448)-1</f>
        <v>2447</v>
      </c>
      <c r="B2448" s="11" t="s">
        <v>6062</v>
      </c>
      <c r="C2448" s="11" t="s">
        <v>6063</v>
      </c>
      <c r="D2448" s="5" t="s">
        <v>78</v>
      </c>
      <c r="E2448" s="5" t="s">
        <v>79</v>
      </c>
      <c r="F2448" s="5"/>
      <c r="G2448" s="22" t="n">
        <f aca="false">ROUND(SUM(I2448:P2448),3)</f>
        <v>37.642</v>
      </c>
      <c r="H2448" s="5" t="str">
        <f aca="false">IF(G2448&gt;=評分方法!$C$16,"優先評估",IF(G2448&gt;=評分方法!$C$17,"列入候選",IF(G2448&gt;=評分方法!$C$18,"特定情境","不建議")))</f>
        <v>不建議</v>
      </c>
      <c r="I2448" s="15" t="n">
        <f aca="false">AE2448*評分方法!$C$5</f>
        <v>5.4</v>
      </c>
      <c r="J2448" s="15" t="n">
        <f aca="false">AF2448*評分方法!$C$6</f>
        <v>0</v>
      </c>
      <c r="K2448" s="15" t="n">
        <f aca="false">AG2448*評分方法!$C$7</f>
        <v>4.95</v>
      </c>
      <c r="L2448" s="15" t="n">
        <f aca="false">AH2448*評分方法!$C$8</f>
        <v>15</v>
      </c>
      <c r="M2448" s="15" t="n">
        <f aca="false">AI2448*評分方法!$C$9</f>
        <v>2</v>
      </c>
      <c r="N2448" s="15" t="n">
        <f aca="false">AJ2448*評分方法!$C$10</f>
        <v>9.292</v>
      </c>
      <c r="O2448" s="15" t="n">
        <f aca="false">AK2448*評分方法!$C$11</f>
        <v>1</v>
      </c>
      <c r="P2448" s="15" t="n">
        <f aca="false">AL2448*評分方法!$C$12</f>
        <v>0</v>
      </c>
      <c r="Q2448" s="6" t="n">
        <v>6132639</v>
      </c>
      <c r="R2448" s="6" t="n">
        <v>315471520</v>
      </c>
      <c r="S2448" s="11" t="s">
        <v>238</v>
      </c>
      <c r="T2448" s="5"/>
      <c r="U2448" s="5" t="s">
        <v>375</v>
      </c>
      <c r="V2448" s="11" t="s">
        <v>324</v>
      </c>
      <c r="W2448" s="5" t="s">
        <v>334</v>
      </c>
      <c r="X2448" s="5" t="s">
        <v>242</v>
      </c>
      <c r="Y2448" s="11" t="s">
        <v>4916</v>
      </c>
      <c r="Z2448" s="11" t="s">
        <v>270</v>
      </c>
      <c r="AA2448" s="11" t="s">
        <v>175</v>
      </c>
      <c r="AB2448" s="5" t="s">
        <v>245</v>
      </c>
      <c r="AC2448" s="5" t="s">
        <v>4841</v>
      </c>
      <c r="AD2448" s="11" t="s">
        <v>6064</v>
      </c>
      <c r="AE2448" s="23" t="n">
        <v>0.18</v>
      </c>
      <c r="AF2448" s="23" t="n">
        <v>0</v>
      </c>
      <c r="AG2448" s="23" t="n">
        <v>0.33</v>
      </c>
      <c r="AH2448" s="23" t="n">
        <v>1</v>
      </c>
      <c r="AI2448" s="23" t="n">
        <v>0.2</v>
      </c>
      <c r="AJ2448" s="23" t="n">
        <v>0.9292</v>
      </c>
      <c r="AK2448" s="23" t="n">
        <v>0.2</v>
      </c>
      <c r="AL2448" s="23" t="n">
        <v>0</v>
      </c>
      <c r="AM2448" s="16" t="n">
        <f aca="false">COUNTIFS($D$2:$D$2501,D2448,$G$2:$G$2501,"&gt;"&amp;G2448)+COUNTIFS($D$2:D2448,D2448,$G$2:G2448,G2448)</f>
        <v>146</v>
      </c>
      <c r="AN2448" s="5" t="str">
        <f aca="false">D2448&amp;"|"&amp;AM2448</f>
        <v>語音分析|146</v>
      </c>
    </row>
    <row r="2449" customFormat="false" ht="17.15" hidden="false" customHeight="false" outlineLevel="0" collapsed="false">
      <c r="A2449" s="16" t="n">
        <f aca="false">RANK(G2449,$G$2:$G$2501)+COUNTIF($G$2:G2449,G2449)-1</f>
        <v>2448</v>
      </c>
      <c r="B2449" s="11" t="s">
        <v>6065</v>
      </c>
      <c r="C2449" s="11" t="s">
        <v>5770</v>
      </c>
      <c r="D2449" s="5" t="s">
        <v>80</v>
      </c>
      <c r="E2449" s="5" t="s">
        <v>81</v>
      </c>
      <c r="F2449" s="5"/>
      <c r="G2449" s="22" t="n">
        <f aca="false">ROUND(SUM(I2449:P2449),3)</f>
        <v>37.602</v>
      </c>
      <c r="H2449" s="5" t="str">
        <f aca="false">IF(G2449&gt;=評分方法!$C$16,"優先評估",IF(G2449&gt;=評分方法!$C$17,"列入候選",IF(G2449&gt;=評分方法!$C$18,"特定情境","不建議")))</f>
        <v>不建議</v>
      </c>
      <c r="I2449" s="15" t="n">
        <f aca="false">AE2449*評分方法!$C$5</f>
        <v>1.5</v>
      </c>
      <c r="J2449" s="15" t="n">
        <f aca="false">AF2449*評分方法!$C$6</f>
        <v>0</v>
      </c>
      <c r="K2449" s="15" t="n">
        <f aca="false">AG2449*評分方法!$C$7</f>
        <v>4.95</v>
      </c>
      <c r="L2449" s="15" t="n">
        <f aca="false">AH2449*評分方法!$C$8</f>
        <v>15</v>
      </c>
      <c r="M2449" s="15" t="n">
        <f aca="false">AI2449*評分方法!$C$9</f>
        <v>10</v>
      </c>
      <c r="N2449" s="15" t="n">
        <f aca="false">AJ2449*評分方法!$C$10</f>
        <v>2.152</v>
      </c>
      <c r="O2449" s="15" t="n">
        <f aca="false">AK2449*評分方法!$C$11</f>
        <v>2.5</v>
      </c>
      <c r="P2449" s="15" t="n">
        <f aca="false">AL2449*評分方法!$C$12</f>
        <v>1.5</v>
      </c>
      <c r="Q2449" s="6" t="n">
        <v>220223</v>
      </c>
      <c r="R2449" s="6" t="n">
        <v>434405649</v>
      </c>
      <c r="S2449" s="11" t="s">
        <v>238</v>
      </c>
      <c r="T2449" s="11" t="s">
        <v>239</v>
      </c>
      <c r="U2449" s="5" t="s">
        <v>240</v>
      </c>
      <c r="V2449" s="11" t="s">
        <v>261</v>
      </c>
      <c r="W2449" s="5" t="s">
        <v>334</v>
      </c>
      <c r="X2449" s="5" t="s">
        <v>255</v>
      </c>
      <c r="Y2449" s="5"/>
      <c r="Z2449" s="5"/>
      <c r="AA2449" s="11" t="s">
        <v>186</v>
      </c>
      <c r="AB2449" s="5" t="s">
        <v>245</v>
      </c>
      <c r="AC2449" s="5"/>
      <c r="AD2449" s="11" t="s">
        <v>6066</v>
      </c>
      <c r="AE2449" s="23" t="n">
        <v>0.05</v>
      </c>
      <c r="AF2449" s="23" t="n">
        <v>0</v>
      </c>
      <c r="AG2449" s="23" t="n">
        <v>0.33</v>
      </c>
      <c r="AH2449" s="23" t="n">
        <v>1</v>
      </c>
      <c r="AI2449" s="23" t="n">
        <v>1</v>
      </c>
      <c r="AJ2449" s="23" t="n">
        <v>0.2152</v>
      </c>
      <c r="AK2449" s="23" t="n">
        <v>0.5</v>
      </c>
      <c r="AL2449" s="23" t="n">
        <v>0.3</v>
      </c>
      <c r="AM2449" s="16" t="n">
        <f aca="false">COUNTIFS($D$2:$D$2501,D2449,$G$2:$G$2501,"&gt;"&amp;G2449)+COUNTIFS($D$2:D2449,D2449,$G$2:G2449,G2449)</f>
        <v>68</v>
      </c>
      <c r="AN2449" s="5" t="str">
        <f aca="false">D2449&amp;"|"&amp;AM2449</f>
        <v>其他|68</v>
      </c>
    </row>
    <row r="2450" customFormat="false" ht="17.15" hidden="false" customHeight="false" outlineLevel="0" collapsed="false">
      <c r="A2450" s="16" t="n">
        <f aca="false">RANK(G2450,$G$2:$G$2501)+COUNTIF($G$2:G2450,G2450)-1</f>
        <v>2449</v>
      </c>
      <c r="B2450" s="11" t="s">
        <v>6067</v>
      </c>
      <c r="C2450" s="11" t="s">
        <v>6068</v>
      </c>
      <c r="D2450" s="5" t="s">
        <v>74</v>
      </c>
      <c r="E2450" s="5" t="s">
        <v>75</v>
      </c>
      <c r="F2450" s="5"/>
      <c r="G2450" s="22" t="n">
        <f aca="false">ROUND(SUM(I2450:P2450),3)</f>
        <v>37.53</v>
      </c>
      <c r="H2450" s="5" t="str">
        <f aca="false">IF(G2450&gt;=評分方法!$C$16,"優先評估",IF(G2450&gt;=評分方法!$C$17,"列入候選",IF(G2450&gt;=評分方法!$C$18,"特定情境","不建議")))</f>
        <v>不建議</v>
      </c>
      <c r="I2450" s="15" t="n">
        <f aca="false">AE2450*評分方法!$C$5</f>
        <v>10.5</v>
      </c>
      <c r="J2450" s="15" t="n">
        <f aca="false">AF2450*評分方法!$C$6</f>
        <v>0</v>
      </c>
      <c r="K2450" s="15" t="n">
        <f aca="false">AG2450*評分方法!$C$7</f>
        <v>4.95</v>
      </c>
      <c r="L2450" s="15" t="n">
        <f aca="false">AH2450*評分方法!$C$8</f>
        <v>15</v>
      </c>
      <c r="M2450" s="15" t="n">
        <f aca="false">AI2450*評分方法!$C$9</f>
        <v>2</v>
      </c>
      <c r="N2450" s="15" t="n">
        <f aca="false">AJ2450*評分方法!$C$10</f>
        <v>2.58</v>
      </c>
      <c r="O2450" s="15" t="n">
        <f aca="false">AK2450*評分方法!$C$11</f>
        <v>1</v>
      </c>
      <c r="P2450" s="15" t="n">
        <f aca="false">AL2450*評分方法!$C$12</f>
        <v>1.5</v>
      </c>
      <c r="Q2450" s="6" t="n">
        <v>259722</v>
      </c>
      <c r="R2450" s="6" t="n">
        <v>85814036</v>
      </c>
      <c r="S2450" s="11" t="s">
        <v>238</v>
      </c>
      <c r="T2450" s="5"/>
      <c r="U2450" s="5" t="s">
        <v>375</v>
      </c>
      <c r="V2450" s="11" t="s">
        <v>261</v>
      </c>
      <c r="W2450" s="5" t="s">
        <v>334</v>
      </c>
      <c r="X2450" s="5" t="s">
        <v>255</v>
      </c>
      <c r="Y2450" s="5"/>
      <c r="Z2450" s="5"/>
      <c r="AA2450" s="11" t="s">
        <v>172</v>
      </c>
      <c r="AB2450" s="5" t="s">
        <v>245</v>
      </c>
      <c r="AC2450" s="5" t="s">
        <v>262</v>
      </c>
      <c r="AD2450" s="11" t="s">
        <v>6069</v>
      </c>
      <c r="AE2450" s="23" t="n">
        <v>0.35</v>
      </c>
      <c r="AF2450" s="23" t="n">
        <v>0</v>
      </c>
      <c r="AG2450" s="23" t="n">
        <v>0.33</v>
      </c>
      <c r="AH2450" s="23" t="n">
        <v>1</v>
      </c>
      <c r="AI2450" s="23" t="n">
        <v>0.2</v>
      </c>
      <c r="AJ2450" s="23" t="n">
        <v>0.258</v>
      </c>
      <c r="AK2450" s="23" t="n">
        <v>0.2</v>
      </c>
      <c r="AL2450" s="23" t="n">
        <v>0.3</v>
      </c>
      <c r="AM2450" s="16" t="n">
        <f aca="false">COUNTIFS($D$2:$D$2501,D2450,$G$2:$G$2501,"&gt;"&amp;G2450)+COUNTIFS($D$2:D2450,D2450,$G$2:G2450,G2450)</f>
        <v>347</v>
      </c>
      <c r="AN2450" s="5" t="str">
        <f aca="false">D2450&amp;"|"&amp;AM2450</f>
        <v>文件與影像辨識|347</v>
      </c>
    </row>
    <row r="2451" customFormat="false" ht="17.15" hidden="false" customHeight="false" outlineLevel="0" collapsed="false">
      <c r="A2451" s="16" t="n">
        <f aca="false">RANK(G2451,$G$2:$G$2501)+COUNTIF($G$2:G2451,G2451)-1</f>
        <v>2450</v>
      </c>
      <c r="B2451" s="11" t="s">
        <v>6070</v>
      </c>
      <c r="C2451" s="11" t="s">
        <v>6071</v>
      </c>
      <c r="D2451" s="5" t="s">
        <v>78</v>
      </c>
      <c r="E2451" s="5" t="s">
        <v>79</v>
      </c>
      <c r="F2451" s="5"/>
      <c r="G2451" s="22" t="n">
        <f aca="false">ROUND(SUM(I2451:P2451),3)</f>
        <v>37.472</v>
      </c>
      <c r="H2451" s="5" t="str">
        <f aca="false">IF(G2451&gt;=評分方法!$C$16,"優先評估",IF(G2451&gt;=評分方法!$C$17,"列入候選",IF(G2451&gt;=評分方法!$C$18,"特定情境","不建議")))</f>
        <v>不建議</v>
      </c>
      <c r="I2451" s="15" t="n">
        <f aca="false">AE2451*評分方法!$C$5</f>
        <v>5.4</v>
      </c>
      <c r="J2451" s="15" t="n">
        <f aca="false">AF2451*評分方法!$C$6</f>
        <v>0</v>
      </c>
      <c r="K2451" s="15" t="n">
        <f aca="false">AG2451*評分方法!$C$7</f>
        <v>4.95</v>
      </c>
      <c r="L2451" s="15" t="n">
        <f aca="false">AH2451*評分方法!$C$8</f>
        <v>13.05</v>
      </c>
      <c r="M2451" s="15" t="n">
        <f aca="false">AI2451*評分方法!$C$9</f>
        <v>10</v>
      </c>
      <c r="N2451" s="15" t="n">
        <f aca="false">AJ2451*評分方法!$C$10</f>
        <v>1.572</v>
      </c>
      <c r="O2451" s="15" t="n">
        <f aca="false">AK2451*評分方法!$C$11</f>
        <v>2.5</v>
      </c>
      <c r="P2451" s="15" t="n">
        <f aca="false">AL2451*評分方法!$C$12</f>
        <v>0</v>
      </c>
      <c r="Q2451" s="6" t="n">
        <v>183562</v>
      </c>
      <c r="R2451" s="6" t="n">
        <v>1543490560</v>
      </c>
      <c r="S2451" s="11" t="s">
        <v>254</v>
      </c>
      <c r="T2451" s="11" t="s">
        <v>239</v>
      </c>
      <c r="U2451" s="5" t="s">
        <v>240</v>
      </c>
      <c r="V2451" s="11" t="s">
        <v>324</v>
      </c>
      <c r="W2451" s="5" t="s">
        <v>334</v>
      </c>
      <c r="X2451" s="5" t="s">
        <v>242</v>
      </c>
      <c r="Y2451" s="11" t="s">
        <v>2613</v>
      </c>
      <c r="Z2451" s="11" t="s">
        <v>270</v>
      </c>
      <c r="AA2451" s="11" t="s">
        <v>175</v>
      </c>
      <c r="AB2451" s="5" t="s">
        <v>245</v>
      </c>
      <c r="AC2451" s="5" t="s">
        <v>1463</v>
      </c>
      <c r="AD2451" s="11" t="s">
        <v>6072</v>
      </c>
      <c r="AE2451" s="23" t="n">
        <v>0.18</v>
      </c>
      <c r="AF2451" s="23" t="n">
        <v>0</v>
      </c>
      <c r="AG2451" s="23" t="n">
        <v>0.33</v>
      </c>
      <c r="AH2451" s="23" t="n">
        <v>0.87</v>
      </c>
      <c r="AI2451" s="23" t="n">
        <v>1</v>
      </c>
      <c r="AJ2451" s="23" t="n">
        <v>0.1572</v>
      </c>
      <c r="AK2451" s="23" t="n">
        <v>0.5</v>
      </c>
      <c r="AL2451" s="23" t="n">
        <v>0</v>
      </c>
      <c r="AM2451" s="16" t="n">
        <f aca="false">COUNTIFS($D$2:$D$2501,D2451,$G$2:$G$2501,"&gt;"&amp;G2451)+COUNTIFS($D$2:D2451,D2451,$G$2:G2451,G2451)</f>
        <v>147</v>
      </c>
      <c r="AN2451" s="5" t="str">
        <f aca="false">D2451&amp;"|"&amp;AM2451</f>
        <v>語音分析|147</v>
      </c>
    </row>
    <row r="2452" customFormat="false" ht="17.15" hidden="false" customHeight="false" outlineLevel="0" collapsed="false">
      <c r="A2452" s="16" t="n">
        <f aca="false">RANK(G2452,$G$2:$G$2501)+COUNTIF($G$2:G2452,G2452)-1</f>
        <v>2451</v>
      </c>
      <c r="B2452" s="11" t="s">
        <v>6073</v>
      </c>
      <c r="C2452" s="11" t="s">
        <v>6074</v>
      </c>
      <c r="D2452" s="5" t="s">
        <v>78</v>
      </c>
      <c r="E2452" s="5" t="s">
        <v>79</v>
      </c>
      <c r="F2452" s="5"/>
      <c r="G2452" s="22" t="n">
        <f aca="false">ROUND(SUM(I2452:P2452),3)</f>
        <v>37.434</v>
      </c>
      <c r="H2452" s="5" t="str">
        <f aca="false">IF(G2452&gt;=評分方法!$C$16,"優先評估",IF(G2452&gt;=評分方法!$C$17,"列入候選",IF(G2452&gt;=評分方法!$C$18,"特定情境","不建議")))</f>
        <v>不建議</v>
      </c>
      <c r="I2452" s="15" t="n">
        <f aca="false">AE2452*評分方法!$C$5</f>
        <v>4.2</v>
      </c>
      <c r="J2452" s="15" t="n">
        <f aca="false">AF2452*評分方法!$C$6</f>
        <v>0</v>
      </c>
      <c r="K2452" s="15" t="n">
        <f aca="false">AG2452*評分方法!$C$7</f>
        <v>4.95</v>
      </c>
      <c r="L2452" s="15" t="n">
        <f aca="false">AH2452*評分方法!$C$8</f>
        <v>15</v>
      </c>
      <c r="M2452" s="15" t="n">
        <f aca="false">AI2452*評分方法!$C$9</f>
        <v>10</v>
      </c>
      <c r="N2452" s="15" t="n">
        <f aca="false">AJ2452*評分方法!$C$10</f>
        <v>0.784</v>
      </c>
      <c r="O2452" s="15" t="n">
        <f aca="false">AK2452*評分方法!$C$11</f>
        <v>1</v>
      </c>
      <c r="P2452" s="15" t="n">
        <f aca="false">AL2452*評分方法!$C$12</f>
        <v>1.5</v>
      </c>
      <c r="Q2452" s="6" t="n">
        <v>145911</v>
      </c>
      <c r="R2452" s="6" t="n">
        <v>316496520</v>
      </c>
      <c r="S2452" s="11" t="s">
        <v>238</v>
      </c>
      <c r="T2452" s="11" t="s">
        <v>239</v>
      </c>
      <c r="U2452" s="5" t="s">
        <v>240</v>
      </c>
      <c r="V2452" s="11" t="s">
        <v>324</v>
      </c>
      <c r="W2452" s="5" t="s">
        <v>334</v>
      </c>
      <c r="X2452" s="5" t="s">
        <v>255</v>
      </c>
      <c r="Y2452" s="5"/>
      <c r="Z2452" s="5"/>
      <c r="AA2452" s="11" t="s">
        <v>174</v>
      </c>
      <c r="AB2452" s="5" t="s">
        <v>245</v>
      </c>
      <c r="AC2452" s="5" t="s">
        <v>3044</v>
      </c>
      <c r="AD2452" s="11" t="s">
        <v>6075</v>
      </c>
      <c r="AE2452" s="23" t="n">
        <v>0.14</v>
      </c>
      <c r="AF2452" s="23" t="n">
        <v>0</v>
      </c>
      <c r="AG2452" s="23" t="n">
        <v>0.33</v>
      </c>
      <c r="AH2452" s="23" t="n">
        <v>1</v>
      </c>
      <c r="AI2452" s="23" t="n">
        <v>1</v>
      </c>
      <c r="AJ2452" s="23" t="n">
        <v>0.0784</v>
      </c>
      <c r="AK2452" s="23" t="n">
        <v>0.2</v>
      </c>
      <c r="AL2452" s="23" t="n">
        <v>0.3</v>
      </c>
      <c r="AM2452" s="16" t="n">
        <f aca="false">COUNTIFS($D$2:$D$2501,D2452,$G$2:$G$2501,"&gt;"&amp;G2452)+COUNTIFS($D$2:D2452,D2452,$G$2:G2452,G2452)</f>
        <v>148</v>
      </c>
      <c r="AN2452" s="5" t="str">
        <f aca="false">D2452&amp;"|"&amp;AM2452</f>
        <v>語音分析|148</v>
      </c>
    </row>
    <row r="2453" customFormat="false" ht="17.15" hidden="false" customHeight="false" outlineLevel="0" collapsed="false">
      <c r="A2453" s="16" t="n">
        <f aca="false">RANK(G2453,$G$2:$G$2501)+COUNTIF($G$2:G2453,G2453)-1</f>
        <v>2452</v>
      </c>
      <c r="B2453" s="11" t="s">
        <v>6076</v>
      </c>
      <c r="C2453" s="11" t="s">
        <v>4662</v>
      </c>
      <c r="D2453" s="5" t="s">
        <v>78</v>
      </c>
      <c r="E2453" s="5" t="s">
        <v>79</v>
      </c>
      <c r="F2453" s="5"/>
      <c r="G2453" s="22" t="n">
        <f aca="false">ROUND(SUM(I2453:P2453),3)</f>
        <v>37.384</v>
      </c>
      <c r="H2453" s="5" t="str">
        <f aca="false">IF(G2453&gt;=評分方法!$C$16,"優先評估",IF(G2453&gt;=評分方法!$C$17,"列入候選",IF(G2453&gt;=評分方法!$C$18,"特定情境","不建議")))</f>
        <v>不建議</v>
      </c>
      <c r="I2453" s="15" t="n">
        <f aca="false">AE2453*評分方法!$C$5</f>
        <v>5.4</v>
      </c>
      <c r="J2453" s="15" t="n">
        <f aca="false">AF2453*評分方法!$C$6</f>
        <v>0</v>
      </c>
      <c r="K2453" s="15" t="n">
        <f aca="false">AG2453*評分方法!$C$7</f>
        <v>4.95</v>
      </c>
      <c r="L2453" s="15" t="n">
        <f aca="false">AH2453*評分方法!$C$8</f>
        <v>13.05</v>
      </c>
      <c r="M2453" s="15" t="n">
        <f aca="false">AI2453*評分方法!$C$9</f>
        <v>10</v>
      </c>
      <c r="N2453" s="15" t="n">
        <f aca="false">AJ2453*評分方法!$C$10</f>
        <v>1.484</v>
      </c>
      <c r="O2453" s="15" t="n">
        <f aca="false">AK2453*評分方法!$C$11</f>
        <v>2.5</v>
      </c>
      <c r="P2453" s="15" t="n">
        <f aca="false">AL2453*評分方法!$C$12</f>
        <v>0</v>
      </c>
      <c r="Q2453" s="6" t="n">
        <v>178434</v>
      </c>
      <c r="R2453" s="6" t="n">
        <v>1609879040</v>
      </c>
      <c r="S2453" s="11" t="s">
        <v>254</v>
      </c>
      <c r="T2453" s="11" t="s">
        <v>239</v>
      </c>
      <c r="U2453" s="5" t="s">
        <v>240</v>
      </c>
      <c r="V2453" s="11" t="s">
        <v>288</v>
      </c>
      <c r="W2453" s="5" t="s">
        <v>334</v>
      </c>
      <c r="X2453" s="5" t="s">
        <v>242</v>
      </c>
      <c r="Y2453" s="11" t="s">
        <v>2613</v>
      </c>
      <c r="Z2453" s="11" t="s">
        <v>244</v>
      </c>
      <c r="AA2453" s="11" t="s">
        <v>175</v>
      </c>
      <c r="AB2453" s="5" t="s">
        <v>245</v>
      </c>
      <c r="AC2453" s="5" t="s">
        <v>4081</v>
      </c>
      <c r="AD2453" s="11" t="s">
        <v>6077</v>
      </c>
      <c r="AE2453" s="23" t="n">
        <v>0.18</v>
      </c>
      <c r="AF2453" s="23" t="n">
        <v>0</v>
      </c>
      <c r="AG2453" s="23" t="n">
        <v>0.33</v>
      </c>
      <c r="AH2453" s="23" t="n">
        <v>0.87</v>
      </c>
      <c r="AI2453" s="23" t="n">
        <v>1</v>
      </c>
      <c r="AJ2453" s="23" t="n">
        <v>0.1484</v>
      </c>
      <c r="AK2453" s="23" t="n">
        <v>0.5</v>
      </c>
      <c r="AL2453" s="23" t="n">
        <v>0</v>
      </c>
      <c r="AM2453" s="16" t="n">
        <f aca="false">COUNTIFS($D$2:$D$2501,D2453,$G$2:$G$2501,"&gt;"&amp;G2453)+COUNTIFS($D$2:D2453,D2453,$G$2:G2453,G2453)</f>
        <v>149</v>
      </c>
      <c r="AN2453" s="5" t="str">
        <f aca="false">D2453&amp;"|"&amp;AM2453</f>
        <v>語音分析|149</v>
      </c>
    </row>
    <row r="2454" customFormat="false" ht="17.15" hidden="false" customHeight="false" outlineLevel="0" collapsed="false">
      <c r="A2454" s="16" t="n">
        <f aca="false">RANK(G2454,$G$2:$G$2501)+COUNTIF($G$2:G2454,G2454)-1</f>
        <v>2453</v>
      </c>
      <c r="B2454" s="11" t="s">
        <v>6078</v>
      </c>
      <c r="C2454" s="11" t="s">
        <v>6079</v>
      </c>
      <c r="D2454" s="5" t="s">
        <v>80</v>
      </c>
      <c r="E2454" s="5" t="s">
        <v>81</v>
      </c>
      <c r="F2454" s="5"/>
      <c r="G2454" s="22" t="n">
        <f aca="false">ROUND(SUM(I2454:P2454),3)</f>
        <v>37.346</v>
      </c>
      <c r="H2454" s="5" t="str">
        <f aca="false">IF(G2454&gt;=評分方法!$C$16,"優先評估",IF(G2454&gt;=評分方法!$C$17,"列入候選",IF(G2454&gt;=評分方法!$C$18,"特定情境","不建議")))</f>
        <v>不建議</v>
      </c>
      <c r="I2454" s="15" t="n">
        <f aca="false">AE2454*評分方法!$C$5</f>
        <v>3</v>
      </c>
      <c r="J2454" s="15" t="n">
        <f aca="false">AF2454*評分方法!$C$6</f>
        <v>0</v>
      </c>
      <c r="K2454" s="15" t="n">
        <f aca="false">AG2454*評分方法!$C$7</f>
        <v>4.95</v>
      </c>
      <c r="L2454" s="15" t="n">
        <f aca="false">AH2454*評分方法!$C$8</f>
        <v>15</v>
      </c>
      <c r="M2454" s="15" t="n">
        <f aca="false">AI2454*評分方法!$C$9</f>
        <v>10</v>
      </c>
      <c r="N2454" s="15" t="n">
        <f aca="false">AJ2454*評分方法!$C$10</f>
        <v>0.396</v>
      </c>
      <c r="O2454" s="15" t="n">
        <f aca="false">AK2454*評分方法!$C$11</f>
        <v>2.5</v>
      </c>
      <c r="P2454" s="15" t="n">
        <f aca="false">AL2454*評分方法!$C$12</f>
        <v>1.5</v>
      </c>
      <c r="Q2454" s="6" t="n">
        <v>128150</v>
      </c>
      <c r="R2454" s="6" t="n">
        <v>94806832</v>
      </c>
      <c r="S2454" s="11" t="s">
        <v>238</v>
      </c>
      <c r="T2454" s="11" t="s">
        <v>239</v>
      </c>
      <c r="U2454" s="5" t="s">
        <v>240</v>
      </c>
      <c r="V2454" s="11" t="s">
        <v>261</v>
      </c>
      <c r="W2454" s="5" t="s">
        <v>334</v>
      </c>
      <c r="X2454" s="5" t="s">
        <v>255</v>
      </c>
      <c r="Y2454" s="5"/>
      <c r="Z2454" s="5"/>
      <c r="AA2454" s="11" t="s">
        <v>184</v>
      </c>
      <c r="AB2454" s="5" t="s">
        <v>245</v>
      </c>
      <c r="AC2454" s="5"/>
      <c r="AD2454" s="11" t="s">
        <v>6080</v>
      </c>
      <c r="AE2454" s="23" t="n">
        <v>0.1</v>
      </c>
      <c r="AF2454" s="23" t="n">
        <v>0</v>
      </c>
      <c r="AG2454" s="23" t="n">
        <v>0.33</v>
      </c>
      <c r="AH2454" s="23" t="n">
        <v>1</v>
      </c>
      <c r="AI2454" s="23" t="n">
        <v>1</v>
      </c>
      <c r="AJ2454" s="23" t="n">
        <v>0.0396</v>
      </c>
      <c r="AK2454" s="23" t="n">
        <v>0.5</v>
      </c>
      <c r="AL2454" s="23" t="n">
        <v>0.3</v>
      </c>
      <c r="AM2454" s="16" t="n">
        <f aca="false">COUNTIFS($D$2:$D$2501,D2454,$G$2:$G$2501,"&gt;"&amp;G2454)+COUNTIFS($D$2:D2454,D2454,$G$2:G2454,G2454)</f>
        <v>69</v>
      </c>
      <c r="AN2454" s="5" t="str">
        <f aca="false">D2454&amp;"|"&amp;AM2454</f>
        <v>其他|69</v>
      </c>
    </row>
    <row r="2455" customFormat="false" ht="17.15" hidden="false" customHeight="false" outlineLevel="0" collapsed="false">
      <c r="A2455" s="16" t="n">
        <f aca="false">RANK(G2455,$G$2:$G$2501)+COUNTIF($G$2:G2455,G2455)-1</f>
        <v>2454</v>
      </c>
      <c r="B2455" s="11" t="s">
        <v>6081</v>
      </c>
      <c r="C2455" s="11" t="s">
        <v>6082</v>
      </c>
      <c r="D2455" s="5" t="s">
        <v>66</v>
      </c>
      <c r="E2455" s="5" t="s">
        <v>67</v>
      </c>
      <c r="F2455" s="5"/>
      <c r="G2455" s="22" t="n">
        <f aca="false">ROUND(SUM(I2455:P2455),3)</f>
        <v>37.346</v>
      </c>
      <c r="H2455" s="5" t="str">
        <f aca="false">IF(G2455&gt;=評分方法!$C$16,"優先評估",IF(G2455&gt;=評分方法!$C$17,"列入候選",IF(G2455&gt;=評分方法!$C$18,"特定情境","不建議")))</f>
        <v>不建議</v>
      </c>
      <c r="I2455" s="15" t="n">
        <f aca="false">AE2455*評分方法!$C$5</f>
        <v>7.2</v>
      </c>
      <c r="J2455" s="15" t="n">
        <f aca="false">AF2455*評分方法!$C$6</f>
        <v>0</v>
      </c>
      <c r="K2455" s="15" t="n">
        <f aca="false">AG2455*評分方法!$C$7</f>
        <v>4.95</v>
      </c>
      <c r="L2455" s="15" t="n">
        <f aca="false">AH2455*評分方法!$C$8</f>
        <v>15</v>
      </c>
      <c r="M2455" s="15" t="n">
        <f aca="false">AI2455*評分方法!$C$9</f>
        <v>2</v>
      </c>
      <c r="N2455" s="15" t="n">
        <f aca="false">AJ2455*評分方法!$C$10</f>
        <v>7.196</v>
      </c>
      <c r="O2455" s="15" t="n">
        <f aca="false">AK2455*評分方法!$C$11</f>
        <v>1</v>
      </c>
      <c r="P2455" s="15" t="n">
        <f aca="false">AL2455*評分方法!$C$12</f>
        <v>0</v>
      </c>
      <c r="Q2455" s="6" t="n">
        <v>995281</v>
      </c>
      <c r="R2455" s="6" t="n">
        <v>177856259</v>
      </c>
      <c r="S2455" s="11" t="s">
        <v>238</v>
      </c>
      <c r="T2455" s="5"/>
      <c r="U2455" s="5" t="s">
        <v>375</v>
      </c>
      <c r="V2455" s="11" t="s">
        <v>279</v>
      </c>
      <c r="W2455" s="5" t="s">
        <v>334</v>
      </c>
      <c r="X2455" s="5" t="s">
        <v>242</v>
      </c>
      <c r="Y2455" s="5"/>
      <c r="Z2455" s="5"/>
      <c r="AA2455" s="11" t="s">
        <v>149</v>
      </c>
      <c r="AB2455" s="5" t="s">
        <v>245</v>
      </c>
      <c r="AC2455" s="5" t="s">
        <v>5984</v>
      </c>
      <c r="AD2455" s="11" t="s">
        <v>6083</v>
      </c>
      <c r="AE2455" s="23" t="n">
        <v>0.24</v>
      </c>
      <c r="AF2455" s="23" t="n">
        <v>0</v>
      </c>
      <c r="AG2455" s="23" t="n">
        <v>0.33</v>
      </c>
      <c r="AH2455" s="23" t="n">
        <v>1</v>
      </c>
      <c r="AI2455" s="23" t="n">
        <v>0.2</v>
      </c>
      <c r="AJ2455" s="23" t="n">
        <v>0.7196</v>
      </c>
      <c r="AK2455" s="23" t="n">
        <v>0.2</v>
      </c>
      <c r="AL2455" s="23" t="n">
        <v>0</v>
      </c>
      <c r="AM2455" s="16" t="n">
        <f aca="false">COUNTIFS($D$2:$D$2501,D2455,$G$2:$G$2501,"&gt;"&amp;G2455)+COUNTIFS($D$2:D2455,D2455,$G$2:G2455,G2455)</f>
        <v>83</v>
      </c>
      <c r="AN2455" s="5" t="str">
        <f aca="false">D2455&amp;"|"&amp;AM2455</f>
        <v>分類與偵測|83</v>
      </c>
    </row>
    <row r="2456" customFormat="false" ht="17.15" hidden="false" customHeight="false" outlineLevel="0" collapsed="false">
      <c r="A2456" s="16" t="n">
        <f aca="false">RANK(G2456,$G$2:$G$2501)+COUNTIF($G$2:G2456,G2456)-1</f>
        <v>2455</v>
      </c>
      <c r="B2456" s="11" t="s">
        <v>6084</v>
      </c>
      <c r="C2456" s="11" t="s">
        <v>6082</v>
      </c>
      <c r="D2456" s="5" t="s">
        <v>66</v>
      </c>
      <c r="E2456" s="5" t="s">
        <v>67</v>
      </c>
      <c r="F2456" s="5"/>
      <c r="G2456" s="22" t="n">
        <f aca="false">ROUND(SUM(I2456:P2456),3)</f>
        <v>37.33</v>
      </c>
      <c r="H2456" s="5" t="str">
        <f aca="false">IF(G2456&gt;=評分方法!$C$16,"優先評估",IF(G2456&gt;=評分方法!$C$17,"列入候選",IF(G2456&gt;=評分方法!$C$18,"特定情境","不建議")))</f>
        <v>不建議</v>
      </c>
      <c r="I2456" s="15" t="n">
        <f aca="false">AE2456*評分方法!$C$5</f>
        <v>7.2</v>
      </c>
      <c r="J2456" s="15" t="n">
        <f aca="false">AF2456*評分方法!$C$6</f>
        <v>0</v>
      </c>
      <c r="K2456" s="15" t="n">
        <f aca="false">AG2456*評分方法!$C$7</f>
        <v>4.95</v>
      </c>
      <c r="L2456" s="15" t="n">
        <f aca="false">AH2456*評分方法!$C$8</f>
        <v>15</v>
      </c>
      <c r="M2456" s="15" t="n">
        <f aca="false">AI2456*評分方法!$C$9</f>
        <v>2</v>
      </c>
      <c r="N2456" s="15" t="n">
        <f aca="false">AJ2456*評分方法!$C$10</f>
        <v>7.18</v>
      </c>
      <c r="O2456" s="15" t="n">
        <f aca="false">AK2456*評分方法!$C$11</f>
        <v>1</v>
      </c>
      <c r="P2456" s="15" t="n">
        <f aca="false">AL2456*評分方法!$C$12</f>
        <v>0</v>
      </c>
      <c r="Q2456" s="6" t="n">
        <v>990650</v>
      </c>
      <c r="R2456" s="6" t="n">
        <v>177856259</v>
      </c>
      <c r="S2456" s="11" t="s">
        <v>238</v>
      </c>
      <c r="T2456" s="5"/>
      <c r="U2456" s="5" t="s">
        <v>375</v>
      </c>
      <c r="V2456" s="11" t="s">
        <v>279</v>
      </c>
      <c r="W2456" s="5" t="s">
        <v>334</v>
      </c>
      <c r="X2456" s="5" t="s">
        <v>242</v>
      </c>
      <c r="Y2456" s="5"/>
      <c r="Z2456" s="5"/>
      <c r="AA2456" s="11" t="s">
        <v>149</v>
      </c>
      <c r="AB2456" s="5" t="s">
        <v>245</v>
      </c>
      <c r="AC2456" s="5" t="s">
        <v>5984</v>
      </c>
      <c r="AD2456" s="11" t="s">
        <v>6085</v>
      </c>
      <c r="AE2456" s="23" t="n">
        <v>0.24</v>
      </c>
      <c r="AF2456" s="23" t="n">
        <v>0</v>
      </c>
      <c r="AG2456" s="23" t="n">
        <v>0.33</v>
      </c>
      <c r="AH2456" s="23" t="n">
        <v>1</v>
      </c>
      <c r="AI2456" s="23" t="n">
        <v>0.2</v>
      </c>
      <c r="AJ2456" s="23" t="n">
        <v>0.718</v>
      </c>
      <c r="AK2456" s="23" t="n">
        <v>0.2</v>
      </c>
      <c r="AL2456" s="23" t="n">
        <v>0</v>
      </c>
      <c r="AM2456" s="16" t="n">
        <f aca="false">COUNTIFS($D$2:$D$2501,D2456,$G$2:$G$2501,"&gt;"&amp;G2456)+COUNTIFS($D$2:D2456,D2456,$G$2:G2456,G2456)</f>
        <v>84</v>
      </c>
      <c r="AN2456" s="5" t="str">
        <f aca="false">D2456&amp;"|"&amp;AM2456</f>
        <v>分類與偵測|84</v>
      </c>
    </row>
    <row r="2457" customFormat="false" ht="17.15" hidden="false" customHeight="false" outlineLevel="0" collapsed="false">
      <c r="A2457" s="16" t="n">
        <f aca="false">RANK(G2457,$G$2:$G$2501)+COUNTIF($G$2:G2457,G2457)-1</f>
        <v>2456</v>
      </c>
      <c r="B2457" s="11" t="s">
        <v>6086</v>
      </c>
      <c r="C2457" s="11" t="s">
        <v>1461</v>
      </c>
      <c r="D2457" s="5" t="s">
        <v>66</v>
      </c>
      <c r="E2457" s="5" t="s">
        <v>67</v>
      </c>
      <c r="F2457" s="5"/>
      <c r="G2457" s="22" t="n">
        <f aca="false">ROUND(SUM(I2457:P2457),3)</f>
        <v>37.302</v>
      </c>
      <c r="H2457" s="5" t="str">
        <f aca="false">IF(G2457&gt;=評分方法!$C$16,"優先評估",IF(G2457&gt;=評分方法!$C$17,"列入候選",IF(G2457&gt;=評分方法!$C$18,"特定情境","不建議")))</f>
        <v>不建議</v>
      </c>
      <c r="I2457" s="15" t="n">
        <f aca="false">AE2457*評分方法!$C$5</f>
        <v>7.2</v>
      </c>
      <c r="J2457" s="15" t="n">
        <f aca="false">AF2457*評分方法!$C$6</f>
        <v>0</v>
      </c>
      <c r="K2457" s="15" t="n">
        <f aca="false">AG2457*評分方法!$C$7</f>
        <v>10.05</v>
      </c>
      <c r="L2457" s="15" t="n">
        <f aca="false">AH2457*評分方法!$C$8</f>
        <v>15</v>
      </c>
      <c r="M2457" s="15" t="n">
        <f aca="false">AI2457*評分方法!$C$9</f>
        <v>2</v>
      </c>
      <c r="N2457" s="15" t="n">
        <f aca="false">AJ2457*評分方法!$C$10</f>
        <v>2.052</v>
      </c>
      <c r="O2457" s="15" t="n">
        <f aca="false">AK2457*評分方法!$C$11</f>
        <v>1</v>
      </c>
      <c r="P2457" s="15" t="n">
        <f aca="false">AL2457*評分方法!$C$12</f>
        <v>0</v>
      </c>
      <c r="Q2457" s="6" t="n">
        <v>214212</v>
      </c>
      <c r="R2457" s="6" t="n">
        <v>11785619</v>
      </c>
      <c r="S2457" s="11" t="s">
        <v>238</v>
      </c>
      <c r="T2457" s="5"/>
      <c r="U2457" s="5" t="s">
        <v>375</v>
      </c>
      <c r="V2457" s="11" t="s">
        <v>324</v>
      </c>
      <c r="W2457" s="5" t="s">
        <v>207</v>
      </c>
      <c r="X2457" s="5" t="s">
        <v>242</v>
      </c>
      <c r="Y2457" s="5"/>
      <c r="Z2457" s="5"/>
      <c r="AA2457" s="11" t="s">
        <v>149</v>
      </c>
      <c r="AB2457" s="5" t="s">
        <v>245</v>
      </c>
      <c r="AC2457" s="5" t="s">
        <v>5984</v>
      </c>
      <c r="AD2457" s="11" t="s">
        <v>6087</v>
      </c>
      <c r="AE2457" s="23" t="n">
        <v>0.24</v>
      </c>
      <c r="AF2457" s="23" t="n">
        <v>0</v>
      </c>
      <c r="AG2457" s="23" t="n">
        <v>0.67</v>
      </c>
      <c r="AH2457" s="23" t="n">
        <v>1</v>
      </c>
      <c r="AI2457" s="23" t="n">
        <v>0.2</v>
      </c>
      <c r="AJ2457" s="23" t="n">
        <v>0.2052</v>
      </c>
      <c r="AK2457" s="23" t="n">
        <v>0.2</v>
      </c>
      <c r="AL2457" s="23" t="n">
        <v>0</v>
      </c>
      <c r="AM2457" s="16" t="n">
        <f aca="false">COUNTIFS($D$2:$D$2501,D2457,$G$2:$G$2501,"&gt;"&amp;G2457)+COUNTIFS($D$2:D2457,D2457,$G$2:G2457,G2457)</f>
        <v>85</v>
      </c>
      <c r="AN2457" s="5" t="str">
        <f aca="false">D2457&amp;"|"&amp;AM2457</f>
        <v>分類與偵測|85</v>
      </c>
    </row>
    <row r="2458" customFormat="false" ht="17.15" hidden="false" customHeight="false" outlineLevel="0" collapsed="false">
      <c r="A2458" s="16" t="n">
        <f aca="false">RANK(G2458,$G$2:$G$2501)+COUNTIF($G$2:G2458,G2458)-1</f>
        <v>2457</v>
      </c>
      <c r="B2458" s="11" t="s">
        <v>6088</v>
      </c>
      <c r="C2458" s="11" t="s">
        <v>6014</v>
      </c>
      <c r="D2458" s="5" t="s">
        <v>74</v>
      </c>
      <c r="E2458" s="5" t="s">
        <v>75</v>
      </c>
      <c r="F2458" s="5"/>
      <c r="G2458" s="22" t="n">
        <f aca="false">ROUND(SUM(I2458:P2458),3)</f>
        <v>37.24</v>
      </c>
      <c r="H2458" s="5" t="str">
        <f aca="false">IF(G2458&gt;=評分方法!$C$16,"優先評估",IF(G2458&gt;=評分方法!$C$17,"列入候選",IF(G2458&gt;=評分方法!$C$18,"特定情境","不建議")))</f>
        <v>不建議</v>
      </c>
      <c r="I2458" s="15" t="n">
        <f aca="false">AE2458*評分方法!$C$5</f>
        <v>13.5</v>
      </c>
      <c r="J2458" s="15" t="n">
        <f aca="false">AF2458*評分方法!$C$6</f>
        <v>0</v>
      </c>
      <c r="K2458" s="15" t="n">
        <f aca="false">AG2458*評分方法!$C$7</f>
        <v>4.95</v>
      </c>
      <c r="L2458" s="15" t="n">
        <f aca="false">AH2458*評分方法!$C$8</f>
        <v>7.05</v>
      </c>
      <c r="M2458" s="15" t="n">
        <f aca="false">AI2458*評分方法!$C$9</f>
        <v>5</v>
      </c>
      <c r="N2458" s="15" t="n">
        <f aca="false">AJ2458*評分方法!$C$10</f>
        <v>2.74</v>
      </c>
      <c r="O2458" s="15" t="n">
        <f aca="false">AK2458*評分方法!$C$11</f>
        <v>4</v>
      </c>
      <c r="P2458" s="15" t="n">
        <f aca="false">AL2458*評分方法!$C$12</f>
        <v>0</v>
      </c>
      <c r="Q2458" s="6" t="n">
        <v>269433</v>
      </c>
      <c r="R2458" s="6"/>
      <c r="S2458" s="5" t="s">
        <v>255</v>
      </c>
      <c r="T2458" s="11" t="s">
        <v>6015</v>
      </c>
      <c r="U2458" s="11" t="s">
        <v>3992</v>
      </c>
      <c r="V2458" s="11" t="s">
        <v>514</v>
      </c>
      <c r="W2458" s="5" t="s">
        <v>334</v>
      </c>
      <c r="X2458" s="5" t="s">
        <v>242</v>
      </c>
      <c r="Y2458" s="5"/>
      <c r="Z2458" s="5"/>
      <c r="AA2458" s="11" t="s">
        <v>163</v>
      </c>
      <c r="AB2458" s="5" t="s">
        <v>245</v>
      </c>
      <c r="AC2458" s="5"/>
      <c r="AD2458" s="11" t="s">
        <v>6089</v>
      </c>
      <c r="AE2458" s="23" t="n">
        <v>0.45</v>
      </c>
      <c r="AF2458" s="23" t="n">
        <v>0</v>
      </c>
      <c r="AG2458" s="23" t="n">
        <v>0.33</v>
      </c>
      <c r="AH2458" s="23" t="n">
        <v>0.47</v>
      </c>
      <c r="AI2458" s="23" t="n">
        <v>0.5</v>
      </c>
      <c r="AJ2458" s="23" t="n">
        <v>0.274</v>
      </c>
      <c r="AK2458" s="23" t="n">
        <v>0.8</v>
      </c>
      <c r="AL2458" s="23" t="n">
        <v>0</v>
      </c>
      <c r="AM2458" s="16" t="n">
        <f aca="false">COUNTIFS($D$2:$D$2501,D2458,$G$2:$G$2501,"&gt;"&amp;G2458)+COUNTIFS($D$2:D2458,D2458,$G$2:G2458,G2458)</f>
        <v>348</v>
      </c>
      <c r="AN2458" s="5" t="str">
        <f aca="false">D2458&amp;"|"&amp;AM2458</f>
        <v>文件與影像辨識|348</v>
      </c>
    </row>
    <row r="2459" customFormat="false" ht="17.15" hidden="false" customHeight="false" outlineLevel="0" collapsed="false">
      <c r="A2459" s="16" t="n">
        <f aca="false">RANK(G2459,$G$2:$G$2501)+COUNTIF($G$2:G2459,G2459)-1</f>
        <v>2458</v>
      </c>
      <c r="B2459" s="11" t="s">
        <v>6090</v>
      </c>
      <c r="C2459" s="11" t="s">
        <v>6091</v>
      </c>
      <c r="D2459" s="5" t="s">
        <v>80</v>
      </c>
      <c r="E2459" s="5" t="s">
        <v>81</v>
      </c>
      <c r="F2459" s="5"/>
      <c r="G2459" s="22" t="n">
        <f aca="false">ROUND(SUM(I2459:P2459),3)</f>
        <v>36.976</v>
      </c>
      <c r="H2459" s="5" t="str">
        <f aca="false">IF(G2459&gt;=評分方法!$C$16,"優先評估",IF(G2459&gt;=評分方法!$C$17,"列入候選",IF(G2459&gt;=評分方法!$C$18,"特定情境","不建議")))</f>
        <v>不建議</v>
      </c>
      <c r="I2459" s="15" t="n">
        <f aca="false">AE2459*評分方法!$C$5</f>
        <v>6</v>
      </c>
      <c r="J2459" s="15" t="n">
        <f aca="false">AF2459*評分方法!$C$6</f>
        <v>0</v>
      </c>
      <c r="K2459" s="15" t="n">
        <f aca="false">AG2459*評分方法!$C$7</f>
        <v>4.95</v>
      </c>
      <c r="L2459" s="15" t="n">
        <f aca="false">AH2459*評分方法!$C$8</f>
        <v>7.05</v>
      </c>
      <c r="M2459" s="15" t="n">
        <f aca="false">AI2459*評分方法!$C$9</f>
        <v>10</v>
      </c>
      <c r="N2459" s="15" t="n">
        <f aca="false">AJ2459*評分方法!$C$10</f>
        <v>3.476</v>
      </c>
      <c r="O2459" s="15" t="n">
        <f aca="false">AK2459*評分方法!$C$11</f>
        <v>4</v>
      </c>
      <c r="P2459" s="15" t="n">
        <f aca="false">AL2459*評分方法!$C$12</f>
        <v>1.5</v>
      </c>
      <c r="Q2459" s="6" t="n">
        <v>350327</v>
      </c>
      <c r="R2459" s="6"/>
      <c r="S2459" s="5" t="s">
        <v>255</v>
      </c>
      <c r="T2459" s="11" t="s">
        <v>239</v>
      </c>
      <c r="U2459" s="5" t="s">
        <v>240</v>
      </c>
      <c r="V2459" s="11" t="s">
        <v>5828</v>
      </c>
      <c r="W2459" s="5" t="s">
        <v>334</v>
      </c>
      <c r="X2459" s="5" t="s">
        <v>255</v>
      </c>
      <c r="Y2459" s="5"/>
      <c r="Z2459" s="5"/>
      <c r="AA2459" s="5"/>
      <c r="AB2459" s="5" t="s">
        <v>255</v>
      </c>
      <c r="AC2459" s="5"/>
      <c r="AD2459" s="11" t="s">
        <v>6092</v>
      </c>
      <c r="AE2459" s="23" t="n">
        <v>0.2</v>
      </c>
      <c r="AF2459" s="23" t="n">
        <v>0</v>
      </c>
      <c r="AG2459" s="23" t="n">
        <v>0.33</v>
      </c>
      <c r="AH2459" s="23" t="n">
        <v>0.47</v>
      </c>
      <c r="AI2459" s="23" t="n">
        <v>1</v>
      </c>
      <c r="AJ2459" s="23" t="n">
        <v>0.3476</v>
      </c>
      <c r="AK2459" s="23" t="n">
        <v>0.8</v>
      </c>
      <c r="AL2459" s="23" t="n">
        <v>0.3</v>
      </c>
      <c r="AM2459" s="16" t="n">
        <f aca="false">COUNTIFS($D$2:$D$2501,D2459,$G$2:$G$2501,"&gt;"&amp;G2459)+COUNTIFS($D$2:D2459,D2459,$G$2:G2459,G2459)</f>
        <v>70</v>
      </c>
      <c r="AN2459" s="5" t="str">
        <f aca="false">D2459&amp;"|"&amp;AM2459</f>
        <v>其他|70</v>
      </c>
    </row>
    <row r="2460" customFormat="false" ht="17.15" hidden="false" customHeight="false" outlineLevel="0" collapsed="false">
      <c r="A2460" s="16" t="n">
        <f aca="false">RANK(G2460,$G$2:$G$2501)+COUNTIF($G$2:G2460,G2460)-1</f>
        <v>2459</v>
      </c>
      <c r="B2460" s="11" t="s">
        <v>6093</v>
      </c>
      <c r="C2460" s="11" t="s">
        <v>6094</v>
      </c>
      <c r="D2460" s="5" t="s">
        <v>78</v>
      </c>
      <c r="E2460" s="5" t="s">
        <v>79</v>
      </c>
      <c r="F2460" s="5"/>
      <c r="G2460" s="22" t="n">
        <f aca="false">ROUND(SUM(I2460:P2460),3)</f>
        <v>36.964</v>
      </c>
      <c r="H2460" s="5" t="str">
        <f aca="false">IF(G2460&gt;=評分方法!$C$16,"優先評估",IF(G2460&gt;=評分方法!$C$17,"列入候選",IF(G2460&gt;=評分方法!$C$18,"特定情境","不建議")))</f>
        <v>不建議</v>
      </c>
      <c r="I2460" s="15" t="n">
        <f aca="false">AE2460*評分方法!$C$5</f>
        <v>5.4</v>
      </c>
      <c r="J2460" s="15" t="n">
        <f aca="false">AF2460*評分方法!$C$6</f>
        <v>0</v>
      </c>
      <c r="K2460" s="15" t="n">
        <f aca="false">AG2460*評分方法!$C$7</f>
        <v>4.95</v>
      </c>
      <c r="L2460" s="15" t="n">
        <f aca="false">AH2460*評分方法!$C$8</f>
        <v>13.05</v>
      </c>
      <c r="M2460" s="15" t="n">
        <f aca="false">AI2460*評分方法!$C$9</f>
        <v>10</v>
      </c>
      <c r="N2460" s="15" t="n">
        <f aca="false">AJ2460*評分方法!$C$10</f>
        <v>1.064</v>
      </c>
      <c r="O2460" s="15" t="n">
        <f aca="false">AK2460*評分方法!$C$11</f>
        <v>2.5</v>
      </c>
      <c r="P2460" s="15" t="n">
        <f aca="false">AL2460*評分方法!$C$12</f>
        <v>0</v>
      </c>
      <c r="Q2460" s="6" t="n">
        <v>156545</v>
      </c>
      <c r="R2460" s="6" t="n">
        <v>1543490560</v>
      </c>
      <c r="S2460" s="11" t="s">
        <v>254</v>
      </c>
      <c r="T2460" s="11" t="s">
        <v>239</v>
      </c>
      <c r="U2460" s="5" t="s">
        <v>240</v>
      </c>
      <c r="V2460" s="11" t="s">
        <v>261</v>
      </c>
      <c r="W2460" s="5" t="s">
        <v>334</v>
      </c>
      <c r="X2460" s="5" t="s">
        <v>242</v>
      </c>
      <c r="Y2460" s="11" t="s">
        <v>2613</v>
      </c>
      <c r="Z2460" s="11" t="s">
        <v>270</v>
      </c>
      <c r="AA2460" s="11" t="s">
        <v>175</v>
      </c>
      <c r="AB2460" s="5" t="s">
        <v>245</v>
      </c>
      <c r="AC2460" s="5" t="s">
        <v>1463</v>
      </c>
      <c r="AD2460" s="11" t="s">
        <v>6095</v>
      </c>
      <c r="AE2460" s="23" t="n">
        <v>0.18</v>
      </c>
      <c r="AF2460" s="23" t="n">
        <v>0</v>
      </c>
      <c r="AG2460" s="23" t="n">
        <v>0.33</v>
      </c>
      <c r="AH2460" s="23" t="n">
        <v>0.87</v>
      </c>
      <c r="AI2460" s="23" t="n">
        <v>1</v>
      </c>
      <c r="AJ2460" s="23" t="n">
        <v>0.1064</v>
      </c>
      <c r="AK2460" s="23" t="n">
        <v>0.5</v>
      </c>
      <c r="AL2460" s="23" t="n">
        <v>0</v>
      </c>
      <c r="AM2460" s="16" t="n">
        <f aca="false">COUNTIFS($D$2:$D$2501,D2460,$G$2:$G$2501,"&gt;"&amp;G2460)+COUNTIFS($D$2:D2460,D2460,$G$2:G2460,G2460)</f>
        <v>150</v>
      </c>
      <c r="AN2460" s="5" t="str">
        <f aca="false">D2460&amp;"|"&amp;AM2460</f>
        <v>語音分析|150</v>
      </c>
    </row>
    <row r="2461" customFormat="false" ht="17.15" hidden="false" customHeight="false" outlineLevel="0" collapsed="false">
      <c r="A2461" s="16" t="n">
        <f aca="false">RANK(G2461,$G$2:$G$2501)+COUNTIF($G$2:G2461,G2461)-1</f>
        <v>2460</v>
      </c>
      <c r="B2461" s="11" t="s">
        <v>6096</v>
      </c>
      <c r="C2461" s="11" t="s">
        <v>5047</v>
      </c>
      <c r="D2461" s="5" t="s">
        <v>72</v>
      </c>
      <c r="E2461" s="5" t="s">
        <v>73</v>
      </c>
      <c r="F2461" s="5"/>
      <c r="G2461" s="22" t="n">
        <f aca="false">ROUND(SUM(I2461:P2461),3)</f>
        <v>36.962</v>
      </c>
      <c r="H2461" s="5" t="str">
        <f aca="false">IF(G2461&gt;=評分方法!$C$16,"優先評估",IF(G2461&gt;=評分方法!$C$17,"列入候選",IF(G2461&gt;=評分方法!$C$18,"特定情境","不建議")))</f>
        <v>不建議</v>
      </c>
      <c r="I2461" s="15" t="n">
        <f aca="false">AE2461*評分方法!$C$5</f>
        <v>9</v>
      </c>
      <c r="J2461" s="15" t="n">
        <f aca="false">AF2461*評分方法!$C$6</f>
        <v>0</v>
      </c>
      <c r="K2461" s="15" t="n">
        <f aca="false">AG2461*評分方法!$C$7</f>
        <v>4.95</v>
      </c>
      <c r="L2461" s="15" t="n">
        <f aca="false">AH2461*評分方法!$C$8</f>
        <v>15</v>
      </c>
      <c r="M2461" s="15" t="n">
        <f aca="false">AI2461*評分方法!$C$9</f>
        <v>2</v>
      </c>
      <c r="N2461" s="15" t="n">
        <f aca="false">AJ2461*評分方法!$C$10</f>
        <v>3.512</v>
      </c>
      <c r="O2461" s="15" t="n">
        <f aca="false">AK2461*評分方法!$C$11</f>
        <v>2.5</v>
      </c>
      <c r="P2461" s="15" t="n">
        <f aca="false">AL2461*評分方法!$C$12</f>
        <v>0</v>
      </c>
      <c r="Q2461" s="6" t="n">
        <v>352947</v>
      </c>
      <c r="R2461" s="6" t="n">
        <v>336695557</v>
      </c>
      <c r="S2461" s="11" t="s">
        <v>238</v>
      </c>
      <c r="T2461" s="5"/>
      <c r="U2461" s="5" t="s">
        <v>375</v>
      </c>
      <c r="V2461" s="11" t="s">
        <v>324</v>
      </c>
      <c r="W2461" s="5" t="s">
        <v>334</v>
      </c>
      <c r="X2461" s="5" t="s">
        <v>242</v>
      </c>
      <c r="Y2461" s="5"/>
      <c r="Z2461" s="5"/>
      <c r="AA2461" s="11" t="s">
        <v>162</v>
      </c>
      <c r="AB2461" s="5" t="s">
        <v>328</v>
      </c>
      <c r="AC2461" s="5" t="s">
        <v>5998</v>
      </c>
      <c r="AD2461" s="11" t="s">
        <v>6097</v>
      </c>
      <c r="AE2461" s="23" t="n">
        <v>0.3</v>
      </c>
      <c r="AF2461" s="23" t="n">
        <v>0</v>
      </c>
      <c r="AG2461" s="23" t="n">
        <v>0.33</v>
      </c>
      <c r="AH2461" s="23" t="n">
        <v>1</v>
      </c>
      <c r="AI2461" s="23" t="n">
        <v>0.2</v>
      </c>
      <c r="AJ2461" s="23" t="n">
        <v>0.3512</v>
      </c>
      <c r="AK2461" s="23" t="n">
        <v>0.5</v>
      </c>
      <c r="AL2461" s="23" t="n">
        <v>0</v>
      </c>
      <c r="AM2461" s="16" t="n">
        <f aca="false">COUNTIFS($D$2:$D$2501,D2461,$G$2:$G$2501,"&gt;"&amp;G2461)+COUNTIFS($D$2:D2461,D2461,$G$2:G2461,G2461)</f>
        <v>68</v>
      </c>
      <c r="AN2461" s="5" t="str">
        <f aca="false">D2461&amp;"|"&amp;AM2461</f>
        <v>微調基底模型|68</v>
      </c>
    </row>
    <row r="2462" customFormat="false" ht="17.15" hidden="false" customHeight="false" outlineLevel="0" collapsed="false">
      <c r="A2462" s="16" t="n">
        <f aca="false">RANK(G2462,$G$2:$G$2501)+COUNTIF($G$2:G2462,G2462)-1</f>
        <v>2461</v>
      </c>
      <c r="B2462" s="11" t="s">
        <v>6098</v>
      </c>
      <c r="C2462" s="11" t="s">
        <v>6099</v>
      </c>
      <c r="D2462" s="5" t="s">
        <v>66</v>
      </c>
      <c r="E2462" s="5" t="s">
        <v>67</v>
      </c>
      <c r="F2462" s="5"/>
      <c r="G2462" s="22" t="n">
        <f aca="false">ROUND(SUM(I2462:P2462),3)</f>
        <v>36.898</v>
      </c>
      <c r="H2462" s="5" t="str">
        <f aca="false">IF(G2462&gt;=評分方法!$C$16,"優先評估",IF(G2462&gt;=評分方法!$C$17,"列入候選",IF(G2462&gt;=評分方法!$C$18,"特定情境","不建議")))</f>
        <v>不建議</v>
      </c>
      <c r="I2462" s="15" t="n">
        <f aca="false">AE2462*評分方法!$C$5</f>
        <v>12</v>
      </c>
      <c r="J2462" s="15" t="n">
        <f aca="false">AF2462*評分方法!$C$6</f>
        <v>0</v>
      </c>
      <c r="K2462" s="15" t="n">
        <f aca="false">AG2462*評分方法!$C$7</f>
        <v>4.95</v>
      </c>
      <c r="L2462" s="15" t="n">
        <f aca="false">AH2462*評分方法!$C$8</f>
        <v>15</v>
      </c>
      <c r="M2462" s="15" t="n">
        <f aca="false">AI2462*評分方法!$C$9</f>
        <v>2</v>
      </c>
      <c r="N2462" s="15" t="n">
        <f aca="false">AJ2462*評分方法!$C$10</f>
        <v>0.448</v>
      </c>
      <c r="O2462" s="15" t="n">
        <f aca="false">AK2462*評分方法!$C$11</f>
        <v>1</v>
      </c>
      <c r="P2462" s="15" t="n">
        <f aca="false">AL2462*評分方法!$C$12</f>
        <v>1.5</v>
      </c>
      <c r="Q2462" s="6" t="n">
        <v>130071</v>
      </c>
      <c r="R2462" s="6" t="n">
        <v>41623811</v>
      </c>
      <c r="S2462" s="11" t="s">
        <v>238</v>
      </c>
      <c r="T2462" s="5"/>
      <c r="U2462" s="5" t="s">
        <v>375</v>
      </c>
      <c r="V2462" s="11" t="s">
        <v>261</v>
      </c>
      <c r="W2462" s="5" t="s">
        <v>334</v>
      </c>
      <c r="X2462" s="5" t="s">
        <v>255</v>
      </c>
      <c r="Y2462" s="5"/>
      <c r="Z2462" s="5"/>
      <c r="AA2462" s="11" t="s">
        <v>149</v>
      </c>
      <c r="AB2462" s="5" t="s">
        <v>245</v>
      </c>
      <c r="AC2462" s="5" t="s">
        <v>5481</v>
      </c>
      <c r="AD2462" s="11" t="s">
        <v>6100</v>
      </c>
      <c r="AE2462" s="23" t="n">
        <v>0.4</v>
      </c>
      <c r="AF2462" s="23" t="n">
        <v>0</v>
      </c>
      <c r="AG2462" s="23" t="n">
        <v>0.33</v>
      </c>
      <c r="AH2462" s="23" t="n">
        <v>1</v>
      </c>
      <c r="AI2462" s="23" t="n">
        <v>0.2</v>
      </c>
      <c r="AJ2462" s="23" t="n">
        <v>0.0448</v>
      </c>
      <c r="AK2462" s="23" t="n">
        <v>0.2</v>
      </c>
      <c r="AL2462" s="23" t="n">
        <v>0.3</v>
      </c>
      <c r="AM2462" s="16" t="n">
        <f aca="false">COUNTIFS($D$2:$D$2501,D2462,$G$2:$G$2501,"&gt;"&amp;G2462)+COUNTIFS($D$2:D2462,D2462,$G$2:G2462,G2462)</f>
        <v>86</v>
      </c>
      <c r="AN2462" s="5" t="str">
        <f aca="false">D2462&amp;"|"&amp;AM2462</f>
        <v>分類與偵測|86</v>
      </c>
    </row>
    <row r="2463" customFormat="false" ht="17.15" hidden="false" customHeight="false" outlineLevel="0" collapsed="false">
      <c r="A2463" s="16" t="n">
        <f aca="false">RANK(G2463,$G$2:$G$2501)+COUNTIF($G$2:G2463,G2463)-1</f>
        <v>2462</v>
      </c>
      <c r="B2463" s="11" t="s">
        <v>6101</v>
      </c>
      <c r="C2463" s="11" t="s">
        <v>6102</v>
      </c>
      <c r="D2463" s="5" t="s">
        <v>80</v>
      </c>
      <c r="E2463" s="5" t="s">
        <v>81</v>
      </c>
      <c r="F2463" s="5"/>
      <c r="G2463" s="22" t="n">
        <f aca="false">ROUND(SUM(I2463:P2463),3)</f>
        <v>36.666</v>
      </c>
      <c r="H2463" s="5" t="str">
        <f aca="false">IF(G2463&gt;=評分方法!$C$16,"優先評估",IF(G2463&gt;=評分方法!$C$17,"列入候選",IF(G2463&gt;=評分方法!$C$18,"特定情境","不建議")))</f>
        <v>不建議</v>
      </c>
      <c r="I2463" s="15" t="n">
        <f aca="false">AE2463*評分方法!$C$5</f>
        <v>1.5</v>
      </c>
      <c r="J2463" s="15" t="n">
        <f aca="false">AF2463*評分方法!$C$6</f>
        <v>0</v>
      </c>
      <c r="K2463" s="15" t="n">
        <f aca="false">AG2463*評分方法!$C$7</f>
        <v>4.95</v>
      </c>
      <c r="L2463" s="15" t="n">
        <f aca="false">AH2463*評分方法!$C$8</f>
        <v>15</v>
      </c>
      <c r="M2463" s="15" t="n">
        <f aca="false">AI2463*評分方法!$C$9</f>
        <v>10</v>
      </c>
      <c r="N2463" s="15" t="n">
        <f aca="false">AJ2463*評分方法!$C$10</f>
        <v>2.716</v>
      </c>
      <c r="O2463" s="15" t="n">
        <f aca="false">AK2463*評分方法!$C$11</f>
        <v>2.5</v>
      </c>
      <c r="P2463" s="15" t="n">
        <f aca="false">AL2463*評分方法!$C$12</f>
        <v>0</v>
      </c>
      <c r="Q2463" s="6" t="n">
        <v>268143</v>
      </c>
      <c r="R2463" s="6" t="n">
        <v>865922244</v>
      </c>
      <c r="S2463" s="11" t="s">
        <v>238</v>
      </c>
      <c r="T2463" s="11" t="s">
        <v>239</v>
      </c>
      <c r="U2463" s="5" t="s">
        <v>240</v>
      </c>
      <c r="V2463" s="11" t="s">
        <v>324</v>
      </c>
      <c r="W2463" s="5" t="s">
        <v>334</v>
      </c>
      <c r="X2463" s="5" t="s">
        <v>242</v>
      </c>
      <c r="Y2463" s="5"/>
      <c r="Z2463" s="5"/>
      <c r="AA2463" s="11" t="s">
        <v>187</v>
      </c>
      <c r="AB2463" s="5" t="s">
        <v>245</v>
      </c>
      <c r="AC2463" s="5"/>
      <c r="AD2463" s="11" t="s">
        <v>6103</v>
      </c>
      <c r="AE2463" s="23" t="n">
        <v>0.05</v>
      </c>
      <c r="AF2463" s="23" t="n">
        <v>0</v>
      </c>
      <c r="AG2463" s="23" t="n">
        <v>0.33</v>
      </c>
      <c r="AH2463" s="23" t="n">
        <v>1</v>
      </c>
      <c r="AI2463" s="23" t="n">
        <v>1</v>
      </c>
      <c r="AJ2463" s="23" t="n">
        <v>0.2716</v>
      </c>
      <c r="AK2463" s="23" t="n">
        <v>0.5</v>
      </c>
      <c r="AL2463" s="23" t="n">
        <v>0</v>
      </c>
      <c r="AM2463" s="16" t="n">
        <f aca="false">COUNTIFS($D$2:$D$2501,D2463,$G$2:$G$2501,"&gt;"&amp;G2463)+COUNTIFS($D$2:D2463,D2463,$G$2:G2463,G2463)</f>
        <v>71</v>
      </c>
      <c r="AN2463" s="5" t="str">
        <f aca="false">D2463&amp;"|"&amp;AM2463</f>
        <v>其他|71</v>
      </c>
    </row>
    <row r="2464" customFormat="false" ht="17.15" hidden="false" customHeight="false" outlineLevel="0" collapsed="false">
      <c r="A2464" s="16" t="n">
        <f aca="false">RANK(G2464,$G$2:$G$2501)+COUNTIF($G$2:G2464,G2464)-1</f>
        <v>2463</v>
      </c>
      <c r="B2464" s="11" t="s">
        <v>6104</v>
      </c>
      <c r="C2464" s="11" t="s">
        <v>5905</v>
      </c>
      <c r="D2464" s="5" t="s">
        <v>72</v>
      </c>
      <c r="E2464" s="5" t="s">
        <v>73</v>
      </c>
      <c r="F2464" s="5"/>
      <c r="G2464" s="22" t="n">
        <f aca="false">ROUND(SUM(I2464:P2464),3)</f>
        <v>36.494</v>
      </c>
      <c r="H2464" s="5" t="str">
        <f aca="false">IF(G2464&gt;=評分方法!$C$16,"優先評估",IF(G2464&gt;=評分方法!$C$17,"列入候選",IF(G2464&gt;=評分方法!$C$18,"特定情境","不建議")))</f>
        <v>不建議</v>
      </c>
      <c r="I2464" s="15" t="n">
        <f aca="false">AE2464*評分方法!$C$5</f>
        <v>9</v>
      </c>
      <c r="J2464" s="15" t="n">
        <f aca="false">AF2464*評分方法!$C$6</f>
        <v>0</v>
      </c>
      <c r="K2464" s="15" t="n">
        <f aca="false">AG2464*評分方法!$C$7</f>
        <v>4.95</v>
      </c>
      <c r="L2464" s="15" t="n">
        <f aca="false">AH2464*評分方法!$C$8</f>
        <v>15</v>
      </c>
      <c r="M2464" s="15" t="n">
        <f aca="false">AI2464*評分方法!$C$9</f>
        <v>2</v>
      </c>
      <c r="N2464" s="15" t="n">
        <f aca="false">AJ2464*評分方法!$C$10</f>
        <v>4.544</v>
      </c>
      <c r="O2464" s="15" t="n">
        <f aca="false">AK2464*評分方法!$C$11</f>
        <v>1</v>
      </c>
      <c r="P2464" s="15" t="n">
        <f aca="false">AL2464*評分方法!$C$12</f>
        <v>0</v>
      </c>
      <c r="Q2464" s="6" t="n">
        <v>496961</v>
      </c>
      <c r="R2464" s="6" t="n">
        <v>110652162</v>
      </c>
      <c r="S2464" s="11" t="s">
        <v>238</v>
      </c>
      <c r="T2464" s="5"/>
      <c r="U2464" s="5" t="s">
        <v>375</v>
      </c>
      <c r="V2464" s="11" t="s">
        <v>324</v>
      </c>
      <c r="W2464" s="5" t="s">
        <v>334</v>
      </c>
      <c r="X2464" s="5" t="s">
        <v>242</v>
      </c>
      <c r="Y2464" s="5"/>
      <c r="Z2464" s="5"/>
      <c r="AA2464" s="11" t="s">
        <v>162</v>
      </c>
      <c r="AB2464" s="5" t="s">
        <v>245</v>
      </c>
      <c r="AC2464" s="5" t="s">
        <v>4841</v>
      </c>
      <c r="AD2464" s="11" t="s">
        <v>6105</v>
      </c>
      <c r="AE2464" s="23" t="n">
        <v>0.3</v>
      </c>
      <c r="AF2464" s="23" t="n">
        <v>0</v>
      </c>
      <c r="AG2464" s="23" t="n">
        <v>0.33</v>
      </c>
      <c r="AH2464" s="23" t="n">
        <v>1</v>
      </c>
      <c r="AI2464" s="23" t="n">
        <v>0.2</v>
      </c>
      <c r="AJ2464" s="23" t="n">
        <v>0.4544</v>
      </c>
      <c r="AK2464" s="23" t="n">
        <v>0.2</v>
      </c>
      <c r="AL2464" s="23" t="n">
        <v>0</v>
      </c>
      <c r="AM2464" s="16" t="n">
        <f aca="false">COUNTIFS($D$2:$D$2501,D2464,$G$2:$G$2501,"&gt;"&amp;G2464)+COUNTIFS($D$2:D2464,D2464,$G$2:G2464,G2464)</f>
        <v>69</v>
      </c>
      <c r="AN2464" s="5" t="str">
        <f aca="false">D2464&amp;"|"&amp;AM2464</f>
        <v>微調基底模型|69</v>
      </c>
    </row>
    <row r="2465" customFormat="false" ht="17.15" hidden="false" customHeight="false" outlineLevel="0" collapsed="false">
      <c r="A2465" s="16" t="n">
        <f aca="false">RANK(G2465,$G$2:$G$2501)+COUNTIF($G$2:G2465,G2465)-1</f>
        <v>2464</v>
      </c>
      <c r="B2465" s="11" t="s">
        <v>6106</v>
      </c>
      <c r="C2465" s="11" t="s">
        <v>6107</v>
      </c>
      <c r="D2465" s="5" t="s">
        <v>74</v>
      </c>
      <c r="E2465" s="5" t="s">
        <v>75</v>
      </c>
      <c r="F2465" s="5"/>
      <c r="G2465" s="22" t="n">
        <f aca="false">ROUND(SUM(I2465:P2465),3)</f>
        <v>36.458</v>
      </c>
      <c r="H2465" s="5" t="str">
        <f aca="false">IF(G2465&gt;=評分方法!$C$16,"優先評估",IF(G2465&gt;=評分方法!$C$17,"列入候選",IF(G2465&gt;=評分方法!$C$18,"特定情境","不建議")))</f>
        <v>不建議</v>
      </c>
      <c r="I2465" s="15" t="n">
        <f aca="false">AE2465*評分方法!$C$5</f>
        <v>10.5</v>
      </c>
      <c r="J2465" s="15" t="n">
        <f aca="false">AF2465*評分方法!$C$6</f>
        <v>0</v>
      </c>
      <c r="K2465" s="15" t="n">
        <f aca="false">AG2465*評分方法!$C$7</f>
        <v>4.95</v>
      </c>
      <c r="L2465" s="15" t="n">
        <f aca="false">AH2465*評分方法!$C$8</f>
        <v>15</v>
      </c>
      <c r="M2465" s="15" t="n">
        <f aca="false">AI2465*評分方法!$C$9</f>
        <v>2</v>
      </c>
      <c r="N2465" s="15" t="n">
        <f aca="false">AJ2465*評分方法!$C$10</f>
        <v>1.508</v>
      </c>
      <c r="O2465" s="15" t="n">
        <f aca="false">AK2465*評分方法!$C$11</f>
        <v>1</v>
      </c>
      <c r="P2465" s="15" t="n">
        <f aca="false">AL2465*評分方法!$C$12</f>
        <v>1.5</v>
      </c>
      <c r="Q2465" s="6" t="n">
        <v>180189</v>
      </c>
      <c r="R2465" s="6" t="n">
        <v>87767364</v>
      </c>
      <c r="S2465" s="11" t="s">
        <v>238</v>
      </c>
      <c r="T2465" s="5"/>
      <c r="U2465" s="5" t="s">
        <v>375</v>
      </c>
      <c r="V2465" s="11" t="s">
        <v>261</v>
      </c>
      <c r="W2465" s="5" t="s">
        <v>334</v>
      </c>
      <c r="X2465" s="5" t="s">
        <v>255</v>
      </c>
      <c r="Y2465" s="5"/>
      <c r="Z2465" s="5"/>
      <c r="AA2465" s="11" t="s">
        <v>172</v>
      </c>
      <c r="AB2465" s="5" t="s">
        <v>245</v>
      </c>
      <c r="AC2465" s="5" t="s">
        <v>262</v>
      </c>
      <c r="AD2465" s="11" t="s">
        <v>6108</v>
      </c>
      <c r="AE2465" s="23" t="n">
        <v>0.35</v>
      </c>
      <c r="AF2465" s="23" t="n">
        <v>0</v>
      </c>
      <c r="AG2465" s="23" t="n">
        <v>0.33</v>
      </c>
      <c r="AH2465" s="23" t="n">
        <v>1</v>
      </c>
      <c r="AI2465" s="23" t="n">
        <v>0.2</v>
      </c>
      <c r="AJ2465" s="23" t="n">
        <v>0.1508</v>
      </c>
      <c r="AK2465" s="23" t="n">
        <v>0.2</v>
      </c>
      <c r="AL2465" s="23" t="n">
        <v>0.3</v>
      </c>
      <c r="AM2465" s="16" t="n">
        <f aca="false">COUNTIFS($D$2:$D$2501,D2465,$G$2:$G$2501,"&gt;"&amp;G2465)+COUNTIFS($D$2:D2465,D2465,$G$2:G2465,G2465)</f>
        <v>349</v>
      </c>
      <c r="AN2465" s="5" t="str">
        <f aca="false">D2465&amp;"|"&amp;AM2465</f>
        <v>文件與影像辨識|349</v>
      </c>
    </row>
    <row r="2466" customFormat="false" ht="17.15" hidden="false" customHeight="false" outlineLevel="0" collapsed="false">
      <c r="A2466" s="16" t="n">
        <f aca="false">RANK(G2466,$G$2:$G$2501)+COUNTIF($G$2:G2466,G2466)-1</f>
        <v>2465</v>
      </c>
      <c r="B2466" s="11" t="s">
        <v>6109</v>
      </c>
      <c r="C2466" s="11" t="s">
        <v>1677</v>
      </c>
      <c r="D2466" s="5" t="s">
        <v>66</v>
      </c>
      <c r="E2466" s="5" t="s">
        <v>67</v>
      </c>
      <c r="F2466" s="5"/>
      <c r="G2466" s="22" t="n">
        <f aca="false">ROUND(SUM(I2466:P2466),3)</f>
        <v>36.404</v>
      </c>
      <c r="H2466" s="5" t="str">
        <f aca="false">IF(G2466&gt;=評分方法!$C$16,"優先評估",IF(G2466&gt;=評分方法!$C$17,"列入候選",IF(G2466&gt;=評分方法!$C$18,"特定情境","不建議")))</f>
        <v>不建議</v>
      </c>
      <c r="I2466" s="15" t="n">
        <f aca="false">AE2466*評分方法!$C$5</f>
        <v>12</v>
      </c>
      <c r="J2466" s="15" t="n">
        <f aca="false">AF2466*評分方法!$C$6</f>
        <v>0</v>
      </c>
      <c r="K2466" s="15" t="n">
        <f aca="false">AG2466*評分方法!$C$7</f>
        <v>10.05</v>
      </c>
      <c r="L2466" s="15" t="n">
        <f aca="false">AH2466*評分方法!$C$8</f>
        <v>7.05</v>
      </c>
      <c r="M2466" s="15" t="n">
        <f aca="false">AI2466*評分方法!$C$9</f>
        <v>2</v>
      </c>
      <c r="N2466" s="15" t="n">
        <f aca="false">AJ2466*評分方法!$C$10</f>
        <v>1.304</v>
      </c>
      <c r="O2466" s="15" t="n">
        <f aca="false">AK2466*評分方法!$C$11</f>
        <v>2.5</v>
      </c>
      <c r="P2466" s="15" t="n">
        <f aca="false">AL2466*評分方法!$C$12</f>
        <v>1.5</v>
      </c>
      <c r="Q2466" s="6" t="n">
        <v>168236</v>
      </c>
      <c r="R2466" s="6"/>
      <c r="S2466" s="5" t="s">
        <v>255</v>
      </c>
      <c r="T2466" s="5"/>
      <c r="U2466" s="5" t="s">
        <v>375</v>
      </c>
      <c r="V2466" s="11" t="s">
        <v>514</v>
      </c>
      <c r="W2466" s="5" t="s">
        <v>207</v>
      </c>
      <c r="X2466" s="5" t="s">
        <v>255</v>
      </c>
      <c r="Y2466" s="11" t="s">
        <v>3096</v>
      </c>
      <c r="Z2466" s="11" t="s">
        <v>244</v>
      </c>
      <c r="AA2466" s="11" t="s">
        <v>149</v>
      </c>
      <c r="AB2466" s="5" t="s">
        <v>245</v>
      </c>
      <c r="AC2466" s="5" t="s">
        <v>6056</v>
      </c>
      <c r="AD2466" s="11" t="s">
        <v>6110</v>
      </c>
      <c r="AE2466" s="23" t="n">
        <v>0.4</v>
      </c>
      <c r="AF2466" s="23" t="n">
        <v>0</v>
      </c>
      <c r="AG2466" s="23" t="n">
        <v>0.67</v>
      </c>
      <c r="AH2466" s="23" t="n">
        <v>0.47</v>
      </c>
      <c r="AI2466" s="23" t="n">
        <v>0.2</v>
      </c>
      <c r="AJ2466" s="23" t="n">
        <v>0.1304</v>
      </c>
      <c r="AK2466" s="23" t="n">
        <v>0.5</v>
      </c>
      <c r="AL2466" s="23" t="n">
        <v>0.3</v>
      </c>
      <c r="AM2466" s="16" t="n">
        <f aca="false">COUNTIFS($D$2:$D$2501,D2466,$G$2:$G$2501,"&gt;"&amp;G2466)+COUNTIFS($D$2:D2466,D2466,$G$2:G2466,G2466)</f>
        <v>87</v>
      </c>
      <c r="AN2466" s="5" t="str">
        <f aca="false">D2466&amp;"|"&amp;AM2466</f>
        <v>分類與偵測|87</v>
      </c>
    </row>
    <row r="2467" customFormat="false" ht="17.15" hidden="false" customHeight="false" outlineLevel="0" collapsed="false">
      <c r="A2467" s="16" t="n">
        <f aca="false">RANK(G2467,$G$2:$G$2501)+COUNTIF($G$2:G2467,G2467)-1</f>
        <v>2466</v>
      </c>
      <c r="B2467" s="11" t="s">
        <v>6111</v>
      </c>
      <c r="C2467" s="11" t="s">
        <v>1325</v>
      </c>
      <c r="D2467" s="5" t="s">
        <v>78</v>
      </c>
      <c r="E2467" s="5" t="s">
        <v>79</v>
      </c>
      <c r="F2467" s="5"/>
      <c r="G2467" s="22" t="n">
        <f aca="false">ROUND(SUM(I2467:P2467),3)</f>
        <v>36.356</v>
      </c>
      <c r="H2467" s="5" t="str">
        <f aca="false">IF(G2467&gt;=評分方法!$C$16,"優先評估",IF(G2467&gt;=評分方法!$C$17,"列入候選",IF(G2467&gt;=評分方法!$C$18,"特定情境","不建議")))</f>
        <v>不建議</v>
      </c>
      <c r="I2467" s="15" t="n">
        <f aca="false">AE2467*評分方法!$C$5</f>
        <v>9</v>
      </c>
      <c r="J2467" s="15" t="n">
        <f aca="false">AF2467*評分方法!$C$6</f>
        <v>0</v>
      </c>
      <c r="K2467" s="15" t="n">
        <f aca="false">AG2467*評分方法!$C$7</f>
        <v>10.05</v>
      </c>
      <c r="L2467" s="15" t="n">
        <f aca="false">AH2467*評分方法!$C$8</f>
        <v>7.05</v>
      </c>
      <c r="M2467" s="15" t="n">
        <f aca="false">AI2467*評分方法!$C$9</f>
        <v>2</v>
      </c>
      <c r="N2467" s="15" t="n">
        <f aca="false">AJ2467*評分方法!$C$10</f>
        <v>4.256</v>
      </c>
      <c r="O2467" s="15" t="n">
        <f aca="false">AK2467*評分方法!$C$11</f>
        <v>2.5</v>
      </c>
      <c r="P2467" s="15" t="n">
        <f aca="false">AL2467*評分方法!$C$12</f>
        <v>1.5</v>
      </c>
      <c r="Q2467" s="6" t="n">
        <v>469803</v>
      </c>
      <c r="R2467" s="6"/>
      <c r="S2467" s="5" t="s">
        <v>255</v>
      </c>
      <c r="T2467" s="5"/>
      <c r="U2467" s="5" t="s">
        <v>375</v>
      </c>
      <c r="V2467" s="11" t="s">
        <v>514</v>
      </c>
      <c r="W2467" s="5" t="s">
        <v>207</v>
      </c>
      <c r="X2467" s="5" t="s">
        <v>255</v>
      </c>
      <c r="Y2467" s="11" t="s">
        <v>2621</v>
      </c>
      <c r="Z2467" s="11" t="s">
        <v>244</v>
      </c>
      <c r="AA2467" s="11" t="s">
        <v>175</v>
      </c>
      <c r="AB2467" s="5" t="s">
        <v>245</v>
      </c>
      <c r="AC2467" s="5" t="s">
        <v>464</v>
      </c>
      <c r="AD2467" s="11" t="s">
        <v>6112</v>
      </c>
      <c r="AE2467" s="23" t="n">
        <v>0.3</v>
      </c>
      <c r="AF2467" s="23" t="n">
        <v>0</v>
      </c>
      <c r="AG2467" s="23" t="n">
        <v>0.67</v>
      </c>
      <c r="AH2467" s="23" t="n">
        <v>0.47</v>
      </c>
      <c r="AI2467" s="23" t="n">
        <v>0.2</v>
      </c>
      <c r="AJ2467" s="23" t="n">
        <v>0.4256</v>
      </c>
      <c r="AK2467" s="23" t="n">
        <v>0.5</v>
      </c>
      <c r="AL2467" s="23" t="n">
        <v>0.3</v>
      </c>
      <c r="AM2467" s="16" t="n">
        <f aca="false">COUNTIFS($D$2:$D$2501,D2467,$G$2:$G$2501,"&gt;"&amp;G2467)+COUNTIFS($D$2:D2467,D2467,$G$2:G2467,G2467)</f>
        <v>151</v>
      </c>
      <c r="AN2467" s="5" t="str">
        <f aca="false">D2467&amp;"|"&amp;AM2467</f>
        <v>語音分析|151</v>
      </c>
    </row>
    <row r="2468" customFormat="false" ht="17.15" hidden="false" customHeight="false" outlineLevel="0" collapsed="false">
      <c r="A2468" s="16" t="n">
        <f aca="false">RANK(G2468,$G$2:$G$2501)+COUNTIF($G$2:G2468,G2468)-1</f>
        <v>2467</v>
      </c>
      <c r="B2468" s="11" t="s">
        <v>6113</v>
      </c>
      <c r="C2468" s="11" t="s">
        <v>6091</v>
      </c>
      <c r="D2468" s="5" t="s">
        <v>80</v>
      </c>
      <c r="E2468" s="5" t="s">
        <v>81</v>
      </c>
      <c r="F2468" s="5"/>
      <c r="G2468" s="22" t="n">
        <f aca="false">ROUND(SUM(I2468:P2468),3)</f>
        <v>36.292</v>
      </c>
      <c r="H2468" s="5" t="str">
        <f aca="false">IF(G2468&gt;=評分方法!$C$16,"優先評估",IF(G2468&gt;=評分方法!$C$17,"列入候選",IF(G2468&gt;=評分方法!$C$18,"特定情境","不建議")))</f>
        <v>不建議</v>
      </c>
      <c r="I2468" s="15" t="n">
        <f aca="false">AE2468*評分方法!$C$5</f>
        <v>6</v>
      </c>
      <c r="J2468" s="15" t="n">
        <f aca="false">AF2468*評分方法!$C$6</f>
        <v>0</v>
      </c>
      <c r="K2468" s="15" t="n">
        <f aca="false">AG2468*評分方法!$C$7</f>
        <v>4.95</v>
      </c>
      <c r="L2468" s="15" t="n">
        <f aca="false">AH2468*評分方法!$C$8</f>
        <v>7.05</v>
      </c>
      <c r="M2468" s="15" t="n">
        <f aca="false">AI2468*評分方法!$C$9</f>
        <v>10</v>
      </c>
      <c r="N2468" s="15" t="n">
        <f aca="false">AJ2468*評分方法!$C$10</f>
        <v>2.792</v>
      </c>
      <c r="O2468" s="15" t="n">
        <f aca="false">AK2468*評分方法!$C$11</f>
        <v>4</v>
      </c>
      <c r="P2468" s="15" t="n">
        <f aca="false">AL2468*評分方法!$C$12</f>
        <v>1.5</v>
      </c>
      <c r="Q2468" s="6" t="n">
        <v>273178</v>
      </c>
      <c r="R2468" s="6"/>
      <c r="S2468" s="5" t="s">
        <v>255</v>
      </c>
      <c r="T2468" s="11" t="s">
        <v>239</v>
      </c>
      <c r="U2468" s="5" t="s">
        <v>240</v>
      </c>
      <c r="V2468" s="11" t="s">
        <v>5828</v>
      </c>
      <c r="W2468" s="5" t="s">
        <v>334</v>
      </c>
      <c r="X2468" s="5" t="s">
        <v>255</v>
      </c>
      <c r="Y2468" s="5"/>
      <c r="Z2468" s="5"/>
      <c r="AA2468" s="5"/>
      <c r="AB2468" s="5" t="s">
        <v>255</v>
      </c>
      <c r="AC2468" s="5"/>
      <c r="AD2468" s="11" t="s">
        <v>6114</v>
      </c>
      <c r="AE2468" s="23" t="n">
        <v>0.2</v>
      </c>
      <c r="AF2468" s="23" t="n">
        <v>0</v>
      </c>
      <c r="AG2468" s="23" t="n">
        <v>0.33</v>
      </c>
      <c r="AH2468" s="23" t="n">
        <v>0.47</v>
      </c>
      <c r="AI2468" s="23" t="n">
        <v>1</v>
      </c>
      <c r="AJ2468" s="23" t="n">
        <v>0.2792</v>
      </c>
      <c r="AK2468" s="23" t="n">
        <v>0.8</v>
      </c>
      <c r="AL2468" s="23" t="n">
        <v>0.3</v>
      </c>
      <c r="AM2468" s="16" t="n">
        <f aca="false">COUNTIFS($D$2:$D$2501,D2468,$G$2:$G$2501,"&gt;"&amp;G2468)+COUNTIFS($D$2:D2468,D2468,$G$2:G2468,G2468)</f>
        <v>72</v>
      </c>
      <c r="AN2468" s="5" t="str">
        <f aca="false">D2468&amp;"|"&amp;AM2468</f>
        <v>其他|72</v>
      </c>
    </row>
    <row r="2469" customFormat="false" ht="17.15" hidden="false" customHeight="false" outlineLevel="0" collapsed="false">
      <c r="A2469" s="16" t="n">
        <f aca="false">RANK(G2469,$G$2:$G$2501)+COUNTIF($G$2:G2469,G2469)-1</f>
        <v>2468</v>
      </c>
      <c r="B2469" s="11" t="s">
        <v>6115</v>
      </c>
      <c r="C2469" s="11" t="s">
        <v>6116</v>
      </c>
      <c r="D2469" s="5" t="s">
        <v>80</v>
      </c>
      <c r="E2469" s="5" t="s">
        <v>81</v>
      </c>
      <c r="F2469" s="5"/>
      <c r="G2469" s="22" t="n">
        <f aca="false">ROUND(SUM(I2469:P2469),3)</f>
        <v>36.058</v>
      </c>
      <c r="H2469" s="5" t="str">
        <f aca="false">IF(G2469&gt;=評分方法!$C$16,"優先評估",IF(G2469&gt;=評分方法!$C$17,"列入候選",IF(G2469&gt;=評分方法!$C$18,"特定情境","不建議")))</f>
        <v>不建議</v>
      </c>
      <c r="I2469" s="15" t="n">
        <f aca="false">AE2469*評分方法!$C$5</f>
        <v>3.6</v>
      </c>
      <c r="J2469" s="15" t="n">
        <f aca="false">AF2469*評分方法!$C$6</f>
        <v>0</v>
      </c>
      <c r="K2469" s="15" t="n">
        <f aca="false">AG2469*評分方法!$C$7</f>
        <v>4.95</v>
      </c>
      <c r="L2469" s="15" t="n">
        <f aca="false">AH2469*評分方法!$C$8</f>
        <v>15</v>
      </c>
      <c r="M2469" s="15" t="n">
        <f aca="false">AI2469*評分方法!$C$9</f>
        <v>10</v>
      </c>
      <c r="N2469" s="15" t="n">
        <f aca="false">AJ2469*評分方法!$C$10</f>
        <v>0.008</v>
      </c>
      <c r="O2469" s="15" t="n">
        <f aca="false">AK2469*評分方法!$C$11</f>
        <v>2.5</v>
      </c>
      <c r="P2469" s="15" t="n">
        <f aca="false">AL2469*評分方法!$C$12</f>
        <v>0</v>
      </c>
      <c r="Q2469" s="6" t="n">
        <v>116933</v>
      </c>
      <c r="R2469" s="6" t="n">
        <v>483899392</v>
      </c>
      <c r="S2469" s="11" t="s">
        <v>238</v>
      </c>
      <c r="T2469" s="11" t="s">
        <v>239</v>
      </c>
      <c r="U2469" s="5" t="s">
        <v>240</v>
      </c>
      <c r="V2469" s="11" t="s">
        <v>261</v>
      </c>
      <c r="W2469" s="5" t="s">
        <v>334</v>
      </c>
      <c r="X2469" s="5" t="s">
        <v>242</v>
      </c>
      <c r="Y2469" s="11" t="s">
        <v>6117</v>
      </c>
      <c r="Z2469" s="11" t="s">
        <v>270</v>
      </c>
      <c r="AA2469" s="5"/>
      <c r="AB2469" s="5" t="s">
        <v>255</v>
      </c>
      <c r="AC2469" s="5" t="s">
        <v>1463</v>
      </c>
      <c r="AD2469" s="11" t="s">
        <v>6118</v>
      </c>
      <c r="AE2469" s="23" t="n">
        <v>0.12</v>
      </c>
      <c r="AF2469" s="23" t="n">
        <v>0</v>
      </c>
      <c r="AG2469" s="23" t="n">
        <v>0.33</v>
      </c>
      <c r="AH2469" s="23" t="n">
        <v>1</v>
      </c>
      <c r="AI2469" s="23" t="n">
        <v>1</v>
      </c>
      <c r="AJ2469" s="23" t="n">
        <v>0.0008</v>
      </c>
      <c r="AK2469" s="23" t="n">
        <v>0.5</v>
      </c>
      <c r="AL2469" s="23" t="n">
        <v>0</v>
      </c>
      <c r="AM2469" s="16" t="n">
        <f aca="false">COUNTIFS($D$2:$D$2501,D2469,$G$2:$G$2501,"&gt;"&amp;G2469)+COUNTIFS($D$2:D2469,D2469,$G$2:G2469,G2469)</f>
        <v>73</v>
      </c>
      <c r="AN2469" s="5" t="str">
        <f aca="false">D2469&amp;"|"&amp;AM2469</f>
        <v>其他|73</v>
      </c>
    </row>
    <row r="2470" customFormat="false" ht="17.15" hidden="false" customHeight="false" outlineLevel="0" collapsed="false">
      <c r="A2470" s="16" t="n">
        <f aca="false">RANK(G2470,$G$2:$G$2501)+COUNTIF($G$2:G2470,G2470)-1</f>
        <v>2469</v>
      </c>
      <c r="B2470" s="11" t="s">
        <v>6119</v>
      </c>
      <c r="C2470" s="11" t="s">
        <v>6091</v>
      </c>
      <c r="D2470" s="5" t="s">
        <v>80</v>
      </c>
      <c r="E2470" s="5" t="s">
        <v>81</v>
      </c>
      <c r="F2470" s="5"/>
      <c r="G2470" s="22" t="n">
        <f aca="false">ROUND(SUM(I2470:P2470),3)</f>
        <v>35.796</v>
      </c>
      <c r="H2470" s="5" t="str">
        <f aca="false">IF(G2470&gt;=評分方法!$C$16,"優先評估",IF(G2470&gt;=評分方法!$C$17,"列入候選",IF(G2470&gt;=評分方法!$C$18,"特定情境","不建議")))</f>
        <v>不建議</v>
      </c>
      <c r="I2470" s="15" t="n">
        <f aca="false">AE2470*評分方法!$C$5</f>
        <v>6</v>
      </c>
      <c r="J2470" s="15" t="n">
        <f aca="false">AF2470*評分方法!$C$6</f>
        <v>0</v>
      </c>
      <c r="K2470" s="15" t="n">
        <f aca="false">AG2470*評分方法!$C$7</f>
        <v>4.95</v>
      </c>
      <c r="L2470" s="15" t="n">
        <f aca="false">AH2470*評分方法!$C$8</f>
        <v>7.05</v>
      </c>
      <c r="M2470" s="15" t="n">
        <f aca="false">AI2470*評分方法!$C$9</f>
        <v>10</v>
      </c>
      <c r="N2470" s="15" t="n">
        <f aca="false">AJ2470*評分方法!$C$10</f>
        <v>2.296</v>
      </c>
      <c r="O2470" s="15" t="n">
        <f aca="false">AK2470*評分方法!$C$11</f>
        <v>4</v>
      </c>
      <c r="P2470" s="15" t="n">
        <f aca="false">AL2470*評分方法!$C$12</f>
        <v>1.5</v>
      </c>
      <c r="Q2470" s="6" t="n">
        <v>233148</v>
      </c>
      <c r="R2470" s="6"/>
      <c r="S2470" s="5" t="s">
        <v>255</v>
      </c>
      <c r="T2470" s="11" t="s">
        <v>239</v>
      </c>
      <c r="U2470" s="5" t="s">
        <v>240</v>
      </c>
      <c r="V2470" s="11" t="s">
        <v>5828</v>
      </c>
      <c r="W2470" s="5" t="s">
        <v>334</v>
      </c>
      <c r="X2470" s="5" t="s">
        <v>255</v>
      </c>
      <c r="Y2470" s="5"/>
      <c r="Z2470" s="5"/>
      <c r="AA2470" s="5"/>
      <c r="AB2470" s="5" t="s">
        <v>255</v>
      </c>
      <c r="AC2470" s="5"/>
      <c r="AD2470" s="11" t="s">
        <v>6120</v>
      </c>
      <c r="AE2470" s="23" t="n">
        <v>0.2</v>
      </c>
      <c r="AF2470" s="23" t="n">
        <v>0</v>
      </c>
      <c r="AG2470" s="23" t="n">
        <v>0.33</v>
      </c>
      <c r="AH2470" s="23" t="n">
        <v>0.47</v>
      </c>
      <c r="AI2470" s="23" t="n">
        <v>1</v>
      </c>
      <c r="AJ2470" s="23" t="n">
        <v>0.2296</v>
      </c>
      <c r="AK2470" s="23" t="n">
        <v>0.8</v>
      </c>
      <c r="AL2470" s="23" t="n">
        <v>0.3</v>
      </c>
      <c r="AM2470" s="16" t="n">
        <f aca="false">COUNTIFS($D$2:$D$2501,D2470,$G$2:$G$2501,"&gt;"&amp;G2470)+COUNTIFS($D$2:D2470,D2470,$G$2:G2470,G2470)</f>
        <v>74</v>
      </c>
      <c r="AN2470" s="5" t="str">
        <f aca="false">D2470&amp;"|"&amp;AM2470</f>
        <v>其他|74</v>
      </c>
    </row>
    <row r="2471" customFormat="false" ht="17.15" hidden="false" customHeight="false" outlineLevel="0" collapsed="false">
      <c r="A2471" s="16" t="n">
        <f aca="false">RANK(G2471,$G$2:$G$2501)+COUNTIF($G$2:G2471,G2471)-1</f>
        <v>2470</v>
      </c>
      <c r="B2471" s="11" t="s">
        <v>6121</v>
      </c>
      <c r="C2471" s="11" t="s">
        <v>6122</v>
      </c>
      <c r="D2471" s="5" t="s">
        <v>56</v>
      </c>
      <c r="E2471" s="5" t="s">
        <v>57</v>
      </c>
      <c r="F2471" s="5"/>
      <c r="G2471" s="22" t="n">
        <f aca="false">ROUND(SUM(I2471:P2471),3)</f>
        <v>35.75</v>
      </c>
      <c r="H2471" s="5" t="str">
        <f aca="false">IF(G2471&gt;=評分方法!$C$16,"優先評估",IF(G2471&gt;=評分方法!$C$17,"列入候選",IF(G2471&gt;=評分方法!$C$18,"特定情境","不建議")))</f>
        <v>不建議</v>
      </c>
      <c r="I2471" s="15" t="n">
        <f aca="false">AE2471*評分方法!$C$5</f>
        <v>10.8</v>
      </c>
      <c r="J2471" s="15" t="n">
        <f aca="false">AF2471*評分方法!$C$6</f>
        <v>0</v>
      </c>
      <c r="K2471" s="15" t="n">
        <f aca="false">AG2471*評分方法!$C$7</f>
        <v>4.95</v>
      </c>
      <c r="L2471" s="15" t="n">
        <f aca="false">AH2471*評分方法!$C$8</f>
        <v>15</v>
      </c>
      <c r="M2471" s="15" t="n">
        <f aca="false">AI2471*評分方法!$C$9</f>
        <v>2</v>
      </c>
      <c r="N2471" s="15" t="n">
        <f aca="false">AJ2471*評分方法!$C$10</f>
        <v>0.5</v>
      </c>
      <c r="O2471" s="15" t="n">
        <f aca="false">AK2471*評分方法!$C$11</f>
        <v>2.5</v>
      </c>
      <c r="P2471" s="15" t="n">
        <f aca="false">AL2471*評分方法!$C$12</f>
        <v>0</v>
      </c>
      <c r="Q2471" s="6" t="n">
        <v>132490</v>
      </c>
      <c r="R2471" s="6" t="n">
        <v>123889968</v>
      </c>
      <c r="S2471" s="11" t="s">
        <v>238</v>
      </c>
      <c r="T2471" s="5"/>
      <c r="U2471" s="5" t="s">
        <v>375</v>
      </c>
      <c r="V2471" s="11" t="s">
        <v>261</v>
      </c>
      <c r="W2471" s="5" t="s">
        <v>334</v>
      </c>
      <c r="X2471" s="5" t="s">
        <v>242</v>
      </c>
      <c r="Y2471" s="5"/>
      <c r="Z2471" s="5"/>
      <c r="AA2471" s="11" t="s">
        <v>160</v>
      </c>
      <c r="AB2471" s="5" t="s">
        <v>245</v>
      </c>
      <c r="AC2471" s="5" t="s">
        <v>4841</v>
      </c>
      <c r="AD2471" s="11" t="s">
        <v>6123</v>
      </c>
      <c r="AE2471" s="23" t="n">
        <v>0.36</v>
      </c>
      <c r="AF2471" s="23" t="n">
        <v>0</v>
      </c>
      <c r="AG2471" s="23" t="n">
        <v>0.33</v>
      </c>
      <c r="AH2471" s="23" t="n">
        <v>1</v>
      </c>
      <c r="AI2471" s="23" t="n">
        <v>0.2</v>
      </c>
      <c r="AJ2471" s="23" t="n">
        <v>0.05</v>
      </c>
      <c r="AK2471" s="23" t="n">
        <v>0.5</v>
      </c>
      <c r="AL2471" s="23" t="n">
        <v>0</v>
      </c>
      <c r="AM2471" s="16" t="n">
        <f aca="false">COUNTIFS($D$2:$D$2501,D2471,$G$2:$G$2501,"&gt;"&amp;G2471)+COUNTIFS($D$2:D2471,D2471,$G$2:G2471,G2471)</f>
        <v>981</v>
      </c>
      <c r="AN2471" s="5" t="str">
        <f aca="false">D2471&amp;"|"&amp;AM2471</f>
        <v>分析與報告生成|981</v>
      </c>
    </row>
    <row r="2472" customFormat="false" ht="17.15" hidden="false" customHeight="false" outlineLevel="0" collapsed="false">
      <c r="A2472" s="16" t="n">
        <f aca="false">RANK(G2472,$G$2:$G$2501)+COUNTIF($G$2:G2472,G2472)-1</f>
        <v>2471</v>
      </c>
      <c r="B2472" s="11" t="s">
        <v>6124</v>
      </c>
      <c r="C2472" s="11" t="s">
        <v>6125</v>
      </c>
      <c r="D2472" s="5" t="s">
        <v>80</v>
      </c>
      <c r="E2472" s="5" t="s">
        <v>81</v>
      </c>
      <c r="F2472" s="5"/>
      <c r="G2472" s="22" t="n">
        <f aca="false">ROUND(SUM(I2472:P2472),3)</f>
        <v>35.46</v>
      </c>
      <c r="H2472" s="5" t="str">
        <f aca="false">IF(G2472&gt;=評分方法!$C$16,"優先評估",IF(G2472&gt;=評分方法!$C$17,"列入候選",IF(G2472&gt;=評分方法!$C$18,"特定情境","不建議")))</f>
        <v>不建議</v>
      </c>
      <c r="I2472" s="15" t="n">
        <f aca="false">AE2472*評分方法!$C$5</f>
        <v>3</v>
      </c>
      <c r="J2472" s="15" t="n">
        <f aca="false">AF2472*評分方法!$C$6</f>
        <v>0</v>
      </c>
      <c r="K2472" s="15" t="n">
        <f aca="false">AG2472*評分方法!$C$7</f>
        <v>4.95</v>
      </c>
      <c r="L2472" s="15" t="n">
        <f aca="false">AH2472*評分方法!$C$8</f>
        <v>7.05</v>
      </c>
      <c r="M2472" s="15" t="n">
        <f aca="false">AI2472*評分方法!$C$9</f>
        <v>10</v>
      </c>
      <c r="N2472" s="15" t="n">
        <f aca="false">AJ2472*評分方法!$C$10</f>
        <v>3.96</v>
      </c>
      <c r="O2472" s="15" t="n">
        <f aca="false">AK2472*評分方法!$C$11</f>
        <v>5</v>
      </c>
      <c r="P2472" s="15" t="n">
        <f aca="false">AL2472*評分方法!$C$12</f>
        <v>1.5</v>
      </c>
      <c r="Q2472" s="6" t="n">
        <v>411687</v>
      </c>
      <c r="R2472" s="6"/>
      <c r="S2472" s="5" t="s">
        <v>255</v>
      </c>
      <c r="T2472" s="11" t="s">
        <v>239</v>
      </c>
      <c r="U2472" s="5" t="s">
        <v>240</v>
      </c>
      <c r="V2472" s="11" t="s">
        <v>261</v>
      </c>
      <c r="W2472" s="5" t="s">
        <v>334</v>
      </c>
      <c r="X2472" s="5" t="s">
        <v>255</v>
      </c>
      <c r="Y2472" s="5"/>
      <c r="Z2472" s="5"/>
      <c r="AA2472" s="11" t="s">
        <v>185</v>
      </c>
      <c r="AB2472" s="5" t="s">
        <v>245</v>
      </c>
      <c r="AC2472" s="5"/>
      <c r="AD2472" s="11" t="s">
        <v>6126</v>
      </c>
      <c r="AE2472" s="23" t="n">
        <v>0.1</v>
      </c>
      <c r="AF2472" s="23" t="n">
        <v>0</v>
      </c>
      <c r="AG2472" s="23" t="n">
        <v>0.33</v>
      </c>
      <c r="AH2472" s="23" t="n">
        <v>0.47</v>
      </c>
      <c r="AI2472" s="23" t="n">
        <v>1</v>
      </c>
      <c r="AJ2472" s="23" t="n">
        <v>0.396</v>
      </c>
      <c r="AK2472" s="23" t="n">
        <v>1</v>
      </c>
      <c r="AL2472" s="23" t="n">
        <v>0.3</v>
      </c>
      <c r="AM2472" s="16" t="n">
        <f aca="false">COUNTIFS($D$2:$D$2501,D2472,$G$2:$G$2501,"&gt;"&amp;G2472)+COUNTIFS($D$2:D2472,D2472,$G$2:G2472,G2472)</f>
        <v>75</v>
      </c>
      <c r="AN2472" s="5" t="str">
        <f aca="false">D2472&amp;"|"&amp;AM2472</f>
        <v>其他|75</v>
      </c>
    </row>
    <row r="2473" customFormat="false" ht="17.15" hidden="false" customHeight="false" outlineLevel="0" collapsed="false">
      <c r="A2473" s="16" t="n">
        <f aca="false">RANK(G2473,$G$2:$G$2501)+COUNTIF($G$2:G2473,G2473)-1</f>
        <v>2472</v>
      </c>
      <c r="B2473" s="11" t="s">
        <v>6127</v>
      </c>
      <c r="C2473" s="11" t="s">
        <v>1677</v>
      </c>
      <c r="D2473" s="5" t="s">
        <v>74</v>
      </c>
      <c r="E2473" s="5" t="s">
        <v>75</v>
      </c>
      <c r="F2473" s="5"/>
      <c r="G2473" s="22" t="n">
        <f aca="false">ROUND(SUM(I2473:P2473),3)</f>
        <v>35.176</v>
      </c>
      <c r="H2473" s="5" t="str">
        <f aca="false">IF(G2473&gt;=評分方法!$C$16,"優先評估",IF(G2473&gt;=評分方法!$C$17,"列入候選",IF(G2473&gt;=評分方法!$C$18,"特定情境","不建議")))</f>
        <v>不建議</v>
      </c>
      <c r="I2473" s="15" t="n">
        <f aca="false">AE2473*評分方法!$C$5</f>
        <v>4.5</v>
      </c>
      <c r="J2473" s="15" t="n">
        <f aca="false">AF2473*評分方法!$C$6</f>
        <v>0</v>
      </c>
      <c r="K2473" s="15" t="n">
        <f aca="false">AG2473*評分方法!$C$7</f>
        <v>10.05</v>
      </c>
      <c r="L2473" s="15" t="n">
        <f aca="false">AH2473*評分方法!$C$8</f>
        <v>7.05</v>
      </c>
      <c r="M2473" s="15" t="n">
        <f aca="false">AI2473*評分方法!$C$9</f>
        <v>2</v>
      </c>
      <c r="N2473" s="15" t="n">
        <f aca="false">AJ2473*評分方法!$C$10</f>
        <v>7.576</v>
      </c>
      <c r="O2473" s="15" t="n">
        <f aca="false">AK2473*評分方法!$C$11</f>
        <v>2.5</v>
      </c>
      <c r="P2473" s="15" t="n">
        <f aca="false">AL2473*評分方法!$C$12</f>
        <v>1.5</v>
      </c>
      <c r="Q2473" s="6" t="n">
        <v>1203697</v>
      </c>
      <c r="R2473" s="6"/>
      <c r="S2473" s="5" t="s">
        <v>255</v>
      </c>
      <c r="T2473" s="5"/>
      <c r="U2473" s="5" t="s">
        <v>375</v>
      </c>
      <c r="V2473" s="11" t="s">
        <v>514</v>
      </c>
      <c r="W2473" s="5" t="s">
        <v>207</v>
      </c>
      <c r="X2473" s="5" t="s">
        <v>255</v>
      </c>
      <c r="Y2473" s="11" t="s">
        <v>4979</v>
      </c>
      <c r="Z2473" s="11" t="s">
        <v>244</v>
      </c>
      <c r="AA2473" s="11" t="s">
        <v>183</v>
      </c>
      <c r="AB2473" s="5" t="s">
        <v>245</v>
      </c>
      <c r="AC2473" s="5" t="s">
        <v>464</v>
      </c>
      <c r="AD2473" s="11" t="s">
        <v>6128</v>
      </c>
      <c r="AE2473" s="23" t="n">
        <v>0.15</v>
      </c>
      <c r="AF2473" s="23" t="n">
        <v>0</v>
      </c>
      <c r="AG2473" s="23" t="n">
        <v>0.67</v>
      </c>
      <c r="AH2473" s="23" t="n">
        <v>0.47</v>
      </c>
      <c r="AI2473" s="23" t="n">
        <v>0.2</v>
      </c>
      <c r="AJ2473" s="23" t="n">
        <v>0.7576</v>
      </c>
      <c r="AK2473" s="23" t="n">
        <v>0.5</v>
      </c>
      <c r="AL2473" s="23" t="n">
        <v>0.3</v>
      </c>
      <c r="AM2473" s="16" t="n">
        <f aca="false">COUNTIFS($D$2:$D$2501,D2473,$G$2:$G$2501,"&gt;"&amp;G2473)+COUNTIFS($D$2:D2473,D2473,$G$2:G2473,G2473)</f>
        <v>350</v>
      </c>
      <c r="AN2473" s="5" t="str">
        <f aca="false">D2473&amp;"|"&amp;AM2473</f>
        <v>文件與影像辨識|350</v>
      </c>
    </row>
    <row r="2474" customFormat="false" ht="17.15" hidden="false" customHeight="false" outlineLevel="0" collapsed="false">
      <c r="A2474" s="16" t="n">
        <f aca="false">RANK(G2474,$G$2:$G$2501)+COUNTIF($G$2:G2474,G2474)-1</f>
        <v>2473</v>
      </c>
      <c r="B2474" s="11" t="s">
        <v>6129</v>
      </c>
      <c r="C2474" s="11" t="s">
        <v>6130</v>
      </c>
      <c r="D2474" s="5" t="s">
        <v>80</v>
      </c>
      <c r="E2474" s="5" t="s">
        <v>81</v>
      </c>
      <c r="F2474" s="5"/>
      <c r="G2474" s="22" t="n">
        <f aca="false">ROUND(SUM(I2474:P2474),3)</f>
        <v>35.074</v>
      </c>
      <c r="H2474" s="5" t="str">
        <f aca="false">IF(G2474&gt;=評分方法!$C$16,"優先評估",IF(G2474&gt;=評分方法!$C$17,"列入候選",IF(G2474&gt;=評分方法!$C$18,"特定情境","不建議")))</f>
        <v>不建議</v>
      </c>
      <c r="I2474" s="15" t="n">
        <f aca="false">AE2474*評分方法!$C$5</f>
        <v>6</v>
      </c>
      <c r="J2474" s="15" t="n">
        <f aca="false">AF2474*評分方法!$C$6</f>
        <v>0</v>
      </c>
      <c r="K2474" s="15" t="n">
        <f aca="false">AG2474*評分方法!$C$7</f>
        <v>4.95</v>
      </c>
      <c r="L2474" s="15" t="n">
        <f aca="false">AH2474*評分方法!$C$8</f>
        <v>15</v>
      </c>
      <c r="M2474" s="15" t="n">
        <f aca="false">AI2474*評分方法!$C$9</f>
        <v>2</v>
      </c>
      <c r="N2474" s="15" t="n">
        <f aca="false">AJ2474*評分方法!$C$10</f>
        <v>1.624</v>
      </c>
      <c r="O2474" s="15" t="n">
        <f aca="false">AK2474*評分方法!$C$11</f>
        <v>4</v>
      </c>
      <c r="P2474" s="15" t="n">
        <f aca="false">AL2474*評分方法!$C$12</f>
        <v>1.5</v>
      </c>
      <c r="Q2474" s="6" t="n">
        <v>185926</v>
      </c>
      <c r="R2474" s="6" t="n">
        <v>3958258</v>
      </c>
      <c r="S2474" s="11" t="s">
        <v>238</v>
      </c>
      <c r="T2474" s="5"/>
      <c r="U2474" s="5" t="s">
        <v>375</v>
      </c>
      <c r="V2474" s="11" t="s">
        <v>261</v>
      </c>
      <c r="W2474" s="5" t="s">
        <v>334</v>
      </c>
      <c r="X2474" s="5" t="s">
        <v>255</v>
      </c>
      <c r="Y2474" s="5"/>
      <c r="Z2474" s="5"/>
      <c r="AA2474" s="5"/>
      <c r="AB2474" s="5" t="s">
        <v>255</v>
      </c>
      <c r="AC2474" s="5" t="s">
        <v>262</v>
      </c>
      <c r="AD2474" s="11" t="s">
        <v>6131</v>
      </c>
      <c r="AE2474" s="23" t="n">
        <v>0.2</v>
      </c>
      <c r="AF2474" s="23" t="n">
        <v>0</v>
      </c>
      <c r="AG2474" s="23" t="n">
        <v>0.33</v>
      </c>
      <c r="AH2474" s="23" t="n">
        <v>1</v>
      </c>
      <c r="AI2474" s="23" t="n">
        <v>0.2</v>
      </c>
      <c r="AJ2474" s="23" t="n">
        <v>0.1624</v>
      </c>
      <c r="AK2474" s="23" t="n">
        <v>0.8</v>
      </c>
      <c r="AL2474" s="23" t="n">
        <v>0.3</v>
      </c>
      <c r="AM2474" s="16" t="n">
        <f aca="false">COUNTIFS($D$2:$D$2501,D2474,$G$2:$G$2501,"&gt;"&amp;G2474)+COUNTIFS($D$2:D2474,D2474,$G$2:G2474,G2474)</f>
        <v>76</v>
      </c>
      <c r="AN2474" s="5" t="str">
        <f aca="false">D2474&amp;"|"&amp;AM2474</f>
        <v>其他|76</v>
      </c>
    </row>
    <row r="2475" customFormat="false" ht="17.15" hidden="false" customHeight="false" outlineLevel="0" collapsed="false">
      <c r="A2475" s="16" t="n">
        <f aca="false">RANK(G2475,$G$2:$G$2501)+COUNTIF($G$2:G2475,G2475)-1</f>
        <v>2474</v>
      </c>
      <c r="B2475" s="11" t="s">
        <v>6132</v>
      </c>
      <c r="C2475" s="11" t="s">
        <v>6130</v>
      </c>
      <c r="D2475" s="5" t="s">
        <v>80</v>
      </c>
      <c r="E2475" s="5" t="s">
        <v>81</v>
      </c>
      <c r="F2475" s="5"/>
      <c r="G2475" s="22" t="n">
        <f aca="false">ROUND(SUM(I2475:P2475),3)</f>
        <v>35.058</v>
      </c>
      <c r="H2475" s="5" t="str">
        <f aca="false">IF(G2475&gt;=評分方法!$C$16,"優先評估",IF(G2475&gt;=評分方法!$C$17,"列入候選",IF(G2475&gt;=評分方法!$C$18,"特定情境","不建議")))</f>
        <v>不建議</v>
      </c>
      <c r="I2475" s="15" t="n">
        <f aca="false">AE2475*評分方法!$C$5</f>
        <v>6</v>
      </c>
      <c r="J2475" s="15" t="n">
        <f aca="false">AF2475*評分方法!$C$6</f>
        <v>0</v>
      </c>
      <c r="K2475" s="15" t="n">
        <f aca="false">AG2475*評分方法!$C$7</f>
        <v>4.95</v>
      </c>
      <c r="L2475" s="15" t="n">
        <f aca="false">AH2475*評分方法!$C$8</f>
        <v>15</v>
      </c>
      <c r="M2475" s="15" t="n">
        <f aca="false">AI2475*評分方法!$C$9</f>
        <v>2</v>
      </c>
      <c r="N2475" s="15" t="n">
        <f aca="false">AJ2475*評分方法!$C$10</f>
        <v>1.608</v>
      </c>
      <c r="O2475" s="15" t="n">
        <f aca="false">AK2475*評分方法!$C$11</f>
        <v>4</v>
      </c>
      <c r="P2475" s="15" t="n">
        <f aca="false">AL2475*評分方法!$C$12</f>
        <v>1.5</v>
      </c>
      <c r="Q2475" s="6" t="n">
        <v>185809</v>
      </c>
      <c r="R2475" s="6" t="n">
        <v>102311008</v>
      </c>
      <c r="S2475" s="11" t="s">
        <v>238</v>
      </c>
      <c r="T2475" s="5"/>
      <c r="U2475" s="5" t="s">
        <v>375</v>
      </c>
      <c r="V2475" s="11" t="s">
        <v>261</v>
      </c>
      <c r="W2475" s="5" t="s">
        <v>334</v>
      </c>
      <c r="X2475" s="5" t="s">
        <v>255</v>
      </c>
      <c r="Y2475" s="5"/>
      <c r="Z2475" s="5"/>
      <c r="AA2475" s="5"/>
      <c r="AB2475" s="5" t="s">
        <v>255</v>
      </c>
      <c r="AC2475" s="5" t="s">
        <v>262</v>
      </c>
      <c r="AD2475" s="11" t="s">
        <v>6133</v>
      </c>
      <c r="AE2475" s="23" t="n">
        <v>0.2</v>
      </c>
      <c r="AF2475" s="23" t="n">
        <v>0</v>
      </c>
      <c r="AG2475" s="23" t="n">
        <v>0.33</v>
      </c>
      <c r="AH2475" s="23" t="n">
        <v>1</v>
      </c>
      <c r="AI2475" s="23" t="n">
        <v>0.2</v>
      </c>
      <c r="AJ2475" s="23" t="n">
        <v>0.1608</v>
      </c>
      <c r="AK2475" s="23" t="n">
        <v>0.8</v>
      </c>
      <c r="AL2475" s="23" t="n">
        <v>0.3</v>
      </c>
      <c r="AM2475" s="16" t="n">
        <f aca="false">COUNTIFS($D$2:$D$2501,D2475,$G$2:$G$2501,"&gt;"&amp;G2475)+COUNTIFS($D$2:D2475,D2475,$G$2:G2475,G2475)</f>
        <v>77</v>
      </c>
      <c r="AN2475" s="5" t="str">
        <f aca="false">D2475&amp;"|"&amp;AM2475</f>
        <v>其他|77</v>
      </c>
    </row>
    <row r="2476" customFormat="false" ht="17.15" hidden="false" customHeight="false" outlineLevel="0" collapsed="false">
      <c r="A2476" s="16" t="n">
        <f aca="false">RANK(G2476,$G$2:$G$2501)+COUNTIF($G$2:G2476,G2476)-1</f>
        <v>2475</v>
      </c>
      <c r="B2476" s="11" t="s">
        <v>6134</v>
      </c>
      <c r="C2476" s="11" t="s">
        <v>6135</v>
      </c>
      <c r="D2476" s="5" t="s">
        <v>78</v>
      </c>
      <c r="E2476" s="5" t="s">
        <v>79</v>
      </c>
      <c r="F2476" s="5"/>
      <c r="G2476" s="22" t="n">
        <f aca="false">ROUND(SUM(I2476:P2476),3)</f>
        <v>34.704</v>
      </c>
      <c r="H2476" s="5" t="str">
        <f aca="false">IF(G2476&gt;=評分方法!$C$16,"優先評估",IF(G2476&gt;=評分方法!$C$17,"列入候選",IF(G2476&gt;=評分方法!$C$18,"特定情境","不建議")))</f>
        <v>不建議</v>
      </c>
      <c r="I2476" s="15" t="n">
        <f aca="false">AE2476*評分方法!$C$5</f>
        <v>2.7</v>
      </c>
      <c r="J2476" s="15" t="n">
        <f aca="false">AF2476*評分方法!$C$6</f>
        <v>0</v>
      </c>
      <c r="K2476" s="15" t="n">
        <f aca="false">AG2476*評分方法!$C$7</f>
        <v>4.95</v>
      </c>
      <c r="L2476" s="15" t="n">
        <f aca="false">AH2476*評分方法!$C$8</f>
        <v>7.05</v>
      </c>
      <c r="M2476" s="15" t="n">
        <f aca="false">AI2476*評分方法!$C$9</f>
        <v>10</v>
      </c>
      <c r="N2476" s="15" t="n">
        <f aca="false">AJ2476*評分方法!$C$10</f>
        <v>7.504</v>
      </c>
      <c r="O2476" s="15" t="n">
        <f aca="false">AK2476*評分方法!$C$11</f>
        <v>2.5</v>
      </c>
      <c r="P2476" s="15" t="n">
        <f aca="false">AL2476*評分方法!$C$12</f>
        <v>0</v>
      </c>
      <c r="Q2476" s="6" t="n">
        <v>1161142</v>
      </c>
      <c r="R2476" s="6"/>
      <c r="S2476" s="5" t="s">
        <v>255</v>
      </c>
      <c r="T2476" s="11" t="s">
        <v>239</v>
      </c>
      <c r="U2476" s="5" t="s">
        <v>240</v>
      </c>
      <c r="V2476" s="11" t="s">
        <v>514</v>
      </c>
      <c r="W2476" s="5" t="s">
        <v>334</v>
      </c>
      <c r="X2476" s="5" t="s">
        <v>242</v>
      </c>
      <c r="Y2476" s="11" t="s">
        <v>1359</v>
      </c>
      <c r="Z2476" s="11" t="s">
        <v>244</v>
      </c>
      <c r="AA2476" s="11" t="s">
        <v>182</v>
      </c>
      <c r="AB2476" s="5" t="s">
        <v>245</v>
      </c>
      <c r="AC2476" s="5" t="s">
        <v>4081</v>
      </c>
      <c r="AD2476" s="11" t="s">
        <v>6136</v>
      </c>
      <c r="AE2476" s="23" t="n">
        <v>0.09</v>
      </c>
      <c r="AF2476" s="23" t="n">
        <v>0</v>
      </c>
      <c r="AG2476" s="23" t="n">
        <v>0.33</v>
      </c>
      <c r="AH2476" s="23" t="n">
        <v>0.47</v>
      </c>
      <c r="AI2476" s="23" t="n">
        <v>1</v>
      </c>
      <c r="AJ2476" s="23" t="n">
        <v>0.7504</v>
      </c>
      <c r="AK2476" s="23" t="n">
        <v>0.5</v>
      </c>
      <c r="AL2476" s="23" t="n">
        <v>0</v>
      </c>
      <c r="AM2476" s="16" t="n">
        <f aca="false">COUNTIFS($D$2:$D$2501,D2476,$G$2:$G$2501,"&gt;"&amp;G2476)+COUNTIFS($D$2:D2476,D2476,$G$2:G2476,G2476)</f>
        <v>152</v>
      </c>
      <c r="AN2476" s="5" t="str">
        <f aca="false">D2476&amp;"|"&amp;AM2476</f>
        <v>語音分析|152</v>
      </c>
    </row>
    <row r="2477" customFormat="false" ht="17.15" hidden="false" customHeight="false" outlineLevel="0" collapsed="false">
      <c r="A2477" s="16" t="n">
        <f aca="false">RANK(G2477,$G$2:$G$2501)+COUNTIF($G$2:G2477,G2477)-1</f>
        <v>2476</v>
      </c>
      <c r="B2477" s="11" t="s">
        <v>6137</v>
      </c>
      <c r="C2477" s="11" t="s">
        <v>6138</v>
      </c>
      <c r="D2477" s="5" t="s">
        <v>80</v>
      </c>
      <c r="E2477" s="5" t="s">
        <v>81</v>
      </c>
      <c r="F2477" s="5"/>
      <c r="G2477" s="22" t="n">
        <f aca="false">ROUND(SUM(I2477:P2477),3)</f>
        <v>34.698</v>
      </c>
      <c r="H2477" s="5" t="str">
        <f aca="false">IF(G2477&gt;=評分方法!$C$16,"優先評估",IF(G2477&gt;=評分方法!$C$17,"列入候選",IF(G2477&gt;=評分方法!$C$18,"特定情境","不建議")))</f>
        <v>不建議</v>
      </c>
      <c r="I2477" s="15" t="n">
        <f aca="false">AE2477*評分方法!$C$5</f>
        <v>6</v>
      </c>
      <c r="J2477" s="15" t="n">
        <f aca="false">AF2477*評分方法!$C$6</f>
        <v>0</v>
      </c>
      <c r="K2477" s="15" t="n">
        <f aca="false">AG2477*評分方法!$C$7</f>
        <v>4.95</v>
      </c>
      <c r="L2477" s="15" t="n">
        <f aca="false">AH2477*評分方法!$C$8</f>
        <v>15</v>
      </c>
      <c r="M2477" s="15" t="n">
        <f aca="false">AI2477*評分方法!$C$9</f>
        <v>2</v>
      </c>
      <c r="N2477" s="15" t="n">
        <f aca="false">AJ2477*評分方法!$C$10</f>
        <v>2.748</v>
      </c>
      <c r="O2477" s="15" t="n">
        <f aca="false">AK2477*評分方法!$C$11</f>
        <v>2.5</v>
      </c>
      <c r="P2477" s="15" t="n">
        <f aca="false">AL2477*評分方法!$C$12</f>
        <v>1.5</v>
      </c>
      <c r="Q2477" s="6" t="n">
        <v>269930</v>
      </c>
      <c r="R2477" s="6" t="n">
        <v>878984192</v>
      </c>
      <c r="S2477" s="11" t="s">
        <v>238</v>
      </c>
      <c r="T2477" s="5"/>
      <c r="U2477" s="5" t="s">
        <v>375</v>
      </c>
      <c r="V2477" s="11" t="s">
        <v>261</v>
      </c>
      <c r="W2477" s="5" t="s">
        <v>334</v>
      </c>
      <c r="X2477" s="5" t="s">
        <v>255</v>
      </c>
      <c r="Y2477" s="5"/>
      <c r="Z2477" s="5"/>
      <c r="AA2477" s="5"/>
      <c r="AB2477" s="5" t="s">
        <v>255</v>
      </c>
      <c r="AC2477" s="5" t="s">
        <v>262</v>
      </c>
      <c r="AD2477" s="11" t="s">
        <v>6139</v>
      </c>
      <c r="AE2477" s="23" t="n">
        <v>0.2</v>
      </c>
      <c r="AF2477" s="23" t="n">
        <v>0</v>
      </c>
      <c r="AG2477" s="23" t="n">
        <v>0.33</v>
      </c>
      <c r="AH2477" s="23" t="n">
        <v>1</v>
      </c>
      <c r="AI2477" s="23" t="n">
        <v>0.2</v>
      </c>
      <c r="AJ2477" s="23" t="n">
        <v>0.2748</v>
      </c>
      <c r="AK2477" s="23" t="n">
        <v>0.5</v>
      </c>
      <c r="AL2477" s="23" t="n">
        <v>0.3</v>
      </c>
      <c r="AM2477" s="16" t="n">
        <f aca="false">COUNTIFS($D$2:$D$2501,D2477,$G$2:$G$2501,"&gt;"&amp;G2477)+COUNTIFS($D$2:D2477,D2477,$G$2:G2477,G2477)</f>
        <v>78</v>
      </c>
      <c r="AN2477" s="5" t="str">
        <f aca="false">D2477&amp;"|"&amp;AM2477</f>
        <v>其他|78</v>
      </c>
    </row>
    <row r="2478" customFormat="false" ht="17.15" hidden="false" customHeight="false" outlineLevel="0" collapsed="false">
      <c r="A2478" s="16" t="n">
        <f aca="false">RANK(G2478,$G$2:$G$2501)+COUNTIF($G$2:G2478,G2478)-1</f>
        <v>2477</v>
      </c>
      <c r="B2478" s="11" t="s">
        <v>6140</v>
      </c>
      <c r="C2478" s="11" t="s">
        <v>1325</v>
      </c>
      <c r="D2478" s="5" t="s">
        <v>78</v>
      </c>
      <c r="E2478" s="5" t="s">
        <v>79</v>
      </c>
      <c r="F2478" s="5"/>
      <c r="G2478" s="22" t="n">
        <f aca="false">ROUND(SUM(I2478:P2478),3)</f>
        <v>34.668</v>
      </c>
      <c r="H2478" s="5" t="str">
        <f aca="false">IF(G2478&gt;=評分方法!$C$16,"優先評估",IF(G2478&gt;=評分方法!$C$17,"列入候選",IF(G2478&gt;=評分方法!$C$18,"特定情境","不建議")))</f>
        <v>不建議</v>
      </c>
      <c r="I2478" s="15" t="n">
        <f aca="false">AE2478*評分方法!$C$5</f>
        <v>9</v>
      </c>
      <c r="J2478" s="15" t="n">
        <f aca="false">AF2478*評分方法!$C$6</f>
        <v>0</v>
      </c>
      <c r="K2478" s="15" t="n">
        <f aca="false">AG2478*評分方法!$C$7</f>
        <v>10.05</v>
      </c>
      <c r="L2478" s="15" t="n">
        <f aca="false">AH2478*評分方法!$C$8</f>
        <v>7.05</v>
      </c>
      <c r="M2478" s="15" t="n">
        <f aca="false">AI2478*評分方法!$C$9</f>
        <v>2</v>
      </c>
      <c r="N2478" s="15" t="n">
        <f aca="false">AJ2478*評分方法!$C$10</f>
        <v>4.068</v>
      </c>
      <c r="O2478" s="15" t="n">
        <f aca="false">AK2478*評分方法!$C$11</f>
        <v>1</v>
      </c>
      <c r="P2478" s="15" t="n">
        <f aca="false">AL2478*評分方法!$C$12</f>
        <v>1.5</v>
      </c>
      <c r="Q2478" s="6" t="n">
        <v>428140</v>
      </c>
      <c r="R2478" s="6"/>
      <c r="S2478" s="5" t="s">
        <v>255</v>
      </c>
      <c r="T2478" s="5"/>
      <c r="U2478" s="5" t="s">
        <v>375</v>
      </c>
      <c r="V2478" s="11" t="s">
        <v>514</v>
      </c>
      <c r="W2478" s="5" t="s">
        <v>207</v>
      </c>
      <c r="X2478" s="5" t="s">
        <v>255</v>
      </c>
      <c r="Y2478" s="11" t="s">
        <v>4185</v>
      </c>
      <c r="Z2478" s="11" t="s">
        <v>244</v>
      </c>
      <c r="AA2478" s="11" t="s">
        <v>175</v>
      </c>
      <c r="AB2478" s="5" t="s">
        <v>245</v>
      </c>
      <c r="AC2478" s="5" t="s">
        <v>464</v>
      </c>
      <c r="AD2478" s="11" t="s">
        <v>6141</v>
      </c>
      <c r="AE2478" s="23" t="n">
        <v>0.3</v>
      </c>
      <c r="AF2478" s="23" t="n">
        <v>0</v>
      </c>
      <c r="AG2478" s="23" t="n">
        <v>0.67</v>
      </c>
      <c r="AH2478" s="23" t="n">
        <v>0.47</v>
      </c>
      <c r="AI2478" s="23" t="n">
        <v>0.2</v>
      </c>
      <c r="AJ2478" s="23" t="n">
        <v>0.4068</v>
      </c>
      <c r="AK2478" s="23" t="n">
        <v>0.2</v>
      </c>
      <c r="AL2478" s="23" t="n">
        <v>0.3</v>
      </c>
      <c r="AM2478" s="16" t="n">
        <f aca="false">COUNTIFS($D$2:$D$2501,D2478,$G$2:$G$2501,"&gt;"&amp;G2478)+COUNTIFS($D$2:D2478,D2478,$G$2:G2478,G2478)</f>
        <v>153</v>
      </c>
      <c r="AN2478" s="5" t="str">
        <f aca="false">D2478&amp;"|"&amp;AM2478</f>
        <v>語音分析|153</v>
      </c>
    </row>
    <row r="2479" customFormat="false" ht="17.15" hidden="false" customHeight="false" outlineLevel="0" collapsed="false">
      <c r="A2479" s="16" t="n">
        <f aca="false">RANK(G2479,$G$2:$G$2501)+COUNTIF($G$2:G2479,G2479)-1</f>
        <v>2478</v>
      </c>
      <c r="B2479" s="11" t="s">
        <v>6142</v>
      </c>
      <c r="C2479" s="11" t="s">
        <v>6143</v>
      </c>
      <c r="D2479" s="5" t="s">
        <v>80</v>
      </c>
      <c r="E2479" s="5" t="s">
        <v>81</v>
      </c>
      <c r="F2479" s="5"/>
      <c r="G2479" s="22" t="n">
        <f aca="false">ROUND(SUM(I2479:P2479),3)</f>
        <v>34.556</v>
      </c>
      <c r="H2479" s="5" t="str">
        <f aca="false">IF(G2479&gt;=評分方法!$C$16,"優先評估",IF(G2479&gt;=評分方法!$C$17,"列入候選",IF(G2479&gt;=評分方法!$C$18,"特定情境","不建議")))</f>
        <v>不建議</v>
      </c>
      <c r="I2479" s="15" t="n">
        <f aca="false">AE2479*評分方法!$C$5</f>
        <v>6</v>
      </c>
      <c r="J2479" s="15" t="n">
        <f aca="false">AF2479*評分方法!$C$6</f>
        <v>0</v>
      </c>
      <c r="K2479" s="15" t="n">
        <f aca="false">AG2479*評分方法!$C$7</f>
        <v>4.95</v>
      </c>
      <c r="L2479" s="15" t="n">
        <f aca="false">AH2479*評分方法!$C$8</f>
        <v>7.05</v>
      </c>
      <c r="M2479" s="15" t="n">
        <f aca="false">AI2479*評分方法!$C$9</f>
        <v>10</v>
      </c>
      <c r="N2479" s="15" t="n">
        <f aca="false">AJ2479*評分方法!$C$10</f>
        <v>4.056</v>
      </c>
      <c r="O2479" s="15" t="n">
        <f aca="false">AK2479*評分方法!$C$11</f>
        <v>2.5</v>
      </c>
      <c r="P2479" s="15" t="n">
        <f aca="false">AL2479*評分方法!$C$12</f>
        <v>0</v>
      </c>
      <c r="Q2479" s="6" t="n">
        <v>425424</v>
      </c>
      <c r="R2479" s="6"/>
      <c r="S2479" s="5" t="s">
        <v>255</v>
      </c>
      <c r="T2479" s="11" t="s">
        <v>278</v>
      </c>
      <c r="U2479" s="5" t="s">
        <v>240</v>
      </c>
      <c r="V2479" s="11" t="s">
        <v>261</v>
      </c>
      <c r="W2479" s="5" t="s">
        <v>334</v>
      </c>
      <c r="X2479" s="5" t="s">
        <v>242</v>
      </c>
      <c r="Y2479" s="5"/>
      <c r="Z2479" s="5"/>
      <c r="AA2479" s="5"/>
      <c r="AB2479" s="5" t="s">
        <v>255</v>
      </c>
      <c r="AC2479" s="5"/>
      <c r="AD2479" s="11" t="s">
        <v>6144</v>
      </c>
      <c r="AE2479" s="23" t="n">
        <v>0.2</v>
      </c>
      <c r="AF2479" s="23" t="n">
        <v>0</v>
      </c>
      <c r="AG2479" s="23" t="n">
        <v>0.33</v>
      </c>
      <c r="AH2479" s="23" t="n">
        <v>0.47</v>
      </c>
      <c r="AI2479" s="23" t="n">
        <v>1</v>
      </c>
      <c r="AJ2479" s="23" t="n">
        <v>0.4056</v>
      </c>
      <c r="AK2479" s="23" t="n">
        <v>0.5</v>
      </c>
      <c r="AL2479" s="23" t="n">
        <v>0</v>
      </c>
      <c r="AM2479" s="16" t="n">
        <f aca="false">COUNTIFS($D$2:$D$2501,D2479,$G$2:$G$2501,"&gt;"&amp;G2479)+COUNTIFS($D$2:D2479,D2479,$G$2:G2479,G2479)</f>
        <v>79</v>
      </c>
      <c r="AN2479" s="5" t="str">
        <f aca="false">D2479&amp;"|"&amp;AM2479</f>
        <v>其他|79</v>
      </c>
    </row>
    <row r="2480" customFormat="false" ht="17.15" hidden="false" customHeight="false" outlineLevel="0" collapsed="false">
      <c r="A2480" s="16" t="n">
        <f aca="false">RANK(G2480,$G$2:$G$2501)+COUNTIF($G$2:G2480,G2480)-1</f>
        <v>2479</v>
      </c>
      <c r="B2480" s="11" t="s">
        <v>6145</v>
      </c>
      <c r="C2480" s="11" t="s">
        <v>6146</v>
      </c>
      <c r="D2480" s="5" t="s">
        <v>80</v>
      </c>
      <c r="E2480" s="5" t="s">
        <v>81</v>
      </c>
      <c r="F2480" s="5"/>
      <c r="G2480" s="22" t="n">
        <f aca="false">ROUND(SUM(I2480:P2480),3)</f>
        <v>34.5</v>
      </c>
      <c r="H2480" s="5" t="str">
        <f aca="false">IF(G2480&gt;=評分方法!$C$16,"優先評估",IF(G2480&gt;=評分方法!$C$17,"列入候選",IF(G2480&gt;=評分方法!$C$18,"特定情境","不建議")))</f>
        <v>不建議</v>
      </c>
      <c r="I2480" s="15" t="n">
        <f aca="false">AE2480*評分方法!$C$5</f>
        <v>6</v>
      </c>
      <c r="J2480" s="15" t="n">
        <f aca="false">AF2480*評分方法!$C$6</f>
        <v>0</v>
      </c>
      <c r="K2480" s="15" t="n">
        <f aca="false">AG2480*評分方法!$C$7</f>
        <v>4.95</v>
      </c>
      <c r="L2480" s="15" t="n">
        <f aca="false">AH2480*評分方法!$C$8</f>
        <v>13.05</v>
      </c>
      <c r="M2480" s="15" t="n">
        <f aca="false">AI2480*評分方法!$C$9</f>
        <v>2</v>
      </c>
      <c r="N2480" s="15" t="n">
        <f aca="false">AJ2480*評分方法!$C$10</f>
        <v>4.5</v>
      </c>
      <c r="O2480" s="15" t="n">
        <f aca="false">AK2480*評分方法!$C$11</f>
        <v>2.5</v>
      </c>
      <c r="P2480" s="15" t="n">
        <f aca="false">AL2480*評分方法!$C$12</f>
        <v>1.5</v>
      </c>
      <c r="Q2480" s="6" t="n">
        <v>491322</v>
      </c>
      <c r="R2480" s="6" t="n">
        <v>1611160576</v>
      </c>
      <c r="S2480" s="11" t="s">
        <v>254</v>
      </c>
      <c r="T2480" s="5"/>
      <c r="U2480" s="5" t="s">
        <v>375</v>
      </c>
      <c r="V2480" s="11" t="s">
        <v>261</v>
      </c>
      <c r="W2480" s="5" t="s">
        <v>334</v>
      </c>
      <c r="X2480" s="5" t="s">
        <v>255</v>
      </c>
      <c r="Y2480" s="5"/>
      <c r="Z2480" s="5"/>
      <c r="AA2480" s="5"/>
      <c r="AB2480" s="5" t="s">
        <v>255</v>
      </c>
      <c r="AC2480" s="5" t="s">
        <v>262</v>
      </c>
      <c r="AD2480" s="11" t="s">
        <v>6147</v>
      </c>
      <c r="AE2480" s="23" t="n">
        <v>0.2</v>
      </c>
      <c r="AF2480" s="23" t="n">
        <v>0</v>
      </c>
      <c r="AG2480" s="23" t="n">
        <v>0.33</v>
      </c>
      <c r="AH2480" s="23" t="n">
        <v>0.87</v>
      </c>
      <c r="AI2480" s="23" t="n">
        <v>0.2</v>
      </c>
      <c r="AJ2480" s="23" t="n">
        <v>0.45</v>
      </c>
      <c r="AK2480" s="23" t="n">
        <v>0.5</v>
      </c>
      <c r="AL2480" s="23" t="n">
        <v>0.3</v>
      </c>
      <c r="AM2480" s="16" t="n">
        <f aca="false">COUNTIFS($D$2:$D$2501,D2480,$G$2:$G$2501,"&gt;"&amp;G2480)+COUNTIFS($D$2:D2480,D2480,$G$2:G2480,G2480)</f>
        <v>80</v>
      </c>
      <c r="AN2480" s="5" t="str">
        <f aca="false">D2480&amp;"|"&amp;AM2480</f>
        <v>其他|80</v>
      </c>
    </row>
    <row r="2481" customFormat="false" ht="17.15" hidden="false" customHeight="false" outlineLevel="0" collapsed="false">
      <c r="A2481" s="16" t="n">
        <f aca="false">RANK(G2481,$G$2:$G$2501)+COUNTIF($G$2:G2481,G2481)-1</f>
        <v>2480</v>
      </c>
      <c r="B2481" s="11" t="s">
        <v>6148</v>
      </c>
      <c r="C2481" s="11" t="s">
        <v>1325</v>
      </c>
      <c r="D2481" s="5" t="s">
        <v>78</v>
      </c>
      <c r="E2481" s="5" t="s">
        <v>79</v>
      </c>
      <c r="F2481" s="5"/>
      <c r="G2481" s="22" t="n">
        <f aca="false">ROUND(SUM(I2481:P2481),3)</f>
        <v>34.488</v>
      </c>
      <c r="H2481" s="5" t="str">
        <f aca="false">IF(G2481&gt;=評分方法!$C$16,"優先評估",IF(G2481&gt;=評分方法!$C$17,"列入候選",IF(G2481&gt;=評分方法!$C$18,"特定情境","不建議")))</f>
        <v>不建議</v>
      </c>
      <c r="I2481" s="15" t="n">
        <f aca="false">AE2481*評分方法!$C$5</f>
        <v>9</v>
      </c>
      <c r="J2481" s="15" t="n">
        <f aca="false">AF2481*評分方法!$C$6</f>
        <v>0</v>
      </c>
      <c r="K2481" s="15" t="n">
        <f aca="false">AG2481*評分方法!$C$7</f>
        <v>10.05</v>
      </c>
      <c r="L2481" s="15" t="n">
        <f aca="false">AH2481*評分方法!$C$8</f>
        <v>7.05</v>
      </c>
      <c r="M2481" s="15" t="n">
        <f aca="false">AI2481*評分方法!$C$9</f>
        <v>2</v>
      </c>
      <c r="N2481" s="15" t="n">
        <f aca="false">AJ2481*評分方法!$C$10</f>
        <v>2.388</v>
      </c>
      <c r="O2481" s="15" t="n">
        <f aca="false">AK2481*評分方法!$C$11</f>
        <v>2.5</v>
      </c>
      <c r="P2481" s="15" t="n">
        <f aca="false">AL2481*評分方法!$C$12</f>
        <v>1.5</v>
      </c>
      <c r="Q2481" s="6" t="n">
        <v>240548</v>
      </c>
      <c r="R2481" s="6"/>
      <c r="S2481" s="5" t="s">
        <v>255</v>
      </c>
      <c r="T2481" s="5"/>
      <c r="U2481" s="5" t="s">
        <v>375</v>
      </c>
      <c r="V2481" s="11" t="s">
        <v>514</v>
      </c>
      <c r="W2481" s="5" t="s">
        <v>207</v>
      </c>
      <c r="X2481" s="5" t="s">
        <v>255</v>
      </c>
      <c r="Y2481" s="11" t="s">
        <v>2684</v>
      </c>
      <c r="Z2481" s="11" t="s">
        <v>244</v>
      </c>
      <c r="AA2481" s="11" t="s">
        <v>175</v>
      </c>
      <c r="AB2481" s="5" t="s">
        <v>245</v>
      </c>
      <c r="AC2481" s="5" t="s">
        <v>464</v>
      </c>
      <c r="AD2481" s="11" t="s">
        <v>6149</v>
      </c>
      <c r="AE2481" s="23" t="n">
        <v>0.3</v>
      </c>
      <c r="AF2481" s="23" t="n">
        <v>0</v>
      </c>
      <c r="AG2481" s="23" t="n">
        <v>0.67</v>
      </c>
      <c r="AH2481" s="23" t="n">
        <v>0.47</v>
      </c>
      <c r="AI2481" s="23" t="n">
        <v>0.2</v>
      </c>
      <c r="AJ2481" s="23" t="n">
        <v>0.2388</v>
      </c>
      <c r="AK2481" s="23" t="n">
        <v>0.5</v>
      </c>
      <c r="AL2481" s="23" t="n">
        <v>0.3</v>
      </c>
      <c r="AM2481" s="16" t="n">
        <f aca="false">COUNTIFS($D$2:$D$2501,D2481,$G$2:$G$2501,"&gt;"&amp;G2481)+COUNTIFS($D$2:D2481,D2481,$G$2:G2481,G2481)</f>
        <v>154</v>
      </c>
      <c r="AN2481" s="5" t="str">
        <f aca="false">D2481&amp;"|"&amp;AM2481</f>
        <v>語音分析|154</v>
      </c>
    </row>
    <row r="2482" customFormat="false" ht="17.15" hidden="false" customHeight="false" outlineLevel="0" collapsed="false">
      <c r="A2482" s="16" t="n">
        <f aca="false">RANK(G2482,$G$2:$G$2501)+COUNTIF($G$2:G2482,G2482)-1</f>
        <v>2481</v>
      </c>
      <c r="B2482" s="11" t="s">
        <v>6150</v>
      </c>
      <c r="C2482" s="11" t="s">
        <v>5858</v>
      </c>
      <c r="D2482" s="5" t="s">
        <v>80</v>
      </c>
      <c r="E2482" s="5" t="s">
        <v>81</v>
      </c>
      <c r="F2482" s="5"/>
      <c r="G2482" s="22" t="n">
        <f aca="false">ROUND(SUM(I2482:P2482),3)</f>
        <v>34.194</v>
      </c>
      <c r="H2482" s="5" t="str">
        <f aca="false">IF(G2482&gt;=評分方法!$C$16,"優先評估",IF(G2482&gt;=評分方法!$C$17,"列入候選",IF(G2482&gt;=評分方法!$C$18,"特定情境","不建議")))</f>
        <v>不建議</v>
      </c>
      <c r="I2482" s="15" t="n">
        <f aca="false">AE2482*評分方法!$C$5</f>
        <v>6</v>
      </c>
      <c r="J2482" s="15" t="n">
        <f aca="false">AF2482*評分方法!$C$6</f>
        <v>0</v>
      </c>
      <c r="K2482" s="15" t="n">
        <f aca="false">AG2482*評分方法!$C$7</f>
        <v>4.95</v>
      </c>
      <c r="L2482" s="15" t="n">
        <f aca="false">AH2482*評分方法!$C$8</f>
        <v>15</v>
      </c>
      <c r="M2482" s="15" t="n">
        <f aca="false">AI2482*評分方法!$C$9</f>
        <v>2</v>
      </c>
      <c r="N2482" s="15" t="n">
        <f aca="false">AJ2482*評分方法!$C$10</f>
        <v>2.244</v>
      </c>
      <c r="O2482" s="15" t="n">
        <f aca="false">AK2482*評分方法!$C$11</f>
        <v>2.5</v>
      </c>
      <c r="P2482" s="15" t="n">
        <f aca="false">AL2482*評分方法!$C$12</f>
        <v>1.5</v>
      </c>
      <c r="Q2482" s="6" t="n">
        <v>228860</v>
      </c>
      <c r="R2482" s="6" t="n">
        <v>358826124</v>
      </c>
      <c r="S2482" s="11" t="s">
        <v>238</v>
      </c>
      <c r="T2482" s="5"/>
      <c r="U2482" s="5" t="s">
        <v>375</v>
      </c>
      <c r="V2482" s="11" t="s">
        <v>324</v>
      </c>
      <c r="W2482" s="5" t="s">
        <v>334</v>
      </c>
      <c r="X2482" s="5" t="s">
        <v>255</v>
      </c>
      <c r="Y2482" s="5"/>
      <c r="Z2482" s="5"/>
      <c r="AA2482" s="5"/>
      <c r="AB2482" s="5" t="s">
        <v>255</v>
      </c>
      <c r="AC2482" s="5" t="s">
        <v>262</v>
      </c>
      <c r="AD2482" s="11" t="s">
        <v>6151</v>
      </c>
      <c r="AE2482" s="23" t="n">
        <v>0.2</v>
      </c>
      <c r="AF2482" s="23" t="n">
        <v>0</v>
      </c>
      <c r="AG2482" s="23" t="n">
        <v>0.33</v>
      </c>
      <c r="AH2482" s="23" t="n">
        <v>1</v>
      </c>
      <c r="AI2482" s="23" t="n">
        <v>0.2</v>
      </c>
      <c r="AJ2482" s="23" t="n">
        <v>0.2244</v>
      </c>
      <c r="AK2482" s="23" t="n">
        <v>0.5</v>
      </c>
      <c r="AL2482" s="23" t="n">
        <v>0.3</v>
      </c>
      <c r="AM2482" s="16" t="n">
        <f aca="false">COUNTIFS($D$2:$D$2501,D2482,$G$2:$G$2501,"&gt;"&amp;G2482)+COUNTIFS($D$2:D2482,D2482,$G$2:G2482,G2482)</f>
        <v>81</v>
      </c>
      <c r="AN2482" s="5" t="str">
        <f aca="false">D2482&amp;"|"&amp;AM2482</f>
        <v>其他|81</v>
      </c>
    </row>
    <row r="2483" customFormat="false" ht="17.15" hidden="false" customHeight="false" outlineLevel="0" collapsed="false">
      <c r="A2483" s="16" t="n">
        <f aca="false">RANK(G2483,$G$2:$G$2501)+COUNTIF($G$2:G2483,G2483)-1</f>
        <v>2482</v>
      </c>
      <c r="B2483" s="11" t="s">
        <v>6152</v>
      </c>
      <c r="C2483" s="11" t="s">
        <v>6153</v>
      </c>
      <c r="D2483" s="5" t="s">
        <v>72</v>
      </c>
      <c r="E2483" s="5" t="s">
        <v>73</v>
      </c>
      <c r="F2483" s="5"/>
      <c r="G2483" s="22" t="n">
        <f aca="false">ROUND(SUM(I2483:P2483),3)</f>
        <v>34.154</v>
      </c>
      <c r="H2483" s="5" t="str">
        <f aca="false">IF(G2483&gt;=評分方法!$C$16,"優先評估",IF(G2483&gt;=評分方法!$C$17,"列入候選",IF(G2483&gt;=評分方法!$C$18,"特定情境","不建議")))</f>
        <v>不建議</v>
      </c>
      <c r="I2483" s="15" t="n">
        <f aca="false">AE2483*評分方法!$C$5</f>
        <v>9</v>
      </c>
      <c r="J2483" s="15" t="n">
        <f aca="false">AF2483*評分方法!$C$6</f>
        <v>0</v>
      </c>
      <c r="K2483" s="15" t="n">
        <f aca="false">AG2483*評分方法!$C$7</f>
        <v>4.95</v>
      </c>
      <c r="L2483" s="15" t="n">
        <f aca="false">AH2483*評分方法!$C$8</f>
        <v>15</v>
      </c>
      <c r="M2483" s="15" t="n">
        <f aca="false">AI2483*評分方法!$C$9</f>
        <v>2</v>
      </c>
      <c r="N2483" s="15" t="n">
        <f aca="false">AJ2483*評分方法!$C$10</f>
        <v>0.704</v>
      </c>
      <c r="O2483" s="15" t="n">
        <f aca="false">AK2483*評分方法!$C$11</f>
        <v>2.5</v>
      </c>
      <c r="P2483" s="15" t="n">
        <f aca="false">AL2483*評分方法!$C$12</f>
        <v>0</v>
      </c>
      <c r="Q2483" s="6" t="n">
        <v>142443</v>
      </c>
      <c r="R2483" s="6" t="n">
        <v>125333397</v>
      </c>
      <c r="S2483" s="11" t="s">
        <v>238</v>
      </c>
      <c r="T2483" s="5"/>
      <c r="U2483" s="5" t="s">
        <v>375</v>
      </c>
      <c r="V2483" s="11" t="s">
        <v>279</v>
      </c>
      <c r="W2483" s="5" t="s">
        <v>334</v>
      </c>
      <c r="X2483" s="5" t="s">
        <v>242</v>
      </c>
      <c r="Y2483" s="5"/>
      <c r="Z2483" s="5"/>
      <c r="AA2483" s="11" t="s">
        <v>162</v>
      </c>
      <c r="AB2483" s="5" t="s">
        <v>245</v>
      </c>
      <c r="AC2483" s="5" t="s">
        <v>4841</v>
      </c>
      <c r="AD2483" s="11" t="s">
        <v>6154</v>
      </c>
      <c r="AE2483" s="23" t="n">
        <v>0.3</v>
      </c>
      <c r="AF2483" s="23" t="n">
        <v>0</v>
      </c>
      <c r="AG2483" s="23" t="n">
        <v>0.33</v>
      </c>
      <c r="AH2483" s="23" t="n">
        <v>1</v>
      </c>
      <c r="AI2483" s="23" t="n">
        <v>0.2</v>
      </c>
      <c r="AJ2483" s="23" t="n">
        <v>0.0704</v>
      </c>
      <c r="AK2483" s="23" t="n">
        <v>0.5</v>
      </c>
      <c r="AL2483" s="23" t="n">
        <v>0</v>
      </c>
      <c r="AM2483" s="16" t="n">
        <f aca="false">COUNTIFS($D$2:$D$2501,D2483,$G$2:$G$2501,"&gt;"&amp;G2483)+COUNTIFS($D$2:D2483,D2483,$G$2:G2483,G2483)</f>
        <v>70</v>
      </c>
      <c r="AN2483" s="5" t="str">
        <f aca="false">D2483&amp;"|"&amp;AM2483</f>
        <v>微調基底模型|70</v>
      </c>
    </row>
    <row r="2484" customFormat="false" ht="17.15" hidden="false" customHeight="false" outlineLevel="0" collapsed="false">
      <c r="A2484" s="16" t="n">
        <f aca="false">RANK(G2484,$G$2:$G$2501)+COUNTIF($G$2:G2484,G2484)-1</f>
        <v>2483</v>
      </c>
      <c r="B2484" s="11" t="s">
        <v>6155</v>
      </c>
      <c r="C2484" s="11" t="s">
        <v>6156</v>
      </c>
      <c r="D2484" s="5" t="s">
        <v>80</v>
      </c>
      <c r="E2484" s="5" t="s">
        <v>81</v>
      </c>
      <c r="F2484" s="5"/>
      <c r="G2484" s="22" t="n">
        <f aca="false">ROUND(SUM(I2484:P2484),3)</f>
        <v>34.15</v>
      </c>
      <c r="H2484" s="5" t="str">
        <f aca="false">IF(G2484&gt;=評分方法!$C$16,"優先評估",IF(G2484&gt;=評分方法!$C$17,"列入候選",IF(G2484&gt;=評分方法!$C$18,"特定情境","不建議")))</f>
        <v>不建議</v>
      </c>
      <c r="I2484" s="15" t="n">
        <f aca="false">AE2484*評分方法!$C$5</f>
        <v>6</v>
      </c>
      <c r="J2484" s="15" t="n">
        <f aca="false">AF2484*評分方法!$C$6</f>
        <v>0</v>
      </c>
      <c r="K2484" s="15" t="n">
        <f aca="false">AG2484*評分方法!$C$7</f>
        <v>4.95</v>
      </c>
      <c r="L2484" s="15" t="n">
        <f aca="false">AH2484*評分方法!$C$8</f>
        <v>15</v>
      </c>
      <c r="M2484" s="15" t="n">
        <f aca="false">AI2484*評分方法!$C$9</f>
        <v>2</v>
      </c>
      <c r="N2484" s="15" t="n">
        <f aca="false">AJ2484*評分方法!$C$10</f>
        <v>2.2</v>
      </c>
      <c r="O2484" s="15" t="n">
        <f aca="false">AK2484*評分方法!$C$11</f>
        <v>2.5</v>
      </c>
      <c r="P2484" s="15" t="n">
        <f aca="false">AL2484*評分方法!$C$12</f>
        <v>1.5</v>
      </c>
      <c r="Q2484" s="6" t="n">
        <v>224777</v>
      </c>
      <c r="R2484" s="6" t="n">
        <v>312250275</v>
      </c>
      <c r="S2484" s="11" t="s">
        <v>238</v>
      </c>
      <c r="T2484" s="5"/>
      <c r="U2484" s="5" t="s">
        <v>375</v>
      </c>
      <c r="V2484" s="11" t="s">
        <v>261</v>
      </c>
      <c r="W2484" s="5" t="s">
        <v>334</v>
      </c>
      <c r="X2484" s="5" t="s">
        <v>255</v>
      </c>
      <c r="Y2484" s="5"/>
      <c r="Z2484" s="5"/>
      <c r="AA2484" s="5"/>
      <c r="AB2484" s="5" t="s">
        <v>255</v>
      </c>
      <c r="AC2484" s="5" t="s">
        <v>262</v>
      </c>
      <c r="AD2484" s="11" t="s">
        <v>6157</v>
      </c>
      <c r="AE2484" s="23" t="n">
        <v>0.2</v>
      </c>
      <c r="AF2484" s="23" t="n">
        <v>0</v>
      </c>
      <c r="AG2484" s="23" t="n">
        <v>0.33</v>
      </c>
      <c r="AH2484" s="23" t="n">
        <v>1</v>
      </c>
      <c r="AI2484" s="23" t="n">
        <v>0.2</v>
      </c>
      <c r="AJ2484" s="23" t="n">
        <v>0.22</v>
      </c>
      <c r="AK2484" s="23" t="n">
        <v>0.5</v>
      </c>
      <c r="AL2484" s="23" t="n">
        <v>0.3</v>
      </c>
      <c r="AM2484" s="16" t="n">
        <f aca="false">COUNTIFS($D$2:$D$2501,D2484,$G$2:$G$2501,"&gt;"&amp;G2484)+COUNTIFS($D$2:D2484,D2484,$G$2:G2484,G2484)</f>
        <v>82</v>
      </c>
      <c r="AN2484" s="5" t="str">
        <f aca="false">D2484&amp;"|"&amp;AM2484</f>
        <v>其他|82</v>
      </c>
    </row>
    <row r="2485" customFormat="false" ht="17.15" hidden="false" customHeight="false" outlineLevel="0" collapsed="false">
      <c r="A2485" s="16" t="n">
        <f aca="false">RANK(G2485,$G$2:$G$2501)+COUNTIF($G$2:G2485,G2485)-1</f>
        <v>2484</v>
      </c>
      <c r="B2485" s="11" t="s">
        <v>6158</v>
      </c>
      <c r="C2485" s="11" t="s">
        <v>3108</v>
      </c>
      <c r="D2485" s="5" t="s">
        <v>80</v>
      </c>
      <c r="E2485" s="5" t="s">
        <v>81</v>
      </c>
      <c r="F2485" s="5"/>
      <c r="G2485" s="22" t="n">
        <f aca="false">ROUND(SUM(I2485:P2485),3)</f>
        <v>34.07</v>
      </c>
      <c r="H2485" s="5" t="str">
        <f aca="false">IF(G2485&gt;=評分方法!$C$16,"優先評估",IF(G2485&gt;=評分方法!$C$17,"列入候選",IF(G2485&gt;=評分方法!$C$18,"特定情境","不建議")))</f>
        <v>不建議</v>
      </c>
      <c r="I2485" s="15" t="n">
        <f aca="false">AE2485*評分方法!$C$5</f>
        <v>6</v>
      </c>
      <c r="J2485" s="15" t="n">
        <f aca="false">AF2485*評分方法!$C$6</f>
        <v>0</v>
      </c>
      <c r="K2485" s="15" t="n">
        <f aca="false">AG2485*評分方法!$C$7</f>
        <v>4.95</v>
      </c>
      <c r="L2485" s="15" t="n">
        <f aca="false">AH2485*評分方法!$C$8</f>
        <v>15</v>
      </c>
      <c r="M2485" s="15" t="n">
        <f aca="false">AI2485*評分方法!$C$9</f>
        <v>2</v>
      </c>
      <c r="N2485" s="15" t="n">
        <f aca="false">AJ2485*評分方法!$C$10</f>
        <v>3.62</v>
      </c>
      <c r="O2485" s="15" t="n">
        <f aca="false">AK2485*評分方法!$C$11</f>
        <v>1</v>
      </c>
      <c r="P2485" s="15" t="n">
        <f aca="false">AL2485*評分方法!$C$12</f>
        <v>1.5</v>
      </c>
      <c r="Q2485" s="6" t="n">
        <v>367506</v>
      </c>
      <c r="R2485" s="6" t="n">
        <v>29957058</v>
      </c>
      <c r="S2485" s="11" t="s">
        <v>238</v>
      </c>
      <c r="T2485" s="5"/>
      <c r="U2485" s="5" t="s">
        <v>375</v>
      </c>
      <c r="V2485" s="11" t="s">
        <v>261</v>
      </c>
      <c r="W2485" s="5" t="s">
        <v>334</v>
      </c>
      <c r="X2485" s="5" t="s">
        <v>255</v>
      </c>
      <c r="Y2485" s="5"/>
      <c r="Z2485" s="5"/>
      <c r="AA2485" s="5"/>
      <c r="AB2485" s="5" t="s">
        <v>255</v>
      </c>
      <c r="AC2485" s="5" t="s">
        <v>262</v>
      </c>
      <c r="AD2485" s="11" t="s">
        <v>6159</v>
      </c>
      <c r="AE2485" s="23" t="n">
        <v>0.2</v>
      </c>
      <c r="AF2485" s="23" t="n">
        <v>0</v>
      </c>
      <c r="AG2485" s="23" t="n">
        <v>0.33</v>
      </c>
      <c r="AH2485" s="23" t="n">
        <v>1</v>
      </c>
      <c r="AI2485" s="23" t="n">
        <v>0.2</v>
      </c>
      <c r="AJ2485" s="23" t="n">
        <v>0.362</v>
      </c>
      <c r="AK2485" s="23" t="n">
        <v>0.2</v>
      </c>
      <c r="AL2485" s="23" t="n">
        <v>0.3</v>
      </c>
      <c r="AM2485" s="16" t="n">
        <f aca="false">COUNTIFS($D$2:$D$2501,D2485,$G$2:$G$2501,"&gt;"&amp;G2485)+COUNTIFS($D$2:D2485,D2485,$G$2:G2485,G2485)</f>
        <v>83</v>
      </c>
      <c r="AN2485" s="5" t="str">
        <f aca="false">D2485&amp;"|"&amp;AM2485</f>
        <v>其他|83</v>
      </c>
    </row>
    <row r="2486" customFormat="false" ht="17.15" hidden="false" customHeight="false" outlineLevel="0" collapsed="false">
      <c r="A2486" s="16" t="n">
        <f aca="false">RANK(G2486,$G$2:$G$2501)+COUNTIF($G$2:G2486,G2486)-1</f>
        <v>2485</v>
      </c>
      <c r="B2486" s="11" t="s">
        <v>6160</v>
      </c>
      <c r="C2486" s="11" t="s">
        <v>1677</v>
      </c>
      <c r="D2486" s="5" t="s">
        <v>74</v>
      </c>
      <c r="E2486" s="5" t="s">
        <v>75</v>
      </c>
      <c r="F2486" s="5"/>
      <c r="G2486" s="22" t="n">
        <f aca="false">ROUND(SUM(I2486:P2486),3)</f>
        <v>34.028</v>
      </c>
      <c r="H2486" s="5" t="str">
        <f aca="false">IF(G2486&gt;=評分方法!$C$16,"優先評估",IF(G2486&gt;=評分方法!$C$17,"列入候選",IF(G2486&gt;=評分方法!$C$18,"特定情境","不建議")))</f>
        <v>不建議</v>
      </c>
      <c r="I2486" s="15" t="n">
        <f aca="false">AE2486*評分方法!$C$5</f>
        <v>10.5</v>
      </c>
      <c r="J2486" s="15" t="n">
        <f aca="false">AF2486*評分方法!$C$6</f>
        <v>0</v>
      </c>
      <c r="K2486" s="15" t="n">
        <f aca="false">AG2486*評分方法!$C$7</f>
        <v>10.05</v>
      </c>
      <c r="L2486" s="15" t="n">
        <f aca="false">AH2486*評分方法!$C$8</f>
        <v>7.05</v>
      </c>
      <c r="M2486" s="15" t="n">
        <f aca="false">AI2486*評分方法!$C$9</f>
        <v>2</v>
      </c>
      <c r="N2486" s="15" t="n">
        <f aca="false">AJ2486*評分方法!$C$10</f>
        <v>0.428</v>
      </c>
      <c r="O2486" s="15" t="n">
        <f aca="false">AK2486*評分方法!$C$11</f>
        <v>2.5</v>
      </c>
      <c r="P2486" s="15" t="n">
        <f aca="false">AL2486*評分方法!$C$12</f>
        <v>1.5</v>
      </c>
      <c r="Q2486" s="6" t="n">
        <v>129292</v>
      </c>
      <c r="R2486" s="6"/>
      <c r="S2486" s="5" t="s">
        <v>255</v>
      </c>
      <c r="T2486" s="5"/>
      <c r="U2486" s="5" t="s">
        <v>375</v>
      </c>
      <c r="V2486" s="11" t="s">
        <v>514</v>
      </c>
      <c r="W2486" s="5" t="s">
        <v>207</v>
      </c>
      <c r="X2486" s="5" t="s">
        <v>255</v>
      </c>
      <c r="Y2486" s="11" t="s">
        <v>3098</v>
      </c>
      <c r="Z2486" s="11" t="s">
        <v>244</v>
      </c>
      <c r="AA2486" s="11" t="s">
        <v>173</v>
      </c>
      <c r="AB2486" s="5" t="s">
        <v>245</v>
      </c>
      <c r="AC2486" s="5" t="s">
        <v>464</v>
      </c>
      <c r="AD2486" s="11" t="s">
        <v>6161</v>
      </c>
      <c r="AE2486" s="23" t="n">
        <v>0.35</v>
      </c>
      <c r="AF2486" s="23" t="n">
        <v>0</v>
      </c>
      <c r="AG2486" s="23" t="n">
        <v>0.67</v>
      </c>
      <c r="AH2486" s="23" t="n">
        <v>0.47</v>
      </c>
      <c r="AI2486" s="23" t="n">
        <v>0.2</v>
      </c>
      <c r="AJ2486" s="23" t="n">
        <v>0.0428</v>
      </c>
      <c r="AK2486" s="23" t="n">
        <v>0.5</v>
      </c>
      <c r="AL2486" s="23" t="n">
        <v>0.3</v>
      </c>
      <c r="AM2486" s="16" t="n">
        <f aca="false">COUNTIFS($D$2:$D$2501,D2486,$G$2:$G$2501,"&gt;"&amp;G2486)+COUNTIFS($D$2:D2486,D2486,$G$2:G2486,G2486)</f>
        <v>351</v>
      </c>
      <c r="AN2486" s="5" t="str">
        <f aca="false">D2486&amp;"|"&amp;AM2486</f>
        <v>文件與影像辨識|351</v>
      </c>
    </row>
    <row r="2487" customFormat="false" ht="17.15" hidden="false" customHeight="false" outlineLevel="0" collapsed="false">
      <c r="A2487" s="16" t="n">
        <f aca="false">RANK(G2487,$G$2:$G$2501)+COUNTIF($G$2:G2487,G2487)-1</f>
        <v>2486</v>
      </c>
      <c r="B2487" s="11" t="s">
        <v>6162</v>
      </c>
      <c r="C2487" s="11" t="s">
        <v>5923</v>
      </c>
      <c r="D2487" s="5" t="s">
        <v>72</v>
      </c>
      <c r="E2487" s="5" t="s">
        <v>73</v>
      </c>
      <c r="F2487" s="5"/>
      <c r="G2487" s="22" t="n">
        <f aca="false">ROUND(SUM(I2487:P2487),3)</f>
        <v>33.918</v>
      </c>
      <c r="H2487" s="5" t="str">
        <f aca="false">IF(G2487&gt;=評分方法!$C$16,"優先評估",IF(G2487&gt;=評分方法!$C$17,"列入候選",IF(G2487&gt;=評分方法!$C$18,"特定情境","不建議")))</f>
        <v>不建議</v>
      </c>
      <c r="I2487" s="15" t="n">
        <f aca="false">AE2487*評分方法!$C$5</f>
        <v>9</v>
      </c>
      <c r="J2487" s="15" t="n">
        <f aca="false">AF2487*評分方法!$C$6</f>
        <v>0</v>
      </c>
      <c r="K2487" s="15" t="n">
        <f aca="false">AG2487*評分方法!$C$7</f>
        <v>4.95</v>
      </c>
      <c r="L2487" s="15" t="n">
        <f aca="false">AH2487*評分方法!$C$8</f>
        <v>15</v>
      </c>
      <c r="M2487" s="15" t="n">
        <f aca="false">AI2487*評分方法!$C$9</f>
        <v>2</v>
      </c>
      <c r="N2487" s="15" t="n">
        <f aca="false">AJ2487*評分方法!$C$10</f>
        <v>1.968</v>
      </c>
      <c r="O2487" s="15" t="n">
        <f aca="false">AK2487*評分方法!$C$11</f>
        <v>1</v>
      </c>
      <c r="P2487" s="15" t="n">
        <f aca="false">AL2487*評分方法!$C$12</f>
        <v>0</v>
      </c>
      <c r="Q2487" s="6" t="n">
        <v>207765</v>
      </c>
      <c r="R2487" s="6" t="n">
        <v>135851522</v>
      </c>
      <c r="S2487" s="11" t="s">
        <v>238</v>
      </c>
      <c r="T2487" s="5"/>
      <c r="U2487" s="5" t="s">
        <v>375</v>
      </c>
      <c r="V2487" s="11" t="s">
        <v>279</v>
      </c>
      <c r="W2487" s="5" t="s">
        <v>334</v>
      </c>
      <c r="X2487" s="5" t="s">
        <v>242</v>
      </c>
      <c r="Y2487" s="5"/>
      <c r="Z2487" s="5"/>
      <c r="AA2487" s="11" t="s">
        <v>162</v>
      </c>
      <c r="AB2487" s="5" t="s">
        <v>245</v>
      </c>
      <c r="AC2487" s="5" t="s">
        <v>4841</v>
      </c>
      <c r="AD2487" s="11" t="s">
        <v>6163</v>
      </c>
      <c r="AE2487" s="23" t="n">
        <v>0.3</v>
      </c>
      <c r="AF2487" s="23" t="n">
        <v>0</v>
      </c>
      <c r="AG2487" s="23" t="n">
        <v>0.33</v>
      </c>
      <c r="AH2487" s="23" t="n">
        <v>1</v>
      </c>
      <c r="AI2487" s="23" t="n">
        <v>0.2</v>
      </c>
      <c r="AJ2487" s="23" t="n">
        <v>0.1968</v>
      </c>
      <c r="AK2487" s="23" t="n">
        <v>0.2</v>
      </c>
      <c r="AL2487" s="23" t="n">
        <v>0</v>
      </c>
      <c r="AM2487" s="16" t="n">
        <f aca="false">COUNTIFS($D$2:$D$2501,D2487,$G$2:$G$2501,"&gt;"&amp;G2487)+COUNTIFS($D$2:D2487,D2487,$G$2:G2487,G2487)</f>
        <v>71</v>
      </c>
      <c r="AN2487" s="5" t="str">
        <f aca="false">D2487&amp;"|"&amp;AM2487</f>
        <v>微調基底模型|71</v>
      </c>
    </row>
    <row r="2488" customFormat="false" ht="17.15" hidden="false" customHeight="false" outlineLevel="0" collapsed="false">
      <c r="A2488" s="16" t="n">
        <f aca="false">RANK(G2488,$G$2:$G$2501)+COUNTIF($G$2:G2488,G2488)-1</f>
        <v>2487</v>
      </c>
      <c r="B2488" s="11" t="s">
        <v>6164</v>
      </c>
      <c r="C2488" s="11" t="s">
        <v>5858</v>
      </c>
      <c r="D2488" s="5" t="s">
        <v>80</v>
      </c>
      <c r="E2488" s="5" t="s">
        <v>81</v>
      </c>
      <c r="F2488" s="5"/>
      <c r="G2488" s="22" t="n">
        <f aca="false">ROUND(SUM(I2488:P2488),3)</f>
        <v>33.51</v>
      </c>
      <c r="H2488" s="5" t="str">
        <f aca="false">IF(G2488&gt;=評分方法!$C$16,"優先評估",IF(G2488&gt;=評分方法!$C$17,"列入候選",IF(G2488&gt;=評分方法!$C$18,"特定情境","不建議")))</f>
        <v>不建議</v>
      </c>
      <c r="I2488" s="15" t="n">
        <f aca="false">AE2488*評分方法!$C$5</f>
        <v>6</v>
      </c>
      <c r="J2488" s="15" t="n">
        <f aca="false">AF2488*評分方法!$C$6</f>
        <v>0</v>
      </c>
      <c r="K2488" s="15" t="n">
        <f aca="false">AG2488*評分方法!$C$7</f>
        <v>4.95</v>
      </c>
      <c r="L2488" s="15" t="n">
        <f aca="false">AH2488*評分方法!$C$8</f>
        <v>15</v>
      </c>
      <c r="M2488" s="15" t="n">
        <f aca="false">AI2488*評分方法!$C$9</f>
        <v>2</v>
      </c>
      <c r="N2488" s="15" t="n">
        <f aca="false">AJ2488*評分方法!$C$10</f>
        <v>1.56</v>
      </c>
      <c r="O2488" s="15" t="n">
        <f aca="false">AK2488*評分方法!$C$11</f>
        <v>2.5</v>
      </c>
      <c r="P2488" s="15" t="n">
        <f aca="false">AL2488*評分方法!$C$12</f>
        <v>1.5</v>
      </c>
      <c r="Q2488" s="6" t="n">
        <v>183114</v>
      </c>
      <c r="R2488" s="6" t="n">
        <v>34184323</v>
      </c>
      <c r="S2488" s="11" t="s">
        <v>238</v>
      </c>
      <c r="T2488" s="5"/>
      <c r="U2488" s="5" t="s">
        <v>375</v>
      </c>
      <c r="V2488" s="11" t="s">
        <v>324</v>
      </c>
      <c r="W2488" s="5" t="s">
        <v>334</v>
      </c>
      <c r="X2488" s="5" t="s">
        <v>255</v>
      </c>
      <c r="Y2488" s="5"/>
      <c r="Z2488" s="5"/>
      <c r="AA2488" s="5"/>
      <c r="AB2488" s="5" t="s">
        <v>255</v>
      </c>
      <c r="AC2488" s="5" t="s">
        <v>262</v>
      </c>
      <c r="AD2488" s="11" t="s">
        <v>6165</v>
      </c>
      <c r="AE2488" s="23" t="n">
        <v>0.2</v>
      </c>
      <c r="AF2488" s="23" t="n">
        <v>0</v>
      </c>
      <c r="AG2488" s="23" t="n">
        <v>0.33</v>
      </c>
      <c r="AH2488" s="23" t="n">
        <v>1</v>
      </c>
      <c r="AI2488" s="23" t="n">
        <v>0.2</v>
      </c>
      <c r="AJ2488" s="23" t="n">
        <v>0.156</v>
      </c>
      <c r="AK2488" s="23" t="n">
        <v>0.5</v>
      </c>
      <c r="AL2488" s="23" t="n">
        <v>0.3</v>
      </c>
      <c r="AM2488" s="16" t="n">
        <f aca="false">COUNTIFS($D$2:$D$2501,D2488,$G$2:$G$2501,"&gt;"&amp;G2488)+COUNTIFS($D$2:D2488,D2488,$G$2:G2488,G2488)</f>
        <v>84</v>
      </c>
      <c r="AN2488" s="5" t="str">
        <f aca="false">D2488&amp;"|"&amp;AM2488</f>
        <v>其他|84</v>
      </c>
    </row>
    <row r="2489" customFormat="false" ht="17.15" hidden="false" customHeight="false" outlineLevel="0" collapsed="false">
      <c r="A2489" s="16" t="n">
        <f aca="false">RANK(G2489,$G$2:$G$2501)+COUNTIF($G$2:G2489,G2489)-1</f>
        <v>2488</v>
      </c>
      <c r="B2489" s="11" t="s">
        <v>6166</v>
      </c>
      <c r="C2489" s="11" t="s">
        <v>6167</v>
      </c>
      <c r="D2489" s="5" t="s">
        <v>80</v>
      </c>
      <c r="E2489" s="5" t="s">
        <v>81</v>
      </c>
      <c r="F2489" s="5"/>
      <c r="G2489" s="22" t="n">
        <f aca="false">ROUND(SUM(I2489:P2489),3)</f>
        <v>33.354</v>
      </c>
      <c r="H2489" s="5" t="str">
        <f aca="false">IF(G2489&gt;=評分方法!$C$16,"優先評估",IF(G2489&gt;=評分方法!$C$17,"列入候選",IF(G2489&gt;=評分方法!$C$18,"特定情境","不建議")))</f>
        <v>不建議</v>
      </c>
      <c r="I2489" s="15" t="n">
        <f aca="false">AE2489*評分方法!$C$5</f>
        <v>1.5</v>
      </c>
      <c r="J2489" s="15" t="n">
        <f aca="false">AF2489*評分方法!$C$6</f>
        <v>0</v>
      </c>
      <c r="K2489" s="15" t="n">
        <f aca="false">AG2489*評分方法!$C$7</f>
        <v>4.95</v>
      </c>
      <c r="L2489" s="15" t="n">
        <f aca="false">AH2489*評分方法!$C$8</f>
        <v>15</v>
      </c>
      <c r="M2489" s="15" t="n">
        <f aca="false">AI2489*評分方法!$C$9</f>
        <v>6</v>
      </c>
      <c r="N2489" s="15" t="n">
        <f aca="false">AJ2489*評分方法!$C$10</f>
        <v>1.904</v>
      </c>
      <c r="O2489" s="15" t="n">
        <f aca="false">AK2489*評分方法!$C$11</f>
        <v>2.5</v>
      </c>
      <c r="P2489" s="15" t="n">
        <f aca="false">AL2489*評分方法!$C$12</f>
        <v>1.5</v>
      </c>
      <c r="Q2489" s="6" t="n">
        <v>202367</v>
      </c>
      <c r="R2489" s="6" t="n">
        <v>13744594</v>
      </c>
      <c r="S2489" s="11" t="s">
        <v>238</v>
      </c>
      <c r="T2489" s="11" t="s">
        <v>185</v>
      </c>
      <c r="U2489" s="5" t="s">
        <v>260</v>
      </c>
      <c r="V2489" s="11" t="s">
        <v>261</v>
      </c>
      <c r="W2489" s="5" t="s">
        <v>334</v>
      </c>
      <c r="X2489" s="5" t="s">
        <v>255</v>
      </c>
      <c r="Y2489" s="5"/>
      <c r="Z2489" s="5"/>
      <c r="AA2489" s="11" t="s">
        <v>186</v>
      </c>
      <c r="AB2489" s="5" t="s">
        <v>245</v>
      </c>
      <c r="AC2489" s="5" t="s">
        <v>262</v>
      </c>
      <c r="AD2489" s="11" t="s">
        <v>6168</v>
      </c>
      <c r="AE2489" s="23" t="n">
        <v>0.05</v>
      </c>
      <c r="AF2489" s="23" t="n">
        <v>0</v>
      </c>
      <c r="AG2489" s="23" t="n">
        <v>0.33</v>
      </c>
      <c r="AH2489" s="23" t="n">
        <v>1</v>
      </c>
      <c r="AI2489" s="23" t="n">
        <v>0.6</v>
      </c>
      <c r="AJ2489" s="23" t="n">
        <v>0.1904</v>
      </c>
      <c r="AK2489" s="23" t="n">
        <v>0.5</v>
      </c>
      <c r="AL2489" s="23" t="n">
        <v>0.3</v>
      </c>
      <c r="AM2489" s="16" t="n">
        <f aca="false">COUNTIFS($D$2:$D$2501,D2489,$G$2:$G$2501,"&gt;"&amp;G2489)+COUNTIFS($D$2:D2489,D2489,$G$2:G2489,G2489)</f>
        <v>85</v>
      </c>
      <c r="AN2489" s="5" t="str">
        <f aca="false">D2489&amp;"|"&amp;AM2489</f>
        <v>其他|85</v>
      </c>
    </row>
    <row r="2490" customFormat="false" ht="17.15" hidden="false" customHeight="false" outlineLevel="0" collapsed="false">
      <c r="A2490" s="16" t="n">
        <f aca="false">RANK(G2490,$G$2:$G$2501)+COUNTIF($G$2:G2490,G2490)-1</f>
        <v>2489</v>
      </c>
      <c r="B2490" s="11" t="s">
        <v>6169</v>
      </c>
      <c r="C2490" s="11" t="s">
        <v>6170</v>
      </c>
      <c r="D2490" s="5" t="s">
        <v>66</v>
      </c>
      <c r="E2490" s="5" t="s">
        <v>67</v>
      </c>
      <c r="F2490" s="5"/>
      <c r="G2490" s="22" t="n">
        <f aca="false">ROUND(SUM(I2490:P2490),3)</f>
        <v>33.326</v>
      </c>
      <c r="H2490" s="5" t="str">
        <f aca="false">IF(G2490&gt;=評分方法!$C$16,"優先評估",IF(G2490&gt;=評分方法!$C$17,"列入候選",IF(G2490&gt;=評分方法!$C$18,"特定情境","不建議")))</f>
        <v>不建議</v>
      </c>
      <c r="I2490" s="15" t="n">
        <f aca="false">AE2490*評分方法!$C$5</f>
        <v>7.2</v>
      </c>
      <c r="J2490" s="15" t="n">
        <f aca="false">AF2490*評分方法!$C$6</f>
        <v>0</v>
      </c>
      <c r="K2490" s="15" t="n">
        <f aca="false">AG2490*評分方法!$C$7</f>
        <v>4.95</v>
      </c>
      <c r="L2490" s="15" t="n">
        <f aca="false">AH2490*評分方法!$C$8</f>
        <v>15</v>
      </c>
      <c r="M2490" s="15" t="n">
        <f aca="false">AI2490*評分方法!$C$9</f>
        <v>2</v>
      </c>
      <c r="N2490" s="15" t="n">
        <f aca="false">AJ2490*評分方法!$C$10</f>
        <v>3.176</v>
      </c>
      <c r="O2490" s="15" t="n">
        <f aca="false">AK2490*評分方法!$C$11</f>
        <v>1</v>
      </c>
      <c r="P2490" s="15" t="n">
        <f aca="false">AL2490*評分方法!$C$12</f>
        <v>0</v>
      </c>
      <c r="Q2490" s="6" t="n">
        <v>308876</v>
      </c>
      <c r="R2490" s="6" t="n">
        <v>110618882</v>
      </c>
      <c r="S2490" s="11" t="s">
        <v>238</v>
      </c>
      <c r="T2490" s="5"/>
      <c r="U2490" s="5" t="s">
        <v>375</v>
      </c>
      <c r="V2490" s="11" t="s">
        <v>813</v>
      </c>
      <c r="W2490" s="5" t="s">
        <v>334</v>
      </c>
      <c r="X2490" s="5" t="s">
        <v>242</v>
      </c>
      <c r="Y2490" s="5"/>
      <c r="Z2490" s="5"/>
      <c r="AA2490" s="11" t="s">
        <v>149</v>
      </c>
      <c r="AB2490" s="5" t="s">
        <v>245</v>
      </c>
      <c r="AC2490" s="5" t="s">
        <v>5984</v>
      </c>
      <c r="AD2490" s="11" t="s">
        <v>6171</v>
      </c>
      <c r="AE2490" s="23" t="n">
        <v>0.24</v>
      </c>
      <c r="AF2490" s="23" t="n">
        <v>0</v>
      </c>
      <c r="AG2490" s="23" t="n">
        <v>0.33</v>
      </c>
      <c r="AH2490" s="23" t="n">
        <v>1</v>
      </c>
      <c r="AI2490" s="23" t="n">
        <v>0.2</v>
      </c>
      <c r="AJ2490" s="23" t="n">
        <v>0.3176</v>
      </c>
      <c r="AK2490" s="23" t="n">
        <v>0.2</v>
      </c>
      <c r="AL2490" s="23" t="n">
        <v>0</v>
      </c>
      <c r="AM2490" s="16" t="n">
        <f aca="false">COUNTIFS($D$2:$D$2501,D2490,$G$2:$G$2501,"&gt;"&amp;G2490)+COUNTIFS($D$2:D2490,D2490,$G$2:G2490,G2490)</f>
        <v>88</v>
      </c>
      <c r="AN2490" s="5" t="str">
        <f aca="false">D2490&amp;"|"&amp;AM2490</f>
        <v>分類與偵測|88</v>
      </c>
    </row>
    <row r="2491" customFormat="false" ht="17.15" hidden="false" customHeight="false" outlineLevel="0" collapsed="false">
      <c r="A2491" s="16" t="n">
        <f aca="false">RANK(G2491,$G$2:$G$2501)+COUNTIF($G$2:G2491,G2491)-1</f>
        <v>2490</v>
      </c>
      <c r="B2491" s="11" t="s">
        <v>6172</v>
      </c>
      <c r="C2491" s="11" t="s">
        <v>6091</v>
      </c>
      <c r="D2491" s="5" t="s">
        <v>80</v>
      </c>
      <c r="E2491" s="5" t="s">
        <v>81</v>
      </c>
      <c r="F2491" s="5"/>
      <c r="G2491" s="22" t="n">
        <f aca="false">ROUND(SUM(I2491:P2491),3)</f>
        <v>33.324</v>
      </c>
      <c r="H2491" s="5" t="str">
        <f aca="false">IF(G2491&gt;=評分方法!$C$16,"優先評估",IF(G2491&gt;=評分方法!$C$17,"列入候選",IF(G2491&gt;=評分方法!$C$18,"特定情境","不建議")))</f>
        <v>不建議</v>
      </c>
      <c r="I2491" s="15" t="n">
        <f aca="false">AE2491*評分方法!$C$5</f>
        <v>6</v>
      </c>
      <c r="J2491" s="15" t="n">
        <f aca="false">AF2491*評分方法!$C$6</f>
        <v>0</v>
      </c>
      <c r="K2491" s="15" t="n">
        <f aca="false">AG2491*評分方法!$C$7</f>
        <v>4.95</v>
      </c>
      <c r="L2491" s="15" t="n">
        <f aca="false">AH2491*評分方法!$C$8</f>
        <v>7.05</v>
      </c>
      <c r="M2491" s="15" t="n">
        <f aca="false">AI2491*評分方法!$C$9</f>
        <v>10</v>
      </c>
      <c r="N2491" s="15" t="n">
        <f aca="false">AJ2491*評分方法!$C$10</f>
        <v>1.324</v>
      </c>
      <c r="O2491" s="15" t="n">
        <f aca="false">AK2491*評分方法!$C$11</f>
        <v>2.5</v>
      </c>
      <c r="P2491" s="15" t="n">
        <f aca="false">AL2491*評分方法!$C$12</f>
        <v>1.5</v>
      </c>
      <c r="Q2491" s="6" t="n">
        <v>170132</v>
      </c>
      <c r="R2491" s="6"/>
      <c r="S2491" s="5" t="s">
        <v>255</v>
      </c>
      <c r="T2491" s="11" t="s">
        <v>239</v>
      </c>
      <c r="U2491" s="5" t="s">
        <v>240</v>
      </c>
      <c r="V2491" s="11" t="s">
        <v>5828</v>
      </c>
      <c r="W2491" s="5" t="s">
        <v>334</v>
      </c>
      <c r="X2491" s="5" t="s">
        <v>255</v>
      </c>
      <c r="Y2491" s="5"/>
      <c r="Z2491" s="5"/>
      <c r="AA2491" s="5"/>
      <c r="AB2491" s="5" t="s">
        <v>255</v>
      </c>
      <c r="AC2491" s="5"/>
      <c r="AD2491" s="11" t="s">
        <v>6173</v>
      </c>
      <c r="AE2491" s="23" t="n">
        <v>0.2</v>
      </c>
      <c r="AF2491" s="23" t="n">
        <v>0</v>
      </c>
      <c r="AG2491" s="23" t="n">
        <v>0.33</v>
      </c>
      <c r="AH2491" s="23" t="n">
        <v>0.47</v>
      </c>
      <c r="AI2491" s="23" t="n">
        <v>1</v>
      </c>
      <c r="AJ2491" s="23" t="n">
        <v>0.1324</v>
      </c>
      <c r="AK2491" s="23" t="n">
        <v>0.5</v>
      </c>
      <c r="AL2491" s="23" t="n">
        <v>0.3</v>
      </c>
      <c r="AM2491" s="16" t="n">
        <f aca="false">COUNTIFS($D$2:$D$2501,D2491,$G$2:$G$2501,"&gt;"&amp;G2491)+COUNTIFS($D$2:D2491,D2491,$G$2:G2491,G2491)</f>
        <v>86</v>
      </c>
      <c r="AN2491" s="5" t="str">
        <f aca="false">D2491&amp;"|"&amp;AM2491</f>
        <v>其他|86</v>
      </c>
    </row>
    <row r="2492" customFormat="false" ht="17.15" hidden="false" customHeight="false" outlineLevel="0" collapsed="false">
      <c r="A2492" s="16" t="n">
        <f aca="false">RANK(G2492,$G$2:$G$2501)+COUNTIF($G$2:G2492,G2492)-1</f>
        <v>2491</v>
      </c>
      <c r="B2492" s="11" t="s">
        <v>6174</v>
      </c>
      <c r="C2492" s="11" t="s">
        <v>6175</v>
      </c>
      <c r="D2492" s="5" t="s">
        <v>74</v>
      </c>
      <c r="E2492" s="5" t="s">
        <v>75</v>
      </c>
      <c r="F2492" s="5"/>
      <c r="G2492" s="22" t="n">
        <f aca="false">ROUND(SUM(I2492:P2492),3)</f>
        <v>32.864</v>
      </c>
      <c r="H2492" s="5" t="str">
        <f aca="false">IF(G2492&gt;=評分方法!$C$16,"優先評估",IF(G2492&gt;=評分方法!$C$17,"列入候選",IF(G2492&gt;=評分方法!$C$18,"特定情境","不建議")))</f>
        <v>不建議</v>
      </c>
      <c r="I2492" s="15" t="n">
        <f aca="false">AE2492*評分方法!$C$5</f>
        <v>7.5</v>
      </c>
      <c r="J2492" s="15" t="n">
        <f aca="false">AF2492*評分方法!$C$6</f>
        <v>0</v>
      </c>
      <c r="K2492" s="15" t="n">
        <f aca="false">AG2492*評分方法!$C$7</f>
        <v>4.95</v>
      </c>
      <c r="L2492" s="15" t="n">
        <f aca="false">AH2492*評分方法!$C$8</f>
        <v>7.05</v>
      </c>
      <c r="M2492" s="15" t="n">
        <f aca="false">AI2492*評分方法!$C$9</f>
        <v>5</v>
      </c>
      <c r="N2492" s="15" t="n">
        <f aca="false">AJ2492*評分方法!$C$10</f>
        <v>3.364</v>
      </c>
      <c r="O2492" s="15" t="n">
        <f aca="false">AK2492*評分方法!$C$11</f>
        <v>5</v>
      </c>
      <c r="P2492" s="15" t="n">
        <f aca="false">AL2492*評分方法!$C$12</f>
        <v>0</v>
      </c>
      <c r="Q2492" s="6" t="n">
        <v>334772</v>
      </c>
      <c r="R2492" s="6"/>
      <c r="S2492" s="5" t="s">
        <v>255</v>
      </c>
      <c r="T2492" s="11" t="s">
        <v>6176</v>
      </c>
      <c r="U2492" s="11" t="s">
        <v>3992</v>
      </c>
      <c r="V2492" s="11" t="s">
        <v>4499</v>
      </c>
      <c r="W2492" s="5" t="s">
        <v>334</v>
      </c>
      <c r="X2492" s="5" t="s">
        <v>242</v>
      </c>
      <c r="Y2492" s="5"/>
      <c r="Z2492" s="5"/>
      <c r="AA2492" s="11" t="s">
        <v>178</v>
      </c>
      <c r="AB2492" s="5" t="s">
        <v>245</v>
      </c>
      <c r="AC2492" s="5"/>
      <c r="AD2492" s="11" t="s">
        <v>6177</v>
      </c>
      <c r="AE2492" s="23" t="n">
        <v>0.25</v>
      </c>
      <c r="AF2492" s="23" t="n">
        <v>0</v>
      </c>
      <c r="AG2492" s="23" t="n">
        <v>0.33</v>
      </c>
      <c r="AH2492" s="23" t="n">
        <v>0.47</v>
      </c>
      <c r="AI2492" s="23" t="n">
        <v>0.5</v>
      </c>
      <c r="AJ2492" s="23" t="n">
        <v>0.3364</v>
      </c>
      <c r="AK2492" s="23" t="n">
        <v>1</v>
      </c>
      <c r="AL2492" s="23" t="n">
        <v>0</v>
      </c>
      <c r="AM2492" s="16" t="n">
        <f aca="false">COUNTIFS($D$2:$D$2501,D2492,$G$2:$G$2501,"&gt;"&amp;G2492)+COUNTIFS($D$2:D2492,D2492,$G$2:G2492,G2492)</f>
        <v>352</v>
      </c>
      <c r="AN2492" s="5" t="str">
        <f aca="false">D2492&amp;"|"&amp;AM2492</f>
        <v>文件與影像辨識|352</v>
      </c>
    </row>
    <row r="2493" customFormat="false" ht="17.15" hidden="false" customHeight="false" outlineLevel="0" collapsed="false">
      <c r="A2493" s="16" t="n">
        <f aca="false">RANK(G2493,$G$2:$G$2501)+COUNTIF($G$2:G2493,G2493)-1</f>
        <v>2492</v>
      </c>
      <c r="B2493" s="11" t="s">
        <v>6178</v>
      </c>
      <c r="C2493" s="11" t="s">
        <v>5905</v>
      </c>
      <c r="D2493" s="5" t="s">
        <v>72</v>
      </c>
      <c r="E2493" s="5" t="s">
        <v>73</v>
      </c>
      <c r="F2493" s="5"/>
      <c r="G2493" s="22" t="n">
        <f aca="false">ROUND(SUM(I2493:P2493),3)</f>
        <v>32.806</v>
      </c>
      <c r="H2493" s="5" t="str">
        <f aca="false">IF(G2493&gt;=評分方法!$C$16,"優先評估",IF(G2493&gt;=評分方法!$C$17,"列入候選",IF(G2493&gt;=評分方法!$C$18,"特定情境","不建議")))</f>
        <v>不建議</v>
      </c>
      <c r="I2493" s="15" t="n">
        <f aca="false">AE2493*評分方法!$C$5</f>
        <v>9</v>
      </c>
      <c r="J2493" s="15" t="n">
        <f aca="false">AF2493*評分方法!$C$6</f>
        <v>0</v>
      </c>
      <c r="K2493" s="15" t="n">
        <f aca="false">AG2493*評分方法!$C$7</f>
        <v>4.95</v>
      </c>
      <c r="L2493" s="15" t="n">
        <f aca="false">AH2493*評分方法!$C$8</f>
        <v>15</v>
      </c>
      <c r="M2493" s="15" t="n">
        <f aca="false">AI2493*評分方法!$C$9</f>
        <v>2</v>
      </c>
      <c r="N2493" s="15" t="n">
        <f aca="false">AJ2493*評分方法!$C$10</f>
        <v>0.856</v>
      </c>
      <c r="O2493" s="15" t="n">
        <f aca="false">AK2493*評分方法!$C$11</f>
        <v>1</v>
      </c>
      <c r="P2493" s="15" t="n">
        <f aca="false">AL2493*評分方法!$C$12</f>
        <v>0</v>
      </c>
      <c r="Q2493" s="6" t="n">
        <v>148445</v>
      </c>
      <c r="R2493" s="6" t="n">
        <v>336690946</v>
      </c>
      <c r="S2493" s="11" t="s">
        <v>238</v>
      </c>
      <c r="T2493" s="5"/>
      <c r="U2493" s="5" t="s">
        <v>375</v>
      </c>
      <c r="V2493" s="11" t="s">
        <v>324</v>
      </c>
      <c r="W2493" s="5" t="s">
        <v>334</v>
      </c>
      <c r="X2493" s="5" t="s">
        <v>242</v>
      </c>
      <c r="Y2493" s="5"/>
      <c r="Z2493" s="5"/>
      <c r="AA2493" s="11" t="s">
        <v>162</v>
      </c>
      <c r="AB2493" s="5" t="s">
        <v>245</v>
      </c>
      <c r="AC2493" s="5" t="s">
        <v>4841</v>
      </c>
      <c r="AD2493" s="11" t="s">
        <v>6179</v>
      </c>
      <c r="AE2493" s="23" t="n">
        <v>0.3</v>
      </c>
      <c r="AF2493" s="23" t="n">
        <v>0</v>
      </c>
      <c r="AG2493" s="23" t="n">
        <v>0.33</v>
      </c>
      <c r="AH2493" s="23" t="n">
        <v>1</v>
      </c>
      <c r="AI2493" s="23" t="n">
        <v>0.2</v>
      </c>
      <c r="AJ2493" s="23" t="n">
        <v>0.0856</v>
      </c>
      <c r="AK2493" s="23" t="n">
        <v>0.2</v>
      </c>
      <c r="AL2493" s="23" t="n">
        <v>0</v>
      </c>
      <c r="AM2493" s="16" t="n">
        <f aca="false">COUNTIFS($D$2:$D$2501,D2493,$G$2:$G$2501,"&gt;"&amp;G2493)+COUNTIFS($D$2:D2493,D2493,$G$2:G2493,G2493)</f>
        <v>72</v>
      </c>
      <c r="AN2493" s="5" t="str">
        <f aca="false">D2493&amp;"|"&amp;AM2493</f>
        <v>微調基底模型|72</v>
      </c>
    </row>
    <row r="2494" customFormat="false" ht="17.15" hidden="false" customHeight="false" outlineLevel="0" collapsed="false">
      <c r="A2494" s="16" t="n">
        <f aca="false">RANK(G2494,$G$2:$G$2501)+COUNTIF($G$2:G2494,G2494)-1</f>
        <v>2493</v>
      </c>
      <c r="B2494" s="11" t="s">
        <v>6180</v>
      </c>
      <c r="C2494" s="11" t="s">
        <v>5923</v>
      </c>
      <c r="D2494" s="5" t="s">
        <v>72</v>
      </c>
      <c r="E2494" s="5" t="s">
        <v>73</v>
      </c>
      <c r="F2494" s="5"/>
      <c r="G2494" s="22" t="n">
        <f aca="false">ROUND(SUM(I2494:P2494),3)</f>
        <v>32.694</v>
      </c>
      <c r="H2494" s="5" t="str">
        <f aca="false">IF(G2494&gt;=評分方法!$C$16,"優先評估",IF(G2494&gt;=評分方法!$C$17,"列入候選",IF(G2494&gt;=評分方法!$C$18,"特定情境","不建議")))</f>
        <v>不建議</v>
      </c>
      <c r="I2494" s="15" t="n">
        <f aca="false">AE2494*評分方法!$C$5</f>
        <v>9</v>
      </c>
      <c r="J2494" s="15" t="n">
        <f aca="false">AF2494*評分方法!$C$6</f>
        <v>0</v>
      </c>
      <c r="K2494" s="15" t="n">
        <f aca="false">AG2494*評分方法!$C$7</f>
        <v>4.95</v>
      </c>
      <c r="L2494" s="15" t="n">
        <f aca="false">AH2494*評分方法!$C$8</f>
        <v>15</v>
      </c>
      <c r="M2494" s="15" t="n">
        <f aca="false">AI2494*評分方法!$C$9</f>
        <v>2</v>
      </c>
      <c r="N2494" s="15" t="n">
        <f aca="false">AJ2494*評分方法!$C$10</f>
        <v>0.744</v>
      </c>
      <c r="O2494" s="15" t="n">
        <f aca="false">AK2494*評分方法!$C$11</f>
        <v>1</v>
      </c>
      <c r="P2494" s="15" t="n">
        <f aca="false">AL2494*評分方法!$C$12</f>
        <v>0</v>
      </c>
      <c r="Q2494" s="6" t="n">
        <v>144761</v>
      </c>
      <c r="R2494" s="6" t="n">
        <v>135259392</v>
      </c>
      <c r="S2494" s="11" t="s">
        <v>238</v>
      </c>
      <c r="T2494" s="5"/>
      <c r="U2494" s="5" t="s">
        <v>375</v>
      </c>
      <c r="V2494" s="11" t="s">
        <v>324</v>
      </c>
      <c r="W2494" s="5" t="s">
        <v>334</v>
      </c>
      <c r="X2494" s="5" t="s">
        <v>242</v>
      </c>
      <c r="Y2494" s="5"/>
      <c r="Z2494" s="5"/>
      <c r="AA2494" s="11" t="s">
        <v>162</v>
      </c>
      <c r="AB2494" s="5" t="s">
        <v>245</v>
      </c>
      <c r="AC2494" s="5" t="s">
        <v>4841</v>
      </c>
      <c r="AD2494" s="11" t="s">
        <v>6181</v>
      </c>
      <c r="AE2494" s="23" t="n">
        <v>0.3</v>
      </c>
      <c r="AF2494" s="23" t="n">
        <v>0</v>
      </c>
      <c r="AG2494" s="23" t="n">
        <v>0.33</v>
      </c>
      <c r="AH2494" s="23" t="n">
        <v>1</v>
      </c>
      <c r="AI2494" s="23" t="n">
        <v>0.2</v>
      </c>
      <c r="AJ2494" s="23" t="n">
        <v>0.0744</v>
      </c>
      <c r="AK2494" s="23" t="n">
        <v>0.2</v>
      </c>
      <c r="AL2494" s="23" t="n">
        <v>0</v>
      </c>
      <c r="AM2494" s="16" t="n">
        <f aca="false">COUNTIFS($D$2:$D$2501,D2494,$G$2:$G$2501,"&gt;"&amp;G2494)+COUNTIFS($D$2:D2494,D2494,$G$2:G2494,G2494)</f>
        <v>73</v>
      </c>
      <c r="AN2494" s="5" t="str">
        <f aca="false">D2494&amp;"|"&amp;AM2494</f>
        <v>微調基底模型|73</v>
      </c>
    </row>
    <row r="2495" customFormat="false" ht="17.15" hidden="false" customHeight="false" outlineLevel="0" collapsed="false">
      <c r="A2495" s="16" t="n">
        <f aca="false">RANK(G2495,$G$2:$G$2501)+COUNTIF($G$2:G2495,G2495)-1</f>
        <v>2494</v>
      </c>
      <c r="B2495" s="11" t="s">
        <v>6182</v>
      </c>
      <c r="C2495" s="11" t="s">
        <v>6183</v>
      </c>
      <c r="D2495" s="5" t="s">
        <v>78</v>
      </c>
      <c r="E2495" s="5" t="s">
        <v>79</v>
      </c>
      <c r="F2495" s="5"/>
      <c r="G2495" s="22" t="n">
        <f aca="false">ROUND(SUM(I2495:P2495),3)</f>
        <v>31.516</v>
      </c>
      <c r="H2495" s="5" t="str">
        <f aca="false">IF(G2495&gt;=評分方法!$C$16,"優先評估",IF(G2495&gt;=評分方法!$C$17,"列入候選",IF(G2495&gt;=評分方法!$C$18,"特定情境","不建議")))</f>
        <v>不建議</v>
      </c>
      <c r="I2495" s="15" t="n">
        <f aca="false">AE2495*評分方法!$C$5</f>
        <v>2.16</v>
      </c>
      <c r="J2495" s="15" t="n">
        <f aca="false">AF2495*評分方法!$C$6</f>
        <v>0</v>
      </c>
      <c r="K2495" s="15" t="n">
        <f aca="false">AG2495*評分方法!$C$7</f>
        <v>4.95</v>
      </c>
      <c r="L2495" s="15" t="n">
        <f aca="false">AH2495*評分方法!$C$8</f>
        <v>7.05</v>
      </c>
      <c r="M2495" s="15" t="n">
        <f aca="false">AI2495*評分方法!$C$9</f>
        <v>10</v>
      </c>
      <c r="N2495" s="15" t="n">
        <f aca="false">AJ2495*評分方法!$C$10</f>
        <v>3.356</v>
      </c>
      <c r="O2495" s="15" t="n">
        <f aca="false">AK2495*評分方法!$C$11</f>
        <v>4</v>
      </c>
      <c r="P2495" s="15" t="n">
        <f aca="false">AL2495*評分方法!$C$12</f>
        <v>0</v>
      </c>
      <c r="Q2495" s="6" t="n">
        <v>334138</v>
      </c>
      <c r="R2495" s="6"/>
      <c r="S2495" s="5" t="s">
        <v>255</v>
      </c>
      <c r="T2495" s="11" t="s">
        <v>278</v>
      </c>
      <c r="U2495" s="5" t="s">
        <v>240</v>
      </c>
      <c r="V2495" s="11" t="s">
        <v>261</v>
      </c>
      <c r="W2495" s="5" t="s">
        <v>334</v>
      </c>
      <c r="X2495" s="5" t="s">
        <v>242</v>
      </c>
      <c r="Y2495" s="11" t="s">
        <v>2612</v>
      </c>
      <c r="Z2495" s="11" t="s">
        <v>942</v>
      </c>
      <c r="AA2495" s="11" t="s">
        <v>175</v>
      </c>
      <c r="AB2495" s="5" t="s">
        <v>496</v>
      </c>
      <c r="AC2495" s="5" t="s">
        <v>6184</v>
      </c>
      <c r="AD2495" s="11" t="s">
        <v>6185</v>
      </c>
      <c r="AE2495" s="23" t="n">
        <v>0.072</v>
      </c>
      <c r="AF2495" s="23" t="n">
        <v>0</v>
      </c>
      <c r="AG2495" s="23" t="n">
        <v>0.33</v>
      </c>
      <c r="AH2495" s="23" t="n">
        <v>0.47</v>
      </c>
      <c r="AI2495" s="23" t="n">
        <v>1</v>
      </c>
      <c r="AJ2495" s="23" t="n">
        <v>0.3356</v>
      </c>
      <c r="AK2495" s="23" t="n">
        <v>0.8</v>
      </c>
      <c r="AL2495" s="23" t="n">
        <v>0</v>
      </c>
      <c r="AM2495" s="16" t="n">
        <f aca="false">COUNTIFS($D$2:$D$2501,D2495,$G$2:$G$2501,"&gt;"&amp;G2495)+COUNTIFS($D$2:D2495,D2495,$G$2:G2495,G2495)</f>
        <v>155</v>
      </c>
      <c r="AN2495" s="5" t="str">
        <f aca="false">D2495&amp;"|"&amp;AM2495</f>
        <v>語音分析|155</v>
      </c>
    </row>
    <row r="2496" customFormat="false" ht="17.15" hidden="false" customHeight="false" outlineLevel="0" collapsed="false">
      <c r="A2496" s="16" t="n">
        <f aca="false">RANK(G2496,$G$2:$G$2501)+COUNTIF($G$2:G2496,G2496)-1</f>
        <v>2495</v>
      </c>
      <c r="B2496" s="11" t="s">
        <v>6186</v>
      </c>
      <c r="C2496" s="11" t="s">
        <v>1325</v>
      </c>
      <c r="D2496" s="5" t="s">
        <v>78</v>
      </c>
      <c r="E2496" s="5" t="s">
        <v>79</v>
      </c>
      <c r="F2496" s="5"/>
      <c r="G2496" s="22" t="n">
        <f aca="false">ROUND(SUM(I2496:P2496),3)</f>
        <v>30.932</v>
      </c>
      <c r="H2496" s="5" t="str">
        <f aca="false">IF(G2496&gt;=評分方法!$C$16,"優先評估",IF(G2496&gt;=評分方法!$C$17,"列入候選",IF(G2496&gt;=評分方法!$C$18,"特定情境","不建議")))</f>
        <v>不建議</v>
      </c>
      <c r="I2496" s="15" t="n">
        <f aca="false">AE2496*評分方法!$C$5</f>
        <v>9</v>
      </c>
      <c r="J2496" s="15" t="n">
        <f aca="false">AF2496*評分方法!$C$6</f>
        <v>0</v>
      </c>
      <c r="K2496" s="15" t="n">
        <f aca="false">AG2496*評分方法!$C$7</f>
        <v>10.05</v>
      </c>
      <c r="L2496" s="15" t="n">
        <f aca="false">AH2496*評分方法!$C$8</f>
        <v>7.05</v>
      </c>
      <c r="M2496" s="15" t="n">
        <f aca="false">AI2496*評分方法!$C$9</f>
        <v>2</v>
      </c>
      <c r="N2496" s="15" t="n">
        <f aca="false">AJ2496*評分方法!$C$10</f>
        <v>0.332</v>
      </c>
      <c r="O2496" s="15" t="n">
        <f aca="false">AK2496*評分方法!$C$11</f>
        <v>1</v>
      </c>
      <c r="P2496" s="15" t="n">
        <f aca="false">AL2496*評分方法!$C$12</f>
        <v>1.5</v>
      </c>
      <c r="Q2496" s="6" t="n">
        <v>125520</v>
      </c>
      <c r="R2496" s="6"/>
      <c r="S2496" s="5" t="s">
        <v>255</v>
      </c>
      <c r="T2496" s="5"/>
      <c r="U2496" s="5" t="s">
        <v>375</v>
      </c>
      <c r="V2496" s="11" t="s">
        <v>514</v>
      </c>
      <c r="W2496" s="5" t="s">
        <v>207</v>
      </c>
      <c r="X2496" s="5" t="s">
        <v>255</v>
      </c>
      <c r="Y2496" s="11" t="s">
        <v>4254</v>
      </c>
      <c r="Z2496" s="11" t="s">
        <v>244</v>
      </c>
      <c r="AA2496" s="11" t="s">
        <v>175</v>
      </c>
      <c r="AB2496" s="5" t="s">
        <v>245</v>
      </c>
      <c r="AC2496" s="5" t="s">
        <v>464</v>
      </c>
      <c r="AD2496" s="11" t="s">
        <v>6187</v>
      </c>
      <c r="AE2496" s="23" t="n">
        <v>0.3</v>
      </c>
      <c r="AF2496" s="23" t="n">
        <v>0</v>
      </c>
      <c r="AG2496" s="23" t="n">
        <v>0.67</v>
      </c>
      <c r="AH2496" s="23" t="n">
        <v>0.47</v>
      </c>
      <c r="AI2496" s="23" t="n">
        <v>0.2</v>
      </c>
      <c r="AJ2496" s="23" t="n">
        <v>0.0332</v>
      </c>
      <c r="AK2496" s="23" t="n">
        <v>0.2</v>
      </c>
      <c r="AL2496" s="23" t="n">
        <v>0.3</v>
      </c>
      <c r="AM2496" s="16" t="n">
        <f aca="false">COUNTIFS($D$2:$D$2501,D2496,$G$2:$G$2501,"&gt;"&amp;G2496)+COUNTIFS($D$2:D2496,D2496,$G$2:G2496,G2496)</f>
        <v>156</v>
      </c>
      <c r="AN2496" s="5" t="str">
        <f aca="false">D2496&amp;"|"&amp;AM2496</f>
        <v>語音分析|156</v>
      </c>
    </row>
    <row r="2497" customFormat="false" ht="17.15" hidden="false" customHeight="false" outlineLevel="0" collapsed="false">
      <c r="A2497" s="16" t="n">
        <f aca="false">RANK(G2497,$G$2:$G$2501)+COUNTIF($G$2:G2497,G2497)-1</f>
        <v>2496</v>
      </c>
      <c r="B2497" s="11" t="s">
        <v>6188</v>
      </c>
      <c r="C2497" s="11" t="s">
        <v>6189</v>
      </c>
      <c r="D2497" s="5" t="s">
        <v>80</v>
      </c>
      <c r="E2497" s="5" t="s">
        <v>81</v>
      </c>
      <c r="F2497" s="5"/>
      <c r="G2497" s="22" t="n">
        <f aca="false">ROUND(SUM(I2497:P2497),3)</f>
        <v>30.792</v>
      </c>
      <c r="H2497" s="5" t="str">
        <f aca="false">IF(G2497&gt;=評分方法!$C$16,"優先評估",IF(G2497&gt;=評分方法!$C$17,"列入候選",IF(G2497&gt;=評分方法!$C$18,"特定情境","不建議")))</f>
        <v>不建議</v>
      </c>
      <c r="I2497" s="15" t="n">
        <f aca="false">AE2497*評分方法!$C$5</f>
        <v>6</v>
      </c>
      <c r="J2497" s="15" t="n">
        <f aca="false">AF2497*評分方法!$C$6</f>
        <v>0</v>
      </c>
      <c r="K2497" s="15" t="n">
        <f aca="false">AG2497*評分方法!$C$7</f>
        <v>4.95</v>
      </c>
      <c r="L2497" s="15" t="n">
        <f aca="false">AH2497*評分方法!$C$8</f>
        <v>7.05</v>
      </c>
      <c r="M2497" s="15" t="n">
        <f aca="false">AI2497*評分方法!$C$9</f>
        <v>2</v>
      </c>
      <c r="N2497" s="15" t="n">
        <f aca="false">AJ2497*評分方法!$C$10</f>
        <v>6.792</v>
      </c>
      <c r="O2497" s="15" t="n">
        <f aca="false">AK2497*評分方法!$C$11</f>
        <v>2.5</v>
      </c>
      <c r="P2497" s="15" t="n">
        <f aca="false">AL2497*評分方法!$C$12</f>
        <v>1.5</v>
      </c>
      <c r="Q2497" s="6" t="n">
        <v>837858</v>
      </c>
      <c r="R2497" s="6"/>
      <c r="S2497" s="5" t="s">
        <v>255</v>
      </c>
      <c r="T2497" s="5"/>
      <c r="U2497" s="5" t="s">
        <v>375</v>
      </c>
      <c r="V2497" s="11" t="s">
        <v>514</v>
      </c>
      <c r="W2497" s="5" t="s">
        <v>334</v>
      </c>
      <c r="X2497" s="5" t="s">
        <v>255</v>
      </c>
      <c r="Y2497" s="5"/>
      <c r="Z2497" s="5"/>
      <c r="AA2497" s="5"/>
      <c r="AB2497" s="5" t="s">
        <v>255</v>
      </c>
      <c r="AC2497" s="5" t="s">
        <v>262</v>
      </c>
      <c r="AD2497" s="11" t="s">
        <v>6190</v>
      </c>
      <c r="AE2497" s="23" t="n">
        <v>0.2</v>
      </c>
      <c r="AF2497" s="23" t="n">
        <v>0</v>
      </c>
      <c r="AG2497" s="23" t="n">
        <v>0.33</v>
      </c>
      <c r="AH2497" s="23" t="n">
        <v>0.47</v>
      </c>
      <c r="AI2497" s="23" t="n">
        <v>0.2</v>
      </c>
      <c r="AJ2497" s="23" t="n">
        <v>0.6792</v>
      </c>
      <c r="AK2497" s="23" t="n">
        <v>0.5</v>
      </c>
      <c r="AL2497" s="23" t="n">
        <v>0.3</v>
      </c>
      <c r="AM2497" s="16" t="n">
        <f aca="false">COUNTIFS($D$2:$D$2501,D2497,$G$2:$G$2501,"&gt;"&amp;G2497)+COUNTIFS($D$2:D2497,D2497,$G$2:G2497,G2497)</f>
        <v>87</v>
      </c>
      <c r="AN2497" s="5" t="str">
        <f aca="false">D2497&amp;"|"&amp;AM2497</f>
        <v>其他|87</v>
      </c>
    </row>
    <row r="2498" customFormat="false" ht="17.15" hidden="false" customHeight="false" outlineLevel="0" collapsed="false">
      <c r="A2498" s="16" t="n">
        <f aca="false">RANK(G2498,$G$2:$G$2501)+COUNTIF($G$2:G2498,G2498)-1</f>
        <v>2497</v>
      </c>
      <c r="B2498" s="11" t="s">
        <v>6191</v>
      </c>
      <c r="C2498" s="11" t="s">
        <v>5983</v>
      </c>
      <c r="D2498" s="5" t="s">
        <v>72</v>
      </c>
      <c r="E2498" s="5" t="s">
        <v>73</v>
      </c>
      <c r="F2498" s="5"/>
      <c r="G2498" s="22" t="n">
        <f aca="false">ROUND(SUM(I2498:P2498),3)</f>
        <v>30.602</v>
      </c>
      <c r="H2498" s="5" t="str">
        <f aca="false">IF(G2498&gt;=評分方法!$C$16,"優先評估",IF(G2498&gt;=評分方法!$C$17,"列入候選",IF(G2498&gt;=評分方法!$C$18,"特定情境","不建議")))</f>
        <v>不建議</v>
      </c>
      <c r="I2498" s="15" t="n">
        <f aca="false">AE2498*評分方法!$C$5</f>
        <v>3.6</v>
      </c>
      <c r="J2498" s="15" t="n">
        <f aca="false">AF2498*評分方法!$C$6</f>
        <v>0</v>
      </c>
      <c r="K2498" s="15" t="n">
        <f aca="false">AG2498*評分方法!$C$7</f>
        <v>4.95</v>
      </c>
      <c r="L2498" s="15" t="n">
        <f aca="false">AH2498*評分方法!$C$8</f>
        <v>15</v>
      </c>
      <c r="M2498" s="15" t="n">
        <f aca="false">AI2498*評分方法!$C$9</f>
        <v>2</v>
      </c>
      <c r="N2498" s="15" t="n">
        <f aca="false">AJ2498*評分方法!$C$10</f>
        <v>4.052</v>
      </c>
      <c r="O2498" s="15" t="n">
        <f aca="false">AK2498*評分方法!$C$11</f>
        <v>1</v>
      </c>
      <c r="P2498" s="15" t="n">
        <f aca="false">AL2498*評分方法!$C$12</f>
        <v>0</v>
      </c>
      <c r="Q2498" s="6" t="n">
        <v>425185</v>
      </c>
      <c r="R2498" s="6" t="n">
        <v>134905477</v>
      </c>
      <c r="S2498" s="11" t="s">
        <v>238</v>
      </c>
      <c r="T2498" s="5"/>
      <c r="U2498" s="5" t="s">
        <v>375</v>
      </c>
      <c r="V2498" s="11" t="s">
        <v>324</v>
      </c>
      <c r="W2498" s="5" t="s">
        <v>334</v>
      </c>
      <c r="X2498" s="5" t="s">
        <v>242</v>
      </c>
      <c r="Y2498" s="5"/>
      <c r="Z2498" s="5"/>
      <c r="AA2498" s="11" t="s">
        <v>162</v>
      </c>
      <c r="AB2498" s="5" t="s">
        <v>328</v>
      </c>
      <c r="AC2498" s="5" t="s">
        <v>6192</v>
      </c>
      <c r="AD2498" s="11" t="s">
        <v>6193</v>
      </c>
      <c r="AE2498" s="23" t="n">
        <v>0.12</v>
      </c>
      <c r="AF2498" s="23" t="n">
        <v>0</v>
      </c>
      <c r="AG2498" s="23" t="n">
        <v>0.33</v>
      </c>
      <c r="AH2498" s="23" t="n">
        <v>1</v>
      </c>
      <c r="AI2498" s="23" t="n">
        <v>0.2</v>
      </c>
      <c r="AJ2498" s="23" t="n">
        <v>0.4052</v>
      </c>
      <c r="AK2498" s="23" t="n">
        <v>0.2</v>
      </c>
      <c r="AL2498" s="23" t="n">
        <v>0</v>
      </c>
      <c r="AM2498" s="16" t="n">
        <f aca="false">COUNTIFS($D$2:$D$2501,D2498,$G$2:$G$2501,"&gt;"&amp;G2498)+COUNTIFS($D$2:D2498,D2498,$G$2:G2498,G2498)</f>
        <v>74</v>
      </c>
      <c r="AN2498" s="5" t="str">
        <f aca="false">D2498&amp;"|"&amp;AM2498</f>
        <v>微調基底模型|74</v>
      </c>
    </row>
    <row r="2499" customFormat="false" ht="17.15" hidden="false" customHeight="false" outlineLevel="0" collapsed="false">
      <c r="A2499" s="16" t="n">
        <f aca="false">RANK(G2499,$G$2:$G$2501)+COUNTIF($G$2:G2499,G2499)-1</f>
        <v>2498</v>
      </c>
      <c r="B2499" s="11" t="s">
        <v>6194</v>
      </c>
      <c r="C2499" s="11" t="s">
        <v>5827</v>
      </c>
      <c r="D2499" s="5" t="s">
        <v>80</v>
      </c>
      <c r="E2499" s="5" t="s">
        <v>81</v>
      </c>
      <c r="F2499" s="5"/>
      <c r="G2499" s="22" t="n">
        <f aca="false">ROUND(SUM(I2499:P2499),3)</f>
        <v>30.28</v>
      </c>
      <c r="H2499" s="5" t="str">
        <f aca="false">IF(G2499&gt;=評分方法!$C$16,"優先評估",IF(G2499&gt;=評分方法!$C$17,"列入候選",IF(G2499&gt;=評分方法!$C$18,"特定情境","不建議")))</f>
        <v>不建議</v>
      </c>
      <c r="I2499" s="15" t="n">
        <f aca="false">AE2499*評分方法!$C$5</f>
        <v>6</v>
      </c>
      <c r="J2499" s="15" t="n">
        <f aca="false">AF2499*評分方法!$C$6</f>
        <v>0</v>
      </c>
      <c r="K2499" s="15" t="n">
        <f aca="false">AG2499*評分方法!$C$7</f>
        <v>4.95</v>
      </c>
      <c r="L2499" s="15" t="n">
        <f aca="false">AH2499*評分方法!$C$8</f>
        <v>7.05</v>
      </c>
      <c r="M2499" s="15" t="n">
        <f aca="false">AI2499*評分方法!$C$9</f>
        <v>10</v>
      </c>
      <c r="N2499" s="15" t="n">
        <f aca="false">AJ2499*評分方法!$C$10</f>
        <v>1.28</v>
      </c>
      <c r="O2499" s="15" t="n">
        <f aca="false">AK2499*評分方法!$C$11</f>
        <v>1</v>
      </c>
      <c r="P2499" s="15" t="n">
        <f aca="false">AL2499*評分方法!$C$12</f>
        <v>0</v>
      </c>
      <c r="Q2499" s="6" t="n">
        <v>166500</v>
      </c>
      <c r="R2499" s="6"/>
      <c r="S2499" s="5" t="s">
        <v>255</v>
      </c>
      <c r="T2499" s="11" t="s">
        <v>239</v>
      </c>
      <c r="U2499" s="5" t="s">
        <v>240</v>
      </c>
      <c r="V2499" s="11" t="s">
        <v>514</v>
      </c>
      <c r="W2499" s="5" t="s">
        <v>334</v>
      </c>
      <c r="X2499" s="5" t="s">
        <v>242</v>
      </c>
      <c r="Y2499" s="5"/>
      <c r="Z2499" s="5"/>
      <c r="AA2499" s="5"/>
      <c r="AB2499" s="5" t="s">
        <v>255</v>
      </c>
      <c r="AC2499" s="5"/>
      <c r="AD2499" s="11" t="s">
        <v>6195</v>
      </c>
      <c r="AE2499" s="23" t="n">
        <v>0.2</v>
      </c>
      <c r="AF2499" s="23" t="n">
        <v>0</v>
      </c>
      <c r="AG2499" s="23" t="n">
        <v>0.33</v>
      </c>
      <c r="AH2499" s="23" t="n">
        <v>0.47</v>
      </c>
      <c r="AI2499" s="23" t="n">
        <v>1</v>
      </c>
      <c r="AJ2499" s="23" t="n">
        <v>0.128</v>
      </c>
      <c r="AK2499" s="23" t="n">
        <v>0.2</v>
      </c>
      <c r="AL2499" s="23" t="n">
        <v>0</v>
      </c>
      <c r="AM2499" s="16" t="n">
        <f aca="false">COUNTIFS($D$2:$D$2501,D2499,$G$2:$G$2501,"&gt;"&amp;G2499)+COUNTIFS($D$2:D2499,D2499,$G$2:G2499,G2499)</f>
        <v>88</v>
      </c>
      <c r="AN2499" s="5" t="str">
        <f aca="false">D2499&amp;"|"&amp;AM2499</f>
        <v>其他|88</v>
      </c>
    </row>
    <row r="2500" customFormat="false" ht="17.15" hidden="false" customHeight="false" outlineLevel="0" collapsed="false">
      <c r="A2500" s="16" t="n">
        <f aca="false">RANK(G2500,$G$2:$G$2501)+COUNTIF($G$2:G2500,G2500)-1</f>
        <v>2499</v>
      </c>
      <c r="B2500" s="11" t="s">
        <v>6196</v>
      </c>
      <c r="C2500" s="11" t="s">
        <v>5876</v>
      </c>
      <c r="D2500" s="5" t="s">
        <v>80</v>
      </c>
      <c r="E2500" s="5" t="s">
        <v>81</v>
      </c>
      <c r="F2500" s="5"/>
      <c r="G2500" s="22" t="n">
        <f aca="false">ROUND(SUM(I2500:P2500),3)</f>
        <v>27.92</v>
      </c>
      <c r="H2500" s="5" t="str">
        <f aca="false">IF(G2500&gt;=評分方法!$C$16,"優先評估",IF(G2500&gt;=評分方法!$C$17,"列入候選",IF(G2500&gt;=評分方法!$C$18,"特定情境","不建議")))</f>
        <v>不建議</v>
      </c>
      <c r="I2500" s="15" t="n">
        <f aca="false">AE2500*評分方法!$C$5</f>
        <v>1.5</v>
      </c>
      <c r="J2500" s="15" t="n">
        <f aca="false">AF2500*評分方法!$C$6</f>
        <v>0</v>
      </c>
      <c r="K2500" s="15" t="n">
        <f aca="false">AG2500*評分方法!$C$7</f>
        <v>4.95</v>
      </c>
      <c r="L2500" s="15" t="n">
        <f aca="false">AH2500*評分方法!$C$8</f>
        <v>7.05</v>
      </c>
      <c r="M2500" s="15" t="n">
        <f aca="false">AI2500*評分方法!$C$9</f>
        <v>6</v>
      </c>
      <c r="N2500" s="15" t="n">
        <f aca="false">AJ2500*評分方法!$C$10</f>
        <v>1.92</v>
      </c>
      <c r="O2500" s="15" t="n">
        <f aca="false">AK2500*評分方法!$C$11</f>
        <v>5</v>
      </c>
      <c r="P2500" s="15" t="n">
        <f aca="false">AL2500*評分方法!$C$12</f>
        <v>1.5</v>
      </c>
      <c r="Q2500" s="6" t="n">
        <v>205923</v>
      </c>
      <c r="R2500" s="6"/>
      <c r="S2500" s="5" t="s">
        <v>255</v>
      </c>
      <c r="T2500" s="11" t="s">
        <v>185</v>
      </c>
      <c r="U2500" s="5" t="s">
        <v>260</v>
      </c>
      <c r="V2500" s="11" t="s">
        <v>333</v>
      </c>
      <c r="W2500" s="5" t="s">
        <v>334</v>
      </c>
      <c r="X2500" s="5" t="s">
        <v>255</v>
      </c>
      <c r="Y2500" s="11" t="s">
        <v>6197</v>
      </c>
      <c r="Z2500" s="11" t="s">
        <v>244</v>
      </c>
      <c r="AA2500" s="11" t="s">
        <v>188</v>
      </c>
      <c r="AB2500" s="5" t="s">
        <v>245</v>
      </c>
      <c r="AC2500" s="5" t="s">
        <v>464</v>
      </c>
      <c r="AD2500" s="11" t="s">
        <v>6198</v>
      </c>
      <c r="AE2500" s="23" t="n">
        <v>0.05</v>
      </c>
      <c r="AF2500" s="23" t="n">
        <v>0</v>
      </c>
      <c r="AG2500" s="23" t="n">
        <v>0.33</v>
      </c>
      <c r="AH2500" s="23" t="n">
        <v>0.47</v>
      </c>
      <c r="AI2500" s="23" t="n">
        <v>0.6</v>
      </c>
      <c r="AJ2500" s="23" t="n">
        <v>0.192</v>
      </c>
      <c r="AK2500" s="23" t="n">
        <v>1</v>
      </c>
      <c r="AL2500" s="23" t="n">
        <v>0.3</v>
      </c>
      <c r="AM2500" s="16" t="n">
        <f aca="false">COUNTIFS($D$2:$D$2501,D2500,$G$2:$G$2501,"&gt;"&amp;G2500)+COUNTIFS($D$2:D2500,D2500,$G$2:G2500,G2500)</f>
        <v>89</v>
      </c>
      <c r="AN2500" s="5" t="str">
        <f aca="false">D2500&amp;"|"&amp;AM2500</f>
        <v>其他|89</v>
      </c>
    </row>
    <row r="2501" customFormat="false" ht="17.15" hidden="false" customHeight="false" outlineLevel="0" collapsed="false">
      <c r="A2501" s="16" t="n">
        <f aca="false">RANK(G2501,$G$2:$G$2501)+COUNTIF($G$2:G2501,G2501)-1</f>
        <v>2500</v>
      </c>
      <c r="B2501" s="11" t="s">
        <v>6199</v>
      </c>
      <c r="C2501" s="11" t="s">
        <v>6200</v>
      </c>
      <c r="D2501" s="5" t="s">
        <v>80</v>
      </c>
      <c r="E2501" s="5" t="s">
        <v>81</v>
      </c>
      <c r="F2501" s="5"/>
      <c r="G2501" s="22" t="n">
        <f aca="false">ROUND(SUM(I2501:P2501),3)</f>
        <v>26.22</v>
      </c>
      <c r="H2501" s="5" t="str">
        <f aca="false">IF(G2501&gt;=評分方法!$C$16,"優先評估",IF(G2501&gt;=評分方法!$C$17,"列入候選",IF(G2501&gt;=評分方法!$C$18,"特定情境","不建議")))</f>
        <v>不建議</v>
      </c>
      <c r="I2501" s="15" t="n">
        <f aca="false">AE2501*評分方法!$C$5</f>
        <v>6</v>
      </c>
      <c r="J2501" s="15" t="n">
        <f aca="false">AF2501*評分方法!$C$6</f>
        <v>0</v>
      </c>
      <c r="K2501" s="15" t="n">
        <f aca="false">AG2501*評分方法!$C$7</f>
        <v>4.95</v>
      </c>
      <c r="L2501" s="15" t="n">
        <f aca="false">AH2501*評分方法!$C$8</f>
        <v>7.05</v>
      </c>
      <c r="M2501" s="15" t="n">
        <f aca="false">AI2501*評分方法!$C$9</f>
        <v>2</v>
      </c>
      <c r="N2501" s="15" t="n">
        <f aca="false">AJ2501*評分方法!$C$10</f>
        <v>0.72</v>
      </c>
      <c r="O2501" s="15" t="n">
        <f aca="false">AK2501*評分方法!$C$11</f>
        <v>4</v>
      </c>
      <c r="P2501" s="15" t="n">
        <f aca="false">AL2501*評分方法!$C$12</f>
        <v>1.5</v>
      </c>
      <c r="Q2501" s="6" t="n">
        <v>143395</v>
      </c>
      <c r="R2501" s="6"/>
      <c r="S2501" s="5" t="s">
        <v>255</v>
      </c>
      <c r="T2501" s="5"/>
      <c r="U2501" s="5" t="s">
        <v>375</v>
      </c>
      <c r="V2501" s="11" t="s">
        <v>261</v>
      </c>
      <c r="W2501" s="5" t="s">
        <v>334</v>
      </c>
      <c r="X2501" s="5" t="s">
        <v>255</v>
      </c>
      <c r="Y2501" s="5"/>
      <c r="Z2501" s="5"/>
      <c r="AA2501" s="5"/>
      <c r="AB2501" s="5" t="s">
        <v>255</v>
      </c>
      <c r="AC2501" s="5" t="s">
        <v>262</v>
      </c>
      <c r="AD2501" s="11" t="s">
        <v>6201</v>
      </c>
      <c r="AE2501" s="23" t="n">
        <v>0.2</v>
      </c>
      <c r="AF2501" s="23" t="n">
        <v>0</v>
      </c>
      <c r="AG2501" s="23" t="n">
        <v>0.33</v>
      </c>
      <c r="AH2501" s="23" t="n">
        <v>0.47</v>
      </c>
      <c r="AI2501" s="23" t="n">
        <v>0.2</v>
      </c>
      <c r="AJ2501" s="23" t="n">
        <v>0.072</v>
      </c>
      <c r="AK2501" s="23" t="n">
        <v>0.8</v>
      </c>
      <c r="AL2501" s="23" t="n">
        <v>0.3</v>
      </c>
      <c r="AM2501" s="16" t="n">
        <f aca="false">COUNTIFS($D$2:$D$2501,D2501,$G$2:$G$2501,"&gt;"&amp;G2501)+COUNTIFS($D$2:D2501,D2501,$G$2:G2501,G2501)</f>
        <v>90</v>
      </c>
      <c r="AN2501" s="5" t="str">
        <f aca="false">D2501&amp;"|"&amp;AM2501</f>
        <v>其他|90</v>
      </c>
    </row>
  </sheetData>
  <autoFilter ref="A1:AN2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5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7" t="s">
        <v>6202</v>
      </c>
    </row>
    <row r="2" customFormat="false" ht="19.5" hidden="false" customHeight="true" outlineLevel="0" collapsed="false">
      <c r="A2" s="3" t="s">
        <v>6203</v>
      </c>
      <c r="B2" s="3"/>
      <c r="C2" s="3"/>
      <c r="D2" s="3"/>
      <c r="E2" s="3"/>
      <c r="F2" s="3"/>
    </row>
    <row r="4" customFormat="false" ht="32.8" hidden="false" customHeight="false" outlineLevel="0" collapsed="false">
      <c r="A4" s="4" t="s">
        <v>41</v>
      </c>
      <c r="B4" s="4" t="s">
        <v>234</v>
      </c>
      <c r="C4" s="4" t="s">
        <v>84</v>
      </c>
      <c r="D4" s="4" t="s">
        <v>83</v>
      </c>
      <c r="E4" s="4" t="s">
        <v>29</v>
      </c>
      <c r="F4" s="4" t="s">
        <v>212</v>
      </c>
    </row>
    <row r="5" customFormat="false" ht="17.15" hidden="false" customHeight="false" outlineLevel="0" collapsed="false">
      <c r="A5" s="11" t="s">
        <v>46</v>
      </c>
      <c r="B5" s="16" t="n">
        <v>1</v>
      </c>
      <c r="C5" s="5" t="str">
        <f aca="false">IFERROR(INDEX(資安適用排名!$B$2:$B$2501,MATCH($A5&amp;"|"&amp;$B5,資安適用排名!$AN$2:$AN$2501,0)),"")</f>
        <v>protectai/deberta-v3-base-prompt-injection-v2</v>
      </c>
      <c r="D5" s="15" t="n">
        <f aca="false">IFERROR(INDEX(資安適用排名!$G$2:$G$2501,MATCH($A5&amp;"|"&amp;$B5,資安適用排名!$AN$2:$AN$2501,0)),"")</f>
        <v>93.848</v>
      </c>
      <c r="E5" s="5" t="str">
        <f aca="false">IFERROR(INDEX(資安適用排名!$H$2:$H$2501,MATCH($A5&amp;"|"&amp;$B5,資安適用排名!$AN$2:$AN$2501,0)),"")</f>
        <v>優先評估</v>
      </c>
      <c r="F5" s="12" t="str">
        <f aca="false">IFERROR(INDEX(資安適用排名!$E$2:$E$2501,MATCH($A5&amp;"|"&amp;$B5,資安適用排名!$AN$2:$AN$2501,0)),"")</f>
        <v>AI 應用的提示注入、越獄與有害內容偵測</v>
      </c>
    </row>
    <row r="6" customFormat="false" ht="17.15" hidden="false" customHeight="false" outlineLevel="0" collapsed="false">
      <c r="A6" s="11" t="s">
        <v>46</v>
      </c>
      <c r="B6" s="16" t="n">
        <v>2</v>
      </c>
      <c r="C6" s="5" t="str">
        <f aca="false">IFERROR(INDEX(資安適用排名!$B$2:$B$2501,MATCH($A6&amp;"|"&amp;$B6,資安適用排名!$AN$2:$AN$2501,0)),"")</f>
        <v>meta-llama/Prompt-Guard-86M</v>
      </c>
      <c r="D6" s="15" t="n">
        <f aca="false">IFERROR(INDEX(資安適用排名!$G$2:$G$2501,MATCH($A6&amp;"|"&amp;$B6,資安適用排名!$AN$2:$AN$2501,0)),"")</f>
        <v>89.792</v>
      </c>
      <c r="E6" s="5" t="str">
        <f aca="false">IFERROR(INDEX(資安適用排名!$H$2:$H$2501,MATCH($A6&amp;"|"&amp;$B6,資安適用排名!$AN$2:$AN$2501,0)),"")</f>
        <v>優先評估</v>
      </c>
      <c r="F6" s="12" t="str">
        <f aca="false">IFERROR(INDEX(資安適用排名!$E$2:$E$2501,MATCH($A6&amp;"|"&amp;$B6,資安適用排名!$AN$2:$AN$2501,0)),"")</f>
        <v>AI 應用的提示注入、越獄與有害內容偵測</v>
      </c>
    </row>
    <row r="7" customFormat="false" ht="17.15" hidden="false" customHeight="false" outlineLevel="0" collapsed="false">
      <c r="A7" s="11" t="s">
        <v>46</v>
      </c>
      <c r="B7" s="16" t="n">
        <v>3</v>
      </c>
      <c r="C7" s="5" t="str">
        <f aca="false">IFERROR(INDEX(資安適用排名!$B$2:$B$2501,MATCH($A7&amp;"|"&amp;$B7,資安適用排名!$AN$2:$AN$2501,0)),"")</f>
        <v>protectai/deberta-v3-base-prompt-injection</v>
      </c>
      <c r="D7" s="15" t="n">
        <f aca="false">IFERROR(INDEX(資安適用排名!$G$2:$G$2501,MATCH($A7&amp;"|"&amp;$B7,資安適用排名!$AN$2:$AN$2501,0)),"")</f>
        <v>88.328</v>
      </c>
      <c r="E7" s="5" t="str">
        <f aca="false">IFERROR(INDEX(資安適用排名!$H$2:$H$2501,MATCH($A7&amp;"|"&amp;$B7,資安適用排名!$AN$2:$AN$2501,0)),"")</f>
        <v>優先評估</v>
      </c>
      <c r="F7" s="12" t="str">
        <f aca="false">IFERROR(INDEX(資安適用排名!$E$2:$E$2501,MATCH($A7&amp;"|"&amp;$B7,資安適用排名!$AN$2:$AN$2501,0)),"")</f>
        <v>AI 應用的提示注入、越獄與有害內容偵測</v>
      </c>
    </row>
    <row r="8" customFormat="false" ht="17.15" hidden="false" customHeight="false" outlineLevel="0" collapsed="false">
      <c r="A8" s="11" t="s">
        <v>46</v>
      </c>
      <c r="B8" s="16" t="n">
        <v>4</v>
      </c>
      <c r="C8" s="5" t="str">
        <f aca="false">IFERROR(INDEX(資安適用排名!$B$2:$B$2501,MATCH($A8&amp;"|"&amp;$B8,資安適用排名!$AN$2:$AN$2501,0)),"")</f>
        <v>meta-llama/Llama-Prompt-Guard-2-86M</v>
      </c>
      <c r="D8" s="15" t="n">
        <f aca="false">IFERROR(INDEX(資安適用排名!$G$2:$G$2501,MATCH($A8&amp;"|"&amp;$B8,資安適用排名!$AN$2:$AN$2501,0)),"")</f>
        <v>84.908</v>
      </c>
      <c r="E8" s="5" t="str">
        <f aca="false">IFERROR(INDEX(資安適用排名!$H$2:$H$2501,MATCH($A8&amp;"|"&amp;$B8,資安適用排名!$AN$2:$AN$2501,0)),"")</f>
        <v>優先評估</v>
      </c>
      <c r="F8" s="12" t="str">
        <f aca="false">IFERROR(INDEX(資安適用排名!$E$2:$E$2501,MATCH($A8&amp;"|"&amp;$B8,資安適用排名!$AN$2:$AN$2501,0)),"")</f>
        <v>AI 應用的提示注入、越獄與有害內容偵測</v>
      </c>
    </row>
    <row r="9" customFormat="false" ht="17.15" hidden="false" customHeight="false" outlineLevel="0" collapsed="false">
      <c r="A9" s="11" t="s">
        <v>46</v>
      </c>
      <c r="B9" s="16" t="n">
        <v>5</v>
      </c>
      <c r="C9" s="5" t="str">
        <f aca="false">IFERROR(INDEX(資安適用排名!$B$2:$B$2501,MATCH($A9&amp;"|"&amp;$B9,資安適用排名!$AN$2:$AN$2501,0)),"")</f>
        <v>allenai/wildguard</v>
      </c>
      <c r="D9" s="15" t="n">
        <f aca="false">IFERROR(INDEX(資安適用排名!$G$2:$G$2501,MATCH($A9&amp;"|"&amp;$B9,資安適用排名!$AN$2:$AN$2501,0)),"")</f>
        <v>83.138</v>
      </c>
      <c r="E9" s="5" t="str">
        <f aca="false">IFERROR(INDEX(資安適用排名!$H$2:$H$2501,MATCH($A9&amp;"|"&amp;$B9,資安適用排名!$AN$2:$AN$2501,0)),"")</f>
        <v>優先評估</v>
      </c>
      <c r="F9" s="12" t="str">
        <f aca="false">IFERROR(INDEX(資安適用排名!$E$2:$E$2501,MATCH($A9&amp;"|"&amp;$B9,資安適用排名!$AN$2:$AN$2501,0)),"")</f>
        <v>AI 應用的提示注入、越獄與有害內容偵測</v>
      </c>
    </row>
    <row r="10" customFormat="false" ht="17.15" hidden="false" customHeight="false" outlineLevel="0" collapsed="false">
      <c r="A10" s="11" t="s">
        <v>46</v>
      </c>
      <c r="B10" s="16" t="n">
        <v>6</v>
      </c>
      <c r="C10" s="5" t="str">
        <f aca="false">IFERROR(INDEX(資安適用排名!$B$2:$B$2501,MATCH($A10&amp;"|"&amp;$B10,資安適用排名!$AN$2:$AN$2501,0)),"")</f>
        <v>nvidia/Nemotron-3.5-Content-Safety</v>
      </c>
      <c r="D10" s="15" t="n">
        <f aca="false">IFERROR(INDEX(資安適用排名!$G$2:$G$2501,MATCH($A10&amp;"|"&amp;$B10,資安適用排名!$AN$2:$AN$2501,0)),"")</f>
        <v>83.09</v>
      </c>
      <c r="E10" s="5" t="str">
        <f aca="false">IFERROR(INDEX(資安適用排名!$H$2:$H$2501,MATCH($A10&amp;"|"&amp;$B10,資安適用排名!$AN$2:$AN$2501,0)),"")</f>
        <v>優先評估</v>
      </c>
      <c r="F10" s="12" t="str">
        <f aca="false">IFERROR(INDEX(資安適用排名!$E$2:$E$2501,MATCH($A10&amp;"|"&amp;$B10,資安適用排名!$AN$2:$AN$2501,0)),"")</f>
        <v>AI 應用的提示注入、越獄與有害內容偵測</v>
      </c>
    </row>
    <row r="11" customFormat="false" ht="17.15" hidden="false" customHeight="false" outlineLevel="0" collapsed="false">
      <c r="A11" s="11" t="s">
        <v>46</v>
      </c>
      <c r="B11" s="16" t="n">
        <v>7</v>
      </c>
      <c r="C11" s="5" t="str">
        <f aca="false">IFERROR(INDEX(資安適用排名!$B$2:$B$2501,MATCH($A11&amp;"|"&amp;$B11,資安適用排名!$AN$2:$AN$2501,0)),"")</f>
        <v>GuardrailsAI/prompt-saturation-attack-detector</v>
      </c>
      <c r="D11" s="15" t="n">
        <f aca="false">IFERROR(INDEX(資安適用排名!$G$2:$G$2501,MATCH($A11&amp;"|"&amp;$B11,資安適用排名!$AN$2:$AN$2501,0)),"")</f>
        <v>80.852</v>
      </c>
      <c r="E11" s="5" t="str">
        <f aca="false">IFERROR(INDEX(資安適用排名!$H$2:$H$2501,MATCH($A11&amp;"|"&amp;$B11,資安適用排名!$AN$2:$AN$2501,0)),"")</f>
        <v>優先評估</v>
      </c>
      <c r="F11" s="12" t="str">
        <f aca="false">IFERROR(INDEX(資安適用排名!$E$2:$E$2501,MATCH($A11&amp;"|"&amp;$B11,資安適用排名!$AN$2:$AN$2501,0)),"")</f>
        <v>AI 應用的提示注入、越獄與有害內容偵測</v>
      </c>
    </row>
    <row r="12" customFormat="false" ht="17.15" hidden="false" customHeight="false" outlineLevel="0" collapsed="false">
      <c r="A12" s="11" t="s">
        <v>46</v>
      </c>
      <c r="B12" s="16" t="n">
        <v>8</v>
      </c>
      <c r="C12" s="5" t="str">
        <f aca="false">IFERROR(INDEX(資安適用排名!$B$2:$B$2501,MATCH($A12&amp;"|"&amp;$B12,資安適用排名!$AN$2:$AN$2501,0)),"")</f>
        <v>openai/gpt-oss-safeguard-20b</v>
      </c>
      <c r="D12" s="15" t="n">
        <f aca="false">IFERROR(INDEX(資安適用排名!$G$2:$G$2501,MATCH($A12&amp;"|"&amp;$B12,資安適用排名!$AN$2:$AN$2501,0)),"")</f>
        <v>80.84</v>
      </c>
      <c r="E12" s="5" t="str">
        <f aca="false">IFERROR(INDEX(資安適用排名!$H$2:$H$2501,MATCH($A12&amp;"|"&amp;$B12,資安適用排名!$AN$2:$AN$2501,0)),"")</f>
        <v>優先評估</v>
      </c>
      <c r="F12" s="12" t="str">
        <f aca="false">IFERROR(INDEX(資安適用排名!$E$2:$E$2501,MATCH($A12&amp;"|"&amp;$B12,資安適用排名!$AN$2:$AN$2501,0)),"")</f>
        <v>AI 應用的提示注入、越獄與有害內容偵測</v>
      </c>
    </row>
    <row r="13" customFormat="false" ht="17.15" hidden="false" customHeight="false" outlineLevel="0" collapsed="false">
      <c r="A13" s="11" t="s">
        <v>46</v>
      </c>
      <c r="B13" s="16" t="n">
        <v>9</v>
      </c>
      <c r="C13" s="5" t="str">
        <f aca="false">IFERROR(INDEX(資安適用排名!$B$2:$B$2501,MATCH($A13&amp;"|"&amp;$B13,資安適用排名!$AN$2:$AN$2501,0)),"")</f>
        <v>ibm-granite/granite-guardian-4.1-8b</v>
      </c>
      <c r="D13" s="15" t="n">
        <f aca="false">IFERROR(INDEX(資安適用排名!$G$2:$G$2501,MATCH($A13&amp;"|"&amp;$B13,資安適用排名!$AN$2:$AN$2501,0)),"")</f>
        <v>80.642</v>
      </c>
      <c r="E13" s="5" t="str">
        <f aca="false">IFERROR(INDEX(資安適用排名!$H$2:$H$2501,MATCH($A13&amp;"|"&amp;$B13,資安適用排名!$AN$2:$AN$2501,0)),"")</f>
        <v>優先評估</v>
      </c>
      <c r="F13" s="12" t="str">
        <f aca="false">IFERROR(INDEX(資安適用排名!$E$2:$E$2501,MATCH($A13&amp;"|"&amp;$B13,資安適用排名!$AN$2:$AN$2501,0)),"")</f>
        <v>AI 應用的提示注入、越獄與有害內容偵測</v>
      </c>
    </row>
    <row r="14" customFormat="false" ht="17.15" hidden="false" customHeight="false" outlineLevel="0" collapsed="false">
      <c r="A14" s="11" t="s">
        <v>46</v>
      </c>
      <c r="B14" s="16" t="n">
        <v>10</v>
      </c>
      <c r="C14" s="5" t="str">
        <f aca="false">IFERROR(INDEX(資安適用排名!$B$2:$B$2501,MATCH($A14&amp;"|"&amp;$B14,資安適用排名!$AN$2:$AN$2501,0)),"")</f>
        <v>ibm-granite/granite-guardian-3.3-8b</v>
      </c>
      <c r="D14" s="15" t="n">
        <f aca="false">IFERROR(INDEX(資安適用排名!$G$2:$G$2501,MATCH($A14&amp;"|"&amp;$B14,資安適用排名!$AN$2:$AN$2501,0)),"")</f>
        <v>78.558</v>
      </c>
      <c r="E14" s="5" t="str">
        <f aca="false">IFERROR(INDEX(資安適用排名!$H$2:$H$2501,MATCH($A14&amp;"|"&amp;$B14,資安適用排名!$AN$2:$AN$2501,0)),"")</f>
        <v>列入候選</v>
      </c>
      <c r="F14" s="12" t="str">
        <f aca="false">IFERROR(INDEX(資安適用排名!$E$2:$E$2501,MATCH($A14&amp;"|"&amp;$B14,資安適用排名!$AN$2:$AN$2501,0)),"")</f>
        <v>AI 應用的提示注入、越獄與有害內容偵測</v>
      </c>
    </row>
    <row r="15" customFormat="false" ht="17.15" hidden="false" customHeight="false" outlineLevel="0" collapsed="false">
      <c r="A15" s="5" t="s">
        <v>48</v>
      </c>
      <c r="B15" s="16" t="n">
        <v>1</v>
      </c>
      <c r="C15" s="5" t="str">
        <f aca="false">IFERROR(INDEX(資安適用排名!$B$2:$B$2501,MATCH($A15&amp;"|"&amp;$B15,資安適用排名!$AN$2:$AN$2501,0)),"")</f>
        <v>gravitee-io/bert-small-pii-detection</v>
      </c>
      <c r="D15" s="15" t="n">
        <f aca="false">IFERROR(INDEX(資安適用排名!$G$2:$G$2501,MATCH($A15&amp;"|"&amp;$B15,資安適用排名!$AN$2:$AN$2501,0)),"")</f>
        <v>91.272</v>
      </c>
      <c r="E15" s="5" t="str">
        <f aca="false">IFERROR(INDEX(資安適用排名!$H$2:$H$2501,MATCH($A15&amp;"|"&amp;$B15,資安適用排名!$AN$2:$AN$2501,0)),"")</f>
        <v>優先評估</v>
      </c>
      <c r="F15" s="12" t="str">
        <f aca="false">IFERROR(INDEX(資安適用排名!$E$2:$E$2501,MATCH($A15&amp;"|"&amp;$B15,資安適用排名!$AN$2:$AN$2501,0)),"")</f>
        <v>個資偵測與遮蔽</v>
      </c>
    </row>
    <row r="16" customFormat="false" ht="17.15" hidden="false" customHeight="false" outlineLevel="0" collapsed="false">
      <c r="A16" s="5" t="s">
        <v>48</v>
      </c>
      <c r="B16" s="16" t="n">
        <v>2</v>
      </c>
      <c r="C16" s="5" t="str">
        <f aca="false">IFERROR(INDEX(資安適用排名!$B$2:$B$2501,MATCH($A16&amp;"|"&amp;$B16,資安適用排名!$AN$2:$AN$2501,0)),"")</f>
        <v>openai/privacy-filter</v>
      </c>
      <c r="D16" s="15" t="n">
        <f aca="false">IFERROR(INDEX(資安適用排名!$G$2:$G$2501,MATCH($A16&amp;"|"&amp;$B16,資安適用排名!$AN$2:$AN$2501,0)),"")</f>
        <v>90.486</v>
      </c>
      <c r="E16" s="5" t="str">
        <f aca="false">IFERROR(INDEX(資安適用排名!$H$2:$H$2501,MATCH($A16&amp;"|"&amp;$B16,資安適用排名!$AN$2:$AN$2501,0)),"")</f>
        <v>優先評估</v>
      </c>
      <c r="F16" s="12" t="str">
        <f aca="false">IFERROR(INDEX(資安適用排名!$E$2:$E$2501,MATCH($A16&amp;"|"&amp;$B16,資安適用排名!$AN$2:$AN$2501,0)),"")</f>
        <v>個資偵測與遮蔽</v>
      </c>
    </row>
    <row r="17" customFormat="false" ht="17.15" hidden="false" customHeight="false" outlineLevel="0" collapsed="false">
      <c r="A17" s="5" t="s">
        <v>48</v>
      </c>
      <c r="B17" s="16" t="n">
        <v>3</v>
      </c>
      <c r="C17" s="5" t="str">
        <f aca="false">IFERROR(INDEX(資安適用排名!$B$2:$B$2501,MATCH($A17&amp;"|"&amp;$B17,資安適用排名!$AN$2:$AN$2501,0)),"")</f>
        <v>fastino/gliner2-privacy-filter-PII-multi</v>
      </c>
      <c r="D17" s="15" t="n">
        <f aca="false">IFERROR(INDEX(資安適用排名!$G$2:$G$2501,MATCH($A17&amp;"|"&amp;$B17,資安適用排名!$AN$2:$AN$2501,0)),"")</f>
        <v>89.14</v>
      </c>
      <c r="E17" s="5" t="str">
        <f aca="false">IFERROR(INDEX(資安適用排名!$H$2:$H$2501,MATCH($A17&amp;"|"&amp;$B17,資安適用排名!$AN$2:$AN$2501,0)),"")</f>
        <v>優先評估</v>
      </c>
      <c r="F17" s="12" t="str">
        <f aca="false">IFERROR(INDEX(資安適用排名!$E$2:$E$2501,MATCH($A17&amp;"|"&amp;$B17,資安適用排名!$AN$2:$AN$2501,0)),"")</f>
        <v>個資偵測與遮蔽</v>
      </c>
    </row>
    <row r="18" customFormat="false" ht="17.15" hidden="false" customHeight="false" outlineLevel="0" collapsed="false">
      <c r="A18" s="5" t="s">
        <v>48</v>
      </c>
      <c r="B18" s="16" t="n">
        <v>4</v>
      </c>
      <c r="C18" s="5" t="str">
        <f aca="false">IFERROR(INDEX(資安適用排名!$B$2:$B$2501,MATCH($A18&amp;"|"&amp;$B18,資安適用排名!$AN$2:$AN$2501,0)),"")</f>
        <v>LocalAI-io/privacy-filter-multilingual-GGUF</v>
      </c>
      <c r="D18" s="15" t="n">
        <f aca="false">IFERROR(INDEX(資安適用排名!$G$2:$G$2501,MATCH($A18&amp;"|"&amp;$B18,資安適用排名!$AN$2:$AN$2501,0)),"")</f>
        <v>82.676</v>
      </c>
      <c r="E18" s="5" t="str">
        <f aca="false">IFERROR(INDEX(資安適用排名!$H$2:$H$2501,MATCH($A18&amp;"|"&amp;$B18,資安適用排名!$AN$2:$AN$2501,0)),"")</f>
        <v>優先評估</v>
      </c>
      <c r="F18" s="12" t="str">
        <f aca="false">IFERROR(INDEX(資安適用排名!$E$2:$E$2501,MATCH($A18&amp;"|"&amp;$B18,資安適用排名!$AN$2:$AN$2501,0)),"")</f>
        <v>個資偵測與遮蔽</v>
      </c>
    </row>
    <row r="19" customFormat="false" ht="17.15" hidden="false" customHeight="false" outlineLevel="0" collapsed="false">
      <c r="A19" s="5" t="s">
        <v>48</v>
      </c>
      <c r="B19" s="16" t="n">
        <v>5</v>
      </c>
      <c r="C19" s="5" t="str">
        <f aca="false">IFERROR(INDEX(資安適用排名!$B$2:$B$2501,MATCH($A19&amp;"|"&amp;$B19,資安適用排名!$AN$2:$AN$2501,0)),"")</f>
        <v>OpenMed/privacy-filter-multilingual</v>
      </c>
      <c r="D19" s="15" t="n">
        <f aca="false">IFERROR(INDEX(資安適用排名!$G$2:$G$2501,MATCH($A19&amp;"|"&amp;$B19,資安適用排名!$AN$2:$AN$2501,0)),"")</f>
        <v>80.676</v>
      </c>
      <c r="E19" s="5" t="str">
        <f aca="false">IFERROR(INDEX(資安適用排名!$H$2:$H$2501,MATCH($A19&amp;"|"&amp;$B19,資安適用排名!$AN$2:$AN$2501,0)),"")</f>
        <v>優先評估</v>
      </c>
      <c r="F19" s="12" t="str">
        <f aca="false">IFERROR(INDEX(資安適用排名!$E$2:$E$2501,MATCH($A19&amp;"|"&amp;$B19,資安適用排名!$AN$2:$AN$2501,0)),"")</f>
        <v>個資偵測與遮蔽</v>
      </c>
    </row>
    <row r="20" customFormat="false" ht="17.15" hidden="false" customHeight="false" outlineLevel="0" collapsed="false">
      <c r="A20" s="5" t="s">
        <v>48</v>
      </c>
      <c r="B20" s="16" t="n">
        <v>6</v>
      </c>
      <c r="C20" s="5" t="str">
        <f aca="false">IFERROR(INDEX(資安適用排名!$B$2:$B$2501,MATCH($A20&amp;"|"&amp;$B20,資安適用排名!$AN$2:$AN$2501,0)),"")</f>
        <v>LocalAI-io/privacy-filter-nemotron-GGUF</v>
      </c>
      <c r="D20" s="15" t="n">
        <f aca="false">IFERROR(INDEX(資安適用排名!$G$2:$G$2501,MATCH($A20&amp;"|"&amp;$B20,資安適用排名!$AN$2:$AN$2501,0)),"")</f>
        <v>79.56</v>
      </c>
      <c r="E20" s="5" t="str">
        <f aca="false">IFERROR(INDEX(資安適用排名!$H$2:$H$2501,MATCH($A20&amp;"|"&amp;$B20,資安適用排名!$AN$2:$AN$2501,0)),"")</f>
        <v>列入候選</v>
      </c>
      <c r="F20" s="12" t="str">
        <f aca="false">IFERROR(INDEX(資安適用排名!$E$2:$E$2501,MATCH($A20&amp;"|"&amp;$B20,資安適用排名!$AN$2:$AN$2501,0)),"")</f>
        <v>個資偵測與遮蔽</v>
      </c>
    </row>
    <row r="21" customFormat="false" ht="17.15" hidden="false" customHeight="false" outlineLevel="0" collapsed="false">
      <c r="A21" s="5" t="s">
        <v>48</v>
      </c>
      <c r="B21" s="16" t="n">
        <v>7</v>
      </c>
      <c r="C21" s="5" t="str">
        <f aca="false">IFERROR(INDEX(資安適用排名!$B$2:$B$2501,MATCH($A21&amp;"|"&amp;$B21,資安適用排名!$AN$2:$AN$2501,0)),"")</f>
        <v>OpenMed/OpenMed-PII-SuperClinical-Small-44M-v1</v>
      </c>
      <c r="D21" s="15" t="n">
        <f aca="false">IFERROR(INDEX(資安適用排名!$G$2:$G$2501,MATCH($A21&amp;"|"&amp;$B21,資安適用排名!$AN$2:$AN$2501,0)),"")</f>
        <v>78.89</v>
      </c>
      <c r="E21" s="5" t="str">
        <f aca="false">IFERROR(INDEX(資安適用排名!$H$2:$H$2501,MATCH($A21&amp;"|"&amp;$B21,資安適用排名!$AN$2:$AN$2501,0)),"")</f>
        <v>列入候選</v>
      </c>
      <c r="F21" s="12" t="str">
        <f aca="false">IFERROR(INDEX(資安適用排名!$E$2:$E$2501,MATCH($A21&amp;"|"&amp;$B21,資安適用排名!$AN$2:$AN$2501,0)),"")</f>
        <v>個資偵測與遮蔽</v>
      </c>
    </row>
    <row r="22" customFormat="false" ht="17.15" hidden="false" customHeight="false" outlineLevel="0" collapsed="false">
      <c r="A22" s="5" t="s">
        <v>48</v>
      </c>
      <c r="B22" s="16" t="n">
        <v>8</v>
      </c>
      <c r="C22" s="5" t="str">
        <f aca="false">IFERROR(INDEX(資安適用排名!$B$2:$B$2501,MATCH($A22&amp;"|"&amp;$B22,資安適用排名!$AN$2:$AN$2501,0)),"")</f>
        <v>OpenMed/privacy-filter-multilingual-v2</v>
      </c>
      <c r="D22" s="15" t="n">
        <f aca="false">IFERROR(INDEX(資安適用排名!$G$2:$G$2501,MATCH($A22&amp;"|"&amp;$B22,資安適用排名!$AN$2:$AN$2501,0)),"")</f>
        <v>78.516</v>
      </c>
      <c r="E22" s="5" t="str">
        <f aca="false">IFERROR(INDEX(資安適用排名!$H$2:$H$2501,MATCH($A22&amp;"|"&amp;$B22,資安適用排名!$AN$2:$AN$2501,0)),"")</f>
        <v>列入候選</v>
      </c>
      <c r="F22" s="12" t="str">
        <f aca="false">IFERROR(INDEX(資安適用排名!$E$2:$E$2501,MATCH($A22&amp;"|"&amp;$B22,資安適用排名!$AN$2:$AN$2501,0)),"")</f>
        <v>個資偵測與遮蔽</v>
      </c>
    </row>
    <row r="23" customFormat="false" ht="17.15" hidden="false" customHeight="false" outlineLevel="0" collapsed="false">
      <c r="A23" s="5" t="s">
        <v>48</v>
      </c>
      <c r="B23" s="16" t="n">
        <v>9</v>
      </c>
      <c r="C23" s="5" t="str">
        <f aca="false">IFERROR(INDEX(資安適用排名!$B$2:$B$2501,MATCH($A23&amp;"|"&amp;$B23,資安適用排名!$AN$2:$AN$2501,0)),"")</f>
        <v>OpenMed/OpenMed-PII-SuperClinical-Large-434M-v1</v>
      </c>
      <c r="D23" s="15" t="n">
        <f aca="false">IFERROR(INDEX(資安適用排名!$G$2:$G$2501,MATCH($A23&amp;"|"&amp;$B23,資安適用排名!$AN$2:$AN$2501,0)),"")</f>
        <v>77.282</v>
      </c>
      <c r="E23" s="5" t="str">
        <f aca="false">IFERROR(INDEX(資安適用排名!$H$2:$H$2501,MATCH($A23&amp;"|"&amp;$B23,資安適用排名!$AN$2:$AN$2501,0)),"")</f>
        <v>列入候選</v>
      </c>
      <c r="F23" s="12" t="str">
        <f aca="false">IFERROR(INDEX(資安適用排名!$E$2:$E$2501,MATCH($A23&amp;"|"&amp;$B23,資安適用排名!$AN$2:$AN$2501,0)),"")</f>
        <v>個資偵測與遮蔽</v>
      </c>
    </row>
    <row r="24" customFormat="false" ht="17.15" hidden="false" customHeight="false" outlineLevel="0" collapsed="false">
      <c r="A24" s="5" t="s">
        <v>48</v>
      </c>
      <c r="B24" s="16" t="n">
        <v>10</v>
      </c>
      <c r="C24" s="5" t="str">
        <f aca="false">IFERROR(INDEX(資安適用排名!$B$2:$B$2501,MATCH($A24&amp;"|"&amp;$B24,資安適用排名!$AN$2:$AN$2501,0)),"")</f>
        <v>OpenMed/privacy-filter-nemotron</v>
      </c>
      <c r="D24" s="15" t="n">
        <f aca="false">IFERROR(INDEX(資安適用排名!$G$2:$G$2501,MATCH($A24&amp;"|"&amp;$B24,資安適用排名!$AN$2:$AN$2501,0)),"")</f>
        <v>75.256</v>
      </c>
      <c r="E24" s="5" t="str">
        <f aca="false">IFERROR(INDEX(資安適用排名!$H$2:$H$2501,MATCH($A24&amp;"|"&amp;$B24,資安適用排名!$AN$2:$AN$2501,0)),"")</f>
        <v>列入候選</v>
      </c>
      <c r="F24" s="12" t="str">
        <f aca="false">IFERROR(INDEX(資安適用排名!$E$2:$E$2501,MATCH($A24&amp;"|"&amp;$B24,資安適用排名!$AN$2:$AN$2501,0)),"")</f>
        <v>個資偵測與遮蔽</v>
      </c>
    </row>
    <row r="25" customFormat="false" ht="17.15" hidden="false" customHeight="false" outlineLevel="0" collapsed="false">
      <c r="A25" s="5" t="s">
        <v>50</v>
      </c>
      <c r="B25" s="16" t="n">
        <v>1</v>
      </c>
      <c r="C25" s="5" t="str">
        <f aca="false">IFERROR(INDEX(資安適用排名!$B$2:$B$2501,MATCH($A25&amp;"|"&amp;$B25,資安適用排名!$AN$2:$AN$2501,0)),"")</f>
        <v>cisco-ai/SecureBERT2.0-biencoder</v>
      </c>
      <c r="D25" s="15" t="n">
        <f aca="false">IFERROR(INDEX(資安適用排名!$G$2:$G$2501,MATCH($A25&amp;"|"&amp;$B25,資安適用排名!$AN$2:$AN$2501,0)),"")</f>
        <v>88.632</v>
      </c>
      <c r="E25" s="5" t="str">
        <f aca="false">IFERROR(INDEX(資安適用排名!$H$2:$H$2501,MATCH($A25&amp;"|"&amp;$B25,資安適用排名!$AN$2:$AN$2501,0)),"")</f>
        <v>優先評估</v>
      </c>
      <c r="F25" s="12" t="str">
        <f aca="false">IFERROR(INDEX(資安適用排名!$E$2:$E$2501,MATCH($A25&amp;"|"&amp;$B25,資安適用排名!$AN$2:$AN$2501,0)),"")</f>
        <v>以資安語料訓練, 適合情資檢索與實體擷取</v>
      </c>
    </row>
    <row r="26" customFormat="false" ht="17.15" hidden="false" customHeight="false" outlineLevel="0" collapsed="false">
      <c r="A26" s="5" t="s">
        <v>50</v>
      </c>
      <c r="B26" s="16" t="n">
        <v>2</v>
      </c>
      <c r="C26" s="5" t="str">
        <f aca="false">IFERROR(INDEX(資安適用排名!$B$2:$B$2501,MATCH($A26&amp;"|"&amp;$B26,資安適用排名!$AN$2:$AN$2501,0)),"")</f>
        <v>cisco-ai/SecureBERT2.0-cross_encoder</v>
      </c>
      <c r="D26" s="15" t="n">
        <f aca="false">IFERROR(INDEX(資安適用排名!$G$2:$G$2501,MATCH($A26&amp;"|"&amp;$B26,資安適用排名!$AN$2:$AN$2501,0)),"")</f>
        <v>87.304</v>
      </c>
      <c r="E26" s="5" t="str">
        <f aca="false">IFERROR(INDEX(資安適用排名!$H$2:$H$2501,MATCH($A26&amp;"|"&amp;$B26,資安適用排名!$AN$2:$AN$2501,0)),"")</f>
        <v>優先評估</v>
      </c>
      <c r="F26" s="12" t="str">
        <f aca="false">IFERROR(INDEX(資安適用排名!$E$2:$E$2501,MATCH($A26&amp;"|"&amp;$B26,資安適用排名!$AN$2:$AN$2501,0)),"")</f>
        <v>以資安語料訓練, 適合情資檢索與實體擷取</v>
      </c>
    </row>
    <row r="27" customFormat="false" ht="17.15" hidden="false" customHeight="false" outlineLevel="0" collapsed="false">
      <c r="A27" s="5" t="s">
        <v>50</v>
      </c>
      <c r="B27" s="16" t="n">
        <v>3</v>
      </c>
      <c r="C27" s="5" t="str">
        <f aca="false">IFERROR(INDEX(資安適用排名!$B$2:$B$2501,MATCH($A27&amp;"|"&amp;$B27,資安適用排名!$AN$2:$AN$2501,0)),"")</f>
        <v>jackaduma/SecBERT</v>
      </c>
      <c r="D27" s="15" t="n">
        <f aca="false">IFERROR(INDEX(資安適用排名!$G$2:$G$2501,MATCH($A27&amp;"|"&amp;$B27,資安適用排名!$AN$2:$AN$2501,0)),"")</f>
        <v>62.922</v>
      </c>
      <c r="E27" s="5" t="str">
        <f aca="false">IFERROR(INDEX(資安適用排名!$H$2:$H$2501,MATCH($A27&amp;"|"&amp;$B27,資安適用排名!$AN$2:$AN$2501,0)),"")</f>
        <v>特定情境</v>
      </c>
      <c r="F27" s="12" t="str">
        <f aca="false">IFERROR(INDEX(資安適用排名!$E$2:$E$2501,MATCH($A27&amp;"|"&amp;$B27,資安適用排名!$AN$2:$AN$2501,0)),"")</f>
        <v>以資安語料訓練, 適合情資檢索與實體擷取</v>
      </c>
    </row>
    <row r="28" customFormat="false" ht="32.8" hidden="false" customHeight="false" outlineLevel="0" collapsed="false">
      <c r="A28" s="5" t="s">
        <v>52</v>
      </c>
      <c r="B28" s="16" t="n">
        <v>1</v>
      </c>
      <c r="C28" s="5" t="str">
        <f aca="false">IFERROR(INDEX(資安適用排名!$B$2:$B$2501,MATCH($A28&amp;"|"&amp;$B28,資安適用排名!$AN$2:$AN$2501,0)),"")</f>
        <v>openai-community/roberta-base-openai-detector</v>
      </c>
      <c r="D28" s="15" t="n">
        <f aca="false">IFERROR(INDEX(資安適用排名!$G$2:$G$2501,MATCH($A28&amp;"|"&amp;$B28,資安適用排名!$AN$2:$AN$2501,0)),"")</f>
        <v>86.384</v>
      </c>
      <c r="E28" s="5" t="str">
        <f aca="false">IFERROR(INDEX(資安適用排名!$H$2:$H$2501,MATCH($A28&amp;"|"&amp;$B28,資安適用排名!$AN$2:$AN$2501,0)),"")</f>
        <v>優先評估</v>
      </c>
      <c r="F28" s="12" t="str">
        <f aca="false">IFERROR(INDEX(資安適用排名!$E$2:$E$2501,MATCH($A28&amp;"|"&amp;$B28,資安適用排名!$AN$2:$AN$2501,0)),"")</f>
        <v>偵測 AI 生成的圖片或文字, 輔助詐騙與社交工程防範</v>
      </c>
    </row>
    <row r="29" customFormat="false" ht="32.8" hidden="false" customHeight="false" outlineLevel="0" collapsed="false">
      <c r="A29" s="5" t="s">
        <v>52</v>
      </c>
      <c r="B29" s="16" t="n">
        <v>2</v>
      </c>
      <c r="C29" s="5" t="str">
        <f aca="false">IFERROR(INDEX(資安適用排名!$B$2:$B$2501,MATCH($A29&amp;"|"&amp;$B29,資安適用排名!$AN$2:$AN$2501,0)),"")</f>
        <v>desklib/ai-text-detector-v1.01</v>
      </c>
      <c r="D29" s="15" t="n">
        <f aca="false">IFERROR(INDEX(資安適用排名!$G$2:$G$2501,MATCH($A29&amp;"|"&amp;$B29,資安適用排名!$AN$2:$AN$2501,0)),"")</f>
        <v>71.506</v>
      </c>
      <c r="E29" s="5" t="str">
        <f aca="false">IFERROR(INDEX(資安適用排名!$H$2:$H$2501,MATCH($A29&amp;"|"&amp;$B29,資安適用排名!$AN$2:$AN$2501,0)),"")</f>
        <v>列入候選</v>
      </c>
      <c r="F29" s="12" t="str">
        <f aca="false">IFERROR(INDEX(資安適用排名!$E$2:$E$2501,MATCH($A29&amp;"|"&amp;$B29,資安適用排名!$AN$2:$AN$2501,0)),"")</f>
        <v>偵測 AI 生成的圖片或文字, 輔助詐騙與社交工程防範</v>
      </c>
    </row>
    <row r="30" customFormat="false" ht="32.8" hidden="false" customHeight="false" outlineLevel="0" collapsed="false">
      <c r="A30" s="5" t="s">
        <v>52</v>
      </c>
      <c r="B30" s="16" t="n">
        <v>3</v>
      </c>
      <c r="C30" s="5" t="str">
        <f aca="false">IFERROR(INDEX(資安適用排名!$B$2:$B$2501,MATCH($A30&amp;"|"&amp;$B30,資安適用排名!$AN$2:$AN$2501,0)),"")</f>
        <v>buildborderless/CommunityForensics-DeepfakeDet-ViT</v>
      </c>
      <c r="D30" s="15" t="n">
        <f aca="false">IFERROR(INDEX(資安適用排名!$G$2:$G$2501,MATCH($A30&amp;"|"&amp;$B30,資安適用排名!$AN$2:$AN$2501,0)),"")</f>
        <v>66.986</v>
      </c>
      <c r="E30" s="5" t="str">
        <f aca="false">IFERROR(INDEX(資安適用排名!$H$2:$H$2501,MATCH($A30&amp;"|"&amp;$B30,資安適用排名!$AN$2:$AN$2501,0)),"")</f>
        <v>特定情境</v>
      </c>
      <c r="F30" s="12" t="str">
        <f aca="false">IFERROR(INDEX(資安適用排名!$E$2:$E$2501,MATCH($A30&amp;"|"&amp;$B30,資安適用排名!$AN$2:$AN$2501,0)),"")</f>
        <v>偵測 AI 生成的圖片或文字, 輔助詐騙與社交工程防範</v>
      </c>
    </row>
    <row r="31" customFormat="false" ht="32.8" hidden="false" customHeight="false" outlineLevel="0" collapsed="false">
      <c r="A31" s="5" t="s">
        <v>52</v>
      </c>
      <c r="B31" s="16" t="n">
        <v>4</v>
      </c>
      <c r="C31" s="5" t="str">
        <f aca="false">IFERROR(INDEX(資安適用排名!$B$2:$B$2501,MATCH($A31&amp;"|"&amp;$B31,資安適用排名!$AN$2:$AN$2501,0)),"")</f>
        <v>haywoodsloan/ai-image-detector-dev-deploy</v>
      </c>
      <c r="D31" s="15" t="n">
        <f aca="false">IFERROR(INDEX(資安適用排名!$G$2:$G$2501,MATCH($A31&amp;"|"&amp;$B31,資安適用排名!$AN$2:$AN$2501,0)),"")</f>
        <v>65.042</v>
      </c>
      <c r="E31" s="5" t="str">
        <f aca="false">IFERROR(INDEX(資安適用排名!$H$2:$H$2501,MATCH($A31&amp;"|"&amp;$B31,資安適用排名!$AN$2:$AN$2501,0)),"")</f>
        <v>特定情境</v>
      </c>
      <c r="F31" s="12" t="str">
        <f aca="false">IFERROR(INDEX(資安適用排名!$E$2:$E$2501,MATCH($A31&amp;"|"&amp;$B31,資安適用排名!$AN$2:$AN$2501,0)),"")</f>
        <v>偵測 AI 生成的圖片或文字, 輔助詐騙與社交工程防範</v>
      </c>
    </row>
    <row r="32" customFormat="false" ht="30.55" hidden="false" customHeight="false" outlineLevel="0" collapsed="false">
      <c r="A32" s="5" t="s">
        <v>54</v>
      </c>
      <c r="B32" s="16" t="n">
        <v>1</v>
      </c>
      <c r="C32" s="5" t="str">
        <f aca="false">IFERROR(INDEX(資安適用排名!$B$2:$B$2501,MATCH($A32&amp;"|"&amp;$B32,資安適用排名!$AN$2:$AN$2501,0)),"")</f>
        <v>sentence-transformers/paraphrase-multilingual-MiniLM-L12-v2</v>
      </c>
      <c r="D32" s="15" t="n">
        <f aca="false">IFERROR(INDEX(資安適用排名!$G$2:$G$2501,MATCH($A32&amp;"|"&amp;$B32,資安適用排名!$AN$2:$AN$2501,0)),"")</f>
        <v>85.988</v>
      </c>
      <c r="E32" s="5" t="str">
        <f aca="false">IFERROR(INDEX(資安適用排名!$H$2:$H$2501,MATCH($A32&amp;"|"&amp;$B32,資安適用排名!$AN$2:$AN$2501,0)),"")</f>
        <v>優先評估</v>
      </c>
      <c r="F32" s="12" t="str">
        <f aca="false">IFERROR(INDEX(資安適用排名!$E$2:$E$2501,MATCH($A32&amp;"|"&amp;$B32,資安適用排名!$AN$2:$AN$2501,0)),"")</f>
        <v>威脅情資語意搜尋、相似告警比對、事件知識庫 RAG</v>
      </c>
    </row>
    <row r="33" customFormat="false" ht="30.55" hidden="false" customHeight="false" outlineLevel="0" collapsed="false">
      <c r="A33" s="5" t="s">
        <v>54</v>
      </c>
      <c r="B33" s="16" t="n">
        <v>2</v>
      </c>
      <c r="C33" s="5" t="str">
        <f aca="false">IFERROR(INDEX(資安適用排名!$B$2:$B$2501,MATCH($A33&amp;"|"&amp;$B33,資安適用排名!$AN$2:$AN$2501,0)),"")</f>
        <v>intfloat/multilingual-e5-small</v>
      </c>
      <c r="D33" s="15" t="n">
        <f aca="false">IFERROR(INDEX(資安適用排名!$G$2:$G$2501,MATCH($A33&amp;"|"&amp;$B33,資安適用排名!$AN$2:$AN$2501,0)),"")</f>
        <v>85.952</v>
      </c>
      <c r="E33" s="5" t="str">
        <f aca="false">IFERROR(INDEX(資安適用排名!$H$2:$H$2501,MATCH($A33&amp;"|"&amp;$B33,資安適用排名!$AN$2:$AN$2501,0)),"")</f>
        <v>優先評估</v>
      </c>
      <c r="F33" s="12" t="str">
        <f aca="false">IFERROR(INDEX(資安適用排名!$E$2:$E$2501,MATCH($A33&amp;"|"&amp;$B33,資安適用排名!$AN$2:$AN$2501,0)),"")</f>
        <v>威脅情資語意搜尋、相似告警比對、事件知識庫 RAG</v>
      </c>
    </row>
    <row r="34" customFormat="false" ht="30.55" hidden="false" customHeight="false" outlineLevel="0" collapsed="false">
      <c r="A34" s="5" t="s">
        <v>54</v>
      </c>
      <c r="B34" s="16" t="n">
        <v>3</v>
      </c>
      <c r="C34" s="5" t="str">
        <f aca="false">IFERROR(INDEX(資安適用排名!$B$2:$B$2501,MATCH($A34&amp;"|"&amp;$B34,資安適用排名!$AN$2:$AN$2501,0)),"")</f>
        <v>intfloat/multilingual-e5-large</v>
      </c>
      <c r="D34" s="15" t="n">
        <f aca="false">IFERROR(INDEX(資安適用排名!$G$2:$G$2501,MATCH($A34&amp;"|"&amp;$B34,資安適用排名!$AN$2:$AN$2501,0)),"")</f>
        <v>85.912</v>
      </c>
      <c r="E34" s="5" t="str">
        <f aca="false">IFERROR(INDEX(資安適用排名!$H$2:$H$2501,MATCH($A34&amp;"|"&amp;$B34,資安適用排名!$AN$2:$AN$2501,0)),"")</f>
        <v>優先評估</v>
      </c>
      <c r="F34" s="12" t="str">
        <f aca="false">IFERROR(INDEX(資安適用排名!$E$2:$E$2501,MATCH($A34&amp;"|"&amp;$B34,資安適用排名!$AN$2:$AN$2501,0)),"")</f>
        <v>威脅情資語意搜尋、相似告警比對、事件知識庫 RAG</v>
      </c>
    </row>
    <row r="35" customFormat="false" ht="30.55" hidden="false" customHeight="false" outlineLevel="0" collapsed="false">
      <c r="A35" s="5" t="s">
        <v>54</v>
      </c>
      <c r="B35" s="16" t="n">
        <v>4</v>
      </c>
      <c r="C35" s="5" t="str">
        <f aca="false">IFERROR(INDEX(資安適用排名!$B$2:$B$2501,MATCH($A35&amp;"|"&amp;$B35,資安適用排名!$AN$2:$AN$2501,0)),"")</f>
        <v>intfloat/multilingual-e5-base</v>
      </c>
      <c r="D35" s="15" t="n">
        <f aca="false">IFERROR(INDEX(資安適用排名!$G$2:$G$2501,MATCH($A35&amp;"|"&amp;$B35,資安適用排名!$AN$2:$AN$2501,0)),"")</f>
        <v>85.884</v>
      </c>
      <c r="E35" s="5" t="str">
        <f aca="false">IFERROR(INDEX(資安適用排名!$H$2:$H$2501,MATCH($A35&amp;"|"&amp;$B35,資安適用排名!$AN$2:$AN$2501,0)),"")</f>
        <v>優先評估</v>
      </c>
      <c r="F35" s="12" t="str">
        <f aca="false">IFERROR(INDEX(資安適用排名!$E$2:$E$2501,MATCH($A35&amp;"|"&amp;$B35,資安適用排名!$AN$2:$AN$2501,0)),"")</f>
        <v>威脅情資語意搜尋、相似告警比對、事件知識庫 RAG</v>
      </c>
    </row>
    <row r="36" customFormat="false" ht="30.55" hidden="false" customHeight="false" outlineLevel="0" collapsed="false">
      <c r="A36" s="5" t="s">
        <v>54</v>
      </c>
      <c r="B36" s="16" t="n">
        <v>5</v>
      </c>
      <c r="C36" s="5" t="str">
        <f aca="false">IFERROR(INDEX(資安適用排名!$B$2:$B$2501,MATCH($A36&amp;"|"&amp;$B36,資安適用排名!$AN$2:$AN$2501,0)),"")</f>
        <v>sentence-transformers/paraphrase-multilingual-mpnet-base-v2</v>
      </c>
      <c r="D36" s="15" t="n">
        <f aca="false">IFERROR(INDEX(資安適用排名!$G$2:$G$2501,MATCH($A36&amp;"|"&amp;$B36,資安適用排名!$AN$2:$AN$2501,0)),"")</f>
        <v>84.42</v>
      </c>
      <c r="E36" s="5" t="str">
        <f aca="false">IFERROR(INDEX(資安適用排名!$H$2:$H$2501,MATCH($A36&amp;"|"&amp;$B36,資安適用排名!$AN$2:$AN$2501,0)),"")</f>
        <v>優先評估</v>
      </c>
      <c r="F36" s="12" t="str">
        <f aca="false">IFERROR(INDEX(資安適用排名!$E$2:$E$2501,MATCH($A36&amp;"|"&amp;$B36,資安適用排名!$AN$2:$AN$2501,0)),"")</f>
        <v>威脅情資語意搜尋、相似告警比對、事件知識庫 RAG</v>
      </c>
    </row>
    <row r="37" customFormat="false" ht="30.55" hidden="false" customHeight="false" outlineLevel="0" collapsed="false">
      <c r="A37" s="5" t="s">
        <v>54</v>
      </c>
      <c r="B37" s="16" t="n">
        <v>6</v>
      </c>
      <c r="C37" s="5" t="str">
        <f aca="false">IFERROR(INDEX(資安適用排名!$B$2:$B$2501,MATCH($A37&amp;"|"&amp;$B37,資安適用排名!$AN$2:$AN$2501,0)),"")</f>
        <v>ibm-granite/granite-embedding-97m-multilingual-r2</v>
      </c>
      <c r="D37" s="15" t="n">
        <f aca="false">IFERROR(INDEX(資安適用排名!$G$2:$G$2501,MATCH($A37&amp;"|"&amp;$B37,資安適用排名!$AN$2:$AN$2501,0)),"")</f>
        <v>84.172</v>
      </c>
      <c r="E37" s="5" t="str">
        <f aca="false">IFERROR(INDEX(資安適用排名!$H$2:$H$2501,MATCH($A37&amp;"|"&amp;$B37,資安適用排名!$AN$2:$AN$2501,0)),"")</f>
        <v>優先評估</v>
      </c>
      <c r="F37" s="12" t="str">
        <f aca="false">IFERROR(INDEX(資安適用排名!$E$2:$E$2501,MATCH($A37&amp;"|"&amp;$B37,資安適用排名!$AN$2:$AN$2501,0)),"")</f>
        <v>威脅情資語意搜尋、相似告警比對、事件知識庫 RAG</v>
      </c>
    </row>
    <row r="38" customFormat="false" ht="30.55" hidden="false" customHeight="false" outlineLevel="0" collapsed="false">
      <c r="A38" s="5" t="s">
        <v>54</v>
      </c>
      <c r="B38" s="16" t="n">
        <v>7</v>
      </c>
      <c r="C38" s="5" t="str">
        <f aca="false">IFERROR(INDEX(資安適用排名!$B$2:$B$2501,MATCH($A38&amp;"|"&amp;$B38,資安適用排名!$AN$2:$AN$2501,0)),"")</f>
        <v>cross-encoder/mmarco-mMiniLMv2-L12-H384-v1</v>
      </c>
      <c r="D38" s="15" t="n">
        <f aca="false">IFERROR(INDEX(資安適用排名!$G$2:$G$2501,MATCH($A38&amp;"|"&amp;$B38,資安適用排名!$AN$2:$AN$2501,0)),"")</f>
        <v>84.148</v>
      </c>
      <c r="E38" s="5" t="str">
        <f aca="false">IFERROR(INDEX(資安適用排名!$H$2:$H$2501,MATCH($A38&amp;"|"&amp;$B38,資安適用排名!$AN$2:$AN$2501,0)),"")</f>
        <v>優先評估</v>
      </c>
      <c r="F38" s="12" t="str">
        <f aca="false">IFERROR(INDEX(資安適用排名!$E$2:$E$2501,MATCH($A38&amp;"|"&amp;$B38,資安適用排名!$AN$2:$AN$2501,0)),"")</f>
        <v>威脅情資語意搜尋、相似告警比對、事件知識庫 RAG</v>
      </c>
    </row>
    <row r="39" customFormat="false" ht="30.55" hidden="false" customHeight="false" outlineLevel="0" collapsed="false">
      <c r="A39" s="5" t="s">
        <v>54</v>
      </c>
      <c r="B39" s="16" t="n">
        <v>8</v>
      </c>
      <c r="C39" s="5" t="str">
        <f aca="false">IFERROR(INDEX(資安適用排名!$B$2:$B$2501,MATCH($A39&amp;"|"&amp;$B39,資安適用排名!$AN$2:$AN$2501,0)),"")</f>
        <v>intfloat/multilingual-e5-large-instruct</v>
      </c>
      <c r="D39" s="15" t="n">
        <f aca="false">IFERROR(INDEX(資安適用排名!$G$2:$G$2501,MATCH($A39&amp;"|"&amp;$B39,資安適用排名!$AN$2:$AN$2501,0)),"")</f>
        <v>84.132</v>
      </c>
      <c r="E39" s="5" t="str">
        <f aca="false">IFERROR(INDEX(資安適用排名!$H$2:$H$2501,MATCH($A39&amp;"|"&amp;$B39,資安適用排名!$AN$2:$AN$2501,0)),"")</f>
        <v>優先評估</v>
      </c>
      <c r="F39" s="12" t="str">
        <f aca="false">IFERROR(INDEX(資安適用排名!$E$2:$E$2501,MATCH($A39&amp;"|"&amp;$B39,資安適用排名!$AN$2:$AN$2501,0)),"")</f>
        <v>威脅情資語意搜尋、相似告警比對、事件知識庫 RAG</v>
      </c>
    </row>
    <row r="40" customFormat="false" ht="30.55" hidden="false" customHeight="false" outlineLevel="0" collapsed="false">
      <c r="A40" s="5" t="s">
        <v>54</v>
      </c>
      <c r="B40" s="16" t="n">
        <v>9</v>
      </c>
      <c r="C40" s="5" t="str">
        <f aca="false">IFERROR(INDEX(資安適用排名!$B$2:$B$2501,MATCH($A40&amp;"|"&amp;$B40,資安適用排名!$AN$2:$AN$2501,0)),"")</f>
        <v>microsoft/harrier-oss-v1-270m</v>
      </c>
      <c r="D40" s="15" t="n">
        <f aca="false">IFERROR(INDEX(資安適用排名!$G$2:$G$2501,MATCH($A40&amp;"|"&amp;$B40,資安適用排名!$AN$2:$AN$2501,0)),"")</f>
        <v>84.12</v>
      </c>
      <c r="E40" s="5" t="str">
        <f aca="false">IFERROR(INDEX(資安適用排名!$H$2:$H$2501,MATCH($A40&amp;"|"&amp;$B40,資安適用排名!$AN$2:$AN$2501,0)),"")</f>
        <v>優先評估</v>
      </c>
      <c r="F40" s="12" t="str">
        <f aca="false">IFERROR(INDEX(資安適用排名!$E$2:$E$2501,MATCH($A40&amp;"|"&amp;$B40,資安適用排名!$AN$2:$AN$2501,0)),"")</f>
        <v>威脅情資語意搜尋、相似告警比對、事件知識庫 RAG</v>
      </c>
    </row>
    <row r="41" customFormat="false" ht="30.55" hidden="false" customHeight="false" outlineLevel="0" collapsed="false">
      <c r="A41" s="5" t="s">
        <v>54</v>
      </c>
      <c r="B41" s="16" t="n">
        <v>10</v>
      </c>
      <c r="C41" s="5" t="str">
        <f aca="false">IFERROR(INDEX(資安適用排名!$B$2:$B$2501,MATCH($A41&amp;"|"&amp;$B41,資安適用排名!$AN$2:$AN$2501,0)),"")</f>
        <v>ibm-granite/granite-embedding-311m-multilingual-r2</v>
      </c>
      <c r="D41" s="15" t="n">
        <f aca="false">IFERROR(INDEX(資安適用排名!$G$2:$G$2501,MATCH($A41&amp;"|"&amp;$B41,資安適用排名!$AN$2:$AN$2501,0)),"")</f>
        <v>84.028</v>
      </c>
      <c r="E41" s="5" t="str">
        <f aca="false">IFERROR(INDEX(資安適用排名!$H$2:$H$2501,MATCH($A41&amp;"|"&amp;$B41,資安適用排名!$AN$2:$AN$2501,0)),"")</f>
        <v>優先評估</v>
      </c>
      <c r="F41" s="12" t="str">
        <f aca="false">IFERROR(INDEX(資安適用排名!$E$2:$E$2501,MATCH($A41&amp;"|"&amp;$B41,資安適用排名!$AN$2:$AN$2501,0)),"")</f>
        <v>威脅情資語意搜尋、相似告警比對、事件知識庫 RAG</v>
      </c>
    </row>
    <row r="42" customFormat="false" ht="32.8" hidden="false" customHeight="false" outlineLevel="0" collapsed="false">
      <c r="A42" s="5" t="s">
        <v>56</v>
      </c>
      <c r="B42" s="16" t="n">
        <v>1</v>
      </c>
      <c r="C42" s="5" t="str">
        <f aca="false">IFERROR(INDEX(資安適用排名!$B$2:$B$2501,MATCH($A42&amp;"|"&amp;$B42,資安適用排名!$AN$2:$AN$2501,0)),"")</f>
        <v>mistralai/Ministral-3-3B-Instruct-2512</v>
      </c>
      <c r="D42" s="15" t="n">
        <f aca="false">IFERROR(INDEX(資安適用排名!$G$2:$G$2501,MATCH($A42&amp;"|"&amp;$B42,資安適用排名!$AN$2:$AN$2501,0)),"")</f>
        <v>82.322</v>
      </c>
      <c r="E42" s="5" t="str">
        <f aca="false">IFERROR(INDEX(資安適用排名!$H$2:$H$2501,MATCH($A42&amp;"|"&amp;$B42,資安適用排名!$AN$2:$AN$2501,0)),"")</f>
        <v>優先評估</v>
      </c>
      <c r="F42" s="12" t="str">
        <f aca="false">IFERROR(INDEX(資安適用排名!$E$2:$E$2501,MATCH($A42&amp;"|"&amp;$B42,資安適用排名!$AN$2:$AN$2501,0)),"")</f>
        <v>告警分診摘要、ATT&amp;CK 對映、事件報告初稿 (需人工確認)</v>
      </c>
    </row>
    <row r="43" customFormat="false" ht="32.8" hidden="false" customHeight="false" outlineLevel="0" collapsed="false">
      <c r="A43" s="5" t="s">
        <v>56</v>
      </c>
      <c r="B43" s="16" t="n">
        <v>2</v>
      </c>
      <c r="C43" s="5" t="str">
        <f aca="false">IFERROR(INDEX(資安適用排名!$B$2:$B$2501,MATCH($A43&amp;"|"&amp;$B43,資安適用排名!$AN$2:$AN$2501,0)),"")</f>
        <v>google/gemma-4-31B-it-assistant</v>
      </c>
      <c r="D43" s="15" t="n">
        <f aca="false">IFERROR(INDEX(資安適用排名!$G$2:$G$2501,MATCH($A43&amp;"|"&amp;$B43,資安適用排名!$AN$2:$AN$2501,0)),"")</f>
        <v>80.924</v>
      </c>
      <c r="E43" s="5" t="str">
        <f aca="false">IFERROR(INDEX(資安適用排名!$H$2:$H$2501,MATCH($A43&amp;"|"&amp;$B43,資安適用排名!$AN$2:$AN$2501,0)),"")</f>
        <v>優先評估</v>
      </c>
      <c r="F43" s="12" t="str">
        <f aca="false">IFERROR(INDEX(資安適用排名!$E$2:$E$2501,MATCH($A43&amp;"|"&amp;$B43,資安適用排名!$AN$2:$AN$2501,0)),"")</f>
        <v>告警分診摘要、ATT&amp;CK 對映、事件報告初稿 (需人工確認)</v>
      </c>
    </row>
    <row r="44" customFormat="false" ht="32.8" hidden="false" customHeight="false" outlineLevel="0" collapsed="false">
      <c r="A44" s="5" t="s">
        <v>56</v>
      </c>
      <c r="B44" s="16" t="n">
        <v>3</v>
      </c>
      <c r="C44" s="5" t="str">
        <f aca="false">IFERROR(INDEX(資安適用排名!$B$2:$B$2501,MATCH($A44&amp;"|"&amp;$B44,資安適用排名!$AN$2:$AN$2501,0)),"")</f>
        <v>ibm-granite/granite-4.1-8b</v>
      </c>
      <c r="D44" s="15" t="n">
        <f aca="false">IFERROR(INDEX(資安適用排名!$G$2:$G$2501,MATCH($A44&amp;"|"&amp;$B44,資安適用排名!$AN$2:$AN$2501,0)),"")</f>
        <v>80.85</v>
      </c>
      <c r="E44" s="5" t="str">
        <f aca="false">IFERROR(INDEX(資安適用排名!$H$2:$H$2501,MATCH($A44&amp;"|"&amp;$B44,資安適用排名!$AN$2:$AN$2501,0)),"")</f>
        <v>優先評估</v>
      </c>
      <c r="F44" s="12" t="str">
        <f aca="false">IFERROR(INDEX(資安適用排名!$E$2:$E$2501,MATCH($A44&amp;"|"&amp;$B44,資安適用排名!$AN$2:$AN$2501,0)),"")</f>
        <v>告警分診摘要、ATT&amp;CK 對映、事件報告初稿 (需人工確認)</v>
      </c>
    </row>
    <row r="45" customFormat="false" ht="32.8" hidden="false" customHeight="false" outlineLevel="0" collapsed="false">
      <c r="A45" s="5" t="s">
        <v>56</v>
      </c>
      <c r="B45" s="16" t="n">
        <v>4</v>
      </c>
      <c r="C45" s="5" t="str">
        <f aca="false">IFERROR(INDEX(資安適用排名!$B$2:$B$2501,MATCH($A45&amp;"|"&amp;$B45,資安適用排名!$AN$2:$AN$2501,0)),"")</f>
        <v>mistralai/Mistral-7B-Instruct-v0.3</v>
      </c>
      <c r="D45" s="15" t="n">
        <f aca="false">IFERROR(INDEX(資安適用排名!$G$2:$G$2501,MATCH($A45&amp;"|"&amp;$B45,資安適用排名!$AN$2:$AN$2501,0)),"")</f>
        <v>80.37</v>
      </c>
      <c r="E45" s="5" t="str">
        <f aca="false">IFERROR(INDEX(資安適用排名!$H$2:$H$2501,MATCH($A45&amp;"|"&amp;$B45,資安適用排名!$AN$2:$AN$2501,0)),"")</f>
        <v>優先評估</v>
      </c>
      <c r="F45" s="12" t="str">
        <f aca="false">IFERROR(INDEX(資安適用排名!$E$2:$E$2501,MATCH($A45&amp;"|"&amp;$B45,資安適用排名!$AN$2:$AN$2501,0)),"")</f>
        <v>告警分診摘要、ATT&amp;CK 對映、事件報告初稿 (需人工確認)</v>
      </c>
    </row>
    <row r="46" customFormat="false" ht="32.8" hidden="false" customHeight="false" outlineLevel="0" collapsed="false">
      <c r="A46" s="5" t="s">
        <v>56</v>
      </c>
      <c r="B46" s="16" t="n">
        <v>5</v>
      </c>
      <c r="C46" s="5" t="str">
        <f aca="false">IFERROR(INDEX(資安適用排名!$B$2:$B$2501,MATCH($A46&amp;"|"&amp;$B46,資安適用排名!$AN$2:$AN$2501,0)),"")</f>
        <v>mistralai/Ministral-3-8B-Instruct-2512</v>
      </c>
      <c r="D46" s="15" t="n">
        <f aca="false">IFERROR(INDEX(資安適用排名!$G$2:$G$2501,MATCH($A46&amp;"|"&amp;$B46,資安適用排名!$AN$2:$AN$2501,0)),"")</f>
        <v>80.254</v>
      </c>
      <c r="E46" s="5" t="str">
        <f aca="false">IFERROR(INDEX(資安適用排名!$H$2:$H$2501,MATCH($A46&amp;"|"&amp;$B46,資安適用排名!$AN$2:$AN$2501,0)),"")</f>
        <v>優先評估</v>
      </c>
      <c r="F46" s="12" t="str">
        <f aca="false">IFERROR(INDEX(資安適用排名!$E$2:$E$2501,MATCH($A46&amp;"|"&amp;$B46,資安適用排名!$AN$2:$AN$2501,0)),"")</f>
        <v>告警分診摘要、ATT&amp;CK 對映、事件報告初稿 (需人工確認)</v>
      </c>
    </row>
    <row r="47" customFormat="false" ht="32.8" hidden="false" customHeight="false" outlineLevel="0" collapsed="false">
      <c r="A47" s="5" t="s">
        <v>56</v>
      </c>
      <c r="B47" s="16" t="n">
        <v>6</v>
      </c>
      <c r="C47" s="5" t="str">
        <f aca="false">IFERROR(INDEX(資安適用排名!$B$2:$B$2501,MATCH($A47&amp;"|"&amp;$B47,資安適用排名!$AN$2:$AN$2501,0)),"")</f>
        <v>HuggingFaceTB/SmolLM3-3B</v>
      </c>
      <c r="D47" s="15" t="n">
        <f aca="false">IFERROR(INDEX(資安適用排名!$G$2:$G$2501,MATCH($A47&amp;"|"&amp;$B47,資安適用排名!$AN$2:$AN$2501,0)),"")</f>
        <v>80.086</v>
      </c>
      <c r="E47" s="5" t="str">
        <f aca="false">IFERROR(INDEX(資安適用排名!$H$2:$H$2501,MATCH($A47&amp;"|"&amp;$B47,資安適用排名!$AN$2:$AN$2501,0)),"")</f>
        <v>優先評估</v>
      </c>
      <c r="F47" s="12" t="str">
        <f aca="false">IFERROR(INDEX(資安適用排名!$E$2:$E$2501,MATCH($A47&amp;"|"&amp;$B47,資安適用排名!$AN$2:$AN$2501,0)),"")</f>
        <v>告警分診摘要、ATT&amp;CK 對映、事件報告初稿 (需人工確認)</v>
      </c>
    </row>
    <row r="48" customFormat="false" ht="32.8" hidden="false" customHeight="false" outlineLevel="0" collapsed="false">
      <c r="A48" s="5" t="s">
        <v>56</v>
      </c>
      <c r="B48" s="16" t="n">
        <v>7</v>
      </c>
      <c r="C48" s="5" t="str">
        <f aca="false">IFERROR(INDEX(資安適用排名!$B$2:$B$2501,MATCH($A48&amp;"|"&amp;$B48,資安適用排名!$AN$2:$AN$2501,0)),"")</f>
        <v>ibm-granite/granite-4.1-3b</v>
      </c>
      <c r="D48" s="15" t="n">
        <f aca="false">IFERROR(INDEX(資安適用排名!$G$2:$G$2501,MATCH($A48&amp;"|"&amp;$B48,資安適用排名!$AN$2:$AN$2501,0)),"")</f>
        <v>79.97</v>
      </c>
      <c r="E48" s="5" t="str">
        <f aca="false">IFERROR(INDEX(資安適用排名!$H$2:$H$2501,MATCH($A48&amp;"|"&amp;$B48,資安適用排名!$AN$2:$AN$2501,0)),"")</f>
        <v>列入候選</v>
      </c>
      <c r="F48" s="12" t="str">
        <f aca="false">IFERROR(INDEX(資安適用排名!$E$2:$E$2501,MATCH($A48&amp;"|"&amp;$B48,資安適用排名!$AN$2:$AN$2501,0)),"")</f>
        <v>告警分診摘要、ATT&amp;CK 對映、事件報告初稿 (需人工確認)</v>
      </c>
    </row>
    <row r="49" customFormat="false" ht="32.8" hidden="false" customHeight="false" outlineLevel="0" collapsed="false">
      <c r="A49" s="5" t="s">
        <v>56</v>
      </c>
      <c r="B49" s="16" t="n">
        <v>8</v>
      </c>
      <c r="C49" s="5" t="str">
        <f aca="false">IFERROR(INDEX(資安適用排名!$B$2:$B$2501,MATCH($A49&amp;"|"&amp;$B49,資安適用排名!$AN$2:$AN$2501,0)),"")</f>
        <v>google/gemma-4-E4B-it</v>
      </c>
      <c r="D49" s="15" t="n">
        <f aca="false">IFERROR(INDEX(資安適用排名!$G$2:$G$2501,MATCH($A49&amp;"|"&amp;$B49,資安適用排名!$AN$2:$AN$2501,0)),"")</f>
        <v>79.918</v>
      </c>
      <c r="E49" s="5" t="str">
        <f aca="false">IFERROR(INDEX(資安適用排名!$H$2:$H$2501,MATCH($A49&amp;"|"&amp;$B49,資安適用排名!$AN$2:$AN$2501,0)),"")</f>
        <v>列入候選</v>
      </c>
      <c r="F49" s="12" t="str">
        <f aca="false">IFERROR(INDEX(資安適用排名!$E$2:$E$2501,MATCH($A49&amp;"|"&amp;$B49,資安適用排名!$AN$2:$AN$2501,0)),"")</f>
        <v>告警分診摘要、ATT&amp;CK 對映、事件報告初稿 (需人工確認)</v>
      </c>
    </row>
    <row r="50" customFormat="false" ht="32.8" hidden="false" customHeight="false" outlineLevel="0" collapsed="false">
      <c r="A50" s="5" t="s">
        <v>56</v>
      </c>
      <c r="B50" s="16" t="n">
        <v>9</v>
      </c>
      <c r="C50" s="5" t="str">
        <f aca="false">IFERROR(INDEX(資安適用排名!$B$2:$B$2501,MATCH($A50&amp;"|"&amp;$B50,資安適用排名!$AN$2:$AN$2501,0)),"")</f>
        <v>google/gemma-4-E2B-it</v>
      </c>
      <c r="D50" s="15" t="n">
        <f aca="false">IFERROR(INDEX(資安適用排名!$G$2:$G$2501,MATCH($A50&amp;"|"&amp;$B50,資安適用排名!$AN$2:$AN$2501,0)),"")</f>
        <v>79.846</v>
      </c>
      <c r="E50" s="5" t="str">
        <f aca="false">IFERROR(INDEX(資安適用排名!$H$2:$H$2501,MATCH($A50&amp;"|"&amp;$B50,資安適用排名!$AN$2:$AN$2501,0)),"")</f>
        <v>列入候選</v>
      </c>
      <c r="F50" s="12" t="str">
        <f aca="false">IFERROR(INDEX(資安適用排名!$E$2:$E$2501,MATCH($A50&amp;"|"&amp;$B50,資安適用排名!$AN$2:$AN$2501,0)),"")</f>
        <v>告警分診摘要、ATT&amp;CK 對映、事件報告初稿 (需人工確認)</v>
      </c>
    </row>
    <row r="51" customFormat="false" ht="32.8" hidden="false" customHeight="false" outlineLevel="0" collapsed="false">
      <c r="A51" s="5" t="s">
        <v>56</v>
      </c>
      <c r="B51" s="16" t="n">
        <v>10</v>
      </c>
      <c r="C51" s="5" t="str">
        <f aca="false">IFERROR(INDEX(資安適用排名!$B$2:$B$2501,MATCH($A51&amp;"|"&amp;$B51,資安適用排名!$AN$2:$AN$2501,0)),"")</f>
        <v>google/gemma-4-26B-A4B-it-assistant</v>
      </c>
      <c r="D51" s="15" t="n">
        <f aca="false">IFERROR(INDEX(資安適用排名!$G$2:$G$2501,MATCH($A51&amp;"|"&amp;$B51,資安適用排名!$AN$2:$AN$2501,0)),"")</f>
        <v>79.788</v>
      </c>
      <c r="E51" s="5" t="str">
        <f aca="false">IFERROR(INDEX(資安適用排名!$H$2:$H$2501,MATCH($A51&amp;"|"&amp;$B51,資安適用排名!$AN$2:$AN$2501,0)),"")</f>
        <v>列入候選</v>
      </c>
      <c r="F51" s="12" t="str">
        <f aca="false">IFERROR(INDEX(資安適用排名!$E$2:$E$2501,MATCH($A51&amp;"|"&amp;$B51,資安適用排名!$AN$2:$AN$2501,0)),"")</f>
        <v>告警分診摘要、ATT&amp;CK 對映、事件報告初稿 (需人工確認)</v>
      </c>
    </row>
    <row r="52" customFormat="false" ht="17.15" hidden="false" customHeight="false" outlineLevel="0" collapsed="false">
      <c r="A52" s="5" t="s">
        <v>58</v>
      </c>
      <c r="B52" s="16" t="n">
        <v>1</v>
      </c>
      <c r="C52" s="5" t="str">
        <f aca="false">IFERROR(INDEX(資安適用排名!$B$2:$B$2501,MATCH($A52&amp;"|"&amp;$B52,資安適用排名!$AN$2:$AN$2501,0)),"")</f>
        <v>fastino/gliner2.5-multi-v1</v>
      </c>
      <c r="D52" s="15" t="n">
        <f aca="false">IFERROR(INDEX(資安適用排名!$G$2:$G$2501,MATCH($A52&amp;"|"&amp;$B52,資安適用排名!$AN$2:$AN$2501,0)),"")</f>
        <v>82.32</v>
      </c>
      <c r="E52" s="5" t="str">
        <f aca="false">IFERROR(INDEX(資安適用排名!$H$2:$H$2501,MATCH($A52&amp;"|"&amp;$B52,資安適用排名!$AN$2:$AN$2501,0)),"")</f>
        <v>優先評估</v>
      </c>
      <c r="F52" s="12" t="str">
        <f aca="false">IFERROR(INDEX(資安適用排名!$E$2:$E$2501,MATCH($A52&amp;"|"&amp;$B52,資安適用排名!$AN$2:$AN$2501,0)),"")</f>
        <v>從報告擷取 IOC 與實體, log 與工單個資遮蔽</v>
      </c>
    </row>
    <row r="53" customFormat="false" ht="17.15" hidden="false" customHeight="false" outlineLevel="0" collapsed="false">
      <c r="A53" s="5" t="s">
        <v>58</v>
      </c>
      <c r="B53" s="16" t="n">
        <v>2</v>
      </c>
      <c r="C53" s="5" t="str">
        <f aca="false">IFERROR(INDEX(資安適用排名!$B$2:$B$2501,MATCH($A53&amp;"|"&amp;$B53,資安適用排名!$AN$2:$AN$2501,0)),"")</f>
        <v>fastino/gliner2-base-v1</v>
      </c>
      <c r="D53" s="15" t="n">
        <f aca="false">IFERROR(INDEX(資安適用排名!$G$2:$G$2501,MATCH($A53&amp;"|"&amp;$B53,資安適用排名!$AN$2:$AN$2501,0)),"")</f>
        <v>82.284</v>
      </c>
      <c r="E53" s="5" t="str">
        <f aca="false">IFERROR(INDEX(資安適用排名!$H$2:$H$2501,MATCH($A53&amp;"|"&amp;$B53,資安適用排名!$AN$2:$AN$2501,0)),"")</f>
        <v>優先評估</v>
      </c>
      <c r="F53" s="12" t="str">
        <f aca="false">IFERROR(INDEX(資安適用排名!$E$2:$E$2501,MATCH($A53&amp;"|"&amp;$B53,資安適用排名!$AN$2:$AN$2501,0)),"")</f>
        <v>從報告擷取 IOC 與實體, log 與工單個資遮蔽</v>
      </c>
    </row>
    <row r="54" customFormat="false" ht="17.15" hidden="false" customHeight="false" outlineLevel="0" collapsed="false">
      <c r="A54" s="5" t="s">
        <v>58</v>
      </c>
      <c r="B54" s="16" t="n">
        <v>3</v>
      </c>
      <c r="C54" s="5" t="str">
        <f aca="false">IFERROR(INDEX(資安適用排名!$B$2:$B$2501,MATCH($A54&amp;"|"&amp;$B54,資安適用排名!$AN$2:$AN$2501,0)),"")</f>
        <v>fastino/gliner2-large-v1</v>
      </c>
      <c r="D54" s="15" t="n">
        <f aca="false">IFERROR(INDEX(資安適用排名!$G$2:$G$2501,MATCH($A54&amp;"|"&amp;$B54,資安適用排名!$AN$2:$AN$2501,0)),"")</f>
        <v>81.788</v>
      </c>
      <c r="E54" s="5" t="str">
        <f aca="false">IFERROR(INDEX(資安適用排名!$H$2:$H$2501,MATCH($A54&amp;"|"&amp;$B54,資安適用排名!$AN$2:$AN$2501,0)),"")</f>
        <v>優先評估</v>
      </c>
      <c r="F54" s="12" t="str">
        <f aca="false">IFERROR(INDEX(資安適用排名!$E$2:$E$2501,MATCH($A54&amp;"|"&amp;$B54,資安適用排名!$AN$2:$AN$2501,0)),"")</f>
        <v>從報告擷取 IOC 與實體, log 與工單個資遮蔽</v>
      </c>
    </row>
    <row r="55" customFormat="false" ht="17.15" hidden="false" customHeight="false" outlineLevel="0" collapsed="false">
      <c r="A55" s="5" t="s">
        <v>58</v>
      </c>
      <c r="B55" s="16" t="n">
        <v>4</v>
      </c>
      <c r="C55" s="5" t="str">
        <f aca="false">IFERROR(INDEX(資安適用排名!$B$2:$B$2501,MATCH($A55&amp;"|"&amp;$B55,資安適用排名!$AN$2:$AN$2501,0)),"")</f>
        <v>fastino/gliner2-multi-v1</v>
      </c>
      <c r="D55" s="15" t="n">
        <f aca="false">IFERROR(INDEX(資安適用排名!$G$2:$G$2501,MATCH($A55&amp;"|"&amp;$B55,資安適用排名!$AN$2:$AN$2501,0)),"")</f>
        <v>79.764</v>
      </c>
      <c r="E55" s="5" t="str">
        <f aca="false">IFERROR(INDEX(資安適用排名!$H$2:$H$2501,MATCH($A55&amp;"|"&amp;$B55,資安適用排名!$AN$2:$AN$2501,0)),"")</f>
        <v>列入候選</v>
      </c>
      <c r="F55" s="12" t="str">
        <f aca="false">IFERROR(INDEX(資安適用排名!$E$2:$E$2501,MATCH($A55&amp;"|"&amp;$B55,資安適用排名!$AN$2:$AN$2501,0)),"")</f>
        <v>從報告擷取 IOC 與實體, log 與工單個資遮蔽</v>
      </c>
    </row>
    <row r="56" customFormat="false" ht="17.15" hidden="false" customHeight="false" outlineLevel="0" collapsed="false">
      <c r="A56" s="5" t="s">
        <v>58</v>
      </c>
      <c r="B56" s="16" t="n">
        <v>5</v>
      </c>
      <c r="C56" s="5" t="str">
        <f aca="false">IFERROR(INDEX(資安適用排名!$B$2:$B$2501,MATCH($A56&amp;"|"&amp;$B56,資安適用排名!$AN$2:$AN$2501,0)),"")</f>
        <v>urchade/gliner_multi-v2.1</v>
      </c>
      <c r="D56" s="15" t="n">
        <f aca="false">IFERROR(INDEX(資安適用排名!$G$2:$G$2501,MATCH($A56&amp;"|"&amp;$B56,資安適用排名!$AN$2:$AN$2501,0)),"")</f>
        <v>76.49</v>
      </c>
      <c r="E56" s="5" t="str">
        <f aca="false">IFERROR(INDEX(資安適用排名!$H$2:$H$2501,MATCH($A56&amp;"|"&amp;$B56,資安適用排名!$AN$2:$AN$2501,0)),"")</f>
        <v>列入候選</v>
      </c>
      <c r="F56" s="12" t="str">
        <f aca="false">IFERROR(INDEX(資安適用排名!$E$2:$E$2501,MATCH($A56&amp;"|"&amp;$B56,資安適用排名!$AN$2:$AN$2501,0)),"")</f>
        <v>從報告擷取 IOC 與實體, log 與工單個資遮蔽</v>
      </c>
    </row>
    <row r="57" customFormat="false" ht="17.15" hidden="false" customHeight="false" outlineLevel="0" collapsed="false">
      <c r="A57" s="5" t="s">
        <v>58</v>
      </c>
      <c r="B57" s="16" t="n">
        <v>6</v>
      </c>
      <c r="C57" s="5" t="str">
        <f aca="false">IFERROR(INDEX(資安適用排名!$B$2:$B$2501,MATCH($A57&amp;"|"&amp;$B57,資安適用排名!$AN$2:$AN$2501,0)),"")</f>
        <v>Davlan/bert-base-multilingual-cased-ner-hrl</v>
      </c>
      <c r="D57" s="15" t="n">
        <f aca="false">IFERROR(INDEX(資安適用排名!$G$2:$G$2501,MATCH($A57&amp;"|"&amp;$B57,資安適用排名!$AN$2:$AN$2501,0)),"")</f>
        <v>75.562</v>
      </c>
      <c r="E57" s="5" t="str">
        <f aca="false">IFERROR(INDEX(資安適用排名!$H$2:$H$2501,MATCH($A57&amp;"|"&amp;$B57,資安適用排名!$AN$2:$AN$2501,0)),"")</f>
        <v>列入候選</v>
      </c>
      <c r="F57" s="12" t="str">
        <f aca="false">IFERROR(INDEX(資安適用排名!$E$2:$E$2501,MATCH($A57&amp;"|"&amp;$B57,資安適用排名!$AN$2:$AN$2501,0)),"")</f>
        <v>從報告擷取 IOC 與實體, log 與工單個資遮蔽</v>
      </c>
    </row>
    <row r="58" customFormat="false" ht="17.15" hidden="false" customHeight="false" outlineLevel="0" collapsed="false">
      <c r="A58" s="5" t="s">
        <v>58</v>
      </c>
      <c r="B58" s="16" t="n">
        <v>7</v>
      </c>
      <c r="C58" s="5" t="str">
        <f aca="false">IFERROR(INDEX(資安適用排名!$B$2:$B$2501,MATCH($A58&amp;"|"&amp;$B58,資安適用排名!$AN$2:$AN$2501,0)),"")</f>
        <v>fastino/gliner2.5-base-v1</v>
      </c>
      <c r="D58" s="15" t="n">
        <f aca="false">IFERROR(INDEX(資安適用排名!$G$2:$G$2501,MATCH($A58&amp;"|"&amp;$B58,資安適用排名!$AN$2:$AN$2501,0)),"")</f>
        <v>74.868</v>
      </c>
      <c r="E58" s="5" t="str">
        <f aca="false">IFERROR(INDEX(資安適用排名!$H$2:$H$2501,MATCH($A58&amp;"|"&amp;$B58,資安適用排名!$AN$2:$AN$2501,0)),"")</f>
        <v>列入候選</v>
      </c>
      <c r="F58" s="12" t="str">
        <f aca="false">IFERROR(INDEX(資安適用排名!$E$2:$E$2501,MATCH($A58&amp;"|"&amp;$B58,資安適用排名!$AN$2:$AN$2501,0)),"")</f>
        <v>從報告擷取 IOC 與實體, log 與工單個資遮蔽</v>
      </c>
    </row>
    <row r="59" customFormat="false" ht="17.15" hidden="false" customHeight="false" outlineLevel="0" collapsed="false">
      <c r="A59" s="5" t="s">
        <v>58</v>
      </c>
      <c r="B59" s="16" t="n">
        <v>8</v>
      </c>
      <c r="C59" s="5" t="str">
        <f aca="false">IFERROR(INDEX(資安適用排名!$B$2:$B$2501,MATCH($A59&amp;"|"&amp;$B59,資安適用排名!$AN$2:$AN$2501,0)),"")</f>
        <v>fastino/GLiNER2.5-Decide</v>
      </c>
      <c r="D59" s="15" t="n">
        <f aca="false">IFERROR(INDEX(資安適用排名!$G$2:$G$2501,MATCH($A59&amp;"|"&amp;$B59,資安適用排名!$AN$2:$AN$2501,0)),"")</f>
        <v>74.568</v>
      </c>
      <c r="E59" s="5" t="str">
        <f aca="false">IFERROR(INDEX(資安適用排名!$H$2:$H$2501,MATCH($A59&amp;"|"&amp;$B59,資安適用排名!$AN$2:$AN$2501,0)),"")</f>
        <v>列入候選</v>
      </c>
      <c r="F59" s="12" t="str">
        <f aca="false">IFERROR(INDEX(資安適用排名!$E$2:$E$2501,MATCH($A59&amp;"|"&amp;$B59,資安適用排名!$AN$2:$AN$2501,0)),"")</f>
        <v>從報告擷取 IOC 與實體, log 與工單個資遮蔽</v>
      </c>
    </row>
    <row r="60" customFormat="false" ht="17.15" hidden="false" customHeight="false" outlineLevel="0" collapsed="false">
      <c r="A60" s="5" t="s">
        <v>58</v>
      </c>
      <c r="B60" s="16" t="n">
        <v>9</v>
      </c>
      <c r="C60" s="5" t="str">
        <f aca="false">IFERROR(INDEX(資安適用排名!$B$2:$B$2501,MATCH($A60&amp;"|"&amp;$B60,資安適用排名!$AN$2:$AN$2501,0)),"")</f>
        <v>Davlan/xlm-roberta-large-ner-hrl</v>
      </c>
      <c r="D60" s="15" t="n">
        <f aca="false">IFERROR(INDEX(資安適用排名!$G$2:$G$2501,MATCH($A60&amp;"|"&amp;$B60,資安適用排名!$AN$2:$AN$2501,0)),"")</f>
        <v>74.298</v>
      </c>
      <c r="E60" s="5" t="str">
        <f aca="false">IFERROR(INDEX(資安適用排名!$H$2:$H$2501,MATCH($A60&amp;"|"&amp;$B60,資安適用排名!$AN$2:$AN$2501,0)),"")</f>
        <v>列入候選</v>
      </c>
      <c r="F60" s="12" t="str">
        <f aca="false">IFERROR(INDEX(資安適用排名!$E$2:$E$2501,MATCH($A60&amp;"|"&amp;$B60,資安適用排名!$AN$2:$AN$2501,0)),"")</f>
        <v>從報告擷取 IOC 與實體, log 與工單個資遮蔽</v>
      </c>
    </row>
    <row r="61" customFormat="false" ht="17.15" hidden="false" customHeight="false" outlineLevel="0" collapsed="false">
      <c r="A61" s="5" t="s">
        <v>58</v>
      </c>
      <c r="B61" s="16" t="n">
        <v>10</v>
      </c>
      <c r="C61" s="5" t="str">
        <f aca="false">IFERROR(INDEX(資安適用排名!$B$2:$B$2501,MATCH($A61&amp;"|"&amp;$B61,資安適用排名!$AN$2:$AN$2501,0)),"")</f>
        <v>dslim/bert-base-NER</v>
      </c>
      <c r="D61" s="15" t="n">
        <f aca="false">IFERROR(INDEX(資安適用排名!$G$2:$G$2501,MATCH($A61&amp;"|"&amp;$B61,資安適用排名!$AN$2:$AN$2501,0)),"")</f>
        <v>74.138</v>
      </c>
      <c r="E61" s="5" t="str">
        <f aca="false">IFERROR(INDEX(資安適用排名!$H$2:$H$2501,MATCH($A61&amp;"|"&amp;$B61,資安適用排名!$AN$2:$AN$2501,0)),"")</f>
        <v>列入候選</v>
      </c>
      <c r="F61" s="12" t="str">
        <f aca="false">IFERROR(INDEX(資安適用排名!$E$2:$E$2501,MATCH($A61&amp;"|"&amp;$B61,資安適用排名!$AN$2:$AN$2501,0)),"")</f>
        <v>從報告擷取 IOC 與實體, log 與工單個資遮蔽</v>
      </c>
    </row>
    <row r="62" customFormat="false" ht="17.15" hidden="false" customHeight="false" outlineLevel="0" collapsed="false">
      <c r="A62" s="11" t="s">
        <v>60</v>
      </c>
      <c r="B62" s="16" t="n">
        <v>1</v>
      </c>
      <c r="C62" s="5" t="str">
        <f aca="false">IFERROR(INDEX(資安適用排名!$B$2:$B$2501,MATCH($A62&amp;"|"&amp;$B62,資安適用排名!$AN$2:$AN$2501,0)),"")</f>
        <v>garak-llm/garak-refusal-detector</v>
      </c>
      <c r="D62" s="15" t="n">
        <f aca="false">IFERROR(INDEX(資安適用排名!$G$2:$G$2501,MATCH($A62&amp;"|"&amp;$B62,資安適用排名!$AN$2:$AN$2501,0)),"")</f>
        <v>82.04</v>
      </c>
      <c r="E62" s="5" t="str">
        <f aca="false">IFERROR(INDEX(資安適用排名!$H$2:$H$2501,MATCH($A62&amp;"|"&amp;$B62,資安適用排名!$AN$2:$AN$2501,0)),"")</f>
        <v>優先評估</v>
      </c>
      <c r="F62" s="12" t="str">
        <f aca="false">IFERROR(INDEX(資安適用排名!$E$2:$E$2501,MATCH($A62&amp;"|"&amp;$B62,資安適用排名!$AN$2:$AN$2501,0)),"")</f>
        <v>LLM 弱點掃描工具 garak 的偵測元件</v>
      </c>
    </row>
    <row r="63" customFormat="false" ht="17.15" hidden="false" customHeight="false" outlineLevel="0" collapsed="false">
      <c r="A63" s="11" t="s">
        <v>60</v>
      </c>
      <c r="B63" s="16" t="n">
        <v>2</v>
      </c>
      <c r="C63" s="5" t="str">
        <f aca="false">IFERROR(INDEX(資安適用排名!$B$2:$B$2501,MATCH($A63&amp;"|"&amp;$B63,資安適用排名!$AN$2:$AN$2501,0)),"")</f>
        <v>garak-llm/attackgeneration-toxicity_gpt2</v>
      </c>
      <c r="D63" s="15" t="n">
        <f aca="false">IFERROR(INDEX(資安適用排名!$G$2:$G$2501,MATCH($A63&amp;"|"&amp;$B63,資安適用排名!$AN$2:$AN$2501,0)),"")</f>
        <v>78.596</v>
      </c>
      <c r="E63" s="5" t="str">
        <f aca="false">IFERROR(INDEX(資安適用排名!$H$2:$H$2501,MATCH($A63&amp;"|"&amp;$B63,資安適用排名!$AN$2:$AN$2501,0)),"")</f>
        <v>列入候選</v>
      </c>
      <c r="F63" s="12" t="str">
        <f aca="false">IFERROR(INDEX(資安適用排名!$E$2:$E$2501,MATCH($A63&amp;"|"&amp;$B63,資安適用排名!$AN$2:$AN$2501,0)),"")</f>
        <v>LLM 弱點掃描工具 garak 的偵測元件</v>
      </c>
    </row>
    <row r="64" customFormat="false" ht="17.15" hidden="false" customHeight="false" outlineLevel="0" collapsed="false">
      <c r="A64" s="11" t="s">
        <v>60</v>
      </c>
      <c r="B64" s="16" t="n">
        <v>3</v>
      </c>
      <c r="C64" s="5" t="str">
        <f aca="false">IFERROR(INDEX(資安適用排名!$B$2:$B$2501,MATCH($A64&amp;"|"&amp;$B64,資安適用排名!$AN$2:$AN$2501,0)),"")</f>
        <v>garak-llm/roberta-large-snli_mnli_fever_anli_R1_R2_R3-nli</v>
      </c>
      <c r="D64" s="15" t="n">
        <f aca="false">IFERROR(INDEX(資安適用排名!$G$2:$G$2501,MATCH($A64&amp;"|"&amp;$B64,資安適用排名!$AN$2:$AN$2501,0)),"")</f>
        <v>71.284</v>
      </c>
      <c r="E64" s="5" t="str">
        <f aca="false">IFERROR(INDEX(資安適用排名!$H$2:$H$2501,MATCH($A64&amp;"|"&amp;$B64,資安適用排名!$AN$2:$AN$2501,0)),"")</f>
        <v>列入候選</v>
      </c>
      <c r="F64" s="12" t="str">
        <f aca="false">IFERROR(INDEX(資安適用排名!$E$2:$E$2501,MATCH($A64&amp;"|"&amp;$B64,資安適用排名!$AN$2:$AN$2501,0)),"")</f>
        <v>LLM 弱點掃描工具 garak 的偵測元件</v>
      </c>
    </row>
    <row r="65" customFormat="false" ht="17.15" hidden="false" customHeight="false" outlineLevel="0" collapsed="false">
      <c r="A65" s="11" t="s">
        <v>60</v>
      </c>
      <c r="B65" s="16" t="n">
        <v>4</v>
      </c>
      <c r="C65" s="5" t="str">
        <f aca="false">IFERROR(INDEX(資安適用排名!$B$2:$B$2501,MATCH($A65&amp;"|"&amp;$B65,資安適用排名!$AN$2:$AN$2501,0)),"")</f>
        <v>garak-llm/pegasus_paraphrase</v>
      </c>
      <c r="D65" s="15" t="n">
        <f aca="false">IFERROR(INDEX(資安適用排名!$G$2:$G$2501,MATCH($A65&amp;"|"&amp;$B65,資安適用排名!$AN$2:$AN$2501,0)),"")</f>
        <v>69.316</v>
      </c>
      <c r="E65" s="5" t="str">
        <f aca="false">IFERROR(INDEX(資安適用排名!$H$2:$H$2501,MATCH($A65&amp;"|"&amp;$B65,資安適用排名!$AN$2:$AN$2501,0)),"")</f>
        <v>特定情境</v>
      </c>
      <c r="F65" s="12" t="str">
        <f aca="false">IFERROR(INDEX(資安適用排名!$E$2:$E$2501,MATCH($A65&amp;"|"&amp;$B65,資安適用排名!$AN$2:$AN$2501,0)),"")</f>
        <v>LLM 弱點掃描工具 garak 的偵測元件</v>
      </c>
    </row>
    <row r="66" customFormat="false" ht="17.15" hidden="false" customHeight="false" outlineLevel="0" collapsed="false">
      <c r="A66" s="11" t="s">
        <v>60</v>
      </c>
      <c r="B66" s="16" t="n">
        <v>5</v>
      </c>
      <c r="C66" s="5" t="str">
        <f aca="false">IFERROR(INDEX(資安適用排名!$B$2:$B$2501,MATCH($A66&amp;"|"&amp;$B66,資安適用排名!$AN$2:$AN$2501,0)),"")</f>
        <v>garak-llm/refutation_detector_distilbert</v>
      </c>
      <c r="D66" s="15" t="n">
        <f aca="false">IFERROR(INDEX(資安適用排名!$G$2:$G$2501,MATCH($A66&amp;"|"&amp;$B66,資安適用排名!$AN$2:$AN$2501,0)),"")</f>
        <v>68.164</v>
      </c>
      <c r="E66" s="5" t="str">
        <f aca="false">IFERROR(INDEX(資安適用排名!$H$2:$H$2501,MATCH($A66&amp;"|"&amp;$B66,資安適用排名!$AN$2:$AN$2501,0)),"")</f>
        <v>特定情境</v>
      </c>
      <c r="F66" s="12" t="str">
        <f aca="false">IFERROR(INDEX(資安適用排名!$E$2:$E$2501,MATCH($A66&amp;"|"&amp;$B66,資安適用排名!$AN$2:$AN$2501,0)),"")</f>
        <v>LLM 弱點掃描工具 garak 的偵測元件</v>
      </c>
    </row>
    <row r="67" customFormat="false" ht="17.15" hidden="false" customHeight="false" outlineLevel="0" collapsed="false">
      <c r="A67" s="11" t="s">
        <v>60</v>
      </c>
      <c r="B67" s="16" t="n">
        <v>6</v>
      </c>
      <c r="C67" s="5" t="str">
        <f aca="false">IFERROR(INDEX(資安適用排名!$B$2:$B$2501,MATCH($A67&amp;"|"&amp;$B67,資安適用排名!$AN$2:$AN$2501,0)),"")</f>
        <v>garak-llm/chatgpt_paraphraser_on_T5_base</v>
      </c>
      <c r="D67" s="15" t="n">
        <f aca="false">IFERROR(INDEX(資安適用排名!$G$2:$G$2501,MATCH($A67&amp;"|"&amp;$B67,資安適用排名!$AN$2:$AN$2501,0)),"")</f>
        <v>67.564</v>
      </c>
      <c r="E67" s="5" t="str">
        <f aca="false">IFERROR(INDEX(資安適用排名!$H$2:$H$2501,MATCH($A67&amp;"|"&amp;$B67,資安適用排名!$AN$2:$AN$2501,0)),"")</f>
        <v>特定情境</v>
      </c>
      <c r="F67" s="12" t="str">
        <f aca="false">IFERROR(INDEX(資安適用排名!$E$2:$E$2501,MATCH($A67&amp;"|"&amp;$B67,資安適用排名!$AN$2:$AN$2501,0)),"")</f>
        <v>LLM 弱點掃描工具 garak 的偵測元件</v>
      </c>
    </row>
    <row r="68" customFormat="false" ht="17.15" hidden="false" customHeight="false" outlineLevel="0" collapsed="false">
      <c r="A68" s="11" t="s">
        <v>60</v>
      </c>
      <c r="B68" s="16" t="n">
        <v>7</v>
      </c>
      <c r="C68" s="5" t="str">
        <f aca="false">IFERROR(INDEX(資安適用排名!$B$2:$B$2501,MATCH($A68&amp;"|"&amp;$B68,資安適用排名!$AN$2:$AN$2501,0)),"")</f>
        <v>garak-llm/toxic-comment-model</v>
      </c>
      <c r="D68" s="15" t="n">
        <f aca="false">IFERROR(INDEX(資安適用排名!$G$2:$G$2501,MATCH($A68&amp;"|"&amp;$B68,資安適用排名!$AN$2:$AN$2501,0)),"")</f>
        <v>59.032</v>
      </c>
      <c r="E68" s="5" t="str">
        <f aca="false">IFERROR(INDEX(資安適用排名!$H$2:$H$2501,MATCH($A68&amp;"|"&amp;$B68,資安適用排名!$AN$2:$AN$2501,0)),"")</f>
        <v>不建議</v>
      </c>
      <c r="F68" s="12" t="str">
        <f aca="false">IFERROR(INDEX(資安適用排名!$E$2:$E$2501,MATCH($A68&amp;"|"&amp;$B68,資安適用排名!$AN$2:$AN$2501,0)),"")</f>
        <v>LLM 弱點掃描工具 garak 的偵測元件</v>
      </c>
    </row>
    <row r="69" customFormat="false" ht="17.15" hidden="false" customHeight="false" outlineLevel="0" collapsed="false">
      <c r="A69" s="5" t="s">
        <v>62</v>
      </c>
      <c r="B69" s="16" t="n">
        <v>1</v>
      </c>
      <c r="C69" s="5" t="str">
        <f aca="false">IFERROR(INDEX(資安適用排名!$B$2:$B$2501,MATCH($A69&amp;"|"&amp;$B69,資安適用排名!$AN$2:$AN$2501,0)),"")</f>
        <v>AungMoonLord/bert-log-anomaly-detection</v>
      </c>
      <c r="D69" s="15" t="n">
        <f aca="false">IFERROR(INDEX(資安適用排名!$G$2:$G$2501,MATCH($A69&amp;"|"&amp;$B69,資安適用排名!$AN$2:$AN$2501,0)),"")</f>
        <v>81.654</v>
      </c>
      <c r="E69" s="5" t="str">
        <f aca="false">IFERROR(INDEX(資安適用排名!$H$2:$H$2501,MATCH($A69&amp;"|"&amp;$B69,資安適用排名!$AN$2:$AN$2501,0)),"")</f>
        <v>優先評估</v>
      </c>
      <c r="F69" s="12" t="str">
        <f aca="false">IFERROR(INDEX(資安適用排名!$E$2:$E$2501,MATCH($A69&amp;"|"&amp;$B69,資安適用排名!$AN$2:$AN$2501,0)),"")</f>
        <v>日誌序列異常分類</v>
      </c>
    </row>
    <row r="70" customFormat="false" ht="17.15" hidden="false" customHeight="false" outlineLevel="0" collapsed="false">
      <c r="A70" s="5" t="s">
        <v>64</v>
      </c>
      <c r="B70" s="16" t="n">
        <v>1</v>
      </c>
      <c r="C70" s="5" t="str">
        <f aca="false">IFERROR(INDEX(資安適用排名!$B$2:$B$2501,MATCH($A70&amp;"|"&amp;$B70,資安適用排名!$AN$2:$AN$2501,0)),"")</f>
        <v>cybersectony/phishing-email-detection-distilbert_v2.4.1</v>
      </c>
      <c r="D70" s="15" t="n">
        <f aca="false">IFERROR(INDEX(資安適用排名!$G$2:$G$2501,MATCH($A70&amp;"|"&amp;$B70,資安適用排名!$AN$2:$AN$2501,0)),"")</f>
        <v>80.734</v>
      </c>
      <c r="E70" s="5" t="str">
        <f aca="false">IFERROR(INDEX(資安適用排名!$H$2:$H$2501,MATCH($A70&amp;"|"&amp;$B70,資安適用排名!$AN$2:$AN$2501,0)),"")</f>
        <v>優先評估</v>
      </c>
      <c r="F70" s="12" t="str">
        <f aca="false">IFERROR(INDEX(資安適用排名!$E$2:$E$2501,MATCH($A70&amp;"|"&amp;$B70,資安適用排名!$AN$2:$AN$2501,0)),"")</f>
        <v>釣魚郵件、垃圾訊息或惡意網址分類</v>
      </c>
    </row>
    <row r="71" customFormat="false" ht="17.15" hidden="false" customHeight="false" outlineLevel="0" collapsed="false">
      <c r="A71" s="5" t="s">
        <v>64</v>
      </c>
      <c r="B71" s="16" t="n">
        <v>2</v>
      </c>
      <c r="C71" s="5" t="str">
        <f aca="false">IFERROR(INDEX(資安適用排名!$B$2:$B$2501,MATCH($A71&amp;"|"&amp;$B71,資安適用排名!$AN$2:$AN$2501,0)),"")</f>
        <v>ptouch/phishing-distilbert-cyber207</v>
      </c>
      <c r="D71" s="15" t="n">
        <f aca="false">IFERROR(INDEX(資安適用排名!$G$2:$G$2501,MATCH($A71&amp;"|"&amp;$B71,資安適用排名!$AN$2:$AN$2501,0)),"")</f>
        <v>70.422</v>
      </c>
      <c r="E71" s="5" t="str">
        <f aca="false">IFERROR(INDEX(資安適用排名!$H$2:$H$2501,MATCH($A71&amp;"|"&amp;$B71,資安適用排名!$AN$2:$AN$2501,0)),"")</f>
        <v>列入候選</v>
      </c>
      <c r="F71" s="12" t="str">
        <f aca="false">IFERROR(INDEX(資安適用排名!$E$2:$E$2501,MATCH($A71&amp;"|"&amp;$B71,資安適用排名!$AN$2:$AN$2501,0)),"")</f>
        <v>釣魚郵件、垃圾訊息或惡意網址分類</v>
      </c>
    </row>
    <row r="72" customFormat="false" ht="17.15" hidden="false" customHeight="false" outlineLevel="0" collapsed="false">
      <c r="A72" s="5" t="s">
        <v>64</v>
      </c>
      <c r="B72" s="16" t="n">
        <v>3</v>
      </c>
      <c r="C72" s="5" t="str">
        <f aca="false">IFERROR(INDEX(資安適用排名!$B$2:$B$2501,MATCH($A72&amp;"|"&amp;$B72,資安適用排名!$AN$2:$AN$2501,0)),"")</f>
        <v>mrm8488/bert-tiny-finetuned-sms-spam-detection</v>
      </c>
      <c r="D72" s="15" t="n">
        <f aca="false">IFERROR(INDEX(資安適用排名!$G$2:$G$2501,MATCH($A72&amp;"|"&amp;$B72,資安適用排名!$AN$2:$AN$2501,0)),"")</f>
        <v>65.358</v>
      </c>
      <c r="E72" s="5" t="str">
        <f aca="false">IFERROR(INDEX(資安適用排名!$H$2:$H$2501,MATCH($A72&amp;"|"&amp;$B72,資安適用排名!$AN$2:$AN$2501,0)),"")</f>
        <v>特定情境</v>
      </c>
      <c r="F72" s="12" t="str">
        <f aca="false">IFERROR(INDEX(資安適用排名!$E$2:$E$2501,MATCH($A72&amp;"|"&amp;$B72,資安適用排名!$AN$2:$AN$2501,0)),"")</f>
        <v>釣魚郵件、垃圾訊息或惡意網址分類</v>
      </c>
    </row>
    <row r="73" customFormat="false" ht="32.8" hidden="false" customHeight="false" outlineLevel="0" collapsed="false">
      <c r="A73" s="5" t="s">
        <v>66</v>
      </c>
      <c r="B73" s="16" t="n">
        <v>1</v>
      </c>
      <c r="C73" s="5" t="str">
        <f aca="false">IFERROR(INDEX(資安適用排名!$B$2:$B$2501,MATCH($A73&amp;"|"&amp;$B73,資安適用排名!$AN$2:$AN$2501,0)),"")</f>
        <v>protectai/xlm-roberta-base-language-detection-onnx</v>
      </c>
      <c r="D73" s="15" t="n">
        <f aca="false">IFERROR(INDEX(資安適用排名!$G$2:$G$2501,MATCH($A73&amp;"|"&amp;$B73,資安適用排名!$AN$2:$AN$2501,0)),"")</f>
        <v>78.266</v>
      </c>
      <c r="E73" s="5" t="str">
        <f aca="false">IFERROR(INDEX(資安適用排名!$H$2:$H$2501,MATCH($A73&amp;"|"&amp;$B73,資安適用排名!$AN$2:$AN$2501,0)),"")</f>
        <v>列入候選</v>
      </c>
      <c r="F73" s="12" t="str">
        <f aca="false">IFERROR(INDEX(資安適用排名!$E$2:$E$2501,MATCH($A73&amp;"|"&amp;$B73,資安適用排名!$AN$2:$AN$2501,0)),"")</f>
        <v>告警分類、釣魚郵件判斷、日誌事件分類 (需以資安資料微調)</v>
      </c>
    </row>
    <row r="74" customFormat="false" ht="32.8" hidden="false" customHeight="false" outlineLevel="0" collapsed="false">
      <c r="A74" s="5" t="s">
        <v>66</v>
      </c>
      <c r="B74" s="16" t="n">
        <v>2</v>
      </c>
      <c r="C74" s="5" t="str">
        <f aca="false">IFERROR(INDEX(資安適用排名!$B$2:$B$2501,MATCH($A74&amp;"|"&amp;$B74,資安適用排名!$AN$2:$AN$2501,0)),"")</f>
        <v>cross-encoder/nli-deberta-v3-small</v>
      </c>
      <c r="D74" s="15" t="n">
        <f aca="false">IFERROR(INDEX(資安適用排名!$G$2:$G$2501,MATCH($A74&amp;"|"&amp;$B74,資安適用排名!$AN$2:$AN$2501,0)),"")</f>
        <v>78.26</v>
      </c>
      <c r="E74" s="5" t="str">
        <f aca="false">IFERROR(INDEX(資安適用排名!$H$2:$H$2501,MATCH($A74&amp;"|"&amp;$B74,資安適用排名!$AN$2:$AN$2501,0)),"")</f>
        <v>列入候選</v>
      </c>
      <c r="F74" s="12" t="str">
        <f aca="false">IFERROR(INDEX(資安適用排名!$E$2:$E$2501,MATCH($A74&amp;"|"&amp;$B74,資安適用排名!$AN$2:$AN$2501,0)),"")</f>
        <v>告警分類、釣魚郵件判斷、日誌事件分類 (需以資安資料微調)</v>
      </c>
    </row>
    <row r="75" customFormat="false" ht="32.8" hidden="false" customHeight="false" outlineLevel="0" collapsed="false">
      <c r="A75" s="5" t="s">
        <v>66</v>
      </c>
      <c r="B75" s="16" t="n">
        <v>3</v>
      </c>
      <c r="C75" s="5" t="str">
        <f aca="false">IFERROR(INDEX(資安適用排名!$B$2:$B$2501,MATCH($A75&amp;"|"&amp;$B75,資安適用排名!$AN$2:$AN$2501,0)),"")</f>
        <v>cross-encoder/nli-deberta-v3-base</v>
      </c>
      <c r="D75" s="15" t="n">
        <f aca="false">IFERROR(INDEX(資安適用排名!$G$2:$G$2501,MATCH($A75&amp;"|"&amp;$B75,資安適用排名!$AN$2:$AN$2501,0)),"")</f>
        <v>78.124</v>
      </c>
      <c r="E75" s="5" t="str">
        <f aca="false">IFERROR(INDEX(資安適用排名!$H$2:$H$2501,MATCH($A75&amp;"|"&amp;$B75,資安適用排名!$AN$2:$AN$2501,0)),"")</f>
        <v>列入候選</v>
      </c>
      <c r="F75" s="12" t="str">
        <f aca="false">IFERROR(INDEX(資安適用排名!$E$2:$E$2501,MATCH($A75&amp;"|"&amp;$B75,資安適用排名!$AN$2:$AN$2501,0)),"")</f>
        <v>告警分類、釣魚郵件判斷、日誌事件分類 (需以資安資料微調)</v>
      </c>
    </row>
    <row r="76" customFormat="false" ht="32.8" hidden="false" customHeight="false" outlineLevel="0" collapsed="false">
      <c r="A76" s="5" t="s">
        <v>66</v>
      </c>
      <c r="B76" s="16" t="n">
        <v>4</v>
      </c>
      <c r="C76" s="5" t="str">
        <f aca="false">IFERROR(INDEX(資安適用排名!$B$2:$B$2501,MATCH($A76&amp;"|"&amp;$B76,資安適用排名!$AN$2:$AN$2501,0)),"")</f>
        <v>cross-encoder/nli-MiniLM2-L6-H768</v>
      </c>
      <c r="D76" s="15" t="n">
        <f aca="false">IFERROR(INDEX(資安適用排名!$G$2:$G$2501,MATCH($A76&amp;"|"&amp;$B76,資安適用排名!$AN$2:$AN$2501,0)),"")</f>
        <v>77.024</v>
      </c>
      <c r="E76" s="5" t="str">
        <f aca="false">IFERROR(INDEX(資安適用排名!$H$2:$H$2501,MATCH($A76&amp;"|"&amp;$B76,資安適用排名!$AN$2:$AN$2501,0)),"")</f>
        <v>列入候選</v>
      </c>
      <c r="F76" s="12" t="str">
        <f aca="false">IFERROR(INDEX(資安適用排名!$E$2:$E$2501,MATCH($A76&amp;"|"&amp;$B76,資安適用排名!$AN$2:$AN$2501,0)),"")</f>
        <v>告警分類、釣魚郵件判斷、日誌事件分類 (需以資安資料微調)</v>
      </c>
    </row>
    <row r="77" customFormat="false" ht="32.8" hidden="false" customHeight="false" outlineLevel="0" collapsed="false">
      <c r="A77" s="5" t="s">
        <v>66</v>
      </c>
      <c r="B77" s="16" t="n">
        <v>5</v>
      </c>
      <c r="C77" s="5" t="str">
        <f aca="false">IFERROR(INDEX(資安適用排名!$B$2:$B$2501,MATCH($A77&amp;"|"&amp;$B77,資安適用排名!$AN$2:$AN$2501,0)),"")</f>
        <v>lxyuan/distilbert-base-multilingual-cased-sentiments-student</v>
      </c>
      <c r="D77" s="15" t="n">
        <f aca="false">IFERROR(INDEX(資安適用排名!$G$2:$G$2501,MATCH($A77&amp;"|"&amp;$B77,資安適用排名!$AN$2:$AN$2501,0)),"")</f>
        <v>76.614</v>
      </c>
      <c r="E77" s="5" t="str">
        <f aca="false">IFERROR(INDEX(資安適用排名!$H$2:$H$2501,MATCH($A77&amp;"|"&amp;$B77,資安適用排名!$AN$2:$AN$2501,0)),"")</f>
        <v>列入候選</v>
      </c>
      <c r="F77" s="12" t="str">
        <f aca="false">IFERROR(INDEX(資安適用排名!$E$2:$E$2501,MATCH($A77&amp;"|"&amp;$B77,資安適用排名!$AN$2:$AN$2501,0)),"")</f>
        <v>告警分類、釣魚郵件判斷、日誌事件分類 (需以資安資料微調)</v>
      </c>
    </row>
    <row r="78" customFormat="false" ht="32.8" hidden="false" customHeight="false" outlineLevel="0" collapsed="false">
      <c r="A78" s="5" t="s">
        <v>66</v>
      </c>
      <c r="B78" s="16" t="n">
        <v>6</v>
      </c>
      <c r="C78" s="5" t="str">
        <f aca="false">IFERROR(INDEX(資安適用排名!$B$2:$B$2501,MATCH($A78&amp;"|"&amp;$B78,資安適用排名!$AN$2:$AN$2501,0)),"")</f>
        <v>cross-encoder/nli-deberta-v3-large</v>
      </c>
      <c r="D78" s="15" t="n">
        <f aca="false">IFERROR(INDEX(資安適用排名!$G$2:$G$2501,MATCH($A78&amp;"|"&amp;$B78,資安適用排名!$AN$2:$AN$2501,0)),"")</f>
        <v>76.36</v>
      </c>
      <c r="E78" s="5" t="str">
        <f aca="false">IFERROR(INDEX(資安適用排名!$H$2:$H$2501,MATCH($A78&amp;"|"&amp;$B78,資安適用排名!$AN$2:$AN$2501,0)),"")</f>
        <v>列入候選</v>
      </c>
      <c r="F78" s="12" t="str">
        <f aca="false">IFERROR(INDEX(資安適用排名!$E$2:$E$2501,MATCH($A78&amp;"|"&amp;$B78,資安適用排名!$AN$2:$AN$2501,0)),"")</f>
        <v>告警分類、釣魚郵件判斷、日誌事件分類 (需以資安資料微調)</v>
      </c>
    </row>
    <row r="79" customFormat="false" ht="32.8" hidden="false" customHeight="false" outlineLevel="0" collapsed="false">
      <c r="A79" s="5" t="s">
        <v>66</v>
      </c>
      <c r="B79" s="16" t="n">
        <v>7</v>
      </c>
      <c r="C79" s="5" t="str">
        <f aca="false">IFERROR(INDEX(資安適用排名!$B$2:$B$2501,MATCH($A79&amp;"|"&amp;$B79,資安適用排名!$AN$2:$AN$2501,0)),"")</f>
        <v>cross-encoder/nli-deberta-v3-xsmall</v>
      </c>
      <c r="D79" s="15" t="n">
        <f aca="false">IFERROR(INDEX(資安適用排名!$G$2:$G$2501,MATCH($A79&amp;"|"&amp;$B79,資安適用排名!$AN$2:$AN$2501,0)),"")</f>
        <v>75.708</v>
      </c>
      <c r="E79" s="5" t="str">
        <f aca="false">IFERROR(INDEX(資安適用排名!$H$2:$H$2501,MATCH($A79&amp;"|"&amp;$B79,資安適用排名!$AN$2:$AN$2501,0)),"")</f>
        <v>列入候選</v>
      </c>
      <c r="F79" s="12" t="str">
        <f aca="false">IFERROR(INDEX(資安適用排名!$E$2:$E$2501,MATCH($A79&amp;"|"&amp;$B79,資安適用排名!$AN$2:$AN$2501,0)),"")</f>
        <v>告警分類、釣魚郵件判斷、日誌事件分類 (需以資安資料微調)</v>
      </c>
    </row>
    <row r="80" customFormat="false" ht="32.8" hidden="false" customHeight="false" outlineLevel="0" collapsed="false">
      <c r="A80" s="5" t="s">
        <v>66</v>
      </c>
      <c r="B80" s="16" t="n">
        <v>8</v>
      </c>
      <c r="C80" s="5" t="str">
        <f aca="false">IFERROR(INDEX(資安適用排名!$B$2:$B$2501,MATCH($A80&amp;"|"&amp;$B80,資安適用排名!$AN$2:$AN$2501,0)),"")</f>
        <v>papluca/xlm-roberta-base-language-detection</v>
      </c>
      <c r="D80" s="15" t="n">
        <f aca="false">IFERROR(INDEX(資安適用排名!$G$2:$G$2501,MATCH($A80&amp;"|"&amp;$B80,資安適用排名!$AN$2:$AN$2501,0)),"")</f>
        <v>74.81</v>
      </c>
      <c r="E80" s="5" t="str">
        <f aca="false">IFERROR(INDEX(資安適用排名!$H$2:$H$2501,MATCH($A80&amp;"|"&amp;$B80,資安適用排名!$AN$2:$AN$2501,0)),"")</f>
        <v>列入候選</v>
      </c>
      <c r="F80" s="12" t="str">
        <f aca="false">IFERROR(INDEX(資安適用排名!$E$2:$E$2501,MATCH($A80&amp;"|"&amp;$B80,資安適用排名!$AN$2:$AN$2501,0)),"")</f>
        <v>告警分類、釣魚郵件判斷、日誌事件分類 (需以資安資料微調)</v>
      </c>
    </row>
    <row r="81" customFormat="false" ht="32.8" hidden="false" customHeight="false" outlineLevel="0" collapsed="false">
      <c r="A81" s="5" t="s">
        <v>66</v>
      </c>
      <c r="B81" s="16" t="n">
        <v>9</v>
      </c>
      <c r="C81" s="5" t="str">
        <f aca="false">IFERROR(INDEX(資安適用排名!$B$2:$B$2501,MATCH($A81&amp;"|"&amp;$B81,資安適用排名!$AN$2:$AN$2501,0)),"")</f>
        <v>SamLowe/roberta-base-go_emotions</v>
      </c>
      <c r="D81" s="15" t="n">
        <f aca="false">IFERROR(INDEX(資安適用排名!$G$2:$G$2501,MATCH($A81&amp;"|"&amp;$B81,資安適用排名!$AN$2:$AN$2501,0)),"")</f>
        <v>74.554</v>
      </c>
      <c r="E81" s="5" t="str">
        <f aca="false">IFERROR(INDEX(資安適用排名!$H$2:$H$2501,MATCH($A81&amp;"|"&amp;$B81,資安適用排名!$AN$2:$AN$2501,0)),"")</f>
        <v>列入候選</v>
      </c>
      <c r="F81" s="12" t="str">
        <f aca="false">IFERROR(INDEX(資安適用排名!$E$2:$E$2501,MATCH($A81&amp;"|"&amp;$B81,資安適用排名!$AN$2:$AN$2501,0)),"")</f>
        <v>告警分類、釣魚郵件判斷、日誌事件分類 (需以資安資料微調)</v>
      </c>
    </row>
    <row r="82" customFormat="false" ht="32.8" hidden="false" customHeight="false" outlineLevel="0" collapsed="false">
      <c r="A82" s="5" t="s">
        <v>66</v>
      </c>
      <c r="B82" s="16" t="n">
        <v>10</v>
      </c>
      <c r="C82" s="5" t="str">
        <f aca="false">IFERROR(INDEX(資安適用排名!$B$2:$B$2501,MATCH($A82&amp;"|"&amp;$B82,資安適用排名!$AN$2:$AN$2501,0)),"")</f>
        <v>MoritzLaurer/mDeBERTa-v3-base-xnli-multilingual-nli-2mil7</v>
      </c>
      <c r="D82" s="15" t="n">
        <f aca="false">IFERROR(INDEX(資安適用排名!$G$2:$G$2501,MATCH($A82&amp;"|"&amp;$B82,資安適用排名!$AN$2:$AN$2501,0)),"")</f>
        <v>72.026</v>
      </c>
      <c r="E82" s="5" t="str">
        <f aca="false">IFERROR(INDEX(資安適用排名!$H$2:$H$2501,MATCH($A82&amp;"|"&amp;$B82,資安適用排名!$AN$2:$AN$2501,0)),"")</f>
        <v>列入候選</v>
      </c>
      <c r="F82" s="12" t="str">
        <f aca="false">IFERROR(INDEX(資安適用排名!$E$2:$E$2501,MATCH($A82&amp;"|"&amp;$B82,資安適用排名!$AN$2:$AN$2501,0)),"")</f>
        <v>告警分類、釣魚郵件判斷、日誌事件分類 (需以資安資料微調)</v>
      </c>
    </row>
    <row r="83" customFormat="false" ht="17.15" hidden="false" customHeight="false" outlineLevel="0" collapsed="false">
      <c r="A83" s="5" t="s">
        <v>68</v>
      </c>
      <c r="B83" s="16" t="n">
        <v>1</v>
      </c>
      <c r="C83" s="5" t="str">
        <f aca="false">IFERROR(INDEX(資安適用排名!$B$2:$B$2501,MATCH($A83&amp;"|"&amp;$B83,資安適用排名!$AN$2:$AN$2501,0)),"")</f>
        <v>amazon/chronos-2</v>
      </c>
      <c r="D83" s="15" t="n">
        <f aca="false">IFERROR(INDEX(資安適用排名!$G$2:$G$2501,MATCH($A83&amp;"|"&amp;$B83,資安適用排名!$AN$2:$AN$2501,0)),"")</f>
        <v>77.48</v>
      </c>
      <c r="E83" s="5" t="str">
        <f aca="false">IFERROR(INDEX(資安適用排名!$H$2:$H$2501,MATCH($A83&amp;"|"&amp;$B83,資安適用排名!$AN$2:$AN$2501,0)),"")</f>
        <v>列入候選</v>
      </c>
      <c r="F83" s="12" t="str">
        <f aca="false">IFERROR(INDEX(資安適用排名!$E$2:$E$2501,MATCH($A83&amp;"|"&amp;$B83,資安適用排名!$AN$2:$AN$2501,0)),"")</f>
        <v>OT 製程數據、流量與登入次數的時序異常偵測</v>
      </c>
    </row>
    <row r="84" customFormat="false" ht="17.15" hidden="false" customHeight="false" outlineLevel="0" collapsed="false">
      <c r="A84" s="5" t="s">
        <v>68</v>
      </c>
      <c r="B84" s="16" t="n">
        <v>2</v>
      </c>
      <c r="C84" s="5" t="str">
        <f aca="false">IFERROR(INDEX(資安適用排名!$B$2:$B$2501,MATCH($A84&amp;"|"&amp;$B84,資安適用排名!$AN$2:$AN$2501,0)),"")</f>
        <v>autogluon/chronos-2</v>
      </c>
      <c r="D84" s="15" t="n">
        <f aca="false">IFERROR(INDEX(資安適用排名!$G$2:$G$2501,MATCH($A84&amp;"|"&amp;$B84,資安適用排名!$AN$2:$AN$2501,0)),"")</f>
        <v>77.432</v>
      </c>
      <c r="E84" s="5" t="str">
        <f aca="false">IFERROR(INDEX(資安適用排名!$H$2:$H$2501,MATCH($A84&amp;"|"&amp;$B84,資安適用排名!$AN$2:$AN$2501,0)),"")</f>
        <v>列入候選</v>
      </c>
      <c r="F84" s="12" t="str">
        <f aca="false">IFERROR(INDEX(資安適用排名!$E$2:$E$2501,MATCH($A84&amp;"|"&amp;$B84,資安適用排名!$AN$2:$AN$2501,0)),"")</f>
        <v>OT 製程數據、流量與登入次數的時序異常偵測</v>
      </c>
    </row>
    <row r="85" customFormat="false" ht="17.15" hidden="false" customHeight="false" outlineLevel="0" collapsed="false">
      <c r="A85" s="5" t="s">
        <v>68</v>
      </c>
      <c r="B85" s="16" t="n">
        <v>3</v>
      </c>
      <c r="C85" s="5" t="str">
        <f aca="false">IFERROR(INDEX(資安適用排名!$B$2:$B$2501,MATCH($A85&amp;"|"&amp;$B85,資安適用排名!$AN$2:$AN$2501,0)),"")</f>
        <v>autogluon/chronos-bolt-small</v>
      </c>
      <c r="D85" s="15" t="n">
        <f aca="false">IFERROR(INDEX(資安適用排名!$G$2:$G$2501,MATCH($A85&amp;"|"&amp;$B85,資安適用排名!$AN$2:$AN$2501,0)),"")</f>
        <v>76.416</v>
      </c>
      <c r="E85" s="5" t="str">
        <f aca="false">IFERROR(INDEX(資安適用排名!$H$2:$H$2501,MATCH($A85&amp;"|"&amp;$B85,資安適用排名!$AN$2:$AN$2501,0)),"")</f>
        <v>列入候選</v>
      </c>
      <c r="F85" s="12" t="str">
        <f aca="false">IFERROR(INDEX(資安適用排名!$E$2:$E$2501,MATCH($A85&amp;"|"&amp;$B85,資安適用排名!$AN$2:$AN$2501,0)),"")</f>
        <v>OT 製程數據、流量與登入次數的時序異常偵測</v>
      </c>
    </row>
    <row r="86" customFormat="false" ht="17.15" hidden="false" customHeight="false" outlineLevel="0" collapsed="false">
      <c r="A86" s="5" t="s">
        <v>68</v>
      </c>
      <c r="B86" s="16" t="n">
        <v>4</v>
      </c>
      <c r="C86" s="5" t="str">
        <f aca="false">IFERROR(INDEX(資安適用排名!$B$2:$B$2501,MATCH($A86&amp;"|"&amp;$B86,資安適用排名!$AN$2:$AN$2501,0)),"")</f>
        <v>amazon/chronos-bolt-small</v>
      </c>
      <c r="D86" s="15" t="n">
        <f aca="false">IFERROR(INDEX(資安適用排名!$G$2:$G$2501,MATCH($A86&amp;"|"&amp;$B86,資安適用排名!$AN$2:$AN$2501,0)),"")</f>
        <v>76.352</v>
      </c>
      <c r="E86" s="5" t="str">
        <f aca="false">IFERROR(INDEX(資安適用排名!$H$2:$H$2501,MATCH($A86&amp;"|"&amp;$B86,資安適用排名!$AN$2:$AN$2501,0)),"")</f>
        <v>列入候選</v>
      </c>
      <c r="F86" s="12" t="str">
        <f aca="false">IFERROR(INDEX(資安適用排名!$E$2:$E$2501,MATCH($A86&amp;"|"&amp;$B86,資安適用排名!$AN$2:$AN$2501,0)),"")</f>
        <v>OT 製程數據、流量與登入次數的時序異常偵測</v>
      </c>
    </row>
    <row r="87" customFormat="false" ht="17.15" hidden="false" customHeight="false" outlineLevel="0" collapsed="false">
      <c r="A87" s="5" t="s">
        <v>68</v>
      </c>
      <c r="B87" s="16" t="n">
        <v>5</v>
      </c>
      <c r="C87" s="5" t="str">
        <f aca="false">IFERROR(INDEX(資安適用排名!$B$2:$B$2501,MATCH($A87&amp;"|"&amp;$B87,資安適用排名!$AN$2:$AN$2501,0)),"")</f>
        <v>autogluon/chronos-2-small</v>
      </c>
      <c r="D87" s="15" t="n">
        <f aca="false">IFERROR(INDEX(資安適用排名!$G$2:$G$2501,MATCH($A87&amp;"|"&amp;$B87,資安適用排名!$AN$2:$AN$2501,0)),"")</f>
        <v>76.308</v>
      </c>
      <c r="E87" s="5" t="str">
        <f aca="false">IFERROR(INDEX(資安適用排名!$H$2:$H$2501,MATCH($A87&amp;"|"&amp;$B87,資安適用排名!$AN$2:$AN$2501,0)),"")</f>
        <v>列入候選</v>
      </c>
      <c r="F87" s="12" t="str">
        <f aca="false">IFERROR(INDEX(資安適用排名!$E$2:$E$2501,MATCH($A87&amp;"|"&amp;$B87,資安適用排名!$AN$2:$AN$2501,0)),"")</f>
        <v>OT 製程數據、流量與登入次數的時序異常偵測</v>
      </c>
    </row>
    <row r="88" customFormat="false" ht="17.15" hidden="false" customHeight="false" outlineLevel="0" collapsed="false">
      <c r="A88" s="5" t="s">
        <v>68</v>
      </c>
      <c r="B88" s="16" t="n">
        <v>6</v>
      </c>
      <c r="C88" s="5" t="str">
        <f aca="false">IFERROR(INDEX(資安適用排名!$B$2:$B$2501,MATCH($A88&amp;"|"&amp;$B88,資安適用排名!$AN$2:$AN$2501,0)),"")</f>
        <v>autogluon/chronos-bolt-tiny</v>
      </c>
      <c r="D88" s="15" t="n">
        <f aca="false">IFERROR(INDEX(資安適用排名!$G$2:$G$2501,MATCH($A88&amp;"|"&amp;$B88,資安適用排名!$AN$2:$AN$2501,0)),"")</f>
        <v>76.212</v>
      </c>
      <c r="E88" s="5" t="str">
        <f aca="false">IFERROR(INDEX(資安適用排名!$H$2:$H$2501,MATCH($A88&amp;"|"&amp;$B88,資安適用排名!$AN$2:$AN$2501,0)),"")</f>
        <v>列入候選</v>
      </c>
      <c r="F88" s="12" t="str">
        <f aca="false">IFERROR(INDEX(資安適用排名!$E$2:$E$2501,MATCH($A88&amp;"|"&amp;$B88,資安適用排名!$AN$2:$AN$2501,0)),"")</f>
        <v>OT 製程數據、流量與登入次數的時序異常偵測</v>
      </c>
    </row>
    <row r="89" customFormat="false" ht="17.15" hidden="false" customHeight="false" outlineLevel="0" collapsed="false">
      <c r="A89" s="5" t="s">
        <v>68</v>
      </c>
      <c r="B89" s="16" t="n">
        <v>7</v>
      </c>
      <c r="C89" s="5" t="str">
        <f aca="false">IFERROR(INDEX(資安適用排名!$B$2:$B$2501,MATCH($A89&amp;"|"&amp;$B89,資安適用排名!$AN$2:$AN$2501,0)),"")</f>
        <v>autogluon/chronos-bolt-base</v>
      </c>
      <c r="D89" s="15" t="n">
        <f aca="false">IFERROR(INDEX(資安適用排名!$G$2:$G$2501,MATCH($A89&amp;"|"&amp;$B89,資安適用排名!$AN$2:$AN$2501,0)),"")</f>
        <v>76.204</v>
      </c>
      <c r="E89" s="5" t="str">
        <f aca="false">IFERROR(INDEX(資安適用排名!$H$2:$H$2501,MATCH($A89&amp;"|"&amp;$B89,資安適用排名!$AN$2:$AN$2501,0)),"")</f>
        <v>列入候選</v>
      </c>
      <c r="F89" s="12" t="str">
        <f aca="false">IFERROR(INDEX(資安適用排名!$E$2:$E$2501,MATCH($A89&amp;"|"&amp;$B89,資安適用排名!$AN$2:$AN$2501,0)),"")</f>
        <v>OT 製程數據、流量與登入次數的時序異常偵測</v>
      </c>
    </row>
    <row r="90" customFormat="false" ht="17.15" hidden="false" customHeight="false" outlineLevel="0" collapsed="false">
      <c r="A90" s="5" t="s">
        <v>68</v>
      </c>
      <c r="B90" s="16" t="n">
        <v>8</v>
      </c>
      <c r="C90" s="5" t="str">
        <f aca="false">IFERROR(INDEX(資安適用排名!$B$2:$B$2501,MATCH($A90&amp;"|"&amp;$B90,資安適用排名!$AN$2:$AN$2501,0)),"")</f>
        <v>amazon/chronos-bolt-base</v>
      </c>
      <c r="D90" s="15" t="n">
        <f aca="false">IFERROR(INDEX(資安適用排名!$G$2:$G$2501,MATCH($A90&amp;"|"&amp;$B90,資安適用排名!$AN$2:$AN$2501,0)),"")</f>
        <v>76.168</v>
      </c>
      <c r="E90" s="5" t="str">
        <f aca="false">IFERROR(INDEX(資安適用排名!$H$2:$H$2501,MATCH($A90&amp;"|"&amp;$B90,資安適用排名!$AN$2:$AN$2501,0)),"")</f>
        <v>列入候選</v>
      </c>
      <c r="F90" s="12" t="str">
        <f aca="false">IFERROR(INDEX(資安適用排名!$E$2:$E$2501,MATCH($A90&amp;"|"&amp;$B90,資安適用排名!$AN$2:$AN$2501,0)),"")</f>
        <v>OT 製程數據、流量與登入次數的時序異常偵測</v>
      </c>
    </row>
    <row r="91" customFormat="false" ht="17.15" hidden="false" customHeight="false" outlineLevel="0" collapsed="false">
      <c r="A91" s="5" t="s">
        <v>68</v>
      </c>
      <c r="B91" s="16" t="n">
        <v>9</v>
      </c>
      <c r="C91" s="5" t="str">
        <f aca="false">IFERROR(INDEX(資安適用排名!$B$2:$B$2501,MATCH($A91&amp;"|"&amp;$B91,資安適用排名!$AN$2:$AN$2501,0)),"")</f>
        <v>amazon/chronos-bolt-tiny</v>
      </c>
      <c r="D91" s="15" t="n">
        <f aca="false">IFERROR(INDEX(資安適用排名!$G$2:$G$2501,MATCH($A91&amp;"|"&amp;$B91,資安適用排名!$AN$2:$AN$2501,0)),"")</f>
        <v>75.964</v>
      </c>
      <c r="E91" s="5" t="str">
        <f aca="false">IFERROR(INDEX(資安適用排名!$H$2:$H$2501,MATCH($A91&amp;"|"&amp;$B91,資安適用排名!$AN$2:$AN$2501,0)),"")</f>
        <v>列入候選</v>
      </c>
      <c r="F91" s="12" t="str">
        <f aca="false">IFERROR(INDEX(資安適用排名!$E$2:$E$2501,MATCH($A91&amp;"|"&amp;$B91,資安適用排名!$AN$2:$AN$2501,0)),"")</f>
        <v>OT 製程數據、流量與登入次數的時序異常偵測</v>
      </c>
    </row>
    <row r="92" customFormat="false" ht="17.15" hidden="false" customHeight="false" outlineLevel="0" collapsed="false">
      <c r="A92" s="5" t="s">
        <v>68</v>
      </c>
      <c r="B92" s="16" t="n">
        <v>10</v>
      </c>
      <c r="C92" s="5" t="str">
        <f aca="false">IFERROR(INDEX(資安適用排名!$B$2:$B$2501,MATCH($A92&amp;"|"&amp;$B92,資安適用排名!$AN$2:$AN$2501,0)),"")</f>
        <v>amazon/chronos-t5-small</v>
      </c>
      <c r="D92" s="15" t="n">
        <f aca="false">IFERROR(INDEX(資安適用排名!$G$2:$G$2501,MATCH($A92&amp;"|"&amp;$B92,資安適用排名!$AN$2:$AN$2501,0)),"")</f>
        <v>75.936</v>
      </c>
      <c r="E92" s="5" t="str">
        <f aca="false">IFERROR(INDEX(資安適用排名!$H$2:$H$2501,MATCH($A92&amp;"|"&amp;$B92,資安適用排名!$AN$2:$AN$2501,0)),"")</f>
        <v>列入候選</v>
      </c>
      <c r="F92" s="12" t="str">
        <f aca="false">IFERROR(INDEX(資安適用排名!$E$2:$E$2501,MATCH($A92&amp;"|"&amp;$B92,資安適用排名!$AN$2:$AN$2501,0)),"")</f>
        <v>OT 製程數據、流量與登入次數的時序異常偵測</v>
      </c>
    </row>
    <row r="93" customFormat="false" ht="17.15" hidden="false" customHeight="false" outlineLevel="0" collapsed="false">
      <c r="A93" s="5" t="s">
        <v>70</v>
      </c>
      <c r="B93" s="16" t="n">
        <v>1</v>
      </c>
      <c r="C93" s="5" t="str">
        <f aca="false">IFERROR(INDEX(資安適用排名!$B$2:$B$2501,MATCH($A93&amp;"|"&amp;$B93,資安適用排名!$AN$2:$AN$2501,0)),"")</f>
        <v>protectai/unbiased-toxic-roberta-onnx</v>
      </c>
      <c r="D93" s="15" t="n">
        <f aca="false">IFERROR(INDEX(資安適用排名!$G$2:$G$2501,MATCH($A93&amp;"|"&amp;$B93,資安適用排名!$AN$2:$AN$2501,0)),"")</f>
        <v>77.298</v>
      </c>
      <c r="E93" s="5" t="str">
        <f aca="false">IFERROR(INDEX(資安適用排名!$H$2:$H$2501,MATCH($A93&amp;"|"&amp;$B93,資安適用排名!$AN$2:$AN$2501,0)),"")</f>
        <v>列入候選</v>
      </c>
      <c r="F93" s="12" t="str">
        <f aca="false">IFERROR(INDEX(資安適用排名!$E$2:$E$2501,MATCH($A93&amp;"|"&amp;$B93,資安適用排名!$AN$2:$AN$2501,0)),"")</f>
        <v>有害或不當內容分類, 屬內容治理</v>
      </c>
    </row>
    <row r="94" customFormat="false" ht="17.15" hidden="false" customHeight="false" outlineLevel="0" collapsed="false">
      <c r="A94" s="5" t="s">
        <v>70</v>
      </c>
      <c r="B94" s="16" t="n">
        <v>2</v>
      </c>
      <c r="C94" s="5" t="str">
        <f aca="false">IFERROR(INDEX(資安適用排名!$B$2:$B$2501,MATCH($A94&amp;"|"&amp;$B94,資安適用排名!$AN$2:$AN$2501,0)),"")</f>
        <v>unitary/toxic-bert</v>
      </c>
      <c r="D94" s="15" t="n">
        <f aca="false">IFERROR(INDEX(資安適用排名!$G$2:$G$2501,MATCH($A94&amp;"|"&amp;$B94,資安適用排名!$AN$2:$AN$2501,0)),"")</f>
        <v>75.078</v>
      </c>
      <c r="E94" s="5" t="str">
        <f aca="false">IFERROR(INDEX(資安適用排名!$H$2:$H$2501,MATCH($A94&amp;"|"&amp;$B94,資安適用排名!$AN$2:$AN$2501,0)),"")</f>
        <v>列入候選</v>
      </c>
      <c r="F94" s="12" t="str">
        <f aca="false">IFERROR(INDEX(資安適用排名!$E$2:$E$2501,MATCH($A94&amp;"|"&amp;$B94,資安適用排名!$AN$2:$AN$2501,0)),"")</f>
        <v>有害或不當內容分類, 屬內容治理</v>
      </c>
    </row>
    <row r="95" customFormat="false" ht="17.15" hidden="false" customHeight="false" outlineLevel="0" collapsed="false">
      <c r="A95" s="5" t="s">
        <v>70</v>
      </c>
      <c r="B95" s="16" t="n">
        <v>3</v>
      </c>
      <c r="C95" s="5" t="str">
        <f aca="false">IFERROR(INDEX(資安適用排名!$B$2:$B$2501,MATCH($A95&amp;"|"&amp;$B95,資安適用排名!$AN$2:$AN$2501,0)),"")</f>
        <v>onnx-community/distilbert-multilingual-toxicity-classifier-ONNX</v>
      </c>
      <c r="D95" s="15" t="n">
        <f aca="false">IFERROR(INDEX(資安適用排名!$G$2:$G$2501,MATCH($A95&amp;"|"&amp;$B95,資安適用排名!$AN$2:$AN$2501,0)),"")</f>
        <v>70.328</v>
      </c>
      <c r="E95" s="5" t="str">
        <f aca="false">IFERROR(INDEX(資安適用排名!$H$2:$H$2501,MATCH($A95&amp;"|"&amp;$B95,資安適用排名!$AN$2:$AN$2501,0)),"")</f>
        <v>列入候選</v>
      </c>
      <c r="F95" s="12" t="str">
        <f aca="false">IFERROR(INDEX(資安適用排名!$E$2:$E$2501,MATCH($A95&amp;"|"&amp;$B95,資安適用排名!$AN$2:$AN$2501,0)),"")</f>
        <v>有害或不當內容分類, 屬內容治理</v>
      </c>
    </row>
    <row r="96" customFormat="false" ht="17.15" hidden="false" customHeight="false" outlineLevel="0" collapsed="false">
      <c r="A96" s="5" t="s">
        <v>70</v>
      </c>
      <c r="B96" s="16" t="n">
        <v>4</v>
      </c>
      <c r="C96" s="5" t="str">
        <f aca="false">IFERROR(INDEX(資安適用排名!$B$2:$B$2501,MATCH($A96&amp;"|"&amp;$B96,資安適用排名!$AN$2:$AN$2501,0)),"")</f>
        <v>cointegrated/rubert-tiny-toxicity</v>
      </c>
      <c r="D96" s="15" t="n">
        <f aca="false">IFERROR(INDEX(資安適用排名!$G$2:$G$2501,MATCH($A96&amp;"|"&amp;$B96,資安適用排名!$AN$2:$AN$2501,0)),"")</f>
        <v>69.39</v>
      </c>
      <c r="E96" s="5" t="str">
        <f aca="false">IFERROR(INDEX(資安適用排名!$H$2:$H$2501,MATCH($A96&amp;"|"&amp;$B96,資安適用排名!$AN$2:$AN$2501,0)),"")</f>
        <v>特定情境</v>
      </c>
      <c r="F96" s="12" t="str">
        <f aca="false">IFERROR(INDEX(資安適用排名!$E$2:$E$2501,MATCH($A96&amp;"|"&amp;$B96,資安適用排名!$AN$2:$AN$2501,0)),"")</f>
        <v>有害或不當內容分類, 屬內容治理</v>
      </c>
    </row>
    <row r="97" customFormat="false" ht="17.15" hidden="false" customHeight="false" outlineLevel="0" collapsed="false">
      <c r="A97" s="5" t="s">
        <v>70</v>
      </c>
      <c r="B97" s="16" t="n">
        <v>5</v>
      </c>
      <c r="C97" s="5" t="str">
        <f aca="false">IFERROR(INDEX(資安適用排名!$B$2:$B$2501,MATCH($A97&amp;"|"&amp;$B97,資安適用排名!$AN$2:$AN$2501,0)),"")</f>
        <v>KoalaAI/Text-Moderation</v>
      </c>
      <c r="D97" s="15" t="n">
        <f aca="false">IFERROR(INDEX(資安適用排名!$G$2:$G$2501,MATCH($A97&amp;"|"&amp;$B97,資安適用排名!$AN$2:$AN$2501,0)),"")</f>
        <v>67.298</v>
      </c>
      <c r="E97" s="5" t="str">
        <f aca="false">IFERROR(INDEX(資安適用排名!$H$2:$H$2501,MATCH($A97&amp;"|"&amp;$B97,資安適用排名!$AN$2:$AN$2501,0)),"")</f>
        <v>特定情境</v>
      </c>
      <c r="F97" s="12" t="str">
        <f aca="false">IFERROR(INDEX(資安適用排名!$E$2:$E$2501,MATCH($A97&amp;"|"&amp;$B97,資安適用排名!$AN$2:$AN$2501,0)),"")</f>
        <v>有害或不當內容分類, 屬內容治理</v>
      </c>
    </row>
    <row r="98" customFormat="false" ht="17.15" hidden="false" customHeight="false" outlineLevel="0" collapsed="false">
      <c r="A98" s="5" t="s">
        <v>70</v>
      </c>
      <c r="B98" s="16" t="n">
        <v>6</v>
      </c>
      <c r="C98" s="5" t="str">
        <f aca="false">IFERROR(INDEX(資安適用排名!$B$2:$B$2501,MATCH($A98&amp;"|"&amp;$B98,資安適用排名!$AN$2:$AN$2501,0)),"")</f>
        <v>Falconsai/nsfw_image_detection</v>
      </c>
      <c r="D98" s="15" t="n">
        <f aca="false">IFERROR(INDEX(資安適用排名!$G$2:$G$2501,MATCH($A98&amp;"|"&amp;$B98,資安適用排名!$AN$2:$AN$2501,0)),"")</f>
        <v>66.926</v>
      </c>
      <c r="E98" s="5" t="str">
        <f aca="false">IFERROR(INDEX(資安適用排名!$H$2:$H$2501,MATCH($A98&amp;"|"&amp;$B98,資安適用排名!$AN$2:$AN$2501,0)),"")</f>
        <v>特定情境</v>
      </c>
      <c r="F98" s="12" t="str">
        <f aca="false">IFERROR(INDEX(資安適用排名!$E$2:$E$2501,MATCH($A98&amp;"|"&amp;$B98,資安適用排名!$AN$2:$AN$2501,0)),"")</f>
        <v>有害或不當內容分類, 屬內容治理</v>
      </c>
    </row>
    <row r="99" customFormat="false" ht="17.15" hidden="false" customHeight="false" outlineLevel="0" collapsed="false">
      <c r="A99" s="5" t="s">
        <v>70</v>
      </c>
      <c r="B99" s="16" t="n">
        <v>7</v>
      </c>
      <c r="C99" s="5" t="str">
        <f aca="false">IFERROR(INDEX(資安適用排名!$B$2:$B$2501,MATCH($A99&amp;"|"&amp;$B99,資安適用排名!$AN$2:$AN$2501,0)),"")</f>
        <v>Falconsai/nsfw_image_detection_26</v>
      </c>
      <c r="D99" s="15" t="n">
        <f aca="false">IFERROR(INDEX(資安適用排名!$G$2:$G$2501,MATCH($A99&amp;"|"&amp;$B99,資安適用排名!$AN$2:$AN$2501,0)),"")</f>
        <v>66.31</v>
      </c>
      <c r="E99" s="5" t="str">
        <f aca="false">IFERROR(INDEX(資安適用排名!$H$2:$H$2501,MATCH($A99&amp;"|"&amp;$B99,資安適用排名!$AN$2:$AN$2501,0)),"")</f>
        <v>特定情境</v>
      </c>
      <c r="F99" s="12" t="str">
        <f aca="false">IFERROR(INDEX(資安適用排名!$E$2:$E$2501,MATCH($A99&amp;"|"&amp;$B99,資安適用排名!$AN$2:$AN$2501,0)),"")</f>
        <v>有害或不當內容分類, 屬內容治理</v>
      </c>
    </row>
    <row r="100" customFormat="false" ht="17.15" hidden="false" customHeight="false" outlineLevel="0" collapsed="false">
      <c r="A100" s="5" t="s">
        <v>70</v>
      </c>
      <c r="B100" s="16" t="n">
        <v>8</v>
      </c>
      <c r="C100" s="5" t="str">
        <f aca="false">IFERROR(INDEX(資安適用排名!$B$2:$B$2501,MATCH($A100&amp;"|"&amp;$B100,資安適用排名!$AN$2:$AN$2501,0)),"")</f>
        <v>AdamCodd/vit-base-nsfw-detector</v>
      </c>
      <c r="D100" s="15" t="n">
        <f aca="false">IFERROR(INDEX(資安適用排名!$G$2:$G$2501,MATCH($A100&amp;"|"&amp;$B100,資安適用排名!$AN$2:$AN$2501,0)),"")</f>
        <v>63.798</v>
      </c>
      <c r="E100" s="5" t="str">
        <f aca="false">IFERROR(INDEX(資安適用排名!$H$2:$H$2501,MATCH($A100&amp;"|"&amp;$B100,資安適用排名!$AN$2:$AN$2501,0)),"")</f>
        <v>特定情境</v>
      </c>
      <c r="F100" s="12" t="str">
        <f aca="false">IFERROR(INDEX(資安適用排名!$E$2:$E$2501,MATCH($A100&amp;"|"&amp;$B100,資安適用排名!$AN$2:$AN$2501,0)),"")</f>
        <v>有害或不當內容分類, 屬內容治理</v>
      </c>
    </row>
    <row r="101" customFormat="false" ht="17.15" hidden="false" customHeight="false" outlineLevel="0" collapsed="false">
      <c r="A101" s="5" t="s">
        <v>70</v>
      </c>
      <c r="B101" s="16" t="n">
        <v>9</v>
      </c>
      <c r="C101" s="5" t="str">
        <f aca="false">IFERROR(INDEX(資安適用排名!$B$2:$B$2501,MATCH($A101&amp;"|"&amp;$B101,資安適用排名!$AN$2:$AN$2501,0)),"")</f>
        <v>Marqo/nsfw-image-detection-384</v>
      </c>
      <c r="D101" s="15" t="n">
        <f aca="false">IFERROR(INDEX(資安適用排名!$G$2:$G$2501,MATCH($A101&amp;"|"&amp;$B101,資安適用排名!$AN$2:$AN$2501,0)),"")</f>
        <v>62.378</v>
      </c>
      <c r="E101" s="5" t="str">
        <f aca="false">IFERROR(INDEX(資安適用排名!$H$2:$H$2501,MATCH($A101&amp;"|"&amp;$B101,資安適用排名!$AN$2:$AN$2501,0)),"")</f>
        <v>特定情境</v>
      </c>
      <c r="F101" s="12" t="str">
        <f aca="false">IFERROR(INDEX(資安適用排名!$E$2:$E$2501,MATCH($A101&amp;"|"&amp;$B101,資安適用排名!$AN$2:$AN$2501,0)),"")</f>
        <v>有害或不當內容分類, 屬內容治理</v>
      </c>
    </row>
    <row r="102" customFormat="false" ht="17.15" hidden="false" customHeight="false" outlineLevel="0" collapsed="false">
      <c r="A102" s="5" t="s">
        <v>70</v>
      </c>
      <c r="B102" s="16" t="n">
        <v>10</v>
      </c>
      <c r="C102" s="5" t="str">
        <f aca="false">IFERROR(INDEX(資安適用排名!$B$2:$B$2501,MATCH($A102&amp;"|"&amp;$B102,資安適用排名!$AN$2:$AN$2501,0)),"")</f>
        <v>Freepik/nsfw_image_detector</v>
      </c>
      <c r="D102" s="15" t="n">
        <f aca="false">IFERROR(INDEX(資安適用排名!$G$2:$G$2501,MATCH($A102&amp;"|"&amp;$B102,資安適用排名!$AN$2:$AN$2501,0)),"")</f>
        <v>58.138</v>
      </c>
      <c r="E102" s="5" t="str">
        <f aca="false">IFERROR(INDEX(資安適用排名!$H$2:$H$2501,MATCH($A102&amp;"|"&amp;$B102,資安適用排名!$AN$2:$AN$2501,0)),"")</f>
        <v>不建議</v>
      </c>
      <c r="F102" s="12" t="str">
        <f aca="false">IFERROR(INDEX(資安適用排名!$E$2:$E$2501,MATCH($A102&amp;"|"&amp;$B102,資安適用排名!$AN$2:$AN$2501,0)),"")</f>
        <v>有害或不當內容分類, 屬內容治理</v>
      </c>
    </row>
    <row r="103" customFormat="false" ht="17.15" hidden="false" customHeight="false" outlineLevel="0" collapsed="false">
      <c r="A103" s="5" t="s">
        <v>72</v>
      </c>
      <c r="B103" s="16" t="n">
        <v>1</v>
      </c>
      <c r="C103" s="5" t="str">
        <f aca="false">IFERROR(INDEX(資安適用排名!$B$2:$B$2501,MATCH($A103&amp;"|"&amp;$B103,資安適用排名!$AN$2:$AN$2501,0)),"")</f>
        <v>google-bert/bert-base-chinese</v>
      </c>
      <c r="D103" s="15" t="n">
        <f aca="false">IFERROR(INDEX(資安適用排名!$G$2:$G$2501,MATCH($A103&amp;"|"&amp;$B103,資安適用排名!$AN$2:$AN$2501,0)),"")</f>
        <v>71.668</v>
      </c>
      <c r="E103" s="5" t="str">
        <f aca="false">IFERROR(INDEX(資安適用排名!$H$2:$H$2501,MATCH($A103&amp;"|"&amp;$B103,資安適用排名!$AN$2:$AN$2501,0)),"")</f>
        <v>列入候選</v>
      </c>
      <c r="F103" s="12" t="str">
        <f aca="false">IFERROR(INDEX(資安適用排名!$E$2:$E$2501,MATCH($A103&amp;"|"&amp;$B103,資安適用排名!$AN$2:$AN$2501,0)),"")</f>
        <v>作為資安分類或實體辨識模型的微調起點</v>
      </c>
    </row>
    <row r="104" customFormat="false" ht="17.15" hidden="false" customHeight="false" outlineLevel="0" collapsed="false">
      <c r="A104" s="5" t="s">
        <v>72</v>
      </c>
      <c r="B104" s="16" t="n">
        <v>2</v>
      </c>
      <c r="C104" s="5" t="str">
        <f aca="false">IFERROR(INDEX(資安適用排名!$B$2:$B$2501,MATCH($A104&amp;"|"&amp;$B104,資安適用排名!$AN$2:$AN$2501,0)),"")</f>
        <v>FacebookAI/xlm-roberta-base</v>
      </c>
      <c r="D104" s="15" t="n">
        <f aca="false">IFERROR(INDEX(資安適用排名!$G$2:$G$2501,MATCH($A104&amp;"|"&amp;$B104,資安適用排名!$AN$2:$AN$2501,0)),"")</f>
        <v>70.976</v>
      </c>
      <c r="E104" s="5" t="str">
        <f aca="false">IFERROR(INDEX(資安適用排名!$H$2:$H$2501,MATCH($A104&amp;"|"&amp;$B104,資安適用排名!$AN$2:$AN$2501,0)),"")</f>
        <v>列入候選</v>
      </c>
      <c r="F104" s="12" t="str">
        <f aca="false">IFERROR(INDEX(資安適用排名!$E$2:$E$2501,MATCH($A104&amp;"|"&amp;$B104,資安適用排名!$AN$2:$AN$2501,0)),"")</f>
        <v>作為資安分類或實體辨識模型的微調起點</v>
      </c>
    </row>
    <row r="105" customFormat="false" ht="17.15" hidden="false" customHeight="false" outlineLevel="0" collapsed="false">
      <c r="A105" s="5" t="s">
        <v>72</v>
      </c>
      <c r="B105" s="16" t="n">
        <v>3</v>
      </c>
      <c r="C105" s="5" t="str">
        <f aca="false">IFERROR(INDEX(資安適用排名!$B$2:$B$2501,MATCH($A105&amp;"|"&amp;$B105,資安適用排名!$AN$2:$AN$2501,0)),"")</f>
        <v>FacebookAI/xlm-roberta-large</v>
      </c>
      <c r="D105" s="15" t="n">
        <f aca="false">IFERROR(INDEX(資安適用排名!$G$2:$G$2501,MATCH($A105&amp;"|"&amp;$B105,資安適用排名!$AN$2:$AN$2501,0)),"")</f>
        <v>70.872</v>
      </c>
      <c r="E105" s="5" t="str">
        <f aca="false">IFERROR(INDEX(資安適用排名!$H$2:$H$2501,MATCH($A105&amp;"|"&amp;$B105,資安適用排名!$AN$2:$AN$2501,0)),"")</f>
        <v>列入候選</v>
      </c>
      <c r="F105" s="12" t="str">
        <f aca="false">IFERROR(INDEX(資安適用排名!$E$2:$E$2501,MATCH($A105&amp;"|"&amp;$B105,資安適用排名!$AN$2:$AN$2501,0)),"")</f>
        <v>作為資安分類或實體辨識模型的微調起點</v>
      </c>
    </row>
    <row r="106" customFormat="false" ht="17.15" hidden="false" customHeight="false" outlineLevel="0" collapsed="false">
      <c r="A106" s="5" t="s">
        <v>72</v>
      </c>
      <c r="B106" s="16" t="n">
        <v>4</v>
      </c>
      <c r="C106" s="5" t="str">
        <f aca="false">IFERROR(INDEX(資安適用排名!$B$2:$B$2501,MATCH($A106&amp;"|"&amp;$B106,資安適用排名!$AN$2:$AN$2501,0)),"")</f>
        <v>google-bert/bert-base-multilingual-uncased</v>
      </c>
      <c r="D106" s="15" t="n">
        <f aca="false">IFERROR(INDEX(資安適用排名!$G$2:$G$2501,MATCH($A106&amp;"|"&amp;$B106,資安適用排名!$AN$2:$AN$2501,0)),"")</f>
        <v>70.832</v>
      </c>
      <c r="E106" s="5" t="str">
        <f aca="false">IFERROR(INDEX(資安適用排名!$H$2:$H$2501,MATCH($A106&amp;"|"&amp;$B106,資安適用排名!$AN$2:$AN$2501,0)),"")</f>
        <v>列入候選</v>
      </c>
      <c r="F106" s="12" t="str">
        <f aca="false">IFERROR(INDEX(資安適用排名!$E$2:$E$2501,MATCH($A106&amp;"|"&amp;$B106,資安適用排名!$AN$2:$AN$2501,0)),"")</f>
        <v>作為資安分類或實體辨識模型的微調起點</v>
      </c>
    </row>
    <row r="107" customFormat="false" ht="17.15" hidden="false" customHeight="false" outlineLevel="0" collapsed="false">
      <c r="A107" s="5" t="s">
        <v>72</v>
      </c>
      <c r="B107" s="16" t="n">
        <v>5</v>
      </c>
      <c r="C107" s="5" t="str">
        <f aca="false">IFERROR(INDEX(資安適用排名!$B$2:$B$2501,MATCH($A107&amp;"|"&amp;$B107,資安適用排名!$AN$2:$AN$2501,0)),"")</f>
        <v>google-bert/bert-base-multilingual-cased</v>
      </c>
      <c r="D107" s="15" t="n">
        <f aca="false">IFERROR(INDEX(資安適用排名!$G$2:$G$2501,MATCH($A107&amp;"|"&amp;$B107,資安適用排名!$AN$2:$AN$2501,0)),"")</f>
        <v>70.76</v>
      </c>
      <c r="E107" s="5" t="str">
        <f aca="false">IFERROR(INDEX(資安適用排名!$H$2:$H$2501,MATCH($A107&amp;"|"&amp;$B107,資安適用排名!$AN$2:$AN$2501,0)),"")</f>
        <v>列入候選</v>
      </c>
      <c r="F107" s="12" t="str">
        <f aca="false">IFERROR(INDEX(資安適用排名!$E$2:$E$2501,MATCH($A107&amp;"|"&amp;$B107,資安適用排名!$AN$2:$AN$2501,0)),"")</f>
        <v>作為資安分類或實體辨識模型的微調起點</v>
      </c>
    </row>
    <row r="108" customFormat="false" ht="17.15" hidden="false" customHeight="false" outlineLevel="0" collapsed="false">
      <c r="A108" s="5" t="s">
        <v>72</v>
      </c>
      <c r="B108" s="16" t="n">
        <v>6</v>
      </c>
      <c r="C108" s="5" t="str">
        <f aca="false">IFERROR(INDEX(資安適用排名!$B$2:$B$2501,MATCH($A108&amp;"|"&amp;$B108,資安適用排名!$AN$2:$AN$2501,0)),"")</f>
        <v>distilbert/distilbert-base-multilingual-cased</v>
      </c>
      <c r="D108" s="15" t="n">
        <f aca="false">IFERROR(INDEX(資安適用排名!$G$2:$G$2501,MATCH($A108&amp;"|"&amp;$B108,資安適用排名!$AN$2:$AN$2501,0)),"")</f>
        <v>70.08</v>
      </c>
      <c r="E108" s="5" t="str">
        <f aca="false">IFERROR(INDEX(資安適用排名!$H$2:$H$2501,MATCH($A108&amp;"|"&amp;$B108,資安適用排名!$AN$2:$AN$2501,0)),"")</f>
        <v>列入候選</v>
      </c>
      <c r="F108" s="12" t="str">
        <f aca="false">IFERROR(INDEX(資安適用排名!$E$2:$E$2501,MATCH($A108&amp;"|"&amp;$B108,資安適用排名!$AN$2:$AN$2501,0)),"")</f>
        <v>作為資安分類或實體辨識模型的微調起點</v>
      </c>
    </row>
    <row r="109" customFormat="false" ht="17.15" hidden="false" customHeight="false" outlineLevel="0" collapsed="false">
      <c r="A109" s="5" t="s">
        <v>72</v>
      </c>
      <c r="B109" s="16" t="n">
        <v>7</v>
      </c>
      <c r="C109" s="5" t="str">
        <f aca="false">IFERROR(INDEX(資安適用排名!$B$2:$B$2501,MATCH($A109&amp;"|"&amp;$B109,資安適用排名!$AN$2:$AN$2501,0)),"")</f>
        <v>answerdotai/ModernBERT-base</v>
      </c>
      <c r="D109" s="15" t="n">
        <f aca="false">IFERROR(INDEX(資安適用排名!$G$2:$G$2501,MATCH($A109&amp;"|"&amp;$B109,資安適用排名!$AN$2:$AN$2501,0)),"")</f>
        <v>67.364</v>
      </c>
      <c r="E109" s="5" t="str">
        <f aca="false">IFERROR(INDEX(資安適用排名!$H$2:$H$2501,MATCH($A109&amp;"|"&amp;$B109,資安適用排名!$AN$2:$AN$2501,0)),"")</f>
        <v>特定情境</v>
      </c>
      <c r="F109" s="12" t="str">
        <f aca="false">IFERROR(INDEX(資安適用排名!$E$2:$E$2501,MATCH($A109&amp;"|"&amp;$B109,資安適用排名!$AN$2:$AN$2501,0)),"")</f>
        <v>作為資安分類或實體辨識模型的微調起點</v>
      </c>
    </row>
    <row r="110" customFormat="false" ht="17.15" hidden="false" customHeight="false" outlineLevel="0" collapsed="false">
      <c r="A110" s="5" t="s">
        <v>72</v>
      </c>
      <c r="B110" s="16" t="n">
        <v>8</v>
      </c>
      <c r="C110" s="5" t="str">
        <f aca="false">IFERROR(INDEX(資安適用排名!$B$2:$B$2501,MATCH($A110&amp;"|"&amp;$B110,資安適用排名!$AN$2:$AN$2501,0)),"")</f>
        <v>facebook/esm2_t33_650M_UR50D</v>
      </c>
      <c r="D110" s="15" t="n">
        <f aca="false">IFERROR(INDEX(資安適用排名!$G$2:$G$2501,MATCH($A110&amp;"|"&amp;$B110,資安適用排名!$AN$2:$AN$2501,0)),"")</f>
        <v>67.256</v>
      </c>
      <c r="E110" s="5" t="str">
        <f aca="false">IFERROR(INDEX(資安適用排名!$H$2:$H$2501,MATCH($A110&amp;"|"&amp;$B110,資安適用排名!$AN$2:$AN$2501,0)),"")</f>
        <v>特定情境</v>
      </c>
      <c r="F110" s="12" t="str">
        <f aca="false">IFERROR(INDEX(資安適用排名!$E$2:$E$2501,MATCH($A110&amp;"|"&amp;$B110,資安適用排名!$AN$2:$AN$2501,0)),"")</f>
        <v>作為資安分類或實體辨識模型的微調起點</v>
      </c>
    </row>
    <row r="111" customFormat="false" ht="17.15" hidden="false" customHeight="false" outlineLevel="0" collapsed="false">
      <c r="A111" s="5" t="s">
        <v>72</v>
      </c>
      <c r="B111" s="16" t="n">
        <v>9</v>
      </c>
      <c r="C111" s="5" t="str">
        <f aca="false">IFERROR(INDEX(資安適用排名!$B$2:$B$2501,MATCH($A111&amp;"|"&amp;$B111,資安適用排名!$AN$2:$AN$2501,0)),"")</f>
        <v>answerdotai/ModernBERT-large</v>
      </c>
      <c r="D111" s="15" t="n">
        <f aca="false">IFERROR(INDEX(資安適用排名!$G$2:$G$2501,MATCH($A111&amp;"|"&amp;$B111,資安適用排名!$AN$2:$AN$2501,0)),"")</f>
        <v>66.924</v>
      </c>
      <c r="E111" s="5" t="str">
        <f aca="false">IFERROR(INDEX(資安適用排名!$H$2:$H$2501,MATCH($A111&amp;"|"&amp;$B111,資安適用排名!$AN$2:$AN$2501,0)),"")</f>
        <v>特定情境</v>
      </c>
      <c r="F111" s="12" t="str">
        <f aca="false">IFERROR(INDEX(資安適用排名!$E$2:$E$2501,MATCH($A111&amp;"|"&amp;$B111,資安適用排名!$AN$2:$AN$2501,0)),"")</f>
        <v>作為資安分類或實體辨識模型的微調起點</v>
      </c>
    </row>
    <row r="112" customFormat="false" ht="17.15" hidden="false" customHeight="false" outlineLevel="0" collapsed="false">
      <c r="A112" s="5" t="s">
        <v>72</v>
      </c>
      <c r="B112" s="16" t="n">
        <v>10</v>
      </c>
      <c r="C112" s="5" t="str">
        <f aca="false">IFERROR(INDEX(資安適用排名!$B$2:$B$2501,MATCH($A112&amp;"|"&amp;$B112,資安適用排名!$AN$2:$AN$2501,0)),"")</f>
        <v>facebook/esm2_t6_8M_UR50D</v>
      </c>
      <c r="D112" s="15" t="n">
        <f aca="false">IFERROR(INDEX(資安適用排名!$G$2:$G$2501,MATCH($A112&amp;"|"&amp;$B112,資安適用排名!$AN$2:$AN$2501,0)),"")</f>
        <v>66.696</v>
      </c>
      <c r="E112" s="5" t="str">
        <f aca="false">IFERROR(INDEX(資安適用排名!$H$2:$H$2501,MATCH($A112&amp;"|"&amp;$B112,資安適用排名!$AN$2:$AN$2501,0)),"")</f>
        <v>特定情境</v>
      </c>
      <c r="F112" s="12" t="str">
        <f aca="false">IFERROR(INDEX(資安適用排名!$E$2:$E$2501,MATCH($A112&amp;"|"&amp;$B112,資安適用排名!$AN$2:$AN$2501,0)),"")</f>
        <v>作為資安分類或實體辨識模型的微調起點</v>
      </c>
    </row>
    <row r="113" customFormat="false" ht="17.15" hidden="false" customHeight="false" outlineLevel="0" collapsed="false">
      <c r="A113" s="5" t="s">
        <v>74</v>
      </c>
      <c r="B113" s="16" t="n">
        <v>1</v>
      </c>
      <c r="C113" s="5" t="str">
        <f aca="false">IFERROR(INDEX(資安適用排名!$B$2:$B$2501,MATCH($A113&amp;"|"&amp;$B113,資安適用排名!$AN$2:$AN$2501,0)),"")</f>
        <v>lightonai/LightOnOCR-2-1B</v>
      </c>
      <c r="D113" s="15" t="n">
        <f aca="false">IFERROR(INDEX(資安適用排名!$G$2:$G$2501,MATCH($A113&amp;"|"&amp;$B113,資安適用排名!$AN$2:$AN$2501,0)),"")</f>
        <v>70.074</v>
      </c>
      <c r="E113" s="5" t="str">
        <f aca="false">IFERROR(INDEX(資安適用排名!$H$2:$H$2501,MATCH($A113&amp;"|"&amp;$B113,資安適用排名!$AN$2:$AN$2501,0)),"")</f>
        <v>列入候選</v>
      </c>
      <c r="F113" s="12" t="str">
        <f aca="false">IFERROR(INDEX(資安適用排名!$E$2:$E$2501,MATCH($A113&amp;"|"&amp;$B113,資安適用排名!$AN$2:$AN$2501,0)),"")</f>
        <v>釣魚網頁截圖與文件內容辨識, 用途較間接</v>
      </c>
    </row>
    <row r="114" customFormat="false" ht="17.15" hidden="false" customHeight="false" outlineLevel="0" collapsed="false">
      <c r="A114" s="5" t="s">
        <v>74</v>
      </c>
      <c r="B114" s="16" t="n">
        <v>2</v>
      </c>
      <c r="C114" s="5" t="str">
        <f aca="false">IFERROR(INDEX(資安適用排名!$B$2:$B$2501,MATCH($A114&amp;"|"&amp;$B114,資安適用排名!$AN$2:$AN$2501,0)),"")</f>
        <v>docling-project/docling-layout-heron</v>
      </c>
      <c r="D114" s="15" t="n">
        <f aca="false">IFERROR(INDEX(資安適用排名!$G$2:$G$2501,MATCH($A114&amp;"|"&amp;$B114,資安適用排名!$AN$2:$AN$2501,0)),"")</f>
        <v>68.628</v>
      </c>
      <c r="E114" s="5" t="str">
        <f aca="false">IFERROR(INDEX(資安適用排名!$H$2:$H$2501,MATCH($A114&amp;"|"&amp;$B114,資安適用排名!$AN$2:$AN$2501,0)),"")</f>
        <v>特定情境</v>
      </c>
      <c r="F114" s="12" t="str">
        <f aca="false">IFERROR(INDEX(資安適用排名!$E$2:$E$2501,MATCH($A114&amp;"|"&amp;$B114,資安適用排名!$AN$2:$AN$2501,0)),"")</f>
        <v>釣魚網頁截圖與文件內容辨識, 用途較間接</v>
      </c>
    </row>
    <row r="115" customFormat="false" ht="17.15" hidden="false" customHeight="false" outlineLevel="0" collapsed="false">
      <c r="A115" s="5" t="s">
        <v>74</v>
      </c>
      <c r="B115" s="16" t="n">
        <v>3</v>
      </c>
      <c r="C115" s="5" t="str">
        <f aca="false">IFERROR(INDEX(資安適用排名!$B$2:$B$2501,MATCH($A115&amp;"|"&amp;$B115,資安適用排名!$AN$2:$AN$2501,0)),"")</f>
        <v>Salesforce/blip-image-captioning-large</v>
      </c>
      <c r="D115" s="15" t="n">
        <f aca="false">IFERROR(INDEX(資安適用排名!$G$2:$G$2501,MATCH($A115&amp;"|"&amp;$B115,資安適用排名!$AN$2:$AN$2501,0)),"")</f>
        <v>66.508</v>
      </c>
      <c r="E115" s="5" t="str">
        <f aca="false">IFERROR(INDEX(資安適用排名!$H$2:$H$2501,MATCH($A115&amp;"|"&amp;$B115,資安適用排名!$AN$2:$AN$2501,0)),"")</f>
        <v>特定情境</v>
      </c>
      <c r="F115" s="12" t="str">
        <f aca="false">IFERROR(INDEX(資安適用排名!$E$2:$E$2501,MATCH($A115&amp;"|"&amp;$B115,資安適用排名!$AN$2:$AN$2501,0)),"")</f>
        <v>釣魚網頁截圖與文件內容辨識, 用途較間接</v>
      </c>
    </row>
    <row r="116" customFormat="false" ht="17.15" hidden="false" customHeight="false" outlineLevel="0" collapsed="false">
      <c r="A116" s="5" t="s">
        <v>74</v>
      </c>
      <c r="B116" s="16" t="n">
        <v>4</v>
      </c>
      <c r="C116" s="5" t="str">
        <f aca="false">IFERROR(INDEX(資安適用排名!$B$2:$B$2501,MATCH($A116&amp;"|"&amp;$B116,資安適用排名!$AN$2:$AN$2501,0)),"")</f>
        <v>Salesforce/blip-vqa-base</v>
      </c>
      <c r="D116" s="15" t="n">
        <f aca="false">IFERROR(INDEX(資安適用排名!$G$2:$G$2501,MATCH($A116&amp;"|"&amp;$B116,資安適用排名!$AN$2:$AN$2501,0)),"")</f>
        <v>66.288</v>
      </c>
      <c r="E116" s="5" t="str">
        <f aca="false">IFERROR(INDEX(資安適用排名!$H$2:$H$2501,MATCH($A116&amp;"|"&amp;$B116,資安適用排名!$AN$2:$AN$2501,0)),"")</f>
        <v>特定情境</v>
      </c>
      <c r="F116" s="12" t="str">
        <f aca="false">IFERROR(INDEX(資安適用排名!$E$2:$E$2501,MATCH($A116&amp;"|"&amp;$B116,資安適用排名!$AN$2:$AN$2501,0)),"")</f>
        <v>釣魚網頁截圖與文件內容辨識, 用途較間接</v>
      </c>
    </row>
    <row r="117" customFormat="false" ht="17.15" hidden="false" customHeight="false" outlineLevel="0" collapsed="false">
      <c r="A117" s="5" t="s">
        <v>74</v>
      </c>
      <c r="B117" s="16" t="n">
        <v>5</v>
      </c>
      <c r="C117" s="5" t="str">
        <f aca="false">IFERROR(INDEX(資安適用排名!$B$2:$B$2501,MATCH($A117&amp;"|"&amp;$B117,資安適用排名!$AN$2:$AN$2501,0)),"")</f>
        <v>laion/CLIP-ViT-B-32-laion2B-s34B-b79K</v>
      </c>
      <c r="D117" s="15" t="n">
        <f aca="false">IFERROR(INDEX(資安適用排名!$G$2:$G$2501,MATCH($A117&amp;"|"&amp;$B117,資安適用排名!$AN$2:$AN$2501,0)),"")</f>
        <v>65.836</v>
      </c>
      <c r="E117" s="5" t="str">
        <f aca="false">IFERROR(INDEX(資安適用排名!$H$2:$H$2501,MATCH($A117&amp;"|"&amp;$B117,資安適用排名!$AN$2:$AN$2501,0)),"")</f>
        <v>特定情境</v>
      </c>
      <c r="F117" s="12" t="str">
        <f aca="false">IFERROR(INDEX(資安適用排名!$E$2:$E$2501,MATCH($A117&amp;"|"&amp;$B117,資安適用排名!$AN$2:$AN$2501,0)),"")</f>
        <v>釣魚網頁截圖與文件內容辨識, 用途較間接</v>
      </c>
    </row>
    <row r="118" customFormat="false" ht="17.15" hidden="false" customHeight="false" outlineLevel="0" collapsed="false">
      <c r="A118" s="5" t="s">
        <v>74</v>
      </c>
      <c r="B118" s="16" t="n">
        <v>6</v>
      </c>
      <c r="C118" s="5" t="str">
        <f aca="false">IFERROR(INDEX(資安適用排名!$B$2:$B$2501,MATCH($A118&amp;"|"&amp;$B118,資安適用排名!$AN$2:$AN$2501,0)),"")</f>
        <v>microsoft/table-transformer-structure-recognition</v>
      </c>
      <c r="D118" s="15" t="n">
        <f aca="false">IFERROR(INDEX(資安適用排名!$G$2:$G$2501,MATCH($A118&amp;"|"&amp;$B118,資安適用排名!$AN$2:$AN$2501,0)),"")</f>
        <v>65.492</v>
      </c>
      <c r="E118" s="5" t="str">
        <f aca="false">IFERROR(INDEX(資安適用排名!$H$2:$H$2501,MATCH($A118&amp;"|"&amp;$B118,資安適用排名!$AN$2:$AN$2501,0)),"")</f>
        <v>特定情境</v>
      </c>
      <c r="F118" s="12" t="str">
        <f aca="false">IFERROR(INDEX(資安適用排名!$E$2:$E$2501,MATCH($A118&amp;"|"&amp;$B118,資安適用排名!$AN$2:$AN$2501,0)),"")</f>
        <v>釣魚網頁截圖與文件內容辨識, 用途較間接</v>
      </c>
    </row>
    <row r="119" customFormat="false" ht="17.15" hidden="false" customHeight="false" outlineLevel="0" collapsed="false">
      <c r="A119" s="5" t="s">
        <v>74</v>
      </c>
      <c r="B119" s="16" t="n">
        <v>7</v>
      </c>
      <c r="C119" s="5" t="str">
        <f aca="false">IFERROR(INDEX(資安適用排名!$B$2:$B$2501,MATCH($A119&amp;"|"&amp;$B119,資安適用排名!$AN$2:$AN$2501,0)),"")</f>
        <v>microsoft/table-transformer-detection</v>
      </c>
      <c r="D119" s="15" t="n">
        <f aca="false">IFERROR(INDEX(資安適用排名!$G$2:$G$2501,MATCH($A119&amp;"|"&amp;$B119,資安適用排名!$AN$2:$AN$2501,0)),"")</f>
        <v>65.388</v>
      </c>
      <c r="E119" s="5" t="str">
        <f aca="false">IFERROR(INDEX(資安適用排名!$H$2:$H$2501,MATCH($A119&amp;"|"&amp;$B119,資安適用排名!$AN$2:$AN$2501,0)),"")</f>
        <v>特定情境</v>
      </c>
      <c r="F119" s="12" t="str">
        <f aca="false">IFERROR(INDEX(資安適用排名!$E$2:$E$2501,MATCH($A119&amp;"|"&amp;$B119,資安適用排名!$AN$2:$AN$2501,0)),"")</f>
        <v>釣魚網頁截圖與文件內容辨識, 用途較間接</v>
      </c>
    </row>
    <row r="120" customFormat="false" ht="17.15" hidden="false" customHeight="false" outlineLevel="0" collapsed="false">
      <c r="A120" s="5" t="s">
        <v>74</v>
      </c>
      <c r="B120" s="16" t="n">
        <v>8</v>
      </c>
      <c r="C120" s="5" t="str">
        <f aca="false">IFERROR(INDEX(資安適用排名!$B$2:$B$2501,MATCH($A120&amp;"|"&amp;$B120,資安適用排名!$AN$2:$AN$2501,0)),"")</f>
        <v>google/siglip2-base-patch16-naflex</v>
      </c>
      <c r="D120" s="15" t="n">
        <f aca="false">IFERROR(INDEX(資安適用排名!$G$2:$G$2501,MATCH($A120&amp;"|"&amp;$B120,資安適用排名!$AN$2:$AN$2501,0)),"")</f>
        <v>65.328</v>
      </c>
      <c r="E120" s="5" t="str">
        <f aca="false">IFERROR(INDEX(資安適用排名!$H$2:$H$2501,MATCH($A120&amp;"|"&amp;$B120,資安適用排名!$AN$2:$AN$2501,0)),"")</f>
        <v>特定情境</v>
      </c>
      <c r="F120" s="12" t="str">
        <f aca="false">IFERROR(INDEX(資安適用排名!$E$2:$E$2501,MATCH($A120&amp;"|"&amp;$B120,資安適用排名!$AN$2:$AN$2501,0)),"")</f>
        <v>釣魚網頁截圖與文件內容辨識, 用途較間接</v>
      </c>
    </row>
    <row r="121" customFormat="false" ht="17.15" hidden="false" customHeight="false" outlineLevel="0" collapsed="false">
      <c r="A121" s="5" t="s">
        <v>74</v>
      </c>
      <c r="B121" s="16" t="n">
        <v>9</v>
      </c>
      <c r="C121" s="5" t="str">
        <f aca="false">IFERROR(INDEX(資安適用排名!$B$2:$B$2501,MATCH($A121&amp;"|"&amp;$B121,資安適用排名!$AN$2:$AN$2501,0)),"")</f>
        <v>google/siglip2-base-patch16-224</v>
      </c>
      <c r="D121" s="15" t="n">
        <f aca="false">IFERROR(INDEX(資安適用排名!$G$2:$G$2501,MATCH($A121&amp;"|"&amp;$B121,資安適用排名!$AN$2:$AN$2501,0)),"")</f>
        <v>65.32</v>
      </c>
      <c r="E121" s="5" t="str">
        <f aca="false">IFERROR(INDEX(資安適用排名!$H$2:$H$2501,MATCH($A121&amp;"|"&amp;$B121,資安適用排名!$AN$2:$AN$2501,0)),"")</f>
        <v>特定情境</v>
      </c>
      <c r="F121" s="12" t="str">
        <f aca="false">IFERROR(INDEX(資安適用排名!$E$2:$E$2501,MATCH($A121&amp;"|"&amp;$B121,資安適用排名!$AN$2:$AN$2501,0)),"")</f>
        <v>釣魚網頁截圖與文件內容辨識, 用途較間接</v>
      </c>
    </row>
    <row r="122" customFormat="false" ht="17.15" hidden="false" customHeight="false" outlineLevel="0" collapsed="false">
      <c r="A122" s="5" t="s">
        <v>74</v>
      </c>
      <c r="B122" s="16" t="n">
        <v>10</v>
      </c>
      <c r="C122" s="5" t="str">
        <f aca="false">IFERROR(INDEX(資安適用排名!$B$2:$B$2501,MATCH($A122&amp;"|"&amp;$B122,資安適用排名!$AN$2:$AN$2501,0)),"")</f>
        <v>google/siglip2-base-patch16-256</v>
      </c>
      <c r="D122" s="15" t="n">
        <f aca="false">IFERROR(INDEX(資安適用排名!$G$2:$G$2501,MATCH($A122&amp;"|"&amp;$B122,資安適用排名!$AN$2:$AN$2501,0)),"")</f>
        <v>65.268</v>
      </c>
      <c r="E122" s="5" t="str">
        <f aca="false">IFERROR(INDEX(資安適用排名!$H$2:$H$2501,MATCH($A122&amp;"|"&amp;$B122,資安適用排名!$AN$2:$AN$2501,0)),"")</f>
        <v>特定情境</v>
      </c>
      <c r="F122" s="12" t="str">
        <f aca="false">IFERROR(INDEX(資安適用排名!$E$2:$E$2501,MATCH($A122&amp;"|"&amp;$B122,資安適用排名!$AN$2:$AN$2501,0)),"")</f>
        <v>釣魚網頁截圖與文件內容辨識, 用途較間接</v>
      </c>
    </row>
    <row r="123" customFormat="false" ht="17.15" hidden="false" customHeight="false" outlineLevel="0" collapsed="false">
      <c r="A123" s="5" t="s">
        <v>76</v>
      </c>
      <c r="B123" s="16" t="n">
        <v>1</v>
      </c>
      <c r="C123" s="5" t="str">
        <f aca="false">IFERROR(INDEX(資安適用排名!$B$2:$B$2501,MATCH($A123&amp;"|"&amp;$B123,資安適用排名!$AN$2:$AN$2501,0)),"")</f>
        <v>google-t5/t5-small</v>
      </c>
      <c r="D123" s="15" t="n">
        <f aca="false">IFERROR(INDEX(資安適用排名!$G$2:$G$2501,MATCH($A123&amp;"|"&amp;$B123,資安適用排名!$AN$2:$AN$2501,0)),"")</f>
        <v>67.972</v>
      </c>
      <c r="E123" s="5" t="str">
        <f aca="false">IFERROR(INDEX(資安適用排名!$H$2:$H$2501,MATCH($A123&amp;"|"&amp;$B123,資安適用排名!$AN$2:$AN$2501,0)),"")</f>
        <v>特定情境</v>
      </c>
      <c r="F123" s="12" t="str">
        <f aca="false">IFERROR(INDEX(資安適用排名!$E$2:$E$2501,MATCH($A123&amp;"|"&amp;$B123,資安適用排名!$AN$2:$AN$2501,0)),"")</f>
        <v>外文威脅情資翻譯</v>
      </c>
    </row>
    <row r="124" customFormat="false" ht="17.15" hidden="false" customHeight="false" outlineLevel="0" collapsed="false">
      <c r="A124" s="5" t="s">
        <v>76</v>
      </c>
      <c r="B124" s="16" t="n">
        <v>2</v>
      </c>
      <c r="C124" s="5" t="str">
        <f aca="false">IFERROR(INDEX(資安適用排名!$B$2:$B$2501,MATCH($A124&amp;"|"&amp;$B124,資安適用排名!$AN$2:$AN$2501,0)),"")</f>
        <v>google-t5/t5-large</v>
      </c>
      <c r="D124" s="15" t="n">
        <f aca="false">IFERROR(INDEX(資安適用排名!$G$2:$G$2501,MATCH($A124&amp;"|"&amp;$B124,資安適用排名!$AN$2:$AN$2501,0)),"")</f>
        <v>66.232</v>
      </c>
      <c r="E124" s="5" t="str">
        <f aca="false">IFERROR(INDEX(資安適用排名!$H$2:$H$2501,MATCH($A124&amp;"|"&amp;$B124,資安適用排名!$AN$2:$AN$2501,0)),"")</f>
        <v>特定情境</v>
      </c>
      <c r="F124" s="12" t="str">
        <f aca="false">IFERROR(INDEX(資安適用排名!$E$2:$E$2501,MATCH($A124&amp;"|"&amp;$B124,資安適用排名!$AN$2:$AN$2501,0)),"")</f>
        <v>外文威脅情資翻譯</v>
      </c>
    </row>
    <row r="125" customFormat="false" ht="17.15" hidden="false" customHeight="false" outlineLevel="0" collapsed="false">
      <c r="A125" s="5" t="s">
        <v>76</v>
      </c>
      <c r="B125" s="16" t="n">
        <v>3</v>
      </c>
      <c r="C125" s="5" t="str">
        <f aca="false">IFERROR(INDEX(資安適用排名!$B$2:$B$2501,MATCH($A125&amp;"|"&amp;$B125,資安適用排名!$AN$2:$AN$2501,0)),"")</f>
        <v>Helsinki-NLP/opus-mt-fr-en</v>
      </c>
      <c r="D125" s="15" t="n">
        <f aca="false">IFERROR(INDEX(資安適用排名!$G$2:$G$2501,MATCH($A125&amp;"|"&amp;$B125,資安適用排名!$AN$2:$AN$2501,0)),"")</f>
        <v>65.172</v>
      </c>
      <c r="E125" s="5" t="str">
        <f aca="false">IFERROR(INDEX(資安適用排名!$H$2:$H$2501,MATCH($A125&amp;"|"&amp;$B125,資安適用排名!$AN$2:$AN$2501,0)),"")</f>
        <v>特定情境</v>
      </c>
      <c r="F125" s="12" t="str">
        <f aca="false">IFERROR(INDEX(資安適用排名!$E$2:$E$2501,MATCH($A125&amp;"|"&amp;$B125,資安適用排名!$AN$2:$AN$2501,0)),"")</f>
        <v>外文威脅情資翻譯</v>
      </c>
    </row>
    <row r="126" customFormat="false" ht="17.15" hidden="false" customHeight="false" outlineLevel="0" collapsed="false">
      <c r="A126" s="5" t="s">
        <v>76</v>
      </c>
      <c r="B126" s="16" t="n">
        <v>4</v>
      </c>
      <c r="C126" s="5" t="str">
        <f aca="false">IFERROR(INDEX(資安適用排名!$B$2:$B$2501,MATCH($A126&amp;"|"&amp;$B126,資安適用排名!$AN$2:$AN$2501,0)),"")</f>
        <v>google-t5/t5-3b</v>
      </c>
      <c r="D126" s="15" t="n">
        <f aca="false">IFERROR(INDEX(資安適用排名!$G$2:$G$2501,MATCH($A126&amp;"|"&amp;$B126,資安適用排名!$AN$2:$AN$2501,0)),"")</f>
        <v>64.542</v>
      </c>
      <c r="E126" s="5" t="str">
        <f aca="false">IFERROR(INDEX(資安適用排名!$H$2:$H$2501,MATCH($A126&amp;"|"&amp;$B126,資安適用排名!$AN$2:$AN$2501,0)),"")</f>
        <v>特定情境</v>
      </c>
      <c r="F126" s="12" t="str">
        <f aca="false">IFERROR(INDEX(資安適用排名!$E$2:$E$2501,MATCH($A126&amp;"|"&amp;$B126,資安適用排名!$AN$2:$AN$2501,0)),"")</f>
        <v>外文威脅情資翻譯</v>
      </c>
    </row>
    <row r="127" customFormat="false" ht="17.15" hidden="false" customHeight="false" outlineLevel="0" collapsed="false">
      <c r="A127" s="5" t="s">
        <v>76</v>
      </c>
      <c r="B127" s="16" t="n">
        <v>5</v>
      </c>
      <c r="C127" s="5" t="str">
        <f aca="false">IFERROR(INDEX(資安適用排名!$B$2:$B$2501,MATCH($A127&amp;"|"&amp;$B127,資安適用排名!$AN$2:$AN$2501,0)),"")</f>
        <v>google/madlad400-3b-mt</v>
      </c>
      <c r="D127" s="15" t="n">
        <f aca="false">IFERROR(INDEX(資安適用排名!$G$2:$G$2501,MATCH($A127&amp;"|"&amp;$B127,資安適用排名!$AN$2:$AN$2501,0)),"")</f>
        <v>63.382</v>
      </c>
      <c r="E127" s="5" t="str">
        <f aca="false">IFERROR(INDEX(資安適用排名!$H$2:$H$2501,MATCH($A127&amp;"|"&amp;$B127,資安適用排名!$AN$2:$AN$2501,0)),"")</f>
        <v>特定情境</v>
      </c>
      <c r="F127" s="12" t="str">
        <f aca="false">IFERROR(INDEX(資安適用排名!$E$2:$E$2501,MATCH($A127&amp;"|"&amp;$B127,資安適用排名!$AN$2:$AN$2501,0)),"")</f>
        <v>外文威脅情資翻譯</v>
      </c>
    </row>
    <row r="128" customFormat="false" ht="17.15" hidden="false" customHeight="false" outlineLevel="0" collapsed="false">
      <c r="A128" s="5" t="s">
        <v>76</v>
      </c>
      <c r="B128" s="16" t="n">
        <v>6</v>
      </c>
      <c r="C128" s="5" t="str">
        <f aca="false">IFERROR(INDEX(資安適用排名!$B$2:$B$2501,MATCH($A128&amp;"|"&amp;$B128,資安適用排名!$AN$2:$AN$2501,0)),"")</f>
        <v>google-t5/t5-base</v>
      </c>
      <c r="D128" s="15" t="n">
        <f aca="false">IFERROR(INDEX(資安適用排名!$G$2:$G$2501,MATCH($A128&amp;"|"&amp;$B128,資安適用排名!$AN$2:$AN$2501,0)),"")</f>
        <v>62.732</v>
      </c>
      <c r="E128" s="5" t="str">
        <f aca="false">IFERROR(INDEX(資安適用排名!$H$2:$H$2501,MATCH($A128&amp;"|"&amp;$B128,資安適用排名!$AN$2:$AN$2501,0)),"")</f>
        <v>特定情境</v>
      </c>
      <c r="F128" s="12" t="str">
        <f aca="false">IFERROR(INDEX(資安適用排名!$E$2:$E$2501,MATCH($A128&amp;"|"&amp;$B128,資安適用排名!$AN$2:$AN$2501,0)),"")</f>
        <v>外文威脅情資翻譯</v>
      </c>
    </row>
    <row r="129" customFormat="false" ht="17.15" hidden="false" customHeight="false" outlineLevel="0" collapsed="false">
      <c r="A129" s="5" t="s">
        <v>76</v>
      </c>
      <c r="B129" s="16" t="n">
        <v>7</v>
      </c>
      <c r="C129" s="5" t="str">
        <f aca="false">IFERROR(INDEX(資安適用排名!$B$2:$B$2501,MATCH($A129&amp;"|"&amp;$B129,資安適用排名!$AN$2:$AN$2501,0)),"")</f>
        <v>Helsinki-NLP/opus-mt-tc-big-tr-en</v>
      </c>
      <c r="D129" s="15" t="n">
        <f aca="false">IFERROR(INDEX(資安適用排名!$G$2:$G$2501,MATCH($A129&amp;"|"&amp;$B129,資安適用排名!$AN$2:$AN$2501,0)),"")</f>
        <v>59.816</v>
      </c>
      <c r="E129" s="5" t="str">
        <f aca="false">IFERROR(INDEX(資安適用排名!$H$2:$H$2501,MATCH($A129&amp;"|"&amp;$B129,資安適用排名!$AN$2:$AN$2501,0)),"")</f>
        <v>不建議</v>
      </c>
      <c r="F129" s="12" t="str">
        <f aca="false">IFERROR(INDEX(資安適用排名!$E$2:$E$2501,MATCH($A129&amp;"|"&amp;$B129,資安適用排名!$AN$2:$AN$2501,0)),"")</f>
        <v>外文威脅情資翻譯</v>
      </c>
    </row>
    <row r="130" customFormat="false" ht="17.15" hidden="false" customHeight="false" outlineLevel="0" collapsed="false">
      <c r="A130" s="5" t="s">
        <v>76</v>
      </c>
      <c r="B130" s="16" t="n">
        <v>8</v>
      </c>
      <c r="C130" s="5" t="str">
        <f aca="false">IFERROR(INDEX(資安適用排名!$B$2:$B$2501,MATCH($A130&amp;"|"&amp;$B130,資安適用排名!$AN$2:$AN$2501,0)),"")</f>
        <v>facebook/mbart-large-en-ro</v>
      </c>
      <c r="D130" s="15" t="n">
        <f aca="false">IFERROR(INDEX(資安適用排名!$G$2:$G$2501,MATCH($A130&amp;"|"&amp;$B130,資安適用排名!$AN$2:$AN$2501,0)),"")</f>
        <v>57.616</v>
      </c>
      <c r="E130" s="5" t="str">
        <f aca="false">IFERROR(INDEX(資安適用排名!$H$2:$H$2501,MATCH($A130&amp;"|"&amp;$B130,資安適用排名!$AN$2:$AN$2501,0)),"")</f>
        <v>不建議</v>
      </c>
      <c r="F130" s="12" t="str">
        <f aca="false">IFERROR(INDEX(資安適用排名!$E$2:$E$2501,MATCH($A130&amp;"|"&amp;$B130,資安適用排名!$AN$2:$AN$2501,0)),"")</f>
        <v>外文威脅情資翻譯</v>
      </c>
    </row>
    <row r="131" customFormat="false" ht="17.15" hidden="false" customHeight="false" outlineLevel="0" collapsed="false">
      <c r="A131" s="5" t="s">
        <v>76</v>
      </c>
      <c r="B131" s="16" t="n">
        <v>9</v>
      </c>
      <c r="C131" s="5" t="str">
        <f aca="false">IFERROR(INDEX(資安適用排名!$B$2:$B$2501,MATCH($A131&amp;"|"&amp;$B131,資安適用排名!$AN$2:$AN$2501,0)),"")</f>
        <v>Helsinki-NLP/opus-mt-tc-big-ko-en</v>
      </c>
      <c r="D131" s="15" t="n">
        <f aca="false">IFERROR(INDEX(資安適用排名!$G$2:$G$2501,MATCH($A131&amp;"|"&amp;$B131,資安適用排名!$AN$2:$AN$2501,0)),"")</f>
        <v>57.288</v>
      </c>
      <c r="E131" s="5" t="str">
        <f aca="false">IFERROR(INDEX(資安適用排名!$H$2:$H$2501,MATCH($A131&amp;"|"&amp;$B131,資安適用排名!$AN$2:$AN$2501,0)),"")</f>
        <v>不建議</v>
      </c>
      <c r="F131" s="12" t="str">
        <f aca="false">IFERROR(INDEX(資安適用排名!$E$2:$E$2501,MATCH($A131&amp;"|"&amp;$B131,資安適用排名!$AN$2:$AN$2501,0)),"")</f>
        <v>外文威脅情資翻譯</v>
      </c>
    </row>
    <row r="132" customFormat="false" ht="17.15" hidden="false" customHeight="false" outlineLevel="0" collapsed="false">
      <c r="A132" s="5" t="s">
        <v>76</v>
      </c>
      <c r="B132" s="16" t="n">
        <v>10</v>
      </c>
      <c r="C132" s="5" t="str">
        <f aca="false">IFERROR(INDEX(資安適用排名!$B$2:$B$2501,MATCH($A132&amp;"|"&amp;$B132,資安適用排名!$AN$2:$AN$2501,0)),"")</f>
        <v>Helsinki-NLP/opus-mt-tc-big-en-pt</v>
      </c>
      <c r="D132" s="15" t="n">
        <f aca="false">IFERROR(INDEX(資安適用排名!$G$2:$G$2501,MATCH($A132&amp;"|"&amp;$B132,資安適用排名!$AN$2:$AN$2501,0)),"")</f>
        <v>55.936</v>
      </c>
      <c r="E132" s="5" t="str">
        <f aca="false">IFERROR(INDEX(資安適用排名!$H$2:$H$2501,MATCH($A132&amp;"|"&amp;$B132,資安適用排名!$AN$2:$AN$2501,0)),"")</f>
        <v>不建議</v>
      </c>
      <c r="F132" s="12" t="str">
        <f aca="false">IFERROR(INDEX(資安適用排名!$E$2:$E$2501,MATCH($A132&amp;"|"&amp;$B132,資安適用排名!$AN$2:$AN$2501,0)),"")</f>
        <v>外文威脅情資翻譯</v>
      </c>
    </row>
    <row r="133" customFormat="false" ht="32.8" hidden="false" customHeight="false" outlineLevel="0" collapsed="false">
      <c r="A133" s="5" t="s">
        <v>78</v>
      </c>
      <c r="B133" s="16" t="n">
        <v>1</v>
      </c>
      <c r="C133" s="5" t="str">
        <f aca="false">IFERROR(INDEX(資安適用排名!$B$2:$B$2501,MATCH($A133&amp;"|"&amp;$B133,資安適用排名!$AN$2:$AN$2501,0)),"")</f>
        <v>facebook/w2v-bert-2.0</v>
      </c>
      <c r="D133" s="15" t="n">
        <f aca="false">IFERROR(INDEX(資安適用排名!$G$2:$G$2501,MATCH($A133&amp;"|"&amp;$B133,資安適用排名!$AN$2:$AN$2501,0)),"")</f>
        <v>66.228</v>
      </c>
      <c r="E133" s="5" t="str">
        <f aca="false">IFERROR(INDEX(資安適用排名!$H$2:$H$2501,MATCH($A133&amp;"|"&amp;$B133,資安適用排名!$AN$2:$AN$2501,0)),"")</f>
        <v>特定情境</v>
      </c>
      <c r="F133" s="12" t="str">
        <f aca="false">IFERROR(INDEX(資安適用排名!$E$2:$E$2501,MATCH($A133&amp;"|"&amp;$B133,資安適用排名!$AN$2:$AN$2501,0)),"")</f>
        <v>通話與會議錄音轉文字, 輔助社交工程調查, 用途較間接</v>
      </c>
    </row>
    <row r="134" customFormat="false" ht="32.8" hidden="false" customHeight="false" outlineLevel="0" collapsed="false">
      <c r="A134" s="5" t="s">
        <v>78</v>
      </c>
      <c r="B134" s="16" t="n">
        <v>2</v>
      </c>
      <c r="C134" s="5" t="str">
        <f aca="false">IFERROR(INDEX(資安適用排名!$B$2:$B$2501,MATCH($A134&amp;"|"&amp;$B134,資安適用排名!$AN$2:$AN$2501,0)),"")</f>
        <v>mistralai/Voxtral-Mini-4B-Realtime-2602</v>
      </c>
      <c r="D134" s="15" t="n">
        <f aca="false">IFERROR(INDEX(資安適用排名!$G$2:$G$2501,MATCH($A134&amp;"|"&amp;$B134,資安適用排名!$AN$2:$AN$2501,0)),"")</f>
        <v>65.694</v>
      </c>
      <c r="E134" s="5" t="str">
        <f aca="false">IFERROR(INDEX(資安適用排名!$H$2:$H$2501,MATCH($A134&amp;"|"&amp;$B134,資安適用排名!$AN$2:$AN$2501,0)),"")</f>
        <v>特定情境</v>
      </c>
      <c r="F134" s="12" t="str">
        <f aca="false">IFERROR(INDEX(資安適用排名!$E$2:$E$2501,MATCH($A134&amp;"|"&amp;$B134,資安適用排名!$AN$2:$AN$2501,0)),"")</f>
        <v>通話與會議錄音轉文字, 輔助社交工程調查, 用途較間接</v>
      </c>
    </row>
    <row r="135" customFormat="false" ht="32.8" hidden="false" customHeight="false" outlineLevel="0" collapsed="false">
      <c r="A135" s="5" t="s">
        <v>78</v>
      </c>
      <c r="B135" s="16" t="n">
        <v>3</v>
      </c>
      <c r="C135" s="5" t="str">
        <f aca="false">IFERROR(INDEX(資安適用排名!$B$2:$B$2501,MATCH($A135&amp;"|"&amp;$B135,資安適用排名!$AN$2:$AN$2501,0)),"")</f>
        <v>ibm-granite/granite-speech-4.1-2b</v>
      </c>
      <c r="D135" s="15" t="n">
        <f aca="false">IFERROR(INDEX(資安適用排名!$G$2:$G$2501,MATCH($A135&amp;"|"&amp;$B135,資安適用排名!$AN$2:$AN$2501,0)),"")</f>
        <v>65.53</v>
      </c>
      <c r="E135" s="5" t="str">
        <f aca="false">IFERROR(INDEX(資安適用排名!$H$2:$H$2501,MATCH($A135&amp;"|"&amp;$B135,資安適用排名!$AN$2:$AN$2501,0)),"")</f>
        <v>特定情境</v>
      </c>
      <c r="F135" s="12" t="str">
        <f aca="false">IFERROR(INDEX(資安適用排名!$E$2:$E$2501,MATCH($A135&amp;"|"&amp;$B135,資安適用排名!$AN$2:$AN$2501,0)),"")</f>
        <v>通話與會議錄音轉文字, 輔助社交工程調查, 用途較間接</v>
      </c>
    </row>
    <row r="136" customFormat="false" ht="32.8" hidden="false" customHeight="false" outlineLevel="0" collapsed="false">
      <c r="A136" s="5" t="s">
        <v>78</v>
      </c>
      <c r="B136" s="16" t="n">
        <v>4</v>
      </c>
      <c r="C136" s="5" t="str">
        <f aca="false">IFERROR(INDEX(資安適用排名!$B$2:$B$2501,MATCH($A136&amp;"|"&amp;$B136,資安適用排名!$AN$2:$AN$2501,0)),"")</f>
        <v>microsoft/VibeVoice-ASR</v>
      </c>
      <c r="D136" s="15" t="n">
        <f aca="false">IFERROR(INDEX(資安適用排名!$G$2:$G$2501,MATCH($A136&amp;"|"&amp;$B136,資安適用排名!$AN$2:$AN$2501,0)),"")</f>
        <v>65.118</v>
      </c>
      <c r="E136" s="5" t="str">
        <f aca="false">IFERROR(INDEX(資安適用排名!$H$2:$H$2501,MATCH($A136&amp;"|"&amp;$B136,資安適用排名!$AN$2:$AN$2501,0)),"")</f>
        <v>特定情境</v>
      </c>
      <c r="F136" s="12" t="str">
        <f aca="false">IFERROR(INDEX(資安適用排名!$E$2:$E$2501,MATCH($A136&amp;"|"&amp;$B136,資安適用排名!$AN$2:$AN$2501,0)),"")</f>
        <v>通話與會議錄音轉文字, 輔助社交工程調查, 用途較間接</v>
      </c>
    </row>
    <row r="137" customFormat="false" ht="32.8" hidden="false" customHeight="false" outlineLevel="0" collapsed="false">
      <c r="A137" s="5" t="s">
        <v>78</v>
      </c>
      <c r="B137" s="16" t="n">
        <v>5</v>
      </c>
      <c r="C137" s="5" t="str">
        <f aca="false">IFERROR(INDEX(資安適用排名!$B$2:$B$2501,MATCH($A137&amp;"|"&amp;$B137,資安適用排名!$AN$2:$AN$2501,0)),"")</f>
        <v>openai/whisper-large-v3-turbo</v>
      </c>
      <c r="D137" s="15" t="n">
        <f aca="false">IFERROR(INDEX(資安適用排名!$G$2:$G$2501,MATCH($A137&amp;"|"&amp;$B137,資安適用排名!$AN$2:$AN$2501,0)),"")</f>
        <v>64.9</v>
      </c>
      <c r="E137" s="5" t="str">
        <f aca="false">IFERROR(INDEX(資安適用排名!$H$2:$H$2501,MATCH($A137&amp;"|"&amp;$B137,資安適用排名!$AN$2:$AN$2501,0)),"")</f>
        <v>特定情境</v>
      </c>
      <c r="F137" s="12" t="str">
        <f aca="false">IFERROR(INDEX(資安適用排名!$E$2:$E$2501,MATCH($A137&amp;"|"&amp;$B137,資安適用排名!$AN$2:$AN$2501,0)),"")</f>
        <v>通話與會議錄音轉文字, 輔助社交工程調查, 用途較間接</v>
      </c>
    </row>
    <row r="138" customFormat="false" ht="32.8" hidden="false" customHeight="false" outlineLevel="0" collapsed="false">
      <c r="A138" s="5" t="s">
        <v>78</v>
      </c>
      <c r="B138" s="16" t="n">
        <v>6</v>
      </c>
      <c r="C138" s="5" t="str">
        <f aca="false">IFERROR(INDEX(資安適用排名!$B$2:$B$2501,MATCH($A138&amp;"|"&amp;$B138,資安適用排名!$AN$2:$AN$2501,0)),"")</f>
        <v>openai/whisper-base</v>
      </c>
      <c r="D138" s="15" t="n">
        <f aca="false">IFERROR(INDEX(資安適用排名!$G$2:$G$2501,MATCH($A138&amp;"|"&amp;$B138,資安適用排名!$AN$2:$AN$2501,0)),"")</f>
        <v>64.816</v>
      </c>
      <c r="E138" s="5" t="str">
        <f aca="false">IFERROR(INDEX(資安適用排名!$H$2:$H$2501,MATCH($A138&amp;"|"&amp;$B138,資安適用排名!$AN$2:$AN$2501,0)),"")</f>
        <v>特定情境</v>
      </c>
      <c r="F138" s="12" t="str">
        <f aca="false">IFERROR(INDEX(資安適用排名!$E$2:$E$2501,MATCH($A138&amp;"|"&amp;$B138,資安適用排名!$AN$2:$AN$2501,0)),"")</f>
        <v>通話與會議錄音轉文字, 輔助社交工程調查, 用途較間接</v>
      </c>
    </row>
    <row r="139" customFormat="false" ht="32.8" hidden="false" customHeight="false" outlineLevel="0" collapsed="false">
      <c r="A139" s="5" t="s">
        <v>78</v>
      </c>
      <c r="B139" s="16" t="n">
        <v>7</v>
      </c>
      <c r="C139" s="5" t="str">
        <f aca="false">IFERROR(INDEX(資安適用排名!$B$2:$B$2501,MATCH($A139&amp;"|"&amp;$B139,資安適用排名!$AN$2:$AN$2501,0)),"")</f>
        <v>openai/whisper-small</v>
      </c>
      <c r="D139" s="15" t="n">
        <f aca="false">IFERROR(INDEX(資安適用排名!$G$2:$G$2501,MATCH($A139&amp;"|"&amp;$B139,資安適用排名!$AN$2:$AN$2501,0)),"")</f>
        <v>64.776</v>
      </c>
      <c r="E139" s="5" t="str">
        <f aca="false">IFERROR(INDEX(資安適用排名!$H$2:$H$2501,MATCH($A139&amp;"|"&amp;$B139,資安適用排名!$AN$2:$AN$2501,0)),"")</f>
        <v>特定情境</v>
      </c>
      <c r="F139" s="12" t="str">
        <f aca="false">IFERROR(INDEX(資安適用排名!$E$2:$E$2501,MATCH($A139&amp;"|"&amp;$B139,資安適用排名!$AN$2:$AN$2501,0)),"")</f>
        <v>通話與會議錄音轉文字, 輔助社交工程調查, 用途較間接</v>
      </c>
    </row>
    <row r="140" customFormat="false" ht="32.8" hidden="false" customHeight="false" outlineLevel="0" collapsed="false">
      <c r="A140" s="5" t="s">
        <v>78</v>
      </c>
      <c r="B140" s="16" t="n">
        <v>8</v>
      </c>
      <c r="C140" s="5" t="str">
        <f aca="false">IFERROR(INDEX(資安適用排名!$B$2:$B$2501,MATCH($A140&amp;"|"&amp;$B140,資安適用排名!$AN$2:$AN$2501,0)),"")</f>
        <v>openai/whisper-tiny</v>
      </c>
      <c r="D140" s="15" t="n">
        <f aca="false">IFERROR(INDEX(資安適用排名!$G$2:$G$2501,MATCH($A140&amp;"|"&amp;$B140,資安適用排名!$AN$2:$AN$2501,0)),"")</f>
        <v>64.5</v>
      </c>
      <c r="E140" s="5" t="str">
        <f aca="false">IFERROR(INDEX(資安適用排名!$H$2:$H$2501,MATCH($A140&amp;"|"&amp;$B140,資安適用排名!$AN$2:$AN$2501,0)),"")</f>
        <v>特定情境</v>
      </c>
      <c r="F140" s="12" t="str">
        <f aca="false">IFERROR(INDEX(資安適用排名!$E$2:$E$2501,MATCH($A140&amp;"|"&amp;$B140,資安適用排名!$AN$2:$AN$2501,0)),"")</f>
        <v>通話與會議錄音轉文字, 輔助社交工程調查, 用途較間接</v>
      </c>
    </row>
    <row r="141" customFormat="false" ht="32.8" hidden="false" customHeight="false" outlineLevel="0" collapsed="false">
      <c r="A141" s="5" t="s">
        <v>78</v>
      </c>
      <c r="B141" s="16" t="n">
        <v>9</v>
      </c>
      <c r="C141" s="5" t="str">
        <f aca="false">IFERROR(INDEX(資安適用排名!$B$2:$B$2501,MATCH($A141&amp;"|"&amp;$B141,資安適用排名!$AN$2:$AN$2501,0)),"")</f>
        <v>laion/clap-htsat-fused</v>
      </c>
      <c r="D141" s="15" t="n">
        <f aca="false">IFERROR(INDEX(資安適用排名!$G$2:$G$2501,MATCH($A141&amp;"|"&amp;$B141,資安適用排名!$AN$2:$AN$2501,0)),"")</f>
        <v>64.456</v>
      </c>
      <c r="E141" s="5" t="str">
        <f aca="false">IFERROR(INDEX(資安適用排名!$H$2:$H$2501,MATCH($A141&amp;"|"&amp;$B141,資安適用排名!$AN$2:$AN$2501,0)),"")</f>
        <v>特定情境</v>
      </c>
      <c r="F141" s="12" t="str">
        <f aca="false">IFERROR(INDEX(資安適用排名!$E$2:$E$2501,MATCH($A141&amp;"|"&amp;$B141,資安適用排名!$AN$2:$AN$2501,0)),"")</f>
        <v>通話與會議錄音轉文字, 輔助社交工程調查, 用途較間接</v>
      </c>
    </row>
    <row r="142" customFormat="false" ht="32.8" hidden="false" customHeight="false" outlineLevel="0" collapsed="false">
      <c r="A142" s="5" t="s">
        <v>78</v>
      </c>
      <c r="B142" s="16" t="n">
        <v>10</v>
      </c>
      <c r="C142" s="5" t="str">
        <f aca="false">IFERROR(INDEX(資安適用排名!$B$2:$B$2501,MATCH($A142&amp;"|"&amp;$B142,資安適用排名!$AN$2:$AN$2501,0)),"")</f>
        <v>ibm-granite/granite-speech-3.3-2b</v>
      </c>
      <c r="D142" s="15" t="n">
        <f aca="false">IFERROR(INDEX(資安適用排名!$G$2:$G$2501,MATCH($A142&amp;"|"&amp;$B142,資安適用排名!$AN$2:$AN$2501,0)),"")</f>
        <v>64.418</v>
      </c>
      <c r="E142" s="5" t="str">
        <f aca="false">IFERROR(INDEX(資安適用排名!$H$2:$H$2501,MATCH($A142&amp;"|"&amp;$B142,資安適用排名!$AN$2:$AN$2501,0)),"")</f>
        <v>特定情境</v>
      </c>
      <c r="F142" s="12" t="str">
        <f aca="false">IFERROR(INDEX(資安適用排名!$E$2:$E$2501,MATCH($A142&amp;"|"&amp;$B142,資安適用排名!$AN$2:$AN$2501,0)),"")</f>
        <v>通話與會議錄音轉文字, 輔助社交工程調查, 用途較間接</v>
      </c>
    </row>
    <row r="143" customFormat="false" ht="17.15" hidden="false" customHeight="false" outlineLevel="0" collapsed="false">
      <c r="A143" s="5" t="s">
        <v>80</v>
      </c>
      <c r="B143" s="16" t="n">
        <v>1</v>
      </c>
      <c r="C143" s="5" t="str">
        <f aca="false">IFERROR(INDEX(資安適用排名!$B$2:$B$2501,MATCH($A143&amp;"|"&amp;$B143,資安適用排名!$AN$2:$AN$2501,0)),"")</f>
        <v>microsoft/llmlingua-2-bert-base-multilingual-cased-meetingbank</v>
      </c>
      <c r="D143" s="15" t="n">
        <f aca="false">IFERROR(INDEX(資安適用排名!$G$2:$G$2501,MATCH($A143&amp;"|"&amp;$B143,資安適用排名!$AN$2:$AN$2501,0)),"")</f>
        <v>61.504</v>
      </c>
      <c r="E143" s="5" t="str">
        <f aca="false">IFERROR(INDEX(資安適用排名!$H$2:$H$2501,MATCH($A143&amp;"|"&amp;$B143,資安適用排名!$AN$2:$AN$2501,0)),"")</f>
        <v>特定情境</v>
      </c>
      <c r="F143" s="12" t="str">
        <f aca="false">IFERROR(INDEX(資安適用排名!$E$2:$E$2501,MATCH($A143&amp;"|"&amp;$B143,資安適用排名!$AN$2:$AN$2501,0)),"")</f>
        <v>用途有限</v>
      </c>
    </row>
    <row r="144" customFormat="false" ht="17.15" hidden="false" customHeight="false" outlineLevel="0" collapsed="false">
      <c r="A144" s="5" t="s">
        <v>80</v>
      </c>
      <c r="B144" s="16" t="n">
        <v>2</v>
      </c>
      <c r="C144" s="5" t="str">
        <f aca="false">IFERROR(INDEX(資安適用排名!$B$2:$B$2501,MATCH($A144&amp;"|"&amp;$B144,資安適用排名!$AN$2:$AN$2501,0)),"")</f>
        <v>microsoft/llmlingua-2-xlm-roberta-large-meetingbank</v>
      </c>
      <c r="D144" s="15" t="n">
        <f aca="false">IFERROR(INDEX(資安適用排名!$G$2:$G$2501,MATCH($A144&amp;"|"&amp;$B144,資安適用排名!$AN$2:$AN$2501,0)),"")</f>
        <v>60.44</v>
      </c>
      <c r="E144" s="5" t="str">
        <f aca="false">IFERROR(INDEX(資安適用排名!$H$2:$H$2501,MATCH($A144&amp;"|"&amp;$B144,資安適用排名!$AN$2:$AN$2501,0)),"")</f>
        <v>特定情境</v>
      </c>
      <c r="F144" s="12" t="str">
        <f aca="false">IFERROR(INDEX(資安適用排名!$E$2:$E$2501,MATCH($A144&amp;"|"&amp;$B144,資安適用排名!$AN$2:$AN$2501,0)),"")</f>
        <v>用途有限</v>
      </c>
    </row>
    <row r="145" customFormat="false" ht="17.15" hidden="false" customHeight="false" outlineLevel="0" collapsed="false">
      <c r="A145" s="5" t="s">
        <v>80</v>
      </c>
      <c r="B145" s="16" t="n">
        <v>3</v>
      </c>
      <c r="C145" s="5" t="str">
        <f aca="false">IFERROR(INDEX(資安適用排名!$B$2:$B$2501,MATCH($A145&amp;"|"&amp;$B145,資安適用排名!$AN$2:$AN$2501,0)),"")</f>
        <v>nvidia/Cosmos3-Edge</v>
      </c>
      <c r="D145" s="15" t="n">
        <f aca="false">IFERROR(INDEX(資安適用排名!$G$2:$G$2501,MATCH($A145&amp;"|"&amp;$B145,資安適用排名!$AN$2:$AN$2501,0)),"")</f>
        <v>55.17</v>
      </c>
      <c r="E145" s="5" t="str">
        <f aca="false">IFERROR(INDEX(資安適用排名!$H$2:$H$2501,MATCH($A145&amp;"|"&amp;$B145,資安適用排名!$AN$2:$AN$2501,0)),"")</f>
        <v>不建議</v>
      </c>
      <c r="F145" s="12" t="str">
        <f aca="false">IFERROR(INDEX(資安適用排名!$E$2:$E$2501,MATCH($A145&amp;"|"&amp;$B145,資安適用排名!$AN$2:$AN$2501,0)),"")</f>
        <v>用途有限</v>
      </c>
    </row>
    <row r="146" customFormat="false" ht="17.15" hidden="false" customHeight="false" outlineLevel="0" collapsed="false">
      <c r="A146" s="5" t="s">
        <v>80</v>
      </c>
      <c r="B146" s="16" t="n">
        <v>4</v>
      </c>
      <c r="C146" s="5" t="str">
        <f aca="false">IFERROR(INDEX(資安適用排名!$B$2:$B$2501,MATCH($A146&amp;"|"&amp;$B146,資安適用排名!$AN$2:$AN$2501,0)),"")</f>
        <v>mistralai/Voxtral-Mini-3B-2507</v>
      </c>
      <c r="D146" s="15" t="n">
        <f aca="false">IFERROR(INDEX(資安適用排名!$G$2:$G$2501,MATCH($A146&amp;"|"&amp;$B146,資安適用排名!$AN$2:$AN$2501,0)),"")</f>
        <v>55.09</v>
      </c>
      <c r="E146" s="5" t="str">
        <f aca="false">IFERROR(INDEX(資安適用排名!$H$2:$H$2501,MATCH($A146&amp;"|"&amp;$B146,資安適用排名!$AN$2:$AN$2501,0)),"")</f>
        <v>不建議</v>
      </c>
      <c r="F146" s="12" t="str">
        <f aca="false">IFERROR(INDEX(資安適用排名!$E$2:$E$2501,MATCH($A146&amp;"|"&amp;$B146,資安適用排名!$AN$2:$AN$2501,0)),"")</f>
        <v>用途有限</v>
      </c>
    </row>
    <row r="147" customFormat="false" ht="17.15" hidden="false" customHeight="false" outlineLevel="0" collapsed="false">
      <c r="A147" s="5" t="s">
        <v>80</v>
      </c>
      <c r="B147" s="16" t="n">
        <v>5</v>
      </c>
      <c r="C147" s="5" t="str">
        <f aca="false">IFERROR(INDEX(資安適用排名!$B$2:$B$2501,MATCH($A147&amp;"|"&amp;$B147,資安適用排名!$AN$2:$AN$2501,0)),"")</f>
        <v>facebook/sam-vit-base</v>
      </c>
      <c r="D147" s="15" t="n">
        <f aca="false">IFERROR(INDEX(資安適用排名!$G$2:$G$2501,MATCH($A147&amp;"|"&amp;$B147,資安適用排名!$AN$2:$AN$2501,0)),"")</f>
        <v>54.496</v>
      </c>
      <c r="E147" s="5" t="str">
        <f aca="false">IFERROR(INDEX(資安適用排名!$H$2:$H$2501,MATCH($A147&amp;"|"&amp;$B147,資安適用排名!$AN$2:$AN$2501,0)),"")</f>
        <v>不建議</v>
      </c>
      <c r="F147" s="12" t="str">
        <f aca="false">IFERROR(INDEX(資安適用排名!$E$2:$E$2501,MATCH($A147&amp;"|"&amp;$B147,資安適用排名!$AN$2:$AN$2501,0)),"")</f>
        <v>用途有限</v>
      </c>
    </row>
    <row r="148" customFormat="false" ht="17.15" hidden="false" customHeight="false" outlineLevel="0" collapsed="false">
      <c r="A148" s="5" t="s">
        <v>80</v>
      </c>
      <c r="B148" s="16" t="n">
        <v>6</v>
      </c>
      <c r="C148" s="5" t="str">
        <f aca="false">IFERROR(INDEX(資安適用排名!$B$2:$B$2501,MATCH($A148&amp;"|"&amp;$B148,資安適用排名!$AN$2:$AN$2501,0)),"")</f>
        <v>facebook/sam-vit-huge</v>
      </c>
      <c r="D148" s="15" t="n">
        <f aca="false">IFERROR(INDEX(資安適用排名!$G$2:$G$2501,MATCH($A148&amp;"|"&amp;$B148,資安適用排名!$AN$2:$AN$2501,0)),"")</f>
        <v>54.056</v>
      </c>
      <c r="E148" s="5" t="str">
        <f aca="false">IFERROR(INDEX(資安適用排名!$H$2:$H$2501,MATCH($A148&amp;"|"&amp;$B148,資安適用排名!$AN$2:$AN$2501,0)),"")</f>
        <v>不建議</v>
      </c>
      <c r="F148" s="12" t="str">
        <f aca="false">IFERROR(INDEX(資安適用排名!$E$2:$E$2501,MATCH($A148&amp;"|"&amp;$B148,資安適用排名!$AN$2:$AN$2501,0)),"")</f>
        <v>用途有限</v>
      </c>
    </row>
    <row r="149" customFormat="false" ht="17.15" hidden="false" customHeight="false" outlineLevel="0" collapsed="false">
      <c r="A149" s="5" t="s">
        <v>80</v>
      </c>
      <c r="B149" s="16" t="n">
        <v>7</v>
      </c>
      <c r="C149" s="5" t="str">
        <f aca="false">IFERROR(INDEX(資安適用排名!$B$2:$B$2501,MATCH($A149&amp;"|"&amp;$B149,資安適用排名!$AN$2:$AN$2501,0)),"")</f>
        <v>facebook/sam2.1-hiera-large</v>
      </c>
      <c r="D149" s="15" t="n">
        <f aca="false">IFERROR(INDEX(資安適用排名!$G$2:$G$2501,MATCH($A149&amp;"|"&amp;$B149,資安適用排名!$AN$2:$AN$2501,0)),"")</f>
        <v>53.436</v>
      </c>
      <c r="E149" s="5" t="str">
        <f aca="false">IFERROR(INDEX(資安適用排名!$H$2:$H$2501,MATCH($A149&amp;"|"&amp;$B149,資安適用排名!$AN$2:$AN$2501,0)),"")</f>
        <v>不建議</v>
      </c>
      <c r="F149" s="12" t="str">
        <f aca="false">IFERROR(INDEX(資安適用排名!$E$2:$E$2501,MATCH($A149&amp;"|"&amp;$B149,資安適用排名!$AN$2:$AN$2501,0)),"")</f>
        <v>用途有限</v>
      </c>
    </row>
    <row r="150" customFormat="false" ht="17.15" hidden="false" customHeight="false" outlineLevel="0" collapsed="false">
      <c r="A150" s="5" t="s">
        <v>80</v>
      </c>
      <c r="B150" s="16" t="n">
        <v>8</v>
      </c>
      <c r="C150" s="5" t="str">
        <f aca="false">IFERROR(INDEX(資安適用排名!$B$2:$B$2501,MATCH($A150&amp;"|"&amp;$B150,資安適用排名!$AN$2:$AN$2501,0)),"")</f>
        <v>facebook/sam2-hiera-base-plus</v>
      </c>
      <c r="D150" s="15" t="n">
        <f aca="false">IFERROR(INDEX(資安適用排名!$G$2:$G$2501,MATCH($A150&amp;"|"&amp;$B150,資安適用排名!$AN$2:$AN$2501,0)),"")</f>
        <v>53.232</v>
      </c>
      <c r="E150" s="5" t="str">
        <f aca="false">IFERROR(INDEX(資安適用排名!$H$2:$H$2501,MATCH($A150&amp;"|"&amp;$B150,資安適用排名!$AN$2:$AN$2501,0)),"")</f>
        <v>不建議</v>
      </c>
      <c r="F150" s="12" t="str">
        <f aca="false">IFERROR(INDEX(資安適用排名!$E$2:$E$2501,MATCH($A150&amp;"|"&amp;$B150,資安適用排名!$AN$2:$AN$2501,0)),"")</f>
        <v>用途有限</v>
      </c>
    </row>
    <row r="151" customFormat="false" ht="17.15" hidden="false" customHeight="false" outlineLevel="0" collapsed="false">
      <c r="A151" s="5" t="s">
        <v>80</v>
      </c>
      <c r="B151" s="16" t="n">
        <v>9</v>
      </c>
      <c r="C151" s="5" t="str">
        <f aca="false">IFERROR(INDEX(資安適用排名!$B$2:$B$2501,MATCH($A151&amp;"|"&amp;$B151,資安適用排名!$AN$2:$AN$2501,0)),"")</f>
        <v>facebook/sam3</v>
      </c>
      <c r="D151" s="15" t="n">
        <f aca="false">IFERROR(INDEX(資安適用排名!$G$2:$G$2501,MATCH($A151&amp;"|"&amp;$B151,資安適用排名!$AN$2:$AN$2501,0)),"")</f>
        <v>52.68</v>
      </c>
      <c r="E151" s="5" t="str">
        <f aca="false">IFERROR(INDEX(資安適用排名!$H$2:$H$2501,MATCH($A151&amp;"|"&amp;$B151,資安適用排名!$AN$2:$AN$2501,0)),"")</f>
        <v>不建議</v>
      </c>
      <c r="F151" s="12" t="str">
        <f aca="false">IFERROR(INDEX(資安適用排名!$E$2:$E$2501,MATCH($A151&amp;"|"&amp;$B151,資安適用排名!$AN$2:$AN$2501,0)),"")</f>
        <v>用途有限</v>
      </c>
    </row>
    <row r="152" customFormat="false" ht="17.15" hidden="false" customHeight="false" outlineLevel="0" collapsed="false">
      <c r="A152" s="5" t="s">
        <v>80</v>
      </c>
      <c r="B152" s="16" t="n">
        <v>10</v>
      </c>
      <c r="C152" s="5" t="str">
        <f aca="false">IFERROR(INDEX(資安適用排名!$B$2:$B$2501,MATCH($A152&amp;"|"&amp;$B152,資安適用排名!$AN$2:$AN$2501,0)),"")</f>
        <v>kyutai/moshiko-pytorch-bf16</v>
      </c>
      <c r="D152" s="15" t="n">
        <f aca="false">IFERROR(INDEX(資安適用排名!$G$2:$G$2501,MATCH($A152&amp;"|"&amp;$B152,資安適用排名!$AN$2:$AN$2501,0)),"")</f>
        <v>52.486</v>
      </c>
      <c r="E152" s="5" t="str">
        <f aca="false">IFERROR(INDEX(資安適用排名!$H$2:$H$2501,MATCH($A152&amp;"|"&amp;$B152,資安適用排名!$AN$2:$AN$2501,0)),"")</f>
        <v>不建議</v>
      </c>
      <c r="F152" s="12" t="str">
        <f aca="false">IFERROR(INDEX(資安適用排名!$E$2:$E$2501,MATCH($A152&amp;"|"&amp;$B152,資安適用排名!$AN$2:$AN$2501,0)),"")</f>
        <v>用途有限</v>
      </c>
    </row>
  </sheetData>
  <autoFilter ref="A4:F152"/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34"/>
    <col collapsed="false" customWidth="true" hidden="false" outlineLevel="0" max="6" min="6" style="0" width="60"/>
    <col collapsed="false" customWidth="true" hidden="false" outlineLevel="0" max="7" min="7" style="0" width="14"/>
    <col collapsed="false" customWidth="true" hidden="false" outlineLevel="0" max="8" min="8" style="0" width="52"/>
  </cols>
  <sheetData>
    <row r="1" customFormat="false" ht="32.8" hidden="false" customHeight="false" outlineLevel="0" collapsed="false">
      <c r="A1" s="4" t="s">
        <v>84</v>
      </c>
      <c r="B1" s="4" t="s">
        <v>211</v>
      </c>
      <c r="C1" s="4" t="s">
        <v>146</v>
      </c>
      <c r="D1" s="4" t="s">
        <v>214</v>
      </c>
      <c r="E1" s="4" t="s">
        <v>6204</v>
      </c>
      <c r="F1" s="4" t="s">
        <v>6205</v>
      </c>
      <c r="G1" s="4" t="s">
        <v>6206</v>
      </c>
      <c r="H1" s="4" t="s">
        <v>225</v>
      </c>
    </row>
    <row r="2" customFormat="false" ht="17.15" hidden="false" customHeight="false" outlineLevel="0" collapsed="false">
      <c r="A2" s="11" t="s">
        <v>601</v>
      </c>
      <c r="B2" s="11" t="s">
        <v>368</v>
      </c>
      <c r="C2" s="11" t="s">
        <v>162</v>
      </c>
      <c r="D2" s="6" t="n">
        <v>308762303</v>
      </c>
      <c r="E2" s="5" t="s">
        <v>6207</v>
      </c>
      <c r="F2" s="5" t="s">
        <v>6207</v>
      </c>
      <c r="G2" s="11" t="s">
        <v>134</v>
      </c>
      <c r="H2" s="11" t="s">
        <v>6208</v>
      </c>
    </row>
    <row r="3" customFormat="false" ht="17.15" hidden="false" customHeight="false" outlineLevel="0" collapsed="false">
      <c r="A3" s="11" t="s">
        <v>5831</v>
      </c>
      <c r="B3" s="11" t="s">
        <v>253</v>
      </c>
      <c r="C3" s="11" t="s">
        <v>167</v>
      </c>
      <c r="D3" s="6" t="n">
        <v>135500974</v>
      </c>
      <c r="E3" s="5" t="s">
        <v>6207</v>
      </c>
      <c r="F3" s="5" t="s">
        <v>6207</v>
      </c>
      <c r="G3" s="11" t="s">
        <v>134</v>
      </c>
      <c r="H3" s="11" t="s">
        <v>6209</v>
      </c>
    </row>
    <row r="4" customFormat="false" ht="17.15" hidden="false" customHeight="false" outlineLevel="0" collapsed="false">
      <c r="A4" s="11" t="s">
        <v>622</v>
      </c>
      <c r="B4" s="11" t="s">
        <v>598</v>
      </c>
      <c r="C4" s="11" t="s">
        <v>152</v>
      </c>
      <c r="D4" s="6" t="n">
        <v>98440897</v>
      </c>
      <c r="E4" s="5" t="s">
        <v>6210</v>
      </c>
      <c r="F4" s="5" t="s">
        <v>6210</v>
      </c>
      <c r="G4" s="11" t="s">
        <v>137</v>
      </c>
      <c r="H4" s="11" t="s">
        <v>6211</v>
      </c>
    </row>
    <row r="5" customFormat="false" ht="17.15" hidden="false" customHeight="false" outlineLevel="0" collapsed="false">
      <c r="A5" s="11" t="s">
        <v>6212</v>
      </c>
      <c r="B5" s="11" t="s">
        <v>6213</v>
      </c>
      <c r="C5" s="11" t="s">
        <v>197</v>
      </c>
      <c r="D5" s="6" t="n">
        <v>76160226</v>
      </c>
      <c r="E5" s="5" t="s">
        <v>6207</v>
      </c>
      <c r="F5" s="5" t="s">
        <v>6214</v>
      </c>
      <c r="G5" s="11" t="s">
        <v>6215</v>
      </c>
      <c r="H5" s="11" t="s">
        <v>6216</v>
      </c>
    </row>
    <row r="6" customFormat="false" ht="17.15" hidden="false" customHeight="false" outlineLevel="0" collapsed="false">
      <c r="A6" s="11" t="s">
        <v>6217</v>
      </c>
      <c r="B6" s="11" t="s">
        <v>6218</v>
      </c>
      <c r="C6" s="5"/>
      <c r="D6" s="6" t="n">
        <v>71013084</v>
      </c>
      <c r="E6" s="5" t="s">
        <v>6207</v>
      </c>
      <c r="F6" s="5" t="s">
        <v>6207</v>
      </c>
      <c r="G6" s="11" t="s">
        <v>134</v>
      </c>
      <c r="H6" s="11" t="s">
        <v>6219</v>
      </c>
    </row>
    <row r="7" customFormat="false" ht="17.15" hidden="false" customHeight="false" outlineLevel="0" collapsed="false">
      <c r="A7" s="11" t="s">
        <v>6220</v>
      </c>
      <c r="B7" s="11" t="s">
        <v>681</v>
      </c>
      <c r="C7" s="11" t="s">
        <v>155</v>
      </c>
      <c r="D7" s="6" t="n">
        <v>69907920</v>
      </c>
      <c r="E7" s="5" t="s">
        <v>6207</v>
      </c>
      <c r="F7" s="5" t="s">
        <v>6207</v>
      </c>
      <c r="G7" s="11" t="s">
        <v>134</v>
      </c>
      <c r="H7" s="11" t="s">
        <v>6221</v>
      </c>
    </row>
    <row r="8" customFormat="false" ht="17.15" hidden="false" customHeight="false" outlineLevel="0" collapsed="false">
      <c r="A8" s="11" t="s">
        <v>6222</v>
      </c>
      <c r="B8" s="11" t="s">
        <v>6223</v>
      </c>
      <c r="C8" s="11" t="s">
        <v>175</v>
      </c>
      <c r="D8" s="6" t="n">
        <v>63846686</v>
      </c>
      <c r="E8" s="5" t="s">
        <v>6207</v>
      </c>
      <c r="F8" s="5" t="s">
        <v>6207</v>
      </c>
      <c r="G8" s="11" t="s">
        <v>134</v>
      </c>
      <c r="H8" s="11" t="s">
        <v>6224</v>
      </c>
    </row>
    <row r="9" customFormat="false" ht="15" hidden="false" customHeight="false" outlineLevel="0" collapsed="false">
      <c r="A9" s="11" t="s">
        <v>6225</v>
      </c>
      <c r="B9" s="11" t="s">
        <v>6226</v>
      </c>
      <c r="C9" s="11" t="s">
        <v>175</v>
      </c>
      <c r="D9" s="6" t="n">
        <v>54307183</v>
      </c>
      <c r="E9" s="5" t="s">
        <v>6227</v>
      </c>
      <c r="F9" s="5" t="s">
        <v>6227</v>
      </c>
      <c r="G9" s="11" t="s">
        <v>134</v>
      </c>
      <c r="H9" s="11" t="s">
        <v>6228</v>
      </c>
    </row>
    <row r="10" customFormat="false" ht="17.15" hidden="false" customHeight="false" outlineLevel="0" collapsed="false">
      <c r="A10" s="11" t="s">
        <v>6229</v>
      </c>
      <c r="B10" s="11" t="s">
        <v>5331</v>
      </c>
      <c r="C10" s="11" t="s">
        <v>175</v>
      </c>
      <c r="D10" s="6" t="n">
        <v>53764638</v>
      </c>
      <c r="E10" s="5" t="s">
        <v>6207</v>
      </c>
      <c r="F10" s="5" t="s">
        <v>6207</v>
      </c>
      <c r="G10" s="11" t="s">
        <v>134</v>
      </c>
      <c r="H10" s="11" t="s">
        <v>6230</v>
      </c>
    </row>
    <row r="11" customFormat="false" ht="17.15" hidden="false" customHeight="false" outlineLevel="0" collapsed="false">
      <c r="A11" s="11" t="s">
        <v>6231</v>
      </c>
      <c r="B11" s="11" t="s">
        <v>6232</v>
      </c>
      <c r="C11" s="11" t="s">
        <v>197</v>
      </c>
      <c r="D11" s="6" t="n">
        <v>52205233</v>
      </c>
      <c r="E11" s="5" t="s">
        <v>6207</v>
      </c>
      <c r="F11" s="5" t="s">
        <v>6214</v>
      </c>
      <c r="G11" s="11" t="s">
        <v>6215</v>
      </c>
      <c r="H11" s="11" t="s">
        <v>6233</v>
      </c>
    </row>
    <row r="12" customFormat="false" ht="17.15" hidden="false" customHeight="false" outlineLevel="0" collapsed="false">
      <c r="A12" s="11" t="s">
        <v>6234</v>
      </c>
      <c r="B12" s="11" t="s">
        <v>681</v>
      </c>
      <c r="C12" s="11" t="s">
        <v>152</v>
      </c>
      <c r="D12" s="6" t="n">
        <v>49682464</v>
      </c>
      <c r="E12" s="5" t="s">
        <v>6207</v>
      </c>
      <c r="F12" s="5" t="s">
        <v>6207</v>
      </c>
      <c r="G12" s="11" t="s">
        <v>134</v>
      </c>
      <c r="H12" s="11" t="s">
        <v>6235</v>
      </c>
    </row>
    <row r="13" customFormat="false" ht="17.15" hidden="false" customHeight="false" outlineLevel="0" collapsed="false">
      <c r="A13" s="11" t="s">
        <v>4972</v>
      </c>
      <c r="B13" s="11" t="s">
        <v>6226</v>
      </c>
      <c r="C13" s="5"/>
      <c r="D13" s="6" t="n">
        <v>45997487</v>
      </c>
      <c r="E13" s="5" t="s">
        <v>6207</v>
      </c>
      <c r="F13" s="5" t="s">
        <v>6207</v>
      </c>
      <c r="G13" s="11" t="s">
        <v>134</v>
      </c>
      <c r="H13" s="11" t="s">
        <v>6236</v>
      </c>
    </row>
    <row r="14" customFormat="false" ht="17.15" hidden="false" customHeight="false" outlineLevel="0" collapsed="false">
      <c r="A14" s="11" t="s">
        <v>5956</v>
      </c>
      <c r="B14" s="11" t="s">
        <v>6226</v>
      </c>
      <c r="C14" s="11" t="s">
        <v>182</v>
      </c>
      <c r="D14" s="6" t="n">
        <v>41752150</v>
      </c>
      <c r="E14" s="5" t="s">
        <v>6207</v>
      </c>
      <c r="F14" s="5" t="s">
        <v>6207</v>
      </c>
      <c r="G14" s="11" t="s">
        <v>134</v>
      </c>
      <c r="H14" s="11" t="s">
        <v>6237</v>
      </c>
    </row>
    <row r="15" customFormat="false" ht="17.15" hidden="false" customHeight="false" outlineLevel="0" collapsed="false">
      <c r="A15" s="11" t="s">
        <v>6238</v>
      </c>
      <c r="B15" s="11" t="s">
        <v>1214</v>
      </c>
      <c r="C15" s="11" t="s">
        <v>192</v>
      </c>
      <c r="D15" s="6" t="n">
        <v>41529326</v>
      </c>
      <c r="E15" s="5" t="s">
        <v>6239</v>
      </c>
      <c r="F15" s="5" t="s">
        <v>6239</v>
      </c>
      <c r="G15" s="11" t="s">
        <v>143</v>
      </c>
      <c r="H15" s="11" t="s">
        <v>6240</v>
      </c>
    </row>
    <row r="16" customFormat="false" ht="15" hidden="false" customHeight="false" outlineLevel="0" collapsed="false">
      <c r="A16" s="11" t="s">
        <v>6241</v>
      </c>
      <c r="B16" s="11" t="s">
        <v>6242</v>
      </c>
      <c r="C16" s="11" t="s">
        <v>149</v>
      </c>
      <c r="D16" s="6" t="n">
        <v>36817267</v>
      </c>
      <c r="E16" s="5" t="s">
        <v>141</v>
      </c>
      <c r="F16" s="5" t="s">
        <v>141</v>
      </c>
      <c r="G16" s="11" t="s">
        <v>140</v>
      </c>
      <c r="H16" s="11" t="s">
        <v>6243</v>
      </c>
    </row>
    <row r="17" customFormat="false" ht="17.15" hidden="false" customHeight="false" outlineLevel="0" collapsed="false">
      <c r="A17" s="11" t="s">
        <v>6244</v>
      </c>
      <c r="B17" s="11" t="s">
        <v>1214</v>
      </c>
      <c r="C17" s="11" t="s">
        <v>192</v>
      </c>
      <c r="D17" s="6" t="n">
        <v>35488555</v>
      </c>
      <c r="E17" s="5" t="s">
        <v>6239</v>
      </c>
      <c r="F17" s="5" t="s">
        <v>6239</v>
      </c>
      <c r="G17" s="11" t="s">
        <v>143</v>
      </c>
      <c r="H17" s="11" t="s">
        <v>6245</v>
      </c>
    </row>
    <row r="18" customFormat="false" ht="17.15" hidden="false" customHeight="false" outlineLevel="0" collapsed="false">
      <c r="A18" s="11" t="s">
        <v>6246</v>
      </c>
      <c r="B18" s="11" t="s">
        <v>6226</v>
      </c>
      <c r="C18" s="11" t="s">
        <v>175</v>
      </c>
      <c r="D18" s="6" t="n">
        <v>28450974</v>
      </c>
      <c r="E18" s="5" t="s">
        <v>6207</v>
      </c>
      <c r="F18" s="5" t="s">
        <v>6207</v>
      </c>
      <c r="G18" s="11" t="s">
        <v>134</v>
      </c>
      <c r="H18" s="11" t="s">
        <v>6247</v>
      </c>
    </row>
    <row r="19" customFormat="false" ht="17.15" hidden="false" customHeight="false" outlineLevel="0" collapsed="false">
      <c r="A19" s="11" t="s">
        <v>6248</v>
      </c>
      <c r="B19" s="11" t="s">
        <v>598</v>
      </c>
      <c r="C19" s="11" t="s">
        <v>152</v>
      </c>
      <c r="D19" s="6" t="n">
        <v>26466272</v>
      </c>
      <c r="E19" s="5" t="s">
        <v>6210</v>
      </c>
      <c r="F19" s="5" t="s">
        <v>6210</v>
      </c>
      <c r="G19" s="11" t="s">
        <v>137</v>
      </c>
      <c r="H19" s="11" t="s">
        <v>6249</v>
      </c>
    </row>
    <row r="20" customFormat="false" ht="17.15" hidden="false" customHeight="false" outlineLevel="0" collapsed="false">
      <c r="A20" s="11" t="s">
        <v>6250</v>
      </c>
      <c r="B20" s="11" t="s">
        <v>5331</v>
      </c>
      <c r="C20" s="11" t="s">
        <v>175</v>
      </c>
      <c r="D20" s="6" t="n">
        <v>26217592</v>
      </c>
      <c r="E20" s="5" t="s">
        <v>6207</v>
      </c>
      <c r="F20" s="5" t="s">
        <v>6207</v>
      </c>
      <c r="G20" s="11" t="s">
        <v>134</v>
      </c>
      <c r="H20" s="11" t="s">
        <v>6251</v>
      </c>
    </row>
    <row r="21" customFormat="false" ht="17.15" hidden="false" customHeight="false" outlineLevel="0" collapsed="false">
      <c r="A21" s="11" t="s">
        <v>6252</v>
      </c>
      <c r="B21" s="11" t="s">
        <v>5331</v>
      </c>
      <c r="C21" s="11" t="s">
        <v>175</v>
      </c>
      <c r="D21" s="6" t="n">
        <v>23728775</v>
      </c>
      <c r="E21" s="5" t="s">
        <v>6207</v>
      </c>
      <c r="F21" s="5" t="s">
        <v>6207</v>
      </c>
      <c r="G21" s="11" t="s">
        <v>134</v>
      </c>
      <c r="H21" s="11" t="s">
        <v>6253</v>
      </c>
    </row>
    <row r="22" customFormat="false" ht="17.15" hidden="false" customHeight="false" outlineLevel="0" collapsed="false">
      <c r="A22" s="11" t="s">
        <v>2507</v>
      </c>
      <c r="B22" s="11" t="s">
        <v>308</v>
      </c>
      <c r="C22" s="11" t="s">
        <v>162</v>
      </c>
      <c r="D22" s="6" t="n">
        <v>23449375</v>
      </c>
      <c r="E22" s="5" t="s">
        <v>6207</v>
      </c>
      <c r="F22" s="5" t="s">
        <v>6207</v>
      </c>
      <c r="G22" s="11" t="s">
        <v>134</v>
      </c>
      <c r="H22" s="11" t="s">
        <v>6254</v>
      </c>
    </row>
    <row r="23" customFormat="false" ht="17.15" hidden="false" customHeight="false" outlineLevel="0" collapsed="false">
      <c r="A23" s="11" t="s">
        <v>6255</v>
      </c>
      <c r="B23" s="11" t="s">
        <v>253</v>
      </c>
      <c r="C23" s="11" t="s">
        <v>167</v>
      </c>
      <c r="D23" s="6" t="n">
        <v>20579703</v>
      </c>
      <c r="E23" s="5" t="s">
        <v>6207</v>
      </c>
      <c r="F23" s="5" t="s">
        <v>6207</v>
      </c>
      <c r="G23" s="11" t="s">
        <v>134</v>
      </c>
      <c r="H23" s="11" t="s">
        <v>6256</v>
      </c>
    </row>
    <row r="24" customFormat="false" ht="17.15" hidden="false" customHeight="false" outlineLevel="0" collapsed="false">
      <c r="A24" s="11" t="s">
        <v>6257</v>
      </c>
      <c r="B24" s="11" t="s">
        <v>6258</v>
      </c>
      <c r="C24" s="11" t="s">
        <v>149</v>
      </c>
      <c r="D24" s="6" t="n">
        <v>19350168</v>
      </c>
      <c r="E24" s="5" t="s">
        <v>6207</v>
      </c>
      <c r="F24" s="5" t="s">
        <v>6207</v>
      </c>
      <c r="G24" s="11" t="s">
        <v>134</v>
      </c>
      <c r="H24" s="11" t="s">
        <v>6259</v>
      </c>
    </row>
    <row r="25" customFormat="false" ht="17.15" hidden="false" customHeight="false" outlineLevel="0" collapsed="false">
      <c r="A25" s="11" t="s">
        <v>6260</v>
      </c>
      <c r="B25" s="11" t="s">
        <v>5331</v>
      </c>
      <c r="C25" s="11" t="s">
        <v>175</v>
      </c>
      <c r="D25" s="6" t="n">
        <v>19265847</v>
      </c>
      <c r="E25" s="5" t="s">
        <v>6207</v>
      </c>
      <c r="F25" s="5" t="s">
        <v>6207</v>
      </c>
      <c r="G25" s="11" t="s">
        <v>134</v>
      </c>
      <c r="H25" s="11" t="s">
        <v>6261</v>
      </c>
    </row>
    <row r="26" customFormat="false" ht="17.15" hidden="false" customHeight="false" outlineLevel="0" collapsed="false">
      <c r="A26" s="11" t="s">
        <v>6262</v>
      </c>
      <c r="B26" s="11" t="s">
        <v>6263</v>
      </c>
      <c r="C26" s="11" t="s">
        <v>155</v>
      </c>
      <c r="D26" s="6" t="n">
        <v>18251551</v>
      </c>
      <c r="E26" s="5" t="s">
        <v>6264</v>
      </c>
      <c r="F26" s="5" t="s">
        <v>6264</v>
      </c>
      <c r="G26" s="11" t="s">
        <v>131</v>
      </c>
      <c r="H26" s="11" t="s">
        <v>6265</v>
      </c>
    </row>
    <row r="27" customFormat="false" ht="17.15" hidden="false" customHeight="false" outlineLevel="0" collapsed="false">
      <c r="A27" s="11" t="s">
        <v>6266</v>
      </c>
      <c r="B27" s="11" t="s">
        <v>308</v>
      </c>
      <c r="C27" s="11" t="s">
        <v>156</v>
      </c>
      <c r="D27" s="6" t="n">
        <v>17775535</v>
      </c>
      <c r="E27" s="5" t="s">
        <v>6210</v>
      </c>
      <c r="F27" s="5" t="s">
        <v>6210</v>
      </c>
      <c r="G27" s="11" t="s">
        <v>137</v>
      </c>
      <c r="H27" s="11" t="s">
        <v>6267</v>
      </c>
    </row>
    <row r="28" customFormat="false" ht="17.15" hidden="false" customHeight="false" outlineLevel="0" collapsed="false">
      <c r="A28" s="11" t="s">
        <v>6268</v>
      </c>
      <c r="B28" s="11" t="s">
        <v>6269</v>
      </c>
      <c r="C28" s="5"/>
      <c r="D28" s="6" t="n">
        <v>17572877</v>
      </c>
      <c r="E28" s="5" t="s">
        <v>6207</v>
      </c>
      <c r="F28" s="5" t="s">
        <v>6207</v>
      </c>
      <c r="G28" s="11" t="s">
        <v>134</v>
      </c>
      <c r="H28" s="11" t="s">
        <v>6270</v>
      </c>
    </row>
    <row r="29" customFormat="false" ht="17.15" hidden="false" customHeight="false" outlineLevel="0" collapsed="false">
      <c r="A29" s="11" t="s">
        <v>243</v>
      </c>
      <c r="B29" s="11" t="s">
        <v>308</v>
      </c>
      <c r="C29" s="11" t="s">
        <v>162</v>
      </c>
      <c r="D29" s="6" t="n">
        <v>17451361</v>
      </c>
      <c r="E29" s="5" t="s">
        <v>6207</v>
      </c>
      <c r="F29" s="5" t="s">
        <v>6207</v>
      </c>
      <c r="G29" s="11" t="s">
        <v>134</v>
      </c>
      <c r="H29" s="11" t="s">
        <v>6271</v>
      </c>
    </row>
    <row r="30" customFormat="false" ht="17.15" hidden="false" customHeight="false" outlineLevel="0" collapsed="false">
      <c r="A30" s="11" t="s">
        <v>6272</v>
      </c>
      <c r="B30" s="11" t="s">
        <v>6273</v>
      </c>
      <c r="C30" s="11" t="s">
        <v>153</v>
      </c>
      <c r="D30" s="6" t="n">
        <v>17276258</v>
      </c>
      <c r="E30" s="5" t="s">
        <v>6210</v>
      </c>
      <c r="F30" s="5" t="s">
        <v>6274</v>
      </c>
      <c r="G30" s="11" t="s">
        <v>6275</v>
      </c>
      <c r="H30" s="11" t="s">
        <v>6276</v>
      </c>
    </row>
    <row r="31" customFormat="false" ht="15" hidden="false" customHeight="false" outlineLevel="0" collapsed="false">
      <c r="A31" s="11" t="s">
        <v>6277</v>
      </c>
      <c r="B31" s="11" t="s">
        <v>6278</v>
      </c>
      <c r="C31" s="11" t="s">
        <v>175</v>
      </c>
      <c r="D31" s="6" t="n">
        <v>17244014</v>
      </c>
      <c r="E31" s="5" t="s">
        <v>141</v>
      </c>
      <c r="F31" s="5" t="s">
        <v>141</v>
      </c>
      <c r="G31" s="11" t="s">
        <v>140</v>
      </c>
      <c r="H31" s="11" t="s">
        <v>6279</v>
      </c>
    </row>
    <row r="32" customFormat="false" ht="17.15" hidden="false" customHeight="false" outlineLevel="0" collapsed="false">
      <c r="A32" s="11" t="s">
        <v>5648</v>
      </c>
      <c r="B32" s="11" t="s">
        <v>681</v>
      </c>
      <c r="C32" s="11" t="s">
        <v>175</v>
      </c>
      <c r="D32" s="6" t="n">
        <v>17165074</v>
      </c>
      <c r="E32" s="5" t="s">
        <v>6207</v>
      </c>
      <c r="F32" s="5" t="s">
        <v>6207</v>
      </c>
      <c r="G32" s="11" t="s">
        <v>134</v>
      </c>
      <c r="H32" s="11" t="s">
        <v>6280</v>
      </c>
    </row>
    <row r="33" customFormat="false" ht="15" hidden="false" customHeight="false" outlineLevel="0" collapsed="false">
      <c r="A33" s="11" t="s">
        <v>6281</v>
      </c>
      <c r="B33" s="11" t="s">
        <v>6282</v>
      </c>
      <c r="C33" s="11" t="s">
        <v>161</v>
      </c>
      <c r="D33" s="6" t="n">
        <v>16969119</v>
      </c>
      <c r="E33" s="5" t="s">
        <v>141</v>
      </c>
      <c r="F33" s="5" t="s">
        <v>141</v>
      </c>
      <c r="G33" s="11" t="s">
        <v>140</v>
      </c>
      <c r="H33" s="11" t="s">
        <v>6283</v>
      </c>
    </row>
    <row r="34" customFormat="false" ht="17.15" hidden="false" customHeight="false" outlineLevel="0" collapsed="false">
      <c r="A34" s="11" t="s">
        <v>6284</v>
      </c>
      <c r="B34" s="11" t="s">
        <v>6226</v>
      </c>
      <c r="C34" s="11" t="s">
        <v>182</v>
      </c>
      <c r="D34" s="6" t="n">
        <v>16802258</v>
      </c>
      <c r="E34" s="5" t="s">
        <v>6207</v>
      </c>
      <c r="F34" s="5" t="s">
        <v>6207</v>
      </c>
      <c r="G34" s="11" t="s">
        <v>134</v>
      </c>
      <c r="H34" s="11" t="s">
        <v>6285</v>
      </c>
    </row>
    <row r="35" customFormat="false" ht="17.15" hidden="false" customHeight="false" outlineLevel="0" collapsed="false">
      <c r="A35" s="11" t="s">
        <v>6286</v>
      </c>
      <c r="B35" s="11" t="s">
        <v>6287</v>
      </c>
      <c r="C35" s="11" t="s">
        <v>162</v>
      </c>
      <c r="D35" s="6" t="n">
        <v>16679441</v>
      </c>
      <c r="E35" s="5" t="s">
        <v>6207</v>
      </c>
      <c r="F35" s="5" t="s">
        <v>6207</v>
      </c>
      <c r="G35" s="11" t="s">
        <v>134</v>
      </c>
      <c r="H35" s="11" t="s">
        <v>6288</v>
      </c>
    </row>
    <row r="36" customFormat="false" ht="17.15" hidden="false" customHeight="false" outlineLevel="0" collapsed="false">
      <c r="A36" s="11" t="s">
        <v>6289</v>
      </c>
      <c r="B36" s="11" t="s">
        <v>1214</v>
      </c>
      <c r="C36" s="11" t="s">
        <v>192</v>
      </c>
      <c r="D36" s="6" t="n">
        <v>16577214</v>
      </c>
      <c r="E36" s="5" t="s">
        <v>6239</v>
      </c>
      <c r="F36" s="5" t="s">
        <v>6239</v>
      </c>
      <c r="G36" s="11" t="s">
        <v>143</v>
      </c>
      <c r="H36" s="11" t="s">
        <v>6290</v>
      </c>
    </row>
    <row r="37" customFormat="false" ht="17.15" hidden="false" customHeight="false" outlineLevel="0" collapsed="false">
      <c r="A37" s="11" t="s">
        <v>6291</v>
      </c>
      <c r="B37" s="11" t="s">
        <v>5331</v>
      </c>
      <c r="C37" s="11" t="s">
        <v>175</v>
      </c>
      <c r="D37" s="6" t="n">
        <v>14947323</v>
      </c>
      <c r="E37" s="5" t="s">
        <v>6207</v>
      </c>
      <c r="F37" s="5" t="s">
        <v>6207</v>
      </c>
      <c r="G37" s="11" t="s">
        <v>134</v>
      </c>
      <c r="H37" s="11" t="s">
        <v>6292</v>
      </c>
    </row>
    <row r="38" customFormat="false" ht="17.15" hidden="false" customHeight="false" outlineLevel="0" collapsed="false">
      <c r="A38" s="11" t="s">
        <v>6293</v>
      </c>
      <c r="B38" s="11" t="s">
        <v>2067</v>
      </c>
      <c r="C38" s="11" t="s">
        <v>192</v>
      </c>
      <c r="D38" s="6" t="n">
        <v>14699881</v>
      </c>
      <c r="E38" s="5" t="s">
        <v>6239</v>
      </c>
      <c r="F38" s="5" t="s">
        <v>6239</v>
      </c>
      <c r="G38" s="11" t="s">
        <v>143</v>
      </c>
      <c r="H38" s="11" t="s">
        <v>6294</v>
      </c>
    </row>
    <row r="39" customFormat="false" ht="15" hidden="false" customHeight="false" outlineLevel="0" collapsed="false">
      <c r="A39" s="11" t="s">
        <v>6295</v>
      </c>
      <c r="B39" s="11" t="s">
        <v>6226</v>
      </c>
      <c r="C39" s="11" t="s">
        <v>175</v>
      </c>
      <c r="D39" s="6" t="n">
        <v>14634266</v>
      </c>
      <c r="E39" s="5" t="s">
        <v>6227</v>
      </c>
      <c r="F39" s="5" t="s">
        <v>6227</v>
      </c>
      <c r="G39" s="11" t="s">
        <v>134</v>
      </c>
      <c r="H39" s="11" t="s">
        <v>6296</v>
      </c>
    </row>
    <row r="40" customFormat="false" ht="17.15" hidden="false" customHeight="false" outlineLevel="0" collapsed="false">
      <c r="A40" s="11" t="s">
        <v>6297</v>
      </c>
      <c r="B40" s="11" t="s">
        <v>6298</v>
      </c>
      <c r="C40" s="11" t="s">
        <v>175</v>
      </c>
      <c r="D40" s="6" t="n">
        <v>14455986</v>
      </c>
      <c r="E40" s="5" t="s">
        <v>6207</v>
      </c>
      <c r="F40" s="5" t="s">
        <v>6207</v>
      </c>
      <c r="G40" s="11" t="s">
        <v>134</v>
      </c>
      <c r="H40" s="11" t="s">
        <v>6299</v>
      </c>
    </row>
    <row r="41" customFormat="false" ht="17.15" hidden="false" customHeight="false" outlineLevel="0" collapsed="false">
      <c r="A41" s="11" t="s">
        <v>6300</v>
      </c>
      <c r="B41" s="11" t="s">
        <v>6301</v>
      </c>
      <c r="C41" s="11" t="s">
        <v>175</v>
      </c>
      <c r="D41" s="6" t="n">
        <v>14419724</v>
      </c>
      <c r="E41" s="5" t="s">
        <v>6207</v>
      </c>
      <c r="F41" s="5" t="s">
        <v>6207</v>
      </c>
      <c r="G41" s="11" t="s">
        <v>134</v>
      </c>
      <c r="H41" s="11" t="s">
        <v>6302</v>
      </c>
    </row>
    <row r="42" customFormat="false" ht="15" hidden="false" customHeight="false" outlineLevel="0" collapsed="false">
      <c r="A42" s="11" t="s">
        <v>6303</v>
      </c>
      <c r="B42" s="11" t="s">
        <v>6304</v>
      </c>
      <c r="C42" s="5"/>
      <c r="D42" s="6" t="n">
        <v>13815113</v>
      </c>
      <c r="E42" s="5" t="s">
        <v>141</v>
      </c>
      <c r="F42" s="5" t="s">
        <v>141</v>
      </c>
      <c r="G42" s="11" t="s">
        <v>140</v>
      </c>
      <c r="H42" s="11" t="s">
        <v>6305</v>
      </c>
    </row>
    <row r="43" customFormat="false" ht="17.15" hidden="false" customHeight="false" outlineLevel="0" collapsed="false">
      <c r="A43" s="11" t="s">
        <v>6306</v>
      </c>
      <c r="B43" s="11" t="s">
        <v>6307</v>
      </c>
      <c r="C43" s="11" t="s">
        <v>156</v>
      </c>
      <c r="D43" s="6" t="n">
        <v>13624317</v>
      </c>
      <c r="E43" s="5" t="s">
        <v>6210</v>
      </c>
      <c r="F43" s="5" t="s">
        <v>6210</v>
      </c>
      <c r="G43" s="11" t="s">
        <v>137</v>
      </c>
      <c r="H43" s="11" t="s">
        <v>6308</v>
      </c>
    </row>
    <row r="44" customFormat="false" ht="17.15" hidden="false" customHeight="false" outlineLevel="0" collapsed="false">
      <c r="A44" s="11" t="s">
        <v>6309</v>
      </c>
      <c r="B44" s="11" t="s">
        <v>6310</v>
      </c>
      <c r="C44" s="5"/>
      <c r="D44" s="6" t="n">
        <v>13620482</v>
      </c>
      <c r="E44" s="5" t="s">
        <v>6207</v>
      </c>
      <c r="F44" s="5" t="s">
        <v>6207</v>
      </c>
      <c r="G44" s="11" t="s">
        <v>134</v>
      </c>
      <c r="H44" s="11" t="s">
        <v>6311</v>
      </c>
    </row>
    <row r="45" customFormat="false" ht="17.15" hidden="false" customHeight="false" outlineLevel="0" collapsed="false">
      <c r="A45" s="11" t="s">
        <v>6312</v>
      </c>
      <c r="B45" s="11" t="s">
        <v>5331</v>
      </c>
      <c r="C45" s="11" t="s">
        <v>175</v>
      </c>
      <c r="D45" s="6" t="n">
        <v>13373231</v>
      </c>
      <c r="E45" s="5" t="s">
        <v>6207</v>
      </c>
      <c r="F45" s="5" t="s">
        <v>6207</v>
      </c>
      <c r="G45" s="11" t="s">
        <v>134</v>
      </c>
      <c r="H45" s="11" t="s">
        <v>6313</v>
      </c>
    </row>
    <row r="46" customFormat="false" ht="17.15" hidden="false" customHeight="false" outlineLevel="0" collapsed="false">
      <c r="A46" s="11" t="s">
        <v>6314</v>
      </c>
      <c r="B46" s="11" t="s">
        <v>6315</v>
      </c>
      <c r="C46" s="11" t="s">
        <v>197</v>
      </c>
      <c r="D46" s="6" t="n">
        <v>13036431</v>
      </c>
      <c r="E46" s="5" t="s">
        <v>6239</v>
      </c>
      <c r="F46" s="5" t="s">
        <v>6239</v>
      </c>
      <c r="G46" s="11" t="s">
        <v>143</v>
      </c>
      <c r="H46" s="11" t="s">
        <v>6316</v>
      </c>
    </row>
    <row r="47" customFormat="false" ht="17.15" hidden="false" customHeight="false" outlineLevel="0" collapsed="false">
      <c r="A47" s="11" t="s">
        <v>6317</v>
      </c>
      <c r="B47" s="11" t="s">
        <v>308</v>
      </c>
      <c r="C47" s="11" t="s">
        <v>189</v>
      </c>
      <c r="D47" s="6" t="n">
        <v>12859282</v>
      </c>
      <c r="E47" s="5" t="s">
        <v>6239</v>
      </c>
      <c r="F47" s="5" t="s">
        <v>6239</v>
      </c>
      <c r="G47" s="11" t="s">
        <v>143</v>
      </c>
      <c r="H47" s="11" t="s">
        <v>6318</v>
      </c>
    </row>
    <row r="48" customFormat="false" ht="17.15" hidden="false" customHeight="false" outlineLevel="0" collapsed="false">
      <c r="A48" s="11" t="s">
        <v>6319</v>
      </c>
      <c r="B48" s="11" t="s">
        <v>5331</v>
      </c>
      <c r="C48" s="11" t="s">
        <v>175</v>
      </c>
      <c r="D48" s="6" t="n">
        <v>12249898</v>
      </c>
      <c r="E48" s="5" t="s">
        <v>6207</v>
      </c>
      <c r="F48" s="5" t="s">
        <v>6207</v>
      </c>
      <c r="G48" s="11" t="s">
        <v>134</v>
      </c>
      <c r="H48" s="11" t="s">
        <v>6320</v>
      </c>
    </row>
    <row r="49" customFormat="false" ht="17.15" hidden="false" customHeight="false" outlineLevel="0" collapsed="false">
      <c r="A49" s="11" t="s">
        <v>6321</v>
      </c>
      <c r="B49" s="11" t="s">
        <v>6322</v>
      </c>
      <c r="C49" s="5"/>
      <c r="D49" s="6" t="n">
        <v>11950471</v>
      </c>
      <c r="E49" s="5" t="s">
        <v>6207</v>
      </c>
      <c r="F49" s="5" t="s">
        <v>6207</v>
      </c>
      <c r="G49" s="11" t="s">
        <v>134</v>
      </c>
      <c r="H49" s="11" t="s">
        <v>6323</v>
      </c>
    </row>
    <row r="50" customFormat="false" ht="17.15" hidden="false" customHeight="false" outlineLevel="0" collapsed="false">
      <c r="A50" s="11" t="s">
        <v>6324</v>
      </c>
      <c r="B50" s="11" t="s">
        <v>839</v>
      </c>
      <c r="C50" s="11" t="s">
        <v>163</v>
      </c>
      <c r="D50" s="6" t="n">
        <v>11941654</v>
      </c>
      <c r="E50" s="5" t="s">
        <v>6207</v>
      </c>
      <c r="F50" s="5" t="s">
        <v>6207</v>
      </c>
      <c r="G50" s="11" t="s">
        <v>134</v>
      </c>
      <c r="H50" s="11" t="s">
        <v>6325</v>
      </c>
    </row>
    <row r="51" customFormat="false" ht="17.15" hidden="false" customHeight="false" outlineLevel="0" collapsed="false">
      <c r="A51" s="11" t="s">
        <v>6326</v>
      </c>
      <c r="B51" s="11" t="s">
        <v>681</v>
      </c>
      <c r="C51" s="11" t="s">
        <v>198</v>
      </c>
      <c r="D51" s="6" t="n">
        <v>11655525</v>
      </c>
      <c r="E51" s="5" t="s">
        <v>6207</v>
      </c>
      <c r="F51" s="5" t="s">
        <v>6327</v>
      </c>
      <c r="G51" s="11" t="s">
        <v>6328</v>
      </c>
      <c r="H51" s="11" t="s">
        <v>6329</v>
      </c>
    </row>
    <row r="52" customFormat="false" ht="17.15" hidden="false" customHeight="false" outlineLevel="0" collapsed="false">
      <c r="A52" s="11" t="s">
        <v>6330</v>
      </c>
      <c r="B52" s="11" t="s">
        <v>681</v>
      </c>
      <c r="C52" s="5"/>
      <c r="D52" s="6" t="n">
        <v>11461586</v>
      </c>
      <c r="E52" s="5" t="s">
        <v>6207</v>
      </c>
      <c r="F52" s="5" t="s">
        <v>6207</v>
      </c>
      <c r="G52" s="11" t="s">
        <v>134</v>
      </c>
      <c r="H52" s="11" t="s">
        <v>6331</v>
      </c>
    </row>
    <row r="53" customFormat="false" ht="17.15" hidden="false" customHeight="false" outlineLevel="0" collapsed="false">
      <c r="A53" s="11" t="s">
        <v>6332</v>
      </c>
      <c r="B53" s="11" t="s">
        <v>5331</v>
      </c>
      <c r="C53" s="11" t="s">
        <v>175</v>
      </c>
      <c r="D53" s="6" t="n">
        <v>11209784</v>
      </c>
      <c r="E53" s="5" t="s">
        <v>6207</v>
      </c>
      <c r="F53" s="5" t="s">
        <v>6207</v>
      </c>
      <c r="G53" s="11" t="s">
        <v>134</v>
      </c>
      <c r="H53" s="11" t="s">
        <v>6333</v>
      </c>
    </row>
    <row r="54" customFormat="false" ht="17.15" hidden="false" customHeight="false" outlineLevel="0" collapsed="false">
      <c r="A54" s="11" t="s">
        <v>6334</v>
      </c>
      <c r="B54" s="11" t="s">
        <v>6335</v>
      </c>
      <c r="C54" s="5"/>
      <c r="D54" s="6" t="n">
        <v>11006413</v>
      </c>
      <c r="E54" s="5" t="s">
        <v>6207</v>
      </c>
      <c r="F54" s="5" t="s">
        <v>6207</v>
      </c>
      <c r="G54" s="11" t="s">
        <v>134</v>
      </c>
      <c r="H54" s="11" t="s">
        <v>6336</v>
      </c>
    </row>
    <row r="55" customFormat="false" ht="17.15" hidden="false" customHeight="false" outlineLevel="0" collapsed="false">
      <c r="A55" s="11" t="s">
        <v>6337</v>
      </c>
      <c r="B55" s="11" t="s">
        <v>6218</v>
      </c>
      <c r="C55" s="5"/>
      <c r="D55" s="6" t="n">
        <v>10789842</v>
      </c>
      <c r="E55" s="5" t="s">
        <v>6207</v>
      </c>
      <c r="F55" s="5" t="s">
        <v>6207</v>
      </c>
      <c r="G55" s="11" t="s">
        <v>134</v>
      </c>
      <c r="H55" s="11" t="s">
        <v>6338</v>
      </c>
    </row>
    <row r="56" customFormat="false" ht="17.15" hidden="false" customHeight="false" outlineLevel="0" collapsed="false">
      <c r="A56" s="11" t="s">
        <v>6339</v>
      </c>
      <c r="B56" s="11" t="s">
        <v>308</v>
      </c>
      <c r="C56" s="11" t="s">
        <v>189</v>
      </c>
      <c r="D56" s="6" t="n">
        <v>10479144</v>
      </c>
      <c r="E56" s="5" t="s">
        <v>6239</v>
      </c>
      <c r="F56" s="5" t="s">
        <v>6239</v>
      </c>
      <c r="G56" s="11" t="s">
        <v>143</v>
      </c>
      <c r="H56" s="11" t="s">
        <v>6340</v>
      </c>
    </row>
    <row r="57" customFormat="false" ht="17.15" hidden="false" customHeight="false" outlineLevel="0" collapsed="false">
      <c r="A57" s="11" t="s">
        <v>6341</v>
      </c>
      <c r="B57" s="11" t="s">
        <v>327</v>
      </c>
      <c r="C57" s="11" t="s">
        <v>188</v>
      </c>
      <c r="D57" s="6" t="n">
        <v>10293514</v>
      </c>
      <c r="E57" s="5" t="s">
        <v>6207</v>
      </c>
      <c r="F57" s="5" t="s">
        <v>6207</v>
      </c>
      <c r="G57" s="11" t="s">
        <v>134</v>
      </c>
      <c r="H57" s="11" t="s">
        <v>6342</v>
      </c>
    </row>
    <row r="58" customFormat="false" ht="17.15" hidden="false" customHeight="false" outlineLevel="0" collapsed="false">
      <c r="A58" s="11" t="s">
        <v>6343</v>
      </c>
      <c r="B58" s="11" t="s">
        <v>4635</v>
      </c>
      <c r="C58" s="11" t="s">
        <v>194</v>
      </c>
      <c r="D58" s="6" t="n">
        <v>10145343</v>
      </c>
      <c r="E58" s="5" t="s">
        <v>6239</v>
      </c>
      <c r="F58" s="5" t="s">
        <v>6239</v>
      </c>
      <c r="G58" s="11" t="s">
        <v>143</v>
      </c>
      <c r="H58" s="11" t="s">
        <v>6344</v>
      </c>
    </row>
    <row r="59" customFormat="false" ht="17.15" hidden="false" customHeight="false" outlineLevel="0" collapsed="false">
      <c r="A59" s="11" t="s">
        <v>6345</v>
      </c>
      <c r="B59" s="11" t="s">
        <v>6346</v>
      </c>
      <c r="C59" s="11" t="s">
        <v>192</v>
      </c>
      <c r="D59" s="6" t="n">
        <v>10100628</v>
      </c>
      <c r="E59" s="5" t="s">
        <v>6239</v>
      </c>
      <c r="F59" s="5" t="s">
        <v>6239</v>
      </c>
      <c r="G59" s="11" t="s">
        <v>143</v>
      </c>
      <c r="H59" s="11" t="s">
        <v>6347</v>
      </c>
    </row>
    <row r="60" customFormat="false" ht="17.15" hidden="false" customHeight="false" outlineLevel="0" collapsed="false">
      <c r="A60" s="11" t="s">
        <v>5975</v>
      </c>
      <c r="B60" s="11" t="s">
        <v>253</v>
      </c>
      <c r="C60" s="11" t="s">
        <v>167</v>
      </c>
      <c r="D60" s="6" t="n">
        <v>9952239</v>
      </c>
      <c r="E60" s="5" t="s">
        <v>6207</v>
      </c>
      <c r="F60" s="5" t="s">
        <v>6207</v>
      </c>
      <c r="G60" s="11" t="s">
        <v>134</v>
      </c>
      <c r="H60" s="11" t="s">
        <v>6348</v>
      </c>
    </row>
    <row r="61" customFormat="false" ht="17.15" hidden="false" customHeight="false" outlineLevel="0" collapsed="false">
      <c r="A61" s="11" t="s">
        <v>2648</v>
      </c>
      <c r="B61" s="11" t="s">
        <v>327</v>
      </c>
      <c r="C61" s="11" t="s">
        <v>155</v>
      </c>
      <c r="D61" s="6" t="n">
        <v>9716174</v>
      </c>
      <c r="E61" s="5" t="s">
        <v>6210</v>
      </c>
      <c r="F61" s="5" t="s">
        <v>6210</v>
      </c>
      <c r="G61" s="11" t="s">
        <v>137</v>
      </c>
      <c r="H61" s="11" t="s">
        <v>6349</v>
      </c>
    </row>
    <row r="62" customFormat="false" ht="17.15" hidden="false" customHeight="false" outlineLevel="0" collapsed="false">
      <c r="A62" s="11" t="s">
        <v>6350</v>
      </c>
      <c r="B62" s="11" t="s">
        <v>6351</v>
      </c>
      <c r="C62" s="11" t="s">
        <v>150</v>
      </c>
      <c r="D62" s="6" t="n">
        <v>9668580</v>
      </c>
      <c r="E62" s="5" t="s">
        <v>6207</v>
      </c>
      <c r="F62" s="5" t="s">
        <v>6207</v>
      </c>
      <c r="G62" s="11" t="s">
        <v>134</v>
      </c>
      <c r="H62" s="11" t="s">
        <v>6352</v>
      </c>
    </row>
    <row r="63" customFormat="false" ht="17.15" hidden="false" customHeight="false" outlineLevel="0" collapsed="false">
      <c r="A63" s="11" t="s">
        <v>6353</v>
      </c>
      <c r="B63" s="11" t="s">
        <v>6354</v>
      </c>
      <c r="C63" s="11" t="s">
        <v>162</v>
      </c>
      <c r="D63" s="6" t="n">
        <v>9656214</v>
      </c>
      <c r="E63" s="5" t="s">
        <v>6207</v>
      </c>
      <c r="F63" s="5" t="s">
        <v>6207</v>
      </c>
      <c r="G63" s="11" t="s">
        <v>134</v>
      </c>
      <c r="H63" s="11" t="s">
        <v>6355</v>
      </c>
    </row>
    <row r="64" customFormat="false" ht="17.15" hidden="false" customHeight="false" outlineLevel="0" collapsed="false">
      <c r="A64" s="11" t="s">
        <v>6356</v>
      </c>
      <c r="B64" s="11" t="s">
        <v>6301</v>
      </c>
      <c r="C64" s="11" t="s">
        <v>175</v>
      </c>
      <c r="D64" s="6" t="n">
        <v>9647215</v>
      </c>
      <c r="E64" s="5" t="s">
        <v>6207</v>
      </c>
      <c r="F64" s="5" t="s">
        <v>6207</v>
      </c>
      <c r="G64" s="11" t="s">
        <v>134</v>
      </c>
      <c r="H64" s="11" t="s">
        <v>6357</v>
      </c>
    </row>
    <row r="65" customFormat="false" ht="17.15" hidden="false" customHeight="false" outlineLevel="0" collapsed="false">
      <c r="A65" s="11" t="s">
        <v>6358</v>
      </c>
      <c r="B65" s="11" t="s">
        <v>2639</v>
      </c>
      <c r="C65" s="11" t="s">
        <v>155</v>
      </c>
      <c r="D65" s="6" t="n">
        <v>9631128</v>
      </c>
      <c r="E65" s="5" t="s">
        <v>6207</v>
      </c>
      <c r="F65" s="5" t="s">
        <v>6207</v>
      </c>
      <c r="G65" s="11" t="s">
        <v>134</v>
      </c>
      <c r="H65" s="11" t="s">
        <v>6359</v>
      </c>
    </row>
    <row r="66" customFormat="false" ht="17.15" hidden="false" customHeight="false" outlineLevel="0" collapsed="false">
      <c r="A66" s="11" t="s">
        <v>6360</v>
      </c>
      <c r="B66" s="11" t="s">
        <v>6301</v>
      </c>
      <c r="C66" s="11" t="s">
        <v>175</v>
      </c>
      <c r="D66" s="6" t="n">
        <v>9614958</v>
      </c>
      <c r="E66" s="5" t="s">
        <v>6207</v>
      </c>
      <c r="F66" s="5" t="s">
        <v>6207</v>
      </c>
      <c r="G66" s="11" t="s">
        <v>134</v>
      </c>
      <c r="H66" s="11" t="s">
        <v>6361</v>
      </c>
    </row>
    <row r="67" customFormat="false" ht="15" hidden="false" customHeight="false" outlineLevel="0" collapsed="false">
      <c r="A67" s="11" t="s">
        <v>6362</v>
      </c>
      <c r="B67" s="11" t="s">
        <v>6363</v>
      </c>
      <c r="C67" s="11" t="s">
        <v>174</v>
      </c>
      <c r="D67" s="6" t="n">
        <v>9397257</v>
      </c>
      <c r="E67" s="5" t="s">
        <v>141</v>
      </c>
      <c r="F67" s="5" t="s">
        <v>141</v>
      </c>
      <c r="G67" s="11" t="s">
        <v>140</v>
      </c>
      <c r="H67" s="11" t="s">
        <v>6364</v>
      </c>
    </row>
    <row r="68" customFormat="false" ht="17.15" hidden="false" customHeight="false" outlineLevel="0" collapsed="false">
      <c r="A68" s="11" t="s">
        <v>5283</v>
      </c>
      <c r="B68" s="11" t="s">
        <v>5331</v>
      </c>
      <c r="C68" s="11" t="s">
        <v>175</v>
      </c>
      <c r="D68" s="6" t="n">
        <v>9050055</v>
      </c>
      <c r="E68" s="5" t="s">
        <v>6207</v>
      </c>
      <c r="F68" s="5" t="s">
        <v>6207</v>
      </c>
      <c r="G68" s="11" t="s">
        <v>134</v>
      </c>
      <c r="H68" s="11" t="s">
        <v>6365</v>
      </c>
    </row>
    <row r="69" customFormat="false" ht="17.15" hidden="false" customHeight="false" outlineLevel="0" collapsed="false">
      <c r="A69" s="11" t="s">
        <v>6366</v>
      </c>
      <c r="B69" s="11" t="s">
        <v>6273</v>
      </c>
      <c r="C69" s="11" t="s">
        <v>154</v>
      </c>
      <c r="D69" s="6" t="n">
        <v>8692794</v>
      </c>
      <c r="E69" s="5" t="s">
        <v>6210</v>
      </c>
      <c r="F69" s="5" t="s">
        <v>6274</v>
      </c>
      <c r="G69" s="11" t="s">
        <v>6275</v>
      </c>
      <c r="H69" s="11" t="s">
        <v>6367</v>
      </c>
    </row>
    <row r="70" customFormat="false" ht="17.15" hidden="false" customHeight="false" outlineLevel="0" collapsed="false">
      <c r="A70" s="11" t="s">
        <v>6368</v>
      </c>
      <c r="B70" s="11" t="s">
        <v>6369</v>
      </c>
      <c r="C70" s="11" t="s">
        <v>175</v>
      </c>
      <c r="D70" s="6" t="n">
        <v>8590295</v>
      </c>
      <c r="E70" s="5" t="s">
        <v>6207</v>
      </c>
      <c r="F70" s="5" t="s">
        <v>6207</v>
      </c>
      <c r="G70" s="11" t="s">
        <v>134</v>
      </c>
      <c r="H70" s="11" t="s">
        <v>6370</v>
      </c>
    </row>
    <row r="71" customFormat="false" ht="17.15" hidden="false" customHeight="false" outlineLevel="0" collapsed="false">
      <c r="A71" s="11" t="s">
        <v>595</v>
      </c>
      <c r="B71" s="11" t="s">
        <v>308</v>
      </c>
      <c r="C71" s="11" t="s">
        <v>162</v>
      </c>
      <c r="D71" s="6" t="n">
        <v>8551615</v>
      </c>
      <c r="E71" s="5" t="s">
        <v>6207</v>
      </c>
      <c r="F71" s="5" t="s">
        <v>6207</v>
      </c>
      <c r="G71" s="11" t="s">
        <v>134</v>
      </c>
      <c r="H71" s="11" t="s">
        <v>6371</v>
      </c>
    </row>
    <row r="72" customFormat="false" ht="17.15" hidden="false" customHeight="false" outlineLevel="0" collapsed="false">
      <c r="A72" s="11" t="s">
        <v>6372</v>
      </c>
      <c r="B72" s="11" t="s">
        <v>4498</v>
      </c>
      <c r="C72" s="11" t="s">
        <v>161</v>
      </c>
      <c r="D72" s="6" t="n">
        <v>8493623</v>
      </c>
      <c r="E72" s="5" t="s">
        <v>6207</v>
      </c>
      <c r="F72" s="5" t="s">
        <v>6207</v>
      </c>
      <c r="G72" s="11" t="s">
        <v>134</v>
      </c>
      <c r="H72" s="11" t="s">
        <v>6373</v>
      </c>
    </row>
    <row r="73" customFormat="false" ht="17.15" hidden="false" customHeight="false" outlineLevel="0" collapsed="false">
      <c r="A73" s="11" t="s">
        <v>6374</v>
      </c>
      <c r="B73" s="11" t="s">
        <v>327</v>
      </c>
      <c r="C73" s="11" t="s">
        <v>155</v>
      </c>
      <c r="D73" s="6" t="n">
        <v>8445972</v>
      </c>
      <c r="E73" s="5" t="s">
        <v>6210</v>
      </c>
      <c r="F73" s="5" t="s">
        <v>6210</v>
      </c>
      <c r="G73" s="11" t="s">
        <v>137</v>
      </c>
      <c r="H73" s="11" t="s">
        <v>6375</v>
      </c>
    </row>
    <row r="74" customFormat="false" ht="17.15" hidden="false" customHeight="false" outlineLevel="0" collapsed="false">
      <c r="A74" s="11" t="s">
        <v>6376</v>
      </c>
      <c r="B74" s="11" t="s">
        <v>681</v>
      </c>
      <c r="C74" s="11" t="s">
        <v>168</v>
      </c>
      <c r="D74" s="6" t="n">
        <v>8369531</v>
      </c>
      <c r="E74" s="5" t="s">
        <v>6207</v>
      </c>
      <c r="F74" s="5" t="s">
        <v>6377</v>
      </c>
      <c r="G74" s="11" t="s">
        <v>6378</v>
      </c>
      <c r="H74" s="11" t="s">
        <v>6379</v>
      </c>
    </row>
    <row r="75" customFormat="false" ht="17.15" hidden="false" customHeight="false" outlineLevel="0" collapsed="false">
      <c r="A75" s="11" t="s">
        <v>788</v>
      </c>
      <c r="B75" s="11" t="s">
        <v>598</v>
      </c>
      <c r="C75" s="11" t="s">
        <v>152</v>
      </c>
      <c r="D75" s="6" t="n">
        <v>8348064</v>
      </c>
      <c r="E75" s="5" t="s">
        <v>6210</v>
      </c>
      <c r="F75" s="5" t="s">
        <v>6210</v>
      </c>
      <c r="G75" s="11" t="s">
        <v>137</v>
      </c>
      <c r="H75" s="11" t="s">
        <v>6380</v>
      </c>
    </row>
    <row r="76" customFormat="false" ht="17.15" hidden="false" customHeight="false" outlineLevel="0" collapsed="false">
      <c r="A76" s="11" t="s">
        <v>1885</v>
      </c>
      <c r="B76" s="11" t="s">
        <v>6381</v>
      </c>
      <c r="C76" s="5"/>
      <c r="D76" s="6" t="n">
        <v>8245042</v>
      </c>
      <c r="E76" s="5" t="s">
        <v>6207</v>
      </c>
      <c r="F76" s="5" t="s">
        <v>6207</v>
      </c>
      <c r="G76" s="11" t="s">
        <v>134</v>
      </c>
      <c r="H76" s="11" t="s">
        <v>6382</v>
      </c>
    </row>
    <row r="77" customFormat="false" ht="17.15" hidden="false" customHeight="false" outlineLevel="0" collapsed="false">
      <c r="A77" s="11" t="s">
        <v>6383</v>
      </c>
      <c r="B77" s="11" t="s">
        <v>6384</v>
      </c>
      <c r="C77" s="5"/>
      <c r="D77" s="6" t="n">
        <v>8220430</v>
      </c>
      <c r="E77" s="5" t="s">
        <v>6210</v>
      </c>
      <c r="F77" s="5" t="s">
        <v>6210</v>
      </c>
      <c r="G77" s="11" t="s">
        <v>137</v>
      </c>
      <c r="H77" s="11" t="s">
        <v>6385</v>
      </c>
    </row>
    <row r="78" customFormat="false" ht="17.15" hidden="false" customHeight="false" outlineLevel="0" collapsed="false">
      <c r="A78" s="11" t="s">
        <v>6386</v>
      </c>
      <c r="B78" s="11" t="s">
        <v>6387</v>
      </c>
      <c r="C78" s="11" t="s">
        <v>175</v>
      </c>
      <c r="D78" s="6" t="n">
        <v>8118796</v>
      </c>
      <c r="E78" s="5" t="s">
        <v>6207</v>
      </c>
      <c r="F78" s="5" t="s">
        <v>6207</v>
      </c>
      <c r="G78" s="11" t="s">
        <v>134</v>
      </c>
      <c r="H78" s="11" t="s">
        <v>6388</v>
      </c>
    </row>
    <row r="79" customFormat="false" ht="17.15" hidden="false" customHeight="false" outlineLevel="0" collapsed="false">
      <c r="A79" s="11" t="s">
        <v>6389</v>
      </c>
      <c r="B79" s="11" t="s">
        <v>6390</v>
      </c>
      <c r="C79" s="11" t="s">
        <v>155</v>
      </c>
      <c r="D79" s="6" t="n">
        <v>7921927</v>
      </c>
      <c r="E79" s="5" t="s">
        <v>6210</v>
      </c>
      <c r="F79" s="5" t="s">
        <v>6274</v>
      </c>
      <c r="G79" s="11" t="s">
        <v>6275</v>
      </c>
      <c r="H79" s="11" t="s">
        <v>6391</v>
      </c>
    </row>
    <row r="80" customFormat="false" ht="17.15" hidden="false" customHeight="false" outlineLevel="0" collapsed="false">
      <c r="A80" s="11" t="s">
        <v>6392</v>
      </c>
      <c r="B80" s="11" t="s">
        <v>6001</v>
      </c>
      <c r="C80" s="11" t="s">
        <v>175</v>
      </c>
      <c r="D80" s="6" t="n">
        <v>7920367</v>
      </c>
      <c r="E80" s="5" t="s">
        <v>6207</v>
      </c>
      <c r="F80" s="5" t="s">
        <v>6207</v>
      </c>
      <c r="G80" s="11" t="s">
        <v>134</v>
      </c>
      <c r="H80" s="11" t="s">
        <v>6393</v>
      </c>
    </row>
    <row r="81" customFormat="false" ht="17.15" hidden="false" customHeight="false" outlineLevel="0" collapsed="false">
      <c r="A81" s="11" t="s">
        <v>6394</v>
      </c>
      <c r="B81" s="11" t="s">
        <v>5331</v>
      </c>
      <c r="C81" s="11" t="s">
        <v>175</v>
      </c>
      <c r="D81" s="6" t="n">
        <v>7854054</v>
      </c>
      <c r="E81" s="5" t="s">
        <v>6207</v>
      </c>
      <c r="F81" s="5" t="s">
        <v>6207</v>
      </c>
      <c r="G81" s="11" t="s">
        <v>134</v>
      </c>
      <c r="H81" s="11" t="s">
        <v>6395</v>
      </c>
    </row>
    <row r="82" customFormat="false" ht="15" hidden="false" customHeight="false" outlineLevel="0" collapsed="false">
      <c r="A82" s="11" t="s">
        <v>5992</v>
      </c>
      <c r="B82" s="11" t="s">
        <v>308</v>
      </c>
      <c r="C82" s="11" t="s">
        <v>164</v>
      </c>
      <c r="D82" s="6" t="n">
        <v>7786587</v>
      </c>
      <c r="E82" s="5" t="s">
        <v>141</v>
      </c>
      <c r="F82" s="5" t="s">
        <v>141</v>
      </c>
      <c r="G82" s="11" t="s">
        <v>140</v>
      </c>
      <c r="H82" s="11" t="s">
        <v>6396</v>
      </c>
    </row>
    <row r="83" customFormat="false" ht="17.15" hidden="false" customHeight="false" outlineLevel="0" collapsed="false">
      <c r="A83" s="11" t="s">
        <v>6397</v>
      </c>
      <c r="B83" s="11" t="s">
        <v>1214</v>
      </c>
      <c r="C83" s="11" t="s">
        <v>192</v>
      </c>
      <c r="D83" s="6" t="n">
        <v>7776698</v>
      </c>
      <c r="E83" s="5" t="s">
        <v>6239</v>
      </c>
      <c r="F83" s="5" t="s">
        <v>6239</v>
      </c>
      <c r="G83" s="11" t="s">
        <v>143</v>
      </c>
      <c r="H83" s="11" t="s">
        <v>6398</v>
      </c>
    </row>
    <row r="84" customFormat="false" ht="17.15" hidden="false" customHeight="false" outlineLevel="0" collapsed="false">
      <c r="A84" s="11" t="s">
        <v>6399</v>
      </c>
      <c r="B84" s="11" t="s">
        <v>2557</v>
      </c>
      <c r="C84" s="11" t="s">
        <v>168</v>
      </c>
      <c r="D84" s="6" t="n">
        <v>7703994</v>
      </c>
      <c r="E84" s="5" t="s">
        <v>6207</v>
      </c>
      <c r="F84" s="5" t="s">
        <v>6207</v>
      </c>
      <c r="G84" s="11" t="s">
        <v>134</v>
      </c>
      <c r="H84" s="11" t="s">
        <v>6400</v>
      </c>
    </row>
    <row r="85" customFormat="false" ht="17.15" hidden="false" customHeight="false" outlineLevel="0" collapsed="false">
      <c r="A85" s="11" t="s">
        <v>6401</v>
      </c>
      <c r="B85" s="11" t="s">
        <v>5345</v>
      </c>
      <c r="C85" s="11" t="s">
        <v>162</v>
      </c>
      <c r="D85" s="6" t="n">
        <v>7700236</v>
      </c>
      <c r="E85" s="5" t="s">
        <v>6210</v>
      </c>
      <c r="F85" s="5" t="s">
        <v>6210</v>
      </c>
      <c r="G85" s="11" t="s">
        <v>137</v>
      </c>
      <c r="H85" s="11" t="s">
        <v>6402</v>
      </c>
    </row>
    <row r="86" customFormat="false" ht="17.15" hidden="false" customHeight="false" outlineLevel="0" collapsed="false">
      <c r="A86" s="11" t="s">
        <v>6403</v>
      </c>
      <c r="B86" s="11" t="s">
        <v>308</v>
      </c>
      <c r="C86" s="11" t="s">
        <v>156</v>
      </c>
      <c r="D86" s="6" t="n">
        <v>7433397</v>
      </c>
      <c r="E86" s="5" t="s">
        <v>6210</v>
      </c>
      <c r="F86" s="5" t="s">
        <v>6210</v>
      </c>
      <c r="G86" s="11" t="s">
        <v>137</v>
      </c>
      <c r="H86" s="11" t="s">
        <v>6404</v>
      </c>
    </row>
    <row r="87" customFormat="false" ht="15" hidden="false" customHeight="false" outlineLevel="0" collapsed="false">
      <c r="A87" s="11" t="s">
        <v>6405</v>
      </c>
      <c r="B87" s="11" t="s">
        <v>6406</v>
      </c>
      <c r="C87" s="11" t="s">
        <v>157</v>
      </c>
      <c r="D87" s="6" t="n">
        <v>7186299</v>
      </c>
      <c r="E87" s="5" t="s">
        <v>6227</v>
      </c>
      <c r="F87" s="5" t="s">
        <v>6227</v>
      </c>
      <c r="G87" s="11" t="s">
        <v>134</v>
      </c>
      <c r="H87" s="11" t="s">
        <v>6407</v>
      </c>
    </row>
    <row r="88" customFormat="false" ht="17.15" hidden="false" customHeight="false" outlineLevel="0" collapsed="false">
      <c r="A88" s="11" t="s">
        <v>6408</v>
      </c>
      <c r="B88" s="11" t="s">
        <v>6409</v>
      </c>
      <c r="C88" s="11" t="s">
        <v>155</v>
      </c>
      <c r="D88" s="6" t="n">
        <v>7159322</v>
      </c>
      <c r="E88" s="5" t="s">
        <v>6207</v>
      </c>
      <c r="F88" s="5" t="s">
        <v>6207</v>
      </c>
      <c r="G88" s="11" t="s">
        <v>134</v>
      </c>
      <c r="H88" s="11" t="s">
        <v>6410</v>
      </c>
    </row>
    <row r="89" customFormat="false" ht="15" hidden="false" customHeight="false" outlineLevel="0" collapsed="false">
      <c r="A89" s="11" t="s">
        <v>6411</v>
      </c>
      <c r="B89" s="11" t="s">
        <v>6412</v>
      </c>
      <c r="C89" s="11" t="s">
        <v>156</v>
      </c>
      <c r="D89" s="6" t="n">
        <v>7159026</v>
      </c>
      <c r="E89" s="5" t="s">
        <v>6413</v>
      </c>
      <c r="F89" s="5" t="s">
        <v>6413</v>
      </c>
      <c r="G89" s="11" t="s">
        <v>128</v>
      </c>
      <c r="H89" s="11" t="s">
        <v>6414</v>
      </c>
    </row>
    <row r="90" customFormat="false" ht="17.15" hidden="false" customHeight="false" outlineLevel="0" collapsed="false">
      <c r="A90" s="11" t="s">
        <v>6415</v>
      </c>
      <c r="B90" s="11" t="s">
        <v>308</v>
      </c>
      <c r="C90" s="11" t="s">
        <v>162</v>
      </c>
      <c r="D90" s="6" t="n">
        <v>7138704</v>
      </c>
      <c r="E90" s="5" t="s">
        <v>6207</v>
      </c>
      <c r="F90" s="5" t="s">
        <v>6207</v>
      </c>
      <c r="G90" s="11" t="s">
        <v>134</v>
      </c>
      <c r="H90" s="11" t="s">
        <v>6416</v>
      </c>
    </row>
    <row r="91" customFormat="false" ht="17.15" hidden="false" customHeight="false" outlineLevel="0" collapsed="false">
      <c r="A91" s="11" t="s">
        <v>3229</v>
      </c>
      <c r="B91" s="11" t="s">
        <v>327</v>
      </c>
      <c r="C91" s="11" t="s">
        <v>155</v>
      </c>
      <c r="D91" s="6" t="n">
        <v>7118128</v>
      </c>
      <c r="E91" s="5" t="s">
        <v>6210</v>
      </c>
      <c r="F91" s="5" t="s">
        <v>6210</v>
      </c>
      <c r="G91" s="11" t="s">
        <v>137</v>
      </c>
      <c r="H91" s="11" t="s">
        <v>6417</v>
      </c>
    </row>
    <row r="92" customFormat="false" ht="17.15" hidden="false" customHeight="false" outlineLevel="0" collapsed="false">
      <c r="A92" s="11" t="s">
        <v>3740</v>
      </c>
      <c r="B92" s="11" t="s">
        <v>6258</v>
      </c>
      <c r="C92" s="11" t="s">
        <v>149</v>
      </c>
      <c r="D92" s="6" t="n">
        <v>7118052</v>
      </c>
      <c r="E92" s="5" t="s">
        <v>6207</v>
      </c>
      <c r="F92" s="5" t="s">
        <v>6207</v>
      </c>
      <c r="G92" s="11" t="s">
        <v>134</v>
      </c>
      <c r="H92" s="11" t="s">
        <v>6418</v>
      </c>
    </row>
    <row r="93" customFormat="false" ht="17.15" hidden="false" customHeight="false" outlineLevel="0" collapsed="false">
      <c r="A93" s="11" t="s">
        <v>6419</v>
      </c>
      <c r="B93" s="11" t="s">
        <v>323</v>
      </c>
      <c r="C93" s="5"/>
      <c r="D93" s="6" t="n">
        <v>7084971</v>
      </c>
      <c r="E93" s="5" t="s">
        <v>6207</v>
      </c>
      <c r="F93" s="5" t="s">
        <v>6207</v>
      </c>
      <c r="G93" s="11" t="s">
        <v>134</v>
      </c>
      <c r="H93" s="11" t="s">
        <v>6420</v>
      </c>
    </row>
    <row r="94" customFormat="false" ht="17.15" hidden="false" customHeight="false" outlineLevel="0" collapsed="false">
      <c r="A94" s="11" t="s">
        <v>6421</v>
      </c>
      <c r="B94" s="11" t="s">
        <v>327</v>
      </c>
      <c r="C94" s="11" t="s">
        <v>157</v>
      </c>
      <c r="D94" s="6" t="n">
        <v>7044433</v>
      </c>
      <c r="E94" s="5" t="s">
        <v>6210</v>
      </c>
      <c r="F94" s="5" t="s">
        <v>6210</v>
      </c>
      <c r="G94" s="11" t="s">
        <v>137</v>
      </c>
      <c r="H94" s="11" t="s">
        <v>6422</v>
      </c>
    </row>
    <row r="95" customFormat="false" ht="17.15" hidden="false" customHeight="false" outlineLevel="0" collapsed="false">
      <c r="A95" s="11" t="s">
        <v>6423</v>
      </c>
      <c r="B95" s="11" t="s">
        <v>6301</v>
      </c>
      <c r="C95" s="11" t="s">
        <v>175</v>
      </c>
      <c r="D95" s="6" t="n">
        <v>6993774</v>
      </c>
      <c r="E95" s="5" t="s">
        <v>6207</v>
      </c>
      <c r="F95" s="5" t="s">
        <v>6207</v>
      </c>
      <c r="G95" s="11" t="s">
        <v>134</v>
      </c>
      <c r="H95" s="11" t="s">
        <v>6424</v>
      </c>
    </row>
    <row r="96" customFormat="false" ht="17.15" hidden="false" customHeight="false" outlineLevel="0" collapsed="false">
      <c r="A96" s="11" t="s">
        <v>6425</v>
      </c>
      <c r="B96" s="11" t="s">
        <v>6390</v>
      </c>
      <c r="C96" s="11" t="s">
        <v>172</v>
      </c>
      <c r="D96" s="6" t="n">
        <v>6813568</v>
      </c>
      <c r="E96" s="5" t="s">
        <v>6207</v>
      </c>
      <c r="F96" s="5" t="s">
        <v>6207</v>
      </c>
      <c r="G96" s="11" t="s">
        <v>134</v>
      </c>
      <c r="H96" s="11" t="s">
        <v>6426</v>
      </c>
    </row>
    <row r="97" customFormat="false" ht="17.15" hidden="false" customHeight="false" outlineLevel="0" collapsed="false">
      <c r="A97" s="11" t="s">
        <v>6427</v>
      </c>
      <c r="B97" s="11" t="s">
        <v>6273</v>
      </c>
      <c r="C97" s="11" t="s">
        <v>153</v>
      </c>
      <c r="D97" s="6" t="n">
        <v>6654505</v>
      </c>
      <c r="E97" s="5" t="s">
        <v>6210</v>
      </c>
      <c r="F97" s="5" t="s">
        <v>6210</v>
      </c>
      <c r="G97" s="11" t="s">
        <v>137</v>
      </c>
      <c r="H97" s="11" t="s">
        <v>6428</v>
      </c>
    </row>
    <row r="98" customFormat="false" ht="17.15" hidden="false" customHeight="false" outlineLevel="0" collapsed="false">
      <c r="A98" s="11" t="s">
        <v>6429</v>
      </c>
      <c r="B98" s="11" t="s">
        <v>6430</v>
      </c>
      <c r="C98" s="11" t="s">
        <v>175</v>
      </c>
      <c r="D98" s="6" t="n">
        <v>6495416</v>
      </c>
      <c r="E98" s="5" t="s">
        <v>6207</v>
      </c>
      <c r="F98" s="5" t="s">
        <v>6207</v>
      </c>
      <c r="G98" s="11" t="s">
        <v>134</v>
      </c>
      <c r="H98" s="11" t="s">
        <v>6431</v>
      </c>
    </row>
    <row r="99" customFormat="false" ht="17.15" hidden="false" customHeight="false" outlineLevel="0" collapsed="false">
      <c r="A99" s="11" t="s">
        <v>6432</v>
      </c>
      <c r="B99" s="11" t="s">
        <v>327</v>
      </c>
      <c r="C99" s="11" t="s">
        <v>155</v>
      </c>
      <c r="D99" s="6" t="n">
        <v>6440820</v>
      </c>
      <c r="E99" s="5" t="s">
        <v>6210</v>
      </c>
      <c r="F99" s="5" t="s">
        <v>6210</v>
      </c>
      <c r="G99" s="11" t="s">
        <v>137</v>
      </c>
      <c r="H99" s="11" t="s">
        <v>6433</v>
      </c>
    </row>
    <row r="100" customFormat="false" ht="15" hidden="false" customHeight="false" outlineLevel="0" collapsed="false">
      <c r="A100" s="11" t="s">
        <v>6434</v>
      </c>
      <c r="B100" s="11" t="s">
        <v>2693</v>
      </c>
      <c r="C100" s="11" t="s">
        <v>172</v>
      </c>
      <c r="D100" s="6" t="n">
        <v>6436958</v>
      </c>
      <c r="E100" s="5" t="s">
        <v>141</v>
      </c>
      <c r="F100" s="5" t="s">
        <v>141</v>
      </c>
      <c r="G100" s="11" t="s">
        <v>140</v>
      </c>
      <c r="H100" s="11" t="s">
        <v>6435</v>
      </c>
    </row>
    <row r="101" customFormat="false" ht="17.15" hidden="false" customHeight="false" outlineLevel="0" collapsed="false">
      <c r="A101" s="11" t="s">
        <v>6436</v>
      </c>
      <c r="B101" s="11" t="s">
        <v>6322</v>
      </c>
      <c r="C101" s="5"/>
      <c r="D101" s="6" t="n">
        <v>6422471</v>
      </c>
      <c r="E101" s="5" t="s">
        <v>6207</v>
      </c>
      <c r="F101" s="5" t="s">
        <v>6207</v>
      </c>
      <c r="G101" s="11" t="s">
        <v>134</v>
      </c>
      <c r="H101" s="11" t="s">
        <v>6437</v>
      </c>
    </row>
    <row r="102" customFormat="false" ht="17.15" hidden="false" customHeight="false" outlineLevel="0" collapsed="false">
      <c r="A102" s="11" t="s">
        <v>6438</v>
      </c>
      <c r="B102" s="11" t="s">
        <v>4757</v>
      </c>
      <c r="C102" s="11" t="s">
        <v>194</v>
      </c>
      <c r="D102" s="6" t="n">
        <v>6367771</v>
      </c>
      <c r="E102" s="5" t="s">
        <v>6239</v>
      </c>
      <c r="F102" s="5" t="s">
        <v>6239</v>
      </c>
      <c r="G102" s="11" t="s">
        <v>143</v>
      </c>
      <c r="H102" s="11" t="s">
        <v>6439</v>
      </c>
    </row>
    <row r="103" customFormat="false" ht="15" hidden="false" customHeight="false" outlineLevel="0" collapsed="false">
      <c r="A103" s="11" t="s">
        <v>6440</v>
      </c>
      <c r="B103" s="11" t="s">
        <v>6441</v>
      </c>
      <c r="C103" s="11" t="s">
        <v>155</v>
      </c>
      <c r="D103" s="6" t="n">
        <v>6318713</v>
      </c>
      <c r="E103" s="5" t="s">
        <v>141</v>
      </c>
      <c r="F103" s="5" t="s">
        <v>141</v>
      </c>
      <c r="G103" s="11" t="s">
        <v>140</v>
      </c>
      <c r="H103" s="11" t="s">
        <v>6442</v>
      </c>
    </row>
    <row r="104" customFormat="false" ht="17.15" hidden="false" customHeight="false" outlineLevel="0" collapsed="false">
      <c r="A104" s="11" t="s">
        <v>6443</v>
      </c>
      <c r="B104" s="11" t="s">
        <v>5331</v>
      </c>
      <c r="C104" s="11" t="s">
        <v>175</v>
      </c>
      <c r="D104" s="6" t="n">
        <v>6188257</v>
      </c>
      <c r="E104" s="5" t="s">
        <v>6207</v>
      </c>
      <c r="F104" s="5" t="s">
        <v>6207</v>
      </c>
      <c r="G104" s="11" t="s">
        <v>134</v>
      </c>
      <c r="H104" s="11" t="s">
        <v>6444</v>
      </c>
    </row>
    <row r="105" customFormat="false" ht="17.15" hidden="false" customHeight="false" outlineLevel="0" collapsed="false">
      <c r="A105" s="11" t="s">
        <v>6445</v>
      </c>
      <c r="B105" s="11" t="s">
        <v>6099</v>
      </c>
      <c r="C105" s="11" t="s">
        <v>175</v>
      </c>
      <c r="D105" s="6" t="n">
        <v>6186592</v>
      </c>
      <c r="E105" s="5" t="s">
        <v>6207</v>
      </c>
      <c r="F105" s="5" t="s">
        <v>6207</v>
      </c>
      <c r="G105" s="11" t="s">
        <v>134</v>
      </c>
      <c r="H105" s="11" t="s">
        <v>6446</v>
      </c>
    </row>
    <row r="106" customFormat="false" ht="17.15" hidden="false" customHeight="false" outlineLevel="0" collapsed="false">
      <c r="A106" s="11" t="s">
        <v>6447</v>
      </c>
      <c r="B106" s="11" t="s">
        <v>6448</v>
      </c>
      <c r="C106" s="11" t="s">
        <v>192</v>
      </c>
      <c r="D106" s="6" t="n">
        <v>6148285</v>
      </c>
      <c r="E106" s="5" t="s">
        <v>6239</v>
      </c>
      <c r="F106" s="5" t="s">
        <v>6239</v>
      </c>
      <c r="G106" s="11" t="s">
        <v>143</v>
      </c>
      <c r="H106" s="11" t="s">
        <v>6449</v>
      </c>
    </row>
    <row r="107" customFormat="false" ht="17.15" hidden="false" customHeight="false" outlineLevel="0" collapsed="false">
      <c r="A107" s="11" t="s">
        <v>6450</v>
      </c>
      <c r="B107" s="11" t="s">
        <v>6451</v>
      </c>
      <c r="C107" s="5"/>
      <c r="D107" s="6" t="n">
        <v>6086337</v>
      </c>
      <c r="E107" s="5" t="s">
        <v>6207</v>
      </c>
      <c r="F107" s="5" t="s">
        <v>6207</v>
      </c>
      <c r="G107" s="11" t="s">
        <v>134</v>
      </c>
      <c r="H107" s="11" t="s">
        <v>6452</v>
      </c>
    </row>
    <row r="108" customFormat="false" ht="17.15" hidden="false" customHeight="false" outlineLevel="0" collapsed="false">
      <c r="A108" s="11" t="s">
        <v>6453</v>
      </c>
      <c r="B108" s="11" t="s">
        <v>6454</v>
      </c>
      <c r="C108" s="11" t="s">
        <v>175</v>
      </c>
      <c r="D108" s="6" t="n">
        <v>6079713</v>
      </c>
      <c r="E108" s="5" t="s">
        <v>6207</v>
      </c>
      <c r="F108" s="5" t="s">
        <v>6377</v>
      </c>
      <c r="G108" s="11" t="s">
        <v>6378</v>
      </c>
      <c r="H108" s="11" t="s">
        <v>6455</v>
      </c>
    </row>
    <row r="109" customFormat="false" ht="17.15" hidden="false" customHeight="false" outlineLevel="0" collapsed="false">
      <c r="A109" s="11" t="s">
        <v>6456</v>
      </c>
      <c r="B109" s="11" t="s">
        <v>6457</v>
      </c>
      <c r="C109" s="5"/>
      <c r="D109" s="6" t="n">
        <v>6079257</v>
      </c>
      <c r="E109" s="5" t="s">
        <v>6264</v>
      </c>
      <c r="F109" s="5" t="s">
        <v>6264</v>
      </c>
      <c r="G109" s="11" t="s">
        <v>131</v>
      </c>
      <c r="H109" s="11" t="s">
        <v>6458</v>
      </c>
    </row>
    <row r="110" customFormat="false" ht="17.15" hidden="false" customHeight="false" outlineLevel="0" collapsed="false">
      <c r="A110" s="11" t="s">
        <v>6459</v>
      </c>
      <c r="B110" s="11" t="s">
        <v>327</v>
      </c>
      <c r="C110" s="11" t="s">
        <v>155</v>
      </c>
      <c r="D110" s="6" t="n">
        <v>5998195</v>
      </c>
      <c r="E110" s="5" t="s">
        <v>6210</v>
      </c>
      <c r="F110" s="5" t="s">
        <v>6210</v>
      </c>
      <c r="G110" s="11" t="s">
        <v>137</v>
      </c>
      <c r="H110" s="11" t="s">
        <v>6460</v>
      </c>
    </row>
    <row r="111" customFormat="false" ht="17.15" hidden="false" customHeight="false" outlineLevel="0" collapsed="false">
      <c r="A111" s="11" t="s">
        <v>6461</v>
      </c>
      <c r="B111" s="11" t="s">
        <v>2067</v>
      </c>
      <c r="C111" s="11" t="s">
        <v>192</v>
      </c>
      <c r="D111" s="6" t="n">
        <v>5712951</v>
      </c>
      <c r="E111" s="5" t="s">
        <v>6239</v>
      </c>
      <c r="F111" s="5" t="s">
        <v>6239</v>
      </c>
      <c r="G111" s="11" t="s">
        <v>143</v>
      </c>
      <c r="H111" s="11" t="s">
        <v>6462</v>
      </c>
    </row>
    <row r="112" customFormat="false" ht="17.15" hidden="false" customHeight="false" outlineLevel="0" collapsed="false">
      <c r="A112" s="11" t="s">
        <v>6463</v>
      </c>
      <c r="B112" s="11" t="s">
        <v>6464</v>
      </c>
      <c r="C112" s="11" t="s">
        <v>192</v>
      </c>
      <c r="D112" s="6" t="n">
        <v>5649883</v>
      </c>
      <c r="E112" s="5" t="s">
        <v>6239</v>
      </c>
      <c r="F112" s="5" t="s">
        <v>6239</v>
      </c>
      <c r="G112" s="11" t="s">
        <v>143</v>
      </c>
      <c r="H112" s="11" t="s">
        <v>6465</v>
      </c>
    </row>
    <row r="113" customFormat="false" ht="17.15" hidden="false" customHeight="false" outlineLevel="0" collapsed="false">
      <c r="A113" s="11" t="s">
        <v>6466</v>
      </c>
      <c r="B113" s="11" t="s">
        <v>368</v>
      </c>
      <c r="C113" s="5"/>
      <c r="D113" s="6" t="n">
        <v>5563477</v>
      </c>
      <c r="E113" s="5" t="s">
        <v>6207</v>
      </c>
      <c r="F113" s="5" t="s">
        <v>6207</v>
      </c>
      <c r="G113" s="11" t="s">
        <v>134</v>
      </c>
      <c r="H113" s="11" t="s">
        <v>6467</v>
      </c>
    </row>
    <row r="114" customFormat="false" ht="15" hidden="false" customHeight="false" outlineLevel="0" collapsed="false">
      <c r="A114" s="11" t="s">
        <v>6468</v>
      </c>
      <c r="B114" s="11" t="s">
        <v>834</v>
      </c>
      <c r="C114" s="11" t="s">
        <v>152</v>
      </c>
      <c r="D114" s="6" t="n">
        <v>5499437</v>
      </c>
      <c r="E114" s="5" t="s">
        <v>6227</v>
      </c>
      <c r="F114" s="5" t="s">
        <v>6227</v>
      </c>
      <c r="G114" s="11" t="s">
        <v>134</v>
      </c>
      <c r="H114" s="11" t="s">
        <v>6469</v>
      </c>
    </row>
    <row r="115" customFormat="false" ht="17.15" hidden="false" customHeight="false" outlineLevel="0" collapsed="false">
      <c r="A115" s="11" t="s">
        <v>6470</v>
      </c>
      <c r="B115" s="11" t="s">
        <v>6471</v>
      </c>
      <c r="C115" s="11" t="s">
        <v>149</v>
      </c>
      <c r="D115" s="6" t="n">
        <v>5384207</v>
      </c>
      <c r="E115" s="5" t="s">
        <v>6207</v>
      </c>
      <c r="F115" s="5" t="s">
        <v>6207</v>
      </c>
      <c r="G115" s="11" t="s">
        <v>134</v>
      </c>
      <c r="H115" s="11" t="s">
        <v>6472</v>
      </c>
    </row>
    <row r="116" customFormat="false" ht="17.15" hidden="false" customHeight="false" outlineLevel="0" collapsed="false">
      <c r="A116" s="11" t="s">
        <v>5508</v>
      </c>
      <c r="B116" s="11" t="s">
        <v>6473</v>
      </c>
      <c r="C116" s="11" t="s">
        <v>183</v>
      </c>
      <c r="D116" s="6" t="n">
        <v>5229484</v>
      </c>
      <c r="E116" s="5" t="s">
        <v>6210</v>
      </c>
      <c r="F116" s="5" t="s">
        <v>6210</v>
      </c>
      <c r="G116" s="11" t="s">
        <v>137</v>
      </c>
      <c r="H116" s="11" t="s">
        <v>6474</v>
      </c>
    </row>
    <row r="117" customFormat="false" ht="17.15" hidden="false" customHeight="false" outlineLevel="0" collapsed="false">
      <c r="A117" s="11" t="s">
        <v>6475</v>
      </c>
      <c r="B117" s="11" t="s">
        <v>1325</v>
      </c>
      <c r="C117" s="11" t="s">
        <v>197</v>
      </c>
      <c r="D117" s="6" t="n">
        <v>5198716</v>
      </c>
      <c r="E117" s="5" t="s">
        <v>6239</v>
      </c>
      <c r="F117" s="5" t="s">
        <v>6239</v>
      </c>
      <c r="G117" s="11" t="s">
        <v>143</v>
      </c>
      <c r="H117" s="11" t="s">
        <v>6476</v>
      </c>
    </row>
    <row r="118" customFormat="false" ht="17.15" hidden="false" customHeight="false" outlineLevel="0" collapsed="false">
      <c r="A118" s="11" t="s">
        <v>6477</v>
      </c>
      <c r="B118" s="11" t="s">
        <v>308</v>
      </c>
      <c r="C118" s="11" t="s">
        <v>174</v>
      </c>
      <c r="D118" s="6" t="n">
        <v>5181592</v>
      </c>
      <c r="E118" s="5" t="s">
        <v>6207</v>
      </c>
      <c r="F118" s="5" t="s">
        <v>6207</v>
      </c>
      <c r="G118" s="11" t="s">
        <v>134</v>
      </c>
      <c r="H118" s="11" t="s">
        <v>6478</v>
      </c>
    </row>
    <row r="119" customFormat="false" ht="17.15" hidden="false" customHeight="false" outlineLevel="0" collapsed="false">
      <c r="A119" s="11" t="s">
        <v>6479</v>
      </c>
      <c r="B119" s="11" t="s">
        <v>6301</v>
      </c>
      <c r="C119" s="11" t="s">
        <v>175</v>
      </c>
      <c r="D119" s="6" t="n">
        <v>5149530</v>
      </c>
      <c r="E119" s="5" t="s">
        <v>6207</v>
      </c>
      <c r="F119" s="5" t="s">
        <v>6207</v>
      </c>
      <c r="G119" s="11" t="s">
        <v>134</v>
      </c>
      <c r="H119" s="11" t="s">
        <v>6480</v>
      </c>
    </row>
    <row r="120" customFormat="false" ht="17.15" hidden="false" customHeight="false" outlineLevel="0" collapsed="false">
      <c r="A120" s="11" t="s">
        <v>474</v>
      </c>
      <c r="B120" s="11" t="s">
        <v>308</v>
      </c>
      <c r="C120" s="11" t="s">
        <v>162</v>
      </c>
      <c r="D120" s="6" t="n">
        <v>5120883</v>
      </c>
      <c r="E120" s="5" t="s">
        <v>6207</v>
      </c>
      <c r="F120" s="5" t="s">
        <v>6207</v>
      </c>
      <c r="G120" s="11" t="s">
        <v>134</v>
      </c>
      <c r="H120" s="11" t="s">
        <v>6481</v>
      </c>
    </row>
    <row r="121" customFormat="false" ht="17.15" hidden="false" customHeight="false" outlineLevel="0" collapsed="false">
      <c r="A121" s="11" t="s">
        <v>6482</v>
      </c>
      <c r="B121" s="11" t="s">
        <v>6409</v>
      </c>
      <c r="C121" s="11" t="s">
        <v>160</v>
      </c>
      <c r="D121" s="6" t="n">
        <v>5063078</v>
      </c>
      <c r="E121" s="5" t="s">
        <v>6207</v>
      </c>
      <c r="F121" s="5" t="s">
        <v>6207</v>
      </c>
      <c r="G121" s="11" t="s">
        <v>134</v>
      </c>
      <c r="H121" s="11" t="s">
        <v>6483</v>
      </c>
    </row>
    <row r="122" customFormat="false" ht="17.15" hidden="false" customHeight="false" outlineLevel="0" collapsed="false">
      <c r="A122" s="11" t="s">
        <v>6484</v>
      </c>
      <c r="B122" s="11" t="s">
        <v>4635</v>
      </c>
      <c r="C122" s="11" t="s">
        <v>194</v>
      </c>
      <c r="D122" s="6" t="n">
        <v>5029845</v>
      </c>
      <c r="E122" s="5" t="s">
        <v>6239</v>
      </c>
      <c r="F122" s="5" t="s">
        <v>6239</v>
      </c>
      <c r="G122" s="11" t="s">
        <v>143</v>
      </c>
      <c r="H122" s="11" t="s">
        <v>6485</v>
      </c>
    </row>
    <row r="123" customFormat="false" ht="17.15" hidden="false" customHeight="false" outlineLevel="0" collapsed="false">
      <c r="A123" s="11" t="s">
        <v>6486</v>
      </c>
      <c r="B123" s="11" t="s">
        <v>6487</v>
      </c>
      <c r="C123" s="11" t="s">
        <v>153</v>
      </c>
      <c r="D123" s="6" t="n">
        <v>4975550</v>
      </c>
      <c r="E123" s="5" t="s">
        <v>6207</v>
      </c>
      <c r="F123" s="5" t="s">
        <v>6207</v>
      </c>
      <c r="G123" s="11" t="s">
        <v>134</v>
      </c>
      <c r="H123" s="11" t="s">
        <v>6488</v>
      </c>
    </row>
    <row r="124" customFormat="false" ht="17.15" hidden="false" customHeight="false" outlineLevel="0" collapsed="false">
      <c r="A124" s="11" t="s">
        <v>6489</v>
      </c>
      <c r="B124" s="11" t="s">
        <v>323</v>
      </c>
      <c r="C124" s="11" t="s">
        <v>153</v>
      </c>
      <c r="D124" s="6" t="n">
        <v>4974960</v>
      </c>
      <c r="E124" s="5" t="s">
        <v>6207</v>
      </c>
      <c r="F124" s="5" t="s">
        <v>6207</v>
      </c>
      <c r="G124" s="11" t="s">
        <v>134</v>
      </c>
      <c r="H124" s="11" t="s">
        <v>6490</v>
      </c>
    </row>
    <row r="125" customFormat="false" ht="17.15" hidden="false" customHeight="false" outlineLevel="0" collapsed="false">
      <c r="A125" s="11" t="s">
        <v>6491</v>
      </c>
      <c r="B125" s="11" t="s">
        <v>368</v>
      </c>
      <c r="C125" s="5"/>
      <c r="D125" s="6" t="n">
        <v>4972811</v>
      </c>
      <c r="E125" s="5" t="s">
        <v>6207</v>
      </c>
      <c r="F125" s="5" t="s">
        <v>6207</v>
      </c>
      <c r="G125" s="11" t="s">
        <v>134</v>
      </c>
      <c r="H125" s="11" t="s">
        <v>6492</v>
      </c>
    </row>
    <row r="126" customFormat="false" ht="17.15" hidden="false" customHeight="false" outlineLevel="0" collapsed="false">
      <c r="A126" s="11" t="s">
        <v>6493</v>
      </c>
      <c r="B126" s="11" t="s">
        <v>6494</v>
      </c>
      <c r="C126" s="11" t="s">
        <v>197</v>
      </c>
      <c r="D126" s="6" t="n">
        <v>4968877</v>
      </c>
      <c r="E126" s="5" t="s">
        <v>141</v>
      </c>
      <c r="F126" s="5" t="s">
        <v>6495</v>
      </c>
      <c r="G126" s="11" t="s">
        <v>6496</v>
      </c>
      <c r="H126" s="11" t="s">
        <v>6497</v>
      </c>
    </row>
    <row r="127" customFormat="false" ht="17.15" hidden="false" customHeight="false" outlineLevel="0" collapsed="false">
      <c r="A127" s="11" t="s">
        <v>5497</v>
      </c>
      <c r="B127" s="11" t="s">
        <v>368</v>
      </c>
      <c r="C127" s="11" t="s">
        <v>162</v>
      </c>
      <c r="D127" s="6" t="n">
        <v>4928075</v>
      </c>
      <c r="E127" s="5" t="s">
        <v>6207</v>
      </c>
      <c r="F127" s="5" t="s">
        <v>6207</v>
      </c>
      <c r="G127" s="11" t="s">
        <v>134</v>
      </c>
      <c r="H127" s="11" t="s">
        <v>6498</v>
      </c>
    </row>
    <row r="128" customFormat="false" ht="17.15" hidden="false" customHeight="false" outlineLevel="0" collapsed="false">
      <c r="A128" s="11" t="s">
        <v>6499</v>
      </c>
      <c r="B128" s="11" t="s">
        <v>6500</v>
      </c>
      <c r="C128" s="11" t="s">
        <v>175</v>
      </c>
      <c r="D128" s="6" t="n">
        <v>4882474</v>
      </c>
      <c r="E128" s="5" t="s">
        <v>6207</v>
      </c>
      <c r="F128" s="5" t="s">
        <v>6207</v>
      </c>
      <c r="G128" s="11" t="s">
        <v>134</v>
      </c>
      <c r="H128" s="11" t="s">
        <v>6501</v>
      </c>
    </row>
    <row r="129" customFormat="false" ht="17.15" hidden="false" customHeight="false" outlineLevel="0" collapsed="false">
      <c r="A129" s="11" t="s">
        <v>6502</v>
      </c>
      <c r="B129" s="11" t="s">
        <v>6503</v>
      </c>
      <c r="C129" s="11" t="s">
        <v>192</v>
      </c>
      <c r="D129" s="6" t="n">
        <v>4846631</v>
      </c>
      <c r="E129" s="5" t="s">
        <v>6239</v>
      </c>
      <c r="F129" s="5" t="s">
        <v>6239</v>
      </c>
      <c r="G129" s="11" t="s">
        <v>143</v>
      </c>
      <c r="H129" s="11" t="s">
        <v>6504</v>
      </c>
    </row>
    <row r="130" customFormat="false" ht="17.15" hidden="false" customHeight="false" outlineLevel="0" collapsed="false">
      <c r="A130" s="11" t="s">
        <v>6505</v>
      </c>
      <c r="B130" s="11" t="s">
        <v>6506</v>
      </c>
      <c r="C130" s="11" t="s">
        <v>155</v>
      </c>
      <c r="D130" s="6" t="n">
        <v>4823281</v>
      </c>
      <c r="E130" s="5" t="s">
        <v>6264</v>
      </c>
      <c r="F130" s="5" t="s">
        <v>6264</v>
      </c>
      <c r="G130" s="11" t="s">
        <v>131</v>
      </c>
      <c r="H130" s="11" t="s">
        <v>6507</v>
      </c>
    </row>
    <row r="131" customFormat="false" ht="17.15" hidden="false" customHeight="false" outlineLevel="0" collapsed="false">
      <c r="A131" s="11" t="s">
        <v>6508</v>
      </c>
      <c r="B131" s="11" t="s">
        <v>308</v>
      </c>
      <c r="C131" s="11" t="s">
        <v>176</v>
      </c>
      <c r="D131" s="6" t="n">
        <v>4822770</v>
      </c>
      <c r="E131" s="5" t="s">
        <v>6207</v>
      </c>
      <c r="F131" s="5" t="s">
        <v>6207</v>
      </c>
      <c r="G131" s="11" t="s">
        <v>134</v>
      </c>
      <c r="H131" s="11" t="s">
        <v>6509</v>
      </c>
    </row>
    <row r="132" customFormat="false" ht="17.15" hidden="false" customHeight="false" outlineLevel="0" collapsed="false">
      <c r="A132" s="11" t="s">
        <v>6510</v>
      </c>
      <c r="B132" s="11" t="s">
        <v>327</v>
      </c>
      <c r="C132" s="11" t="s">
        <v>188</v>
      </c>
      <c r="D132" s="6" t="n">
        <v>4801780</v>
      </c>
      <c r="E132" s="5" t="s">
        <v>6207</v>
      </c>
      <c r="F132" s="5" t="s">
        <v>6207</v>
      </c>
      <c r="G132" s="11" t="s">
        <v>134</v>
      </c>
      <c r="H132" s="11" t="s">
        <v>6511</v>
      </c>
    </row>
    <row r="133" customFormat="false" ht="17.15" hidden="false" customHeight="false" outlineLevel="0" collapsed="false">
      <c r="A133" s="11" t="s">
        <v>6512</v>
      </c>
      <c r="B133" s="11" t="s">
        <v>2309</v>
      </c>
      <c r="C133" s="11" t="s">
        <v>174</v>
      </c>
      <c r="D133" s="6" t="n">
        <v>4793218</v>
      </c>
      <c r="E133" s="5" t="s">
        <v>6207</v>
      </c>
      <c r="F133" s="5" t="s">
        <v>6207</v>
      </c>
      <c r="G133" s="11" t="s">
        <v>134</v>
      </c>
      <c r="H133" s="11" t="s">
        <v>6513</v>
      </c>
    </row>
    <row r="134" customFormat="false" ht="17.15" hidden="false" customHeight="false" outlineLevel="0" collapsed="false">
      <c r="A134" s="11" t="s">
        <v>6514</v>
      </c>
      <c r="B134" s="11" t="s">
        <v>6515</v>
      </c>
      <c r="C134" s="11" t="s">
        <v>202</v>
      </c>
      <c r="D134" s="6" t="n">
        <v>4758160</v>
      </c>
      <c r="E134" s="5" t="s">
        <v>6210</v>
      </c>
      <c r="F134" s="5" t="s">
        <v>6516</v>
      </c>
      <c r="G134" s="11" t="s">
        <v>6517</v>
      </c>
      <c r="H134" s="11" t="s">
        <v>6518</v>
      </c>
    </row>
    <row r="135" customFormat="false" ht="17.15" hidden="false" customHeight="false" outlineLevel="0" collapsed="false">
      <c r="A135" s="11" t="s">
        <v>6519</v>
      </c>
      <c r="B135" s="11" t="s">
        <v>6520</v>
      </c>
      <c r="C135" s="5"/>
      <c r="D135" s="6" t="n">
        <v>4751611</v>
      </c>
      <c r="E135" s="5" t="s">
        <v>6207</v>
      </c>
      <c r="F135" s="5" t="s">
        <v>6207</v>
      </c>
      <c r="G135" s="11" t="s">
        <v>134</v>
      </c>
      <c r="H135" s="11" t="s">
        <v>6521</v>
      </c>
    </row>
    <row r="136" customFormat="false" ht="17.15" hidden="false" customHeight="false" outlineLevel="0" collapsed="false">
      <c r="A136" s="11" t="s">
        <v>6522</v>
      </c>
      <c r="B136" s="11" t="s">
        <v>4635</v>
      </c>
      <c r="C136" s="11" t="s">
        <v>194</v>
      </c>
      <c r="D136" s="6" t="n">
        <v>4723302</v>
      </c>
      <c r="E136" s="5" t="s">
        <v>6239</v>
      </c>
      <c r="F136" s="5" t="s">
        <v>6239</v>
      </c>
      <c r="G136" s="11" t="s">
        <v>143</v>
      </c>
      <c r="H136" s="11" t="s">
        <v>6523</v>
      </c>
    </row>
    <row r="137" customFormat="false" ht="17.15" hidden="false" customHeight="false" outlineLevel="0" collapsed="false">
      <c r="A137" s="11" t="s">
        <v>6524</v>
      </c>
      <c r="B137" s="11" t="s">
        <v>6390</v>
      </c>
      <c r="C137" s="11" t="s">
        <v>167</v>
      </c>
      <c r="D137" s="6" t="n">
        <v>4698143</v>
      </c>
      <c r="E137" s="5" t="s">
        <v>6207</v>
      </c>
      <c r="F137" s="5" t="s">
        <v>6377</v>
      </c>
      <c r="G137" s="11" t="s">
        <v>6378</v>
      </c>
      <c r="H137" s="11" t="s">
        <v>6525</v>
      </c>
    </row>
    <row r="138" customFormat="false" ht="17.15" hidden="false" customHeight="false" outlineLevel="0" collapsed="false">
      <c r="A138" s="11" t="s">
        <v>4916</v>
      </c>
      <c r="B138" s="11" t="s">
        <v>681</v>
      </c>
      <c r="C138" s="11" t="s">
        <v>175</v>
      </c>
      <c r="D138" s="6" t="n">
        <v>4639686</v>
      </c>
      <c r="E138" s="5" t="s">
        <v>6207</v>
      </c>
      <c r="F138" s="5" t="s">
        <v>6207</v>
      </c>
      <c r="G138" s="11" t="s">
        <v>134</v>
      </c>
      <c r="H138" s="11" t="s">
        <v>6526</v>
      </c>
    </row>
    <row r="139" customFormat="false" ht="17.15" hidden="false" customHeight="false" outlineLevel="0" collapsed="false">
      <c r="A139" s="11" t="s">
        <v>6527</v>
      </c>
      <c r="B139" s="11" t="s">
        <v>6528</v>
      </c>
      <c r="C139" s="11" t="s">
        <v>192</v>
      </c>
      <c r="D139" s="6" t="n">
        <v>4613467</v>
      </c>
      <c r="E139" s="5" t="s">
        <v>6239</v>
      </c>
      <c r="F139" s="5" t="s">
        <v>6239</v>
      </c>
      <c r="G139" s="11" t="s">
        <v>143</v>
      </c>
      <c r="H139" s="11" t="s">
        <v>6529</v>
      </c>
    </row>
    <row r="140" customFormat="false" ht="17.15" hidden="false" customHeight="false" outlineLevel="0" collapsed="false">
      <c r="A140" s="11" t="s">
        <v>6530</v>
      </c>
      <c r="B140" s="11" t="s">
        <v>6226</v>
      </c>
      <c r="C140" s="5"/>
      <c r="D140" s="6" t="n">
        <v>4607930</v>
      </c>
      <c r="E140" s="5" t="s">
        <v>6207</v>
      </c>
      <c r="F140" s="5" t="s">
        <v>6207</v>
      </c>
      <c r="G140" s="11" t="s">
        <v>134</v>
      </c>
      <c r="H140" s="11" t="s">
        <v>6531</v>
      </c>
    </row>
    <row r="141" customFormat="false" ht="15" hidden="false" customHeight="false" outlineLevel="0" collapsed="false">
      <c r="A141" s="11" t="s">
        <v>6532</v>
      </c>
      <c r="B141" s="11" t="s">
        <v>6533</v>
      </c>
      <c r="C141" s="11" t="s">
        <v>152</v>
      </c>
      <c r="D141" s="6" t="n">
        <v>4579355</v>
      </c>
      <c r="E141" s="5" t="s">
        <v>141</v>
      </c>
      <c r="F141" s="5" t="s">
        <v>141</v>
      </c>
      <c r="G141" s="11" t="s">
        <v>140</v>
      </c>
      <c r="H141" s="11" t="s">
        <v>6534</v>
      </c>
    </row>
    <row r="142" customFormat="false" ht="17.15" hidden="false" customHeight="false" outlineLevel="0" collapsed="false">
      <c r="A142" s="11" t="s">
        <v>6535</v>
      </c>
      <c r="B142" s="11" t="s">
        <v>6536</v>
      </c>
      <c r="C142" s="11" t="s">
        <v>159</v>
      </c>
      <c r="D142" s="6" t="n">
        <v>4576826</v>
      </c>
      <c r="E142" s="5" t="s">
        <v>6207</v>
      </c>
      <c r="F142" s="5" t="s">
        <v>6207</v>
      </c>
      <c r="G142" s="11" t="s">
        <v>134</v>
      </c>
      <c r="H142" s="11" t="s">
        <v>6537</v>
      </c>
    </row>
    <row r="143" customFormat="false" ht="15" hidden="false" customHeight="false" outlineLevel="0" collapsed="false">
      <c r="A143" s="11" t="s">
        <v>6538</v>
      </c>
      <c r="B143" s="11" t="s">
        <v>6363</v>
      </c>
      <c r="C143" s="11" t="s">
        <v>174</v>
      </c>
      <c r="D143" s="6" t="n">
        <v>4562303</v>
      </c>
      <c r="E143" s="5" t="s">
        <v>141</v>
      </c>
      <c r="F143" s="5" t="s">
        <v>141</v>
      </c>
      <c r="G143" s="11" t="s">
        <v>140</v>
      </c>
      <c r="H143" s="11" t="s">
        <v>6539</v>
      </c>
    </row>
    <row r="144" customFormat="false" ht="17.15" hidden="false" customHeight="false" outlineLevel="0" collapsed="false">
      <c r="A144" s="11" t="s">
        <v>6540</v>
      </c>
      <c r="B144" s="11" t="s">
        <v>6273</v>
      </c>
      <c r="C144" s="11" t="s">
        <v>162</v>
      </c>
      <c r="D144" s="6" t="n">
        <v>4431432</v>
      </c>
      <c r="E144" s="5" t="s">
        <v>6227</v>
      </c>
      <c r="F144" s="5" t="s">
        <v>6541</v>
      </c>
      <c r="G144" s="11" t="s">
        <v>6542</v>
      </c>
      <c r="H144" s="11" t="s">
        <v>6543</v>
      </c>
    </row>
    <row r="145" customFormat="false" ht="17.15" hidden="false" customHeight="false" outlineLevel="0" collapsed="false">
      <c r="A145" s="11" t="s">
        <v>6544</v>
      </c>
      <c r="B145" s="11" t="s">
        <v>681</v>
      </c>
      <c r="C145" s="11" t="s">
        <v>149</v>
      </c>
      <c r="D145" s="6" t="n">
        <v>4377503</v>
      </c>
      <c r="E145" s="5" t="s">
        <v>6207</v>
      </c>
      <c r="F145" s="5" t="s">
        <v>6377</v>
      </c>
      <c r="G145" s="11" t="s">
        <v>6378</v>
      </c>
      <c r="H145" s="11" t="s">
        <v>6545</v>
      </c>
    </row>
    <row r="146" customFormat="false" ht="17.15" hidden="false" customHeight="false" outlineLevel="0" collapsed="false">
      <c r="A146" s="11" t="s">
        <v>6546</v>
      </c>
      <c r="B146" s="11" t="s">
        <v>308</v>
      </c>
      <c r="C146" s="11" t="s">
        <v>174</v>
      </c>
      <c r="D146" s="6" t="n">
        <v>4374199</v>
      </c>
      <c r="E146" s="5" t="s">
        <v>6207</v>
      </c>
      <c r="F146" s="5" t="s">
        <v>6207</v>
      </c>
      <c r="G146" s="11" t="s">
        <v>134</v>
      </c>
      <c r="H146" s="11" t="s">
        <v>6547</v>
      </c>
    </row>
    <row r="147" customFormat="false" ht="17.15" hidden="false" customHeight="false" outlineLevel="0" collapsed="false">
      <c r="A147" s="11" t="s">
        <v>1530</v>
      </c>
      <c r="B147" s="11" t="s">
        <v>308</v>
      </c>
      <c r="C147" s="11" t="s">
        <v>155</v>
      </c>
      <c r="D147" s="6" t="n">
        <v>4365453</v>
      </c>
      <c r="E147" s="5" t="s">
        <v>6210</v>
      </c>
      <c r="F147" s="5" t="s">
        <v>6210</v>
      </c>
      <c r="G147" s="11" t="s">
        <v>137</v>
      </c>
      <c r="H147" s="11" t="s">
        <v>6548</v>
      </c>
    </row>
    <row r="148" customFormat="false" ht="17.15" hidden="false" customHeight="false" outlineLevel="0" collapsed="false">
      <c r="A148" s="11" t="s">
        <v>6549</v>
      </c>
      <c r="B148" s="11" t="s">
        <v>3508</v>
      </c>
      <c r="C148" s="11" t="s">
        <v>155</v>
      </c>
      <c r="D148" s="6" t="n">
        <v>4347862</v>
      </c>
      <c r="E148" s="5" t="s">
        <v>6210</v>
      </c>
      <c r="F148" s="5" t="s">
        <v>6210</v>
      </c>
      <c r="G148" s="11" t="s">
        <v>137</v>
      </c>
      <c r="H148" s="11" t="s">
        <v>6550</v>
      </c>
    </row>
    <row r="149" customFormat="false" ht="17.15" hidden="false" customHeight="false" outlineLevel="0" collapsed="false">
      <c r="A149" s="11" t="s">
        <v>6551</v>
      </c>
      <c r="B149" s="11" t="s">
        <v>6552</v>
      </c>
      <c r="C149" s="5"/>
      <c r="D149" s="6" t="n">
        <v>4334894</v>
      </c>
      <c r="E149" s="5" t="s">
        <v>6207</v>
      </c>
      <c r="F149" s="5" t="s">
        <v>6207</v>
      </c>
      <c r="G149" s="11" t="s">
        <v>134</v>
      </c>
      <c r="H149" s="11" t="s">
        <v>6553</v>
      </c>
    </row>
    <row r="150" customFormat="false" ht="17.15" hidden="false" customHeight="false" outlineLevel="0" collapsed="false">
      <c r="A150" s="11" t="s">
        <v>6554</v>
      </c>
      <c r="B150" s="11" t="s">
        <v>4223</v>
      </c>
      <c r="C150" s="11" t="s">
        <v>171</v>
      </c>
      <c r="D150" s="6" t="n">
        <v>4265115</v>
      </c>
      <c r="E150" s="5" t="s">
        <v>6210</v>
      </c>
      <c r="F150" s="5" t="s">
        <v>6210</v>
      </c>
      <c r="G150" s="11" t="s">
        <v>137</v>
      </c>
      <c r="H150" s="11" t="s">
        <v>6555</v>
      </c>
    </row>
    <row r="151" customFormat="false" ht="17.15" hidden="false" customHeight="false" outlineLevel="0" collapsed="false">
      <c r="A151" s="11" t="s">
        <v>6556</v>
      </c>
      <c r="B151" s="11" t="s">
        <v>6301</v>
      </c>
      <c r="C151" s="11" t="s">
        <v>175</v>
      </c>
      <c r="D151" s="6" t="n">
        <v>4247364</v>
      </c>
      <c r="E151" s="5" t="s">
        <v>6207</v>
      </c>
      <c r="F151" s="5" t="s">
        <v>6207</v>
      </c>
      <c r="G151" s="11" t="s">
        <v>134</v>
      </c>
      <c r="H151" s="11" t="s">
        <v>6557</v>
      </c>
    </row>
    <row r="152" customFormat="false" ht="17.15" hidden="false" customHeight="false" outlineLevel="0" collapsed="false">
      <c r="A152" s="11" t="s">
        <v>6558</v>
      </c>
      <c r="B152" s="11" t="s">
        <v>3508</v>
      </c>
      <c r="C152" s="11" t="s">
        <v>155</v>
      </c>
      <c r="D152" s="6" t="n">
        <v>4230390</v>
      </c>
      <c r="E152" s="5" t="s">
        <v>6210</v>
      </c>
      <c r="F152" s="5" t="s">
        <v>6210</v>
      </c>
      <c r="G152" s="11" t="s">
        <v>137</v>
      </c>
      <c r="H152" s="11" t="s">
        <v>6559</v>
      </c>
    </row>
    <row r="153" customFormat="false" ht="17.15" hidden="false" customHeight="false" outlineLevel="0" collapsed="false">
      <c r="A153" s="11" t="s">
        <v>3105</v>
      </c>
      <c r="B153" s="11" t="s">
        <v>308</v>
      </c>
      <c r="C153" s="11" t="s">
        <v>155</v>
      </c>
      <c r="D153" s="6" t="n">
        <v>4220731</v>
      </c>
      <c r="E153" s="5" t="s">
        <v>6210</v>
      </c>
      <c r="F153" s="5" t="s">
        <v>6210</v>
      </c>
      <c r="G153" s="11" t="s">
        <v>137</v>
      </c>
      <c r="H153" s="11" t="s">
        <v>6560</v>
      </c>
    </row>
    <row r="154" customFormat="false" ht="17.15" hidden="false" customHeight="false" outlineLevel="0" collapsed="false">
      <c r="A154" s="11" t="s">
        <v>6561</v>
      </c>
      <c r="B154" s="11" t="s">
        <v>3171</v>
      </c>
      <c r="C154" s="11" t="s">
        <v>167</v>
      </c>
      <c r="D154" s="6" t="n">
        <v>4205131</v>
      </c>
      <c r="E154" s="5" t="s">
        <v>6210</v>
      </c>
      <c r="F154" s="5" t="s">
        <v>6210</v>
      </c>
      <c r="G154" s="11" t="s">
        <v>137</v>
      </c>
      <c r="H154" s="11" t="s">
        <v>6562</v>
      </c>
    </row>
    <row r="155" customFormat="false" ht="17.15" hidden="false" customHeight="false" outlineLevel="0" collapsed="false">
      <c r="A155" s="11" t="s">
        <v>6563</v>
      </c>
      <c r="B155" s="11" t="s">
        <v>6457</v>
      </c>
      <c r="C155" s="11" t="s">
        <v>155</v>
      </c>
      <c r="D155" s="6" t="n">
        <v>4165948</v>
      </c>
      <c r="E155" s="5" t="s">
        <v>6264</v>
      </c>
      <c r="F155" s="5" t="s">
        <v>6264</v>
      </c>
      <c r="G155" s="11" t="s">
        <v>131</v>
      </c>
      <c r="H155" s="11" t="s">
        <v>6564</v>
      </c>
    </row>
    <row r="156" customFormat="false" ht="17.15" hidden="false" customHeight="false" outlineLevel="0" collapsed="false">
      <c r="A156" s="11" t="s">
        <v>6565</v>
      </c>
      <c r="B156" s="11" t="s">
        <v>6566</v>
      </c>
      <c r="C156" s="11" t="s">
        <v>175</v>
      </c>
      <c r="D156" s="6" t="n">
        <v>4164595</v>
      </c>
      <c r="E156" s="5" t="s">
        <v>6207</v>
      </c>
      <c r="F156" s="5" t="s">
        <v>6207</v>
      </c>
      <c r="G156" s="11" t="s">
        <v>134</v>
      </c>
      <c r="H156" s="11" t="s">
        <v>6567</v>
      </c>
    </row>
    <row r="157" customFormat="false" ht="17.15" hidden="false" customHeight="false" outlineLevel="0" collapsed="false">
      <c r="A157" s="11" t="s">
        <v>6568</v>
      </c>
      <c r="B157" s="11" t="s">
        <v>6569</v>
      </c>
      <c r="C157" s="11" t="s">
        <v>149</v>
      </c>
      <c r="D157" s="6" t="n">
        <v>4115792</v>
      </c>
      <c r="E157" s="5" t="s">
        <v>6207</v>
      </c>
      <c r="F157" s="5" t="s">
        <v>6207</v>
      </c>
      <c r="G157" s="11" t="s">
        <v>134</v>
      </c>
      <c r="H157" s="11" t="s">
        <v>6570</v>
      </c>
    </row>
    <row r="158" customFormat="false" ht="15" hidden="false" customHeight="false" outlineLevel="0" collapsed="false">
      <c r="A158" s="11" t="s">
        <v>6571</v>
      </c>
      <c r="B158" s="11" t="s">
        <v>6572</v>
      </c>
      <c r="C158" s="11" t="s">
        <v>150</v>
      </c>
      <c r="D158" s="6" t="n">
        <v>4079913</v>
      </c>
      <c r="E158" s="5" t="s">
        <v>141</v>
      </c>
      <c r="F158" s="5" t="s">
        <v>141</v>
      </c>
      <c r="G158" s="11" t="s">
        <v>140</v>
      </c>
      <c r="H158" s="11" t="s">
        <v>6573</v>
      </c>
    </row>
    <row r="159" customFormat="false" ht="17.15" hidden="false" customHeight="false" outlineLevel="0" collapsed="false">
      <c r="A159" s="11" t="s">
        <v>6574</v>
      </c>
      <c r="B159" s="11" t="s">
        <v>6575</v>
      </c>
      <c r="C159" s="11" t="s">
        <v>164</v>
      </c>
      <c r="D159" s="6" t="n">
        <v>4019739</v>
      </c>
      <c r="E159" s="5" t="s">
        <v>6207</v>
      </c>
      <c r="F159" s="5" t="s">
        <v>6207</v>
      </c>
      <c r="G159" s="11" t="s">
        <v>134</v>
      </c>
      <c r="H159" s="11" t="s">
        <v>6576</v>
      </c>
    </row>
    <row r="160" customFormat="false" ht="17.15" hidden="false" customHeight="false" outlineLevel="0" collapsed="false">
      <c r="A160" s="11" t="s">
        <v>6577</v>
      </c>
      <c r="B160" s="11" t="s">
        <v>6578</v>
      </c>
      <c r="C160" s="11" t="s">
        <v>175</v>
      </c>
      <c r="D160" s="6" t="n">
        <v>3982651</v>
      </c>
      <c r="E160" s="5" t="s">
        <v>6207</v>
      </c>
      <c r="F160" s="5" t="s">
        <v>6207</v>
      </c>
      <c r="G160" s="11" t="s">
        <v>134</v>
      </c>
      <c r="H160" s="11" t="s">
        <v>6579</v>
      </c>
    </row>
    <row r="161" customFormat="false" ht="17.15" hidden="false" customHeight="false" outlineLevel="0" collapsed="false">
      <c r="A161" s="11" t="s">
        <v>6580</v>
      </c>
      <c r="B161" s="11" t="s">
        <v>6581</v>
      </c>
      <c r="C161" s="11" t="s">
        <v>155</v>
      </c>
      <c r="D161" s="6" t="n">
        <v>3950205</v>
      </c>
      <c r="E161" s="5" t="s">
        <v>6264</v>
      </c>
      <c r="F161" s="5" t="s">
        <v>6264</v>
      </c>
      <c r="G161" s="11" t="s">
        <v>131</v>
      </c>
      <c r="H161" s="11" t="s">
        <v>6582</v>
      </c>
    </row>
    <row r="162" customFormat="false" ht="17.15" hidden="false" customHeight="false" outlineLevel="0" collapsed="false">
      <c r="A162" s="11" t="s">
        <v>3425</v>
      </c>
      <c r="B162" s="11" t="s">
        <v>6583</v>
      </c>
      <c r="C162" s="11" t="s">
        <v>150</v>
      </c>
      <c r="D162" s="6" t="n">
        <v>3931429</v>
      </c>
      <c r="E162" s="5" t="s">
        <v>6207</v>
      </c>
      <c r="F162" s="5" t="s">
        <v>6207</v>
      </c>
      <c r="G162" s="11" t="s">
        <v>134</v>
      </c>
      <c r="H162" s="11" t="s">
        <v>6584</v>
      </c>
    </row>
    <row r="163" customFormat="false" ht="17.15" hidden="false" customHeight="false" outlineLevel="0" collapsed="false">
      <c r="A163" s="11" t="s">
        <v>6585</v>
      </c>
      <c r="B163" s="11" t="s">
        <v>2557</v>
      </c>
      <c r="C163" s="11" t="s">
        <v>168</v>
      </c>
      <c r="D163" s="6" t="n">
        <v>3909204</v>
      </c>
      <c r="E163" s="5" t="s">
        <v>6207</v>
      </c>
      <c r="F163" s="5" t="s">
        <v>6207</v>
      </c>
      <c r="G163" s="11" t="s">
        <v>134</v>
      </c>
      <c r="H163" s="11" t="s">
        <v>6586</v>
      </c>
    </row>
    <row r="164" customFormat="false" ht="17.15" hidden="false" customHeight="false" outlineLevel="0" collapsed="false">
      <c r="A164" s="11" t="s">
        <v>6587</v>
      </c>
      <c r="B164" s="11" t="s">
        <v>327</v>
      </c>
      <c r="C164" s="11" t="s">
        <v>154</v>
      </c>
      <c r="D164" s="6" t="n">
        <v>3876136</v>
      </c>
      <c r="E164" s="5" t="s">
        <v>6210</v>
      </c>
      <c r="F164" s="5" t="s">
        <v>6210</v>
      </c>
      <c r="G164" s="11" t="s">
        <v>137</v>
      </c>
      <c r="H164" s="11" t="s">
        <v>6588</v>
      </c>
    </row>
    <row r="165" customFormat="false" ht="17.15" hidden="false" customHeight="false" outlineLevel="0" collapsed="false">
      <c r="A165" s="11" t="s">
        <v>6589</v>
      </c>
      <c r="B165" s="11" t="s">
        <v>4635</v>
      </c>
      <c r="C165" s="11" t="s">
        <v>194</v>
      </c>
      <c r="D165" s="6" t="n">
        <v>3846250</v>
      </c>
      <c r="E165" s="5" t="s">
        <v>6239</v>
      </c>
      <c r="F165" s="5" t="s">
        <v>6239</v>
      </c>
      <c r="G165" s="11" t="s">
        <v>143</v>
      </c>
      <c r="H165" s="11" t="s">
        <v>6590</v>
      </c>
    </row>
    <row r="166" customFormat="false" ht="17.15" hidden="false" customHeight="false" outlineLevel="0" collapsed="false">
      <c r="A166" s="11" t="s">
        <v>6591</v>
      </c>
      <c r="B166" s="11" t="s">
        <v>327</v>
      </c>
      <c r="C166" s="11" t="s">
        <v>153</v>
      </c>
      <c r="D166" s="6" t="n">
        <v>3844919</v>
      </c>
      <c r="E166" s="5" t="s">
        <v>6210</v>
      </c>
      <c r="F166" s="5" t="s">
        <v>6210</v>
      </c>
      <c r="G166" s="11" t="s">
        <v>137</v>
      </c>
      <c r="H166" s="11" t="s">
        <v>6592</v>
      </c>
    </row>
    <row r="167" customFormat="false" ht="17.15" hidden="false" customHeight="false" outlineLevel="0" collapsed="false">
      <c r="A167" s="11" t="s">
        <v>6593</v>
      </c>
      <c r="B167" s="11" t="s">
        <v>6594</v>
      </c>
      <c r="C167" s="11" t="s">
        <v>161</v>
      </c>
      <c r="D167" s="6" t="n">
        <v>3826100</v>
      </c>
      <c r="E167" s="5" t="s">
        <v>6207</v>
      </c>
      <c r="F167" s="5" t="s">
        <v>6207</v>
      </c>
      <c r="G167" s="11" t="s">
        <v>134</v>
      </c>
      <c r="H167" s="11" t="s">
        <v>6595</v>
      </c>
    </row>
    <row r="168" customFormat="false" ht="17.15" hidden="false" customHeight="false" outlineLevel="0" collapsed="false">
      <c r="A168" s="11" t="s">
        <v>5644</v>
      </c>
      <c r="B168" s="11" t="s">
        <v>6596</v>
      </c>
      <c r="C168" s="11" t="s">
        <v>153</v>
      </c>
      <c r="D168" s="6" t="n">
        <v>3817545</v>
      </c>
      <c r="E168" s="5" t="s">
        <v>6207</v>
      </c>
      <c r="F168" s="5" t="s">
        <v>6207</v>
      </c>
      <c r="G168" s="11" t="s">
        <v>134</v>
      </c>
      <c r="H168" s="11" t="s">
        <v>6597</v>
      </c>
    </row>
    <row r="169" customFormat="false" ht="17.15" hidden="false" customHeight="false" outlineLevel="0" collapsed="false">
      <c r="A169" s="11" t="s">
        <v>6598</v>
      </c>
      <c r="B169" s="11" t="s">
        <v>6599</v>
      </c>
      <c r="C169" s="11" t="s">
        <v>175</v>
      </c>
      <c r="D169" s="6" t="n">
        <v>3802324</v>
      </c>
      <c r="E169" s="5" t="s">
        <v>6207</v>
      </c>
      <c r="F169" s="5" t="s">
        <v>6207</v>
      </c>
      <c r="G169" s="11" t="s">
        <v>134</v>
      </c>
      <c r="H169" s="11" t="s">
        <v>6600</v>
      </c>
    </row>
    <row r="170" customFormat="false" ht="17.15" hidden="false" customHeight="false" outlineLevel="0" collapsed="false">
      <c r="A170" s="11" t="s">
        <v>6601</v>
      </c>
      <c r="B170" s="11" t="s">
        <v>6602</v>
      </c>
      <c r="C170" s="11" t="s">
        <v>183</v>
      </c>
      <c r="D170" s="6" t="n">
        <v>3797692</v>
      </c>
      <c r="E170" s="5" t="s">
        <v>6210</v>
      </c>
      <c r="F170" s="5" t="s">
        <v>6210</v>
      </c>
      <c r="G170" s="11" t="s">
        <v>137</v>
      </c>
      <c r="H170" s="11" t="s">
        <v>6603</v>
      </c>
    </row>
    <row r="171" customFormat="false" ht="17.15" hidden="false" customHeight="false" outlineLevel="0" collapsed="false">
      <c r="A171" s="11" t="s">
        <v>6604</v>
      </c>
      <c r="B171" s="11" t="s">
        <v>1214</v>
      </c>
      <c r="C171" s="11" t="s">
        <v>192</v>
      </c>
      <c r="D171" s="6" t="n">
        <v>3780692</v>
      </c>
      <c r="E171" s="5" t="s">
        <v>6239</v>
      </c>
      <c r="F171" s="5" t="s">
        <v>6239</v>
      </c>
      <c r="G171" s="11" t="s">
        <v>143</v>
      </c>
      <c r="H171" s="11" t="s">
        <v>6605</v>
      </c>
    </row>
    <row r="172" customFormat="false" ht="17.15" hidden="false" customHeight="false" outlineLevel="0" collapsed="false">
      <c r="A172" s="11" t="s">
        <v>6606</v>
      </c>
      <c r="B172" s="11" t="s">
        <v>308</v>
      </c>
      <c r="C172" s="11" t="s">
        <v>167</v>
      </c>
      <c r="D172" s="6" t="n">
        <v>3734303</v>
      </c>
      <c r="E172" s="5" t="s">
        <v>6207</v>
      </c>
      <c r="F172" s="5" t="s">
        <v>6207</v>
      </c>
      <c r="G172" s="11" t="s">
        <v>134</v>
      </c>
      <c r="H172" s="11" t="s">
        <v>6607</v>
      </c>
    </row>
    <row r="173" customFormat="false" ht="17.15" hidden="false" customHeight="false" outlineLevel="0" collapsed="false">
      <c r="A173" s="11" t="s">
        <v>6608</v>
      </c>
      <c r="B173" s="11" t="s">
        <v>2067</v>
      </c>
      <c r="C173" s="11" t="s">
        <v>192</v>
      </c>
      <c r="D173" s="6" t="n">
        <v>3689874</v>
      </c>
      <c r="E173" s="5" t="s">
        <v>6239</v>
      </c>
      <c r="F173" s="5" t="s">
        <v>6239</v>
      </c>
      <c r="G173" s="11" t="s">
        <v>143</v>
      </c>
      <c r="H173" s="11" t="s">
        <v>6609</v>
      </c>
    </row>
    <row r="174" customFormat="false" ht="17.15" hidden="false" customHeight="false" outlineLevel="0" collapsed="false">
      <c r="A174" s="11" t="s">
        <v>6610</v>
      </c>
      <c r="B174" s="11" t="s">
        <v>308</v>
      </c>
      <c r="C174" s="11" t="s">
        <v>156</v>
      </c>
      <c r="D174" s="6" t="n">
        <v>3683874</v>
      </c>
      <c r="E174" s="5" t="s">
        <v>6210</v>
      </c>
      <c r="F174" s="5" t="s">
        <v>6210</v>
      </c>
      <c r="G174" s="11" t="s">
        <v>137</v>
      </c>
      <c r="H174" s="11" t="s">
        <v>6611</v>
      </c>
    </row>
    <row r="175" customFormat="false" ht="17.15" hidden="false" customHeight="false" outlineLevel="0" collapsed="false">
      <c r="A175" s="11" t="s">
        <v>6612</v>
      </c>
      <c r="B175" s="11" t="s">
        <v>6581</v>
      </c>
      <c r="C175" s="11" t="s">
        <v>155</v>
      </c>
      <c r="D175" s="6" t="n">
        <v>3666195</v>
      </c>
      <c r="E175" s="5" t="s">
        <v>6264</v>
      </c>
      <c r="F175" s="5" t="s">
        <v>6264</v>
      </c>
      <c r="G175" s="11" t="s">
        <v>131</v>
      </c>
      <c r="H175" s="11" t="s">
        <v>6613</v>
      </c>
    </row>
    <row r="176" customFormat="false" ht="17.15" hidden="false" customHeight="false" outlineLevel="0" collapsed="false">
      <c r="A176" s="11" t="s">
        <v>6614</v>
      </c>
      <c r="B176" s="11" t="s">
        <v>323</v>
      </c>
      <c r="C176" s="11" t="s">
        <v>161</v>
      </c>
      <c r="D176" s="6" t="n">
        <v>3665482</v>
      </c>
      <c r="E176" s="5" t="s">
        <v>6207</v>
      </c>
      <c r="F176" s="5" t="s">
        <v>6207</v>
      </c>
      <c r="G176" s="11" t="s">
        <v>134</v>
      </c>
      <c r="H176" s="11" t="s">
        <v>6615</v>
      </c>
    </row>
    <row r="177" customFormat="false" ht="17.15" hidden="false" customHeight="false" outlineLevel="0" collapsed="false">
      <c r="A177" s="11" t="s">
        <v>6616</v>
      </c>
      <c r="B177" s="11" t="s">
        <v>6617</v>
      </c>
      <c r="C177" s="11" t="s">
        <v>161</v>
      </c>
      <c r="D177" s="6" t="n">
        <v>3629483</v>
      </c>
      <c r="E177" s="5" t="s">
        <v>6207</v>
      </c>
      <c r="F177" s="5" t="s">
        <v>6207</v>
      </c>
      <c r="G177" s="11" t="s">
        <v>134</v>
      </c>
      <c r="H177" s="11" t="s">
        <v>6618</v>
      </c>
    </row>
    <row r="178" customFormat="false" ht="17.15" hidden="false" customHeight="false" outlineLevel="0" collapsed="false">
      <c r="A178" s="11" t="s">
        <v>6619</v>
      </c>
      <c r="B178" s="11" t="s">
        <v>6617</v>
      </c>
      <c r="C178" s="11" t="s">
        <v>161</v>
      </c>
      <c r="D178" s="6" t="n">
        <v>3627767</v>
      </c>
      <c r="E178" s="5" t="s">
        <v>6207</v>
      </c>
      <c r="F178" s="5" t="s">
        <v>6207</v>
      </c>
      <c r="G178" s="11" t="s">
        <v>134</v>
      </c>
      <c r="H178" s="11" t="s">
        <v>6620</v>
      </c>
    </row>
    <row r="179" customFormat="false" ht="17.15" hidden="false" customHeight="false" outlineLevel="0" collapsed="false">
      <c r="A179" s="11" t="s">
        <v>6621</v>
      </c>
      <c r="B179" s="11" t="s">
        <v>681</v>
      </c>
      <c r="C179" s="11" t="s">
        <v>161</v>
      </c>
      <c r="D179" s="6" t="n">
        <v>3593973</v>
      </c>
      <c r="E179" s="5" t="s">
        <v>6207</v>
      </c>
      <c r="F179" s="5" t="s">
        <v>6207</v>
      </c>
      <c r="G179" s="11" t="s">
        <v>134</v>
      </c>
      <c r="H179" s="11" t="s">
        <v>6622</v>
      </c>
    </row>
    <row r="180" customFormat="false" ht="17.15" hidden="false" customHeight="false" outlineLevel="0" collapsed="false">
      <c r="A180" s="11" t="s">
        <v>6623</v>
      </c>
      <c r="B180" s="11" t="s">
        <v>598</v>
      </c>
      <c r="C180" s="11" t="s">
        <v>173</v>
      </c>
      <c r="D180" s="6" t="n">
        <v>3555067</v>
      </c>
      <c r="E180" s="5" t="s">
        <v>6210</v>
      </c>
      <c r="F180" s="5" t="s">
        <v>6210</v>
      </c>
      <c r="G180" s="11" t="s">
        <v>137</v>
      </c>
      <c r="H180" s="11" t="s">
        <v>6624</v>
      </c>
    </row>
    <row r="181" customFormat="false" ht="17.15" hidden="false" customHeight="false" outlineLevel="0" collapsed="false">
      <c r="A181" s="11" t="s">
        <v>6625</v>
      </c>
      <c r="B181" s="11" t="s">
        <v>327</v>
      </c>
      <c r="C181" s="11" t="s">
        <v>157</v>
      </c>
      <c r="D181" s="6" t="n">
        <v>3547617</v>
      </c>
      <c r="E181" s="5" t="s">
        <v>6210</v>
      </c>
      <c r="F181" s="5" t="s">
        <v>6210</v>
      </c>
      <c r="G181" s="11" t="s">
        <v>137</v>
      </c>
      <c r="H181" s="11" t="s">
        <v>6626</v>
      </c>
    </row>
    <row r="182" customFormat="false" ht="17.15" hidden="false" customHeight="false" outlineLevel="0" collapsed="false">
      <c r="A182" s="11" t="s">
        <v>6627</v>
      </c>
      <c r="B182" s="11" t="s">
        <v>6594</v>
      </c>
      <c r="C182" s="11" t="s">
        <v>161</v>
      </c>
      <c r="D182" s="6" t="n">
        <v>3544364</v>
      </c>
      <c r="E182" s="5" t="s">
        <v>6207</v>
      </c>
      <c r="F182" s="5" t="s">
        <v>6207</v>
      </c>
      <c r="G182" s="11" t="s">
        <v>134</v>
      </c>
      <c r="H182" s="11" t="s">
        <v>6628</v>
      </c>
    </row>
    <row r="183" customFormat="false" ht="17.15" hidden="false" customHeight="false" outlineLevel="0" collapsed="false">
      <c r="A183" s="11" t="s">
        <v>6629</v>
      </c>
      <c r="B183" s="11" t="s">
        <v>6258</v>
      </c>
      <c r="C183" s="11" t="s">
        <v>149</v>
      </c>
      <c r="D183" s="6" t="n">
        <v>3531504</v>
      </c>
      <c r="E183" s="5" t="s">
        <v>6207</v>
      </c>
      <c r="F183" s="5" t="s">
        <v>6207</v>
      </c>
      <c r="G183" s="11" t="s">
        <v>134</v>
      </c>
      <c r="H183" s="11" t="s">
        <v>6630</v>
      </c>
    </row>
    <row r="184" customFormat="false" ht="17.15" hidden="false" customHeight="false" outlineLevel="0" collapsed="false">
      <c r="A184" s="11" t="s">
        <v>6631</v>
      </c>
      <c r="B184" s="11" t="s">
        <v>1447</v>
      </c>
      <c r="C184" s="11" t="s">
        <v>155</v>
      </c>
      <c r="D184" s="6" t="n">
        <v>3501535</v>
      </c>
      <c r="E184" s="5" t="s">
        <v>6210</v>
      </c>
      <c r="F184" s="5" t="s">
        <v>6210</v>
      </c>
      <c r="G184" s="11" t="s">
        <v>137</v>
      </c>
      <c r="H184" s="11" t="s">
        <v>6632</v>
      </c>
    </row>
    <row r="185" customFormat="false" ht="17.15" hidden="false" customHeight="false" outlineLevel="0" collapsed="false">
      <c r="A185" s="11" t="s">
        <v>6633</v>
      </c>
      <c r="B185" s="11" t="s">
        <v>6634</v>
      </c>
      <c r="C185" s="11" t="s">
        <v>149</v>
      </c>
      <c r="D185" s="6" t="n">
        <v>3419686</v>
      </c>
      <c r="E185" s="5" t="s">
        <v>6207</v>
      </c>
      <c r="F185" s="5" t="s">
        <v>6207</v>
      </c>
      <c r="G185" s="11" t="s">
        <v>134</v>
      </c>
      <c r="H185" s="11" t="s">
        <v>6635</v>
      </c>
    </row>
    <row r="186" customFormat="false" ht="17.15" hidden="false" customHeight="false" outlineLevel="0" collapsed="false">
      <c r="A186" s="11" t="s">
        <v>6636</v>
      </c>
      <c r="B186" s="11" t="s">
        <v>308</v>
      </c>
      <c r="C186" s="11" t="s">
        <v>155</v>
      </c>
      <c r="D186" s="6" t="n">
        <v>3390354</v>
      </c>
      <c r="E186" s="5" t="s">
        <v>6210</v>
      </c>
      <c r="F186" s="5" t="s">
        <v>6210</v>
      </c>
      <c r="G186" s="11" t="s">
        <v>137</v>
      </c>
      <c r="H186" s="11" t="s">
        <v>6637</v>
      </c>
    </row>
    <row r="187" customFormat="false" ht="17.15" hidden="false" customHeight="false" outlineLevel="0" collapsed="false">
      <c r="A187" s="11" t="s">
        <v>6638</v>
      </c>
      <c r="B187" s="11" t="s">
        <v>6639</v>
      </c>
      <c r="C187" s="11" t="s">
        <v>195</v>
      </c>
      <c r="D187" s="6" t="n">
        <v>3376589</v>
      </c>
      <c r="E187" s="5" t="s">
        <v>6239</v>
      </c>
      <c r="F187" s="5" t="s">
        <v>6239</v>
      </c>
      <c r="G187" s="11" t="s">
        <v>143</v>
      </c>
      <c r="H187" s="11" t="s">
        <v>6640</v>
      </c>
    </row>
    <row r="188" customFormat="false" ht="17.15" hidden="false" customHeight="false" outlineLevel="0" collapsed="false">
      <c r="A188" s="11" t="s">
        <v>6641</v>
      </c>
      <c r="B188" s="11" t="s">
        <v>6528</v>
      </c>
      <c r="C188" s="11" t="s">
        <v>193</v>
      </c>
      <c r="D188" s="6" t="n">
        <v>3373506</v>
      </c>
      <c r="E188" s="5" t="s">
        <v>6239</v>
      </c>
      <c r="F188" s="5" t="s">
        <v>6239</v>
      </c>
      <c r="G188" s="11" t="s">
        <v>143</v>
      </c>
      <c r="H188" s="11" t="s">
        <v>6642</v>
      </c>
    </row>
    <row r="189" customFormat="false" ht="17.15" hidden="false" customHeight="false" outlineLevel="0" collapsed="false">
      <c r="A189" s="11" t="s">
        <v>6643</v>
      </c>
      <c r="B189" s="11" t="s">
        <v>6644</v>
      </c>
      <c r="C189" s="11" t="s">
        <v>175</v>
      </c>
      <c r="D189" s="6" t="n">
        <v>3336728</v>
      </c>
      <c r="E189" s="5" t="s">
        <v>6207</v>
      </c>
      <c r="F189" s="5" t="s">
        <v>6207</v>
      </c>
      <c r="G189" s="11" t="s">
        <v>134</v>
      </c>
      <c r="H189" s="11" t="s">
        <v>6645</v>
      </c>
    </row>
    <row r="190" customFormat="false" ht="17.15" hidden="false" customHeight="false" outlineLevel="0" collapsed="false">
      <c r="A190" s="11" t="s">
        <v>6646</v>
      </c>
      <c r="B190" s="11" t="s">
        <v>6647</v>
      </c>
      <c r="C190" s="11" t="s">
        <v>155</v>
      </c>
      <c r="D190" s="6" t="n">
        <v>3313495</v>
      </c>
      <c r="E190" s="5" t="s">
        <v>6264</v>
      </c>
      <c r="F190" s="5" t="s">
        <v>6648</v>
      </c>
      <c r="G190" s="11" t="s">
        <v>6649</v>
      </c>
      <c r="H190" s="11" t="s">
        <v>6650</v>
      </c>
    </row>
    <row r="191" customFormat="false" ht="17.15" hidden="false" customHeight="false" outlineLevel="0" collapsed="false">
      <c r="A191" s="11" t="s">
        <v>6651</v>
      </c>
      <c r="B191" s="11" t="s">
        <v>6647</v>
      </c>
      <c r="C191" s="11" t="s">
        <v>155</v>
      </c>
      <c r="D191" s="6" t="n">
        <v>3289199</v>
      </c>
      <c r="E191" s="5" t="s">
        <v>6264</v>
      </c>
      <c r="F191" s="5" t="s">
        <v>6264</v>
      </c>
      <c r="G191" s="11" t="s">
        <v>131</v>
      </c>
      <c r="H191" s="11" t="s">
        <v>6652</v>
      </c>
    </row>
    <row r="192" customFormat="false" ht="17.15" hidden="false" customHeight="false" outlineLevel="0" collapsed="false">
      <c r="A192" s="11" t="s">
        <v>6653</v>
      </c>
      <c r="B192" s="11" t="s">
        <v>6520</v>
      </c>
      <c r="C192" s="11" t="s">
        <v>192</v>
      </c>
      <c r="D192" s="6" t="n">
        <v>3264518</v>
      </c>
      <c r="E192" s="5" t="s">
        <v>6239</v>
      </c>
      <c r="F192" s="5" t="s">
        <v>6239</v>
      </c>
      <c r="G192" s="11" t="s">
        <v>143</v>
      </c>
      <c r="H192" s="11" t="s">
        <v>6654</v>
      </c>
    </row>
    <row r="193" customFormat="false" ht="17.15" hidden="false" customHeight="false" outlineLevel="0" collapsed="false">
      <c r="A193" s="11" t="s">
        <v>6655</v>
      </c>
      <c r="B193" s="11" t="s">
        <v>308</v>
      </c>
      <c r="C193" s="11" t="s">
        <v>155</v>
      </c>
      <c r="D193" s="6" t="n">
        <v>3256893</v>
      </c>
      <c r="E193" s="5" t="s">
        <v>6210</v>
      </c>
      <c r="F193" s="5" t="s">
        <v>6210</v>
      </c>
      <c r="G193" s="11" t="s">
        <v>137</v>
      </c>
      <c r="H193" s="11" t="s">
        <v>6656</v>
      </c>
    </row>
    <row r="194" customFormat="false" ht="17.15" hidden="false" customHeight="false" outlineLevel="0" collapsed="false">
      <c r="A194" s="11" t="s">
        <v>6657</v>
      </c>
      <c r="B194" s="11" t="s">
        <v>6263</v>
      </c>
      <c r="C194" s="11" t="s">
        <v>155</v>
      </c>
      <c r="D194" s="6" t="n">
        <v>3230302</v>
      </c>
      <c r="E194" s="5" t="s">
        <v>6264</v>
      </c>
      <c r="F194" s="5" t="s">
        <v>6264</v>
      </c>
      <c r="G194" s="11" t="s">
        <v>131</v>
      </c>
      <c r="H194" s="11" t="s">
        <v>6658</v>
      </c>
    </row>
    <row r="195" customFormat="false" ht="17.15" hidden="false" customHeight="false" outlineLevel="0" collapsed="false">
      <c r="A195" s="11" t="s">
        <v>6659</v>
      </c>
      <c r="B195" s="11" t="s">
        <v>6660</v>
      </c>
      <c r="C195" s="5"/>
      <c r="D195" s="6" t="n">
        <v>3219733</v>
      </c>
      <c r="E195" s="5" t="s">
        <v>6207</v>
      </c>
      <c r="F195" s="5" t="s">
        <v>6207</v>
      </c>
      <c r="G195" s="11" t="s">
        <v>134</v>
      </c>
      <c r="H195" s="11" t="s">
        <v>6661</v>
      </c>
    </row>
    <row r="196" customFormat="false" ht="17.15" hidden="false" customHeight="false" outlineLevel="0" collapsed="false">
      <c r="A196" s="11" t="s">
        <v>6662</v>
      </c>
      <c r="B196" s="11" t="s">
        <v>1214</v>
      </c>
      <c r="C196" s="11" t="s">
        <v>193</v>
      </c>
      <c r="D196" s="6" t="n">
        <v>3218019</v>
      </c>
      <c r="E196" s="5" t="s">
        <v>6239</v>
      </c>
      <c r="F196" s="5" t="s">
        <v>6239</v>
      </c>
      <c r="G196" s="11" t="s">
        <v>143</v>
      </c>
      <c r="H196" s="11" t="s">
        <v>6663</v>
      </c>
    </row>
    <row r="197" customFormat="false" ht="17.15" hidden="false" customHeight="false" outlineLevel="0" collapsed="false">
      <c r="A197" s="11" t="s">
        <v>6664</v>
      </c>
      <c r="B197" s="11" t="s">
        <v>327</v>
      </c>
      <c r="C197" s="11" t="s">
        <v>155</v>
      </c>
      <c r="D197" s="6" t="n">
        <v>3206833</v>
      </c>
      <c r="E197" s="5" t="s">
        <v>6210</v>
      </c>
      <c r="F197" s="5" t="s">
        <v>6210</v>
      </c>
      <c r="G197" s="11" t="s">
        <v>137</v>
      </c>
      <c r="H197" s="11" t="s">
        <v>6665</v>
      </c>
    </row>
    <row r="198" customFormat="false" ht="15" hidden="false" customHeight="false" outlineLevel="0" collapsed="false">
      <c r="A198" s="11" t="s">
        <v>6666</v>
      </c>
      <c r="B198" s="11" t="s">
        <v>6226</v>
      </c>
      <c r="C198" s="11" t="s">
        <v>175</v>
      </c>
      <c r="D198" s="6" t="n">
        <v>3189974</v>
      </c>
      <c r="E198" s="5" t="s">
        <v>6227</v>
      </c>
      <c r="F198" s="5" t="s">
        <v>6227</v>
      </c>
      <c r="G198" s="11" t="s">
        <v>134</v>
      </c>
      <c r="H198" s="11" t="s">
        <v>6667</v>
      </c>
    </row>
    <row r="199" customFormat="false" ht="17.15" hidden="false" customHeight="false" outlineLevel="0" collapsed="false">
      <c r="A199" s="11" t="s">
        <v>4339</v>
      </c>
      <c r="B199" s="11" t="s">
        <v>737</v>
      </c>
      <c r="C199" s="11" t="s">
        <v>175</v>
      </c>
      <c r="D199" s="6" t="n">
        <v>3184223</v>
      </c>
      <c r="E199" s="5" t="s">
        <v>6210</v>
      </c>
      <c r="F199" s="5" t="s">
        <v>6210</v>
      </c>
      <c r="G199" s="11" t="s">
        <v>137</v>
      </c>
      <c r="H199" s="11" t="s">
        <v>6668</v>
      </c>
    </row>
    <row r="200" customFormat="false" ht="17.15" hidden="false" customHeight="false" outlineLevel="0" collapsed="false">
      <c r="A200" s="11" t="s">
        <v>6669</v>
      </c>
      <c r="B200" s="11" t="s">
        <v>681</v>
      </c>
      <c r="C200" s="11" t="s">
        <v>173</v>
      </c>
      <c r="D200" s="6" t="n">
        <v>3176657</v>
      </c>
      <c r="E200" s="5" t="s">
        <v>6207</v>
      </c>
      <c r="F200" s="5" t="s">
        <v>6207</v>
      </c>
      <c r="G200" s="11" t="s">
        <v>134</v>
      </c>
      <c r="H200" s="11" t="s">
        <v>6670</v>
      </c>
    </row>
    <row r="201" customFormat="false" ht="17.15" hidden="false" customHeight="false" outlineLevel="0" collapsed="false">
      <c r="A201" s="11" t="s">
        <v>6671</v>
      </c>
      <c r="B201" s="11" t="s">
        <v>6672</v>
      </c>
      <c r="C201" s="11" t="s">
        <v>162</v>
      </c>
      <c r="D201" s="6" t="n">
        <v>3163525</v>
      </c>
      <c r="E201" s="5" t="s">
        <v>6207</v>
      </c>
      <c r="F201" s="5" t="s">
        <v>6207</v>
      </c>
      <c r="G201" s="11" t="s">
        <v>134</v>
      </c>
      <c r="H201" s="11" t="s">
        <v>6673</v>
      </c>
    </row>
    <row r="202" customFormat="false" ht="17.15" hidden="false" customHeight="false" outlineLevel="0" collapsed="false">
      <c r="A202" s="11" t="s">
        <v>6674</v>
      </c>
      <c r="B202" s="11" t="s">
        <v>2903</v>
      </c>
      <c r="C202" s="11" t="s">
        <v>149</v>
      </c>
      <c r="D202" s="6" t="n">
        <v>3158837</v>
      </c>
      <c r="E202" s="5" t="s">
        <v>6207</v>
      </c>
      <c r="F202" s="5" t="s">
        <v>6207</v>
      </c>
      <c r="G202" s="11" t="s">
        <v>134</v>
      </c>
      <c r="H202" s="11" t="s">
        <v>6675</v>
      </c>
    </row>
    <row r="203" customFormat="false" ht="17.15" hidden="false" customHeight="false" outlineLevel="0" collapsed="false">
      <c r="A203" s="11" t="s">
        <v>6676</v>
      </c>
      <c r="B203" s="11" t="s">
        <v>681</v>
      </c>
      <c r="C203" s="11" t="s">
        <v>175</v>
      </c>
      <c r="D203" s="6" t="n">
        <v>3133375</v>
      </c>
      <c r="E203" s="5" t="s">
        <v>6207</v>
      </c>
      <c r="F203" s="5" t="s">
        <v>6207</v>
      </c>
      <c r="G203" s="11" t="s">
        <v>134</v>
      </c>
      <c r="H203" s="11" t="s">
        <v>6677</v>
      </c>
    </row>
    <row r="204" customFormat="false" ht="17.15" hidden="false" customHeight="false" outlineLevel="0" collapsed="false">
      <c r="A204" s="11" t="s">
        <v>6678</v>
      </c>
      <c r="B204" s="11" t="s">
        <v>327</v>
      </c>
      <c r="C204" s="11" t="s">
        <v>155</v>
      </c>
      <c r="D204" s="6" t="n">
        <v>3107160</v>
      </c>
      <c r="E204" s="5" t="s">
        <v>6210</v>
      </c>
      <c r="F204" s="5" t="s">
        <v>6210</v>
      </c>
      <c r="G204" s="11" t="s">
        <v>137</v>
      </c>
      <c r="H204" s="11" t="s">
        <v>6679</v>
      </c>
    </row>
    <row r="205" customFormat="false" ht="17.15" hidden="false" customHeight="false" outlineLevel="0" collapsed="false">
      <c r="A205" s="11" t="s">
        <v>6680</v>
      </c>
      <c r="B205" s="11" t="s">
        <v>6681</v>
      </c>
      <c r="C205" s="11" t="s">
        <v>197</v>
      </c>
      <c r="D205" s="6" t="n">
        <v>3072098</v>
      </c>
      <c r="E205" s="5" t="s">
        <v>6239</v>
      </c>
      <c r="F205" s="5" t="s">
        <v>6239</v>
      </c>
      <c r="G205" s="11" t="s">
        <v>143</v>
      </c>
      <c r="H205" s="11" t="s">
        <v>6682</v>
      </c>
    </row>
    <row r="206" customFormat="false" ht="17.15" hidden="false" customHeight="false" outlineLevel="0" collapsed="false">
      <c r="A206" s="11" t="s">
        <v>6683</v>
      </c>
      <c r="B206" s="11" t="s">
        <v>308</v>
      </c>
      <c r="C206" s="11" t="s">
        <v>164</v>
      </c>
      <c r="D206" s="6" t="n">
        <v>3058210</v>
      </c>
      <c r="E206" s="5" t="s">
        <v>6207</v>
      </c>
      <c r="F206" s="5" t="s">
        <v>6377</v>
      </c>
      <c r="G206" s="11" t="s">
        <v>6378</v>
      </c>
      <c r="H206" s="11" t="s">
        <v>6684</v>
      </c>
    </row>
    <row r="207" customFormat="false" ht="17.15" hidden="false" customHeight="false" outlineLevel="0" collapsed="false">
      <c r="A207" s="11" t="s">
        <v>6685</v>
      </c>
      <c r="B207" s="11" t="s">
        <v>6686</v>
      </c>
      <c r="C207" s="11" t="s">
        <v>197</v>
      </c>
      <c r="D207" s="6" t="n">
        <v>3047229</v>
      </c>
      <c r="E207" s="5" t="s">
        <v>6239</v>
      </c>
      <c r="F207" s="5" t="s">
        <v>6239</v>
      </c>
      <c r="G207" s="11" t="s">
        <v>143</v>
      </c>
      <c r="H207" s="11" t="s">
        <v>6687</v>
      </c>
    </row>
    <row r="208" customFormat="false" ht="17.15" hidden="false" customHeight="false" outlineLevel="0" collapsed="false">
      <c r="A208" s="11" t="s">
        <v>6688</v>
      </c>
      <c r="B208" s="11" t="s">
        <v>6301</v>
      </c>
      <c r="C208" s="11" t="s">
        <v>175</v>
      </c>
      <c r="D208" s="6" t="n">
        <v>3036838</v>
      </c>
      <c r="E208" s="5" t="s">
        <v>6207</v>
      </c>
      <c r="F208" s="5" t="s">
        <v>6207</v>
      </c>
      <c r="G208" s="11" t="s">
        <v>134</v>
      </c>
      <c r="H208" s="11" t="s">
        <v>6689</v>
      </c>
    </row>
    <row r="209" customFormat="false" ht="17.15" hidden="false" customHeight="false" outlineLevel="0" collapsed="false">
      <c r="A209" s="11" t="s">
        <v>6690</v>
      </c>
      <c r="B209" s="11" t="s">
        <v>5608</v>
      </c>
      <c r="C209" s="11" t="s">
        <v>175</v>
      </c>
      <c r="D209" s="6" t="n">
        <v>2987003</v>
      </c>
      <c r="E209" s="5" t="s">
        <v>6207</v>
      </c>
      <c r="F209" s="5" t="s">
        <v>6207</v>
      </c>
      <c r="G209" s="11" t="s">
        <v>134</v>
      </c>
      <c r="H209" s="11" t="s">
        <v>6691</v>
      </c>
    </row>
    <row r="210" customFormat="false" ht="17.15" hidden="false" customHeight="false" outlineLevel="0" collapsed="false">
      <c r="A210" s="11" t="s">
        <v>3192</v>
      </c>
      <c r="B210" s="11" t="s">
        <v>327</v>
      </c>
      <c r="C210" s="11" t="s">
        <v>157</v>
      </c>
      <c r="D210" s="6" t="n">
        <v>2948081</v>
      </c>
      <c r="E210" s="5" t="s">
        <v>6210</v>
      </c>
      <c r="F210" s="5" t="s">
        <v>6210</v>
      </c>
      <c r="G210" s="11" t="s">
        <v>137</v>
      </c>
      <c r="H210" s="11" t="s">
        <v>6692</v>
      </c>
    </row>
    <row r="211" customFormat="false" ht="17.15" hidden="false" customHeight="false" outlineLevel="0" collapsed="false">
      <c r="A211" s="11" t="s">
        <v>6693</v>
      </c>
      <c r="B211" s="11" t="s">
        <v>1597</v>
      </c>
      <c r="C211" s="11" t="s">
        <v>187</v>
      </c>
      <c r="D211" s="6" t="n">
        <v>2931886</v>
      </c>
      <c r="E211" s="5" t="s">
        <v>6207</v>
      </c>
      <c r="F211" s="5" t="s">
        <v>6207</v>
      </c>
      <c r="G211" s="11" t="s">
        <v>134</v>
      </c>
      <c r="H211" s="11" t="s">
        <v>6694</v>
      </c>
    </row>
    <row r="212" customFormat="false" ht="17.15" hidden="false" customHeight="false" outlineLevel="0" collapsed="false">
      <c r="A212" s="11" t="s">
        <v>6695</v>
      </c>
      <c r="B212" s="11" t="s">
        <v>6390</v>
      </c>
      <c r="C212" s="11" t="s">
        <v>167</v>
      </c>
      <c r="D212" s="6" t="n">
        <v>2914115</v>
      </c>
      <c r="E212" s="5" t="s">
        <v>6207</v>
      </c>
      <c r="F212" s="5" t="s">
        <v>6377</v>
      </c>
      <c r="G212" s="11" t="s">
        <v>6378</v>
      </c>
      <c r="H212" s="11" t="s">
        <v>6696</v>
      </c>
    </row>
    <row r="213" customFormat="false" ht="17.15" hidden="false" customHeight="false" outlineLevel="0" collapsed="false">
      <c r="A213" s="11" t="s">
        <v>6697</v>
      </c>
      <c r="B213" s="11" t="s">
        <v>6698</v>
      </c>
      <c r="C213" s="11" t="s">
        <v>192</v>
      </c>
      <c r="D213" s="6" t="n">
        <v>2910414</v>
      </c>
      <c r="E213" s="5" t="s">
        <v>6239</v>
      </c>
      <c r="F213" s="5" t="s">
        <v>6239</v>
      </c>
      <c r="G213" s="11" t="s">
        <v>143</v>
      </c>
      <c r="H213" s="11" t="s">
        <v>6699</v>
      </c>
    </row>
    <row r="214" customFormat="false" ht="17.15" hidden="false" customHeight="false" outlineLevel="0" collapsed="false">
      <c r="A214" s="11" t="s">
        <v>6700</v>
      </c>
      <c r="B214" s="11" t="s">
        <v>6701</v>
      </c>
      <c r="C214" s="11" t="s">
        <v>175</v>
      </c>
      <c r="D214" s="6" t="n">
        <v>2901813</v>
      </c>
      <c r="E214" s="5" t="s">
        <v>6207</v>
      </c>
      <c r="F214" s="5" t="s">
        <v>6207</v>
      </c>
      <c r="G214" s="11" t="s">
        <v>134</v>
      </c>
      <c r="H214" s="11" t="s">
        <v>6702</v>
      </c>
    </row>
    <row r="215" customFormat="false" ht="17.15" hidden="false" customHeight="false" outlineLevel="0" collapsed="false">
      <c r="A215" s="11" t="s">
        <v>6703</v>
      </c>
      <c r="B215" s="11" t="s">
        <v>5784</v>
      </c>
      <c r="C215" s="11" t="s">
        <v>152</v>
      </c>
      <c r="D215" s="6" t="n">
        <v>2808758</v>
      </c>
      <c r="E215" s="5" t="s">
        <v>6207</v>
      </c>
      <c r="F215" s="5" t="s">
        <v>6207</v>
      </c>
      <c r="G215" s="11" t="s">
        <v>134</v>
      </c>
      <c r="H215" s="11" t="s">
        <v>6704</v>
      </c>
    </row>
    <row r="216" customFormat="false" ht="17.15" hidden="false" customHeight="false" outlineLevel="0" collapsed="false">
      <c r="A216" s="11" t="s">
        <v>6705</v>
      </c>
      <c r="B216" s="11" t="s">
        <v>6273</v>
      </c>
      <c r="C216" s="11" t="s">
        <v>166</v>
      </c>
      <c r="D216" s="6" t="n">
        <v>2808490</v>
      </c>
      <c r="E216" s="5" t="s">
        <v>6210</v>
      </c>
      <c r="F216" s="5" t="s">
        <v>6210</v>
      </c>
      <c r="G216" s="11" t="s">
        <v>137</v>
      </c>
      <c r="H216" s="11" t="s">
        <v>6706</v>
      </c>
    </row>
    <row r="217" customFormat="false" ht="17.15" hidden="false" customHeight="false" outlineLevel="0" collapsed="false">
      <c r="A217" s="11" t="s">
        <v>6707</v>
      </c>
      <c r="B217" s="11" t="s">
        <v>6708</v>
      </c>
      <c r="C217" s="11" t="s">
        <v>175</v>
      </c>
      <c r="D217" s="6" t="n">
        <v>2802522</v>
      </c>
      <c r="E217" s="5" t="s">
        <v>6207</v>
      </c>
      <c r="F217" s="5" t="s">
        <v>6207</v>
      </c>
      <c r="G217" s="11" t="s">
        <v>134</v>
      </c>
      <c r="H217" s="11" t="s">
        <v>6709</v>
      </c>
    </row>
    <row r="218" customFormat="false" ht="17.15" hidden="false" customHeight="false" outlineLevel="0" collapsed="false">
      <c r="A218" s="11" t="s">
        <v>6710</v>
      </c>
      <c r="B218" s="11" t="s">
        <v>6528</v>
      </c>
      <c r="C218" s="11" t="s">
        <v>192</v>
      </c>
      <c r="D218" s="6" t="n">
        <v>2801426</v>
      </c>
      <c r="E218" s="5" t="s">
        <v>6239</v>
      </c>
      <c r="F218" s="5" t="s">
        <v>6239</v>
      </c>
      <c r="G218" s="11" t="s">
        <v>143</v>
      </c>
      <c r="H218" s="11" t="s">
        <v>6711</v>
      </c>
    </row>
    <row r="219" customFormat="false" ht="17.15" hidden="false" customHeight="false" outlineLevel="0" collapsed="false">
      <c r="A219" s="11" t="s">
        <v>6712</v>
      </c>
      <c r="B219" s="11" t="s">
        <v>6273</v>
      </c>
      <c r="C219" s="11" t="s">
        <v>153</v>
      </c>
      <c r="D219" s="6" t="n">
        <v>2782966</v>
      </c>
      <c r="E219" s="5" t="s">
        <v>6210</v>
      </c>
      <c r="F219" s="5" t="s">
        <v>6274</v>
      </c>
      <c r="G219" s="11" t="s">
        <v>6275</v>
      </c>
      <c r="H219" s="11" t="s">
        <v>6713</v>
      </c>
    </row>
    <row r="220" customFormat="false" ht="17.15" hidden="false" customHeight="false" outlineLevel="0" collapsed="false">
      <c r="A220" s="11" t="s">
        <v>6714</v>
      </c>
      <c r="B220" s="11" t="s">
        <v>6715</v>
      </c>
      <c r="C220" s="5"/>
      <c r="D220" s="6" t="n">
        <v>2762947</v>
      </c>
      <c r="E220" s="5" t="s">
        <v>6207</v>
      </c>
      <c r="F220" s="5" t="s">
        <v>6716</v>
      </c>
      <c r="G220" s="11" t="s">
        <v>6542</v>
      </c>
      <c r="H220" s="11" t="s">
        <v>6717</v>
      </c>
    </row>
    <row r="221" customFormat="false" ht="17.15" hidden="false" customHeight="false" outlineLevel="0" collapsed="false">
      <c r="A221" s="11" t="s">
        <v>6718</v>
      </c>
      <c r="B221" s="11" t="s">
        <v>6719</v>
      </c>
      <c r="C221" s="11" t="s">
        <v>162</v>
      </c>
      <c r="D221" s="6" t="n">
        <v>2756307</v>
      </c>
      <c r="E221" s="5" t="s">
        <v>6207</v>
      </c>
      <c r="F221" s="5" t="s">
        <v>6207</v>
      </c>
      <c r="G221" s="11" t="s">
        <v>134</v>
      </c>
      <c r="H221" s="11" t="s">
        <v>6720</v>
      </c>
    </row>
    <row r="222" customFormat="false" ht="17.15" hidden="false" customHeight="false" outlineLevel="0" collapsed="false">
      <c r="A222" s="11" t="s">
        <v>6721</v>
      </c>
      <c r="B222" s="11" t="s">
        <v>327</v>
      </c>
      <c r="C222" s="11" t="s">
        <v>155</v>
      </c>
      <c r="D222" s="6" t="n">
        <v>2746406</v>
      </c>
      <c r="E222" s="5" t="s">
        <v>6210</v>
      </c>
      <c r="F222" s="5" t="s">
        <v>6210</v>
      </c>
      <c r="G222" s="11" t="s">
        <v>137</v>
      </c>
      <c r="H222" s="11" t="s">
        <v>6722</v>
      </c>
    </row>
    <row r="223" customFormat="false" ht="17.15" hidden="false" customHeight="false" outlineLevel="0" collapsed="false">
      <c r="A223" s="11" t="s">
        <v>6723</v>
      </c>
      <c r="B223" s="11" t="s">
        <v>6724</v>
      </c>
      <c r="C223" s="11" t="s">
        <v>153</v>
      </c>
      <c r="D223" s="6" t="n">
        <v>2738331</v>
      </c>
      <c r="E223" s="5" t="s">
        <v>6207</v>
      </c>
      <c r="F223" s="5" t="s">
        <v>6377</v>
      </c>
      <c r="G223" s="11" t="s">
        <v>6378</v>
      </c>
      <c r="H223" s="11" t="s">
        <v>6725</v>
      </c>
    </row>
    <row r="224" customFormat="false" ht="17.15" hidden="false" customHeight="false" outlineLevel="0" collapsed="false">
      <c r="A224" s="11" t="s">
        <v>6726</v>
      </c>
      <c r="B224" s="11" t="s">
        <v>6727</v>
      </c>
      <c r="C224" s="11" t="s">
        <v>175</v>
      </c>
      <c r="D224" s="6" t="n">
        <v>2729274</v>
      </c>
      <c r="E224" s="5" t="s">
        <v>6207</v>
      </c>
      <c r="F224" s="5" t="s">
        <v>6207</v>
      </c>
      <c r="G224" s="11" t="s">
        <v>134</v>
      </c>
      <c r="H224" s="11" t="s">
        <v>6728</v>
      </c>
    </row>
    <row r="225" customFormat="false" ht="17.15" hidden="false" customHeight="false" outlineLevel="0" collapsed="false">
      <c r="A225" s="11" t="s">
        <v>6729</v>
      </c>
      <c r="B225" s="11" t="s">
        <v>681</v>
      </c>
      <c r="C225" s="11" t="s">
        <v>175</v>
      </c>
      <c r="D225" s="6" t="n">
        <v>2710248</v>
      </c>
      <c r="E225" s="5" t="s">
        <v>6207</v>
      </c>
      <c r="F225" s="5" t="s">
        <v>6207</v>
      </c>
      <c r="G225" s="11" t="s">
        <v>134</v>
      </c>
      <c r="H225" s="11" t="s">
        <v>6730</v>
      </c>
    </row>
    <row r="226" customFormat="false" ht="17.15" hidden="false" customHeight="false" outlineLevel="0" collapsed="false">
      <c r="A226" s="11" t="s">
        <v>6731</v>
      </c>
      <c r="B226" s="11" t="s">
        <v>4635</v>
      </c>
      <c r="C226" s="11" t="s">
        <v>194</v>
      </c>
      <c r="D226" s="6" t="n">
        <v>2704483</v>
      </c>
      <c r="E226" s="5" t="s">
        <v>6239</v>
      </c>
      <c r="F226" s="5" t="s">
        <v>6239</v>
      </c>
      <c r="G226" s="11" t="s">
        <v>143</v>
      </c>
      <c r="H226" s="11" t="s">
        <v>6732</v>
      </c>
    </row>
    <row r="227" customFormat="false" ht="17.15" hidden="false" customHeight="false" outlineLevel="0" collapsed="false">
      <c r="A227" s="11" t="s">
        <v>6733</v>
      </c>
      <c r="B227" s="11" t="s">
        <v>6287</v>
      </c>
      <c r="C227" s="11" t="s">
        <v>162</v>
      </c>
      <c r="D227" s="6" t="n">
        <v>2691010</v>
      </c>
      <c r="E227" s="5" t="s">
        <v>6207</v>
      </c>
      <c r="F227" s="5" t="s">
        <v>6207</v>
      </c>
      <c r="G227" s="11" t="s">
        <v>134</v>
      </c>
      <c r="H227" s="11" t="s">
        <v>6734</v>
      </c>
    </row>
    <row r="228" customFormat="false" ht="17.15" hidden="false" customHeight="false" outlineLevel="0" collapsed="false">
      <c r="A228" s="11" t="s">
        <v>6735</v>
      </c>
      <c r="B228" s="11" t="s">
        <v>6528</v>
      </c>
      <c r="C228" s="11" t="s">
        <v>193</v>
      </c>
      <c r="D228" s="6" t="n">
        <v>2645872</v>
      </c>
      <c r="E228" s="5" t="s">
        <v>6239</v>
      </c>
      <c r="F228" s="5" t="s">
        <v>6239</v>
      </c>
      <c r="G228" s="11" t="s">
        <v>143</v>
      </c>
      <c r="H228" s="11" t="s">
        <v>6736</v>
      </c>
    </row>
    <row r="229" customFormat="false" ht="17.15" hidden="false" customHeight="false" outlineLevel="0" collapsed="false">
      <c r="A229" s="11" t="s">
        <v>6737</v>
      </c>
      <c r="B229" s="11" t="s">
        <v>2557</v>
      </c>
      <c r="C229" s="11" t="s">
        <v>168</v>
      </c>
      <c r="D229" s="6" t="n">
        <v>2627331</v>
      </c>
      <c r="E229" s="5" t="s">
        <v>6207</v>
      </c>
      <c r="F229" s="5" t="s">
        <v>6207</v>
      </c>
      <c r="G229" s="11" t="s">
        <v>134</v>
      </c>
      <c r="H229" s="11" t="s">
        <v>6738</v>
      </c>
    </row>
    <row r="230" customFormat="false" ht="15" hidden="false" customHeight="false" outlineLevel="0" collapsed="false">
      <c r="A230" s="11" t="s">
        <v>6739</v>
      </c>
      <c r="B230" s="11" t="s">
        <v>6282</v>
      </c>
      <c r="C230" s="11" t="s">
        <v>149</v>
      </c>
      <c r="D230" s="6" t="n">
        <v>2613080</v>
      </c>
      <c r="E230" s="5" t="s">
        <v>141</v>
      </c>
      <c r="F230" s="5" t="s">
        <v>141</v>
      </c>
      <c r="G230" s="11" t="s">
        <v>140</v>
      </c>
      <c r="H230" s="11" t="s">
        <v>6740</v>
      </c>
    </row>
    <row r="231" customFormat="false" ht="17.15" hidden="false" customHeight="false" outlineLevel="0" collapsed="false">
      <c r="A231" s="11" t="s">
        <v>6741</v>
      </c>
      <c r="B231" s="11" t="s">
        <v>2557</v>
      </c>
      <c r="C231" s="11" t="s">
        <v>168</v>
      </c>
      <c r="D231" s="6" t="n">
        <v>2613036</v>
      </c>
      <c r="E231" s="5" t="s">
        <v>6207</v>
      </c>
      <c r="F231" s="5" t="s">
        <v>6207</v>
      </c>
      <c r="G231" s="11" t="s">
        <v>134</v>
      </c>
      <c r="H231" s="11" t="s">
        <v>6742</v>
      </c>
    </row>
    <row r="232" customFormat="false" ht="17.15" hidden="false" customHeight="false" outlineLevel="0" collapsed="false">
      <c r="A232" s="11" t="s">
        <v>6743</v>
      </c>
      <c r="B232" s="11" t="s">
        <v>5099</v>
      </c>
      <c r="C232" s="11" t="s">
        <v>162</v>
      </c>
      <c r="D232" s="6" t="n">
        <v>2612179</v>
      </c>
      <c r="E232" s="5" t="s">
        <v>6207</v>
      </c>
      <c r="F232" s="5" t="s">
        <v>6207</v>
      </c>
      <c r="G232" s="11" t="s">
        <v>134</v>
      </c>
      <c r="H232" s="11" t="s">
        <v>6744</v>
      </c>
    </row>
    <row r="233" customFormat="false" ht="17.15" hidden="false" customHeight="false" outlineLevel="0" collapsed="false">
      <c r="A233" s="11" t="s">
        <v>5527</v>
      </c>
      <c r="B233" s="11" t="s">
        <v>308</v>
      </c>
      <c r="C233" s="11" t="s">
        <v>172</v>
      </c>
      <c r="D233" s="6" t="n">
        <v>2611584</v>
      </c>
      <c r="E233" s="5" t="s">
        <v>6207</v>
      </c>
      <c r="F233" s="5" t="s">
        <v>6207</v>
      </c>
      <c r="G233" s="11" t="s">
        <v>134</v>
      </c>
      <c r="H233" s="11" t="s">
        <v>6745</v>
      </c>
    </row>
    <row r="234" customFormat="false" ht="15" hidden="false" customHeight="false" outlineLevel="0" collapsed="false">
      <c r="A234" s="11" t="s">
        <v>6746</v>
      </c>
      <c r="B234" s="11" t="s">
        <v>6406</v>
      </c>
      <c r="C234" s="11" t="s">
        <v>157</v>
      </c>
      <c r="D234" s="6" t="n">
        <v>2610833</v>
      </c>
      <c r="E234" s="5" t="s">
        <v>6227</v>
      </c>
      <c r="F234" s="5" t="s">
        <v>6227</v>
      </c>
      <c r="G234" s="11" t="s">
        <v>134</v>
      </c>
      <c r="H234" s="11" t="s">
        <v>6747</v>
      </c>
    </row>
    <row r="235" customFormat="false" ht="17.15" hidden="false" customHeight="false" outlineLevel="0" collapsed="false">
      <c r="A235" s="11" t="s">
        <v>6748</v>
      </c>
      <c r="B235" s="11" t="s">
        <v>6749</v>
      </c>
      <c r="C235" s="11" t="s">
        <v>155</v>
      </c>
      <c r="D235" s="6" t="n">
        <v>2608772</v>
      </c>
      <c r="E235" s="5" t="s">
        <v>6210</v>
      </c>
      <c r="F235" s="5" t="s">
        <v>6210</v>
      </c>
      <c r="G235" s="11" t="s">
        <v>137</v>
      </c>
      <c r="H235" s="11" t="s">
        <v>6750</v>
      </c>
    </row>
    <row r="236" customFormat="false" ht="17.15" hidden="false" customHeight="false" outlineLevel="0" collapsed="false">
      <c r="A236" s="11" t="s">
        <v>6751</v>
      </c>
      <c r="B236" s="11" t="s">
        <v>681</v>
      </c>
      <c r="C236" s="11" t="s">
        <v>189</v>
      </c>
      <c r="D236" s="6" t="n">
        <v>2570653</v>
      </c>
      <c r="E236" s="5" t="s">
        <v>141</v>
      </c>
      <c r="F236" s="5" t="s">
        <v>6495</v>
      </c>
      <c r="G236" s="11" t="s">
        <v>6496</v>
      </c>
      <c r="H236" s="11" t="s">
        <v>6752</v>
      </c>
    </row>
    <row r="237" customFormat="false" ht="17.15" hidden="false" customHeight="false" outlineLevel="0" collapsed="false">
      <c r="A237" s="11" t="s">
        <v>6753</v>
      </c>
      <c r="B237" s="11" t="s">
        <v>6322</v>
      </c>
      <c r="C237" s="5"/>
      <c r="D237" s="6" t="n">
        <v>2562058</v>
      </c>
      <c r="E237" s="5" t="s">
        <v>6207</v>
      </c>
      <c r="F237" s="5" t="s">
        <v>6207</v>
      </c>
      <c r="G237" s="11" t="s">
        <v>134</v>
      </c>
      <c r="H237" s="11" t="s">
        <v>6754</v>
      </c>
    </row>
    <row r="238" customFormat="false" ht="17.15" hidden="false" customHeight="false" outlineLevel="0" collapsed="false">
      <c r="A238" s="11" t="s">
        <v>6755</v>
      </c>
      <c r="B238" s="11" t="s">
        <v>6756</v>
      </c>
      <c r="C238" s="11" t="s">
        <v>178</v>
      </c>
      <c r="D238" s="6" t="n">
        <v>2555174</v>
      </c>
      <c r="E238" s="5" t="s">
        <v>6207</v>
      </c>
      <c r="F238" s="5" t="s">
        <v>6207</v>
      </c>
      <c r="G238" s="11" t="s">
        <v>134</v>
      </c>
      <c r="H238" s="11" t="s">
        <v>6757</v>
      </c>
    </row>
    <row r="239" customFormat="false" ht="17.15" hidden="false" customHeight="false" outlineLevel="0" collapsed="false">
      <c r="A239" s="11" t="s">
        <v>6758</v>
      </c>
      <c r="B239" s="11" t="s">
        <v>6759</v>
      </c>
      <c r="C239" s="11" t="s">
        <v>149</v>
      </c>
      <c r="D239" s="6" t="n">
        <v>2541909</v>
      </c>
      <c r="E239" s="5" t="s">
        <v>6207</v>
      </c>
      <c r="F239" s="5" t="s">
        <v>6207</v>
      </c>
      <c r="G239" s="11" t="s">
        <v>134</v>
      </c>
      <c r="H239" s="11" t="s">
        <v>6760</v>
      </c>
    </row>
    <row r="240" customFormat="false" ht="17.15" hidden="false" customHeight="false" outlineLevel="0" collapsed="false">
      <c r="A240" s="11" t="s">
        <v>6761</v>
      </c>
      <c r="B240" s="11" t="s">
        <v>6762</v>
      </c>
      <c r="C240" s="11" t="s">
        <v>162</v>
      </c>
      <c r="D240" s="6" t="n">
        <v>2474446</v>
      </c>
      <c r="E240" s="5" t="s">
        <v>6264</v>
      </c>
      <c r="F240" s="5" t="s">
        <v>6648</v>
      </c>
      <c r="G240" s="11" t="s">
        <v>6649</v>
      </c>
      <c r="H240" s="11" t="s">
        <v>6763</v>
      </c>
    </row>
    <row r="241" customFormat="false" ht="17.15" hidden="false" customHeight="false" outlineLevel="0" collapsed="false">
      <c r="A241" s="11" t="s">
        <v>6764</v>
      </c>
      <c r="B241" s="11" t="s">
        <v>681</v>
      </c>
      <c r="C241" s="11" t="s">
        <v>174</v>
      </c>
      <c r="D241" s="6" t="n">
        <v>2468688</v>
      </c>
      <c r="E241" s="5" t="s">
        <v>6207</v>
      </c>
      <c r="F241" s="5" t="s">
        <v>6207</v>
      </c>
      <c r="G241" s="11" t="s">
        <v>134</v>
      </c>
      <c r="H241" s="11" t="s">
        <v>6765</v>
      </c>
    </row>
    <row r="242" customFormat="false" ht="15" hidden="false" customHeight="false" outlineLevel="0" collapsed="false">
      <c r="A242" s="11" t="s">
        <v>6766</v>
      </c>
      <c r="B242" s="11" t="s">
        <v>6767</v>
      </c>
      <c r="C242" s="11" t="s">
        <v>174</v>
      </c>
      <c r="D242" s="6" t="n">
        <v>2446382</v>
      </c>
      <c r="E242" s="5" t="s">
        <v>141</v>
      </c>
      <c r="F242" s="5" t="s">
        <v>141</v>
      </c>
      <c r="G242" s="11" t="s">
        <v>140</v>
      </c>
      <c r="H242" s="11" t="s">
        <v>6768</v>
      </c>
    </row>
    <row r="243" customFormat="false" ht="17.15" hidden="false" customHeight="false" outlineLevel="0" collapsed="false">
      <c r="A243" s="11" t="s">
        <v>6769</v>
      </c>
      <c r="B243" s="11" t="s">
        <v>308</v>
      </c>
      <c r="C243" s="11" t="s">
        <v>175</v>
      </c>
      <c r="D243" s="6" t="n">
        <v>2438081</v>
      </c>
      <c r="E243" s="5" t="s">
        <v>6210</v>
      </c>
      <c r="F243" s="5" t="s">
        <v>6210</v>
      </c>
      <c r="G243" s="11" t="s">
        <v>137</v>
      </c>
      <c r="H243" s="11" t="s">
        <v>6770</v>
      </c>
    </row>
    <row r="244" customFormat="false" ht="15" hidden="false" customHeight="false" outlineLevel="0" collapsed="false">
      <c r="A244" s="11" t="s">
        <v>6771</v>
      </c>
      <c r="B244" s="11" t="s">
        <v>839</v>
      </c>
      <c r="C244" s="11" t="s">
        <v>158</v>
      </c>
      <c r="D244" s="6" t="n">
        <v>2415928</v>
      </c>
      <c r="E244" s="5" t="s">
        <v>141</v>
      </c>
      <c r="F244" s="5" t="s">
        <v>141</v>
      </c>
      <c r="G244" s="11" t="s">
        <v>140</v>
      </c>
      <c r="H244" s="11" t="s">
        <v>6772</v>
      </c>
    </row>
    <row r="245" customFormat="false" ht="17.15" hidden="false" customHeight="false" outlineLevel="0" collapsed="false">
      <c r="A245" s="11" t="s">
        <v>6773</v>
      </c>
      <c r="B245" s="11" t="s">
        <v>6774</v>
      </c>
      <c r="C245" s="11" t="s">
        <v>194</v>
      </c>
      <c r="D245" s="6" t="n">
        <v>2400307</v>
      </c>
      <c r="E245" s="5" t="s">
        <v>6239</v>
      </c>
      <c r="F245" s="5" t="s">
        <v>6239</v>
      </c>
      <c r="G245" s="11" t="s">
        <v>143</v>
      </c>
      <c r="H245" s="11" t="s">
        <v>6775</v>
      </c>
    </row>
    <row r="246" customFormat="false" ht="17.15" hidden="false" customHeight="false" outlineLevel="0" collapsed="false">
      <c r="A246" s="11" t="s">
        <v>6776</v>
      </c>
      <c r="B246" s="11" t="s">
        <v>6430</v>
      </c>
      <c r="C246" s="11" t="s">
        <v>175</v>
      </c>
      <c r="D246" s="6" t="n">
        <v>2400287</v>
      </c>
      <c r="E246" s="5" t="s">
        <v>6207</v>
      </c>
      <c r="F246" s="5" t="s">
        <v>6207</v>
      </c>
      <c r="G246" s="11" t="s">
        <v>134</v>
      </c>
      <c r="H246" s="11" t="s">
        <v>6777</v>
      </c>
    </row>
    <row r="247" customFormat="false" ht="15" hidden="false" customHeight="false" outlineLevel="0" collapsed="false">
      <c r="A247" s="11" t="s">
        <v>6778</v>
      </c>
      <c r="B247" s="11" t="s">
        <v>6779</v>
      </c>
      <c r="C247" s="11" t="s">
        <v>162</v>
      </c>
      <c r="D247" s="6" t="n">
        <v>2366451</v>
      </c>
      <c r="E247" s="5" t="s">
        <v>141</v>
      </c>
      <c r="F247" s="5" t="s">
        <v>141</v>
      </c>
      <c r="G247" s="11" t="s">
        <v>140</v>
      </c>
      <c r="H247" s="11" t="s">
        <v>6780</v>
      </c>
    </row>
    <row r="248" customFormat="false" ht="17.15" hidden="false" customHeight="false" outlineLevel="0" collapsed="false">
      <c r="A248" s="11" t="s">
        <v>6781</v>
      </c>
      <c r="B248" s="11" t="s">
        <v>6782</v>
      </c>
      <c r="C248" s="11" t="s">
        <v>162</v>
      </c>
      <c r="D248" s="6" t="n">
        <v>2336131</v>
      </c>
      <c r="E248" s="5" t="s">
        <v>6207</v>
      </c>
      <c r="F248" s="5" t="s">
        <v>6207</v>
      </c>
      <c r="G248" s="11" t="s">
        <v>134</v>
      </c>
      <c r="H248" s="11" t="s">
        <v>6783</v>
      </c>
    </row>
    <row r="249" customFormat="false" ht="17.15" hidden="false" customHeight="false" outlineLevel="0" collapsed="false">
      <c r="A249" s="11" t="s">
        <v>6784</v>
      </c>
      <c r="B249" s="11" t="s">
        <v>6566</v>
      </c>
      <c r="C249" s="11" t="s">
        <v>175</v>
      </c>
      <c r="D249" s="6" t="n">
        <v>2321691</v>
      </c>
      <c r="E249" s="5" t="s">
        <v>6207</v>
      </c>
      <c r="F249" s="5" t="s">
        <v>6207</v>
      </c>
      <c r="G249" s="11" t="s">
        <v>134</v>
      </c>
      <c r="H249" s="11" t="s">
        <v>6785</v>
      </c>
    </row>
    <row r="250" customFormat="false" ht="17.15" hidden="false" customHeight="false" outlineLevel="0" collapsed="false">
      <c r="A250" s="11" t="s">
        <v>6786</v>
      </c>
      <c r="B250" s="11" t="s">
        <v>681</v>
      </c>
      <c r="C250" s="11" t="s">
        <v>162</v>
      </c>
      <c r="D250" s="6" t="n">
        <v>2318632</v>
      </c>
      <c r="E250" s="5" t="s">
        <v>6207</v>
      </c>
      <c r="F250" s="5" t="s">
        <v>6207</v>
      </c>
      <c r="G250" s="11" t="s">
        <v>134</v>
      </c>
      <c r="H250" s="11" t="s">
        <v>6787</v>
      </c>
    </row>
    <row r="251" customFormat="false" ht="17.15" hidden="false" customHeight="false" outlineLevel="0" collapsed="false">
      <c r="A251" s="11" t="s">
        <v>6788</v>
      </c>
      <c r="B251" s="11" t="s">
        <v>308</v>
      </c>
      <c r="C251" s="11" t="s">
        <v>149</v>
      </c>
      <c r="D251" s="6" t="n">
        <v>2306758</v>
      </c>
      <c r="E251" s="5" t="s">
        <v>6207</v>
      </c>
      <c r="F251" s="5" t="s">
        <v>6207</v>
      </c>
      <c r="G251" s="11" t="s">
        <v>134</v>
      </c>
      <c r="H251" s="11" t="s">
        <v>6789</v>
      </c>
    </row>
    <row r="252" customFormat="false" ht="17.15" hidden="false" customHeight="false" outlineLevel="0" collapsed="false">
      <c r="A252" s="11" t="s">
        <v>6117</v>
      </c>
      <c r="B252" s="11" t="s">
        <v>681</v>
      </c>
      <c r="C252" s="11" t="s">
        <v>161</v>
      </c>
      <c r="D252" s="6" t="n">
        <v>2306080</v>
      </c>
      <c r="E252" s="5" t="s">
        <v>6207</v>
      </c>
      <c r="F252" s="5" t="s">
        <v>6207</v>
      </c>
      <c r="G252" s="11" t="s">
        <v>134</v>
      </c>
      <c r="H252" s="11" t="s">
        <v>6790</v>
      </c>
    </row>
    <row r="253" customFormat="false" ht="17.15" hidden="false" customHeight="false" outlineLevel="0" collapsed="false">
      <c r="A253" s="11" t="s">
        <v>6791</v>
      </c>
      <c r="B253" s="11" t="s">
        <v>2639</v>
      </c>
      <c r="C253" s="11" t="s">
        <v>155</v>
      </c>
      <c r="D253" s="6" t="n">
        <v>2286179</v>
      </c>
      <c r="E253" s="5" t="s">
        <v>6207</v>
      </c>
      <c r="F253" s="5" t="s">
        <v>6207</v>
      </c>
      <c r="G253" s="11" t="s">
        <v>134</v>
      </c>
      <c r="H253" s="11" t="s">
        <v>6792</v>
      </c>
    </row>
    <row r="254" customFormat="false" ht="17.15" hidden="false" customHeight="false" outlineLevel="0" collapsed="false">
      <c r="A254" s="11" t="s">
        <v>6793</v>
      </c>
      <c r="B254" s="11" t="s">
        <v>6273</v>
      </c>
      <c r="C254" s="11" t="s">
        <v>153</v>
      </c>
      <c r="D254" s="6" t="n">
        <v>2233702</v>
      </c>
      <c r="E254" s="5" t="s">
        <v>6210</v>
      </c>
      <c r="F254" s="5" t="s">
        <v>6210</v>
      </c>
      <c r="G254" s="11" t="s">
        <v>137</v>
      </c>
      <c r="H254" s="11" t="s">
        <v>6794</v>
      </c>
    </row>
    <row r="255" customFormat="false" ht="17.15" hidden="false" customHeight="false" outlineLevel="0" collapsed="false">
      <c r="A255" s="11" t="s">
        <v>6795</v>
      </c>
      <c r="B255" s="11" t="s">
        <v>6796</v>
      </c>
      <c r="C255" s="11" t="s">
        <v>162</v>
      </c>
      <c r="D255" s="6" t="n">
        <v>2219528</v>
      </c>
      <c r="E255" s="5" t="s">
        <v>6207</v>
      </c>
      <c r="F255" s="5" t="s">
        <v>6207</v>
      </c>
      <c r="G255" s="11" t="s">
        <v>134</v>
      </c>
      <c r="H255" s="11" t="s">
        <v>6797</v>
      </c>
    </row>
    <row r="256" customFormat="false" ht="17.15" hidden="false" customHeight="false" outlineLevel="0" collapsed="false">
      <c r="A256" s="11" t="s">
        <v>6798</v>
      </c>
      <c r="B256" s="11" t="s">
        <v>6602</v>
      </c>
      <c r="C256" s="11" t="s">
        <v>183</v>
      </c>
      <c r="D256" s="6" t="n">
        <v>2207033</v>
      </c>
      <c r="E256" s="5" t="s">
        <v>6210</v>
      </c>
      <c r="F256" s="5" t="s">
        <v>6210</v>
      </c>
      <c r="G256" s="11" t="s">
        <v>137</v>
      </c>
      <c r="H256" s="11" t="s">
        <v>6799</v>
      </c>
    </row>
    <row r="257" customFormat="false" ht="15" hidden="false" customHeight="false" outlineLevel="0" collapsed="false">
      <c r="A257" s="11" t="s">
        <v>6800</v>
      </c>
      <c r="B257" s="11" t="s">
        <v>6801</v>
      </c>
      <c r="C257" s="5"/>
      <c r="D257" s="6" t="n">
        <v>2190463</v>
      </c>
      <c r="E257" s="5" t="s">
        <v>6227</v>
      </c>
      <c r="F257" s="5" t="s">
        <v>6227</v>
      </c>
      <c r="G257" s="11" t="s">
        <v>134</v>
      </c>
      <c r="H257" s="11" t="s">
        <v>6802</v>
      </c>
    </row>
    <row r="258" customFormat="false" ht="17.15" hidden="false" customHeight="false" outlineLevel="0" collapsed="false">
      <c r="A258" s="11" t="s">
        <v>6803</v>
      </c>
      <c r="B258" s="11" t="s">
        <v>6301</v>
      </c>
      <c r="C258" s="11" t="s">
        <v>175</v>
      </c>
      <c r="D258" s="6" t="n">
        <v>2164690</v>
      </c>
      <c r="E258" s="5" t="s">
        <v>6207</v>
      </c>
      <c r="F258" s="5" t="s">
        <v>6207</v>
      </c>
      <c r="G258" s="11" t="s">
        <v>134</v>
      </c>
      <c r="H258" s="11" t="s">
        <v>6804</v>
      </c>
    </row>
    <row r="259" customFormat="false" ht="17.15" hidden="false" customHeight="false" outlineLevel="0" collapsed="false">
      <c r="A259" s="11" t="s">
        <v>6805</v>
      </c>
      <c r="B259" s="11" t="s">
        <v>1214</v>
      </c>
      <c r="C259" s="11" t="s">
        <v>192</v>
      </c>
      <c r="D259" s="6" t="n">
        <v>2161961</v>
      </c>
      <c r="E259" s="5" t="s">
        <v>6239</v>
      </c>
      <c r="F259" s="5" t="s">
        <v>6239</v>
      </c>
      <c r="G259" s="11" t="s">
        <v>143</v>
      </c>
      <c r="H259" s="11" t="s">
        <v>6806</v>
      </c>
    </row>
    <row r="260" customFormat="false" ht="17.15" hidden="false" customHeight="false" outlineLevel="0" collapsed="false">
      <c r="A260" s="11" t="s">
        <v>6807</v>
      </c>
      <c r="B260" s="11" t="s">
        <v>2639</v>
      </c>
      <c r="C260" s="11" t="s">
        <v>155</v>
      </c>
      <c r="D260" s="6" t="n">
        <v>2153623</v>
      </c>
      <c r="E260" s="5" t="s">
        <v>6207</v>
      </c>
      <c r="F260" s="5" t="s">
        <v>6207</v>
      </c>
      <c r="G260" s="11" t="s">
        <v>134</v>
      </c>
      <c r="H260" s="11" t="s">
        <v>6808</v>
      </c>
    </row>
    <row r="261" customFormat="false" ht="17.15" hidden="false" customHeight="false" outlineLevel="0" collapsed="false">
      <c r="A261" s="11" t="s">
        <v>4056</v>
      </c>
      <c r="B261" s="11" t="s">
        <v>327</v>
      </c>
      <c r="C261" s="11" t="s">
        <v>175</v>
      </c>
      <c r="D261" s="6" t="n">
        <v>2149704</v>
      </c>
      <c r="E261" s="5" t="s">
        <v>6207</v>
      </c>
      <c r="F261" s="5" t="s">
        <v>6207</v>
      </c>
      <c r="G261" s="11" t="s">
        <v>134</v>
      </c>
      <c r="H261" s="11" t="s">
        <v>6809</v>
      </c>
    </row>
    <row r="262" customFormat="false" ht="17.15" hidden="false" customHeight="false" outlineLevel="0" collapsed="false">
      <c r="A262" s="11" t="s">
        <v>6810</v>
      </c>
      <c r="B262" s="11" t="s">
        <v>6811</v>
      </c>
      <c r="C262" s="11" t="s">
        <v>155</v>
      </c>
      <c r="D262" s="6" t="n">
        <v>2138286</v>
      </c>
      <c r="E262" s="5" t="s">
        <v>6207</v>
      </c>
      <c r="F262" s="5" t="s">
        <v>6207</v>
      </c>
      <c r="G262" s="11" t="s">
        <v>134</v>
      </c>
      <c r="H262" s="11" t="s">
        <v>6812</v>
      </c>
    </row>
    <row r="263" customFormat="false" ht="17.15" hidden="false" customHeight="false" outlineLevel="0" collapsed="false">
      <c r="A263" s="11" t="s">
        <v>6813</v>
      </c>
      <c r="B263" s="11" t="s">
        <v>6727</v>
      </c>
      <c r="C263" s="11" t="s">
        <v>175</v>
      </c>
      <c r="D263" s="6" t="n">
        <v>2130147</v>
      </c>
      <c r="E263" s="5" t="s">
        <v>6207</v>
      </c>
      <c r="F263" s="5" t="s">
        <v>6207</v>
      </c>
      <c r="G263" s="11" t="s">
        <v>134</v>
      </c>
      <c r="H263" s="11" t="s">
        <v>6814</v>
      </c>
    </row>
    <row r="264" customFormat="false" ht="17.15" hidden="false" customHeight="false" outlineLevel="0" collapsed="false">
      <c r="A264" s="11" t="s">
        <v>6815</v>
      </c>
      <c r="B264" s="11" t="s">
        <v>6698</v>
      </c>
      <c r="C264" s="11" t="s">
        <v>192</v>
      </c>
      <c r="D264" s="6" t="n">
        <v>2125117</v>
      </c>
      <c r="E264" s="5" t="s">
        <v>6239</v>
      </c>
      <c r="F264" s="5" t="s">
        <v>6239</v>
      </c>
      <c r="G264" s="11" t="s">
        <v>143</v>
      </c>
      <c r="H264" s="11" t="s">
        <v>6816</v>
      </c>
    </row>
    <row r="265" customFormat="false" ht="17.15" hidden="false" customHeight="false" outlineLevel="0" collapsed="false">
      <c r="A265" s="11" t="s">
        <v>6817</v>
      </c>
      <c r="B265" s="11" t="s">
        <v>6818</v>
      </c>
      <c r="C265" s="11" t="s">
        <v>150</v>
      </c>
      <c r="D265" s="6" t="n">
        <v>2119905</v>
      </c>
      <c r="E265" s="5" t="s">
        <v>6207</v>
      </c>
      <c r="F265" s="5" t="s">
        <v>6207</v>
      </c>
      <c r="G265" s="11" t="s">
        <v>134</v>
      </c>
      <c r="H265" s="11" t="s">
        <v>6819</v>
      </c>
    </row>
    <row r="266" customFormat="false" ht="15" hidden="false" customHeight="false" outlineLevel="0" collapsed="false">
      <c r="A266" s="11" t="s">
        <v>6820</v>
      </c>
      <c r="B266" s="11" t="s">
        <v>6412</v>
      </c>
      <c r="C266" s="11" t="s">
        <v>156</v>
      </c>
      <c r="D266" s="6" t="n">
        <v>2106082</v>
      </c>
      <c r="E266" s="5" t="s">
        <v>6413</v>
      </c>
      <c r="F266" s="5" t="s">
        <v>6413</v>
      </c>
      <c r="G266" s="11" t="s">
        <v>128</v>
      </c>
      <c r="H266" s="11" t="s">
        <v>6821</v>
      </c>
    </row>
    <row r="267" customFormat="false" ht="17.15" hidden="false" customHeight="false" outlineLevel="0" collapsed="false">
      <c r="A267" s="11" t="s">
        <v>6822</v>
      </c>
      <c r="B267" s="11" t="s">
        <v>3884</v>
      </c>
      <c r="C267" s="11" t="s">
        <v>155</v>
      </c>
      <c r="D267" s="6" t="n">
        <v>2101934</v>
      </c>
      <c r="E267" s="5" t="s">
        <v>6210</v>
      </c>
      <c r="F267" s="5" t="s">
        <v>6210</v>
      </c>
      <c r="G267" s="11" t="s">
        <v>137</v>
      </c>
      <c r="H267" s="11" t="s">
        <v>6823</v>
      </c>
    </row>
    <row r="268" customFormat="false" ht="17.15" hidden="false" customHeight="false" outlineLevel="0" collapsed="false">
      <c r="A268" s="11" t="s">
        <v>6824</v>
      </c>
      <c r="B268" s="11" t="s">
        <v>327</v>
      </c>
      <c r="C268" s="11" t="s">
        <v>156</v>
      </c>
      <c r="D268" s="6" t="n">
        <v>2101033</v>
      </c>
      <c r="E268" s="5" t="s">
        <v>6210</v>
      </c>
      <c r="F268" s="5" t="s">
        <v>6210</v>
      </c>
      <c r="G268" s="11" t="s">
        <v>137</v>
      </c>
      <c r="H268" s="11" t="s">
        <v>6825</v>
      </c>
    </row>
    <row r="269" customFormat="false" ht="15" hidden="false" customHeight="false" outlineLevel="0" collapsed="false">
      <c r="A269" s="11" t="s">
        <v>6826</v>
      </c>
      <c r="B269" s="11" t="s">
        <v>6827</v>
      </c>
      <c r="C269" s="11" t="s">
        <v>174</v>
      </c>
      <c r="D269" s="6" t="n">
        <v>2097856</v>
      </c>
      <c r="E269" s="5" t="s">
        <v>141</v>
      </c>
      <c r="F269" s="5" t="s">
        <v>141</v>
      </c>
      <c r="G269" s="11" t="s">
        <v>140</v>
      </c>
      <c r="H269" s="11" t="s">
        <v>6828</v>
      </c>
    </row>
    <row r="270" customFormat="false" ht="17.15" hidden="false" customHeight="false" outlineLevel="0" collapsed="false">
      <c r="A270" s="11" t="s">
        <v>6829</v>
      </c>
      <c r="B270" s="11" t="s">
        <v>681</v>
      </c>
      <c r="C270" s="11" t="s">
        <v>167</v>
      </c>
      <c r="D270" s="6" t="n">
        <v>2091097</v>
      </c>
      <c r="E270" s="5" t="s">
        <v>6207</v>
      </c>
      <c r="F270" s="5" t="s">
        <v>6207</v>
      </c>
      <c r="G270" s="11" t="s">
        <v>134</v>
      </c>
      <c r="H270" s="11" t="s">
        <v>6830</v>
      </c>
    </row>
    <row r="271" customFormat="false" ht="17.15" hidden="false" customHeight="false" outlineLevel="0" collapsed="false">
      <c r="A271" s="11" t="s">
        <v>6831</v>
      </c>
      <c r="B271" s="11" t="s">
        <v>6832</v>
      </c>
      <c r="C271" s="11" t="s">
        <v>192</v>
      </c>
      <c r="D271" s="6" t="n">
        <v>2088816</v>
      </c>
      <c r="E271" s="5" t="s">
        <v>6239</v>
      </c>
      <c r="F271" s="5" t="s">
        <v>6239</v>
      </c>
      <c r="G271" s="11" t="s">
        <v>143</v>
      </c>
      <c r="H271" s="11" t="s">
        <v>6833</v>
      </c>
    </row>
    <row r="272" customFormat="false" ht="17.15" hidden="false" customHeight="false" outlineLevel="0" collapsed="false">
      <c r="A272" s="11" t="s">
        <v>6834</v>
      </c>
      <c r="B272" s="11" t="s">
        <v>6835</v>
      </c>
      <c r="C272" s="11" t="s">
        <v>192</v>
      </c>
      <c r="D272" s="6" t="n">
        <v>2084881</v>
      </c>
      <c r="E272" s="5" t="s">
        <v>6239</v>
      </c>
      <c r="F272" s="5" t="s">
        <v>6239</v>
      </c>
      <c r="G272" s="11" t="s">
        <v>143</v>
      </c>
      <c r="H272" s="11" t="s">
        <v>6836</v>
      </c>
    </row>
    <row r="273" customFormat="false" ht="15" hidden="false" customHeight="false" outlineLevel="0" collapsed="false">
      <c r="A273" s="11" t="s">
        <v>6837</v>
      </c>
      <c r="B273" s="11" t="s">
        <v>6838</v>
      </c>
      <c r="C273" s="11" t="s">
        <v>156</v>
      </c>
      <c r="D273" s="6" t="n">
        <v>2080538</v>
      </c>
      <c r="E273" s="5" t="s">
        <v>6413</v>
      </c>
      <c r="F273" s="5" t="s">
        <v>6413</v>
      </c>
      <c r="G273" s="11" t="s">
        <v>128</v>
      </c>
      <c r="H273" s="11" t="s">
        <v>6839</v>
      </c>
    </row>
    <row r="274" customFormat="false" ht="17.15" hidden="false" customHeight="false" outlineLevel="0" collapsed="false">
      <c r="A274" s="11" t="s">
        <v>6840</v>
      </c>
      <c r="B274" s="11" t="s">
        <v>6841</v>
      </c>
      <c r="C274" s="11" t="s">
        <v>175</v>
      </c>
      <c r="D274" s="6" t="n">
        <v>2064358</v>
      </c>
      <c r="E274" s="5" t="s">
        <v>6207</v>
      </c>
      <c r="F274" s="5" t="s">
        <v>6207</v>
      </c>
      <c r="G274" s="11" t="s">
        <v>134</v>
      </c>
      <c r="H274" s="11" t="s">
        <v>6842</v>
      </c>
    </row>
    <row r="275" customFormat="false" ht="17.15" hidden="false" customHeight="false" outlineLevel="0" collapsed="false">
      <c r="A275" s="11" t="s">
        <v>6843</v>
      </c>
      <c r="B275" s="11" t="s">
        <v>4515</v>
      </c>
      <c r="C275" s="11" t="s">
        <v>155</v>
      </c>
      <c r="D275" s="6" t="n">
        <v>2054103</v>
      </c>
      <c r="E275" s="5" t="s">
        <v>6210</v>
      </c>
      <c r="F275" s="5" t="s">
        <v>6210</v>
      </c>
      <c r="G275" s="11" t="s">
        <v>137</v>
      </c>
      <c r="H275" s="11" t="s">
        <v>6844</v>
      </c>
    </row>
    <row r="276" customFormat="false" ht="17.15" hidden="false" customHeight="false" outlineLevel="0" collapsed="false">
      <c r="A276" s="11" t="s">
        <v>1338</v>
      </c>
      <c r="B276" s="11" t="s">
        <v>308</v>
      </c>
      <c r="C276" s="11" t="s">
        <v>162</v>
      </c>
      <c r="D276" s="6" t="n">
        <v>2048026</v>
      </c>
      <c r="E276" s="5" t="s">
        <v>6207</v>
      </c>
      <c r="F276" s="5" t="s">
        <v>6207</v>
      </c>
      <c r="G276" s="11" t="s">
        <v>134</v>
      </c>
      <c r="H276" s="11" t="s">
        <v>6845</v>
      </c>
    </row>
    <row r="277" customFormat="false" ht="17.15" hidden="false" customHeight="false" outlineLevel="0" collapsed="false">
      <c r="A277" s="11" t="s">
        <v>6846</v>
      </c>
      <c r="B277" s="11" t="s">
        <v>598</v>
      </c>
      <c r="C277" s="11" t="s">
        <v>152</v>
      </c>
      <c r="D277" s="6" t="n">
        <v>2034681</v>
      </c>
      <c r="E277" s="5" t="s">
        <v>6210</v>
      </c>
      <c r="F277" s="5" t="s">
        <v>6210</v>
      </c>
      <c r="G277" s="11" t="s">
        <v>137</v>
      </c>
      <c r="H277" s="11" t="s">
        <v>6847</v>
      </c>
    </row>
    <row r="278" customFormat="false" ht="17.15" hidden="false" customHeight="false" outlineLevel="0" collapsed="false">
      <c r="A278" s="11" t="s">
        <v>6848</v>
      </c>
      <c r="B278" s="11" t="s">
        <v>6849</v>
      </c>
      <c r="C278" s="11" t="s">
        <v>194</v>
      </c>
      <c r="D278" s="6" t="n">
        <v>2024045</v>
      </c>
      <c r="E278" s="5" t="s">
        <v>6239</v>
      </c>
      <c r="F278" s="5" t="s">
        <v>6239</v>
      </c>
      <c r="G278" s="11" t="s">
        <v>143</v>
      </c>
      <c r="H278" s="11" t="s">
        <v>6850</v>
      </c>
    </row>
    <row r="279" customFormat="false" ht="17.15" hidden="false" customHeight="false" outlineLevel="0" collapsed="false">
      <c r="A279" s="11" t="s">
        <v>6851</v>
      </c>
      <c r="B279" s="11" t="s">
        <v>6852</v>
      </c>
      <c r="C279" s="11" t="s">
        <v>150</v>
      </c>
      <c r="D279" s="6" t="n">
        <v>1997744</v>
      </c>
      <c r="E279" s="5" t="s">
        <v>6207</v>
      </c>
      <c r="F279" s="5" t="s">
        <v>6207</v>
      </c>
      <c r="G279" s="11" t="s">
        <v>134</v>
      </c>
      <c r="H279" s="11" t="s">
        <v>6853</v>
      </c>
    </row>
    <row r="280" customFormat="false" ht="17.15" hidden="false" customHeight="false" outlineLevel="0" collapsed="false">
      <c r="A280" s="11" t="s">
        <v>6854</v>
      </c>
      <c r="B280" s="11" t="s">
        <v>6647</v>
      </c>
      <c r="C280" s="5"/>
      <c r="D280" s="6" t="n">
        <v>1956561</v>
      </c>
      <c r="E280" s="5" t="s">
        <v>6264</v>
      </c>
      <c r="F280" s="5" t="s">
        <v>6648</v>
      </c>
      <c r="G280" s="11" t="s">
        <v>6649</v>
      </c>
      <c r="H280" s="11" t="s">
        <v>6855</v>
      </c>
    </row>
    <row r="281" customFormat="false" ht="17.15" hidden="false" customHeight="false" outlineLevel="0" collapsed="false">
      <c r="A281" s="11" t="s">
        <v>6856</v>
      </c>
      <c r="B281" s="11" t="s">
        <v>2557</v>
      </c>
      <c r="C281" s="11" t="s">
        <v>168</v>
      </c>
      <c r="D281" s="6" t="n">
        <v>1949687</v>
      </c>
      <c r="E281" s="5" t="s">
        <v>6207</v>
      </c>
      <c r="F281" s="5" t="s">
        <v>6207</v>
      </c>
      <c r="G281" s="11" t="s">
        <v>134</v>
      </c>
      <c r="H281" s="11" t="s">
        <v>6857</v>
      </c>
    </row>
    <row r="282" customFormat="false" ht="17.15" hidden="false" customHeight="false" outlineLevel="0" collapsed="false">
      <c r="A282" s="11" t="s">
        <v>6858</v>
      </c>
      <c r="B282" s="11" t="s">
        <v>368</v>
      </c>
      <c r="C282" s="11" t="s">
        <v>161</v>
      </c>
      <c r="D282" s="6" t="n">
        <v>1934901</v>
      </c>
      <c r="E282" s="5" t="s">
        <v>6207</v>
      </c>
      <c r="F282" s="5" t="s">
        <v>6207</v>
      </c>
      <c r="G282" s="11" t="s">
        <v>134</v>
      </c>
      <c r="H282" s="11" t="s">
        <v>6859</v>
      </c>
    </row>
    <row r="283" customFormat="false" ht="17.15" hidden="false" customHeight="false" outlineLevel="0" collapsed="false">
      <c r="A283" s="11" t="s">
        <v>6860</v>
      </c>
      <c r="B283" s="11" t="s">
        <v>327</v>
      </c>
      <c r="C283" s="11" t="s">
        <v>172</v>
      </c>
      <c r="D283" s="6" t="n">
        <v>1932464</v>
      </c>
      <c r="E283" s="5" t="s">
        <v>6207</v>
      </c>
      <c r="F283" s="5" t="s">
        <v>6207</v>
      </c>
      <c r="G283" s="11" t="s">
        <v>134</v>
      </c>
      <c r="H283" s="11" t="s">
        <v>6861</v>
      </c>
    </row>
    <row r="284" customFormat="false" ht="17.15" hidden="false" customHeight="false" outlineLevel="0" collapsed="false">
      <c r="A284" s="11" t="s">
        <v>6862</v>
      </c>
      <c r="B284" s="11" t="s">
        <v>6863</v>
      </c>
      <c r="C284" s="11" t="s">
        <v>175</v>
      </c>
      <c r="D284" s="6" t="n">
        <v>1931014</v>
      </c>
      <c r="E284" s="5" t="s">
        <v>6207</v>
      </c>
      <c r="F284" s="5" t="s">
        <v>6207</v>
      </c>
      <c r="G284" s="11" t="s">
        <v>134</v>
      </c>
      <c r="H284" s="11" t="s">
        <v>6864</v>
      </c>
    </row>
    <row r="285" customFormat="false" ht="15" hidden="false" customHeight="false" outlineLevel="0" collapsed="false">
      <c r="A285" s="11" t="s">
        <v>6865</v>
      </c>
      <c r="B285" s="11" t="s">
        <v>6866</v>
      </c>
      <c r="C285" s="11" t="s">
        <v>179</v>
      </c>
      <c r="D285" s="6" t="n">
        <v>1922356</v>
      </c>
      <c r="E285" s="5" t="s">
        <v>141</v>
      </c>
      <c r="F285" s="5" t="s">
        <v>141</v>
      </c>
      <c r="G285" s="11" t="s">
        <v>140</v>
      </c>
      <c r="H285" s="11" t="s">
        <v>6867</v>
      </c>
    </row>
    <row r="286" customFormat="false" ht="17.15" hidden="false" customHeight="false" outlineLevel="0" collapsed="false">
      <c r="A286" s="11" t="s">
        <v>6868</v>
      </c>
      <c r="B286" s="11" t="s">
        <v>753</v>
      </c>
      <c r="C286" s="11" t="s">
        <v>194</v>
      </c>
      <c r="D286" s="6" t="n">
        <v>1901439</v>
      </c>
      <c r="E286" s="5" t="s">
        <v>6239</v>
      </c>
      <c r="F286" s="5" t="s">
        <v>6239</v>
      </c>
      <c r="G286" s="11" t="s">
        <v>143</v>
      </c>
      <c r="H286" s="11" t="s">
        <v>6869</v>
      </c>
    </row>
    <row r="287" customFormat="false" ht="17.15" hidden="false" customHeight="false" outlineLevel="0" collapsed="false">
      <c r="A287" s="11" t="s">
        <v>6870</v>
      </c>
      <c r="B287" s="11" t="s">
        <v>681</v>
      </c>
      <c r="C287" s="11" t="s">
        <v>168</v>
      </c>
      <c r="D287" s="6" t="n">
        <v>1899580</v>
      </c>
      <c r="E287" s="5" t="s">
        <v>6207</v>
      </c>
      <c r="F287" s="5" t="s">
        <v>6377</v>
      </c>
      <c r="G287" s="11" t="s">
        <v>6378</v>
      </c>
      <c r="H287" s="11" t="s">
        <v>6871</v>
      </c>
    </row>
    <row r="288" customFormat="false" ht="15" hidden="false" customHeight="false" outlineLevel="0" collapsed="false">
      <c r="A288" s="11" t="s">
        <v>6872</v>
      </c>
      <c r="B288" s="11" t="s">
        <v>839</v>
      </c>
      <c r="C288" s="11" t="s">
        <v>153</v>
      </c>
      <c r="D288" s="6" t="n">
        <v>1897207</v>
      </c>
      <c r="E288" s="5" t="s">
        <v>141</v>
      </c>
      <c r="F288" s="5" t="s">
        <v>141</v>
      </c>
      <c r="G288" s="11" t="s">
        <v>140</v>
      </c>
      <c r="H288" s="11" t="s">
        <v>6873</v>
      </c>
    </row>
    <row r="289" customFormat="false" ht="17.15" hidden="false" customHeight="false" outlineLevel="0" collapsed="false">
      <c r="A289" s="11" t="s">
        <v>6874</v>
      </c>
      <c r="B289" s="11" t="s">
        <v>6875</v>
      </c>
      <c r="C289" s="11" t="s">
        <v>192</v>
      </c>
      <c r="D289" s="6" t="n">
        <v>1894558</v>
      </c>
      <c r="E289" s="5" t="s">
        <v>6239</v>
      </c>
      <c r="F289" s="5" t="s">
        <v>6239</v>
      </c>
      <c r="G289" s="11" t="s">
        <v>143</v>
      </c>
      <c r="H289" s="11" t="s">
        <v>6876</v>
      </c>
    </row>
    <row r="290" customFormat="false" ht="17.15" hidden="false" customHeight="false" outlineLevel="0" collapsed="false">
      <c r="A290" s="11" t="s">
        <v>6877</v>
      </c>
      <c r="B290" s="11" t="s">
        <v>6878</v>
      </c>
      <c r="C290" s="11" t="s">
        <v>175</v>
      </c>
      <c r="D290" s="6" t="n">
        <v>1888003</v>
      </c>
      <c r="E290" s="5" t="s">
        <v>6207</v>
      </c>
      <c r="F290" s="5" t="s">
        <v>6207</v>
      </c>
      <c r="G290" s="11" t="s">
        <v>134</v>
      </c>
      <c r="H290" s="11" t="s">
        <v>6879</v>
      </c>
    </row>
    <row r="291" customFormat="false" ht="17.15" hidden="false" customHeight="false" outlineLevel="0" collapsed="false">
      <c r="A291" s="11" t="s">
        <v>6880</v>
      </c>
      <c r="B291" s="11" t="s">
        <v>6881</v>
      </c>
      <c r="C291" s="11" t="s">
        <v>175</v>
      </c>
      <c r="D291" s="6" t="n">
        <v>1883707</v>
      </c>
      <c r="E291" s="5" t="s">
        <v>6207</v>
      </c>
      <c r="F291" s="5" t="s">
        <v>6207</v>
      </c>
      <c r="G291" s="11" t="s">
        <v>134</v>
      </c>
      <c r="H291" s="11" t="s">
        <v>6882</v>
      </c>
    </row>
    <row r="292" customFormat="false" ht="17.15" hidden="false" customHeight="false" outlineLevel="0" collapsed="false">
      <c r="A292" s="11" t="s">
        <v>6883</v>
      </c>
      <c r="B292" s="11" t="s">
        <v>3884</v>
      </c>
      <c r="C292" s="11" t="s">
        <v>155</v>
      </c>
      <c r="D292" s="6" t="n">
        <v>1883641</v>
      </c>
      <c r="E292" s="5" t="s">
        <v>6210</v>
      </c>
      <c r="F292" s="5" t="s">
        <v>6210</v>
      </c>
      <c r="G292" s="11" t="s">
        <v>137</v>
      </c>
      <c r="H292" s="11" t="s">
        <v>6884</v>
      </c>
    </row>
    <row r="293" customFormat="false" ht="17.15" hidden="false" customHeight="false" outlineLevel="0" collapsed="false">
      <c r="A293" s="11" t="s">
        <v>6885</v>
      </c>
      <c r="B293" s="11" t="s">
        <v>1214</v>
      </c>
      <c r="C293" s="11" t="s">
        <v>192</v>
      </c>
      <c r="D293" s="6" t="n">
        <v>1834317</v>
      </c>
      <c r="E293" s="5" t="s">
        <v>6239</v>
      </c>
      <c r="F293" s="5" t="s">
        <v>6239</v>
      </c>
      <c r="G293" s="11" t="s">
        <v>143</v>
      </c>
      <c r="H293" s="11" t="s">
        <v>6886</v>
      </c>
    </row>
    <row r="294" customFormat="false" ht="17.15" hidden="false" customHeight="false" outlineLevel="0" collapsed="false">
      <c r="A294" s="11" t="s">
        <v>6887</v>
      </c>
      <c r="B294" s="11" t="s">
        <v>308</v>
      </c>
      <c r="C294" s="11" t="s">
        <v>164</v>
      </c>
      <c r="D294" s="6" t="n">
        <v>1798194</v>
      </c>
      <c r="E294" s="5" t="s">
        <v>6207</v>
      </c>
      <c r="F294" s="5" t="s">
        <v>6207</v>
      </c>
      <c r="G294" s="11" t="s">
        <v>134</v>
      </c>
      <c r="H294" s="11" t="s">
        <v>6888</v>
      </c>
    </row>
    <row r="295" customFormat="false" ht="17.15" hidden="false" customHeight="false" outlineLevel="0" collapsed="false">
      <c r="A295" s="11" t="s">
        <v>5016</v>
      </c>
      <c r="B295" s="11" t="s">
        <v>6354</v>
      </c>
      <c r="C295" s="11" t="s">
        <v>162</v>
      </c>
      <c r="D295" s="6" t="n">
        <v>1790404</v>
      </c>
      <c r="E295" s="5" t="s">
        <v>6207</v>
      </c>
      <c r="F295" s="5" t="s">
        <v>6207</v>
      </c>
      <c r="G295" s="11" t="s">
        <v>134</v>
      </c>
      <c r="H295" s="11" t="s">
        <v>6889</v>
      </c>
    </row>
    <row r="296" customFormat="false" ht="17.15" hidden="false" customHeight="false" outlineLevel="0" collapsed="false">
      <c r="A296" s="11" t="s">
        <v>6890</v>
      </c>
      <c r="B296" s="11" t="s">
        <v>6891</v>
      </c>
      <c r="C296" s="11" t="s">
        <v>192</v>
      </c>
      <c r="D296" s="6" t="n">
        <v>1783743</v>
      </c>
      <c r="E296" s="5" t="s">
        <v>6239</v>
      </c>
      <c r="F296" s="5" t="s">
        <v>6239</v>
      </c>
      <c r="G296" s="11" t="s">
        <v>143</v>
      </c>
      <c r="H296" s="11" t="s">
        <v>6892</v>
      </c>
    </row>
    <row r="297" customFormat="false" ht="17.15" hidden="false" customHeight="false" outlineLevel="0" collapsed="false">
      <c r="A297" s="11" t="s">
        <v>6893</v>
      </c>
      <c r="B297" s="11" t="s">
        <v>308</v>
      </c>
      <c r="C297" s="11" t="s">
        <v>149</v>
      </c>
      <c r="D297" s="6" t="n">
        <v>1779996</v>
      </c>
      <c r="E297" s="5" t="s">
        <v>6207</v>
      </c>
      <c r="F297" s="5" t="s">
        <v>6207</v>
      </c>
      <c r="G297" s="11" t="s">
        <v>134</v>
      </c>
      <c r="H297" s="11" t="s">
        <v>6894</v>
      </c>
    </row>
    <row r="298" customFormat="false" ht="17.15" hidden="false" customHeight="false" outlineLevel="0" collapsed="false">
      <c r="A298" s="11" t="s">
        <v>6895</v>
      </c>
      <c r="B298" s="11" t="s">
        <v>753</v>
      </c>
      <c r="C298" s="11" t="s">
        <v>192</v>
      </c>
      <c r="D298" s="6" t="n">
        <v>1779636</v>
      </c>
      <c r="E298" s="5" t="s">
        <v>6239</v>
      </c>
      <c r="F298" s="5" t="s">
        <v>6239</v>
      </c>
      <c r="G298" s="11" t="s">
        <v>143</v>
      </c>
      <c r="H298" s="11" t="s">
        <v>6896</v>
      </c>
    </row>
    <row r="299" customFormat="false" ht="17.15" hidden="false" customHeight="false" outlineLevel="0" collapsed="false">
      <c r="A299" s="11" t="s">
        <v>6897</v>
      </c>
      <c r="B299" s="11" t="s">
        <v>6898</v>
      </c>
      <c r="C299" s="11" t="s">
        <v>192</v>
      </c>
      <c r="D299" s="6" t="n">
        <v>1774622</v>
      </c>
      <c r="E299" s="5" t="s">
        <v>6239</v>
      </c>
      <c r="F299" s="5" t="s">
        <v>6239</v>
      </c>
      <c r="G299" s="11" t="s">
        <v>143</v>
      </c>
      <c r="H299" s="11" t="s">
        <v>6899</v>
      </c>
    </row>
    <row r="300" customFormat="false" ht="17.15" hidden="false" customHeight="false" outlineLevel="0" collapsed="false">
      <c r="A300" s="11" t="s">
        <v>6900</v>
      </c>
      <c r="B300" s="11" t="s">
        <v>6647</v>
      </c>
      <c r="C300" s="11" t="s">
        <v>161</v>
      </c>
      <c r="D300" s="6" t="n">
        <v>1758737</v>
      </c>
      <c r="E300" s="5" t="s">
        <v>6264</v>
      </c>
      <c r="F300" s="5" t="s">
        <v>6648</v>
      </c>
      <c r="G300" s="11" t="s">
        <v>6649</v>
      </c>
      <c r="H300" s="11" t="s">
        <v>6901</v>
      </c>
    </row>
    <row r="301" customFormat="false" ht="17.15" hidden="false" customHeight="false" outlineLevel="0" collapsed="false">
      <c r="A301" s="11" t="s">
        <v>6902</v>
      </c>
      <c r="B301" s="11" t="s">
        <v>6903</v>
      </c>
      <c r="C301" s="11" t="s">
        <v>155</v>
      </c>
      <c r="D301" s="6" t="n">
        <v>1757578</v>
      </c>
      <c r="E301" s="5" t="s">
        <v>6207</v>
      </c>
      <c r="F301" s="5" t="s">
        <v>6207</v>
      </c>
      <c r="G301" s="11" t="s">
        <v>134</v>
      </c>
      <c r="H301" s="11" t="s">
        <v>6904</v>
      </c>
    </row>
    <row r="302" customFormat="false" ht="15" hidden="false" customHeight="false" outlineLevel="0" collapsed="false">
      <c r="A302" s="11" t="s">
        <v>6905</v>
      </c>
      <c r="B302" s="11" t="s">
        <v>681</v>
      </c>
      <c r="C302" s="11" t="s">
        <v>175</v>
      </c>
      <c r="D302" s="6" t="n">
        <v>1754823</v>
      </c>
      <c r="E302" s="5" t="s">
        <v>141</v>
      </c>
      <c r="F302" s="5" t="s">
        <v>141</v>
      </c>
      <c r="G302" s="11" t="s">
        <v>140</v>
      </c>
      <c r="H302" s="11" t="s">
        <v>6906</v>
      </c>
    </row>
    <row r="303" customFormat="false" ht="17.15" hidden="false" customHeight="false" outlineLevel="0" collapsed="false">
      <c r="A303" s="11" t="s">
        <v>6907</v>
      </c>
      <c r="B303" s="11" t="s">
        <v>6581</v>
      </c>
      <c r="C303" s="11" t="s">
        <v>155</v>
      </c>
      <c r="D303" s="6" t="n">
        <v>1754784</v>
      </c>
      <c r="E303" s="5" t="s">
        <v>6264</v>
      </c>
      <c r="F303" s="5" t="s">
        <v>6264</v>
      </c>
      <c r="G303" s="11" t="s">
        <v>131</v>
      </c>
      <c r="H303" s="11" t="s">
        <v>6908</v>
      </c>
    </row>
    <row r="304" customFormat="false" ht="17.15" hidden="false" customHeight="false" outlineLevel="0" collapsed="false">
      <c r="A304" s="11" t="s">
        <v>5793</v>
      </c>
      <c r="B304" s="11" t="s">
        <v>6909</v>
      </c>
      <c r="C304" s="11" t="s">
        <v>175</v>
      </c>
      <c r="D304" s="6" t="n">
        <v>1753647</v>
      </c>
      <c r="E304" s="5" t="s">
        <v>6207</v>
      </c>
      <c r="F304" s="5" t="s">
        <v>6716</v>
      </c>
      <c r="G304" s="11" t="s">
        <v>6542</v>
      </c>
      <c r="H304" s="11" t="s">
        <v>6910</v>
      </c>
    </row>
    <row r="305" customFormat="false" ht="17.15" hidden="false" customHeight="false" outlineLevel="0" collapsed="false">
      <c r="A305" s="11" t="s">
        <v>6911</v>
      </c>
      <c r="B305" s="11" t="s">
        <v>6617</v>
      </c>
      <c r="C305" s="11" t="s">
        <v>149</v>
      </c>
      <c r="D305" s="6" t="n">
        <v>1752213</v>
      </c>
      <c r="E305" s="5" t="s">
        <v>6207</v>
      </c>
      <c r="F305" s="5" t="s">
        <v>6207</v>
      </c>
      <c r="G305" s="11" t="s">
        <v>134</v>
      </c>
      <c r="H305" s="11" t="s">
        <v>6912</v>
      </c>
    </row>
    <row r="306" customFormat="false" ht="17.15" hidden="false" customHeight="false" outlineLevel="0" collapsed="false">
      <c r="A306" s="11" t="s">
        <v>6913</v>
      </c>
      <c r="B306" s="11" t="s">
        <v>6914</v>
      </c>
      <c r="C306" s="11" t="s">
        <v>149</v>
      </c>
      <c r="D306" s="6" t="n">
        <v>1742114</v>
      </c>
      <c r="E306" s="5" t="s">
        <v>6207</v>
      </c>
      <c r="F306" s="5" t="s">
        <v>6207</v>
      </c>
      <c r="G306" s="11" t="s">
        <v>134</v>
      </c>
      <c r="H306" s="11" t="s">
        <v>6915</v>
      </c>
    </row>
    <row r="307" customFormat="false" ht="17.15" hidden="false" customHeight="false" outlineLevel="0" collapsed="false">
      <c r="A307" s="11" t="s">
        <v>6916</v>
      </c>
      <c r="B307" s="11" t="s">
        <v>6647</v>
      </c>
      <c r="C307" s="11" t="s">
        <v>162</v>
      </c>
      <c r="D307" s="6" t="n">
        <v>1714654</v>
      </c>
      <c r="E307" s="5" t="s">
        <v>6264</v>
      </c>
      <c r="F307" s="5" t="s">
        <v>6264</v>
      </c>
      <c r="G307" s="11" t="s">
        <v>131</v>
      </c>
      <c r="H307" s="11" t="s">
        <v>6917</v>
      </c>
    </row>
    <row r="308" customFormat="false" ht="17.15" hidden="false" customHeight="false" outlineLevel="0" collapsed="false">
      <c r="A308" s="11" t="s">
        <v>6918</v>
      </c>
      <c r="B308" s="11" t="s">
        <v>1214</v>
      </c>
      <c r="C308" s="11" t="s">
        <v>193</v>
      </c>
      <c r="D308" s="6" t="n">
        <v>1710902</v>
      </c>
      <c r="E308" s="5" t="s">
        <v>6239</v>
      </c>
      <c r="F308" s="5" t="s">
        <v>6239</v>
      </c>
      <c r="G308" s="11" t="s">
        <v>143</v>
      </c>
      <c r="H308" s="11" t="s">
        <v>6919</v>
      </c>
    </row>
    <row r="309" customFormat="false" ht="17.15" hidden="false" customHeight="false" outlineLevel="0" collapsed="false">
      <c r="A309" s="11" t="s">
        <v>6920</v>
      </c>
      <c r="B309" s="11" t="s">
        <v>308</v>
      </c>
      <c r="C309" s="11" t="s">
        <v>153</v>
      </c>
      <c r="D309" s="6" t="n">
        <v>1710465</v>
      </c>
      <c r="E309" s="5" t="s">
        <v>6207</v>
      </c>
      <c r="F309" s="5" t="s">
        <v>6207</v>
      </c>
      <c r="G309" s="11" t="s">
        <v>134</v>
      </c>
      <c r="H309" s="11" t="s">
        <v>6921</v>
      </c>
    </row>
    <row r="310" customFormat="false" ht="17.15" hidden="false" customHeight="false" outlineLevel="0" collapsed="false">
      <c r="A310" s="11" t="s">
        <v>5885</v>
      </c>
      <c r="B310" s="11" t="s">
        <v>681</v>
      </c>
      <c r="C310" s="11" t="s">
        <v>175</v>
      </c>
      <c r="D310" s="6" t="n">
        <v>1689985</v>
      </c>
      <c r="E310" s="5" t="s">
        <v>6207</v>
      </c>
      <c r="F310" s="5" t="s">
        <v>6207</v>
      </c>
      <c r="G310" s="11" t="s">
        <v>134</v>
      </c>
      <c r="H310" s="11" t="s">
        <v>6922</v>
      </c>
    </row>
    <row r="311" customFormat="false" ht="17.15" hidden="false" customHeight="false" outlineLevel="0" collapsed="false">
      <c r="A311" s="11" t="s">
        <v>6923</v>
      </c>
      <c r="B311" s="11" t="s">
        <v>6924</v>
      </c>
      <c r="C311" s="11" t="s">
        <v>155</v>
      </c>
      <c r="D311" s="6" t="n">
        <v>1687986</v>
      </c>
      <c r="E311" s="5" t="s">
        <v>6207</v>
      </c>
      <c r="F311" s="5" t="s">
        <v>6207</v>
      </c>
      <c r="G311" s="11" t="s">
        <v>134</v>
      </c>
      <c r="H311" s="11" t="s">
        <v>6925</v>
      </c>
    </row>
    <row r="312" customFormat="false" ht="15" hidden="false" customHeight="false" outlineLevel="0" collapsed="false">
      <c r="A312" s="11" t="s">
        <v>6926</v>
      </c>
      <c r="B312" s="11" t="s">
        <v>681</v>
      </c>
      <c r="C312" s="11" t="s">
        <v>175</v>
      </c>
      <c r="D312" s="6" t="n">
        <v>1684133</v>
      </c>
      <c r="E312" s="5" t="s">
        <v>141</v>
      </c>
      <c r="F312" s="5" t="s">
        <v>141</v>
      </c>
      <c r="G312" s="11" t="s">
        <v>140</v>
      </c>
      <c r="H312" s="11" t="s">
        <v>6927</v>
      </c>
    </row>
    <row r="313" customFormat="false" ht="17.15" hidden="false" customHeight="false" outlineLevel="0" collapsed="false">
      <c r="A313" s="11" t="s">
        <v>6928</v>
      </c>
      <c r="B313" s="11" t="s">
        <v>6929</v>
      </c>
      <c r="C313" s="11" t="s">
        <v>162</v>
      </c>
      <c r="D313" s="6" t="n">
        <v>1681319</v>
      </c>
      <c r="E313" s="5" t="s">
        <v>6207</v>
      </c>
      <c r="F313" s="5" t="s">
        <v>6207</v>
      </c>
      <c r="G313" s="11" t="s">
        <v>134</v>
      </c>
      <c r="H313" s="11" t="s">
        <v>6930</v>
      </c>
    </row>
    <row r="314" customFormat="false" ht="17.15" hidden="false" customHeight="false" outlineLevel="0" collapsed="false">
      <c r="A314" s="11" t="s">
        <v>6931</v>
      </c>
      <c r="B314" s="11" t="s">
        <v>308</v>
      </c>
      <c r="C314" s="11" t="s">
        <v>162</v>
      </c>
      <c r="D314" s="6" t="n">
        <v>1675189</v>
      </c>
      <c r="E314" s="5" t="s">
        <v>6207</v>
      </c>
      <c r="F314" s="5" t="s">
        <v>6207</v>
      </c>
      <c r="G314" s="11" t="s">
        <v>134</v>
      </c>
      <c r="H314" s="11" t="s">
        <v>6932</v>
      </c>
    </row>
    <row r="315" customFormat="false" ht="17.15" hidden="false" customHeight="false" outlineLevel="0" collapsed="false">
      <c r="A315" s="11" t="s">
        <v>6933</v>
      </c>
      <c r="B315" s="11" t="s">
        <v>548</v>
      </c>
      <c r="C315" s="11" t="s">
        <v>155</v>
      </c>
      <c r="D315" s="6" t="n">
        <v>1666773</v>
      </c>
      <c r="E315" s="5" t="s">
        <v>6207</v>
      </c>
      <c r="F315" s="5" t="s">
        <v>6207</v>
      </c>
      <c r="G315" s="11" t="s">
        <v>134</v>
      </c>
      <c r="H315" s="11" t="s">
        <v>6934</v>
      </c>
    </row>
    <row r="316" customFormat="false" ht="17.15" hidden="false" customHeight="false" outlineLevel="0" collapsed="false">
      <c r="A316" s="11" t="s">
        <v>6935</v>
      </c>
      <c r="B316" s="11" t="s">
        <v>6647</v>
      </c>
      <c r="C316" s="11" t="s">
        <v>162</v>
      </c>
      <c r="D316" s="6" t="n">
        <v>1664822</v>
      </c>
      <c r="E316" s="5" t="s">
        <v>6264</v>
      </c>
      <c r="F316" s="5" t="s">
        <v>6648</v>
      </c>
      <c r="G316" s="11" t="s">
        <v>6649</v>
      </c>
      <c r="H316" s="11" t="s">
        <v>6936</v>
      </c>
    </row>
    <row r="317" customFormat="false" ht="17.15" hidden="false" customHeight="false" outlineLevel="0" collapsed="false">
      <c r="A317" s="11" t="s">
        <v>6937</v>
      </c>
      <c r="B317" s="11" t="s">
        <v>2557</v>
      </c>
      <c r="C317" s="11" t="s">
        <v>168</v>
      </c>
      <c r="D317" s="6" t="n">
        <v>1657193</v>
      </c>
      <c r="E317" s="5" t="s">
        <v>6207</v>
      </c>
      <c r="F317" s="5" t="s">
        <v>6207</v>
      </c>
      <c r="G317" s="11" t="s">
        <v>134</v>
      </c>
      <c r="H317" s="11" t="s">
        <v>6938</v>
      </c>
    </row>
    <row r="318" customFormat="false" ht="17.15" hidden="false" customHeight="false" outlineLevel="0" collapsed="false">
      <c r="A318" s="11" t="s">
        <v>6939</v>
      </c>
      <c r="B318" s="11" t="s">
        <v>6940</v>
      </c>
      <c r="C318" s="11" t="s">
        <v>197</v>
      </c>
      <c r="D318" s="6" t="n">
        <v>1647978</v>
      </c>
      <c r="E318" s="5" t="s">
        <v>6239</v>
      </c>
      <c r="F318" s="5" t="s">
        <v>6239</v>
      </c>
      <c r="G318" s="11" t="s">
        <v>143</v>
      </c>
      <c r="H318" s="11" t="s">
        <v>6941</v>
      </c>
    </row>
    <row r="319" customFormat="false" ht="17.15" hidden="false" customHeight="false" outlineLevel="0" collapsed="false">
      <c r="A319" s="11" t="s">
        <v>6942</v>
      </c>
      <c r="B319" s="11" t="s">
        <v>6528</v>
      </c>
      <c r="C319" s="11" t="s">
        <v>193</v>
      </c>
      <c r="D319" s="6" t="n">
        <v>1640872</v>
      </c>
      <c r="E319" s="5" t="s">
        <v>6239</v>
      </c>
      <c r="F319" s="5" t="s">
        <v>6239</v>
      </c>
      <c r="G319" s="11" t="s">
        <v>143</v>
      </c>
      <c r="H319" s="11" t="s">
        <v>6943</v>
      </c>
    </row>
    <row r="320" customFormat="false" ht="17.15" hidden="false" customHeight="false" outlineLevel="0" collapsed="false">
      <c r="A320" s="11" t="s">
        <v>6944</v>
      </c>
      <c r="B320" s="11" t="s">
        <v>323</v>
      </c>
      <c r="C320" s="11" t="s">
        <v>162</v>
      </c>
      <c r="D320" s="6" t="n">
        <v>1637257</v>
      </c>
      <c r="E320" s="5" t="s">
        <v>6207</v>
      </c>
      <c r="F320" s="5" t="s">
        <v>6207</v>
      </c>
      <c r="G320" s="11" t="s">
        <v>134</v>
      </c>
      <c r="H320" s="11" t="s">
        <v>6945</v>
      </c>
    </row>
    <row r="321" customFormat="false" ht="17.15" hidden="false" customHeight="false" outlineLevel="0" collapsed="false">
      <c r="A321" s="11" t="s">
        <v>6946</v>
      </c>
      <c r="B321" s="11" t="s">
        <v>681</v>
      </c>
      <c r="C321" s="11" t="s">
        <v>167</v>
      </c>
      <c r="D321" s="6" t="n">
        <v>1635139</v>
      </c>
      <c r="E321" s="5" t="s">
        <v>6207</v>
      </c>
      <c r="F321" s="5" t="s">
        <v>6207</v>
      </c>
      <c r="G321" s="11" t="s">
        <v>134</v>
      </c>
      <c r="H321" s="11" t="s">
        <v>6947</v>
      </c>
    </row>
    <row r="322" customFormat="false" ht="17.15" hidden="false" customHeight="false" outlineLevel="0" collapsed="false">
      <c r="A322" s="11" t="s">
        <v>6948</v>
      </c>
      <c r="B322" s="11" t="s">
        <v>368</v>
      </c>
      <c r="C322" s="5"/>
      <c r="D322" s="6" t="n">
        <v>1631928</v>
      </c>
      <c r="E322" s="5" t="s">
        <v>6207</v>
      </c>
      <c r="F322" s="5" t="s">
        <v>6207</v>
      </c>
      <c r="G322" s="11" t="s">
        <v>134</v>
      </c>
      <c r="H322" s="11" t="s">
        <v>6949</v>
      </c>
    </row>
    <row r="323" customFormat="false" ht="17.15" hidden="false" customHeight="false" outlineLevel="0" collapsed="false">
      <c r="A323" s="11" t="s">
        <v>6950</v>
      </c>
      <c r="B323" s="11" t="s">
        <v>6951</v>
      </c>
      <c r="C323" s="11" t="s">
        <v>175</v>
      </c>
      <c r="D323" s="6" t="n">
        <v>1630298</v>
      </c>
      <c r="E323" s="5" t="s">
        <v>6207</v>
      </c>
      <c r="F323" s="5" t="s">
        <v>6207</v>
      </c>
      <c r="G323" s="11" t="s">
        <v>134</v>
      </c>
      <c r="H323" s="11" t="s">
        <v>6952</v>
      </c>
    </row>
    <row r="324" customFormat="false" ht="15" hidden="false" customHeight="false" outlineLevel="0" collapsed="false">
      <c r="A324" s="11" t="s">
        <v>6953</v>
      </c>
      <c r="B324" s="11" t="s">
        <v>6954</v>
      </c>
      <c r="C324" s="11" t="s">
        <v>153</v>
      </c>
      <c r="D324" s="6" t="n">
        <v>1630178</v>
      </c>
      <c r="E324" s="5" t="s">
        <v>6227</v>
      </c>
      <c r="F324" s="5" t="s">
        <v>6227</v>
      </c>
      <c r="G324" s="11" t="s">
        <v>134</v>
      </c>
      <c r="H324" s="11" t="s">
        <v>6955</v>
      </c>
    </row>
    <row r="325" customFormat="false" ht="17.15" hidden="false" customHeight="false" outlineLevel="0" collapsed="false">
      <c r="A325" s="11" t="s">
        <v>6956</v>
      </c>
      <c r="B325" s="11" t="s">
        <v>632</v>
      </c>
      <c r="C325" s="11" t="s">
        <v>153</v>
      </c>
      <c r="D325" s="6" t="n">
        <v>1627887</v>
      </c>
      <c r="E325" s="5" t="s">
        <v>6210</v>
      </c>
      <c r="F325" s="5" t="s">
        <v>6210</v>
      </c>
      <c r="G325" s="11" t="s">
        <v>137</v>
      </c>
      <c r="H325" s="11" t="s">
        <v>6957</v>
      </c>
    </row>
    <row r="326" customFormat="false" ht="17.15" hidden="false" customHeight="false" outlineLevel="0" collapsed="false">
      <c r="A326" s="11" t="s">
        <v>6958</v>
      </c>
      <c r="B326" s="11" t="s">
        <v>308</v>
      </c>
      <c r="C326" s="11" t="s">
        <v>197</v>
      </c>
      <c r="D326" s="6" t="n">
        <v>1617987</v>
      </c>
      <c r="E326" s="5" t="s">
        <v>6239</v>
      </c>
      <c r="F326" s="5" t="s">
        <v>6239</v>
      </c>
      <c r="G326" s="11" t="s">
        <v>143</v>
      </c>
      <c r="H326" s="11" t="s">
        <v>6959</v>
      </c>
    </row>
    <row r="327" customFormat="false" ht="17.15" hidden="false" customHeight="false" outlineLevel="0" collapsed="false">
      <c r="A327" s="11" t="s">
        <v>6960</v>
      </c>
      <c r="B327" s="11" t="s">
        <v>2067</v>
      </c>
      <c r="C327" s="11" t="s">
        <v>192</v>
      </c>
      <c r="D327" s="6" t="n">
        <v>1612999</v>
      </c>
      <c r="E327" s="5" t="s">
        <v>6239</v>
      </c>
      <c r="F327" s="5" t="s">
        <v>6239</v>
      </c>
      <c r="G327" s="11" t="s">
        <v>143</v>
      </c>
      <c r="H327" s="11" t="s">
        <v>6961</v>
      </c>
    </row>
    <row r="328" customFormat="false" ht="17.15" hidden="false" customHeight="false" outlineLevel="0" collapsed="false">
      <c r="A328" s="11" t="s">
        <v>6962</v>
      </c>
      <c r="B328" s="11" t="s">
        <v>6581</v>
      </c>
      <c r="C328" s="11" t="s">
        <v>156</v>
      </c>
      <c r="D328" s="6" t="n">
        <v>1608085</v>
      </c>
      <c r="E328" s="5" t="s">
        <v>6264</v>
      </c>
      <c r="F328" s="5" t="s">
        <v>6264</v>
      </c>
      <c r="G328" s="11" t="s">
        <v>131</v>
      </c>
      <c r="H328" s="11" t="s">
        <v>6963</v>
      </c>
    </row>
    <row r="329" customFormat="false" ht="17.15" hidden="false" customHeight="false" outlineLevel="0" collapsed="false">
      <c r="A329" s="11" t="s">
        <v>6964</v>
      </c>
      <c r="B329" s="11" t="s">
        <v>5345</v>
      </c>
      <c r="C329" s="5"/>
      <c r="D329" s="6" t="n">
        <v>1607038</v>
      </c>
      <c r="E329" s="5" t="s">
        <v>6210</v>
      </c>
      <c r="F329" s="5" t="s">
        <v>6210</v>
      </c>
      <c r="G329" s="11" t="s">
        <v>137</v>
      </c>
      <c r="H329" s="11" t="s">
        <v>6965</v>
      </c>
    </row>
    <row r="330" customFormat="false" ht="15" hidden="false" customHeight="false" outlineLevel="0" collapsed="false">
      <c r="A330" s="11" t="s">
        <v>6966</v>
      </c>
      <c r="B330" s="11" t="s">
        <v>6967</v>
      </c>
      <c r="C330" s="11" t="s">
        <v>150</v>
      </c>
      <c r="D330" s="6" t="n">
        <v>1581963</v>
      </c>
      <c r="E330" s="5" t="s">
        <v>141</v>
      </c>
      <c r="F330" s="5" t="s">
        <v>141</v>
      </c>
      <c r="G330" s="11" t="s">
        <v>140</v>
      </c>
      <c r="H330" s="11" t="s">
        <v>6968</v>
      </c>
    </row>
    <row r="331" customFormat="false" ht="17.15" hidden="false" customHeight="false" outlineLevel="0" collapsed="false">
      <c r="A331" s="11" t="s">
        <v>6969</v>
      </c>
      <c r="B331" s="11" t="s">
        <v>753</v>
      </c>
      <c r="C331" s="11" t="s">
        <v>193</v>
      </c>
      <c r="D331" s="6" t="n">
        <v>1569036</v>
      </c>
      <c r="E331" s="5" t="s">
        <v>6239</v>
      </c>
      <c r="F331" s="5" t="s">
        <v>6239</v>
      </c>
      <c r="G331" s="11" t="s">
        <v>143</v>
      </c>
      <c r="H331" s="11" t="s">
        <v>6970</v>
      </c>
    </row>
    <row r="332" customFormat="false" ht="17.15" hidden="false" customHeight="false" outlineLevel="0" collapsed="false">
      <c r="A332" s="11" t="s">
        <v>6971</v>
      </c>
      <c r="B332" s="11" t="s">
        <v>2557</v>
      </c>
      <c r="C332" s="11" t="s">
        <v>168</v>
      </c>
      <c r="D332" s="6" t="n">
        <v>1567151</v>
      </c>
      <c r="E332" s="5" t="s">
        <v>6207</v>
      </c>
      <c r="F332" s="5" t="s">
        <v>6207</v>
      </c>
      <c r="G332" s="11" t="s">
        <v>134</v>
      </c>
      <c r="H332" s="11" t="s">
        <v>6972</v>
      </c>
    </row>
    <row r="333" customFormat="false" ht="17.15" hidden="false" customHeight="false" outlineLevel="0" collapsed="false">
      <c r="A333" s="11" t="s">
        <v>6973</v>
      </c>
      <c r="B333" s="11" t="s">
        <v>6974</v>
      </c>
      <c r="C333" s="11" t="s">
        <v>155</v>
      </c>
      <c r="D333" s="6" t="n">
        <v>1563856</v>
      </c>
      <c r="E333" s="5" t="s">
        <v>6210</v>
      </c>
      <c r="F333" s="5" t="s">
        <v>6210</v>
      </c>
      <c r="G333" s="11" t="s">
        <v>137</v>
      </c>
      <c r="H333" s="11" t="s">
        <v>6975</v>
      </c>
    </row>
    <row r="334" customFormat="false" ht="17.15" hidden="false" customHeight="false" outlineLevel="0" collapsed="false">
      <c r="A334" s="11" t="s">
        <v>6976</v>
      </c>
      <c r="B334" s="11" t="s">
        <v>2309</v>
      </c>
      <c r="C334" s="11" t="s">
        <v>174</v>
      </c>
      <c r="D334" s="6" t="n">
        <v>1557829</v>
      </c>
      <c r="E334" s="5" t="s">
        <v>6207</v>
      </c>
      <c r="F334" s="5" t="s">
        <v>6207</v>
      </c>
      <c r="G334" s="11" t="s">
        <v>134</v>
      </c>
      <c r="H334" s="11" t="s">
        <v>6977</v>
      </c>
    </row>
    <row r="335" customFormat="false" ht="17.15" hidden="false" customHeight="false" outlineLevel="0" collapsed="false">
      <c r="A335" s="11" t="s">
        <v>6978</v>
      </c>
      <c r="B335" s="11" t="s">
        <v>6581</v>
      </c>
      <c r="C335" s="11" t="s">
        <v>155</v>
      </c>
      <c r="D335" s="6" t="n">
        <v>1555750</v>
      </c>
      <c r="E335" s="5" t="s">
        <v>6264</v>
      </c>
      <c r="F335" s="5" t="s">
        <v>6264</v>
      </c>
      <c r="G335" s="11" t="s">
        <v>131</v>
      </c>
      <c r="H335" s="11" t="s">
        <v>6979</v>
      </c>
    </row>
    <row r="336" customFormat="false" ht="17.15" hidden="false" customHeight="false" outlineLevel="0" collapsed="false">
      <c r="A336" s="11" t="s">
        <v>6980</v>
      </c>
      <c r="B336" s="11" t="s">
        <v>6981</v>
      </c>
      <c r="C336" s="11" t="s">
        <v>175</v>
      </c>
      <c r="D336" s="6" t="n">
        <v>1552308</v>
      </c>
      <c r="E336" s="5" t="s">
        <v>6207</v>
      </c>
      <c r="F336" s="5" t="s">
        <v>6207</v>
      </c>
      <c r="G336" s="11" t="s">
        <v>134</v>
      </c>
      <c r="H336" s="11" t="s">
        <v>6982</v>
      </c>
    </row>
    <row r="337" customFormat="false" ht="17.15" hidden="false" customHeight="false" outlineLevel="0" collapsed="false">
      <c r="A337" s="11" t="s">
        <v>6983</v>
      </c>
      <c r="B337" s="11" t="s">
        <v>4242</v>
      </c>
      <c r="C337" s="11" t="s">
        <v>152</v>
      </c>
      <c r="D337" s="6" t="n">
        <v>1544581</v>
      </c>
      <c r="E337" s="5" t="s">
        <v>6210</v>
      </c>
      <c r="F337" s="5" t="s">
        <v>6210</v>
      </c>
      <c r="G337" s="11" t="s">
        <v>137</v>
      </c>
      <c r="H337" s="11" t="s">
        <v>6984</v>
      </c>
    </row>
    <row r="338" customFormat="false" ht="17.15" hidden="false" customHeight="false" outlineLevel="0" collapsed="false">
      <c r="A338" s="11" t="s">
        <v>6985</v>
      </c>
      <c r="B338" s="11" t="s">
        <v>308</v>
      </c>
      <c r="C338" s="11" t="s">
        <v>162</v>
      </c>
      <c r="D338" s="6" t="n">
        <v>1542209</v>
      </c>
      <c r="E338" s="5" t="s">
        <v>6207</v>
      </c>
      <c r="F338" s="5" t="s">
        <v>6207</v>
      </c>
      <c r="G338" s="11" t="s">
        <v>134</v>
      </c>
      <c r="H338" s="11" t="s">
        <v>6986</v>
      </c>
    </row>
    <row r="339" customFormat="false" ht="17.15" hidden="false" customHeight="false" outlineLevel="0" collapsed="false">
      <c r="A339" s="11" t="s">
        <v>6987</v>
      </c>
      <c r="B339" s="11" t="s">
        <v>6988</v>
      </c>
      <c r="C339" s="11" t="s">
        <v>153</v>
      </c>
      <c r="D339" s="6" t="n">
        <v>1537508</v>
      </c>
      <c r="E339" s="5" t="s">
        <v>6207</v>
      </c>
      <c r="F339" s="5" t="s">
        <v>6207</v>
      </c>
      <c r="G339" s="11" t="s">
        <v>134</v>
      </c>
      <c r="H339" s="11" t="s">
        <v>6989</v>
      </c>
    </row>
    <row r="340" customFormat="false" ht="17.15" hidden="false" customHeight="false" outlineLevel="0" collapsed="false">
      <c r="A340" s="11" t="s">
        <v>6990</v>
      </c>
      <c r="B340" s="11" t="s">
        <v>6099</v>
      </c>
      <c r="C340" s="11" t="s">
        <v>153</v>
      </c>
      <c r="D340" s="6" t="n">
        <v>1535092</v>
      </c>
      <c r="E340" s="5" t="s">
        <v>6210</v>
      </c>
      <c r="F340" s="5" t="s">
        <v>6210</v>
      </c>
      <c r="G340" s="11" t="s">
        <v>137</v>
      </c>
      <c r="H340" s="11" t="s">
        <v>6991</v>
      </c>
    </row>
    <row r="341" customFormat="false" ht="17.15" hidden="false" customHeight="false" outlineLevel="0" collapsed="false">
      <c r="A341" s="11" t="s">
        <v>6992</v>
      </c>
      <c r="B341" s="11" t="s">
        <v>6993</v>
      </c>
      <c r="C341" s="5"/>
      <c r="D341" s="6" t="n">
        <v>1532322</v>
      </c>
      <c r="E341" s="5" t="s">
        <v>6207</v>
      </c>
      <c r="F341" s="5" t="s">
        <v>6207</v>
      </c>
      <c r="G341" s="11" t="s">
        <v>134</v>
      </c>
      <c r="H341" s="11" t="s">
        <v>6994</v>
      </c>
    </row>
    <row r="342" customFormat="false" ht="17.15" hidden="false" customHeight="false" outlineLevel="0" collapsed="false">
      <c r="A342" s="11" t="s">
        <v>6995</v>
      </c>
      <c r="B342" s="11" t="s">
        <v>6996</v>
      </c>
      <c r="C342" s="11" t="s">
        <v>174</v>
      </c>
      <c r="D342" s="6" t="n">
        <v>1517572</v>
      </c>
      <c r="E342" s="5" t="s">
        <v>6207</v>
      </c>
      <c r="F342" s="5" t="s">
        <v>6997</v>
      </c>
      <c r="G342" s="11" t="s">
        <v>6998</v>
      </c>
      <c r="H342" s="11" t="s">
        <v>6999</v>
      </c>
    </row>
    <row r="343" customFormat="false" ht="17.15" hidden="false" customHeight="false" outlineLevel="0" collapsed="false">
      <c r="A343" s="11" t="s">
        <v>7000</v>
      </c>
      <c r="B343" s="11" t="s">
        <v>6681</v>
      </c>
      <c r="C343" s="11" t="s">
        <v>161</v>
      </c>
      <c r="D343" s="6" t="n">
        <v>1512345</v>
      </c>
      <c r="E343" s="5" t="s">
        <v>6207</v>
      </c>
      <c r="F343" s="5" t="s">
        <v>6207</v>
      </c>
      <c r="G343" s="11" t="s">
        <v>134</v>
      </c>
      <c r="H343" s="11" t="s">
        <v>7001</v>
      </c>
    </row>
    <row r="344" customFormat="false" ht="17.15" hidden="false" customHeight="false" outlineLevel="0" collapsed="false">
      <c r="A344" s="11" t="s">
        <v>7002</v>
      </c>
      <c r="B344" s="11" t="s">
        <v>308</v>
      </c>
      <c r="C344" s="11" t="s">
        <v>155</v>
      </c>
      <c r="D344" s="6" t="n">
        <v>1498680</v>
      </c>
      <c r="E344" s="5" t="s">
        <v>6210</v>
      </c>
      <c r="F344" s="5" t="s">
        <v>6210</v>
      </c>
      <c r="G344" s="11" t="s">
        <v>137</v>
      </c>
      <c r="H344" s="11" t="s">
        <v>7003</v>
      </c>
    </row>
    <row r="345" customFormat="false" ht="17.15" hidden="false" customHeight="false" outlineLevel="0" collapsed="false">
      <c r="A345" s="11" t="s">
        <v>7004</v>
      </c>
      <c r="B345" s="11" t="s">
        <v>6273</v>
      </c>
      <c r="C345" s="11" t="s">
        <v>153</v>
      </c>
      <c r="D345" s="6" t="n">
        <v>1498636</v>
      </c>
      <c r="E345" s="5" t="s">
        <v>6210</v>
      </c>
      <c r="F345" s="5" t="s">
        <v>6210</v>
      </c>
      <c r="G345" s="11" t="s">
        <v>137</v>
      </c>
      <c r="H345" s="11" t="s">
        <v>7005</v>
      </c>
    </row>
    <row r="346" customFormat="false" ht="15" hidden="false" customHeight="false" outlineLevel="0" collapsed="false">
      <c r="A346" s="11" t="s">
        <v>7006</v>
      </c>
      <c r="B346" s="11" t="s">
        <v>6226</v>
      </c>
      <c r="C346" s="11" t="s">
        <v>175</v>
      </c>
      <c r="D346" s="6" t="n">
        <v>1496726</v>
      </c>
      <c r="E346" s="5" t="s">
        <v>6227</v>
      </c>
      <c r="F346" s="5" t="s">
        <v>6227</v>
      </c>
      <c r="G346" s="11" t="s">
        <v>134</v>
      </c>
      <c r="H346" s="11" t="s">
        <v>7007</v>
      </c>
    </row>
    <row r="347" customFormat="false" ht="17.15" hidden="false" customHeight="false" outlineLevel="0" collapsed="false">
      <c r="A347" s="11" t="s">
        <v>7008</v>
      </c>
      <c r="B347" s="11" t="s">
        <v>6909</v>
      </c>
      <c r="C347" s="11" t="s">
        <v>153</v>
      </c>
      <c r="D347" s="6" t="n">
        <v>1493470</v>
      </c>
      <c r="E347" s="5" t="s">
        <v>6210</v>
      </c>
      <c r="F347" s="5" t="s">
        <v>6210</v>
      </c>
      <c r="G347" s="11" t="s">
        <v>137</v>
      </c>
      <c r="H347" s="11" t="s">
        <v>7009</v>
      </c>
    </row>
    <row r="348" customFormat="false" ht="17.15" hidden="false" customHeight="false" outlineLevel="0" collapsed="false">
      <c r="A348" s="11" t="s">
        <v>7010</v>
      </c>
      <c r="B348" s="11" t="s">
        <v>2557</v>
      </c>
      <c r="C348" s="11" t="s">
        <v>168</v>
      </c>
      <c r="D348" s="6" t="n">
        <v>1484118</v>
      </c>
      <c r="E348" s="5" t="s">
        <v>6207</v>
      </c>
      <c r="F348" s="5" t="s">
        <v>6207</v>
      </c>
      <c r="G348" s="11" t="s">
        <v>134</v>
      </c>
      <c r="H348" s="11" t="s">
        <v>7011</v>
      </c>
    </row>
    <row r="349" customFormat="false" ht="17.15" hidden="false" customHeight="false" outlineLevel="0" collapsed="false">
      <c r="A349" s="11" t="s">
        <v>7012</v>
      </c>
      <c r="B349" s="11" t="s">
        <v>6457</v>
      </c>
      <c r="C349" s="11" t="s">
        <v>155</v>
      </c>
      <c r="D349" s="6" t="n">
        <v>1479056</v>
      </c>
      <c r="E349" s="5" t="s">
        <v>6264</v>
      </c>
      <c r="F349" s="5" t="s">
        <v>6264</v>
      </c>
      <c r="G349" s="11" t="s">
        <v>131</v>
      </c>
      <c r="H349" s="11" t="s">
        <v>7013</v>
      </c>
    </row>
    <row r="350" customFormat="false" ht="15" hidden="false" customHeight="false" outlineLevel="0" collapsed="false">
      <c r="A350" s="11" t="s">
        <v>7014</v>
      </c>
      <c r="B350" s="11" t="s">
        <v>7015</v>
      </c>
      <c r="C350" s="11" t="s">
        <v>149</v>
      </c>
      <c r="D350" s="6" t="n">
        <v>1478649</v>
      </c>
      <c r="E350" s="5" t="s">
        <v>141</v>
      </c>
      <c r="F350" s="5" t="s">
        <v>141</v>
      </c>
      <c r="G350" s="11" t="s">
        <v>140</v>
      </c>
      <c r="H350" s="11" t="s">
        <v>7016</v>
      </c>
    </row>
    <row r="351" customFormat="false" ht="17.15" hidden="false" customHeight="false" outlineLevel="0" collapsed="false">
      <c r="A351" s="11" t="s">
        <v>7017</v>
      </c>
      <c r="B351" s="11" t="s">
        <v>6708</v>
      </c>
      <c r="C351" s="11" t="s">
        <v>175</v>
      </c>
      <c r="D351" s="6" t="n">
        <v>1476137</v>
      </c>
      <c r="E351" s="5" t="s">
        <v>6207</v>
      </c>
      <c r="F351" s="5" t="s">
        <v>6207</v>
      </c>
      <c r="G351" s="11" t="s">
        <v>134</v>
      </c>
      <c r="H351" s="11" t="s">
        <v>7018</v>
      </c>
    </row>
    <row r="352" customFormat="false" ht="17.15" hidden="false" customHeight="false" outlineLevel="0" collapsed="false">
      <c r="A352" s="11" t="s">
        <v>7019</v>
      </c>
      <c r="B352" s="11" t="s">
        <v>7020</v>
      </c>
      <c r="C352" s="11" t="s">
        <v>192</v>
      </c>
      <c r="D352" s="6" t="n">
        <v>1474354</v>
      </c>
      <c r="E352" s="5" t="s">
        <v>6239</v>
      </c>
      <c r="F352" s="5" t="s">
        <v>6239</v>
      </c>
      <c r="G352" s="11" t="s">
        <v>143</v>
      </c>
      <c r="H352" s="11" t="s">
        <v>7021</v>
      </c>
    </row>
    <row r="353" customFormat="false" ht="17.15" hidden="false" customHeight="false" outlineLevel="0" collapsed="false">
      <c r="A353" s="11" t="s">
        <v>7022</v>
      </c>
      <c r="B353" s="11" t="s">
        <v>2557</v>
      </c>
      <c r="C353" s="11" t="s">
        <v>168</v>
      </c>
      <c r="D353" s="6" t="n">
        <v>1473199</v>
      </c>
      <c r="E353" s="5" t="s">
        <v>6207</v>
      </c>
      <c r="F353" s="5" t="s">
        <v>6207</v>
      </c>
      <c r="G353" s="11" t="s">
        <v>134</v>
      </c>
      <c r="H353" s="11" t="s">
        <v>7023</v>
      </c>
    </row>
    <row r="354" customFormat="false" ht="17.15" hidden="false" customHeight="false" outlineLevel="0" collapsed="false">
      <c r="A354" s="11" t="s">
        <v>7024</v>
      </c>
      <c r="B354" s="11" t="s">
        <v>7025</v>
      </c>
      <c r="C354" s="11" t="s">
        <v>162</v>
      </c>
      <c r="D354" s="6" t="n">
        <v>1471197</v>
      </c>
      <c r="E354" s="5" t="s">
        <v>6207</v>
      </c>
      <c r="F354" s="5" t="s">
        <v>6207</v>
      </c>
      <c r="G354" s="11" t="s">
        <v>134</v>
      </c>
      <c r="H354" s="11" t="s">
        <v>7026</v>
      </c>
    </row>
    <row r="355" customFormat="false" ht="17.15" hidden="false" customHeight="false" outlineLevel="0" collapsed="false">
      <c r="A355" s="11" t="s">
        <v>3631</v>
      </c>
      <c r="B355" s="11" t="s">
        <v>368</v>
      </c>
      <c r="C355" s="11" t="s">
        <v>161</v>
      </c>
      <c r="D355" s="6" t="n">
        <v>1470010</v>
      </c>
      <c r="E355" s="5" t="s">
        <v>6207</v>
      </c>
      <c r="F355" s="5" t="s">
        <v>6207</v>
      </c>
      <c r="G355" s="11" t="s">
        <v>134</v>
      </c>
      <c r="H355" s="11" t="s">
        <v>7027</v>
      </c>
    </row>
    <row r="356" customFormat="false" ht="17.15" hidden="false" customHeight="false" outlineLevel="0" collapsed="false">
      <c r="A356" s="11" t="s">
        <v>7028</v>
      </c>
      <c r="B356" s="11" t="s">
        <v>681</v>
      </c>
      <c r="C356" s="11" t="s">
        <v>155</v>
      </c>
      <c r="D356" s="6" t="n">
        <v>1467259</v>
      </c>
      <c r="E356" s="5" t="s">
        <v>6207</v>
      </c>
      <c r="F356" s="5" t="s">
        <v>6207</v>
      </c>
      <c r="G356" s="11" t="s">
        <v>134</v>
      </c>
      <c r="H356" s="11" t="s">
        <v>7029</v>
      </c>
    </row>
    <row r="357" customFormat="false" ht="17.15" hidden="false" customHeight="false" outlineLevel="0" collapsed="false">
      <c r="A357" s="11" t="s">
        <v>7030</v>
      </c>
      <c r="B357" s="11" t="s">
        <v>6381</v>
      </c>
      <c r="C357" s="5"/>
      <c r="D357" s="6" t="n">
        <v>1466866</v>
      </c>
      <c r="E357" s="5" t="s">
        <v>6207</v>
      </c>
      <c r="F357" s="5" t="s">
        <v>6207</v>
      </c>
      <c r="G357" s="11" t="s">
        <v>134</v>
      </c>
      <c r="H357" s="11" t="s">
        <v>7031</v>
      </c>
    </row>
    <row r="358" customFormat="false" ht="17.15" hidden="false" customHeight="false" outlineLevel="0" collapsed="false">
      <c r="A358" s="11" t="s">
        <v>7032</v>
      </c>
      <c r="B358" s="11" t="s">
        <v>7033</v>
      </c>
      <c r="C358" s="5"/>
      <c r="D358" s="6" t="n">
        <v>1465542</v>
      </c>
      <c r="E358" s="5" t="s">
        <v>6207</v>
      </c>
      <c r="F358" s="5" t="s">
        <v>6207</v>
      </c>
      <c r="G358" s="11" t="s">
        <v>134</v>
      </c>
      <c r="H358" s="11" t="s">
        <v>7034</v>
      </c>
    </row>
    <row r="359" customFormat="false" ht="17.15" hidden="false" customHeight="false" outlineLevel="0" collapsed="false">
      <c r="A359" s="11" t="s">
        <v>7035</v>
      </c>
      <c r="B359" s="11" t="s">
        <v>5983</v>
      </c>
      <c r="C359" s="11" t="s">
        <v>162</v>
      </c>
      <c r="D359" s="6" t="n">
        <v>1460130</v>
      </c>
      <c r="E359" s="5" t="s">
        <v>6207</v>
      </c>
      <c r="F359" s="5" t="s">
        <v>6207</v>
      </c>
      <c r="G359" s="11" t="s">
        <v>134</v>
      </c>
      <c r="H359" s="11" t="s">
        <v>7036</v>
      </c>
    </row>
    <row r="360" customFormat="false" ht="17.15" hidden="false" customHeight="false" outlineLevel="0" collapsed="false">
      <c r="A360" s="11" t="s">
        <v>7037</v>
      </c>
      <c r="B360" s="11" t="s">
        <v>327</v>
      </c>
      <c r="C360" s="11" t="s">
        <v>155</v>
      </c>
      <c r="D360" s="6" t="n">
        <v>1457284</v>
      </c>
      <c r="E360" s="5" t="s">
        <v>6210</v>
      </c>
      <c r="F360" s="5" t="s">
        <v>6210</v>
      </c>
      <c r="G360" s="11" t="s">
        <v>137</v>
      </c>
      <c r="H360" s="11" t="s">
        <v>7038</v>
      </c>
    </row>
    <row r="361" customFormat="false" ht="17.15" hidden="false" customHeight="false" outlineLevel="0" collapsed="false">
      <c r="A361" s="11" t="s">
        <v>592</v>
      </c>
      <c r="B361" s="11" t="s">
        <v>826</v>
      </c>
      <c r="C361" s="11" t="s">
        <v>149</v>
      </c>
      <c r="D361" s="6" t="n">
        <v>1453284</v>
      </c>
      <c r="E361" s="5" t="s">
        <v>6207</v>
      </c>
      <c r="F361" s="5" t="s">
        <v>6207</v>
      </c>
      <c r="G361" s="11" t="s">
        <v>134</v>
      </c>
      <c r="H361" s="11" t="s">
        <v>7039</v>
      </c>
    </row>
    <row r="362" customFormat="false" ht="17.15" hidden="false" customHeight="false" outlineLevel="0" collapsed="false">
      <c r="A362" s="11" t="s">
        <v>5579</v>
      </c>
      <c r="B362" s="11" t="s">
        <v>681</v>
      </c>
      <c r="C362" s="11" t="s">
        <v>175</v>
      </c>
      <c r="D362" s="6" t="n">
        <v>1444442</v>
      </c>
      <c r="E362" s="5" t="s">
        <v>6207</v>
      </c>
      <c r="F362" s="5" t="s">
        <v>6207</v>
      </c>
      <c r="G362" s="11" t="s">
        <v>134</v>
      </c>
      <c r="H362" s="11" t="s">
        <v>7040</v>
      </c>
    </row>
    <row r="363" customFormat="false" ht="17.15" hidden="false" customHeight="false" outlineLevel="0" collapsed="false">
      <c r="A363" s="11" t="s">
        <v>4936</v>
      </c>
      <c r="B363" s="11" t="s">
        <v>7041</v>
      </c>
      <c r="C363" s="11" t="s">
        <v>153</v>
      </c>
      <c r="D363" s="6" t="n">
        <v>1444244</v>
      </c>
      <c r="E363" s="5" t="s">
        <v>6207</v>
      </c>
      <c r="F363" s="5" t="s">
        <v>6207</v>
      </c>
      <c r="G363" s="11" t="s">
        <v>134</v>
      </c>
      <c r="H363" s="11" t="s">
        <v>7042</v>
      </c>
    </row>
    <row r="364" customFormat="false" ht="17.15" hidden="false" customHeight="false" outlineLevel="0" collapsed="false">
      <c r="A364" s="11" t="s">
        <v>7043</v>
      </c>
      <c r="B364" s="11" t="s">
        <v>7044</v>
      </c>
      <c r="C364" s="11" t="s">
        <v>192</v>
      </c>
      <c r="D364" s="6" t="n">
        <v>1439203</v>
      </c>
      <c r="E364" s="5" t="s">
        <v>6239</v>
      </c>
      <c r="F364" s="5" t="s">
        <v>6239</v>
      </c>
      <c r="G364" s="11" t="s">
        <v>143</v>
      </c>
      <c r="H364" s="11" t="s">
        <v>7045</v>
      </c>
    </row>
    <row r="365" customFormat="false" ht="17.15" hidden="false" customHeight="false" outlineLevel="0" collapsed="false">
      <c r="A365" s="11" t="s">
        <v>7046</v>
      </c>
      <c r="B365" s="11" t="s">
        <v>2067</v>
      </c>
      <c r="C365" s="11" t="s">
        <v>192</v>
      </c>
      <c r="D365" s="6" t="n">
        <v>1427888</v>
      </c>
      <c r="E365" s="5" t="s">
        <v>6239</v>
      </c>
      <c r="F365" s="5" t="s">
        <v>6239</v>
      </c>
      <c r="G365" s="11" t="s">
        <v>143</v>
      </c>
      <c r="H365" s="11" t="s">
        <v>7047</v>
      </c>
    </row>
    <row r="366" customFormat="false" ht="17.15" hidden="false" customHeight="false" outlineLevel="0" collapsed="false">
      <c r="A366" s="11" t="s">
        <v>7048</v>
      </c>
      <c r="B366" s="11" t="s">
        <v>6528</v>
      </c>
      <c r="C366" s="11" t="s">
        <v>193</v>
      </c>
      <c r="D366" s="6" t="n">
        <v>1426396</v>
      </c>
      <c r="E366" s="5" t="s">
        <v>6239</v>
      </c>
      <c r="F366" s="5" t="s">
        <v>6239</v>
      </c>
      <c r="G366" s="11" t="s">
        <v>143</v>
      </c>
      <c r="H366" s="11" t="s">
        <v>7049</v>
      </c>
    </row>
    <row r="367" customFormat="false" ht="17.15" hidden="false" customHeight="false" outlineLevel="0" collapsed="false">
      <c r="A367" s="11" t="s">
        <v>7050</v>
      </c>
      <c r="B367" s="11" t="s">
        <v>6581</v>
      </c>
      <c r="C367" s="11" t="s">
        <v>155</v>
      </c>
      <c r="D367" s="6" t="n">
        <v>1426293</v>
      </c>
      <c r="E367" s="5" t="s">
        <v>6264</v>
      </c>
      <c r="F367" s="5" t="s">
        <v>6264</v>
      </c>
      <c r="G367" s="11" t="s">
        <v>131</v>
      </c>
      <c r="H367" s="11" t="s">
        <v>7051</v>
      </c>
    </row>
    <row r="368" customFormat="false" ht="17.15" hidden="false" customHeight="false" outlineLevel="0" collapsed="false">
      <c r="A368" s="11" t="s">
        <v>7052</v>
      </c>
      <c r="B368" s="11" t="s">
        <v>327</v>
      </c>
      <c r="C368" s="5"/>
      <c r="D368" s="6" t="n">
        <v>1424818</v>
      </c>
      <c r="E368" s="5" t="s">
        <v>6207</v>
      </c>
      <c r="F368" s="5" t="s">
        <v>6207</v>
      </c>
      <c r="G368" s="11" t="s">
        <v>134</v>
      </c>
      <c r="H368" s="11" t="s">
        <v>7053</v>
      </c>
    </row>
    <row r="369" customFormat="false" ht="17.15" hidden="false" customHeight="false" outlineLevel="0" collapsed="false">
      <c r="A369" s="11" t="s">
        <v>7054</v>
      </c>
      <c r="B369" s="11" t="s">
        <v>6223</v>
      </c>
      <c r="C369" s="11" t="s">
        <v>175</v>
      </c>
      <c r="D369" s="6" t="n">
        <v>1422371</v>
      </c>
      <c r="E369" s="5" t="s">
        <v>6207</v>
      </c>
      <c r="F369" s="5" t="s">
        <v>6207</v>
      </c>
      <c r="G369" s="11" t="s">
        <v>134</v>
      </c>
      <c r="H369" s="11" t="s">
        <v>7055</v>
      </c>
    </row>
    <row r="370" customFormat="false" ht="17.15" hidden="false" customHeight="false" outlineLevel="0" collapsed="false">
      <c r="A370" s="11" t="s">
        <v>7056</v>
      </c>
      <c r="B370" s="11" t="s">
        <v>7057</v>
      </c>
      <c r="C370" s="11" t="s">
        <v>175</v>
      </c>
      <c r="D370" s="6" t="n">
        <v>1420045</v>
      </c>
      <c r="E370" s="5" t="s">
        <v>6207</v>
      </c>
      <c r="F370" s="5" t="s">
        <v>6207</v>
      </c>
      <c r="G370" s="11" t="s">
        <v>134</v>
      </c>
      <c r="H370" s="11" t="s">
        <v>7058</v>
      </c>
    </row>
    <row r="371" customFormat="false" ht="17.15" hidden="false" customHeight="false" outlineLevel="0" collapsed="false">
      <c r="A371" s="11" t="s">
        <v>7059</v>
      </c>
      <c r="B371" s="11" t="s">
        <v>6263</v>
      </c>
      <c r="C371" s="11" t="s">
        <v>155</v>
      </c>
      <c r="D371" s="6" t="n">
        <v>1419150</v>
      </c>
      <c r="E371" s="5" t="s">
        <v>6210</v>
      </c>
      <c r="F371" s="5" t="s">
        <v>6210</v>
      </c>
      <c r="G371" s="11" t="s">
        <v>137</v>
      </c>
      <c r="H371" s="11" t="s">
        <v>7060</v>
      </c>
    </row>
    <row r="372" customFormat="false" ht="17.15" hidden="false" customHeight="false" outlineLevel="0" collapsed="false">
      <c r="A372" s="11" t="s">
        <v>7061</v>
      </c>
      <c r="B372" s="11" t="s">
        <v>7062</v>
      </c>
      <c r="C372" s="11" t="s">
        <v>175</v>
      </c>
      <c r="D372" s="6" t="n">
        <v>1412364</v>
      </c>
      <c r="E372" s="5" t="s">
        <v>6207</v>
      </c>
      <c r="F372" s="5" t="s">
        <v>6207</v>
      </c>
      <c r="G372" s="11" t="s">
        <v>134</v>
      </c>
      <c r="H372" s="11" t="s">
        <v>7063</v>
      </c>
    </row>
    <row r="373" customFormat="false" ht="17.15" hidden="false" customHeight="false" outlineLevel="0" collapsed="false">
      <c r="A373" s="11" t="s">
        <v>7064</v>
      </c>
      <c r="B373" s="11" t="s">
        <v>308</v>
      </c>
      <c r="C373" s="11" t="s">
        <v>7065</v>
      </c>
      <c r="D373" s="6" t="n">
        <v>1410197</v>
      </c>
      <c r="E373" s="5" t="s">
        <v>6207</v>
      </c>
      <c r="F373" s="5" t="s">
        <v>6207</v>
      </c>
      <c r="G373" s="11" t="s">
        <v>134</v>
      </c>
      <c r="H373" s="11" t="s">
        <v>7066</v>
      </c>
    </row>
    <row r="374" customFormat="false" ht="17.15" hidden="false" customHeight="false" outlineLevel="0" collapsed="false">
      <c r="A374" s="11" t="s">
        <v>7067</v>
      </c>
      <c r="B374" s="11" t="s">
        <v>6263</v>
      </c>
      <c r="C374" s="11" t="s">
        <v>155</v>
      </c>
      <c r="D374" s="6" t="n">
        <v>1408939</v>
      </c>
      <c r="E374" s="5" t="s">
        <v>6264</v>
      </c>
      <c r="F374" s="5" t="s">
        <v>6264</v>
      </c>
      <c r="G374" s="11" t="s">
        <v>131</v>
      </c>
      <c r="H374" s="11" t="s">
        <v>7068</v>
      </c>
    </row>
    <row r="375" customFormat="false" ht="17.15" hidden="false" customHeight="false" outlineLevel="0" collapsed="false">
      <c r="A375" s="11" t="s">
        <v>7069</v>
      </c>
      <c r="B375" s="11" t="s">
        <v>2309</v>
      </c>
      <c r="C375" s="11" t="s">
        <v>174</v>
      </c>
      <c r="D375" s="6" t="n">
        <v>1407324</v>
      </c>
      <c r="E375" s="5" t="s">
        <v>6207</v>
      </c>
      <c r="F375" s="5" t="s">
        <v>6207</v>
      </c>
      <c r="G375" s="11" t="s">
        <v>134</v>
      </c>
      <c r="H375" s="11" t="s">
        <v>7070</v>
      </c>
    </row>
    <row r="376" customFormat="false" ht="17.15" hidden="false" customHeight="false" outlineLevel="0" collapsed="false">
      <c r="A376" s="11" t="s">
        <v>7071</v>
      </c>
      <c r="B376" s="11" t="s">
        <v>6581</v>
      </c>
      <c r="C376" s="11" t="s">
        <v>155</v>
      </c>
      <c r="D376" s="6" t="n">
        <v>1402735</v>
      </c>
      <c r="E376" s="5" t="s">
        <v>6264</v>
      </c>
      <c r="F376" s="5" t="s">
        <v>6264</v>
      </c>
      <c r="G376" s="11" t="s">
        <v>131</v>
      </c>
      <c r="H376" s="11" t="s">
        <v>7072</v>
      </c>
    </row>
    <row r="377" customFormat="false" ht="17.15" hidden="false" customHeight="false" outlineLevel="0" collapsed="false">
      <c r="A377" s="11" t="s">
        <v>7073</v>
      </c>
      <c r="B377" s="11" t="s">
        <v>2557</v>
      </c>
      <c r="C377" s="11" t="s">
        <v>168</v>
      </c>
      <c r="D377" s="6" t="n">
        <v>1398430</v>
      </c>
      <c r="E377" s="5" t="s">
        <v>6207</v>
      </c>
      <c r="F377" s="5" t="s">
        <v>6207</v>
      </c>
      <c r="G377" s="11" t="s">
        <v>134</v>
      </c>
      <c r="H377" s="11" t="s">
        <v>7074</v>
      </c>
    </row>
    <row r="378" customFormat="false" ht="17.15" hidden="false" customHeight="false" outlineLevel="0" collapsed="false">
      <c r="A378" s="11" t="s">
        <v>7075</v>
      </c>
      <c r="B378" s="11" t="s">
        <v>7076</v>
      </c>
      <c r="C378" s="11" t="s">
        <v>152</v>
      </c>
      <c r="D378" s="6" t="n">
        <v>1397331</v>
      </c>
      <c r="E378" s="5" t="s">
        <v>6207</v>
      </c>
      <c r="F378" s="5" t="s">
        <v>6377</v>
      </c>
      <c r="G378" s="11" t="s">
        <v>6378</v>
      </c>
      <c r="H378" s="11" t="s">
        <v>7077</v>
      </c>
    </row>
    <row r="379" customFormat="false" ht="17.15" hidden="false" customHeight="false" outlineLevel="0" collapsed="false">
      <c r="A379" s="11" t="s">
        <v>7078</v>
      </c>
      <c r="B379" s="11" t="s">
        <v>6724</v>
      </c>
      <c r="C379" s="11" t="s">
        <v>153</v>
      </c>
      <c r="D379" s="6" t="n">
        <v>1390800</v>
      </c>
      <c r="E379" s="5" t="s">
        <v>6207</v>
      </c>
      <c r="F379" s="5" t="s">
        <v>6377</v>
      </c>
      <c r="G379" s="11" t="s">
        <v>6378</v>
      </c>
      <c r="H379" s="11" t="s">
        <v>7079</v>
      </c>
    </row>
    <row r="380" customFormat="false" ht="17.15" hidden="false" customHeight="false" outlineLevel="0" collapsed="false">
      <c r="A380" s="11" t="s">
        <v>7080</v>
      </c>
      <c r="B380" s="11" t="s">
        <v>681</v>
      </c>
      <c r="C380" s="11" t="s">
        <v>198</v>
      </c>
      <c r="D380" s="6" t="n">
        <v>1386561</v>
      </c>
      <c r="E380" s="5" t="s">
        <v>141</v>
      </c>
      <c r="F380" s="5" t="s">
        <v>6495</v>
      </c>
      <c r="G380" s="11" t="s">
        <v>6496</v>
      </c>
      <c r="H380" s="11" t="s">
        <v>7081</v>
      </c>
    </row>
    <row r="381" customFormat="false" ht="17.15" hidden="false" customHeight="false" outlineLevel="0" collapsed="false">
      <c r="A381" s="11" t="s">
        <v>7082</v>
      </c>
      <c r="B381" s="11" t="s">
        <v>7083</v>
      </c>
      <c r="C381" s="11" t="s">
        <v>156</v>
      </c>
      <c r="D381" s="6" t="n">
        <v>1381338</v>
      </c>
      <c r="E381" s="5" t="s">
        <v>6210</v>
      </c>
      <c r="F381" s="5" t="s">
        <v>6210</v>
      </c>
      <c r="G381" s="11" t="s">
        <v>137</v>
      </c>
      <c r="H381" s="11" t="s">
        <v>7084</v>
      </c>
    </row>
    <row r="382" customFormat="false" ht="17.15" hidden="false" customHeight="false" outlineLevel="0" collapsed="false">
      <c r="A382" s="11" t="s">
        <v>7085</v>
      </c>
      <c r="B382" s="11" t="s">
        <v>6617</v>
      </c>
      <c r="C382" s="11" t="s">
        <v>162</v>
      </c>
      <c r="D382" s="6" t="n">
        <v>1377683</v>
      </c>
      <c r="E382" s="5" t="s">
        <v>6207</v>
      </c>
      <c r="F382" s="5" t="s">
        <v>6207</v>
      </c>
      <c r="G382" s="11" t="s">
        <v>134</v>
      </c>
      <c r="H382" s="11" t="s">
        <v>7086</v>
      </c>
    </row>
    <row r="383" customFormat="false" ht="17.15" hidden="false" customHeight="false" outlineLevel="0" collapsed="false">
      <c r="A383" s="11" t="s">
        <v>7087</v>
      </c>
      <c r="B383" s="11" t="s">
        <v>3829</v>
      </c>
      <c r="C383" s="11" t="s">
        <v>156</v>
      </c>
      <c r="D383" s="6" t="n">
        <v>1376065</v>
      </c>
      <c r="E383" s="5" t="s">
        <v>6207</v>
      </c>
      <c r="F383" s="5" t="s">
        <v>6207</v>
      </c>
      <c r="G383" s="11" t="s">
        <v>134</v>
      </c>
      <c r="H383" s="11" t="s">
        <v>7088</v>
      </c>
    </row>
    <row r="384" customFormat="false" ht="17.15" hidden="false" customHeight="false" outlineLevel="0" collapsed="false">
      <c r="A384" s="11" t="s">
        <v>7089</v>
      </c>
      <c r="B384" s="11" t="s">
        <v>6581</v>
      </c>
      <c r="C384" s="11" t="s">
        <v>155</v>
      </c>
      <c r="D384" s="6" t="n">
        <v>1375576</v>
      </c>
      <c r="E384" s="5" t="s">
        <v>6264</v>
      </c>
      <c r="F384" s="5" t="s">
        <v>6264</v>
      </c>
      <c r="G384" s="11" t="s">
        <v>131</v>
      </c>
      <c r="H384" s="11" t="s">
        <v>7090</v>
      </c>
    </row>
    <row r="385" customFormat="false" ht="17.15" hidden="false" customHeight="false" outlineLevel="0" collapsed="false">
      <c r="A385" s="11" t="s">
        <v>7091</v>
      </c>
      <c r="B385" s="11" t="s">
        <v>7092</v>
      </c>
      <c r="C385" s="11" t="s">
        <v>197</v>
      </c>
      <c r="D385" s="6" t="n">
        <v>1373594</v>
      </c>
      <c r="E385" s="5" t="s">
        <v>6210</v>
      </c>
      <c r="F385" s="5" t="s">
        <v>6516</v>
      </c>
      <c r="G385" s="11" t="s">
        <v>6517</v>
      </c>
      <c r="H385" s="11" t="s">
        <v>7093</v>
      </c>
    </row>
    <row r="386" customFormat="false" ht="17.15" hidden="false" customHeight="false" outlineLevel="0" collapsed="false">
      <c r="A386" s="11" t="s">
        <v>7094</v>
      </c>
      <c r="B386" s="11" t="s">
        <v>327</v>
      </c>
      <c r="C386" s="11" t="s">
        <v>183</v>
      </c>
      <c r="D386" s="6" t="n">
        <v>1372738</v>
      </c>
      <c r="E386" s="5" t="s">
        <v>6207</v>
      </c>
      <c r="F386" s="5" t="s">
        <v>6207</v>
      </c>
      <c r="G386" s="11" t="s">
        <v>134</v>
      </c>
      <c r="H386" s="11" t="s">
        <v>7095</v>
      </c>
    </row>
    <row r="387" customFormat="false" ht="17.15" hidden="false" customHeight="false" outlineLevel="0" collapsed="false">
      <c r="A387" s="11" t="s">
        <v>7096</v>
      </c>
      <c r="B387" s="11" t="s">
        <v>1214</v>
      </c>
      <c r="C387" s="11" t="s">
        <v>189</v>
      </c>
      <c r="D387" s="6" t="n">
        <v>1371251</v>
      </c>
      <c r="E387" s="5" t="s">
        <v>6239</v>
      </c>
      <c r="F387" s="5" t="s">
        <v>6239</v>
      </c>
      <c r="G387" s="11" t="s">
        <v>143</v>
      </c>
      <c r="H387" s="11" t="s">
        <v>7097</v>
      </c>
    </row>
    <row r="388" customFormat="false" ht="17.15" hidden="false" customHeight="false" outlineLevel="0" collapsed="false">
      <c r="A388" s="11" t="s">
        <v>7098</v>
      </c>
      <c r="B388" s="11" t="s">
        <v>2557</v>
      </c>
      <c r="C388" s="11" t="s">
        <v>168</v>
      </c>
      <c r="D388" s="6" t="n">
        <v>1369410</v>
      </c>
      <c r="E388" s="5" t="s">
        <v>6207</v>
      </c>
      <c r="F388" s="5" t="s">
        <v>6207</v>
      </c>
      <c r="G388" s="11" t="s">
        <v>134</v>
      </c>
      <c r="H388" s="11" t="s">
        <v>7099</v>
      </c>
    </row>
    <row r="389" customFormat="false" ht="15" hidden="false" customHeight="false" outlineLevel="0" collapsed="false">
      <c r="A389" s="11" t="s">
        <v>7100</v>
      </c>
      <c r="B389" s="11" t="s">
        <v>7101</v>
      </c>
      <c r="C389" s="11" t="s">
        <v>172</v>
      </c>
      <c r="D389" s="6" t="n">
        <v>1368156</v>
      </c>
      <c r="E389" s="5" t="s">
        <v>141</v>
      </c>
      <c r="F389" s="5" t="s">
        <v>141</v>
      </c>
      <c r="G389" s="11" t="s">
        <v>140</v>
      </c>
      <c r="H389" s="11" t="s">
        <v>7102</v>
      </c>
    </row>
    <row r="390" customFormat="false" ht="17.15" hidden="false" customHeight="false" outlineLevel="0" collapsed="false">
      <c r="A390" s="11" t="s">
        <v>7103</v>
      </c>
      <c r="B390" s="11" t="s">
        <v>327</v>
      </c>
      <c r="C390" s="11" t="s">
        <v>153</v>
      </c>
      <c r="D390" s="6" t="n">
        <v>1365767</v>
      </c>
      <c r="E390" s="5" t="s">
        <v>6207</v>
      </c>
      <c r="F390" s="5" t="s">
        <v>6207</v>
      </c>
      <c r="G390" s="11" t="s">
        <v>134</v>
      </c>
      <c r="H390" s="11" t="s">
        <v>7104</v>
      </c>
    </row>
    <row r="391" customFormat="false" ht="17.15" hidden="false" customHeight="false" outlineLevel="0" collapsed="false">
      <c r="A391" s="11" t="s">
        <v>7105</v>
      </c>
      <c r="B391" s="11" t="s">
        <v>327</v>
      </c>
      <c r="C391" s="11" t="s">
        <v>153</v>
      </c>
      <c r="D391" s="6" t="n">
        <v>1364128</v>
      </c>
      <c r="E391" s="5" t="s">
        <v>6207</v>
      </c>
      <c r="F391" s="5" t="s">
        <v>6207</v>
      </c>
      <c r="G391" s="11" t="s">
        <v>134</v>
      </c>
      <c r="H391" s="11" t="s">
        <v>7106</v>
      </c>
    </row>
    <row r="392" customFormat="false" ht="17.15" hidden="false" customHeight="false" outlineLevel="0" collapsed="false">
      <c r="A392" s="11" t="s">
        <v>7107</v>
      </c>
      <c r="B392" s="11" t="s">
        <v>7108</v>
      </c>
      <c r="C392" s="11" t="s">
        <v>155</v>
      </c>
      <c r="D392" s="6" t="n">
        <v>1361774</v>
      </c>
      <c r="E392" s="5" t="s">
        <v>6207</v>
      </c>
      <c r="F392" s="5" t="s">
        <v>6207</v>
      </c>
      <c r="G392" s="11" t="s">
        <v>134</v>
      </c>
      <c r="H392" s="11" t="s">
        <v>7109</v>
      </c>
    </row>
    <row r="393" customFormat="false" ht="15" hidden="false" customHeight="false" outlineLevel="0" collapsed="false">
      <c r="A393" s="11" t="s">
        <v>7110</v>
      </c>
      <c r="B393" s="11" t="s">
        <v>7111</v>
      </c>
      <c r="C393" s="11" t="s">
        <v>175</v>
      </c>
      <c r="D393" s="6" t="n">
        <v>1359812</v>
      </c>
      <c r="E393" s="5" t="s">
        <v>141</v>
      </c>
      <c r="F393" s="5" t="s">
        <v>141</v>
      </c>
      <c r="G393" s="11" t="s">
        <v>140</v>
      </c>
      <c r="H393" s="11" t="s">
        <v>7112</v>
      </c>
    </row>
    <row r="394" customFormat="false" ht="17.15" hidden="false" customHeight="false" outlineLevel="0" collapsed="false">
      <c r="A394" s="11" t="s">
        <v>7113</v>
      </c>
      <c r="B394" s="11" t="s">
        <v>6528</v>
      </c>
      <c r="C394" s="11" t="s">
        <v>193</v>
      </c>
      <c r="D394" s="6" t="n">
        <v>1353905</v>
      </c>
      <c r="E394" s="5" t="s">
        <v>6239</v>
      </c>
      <c r="F394" s="5" t="s">
        <v>6239</v>
      </c>
      <c r="G394" s="11" t="s">
        <v>143</v>
      </c>
      <c r="H394" s="11" t="s">
        <v>7114</v>
      </c>
    </row>
    <row r="395" customFormat="false" ht="17.15" hidden="false" customHeight="false" outlineLevel="0" collapsed="false">
      <c r="A395" s="11" t="s">
        <v>7115</v>
      </c>
      <c r="B395" s="11" t="s">
        <v>2557</v>
      </c>
      <c r="C395" s="11" t="s">
        <v>168</v>
      </c>
      <c r="D395" s="6" t="n">
        <v>1348416</v>
      </c>
      <c r="E395" s="5" t="s">
        <v>6207</v>
      </c>
      <c r="F395" s="5" t="s">
        <v>6207</v>
      </c>
      <c r="G395" s="11" t="s">
        <v>134</v>
      </c>
      <c r="H395" s="11" t="s">
        <v>7116</v>
      </c>
    </row>
    <row r="396" customFormat="false" ht="17.15" hidden="false" customHeight="false" outlineLevel="0" collapsed="false">
      <c r="A396" s="11" t="s">
        <v>7117</v>
      </c>
      <c r="B396" s="11" t="s">
        <v>6647</v>
      </c>
      <c r="C396" s="11" t="s">
        <v>149</v>
      </c>
      <c r="D396" s="6" t="n">
        <v>1335252</v>
      </c>
      <c r="E396" s="5" t="s">
        <v>6264</v>
      </c>
      <c r="F396" s="5" t="s">
        <v>6648</v>
      </c>
      <c r="G396" s="11" t="s">
        <v>6649</v>
      </c>
      <c r="H396" s="11" t="s">
        <v>7118</v>
      </c>
    </row>
    <row r="397" customFormat="false" ht="17.15" hidden="false" customHeight="false" outlineLevel="0" collapsed="false">
      <c r="A397" s="11" t="s">
        <v>7119</v>
      </c>
      <c r="B397" s="11" t="s">
        <v>308</v>
      </c>
      <c r="C397" s="11" t="s">
        <v>155</v>
      </c>
      <c r="D397" s="6" t="n">
        <v>1333072</v>
      </c>
      <c r="E397" s="5" t="s">
        <v>6207</v>
      </c>
      <c r="F397" s="5" t="s">
        <v>6207</v>
      </c>
      <c r="G397" s="11" t="s">
        <v>134</v>
      </c>
      <c r="H397" s="11" t="s">
        <v>7120</v>
      </c>
    </row>
    <row r="398" customFormat="false" ht="17.15" hidden="false" customHeight="false" outlineLevel="0" collapsed="false">
      <c r="A398" s="11" t="s">
        <v>7121</v>
      </c>
      <c r="B398" s="11" t="s">
        <v>2557</v>
      </c>
      <c r="C398" s="11" t="s">
        <v>168</v>
      </c>
      <c r="D398" s="6" t="n">
        <v>1332765</v>
      </c>
      <c r="E398" s="5" t="s">
        <v>6207</v>
      </c>
      <c r="F398" s="5" t="s">
        <v>6207</v>
      </c>
      <c r="G398" s="11" t="s">
        <v>134</v>
      </c>
      <c r="H398" s="11" t="s">
        <v>7122</v>
      </c>
    </row>
    <row r="399" customFormat="false" ht="17.15" hidden="false" customHeight="false" outlineLevel="0" collapsed="false">
      <c r="A399" s="11" t="s">
        <v>7123</v>
      </c>
      <c r="B399" s="11" t="s">
        <v>681</v>
      </c>
      <c r="C399" s="11" t="s">
        <v>155</v>
      </c>
      <c r="D399" s="6" t="n">
        <v>1329407</v>
      </c>
      <c r="E399" s="5" t="s">
        <v>6207</v>
      </c>
      <c r="F399" s="5" t="s">
        <v>6207</v>
      </c>
      <c r="G399" s="11" t="s">
        <v>134</v>
      </c>
      <c r="H399" s="11" t="s">
        <v>7124</v>
      </c>
    </row>
    <row r="400" customFormat="false" ht="17.15" hidden="false" customHeight="false" outlineLevel="0" collapsed="false">
      <c r="A400" s="11" t="s">
        <v>7125</v>
      </c>
      <c r="B400" s="11" t="s">
        <v>948</v>
      </c>
      <c r="C400" s="11" t="s">
        <v>155</v>
      </c>
      <c r="D400" s="6" t="n">
        <v>1326005</v>
      </c>
      <c r="E400" s="5" t="s">
        <v>6264</v>
      </c>
      <c r="F400" s="5" t="s">
        <v>6648</v>
      </c>
      <c r="G400" s="11" t="s">
        <v>6649</v>
      </c>
      <c r="H400" s="11" t="s">
        <v>7126</v>
      </c>
    </row>
    <row r="401" customFormat="false" ht="15" hidden="false" customHeight="false" outlineLevel="0" collapsed="false">
      <c r="A401" s="11" t="s">
        <v>7127</v>
      </c>
      <c r="B401" s="11" t="s">
        <v>6412</v>
      </c>
      <c r="C401" s="11" t="s">
        <v>156</v>
      </c>
      <c r="D401" s="6" t="n">
        <v>1320226</v>
      </c>
      <c r="E401" s="5" t="s">
        <v>6413</v>
      </c>
      <c r="F401" s="5" t="s">
        <v>6413</v>
      </c>
      <c r="G401" s="11" t="s">
        <v>128</v>
      </c>
      <c r="H401" s="11" t="s">
        <v>7128</v>
      </c>
    </row>
    <row r="402" customFormat="false" ht="17.15" hidden="false" customHeight="false" outlineLevel="0" collapsed="false">
      <c r="A402" s="11" t="s">
        <v>7129</v>
      </c>
      <c r="B402" s="11" t="s">
        <v>7130</v>
      </c>
      <c r="C402" s="11" t="s">
        <v>192</v>
      </c>
      <c r="D402" s="6" t="n">
        <v>1318510</v>
      </c>
      <c r="E402" s="5" t="s">
        <v>6239</v>
      </c>
      <c r="F402" s="5" t="s">
        <v>6239</v>
      </c>
      <c r="G402" s="11" t="s">
        <v>143</v>
      </c>
      <c r="H402" s="11" t="s">
        <v>7131</v>
      </c>
    </row>
    <row r="403" customFormat="false" ht="17.15" hidden="false" customHeight="false" outlineLevel="0" collapsed="false">
      <c r="A403" s="11" t="s">
        <v>7132</v>
      </c>
      <c r="B403" s="11" t="s">
        <v>7133</v>
      </c>
      <c r="C403" s="11" t="s">
        <v>161</v>
      </c>
      <c r="D403" s="6" t="n">
        <v>1310896</v>
      </c>
      <c r="E403" s="5" t="s">
        <v>6207</v>
      </c>
      <c r="F403" s="5" t="s">
        <v>6207</v>
      </c>
      <c r="G403" s="11" t="s">
        <v>134</v>
      </c>
      <c r="H403" s="11" t="s">
        <v>7134</v>
      </c>
    </row>
    <row r="404" customFormat="false" ht="15" hidden="false" customHeight="false" outlineLevel="0" collapsed="false">
      <c r="A404" s="11" t="s">
        <v>7135</v>
      </c>
      <c r="B404" s="11" t="s">
        <v>3108</v>
      </c>
      <c r="C404" s="5"/>
      <c r="D404" s="6" t="n">
        <v>1310889</v>
      </c>
      <c r="E404" s="5" t="s">
        <v>141</v>
      </c>
      <c r="F404" s="5" t="s">
        <v>141</v>
      </c>
      <c r="G404" s="11" t="s">
        <v>140</v>
      </c>
      <c r="H404" s="11" t="s">
        <v>7136</v>
      </c>
    </row>
    <row r="405" customFormat="false" ht="17.15" hidden="false" customHeight="false" outlineLevel="0" collapsed="false">
      <c r="A405" s="11" t="s">
        <v>7137</v>
      </c>
      <c r="B405" s="11" t="s">
        <v>2067</v>
      </c>
      <c r="C405" s="11" t="s">
        <v>194</v>
      </c>
      <c r="D405" s="6" t="n">
        <v>1310121</v>
      </c>
      <c r="E405" s="5" t="s">
        <v>6239</v>
      </c>
      <c r="F405" s="5" t="s">
        <v>6239</v>
      </c>
      <c r="G405" s="11" t="s">
        <v>143</v>
      </c>
      <c r="H405" s="11" t="s">
        <v>7138</v>
      </c>
    </row>
    <row r="406" customFormat="false" ht="17.15" hidden="false" customHeight="false" outlineLevel="0" collapsed="false">
      <c r="A406" s="11" t="s">
        <v>7139</v>
      </c>
      <c r="B406" s="11" t="s">
        <v>5141</v>
      </c>
      <c r="C406" s="11" t="s">
        <v>197</v>
      </c>
      <c r="D406" s="6" t="n">
        <v>1308388</v>
      </c>
      <c r="E406" s="5" t="s">
        <v>6239</v>
      </c>
      <c r="F406" s="5" t="s">
        <v>6239</v>
      </c>
      <c r="G406" s="11" t="s">
        <v>143</v>
      </c>
      <c r="H406" s="11" t="s">
        <v>7140</v>
      </c>
    </row>
    <row r="407" customFormat="false" ht="17.15" hidden="false" customHeight="false" outlineLevel="0" collapsed="false">
      <c r="A407" s="11" t="s">
        <v>7141</v>
      </c>
      <c r="B407" s="11" t="s">
        <v>7142</v>
      </c>
      <c r="C407" s="11" t="s">
        <v>175</v>
      </c>
      <c r="D407" s="6" t="n">
        <v>1305012</v>
      </c>
      <c r="E407" s="5" t="s">
        <v>6207</v>
      </c>
      <c r="F407" s="5" t="s">
        <v>6207</v>
      </c>
      <c r="G407" s="11" t="s">
        <v>134</v>
      </c>
      <c r="H407" s="11" t="s">
        <v>7143</v>
      </c>
    </row>
    <row r="408" customFormat="false" ht="17.15" hidden="false" customHeight="false" outlineLevel="0" collapsed="false">
      <c r="A408" s="11" t="s">
        <v>7144</v>
      </c>
      <c r="B408" s="11" t="s">
        <v>6273</v>
      </c>
      <c r="C408" s="11" t="s">
        <v>153</v>
      </c>
      <c r="D408" s="6" t="n">
        <v>1293183</v>
      </c>
      <c r="E408" s="5" t="s">
        <v>6210</v>
      </c>
      <c r="F408" s="5" t="s">
        <v>6210</v>
      </c>
      <c r="G408" s="11" t="s">
        <v>137</v>
      </c>
      <c r="H408" s="11" t="s">
        <v>7145</v>
      </c>
    </row>
    <row r="409" customFormat="false" ht="17.15" hidden="false" customHeight="false" outlineLevel="0" collapsed="false">
      <c r="A409" s="11" t="s">
        <v>7146</v>
      </c>
      <c r="B409" s="11" t="s">
        <v>7147</v>
      </c>
      <c r="C409" s="11" t="s">
        <v>155</v>
      </c>
      <c r="D409" s="6" t="n">
        <v>1292625</v>
      </c>
      <c r="E409" s="5" t="s">
        <v>6207</v>
      </c>
      <c r="F409" s="5" t="s">
        <v>6207</v>
      </c>
      <c r="G409" s="11" t="s">
        <v>134</v>
      </c>
      <c r="H409" s="11" t="s">
        <v>7148</v>
      </c>
    </row>
    <row r="410" customFormat="false" ht="17.15" hidden="false" customHeight="false" outlineLevel="0" collapsed="false">
      <c r="A410" s="11" t="s">
        <v>7149</v>
      </c>
      <c r="B410" s="11" t="s">
        <v>7150</v>
      </c>
      <c r="C410" s="11" t="s">
        <v>152</v>
      </c>
      <c r="D410" s="6" t="n">
        <v>1284475</v>
      </c>
      <c r="E410" s="5" t="s">
        <v>6210</v>
      </c>
      <c r="F410" s="5" t="s">
        <v>6210</v>
      </c>
      <c r="G410" s="11" t="s">
        <v>137</v>
      </c>
      <c r="H410" s="11" t="s">
        <v>7151</v>
      </c>
    </row>
    <row r="411" customFormat="false" ht="17.15" hidden="false" customHeight="false" outlineLevel="0" collapsed="false">
      <c r="A411" s="11" t="s">
        <v>7152</v>
      </c>
      <c r="B411" s="11" t="s">
        <v>7153</v>
      </c>
      <c r="C411" s="11" t="s">
        <v>192</v>
      </c>
      <c r="D411" s="6" t="n">
        <v>1283316</v>
      </c>
      <c r="E411" s="5" t="s">
        <v>6239</v>
      </c>
      <c r="F411" s="5" t="s">
        <v>6239</v>
      </c>
      <c r="G411" s="11" t="s">
        <v>143</v>
      </c>
      <c r="H411" s="11" t="s">
        <v>7154</v>
      </c>
    </row>
    <row r="412" customFormat="false" ht="17.15" hidden="false" customHeight="false" outlineLevel="0" collapsed="false">
      <c r="A412" s="11" t="s">
        <v>7155</v>
      </c>
      <c r="B412" s="11" t="s">
        <v>7156</v>
      </c>
      <c r="C412" s="11" t="s">
        <v>197</v>
      </c>
      <c r="D412" s="6" t="n">
        <v>1279662</v>
      </c>
      <c r="E412" s="5" t="s">
        <v>6239</v>
      </c>
      <c r="F412" s="5" t="s">
        <v>6239</v>
      </c>
      <c r="G412" s="11" t="s">
        <v>143</v>
      </c>
      <c r="H412" s="11" t="s">
        <v>7157</v>
      </c>
    </row>
    <row r="413" customFormat="false" ht="17.15" hidden="false" customHeight="false" outlineLevel="0" collapsed="false">
      <c r="A413" s="11" t="s">
        <v>7158</v>
      </c>
      <c r="B413" s="11" t="s">
        <v>7159</v>
      </c>
      <c r="C413" s="11" t="s">
        <v>189</v>
      </c>
      <c r="D413" s="6" t="n">
        <v>1270190</v>
      </c>
      <c r="E413" s="5" t="s">
        <v>141</v>
      </c>
      <c r="F413" s="5" t="s">
        <v>6495</v>
      </c>
      <c r="G413" s="11" t="s">
        <v>6496</v>
      </c>
      <c r="H413" s="11" t="s">
        <v>7160</v>
      </c>
    </row>
    <row r="414" customFormat="false" ht="17.15" hidden="false" customHeight="false" outlineLevel="0" collapsed="false">
      <c r="A414" s="11" t="s">
        <v>7161</v>
      </c>
      <c r="B414" s="11" t="s">
        <v>6310</v>
      </c>
      <c r="C414" s="11" t="s">
        <v>174</v>
      </c>
      <c r="D414" s="6" t="n">
        <v>1265295</v>
      </c>
      <c r="E414" s="5" t="s">
        <v>6207</v>
      </c>
      <c r="F414" s="5" t="s">
        <v>6207</v>
      </c>
      <c r="G414" s="11" t="s">
        <v>134</v>
      </c>
      <c r="H414" s="11" t="s">
        <v>7162</v>
      </c>
    </row>
    <row r="415" customFormat="false" ht="17.15" hidden="false" customHeight="false" outlineLevel="0" collapsed="false">
      <c r="A415" s="11" t="s">
        <v>7163</v>
      </c>
      <c r="B415" s="11" t="s">
        <v>308</v>
      </c>
      <c r="C415" s="11" t="s">
        <v>162</v>
      </c>
      <c r="D415" s="6" t="n">
        <v>1264004</v>
      </c>
      <c r="E415" s="5" t="s">
        <v>6210</v>
      </c>
      <c r="F415" s="5" t="s">
        <v>6210</v>
      </c>
      <c r="G415" s="11" t="s">
        <v>137</v>
      </c>
      <c r="H415" s="11" t="s">
        <v>7164</v>
      </c>
    </row>
    <row r="416" customFormat="false" ht="17.15" hidden="false" customHeight="false" outlineLevel="0" collapsed="false">
      <c r="A416" s="11" t="s">
        <v>7165</v>
      </c>
      <c r="B416" s="11" t="s">
        <v>681</v>
      </c>
      <c r="C416" s="11" t="s">
        <v>175</v>
      </c>
      <c r="D416" s="6" t="n">
        <v>1261855</v>
      </c>
      <c r="E416" s="5" t="s">
        <v>6207</v>
      </c>
      <c r="F416" s="5" t="s">
        <v>6207</v>
      </c>
      <c r="G416" s="11" t="s">
        <v>134</v>
      </c>
      <c r="H416" s="11" t="s">
        <v>7166</v>
      </c>
    </row>
    <row r="417" customFormat="false" ht="17.15" hidden="false" customHeight="false" outlineLevel="0" collapsed="false">
      <c r="A417" s="11" t="s">
        <v>7167</v>
      </c>
      <c r="B417" s="11" t="s">
        <v>7168</v>
      </c>
      <c r="C417" s="11" t="s">
        <v>162</v>
      </c>
      <c r="D417" s="6" t="n">
        <v>1260441</v>
      </c>
      <c r="E417" s="5" t="s">
        <v>6207</v>
      </c>
      <c r="F417" s="5" t="s">
        <v>6207</v>
      </c>
      <c r="G417" s="11" t="s">
        <v>134</v>
      </c>
      <c r="H417" s="11" t="s">
        <v>7169</v>
      </c>
    </row>
    <row r="418" customFormat="false" ht="17.15" hidden="false" customHeight="false" outlineLevel="0" collapsed="false">
      <c r="A418" s="11" t="s">
        <v>7170</v>
      </c>
      <c r="B418" s="11" t="s">
        <v>6528</v>
      </c>
      <c r="C418" s="11" t="s">
        <v>193</v>
      </c>
      <c r="D418" s="6" t="n">
        <v>1258080</v>
      </c>
      <c r="E418" s="5" t="s">
        <v>6239</v>
      </c>
      <c r="F418" s="5" t="s">
        <v>6239</v>
      </c>
      <c r="G418" s="11" t="s">
        <v>143</v>
      </c>
      <c r="H418" s="11" t="s">
        <v>7171</v>
      </c>
    </row>
    <row r="419" customFormat="false" ht="15" hidden="false" customHeight="false" outlineLevel="0" collapsed="false">
      <c r="A419" s="11" t="s">
        <v>7172</v>
      </c>
      <c r="B419" s="11" t="s">
        <v>7173</v>
      </c>
      <c r="C419" s="11" t="s">
        <v>156</v>
      </c>
      <c r="D419" s="6" t="n">
        <v>1257990</v>
      </c>
      <c r="E419" s="5" t="s">
        <v>6413</v>
      </c>
      <c r="F419" s="5" t="s">
        <v>6413</v>
      </c>
      <c r="G419" s="11" t="s">
        <v>128</v>
      </c>
      <c r="H419" s="11" t="s">
        <v>7174</v>
      </c>
    </row>
    <row r="420" customFormat="false" ht="17.15" hidden="false" customHeight="false" outlineLevel="0" collapsed="false">
      <c r="A420" s="11" t="s">
        <v>7175</v>
      </c>
      <c r="B420" s="11" t="s">
        <v>1374</v>
      </c>
      <c r="C420" s="11" t="s">
        <v>175</v>
      </c>
      <c r="D420" s="6" t="n">
        <v>1256768</v>
      </c>
      <c r="E420" s="5" t="s">
        <v>6207</v>
      </c>
      <c r="F420" s="5" t="s">
        <v>6207</v>
      </c>
      <c r="G420" s="11" t="s">
        <v>134</v>
      </c>
      <c r="H420" s="11" t="s">
        <v>7176</v>
      </c>
    </row>
    <row r="421" customFormat="false" ht="17.15" hidden="false" customHeight="false" outlineLevel="0" collapsed="false">
      <c r="A421" s="11" t="s">
        <v>7177</v>
      </c>
      <c r="B421" s="11" t="s">
        <v>6381</v>
      </c>
      <c r="C421" s="5"/>
      <c r="D421" s="6" t="n">
        <v>1249498</v>
      </c>
      <c r="E421" s="5" t="s">
        <v>6207</v>
      </c>
      <c r="F421" s="5" t="s">
        <v>6207</v>
      </c>
      <c r="G421" s="11" t="s">
        <v>134</v>
      </c>
      <c r="H421" s="11" t="s">
        <v>7178</v>
      </c>
    </row>
    <row r="422" customFormat="false" ht="17.15" hidden="false" customHeight="false" outlineLevel="0" collapsed="false">
      <c r="A422" s="11" t="s">
        <v>7179</v>
      </c>
      <c r="B422" s="11" t="s">
        <v>6581</v>
      </c>
      <c r="C422" s="11" t="s">
        <v>155</v>
      </c>
      <c r="D422" s="6" t="n">
        <v>1249057</v>
      </c>
      <c r="E422" s="5" t="s">
        <v>6264</v>
      </c>
      <c r="F422" s="5" t="s">
        <v>6264</v>
      </c>
      <c r="G422" s="11" t="s">
        <v>131</v>
      </c>
      <c r="H422" s="11" t="s">
        <v>7180</v>
      </c>
    </row>
    <row r="423" customFormat="false" ht="17.15" hidden="false" customHeight="false" outlineLevel="0" collapsed="false">
      <c r="A423" s="11" t="s">
        <v>7181</v>
      </c>
      <c r="B423" s="11" t="s">
        <v>7182</v>
      </c>
      <c r="C423" s="11" t="s">
        <v>167</v>
      </c>
      <c r="D423" s="6" t="n">
        <v>1244821</v>
      </c>
      <c r="E423" s="5" t="s">
        <v>6207</v>
      </c>
      <c r="F423" s="5" t="s">
        <v>6207</v>
      </c>
      <c r="G423" s="11" t="s">
        <v>134</v>
      </c>
      <c r="H423" s="11" t="s">
        <v>7183</v>
      </c>
    </row>
    <row r="424" customFormat="false" ht="17.15" hidden="false" customHeight="false" outlineLevel="0" collapsed="false">
      <c r="A424" s="11" t="s">
        <v>7184</v>
      </c>
      <c r="B424" s="11" t="s">
        <v>7185</v>
      </c>
      <c r="C424" s="11" t="s">
        <v>156</v>
      </c>
      <c r="D424" s="6" t="n">
        <v>1243419</v>
      </c>
      <c r="E424" s="5" t="s">
        <v>6210</v>
      </c>
      <c r="F424" s="5" t="s">
        <v>6210</v>
      </c>
      <c r="G424" s="11" t="s">
        <v>137</v>
      </c>
      <c r="H424" s="11" t="s">
        <v>7186</v>
      </c>
    </row>
    <row r="425" customFormat="false" ht="17.15" hidden="false" customHeight="false" outlineLevel="0" collapsed="false">
      <c r="A425" s="11" t="s">
        <v>7187</v>
      </c>
      <c r="B425" s="11" t="s">
        <v>6903</v>
      </c>
      <c r="C425" s="11" t="s">
        <v>155</v>
      </c>
      <c r="D425" s="6" t="n">
        <v>1238682</v>
      </c>
      <c r="E425" s="5" t="s">
        <v>6207</v>
      </c>
      <c r="F425" s="5" t="s">
        <v>6207</v>
      </c>
      <c r="G425" s="11" t="s">
        <v>134</v>
      </c>
      <c r="H425" s="11" t="s">
        <v>7188</v>
      </c>
    </row>
    <row r="426" customFormat="false" ht="17.15" hidden="false" customHeight="false" outlineLevel="0" collapsed="false">
      <c r="A426" s="11" t="s">
        <v>7189</v>
      </c>
      <c r="B426" s="11" t="s">
        <v>6581</v>
      </c>
      <c r="C426" s="11" t="s">
        <v>155</v>
      </c>
      <c r="D426" s="6" t="n">
        <v>1238498</v>
      </c>
      <c r="E426" s="5" t="s">
        <v>6264</v>
      </c>
      <c r="F426" s="5" t="s">
        <v>6264</v>
      </c>
      <c r="G426" s="11" t="s">
        <v>131</v>
      </c>
      <c r="H426" s="11" t="s">
        <v>7190</v>
      </c>
    </row>
    <row r="427" customFormat="false" ht="17.15" hidden="false" customHeight="false" outlineLevel="0" collapsed="false">
      <c r="A427" s="11" t="s">
        <v>7191</v>
      </c>
      <c r="B427" s="11" t="s">
        <v>7192</v>
      </c>
      <c r="C427" s="11" t="s">
        <v>149</v>
      </c>
      <c r="D427" s="6" t="n">
        <v>1237573</v>
      </c>
      <c r="E427" s="5" t="s">
        <v>6207</v>
      </c>
      <c r="F427" s="5" t="s">
        <v>6207</v>
      </c>
      <c r="G427" s="11" t="s">
        <v>134</v>
      </c>
      <c r="H427" s="11" t="s">
        <v>7193</v>
      </c>
    </row>
    <row r="428" customFormat="false" ht="17.15" hidden="false" customHeight="false" outlineLevel="0" collapsed="false">
      <c r="A428" s="11" t="s">
        <v>7194</v>
      </c>
      <c r="B428" s="11" t="s">
        <v>7195</v>
      </c>
      <c r="C428" s="11" t="s">
        <v>152</v>
      </c>
      <c r="D428" s="6" t="n">
        <v>1232470</v>
      </c>
      <c r="E428" s="5" t="s">
        <v>6207</v>
      </c>
      <c r="F428" s="5" t="s">
        <v>6207</v>
      </c>
      <c r="G428" s="11" t="s">
        <v>134</v>
      </c>
      <c r="H428" s="11" t="s">
        <v>7196</v>
      </c>
    </row>
    <row r="429" customFormat="false" ht="17.15" hidden="false" customHeight="false" outlineLevel="0" collapsed="false">
      <c r="A429" s="11" t="s">
        <v>7197</v>
      </c>
      <c r="B429" s="11" t="s">
        <v>6782</v>
      </c>
      <c r="C429" s="11" t="s">
        <v>162</v>
      </c>
      <c r="D429" s="6" t="n">
        <v>1229883</v>
      </c>
      <c r="E429" s="5" t="s">
        <v>6207</v>
      </c>
      <c r="F429" s="5" t="s">
        <v>6207</v>
      </c>
      <c r="G429" s="11" t="s">
        <v>134</v>
      </c>
      <c r="H429" s="11" t="s">
        <v>7198</v>
      </c>
    </row>
    <row r="430" customFormat="false" ht="17.15" hidden="false" customHeight="false" outlineLevel="0" collapsed="false">
      <c r="A430" s="11" t="s">
        <v>7199</v>
      </c>
      <c r="B430" s="11" t="s">
        <v>6647</v>
      </c>
      <c r="C430" s="11" t="s">
        <v>192</v>
      </c>
      <c r="D430" s="6" t="n">
        <v>1229070</v>
      </c>
      <c r="E430" s="5" t="s">
        <v>6264</v>
      </c>
      <c r="F430" s="5" t="s">
        <v>7200</v>
      </c>
      <c r="G430" s="11" t="s">
        <v>7201</v>
      </c>
      <c r="H430" s="11" t="s">
        <v>7202</v>
      </c>
    </row>
    <row r="431" customFormat="false" ht="17.15" hidden="false" customHeight="false" outlineLevel="0" collapsed="false">
      <c r="A431" s="11" t="s">
        <v>7203</v>
      </c>
      <c r="B431" s="11" t="s">
        <v>6581</v>
      </c>
      <c r="C431" s="11" t="s">
        <v>155</v>
      </c>
      <c r="D431" s="6" t="n">
        <v>1226941</v>
      </c>
      <c r="E431" s="5" t="s">
        <v>6264</v>
      </c>
      <c r="F431" s="5" t="s">
        <v>7204</v>
      </c>
      <c r="G431" s="11" t="s">
        <v>7205</v>
      </c>
      <c r="H431" s="11" t="s">
        <v>7206</v>
      </c>
    </row>
    <row r="432" customFormat="false" ht="17.15" hidden="false" customHeight="false" outlineLevel="0" collapsed="false">
      <c r="A432" s="11" t="s">
        <v>7207</v>
      </c>
      <c r="B432" s="11" t="s">
        <v>6503</v>
      </c>
      <c r="C432" s="11" t="s">
        <v>192</v>
      </c>
      <c r="D432" s="6" t="n">
        <v>1222701</v>
      </c>
      <c r="E432" s="5" t="s">
        <v>6239</v>
      </c>
      <c r="F432" s="5" t="s">
        <v>6239</v>
      </c>
      <c r="G432" s="11" t="s">
        <v>143</v>
      </c>
      <c r="H432" s="11" t="s">
        <v>7208</v>
      </c>
    </row>
    <row r="433" customFormat="false" ht="17.15" hidden="false" customHeight="false" outlineLevel="0" collapsed="false">
      <c r="A433" s="11" t="s">
        <v>7209</v>
      </c>
      <c r="B433" s="11" t="s">
        <v>2067</v>
      </c>
      <c r="C433" s="11" t="s">
        <v>189</v>
      </c>
      <c r="D433" s="6" t="n">
        <v>1220984</v>
      </c>
      <c r="E433" s="5" t="s">
        <v>6207</v>
      </c>
      <c r="F433" s="5" t="s">
        <v>6214</v>
      </c>
      <c r="G433" s="11" t="s">
        <v>6215</v>
      </c>
      <c r="H433" s="11" t="s">
        <v>7210</v>
      </c>
    </row>
    <row r="434" customFormat="false" ht="17.15" hidden="false" customHeight="false" outlineLevel="0" collapsed="false">
      <c r="A434" s="11" t="s">
        <v>7211</v>
      </c>
      <c r="B434" s="11" t="s">
        <v>2920</v>
      </c>
      <c r="C434" s="11" t="s">
        <v>155</v>
      </c>
      <c r="D434" s="6" t="n">
        <v>1203044</v>
      </c>
      <c r="E434" s="5" t="s">
        <v>6210</v>
      </c>
      <c r="F434" s="5" t="s">
        <v>6210</v>
      </c>
      <c r="G434" s="11" t="s">
        <v>137</v>
      </c>
      <c r="H434" s="11" t="s">
        <v>7212</v>
      </c>
    </row>
    <row r="435" customFormat="false" ht="17.15" hidden="false" customHeight="false" outlineLevel="0" collapsed="false">
      <c r="A435" s="11" t="s">
        <v>7213</v>
      </c>
      <c r="B435" s="11" t="s">
        <v>6273</v>
      </c>
      <c r="C435" s="11" t="s">
        <v>153</v>
      </c>
      <c r="D435" s="6" t="n">
        <v>1195025</v>
      </c>
      <c r="E435" s="5" t="s">
        <v>6210</v>
      </c>
      <c r="F435" s="5" t="s">
        <v>6274</v>
      </c>
      <c r="G435" s="11" t="s">
        <v>6275</v>
      </c>
      <c r="H435" s="11" t="s">
        <v>7214</v>
      </c>
    </row>
    <row r="436" customFormat="false" ht="17.15" hidden="false" customHeight="false" outlineLevel="0" collapsed="false">
      <c r="A436" s="11" t="s">
        <v>7215</v>
      </c>
      <c r="B436" s="11" t="s">
        <v>6852</v>
      </c>
      <c r="C436" s="11" t="s">
        <v>150</v>
      </c>
      <c r="D436" s="6" t="n">
        <v>1194763</v>
      </c>
      <c r="E436" s="5" t="s">
        <v>6207</v>
      </c>
      <c r="F436" s="5" t="s">
        <v>6207</v>
      </c>
      <c r="G436" s="11" t="s">
        <v>134</v>
      </c>
      <c r="H436" s="11" t="s">
        <v>7216</v>
      </c>
    </row>
    <row r="437" customFormat="false" ht="17.15" hidden="false" customHeight="false" outlineLevel="0" collapsed="false">
      <c r="A437" s="11" t="s">
        <v>7217</v>
      </c>
      <c r="B437" s="11" t="s">
        <v>7218</v>
      </c>
      <c r="C437" s="11" t="s">
        <v>197</v>
      </c>
      <c r="D437" s="6" t="n">
        <v>1186673</v>
      </c>
      <c r="E437" s="5" t="s">
        <v>6239</v>
      </c>
      <c r="F437" s="5" t="s">
        <v>6239</v>
      </c>
      <c r="G437" s="11" t="s">
        <v>143</v>
      </c>
      <c r="H437" s="11" t="s">
        <v>7219</v>
      </c>
    </row>
    <row r="438" customFormat="false" ht="17.15" hidden="false" customHeight="false" outlineLevel="0" collapsed="false">
      <c r="A438" s="11" t="s">
        <v>7220</v>
      </c>
      <c r="B438" s="11" t="s">
        <v>7221</v>
      </c>
      <c r="C438" s="11" t="s">
        <v>158</v>
      </c>
      <c r="D438" s="6" t="n">
        <v>1181176</v>
      </c>
      <c r="E438" s="5" t="s">
        <v>6210</v>
      </c>
      <c r="F438" s="5" t="s">
        <v>6210</v>
      </c>
      <c r="G438" s="11" t="s">
        <v>137</v>
      </c>
      <c r="H438" s="11" t="s">
        <v>7222</v>
      </c>
    </row>
    <row r="439" customFormat="false" ht="17.15" hidden="false" customHeight="false" outlineLevel="0" collapsed="false">
      <c r="A439" s="11" t="s">
        <v>7223</v>
      </c>
      <c r="B439" s="11" t="s">
        <v>7224</v>
      </c>
      <c r="C439" s="11" t="s">
        <v>153</v>
      </c>
      <c r="D439" s="6" t="n">
        <v>1180138</v>
      </c>
      <c r="E439" s="5" t="s">
        <v>6207</v>
      </c>
      <c r="F439" s="5" t="s">
        <v>6207</v>
      </c>
      <c r="G439" s="11" t="s">
        <v>134</v>
      </c>
      <c r="H439" s="11" t="s">
        <v>7225</v>
      </c>
    </row>
    <row r="440" customFormat="false" ht="17.15" hidden="false" customHeight="false" outlineLevel="0" collapsed="false">
      <c r="A440" s="11" t="s">
        <v>7226</v>
      </c>
      <c r="B440" s="11" t="s">
        <v>7227</v>
      </c>
      <c r="C440" s="11" t="s">
        <v>161</v>
      </c>
      <c r="D440" s="6" t="n">
        <v>1177527</v>
      </c>
      <c r="E440" s="5" t="s">
        <v>6207</v>
      </c>
      <c r="F440" s="5" t="s">
        <v>6377</v>
      </c>
      <c r="G440" s="11" t="s">
        <v>6378</v>
      </c>
      <c r="H440" s="11" t="s">
        <v>7228</v>
      </c>
    </row>
    <row r="441" customFormat="false" ht="17.15" hidden="false" customHeight="false" outlineLevel="0" collapsed="false">
      <c r="A441" s="11" t="s">
        <v>4521</v>
      </c>
      <c r="B441" s="11" t="s">
        <v>2920</v>
      </c>
      <c r="C441" s="11" t="s">
        <v>155</v>
      </c>
      <c r="D441" s="6" t="n">
        <v>1177046</v>
      </c>
      <c r="E441" s="5" t="s">
        <v>6210</v>
      </c>
      <c r="F441" s="5" t="s">
        <v>6210</v>
      </c>
      <c r="G441" s="11" t="s">
        <v>137</v>
      </c>
      <c r="H441" s="11" t="s">
        <v>7229</v>
      </c>
    </row>
    <row r="442" customFormat="false" ht="17.15" hidden="false" customHeight="false" outlineLevel="0" collapsed="false">
      <c r="A442" s="11" t="s">
        <v>7230</v>
      </c>
      <c r="B442" s="11" t="s">
        <v>7231</v>
      </c>
      <c r="C442" s="11" t="s">
        <v>175</v>
      </c>
      <c r="D442" s="6" t="n">
        <v>1167121</v>
      </c>
      <c r="E442" s="5" t="s">
        <v>6207</v>
      </c>
      <c r="F442" s="5" t="s">
        <v>6207</v>
      </c>
      <c r="G442" s="11" t="s">
        <v>134</v>
      </c>
      <c r="H442" s="11" t="s">
        <v>7232</v>
      </c>
    </row>
    <row r="443" customFormat="false" ht="17.15" hidden="false" customHeight="false" outlineLevel="0" collapsed="false">
      <c r="A443" s="11" t="s">
        <v>7233</v>
      </c>
      <c r="B443" s="11" t="s">
        <v>327</v>
      </c>
      <c r="C443" s="11" t="s">
        <v>155</v>
      </c>
      <c r="D443" s="6" t="n">
        <v>1164230</v>
      </c>
      <c r="E443" s="5" t="s">
        <v>6210</v>
      </c>
      <c r="F443" s="5" t="s">
        <v>6210</v>
      </c>
      <c r="G443" s="11" t="s">
        <v>137</v>
      </c>
      <c r="H443" s="11" t="s">
        <v>7234</v>
      </c>
    </row>
    <row r="444" customFormat="false" ht="17.15" hidden="false" customHeight="false" outlineLevel="0" collapsed="false">
      <c r="A444" s="11" t="s">
        <v>7235</v>
      </c>
      <c r="B444" s="11" t="s">
        <v>1214</v>
      </c>
      <c r="C444" s="11" t="s">
        <v>192</v>
      </c>
      <c r="D444" s="6" t="n">
        <v>1158104</v>
      </c>
      <c r="E444" s="5" t="s">
        <v>6239</v>
      </c>
      <c r="F444" s="5" t="s">
        <v>6239</v>
      </c>
      <c r="G444" s="11" t="s">
        <v>143</v>
      </c>
      <c r="H444" s="11" t="s">
        <v>7236</v>
      </c>
    </row>
    <row r="445" customFormat="false" ht="17.15" hidden="false" customHeight="false" outlineLevel="0" collapsed="false">
      <c r="A445" s="11" t="s">
        <v>7237</v>
      </c>
      <c r="B445" s="11" t="s">
        <v>327</v>
      </c>
      <c r="C445" s="11" t="s">
        <v>155</v>
      </c>
      <c r="D445" s="6" t="n">
        <v>1157676</v>
      </c>
      <c r="E445" s="5" t="s">
        <v>6207</v>
      </c>
      <c r="F445" s="5" t="s">
        <v>6207</v>
      </c>
      <c r="G445" s="11" t="s">
        <v>134</v>
      </c>
      <c r="H445" s="11" t="s">
        <v>7238</v>
      </c>
    </row>
    <row r="446" customFormat="false" ht="17.15" hidden="false" customHeight="false" outlineLevel="0" collapsed="false">
      <c r="A446" s="11" t="s">
        <v>7239</v>
      </c>
      <c r="B446" s="11" t="s">
        <v>327</v>
      </c>
      <c r="C446" s="11" t="s">
        <v>155</v>
      </c>
      <c r="D446" s="6" t="n">
        <v>1155827</v>
      </c>
      <c r="E446" s="5" t="s">
        <v>6210</v>
      </c>
      <c r="F446" s="5" t="s">
        <v>6210</v>
      </c>
      <c r="G446" s="11" t="s">
        <v>137</v>
      </c>
      <c r="H446" s="11" t="s">
        <v>7240</v>
      </c>
    </row>
    <row r="447" customFormat="false" ht="17.15" hidden="false" customHeight="false" outlineLevel="0" collapsed="false">
      <c r="A447" s="11" t="s">
        <v>4672</v>
      </c>
      <c r="B447" s="11" t="s">
        <v>6528</v>
      </c>
      <c r="C447" s="11" t="s">
        <v>192</v>
      </c>
      <c r="D447" s="6" t="n">
        <v>1152489</v>
      </c>
      <c r="E447" s="5" t="s">
        <v>6239</v>
      </c>
      <c r="F447" s="5" t="s">
        <v>6239</v>
      </c>
      <c r="G447" s="11" t="s">
        <v>143</v>
      </c>
      <c r="H447" s="11" t="s">
        <v>7241</v>
      </c>
    </row>
    <row r="448" customFormat="false" ht="17.15" hidden="false" customHeight="false" outlineLevel="0" collapsed="false">
      <c r="A448" s="11" t="s">
        <v>7242</v>
      </c>
      <c r="B448" s="11" t="s">
        <v>7025</v>
      </c>
      <c r="C448" s="11" t="s">
        <v>162</v>
      </c>
      <c r="D448" s="6" t="n">
        <v>1147028</v>
      </c>
      <c r="E448" s="5" t="s">
        <v>6207</v>
      </c>
      <c r="F448" s="5" t="s">
        <v>6207</v>
      </c>
      <c r="G448" s="11" t="s">
        <v>134</v>
      </c>
      <c r="H448" s="11" t="s">
        <v>7243</v>
      </c>
    </row>
    <row r="449" customFormat="false" ht="17.15" hidden="false" customHeight="false" outlineLevel="0" collapsed="false">
      <c r="A449" s="11" t="s">
        <v>7244</v>
      </c>
      <c r="B449" s="11" t="s">
        <v>6581</v>
      </c>
      <c r="C449" s="11" t="s">
        <v>155</v>
      </c>
      <c r="D449" s="6" t="n">
        <v>1143589</v>
      </c>
      <c r="E449" s="5" t="s">
        <v>6264</v>
      </c>
      <c r="F449" s="5" t="s">
        <v>6264</v>
      </c>
      <c r="G449" s="11" t="s">
        <v>131</v>
      </c>
      <c r="H449" s="11" t="s">
        <v>7245</v>
      </c>
    </row>
    <row r="450" customFormat="false" ht="17.15" hidden="false" customHeight="false" outlineLevel="0" collapsed="false">
      <c r="A450" s="11" t="s">
        <v>7246</v>
      </c>
      <c r="B450" s="11" t="s">
        <v>1820</v>
      </c>
      <c r="C450" s="11" t="s">
        <v>175</v>
      </c>
      <c r="D450" s="6" t="n">
        <v>1143434</v>
      </c>
      <c r="E450" s="5" t="s">
        <v>6207</v>
      </c>
      <c r="F450" s="5" t="s">
        <v>6207</v>
      </c>
      <c r="G450" s="11" t="s">
        <v>134</v>
      </c>
      <c r="H450" s="11" t="s">
        <v>7247</v>
      </c>
    </row>
    <row r="451" customFormat="false" ht="17.15" hidden="false" customHeight="false" outlineLevel="0" collapsed="false">
      <c r="A451" s="11" t="s">
        <v>7248</v>
      </c>
      <c r="B451" s="11" t="s">
        <v>7249</v>
      </c>
      <c r="C451" s="11" t="s">
        <v>162</v>
      </c>
      <c r="D451" s="6" t="n">
        <v>1142516</v>
      </c>
      <c r="E451" s="5" t="s">
        <v>6207</v>
      </c>
      <c r="F451" s="5" t="s">
        <v>6207</v>
      </c>
      <c r="G451" s="11" t="s">
        <v>134</v>
      </c>
      <c r="H451" s="11" t="s">
        <v>7250</v>
      </c>
    </row>
    <row r="452" customFormat="false" ht="17.15" hidden="false" customHeight="false" outlineLevel="0" collapsed="false">
      <c r="A452" s="11" t="s">
        <v>7251</v>
      </c>
      <c r="B452" s="11" t="s">
        <v>368</v>
      </c>
      <c r="C452" s="11" t="s">
        <v>160</v>
      </c>
      <c r="D452" s="6" t="n">
        <v>1142054</v>
      </c>
      <c r="E452" s="5" t="s">
        <v>6207</v>
      </c>
      <c r="F452" s="5" t="s">
        <v>6207</v>
      </c>
      <c r="G452" s="11" t="s">
        <v>134</v>
      </c>
      <c r="H452" s="11" t="s">
        <v>7252</v>
      </c>
    </row>
    <row r="453" customFormat="false" ht="17.15" hidden="false" customHeight="false" outlineLevel="0" collapsed="false">
      <c r="A453" s="11" t="s">
        <v>7253</v>
      </c>
      <c r="B453" s="11" t="s">
        <v>5189</v>
      </c>
      <c r="C453" s="11" t="s">
        <v>152</v>
      </c>
      <c r="D453" s="6" t="n">
        <v>1138186</v>
      </c>
      <c r="E453" s="5" t="s">
        <v>6210</v>
      </c>
      <c r="F453" s="5" t="s">
        <v>6210</v>
      </c>
      <c r="G453" s="11" t="s">
        <v>137</v>
      </c>
      <c r="H453" s="11" t="s">
        <v>7254</v>
      </c>
    </row>
    <row r="454" customFormat="false" ht="17.15" hidden="false" customHeight="false" outlineLevel="0" collapsed="false">
      <c r="A454" s="11" t="s">
        <v>7255</v>
      </c>
      <c r="B454" s="11" t="s">
        <v>368</v>
      </c>
      <c r="C454" s="11" t="s">
        <v>161</v>
      </c>
      <c r="D454" s="6" t="n">
        <v>1133954</v>
      </c>
      <c r="E454" s="5" t="s">
        <v>6207</v>
      </c>
      <c r="F454" s="5" t="s">
        <v>6207</v>
      </c>
      <c r="G454" s="11" t="s">
        <v>134</v>
      </c>
      <c r="H454" s="11" t="s">
        <v>7256</v>
      </c>
    </row>
    <row r="455" customFormat="false" ht="17.15" hidden="false" customHeight="false" outlineLevel="0" collapsed="false">
      <c r="A455" s="11" t="s">
        <v>7257</v>
      </c>
      <c r="B455" s="11" t="s">
        <v>308</v>
      </c>
      <c r="C455" s="5"/>
      <c r="D455" s="6" t="n">
        <v>1130215</v>
      </c>
      <c r="E455" s="5" t="s">
        <v>6207</v>
      </c>
      <c r="F455" s="5" t="s">
        <v>6377</v>
      </c>
      <c r="G455" s="11" t="s">
        <v>6378</v>
      </c>
      <c r="H455" s="11" t="s">
        <v>7258</v>
      </c>
    </row>
    <row r="456" customFormat="false" ht="17.15" hidden="false" customHeight="false" outlineLevel="0" collapsed="false">
      <c r="A456" s="11" t="s">
        <v>7259</v>
      </c>
      <c r="B456" s="11" t="s">
        <v>6310</v>
      </c>
      <c r="C456" s="11" t="s">
        <v>197</v>
      </c>
      <c r="D456" s="6" t="n">
        <v>1124637</v>
      </c>
      <c r="E456" s="5" t="s">
        <v>6207</v>
      </c>
      <c r="F456" s="5" t="s">
        <v>6214</v>
      </c>
      <c r="G456" s="11" t="s">
        <v>6215</v>
      </c>
      <c r="H456" s="11" t="s">
        <v>7260</v>
      </c>
    </row>
    <row r="457" customFormat="false" ht="17.15" hidden="false" customHeight="false" outlineLevel="0" collapsed="false">
      <c r="A457" s="11" t="s">
        <v>7261</v>
      </c>
      <c r="B457" s="11" t="s">
        <v>7057</v>
      </c>
      <c r="C457" s="11" t="s">
        <v>152</v>
      </c>
      <c r="D457" s="6" t="n">
        <v>1122895</v>
      </c>
      <c r="E457" s="5" t="s">
        <v>6207</v>
      </c>
      <c r="F457" s="5" t="s">
        <v>6207</v>
      </c>
      <c r="G457" s="11" t="s">
        <v>134</v>
      </c>
      <c r="H457" s="11" t="s">
        <v>7262</v>
      </c>
    </row>
    <row r="458" customFormat="false" ht="17.15" hidden="false" customHeight="false" outlineLevel="0" collapsed="false">
      <c r="A458" s="11" t="s">
        <v>7263</v>
      </c>
      <c r="B458" s="11" t="s">
        <v>6832</v>
      </c>
      <c r="C458" s="11" t="s">
        <v>192</v>
      </c>
      <c r="D458" s="6" t="n">
        <v>1121207</v>
      </c>
      <c r="E458" s="5" t="s">
        <v>6239</v>
      </c>
      <c r="F458" s="5" t="s">
        <v>6239</v>
      </c>
      <c r="G458" s="11" t="s">
        <v>143</v>
      </c>
      <c r="H458" s="11" t="s">
        <v>7264</v>
      </c>
    </row>
    <row r="459" customFormat="false" ht="17.15" hidden="false" customHeight="false" outlineLevel="0" collapsed="false">
      <c r="A459" s="11" t="s">
        <v>7265</v>
      </c>
      <c r="B459" s="11" t="s">
        <v>308</v>
      </c>
      <c r="C459" s="11" t="s">
        <v>153</v>
      </c>
      <c r="D459" s="6" t="n">
        <v>1120256</v>
      </c>
      <c r="E459" s="5" t="s">
        <v>6207</v>
      </c>
      <c r="F459" s="5" t="s">
        <v>6207</v>
      </c>
      <c r="G459" s="11" t="s">
        <v>134</v>
      </c>
      <c r="H459" s="11" t="s">
        <v>7266</v>
      </c>
    </row>
    <row r="460" customFormat="false" ht="17.15" hidden="false" customHeight="false" outlineLevel="0" collapsed="false">
      <c r="A460" s="11" t="s">
        <v>7267</v>
      </c>
      <c r="B460" s="11" t="s">
        <v>681</v>
      </c>
      <c r="C460" s="11" t="s">
        <v>161</v>
      </c>
      <c r="D460" s="6" t="n">
        <v>1117966</v>
      </c>
      <c r="E460" s="5" t="s">
        <v>6207</v>
      </c>
      <c r="F460" s="5" t="s">
        <v>6207</v>
      </c>
      <c r="G460" s="11" t="s">
        <v>134</v>
      </c>
      <c r="H460" s="11" t="s">
        <v>7268</v>
      </c>
    </row>
    <row r="461" customFormat="false" ht="17.15" hidden="false" customHeight="false" outlineLevel="0" collapsed="false">
      <c r="A461" s="11" t="s">
        <v>7269</v>
      </c>
      <c r="B461" s="11" t="s">
        <v>6647</v>
      </c>
      <c r="C461" s="11" t="s">
        <v>192</v>
      </c>
      <c r="D461" s="6" t="n">
        <v>1117779</v>
      </c>
      <c r="E461" s="5" t="s">
        <v>6264</v>
      </c>
      <c r="F461" s="5" t="s">
        <v>7200</v>
      </c>
      <c r="G461" s="11" t="s">
        <v>7201</v>
      </c>
      <c r="H461" s="11" t="s">
        <v>7270</v>
      </c>
    </row>
    <row r="462" customFormat="false" ht="17.15" hidden="false" customHeight="false" outlineLevel="0" collapsed="false">
      <c r="A462" s="11" t="s">
        <v>7271</v>
      </c>
      <c r="B462" s="11" t="s">
        <v>6273</v>
      </c>
      <c r="C462" s="11" t="s">
        <v>152</v>
      </c>
      <c r="D462" s="6" t="n">
        <v>1117151</v>
      </c>
      <c r="E462" s="5" t="s">
        <v>6210</v>
      </c>
      <c r="F462" s="5" t="s">
        <v>6274</v>
      </c>
      <c r="G462" s="11" t="s">
        <v>6275</v>
      </c>
      <c r="H462" s="11" t="s">
        <v>7272</v>
      </c>
    </row>
    <row r="463" customFormat="false" ht="17.15" hidden="false" customHeight="false" outlineLevel="0" collapsed="false">
      <c r="A463" s="11" t="s">
        <v>7273</v>
      </c>
      <c r="B463" s="11" t="s">
        <v>7274</v>
      </c>
      <c r="C463" s="11" t="s">
        <v>161</v>
      </c>
      <c r="D463" s="6" t="n">
        <v>1113652</v>
      </c>
      <c r="E463" s="5" t="s">
        <v>6264</v>
      </c>
      <c r="F463" s="5" t="s">
        <v>6648</v>
      </c>
      <c r="G463" s="11" t="s">
        <v>6649</v>
      </c>
      <c r="H463" s="11" t="s">
        <v>7275</v>
      </c>
    </row>
    <row r="464" customFormat="false" ht="17.15" hidden="false" customHeight="false" outlineLevel="0" collapsed="false">
      <c r="A464" s="11" t="s">
        <v>7276</v>
      </c>
      <c r="B464" s="11" t="s">
        <v>6681</v>
      </c>
      <c r="C464" s="11" t="s">
        <v>175</v>
      </c>
      <c r="D464" s="6" t="n">
        <v>1107415</v>
      </c>
      <c r="E464" s="5" t="s">
        <v>6210</v>
      </c>
      <c r="F464" s="5" t="s">
        <v>6210</v>
      </c>
      <c r="G464" s="11" t="s">
        <v>137</v>
      </c>
      <c r="H464" s="11" t="s">
        <v>7277</v>
      </c>
    </row>
    <row r="465" customFormat="false" ht="17.15" hidden="false" customHeight="false" outlineLevel="0" collapsed="false">
      <c r="A465" s="11" t="s">
        <v>7278</v>
      </c>
      <c r="B465" s="11" t="s">
        <v>753</v>
      </c>
      <c r="C465" s="11" t="s">
        <v>193</v>
      </c>
      <c r="D465" s="6" t="n">
        <v>1105105</v>
      </c>
      <c r="E465" s="5" t="s">
        <v>6239</v>
      </c>
      <c r="F465" s="5" t="s">
        <v>6239</v>
      </c>
      <c r="G465" s="11" t="s">
        <v>143</v>
      </c>
      <c r="H465" s="11" t="s">
        <v>7279</v>
      </c>
    </row>
    <row r="466" customFormat="false" ht="17.15" hidden="false" customHeight="false" outlineLevel="0" collapsed="false">
      <c r="A466" s="11" t="s">
        <v>7280</v>
      </c>
      <c r="B466" s="11" t="s">
        <v>6581</v>
      </c>
      <c r="C466" s="11" t="s">
        <v>156</v>
      </c>
      <c r="D466" s="6" t="n">
        <v>1097695</v>
      </c>
      <c r="E466" s="5" t="s">
        <v>6264</v>
      </c>
      <c r="F466" s="5" t="s">
        <v>6264</v>
      </c>
      <c r="G466" s="11" t="s">
        <v>131</v>
      </c>
      <c r="H466" s="11" t="s">
        <v>7281</v>
      </c>
    </row>
    <row r="467" customFormat="false" ht="17.15" hidden="false" customHeight="false" outlineLevel="0" collapsed="false">
      <c r="A467" s="11" t="s">
        <v>7282</v>
      </c>
      <c r="B467" s="11" t="s">
        <v>6852</v>
      </c>
      <c r="C467" s="11" t="s">
        <v>150</v>
      </c>
      <c r="D467" s="6" t="n">
        <v>1095947</v>
      </c>
      <c r="E467" s="5" t="s">
        <v>6207</v>
      </c>
      <c r="F467" s="5" t="s">
        <v>6207</v>
      </c>
      <c r="G467" s="11" t="s">
        <v>134</v>
      </c>
      <c r="H467" s="11" t="s">
        <v>7283</v>
      </c>
    </row>
    <row r="468" customFormat="false" ht="17.15" hidden="false" customHeight="false" outlineLevel="0" collapsed="false">
      <c r="A468" s="11" t="s">
        <v>7284</v>
      </c>
      <c r="B468" s="11" t="s">
        <v>6647</v>
      </c>
      <c r="C468" s="5"/>
      <c r="D468" s="6" t="n">
        <v>1095729</v>
      </c>
      <c r="E468" s="5" t="s">
        <v>6264</v>
      </c>
      <c r="F468" s="5" t="s">
        <v>6648</v>
      </c>
      <c r="G468" s="11" t="s">
        <v>6649</v>
      </c>
      <c r="H468" s="11" t="s">
        <v>7285</v>
      </c>
    </row>
    <row r="469" customFormat="false" ht="15" hidden="false" customHeight="false" outlineLevel="0" collapsed="false">
      <c r="A469" s="11" t="s">
        <v>7286</v>
      </c>
      <c r="B469" s="11" t="s">
        <v>3108</v>
      </c>
      <c r="C469" s="5"/>
      <c r="D469" s="6" t="n">
        <v>1095193</v>
      </c>
      <c r="E469" s="5" t="s">
        <v>141</v>
      </c>
      <c r="F469" s="5" t="s">
        <v>141</v>
      </c>
      <c r="G469" s="11" t="s">
        <v>140</v>
      </c>
      <c r="H469" s="11" t="s">
        <v>7287</v>
      </c>
    </row>
    <row r="470" customFormat="false" ht="17.15" hidden="false" customHeight="false" outlineLevel="0" collapsed="false">
      <c r="A470" s="11" t="s">
        <v>7288</v>
      </c>
      <c r="B470" s="11" t="s">
        <v>6647</v>
      </c>
      <c r="C470" s="11" t="s">
        <v>175</v>
      </c>
      <c r="D470" s="6" t="n">
        <v>1094707</v>
      </c>
      <c r="E470" s="5" t="s">
        <v>6264</v>
      </c>
      <c r="F470" s="5" t="s">
        <v>6264</v>
      </c>
      <c r="G470" s="11" t="s">
        <v>131</v>
      </c>
      <c r="H470" s="11" t="s">
        <v>7289</v>
      </c>
    </row>
    <row r="471" customFormat="false" ht="17.15" hidden="false" customHeight="false" outlineLevel="0" collapsed="false">
      <c r="A471" s="11" t="s">
        <v>7290</v>
      </c>
      <c r="B471" s="11" t="s">
        <v>327</v>
      </c>
      <c r="C471" s="11" t="s">
        <v>175</v>
      </c>
      <c r="D471" s="6" t="n">
        <v>1093873</v>
      </c>
      <c r="E471" s="5" t="s">
        <v>6210</v>
      </c>
      <c r="F471" s="5" t="s">
        <v>6210</v>
      </c>
      <c r="G471" s="11" t="s">
        <v>137</v>
      </c>
      <c r="H471" s="11" t="s">
        <v>7291</v>
      </c>
    </row>
    <row r="472" customFormat="false" ht="17.15" hidden="false" customHeight="false" outlineLevel="0" collapsed="false">
      <c r="A472" s="11" t="s">
        <v>7292</v>
      </c>
      <c r="B472" s="11" t="s">
        <v>7293</v>
      </c>
      <c r="C472" s="11" t="s">
        <v>167</v>
      </c>
      <c r="D472" s="6" t="n">
        <v>1079484</v>
      </c>
      <c r="E472" s="5" t="s">
        <v>6207</v>
      </c>
      <c r="F472" s="5" t="s">
        <v>6716</v>
      </c>
      <c r="G472" s="11" t="s">
        <v>6542</v>
      </c>
      <c r="H472" s="11" t="s">
        <v>7294</v>
      </c>
    </row>
    <row r="473" customFormat="false" ht="17.15" hidden="false" customHeight="false" outlineLevel="0" collapsed="false">
      <c r="A473" s="11" t="s">
        <v>7295</v>
      </c>
      <c r="B473" s="11" t="s">
        <v>6581</v>
      </c>
      <c r="C473" s="11" t="s">
        <v>156</v>
      </c>
      <c r="D473" s="6" t="n">
        <v>1079250</v>
      </c>
      <c r="E473" s="5" t="s">
        <v>6264</v>
      </c>
      <c r="F473" s="5" t="s">
        <v>6264</v>
      </c>
      <c r="G473" s="11" t="s">
        <v>131</v>
      </c>
      <c r="H473" s="11" t="s">
        <v>7296</v>
      </c>
    </row>
    <row r="474" customFormat="false" ht="17.15" hidden="false" customHeight="false" outlineLevel="0" collapsed="false">
      <c r="A474" s="11" t="s">
        <v>7297</v>
      </c>
      <c r="B474" s="11" t="s">
        <v>6528</v>
      </c>
      <c r="C474" s="11" t="s">
        <v>193</v>
      </c>
      <c r="D474" s="6" t="n">
        <v>1077997</v>
      </c>
      <c r="E474" s="5" t="s">
        <v>6239</v>
      </c>
      <c r="F474" s="5" t="s">
        <v>6239</v>
      </c>
      <c r="G474" s="11" t="s">
        <v>143</v>
      </c>
      <c r="H474" s="11" t="s">
        <v>7298</v>
      </c>
    </row>
    <row r="475" customFormat="false" ht="17.15" hidden="false" customHeight="false" outlineLevel="0" collapsed="false">
      <c r="A475" s="11" t="s">
        <v>7299</v>
      </c>
      <c r="B475" s="11" t="s">
        <v>6063</v>
      </c>
      <c r="C475" s="11" t="s">
        <v>152</v>
      </c>
      <c r="D475" s="6" t="n">
        <v>1072816</v>
      </c>
      <c r="E475" s="5" t="s">
        <v>6207</v>
      </c>
      <c r="F475" s="5" t="s">
        <v>6207</v>
      </c>
      <c r="G475" s="11" t="s">
        <v>134</v>
      </c>
      <c r="H475" s="11" t="s">
        <v>7300</v>
      </c>
    </row>
    <row r="476" customFormat="false" ht="17.15" hidden="false" customHeight="false" outlineLevel="0" collapsed="false">
      <c r="A476" s="11" t="s">
        <v>7301</v>
      </c>
      <c r="B476" s="11" t="s">
        <v>681</v>
      </c>
      <c r="C476" s="5"/>
      <c r="D476" s="6" t="n">
        <v>1062267</v>
      </c>
      <c r="E476" s="5" t="s">
        <v>6207</v>
      </c>
      <c r="F476" s="5" t="s">
        <v>6377</v>
      </c>
      <c r="G476" s="11" t="s">
        <v>6378</v>
      </c>
      <c r="H476" s="11" t="s">
        <v>7302</v>
      </c>
    </row>
    <row r="477" customFormat="false" ht="17.15" hidden="false" customHeight="false" outlineLevel="0" collapsed="false">
      <c r="A477" s="11" t="s">
        <v>7303</v>
      </c>
      <c r="B477" s="11" t="s">
        <v>327</v>
      </c>
      <c r="C477" s="11" t="s">
        <v>155</v>
      </c>
      <c r="D477" s="6" t="n">
        <v>1059551</v>
      </c>
      <c r="E477" s="5" t="s">
        <v>6210</v>
      </c>
      <c r="F477" s="5" t="s">
        <v>6210</v>
      </c>
      <c r="G477" s="11" t="s">
        <v>137</v>
      </c>
      <c r="H477" s="11" t="s">
        <v>7304</v>
      </c>
    </row>
    <row r="478" customFormat="false" ht="17.15" hidden="false" customHeight="false" outlineLevel="0" collapsed="false">
      <c r="A478" s="11" t="s">
        <v>7305</v>
      </c>
      <c r="B478" s="11" t="s">
        <v>7306</v>
      </c>
      <c r="C478" s="11" t="s">
        <v>149</v>
      </c>
      <c r="D478" s="6" t="n">
        <v>1059545</v>
      </c>
      <c r="E478" s="5" t="s">
        <v>6207</v>
      </c>
      <c r="F478" s="5" t="s">
        <v>6207</v>
      </c>
      <c r="G478" s="11" t="s">
        <v>134</v>
      </c>
      <c r="H478" s="11" t="s">
        <v>7307</v>
      </c>
    </row>
    <row r="479" customFormat="false" ht="17.15" hidden="false" customHeight="false" outlineLevel="0" collapsed="false">
      <c r="A479" s="11" t="s">
        <v>7308</v>
      </c>
      <c r="B479" s="11" t="s">
        <v>2993</v>
      </c>
      <c r="C479" s="11" t="s">
        <v>192</v>
      </c>
      <c r="D479" s="6" t="n">
        <v>1056527</v>
      </c>
      <c r="E479" s="5" t="s">
        <v>6239</v>
      </c>
      <c r="F479" s="5" t="s">
        <v>6239</v>
      </c>
      <c r="G479" s="11" t="s">
        <v>143</v>
      </c>
      <c r="H479" s="11" t="s">
        <v>7309</v>
      </c>
    </row>
    <row r="480" customFormat="false" ht="17.15" hidden="false" customHeight="false" outlineLevel="0" collapsed="false">
      <c r="A480" s="11" t="s">
        <v>7310</v>
      </c>
      <c r="B480" s="11" t="s">
        <v>6346</v>
      </c>
      <c r="C480" s="11" t="s">
        <v>192</v>
      </c>
      <c r="D480" s="6" t="n">
        <v>1054205</v>
      </c>
      <c r="E480" s="5" t="s">
        <v>6239</v>
      </c>
      <c r="F480" s="5" t="s">
        <v>6239</v>
      </c>
      <c r="G480" s="11" t="s">
        <v>143</v>
      </c>
      <c r="H480" s="11" t="s">
        <v>7311</v>
      </c>
    </row>
    <row r="481" customFormat="false" ht="17.15" hidden="false" customHeight="false" outlineLevel="0" collapsed="false">
      <c r="A481" s="11" t="s">
        <v>7312</v>
      </c>
      <c r="B481" s="11" t="s">
        <v>1214</v>
      </c>
      <c r="C481" s="11" t="s">
        <v>192</v>
      </c>
      <c r="D481" s="6" t="n">
        <v>1053645</v>
      </c>
      <c r="E481" s="5" t="s">
        <v>6239</v>
      </c>
      <c r="F481" s="5" t="s">
        <v>6239</v>
      </c>
      <c r="G481" s="11" t="s">
        <v>143</v>
      </c>
      <c r="H481" s="11" t="s">
        <v>7313</v>
      </c>
    </row>
    <row r="482" customFormat="false" ht="17.15" hidden="false" customHeight="false" outlineLevel="0" collapsed="false">
      <c r="A482" s="11" t="s">
        <v>7314</v>
      </c>
      <c r="B482" s="11" t="s">
        <v>7315</v>
      </c>
      <c r="C482" s="11" t="s">
        <v>161</v>
      </c>
      <c r="D482" s="6" t="n">
        <v>1053371</v>
      </c>
      <c r="E482" s="5" t="s">
        <v>6264</v>
      </c>
      <c r="F482" s="5" t="s">
        <v>6264</v>
      </c>
      <c r="G482" s="11" t="s">
        <v>131</v>
      </c>
      <c r="H482" s="11" t="s">
        <v>7316</v>
      </c>
    </row>
    <row r="483" customFormat="false" ht="17.15" hidden="false" customHeight="false" outlineLevel="0" collapsed="false">
      <c r="A483" s="11" t="s">
        <v>7317</v>
      </c>
      <c r="B483" s="11" t="s">
        <v>7221</v>
      </c>
      <c r="C483" s="11" t="s">
        <v>158</v>
      </c>
      <c r="D483" s="6" t="n">
        <v>1047569</v>
      </c>
      <c r="E483" s="5" t="s">
        <v>6210</v>
      </c>
      <c r="F483" s="5" t="s">
        <v>6210</v>
      </c>
      <c r="G483" s="11" t="s">
        <v>137</v>
      </c>
      <c r="H483" s="11" t="s">
        <v>7318</v>
      </c>
    </row>
    <row r="484" customFormat="false" ht="17.15" hidden="false" customHeight="false" outlineLevel="0" collapsed="false">
      <c r="A484" s="11" t="s">
        <v>7319</v>
      </c>
      <c r="B484" s="11" t="s">
        <v>308</v>
      </c>
      <c r="C484" s="11" t="s">
        <v>155</v>
      </c>
      <c r="D484" s="6" t="n">
        <v>1046819</v>
      </c>
      <c r="E484" s="5" t="s">
        <v>6210</v>
      </c>
      <c r="F484" s="5" t="s">
        <v>6210</v>
      </c>
      <c r="G484" s="11" t="s">
        <v>137</v>
      </c>
      <c r="H484" s="11" t="s">
        <v>7320</v>
      </c>
    </row>
    <row r="485" customFormat="false" ht="17.15" hidden="false" customHeight="false" outlineLevel="0" collapsed="false">
      <c r="A485" s="11" t="s">
        <v>7321</v>
      </c>
      <c r="B485" s="11" t="s">
        <v>681</v>
      </c>
      <c r="C485" s="11" t="s">
        <v>153</v>
      </c>
      <c r="D485" s="6" t="n">
        <v>1033552</v>
      </c>
      <c r="E485" s="5" t="s">
        <v>6207</v>
      </c>
      <c r="F485" s="5" t="s">
        <v>6207</v>
      </c>
      <c r="G485" s="11" t="s">
        <v>134</v>
      </c>
      <c r="H485" s="11" t="s">
        <v>7322</v>
      </c>
    </row>
    <row r="486" customFormat="false" ht="17.15" hidden="false" customHeight="false" outlineLevel="0" collapsed="false">
      <c r="A486" s="11" t="s">
        <v>7323</v>
      </c>
      <c r="B486" s="11" t="s">
        <v>7324</v>
      </c>
      <c r="C486" s="11" t="s">
        <v>192</v>
      </c>
      <c r="D486" s="6" t="n">
        <v>1032718</v>
      </c>
      <c r="E486" s="5" t="s">
        <v>6239</v>
      </c>
      <c r="F486" s="5" t="s">
        <v>6239</v>
      </c>
      <c r="G486" s="11" t="s">
        <v>143</v>
      </c>
      <c r="H486" s="11" t="s">
        <v>7325</v>
      </c>
    </row>
    <row r="487" customFormat="false" ht="17.15" hidden="false" customHeight="false" outlineLevel="0" collapsed="false">
      <c r="A487" s="11" t="s">
        <v>7326</v>
      </c>
      <c r="B487" s="11" t="s">
        <v>6581</v>
      </c>
      <c r="C487" s="11" t="s">
        <v>155</v>
      </c>
      <c r="D487" s="6" t="n">
        <v>1030478</v>
      </c>
      <c r="E487" s="5" t="s">
        <v>6264</v>
      </c>
      <c r="F487" s="5" t="s">
        <v>6264</v>
      </c>
      <c r="G487" s="11" t="s">
        <v>131</v>
      </c>
      <c r="H487" s="11" t="s">
        <v>7327</v>
      </c>
    </row>
    <row r="488" customFormat="false" ht="17.15" hidden="false" customHeight="false" outlineLevel="0" collapsed="false">
      <c r="A488" s="11" t="s">
        <v>7328</v>
      </c>
      <c r="B488" s="11" t="s">
        <v>7329</v>
      </c>
      <c r="C488" s="11" t="s">
        <v>158</v>
      </c>
      <c r="D488" s="6" t="n">
        <v>1030018</v>
      </c>
      <c r="E488" s="5" t="s">
        <v>6210</v>
      </c>
      <c r="F488" s="5" t="s">
        <v>6210</v>
      </c>
      <c r="G488" s="11" t="s">
        <v>137</v>
      </c>
      <c r="H488" s="11" t="s">
        <v>7330</v>
      </c>
    </row>
    <row r="489" customFormat="false" ht="17.15" hidden="false" customHeight="false" outlineLevel="0" collapsed="false">
      <c r="A489" s="11" t="s">
        <v>7331</v>
      </c>
      <c r="B489" s="11" t="s">
        <v>6581</v>
      </c>
      <c r="C489" s="11" t="s">
        <v>155</v>
      </c>
      <c r="D489" s="6" t="n">
        <v>1028553</v>
      </c>
      <c r="E489" s="5" t="s">
        <v>6264</v>
      </c>
      <c r="F489" s="5" t="s">
        <v>6264</v>
      </c>
      <c r="G489" s="11" t="s">
        <v>131</v>
      </c>
      <c r="H489" s="11" t="s">
        <v>7332</v>
      </c>
    </row>
    <row r="490" customFormat="false" ht="17.15" hidden="false" customHeight="false" outlineLevel="0" collapsed="false">
      <c r="A490" s="11" t="s">
        <v>7333</v>
      </c>
      <c r="B490" s="11" t="s">
        <v>7334</v>
      </c>
      <c r="C490" s="11" t="s">
        <v>192</v>
      </c>
      <c r="D490" s="6" t="n">
        <v>1026551</v>
      </c>
      <c r="E490" s="5" t="s">
        <v>6239</v>
      </c>
      <c r="F490" s="5" t="s">
        <v>6239</v>
      </c>
      <c r="G490" s="11" t="s">
        <v>143</v>
      </c>
      <c r="H490" s="11" t="s">
        <v>7335</v>
      </c>
    </row>
    <row r="491" customFormat="false" ht="17.15" hidden="false" customHeight="false" outlineLevel="0" collapsed="false">
      <c r="A491" s="11" t="s">
        <v>7336</v>
      </c>
      <c r="B491" s="11" t="s">
        <v>7337</v>
      </c>
      <c r="C491" s="11" t="s">
        <v>149</v>
      </c>
      <c r="D491" s="6" t="n">
        <v>1025327</v>
      </c>
      <c r="E491" s="5" t="s">
        <v>6210</v>
      </c>
      <c r="F491" s="5" t="s">
        <v>6210</v>
      </c>
      <c r="G491" s="11" t="s">
        <v>137</v>
      </c>
      <c r="H491" s="11" t="s">
        <v>7338</v>
      </c>
    </row>
    <row r="492" customFormat="false" ht="17.15" hidden="false" customHeight="false" outlineLevel="0" collapsed="false">
      <c r="A492" s="11" t="s">
        <v>7339</v>
      </c>
      <c r="B492" s="11" t="s">
        <v>7340</v>
      </c>
      <c r="C492" s="11" t="s">
        <v>162</v>
      </c>
      <c r="D492" s="6" t="n">
        <v>1022608</v>
      </c>
      <c r="E492" s="5" t="s">
        <v>6207</v>
      </c>
      <c r="F492" s="5" t="s">
        <v>6207</v>
      </c>
      <c r="G492" s="11" t="s">
        <v>134</v>
      </c>
      <c r="H492" s="11" t="s">
        <v>7341</v>
      </c>
    </row>
    <row r="493" customFormat="false" ht="17.15" hidden="false" customHeight="false" outlineLevel="0" collapsed="false">
      <c r="A493" s="11" t="s">
        <v>7342</v>
      </c>
      <c r="B493" s="11" t="s">
        <v>7343</v>
      </c>
      <c r="C493" s="11" t="s">
        <v>155</v>
      </c>
      <c r="D493" s="6" t="n">
        <v>1020517</v>
      </c>
      <c r="E493" s="5" t="s">
        <v>6207</v>
      </c>
      <c r="F493" s="5" t="s">
        <v>6207</v>
      </c>
      <c r="G493" s="11" t="s">
        <v>134</v>
      </c>
      <c r="H493" s="11" t="s">
        <v>7344</v>
      </c>
    </row>
    <row r="494" customFormat="false" ht="17.15" hidden="false" customHeight="false" outlineLevel="0" collapsed="false">
      <c r="A494" s="11" t="s">
        <v>7345</v>
      </c>
      <c r="B494" s="11" t="s">
        <v>7092</v>
      </c>
      <c r="C494" s="11" t="s">
        <v>197</v>
      </c>
      <c r="D494" s="6" t="n">
        <v>1015960</v>
      </c>
      <c r="E494" s="5" t="s">
        <v>6210</v>
      </c>
      <c r="F494" s="5" t="s">
        <v>6516</v>
      </c>
      <c r="G494" s="11" t="s">
        <v>6517</v>
      </c>
      <c r="H494" s="11" t="s">
        <v>7346</v>
      </c>
    </row>
    <row r="495" customFormat="false" ht="17.15" hidden="false" customHeight="false" outlineLevel="0" collapsed="false">
      <c r="A495" s="11" t="s">
        <v>7347</v>
      </c>
      <c r="B495" s="11" t="s">
        <v>7348</v>
      </c>
      <c r="C495" s="11" t="s">
        <v>192</v>
      </c>
      <c r="D495" s="6" t="n">
        <v>1015214</v>
      </c>
      <c r="E495" s="5" t="s">
        <v>6239</v>
      </c>
      <c r="F495" s="5" t="s">
        <v>6239</v>
      </c>
      <c r="G495" s="11" t="s">
        <v>143</v>
      </c>
      <c r="H495" s="11" t="s">
        <v>7349</v>
      </c>
    </row>
    <row r="496" customFormat="false" ht="17.15" hidden="false" customHeight="false" outlineLevel="0" collapsed="false">
      <c r="A496" s="11" t="s">
        <v>7350</v>
      </c>
      <c r="B496" s="11" t="s">
        <v>7351</v>
      </c>
      <c r="C496" s="11" t="s">
        <v>150</v>
      </c>
      <c r="D496" s="6" t="n">
        <v>1014944</v>
      </c>
      <c r="E496" s="5" t="s">
        <v>6207</v>
      </c>
      <c r="F496" s="5" t="s">
        <v>6207</v>
      </c>
      <c r="G496" s="11" t="s">
        <v>134</v>
      </c>
      <c r="H496" s="11" t="s">
        <v>7352</v>
      </c>
    </row>
    <row r="497" customFormat="false" ht="15" hidden="false" customHeight="false" outlineLevel="0" collapsed="false">
      <c r="A497" s="11" t="s">
        <v>7353</v>
      </c>
      <c r="B497" s="11" t="s">
        <v>681</v>
      </c>
      <c r="C497" s="11" t="s">
        <v>174</v>
      </c>
      <c r="D497" s="6" t="n">
        <v>1012909</v>
      </c>
      <c r="E497" s="5" t="s">
        <v>141</v>
      </c>
      <c r="F497" s="5" t="s">
        <v>141</v>
      </c>
      <c r="G497" s="11" t="s">
        <v>140</v>
      </c>
      <c r="H497" s="11" t="s">
        <v>7354</v>
      </c>
    </row>
    <row r="498" customFormat="false" ht="17.15" hidden="false" customHeight="false" outlineLevel="0" collapsed="false">
      <c r="A498" s="11" t="s">
        <v>7355</v>
      </c>
      <c r="B498" s="11" t="s">
        <v>7356</v>
      </c>
      <c r="C498" s="11" t="s">
        <v>197</v>
      </c>
      <c r="D498" s="6" t="n">
        <v>1008430</v>
      </c>
      <c r="E498" s="5" t="s">
        <v>6207</v>
      </c>
      <c r="F498" s="5" t="s">
        <v>6214</v>
      </c>
      <c r="G498" s="11" t="s">
        <v>6215</v>
      </c>
      <c r="H498" s="11" t="s">
        <v>7357</v>
      </c>
    </row>
    <row r="499" customFormat="false" ht="17.15" hidden="false" customHeight="false" outlineLevel="0" collapsed="false">
      <c r="A499" s="11" t="s">
        <v>7358</v>
      </c>
      <c r="B499" s="11" t="s">
        <v>6581</v>
      </c>
      <c r="C499" s="11" t="s">
        <v>155</v>
      </c>
      <c r="D499" s="6" t="n">
        <v>1007836</v>
      </c>
      <c r="E499" s="5" t="s">
        <v>6264</v>
      </c>
      <c r="F499" s="5" t="s">
        <v>6264</v>
      </c>
      <c r="G499" s="11" t="s">
        <v>131</v>
      </c>
      <c r="H499" s="11" t="s">
        <v>7359</v>
      </c>
    </row>
    <row r="500" customFormat="false" ht="17.15" hidden="false" customHeight="false" outlineLevel="0" collapsed="false">
      <c r="A500" s="11" t="s">
        <v>7360</v>
      </c>
      <c r="B500" s="11" t="s">
        <v>368</v>
      </c>
      <c r="C500" s="11" t="s">
        <v>167</v>
      </c>
      <c r="D500" s="6" t="n">
        <v>1007475</v>
      </c>
      <c r="E500" s="5" t="s">
        <v>6210</v>
      </c>
      <c r="F500" s="5" t="s">
        <v>6210</v>
      </c>
      <c r="G500" s="11" t="s">
        <v>137</v>
      </c>
      <c r="H500" s="11" t="s">
        <v>7361</v>
      </c>
    </row>
    <row r="501" customFormat="false" ht="17.15" hidden="false" customHeight="false" outlineLevel="0" collapsed="false">
      <c r="A501" s="11" t="s">
        <v>7362</v>
      </c>
      <c r="B501" s="11" t="s">
        <v>6594</v>
      </c>
      <c r="C501" s="11" t="s">
        <v>162</v>
      </c>
      <c r="D501" s="6" t="n">
        <v>1005977</v>
      </c>
      <c r="E501" s="5" t="s">
        <v>6207</v>
      </c>
      <c r="F501" s="5" t="s">
        <v>6207</v>
      </c>
      <c r="G501" s="11" t="s">
        <v>134</v>
      </c>
      <c r="H501" s="11" t="s">
        <v>7363</v>
      </c>
    </row>
    <row r="502" customFormat="false" ht="17.15" hidden="false" customHeight="false" outlineLevel="0" collapsed="false">
      <c r="A502" s="11" t="s">
        <v>7364</v>
      </c>
      <c r="B502" s="11" t="s">
        <v>681</v>
      </c>
      <c r="C502" s="11" t="s">
        <v>168</v>
      </c>
      <c r="D502" s="6" t="n">
        <v>1005363</v>
      </c>
      <c r="E502" s="5" t="s">
        <v>6207</v>
      </c>
      <c r="F502" s="5" t="s">
        <v>6377</v>
      </c>
      <c r="G502" s="11" t="s">
        <v>6378</v>
      </c>
      <c r="H502" s="11" t="s">
        <v>7365</v>
      </c>
    </row>
    <row r="503" customFormat="false" ht="17.15" hidden="false" customHeight="false" outlineLevel="0" collapsed="false">
      <c r="A503" s="11" t="s">
        <v>7366</v>
      </c>
      <c r="B503" s="11" t="s">
        <v>6581</v>
      </c>
      <c r="C503" s="11" t="s">
        <v>155</v>
      </c>
      <c r="D503" s="6" t="n">
        <v>1000715</v>
      </c>
      <c r="E503" s="5" t="s">
        <v>6264</v>
      </c>
      <c r="F503" s="5" t="s">
        <v>6264</v>
      </c>
      <c r="G503" s="11" t="s">
        <v>131</v>
      </c>
      <c r="H503" s="11" t="s">
        <v>7367</v>
      </c>
    </row>
    <row r="504" customFormat="false" ht="17.15" hidden="false" customHeight="false" outlineLevel="0" collapsed="false">
      <c r="A504" s="11" t="s">
        <v>7368</v>
      </c>
      <c r="B504" s="11" t="s">
        <v>7369</v>
      </c>
      <c r="C504" s="11" t="s">
        <v>149</v>
      </c>
      <c r="D504" s="6" t="n">
        <v>1000321</v>
      </c>
      <c r="E504" s="5" t="s">
        <v>6207</v>
      </c>
      <c r="F504" s="5" t="s">
        <v>6207</v>
      </c>
      <c r="G504" s="11" t="s">
        <v>134</v>
      </c>
      <c r="H504" s="11" t="s">
        <v>7370</v>
      </c>
    </row>
    <row r="505" customFormat="false" ht="17.15" hidden="false" customHeight="false" outlineLevel="0" collapsed="false">
      <c r="A505" s="11" t="s">
        <v>7371</v>
      </c>
      <c r="B505" s="11" t="s">
        <v>308</v>
      </c>
      <c r="C505" s="11" t="s">
        <v>156</v>
      </c>
      <c r="D505" s="6" t="n">
        <v>999846</v>
      </c>
      <c r="E505" s="5" t="s">
        <v>6210</v>
      </c>
      <c r="F505" s="5" t="s">
        <v>6210</v>
      </c>
      <c r="G505" s="11" t="s">
        <v>137</v>
      </c>
      <c r="H505" s="11" t="s">
        <v>7372</v>
      </c>
    </row>
    <row r="506" customFormat="false" ht="17.15" hidden="false" customHeight="false" outlineLevel="0" collapsed="false">
      <c r="A506" s="11" t="s">
        <v>7373</v>
      </c>
      <c r="B506" s="11" t="s">
        <v>5345</v>
      </c>
      <c r="C506" s="5"/>
      <c r="D506" s="6" t="n">
        <v>998636</v>
      </c>
      <c r="E506" s="5" t="s">
        <v>6210</v>
      </c>
      <c r="F506" s="5" t="s">
        <v>6210</v>
      </c>
      <c r="G506" s="11" t="s">
        <v>137</v>
      </c>
      <c r="H506" s="11" t="s">
        <v>7374</v>
      </c>
    </row>
    <row r="507" customFormat="false" ht="15" hidden="false" customHeight="false" outlineLevel="0" collapsed="false">
      <c r="A507" s="11" t="s">
        <v>7375</v>
      </c>
      <c r="B507" s="11" t="s">
        <v>2693</v>
      </c>
      <c r="C507" s="11" t="s">
        <v>172</v>
      </c>
      <c r="D507" s="6" t="n">
        <v>995744</v>
      </c>
      <c r="E507" s="5" t="s">
        <v>141</v>
      </c>
      <c r="F507" s="5" t="s">
        <v>141</v>
      </c>
      <c r="G507" s="11" t="s">
        <v>140</v>
      </c>
      <c r="H507" s="11" t="s">
        <v>7376</v>
      </c>
    </row>
    <row r="508" customFormat="false" ht="17.15" hidden="false" customHeight="false" outlineLevel="0" collapsed="false">
      <c r="A508" s="11" t="s">
        <v>7377</v>
      </c>
      <c r="B508" s="11" t="s">
        <v>7249</v>
      </c>
      <c r="C508" s="11" t="s">
        <v>162</v>
      </c>
      <c r="D508" s="6" t="n">
        <v>987284</v>
      </c>
      <c r="E508" s="5" t="s">
        <v>6207</v>
      </c>
      <c r="F508" s="5" t="s">
        <v>6207</v>
      </c>
      <c r="G508" s="11" t="s">
        <v>134</v>
      </c>
      <c r="H508" s="11" t="s">
        <v>7378</v>
      </c>
    </row>
    <row r="509" customFormat="false" ht="15" hidden="false" customHeight="false" outlineLevel="0" collapsed="false">
      <c r="A509" s="11" t="s">
        <v>7379</v>
      </c>
      <c r="B509" s="11" t="s">
        <v>7380</v>
      </c>
      <c r="C509" s="11" t="s">
        <v>155</v>
      </c>
      <c r="D509" s="6" t="n">
        <v>982637</v>
      </c>
      <c r="E509" s="5" t="s">
        <v>6413</v>
      </c>
      <c r="F509" s="5" t="s">
        <v>6413</v>
      </c>
      <c r="G509" s="11" t="s">
        <v>128</v>
      </c>
      <c r="H509" s="11" t="s">
        <v>7381</v>
      </c>
    </row>
    <row r="510" customFormat="false" ht="17.15" hidden="false" customHeight="false" outlineLevel="0" collapsed="false">
      <c r="A510" s="11" t="s">
        <v>7382</v>
      </c>
      <c r="B510" s="11" t="s">
        <v>6647</v>
      </c>
      <c r="C510" s="5"/>
      <c r="D510" s="6" t="n">
        <v>979010</v>
      </c>
      <c r="E510" s="5" t="s">
        <v>6264</v>
      </c>
      <c r="F510" s="5" t="s">
        <v>6648</v>
      </c>
      <c r="G510" s="11" t="s">
        <v>6649</v>
      </c>
      <c r="H510" s="11" t="s">
        <v>7383</v>
      </c>
    </row>
    <row r="511" customFormat="false" ht="17.15" hidden="false" customHeight="false" outlineLevel="0" collapsed="false">
      <c r="A511" s="11" t="s">
        <v>7384</v>
      </c>
      <c r="B511" s="11" t="s">
        <v>7385</v>
      </c>
      <c r="C511" s="11" t="s">
        <v>152</v>
      </c>
      <c r="D511" s="6" t="n">
        <v>975105</v>
      </c>
      <c r="E511" s="5" t="s">
        <v>6207</v>
      </c>
      <c r="F511" s="5" t="s">
        <v>6207</v>
      </c>
      <c r="G511" s="11" t="s">
        <v>134</v>
      </c>
      <c r="H511" s="11" t="s">
        <v>7386</v>
      </c>
    </row>
    <row r="512" customFormat="false" ht="17.15" hidden="false" customHeight="false" outlineLevel="0" collapsed="false">
      <c r="A512" s="11" t="s">
        <v>7387</v>
      </c>
      <c r="B512" s="11" t="s">
        <v>7334</v>
      </c>
      <c r="C512" s="11" t="s">
        <v>192</v>
      </c>
      <c r="D512" s="6" t="n">
        <v>973451</v>
      </c>
      <c r="E512" s="5" t="s">
        <v>6239</v>
      </c>
      <c r="F512" s="5" t="s">
        <v>6239</v>
      </c>
      <c r="G512" s="11" t="s">
        <v>143</v>
      </c>
      <c r="H512" s="11" t="s">
        <v>7388</v>
      </c>
    </row>
    <row r="513" customFormat="false" ht="17.15" hidden="false" customHeight="false" outlineLevel="0" collapsed="false">
      <c r="A513" s="11" t="s">
        <v>7389</v>
      </c>
      <c r="B513" s="11" t="s">
        <v>7390</v>
      </c>
      <c r="C513" s="11" t="s">
        <v>175</v>
      </c>
      <c r="D513" s="6" t="n">
        <v>972174</v>
      </c>
      <c r="E513" s="5" t="s">
        <v>6207</v>
      </c>
      <c r="F513" s="5" t="s">
        <v>6207</v>
      </c>
      <c r="G513" s="11" t="s">
        <v>134</v>
      </c>
      <c r="H513" s="11" t="s">
        <v>7391</v>
      </c>
    </row>
    <row r="514" customFormat="false" ht="17.15" hidden="false" customHeight="false" outlineLevel="0" collapsed="false">
      <c r="A514" s="11" t="s">
        <v>7392</v>
      </c>
      <c r="B514" s="11" t="s">
        <v>6258</v>
      </c>
      <c r="C514" s="11" t="s">
        <v>149</v>
      </c>
      <c r="D514" s="6" t="n">
        <v>969531</v>
      </c>
      <c r="E514" s="5" t="s">
        <v>6207</v>
      </c>
      <c r="F514" s="5" t="s">
        <v>6207</v>
      </c>
      <c r="G514" s="11" t="s">
        <v>134</v>
      </c>
      <c r="H514" s="11" t="s">
        <v>7393</v>
      </c>
    </row>
    <row r="515" customFormat="false" ht="17.15" hidden="false" customHeight="false" outlineLevel="0" collapsed="false">
      <c r="A515" s="11" t="s">
        <v>7394</v>
      </c>
      <c r="B515" s="11" t="s">
        <v>6863</v>
      </c>
      <c r="C515" s="5"/>
      <c r="D515" s="6" t="n">
        <v>968176</v>
      </c>
      <c r="E515" s="5" t="s">
        <v>6207</v>
      </c>
      <c r="F515" s="5" t="s">
        <v>6377</v>
      </c>
      <c r="G515" s="11" t="s">
        <v>6378</v>
      </c>
      <c r="H515" s="11" t="s">
        <v>7395</v>
      </c>
    </row>
    <row r="516" customFormat="false" ht="17.15" hidden="false" customHeight="false" outlineLevel="0" collapsed="false">
      <c r="A516" s="11" t="s">
        <v>7396</v>
      </c>
      <c r="B516" s="11" t="s">
        <v>7397</v>
      </c>
      <c r="C516" s="11" t="s">
        <v>194</v>
      </c>
      <c r="D516" s="6" t="n">
        <v>967981</v>
      </c>
      <c r="E516" s="5" t="s">
        <v>6239</v>
      </c>
      <c r="F516" s="5" t="s">
        <v>6239</v>
      </c>
      <c r="G516" s="11" t="s">
        <v>143</v>
      </c>
      <c r="H516" s="11" t="s">
        <v>7398</v>
      </c>
    </row>
    <row r="517" customFormat="false" ht="17.15" hidden="false" customHeight="false" outlineLevel="0" collapsed="false">
      <c r="A517" s="11" t="s">
        <v>7399</v>
      </c>
      <c r="B517" s="11" t="s">
        <v>4223</v>
      </c>
      <c r="C517" s="11" t="s">
        <v>171</v>
      </c>
      <c r="D517" s="6" t="n">
        <v>962023</v>
      </c>
      <c r="E517" s="5" t="s">
        <v>6210</v>
      </c>
      <c r="F517" s="5" t="s">
        <v>6210</v>
      </c>
      <c r="G517" s="11" t="s">
        <v>137</v>
      </c>
      <c r="H517" s="11" t="s">
        <v>7400</v>
      </c>
    </row>
    <row r="518" customFormat="false" ht="17.15" hidden="false" customHeight="false" outlineLevel="0" collapsed="false">
      <c r="A518" s="11" t="s">
        <v>7401</v>
      </c>
      <c r="B518" s="11" t="s">
        <v>7159</v>
      </c>
      <c r="C518" s="11" t="s">
        <v>189</v>
      </c>
      <c r="D518" s="6" t="n">
        <v>960981</v>
      </c>
      <c r="E518" s="5" t="s">
        <v>6239</v>
      </c>
      <c r="F518" s="5" t="s">
        <v>6239</v>
      </c>
      <c r="G518" s="11" t="s">
        <v>143</v>
      </c>
      <c r="H518" s="11" t="s">
        <v>7402</v>
      </c>
    </row>
    <row r="519" customFormat="false" ht="17.15" hidden="false" customHeight="false" outlineLevel="0" collapsed="false">
      <c r="A519" s="11" t="s">
        <v>7403</v>
      </c>
      <c r="B519" s="11" t="s">
        <v>6647</v>
      </c>
      <c r="C519" s="11" t="s">
        <v>162</v>
      </c>
      <c r="D519" s="6" t="n">
        <v>959003</v>
      </c>
      <c r="E519" s="5" t="s">
        <v>6264</v>
      </c>
      <c r="F519" s="5" t="s">
        <v>6648</v>
      </c>
      <c r="G519" s="11" t="s">
        <v>6649</v>
      </c>
      <c r="H519" s="11" t="s">
        <v>7404</v>
      </c>
    </row>
    <row r="520" customFormat="false" ht="17.15" hidden="false" customHeight="false" outlineLevel="0" collapsed="false">
      <c r="A520" s="11" t="s">
        <v>7405</v>
      </c>
      <c r="B520" s="11" t="s">
        <v>7406</v>
      </c>
      <c r="C520" s="11" t="s">
        <v>153</v>
      </c>
      <c r="D520" s="6" t="n">
        <v>958653</v>
      </c>
      <c r="E520" s="5" t="s">
        <v>6207</v>
      </c>
      <c r="F520" s="5" t="s">
        <v>6207</v>
      </c>
      <c r="G520" s="11" t="s">
        <v>134</v>
      </c>
      <c r="H520" s="11" t="s">
        <v>7407</v>
      </c>
    </row>
    <row r="521" customFormat="false" ht="17.15" hidden="false" customHeight="false" outlineLevel="0" collapsed="false">
      <c r="A521" s="11" t="s">
        <v>7408</v>
      </c>
      <c r="B521" s="11" t="s">
        <v>2067</v>
      </c>
      <c r="C521" s="11" t="s">
        <v>192</v>
      </c>
      <c r="D521" s="6" t="n">
        <v>958627</v>
      </c>
      <c r="E521" s="5" t="s">
        <v>6239</v>
      </c>
      <c r="F521" s="5" t="s">
        <v>6239</v>
      </c>
      <c r="G521" s="11" t="s">
        <v>143</v>
      </c>
      <c r="H521" s="11" t="s">
        <v>7409</v>
      </c>
    </row>
    <row r="522" customFormat="false" ht="17.15" hidden="false" customHeight="false" outlineLevel="0" collapsed="false">
      <c r="A522" s="11" t="s">
        <v>7410</v>
      </c>
      <c r="B522" s="11" t="s">
        <v>6647</v>
      </c>
      <c r="C522" s="11" t="s">
        <v>192</v>
      </c>
      <c r="D522" s="6" t="n">
        <v>957123</v>
      </c>
      <c r="E522" s="5" t="s">
        <v>6264</v>
      </c>
      <c r="F522" s="5" t="s">
        <v>7411</v>
      </c>
      <c r="G522" s="11" t="s">
        <v>7412</v>
      </c>
      <c r="H522" s="11" t="s">
        <v>7413</v>
      </c>
    </row>
    <row r="523" customFormat="false" ht="17.15" hidden="false" customHeight="false" outlineLevel="0" collapsed="false">
      <c r="A523" s="11" t="s">
        <v>2994</v>
      </c>
      <c r="B523" s="11" t="s">
        <v>368</v>
      </c>
      <c r="C523" s="11" t="s">
        <v>161</v>
      </c>
      <c r="D523" s="6" t="n">
        <v>950542</v>
      </c>
      <c r="E523" s="5" t="s">
        <v>6207</v>
      </c>
      <c r="F523" s="5" t="s">
        <v>6207</v>
      </c>
      <c r="G523" s="11" t="s">
        <v>134</v>
      </c>
      <c r="H523" s="11" t="s">
        <v>7414</v>
      </c>
    </row>
    <row r="524" customFormat="false" ht="17.15" hidden="false" customHeight="false" outlineLevel="0" collapsed="false">
      <c r="A524" s="11" t="s">
        <v>7415</v>
      </c>
      <c r="B524" s="11" t="s">
        <v>7416</v>
      </c>
      <c r="C524" s="11" t="s">
        <v>192</v>
      </c>
      <c r="D524" s="6" t="n">
        <v>949442</v>
      </c>
      <c r="E524" s="5" t="s">
        <v>6239</v>
      </c>
      <c r="F524" s="5" t="s">
        <v>6239</v>
      </c>
      <c r="G524" s="11" t="s">
        <v>143</v>
      </c>
      <c r="H524" s="11" t="s">
        <v>7417</v>
      </c>
    </row>
    <row r="525" customFormat="false" ht="17.15" hidden="false" customHeight="false" outlineLevel="0" collapsed="false">
      <c r="A525" s="11" t="s">
        <v>7418</v>
      </c>
      <c r="B525" s="11" t="s">
        <v>299</v>
      </c>
      <c r="C525" s="11" t="s">
        <v>156</v>
      </c>
      <c r="D525" s="6" t="n">
        <v>940890</v>
      </c>
      <c r="E525" s="5" t="s">
        <v>6210</v>
      </c>
      <c r="F525" s="5" t="s">
        <v>6210</v>
      </c>
      <c r="G525" s="11" t="s">
        <v>137</v>
      </c>
      <c r="H525" s="11" t="s">
        <v>7419</v>
      </c>
    </row>
    <row r="526" customFormat="false" ht="17.15" hidden="false" customHeight="false" outlineLevel="0" collapsed="false">
      <c r="A526" s="11" t="s">
        <v>7420</v>
      </c>
      <c r="B526" s="11" t="s">
        <v>7421</v>
      </c>
      <c r="C526" s="5"/>
      <c r="D526" s="6" t="n">
        <v>935659</v>
      </c>
      <c r="E526" s="5" t="s">
        <v>6207</v>
      </c>
      <c r="F526" s="5" t="s">
        <v>6207</v>
      </c>
      <c r="G526" s="11" t="s">
        <v>134</v>
      </c>
      <c r="H526" s="11" t="s">
        <v>7422</v>
      </c>
    </row>
    <row r="527" customFormat="false" ht="17.15" hidden="false" customHeight="false" outlineLevel="0" collapsed="false">
      <c r="A527" s="11" t="s">
        <v>7423</v>
      </c>
      <c r="B527" s="11" t="s">
        <v>7424</v>
      </c>
      <c r="C527" s="11" t="s">
        <v>155</v>
      </c>
      <c r="D527" s="6" t="n">
        <v>934334</v>
      </c>
      <c r="E527" s="5" t="s">
        <v>6210</v>
      </c>
      <c r="F527" s="5" t="s">
        <v>6210</v>
      </c>
      <c r="G527" s="11" t="s">
        <v>137</v>
      </c>
      <c r="H527" s="11" t="s">
        <v>7425</v>
      </c>
    </row>
    <row r="528" customFormat="false" ht="15" hidden="false" customHeight="false" outlineLevel="0" collapsed="false">
      <c r="A528" s="11" t="s">
        <v>7426</v>
      </c>
      <c r="B528" s="11" t="s">
        <v>7427</v>
      </c>
      <c r="C528" s="11" t="s">
        <v>155</v>
      </c>
      <c r="D528" s="6" t="n">
        <v>933132</v>
      </c>
      <c r="E528" s="5" t="s">
        <v>6413</v>
      </c>
      <c r="F528" s="5" t="s">
        <v>6413</v>
      </c>
      <c r="G528" s="11" t="s">
        <v>128</v>
      </c>
      <c r="H528" s="11" t="s">
        <v>7428</v>
      </c>
    </row>
    <row r="529" customFormat="false" ht="17.15" hidden="false" customHeight="false" outlineLevel="0" collapsed="false">
      <c r="A529" s="11" t="s">
        <v>7429</v>
      </c>
      <c r="B529" s="11" t="s">
        <v>6581</v>
      </c>
      <c r="C529" s="11" t="s">
        <v>156</v>
      </c>
      <c r="D529" s="6" t="n">
        <v>924087</v>
      </c>
      <c r="E529" s="5" t="s">
        <v>6264</v>
      </c>
      <c r="F529" s="5" t="s">
        <v>6264</v>
      </c>
      <c r="G529" s="11" t="s">
        <v>131</v>
      </c>
      <c r="H529" s="11" t="s">
        <v>7430</v>
      </c>
    </row>
    <row r="530" customFormat="false" ht="17.15" hidden="false" customHeight="false" outlineLevel="0" collapsed="false">
      <c r="A530" s="11" t="s">
        <v>7431</v>
      </c>
      <c r="B530" s="11" t="s">
        <v>2067</v>
      </c>
      <c r="C530" s="11" t="s">
        <v>193</v>
      </c>
      <c r="D530" s="6" t="n">
        <v>920732</v>
      </c>
      <c r="E530" s="5" t="s">
        <v>6239</v>
      </c>
      <c r="F530" s="5" t="s">
        <v>6239</v>
      </c>
      <c r="G530" s="11" t="s">
        <v>143</v>
      </c>
      <c r="H530" s="11" t="s">
        <v>7432</v>
      </c>
    </row>
    <row r="531" customFormat="false" ht="17.15" hidden="false" customHeight="false" outlineLevel="0" collapsed="false">
      <c r="A531" s="11" t="s">
        <v>7433</v>
      </c>
      <c r="B531" s="11" t="s">
        <v>7434</v>
      </c>
      <c r="C531" s="11" t="s">
        <v>175</v>
      </c>
      <c r="D531" s="6" t="n">
        <v>915295</v>
      </c>
      <c r="E531" s="5" t="s">
        <v>6207</v>
      </c>
      <c r="F531" s="5" t="s">
        <v>6207</v>
      </c>
      <c r="G531" s="11" t="s">
        <v>134</v>
      </c>
      <c r="H531" s="11" t="s">
        <v>7435</v>
      </c>
    </row>
    <row r="532" customFormat="false" ht="15" hidden="false" customHeight="false" outlineLevel="0" collapsed="false">
      <c r="A532" s="11" t="s">
        <v>7436</v>
      </c>
      <c r="B532" s="11" t="s">
        <v>681</v>
      </c>
      <c r="C532" s="11" t="s">
        <v>174</v>
      </c>
      <c r="D532" s="6" t="n">
        <v>914630</v>
      </c>
      <c r="E532" s="5" t="s">
        <v>141</v>
      </c>
      <c r="F532" s="5" t="s">
        <v>141</v>
      </c>
      <c r="G532" s="11" t="s">
        <v>140</v>
      </c>
      <c r="H532" s="11" t="s">
        <v>7437</v>
      </c>
    </row>
    <row r="533" customFormat="false" ht="17.15" hidden="false" customHeight="false" outlineLevel="0" collapsed="false">
      <c r="A533" s="11" t="s">
        <v>7438</v>
      </c>
      <c r="B533" s="11" t="s">
        <v>6581</v>
      </c>
      <c r="C533" s="11" t="s">
        <v>155</v>
      </c>
      <c r="D533" s="6" t="n">
        <v>913311</v>
      </c>
      <c r="E533" s="5" t="s">
        <v>6264</v>
      </c>
      <c r="F533" s="5" t="s">
        <v>6264</v>
      </c>
      <c r="G533" s="11" t="s">
        <v>131</v>
      </c>
      <c r="H533" s="11" t="s">
        <v>7439</v>
      </c>
    </row>
    <row r="534" customFormat="false" ht="17.15" hidden="false" customHeight="false" outlineLevel="0" collapsed="false">
      <c r="A534" s="11" t="s">
        <v>7440</v>
      </c>
      <c r="B534" s="11" t="s">
        <v>7441</v>
      </c>
      <c r="C534" s="5"/>
      <c r="D534" s="6" t="n">
        <v>911225</v>
      </c>
      <c r="E534" s="5" t="s">
        <v>6207</v>
      </c>
      <c r="F534" s="5" t="s">
        <v>6207</v>
      </c>
      <c r="G534" s="11" t="s">
        <v>134</v>
      </c>
      <c r="H534" s="11" t="s">
        <v>7442</v>
      </c>
    </row>
    <row r="535" customFormat="false" ht="17.15" hidden="false" customHeight="false" outlineLevel="0" collapsed="false">
      <c r="A535" s="11" t="s">
        <v>7443</v>
      </c>
      <c r="B535" s="11" t="s">
        <v>2557</v>
      </c>
      <c r="C535" s="11" t="s">
        <v>168</v>
      </c>
      <c r="D535" s="6" t="n">
        <v>904809</v>
      </c>
      <c r="E535" s="5" t="s">
        <v>6207</v>
      </c>
      <c r="F535" s="5" t="s">
        <v>6207</v>
      </c>
      <c r="G535" s="11" t="s">
        <v>134</v>
      </c>
      <c r="H535" s="11" t="s">
        <v>7444</v>
      </c>
    </row>
    <row r="536" customFormat="false" ht="17.15" hidden="false" customHeight="false" outlineLevel="0" collapsed="false">
      <c r="A536" s="11" t="s">
        <v>7445</v>
      </c>
      <c r="B536" s="11" t="s">
        <v>308</v>
      </c>
      <c r="C536" s="11" t="s">
        <v>164</v>
      </c>
      <c r="D536" s="6" t="n">
        <v>899731</v>
      </c>
      <c r="E536" s="5" t="s">
        <v>6207</v>
      </c>
      <c r="F536" s="5" t="s">
        <v>6207</v>
      </c>
      <c r="G536" s="11" t="s">
        <v>134</v>
      </c>
      <c r="H536" s="11" t="s">
        <v>7446</v>
      </c>
    </row>
    <row r="537" customFormat="false" ht="17.15" hidden="false" customHeight="false" outlineLevel="0" collapsed="false">
      <c r="A537" s="11" t="s">
        <v>7447</v>
      </c>
      <c r="B537" s="11" t="s">
        <v>7092</v>
      </c>
      <c r="C537" s="11" t="s">
        <v>174</v>
      </c>
      <c r="D537" s="6" t="n">
        <v>894470</v>
      </c>
      <c r="E537" s="5" t="s">
        <v>6210</v>
      </c>
      <c r="F537" s="5" t="s">
        <v>6210</v>
      </c>
      <c r="G537" s="11" t="s">
        <v>137</v>
      </c>
      <c r="H537" s="11" t="s">
        <v>7448</v>
      </c>
    </row>
    <row r="538" customFormat="false" ht="17.15" hidden="false" customHeight="false" outlineLevel="0" collapsed="false">
      <c r="A538" s="11" t="s">
        <v>7449</v>
      </c>
      <c r="B538" s="11" t="s">
        <v>1374</v>
      </c>
      <c r="C538" s="11" t="s">
        <v>197</v>
      </c>
      <c r="D538" s="6" t="n">
        <v>890745</v>
      </c>
      <c r="E538" s="5" t="s">
        <v>6239</v>
      </c>
      <c r="F538" s="5" t="s">
        <v>6239</v>
      </c>
      <c r="G538" s="11" t="s">
        <v>143</v>
      </c>
      <c r="H538" s="11" t="s">
        <v>7450</v>
      </c>
    </row>
    <row r="539" customFormat="false" ht="15" hidden="false" customHeight="false" outlineLevel="0" collapsed="false">
      <c r="A539" s="11" t="s">
        <v>7451</v>
      </c>
      <c r="B539" s="11" t="s">
        <v>839</v>
      </c>
      <c r="C539" s="11" t="s">
        <v>158</v>
      </c>
      <c r="D539" s="6" t="n">
        <v>890415</v>
      </c>
      <c r="E539" s="5" t="s">
        <v>141</v>
      </c>
      <c r="F539" s="5" t="s">
        <v>141</v>
      </c>
      <c r="G539" s="11" t="s">
        <v>140</v>
      </c>
      <c r="H539" s="11" t="s">
        <v>7452</v>
      </c>
    </row>
    <row r="540" customFormat="false" ht="15" hidden="false" customHeight="false" outlineLevel="0" collapsed="false">
      <c r="A540" s="11" t="s">
        <v>7453</v>
      </c>
      <c r="B540" s="11" t="s">
        <v>7454</v>
      </c>
      <c r="C540" s="11" t="s">
        <v>150</v>
      </c>
      <c r="D540" s="6" t="n">
        <v>889605</v>
      </c>
      <c r="E540" s="5" t="s">
        <v>141</v>
      </c>
      <c r="F540" s="5" t="s">
        <v>141</v>
      </c>
      <c r="G540" s="11" t="s">
        <v>140</v>
      </c>
      <c r="H540" s="11" t="s">
        <v>7455</v>
      </c>
    </row>
    <row r="541" customFormat="false" ht="17.15" hidden="false" customHeight="false" outlineLevel="0" collapsed="false">
      <c r="A541" s="11" t="s">
        <v>7456</v>
      </c>
      <c r="B541" s="11" t="s">
        <v>7457</v>
      </c>
      <c r="C541" s="11" t="s">
        <v>160</v>
      </c>
      <c r="D541" s="6" t="n">
        <v>888380</v>
      </c>
      <c r="E541" s="5" t="s">
        <v>6207</v>
      </c>
      <c r="F541" s="5" t="s">
        <v>6207</v>
      </c>
      <c r="G541" s="11" t="s">
        <v>134</v>
      </c>
      <c r="H541" s="11" t="s">
        <v>7458</v>
      </c>
    </row>
    <row r="542" customFormat="false" ht="17.15" hidden="false" customHeight="false" outlineLevel="0" collapsed="false">
      <c r="A542" s="11" t="s">
        <v>7459</v>
      </c>
      <c r="B542" s="11" t="s">
        <v>7460</v>
      </c>
      <c r="C542" s="11" t="s">
        <v>151</v>
      </c>
      <c r="D542" s="6" t="n">
        <v>883903</v>
      </c>
      <c r="E542" s="5" t="s">
        <v>6207</v>
      </c>
      <c r="F542" s="5" t="s">
        <v>6207</v>
      </c>
      <c r="G542" s="11" t="s">
        <v>134</v>
      </c>
      <c r="H542" s="11" t="s">
        <v>7461</v>
      </c>
    </row>
    <row r="543" customFormat="false" ht="17.15" hidden="false" customHeight="false" outlineLevel="0" collapsed="false">
      <c r="A543" s="11" t="s">
        <v>7462</v>
      </c>
      <c r="B543" s="11" t="s">
        <v>6647</v>
      </c>
      <c r="C543" s="11" t="s">
        <v>156</v>
      </c>
      <c r="D543" s="6" t="n">
        <v>883586</v>
      </c>
      <c r="E543" s="5" t="s">
        <v>6264</v>
      </c>
      <c r="F543" s="5" t="s">
        <v>6264</v>
      </c>
      <c r="G543" s="11" t="s">
        <v>131</v>
      </c>
      <c r="H543" s="11" t="s">
        <v>7463</v>
      </c>
    </row>
    <row r="544" customFormat="false" ht="17.15" hidden="false" customHeight="false" outlineLevel="0" collapsed="false">
      <c r="A544" s="11" t="s">
        <v>7464</v>
      </c>
      <c r="B544" s="11" t="s">
        <v>7465</v>
      </c>
      <c r="C544" s="11" t="s">
        <v>178</v>
      </c>
      <c r="D544" s="6" t="n">
        <v>882598</v>
      </c>
      <c r="E544" s="5" t="s">
        <v>6207</v>
      </c>
      <c r="F544" s="5" t="s">
        <v>6207</v>
      </c>
      <c r="G544" s="11" t="s">
        <v>134</v>
      </c>
      <c r="H544" s="11" t="s">
        <v>7466</v>
      </c>
    </row>
    <row r="545" customFormat="false" ht="15" hidden="false" customHeight="false" outlineLevel="0" collapsed="false">
      <c r="A545" s="11" t="s">
        <v>7467</v>
      </c>
      <c r="B545" s="11" t="s">
        <v>1733</v>
      </c>
      <c r="C545" s="11" t="s">
        <v>156</v>
      </c>
      <c r="D545" s="6" t="n">
        <v>881534</v>
      </c>
      <c r="E545" s="5" t="s">
        <v>6413</v>
      </c>
      <c r="F545" s="5" t="s">
        <v>6413</v>
      </c>
      <c r="G545" s="11" t="s">
        <v>128</v>
      </c>
      <c r="H545" s="11" t="s">
        <v>7468</v>
      </c>
    </row>
    <row r="546" customFormat="false" ht="17.15" hidden="false" customHeight="false" outlineLevel="0" collapsed="false">
      <c r="A546" s="11" t="s">
        <v>7469</v>
      </c>
      <c r="B546" s="11" t="s">
        <v>7470</v>
      </c>
      <c r="C546" s="11" t="s">
        <v>175</v>
      </c>
      <c r="D546" s="6" t="n">
        <v>879455</v>
      </c>
      <c r="E546" s="5" t="s">
        <v>6207</v>
      </c>
      <c r="F546" s="5" t="s">
        <v>6207</v>
      </c>
      <c r="G546" s="11" t="s">
        <v>134</v>
      </c>
      <c r="H546" s="11" t="s">
        <v>7471</v>
      </c>
    </row>
    <row r="547" customFormat="false" ht="17.15" hidden="false" customHeight="false" outlineLevel="0" collapsed="false">
      <c r="A547" s="11" t="s">
        <v>7472</v>
      </c>
      <c r="B547" s="11" t="s">
        <v>6617</v>
      </c>
      <c r="C547" s="11" t="s">
        <v>149</v>
      </c>
      <c r="D547" s="6" t="n">
        <v>876622</v>
      </c>
      <c r="E547" s="5" t="s">
        <v>6207</v>
      </c>
      <c r="F547" s="5" t="s">
        <v>6207</v>
      </c>
      <c r="G547" s="11" t="s">
        <v>134</v>
      </c>
      <c r="H547" s="11" t="s">
        <v>7473</v>
      </c>
    </row>
    <row r="548" customFormat="false" ht="17.15" hidden="false" customHeight="false" outlineLevel="0" collapsed="false">
      <c r="A548" s="11" t="s">
        <v>7474</v>
      </c>
      <c r="B548" s="11" t="s">
        <v>6647</v>
      </c>
      <c r="C548" s="11" t="s">
        <v>192</v>
      </c>
      <c r="D548" s="6" t="n">
        <v>873596</v>
      </c>
      <c r="E548" s="5" t="s">
        <v>6264</v>
      </c>
      <c r="F548" s="5" t="s">
        <v>7411</v>
      </c>
      <c r="G548" s="11" t="s">
        <v>7412</v>
      </c>
      <c r="H548" s="11" t="s">
        <v>7475</v>
      </c>
    </row>
    <row r="549" customFormat="false" ht="17.15" hidden="false" customHeight="false" outlineLevel="0" collapsed="false">
      <c r="A549" s="11" t="s">
        <v>7476</v>
      </c>
      <c r="B549" s="11" t="s">
        <v>313</v>
      </c>
      <c r="C549" s="11" t="s">
        <v>152</v>
      </c>
      <c r="D549" s="6" t="n">
        <v>872781</v>
      </c>
      <c r="E549" s="5" t="s">
        <v>6210</v>
      </c>
      <c r="F549" s="5" t="s">
        <v>6210</v>
      </c>
      <c r="G549" s="11" t="s">
        <v>137</v>
      </c>
      <c r="H549" s="11" t="s">
        <v>7477</v>
      </c>
    </row>
    <row r="550" customFormat="false" ht="17.15" hidden="false" customHeight="false" outlineLevel="0" collapsed="false">
      <c r="A550" s="11" t="s">
        <v>7478</v>
      </c>
      <c r="B550" s="11" t="s">
        <v>6756</v>
      </c>
      <c r="C550" s="5"/>
      <c r="D550" s="6" t="n">
        <v>870608</v>
      </c>
      <c r="E550" s="5" t="s">
        <v>6207</v>
      </c>
      <c r="F550" s="5" t="s">
        <v>6207</v>
      </c>
      <c r="G550" s="11" t="s">
        <v>134</v>
      </c>
      <c r="H550" s="11" t="s">
        <v>7479</v>
      </c>
    </row>
    <row r="551" customFormat="false" ht="17.15" hidden="false" customHeight="false" outlineLevel="0" collapsed="false">
      <c r="A551" s="11" t="s">
        <v>7480</v>
      </c>
      <c r="B551" s="11" t="s">
        <v>3380</v>
      </c>
      <c r="C551" s="11" t="s">
        <v>155</v>
      </c>
      <c r="D551" s="6" t="n">
        <v>869063</v>
      </c>
      <c r="E551" s="5" t="s">
        <v>6264</v>
      </c>
      <c r="F551" s="5" t="s">
        <v>6648</v>
      </c>
      <c r="G551" s="11" t="s">
        <v>6649</v>
      </c>
      <c r="H551" s="11" t="s">
        <v>7481</v>
      </c>
    </row>
    <row r="552" customFormat="false" ht="17.15" hidden="false" customHeight="false" outlineLevel="0" collapsed="false">
      <c r="A552" s="11" t="s">
        <v>7482</v>
      </c>
      <c r="B552" s="11" t="s">
        <v>2557</v>
      </c>
      <c r="C552" s="11" t="s">
        <v>168</v>
      </c>
      <c r="D552" s="6" t="n">
        <v>868537</v>
      </c>
      <c r="E552" s="5" t="s">
        <v>6207</v>
      </c>
      <c r="F552" s="5" t="s">
        <v>6207</v>
      </c>
      <c r="G552" s="11" t="s">
        <v>134</v>
      </c>
      <c r="H552" s="11" t="s">
        <v>7483</v>
      </c>
    </row>
    <row r="553" customFormat="false" ht="17.15" hidden="false" customHeight="false" outlineLevel="0" collapsed="false">
      <c r="A553" s="11" t="s">
        <v>7484</v>
      </c>
      <c r="B553" s="11" t="s">
        <v>6996</v>
      </c>
      <c r="C553" s="11" t="s">
        <v>174</v>
      </c>
      <c r="D553" s="6" t="n">
        <v>855372</v>
      </c>
      <c r="E553" s="5" t="s">
        <v>6207</v>
      </c>
      <c r="F553" s="5" t="s">
        <v>6997</v>
      </c>
      <c r="G553" s="11" t="s">
        <v>6998</v>
      </c>
      <c r="H553" s="11" t="s">
        <v>7485</v>
      </c>
    </row>
    <row r="554" customFormat="false" ht="17.15" hidden="false" customHeight="false" outlineLevel="0" collapsed="false">
      <c r="A554" s="11" t="s">
        <v>7486</v>
      </c>
      <c r="B554" s="11" t="s">
        <v>2950</v>
      </c>
      <c r="C554" s="11" t="s">
        <v>155</v>
      </c>
      <c r="D554" s="6" t="n">
        <v>855154</v>
      </c>
      <c r="E554" s="5" t="s">
        <v>6207</v>
      </c>
      <c r="F554" s="5" t="s">
        <v>6207</v>
      </c>
      <c r="G554" s="11" t="s">
        <v>134</v>
      </c>
      <c r="H554" s="11" t="s">
        <v>7487</v>
      </c>
    </row>
    <row r="555" customFormat="false" ht="15" hidden="false" customHeight="false" outlineLevel="0" collapsed="false">
      <c r="A555" s="11" t="s">
        <v>7488</v>
      </c>
      <c r="B555" s="11" t="s">
        <v>7489</v>
      </c>
      <c r="C555" s="11" t="s">
        <v>155</v>
      </c>
      <c r="D555" s="6" t="n">
        <v>854684</v>
      </c>
      <c r="E555" s="5" t="s">
        <v>6413</v>
      </c>
      <c r="F555" s="5" t="s">
        <v>6413</v>
      </c>
      <c r="G555" s="11" t="s">
        <v>128</v>
      </c>
      <c r="H555" s="11" t="s">
        <v>7490</v>
      </c>
    </row>
    <row r="556" customFormat="false" ht="17.15" hidden="false" customHeight="false" outlineLevel="0" collapsed="false">
      <c r="A556" s="11" t="s">
        <v>7491</v>
      </c>
      <c r="B556" s="11" t="s">
        <v>327</v>
      </c>
      <c r="C556" s="11" t="s">
        <v>156</v>
      </c>
      <c r="D556" s="6" t="n">
        <v>853557</v>
      </c>
      <c r="E556" s="5" t="s">
        <v>6210</v>
      </c>
      <c r="F556" s="5" t="s">
        <v>6210</v>
      </c>
      <c r="G556" s="11" t="s">
        <v>137</v>
      </c>
      <c r="H556" s="11" t="s">
        <v>7492</v>
      </c>
    </row>
    <row r="557" customFormat="false" ht="17.15" hidden="false" customHeight="false" outlineLevel="0" collapsed="false">
      <c r="A557" s="11" t="s">
        <v>7493</v>
      </c>
      <c r="B557" s="11" t="s">
        <v>7494</v>
      </c>
      <c r="C557" s="11" t="s">
        <v>175</v>
      </c>
      <c r="D557" s="6" t="n">
        <v>850868</v>
      </c>
      <c r="E557" s="5" t="s">
        <v>6207</v>
      </c>
      <c r="F557" s="5" t="s">
        <v>6207</v>
      </c>
      <c r="G557" s="11" t="s">
        <v>134</v>
      </c>
      <c r="H557" s="11" t="s">
        <v>7495</v>
      </c>
    </row>
    <row r="558" customFormat="false" ht="17.15" hidden="false" customHeight="false" outlineLevel="0" collapsed="false">
      <c r="A558" s="11" t="s">
        <v>7496</v>
      </c>
      <c r="B558" s="11" t="s">
        <v>3171</v>
      </c>
      <c r="C558" s="11" t="s">
        <v>167</v>
      </c>
      <c r="D558" s="6" t="n">
        <v>849389</v>
      </c>
      <c r="E558" s="5" t="s">
        <v>6210</v>
      </c>
      <c r="F558" s="5" t="s">
        <v>6210</v>
      </c>
      <c r="G558" s="11" t="s">
        <v>137</v>
      </c>
      <c r="H558" s="11" t="s">
        <v>7497</v>
      </c>
    </row>
    <row r="559" customFormat="false" ht="15" hidden="false" customHeight="false" outlineLevel="0" collapsed="false">
      <c r="A559" s="11" t="s">
        <v>7498</v>
      </c>
      <c r="B559" s="11" t="s">
        <v>681</v>
      </c>
      <c r="C559" s="11" t="s">
        <v>163</v>
      </c>
      <c r="D559" s="6" t="n">
        <v>844152</v>
      </c>
      <c r="E559" s="5" t="s">
        <v>141</v>
      </c>
      <c r="F559" s="5" t="s">
        <v>141</v>
      </c>
      <c r="G559" s="11" t="s">
        <v>140</v>
      </c>
      <c r="H559" s="11" t="s">
        <v>7499</v>
      </c>
    </row>
    <row r="560" customFormat="false" ht="17.15" hidden="false" customHeight="false" outlineLevel="0" collapsed="false">
      <c r="A560" s="11" t="s">
        <v>7500</v>
      </c>
      <c r="B560" s="11" t="s">
        <v>6647</v>
      </c>
      <c r="C560" s="11" t="s">
        <v>155</v>
      </c>
      <c r="D560" s="6" t="n">
        <v>840386</v>
      </c>
      <c r="E560" s="5" t="s">
        <v>6264</v>
      </c>
      <c r="F560" s="5" t="s">
        <v>6264</v>
      </c>
      <c r="G560" s="11" t="s">
        <v>131</v>
      </c>
      <c r="H560" s="11" t="s">
        <v>7501</v>
      </c>
    </row>
    <row r="561" customFormat="false" ht="17.15" hidden="false" customHeight="false" outlineLevel="0" collapsed="false">
      <c r="A561" s="11" t="s">
        <v>7502</v>
      </c>
      <c r="B561" s="11" t="s">
        <v>7503</v>
      </c>
      <c r="C561" s="11" t="s">
        <v>175</v>
      </c>
      <c r="D561" s="6" t="n">
        <v>835677</v>
      </c>
      <c r="E561" s="5" t="s">
        <v>6207</v>
      </c>
      <c r="F561" s="5" t="s">
        <v>6207</v>
      </c>
      <c r="G561" s="11" t="s">
        <v>134</v>
      </c>
      <c r="H561" s="11" t="s">
        <v>7504</v>
      </c>
    </row>
    <row r="562" customFormat="false" ht="17.15" hidden="false" customHeight="false" outlineLevel="0" collapsed="false">
      <c r="A562" s="11" t="s">
        <v>7505</v>
      </c>
      <c r="B562" s="11" t="s">
        <v>7506</v>
      </c>
      <c r="C562" s="11" t="s">
        <v>192</v>
      </c>
      <c r="D562" s="6" t="n">
        <v>833545</v>
      </c>
      <c r="E562" s="5" t="s">
        <v>6239</v>
      </c>
      <c r="F562" s="5" t="s">
        <v>6239</v>
      </c>
      <c r="G562" s="11" t="s">
        <v>143</v>
      </c>
      <c r="H562" s="11" t="s">
        <v>7507</v>
      </c>
    </row>
    <row r="563" customFormat="false" ht="17.15" hidden="false" customHeight="false" outlineLevel="0" collapsed="false">
      <c r="A563" s="11" t="s">
        <v>7508</v>
      </c>
      <c r="B563" s="11" t="s">
        <v>7057</v>
      </c>
      <c r="C563" s="11" t="s">
        <v>175</v>
      </c>
      <c r="D563" s="6" t="n">
        <v>830685</v>
      </c>
      <c r="E563" s="5" t="s">
        <v>6207</v>
      </c>
      <c r="F563" s="5" t="s">
        <v>6207</v>
      </c>
      <c r="G563" s="11" t="s">
        <v>134</v>
      </c>
      <c r="H563" s="11" t="s">
        <v>7509</v>
      </c>
    </row>
    <row r="564" customFormat="false" ht="17.15" hidden="false" customHeight="false" outlineLevel="0" collapsed="false">
      <c r="A564" s="11" t="s">
        <v>7510</v>
      </c>
      <c r="B564" s="11" t="s">
        <v>5345</v>
      </c>
      <c r="C564" s="11" t="s">
        <v>162</v>
      </c>
      <c r="D564" s="6" t="n">
        <v>826680</v>
      </c>
      <c r="E564" s="5" t="s">
        <v>6210</v>
      </c>
      <c r="F564" s="5" t="s">
        <v>6210</v>
      </c>
      <c r="G564" s="11" t="s">
        <v>137</v>
      </c>
      <c r="H564" s="11" t="s">
        <v>7511</v>
      </c>
    </row>
    <row r="565" customFormat="false" ht="17.15" hidden="false" customHeight="false" outlineLevel="0" collapsed="false">
      <c r="A565" s="11" t="s">
        <v>7512</v>
      </c>
      <c r="B565" s="11" t="s">
        <v>308</v>
      </c>
      <c r="C565" s="11" t="s">
        <v>155</v>
      </c>
      <c r="D565" s="6" t="n">
        <v>824634</v>
      </c>
      <c r="E565" s="5" t="s">
        <v>6210</v>
      </c>
      <c r="F565" s="5" t="s">
        <v>6210</v>
      </c>
      <c r="G565" s="11" t="s">
        <v>137</v>
      </c>
      <c r="H565" s="11" t="s">
        <v>7513</v>
      </c>
    </row>
    <row r="566" customFormat="false" ht="15" hidden="false" customHeight="false" outlineLevel="0" collapsed="false">
      <c r="A566" s="11" t="s">
        <v>7514</v>
      </c>
      <c r="B566" s="11" t="s">
        <v>6412</v>
      </c>
      <c r="C566" s="11" t="s">
        <v>156</v>
      </c>
      <c r="D566" s="6" t="n">
        <v>823750</v>
      </c>
      <c r="E566" s="5" t="s">
        <v>6413</v>
      </c>
      <c r="F566" s="5" t="s">
        <v>6413</v>
      </c>
      <c r="G566" s="11" t="s">
        <v>128</v>
      </c>
      <c r="H566" s="11" t="s">
        <v>7515</v>
      </c>
    </row>
    <row r="567" customFormat="false" ht="17.15" hidden="false" customHeight="false" outlineLevel="0" collapsed="false">
      <c r="A567" s="11" t="s">
        <v>7516</v>
      </c>
      <c r="B567" s="11" t="s">
        <v>7133</v>
      </c>
      <c r="C567" s="11" t="s">
        <v>149</v>
      </c>
      <c r="D567" s="6" t="n">
        <v>820509</v>
      </c>
      <c r="E567" s="5" t="s">
        <v>6207</v>
      </c>
      <c r="F567" s="5" t="s">
        <v>6207</v>
      </c>
      <c r="G567" s="11" t="s">
        <v>134</v>
      </c>
      <c r="H567" s="11" t="s">
        <v>7517</v>
      </c>
    </row>
    <row r="568" customFormat="false" ht="17.15" hidden="false" customHeight="false" outlineLevel="0" collapsed="false">
      <c r="A568" s="11" t="s">
        <v>7518</v>
      </c>
      <c r="B568" s="11" t="s">
        <v>2557</v>
      </c>
      <c r="C568" s="11" t="s">
        <v>168</v>
      </c>
      <c r="D568" s="6" t="n">
        <v>817087</v>
      </c>
      <c r="E568" s="5" t="s">
        <v>6207</v>
      </c>
      <c r="F568" s="5" t="s">
        <v>6207</v>
      </c>
      <c r="G568" s="11" t="s">
        <v>134</v>
      </c>
      <c r="H568" s="11" t="s">
        <v>7519</v>
      </c>
    </row>
    <row r="569" customFormat="false" ht="17.15" hidden="false" customHeight="false" outlineLevel="0" collapsed="false">
      <c r="A569" s="11" t="s">
        <v>7520</v>
      </c>
      <c r="B569" s="11" t="s">
        <v>7521</v>
      </c>
      <c r="C569" s="11" t="s">
        <v>197</v>
      </c>
      <c r="D569" s="6" t="n">
        <v>814065</v>
      </c>
      <c r="E569" s="5" t="s">
        <v>6239</v>
      </c>
      <c r="F569" s="5" t="s">
        <v>6239</v>
      </c>
      <c r="G569" s="11" t="s">
        <v>143</v>
      </c>
      <c r="H569" s="11" t="s">
        <v>7522</v>
      </c>
    </row>
    <row r="570" customFormat="false" ht="17.15" hidden="false" customHeight="false" outlineLevel="0" collapsed="false">
      <c r="A570" s="11" t="s">
        <v>5742</v>
      </c>
      <c r="B570" s="11" t="s">
        <v>681</v>
      </c>
      <c r="C570" s="11" t="s">
        <v>184</v>
      </c>
      <c r="D570" s="6" t="n">
        <v>809402</v>
      </c>
      <c r="E570" s="5" t="s">
        <v>6207</v>
      </c>
      <c r="F570" s="5" t="s">
        <v>6207</v>
      </c>
      <c r="G570" s="11" t="s">
        <v>134</v>
      </c>
      <c r="H570" s="11" t="s">
        <v>7523</v>
      </c>
    </row>
    <row r="571" customFormat="false" ht="17.15" hidden="false" customHeight="false" outlineLevel="0" collapsed="false">
      <c r="A571" s="11" t="s">
        <v>7524</v>
      </c>
      <c r="B571" s="11" t="s">
        <v>6852</v>
      </c>
      <c r="C571" s="11" t="s">
        <v>150</v>
      </c>
      <c r="D571" s="6" t="n">
        <v>809338</v>
      </c>
      <c r="E571" s="5" t="s">
        <v>6207</v>
      </c>
      <c r="F571" s="5" t="s">
        <v>6207</v>
      </c>
      <c r="G571" s="11" t="s">
        <v>134</v>
      </c>
      <c r="H571" s="11" t="s">
        <v>7525</v>
      </c>
    </row>
    <row r="572" customFormat="false" ht="15" hidden="false" customHeight="false" outlineLevel="0" collapsed="false">
      <c r="A572" s="11" t="s">
        <v>7526</v>
      </c>
      <c r="B572" s="11" t="s">
        <v>6094</v>
      </c>
      <c r="C572" s="11" t="s">
        <v>175</v>
      </c>
      <c r="D572" s="6" t="n">
        <v>808195</v>
      </c>
      <c r="E572" s="5" t="s">
        <v>6227</v>
      </c>
      <c r="F572" s="5" t="s">
        <v>6227</v>
      </c>
      <c r="G572" s="11" t="s">
        <v>134</v>
      </c>
      <c r="H572" s="11" t="s">
        <v>7527</v>
      </c>
    </row>
    <row r="573" customFormat="false" ht="15" hidden="false" customHeight="false" outlineLevel="0" collapsed="false">
      <c r="A573" s="11" t="s">
        <v>7528</v>
      </c>
      <c r="B573" s="11" t="s">
        <v>7529</v>
      </c>
      <c r="C573" s="11" t="s">
        <v>155</v>
      </c>
      <c r="D573" s="6" t="n">
        <v>804616</v>
      </c>
      <c r="E573" s="5" t="s">
        <v>6413</v>
      </c>
      <c r="F573" s="5" t="s">
        <v>6413</v>
      </c>
      <c r="G573" s="11" t="s">
        <v>128</v>
      </c>
      <c r="H573" s="11" t="s">
        <v>7530</v>
      </c>
    </row>
    <row r="574" customFormat="false" ht="15" hidden="false" customHeight="false" outlineLevel="0" collapsed="false">
      <c r="A574" s="11" t="s">
        <v>7531</v>
      </c>
      <c r="B574" s="11" t="s">
        <v>7532</v>
      </c>
      <c r="C574" s="11" t="s">
        <v>155</v>
      </c>
      <c r="D574" s="6" t="n">
        <v>804387</v>
      </c>
      <c r="E574" s="5" t="s">
        <v>6227</v>
      </c>
      <c r="F574" s="5" t="s">
        <v>6227</v>
      </c>
      <c r="G574" s="11" t="s">
        <v>134</v>
      </c>
      <c r="H574" s="11" t="s">
        <v>7533</v>
      </c>
    </row>
    <row r="575" customFormat="false" ht="17.15" hidden="false" customHeight="false" outlineLevel="0" collapsed="false">
      <c r="A575" s="11" t="s">
        <v>7534</v>
      </c>
      <c r="B575" s="11" t="s">
        <v>6310</v>
      </c>
      <c r="C575" s="11" t="s">
        <v>174</v>
      </c>
      <c r="D575" s="6" t="n">
        <v>804135</v>
      </c>
      <c r="E575" s="5" t="s">
        <v>6207</v>
      </c>
      <c r="F575" s="5" t="s">
        <v>6207</v>
      </c>
      <c r="G575" s="11" t="s">
        <v>134</v>
      </c>
      <c r="H575" s="11" t="s">
        <v>7535</v>
      </c>
    </row>
    <row r="576" customFormat="false" ht="17.15" hidden="false" customHeight="false" outlineLevel="0" collapsed="false">
      <c r="A576" s="11" t="s">
        <v>7536</v>
      </c>
      <c r="B576" s="11" t="s">
        <v>6782</v>
      </c>
      <c r="C576" s="11" t="s">
        <v>162</v>
      </c>
      <c r="D576" s="6" t="n">
        <v>803392</v>
      </c>
      <c r="E576" s="5" t="s">
        <v>6207</v>
      </c>
      <c r="F576" s="5" t="s">
        <v>6207</v>
      </c>
      <c r="G576" s="11" t="s">
        <v>134</v>
      </c>
      <c r="H576" s="11" t="s">
        <v>7537</v>
      </c>
    </row>
    <row r="577" customFormat="false" ht="17.15" hidden="false" customHeight="false" outlineLevel="0" collapsed="false">
      <c r="A577" s="11" t="s">
        <v>7538</v>
      </c>
      <c r="B577" s="11" t="s">
        <v>6581</v>
      </c>
      <c r="C577" s="11" t="s">
        <v>155</v>
      </c>
      <c r="D577" s="6" t="n">
        <v>802011</v>
      </c>
      <c r="E577" s="5" t="s">
        <v>6264</v>
      </c>
      <c r="F577" s="5" t="s">
        <v>6264</v>
      </c>
      <c r="G577" s="11" t="s">
        <v>131</v>
      </c>
      <c r="H577" s="11" t="s">
        <v>7539</v>
      </c>
    </row>
    <row r="578" customFormat="false" ht="17.15" hidden="false" customHeight="false" outlineLevel="0" collapsed="false">
      <c r="A578" s="11" t="s">
        <v>7540</v>
      </c>
      <c r="B578" s="11" t="s">
        <v>681</v>
      </c>
      <c r="C578" s="11" t="s">
        <v>173</v>
      </c>
      <c r="D578" s="6" t="n">
        <v>801610</v>
      </c>
      <c r="E578" s="5" t="s">
        <v>6207</v>
      </c>
      <c r="F578" s="5" t="s">
        <v>6207</v>
      </c>
      <c r="G578" s="11" t="s">
        <v>134</v>
      </c>
      <c r="H578" s="11" t="s">
        <v>7541</v>
      </c>
    </row>
    <row r="579" customFormat="false" ht="15" hidden="false" customHeight="false" outlineLevel="0" collapsed="false">
      <c r="A579" s="11" t="s">
        <v>7542</v>
      </c>
      <c r="B579" s="11" t="s">
        <v>2693</v>
      </c>
      <c r="C579" s="11" t="s">
        <v>172</v>
      </c>
      <c r="D579" s="6" t="n">
        <v>800865</v>
      </c>
      <c r="E579" s="5" t="s">
        <v>141</v>
      </c>
      <c r="F579" s="5" t="s">
        <v>141</v>
      </c>
      <c r="G579" s="11" t="s">
        <v>140</v>
      </c>
      <c r="H579" s="11" t="s">
        <v>7543</v>
      </c>
    </row>
    <row r="580" customFormat="false" ht="17.15" hidden="false" customHeight="false" outlineLevel="0" collapsed="false">
      <c r="A580" s="11" t="s">
        <v>7544</v>
      </c>
      <c r="B580" s="11" t="s">
        <v>7545</v>
      </c>
      <c r="C580" s="11" t="s">
        <v>192</v>
      </c>
      <c r="D580" s="6" t="n">
        <v>799694</v>
      </c>
      <c r="E580" s="5" t="s">
        <v>6239</v>
      </c>
      <c r="F580" s="5" t="s">
        <v>6239</v>
      </c>
      <c r="G580" s="11" t="s">
        <v>143</v>
      </c>
      <c r="H580" s="11" t="s">
        <v>7546</v>
      </c>
    </row>
    <row r="581" customFormat="false" ht="17.15" hidden="false" customHeight="false" outlineLevel="0" collapsed="false">
      <c r="A581" s="11" t="s">
        <v>7547</v>
      </c>
      <c r="B581" s="11" t="s">
        <v>1214</v>
      </c>
      <c r="C581" s="11" t="s">
        <v>192</v>
      </c>
      <c r="D581" s="6" t="n">
        <v>799374</v>
      </c>
      <c r="E581" s="5" t="s">
        <v>6239</v>
      </c>
      <c r="F581" s="5" t="s">
        <v>6239</v>
      </c>
      <c r="G581" s="11" t="s">
        <v>143</v>
      </c>
      <c r="H581" s="11" t="s">
        <v>7548</v>
      </c>
    </row>
    <row r="582" customFormat="false" ht="17.15" hidden="false" customHeight="false" outlineLevel="0" collapsed="false">
      <c r="A582" s="11" t="s">
        <v>7549</v>
      </c>
      <c r="B582" s="11" t="s">
        <v>6094</v>
      </c>
      <c r="C582" s="5"/>
      <c r="D582" s="6" t="n">
        <v>798041</v>
      </c>
      <c r="E582" s="5" t="s">
        <v>6207</v>
      </c>
      <c r="F582" s="5" t="s">
        <v>6207</v>
      </c>
      <c r="G582" s="11" t="s">
        <v>134</v>
      </c>
      <c r="H582" s="11" t="s">
        <v>7550</v>
      </c>
    </row>
    <row r="583" customFormat="false" ht="17.15" hidden="false" customHeight="false" outlineLevel="0" collapsed="false">
      <c r="A583" s="11" t="s">
        <v>7551</v>
      </c>
      <c r="B583" s="11" t="s">
        <v>7552</v>
      </c>
      <c r="C583" s="11" t="s">
        <v>192</v>
      </c>
      <c r="D583" s="6" t="n">
        <v>793705</v>
      </c>
      <c r="E583" s="5" t="s">
        <v>6207</v>
      </c>
      <c r="F583" s="5" t="s">
        <v>6214</v>
      </c>
      <c r="G583" s="11" t="s">
        <v>6215</v>
      </c>
      <c r="H583" s="11" t="s">
        <v>7553</v>
      </c>
    </row>
    <row r="584" customFormat="false" ht="17.15" hidden="false" customHeight="false" outlineLevel="0" collapsed="false">
      <c r="A584" s="11" t="s">
        <v>7554</v>
      </c>
      <c r="B584" s="11" t="s">
        <v>7555</v>
      </c>
      <c r="C584" s="11" t="s">
        <v>155</v>
      </c>
      <c r="D584" s="6" t="n">
        <v>791916</v>
      </c>
      <c r="E584" s="5" t="s">
        <v>6264</v>
      </c>
      <c r="F584" s="5" t="s">
        <v>6264</v>
      </c>
      <c r="G584" s="11" t="s">
        <v>131</v>
      </c>
      <c r="H584" s="11" t="s">
        <v>7556</v>
      </c>
    </row>
    <row r="585" customFormat="false" ht="17.15" hidden="false" customHeight="false" outlineLevel="0" collapsed="false">
      <c r="A585" s="11" t="s">
        <v>7557</v>
      </c>
      <c r="B585" s="11" t="s">
        <v>308</v>
      </c>
      <c r="C585" s="11" t="s">
        <v>162</v>
      </c>
      <c r="D585" s="6" t="n">
        <v>791110</v>
      </c>
      <c r="E585" s="5" t="s">
        <v>6207</v>
      </c>
      <c r="F585" s="5" t="s">
        <v>6207</v>
      </c>
      <c r="G585" s="11" t="s">
        <v>134</v>
      </c>
      <c r="H585" s="11" t="s">
        <v>7558</v>
      </c>
    </row>
    <row r="586" customFormat="false" ht="17.15" hidden="false" customHeight="false" outlineLevel="0" collapsed="false">
      <c r="A586" s="11" t="s">
        <v>7559</v>
      </c>
      <c r="B586" s="11" t="s">
        <v>6494</v>
      </c>
      <c r="C586" s="11" t="s">
        <v>197</v>
      </c>
      <c r="D586" s="6" t="n">
        <v>790892</v>
      </c>
      <c r="E586" s="5" t="s">
        <v>141</v>
      </c>
      <c r="F586" s="5" t="s">
        <v>6495</v>
      </c>
      <c r="G586" s="11" t="s">
        <v>6496</v>
      </c>
      <c r="H586" s="11" t="s">
        <v>7560</v>
      </c>
    </row>
    <row r="587" customFormat="false" ht="17.15" hidden="false" customHeight="false" outlineLevel="0" collapsed="false">
      <c r="A587" s="11" t="s">
        <v>7561</v>
      </c>
      <c r="B587" s="11" t="s">
        <v>7562</v>
      </c>
      <c r="C587" s="11" t="s">
        <v>149</v>
      </c>
      <c r="D587" s="6" t="n">
        <v>790867</v>
      </c>
      <c r="E587" s="5" t="s">
        <v>6207</v>
      </c>
      <c r="F587" s="5" t="s">
        <v>6207</v>
      </c>
      <c r="G587" s="11" t="s">
        <v>134</v>
      </c>
      <c r="H587" s="11" t="s">
        <v>7563</v>
      </c>
    </row>
    <row r="588" customFormat="false" ht="17.15" hidden="false" customHeight="false" outlineLevel="0" collapsed="false">
      <c r="A588" s="11" t="s">
        <v>7564</v>
      </c>
      <c r="B588" s="11" t="s">
        <v>6724</v>
      </c>
      <c r="C588" s="11" t="s">
        <v>153</v>
      </c>
      <c r="D588" s="6" t="n">
        <v>784646</v>
      </c>
      <c r="E588" s="5" t="s">
        <v>6207</v>
      </c>
      <c r="F588" s="5" t="s">
        <v>6377</v>
      </c>
      <c r="G588" s="11" t="s">
        <v>6378</v>
      </c>
      <c r="H588" s="11" t="s">
        <v>7565</v>
      </c>
    </row>
    <row r="589" customFormat="false" ht="15" hidden="false" customHeight="false" outlineLevel="0" collapsed="false">
      <c r="A589" s="11" t="s">
        <v>7566</v>
      </c>
      <c r="B589" s="11" t="s">
        <v>7567</v>
      </c>
      <c r="C589" s="11" t="s">
        <v>155</v>
      </c>
      <c r="D589" s="6" t="n">
        <v>784178</v>
      </c>
      <c r="E589" s="5" t="s">
        <v>6413</v>
      </c>
      <c r="F589" s="5" t="s">
        <v>6413</v>
      </c>
      <c r="G589" s="11" t="s">
        <v>128</v>
      </c>
      <c r="H589" s="11" t="s">
        <v>7568</v>
      </c>
    </row>
    <row r="590" customFormat="false" ht="17.15" hidden="false" customHeight="false" outlineLevel="0" collapsed="false">
      <c r="A590" s="11" t="s">
        <v>7569</v>
      </c>
      <c r="B590" s="11" t="s">
        <v>6301</v>
      </c>
      <c r="C590" s="11" t="s">
        <v>175</v>
      </c>
      <c r="D590" s="6" t="n">
        <v>783445</v>
      </c>
      <c r="E590" s="5" t="s">
        <v>6207</v>
      </c>
      <c r="F590" s="5" t="s">
        <v>6207</v>
      </c>
      <c r="G590" s="11" t="s">
        <v>134</v>
      </c>
      <c r="H590" s="11" t="s">
        <v>7570</v>
      </c>
    </row>
    <row r="591" customFormat="false" ht="17.15" hidden="false" customHeight="false" outlineLevel="0" collapsed="false">
      <c r="A591" s="11" t="s">
        <v>7571</v>
      </c>
      <c r="B591" s="11" t="s">
        <v>6647</v>
      </c>
      <c r="C591" s="5"/>
      <c r="D591" s="6" t="n">
        <v>782429</v>
      </c>
      <c r="E591" s="5" t="s">
        <v>6264</v>
      </c>
      <c r="F591" s="5" t="s">
        <v>6264</v>
      </c>
      <c r="G591" s="11" t="s">
        <v>131</v>
      </c>
      <c r="H591" s="11" t="s">
        <v>7572</v>
      </c>
    </row>
    <row r="592" customFormat="false" ht="17.15" hidden="false" customHeight="false" outlineLevel="0" collapsed="false">
      <c r="A592" s="11" t="s">
        <v>7573</v>
      </c>
      <c r="B592" s="11" t="s">
        <v>1214</v>
      </c>
      <c r="C592" s="11" t="s">
        <v>192</v>
      </c>
      <c r="D592" s="6" t="n">
        <v>780750</v>
      </c>
      <c r="E592" s="5" t="s">
        <v>6239</v>
      </c>
      <c r="F592" s="5" t="s">
        <v>6239</v>
      </c>
      <c r="G592" s="11" t="s">
        <v>143</v>
      </c>
      <c r="H592" s="11" t="s">
        <v>7574</v>
      </c>
    </row>
    <row r="593" customFormat="false" ht="17.15" hidden="false" customHeight="false" outlineLevel="0" collapsed="false">
      <c r="A593" s="11" t="s">
        <v>7575</v>
      </c>
      <c r="B593" s="11" t="s">
        <v>308</v>
      </c>
      <c r="C593" s="11" t="s">
        <v>155</v>
      </c>
      <c r="D593" s="6" t="n">
        <v>779184</v>
      </c>
      <c r="E593" s="5" t="s">
        <v>6210</v>
      </c>
      <c r="F593" s="5" t="s">
        <v>6210</v>
      </c>
      <c r="G593" s="11" t="s">
        <v>137</v>
      </c>
      <c r="H593" s="11" t="s">
        <v>7576</v>
      </c>
    </row>
    <row r="594" customFormat="false" ht="17.15" hidden="false" customHeight="false" outlineLevel="0" collapsed="false">
      <c r="A594" s="11" t="s">
        <v>7577</v>
      </c>
      <c r="B594" s="11" t="s">
        <v>308</v>
      </c>
      <c r="C594" s="11" t="s">
        <v>162</v>
      </c>
      <c r="D594" s="6" t="n">
        <v>778491</v>
      </c>
      <c r="E594" s="5" t="s">
        <v>6207</v>
      </c>
      <c r="F594" s="5" t="s">
        <v>6207</v>
      </c>
      <c r="G594" s="11" t="s">
        <v>134</v>
      </c>
      <c r="H594" s="11" t="s">
        <v>7578</v>
      </c>
    </row>
    <row r="595" customFormat="false" ht="17.15" hidden="false" customHeight="false" outlineLevel="0" collapsed="false">
      <c r="A595" s="11" t="s">
        <v>7579</v>
      </c>
      <c r="B595" s="11" t="s">
        <v>7580</v>
      </c>
      <c r="C595" s="11" t="s">
        <v>192</v>
      </c>
      <c r="D595" s="6" t="n">
        <v>776573</v>
      </c>
      <c r="E595" s="5" t="s">
        <v>6239</v>
      </c>
      <c r="F595" s="5" t="s">
        <v>6239</v>
      </c>
      <c r="G595" s="11" t="s">
        <v>143</v>
      </c>
      <c r="H595" s="11" t="s">
        <v>7581</v>
      </c>
    </row>
    <row r="596" customFormat="false" ht="17.15" hidden="false" customHeight="false" outlineLevel="0" collapsed="false">
      <c r="A596" s="11" t="s">
        <v>7582</v>
      </c>
      <c r="B596" s="11" t="s">
        <v>7334</v>
      </c>
      <c r="C596" s="11" t="s">
        <v>192</v>
      </c>
      <c r="D596" s="6" t="n">
        <v>775533</v>
      </c>
      <c r="E596" s="5" t="s">
        <v>6239</v>
      </c>
      <c r="F596" s="5" t="s">
        <v>6239</v>
      </c>
      <c r="G596" s="11" t="s">
        <v>143</v>
      </c>
      <c r="H596" s="11" t="s">
        <v>7583</v>
      </c>
    </row>
    <row r="597" customFormat="false" ht="17.15" hidden="false" customHeight="false" outlineLevel="0" collapsed="false">
      <c r="A597" s="11" t="s">
        <v>7584</v>
      </c>
      <c r="B597" s="11" t="s">
        <v>7092</v>
      </c>
      <c r="C597" s="11" t="s">
        <v>171</v>
      </c>
      <c r="D597" s="6" t="n">
        <v>773674</v>
      </c>
      <c r="E597" s="5" t="s">
        <v>6210</v>
      </c>
      <c r="F597" s="5" t="s">
        <v>6210</v>
      </c>
      <c r="G597" s="11" t="s">
        <v>137</v>
      </c>
      <c r="H597" s="11" t="s">
        <v>7585</v>
      </c>
    </row>
    <row r="598" customFormat="false" ht="17.15" hidden="false" customHeight="false" outlineLevel="0" collapsed="false">
      <c r="A598" s="11" t="s">
        <v>7586</v>
      </c>
      <c r="B598" s="11" t="s">
        <v>6647</v>
      </c>
      <c r="C598" s="11" t="s">
        <v>155</v>
      </c>
      <c r="D598" s="6" t="n">
        <v>773586</v>
      </c>
      <c r="E598" s="5" t="s">
        <v>6264</v>
      </c>
      <c r="F598" s="5" t="s">
        <v>6648</v>
      </c>
      <c r="G598" s="11" t="s">
        <v>6649</v>
      </c>
      <c r="H598" s="11" t="s">
        <v>7587</v>
      </c>
    </row>
    <row r="599" customFormat="false" ht="17.15" hidden="false" customHeight="false" outlineLevel="0" collapsed="false">
      <c r="A599" s="11" t="s">
        <v>7588</v>
      </c>
      <c r="B599" s="11" t="s">
        <v>7589</v>
      </c>
      <c r="C599" s="11" t="s">
        <v>175</v>
      </c>
      <c r="D599" s="6" t="n">
        <v>772284</v>
      </c>
      <c r="E599" s="5" t="s">
        <v>6207</v>
      </c>
      <c r="F599" s="5" t="s">
        <v>6207</v>
      </c>
      <c r="G599" s="11" t="s">
        <v>134</v>
      </c>
      <c r="H599" s="11" t="s">
        <v>7590</v>
      </c>
    </row>
    <row r="600" customFormat="false" ht="17.15" hidden="false" customHeight="false" outlineLevel="0" collapsed="false">
      <c r="A600" s="11" t="s">
        <v>7591</v>
      </c>
      <c r="B600" s="11" t="s">
        <v>7592</v>
      </c>
      <c r="C600" s="11" t="s">
        <v>197</v>
      </c>
      <c r="D600" s="6" t="n">
        <v>771330</v>
      </c>
      <c r="E600" s="5" t="s">
        <v>6239</v>
      </c>
      <c r="F600" s="5" t="s">
        <v>6239</v>
      </c>
      <c r="G600" s="11" t="s">
        <v>143</v>
      </c>
      <c r="H600" s="11" t="s">
        <v>7593</v>
      </c>
    </row>
    <row r="601" customFormat="false" ht="17.15" hidden="false" customHeight="false" outlineLevel="0" collapsed="false">
      <c r="A601" s="11" t="s">
        <v>7594</v>
      </c>
      <c r="B601" s="11" t="s">
        <v>4840</v>
      </c>
      <c r="C601" s="11" t="s">
        <v>152</v>
      </c>
      <c r="D601" s="6" t="n">
        <v>769547</v>
      </c>
      <c r="E601" s="5" t="s">
        <v>6207</v>
      </c>
      <c r="F601" s="5" t="s">
        <v>6207</v>
      </c>
      <c r="G601" s="11" t="s">
        <v>134</v>
      </c>
      <c r="H601" s="11" t="s">
        <v>7595</v>
      </c>
    </row>
    <row r="602" customFormat="false" ht="17.15" hidden="false" customHeight="false" outlineLevel="0" collapsed="false">
      <c r="A602" s="11" t="s">
        <v>7596</v>
      </c>
      <c r="B602" s="11" t="s">
        <v>7597</v>
      </c>
      <c r="C602" s="11" t="s">
        <v>150</v>
      </c>
      <c r="D602" s="6" t="n">
        <v>769465</v>
      </c>
      <c r="E602" s="5" t="s">
        <v>6207</v>
      </c>
      <c r="F602" s="5" t="s">
        <v>6207</v>
      </c>
      <c r="G602" s="11" t="s">
        <v>134</v>
      </c>
      <c r="H602" s="11" t="s">
        <v>7598</v>
      </c>
    </row>
    <row r="603" customFormat="false" ht="17.15" hidden="false" customHeight="false" outlineLevel="0" collapsed="false">
      <c r="A603" s="11" t="s">
        <v>7599</v>
      </c>
      <c r="B603" s="11" t="s">
        <v>7092</v>
      </c>
      <c r="C603" s="11" t="s">
        <v>194</v>
      </c>
      <c r="D603" s="6" t="n">
        <v>768549</v>
      </c>
      <c r="E603" s="5" t="s">
        <v>6239</v>
      </c>
      <c r="F603" s="5" t="s">
        <v>6239</v>
      </c>
      <c r="G603" s="11" t="s">
        <v>143</v>
      </c>
      <c r="H603" s="11" t="s">
        <v>7600</v>
      </c>
    </row>
    <row r="604" customFormat="false" ht="17.15" hidden="false" customHeight="false" outlineLevel="0" collapsed="false">
      <c r="A604" s="11" t="s">
        <v>7601</v>
      </c>
      <c r="B604" s="11" t="s">
        <v>2920</v>
      </c>
      <c r="C604" s="11" t="s">
        <v>155</v>
      </c>
      <c r="D604" s="6" t="n">
        <v>762249</v>
      </c>
      <c r="E604" s="5" t="s">
        <v>6210</v>
      </c>
      <c r="F604" s="5" t="s">
        <v>6210</v>
      </c>
      <c r="G604" s="11" t="s">
        <v>137</v>
      </c>
      <c r="H604" s="11" t="s">
        <v>7602</v>
      </c>
    </row>
    <row r="605" customFormat="false" ht="15" hidden="false" customHeight="false" outlineLevel="0" collapsed="false">
      <c r="A605" s="11" t="s">
        <v>7603</v>
      </c>
      <c r="B605" s="11" t="s">
        <v>2693</v>
      </c>
      <c r="C605" s="11" t="s">
        <v>172</v>
      </c>
      <c r="D605" s="6" t="n">
        <v>762108</v>
      </c>
      <c r="E605" s="5" t="s">
        <v>141</v>
      </c>
      <c r="F605" s="5" t="s">
        <v>141</v>
      </c>
      <c r="G605" s="11" t="s">
        <v>140</v>
      </c>
      <c r="H605" s="11" t="s">
        <v>7604</v>
      </c>
    </row>
    <row r="606" customFormat="false" ht="17.15" hidden="false" customHeight="false" outlineLevel="0" collapsed="false">
      <c r="A606" s="11" t="s">
        <v>7605</v>
      </c>
      <c r="B606" s="11" t="s">
        <v>6647</v>
      </c>
      <c r="C606" s="11" t="s">
        <v>175</v>
      </c>
      <c r="D606" s="6" t="n">
        <v>762008</v>
      </c>
      <c r="E606" s="5" t="s">
        <v>6264</v>
      </c>
      <c r="F606" s="5" t="s">
        <v>6648</v>
      </c>
      <c r="G606" s="11" t="s">
        <v>6649</v>
      </c>
      <c r="H606" s="11" t="s">
        <v>7606</v>
      </c>
    </row>
    <row r="607" customFormat="false" ht="17.15" hidden="false" customHeight="false" outlineLevel="0" collapsed="false">
      <c r="A607" s="11" t="s">
        <v>7607</v>
      </c>
      <c r="B607" s="11" t="s">
        <v>681</v>
      </c>
      <c r="C607" s="11" t="s">
        <v>197</v>
      </c>
      <c r="D607" s="6" t="n">
        <v>759333</v>
      </c>
      <c r="E607" s="5" t="s">
        <v>141</v>
      </c>
      <c r="F607" s="5" t="s">
        <v>6495</v>
      </c>
      <c r="G607" s="11" t="s">
        <v>6496</v>
      </c>
      <c r="H607" s="11" t="s">
        <v>7608</v>
      </c>
    </row>
    <row r="608" customFormat="false" ht="17.15" hidden="false" customHeight="false" outlineLevel="0" collapsed="false">
      <c r="A608" s="11" t="s">
        <v>7609</v>
      </c>
      <c r="B608" s="11" t="s">
        <v>5983</v>
      </c>
      <c r="C608" s="11" t="s">
        <v>162</v>
      </c>
      <c r="D608" s="6" t="n">
        <v>758136</v>
      </c>
      <c r="E608" s="5" t="s">
        <v>6207</v>
      </c>
      <c r="F608" s="5" t="s">
        <v>6207</v>
      </c>
      <c r="G608" s="11" t="s">
        <v>134</v>
      </c>
      <c r="H608" s="11" t="s">
        <v>7610</v>
      </c>
    </row>
    <row r="609" customFormat="false" ht="15" hidden="false" customHeight="false" outlineLevel="0" collapsed="false">
      <c r="A609" s="11" t="s">
        <v>7611</v>
      </c>
      <c r="B609" s="11" t="s">
        <v>3108</v>
      </c>
      <c r="C609" s="5"/>
      <c r="D609" s="6" t="n">
        <v>756733</v>
      </c>
      <c r="E609" s="5" t="s">
        <v>141</v>
      </c>
      <c r="F609" s="5" t="s">
        <v>141</v>
      </c>
      <c r="G609" s="11" t="s">
        <v>140</v>
      </c>
      <c r="H609" s="11" t="s">
        <v>7612</v>
      </c>
    </row>
    <row r="610" customFormat="false" ht="17.15" hidden="false" customHeight="false" outlineLevel="0" collapsed="false">
      <c r="A610" s="11" t="s">
        <v>7613</v>
      </c>
      <c r="B610" s="11" t="s">
        <v>2616</v>
      </c>
      <c r="C610" s="11" t="s">
        <v>197</v>
      </c>
      <c r="D610" s="6" t="n">
        <v>754913</v>
      </c>
      <c r="E610" s="5" t="s">
        <v>6239</v>
      </c>
      <c r="F610" s="5" t="s">
        <v>6239</v>
      </c>
      <c r="G610" s="11" t="s">
        <v>143</v>
      </c>
      <c r="H610" s="11" t="s">
        <v>7614</v>
      </c>
    </row>
    <row r="611" customFormat="false" ht="15" hidden="false" customHeight="false" outlineLevel="0" collapsed="false">
      <c r="A611" s="11" t="s">
        <v>7615</v>
      </c>
      <c r="B611" s="11" t="s">
        <v>3108</v>
      </c>
      <c r="C611" s="5"/>
      <c r="D611" s="6" t="n">
        <v>754041</v>
      </c>
      <c r="E611" s="5" t="s">
        <v>141</v>
      </c>
      <c r="F611" s="5" t="s">
        <v>141</v>
      </c>
      <c r="G611" s="11" t="s">
        <v>140</v>
      </c>
      <c r="H611" s="11" t="s">
        <v>7616</v>
      </c>
    </row>
    <row r="612" customFormat="false" ht="17.15" hidden="false" customHeight="false" outlineLevel="0" collapsed="false">
      <c r="A612" s="11" t="s">
        <v>7617</v>
      </c>
      <c r="B612" s="11" t="s">
        <v>327</v>
      </c>
      <c r="C612" s="11" t="s">
        <v>155</v>
      </c>
      <c r="D612" s="6" t="n">
        <v>753149</v>
      </c>
      <c r="E612" s="5" t="s">
        <v>6210</v>
      </c>
      <c r="F612" s="5" t="s">
        <v>6210</v>
      </c>
      <c r="G612" s="11" t="s">
        <v>137</v>
      </c>
      <c r="H612" s="11" t="s">
        <v>7618</v>
      </c>
    </row>
    <row r="613" customFormat="false" ht="17.15" hidden="false" customHeight="false" outlineLevel="0" collapsed="false">
      <c r="A613" s="11" t="s">
        <v>7619</v>
      </c>
      <c r="B613" s="11" t="s">
        <v>7620</v>
      </c>
      <c r="C613" s="5"/>
      <c r="D613" s="6" t="n">
        <v>745576</v>
      </c>
      <c r="E613" s="5" t="s">
        <v>6207</v>
      </c>
      <c r="F613" s="5" t="s">
        <v>6207</v>
      </c>
      <c r="G613" s="11" t="s">
        <v>134</v>
      </c>
      <c r="H613" s="11" t="s">
        <v>7621</v>
      </c>
    </row>
    <row r="614" customFormat="false" ht="17.15" hidden="false" customHeight="false" outlineLevel="0" collapsed="false">
      <c r="A614" s="11" t="s">
        <v>7622</v>
      </c>
      <c r="B614" s="11" t="s">
        <v>6581</v>
      </c>
      <c r="C614" s="11" t="s">
        <v>155</v>
      </c>
      <c r="D614" s="6" t="n">
        <v>744927</v>
      </c>
      <c r="E614" s="5" t="s">
        <v>6264</v>
      </c>
      <c r="F614" s="5" t="s">
        <v>6264</v>
      </c>
      <c r="G614" s="11" t="s">
        <v>131</v>
      </c>
      <c r="H614" s="11" t="s">
        <v>7623</v>
      </c>
    </row>
    <row r="615" customFormat="false" ht="17.15" hidden="false" customHeight="false" outlineLevel="0" collapsed="false">
      <c r="A615" s="11" t="s">
        <v>7624</v>
      </c>
      <c r="B615" s="11" t="s">
        <v>6581</v>
      </c>
      <c r="C615" s="11" t="s">
        <v>155</v>
      </c>
      <c r="D615" s="6" t="n">
        <v>743482</v>
      </c>
      <c r="E615" s="5" t="s">
        <v>6264</v>
      </c>
      <c r="F615" s="5" t="s">
        <v>6264</v>
      </c>
      <c r="G615" s="11" t="s">
        <v>131</v>
      </c>
      <c r="H615" s="11" t="s">
        <v>7625</v>
      </c>
    </row>
    <row r="616" customFormat="false" ht="17.15" hidden="false" customHeight="false" outlineLevel="0" collapsed="false">
      <c r="A616" s="11" t="s">
        <v>7626</v>
      </c>
      <c r="B616" s="11" t="s">
        <v>6647</v>
      </c>
      <c r="C616" s="11" t="s">
        <v>192</v>
      </c>
      <c r="D616" s="6" t="n">
        <v>742814</v>
      </c>
      <c r="E616" s="5" t="s">
        <v>6264</v>
      </c>
      <c r="F616" s="5" t="s">
        <v>7411</v>
      </c>
      <c r="G616" s="11" t="s">
        <v>7412</v>
      </c>
      <c r="H616" s="11" t="s">
        <v>7627</v>
      </c>
    </row>
    <row r="617" customFormat="false" ht="17.15" hidden="false" customHeight="false" outlineLevel="0" collapsed="false">
      <c r="A617" s="11" t="s">
        <v>7628</v>
      </c>
      <c r="B617" s="11" t="s">
        <v>7629</v>
      </c>
      <c r="C617" s="11" t="s">
        <v>149</v>
      </c>
      <c r="D617" s="6" t="n">
        <v>740866</v>
      </c>
      <c r="E617" s="5" t="s">
        <v>6207</v>
      </c>
      <c r="F617" s="5" t="s">
        <v>6207</v>
      </c>
      <c r="G617" s="11" t="s">
        <v>134</v>
      </c>
      <c r="H617" s="11" t="s">
        <v>7630</v>
      </c>
    </row>
    <row r="618" customFormat="false" ht="17.15" hidden="false" customHeight="false" outlineLevel="0" collapsed="false">
      <c r="A618" s="11" t="s">
        <v>7631</v>
      </c>
      <c r="B618" s="11" t="s">
        <v>839</v>
      </c>
      <c r="C618" s="11" t="s">
        <v>155</v>
      </c>
      <c r="D618" s="6" t="n">
        <v>736224</v>
      </c>
      <c r="E618" s="5" t="s">
        <v>6207</v>
      </c>
      <c r="F618" s="5" t="s">
        <v>6207</v>
      </c>
      <c r="G618" s="11" t="s">
        <v>134</v>
      </c>
      <c r="H618" s="11" t="s">
        <v>7632</v>
      </c>
    </row>
    <row r="619" customFormat="false" ht="17.15" hidden="false" customHeight="false" outlineLevel="0" collapsed="false">
      <c r="A619" s="11" t="s">
        <v>1951</v>
      </c>
      <c r="B619" s="11" t="s">
        <v>2920</v>
      </c>
      <c r="C619" s="11" t="s">
        <v>155</v>
      </c>
      <c r="D619" s="6" t="n">
        <v>735087</v>
      </c>
      <c r="E619" s="5" t="s">
        <v>6210</v>
      </c>
      <c r="F619" s="5" t="s">
        <v>6210</v>
      </c>
      <c r="G619" s="11" t="s">
        <v>137</v>
      </c>
      <c r="H619" s="11" t="s">
        <v>7633</v>
      </c>
    </row>
    <row r="620" customFormat="false" ht="15" hidden="false" customHeight="false" outlineLevel="0" collapsed="false">
      <c r="A620" s="11" t="s">
        <v>7634</v>
      </c>
      <c r="B620" s="11" t="s">
        <v>7635</v>
      </c>
      <c r="C620" s="11" t="s">
        <v>172</v>
      </c>
      <c r="D620" s="6" t="n">
        <v>732670</v>
      </c>
      <c r="E620" s="5" t="s">
        <v>141</v>
      </c>
      <c r="F620" s="5" t="s">
        <v>141</v>
      </c>
      <c r="G620" s="11" t="s">
        <v>140</v>
      </c>
      <c r="H620" s="11" t="s">
        <v>7636</v>
      </c>
    </row>
    <row r="621" customFormat="false" ht="17.15" hidden="false" customHeight="false" outlineLevel="0" collapsed="false">
      <c r="A621" s="11" t="s">
        <v>7637</v>
      </c>
      <c r="B621" s="11" t="s">
        <v>5784</v>
      </c>
      <c r="C621" s="11" t="s">
        <v>149</v>
      </c>
      <c r="D621" s="6" t="n">
        <v>728897</v>
      </c>
      <c r="E621" s="5" t="s">
        <v>6207</v>
      </c>
      <c r="F621" s="5" t="s">
        <v>6207</v>
      </c>
      <c r="G621" s="11" t="s">
        <v>134</v>
      </c>
      <c r="H621" s="11" t="s">
        <v>7638</v>
      </c>
    </row>
    <row r="622" customFormat="false" ht="17.15" hidden="false" customHeight="false" outlineLevel="0" collapsed="false">
      <c r="A622" s="11" t="s">
        <v>7639</v>
      </c>
      <c r="B622" s="11" t="s">
        <v>7640</v>
      </c>
      <c r="C622" s="11" t="s">
        <v>169</v>
      </c>
      <c r="D622" s="6" t="n">
        <v>726573</v>
      </c>
      <c r="E622" s="5" t="s">
        <v>6207</v>
      </c>
      <c r="F622" s="5" t="s">
        <v>6207</v>
      </c>
      <c r="G622" s="11" t="s">
        <v>134</v>
      </c>
      <c r="H622" s="11" t="s">
        <v>7641</v>
      </c>
    </row>
    <row r="623" customFormat="false" ht="17.15" hidden="false" customHeight="false" outlineLevel="0" collapsed="false">
      <c r="A623" s="11" t="s">
        <v>7642</v>
      </c>
      <c r="B623" s="11" t="s">
        <v>7643</v>
      </c>
      <c r="C623" s="11" t="s">
        <v>162</v>
      </c>
      <c r="D623" s="6" t="n">
        <v>724856</v>
      </c>
      <c r="E623" s="5" t="s">
        <v>6207</v>
      </c>
      <c r="F623" s="5" t="s">
        <v>6207</v>
      </c>
      <c r="G623" s="11" t="s">
        <v>134</v>
      </c>
      <c r="H623" s="11" t="s">
        <v>7644</v>
      </c>
    </row>
    <row r="624" customFormat="false" ht="17.15" hidden="false" customHeight="false" outlineLevel="0" collapsed="false">
      <c r="A624" s="11" t="s">
        <v>7645</v>
      </c>
      <c r="B624" s="11" t="s">
        <v>6647</v>
      </c>
      <c r="C624" s="11" t="s">
        <v>172</v>
      </c>
      <c r="D624" s="6" t="n">
        <v>724779</v>
      </c>
      <c r="E624" s="5" t="s">
        <v>6264</v>
      </c>
      <c r="F624" s="5" t="s">
        <v>6264</v>
      </c>
      <c r="G624" s="11" t="s">
        <v>131</v>
      </c>
      <c r="H624" s="11" t="s">
        <v>7646</v>
      </c>
    </row>
    <row r="625" customFormat="false" ht="17.15" hidden="false" customHeight="false" outlineLevel="0" collapsed="false">
      <c r="A625" s="11" t="s">
        <v>7647</v>
      </c>
      <c r="B625" s="11" t="s">
        <v>7648</v>
      </c>
      <c r="C625" s="11" t="s">
        <v>173</v>
      </c>
      <c r="D625" s="6" t="n">
        <v>713007</v>
      </c>
      <c r="E625" s="5" t="s">
        <v>6210</v>
      </c>
      <c r="F625" s="5" t="s">
        <v>6274</v>
      </c>
      <c r="G625" s="11" t="s">
        <v>6275</v>
      </c>
      <c r="H625" s="11" t="s">
        <v>7649</v>
      </c>
    </row>
    <row r="626" customFormat="false" ht="17.15" hidden="false" customHeight="false" outlineLevel="0" collapsed="false">
      <c r="A626" s="11" t="s">
        <v>7650</v>
      </c>
      <c r="B626" s="11" t="s">
        <v>2993</v>
      </c>
      <c r="C626" s="11" t="s">
        <v>193</v>
      </c>
      <c r="D626" s="6" t="n">
        <v>706493</v>
      </c>
      <c r="E626" s="5" t="s">
        <v>6239</v>
      </c>
      <c r="F626" s="5" t="s">
        <v>6239</v>
      </c>
      <c r="G626" s="11" t="s">
        <v>143</v>
      </c>
      <c r="H626" s="11" t="s">
        <v>7651</v>
      </c>
    </row>
    <row r="627" customFormat="false" ht="17.15" hidden="false" customHeight="false" outlineLevel="0" collapsed="false">
      <c r="A627" s="11" t="s">
        <v>7652</v>
      </c>
      <c r="B627" s="11" t="s">
        <v>7653</v>
      </c>
      <c r="C627" s="11" t="s">
        <v>149</v>
      </c>
      <c r="D627" s="6" t="n">
        <v>703964</v>
      </c>
      <c r="E627" s="5" t="s">
        <v>6207</v>
      </c>
      <c r="F627" s="5" t="s">
        <v>6207</v>
      </c>
      <c r="G627" s="11" t="s">
        <v>134</v>
      </c>
      <c r="H627" s="11" t="s">
        <v>7654</v>
      </c>
    </row>
    <row r="628" customFormat="false" ht="15" hidden="false" customHeight="false" outlineLevel="0" collapsed="false">
      <c r="A628" s="11" t="s">
        <v>7655</v>
      </c>
      <c r="B628" s="11" t="s">
        <v>632</v>
      </c>
      <c r="C628" s="11" t="s">
        <v>158</v>
      </c>
      <c r="D628" s="6" t="n">
        <v>698530</v>
      </c>
      <c r="E628" s="5" t="s">
        <v>141</v>
      </c>
      <c r="F628" s="5" t="s">
        <v>141</v>
      </c>
      <c r="G628" s="11" t="s">
        <v>140</v>
      </c>
      <c r="H628" s="11" t="s">
        <v>7656</v>
      </c>
    </row>
    <row r="629" customFormat="false" ht="17.15" hidden="false" customHeight="false" outlineLevel="0" collapsed="false">
      <c r="A629" s="11" t="s">
        <v>7657</v>
      </c>
      <c r="B629" s="11" t="s">
        <v>6581</v>
      </c>
      <c r="C629" s="11" t="s">
        <v>155</v>
      </c>
      <c r="D629" s="6" t="n">
        <v>697496</v>
      </c>
      <c r="E629" s="5" t="s">
        <v>6264</v>
      </c>
      <c r="F629" s="5" t="s">
        <v>6264</v>
      </c>
      <c r="G629" s="11" t="s">
        <v>131</v>
      </c>
      <c r="H629" s="11" t="s">
        <v>7658</v>
      </c>
    </row>
    <row r="630" customFormat="false" ht="15" hidden="false" customHeight="false" outlineLevel="0" collapsed="false">
      <c r="A630" s="11" t="s">
        <v>7659</v>
      </c>
      <c r="B630" s="11" t="s">
        <v>6724</v>
      </c>
      <c r="C630" s="11" t="s">
        <v>153</v>
      </c>
      <c r="D630" s="6" t="n">
        <v>697152</v>
      </c>
      <c r="E630" s="5" t="s">
        <v>141</v>
      </c>
      <c r="F630" s="5" t="s">
        <v>141</v>
      </c>
      <c r="G630" s="11" t="s">
        <v>140</v>
      </c>
      <c r="H630" s="11" t="s">
        <v>7660</v>
      </c>
    </row>
    <row r="631" customFormat="false" ht="17.15" hidden="false" customHeight="false" outlineLevel="0" collapsed="false">
      <c r="A631" s="11" t="s">
        <v>7661</v>
      </c>
      <c r="B631" s="11" t="s">
        <v>6569</v>
      </c>
      <c r="C631" s="11" t="s">
        <v>149</v>
      </c>
      <c r="D631" s="6" t="n">
        <v>693645</v>
      </c>
      <c r="E631" s="5" t="s">
        <v>6207</v>
      </c>
      <c r="F631" s="5" t="s">
        <v>6207</v>
      </c>
      <c r="G631" s="11" t="s">
        <v>134</v>
      </c>
      <c r="H631" s="11" t="s">
        <v>7662</v>
      </c>
    </row>
    <row r="632" customFormat="false" ht="15" hidden="false" customHeight="false" outlineLevel="0" collapsed="false">
      <c r="A632" s="11" t="s">
        <v>7663</v>
      </c>
      <c r="B632" s="11" t="s">
        <v>839</v>
      </c>
      <c r="C632" s="11" t="s">
        <v>158</v>
      </c>
      <c r="D632" s="6" t="n">
        <v>693476</v>
      </c>
      <c r="E632" s="5" t="s">
        <v>141</v>
      </c>
      <c r="F632" s="5" t="s">
        <v>141</v>
      </c>
      <c r="G632" s="11" t="s">
        <v>140</v>
      </c>
      <c r="H632" s="11" t="s">
        <v>7664</v>
      </c>
    </row>
    <row r="633" customFormat="false" ht="15" hidden="false" customHeight="false" outlineLevel="0" collapsed="false">
      <c r="A633" s="11" t="s">
        <v>7665</v>
      </c>
      <c r="B633" s="11" t="s">
        <v>839</v>
      </c>
      <c r="C633" s="11" t="s">
        <v>158</v>
      </c>
      <c r="D633" s="6" t="n">
        <v>692655</v>
      </c>
      <c r="E633" s="5" t="s">
        <v>141</v>
      </c>
      <c r="F633" s="5" t="s">
        <v>141</v>
      </c>
      <c r="G633" s="11" t="s">
        <v>140</v>
      </c>
      <c r="H633" s="11" t="s">
        <v>7666</v>
      </c>
    </row>
    <row r="634" customFormat="false" ht="17.15" hidden="false" customHeight="false" outlineLevel="0" collapsed="false">
      <c r="A634" s="11" t="s">
        <v>7667</v>
      </c>
      <c r="B634" s="11" t="s">
        <v>7668</v>
      </c>
      <c r="C634" s="11" t="s">
        <v>162</v>
      </c>
      <c r="D634" s="6" t="n">
        <v>691501</v>
      </c>
      <c r="E634" s="5" t="s">
        <v>6207</v>
      </c>
      <c r="F634" s="5" t="s">
        <v>6377</v>
      </c>
      <c r="G634" s="11" t="s">
        <v>6378</v>
      </c>
      <c r="H634" s="11" t="s">
        <v>7669</v>
      </c>
    </row>
    <row r="635" customFormat="false" ht="17.15" hidden="false" customHeight="false" outlineLevel="0" collapsed="false">
      <c r="A635" s="11" t="s">
        <v>7670</v>
      </c>
      <c r="B635" s="11" t="s">
        <v>6258</v>
      </c>
      <c r="C635" s="11" t="s">
        <v>162</v>
      </c>
      <c r="D635" s="6" t="n">
        <v>691029</v>
      </c>
      <c r="E635" s="5" t="s">
        <v>6207</v>
      </c>
      <c r="F635" s="5" t="s">
        <v>6207</v>
      </c>
      <c r="G635" s="11" t="s">
        <v>134</v>
      </c>
      <c r="H635" s="11" t="s">
        <v>7671</v>
      </c>
    </row>
    <row r="636" customFormat="false" ht="17.15" hidden="false" customHeight="false" outlineLevel="0" collapsed="false">
      <c r="A636" s="11" t="s">
        <v>7672</v>
      </c>
      <c r="B636" s="11" t="s">
        <v>7673</v>
      </c>
      <c r="C636" s="11" t="s">
        <v>152</v>
      </c>
      <c r="D636" s="6" t="n">
        <v>689656</v>
      </c>
      <c r="E636" s="5" t="s">
        <v>6207</v>
      </c>
      <c r="F636" s="5" t="s">
        <v>6716</v>
      </c>
      <c r="G636" s="11" t="s">
        <v>6542</v>
      </c>
      <c r="H636" s="11" t="s">
        <v>7674</v>
      </c>
    </row>
    <row r="637" customFormat="false" ht="17.15" hidden="false" customHeight="false" outlineLevel="0" collapsed="false">
      <c r="A637" s="11" t="s">
        <v>7675</v>
      </c>
      <c r="B637" s="11" t="s">
        <v>7334</v>
      </c>
      <c r="C637" s="11" t="s">
        <v>192</v>
      </c>
      <c r="D637" s="6" t="n">
        <v>688278</v>
      </c>
      <c r="E637" s="5" t="s">
        <v>6239</v>
      </c>
      <c r="F637" s="5" t="s">
        <v>6239</v>
      </c>
      <c r="G637" s="11" t="s">
        <v>143</v>
      </c>
      <c r="H637" s="11" t="s">
        <v>7676</v>
      </c>
    </row>
    <row r="638" customFormat="false" ht="17.15" hidden="false" customHeight="false" outlineLevel="0" collapsed="false">
      <c r="A638" s="11" t="s">
        <v>7677</v>
      </c>
      <c r="B638" s="11" t="s">
        <v>7678</v>
      </c>
      <c r="C638" s="11" t="s">
        <v>149</v>
      </c>
      <c r="D638" s="6" t="n">
        <v>684372</v>
      </c>
      <c r="E638" s="5" t="s">
        <v>6207</v>
      </c>
      <c r="F638" s="5" t="s">
        <v>6207</v>
      </c>
      <c r="G638" s="11" t="s">
        <v>134</v>
      </c>
      <c r="H638" s="11" t="s">
        <v>7679</v>
      </c>
    </row>
    <row r="639" customFormat="false" ht="17.15" hidden="false" customHeight="false" outlineLevel="0" collapsed="false">
      <c r="A639" s="11" t="s">
        <v>7680</v>
      </c>
      <c r="B639" s="11" t="s">
        <v>681</v>
      </c>
      <c r="C639" s="11" t="s">
        <v>174</v>
      </c>
      <c r="D639" s="6" t="n">
        <v>683807</v>
      </c>
      <c r="E639" s="5" t="s">
        <v>6207</v>
      </c>
      <c r="F639" s="5" t="s">
        <v>6207</v>
      </c>
      <c r="G639" s="11" t="s">
        <v>134</v>
      </c>
      <c r="H639" s="11" t="s">
        <v>7681</v>
      </c>
    </row>
    <row r="640" customFormat="false" ht="17.15" hidden="false" customHeight="false" outlineLevel="0" collapsed="false">
      <c r="A640" s="11" t="s">
        <v>7682</v>
      </c>
      <c r="B640" s="11" t="s">
        <v>5331</v>
      </c>
      <c r="C640" s="11" t="s">
        <v>175</v>
      </c>
      <c r="D640" s="6" t="n">
        <v>683677</v>
      </c>
      <c r="E640" s="5" t="s">
        <v>6207</v>
      </c>
      <c r="F640" s="5" t="s">
        <v>6207</v>
      </c>
      <c r="G640" s="11" t="s">
        <v>134</v>
      </c>
      <c r="H640" s="11" t="s">
        <v>7683</v>
      </c>
    </row>
    <row r="641" customFormat="false" ht="17.15" hidden="false" customHeight="false" outlineLevel="0" collapsed="false">
      <c r="A641" s="11" t="s">
        <v>7684</v>
      </c>
      <c r="B641" s="11" t="s">
        <v>6698</v>
      </c>
      <c r="C641" s="11" t="s">
        <v>192</v>
      </c>
      <c r="D641" s="6" t="n">
        <v>682395</v>
      </c>
      <c r="E641" s="5" t="s">
        <v>6239</v>
      </c>
      <c r="F641" s="5" t="s">
        <v>6239</v>
      </c>
      <c r="G641" s="11" t="s">
        <v>143</v>
      </c>
      <c r="H641" s="11" t="s">
        <v>7685</v>
      </c>
    </row>
    <row r="642" customFormat="false" ht="17.15" hidden="false" customHeight="false" outlineLevel="0" collapsed="false">
      <c r="A642" s="11" t="s">
        <v>7686</v>
      </c>
      <c r="B642" s="11" t="s">
        <v>308</v>
      </c>
      <c r="C642" s="11" t="s">
        <v>149</v>
      </c>
      <c r="D642" s="6" t="n">
        <v>681904</v>
      </c>
      <c r="E642" s="5" t="s">
        <v>6207</v>
      </c>
      <c r="F642" s="5" t="s">
        <v>6207</v>
      </c>
      <c r="G642" s="11" t="s">
        <v>134</v>
      </c>
      <c r="H642" s="11" t="s">
        <v>7687</v>
      </c>
    </row>
    <row r="643" customFormat="false" ht="17.15" hidden="false" customHeight="false" outlineLevel="0" collapsed="false">
      <c r="A643" s="11" t="s">
        <v>7688</v>
      </c>
      <c r="B643" s="11" t="s">
        <v>7689</v>
      </c>
      <c r="C643" s="11" t="s">
        <v>192</v>
      </c>
      <c r="D643" s="6" t="n">
        <v>680554</v>
      </c>
      <c r="E643" s="5" t="s">
        <v>6239</v>
      </c>
      <c r="F643" s="5" t="s">
        <v>6239</v>
      </c>
      <c r="G643" s="11" t="s">
        <v>143</v>
      </c>
      <c r="H643" s="11" t="s">
        <v>7690</v>
      </c>
    </row>
    <row r="644" customFormat="false" ht="17.15" hidden="false" customHeight="false" outlineLevel="0" collapsed="false">
      <c r="A644" s="11" t="s">
        <v>7691</v>
      </c>
      <c r="B644" s="11" t="s">
        <v>6647</v>
      </c>
      <c r="C644" s="5"/>
      <c r="D644" s="6" t="n">
        <v>679637</v>
      </c>
      <c r="E644" s="5" t="s">
        <v>6264</v>
      </c>
      <c r="F644" s="5" t="s">
        <v>6648</v>
      </c>
      <c r="G644" s="11" t="s">
        <v>6649</v>
      </c>
      <c r="H644" s="11" t="s">
        <v>7692</v>
      </c>
    </row>
    <row r="645" customFormat="false" ht="17.15" hidden="false" customHeight="false" outlineLevel="0" collapsed="false">
      <c r="A645" s="11" t="s">
        <v>7693</v>
      </c>
      <c r="B645" s="11" t="s">
        <v>327</v>
      </c>
      <c r="C645" s="11" t="s">
        <v>153</v>
      </c>
      <c r="D645" s="6" t="n">
        <v>675682</v>
      </c>
      <c r="E645" s="5" t="s">
        <v>6210</v>
      </c>
      <c r="F645" s="5" t="s">
        <v>6210</v>
      </c>
      <c r="G645" s="11" t="s">
        <v>137</v>
      </c>
      <c r="H645" s="11" t="s">
        <v>7694</v>
      </c>
    </row>
    <row r="646" customFormat="false" ht="15" hidden="false" customHeight="false" outlineLevel="0" collapsed="false">
      <c r="A646" s="11" t="s">
        <v>7695</v>
      </c>
      <c r="B646" s="11" t="s">
        <v>1214</v>
      </c>
      <c r="C646" s="11" t="s">
        <v>153</v>
      </c>
      <c r="D646" s="6" t="n">
        <v>674105</v>
      </c>
      <c r="E646" s="5" t="s">
        <v>141</v>
      </c>
      <c r="F646" s="5" t="s">
        <v>141</v>
      </c>
      <c r="G646" s="11" t="s">
        <v>140</v>
      </c>
      <c r="H646" s="11" t="s">
        <v>7696</v>
      </c>
    </row>
    <row r="647" customFormat="false" ht="17.15" hidden="false" customHeight="false" outlineLevel="0" collapsed="false">
      <c r="A647" s="11" t="s">
        <v>3953</v>
      </c>
      <c r="B647" s="11" t="s">
        <v>2920</v>
      </c>
      <c r="C647" s="11" t="s">
        <v>155</v>
      </c>
      <c r="D647" s="6" t="n">
        <v>673016</v>
      </c>
      <c r="E647" s="5" t="s">
        <v>6210</v>
      </c>
      <c r="F647" s="5" t="s">
        <v>6210</v>
      </c>
      <c r="G647" s="11" t="s">
        <v>137</v>
      </c>
      <c r="H647" s="11" t="s">
        <v>7697</v>
      </c>
    </row>
    <row r="648" customFormat="false" ht="17.15" hidden="false" customHeight="false" outlineLevel="0" collapsed="false">
      <c r="A648" s="11" t="s">
        <v>7698</v>
      </c>
      <c r="B648" s="11" t="s">
        <v>7545</v>
      </c>
      <c r="C648" s="11" t="s">
        <v>192</v>
      </c>
      <c r="D648" s="6" t="n">
        <v>670285</v>
      </c>
      <c r="E648" s="5" t="s">
        <v>6239</v>
      </c>
      <c r="F648" s="5" t="s">
        <v>6239</v>
      </c>
      <c r="G648" s="11" t="s">
        <v>143</v>
      </c>
      <c r="H648" s="11" t="s">
        <v>7699</v>
      </c>
    </row>
    <row r="649" customFormat="false" ht="17.15" hidden="false" customHeight="false" outlineLevel="0" collapsed="false">
      <c r="A649" s="11" t="s">
        <v>7700</v>
      </c>
      <c r="B649" s="11" t="s">
        <v>7701</v>
      </c>
      <c r="C649" s="11" t="s">
        <v>149</v>
      </c>
      <c r="D649" s="6" t="n">
        <v>670011</v>
      </c>
      <c r="E649" s="5" t="s">
        <v>6207</v>
      </c>
      <c r="F649" s="5" t="s">
        <v>6207</v>
      </c>
      <c r="G649" s="11" t="s">
        <v>134</v>
      </c>
      <c r="H649" s="11" t="s">
        <v>7702</v>
      </c>
    </row>
    <row r="650" customFormat="false" ht="17.15" hidden="false" customHeight="false" outlineLevel="0" collapsed="false">
      <c r="A650" s="11" t="s">
        <v>7703</v>
      </c>
      <c r="B650" s="11" t="s">
        <v>7224</v>
      </c>
      <c r="C650" s="11" t="s">
        <v>153</v>
      </c>
      <c r="D650" s="6" t="n">
        <v>667841</v>
      </c>
      <c r="E650" s="5" t="s">
        <v>6207</v>
      </c>
      <c r="F650" s="5" t="s">
        <v>6207</v>
      </c>
      <c r="G650" s="11" t="s">
        <v>134</v>
      </c>
      <c r="H650" s="11" t="s">
        <v>7704</v>
      </c>
    </row>
    <row r="651" customFormat="false" ht="17.15" hidden="false" customHeight="false" outlineLevel="0" collapsed="false">
      <c r="A651" s="11" t="s">
        <v>7705</v>
      </c>
      <c r="B651" s="11" t="s">
        <v>6909</v>
      </c>
      <c r="C651" s="11" t="s">
        <v>155</v>
      </c>
      <c r="D651" s="6" t="n">
        <v>667099</v>
      </c>
      <c r="E651" s="5" t="s">
        <v>6210</v>
      </c>
      <c r="F651" s="5" t="s">
        <v>6210</v>
      </c>
      <c r="G651" s="11" t="s">
        <v>137</v>
      </c>
      <c r="H651" s="11" t="s">
        <v>7706</v>
      </c>
    </row>
    <row r="652" customFormat="false" ht="17.15" hidden="false" customHeight="false" outlineLevel="0" collapsed="false">
      <c r="A652" s="11" t="s">
        <v>7707</v>
      </c>
      <c r="B652" s="11" t="s">
        <v>7708</v>
      </c>
      <c r="C652" s="11" t="s">
        <v>172</v>
      </c>
      <c r="D652" s="6" t="n">
        <v>665313</v>
      </c>
      <c r="E652" s="5" t="s">
        <v>6207</v>
      </c>
      <c r="F652" s="5" t="s">
        <v>6207</v>
      </c>
      <c r="G652" s="11" t="s">
        <v>134</v>
      </c>
      <c r="H652" s="11" t="s">
        <v>7709</v>
      </c>
    </row>
    <row r="653" customFormat="false" ht="15" hidden="false" customHeight="false" outlineLevel="0" collapsed="false">
      <c r="A653" s="11" t="s">
        <v>7710</v>
      </c>
      <c r="B653" s="11" t="s">
        <v>6412</v>
      </c>
      <c r="C653" s="11" t="s">
        <v>156</v>
      </c>
      <c r="D653" s="6" t="n">
        <v>665093</v>
      </c>
      <c r="E653" s="5" t="s">
        <v>6413</v>
      </c>
      <c r="F653" s="5" t="s">
        <v>6413</v>
      </c>
      <c r="G653" s="11" t="s">
        <v>128</v>
      </c>
      <c r="H653" s="11" t="s">
        <v>7711</v>
      </c>
    </row>
    <row r="654" customFormat="false" ht="17.15" hidden="false" customHeight="false" outlineLevel="0" collapsed="false">
      <c r="A654" s="11" t="s">
        <v>7712</v>
      </c>
      <c r="B654" s="11" t="s">
        <v>2993</v>
      </c>
      <c r="C654" s="11" t="s">
        <v>192</v>
      </c>
      <c r="D654" s="6" t="n">
        <v>663013</v>
      </c>
      <c r="E654" s="5" t="s">
        <v>6239</v>
      </c>
      <c r="F654" s="5" t="s">
        <v>6239</v>
      </c>
      <c r="G654" s="11" t="s">
        <v>143</v>
      </c>
      <c r="H654" s="11" t="s">
        <v>7713</v>
      </c>
    </row>
    <row r="655" customFormat="false" ht="15" hidden="false" customHeight="false" outlineLevel="0" collapsed="false">
      <c r="A655" s="11" t="s">
        <v>7714</v>
      </c>
      <c r="B655" s="11" t="s">
        <v>6412</v>
      </c>
      <c r="C655" s="11" t="s">
        <v>156</v>
      </c>
      <c r="D655" s="6" t="n">
        <v>661396</v>
      </c>
      <c r="E655" s="5" t="s">
        <v>6413</v>
      </c>
      <c r="F655" s="5" t="s">
        <v>6413</v>
      </c>
      <c r="G655" s="11" t="s">
        <v>128</v>
      </c>
      <c r="H655" s="11" t="s">
        <v>7715</v>
      </c>
    </row>
    <row r="656" customFormat="false" ht="17.15" hidden="false" customHeight="false" outlineLevel="0" collapsed="false">
      <c r="A656" s="11" t="s">
        <v>7716</v>
      </c>
      <c r="B656" s="11" t="s">
        <v>6528</v>
      </c>
      <c r="C656" s="11" t="s">
        <v>193</v>
      </c>
      <c r="D656" s="6" t="n">
        <v>660874</v>
      </c>
      <c r="E656" s="5" t="s">
        <v>6239</v>
      </c>
      <c r="F656" s="5" t="s">
        <v>6239</v>
      </c>
      <c r="G656" s="11" t="s">
        <v>143</v>
      </c>
      <c r="H656" s="11" t="s">
        <v>7717</v>
      </c>
    </row>
    <row r="657" customFormat="false" ht="17.15" hidden="false" customHeight="false" outlineLevel="0" collapsed="false">
      <c r="A657" s="11" t="s">
        <v>7718</v>
      </c>
      <c r="B657" s="11" t="s">
        <v>308</v>
      </c>
      <c r="C657" s="11" t="s">
        <v>155</v>
      </c>
      <c r="D657" s="6" t="n">
        <v>657700</v>
      </c>
      <c r="E657" s="5" t="s">
        <v>6207</v>
      </c>
      <c r="F657" s="5" t="s">
        <v>6207</v>
      </c>
      <c r="G657" s="11" t="s">
        <v>134</v>
      </c>
      <c r="H657" s="11" t="s">
        <v>7719</v>
      </c>
    </row>
    <row r="658" customFormat="false" ht="17.15" hidden="false" customHeight="false" outlineLevel="0" collapsed="false">
      <c r="A658" s="11" t="s">
        <v>4215</v>
      </c>
      <c r="B658" s="11" t="s">
        <v>1728</v>
      </c>
      <c r="C658" s="11" t="s">
        <v>162</v>
      </c>
      <c r="D658" s="6" t="n">
        <v>657225</v>
      </c>
      <c r="E658" s="5" t="s">
        <v>6207</v>
      </c>
      <c r="F658" s="5" t="s">
        <v>6207</v>
      </c>
      <c r="G658" s="11" t="s">
        <v>134</v>
      </c>
      <c r="H658" s="11" t="s">
        <v>7720</v>
      </c>
    </row>
    <row r="659" customFormat="false" ht="17.15" hidden="false" customHeight="false" outlineLevel="0" collapsed="false">
      <c r="A659" s="11" t="s">
        <v>7721</v>
      </c>
      <c r="B659" s="11" t="s">
        <v>7722</v>
      </c>
      <c r="C659" s="11" t="s">
        <v>162</v>
      </c>
      <c r="D659" s="6" t="n">
        <v>656280</v>
      </c>
      <c r="E659" s="5" t="s">
        <v>6207</v>
      </c>
      <c r="F659" s="5" t="s">
        <v>6207</v>
      </c>
      <c r="G659" s="11" t="s">
        <v>134</v>
      </c>
      <c r="H659" s="11" t="s">
        <v>7723</v>
      </c>
    </row>
    <row r="660" customFormat="false" ht="17.15" hidden="false" customHeight="false" outlineLevel="0" collapsed="false">
      <c r="A660" s="11" t="s">
        <v>7724</v>
      </c>
      <c r="B660" s="11" t="s">
        <v>5319</v>
      </c>
      <c r="C660" s="11" t="s">
        <v>160</v>
      </c>
      <c r="D660" s="6" t="n">
        <v>654135</v>
      </c>
      <c r="E660" s="5" t="s">
        <v>6207</v>
      </c>
      <c r="F660" s="5" t="s">
        <v>6207</v>
      </c>
      <c r="G660" s="11" t="s">
        <v>134</v>
      </c>
      <c r="H660" s="11" t="s">
        <v>7725</v>
      </c>
    </row>
    <row r="661" customFormat="false" ht="17.15" hidden="false" customHeight="false" outlineLevel="0" collapsed="false">
      <c r="A661" s="11" t="s">
        <v>7726</v>
      </c>
      <c r="B661" s="11" t="s">
        <v>7648</v>
      </c>
      <c r="C661" s="11" t="s">
        <v>173</v>
      </c>
      <c r="D661" s="6" t="n">
        <v>653956</v>
      </c>
      <c r="E661" s="5" t="s">
        <v>6207</v>
      </c>
      <c r="F661" s="5" t="s">
        <v>6377</v>
      </c>
      <c r="G661" s="11" t="s">
        <v>6378</v>
      </c>
      <c r="H661" s="11" t="s">
        <v>7727</v>
      </c>
    </row>
    <row r="662" customFormat="false" ht="17.15" hidden="false" customHeight="false" outlineLevel="0" collapsed="false">
      <c r="A662" s="11" t="s">
        <v>7728</v>
      </c>
      <c r="B662" s="11" t="s">
        <v>7092</v>
      </c>
      <c r="C662" s="11" t="s">
        <v>174</v>
      </c>
      <c r="D662" s="6" t="n">
        <v>648713</v>
      </c>
      <c r="E662" s="5" t="s">
        <v>6210</v>
      </c>
      <c r="F662" s="5" t="s">
        <v>6210</v>
      </c>
      <c r="G662" s="11" t="s">
        <v>137</v>
      </c>
      <c r="H662" s="11" t="s">
        <v>7729</v>
      </c>
    </row>
    <row r="663" customFormat="false" ht="17.15" hidden="false" customHeight="false" outlineLevel="0" collapsed="false">
      <c r="A663" s="11" t="s">
        <v>7730</v>
      </c>
      <c r="B663" s="11" t="s">
        <v>6647</v>
      </c>
      <c r="C663" s="11" t="s">
        <v>155</v>
      </c>
      <c r="D663" s="6" t="n">
        <v>647324</v>
      </c>
      <c r="E663" s="5" t="s">
        <v>6264</v>
      </c>
      <c r="F663" s="5" t="s">
        <v>6648</v>
      </c>
      <c r="G663" s="11" t="s">
        <v>6649</v>
      </c>
      <c r="H663" s="11" t="s">
        <v>7731</v>
      </c>
    </row>
    <row r="664" customFormat="false" ht="15" hidden="false" customHeight="false" outlineLevel="0" collapsed="false">
      <c r="A664" s="11" t="s">
        <v>7732</v>
      </c>
      <c r="B664" s="11" t="s">
        <v>839</v>
      </c>
      <c r="C664" s="11" t="s">
        <v>158</v>
      </c>
      <c r="D664" s="6" t="n">
        <v>643790</v>
      </c>
      <c r="E664" s="5" t="s">
        <v>141</v>
      </c>
      <c r="F664" s="5" t="s">
        <v>141</v>
      </c>
      <c r="G664" s="11" t="s">
        <v>140</v>
      </c>
      <c r="H664" s="11" t="s">
        <v>7733</v>
      </c>
    </row>
    <row r="665" customFormat="false" ht="17.15" hidden="false" customHeight="false" outlineLevel="0" collapsed="false">
      <c r="A665" s="11" t="s">
        <v>7734</v>
      </c>
      <c r="B665" s="11" t="s">
        <v>2557</v>
      </c>
      <c r="C665" s="11" t="s">
        <v>168</v>
      </c>
      <c r="D665" s="6" t="n">
        <v>642295</v>
      </c>
      <c r="E665" s="5" t="s">
        <v>6207</v>
      </c>
      <c r="F665" s="5" t="s">
        <v>6207</v>
      </c>
      <c r="G665" s="11" t="s">
        <v>134</v>
      </c>
      <c r="H665" s="11" t="s">
        <v>7735</v>
      </c>
    </row>
    <row r="666" customFormat="false" ht="17.15" hidden="false" customHeight="false" outlineLevel="0" collapsed="false">
      <c r="A666" s="11" t="s">
        <v>7736</v>
      </c>
      <c r="B666" s="11" t="s">
        <v>7737</v>
      </c>
      <c r="C666" s="11" t="s">
        <v>175</v>
      </c>
      <c r="D666" s="6" t="n">
        <v>640395</v>
      </c>
      <c r="E666" s="5" t="s">
        <v>6207</v>
      </c>
      <c r="F666" s="5" t="s">
        <v>6207</v>
      </c>
      <c r="G666" s="11" t="s">
        <v>134</v>
      </c>
      <c r="H666" s="11" t="s">
        <v>7738</v>
      </c>
    </row>
    <row r="667" customFormat="false" ht="17.15" hidden="false" customHeight="false" outlineLevel="0" collapsed="false">
      <c r="A667" s="11" t="s">
        <v>7739</v>
      </c>
      <c r="B667" s="11" t="s">
        <v>7653</v>
      </c>
      <c r="C667" s="11" t="s">
        <v>149</v>
      </c>
      <c r="D667" s="6" t="n">
        <v>639838</v>
      </c>
      <c r="E667" s="5" t="s">
        <v>6207</v>
      </c>
      <c r="F667" s="5" t="s">
        <v>6207</v>
      </c>
      <c r="G667" s="11" t="s">
        <v>134</v>
      </c>
      <c r="H667" s="11" t="s">
        <v>7740</v>
      </c>
    </row>
    <row r="668" customFormat="false" ht="17.15" hidden="false" customHeight="false" outlineLevel="0" collapsed="false">
      <c r="A668" s="11" t="s">
        <v>7741</v>
      </c>
      <c r="B668" s="11" t="s">
        <v>681</v>
      </c>
      <c r="C668" s="11" t="s">
        <v>197</v>
      </c>
      <c r="D668" s="6" t="n">
        <v>638210</v>
      </c>
      <c r="E668" s="5" t="s">
        <v>141</v>
      </c>
      <c r="F668" s="5" t="s">
        <v>6495</v>
      </c>
      <c r="G668" s="11" t="s">
        <v>6496</v>
      </c>
      <c r="H668" s="11" t="s">
        <v>7742</v>
      </c>
    </row>
    <row r="669" customFormat="false" ht="17.15" hidden="false" customHeight="false" outlineLevel="0" collapsed="false">
      <c r="A669" s="11" t="s">
        <v>7743</v>
      </c>
      <c r="B669" s="11" t="s">
        <v>6223</v>
      </c>
      <c r="C669" s="11" t="s">
        <v>175</v>
      </c>
      <c r="D669" s="6" t="n">
        <v>637880</v>
      </c>
      <c r="E669" s="5" t="s">
        <v>6207</v>
      </c>
      <c r="F669" s="5" t="s">
        <v>6207</v>
      </c>
      <c r="G669" s="11" t="s">
        <v>134</v>
      </c>
      <c r="H669" s="11" t="s">
        <v>7744</v>
      </c>
    </row>
    <row r="670" customFormat="false" ht="17.15" hidden="false" customHeight="false" outlineLevel="0" collapsed="false">
      <c r="A670" s="11" t="s">
        <v>7745</v>
      </c>
      <c r="B670" s="11" t="s">
        <v>7746</v>
      </c>
      <c r="C670" s="11" t="s">
        <v>163</v>
      </c>
      <c r="D670" s="6" t="n">
        <v>636807</v>
      </c>
      <c r="E670" s="5" t="s">
        <v>6207</v>
      </c>
      <c r="F670" s="5" t="s">
        <v>6207</v>
      </c>
      <c r="G670" s="11" t="s">
        <v>134</v>
      </c>
      <c r="H670" s="11" t="s">
        <v>7747</v>
      </c>
    </row>
    <row r="671" customFormat="false" ht="17.15" hidden="false" customHeight="false" outlineLevel="0" collapsed="false">
      <c r="A671" s="11" t="s">
        <v>7748</v>
      </c>
      <c r="B671" s="11" t="s">
        <v>323</v>
      </c>
      <c r="C671" s="11" t="s">
        <v>156</v>
      </c>
      <c r="D671" s="6" t="n">
        <v>634885</v>
      </c>
      <c r="E671" s="5" t="s">
        <v>6210</v>
      </c>
      <c r="F671" s="5" t="s">
        <v>6210</v>
      </c>
      <c r="G671" s="11" t="s">
        <v>137</v>
      </c>
      <c r="H671" s="11" t="s">
        <v>7749</v>
      </c>
    </row>
    <row r="672" customFormat="false" ht="15" hidden="false" customHeight="false" outlineLevel="0" collapsed="false">
      <c r="A672" s="11" t="s">
        <v>7750</v>
      </c>
      <c r="B672" s="11" t="s">
        <v>2693</v>
      </c>
      <c r="C672" s="11" t="s">
        <v>172</v>
      </c>
      <c r="D672" s="6" t="n">
        <v>633202</v>
      </c>
      <c r="E672" s="5" t="s">
        <v>141</v>
      </c>
      <c r="F672" s="5" t="s">
        <v>141</v>
      </c>
      <c r="G672" s="11" t="s">
        <v>140</v>
      </c>
      <c r="H672" s="11" t="s">
        <v>7751</v>
      </c>
    </row>
    <row r="673" customFormat="false" ht="17.15" hidden="false" customHeight="false" outlineLevel="0" collapsed="false">
      <c r="A673" s="11" t="s">
        <v>7752</v>
      </c>
      <c r="B673" s="11" t="s">
        <v>7753</v>
      </c>
      <c r="C673" s="11" t="s">
        <v>149</v>
      </c>
      <c r="D673" s="6" t="n">
        <v>631680</v>
      </c>
      <c r="E673" s="5" t="s">
        <v>6210</v>
      </c>
      <c r="F673" s="5" t="s">
        <v>6274</v>
      </c>
      <c r="G673" s="11" t="s">
        <v>6275</v>
      </c>
      <c r="H673" s="11" t="s">
        <v>7754</v>
      </c>
    </row>
    <row r="674" customFormat="false" ht="17.15" hidden="false" customHeight="false" outlineLevel="0" collapsed="false">
      <c r="A674" s="11" t="s">
        <v>5386</v>
      </c>
      <c r="B674" s="11" t="s">
        <v>299</v>
      </c>
      <c r="C674" s="11" t="s">
        <v>174</v>
      </c>
      <c r="D674" s="6" t="n">
        <v>627560</v>
      </c>
      <c r="E674" s="5" t="s">
        <v>6210</v>
      </c>
      <c r="F674" s="5" t="s">
        <v>6210</v>
      </c>
      <c r="G674" s="11" t="s">
        <v>137</v>
      </c>
      <c r="H674" s="11" t="s">
        <v>7755</v>
      </c>
    </row>
    <row r="675" customFormat="false" ht="17.15" hidden="false" customHeight="false" outlineLevel="0" collapsed="false">
      <c r="A675" s="11" t="s">
        <v>7756</v>
      </c>
      <c r="B675" s="11" t="s">
        <v>2557</v>
      </c>
      <c r="C675" s="11" t="s">
        <v>168</v>
      </c>
      <c r="D675" s="6" t="n">
        <v>625104</v>
      </c>
      <c r="E675" s="5" t="s">
        <v>6207</v>
      </c>
      <c r="F675" s="5" t="s">
        <v>6207</v>
      </c>
      <c r="G675" s="11" t="s">
        <v>134</v>
      </c>
      <c r="H675" s="11" t="s">
        <v>7757</v>
      </c>
    </row>
    <row r="676" customFormat="false" ht="17.15" hidden="false" customHeight="false" outlineLevel="0" collapsed="false">
      <c r="A676" s="11" t="s">
        <v>7758</v>
      </c>
      <c r="B676" s="11" t="s">
        <v>327</v>
      </c>
      <c r="C676" s="11" t="s">
        <v>183</v>
      </c>
      <c r="D676" s="6" t="n">
        <v>622884</v>
      </c>
      <c r="E676" s="5" t="s">
        <v>6207</v>
      </c>
      <c r="F676" s="5" t="s">
        <v>6207</v>
      </c>
      <c r="G676" s="11" t="s">
        <v>134</v>
      </c>
      <c r="H676" s="11" t="s">
        <v>7759</v>
      </c>
    </row>
    <row r="677" customFormat="false" ht="17.15" hidden="false" customHeight="false" outlineLevel="0" collapsed="false">
      <c r="A677" s="11" t="s">
        <v>7760</v>
      </c>
      <c r="B677" s="11" t="s">
        <v>7761</v>
      </c>
      <c r="C677" s="11" t="s">
        <v>192</v>
      </c>
      <c r="D677" s="6" t="n">
        <v>621486</v>
      </c>
      <c r="E677" s="5" t="s">
        <v>6239</v>
      </c>
      <c r="F677" s="5" t="s">
        <v>6239</v>
      </c>
      <c r="G677" s="11" t="s">
        <v>143</v>
      </c>
      <c r="H677" s="11" t="s">
        <v>7762</v>
      </c>
    </row>
    <row r="678" customFormat="false" ht="17.15" hidden="false" customHeight="false" outlineLevel="0" collapsed="false">
      <c r="A678" s="11" t="s">
        <v>7763</v>
      </c>
      <c r="B678" s="11" t="s">
        <v>681</v>
      </c>
      <c r="C678" s="11" t="s">
        <v>197</v>
      </c>
      <c r="D678" s="6" t="n">
        <v>619072</v>
      </c>
      <c r="E678" s="5" t="s">
        <v>6207</v>
      </c>
      <c r="F678" s="5" t="s">
        <v>6327</v>
      </c>
      <c r="G678" s="11" t="s">
        <v>6328</v>
      </c>
      <c r="H678" s="11" t="s">
        <v>7764</v>
      </c>
    </row>
    <row r="679" customFormat="false" ht="17.15" hidden="false" customHeight="false" outlineLevel="0" collapsed="false">
      <c r="A679" s="11" t="s">
        <v>7765</v>
      </c>
      <c r="B679" s="11" t="s">
        <v>6581</v>
      </c>
      <c r="C679" s="11" t="s">
        <v>155</v>
      </c>
      <c r="D679" s="6" t="n">
        <v>617684</v>
      </c>
      <c r="E679" s="5" t="s">
        <v>6264</v>
      </c>
      <c r="F679" s="5" t="s">
        <v>6264</v>
      </c>
      <c r="G679" s="11" t="s">
        <v>131</v>
      </c>
      <c r="H679" s="11" t="s">
        <v>7766</v>
      </c>
    </row>
    <row r="680" customFormat="false" ht="15" hidden="false" customHeight="false" outlineLevel="0" collapsed="false">
      <c r="A680" s="11" t="s">
        <v>7767</v>
      </c>
      <c r="B680" s="11" t="s">
        <v>7768</v>
      </c>
      <c r="C680" s="11" t="s">
        <v>157</v>
      </c>
      <c r="D680" s="6" t="n">
        <v>614251</v>
      </c>
      <c r="E680" s="5" t="s">
        <v>6413</v>
      </c>
      <c r="F680" s="5" t="s">
        <v>6413</v>
      </c>
      <c r="G680" s="11" t="s">
        <v>128</v>
      </c>
      <c r="H680" s="11" t="s">
        <v>7769</v>
      </c>
    </row>
    <row r="681" customFormat="false" ht="17.15" hidden="false" customHeight="false" outlineLevel="0" collapsed="false">
      <c r="A681" s="11" t="s">
        <v>7770</v>
      </c>
      <c r="B681" s="11" t="s">
        <v>1214</v>
      </c>
      <c r="C681" s="11" t="s">
        <v>189</v>
      </c>
      <c r="D681" s="6" t="n">
        <v>613570</v>
      </c>
      <c r="E681" s="5" t="s">
        <v>6239</v>
      </c>
      <c r="F681" s="5" t="s">
        <v>6239</v>
      </c>
      <c r="G681" s="11" t="s">
        <v>143</v>
      </c>
      <c r="H681" s="11" t="s">
        <v>7771</v>
      </c>
    </row>
    <row r="682" customFormat="false" ht="17.15" hidden="false" customHeight="false" outlineLevel="0" collapsed="false">
      <c r="A682" s="11" t="s">
        <v>7772</v>
      </c>
      <c r="B682" s="11" t="s">
        <v>7773</v>
      </c>
      <c r="C682" s="11" t="s">
        <v>156</v>
      </c>
      <c r="D682" s="6" t="n">
        <v>608977</v>
      </c>
      <c r="E682" s="5" t="s">
        <v>6207</v>
      </c>
      <c r="F682" s="5" t="s">
        <v>6207</v>
      </c>
      <c r="G682" s="11" t="s">
        <v>134</v>
      </c>
      <c r="H682" s="11" t="s">
        <v>7774</v>
      </c>
    </row>
    <row r="683" customFormat="false" ht="17.15" hidden="false" customHeight="false" outlineLevel="0" collapsed="false">
      <c r="A683" s="11" t="s">
        <v>7775</v>
      </c>
      <c r="B683" s="11" t="s">
        <v>6782</v>
      </c>
      <c r="C683" s="11" t="s">
        <v>162</v>
      </c>
      <c r="D683" s="6" t="n">
        <v>608530</v>
      </c>
      <c r="E683" s="5" t="s">
        <v>6207</v>
      </c>
      <c r="F683" s="5" t="s">
        <v>6207</v>
      </c>
      <c r="G683" s="11" t="s">
        <v>134</v>
      </c>
      <c r="H683" s="11" t="s">
        <v>7776</v>
      </c>
    </row>
    <row r="684" customFormat="false" ht="17.15" hidden="false" customHeight="false" outlineLevel="0" collapsed="false">
      <c r="A684" s="11" t="s">
        <v>7777</v>
      </c>
      <c r="B684" s="11" t="s">
        <v>839</v>
      </c>
      <c r="C684" s="11" t="s">
        <v>155</v>
      </c>
      <c r="D684" s="6" t="n">
        <v>607531</v>
      </c>
      <c r="E684" s="5" t="s">
        <v>6207</v>
      </c>
      <c r="F684" s="5" t="s">
        <v>6207</v>
      </c>
      <c r="G684" s="11" t="s">
        <v>134</v>
      </c>
      <c r="H684" s="11" t="s">
        <v>7778</v>
      </c>
    </row>
    <row r="685" customFormat="false" ht="17.15" hidden="false" customHeight="false" outlineLevel="0" collapsed="false">
      <c r="A685" s="11" t="s">
        <v>7779</v>
      </c>
      <c r="B685" s="11" t="s">
        <v>6473</v>
      </c>
      <c r="C685" s="11" t="s">
        <v>183</v>
      </c>
      <c r="D685" s="6" t="n">
        <v>606671</v>
      </c>
      <c r="E685" s="5" t="s">
        <v>6210</v>
      </c>
      <c r="F685" s="5" t="s">
        <v>6210</v>
      </c>
      <c r="G685" s="11" t="s">
        <v>137</v>
      </c>
      <c r="H685" s="11" t="s">
        <v>7780</v>
      </c>
    </row>
    <row r="686" customFormat="false" ht="17.15" hidden="false" customHeight="false" outlineLevel="0" collapsed="false">
      <c r="A686" s="11" t="s">
        <v>7781</v>
      </c>
      <c r="B686" s="11" t="s">
        <v>368</v>
      </c>
      <c r="C686" s="11" t="s">
        <v>167</v>
      </c>
      <c r="D686" s="6" t="n">
        <v>600579</v>
      </c>
      <c r="E686" s="5" t="s">
        <v>6210</v>
      </c>
      <c r="F686" s="5" t="s">
        <v>6210</v>
      </c>
      <c r="G686" s="11" t="s">
        <v>137</v>
      </c>
      <c r="H686" s="11" t="s">
        <v>7782</v>
      </c>
    </row>
    <row r="687" customFormat="false" ht="17.15" hidden="false" customHeight="false" outlineLevel="0" collapsed="false">
      <c r="A687" s="11" t="s">
        <v>7783</v>
      </c>
      <c r="B687" s="11" t="s">
        <v>2309</v>
      </c>
      <c r="C687" s="11" t="s">
        <v>167</v>
      </c>
      <c r="D687" s="6" t="n">
        <v>599849</v>
      </c>
      <c r="E687" s="5" t="s">
        <v>6207</v>
      </c>
      <c r="F687" s="5" t="s">
        <v>6207</v>
      </c>
      <c r="G687" s="11" t="s">
        <v>134</v>
      </c>
      <c r="H687" s="11" t="s">
        <v>7784</v>
      </c>
    </row>
    <row r="688" customFormat="false" ht="17.15" hidden="false" customHeight="false" outlineLevel="0" collapsed="false">
      <c r="A688" s="11" t="s">
        <v>7785</v>
      </c>
      <c r="B688" s="11" t="s">
        <v>402</v>
      </c>
      <c r="C688" s="11" t="s">
        <v>150</v>
      </c>
      <c r="D688" s="6" t="n">
        <v>598452</v>
      </c>
      <c r="E688" s="5" t="s">
        <v>6210</v>
      </c>
      <c r="F688" s="5" t="s">
        <v>6210</v>
      </c>
      <c r="G688" s="11" t="s">
        <v>137</v>
      </c>
      <c r="H688" s="11" t="s">
        <v>7786</v>
      </c>
    </row>
    <row r="689" customFormat="false" ht="17.15" hidden="false" customHeight="false" outlineLevel="0" collapsed="false">
      <c r="A689" s="11" t="s">
        <v>7787</v>
      </c>
      <c r="B689" s="11" t="s">
        <v>327</v>
      </c>
      <c r="C689" s="11" t="s">
        <v>155</v>
      </c>
      <c r="D689" s="6" t="n">
        <v>595439</v>
      </c>
      <c r="E689" s="5" t="s">
        <v>6210</v>
      </c>
      <c r="F689" s="5" t="s">
        <v>6210</v>
      </c>
      <c r="G689" s="11" t="s">
        <v>137</v>
      </c>
      <c r="H689" s="11" t="s">
        <v>7788</v>
      </c>
    </row>
    <row r="690" customFormat="false" ht="17.15" hidden="false" customHeight="false" outlineLevel="0" collapsed="false">
      <c r="A690" s="11" t="s">
        <v>7789</v>
      </c>
      <c r="B690" s="11" t="s">
        <v>1214</v>
      </c>
      <c r="C690" s="11" t="s">
        <v>193</v>
      </c>
      <c r="D690" s="6" t="n">
        <v>594784</v>
      </c>
      <c r="E690" s="5" t="s">
        <v>6239</v>
      </c>
      <c r="F690" s="5" t="s">
        <v>6239</v>
      </c>
      <c r="G690" s="11" t="s">
        <v>143</v>
      </c>
      <c r="H690" s="11" t="s">
        <v>7790</v>
      </c>
    </row>
    <row r="691" customFormat="false" ht="17.15" hidden="false" customHeight="false" outlineLevel="0" collapsed="false">
      <c r="A691" s="11" t="s">
        <v>7791</v>
      </c>
      <c r="B691" s="11" t="s">
        <v>7092</v>
      </c>
      <c r="C691" s="11" t="s">
        <v>197</v>
      </c>
      <c r="D691" s="6" t="n">
        <v>593180</v>
      </c>
      <c r="E691" s="5" t="s">
        <v>6207</v>
      </c>
      <c r="F691" s="5" t="s">
        <v>7792</v>
      </c>
      <c r="G691" s="11" t="s">
        <v>7793</v>
      </c>
      <c r="H691" s="11" t="s">
        <v>7794</v>
      </c>
    </row>
    <row r="692" customFormat="false" ht="15" hidden="false" customHeight="false" outlineLevel="0" collapsed="false">
      <c r="A692" s="11" t="s">
        <v>7795</v>
      </c>
      <c r="B692" s="11" t="s">
        <v>681</v>
      </c>
      <c r="C692" s="11" t="s">
        <v>174</v>
      </c>
      <c r="D692" s="6" t="n">
        <v>592906</v>
      </c>
      <c r="E692" s="5" t="s">
        <v>141</v>
      </c>
      <c r="F692" s="5" t="s">
        <v>141</v>
      </c>
      <c r="G692" s="11" t="s">
        <v>140</v>
      </c>
      <c r="H692" s="11" t="s">
        <v>7796</v>
      </c>
    </row>
    <row r="693" customFormat="false" ht="17.15" hidden="false" customHeight="false" outlineLevel="0" collapsed="false">
      <c r="A693" s="11" t="s">
        <v>7797</v>
      </c>
      <c r="B693" s="11" t="s">
        <v>402</v>
      </c>
      <c r="C693" s="11" t="s">
        <v>150</v>
      </c>
      <c r="D693" s="6" t="n">
        <v>590813</v>
      </c>
      <c r="E693" s="5" t="s">
        <v>6210</v>
      </c>
      <c r="F693" s="5" t="s">
        <v>6210</v>
      </c>
      <c r="G693" s="11" t="s">
        <v>137</v>
      </c>
      <c r="H693" s="11" t="s">
        <v>7798</v>
      </c>
    </row>
    <row r="694" customFormat="false" ht="17.15" hidden="false" customHeight="false" outlineLevel="0" collapsed="false">
      <c r="A694" s="11" t="s">
        <v>7799</v>
      </c>
      <c r="B694" s="11" t="s">
        <v>7800</v>
      </c>
      <c r="C694" s="11" t="s">
        <v>183</v>
      </c>
      <c r="D694" s="6" t="n">
        <v>589279</v>
      </c>
      <c r="E694" s="5" t="s">
        <v>6207</v>
      </c>
      <c r="F694" s="5" t="s">
        <v>6207</v>
      </c>
      <c r="G694" s="11" t="s">
        <v>134</v>
      </c>
      <c r="H694" s="11" t="s">
        <v>7801</v>
      </c>
    </row>
    <row r="695" customFormat="false" ht="17.15" hidden="false" customHeight="false" outlineLevel="0" collapsed="false">
      <c r="A695" s="11" t="s">
        <v>7802</v>
      </c>
      <c r="B695" s="11" t="s">
        <v>327</v>
      </c>
      <c r="C695" s="11" t="s">
        <v>156</v>
      </c>
      <c r="D695" s="6" t="n">
        <v>587946</v>
      </c>
      <c r="E695" s="5" t="s">
        <v>6210</v>
      </c>
      <c r="F695" s="5" t="s">
        <v>6274</v>
      </c>
      <c r="G695" s="11" t="s">
        <v>6275</v>
      </c>
      <c r="H695" s="11" t="s">
        <v>7803</v>
      </c>
    </row>
    <row r="696" customFormat="false" ht="17.15" hidden="false" customHeight="false" outlineLevel="0" collapsed="false">
      <c r="A696" s="11" t="s">
        <v>7804</v>
      </c>
      <c r="B696" s="11" t="s">
        <v>7800</v>
      </c>
      <c r="C696" s="11" t="s">
        <v>183</v>
      </c>
      <c r="D696" s="6" t="n">
        <v>586896</v>
      </c>
      <c r="E696" s="5" t="s">
        <v>6207</v>
      </c>
      <c r="F696" s="5" t="s">
        <v>6207</v>
      </c>
      <c r="G696" s="11" t="s">
        <v>134</v>
      </c>
      <c r="H696" s="11" t="s">
        <v>7805</v>
      </c>
    </row>
    <row r="697" customFormat="false" ht="17.15" hidden="false" customHeight="false" outlineLevel="0" collapsed="false">
      <c r="A697" s="11" t="s">
        <v>7806</v>
      </c>
      <c r="B697" s="11" t="s">
        <v>1403</v>
      </c>
      <c r="C697" s="11" t="s">
        <v>195</v>
      </c>
      <c r="D697" s="6" t="n">
        <v>584790</v>
      </c>
      <c r="E697" s="5" t="s">
        <v>6239</v>
      </c>
      <c r="F697" s="5" t="s">
        <v>6239</v>
      </c>
      <c r="G697" s="11" t="s">
        <v>143</v>
      </c>
      <c r="H697" s="11" t="s">
        <v>7807</v>
      </c>
    </row>
    <row r="698" customFormat="false" ht="17.15" hidden="false" customHeight="false" outlineLevel="0" collapsed="false">
      <c r="A698" s="11" t="s">
        <v>7808</v>
      </c>
      <c r="B698" s="11" t="s">
        <v>402</v>
      </c>
      <c r="C698" s="11" t="s">
        <v>150</v>
      </c>
      <c r="D698" s="6" t="n">
        <v>582935</v>
      </c>
      <c r="E698" s="5" t="s">
        <v>6210</v>
      </c>
      <c r="F698" s="5" t="s">
        <v>6210</v>
      </c>
      <c r="G698" s="11" t="s">
        <v>137</v>
      </c>
      <c r="H698" s="11" t="s">
        <v>7809</v>
      </c>
    </row>
    <row r="699" customFormat="false" ht="17.15" hidden="false" customHeight="false" outlineLevel="0" collapsed="false">
      <c r="A699" s="11" t="s">
        <v>7810</v>
      </c>
      <c r="B699" s="11" t="s">
        <v>7811</v>
      </c>
      <c r="C699" s="11" t="s">
        <v>152</v>
      </c>
      <c r="D699" s="6" t="n">
        <v>580074</v>
      </c>
      <c r="E699" s="5" t="s">
        <v>6210</v>
      </c>
      <c r="F699" s="5" t="s">
        <v>6210</v>
      </c>
      <c r="G699" s="11" t="s">
        <v>137</v>
      </c>
      <c r="H699" s="11" t="s">
        <v>7812</v>
      </c>
    </row>
    <row r="700" customFormat="false" ht="17.15" hidden="false" customHeight="false" outlineLevel="0" collapsed="false">
      <c r="A700" s="11" t="s">
        <v>7813</v>
      </c>
      <c r="B700" s="11" t="s">
        <v>7441</v>
      </c>
      <c r="C700" s="5"/>
      <c r="D700" s="6" t="n">
        <v>580038</v>
      </c>
      <c r="E700" s="5" t="s">
        <v>6207</v>
      </c>
      <c r="F700" s="5" t="s">
        <v>6207</v>
      </c>
      <c r="G700" s="11" t="s">
        <v>134</v>
      </c>
      <c r="H700" s="11" t="s">
        <v>7814</v>
      </c>
    </row>
    <row r="701" customFormat="false" ht="17.15" hidden="false" customHeight="false" outlineLevel="0" collapsed="false">
      <c r="A701" s="11" t="s">
        <v>7815</v>
      </c>
      <c r="B701" s="11" t="s">
        <v>4757</v>
      </c>
      <c r="C701" s="11" t="s">
        <v>192</v>
      </c>
      <c r="D701" s="6" t="n">
        <v>578685</v>
      </c>
      <c r="E701" s="5" t="s">
        <v>6239</v>
      </c>
      <c r="F701" s="5" t="s">
        <v>6239</v>
      </c>
      <c r="G701" s="11" t="s">
        <v>143</v>
      </c>
      <c r="H701" s="11" t="s">
        <v>7816</v>
      </c>
    </row>
    <row r="702" customFormat="false" ht="17.15" hidden="false" customHeight="false" outlineLevel="0" collapsed="false">
      <c r="A702" s="11" t="s">
        <v>7817</v>
      </c>
      <c r="B702" s="11" t="s">
        <v>7818</v>
      </c>
      <c r="C702" s="11" t="s">
        <v>161</v>
      </c>
      <c r="D702" s="6" t="n">
        <v>577959</v>
      </c>
      <c r="E702" s="5" t="s">
        <v>6207</v>
      </c>
      <c r="F702" s="5" t="s">
        <v>6377</v>
      </c>
      <c r="G702" s="11" t="s">
        <v>6378</v>
      </c>
      <c r="H702" s="11" t="s">
        <v>7819</v>
      </c>
    </row>
    <row r="703" customFormat="false" ht="17.15" hidden="false" customHeight="false" outlineLevel="0" collapsed="false">
      <c r="A703" s="11" t="s">
        <v>7820</v>
      </c>
      <c r="B703" s="11" t="s">
        <v>7821</v>
      </c>
      <c r="C703" s="5"/>
      <c r="D703" s="6" t="n">
        <v>577838</v>
      </c>
      <c r="E703" s="5" t="s">
        <v>6207</v>
      </c>
      <c r="F703" s="5" t="s">
        <v>6207</v>
      </c>
      <c r="G703" s="11" t="s">
        <v>134</v>
      </c>
      <c r="H703" s="11" t="s">
        <v>7822</v>
      </c>
    </row>
    <row r="704" customFormat="false" ht="17.15" hidden="false" customHeight="false" outlineLevel="0" collapsed="false">
      <c r="A704" s="11" t="s">
        <v>7823</v>
      </c>
      <c r="B704" s="11" t="s">
        <v>7824</v>
      </c>
      <c r="C704" s="11" t="s">
        <v>161</v>
      </c>
      <c r="D704" s="6" t="n">
        <v>576192</v>
      </c>
      <c r="E704" s="5" t="s">
        <v>6207</v>
      </c>
      <c r="F704" s="5" t="s">
        <v>6207</v>
      </c>
      <c r="G704" s="11" t="s">
        <v>134</v>
      </c>
      <c r="H704" s="11" t="s">
        <v>7825</v>
      </c>
    </row>
    <row r="705" customFormat="false" ht="17.15" hidden="false" customHeight="false" outlineLevel="0" collapsed="false">
      <c r="A705" s="11" t="s">
        <v>7826</v>
      </c>
      <c r="B705" s="11" t="s">
        <v>6503</v>
      </c>
      <c r="C705" s="11" t="s">
        <v>192</v>
      </c>
      <c r="D705" s="6" t="n">
        <v>575454</v>
      </c>
      <c r="E705" s="5" t="s">
        <v>6239</v>
      </c>
      <c r="F705" s="5" t="s">
        <v>6239</v>
      </c>
      <c r="G705" s="11" t="s">
        <v>143</v>
      </c>
      <c r="H705" s="11" t="s">
        <v>7827</v>
      </c>
    </row>
    <row r="706" customFormat="false" ht="17.15" hidden="false" customHeight="false" outlineLevel="0" collapsed="false">
      <c r="A706" s="11" t="s">
        <v>7828</v>
      </c>
      <c r="B706" s="11" t="s">
        <v>2309</v>
      </c>
      <c r="C706" s="11" t="s">
        <v>174</v>
      </c>
      <c r="D706" s="6" t="n">
        <v>574011</v>
      </c>
      <c r="E706" s="5" t="s">
        <v>6207</v>
      </c>
      <c r="F706" s="5" t="s">
        <v>6207</v>
      </c>
      <c r="G706" s="11" t="s">
        <v>134</v>
      </c>
      <c r="H706" s="11" t="s">
        <v>7829</v>
      </c>
    </row>
    <row r="707" customFormat="false" ht="17.15" hidden="false" customHeight="false" outlineLevel="0" collapsed="false">
      <c r="A707" s="11" t="s">
        <v>7830</v>
      </c>
      <c r="B707" s="11" t="s">
        <v>7406</v>
      </c>
      <c r="C707" s="5"/>
      <c r="D707" s="6" t="n">
        <v>573800</v>
      </c>
      <c r="E707" s="5" t="s">
        <v>6207</v>
      </c>
      <c r="F707" s="5" t="s">
        <v>6207</v>
      </c>
      <c r="G707" s="11" t="s">
        <v>134</v>
      </c>
      <c r="H707" s="11" t="s">
        <v>7831</v>
      </c>
    </row>
    <row r="708" customFormat="false" ht="17.15" hidden="false" customHeight="false" outlineLevel="0" collapsed="false">
      <c r="A708" s="11" t="s">
        <v>7832</v>
      </c>
      <c r="B708" s="11" t="s">
        <v>7833</v>
      </c>
      <c r="C708" s="11" t="s">
        <v>202</v>
      </c>
      <c r="D708" s="6" t="n">
        <v>572950</v>
      </c>
      <c r="E708" s="5" t="s">
        <v>6239</v>
      </c>
      <c r="F708" s="5" t="s">
        <v>6239</v>
      </c>
      <c r="G708" s="11" t="s">
        <v>143</v>
      </c>
      <c r="H708" s="11" t="s">
        <v>7834</v>
      </c>
    </row>
    <row r="709" customFormat="false" ht="17.15" hidden="false" customHeight="false" outlineLevel="0" collapsed="false">
      <c r="A709" s="11" t="s">
        <v>7835</v>
      </c>
      <c r="B709" s="11" t="s">
        <v>6457</v>
      </c>
      <c r="C709" s="5"/>
      <c r="D709" s="6" t="n">
        <v>572184</v>
      </c>
      <c r="E709" s="5" t="s">
        <v>6264</v>
      </c>
      <c r="F709" s="5" t="s">
        <v>6648</v>
      </c>
      <c r="G709" s="11" t="s">
        <v>6649</v>
      </c>
      <c r="H709" s="11" t="s">
        <v>7836</v>
      </c>
    </row>
    <row r="710" customFormat="false" ht="17.15" hidden="false" customHeight="false" outlineLevel="0" collapsed="false">
      <c r="A710" s="11" t="s">
        <v>7837</v>
      </c>
      <c r="B710" s="11" t="s">
        <v>4757</v>
      </c>
      <c r="C710" s="11" t="s">
        <v>192</v>
      </c>
      <c r="D710" s="6" t="n">
        <v>571070</v>
      </c>
      <c r="E710" s="5" t="s">
        <v>6239</v>
      </c>
      <c r="F710" s="5" t="s">
        <v>6239</v>
      </c>
      <c r="G710" s="11" t="s">
        <v>143</v>
      </c>
      <c r="H710" s="11" t="s">
        <v>7838</v>
      </c>
    </row>
    <row r="711" customFormat="false" ht="17.15" hidden="false" customHeight="false" outlineLevel="0" collapsed="false">
      <c r="A711" s="11" t="s">
        <v>7839</v>
      </c>
      <c r="B711" s="11" t="s">
        <v>6581</v>
      </c>
      <c r="C711" s="11" t="s">
        <v>155</v>
      </c>
      <c r="D711" s="6" t="n">
        <v>570896</v>
      </c>
      <c r="E711" s="5" t="s">
        <v>6264</v>
      </c>
      <c r="F711" s="5" t="s">
        <v>6264</v>
      </c>
      <c r="G711" s="11" t="s">
        <v>131</v>
      </c>
      <c r="H711" s="11" t="s">
        <v>7840</v>
      </c>
    </row>
    <row r="712" customFormat="false" ht="17.15" hidden="false" customHeight="false" outlineLevel="0" collapsed="false">
      <c r="A712" s="11" t="s">
        <v>7841</v>
      </c>
      <c r="B712" s="11" t="s">
        <v>681</v>
      </c>
      <c r="C712" s="11" t="s">
        <v>155</v>
      </c>
      <c r="D712" s="6" t="n">
        <v>568189</v>
      </c>
      <c r="E712" s="5" t="s">
        <v>6207</v>
      </c>
      <c r="F712" s="5" t="s">
        <v>6207</v>
      </c>
      <c r="G712" s="11" t="s">
        <v>134</v>
      </c>
      <c r="H712" s="11" t="s">
        <v>7842</v>
      </c>
    </row>
    <row r="713" customFormat="false" ht="17.15" hidden="false" customHeight="false" outlineLevel="0" collapsed="false">
      <c r="A713" s="11" t="s">
        <v>7843</v>
      </c>
      <c r="B713" s="11" t="s">
        <v>368</v>
      </c>
      <c r="C713" s="5"/>
      <c r="D713" s="6" t="n">
        <v>566723</v>
      </c>
      <c r="E713" s="5" t="s">
        <v>6207</v>
      </c>
      <c r="F713" s="5" t="s">
        <v>6207</v>
      </c>
      <c r="G713" s="11" t="s">
        <v>134</v>
      </c>
      <c r="H713" s="11" t="s">
        <v>7844</v>
      </c>
    </row>
    <row r="714" customFormat="false" ht="17.15" hidden="false" customHeight="false" outlineLevel="0" collapsed="false">
      <c r="A714" s="11" t="s">
        <v>7845</v>
      </c>
      <c r="B714" s="11" t="s">
        <v>7846</v>
      </c>
      <c r="C714" s="11" t="s">
        <v>163</v>
      </c>
      <c r="D714" s="6" t="n">
        <v>564299</v>
      </c>
      <c r="E714" s="5" t="s">
        <v>6207</v>
      </c>
      <c r="F714" s="5" t="s">
        <v>6207</v>
      </c>
      <c r="G714" s="11" t="s">
        <v>134</v>
      </c>
      <c r="H714" s="11" t="s">
        <v>7847</v>
      </c>
    </row>
    <row r="715" customFormat="false" ht="17.15" hidden="false" customHeight="false" outlineLevel="0" collapsed="false">
      <c r="A715" s="11" t="s">
        <v>7848</v>
      </c>
      <c r="B715" s="11" t="s">
        <v>7334</v>
      </c>
      <c r="C715" s="11" t="s">
        <v>192</v>
      </c>
      <c r="D715" s="6" t="n">
        <v>564144</v>
      </c>
      <c r="E715" s="5" t="s">
        <v>6413</v>
      </c>
      <c r="F715" s="5" t="s">
        <v>7849</v>
      </c>
      <c r="G715" s="11" t="s">
        <v>7850</v>
      </c>
      <c r="H715" s="11" t="s">
        <v>7851</v>
      </c>
    </row>
    <row r="716" customFormat="false" ht="17.15" hidden="false" customHeight="false" outlineLevel="0" collapsed="false">
      <c r="A716" s="11" t="s">
        <v>7852</v>
      </c>
      <c r="B716" s="11" t="s">
        <v>3884</v>
      </c>
      <c r="C716" s="11" t="s">
        <v>155</v>
      </c>
      <c r="D716" s="6" t="n">
        <v>563160</v>
      </c>
      <c r="E716" s="5" t="s">
        <v>6210</v>
      </c>
      <c r="F716" s="5" t="s">
        <v>6210</v>
      </c>
      <c r="G716" s="11" t="s">
        <v>137</v>
      </c>
      <c r="H716" s="11" t="s">
        <v>7853</v>
      </c>
    </row>
    <row r="717" customFormat="false" ht="17.15" hidden="false" customHeight="false" outlineLevel="0" collapsed="false">
      <c r="A717" s="11" t="s">
        <v>7854</v>
      </c>
      <c r="B717" s="11" t="s">
        <v>2067</v>
      </c>
      <c r="C717" s="11" t="s">
        <v>192</v>
      </c>
      <c r="D717" s="6" t="n">
        <v>560879</v>
      </c>
      <c r="E717" s="5" t="s">
        <v>6239</v>
      </c>
      <c r="F717" s="5" t="s">
        <v>6239</v>
      </c>
      <c r="G717" s="11" t="s">
        <v>143</v>
      </c>
      <c r="H717" s="11" t="s">
        <v>7855</v>
      </c>
    </row>
    <row r="718" customFormat="false" ht="17.15" hidden="false" customHeight="false" outlineLevel="0" collapsed="false">
      <c r="A718" s="11" t="s">
        <v>7856</v>
      </c>
      <c r="B718" s="11" t="s">
        <v>1207</v>
      </c>
      <c r="C718" s="11" t="s">
        <v>162</v>
      </c>
      <c r="D718" s="6" t="n">
        <v>556845</v>
      </c>
      <c r="E718" s="5" t="s">
        <v>6207</v>
      </c>
      <c r="F718" s="5" t="s">
        <v>6377</v>
      </c>
      <c r="G718" s="11" t="s">
        <v>6378</v>
      </c>
      <c r="H718" s="11" t="s">
        <v>7857</v>
      </c>
    </row>
    <row r="719" customFormat="false" ht="15" hidden="false" customHeight="false" outlineLevel="0" collapsed="false">
      <c r="A719" s="11" t="s">
        <v>7858</v>
      </c>
      <c r="B719" s="11" t="s">
        <v>6866</v>
      </c>
      <c r="C719" s="11" t="s">
        <v>179</v>
      </c>
      <c r="D719" s="6" t="n">
        <v>555774</v>
      </c>
      <c r="E719" s="5" t="s">
        <v>141</v>
      </c>
      <c r="F719" s="5" t="s">
        <v>141</v>
      </c>
      <c r="G719" s="11" t="s">
        <v>140</v>
      </c>
      <c r="H719" s="11" t="s">
        <v>7859</v>
      </c>
    </row>
    <row r="720" customFormat="false" ht="15" hidden="false" customHeight="false" outlineLevel="0" collapsed="false">
      <c r="A720" s="11" t="s">
        <v>7860</v>
      </c>
      <c r="B720" s="11" t="s">
        <v>7861</v>
      </c>
      <c r="C720" s="11" t="s">
        <v>155</v>
      </c>
      <c r="D720" s="6" t="n">
        <v>554467</v>
      </c>
      <c r="E720" s="5" t="s">
        <v>6413</v>
      </c>
      <c r="F720" s="5" t="s">
        <v>6413</v>
      </c>
      <c r="G720" s="11" t="s">
        <v>128</v>
      </c>
      <c r="H720" s="11" t="s">
        <v>7862</v>
      </c>
    </row>
    <row r="721" customFormat="false" ht="15" hidden="false" customHeight="false" outlineLevel="0" collapsed="false">
      <c r="A721" s="11" t="s">
        <v>7863</v>
      </c>
      <c r="B721" s="11" t="s">
        <v>7864</v>
      </c>
      <c r="C721" s="11" t="s">
        <v>174</v>
      </c>
      <c r="D721" s="6" t="n">
        <v>553351</v>
      </c>
      <c r="E721" s="5" t="s">
        <v>6227</v>
      </c>
      <c r="F721" s="5" t="s">
        <v>6227</v>
      </c>
      <c r="G721" s="11" t="s">
        <v>134</v>
      </c>
      <c r="H721" s="11" t="s">
        <v>7865</v>
      </c>
    </row>
    <row r="722" customFormat="false" ht="17.15" hidden="false" customHeight="false" outlineLevel="0" collapsed="false">
      <c r="A722" s="11" t="s">
        <v>7866</v>
      </c>
      <c r="B722" s="11" t="s">
        <v>402</v>
      </c>
      <c r="C722" s="11" t="s">
        <v>150</v>
      </c>
      <c r="D722" s="6" t="n">
        <v>553347</v>
      </c>
      <c r="E722" s="5" t="s">
        <v>6210</v>
      </c>
      <c r="F722" s="5" t="s">
        <v>6210</v>
      </c>
      <c r="G722" s="11" t="s">
        <v>137</v>
      </c>
      <c r="H722" s="11" t="s">
        <v>7867</v>
      </c>
    </row>
    <row r="723" customFormat="false" ht="17.15" hidden="false" customHeight="false" outlineLevel="0" collapsed="false">
      <c r="A723" s="11" t="s">
        <v>7868</v>
      </c>
      <c r="B723" s="11" t="s">
        <v>681</v>
      </c>
      <c r="C723" s="11" t="s">
        <v>197</v>
      </c>
      <c r="D723" s="6" t="n">
        <v>552749</v>
      </c>
      <c r="E723" s="5" t="s">
        <v>141</v>
      </c>
      <c r="F723" s="5" t="s">
        <v>6495</v>
      </c>
      <c r="G723" s="11" t="s">
        <v>6496</v>
      </c>
      <c r="H723" s="11" t="s">
        <v>7869</v>
      </c>
    </row>
    <row r="724" customFormat="false" ht="17.15" hidden="false" customHeight="false" outlineLevel="0" collapsed="false">
      <c r="A724" s="11" t="s">
        <v>7870</v>
      </c>
      <c r="B724" s="11" t="s">
        <v>7871</v>
      </c>
      <c r="C724" s="11" t="s">
        <v>162</v>
      </c>
      <c r="D724" s="6" t="n">
        <v>552559</v>
      </c>
      <c r="E724" s="5" t="s">
        <v>6207</v>
      </c>
      <c r="F724" s="5" t="s">
        <v>6207</v>
      </c>
      <c r="G724" s="11" t="s">
        <v>134</v>
      </c>
      <c r="H724" s="11" t="s">
        <v>7872</v>
      </c>
    </row>
    <row r="725" customFormat="false" ht="17.15" hidden="false" customHeight="false" outlineLevel="0" collapsed="false">
      <c r="A725" s="11" t="s">
        <v>7873</v>
      </c>
      <c r="B725" s="11" t="s">
        <v>402</v>
      </c>
      <c r="C725" s="11" t="s">
        <v>150</v>
      </c>
      <c r="D725" s="6" t="n">
        <v>552284</v>
      </c>
      <c r="E725" s="5" t="s">
        <v>6210</v>
      </c>
      <c r="F725" s="5" t="s">
        <v>6210</v>
      </c>
      <c r="G725" s="11" t="s">
        <v>137</v>
      </c>
      <c r="H725" s="11" t="s">
        <v>7874</v>
      </c>
    </row>
    <row r="726" customFormat="false" ht="17.15" hidden="false" customHeight="false" outlineLevel="0" collapsed="false">
      <c r="A726" s="11" t="s">
        <v>7875</v>
      </c>
      <c r="B726" s="11" t="s">
        <v>6647</v>
      </c>
      <c r="C726" s="11" t="s">
        <v>155</v>
      </c>
      <c r="D726" s="6" t="n">
        <v>549592</v>
      </c>
      <c r="E726" s="5" t="s">
        <v>6264</v>
      </c>
      <c r="F726" s="5" t="s">
        <v>6648</v>
      </c>
      <c r="G726" s="11" t="s">
        <v>6649</v>
      </c>
      <c r="H726" s="11" t="s">
        <v>7876</v>
      </c>
    </row>
    <row r="727" customFormat="false" ht="17.15" hidden="false" customHeight="false" outlineLevel="0" collapsed="false">
      <c r="A727" s="11" t="s">
        <v>7877</v>
      </c>
      <c r="B727" s="11" t="s">
        <v>327</v>
      </c>
      <c r="C727" s="11" t="s">
        <v>156</v>
      </c>
      <c r="D727" s="6" t="n">
        <v>549441</v>
      </c>
      <c r="E727" s="5" t="s">
        <v>6210</v>
      </c>
      <c r="F727" s="5" t="s">
        <v>6210</v>
      </c>
      <c r="G727" s="11" t="s">
        <v>137</v>
      </c>
      <c r="H727" s="11" t="s">
        <v>7878</v>
      </c>
    </row>
    <row r="728" customFormat="false" ht="17.15" hidden="false" customHeight="false" outlineLevel="0" collapsed="false">
      <c r="A728" s="11" t="s">
        <v>7879</v>
      </c>
      <c r="B728" s="11" t="s">
        <v>6273</v>
      </c>
      <c r="C728" s="11" t="s">
        <v>153</v>
      </c>
      <c r="D728" s="6" t="n">
        <v>548519</v>
      </c>
      <c r="E728" s="5" t="s">
        <v>6210</v>
      </c>
      <c r="F728" s="5" t="s">
        <v>6210</v>
      </c>
      <c r="G728" s="11" t="s">
        <v>137</v>
      </c>
      <c r="H728" s="11" t="s">
        <v>7880</v>
      </c>
    </row>
    <row r="729" customFormat="false" ht="17.15" hidden="false" customHeight="false" outlineLevel="0" collapsed="false">
      <c r="A729" s="11" t="s">
        <v>7881</v>
      </c>
      <c r="B729" s="11" t="s">
        <v>368</v>
      </c>
      <c r="C729" s="11" t="s">
        <v>155</v>
      </c>
      <c r="D729" s="6" t="n">
        <v>545991</v>
      </c>
      <c r="E729" s="5" t="s">
        <v>6207</v>
      </c>
      <c r="F729" s="5" t="s">
        <v>6207</v>
      </c>
      <c r="G729" s="11" t="s">
        <v>134</v>
      </c>
      <c r="H729" s="11" t="s">
        <v>7882</v>
      </c>
    </row>
    <row r="730" customFormat="false" ht="17.15" hidden="false" customHeight="false" outlineLevel="0" collapsed="false">
      <c r="A730" s="11" t="s">
        <v>7883</v>
      </c>
      <c r="B730" s="11" t="s">
        <v>6647</v>
      </c>
      <c r="C730" s="11" t="s">
        <v>155</v>
      </c>
      <c r="D730" s="6" t="n">
        <v>545055</v>
      </c>
      <c r="E730" s="5" t="s">
        <v>6264</v>
      </c>
      <c r="F730" s="5" t="s">
        <v>6264</v>
      </c>
      <c r="G730" s="11" t="s">
        <v>131</v>
      </c>
      <c r="H730" s="11" t="s">
        <v>7884</v>
      </c>
    </row>
    <row r="731" customFormat="false" ht="17.15" hidden="false" customHeight="false" outlineLevel="0" collapsed="false">
      <c r="A731" s="11" t="s">
        <v>7885</v>
      </c>
      <c r="B731" s="11" t="s">
        <v>7886</v>
      </c>
      <c r="C731" s="11" t="s">
        <v>192</v>
      </c>
      <c r="D731" s="6" t="n">
        <v>544985</v>
      </c>
      <c r="E731" s="5" t="s">
        <v>6207</v>
      </c>
      <c r="F731" s="5" t="s">
        <v>6214</v>
      </c>
      <c r="G731" s="11" t="s">
        <v>6215</v>
      </c>
      <c r="H731" s="11" t="s">
        <v>7887</v>
      </c>
    </row>
    <row r="732" customFormat="false" ht="15" hidden="false" customHeight="false" outlineLevel="0" collapsed="false">
      <c r="A732" s="11" t="s">
        <v>7888</v>
      </c>
      <c r="B732" s="11" t="s">
        <v>308</v>
      </c>
      <c r="C732" s="5"/>
      <c r="D732" s="6" t="n">
        <v>543729</v>
      </c>
      <c r="E732" s="5" t="s">
        <v>6227</v>
      </c>
      <c r="F732" s="5" t="s">
        <v>6227</v>
      </c>
      <c r="G732" s="11" t="s">
        <v>134</v>
      </c>
      <c r="H732" s="11" t="s">
        <v>7889</v>
      </c>
    </row>
    <row r="733" customFormat="false" ht="15" hidden="false" customHeight="false" outlineLevel="0" collapsed="false">
      <c r="A733" s="11" t="s">
        <v>7890</v>
      </c>
      <c r="B733" s="11" t="s">
        <v>2693</v>
      </c>
      <c r="C733" s="11" t="s">
        <v>172</v>
      </c>
      <c r="D733" s="6" t="n">
        <v>543601</v>
      </c>
      <c r="E733" s="5" t="s">
        <v>141</v>
      </c>
      <c r="F733" s="5" t="s">
        <v>141</v>
      </c>
      <c r="G733" s="11" t="s">
        <v>140</v>
      </c>
      <c r="H733" s="11" t="s">
        <v>7891</v>
      </c>
    </row>
    <row r="734" customFormat="false" ht="15" hidden="false" customHeight="false" outlineLevel="0" collapsed="false">
      <c r="A734" s="11" t="s">
        <v>7892</v>
      </c>
      <c r="B734" s="11" t="s">
        <v>6390</v>
      </c>
      <c r="C734" s="11" t="s">
        <v>167</v>
      </c>
      <c r="D734" s="6" t="n">
        <v>543542</v>
      </c>
      <c r="E734" s="5" t="s">
        <v>141</v>
      </c>
      <c r="F734" s="5" t="s">
        <v>141</v>
      </c>
      <c r="G734" s="11" t="s">
        <v>140</v>
      </c>
      <c r="H734" s="11" t="s">
        <v>7893</v>
      </c>
    </row>
    <row r="735" customFormat="false" ht="17.15" hidden="false" customHeight="false" outlineLevel="0" collapsed="false">
      <c r="A735" s="11" t="s">
        <v>7894</v>
      </c>
      <c r="B735" s="11" t="s">
        <v>6634</v>
      </c>
      <c r="C735" s="11" t="s">
        <v>149</v>
      </c>
      <c r="D735" s="6" t="n">
        <v>543246</v>
      </c>
      <c r="E735" s="5" t="s">
        <v>6207</v>
      </c>
      <c r="F735" s="5" t="s">
        <v>6207</v>
      </c>
      <c r="G735" s="11" t="s">
        <v>134</v>
      </c>
      <c r="H735" s="11" t="s">
        <v>7895</v>
      </c>
    </row>
    <row r="736" customFormat="false" ht="15" hidden="false" customHeight="false" outlineLevel="0" collapsed="false">
      <c r="A736" s="11" t="s">
        <v>7896</v>
      </c>
      <c r="B736" s="11" t="s">
        <v>7768</v>
      </c>
      <c r="C736" s="11" t="s">
        <v>156</v>
      </c>
      <c r="D736" s="6" t="n">
        <v>541952</v>
      </c>
      <c r="E736" s="5" t="s">
        <v>6413</v>
      </c>
      <c r="F736" s="5" t="s">
        <v>6413</v>
      </c>
      <c r="G736" s="11" t="s">
        <v>128</v>
      </c>
      <c r="H736" s="11" t="s">
        <v>7897</v>
      </c>
    </row>
    <row r="737" customFormat="false" ht="17.15" hidden="false" customHeight="false" outlineLevel="0" collapsed="false">
      <c r="A737" s="11" t="s">
        <v>7898</v>
      </c>
      <c r="B737" s="11" t="s">
        <v>7899</v>
      </c>
      <c r="C737" s="11" t="s">
        <v>153</v>
      </c>
      <c r="D737" s="6" t="n">
        <v>541239</v>
      </c>
      <c r="E737" s="5" t="s">
        <v>6207</v>
      </c>
      <c r="F737" s="5" t="s">
        <v>6207</v>
      </c>
      <c r="G737" s="11" t="s">
        <v>134</v>
      </c>
      <c r="H737" s="11" t="s">
        <v>7900</v>
      </c>
    </row>
    <row r="738" customFormat="false" ht="17.15" hidden="false" customHeight="false" outlineLevel="0" collapsed="false">
      <c r="A738" s="11" t="s">
        <v>7901</v>
      </c>
      <c r="B738" s="11" t="s">
        <v>308</v>
      </c>
      <c r="C738" s="11" t="s">
        <v>175</v>
      </c>
      <c r="D738" s="6" t="n">
        <v>540950</v>
      </c>
      <c r="E738" s="5" t="s">
        <v>6207</v>
      </c>
      <c r="F738" s="5" t="s">
        <v>6207</v>
      </c>
      <c r="G738" s="11" t="s">
        <v>134</v>
      </c>
      <c r="H738" s="11" t="s">
        <v>7902</v>
      </c>
    </row>
    <row r="739" customFormat="false" ht="17.15" hidden="false" customHeight="false" outlineLevel="0" collapsed="false">
      <c r="A739" s="11" t="s">
        <v>7903</v>
      </c>
      <c r="B739" s="11" t="s">
        <v>681</v>
      </c>
      <c r="C739" s="11" t="s">
        <v>161</v>
      </c>
      <c r="D739" s="6" t="n">
        <v>540724</v>
      </c>
      <c r="E739" s="5" t="s">
        <v>6207</v>
      </c>
      <c r="F739" s="5" t="s">
        <v>6207</v>
      </c>
      <c r="G739" s="11" t="s">
        <v>134</v>
      </c>
      <c r="H739" s="11" t="s">
        <v>7904</v>
      </c>
    </row>
    <row r="740" customFormat="false" ht="17.15" hidden="false" customHeight="false" outlineLevel="0" collapsed="false">
      <c r="A740" s="11" t="s">
        <v>7905</v>
      </c>
      <c r="B740" s="11" t="s">
        <v>7906</v>
      </c>
      <c r="C740" s="11" t="s">
        <v>192</v>
      </c>
      <c r="D740" s="6" t="n">
        <v>540670</v>
      </c>
      <c r="E740" s="5" t="s">
        <v>6239</v>
      </c>
      <c r="F740" s="5" t="s">
        <v>6239</v>
      </c>
      <c r="G740" s="11" t="s">
        <v>143</v>
      </c>
      <c r="H740" s="11" t="s">
        <v>7907</v>
      </c>
    </row>
    <row r="741" customFormat="false" ht="17.15" hidden="false" customHeight="false" outlineLevel="0" collapsed="false">
      <c r="A741" s="11" t="s">
        <v>7908</v>
      </c>
      <c r="B741" s="11" t="s">
        <v>7249</v>
      </c>
      <c r="C741" s="11" t="s">
        <v>153</v>
      </c>
      <c r="D741" s="6" t="n">
        <v>540568</v>
      </c>
      <c r="E741" s="5" t="s">
        <v>6207</v>
      </c>
      <c r="F741" s="5" t="s">
        <v>6207</v>
      </c>
      <c r="G741" s="11" t="s">
        <v>134</v>
      </c>
      <c r="H741" s="11" t="s">
        <v>7909</v>
      </c>
    </row>
    <row r="742" customFormat="false" ht="17.15" hidden="false" customHeight="false" outlineLevel="0" collapsed="false">
      <c r="A742" s="11" t="s">
        <v>7910</v>
      </c>
      <c r="B742" s="11" t="s">
        <v>7911</v>
      </c>
      <c r="C742" s="11" t="s">
        <v>201</v>
      </c>
      <c r="D742" s="6" t="n">
        <v>536797</v>
      </c>
      <c r="E742" s="5" t="s">
        <v>6207</v>
      </c>
      <c r="F742" s="5" t="s">
        <v>6214</v>
      </c>
      <c r="G742" s="11" t="s">
        <v>6215</v>
      </c>
      <c r="H742" s="11" t="s">
        <v>7912</v>
      </c>
    </row>
    <row r="743" customFormat="false" ht="17.15" hidden="false" customHeight="false" outlineLevel="0" collapsed="false">
      <c r="A743" s="11" t="s">
        <v>7913</v>
      </c>
      <c r="B743" s="11" t="s">
        <v>368</v>
      </c>
      <c r="C743" s="11" t="s">
        <v>161</v>
      </c>
      <c r="D743" s="6" t="n">
        <v>536763</v>
      </c>
      <c r="E743" s="5" t="s">
        <v>6207</v>
      </c>
      <c r="F743" s="5" t="s">
        <v>6207</v>
      </c>
      <c r="G743" s="11" t="s">
        <v>134</v>
      </c>
      <c r="H743" s="11" t="s">
        <v>7914</v>
      </c>
    </row>
    <row r="744" customFormat="false" ht="17.15" hidden="false" customHeight="false" outlineLevel="0" collapsed="false">
      <c r="A744" s="11" t="s">
        <v>7915</v>
      </c>
      <c r="B744" s="11" t="s">
        <v>7916</v>
      </c>
      <c r="C744" s="5"/>
      <c r="D744" s="6" t="n">
        <v>535172</v>
      </c>
      <c r="E744" s="5" t="s">
        <v>6210</v>
      </c>
      <c r="F744" s="5" t="s">
        <v>6210</v>
      </c>
      <c r="G744" s="11" t="s">
        <v>137</v>
      </c>
      <c r="H744" s="11" t="s">
        <v>7917</v>
      </c>
    </row>
    <row r="745" customFormat="false" ht="17.15" hidden="false" customHeight="false" outlineLevel="0" collapsed="false">
      <c r="A745" s="11" t="s">
        <v>7918</v>
      </c>
      <c r="B745" s="11" t="s">
        <v>327</v>
      </c>
      <c r="C745" s="11" t="s">
        <v>155</v>
      </c>
      <c r="D745" s="6" t="n">
        <v>534801</v>
      </c>
      <c r="E745" s="5" t="s">
        <v>6210</v>
      </c>
      <c r="F745" s="5" t="s">
        <v>6210</v>
      </c>
      <c r="G745" s="11" t="s">
        <v>137</v>
      </c>
      <c r="H745" s="11" t="s">
        <v>7919</v>
      </c>
    </row>
    <row r="746" customFormat="false" ht="17.15" hidden="false" customHeight="false" outlineLevel="0" collapsed="false">
      <c r="A746" s="11" t="s">
        <v>7920</v>
      </c>
      <c r="B746" s="11" t="s">
        <v>6647</v>
      </c>
      <c r="C746" s="11" t="s">
        <v>192</v>
      </c>
      <c r="D746" s="6" t="n">
        <v>533699</v>
      </c>
      <c r="E746" s="5" t="s">
        <v>6264</v>
      </c>
      <c r="F746" s="5" t="s">
        <v>7411</v>
      </c>
      <c r="G746" s="11" t="s">
        <v>7412</v>
      </c>
      <c r="H746" s="11" t="s">
        <v>7921</v>
      </c>
    </row>
    <row r="747" customFormat="false" ht="15" hidden="false" customHeight="false" outlineLevel="0" collapsed="false">
      <c r="A747" s="11" t="s">
        <v>7922</v>
      </c>
      <c r="B747" s="11" t="s">
        <v>7923</v>
      </c>
      <c r="C747" s="11" t="s">
        <v>173</v>
      </c>
      <c r="D747" s="6" t="n">
        <v>533309</v>
      </c>
      <c r="E747" s="5" t="s">
        <v>141</v>
      </c>
      <c r="F747" s="5" t="s">
        <v>141</v>
      </c>
      <c r="G747" s="11" t="s">
        <v>140</v>
      </c>
      <c r="H747" s="11" t="s">
        <v>7924</v>
      </c>
    </row>
    <row r="748" customFormat="false" ht="17.15" hidden="false" customHeight="false" outlineLevel="0" collapsed="false">
      <c r="A748" s="11" t="s">
        <v>7925</v>
      </c>
      <c r="B748" s="11" t="s">
        <v>6993</v>
      </c>
      <c r="C748" s="11" t="s">
        <v>162</v>
      </c>
      <c r="D748" s="6" t="n">
        <v>532283</v>
      </c>
      <c r="E748" s="5" t="s">
        <v>6207</v>
      </c>
      <c r="F748" s="5" t="s">
        <v>6207</v>
      </c>
      <c r="G748" s="11" t="s">
        <v>134</v>
      </c>
      <c r="H748" s="11" t="s">
        <v>7926</v>
      </c>
    </row>
    <row r="749" customFormat="false" ht="17.15" hidden="false" customHeight="false" outlineLevel="0" collapsed="false">
      <c r="A749" s="11" t="s">
        <v>7927</v>
      </c>
      <c r="B749" s="11" t="s">
        <v>6528</v>
      </c>
      <c r="C749" s="11" t="s">
        <v>193</v>
      </c>
      <c r="D749" s="6" t="n">
        <v>532016</v>
      </c>
      <c r="E749" s="5" t="s">
        <v>6239</v>
      </c>
      <c r="F749" s="5" t="s">
        <v>6239</v>
      </c>
      <c r="G749" s="11" t="s">
        <v>143</v>
      </c>
      <c r="H749" s="11" t="s">
        <v>7928</v>
      </c>
    </row>
    <row r="750" customFormat="false" ht="17.15" hidden="false" customHeight="false" outlineLevel="0" collapsed="false">
      <c r="A750" s="11" t="s">
        <v>7929</v>
      </c>
      <c r="B750" s="11" t="s">
        <v>7930</v>
      </c>
      <c r="C750" s="11" t="s">
        <v>153</v>
      </c>
      <c r="D750" s="6" t="n">
        <v>530921</v>
      </c>
      <c r="E750" s="5" t="s">
        <v>6207</v>
      </c>
      <c r="F750" s="5" t="s">
        <v>6207</v>
      </c>
      <c r="G750" s="11" t="s">
        <v>134</v>
      </c>
      <c r="H750" s="11" t="s">
        <v>7931</v>
      </c>
    </row>
    <row r="751" customFormat="false" ht="17.15" hidden="false" customHeight="false" outlineLevel="0" collapsed="false">
      <c r="A751" s="11" t="s">
        <v>7932</v>
      </c>
      <c r="B751" s="11" t="s">
        <v>4223</v>
      </c>
      <c r="C751" s="11" t="s">
        <v>153</v>
      </c>
      <c r="D751" s="6" t="n">
        <v>530890</v>
      </c>
      <c r="E751" s="5" t="s">
        <v>6210</v>
      </c>
      <c r="F751" s="5" t="s">
        <v>6210</v>
      </c>
      <c r="G751" s="11" t="s">
        <v>137</v>
      </c>
      <c r="H751" s="11" t="s">
        <v>7933</v>
      </c>
    </row>
    <row r="752" customFormat="false" ht="17.15" hidden="false" customHeight="false" outlineLevel="0" collapsed="false">
      <c r="A752" s="11" t="s">
        <v>7934</v>
      </c>
      <c r="B752" s="11" t="s">
        <v>1374</v>
      </c>
      <c r="C752" s="11" t="s">
        <v>175</v>
      </c>
      <c r="D752" s="6" t="n">
        <v>528995</v>
      </c>
      <c r="E752" s="5" t="s">
        <v>6207</v>
      </c>
      <c r="F752" s="5" t="s">
        <v>6207</v>
      </c>
      <c r="G752" s="11" t="s">
        <v>134</v>
      </c>
      <c r="H752" s="11" t="s">
        <v>7935</v>
      </c>
    </row>
    <row r="753" customFormat="false" ht="15" hidden="false" customHeight="false" outlineLevel="0" collapsed="false">
      <c r="A753" s="11" t="s">
        <v>7936</v>
      </c>
      <c r="B753" s="11" t="s">
        <v>6724</v>
      </c>
      <c r="C753" s="11" t="s">
        <v>162</v>
      </c>
      <c r="D753" s="6" t="n">
        <v>528830</v>
      </c>
      <c r="E753" s="5" t="s">
        <v>141</v>
      </c>
      <c r="F753" s="5" t="s">
        <v>141</v>
      </c>
      <c r="G753" s="11" t="s">
        <v>140</v>
      </c>
      <c r="H753" s="11" t="s">
        <v>7937</v>
      </c>
    </row>
    <row r="754" customFormat="false" ht="17.15" hidden="false" customHeight="false" outlineLevel="0" collapsed="false">
      <c r="A754" s="11" t="s">
        <v>7938</v>
      </c>
      <c r="B754" s="11" t="s">
        <v>6647</v>
      </c>
      <c r="C754" s="11" t="s">
        <v>153</v>
      </c>
      <c r="D754" s="6" t="n">
        <v>527364</v>
      </c>
      <c r="E754" s="5" t="s">
        <v>6264</v>
      </c>
      <c r="F754" s="5" t="s">
        <v>6264</v>
      </c>
      <c r="G754" s="11" t="s">
        <v>131</v>
      </c>
      <c r="H754" s="11" t="s">
        <v>7939</v>
      </c>
    </row>
    <row r="755" customFormat="false" ht="17.15" hidden="false" customHeight="false" outlineLevel="0" collapsed="false">
      <c r="A755" s="11" t="s">
        <v>7940</v>
      </c>
      <c r="B755" s="11" t="s">
        <v>308</v>
      </c>
      <c r="C755" s="11" t="s">
        <v>156</v>
      </c>
      <c r="D755" s="6" t="n">
        <v>527158</v>
      </c>
      <c r="E755" s="5" t="s">
        <v>6210</v>
      </c>
      <c r="F755" s="5" t="s">
        <v>6210</v>
      </c>
      <c r="G755" s="11" t="s">
        <v>137</v>
      </c>
      <c r="H755" s="11" t="s">
        <v>7941</v>
      </c>
    </row>
    <row r="756" customFormat="false" ht="17.15" hidden="false" customHeight="false" outlineLevel="0" collapsed="false">
      <c r="A756" s="11" t="s">
        <v>7942</v>
      </c>
      <c r="B756" s="11" t="s">
        <v>327</v>
      </c>
      <c r="C756" s="11" t="s">
        <v>152</v>
      </c>
      <c r="D756" s="6" t="n">
        <v>525379</v>
      </c>
      <c r="E756" s="5" t="s">
        <v>6210</v>
      </c>
      <c r="F756" s="5" t="s">
        <v>6210</v>
      </c>
      <c r="G756" s="11" t="s">
        <v>137</v>
      </c>
      <c r="H756" s="11" t="s">
        <v>7943</v>
      </c>
    </row>
    <row r="757" customFormat="false" ht="17.15" hidden="false" customHeight="false" outlineLevel="0" collapsed="false">
      <c r="A757" s="11" t="s">
        <v>7944</v>
      </c>
      <c r="B757" s="11" t="s">
        <v>6273</v>
      </c>
      <c r="C757" s="11" t="s">
        <v>152</v>
      </c>
      <c r="D757" s="6" t="n">
        <v>524581</v>
      </c>
      <c r="E757" s="5" t="s">
        <v>6210</v>
      </c>
      <c r="F757" s="5" t="s">
        <v>6274</v>
      </c>
      <c r="G757" s="11" t="s">
        <v>6275</v>
      </c>
      <c r="H757" s="11" t="s">
        <v>7945</v>
      </c>
    </row>
    <row r="758" customFormat="false" ht="17.15" hidden="false" customHeight="false" outlineLevel="0" collapsed="false">
      <c r="A758" s="11" t="s">
        <v>7946</v>
      </c>
      <c r="B758" s="11" t="s">
        <v>7947</v>
      </c>
      <c r="C758" s="5"/>
      <c r="D758" s="6" t="n">
        <v>523192</v>
      </c>
      <c r="E758" s="5" t="s">
        <v>6207</v>
      </c>
      <c r="F758" s="5" t="s">
        <v>6207</v>
      </c>
      <c r="G758" s="11" t="s">
        <v>134</v>
      </c>
      <c r="H758" s="11" t="s">
        <v>7948</v>
      </c>
    </row>
    <row r="759" customFormat="false" ht="17.15" hidden="false" customHeight="false" outlineLevel="0" collapsed="false">
      <c r="A759" s="11" t="s">
        <v>7949</v>
      </c>
      <c r="B759" s="11" t="s">
        <v>402</v>
      </c>
      <c r="C759" s="11" t="s">
        <v>150</v>
      </c>
      <c r="D759" s="6" t="n">
        <v>522546</v>
      </c>
      <c r="E759" s="5" t="s">
        <v>6210</v>
      </c>
      <c r="F759" s="5" t="s">
        <v>6210</v>
      </c>
      <c r="G759" s="11" t="s">
        <v>137</v>
      </c>
      <c r="H759" s="11" t="s">
        <v>7950</v>
      </c>
    </row>
    <row r="760" customFormat="false" ht="17.15" hidden="false" customHeight="false" outlineLevel="0" collapsed="false">
      <c r="A760" s="11" t="s">
        <v>7951</v>
      </c>
      <c r="B760" s="11" t="s">
        <v>327</v>
      </c>
      <c r="C760" s="11" t="s">
        <v>194</v>
      </c>
      <c r="D760" s="6" t="n">
        <v>522291</v>
      </c>
      <c r="E760" s="5" t="s">
        <v>6239</v>
      </c>
      <c r="F760" s="5" t="s">
        <v>6239</v>
      </c>
      <c r="G760" s="11" t="s">
        <v>143</v>
      </c>
      <c r="H760" s="11" t="s">
        <v>7952</v>
      </c>
    </row>
    <row r="761" customFormat="false" ht="17.15" hidden="false" customHeight="false" outlineLevel="0" collapsed="false">
      <c r="A761" s="11" t="s">
        <v>7953</v>
      </c>
      <c r="B761" s="11" t="s">
        <v>327</v>
      </c>
      <c r="C761" s="11" t="s">
        <v>155</v>
      </c>
      <c r="D761" s="6" t="n">
        <v>521443</v>
      </c>
      <c r="E761" s="5" t="s">
        <v>6210</v>
      </c>
      <c r="F761" s="5" t="s">
        <v>6210</v>
      </c>
      <c r="G761" s="11" t="s">
        <v>137</v>
      </c>
      <c r="H761" s="11" t="s">
        <v>7954</v>
      </c>
    </row>
    <row r="762" customFormat="false" ht="17.15" hidden="false" customHeight="false" outlineLevel="0" collapsed="false">
      <c r="A762" s="11" t="s">
        <v>7955</v>
      </c>
      <c r="B762" s="11" t="s">
        <v>4840</v>
      </c>
      <c r="C762" s="11" t="s">
        <v>152</v>
      </c>
      <c r="D762" s="6" t="n">
        <v>521363</v>
      </c>
      <c r="E762" s="5" t="s">
        <v>6207</v>
      </c>
      <c r="F762" s="5" t="s">
        <v>6207</v>
      </c>
      <c r="G762" s="11" t="s">
        <v>134</v>
      </c>
      <c r="H762" s="11" t="s">
        <v>7956</v>
      </c>
    </row>
    <row r="763" customFormat="false" ht="17.15" hidden="false" customHeight="false" outlineLevel="0" collapsed="false">
      <c r="A763" s="11" t="s">
        <v>7957</v>
      </c>
      <c r="B763" s="11" t="s">
        <v>6647</v>
      </c>
      <c r="C763" s="11" t="s">
        <v>155</v>
      </c>
      <c r="D763" s="6" t="n">
        <v>521236</v>
      </c>
      <c r="E763" s="5" t="s">
        <v>6264</v>
      </c>
      <c r="F763" s="5" t="s">
        <v>6264</v>
      </c>
      <c r="G763" s="11" t="s">
        <v>131</v>
      </c>
      <c r="H763" s="11" t="s">
        <v>7958</v>
      </c>
    </row>
    <row r="764" customFormat="false" ht="17.15" hidden="false" customHeight="false" outlineLevel="0" collapsed="false">
      <c r="A764" s="11" t="s">
        <v>7959</v>
      </c>
      <c r="B764" s="11" t="s">
        <v>5331</v>
      </c>
      <c r="C764" s="11" t="s">
        <v>175</v>
      </c>
      <c r="D764" s="6" t="n">
        <v>521093</v>
      </c>
      <c r="E764" s="5" t="s">
        <v>6207</v>
      </c>
      <c r="F764" s="5" t="s">
        <v>6207</v>
      </c>
      <c r="G764" s="11" t="s">
        <v>134</v>
      </c>
      <c r="H764" s="11" t="s">
        <v>7960</v>
      </c>
    </row>
    <row r="765" customFormat="false" ht="17.15" hidden="false" customHeight="false" outlineLevel="0" collapsed="false">
      <c r="A765" s="11" t="s">
        <v>7961</v>
      </c>
      <c r="B765" s="11" t="s">
        <v>6681</v>
      </c>
      <c r="C765" s="11" t="s">
        <v>168</v>
      </c>
      <c r="D765" s="6" t="n">
        <v>520782</v>
      </c>
      <c r="E765" s="5" t="s">
        <v>6210</v>
      </c>
      <c r="F765" s="5" t="s">
        <v>6210</v>
      </c>
      <c r="G765" s="11" t="s">
        <v>137</v>
      </c>
      <c r="H765" s="11" t="s">
        <v>7962</v>
      </c>
    </row>
    <row r="766" customFormat="false" ht="15" hidden="false" customHeight="false" outlineLevel="0" collapsed="false">
      <c r="A766" s="11" t="s">
        <v>7963</v>
      </c>
      <c r="B766" s="11" t="s">
        <v>839</v>
      </c>
      <c r="C766" s="11" t="s">
        <v>158</v>
      </c>
      <c r="D766" s="6" t="n">
        <v>520702</v>
      </c>
      <c r="E766" s="5" t="s">
        <v>141</v>
      </c>
      <c r="F766" s="5" t="s">
        <v>141</v>
      </c>
      <c r="G766" s="11" t="s">
        <v>140</v>
      </c>
      <c r="H766" s="11" t="s">
        <v>7964</v>
      </c>
    </row>
    <row r="767" customFormat="false" ht="17.15" hidden="false" customHeight="false" outlineLevel="0" collapsed="false">
      <c r="A767" s="11" t="s">
        <v>7965</v>
      </c>
      <c r="B767" s="11" t="s">
        <v>6457</v>
      </c>
      <c r="C767" s="11" t="s">
        <v>172</v>
      </c>
      <c r="D767" s="6" t="n">
        <v>520193</v>
      </c>
      <c r="E767" s="5" t="s">
        <v>6264</v>
      </c>
      <c r="F767" s="5" t="s">
        <v>6264</v>
      </c>
      <c r="G767" s="11" t="s">
        <v>131</v>
      </c>
      <c r="H767" s="11" t="s">
        <v>7966</v>
      </c>
    </row>
    <row r="768" customFormat="false" ht="17.15" hidden="false" customHeight="false" outlineLevel="0" collapsed="false">
      <c r="A768" s="11" t="s">
        <v>7967</v>
      </c>
      <c r="B768" s="11" t="s">
        <v>681</v>
      </c>
      <c r="C768" s="11" t="s">
        <v>172</v>
      </c>
      <c r="D768" s="6" t="n">
        <v>519791</v>
      </c>
      <c r="E768" s="5" t="s">
        <v>6207</v>
      </c>
      <c r="F768" s="5" t="s">
        <v>6207</v>
      </c>
      <c r="G768" s="11" t="s">
        <v>134</v>
      </c>
      <c r="H768" s="11" t="s">
        <v>7968</v>
      </c>
    </row>
    <row r="769" customFormat="false" ht="15" hidden="false" customHeight="false" outlineLevel="0" collapsed="false">
      <c r="A769" s="11" t="s">
        <v>7969</v>
      </c>
      <c r="B769" s="11" t="s">
        <v>2693</v>
      </c>
      <c r="C769" s="11" t="s">
        <v>172</v>
      </c>
      <c r="D769" s="6" t="n">
        <v>519064</v>
      </c>
      <c r="E769" s="5" t="s">
        <v>141</v>
      </c>
      <c r="F769" s="5" t="s">
        <v>141</v>
      </c>
      <c r="G769" s="11" t="s">
        <v>140</v>
      </c>
      <c r="H769" s="11" t="s">
        <v>7970</v>
      </c>
    </row>
    <row r="770" customFormat="false" ht="17.15" hidden="false" customHeight="false" outlineLevel="0" collapsed="false">
      <c r="A770" s="11" t="s">
        <v>7971</v>
      </c>
      <c r="B770" s="11" t="s">
        <v>7249</v>
      </c>
      <c r="C770" s="11" t="s">
        <v>162</v>
      </c>
      <c r="D770" s="6" t="n">
        <v>517814</v>
      </c>
      <c r="E770" s="5" t="s">
        <v>6207</v>
      </c>
      <c r="F770" s="5" t="s">
        <v>6207</v>
      </c>
      <c r="G770" s="11" t="s">
        <v>134</v>
      </c>
      <c r="H770" s="11" t="s">
        <v>7972</v>
      </c>
    </row>
    <row r="771" customFormat="false" ht="17.15" hidden="false" customHeight="false" outlineLevel="0" collapsed="false">
      <c r="A771" s="11" t="s">
        <v>7973</v>
      </c>
      <c r="B771" s="11" t="s">
        <v>402</v>
      </c>
      <c r="C771" s="11" t="s">
        <v>150</v>
      </c>
      <c r="D771" s="6" t="n">
        <v>517375</v>
      </c>
      <c r="E771" s="5" t="s">
        <v>6210</v>
      </c>
      <c r="F771" s="5" t="s">
        <v>6210</v>
      </c>
      <c r="G771" s="11" t="s">
        <v>137</v>
      </c>
      <c r="H771" s="11" t="s">
        <v>7974</v>
      </c>
    </row>
    <row r="772" customFormat="false" ht="17.15" hidden="false" customHeight="false" outlineLevel="0" collapsed="false">
      <c r="A772" s="11" t="s">
        <v>7975</v>
      </c>
      <c r="B772" s="11" t="s">
        <v>681</v>
      </c>
      <c r="C772" s="11" t="s">
        <v>161</v>
      </c>
      <c r="D772" s="6" t="n">
        <v>516822</v>
      </c>
      <c r="E772" s="5" t="s">
        <v>6207</v>
      </c>
      <c r="F772" s="5" t="s">
        <v>6207</v>
      </c>
      <c r="G772" s="11" t="s">
        <v>134</v>
      </c>
      <c r="H772" s="11" t="s">
        <v>7976</v>
      </c>
    </row>
    <row r="773" customFormat="false" ht="17.15" hidden="false" customHeight="false" outlineLevel="0" collapsed="false">
      <c r="A773" s="11" t="s">
        <v>7977</v>
      </c>
      <c r="B773" s="11" t="s">
        <v>7356</v>
      </c>
      <c r="C773" s="11" t="s">
        <v>197</v>
      </c>
      <c r="D773" s="6" t="n">
        <v>515650</v>
      </c>
      <c r="E773" s="5" t="s">
        <v>6207</v>
      </c>
      <c r="F773" s="5" t="s">
        <v>6214</v>
      </c>
      <c r="G773" s="11" t="s">
        <v>6215</v>
      </c>
      <c r="H773" s="11" t="s">
        <v>7978</v>
      </c>
    </row>
    <row r="774" customFormat="false" ht="17.15" hidden="false" customHeight="false" outlineLevel="0" collapsed="false">
      <c r="A774" s="11" t="s">
        <v>7979</v>
      </c>
      <c r="B774" s="11" t="s">
        <v>6756</v>
      </c>
      <c r="C774" s="5"/>
      <c r="D774" s="6" t="n">
        <v>515312</v>
      </c>
      <c r="E774" s="5" t="s">
        <v>6207</v>
      </c>
      <c r="F774" s="5" t="s">
        <v>6207</v>
      </c>
      <c r="G774" s="11" t="s">
        <v>134</v>
      </c>
      <c r="H774" s="11" t="s">
        <v>7980</v>
      </c>
    </row>
    <row r="775" customFormat="false" ht="17.15" hidden="false" customHeight="false" outlineLevel="0" collapsed="false">
      <c r="A775" s="11" t="s">
        <v>7981</v>
      </c>
      <c r="B775" s="11" t="s">
        <v>5250</v>
      </c>
      <c r="C775" s="11" t="s">
        <v>198</v>
      </c>
      <c r="D775" s="6" t="n">
        <v>514397</v>
      </c>
      <c r="E775" s="5" t="s">
        <v>141</v>
      </c>
      <c r="F775" s="5" t="s">
        <v>6495</v>
      </c>
      <c r="G775" s="11" t="s">
        <v>6496</v>
      </c>
      <c r="H775" s="11" t="s">
        <v>7982</v>
      </c>
    </row>
    <row r="776" customFormat="false" ht="17.15" hidden="false" customHeight="false" outlineLevel="0" collapsed="false">
      <c r="A776" s="11" t="s">
        <v>7983</v>
      </c>
      <c r="B776" s="11" t="s">
        <v>7984</v>
      </c>
      <c r="C776" s="11" t="s">
        <v>192</v>
      </c>
      <c r="D776" s="6" t="n">
        <v>513417</v>
      </c>
      <c r="E776" s="5" t="s">
        <v>6239</v>
      </c>
      <c r="F776" s="5" t="s">
        <v>6239</v>
      </c>
      <c r="G776" s="11" t="s">
        <v>143</v>
      </c>
      <c r="H776" s="11" t="s">
        <v>7985</v>
      </c>
    </row>
    <row r="777" customFormat="false" ht="17.15" hidden="false" customHeight="false" outlineLevel="0" collapsed="false">
      <c r="A777" s="11" t="s">
        <v>7986</v>
      </c>
      <c r="B777" s="11" t="s">
        <v>1374</v>
      </c>
      <c r="C777" s="11" t="s">
        <v>175</v>
      </c>
      <c r="D777" s="6" t="n">
        <v>511543</v>
      </c>
      <c r="E777" s="5" t="s">
        <v>6207</v>
      </c>
      <c r="F777" s="5" t="s">
        <v>6207</v>
      </c>
      <c r="G777" s="11" t="s">
        <v>134</v>
      </c>
      <c r="H777" s="11" t="s">
        <v>7987</v>
      </c>
    </row>
    <row r="778" customFormat="false" ht="17.15" hidden="false" customHeight="false" outlineLevel="0" collapsed="false">
      <c r="A778" s="11" t="s">
        <v>7988</v>
      </c>
      <c r="B778" s="11" t="s">
        <v>7989</v>
      </c>
      <c r="C778" s="11" t="s">
        <v>149</v>
      </c>
      <c r="D778" s="6" t="n">
        <v>511454</v>
      </c>
      <c r="E778" s="5" t="s">
        <v>6207</v>
      </c>
      <c r="F778" s="5" t="s">
        <v>6207</v>
      </c>
      <c r="G778" s="11" t="s">
        <v>134</v>
      </c>
      <c r="H778" s="11" t="s">
        <v>7990</v>
      </c>
    </row>
    <row r="779" customFormat="false" ht="17.15" hidden="false" customHeight="false" outlineLevel="0" collapsed="false">
      <c r="A779" s="11" t="s">
        <v>7991</v>
      </c>
      <c r="B779" s="11" t="s">
        <v>7992</v>
      </c>
      <c r="C779" s="11" t="s">
        <v>155</v>
      </c>
      <c r="D779" s="6" t="n">
        <v>511422</v>
      </c>
      <c r="E779" s="5" t="s">
        <v>6207</v>
      </c>
      <c r="F779" s="5" t="s">
        <v>6207</v>
      </c>
      <c r="G779" s="11" t="s">
        <v>134</v>
      </c>
      <c r="H779" s="11" t="s">
        <v>7993</v>
      </c>
    </row>
    <row r="780" customFormat="false" ht="17.15" hidden="false" customHeight="false" outlineLevel="0" collapsed="false">
      <c r="A780" s="11" t="s">
        <v>7994</v>
      </c>
      <c r="B780" s="11" t="s">
        <v>402</v>
      </c>
      <c r="C780" s="11" t="s">
        <v>150</v>
      </c>
      <c r="D780" s="6" t="n">
        <v>510238</v>
      </c>
      <c r="E780" s="5" t="s">
        <v>6207</v>
      </c>
      <c r="F780" s="5" t="s">
        <v>6207</v>
      </c>
      <c r="G780" s="11" t="s">
        <v>134</v>
      </c>
      <c r="H780" s="11" t="s">
        <v>7995</v>
      </c>
    </row>
    <row r="781" customFormat="false" ht="17.15" hidden="false" customHeight="false" outlineLevel="0" collapsed="false">
      <c r="A781" s="11" t="s">
        <v>7996</v>
      </c>
      <c r="B781" s="11" t="s">
        <v>368</v>
      </c>
      <c r="C781" s="11" t="s">
        <v>162</v>
      </c>
      <c r="D781" s="6" t="n">
        <v>508747</v>
      </c>
      <c r="E781" s="5" t="s">
        <v>6207</v>
      </c>
      <c r="F781" s="5" t="s">
        <v>6207</v>
      </c>
      <c r="G781" s="11" t="s">
        <v>134</v>
      </c>
      <c r="H781" s="11" t="s">
        <v>7997</v>
      </c>
    </row>
    <row r="782" customFormat="false" ht="17.15" hidden="false" customHeight="false" outlineLevel="0" collapsed="false">
      <c r="A782" s="11" t="s">
        <v>7998</v>
      </c>
      <c r="B782" s="11" t="s">
        <v>7057</v>
      </c>
      <c r="C782" s="11" t="s">
        <v>197</v>
      </c>
      <c r="D782" s="6" t="n">
        <v>507877</v>
      </c>
      <c r="E782" s="5" t="s">
        <v>6207</v>
      </c>
      <c r="F782" s="5" t="s">
        <v>6214</v>
      </c>
      <c r="G782" s="11" t="s">
        <v>6215</v>
      </c>
      <c r="H782" s="11" t="s">
        <v>7999</v>
      </c>
    </row>
    <row r="783" customFormat="false" ht="17.15" hidden="false" customHeight="false" outlineLevel="0" collapsed="false">
      <c r="A783" s="11" t="s">
        <v>8000</v>
      </c>
      <c r="B783" s="11" t="s">
        <v>8001</v>
      </c>
      <c r="C783" s="11" t="s">
        <v>174</v>
      </c>
      <c r="D783" s="6" t="n">
        <v>507845</v>
      </c>
      <c r="E783" s="5" t="s">
        <v>6207</v>
      </c>
      <c r="F783" s="5" t="s">
        <v>6207</v>
      </c>
      <c r="G783" s="11" t="s">
        <v>134</v>
      </c>
      <c r="H783" s="11" t="s">
        <v>8002</v>
      </c>
    </row>
    <row r="784" customFormat="false" ht="17.15" hidden="false" customHeight="false" outlineLevel="0" collapsed="false">
      <c r="A784" s="11" t="s">
        <v>8003</v>
      </c>
      <c r="B784" s="11" t="s">
        <v>6581</v>
      </c>
      <c r="C784" s="11" t="s">
        <v>155</v>
      </c>
      <c r="D784" s="6" t="n">
        <v>507783</v>
      </c>
      <c r="E784" s="5" t="s">
        <v>6264</v>
      </c>
      <c r="F784" s="5" t="s">
        <v>6264</v>
      </c>
      <c r="G784" s="11" t="s">
        <v>131</v>
      </c>
      <c r="H784" s="11" t="s">
        <v>8004</v>
      </c>
    </row>
    <row r="785" customFormat="false" ht="17.15" hidden="false" customHeight="false" outlineLevel="0" collapsed="false">
      <c r="A785" s="11" t="s">
        <v>8005</v>
      </c>
      <c r="B785" s="11" t="s">
        <v>327</v>
      </c>
      <c r="C785" s="11" t="s">
        <v>172</v>
      </c>
      <c r="D785" s="6" t="n">
        <v>506552</v>
      </c>
      <c r="E785" s="5" t="s">
        <v>6207</v>
      </c>
      <c r="F785" s="5" t="s">
        <v>6207</v>
      </c>
      <c r="G785" s="11" t="s">
        <v>134</v>
      </c>
      <c r="H785" s="11" t="s">
        <v>8006</v>
      </c>
    </row>
    <row r="786" customFormat="false" ht="17.15" hidden="false" customHeight="false" outlineLevel="0" collapsed="false">
      <c r="A786" s="11" t="s">
        <v>8007</v>
      </c>
      <c r="B786" s="11" t="s">
        <v>8008</v>
      </c>
      <c r="C786" s="11" t="s">
        <v>161</v>
      </c>
      <c r="D786" s="6" t="n">
        <v>506304</v>
      </c>
      <c r="E786" s="5" t="s">
        <v>6207</v>
      </c>
      <c r="F786" s="5" t="s">
        <v>6207</v>
      </c>
      <c r="G786" s="11" t="s">
        <v>134</v>
      </c>
      <c r="H786" s="11" t="s">
        <v>8009</v>
      </c>
    </row>
    <row r="787" customFormat="false" ht="15" hidden="false" customHeight="false" outlineLevel="0" collapsed="false">
      <c r="A787" s="11" t="s">
        <v>8010</v>
      </c>
      <c r="B787" s="11" t="s">
        <v>839</v>
      </c>
      <c r="C787" s="11" t="s">
        <v>158</v>
      </c>
      <c r="D787" s="6" t="n">
        <v>506247</v>
      </c>
      <c r="E787" s="5" t="s">
        <v>141</v>
      </c>
      <c r="F787" s="5" t="s">
        <v>141</v>
      </c>
      <c r="G787" s="11" t="s">
        <v>140</v>
      </c>
      <c r="H787" s="11" t="s">
        <v>8011</v>
      </c>
    </row>
    <row r="788" customFormat="false" ht="17.15" hidden="false" customHeight="false" outlineLevel="0" collapsed="false">
      <c r="A788" s="11" t="s">
        <v>8012</v>
      </c>
      <c r="B788" s="11" t="s">
        <v>8013</v>
      </c>
      <c r="C788" s="11" t="s">
        <v>159</v>
      </c>
      <c r="D788" s="6" t="n">
        <v>505698</v>
      </c>
      <c r="E788" s="5" t="s">
        <v>6207</v>
      </c>
      <c r="F788" s="5" t="s">
        <v>6207</v>
      </c>
      <c r="G788" s="11" t="s">
        <v>134</v>
      </c>
      <c r="H788" s="11" t="s">
        <v>8014</v>
      </c>
    </row>
    <row r="789" customFormat="false" ht="17.15" hidden="false" customHeight="false" outlineLevel="0" collapsed="false">
      <c r="A789" s="11" t="s">
        <v>8015</v>
      </c>
      <c r="B789" s="11" t="s">
        <v>8016</v>
      </c>
      <c r="C789" s="11" t="s">
        <v>149</v>
      </c>
      <c r="D789" s="6" t="n">
        <v>505560</v>
      </c>
      <c r="E789" s="5" t="s">
        <v>6207</v>
      </c>
      <c r="F789" s="5" t="s">
        <v>6207</v>
      </c>
      <c r="G789" s="11" t="s">
        <v>134</v>
      </c>
      <c r="H789" s="11" t="s">
        <v>8017</v>
      </c>
    </row>
    <row r="790" customFormat="false" ht="15" hidden="false" customHeight="false" outlineLevel="0" collapsed="false">
      <c r="A790" s="11" t="s">
        <v>8018</v>
      </c>
      <c r="B790" s="11" t="s">
        <v>6572</v>
      </c>
      <c r="C790" s="11" t="s">
        <v>161</v>
      </c>
      <c r="D790" s="6" t="n">
        <v>504974</v>
      </c>
      <c r="E790" s="5" t="s">
        <v>141</v>
      </c>
      <c r="F790" s="5" t="s">
        <v>141</v>
      </c>
      <c r="G790" s="11" t="s">
        <v>140</v>
      </c>
      <c r="H790" s="11" t="s">
        <v>8019</v>
      </c>
    </row>
    <row r="791" customFormat="false" ht="17.15" hidden="false" customHeight="false" outlineLevel="0" collapsed="false">
      <c r="A791" s="11" t="s">
        <v>8020</v>
      </c>
      <c r="B791" s="11" t="s">
        <v>8021</v>
      </c>
      <c r="C791" s="11" t="s">
        <v>152</v>
      </c>
      <c r="D791" s="6" t="n">
        <v>504546</v>
      </c>
      <c r="E791" s="5" t="s">
        <v>6207</v>
      </c>
      <c r="F791" s="5" t="s">
        <v>6207</v>
      </c>
      <c r="G791" s="11" t="s">
        <v>134</v>
      </c>
      <c r="H791" s="11" t="s">
        <v>8022</v>
      </c>
    </row>
    <row r="792" customFormat="false" ht="17.15" hidden="false" customHeight="false" outlineLevel="0" collapsed="false">
      <c r="A792" s="11" t="s">
        <v>8023</v>
      </c>
      <c r="B792" s="11" t="s">
        <v>6301</v>
      </c>
      <c r="C792" s="11" t="s">
        <v>175</v>
      </c>
      <c r="D792" s="6" t="n">
        <v>503944</v>
      </c>
      <c r="E792" s="5" t="s">
        <v>6207</v>
      </c>
      <c r="F792" s="5" t="s">
        <v>6207</v>
      </c>
      <c r="G792" s="11" t="s">
        <v>134</v>
      </c>
      <c r="H792" s="11" t="s">
        <v>8024</v>
      </c>
    </row>
    <row r="793" customFormat="false" ht="17.15" hidden="false" customHeight="false" outlineLevel="0" collapsed="false">
      <c r="A793" s="11" t="s">
        <v>8025</v>
      </c>
      <c r="B793" s="11" t="s">
        <v>7406</v>
      </c>
      <c r="C793" s="11" t="s">
        <v>162</v>
      </c>
      <c r="D793" s="6" t="n">
        <v>503864</v>
      </c>
      <c r="E793" s="5" t="s">
        <v>6207</v>
      </c>
      <c r="F793" s="5" t="s">
        <v>6207</v>
      </c>
      <c r="G793" s="11" t="s">
        <v>134</v>
      </c>
      <c r="H793" s="11" t="s">
        <v>8026</v>
      </c>
    </row>
    <row r="794" customFormat="false" ht="17.15" hidden="false" customHeight="false" outlineLevel="0" collapsed="false">
      <c r="A794" s="11" t="s">
        <v>8027</v>
      </c>
      <c r="B794" s="11" t="s">
        <v>8028</v>
      </c>
      <c r="C794" s="11" t="s">
        <v>155</v>
      </c>
      <c r="D794" s="6" t="n">
        <v>502132</v>
      </c>
      <c r="E794" s="5" t="s">
        <v>6207</v>
      </c>
      <c r="F794" s="5" t="s">
        <v>6207</v>
      </c>
      <c r="G794" s="11" t="s">
        <v>134</v>
      </c>
      <c r="H794" s="11" t="s">
        <v>8029</v>
      </c>
    </row>
    <row r="795" customFormat="false" ht="15" hidden="false" customHeight="false" outlineLevel="0" collapsed="false">
      <c r="A795" s="11" t="s">
        <v>8030</v>
      </c>
      <c r="B795" s="11" t="s">
        <v>6363</v>
      </c>
      <c r="C795" s="11" t="s">
        <v>174</v>
      </c>
      <c r="D795" s="6" t="n">
        <v>502014</v>
      </c>
      <c r="E795" s="5" t="s">
        <v>141</v>
      </c>
      <c r="F795" s="5" t="s">
        <v>141</v>
      </c>
      <c r="G795" s="11" t="s">
        <v>140</v>
      </c>
      <c r="H795" s="11" t="s">
        <v>8031</v>
      </c>
    </row>
    <row r="796" customFormat="false" ht="17.15" hidden="false" customHeight="false" outlineLevel="0" collapsed="false">
      <c r="A796" s="11" t="s">
        <v>8032</v>
      </c>
      <c r="B796" s="11" t="s">
        <v>5115</v>
      </c>
      <c r="C796" s="11" t="s">
        <v>155</v>
      </c>
      <c r="D796" s="6" t="n">
        <v>500301</v>
      </c>
      <c r="E796" s="5" t="s">
        <v>6210</v>
      </c>
      <c r="F796" s="5" t="s">
        <v>6210</v>
      </c>
      <c r="G796" s="11" t="s">
        <v>137</v>
      </c>
      <c r="H796" s="11" t="s">
        <v>8033</v>
      </c>
    </row>
    <row r="797" customFormat="false" ht="17.15" hidden="false" customHeight="false" outlineLevel="0" collapsed="false">
      <c r="A797" s="11" t="s">
        <v>8034</v>
      </c>
      <c r="B797" s="11" t="s">
        <v>5203</v>
      </c>
      <c r="C797" s="11" t="s">
        <v>152</v>
      </c>
      <c r="D797" s="6" t="n">
        <v>499833</v>
      </c>
      <c r="E797" s="5" t="s">
        <v>6207</v>
      </c>
      <c r="F797" s="5" t="s">
        <v>6207</v>
      </c>
      <c r="G797" s="11" t="s">
        <v>134</v>
      </c>
      <c r="H797" s="11" t="s">
        <v>8035</v>
      </c>
    </row>
    <row r="798" customFormat="false" ht="17.15" hidden="false" customHeight="false" outlineLevel="0" collapsed="false">
      <c r="A798" s="11" t="s">
        <v>8036</v>
      </c>
      <c r="B798" s="11" t="s">
        <v>8037</v>
      </c>
      <c r="C798" s="11" t="s">
        <v>162</v>
      </c>
      <c r="D798" s="6" t="n">
        <v>498402</v>
      </c>
      <c r="E798" s="5" t="s">
        <v>6207</v>
      </c>
      <c r="F798" s="5" t="s">
        <v>6207</v>
      </c>
      <c r="G798" s="11" t="s">
        <v>134</v>
      </c>
      <c r="H798" s="11" t="s">
        <v>8038</v>
      </c>
    </row>
    <row r="799" customFormat="false" ht="17.15" hidden="false" customHeight="false" outlineLevel="0" collapsed="false">
      <c r="A799" s="11" t="s">
        <v>8039</v>
      </c>
      <c r="B799" s="11" t="s">
        <v>6647</v>
      </c>
      <c r="C799" s="11" t="s">
        <v>155</v>
      </c>
      <c r="D799" s="6" t="n">
        <v>497473</v>
      </c>
      <c r="E799" s="5" t="s">
        <v>6264</v>
      </c>
      <c r="F799" s="5" t="s">
        <v>6264</v>
      </c>
      <c r="G799" s="11" t="s">
        <v>131</v>
      </c>
      <c r="H799" s="11" t="s">
        <v>8040</v>
      </c>
    </row>
    <row r="800" customFormat="false" ht="17.15" hidden="false" customHeight="false" outlineLevel="0" collapsed="false">
      <c r="A800" s="11" t="s">
        <v>8041</v>
      </c>
      <c r="B800" s="11" t="s">
        <v>368</v>
      </c>
      <c r="C800" s="11" t="s">
        <v>172</v>
      </c>
      <c r="D800" s="6" t="n">
        <v>496843</v>
      </c>
      <c r="E800" s="5" t="s">
        <v>6207</v>
      </c>
      <c r="F800" s="5" t="s">
        <v>6207</v>
      </c>
      <c r="G800" s="11" t="s">
        <v>134</v>
      </c>
      <c r="H800" s="11" t="s">
        <v>8042</v>
      </c>
    </row>
    <row r="801" customFormat="false" ht="17.15" hidden="false" customHeight="false" outlineLevel="0" collapsed="false">
      <c r="A801" s="11" t="s">
        <v>8043</v>
      </c>
      <c r="B801" s="11" t="s">
        <v>8044</v>
      </c>
      <c r="C801" s="11" t="s">
        <v>162</v>
      </c>
      <c r="D801" s="6" t="n">
        <v>496690</v>
      </c>
      <c r="E801" s="5" t="s">
        <v>6207</v>
      </c>
      <c r="F801" s="5" t="s">
        <v>6207</v>
      </c>
      <c r="G801" s="11" t="s">
        <v>134</v>
      </c>
      <c r="H801" s="11" t="s">
        <v>8045</v>
      </c>
    </row>
    <row r="802" customFormat="false" ht="15" hidden="false" customHeight="false" outlineLevel="0" collapsed="false">
      <c r="A802" s="11" t="s">
        <v>8046</v>
      </c>
      <c r="B802" s="11" t="s">
        <v>7768</v>
      </c>
      <c r="C802" s="11" t="s">
        <v>157</v>
      </c>
      <c r="D802" s="6" t="n">
        <v>496026</v>
      </c>
      <c r="E802" s="5" t="s">
        <v>6413</v>
      </c>
      <c r="F802" s="5" t="s">
        <v>6413</v>
      </c>
      <c r="G802" s="11" t="s">
        <v>128</v>
      </c>
      <c r="H802" s="11" t="s">
        <v>8047</v>
      </c>
    </row>
    <row r="803" customFormat="false" ht="17.15" hidden="false" customHeight="false" outlineLevel="0" collapsed="false">
      <c r="A803" s="11" t="s">
        <v>8048</v>
      </c>
      <c r="B803" s="11" t="s">
        <v>3814</v>
      </c>
      <c r="C803" s="11" t="s">
        <v>155</v>
      </c>
      <c r="D803" s="6" t="n">
        <v>495937</v>
      </c>
      <c r="E803" s="5" t="s">
        <v>6207</v>
      </c>
      <c r="F803" s="5" t="s">
        <v>6207</v>
      </c>
      <c r="G803" s="11" t="s">
        <v>134</v>
      </c>
      <c r="H803" s="11" t="s">
        <v>8049</v>
      </c>
    </row>
    <row r="804" customFormat="false" ht="17.15" hidden="false" customHeight="false" outlineLevel="0" collapsed="false">
      <c r="A804" s="11" t="s">
        <v>8050</v>
      </c>
      <c r="B804" s="11" t="s">
        <v>6581</v>
      </c>
      <c r="C804" s="11" t="s">
        <v>161</v>
      </c>
      <c r="D804" s="6" t="n">
        <v>492857</v>
      </c>
      <c r="E804" s="5" t="s">
        <v>6264</v>
      </c>
      <c r="F804" s="5" t="s">
        <v>6264</v>
      </c>
      <c r="G804" s="11" t="s">
        <v>131</v>
      </c>
      <c r="H804" s="11" t="s">
        <v>8051</v>
      </c>
    </row>
    <row r="805" customFormat="false" ht="17.15" hidden="false" customHeight="false" outlineLevel="0" collapsed="false">
      <c r="A805" s="11" t="s">
        <v>8052</v>
      </c>
      <c r="B805" s="11" t="s">
        <v>6528</v>
      </c>
      <c r="C805" s="11" t="s">
        <v>193</v>
      </c>
      <c r="D805" s="6" t="n">
        <v>492288</v>
      </c>
      <c r="E805" s="5" t="s">
        <v>6239</v>
      </c>
      <c r="F805" s="5" t="s">
        <v>6239</v>
      </c>
      <c r="G805" s="11" t="s">
        <v>143</v>
      </c>
      <c r="H805" s="11" t="s">
        <v>8053</v>
      </c>
    </row>
    <row r="806" customFormat="false" ht="17.15" hidden="false" customHeight="false" outlineLevel="0" collapsed="false">
      <c r="A806" s="11" t="s">
        <v>8054</v>
      </c>
      <c r="B806" s="11" t="s">
        <v>402</v>
      </c>
      <c r="C806" s="11" t="s">
        <v>150</v>
      </c>
      <c r="D806" s="6" t="n">
        <v>491637</v>
      </c>
      <c r="E806" s="5" t="s">
        <v>6210</v>
      </c>
      <c r="F806" s="5" t="s">
        <v>6210</v>
      </c>
      <c r="G806" s="11" t="s">
        <v>137</v>
      </c>
      <c r="H806" s="11" t="s">
        <v>8055</v>
      </c>
    </row>
    <row r="807" customFormat="false" ht="17.15" hidden="false" customHeight="false" outlineLevel="0" collapsed="false">
      <c r="A807" s="11" t="s">
        <v>8056</v>
      </c>
      <c r="B807" s="11" t="s">
        <v>753</v>
      </c>
      <c r="C807" s="11" t="s">
        <v>155</v>
      </c>
      <c r="D807" s="6" t="n">
        <v>491218</v>
      </c>
      <c r="E807" s="5" t="s">
        <v>6210</v>
      </c>
      <c r="F807" s="5" t="s">
        <v>6210</v>
      </c>
      <c r="G807" s="11" t="s">
        <v>137</v>
      </c>
      <c r="H807" s="11" t="s">
        <v>8057</v>
      </c>
    </row>
    <row r="808" customFormat="false" ht="17.15" hidden="false" customHeight="false" outlineLevel="0" collapsed="false">
      <c r="A808" s="11" t="s">
        <v>8058</v>
      </c>
      <c r="B808" s="11" t="s">
        <v>8059</v>
      </c>
      <c r="C808" s="11" t="s">
        <v>162</v>
      </c>
      <c r="D808" s="6" t="n">
        <v>490805</v>
      </c>
      <c r="E808" s="5" t="s">
        <v>6207</v>
      </c>
      <c r="F808" s="5" t="s">
        <v>6207</v>
      </c>
      <c r="G808" s="11" t="s">
        <v>134</v>
      </c>
      <c r="H808" s="11" t="s">
        <v>8060</v>
      </c>
    </row>
    <row r="809" customFormat="false" ht="17.15" hidden="false" customHeight="false" outlineLevel="0" collapsed="false">
      <c r="A809" s="11" t="s">
        <v>8061</v>
      </c>
      <c r="B809" s="11" t="s">
        <v>6581</v>
      </c>
      <c r="C809" s="11" t="s">
        <v>155</v>
      </c>
      <c r="D809" s="6" t="n">
        <v>489621</v>
      </c>
      <c r="E809" s="5" t="s">
        <v>6264</v>
      </c>
      <c r="F809" s="5" t="s">
        <v>6264</v>
      </c>
      <c r="G809" s="11" t="s">
        <v>131</v>
      </c>
      <c r="H809" s="11" t="s">
        <v>8062</v>
      </c>
    </row>
    <row r="810" customFormat="false" ht="17.15" hidden="false" customHeight="false" outlineLevel="0" collapsed="false">
      <c r="A810" s="11" t="s">
        <v>8063</v>
      </c>
      <c r="B810" s="11" t="s">
        <v>8064</v>
      </c>
      <c r="C810" s="11" t="s">
        <v>152</v>
      </c>
      <c r="D810" s="6" t="n">
        <v>489539</v>
      </c>
      <c r="E810" s="5" t="s">
        <v>6207</v>
      </c>
      <c r="F810" s="5" t="s">
        <v>6207</v>
      </c>
      <c r="G810" s="11" t="s">
        <v>134</v>
      </c>
      <c r="H810" s="11" t="s">
        <v>8065</v>
      </c>
    </row>
    <row r="811" customFormat="false" ht="17.15" hidden="false" customHeight="false" outlineLevel="0" collapsed="false">
      <c r="A811" s="11" t="s">
        <v>8066</v>
      </c>
      <c r="B811" s="11" t="s">
        <v>8067</v>
      </c>
      <c r="C811" s="11" t="s">
        <v>162</v>
      </c>
      <c r="D811" s="6" t="n">
        <v>489350</v>
      </c>
      <c r="E811" s="5" t="s">
        <v>6207</v>
      </c>
      <c r="F811" s="5" t="s">
        <v>6207</v>
      </c>
      <c r="G811" s="11" t="s">
        <v>134</v>
      </c>
      <c r="H811" s="11" t="s">
        <v>8068</v>
      </c>
    </row>
    <row r="812" customFormat="false" ht="17.15" hidden="false" customHeight="false" outlineLevel="0" collapsed="false">
      <c r="A812" s="11" t="s">
        <v>8069</v>
      </c>
      <c r="B812" s="11" t="s">
        <v>7324</v>
      </c>
      <c r="C812" s="11" t="s">
        <v>178</v>
      </c>
      <c r="D812" s="6" t="n">
        <v>488867</v>
      </c>
      <c r="E812" s="5" t="s">
        <v>6207</v>
      </c>
      <c r="F812" s="5" t="s">
        <v>6207</v>
      </c>
      <c r="G812" s="11" t="s">
        <v>134</v>
      </c>
      <c r="H812" s="11" t="s">
        <v>8070</v>
      </c>
    </row>
    <row r="813" customFormat="false" ht="17.15" hidden="false" customHeight="false" outlineLevel="0" collapsed="false">
      <c r="A813" s="11" t="s">
        <v>8071</v>
      </c>
      <c r="B813" s="11" t="s">
        <v>7648</v>
      </c>
      <c r="C813" s="11" t="s">
        <v>173</v>
      </c>
      <c r="D813" s="6" t="n">
        <v>486244</v>
      </c>
      <c r="E813" s="5" t="s">
        <v>6207</v>
      </c>
      <c r="F813" s="5" t="s">
        <v>6377</v>
      </c>
      <c r="G813" s="11" t="s">
        <v>6378</v>
      </c>
      <c r="H813" s="11" t="s">
        <v>8072</v>
      </c>
    </row>
    <row r="814" customFormat="false" ht="17.15" hidden="false" customHeight="false" outlineLevel="0" collapsed="false">
      <c r="A814" s="11" t="s">
        <v>8073</v>
      </c>
      <c r="B814" s="11" t="s">
        <v>6647</v>
      </c>
      <c r="C814" s="11" t="s">
        <v>163</v>
      </c>
      <c r="D814" s="6" t="n">
        <v>485513</v>
      </c>
      <c r="E814" s="5" t="s">
        <v>6264</v>
      </c>
      <c r="F814" s="5" t="s">
        <v>6648</v>
      </c>
      <c r="G814" s="11" t="s">
        <v>6649</v>
      </c>
      <c r="H814" s="11" t="s">
        <v>8074</v>
      </c>
    </row>
    <row r="815" customFormat="false" ht="17.15" hidden="false" customHeight="false" outlineLevel="0" collapsed="false">
      <c r="A815" s="11" t="s">
        <v>8075</v>
      </c>
      <c r="B815" s="11" t="s">
        <v>6647</v>
      </c>
      <c r="C815" s="11" t="s">
        <v>155</v>
      </c>
      <c r="D815" s="6" t="n">
        <v>485067</v>
      </c>
      <c r="E815" s="5" t="s">
        <v>6264</v>
      </c>
      <c r="F815" s="5" t="s">
        <v>6264</v>
      </c>
      <c r="G815" s="11" t="s">
        <v>131</v>
      </c>
      <c r="H815" s="11" t="s">
        <v>8076</v>
      </c>
    </row>
    <row r="816" customFormat="false" ht="17.15" hidden="false" customHeight="false" outlineLevel="0" collapsed="false">
      <c r="A816" s="11" t="s">
        <v>8077</v>
      </c>
      <c r="B816" s="11" t="s">
        <v>402</v>
      </c>
      <c r="C816" s="11" t="s">
        <v>150</v>
      </c>
      <c r="D816" s="6" t="n">
        <v>484908</v>
      </c>
      <c r="E816" s="5" t="s">
        <v>6207</v>
      </c>
      <c r="F816" s="5" t="s">
        <v>6207</v>
      </c>
      <c r="G816" s="11" t="s">
        <v>134</v>
      </c>
      <c r="H816" s="11" t="s">
        <v>8078</v>
      </c>
    </row>
    <row r="817" customFormat="false" ht="17.15" hidden="false" customHeight="false" outlineLevel="0" collapsed="false">
      <c r="A817" s="11" t="s">
        <v>8079</v>
      </c>
      <c r="B817" s="11" t="s">
        <v>6827</v>
      </c>
      <c r="C817" s="11" t="s">
        <v>174</v>
      </c>
      <c r="D817" s="6" t="n">
        <v>484819</v>
      </c>
      <c r="E817" s="5" t="s">
        <v>6207</v>
      </c>
      <c r="F817" s="5" t="s">
        <v>6377</v>
      </c>
      <c r="G817" s="11" t="s">
        <v>6378</v>
      </c>
      <c r="H817" s="11" t="s">
        <v>8080</v>
      </c>
    </row>
    <row r="818" customFormat="false" ht="15" hidden="false" customHeight="false" outlineLevel="0" collapsed="false">
      <c r="A818" s="11" t="s">
        <v>8081</v>
      </c>
      <c r="B818" s="11" t="s">
        <v>7489</v>
      </c>
      <c r="C818" s="11" t="s">
        <v>155</v>
      </c>
      <c r="D818" s="6" t="n">
        <v>484756</v>
      </c>
      <c r="E818" s="5" t="s">
        <v>6413</v>
      </c>
      <c r="F818" s="5" t="s">
        <v>6413</v>
      </c>
      <c r="G818" s="11" t="s">
        <v>128</v>
      </c>
      <c r="H818" s="11" t="s">
        <v>8082</v>
      </c>
    </row>
    <row r="819" customFormat="false" ht="17.15" hidden="false" customHeight="false" outlineLevel="0" collapsed="false">
      <c r="A819" s="11" t="s">
        <v>8083</v>
      </c>
      <c r="B819" s="11" t="s">
        <v>327</v>
      </c>
      <c r="C819" s="11" t="s">
        <v>183</v>
      </c>
      <c r="D819" s="6" t="n">
        <v>483162</v>
      </c>
      <c r="E819" s="5" t="s">
        <v>6207</v>
      </c>
      <c r="F819" s="5" t="s">
        <v>6207</v>
      </c>
      <c r="G819" s="11" t="s">
        <v>134</v>
      </c>
      <c r="H819" s="11" t="s">
        <v>8084</v>
      </c>
    </row>
    <row r="820" customFormat="false" ht="17.15" hidden="false" customHeight="false" outlineLevel="0" collapsed="false">
      <c r="A820" s="11" t="s">
        <v>8085</v>
      </c>
      <c r="B820" s="11" t="s">
        <v>1214</v>
      </c>
      <c r="C820" s="11" t="s">
        <v>193</v>
      </c>
      <c r="D820" s="6" t="n">
        <v>482436</v>
      </c>
      <c r="E820" s="5" t="s">
        <v>6239</v>
      </c>
      <c r="F820" s="5" t="s">
        <v>6239</v>
      </c>
      <c r="G820" s="11" t="s">
        <v>143</v>
      </c>
      <c r="H820" s="11" t="s">
        <v>8086</v>
      </c>
    </row>
    <row r="821" customFormat="false" ht="17.15" hidden="false" customHeight="false" outlineLevel="0" collapsed="false">
      <c r="A821" s="11" t="s">
        <v>8087</v>
      </c>
      <c r="B821" s="11" t="s">
        <v>327</v>
      </c>
      <c r="C821" s="11" t="s">
        <v>154</v>
      </c>
      <c r="D821" s="6" t="n">
        <v>481512</v>
      </c>
      <c r="E821" s="5" t="s">
        <v>6210</v>
      </c>
      <c r="F821" s="5" t="s">
        <v>6210</v>
      </c>
      <c r="G821" s="11" t="s">
        <v>137</v>
      </c>
      <c r="H821" s="11" t="s">
        <v>8088</v>
      </c>
    </row>
    <row r="822" customFormat="false" ht="17.15" hidden="false" customHeight="false" outlineLevel="0" collapsed="false">
      <c r="A822" s="11" t="s">
        <v>8089</v>
      </c>
      <c r="B822" s="11" t="s">
        <v>8090</v>
      </c>
      <c r="C822" s="11" t="s">
        <v>149</v>
      </c>
      <c r="D822" s="6" t="n">
        <v>480038</v>
      </c>
      <c r="E822" s="5" t="s">
        <v>6207</v>
      </c>
      <c r="F822" s="5" t="s">
        <v>6207</v>
      </c>
      <c r="G822" s="11" t="s">
        <v>134</v>
      </c>
      <c r="H822" s="11" t="s">
        <v>8091</v>
      </c>
    </row>
    <row r="823" customFormat="false" ht="17.15" hidden="false" customHeight="false" outlineLevel="0" collapsed="false">
      <c r="A823" s="11" t="s">
        <v>8092</v>
      </c>
      <c r="B823" s="11" t="s">
        <v>7552</v>
      </c>
      <c r="C823" s="11" t="s">
        <v>192</v>
      </c>
      <c r="D823" s="6" t="n">
        <v>479895</v>
      </c>
      <c r="E823" s="5" t="s">
        <v>6207</v>
      </c>
      <c r="F823" s="5" t="s">
        <v>6214</v>
      </c>
      <c r="G823" s="11" t="s">
        <v>6215</v>
      </c>
      <c r="H823" s="11" t="s">
        <v>8093</v>
      </c>
    </row>
    <row r="824" customFormat="false" ht="17.15" hidden="false" customHeight="false" outlineLevel="0" collapsed="false">
      <c r="A824" s="11" t="s">
        <v>8094</v>
      </c>
      <c r="B824" s="11" t="s">
        <v>8095</v>
      </c>
      <c r="C824" s="11" t="s">
        <v>150</v>
      </c>
      <c r="D824" s="6" t="n">
        <v>479731</v>
      </c>
      <c r="E824" s="5" t="s">
        <v>6207</v>
      </c>
      <c r="F824" s="5" t="s">
        <v>6207</v>
      </c>
      <c r="G824" s="11" t="s">
        <v>134</v>
      </c>
      <c r="H824" s="11" t="s">
        <v>8096</v>
      </c>
    </row>
    <row r="825" customFormat="false" ht="17.15" hidden="false" customHeight="false" outlineLevel="0" collapsed="false">
      <c r="A825" s="11" t="s">
        <v>8097</v>
      </c>
      <c r="B825" s="11" t="s">
        <v>7643</v>
      </c>
      <c r="C825" s="11" t="s">
        <v>162</v>
      </c>
      <c r="D825" s="6" t="n">
        <v>479470</v>
      </c>
      <c r="E825" s="5" t="s">
        <v>6207</v>
      </c>
      <c r="F825" s="5" t="s">
        <v>6207</v>
      </c>
      <c r="G825" s="11" t="s">
        <v>134</v>
      </c>
      <c r="H825" s="11" t="s">
        <v>8098</v>
      </c>
    </row>
    <row r="826" customFormat="false" ht="17.15" hidden="false" customHeight="false" outlineLevel="0" collapsed="false">
      <c r="A826" s="11" t="s">
        <v>8099</v>
      </c>
      <c r="B826" s="11" t="s">
        <v>6782</v>
      </c>
      <c r="C826" s="11" t="s">
        <v>162</v>
      </c>
      <c r="D826" s="6" t="n">
        <v>478960</v>
      </c>
      <c r="E826" s="5" t="s">
        <v>6207</v>
      </c>
      <c r="F826" s="5" t="s">
        <v>6207</v>
      </c>
      <c r="G826" s="11" t="s">
        <v>134</v>
      </c>
      <c r="H826" s="11" t="s">
        <v>8100</v>
      </c>
    </row>
    <row r="827" customFormat="false" ht="15" hidden="false" customHeight="false" outlineLevel="0" collapsed="false">
      <c r="A827" s="11" t="s">
        <v>8101</v>
      </c>
      <c r="B827" s="11" t="s">
        <v>8102</v>
      </c>
      <c r="C827" s="11" t="s">
        <v>155</v>
      </c>
      <c r="D827" s="6" t="n">
        <v>478877</v>
      </c>
      <c r="E827" s="5" t="s">
        <v>141</v>
      </c>
      <c r="F827" s="5" t="s">
        <v>141</v>
      </c>
      <c r="G827" s="11" t="s">
        <v>140</v>
      </c>
      <c r="H827" s="11" t="s">
        <v>8103</v>
      </c>
    </row>
    <row r="828" customFormat="false" ht="17.15" hidden="false" customHeight="false" outlineLevel="0" collapsed="false">
      <c r="A828" s="11" t="s">
        <v>8104</v>
      </c>
      <c r="B828" s="11" t="s">
        <v>8105</v>
      </c>
      <c r="C828" s="11" t="s">
        <v>169</v>
      </c>
      <c r="D828" s="6" t="n">
        <v>477757</v>
      </c>
      <c r="E828" s="5" t="s">
        <v>6207</v>
      </c>
      <c r="F828" s="5" t="s">
        <v>6207</v>
      </c>
      <c r="G828" s="11" t="s">
        <v>134</v>
      </c>
      <c r="H828" s="11" t="s">
        <v>8106</v>
      </c>
    </row>
    <row r="829" customFormat="false" ht="17.15" hidden="false" customHeight="false" outlineLevel="0" collapsed="false">
      <c r="A829" s="11" t="s">
        <v>8107</v>
      </c>
      <c r="B829" s="11" t="s">
        <v>8108</v>
      </c>
      <c r="C829" s="11" t="s">
        <v>192</v>
      </c>
      <c r="D829" s="6" t="n">
        <v>476471</v>
      </c>
      <c r="E829" s="5" t="s">
        <v>6239</v>
      </c>
      <c r="F829" s="5" t="s">
        <v>6239</v>
      </c>
      <c r="G829" s="11" t="s">
        <v>143</v>
      </c>
      <c r="H829" s="11" t="s">
        <v>8109</v>
      </c>
    </row>
    <row r="830" customFormat="false" ht="15" hidden="false" customHeight="false" outlineLevel="0" collapsed="false">
      <c r="A830" s="11" t="s">
        <v>8110</v>
      </c>
      <c r="B830" s="11" t="s">
        <v>1733</v>
      </c>
      <c r="C830" s="11" t="s">
        <v>155</v>
      </c>
      <c r="D830" s="6" t="n">
        <v>474535</v>
      </c>
      <c r="E830" s="5" t="s">
        <v>6413</v>
      </c>
      <c r="F830" s="5" t="s">
        <v>6413</v>
      </c>
      <c r="G830" s="11" t="s">
        <v>128</v>
      </c>
      <c r="H830" s="11" t="s">
        <v>8111</v>
      </c>
    </row>
    <row r="831" customFormat="false" ht="17.15" hidden="false" customHeight="false" outlineLevel="0" collapsed="false">
      <c r="A831" s="11" t="s">
        <v>8112</v>
      </c>
      <c r="B831" s="11" t="s">
        <v>7092</v>
      </c>
      <c r="C831" s="11" t="s">
        <v>197</v>
      </c>
      <c r="D831" s="6" t="n">
        <v>474033</v>
      </c>
      <c r="E831" s="5" t="s">
        <v>6210</v>
      </c>
      <c r="F831" s="5" t="s">
        <v>6516</v>
      </c>
      <c r="G831" s="11" t="s">
        <v>6517</v>
      </c>
      <c r="H831" s="11" t="s">
        <v>8113</v>
      </c>
    </row>
    <row r="832" customFormat="false" ht="17.15" hidden="false" customHeight="false" outlineLevel="0" collapsed="false">
      <c r="A832" s="11" t="s">
        <v>8114</v>
      </c>
      <c r="B832" s="11" t="s">
        <v>8115</v>
      </c>
      <c r="C832" s="11" t="s">
        <v>192</v>
      </c>
      <c r="D832" s="6" t="n">
        <v>473860</v>
      </c>
      <c r="E832" s="5" t="s">
        <v>6239</v>
      </c>
      <c r="F832" s="5" t="s">
        <v>6239</v>
      </c>
      <c r="G832" s="11" t="s">
        <v>143</v>
      </c>
      <c r="H832" s="11" t="s">
        <v>8116</v>
      </c>
    </row>
    <row r="833" customFormat="false" ht="17.15" hidden="false" customHeight="false" outlineLevel="0" collapsed="false">
      <c r="A833" s="11" t="s">
        <v>8117</v>
      </c>
      <c r="B833" s="11" t="s">
        <v>8118</v>
      </c>
      <c r="C833" s="11" t="s">
        <v>178</v>
      </c>
      <c r="D833" s="6" t="n">
        <v>473571</v>
      </c>
      <c r="E833" s="5" t="s">
        <v>6207</v>
      </c>
      <c r="F833" s="5" t="s">
        <v>6207</v>
      </c>
      <c r="G833" s="11" t="s">
        <v>134</v>
      </c>
      <c r="H833" s="11" t="s">
        <v>8119</v>
      </c>
    </row>
    <row r="834" customFormat="false" ht="17.15" hidden="false" customHeight="false" outlineLevel="0" collapsed="false">
      <c r="A834" s="11" t="s">
        <v>8120</v>
      </c>
      <c r="B834" s="11" t="s">
        <v>6647</v>
      </c>
      <c r="C834" s="11" t="s">
        <v>155</v>
      </c>
      <c r="D834" s="6" t="n">
        <v>472873</v>
      </c>
      <c r="E834" s="5" t="s">
        <v>6264</v>
      </c>
      <c r="F834" s="5" t="s">
        <v>6264</v>
      </c>
      <c r="G834" s="11" t="s">
        <v>131</v>
      </c>
      <c r="H834" s="11" t="s">
        <v>8121</v>
      </c>
    </row>
    <row r="835" customFormat="false" ht="17.15" hidden="false" customHeight="false" outlineLevel="0" collapsed="false">
      <c r="A835" s="11" t="s">
        <v>8122</v>
      </c>
      <c r="B835" s="11" t="s">
        <v>6322</v>
      </c>
      <c r="C835" s="5"/>
      <c r="D835" s="6" t="n">
        <v>472769</v>
      </c>
      <c r="E835" s="5" t="s">
        <v>6207</v>
      </c>
      <c r="F835" s="5" t="s">
        <v>6207</v>
      </c>
      <c r="G835" s="11" t="s">
        <v>134</v>
      </c>
      <c r="H835" s="11" t="s">
        <v>8123</v>
      </c>
    </row>
    <row r="836" customFormat="false" ht="17.15" hidden="false" customHeight="false" outlineLevel="0" collapsed="false">
      <c r="A836" s="11" t="s">
        <v>8124</v>
      </c>
      <c r="B836" s="11" t="s">
        <v>1214</v>
      </c>
      <c r="C836" s="11" t="s">
        <v>192</v>
      </c>
      <c r="D836" s="6" t="n">
        <v>471722</v>
      </c>
      <c r="E836" s="5" t="s">
        <v>6239</v>
      </c>
      <c r="F836" s="5" t="s">
        <v>6239</v>
      </c>
      <c r="G836" s="11" t="s">
        <v>143</v>
      </c>
      <c r="H836" s="11" t="s">
        <v>8125</v>
      </c>
    </row>
    <row r="837" customFormat="false" ht="17.15" hidden="false" customHeight="false" outlineLevel="0" collapsed="false">
      <c r="A837" s="11" t="s">
        <v>8126</v>
      </c>
      <c r="B837" s="11" t="s">
        <v>6647</v>
      </c>
      <c r="C837" s="11" t="s">
        <v>161</v>
      </c>
      <c r="D837" s="6" t="n">
        <v>471407</v>
      </c>
      <c r="E837" s="5" t="s">
        <v>6264</v>
      </c>
      <c r="F837" s="5" t="s">
        <v>6648</v>
      </c>
      <c r="G837" s="11" t="s">
        <v>6649</v>
      </c>
      <c r="H837" s="11" t="s">
        <v>8127</v>
      </c>
    </row>
    <row r="838" customFormat="false" ht="17.15" hidden="false" customHeight="false" outlineLevel="0" collapsed="false">
      <c r="A838" s="11" t="s">
        <v>8128</v>
      </c>
      <c r="B838" s="11" t="s">
        <v>7334</v>
      </c>
      <c r="C838" s="11" t="s">
        <v>192</v>
      </c>
      <c r="D838" s="6" t="n">
        <v>470214</v>
      </c>
      <c r="E838" s="5" t="s">
        <v>6239</v>
      </c>
      <c r="F838" s="5" t="s">
        <v>6239</v>
      </c>
      <c r="G838" s="11" t="s">
        <v>143</v>
      </c>
      <c r="H838" s="11" t="s">
        <v>8129</v>
      </c>
    </row>
    <row r="839" customFormat="false" ht="17.15" hidden="false" customHeight="false" outlineLevel="0" collapsed="false">
      <c r="A839" s="11" t="s">
        <v>8130</v>
      </c>
      <c r="B839" s="11" t="s">
        <v>5991</v>
      </c>
      <c r="C839" s="11" t="s">
        <v>153</v>
      </c>
      <c r="D839" s="6" t="n">
        <v>469776</v>
      </c>
      <c r="E839" s="5" t="s">
        <v>6207</v>
      </c>
      <c r="F839" s="5" t="s">
        <v>6207</v>
      </c>
      <c r="G839" s="11" t="s">
        <v>134</v>
      </c>
      <c r="H839" s="11" t="s">
        <v>8131</v>
      </c>
    </row>
    <row r="840" customFormat="false" ht="17.15" hidden="false" customHeight="false" outlineLevel="0" collapsed="false">
      <c r="A840" s="11" t="s">
        <v>8132</v>
      </c>
      <c r="B840" s="11" t="s">
        <v>6727</v>
      </c>
      <c r="C840" s="11" t="s">
        <v>175</v>
      </c>
      <c r="D840" s="6" t="n">
        <v>468794</v>
      </c>
      <c r="E840" s="5" t="s">
        <v>6207</v>
      </c>
      <c r="F840" s="5" t="s">
        <v>6207</v>
      </c>
      <c r="G840" s="11" t="s">
        <v>134</v>
      </c>
      <c r="H840" s="11" t="s">
        <v>8133</v>
      </c>
    </row>
    <row r="841" customFormat="false" ht="17.15" hidden="false" customHeight="false" outlineLevel="0" collapsed="false">
      <c r="A841" s="11" t="s">
        <v>8134</v>
      </c>
      <c r="B841" s="11" t="s">
        <v>681</v>
      </c>
      <c r="C841" s="5"/>
      <c r="D841" s="6" t="n">
        <v>464640</v>
      </c>
      <c r="E841" s="5" t="s">
        <v>6207</v>
      </c>
      <c r="F841" s="5" t="s">
        <v>6377</v>
      </c>
      <c r="G841" s="11" t="s">
        <v>6378</v>
      </c>
      <c r="H841" s="11" t="s">
        <v>8135</v>
      </c>
    </row>
    <row r="842" customFormat="false" ht="17.15" hidden="false" customHeight="false" outlineLevel="0" collapsed="false">
      <c r="A842" s="11" t="s">
        <v>8136</v>
      </c>
      <c r="B842" s="11" t="s">
        <v>8095</v>
      </c>
      <c r="C842" s="11" t="s">
        <v>150</v>
      </c>
      <c r="D842" s="6" t="n">
        <v>464465</v>
      </c>
      <c r="E842" s="5" t="s">
        <v>6207</v>
      </c>
      <c r="F842" s="5" t="s">
        <v>6207</v>
      </c>
      <c r="G842" s="11" t="s">
        <v>134</v>
      </c>
      <c r="H842" s="11" t="s">
        <v>8137</v>
      </c>
    </row>
    <row r="843" customFormat="false" ht="17.15" hidden="false" customHeight="false" outlineLevel="0" collapsed="false">
      <c r="A843" s="11" t="s">
        <v>8138</v>
      </c>
      <c r="B843" s="11" t="s">
        <v>308</v>
      </c>
      <c r="C843" s="11" t="s">
        <v>197</v>
      </c>
      <c r="D843" s="6" t="n">
        <v>458244</v>
      </c>
      <c r="E843" s="5" t="s">
        <v>6207</v>
      </c>
      <c r="F843" s="5" t="s">
        <v>6214</v>
      </c>
      <c r="G843" s="11" t="s">
        <v>6215</v>
      </c>
      <c r="H843" s="11" t="s">
        <v>8139</v>
      </c>
    </row>
    <row r="844" customFormat="false" ht="17.15" hidden="false" customHeight="false" outlineLevel="0" collapsed="false">
      <c r="A844" s="11" t="s">
        <v>8140</v>
      </c>
      <c r="B844" s="11" t="s">
        <v>681</v>
      </c>
      <c r="C844" s="11" t="s">
        <v>175</v>
      </c>
      <c r="D844" s="6" t="n">
        <v>458074</v>
      </c>
      <c r="E844" s="5" t="s">
        <v>6207</v>
      </c>
      <c r="F844" s="5" t="s">
        <v>6377</v>
      </c>
      <c r="G844" s="11" t="s">
        <v>6378</v>
      </c>
      <c r="H844" s="11" t="s">
        <v>8141</v>
      </c>
    </row>
    <row r="845" customFormat="false" ht="17.15" hidden="false" customHeight="false" outlineLevel="0" collapsed="false">
      <c r="A845" s="11" t="s">
        <v>8142</v>
      </c>
      <c r="B845" s="11" t="s">
        <v>5345</v>
      </c>
      <c r="C845" s="11" t="s">
        <v>162</v>
      </c>
      <c r="D845" s="6" t="n">
        <v>457673</v>
      </c>
      <c r="E845" s="5" t="s">
        <v>6210</v>
      </c>
      <c r="F845" s="5" t="s">
        <v>6210</v>
      </c>
      <c r="G845" s="11" t="s">
        <v>137</v>
      </c>
      <c r="H845" s="11" t="s">
        <v>8143</v>
      </c>
    </row>
    <row r="846" customFormat="false" ht="17.15" hidden="false" customHeight="false" outlineLevel="0" collapsed="false">
      <c r="A846" s="11" t="s">
        <v>8144</v>
      </c>
      <c r="B846" s="11" t="s">
        <v>8145</v>
      </c>
      <c r="C846" s="11" t="s">
        <v>172</v>
      </c>
      <c r="D846" s="6" t="n">
        <v>456199</v>
      </c>
      <c r="E846" s="5" t="s">
        <v>6207</v>
      </c>
      <c r="F846" s="5" t="s">
        <v>6207</v>
      </c>
      <c r="G846" s="11" t="s">
        <v>134</v>
      </c>
      <c r="H846" s="11" t="s">
        <v>8146</v>
      </c>
    </row>
    <row r="847" customFormat="false" ht="17.15" hidden="false" customHeight="false" outlineLevel="0" collapsed="false">
      <c r="A847" s="11" t="s">
        <v>8147</v>
      </c>
      <c r="B847" s="11" t="s">
        <v>3947</v>
      </c>
      <c r="C847" s="11" t="s">
        <v>155</v>
      </c>
      <c r="D847" s="6" t="n">
        <v>455868</v>
      </c>
      <c r="E847" s="5" t="s">
        <v>6210</v>
      </c>
      <c r="F847" s="5" t="s">
        <v>6210</v>
      </c>
      <c r="G847" s="11" t="s">
        <v>137</v>
      </c>
      <c r="H847" s="11" t="s">
        <v>8148</v>
      </c>
    </row>
    <row r="848" customFormat="false" ht="17.15" hidden="false" customHeight="false" outlineLevel="0" collapsed="false">
      <c r="A848" s="11" t="s">
        <v>8149</v>
      </c>
      <c r="B848" s="11" t="s">
        <v>8150</v>
      </c>
      <c r="C848" s="11" t="s">
        <v>168</v>
      </c>
      <c r="D848" s="6" t="n">
        <v>455819</v>
      </c>
      <c r="E848" s="5" t="s">
        <v>6207</v>
      </c>
      <c r="F848" s="5" t="s">
        <v>6207</v>
      </c>
      <c r="G848" s="11" t="s">
        <v>134</v>
      </c>
      <c r="H848" s="11" t="s">
        <v>8151</v>
      </c>
    </row>
    <row r="849" customFormat="false" ht="17.15" hidden="false" customHeight="false" outlineLevel="0" collapsed="false">
      <c r="A849" s="11" t="s">
        <v>8152</v>
      </c>
      <c r="B849" s="11" t="s">
        <v>8153</v>
      </c>
      <c r="C849" s="11" t="s">
        <v>192</v>
      </c>
      <c r="D849" s="6" t="n">
        <v>453786</v>
      </c>
      <c r="E849" s="5" t="s">
        <v>6239</v>
      </c>
      <c r="F849" s="5" t="s">
        <v>6239</v>
      </c>
      <c r="G849" s="11" t="s">
        <v>143</v>
      </c>
      <c r="H849" s="11" t="s">
        <v>8154</v>
      </c>
    </row>
    <row r="850" customFormat="false" ht="17.15" hidden="false" customHeight="false" outlineLevel="0" collapsed="false">
      <c r="A850" s="11" t="s">
        <v>8155</v>
      </c>
      <c r="B850" s="11" t="s">
        <v>6832</v>
      </c>
      <c r="C850" s="11" t="s">
        <v>192</v>
      </c>
      <c r="D850" s="6" t="n">
        <v>452607</v>
      </c>
      <c r="E850" s="5" t="s">
        <v>6239</v>
      </c>
      <c r="F850" s="5" t="s">
        <v>6239</v>
      </c>
      <c r="G850" s="11" t="s">
        <v>143</v>
      </c>
      <c r="H850" s="11" t="s">
        <v>8156</v>
      </c>
    </row>
    <row r="851" customFormat="false" ht="17.15" hidden="false" customHeight="false" outlineLevel="0" collapsed="false">
      <c r="A851" s="11" t="s">
        <v>8157</v>
      </c>
      <c r="B851" s="11" t="s">
        <v>8095</v>
      </c>
      <c r="C851" s="11" t="s">
        <v>150</v>
      </c>
      <c r="D851" s="6" t="n">
        <v>451159</v>
      </c>
      <c r="E851" s="5" t="s">
        <v>6207</v>
      </c>
      <c r="F851" s="5" t="s">
        <v>6207</v>
      </c>
      <c r="G851" s="11" t="s">
        <v>134</v>
      </c>
      <c r="H851" s="11" t="s">
        <v>8158</v>
      </c>
    </row>
    <row r="852" customFormat="false" ht="17.15" hidden="false" customHeight="false" outlineLevel="0" collapsed="false">
      <c r="A852" s="11" t="s">
        <v>8159</v>
      </c>
      <c r="B852" s="11" t="s">
        <v>6782</v>
      </c>
      <c r="C852" s="11" t="s">
        <v>162</v>
      </c>
      <c r="D852" s="6" t="n">
        <v>450894</v>
      </c>
      <c r="E852" s="5" t="s">
        <v>6207</v>
      </c>
      <c r="F852" s="5" t="s">
        <v>6207</v>
      </c>
      <c r="G852" s="11" t="s">
        <v>134</v>
      </c>
      <c r="H852" s="11" t="s">
        <v>8160</v>
      </c>
    </row>
    <row r="853" customFormat="false" ht="17.15" hidden="false" customHeight="false" outlineLevel="0" collapsed="false">
      <c r="A853" s="11" t="s">
        <v>8161</v>
      </c>
      <c r="B853" s="11" t="s">
        <v>308</v>
      </c>
      <c r="C853" s="11" t="s">
        <v>164</v>
      </c>
      <c r="D853" s="6" t="n">
        <v>450892</v>
      </c>
      <c r="E853" s="5" t="s">
        <v>6207</v>
      </c>
      <c r="F853" s="5" t="s">
        <v>6377</v>
      </c>
      <c r="G853" s="11" t="s">
        <v>6378</v>
      </c>
      <c r="H853" s="11" t="s">
        <v>8162</v>
      </c>
    </row>
    <row r="854" customFormat="false" ht="17.15" hidden="false" customHeight="false" outlineLevel="0" collapsed="false">
      <c r="A854" s="11" t="s">
        <v>8163</v>
      </c>
      <c r="B854" s="11" t="s">
        <v>7224</v>
      </c>
      <c r="C854" s="11" t="s">
        <v>149</v>
      </c>
      <c r="D854" s="6" t="n">
        <v>449791</v>
      </c>
      <c r="E854" s="5" t="s">
        <v>6207</v>
      </c>
      <c r="F854" s="5" t="s">
        <v>6207</v>
      </c>
      <c r="G854" s="11" t="s">
        <v>134</v>
      </c>
      <c r="H854" s="11" t="s">
        <v>8164</v>
      </c>
    </row>
    <row r="855" customFormat="false" ht="17.15" hidden="false" customHeight="false" outlineLevel="0" collapsed="false">
      <c r="A855" s="11" t="s">
        <v>8165</v>
      </c>
      <c r="B855" s="11" t="s">
        <v>8166</v>
      </c>
      <c r="C855" s="11" t="s">
        <v>192</v>
      </c>
      <c r="D855" s="6" t="n">
        <v>449273</v>
      </c>
      <c r="E855" s="5" t="s">
        <v>6413</v>
      </c>
      <c r="F855" s="5" t="s">
        <v>7849</v>
      </c>
      <c r="G855" s="11" t="s">
        <v>7850</v>
      </c>
      <c r="H855" s="11" t="s">
        <v>8167</v>
      </c>
    </row>
    <row r="856" customFormat="false" ht="17.15" hidden="false" customHeight="false" outlineLevel="0" collapsed="false">
      <c r="A856" s="11" t="s">
        <v>8168</v>
      </c>
      <c r="B856" s="11" t="s">
        <v>8169</v>
      </c>
      <c r="C856" s="11" t="s">
        <v>174</v>
      </c>
      <c r="D856" s="6" t="n">
        <v>448478</v>
      </c>
      <c r="E856" s="5" t="s">
        <v>6207</v>
      </c>
      <c r="F856" s="5" t="s">
        <v>6207</v>
      </c>
      <c r="G856" s="11" t="s">
        <v>134</v>
      </c>
      <c r="H856" s="11" t="s">
        <v>8170</v>
      </c>
    </row>
    <row r="857" customFormat="false" ht="17.15" hidden="false" customHeight="false" outlineLevel="0" collapsed="false">
      <c r="A857" s="11" t="s">
        <v>8171</v>
      </c>
      <c r="B857" s="11" t="s">
        <v>8172</v>
      </c>
      <c r="C857" s="11" t="s">
        <v>165</v>
      </c>
      <c r="D857" s="6" t="n">
        <v>446658</v>
      </c>
      <c r="E857" s="5" t="s">
        <v>6207</v>
      </c>
      <c r="F857" s="5" t="s">
        <v>6207</v>
      </c>
      <c r="G857" s="11" t="s">
        <v>134</v>
      </c>
      <c r="H857" s="11" t="s">
        <v>8173</v>
      </c>
    </row>
    <row r="858" customFormat="false" ht="17.15" hidden="false" customHeight="false" outlineLevel="0" collapsed="false">
      <c r="A858" s="11" t="s">
        <v>8174</v>
      </c>
      <c r="B858" s="11" t="s">
        <v>7648</v>
      </c>
      <c r="C858" s="11" t="s">
        <v>173</v>
      </c>
      <c r="D858" s="6" t="n">
        <v>445074</v>
      </c>
      <c r="E858" s="5" t="s">
        <v>6207</v>
      </c>
      <c r="F858" s="5" t="s">
        <v>6377</v>
      </c>
      <c r="G858" s="11" t="s">
        <v>6378</v>
      </c>
      <c r="H858" s="11" t="s">
        <v>8175</v>
      </c>
    </row>
    <row r="859" customFormat="false" ht="17.15" hidden="false" customHeight="false" outlineLevel="0" collapsed="false">
      <c r="A859" s="11" t="s">
        <v>8176</v>
      </c>
      <c r="B859" s="11" t="s">
        <v>8177</v>
      </c>
      <c r="C859" s="11" t="s">
        <v>175</v>
      </c>
      <c r="D859" s="6" t="n">
        <v>444795</v>
      </c>
      <c r="E859" s="5" t="s">
        <v>6207</v>
      </c>
      <c r="F859" s="5" t="s">
        <v>6207</v>
      </c>
      <c r="G859" s="11" t="s">
        <v>134</v>
      </c>
      <c r="H859" s="11" t="s">
        <v>8178</v>
      </c>
    </row>
    <row r="860" customFormat="false" ht="17.15" hidden="false" customHeight="false" outlineLevel="0" collapsed="false">
      <c r="A860" s="11" t="s">
        <v>8179</v>
      </c>
      <c r="B860" s="11" t="s">
        <v>8108</v>
      </c>
      <c r="C860" s="11" t="s">
        <v>192</v>
      </c>
      <c r="D860" s="6" t="n">
        <v>443874</v>
      </c>
      <c r="E860" s="5" t="s">
        <v>6239</v>
      </c>
      <c r="F860" s="5" t="s">
        <v>6239</v>
      </c>
      <c r="G860" s="11" t="s">
        <v>143</v>
      </c>
      <c r="H860" s="11" t="s">
        <v>8180</v>
      </c>
    </row>
    <row r="861" customFormat="false" ht="17.15" hidden="false" customHeight="false" outlineLevel="0" collapsed="false">
      <c r="A861" s="11" t="s">
        <v>8181</v>
      </c>
      <c r="B861" s="11" t="s">
        <v>8182</v>
      </c>
      <c r="C861" s="11" t="s">
        <v>149</v>
      </c>
      <c r="D861" s="6" t="n">
        <v>441911</v>
      </c>
      <c r="E861" s="5" t="s">
        <v>6207</v>
      </c>
      <c r="F861" s="5" t="s">
        <v>6207</v>
      </c>
      <c r="G861" s="11" t="s">
        <v>134</v>
      </c>
      <c r="H861" s="11" t="s">
        <v>8183</v>
      </c>
    </row>
    <row r="862" customFormat="false" ht="17.15" hidden="false" customHeight="false" outlineLevel="0" collapsed="false">
      <c r="A862" s="11" t="s">
        <v>8184</v>
      </c>
      <c r="B862" s="11" t="s">
        <v>8185</v>
      </c>
      <c r="C862" s="11" t="s">
        <v>197</v>
      </c>
      <c r="D862" s="6" t="n">
        <v>441691</v>
      </c>
      <c r="E862" s="5" t="s">
        <v>6239</v>
      </c>
      <c r="F862" s="5" t="s">
        <v>6239</v>
      </c>
      <c r="G862" s="11" t="s">
        <v>143</v>
      </c>
      <c r="H862" s="11" t="s">
        <v>8186</v>
      </c>
    </row>
    <row r="863" customFormat="false" ht="17.15" hidden="false" customHeight="false" outlineLevel="0" collapsed="false">
      <c r="A863" s="11" t="s">
        <v>8187</v>
      </c>
      <c r="B863" s="11" t="s">
        <v>2067</v>
      </c>
      <c r="C863" s="11" t="s">
        <v>192</v>
      </c>
      <c r="D863" s="6" t="n">
        <v>441353</v>
      </c>
      <c r="E863" s="5" t="s">
        <v>6239</v>
      </c>
      <c r="F863" s="5" t="s">
        <v>6239</v>
      </c>
      <c r="G863" s="11" t="s">
        <v>143</v>
      </c>
      <c r="H863" s="11" t="s">
        <v>8188</v>
      </c>
    </row>
    <row r="864" customFormat="false" ht="17.15" hidden="false" customHeight="false" outlineLevel="0" collapsed="false">
      <c r="A864" s="11" t="s">
        <v>8189</v>
      </c>
      <c r="B864" s="11" t="s">
        <v>5983</v>
      </c>
      <c r="C864" s="11" t="s">
        <v>149</v>
      </c>
      <c r="D864" s="6" t="n">
        <v>439872</v>
      </c>
      <c r="E864" s="5" t="s">
        <v>6207</v>
      </c>
      <c r="F864" s="5" t="s">
        <v>6207</v>
      </c>
      <c r="G864" s="11" t="s">
        <v>134</v>
      </c>
      <c r="H864" s="11" t="s">
        <v>8190</v>
      </c>
    </row>
    <row r="865" customFormat="false" ht="15" hidden="false" customHeight="false" outlineLevel="0" collapsed="false">
      <c r="A865" s="11" t="s">
        <v>8191</v>
      </c>
      <c r="B865" s="11" t="s">
        <v>6914</v>
      </c>
      <c r="C865" s="11" t="s">
        <v>149</v>
      </c>
      <c r="D865" s="6" t="n">
        <v>439050</v>
      </c>
      <c r="E865" s="5" t="s">
        <v>141</v>
      </c>
      <c r="F865" s="5" t="s">
        <v>141</v>
      </c>
      <c r="G865" s="11" t="s">
        <v>140</v>
      </c>
      <c r="H865" s="11" t="s">
        <v>8192</v>
      </c>
    </row>
    <row r="866" customFormat="false" ht="15" hidden="false" customHeight="false" outlineLevel="0" collapsed="false">
      <c r="A866" s="11" t="s">
        <v>8193</v>
      </c>
      <c r="B866" s="11" t="s">
        <v>8194</v>
      </c>
      <c r="C866" s="11" t="s">
        <v>155</v>
      </c>
      <c r="D866" s="6" t="n">
        <v>437732</v>
      </c>
      <c r="E866" s="5" t="s">
        <v>6413</v>
      </c>
      <c r="F866" s="5" t="s">
        <v>6413</v>
      </c>
      <c r="G866" s="11" t="s">
        <v>128</v>
      </c>
      <c r="H866" s="11" t="s">
        <v>8195</v>
      </c>
    </row>
    <row r="867" customFormat="false" ht="17.15" hidden="false" customHeight="false" outlineLevel="0" collapsed="false">
      <c r="A867" s="11" t="s">
        <v>8196</v>
      </c>
      <c r="B867" s="11" t="s">
        <v>6273</v>
      </c>
      <c r="C867" s="11" t="s">
        <v>152</v>
      </c>
      <c r="D867" s="6" t="n">
        <v>435623</v>
      </c>
      <c r="E867" s="5" t="s">
        <v>6210</v>
      </c>
      <c r="F867" s="5" t="s">
        <v>6210</v>
      </c>
      <c r="G867" s="11" t="s">
        <v>137</v>
      </c>
      <c r="H867" s="11" t="s">
        <v>8197</v>
      </c>
    </row>
    <row r="868" customFormat="false" ht="15" hidden="false" customHeight="false" outlineLevel="0" collapsed="false">
      <c r="A868" s="11" t="s">
        <v>8198</v>
      </c>
      <c r="B868" s="11" t="s">
        <v>5310</v>
      </c>
      <c r="C868" s="11" t="s">
        <v>156</v>
      </c>
      <c r="D868" s="6" t="n">
        <v>433204</v>
      </c>
      <c r="E868" s="5" t="s">
        <v>6413</v>
      </c>
      <c r="F868" s="5" t="s">
        <v>6413</v>
      </c>
      <c r="G868" s="11" t="s">
        <v>128</v>
      </c>
      <c r="H868" s="11" t="s">
        <v>8199</v>
      </c>
    </row>
    <row r="869" customFormat="false" ht="17.15" hidden="false" customHeight="false" outlineLevel="0" collapsed="false">
      <c r="A869" s="11" t="s">
        <v>8200</v>
      </c>
      <c r="B869" s="11" t="s">
        <v>8201</v>
      </c>
      <c r="C869" s="11" t="s">
        <v>149</v>
      </c>
      <c r="D869" s="6" t="n">
        <v>432356</v>
      </c>
      <c r="E869" s="5" t="s">
        <v>6207</v>
      </c>
      <c r="F869" s="5" t="s">
        <v>6207</v>
      </c>
      <c r="G869" s="11" t="s">
        <v>134</v>
      </c>
      <c r="H869" s="11" t="s">
        <v>8202</v>
      </c>
    </row>
    <row r="870" customFormat="false" ht="17.15" hidden="false" customHeight="false" outlineLevel="0" collapsed="false">
      <c r="A870" s="11" t="s">
        <v>8203</v>
      </c>
      <c r="B870" s="11" t="s">
        <v>8204</v>
      </c>
      <c r="C870" s="11" t="s">
        <v>156</v>
      </c>
      <c r="D870" s="6" t="n">
        <v>431822</v>
      </c>
      <c r="E870" s="5" t="s">
        <v>6207</v>
      </c>
      <c r="F870" s="5" t="s">
        <v>6716</v>
      </c>
      <c r="G870" s="11" t="s">
        <v>6542</v>
      </c>
      <c r="H870" s="11" t="s">
        <v>8205</v>
      </c>
    </row>
    <row r="871" customFormat="false" ht="17.15" hidden="false" customHeight="false" outlineLevel="0" collapsed="false">
      <c r="A871" s="11" t="s">
        <v>8206</v>
      </c>
      <c r="B871" s="11" t="s">
        <v>1214</v>
      </c>
      <c r="C871" s="11" t="s">
        <v>192</v>
      </c>
      <c r="D871" s="6" t="n">
        <v>431247</v>
      </c>
      <c r="E871" s="5" t="s">
        <v>6239</v>
      </c>
      <c r="F871" s="5" t="s">
        <v>6239</v>
      </c>
      <c r="G871" s="11" t="s">
        <v>143</v>
      </c>
      <c r="H871" s="11" t="s">
        <v>8207</v>
      </c>
    </row>
    <row r="872" customFormat="false" ht="15" hidden="false" customHeight="false" outlineLevel="0" collapsed="false">
      <c r="A872" s="11" t="s">
        <v>8208</v>
      </c>
      <c r="B872" s="11" t="s">
        <v>737</v>
      </c>
      <c r="C872" s="11" t="s">
        <v>156</v>
      </c>
      <c r="D872" s="6" t="n">
        <v>430889</v>
      </c>
      <c r="E872" s="5" t="s">
        <v>141</v>
      </c>
      <c r="F872" s="5" t="s">
        <v>141</v>
      </c>
      <c r="G872" s="11" t="s">
        <v>140</v>
      </c>
      <c r="H872" s="11" t="s">
        <v>8209</v>
      </c>
    </row>
    <row r="873" customFormat="false" ht="17.15" hidden="false" customHeight="false" outlineLevel="0" collapsed="false">
      <c r="A873" s="11" t="s">
        <v>8210</v>
      </c>
      <c r="B873" s="11" t="s">
        <v>7640</v>
      </c>
      <c r="C873" s="11" t="s">
        <v>169</v>
      </c>
      <c r="D873" s="6" t="n">
        <v>430355</v>
      </c>
      <c r="E873" s="5" t="s">
        <v>6207</v>
      </c>
      <c r="F873" s="5" t="s">
        <v>6207</v>
      </c>
      <c r="G873" s="11" t="s">
        <v>134</v>
      </c>
      <c r="H873" s="11" t="s">
        <v>8211</v>
      </c>
    </row>
    <row r="874" customFormat="false" ht="17.15" hidden="false" customHeight="false" outlineLevel="0" collapsed="false">
      <c r="A874" s="11" t="s">
        <v>8212</v>
      </c>
      <c r="B874" s="11" t="s">
        <v>8213</v>
      </c>
      <c r="C874" s="11" t="s">
        <v>162</v>
      </c>
      <c r="D874" s="6" t="n">
        <v>429797</v>
      </c>
      <c r="E874" s="5" t="s">
        <v>6210</v>
      </c>
      <c r="F874" s="5" t="s">
        <v>6210</v>
      </c>
      <c r="G874" s="11" t="s">
        <v>137</v>
      </c>
      <c r="H874" s="11" t="s">
        <v>8214</v>
      </c>
    </row>
    <row r="875" customFormat="false" ht="17.15" hidden="false" customHeight="false" outlineLevel="0" collapsed="false">
      <c r="A875" s="11" t="s">
        <v>8215</v>
      </c>
      <c r="B875" s="11" t="s">
        <v>8216</v>
      </c>
      <c r="C875" s="11" t="s">
        <v>156</v>
      </c>
      <c r="D875" s="6" t="n">
        <v>429381</v>
      </c>
      <c r="E875" s="5" t="s">
        <v>6210</v>
      </c>
      <c r="F875" s="5" t="s">
        <v>6210</v>
      </c>
      <c r="G875" s="11" t="s">
        <v>137</v>
      </c>
      <c r="H875" s="11" t="s">
        <v>8217</v>
      </c>
    </row>
    <row r="876" customFormat="false" ht="17.15" hidden="false" customHeight="false" outlineLevel="0" collapsed="false">
      <c r="A876" s="11" t="s">
        <v>8218</v>
      </c>
      <c r="B876" s="11" t="s">
        <v>2309</v>
      </c>
      <c r="C876" s="11" t="s">
        <v>167</v>
      </c>
      <c r="D876" s="6" t="n">
        <v>427803</v>
      </c>
      <c r="E876" s="5" t="s">
        <v>6207</v>
      </c>
      <c r="F876" s="5" t="s">
        <v>6207</v>
      </c>
      <c r="G876" s="11" t="s">
        <v>134</v>
      </c>
      <c r="H876" s="11" t="s">
        <v>8219</v>
      </c>
    </row>
    <row r="877" customFormat="false" ht="17.15" hidden="false" customHeight="false" outlineLevel="0" collapsed="false">
      <c r="A877" s="11" t="s">
        <v>8220</v>
      </c>
      <c r="B877" s="11" t="s">
        <v>6647</v>
      </c>
      <c r="C877" s="11" t="s">
        <v>155</v>
      </c>
      <c r="D877" s="6" t="n">
        <v>427092</v>
      </c>
      <c r="E877" s="5" t="s">
        <v>6264</v>
      </c>
      <c r="F877" s="5" t="s">
        <v>6264</v>
      </c>
      <c r="G877" s="11" t="s">
        <v>131</v>
      </c>
      <c r="H877" s="11" t="s">
        <v>8221</v>
      </c>
    </row>
    <row r="878" customFormat="false" ht="15" hidden="false" customHeight="false" outlineLevel="0" collapsed="false">
      <c r="A878" s="11" t="s">
        <v>8222</v>
      </c>
      <c r="B878" s="11" t="s">
        <v>7768</v>
      </c>
      <c r="C878" s="11" t="s">
        <v>156</v>
      </c>
      <c r="D878" s="6" t="n">
        <v>427092</v>
      </c>
      <c r="E878" s="5" t="s">
        <v>6413</v>
      </c>
      <c r="F878" s="5" t="s">
        <v>6413</v>
      </c>
      <c r="G878" s="11" t="s">
        <v>128</v>
      </c>
      <c r="H878" s="11" t="s">
        <v>8223</v>
      </c>
    </row>
    <row r="879" customFormat="false" ht="17.15" hidden="false" customHeight="false" outlineLevel="0" collapsed="false">
      <c r="A879" s="11" t="s">
        <v>8224</v>
      </c>
      <c r="B879" s="11" t="s">
        <v>402</v>
      </c>
      <c r="C879" s="11" t="s">
        <v>150</v>
      </c>
      <c r="D879" s="6" t="n">
        <v>425793</v>
      </c>
      <c r="E879" s="5" t="s">
        <v>6207</v>
      </c>
      <c r="F879" s="5" t="s">
        <v>6207</v>
      </c>
      <c r="G879" s="11" t="s">
        <v>134</v>
      </c>
      <c r="H879" s="11" t="s">
        <v>8225</v>
      </c>
    </row>
    <row r="880" customFormat="false" ht="17.15" hidden="false" customHeight="false" outlineLevel="0" collapsed="false">
      <c r="A880" s="11" t="s">
        <v>8226</v>
      </c>
      <c r="B880" s="11" t="s">
        <v>6686</v>
      </c>
      <c r="C880" s="11" t="s">
        <v>197</v>
      </c>
      <c r="D880" s="6" t="n">
        <v>425724</v>
      </c>
      <c r="E880" s="5" t="s">
        <v>141</v>
      </c>
      <c r="F880" s="5" t="s">
        <v>6495</v>
      </c>
      <c r="G880" s="11" t="s">
        <v>6496</v>
      </c>
      <c r="H880" s="11" t="s">
        <v>8227</v>
      </c>
    </row>
    <row r="881" customFormat="false" ht="17.15" hidden="false" customHeight="false" outlineLevel="0" collapsed="false">
      <c r="A881" s="11" t="s">
        <v>8228</v>
      </c>
      <c r="B881" s="11" t="s">
        <v>6647</v>
      </c>
      <c r="C881" s="5"/>
      <c r="D881" s="6" t="n">
        <v>425471</v>
      </c>
      <c r="E881" s="5" t="s">
        <v>6264</v>
      </c>
      <c r="F881" s="5" t="s">
        <v>6648</v>
      </c>
      <c r="G881" s="11" t="s">
        <v>6649</v>
      </c>
      <c r="H881" s="11" t="s">
        <v>8229</v>
      </c>
    </row>
    <row r="882" customFormat="false" ht="17.15" hidden="false" customHeight="false" outlineLevel="0" collapsed="false">
      <c r="A882" s="11" t="s">
        <v>8230</v>
      </c>
      <c r="B882" s="11" t="s">
        <v>8231</v>
      </c>
      <c r="C882" s="11" t="s">
        <v>197</v>
      </c>
      <c r="D882" s="6" t="n">
        <v>425427</v>
      </c>
      <c r="E882" s="5" t="s">
        <v>141</v>
      </c>
      <c r="F882" s="5" t="s">
        <v>6495</v>
      </c>
      <c r="G882" s="11" t="s">
        <v>6496</v>
      </c>
      <c r="H882" s="11" t="s">
        <v>8232</v>
      </c>
    </row>
    <row r="883" customFormat="false" ht="17.15" hidden="false" customHeight="false" outlineLevel="0" collapsed="false">
      <c r="A883" s="11" t="s">
        <v>8233</v>
      </c>
      <c r="B883" s="11" t="s">
        <v>1447</v>
      </c>
      <c r="C883" s="11" t="s">
        <v>155</v>
      </c>
      <c r="D883" s="6" t="n">
        <v>423736</v>
      </c>
      <c r="E883" s="5" t="s">
        <v>6210</v>
      </c>
      <c r="F883" s="5" t="s">
        <v>6210</v>
      </c>
      <c r="G883" s="11" t="s">
        <v>137</v>
      </c>
      <c r="H883" s="11" t="s">
        <v>8234</v>
      </c>
    </row>
    <row r="884" customFormat="false" ht="17.15" hidden="false" customHeight="false" outlineLevel="0" collapsed="false">
      <c r="A884" s="11" t="s">
        <v>8235</v>
      </c>
      <c r="B884" s="11" t="s">
        <v>6647</v>
      </c>
      <c r="C884" s="5"/>
      <c r="D884" s="6" t="n">
        <v>422965</v>
      </c>
      <c r="E884" s="5" t="s">
        <v>6264</v>
      </c>
      <c r="F884" s="5" t="s">
        <v>7204</v>
      </c>
      <c r="G884" s="11" t="s">
        <v>7205</v>
      </c>
      <c r="H884" s="11" t="s">
        <v>8236</v>
      </c>
    </row>
    <row r="885" customFormat="false" ht="17.15" hidden="false" customHeight="false" outlineLevel="0" collapsed="false">
      <c r="A885" s="11" t="s">
        <v>8237</v>
      </c>
      <c r="B885" s="11" t="s">
        <v>6457</v>
      </c>
      <c r="C885" s="11" t="s">
        <v>153</v>
      </c>
      <c r="D885" s="6" t="n">
        <v>422636</v>
      </c>
      <c r="E885" s="5" t="s">
        <v>6264</v>
      </c>
      <c r="F885" s="5" t="s">
        <v>6264</v>
      </c>
      <c r="G885" s="11" t="s">
        <v>131</v>
      </c>
      <c r="H885" s="11" t="s">
        <v>8238</v>
      </c>
    </row>
    <row r="886" customFormat="false" ht="17.15" hidden="false" customHeight="false" outlineLevel="0" collapsed="false">
      <c r="A886" s="11" t="s">
        <v>8239</v>
      </c>
      <c r="B886" s="11" t="s">
        <v>6875</v>
      </c>
      <c r="C886" s="11" t="s">
        <v>192</v>
      </c>
      <c r="D886" s="6" t="n">
        <v>421858</v>
      </c>
      <c r="E886" s="5" t="s">
        <v>6239</v>
      </c>
      <c r="F886" s="5" t="s">
        <v>6239</v>
      </c>
      <c r="G886" s="11" t="s">
        <v>143</v>
      </c>
      <c r="H886" s="11" t="s">
        <v>8240</v>
      </c>
    </row>
    <row r="887" customFormat="false" ht="17.15" hidden="false" customHeight="false" outlineLevel="0" collapsed="false">
      <c r="A887" s="11" t="s">
        <v>8241</v>
      </c>
      <c r="B887" s="11" t="s">
        <v>6581</v>
      </c>
      <c r="C887" s="11" t="s">
        <v>149</v>
      </c>
      <c r="D887" s="6" t="n">
        <v>421799</v>
      </c>
      <c r="E887" s="5" t="s">
        <v>6264</v>
      </c>
      <c r="F887" s="5" t="s">
        <v>6264</v>
      </c>
      <c r="G887" s="11" t="s">
        <v>131</v>
      </c>
      <c r="H887" s="11" t="s">
        <v>8242</v>
      </c>
    </row>
    <row r="888" customFormat="false" ht="17.15" hidden="false" customHeight="false" outlineLevel="0" collapsed="false">
      <c r="A888" s="11" t="s">
        <v>8243</v>
      </c>
      <c r="B888" s="11" t="s">
        <v>6581</v>
      </c>
      <c r="C888" s="11" t="s">
        <v>155</v>
      </c>
      <c r="D888" s="6" t="n">
        <v>421447</v>
      </c>
      <c r="E888" s="5" t="s">
        <v>6264</v>
      </c>
      <c r="F888" s="5" t="s">
        <v>6264</v>
      </c>
      <c r="G888" s="11" t="s">
        <v>131</v>
      </c>
      <c r="H888" s="11" t="s">
        <v>8244</v>
      </c>
    </row>
    <row r="889" customFormat="false" ht="15" hidden="false" customHeight="false" outlineLevel="0" collapsed="false">
      <c r="A889" s="11" t="s">
        <v>8245</v>
      </c>
      <c r="B889" s="11" t="s">
        <v>1789</v>
      </c>
      <c r="C889" s="11" t="s">
        <v>150</v>
      </c>
      <c r="D889" s="6" t="n">
        <v>421126</v>
      </c>
      <c r="E889" s="5" t="s">
        <v>141</v>
      </c>
      <c r="F889" s="5" t="s">
        <v>141</v>
      </c>
      <c r="G889" s="11" t="s">
        <v>140</v>
      </c>
      <c r="H889" s="11" t="s">
        <v>8246</v>
      </c>
    </row>
    <row r="890" customFormat="false" ht="17.15" hidden="false" customHeight="false" outlineLevel="0" collapsed="false">
      <c r="A890" s="11" t="s">
        <v>8247</v>
      </c>
      <c r="B890" s="11" t="s">
        <v>313</v>
      </c>
      <c r="C890" s="11" t="s">
        <v>152</v>
      </c>
      <c r="D890" s="6" t="n">
        <v>420064</v>
      </c>
      <c r="E890" s="5" t="s">
        <v>6210</v>
      </c>
      <c r="F890" s="5" t="s">
        <v>6210</v>
      </c>
      <c r="G890" s="11" t="s">
        <v>137</v>
      </c>
      <c r="H890" s="11" t="s">
        <v>8248</v>
      </c>
    </row>
    <row r="891" customFormat="false" ht="17.15" hidden="false" customHeight="false" outlineLevel="0" collapsed="false">
      <c r="A891" s="11" t="s">
        <v>8249</v>
      </c>
      <c r="B891" s="11" t="s">
        <v>8250</v>
      </c>
      <c r="C891" s="11" t="s">
        <v>172</v>
      </c>
      <c r="D891" s="6" t="n">
        <v>416781</v>
      </c>
      <c r="E891" s="5" t="s">
        <v>6207</v>
      </c>
      <c r="F891" s="5" t="s">
        <v>6377</v>
      </c>
      <c r="G891" s="11" t="s">
        <v>6378</v>
      </c>
      <c r="H891" s="11" t="s">
        <v>8251</v>
      </c>
    </row>
    <row r="892" customFormat="false" ht="17.15" hidden="false" customHeight="false" outlineLevel="0" collapsed="false">
      <c r="A892" s="11" t="s">
        <v>8252</v>
      </c>
      <c r="B892" s="11" t="s">
        <v>6647</v>
      </c>
      <c r="C892" s="11" t="s">
        <v>192</v>
      </c>
      <c r="D892" s="6" t="n">
        <v>415082</v>
      </c>
      <c r="E892" s="5" t="s">
        <v>6264</v>
      </c>
      <c r="F892" s="5" t="s">
        <v>7411</v>
      </c>
      <c r="G892" s="11" t="s">
        <v>7412</v>
      </c>
      <c r="H892" s="11" t="s">
        <v>8253</v>
      </c>
    </row>
    <row r="893" customFormat="false" ht="15" hidden="false" customHeight="false" outlineLevel="0" collapsed="false">
      <c r="A893" s="11" t="s">
        <v>8254</v>
      </c>
      <c r="B893" s="11" t="s">
        <v>327</v>
      </c>
      <c r="C893" s="11" t="s">
        <v>175</v>
      </c>
      <c r="D893" s="6" t="n">
        <v>414710</v>
      </c>
      <c r="E893" s="5" t="s">
        <v>141</v>
      </c>
      <c r="F893" s="5" t="s">
        <v>141</v>
      </c>
      <c r="G893" s="11" t="s">
        <v>140</v>
      </c>
      <c r="H893" s="11" t="s">
        <v>8255</v>
      </c>
    </row>
    <row r="894" customFormat="false" ht="17.15" hidden="false" customHeight="false" outlineLevel="0" collapsed="false">
      <c r="A894" s="11" t="s">
        <v>8256</v>
      </c>
      <c r="B894" s="11" t="s">
        <v>8257</v>
      </c>
      <c r="C894" s="11" t="s">
        <v>152</v>
      </c>
      <c r="D894" s="6" t="n">
        <v>412684</v>
      </c>
      <c r="E894" s="5" t="s">
        <v>6207</v>
      </c>
      <c r="F894" s="5" t="s">
        <v>6207</v>
      </c>
      <c r="G894" s="11" t="s">
        <v>134</v>
      </c>
      <c r="H894" s="11" t="s">
        <v>8258</v>
      </c>
    </row>
    <row r="895" customFormat="false" ht="17.15" hidden="false" customHeight="false" outlineLevel="0" collapsed="false">
      <c r="A895" s="11" t="s">
        <v>748</v>
      </c>
      <c r="B895" s="11" t="s">
        <v>308</v>
      </c>
      <c r="C895" s="11" t="s">
        <v>162</v>
      </c>
      <c r="D895" s="6" t="n">
        <v>412536</v>
      </c>
      <c r="E895" s="5" t="s">
        <v>6207</v>
      </c>
      <c r="F895" s="5" t="s">
        <v>6207</v>
      </c>
      <c r="G895" s="11" t="s">
        <v>134</v>
      </c>
      <c r="H895" s="11" t="s">
        <v>8259</v>
      </c>
    </row>
    <row r="896" customFormat="false" ht="17.15" hidden="false" customHeight="false" outlineLevel="0" collapsed="false">
      <c r="A896" s="11" t="s">
        <v>8260</v>
      </c>
      <c r="B896" s="11" t="s">
        <v>6258</v>
      </c>
      <c r="C896" s="11" t="s">
        <v>149</v>
      </c>
      <c r="D896" s="6" t="n">
        <v>412499</v>
      </c>
      <c r="E896" s="5" t="s">
        <v>6207</v>
      </c>
      <c r="F896" s="5" t="s">
        <v>6207</v>
      </c>
      <c r="G896" s="11" t="s">
        <v>134</v>
      </c>
      <c r="H896" s="11" t="s">
        <v>8261</v>
      </c>
    </row>
    <row r="897" customFormat="false" ht="15" hidden="false" customHeight="false" outlineLevel="0" collapsed="false">
      <c r="A897" s="11" t="s">
        <v>8262</v>
      </c>
      <c r="B897" s="11" t="s">
        <v>6801</v>
      </c>
      <c r="C897" s="5"/>
      <c r="D897" s="6" t="n">
        <v>411482</v>
      </c>
      <c r="E897" s="5" t="s">
        <v>6227</v>
      </c>
      <c r="F897" s="5" t="s">
        <v>6227</v>
      </c>
      <c r="G897" s="11" t="s">
        <v>134</v>
      </c>
      <c r="H897" s="11" t="s">
        <v>8263</v>
      </c>
    </row>
    <row r="898" customFormat="false" ht="17.15" hidden="false" customHeight="false" outlineLevel="0" collapsed="false">
      <c r="A898" s="11" t="s">
        <v>8264</v>
      </c>
      <c r="B898" s="11" t="s">
        <v>327</v>
      </c>
      <c r="C898" s="11" t="s">
        <v>175</v>
      </c>
      <c r="D898" s="6" t="n">
        <v>410544</v>
      </c>
      <c r="E898" s="5" t="s">
        <v>6207</v>
      </c>
      <c r="F898" s="5" t="s">
        <v>6207</v>
      </c>
      <c r="G898" s="11" t="s">
        <v>134</v>
      </c>
      <c r="H898" s="11" t="s">
        <v>8265</v>
      </c>
    </row>
    <row r="899" customFormat="false" ht="17.15" hidden="false" customHeight="false" outlineLevel="0" collapsed="false">
      <c r="A899" s="11" t="s">
        <v>8266</v>
      </c>
      <c r="B899" s="11" t="s">
        <v>6390</v>
      </c>
      <c r="C899" s="11" t="s">
        <v>167</v>
      </c>
      <c r="D899" s="6" t="n">
        <v>410486</v>
      </c>
      <c r="E899" s="5" t="s">
        <v>6207</v>
      </c>
      <c r="F899" s="5" t="s">
        <v>6377</v>
      </c>
      <c r="G899" s="11" t="s">
        <v>6378</v>
      </c>
      <c r="H899" s="11" t="s">
        <v>8267</v>
      </c>
    </row>
    <row r="900" customFormat="false" ht="17.15" hidden="false" customHeight="false" outlineLevel="0" collapsed="false">
      <c r="A900" s="11" t="s">
        <v>8268</v>
      </c>
      <c r="B900" s="11" t="s">
        <v>6852</v>
      </c>
      <c r="C900" s="11" t="s">
        <v>150</v>
      </c>
      <c r="D900" s="6" t="n">
        <v>410417</v>
      </c>
      <c r="E900" s="5" t="s">
        <v>6207</v>
      </c>
      <c r="F900" s="5" t="s">
        <v>6207</v>
      </c>
      <c r="G900" s="11" t="s">
        <v>134</v>
      </c>
      <c r="H900" s="11" t="s">
        <v>8269</v>
      </c>
    </row>
    <row r="901" customFormat="false" ht="17.15" hidden="false" customHeight="false" outlineLevel="0" collapsed="false">
      <c r="A901" s="11" t="s">
        <v>8270</v>
      </c>
      <c r="B901" s="11" t="s">
        <v>1214</v>
      </c>
      <c r="C901" s="11" t="s">
        <v>198</v>
      </c>
      <c r="D901" s="6" t="n">
        <v>409561</v>
      </c>
      <c r="E901" s="5" t="s">
        <v>6239</v>
      </c>
      <c r="F901" s="5" t="s">
        <v>6239</v>
      </c>
      <c r="G901" s="11" t="s">
        <v>143</v>
      </c>
      <c r="H901" s="11" t="s">
        <v>8271</v>
      </c>
    </row>
    <row r="902" customFormat="false" ht="17.15" hidden="false" customHeight="false" outlineLevel="0" collapsed="false">
      <c r="A902" s="11" t="s">
        <v>8272</v>
      </c>
      <c r="B902" s="11" t="s">
        <v>7334</v>
      </c>
      <c r="C902" s="11" t="s">
        <v>192</v>
      </c>
      <c r="D902" s="6" t="n">
        <v>408411</v>
      </c>
      <c r="E902" s="5" t="s">
        <v>6239</v>
      </c>
      <c r="F902" s="5" t="s">
        <v>6239</v>
      </c>
      <c r="G902" s="11" t="s">
        <v>143</v>
      </c>
      <c r="H902" s="11" t="s">
        <v>8273</v>
      </c>
    </row>
    <row r="903" customFormat="false" ht="17.15" hidden="false" customHeight="false" outlineLevel="0" collapsed="false">
      <c r="A903" s="11" t="s">
        <v>8274</v>
      </c>
      <c r="B903" s="11" t="s">
        <v>327</v>
      </c>
      <c r="C903" s="11" t="s">
        <v>153</v>
      </c>
      <c r="D903" s="6" t="n">
        <v>405961</v>
      </c>
      <c r="E903" s="5" t="s">
        <v>6210</v>
      </c>
      <c r="F903" s="5" t="s">
        <v>6274</v>
      </c>
      <c r="G903" s="11" t="s">
        <v>6275</v>
      </c>
      <c r="H903" s="11" t="s">
        <v>8275</v>
      </c>
    </row>
    <row r="904" customFormat="false" ht="17.15" hidden="false" customHeight="false" outlineLevel="0" collapsed="false">
      <c r="A904" s="11" t="s">
        <v>8276</v>
      </c>
      <c r="B904" s="11" t="s">
        <v>327</v>
      </c>
      <c r="C904" s="11" t="s">
        <v>202</v>
      </c>
      <c r="D904" s="6" t="n">
        <v>405465</v>
      </c>
      <c r="E904" s="5" t="s">
        <v>6239</v>
      </c>
      <c r="F904" s="5" t="s">
        <v>6239</v>
      </c>
      <c r="G904" s="11" t="s">
        <v>143</v>
      </c>
      <c r="H904" s="11" t="s">
        <v>8277</v>
      </c>
    </row>
    <row r="905" customFormat="false" ht="17.15" hidden="false" customHeight="false" outlineLevel="0" collapsed="false">
      <c r="A905" s="11" t="s">
        <v>8278</v>
      </c>
      <c r="B905" s="11" t="s">
        <v>8279</v>
      </c>
      <c r="C905" s="11" t="s">
        <v>155</v>
      </c>
      <c r="D905" s="6" t="n">
        <v>405056</v>
      </c>
      <c r="E905" s="5" t="s">
        <v>6207</v>
      </c>
      <c r="F905" s="5" t="s">
        <v>6207</v>
      </c>
      <c r="G905" s="11" t="s">
        <v>134</v>
      </c>
      <c r="H905" s="11" t="s">
        <v>8280</v>
      </c>
    </row>
    <row r="906" customFormat="false" ht="17.15" hidden="false" customHeight="false" outlineLevel="0" collapsed="false">
      <c r="A906" s="11" t="s">
        <v>8281</v>
      </c>
      <c r="B906" s="11" t="s">
        <v>6796</v>
      </c>
      <c r="C906" s="11" t="s">
        <v>162</v>
      </c>
      <c r="D906" s="6" t="n">
        <v>404351</v>
      </c>
      <c r="E906" s="5" t="s">
        <v>6207</v>
      </c>
      <c r="F906" s="5" t="s">
        <v>6207</v>
      </c>
      <c r="G906" s="11" t="s">
        <v>134</v>
      </c>
      <c r="H906" s="11" t="s">
        <v>8282</v>
      </c>
    </row>
    <row r="907" customFormat="false" ht="17.15" hidden="false" customHeight="false" outlineLevel="0" collapsed="false">
      <c r="A907" s="11" t="s">
        <v>8283</v>
      </c>
      <c r="B907" s="11" t="s">
        <v>8284</v>
      </c>
      <c r="C907" s="11" t="s">
        <v>192</v>
      </c>
      <c r="D907" s="6" t="n">
        <v>404082</v>
      </c>
      <c r="E907" s="5" t="s">
        <v>6239</v>
      </c>
      <c r="F907" s="5" t="s">
        <v>6239</v>
      </c>
      <c r="G907" s="11" t="s">
        <v>143</v>
      </c>
      <c r="H907" s="11" t="s">
        <v>8285</v>
      </c>
    </row>
    <row r="908" customFormat="false" ht="17.15" hidden="false" customHeight="false" outlineLevel="0" collapsed="false">
      <c r="A908" s="11" t="s">
        <v>8286</v>
      </c>
      <c r="B908" s="11" t="s">
        <v>8287</v>
      </c>
      <c r="C908" s="11" t="s">
        <v>156</v>
      </c>
      <c r="D908" s="6" t="n">
        <v>403482</v>
      </c>
      <c r="E908" s="5" t="s">
        <v>6207</v>
      </c>
      <c r="F908" s="5" t="s">
        <v>6207</v>
      </c>
      <c r="G908" s="11" t="s">
        <v>134</v>
      </c>
      <c r="H908" s="11" t="s">
        <v>8288</v>
      </c>
    </row>
    <row r="909" customFormat="false" ht="17.15" hidden="false" customHeight="false" outlineLevel="0" collapsed="false">
      <c r="A909" s="11" t="s">
        <v>8289</v>
      </c>
      <c r="B909" s="11" t="s">
        <v>1697</v>
      </c>
      <c r="C909" s="5"/>
      <c r="D909" s="6" t="n">
        <v>403411</v>
      </c>
      <c r="E909" s="5" t="s">
        <v>6210</v>
      </c>
      <c r="F909" s="5" t="s">
        <v>6210</v>
      </c>
      <c r="G909" s="11" t="s">
        <v>137</v>
      </c>
      <c r="H909" s="11" t="s">
        <v>8290</v>
      </c>
    </row>
    <row r="910" customFormat="false" ht="17.15" hidden="false" customHeight="false" outlineLevel="0" collapsed="false">
      <c r="A910" s="11" t="s">
        <v>8291</v>
      </c>
      <c r="B910" s="11" t="s">
        <v>7800</v>
      </c>
      <c r="C910" s="11" t="s">
        <v>183</v>
      </c>
      <c r="D910" s="6" t="n">
        <v>400595</v>
      </c>
      <c r="E910" s="5" t="s">
        <v>6207</v>
      </c>
      <c r="F910" s="5" t="s">
        <v>6207</v>
      </c>
      <c r="G910" s="11" t="s">
        <v>134</v>
      </c>
      <c r="H910" s="11" t="s">
        <v>8292</v>
      </c>
    </row>
    <row r="911" customFormat="false" ht="17.15" hidden="false" customHeight="false" outlineLevel="0" collapsed="false">
      <c r="A911" s="11" t="s">
        <v>8293</v>
      </c>
      <c r="B911" s="11" t="s">
        <v>8294</v>
      </c>
      <c r="C911" s="11" t="s">
        <v>149</v>
      </c>
      <c r="D911" s="6" t="n">
        <v>400569</v>
      </c>
      <c r="E911" s="5" t="s">
        <v>6207</v>
      </c>
      <c r="F911" s="5" t="s">
        <v>6207</v>
      </c>
      <c r="G911" s="11" t="s">
        <v>134</v>
      </c>
      <c r="H911" s="11" t="s">
        <v>8295</v>
      </c>
    </row>
    <row r="912" customFormat="false" ht="17.15" hidden="false" customHeight="false" outlineLevel="0" collapsed="false">
      <c r="A912" s="11" t="s">
        <v>8296</v>
      </c>
      <c r="B912" s="11" t="s">
        <v>6647</v>
      </c>
      <c r="C912" s="11" t="s">
        <v>155</v>
      </c>
      <c r="D912" s="6" t="n">
        <v>400022</v>
      </c>
      <c r="E912" s="5" t="s">
        <v>6264</v>
      </c>
      <c r="F912" s="5" t="s">
        <v>6264</v>
      </c>
      <c r="G912" s="11" t="s">
        <v>131</v>
      </c>
      <c r="H912" s="11" t="s">
        <v>8297</v>
      </c>
    </row>
    <row r="913" customFormat="false" ht="17.15" hidden="false" customHeight="false" outlineLevel="0" collapsed="false">
      <c r="A913" s="11" t="s">
        <v>8298</v>
      </c>
      <c r="B913" s="11" t="s">
        <v>8299</v>
      </c>
      <c r="C913" s="11" t="s">
        <v>175</v>
      </c>
      <c r="D913" s="6" t="n">
        <v>395933</v>
      </c>
      <c r="E913" s="5" t="s">
        <v>6207</v>
      </c>
      <c r="F913" s="5" t="s">
        <v>6207</v>
      </c>
      <c r="G913" s="11" t="s">
        <v>134</v>
      </c>
      <c r="H913" s="11" t="s">
        <v>8300</v>
      </c>
    </row>
    <row r="914" customFormat="false" ht="17.15" hidden="false" customHeight="false" outlineLevel="0" collapsed="false">
      <c r="A914" s="11" t="s">
        <v>8301</v>
      </c>
      <c r="B914" s="11" t="s">
        <v>690</v>
      </c>
      <c r="C914" s="11" t="s">
        <v>150</v>
      </c>
      <c r="D914" s="6" t="n">
        <v>395662</v>
      </c>
      <c r="E914" s="5" t="s">
        <v>6207</v>
      </c>
      <c r="F914" s="5" t="s">
        <v>6207</v>
      </c>
      <c r="G914" s="11" t="s">
        <v>134</v>
      </c>
      <c r="H914" s="11" t="s">
        <v>8302</v>
      </c>
    </row>
    <row r="915" customFormat="false" ht="17.15" hidden="false" customHeight="false" outlineLevel="0" collapsed="false">
      <c r="A915" s="11" t="s">
        <v>8303</v>
      </c>
      <c r="B915" s="11" t="s">
        <v>6903</v>
      </c>
      <c r="C915" s="11" t="s">
        <v>155</v>
      </c>
      <c r="D915" s="6" t="n">
        <v>395152</v>
      </c>
      <c r="E915" s="5" t="s">
        <v>6207</v>
      </c>
      <c r="F915" s="5" t="s">
        <v>6207</v>
      </c>
      <c r="G915" s="11" t="s">
        <v>134</v>
      </c>
      <c r="H915" s="11" t="s">
        <v>8304</v>
      </c>
    </row>
    <row r="916" customFormat="false" ht="17.15" hidden="false" customHeight="false" outlineLevel="0" collapsed="false">
      <c r="A916" s="11" t="s">
        <v>8305</v>
      </c>
      <c r="B916" s="11" t="s">
        <v>681</v>
      </c>
      <c r="C916" s="11" t="s">
        <v>155</v>
      </c>
      <c r="D916" s="6" t="n">
        <v>395106</v>
      </c>
      <c r="E916" s="5" t="s">
        <v>6207</v>
      </c>
      <c r="F916" s="5" t="s">
        <v>6207</v>
      </c>
      <c r="G916" s="11" t="s">
        <v>134</v>
      </c>
      <c r="H916" s="11" t="s">
        <v>8306</v>
      </c>
    </row>
    <row r="917" customFormat="false" ht="17.15" hidden="false" customHeight="false" outlineLevel="0" collapsed="false">
      <c r="A917" s="11" t="s">
        <v>8307</v>
      </c>
      <c r="B917" s="11" t="s">
        <v>6617</v>
      </c>
      <c r="C917" s="11" t="s">
        <v>162</v>
      </c>
      <c r="D917" s="6" t="n">
        <v>395081</v>
      </c>
      <c r="E917" s="5" t="s">
        <v>6207</v>
      </c>
      <c r="F917" s="5" t="s">
        <v>6207</v>
      </c>
      <c r="G917" s="11" t="s">
        <v>134</v>
      </c>
      <c r="H917" s="11" t="s">
        <v>8308</v>
      </c>
    </row>
    <row r="918" customFormat="false" ht="17.15" hidden="false" customHeight="false" outlineLevel="0" collapsed="false">
      <c r="A918" s="11" t="s">
        <v>8309</v>
      </c>
      <c r="B918" s="11" t="s">
        <v>6617</v>
      </c>
      <c r="C918" s="11" t="s">
        <v>162</v>
      </c>
      <c r="D918" s="6" t="n">
        <v>395067</v>
      </c>
      <c r="E918" s="5" t="s">
        <v>6207</v>
      </c>
      <c r="F918" s="5" t="s">
        <v>6207</v>
      </c>
      <c r="G918" s="11" t="s">
        <v>134</v>
      </c>
      <c r="H918" s="11" t="s">
        <v>8310</v>
      </c>
    </row>
    <row r="919" customFormat="false" ht="17.15" hidden="false" customHeight="false" outlineLevel="0" collapsed="false">
      <c r="A919" s="11" t="s">
        <v>8311</v>
      </c>
      <c r="B919" s="11" t="s">
        <v>6617</v>
      </c>
      <c r="C919" s="11" t="s">
        <v>162</v>
      </c>
      <c r="D919" s="6" t="n">
        <v>394956</v>
      </c>
      <c r="E919" s="5" t="s">
        <v>6207</v>
      </c>
      <c r="F919" s="5" t="s">
        <v>6207</v>
      </c>
      <c r="G919" s="11" t="s">
        <v>134</v>
      </c>
      <c r="H919" s="11" t="s">
        <v>8312</v>
      </c>
    </row>
    <row r="920" customFormat="false" ht="17.15" hidden="false" customHeight="false" outlineLevel="0" collapsed="false">
      <c r="A920" s="11" t="s">
        <v>8313</v>
      </c>
      <c r="B920" s="11" t="s">
        <v>8314</v>
      </c>
      <c r="C920" s="11" t="s">
        <v>162</v>
      </c>
      <c r="D920" s="6" t="n">
        <v>390446</v>
      </c>
      <c r="E920" s="5" t="s">
        <v>6210</v>
      </c>
      <c r="F920" s="5" t="s">
        <v>6210</v>
      </c>
      <c r="G920" s="11" t="s">
        <v>137</v>
      </c>
      <c r="H920" s="11" t="s">
        <v>8315</v>
      </c>
    </row>
    <row r="921" customFormat="false" ht="17.15" hidden="false" customHeight="false" outlineLevel="0" collapsed="false">
      <c r="A921" s="11" t="s">
        <v>8316</v>
      </c>
      <c r="B921" s="11" t="s">
        <v>8317</v>
      </c>
      <c r="C921" s="11" t="s">
        <v>155</v>
      </c>
      <c r="D921" s="6" t="n">
        <v>389323</v>
      </c>
      <c r="E921" s="5" t="s">
        <v>6207</v>
      </c>
      <c r="F921" s="5" t="s">
        <v>6207</v>
      </c>
      <c r="G921" s="11" t="s">
        <v>134</v>
      </c>
      <c r="H921" s="11" t="s">
        <v>8318</v>
      </c>
    </row>
    <row r="922" customFormat="false" ht="17.15" hidden="false" customHeight="false" outlineLevel="0" collapsed="false">
      <c r="A922" s="11" t="s">
        <v>8319</v>
      </c>
      <c r="B922" s="11" t="s">
        <v>308</v>
      </c>
      <c r="C922" s="5"/>
      <c r="D922" s="6" t="n">
        <v>388127</v>
      </c>
      <c r="E922" s="5" t="s">
        <v>6207</v>
      </c>
      <c r="F922" s="5" t="s">
        <v>6207</v>
      </c>
      <c r="G922" s="11" t="s">
        <v>134</v>
      </c>
      <c r="H922" s="11" t="s">
        <v>8320</v>
      </c>
    </row>
    <row r="923" customFormat="false" ht="17.15" hidden="false" customHeight="false" outlineLevel="0" collapsed="false">
      <c r="A923" s="11" t="s">
        <v>8321</v>
      </c>
      <c r="B923" s="11" t="s">
        <v>6749</v>
      </c>
      <c r="C923" s="11" t="s">
        <v>155</v>
      </c>
      <c r="D923" s="6" t="n">
        <v>387740</v>
      </c>
      <c r="E923" s="5" t="s">
        <v>6210</v>
      </c>
      <c r="F923" s="5" t="s">
        <v>6210</v>
      </c>
      <c r="G923" s="11" t="s">
        <v>137</v>
      </c>
      <c r="H923" s="11" t="s">
        <v>8322</v>
      </c>
    </row>
    <row r="924" customFormat="false" ht="17.15" hidden="false" customHeight="false" outlineLevel="0" collapsed="false">
      <c r="A924" s="11" t="s">
        <v>8323</v>
      </c>
      <c r="B924" s="11" t="s">
        <v>8324</v>
      </c>
      <c r="C924" s="11" t="s">
        <v>152</v>
      </c>
      <c r="D924" s="6" t="n">
        <v>387519</v>
      </c>
      <c r="E924" s="5" t="s">
        <v>6210</v>
      </c>
      <c r="F924" s="5" t="s">
        <v>6210</v>
      </c>
      <c r="G924" s="11" t="s">
        <v>137</v>
      </c>
      <c r="H924" s="11" t="s">
        <v>8325</v>
      </c>
    </row>
    <row r="925" customFormat="false" ht="17.15" hidden="false" customHeight="false" outlineLevel="0" collapsed="false">
      <c r="A925" s="11" t="s">
        <v>8326</v>
      </c>
      <c r="B925" s="11" t="s">
        <v>6617</v>
      </c>
      <c r="C925" s="11" t="s">
        <v>161</v>
      </c>
      <c r="D925" s="6" t="n">
        <v>385506</v>
      </c>
      <c r="E925" s="5" t="s">
        <v>6207</v>
      </c>
      <c r="F925" s="5" t="s">
        <v>6207</v>
      </c>
      <c r="G925" s="11" t="s">
        <v>134</v>
      </c>
      <c r="H925" s="11" t="s">
        <v>8327</v>
      </c>
    </row>
    <row r="926" customFormat="false" ht="17.15" hidden="false" customHeight="false" outlineLevel="0" collapsed="false">
      <c r="A926" s="11" t="s">
        <v>8328</v>
      </c>
      <c r="B926" s="11" t="s">
        <v>8329</v>
      </c>
      <c r="C926" s="11" t="s">
        <v>149</v>
      </c>
      <c r="D926" s="6" t="n">
        <v>385362</v>
      </c>
      <c r="E926" s="5" t="s">
        <v>6207</v>
      </c>
      <c r="F926" s="5" t="s">
        <v>6207</v>
      </c>
      <c r="G926" s="11" t="s">
        <v>134</v>
      </c>
      <c r="H926" s="11" t="s">
        <v>8330</v>
      </c>
    </row>
    <row r="927" customFormat="false" ht="17.15" hidden="false" customHeight="false" outlineLevel="0" collapsed="false">
      <c r="A927" s="11" t="s">
        <v>8331</v>
      </c>
      <c r="B927" s="11" t="s">
        <v>8332</v>
      </c>
      <c r="C927" s="11" t="s">
        <v>192</v>
      </c>
      <c r="D927" s="6" t="n">
        <v>385209</v>
      </c>
      <c r="E927" s="5" t="s">
        <v>6239</v>
      </c>
      <c r="F927" s="5" t="s">
        <v>6239</v>
      </c>
      <c r="G927" s="11" t="s">
        <v>143</v>
      </c>
      <c r="H927" s="11" t="s">
        <v>8333</v>
      </c>
    </row>
    <row r="928" customFormat="false" ht="15" hidden="false" customHeight="false" outlineLevel="0" collapsed="false">
      <c r="A928" s="11" t="s">
        <v>8334</v>
      </c>
      <c r="B928" s="11" t="s">
        <v>8335</v>
      </c>
      <c r="C928" s="11" t="s">
        <v>156</v>
      </c>
      <c r="D928" s="6" t="n">
        <v>385109</v>
      </c>
      <c r="E928" s="5" t="s">
        <v>141</v>
      </c>
      <c r="F928" s="5" t="s">
        <v>141</v>
      </c>
      <c r="G928" s="11" t="s">
        <v>140</v>
      </c>
      <c r="H928" s="11" t="s">
        <v>8336</v>
      </c>
    </row>
    <row r="929" customFormat="false" ht="17.15" hidden="false" customHeight="false" outlineLevel="0" collapsed="false">
      <c r="A929" s="11" t="s">
        <v>8337</v>
      </c>
      <c r="B929" s="11" t="s">
        <v>6617</v>
      </c>
      <c r="C929" s="11" t="s">
        <v>149</v>
      </c>
      <c r="D929" s="6" t="n">
        <v>384690</v>
      </c>
      <c r="E929" s="5" t="s">
        <v>6207</v>
      </c>
      <c r="F929" s="5" t="s">
        <v>6207</v>
      </c>
      <c r="G929" s="11" t="s">
        <v>134</v>
      </c>
      <c r="H929" s="11" t="s">
        <v>8338</v>
      </c>
    </row>
    <row r="930" customFormat="false" ht="17.15" hidden="false" customHeight="false" outlineLevel="0" collapsed="false">
      <c r="A930" s="11" t="s">
        <v>8339</v>
      </c>
      <c r="B930" s="11" t="s">
        <v>8340</v>
      </c>
      <c r="C930" s="11" t="s">
        <v>197</v>
      </c>
      <c r="D930" s="6" t="n">
        <v>384639</v>
      </c>
      <c r="E930" s="5" t="s">
        <v>6210</v>
      </c>
      <c r="F930" s="5" t="s">
        <v>6516</v>
      </c>
      <c r="G930" s="11" t="s">
        <v>6517</v>
      </c>
      <c r="H930" s="11" t="s">
        <v>8341</v>
      </c>
    </row>
    <row r="931" customFormat="false" ht="17.15" hidden="false" customHeight="false" outlineLevel="0" collapsed="false">
      <c r="A931" s="11" t="s">
        <v>8342</v>
      </c>
      <c r="B931" s="11" t="s">
        <v>8343</v>
      </c>
      <c r="C931" s="11" t="s">
        <v>153</v>
      </c>
      <c r="D931" s="6" t="n">
        <v>383633</v>
      </c>
      <c r="E931" s="5" t="s">
        <v>6210</v>
      </c>
      <c r="F931" s="5" t="s">
        <v>6210</v>
      </c>
      <c r="G931" s="11" t="s">
        <v>137</v>
      </c>
      <c r="H931" s="11" t="s">
        <v>8344</v>
      </c>
    </row>
    <row r="932" customFormat="false" ht="17.15" hidden="false" customHeight="false" outlineLevel="0" collapsed="false">
      <c r="A932" s="11" t="s">
        <v>8345</v>
      </c>
      <c r="B932" s="11" t="s">
        <v>6647</v>
      </c>
      <c r="C932" s="11" t="s">
        <v>156</v>
      </c>
      <c r="D932" s="6" t="n">
        <v>382930</v>
      </c>
      <c r="E932" s="5" t="s">
        <v>6264</v>
      </c>
      <c r="F932" s="5" t="s">
        <v>6264</v>
      </c>
      <c r="G932" s="11" t="s">
        <v>131</v>
      </c>
      <c r="H932" s="11" t="s">
        <v>8346</v>
      </c>
    </row>
    <row r="933" customFormat="false" ht="17.15" hidden="false" customHeight="false" outlineLevel="0" collapsed="false">
      <c r="A933" s="11" t="s">
        <v>8347</v>
      </c>
      <c r="B933" s="11" t="s">
        <v>8348</v>
      </c>
      <c r="C933" s="11" t="s">
        <v>155</v>
      </c>
      <c r="D933" s="6" t="n">
        <v>382855</v>
      </c>
      <c r="E933" s="5" t="s">
        <v>6264</v>
      </c>
      <c r="F933" s="5" t="s">
        <v>7204</v>
      </c>
      <c r="G933" s="11" t="s">
        <v>7205</v>
      </c>
      <c r="H933" s="11" t="s">
        <v>8349</v>
      </c>
    </row>
    <row r="934" customFormat="false" ht="17.15" hidden="false" customHeight="false" outlineLevel="0" collapsed="false">
      <c r="A934" s="11" t="s">
        <v>8350</v>
      </c>
      <c r="B934" s="11" t="s">
        <v>8351</v>
      </c>
      <c r="C934" s="11" t="s">
        <v>173</v>
      </c>
      <c r="D934" s="6" t="n">
        <v>382539</v>
      </c>
      <c r="E934" s="5" t="s">
        <v>6207</v>
      </c>
      <c r="F934" s="5" t="s">
        <v>6207</v>
      </c>
      <c r="G934" s="11" t="s">
        <v>134</v>
      </c>
      <c r="H934" s="11" t="s">
        <v>8352</v>
      </c>
    </row>
    <row r="935" customFormat="false" ht="17.15" hidden="false" customHeight="false" outlineLevel="0" collapsed="false">
      <c r="A935" s="11" t="s">
        <v>8353</v>
      </c>
      <c r="B935" s="11" t="s">
        <v>327</v>
      </c>
      <c r="C935" s="11" t="s">
        <v>183</v>
      </c>
      <c r="D935" s="6" t="n">
        <v>380823</v>
      </c>
      <c r="E935" s="5" t="s">
        <v>6207</v>
      </c>
      <c r="F935" s="5" t="s">
        <v>6207</v>
      </c>
      <c r="G935" s="11" t="s">
        <v>134</v>
      </c>
      <c r="H935" s="11" t="s">
        <v>8354</v>
      </c>
    </row>
    <row r="936" customFormat="false" ht="17.15" hidden="false" customHeight="false" outlineLevel="0" collapsed="false">
      <c r="A936" s="11" t="s">
        <v>8355</v>
      </c>
      <c r="B936" s="11" t="s">
        <v>8356</v>
      </c>
      <c r="C936" s="11" t="s">
        <v>153</v>
      </c>
      <c r="D936" s="6" t="n">
        <v>379783</v>
      </c>
      <c r="E936" s="5" t="s">
        <v>6207</v>
      </c>
      <c r="F936" s="5" t="s">
        <v>6207</v>
      </c>
      <c r="G936" s="11" t="s">
        <v>134</v>
      </c>
      <c r="H936" s="11" t="s">
        <v>8357</v>
      </c>
    </row>
    <row r="937" customFormat="false" ht="17.15" hidden="false" customHeight="false" outlineLevel="0" collapsed="false">
      <c r="A937" s="11" t="s">
        <v>8358</v>
      </c>
      <c r="B937" s="11" t="s">
        <v>6881</v>
      </c>
      <c r="C937" s="11" t="s">
        <v>175</v>
      </c>
      <c r="D937" s="6" t="n">
        <v>377693</v>
      </c>
      <c r="E937" s="5" t="s">
        <v>6207</v>
      </c>
      <c r="F937" s="5" t="s">
        <v>6207</v>
      </c>
      <c r="G937" s="11" t="s">
        <v>134</v>
      </c>
      <c r="H937" s="11" t="s">
        <v>8359</v>
      </c>
    </row>
    <row r="938" customFormat="false" ht="17.15" hidden="false" customHeight="false" outlineLevel="0" collapsed="false">
      <c r="A938" s="11" t="s">
        <v>8360</v>
      </c>
      <c r="B938" s="11" t="s">
        <v>8361</v>
      </c>
      <c r="C938" s="11" t="s">
        <v>149</v>
      </c>
      <c r="D938" s="6" t="n">
        <v>377635</v>
      </c>
      <c r="E938" s="5" t="s">
        <v>6207</v>
      </c>
      <c r="F938" s="5" t="s">
        <v>6207</v>
      </c>
      <c r="G938" s="11" t="s">
        <v>134</v>
      </c>
      <c r="H938" s="11" t="s">
        <v>8362</v>
      </c>
    </row>
    <row r="939" customFormat="false" ht="17.15" hidden="false" customHeight="false" outlineLevel="0" collapsed="false">
      <c r="A939" s="11" t="s">
        <v>8363</v>
      </c>
      <c r="B939" s="11" t="s">
        <v>8364</v>
      </c>
      <c r="C939" s="11" t="s">
        <v>192</v>
      </c>
      <c r="D939" s="6" t="n">
        <v>376738</v>
      </c>
      <c r="E939" s="5" t="s">
        <v>6239</v>
      </c>
      <c r="F939" s="5" t="s">
        <v>6239</v>
      </c>
      <c r="G939" s="11" t="s">
        <v>143</v>
      </c>
      <c r="H939" s="11" t="s">
        <v>8365</v>
      </c>
    </row>
    <row r="940" customFormat="false" ht="17.15" hidden="false" customHeight="false" outlineLevel="0" collapsed="false">
      <c r="A940" s="11" t="s">
        <v>8366</v>
      </c>
      <c r="B940" s="11" t="s">
        <v>6647</v>
      </c>
      <c r="C940" s="11" t="s">
        <v>155</v>
      </c>
      <c r="D940" s="6" t="n">
        <v>376250</v>
      </c>
      <c r="E940" s="5" t="s">
        <v>6264</v>
      </c>
      <c r="F940" s="5" t="s">
        <v>6264</v>
      </c>
      <c r="G940" s="11" t="s">
        <v>131</v>
      </c>
      <c r="H940" s="11" t="s">
        <v>8367</v>
      </c>
    </row>
    <row r="941" customFormat="false" ht="17.15" hidden="false" customHeight="false" outlineLevel="0" collapsed="false">
      <c r="A941" s="11" t="s">
        <v>8368</v>
      </c>
      <c r="B941" s="11" t="s">
        <v>6409</v>
      </c>
      <c r="C941" s="11" t="s">
        <v>161</v>
      </c>
      <c r="D941" s="6" t="n">
        <v>375475</v>
      </c>
      <c r="E941" s="5" t="s">
        <v>6264</v>
      </c>
      <c r="F941" s="5" t="s">
        <v>6648</v>
      </c>
      <c r="G941" s="11" t="s">
        <v>6649</v>
      </c>
      <c r="H941" s="11" t="s">
        <v>8369</v>
      </c>
    </row>
    <row r="942" customFormat="false" ht="17.15" hidden="false" customHeight="false" outlineLevel="0" collapsed="false">
      <c r="A942" s="11" t="s">
        <v>8370</v>
      </c>
      <c r="B942" s="11" t="s">
        <v>2557</v>
      </c>
      <c r="C942" s="11" t="s">
        <v>168</v>
      </c>
      <c r="D942" s="6" t="n">
        <v>375218</v>
      </c>
      <c r="E942" s="5" t="s">
        <v>6207</v>
      </c>
      <c r="F942" s="5" t="s">
        <v>6207</v>
      </c>
      <c r="G942" s="11" t="s">
        <v>134</v>
      </c>
      <c r="H942" s="11" t="s">
        <v>8371</v>
      </c>
    </row>
    <row r="943" customFormat="false" ht="17.15" hidden="false" customHeight="false" outlineLevel="0" collapsed="false">
      <c r="A943" s="11" t="s">
        <v>8372</v>
      </c>
      <c r="B943" s="11" t="s">
        <v>6647</v>
      </c>
      <c r="C943" s="5"/>
      <c r="D943" s="6" t="n">
        <v>375151</v>
      </c>
      <c r="E943" s="5" t="s">
        <v>6264</v>
      </c>
      <c r="F943" s="5" t="s">
        <v>6264</v>
      </c>
      <c r="G943" s="11" t="s">
        <v>131</v>
      </c>
      <c r="H943" s="11" t="s">
        <v>8373</v>
      </c>
    </row>
    <row r="944" customFormat="false" ht="17.15" hidden="false" customHeight="false" outlineLevel="0" collapsed="false">
      <c r="A944" s="11" t="s">
        <v>8374</v>
      </c>
      <c r="B944" s="11" t="s">
        <v>8375</v>
      </c>
      <c r="C944" s="11" t="s">
        <v>161</v>
      </c>
      <c r="D944" s="6" t="n">
        <v>374803</v>
      </c>
      <c r="E944" s="5" t="s">
        <v>6207</v>
      </c>
      <c r="F944" s="5" t="s">
        <v>6207</v>
      </c>
      <c r="G944" s="11" t="s">
        <v>134</v>
      </c>
      <c r="H944" s="11" t="s">
        <v>8376</v>
      </c>
    </row>
    <row r="945" customFormat="false" ht="17.15" hidden="false" customHeight="false" outlineLevel="0" collapsed="false">
      <c r="A945" s="11" t="s">
        <v>8377</v>
      </c>
      <c r="B945" s="11" t="s">
        <v>6647</v>
      </c>
      <c r="C945" s="5"/>
      <c r="D945" s="6" t="n">
        <v>372526</v>
      </c>
      <c r="E945" s="5" t="s">
        <v>6264</v>
      </c>
      <c r="F945" s="5" t="s">
        <v>6648</v>
      </c>
      <c r="G945" s="11" t="s">
        <v>6649</v>
      </c>
      <c r="H945" s="11" t="s">
        <v>8378</v>
      </c>
    </row>
    <row r="946" customFormat="false" ht="17.15" hidden="false" customHeight="false" outlineLevel="0" collapsed="false">
      <c r="A946" s="11" t="s">
        <v>8379</v>
      </c>
      <c r="B946" s="11" t="s">
        <v>8380</v>
      </c>
      <c r="C946" s="11" t="s">
        <v>164</v>
      </c>
      <c r="D946" s="6" t="n">
        <v>372314</v>
      </c>
      <c r="E946" s="5" t="s">
        <v>6210</v>
      </c>
      <c r="F946" s="5" t="s">
        <v>6210</v>
      </c>
      <c r="G946" s="11" t="s">
        <v>137</v>
      </c>
      <c r="H946" s="11" t="s">
        <v>8381</v>
      </c>
    </row>
    <row r="947" customFormat="false" ht="17.15" hidden="false" customHeight="false" outlineLevel="0" collapsed="false">
      <c r="A947" s="11" t="s">
        <v>8382</v>
      </c>
      <c r="B947" s="11" t="s">
        <v>2557</v>
      </c>
      <c r="C947" s="11" t="s">
        <v>168</v>
      </c>
      <c r="D947" s="6" t="n">
        <v>371046</v>
      </c>
      <c r="E947" s="5" t="s">
        <v>6207</v>
      </c>
      <c r="F947" s="5" t="s">
        <v>6207</v>
      </c>
      <c r="G947" s="11" t="s">
        <v>134</v>
      </c>
      <c r="H947" s="11" t="s">
        <v>8383</v>
      </c>
    </row>
    <row r="948" customFormat="false" ht="17.15" hidden="false" customHeight="false" outlineLevel="0" collapsed="false">
      <c r="A948" s="11" t="s">
        <v>8384</v>
      </c>
      <c r="B948" s="11" t="s">
        <v>6647</v>
      </c>
      <c r="C948" s="5"/>
      <c r="D948" s="6" t="n">
        <v>370710</v>
      </c>
      <c r="E948" s="5" t="s">
        <v>6264</v>
      </c>
      <c r="F948" s="5" t="s">
        <v>6264</v>
      </c>
      <c r="G948" s="11" t="s">
        <v>131</v>
      </c>
      <c r="H948" s="11" t="s">
        <v>8385</v>
      </c>
    </row>
    <row r="949" customFormat="false" ht="17.15" hidden="false" customHeight="false" outlineLevel="0" collapsed="false">
      <c r="A949" s="11" t="s">
        <v>8386</v>
      </c>
      <c r="B949" s="11" t="s">
        <v>2557</v>
      </c>
      <c r="C949" s="11" t="s">
        <v>168</v>
      </c>
      <c r="D949" s="6" t="n">
        <v>370422</v>
      </c>
      <c r="E949" s="5" t="s">
        <v>6207</v>
      </c>
      <c r="F949" s="5" t="s">
        <v>6207</v>
      </c>
      <c r="G949" s="11" t="s">
        <v>134</v>
      </c>
      <c r="H949" s="11" t="s">
        <v>8387</v>
      </c>
    </row>
    <row r="950" customFormat="false" ht="17.15" hidden="false" customHeight="false" outlineLevel="0" collapsed="false">
      <c r="A950" s="11" t="s">
        <v>8388</v>
      </c>
      <c r="B950" s="11" t="s">
        <v>8389</v>
      </c>
      <c r="C950" s="11" t="s">
        <v>194</v>
      </c>
      <c r="D950" s="6" t="n">
        <v>370418</v>
      </c>
      <c r="E950" s="5" t="s">
        <v>6239</v>
      </c>
      <c r="F950" s="5" t="s">
        <v>6239</v>
      </c>
      <c r="G950" s="11" t="s">
        <v>143</v>
      </c>
      <c r="H950" s="11" t="s">
        <v>8390</v>
      </c>
    </row>
    <row r="951" customFormat="false" ht="17.15" hidden="false" customHeight="false" outlineLevel="0" collapsed="false">
      <c r="A951" s="11" t="s">
        <v>8391</v>
      </c>
      <c r="B951" s="11" t="s">
        <v>2067</v>
      </c>
      <c r="C951" s="11" t="s">
        <v>192</v>
      </c>
      <c r="D951" s="6" t="n">
        <v>369812</v>
      </c>
      <c r="E951" s="5" t="s">
        <v>6239</v>
      </c>
      <c r="F951" s="5" t="s">
        <v>6239</v>
      </c>
      <c r="G951" s="11" t="s">
        <v>143</v>
      </c>
      <c r="H951" s="11" t="s">
        <v>8392</v>
      </c>
    </row>
    <row r="952" customFormat="false" ht="17.15" hidden="false" customHeight="false" outlineLevel="0" collapsed="false">
      <c r="A952" s="11" t="s">
        <v>8393</v>
      </c>
      <c r="B952" s="11" t="s">
        <v>6647</v>
      </c>
      <c r="C952" s="11" t="s">
        <v>155</v>
      </c>
      <c r="D952" s="6" t="n">
        <v>369291</v>
      </c>
      <c r="E952" s="5" t="s">
        <v>6264</v>
      </c>
      <c r="F952" s="5" t="s">
        <v>6264</v>
      </c>
      <c r="G952" s="11" t="s">
        <v>131</v>
      </c>
      <c r="H952" s="11" t="s">
        <v>8394</v>
      </c>
    </row>
    <row r="953" customFormat="false" ht="15" hidden="false" customHeight="false" outlineLevel="0" collapsed="false">
      <c r="A953" s="11" t="s">
        <v>8395</v>
      </c>
      <c r="B953" s="11" t="s">
        <v>8396</v>
      </c>
      <c r="C953" s="5"/>
      <c r="D953" s="6" t="n">
        <v>369200</v>
      </c>
      <c r="E953" s="5" t="s">
        <v>6227</v>
      </c>
      <c r="F953" s="5" t="s">
        <v>6227</v>
      </c>
      <c r="G953" s="11" t="s">
        <v>134</v>
      </c>
      <c r="H953" s="11" t="s">
        <v>8397</v>
      </c>
    </row>
    <row r="954" customFormat="false" ht="17.15" hidden="false" customHeight="false" outlineLevel="0" collapsed="false">
      <c r="A954" s="11" t="s">
        <v>8398</v>
      </c>
      <c r="B954" s="11" t="s">
        <v>327</v>
      </c>
      <c r="C954" s="11" t="s">
        <v>155</v>
      </c>
      <c r="D954" s="6" t="n">
        <v>368894</v>
      </c>
      <c r="E954" s="5" t="s">
        <v>6210</v>
      </c>
      <c r="F954" s="5" t="s">
        <v>6210</v>
      </c>
      <c r="G954" s="11" t="s">
        <v>137</v>
      </c>
      <c r="H954" s="11" t="s">
        <v>8399</v>
      </c>
    </row>
    <row r="955" customFormat="false" ht="17.15" hidden="false" customHeight="false" outlineLevel="0" collapsed="false">
      <c r="A955" s="11" t="s">
        <v>8400</v>
      </c>
      <c r="B955" s="11" t="s">
        <v>8401</v>
      </c>
      <c r="C955" s="11" t="s">
        <v>192</v>
      </c>
      <c r="D955" s="6" t="n">
        <v>368071</v>
      </c>
      <c r="E955" s="5" t="s">
        <v>6239</v>
      </c>
      <c r="F955" s="5" t="s">
        <v>6239</v>
      </c>
      <c r="G955" s="11" t="s">
        <v>143</v>
      </c>
      <c r="H955" s="11" t="s">
        <v>8402</v>
      </c>
    </row>
    <row r="956" customFormat="false" ht="17.15" hidden="false" customHeight="false" outlineLevel="0" collapsed="false">
      <c r="A956" s="11" t="s">
        <v>8403</v>
      </c>
      <c r="B956" s="11" t="s">
        <v>8404</v>
      </c>
      <c r="C956" s="11" t="s">
        <v>149</v>
      </c>
      <c r="D956" s="6" t="n">
        <v>367317</v>
      </c>
      <c r="E956" s="5" t="s">
        <v>6207</v>
      </c>
      <c r="F956" s="5" t="s">
        <v>6207</v>
      </c>
      <c r="G956" s="11" t="s">
        <v>134</v>
      </c>
      <c r="H956" s="11" t="s">
        <v>8405</v>
      </c>
    </row>
    <row r="957" customFormat="false" ht="17.15" hidden="false" customHeight="false" outlineLevel="0" collapsed="false">
      <c r="A957" s="11" t="s">
        <v>8406</v>
      </c>
      <c r="B957" s="11" t="s">
        <v>8407</v>
      </c>
      <c r="C957" s="11" t="s">
        <v>194</v>
      </c>
      <c r="D957" s="6" t="n">
        <v>366860</v>
      </c>
      <c r="E957" s="5" t="s">
        <v>6239</v>
      </c>
      <c r="F957" s="5" t="s">
        <v>6239</v>
      </c>
      <c r="G957" s="11" t="s">
        <v>143</v>
      </c>
      <c r="H957" s="11" t="s">
        <v>8408</v>
      </c>
    </row>
    <row r="958" customFormat="false" ht="17.15" hidden="false" customHeight="false" outlineLevel="0" collapsed="false">
      <c r="A958" s="11" t="s">
        <v>8409</v>
      </c>
      <c r="B958" s="11" t="s">
        <v>6647</v>
      </c>
      <c r="C958" s="11" t="s">
        <v>155</v>
      </c>
      <c r="D958" s="6" t="n">
        <v>366682</v>
      </c>
      <c r="E958" s="5" t="s">
        <v>6264</v>
      </c>
      <c r="F958" s="5" t="s">
        <v>6264</v>
      </c>
      <c r="G958" s="11" t="s">
        <v>131</v>
      </c>
      <c r="H958" s="11" t="s">
        <v>8410</v>
      </c>
    </row>
    <row r="959" customFormat="false" ht="17.15" hidden="false" customHeight="false" outlineLevel="0" collapsed="false">
      <c r="A959" s="11" t="s">
        <v>8411</v>
      </c>
      <c r="B959" s="11" t="s">
        <v>2557</v>
      </c>
      <c r="C959" s="11" t="s">
        <v>168</v>
      </c>
      <c r="D959" s="6" t="n">
        <v>366389</v>
      </c>
      <c r="E959" s="5" t="s">
        <v>6207</v>
      </c>
      <c r="F959" s="5" t="s">
        <v>6207</v>
      </c>
      <c r="G959" s="11" t="s">
        <v>134</v>
      </c>
      <c r="H959" s="11" t="s">
        <v>8412</v>
      </c>
    </row>
    <row r="960" customFormat="false" ht="15" hidden="false" customHeight="false" outlineLevel="0" collapsed="false">
      <c r="A960" s="11" t="s">
        <v>8413</v>
      </c>
      <c r="B960" s="11" t="s">
        <v>3108</v>
      </c>
      <c r="C960" s="5"/>
      <c r="D960" s="6" t="n">
        <v>366020</v>
      </c>
      <c r="E960" s="5" t="s">
        <v>141</v>
      </c>
      <c r="F960" s="5" t="s">
        <v>141</v>
      </c>
      <c r="G960" s="11" t="s">
        <v>140</v>
      </c>
      <c r="H960" s="11" t="s">
        <v>8414</v>
      </c>
    </row>
    <row r="961" customFormat="false" ht="17.15" hidden="false" customHeight="false" outlineLevel="0" collapsed="false">
      <c r="A961" s="11" t="s">
        <v>8415</v>
      </c>
      <c r="B961" s="11" t="s">
        <v>6647</v>
      </c>
      <c r="C961" s="5"/>
      <c r="D961" s="6" t="n">
        <v>365834</v>
      </c>
      <c r="E961" s="5" t="s">
        <v>6264</v>
      </c>
      <c r="F961" s="5" t="s">
        <v>6264</v>
      </c>
      <c r="G961" s="11" t="s">
        <v>131</v>
      </c>
      <c r="H961" s="11" t="s">
        <v>8416</v>
      </c>
    </row>
    <row r="962" customFormat="false" ht="17.15" hidden="false" customHeight="false" outlineLevel="0" collapsed="false">
      <c r="A962" s="11" t="s">
        <v>8417</v>
      </c>
      <c r="B962" s="11" t="s">
        <v>308</v>
      </c>
      <c r="C962" s="5"/>
      <c r="D962" s="6" t="n">
        <v>365752</v>
      </c>
      <c r="E962" s="5" t="s">
        <v>6207</v>
      </c>
      <c r="F962" s="5" t="s">
        <v>6207</v>
      </c>
      <c r="G962" s="11" t="s">
        <v>134</v>
      </c>
      <c r="H962" s="11" t="s">
        <v>8418</v>
      </c>
    </row>
    <row r="963" customFormat="false" ht="17.15" hidden="false" customHeight="false" outlineLevel="0" collapsed="false">
      <c r="A963" s="11" t="s">
        <v>8419</v>
      </c>
      <c r="B963" s="11" t="s">
        <v>8420</v>
      </c>
      <c r="C963" s="11" t="s">
        <v>149</v>
      </c>
      <c r="D963" s="6" t="n">
        <v>365702</v>
      </c>
      <c r="E963" s="5" t="s">
        <v>6207</v>
      </c>
      <c r="F963" s="5" t="s">
        <v>6207</v>
      </c>
      <c r="G963" s="11" t="s">
        <v>134</v>
      </c>
      <c r="H963" s="11" t="s">
        <v>8421</v>
      </c>
    </row>
    <row r="964" customFormat="false" ht="17.15" hidden="false" customHeight="false" outlineLevel="0" collapsed="false">
      <c r="A964" s="11" t="s">
        <v>8422</v>
      </c>
      <c r="B964" s="11" t="s">
        <v>8314</v>
      </c>
      <c r="C964" s="11" t="s">
        <v>162</v>
      </c>
      <c r="D964" s="6" t="n">
        <v>365221</v>
      </c>
      <c r="E964" s="5" t="s">
        <v>6210</v>
      </c>
      <c r="F964" s="5" t="s">
        <v>6210</v>
      </c>
      <c r="G964" s="11" t="s">
        <v>137</v>
      </c>
      <c r="H964" s="11" t="s">
        <v>8423</v>
      </c>
    </row>
    <row r="965" customFormat="false" ht="17.15" hidden="false" customHeight="false" outlineLevel="0" collapsed="false">
      <c r="A965" s="11" t="s">
        <v>8424</v>
      </c>
      <c r="B965" s="11" t="s">
        <v>6457</v>
      </c>
      <c r="C965" s="11" t="s">
        <v>155</v>
      </c>
      <c r="D965" s="6" t="n">
        <v>365113</v>
      </c>
      <c r="E965" s="5" t="s">
        <v>6264</v>
      </c>
      <c r="F965" s="5" t="s">
        <v>6264</v>
      </c>
      <c r="G965" s="11" t="s">
        <v>131</v>
      </c>
      <c r="H965" s="11" t="s">
        <v>8425</v>
      </c>
    </row>
    <row r="966" customFormat="false" ht="17.15" hidden="false" customHeight="false" outlineLevel="0" collapsed="false">
      <c r="A966" s="11" t="s">
        <v>8426</v>
      </c>
      <c r="B966" s="11" t="s">
        <v>6409</v>
      </c>
      <c r="C966" s="11" t="s">
        <v>160</v>
      </c>
      <c r="D966" s="6" t="n">
        <v>364811</v>
      </c>
      <c r="E966" s="5" t="s">
        <v>6207</v>
      </c>
      <c r="F966" s="5" t="s">
        <v>6207</v>
      </c>
      <c r="G966" s="11" t="s">
        <v>134</v>
      </c>
      <c r="H966" s="11" t="s">
        <v>8427</v>
      </c>
    </row>
    <row r="967" customFormat="false" ht="17.15" hidden="false" customHeight="false" outlineLevel="0" collapsed="false">
      <c r="A967" s="11" t="s">
        <v>8428</v>
      </c>
      <c r="B967" s="11" t="s">
        <v>6698</v>
      </c>
      <c r="C967" s="11" t="s">
        <v>192</v>
      </c>
      <c r="D967" s="6" t="n">
        <v>364655</v>
      </c>
      <c r="E967" s="5" t="s">
        <v>6239</v>
      </c>
      <c r="F967" s="5" t="s">
        <v>6239</v>
      </c>
      <c r="G967" s="11" t="s">
        <v>143</v>
      </c>
      <c r="H967" s="11" t="s">
        <v>8429</v>
      </c>
    </row>
    <row r="968" customFormat="false" ht="17.15" hidden="false" customHeight="false" outlineLevel="0" collapsed="false">
      <c r="A968" s="11" t="s">
        <v>8430</v>
      </c>
      <c r="B968" s="11" t="s">
        <v>8431</v>
      </c>
      <c r="C968" s="11" t="s">
        <v>192</v>
      </c>
      <c r="D968" s="6" t="n">
        <v>364374</v>
      </c>
      <c r="E968" s="5" t="s">
        <v>6239</v>
      </c>
      <c r="F968" s="5" t="s">
        <v>6239</v>
      </c>
      <c r="G968" s="11" t="s">
        <v>143</v>
      </c>
      <c r="H968" s="11" t="s">
        <v>8432</v>
      </c>
    </row>
    <row r="969" customFormat="false" ht="17.15" hidden="false" customHeight="false" outlineLevel="0" collapsed="false">
      <c r="A969" s="11" t="s">
        <v>8433</v>
      </c>
      <c r="B969" s="11" t="s">
        <v>8434</v>
      </c>
      <c r="C969" s="11" t="s">
        <v>192</v>
      </c>
      <c r="D969" s="6" t="n">
        <v>364178</v>
      </c>
      <c r="E969" s="5" t="s">
        <v>6239</v>
      </c>
      <c r="F969" s="5" t="s">
        <v>6239</v>
      </c>
      <c r="G969" s="11" t="s">
        <v>143</v>
      </c>
      <c r="H969" s="11" t="s">
        <v>8435</v>
      </c>
    </row>
    <row r="970" customFormat="false" ht="17.15" hidden="false" customHeight="false" outlineLevel="0" collapsed="false">
      <c r="A970" s="11" t="s">
        <v>8436</v>
      </c>
      <c r="B970" s="11" t="s">
        <v>7800</v>
      </c>
      <c r="C970" s="11" t="s">
        <v>183</v>
      </c>
      <c r="D970" s="6" t="n">
        <v>364174</v>
      </c>
      <c r="E970" s="5" t="s">
        <v>6207</v>
      </c>
      <c r="F970" s="5" t="s">
        <v>6207</v>
      </c>
      <c r="G970" s="11" t="s">
        <v>134</v>
      </c>
      <c r="H970" s="11" t="s">
        <v>8437</v>
      </c>
    </row>
    <row r="971" customFormat="false" ht="17.15" hidden="false" customHeight="false" outlineLevel="0" collapsed="false">
      <c r="A971" s="11" t="s">
        <v>8438</v>
      </c>
      <c r="B971" s="11" t="s">
        <v>8439</v>
      </c>
      <c r="C971" s="11" t="s">
        <v>153</v>
      </c>
      <c r="D971" s="6" t="n">
        <v>363523</v>
      </c>
      <c r="E971" s="5" t="s">
        <v>6210</v>
      </c>
      <c r="F971" s="5" t="s">
        <v>6210</v>
      </c>
      <c r="G971" s="11" t="s">
        <v>137</v>
      </c>
      <c r="H971" s="11" t="s">
        <v>8440</v>
      </c>
    </row>
    <row r="972" customFormat="false" ht="17.15" hidden="false" customHeight="false" outlineLevel="0" collapsed="false">
      <c r="A972" s="11" t="s">
        <v>8441</v>
      </c>
      <c r="B972" s="11" t="s">
        <v>8442</v>
      </c>
      <c r="C972" s="11" t="s">
        <v>195</v>
      </c>
      <c r="D972" s="6" t="n">
        <v>363412</v>
      </c>
      <c r="E972" s="5" t="s">
        <v>141</v>
      </c>
      <c r="F972" s="5" t="s">
        <v>6495</v>
      </c>
      <c r="G972" s="11" t="s">
        <v>6496</v>
      </c>
      <c r="H972" s="11" t="s">
        <v>8443</v>
      </c>
    </row>
    <row r="973" customFormat="false" ht="17.15" hidden="false" customHeight="false" outlineLevel="0" collapsed="false">
      <c r="A973" s="11" t="s">
        <v>8444</v>
      </c>
      <c r="B973" s="11" t="s">
        <v>6647</v>
      </c>
      <c r="C973" s="11" t="s">
        <v>155</v>
      </c>
      <c r="D973" s="6" t="n">
        <v>361820</v>
      </c>
      <c r="E973" s="5" t="s">
        <v>6264</v>
      </c>
      <c r="F973" s="5" t="s">
        <v>6264</v>
      </c>
      <c r="G973" s="11" t="s">
        <v>131</v>
      </c>
      <c r="H973" s="11" t="s">
        <v>8445</v>
      </c>
    </row>
    <row r="974" customFormat="false" ht="17.15" hidden="false" customHeight="false" outlineLevel="0" collapsed="false">
      <c r="A974" s="11" t="s">
        <v>8446</v>
      </c>
      <c r="B974" s="11" t="s">
        <v>8250</v>
      </c>
      <c r="C974" s="11" t="s">
        <v>172</v>
      </c>
      <c r="D974" s="6" t="n">
        <v>361758</v>
      </c>
      <c r="E974" s="5" t="s">
        <v>6207</v>
      </c>
      <c r="F974" s="5" t="s">
        <v>6377</v>
      </c>
      <c r="G974" s="11" t="s">
        <v>6378</v>
      </c>
      <c r="H974" s="11" t="s">
        <v>8447</v>
      </c>
    </row>
    <row r="975" customFormat="false" ht="17.15" hidden="false" customHeight="false" outlineLevel="0" collapsed="false">
      <c r="A975" s="11" t="s">
        <v>8448</v>
      </c>
      <c r="B975" s="11" t="s">
        <v>6719</v>
      </c>
      <c r="C975" s="11" t="s">
        <v>162</v>
      </c>
      <c r="D975" s="6" t="n">
        <v>361149</v>
      </c>
      <c r="E975" s="5" t="s">
        <v>6207</v>
      </c>
      <c r="F975" s="5" t="s">
        <v>6207</v>
      </c>
      <c r="G975" s="11" t="s">
        <v>134</v>
      </c>
      <c r="H975" s="11" t="s">
        <v>8449</v>
      </c>
    </row>
    <row r="976" customFormat="false" ht="17.15" hidden="false" customHeight="false" outlineLevel="0" collapsed="false">
      <c r="A976" s="11" t="s">
        <v>8450</v>
      </c>
      <c r="B976" s="11" t="s">
        <v>6473</v>
      </c>
      <c r="C976" s="11" t="s">
        <v>183</v>
      </c>
      <c r="D976" s="6" t="n">
        <v>359109</v>
      </c>
      <c r="E976" s="5" t="s">
        <v>6210</v>
      </c>
      <c r="F976" s="5" t="s">
        <v>6210</v>
      </c>
      <c r="G976" s="11" t="s">
        <v>137</v>
      </c>
      <c r="H976" s="11" t="s">
        <v>8451</v>
      </c>
    </row>
    <row r="977" customFormat="false" ht="17.15" hidden="false" customHeight="false" outlineLevel="0" collapsed="false">
      <c r="A977" s="11" t="s">
        <v>8452</v>
      </c>
      <c r="B977" s="11" t="s">
        <v>2557</v>
      </c>
      <c r="C977" s="11" t="s">
        <v>168</v>
      </c>
      <c r="D977" s="6" t="n">
        <v>358965</v>
      </c>
      <c r="E977" s="5" t="s">
        <v>6207</v>
      </c>
      <c r="F977" s="5" t="s">
        <v>6207</v>
      </c>
      <c r="G977" s="11" t="s">
        <v>134</v>
      </c>
      <c r="H977" s="11" t="s">
        <v>8453</v>
      </c>
    </row>
    <row r="978" customFormat="false" ht="17.15" hidden="false" customHeight="false" outlineLevel="0" collapsed="false">
      <c r="A978" s="11" t="s">
        <v>8454</v>
      </c>
      <c r="B978" s="11" t="s">
        <v>8431</v>
      </c>
      <c r="C978" s="11" t="s">
        <v>192</v>
      </c>
      <c r="D978" s="6" t="n">
        <v>357615</v>
      </c>
      <c r="E978" s="5" t="s">
        <v>6239</v>
      </c>
      <c r="F978" s="5" t="s">
        <v>6239</v>
      </c>
      <c r="G978" s="11" t="s">
        <v>143</v>
      </c>
      <c r="H978" s="11" t="s">
        <v>8455</v>
      </c>
    </row>
    <row r="979" customFormat="false" ht="17.15" hidden="false" customHeight="false" outlineLevel="0" collapsed="false">
      <c r="A979" s="11" t="s">
        <v>8456</v>
      </c>
      <c r="B979" s="11" t="s">
        <v>6647</v>
      </c>
      <c r="C979" s="11" t="s">
        <v>155</v>
      </c>
      <c r="D979" s="6" t="n">
        <v>357488</v>
      </c>
      <c r="E979" s="5" t="s">
        <v>6264</v>
      </c>
      <c r="F979" s="5" t="s">
        <v>8457</v>
      </c>
      <c r="G979" s="11" t="s">
        <v>8458</v>
      </c>
      <c r="H979" s="11" t="s">
        <v>8459</v>
      </c>
    </row>
    <row r="980" customFormat="false" ht="17.15" hidden="false" customHeight="false" outlineLevel="0" collapsed="false">
      <c r="A980" s="11" t="s">
        <v>8460</v>
      </c>
      <c r="B980" s="11" t="s">
        <v>6647</v>
      </c>
      <c r="C980" s="11" t="s">
        <v>155</v>
      </c>
      <c r="D980" s="6" t="n">
        <v>357162</v>
      </c>
      <c r="E980" s="5" t="s">
        <v>6264</v>
      </c>
      <c r="F980" s="5" t="s">
        <v>6264</v>
      </c>
      <c r="G980" s="11" t="s">
        <v>131</v>
      </c>
      <c r="H980" s="11" t="s">
        <v>8461</v>
      </c>
    </row>
    <row r="981" customFormat="false" ht="15" hidden="false" customHeight="false" outlineLevel="0" collapsed="false">
      <c r="A981" s="11" t="s">
        <v>8462</v>
      </c>
      <c r="B981" s="11" t="s">
        <v>8463</v>
      </c>
      <c r="C981" s="11" t="s">
        <v>155</v>
      </c>
      <c r="D981" s="6" t="n">
        <v>356752</v>
      </c>
      <c r="E981" s="5" t="s">
        <v>6413</v>
      </c>
      <c r="F981" s="5" t="s">
        <v>6413</v>
      </c>
      <c r="G981" s="11" t="s">
        <v>128</v>
      </c>
      <c r="H981" s="11" t="s">
        <v>8464</v>
      </c>
    </row>
    <row r="982" customFormat="false" ht="17.15" hidden="false" customHeight="false" outlineLevel="0" collapsed="false">
      <c r="A982" s="11" t="s">
        <v>8465</v>
      </c>
      <c r="B982" s="11" t="s">
        <v>8466</v>
      </c>
      <c r="C982" s="11" t="s">
        <v>197</v>
      </c>
      <c r="D982" s="6" t="n">
        <v>355620</v>
      </c>
      <c r="E982" s="5" t="s">
        <v>6207</v>
      </c>
      <c r="F982" s="5" t="s">
        <v>6214</v>
      </c>
      <c r="G982" s="11" t="s">
        <v>6215</v>
      </c>
      <c r="H982" s="11" t="s">
        <v>8467</v>
      </c>
    </row>
    <row r="983" customFormat="false" ht="17.15" hidden="false" customHeight="false" outlineLevel="0" collapsed="false">
      <c r="A983" s="11" t="s">
        <v>8468</v>
      </c>
      <c r="B983" s="11" t="s">
        <v>8469</v>
      </c>
      <c r="C983" s="11" t="s">
        <v>162</v>
      </c>
      <c r="D983" s="6" t="n">
        <v>355241</v>
      </c>
      <c r="E983" s="5" t="s">
        <v>6207</v>
      </c>
      <c r="F983" s="5" t="s">
        <v>6207</v>
      </c>
      <c r="G983" s="11" t="s">
        <v>134</v>
      </c>
      <c r="H983" s="11" t="s">
        <v>8470</v>
      </c>
    </row>
    <row r="984" customFormat="false" ht="17.15" hidden="false" customHeight="false" outlineLevel="0" collapsed="false">
      <c r="A984" s="11" t="s">
        <v>8471</v>
      </c>
      <c r="B984" s="11" t="s">
        <v>327</v>
      </c>
      <c r="C984" s="11" t="s">
        <v>155</v>
      </c>
      <c r="D984" s="6" t="n">
        <v>354394</v>
      </c>
      <c r="E984" s="5" t="s">
        <v>6210</v>
      </c>
      <c r="F984" s="5" t="s">
        <v>6210</v>
      </c>
      <c r="G984" s="11" t="s">
        <v>137</v>
      </c>
      <c r="H984" s="11" t="s">
        <v>8472</v>
      </c>
    </row>
    <row r="985" customFormat="false" ht="17.15" hidden="false" customHeight="false" outlineLevel="0" collapsed="false">
      <c r="A985" s="11" t="s">
        <v>8473</v>
      </c>
      <c r="B985" s="11" t="s">
        <v>6647</v>
      </c>
      <c r="C985" s="5"/>
      <c r="D985" s="6" t="n">
        <v>352527</v>
      </c>
      <c r="E985" s="5" t="s">
        <v>6264</v>
      </c>
      <c r="F985" s="5" t="s">
        <v>6648</v>
      </c>
      <c r="G985" s="11" t="s">
        <v>6649</v>
      </c>
      <c r="H985" s="11" t="s">
        <v>8474</v>
      </c>
    </row>
    <row r="986" customFormat="false" ht="17.15" hidden="false" customHeight="false" outlineLevel="0" collapsed="false">
      <c r="A986" s="11" t="s">
        <v>8475</v>
      </c>
      <c r="B986" s="11" t="s">
        <v>6441</v>
      </c>
      <c r="C986" s="11" t="s">
        <v>197</v>
      </c>
      <c r="D986" s="6" t="n">
        <v>351975</v>
      </c>
      <c r="E986" s="5" t="s">
        <v>141</v>
      </c>
      <c r="F986" s="5" t="s">
        <v>6495</v>
      </c>
      <c r="G986" s="11" t="s">
        <v>6496</v>
      </c>
      <c r="H986" s="11" t="s">
        <v>8476</v>
      </c>
    </row>
    <row r="987" customFormat="false" ht="17.15" hidden="false" customHeight="false" outlineLevel="0" collapsed="false">
      <c r="A987" s="11" t="s">
        <v>8477</v>
      </c>
      <c r="B987" s="11" t="s">
        <v>1806</v>
      </c>
      <c r="C987" s="11" t="s">
        <v>197</v>
      </c>
      <c r="D987" s="6" t="n">
        <v>351338</v>
      </c>
      <c r="E987" s="5" t="s">
        <v>6239</v>
      </c>
      <c r="F987" s="5" t="s">
        <v>6239</v>
      </c>
      <c r="G987" s="11" t="s">
        <v>143</v>
      </c>
      <c r="H987" s="11" t="s">
        <v>8478</v>
      </c>
    </row>
    <row r="988" customFormat="false" ht="17.15" hidden="false" customHeight="false" outlineLevel="0" collapsed="false">
      <c r="A988" s="11" t="s">
        <v>8479</v>
      </c>
      <c r="B988" s="11" t="s">
        <v>308</v>
      </c>
      <c r="C988" s="5"/>
      <c r="D988" s="6" t="n">
        <v>350995</v>
      </c>
      <c r="E988" s="5" t="s">
        <v>6207</v>
      </c>
      <c r="F988" s="5" t="s">
        <v>6207</v>
      </c>
      <c r="G988" s="11" t="s">
        <v>134</v>
      </c>
      <c r="H988" s="11" t="s">
        <v>8480</v>
      </c>
    </row>
    <row r="989" customFormat="false" ht="17.15" hidden="false" customHeight="false" outlineLevel="0" collapsed="false">
      <c r="A989" s="11" t="s">
        <v>8481</v>
      </c>
      <c r="B989" s="11" t="s">
        <v>8482</v>
      </c>
      <c r="C989" s="11" t="s">
        <v>192</v>
      </c>
      <c r="D989" s="6" t="n">
        <v>350908</v>
      </c>
      <c r="E989" s="5" t="s">
        <v>6239</v>
      </c>
      <c r="F989" s="5" t="s">
        <v>6239</v>
      </c>
      <c r="G989" s="11" t="s">
        <v>143</v>
      </c>
      <c r="H989" s="11" t="s">
        <v>8483</v>
      </c>
    </row>
    <row r="990" customFormat="false" ht="17.15" hidden="false" customHeight="false" outlineLevel="0" collapsed="false">
      <c r="A990" s="11" t="s">
        <v>8484</v>
      </c>
      <c r="B990" s="11" t="s">
        <v>8485</v>
      </c>
      <c r="C990" s="11" t="s">
        <v>162</v>
      </c>
      <c r="D990" s="6" t="n">
        <v>350723</v>
      </c>
      <c r="E990" s="5" t="s">
        <v>6207</v>
      </c>
      <c r="F990" s="5" t="s">
        <v>6207</v>
      </c>
      <c r="G990" s="11" t="s">
        <v>134</v>
      </c>
      <c r="H990" s="11" t="s">
        <v>8486</v>
      </c>
    </row>
    <row r="991" customFormat="false" ht="17.15" hidden="false" customHeight="false" outlineLevel="0" collapsed="false">
      <c r="A991" s="11" t="s">
        <v>8487</v>
      </c>
      <c r="B991" s="11" t="s">
        <v>6647</v>
      </c>
      <c r="C991" s="11" t="s">
        <v>155</v>
      </c>
      <c r="D991" s="6" t="n">
        <v>350620</v>
      </c>
      <c r="E991" s="5" t="s">
        <v>6264</v>
      </c>
      <c r="F991" s="5" t="s">
        <v>6264</v>
      </c>
      <c r="G991" s="11" t="s">
        <v>131</v>
      </c>
      <c r="H991" s="11" t="s">
        <v>8488</v>
      </c>
    </row>
    <row r="992" customFormat="false" ht="17.15" hidden="false" customHeight="false" outlineLevel="0" collapsed="false">
      <c r="A992" s="11" t="s">
        <v>8489</v>
      </c>
      <c r="B992" s="11" t="s">
        <v>308</v>
      </c>
      <c r="C992" s="11" t="s">
        <v>149</v>
      </c>
      <c r="D992" s="6" t="n">
        <v>350370</v>
      </c>
      <c r="E992" s="5" t="s">
        <v>6207</v>
      </c>
      <c r="F992" s="5" t="s">
        <v>6207</v>
      </c>
      <c r="G992" s="11" t="s">
        <v>134</v>
      </c>
      <c r="H992" s="11" t="s">
        <v>8490</v>
      </c>
    </row>
    <row r="993" customFormat="false" ht="17.15" hidden="false" customHeight="false" outlineLevel="0" collapsed="false">
      <c r="A993" s="11" t="s">
        <v>8491</v>
      </c>
      <c r="B993" s="11" t="s">
        <v>7334</v>
      </c>
      <c r="C993" s="11" t="s">
        <v>192</v>
      </c>
      <c r="D993" s="6" t="n">
        <v>349928</v>
      </c>
      <c r="E993" s="5" t="s">
        <v>6239</v>
      </c>
      <c r="F993" s="5" t="s">
        <v>6239</v>
      </c>
      <c r="G993" s="11" t="s">
        <v>143</v>
      </c>
      <c r="H993" s="11" t="s">
        <v>8492</v>
      </c>
    </row>
    <row r="994" customFormat="false" ht="17.15" hidden="false" customHeight="false" outlineLevel="0" collapsed="false">
      <c r="A994" s="11" t="s">
        <v>8493</v>
      </c>
      <c r="B994" s="11" t="s">
        <v>8434</v>
      </c>
      <c r="C994" s="11" t="s">
        <v>192</v>
      </c>
      <c r="D994" s="6" t="n">
        <v>349442</v>
      </c>
      <c r="E994" s="5" t="s">
        <v>6239</v>
      </c>
      <c r="F994" s="5" t="s">
        <v>6239</v>
      </c>
      <c r="G994" s="11" t="s">
        <v>143</v>
      </c>
      <c r="H994" s="11" t="s">
        <v>8494</v>
      </c>
    </row>
    <row r="995" customFormat="false" ht="17.15" hidden="false" customHeight="false" outlineLevel="0" collapsed="false">
      <c r="A995" s="11" t="s">
        <v>8495</v>
      </c>
      <c r="B995" s="11" t="s">
        <v>368</v>
      </c>
      <c r="C995" s="11" t="s">
        <v>162</v>
      </c>
      <c r="D995" s="6" t="n">
        <v>348330</v>
      </c>
      <c r="E995" s="5" t="s">
        <v>6207</v>
      </c>
      <c r="F995" s="5" t="s">
        <v>6207</v>
      </c>
      <c r="G995" s="11" t="s">
        <v>134</v>
      </c>
      <c r="H995" s="11" t="s">
        <v>8496</v>
      </c>
    </row>
    <row r="996" customFormat="false" ht="17.15" hidden="false" customHeight="false" outlineLevel="0" collapsed="false">
      <c r="A996" s="11" t="s">
        <v>8497</v>
      </c>
      <c r="B996" s="11" t="s">
        <v>6852</v>
      </c>
      <c r="C996" s="11" t="s">
        <v>150</v>
      </c>
      <c r="D996" s="6" t="n">
        <v>347851</v>
      </c>
      <c r="E996" s="5" t="s">
        <v>6207</v>
      </c>
      <c r="F996" s="5" t="s">
        <v>6207</v>
      </c>
      <c r="G996" s="11" t="s">
        <v>134</v>
      </c>
      <c r="H996" s="11" t="s">
        <v>8498</v>
      </c>
    </row>
    <row r="997" customFormat="false" ht="17.15" hidden="false" customHeight="false" outlineLevel="0" collapsed="false">
      <c r="A997" s="11" t="s">
        <v>386</v>
      </c>
      <c r="B997" s="11" t="s">
        <v>308</v>
      </c>
      <c r="C997" s="11" t="s">
        <v>149</v>
      </c>
      <c r="D997" s="6" t="n">
        <v>347534</v>
      </c>
      <c r="E997" s="5" t="s">
        <v>6207</v>
      </c>
      <c r="F997" s="5" t="s">
        <v>6207</v>
      </c>
      <c r="G997" s="11" t="s">
        <v>134</v>
      </c>
      <c r="H997" s="11" t="s">
        <v>8499</v>
      </c>
    </row>
    <row r="998" customFormat="false" ht="17.15" hidden="false" customHeight="false" outlineLevel="0" collapsed="false">
      <c r="A998" s="11" t="s">
        <v>8500</v>
      </c>
      <c r="B998" s="11" t="s">
        <v>8501</v>
      </c>
      <c r="C998" s="11" t="s">
        <v>189</v>
      </c>
      <c r="D998" s="6" t="n">
        <v>346906</v>
      </c>
      <c r="E998" s="5" t="s">
        <v>6239</v>
      </c>
      <c r="F998" s="5" t="s">
        <v>6239</v>
      </c>
      <c r="G998" s="11" t="s">
        <v>143</v>
      </c>
      <c r="H998" s="11" t="s">
        <v>8502</v>
      </c>
    </row>
    <row r="999" customFormat="false" ht="17.15" hidden="false" customHeight="false" outlineLevel="0" collapsed="false">
      <c r="A999" s="11" t="s">
        <v>8503</v>
      </c>
      <c r="B999" s="11" t="s">
        <v>8504</v>
      </c>
      <c r="C999" s="11" t="s">
        <v>192</v>
      </c>
      <c r="D999" s="6" t="n">
        <v>346502</v>
      </c>
      <c r="E999" s="5" t="s">
        <v>6413</v>
      </c>
      <c r="F999" s="5" t="s">
        <v>7849</v>
      </c>
      <c r="G999" s="11" t="s">
        <v>7850</v>
      </c>
      <c r="H999" s="11" t="s">
        <v>8505</v>
      </c>
    </row>
    <row r="1000" customFormat="false" ht="17.15" hidden="false" customHeight="false" outlineLevel="0" collapsed="false">
      <c r="A1000" s="11" t="s">
        <v>8506</v>
      </c>
      <c r="B1000" s="11" t="s">
        <v>8507</v>
      </c>
      <c r="C1000" s="11" t="s">
        <v>164</v>
      </c>
      <c r="D1000" s="6" t="n">
        <v>346246</v>
      </c>
      <c r="E1000" s="5" t="s">
        <v>6207</v>
      </c>
      <c r="F1000" s="5" t="s">
        <v>6207</v>
      </c>
      <c r="G1000" s="11" t="s">
        <v>134</v>
      </c>
      <c r="H1000" s="11" t="s">
        <v>8508</v>
      </c>
    </row>
    <row r="1001" customFormat="false" ht="17.15" hidden="false" customHeight="false" outlineLevel="0" collapsed="false">
      <c r="A1001" s="11" t="s">
        <v>8509</v>
      </c>
      <c r="B1001" s="11" t="s">
        <v>402</v>
      </c>
      <c r="C1001" s="11" t="s">
        <v>150</v>
      </c>
      <c r="D1001" s="6" t="n">
        <v>345757</v>
      </c>
      <c r="E1001" s="5" t="s">
        <v>6207</v>
      </c>
      <c r="F1001" s="5" t="s">
        <v>6207</v>
      </c>
      <c r="G1001" s="11" t="s">
        <v>134</v>
      </c>
      <c r="H1001" s="11" t="s">
        <v>8510</v>
      </c>
    </row>
    <row r="1002" customFormat="false" ht="17.15" hidden="false" customHeight="false" outlineLevel="0" collapsed="false">
      <c r="A1002" s="11" t="s">
        <v>8511</v>
      </c>
      <c r="B1002" s="11" t="s">
        <v>8512</v>
      </c>
      <c r="C1002" s="11" t="s">
        <v>173</v>
      </c>
      <c r="D1002" s="6" t="n">
        <v>345700</v>
      </c>
      <c r="E1002" s="5" t="s">
        <v>6207</v>
      </c>
      <c r="F1002" s="5" t="s">
        <v>6207</v>
      </c>
      <c r="G1002" s="11" t="s">
        <v>134</v>
      </c>
      <c r="H1002" s="11" t="s">
        <v>8513</v>
      </c>
    </row>
    <row r="1003" customFormat="false" ht="17.15" hidden="false" customHeight="false" outlineLevel="0" collapsed="false">
      <c r="A1003" s="11" t="s">
        <v>8514</v>
      </c>
      <c r="B1003" s="11" t="s">
        <v>8515</v>
      </c>
      <c r="C1003" s="11" t="s">
        <v>150</v>
      </c>
      <c r="D1003" s="6" t="n">
        <v>345097</v>
      </c>
      <c r="E1003" s="5" t="s">
        <v>6207</v>
      </c>
      <c r="F1003" s="5" t="s">
        <v>6207</v>
      </c>
      <c r="G1003" s="11" t="s">
        <v>134</v>
      </c>
      <c r="H1003" s="11" t="s">
        <v>8516</v>
      </c>
    </row>
    <row r="1004" customFormat="false" ht="17.15" hidden="false" customHeight="false" outlineLevel="0" collapsed="false">
      <c r="A1004" s="11" t="s">
        <v>8517</v>
      </c>
      <c r="B1004" s="11" t="s">
        <v>8518</v>
      </c>
      <c r="C1004" s="11" t="s">
        <v>149</v>
      </c>
      <c r="D1004" s="6" t="n">
        <v>344707</v>
      </c>
      <c r="E1004" s="5" t="s">
        <v>6207</v>
      </c>
      <c r="F1004" s="5" t="s">
        <v>6207</v>
      </c>
      <c r="G1004" s="11" t="s">
        <v>134</v>
      </c>
      <c r="H1004" s="11" t="s">
        <v>8519</v>
      </c>
    </row>
    <row r="1005" customFormat="false" ht="17.15" hidden="false" customHeight="false" outlineLevel="0" collapsed="false">
      <c r="A1005" s="11" t="s">
        <v>8520</v>
      </c>
      <c r="B1005" s="11" t="s">
        <v>8521</v>
      </c>
      <c r="C1005" s="11" t="s">
        <v>162</v>
      </c>
      <c r="D1005" s="6" t="n">
        <v>344257</v>
      </c>
      <c r="E1005" s="5" t="s">
        <v>6207</v>
      </c>
      <c r="F1005" s="5" t="s">
        <v>6207</v>
      </c>
      <c r="G1005" s="11" t="s">
        <v>134</v>
      </c>
      <c r="H1005" s="11" t="s">
        <v>8522</v>
      </c>
    </row>
    <row r="1006" customFormat="false" ht="15" hidden="false" customHeight="false" outlineLevel="0" collapsed="false">
      <c r="A1006" s="11" t="s">
        <v>8523</v>
      </c>
      <c r="B1006" s="11" t="s">
        <v>2693</v>
      </c>
      <c r="C1006" s="11" t="s">
        <v>167</v>
      </c>
      <c r="D1006" s="6" t="n">
        <v>342856</v>
      </c>
      <c r="E1006" s="5" t="s">
        <v>141</v>
      </c>
      <c r="F1006" s="5" t="s">
        <v>141</v>
      </c>
      <c r="G1006" s="11" t="s">
        <v>140</v>
      </c>
      <c r="H1006" s="11" t="s">
        <v>8524</v>
      </c>
    </row>
    <row r="1007" customFormat="false" ht="17.15" hidden="false" customHeight="false" outlineLevel="0" collapsed="false">
      <c r="A1007" s="11" t="s">
        <v>8525</v>
      </c>
      <c r="B1007" s="11" t="s">
        <v>2067</v>
      </c>
      <c r="C1007" s="11" t="s">
        <v>198</v>
      </c>
      <c r="D1007" s="6" t="n">
        <v>342501</v>
      </c>
      <c r="E1007" s="5" t="s">
        <v>6239</v>
      </c>
      <c r="F1007" s="5" t="s">
        <v>6239</v>
      </c>
      <c r="G1007" s="11" t="s">
        <v>143</v>
      </c>
      <c r="H1007" s="11" t="s">
        <v>8526</v>
      </c>
    </row>
    <row r="1008" customFormat="false" ht="17.15" hidden="false" customHeight="false" outlineLevel="0" collapsed="false">
      <c r="A1008" s="11" t="s">
        <v>8527</v>
      </c>
      <c r="B1008" s="11" t="s">
        <v>3884</v>
      </c>
      <c r="C1008" s="11" t="s">
        <v>155</v>
      </c>
      <c r="D1008" s="6" t="n">
        <v>342310</v>
      </c>
      <c r="E1008" s="5" t="s">
        <v>6210</v>
      </c>
      <c r="F1008" s="5" t="s">
        <v>6210</v>
      </c>
      <c r="G1008" s="11" t="s">
        <v>137</v>
      </c>
      <c r="H1008" s="11" t="s">
        <v>8528</v>
      </c>
    </row>
    <row r="1009" customFormat="false" ht="17.15" hidden="false" customHeight="false" outlineLevel="0" collapsed="false">
      <c r="A1009" s="11" t="s">
        <v>8529</v>
      </c>
      <c r="B1009" s="11" t="s">
        <v>5331</v>
      </c>
      <c r="C1009" s="11" t="s">
        <v>175</v>
      </c>
      <c r="D1009" s="6" t="n">
        <v>342031</v>
      </c>
      <c r="E1009" s="5" t="s">
        <v>6207</v>
      </c>
      <c r="F1009" s="5" t="s">
        <v>6207</v>
      </c>
      <c r="G1009" s="11" t="s">
        <v>134</v>
      </c>
      <c r="H1009" s="11" t="s">
        <v>8530</v>
      </c>
    </row>
    <row r="1010" customFormat="false" ht="17.15" hidden="false" customHeight="false" outlineLevel="0" collapsed="false">
      <c r="A1010" s="11" t="s">
        <v>8531</v>
      </c>
      <c r="B1010" s="11" t="s">
        <v>6647</v>
      </c>
      <c r="C1010" s="11" t="s">
        <v>155</v>
      </c>
      <c r="D1010" s="6" t="n">
        <v>341867</v>
      </c>
      <c r="E1010" s="5" t="s">
        <v>6264</v>
      </c>
      <c r="F1010" s="5" t="s">
        <v>6264</v>
      </c>
      <c r="G1010" s="11" t="s">
        <v>131</v>
      </c>
      <c r="H1010" s="11" t="s">
        <v>8532</v>
      </c>
    </row>
    <row r="1011" customFormat="false" ht="15" hidden="false" customHeight="false" outlineLevel="0" collapsed="false">
      <c r="A1011" s="11" t="s">
        <v>8533</v>
      </c>
      <c r="B1011" s="11" t="s">
        <v>8534</v>
      </c>
      <c r="C1011" s="11" t="s">
        <v>156</v>
      </c>
      <c r="D1011" s="6" t="n">
        <v>341830</v>
      </c>
      <c r="E1011" s="5" t="s">
        <v>6413</v>
      </c>
      <c r="F1011" s="5" t="s">
        <v>6413</v>
      </c>
      <c r="G1011" s="11" t="s">
        <v>128</v>
      </c>
      <c r="H1011" s="11" t="s">
        <v>8535</v>
      </c>
    </row>
    <row r="1012" customFormat="false" ht="17.15" hidden="false" customHeight="false" outlineLevel="0" collapsed="false">
      <c r="A1012" s="11" t="s">
        <v>8536</v>
      </c>
      <c r="B1012" s="11" t="s">
        <v>681</v>
      </c>
      <c r="C1012" s="11" t="s">
        <v>162</v>
      </c>
      <c r="D1012" s="6" t="n">
        <v>341459</v>
      </c>
      <c r="E1012" s="5" t="s">
        <v>6207</v>
      </c>
      <c r="F1012" s="5" t="s">
        <v>6207</v>
      </c>
      <c r="G1012" s="11" t="s">
        <v>134</v>
      </c>
      <c r="H1012" s="11" t="s">
        <v>8537</v>
      </c>
    </row>
    <row r="1013" customFormat="false" ht="17.15" hidden="false" customHeight="false" outlineLevel="0" collapsed="false">
      <c r="A1013" s="11" t="s">
        <v>8538</v>
      </c>
      <c r="B1013" s="11" t="s">
        <v>8539</v>
      </c>
      <c r="C1013" s="11" t="s">
        <v>192</v>
      </c>
      <c r="D1013" s="6" t="n">
        <v>340936</v>
      </c>
      <c r="E1013" s="5" t="s">
        <v>6413</v>
      </c>
      <c r="F1013" s="5" t="s">
        <v>7849</v>
      </c>
      <c r="G1013" s="11" t="s">
        <v>7850</v>
      </c>
      <c r="H1013" s="11" t="s">
        <v>8540</v>
      </c>
    </row>
    <row r="1014" customFormat="false" ht="17.15" hidden="false" customHeight="false" outlineLevel="0" collapsed="false">
      <c r="A1014" s="11" t="s">
        <v>8541</v>
      </c>
      <c r="B1014" s="11" t="s">
        <v>1677</v>
      </c>
      <c r="C1014" s="11" t="s">
        <v>153</v>
      </c>
      <c r="D1014" s="6" t="n">
        <v>340071</v>
      </c>
      <c r="E1014" s="5" t="s">
        <v>6210</v>
      </c>
      <c r="F1014" s="5" t="s">
        <v>6210</v>
      </c>
      <c r="G1014" s="11" t="s">
        <v>137</v>
      </c>
      <c r="H1014" s="11" t="s">
        <v>8542</v>
      </c>
    </row>
    <row r="1015" customFormat="false" ht="17.15" hidden="false" customHeight="false" outlineLevel="0" collapsed="false">
      <c r="A1015" s="11" t="s">
        <v>8543</v>
      </c>
      <c r="B1015" s="11" t="s">
        <v>349</v>
      </c>
      <c r="C1015" s="11" t="s">
        <v>162</v>
      </c>
      <c r="D1015" s="6" t="n">
        <v>339934</v>
      </c>
      <c r="E1015" s="5" t="s">
        <v>6207</v>
      </c>
      <c r="F1015" s="5" t="s">
        <v>6207</v>
      </c>
      <c r="G1015" s="11" t="s">
        <v>134</v>
      </c>
      <c r="H1015" s="11" t="s">
        <v>8544</v>
      </c>
    </row>
    <row r="1016" customFormat="false" ht="15" hidden="false" customHeight="false" outlineLevel="0" collapsed="false">
      <c r="A1016" s="11" t="s">
        <v>8545</v>
      </c>
      <c r="B1016" s="11" t="s">
        <v>737</v>
      </c>
      <c r="C1016" s="11" t="s">
        <v>156</v>
      </c>
      <c r="D1016" s="6" t="n">
        <v>339826</v>
      </c>
      <c r="E1016" s="5" t="s">
        <v>141</v>
      </c>
      <c r="F1016" s="5" t="s">
        <v>141</v>
      </c>
      <c r="G1016" s="11" t="s">
        <v>140</v>
      </c>
      <c r="H1016" s="11" t="s">
        <v>8546</v>
      </c>
    </row>
    <row r="1017" customFormat="false" ht="15" hidden="false" customHeight="false" outlineLevel="0" collapsed="false">
      <c r="A1017" s="11" t="s">
        <v>8547</v>
      </c>
      <c r="B1017" s="11" t="s">
        <v>7768</v>
      </c>
      <c r="C1017" s="11" t="s">
        <v>156</v>
      </c>
      <c r="D1017" s="6" t="n">
        <v>339810</v>
      </c>
      <c r="E1017" s="5" t="s">
        <v>6413</v>
      </c>
      <c r="F1017" s="5" t="s">
        <v>6413</v>
      </c>
      <c r="G1017" s="11" t="s">
        <v>128</v>
      </c>
      <c r="H1017" s="11" t="s">
        <v>8548</v>
      </c>
    </row>
    <row r="1018" customFormat="false" ht="17.15" hidden="false" customHeight="false" outlineLevel="0" collapsed="false">
      <c r="A1018" s="11" t="s">
        <v>8549</v>
      </c>
      <c r="B1018" s="11" t="s">
        <v>8550</v>
      </c>
      <c r="C1018" s="11" t="s">
        <v>193</v>
      </c>
      <c r="D1018" s="6" t="n">
        <v>339752</v>
      </c>
      <c r="E1018" s="5" t="s">
        <v>6239</v>
      </c>
      <c r="F1018" s="5" t="s">
        <v>6239</v>
      </c>
      <c r="G1018" s="11" t="s">
        <v>143</v>
      </c>
      <c r="H1018" s="11" t="s">
        <v>8551</v>
      </c>
    </row>
    <row r="1019" customFormat="false" ht="17.15" hidden="false" customHeight="false" outlineLevel="0" collapsed="false">
      <c r="A1019" s="11" t="s">
        <v>8552</v>
      </c>
      <c r="B1019" s="11" t="s">
        <v>6647</v>
      </c>
      <c r="C1019" s="11" t="s">
        <v>155</v>
      </c>
      <c r="D1019" s="6" t="n">
        <v>338749</v>
      </c>
      <c r="E1019" s="5" t="s">
        <v>6264</v>
      </c>
      <c r="F1019" s="5" t="s">
        <v>6264</v>
      </c>
      <c r="G1019" s="11" t="s">
        <v>131</v>
      </c>
      <c r="H1019" s="11" t="s">
        <v>8553</v>
      </c>
    </row>
    <row r="1020" customFormat="false" ht="17.15" hidden="false" customHeight="false" outlineLevel="0" collapsed="false">
      <c r="A1020" s="11" t="s">
        <v>8554</v>
      </c>
      <c r="B1020" s="11" t="s">
        <v>1325</v>
      </c>
      <c r="C1020" s="11" t="s">
        <v>197</v>
      </c>
      <c r="D1020" s="6" t="n">
        <v>337953</v>
      </c>
      <c r="E1020" s="5" t="s">
        <v>6239</v>
      </c>
      <c r="F1020" s="5" t="s">
        <v>6239</v>
      </c>
      <c r="G1020" s="11" t="s">
        <v>143</v>
      </c>
      <c r="H1020" s="11" t="s">
        <v>8555</v>
      </c>
    </row>
    <row r="1021" customFormat="false" ht="17.15" hidden="false" customHeight="false" outlineLevel="0" collapsed="false">
      <c r="A1021" s="11" t="s">
        <v>8556</v>
      </c>
      <c r="B1021" s="11" t="s">
        <v>8185</v>
      </c>
      <c r="C1021" s="11" t="s">
        <v>197</v>
      </c>
      <c r="D1021" s="6" t="n">
        <v>337669</v>
      </c>
      <c r="E1021" s="5" t="s">
        <v>6239</v>
      </c>
      <c r="F1021" s="5" t="s">
        <v>6239</v>
      </c>
      <c r="G1021" s="11" t="s">
        <v>143</v>
      </c>
      <c r="H1021" s="11" t="s">
        <v>8557</v>
      </c>
    </row>
    <row r="1022" customFormat="false" ht="17.15" hidden="false" customHeight="false" outlineLevel="0" collapsed="false">
      <c r="A1022" s="11" t="s">
        <v>8558</v>
      </c>
      <c r="B1022" s="11" t="s">
        <v>5685</v>
      </c>
      <c r="C1022" s="11" t="s">
        <v>162</v>
      </c>
      <c r="D1022" s="6" t="n">
        <v>337569</v>
      </c>
      <c r="E1022" s="5" t="s">
        <v>6207</v>
      </c>
      <c r="F1022" s="5" t="s">
        <v>6207</v>
      </c>
      <c r="G1022" s="11" t="s">
        <v>134</v>
      </c>
      <c r="H1022" s="11" t="s">
        <v>8559</v>
      </c>
    </row>
    <row r="1023" customFormat="false" ht="15" hidden="false" customHeight="false" outlineLevel="0" collapsed="false">
      <c r="A1023" s="11" t="s">
        <v>8560</v>
      </c>
      <c r="B1023" s="11" t="s">
        <v>1733</v>
      </c>
      <c r="C1023" s="11" t="s">
        <v>156</v>
      </c>
      <c r="D1023" s="6" t="n">
        <v>336517</v>
      </c>
      <c r="E1023" s="5" t="s">
        <v>6413</v>
      </c>
      <c r="F1023" s="5" t="s">
        <v>6413</v>
      </c>
      <c r="G1023" s="11" t="s">
        <v>128</v>
      </c>
      <c r="H1023" s="11" t="s">
        <v>8561</v>
      </c>
    </row>
    <row r="1024" customFormat="false" ht="17.15" hidden="false" customHeight="false" outlineLevel="0" collapsed="false">
      <c r="A1024" s="11" t="s">
        <v>8562</v>
      </c>
      <c r="B1024" s="11" t="s">
        <v>368</v>
      </c>
      <c r="C1024" s="11" t="s">
        <v>162</v>
      </c>
      <c r="D1024" s="6" t="n">
        <v>335652</v>
      </c>
      <c r="E1024" s="5" t="s">
        <v>6207</v>
      </c>
      <c r="F1024" s="5" t="s">
        <v>6207</v>
      </c>
      <c r="G1024" s="11" t="s">
        <v>134</v>
      </c>
      <c r="H1024" s="11" t="s">
        <v>8563</v>
      </c>
    </row>
    <row r="1025" customFormat="false" ht="15" hidden="false" customHeight="false" outlineLevel="0" collapsed="false">
      <c r="A1025" s="11" t="s">
        <v>8564</v>
      </c>
      <c r="B1025" s="11" t="s">
        <v>6273</v>
      </c>
      <c r="C1025" s="11" t="s">
        <v>153</v>
      </c>
      <c r="D1025" s="6" t="n">
        <v>335218</v>
      </c>
      <c r="E1025" s="5" t="s">
        <v>141</v>
      </c>
      <c r="F1025" s="5" t="s">
        <v>141</v>
      </c>
      <c r="G1025" s="11" t="s">
        <v>140</v>
      </c>
      <c r="H1025" s="11" t="s">
        <v>8565</v>
      </c>
    </row>
    <row r="1026" customFormat="false" ht="17.15" hidden="false" customHeight="false" outlineLevel="0" collapsed="false">
      <c r="A1026" s="11" t="s">
        <v>8566</v>
      </c>
      <c r="B1026" s="11" t="s">
        <v>8567</v>
      </c>
      <c r="C1026" s="11" t="s">
        <v>192</v>
      </c>
      <c r="D1026" s="6" t="n">
        <v>333936</v>
      </c>
      <c r="E1026" s="5" t="s">
        <v>6239</v>
      </c>
      <c r="F1026" s="5" t="s">
        <v>6239</v>
      </c>
      <c r="G1026" s="11" t="s">
        <v>143</v>
      </c>
      <c r="H1026" s="11" t="s">
        <v>8568</v>
      </c>
    </row>
    <row r="1027" customFormat="false" ht="17.15" hidden="false" customHeight="false" outlineLevel="0" collapsed="false">
      <c r="A1027" s="11" t="s">
        <v>8569</v>
      </c>
      <c r="B1027" s="11" t="s">
        <v>6457</v>
      </c>
      <c r="C1027" s="11" t="s">
        <v>155</v>
      </c>
      <c r="D1027" s="6" t="n">
        <v>333762</v>
      </c>
      <c r="E1027" s="5" t="s">
        <v>6264</v>
      </c>
      <c r="F1027" s="5" t="s">
        <v>6264</v>
      </c>
      <c r="G1027" s="11" t="s">
        <v>131</v>
      </c>
      <c r="H1027" s="11" t="s">
        <v>8570</v>
      </c>
    </row>
    <row r="1028" customFormat="false" ht="17.15" hidden="false" customHeight="false" outlineLevel="0" collapsed="false">
      <c r="A1028" s="11" t="s">
        <v>8571</v>
      </c>
      <c r="B1028" s="11" t="s">
        <v>681</v>
      </c>
      <c r="C1028" s="11" t="s">
        <v>198</v>
      </c>
      <c r="D1028" s="6" t="n">
        <v>332020</v>
      </c>
      <c r="E1028" s="5" t="s">
        <v>6207</v>
      </c>
      <c r="F1028" s="5" t="s">
        <v>6327</v>
      </c>
      <c r="G1028" s="11" t="s">
        <v>6328</v>
      </c>
      <c r="H1028" s="11" t="s">
        <v>8572</v>
      </c>
    </row>
    <row r="1029" customFormat="false" ht="17.15" hidden="false" customHeight="false" outlineLevel="0" collapsed="false">
      <c r="A1029" s="11" t="s">
        <v>8573</v>
      </c>
      <c r="B1029" s="11" t="s">
        <v>5331</v>
      </c>
      <c r="C1029" s="11" t="s">
        <v>175</v>
      </c>
      <c r="D1029" s="6" t="n">
        <v>331804</v>
      </c>
      <c r="E1029" s="5" t="s">
        <v>6207</v>
      </c>
      <c r="F1029" s="5" t="s">
        <v>6207</v>
      </c>
      <c r="G1029" s="11" t="s">
        <v>134</v>
      </c>
      <c r="H1029" s="11" t="s">
        <v>8574</v>
      </c>
    </row>
    <row r="1030" customFormat="false" ht="17.15" hidden="false" customHeight="false" outlineLevel="0" collapsed="false">
      <c r="A1030" s="11" t="s">
        <v>8575</v>
      </c>
      <c r="B1030" s="11" t="s">
        <v>8576</v>
      </c>
      <c r="C1030" s="11" t="s">
        <v>149</v>
      </c>
      <c r="D1030" s="6" t="n">
        <v>330685</v>
      </c>
      <c r="E1030" s="5" t="s">
        <v>6207</v>
      </c>
      <c r="F1030" s="5" t="s">
        <v>6207</v>
      </c>
      <c r="G1030" s="11" t="s">
        <v>134</v>
      </c>
      <c r="H1030" s="11" t="s">
        <v>8577</v>
      </c>
    </row>
    <row r="1031" customFormat="false" ht="17.15" hidden="false" customHeight="false" outlineLevel="0" collapsed="false">
      <c r="A1031" s="11" t="s">
        <v>8578</v>
      </c>
      <c r="B1031" s="11" t="s">
        <v>3171</v>
      </c>
      <c r="C1031" s="11" t="s">
        <v>167</v>
      </c>
      <c r="D1031" s="6" t="n">
        <v>330568</v>
      </c>
      <c r="E1031" s="5" t="s">
        <v>6210</v>
      </c>
      <c r="F1031" s="5" t="s">
        <v>6210</v>
      </c>
      <c r="G1031" s="11" t="s">
        <v>137</v>
      </c>
      <c r="H1031" s="11" t="s">
        <v>8579</v>
      </c>
    </row>
    <row r="1032" customFormat="false" ht="15" hidden="false" customHeight="false" outlineLevel="0" collapsed="false">
      <c r="A1032" s="11" t="s">
        <v>8580</v>
      </c>
      <c r="B1032" s="11" t="s">
        <v>8581</v>
      </c>
      <c r="C1032" s="11" t="s">
        <v>156</v>
      </c>
      <c r="D1032" s="6" t="n">
        <v>329943</v>
      </c>
      <c r="E1032" s="5" t="s">
        <v>6413</v>
      </c>
      <c r="F1032" s="5" t="s">
        <v>6413</v>
      </c>
      <c r="G1032" s="11" t="s">
        <v>128</v>
      </c>
      <c r="H1032" s="11" t="s">
        <v>8582</v>
      </c>
    </row>
    <row r="1033" customFormat="false" ht="17.15" hidden="false" customHeight="false" outlineLevel="0" collapsed="false">
      <c r="A1033" s="11" t="s">
        <v>8583</v>
      </c>
      <c r="B1033" s="11" t="s">
        <v>6528</v>
      </c>
      <c r="C1033" s="11" t="s">
        <v>193</v>
      </c>
      <c r="D1033" s="6" t="n">
        <v>329793</v>
      </c>
      <c r="E1033" s="5" t="s">
        <v>6239</v>
      </c>
      <c r="F1033" s="5" t="s">
        <v>6239</v>
      </c>
      <c r="G1033" s="11" t="s">
        <v>143</v>
      </c>
      <c r="H1033" s="11" t="s">
        <v>8584</v>
      </c>
    </row>
    <row r="1034" customFormat="false" ht="17.15" hidden="false" customHeight="false" outlineLevel="0" collapsed="false">
      <c r="A1034" s="11" t="s">
        <v>8585</v>
      </c>
      <c r="B1034" s="11" t="s">
        <v>8586</v>
      </c>
      <c r="C1034" s="11" t="s">
        <v>192</v>
      </c>
      <c r="D1034" s="6" t="n">
        <v>329293</v>
      </c>
      <c r="E1034" s="5" t="s">
        <v>6239</v>
      </c>
      <c r="F1034" s="5" t="s">
        <v>6239</v>
      </c>
      <c r="G1034" s="11" t="s">
        <v>143</v>
      </c>
      <c r="H1034" s="11" t="s">
        <v>8587</v>
      </c>
    </row>
    <row r="1035" customFormat="false" ht="17.15" hidden="false" customHeight="false" outlineLevel="0" collapsed="false">
      <c r="A1035" s="11" t="s">
        <v>8588</v>
      </c>
      <c r="B1035" s="11" t="s">
        <v>6647</v>
      </c>
      <c r="C1035" s="11" t="s">
        <v>155</v>
      </c>
      <c r="D1035" s="6" t="n">
        <v>328853</v>
      </c>
      <c r="E1035" s="5" t="s">
        <v>6264</v>
      </c>
      <c r="F1035" s="5" t="s">
        <v>6264</v>
      </c>
      <c r="G1035" s="11" t="s">
        <v>131</v>
      </c>
      <c r="H1035" s="11" t="s">
        <v>8589</v>
      </c>
    </row>
    <row r="1036" customFormat="false" ht="17.15" hidden="false" customHeight="false" outlineLevel="0" collapsed="false">
      <c r="A1036" s="11" t="s">
        <v>8590</v>
      </c>
      <c r="B1036" s="11" t="s">
        <v>8591</v>
      </c>
      <c r="C1036" s="11" t="s">
        <v>189</v>
      </c>
      <c r="D1036" s="6" t="n">
        <v>328225</v>
      </c>
      <c r="E1036" s="5" t="s">
        <v>6239</v>
      </c>
      <c r="F1036" s="5" t="s">
        <v>6239</v>
      </c>
      <c r="G1036" s="11" t="s">
        <v>143</v>
      </c>
      <c r="H1036" s="11" t="s">
        <v>8592</v>
      </c>
    </row>
    <row r="1037" customFormat="false" ht="17.15" hidden="false" customHeight="false" outlineLevel="0" collapsed="false">
      <c r="A1037" s="11" t="s">
        <v>8593</v>
      </c>
      <c r="B1037" s="11" t="s">
        <v>368</v>
      </c>
      <c r="C1037" s="11" t="s">
        <v>176</v>
      </c>
      <c r="D1037" s="6" t="n">
        <v>327869</v>
      </c>
      <c r="E1037" s="5" t="s">
        <v>6207</v>
      </c>
      <c r="F1037" s="5" t="s">
        <v>6207</v>
      </c>
      <c r="G1037" s="11" t="s">
        <v>134</v>
      </c>
      <c r="H1037" s="11" t="s">
        <v>8594</v>
      </c>
    </row>
    <row r="1038" customFormat="false" ht="17.15" hidden="false" customHeight="false" outlineLevel="0" collapsed="false">
      <c r="A1038" s="11" t="s">
        <v>8595</v>
      </c>
      <c r="B1038" s="11" t="s">
        <v>2557</v>
      </c>
      <c r="C1038" s="11" t="s">
        <v>168</v>
      </c>
      <c r="D1038" s="6" t="n">
        <v>325695</v>
      </c>
      <c r="E1038" s="5" t="s">
        <v>6207</v>
      </c>
      <c r="F1038" s="5" t="s">
        <v>6207</v>
      </c>
      <c r="G1038" s="11" t="s">
        <v>134</v>
      </c>
      <c r="H1038" s="11" t="s">
        <v>8596</v>
      </c>
    </row>
    <row r="1039" customFormat="false" ht="17.15" hidden="false" customHeight="false" outlineLevel="0" collapsed="false">
      <c r="A1039" s="11" t="s">
        <v>8597</v>
      </c>
      <c r="B1039" s="11" t="s">
        <v>1214</v>
      </c>
      <c r="C1039" s="11" t="s">
        <v>192</v>
      </c>
      <c r="D1039" s="6" t="n">
        <v>324412</v>
      </c>
      <c r="E1039" s="5" t="s">
        <v>6239</v>
      </c>
      <c r="F1039" s="5" t="s">
        <v>6239</v>
      </c>
      <c r="G1039" s="11" t="s">
        <v>143</v>
      </c>
      <c r="H1039" s="11" t="s">
        <v>8598</v>
      </c>
    </row>
    <row r="1040" customFormat="false" ht="17.15" hidden="false" customHeight="false" outlineLevel="0" collapsed="false">
      <c r="A1040" s="11" t="s">
        <v>8599</v>
      </c>
      <c r="B1040" s="11" t="s">
        <v>6581</v>
      </c>
      <c r="C1040" s="11" t="s">
        <v>156</v>
      </c>
      <c r="D1040" s="6" t="n">
        <v>324015</v>
      </c>
      <c r="E1040" s="5" t="s">
        <v>6264</v>
      </c>
      <c r="F1040" s="5" t="s">
        <v>6264</v>
      </c>
      <c r="G1040" s="11" t="s">
        <v>131</v>
      </c>
      <c r="H1040" s="11" t="s">
        <v>8600</v>
      </c>
    </row>
    <row r="1041" customFormat="false" ht="15" hidden="false" customHeight="false" outlineLevel="0" collapsed="false">
      <c r="A1041" s="11" t="s">
        <v>8601</v>
      </c>
      <c r="B1041" s="11" t="s">
        <v>4971</v>
      </c>
      <c r="C1041" s="11" t="s">
        <v>188</v>
      </c>
      <c r="D1041" s="6" t="n">
        <v>321900</v>
      </c>
      <c r="E1041" s="5" t="s">
        <v>141</v>
      </c>
      <c r="F1041" s="5" t="s">
        <v>141</v>
      </c>
      <c r="G1041" s="11" t="s">
        <v>140</v>
      </c>
      <c r="H1041" s="11" t="s">
        <v>8602</v>
      </c>
    </row>
    <row r="1042" customFormat="false" ht="17.15" hidden="false" customHeight="false" outlineLevel="0" collapsed="false">
      <c r="A1042" s="11" t="s">
        <v>8603</v>
      </c>
      <c r="B1042" s="11" t="s">
        <v>5414</v>
      </c>
      <c r="C1042" s="11" t="s">
        <v>197</v>
      </c>
      <c r="D1042" s="6" t="n">
        <v>321882</v>
      </c>
      <c r="E1042" s="5" t="s">
        <v>6239</v>
      </c>
      <c r="F1042" s="5" t="s">
        <v>6239</v>
      </c>
      <c r="G1042" s="11" t="s">
        <v>143</v>
      </c>
      <c r="H1042" s="11" t="s">
        <v>8604</v>
      </c>
    </row>
    <row r="1043" customFormat="false" ht="17.15" hidden="false" customHeight="false" outlineLevel="0" collapsed="false">
      <c r="A1043" s="11" t="s">
        <v>8605</v>
      </c>
      <c r="B1043" s="11" t="s">
        <v>8606</v>
      </c>
      <c r="C1043" s="11" t="s">
        <v>192</v>
      </c>
      <c r="D1043" s="6" t="n">
        <v>321427</v>
      </c>
      <c r="E1043" s="5" t="s">
        <v>6239</v>
      </c>
      <c r="F1043" s="5" t="s">
        <v>6239</v>
      </c>
      <c r="G1043" s="11" t="s">
        <v>143</v>
      </c>
      <c r="H1043" s="11" t="s">
        <v>8607</v>
      </c>
    </row>
    <row r="1044" customFormat="false" ht="17.15" hidden="false" customHeight="false" outlineLevel="0" collapsed="false">
      <c r="A1044" s="11" t="s">
        <v>8608</v>
      </c>
      <c r="B1044" s="11" t="s">
        <v>998</v>
      </c>
      <c r="C1044" s="11" t="s">
        <v>155</v>
      </c>
      <c r="D1044" s="6" t="n">
        <v>321270</v>
      </c>
      <c r="E1044" s="5" t="s">
        <v>6264</v>
      </c>
      <c r="F1044" s="5" t="s">
        <v>6264</v>
      </c>
      <c r="G1044" s="11" t="s">
        <v>131</v>
      </c>
      <c r="H1044" s="11" t="s">
        <v>8609</v>
      </c>
    </row>
    <row r="1045" customFormat="false" ht="17.15" hidden="false" customHeight="false" outlineLevel="0" collapsed="false">
      <c r="A1045" s="11" t="s">
        <v>8610</v>
      </c>
      <c r="B1045" s="11" t="s">
        <v>6457</v>
      </c>
      <c r="C1045" s="11" t="s">
        <v>155</v>
      </c>
      <c r="D1045" s="6" t="n">
        <v>320969</v>
      </c>
      <c r="E1045" s="5" t="s">
        <v>6264</v>
      </c>
      <c r="F1045" s="5" t="s">
        <v>6264</v>
      </c>
      <c r="G1045" s="11" t="s">
        <v>131</v>
      </c>
      <c r="H1045" s="11" t="s">
        <v>8611</v>
      </c>
    </row>
    <row r="1046" customFormat="false" ht="17.15" hidden="false" customHeight="false" outlineLevel="0" collapsed="false">
      <c r="A1046" s="11" t="s">
        <v>3439</v>
      </c>
      <c r="B1046" s="11" t="s">
        <v>8612</v>
      </c>
      <c r="C1046" s="11" t="s">
        <v>162</v>
      </c>
      <c r="D1046" s="6" t="n">
        <v>320730</v>
      </c>
      <c r="E1046" s="5" t="s">
        <v>6207</v>
      </c>
      <c r="F1046" s="5" t="s">
        <v>6207</v>
      </c>
      <c r="G1046" s="11" t="s">
        <v>134</v>
      </c>
      <c r="H1046" s="11" t="s">
        <v>8613</v>
      </c>
    </row>
    <row r="1047" customFormat="false" ht="17.15" hidden="false" customHeight="false" outlineLevel="0" collapsed="false">
      <c r="A1047" s="11" t="s">
        <v>8614</v>
      </c>
      <c r="B1047" s="11" t="s">
        <v>2309</v>
      </c>
      <c r="C1047" s="11" t="s">
        <v>167</v>
      </c>
      <c r="D1047" s="6" t="n">
        <v>320282</v>
      </c>
      <c r="E1047" s="5" t="s">
        <v>6207</v>
      </c>
      <c r="F1047" s="5" t="s">
        <v>6207</v>
      </c>
      <c r="G1047" s="11" t="s">
        <v>134</v>
      </c>
      <c r="H1047" s="11" t="s">
        <v>8615</v>
      </c>
    </row>
    <row r="1048" customFormat="false" ht="17.15" hidden="false" customHeight="false" outlineLevel="0" collapsed="false">
      <c r="A1048" s="11" t="s">
        <v>8616</v>
      </c>
      <c r="B1048" s="11" t="s">
        <v>8617</v>
      </c>
      <c r="C1048" s="11" t="s">
        <v>201</v>
      </c>
      <c r="D1048" s="6" t="n">
        <v>320179</v>
      </c>
      <c r="E1048" s="5" t="s">
        <v>6227</v>
      </c>
      <c r="F1048" s="5" t="s">
        <v>8618</v>
      </c>
      <c r="G1048" s="11" t="s">
        <v>6215</v>
      </c>
      <c r="H1048" s="11" t="s">
        <v>8619</v>
      </c>
    </row>
    <row r="1049" customFormat="false" ht="17.15" hidden="false" customHeight="false" outlineLevel="0" collapsed="false">
      <c r="A1049" s="11" t="s">
        <v>8620</v>
      </c>
      <c r="B1049" s="11" t="s">
        <v>7092</v>
      </c>
      <c r="C1049" s="11" t="s">
        <v>171</v>
      </c>
      <c r="D1049" s="6" t="n">
        <v>320102</v>
      </c>
      <c r="E1049" s="5" t="s">
        <v>6210</v>
      </c>
      <c r="F1049" s="5" t="s">
        <v>6210</v>
      </c>
      <c r="G1049" s="11" t="s">
        <v>137</v>
      </c>
      <c r="H1049" s="11" t="s">
        <v>8621</v>
      </c>
    </row>
    <row r="1050" customFormat="false" ht="17.15" hidden="false" customHeight="false" outlineLevel="0" collapsed="false">
      <c r="A1050" s="11" t="s">
        <v>8622</v>
      </c>
      <c r="B1050" s="11" t="s">
        <v>7168</v>
      </c>
      <c r="C1050" s="5"/>
      <c r="D1050" s="6" t="n">
        <v>319986</v>
      </c>
      <c r="E1050" s="5" t="s">
        <v>6207</v>
      </c>
      <c r="F1050" s="5" t="s">
        <v>6207</v>
      </c>
      <c r="G1050" s="11" t="s">
        <v>134</v>
      </c>
      <c r="H1050" s="11" t="s">
        <v>8623</v>
      </c>
    </row>
    <row r="1051" customFormat="false" ht="15" hidden="false" customHeight="false" outlineLevel="0" collapsed="false">
      <c r="A1051" s="11" t="s">
        <v>8624</v>
      </c>
      <c r="B1051" s="11" t="s">
        <v>839</v>
      </c>
      <c r="C1051" s="11" t="s">
        <v>158</v>
      </c>
      <c r="D1051" s="6" t="n">
        <v>319863</v>
      </c>
      <c r="E1051" s="5" t="s">
        <v>141</v>
      </c>
      <c r="F1051" s="5" t="s">
        <v>141</v>
      </c>
      <c r="G1051" s="11" t="s">
        <v>140</v>
      </c>
      <c r="H1051" s="11" t="s">
        <v>8625</v>
      </c>
    </row>
    <row r="1052" customFormat="false" ht="17.15" hidden="false" customHeight="false" outlineLevel="0" collapsed="false">
      <c r="A1052" s="11" t="s">
        <v>8626</v>
      </c>
      <c r="B1052" s="11" t="s">
        <v>368</v>
      </c>
      <c r="C1052" s="11" t="s">
        <v>162</v>
      </c>
      <c r="D1052" s="6" t="n">
        <v>319610</v>
      </c>
      <c r="E1052" s="5" t="s">
        <v>6207</v>
      </c>
      <c r="F1052" s="5" t="s">
        <v>6207</v>
      </c>
      <c r="G1052" s="11" t="s">
        <v>134</v>
      </c>
      <c r="H1052" s="11" t="s">
        <v>8627</v>
      </c>
    </row>
    <row r="1053" customFormat="false" ht="15" hidden="false" customHeight="false" outlineLevel="0" collapsed="false">
      <c r="A1053" s="11" t="s">
        <v>8628</v>
      </c>
      <c r="B1053" s="11" t="s">
        <v>2693</v>
      </c>
      <c r="C1053" s="11" t="s">
        <v>173</v>
      </c>
      <c r="D1053" s="6" t="n">
        <v>319566</v>
      </c>
      <c r="E1053" s="5" t="s">
        <v>141</v>
      </c>
      <c r="F1053" s="5" t="s">
        <v>141</v>
      </c>
      <c r="G1053" s="11" t="s">
        <v>140</v>
      </c>
      <c r="H1053" s="11" t="s">
        <v>8629</v>
      </c>
    </row>
    <row r="1054" customFormat="false" ht="17.15" hidden="false" customHeight="false" outlineLevel="0" collapsed="false">
      <c r="A1054" s="11" t="s">
        <v>8630</v>
      </c>
      <c r="B1054" s="11" t="s">
        <v>8631</v>
      </c>
      <c r="C1054" s="11" t="s">
        <v>149</v>
      </c>
      <c r="D1054" s="6" t="n">
        <v>319516</v>
      </c>
      <c r="E1054" s="5" t="s">
        <v>6207</v>
      </c>
      <c r="F1054" s="5" t="s">
        <v>6207</v>
      </c>
      <c r="G1054" s="11" t="s">
        <v>134</v>
      </c>
      <c r="H1054" s="11" t="s">
        <v>8632</v>
      </c>
    </row>
    <row r="1055" customFormat="false" ht="17.15" hidden="false" customHeight="false" outlineLevel="0" collapsed="false">
      <c r="A1055" s="11" t="s">
        <v>8633</v>
      </c>
      <c r="B1055" s="11" t="s">
        <v>8213</v>
      </c>
      <c r="C1055" s="11" t="s">
        <v>162</v>
      </c>
      <c r="D1055" s="6" t="n">
        <v>319390</v>
      </c>
      <c r="E1055" s="5" t="s">
        <v>6210</v>
      </c>
      <c r="F1055" s="5" t="s">
        <v>6210</v>
      </c>
      <c r="G1055" s="11" t="s">
        <v>137</v>
      </c>
      <c r="H1055" s="11" t="s">
        <v>8634</v>
      </c>
    </row>
    <row r="1056" customFormat="false" ht="15" hidden="false" customHeight="false" outlineLevel="0" collapsed="false">
      <c r="A1056" s="11" t="s">
        <v>8635</v>
      </c>
      <c r="B1056" s="11" t="s">
        <v>6226</v>
      </c>
      <c r="C1056" s="11" t="s">
        <v>175</v>
      </c>
      <c r="D1056" s="6" t="n">
        <v>319246</v>
      </c>
      <c r="E1056" s="5" t="s">
        <v>6227</v>
      </c>
      <c r="F1056" s="5" t="s">
        <v>6227</v>
      </c>
      <c r="G1056" s="11" t="s">
        <v>134</v>
      </c>
      <c r="H1056" s="11" t="s">
        <v>8636</v>
      </c>
    </row>
    <row r="1057" customFormat="false" ht="17.15" hidden="false" customHeight="false" outlineLevel="0" collapsed="false">
      <c r="A1057" s="11" t="s">
        <v>8637</v>
      </c>
      <c r="B1057" s="11" t="s">
        <v>8638</v>
      </c>
      <c r="C1057" s="11" t="s">
        <v>152</v>
      </c>
      <c r="D1057" s="6" t="n">
        <v>318378</v>
      </c>
      <c r="E1057" s="5" t="s">
        <v>6207</v>
      </c>
      <c r="F1057" s="5" t="s">
        <v>6207</v>
      </c>
      <c r="G1057" s="11" t="s">
        <v>134</v>
      </c>
      <c r="H1057" s="11" t="s">
        <v>8639</v>
      </c>
    </row>
    <row r="1058" customFormat="false" ht="17.15" hidden="false" customHeight="false" outlineLevel="0" collapsed="false">
      <c r="A1058" s="11" t="s">
        <v>8640</v>
      </c>
      <c r="B1058" s="11" t="s">
        <v>8641</v>
      </c>
      <c r="C1058" s="11" t="s">
        <v>193</v>
      </c>
      <c r="D1058" s="6" t="n">
        <v>318095</v>
      </c>
      <c r="E1058" s="5" t="s">
        <v>6239</v>
      </c>
      <c r="F1058" s="5" t="s">
        <v>6239</v>
      </c>
      <c r="G1058" s="11" t="s">
        <v>143</v>
      </c>
      <c r="H1058" s="11" t="s">
        <v>8642</v>
      </c>
    </row>
    <row r="1059" customFormat="false" ht="15" hidden="false" customHeight="false" outlineLevel="0" collapsed="false">
      <c r="A1059" s="11" t="s">
        <v>8643</v>
      </c>
      <c r="B1059" s="11" t="s">
        <v>7529</v>
      </c>
      <c r="C1059" s="11" t="s">
        <v>155</v>
      </c>
      <c r="D1059" s="6" t="n">
        <v>318029</v>
      </c>
      <c r="E1059" s="5" t="s">
        <v>6413</v>
      </c>
      <c r="F1059" s="5" t="s">
        <v>6413</v>
      </c>
      <c r="G1059" s="11" t="s">
        <v>128</v>
      </c>
      <c r="H1059" s="11" t="s">
        <v>8644</v>
      </c>
    </row>
    <row r="1060" customFormat="false" ht="17.15" hidden="false" customHeight="false" outlineLevel="0" collapsed="false">
      <c r="A1060" s="11" t="s">
        <v>8645</v>
      </c>
      <c r="B1060" s="11" t="s">
        <v>6301</v>
      </c>
      <c r="C1060" s="11" t="s">
        <v>175</v>
      </c>
      <c r="D1060" s="6" t="n">
        <v>317617</v>
      </c>
      <c r="E1060" s="5" t="s">
        <v>6207</v>
      </c>
      <c r="F1060" s="5" t="s">
        <v>6207</v>
      </c>
      <c r="G1060" s="11" t="s">
        <v>134</v>
      </c>
      <c r="H1060" s="11" t="s">
        <v>8646</v>
      </c>
    </row>
    <row r="1061" customFormat="false" ht="17.15" hidden="false" customHeight="false" outlineLevel="0" collapsed="false">
      <c r="A1061" s="11" t="s">
        <v>8647</v>
      </c>
      <c r="B1061" s="11" t="s">
        <v>6594</v>
      </c>
      <c r="C1061" s="11" t="s">
        <v>168</v>
      </c>
      <c r="D1061" s="6" t="n">
        <v>317238</v>
      </c>
      <c r="E1061" s="5" t="s">
        <v>6207</v>
      </c>
      <c r="F1061" s="5" t="s">
        <v>6207</v>
      </c>
      <c r="G1061" s="11" t="s">
        <v>134</v>
      </c>
      <c r="H1061" s="11" t="s">
        <v>8648</v>
      </c>
    </row>
    <row r="1062" customFormat="false" ht="17.15" hidden="false" customHeight="false" outlineLevel="0" collapsed="false">
      <c r="A1062" s="11" t="s">
        <v>8649</v>
      </c>
      <c r="B1062" s="11" t="s">
        <v>308</v>
      </c>
      <c r="C1062" s="11" t="s">
        <v>174</v>
      </c>
      <c r="D1062" s="6" t="n">
        <v>316696</v>
      </c>
      <c r="E1062" s="5" t="s">
        <v>6207</v>
      </c>
      <c r="F1062" s="5" t="s">
        <v>6207</v>
      </c>
      <c r="G1062" s="11" t="s">
        <v>134</v>
      </c>
      <c r="H1062" s="11" t="s">
        <v>8650</v>
      </c>
    </row>
    <row r="1063" customFormat="false" ht="17.15" hidden="false" customHeight="false" outlineLevel="0" collapsed="false">
      <c r="A1063" s="11" t="s">
        <v>8651</v>
      </c>
      <c r="B1063" s="11" t="s">
        <v>6528</v>
      </c>
      <c r="C1063" s="11" t="s">
        <v>193</v>
      </c>
      <c r="D1063" s="6" t="n">
        <v>314764</v>
      </c>
      <c r="E1063" s="5" t="s">
        <v>6239</v>
      </c>
      <c r="F1063" s="5" t="s">
        <v>6239</v>
      </c>
      <c r="G1063" s="11" t="s">
        <v>143</v>
      </c>
      <c r="H1063" s="11" t="s">
        <v>8652</v>
      </c>
    </row>
    <row r="1064" customFormat="false" ht="17.15" hidden="false" customHeight="false" outlineLevel="0" collapsed="false">
      <c r="A1064" s="11" t="s">
        <v>8653</v>
      </c>
      <c r="B1064" s="11" t="s">
        <v>8654</v>
      </c>
      <c r="C1064" s="11" t="s">
        <v>192</v>
      </c>
      <c r="D1064" s="6" t="n">
        <v>314330</v>
      </c>
      <c r="E1064" s="5" t="s">
        <v>6239</v>
      </c>
      <c r="F1064" s="5" t="s">
        <v>6239</v>
      </c>
      <c r="G1064" s="11" t="s">
        <v>143</v>
      </c>
      <c r="H1064" s="11" t="s">
        <v>8655</v>
      </c>
    </row>
    <row r="1065" customFormat="false" ht="17.15" hidden="false" customHeight="false" outlineLevel="0" collapsed="false">
      <c r="A1065" s="11" t="s">
        <v>8656</v>
      </c>
      <c r="B1065" s="11" t="s">
        <v>6647</v>
      </c>
      <c r="C1065" s="5"/>
      <c r="D1065" s="6" t="n">
        <v>314303</v>
      </c>
      <c r="E1065" s="5" t="s">
        <v>6264</v>
      </c>
      <c r="F1065" s="5" t="s">
        <v>6648</v>
      </c>
      <c r="G1065" s="11" t="s">
        <v>6649</v>
      </c>
      <c r="H1065" s="11" t="s">
        <v>8657</v>
      </c>
    </row>
    <row r="1066" customFormat="false" ht="17.15" hidden="false" customHeight="false" outlineLevel="0" collapsed="false">
      <c r="A1066" s="11" t="s">
        <v>8658</v>
      </c>
      <c r="B1066" s="11" t="s">
        <v>681</v>
      </c>
      <c r="C1066" s="11" t="s">
        <v>153</v>
      </c>
      <c r="D1066" s="6" t="n">
        <v>314008</v>
      </c>
      <c r="E1066" s="5" t="s">
        <v>6207</v>
      </c>
      <c r="F1066" s="5" t="s">
        <v>6377</v>
      </c>
      <c r="G1066" s="11" t="s">
        <v>6378</v>
      </c>
      <c r="H1066" s="11" t="s">
        <v>8659</v>
      </c>
    </row>
    <row r="1067" customFormat="false" ht="17.15" hidden="false" customHeight="false" outlineLevel="0" collapsed="false">
      <c r="A1067" s="11" t="s">
        <v>8660</v>
      </c>
      <c r="B1067" s="11" t="s">
        <v>6647</v>
      </c>
      <c r="C1067" s="5"/>
      <c r="D1067" s="6" t="n">
        <v>314003</v>
      </c>
      <c r="E1067" s="5" t="s">
        <v>6264</v>
      </c>
      <c r="F1067" s="5" t="s">
        <v>6648</v>
      </c>
      <c r="G1067" s="11" t="s">
        <v>6649</v>
      </c>
      <c r="H1067" s="11" t="s">
        <v>8661</v>
      </c>
    </row>
    <row r="1068" customFormat="false" ht="15" hidden="false" customHeight="false" outlineLevel="0" collapsed="false">
      <c r="A1068" s="11" t="s">
        <v>8662</v>
      </c>
      <c r="B1068" s="11" t="s">
        <v>3108</v>
      </c>
      <c r="C1068" s="5"/>
      <c r="D1068" s="6" t="n">
        <v>313782</v>
      </c>
      <c r="E1068" s="5" t="s">
        <v>141</v>
      </c>
      <c r="F1068" s="5" t="s">
        <v>141</v>
      </c>
      <c r="G1068" s="11" t="s">
        <v>140</v>
      </c>
      <c r="H1068" s="11" t="s">
        <v>8663</v>
      </c>
    </row>
    <row r="1069" customFormat="false" ht="17.15" hidden="false" customHeight="false" outlineLevel="0" collapsed="false">
      <c r="A1069" s="11" t="s">
        <v>8664</v>
      </c>
      <c r="B1069" s="11" t="s">
        <v>8389</v>
      </c>
      <c r="C1069" s="11" t="s">
        <v>192</v>
      </c>
      <c r="D1069" s="6" t="n">
        <v>313624</v>
      </c>
      <c r="E1069" s="5" t="s">
        <v>6239</v>
      </c>
      <c r="F1069" s="5" t="s">
        <v>6239</v>
      </c>
      <c r="G1069" s="11" t="s">
        <v>143</v>
      </c>
      <c r="H1069" s="11" t="s">
        <v>8665</v>
      </c>
    </row>
    <row r="1070" customFormat="false" ht="17.15" hidden="false" customHeight="false" outlineLevel="0" collapsed="false">
      <c r="A1070" s="11" t="s">
        <v>8666</v>
      </c>
      <c r="B1070" s="11" t="s">
        <v>7224</v>
      </c>
      <c r="C1070" s="11" t="s">
        <v>162</v>
      </c>
      <c r="D1070" s="6" t="n">
        <v>312332</v>
      </c>
      <c r="E1070" s="5" t="s">
        <v>6207</v>
      </c>
      <c r="F1070" s="5" t="s">
        <v>6207</v>
      </c>
      <c r="G1070" s="11" t="s">
        <v>134</v>
      </c>
      <c r="H1070" s="11" t="s">
        <v>8667</v>
      </c>
    </row>
    <row r="1071" customFormat="false" ht="15" hidden="false" customHeight="false" outlineLevel="0" collapsed="false">
      <c r="A1071" s="11" t="s">
        <v>8668</v>
      </c>
      <c r="B1071" s="11" t="s">
        <v>6801</v>
      </c>
      <c r="C1071" s="5"/>
      <c r="D1071" s="6" t="n">
        <v>312124</v>
      </c>
      <c r="E1071" s="5" t="s">
        <v>6227</v>
      </c>
      <c r="F1071" s="5" t="s">
        <v>6227</v>
      </c>
      <c r="G1071" s="11" t="s">
        <v>134</v>
      </c>
      <c r="H1071" s="11" t="s">
        <v>8669</v>
      </c>
    </row>
    <row r="1072" customFormat="false" ht="17.15" hidden="false" customHeight="false" outlineLevel="0" collapsed="false">
      <c r="A1072" s="11" t="s">
        <v>8670</v>
      </c>
      <c r="B1072" s="11" t="s">
        <v>5099</v>
      </c>
      <c r="C1072" s="11" t="s">
        <v>162</v>
      </c>
      <c r="D1072" s="6" t="n">
        <v>311403</v>
      </c>
      <c r="E1072" s="5" t="s">
        <v>6207</v>
      </c>
      <c r="F1072" s="5" t="s">
        <v>6207</v>
      </c>
      <c r="G1072" s="11" t="s">
        <v>134</v>
      </c>
      <c r="H1072" s="11" t="s">
        <v>8671</v>
      </c>
    </row>
    <row r="1073" customFormat="false" ht="17.15" hidden="false" customHeight="false" outlineLevel="0" collapsed="false">
      <c r="A1073" s="11" t="s">
        <v>8672</v>
      </c>
      <c r="B1073" s="11" t="s">
        <v>8673</v>
      </c>
      <c r="C1073" s="5"/>
      <c r="D1073" s="6" t="n">
        <v>310755</v>
      </c>
      <c r="E1073" s="5" t="s">
        <v>6210</v>
      </c>
      <c r="F1073" s="5" t="s">
        <v>6274</v>
      </c>
      <c r="G1073" s="11" t="s">
        <v>6275</v>
      </c>
      <c r="H1073" s="11" t="s">
        <v>8674</v>
      </c>
    </row>
    <row r="1074" customFormat="false" ht="17.15" hidden="false" customHeight="false" outlineLevel="0" collapsed="false">
      <c r="A1074" s="11" t="s">
        <v>8675</v>
      </c>
      <c r="B1074" s="11" t="s">
        <v>6258</v>
      </c>
      <c r="C1074" s="11" t="s">
        <v>149</v>
      </c>
      <c r="D1074" s="6" t="n">
        <v>310211</v>
      </c>
      <c r="E1074" s="5" t="s">
        <v>6207</v>
      </c>
      <c r="F1074" s="5" t="s">
        <v>6207</v>
      </c>
      <c r="G1074" s="11" t="s">
        <v>134</v>
      </c>
      <c r="H1074" s="11" t="s">
        <v>8676</v>
      </c>
    </row>
    <row r="1075" customFormat="false" ht="17.15" hidden="false" customHeight="false" outlineLevel="0" collapsed="false">
      <c r="A1075" s="11" t="s">
        <v>8677</v>
      </c>
      <c r="B1075" s="11" t="s">
        <v>8678</v>
      </c>
      <c r="C1075" s="11" t="s">
        <v>167</v>
      </c>
      <c r="D1075" s="6" t="n">
        <v>309986</v>
      </c>
      <c r="E1075" s="5" t="s">
        <v>6207</v>
      </c>
      <c r="F1075" s="5" t="s">
        <v>6207</v>
      </c>
      <c r="G1075" s="11" t="s">
        <v>134</v>
      </c>
      <c r="H1075" s="11" t="s">
        <v>8679</v>
      </c>
    </row>
    <row r="1076" customFormat="false" ht="17.15" hidden="false" customHeight="false" outlineLevel="0" collapsed="false">
      <c r="A1076" s="11" t="s">
        <v>8680</v>
      </c>
      <c r="B1076" s="11" t="s">
        <v>6647</v>
      </c>
      <c r="C1076" s="11" t="s">
        <v>155</v>
      </c>
      <c r="D1076" s="6" t="n">
        <v>309514</v>
      </c>
      <c r="E1076" s="5" t="s">
        <v>6264</v>
      </c>
      <c r="F1076" s="5" t="s">
        <v>6264</v>
      </c>
      <c r="G1076" s="11" t="s">
        <v>131</v>
      </c>
      <c r="H1076" s="11" t="s">
        <v>8681</v>
      </c>
    </row>
    <row r="1077" customFormat="false" ht="17.15" hidden="false" customHeight="false" outlineLevel="0" collapsed="false">
      <c r="A1077" s="11" t="s">
        <v>8682</v>
      </c>
      <c r="B1077" s="11" t="s">
        <v>2639</v>
      </c>
      <c r="C1077" s="11" t="s">
        <v>155</v>
      </c>
      <c r="D1077" s="6" t="n">
        <v>309512</v>
      </c>
      <c r="E1077" s="5" t="s">
        <v>6207</v>
      </c>
      <c r="F1077" s="5" t="s">
        <v>6207</v>
      </c>
      <c r="G1077" s="11" t="s">
        <v>134</v>
      </c>
      <c r="H1077" s="11" t="s">
        <v>8683</v>
      </c>
    </row>
    <row r="1078" customFormat="false" ht="15" hidden="false" customHeight="false" outlineLevel="0" collapsed="false">
      <c r="A1078" s="11" t="s">
        <v>8684</v>
      </c>
      <c r="B1078" s="11" t="s">
        <v>737</v>
      </c>
      <c r="C1078" s="11" t="s">
        <v>155</v>
      </c>
      <c r="D1078" s="6" t="n">
        <v>309418</v>
      </c>
      <c r="E1078" s="5" t="s">
        <v>141</v>
      </c>
      <c r="F1078" s="5" t="s">
        <v>141</v>
      </c>
      <c r="G1078" s="11" t="s">
        <v>140</v>
      </c>
      <c r="H1078" s="11" t="s">
        <v>8685</v>
      </c>
    </row>
    <row r="1079" customFormat="false" ht="17.15" hidden="false" customHeight="false" outlineLevel="0" collapsed="false">
      <c r="A1079" s="11" t="s">
        <v>8686</v>
      </c>
      <c r="B1079" s="11" t="s">
        <v>6520</v>
      </c>
      <c r="C1079" s="11" t="s">
        <v>192</v>
      </c>
      <c r="D1079" s="6" t="n">
        <v>309082</v>
      </c>
      <c r="E1079" s="5" t="s">
        <v>6239</v>
      </c>
      <c r="F1079" s="5" t="s">
        <v>6239</v>
      </c>
      <c r="G1079" s="11" t="s">
        <v>143</v>
      </c>
      <c r="H1079" s="11" t="s">
        <v>8687</v>
      </c>
    </row>
    <row r="1080" customFormat="false" ht="17.15" hidden="false" customHeight="false" outlineLevel="0" collapsed="false">
      <c r="A1080" s="11" t="s">
        <v>8688</v>
      </c>
      <c r="B1080" s="11" t="s">
        <v>8689</v>
      </c>
      <c r="C1080" s="11" t="s">
        <v>162</v>
      </c>
      <c r="D1080" s="6" t="n">
        <v>308423</v>
      </c>
      <c r="E1080" s="5" t="s">
        <v>6207</v>
      </c>
      <c r="F1080" s="5" t="s">
        <v>6207</v>
      </c>
      <c r="G1080" s="11" t="s">
        <v>134</v>
      </c>
      <c r="H1080" s="11" t="s">
        <v>8690</v>
      </c>
    </row>
    <row r="1081" customFormat="false" ht="17.15" hidden="false" customHeight="false" outlineLevel="0" collapsed="false">
      <c r="A1081" s="11" t="s">
        <v>8691</v>
      </c>
      <c r="B1081" s="11" t="s">
        <v>6647</v>
      </c>
      <c r="C1081" s="11" t="s">
        <v>155</v>
      </c>
      <c r="D1081" s="6" t="n">
        <v>307978</v>
      </c>
      <c r="E1081" s="5" t="s">
        <v>6264</v>
      </c>
      <c r="F1081" s="5" t="s">
        <v>7204</v>
      </c>
      <c r="G1081" s="11" t="s">
        <v>7205</v>
      </c>
      <c r="H1081" s="11" t="s">
        <v>8692</v>
      </c>
    </row>
    <row r="1082" customFormat="false" ht="17.15" hidden="false" customHeight="false" outlineLevel="0" collapsed="false">
      <c r="A1082" s="11" t="s">
        <v>8693</v>
      </c>
      <c r="B1082" s="11" t="s">
        <v>7356</v>
      </c>
      <c r="C1082" s="11" t="s">
        <v>197</v>
      </c>
      <c r="D1082" s="6" t="n">
        <v>307178</v>
      </c>
      <c r="E1082" s="5" t="s">
        <v>6207</v>
      </c>
      <c r="F1082" s="5" t="s">
        <v>6214</v>
      </c>
      <c r="G1082" s="11" t="s">
        <v>6215</v>
      </c>
      <c r="H1082" s="11" t="s">
        <v>8694</v>
      </c>
    </row>
    <row r="1083" customFormat="false" ht="17.15" hidden="false" customHeight="false" outlineLevel="0" collapsed="false">
      <c r="A1083" s="11" t="s">
        <v>8695</v>
      </c>
      <c r="B1083" s="11" t="s">
        <v>8696</v>
      </c>
      <c r="C1083" s="11" t="s">
        <v>149</v>
      </c>
      <c r="D1083" s="6" t="n">
        <v>307013</v>
      </c>
      <c r="E1083" s="5" t="s">
        <v>6207</v>
      </c>
      <c r="F1083" s="5" t="s">
        <v>6207</v>
      </c>
      <c r="G1083" s="11" t="s">
        <v>134</v>
      </c>
      <c r="H1083" s="11" t="s">
        <v>8697</v>
      </c>
    </row>
    <row r="1084" customFormat="false" ht="17.15" hidden="false" customHeight="false" outlineLevel="0" collapsed="false">
      <c r="A1084" s="11" t="s">
        <v>8698</v>
      </c>
      <c r="B1084" s="11" t="s">
        <v>5876</v>
      </c>
      <c r="C1084" s="11" t="s">
        <v>198</v>
      </c>
      <c r="D1084" s="6" t="n">
        <v>306566</v>
      </c>
      <c r="E1084" s="5" t="s">
        <v>141</v>
      </c>
      <c r="F1084" s="5" t="s">
        <v>6495</v>
      </c>
      <c r="G1084" s="11" t="s">
        <v>6496</v>
      </c>
      <c r="H1084" s="11" t="s">
        <v>8699</v>
      </c>
    </row>
    <row r="1085" customFormat="false" ht="17.15" hidden="false" customHeight="false" outlineLevel="0" collapsed="false">
      <c r="A1085" s="11" t="s">
        <v>8700</v>
      </c>
      <c r="B1085" s="11" t="s">
        <v>6647</v>
      </c>
      <c r="C1085" s="11" t="s">
        <v>162</v>
      </c>
      <c r="D1085" s="6" t="n">
        <v>306376</v>
      </c>
      <c r="E1085" s="5" t="s">
        <v>6264</v>
      </c>
      <c r="F1085" s="5" t="s">
        <v>6648</v>
      </c>
      <c r="G1085" s="11" t="s">
        <v>6649</v>
      </c>
      <c r="H1085" s="11" t="s">
        <v>8701</v>
      </c>
    </row>
    <row r="1086" customFormat="false" ht="17.15" hidden="false" customHeight="false" outlineLevel="0" collapsed="false">
      <c r="A1086" s="11" t="s">
        <v>8702</v>
      </c>
      <c r="B1086" s="11" t="s">
        <v>8356</v>
      </c>
      <c r="C1086" s="11" t="s">
        <v>153</v>
      </c>
      <c r="D1086" s="6" t="n">
        <v>305404</v>
      </c>
      <c r="E1086" s="5" t="s">
        <v>6207</v>
      </c>
      <c r="F1086" s="5" t="s">
        <v>6207</v>
      </c>
      <c r="G1086" s="11" t="s">
        <v>134</v>
      </c>
      <c r="H1086" s="11" t="s">
        <v>8703</v>
      </c>
    </row>
    <row r="1087" customFormat="false" ht="17.15" hidden="false" customHeight="false" outlineLevel="0" collapsed="false">
      <c r="A1087" s="11" t="s">
        <v>8704</v>
      </c>
      <c r="B1087" s="11" t="s">
        <v>368</v>
      </c>
      <c r="C1087" s="11" t="s">
        <v>179</v>
      </c>
      <c r="D1087" s="6" t="n">
        <v>305380</v>
      </c>
      <c r="E1087" s="5" t="s">
        <v>6207</v>
      </c>
      <c r="F1087" s="5" t="s">
        <v>6207</v>
      </c>
      <c r="G1087" s="11" t="s">
        <v>134</v>
      </c>
      <c r="H1087" s="11" t="s">
        <v>8705</v>
      </c>
    </row>
    <row r="1088" customFormat="false" ht="17.15" hidden="false" customHeight="false" outlineLevel="0" collapsed="false">
      <c r="A1088" s="11" t="s">
        <v>8706</v>
      </c>
      <c r="B1088" s="11" t="s">
        <v>8707</v>
      </c>
      <c r="C1088" s="11" t="s">
        <v>155</v>
      </c>
      <c r="D1088" s="6" t="n">
        <v>305311</v>
      </c>
      <c r="E1088" s="5" t="s">
        <v>6207</v>
      </c>
      <c r="F1088" s="5" t="s">
        <v>6207</v>
      </c>
      <c r="G1088" s="11" t="s">
        <v>134</v>
      </c>
      <c r="H1088" s="11" t="s">
        <v>8708</v>
      </c>
    </row>
    <row r="1089" customFormat="false" ht="17.15" hidden="false" customHeight="false" outlineLevel="0" collapsed="false">
      <c r="A1089" s="11" t="s">
        <v>8709</v>
      </c>
      <c r="B1089" s="11" t="s">
        <v>6835</v>
      </c>
      <c r="C1089" s="11" t="s">
        <v>192</v>
      </c>
      <c r="D1089" s="6" t="n">
        <v>305190</v>
      </c>
      <c r="E1089" s="5" t="s">
        <v>141</v>
      </c>
      <c r="F1089" s="5" t="s">
        <v>6495</v>
      </c>
      <c r="G1089" s="11" t="s">
        <v>6496</v>
      </c>
      <c r="H1089" s="11" t="s">
        <v>8710</v>
      </c>
    </row>
    <row r="1090" customFormat="false" ht="17.15" hidden="false" customHeight="false" outlineLevel="0" collapsed="false">
      <c r="A1090" s="11" t="s">
        <v>8711</v>
      </c>
      <c r="B1090" s="11" t="s">
        <v>6647</v>
      </c>
      <c r="C1090" s="11" t="s">
        <v>192</v>
      </c>
      <c r="D1090" s="6" t="n">
        <v>304781</v>
      </c>
      <c r="E1090" s="5" t="s">
        <v>6264</v>
      </c>
      <c r="F1090" s="5" t="s">
        <v>7411</v>
      </c>
      <c r="G1090" s="11" t="s">
        <v>7412</v>
      </c>
      <c r="H1090" s="11" t="s">
        <v>8712</v>
      </c>
    </row>
    <row r="1091" customFormat="false" ht="17.15" hidden="false" customHeight="false" outlineLevel="0" collapsed="false">
      <c r="A1091" s="11" t="s">
        <v>8713</v>
      </c>
      <c r="B1091" s="11" t="s">
        <v>681</v>
      </c>
      <c r="C1091" s="11" t="s">
        <v>168</v>
      </c>
      <c r="D1091" s="6" t="n">
        <v>304762</v>
      </c>
      <c r="E1091" s="5" t="s">
        <v>6207</v>
      </c>
      <c r="F1091" s="5" t="s">
        <v>6377</v>
      </c>
      <c r="G1091" s="11" t="s">
        <v>6378</v>
      </c>
      <c r="H1091" s="11" t="s">
        <v>8714</v>
      </c>
    </row>
    <row r="1092" customFormat="false" ht="15" hidden="false" customHeight="false" outlineLevel="0" collapsed="false">
      <c r="A1092" s="11" t="s">
        <v>8715</v>
      </c>
      <c r="B1092" s="11" t="s">
        <v>8716</v>
      </c>
      <c r="C1092" s="11" t="s">
        <v>155</v>
      </c>
      <c r="D1092" s="6" t="n">
        <v>304748</v>
      </c>
      <c r="E1092" s="5" t="s">
        <v>141</v>
      </c>
      <c r="F1092" s="5" t="s">
        <v>141</v>
      </c>
      <c r="G1092" s="11" t="s">
        <v>140</v>
      </c>
      <c r="H1092" s="11" t="s">
        <v>8717</v>
      </c>
    </row>
    <row r="1093" customFormat="false" ht="17.15" hidden="false" customHeight="false" outlineLevel="0" collapsed="false">
      <c r="A1093" s="11" t="s">
        <v>8718</v>
      </c>
      <c r="B1093" s="11" t="s">
        <v>6647</v>
      </c>
      <c r="C1093" s="5"/>
      <c r="D1093" s="6" t="n">
        <v>304744</v>
      </c>
      <c r="E1093" s="5" t="s">
        <v>6264</v>
      </c>
      <c r="F1093" s="5" t="s">
        <v>6648</v>
      </c>
      <c r="G1093" s="11" t="s">
        <v>6649</v>
      </c>
      <c r="H1093" s="11" t="s">
        <v>8719</v>
      </c>
    </row>
    <row r="1094" customFormat="false" ht="17.15" hidden="false" customHeight="false" outlineLevel="0" collapsed="false">
      <c r="A1094" s="11" t="s">
        <v>8720</v>
      </c>
      <c r="B1094" s="11" t="s">
        <v>327</v>
      </c>
      <c r="C1094" s="11" t="s">
        <v>183</v>
      </c>
      <c r="D1094" s="6" t="n">
        <v>303051</v>
      </c>
      <c r="E1094" s="5" t="s">
        <v>6207</v>
      </c>
      <c r="F1094" s="5" t="s">
        <v>6207</v>
      </c>
      <c r="G1094" s="11" t="s">
        <v>134</v>
      </c>
      <c r="H1094" s="11" t="s">
        <v>8721</v>
      </c>
    </row>
    <row r="1095" customFormat="false" ht="17.15" hidden="false" customHeight="false" outlineLevel="0" collapsed="false">
      <c r="A1095" s="11" t="s">
        <v>8722</v>
      </c>
      <c r="B1095" s="11" t="s">
        <v>8723</v>
      </c>
      <c r="C1095" s="11" t="s">
        <v>153</v>
      </c>
      <c r="D1095" s="6" t="n">
        <v>302934</v>
      </c>
      <c r="E1095" s="5" t="s">
        <v>6210</v>
      </c>
      <c r="F1095" s="5" t="s">
        <v>6210</v>
      </c>
      <c r="G1095" s="11" t="s">
        <v>137</v>
      </c>
      <c r="H1095" s="11" t="s">
        <v>8724</v>
      </c>
    </row>
    <row r="1096" customFormat="false" ht="17.15" hidden="false" customHeight="false" outlineLevel="0" collapsed="false">
      <c r="A1096" s="11" t="s">
        <v>8725</v>
      </c>
      <c r="B1096" s="11" t="s">
        <v>8726</v>
      </c>
      <c r="C1096" s="11" t="s">
        <v>197</v>
      </c>
      <c r="D1096" s="6" t="n">
        <v>302872</v>
      </c>
      <c r="E1096" s="5" t="s">
        <v>6239</v>
      </c>
      <c r="F1096" s="5" t="s">
        <v>6239</v>
      </c>
      <c r="G1096" s="11" t="s">
        <v>143</v>
      </c>
      <c r="H1096" s="11" t="s">
        <v>8727</v>
      </c>
    </row>
    <row r="1097" customFormat="false" ht="17.15" hidden="false" customHeight="false" outlineLevel="0" collapsed="false">
      <c r="A1097" s="11" t="s">
        <v>8728</v>
      </c>
      <c r="B1097" s="11" t="s">
        <v>8729</v>
      </c>
      <c r="C1097" s="11" t="s">
        <v>161</v>
      </c>
      <c r="D1097" s="6" t="n">
        <v>302412</v>
      </c>
      <c r="E1097" s="5" t="s">
        <v>6207</v>
      </c>
      <c r="F1097" s="5" t="s">
        <v>6207</v>
      </c>
      <c r="G1097" s="11" t="s">
        <v>134</v>
      </c>
      <c r="H1097" s="11" t="s">
        <v>8730</v>
      </c>
    </row>
    <row r="1098" customFormat="false" ht="17.15" hidden="false" customHeight="false" outlineLevel="0" collapsed="false">
      <c r="A1098" s="11" t="s">
        <v>8731</v>
      </c>
      <c r="B1098" s="11" t="s">
        <v>8250</v>
      </c>
      <c r="C1098" s="11" t="s">
        <v>172</v>
      </c>
      <c r="D1098" s="6" t="n">
        <v>302073</v>
      </c>
      <c r="E1098" s="5" t="s">
        <v>6207</v>
      </c>
      <c r="F1098" s="5" t="s">
        <v>6377</v>
      </c>
      <c r="G1098" s="11" t="s">
        <v>6378</v>
      </c>
      <c r="H1098" s="11" t="s">
        <v>8732</v>
      </c>
    </row>
    <row r="1099" customFormat="false" ht="17.15" hidden="false" customHeight="false" outlineLevel="0" collapsed="false">
      <c r="A1099" s="11" t="s">
        <v>8733</v>
      </c>
      <c r="B1099" s="11" t="s">
        <v>1214</v>
      </c>
      <c r="C1099" s="11" t="s">
        <v>192</v>
      </c>
      <c r="D1099" s="6" t="n">
        <v>301606</v>
      </c>
      <c r="E1099" s="5" t="s">
        <v>6239</v>
      </c>
      <c r="F1099" s="5" t="s">
        <v>6239</v>
      </c>
      <c r="G1099" s="11" t="s">
        <v>143</v>
      </c>
      <c r="H1099" s="11" t="s">
        <v>8734</v>
      </c>
    </row>
    <row r="1100" customFormat="false" ht="17.15" hidden="false" customHeight="false" outlineLevel="0" collapsed="false">
      <c r="A1100" s="11" t="s">
        <v>8735</v>
      </c>
      <c r="B1100" s="11" t="s">
        <v>8736</v>
      </c>
      <c r="C1100" s="11" t="s">
        <v>153</v>
      </c>
      <c r="D1100" s="6" t="n">
        <v>301408</v>
      </c>
      <c r="E1100" s="5" t="s">
        <v>6210</v>
      </c>
      <c r="F1100" s="5" t="s">
        <v>6210</v>
      </c>
      <c r="G1100" s="11" t="s">
        <v>137</v>
      </c>
      <c r="H1100" s="11" t="s">
        <v>8737</v>
      </c>
    </row>
    <row r="1101" customFormat="false" ht="15" hidden="false" customHeight="false" outlineLevel="0" collapsed="false">
      <c r="A1101" s="11" t="s">
        <v>8738</v>
      </c>
      <c r="B1101" s="11" t="s">
        <v>7861</v>
      </c>
      <c r="C1101" s="11" t="s">
        <v>155</v>
      </c>
      <c r="D1101" s="6" t="n">
        <v>300929</v>
      </c>
      <c r="E1101" s="5" t="s">
        <v>6413</v>
      </c>
      <c r="F1101" s="5" t="s">
        <v>6413</v>
      </c>
      <c r="G1101" s="11" t="s">
        <v>128</v>
      </c>
      <c r="H1101" s="11" t="s">
        <v>8739</v>
      </c>
    </row>
    <row r="1102" customFormat="false" ht="17.15" hidden="false" customHeight="false" outlineLevel="0" collapsed="false">
      <c r="A1102" s="11" t="s">
        <v>8740</v>
      </c>
      <c r="B1102" s="11" t="s">
        <v>7580</v>
      </c>
      <c r="C1102" s="11" t="s">
        <v>192</v>
      </c>
      <c r="D1102" s="6" t="n">
        <v>300927</v>
      </c>
      <c r="E1102" s="5" t="s">
        <v>6239</v>
      </c>
      <c r="F1102" s="5" t="s">
        <v>6239</v>
      </c>
      <c r="G1102" s="11" t="s">
        <v>143</v>
      </c>
      <c r="H1102" s="11" t="s">
        <v>8741</v>
      </c>
    </row>
    <row r="1103" customFormat="false" ht="17.15" hidden="false" customHeight="false" outlineLevel="0" collapsed="false">
      <c r="A1103" s="11" t="s">
        <v>8742</v>
      </c>
      <c r="B1103" s="11" t="s">
        <v>998</v>
      </c>
      <c r="C1103" s="11" t="s">
        <v>155</v>
      </c>
      <c r="D1103" s="6" t="n">
        <v>300244</v>
      </c>
      <c r="E1103" s="5" t="s">
        <v>6264</v>
      </c>
      <c r="F1103" s="5" t="s">
        <v>6264</v>
      </c>
      <c r="G1103" s="11" t="s">
        <v>131</v>
      </c>
      <c r="H1103" s="11" t="s">
        <v>8743</v>
      </c>
    </row>
    <row r="1104" customFormat="false" ht="17.15" hidden="false" customHeight="false" outlineLevel="0" collapsed="false">
      <c r="A1104" s="11" t="s">
        <v>8744</v>
      </c>
      <c r="B1104" s="11" t="s">
        <v>6647</v>
      </c>
      <c r="C1104" s="11" t="s">
        <v>155</v>
      </c>
      <c r="D1104" s="6" t="n">
        <v>299756</v>
      </c>
      <c r="E1104" s="5" t="s">
        <v>6264</v>
      </c>
      <c r="F1104" s="5" t="s">
        <v>6264</v>
      </c>
      <c r="G1104" s="11" t="s">
        <v>131</v>
      </c>
      <c r="H1104" s="11" t="s">
        <v>8745</v>
      </c>
    </row>
    <row r="1105" customFormat="false" ht="17.15" hidden="false" customHeight="false" outlineLevel="0" collapsed="false">
      <c r="A1105" s="11" t="s">
        <v>8746</v>
      </c>
      <c r="B1105" s="11" t="s">
        <v>6647</v>
      </c>
      <c r="C1105" s="5"/>
      <c r="D1105" s="6" t="n">
        <v>299405</v>
      </c>
      <c r="E1105" s="5" t="s">
        <v>6264</v>
      </c>
      <c r="F1105" s="5" t="s">
        <v>6648</v>
      </c>
      <c r="G1105" s="11" t="s">
        <v>6649</v>
      </c>
      <c r="H1105" s="11" t="s">
        <v>8747</v>
      </c>
    </row>
    <row r="1106" customFormat="false" ht="17.15" hidden="false" customHeight="false" outlineLevel="0" collapsed="false">
      <c r="A1106" s="11" t="s">
        <v>8748</v>
      </c>
      <c r="B1106" s="11" t="s">
        <v>998</v>
      </c>
      <c r="C1106" s="11" t="s">
        <v>155</v>
      </c>
      <c r="D1106" s="6" t="n">
        <v>298383</v>
      </c>
      <c r="E1106" s="5" t="s">
        <v>6264</v>
      </c>
      <c r="F1106" s="5" t="s">
        <v>6264</v>
      </c>
      <c r="G1106" s="11" t="s">
        <v>131</v>
      </c>
      <c r="H1106" s="11" t="s">
        <v>8749</v>
      </c>
    </row>
    <row r="1107" customFormat="false" ht="17.15" hidden="false" customHeight="false" outlineLevel="0" collapsed="false">
      <c r="A1107" s="11" t="s">
        <v>8750</v>
      </c>
      <c r="B1107" s="11" t="s">
        <v>8751</v>
      </c>
      <c r="C1107" s="11" t="s">
        <v>152</v>
      </c>
      <c r="D1107" s="6" t="n">
        <v>298271</v>
      </c>
      <c r="E1107" s="5" t="s">
        <v>6207</v>
      </c>
      <c r="F1107" s="5" t="s">
        <v>6207</v>
      </c>
      <c r="G1107" s="11" t="s">
        <v>134</v>
      </c>
      <c r="H1107" s="11" t="s">
        <v>8752</v>
      </c>
    </row>
    <row r="1108" customFormat="false" ht="17.15" hidden="false" customHeight="false" outlineLevel="0" collapsed="false">
      <c r="A1108" s="11" t="s">
        <v>8753</v>
      </c>
      <c r="B1108" s="11" t="s">
        <v>6774</v>
      </c>
      <c r="C1108" s="11" t="s">
        <v>192</v>
      </c>
      <c r="D1108" s="6" t="n">
        <v>297294</v>
      </c>
      <c r="E1108" s="5" t="s">
        <v>6239</v>
      </c>
      <c r="F1108" s="5" t="s">
        <v>6239</v>
      </c>
      <c r="G1108" s="11" t="s">
        <v>143</v>
      </c>
      <c r="H1108" s="11" t="s">
        <v>8754</v>
      </c>
    </row>
    <row r="1109" customFormat="false" ht="17.15" hidden="false" customHeight="false" outlineLevel="0" collapsed="false">
      <c r="A1109" s="11" t="s">
        <v>8755</v>
      </c>
      <c r="B1109" s="11" t="s">
        <v>753</v>
      </c>
      <c r="C1109" s="11" t="s">
        <v>192</v>
      </c>
      <c r="D1109" s="6" t="n">
        <v>296801</v>
      </c>
      <c r="E1109" s="5" t="s">
        <v>6239</v>
      </c>
      <c r="F1109" s="5" t="s">
        <v>6239</v>
      </c>
      <c r="G1109" s="11" t="s">
        <v>143</v>
      </c>
      <c r="H1109" s="11" t="s">
        <v>8756</v>
      </c>
    </row>
    <row r="1110" customFormat="false" ht="17.15" hidden="false" customHeight="false" outlineLevel="0" collapsed="false">
      <c r="A1110" s="11" t="s">
        <v>8757</v>
      </c>
      <c r="B1110" s="11" t="s">
        <v>327</v>
      </c>
      <c r="C1110" s="5"/>
      <c r="D1110" s="6" t="n">
        <v>296367</v>
      </c>
      <c r="E1110" s="5" t="s">
        <v>6207</v>
      </c>
      <c r="F1110" s="5" t="s">
        <v>6207</v>
      </c>
      <c r="G1110" s="11" t="s">
        <v>134</v>
      </c>
      <c r="H1110" s="11" t="s">
        <v>8758</v>
      </c>
    </row>
    <row r="1111" customFormat="false" ht="17.15" hidden="false" customHeight="false" outlineLevel="0" collapsed="false">
      <c r="A1111" s="11" t="s">
        <v>8759</v>
      </c>
      <c r="B1111" s="11" t="s">
        <v>6647</v>
      </c>
      <c r="C1111" s="5"/>
      <c r="D1111" s="6" t="n">
        <v>296356</v>
      </c>
      <c r="E1111" s="5" t="s">
        <v>6264</v>
      </c>
      <c r="F1111" s="5" t="s">
        <v>6648</v>
      </c>
      <c r="G1111" s="11" t="s">
        <v>6649</v>
      </c>
      <c r="H1111" s="11" t="s">
        <v>8760</v>
      </c>
    </row>
    <row r="1112" customFormat="false" ht="17.15" hidden="false" customHeight="false" outlineLevel="0" collapsed="false">
      <c r="A1112" s="11" t="s">
        <v>8761</v>
      </c>
      <c r="B1112" s="11" t="s">
        <v>6223</v>
      </c>
      <c r="C1112" s="11" t="s">
        <v>175</v>
      </c>
      <c r="D1112" s="6" t="n">
        <v>296011</v>
      </c>
      <c r="E1112" s="5" t="s">
        <v>6207</v>
      </c>
      <c r="F1112" s="5" t="s">
        <v>6207</v>
      </c>
      <c r="G1112" s="11" t="s">
        <v>134</v>
      </c>
      <c r="H1112" s="11" t="s">
        <v>8762</v>
      </c>
    </row>
    <row r="1113" customFormat="false" ht="15" hidden="false" customHeight="false" outlineLevel="0" collapsed="false">
      <c r="A1113" s="11" t="s">
        <v>8763</v>
      </c>
      <c r="B1113" s="11" t="s">
        <v>3108</v>
      </c>
      <c r="C1113" s="5"/>
      <c r="D1113" s="6" t="n">
        <v>295708</v>
      </c>
      <c r="E1113" s="5" t="s">
        <v>141</v>
      </c>
      <c r="F1113" s="5" t="s">
        <v>141</v>
      </c>
      <c r="G1113" s="11" t="s">
        <v>140</v>
      </c>
      <c r="H1113" s="11" t="s">
        <v>8764</v>
      </c>
    </row>
    <row r="1114" customFormat="false" ht="17.15" hidden="false" customHeight="false" outlineLevel="0" collapsed="false">
      <c r="A1114" s="11" t="s">
        <v>8765</v>
      </c>
      <c r="B1114" s="11" t="s">
        <v>402</v>
      </c>
      <c r="C1114" s="11" t="s">
        <v>150</v>
      </c>
      <c r="D1114" s="6" t="n">
        <v>295120</v>
      </c>
      <c r="E1114" s="5" t="s">
        <v>6207</v>
      </c>
      <c r="F1114" s="5" t="s">
        <v>6207</v>
      </c>
      <c r="G1114" s="11" t="s">
        <v>134</v>
      </c>
      <c r="H1114" s="11" t="s">
        <v>8766</v>
      </c>
    </row>
    <row r="1115" customFormat="false" ht="17.15" hidden="false" customHeight="false" outlineLevel="0" collapsed="false">
      <c r="A1115" s="11" t="s">
        <v>8767</v>
      </c>
      <c r="B1115" s="11" t="s">
        <v>6749</v>
      </c>
      <c r="C1115" s="11" t="s">
        <v>155</v>
      </c>
      <c r="D1115" s="6" t="n">
        <v>295046</v>
      </c>
      <c r="E1115" s="5" t="s">
        <v>6210</v>
      </c>
      <c r="F1115" s="5" t="s">
        <v>6210</v>
      </c>
      <c r="G1115" s="11" t="s">
        <v>137</v>
      </c>
      <c r="H1115" s="11" t="s">
        <v>8768</v>
      </c>
    </row>
    <row r="1116" customFormat="false" ht="17.15" hidden="false" customHeight="false" outlineLevel="0" collapsed="false">
      <c r="A1116" s="11" t="s">
        <v>8769</v>
      </c>
      <c r="B1116" s="11" t="s">
        <v>6647</v>
      </c>
      <c r="C1116" s="11" t="s">
        <v>153</v>
      </c>
      <c r="D1116" s="6" t="n">
        <v>294813</v>
      </c>
      <c r="E1116" s="5" t="s">
        <v>6264</v>
      </c>
      <c r="F1116" s="5" t="s">
        <v>6264</v>
      </c>
      <c r="G1116" s="11" t="s">
        <v>131</v>
      </c>
      <c r="H1116" s="11" t="s">
        <v>8770</v>
      </c>
    </row>
    <row r="1117" customFormat="false" ht="17.15" hidden="false" customHeight="false" outlineLevel="0" collapsed="false">
      <c r="A1117" s="11" t="s">
        <v>8771</v>
      </c>
      <c r="B1117" s="11" t="s">
        <v>6647</v>
      </c>
      <c r="C1117" s="11" t="s">
        <v>152</v>
      </c>
      <c r="D1117" s="6" t="n">
        <v>294067</v>
      </c>
      <c r="E1117" s="5" t="s">
        <v>6264</v>
      </c>
      <c r="F1117" s="5" t="s">
        <v>6264</v>
      </c>
      <c r="G1117" s="11" t="s">
        <v>131</v>
      </c>
      <c r="H1117" s="11" t="s">
        <v>8772</v>
      </c>
    </row>
    <row r="1118" customFormat="false" ht="17.15" hidden="false" customHeight="false" outlineLevel="0" collapsed="false">
      <c r="A1118" s="11" t="s">
        <v>8773</v>
      </c>
      <c r="B1118" s="11" t="s">
        <v>402</v>
      </c>
      <c r="C1118" s="11" t="s">
        <v>150</v>
      </c>
      <c r="D1118" s="6" t="n">
        <v>293435</v>
      </c>
      <c r="E1118" s="5" t="s">
        <v>6207</v>
      </c>
      <c r="F1118" s="5" t="s">
        <v>6207</v>
      </c>
      <c r="G1118" s="11" t="s">
        <v>134</v>
      </c>
      <c r="H1118" s="11" t="s">
        <v>8774</v>
      </c>
    </row>
    <row r="1119" customFormat="false" ht="15" hidden="false" customHeight="false" outlineLevel="0" collapsed="false">
      <c r="A1119" s="11" t="s">
        <v>8775</v>
      </c>
      <c r="B1119" s="11" t="s">
        <v>989</v>
      </c>
      <c r="C1119" s="11" t="s">
        <v>155</v>
      </c>
      <c r="D1119" s="6" t="n">
        <v>293196</v>
      </c>
      <c r="E1119" s="5" t="s">
        <v>6413</v>
      </c>
      <c r="F1119" s="5" t="s">
        <v>6413</v>
      </c>
      <c r="G1119" s="11" t="s">
        <v>128</v>
      </c>
      <c r="H1119" s="11" t="s">
        <v>8776</v>
      </c>
    </row>
    <row r="1120" customFormat="false" ht="17.15" hidden="false" customHeight="false" outlineLevel="0" collapsed="false">
      <c r="A1120" s="11" t="s">
        <v>8777</v>
      </c>
      <c r="B1120" s="11" t="s">
        <v>6759</v>
      </c>
      <c r="C1120" s="11" t="s">
        <v>149</v>
      </c>
      <c r="D1120" s="6" t="n">
        <v>293179</v>
      </c>
      <c r="E1120" s="5" t="s">
        <v>6207</v>
      </c>
      <c r="F1120" s="5" t="s">
        <v>6207</v>
      </c>
      <c r="G1120" s="11" t="s">
        <v>134</v>
      </c>
      <c r="H1120" s="11" t="s">
        <v>8778</v>
      </c>
    </row>
    <row r="1121" customFormat="false" ht="17.15" hidden="false" customHeight="false" outlineLevel="0" collapsed="false">
      <c r="A1121" s="11" t="s">
        <v>8779</v>
      </c>
      <c r="B1121" s="11" t="s">
        <v>6909</v>
      </c>
      <c r="C1121" s="11" t="s">
        <v>175</v>
      </c>
      <c r="D1121" s="6" t="n">
        <v>292519</v>
      </c>
      <c r="E1121" s="5" t="s">
        <v>6207</v>
      </c>
      <c r="F1121" s="5" t="s">
        <v>6716</v>
      </c>
      <c r="G1121" s="11" t="s">
        <v>6542</v>
      </c>
      <c r="H1121" s="11" t="s">
        <v>8780</v>
      </c>
    </row>
    <row r="1122" customFormat="false" ht="17.15" hidden="false" customHeight="false" outlineLevel="0" collapsed="false">
      <c r="A1122" s="11" t="s">
        <v>8781</v>
      </c>
      <c r="B1122" s="11" t="s">
        <v>6647</v>
      </c>
      <c r="C1122" s="11" t="s">
        <v>161</v>
      </c>
      <c r="D1122" s="6" t="n">
        <v>292016</v>
      </c>
      <c r="E1122" s="5" t="s">
        <v>6264</v>
      </c>
      <c r="F1122" s="5" t="s">
        <v>6648</v>
      </c>
      <c r="G1122" s="11" t="s">
        <v>6649</v>
      </c>
      <c r="H1122" s="11" t="s">
        <v>8782</v>
      </c>
    </row>
    <row r="1123" customFormat="false" ht="17.15" hidden="false" customHeight="false" outlineLevel="0" collapsed="false">
      <c r="A1123" s="11" t="s">
        <v>8783</v>
      </c>
      <c r="B1123" s="11" t="s">
        <v>368</v>
      </c>
      <c r="C1123" s="11" t="s">
        <v>161</v>
      </c>
      <c r="D1123" s="6" t="n">
        <v>291795</v>
      </c>
      <c r="E1123" s="5" t="s">
        <v>6207</v>
      </c>
      <c r="F1123" s="5" t="s">
        <v>6207</v>
      </c>
      <c r="G1123" s="11" t="s">
        <v>134</v>
      </c>
      <c r="H1123" s="11" t="s">
        <v>8784</v>
      </c>
    </row>
    <row r="1124" customFormat="false" ht="17.15" hidden="false" customHeight="false" outlineLevel="0" collapsed="false">
      <c r="A1124" s="11" t="s">
        <v>8785</v>
      </c>
      <c r="B1124" s="11" t="s">
        <v>7460</v>
      </c>
      <c r="C1124" s="11" t="s">
        <v>161</v>
      </c>
      <c r="D1124" s="6" t="n">
        <v>290699</v>
      </c>
      <c r="E1124" s="5" t="s">
        <v>6207</v>
      </c>
      <c r="F1124" s="5" t="s">
        <v>6207</v>
      </c>
      <c r="G1124" s="11" t="s">
        <v>134</v>
      </c>
      <c r="H1124" s="11" t="s">
        <v>8786</v>
      </c>
    </row>
    <row r="1125" customFormat="false" ht="17.15" hidden="false" customHeight="false" outlineLevel="0" collapsed="false">
      <c r="A1125" s="11" t="s">
        <v>8787</v>
      </c>
      <c r="B1125" s="11" t="s">
        <v>4971</v>
      </c>
      <c r="C1125" s="11" t="s">
        <v>188</v>
      </c>
      <c r="D1125" s="6" t="n">
        <v>289964</v>
      </c>
      <c r="E1125" s="5" t="s">
        <v>6207</v>
      </c>
      <c r="F1125" s="5" t="s">
        <v>6207</v>
      </c>
      <c r="G1125" s="11" t="s">
        <v>134</v>
      </c>
      <c r="H1125" s="11" t="s">
        <v>8788</v>
      </c>
    </row>
    <row r="1126" customFormat="false" ht="17.15" hidden="false" customHeight="false" outlineLevel="0" collapsed="false">
      <c r="A1126" s="11" t="s">
        <v>8789</v>
      </c>
      <c r="B1126" s="11" t="s">
        <v>8790</v>
      </c>
      <c r="C1126" s="11" t="s">
        <v>197</v>
      </c>
      <c r="D1126" s="6" t="n">
        <v>288968</v>
      </c>
      <c r="E1126" s="5" t="s">
        <v>141</v>
      </c>
      <c r="F1126" s="5" t="s">
        <v>6495</v>
      </c>
      <c r="G1126" s="11" t="s">
        <v>6496</v>
      </c>
      <c r="H1126" s="11" t="s">
        <v>8791</v>
      </c>
    </row>
    <row r="1127" customFormat="false" ht="17.15" hidden="false" customHeight="false" outlineLevel="0" collapsed="false">
      <c r="A1127" s="11" t="s">
        <v>8792</v>
      </c>
      <c r="B1127" s="11" t="s">
        <v>8793</v>
      </c>
      <c r="C1127" s="11" t="s">
        <v>155</v>
      </c>
      <c r="D1127" s="6" t="n">
        <v>288959</v>
      </c>
      <c r="E1127" s="5" t="s">
        <v>6207</v>
      </c>
      <c r="F1127" s="5" t="s">
        <v>6207</v>
      </c>
      <c r="G1127" s="11" t="s">
        <v>134</v>
      </c>
      <c r="H1127" s="11" t="s">
        <v>8794</v>
      </c>
    </row>
    <row r="1128" customFormat="false" ht="17.15" hidden="false" customHeight="false" outlineLevel="0" collapsed="false">
      <c r="A1128" s="11" t="s">
        <v>8795</v>
      </c>
      <c r="B1128" s="11" t="s">
        <v>8796</v>
      </c>
      <c r="C1128" s="11" t="s">
        <v>156</v>
      </c>
      <c r="D1128" s="6" t="n">
        <v>288825</v>
      </c>
      <c r="E1128" s="5" t="s">
        <v>6210</v>
      </c>
      <c r="F1128" s="5" t="s">
        <v>6210</v>
      </c>
      <c r="G1128" s="11" t="s">
        <v>137</v>
      </c>
      <c r="H1128" s="11" t="s">
        <v>8797</v>
      </c>
    </row>
    <row r="1129" customFormat="false" ht="15" hidden="false" customHeight="false" outlineLevel="0" collapsed="false">
      <c r="A1129" s="11" t="s">
        <v>8798</v>
      </c>
      <c r="B1129" s="11" t="s">
        <v>2712</v>
      </c>
      <c r="C1129" s="11" t="s">
        <v>174</v>
      </c>
      <c r="D1129" s="6" t="n">
        <v>288454</v>
      </c>
      <c r="E1129" s="5" t="s">
        <v>141</v>
      </c>
      <c r="F1129" s="5" t="s">
        <v>141</v>
      </c>
      <c r="G1129" s="11" t="s">
        <v>140</v>
      </c>
      <c r="H1129" s="11" t="s">
        <v>8799</v>
      </c>
    </row>
    <row r="1130" customFormat="false" ht="17.15" hidden="false" customHeight="false" outlineLevel="0" collapsed="false">
      <c r="A1130" s="11" t="s">
        <v>8800</v>
      </c>
      <c r="B1130" s="11" t="s">
        <v>6506</v>
      </c>
      <c r="C1130" s="11" t="s">
        <v>155</v>
      </c>
      <c r="D1130" s="6" t="n">
        <v>287320</v>
      </c>
      <c r="E1130" s="5" t="s">
        <v>6264</v>
      </c>
      <c r="F1130" s="5" t="s">
        <v>6264</v>
      </c>
      <c r="G1130" s="11" t="s">
        <v>131</v>
      </c>
      <c r="H1130" s="11" t="s">
        <v>8801</v>
      </c>
    </row>
    <row r="1131" customFormat="false" ht="17.15" hidden="false" customHeight="false" outlineLevel="0" collapsed="false">
      <c r="A1131" s="11" t="s">
        <v>8802</v>
      </c>
      <c r="B1131" s="11" t="s">
        <v>6647</v>
      </c>
      <c r="C1131" s="11" t="s">
        <v>155</v>
      </c>
      <c r="D1131" s="6" t="n">
        <v>286675</v>
      </c>
      <c r="E1131" s="5" t="s">
        <v>6264</v>
      </c>
      <c r="F1131" s="5" t="s">
        <v>6648</v>
      </c>
      <c r="G1131" s="11" t="s">
        <v>6649</v>
      </c>
      <c r="H1131" s="11" t="s">
        <v>8803</v>
      </c>
    </row>
    <row r="1132" customFormat="false" ht="17.15" hidden="false" customHeight="false" outlineLevel="0" collapsed="false">
      <c r="A1132" s="11" t="s">
        <v>8804</v>
      </c>
      <c r="B1132" s="11" t="s">
        <v>6724</v>
      </c>
      <c r="C1132" s="11" t="s">
        <v>189</v>
      </c>
      <c r="D1132" s="6" t="n">
        <v>286579</v>
      </c>
      <c r="E1132" s="5" t="s">
        <v>6239</v>
      </c>
      <c r="F1132" s="5" t="s">
        <v>6239</v>
      </c>
      <c r="G1132" s="11" t="s">
        <v>143</v>
      </c>
      <c r="H1132" s="11" t="s">
        <v>8805</v>
      </c>
    </row>
    <row r="1133" customFormat="false" ht="17.15" hidden="false" customHeight="false" outlineLevel="0" collapsed="false">
      <c r="A1133" s="11" t="s">
        <v>8806</v>
      </c>
      <c r="B1133" s="11" t="s">
        <v>7044</v>
      </c>
      <c r="C1133" s="11" t="s">
        <v>192</v>
      </c>
      <c r="D1133" s="6" t="n">
        <v>286039</v>
      </c>
      <c r="E1133" s="5" t="s">
        <v>6239</v>
      </c>
      <c r="F1133" s="5" t="s">
        <v>6239</v>
      </c>
      <c r="G1133" s="11" t="s">
        <v>143</v>
      </c>
      <c r="H1133" s="11" t="s">
        <v>8807</v>
      </c>
    </row>
    <row r="1134" customFormat="false" ht="17.15" hidden="false" customHeight="false" outlineLevel="0" collapsed="false">
      <c r="A1134" s="11" t="s">
        <v>8808</v>
      </c>
      <c r="B1134" s="11" t="s">
        <v>368</v>
      </c>
      <c r="C1134" s="11" t="s">
        <v>162</v>
      </c>
      <c r="D1134" s="6" t="n">
        <v>285296</v>
      </c>
      <c r="E1134" s="5" t="s">
        <v>6207</v>
      </c>
      <c r="F1134" s="5" t="s">
        <v>6207</v>
      </c>
      <c r="G1134" s="11" t="s">
        <v>134</v>
      </c>
      <c r="H1134" s="11" t="s">
        <v>8809</v>
      </c>
    </row>
    <row r="1135" customFormat="false" ht="17.15" hidden="false" customHeight="false" outlineLevel="0" collapsed="false">
      <c r="A1135" s="11" t="s">
        <v>8810</v>
      </c>
      <c r="B1135" s="11" t="s">
        <v>8153</v>
      </c>
      <c r="C1135" s="11" t="s">
        <v>192</v>
      </c>
      <c r="D1135" s="6" t="n">
        <v>284638</v>
      </c>
      <c r="E1135" s="5" t="s">
        <v>6239</v>
      </c>
      <c r="F1135" s="5" t="s">
        <v>6239</v>
      </c>
      <c r="G1135" s="11" t="s">
        <v>143</v>
      </c>
      <c r="H1135" s="11" t="s">
        <v>8811</v>
      </c>
    </row>
    <row r="1136" customFormat="false" ht="17.15" hidden="false" customHeight="false" outlineLevel="0" collapsed="false">
      <c r="A1136" s="11" t="s">
        <v>8812</v>
      </c>
      <c r="B1136" s="11" t="s">
        <v>8813</v>
      </c>
      <c r="C1136" s="11" t="s">
        <v>192</v>
      </c>
      <c r="D1136" s="6" t="n">
        <v>283935</v>
      </c>
      <c r="E1136" s="5" t="s">
        <v>6239</v>
      </c>
      <c r="F1136" s="5" t="s">
        <v>6239</v>
      </c>
      <c r="G1136" s="11" t="s">
        <v>143</v>
      </c>
      <c r="H1136" s="11" t="s">
        <v>8814</v>
      </c>
    </row>
    <row r="1137" customFormat="false" ht="15" hidden="false" customHeight="false" outlineLevel="0" collapsed="false">
      <c r="A1137" s="11" t="s">
        <v>8815</v>
      </c>
      <c r="B1137" s="11" t="s">
        <v>2693</v>
      </c>
      <c r="C1137" s="11" t="s">
        <v>173</v>
      </c>
      <c r="D1137" s="6" t="n">
        <v>283008</v>
      </c>
      <c r="E1137" s="5" t="s">
        <v>141</v>
      </c>
      <c r="F1137" s="5" t="s">
        <v>141</v>
      </c>
      <c r="G1137" s="11" t="s">
        <v>140</v>
      </c>
      <c r="H1137" s="11" t="s">
        <v>8816</v>
      </c>
    </row>
    <row r="1138" customFormat="false" ht="17.15" hidden="false" customHeight="false" outlineLevel="0" collapsed="false">
      <c r="A1138" s="11" t="s">
        <v>8817</v>
      </c>
      <c r="B1138" s="11" t="s">
        <v>8654</v>
      </c>
      <c r="C1138" s="11" t="s">
        <v>192</v>
      </c>
      <c r="D1138" s="6" t="n">
        <v>283001</v>
      </c>
      <c r="E1138" s="5" t="s">
        <v>6239</v>
      </c>
      <c r="F1138" s="5" t="s">
        <v>6239</v>
      </c>
      <c r="G1138" s="11" t="s">
        <v>143</v>
      </c>
      <c r="H1138" s="11" t="s">
        <v>8818</v>
      </c>
    </row>
    <row r="1139" customFormat="false" ht="17.15" hidden="false" customHeight="false" outlineLevel="0" collapsed="false">
      <c r="A1139" s="11" t="s">
        <v>8819</v>
      </c>
      <c r="B1139" s="11" t="s">
        <v>368</v>
      </c>
      <c r="C1139" s="11" t="s">
        <v>161</v>
      </c>
      <c r="D1139" s="6" t="n">
        <v>282528</v>
      </c>
      <c r="E1139" s="5" t="s">
        <v>6207</v>
      </c>
      <c r="F1139" s="5" t="s">
        <v>6207</v>
      </c>
      <c r="G1139" s="11" t="s">
        <v>134</v>
      </c>
      <c r="H1139" s="11" t="s">
        <v>8820</v>
      </c>
    </row>
    <row r="1140" customFormat="false" ht="17.15" hidden="false" customHeight="false" outlineLevel="0" collapsed="false">
      <c r="A1140" s="11" t="s">
        <v>8821</v>
      </c>
      <c r="B1140" s="11" t="s">
        <v>8822</v>
      </c>
      <c r="C1140" s="11" t="s">
        <v>161</v>
      </c>
      <c r="D1140" s="6" t="n">
        <v>282480</v>
      </c>
      <c r="E1140" s="5" t="s">
        <v>6207</v>
      </c>
      <c r="F1140" s="5" t="s">
        <v>6377</v>
      </c>
      <c r="G1140" s="11" t="s">
        <v>6378</v>
      </c>
      <c r="H1140" s="11" t="s">
        <v>8823</v>
      </c>
    </row>
    <row r="1141" customFormat="false" ht="15" hidden="false" customHeight="false" outlineLevel="0" collapsed="false">
      <c r="A1141" s="11" t="s">
        <v>8824</v>
      </c>
      <c r="B1141" s="11" t="s">
        <v>8825</v>
      </c>
      <c r="C1141" s="11" t="s">
        <v>175</v>
      </c>
      <c r="D1141" s="6" t="n">
        <v>281991</v>
      </c>
      <c r="E1141" s="5" t="s">
        <v>141</v>
      </c>
      <c r="F1141" s="5" t="s">
        <v>141</v>
      </c>
      <c r="G1141" s="11" t="s">
        <v>140</v>
      </c>
      <c r="H1141" s="11" t="s">
        <v>8826</v>
      </c>
    </row>
    <row r="1142" customFormat="false" ht="17.15" hidden="false" customHeight="false" outlineLevel="0" collapsed="false">
      <c r="A1142" s="11" t="s">
        <v>8827</v>
      </c>
      <c r="B1142" s="11" t="s">
        <v>8828</v>
      </c>
      <c r="C1142" s="11" t="s">
        <v>155</v>
      </c>
      <c r="D1142" s="6" t="n">
        <v>281050</v>
      </c>
      <c r="E1142" s="5" t="s">
        <v>6264</v>
      </c>
      <c r="F1142" s="5" t="s">
        <v>6264</v>
      </c>
      <c r="G1142" s="11" t="s">
        <v>131</v>
      </c>
      <c r="H1142" s="11" t="s">
        <v>8829</v>
      </c>
    </row>
    <row r="1143" customFormat="false" ht="17.15" hidden="false" customHeight="false" outlineLevel="0" collapsed="false">
      <c r="A1143" s="11" t="s">
        <v>8830</v>
      </c>
      <c r="B1143" s="11" t="s">
        <v>6457</v>
      </c>
      <c r="C1143" s="11" t="s">
        <v>161</v>
      </c>
      <c r="D1143" s="6" t="n">
        <v>281048</v>
      </c>
      <c r="E1143" s="5" t="s">
        <v>6264</v>
      </c>
      <c r="F1143" s="5" t="s">
        <v>6264</v>
      </c>
      <c r="G1143" s="11" t="s">
        <v>131</v>
      </c>
      <c r="H1143" s="11" t="s">
        <v>8831</v>
      </c>
    </row>
    <row r="1144" customFormat="false" ht="17.15" hidden="false" customHeight="false" outlineLevel="0" collapsed="false">
      <c r="A1144" s="11" t="s">
        <v>8832</v>
      </c>
      <c r="B1144" s="11" t="s">
        <v>327</v>
      </c>
      <c r="C1144" s="11" t="s">
        <v>202</v>
      </c>
      <c r="D1144" s="6" t="n">
        <v>280725</v>
      </c>
      <c r="E1144" s="5" t="s">
        <v>6239</v>
      </c>
      <c r="F1144" s="5" t="s">
        <v>6239</v>
      </c>
      <c r="G1144" s="11" t="s">
        <v>143</v>
      </c>
      <c r="H1144" s="11" t="s">
        <v>8833</v>
      </c>
    </row>
    <row r="1145" customFormat="false" ht="17.15" hidden="false" customHeight="false" outlineLevel="0" collapsed="false">
      <c r="A1145" s="11" t="s">
        <v>8834</v>
      </c>
      <c r="B1145" s="11" t="s">
        <v>8835</v>
      </c>
      <c r="C1145" s="11" t="s">
        <v>155</v>
      </c>
      <c r="D1145" s="6" t="n">
        <v>280714</v>
      </c>
      <c r="E1145" s="5" t="s">
        <v>6210</v>
      </c>
      <c r="F1145" s="5" t="s">
        <v>6210</v>
      </c>
      <c r="G1145" s="11" t="s">
        <v>137</v>
      </c>
      <c r="H1145" s="11" t="s">
        <v>8836</v>
      </c>
    </row>
    <row r="1146" customFormat="false" ht="15" hidden="false" customHeight="false" outlineLevel="0" collapsed="false">
      <c r="A1146" s="11" t="s">
        <v>8837</v>
      </c>
      <c r="B1146" s="11" t="s">
        <v>8838</v>
      </c>
      <c r="C1146" s="11" t="s">
        <v>155</v>
      </c>
      <c r="D1146" s="6" t="n">
        <v>279706</v>
      </c>
      <c r="E1146" s="5" t="s">
        <v>6413</v>
      </c>
      <c r="F1146" s="5" t="s">
        <v>6413</v>
      </c>
      <c r="G1146" s="11" t="s">
        <v>128</v>
      </c>
      <c r="H1146" s="11" t="s">
        <v>8839</v>
      </c>
    </row>
    <row r="1147" customFormat="false" ht="17.15" hidden="false" customHeight="false" outlineLevel="0" collapsed="false">
      <c r="A1147" s="11" t="s">
        <v>8840</v>
      </c>
      <c r="B1147" s="11" t="s">
        <v>6594</v>
      </c>
      <c r="C1147" s="11" t="s">
        <v>161</v>
      </c>
      <c r="D1147" s="6" t="n">
        <v>279694</v>
      </c>
      <c r="E1147" s="5" t="s">
        <v>6207</v>
      </c>
      <c r="F1147" s="5" t="s">
        <v>6207</v>
      </c>
      <c r="G1147" s="11" t="s">
        <v>134</v>
      </c>
      <c r="H1147" s="11" t="s">
        <v>8841</v>
      </c>
    </row>
    <row r="1148" customFormat="false" ht="17.15" hidden="false" customHeight="false" outlineLevel="0" collapsed="false">
      <c r="A1148" s="11" t="s">
        <v>8842</v>
      </c>
      <c r="B1148" s="11" t="s">
        <v>8843</v>
      </c>
      <c r="C1148" s="11" t="s">
        <v>173</v>
      </c>
      <c r="D1148" s="6" t="n">
        <v>279214</v>
      </c>
      <c r="E1148" s="5" t="s">
        <v>6210</v>
      </c>
      <c r="F1148" s="5" t="s">
        <v>6210</v>
      </c>
      <c r="G1148" s="11" t="s">
        <v>137</v>
      </c>
      <c r="H1148" s="11" t="s">
        <v>8844</v>
      </c>
    </row>
    <row r="1149" customFormat="false" ht="17.15" hidden="false" customHeight="false" outlineLevel="0" collapsed="false">
      <c r="A1149" s="11" t="s">
        <v>8845</v>
      </c>
      <c r="B1149" s="11" t="s">
        <v>2067</v>
      </c>
      <c r="C1149" s="11" t="s">
        <v>194</v>
      </c>
      <c r="D1149" s="6" t="n">
        <v>279170</v>
      </c>
      <c r="E1149" s="5" t="s">
        <v>6239</v>
      </c>
      <c r="F1149" s="5" t="s">
        <v>6239</v>
      </c>
      <c r="G1149" s="11" t="s">
        <v>143</v>
      </c>
      <c r="H1149" s="11" t="s">
        <v>8846</v>
      </c>
    </row>
    <row r="1150" customFormat="false" ht="17.15" hidden="false" customHeight="false" outlineLevel="0" collapsed="false">
      <c r="A1150" s="11" t="s">
        <v>8847</v>
      </c>
      <c r="B1150" s="11" t="s">
        <v>5657</v>
      </c>
      <c r="C1150" s="11" t="s">
        <v>188</v>
      </c>
      <c r="D1150" s="6" t="n">
        <v>277916</v>
      </c>
      <c r="E1150" s="5" t="s">
        <v>6207</v>
      </c>
      <c r="F1150" s="5" t="s">
        <v>6207</v>
      </c>
      <c r="G1150" s="11" t="s">
        <v>134</v>
      </c>
      <c r="H1150" s="11" t="s">
        <v>8848</v>
      </c>
    </row>
    <row r="1151" customFormat="false" ht="17.15" hidden="false" customHeight="false" outlineLevel="0" collapsed="false">
      <c r="A1151" s="11" t="s">
        <v>8849</v>
      </c>
      <c r="B1151" s="11" t="s">
        <v>308</v>
      </c>
      <c r="C1151" s="11" t="s">
        <v>8850</v>
      </c>
      <c r="D1151" s="6" t="n">
        <v>276029</v>
      </c>
      <c r="E1151" s="5" t="s">
        <v>6207</v>
      </c>
      <c r="F1151" s="5" t="s">
        <v>6207</v>
      </c>
      <c r="G1151" s="11" t="s">
        <v>134</v>
      </c>
      <c r="H1151" s="11" t="s">
        <v>8851</v>
      </c>
    </row>
    <row r="1152" customFormat="false" ht="17.15" hidden="false" customHeight="false" outlineLevel="0" collapsed="false">
      <c r="A1152" s="11" t="s">
        <v>8852</v>
      </c>
      <c r="B1152" s="11" t="s">
        <v>8853</v>
      </c>
      <c r="C1152" s="11" t="s">
        <v>197</v>
      </c>
      <c r="D1152" s="6" t="n">
        <v>275202</v>
      </c>
      <c r="E1152" s="5" t="s">
        <v>6239</v>
      </c>
      <c r="F1152" s="5" t="s">
        <v>6239</v>
      </c>
      <c r="G1152" s="11" t="s">
        <v>143</v>
      </c>
      <c r="H1152" s="11" t="s">
        <v>8854</v>
      </c>
    </row>
    <row r="1153" customFormat="false" ht="17.15" hidden="false" customHeight="false" outlineLevel="0" collapsed="false">
      <c r="A1153" s="11" t="s">
        <v>8855</v>
      </c>
      <c r="B1153" s="11" t="s">
        <v>8856</v>
      </c>
      <c r="C1153" s="11" t="s">
        <v>155</v>
      </c>
      <c r="D1153" s="6" t="n">
        <v>275128</v>
      </c>
      <c r="E1153" s="5" t="s">
        <v>6264</v>
      </c>
      <c r="F1153" s="5" t="s">
        <v>6264</v>
      </c>
      <c r="G1153" s="11" t="s">
        <v>131</v>
      </c>
      <c r="H1153" s="11" t="s">
        <v>8857</v>
      </c>
    </row>
    <row r="1154" customFormat="false" ht="17.15" hidden="false" customHeight="false" outlineLevel="0" collapsed="false">
      <c r="A1154" s="11" t="s">
        <v>8858</v>
      </c>
      <c r="B1154" s="11" t="s">
        <v>6647</v>
      </c>
      <c r="C1154" s="11" t="s">
        <v>155</v>
      </c>
      <c r="D1154" s="6" t="n">
        <v>274373</v>
      </c>
      <c r="E1154" s="5" t="s">
        <v>6264</v>
      </c>
      <c r="F1154" s="5" t="s">
        <v>6264</v>
      </c>
      <c r="G1154" s="11" t="s">
        <v>131</v>
      </c>
      <c r="H1154" s="11" t="s">
        <v>8859</v>
      </c>
    </row>
    <row r="1155" customFormat="false" ht="17.15" hidden="false" customHeight="false" outlineLevel="0" collapsed="false">
      <c r="A1155" s="11" t="s">
        <v>8860</v>
      </c>
      <c r="B1155" s="11" t="s">
        <v>548</v>
      </c>
      <c r="C1155" s="5"/>
      <c r="D1155" s="6" t="n">
        <v>274291</v>
      </c>
      <c r="E1155" s="5" t="s">
        <v>6207</v>
      </c>
      <c r="F1155" s="5" t="s">
        <v>6207</v>
      </c>
      <c r="G1155" s="11" t="s">
        <v>134</v>
      </c>
      <c r="H1155" s="11" t="s">
        <v>8861</v>
      </c>
    </row>
    <row r="1156" customFormat="false" ht="17.15" hidden="false" customHeight="false" outlineLevel="0" collapsed="false">
      <c r="A1156" s="11" t="s">
        <v>8862</v>
      </c>
      <c r="B1156" s="11" t="s">
        <v>8863</v>
      </c>
      <c r="C1156" s="11" t="s">
        <v>197</v>
      </c>
      <c r="D1156" s="6" t="n">
        <v>274044</v>
      </c>
      <c r="E1156" s="5" t="s">
        <v>6239</v>
      </c>
      <c r="F1156" s="5" t="s">
        <v>6239</v>
      </c>
      <c r="G1156" s="11" t="s">
        <v>143</v>
      </c>
      <c r="H1156" s="11" t="s">
        <v>8864</v>
      </c>
    </row>
    <row r="1157" customFormat="false" ht="17.15" hidden="false" customHeight="false" outlineLevel="0" collapsed="false">
      <c r="A1157" s="11" t="s">
        <v>8865</v>
      </c>
      <c r="B1157" s="11" t="s">
        <v>8866</v>
      </c>
      <c r="C1157" s="11" t="s">
        <v>175</v>
      </c>
      <c r="D1157" s="6" t="n">
        <v>273108</v>
      </c>
      <c r="E1157" s="5" t="s">
        <v>6207</v>
      </c>
      <c r="F1157" s="5" t="s">
        <v>6207</v>
      </c>
      <c r="G1157" s="11" t="s">
        <v>134</v>
      </c>
      <c r="H1157" s="11" t="s">
        <v>8867</v>
      </c>
    </row>
    <row r="1158" customFormat="false" ht="17.15" hidden="false" customHeight="false" outlineLevel="0" collapsed="false">
      <c r="A1158" s="11" t="s">
        <v>8868</v>
      </c>
      <c r="B1158" s="11" t="s">
        <v>7906</v>
      </c>
      <c r="C1158" s="11" t="s">
        <v>192</v>
      </c>
      <c r="D1158" s="6" t="n">
        <v>272640</v>
      </c>
      <c r="E1158" s="5" t="s">
        <v>6239</v>
      </c>
      <c r="F1158" s="5" t="s">
        <v>6239</v>
      </c>
      <c r="G1158" s="11" t="s">
        <v>143</v>
      </c>
      <c r="H1158" s="11" t="s">
        <v>8869</v>
      </c>
    </row>
    <row r="1159" customFormat="false" ht="17.15" hidden="false" customHeight="false" outlineLevel="0" collapsed="false">
      <c r="A1159" s="11" t="s">
        <v>8870</v>
      </c>
      <c r="B1159" s="11" t="s">
        <v>6647</v>
      </c>
      <c r="C1159" s="5"/>
      <c r="D1159" s="6" t="n">
        <v>272639</v>
      </c>
      <c r="E1159" s="5" t="s">
        <v>6264</v>
      </c>
      <c r="F1159" s="5" t="s">
        <v>7204</v>
      </c>
      <c r="G1159" s="11" t="s">
        <v>7205</v>
      </c>
      <c r="H1159" s="11" t="s">
        <v>8871</v>
      </c>
    </row>
    <row r="1160" customFormat="false" ht="17.15" hidden="false" customHeight="false" outlineLevel="0" collapsed="false">
      <c r="A1160" s="11" t="s">
        <v>8872</v>
      </c>
      <c r="B1160" s="11" t="s">
        <v>5745</v>
      </c>
      <c r="C1160" s="11" t="s">
        <v>167</v>
      </c>
      <c r="D1160" s="6" t="n">
        <v>271954</v>
      </c>
      <c r="E1160" s="5" t="s">
        <v>6207</v>
      </c>
      <c r="F1160" s="5" t="s">
        <v>6207</v>
      </c>
      <c r="G1160" s="11" t="s">
        <v>134</v>
      </c>
      <c r="H1160" s="11" t="s">
        <v>8873</v>
      </c>
    </row>
    <row r="1161" customFormat="false" ht="17.15" hidden="false" customHeight="false" outlineLevel="0" collapsed="false">
      <c r="A1161" s="11" t="s">
        <v>8874</v>
      </c>
      <c r="B1161" s="11" t="s">
        <v>8875</v>
      </c>
      <c r="C1161" s="11" t="s">
        <v>192</v>
      </c>
      <c r="D1161" s="6" t="n">
        <v>271513</v>
      </c>
      <c r="E1161" s="5" t="s">
        <v>6239</v>
      </c>
      <c r="F1161" s="5" t="s">
        <v>6239</v>
      </c>
      <c r="G1161" s="11" t="s">
        <v>143</v>
      </c>
      <c r="H1161" s="11" t="s">
        <v>8876</v>
      </c>
    </row>
    <row r="1162" customFormat="false" ht="17.15" hidden="false" customHeight="false" outlineLevel="0" collapsed="false">
      <c r="A1162" s="11" t="s">
        <v>8877</v>
      </c>
      <c r="B1162" s="11" t="s">
        <v>6796</v>
      </c>
      <c r="C1162" s="11" t="s">
        <v>162</v>
      </c>
      <c r="D1162" s="6" t="n">
        <v>271247</v>
      </c>
      <c r="E1162" s="5" t="s">
        <v>6207</v>
      </c>
      <c r="F1162" s="5" t="s">
        <v>6207</v>
      </c>
      <c r="G1162" s="11" t="s">
        <v>134</v>
      </c>
      <c r="H1162" s="11" t="s">
        <v>8878</v>
      </c>
    </row>
    <row r="1163" customFormat="false" ht="17.15" hidden="false" customHeight="false" outlineLevel="0" collapsed="false">
      <c r="A1163" s="11" t="s">
        <v>8879</v>
      </c>
      <c r="B1163" s="11" t="s">
        <v>6457</v>
      </c>
      <c r="C1163" s="11" t="s">
        <v>149</v>
      </c>
      <c r="D1163" s="6" t="n">
        <v>271042</v>
      </c>
      <c r="E1163" s="5" t="s">
        <v>6264</v>
      </c>
      <c r="F1163" s="5" t="s">
        <v>6264</v>
      </c>
      <c r="G1163" s="11" t="s">
        <v>131</v>
      </c>
      <c r="H1163" s="11" t="s">
        <v>8880</v>
      </c>
    </row>
    <row r="1164" customFormat="false" ht="15" hidden="false" customHeight="false" outlineLevel="0" collapsed="false">
      <c r="A1164" s="11" t="s">
        <v>8881</v>
      </c>
      <c r="B1164" s="11" t="s">
        <v>3108</v>
      </c>
      <c r="C1164" s="5"/>
      <c r="D1164" s="6" t="n">
        <v>270743</v>
      </c>
      <c r="E1164" s="5" t="s">
        <v>141</v>
      </c>
      <c r="F1164" s="5" t="s">
        <v>141</v>
      </c>
      <c r="G1164" s="11" t="s">
        <v>140</v>
      </c>
      <c r="H1164" s="11" t="s">
        <v>8882</v>
      </c>
    </row>
    <row r="1165" customFormat="false" ht="17.15" hidden="false" customHeight="false" outlineLevel="0" collapsed="false">
      <c r="A1165" s="11" t="s">
        <v>8883</v>
      </c>
      <c r="B1165" s="11" t="s">
        <v>6647</v>
      </c>
      <c r="C1165" s="11" t="s">
        <v>155</v>
      </c>
      <c r="D1165" s="6" t="n">
        <v>270389</v>
      </c>
      <c r="E1165" s="5" t="s">
        <v>6264</v>
      </c>
      <c r="F1165" s="5" t="s">
        <v>6264</v>
      </c>
      <c r="G1165" s="11" t="s">
        <v>131</v>
      </c>
      <c r="H1165" s="11" t="s">
        <v>8884</v>
      </c>
    </row>
    <row r="1166" customFormat="false" ht="17.15" hidden="false" customHeight="false" outlineLevel="0" collapsed="false">
      <c r="A1166" s="11" t="s">
        <v>8885</v>
      </c>
      <c r="B1166" s="11" t="s">
        <v>2557</v>
      </c>
      <c r="C1166" s="11" t="s">
        <v>168</v>
      </c>
      <c r="D1166" s="6" t="n">
        <v>269714</v>
      </c>
      <c r="E1166" s="5" t="s">
        <v>6207</v>
      </c>
      <c r="F1166" s="5" t="s">
        <v>6207</v>
      </c>
      <c r="G1166" s="11" t="s">
        <v>134</v>
      </c>
      <c r="H1166" s="11" t="s">
        <v>8886</v>
      </c>
    </row>
    <row r="1167" customFormat="false" ht="17.15" hidden="false" customHeight="false" outlineLevel="0" collapsed="false">
      <c r="A1167" s="11" t="s">
        <v>8887</v>
      </c>
      <c r="B1167" s="11" t="s">
        <v>7182</v>
      </c>
      <c r="C1167" s="11" t="s">
        <v>167</v>
      </c>
      <c r="D1167" s="6" t="n">
        <v>269645</v>
      </c>
      <c r="E1167" s="5" t="s">
        <v>6207</v>
      </c>
      <c r="F1167" s="5" t="s">
        <v>6207</v>
      </c>
      <c r="G1167" s="11" t="s">
        <v>134</v>
      </c>
      <c r="H1167" s="11" t="s">
        <v>8888</v>
      </c>
    </row>
    <row r="1168" customFormat="false" ht="17.15" hidden="false" customHeight="false" outlineLevel="0" collapsed="false">
      <c r="A1168" s="11" t="s">
        <v>8889</v>
      </c>
      <c r="B1168" s="11" t="s">
        <v>7274</v>
      </c>
      <c r="C1168" s="11" t="s">
        <v>161</v>
      </c>
      <c r="D1168" s="6" t="n">
        <v>269284</v>
      </c>
      <c r="E1168" s="5" t="s">
        <v>6207</v>
      </c>
      <c r="F1168" s="5" t="s">
        <v>6207</v>
      </c>
      <c r="G1168" s="11" t="s">
        <v>134</v>
      </c>
      <c r="H1168" s="11" t="s">
        <v>8890</v>
      </c>
    </row>
    <row r="1169" customFormat="false" ht="17.15" hidden="false" customHeight="false" outlineLevel="0" collapsed="false">
      <c r="A1169" s="11" t="s">
        <v>8891</v>
      </c>
      <c r="B1169" s="11" t="s">
        <v>7356</v>
      </c>
      <c r="C1169" s="11" t="s">
        <v>197</v>
      </c>
      <c r="D1169" s="6" t="n">
        <v>269216</v>
      </c>
      <c r="E1169" s="5" t="s">
        <v>6207</v>
      </c>
      <c r="F1169" s="5" t="s">
        <v>6214</v>
      </c>
      <c r="G1169" s="11" t="s">
        <v>6215</v>
      </c>
      <c r="H1169" s="11" t="s">
        <v>8892</v>
      </c>
    </row>
    <row r="1170" customFormat="false" ht="17.15" hidden="false" customHeight="false" outlineLevel="0" collapsed="false">
      <c r="A1170" s="11" t="s">
        <v>8893</v>
      </c>
      <c r="B1170" s="11" t="s">
        <v>839</v>
      </c>
      <c r="C1170" s="5"/>
      <c r="D1170" s="6" t="n">
        <v>268765</v>
      </c>
      <c r="E1170" s="5" t="s">
        <v>6207</v>
      </c>
      <c r="F1170" s="5" t="s">
        <v>6716</v>
      </c>
      <c r="G1170" s="11" t="s">
        <v>6542</v>
      </c>
      <c r="H1170" s="11" t="s">
        <v>8894</v>
      </c>
    </row>
    <row r="1171" customFormat="false" ht="17.15" hidden="false" customHeight="false" outlineLevel="0" collapsed="false">
      <c r="A1171" s="11" t="s">
        <v>8895</v>
      </c>
      <c r="B1171" s="11" t="s">
        <v>8896</v>
      </c>
      <c r="C1171" s="5"/>
      <c r="D1171" s="6" t="n">
        <v>268058</v>
      </c>
      <c r="E1171" s="5" t="s">
        <v>6207</v>
      </c>
      <c r="F1171" s="5" t="s">
        <v>6207</v>
      </c>
      <c r="G1171" s="11" t="s">
        <v>134</v>
      </c>
      <c r="H1171" s="11" t="s">
        <v>8897</v>
      </c>
    </row>
    <row r="1172" customFormat="false" ht="17.15" hidden="false" customHeight="false" outlineLevel="0" collapsed="false">
      <c r="A1172" s="11" t="s">
        <v>8898</v>
      </c>
      <c r="B1172" s="11" t="s">
        <v>2557</v>
      </c>
      <c r="C1172" s="11" t="s">
        <v>168</v>
      </c>
      <c r="D1172" s="6" t="n">
        <v>267508</v>
      </c>
      <c r="E1172" s="5" t="s">
        <v>6207</v>
      </c>
      <c r="F1172" s="5" t="s">
        <v>6207</v>
      </c>
      <c r="G1172" s="11" t="s">
        <v>134</v>
      </c>
      <c r="H1172" s="11" t="s">
        <v>8899</v>
      </c>
    </row>
    <row r="1173" customFormat="false" ht="17.15" hidden="false" customHeight="false" outlineLevel="0" collapsed="false">
      <c r="A1173" s="11" t="s">
        <v>8900</v>
      </c>
      <c r="B1173" s="11" t="s">
        <v>8901</v>
      </c>
      <c r="C1173" s="11" t="s">
        <v>193</v>
      </c>
      <c r="D1173" s="6" t="n">
        <v>267447</v>
      </c>
      <c r="E1173" s="5" t="s">
        <v>6239</v>
      </c>
      <c r="F1173" s="5" t="s">
        <v>6239</v>
      </c>
      <c r="G1173" s="11" t="s">
        <v>143</v>
      </c>
      <c r="H1173" s="11" t="s">
        <v>8902</v>
      </c>
    </row>
    <row r="1174" customFormat="false" ht="17.15" hidden="false" customHeight="false" outlineLevel="0" collapsed="false">
      <c r="A1174" s="11" t="s">
        <v>8903</v>
      </c>
      <c r="B1174" s="11" t="s">
        <v>8904</v>
      </c>
      <c r="C1174" s="11" t="s">
        <v>153</v>
      </c>
      <c r="D1174" s="6" t="n">
        <v>267161</v>
      </c>
      <c r="E1174" s="5" t="s">
        <v>6210</v>
      </c>
      <c r="F1174" s="5" t="s">
        <v>6210</v>
      </c>
      <c r="G1174" s="11" t="s">
        <v>137</v>
      </c>
      <c r="H1174" s="11" t="s">
        <v>8905</v>
      </c>
    </row>
    <row r="1175" customFormat="false" ht="17.15" hidden="false" customHeight="false" outlineLevel="0" collapsed="false">
      <c r="A1175" s="11" t="s">
        <v>8906</v>
      </c>
      <c r="B1175" s="11" t="s">
        <v>681</v>
      </c>
      <c r="C1175" s="11" t="s">
        <v>161</v>
      </c>
      <c r="D1175" s="6" t="n">
        <v>267119</v>
      </c>
      <c r="E1175" s="5" t="s">
        <v>6207</v>
      </c>
      <c r="F1175" s="5" t="s">
        <v>6207</v>
      </c>
      <c r="G1175" s="11" t="s">
        <v>134</v>
      </c>
      <c r="H1175" s="11" t="s">
        <v>8907</v>
      </c>
    </row>
    <row r="1176" customFormat="false" ht="17.15" hidden="false" customHeight="false" outlineLevel="0" collapsed="false">
      <c r="A1176" s="11" t="s">
        <v>8908</v>
      </c>
      <c r="B1176" s="11" t="s">
        <v>6647</v>
      </c>
      <c r="C1176" s="5"/>
      <c r="D1176" s="6" t="n">
        <v>267066</v>
      </c>
      <c r="E1176" s="5" t="s">
        <v>6264</v>
      </c>
      <c r="F1176" s="5" t="s">
        <v>6648</v>
      </c>
      <c r="G1176" s="11" t="s">
        <v>6649</v>
      </c>
      <c r="H1176" s="11" t="s">
        <v>8909</v>
      </c>
    </row>
    <row r="1177" customFormat="false" ht="17.15" hidden="false" customHeight="false" outlineLevel="0" collapsed="false">
      <c r="A1177" s="11" t="s">
        <v>8910</v>
      </c>
      <c r="B1177" s="11" t="s">
        <v>8911</v>
      </c>
      <c r="C1177" s="11" t="s">
        <v>197</v>
      </c>
      <c r="D1177" s="6" t="n">
        <v>266987</v>
      </c>
      <c r="E1177" s="5" t="s">
        <v>6239</v>
      </c>
      <c r="F1177" s="5" t="s">
        <v>6239</v>
      </c>
      <c r="G1177" s="11" t="s">
        <v>143</v>
      </c>
      <c r="H1177" s="11" t="s">
        <v>8912</v>
      </c>
    </row>
    <row r="1178" customFormat="false" ht="17.15" hidden="false" customHeight="false" outlineLevel="0" collapsed="false">
      <c r="A1178" s="11" t="s">
        <v>8913</v>
      </c>
      <c r="B1178" s="11" t="s">
        <v>4507</v>
      </c>
      <c r="C1178" s="11" t="s">
        <v>155</v>
      </c>
      <c r="D1178" s="6" t="n">
        <v>266701</v>
      </c>
      <c r="E1178" s="5" t="s">
        <v>6207</v>
      </c>
      <c r="F1178" s="5" t="s">
        <v>6377</v>
      </c>
      <c r="G1178" s="11" t="s">
        <v>6378</v>
      </c>
      <c r="H1178" s="11" t="s">
        <v>8914</v>
      </c>
    </row>
    <row r="1179" customFormat="false" ht="15" hidden="false" customHeight="false" outlineLevel="0" collapsed="false">
      <c r="A1179" s="11" t="s">
        <v>8915</v>
      </c>
      <c r="B1179" s="11" t="s">
        <v>8916</v>
      </c>
      <c r="C1179" s="11" t="s">
        <v>155</v>
      </c>
      <c r="D1179" s="6" t="n">
        <v>266490</v>
      </c>
      <c r="E1179" s="5" t="s">
        <v>6413</v>
      </c>
      <c r="F1179" s="5" t="s">
        <v>6413</v>
      </c>
      <c r="G1179" s="11" t="s">
        <v>128</v>
      </c>
      <c r="H1179" s="11" t="s">
        <v>8917</v>
      </c>
    </row>
    <row r="1180" customFormat="false" ht="17.15" hidden="false" customHeight="false" outlineLevel="0" collapsed="false">
      <c r="A1180" s="11" t="s">
        <v>8918</v>
      </c>
      <c r="B1180" s="11" t="s">
        <v>8919</v>
      </c>
      <c r="C1180" s="11" t="s">
        <v>195</v>
      </c>
      <c r="D1180" s="6" t="n">
        <v>264981</v>
      </c>
      <c r="E1180" s="5" t="s">
        <v>6239</v>
      </c>
      <c r="F1180" s="5" t="s">
        <v>6239</v>
      </c>
      <c r="G1180" s="11" t="s">
        <v>143</v>
      </c>
      <c r="H1180" s="11" t="s">
        <v>8920</v>
      </c>
    </row>
    <row r="1181" customFormat="false" ht="17.15" hidden="false" customHeight="false" outlineLevel="0" collapsed="false">
      <c r="A1181" s="11" t="s">
        <v>8921</v>
      </c>
      <c r="B1181" s="11" t="s">
        <v>8922</v>
      </c>
      <c r="C1181" s="11" t="s">
        <v>156</v>
      </c>
      <c r="D1181" s="6" t="n">
        <v>264573</v>
      </c>
      <c r="E1181" s="5" t="s">
        <v>6210</v>
      </c>
      <c r="F1181" s="5" t="s">
        <v>6274</v>
      </c>
      <c r="G1181" s="11" t="s">
        <v>6275</v>
      </c>
      <c r="H1181" s="11" t="s">
        <v>8923</v>
      </c>
    </row>
    <row r="1182" customFormat="false" ht="17.15" hidden="false" customHeight="false" outlineLevel="0" collapsed="false">
      <c r="A1182" s="11" t="s">
        <v>8924</v>
      </c>
      <c r="B1182" s="11" t="s">
        <v>6457</v>
      </c>
      <c r="C1182" s="11" t="s">
        <v>149</v>
      </c>
      <c r="D1182" s="6" t="n">
        <v>264491</v>
      </c>
      <c r="E1182" s="5" t="s">
        <v>6264</v>
      </c>
      <c r="F1182" s="5" t="s">
        <v>6264</v>
      </c>
      <c r="G1182" s="11" t="s">
        <v>131</v>
      </c>
      <c r="H1182" s="11" t="s">
        <v>8925</v>
      </c>
    </row>
    <row r="1183" customFormat="false" ht="15" hidden="false" customHeight="false" outlineLevel="0" collapsed="false">
      <c r="A1183" s="11" t="s">
        <v>8926</v>
      </c>
      <c r="B1183" s="11" t="s">
        <v>8512</v>
      </c>
      <c r="C1183" s="11" t="s">
        <v>173</v>
      </c>
      <c r="D1183" s="6" t="n">
        <v>264389</v>
      </c>
      <c r="E1183" s="5" t="s">
        <v>141</v>
      </c>
      <c r="F1183" s="5" t="s">
        <v>141</v>
      </c>
      <c r="G1183" s="11" t="s">
        <v>140</v>
      </c>
      <c r="H1183" s="11" t="s">
        <v>8927</v>
      </c>
    </row>
    <row r="1184" customFormat="false" ht="17.15" hidden="false" customHeight="false" outlineLevel="0" collapsed="false">
      <c r="A1184" s="11" t="s">
        <v>8928</v>
      </c>
      <c r="B1184" s="11" t="s">
        <v>8929</v>
      </c>
      <c r="C1184" s="11" t="s">
        <v>155</v>
      </c>
      <c r="D1184" s="6" t="n">
        <v>264139</v>
      </c>
      <c r="E1184" s="5" t="s">
        <v>6207</v>
      </c>
      <c r="F1184" s="5" t="s">
        <v>6207</v>
      </c>
      <c r="G1184" s="11" t="s">
        <v>134</v>
      </c>
      <c r="H1184" s="11" t="s">
        <v>8930</v>
      </c>
    </row>
    <row r="1185" customFormat="false" ht="17.15" hidden="false" customHeight="false" outlineLevel="0" collapsed="false">
      <c r="A1185" s="11" t="s">
        <v>8931</v>
      </c>
      <c r="B1185" s="11" t="s">
        <v>753</v>
      </c>
      <c r="C1185" s="11" t="s">
        <v>193</v>
      </c>
      <c r="D1185" s="6" t="n">
        <v>263713</v>
      </c>
      <c r="E1185" s="5" t="s">
        <v>6239</v>
      </c>
      <c r="F1185" s="5" t="s">
        <v>6239</v>
      </c>
      <c r="G1185" s="11" t="s">
        <v>143</v>
      </c>
      <c r="H1185" s="11" t="s">
        <v>8932</v>
      </c>
    </row>
    <row r="1186" customFormat="false" ht="17.15" hidden="false" customHeight="false" outlineLevel="0" collapsed="false">
      <c r="A1186" s="11" t="s">
        <v>8933</v>
      </c>
      <c r="B1186" s="11" t="s">
        <v>8934</v>
      </c>
      <c r="C1186" s="11" t="s">
        <v>162</v>
      </c>
      <c r="D1186" s="6" t="n">
        <v>262790</v>
      </c>
      <c r="E1186" s="5" t="s">
        <v>6207</v>
      </c>
      <c r="F1186" s="5" t="s">
        <v>6207</v>
      </c>
      <c r="G1186" s="11" t="s">
        <v>134</v>
      </c>
      <c r="H1186" s="11" t="s">
        <v>8935</v>
      </c>
    </row>
    <row r="1187" customFormat="false" ht="17.15" hidden="false" customHeight="false" outlineLevel="0" collapsed="false">
      <c r="A1187" s="11" t="s">
        <v>8936</v>
      </c>
      <c r="B1187" s="11" t="s">
        <v>6457</v>
      </c>
      <c r="C1187" s="11" t="s">
        <v>153</v>
      </c>
      <c r="D1187" s="6" t="n">
        <v>262300</v>
      </c>
      <c r="E1187" s="5" t="s">
        <v>6264</v>
      </c>
      <c r="F1187" s="5" t="s">
        <v>6264</v>
      </c>
      <c r="G1187" s="11" t="s">
        <v>131</v>
      </c>
      <c r="H1187" s="11" t="s">
        <v>8937</v>
      </c>
    </row>
    <row r="1188" customFormat="false" ht="15" hidden="false" customHeight="false" outlineLevel="0" collapsed="false">
      <c r="A1188" s="11" t="s">
        <v>8938</v>
      </c>
      <c r="B1188" s="11" t="s">
        <v>8939</v>
      </c>
      <c r="C1188" s="11" t="s">
        <v>155</v>
      </c>
      <c r="D1188" s="6" t="n">
        <v>261990</v>
      </c>
      <c r="E1188" s="5" t="s">
        <v>6413</v>
      </c>
      <c r="F1188" s="5" t="s">
        <v>6413</v>
      </c>
      <c r="G1188" s="11" t="s">
        <v>128</v>
      </c>
      <c r="H1188" s="11" t="s">
        <v>8940</v>
      </c>
    </row>
    <row r="1189" customFormat="false" ht="17.15" hidden="false" customHeight="false" outlineLevel="0" collapsed="false">
      <c r="A1189" s="11" t="s">
        <v>8941</v>
      </c>
      <c r="B1189" s="11" t="s">
        <v>8942</v>
      </c>
      <c r="C1189" s="11" t="s">
        <v>172</v>
      </c>
      <c r="D1189" s="6" t="n">
        <v>261845</v>
      </c>
      <c r="E1189" s="5" t="s">
        <v>6207</v>
      </c>
      <c r="F1189" s="5" t="s">
        <v>6207</v>
      </c>
      <c r="G1189" s="11" t="s">
        <v>134</v>
      </c>
      <c r="H1189" s="11" t="s">
        <v>8943</v>
      </c>
    </row>
    <row r="1190" customFormat="false" ht="17.15" hidden="false" customHeight="false" outlineLevel="0" collapsed="false">
      <c r="A1190" s="11" t="s">
        <v>8944</v>
      </c>
      <c r="B1190" s="11" t="s">
        <v>8945</v>
      </c>
      <c r="C1190" s="11" t="s">
        <v>192</v>
      </c>
      <c r="D1190" s="6" t="n">
        <v>260828</v>
      </c>
      <c r="E1190" s="5" t="s">
        <v>6239</v>
      </c>
      <c r="F1190" s="5" t="s">
        <v>6239</v>
      </c>
      <c r="G1190" s="11" t="s">
        <v>143</v>
      </c>
      <c r="H1190" s="11" t="s">
        <v>8946</v>
      </c>
    </row>
    <row r="1191" customFormat="false" ht="17.15" hidden="false" customHeight="false" outlineLevel="0" collapsed="false">
      <c r="A1191" s="11" t="s">
        <v>8947</v>
      </c>
      <c r="B1191" s="11" t="s">
        <v>1111</v>
      </c>
      <c r="C1191" s="5"/>
      <c r="D1191" s="6" t="n">
        <v>260721</v>
      </c>
      <c r="E1191" s="5" t="s">
        <v>6210</v>
      </c>
      <c r="F1191" s="5" t="s">
        <v>6210</v>
      </c>
      <c r="G1191" s="11" t="s">
        <v>137</v>
      </c>
      <c r="H1191" s="11" t="s">
        <v>8948</v>
      </c>
    </row>
    <row r="1192" customFormat="false" ht="17.15" hidden="false" customHeight="false" outlineLevel="0" collapsed="false">
      <c r="A1192" s="11" t="s">
        <v>8949</v>
      </c>
      <c r="B1192" s="11" t="s">
        <v>753</v>
      </c>
      <c r="C1192" s="11" t="s">
        <v>197</v>
      </c>
      <c r="D1192" s="6" t="n">
        <v>260187</v>
      </c>
      <c r="E1192" s="5" t="s">
        <v>6239</v>
      </c>
      <c r="F1192" s="5" t="s">
        <v>6239</v>
      </c>
      <c r="G1192" s="11" t="s">
        <v>143</v>
      </c>
      <c r="H1192" s="11" t="s">
        <v>8950</v>
      </c>
    </row>
    <row r="1193" customFormat="false" ht="17.15" hidden="false" customHeight="false" outlineLevel="0" collapsed="false">
      <c r="A1193" s="11" t="s">
        <v>8951</v>
      </c>
      <c r="B1193" s="11" t="s">
        <v>681</v>
      </c>
      <c r="C1193" s="11" t="s">
        <v>175</v>
      </c>
      <c r="D1193" s="6" t="n">
        <v>259837</v>
      </c>
      <c r="E1193" s="5" t="s">
        <v>6207</v>
      </c>
      <c r="F1193" s="5" t="s">
        <v>6207</v>
      </c>
      <c r="G1193" s="11" t="s">
        <v>134</v>
      </c>
      <c r="H1193" s="11" t="s">
        <v>8952</v>
      </c>
    </row>
    <row r="1194" customFormat="false" ht="17.15" hidden="false" customHeight="false" outlineLevel="0" collapsed="false">
      <c r="A1194" s="11" t="s">
        <v>8953</v>
      </c>
      <c r="B1194" s="11" t="s">
        <v>8954</v>
      </c>
      <c r="C1194" s="11" t="s">
        <v>155</v>
      </c>
      <c r="D1194" s="6" t="n">
        <v>259316</v>
      </c>
      <c r="E1194" s="5" t="s">
        <v>6207</v>
      </c>
      <c r="F1194" s="5" t="s">
        <v>6207</v>
      </c>
      <c r="G1194" s="11" t="s">
        <v>134</v>
      </c>
      <c r="H1194" s="11" t="s">
        <v>8955</v>
      </c>
    </row>
    <row r="1195" customFormat="false" ht="17.15" hidden="false" customHeight="false" outlineLevel="0" collapsed="false">
      <c r="A1195" s="11" t="s">
        <v>8956</v>
      </c>
      <c r="B1195" s="11" t="s">
        <v>6594</v>
      </c>
      <c r="C1195" s="11" t="s">
        <v>162</v>
      </c>
      <c r="D1195" s="6" t="n">
        <v>259181</v>
      </c>
      <c r="E1195" s="5" t="s">
        <v>6207</v>
      </c>
      <c r="F1195" s="5" t="s">
        <v>6207</v>
      </c>
      <c r="G1195" s="11" t="s">
        <v>134</v>
      </c>
      <c r="H1195" s="11" t="s">
        <v>8957</v>
      </c>
    </row>
    <row r="1196" customFormat="false" ht="15" hidden="false" customHeight="false" outlineLevel="0" collapsed="false">
      <c r="A1196" s="11" t="s">
        <v>8958</v>
      </c>
      <c r="B1196" s="11" t="s">
        <v>8463</v>
      </c>
      <c r="C1196" s="11" t="s">
        <v>155</v>
      </c>
      <c r="D1196" s="6" t="n">
        <v>258273</v>
      </c>
      <c r="E1196" s="5" t="s">
        <v>6413</v>
      </c>
      <c r="F1196" s="5" t="s">
        <v>6413</v>
      </c>
      <c r="G1196" s="11" t="s">
        <v>128</v>
      </c>
      <c r="H1196" s="11" t="s">
        <v>8959</v>
      </c>
    </row>
    <row r="1197" customFormat="false" ht="17.15" hidden="false" customHeight="false" outlineLevel="0" collapsed="false">
      <c r="A1197" s="11" t="s">
        <v>8960</v>
      </c>
      <c r="B1197" s="11" t="s">
        <v>8961</v>
      </c>
      <c r="C1197" s="11" t="s">
        <v>193</v>
      </c>
      <c r="D1197" s="6" t="n">
        <v>258104</v>
      </c>
      <c r="E1197" s="5" t="s">
        <v>6239</v>
      </c>
      <c r="F1197" s="5" t="s">
        <v>6239</v>
      </c>
      <c r="G1197" s="11" t="s">
        <v>143</v>
      </c>
      <c r="H1197" s="11" t="s">
        <v>8962</v>
      </c>
    </row>
    <row r="1198" customFormat="false" ht="17.15" hidden="false" customHeight="false" outlineLevel="0" collapsed="false">
      <c r="A1198" s="11" t="s">
        <v>8963</v>
      </c>
      <c r="B1198" s="11" t="s">
        <v>8964</v>
      </c>
      <c r="C1198" s="11" t="s">
        <v>152</v>
      </c>
      <c r="D1198" s="6" t="n">
        <v>258047</v>
      </c>
      <c r="E1198" s="5" t="s">
        <v>6210</v>
      </c>
      <c r="F1198" s="5" t="s">
        <v>6210</v>
      </c>
      <c r="G1198" s="11" t="s">
        <v>137</v>
      </c>
      <c r="H1198" s="11" t="s">
        <v>8965</v>
      </c>
    </row>
    <row r="1199" customFormat="false" ht="17.15" hidden="false" customHeight="false" outlineLevel="0" collapsed="false">
      <c r="A1199" s="11" t="s">
        <v>8966</v>
      </c>
      <c r="B1199" s="11" t="s">
        <v>1484</v>
      </c>
      <c r="C1199" s="11" t="s">
        <v>155</v>
      </c>
      <c r="D1199" s="6" t="n">
        <v>257153</v>
      </c>
      <c r="E1199" s="5" t="s">
        <v>6207</v>
      </c>
      <c r="F1199" s="5" t="s">
        <v>6207</v>
      </c>
      <c r="G1199" s="11" t="s">
        <v>134</v>
      </c>
      <c r="H1199" s="11" t="s">
        <v>8967</v>
      </c>
    </row>
    <row r="1200" customFormat="false" ht="17.15" hidden="false" customHeight="false" outlineLevel="0" collapsed="false">
      <c r="A1200" s="11" t="s">
        <v>8968</v>
      </c>
      <c r="B1200" s="11" t="s">
        <v>327</v>
      </c>
      <c r="C1200" s="11" t="s">
        <v>155</v>
      </c>
      <c r="D1200" s="6" t="n">
        <v>256581</v>
      </c>
      <c r="E1200" s="5" t="s">
        <v>6210</v>
      </c>
      <c r="F1200" s="5" t="s">
        <v>6210</v>
      </c>
      <c r="G1200" s="11" t="s">
        <v>137</v>
      </c>
      <c r="H1200" s="11" t="s">
        <v>8969</v>
      </c>
    </row>
    <row r="1201" customFormat="false" ht="17.15" hidden="false" customHeight="false" outlineLevel="0" collapsed="false">
      <c r="A1201" s="11" t="s">
        <v>8970</v>
      </c>
      <c r="B1201" s="11" t="s">
        <v>299</v>
      </c>
      <c r="C1201" s="11" t="s">
        <v>156</v>
      </c>
      <c r="D1201" s="6" t="n">
        <v>256455</v>
      </c>
      <c r="E1201" s="5" t="s">
        <v>6210</v>
      </c>
      <c r="F1201" s="5" t="s">
        <v>6210</v>
      </c>
      <c r="G1201" s="11" t="s">
        <v>137</v>
      </c>
      <c r="H1201" s="11" t="s">
        <v>8971</v>
      </c>
    </row>
    <row r="1202" customFormat="false" ht="17.15" hidden="false" customHeight="false" outlineLevel="0" collapsed="false">
      <c r="A1202" s="11" t="s">
        <v>8972</v>
      </c>
      <c r="B1202" s="11" t="s">
        <v>327</v>
      </c>
      <c r="C1202" s="11" t="s">
        <v>188</v>
      </c>
      <c r="D1202" s="6" t="n">
        <v>255592</v>
      </c>
      <c r="E1202" s="5" t="s">
        <v>6207</v>
      </c>
      <c r="F1202" s="5" t="s">
        <v>6207</v>
      </c>
      <c r="G1202" s="11" t="s">
        <v>134</v>
      </c>
      <c r="H1202" s="11" t="s">
        <v>8973</v>
      </c>
    </row>
    <row r="1203" customFormat="false" ht="15" hidden="false" customHeight="false" outlineLevel="0" collapsed="false">
      <c r="A1203" s="11" t="s">
        <v>8974</v>
      </c>
      <c r="B1203" s="11" t="s">
        <v>7489</v>
      </c>
      <c r="C1203" s="11" t="s">
        <v>155</v>
      </c>
      <c r="D1203" s="6" t="n">
        <v>255319</v>
      </c>
      <c r="E1203" s="5" t="s">
        <v>6413</v>
      </c>
      <c r="F1203" s="5" t="s">
        <v>6413</v>
      </c>
      <c r="G1203" s="11" t="s">
        <v>128</v>
      </c>
      <c r="H1203" s="11" t="s">
        <v>8975</v>
      </c>
    </row>
    <row r="1204" customFormat="false" ht="17.15" hidden="false" customHeight="false" outlineLevel="0" collapsed="false">
      <c r="A1204" s="11" t="s">
        <v>8976</v>
      </c>
      <c r="B1204" s="11" t="s">
        <v>1214</v>
      </c>
      <c r="C1204" s="11" t="s">
        <v>192</v>
      </c>
      <c r="D1204" s="6" t="n">
        <v>254993</v>
      </c>
      <c r="E1204" s="5" t="s">
        <v>6239</v>
      </c>
      <c r="F1204" s="5" t="s">
        <v>6239</v>
      </c>
      <c r="G1204" s="11" t="s">
        <v>143</v>
      </c>
      <c r="H1204" s="11" t="s">
        <v>8977</v>
      </c>
    </row>
    <row r="1205" customFormat="false" ht="17.15" hidden="false" customHeight="false" outlineLevel="0" collapsed="false">
      <c r="A1205" s="11" t="s">
        <v>8978</v>
      </c>
      <c r="B1205" s="11" t="s">
        <v>7076</v>
      </c>
      <c r="C1205" s="11" t="s">
        <v>152</v>
      </c>
      <c r="D1205" s="6" t="n">
        <v>254378</v>
      </c>
      <c r="E1205" s="5" t="s">
        <v>6207</v>
      </c>
      <c r="F1205" s="5" t="s">
        <v>6377</v>
      </c>
      <c r="G1205" s="11" t="s">
        <v>6378</v>
      </c>
      <c r="H1205" s="11" t="s">
        <v>8979</v>
      </c>
    </row>
    <row r="1206" customFormat="false" ht="17.15" hidden="false" customHeight="false" outlineLevel="0" collapsed="false">
      <c r="A1206" s="11" t="s">
        <v>8980</v>
      </c>
      <c r="B1206" s="11" t="s">
        <v>7057</v>
      </c>
      <c r="C1206" s="11" t="s">
        <v>182</v>
      </c>
      <c r="D1206" s="6" t="n">
        <v>253443</v>
      </c>
      <c r="E1206" s="5" t="s">
        <v>6207</v>
      </c>
      <c r="F1206" s="5" t="s">
        <v>6207</v>
      </c>
      <c r="G1206" s="11" t="s">
        <v>134</v>
      </c>
      <c r="H1206" s="11" t="s">
        <v>8981</v>
      </c>
    </row>
    <row r="1207" customFormat="false" ht="17.15" hidden="false" customHeight="false" outlineLevel="0" collapsed="false">
      <c r="A1207" s="11" t="s">
        <v>8982</v>
      </c>
      <c r="B1207" s="11" t="s">
        <v>2557</v>
      </c>
      <c r="C1207" s="11" t="s">
        <v>168</v>
      </c>
      <c r="D1207" s="6" t="n">
        <v>253098</v>
      </c>
      <c r="E1207" s="5" t="s">
        <v>6207</v>
      </c>
      <c r="F1207" s="5" t="s">
        <v>6207</v>
      </c>
      <c r="G1207" s="11" t="s">
        <v>134</v>
      </c>
      <c r="H1207" s="11" t="s">
        <v>8983</v>
      </c>
    </row>
    <row r="1208" customFormat="false" ht="17.15" hidden="false" customHeight="false" outlineLevel="0" collapsed="false">
      <c r="A1208" s="11" t="s">
        <v>8984</v>
      </c>
      <c r="B1208" s="11" t="s">
        <v>308</v>
      </c>
      <c r="C1208" s="11" t="s">
        <v>162</v>
      </c>
      <c r="D1208" s="6" t="n">
        <v>253038</v>
      </c>
      <c r="E1208" s="5" t="s">
        <v>6207</v>
      </c>
      <c r="F1208" s="5" t="s">
        <v>6207</v>
      </c>
      <c r="G1208" s="11" t="s">
        <v>134</v>
      </c>
      <c r="H1208" s="11" t="s">
        <v>8985</v>
      </c>
    </row>
    <row r="1209" customFormat="false" ht="17.15" hidden="false" customHeight="false" outlineLevel="0" collapsed="false">
      <c r="A1209" s="11" t="s">
        <v>8986</v>
      </c>
      <c r="B1209" s="11" t="s">
        <v>6647</v>
      </c>
      <c r="C1209" s="11" t="s">
        <v>175</v>
      </c>
      <c r="D1209" s="6" t="n">
        <v>252670</v>
      </c>
      <c r="E1209" s="5" t="s">
        <v>6264</v>
      </c>
      <c r="F1209" s="5" t="s">
        <v>6648</v>
      </c>
      <c r="G1209" s="11" t="s">
        <v>6649</v>
      </c>
      <c r="H1209" s="11" t="s">
        <v>8987</v>
      </c>
    </row>
    <row r="1210" customFormat="false" ht="17.15" hidden="false" customHeight="false" outlineLevel="0" collapsed="false">
      <c r="A1210" s="11" t="s">
        <v>8988</v>
      </c>
      <c r="B1210" s="11" t="s">
        <v>6647</v>
      </c>
      <c r="C1210" s="5"/>
      <c r="D1210" s="6" t="n">
        <v>252402</v>
      </c>
      <c r="E1210" s="5" t="s">
        <v>6264</v>
      </c>
      <c r="F1210" s="5" t="s">
        <v>6648</v>
      </c>
      <c r="G1210" s="11" t="s">
        <v>6649</v>
      </c>
      <c r="H1210" s="11" t="s">
        <v>8989</v>
      </c>
    </row>
    <row r="1211" customFormat="false" ht="17.15" hidden="false" customHeight="false" outlineLevel="0" collapsed="false">
      <c r="A1211" s="11" t="s">
        <v>8990</v>
      </c>
      <c r="B1211" s="11" t="s">
        <v>6647</v>
      </c>
      <c r="C1211" s="11" t="s">
        <v>175</v>
      </c>
      <c r="D1211" s="6" t="n">
        <v>252146</v>
      </c>
      <c r="E1211" s="5" t="s">
        <v>6264</v>
      </c>
      <c r="F1211" s="5" t="s">
        <v>6648</v>
      </c>
      <c r="G1211" s="11" t="s">
        <v>6649</v>
      </c>
      <c r="H1211" s="11" t="s">
        <v>8991</v>
      </c>
    </row>
    <row r="1212" customFormat="false" ht="17.15" hidden="false" customHeight="false" outlineLevel="0" collapsed="false">
      <c r="A1212" s="11" t="s">
        <v>8992</v>
      </c>
      <c r="B1212" s="11" t="s">
        <v>2920</v>
      </c>
      <c r="C1212" s="11" t="s">
        <v>155</v>
      </c>
      <c r="D1212" s="6" t="n">
        <v>250739</v>
      </c>
      <c r="E1212" s="5" t="s">
        <v>6210</v>
      </c>
      <c r="F1212" s="5" t="s">
        <v>6210</v>
      </c>
      <c r="G1212" s="11" t="s">
        <v>137</v>
      </c>
      <c r="H1212" s="11" t="s">
        <v>8993</v>
      </c>
    </row>
    <row r="1213" customFormat="false" ht="15" hidden="false" customHeight="false" outlineLevel="0" collapsed="false">
      <c r="A1213" s="11" t="s">
        <v>8994</v>
      </c>
      <c r="B1213" s="11" t="s">
        <v>6801</v>
      </c>
      <c r="C1213" s="5"/>
      <c r="D1213" s="6" t="n">
        <v>250666</v>
      </c>
      <c r="E1213" s="5" t="s">
        <v>6227</v>
      </c>
      <c r="F1213" s="5" t="s">
        <v>6227</v>
      </c>
      <c r="G1213" s="11" t="s">
        <v>134</v>
      </c>
      <c r="H1213" s="11" t="s">
        <v>8995</v>
      </c>
    </row>
    <row r="1214" customFormat="false" ht="17.15" hidden="false" customHeight="false" outlineLevel="0" collapsed="false">
      <c r="A1214" s="11" t="s">
        <v>8996</v>
      </c>
      <c r="B1214" s="11" t="s">
        <v>5657</v>
      </c>
      <c r="C1214" s="11" t="s">
        <v>197</v>
      </c>
      <c r="D1214" s="6" t="n">
        <v>250509</v>
      </c>
      <c r="E1214" s="5" t="s">
        <v>6239</v>
      </c>
      <c r="F1214" s="5" t="s">
        <v>6239</v>
      </c>
      <c r="G1214" s="11" t="s">
        <v>143</v>
      </c>
      <c r="H1214" s="11" t="s">
        <v>8997</v>
      </c>
    </row>
    <row r="1215" customFormat="false" ht="17.15" hidden="false" customHeight="false" outlineLevel="0" collapsed="false">
      <c r="A1215" s="11" t="s">
        <v>8998</v>
      </c>
      <c r="B1215" s="11" t="s">
        <v>327</v>
      </c>
      <c r="C1215" s="11" t="s">
        <v>192</v>
      </c>
      <c r="D1215" s="6" t="n">
        <v>250439</v>
      </c>
      <c r="E1215" s="5" t="s">
        <v>6239</v>
      </c>
      <c r="F1215" s="5" t="s">
        <v>6239</v>
      </c>
      <c r="G1215" s="11" t="s">
        <v>143</v>
      </c>
      <c r="H1215" s="11" t="s">
        <v>8999</v>
      </c>
    </row>
    <row r="1216" customFormat="false" ht="17.15" hidden="false" customHeight="false" outlineLevel="0" collapsed="false">
      <c r="A1216" s="11" t="s">
        <v>9000</v>
      </c>
      <c r="B1216" s="11" t="s">
        <v>5784</v>
      </c>
      <c r="C1216" s="11" t="s">
        <v>162</v>
      </c>
      <c r="D1216" s="6" t="n">
        <v>250235</v>
      </c>
      <c r="E1216" s="5" t="s">
        <v>6207</v>
      </c>
      <c r="F1216" s="5" t="s">
        <v>6207</v>
      </c>
      <c r="G1216" s="11" t="s">
        <v>134</v>
      </c>
      <c r="H1216" s="11" t="s">
        <v>9001</v>
      </c>
    </row>
    <row r="1217" customFormat="false" ht="17.15" hidden="false" customHeight="false" outlineLevel="0" collapsed="false">
      <c r="A1217" s="11" t="s">
        <v>9002</v>
      </c>
      <c r="B1217" s="11" t="s">
        <v>6301</v>
      </c>
      <c r="C1217" s="11" t="s">
        <v>175</v>
      </c>
      <c r="D1217" s="6" t="n">
        <v>249757</v>
      </c>
      <c r="E1217" s="5" t="s">
        <v>6207</v>
      </c>
      <c r="F1217" s="5" t="s">
        <v>6207</v>
      </c>
      <c r="G1217" s="11" t="s">
        <v>134</v>
      </c>
      <c r="H1217" s="11" t="s">
        <v>9003</v>
      </c>
    </row>
    <row r="1218" customFormat="false" ht="17.15" hidden="false" customHeight="false" outlineLevel="0" collapsed="false">
      <c r="A1218" s="11" t="s">
        <v>9004</v>
      </c>
      <c r="B1218" s="11" t="s">
        <v>9005</v>
      </c>
      <c r="C1218" s="11" t="s">
        <v>155</v>
      </c>
      <c r="D1218" s="6" t="n">
        <v>249467</v>
      </c>
      <c r="E1218" s="5" t="s">
        <v>6207</v>
      </c>
      <c r="F1218" s="5" t="s">
        <v>6207</v>
      </c>
      <c r="G1218" s="11" t="s">
        <v>134</v>
      </c>
      <c r="H1218" s="11" t="s">
        <v>9006</v>
      </c>
    </row>
    <row r="1219" customFormat="false" ht="17.15" hidden="false" customHeight="false" outlineLevel="0" collapsed="false">
      <c r="A1219" s="11" t="s">
        <v>9007</v>
      </c>
      <c r="B1219" s="11" t="s">
        <v>6581</v>
      </c>
      <c r="C1219" s="11" t="s">
        <v>156</v>
      </c>
      <c r="D1219" s="6" t="n">
        <v>249263</v>
      </c>
      <c r="E1219" s="5" t="s">
        <v>6264</v>
      </c>
      <c r="F1219" s="5" t="s">
        <v>6264</v>
      </c>
      <c r="G1219" s="11" t="s">
        <v>131</v>
      </c>
      <c r="H1219" s="11" t="s">
        <v>9008</v>
      </c>
    </row>
    <row r="1220" customFormat="false" ht="15" hidden="false" customHeight="false" outlineLevel="0" collapsed="false">
      <c r="A1220" s="11" t="s">
        <v>9009</v>
      </c>
      <c r="B1220" s="11" t="s">
        <v>9010</v>
      </c>
      <c r="C1220" s="5"/>
      <c r="D1220" s="6" t="n">
        <v>248730</v>
      </c>
      <c r="E1220" s="5" t="s">
        <v>141</v>
      </c>
      <c r="F1220" s="5" t="s">
        <v>141</v>
      </c>
      <c r="G1220" s="11" t="s">
        <v>140</v>
      </c>
      <c r="H1220" s="11" t="s">
        <v>9011</v>
      </c>
    </row>
    <row r="1221" customFormat="false" ht="15" hidden="false" customHeight="false" outlineLevel="0" collapsed="false">
      <c r="A1221" s="11" t="s">
        <v>9012</v>
      </c>
      <c r="B1221" s="11" t="s">
        <v>9013</v>
      </c>
      <c r="C1221" s="5"/>
      <c r="D1221" s="6" t="n">
        <v>247909</v>
      </c>
      <c r="E1221" s="5" t="s">
        <v>141</v>
      </c>
      <c r="F1221" s="5" t="s">
        <v>141</v>
      </c>
      <c r="G1221" s="11" t="s">
        <v>140</v>
      </c>
      <c r="H1221" s="11" t="s">
        <v>9014</v>
      </c>
    </row>
    <row r="1222" customFormat="false" ht="17.15" hidden="false" customHeight="false" outlineLevel="0" collapsed="false">
      <c r="A1222" s="11" t="s">
        <v>9015</v>
      </c>
      <c r="B1222" s="11" t="s">
        <v>681</v>
      </c>
      <c r="C1222" s="11" t="s">
        <v>175</v>
      </c>
      <c r="D1222" s="6" t="n">
        <v>247887</v>
      </c>
      <c r="E1222" s="5" t="s">
        <v>6207</v>
      </c>
      <c r="F1222" s="5" t="s">
        <v>6207</v>
      </c>
      <c r="G1222" s="11" t="s">
        <v>134</v>
      </c>
      <c r="H1222" s="11" t="s">
        <v>9016</v>
      </c>
    </row>
    <row r="1223" customFormat="false" ht="17.15" hidden="false" customHeight="false" outlineLevel="0" collapsed="false">
      <c r="A1223" s="11" t="s">
        <v>9017</v>
      </c>
      <c r="B1223" s="11" t="s">
        <v>681</v>
      </c>
      <c r="C1223" s="11" t="s">
        <v>175</v>
      </c>
      <c r="D1223" s="6" t="n">
        <v>247808</v>
      </c>
      <c r="E1223" s="5" t="s">
        <v>6207</v>
      </c>
      <c r="F1223" s="5" t="s">
        <v>6207</v>
      </c>
      <c r="G1223" s="11" t="s">
        <v>134</v>
      </c>
      <c r="H1223" s="11" t="s">
        <v>9018</v>
      </c>
    </row>
    <row r="1224" customFormat="false" ht="17.15" hidden="false" customHeight="false" outlineLevel="0" collapsed="false">
      <c r="A1224" s="11" t="s">
        <v>9019</v>
      </c>
      <c r="B1224" s="11" t="s">
        <v>2920</v>
      </c>
      <c r="C1224" s="11" t="s">
        <v>155</v>
      </c>
      <c r="D1224" s="6" t="n">
        <v>247399</v>
      </c>
      <c r="E1224" s="5" t="s">
        <v>6210</v>
      </c>
      <c r="F1224" s="5" t="s">
        <v>6210</v>
      </c>
      <c r="G1224" s="11" t="s">
        <v>137</v>
      </c>
      <c r="H1224" s="11" t="s">
        <v>9020</v>
      </c>
    </row>
    <row r="1225" customFormat="false" ht="17.15" hidden="false" customHeight="false" outlineLevel="0" collapsed="false">
      <c r="A1225" s="11" t="s">
        <v>9021</v>
      </c>
      <c r="B1225" s="11" t="s">
        <v>6390</v>
      </c>
      <c r="C1225" s="11" t="s">
        <v>167</v>
      </c>
      <c r="D1225" s="6" t="n">
        <v>246861</v>
      </c>
      <c r="E1225" s="5" t="s">
        <v>6207</v>
      </c>
      <c r="F1225" s="5" t="s">
        <v>6377</v>
      </c>
      <c r="G1225" s="11" t="s">
        <v>6378</v>
      </c>
      <c r="H1225" s="11" t="s">
        <v>9022</v>
      </c>
    </row>
    <row r="1226" customFormat="false" ht="17.15" hidden="false" customHeight="false" outlineLevel="0" collapsed="false">
      <c r="A1226" s="11" t="s">
        <v>9023</v>
      </c>
      <c r="B1226" s="11" t="s">
        <v>6647</v>
      </c>
      <c r="C1226" s="5"/>
      <c r="D1226" s="6" t="n">
        <v>246848</v>
      </c>
      <c r="E1226" s="5" t="s">
        <v>6264</v>
      </c>
      <c r="F1226" s="5" t="s">
        <v>6264</v>
      </c>
      <c r="G1226" s="11" t="s">
        <v>131</v>
      </c>
      <c r="H1226" s="11" t="s">
        <v>9024</v>
      </c>
    </row>
    <row r="1227" customFormat="false" ht="17.15" hidden="false" customHeight="false" outlineLevel="0" collapsed="false">
      <c r="A1227" s="11" t="s">
        <v>9025</v>
      </c>
      <c r="B1227" s="11" t="s">
        <v>9026</v>
      </c>
      <c r="C1227" s="11" t="s">
        <v>192</v>
      </c>
      <c r="D1227" s="6" t="n">
        <v>246801</v>
      </c>
      <c r="E1227" s="5" t="s">
        <v>6239</v>
      </c>
      <c r="F1227" s="5" t="s">
        <v>6239</v>
      </c>
      <c r="G1227" s="11" t="s">
        <v>143</v>
      </c>
      <c r="H1227" s="11" t="s">
        <v>9027</v>
      </c>
    </row>
    <row r="1228" customFormat="false" ht="17.15" hidden="false" customHeight="false" outlineLevel="0" collapsed="false">
      <c r="A1228" s="11" t="s">
        <v>9028</v>
      </c>
      <c r="B1228" s="11" t="s">
        <v>402</v>
      </c>
      <c r="C1228" s="11" t="s">
        <v>150</v>
      </c>
      <c r="D1228" s="6" t="n">
        <v>245804</v>
      </c>
      <c r="E1228" s="5" t="s">
        <v>6207</v>
      </c>
      <c r="F1228" s="5" t="s">
        <v>6207</v>
      </c>
      <c r="G1228" s="11" t="s">
        <v>134</v>
      </c>
      <c r="H1228" s="11" t="s">
        <v>9029</v>
      </c>
    </row>
    <row r="1229" customFormat="false" ht="17.15" hidden="false" customHeight="false" outlineLevel="0" collapsed="false">
      <c r="A1229" s="11" t="s">
        <v>9030</v>
      </c>
      <c r="B1229" s="11" t="s">
        <v>6681</v>
      </c>
      <c r="C1229" s="11" t="s">
        <v>150</v>
      </c>
      <c r="D1229" s="6" t="n">
        <v>245409</v>
      </c>
      <c r="E1229" s="5" t="s">
        <v>6207</v>
      </c>
      <c r="F1229" s="5" t="s">
        <v>6207</v>
      </c>
      <c r="G1229" s="11" t="s">
        <v>134</v>
      </c>
      <c r="H1229" s="11" t="s">
        <v>9031</v>
      </c>
    </row>
    <row r="1230" customFormat="false" ht="17.15" hidden="false" customHeight="false" outlineLevel="0" collapsed="false">
      <c r="A1230" s="11" t="s">
        <v>9032</v>
      </c>
      <c r="B1230" s="11" t="s">
        <v>9033</v>
      </c>
      <c r="C1230" s="11" t="s">
        <v>192</v>
      </c>
      <c r="D1230" s="6" t="n">
        <v>244942</v>
      </c>
      <c r="E1230" s="5" t="s">
        <v>6239</v>
      </c>
      <c r="F1230" s="5" t="s">
        <v>6239</v>
      </c>
      <c r="G1230" s="11" t="s">
        <v>143</v>
      </c>
      <c r="H1230" s="11" t="s">
        <v>9034</v>
      </c>
    </row>
    <row r="1231" customFormat="false" ht="17.15" hidden="false" customHeight="false" outlineLevel="0" collapsed="false">
      <c r="A1231" s="11" t="s">
        <v>9035</v>
      </c>
      <c r="B1231" s="11" t="s">
        <v>6273</v>
      </c>
      <c r="C1231" s="11" t="s">
        <v>153</v>
      </c>
      <c r="D1231" s="6" t="n">
        <v>244872</v>
      </c>
      <c r="E1231" s="5" t="s">
        <v>6210</v>
      </c>
      <c r="F1231" s="5" t="s">
        <v>6274</v>
      </c>
      <c r="G1231" s="11" t="s">
        <v>6275</v>
      </c>
      <c r="H1231" s="11" t="s">
        <v>9036</v>
      </c>
    </row>
    <row r="1232" customFormat="false" ht="17.15" hidden="false" customHeight="false" outlineLevel="0" collapsed="false">
      <c r="A1232" s="11" t="s">
        <v>9037</v>
      </c>
      <c r="B1232" s="11" t="s">
        <v>9038</v>
      </c>
      <c r="C1232" s="11" t="s">
        <v>152</v>
      </c>
      <c r="D1232" s="6" t="n">
        <v>244286</v>
      </c>
      <c r="E1232" s="5" t="s">
        <v>6207</v>
      </c>
      <c r="F1232" s="5" t="s">
        <v>6207</v>
      </c>
      <c r="G1232" s="11" t="s">
        <v>134</v>
      </c>
      <c r="H1232" s="11" t="s">
        <v>9039</v>
      </c>
    </row>
    <row r="1233" customFormat="false" ht="17.15" hidden="false" customHeight="false" outlineLevel="0" collapsed="false">
      <c r="A1233" s="11" t="s">
        <v>9040</v>
      </c>
      <c r="B1233" s="11" t="s">
        <v>9041</v>
      </c>
      <c r="C1233" s="5"/>
      <c r="D1233" s="6" t="n">
        <v>244058</v>
      </c>
      <c r="E1233" s="5" t="s">
        <v>6207</v>
      </c>
      <c r="F1233" s="5" t="s">
        <v>6207</v>
      </c>
      <c r="G1233" s="11" t="s">
        <v>134</v>
      </c>
      <c r="H1233" s="11" t="s">
        <v>9042</v>
      </c>
    </row>
    <row r="1234" customFormat="false" ht="17.15" hidden="false" customHeight="false" outlineLevel="0" collapsed="false">
      <c r="A1234" s="11" t="s">
        <v>9043</v>
      </c>
      <c r="B1234" s="11" t="s">
        <v>9044</v>
      </c>
      <c r="C1234" s="11" t="s">
        <v>162</v>
      </c>
      <c r="D1234" s="6" t="n">
        <v>243817</v>
      </c>
      <c r="E1234" s="5" t="s">
        <v>6207</v>
      </c>
      <c r="F1234" s="5" t="s">
        <v>6377</v>
      </c>
      <c r="G1234" s="11" t="s">
        <v>6378</v>
      </c>
      <c r="H1234" s="11" t="s">
        <v>9045</v>
      </c>
    </row>
    <row r="1235" customFormat="false" ht="17.15" hidden="false" customHeight="false" outlineLevel="0" collapsed="false">
      <c r="A1235" s="11" t="s">
        <v>529</v>
      </c>
      <c r="B1235" s="11" t="s">
        <v>7224</v>
      </c>
      <c r="C1235" s="11" t="s">
        <v>153</v>
      </c>
      <c r="D1235" s="6" t="n">
        <v>243791</v>
      </c>
      <c r="E1235" s="5" t="s">
        <v>6207</v>
      </c>
      <c r="F1235" s="5" t="s">
        <v>6207</v>
      </c>
      <c r="G1235" s="11" t="s">
        <v>134</v>
      </c>
      <c r="H1235" s="11" t="s">
        <v>9046</v>
      </c>
    </row>
    <row r="1236" customFormat="false" ht="17.15" hidden="false" customHeight="false" outlineLevel="0" collapsed="false">
      <c r="A1236" s="11" t="s">
        <v>9047</v>
      </c>
      <c r="B1236" s="11" t="s">
        <v>6473</v>
      </c>
      <c r="C1236" s="11" t="s">
        <v>183</v>
      </c>
      <c r="D1236" s="6" t="n">
        <v>243318</v>
      </c>
      <c r="E1236" s="5" t="s">
        <v>6210</v>
      </c>
      <c r="F1236" s="5" t="s">
        <v>6210</v>
      </c>
      <c r="G1236" s="11" t="s">
        <v>137</v>
      </c>
      <c r="H1236" s="11" t="s">
        <v>9048</v>
      </c>
    </row>
    <row r="1237" customFormat="false" ht="17.15" hidden="false" customHeight="false" outlineLevel="0" collapsed="false">
      <c r="A1237" s="11" t="s">
        <v>9049</v>
      </c>
      <c r="B1237" s="11" t="s">
        <v>6384</v>
      </c>
      <c r="C1237" s="11" t="s">
        <v>178</v>
      </c>
      <c r="D1237" s="6" t="n">
        <v>241806</v>
      </c>
      <c r="E1237" s="5" t="s">
        <v>6210</v>
      </c>
      <c r="F1237" s="5" t="s">
        <v>6210</v>
      </c>
      <c r="G1237" s="11" t="s">
        <v>137</v>
      </c>
      <c r="H1237" s="11" t="s">
        <v>9050</v>
      </c>
    </row>
    <row r="1238" customFormat="false" ht="17.15" hidden="false" customHeight="false" outlineLevel="0" collapsed="false">
      <c r="A1238" s="11" t="s">
        <v>250</v>
      </c>
      <c r="B1238" s="11" t="s">
        <v>6381</v>
      </c>
      <c r="C1238" s="5"/>
      <c r="D1238" s="6" t="n">
        <v>241707</v>
      </c>
      <c r="E1238" s="5" t="s">
        <v>6207</v>
      </c>
      <c r="F1238" s="5" t="s">
        <v>6207</v>
      </c>
      <c r="G1238" s="11" t="s">
        <v>134</v>
      </c>
      <c r="H1238" s="11" t="s">
        <v>9051</v>
      </c>
    </row>
    <row r="1239" customFormat="false" ht="17.15" hidden="false" customHeight="false" outlineLevel="0" collapsed="false">
      <c r="A1239" s="11" t="s">
        <v>9052</v>
      </c>
      <c r="B1239" s="11" t="s">
        <v>6774</v>
      </c>
      <c r="C1239" s="11" t="s">
        <v>193</v>
      </c>
      <c r="D1239" s="6" t="n">
        <v>241688</v>
      </c>
      <c r="E1239" s="5" t="s">
        <v>6239</v>
      </c>
      <c r="F1239" s="5" t="s">
        <v>6239</v>
      </c>
      <c r="G1239" s="11" t="s">
        <v>143</v>
      </c>
      <c r="H1239" s="11" t="s">
        <v>9053</v>
      </c>
    </row>
    <row r="1240" customFormat="false" ht="17.15" hidden="false" customHeight="false" outlineLevel="0" collapsed="false">
      <c r="A1240" s="11" t="s">
        <v>9054</v>
      </c>
      <c r="B1240" s="11" t="s">
        <v>839</v>
      </c>
      <c r="C1240" s="5"/>
      <c r="D1240" s="6" t="n">
        <v>241543</v>
      </c>
      <c r="E1240" s="5" t="s">
        <v>6207</v>
      </c>
      <c r="F1240" s="5" t="s">
        <v>6207</v>
      </c>
      <c r="G1240" s="11" t="s">
        <v>134</v>
      </c>
      <c r="H1240" s="11" t="s">
        <v>9055</v>
      </c>
    </row>
    <row r="1241" customFormat="false" ht="15" hidden="false" customHeight="false" outlineLevel="0" collapsed="false">
      <c r="A1241" s="11" t="s">
        <v>9056</v>
      </c>
      <c r="B1241" s="11" t="s">
        <v>989</v>
      </c>
      <c r="C1241" s="11" t="s">
        <v>155</v>
      </c>
      <c r="D1241" s="6" t="n">
        <v>241020</v>
      </c>
      <c r="E1241" s="5" t="s">
        <v>6413</v>
      </c>
      <c r="F1241" s="5" t="s">
        <v>6413</v>
      </c>
      <c r="G1241" s="11" t="s">
        <v>128</v>
      </c>
      <c r="H1241" s="11" t="s">
        <v>9057</v>
      </c>
    </row>
    <row r="1242" customFormat="false" ht="15" hidden="false" customHeight="false" outlineLevel="0" collapsed="false">
      <c r="A1242" s="11" t="s">
        <v>9058</v>
      </c>
      <c r="B1242" s="11" t="s">
        <v>9010</v>
      </c>
      <c r="C1242" s="11" t="s">
        <v>164</v>
      </c>
      <c r="D1242" s="6" t="n">
        <v>240887</v>
      </c>
      <c r="E1242" s="5" t="s">
        <v>141</v>
      </c>
      <c r="F1242" s="5" t="s">
        <v>141</v>
      </c>
      <c r="G1242" s="11" t="s">
        <v>140</v>
      </c>
      <c r="H1242" s="11" t="s">
        <v>9059</v>
      </c>
    </row>
    <row r="1243" customFormat="false" ht="17.15" hidden="false" customHeight="false" outlineLevel="0" collapsed="false">
      <c r="A1243" s="11" t="s">
        <v>9060</v>
      </c>
      <c r="B1243" s="11" t="s">
        <v>681</v>
      </c>
      <c r="C1243" s="11" t="s">
        <v>189</v>
      </c>
      <c r="D1243" s="6" t="n">
        <v>239869</v>
      </c>
      <c r="E1243" s="5" t="s">
        <v>6239</v>
      </c>
      <c r="F1243" s="5" t="s">
        <v>6239</v>
      </c>
      <c r="G1243" s="11" t="s">
        <v>143</v>
      </c>
      <c r="H1243" s="11" t="s">
        <v>9061</v>
      </c>
    </row>
    <row r="1244" customFormat="false" ht="17.15" hidden="false" customHeight="false" outlineLevel="0" collapsed="false">
      <c r="A1244" s="11" t="s">
        <v>9062</v>
      </c>
      <c r="B1244" s="11" t="s">
        <v>6647</v>
      </c>
      <c r="C1244" s="11" t="s">
        <v>155</v>
      </c>
      <c r="D1244" s="6" t="n">
        <v>239379</v>
      </c>
      <c r="E1244" s="5" t="s">
        <v>6264</v>
      </c>
      <c r="F1244" s="5" t="s">
        <v>6264</v>
      </c>
      <c r="G1244" s="11" t="s">
        <v>131</v>
      </c>
      <c r="H1244" s="11" t="s">
        <v>9063</v>
      </c>
    </row>
    <row r="1245" customFormat="false" ht="17.15" hidden="false" customHeight="false" outlineLevel="0" collapsed="false">
      <c r="A1245" s="11" t="s">
        <v>9064</v>
      </c>
      <c r="B1245" s="11" t="s">
        <v>2639</v>
      </c>
      <c r="C1245" s="11" t="s">
        <v>155</v>
      </c>
      <c r="D1245" s="6" t="n">
        <v>239101</v>
      </c>
      <c r="E1245" s="5" t="s">
        <v>6207</v>
      </c>
      <c r="F1245" s="5" t="s">
        <v>6207</v>
      </c>
      <c r="G1245" s="11" t="s">
        <v>134</v>
      </c>
      <c r="H1245" s="11" t="s">
        <v>9065</v>
      </c>
    </row>
    <row r="1246" customFormat="false" ht="17.15" hidden="false" customHeight="false" outlineLevel="0" collapsed="false">
      <c r="A1246" s="11" t="s">
        <v>9066</v>
      </c>
      <c r="B1246" s="11" t="s">
        <v>6647</v>
      </c>
      <c r="C1246" s="5"/>
      <c r="D1246" s="6" t="n">
        <v>239061</v>
      </c>
      <c r="E1246" s="5" t="s">
        <v>6264</v>
      </c>
      <c r="F1246" s="5" t="s">
        <v>6648</v>
      </c>
      <c r="G1246" s="11" t="s">
        <v>6649</v>
      </c>
      <c r="H1246" s="11" t="s">
        <v>9067</v>
      </c>
    </row>
    <row r="1247" customFormat="false" ht="17.15" hidden="false" customHeight="false" outlineLevel="0" collapsed="false">
      <c r="A1247" s="11" t="s">
        <v>9068</v>
      </c>
      <c r="B1247" s="11" t="s">
        <v>402</v>
      </c>
      <c r="C1247" s="11" t="s">
        <v>150</v>
      </c>
      <c r="D1247" s="6" t="n">
        <v>238441</v>
      </c>
      <c r="E1247" s="5" t="s">
        <v>6207</v>
      </c>
      <c r="F1247" s="5" t="s">
        <v>6207</v>
      </c>
      <c r="G1247" s="11" t="s">
        <v>134</v>
      </c>
      <c r="H1247" s="11" t="s">
        <v>9069</v>
      </c>
    </row>
    <row r="1248" customFormat="false" ht="17.15" hidden="false" customHeight="false" outlineLevel="0" collapsed="false">
      <c r="A1248" s="11" t="s">
        <v>9070</v>
      </c>
      <c r="B1248" s="11" t="s">
        <v>9071</v>
      </c>
      <c r="C1248" s="11" t="s">
        <v>155</v>
      </c>
      <c r="D1248" s="6" t="n">
        <v>238131</v>
      </c>
      <c r="E1248" s="5" t="s">
        <v>6207</v>
      </c>
      <c r="F1248" s="5" t="s">
        <v>6207</v>
      </c>
      <c r="G1248" s="11" t="s">
        <v>134</v>
      </c>
      <c r="H1248" s="11" t="s">
        <v>9072</v>
      </c>
    </row>
    <row r="1249" customFormat="false" ht="17.15" hidden="false" customHeight="false" outlineLevel="0" collapsed="false">
      <c r="A1249" s="11" t="s">
        <v>9073</v>
      </c>
      <c r="B1249" s="11" t="s">
        <v>1635</v>
      </c>
      <c r="C1249" s="11" t="s">
        <v>162</v>
      </c>
      <c r="D1249" s="6" t="n">
        <v>238069</v>
      </c>
      <c r="E1249" s="5" t="s">
        <v>6207</v>
      </c>
      <c r="F1249" s="5" t="s">
        <v>6207</v>
      </c>
      <c r="G1249" s="11" t="s">
        <v>134</v>
      </c>
      <c r="H1249" s="11" t="s">
        <v>9074</v>
      </c>
    </row>
    <row r="1250" customFormat="false" ht="15" hidden="false" customHeight="false" outlineLevel="0" collapsed="false">
      <c r="A1250" s="11" t="s">
        <v>9075</v>
      </c>
      <c r="B1250" s="11" t="s">
        <v>9076</v>
      </c>
      <c r="C1250" s="11" t="s">
        <v>155</v>
      </c>
      <c r="D1250" s="6" t="n">
        <v>237933</v>
      </c>
      <c r="E1250" s="5" t="s">
        <v>6413</v>
      </c>
      <c r="F1250" s="5" t="s">
        <v>6413</v>
      </c>
      <c r="G1250" s="11" t="s">
        <v>128</v>
      </c>
      <c r="H1250" s="11" t="s">
        <v>9077</v>
      </c>
    </row>
    <row r="1251" customFormat="false" ht="17.15" hidden="false" customHeight="false" outlineLevel="0" collapsed="false">
      <c r="A1251" s="11" t="s">
        <v>9078</v>
      </c>
      <c r="B1251" s="11" t="s">
        <v>6457</v>
      </c>
      <c r="C1251" s="11" t="s">
        <v>161</v>
      </c>
      <c r="D1251" s="6" t="n">
        <v>237550</v>
      </c>
      <c r="E1251" s="5" t="s">
        <v>6264</v>
      </c>
      <c r="F1251" s="5" t="s">
        <v>6264</v>
      </c>
      <c r="G1251" s="11" t="s">
        <v>131</v>
      </c>
      <c r="H1251" s="11" t="s">
        <v>9079</v>
      </c>
    </row>
    <row r="1252" customFormat="false" ht="17.15" hidden="false" customHeight="false" outlineLevel="0" collapsed="false">
      <c r="A1252" s="11" t="s">
        <v>9080</v>
      </c>
      <c r="B1252" s="11" t="s">
        <v>681</v>
      </c>
      <c r="C1252" s="11" t="s">
        <v>189</v>
      </c>
      <c r="D1252" s="6" t="n">
        <v>236570</v>
      </c>
      <c r="E1252" s="5" t="s">
        <v>141</v>
      </c>
      <c r="F1252" s="5" t="s">
        <v>6495</v>
      </c>
      <c r="G1252" s="11" t="s">
        <v>6496</v>
      </c>
      <c r="H1252" s="11" t="s">
        <v>9081</v>
      </c>
    </row>
    <row r="1253" customFormat="false" ht="17.15" hidden="false" customHeight="false" outlineLevel="0" collapsed="false">
      <c r="A1253" s="11" t="s">
        <v>9082</v>
      </c>
      <c r="B1253" s="11" t="s">
        <v>9083</v>
      </c>
      <c r="C1253" s="11" t="s">
        <v>155</v>
      </c>
      <c r="D1253" s="6" t="n">
        <v>236543</v>
      </c>
      <c r="E1253" s="5" t="s">
        <v>6210</v>
      </c>
      <c r="F1253" s="5" t="s">
        <v>6210</v>
      </c>
      <c r="G1253" s="11" t="s">
        <v>137</v>
      </c>
      <c r="H1253" s="11" t="s">
        <v>9084</v>
      </c>
    </row>
    <row r="1254" customFormat="false" ht="17.15" hidden="false" customHeight="false" outlineLevel="0" collapsed="false">
      <c r="A1254" s="11" t="s">
        <v>9085</v>
      </c>
      <c r="B1254" s="11" t="s">
        <v>1728</v>
      </c>
      <c r="C1254" s="11" t="s">
        <v>162</v>
      </c>
      <c r="D1254" s="6" t="n">
        <v>236178</v>
      </c>
      <c r="E1254" s="5" t="s">
        <v>6207</v>
      </c>
      <c r="F1254" s="5" t="s">
        <v>6207</v>
      </c>
      <c r="G1254" s="11" t="s">
        <v>134</v>
      </c>
      <c r="H1254" s="11" t="s">
        <v>9086</v>
      </c>
    </row>
    <row r="1255" customFormat="false" ht="17.15" hidden="false" customHeight="false" outlineLevel="0" collapsed="false">
      <c r="A1255" s="11" t="s">
        <v>9087</v>
      </c>
      <c r="B1255" s="11" t="s">
        <v>8332</v>
      </c>
      <c r="C1255" s="11" t="s">
        <v>192</v>
      </c>
      <c r="D1255" s="6" t="n">
        <v>236022</v>
      </c>
      <c r="E1255" s="5" t="s">
        <v>6239</v>
      </c>
      <c r="F1255" s="5" t="s">
        <v>6239</v>
      </c>
      <c r="G1255" s="11" t="s">
        <v>143</v>
      </c>
      <c r="H1255" s="11" t="s">
        <v>9088</v>
      </c>
    </row>
    <row r="1256" customFormat="false" ht="17.15" hidden="false" customHeight="false" outlineLevel="0" collapsed="false">
      <c r="A1256" s="11" t="s">
        <v>9089</v>
      </c>
      <c r="B1256" s="11" t="s">
        <v>402</v>
      </c>
      <c r="C1256" s="11" t="s">
        <v>150</v>
      </c>
      <c r="D1256" s="6" t="n">
        <v>235409</v>
      </c>
      <c r="E1256" s="5" t="s">
        <v>6207</v>
      </c>
      <c r="F1256" s="5" t="s">
        <v>6207</v>
      </c>
      <c r="G1256" s="11" t="s">
        <v>134</v>
      </c>
      <c r="H1256" s="11" t="s">
        <v>9090</v>
      </c>
    </row>
    <row r="1257" customFormat="false" ht="17.15" hidden="false" customHeight="false" outlineLevel="0" collapsed="false">
      <c r="A1257" s="11" t="s">
        <v>9091</v>
      </c>
      <c r="B1257" s="11" t="s">
        <v>9092</v>
      </c>
      <c r="C1257" s="11" t="s">
        <v>155</v>
      </c>
      <c r="D1257" s="6" t="n">
        <v>235290</v>
      </c>
      <c r="E1257" s="5" t="s">
        <v>6207</v>
      </c>
      <c r="F1257" s="5" t="s">
        <v>6377</v>
      </c>
      <c r="G1257" s="11" t="s">
        <v>6378</v>
      </c>
      <c r="H1257" s="11" t="s">
        <v>9093</v>
      </c>
    </row>
    <row r="1258" customFormat="false" ht="15" hidden="false" customHeight="false" outlineLevel="0" collapsed="false">
      <c r="A1258" s="11" t="s">
        <v>9094</v>
      </c>
      <c r="B1258" s="11" t="s">
        <v>681</v>
      </c>
      <c r="C1258" s="11" t="s">
        <v>174</v>
      </c>
      <c r="D1258" s="6" t="n">
        <v>235261</v>
      </c>
      <c r="E1258" s="5" t="s">
        <v>141</v>
      </c>
      <c r="F1258" s="5" t="s">
        <v>141</v>
      </c>
      <c r="G1258" s="11" t="s">
        <v>140</v>
      </c>
      <c r="H1258" s="11" t="s">
        <v>9095</v>
      </c>
    </row>
    <row r="1259" customFormat="false" ht="15" hidden="false" customHeight="false" outlineLevel="0" collapsed="false">
      <c r="A1259" s="11" t="s">
        <v>9096</v>
      </c>
      <c r="B1259" s="11" t="s">
        <v>9097</v>
      </c>
      <c r="C1259" s="5"/>
      <c r="D1259" s="6" t="n">
        <v>235171</v>
      </c>
      <c r="E1259" s="5" t="s">
        <v>6227</v>
      </c>
      <c r="F1259" s="5" t="s">
        <v>6227</v>
      </c>
      <c r="G1259" s="11" t="s">
        <v>134</v>
      </c>
      <c r="H1259" s="11" t="s">
        <v>9098</v>
      </c>
    </row>
    <row r="1260" customFormat="false" ht="17.15" hidden="false" customHeight="false" outlineLevel="0" collapsed="false">
      <c r="A1260" s="11" t="s">
        <v>9099</v>
      </c>
      <c r="B1260" s="11" t="s">
        <v>9100</v>
      </c>
      <c r="C1260" s="11" t="s">
        <v>153</v>
      </c>
      <c r="D1260" s="6" t="n">
        <v>235057</v>
      </c>
      <c r="E1260" s="5" t="s">
        <v>6210</v>
      </c>
      <c r="F1260" s="5" t="s">
        <v>6210</v>
      </c>
      <c r="G1260" s="11" t="s">
        <v>137</v>
      </c>
      <c r="H1260" s="11" t="s">
        <v>9101</v>
      </c>
    </row>
    <row r="1261" customFormat="false" ht="17.15" hidden="false" customHeight="false" outlineLevel="0" collapsed="false">
      <c r="A1261" s="11" t="s">
        <v>9102</v>
      </c>
      <c r="B1261" s="11" t="s">
        <v>9103</v>
      </c>
      <c r="C1261" s="11" t="s">
        <v>153</v>
      </c>
      <c r="D1261" s="6" t="n">
        <v>234153</v>
      </c>
      <c r="E1261" s="5" t="s">
        <v>6210</v>
      </c>
      <c r="F1261" s="5" t="s">
        <v>6210</v>
      </c>
      <c r="G1261" s="11" t="s">
        <v>137</v>
      </c>
      <c r="H1261" s="11" t="s">
        <v>9104</v>
      </c>
    </row>
    <row r="1262" customFormat="false" ht="17.15" hidden="false" customHeight="false" outlineLevel="0" collapsed="false">
      <c r="A1262" s="11" t="s">
        <v>9105</v>
      </c>
      <c r="B1262" s="11" t="s">
        <v>1381</v>
      </c>
      <c r="C1262" s="11" t="s">
        <v>155</v>
      </c>
      <c r="D1262" s="6" t="n">
        <v>233707</v>
      </c>
      <c r="E1262" s="5" t="s">
        <v>6207</v>
      </c>
      <c r="F1262" s="5" t="s">
        <v>6207</v>
      </c>
      <c r="G1262" s="11" t="s">
        <v>134</v>
      </c>
      <c r="H1262" s="11" t="s">
        <v>9106</v>
      </c>
    </row>
    <row r="1263" customFormat="false" ht="17.15" hidden="false" customHeight="false" outlineLevel="0" collapsed="false">
      <c r="A1263" s="11" t="s">
        <v>9107</v>
      </c>
      <c r="B1263" s="11" t="s">
        <v>2481</v>
      </c>
      <c r="C1263" s="11" t="s">
        <v>150</v>
      </c>
      <c r="D1263" s="6" t="n">
        <v>233559</v>
      </c>
      <c r="E1263" s="5" t="s">
        <v>6207</v>
      </c>
      <c r="F1263" s="5" t="s">
        <v>6207</v>
      </c>
      <c r="G1263" s="11" t="s">
        <v>134</v>
      </c>
      <c r="H1263" s="11" t="s">
        <v>9108</v>
      </c>
    </row>
    <row r="1264" customFormat="false" ht="17.15" hidden="false" customHeight="false" outlineLevel="0" collapsed="false">
      <c r="A1264" s="11" t="s">
        <v>9109</v>
      </c>
      <c r="B1264" s="11" t="s">
        <v>6647</v>
      </c>
      <c r="C1264" s="11" t="s">
        <v>175</v>
      </c>
      <c r="D1264" s="6" t="n">
        <v>233363</v>
      </c>
      <c r="E1264" s="5" t="s">
        <v>6264</v>
      </c>
      <c r="F1264" s="5" t="s">
        <v>6648</v>
      </c>
      <c r="G1264" s="11" t="s">
        <v>6649</v>
      </c>
      <c r="H1264" s="11" t="s">
        <v>9110</v>
      </c>
    </row>
    <row r="1265" customFormat="false" ht="17.15" hidden="false" customHeight="false" outlineLevel="0" collapsed="false">
      <c r="A1265" s="11" t="s">
        <v>9111</v>
      </c>
      <c r="B1265" s="11" t="s">
        <v>9112</v>
      </c>
      <c r="C1265" s="11" t="s">
        <v>149</v>
      </c>
      <c r="D1265" s="6" t="n">
        <v>233000</v>
      </c>
      <c r="E1265" s="5" t="s">
        <v>6207</v>
      </c>
      <c r="F1265" s="5" t="s">
        <v>6207</v>
      </c>
      <c r="G1265" s="11" t="s">
        <v>134</v>
      </c>
      <c r="H1265" s="11" t="s">
        <v>9113</v>
      </c>
    </row>
    <row r="1266" customFormat="false" ht="17.15" hidden="false" customHeight="false" outlineLevel="0" collapsed="false">
      <c r="A1266" s="11" t="s">
        <v>9114</v>
      </c>
      <c r="B1266" s="11" t="s">
        <v>9115</v>
      </c>
      <c r="C1266" s="5"/>
      <c r="D1266" s="6" t="n">
        <v>232495</v>
      </c>
      <c r="E1266" s="5" t="s">
        <v>6207</v>
      </c>
      <c r="F1266" s="5" t="s">
        <v>6207</v>
      </c>
      <c r="G1266" s="11" t="s">
        <v>134</v>
      </c>
      <c r="H1266" s="11" t="s">
        <v>9116</v>
      </c>
    </row>
    <row r="1267" customFormat="false" ht="17.15" hidden="false" customHeight="false" outlineLevel="0" collapsed="false">
      <c r="A1267" s="11" t="s">
        <v>9117</v>
      </c>
      <c r="B1267" s="11" t="s">
        <v>2557</v>
      </c>
      <c r="C1267" s="11" t="s">
        <v>168</v>
      </c>
      <c r="D1267" s="6" t="n">
        <v>232150</v>
      </c>
      <c r="E1267" s="5" t="s">
        <v>6207</v>
      </c>
      <c r="F1267" s="5" t="s">
        <v>6207</v>
      </c>
      <c r="G1267" s="11" t="s">
        <v>134</v>
      </c>
      <c r="H1267" s="11" t="s">
        <v>9118</v>
      </c>
    </row>
    <row r="1268" customFormat="false" ht="17.15" hidden="false" customHeight="false" outlineLevel="0" collapsed="false">
      <c r="A1268" s="11" t="s">
        <v>9119</v>
      </c>
      <c r="B1268" s="11" t="s">
        <v>6464</v>
      </c>
      <c r="C1268" s="11" t="s">
        <v>192</v>
      </c>
      <c r="D1268" s="6" t="n">
        <v>231636</v>
      </c>
      <c r="E1268" s="5" t="s">
        <v>6239</v>
      </c>
      <c r="F1268" s="5" t="s">
        <v>6239</v>
      </c>
      <c r="G1268" s="11" t="s">
        <v>143</v>
      </c>
      <c r="H1268" s="11" t="s">
        <v>9120</v>
      </c>
    </row>
    <row r="1269" customFormat="false" ht="17.15" hidden="false" customHeight="false" outlineLevel="0" collapsed="false">
      <c r="A1269" s="11" t="s">
        <v>9121</v>
      </c>
      <c r="B1269" s="11" t="s">
        <v>1381</v>
      </c>
      <c r="C1269" s="11" t="s">
        <v>155</v>
      </c>
      <c r="D1269" s="6" t="n">
        <v>231374</v>
      </c>
      <c r="E1269" s="5" t="s">
        <v>6207</v>
      </c>
      <c r="F1269" s="5" t="s">
        <v>6207</v>
      </c>
      <c r="G1269" s="11" t="s">
        <v>134</v>
      </c>
      <c r="H1269" s="11" t="s">
        <v>9122</v>
      </c>
    </row>
    <row r="1270" customFormat="false" ht="15" hidden="false" customHeight="false" outlineLevel="0" collapsed="false">
      <c r="A1270" s="11" t="s">
        <v>9123</v>
      </c>
      <c r="B1270" s="11" t="s">
        <v>9124</v>
      </c>
      <c r="C1270" s="11" t="s">
        <v>155</v>
      </c>
      <c r="D1270" s="6" t="n">
        <v>231258</v>
      </c>
      <c r="E1270" s="5" t="s">
        <v>6413</v>
      </c>
      <c r="F1270" s="5" t="s">
        <v>6413</v>
      </c>
      <c r="G1270" s="11" t="s">
        <v>128</v>
      </c>
      <c r="H1270" s="11" t="s">
        <v>9125</v>
      </c>
    </row>
    <row r="1271" customFormat="false" ht="15" hidden="false" customHeight="false" outlineLevel="0" collapsed="false">
      <c r="A1271" s="11" t="s">
        <v>9126</v>
      </c>
      <c r="B1271" s="11" t="s">
        <v>2693</v>
      </c>
      <c r="C1271" s="11" t="s">
        <v>172</v>
      </c>
      <c r="D1271" s="6" t="n">
        <v>230570</v>
      </c>
      <c r="E1271" s="5" t="s">
        <v>141</v>
      </c>
      <c r="F1271" s="5" t="s">
        <v>141</v>
      </c>
      <c r="G1271" s="11" t="s">
        <v>140</v>
      </c>
      <c r="H1271" s="11" t="s">
        <v>9127</v>
      </c>
    </row>
    <row r="1272" customFormat="false" ht="17.15" hidden="false" customHeight="false" outlineLevel="0" collapsed="false">
      <c r="A1272" s="11" t="s">
        <v>9128</v>
      </c>
      <c r="B1272" s="11" t="s">
        <v>402</v>
      </c>
      <c r="C1272" s="11" t="s">
        <v>150</v>
      </c>
      <c r="D1272" s="6" t="n">
        <v>229898</v>
      </c>
      <c r="E1272" s="5" t="s">
        <v>6207</v>
      </c>
      <c r="F1272" s="5" t="s">
        <v>6207</v>
      </c>
      <c r="G1272" s="11" t="s">
        <v>134</v>
      </c>
      <c r="H1272" s="11" t="s">
        <v>9129</v>
      </c>
    </row>
    <row r="1273" customFormat="false" ht="17.15" hidden="false" customHeight="false" outlineLevel="0" collapsed="false">
      <c r="A1273" s="11" t="s">
        <v>9130</v>
      </c>
      <c r="B1273" s="11" t="s">
        <v>6647</v>
      </c>
      <c r="C1273" s="11" t="s">
        <v>155</v>
      </c>
      <c r="D1273" s="6" t="n">
        <v>229725</v>
      </c>
      <c r="E1273" s="5" t="s">
        <v>6264</v>
      </c>
      <c r="F1273" s="5" t="s">
        <v>6264</v>
      </c>
      <c r="G1273" s="11" t="s">
        <v>131</v>
      </c>
      <c r="H1273" s="11" t="s">
        <v>9131</v>
      </c>
    </row>
    <row r="1274" customFormat="false" ht="17.15" hidden="false" customHeight="false" outlineLevel="0" collapsed="false">
      <c r="A1274" s="11" t="s">
        <v>9132</v>
      </c>
      <c r="B1274" s="11" t="s">
        <v>402</v>
      </c>
      <c r="C1274" s="11" t="s">
        <v>150</v>
      </c>
      <c r="D1274" s="6" t="n">
        <v>229474</v>
      </c>
      <c r="E1274" s="5" t="s">
        <v>6207</v>
      </c>
      <c r="F1274" s="5" t="s">
        <v>6207</v>
      </c>
      <c r="G1274" s="11" t="s">
        <v>134</v>
      </c>
      <c r="H1274" s="11" t="s">
        <v>9133</v>
      </c>
    </row>
    <row r="1275" customFormat="false" ht="17.15" hidden="false" customHeight="false" outlineLevel="0" collapsed="false">
      <c r="A1275" s="11" t="s">
        <v>9134</v>
      </c>
      <c r="B1275" s="11" t="s">
        <v>9135</v>
      </c>
      <c r="C1275" s="11" t="s">
        <v>153</v>
      </c>
      <c r="D1275" s="6" t="n">
        <v>229355</v>
      </c>
      <c r="E1275" s="5" t="s">
        <v>6210</v>
      </c>
      <c r="F1275" s="5" t="s">
        <v>6210</v>
      </c>
      <c r="G1275" s="11" t="s">
        <v>137</v>
      </c>
      <c r="H1275" s="11" t="s">
        <v>9136</v>
      </c>
    </row>
    <row r="1276" customFormat="false" ht="17.15" hidden="false" customHeight="false" outlineLevel="0" collapsed="false">
      <c r="A1276" s="11" t="s">
        <v>9137</v>
      </c>
      <c r="B1276" s="11" t="s">
        <v>9138</v>
      </c>
      <c r="C1276" s="11" t="s">
        <v>155</v>
      </c>
      <c r="D1276" s="6" t="n">
        <v>228555</v>
      </c>
      <c r="E1276" s="5" t="s">
        <v>6210</v>
      </c>
      <c r="F1276" s="5" t="s">
        <v>6210</v>
      </c>
      <c r="G1276" s="11" t="s">
        <v>137</v>
      </c>
      <c r="H1276" s="11" t="s">
        <v>9139</v>
      </c>
    </row>
    <row r="1277" customFormat="false" ht="17.15" hidden="false" customHeight="false" outlineLevel="0" collapsed="false">
      <c r="A1277" s="11" t="s">
        <v>9140</v>
      </c>
      <c r="B1277" s="11" t="s">
        <v>8420</v>
      </c>
      <c r="C1277" s="11" t="s">
        <v>149</v>
      </c>
      <c r="D1277" s="6" t="n">
        <v>228305</v>
      </c>
      <c r="E1277" s="5" t="s">
        <v>6207</v>
      </c>
      <c r="F1277" s="5" t="s">
        <v>6207</v>
      </c>
      <c r="G1277" s="11" t="s">
        <v>134</v>
      </c>
      <c r="H1277" s="11" t="s">
        <v>9141</v>
      </c>
    </row>
    <row r="1278" customFormat="false" ht="17.15" hidden="false" customHeight="false" outlineLevel="0" collapsed="false">
      <c r="A1278" s="11" t="s">
        <v>9142</v>
      </c>
      <c r="B1278" s="11" t="s">
        <v>681</v>
      </c>
      <c r="C1278" s="5"/>
      <c r="D1278" s="6" t="n">
        <v>227960</v>
      </c>
      <c r="E1278" s="5" t="s">
        <v>6207</v>
      </c>
      <c r="F1278" s="5" t="s">
        <v>6207</v>
      </c>
      <c r="G1278" s="11" t="s">
        <v>134</v>
      </c>
      <c r="H1278" s="11" t="s">
        <v>9143</v>
      </c>
    </row>
    <row r="1279" customFormat="false" ht="17.15" hidden="false" customHeight="false" outlineLevel="0" collapsed="false">
      <c r="A1279" s="11" t="s">
        <v>9144</v>
      </c>
      <c r="B1279" s="11" t="s">
        <v>368</v>
      </c>
      <c r="C1279" s="11" t="s">
        <v>161</v>
      </c>
      <c r="D1279" s="6" t="n">
        <v>227382</v>
      </c>
      <c r="E1279" s="5" t="s">
        <v>6207</v>
      </c>
      <c r="F1279" s="5" t="s">
        <v>6207</v>
      </c>
      <c r="G1279" s="11" t="s">
        <v>134</v>
      </c>
      <c r="H1279" s="11" t="s">
        <v>9145</v>
      </c>
    </row>
    <row r="1280" customFormat="false" ht="17.15" hidden="false" customHeight="false" outlineLevel="0" collapsed="false">
      <c r="A1280" s="11" t="s">
        <v>9146</v>
      </c>
      <c r="B1280" s="11" t="s">
        <v>8401</v>
      </c>
      <c r="C1280" s="11" t="s">
        <v>192</v>
      </c>
      <c r="D1280" s="6" t="n">
        <v>227159</v>
      </c>
      <c r="E1280" s="5" t="s">
        <v>6239</v>
      </c>
      <c r="F1280" s="5" t="s">
        <v>6239</v>
      </c>
      <c r="G1280" s="11" t="s">
        <v>143</v>
      </c>
      <c r="H1280" s="11" t="s">
        <v>9147</v>
      </c>
    </row>
    <row r="1281" customFormat="false" ht="17.15" hidden="false" customHeight="false" outlineLevel="0" collapsed="false">
      <c r="A1281" s="11" t="s">
        <v>9148</v>
      </c>
      <c r="B1281" s="11" t="s">
        <v>402</v>
      </c>
      <c r="C1281" s="11" t="s">
        <v>150</v>
      </c>
      <c r="D1281" s="6" t="n">
        <v>227114</v>
      </c>
      <c r="E1281" s="5" t="s">
        <v>6207</v>
      </c>
      <c r="F1281" s="5" t="s">
        <v>6207</v>
      </c>
      <c r="G1281" s="11" t="s">
        <v>134</v>
      </c>
      <c r="H1281" s="11" t="s">
        <v>9149</v>
      </c>
    </row>
    <row r="1282" customFormat="false" ht="15" hidden="false" customHeight="false" outlineLevel="0" collapsed="false">
      <c r="A1282" s="11" t="s">
        <v>9150</v>
      </c>
      <c r="B1282" s="11" t="s">
        <v>989</v>
      </c>
      <c r="C1282" s="11" t="s">
        <v>155</v>
      </c>
      <c r="D1282" s="6" t="n">
        <v>226698</v>
      </c>
      <c r="E1282" s="5" t="s">
        <v>6413</v>
      </c>
      <c r="F1282" s="5" t="s">
        <v>6413</v>
      </c>
      <c r="G1282" s="11" t="s">
        <v>128</v>
      </c>
      <c r="H1282" s="11" t="s">
        <v>9151</v>
      </c>
    </row>
    <row r="1283" customFormat="false" ht="17.15" hidden="false" customHeight="false" outlineLevel="0" collapsed="false">
      <c r="A1283" s="11" t="s">
        <v>9152</v>
      </c>
      <c r="B1283" s="11" t="s">
        <v>8169</v>
      </c>
      <c r="C1283" s="11" t="s">
        <v>174</v>
      </c>
      <c r="D1283" s="6" t="n">
        <v>226631</v>
      </c>
      <c r="E1283" s="5" t="s">
        <v>6207</v>
      </c>
      <c r="F1283" s="5" t="s">
        <v>6207</v>
      </c>
      <c r="G1283" s="11" t="s">
        <v>134</v>
      </c>
      <c r="H1283" s="11" t="s">
        <v>9153</v>
      </c>
    </row>
    <row r="1284" customFormat="false" ht="17.15" hidden="false" customHeight="false" outlineLevel="0" collapsed="false">
      <c r="A1284" s="11" t="s">
        <v>9154</v>
      </c>
      <c r="B1284" s="11" t="s">
        <v>7441</v>
      </c>
      <c r="C1284" s="11" t="s">
        <v>162</v>
      </c>
      <c r="D1284" s="6" t="n">
        <v>226488</v>
      </c>
      <c r="E1284" s="5" t="s">
        <v>6207</v>
      </c>
      <c r="F1284" s="5" t="s">
        <v>6207</v>
      </c>
      <c r="G1284" s="11" t="s">
        <v>134</v>
      </c>
      <c r="H1284" s="11" t="s">
        <v>9155</v>
      </c>
    </row>
    <row r="1285" customFormat="false" ht="17.15" hidden="false" customHeight="false" outlineLevel="0" collapsed="false">
      <c r="A1285" s="11" t="s">
        <v>9156</v>
      </c>
      <c r="B1285" s="11" t="s">
        <v>9157</v>
      </c>
      <c r="C1285" s="11" t="s">
        <v>177</v>
      </c>
      <c r="D1285" s="6" t="n">
        <v>225971</v>
      </c>
      <c r="E1285" s="5" t="s">
        <v>6207</v>
      </c>
      <c r="F1285" s="5" t="s">
        <v>6207</v>
      </c>
      <c r="G1285" s="11" t="s">
        <v>134</v>
      </c>
      <c r="H1285" s="11" t="s">
        <v>9158</v>
      </c>
    </row>
    <row r="1286" customFormat="false" ht="17.15" hidden="false" customHeight="false" outlineLevel="0" collapsed="false">
      <c r="A1286" s="11" t="s">
        <v>9159</v>
      </c>
      <c r="B1286" s="11" t="s">
        <v>402</v>
      </c>
      <c r="C1286" s="11" t="s">
        <v>150</v>
      </c>
      <c r="D1286" s="6" t="n">
        <v>225848</v>
      </c>
      <c r="E1286" s="5" t="s">
        <v>6207</v>
      </c>
      <c r="F1286" s="5" t="s">
        <v>6207</v>
      </c>
      <c r="G1286" s="11" t="s">
        <v>134</v>
      </c>
      <c r="H1286" s="11" t="s">
        <v>9160</v>
      </c>
    </row>
    <row r="1287" customFormat="false" ht="17.15" hidden="false" customHeight="false" outlineLevel="0" collapsed="false">
      <c r="A1287" s="11" t="s">
        <v>9161</v>
      </c>
      <c r="B1287" s="11" t="s">
        <v>402</v>
      </c>
      <c r="C1287" s="11" t="s">
        <v>150</v>
      </c>
      <c r="D1287" s="6" t="n">
        <v>224781</v>
      </c>
      <c r="E1287" s="5" t="s">
        <v>6207</v>
      </c>
      <c r="F1287" s="5" t="s">
        <v>6207</v>
      </c>
      <c r="G1287" s="11" t="s">
        <v>134</v>
      </c>
      <c r="H1287" s="11" t="s">
        <v>9162</v>
      </c>
    </row>
    <row r="1288" customFormat="false" ht="17.15" hidden="false" customHeight="false" outlineLevel="0" collapsed="false">
      <c r="A1288" s="11" t="s">
        <v>9163</v>
      </c>
      <c r="B1288" s="11" t="s">
        <v>7545</v>
      </c>
      <c r="C1288" s="11" t="s">
        <v>192</v>
      </c>
      <c r="D1288" s="6" t="n">
        <v>224129</v>
      </c>
      <c r="E1288" s="5" t="s">
        <v>6239</v>
      </c>
      <c r="F1288" s="5" t="s">
        <v>6239</v>
      </c>
      <c r="G1288" s="11" t="s">
        <v>143</v>
      </c>
      <c r="H1288" s="11" t="s">
        <v>9164</v>
      </c>
    </row>
    <row r="1289" customFormat="false" ht="17.15" hidden="false" customHeight="false" outlineLevel="0" collapsed="false">
      <c r="A1289" s="11" t="s">
        <v>9165</v>
      </c>
      <c r="B1289" s="11" t="s">
        <v>402</v>
      </c>
      <c r="C1289" s="11" t="s">
        <v>150</v>
      </c>
      <c r="D1289" s="6" t="n">
        <v>224107</v>
      </c>
      <c r="E1289" s="5" t="s">
        <v>6207</v>
      </c>
      <c r="F1289" s="5" t="s">
        <v>6207</v>
      </c>
      <c r="G1289" s="11" t="s">
        <v>134</v>
      </c>
      <c r="H1289" s="11" t="s">
        <v>9166</v>
      </c>
    </row>
    <row r="1290" customFormat="false" ht="17.15" hidden="false" customHeight="false" outlineLevel="0" collapsed="false">
      <c r="A1290" s="11" t="s">
        <v>9167</v>
      </c>
      <c r="B1290" s="11" t="s">
        <v>681</v>
      </c>
      <c r="C1290" s="5"/>
      <c r="D1290" s="6" t="n">
        <v>224060</v>
      </c>
      <c r="E1290" s="5" t="s">
        <v>6207</v>
      </c>
      <c r="F1290" s="5" t="s">
        <v>6377</v>
      </c>
      <c r="G1290" s="11" t="s">
        <v>6378</v>
      </c>
      <c r="H1290" s="11" t="s">
        <v>9168</v>
      </c>
    </row>
    <row r="1291" customFormat="false" ht="17.15" hidden="false" customHeight="false" outlineLevel="0" collapsed="false">
      <c r="A1291" s="11" t="s">
        <v>9169</v>
      </c>
      <c r="B1291" s="11" t="s">
        <v>8696</v>
      </c>
      <c r="C1291" s="11" t="s">
        <v>149</v>
      </c>
      <c r="D1291" s="6" t="n">
        <v>224038</v>
      </c>
      <c r="E1291" s="5" t="s">
        <v>6207</v>
      </c>
      <c r="F1291" s="5" t="s">
        <v>6207</v>
      </c>
      <c r="G1291" s="11" t="s">
        <v>134</v>
      </c>
      <c r="H1291" s="11" t="s">
        <v>9170</v>
      </c>
    </row>
    <row r="1292" customFormat="false" ht="17.15" hidden="false" customHeight="false" outlineLevel="0" collapsed="false">
      <c r="A1292" s="11" t="s">
        <v>9171</v>
      </c>
      <c r="B1292" s="11" t="s">
        <v>9172</v>
      </c>
      <c r="C1292" s="11" t="s">
        <v>192</v>
      </c>
      <c r="D1292" s="6" t="n">
        <v>223607</v>
      </c>
      <c r="E1292" s="5" t="s">
        <v>6239</v>
      </c>
      <c r="F1292" s="5" t="s">
        <v>6239</v>
      </c>
      <c r="G1292" s="11" t="s">
        <v>143</v>
      </c>
      <c r="H1292" s="11" t="s">
        <v>9173</v>
      </c>
    </row>
    <row r="1293" customFormat="false" ht="15" hidden="false" customHeight="false" outlineLevel="0" collapsed="false">
      <c r="A1293" s="11" t="s">
        <v>9174</v>
      </c>
      <c r="B1293" s="11" t="s">
        <v>6801</v>
      </c>
      <c r="C1293" s="5"/>
      <c r="D1293" s="6" t="n">
        <v>222982</v>
      </c>
      <c r="E1293" s="5" t="s">
        <v>6227</v>
      </c>
      <c r="F1293" s="5" t="s">
        <v>6227</v>
      </c>
      <c r="G1293" s="11" t="s">
        <v>134</v>
      </c>
      <c r="H1293" s="11" t="s">
        <v>9175</v>
      </c>
    </row>
    <row r="1294" customFormat="false" ht="17.15" hidden="false" customHeight="false" outlineLevel="0" collapsed="false">
      <c r="A1294" s="11" t="s">
        <v>9176</v>
      </c>
      <c r="B1294" s="11" t="s">
        <v>1214</v>
      </c>
      <c r="C1294" s="11" t="s">
        <v>192</v>
      </c>
      <c r="D1294" s="6" t="n">
        <v>222433</v>
      </c>
      <c r="E1294" s="5" t="s">
        <v>6239</v>
      </c>
      <c r="F1294" s="5" t="s">
        <v>6239</v>
      </c>
      <c r="G1294" s="11" t="s">
        <v>143</v>
      </c>
      <c r="H1294" s="11" t="s">
        <v>9177</v>
      </c>
    </row>
    <row r="1295" customFormat="false" ht="17.15" hidden="false" customHeight="false" outlineLevel="0" collapsed="false">
      <c r="A1295" s="11" t="s">
        <v>9178</v>
      </c>
      <c r="B1295" s="11" t="s">
        <v>9179</v>
      </c>
      <c r="C1295" s="11" t="s">
        <v>189</v>
      </c>
      <c r="D1295" s="6" t="n">
        <v>222135</v>
      </c>
      <c r="E1295" s="5" t="s">
        <v>6239</v>
      </c>
      <c r="F1295" s="5" t="s">
        <v>6239</v>
      </c>
      <c r="G1295" s="11" t="s">
        <v>143</v>
      </c>
      <c r="H1295" s="11" t="s">
        <v>9180</v>
      </c>
    </row>
    <row r="1296" customFormat="false" ht="17.15" hidden="false" customHeight="false" outlineLevel="0" collapsed="false">
      <c r="A1296" s="11" t="s">
        <v>9181</v>
      </c>
      <c r="B1296" s="11" t="s">
        <v>402</v>
      </c>
      <c r="C1296" s="11" t="s">
        <v>150</v>
      </c>
      <c r="D1296" s="6" t="n">
        <v>222109</v>
      </c>
      <c r="E1296" s="5" t="s">
        <v>6207</v>
      </c>
      <c r="F1296" s="5" t="s">
        <v>6207</v>
      </c>
      <c r="G1296" s="11" t="s">
        <v>134</v>
      </c>
      <c r="H1296" s="11" t="s">
        <v>9182</v>
      </c>
    </row>
    <row r="1297" customFormat="false" ht="17.15" hidden="false" customHeight="false" outlineLevel="0" collapsed="false">
      <c r="A1297" s="11" t="s">
        <v>9183</v>
      </c>
      <c r="B1297" s="11" t="s">
        <v>6647</v>
      </c>
      <c r="C1297" s="11" t="s">
        <v>155</v>
      </c>
      <c r="D1297" s="6" t="n">
        <v>221740</v>
      </c>
      <c r="E1297" s="5" t="s">
        <v>6264</v>
      </c>
      <c r="F1297" s="5" t="s">
        <v>6264</v>
      </c>
      <c r="G1297" s="11" t="s">
        <v>131</v>
      </c>
      <c r="H1297" s="11" t="s">
        <v>9184</v>
      </c>
    </row>
    <row r="1298" customFormat="false" ht="17.15" hidden="false" customHeight="false" outlineLevel="0" collapsed="false">
      <c r="A1298" s="11" t="s">
        <v>9185</v>
      </c>
      <c r="B1298" s="11" t="s">
        <v>9186</v>
      </c>
      <c r="C1298" s="11" t="s">
        <v>153</v>
      </c>
      <c r="D1298" s="6" t="n">
        <v>221297</v>
      </c>
      <c r="E1298" s="5" t="s">
        <v>6207</v>
      </c>
      <c r="F1298" s="5" t="s">
        <v>6207</v>
      </c>
      <c r="G1298" s="11" t="s">
        <v>134</v>
      </c>
      <c r="H1298" s="11" t="s">
        <v>9187</v>
      </c>
    </row>
    <row r="1299" customFormat="false" ht="17.15" hidden="false" customHeight="false" outlineLevel="0" collapsed="false">
      <c r="A1299" s="11" t="s">
        <v>9188</v>
      </c>
      <c r="B1299" s="11" t="s">
        <v>6503</v>
      </c>
      <c r="C1299" s="11" t="s">
        <v>192</v>
      </c>
      <c r="D1299" s="6" t="n">
        <v>221284</v>
      </c>
      <c r="E1299" s="5" t="s">
        <v>6239</v>
      </c>
      <c r="F1299" s="5" t="s">
        <v>6239</v>
      </c>
      <c r="G1299" s="11" t="s">
        <v>143</v>
      </c>
      <c r="H1299" s="11" t="s">
        <v>9189</v>
      </c>
    </row>
    <row r="1300" customFormat="false" ht="17.15" hidden="false" customHeight="false" outlineLevel="0" collapsed="false">
      <c r="A1300" s="11" t="s">
        <v>9190</v>
      </c>
      <c r="B1300" s="11" t="s">
        <v>8911</v>
      </c>
      <c r="C1300" s="11" t="s">
        <v>197</v>
      </c>
      <c r="D1300" s="6" t="n">
        <v>221229</v>
      </c>
      <c r="E1300" s="5" t="s">
        <v>6239</v>
      </c>
      <c r="F1300" s="5" t="s">
        <v>6239</v>
      </c>
      <c r="G1300" s="11" t="s">
        <v>143</v>
      </c>
      <c r="H1300" s="11" t="s">
        <v>9191</v>
      </c>
    </row>
    <row r="1301" customFormat="false" ht="17.15" hidden="false" customHeight="false" outlineLevel="0" collapsed="false">
      <c r="A1301" s="11" t="s">
        <v>9192</v>
      </c>
      <c r="B1301" s="11" t="s">
        <v>8407</v>
      </c>
      <c r="C1301" s="11" t="s">
        <v>193</v>
      </c>
      <c r="D1301" s="6" t="n">
        <v>220981</v>
      </c>
      <c r="E1301" s="5" t="s">
        <v>6239</v>
      </c>
      <c r="F1301" s="5" t="s">
        <v>6239</v>
      </c>
      <c r="G1301" s="11" t="s">
        <v>143</v>
      </c>
      <c r="H1301" s="11" t="s">
        <v>9193</v>
      </c>
    </row>
    <row r="1302" customFormat="false" ht="15" hidden="false" customHeight="false" outlineLevel="0" collapsed="false">
      <c r="A1302" s="11" t="s">
        <v>9194</v>
      </c>
      <c r="B1302" s="11" t="s">
        <v>9195</v>
      </c>
      <c r="C1302" s="11" t="s">
        <v>155</v>
      </c>
      <c r="D1302" s="6" t="n">
        <v>220719</v>
      </c>
      <c r="E1302" s="5" t="s">
        <v>6413</v>
      </c>
      <c r="F1302" s="5" t="s">
        <v>6413</v>
      </c>
      <c r="G1302" s="11" t="s">
        <v>128</v>
      </c>
      <c r="H1302" s="11" t="s">
        <v>9196</v>
      </c>
    </row>
    <row r="1303" customFormat="false" ht="15" hidden="false" customHeight="false" outlineLevel="0" collapsed="false">
      <c r="A1303" s="11" t="s">
        <v>9197</v>
      </c>
      <c r="B1303" s="11" t="s">
        <v>839</v>
      </c>
      <c r="C1303" s="11" t="s">
        <v>158</v>
      </c>
      <c r="D1303" s="6" t="n">
        <v>219992</v>
      </c>
      <c r="E1303" s="5" t="s">
        <v>141</v>
      </c>
      <c r="F1303" s="5" t="s">
        <v>141</v>
      </c>
      <c r="G1303" s="11" t="s">
        <v>140</v>
      </c>
      <c r="H1303" s="11" t="s">
        <v>9198</v>
      </c>
    </row>
    <row r="1304" customFormat="false" ht="17.15" hidden="false" customHeight="false" outlineLevel="0" collapsed="false">
      <c r="A1304" s="11" t="s">
        <v>9199</v>
      </c>
      <c r="B1304" s="11" t="s">
        <v>5450</v>
      </c>
      <c r="C1304" s="11" t="s">
        <v>162</v>
      </c>
      <c r="D1304" s="6" t="n">
        <v>219393</v>
      </c>
      <c r="E1304" s="5" t="s">
        <v>6207</v>
      </c>
      <c r="F1304" s="5" t="s">
        <v>6207</v>
      </c>
      <c r="G1304" s="11" t="s">
        <v>134</v>
      </c>
      <c r="H1304" s="11" t="s">
        <v>9200</v>
      </c>
    </row>
    <row r="1305" customFormat="false" ht="17.15" hidden="false" customHeight="false" outlineLevel="0" collapsed="false">
      <c r="A1305" s="11" t="s">
        <v>9201</v>
      </c>
      <c r="B1305" s="11" t="s">
        <v>402</v>
      </c>
      <c r="C1305" s="11" t="s">
        <v>150</v>
      </c>
      <c r="D1305" s="6" t="n">
        <v>217250</v>
      </c>
      <c r="E1305" s="5" t="s">
        <v>6207</v>
      </c>
      <c r="F1305" s="5" t="s">
        <v>6207</v>
      </c>
      <c r="G1305" s="11" t="s">
        <v>134</v>
      </c>
      <c r="H1305" s="11" t="s">
        <v>9202</v>
      </c>
    </row>
    <row r="1306" customFormat="false" ht="17.15" hidden="false" customHeight="false" outlineLevel="0" collapsed="false">
      <c r="A1306" s="11" t="s">
        <v>9203</v>
      </c>
      <c r="B1306" s="11" t="s">
        <v>9204</v>
      </c>
      <c r="C1306" s="11" t="s">
        <v>149</v>
      </c>
      <c r="D1306" s="6" t="n">
        <v>217116</v>
      </c>
      <c r="E1306" s="5" t="s">
        <v>6207</v>
      </c>
      <c r="F1306" s="5" t="s">
        <v>6207</v>
      </c>
      <c r="G1306" s="11" t="s">
        <v>134</v>
      </c>
      <c r="H1306" s="11" t="s">
        <v>9205</v>
      </c>
    </row>
    <row r="1307" customFormat="false" ht="17.15" hidden="false" customHeight="false" outlineLevel="0" collapsed="false">
      <c r="A1307" s="11" t="s">
        <v>9206</v>
      </c>
      <c r="B1307" s="11" t="s">
        <v>9207</v>
      </c>
      <c r="C1307" s="11" t="s">
        <v>155</v>
      </c>
      <c r="D1307" s="6" t="n">
        <v>216933</v>
      </c>
      <c r="E1307" s="5" t="s">
        <v>6207</v>
      </c>
      <c r="F1307" s="5" t="s">
        <v>6207</v>
      </c>
      <c r="G1307" s="11" t="s">
        <v>134</v>
      </c>
      <c r="H1307" s="11" t="s">
        <v>9208</v>
      </c>
    </row>
    <row r="1308" customFormat="false" ht="15" hidden="false" customHeight="false" outlineLevel="0" collapsed="false">
      <c r="A1308" s="11" t="s">
        <v>9209</v>
      </c>
      <c r="B1308" s="11" t="s">
        <v>6801</v>
      </c>
      <c r="C1308" s="5"/>
      <c r="D1308" s="6" t="n">
        <v>216285</v>
      </c>
      <c r="E1308" s="5" t="s">
        <v>6227</v>
      </c>
      <c r="F1308" s="5" t="s">
        <v>6227</v>
      </c>
      <c r="G1308" s="11" t="s">
        <v>134</v>
      </c>
      <c r="H1308" s="11" t="s">
        <v>9210</v>
      </c>
    </row>
    <row r="1309" customFormat="false" ht="17.15" hidden="false" customHeight="false" outlineLevel="0" collapsed="false">
      <c r="A1309" s="11" t="s">
        <v>9211</v>
      </c>
      <c r="B1309" s="11" t="s">
        <v>402</v>
      </c>
      <c r="C1309" s="11" t="s">
        <v>150</v>
      </c>
      <c r="D1309" s="6" t="n">
        <v>216235</v>
      </c>
      <c r="E1309" s="5" t="s">
        <v>6207</v>
      </c>
      <c r="F1309" s="5" t="s">
        <v>6207</v>
      </c>
      <c r="G1309" s="11" t="s">
        <v>134</v>
      </c>
      <c r="H1309" s="11" t="s">
        <v>9212</v>
      </c>
    </row>
    <row r="1310" customFormat="false" ht="17.15" hidden="false" customHeight="false" outlineLevel="0" collapsed="false">
      <c r="A1310" s="11" t="s">
        <v>9213</v>
      </c>
      <c r="B1310" s="11" t="s">
        <v>8793</v>
      </c>
      <c r="C1310" s="11" t="s">
        <v>155</v>
      </c>
      <c r="D1310" s="6" t="n">
        <v>216142</v>
      </c>
      <c r="E1310" s="5" t="s">
        <v>6207</v>
      </c>
      <c r="F1310" s="5" t="s">
        <v>6207</v>
      </c>
      <c r="G1310" s="11" t="s">
        <v>134</v>
      </c>
      <c r="H1310" s="11" t="s">
        <v>9214</v>
      </c>
    </row>
    <row r="1311" customFormat="false" ht="17.15" hidden="false" customHeight="false" outlineLevel="0" collapsed="false">
      <c r="A1311" s="11" t="s">
        <v>9215</v>
      </c>
      <c r="B1311" s="11" t="s">
        <v>308</v>
      </c>
      <c r="C1311" s="11" t="s">
        <v>172</v>
      </c>
      <c r="D1311" s="6" t="n">
        <v>215820</v>
      </c>
      <c r="E1311" s="5" t="s">
        <v>6207</v>
      </c>
      <c r="F1311" s="5" t="s">
        <v>6207</v>
      </c>
      <c r="G1311" s="11" t="s">
        <v>134</v>
      </c>
      <c r="H1311" s="11" t="s">
        <v>9216</v>
      </c>
    </row>
    <row r="1312" customFormat="false" ht="17.15" hidden="false" customHeight="false" outlineLevel="0" collapsed="false">
      <c r="A1312" s="11" t="s">
        <v>9217</v>
      </c>
      <c r="B1312" s="11" t="s">
        <v>9218</v>
      </c>
      <c r="C1312" s="11" t="s">
        <v>200</v>
      </c>
      <c r="D1312" s="6" t="n">
        <v>215662</v>
      </c>
      <c r="E1312" s="5" t="s">
        <v>6239</v>
      </c>
      <c r="F1312" s="5" t="s">
        <v>6239</v>
      </c>
      <c r="G1312" s="11" t="s">
        <v>143</v>
      </c>
      <c r="H1312" s="11" t="s">
        <v>9219</v>
      </c>
    </row>
    <row r="1313" customFormat="false" ht="17.15" hidden="false" customHeight="false" outlineLevel="0" collapsed="false">
      <c r="A1313" s="11" t="s">
        <v>9220</v>
      </c>
      <c r="B1313" s="11" t="s">
        <v>9221</v>
      </c>
      <c r="C1313" s="5"/>
      <c r="D1313" s="6" t="n">
        <v>215522</v>
      </c>
      <c r="E1313" s="5" t="s">
        <v>6207</v>
      </c>
      <c r="F1313" s="5" t="s">
        <v>6207</v>
      </c>
      <c r="G1313" s="11" t="s">
        <v>134</v>
      </c>
      <c r="H1313" s="11" t="s">
        <v>9222</v>
      </c>
    </row>
    <row r="1314" customFormat="false" ht="17.15" hidden="false" customHeight="false" outlineLevel="0" collapsed="false">
      <c r="A1314" s="11" t="s">
        <v>9223</v>
      </c>
      <c r="B1314" s="11" t="s">
        <v>6528</v>
      </c>
      <c r="C1314" s="11" t="s">
        <v>192</v>
      </c>
      <c r="D1314" s="6" t="n">
        <v>215415</v>
      </c>
      <c r="E1314" s="5" t="s">
        <v>6239</v>
      </c>
      <c r="F1314" s="5" t="s">
        <v>6239</v>
      </c>
      <c r="G1314" s="11" t="s">
        <v>143</v>
      </c>
      <c r="H1314" s="11" t="s">
        <v>9224</v>
      </c>
    </row>
    <row r="1315" customFormat="false" ht="17.15" hidden="false" customHeight="false" outlineLevel="0" collapsed="false">
      <c r="A1315" s="11" t="s">
        <v>9225</v>
      </c>
      <c r="B1315" s="11" t="s">
        <v>3884</v>
      </c>
      <c r="C1315" s="11" t="s">
        <v>155</v>
      </c>
      <c r="D1315" s="6" t="n">
        <v>215393</v>
      </c>
      <c r="E1315" s="5" t="s">
        <v>6210</v>
      </c>
      <c r="F1315" s="5" t="s">
        <v>6210</v>
      </c>
      <c r="G1315" s="11" t="s">
        <v>137</v>
      </c>
      <c r="H1315" s="11" t="s">
        <v>9226</v>
      </c>
    </row>
    <row r="1316" customFormat="false" ht="17.15" hidden="false" customHeight="false" outlineLevel="0" collapsed="false">
      <c r="A1316" s="11" t="s">
        <v>9227</v>
      </c>
      <c r="B1316" s="11" t="s">
        <v>9228</v>
      </c>
      <c r="C1316" s="11" t="s">
        <v>175</v>
      </c>
      <c r="D1316" s="6" t="n">
        <v>213949</v>
      </c>
      <c r="E1316" s="5" t="s">
        <v>6207</v>
      </c>
      <c r="F1316" s="5" t="s">
        <v>6207</v>
      </c>
      <c r="G1316" s="11" t="s">
        <v>134</v>
      </c>
      <c r="H1316" s="11" t="s">
        <v>9229</v>
      </c>
    </row>
    <row r="1317" customFormat="false" ht="17.15" hidden="false" customHeight="false" outlineLevel="0" collapsed="false">
      <c r="A1317" s="11" t="s">
        <v>9230</v>
      </c>
      <c r="B1317" s="11" t="s">
        <v>9231</v>
      </c>
      <c r="C1317" s="11" t="s">
        <v>150</v>
      </c>
      <c r="D1317" s="6" t="n">
        <v>213801</v>
      </c>
      <c r="E1317" s="5" t="s">
        <v>6207</v>
      </c>
      <c r="F1317" s="5" t="s">
        <v>6207</v>
      </c>
      <c r="G1317" s="11" t="s">
        <v>134</v>
      </c>
      <c r="H1317" s="11" t="s">
        <v>9232</v>
      </c>
    </row>
    <row r="1318" customFormat="false" ht="17.15" hidden="false" customHeight="false" outlineLevel="0" collapsed="false">
      <c r="A1318" s="11" t="s">
        <v>9233</v>
      </c>
      <c r="B1318" s="11" t="s">
        <v>6881</v>
      </c>
      <c r="C1318" s="11" t="s">
        <v>182</v>
      </c>
      <c r="D1318" s="6" t="n">
        <v>213691</v>
      </c>
      <c r="E1318" s="5" t="s">
        <v>6207</v>
      </c>
      <c r="F1318" s="5" t="s">
        <v>6207</v>
      </c>
      <c r="G1318" s="11" t="s">
        <v>134</v>
      </c>
      <c r="H1318" s="11" t="s">
        <v>9234</v>
      </c>
    </row>
    <row r="1319" customFormat="false" ht="17.15" hidden="false" customHeight="false" outlineLevel="0" collapsed="false">
      <c r="A1319" s="11" t="s">
        <v>9235</v>
      </c>
      <c r="B1319" s="11" t="s">
        <v>402</v>
      </c>
      <c r="C1319" s="11" t="s">
        <v>150</v>
      </c>
      <c r="D1319" s="6" t="n">
        <v>213480</v>
      </c>
      <c r="E1319" s="5" t="s">
        <v>6207</v>
      </c>
      <c r="F1319" s="5" t="s">
        <v>6207</v>
      </c>
      <c r="G1319" s="11" t="s">
        <v>134</v>
      </c>
      <c r="H1319" s="11" t="s">
        <v>9236</v>
      </c>
    </row>
    <row r="1320" customFormat="false" ht="17.15" hidden="false" customHeight="false" outlineLevel="0" collapsed="false">
      <c r="A1320" s="11" t="s">
        <v>9237</v>
      </c>
      <c r="B1320" s="11" t="s">
        <v>9231</v>
      </c>
      <c r="C1320" s="11" t="s">
        <v>150</v>
      </c>
      <c r="D1320" s="6" t="n">
        <v>213407</v>
      </c>
      <c r="E1320" s="5" t="s">
        <v>6207</v>
      </c>
      <c r="F1320" s="5" t="s">
        <v>6207</v>
      </c>
      <c r="G1320" s="11" t="s">
        <v>134</v>
      </c>
      <c r="H1320" s="11" t="s">
        <v>9238</v>
      </c>
    </row>
    <row r="1321" customFormat="false" ht="17.15" hidden="false" customHeight="false" outlineLevel="0" collapsed="false">
      <c r="A1321" s="11" t="s">
        <v>9239</v>
      </c>
      <c r="B1321" s="11" t="s">
        <v>402</v>
      </c>
      <c r="C1321" s="11" t="s">
        <v>150</v>
      </c>
      <c r="D1321" s="6" t="n">
        <v>212986</v>
      </c>
      <c r="E1321" s="5" t="s">
        <v>6207</v>
      </c>
      <c r="F1321" s="5" t="s">
        <v>6207</v>
      </c>
      <c r="G1321" s="11" t="s">
        <v>134</v>
      </c>
      <c r="H1321" s="11" t="s">
        <v>9240</v>
      </c>
    </row>
    <row r="1322" customFormat="false" ht="17.15" hidden="false" customHeight="false" outlineLevel="0" collapsed="false">
      <c r="A1322" s="11" t="s">
        <v>9241</v>
      </c>
      <c r="B1322" s="11" t="s">
        <v>9242</v>
      </c>
      <c r="C1322" s="11" t="s">
        <v>195</v>
      </c>
      <c r="D1322" s="6" t="n">
        <v>212807</v>
      </c>
      <c r="E1322" s="5" t="s">
        <v>6413</v>
      </c>
      <c r="F1322" s="5" t="s">
        <v>7849</v>
      </c>
      <c r="G1322" s="11" t="s">
        <v>7850</v>
      </c>
      <c r="H1322" s="11" t="s">
        <v>9243</v>
      </c>
    </row>
    <row r="1323" customFormat="false" ht="17.15" hidden="false" customHeight="false" outlineLevel="0" collapsed="false">
      <c r="A1323" s="11" t="s">
        <v>9244</v>
      </c>
      <c r="B1323" s="11" t="s">
        <v>681</v>
      </c>
      <c r="C1323" s="11" t="s">
        <v>172</v>
      </c>
      <c r="D1323" s="6" t="n">
        <v>211032</v>
      </c>
      <c r="E1323" s="5" t="s">
        <v>6207</v>
      </c>
      <c r="F1323" s="5" t="s">
        <v>6207</v>
      </c>
      <c r="G1323" s="11" t="s">
        <v>134</v>
      </c>
      <c r="H1323" s="11" t="s">
        <v>9245</v>
      </c>
    </row>
    <row r="1324" customFormat="false" ht="17.15" hidden="false" customHeight="false" outlineLevel="0" collapsed="false">
      <c r="A1324" s="11" t="s">
        <v>9246</v>
      </c>
      <c r="B1324" s="11" t="s">
        <v>402</v>
      </c>
      <c r="C1324" s="11" t="s">
        <v>150</v>
      </c>
      <c r="D1324" s="6" t="n">
        <v>210927</v>
      </c>
      <c r="E1324" s="5" t="s">
        <v>6207</v>
      </c>
      <c r="F1324" s="5" t="s">
        <v>6207</v>
      </c>
      <c r="G1324" s="11" t="s">
        <v>134</v>
      </c>
      <c r="H1324" s="11" t="s">
        <v>9247</v>
      </c>
    </row>
    <row r="1325" customFormat="false" ht="17.15" hidden="false" customHeight="false" outlineLevel="0" collapsed="false">
      <c r="A1325" s="11" t="s">
        <v>9248</v>
      </c>
      <c r="B1325" s="11" t="s">
        <v>8439</v>
      </c>
      <c r="C1325" s="11" t="s">
        <v>153</v>
      </c>
      <c r="D1325" s="6" t="n">
        <v>210786</v>
      </c>
      <c r="E1325" s="5" t="s">
        <v>6210</v>
      </c>
      <c r="F1325" s="5" t="s">
        <v>6210</v>
      </c>
      <c r="G1325" s="11" t="s">
        <v>137</v>
      </c>
      <c r="H1325" s="11" t="s">
        <v>9249</v>
      </c>
    </row>
    <row r="1326" customFormat="false" ht="17.15" hidden="false" customHeight="false" outlineLevel="0" collapsed="false">
      <c r="A1326" s="11" t="s">
        <v>9250</v>
      </c>
      <c r="B1326" s="11" t="s">
        <v>7356</v>
      </c>
      <c r="C1326" s="11" t="s">
        <v>197</v>
      </c>
      <c r="D1326" s="6" t="n">
        <v>210668</v>
      </c>
      <c r="E1326" s="5" t="s">
        <v>6207</v>
      </c>
      <c r="F1326" s="5" t="s">
        <v>6214</v>
      </c>
      <c r="G1326" s="11" t="s">
        <v>6215</v>
      </c>
      <c r="H1326" s="11" t="s">
        <v>9251</v>
      </c>
    </row>
    <row r="1327" customFormat="false" ht="17.15" hidden="false" customHeight="false" outlineLevel="0" collapsed="false">
      <c r="A1327" s="11" t="s">
        <v>9252</v>
      </c>
      <c r="B1327" s="11" t="s">
        <v>402</v>
      </c>
      <c r="C1327" s="11" t="s">
        <v>150</v>
      </c>
      <c r="D1327" s="6" t="n">
        <v>210394</v>
      </c>
      <c r="E1327" s="5" t="s">
        <v>6207</v>
      </c>
      <c r="F1327" s="5" t="s">
        <v>6207</v>
      </c>
      <c r="G1327" s="11" t="s">
        <v>134</v>
      </c>
      <c r="H1327" s="11" t="s">
        <v>9253</v>
      </c>
    </row>
    <row r="1328" customFormat="false" ht="17.15" hidden="false" customHeight="false" outlineLevel="0" collapsed="false">
      <c r="A1328" s="11" t="s">
        <v>9254</v>
      </c>
      <c r="B1328" s="11" t="s">
        <v>402</v>
      </c>
      <c r="C1328" s="11" t="s">
        <v>150</v>
      </c>
      <c r="D1328" s="6" t="n">
        <v>209918</v>
      </c>
      <c r="E1328" s="5" t="s">
        <v>6207</v>
      </c>
      <c r="F1328" s="5" t="s">
        <v>6207</v>
      </c>
      <c r="G1328" s="11" t="s">
        <v>134</v>
      </c>
      <c r="H1328" s="11" t="s">
        <v>9255</v>
      </c>
    </row>
    <row r="1329" customFormat="false" ht="17.15" hidden="false" customHeight="false" outlineLevel="0" collapsed="false">
      <c r="A1329" s="11" t="s">
        <v>9256</v>
      </c>
      <c r="B1329" s="11" t="s">
        <v>9257</v>
      </c>
      <c r="C1329" s="11" t="s">
        <v>192</v>
      </c>
      <c r="D1329" s="6" t="n">
        <v>209820</v>
      </c>
      <c r="E1329" s="5" t="s">
        <v>6413</v>
      </c>
      <c r="F1329" s="5" t="s">
        <v>7849</v>
      </c>
      <c r="G1329" s="11" t="s">
        <v>7850</v>
      </c>
      <c r="H1329" s="11" t="s">
        <v>9258</v>
      </c>
    </row>
    <row r="1330" customFormat="false" ht="15" hidden="false" customHeight="false" outlineLevel="0" collapsed="false">
      <c r="A1330" s="11" t="s">
        <v>9259</v>
      </c>
      <c r="B1330" s="11" t="s">
        <v>9260</v>
      </c>
      <c r="C1330" s="11" t="s">
        <v>156</v>
      </c>
      <c r="D1330" s="6" t="n">
        <v>209810</v>
      </c>
      <c r="E1330" s="5" t="s">
        <v>6413</v>
      </c>
      <c r="F1330" s="5" t="s">
        <v>6413</v>
      </c>
      <c r="G1330" s="11" t="s">
        <v>128</v>
      </c>
      <c r="H1330" s="11" t="s">
        <v>9261</v>
      </c>
    </row>
    <row r="1331" customFormat="false" ht="17.15" hidden="false" customHeight="false" outlineLevel="0" collapsed="false">
      <c r="A1331" s="11" t="s">
        <v>9262</v>
      </c>
      <c r="B1331" s="11" t="s">
        <v>548</v>
      </c>
      <c r="C1331" s="11" t="s">
        <v>155</v>
      </c>
      <c r="D1331" s="6" t="n">
        <v>209675</v>
      </c>
      <c r="E1331" s="5" t="s">
        <v>6207</v>
      </c>
      <c r="F1331" s="5" t="s">
        <v>6207</v>
      </c>
      <c r="G1331" s="11" t="s">
        <v>134</v>
      </c>
      <c r="H1331" s="11" t="s">
        <v>9263</v>
      </c>
    </row>
    <row r="1332" customFormat="false" ht="17.15" hidden="false" customHeight="false" outlineLevel="0" collapsed="false">
      <c r="A1332" s="11" t="s">
        <v>9264</v>
      </c>
      <c r="B1332" s="11" t="s">
        <v>6852</v>
      </c>
      <c r="C1332" s="11" t="s">
        <v>150</v>
      </c>
      <c r="D1332" s="6" t="n">
        <v>209519</v>
      </c>
      <c r="E1332" s="5" t="s">
        <v>6207</v>
      </c>
      <c r="F1332" s="5" t="s">
        <v>6207</v>
      </c>
      <c r="G1332" s="11" t="s">
        <v>134</v>
      </c>
      <c r="H1332" s="11" t="s">
        <v>9265</v>
      </c>
    </row>
    <row r="1333" customFormat="false" ht="15" hidden="false" customHeight="false" outlineLevel="0" collapsed="false">
      <c r="A1333" s="11" t="s">
        <v>9266</v>
      </c>
      <c r="B1333" s="11" t="s">
        <v>9267</v>
      </c>
      <c r="C1333" s="11" t="s">
        <v>156</v>
      </c>
      <c r="D1333" s="6" t="n">
        <v>208968</v>
      </c>
      <c r="E1333" s="5" t="s">
        <v>6413</v>
      </c>
      <c r="F1333" s="5" t="s">
        <v>6413</v>
      </c>
      <c r="G1333" s="11" t="s">
        <v>128</v>
      </c>
      <c r="H1333" s="11" t="s">
        <v>9268</v>
      </c>
    </row>
    <row r="1334" customFormat="false" ht="17.15" hidden="false" customHeight="false" outlineLevel="0" collapsed="false">
      <c r="A1334" s="11" t="s">
        <v>9269</v>
      </c>
      <c r="B1334" s="11" t="s">
        <v>9270</v>
      </c>
      <c r="C1334" s="11" t="s">
        <v>149</v>
      </c>
      <c r="D1334" s="6" t="n">
        <v>208736</v>
      </c>
      <c r="E1334" s="5" t="s">
        <v>6207</v>
      </c>
      <c r="F1334" s="5" t="s">
        <v>6207</v>
      </c>
      <c r="G1334" s="11" t="s">
        <v>134</v>
      </c>
      <c r="H1334" s="11" t="s">
        <v>9271</v>
      </c>
    </row>
    <row r="1335" customFormat="false" ht="17.15" hidden="false" customHeight="false" outlineLevel="0" collapsed="false">
      <c r="A1335" s="11" t="s">
        <v>9272</v>
      </c>
      <c r="B1335" s="11" t="s">
        <v>402</v>
      </c>
      <c r="C1335" s="11" t="s">
        <v>150</v>
      </c>
      <c r="D1335" s="6" t="n">
        <v>208692</v>
      </c>
      <c r="E1335" s="5" t="s">
        <v>6207</v>
      </c>
      <c r="F1335" s="5" t="s">
        <v>6207</v>
      </c>
      <c r="G1335" s="11" t="s">
        <v>134</v>
      </c>
      <c r="H1335" s="11" t="s">
        <v>9273</v>
      </c>
    </row>
    <row r="1336" customFormat="false" ht="17.15" hidden="false" customHeight="false" outlineLevel="0" collapsed="false">
      <c r="A1336" s="11" t="s">
        <v>9274</v>
      </c>
      <c r="B1336" s="11" t="s">
        <v>1214</v>
      </c>
      <c r="C1336" s="11" t="s">
        <v>192</v>
      </c>
      <c r="D1336" s="6" t="n">
        <v>208503</v>
      </c>
      <c r="E1336" s="5" t="s">
        <v>6239</v>
      </c>
      <c r="F1336" s="5" t="s">
        <v>6239</v>
      </c>
      <c r="G1336" s="11" t="s">
        <v>143</v>
      </c>
      <c r="H1336" s="11" t="s">
        <v>9275</v>
      </c>
    </row>
    <row r="1337" customFormat="false" ht="17.15" hidden="false" customHeight="false" outlineLevel="0" collapsed="false">
      <c r="A1337" s="11" t="s">
        <v>9276</v>
      </c>
      <c r="B1337" s="11" t="s">
        <v>368</v>
      </c>
      <c r="C1337" s="11" t="s">
        <v>199</v>
      </c>
      <c r="D1337" s="6" t="n">
        <v>208296</v>
      </c>
      <c r="E1337" s="5" t="s">
        <v>6239</v>
      </c>
      <c r="F1337" s="5" t="s">
        <v>6239</v>
      </c>
      <c r="G1337" s="11" t="s">
        <v>143</v>
      </c>
      <c r="H1337" s="11" t="s">
        <v>9277</v>
      </c>
    </row>
    <row r="1338" customFormat="false" ht="17.15" hidden="false" customHeight="false" outlineLevel="0" collapsed="false">
      <c r="A1338" s="11" t="s">
        <v>9278</v>
      </c>
      <c r="B1338" s="11" t="s">
        <v>6647</v>
      </c>
      <c r="C1338" s="5"/>
      <c r="D1338" s="6" t="n">
        <v>208000</v>
      </c>
      <c r="E1338" s="5" t="s">
        <v>6264</v>
      </c>
      <c r="F1338" s="5" t="s">
        <v>6264</v>
      </c>
      <c r="G1338" s="11" t="s">
        <v>131</v>
      </c>
      <c r="H1338" s="11" t="s">
        <v>9279</v>
      </c>
    </row>
    <row r="1339" customFormat="false" ht="15" hidden="false" customHeight="false" outlineLevel="0" collapsed="false">
      <c r="A1339" s="11" t="s">
        <v>9280</v>
      </c>
      <c r="B1339" s="11" t="s">
        <v>9281</v>
      </c>
      <c r="C1339" s="11" t="s">
        <v>155</v>
      </c>
      <c r="D1339" s="6" t="n">
        <v>207382</v>
      </c>
      <c r="E1339" s="5" t="s">
        <v>6413</v>
      </c>
      <c r="F1339" s="5" t="s">
        <v>6413</v>
      </c>
      <c r="G1339" s="11" t="s">
        <v>128</v>
      </c>
      <c r="H1339" s="11" t="s">
        <v>9282</v>
      </c>
    </row>
    <row r="1340" customFormat="false" ht="17.15" hidden="false" customHeight="false" outlineLevel="0" collapsed="false">
      <c r="A1340" s="11" t="s">
        <v>9283</v>
      </c>
      <c r="B1340" s="11" t="s">
        <v>2557</v>
      </c>
      <c r="C1340" s="11" t="s">
        <v>168</v>
      </c>
      <c r="D1340" s="6" t="n">
        <v>207248</v>
      </c>
      <c r="E1340" s="5" t="s">
        <v>6207</v>
      </c>
      <c r="F1340" s="5" t="s">
        <v>6207</v>
      </c>
      <c r="G1340" s="11" t="s">
        <v>134</v>
      </c>
      <c r="H1340" s="11" t="s">
        <v>9284</v>
      </c>
    </row>
    <row r="1341" customFormat="false" ht="17.15" hidden="false" customHeight="false" outlineLevel="0" collapsed="false">
      <c r="A1341" s="11" t="s">
        <v>9285</v>
      </c>
      <c r="B1341" s="11" t="s">
        <v>308</v>
      </c>
      <c r="C1341" s="11" t="s">
        <v>156</v>
      </c>
      <c r="D1341" s="6" t="n">
        <v>207204</v>
      </c>
      <c r="E1341" s="5" t="s">
        <v>6210</v>
      </c>
      <c r="F1341" s="5" t="s">
        <v>6210</v>
      </c>
      <c r="G1341" s="11" t="s">
        <v>137</v>
      </c>
      <c r="H1341" s="11" t="s">
        <v>9286</v>
      </c>
    </row>
    <row r="1342" customFormat="false" ht="17.15" hidden="false" customHeight="false" outlineLevel="0" collapsed="false">
      <c r="A1342" s="11" t="s">
        <v>9287</v>
      </c>
      <c r="B1342" s="11" t="s">
        <v>6852</v>
      </c>
      <c r="C1342" s="11" t="s">
        <v>150</v>
      </c>
      <c r="D1342" s="6" t="n">
        <v>207157</v>
      </c>
      <c r="E1342" s="5" t="s">
        <v>6207</v>
      </c>
      <c r="F1342" s="5" t="s">
        <v>6207</v>
      </c>
      <c r="G1342" s="11" t="s">
        <v>134</v>
      </c>
      <c r="H1342" s="11" t="s">
        <v>9288</v>
      </c>
    </row>
    <row r="1343" customFormat="false" ht="17.15" hidden="false" customHeight="false" outlineLevel="0" collapsed="false">
      <c r="A1343" s="11" t="s">
        <v>3676</v>
      </c>
      <c r="B1343" s="11" t="s">
        <v>6596</v>
      </c>
      <c r="C1343" s="11" t="s">
        <v>153</v>
      </c>
      <c r="D1343" s="6" t="n">
        <v>206580</v>
      </c>
      <c r="E1343" s="5" t="s">
        <v>6207</v>
      </c>
      <c r="F1343" s="5" t="s">
        <v>6207</v>
      </c>
      <c r="G1343" s="11" t="s">
        <v>134</v>
      </c>
      <c r="H1343" s="11" t="s">
        <v>9289</v>
      </c>
    </row>
    <row r="1344" customFormat="false" ht="17.15" hidden="false" customHeight="false" outlineLevel="0" collapsed="false">
      <c r="A1344" s="11" t="s">
        <v>9290</v>
      </c>
      <c r="B1344" s="11" t="s">
        <v>2067</v>
      </c>
      <c r="C1344" s="11" t="s">
        <v>189</v>
      </c>
      <c r="D1344" s="6" t="n">
        <v>206390</v>
      </c>
      <c r="E1344" s="5" t="s">
        <v>6239</v>
      </c>
      <c r="F1344" s="5" t="s">
        <v>6239</v>
      </c>
      <c r="G1344" s="11" t="s">
        <v>143</v>
      </c>
      <c r="H1344" s="11" t="s">
        <v>9291</v>
      </c>
    </row>
    <row r="1345" customFormat="false" ht="17.15" hidden="false" customHeight="false" outlineLevel="0" collapsed="false">
      <c r="A1345" s="11" t="s">
        <v>9292</v>
      </c>
      <c r="B1345" s="11" t="s">
        <v>402</v>
      </c>
      <c r="C1345" s="11" t="s">
        <v>150</v>
      </c>
      <c r="D1345" s="6" t="n">
        <v>206344</v>
      </c>
      <c r="E1345" s="5" t="s">
        <v>6207</v>
      </c>
      <c r="F1345" s="5" t="s">
        <v>6207</v>
      </c>
      <c r="G1345" s="11" t="s">
        <v>134</v>
      </c>
      <c r="H1345" s="11" t="s">
        <v>9293</v>
      </c>
    </row>
    <row r="1346" customFormat="false" ht="17.15" hidden="false" customHeight="false" outlineLevel="0" collapsed="false">
      <c r="A1346" s="11" t="s">
        <v>9294</v>
      </c>
      <c r="B1346" s="11" t="s">
        <v>9295</v>
      </c>
      <c r="C1346" s="11" t="s">
        <v>155</v>
      </c>
      <c r="D1346" s="6" t="n">
        <v>206295</v>
      </c>
      <c r="E1346" s="5" t="s">
        <v>6210</v>
      </c>
      <c r="F1346" s="5" t="s">
        <v>6210</v>
      </c>
      <c r="G1346" s="11" t="s">
        <v>137</v>
      </c>
      <c r="H1346" s="11" t="s">
        <v>9296</v>
      </c>
    </row>
    <row r="1347" customFormat="false" ht="17.15" hidden="false" customHeight="false" outlineLevel="0" collapsed="false">
      <c r="A1347" s="11" t="s">
        <v>9297</v>
      </c>
      <c r="B1347" s="11" t="s">
        <v>6782</v>
      </c>
      <c r="C1347" s="11" t="s">
        <v>162</v>
      </c>
      <c r="D1347" s="6" t="n">
        <v>205930</v>
      </c>
      <c r="E1347" s="5" t="s">
        <v>6207</v>
      </c>
      <c r="F1347" s="5" t="s">
        <v>6207</v>
      </c>
      <c r="G1347" s="11" t="s">
        <v>134</v>
      </c>
      <c r="H1347" s="11" t="s">
        <v>9298</v>
      </c>
    </row>
    <row r="1348" customFormat="false" ht="17.15" hidden="false" customHeight="false" outlineLevel="0" collapsed="false">
      <c r="A1348" s="11" t="s">
        <v>9299</v>
      </c>
      <c r="B1348" s="11" t="s">
        <v>6681</v>
      </c>
      <c r="C1348" s="11" t="s">
        <v>168</v>
      </c>
      <c r="D1348" s="6" t="n">
        <v>205867</v>
      </c>
      <c r="E1348" s="5" t="s">
        <v>6210</v>
      </c>
      <c r="F1348" s="5" t="s">
        <v>6210</v>
      </c>
      <c r="G1348" s="11" t="s">
        <v>137</v>
      </c>
      <c r="H1348" s="11" t="s">
        <v>9300</v>
      </c>
    </row>
    <row r="1349" customFormat="false" ht="17.15" hidden="false" customHeight="false" outlineLevel="0" collapsed="false">
      <c r="A1349" s="11" t="s">
        <v>9301</v>
      </c>
      <c r="B1349" s="11" t="s">
        <v>402</v>
      </c>
      <c r="C1349" s="11" t="s">
        <v>150</v>
      </c>
      <c r="D1349" s="6" t="n">
        <v>205735</v>
      </c>
      <c r="E1349" s="5" t="s">
        <v>6207</v>
      </c>
      <c r="F1349" s="5" t="s">
        <v>6207</v>
      </c>
      <c r="G1349" s="11" t="s">
        <v>134</v>
      </c>
      <c r="H1349" s="11" t="s">
        <v>9302</v>
      </c>
    </row>
    <row r="1350" customFormat="false" ht="17.15" hidden="false" customHeight="false" outlineLevel="0" collapsed="false">
      <c r="A1350" s="11" t="s">
        <v>9303</v>
      </c>
      <c r="B1350" s="11" t="s">
        <v>402</v>
      </c>
      <c r="C1350" s="11" t="s">
        <v>150</v>
      </c>
      <c r="D1350" s="6" t="n">
        <v>205458</v>
      </c>
      <c r="E1350" s="5" t="s">
        <v>6207</v>
      </c>
      <c r="F1350" s="5" t="s">
        <v>6207</v>
      </c>
      <c r="G1350" s="11" t="s">
        <v>134</v>
      </c>
      <c r="H1350" s="11" t="s">
        <v>9304</v>
      </c>
    </row>
    <row r="1351" customFormat="false" ht="17.15" hidden="false" customHeight="false" outlineLevel="0" collapsed="false">
      <c r="A1351" s="11" t="s">
        <v>9305</v>
      </c>
      <c r="B1351" s="11" t="s">
        <v>4003</v>
      </c>
      <c r="C1351" s="11" t="s">
        <v>175</v>
      </c>
      <c r="D1351" s="6" t="n">
        <v>205334</v>
      </c>
      <c r="E1351" s="5" t="s">
        <v>6207</v>
      </c>
      <c r="F1351" s="5" t="s">
        <v>6716</v>
      </c>
      <c r="G1351" s="11" t="s">
        <v>6542</v>
      </c>
      <c r="H1351" s="11" t="s">
        <v>9306</v>
      </c>
    </row>
    <row r="1352" customFormat="false" ht="17.15" hidden="false" customHeight="false" outlineLevel="0" collapsed="false">
      <c r="A1352" s="11" t="s">
        <v>9307</v>
      </c>
      <c r="B1352" s="11" t="s">
        <v>402</v>
      </c>
      <c r="C1352" s="11" t="s">
        <v>150</v>
      </c>
      <c r="D1352" s="6" t="n">
        <v>204896</v>
      </c>
      <c r="E1352" s="5" t="s">
        <v>6207</v>
      </c>
      <c r="F1352" s="5" t="s">
        <v>6207</v>
      </c>
      <c r="G1352" s="11" t="s">
        <v>134</v>
      </c>
      <c r="H1352" s="11" t="s">
        <v>9308</v>
      </c>
    </row>
    <row r="1353" customFormat="false" ht="17.15" hidden="false" customHeight="false" outlineLevel="0" collapsed="false">
      <c r="A1353" s="11" t="s">
        <v>9309</v>
      </c>
      <c r="B1353" s="11" t="s">
        <v>7083</v>
      </c>
      <c r="C1353" s="11" t="s">
        <v>155</v>
      </c>
      <c r="D1353" s="6" t="n">
        <v>204823</v>
      </c>
      <c r="E1353" s="5" t="s">
        <v>6210</v>
      </c>
      <c r="F1353" s="5" t="s">
        <v>6274</v>
      </c>
      <c r="G1353" s="11" t="s">
        <v>6275</v>
      </c>
      <c r="H1353" s="11" t="s">
        <v>9310</v>
      </c>
    </row>
    <row r="1354" customFormat="false" ht="17.15" hidden="false" customHeight="false" outlineLevel="0" collapsed="false">
      <c r="A1354" s="11" t="s">
        <v>9311</v>
      </c>
      <c r="B1354" s="11" t="s">
        <v>3947</v>
      </c>
      <c r="C1354" s="11" t="s">
        <v>155</v>
      </c>
      <c r="D1354" s="6" t="n">
        <v>204460</v>
      </c>
      <c r="E1354" s="5" t="s">
        <v>6210</v>
      </c>
      <c r="F1354" s="5" t="s">
        <v>6210</v>
      </c>
      <c r="G1354" s="11" t="s">
        <v>137</v>
      </c>
      <c r="H1354" s="11" t="s">
        <v>9312</v>
      </c>
    </row>
    <row r="1355" customFormat="false" ht="17.15" hidden="false" customHeight="false" outlineLevel="0" collapsed="false">
      <c r="A1355" s="11" t="s">
        <v>9313</v>
      </c>
      <c r="B1355" s="11" t="s">
        <v>308</v>
      </c>
      <c r="C1355" s="11" t="s">
        <v>172</v>
      </c>
      <c r="D1355" s="6" t="n">
        <v>204328</v>
      </c>
      <c r="E1355" s="5" t="s">
        <v>6207</v>
      </c>
      <c r="F1355" s="5" t="s">
        <v>6207</v>
      </c>
      <c r="G1355" s="11" t="s">
        <v>134</v>
      </c>
      <c r="H1355" s="11" t="s">
        <v>9314</v>
      </c>
    </row>
    <row r="1356" customFormat="false" ht="17.15" hidden="false" customHeight="false" outlineLevel="0" collapsed="false">
      <c r="A1356" s="11" t="s">
        <v>9315</v>
      </c>
      <c r="B1356" s="11" t="s">
        <v>402</v>
      </c>
      <c r="C1356" s="11" t="s">
        <v>150</v>
      </c>
      <c r="D1356" s="6" t="n">
        <v>203756</v>
      </c>
      <c r="E1356" s="5" t="s">
        <v>6207</v>
      </c>
      <c r="F1356" s="5" t="s">
        <v>6207</v>
      </c>
      <c r="G1356" s="11" t="s">
        <v>134</v>
      </c>
      <c r="H1356" s="11" t="s">
        <v>9316</v>
      </c>
    </row>
    <row r="1357" customFormat="false" ht="17.15" hidden="false" customHeight="false" outlineLevel="0" collapsed="false">
      <c r="A1357" s="11" t="s">
        <v>9317</v>
      </c>
      <c r="B1357" s="11" t="s">
        <v>6457</v>
      </c>
      <c r="C1357" s="11" t="s">
        <v>155</v>
      </c>
      <c r="D1357" s="6" t="n">
        <v>203475</v>
      </c>
      <c r="E1357" s="5" t="s">
        <v>6264</v>
      </c>
      <c r="F1357" s="5" t="s">
        <v>6648</v>
      </c>
      <c r="G1357" s="11" t="s">
        <v>6649</v>
      </c>
      <c r="H1357" s="11" t="s">
        <v>9318</v>
      </c>
    </row>
    <row r="1358" customFormat="false" ht="17.15" hidden="false" customHeight="false" outlineLevel="0" collapsed="false">
      <c r="A1358" s="11" t="s">
        <v>9319</v>
      </c>
      <c r="B1358" s="11" t="s">
        <v>681</v>
      </c>
      <c r="C1358" s="11" t="s">
        <v>155</v>
      </c>
      <c r="D1358" s="6" t="n">
        <v>203462</v>
      </c>
      <c r="E1358" s="5" t="s">
        <v>6207</v>
      </c>
      <c r="F1358" s="5" t="s">
        <v>6207</v>
      </c>
      <c r="G1358" s="11" t="s">
        <v>134</v>
      </c>
      <c r="H1358" s="11" t="s">
        <v>9320</v>
      </c>
    </row>
    <row r="1359" customFormat="false" ht="17.15" hidden="false" customHeight="false" outlineLevel="0" collapsed="false">
      <c r="A1359" s="11" t="s">
        <v>9321</v>
      </c>
      <c r="B1359" s="11" t="s">
        <v>1725</v>
      </c>
      <c r="C1359" s="11" t="s">
        <v>155</v>
      </c>
      <c r="D1359" s="6" t="n">
        <v>202691</v>
      </c>
      <c r="E1359" s="5" t="s">
        <v>6210</v>
      </c>
      <c r="F1359" s="5" t="s">
        <v>6210</v>
      </c>
      <c r="G1359" s="11" t="s">
        <v>137</v>
      </c>
      <c r="H1359" s="11" t="s">
        <v>9322</v>
      </c>
    </row>
    <row r="1360" customFormat="false" ht="17.15" hidden="false" customHeight="false" outlineLevel="0" collapsed="false">
      <c r="A1360" s="11" t="s">
        <v>9323</v>
      </c>
      <c r="B1360" s="11" t="s">
        <v>8314</v>
      </c>
      <c r="C1360" s="11" t="s">
        <v>162</v>
      </c>
      <c r="D1360" s="6" t="n">
        <v>202635</v>
      </c>
      <c r="E1360" s="5" t="s">
        <v>6210</v>
      </c>
      <c r="F1360" s="5" t="s">
        <v>6210</v>
      </c>
      <c r="G1360" s="11" t="s">
        <v>137</v>
      </c>
      <c r="H1360" s="11" t="s">
        <v>9324</v>
      </c>
    </row>
    <row r="1361" customFormat="false" ht="17.15" hidden="false" customHeight="false" outlineLevel="0" collapsed="false">
      <c r="A1361" s="11" t="s">
        <v>9325</v>
      </c>
      <c r="B1361" s="11" t="s">
        <v>368</v>
      </c>
      <c r="C1361" s="11" t="s">
        <v>161</v>
      </c>
      <c r="D1361" s="6" t="n">
        <v>202608</v>
      </c>
      <c r="E1361" s="5" t="s">
        <v>6207</v>
      </c>
      <c r="F1361" s="5" t="s">
        <v>6207</v>
      </c>
      <c r="G1361" s="11" t="s">
        <v>134</v>
      </c>
      <c r="H1361" s="11" t="s">
        <v>9326</v>
      </c>
    </row>
    <row r="1362" customFormat="false" ht="17.15" hidden="false" customHeight="false" outlineLevel="0" collapsed="false">
      <c r="A1362" s="11" t="s">
        <v>9327</v>
      </c>
      <c r="B1362" s="11" t="s">
        <v>6647</v>
      </c>
      <c r="C1362" s="11" t="s">
        <v>155</v>
      </c>
      <c r="D1362" s="6" t="n">
        <v>202232</v>
      </c>
      <c r="E1362" s="5" t="s">
        <v>6264</v>
      </c>
      <c r="F1362" s="5" t="s">
        <v>6264</v>
      </c>
      <c r="G1362" s="11" t="s">
        <v>131</v>
      </c>
      <c r="H1362" s="11" t="s">
        <v>9328</v>
      </c>
    </row>
    <row r="1363" customFormat="false" ht="17.15" hidden="false" customHeight="false" outlineLevel="0" collapsed="false">
      <c r="A1363" s="11" t="s">
        <v>9329</v>
      </c>
      <c r="B1363" s="11" t="s">
        <v>6457</v>
      </c>
      <c r="C1363" s="5"/>
      <c r="D1363" s="6" t="n">
        <v>201958</v>
      </c>
      <c r="E1363" s="5" t="s">
        <v>6264</v>
      </c>
      <c r="F1363" s="5" t="s">
        <v>6648</v>
      </c>
      <c r="G1363" s="11" t="s">
        <v>6649</v>
      </c>
      <c r="H1363" s="11" t="s">
        <v>9330</v>
      </c>
    </row>
    <row r="1364" customFormat="false" ht="17.15" hidden="false" customHeight="false" outlineLevel="0" collapsed="false">
      <c r="A1364" s="11" t="s">
        <v>9331</v>
      </c>
      <c r="B1364" s="11" t="s">
        <v>753</v>
      </c>
      <c r="C1364" s="11" t="s">
        <v>192</v>
      </c>
      <c r="D1364" s="6" t="n">
        <v>201789</v>
      </c>
      <c r="E1364" s="5" t="s">
        <v>6239</v>
      </c>
      <c r="F1364" s="5" t="s">
        <v>6239</v>
      </c>
      <c r="G1364" s="11" t="s">
        <v>143</v>
      </c>
      <c r="H1364" s="11" t="s">
        <v>9332</v>
      </c>
    </row>
    <row r="1365" customFormat="false" ht="17.15" hidden="false" customHeight="false" outlineLevel="0" collapsed="false">
      <c r="A1365" s="11" t="s">
        <v>9333</v>
      </c>
      <c r="B1365" s="11" t="s">
        <v>6759</v>
      </c>
      <c r="C1365" s="11" t="s">
        <v>149</v>
      </c>
      <c r="D1365" s="6" t="n">
        <v>201365</v>
      </c>
      <c r="E1365" s="5" t="s">
        <v>6207</v>
      </c>
      <c r="F1365" s="5" t="s">
        <v>6207</v>
      </c>
      <c r="G1365" s="11" t="s">
        <v>134</v>
      </c>
      <c r="H1365" s="11" t="s">
        <v>9334</v>
      </c>
    </row>
    <row r="1366" customFormat="false" ht="17.15" hidden="false" customHeight="false" outlineLevel="0" collapsed="false">
      <c r="A1366" s="11" t="s">
        <v>9335</v>
      </c>
      <c r="B1366" s="11" t="s">
        <v>9336</v>
      </c>
      <c r="C1366" s="11" t="s">
        <v>162</v>
      </c>
      <c r="D1366" s="6" t="n">
        <v>201297</v>
      </c>
      <c r="E1366" s="5" t="s">
        <v>6207</v>
      </c>
      <c r="F1366" s="5" t="s">
        <v>6716</v>
      </c>
      <c r="G1366" s="11" t="s">
        <v>6542</v>
      </c>
      <c r="H1366" s="11" t="s">
        <v>9337</v>
      </c>
    </row>
    <row r="1367" customFormat="false" ht="17.15" hidden="false" customHeight="false" outlineLevel="0" collapsed="false">
      <c r="A1367" s="11" t="s">
        <v>9338</v>
      </c>
      <c r="B1367" s="11" t="s">
        <v>327</v>
      </c>
      <c r="C1367" s="5"/>
      <c r="D1367" s="6" t="n">
        <v>201282</v>
      </c>
      <c r="E1367" s="5" t="s">
        <v>6207</v>
      </c>
      <c r="F1367" s="5" t="s">
        <v>6207</v>
      </c>
      <c r="G1367" s="11" t="s">
        <v>134</v>
      </c>
      <c r="H1367" s="11" t="s">
        <v>9339</v>
      </c>
    </row>
    <row r="1368" customFormat="false" ht="17.15" hidden="false" customHeight="false" outlineLevel="0" collapsed="false">
      <c r="A1368" s="11" t="s">
        <v>9340</v>
      </c>
      <c r="B1368" s="11" t="s">
        <v>8389</v>
      </c>
      <c r="C1368" s="11" t="s">
        <v>194</v>
      </c>
      <c r="D1368" s="6" t="n">
        <v>200971</v>
      </c>
      <c r="E1368" s="5" t="s">
        <v>6239</v>
      </c>
      <c r="F1368" s="5" t="s">
        <v>6239</v>
      </c>
      <c r="G1368" s="11" t="s">
        <v>143</v>
      </c>
      <c r="H1368" s="11" t="s">
        <v>9341</v>
      </c>
    </row>
    <row r="1369" customFormat="false" ht="17.15" hidden="false" customHeight="false" outlineLevel="0" collapsed="false">
      <c r="A1369" s="11" t="s">
        <v>9342</v>
      </c>
      <c r="B1369" s="11" t="s">
        <v>3884</v>
      </c>
      <c r="C1369" s="11" t="s">
        <v>155</v>
      </c>
      <c r="D1369" s="6" t="n">
        <v>200825</v>
      </c>
      <c r="E1369" s="5" t="s">
        <v>6210</v>
      </c>
      <c r="F1369" s="5" t="s">
        <v>6210</v>
      </c>
      <c r="G1369" s="11" t="s">
        <v>137</v>
      </c>
      <c r="H1369" s="11" t="s">
        <v>9343</v>
      </c>
    </row>
    <row r="1370" customFormat="false" ht="17.15" hidden="false" customHeight="false" outlineLevel="0" collapsed="false">
      <c r="A1370" s="11" t="s">
        <v>9344</v>
      </c>
      <c r="B1370" s="11" t="s">
        <v>7911</v>
      </c>
      <c r="C1370" s="11" t="s">
        <v>201</v>
      </c>
      <c r="D1370" s="6" t="n">
        <v>200723</v>
      </c>
      <c r="E1370" s="5" t="s">
        <v>6207</v>
      </c>
      <c r="F1370" s="5" t="s">
        <v>6214</v>
      </c>
      <c r="G1370" s="11" t="s">
        <v>6215</v>
      </c>
      <c r="H1370" s="11" t="s">
        <v>9345</v>
      </c>
    </row>
    <row r="1371" customFormat="false" ht="17.15" hidden="false" customHeight="false" outlineLevel="0" collapsed="false">
      <c r="A1371" s="11" t="s">
        <v>9346</v>
      </c>
      <c r="B1371" s="11" t="s">
        <v>9347</v>
      </c>
      <c r="C1371" s="11" t="s">
        <v>153</v>
      </c>
      <c r="D1371" s="6" t="n">
        <v>199995</v>
      </c>
      <c r="E1371" s="5" t="s">
        <v>6210</v>
      </c>
      <c r="F1371" s="5" t="s">
        <v>6210</v>
      </c>
      <c r="G1371" s="11" t="s">
        <v>137</v>
      </c>
      <c r="H1371" s="11" t="s">
        <v>9348</v>
      </c>
    </row>
    <row r="1372" customFormat="false" ht="17.15" hidden="false" customHeight="false" outlineLevel="0" collapsed="false">
      <c r="A1372" s="11" t="s">
        <v>9349</v>
      </c>
      <c r="B1372" s="11" t="s">
        <v>9350</v>
      </c>
      <c r="C1372" s="11" t="s">
        <v>161</v>
      </c>
      <c r="D1372" s="6" t="n">
        <v>199986</v>
      </c>
      <c r="E1372" s="5" t="s">
        <v>6207</v>
      </c>
      <c r="F1372" s="5" t="s">
        <v>6207</v>
      </c>
      <c r="G1372" s="11" t="s">
        <v>134</v>
      </c>
      <c r="H1372" s="11" t="s">
        <v>9351</v>
      </c>
    </row>
    <row r="1373" customFormat="false" ht="17.15" hidden="false" customHeight="false" outlineLevel="0" collapsed="false">
      <c r="A1373" s="11" t="s">
        <v>9352</v>
      </c>
      <c r="B1373" s="11" t="s">
        <v>7545</v>
      </c>
      <c r="C1373" s="11" t="s">
        <v>192</v>
      </c>
      <c r="D1373" s="6" t="n">
        <v>199893</v>
      </c>
      <c r="E1373" s="5" t="s">
        <v>6239</v>
      </c>
      <c r="F1373" s="5" t="s">
        <v>6239</v>
      </c>
      <c r="G1373" s="11" t="s">
        <v>143</v>
      </c>
      <c r="H1373" s="11" t="s">
        <v>9353</v>
      </c>
    </row>
    <row r="1374" customFormat="false" ht="17.15" hidden="false" customHeight="false" outlineLevel="0" collapsed="false">
      <c r="A1374" s="11" t="s">
        <v>9354</v>
      </c>
      <c r="B1374" s="11" t="s">
        <v>3884</v>
      </c>
      <c r="C1374" s="11" t="s">
        <v>155</v>
      </c>
      <c r="D1374" s="6" t="n">
        <v>199243</v>
      </c>
      <c r="E1374" s="5" t="s">
        <v>6210</v>
      </c>
      <c r="F1374" s="5" t="s">
        <v>6210</v>
      </c>
      <c r="G1374" s="11" t="s">
        <v>137</v>
      </c>
      <c r="H1374" s="11" t="s">
        <v>9355</v>
      </c>
    </row>
    <row r="1375" customFormat="false" ht="17.15" hidden="false" customHeight="false" outlineLevel="0" collapsed="false">
      <c r="A1375" s="11" t="s">
        <v>9356</v>
      </c>
      <c r="B1375" s="11" t="s">
        <v>327</v>
      </c>
      <c r="C1375" s="11" t="s">
        <v>194</v>
      </c>
      <c r="D1375" s="6" t="n">
        <v>198897</v>
      </c>
      <c r="E1375" s="5" t="s">
        <v>6239</v>
      </c>
      <c r="F1375" s="5" t="s">
        <v>6239</v>
      </c>
      <c r="G1375" s="11" t="s">
        <v>143</v>
      </c>
      <c r="H1375" s="11" t="s">
        <v>9357</v>
      </c>
    </row>
    <row r="1376" customFormat="false" ht="17.15" hidden="false" customHeight="false" outlineLevel="0" collapsed="false">
      <c r="A1376" s="11" t="s">
        <v>9358</v>
      </c>
      <c r="B1376" s="11" t="s">
        <v>9359</v>
      </c>
      <c r="C1376" s="11" t="s">
        <v>175</v>
      </c>
      <c r="D1376" s="6" t="n">
        <v>198496</v>
      </c>
      <c r="E1376" s="5" t="s">
        <v>6207</v>
      </c>
      <c r="F1376" s="5" t="s">
        <v>6207</v>
      </c>
      <c r="G1376" s="11" t="s">
        <v>134</v>
      </c>
      <c r="H1376" s="11" t="s">
        <v>9360</v>
      </c>
    </row>
    <row r="1377" customFormat="false" ht="17.15" hidden="false" customHeight="false" outlineLevel="0" collapsed="false">
      <c r="A1377" s="11" t="s">
        <v>9361</v>
      </c>
      <c r="B1377" s="11" t="s">
        <v>368</v>
      </c>
      <c r="C1377" s="11" t="s">
        <v>172</v>
      </c>
      <c r="D1377" s="6" t="n">
        <v>198357</v>
      </c>
      <c r="E1377" s="5" t="s">
        <v>6207</v>
      </c>
      <c r="F1377" s="5" t="s">
        <v>6207</v>
      </c>
      <c r="G1377" s="11" t="s">
        <v>134</v>
      </c>
      <c r="H1377" s="11" t="s">
        <v>9362</v>
      </c>
    </row>
    <row r="1378" customFormat="false" ht="17.15" hidden="false" customHeight="false" outlineLevel="0" collapsed="false">
      <c r="A1378" s="11" t="s">
        <v>9363</v>
      </c>
      <c r="B1378" s="11" t="s">
        <v>402</v>
      </c>
      <c r="C1378" s="11" t="s">
        <v>150</v>
      </c>
      <c r="D1378" s="6" t="n">
        <v>198033</v>
      </c>
      <c r="E1378" s="5" t="s">
        <v>6207</v>
      </c>
      <c r="F1378" s="5" t="s">
        <v>6207</v>
      </c>
      <c r="G1378" s="11" t="s">
        <v>134</v>
      </c>
      <c r="H1378" s="11" t="s">
        <v>9364</v>
      </c>
    </row>
    <row r="1379" customFormat="false" ht="17.15" hidden="false" customHeight="false" outlineLevel="0" collapsed="false">
      <c r="A1379" s="11" t="s">
        <v>4630</v>
      </c>
      <c r="B1379" s="11" t="s">
        <v>368</v>
      </c>
      <c r="C1379" s="11" t="s">
        <v>161</v>
      </c>
      <c r="D1379" s="6" t="n">
        <v>197918</v>
      </c>
      <c r="E1379" s="5" t="s">
        <v>6207</v>
      </c>
      <c r="F1379" s="5" t="s">
        <v>6207</v>
      </c>
      <c r="G1379" s="11" t="s">
        <v>134</v>
      </c>
      <c r="H1379" s="11" t="s">
        <v>9365</v>
      </c>
    </row>
    <row r="1380" customFormat="false" ht="15" hidden="false" customHeight="false" outlineLevel="0" collapsed="false">
      <c r="A1380" s="11" t="s">
        <v>9366</v>
      </c>
      <c r="B1380" s="11" t="s">
        <v>6390</v>
      </c>
      <c r="C1380" s="11" t="s">
        <v>187</v>
      </c>
      <c r="D1380" s="6" t="n">
        <v>197594</v>
      </c>
      <c r="E1380" s="5" t="s">
        <v>141</v>
      </c>
      <c r="F1380" s="5" t="s">
        <v>141</v>
      </c>
      <c r="G1380" s="11" t="s">
        <v>140</v>
      </c>
      <c r="H1380" s="11" t="s">
        <v>9367</v>
      </c>
    </row>
    <row r="1381" customFormat="false" ht="15" hidden="false" customHeight="false" outlineLevel="0" collapsed="false">
      <c r="A1381" s="11" t="s">
        <v>9368</v>
      </c>
      <c r="B1381" s="11" t="s">
        <v>6390</v>
      </c>
      <c r="C1381" s="11" t="s">
        <v>167</v>
      </c>
      <c r="D1381" s="6" t="n">
        <v>197535</v>
      </c>
      <c r="E1381" s="5" t="s">
        <v>141</v>
      </c>
      <c r="F1381" s="5" t="s">
        <v>141</v>
      </c>
      <c r="G1381" s="11" t="s">
        <v>140</v>
      </c>
      <c r="H1381" s="11" t="s">
        <v>9369</v>
      </c>
    </row>
    <row r="1382" customFormat="false" ht="17.15" hidden="false" customHeight="false" outlineLevel="0" collapsed="false">
      <c r="A1382" s="11" t="s">
        <v>9370</v>
      </c>
      <c r="B1382" s="11" t="s">
        <v>327</v>
      </c>
      <c r="C1382" s="11" t="s">
        <v>183</v>
      </c>
      <c r="D1382" s="6" t="n">
        <v>197054</v>
      </c>
      <c r="E1382" s="5" t="s">
        <v>6207</v>
      </c>
      <c r="F1382" s="5" t="s">
        <v>6207</v>
      </c>
      <c r="G1382" s="11" t="s">
        <v>134</v>
      </c>
      <c r="H1382" s="11" t="s">
        <v>9371</v>
      </c>
    </row>
    <row r="1383" customFormat="false" ht="17.15" hidden="false" customHeight="false" outlineLevel="0" collapsed="false">
      <c r="A1383" s="11" t="s">
        <v>9372</v>
      </c>
      <c r="B1383" s="11" t="s">
        <v>681</v>
      </c>
      <c r="C1383" s="11" t="s">
        <v>162</v>
      </c>
      <c r="D1383" s="6" t="n">
        <v>196842</v>
      </c>
      <c r="E1383" s="5" t="s">
        <v>6207</v>
      </c>
      <c r="F1383" s="5" t="s">
        <v>6207</v>
      </c>
      <c r="G1383" s="11" t="s">
        <v>134</v>
      </c>
      <c r="H1383" s="11" t="s">
        <v>9373</v>
      </c>
    </row>
    <row r="1384" customFormat="false" ht="17.15" hidden="false" customHeight="false" outlineLevel="0" collapsed="false">
      <c r="A1384" s="11" t="s">
        <v>9374</v>
      </c>
      <c r="B1384" s="11" t="s">
        <v>6457</v>
      </c>
      <c r="C1384" s="11" t="s">
        <v>153</v>
      </c>
      <c r="D1384" s="6" t="n">
        <v>196704</v>
      </c>
      <c r="E1384" s="5" t="s">
        <v>6264</v>
      </c>
      <c r="F1384" s="5" t="s">
        <v>6264</v>
      </c>
      <c r="G1384" s="11" t="s">
        <v>131</v>
      </c>
      <c r="H1384" s="11" t="s">
        <v>9375</v>
      </c>
    </row>
    <row r="1385" customFormat="false" ht="17.15" hidden="false" customHeight="false" outlineLevel="0" collapsed="false">
      <c r="A1385" s="11" t="s">
        <v>9376</v>
      </c>
      <c r="B1385" s="11" t="s">
        <v>327</v>
      </c>
      <c r="C1385" s="11" t="s">
        <v>155</v>
      </c>
      <c r="D1385" s="6" t="n">
        <v>196665</v>
      </c>
      <c r="E1385" s="5" t="s">
        <v>6210</v>
      </c>
      <c r="F1385" s="5" t="s">
        <v>6210</v>
      </c>
      <c r="G1385" s="11" t="s">
        <v>137</v>
      </c>
      <c r="H1385" s="11" t="s">
        <v>9377</v>
      </c>
    </row>
    <row r="1386" customFormat="false" ht="17.15" hidden="false" customHeight="false" outlineLevel="0" collapsed="false">
      <c r="A1386" s="11" t="s">
        <v>9378</v>
      </c>
      <c r="B1386" s="11" t="s">
        <v>6457</v>
      </c>
      <c r="C1386" s="11" t="s">
        <v>153</v>
      </c>
      <c r="D1386" s="6" t="n">
        <v>196640</v>
      </c>
      <c r="E1386" s="5" t="s">
        <v>6264</v>
      </c>
      <c r="F1386" s="5" t="s">
        <v>6264</v>
      </c>
      <c r="G1386" s="11" t="s">
        <v>131</v>
      </c>
      <c r="H1386" s="11" t="s">
        <v>9379</v>
      </c>
    </row>
    <row r="1387" customFormat="false" ht="17.15" hidden="false" customHeight="false" outlineLevel="0" collapsed="false">
      <c r="A1387" s="11" t="s">
        <v>9380</v>
      </c>
      <c r="B1387" s="11" t="s">
        <v>690</v>
      </c>
      <c r="C1387" s="11" t="s">
        <v>150</v>
      </c>
      <c r="D1387" s="6" t="n">
        <v>196234</v>
      </c>
      <c r="E1387" s="5" t="s">
        <v>6207</v>
      </c>
      <c r="F1387" s="5" t="s">
        <v>6207</v>
      </c>
      <c r="G1387" s="11" t="s">
        <v>134</v>
      </c>
      <c r="H1387" s="11" t="s">
        <v>9381</v>
      </c>
    </row>
    <row r="1388" customFormat="false" ht="17.15" hidden="false" customHeight="false" outlineLevel="0" collapsed="false">
      <c r="A1388" s="11" t="s">
        <v>9382</v>
      </c>
      <c r="B1388" s="11" t="s">
        <v>9383</v>
      </c>
      <c r="C1388" s="11" t="s">
        <v>149</v>
      </c>
      <c r="D1388" s="6" t="n">
        <v>194763</v>
      </c>
      <c r="E1388" s="5" t="s">
        <v>6207</v>
      </c>
      <c r="F1388" s="5" t="s">
        <v>6207</v>
      </c>
      <c r="G1388" s="11" t="s">
        <v>134</v>
      </c>
      <c r="H1388" s="11" t="s">
        <v>9384</v>
      </c>
    </row>
    <row r="1389" customFormat="false" ht="17.15" hidden="false" customHeight="false" outlineLevel="0" collapsed="false">
      <c r="A1389" s="11" t="s">
        <v>9385</v>
      </c>
      <c r="B1389" s="11" t="s">
        <v>3814</v>
      </c>
      <c r="C1389" s="11" t="s">
        <v>155</v>
      </c>
      <c r="D1389" s="6" t="n">
        <v>194760</v>
      </c>
      <c r="E1389" s="5" t="s">
        <v>6207</v>
      </c>
      <c r="F1389" s="5" t="s">
        <v>6207</v>
      </c>
      <c r="G1389" s="11" t="s">
        <v>134</v>
      </c>
      <c r="H1389" s="11" t="s">
        <v>9386</v>
      </c>
    </row>
    <row r="1390" customFormat="false" ht="17.15" hidden="false" customHeight="false" outlineLevel="0" collapsed="false">
      <c r="A1390" s="11" t="s">
        <v>9387</v>
      </c>
      <c r="B1390" s="11" t="s">
        <v>9388</v>
      </c>
      <c r="C1390" s="11" t="s">
        <v>153</v>
      </c>
      <c r="D1390" s="6" t="n">
        <v>194496</v>
      </c>
      <c r="E1390" s="5" t="s">
        <v>6210</v>
      </c>
      <c r="F1390" s="5" t="s">
        <v>6210</v>
      </c>
      <c r="G1390" s="11" t="s">
        <v>137</v>
      </c>
      <c r="H1390" s="11" t="s">
        <v>9389</v>
      </c>
    </row>
    <row r="1391" customFormat="false" ht="17.15" hidden="false" customHeight="false" outlineLevel="0" collapsed="false">
      <c r="A1391" s="11" t="s">
        <v>9390</v>
      </c>
      <c r="B1391" s="11" t="s">
        <v>9157</v>
      </c>
      <c r="C1391" s="11" t="s">
        <v>169</v>
      </c>
      <c r="D1391" s="6" t="n">
        <v>194427</v>
      </c>
      <c r="E1391" s="5" t="s">
        <v>6207</v>
      </c>
      <c r="F1391" s="5" t="s">
        <v>6207</v>
      </c>
      <c r="G1391" s="11" t="s">
        <v>134</v>
      </c>
      <c r="H1391" s="11" t="s">
        <v>9391</v>
      </c>
    </row>
    <row r="1392" customFormat="false" ht="17.15" hidden="false" customHeight="false" outlineLevel="0" collapsed="false">
      <c r="A1392" s="11" t="s">
        <v>9392</v>
      </c>
      <c r="B1392" s="11" t="s">
        <v>6647</v>
      </c>
      <c r="C1392" s="11" t="s">
        <v>192</v>
      </c>
      <c r="D1392" s="6" t="n">
        <v>193732</v>
      </c>
      <c r="E1392" s="5" t="s">
        <v>6264</v>
      </c>
      <c r="F1392" s="5" t="s">
        <v>7411</v>
      </c>
      <c r="G1392" s="11" t="s">
        <v>7412</v>
      </c>
      <c r="H1392" s="11" t="s">
        <v>9393</v>
      </c>
    </row>
    <row r="1393" customFormat="false" ht="17.15" hidden="false" customHeight="false" outlineLevel="0" collapsed="false">
      <c r="A1393" s="11" t="s">
        <v>9394</v>
      </c>
      <c r="B1393" s="11" t="s">
        <v>308</v>
      </c>
      <c r="C1393" s="11" t="s">
        <v>156</v>
      </c>
      <c r="D1393" s="6" t="n">
        <v>193633</v>
      </c>
      <c r="E1393" s="5" t="s">
        <v>6210</v>
      </c>
      <c r="F1393" s="5" t="s">
        <v>6210</v>
      </c>
      <c r="G1393" s="11" t="s">
        <v>137</v>
      </c>
      <c r="H1393" s="11" t="s">
        <v>9395</v>
      </c>
    </row>
    <row r="1394" customFormat="false" ht="17.15" hidden="false" customHeight="false" outlineLevel="0" collapsed="false">
      <c r="A1394" s="11" t="s">
        <v>9396</v>
      </c>
      <c r="B1394" s="11" t="s">
        <v>6647</v>
      </c>
      <c r="C1394" s="5"/>
      <c r="D1394" s="6" t="n">
        <v>193495</v>
      </c>
      <c r="E1394" s="5" t="s">
        <v>6264</v>
      </c>
      <c r="F1394" s="5" t="s">
        <v>6648</v>
      </c>
      <c r="G1394" s="11" t="s">
        <v>6649</v>
      </c>
      <c r="H1394" s="11" t="s">
        <v>9397</v>
      </c>
    </row>
    <row r="1395" customFormat="false" ht="17.15" hidden="false" customHeight="false" outlineLevel="0" collapsed="false">
      <c r="A1395" s="11" t="s">
        <v>9398</v>
      </c>
      <c r="B1395" s="11" t="s">
        <v>6647</v>
      </c>
      <c r="C1395" s="5"/>
      <c r="D1395" s="6" t="n">
        <v>193440</v>
      </c>
      <c r="E1395" s="5" t="s">
        <v>6264</v>
      </c>
      <c r="F1395" s="5" t="s">
        <v>6648</v>
      </c>
      <c r="G1395" s="11" t="s">
        <v>6649</v>
      </c>
      <c r="H1395" s="11" t="s">
        <v>9399</v>
      </c>
    </row>
    <row r="1396" customFormat="false" ht="17.15" hidden="false" customHeight="false" outlineLevel="0" collapsed="false">
      <c r="A1396" s="11" t="s">
        <v>9400</v>
      </c>
      <c r="B1396" s="11" t="s">
        <v>6457</v>
      </c>
      <c r="C1396" s="5"/>
      <c r="D1396" s="6" t="n">
        <v>193279</v>
      </c>
      <c r="E1396" s="5" t="s">
        <v>6264</v>
      </c>
      <c r="F1396" s="5" t="s">
        <v>6648</v>
      </c>
      <c r="G1396" s="11" t="s">
        <v>6649</v>
      </c>
      <c r="H1396" s="11" t="s">
        <v>9401</v>
      </c>
    </row>
    <row r="1397" customFormat="false" ht="17.15" hidden="false" customHeight="false" outlineLevel="0" collapsed="false">
      <c r="A1397" s="11" t="s">
        <v>9402</v>
      </c>
      <c r="B1397" s="11" t="s">
        <v>9403</v>
      </c>
      <c r="C1397" s="11" t="s">
        <v>192</v>
      </c>
      <c r="D1397" s="6" t="n">
        <v>192302</v>
      </c>
      <c r="E1397" s="5" t="s">
        <v>6239</v>
      </c>
      <c r="F1397" s="5" t="s">
        <v>6239</v>
      </c>
      <c r="G1397" s="11" t="s">
        <v>143</v>
      </c>
      <c r="H1397" s="11" t="s">
        <v>9404</v>
      </c>
    </row>
    <row r="1398" customFormat="false" ht="17.15" hidden="false" customHeight="false" outlineLevel="0" collapsed="false">
      <c r="A1398" s="11" t="s">
        <v>9405</v>
      </c>
      <c r="B1398" s="11" t="s">
        <v>8716</v>
      </c>
      <c r="C1398" s="11" t="s">
        <v>155</v>
      </c>
      <c r="D1398" s="6" t="n">
        <v>192174</v>
      </c>
      <c r="E1398" s="5" t="s">
        <v>6207</v>
      </c>
      <c r="F1398" s="5" t="s">
        <v>6207</v>
      </c>
      <c r="G1398" s="11" t="s">
        <v>134</v>
      </c>
      <c r="H1398" s="11" t="s">
        <v>9406</v>
      </c>
    </row>
    <row r="1399" customFormat="false" ht="17.15" hidden="false" customHeight="false" outlineLevel="0" collapsed="false">
      <c r="A1399" s="11" t="s">
        <v>9407</v>
      </c>
      <c r="B1399" s="11" t="s">
        <v>368</v>
      </c>
      <c r="C1399" s="11" t="s">
        <v>161</v>
      </c>
      <c r="D1399" s="6" t="n">
        <v>192169</v>
      </c>
      <c r="E1399" s="5" t="s">
        <v>6207</v>
      </c>
      <c r="F1399" s="5" t="s">
        <v>6207</v>
      </c>
      <c r="G1399" s="11" t="s">
        <v>134</v>
      </c>
      <c r="H1399" s="11" t="s">
        <v>9408</v>
      </c>
    </row>
    <row r="1400" customFormat="false" ht="17.15" hidden="false" customHeight="false" outlineLevel="0" collapsed="false">
      <c r="A1400" s="11" t="s">
        <v>9409</v>
      </c>
      <c r="B1400" s="11" t="s">
        <v>681</v>
      </c>
      <c r="C1400" s="11" t="s">
        <v>172</v>
      </c>
      <c r="D1400" s="6" t="n">
        <v>191965</v>
      </c>
      <c r="E1400" s="5" t="s">
        <v>6207</v>
      </c>
      <c r="F1400" s="5" t="s">
        <v>6207</v>
      </c>
      <c r="G1400" s="11" t="s">
        <v>134</v>
      </c>
      <c r="H1400" s="11" t="s">
        <v>9410</v>
      </c>
    </row>
    <row r="1401" customFormat="false" ht="17.15" hidden="false" customHeight="false" outlineLevel="0" collapsed="false">
      <c r="A1401" s="11" t="s">
        <v>9411</v>
      </c>
      <c r="B1401" s="11" t="s">
        <v>6457</v>
      </c>
      <c r="C1401" s="5"/>
      <c r="D1401" s="6" t="n">
        <v>191331</v>
      </c>
      <c r="E1401" s="5" t="s">
        <v>6264</v>
      </c>
      <c r="F1401" s="5" t="s">
        <v>6648</v>
      </c>
      <c r="G1401" s="11" t="s">
        <v>6649</v>
      </c>
      <c r="H1401" s="11" t="s">
        <v>9412</v>
      </c>
    </row>
    <row r="1402" customFormat="false" ht="17.15" hidden="false" customHeight="false" outlineLevel="0" collapsed="false">
      <c r="A1402" s="11" t="s">
        <v>9413</v>
      </c>
      <c r="B1402" s="11" t="s">
        <v>6581</v>
      </c>
      <c r="C1402" s="11" t="s">
        <v>155</v>
      </c>
      <c r="D1402" s="6" t="n">
        <v>191311</v>
      </c>
      <c r="E1402" s="5" t="s">
        <v>6264</v>
      </c>
      <c r="F1402" s="5" t="s">
        <v>6264</v>
      </c>
      <c r="G1402" s="11" t="s">
        <v>131</v>
      </c>
      <c r="H1402" s="11" t="s">
        <v>9414</v>
      </c>
    </row>
    <row r="1403" customFormat="false" ht="17.15" hidden="false" customHeight="false" outlineLevel="0" collapsed="false">
      <c r="A1403" s="11" t="s">
        <v>2365</v>
      </c>
      <c r="B1403" s="11" t="s">
        <v>1381</v>
      </c>
      <c r="C1403" s="11" t="s">
        <v>162</v>
      </c>
      <c r="D1403" s="6" t="n">
        <v>191104</v>
      </c>
      <c r="E1403" s="5" t="s">
        <v>6207</v>
      </c>
      <c r="F1403" s="5" t="s">
        <v>6207</v>
      </c>
      <c r="G1403" s="11" t="s">
        <v>134</v>
      </c>
      <c r="H1403" s="11" t="s">
        <v>9415</v>
      </c>
    </row>
    <row r="1404" customFormat="false" ht="17.15" hidden="false" customHeight="false" outlineLevel="0" collapsed="false">
      <c r="A1404" s="11" t="s">
        <v>9416</v>
      </c>
      <c r="B1404" s="11" t="s">
        <v>6503</v>
      </c>
      <c r="C1404" s="11" t="s">
        <v>192</v>
      </c>
      <c r="D1404" s="6" t="n">
        <v>190621</v>
      </c>
      <c r="E1404" s="5" t="s">
        <v>6239</v>
      </c>
      <c r="F1404" s="5" t="s">
        <v>6239</v>
      </c>
      <c r="G1404" s="11" t="s">
        <v>143</v>
      </c>
      <c r="H1404" s="11" t="s">
        <v>9417</v>
      </c>
    </row>
    <row r="1405" customFormat="false" ht="17.15" hidden="false" customHeight="false" outlineLevel="0" collapsed="false">
      <c r="A1405" s="11" t="s">
        <v>9418</v>
      </c>
      <c r="B1405" s="11" t="s">
        <v>9419</v>
      </c>
      <c r="C1405" s="11" t="s">
        <v>192</v>
      </c>
      <c r="D1405" s="6" t="n">
        <v>190584</v>
      </c>
      <c r="E1405" s="5" t="s">
        <v>6239</v>
      </c>
      <c r="F1405" s="5" t="s">
        <v>6239</v>
      </c>
      <c r="G1405" s="11" t="s">
        <v>143</v>
      </c>
      <c r="H1405" s="11" t="s">
        <v>9420</v>
      </c>
    </row>
    <row r="1406" customFormat="false" ht="17.15" hidden="false" customHeight="false" outlineLevel="0" collapsed="false">
      <c r="A1406" s="11" t="s">
        <v>9421</v>
      </c>
      <c r="B1406" s="11" t="s">
        <v>6581</v>
      </c>
      <c r="C1406" s="11" t="s">
        <v>155</v>
      </c>
      <c r="D1406" s="6" t="n">
        <v>190003</v>
      </c>
      <c r="E1406" s="5" t="s">
        <v>6264</v>
      </c>
      <c r="F1406" s="5" t="s">
        <v>6264</v>
      </c>
      <c r="G1406" s="11" t="s">
        <v>131</v>
      </c>
      <c r="H1406" s="11" t="s">
        <v>9422</v>
      </c>
    </row>
    <row r="1407" customFormat="false" ht="17.15" hidden="false" customHeight="false" outlineLevel="0" collapsed="false">
      <c r="A1407" s="11" t="s">
        <v>9423</v>
      </c>
      <c r="B1407" s="11" t="s">
        <v>402</v>
      </c>
      <c r="C1407" s="11" t="s">
        <v>150</v>
      </c>
      <c r="D1407" s="6" t="n">
        <v>189993</v>
      </c>
      <c r="E1407" s="5" t="s">
        <v>6207</v>
      </c>
      <c r="F1407" s="5" t="s">
        <v>6207</v>
      </c>
      <c r="G1407" s="11" t="s">
        <v>134</v>
      </c>
      <c r="H1407" s="11" t="s">
        <v>9424</v>
      </c>
    </row>
    <row r="1408" customFormat="false" ht="17.15" hidden="false" customHeight="false" outlineLevel="0" collapsed="false">
      <c r="A1408" s="11" t="s">
        <v>9425</v>
      </c>
      <c r="B1408" s="11" t="s">
        <v>6647</v>
      </c>
      <c r="C1408" s="5"/>
      <c r="D1408" s="6" t="n">
        <v>189754</v>
      </c>
      <c r="E1408" s="5" t="s">
        <v>6264</v>
      </c>
      <c r="F1408" s="5" t="s">
        <v>6648</v>
      </c>
      <c r="G1408" s="11" t="s">
        <v>6649</v>
      </c>
      <c r="H1408" s="11" t="s">
        <v>9426</v>
      </c>
    </row>
    <row r="1409" customFormat="false" ht="15" hidden="false" customHeight="false" outlineLevel="0" collapsed="false">
      <c r="A1409" s="11" t="s">
        <v>9427</v>
      </c>
      <c r="B1409" s="11" t="s">
        <v>9428</v>
      </c>
      <c r="C1409" s="5"/>
      <c r="D1409" s="6" t="n">
        <v>189691</v>
      </c>
      <c r="E1409" s="5" t="s">
        <v>141</v>
      </c>
      <c r="F1409" s="5" t="s">
        <v>141</v>
      </c>
      <c r="G1409" s="11" t="s">
        <v>140</v>
      </c>
      <c r="H1409" s="11" t="s">
        <v>9429</v>
      </c>
    </row>
    <row r="1410" customFormat="false" ht="17.15" hidden="false" customHeight="false" outlineLevel="0" collapsed="false">
      <c r="A1410" s="11" t="s">
        <v>9430</v>
      </c>
      <c r="B1410" s="11" t="s">
        <v>2557</v>
      </c>
      <c r="C1410" s="11" t="s">
        <v>168</v>
      </c>
      <c r="D1410" s="6" t="n">
        <v>189233</v>
      </c>
      <c r="E1410" s="5" t="s">
        <v>6207</v>
      </c>
      <c r="F1410" s="5" t="s">
        <v>6207</v>
      </c>
      <c r="G1410" s="11" t="s">
        <v>134</v>
      </c>
      <c r="H1410" s="11" t="s">
        <v>9431</v>
      </c>
    </row>
    <row r="1411" customFormat="false" ht="17.15" hidden="false" customHeight="false" outlineLevel="0" collapsed="false">
      <c r="A1411" s="11" t="s">
        <v>9432</v>
      </c>
      <c r="B1411" s="11" t="s">
        <v>1403</v>
      </c>
      <c r="C1411" s="11" t="s">
        <v>195</v>
      </c>
      <c r="D1411" s="6" t="n">
        <v>189206</v>
      </c>
      <c r="E1411" s="5" t="s">
        <v>6239</v>
      </c>
      <c r="F1411" s="5" t="s">
        <v>6239</v>
      </c>
      <c r="G1411" s="11" t="s">
        <v>143</v>
      </c>
      <c r="H1411" s="11" t="s">
        <v>9433</v>
      </c>
    </row>
    <row r="1412" customFormat="false" ht="17.15" hidden="false" customHeight="false" outlineLevel="0" collapsed="false">
      <c r="A1412" s="11" t="s">
        <v>9434</v>
      </c>
      <c r="B1412" s="11" t="s">
        <v>308</v>
      </c>
      <c r="C1412" s="11" t="s">
        <v>7065</v>
      </c>
      <c r="D1412" s="6" t="n">
        <v>188950</v>
      </c>
      <c r="E1412" s="5" t="s">
        <v>6207</v>
      </c>
      <c r="F1412" s="5" t="s">
        <v>6207</v>
      </c>
      <c r="G1412" s="11" t="s">
        <v>134</v>
      </c>
      <c r="H1412" s="11" t="s">
        <v>9435</v>
      </c>
    </row>
    <row r="1413" customFormat="false" ht="17.15" hidden="false" customHeight="false" outlineLevel="0" collapsed="false">
      <c r="A1413" s="11" t="s">
        <v>9436</v>
      </c>
      <c r="B1413" s="11" t="s">
        <v>6528</v>
      </c>
      <c r="C1413" s="11" t="s">
        <v>193</v>
      </c>
      <c r="D1413" s="6" t="n">
        <v>188820</v>
      </c>
      <c r="E1413" s="5" t="s">
        <v>6239</v>
      </c>
      <c r="F1413" s="5" t="s">
        <v>6239</v>
      </c>
      <c r="G1413" s="11" t="s">
        <v>143</v>
      </c>
      <c r="H1413" s="11" t="s">
        <v>9437</v>
      </c>
    </row>
    <row r="1414" customFormat="false" ht="17.15" hidden="false" customHeight="false" outlineLevel="0" collapsed="false">
      <c r="A1414" s="11" t="s">
        <v>9438</v>
      </c>
      <c r="B1414" s="11" t="s">
        <v>3236</v>
      </c>
      <c r="C1414" s="11" t="s">
        <v>192</v>
      </c>
      <c r="D1414" s="6" t="n">
        <v>188015</v>
      </c>
      <c r="E1414" s="5" t="s">
        <v>6239</v>
      </c>
      <c r="F1414" s="5" t="s">
        <v>6239</v>
      </c>
      <c r="G1414" s="11" t="s">
        <v>143</v>
      </c>
      <c r="H1414" s="11" t="s">
        <v>9439</v>
      </c>
    </row>
    <row r="1415" customFormat="false" ht="15" hidden="false" customHeight="false" outlineLevel="0" collapsed="false">
      <c r="A1415" s="11" t="s">
        <v>9440</v>
      </c>
      <c r="B1415" s="11" t="s">
        <v>9281</v>
      </c>
      <c r="C1415" s="11" t="s">
        <v>156</v>
      </c>
      <c r="D1415" s="6" t="n">
        <v>187754</v>
      </c>
      <c r="E1415" s="5" t="s">
        <v>6413</v>
      </c>
      <c r="F1415" s="5" t="s">
        <v>6413</v>
      </c>
      <c r="G1415" s="11" t="s">
        <v>128</v>
      </c>
      <c r="H1415" s="11" t="s">
        <v>9441</v>
      </c>
    </row>
    <row r="1416" customFormat="false" ht="17.15" hidden="false" customHeight="false" outlineLevel="0" collapsed="false">
      <c r="A1416" s="11" t="s">
        <v>9442</v>
      </c>
      <c r="B1416" s="11" t="s">
        <v>6647</v>
      </c>
      <c r="C1416" s="11" t="s">
        <v>155</v>
      </c>
      <c r="D1416" s="6" t="n">
        <v>187211</v>
      </c>
      <c r="E1416" s="5" t="s">
        <v>6264</v>
      </c>
      <c r="F1416" s="5" t="s">
        <v>6264</v>
      </c>
      <c r="G1416" s="11" t="s">
        <v>131</v>
      </c>
      <c r="H1416" s="11" t="s">
        <v>9443</v>
      </c>
    </row>
    <row r="1417" customFormat="false" ht="17.15" hidden="false" customHeight="false" outlineLevel="0" collapsed="false">
      <c r="A1417" s="11" t="s">
        <v>9444</v>
      </c>
      <c r="B1417" s="11" t="s">
        <v>6298</v>
      </c>
      <c r="C1417" s="11" t="s">
        <v>175</v>
      </c>
      <c r="D1417" s="6" t="n">
        <v>187117</v>
      </c>
      <c r="E1417" s="5" t="s">
        <v>6207</v>
      </c>
      <c r="F1417" s="5" t="s">
        <v>6207</v>
      </c>
      <c r="G1417" s="11" t="s">
        <v>134</v>
      </c>
      <c r="H1417" s="11" t="s">
        <v>9445</v>
      </c>
    </row>
    <row r="1418" customFormat="false" ht="17.15" hidden="false" customHeight="false" outlineLevel="0" collapsed="false">
      <c r="A1418" s="11" t="s">
        <v>9446</v>
      </c>
      <c r="B1418" s="11" t="s">
        <v>2557</v>
      </c>
      <c r="C1418" s="11" t="s">
        <v>168</v>
      </c>
      <c r="D1418" s="6" t="n">
        <v>187091</v>
      </c>
      <c r="E1418" s="5" t="s">
        <v>6207</v>
      </c>
      <c r="F1418" s="5" t="s">
        <v>6207</v>
      </c>
      <c r="G1418" s="11" t="s">
        <v>134</v>
      </c>
      <c r="H1418" s="11" t="s">
        <v>9447</v>
      </c>
    </row>
    <row r="1419" customFormat="false" ht="17.15" hidden="false" customHeight="false" outlineLevel="0" collapsed="false">
      <c r="A1419" s="11" t="s">
        <v>9448</v>
      </c>
      <c r="B1419" s="11" t="s">
        <v>8696</v>
      </c>
      <c r="C1419" s="11" t="s">
        <v>149</v>
      </c>
      <c r="D1419" s="6" t="n">
        <v>186989</v>
      </c>
      <c r="E1419" s="5" t="s">
        <v>6207</v>
      </c>
      <c r="F1419" s="5" t="s">
        <v>6207</v>
      </c>
      <c r="G1419" s="11" t="s">
        <v>134</v>
      </c>
      <c r="H1419" s="11" t="s">
        <v>9449</v>
      </c>
    </row>
    <row r="1420" customFormat="false" ht="17.15" hidden="false" customHeight="false" outlineLevel="0" collapsed="false">
      <c r="A1420" s="11" t="s">
        <v>9450</v>
      </c>
      <c r="B1420" s="11" t="s">
        <v>402</v>
      </c>
      <c r="C1420" s="11" t="s">
        <v>150</v>
      </c>
      <c r="D1420" s="6" t="n">
        <v>186816</v>
      </c>
      <c r="E1420" s="5" t="s">
        <v>6207</v>
      </c>
      <c r="F1420" s="5" t="s">
        <v>6207</v>
      </c>
      <c r="G1420" s="11" t="s">
        <v>134</v>
      </c>
      <c r="H1420" s="11" t="s">
        <v>9451</v>
      </c>
    </row>
    <row r="1421" customFormat="false" ht="17.15" hidden="false" customHeight="false" outlineLevel="0" collapsed="false">
      <c r="A1421" s="11" t="s">
        <v>9452</v>
      </c>
      <c r="B1421" s="11" t="s">
        <v>1111</v>
      </c>
      <c r="C1421" s="11" t="s">
        <v>155</v>
      </c>
      <c r="D1421" s="6" t="n">
        <v>186205</v>
      </c>
      <c r="E1421" s="5" t="s">
        <v>6210</v>
      </c>
      <c r="F1421" s="5" t="s">
        <v>6210</v>
      </c>
      <c r="G1421" s="11" t="s">
        <v>137</v>
      </c>
      <c r="H1421" s="11" t="s">
        <v>9453</v>
      </c>
    </row>
    <row r="1422" customFormat="false" ht="17.15" hidden="false" customHeight="false" outlineLevel="0" collapsed="false">
      <c r="A1422" s="11" t="s">
        <v>9454</v>
      </c>
      <c r="B1422" s="11" t="s">
        <v>5203</v>
      </c>
      <c r="C1422" s="11" t="s">
        <v>152</v>
      </c>
      <c r="D1422" s="6" t="n">
        <v>185853</v>
      </c>
      <c r="E1422" s="5" t="s">
        <v>6207</v>
      </c>
      <c r="F1422" s="5" t="s">
        <v>6207</v>
      </c>
      <c r="G1422" s="11" t="s">
        <v>134</v>
      </c>
      <c r="H1422" s="11" t="s">
        <v>9455</v>
      </c>
    </row>
    <row r="1423" customFormat="false" ht="17.15" hidden="false" customHeight="false" outlineLevel="0" collapsed="false">
      <c r="A1423" s="11" t="s">
        <v>9456</v>
      </c>
      <c r="B1423" s="11" t="s">
        <v>5657</v>
      </c>
      <c r="C1423" s="11" t="s">
        <v>197</v>
      </c>
      <c r="D1423" s="6" t="n">
        <v>185824</v>
      </c>
      <c r="E1423" s="5" t="s">
        <v>6239</v>
      </c>
      <c r="F1423" s="5" t="s">
        <v>6239</v>
      </c>
      <c r="G1423" s="11" t="s">
        <v>143</v>
      </c>
      <c r="H1423" s="11" t="s">
        <v>9457</v>
      </c>
    </row>
    <row r="1424" customFormat="false" ht="17.15" hidden="false" customHeight="false" outlineLevel="0" collapsed="false">
      <c r="A1424" s="11" t="s">
        <v>9458</v>
      </c>
      <c r="B1424" s="11" t="s">
        <v>681</v>
      </c>
      <c r="C1424" s="11" t="s">
        <v>175</v>
      </c>
      <c r="D1424" s="6" t="n">
        <v>185625</v>
      </c>
      <c r="E1424" s="5" t="s">
        <v>6207</v>
      </c>
      <c r="F1424" s="5" t="s">
        <v>6377</v>
      </c>
      <c r="G1424" s="11" t="s">
        <v>6378</v>
      </c>
      <c r="H1424" s="11" t="s">
        <v>9459</v>
      </c>
    </row>
    <row r="1425" customFormat="false" ht="17.15" hidden="false" customHeight="false" outlineLevel="0" collapsed="false">
      <c r="A1425" s="11" t="s">
        <v>9460</v>
      </c>
      <c r="B1425" s="11" t="s">
        <v>9461</v>
      </c>
      <c r="C1425" s="11" t="s">
        <v>192</v>
      </c>
      <c r="D1425" s="6" t="n">
        <v>185082</v>
      </c>
      <c r="E1425" s="5" t="s">
        <v>6239</v>
      </c>
      <c r="F1425" s="5" t="s">
        <v>6239</v>
      </c>
      <c r="G1425" s="11" t="s">
        <v>143</v>
      </c>
      <c r="H1425" s="11" t="s">
        <v>9462</v>
      </c>
    </row>
    <row r="1426" customFormat="false" ht="17.15" hidden="false" customHeight="false" outlineLevel="0" collapsed="false">
      <c r="A1426" s="11" t="s">
        <v>9463</v>
      </c>
      <c r="B1426" s="11" t="s">
        <v>402</v>
      </c>
      <c r="C1426" s="11" t="s">
        <v>150</v>
      </c>
      <c r="D1426" s="6" t="n">
        <v>184524</v>
      </c>
      <c r="E1426" s="5" t="s">
        <v>6207</v>
      </c>
      <c r="F1426" s="5" t="s">
        <v>6207</v>
      </c>
      <c r="G1426" s="11" t="s">
        <v>134</v>
      </c>
      <c r="H1426" s="11" t="s">
        <v>9464</v>
      </c>
    </row>
    <row r="1427" customFormat="false" ht="17.15" hidden="false" customHeight="false" outlineLevel="0" collapsed="false">
      <c r="A1427" s="11" t="s">
        <v>9465</v>
      </c>
      <c r="B1427" s="11" t="s">
        <v>9466</v>
      </c>
      <c r="C1427" s="11" t="s">
        <v>192</v>
      </c>
      <c r="D1427" s="6" t="n">
        <v>184296</v>
      </c>
      <c r="E1427" s="5" t="s">
        <v>6239</v>
      </c>
      <c r="F1427" s="5" t="s">
        <v>6239</v>
      </c>
      <c r="G1427" s="11" t="s">
        <v>143</v>
      </c>
      <c r="H1427" s="11" t="s">
        <v>9467</v>
      </c>
    </row>
    <row r="1428" customFormat="false" ht="17.15" hidden="false" customHeight="false" outlineLevel="0" collapsed="false">
      <c r="A1428" s="11" t="s">
        <v>9468</v>
      </c>
      <c r="B1428" s="11" t="s">
        <v>6581</v>
      </c>
      <c r="C1428" s="11" t="s">
        <v>155</v>
      </c>
      <c r="D1428" s="6" t="n">
        <v>184104</v>
      </c>
      <c r="E1428" s="5" t="s">
        <v>6264</v>
      </c>
      <c r="F1428" s="5" t="s">
        <v>6264</v>
      </c>
      <c r="G1428" s="11" t="s">
        <v>131</v>
      </c>
      <c r="H1428" s="11" t="s">
        <v>9469</v>
      </c>
    </row>
    <row r="1429" customFormat="false" ht="17.15" hidden="false" customHeight="false" outlineLevel="0" collapsed="false">
      <c r="A1429" s="11" t="s">
        <v>9470</v>
      </c>
      <c r="B1429" s="11" t="s">
        <v>6213</v>
      </c>
      <c r="C1429" s="11" t="s">
        <v>197</v>
      </c>
      <c r="D1429" s="6" t="n">
        <v>183815</v>
      </c>
      <c r="E1429" s="5" t="s">
        <v>6207</v>
      </c>
      <c r="F1429" s="5" t="s">
        <v>6214</v>
      </c>
      <c r="G1429" s="11" t="s">
        <v>6215</v>
      </c>
      <c r="H1429" s="11" t="s">
        <v>9471</v>
      </c>
    </row>
    <row r="1430" customFormat="false" ht="17.15" hidden="false" customHeight="false" outlineLevel="0" collapsed="false">
      <c r="A1430" s="11" t="s">
        <v>9472</v>
      </c>
      <c r="B1430" s="11" t="s">
        <v>9347</v>
      </c>
      <c r="C1430" s="11" t="s">
        <v>153</v>
      </c>
      <c r="D1430" s="6" t="n">
        <v>183552</v>
      </c>
      <c r="E1430" s="5" t="s">
        <v>6210</v>
      </c>
      <c r="F1430" s="5" t="s">
        <v>6210</v>
      </c>
      <c r="G1430" s="11" t="s">
        <v>137</v>
      </c>
      <c r="H1430" s="11" t="s">
        <v>9473</v>
      </c>
    </row>
    <row r="1431" customFormat="false" ht="17.15" hidden="false" customHeight="false" outlineLevel="0" collapsed="false">
      <c r="A1431" s="11" t="s">
        <v>9474</v>
      </c>
      <c r="B1431" s="11" t="s">
        <v>6273</v>
      </c>
      <c r="C1431" s="11" t="s">
        <v>154</v>
      </c>
      <c r="D1431" s="6" t="n">
        <v>183395</v>
      </c>
      <c r="E1431" s="5" t="s">
        <v>6210</v>
      </c>
      <c r="F1431" s="5" t="s">
        <v>6210</v>
      </c>
      <c r="G1431" s="11" t="s">
        <v>137</v>
      </c>
      <c r="H1431" s="11" t="s">
        <v>9475</v>
      </c>
    </row>
    <row r="1432" customFormat="false" ht="17.15" hidden="false" customHeight="false" outlineLevel="0" collapsed="false">
      <c r="A1432" s="11" t="s">
        <v>9476</v>
      </c>
      <c r="B1432" s="11" t="s">
        <v>299</v>
      </c>
      <c r="C1432" s="11" t="s">
        <v>175</v>
      </c>
      <c r="D1432" s="6" t="n">
        <v>183149</v>
      </c>
      <c r="E1432" s="5" t="s">
        <v>6210</v>
      </c>
      <c r="F1432" s="5" t="s">
        <v>6210</v>
      </c>
      <c r="G1432" s="11" t="s">
        <v>137</v>
      </c>
      <c r="H1432" s="11" t="s">
        <v>9477</v>
      </c>
    </row>
    <row r="1433" customFormat="false" ht="17.15" hidden="false" customHeight="false" outlineLevel="0" collapsed="false">
      <c r="A1433" s="11" t="s">
        <v>9478</v>
      </c>
      <c r="B1433" s="11" t="s">
        <v>8389</v>
      </c>
      <c r="C1433" s="11" t="s">
        <v>194</v>
      </c>
      <c r="D1433" s="6" t="n">
        <v>182664</v>
      </c>
      <c r="E1433" s="5" t="s">
        <v>6239</v>
      </c>
      <c r="F1433" s="5" t="s">
        <v>6239</v>
      </c>
      <c r="G1433" s="11" t="s">
        <v>143</v>
      </c>
      <c r="H1433" s="11" t="s">
        <v>9479</v>
      </c>
    </row>
    <row r="1434" customFormat="false" ht="17.15" hidden="false" customHeight="false" outlineLevel="0" collapsed="false">
      <c r="A1434" s="11" t="s">
        <v>9480</v>
      </c>
      <c r="B1434" s="11" t="s">
        <v>6647</v>
      </c>
      <c r="C1434" s="11" t="s">
        <v>155</v>
      </c>
      <c r="D1434" s="6" t="n">
        <v>182486</v>
      </c>
      <c r="E1434" s="5" t="s">
        <v>6264</v>
      </c>
      <c r="F1434" s="5" t="s">
        <v>6264</v>
      </c>
      <c r="G1434" s="11" t="s">
        <v>131</v>
      </c>
      <c r="H1434" s="11" t="s">
        <v>9481</v>
      </c>
    </row>
    <row r="1435" customFormat="false" ht="17.15" hidden="false" customHeight="false" outlineLevel="0" collapsed="false">
      <c r="A1435" s="11" t="s">
        <v>9482</v>
      </c>
      <c r="B1435" s="11" t="s">
        <v>4635</v>
      </c>
      <c r="C1435" s="11" t="s">
        <v>195</v>
      </c>
      <c r="D1435" s="6" t="n">
        <v>182413</v>
      </c>
      <c r="E1435" s="5" t="s">
        <v>6239</v>
      </c>
      <c r="F1435" s="5" t="s">
        <v>6239</v>
      </c>
      <c r="G1435" s="11" t="s">
        <v>143</v>
      </c>
      <c r="H1435" s="11" t="s">
        <v>9483</v>
      </c>
    </row>
    <row r="1436" customFormat="false" ht="17.15" hidden="false" customHeight="false" outlineLevel="0" collapsed="false">
      <c r="A1436" s="11" t="s">
        <v>9484</v>
      </c>
      <c r="B1436" s="11" t="s">
        <v>368</v>
      </c>
      <c r="C1436" s="11" t="s">
        <v>161</v>
      </c>
      <c r="D1436" s="6" t="n">
        <v>182352</v>
      </c>
      <c r="E1436" s="5" t="s">
        <v>6207</v>
      </c>
      <c r="F1436" s="5" t="s">
        <v>6207</v>
      </c>
      <c r="G1436" s="11" t="s">
        <v>134</v>
      </c>
      <c r="H1436" s="11" t="s">
        <v>9485</v>
      </c>
    </row>
    <row r="1437" customFormat="false" ht="17.15" hidden="false" customHeight="false" outlineLevel="0" collapsed="false">
      <c r="A1437" s="11" t="s">
        <v>9486</v>
      </c>
      <c r="B1437" s="11" t="s">
        <v>6647</v>
      </c>
      <c r="C1437" s="5"/>
      <c r="D1437" s="6" t="n">
        <v>181841</v>
      </c>
      <c r="E1437" s="5" t="s">
        <v>6264</v>
      </c>
      <c r="F1437" s="5" t="s">
        <v>6264</v>
      </c>
      <c r="G1437" s="11" t="s">
        <v>131</v>
      </c>
      <c r="H1437" s="11" t="s">
        <v>9487</v>
      </c>
    </row>
    <row r="1438" customFormat="false" ht="17.15" hidden="false" customHeight="false" outlineLevel="0" collapsed="false">
      <c r="A1438" s="11" t="s">
        <v>9488</v>
      </c>
      <c r="B1438" s="11" t="s">
        <v>6724</v>
      </c>
      <c r="C1438" s="11" t="s">
        <v>189</v>
      </c>
      <c r="D1438" s="6" t="n">
        <v>181636</v>
      </c>
      <c r="E1438" s="5" t="s">
        <v>6239</v>
      </c>
      <c r="F1438" s="5" t="s">
        <v>6239</v>
      </c>
      <c r="G1438" s="11" t="s">
        <v>143</v>
      </c>
      <c r="H1438" s="11" t="s">
        <v>9489</v>
      </c>
    </row>
    <row r="1439" customFormat="false" ht="17.15" hidden="false" customHeight="false" outlineLevel="0" collapsed="false">
      <c r="A1439" s="11" t="s">
        <v>9490</v>
      </c>
      <c r="B1439" s="11" t="s">
        <v>402</v>
      </c>
      <c r="C1439" s="11" t="s">
        <v>150</v>
      </c>
      <c r="D1439" s="6" t="n">
        <v>181600</v>
      </c>
      <c r="E1439" s="5" t="s">
        <v>6207</v>
      </c>
      <c r="F1439" s="5" t="s">
        <v>6207</v>
      </c>
      <c r="G1439" s="11" t="s">
        <v>134</v>
      </c>
      <c r="H1439" s="11" t="s">
        <v>9491</v>
      </c>
    </row>
    <row r="1440" customFormat="false" ht="17.15" hidden="false" customHeight="false" outlineLevel="0" collapsed="false">
      <c r="A1440" s="11" t="s">
        <v>9492</v>
      </c>
      <c r="B1440" s="11" t="s">
        <v>6581</v>
      </c>
      <c r="C1440" s="11" t="s">
        <v>153</v>
      </c>
      <c r="D1440" s="6" t="n">
        <v>181201</v>
      </c>
      <c r="E1440" s="5" t="s">
        <v>6264</v>
      </c>
      <c r="F1440" s="5" t="s">
        <v>6264</v>
      </c>
      <c r="G1440" s="11" t="s">
        <v>131</v>
      </c>
      <c r="H1440" s="11" t="s">
        <v>9493</v>
      </c>
    </row>
    <row r="1441" customFormat="false" ht="17.15" hidden="false" customHeight="false" outlineLevel="0" collapsed="false">
      <c r="A1441" s="11" t="s">
        <v>9494</v>
      </c>
      <c r="B1441" s="11" t="s">
        <v>2557</v>
      </c>
      <c r="C1441" s="11" t="s">
        <v>168</v>
      </c>
      <c r="D1441" s="6" t="n">
        <v>180960</v>
      </c>
      <c r="E1441" s="5" t="s">
        <v>6207</v>
      </c>
      <c r="F1441" s="5" t="s">
        <v>6207</v>
      </c>
      <c r="G1441" s="11" t="s">
        <v>134</v>
      </c>
      <c r="H1441" s="11" t="s">
        <v>9495</v>
      </c>
    </row>
    <row r="1442" customFormat="false" ht="17.15" hidden="false" customHeight="false" outlineLevel="0" collapsed="false">
      <c r="A1442" s="11" t="s">
        <v>9496</v>
      </c>
      <c r="B1442" s="11" t="s">
        <v>9497</v>
      </c>
      <c r="C1442" s="11" t="s">
        <v>156</v>
      </c>
      <c r="D1442" s="6" t="n">
        <v>180649</v>
      </c>
      <c r="E1442" s="5" t="s">
        <v>6210</v>
      </c>
      <c r="F1442" s="5" t="s">
        <v>6210</v>
      </c>
      <c r="G1442" s="11" t="s">
        <v>137</v>
      </c>
      <c r="H1442" s="11" t="s">
        <v>9498</v>
      </c>
    </row>
    <row r="1443" customFormat="false" ht="17.15" hidden="false" customHeight="false" outlineLevel="0" collapsed="false">
      <c r="A1443" s="11" t="s">
        <v>9499</v>
      </c>
      <c r="B1443" s="11" t="s">
        <v>7334</v>
      </c>
      <c r="C1443" s="11" t="s">
        <v>192</v>
      </c>
      <c r="D1443" s="6" t="n">
        <v>179950</v>
      </c>
      <c r="E1443" s="5" t="s">
        <v>6239</v>
      </c>
      <c r="F1443" s="5" t="s">
        <v>6239</v>
      </c>
      <c r="G1443" s="11" t="s">
        <v>143</v>
      </c>
      <c r="H1443" s="11" t="s">
        <v>9500</v>
      </c>
    </row>
    <row r="1444" customFormat="false" ht="17.15" hidden="false" customHeight="false" outlineLevel="0" collapsed="false">
      <c r="A1444" s="11" t="s">
        <v>9501</v>
      </c>
      <c r="B1444" s="11" t="s">
        <v>402</v>
      </c>
      <c r="C1444" s="11" t="s">
        <v>150</v>
      </c>
      <c r="D1444" s="6" t="n">
        <v>179887</v>
      </c>
      <c r="E1444" s="5" t="s">
        <v>6207</v>
      </c>
      <c r="F1444" s="5" t="s">
        <v>6207</v>
      </c>
      <c r="G1444" s="11" t="s">
        <v>134</v>
      </c>
      <c r="H1444" s="11" t="s">
        <v>9502</v>
      </c>
    </row>
    <row r="1445" customFormat="false" ht="17.15" hidden="false" customHeight="false" outlineLevel="0" collapsed="false">
      <c r="A1445" s="11" t="s">
        <v>9503</v>
      </c>
      <c r="B1445" s="11" t="s">
        <v>9504</v>
      </c>
      <c r="C1445" s="11" t="s">
        <v>192</v>
      </c>
      <c r="D1445" s="6" t="n">
        <v>179420</v>
      </c>
      <c r="E1445" s="5" t="s">
        <v>6239</v>
      </c>
      <c r="F1445" s="5" t="s">
        <v>6239</v>
      </c>
      <c r="G1445" s="11" t="s">
        <v>143</v>
      </c>
      <c r="H1445" s="11" t="s">
        <v>9505</v>
      </c>
    </row>
    <row r="1446" customFormat="false" ht="17.15" hidden="false" customHeight="false" outlineLevel="0" collapsed="false">
      <c r="A1446" s="11" t="s">
        <v>9506</v>
      </c>
      <c r="B1446" s="11" t="s">
        <v>6454</v>
      </c>
      <c r="C1446" s="11" t="s">
        <v>175</v>
      </c>
      <c r="D1446" s="6" t="n">
        <v>179341</v>
      </c>
      <c r="E1446" s="5" t="s">
        <v>6207</v>
      </c>
      <c r="F1446" s="5" t="s">
        <v>6377</v>
      </c>
      <c r="G1446" s="11" t="s">
        <v>6378</v>
      </c>
      <c r="H1446" s="11" t="s">
        <v>9507</v>
      </c>
    </row>
    <row r="1447" customFormat="false" ht="17.15" hidden="false" customHeight="false" outlineLevel="0" collapsed="false">
      <c r="A1447" s="11" t="s">
        <v>9508</v>
      </c>
      <c r="B1447" s="11" t="s">
        <v>6457</v>
      </c>
      <c r="C1447" s="5"/>
      <c r="D1447" s="6" t="n">
        <v>179220</v>
      </c>
      <c r="E1447" s="5" t="s">
        <v>6264</v>
      </c>
      <c r="F1447" s="5" t="s">
        <v>6648</v>
      </c>
      <c r="G1447" s="11" t="s">
        <v>6649</v>
      </c>
      <c r="H1447" s="11" t="s">
        <v>9509</v>
      </c>
    </row>
    <row r="1448" customFormat="false" ht="17.15" hidden="false" customHeight="false" outlineLevel="0" collapsed="false">
      <c r="A1448" s="11" t="s">
        <v>9510</v>
      </c>
      <c r="B1448" s="11" t="s">
        <v>753</v>
      </c>
      <c r="C1448" s="11" t="s">
        <v>192</v>
      </c>
      <c r="D1448" s="6" t="n">
        <v>178941</v>
      </c>
      <c r="E1448" s="5" t="s">
        <v>6239</v>
      </c>
      <c r="F1448" s="5" t="s">
        <v>6239</v>
      </c>
      <c r="G1448" s="11" t="s">
        <v>143</v>
      </c>
      <c r="H1448" s="11" t="s">
        <v>9511</v>
      </c>
    </row>
    <row r="1449" customFormat="false" ht="17.15" hidden="false" customHeight="false" outlineLevel="0" collapsed="false">
      <c r="A1449" s="11" t="s">
        <v>9512</v>
      </c>
      <c r="B1449" s="11" t="s">
        <v>402</v>
      </c>
      <c r="C1449" s="11" t="s">
        <v>150</v>
      </c>
      <c r="D1449" s="6" t="n">
        <v>178284</v>
      </c>
      <c r="E1449" s="5" t="s">
        <v>6207</v>
      </c>
      <c r="F1449" s="5" t="s">
        <v>6207</v>
      </c>
      <c r="G1449" s="11" t="s">
        <v>134</v>
      </c>
      <c r="H1449" s="11" t="s">
        <v>9513</v>
      </c>
    </row>
    <row r="1450" customFormat="false" ht="17.15" hidden="false" customHeight="false" outlineLevel="0" collapsed="false">
      <c r="A1450" s="11" t="s">
        <v>9514</v>
      </c>
      <c r="B1450" s="11" t="s">
        <v>4498</v>
      </c>
      <c r="C1450" s="11" t="s">
        <v>161</v>
      </c>
      <c r="D1450" s="6" t="n">
        <v>178268</v>
      </c>
      <c r="E1450" s="5" t="s">
        <v>6207</v>
      </c>
      <c r="F1450" s="5" t="s">
        <v>6207</v>
      </c>
      <c r="G1450" s="11" t="s">
        <v>134</v>
      </c>
      <c r="H1450" s="11" t="s">
        <v>9515</v>
      </c>
    </row>
    <row r="1451" customFormat="false" ht="17.15" hidden="false" customHeight="false" outlineLevel="0" collapsed="false">
      <c r="A1451" s="11" t="s">
        <v>9516</v>
      </c>
      <c r="B1451" s="11" t="s">
        <v>8482</v>
      </c>
      <c r="C1451" s="11" t="s">
        <v>192</v>
      </c>
      <c r="D1451" s="6" t="n">
        <v>178265</v>
      </c>
      <c r="E1451" s="5" t="s">
        <v>6239</v>
      </c>
      <c r="F1451" s="5" t="s">
        <v>6239</v>
      </c>
      <c r="G1451" s="11" t="s">
        <v>143</v>
      </c>
      <c r="H1451" s="11" t="s">
        <v>9517</v>
      </c>
    </row>
    <row r="1452" customFormat="false" ht="17.15" hidden="false" customHeight="false" outlineLevel="0" collapsed="false">
      <c r="A1452" s="11" t="s">
        <v>9518</v>
      </c>
      <c r="B1452" s="11" t="s">
        <v>6647</v>
      </c>
      <c r="C1452" s="11" t="s">
        <v>155</v>
      </c>
      <c r="D1452" s="6" t="n">
        <v>177736</v>
      </c>
      <c r="E1452" s="5" t="s">
        <v>6264</v>
      </c>
      <c r="F1452" s="5" t="s">
        <v>6264</v>
      </c>
      <c r="G1452" s="11" t="s">
        <v>131</v>
      </c>
      <c r="H1452" s="11" t="s">
        <v>9519</v>
      </c>
    </row>
    <row r="1453" customFormat="false" ht="17.15" hidden="false" customHeight="false" outlineLevel="0" collapsed="false">
      <c r="A1453" s="11" t="s">
        <v>9520</v>
      </c>
      <c r="B1453" s="11" t="s">
        <v>6457</v>
      </c>
      <c r="C1453" s="11" t="s">
        <v>161</v>
      </c>
      <c r="D1453" s="6" t="n">
        <v>177696</v>
      </c>
      <c r="E1453" s="5" t="s">
        <v>6264</v>
      </c>
      <c r="F1453" s="5" t="s">
        <v>6264</v>
      </c>
      <c r="G1453" s="11" t="s">
        <v>131</v>
      </c>
      <c r="H1453" s="11" t="s">
        <v>9521</v>
      </c>
    </row>
    <row r="1454" customFormat="false" ht="17.15" hidden="false" customHeight="false" outlineLevel="0" collapsed="false">
      <c r="A1454" s="11" t="s">
        <v>9522</v>
      </c>
      <c r="B1454" s="11" t="s">
        <v>1761</v>
      </c>
      <c r="C1454" s="11" t="s">
        <v>192</v>
      </c>
      <c r="D1454" s="6" t="n">
        <v>177507</v>
      </c>
      <c r="E1454" s="5" t="s">
        <v>6239</v>
      </c>
      <c r="F1454" s="5" t="s">
        <v>6239</v>
      </c>
      <c r="G1454" s="11" t="s">
        <v>143</v>
      </c>
      <c r="H1454" s="11" t="s">
        <v>9523</v>
      </c>
    </row>
    <row r="1455" customFormat="false" ht="17.15" hidden="false" customHeight="false" outlineLevel="0" collapsed="false">
      <c r="A1455" s="11" t="s">
        <v>9524</v>
      </c>
      <c r="B1455" s="11" t="s">
        <v>308</v>
      </c>
      <c r="C1455" s="11" t="s">
        <v>162</v>
      </c>
      <c r="D1455" s="6" t="n">
        <v>177230</v>
      </c>
      <c r="E1455" s="5" t="s">
        <v>6207</v>
      </c>
      <c r="F1455" s="5" t="s">
        <v>6207</v>
      </c>
      <c r="G1455" s="11" t="s">
        <v>134</v>
      </c>
      <c r="H1455" s="11" t="s">
        <v>9525</v>
      </c>
    </row>
    <row r="1456" customFormat="false" ht="17.15" hidden="false" customHeight="false" outlineLevel="0" collapsed="false">
      <c r="A1456" s="11" t="s">
        <v>9526</v>
      </c>
      <c r="B1456" s="11" t="s">
        <v>7597</v>
      </c>
      <c r="C1456" s="11" t="s">
        <v>162</v>
      </c>
      <c r="D1456" s="6" t="n">
        <v>177035</v>
      </c>
      <c r="E1456" s="5" t="s">
        <v>6207</v>
      </c>
      <c r="F1456" s="5" t="s">
        <v>6207</v>
      </c>
      <c r="G1456" s="11" t="s">
        <v>134</v>
      </c>
      <c r="H1456" s="11" t="s">
        <v>9527</v>
      </c>
    </row>
    <row r="1457" customFormat="false" ht="15" hidden="false" customHeight="false" outlineLevel="0" collapsed="false">
      <c r="A1457" s="11" t="s">
        <v>9528</v>
      </c>
      <c r="B1457" s="11" t="s">
        <v>6801</v>
      </c>
      <c r="C1457" s="5"/>
      <c r="D1457" s="6" t="n">
        <v>177024</v>
      </c>
      <c r="E1457" s="5" t="s">
        <v>6227</v>
      </c>
      <c r="F1457" s="5" t="s">
        <v>6227</v>
      </c>
      <c r="G1457" s="11" t="s">
        <v>134</v>
      </c>
      <c r="H1457" s="11" t="s">
        <v>9529</v>
      </c>
    </row>
    <row r="1458" customFormat="false" ht="17.15" hidden="false" customHeight="false" outlineLevel="0" collapsed="false">
      <c r="A1458" s="11" t="s">
        <v>9530</v>
      </c>
      <c r="B1458" s="11" t="s">
        <v>9531</v>
      </c>
      <c r="C1458" s="11" t="s">
        <v>192</v>
      </c>
      <c r="D1458" s="6" t="n">
        <v>176910</v>
      </c>
      <c r="E1458" s="5" t="s">
        <v>6239</v>
      </c>
      <c r="F1458" s="5" t="s">
        <v>6239</v>
      </c>
      <c r="G1458" s="11" t="s">
        <v>143</v>
      </c>
      <c r="H1458" s="11" t="s">
        <v>9532</v>
      </c>
    </row>
    <row r="1459" customFormat="false" ht="17.15" hidden="false" customHeight="false" outlineLevel="0" collapsed="false">
      <c r="A1459" s="11" t="s">
        <v>9533</v>
      </c>
      <c r="B1459" s="11" t="s">
        <v>9534</v>
      </c>
      <c r="C1459" s="5"/>
      <c r="D1459" s="6" t="n">
        <v>176865</v>
      </c>
      <c r="E1459" s="5" t="s">
        <v>6207</v>
      </c>
      <c r="F1459" s="5" t="s">
        <v>6207</v>
      </c>
      <c r="G1459" s="11" t="s">
        <v>134</v>
      </c>
      <c r="H1459" s="11" t="s">
        <v>9535</v>
      </c>
    </row>
    <row r="1460" customFormat="false" ht="15" hidden="false" customHeight="false" outlineLevel="0" collapsed="false">
      <c r="A1460" s="11" t="s">
        <v>9536</v>
      </c>
      <c r="B1460" s="11" t="s">
        <v>839</v>
      </c>
      <c r="C1460" s="11" t="s">
        <v>153</v>
      </c>
      <c r="D1460" s="6" t="n">
        <v>176790</v>
      </c>
      <c r="E1460" s="5" t="s">
        <v>141</v>
      </c>
      <c r="F1460" s="5" t="s">
        <v>141</v>
      </c>
      <c r="G1460" s="11" t="s">
        <v>140</v>
      </c>
      <c r="H1460" s="11" t="s">
        <v>9537</v>
      </c>
    </row>
    <row r="1461" customFormat="false" ht="17.15" hidden="false" customHeight="false" outlineLevel="0" collapsed="false">
      <c r="A1461" s="11" t="s">
        <v>9538</v>
      </c>
      <c r="B1461" s="11" t="s">
        <v>327</v>
      </c>
      <c r="C1461" s="11" t="s">
        <v>172</v>
      </c>
      <c r="D1461" s="6" t="n">
        <v>176603</v>
      </c>
      <c r="E1461" s="5" t="s">
        <v>6207</v>
      </c>
      <c r="F1461" s="5" t="s">
        <v>6207</v>
      </c>
      <c r="G1461" s="11" t="s">
        <v>134</v>
      </c>
      <c r="H1461" s="11" t="s">
        <v>9539</v>
      </c>
    </row>
    <row r="1462" customFormat="false" ht="17.15" hidden="false" customHeight="false" outlineLevel="0" collapsed="false">
      <c r="A1462" s="11" t="s">
        <v>9540</v>
      </c>
      <c r="B1462" s="11" t="s">
        <v>8340</v>
      </c>
      <c r="C1462" s="11" t="s">
        <v>197</v>
      </c>
      <c r="D1462" s="6" t="n">
        <v>176213</v>
      </c>
      <c r="E1462" s="5" t="s">
        <v>6210</v>
      </c>
      <c r="F1462" s="5" t="s">
        <v>6516</v>
      </c>
      <c r="G1462" s="11" t="s">
        <v>6517</v>
      </c>
      <c r="H1462" s="11" t="s">
        <v>9541</v>
      </c>
    </row>
    <row r="1463" customFormat="false" ht="17.15" hidden="false" customHeight="false" outlineLevel="0" collapsed="false">
      <c r="A1463" s="11" t="s">
        <v>9542</v>
      </c>
      <c r="B1463" s="11" t="s">
        <v>1950</v>
      </c>
      <c r="C1463" s="11" t="s">
        <v>197</v>
      </c>
      <c r="D1463" s="6" t="n">
        <v>176183</v>
      </c>
      <c r="E1463" s="5" t="s">
        <v>6239</v>
      </c>
      <c r="F1463" s="5" t="s">
        <v>6239</v>
      </c>
      <c r="G1463" s="11" t="s">
        <v>143</v>
      </c>
      <c r="H1463" s="11" t="s">
        <v>9543</v>
      </c>
    </row>
    <row r="1464" customFormat="false" ht="17.15" hidden="false" customHeight="false" outlineLevel="0" collapsed="false">
      <c r="A1464" s="11" t="s">
        <v>9544</v>
      </c>
      <c r="B1464" s="11" t="s">
        <v>9545</v>
      </c>
      <c r="C1464" s="11" t="s">
        <v>202</v>
      </c>
      <c r="D1464" s="6" t="n">
        <v>176056</v>
      </c>
      <c r="E1464" s="5" t="s">
        <v>6239</v>
      </c>
      <c r="F1464" s="5" t="s">
        <v>6239</v>
      </c>
      <c r="G1464" s="11" t="s">
        <v>143</v>
      </c>
      <c r="H1464" s="11" t="s">
        <v>9546</v>
      </c>
    </row>
    <row r="1465" customFormat="false" ht="17.15" hidden="false" customHeight="false" outlineLevel="0" collapsed="false">
      <c r="A1465" s="11" t="s">
        <v>9547</v>
      </c>
      <c r="B1465" s="11" t="s">
        <v>7092</v>
      </c>
      <c r="C1465" s="11" t="s">
        <v>197</v>
      </c>
      <c r="D1465" s="6" t="n">
        <v>175653</v>
      </c>
      <c r="E1465" s="5" t="s">
        <v>6210</v>
      </c>
      <c r="F1465" s="5" t="s">
        <v>6516</v>
      </c>
      <c r="G1465" s="11" t="s">
        <v>6517</v>
      </c>
      <c r="H1465" s="11" t="s">
        <v>9548</v>
      </c>
    </row>
    <row r="1466" customFormat="false" ht="17.15" hidden="false" customHeight="false" outlineLevel="0" collapsed="false">
      <c r="A1466" s="11" t="s">
        <v>9549</v>
      </c>
      <c r="B1466" s="11" t="s">
        <v>8401</v>
      </c>
      <c r="C1466" s="11" t="s">
        <v>192</v>
      </c>
      <c r="D1466" s="6" t="n">
        <v>175582</v>
      </c>
      <c r="E1466" s="5" t="s">
        <v>6239</v>
      </c>
      <c r="F1466" s="5" t="s">
        <v>6239</v>
      </c>
      <c r="G1466" s="11" t="s">
        <v>143</v>
      </c>
      <c r="H1466" s="11" t="s">
        <v>9550</v>
      </c>
    </row>
    <row r="1467" customFormat="false" ht="17.15" hidden="false" customHeight="false" outlineLevel="0" collapsed="false">
      <c r="A1467" s="11" t="s">
        <v>9551</v>
      </c>
      <c r="B1467" s="11" t="s">
        <v>6473</v>
      </c>
      <c r="C1467" s="11" t="s">
        <v>183</v>
      </c>
      <c r="D1467" s="6" t="n">
        <v>175506</v>
      </c>
      <c r="E1467" s="5" t="s">
        <v>6210</v>
      </c>
      <c r="F1467" s="5" t="s">
        <v>6210</v>
      </c>
      <c r="G1467" s="11" t="s">
        <v>137</v>
      </c>
      <c r="H1467" s="11" t="s">
        <v>9552</v>
      </c>
    </row>
    <row r="1468" customFormat="false" ht="17.15" hidden="false" customHeight="false" outlineLevel="0" collapsed="false">
      <c r="A1468" s="11" t="s">
        <v>9553</v>
      </c>
      <c r="B1468" s="11" t="s">
        <v>1214</v>
      </c>
      <c r="C1468" s="11" t="s">
        <v>195</v>
      </c>
      <c r="D1468" s="6" t="n">
        <v>175493</v>
      </c>
      <c r="E1468" s="5" t="s">
        <v>6239</v>
      </c>
      <c r="F1468" s="5" t="s">
        <v>6239</v>
      </c>
      <c r="G1468" s="11" t="s">
        <v>143</v>
      </c>
      <c r="H1468" s="11" t="s">
        <v>9554</v>
      </c>
    </row>
    <row r="1469" customFormat="false" ht="17.15" hidden="false" customHeight="false" outlineLevel="0" collapsed="false">
      <c r="A1469" s="11" t="s">
        <v>9555</v>
      </c>
      <c r="B1469" s="11" t="s">
        <v>402</v>
      </c>
      <c r="C1469" s="11" t="s">
        <v>150</v>
      </c>
      <c r="D1469" s="6" t="n">
        <v>175486</v>
      </c>
      <c r="E1469" s="5" t="s">
        <v>6207</v>
      </c>
      <c r="F1469" s="5" t="s">
        <v>6207</v>
      </c>
      <c r="G1469" s="11" t="s">
        <v>134</v>
      </c>
      <c r="H1469" s="11" t="s">
        <v>9556</v>
      </c>
    </row>
    <row r="1470" customFormat="false" ht="17.15" hidden="false" customHeight="false" outlineLevel="0" collapsed="false">
      <c r="A1470" s="11" t="s">
        <v>9557</v>
      </c>
      <c r="B1470" s="11" t="s">
        <v>9558</v>
      </c>
      <c r="C1470" s="11" t="s">
        <v>149</v>
      </c>
      <c r="D1470" s="6" t="n">
        <v>175462</v>
      </c>
      <c r="E1470" s="5" t="s">
        <v>6207</v>
      </c>
      <c r="F1470" s="5" t="s">
        <v>6207</v>
      </c>
      <c r="G1470" s="11" t="s">
        <v>134</v>
      </c>
      <c r="H1470" s="11" t="s">
        <v>9559</v>
      </c>
    </row>
    <row r="1471" customFormat="false" ht="17.15" hidden="false" customHeight="false" outlineLevel="0" collapsed="false">
      <c r="A1471" s="11" t="s">
        <v>9560</v>
      </c>
      <c r="B1471" s="11" t="s">
        <v>9561</v>
      </c>
      <c r="C1471" s="11" t="s">
        <v>150</v>
      </c>
      <c r="D1471" s="6" t="n">
        <v>174784</v>
      </c>
      <c r="E1471" s="5" t="s">
        <v>6207</v>
      </c>
      <c r="F1471" s="5" t="s">
        <v>6207</v>
      </c>
      <c r="G1471" s="11" t="s">
        <v>134</v>
      </c>
      <c r="H1471" s="11" t="s">
        <v>9562</v>
      </c>
    </row>
    <row r="1472" customFormat="false" ht="15" hidden="false" customHeight="false" outlineLevel="0" collapsed="false">
      <c r="A1472" s="11" t="s">
        <v>9563</v>
      </c>
      <c r="B1472" s="11" t="s">
        <v>2693</v>
      </c>
      <c r="C1472" s="11" t="s">
        <v>167</v>
      </c>
      <c r="D1472" s="6" t="n">
        <v>174319</v>
      </c>
      <c r="E1472" s="5" t="s">
        <v>141</v>
      </c>
      <c r="F1472" s="5" t="s">
        <v>141</v>
      </c>
      <c r="G1472" s="11" t="s">
        <v>140</v>
      </c>
      <c r="H1472" s="11" t="s">
        <v>9564</v>
      </c>
    </row>
    <row r="1473" customFormat="false" ht="17.15" hidden="false" customHeight="false" outlineLevel="0" collapsed="false">
      <c r="A1473" s="11" t="s">
        <v>9565</v>
      </c>
      <c r="B1473" s="11" t="s">
        <v>1654</v>
      </c>
      <c r="C1473" s="11" t="s">
        <v>168</v>
      </c>
      <c r="D1473" s="6" t="n">
        <v>174222</v>
      </c>
      <c r="E1473" s="5" t="s">
        <v>6207</v>
      </c>
      <c r="F1473" s="5" t="s">
        <v>6207</v>
      </c>
      <c r="G1473" s="11" t="s">
        <v>134</v>
      </c>
      <c r="H1473" s="11" t="s">
        <v>9566</v>
      </c>
    </row>
    <row r="1474" customFormat="false" ht="17.15" hidden="false" customHeight="false" outlineLevel="0" collapsed="false">
      <c r="A1474" s="11" t="s">
        <v>9567</v>
      </c>
      <c r="B1474" s="11" t="s">
        <v>9568</v>
      </c>
      <c r="C1474" s="11" t="s">
        <v>153</v>
      </c>
      <c r="D1474" s="6" t="n">
        <v>173499</v>
      </c>
      <c r="E1474" s="5" t="s">
        <v>6264</v>
      </c>
      <c r="F1474" s="5" t="s">
        <v>6648</v>
      </c>
      <c r="G1474" s="11" t="s">
        <v>6649</v>
      </c>
      <c r="H1474" s="11" t="s">
        <v>9569</v>
      </c>
    </row>
    <row r="1475" customFormat="false" ht="17.15" hidden="false" customHeight="false" outlineLevel="0" collapsed="false">
      <c r="A1475" s="11" t="s">
        <v>9570</v>
      </c>
      <c r="B1475" s="11" t="s">
        <v>9571</v>
      </c>
      <c r="C1475" s="11" t="s">
        <v>149</v>
      </c>
      <c r="D1475" s="6" t="n">
        <v>173457</v>
      </c>
      <c r="E1475" s="5" t="s">
        <v>6207</v>
      </c>
      <c r="F1475" s="5" t="s">
        <v>6207</v>
      </c>
      <c r="G1475" s="11" t="s">
        <v>134</v>
      </c>
      <c r="H1475" s="11" t="s">
        <v>9572</v>
      </c>
    </row>
    <row r="1476" customFormat="false" ht="17.15" hidden="false" customHeight="false" outlineLevel="0" collapsed="false">
      <c r="A1476" s="11" t="s">
        <v>9573</v>
      </c>
      <c r="B1476" s="11" t="s">
        <v>6647</v>
      </c>
      <c r="C1476" s="11" t="s">
        <v>192</v>
      </c>
      <c r="D1476" s="6" t="n">
        <v>173251</v>
      </c>
      <c r="E1476" s="5" t="s">
        <v>6264</v>
      </c>
      <c r="F1476" s="5" t="s">
        <v>7411</v>
      </c>
      <c r="G1476" s="11" t="s">
        <v>7412</v>
      </c>
      <c r="H1476" s="11" t="s">
        <v>9574</v>
      </c>
    </row>
    <row r="1477" customFormat="false" ht="17.15" hidden="false" customHeight="false" outlineLevel="0" collapsed="false">
      <c r="A1477" s="11" t="s">
        <v>9575</v>
      </c>
      <c r="B1477" s="11" t="s">
        <v>681</v>
      </c>
      <c r="C1477" s="11" t="s">
        <v>197</v>
      </c>
      <c r="D1477" s="6" t="n">
        <v>173009</v>
      </c>
      <c r="E1477" s="5" t="s">
        <v>141</v>
      </c>
      <c r="F1477" s="5" t="s">
        <v>6495</v>
      </c>
      <c r="G1477" s="11" t="s">
        <v>6496</v>
      </c>
      <c r="H1477" s="11" t="s">
        <v>9576</v>
      </c>
    </row>
    <row r="1478" customFormat="false" ht="17.15" hidden="false" customHeight="false" outlineLevel="0" collapsed="false">
      <c r="A1478" s="11" t="s">
        <v>9577</v>
      </c>
      <c r="B1478" s="11" t="s">
        <v>9578</v>
      </c>
      <c r="C1478" s="11" t="s">
        <v>201</v>
      </c>
      <c r="D1478" s="6" t="n">
        <v>172914</v>
      </c>
      <c r="E1478" s="5" t="s">
        <v>6227</v>
      </c>
      <c r="F1478" s="5" t="s">
        <v>8618</v>
      </c>
      <c r="G1478" s="11" t="s">
        <v>6215</v>
      </c>
      <c r="H1478" s="11" t="s">
        <v>9579</v>
      </c>
    </row>
    <row r="1479" customFormat="false" ht="17.15" hidden="false" customHeight="false" outlineLevel="0" collapsed="false">
      <c r="A1479" s="11" t="s">
        <v>9580</v>
      </c>
      <c r="B1479" s="11" t="s">
        <v>327</v>
      </c>
      <c r="C1479" s="5"/>
      <c r="D1479" s="6" t="n">
        <v>172875</v>
      </c>
      <c r="E1479" s="5" t="s">
        <v>6210</v>
      </c>
      <c r="F1479" s="5" t="s">
        <v>6210</v>
      </c>
      <c r="G1479" s="11" t="s">
        <v>137</v>
      </c>
      <c r="H1479" s="11" t="s">
        <v>9581</v>
      </c>
    </row>
    <row r="1480" customFormat="false" ht="17.15" hidden="false" customHeight="false" outlineLevel="0" collapsed="false">
      <c r="A1480" s="11" t="s">
        <v>9582</v>
      </c>
      <c r="B1480" s="11" t="s">
        <v>6891</v>
      </c>
      <c r="C1480" s="11" t="s">
        <v>192</v>
      </c>
      <c r="D1480" s="6" t="n">
        <v>172497</v>
      </c>
      <c r="E1480" s="5" t="s">
        <v>6239</v>
      </c>
      <c r="F1480" s="5" t="s">
        <v>6239</v>
      </c>
      <c r="G1480" s="11" t="s">
        <v>143</v>
      </c>
      <c r="H1480" s="11" t="s">
        <v>9583</v>
      </c>
    </row>
    <row r="1481" customFormat="false" ht="17.15" hidden="false" customHeight="false" outlineLevel="0" collapsed="false">
      <c r="A1481" s="11" t="s">
        <v>9584</v>
      </c>
      <c r="B1481" s="11" t="s">
        <v>7846</v>
      </c>
      <c r="C1481" s="11" t="s">
        <v>164</v>
      </c>
      <c r="D1481" s="6" t="n">
        <v>172228</v>
      </c>
      <c r="E1481" s="5" t="s">
        <v>6207</v>
      </c>
      <c r="F1481" s="5" t="s">
        <v>6207</v>
      </c>
      <c r="G1481" s="11" t="s">
        <v>134</v>
      </c>
      <c r="H1481" s="11" t="s">
        <v>9585</v>
      </c>
    </row>
    <row r="1482" customFormat="false" ht="17.15" hidden="false" customHeight="false" outlineLevel="0" collapsed="false">
      <c r="A1482" s="11" t="s">
        <v>9586</v>
      </c>
      <c r="B1482" s="11" t="s">
        <v>402</v>
      </c>
      <c r="C1482" s="11" t="s">
        <v>150</v>
      </c>
      <c r="D1482" s="6" t="n">
        <v>171495</v>
      </c>
      <c r="E1482" s="5" t="s">
        <v>6207</v>
      </c>
      <c r="F1482" s="5" t="s">
        <v>6207</v>
      </c>
      <c r="G1482" s="11" t="s">
        <v>134</v>
      </c>
      <c r="H1482" s="11" t="s">
        <v>9587</v>
      </c>
    </row>
    <row r="1483" customFormat="false" ht="17.15" hidden="false" customHeight="false" outlineLevel="0" collapsed="false">
      <c r="A1483" s="11" t="s">
        <v>9588</v>
      </c>
      <c r="B1483" s="11" t="s">
        <v>6698</v>
      </c>
      <c r="C1483" s="11" t="s">
        <v>192</v>
      </c>
      <c r="D1483" s="6" t="n">
        <v>170677</v>
      </c>
      <c r="E1483" s="5" t="s">
        <v>6239</v>
      </c>
      <c r="F1483" s="5" t="s">
        <v>6239</v>
      </c>
      <c r="G1483" s="11" t="s">
        <v>143</v>
      </c>
      <c r="H1483" s="11" t="s">
        <v>9589</v>
      </c>
    </row>
    <row r="1484" customFormat="false" ht="17.15" hidden="false" customHeight="false" outlineLevel="0" collapsed="false">
      <c r="A1484" s="11" t="s">
        <v>9590</v>
      </c>
      <c r="B1484" s="11" t="s">
        <v>8466</v>
      </c>
      <c r="C1484" s="11" t="s">
        <v>197</v>
      </c>
      <c r="D1484" s="6" t="n">
        <v>170415</v>
      </c>
      <c r="E1484" s="5" t="s">
        <v>6207</v>
      </c>
      <c r="F1484" s="5" t="s">
        <v>6214</v>
      </c>
      <c r="G1484" s="11" t="s">
        <v>6215</v>
      </c>
      <c r="H1484" s="11" t="s">
        <v>9591</v>
      </c>
    </row>
    <row r="1485" customFormat="false" ht="17.15" hidden="false" customHeight="false" outlineLevel="0" collapsed="false">
      <c r="A1485" s="11" t="s">
        <v>9592</v>
      </c>
      <c r="B1485" s="11" t="s">
        <v>6774</v>
      </c>
      <c r="C1485" s="11" t="s">
        <v>194</v>
      </c>
      <c r="D1485" s="6" t="n">
        <v>170043</v>
      </c>
      <c r="E1485" s="5" t="s">
        <v>6239</v>
      </c>
      <c r="F1485" s="5" t="s">
        <v>6239</v>
      </c>
      <c r="G1485" s="11" t="s">
        <v>143</v>
      </c>
      <c r="H1485" s="11" t="s">
        <v>9593</v>
      </c>
    </row>
    <row r="1486" customFormat="false" ht="17.15" hidden="false" customHeight="false" outlineLevel="0" collapsed="false">
      <c r="A1486" s="11" t="s">
        <v>9594</v>
      </c>
      <c r="B1486" s="11" t="s">
        <v>9595</v>
      </c>
      <c r="C1486" s="11" t="s">
        <v>192</v>
      </c>
      <c r="D1486" s="6" t="n">
        <v>169695</v>
      </c>
      <c r="E1486" s="5" t="s">
        <v>6239</v>
      </c>
      <c r="F1486" s="5" t="s">
        <v>6239</v>
      </c>
      <c r="G1486" s="11" t="s">
        <v>143</v>
      </c>
      <c r="H1486" s="11" t="s">
        <v>9596</v>
      </c>
    </row>
    <row r="1487" customFormat="false" ht="17.15" hidden="false" customHeight="false" outlineLevel="0" collapsed="false">
      <c r="A1487" s="11" t="s">
        <v>9597</v>
      </c>
      <c r="B1487" s="11" t="s">
        <v>9571</v>
      </c>
      <c r="C1487" s="11" t="s">
        <v>149</v>
      </c>
      <c r="D1487" s="6" t="n">
        <v>168858</v>
      </c>
      <c r="E1487" s="5" t="s">
        <v>6207</v>
      </c>
      <c r="F1487" s="5" t="s">
        <v>6207</v>
      </c>
      <c r="G1487" s="11" t="s">
        <v>134</v>
      </c>
      <c r="H1487" s="11" t="s">
        <v>9598</v>
      </c>
    </row>
    <row r="1488" customFormat="false" ht="17.15" hidden="false" customHeight="false" outlineLevel="0" collapsed="false">
      <c r="A1488" s="11" t="s">
        <v>9599</v>
      </c>
      <c r="B1488" s="11" t="s">
        <v>402</v>
      </c>
      <c r="C1488" s="11" t="s">
        <v>150</v>
      </c>
      <c r="D1488" s="6" t="n">
        <v>168624</v>
      </c>
      <c r="E1488" s="5" t="s">
        <v>6207</v>
      </c>
      <c r="F1488" s="5" t="s">
        <v>6207</v>
      </c>
      <c r="G1488" s="11" t="s">
        <v>134</v>
      </c>
      <c r="H1488" s="11" t="s">
        <v>9600</v>
      </c>
    </row>
    <row r="1489" customFormat="false" ht="17.15" hidden="false" customHeight="false" outlineLevel="0" collapsed="false">
      <c r="A1489" s="11" t="s">
        <v>9601</v>
      </c>
      <c r="B1489" s="11" t="s">
        <v>9602</v>
      </c>
      <c r="C1489" s="11" t="s">
        <v>153</v>
      </c>
      <c r="D1489" s="6" t="n">
        <v>168551</v>
      </c>
      <c r="E1489" s="5" t="s">
        <v>6210</v>
      </c>
      <c r="F1489" s="5" t="s">
        <v>6210</v>
      </c>
      <c r="G1489" s="11" t="s">
        <v>137</v>
      </c>
      <c r="H1489" s="11" t="s">
        <v>9603</v>
      </c>
    </row>
    <row r="1490" customFormat="false" ht="17.15" hidden="false" customHeight="false" outlineLevel="0" collapsed="false">
      <c r="A1490" s="11" t="s">
        <v>9604</v>
      </c>
      <c r="B1490" s="11" t="s">
        <v>7906</v>
      </c>
      <c r="C1490" s="11" t="s">
        <v>193</v>
      </c>
      <c r="D1490" s="6" t="n">
        <v>168508</v>
      </c>
      <c r="E1490" s="5" t="s">
        <v>6239</v>
      </c>
      <c r="F1490" s="5" t="s">
        <v>6239</v>
      </c>
      <c r="G1490" s="11" t="s">
        <v>143</v>
      </c>
      <c r="H1490" s="11" t="s">
        <v>9605</v>
      </c>
    </row>
    <row r="1491" customFormat="false" ht="17.15" hidden="false" customHeight="false" outlineLevel="0" collapsed="false">
      <c r="A1491" s="11" t="s">
        <v>9606</v>
      </c>
      <c r="B1491" s="11" t="s">
        <v>5115</v>
      </c>
      <c r="C1491" s="11" t="s">
        <v>155</v>
      </c>
      <c r="D1491" s="6" t="n">
        <v>168263</v>
      </c>
      <c r="E1491" s="5" t="s">
        <v>6210</v>
      </c>
      <c r="F1491" s="5" t="s">
        <v>6210</v>
      </c>
      <c r="G1491" s="11" t="s">
        <v>137</v>
      </c>
      <c r="H1491" s="11" t="s">
        <v>9607</v>
      </c>
    </row>
    <row r="1492" customFormat="false" ht="17.15" hidden="false" customHeight="false" outlineLevel="0" collapsed="false">
      <c r="A1492" s="11" t="s">
        <v>9608</v>
      </c>
      <c r="B1492" s="11" t="s">
        <v>1214</v>
      </c>
      <c r="C1492" s="11" t="s">
        <v>192</v>
      </c>
      <c r="D1492" s="6" t="n">
        <v>168230</v>
      </c>
      <c r="E1492" s="5" t="s">
        <v>6239</v>
      </c>
      <c r="F1492" s="5" t="s">
        <v>6239</v>
      </c>
      <c r="G1492" s="11" t="s">
        <v>143</v>
      </c>
      <c r="H1492" s="11" t="s">
        <v>9609</v>
      </c>
    </row>
    <row r="1493" customFormat="false" ht="17.15" hidden="false" customHeight="false" outlineLevel="0" collapsed="false">
      <c r="A1493" s="11" t="s">
        <v>9610</v>
      </c>
      <c r="B1493" s="11" t="s">
        <v>1381</v>
      </c>
      <c r="C1493" s="11" t="s">
        <v>162</v>
      </c>
      <c r="D1493" s="6" t="n">
        <v>167788</v>
      </c>
      <c r="E1493" s="5" t="s">
        <v>6207</v>
      </c>
      <c r="F1493" s="5" t="s">
        <v>6207</v>
      </c>
      <c r="G1493" s="11" t="s">
        <v>134</v>
      </c>
      <c r="H1493" s="11" t="s">
        <v>9611</v>
      </c>
    </row>
    <row r="1494" customFormat="false" ht="17.15" hidden="false" customHeight="false" outlineLevel="0" collapsed="false">
      <c r="A1494" s="11" t="s">
        <v>9612</v>
      </c>
      <c r="B1494" s="11" t="s">
        <v>9613</v>
      </c>
      <c r="C1494" s="11" t="s">
        <v>197</v>
      </c>
      <c r="D1494" s="6" t="n">
        <v>167001</v>
      </c>
      <c r="E1494" s="5" t="s">
        <v>6239</v>
      </c>
      <c r="F1494" s="5" t="s">
        <v>6239</v>
      </c>
      <c r="G1494" s="11" t="s">
        <v>143</v>
      </c>
      <c r="H1494" s="11" t="s">
        <v>9614</v>
      </c>
    </row>
    <row r="1495" customFormat="false" ht="17.15" hidden="false" customHeight="false" outlineLevel="0" collapsed="false">
      <c r="A1495" s="11" t="s">
        <v>9615</v>
      </c>
      <c r="B1495" s="11" t="s">
        <v>1597</v>
      </c>
      <c r="C1495" s="11" t="s">
        <v>149</v>
      </c>
      <c r="D1495" s="6" t="n">
        <v>166957</v>
      </c>
      <c r="E1495" s="5" t="s">
        <v>6207</v>
      </c>
      <c r="F1495" s="5" t="s">
        <v>6207</v>
      </c>
      <c r="G1495" s="11" t="s">
        <v>134</v>
      </c>
      <c r="H1495" s="11" t="s">
        <v>9616</v>
      </c>
    </row>
    <row r="1496" customFormat="false" ht="17.15" hidden="false" customHeight="false" outlineLevel="0" collapsed="false">
      <c r="A1496" s="11" t="s">
        <v>9617</v>
      </c>
      <c r="B1496" s="11" t="s">
        <v>327</v>
      </c>
      <c r="C1496" s="11" t="s">
        <v>175</v>
      </c>
      <c r="D1496" s="6" t="n">
        <v>166915</v>
      </c>
      <c r="E1496" s="5" t="s">
        <v>6207</v>
      </c>
      <c r="F1496" s="5" t="s">
        <v>6207</v>
      </c>
      <c r="G1496" s="11" t="s">
        <v>134</v>
      </c>
      <c r="H1496" s="11" t="s">
        <v>9618</v>
      </c>
    </row>
    <row r="1497" customFormat="false" ht="17.15" hidden="false" customHeight="false" outlineLevel="0" collapsed="false">
      <c r="A1497" s="11" t="s">
        <v>9619</v>
      </c>
      <c r="B1497" s="11" t="s">
        <v>7416</v>
      </c>
      <c r="C1497" s="11" t="s">
        <v>192</v>
      </c>
      <c r="D1497" s="6" t="n">
        <v>166720</v>
      </c>
      <c r="E1497" s="5" t="s">
        <v>6239</v>
      </c>
      <c r="F1497" s="5" t="s">
        <v>6239</v>
      </c>
      <c r="G1497" s="11" t="s">
        <v>143</v>
      </c>
      <c r="H1497" s="11" t="s">
        <v>9620</v>
      </c>
    </row>
    <row r="1498" customFormat="false" ht="15" hidden="false" customHeight="false" outlineLevel="0" collapsed="false">
      <c r="A1498" s="11" t="s">
        <v>9621</v>
      </c>
      <c r="B1498" s="11" t="s">
        <v>6838</v>
      </c>
      <c r="C1498" s="11" t="s">
        <v>157</v>
      </c>
      <c r="D1498" s="6" t="n">
        <v>166552</v>
      </c>
      <c r="E1498" s="5" t="s">
        <v>6413</v>
      </c>
      <c r="F1498" s="5" t="s">
        <v>6413</v>
      </c>
      <c r="G1498" s="11" t="s">
        <v>128</v>
      </c>
      <c r="H1498" s="11" t="s">
        <v>9622</v>
      </c>
    </row>
    <row r="1499" customFormat="false" ht="15" hidden="false" customHeight="false" outlineLevel="0" collapsed="false">
      <c r="A1499" s="11" t="s">
        <v>9623</v>
      </c>
      <c r="B1499" s="11" t="s">
        <v>989</v>
      </c>
      <c r="C1499" s="11" t="s">
        <v>155</v>
      </c>
      <c r="D1499" s="6" t="n">
        <v>166383</v>
      </c>
      <c r="E1499" s="5" t="s">
        <v>141</v>
      </c>
      <c r="F1499" s="5" t="s">
        <v>141</v>
      </c>
      <c r="G1499" s="11" t="s">
        <v>140</v>
      </c>
      <c r="H1499" s="11" t="s">
        <v>9624</v>
      </c>
    </row>
    <row r="1500" customFormat="false" ht="17.15" hidden="false" customHeight="false" outlineLevel="0" collapsed="false">
      <c r="A1500" s="11" t="s">
        <v>9625</v>
      </c>
      <c r="B1500" s="11" t="s">
        <v>6681</v>
      </c>
      <c r="C1500" s="11" t="s">
        <v>162</v>
      </c>
      <c r="D1500" s="6" t="n">
        <v>166206</v>
      </c>
      <c r="E1500" s="5" t="s">
        <v>6207</v>
      </c>
      <c r="F1500" s="5" t="s">
        <v>6207</v>
      </c>
      <c r="G1500" s="11" t="s">
        <v>134</v>
      </c>
      <c r="H1500" s="11" t="s">
        <v>9626</v>
      </c>
    </row>
    <row r="1501" customFormat="false" ht="17.15" hidden="false" customHeight="false" outlineLevel="0" collapsed="false">
      <c r="A1501" s="11" t="s">
        <v>9627</v>
      </c>
      <c r="B1501" s="11" t="s">
        <v>9628</v>
      </c>
      <c r="C1501" s="11" t="s">
        <v>178</v>
      </c>
      <c r="D1501" s="6" t="n">
        <v>166017</v>
      </c>
      <c r="E1501" s="5" t="s">
        <v>6207</v>
      </c>
      <c r="F1501" s="5" t="s">
        <v>6207</v>
      </c>
      <c r="G1501" s="11" t="s">
        <v>134</v>
      </c>
      <c r="H1501" s="11" t="s">
        <v>9629</v>
      </c>
    </row>
    <row r="1502" customFormat="false" ht="15" hidden="false" customHeight="false" outlineLevel="0" collapsed="false">
      <c r="A1502" s="11" t="s">
        <v>9630</v>
      </c>
      <c r="B1502" s="11" t="s">
        <v>9631</v>
      </c>
      <c r="C1502" s="11" t="s">
        <v>157</v>
      </c>
      <c r="D1502" s="6" t="n">
        <v>165828</v>
      </c>
      <c r="E1502" s="5" t="s">
        <v>6413</v>
      </c>
      <c r="F1502" s="5" t="s">
        <v>6413</v>
      </c>
      <c r="G1502" s="11" t="s">
        <v>128</v>
      </c>
      <c r="H1502" s="11" t="s">
        <v>9632</v>
      </c>
    </row>
    <row r="1503" customFormat="false" ht="17.15" hidden="false" customHeight="false" outlineLevel="0" collapsed="false">
      <c r="A1503" s="11" t="s">
        <v>9633</v>
      </c>
      <c r="B1503" s="11" t="s">
        <v>402</v>
      </c>
      <c r="C1503" s="11" t="s">
        <v>150</v>
      </c>
      <c r="D1503" s="6" t="n">
        <v>165710</v>
      </c>
      <c r="E1503" s="5" t="s">
        <v>6207</v>
      </c>
      <c r="F1503" s="5" t="s">
        <v>6207</v>
      </c>
      <c r="G1503" s="11" t="s">
        <v>134</v>
      </c>
      <c r="H1503" s="11" t="s">
        <v>9634</v>
      </c>
    </row>
    <row r="1504" customFormat="false" ht="17.15" hidden="false" customHeight="false" outlineLevel="0" collapsed="false">
      <c r="A1504" s="11" t="s">
        <v>9635</v>
      </c>
      <c r="B1504" s="11" t="s">
        <v>9636</v>
      </c>
      <c r="C1504" s="11" t="s">
        <v>149</v>
      </c>
      <c r="D1504" s="6" t="n">
        <v>165355</v>
      </c>
      <c r="E1504" s="5" t="s">
        <v>6210</v>
      </c>
      <c r="F1504" s="5" t="s">
        <v>6210</v>
      </c>
      <c r="G1504" s="11" t="s">
        <v>137</v>
      </c>
      <c r="H1504" s="11" t="s">
        <v>9637</v>
      </c>
    </row>
    <row r="1505" customFormat="false" ht="17.15" hidden="false" customHeight="false" outlineLevel="0" collapsed="false">
      <c r="A1505" s="11" t="s">
        <v>9638</v>
      </c>
      <c r="B1505" s="11" t="s">
        <v>323</v>
      </c>
      <c r="C1505" s="11" t="s">
        <v>161</v>
      </c>
      <c r="D1505" s="6" t="n">
        <v>164896</v>
      </c>
      <c r="E1505" s="5" t="s">
        <v>6207</v>
      </c>
      <c r="F1505" s="5" t="s">
        <v>6207</v>
      </c>
      <c r="G1505" s="11" t="s">
        <v>134</v>
      </c>
      <c r="H1505" s="11" t="s">
        <v>9639</v>
      </c>
    </row>
    <row r="1506" customFormat="false" ht="17.15" hidden="false" customHeight="false" outlineLevel="0" collapsed="false">
      <c r="A1506" s="11" t="s">
        <v>9640</v>
      </c>
      <c r="B1506" s="11" t="s">
        <v>323</v>
      </c>
      <c r="C1506" s="11" t="s">
        <v>162</v>
      </c>
      <c r="D1506" s="6" t="n">
        <v>164566</v>
      </c>
      <c r="E1506" s="5" t="s">
        <v>6207</v>
      </c>
      <c r="F1506" s="5" t="s">
        <v>6207</v>
      </c>
      <c r="G1506" s="11" t="s">
        <v>134</v>
      </c>
      <c r="H1506" s="11" t="s">
        <v>9641</v>
      </c>
    </row>
    <row r="1507" customFormat="false" ht="17.15" hidden="false" customHeight="false" outlineLevel="0" collapsed="false">
      <c r="A1507" s="11" t="s">
        <v>9642</v>
      </c>
      <c r="B1507" s="11" t="s">
        <v>8332</v>
      </c>
      <c r="C1507" s="11" t="s">
        <v>193</v>
      </c>
      <c r="D1507" s="6" t="n">
        <v>164289</v>
      </c>
      <c r="E1507" s="5" t="s">
        <v>6239</v>
      </c>
      <c r="F1507" s="5" t="s">
        <v>6239</v>
      </c>
      <c r="G1507" s="11" t="s">
        <v>143</v>
      </c>
      <c r="H1507" s="11" t="s">
        <v>9643</v>
      </c>
    </row>
    <row r="1508" customFormat="false" ht="15" hidden="false" customHeight="false" outlineLevel="0" collapsed="false">
      <c r="A1508" s="11" t="s">
        <v>9644</v>
      </c>
      <c r="B1508" s="11" t="s">
        <v>9645</v>
      </c>
      <c r="C1508" s="11" t="s">
        <v>156</v>
      </c>
      <c r="D1508" s="6" t="n">
        <v>164272</v>
      </c>
      <c r="E1508" s="5" t="s">
        <v>6413</v>
      </c>
      <c r="F1508" s="5" t="s">
        <v>6413</v>
      </c>
      <c r="G1508" s="11" t="s">
        <v>128</v>
      </c>
      <c r="H1508" s="11" t="s">
        <v>9646</v>
      </c>
    </row>
    <row r="1509" customFormat="false" ht="17.15" hidden="false" customHeight="false" outlineLevel="0" collapsed="false">
      <c r="A1509" s="11" t="s">
        <v>9647</v>
      </c>
      <c r="B1509" s="11" t="s">
        <v>368</v>
      </c>
      <c r="C1509" s="11" t="s">
        <v>161</v>
      </c>
      <c r="D1509" s="6" t="n">
        <v>164115</v>
      </c>
      <c r="E1509" s="5" t="s">
        <v>6207</v>
      </c>
      <c r="F1509" s="5" t="s">
        <v>6207</v>
      </c>
      <c r="G1509" s="11" t="s">
        <v>134</v>
      </c>
      <c r="H1509" s="11" t="s">
        <v>9648</v>
      </c>
    </row>
    <row r="1510" customFormat="false" ht="17.15" hidden="false" customHeight="false" outlineLevel="0" collapsed="false">
      <c r="A1510" s="11" t="s">
        <v>9649</v>
      </c>
      <c r="B1510" s="11" t="s">
        <v>5203</v>
      </c>
      <c r="C1510" s="11" t="s">
        <v>152</v>
      </c>
      <c r="D1510" s="6" t="n">
        <v>163651</v>
      </c>
      <c r="E1510" s="5" t="s">
        <v>6207</v>
      </c>
      <c r="F1510" s="5" t="s">
        <v>6207</v>
      </c>
      <c r="G1510" s="11" t="s">
        <v>134</v>
      </c>
      <c r="H1510" s="11" t="s">
        <v>9650</v>
      </c>
    </row>
    <row r="1511" customFormat="false" ht="17.15" hidden="false" customHeight="false" outlineLevel="0" collapsed="false">
      <c r="A1511" s="11" t="s">
        <v>9651</v>
      </c>
      <c r="B1511" s="11" t="s">
        <v>9652</v>
      </c>
      <c r="C1511" s="11" t="s">
        <v>197</v>
      </c>
      <c r="D1511" s="6" t="n">
        <v>163631</v>
      </c>
      <c r="E1511" s="5" t="s">
        <v>6239</v>
      </c>
      <c r="F1511" s="5" t="s">
        <v>6239</v>
      </c>
      <c r="G1511" s="11" t="s">
        <v>143</v>
      </c>
      <c r="H1511" s="11" t="s">
        <v>9653</v>
      </c>
    </row>
    <row r="1512" customFormat="false" ht="17.15" hidden="false" customHeight="false" outlineLevel="0" collapsed="false">
      <c r="A1512" s="11" t="s">
        <v>9654</v>
      </c>
      <c r="B1512" s="11" t="s">
        <v>402</v>
      </c>
      <c r="C1512" s="11" t="s">
        <v>150</v>
      </c>
      <c r="D1512" s="6" t="n">
        <v>163503</v>
      </c>
      <c r="E1512" s="5" t="s">
        <v>6207</v>
      </c>
      <c r="F1512" s="5" t="s">
        <v>6207</v>
      </c>
      <c r="G1512" s="11" t="s">
        <v>134</v>
      </c>
      <c r="H1512" s="11" t="s">
        <v>9655</v>
      </c>
    </row>
    <row r="1513" customFormat="false" ht="17.15" hidden="false" customHeight="false" outlineLevel="0" collapsed="false">
      <c r="A1513" s="11" t="s">
        <v>9656</v>
      </c>
      <c r="B1513" s="11" t="s">
        <v>7460</v>
      </c>
      <c r="C1513" s="11" t="s">
        <v>151</v>
      </c>
      <c r="D1513" s="6" t="n">
        <v>162398</v>
      </c>
      <c r="E1513" s="5" t="s">
        <v>6207</v>
      </c>
      <c r="F1513" s="5" t="s">
        <v>6207</v>
      </c>
      <c r="G1513" s="11" t="s">
        <v>134</v>
      </c>
      <c r="H1513" s="11" t="s">
        <v>9657</v>
      </c>
    </row>
    <row r="1514" customFormat="false" ht="17.15" hidden="false" customHeight="false" outlineLevel="0" collapsed="false">
      <c r="A1514" s="11" t="s">
        <v>9658</v>
      </c>
      <c r="B1514" s="11" t="s">
        <v>9218</v>
      </c>
      <c r="C1514" s="11" t="s">
        <v>194</v>
      </c>
      <c r="D1514" s="6" t="n">
        <v>162283</v>
      </c>
      <c r="E1514" s="5" t="s">
        <v>6239</v>
      </c>
      <c r="F1514" s="5" t="s">
        <v>6239</v>
      </c>
      <c r="G1514" s="11" t="s">
        <v>143</v>
      </c>
      <c r="H1514" s="11" t="s">
        <v>9659</v>
      </c>
    </row>
    <row r="1515" customFormat="false" ht="17.15" hidden="false" customHeight="false" outlineLevel="0" collapsed="false">
      <c r="A1515" s="11" t="s">
        <v>9660</v>
      </c>
      <c r="B1515" s="11" t="s">
        <v>4059</v>
      </c>
      <c r="C1515" s="11" t="s">
        <v>192</v>
      </c>
      <c r="D1515" s="6" t="n">
        <v>162243</v>
      </c>
      <c r="E1515" s="5" t="s">
        <v>6239</v>
      </c>
      <c r="F1515" s="5" t="s">
        <v>6239</v>
      </c>
      <c r="G1515" s="11" t="s">
        <v>143</v>
      </c>
      <c r="H1515" s="11" t="s">
        <v>9661</v>
      </c>
    </row>
    <row r="1516" customFormat="false" ht="17.15" hidden="false" customHeight="false" outlineLevel="0" collapsed="false">
      <c r="A1516" s="11" t="s">
        <v>9662</v>
      </c>
      <c r="B1516" s="11" t="s">
        <v>9663</v>
      </c>
      <c r="C1516" s="11" t="s">
        <v>192</v>
      </c>
      <c r="D1516" s="6" t="n">
        <v>162187</v>
      </c>
      <c r="E1516" s="5" t="s">
        <v>6239</v>
      </c>
      <c r="F1516" s="5" t="s">
        <v>6239</v>
      </c>
      <c r="G1516" s="11" t="s">
        <v>143</v>
      </c>
      <c r="H1516" s="11" t="s">
        <v>9664</v>
      </c>
    </row>
    <row r="1517" customFormat="false" ht="17.15" hidden="false" customHeight="false" outlineLevel="0" collapsed="false">
      <c r="A1517" s="11" t="s">
        <v>9665</v>
      </c>
      <c r="B1517" s="11" t="s">
        <v>6647</v>
      </c>
      <c r="C1517" s="5"/>
      <c r="D1517" s="6" t="n">
        <v>162130</v>
      </c>
      <c r="E1517" s="5" t="s">
        <v>6264</v>
      </c>
      <c r="F1517" s="5" t="s">
        <v>6648</v>
      </c>
      <c r="G1517" s="11" t="s">
        <v>6649</v>
      </c>
      <c r="H1517" s="11" t="s">
        <v>9666</v>
      </c>
    </row>
    <row r="1518" customFormat="false" ht="17.15" hidden="false" customHeight="false" outlineLevel="0" collapsed="false">
      <c r="A1518" s="11" t="s">
        <v>9667</v>
      </c>
      <c r="B1518" s="11" t="s">
        <v>9668</v>
      </c>
      <c r="C1518" s="5"/>
      <c r="D1518" s="6" t="n">
        <v>161542</v>
      </c>
      <c r="E1518" s="5" t="s">
        <v>6207</v>
      </c>
      <c r="F1518" s="5" t="s">
        <v>6207</v>
      </c>
      <c r="G1518" s="11" t="s">
        <v>134</v>
      </c>
      <c r="H1518" s="11" t="s">
        <v>9669</v>
      </c>
    </row>
    <row r="1519" customFormat="false" ht="17.15" hidden="false" customHeight="false" outlineLevel="0" collapsed="false">
      <c r="A1519" s="11" t="s">
        <v>9670</v>
      </c>
      <c r="B1519" s="11" t="s">
        <v>6681</v>
      </c>
      <c r="C1519" s="11" t="s">
        <v>168</v>
      </c>
      <c r="D1519" s="6" t="n">
        <v>161428</v>
      </c>
      <c r="E1519" s="5" t="s">
        <v>6210</v>
      </c>
      <c r="F1519" s="5" t="s">
        <v>6210</v>
      </c>
      <c r="G1519" s="11" t="s">
        <v>137</v>
      </c>
      <c r="H1519" s="11" t="s">
        <v>9671</v>
      </c>
    </row>
    <row r="1520" customFormat="false" ht="17.15" hidden="false" customHeight="false" outlineLevel="0" collapsed="false">
      <c r="A1520" s="11" t="s">
        <v>9672</v>
      </c>
      <c r="B1520" s="11" t="s">
        <v>1214</v>
      </c>
      <c r="C1520" s="11" t="s">
        <v>192</v>
      </c>
      <c r="D1520" s="6" t="n">
        <v>161365</v>
      </c>
      <c r="E1520" s="5" t="s">
        <v>6239</v>
      </c>
      <c r="F1520" s="5" t="s">
        <v>6239</v>
      </c>
      <c r="G1520" s="11" t="s">
        <v>143</v>
      </c>
      <c r="H1520" s="11" t="s">
        <v>9673</v>
      </c>
    </row>
    <row r="1521" customFormat="false" ht="17.15" hidden="false" customHeight="false" outlineLevel="0" collapsed="false">
      <c r="A1521" s="11" t="s">
        <v>9674</v>
      </c>
      <c r="B1521" s="11" t="s">
        <v>681</v>
      </c>
      <c r="C1521" s="11" t="s">
        <v>172</v>
      </c>
      <c r="D1521" s="6" t="n">
        <v>161300</v>
      </c>
      <c r="E1521" s="5" t="s">
        <v>6207</v>
      </c>
      <c r="F1521" s="5" t="s">
        <v>6207</v>
      </c>
      <c r="G1521" s="11" t="s">
        <v>134</v>
      </c>
      <c r="H1521" s="11" t="s">
        <v>9675</v>
      </c>
    </row>
    <row r="1522" customFormat="false" ht="17.15" hidden="false" customHeight="false" outlineLevel="0" collapsed="false">
      <c r="A1522" s="11" t="s">
        <v>9676</v>
      </c>
      <c r="B1522" s="11" t="s">
        <v>4242</v>
      </c>
      <c r="C1522" s="11" t="s">
        <v>152</v>
      </c>
      <c r="D1522" s="6" t="n">
        <v>161297</v>
      </c>
      <c r="E1522" s="5" t="s">
        <v>6210</v>
      </c>
      <c r="F1522" s="5" t="s">
        <v>6210</v>
      </c>
      <c r="G1522" s="11" t="s">
        <v>137</v>
      </c>
      <c r="H1522" s="11" t="s">
        <v>9677</v>
      </c>
    </row>
    <row r="1523" customFormat="false" ht="17.15" hidden="false" customHeight="false" outlineLevel="0" collapsed="false">
      <c r="A1523" s="11" t="s">
        <v>9678</v>
      </c>
      <c r="B1523" s="11" t="s">
        <v>3171</v>
      </c>
      <c r="C1523" s="11" t="s">
        <v>167</v>
      </c>
      <c r="D1523" s="6" t="n">
        <v>161071</v>
      </c>
      <c r="E1523" s="5" t="s">
        <v>6210</v>
      </c>
      <c r="F1523" s="5" t="s">
        <v>6210</v>
      </c>
      <c r="G1523" s="11" t="s">
        <v>137</v>
      </c>
      <c r="H1523" s="11" t="s">
        <v>9679</v>
      </c>
    </row>
    <row r="1524" customFormat="false" ht="17.15" hidden="false" customHeight="false" outlineLevel="0" collapsed="false">
      <c r="A1524" s="11" t="s">
        <v>9680</v>
      </c>
      <c r="B1524" s="11" t="s">
        <v>6647</v>
      </c>
      <c r="C1524" s="11" t="s">
        <v>153</v>
      </c>
      <c r="D1524" s="6" t="n">
        <v>160840</v>
      </c>
      <c r="E1524" s="5" t="s">
        <v>6264</v>
      </c>
      <c r="F1524" s="5" t="s">
        <v>6264</v>
      </c>
      <c r="G1524" s="11" t="s">
        <v>131</v>
      </c>
      <c r="H1524" s="11" t="s">
        <v>9681</v>
      </c>
    </row>
    <row r="1525" customFormat="false" ht="17.15" hidden="false" customHeight="false" outlineLevel="0" collapsed="false">
      <c r="A1525" s="11" t="s">
        <v>9682</v>
      </c>
      <c r="B1525" s="11" t="s">
        <v>308</v>
      </c>
      <c r="C1525" s="11" t="s">
        <v>162</v>
      </c>
      <c r="D1525" s="6" t="n">
        <v>160809</v>
      </c>
      <c r="E1525" s="5" t="s">
        <v>6207</v>
      </c>
      <c r="F1525" s="5" t="s">
        <v>6207</v>
      </c>
      <c r="G1525" s="11" t="s">
        <v>134</v>
      </c>
      <c r="H1525" s="11" t="s">
        <v>9683</v>
      </c>
    </row>
    <row r="1526" customFormat="false" ht="17.15" hidden="false" customHeight="false" outlineLevel="0" collapsed="false">
      <c r="A1526" s="11" t="s">
        <v>9684</v>
      </c>
      <c r="B1526" s="11" t="s">
        <v>6647</v>
      </c>
      <c r="C1526" s="11" t="s">
        <v>162</v>
      </c>
      <c r="D1526" s="6" t="n">
        <v>160780</v>
      </c>
      <c r="E1526" s="5" t="s">
        <v>6264</v>
      </c>
      <c r="F1526" s="5" t="s">
        <v>6648</v>
      </c>
      <c r="G1526" s="11" t="s">
        <v>6649</v>
      </c>
      <c r="H1526" s="11" t="s">
        <v>9685</v>
      </c>
    </row>
    <row r="1527" customFormat="false" ht="17.15" hidden="false" customHeight="false" outlineLevel="0" collapsed="false">
      <c r="A1527" s="11" t="s">
        <v>9686</v>
      </c>
      <c r="B1527" s="11" t="s">
        <v>6409</v>
      </c>
      <c r="C1527" s="11" t="s">
        <v>150</v>
      </c>
      <c r="D1527" s="6" t="n">
        <v>160518</v>
      </c>
      <c r="E1527" s="5" t="s">
        <v>6207</v>
      </c>
      <c r="F1527" s="5" t="s">
        <v>6207</v>
      </c>
      <c r="G1527" s="11" t="s">
        <v>134</v>
      </c>
      <c r="H1527" s="11" t="s">
        <v>9687</v>
      </c>
    </row>
    <row r="1528" customFormat="false" ht="17.15" hidden="false" customHeight="false" outlineLevel="0" collapsed="false">
      <c r="A1528" s="11" t="s">
        <v>9688</v>
      </c>
      <c r="B1528" s="11" t="s">
        <v>9689</v>
      </c>
      <c r="C1528" s="11" t="s">
        <v>192</v>
      </c>
      <c r="D1528" s="6" t="n">
        <v>160493</v>
      </c>
      <c r="E1528" s="5" t="s">
        <v>6239</v>
      </c>
      <c r="F1528" s="5" t="s">
        <v>6239</v>
      </c>
      <c r="G1528" s="11" t="s">
        <v>143</v>
      </c>
      <c r="H1528" s="11" t="s">
        <v>9690</v>
      </c>
    </row>
    <row r="1529" customFormat="false" ht="15" hidden="false" customHeight="false" outlineLevel="0" collapsed="false">
      <c r="A1529" s="11" t="s">
        <v>9691</v>
      </c>
      <c r="B1529" s="11" t="s">
        <v>9281</v>
      </c>
      <c r="C1529" s="11" t="s">
        <v>155</v>
      </c>
      <c r="D1529" s="6" t="n">
        <v>160431</v>
      </c>
      <c r="E1529" s="5" t="s">
        <v>141</v>
      </c>
      <c r="F1529" s="5" t="s">
        <v>141</v>
      </c>
      <c r="G1529" s="11" t="s">
        <v>140</v>
      </c>
      <c r="H1529" s="11" t="s">
        <v>9692</v>
      </c>
    </row>
    <row r="1530" customFormat="false" ht="17.15" hidden="false" customHeight="false" outlineLevel="0" collapsed="false">
      <c r="A1530" s="11" t="s">
        <v>9693</v>
      </c>
      <c r="B1530" s="11" t="s">
        <v>6647</v>
      </c>
      <c r="C1530" s="11" t="s">
        <v>162</v>
      </c>
      <c r="D1530" s="6" t="n">
        <v>160266</v>
      </c>
      <c r="E1530" s="5" t="s">
        <v>6264</v>
      </c>
      <c r="F1530" s="5" t="s">
        <v>6264</v>
      </c>
      <c r="G1530" s="11" t="s">
        <v>131</v>
      </c>
      <c r="H1530" s="11" t="s">
        <v>9694</v>
      </c>
    </row>
    <row r="1531" customFormat="false" ht="17.15" hidden="false" customHeight="false" outlineLevel="0" collapsed="false">
      <c r="A1531" s="11" t="s">
        <v>9695</v>
      </c>
      <c r="B1531" s="11" t="s">
        <v>3814</v>
      </c>
      <c r="C1531" s="11" t="s">
        <v>155</v>
      </c>
      <c r="D1531" s="6" t="n">
        <v>160156</v>
      </c>
      <c r="E1531" s="5" t="s">
        <v>6207</v>
      </c>
      <c r="F1531" s="5" t="s">
        <v>6207</v>
      </c>
      <c r="G1531" s="11" t="s">
        <v>134</v>
      </c>
      <c r="H1531" s="11" t="s">
        <v>9696</v>
      </c>
    </row>
    <row r="1532" customFormat="false" ht="17.15" hidden="false" customHeight="false" outlineLevel="0" collapsed="false">
      <c r="A1532" s="11" t="s">
        <v>9697</v>
      </c>
      <c r="B1532" s="11" t="s">
        <v>6681</v>
      </c>
      <c r="C1532" s="11" t="s">
        <v>197</v>
      </c>
      <c r="D1532" s="6" t="n">
        <v>159897</v>
      </c>
      <c r="E1532" s="5" t="s">
        <v>6210</v>
      </c>
      <c r="F1532" s="5" t="s">
        <v>6516</v>
      </c>
      <c r="G1532" s="11" t="s">
        <v>6517</v>
      </c>
      <c r="H1532" s="11" t="s">
        <v>9698</v>
      </c>
    </row>
    <row r="1533" customFormat="false" ht="17.15" hidden="false" customHeight="false" outlineLevel="0" collapsed="false">
      <c r="A1533" s="11" t="s">
        <v>9699</v>
      </c>
      <c r="B1533" s="11" t="s">
        <v>6581</v>
      </c>
      <c r="C1533" s="11" t="s">
        <v>156</v>
      </c>
      <c r="D1533" s="6" t="n">
        <v>159653</v>
      </c>
      <c r="E1533" s="5" t="s">
        <v>6264</v>
      </c>
      <c r="F1533" s="5" t="s">
        <v>6264</v>
      </c>
      <c r="G1533" s="11" t="s">
        <v>131</v>
      </c>
      <c r="H1533" s="11" t="s">
        <v>9700</v>
      </c>
    </row>
    <row r="1534" customFormat="false" ht="17.15" hidden="false" customHeight="false" outlineLevel="0" collapsed="false">
      <c r="A1534" s="11" t="s">
        <v>9701</v>
      </c>
      <c r="B1534" s="11" t="s">
        <v>9702</v>
      </c>
      <c r="C1534" s="11" t="s">
        <v>162</v>
      </c>
      <c r="D1534" s="6" t="n">
        <v>159431</v>
      </c>
      <c r="E1534" s="5" t="s">
        <v>6207</v>
      </c>
      <c r="F1534" s="5" t="s">
        <v>6207</v>
      </c>
      <c r="G1534" s="11" t="s">
        <v>134</v>
      </c>
      <c r="H1534" s="11" t="s">
        <v>9703</v>
      </c>
    </row>
    <row r="1535" customFormat="false" ht="17.15" hidden="false" customHeight="false" outlineLevel="0" collapsed="false">
      <c r="A1535" s="11" t="s">
        <v>9704</v>
      </c>
      <c r="B1535" s="11" t="s">
        <v>368</v>
      </c>
      <c r="C1535" s="11" t="s">
        <v>179</v>
      </c>
      <c r="D1535" s="6" t="n">
        <v>159410</v>
      </c>
      <c r="E1535" s="5" t="s">
        <v>6207</v>
      </c>
      <c r="F1535" s="5" t="s">
        <v>6207</v>
      </c>
      <c r="G1535" s="11" t="s">
        <v>134</v>
      </c>
      <c r="H1535" s="11" t="s">
        <v>9705</v>
      </c>
    </row>
    <row r="1536" customFormat="false" ht="17.15" hidden="false" customHeight="false" outlineLevel="0" collapsed="false">
      <c r="A1536" s="11" t="s">
        <v>9706</v>
      </c>
      <c r="B1536" s="11" t="s">
        <v>6409</v>
      </c>
      <c r="C1536" s="11" t="s">
        <v>150</v>
      </c>
      <c r="D1536" s="6" t="n">
        <v>159089</v>
      </c>
      <c r="E1536" s="5" t="s">
        <v>6207</v>
      </c>
      <c r="F1536" s="5" t="s">
        <v>6207</v>
      </c>
      <c r="G1536" s="11" t="s">
        <v>134</v>
      </c>
      <c r="H1536" s="11" t="s">
        <v>9707</v>
      </c>
    </row>
    <row r="1537" customFormat="false" ht="17.15" hidden="false" customHeight="false" outlineLevel="0" collapsed="false">
      <c r="A1537" s="11" t="s">
        <v>9708</v>
      </c>
      <c r="B1537" s="11" t="s">
        <v>9709</v>
      </c>
      <c r="C1537" s="11" t="s">
        <v>152</v>
      </c>
      <c r="D1537" s="6" t="n">
        <v>159051</v>
      </c>
      <c r="E1537" s="5" t="s">
        <v>6207</v>
      </c>
      <c r="F1537" s="5" t="s">
        <v>6207</v>
      </c>
      <c r="G1537" s="11" t="s">
        <v>134</v>
      </c>
      <c r="H1537" s="11" t="s">
        <v>9710</v>
      </c>
    </row>
    <row r="1538" customFormat="false" ht="17.15" hidden="false" customHeight="false" outlineLevel="0" collapsed="false">
      <c r="A1538" s="11" t="s">
        <v>9711</v>
      </c>
      <c r="B1538" s="11" t="s">
        <v>6390</v>
      </c>
      <c r="C1538" s="11" t="s">
        <v>167</v>
      </c>
      <c r="D1538" s="6" t="n">
        <v>158908</v>
      </c>
      <c r="E1538" s="5" t="s">
        <v>6207</v>
      </c>
      <c r="F1538" s="5" t="s">
        <v>6377</v>
      </c>
      <c r="G1538" s="11" t="s">
        <v>6378</v>
      </c>
      <c r="H1538" s="11" t="s">
        <v>9712</v>
      </c>
    </row>
    <row r="1539" customFormat="false" ht="17.15" hidden="false" customHeight="false" outlineLevel="0" collapsed="false">
      <c r="A1539" s="11" t="s">
        <v>9713</v>
      </c>
      <c r="B1539" s="11" t="s">
        <v>9689</v>
      </c>
      <c r="C1539" s="11" t="s">
        <v>192</v>
      </c>
      <c r="D1539" s="6" t="n">
        <v>158908</v>
      </c>
      <c r="E1539" s="5" t="s">
        <v>6239</v>
      </c>
      <c r="F1539" s="5" t="s">
        <v>6239</v>
      </c>
      <c r="G1539" s="11" t="s">
        <v>143</v>
      </c>
      <c r="H1539" s="11" t="s">
        <v>9714</v>
      </c>
    </row>
    <row r="1540" customFormat="false" ht="17.15" hidden="false" customHeight="false" outlineLevel="0" collapsed="false">
      <c r="A1540" s="11" t="s">
        <v>9715</v>
      </c>
      <c r="B1540" s="11" t="s">
        <v>9716</v>
      </c>
      <c r="C1540" s="11" t="s">
        <v>155</v>
      </c>
      <c r="D1540" s="6" t="n">
        <v>158762</v>
      </c>
      <c r="E1540" s="5" t="s">
        <v>6264</v>
      </c>
      <c r="F1540" s="5" t="s">
        <v>6264</v>
      </c>
      <c r="G1540" s="11" t="s">
        <v>131</v>
      </c>
      <c r="H1540" s="11" t="s">
        <v>9717</v>
      </c>
    </row>
    <row r="1541" customFormat="false" ht="17.15" hidden="false" customHeight="false" outlineLevel="0" collapsed="false">
      <c r="A1541" s="11" t="s">
        <v>9718</v>
      </c>
      <c r="B1541" s="11" t="s">
        <v>402</v>
      </c>
      <c r="C1541" s="11" t="s">
        <v>150</v>
      </c>
      <c r="D1541" s="6" t="n">
        <v>158646</v>
      </c>
      <c r="E1541" s="5" t="s">
        <v>6207</v>
      </c>
      <c r="F1541" s="5" t="s">
        <v>6207</v>
      </c>
      <c r="G1541" s="11" t="s">
        <v>134</v>
      </c>
      <c r="H1541" s="11" t="s">
        <v>9719</v>
      </c>
    </row>
    <row r="1542" customFormat="false" ht="17.15" hidden="false" customHeight="false" outlineLevel="0" collapsed="false">
      <c r="A1542" s="11" t="s">
        <v>9720</v>
      </c>
      <c r="B1542" s="11" t="s">
        <v>7334</v>
      </c>
      <c r="C1542" s="11" t="s">
        <v>192</v>
      </c>
      <c r="D1542" s="6" t="n">
        <v>158563</v>
      </c>
      <c r="E1542" s="5" t="s">
        <v>6239</v>
      </c>
      <c r="F1542" s="5" t="s">
        <v>6239</v>
      </c>
      <c r="G1542" s="11" t="s">
        <v>143</v>
      </c>
      <c r="H1542" s="11" t="s">
        <v>9721</v>
      </c>
    </row>
    <row r="1543" customFormat="false" ht="17.15" hidden="false" customHeight="false" outlineLevel="0" collapsed="false">
      <c r="A1543" s="11" t="s">
        <v>9722</v>
      </c>
      <c r="B1543" s="11" t="s">
        <v>681</v>
      </c>
      <c r="C1543" s="11" t="s">
        <v>152</v>
      </c>
      <c r="D1543" s="6" t="n">
        <v>158033</v>
      </c>
      <c r="E1543" s="5" t="s">
        <v>6207</v>
      </c>
      <c r="F1543" s="5" t="s">
        <v>6207</v>
      </c>
      <c r="G1543" s="11" t="s">
        <v>134</v>
      </c>
      <c r="H1543" s="11" t="s">
        <v>9723</v>
      </c>
    </row>
    <row r="1544" customFormat="false" ht="17.15" hidden="false" customHeight="false" outlineLevel="0" collapsed="false">
      <c r="A1544" s="11" t="s">
        <v>9724</v>
      </c>
      <c r="B1544" s="11" t="s">
        <v>6647</v>
      </c>
      <c r="C1544" s="5"/>
      <c r="D1544" s="6" t="n">
        <v>158022</v>
      </c>
      <c r="E1544" s="5" t="s">
        <v>6264</v>
      </c>
      <c r="F1544" s="5" t="s">
        <v>6648</v>
      </c>
      <c r="G1544" s="11" t="s">
        <v>6649</v>
      </c>
      <c r="H1544" s="11" t="s">
        <v>9725</v>
      </c>
    </row>
    <row r="1545" customFormat="false" ht="17.15" hidden="false" customHeight="false" outlineLevel="0" collapsed="false">
      <c r="A1545" s="11" t="s">
        <v>9726</v>
      </c>
      <c r="B1545" s="11" t="s">
        <v>6647</v>
      </c>
      <c r="C1545" s="11" t="s">
        <v>175</v>
      </c>
      <c r="D1545" s="6" t="n">
        <v>158006</v>
      </c>
      <c r="E1545" s="5" t="s">
        <v>6264</v>
      </c>
      <c r="F1545" s="5" t="s">
        <v>6648</v>
      </c>
      <c r="G1545" s="11" t="s">
        <v>6649</v>
      </c>
      <c r="H1545" s="11" t="s">
        <v>9727</v>
      </c>
    </row>
    <row r="1546" customFormat="false" ht="15" hidden="false" customHeight="false" outlineLevel="0" collapsed="false">
      <c r="A1546" s="11" t="s">
        <v>9728</v>
      </c>
      <c r="B1546" s="11" t="s">
        <v>681</v>
      </c>
      <c r="C1546" s="11" t="s">
        <v>167</v>
      </c>
      <c r="D1546" s="6" t="n">
        <v>157691</v>
      </c>
      <c r="E1546" s="5" t="s">
        <v>141</v>
      </c>
      <c r="F1546" s="5" t="s">
        <v>141</v>
      </c>
      <c r="G1546" s="11" t="s">
        <v>140</v>
      </c>
      <c r="H1546" s="11" t="s">
        <v>9729</v>
      </c>
    </row>
    <row r="1547" customFormat="false" ht="17.15" hidden="false" customHeight="false" outlineLevel="0" collapsed="false">
      <c r="A1547" s="11" t="s">
        <v>9730</v>
      </c>
      <c r="B1547" s="11" t="s">
        <v>6647</v>
      </c>
      <c r="C1547" s="11" t="s">
        <v>164</v>
      </c>
      <c r="D1547" s="6" t="n">
        <v>157678</v>
      </c>
      <c r="E1547" s="5" t="s">
        <v>6264</v>
      </c>
      <c r="F1547" s="5" t="s">
        <v>6648</v>
      </c>
      <c r="G1547" s="11" t="s">
        <v>6649</v>
      </c>
      <c r="H1547" s="11" t="s">
        <v>9731</v>
      </c>
    </row>
    <row r="1548" customFormat="false" ht="17.15" hidden="false" customHeight="false" outlineLevel="0" collapsed="false">
      <c r="A1548" s="11" t="s">
        <v>9732</v>
      </c>
      <c r="B1548" s="11" t="s">
        <v>5983</v>
      </c>
      <c r="C1548" s="11" t="s">
        <v>149</v>
      </c>
      <c r="D1548" s="6" t="n">
        <v>157370</v>
      </c>
      <c r="E1548" s="5" t="s">
        <v>6207</v>
      </c>
      <c r="F1548" s="5" t="s">
        <v>6207</v>
      </c>
      <c r="G1548" s="11" t="s">
        <v>134</v>
      </c>
      <c r="H1548" s="11" t="s">
        <v>9733</v>
      </c>
    </row>
    <row r="1549" customFormat="false" ht="17.15" hidden="false" customHeight="false" outlineLevel="0" collapsed="false">
      <c r="A1549" s="11" t="s">
        <v>9734</v>
      </c>
      <c r="B1549" s="11" t="s">
        <v>6409</v>
      </c>
      <c r="C1549" s="11" t="s">
        <v>161</v>
      </c>
      <c r="D1549" s="6" t="n">
        <v>157361</v>
      </c>
      <c r="E1549" s="5" t="s">
        <v>6207</v>
      </c>
      <c r="F1549" s="5" t="s">
        <v>6207</v>
      </c>
      <c r="G1549" s="11" t="s">
        <v>134</v>
      </c>
      <c r="H1549" s="11" t="s">
        <v>9735</v>
      </c>
    </row>
    <row r="1550" customFormat="false" ht="17.15" hidden="false" customHeight="false" outlineLevel="0" collapsed="false">
      <c r="A1550" s="11" t="s">
        <v>9736</v>
      </c>
      <c r="B1550" s="11" t="s">
        <v>9737</v>
      </c>
      <c r="C1550" s="11" t="s">
        <v>155</v>
      </c>
      <c r="D1550" s="6" t="n">
        <v>157339</v>
      </c>
      <c r="E1550" s="5" t="s">
        <v>6264</v>
      </c>
      <c r="F1550" s="5" t="s">
        <v>6264</v>
      </c>
      <c r="G1550" s="11" t="s">
        <v>131</v>
      </c>
      <c r="H1550" s="11" t="s">
        <v>9738</v>
      </c>
    </row>
    <row r="1551" customFormat="false" ht="17.15" hidden="false" customHeight="false" outlineLevel="0" collapsed="false">
      <c r="A1551" s="11" t="s">
        <v>9739</v>
      </c>
      <c r="B1551" s="11" t="s">
        <v>8612</v>
      </c>
      <c r="C1551" s="11" t="s">
        <v>162</v>
      </c>
      <c r="D1551" s="6" t="n">
        <v>157275</v>
      </c>
      <c r="E1551" s="5" t="s">
        <v>6207</v>
      </c>
      <c r="F1551" s="5" t="s">
        <v>6207</v>
      </c>
      <c r="G1551" s="11" t="s">
        <v>134</v>
      </c>
      <c r="H1551" s="11" t="s">
        <v>9740</v>
      </c>
    </row>
    <row r="1552" customFormat="false" ht="17.15" hidden="false" customHeight="false" outlineLevel="0" collapsed="false">
      <c r="A1552" s="11" t="s">
        <v>9741</v>
      </c>
      <c r="B1552" s="11" t="s">
        <v>6647</v>
      </c>
      <c r="C1552" s="5"/>
      <c r="D1552" s="6" t="n">
        <v>157123</v>
      </c>
      <c r="E1552" s="5" t="s">
        <v>6264</v>
      </c>
      <c r="F1552" s="5" t="s">
        <v>6264</v>
      </c>
      <c r="G1552" s="11" t="s">
        <v>131</v>
      </c>
      <c r="H1552" s="11" t="s">
        <v>9742</v>
      </c>
    </row>
    <row r="1553" customFormat="false" ht="17.15" hidden="false" customHeight="false" outlineLevel="0" collapsed="false">
      <c r="A1553" s="11" t="s">
        <v>9743</v>
      </c>
      <c r="B1553" s="11" t="s">
        <v>6647</v>
      </c>
      <c r="C1553" s="11" t="s">
        <v>162</v>
      </c>
      <c r="D1553" s="6" t="n">
        <v>157103</v>
      </c>
      <c r="E1553" s="5" t="s">
        <v>6264</v>
      </c>
      <c r="F1553" s="5" t="s">
        <v>6648</v>
      </c>
      <c r="G1553" s="11" t="s">
        <v>6649</v>
      </c>
      <c r="H1553" s="11" t="s">
        <v>9744</v>
      </c>
    </row>
    <row r="1554" customFormat="false" ht="17.15" hidden="false" customHeight="false" outlineLevel="0" collapsed="false">
      <c r="A1554" s="11" t="s">
        <v>9745</v>
      </c>
      <c r="B1554" s="11" t="s">
        <v>2067</v>
      </c>
      <c r="C1554" s="11" t="s">
        <v>198</v>
      </c>
      <c r="D1554" s="6" t="n">
        <v>156975</v>
      </c>
      <c r="E1554" s="5" t="s">
        <v>6239</v>
      </c>
      <c r="F1554" s="5" t="s">
        <v>6239</v>
      </c>
      <c r="G1554" s="11" t="s">
        <v>143</v>
      </c>
      <c r="H1554" s="11" t="s">
        <v>9746</v>
      </c>
    </row>
    <row r="1555" customFormat="false" ht="17.15" hidden="false" customHeight="false" outlineLevel="0" collapsed="false">
      <c r="A1555" s="11" t="s">
        <v>4144</v>
      </c>
      <c r="B1555" s="11" t="s">
        <v>8716</v>
      </c>
      <c r="C1555" s="11" t="s">
        <v>155</v>
      </c>
      <c r="D1555" s="6" t="n">
        <v>156883</v>
      </c>
      <c r="E1555" s="5" t="s">
        <v>6210</v>
      </c>
      <c r="F1555" s="5" t="s">
        <v>6210</v>
      </c>
      <c r="G1555" s="11" t="s">
        <v>137</v>
      </c>
      <c r="H1555" s="11" t="s">
        <v>9747</v>
      </c>
    </row>
    <row r="1556" customFormat="false" ht="17.15" hidden="false" customHeight="false" outlineLevel="0" collapsed="false">
      <c r="A1556" s="11" t="s">
        <v>9748</v>
      </c>
      <c r="B1556" s="11" t="s">
        <v>9749</v>
      </c>
      <c r="C1556" s="11" t="s">
        <v>192</v>
      </c>
      <c r="D1556" s="6" t="n">
        <v>156825</v>
      </c>
      <c r="E1556" s="5" t="s">
        <v>141</v>
      </c>
      <c r="F1556" s="5" t="s">
        <v>6495</v>
      </c>
      <c r="G1556" s="11" t="s">
        <v>6496</v>
      </c>
      <c r="H1556" s="11" t="s">
        <v>9750</v>
      </c>
    </row>
    <row r="1557" customFormat="false" ht="17.15" hidden="false" customHeight="false" outlineLevel="0" collapsed="false">
      <c r="A1557" s="11" t="s">
        <v>9751</v>
      </c>
      <c r="B1557" s="11" t="s">
        <v>4635</v>
      </c>
      <c r="C1557" s="11" t="s">
        <v>195</v>
      </c>
      <c r="D1557" s="6" t="n">
        <v>156798</v>
      </c>
      <c r="E1557" s="5" t="s">
        <v>6239</v>
      </c>
      <c r="F1557" s="5" t="s">
        <v>6239</v>
      </c>
      <c r="G1557" s="11" t="s">
        <v>143</v>
      </c>
      <c r="H1557" s="11" t="s">
        <v>9752</v>
      </c>
    </row>
    <row r="1558" customFormat="false" ht="17.15" hidden="false" customHeight="false" outlineLevel="0" collapsed="false">
      <c r="A1558" s="11" t="s">
        <v>9753</v>
      </c>
      <c r="B1558" s="11" t="s">
        <v>9754</v>
      </c>
      <c r="C1558" s="11" t="s">
        <v>152</v>
      </c>
      <c r="D1558" s="6" t="n">
        <v>156528</v>
      </c>
      <c r="E1558" s="5" t="s">
        <v>6210</v>
      </c>
      <c r="F1558" s="5" t="s">
        <v>6210</v>
      </c>
      <c r="G1558" s="11" t="s">
        <v>137</v>
      </c>
      <c r="H1558" s="11" t="s">
        <v>9755</v>
      </c>
    </row>
    <row r="1559" customFormat="false" ht="17.15" hidden="false" customHeight="false" outlineLevel="0" collapsed="false">
      <c r="A1559" s="11" t="s">
        <v>9756</v>
      </c>
      <c r="B1559" s="11" t="s">
        <v>7416</v>
      </c>
      <c r="C1559" s="11" t="s">
        <v>192</v>
      </c>
      <c r="D1559" s="6" t="n">
        <v>156416</v>
      </c>
      <c r="E1559" s="5" t="s">
        <v>6239</v>
      </c>
      <c r="F1559" s="5" t="s">
        <v>6239</v>
      </c>
      <c r="G1559" s="11" t="s">
        <v>143</v>
      </c>
      <c r="H1559" s="11" t="s">
        <v>9757</v>
      </c>
    </row>
    <row r="1560" customFormat="false" ht="17.15" hidden="false" customHeight="false" outlineLevel="0" collapsed="false">
      <c r="A1560" s="11" t="s">
        <v>9758</v>
      </c>
      <c r="B1560" s="11" t="s">
        <v>7057</v>
      </c>
      <c r="C1560" s="5"/>
      <c r="D1560" s="6" t="n">
        <v>155673</v>
      </c>
      <c r="E1560" s="5" t="s">
        <v>6207</v>
      </c>
      <c r="F1560" s="5" t="s">
        <v>6207</v>
      </c>
      <c r="G1560" s="11" t="s">
        <v>134</v>
      </c>
      <c r="H1560" s="11" t="s">
        <v>9759</v>
      </c>
    </row>
    <row r="1561" customFormat="false" ht="15" hidden="false" customHeight="false" outlineLevel="0" collapsed="false">
      <c r="A1561" s="11" t="s">
        <v>9760</v>
      </c>
      <c r="B1561" s="11" t="s">
        <v>9761</v>
      </c>
      <c r="C1561" s="11" t="s">
        <v>150</v>
      </c>
      <c r="D1561" s="6" t="n">
        <v>155242</v>
      </c>
      <c r="E1561" s="5" t="s">
        <v>141</v>
      </c>
      <c r="F1561" s="5" t="s">
        <v>141</v>
      </c>
      <c r="G1561" s="11" t="s">
        <v>140</v>
      </c>
      <c r="H1561" s="11" t="s">
        <v>9762</v>
      </c>
    </row>
    <row r="1562" customFormat="false" ht="15" hidden="false" customHeight="false" outlineLevel="0" collapsed="false">
      <c r="A1562" s="11" t="s">
        <v>9763</v>
      </c>
      <c r="B1562" s="11" t="s">
        <v>7861</v>
      </c>
      <c r="C1562" s="11" t="s">
        <v>155</v>
      </c>
      <c r="D1562" s="6" t="n">
        <v>155186</v>
      </c>
      <c r="E1562" s="5" t="s">
        <v>6413</v>
      </c>
      <c r="F1562" s="5" t="s">
        <v>6413</v>
      </c>
      <c r="G1562" s="11" t="s">
        <v>128</v>
      </c>
      <c r="H1562" s="11" t="s">
        <v>9764</v>
      </c>
    </row>
    <row r="1563" customFormat="false" ht="17.15" hidden="false" customHeight="false" outlineLevel="0" collapsed="false">
      <c r="A1563" s="11" t="s">
        <v>9765</v>
      </c>
      <c r="B1563" s="11" t="s">
        <v>2309</v>
      </c>
      <c r="C1563" s="11" t="s">
        <v>167</v>
      </c>
      <c r="D1563" s="6" t="n">
        <v>154892</v>
      </c>
      <c r="E1563" s="5" t="s">
        <v>6207</v>
      </c>
      <c r="F1563" s="5" t="s">
        <v>6207</v>
      </c>
      <c r="G1563" s="11" t="s">
        <v>134</v>
      </c>
      <c r="H1563" s="11" t="s">
        <v>9766</v>
      </c>
    </row>
    <row r="1564" customFormat="false" ht="17.15" hidden="false" customHeight="false" outlineLevel="0" collapsed="false">
      <c r="A1564" s="11" t="s">
        <v>9767</v>
      </c>
      <c r="B1564" s="11" t="s">
        <v>9768</v>
      </c>
      <c r="C1564" s="11" t="s">
        <v>162</v>
      </c>
      <c r="D1564" s="6" t="n">
        <v>154677</v>
      </c>
      <c r="E1564" s="5" t="s">
        <v>6207</v>
      </c>
      <c r="F1564" s="5" t="s">
        <v>6207</v>
      </c>
      <c r="G1564" s="11" t="s">
        <v>134</v>
      </c>
      <c r="H1564" s="11" t="s">
        <v>9769</v>
      </c>
    </row>
    <row r="1565" customFormat="false" ht="17.15" hidden="false" customHeight="false" outlineLevel="0" collapsed="false">
      <c r="A1565" s="11" t="s">
        <v>9770</v>
      </c>
      <c r="B1565" s="11" t="s">
        <v>9771</v>
      </c>
      <c r="C1565" s="5"/>
      <c r="D1565" s="6" t="n">
        <v>154675</v>
      </c>
      <c r="E1565" s="5" t="s">
        <v>6207</v>
      </c>
      <c r="F1565" s="5" t="s">
        <v>6207</v>
      </c>
      <c r="G1565" s="11" t="s">
        <v>134</v>
      </c>
      <c r="H1565" s="11" t="s">
        <v>9772</v>
      </c>
    </row>
    <row r="1566" customFormat="false" ht="17.15" hidden="false" customHeight="false" outlineLevel="0" collapsed="false">
      <c r="A1566" s="11" t="s">
        <v>9773</v>
      </c>
      <c r="B1566" s="11" t="s">
        <v>6647</v>
      </c>
      <c r="C1566" s="5"/>
      <c r="D1566" s="6" t="n">
        <v>154525</v>
      </c>
      <c r="E1566" s="5" t="s">
        <v>6264</v>
      </c>
      <c r="F1566" s="5" t="s">
        <v>6648</v>
      </c>
      <c r="G1566" s="11" t="s">
        <v>6649</v>
      </c>
      <c r="H1566" s="11" t="s">
        <v>9774</v>
      </c>
    </row>
    <row r="1567" customFormat="false" ht="15" hidden="false" customHeight="false" outlineLevel="0" collapsed="false">
      <c r="A1567" s="11" t="s">
        <v>9775</v>
      </c>
      <c r="B1567" s="11" t="s">
        <v>9631</v>
      </c>
      <c r="C1567" s="11" t="s">
        <v>155</v>
      </c>
      <c r="D1567" s="6" t="n">
        <v>154246</v>
      </c>
      <c r="E1567" s="5" t="s">
        <v>6413</v>
      </c>
      <c r="F1567" s="5" t="s">
        <v>6413</v>
      </c>
      <c r="G1567" s="11" t="s">
        <v>128</v>
      </c>
      <c r="H1567" s="11" t="s">
        <v>9776</v>
      </c>
    </row>
    <row r="1568" customFormat="false" ht="17.15" hidden="false" customHeight="false" outlineLevel="0" collapsed="false">
      <c r="A1568" s="11" t="s">
        <v>9777</v>
      </c>
      <c r="B1568" s="11" t="s">
        <v>9778</v>
      </c>
      <c r="C1568" s="11" t="s">
        <v>192</v>
      </c>
      <c r="D1568" s="6" t="n">
        <v>153977</v>
      </c>
      <c r="E1568" s="5" t="s">
        <v>6413</v>
      </c>
      <c r="F1568" s="5" t="s">
        <v>7849</v>
      </c>
      <c r="G1568" s="11" t="s">
        <v>7850</v>
      </c>
      <c r="H1568" s="11" t="s">
        <v>9779</v>
      </c>
    </row>
    <row r="1569" customFormat="false" ht="17.15" hidden="false" customHeight="false" outlineLevel="0" collapsed="false">
      <c r="A1569" s="11" t="s">
        <v>9780</v>
      </c>
      <c r="B1569" s="11" t="s">
        <v>7195</v>
      </c>
      <c r="C1569" s="11" t="s">
        <v>152</v>
      </c>
      <c r="D1569" s="6" t="n">
        <v>153876</v>
      </c>
      <c r="E1569" s="5" t="s">
        <v>6207</v>
      </c>
      <c r="F1569" s="5" t="s">
        <v>6207</v>
      </c>
      <c r="G1569" s="11" t="s">
        <v>134</v>
      </c>
      <c r="H1569" s="11" t="s">
        <v>9781</v>
      </c>
    </row>
    <row r="1570" customFormat="false" ht="17.15" hidden="false" customHeight="false" outlineLevel="0" collapsed="false">
      <c r="A1570" s="11" t="s">
        <v>9782</v>
      </c>
      <c r="B1570" s="11" t="s">
        <v>7597</v>
      </c>
      <c r="C1570" s="11" t="s">
        <v>175</v>
      </c>
      <c r="D1570" s="6" t="n">
        <v>153262</v>
      </c>
      <c r="E1570" s="5" t="s">
        <v>6207</v>
      </c>
      <c r="F1570" s="5" t="s">
        <v>6207</v>
      </c>
      <c r="G1570" s="11" t="s">
        <v>134</v>
      </c>
      <c r="H1570" s="11" t="s">
        <v>9783</v>
      </c>
    </row>
    <row r="1571" customFormat="false" ht="17.15" hidden="false" customHeight="false" outlineLevel="0" collapsed="false">
      <c r="A1571" s="11" t="s">
        <v>9784</v>
      </c>
      <c r="B1571" s="11" t="s">
        <v>6528</v>
      </c>
      <c r="C1571" s="11" t="s">
        <v>193</v>
      </c>
      <c r="D1571" s="6" t="n">
        <v>153046</v>
      </c>
      <c r="E1571" s="5" t="s">
        <v>6239</v>
      </c>
      <c r="F1571" s="5" t="s">
        <v>6239</v>
      </c>
      <c r="G1571" s="11" t="s">
        <v>143</v>
      </c>
      <c r="H1571" s="11" t="s">
        <v>9785</v>
      </c>
    </row>
    <row r="1572" customFormat="false" ht="17.15" hidden="false" customHeight="false" outlineLevel="0" collapsed="false">
      <c r="A1572" s="11" t="s">
        <v>9786</v>
      </c>
      <c r="B1572" s="11" t="s">
        <v>9497</v>
      </c>
      <c r="C1572" s="11" t="s">
        <v>156</v>
      </c>
      <c r="D1572" s="6" t="n">
        <v>152121</v>
      </c>
      <c r="E1572" s="5" t="s">
        <v>6210</v>
      </c>
      <c r="F1572" s="5" t="s">
        <v>6210</v>
      </c>
      <c r="G1572" s="11" t="s">
        <v>137</v>
      </c>
      <c r="H1572" s="11" t="s">
        <v>9787</v>
      </c>
    </row>
    <row r="1573" customFormat="false" ht="17.15" hidden="false" customHeight="false" outlineLevel="0" collapsed="false">
      <c r="A1573" s="11" t="s">
        <v>9788</v>
      </c>
      <c r="B1573" s="11" t="s">
        <v>9789</v>
      </c>
      <c r="C1573" s="11" t="s">
        <v>193</v>
      </c>
      <c r="D1573" s="6" t="n">
        <v>152012</v>
      </c>
      <c r="E1573" s="5" t="s">
        <v>6239</v>
      </c>
      <c r="F1573" s="5" t="s">
        <v>6239</v>
      </c>
      <c r="G1573" s="11" t="s">
        <v>143</v>
      </c>
      <c r="H1573" s="11" t="s">
        <v>9790</v>
      </c>
    </row>
    <row r="1574" customFormat="false" ht="17.15" hidden="false" customHeight="false" outlineLevel="0" collapsed="false">
      <c r="A1574" s="11" t="s">
        <v>9791</v>
      </c>
      <c r="B1574" s="11" t="s">
        <v>7092</v>
      </c>
      <c r="C1574" s="11" t="s">
        <v>197</v>
      </c>
      <c r="D1574" s="6" t="n">
        <v>152005</v>
      </c>
      <c r="E1574" s="5" t="s">
        <v>6210</v>
      </c>
      <c r="F1574" s="5" t="s">
        <v>6516</v>
      </c>
      <c r="G1574" s="11" t="s">
        <v>6517</v>
      </c>
      <c r="H1574" s="11" t="s">
        <v>9792</v>
      </c>
    </row>
    <row r="1575" customFormat="false" ht="15" hidden="false" customHeight="false" outlineLevel="0" collapsed="false">
      <c r="A1575" s="11" t="s">
        <v>9793</v>
      </c>
      <c r="B1575" s="11" t="s">
        <v>8439</v>
      </c>
      <c r="C1575" s="5"/>
      <c r="D1575" s="6" t="n">
        <v>151702</v>
      </c>
      <c r="E1575" s="5" t="s">
        <v>6227</v>
      </c>
      <c r="F1575" s="5" t="s">
        <v>6227</v>
      </c>
      <c r="G1575" s="11" t="s">
        <v>134</v>
      </c>
      <c r="H1575" s="11" t="s">
        <v>9794</v>
      </c>
    </row>
    <row r="1576" customFormat="false" ht="17.15" hidden="false" customHeight="false" outlineLevel="0" collapsed="false">
      <c r="A1576" s="11" t="s">
        <v>9795</v>
      </c>
      <c r="B1576" s="11" t="s">
        <v>6473</v>
      </c>
      <c r="C1576" s="11" t="s">
        <v>183</v>
      </c>
      <c r="D1576" s="6" t="n">
        <v>151037</v>
      </c>
      <c r="E1576" s="5" t="s">
        <v>6210</v>
      </c>
      <c r="F1576" s="5" t="s">
        <v>6210</v>
      </c>
      <c r="G1576" s="11" t="s">
        <v>137</v>
      </c>
      <c r="H1576" s="11" t="s">
        <v>9796</v>
      </c>
    </row>
    <row r="1577" customFormat="false" ht="17.15" hidden="false" customHeight="false" outlineLevel="0" collapsed="false">
      <c r="A1577" s="11" t="s">
        <v>9797</v>
      </c>
      <c r="B1577" s="11" t="s">
        <v>9798</v>
      </c>
      <c r="C1577" s="11" t="s">
        <v>193</v>
      </c>
      <c r="D1577" s="6" t="n">
        <v>150970</v>
      </c>
      <c r="E1577" s="5" t="s">
        <v>141</v>
      </c>
      <c r="F1577" s="5" t="s">
        <v>6495</v>
      </c>
      <c r="G1577" s="11" t="s">
        <v>6496</v>
      </c>
      <c r="H1577" s="11" t="s">
        <v>9799</v>
      </c>
    </row>
    <row r="1578" customFormat="false" ht="17.15" hidden="false" customHeight="false" outlineLevel="0" collapsed="false">
      <c r="A1578" s="11" t="s">
        <v>9800</v>
      </c>
      <c r="B1578" s="11" t="s">
        <v>1374</v>
      </c>
      <c r="C1578" s="11" t="s">
        <v>197</v>
      </c>
      <c r="D1578" s="6" t="n">
        <v>150908</v>
      </c>
      <c r="E1578" s="5" t="s">
        <v>6239</v>
      </c>
      <c r="F1578" s="5" t="s">
        <v>6239</v>
      </c>
      <c r="G1578" s="11" t="s">
        <v>143</v>
      </c>
      <c r="H1578" s="11" t="s">
        <v>9801</v>
      </c>
    </row>
    <row r="1579" customFormat="false" ht="17.15" hidden="false" customHeight="false" outlineLevel="0" collapsed="false">
      <c r="A1579" s="11" t="s">
        <v>9802</v>
      </c>
      <c r="B1579" s="11" t="s">
        <v>834</v>
      </c>
      <c r="C1579" s="11" t="s">
        <v>152</v>
      </c>
      <c r="D1579" s="6" t="n">
        <v>150566</v>
      </c>
      <c r="E1579" s="5" t="s">
        <v>6210</v>
      </c>
      <c r="F1579" s="5" t="s">
        <v>6210</v>
      </c>
      <c r="G1579" s="11" t="s">
        <v>137</v>
      </c>
      <c r="H1579" s="11" t="s">
        <v>9803</v>
      </c>
    </row>
    <row r="1580" customFormat="false" ht="17.15" hidden="false" customHeight="false" outlineLevel="0" collapsed="false">
      <c r="A1580" s="11" t="s">
        <v>9804</v>
      </c>
      <c r="B1580" s="11" t="s">
        <v>9805</v>
      </c>
      <c r="C1580" s="11" t="s">
        <v>192</v>
      </c>
      <c r="D1580" s="6" t="n">
        <v>150518</v>
      </c>
      <c r="E1580" s="5" t="s">
        <v>141</v>
      </c>
      <c r="F1580" s="5" t="s">
        <v>6495</v>
      </c>
      <c r="G1580" s="11" t="s">
        <v>6496</v>
      </c>
      <c r="H1580" s="11" t="s">
        <v>9806</v>
      </c>
    </row>
    <row r="1581" customFormat="false" ht="17.15" hidden="false" customHeight="false" outlineLevel="0" collapsed="false">
      <c r="A1581" s="11" t="s">
        <v>9807</v>
      </c>
      <c r="B1581" s="11" t="s">
        <v>7356</v>
      </c>
      <c r="C1581" s="11" t="s">
        <v>197</v>
      </c>
      <c r="D1581" s="6" t="n">
        <v>150365</v>
      </c>
      <c r="E1581" s="5" t="s">
        <v>6207</v>
      </c>
      <c r="F1581" s="5" t="s">
        <v>6214</v>
      </c>
      <c r="G1581" s="11" t="s">
        <v>6215</v>
      </c>
      <c r="H1581" s="11" t="s">
        <v>9808</v>
      </c>
    </row>
    <row r="1582" customFormat="false" ht="15" hidden="false" customHeight="false" outlineLevel="0" collapsed="false">
      <c r="A1582" s="11" t="s">
        <v>9809</v>
      </c>
      <c r="B1582" s="11" t="s">
        <v>681</v>
      </c>
      <c r="C1582" s="11" t="s">
        <v>173</v>
      </c>
      <c r="D1582" s="6" t="n">
        <v>150195</v>
      </c>
      <c r="E1582" s="5" t="s">
        <v>141</v>
      </c>
      <c r="F1582" s="5" t="s">
        <v>141</v>
      </c>
      <c r="G1582" s="11" t="s">
        <v>140</v>
      </c>
      <c r="H1582" s="11" t="s">
        <v>9810</v>
      </c>
    </row>
    <row r="1583" customFormat="false" ht="17.15" hidden="false" customHeight="false" outlineLevel="0" collapsed="false">
      <c r="A1583" s="11" t="s">
        <v>9811</v>
      </c>
      <c r="B1583" s="11" t="s">
        <v>9812</v>
      </c>
      <c r="C1583" s="11" t="s">
        <v>183</v>
      </c>
      <c r="D1583" s="6" t="n">
        <v>149812</v>
      </c>
      <c r="E1583" s="5" t="s">
        <v>6207</v>
      </c>
      <c r="F1583" s="5" t="s">
        <v>6207</v>
      </c>
      <c r="G1583" s="11" t="s">
        <v>134</v>
      </c>
      <c r="H1583" s="11" t="s">
        <v>9813</v>
      </c>
    </row>
    <row r="1584" customFormat="false" ht="17.15" hidden="false" customHeight="false" outlineLevel="0" collapsed="false">
      <c r="A1584" s="11" t="s">
        <v>9814</v>
      </c>
      <c r="B1584" s="11" t="s">
        <v>7057</v>
      </c>
      <c r="C1584" s="5"/>
      <c r="D1584" s="6" t="n">
        <v>149678</v>
      </c>
      <c r="E1584" s="5" t="s">
        <v>6207</v>
      </c>
      <c r="F1584" s="5" t="s">
        <v>6207</v>
      </c>
      <c r="G1584" s="11" t="s">
        <v>134</v>
      </c>
      <c r="H1584" s="11" t="s">
        <v>9815</v>
      </c>
    </row>
    <row r="1585" customFormat="false" ht="17.15" hidden="false" customHeight="false" outlineLevel="0" collapsed="false">
      <c r="A1585" s="11" t="s">
        <v>9816</v>
      </c>
      <c r="B1585" s="11" t="s">
        <v>6457</v>
      </c>
      <c r="C1585" s="5"/>
      <c r="D1585" s="6" t="n">
        <v>149169</v>
      </c>
      <c r="E1585" s="5" t="s">
        <v>6264</v>
      </c>
      <c r="F1585" s="5" t="s">
        <v>6264</v>
      </c>
      <c r="G1585" s="11" t="s">
        <v>131</v>
      </c>
      <c r="H1585" s="11" t="s">
        <v>9817</v>
      </c>
    </row>
    <row r="1586" customFormat="false" ht="17.15" hidden="false" customHeight="false" outlineLevel="0" collapsed="false">
      <c r="A1586" s="11" t="s">
        <v>9818</v>
      </c>
      <c r="B1586" s="11" t="s">
        <v>402</v>
      </c>
      <c r="C1586" s="11" t="s">
        <v>150</v>
      </c>
      <c r="D1586" s="6" t="n">
        <v>149065</v>
      </c>
      <c r="E1586" s="5" t="s">
        <v>6207</v>
      </c>
      <c r="F1586" s="5" t="s">
        <v>6207</v>
      </c>
      <c r="G1586" s="11" t="s">
        <v>134</v>
      </c>
      <c r="H1586" s="11" t="s">
        <v>9819</v>
      </c>
    </row>
    <row r="1587" customFormat="false" ht="17.15" hidden="false" customHeight="false" outlineLevel="0" collapsed="false">
      <c r="A1587" s="11" t="s">
        <v>9820</v>
      </c>
      <c r="B1587" s="11" t="s">
        <v>8856</v>
      </c>
      <c r="C1587" s="11" t="s">
        <v>149</v>
      </c>
      <c r="D1587" s="6" t="n">
        <v>149051</v>
      </c>
      <c r="E1587" s="5" t="s">
        <v>6207</v>
      </c>
      <c r="F1587" s="5" t="s">
        <v>6207</v>
      </c>
      <c r="G1587" s="11" t="s">
        <v>134</v>
      </c>
      <c r="H1587" s="11" t="s">
        <v>9821</v>
      </c>
    </row>
    <row r="1588" customFormat="false" ht="17.15" hidden="false" customHeight="false" outlineLevel="0" collapsed="false">
      <c r="A1588" s="11" t="s">
        <v>9822</v>
      </c>
      <c r="B1588" s="11" t="s">
        <v>681</v>
      </c>
      <c r="C1588" s="11" t="s">
        <v>175</v>
      </c>
      <c r="D1588" s="6" t="n">
        <v>148803</v>
      </c>
      <c r="E1588" s="5" t="s">
        <v>6207</v>
      </c>
      <c r="F1588" s="5" t="s">
        <v>6207</v>
      </c>
      <c r="G1588" s="11" t="s">
        <v>134</v>
      </c>
      <c r="H1588" s="11" t="s">
        <v>9823</v>
      </c>
    </row>
    <row r="1589" customFormat="false" ht="17.15" hidden="false" customHeight="false" outlineLevel="0" collapsed="false">
      <c r="A1589" s="11" t="s">
        <v>9824</v>
      </c>
      <c r="B1589" s="11" t="s">
        <v>6647</v>
      </c>
      <c r="C1589" s="5"/>
      <c r="D1589" s="6" t="n">
        <v>148795</v>
      </c>
      <c r="E1589" s="5" t="s">
        <v>6264</v>
      </c>
      <c r="F1589" s="5" t="s">
        <v>6648</v>
      </c>
      <c r="G1589" s="11" t="s">
        <v>6649</v>
      </c>
      <c r="H1589" s="11" t="s">
        <v>9825</v>
      </c>
    </row>
    <row r="1590" customFormat="false" ht="17.15" hidden="false" customHeight="false" outlineLevel="0" collapsed="false">
      <c r="A1590" s="11" t="s">
        <v>9826</v>
      </c>
      <c r="B1590" s="11" t="s">
        <v>9827</v>
      </c>
      <c r="C1590" s="11" t="s">
        <v>192</v>
      </c>
      <c r="D1590" s="6" t="n">
        <v>148742</v>
      </c>
      <c r="E1590" s="5" t="s">
        <v>6239</v>
      </c>
      <c r="F1590" s="5" t="s">
        <v>6239</v>
      </c>
      <c r="G1590" s="11" t="s">
        <v>143</v>
      </c>
      <c r="H1590" s="11" t="s">
        <v>9828</v>
      </c>
    </row>
    <row r="1591" customFormat="false" ht="17.15" hidden="false" customHeight="false" outlineLevel="0" collapsed="false">
      <c r="A1591" s="11" t="s">
        <v>9829</v>
      </c>
      <c r="B1591" s="11" t="s">
        <v>6647</v>
      </c>
      <c r="C1591" s="5"/>
      <c r="D1591" s="6" t="n">
        <v>148604</v>
      </c>
      <c r="E1591" s="5" t="s">
        <v>6264</v>
      </c>
      <c r="F1591" s="5" t="s">
        <v>6264</v>
      </c>
      <c r="G1591" s="11" t="s">
        <v>131</v>
      </c>
      <c r="H1591" s="11" t="s">
        <v>9830</v>
      </c>
    </row>
    <row r="1592" customFormat="false" ht="17.15" hidden="false" customHeight="false" outlineLevel="0" collapsed="false">
      <c r="A1592" s="11" t="s">
        <v>9831</v>
      </c>
      <c r="B1592" s="11" t="s">
        <v>6647</v>
      </c>
      <c r="C1592" s="11" t="s">
        <v>175</v>
      </c>
      <c r="D1592" s="6" t="n">
        <v>148516</v>
      </c>
      <c r="E1592" s="5" t="s">
        <v>6264</v>
      </c>
      <c r="F1592" s="5" t="s">
        <v>6264</v>
      </c>
      <c r="G1592" s="11" t="s">
        <v>131</v>
      </c>
      <c r="H1592" s="11" t="s">
        <v>9832</v>
      </c>
    </row>
    <row r="1593" customFormat="false" ht="17.15" hidden="false" customHeight="false" outlineLevel="0" collapsed="false">
      <c r="A1593" s="11" t="s">
        <v>9833</v>
      </c>
      <c r="B1593" s="11" t="s">
        <v>9834</v>
      </c>
      <c r="C1593" s="5"/>
      <c r="D1593" s="6" t="n">
        <v>148396</v>
      </c>
      <c r="E1593" s="5" t="s">
        <v>6264</v>
      </c>
      <c r="F1593" s="5" t="s">
        <v>6264</v>
      </c>
      <c r="G1593" s="11" t="s">
        <v>131</v>
      </c>
      <c r="H1593" s="11" t="s">
        <v>9835</v>
      </c>
    </row>
    <row r="1594" customFormat="false" ht="17.15" hidden="false" customHeight="false" outlineLevel="0" collapsed="false">
      <c r="A1594" s="11" t="s">
        <v>9836</v>
      </c>
      <c r="B1594" s="11" t="s">
        <v>6647</v>
      </c>
      <c r="C1594" s="11" t="s">
        <v>175</v>
      </c>
      <c r="D1594" s="6" t="n">
        <v>148046</v>
      </c>
      <c r="E1594" s="5" t="s">
        <v>6264</v>
      </c>
      <c r="F1594" s="5" t="s">
        <v>6648</v>
      </c>
      <c r="G1594" s="11" t="s">
        <v>6649</v>
      </c>
      <c r="H1594" s="11" t="s">
        <v>9837</v>
      </c>
    </row>
    <row r="1595" customFormat="false" ht="17.15" hidden="false" customHeight="false" outlineLevel="0" collapsed="false">
      <c r="A1595" s="11" t="s">
        <v>9838</v>
      </c>
      <c r="B1595" s="11" t="s">
        <v>9839</v>
      </c>
      <c r="C1595" s="11" t="s">
        <v>150</v>
      </c>
      <c r="D1595" s="6" t="n">
        <v>148025</v>
      </c>
      <c r="E1595" s="5" t="s">
        <v>6207</v>
      </c>
      <c r="F1595" s="5" t="s">
        <v>6207</v>
      </c>
      <c r="G1595" s="11" t="s">
        <v>134</v>
      </c>
      <c r="H1595" s="11" t="s">
        <v>9840</v>
      </c>
    </row>
    <row r="1596" customFormat="false" ht="17.15" hidden="false" customHeight="false" outlineLevel="0" collapsed="false">
      <c r="A1596" s="11" t="s">
        <v>9841</v>
      </c>
      <c r="B1596" s="11" t="s">
        <v>327</v>
      </c>
      <c r="C1596" s="11" t="s">
        <v>155</v>
      </c>
      <c r="D1596" s="6" t="n">
        <v>147938</v>
      </c>
      <c r="E1596" s="5" t="s">
        <v>6210</v>
      </c>
      <c r="F1596" s="5" t="s">
        <v>6210</v>
      </c>
      <c r="G1596" s="11" t="s">
        <v>137</v>
      </c>
      <c r="H1596" s="11" t="s">
        <v>9842</v>
      </c>
    </row>
    <row r="1597" customFormat="false" ht="15" hidden="false" customHeight="false" outlineLevel="0" collapsed="false">
      <c r="A1597" s="11" t="s">
        <v>9843</v>
      </c>
      <c r="B1597" s="11" t="s">
        <v>989</v>
      </c>
      <c r="C1597" s="11" t="s">
        <v>155</v>
      </c>
      <c r="D1597" s="6" t="n">
        <v>147823</v>
      </c>
      <c r="E1597" s="5" t="s">
        <v>6413</v>
      </c>
      <c r="F1597" s="5" t="s">
        <v>6413</v>
      </c>
      <c r="G1597" s="11" t="s">
        <v>128</v>
      </c>
      <c r="H1597" s="11" t="s">
        <v>9844</v>
      </c>
    </row>
    <row r="1598" customFormat="false" ht="17.15" hidden="false" customHeight="false" outlineLevel="0" collapsed="false">
      <c r="A1598" s="11" t="s">
        <v>9845</v>
      </c>
      <c r="B1598" s="11" t="s">
        <v>753</v>
      </c>
      <c r="C1598" s="11" t="s">
        <v>193</v>
      </c>
      <c r="D1598" s="6" t="n">
        <v>147656</v>
      </c>
      <c r="E1598" s="5" t="s">
        <v>6239</v>
      </c>
      <c r="F1598" s="5" t="s">
        <v>6239</v>
      </c>
      <c r="G1598" s="11" t="s">
        <v>143</v>
      </c>
      <c r="H1598" s="11" t="s">
        <v>9846</v>
      </c>
    </row>
    <row r="1599" customFormat="false" ht="17.15" hidden="false" customHeight="false" outlineLevel="0" collapsed="false">
      <c r="A1599" s="11" t="s">
        <v>9847</v>
      </c>
      <c r="B1599" s="11" t="s">
        <v>9848</v>
      </c>
      <c r="C1599" s="11" t="s">
        <v>149</v>
      </c>
      <c r="D1599" s="6" t="n">
        <v>147270</v>
      </c>
      <c r="E1599" s="5" t="s">
        <v>6207</v>
      </c>
      <c r="F1599" s="5" t="s">
        <v>6207</v>
      </c>
      <c r="G1599" s="11" t="s">
        <v>134</v>
      </c>
      <c r="H1599" s="11" t="s">
        <v>9849</v>
      </c>
    </row>
    <row r="1600" customFormat="false" ht="15" hidden="false" customHeight="false" outlineLevel="0" collapsed="false">
      <c r="A1600" s="11" t="s">
        <v>9850</v>
      </c>
      <c r="B1600" s="11" t="s">
        <v>681</v>
      </c>
      <c r="C1600" s="11" t="s">
        <v>167</v>
      </c>
      <c r="D1600" s="6" t="n">
        <v>147254</v>
      </c>
      <c r="E1600" s="5" t="s">
        <v>141</v>
      </c>
      <c r="F1600" s="5" t="s">
        <v>141</v>
      </c>
      <c r="G1600" s="11" t="s">
        <v>140</v>
      </c>
      <c r="H1600" s="11" t="s">
        <v>9851</v>
      </c>
    </row>
    <row r="1601" customFormat="false" ht="17.15" hidden="false" customHeight="false" outlineLevel="0" collapsed="false">
      <c r="A1601" s="11" t="s">
        <v>9852</v>
      </c>
      <c r="B1601" s="11" t="s">
        <v>402</v>
      </c>
      <c r="C1601" s="11" t="s">
        <v>150</v>
      </c>
      <c r="D1601" s="6" t="n">
        <v>147092</v>
      </c>
      <c r="E1601" s="5" t="s">
        <v>6207</v>
      </c>
      <c r="F1601" s="5" t="s">
        <v>6207</v>
      </c>
      <c r="G1601" s="11" t="s">
        <v>134</v>
      </c>
      <c r="H1601" s="11" t="s">
        <v>9853</v>
      </c>
    </row>
    <row r="1602" customFormat="false" ht="17.15" hidden="false" customHeight="false" outlineLevel="0" collapsed="false">
      <c r="A1602" s="11" t="s">
        <v>9854</v>
      </c>
      <c r="B1602" s="11" t="s">
        <v>8348</v>
      </c>
      <c r="C1602" s="5"/>
      <c r="D1602" s="6" t="n">
        <v>147083</v>
      </c>
      <c r="E1602" s="5" t="s">
        <v>6264</v>
      </c>
      <c r="F1602" s="5" t="s">
        <v>7204</v>
      </c>
      <c r="G1602" s="11" t="s">
        <v>7205</v>
      </c>
      <c r="H1602" s="11" t="s">
        <v>9855</v>
      </c>
    </row>
    <row r="1603" customFormat="false" ht="17.15" hidden="false" customHeight="false" outlineLevel="0" collapsed="false">
      <c r="A1603" s="11" t="s">
        <v>9856</v>
      </c>
      <c r="B1603" s="11" t="s">
        <v>6774</v>
      </c>
      <c r="C1603" s="11" t="s">
        <v>192</v>
      </c>
      <c r="D1603" s="6" t="n">
        <v>146976</v>
      </c>
      <c r="E1603" s="5" t="s">
        <v>6239</v>
      </c>
      <c r="F1603" s="5" t="s">
        <v>6239</v>
      </c>
      <c r="G1603" s="11" t="s">
        <v>143</v>
      </c>
      <c r="H1603" s="11" t="s">
        <v>9857</v>
      </c>
    </row>
    <row r="1604" customFormat="false" ht="17.15" hidden="false" customHeight="false" outlineLevel="0" collapsed="false">
      <c r="A1604" s="11" t="s">
        <v>9858</v>
      </c>
      <c r="B1604" s="11" t="s">
        <v>9859</v>
      </c>
      <c r="C1604" s="11" t="s">
        <v>192</v>
      </c>
      <c r="D1604" s="6" t="n">
        <v>146945</v>
      </c>
      <c r="E1604" s="5" t="s">
        <v>6239</v>
      </c>
      <c r="F1604" s="5" t="s">
        <v>6239</v>
      </c>
      <c r="G1604" s="11" t="s">
        <v>143</v>
      </c>
      <c r="H1604" s="11" t="s">
        <v>9860</v>
      </c>
    </row>
    <row r="1605" customFormat="false" ht="17.15" hidden="false" customHeight="false" outlineLevel="0" collapsed="false">
      <c r="A1605" s="11" t="s">
        <v>9861</v>
      </c>
      <c r="B1605" s="11" t="s">
        <v>1403</v>
      </c>
      <c r="C1605" s="11" t="s">
        <v>195</v>
      </c>
      <c r="D1605" s="6" t="n">
        <v>146629</v>
      </c>
      <c r="E1605" s="5" t="s">
        <v>6239</v>
      </c>
      <c r="F1605" s="5" t="s">
        <v>6239</v>
      </c>
      <c r="G1605" s="11" t="s">
        <v>143</v>
      </c>
      <c r="H1605" s="11" t="s">
        <v>9862</v>
      </c>
    </row>
    <row r="1606" customFormat="false" ht="17.15" hidden="false" customHeight="false" outlineLevel="0" collapsed="false">
      <c r="A1606" s="11" t="s">
        <v>9863</v>
      </c>
      <c r="B1606" s="11" t="s">
        <v>368</v>
      </c>
      <c r="C1606" s="11" t="s">
        <v>155</v>
      </c>
      <c r="D1606" s="6" t="n">
        <v>146227</v>
      </c>
      <c r="E1606" s="5" t="s">
        <v>6207</v>
      </c>
      <c r="F1606" s="5" t="s">
        <v>6207</v>
      </c>
      <c r="G1606" s="11" t="s">
        <v>134</v>
      </c>
      <c r="H1606" s="11" t="s">
        <v>9864</v>
      </c>
    </row>
    <row r="1607" customFormat="false" ht="17.15" hidden="false" customHeight="false" outlineLevel="0" collapsed="false">
      <c r="A1607" s="11" t="s">
        <v>9865</v>
      </c>
      <c r="B1607" s="11" t="s">
        <v>839</v>
      </c>
      <c r="C1607" s="11" t="s">
        <v>161</v>
      </c>
      <c r="D1607" s="6" t="n">
        <v>146178</v>
      </c>
      <c r="E1607" s="5" t="s">
        <v>6207</v>
      </c>
      <c r="F1607" s="5" t="s">
        <v>6207</v>
      </c>
      <c r="G1607" s="11" t="s">
        <v>134</v>
      </c>
      <c r="H1607" s="11" t="s">
        <v>9866</v>
      </c>
    </row>
    <row r="1608" customFormat="false" ht="17.15" hidden="false" customHeight="false" outlineLevel="0" collapsed="false">
      <c r="A1608" s="11" t="s">
        <v>9867</v>
      </c>
      <c r="B1608" s="11" t="s">
        <v>6454</v>
      </c>
      <c r="C1608" s="11" t="s">
        <v>175</v>
      </c>
      <c r="D1608" s="6" t="n">
        <v>145626</v>
      </c>
      <c r="E1608" s="5" t="s">
        <v>6207</v>
      </c>
      <c r="F1608" s="5" t="s">
        <v>6377</v>
      </c>
      <c r="G1608" s="11" t="s">
        <v>6378</v>
      </c>
      <c r="H1608" s="11" t="s">
        <v>9868</v>
      </c>
    </row>
    <row r="1609" customFormat="false" ht="17.15" hidden="false" customHeight="false" outlineLevel="0" collapsed="false">
      <c r="A1609" s="11" t="s">
        <v>9869</v>
      </c>
      <c r="B1609" s="11" t="s">
        <v>9870</v>
      </c>
      <c r="C1609" s="11" t="s">
        <v>150</v>
      </c>
      <c r="D1609" s="6" t="n">
        <v>145481</v>
      </c>
      <c r="E1609" s="5" t="s">
        <v>6210</v>
      </c>
      <c r="F1609" s="5" t="s">
        <v>6210</v>
      </c>
      <c r="G1609" s="11" t="s">
        <v>137</v>
      </c>
      <c r="H1609" s="11" t="s">
        <v>9871</v>
      </c>
    </row>
    <row r="1610" customFormat="false" ht="17.15" hidden="false" customHeight="false" outlineLevel="0" collapsed="false">
      <c r="A1610" s="11" t="s">
        <v>9872</v>
      </c>
      <c r="B1610" s="11" t="s">
        <v>9873</v>
      </c>
      <c r="C1610" s="11" t="s">
        <v>155</v>
      </c>
      <c r="D1610" s="6" t="n">
        <v>145470</v>
      </c>
      <c r="E1610" s="5" t="s">
        <v>6207</v>
      </c>
      <c r="F1610" s="5" t="s">
        <v>6207</v>
      </c>
      <c r="G1610" s="11" t="s">
        <v>134</v>
      </c>
      <c r="H1610" s="11" t="s">
        <v>9874</v>
      </c>
    </row>
    <row r="1611" customFormat="false" ht="17.15" hidden="false" customHeight="false" outlineLevel="0" collapsed="false">
      <c r="A1611" s="11" t="s">
        <v>9875</v>
      </c>
      <c r="B1611" s="11" t="s">
        <v>8401</v>
      </c>
      <c r="C1611" s="11" t="s">
        <v>192</v>
      </c>
      <c r="D1611" s="6" t="n">
        <v>145445</v>
      </c>
      <c r="E1611" s="5" t="s">
        <v>6239</v>
      </c>
      <c r="F1611" s="5" t="s">
        <v>6239</v>
      </c>
      <c r="G1611" s="11" t="s">
        <v>143</v>
      </c>
      <c r="H1611" s="11" t="s">
        <v>9876</v>
      </c>
    </row>
    <row r="1612" customFormat="false" ht="17.15" hidden="false" customHeight="false" outlineLevel="0" collapsed="false">
      <c r="A1612" s="11" t="s">
        <v>9877</v>
      </c>
      <c r="B1612" s="11" t="s">
        <v>9878</v>
      </c>
      <c r="C1612" s="11" t="s">
        <v>152</v>
      </c>
      <c r="D1612" s="6" t="n">
        <v>145341</v>
      </c>
      <c r="E1612" s="5" t="s">
        <v>6210</v>
      </c>
      <c r="F1612" s="5" t="s">
        <v>6210</v>
      </c>
      <c r="G1612" s="11" t="s">
        <v>137</v>
      </c>
      <c r="H1612" s="11" t="s">
        <v>9879</v>
      </c>
    </row>
    <row r="1613" customFormat="false" ht="17.15" hidden="false" customHeight="false" outlineLevel="0" collapsed="false">
      <c r="A1613" s="11" t="s">
        <v>9880</v>
      </c>
      <c r="B1613" s="11" t="s">
        <v>6258</v>
      </c>
      <c r="C1613" s="11" t="s">
        <v>149</v>
      </c>
      <c r="D1613" s="6" t="n">
        <v>145294</v>
      </c>
      <c r="E1613" s="5" t="s">
        <v>6207</v>
      </c>
      <c r="F1613" s="5" t="s">
        <v>6207</v>
      </c>
      <c r="G1613" s="11" t="s">
        <v>134</v>
      </c>
      <c r="H1613" s="11" t="s">
        <v>9881</v>
      </c>
    </row>
    <row r="1614" customFormat="false" ht="17.15" hidden="false" customHeight="false" outlineLevel="0" collapsed="false">
      <c r="A1614" s="11" t="s">
        <v>9882</v>
      </c>
      <c r="B1614" s="11" t="s">
        <v>327</v>
      </c>
      <c r="C1614" s="11" t="s">
        <v>156</v>
      </c>
      <c r="D1614" s="6" t="n">
        <v>145097</v>
      </c>
      <c r="E1614" s="5" t="s">
        <v>6210</v>
      </c>
      <c r="F1614" s="5" t="s">
        <v>6210</v>
      </c>
      <c r="G1614" s="11" t="s">
        <v>137</v>
      </c>
      <c r="H1614" s="11" t="s">
        <v>9883</v>
      </c>
    </row>
    <row r="1615" customFormat="false" ht="17.15" hidden="false" customHeight="false" outlineLevel="0" collapsed="false">
      <c r="A1615" s="11" t="s">
        <v>4786</v>
      </c>
      <c r="B1615" s="11" t="s">
        <v>4785</v>
      </c>
      <c r="C1615" s="11" t="s">
        <v>152</v>
      </c>
      <c r="D1615" s="6" t="n">
        <v>144873</v>
      </c>
      <c r="E1615" s="5" t="s">
        <v>6207</v>
      </c>
      <c r="F1615" s="5" t="s">
        <v>6207</v>
      </c>
      <c r="G1615" s="11" t="s">
        <v>134</v>
      </c>
      <c r="H1615" s="11" t="s">
        <v>9884</v>
      </c>
    </row>
    <row r="1616" customFormat="false" ht="17.15" hidden="false" customHeight="false" outlineLevel="0" collapsed="false">
      <c r="A1616" s="11" t="s">
        <v>9885</v>
      </c>
      <c r="B1616" s="11" t="s">
        <v>9886</v>
      </c>
      <c r="C1616" s="11" t="s">
        <v>197</v>
      </c>
      <c r="D1616" s="6" t="n">
        <v>144394</v>
      </c>
      <c r="E1616" s="5" t="s">
        <v>141</v>
      </c>
      <c r="F1616" s="5" t="s">
        <v>6495</v>
      </c>
      <c r="G1616" s="11" t="s">
        <v>6496</v>
      </c>
      <c r="H1616" s="11" t="s">
        <v>9887</v>
      </c>
    </row>
    <row r="1617" customFormat="false" ht="17.15" hidden="false" customHeight="false" outlineLevel="0" collapsed="false">
      <c r="A1617" s="11" t="s">
        <v>9888</v>
      </c>
      <c r="B1617" s="11" t="s">
        <v>402</v>
      </c>
      <c r="C1617" s="11" t="s">
        <v>150</v>
      </c>
      <c r="D1617" s="6" t="n">
        <v>144133</v>
      </c>
      <c r="E1617" s="5" t="s">
        <v>6207</v>
      </c>
      <c r="F1617" s="5" t="s">
        <v>6207</v>
      </c>
      <c r="G1617" s="11" t="s">
        <v>134</v>
      </c>
      <c r="H1617" s="11" t="s">
        <v>9889</v>
      </c>
    </row>
    <row r="1618" customFormat="false" ht="17.15" hidden="false" customHeight="false" outlineLevel="0" collapsed="false">
      <c r="A1618" s="11" t="s">
        <v>9890</v>
      </c>
      <c r="B1618" s="11" t="s">
        <v>6762</v>
      </c>
      <c r="C1618" s="11" t="s">
        <v>162</v>
      </c>
      <c r="D1618" s="6" t="n">
        <v>144093</v>
      </c>
      <c r="E1618" s="5" t="s">
        <v>6264</v>
      </c>
      <c r="F1618" s="5" t="s">
        <v>6648</v>
      </c>
      <c r="G1618" s="11" t="s">
        <v>6649</v>
      </c>
      <c r="H1618" s="11" t="s">
        <v>9891</v>
      </c>
    </row>
    <row r="1619" customFormat="false" ht="17.15" hidden="false" customHeight="false" outlineLevel="0" collapsed="false">
      <c r="A1619" s="11" t="s">
        <v>9892</v>
      </c>
      <c r="B1619" s="11" t="s">
        <v>681</v>
      </c>
      <c r="C1619" s="11" t="s">
        <v>162</v>
      </c>
      <c r="D1619" s="6" t="n">
        <v>143620</v>
      </c>
      <c r="E1619" s="5" t="s">
        <v>6207</v>
      </c>
      <c r="F1619" s="5" t="s">
        <v>6207</v>
      </c>
      <c r="G1619" s="11" t="s">
        <v>134</v>
      </c>
      <c r="H1619" s="11" t="s">
        <v>9893</v>
      </c>
    </row>
    <row r="1620" customFormat="false" ht="17.15" hidden="false" customHeight="false" outlineLevel="0" collapsed="false">
      <c r="A1620" s="11" t="s">
        <v>9894</v>
      </c>
      <c r="B1620" s="11" t="s">
        <v>6881</v>
      </c>
      <c r="C1620" s="11" t="s">
        <v>175</v>
      </c>
      <c r="D1620" s="6" t="n">
        <v>143567</v>
      </c>
      <c r="E1620" s="5" t="s">
        <v>6207</v>
      </c>
      <c r="F1620" s="5" t="s">
        <v>6207</v>
      </c>
      <c r="G1620" s="11" t="s">
        <v>134</v>
      </c>
      <c r="H1620" s="11" t="s">
        <v>9895</v>
      </c>
    </row>
    <row r="1621" customFormat="false" ht="17.15" hidden="false" customHeight="false" outlineLevel="0" collapsed="false">
      <c r="A1621" s="11" t="s">
        <v>9896</v>
      </c>
      <c r="B1621" s="11" t="s">
        <v>9897</v>
      </c>
      <c r="C1621" s="11" t="s">
        <v>195</v>
      </c>
      <c r="D1621" s="6" t="n">
        <v>143238</v>
      </c>
      <c r="E1621" s="5" t="s">
        <v>6239</v>
      </c>
      <c r="F1621" s="5" t="s">
        <v>6239</v>
      </c>
      <c r="G1621" s="11" t="s">
        <v>143</v>
      </c>
      <c r="H1621" s="11" t="s">
        <v>9898</v>
      </c>
    </row>
    <row r="1622" customFormat="false" ht="17.15" hidden="false" customHeight="false" outlineLevel="0" collapsed="false">
      <c r="A1622" s="11" t="s">
        <v>9899</v>
      </c>
      <c r="B1622" s="11" t="s">
        <v>402</v>
      </c>
      <c r="C1622" s="11" t="s">
        <v>150</v>
      </c>
      <c r="D1622" s="6" t="n">
        <v>143231</v>
      </c>
      <c r="E1622" s="5" t="s">
        <v>6207</v>
      </c>
      <c r="F1622" s="5" t="s">
        <v>6207</v>
      </c>
      <c r="G1622" s="11" t="s">
        <v>134</v>
      </c>
      <c r="H1622" s="11" t="s">
        <v>9900</v>
      </c>
    </row>
    <row r="1623" customFormat="false" ht="17.15" hidden="false" customHeight="false" outlineLevel="0" collapsed="false">
      <c r="A1623" s="11" t="s">
        <v>9901</v>
      </c>
      <c r="B1623" s="11" t="s">
        <v>7076</v>
      </c>
      <c r="C1623" s="11" t="s">
        <v>152</v>
      </c>
      <c r="D1623" s="6" t="n">
        <v>143184</v>
      </c>
      <c r="E1623" s="5" t="s">
        <v>6207</v>
      </c>
      <c r="F1623" s="5" t="s">
        <v>6207</v>
      </c>
      <c r="G1623" s="11" t="s">
        <v>134</v>
      </c>
      <c r="H1623" s="11" t="s">
        <v>9902</v>
      </c>
    </row>
    <row r="1624" customFormat="false" ht="17.15" hidden="false" customHeight="false" outlineLevel="0" collapsed="false">
      <c r="A1624" s="11" t="s">
        <v>9903</v>
      </c>
      <c r="B1624" s="11" t="s">
        <v>7092</v>
      </c>
      <c r="C1624" s="11" t="s">
        <v>197</v>
      </c>
      <c r="D1624" s="6" t="n">
        <v>143115</v>
      </c>
      <c r="E1624" s="5" t="s">
        <v>6210</v>
      </c>
      <c r="F1624" s="5" t="s">
        <v>6516</v>
      </c>
      <c r="G1624" s="11" t="s">
        <v>6517</v>
      </c>
      <c r="H1624" s="11" t="s">
        <v>9904</v>
      </c>
    </row>
    <row r="1625" customFormat="false" ht="17.15" hidden="false" customHeight="false" outlineLevel="0" collapsed="false">
      <c r="A1625" s="11" t="s">
        <v>9905</v>
      </c>
      <c r="B1625" s="11" t="s">
        <v>6647</v>
      </c>
      <c r="C1625" s="11" t="s">
        <v>152</v>
      </c>
      <c r="D1625" s="6" t="n">
        <v>143114</v>
      </c>
      <c r="E1625" s="5" t="s">
        <v>6264</v>
      </c>
      <c r="F1625" s="5" t="s">
        <v>6264</v>
      </c>
      <c r="G1625" s="11" t="s">
        <v>131</v>
      </c>
      <c r="H1625" s="11" t="s">
        <v>9906</v>
      </c>
    </row>
    <row r="1626" customFormat="false" ht="17.15" hidden="false" customHeight="false" outlineLevel="0" collapsed="false">
      <c r="A1626" s="11" t="s">
        <v>9907</v>
      </c>
      <c r="B1626" s="11" t="s">
        <v>6724</v>
      </c>
      <c r="C1626" s="11" t="s">
        <v>153</v>
      </c>
      <c r="D1626" s="6" t="n">
        <v>142937</v>
      </c>
      <c r="E1626" s="5" t="s">
        <v>6207</v>
      </c>
      <c r="F1626" s="5" t="s">
        <v>6377</v>
      </c>
      <c r="G1626" s="11" t="s">
        <v>6378</v>
      </c>
      <c r="H1626" s="11" t="s">
        <v>9908</v>
      </c>
    </row>
    <row r="1627" customFormat="false" ht="17.15" hidden="false" customHeight="false" outlineLevel="0" collapsed="false">
      <c r="A1627" s="11" t="s">
        <v>9909</v>
      </c>
      <c r="B1627" s="11" t="s">
        <v>8654</v>
      </c>
      <c r="C1627" s="11" t="s">
        <v>192</v>
      </c>
      <c r="D1627" s="6" t="n">
        <v>142772</v>
      </c>
      <c r="E1627" s="5" t="s">
        <v>6239</v>
      </c>
      <c r="F1627" s="5" t="s">
        <v>6239</v>
      </c>
      <c r="G1627" s="11" t="s">
        <v>143</v>
      </c>
      <c r="H1627" s="11" t="s">
        <v>9910</v>
      </c>
    </row>
    <row r="1628" customFormat="false" ht="17.15" hidden="false" customHeight="false" outlineLevel="0" collapsed="false">
      <c r="A1628" s="11" t="s">
        <v>9911</v>
      </c>
      <c r="B1628" s="11" t="s">
        <v>9912</v>
      </c>
      <c r="C1628" s="11" t="s">
        <v>153</v>
      </c>
      <c r="D1628" s="6" t="n">
        <v>142579</v>
      </c>
      <c r="E1628" s="5" t="s">
        <v>6207</v>
      </c>
      <c r="F1628" s="5" t="s">
        <v>6716</v>
      </c>
      <c r="G1628" s="11" t="s">
        <v>6542</v>
      </c>
      <c r="H1628" s="11" t="s">
        <v>9913</v>
      </c>
    </row>
    <row r="1629" customFormat="false" ht="15" hidden="false" customHeight="false" outlineLevel="0" collapsed="false">
      <c r="A1629" s="11" t="s">
        <v>9914</v>
      </c>
      <c r="B1629" s="11" t="s">
        <v>1733</v>
      </c>
      <c r="C1629" s="11" t="s">
        <v>155</v>
      </c>
      <c r="D1629" s="6" t="n">
        <v>142544</v>
      </c>
      <c r="E1629" s="5" t="s">
        <v>6413</v>
      </c>
      <c r="F1629" s="5" t="s">
        <v>6413</v>
      </c>
      <c r="G1629" s="11" t="s">
        <v>128</v>
      </c>
      <c r="H1629" s="11" t="s">
        <v>9915</v>
      </c>
    </row>
    <row r="1630" customFormat="false" ht="17.15" hidden="false" customHeight="false" outlineLevel="0" collapsed="false">
      <c r="A1630" s="11" t="s">
        <v>9916</v>
      </c>
      <c r="B1630" s="11" t="s">
        <v>9917</v>
      </c>
      <c r="C1630" s="11" t="s">
        <v>155</v>
      </c>
      <c r="D1630" s="6" t="n">
        <v>142287</v>
      </c>
      <c r="E1630" s="5" t="s">
        <v>6210</v>
      </c>
      <c r="F1630" s="5" t="s">
        <v>6210</v>
      </c>
      <c r="G1630" s="11" t="s">
        <v>137</v>
      </c>
      <c r="H1630" s="11" t="s">
        <v>9918</v>
      </c>
    </row>
    <row r="1631" customFormat="false" ht="17.15" hidden="false" customHeight="false" outlineLevel="0" collapsed="false">
      <c r="A1631" s="11" t="s">
        <v>9919</v>
      </c>
      <c r="B1631" s="11" t="s">
        <v>9920</v>
      </c>
      <c r="C1631" s="11" t="s">
        <v>150</v>
      </c>
      <c r="D1631" s="6" t="n">
        <v>142197</v>
      </c>
      <c r="E1631" s="5" t="s">
        <v>6207</v>
      </c>
      <c r="F1631" s="5" t="s">
        <v>6207</v>
      </c>
      <c r="G1631" s="11" t="s">
        <v>134</v>
      </c>
      <c r="H1631" s="11" t="s">
        <v>9921</v>
      </c>
    </row>
    <row r="1632" customFormat="false" ht="15" hidden="false" customHeight="false" outlineLevel="0" collapsed="false">
      <c r="A1632" s="11" t="s">
        <v>3993</v>
      </c>
      <c r="B1632" s="11" t="s">
        <v>737</v>
      </c>
      <c r="C1632" s="11" t="s">
        <v>155</v>
      </c>
      <c r="D1632" s="6" t="n">
        <v>141900</v>
      </c>
      <c r="E1632" s="5" t="s">
        <v>141</v>
      </c>
      <c r="F1632" s="5" t="s">
        <v>141</v>
      </c>
      <c r="G1632" s="11" t="s">
        <v>140</v>
      </c>
      <c r="H1632" s="11" t="s">
        <v>9922</v>
      </c>
    </row>
    <row r="1633" customFormat="false" ht="17.15" hidden="false" customHeight="false" outlineLevel="0" collapsed="false">
      <c r="A1633" s="11" t="s">
        <v>9923</v>
      </c>
      <c r="B1633" s="11" t="s">
        <v>1697</v>
      </c>
      <c r="C1633" s="11" t="s">
        <v>155</v>
      </c>
      <c r="D1633" s="6" t="n">
        <v>141887</v>
      </c>
      <c r="E1633" s="5" t="s">
        <v>6264</v>
      </c>
      <c r="F1633" s="5" t="s">
        <v>6264</v>
      </c>
      <c r="G1633" s="11" t="s">
        <v>131</v>
      </c>
      <c r="H1633" s="11" t="s">
        <v>9924</v>
      </c>
    </row>
    <row r="1634" customFormat="false" ht="15" hidden="false" customHeight="false" outlineLevel="0" collapsed="false">
      <c r="A1634" s="11" t="s">
        <v>9925</v>
      </c>
      <c r="B1634" s="11" t="s">
        <v>632</v>
      </c>
      <c r="C1634" s="11" t="s">
        <v>158</v>
      </c>
      <c r="D1634" s="6" t="n">
        <v>141708</v>
      </c>
      <c r="E1634" s="5" t="s">
        <v>141</v>
      </c>
      <c r="F1634" s="5" t="s">
        <v>141</v>
      </c>
      <c r="G1634" s="11" t="s">
        <v>140</v>
      </c>
      <c r="H1634" s="11" t="s">
        <v>9926</v>
      </c>
    </row>
    <row r="1635" customFormat="false" ht="17.15" hidden="false" customHeight="false" outlineLevel="0" collapsed="false">
      <c r="A1635" s="11" t="s">
        <v>9927</v>
      </c>
      <c r="B1635" s="11" t="s">
        <v>681</v>
      </c>
      <c r="C1635" s="11" t="s">
        <v>197</v>
      </c>
      <c r="D1635" s="6" t="n">
        <v>141135</v>
      </c>
      <c r="E1635" s="5" t="s">
        <v>141</v>
      </c>
      <c r="F1635" s="5" t="s">
        <v>6495</v>
      </c>
      <c r="G1635" s="11" t="s">
        <v>6496</v>
      </c>
      <c r="H1635" s="11" t="s">
        <v>9928</v>
      </c>
    </row>
    <row r="1636" customFormat="false" ht="15" hidden="false" customHeight="false" outlineLevel="0" collapsed="false">
      <c r="A1636" s="11" t="s">
        <v>9929</v>
      </c>
      <c r="B1636" s="11" t="s">
        <v>2851</v>
      </c>
      <c r="C1636" s="11" t="s">
        <v>155</v>
      </c>
      <c r="D1636" s="6" t="n">
        <v>141051</v>
      </c>
      <c r="E1636" s="5" t="s">
        <v>6413</v>
      </c>
      <c r="F1636" s="5" t="s">
        <v>6413</v>
      </c>
      <c r="G1636" s="11" t="s">
        <v>128</v>
      </c>
      <c r="H1636" s="11" t="s">
        <v>9930</v>
      </c>
    </row>
    <row r="1637" customFormat="false" ht="17.15" hidden="false" customHeight="false" outlineLevel="0" collapsed="false">
      <c r="A1637" s="11" t="s">
        <v>9931</v>
      </c>
      <c r="B1637" s="11" t="s">
        <v>9932</v>
      </c>
      <c r="C1637" s="11" t="s">
        <v>155</v>
      </c>
      <c r="D1637" s="6" t="n">
        <v>140975</v>
      </c>
      <c r="E1637" s="5" t="s">
        <v>6210</v>
      </c>
      <c r="F1637" s="5" t="s">
        <v>6210</v>
      </c>
      <c r="G1637" s="11" t="s">
        <v>137</v>
      </c>
      <c r="H1637" s="11" t="s">
        <v>9933</v>
      </c>
    </row>
    <row r="1638" customFormat="false" ht="17.15" hidden="false" customHeight="false" outlineLevel="0" collapsed="false">
      <c r="A1638" s="11" t="s">
        <v>9934</v>
      </c>
      <c r="B1638" s="11" t="s">
        <v>1761</v>
      </c>
      <c r="C1638" s="11" t="s">
        <v>192</v>
      </c>
      <c r="D1638" s="6" t="n">
        <v>140940</v>
      </c>
      <c r="E1638" s="5" t="s">
        <v>6239</v>
      </c>
      <c r="F1638" s="5" t="s">
        <v>6239</v>
      </c>
      <c r="G1638" s="11" t="s">
        <v>143</v>
      </c>
      <c r="H1638" s="11" t="s">
        <v>9935</v>
      </c>
    </row>
    <row r="1639" customFormat="false" ht="17.15" hidden="false" customHeight="false" outlineLevel="0" collapsed="false">
      <c r="A1639" s="11" t="s">
        <v>9936</v>
      </c>
      <c r="B1639" s="11" t="s">
        <v>368</v>
      </c>
      <c r="C1639" s="11" t="s">
        <v>161</v>
      </c>
      <c r="D1639" s="6" t="n">
        <v>140718</v>
      </c>
      <c r="E1639" s="5" t="s">
        <v>6207</v>
      </c>
      <c r="F1639" s="5" t="s">
        <v>6207</v>
      </c>
      <c r="G1639" s="11" t="s">
        <v>134</v>
      </c>
      <c r="H1639" s="11" t="s">
        <v>9937</v>
      </c>
    </row>
    <row r="1640" customFormat="false" ht="17.15" hidden="false" customHeight="false" outlineLevel="0" collapsed="false">
      <c r="A1640" s="11" t="s">
        <v>9938</v>
      </c>
      <c r="B1640" s="11" t="s">
        <v>6409</v>
      </c>
      <c r="C1640" s="11" t="s">
        <v>162</v>
      </c>
      <c r="D1640" s="6" t="n">
        <v>139972</v>
      </c>
      <c r="E1640" s="5" t="s">
        <v>6207</v>
      </c>
      <c r="F1640" s="5" t="s">
        <v>6207</v>
      </c>
      <c r="G1640" s="11" t="s">
        <v>134</v>
      </c>
      <c r="H1640" s="11" t="s">
        <v>9939</v>
      </c>
    </row>
    <row r="1641" customFormat="false" ht="17.15" hidden="false" customHeight="false" outlineLevel="0" collapsed="false">
      <c r="A1641" s="11" t="s">
        <v>9940</v>
      </c>
      <c r="B1641" s="11" t="s">
        <v>9941</v>
      </c>
      <c r="C1641" s="11" t="s">
        <v>189</v>
      </c>
      <c r="D1641" s="6" t="n">
        <v>139743</v>
      </c>
      <c r="E1641" s="5" t="s">
        <v>6207</v>
      </c>
      <c r="F1641" s="5" t="s">
        <v>6214</v>
      </c>
      <c r="G1641" s="11" t="s">
        <v>6215</v>
      </c>
      <c r="H1641" s="11" t="s">
        <v>9942</v>
      </c>
    </row>
    <row r="1642" customFormat="false" ht="17.15" hidden="false" customHeight="false" outlineLevel="0" collapsed="false">
      <c r="A1642" s="11" t="s">
        <v>9943</v>
      </c>
      <c r="B1642" s="11" t="s">
        <v>402</v>
      </c>
      <c r="C1642" s="11" t="s">
        <v>150</v>
      </c>
      <c r="D1642" s="6" t="n">
        <v>139405</v>
      </c>
      <c r="E1642" s="5" t="s">
        <v>6207</v>
      </c>
      <c r="F1642" s="5" t="s">
        <v>6207</v>
      </c>
      <c r="G1642" s="11" t="s">
        <v>134</v>
      </c>
      <c r="H1642" s="11" t="s">
        <v>9944</v>
      </c>
    </row>
    <row r="1643" customFormat="false" ht="17.15" hidden="false" customHeight="false" outlineLevel="0" collapsed="false">
      <c r="A1643" s="11" t="s">
        <v>9945</v>
      </c>
      <c r="B1643" s="11" t="s">
        <v>9946</v>
      </c>
      <c r="C1643" s="5"/>
      <c r="D1643" s="6" t="n">
        <v>139224</v>
      </c>
      <c r="E1643" s="5" t="s">
        <v>6210</v>
      </c>
      <c r="F1643" s="5" t="s">
        <v>6210</v>
      </c>
      <c r="G1643" s="11" t="s">
        <v>137</v>
      </c>
      <c r="H1643" s="11" t="s">
        <v>9947</v>
      </c>
    </row>
    <row r="1644" customFormat="false" ht="17.15" hidden="false" customHeight="false" outlineLevel="0" collapsed="false">
      <c r="A1644" s="11" t="s">
        <v>9948</v>
      </c>
      <c r="B1644" s="11" t="s">
        <v>6647</v>
      </c>
      <c r="C1644" s="11" t="s">
        <v>152</v>
      </c>
      <c r="D1644" s="6" t="n">
        <v>138955</v>
      </c>
      <c r="E1644" s="5" t="s">
        <v>6264</v>
      </c>
      <c r="F1644" s="5" t="s">
        <v>6264</v>
      </c>
      <c r="G1644" s="11" t="s">
        <v>131</v>
      </c>
      <c r="H1644" s="11" t="s">
        <v>9949</v>
      </c>
    </row>
    <row r="1645" customFormat="false" ht="17.15" hidden="false" customHeight="false" outlineLevel="0" collapsed="false">
      <c r="A1645" s="11" t="s">
        <v>9950</v>
      </c>
      <c r="B1645" s="11" t="s">
        <v>9951</v>
      </c>
      <c r="C1645" s="11" t="s">
        <v>194</v>
      </c>
      <c r="D1645" s="6" t="n">
        <v>138808</v>
      </c>
      <c r="E1645" s="5" t="s">
        <v>6239</v>
      </c>
      <c r="F1645" s="5" t="s">
        <v>6239</v>
      </c>
      <c r="G1645" s="11" t="s">
        <v>143</v>
      </c>
      <c r="H1645" s="11" t="s">
        <v>9952</v>
      </c>
    </row>
    <row r="1646" customFormat="false" ht="17.15" hidden="false" customHeight="false" outlineLevel="0" collapsed="false">
      <c r="A1646" s="11" t="s">
        <v>9953</v>
      </c>
      <c r="B1646" s="11" t="s">
        <v>402</v>
      </c>
      <c r="C1646" s="11" t="s">
        <v>150</v>
      </c>
      <c r="D1646" s="6" t="n">
        <v>138585</v>
      </c>
      <c r="E1646" s="5" t="s">
        <v>6207</v>
      </c>
      <c r="F1646" s="5" t="s">
        <v>6207</v>
      </c>
      <c r="G1646" s="11" t="s">
        <v>134</v>
      </c>
      <c r="H1646" s="11" t="s">
        <v>9954</v>
      </c>
    </row>
    <row r="1647" customFormat="false" ht="17.15" hidden="false" customHeight="false" outlineLevel="0" collapsed="false">
      <c r="A1647" s="11" t="s">
        <v>9955</v>
      </c>
      <c r="B1647" s="11" t="s">
        <v>9956</v>
      </c>
      <c r="C1647" s="11" t="s">
        <v>155</v>
      </c>
      <c r="D1647" s="6" t="n">
        <v>138537</v>
      </c>
      <c r="E1647" s="5" t="s">
        <v>6207</v>
      </c>
      <c r="F1647" s="5" t="s">
        <v>6207</v>
      </c>
      <c r="G1647" s="11" t="s">
        <v>134</v>
      </c>
      <c r="H1647" s="11" t="s">
        <v>9957</v>
      </c>
    </row>
    <row r="1648" customFormat="false" ht="17.15" hidden="false" customHeight="false" outlineLevel="0" collapsed="false">
      <c r="A1648" s="11" t="s">
        <v>9958</v>
      </c>
      <c r="B1648" s="11" t="s">
        <v>681</v>
      </c>
      <c r="C1648" s="5"/>
      <c r="D1648" s="6" t="n">
        <v>138466</v>
      </c>
      <c r="E1648" s="5" t="s">
        <v>6207</v>
      </c>
      <c r="F1648" s="5" t="s">
        <v>6377</v>
      </c>
      <c r="G1648" s="11" t="s">
        <v>6378</v>
      </c>
      <c r="H1648" s="11" t="s">
        <v>9959</v>
      </c>
    </row>
    <row r="1649" customFormat="false" ht="17.15" hidden="false" customHeight="false" outlineLevel="0" collapsed="false">
      <c r="A1649" s="11" t="s">
        <v>9960</v>
      </c>
      <c r="B1649" s="11" t="s">
        <v>8213</v>
      </c>
      <c r="C1649" s="11" t="s">
        <v>162</v>
      </c>
      <c r="D1649" s="6" t="n">
        <v>138296</v>
      </c>
      <c r="E1649" s="5" t="s">
        <v>6210</v>
      </c>
      <c r="F1649" s="5" t="s">
        <v>6210</v>
      </c>
      <c r="G1649" s="11" t="s">
        <v>137</v>
      </c>
      <c r="H1649" s="11" t="s">
        <v>9961</v>
      </c>
    </row>
    <row r="1650" customFormat="false" ht="17.15" hidden="false" customHeight="false" outlineLevel="0" collapsed="false">
      <c r="A1650" s="11" t="s">
        <v>9962</v>
      </c>
      <c r="B1650" s="11" t="s">
        <v>7416</v>
      </c>
      <c r="C1650" s="11" t="s">
        <v>193</v>
      </c>
      <c r="D1650" s="6" t="n">
        <v>138164</v>
      </c>
      <c r="E1650" s="5" t="s">
        <v>6239</v>
      </c>
      <c r="F1650" s="5" t="s">
        <v>6239</v>
      </c>
      <c r="G1650" s="11" t="s">
        <v>143</v>
      </c>
      <c r="H1650" s="11" t="s">
        <v>9963</v>
      </c>
    </row>
    <row r="1651" customFormat="false" ht="17.15" hidden="false" customHeight="false" outlineLevel="0" collapsed="false">
      <c r="A1651" s="11" t="s">
        <v>9964</v>
      </c>
      <c r="B1651" s="11" t="s">
        <v>9965</v>
      </c>
      <c r="C1651" s="11" t="s">
        <v>192</v>
      </c>
      <c r="D1651" s="6" t="n">
        <v>138152</v>
      </c>
      <c r="E1651" s="5" t="s">
        <v>6239</v>
      </c>
      <c r="F1651" s="5" t="s">
        <v>6239</v>
      </c>
      <c r="G1651" s="11" t="s">
        <v>143</v>
      </c>
      <c r="H1651" s="11" t="s">
        <v>9966</v>
      </c>
    </row>
    <row r="1652" customFormat="false" ht="17.15" hidden="false" customHeight="false" outlineLevel="0" collapsed="false">
      <c r="A1652" s="11" t="s">
        <v>9967</v>
      </c>
      <c r="B1652" s="11" t="s">
        <v>9968</v>
      </c>
      <c r="C1652" s="11" t="s">
        <v>192</v>
      </c>
      <c r="D1652" s="6" t="n">
        <v>137820</v>
      </c>
      <c r="E1652" s="5" t="s">
        <v>6239</v>
      </c>
      <c r="F1652" s="5" t="s">
        <v>6239</v>
      </c>
      <c r="G1652" s="11" t="s">
        <v>143</v>
      </c>
      <c r="H1652" s="11" t="s">
        <v>9969</v>
      </c>
    </row>
    <row r="1653" customFormat="false" ht="17.15" hidden="false" customHeight="false" outlineLevel="0" collapsed="false">
      <c r="A1653" s="11" t="s">
        <v>9970</v>
      </c>
      <c r="B1653" s="11" t="s">
        <v>327</v>
      </c>
      <c r="C1653" s="11" t="s">
        <v>202</v>
      </c>
      <c r="D1653" s="6" t="n">
        <v>137609</v>
      </c>
      <c r="E1653" s="5" t="s">
        <v>6239</v>
      </c>
      <c r="F1653" s="5" t="s">
        <v>6239</v>
      </c>
      <c r="G1653" s="11" t="s">
        <v>143</v>
      </c>
      <c r="H1653" s="11" t="s">
        <v>9971</v>
      </c>
    </row>
    <row r="1654" customFormat="false" ht="17.15" hidden="false" customHeight="false" outlineLevel="0" collapsed="false">
      <c r="A1654" s="11" t="s">
        <v>9972</v>
      </c>
      <c r="B1654" s="11" t="s">
        <v>6647</v>
      </c>
      <c r="C1654" s="11" t="s">
        <v>192</v>
      </c>
      <c r="D1654" s="6" t="n">
        <v>137563</v>
      </c>
      <c r="E1654" s="5" t="s">
        <v>6264</v>
      </c>
      <c r="F1654" s="5" t="s">
        <v>7411</v>
      </c>
      <c r="G1654" s="11" t="s">
        <v>7412</v>
      </c>
      <c r="H1654" s="11" t="s">
        <v>9973</v>
      </c>
    </row>
    <row r="1655" customFormat="false" ht="17.15" hidden="false" customHeight="false" outlineLevel="0" collapsed="false">
      <c r="A1655" s="11" t="s">
        <v>9974</v>
      </c>
      <c r="B1655" s="11" t="s">
        <v>6835</v>
      </c>
      <c r="C1655" s="11" t="s">
        <v>192</v>
      </c>
      <c r="D1655" s="6" t="n">
        <v>137517</v>
      </c>
      <c r="E1655" s="5" t="s">
        <v>6239</v>
      </c>
      <c r="F1655" s="5" t="s">
        <v>6239</v>
      </c>
      <c r="G1655" s="11" t="s">
        <v>143</v>
      </c>
      <c r="H1655" s="11" t="s">
        <v>9975</v>
      </c>
    </row>
    <row r="1656" customFormat="false" ht="17.15" hidden="false" customHeight="false" outlineLevel="0" collapsed="false">
      <c r="A1656" s="11" t="s">
        <v>9976</v>
      </c>
      <c r="B1656" s="11" t="s">
        <v>7150</v>
      </c>
      <c r="C1656" s="11" t="s">
        <v>152</v>
      </c>
      <c r="D1656" s="6" t="n">
        <v>137487</v>
      </c>
      <c r="E1656" s="5" t="s">
        <v>6210</v>
      </c>
      <c r="F1656" s="5" t="s">
        <v>6210</v>
      </c>
      <c r="G1656" s="11" t="s">
        <v>137</v>
      </c>
      <c r="H1656" s="11" t="s">
        <v>9977</v>
      </c>
    </row>
    <row r="1657" customFormat="false" ht="17.15" hidden="false" customHeight="false" outlineLevel="0" collapsed="false">
      <c r="A1657" s="11" t="s">
        <v>9978</v>
      </c>
      <c r="B1657" s="11" t="s">
        <v>9979</v>
      </c>
      <c r="C1657" s="11" t="s">
        <v>167</v>
      </c>
      <c r="D1657" s="6" t="n">
        <v>137476</v>
      </c>
      <c r="E1657" s="5" t="s">
        <v>6210</v>
      </c>
      <c r="F1657" s="5" t="s">
        <v>6210</v>
      </c>
      <c r="G1657" s="11" t="s">
        <v>137</v>
      </c>
      <c r="H1657" s="11" t="s">
        <v>9980</v>
      </c>
    </row>
    <row r="1658" customFormat="false" ht="17.15" hidden="false" customHeight="false" outlineLevel="0" collapsed="false">
      <c r="A1658" s="11" t="s">
        <v>9981</v>
      </c>
      <c r="B1658" s="11" t="s">
        <v>9982</v>
      </c>
      <c r="C1658" s="11" t="s">
        <v>192</v>
      </c>
      <c r="D1658" s="6" t="n">
        <v>137460</v>
      </c>
      <c r="E1658" s="5" t="s">
        <v>6239</v>
      </c>
      <c r="F1658" s="5" t="s">
        <v>6239</v>
      </c>
      <c r="G1658" s="11" t="s">
        <v>143</v>
      </c>
      <c r="H1658" s="11" t="s">
        <v>9983</v>
      </c>
    </row>
    <row r="1659" customFormat="false" ht="17.15" hidden="false" customHeight="false" outlineLevel="0" collapsed="false">
      <c r="A1659" s="11" t="s">
        <v>9984</v>
      </c>
      <c r="B1659" s="11" t="s">
        <v>7811</v>
      </c>
      <c r="C1659" s="11" t="s">
        <v>155</v>
      </c>
      <c r="D1659" s="6" t="n">
        <v>137423</v>
      </c>
      <c r="E1659" s="5" t="s">
        <v>6210</v>
      </c>
      <c r="F1659" s="5" t="s">
        <v>6210</v>
      </c>
      <c r="G1659" s="11" t="s">
        <v>137</v>
      </c>
      <c r="H1659" s="11" t="s">
        <v>9985</v>
      </c>
    </row>
    <row r="1660" customFormat="false" ht="17.15" hidden="false" customHeight="false" outlineLevel="0" collapsed="false">
      <c r="A1660" s="11" t="s">
        <v>9986</v>
      </c>
      <c r="B1660" s="11" t="s">
        <v>368</v>
      </c>
      <c r="C1660" s="11" t="s">
        <v>161</v>
      </c>
      <c r="D1660" s="6" t="n">
        <v>137292</v>
      </c>
      <c r="E1660" s="5" t="s">
        <v>6207</v>
      </c>
      <c r="F1660" s="5" t="s">
        <v>6377</v>
      </c>
      <c r="G1660" s="11" t="s">
        <v>6378</v>
      </c>
      <c r="H1660" s="11" t="s">
        <v>9987</v>
      </c>
    </row>
    <row r="1661" customFormat="false" ht="17.15" hidden="false" customHeight="false" outlineLevel="0" collapsed="false">
      <c r="A1661" s="11" t="s">
        <v>9988</v>
      </c>
      <c r="B1661" s="11" t="s">
        <v>6647</v>
      </c>
      <c r="C1661" s="11" t="s">
        <v>155</v>
      </c>
      <c r="D1661" s="6" t="n">
        <v>137247</v>
      </c>
      <c r="E1661" s="5" t="s">
        <v>6264</v>
      </c>
      <c r="F1661" s="5" t="s">
        <v>6264</v>
      </c>
      <c r="G1661" s="11" t="s">
        <v>131</v>
      </c>
      <c r="H1661" s="11" t="s">
        <v>9989</v>
      </c>
    </row>
    <row r="1662" customFormat="false" ht="17.15" hidden="false" customHeight="false" outlineLevel="0" collapsed="false">
      <c r="A1662" s="11" t="s">
        <v>9990</v>
      </c>
      <c r="B1662" s="11" t="s">
        <v>327</v>
      </c>
      <c r="C1662" s="11" t="s">
        <v>153</v>
      </c>
      <c r="D1662" s="6" t="n">
        <v>137225</v>
      </c>
      <c r="E1662" s="5" t="s">
        <v>6210</v>
      </c>
      <c r="F1662" s="5" t="s">
        <v>6210</v>
      </c>
      <c r="G1662" s="11" t="s">
        <v>137</v>
      </c>
      <c r="H1662" s="11" t="s">
        <v>9991</v>
      </c>
    </row>
    <row r="1663" customFormat="false" ht="17.15" hidden="false" customHeight="false" outlineLevel="0" collapsed="false">
      <c r="A1663" s="11" t="s">
        <v>9992</v>
      </c>
      <c r="B1663" s="11" t="s">
        <v>402</v>
      </c>
      <c r="C1663" s="11" t="s">
        <v>150</v>
      </c>
      <c r="D1663" s="6" t="n">
        <v>136895</v>
      </c>
      <c r="E1663" s="5" t="s">
        <v>6207</v>
      </c>
      <c r="F1663" s="5" t="s">
        <v>6207</v>
      </c>
      <c r="G1663" s="11" t="s">
        <v>134</v>
      </c>
      <c r="H1663" s="11" t="s">
        <v>9993</v>
      </c>
    </row>
    <row r="1664" customFormat="false" ht="17.15" hidden="false" customHeight="false" outlineLevel="0" collapsed="false">
      <c r="A1664" s="11" t="s">
        <v>9994</v>
      </c>
      <c r="B1664" s="11" t="s">
        <v>5266</v>
      </c>
      <c r="C1664" s="11" t="s">
        <v>192</v>
      </c>
      <c r="D1664" s="6" t="n">
        <v>136759</v>
      </c>
      <c r="E1664" s="5" t="s">
        <v>6239</v>
      </c>
      <c r="F1664" s="5" t="s">
        <v>6239</v>
      </c>
      <c r="G1664" s="11" t="s">
        <v>143</v>
      </c>
      <c r="H1664" s="11" t="s">
        <v>9995</v>
      </c>
    </row>
    <row r="1665" customFormat="false" ht="17.15" hidden="false" customHeight="false" outlineLevel="0" collapsed="false">
      <c r="A1665" s="11" t="s">
        <v>9996</v>
      </c>
      <c r="B1665" s="11" t="s">
        <v>402</v>
      </c>
      <c r="C1665" s="11" t="s">
        <v>150</v>
      </c>
      <c r="D1665" s="6" t="n">
        <v>136752</v>
      </c>
      <c r="E1665" s="5" t="s">
        <v>6207</v>
      </c>
      <c r="F1665" s="5" t="s">
        <v>6207</v>
      </c>
      <c r="G1665" s="11" t="s">
        <v>134</v>
      </c>
      <c r="H1665" s="11" t="s">
        <v>9997</v>
      </c>
    </row>
    <row r="1666" customFormat="false" ht="15" hidden="false" customHeight="false" outlineLevel="0" collapsed="false">
      <c r="A1666" s="11" t="s">
        <v>9998</v>
      </c>
      <c r="B1666" s="11" t="s">
        <v>6406</v>
      </c>
      <c r="C1666" s="11" t="s">
        <v>153</v>
      </c>
      <c r="D1666" s="6" t="n">
        <v>136746</v>
      </c>
      <c r="E1666" s="5" t="s">
        <v>6227</v>
      </c>
      <c r="F1666" s="5" t="s">
        <v>6227</v>
      </c>
      <c r="G1666" s="11" t="s">
        <v>134</v>
      </c>
      <c r="H1666" s="11" t="s">
        <v>9999</v>
      </c>
    </row>
    <row r="1667" customFormat="false" ht="17.15" hidden="false" customHeight="false" outlineLevel="0" collapsed="false">
      <c r="A1667" s="11" t="s">
        <v>10000</v>
      </c>
      <c r="B1667" s="11" t="s">
        <v>7653</v>
      </c>
      <c r="C1667" s="11" t="s">
        <v>150</v>
      </c>
      <c r="D1667" s="6" t="n">
        <v>136648</v>
      </c>
      <c r="E1667" s="5" t="s">
        <v>6207</v>
      </c>
      <c r="F1667" s="5" t="s">
        <v>6207</v>
      </c>
      <c r="G1667" s="11" t="s">
        <v>134</v>
      </c>
      <c r="H1667" s="11" t="s">
        <v>10001</v>
      </c>
    </row>
    <row r="1668" customFormat="false" ht="17.15" hidden="false" customHeight="false" outlineLevel="0" collapsed="false">
      <c r="A1668" s="11" t="s">
        <v>10002</v>
      </c>
      <c r="B1668" s="11" t="s">
        <v>10003</v>
      </c>
      <c r="C1668" s="11" t="s">
        <v>149</v>
      </c>
      <c r="D1668" s="6" t="n">
        <v>136498</v>
      </c>
      <c r="E1668" s="5" t="s">
        <v>6207</v>
      </c>
      <c r="F1668" s="5" t="s">
        <v>6207</v>
      </c>
      <c r="G1668" s="11" t="s">
        <v>134</v>
      </c>
      <c r="H1668" s="11" t="s">
        <v>10004</v>
      </c>
    </row>
    <row r="1669" customFormat="false" ht="17.15" hidden="false" customHeight="false" outlineLevel="0" collapsed="false">
      <c r="A1669" s="11" t="s">
        <v>10005</v>
      </c>
      <c r="B1669" s="11" t="s">
        <v>402</v>
      </c>
      <c r="C1669" s="11" t="s">
        <v>150</v>
      </c>
      <c r="D1669" s="6" t="n">
        <v>136468</v>
      </c>
      <c r="E1669" s="5" t="s">
        <v>6207</v>
      </c>
      <c r="F1669" s="5" t="s">
        <v>6207</v>
      </c>
      <c r="G1669" s="11" t="s">
        <v>134</v>
      </c>
      <c r="H1669" s="11" t="s">
        <v>10006</v>
      </c>
    </row>
    <row r="1670" customFormat="false" ht="17.15" hidden="false" customHeight="false" outlineLevel="0" collapsed="false">
      <c r="A1670" s="11" t="s">
        <v>10007</v>
      </c>
      <c r="B1670" s="11" t="s">
        <v>10008</v>
      </c>
      <c r="C1670" s="11" t="s">
        <v>155</v>
      </c>
      <c r="D1670" s="6" t="n">
        <v>136321</v>
      </c>
      <c r="E1670" s="5" t="s">
        <v>6210</v>
      </c>
      <c r="F1670" s="5" t="s">
        <v>6210</v>
      </c>
      <c r="G1670" s="11" t="s">
        <v>137</v>
      </c>
      <c r="H1670" s="11" t="s">
        <v>10009</v>
      </c>
    </row>
    <row r="1671" customFormat="false" ht="17.15" hidden="false" customHeight="false" outlineLevel="0" collapsed="false">
      <c r="A1671" s="11" t="s">
        <v>10010</v>
      </c>
      <c r="B1671" s="11" t="s">
        <v>8904</v>
      </c>
      <c r="C1671" s="11" t="s">
        <v>153</v>
      </c>
      <c r="D1671" s="6" t="n">
        <v>136249</v>
      </c>
      <c r="E1671" s="5" t="s">
        <v>6210</v>
      </c>
      <c r="F1671" s="5" t="s">
        <v>6210</v>
      </c>
      <c r="G1671" s="11" t="s">
        <v>137</v>
      </c>
      <c r="H1671" s="11" t="s">
        <v>10011</v>
      </c>
    </row>
    <row r="1672" customFormat="false" ht="17.15" hidden="false" customHeight="false" outlineLevel="0" collapsed="false">
      <c r="A1672" s="11" t="s">
        <v>10012</v>
      </c>
      <c r="B1672" s="11" t="s">
        <v>10013</v>
      </c>
      <c r="C1672" s="11" t="s">
        <v>150</v>
      </c>
      <c r="D1672" s="6" t="n">
        <v>135801</v>
      </c>
      <c r="E1672" s="5" t="s">
        <v>6207</v>
      </c>
      <c r="F1672" s="5" t="s">
        <v>6207</v>
      </c>
      <c r="G1672" s="11" t="s">
        <v>134</v>
      </c>
      <c r="H1672" s="11" t="s">
        <v>10014</v>
      </c>
    </row>
    <row r="1673" customFormat="false" ht="17.15" hidden="false" customHeight="false" outlineLevel="0" collapsed="false">
      <c r="A1673" s="11" t="s">
        <v>10015</v>
      </c>
      <c r="B1673" s="11" t="s">
        <v>7465</v>
      </c>
      <c r="C1673" s="11" t="s">
        <v>178</v>
      </c>
      <c r="D1673" s="6" t="n">
        <v>135559</v>
      </c>
      <c r="E1673" s="5" t="s">
        <v>6207</v>
      </c>
      <c r="F1673" s="5" t="s">
        <v>6207</v>
      </c>
      <c r="G1673" s="11" t="s">
        <v>134</v>
      </c>
      <c r="H1673" s="11" t="s">
        <v>10016</v>
      </c>
    </row>
    <row r="1674" customFormat="false" ht="17.15" hidden="false" customHeight="false" outlineLevel="0" collapsed="false">
      <c r="A1674" s="11" t="s">
        <v>10017</v>
      </c>
      <c r="B1674" s="11" t="s">
        <v>10018</v>
      </c>
      <c r="C1674" s="11" t="s">
        <v>192</v>
      </c>
      <c r="D1674" s="6" t="n">
        <v>135536</v>
      </c>
      <c r="E1674" s="5" t="s">
        <v>6239</v>
      </c>
      <c r="F1674" s="5" t="s">
        <v>6239</v>
      </c>
      <c r="G1674" s="11" t="s">
        <v>143</v>
      </c>
      <c r="H1674" s="11" t="s">
        <v>10019</v>
      </c>
    </row>
    <row r="1675" customFormat="false" ht="17.15" hidden="false" customHeight="false" outlineLevel="0" collapsed="false">
      <c r="A1675" s="11" t="s">
        <v>10020</v>
      </c>
      <c r="B1675" s="11" t="s">
        <v>6528</v>
      </c>
      <c r="C1675" s="11" t="s">
        <v>192</v>
      </c>
      <c r="D1675" s="6" t="n">
        <v>135496</v>
      </c>
      <c r="E1675" s="5" t="s">
        <v>6239</v>
      </c>
      <c r="F1675" s="5" t="s">
        <v>6239</v>
      </c>
      <c r="G1675" s="11" t="s">
        <v>143</v>
      </c>
      <c r="H1675" s="11" t="s">
        <v>10021</v>
      </c>
    </row>
    <row r="1676" customFormat="false" ht="17.15" hidden="false" customHeight="false" outlineLevel="0" collapsed="false">
      <c r="A1676" s="11" t="s">
        <v>10022</v>
      </c>
      <c r="B1676" s="11" t="s">
        <v>1111</v>
      </c>
      <c r="C1676" s="11" t="s">
        <v>155</v>
      </c>
      <c r="D1676" s="6" t="n">
        <v>135335</v>
      </c>
      <c r="E1676" s="5" t="s">
        <v>6210</v>
      </c>
      <c r="F1676" s="5" t="s">
        <v>6210</v>
      </c>
      <c r="G1676" s="11" t="s">
        <v>137</v>
      </c>
      <c r="H1676" s="11" t="s">
        <v>10023</v>
      </c>
    </row>
    <row r="1677" customFormat="false" ht="17.15" hidden="false" customHeight="false" outlineLevel="0" collapsed="false">
      <c r="A1677" s="11" t="s">
        <v>10024</v>
      </c>
      <c r="B1677" s="11" t="s">
        <v>10025</v>
      </c>
      <c r="C1677" s="11" t="s">
        <v>149</v>
      </c>
      <c r="D1677" s="6" t="n">
        <v>134753</v>
      </c>
      <c r="E1677" s="5" t="s">
        <v>6207</v>
      </c>
      <c r="F1677" s="5" t="s">
        <v>6207</v>
      </c>
      <c r="G1677" s="11" t="s">
        <v>134</v>
      </c>
      <c r="H1677" s="11" t="s">
        <v>10026</v>
      </c>
    </row>
    <row r="1678" customFormat="false" ht="17.15" hidden="false" customHeight="false" outlineLevel="0" collapsed="false">
      <c r="A1678" s="11" t="s">
        <v>10027</v>
      </c>
      <c r="B1678" s="11" t="s">
        <v>10028</v>
      </c>
      <c r="C1678" s="5"/>
      <c r="D1678" s="6" t="n">
        <v>134749</v>
      </c>
      <c r="E1678" s="5" t="s">
        <v>6210</v>
      </c>
      <c r="F1678" s="5" t="s">
        <v>6210</v>
      </c>
      <c r="G1678" s="11" t="s">
        <v>137</v>
      </c>
      <c r="H1678" s="11" t="s">
        <v>10029</v>
      </c>
    </row>
    <row r="1679" customFormat="false" ht="17.15" hidden="false" customHeight="false" outlineLevel="0" collapsed="false">
      <c r="A1679" s="11" t="s">
        <v>10030</v>
      </c>
      <c r="B1679" s="11" t="s">
        <v>8439</v>
      </c>
      <c r="C1679" s="5"/>
      <c r="D1679" s="6" t="n">
        <v>134662</v>
      </c>
      <c r="E1679" s="5" t="s">
        <v>6207</v>
      </c>
      <c r="F1679" s="5" t="s">
        <v>6207</v>
      </c>
      <c r="G1679" s="11" t="s">
        <v>134</v>
      </c>
      <c r="H1679" s="11" t="s">
        <v>10031</v>
      </c>
    </row>
    <row r="1680" customFormat="false" ht="17.15" hidden="false" customHeight="false" outlineLevel="0" collapsed="false">
      <c r="A1680" s="11" t="s">
        <v>10032</v>
      </c>
      <c r="B1680" s="11" t="s">
        <v>9716</v>
      </c>
      <c r="C1680" s="11" t="s">
        <v>156</v>
      </c>
      <c r="D1680" s="6" t="n">
        <v>134549</v>
      </c>
      <c r="E1680" s="5" t="s">
        <v>6264</v>
      </c>
      <c r="F1680" s="5" t="s">
        <v>6264</v>
      </c>
      <c r="G1680" s="11" t="s">
        <v>131</v>
      </c>
      <c r="H1680" s="11" t="s">
        <v>10033</v>
      </c>
    </row>
    <row r="1681" customFormat="false" ht="17.15" hidden="false" customHeight="false" outlineLevel="0" collapsed="false">
      <c r="A1681" s="11" t="s">
        <v>10034</v>
      </c>
      <c r="B1681" s="11" t="s">
        <v>10035</v>
      </c>
      <c r="C1681" s="11" t="s">
        <v>183</v>
      </c>
      <c r="D1681" s="6" t="n">
        <v>134385</v>
      </c>
      <c r="E1681" s="5" t="s">
        <v>6210</v>
      </c>
      <c r="F1681" s="5" t="s">
        <v>6210</v>
      </c>
      <c r="G1681" s="11" t="s">
        <v>137</v>
      </c>
      <c r="H1681" s="11" t="s">
        <v>10036</v>
      </c>
    </row>
    <row r="1682" customFormat="false" ht="17.15" hidden="false" customHeight="false" outlineLevel="0" collapsed="false">
      <c r="A1682" s="11" t="s">
        <v>10037</v>
      </c>
      <c r="B1682" s="11" t="s">
        <v>10038</v>
      </c>
      <c r="C1682" s="11" t="s">
        <v>149</v>
      </c>
      <c r="D1682" s="6" t="n">
        <v>134333</v>
      </c>
      <c r="E1682" s="5" t="s">
        <v>6207</v>
      </c>
      <c r="F1682" s="5" t="s">
        <v>6377</v>
      </c>
      <c r="G1682" s="11" t="s">
        <v>6378</v>
      </c>
      <c r="H1682" s="11" t="s">
        <v>10039</v>
      </c>
    </row>
    <row r="1683" customFormat="false" ht="17.15" hidden="false" customHeight="false" outlineLevel="0" collapsed="false">
      <c r="A1683" s="11" t="s">
        <v>10040</v>
      </c>
      <c r="B1683" s="11" t="s">
        <v>10041</v>
      </c>
      <c r="C1683" s="11" t="s">
        <v>149</v>
      </c>
      <c r="D1683" s="6" t="n">
        <v>134258</v>
      </c>
      <c r="E1683" s="5" t="s">
        <v>6207</v>
      </c>
      <c r="F1683" s="5" t="s">
        <v>6207</v>
      </c>
      <c r="G1683" s="11" t="s">
        <v>134</v>
      </c>
      <c r="H1683" s="11" t="s">
        <v>10042</v>
      </c>
    </row>
    <row r="1684" customFormat="false" ht="15" hidden="false" customHeight="false" outlineLevel="0" collapsed="false">
      <c r="A1684" s="11" t="s">
        <v>10043</v>
      </c>
      <c r="B1684" s="11" t="s">
        <v>2693</v>
      </c>
      <c r="C1684" s="11" t="s">
        <v>167</v>
      </c>
      <c r="D1684" s="6" t="n">
        <v>134146</v>
      </c>
      <c r="E1684" s="5" t="s">
        <v>141</v>
      </c>
      <c r="F1684" s="5" t="s">
        <v>141</v>
      </c>
      <c r="G1684" s="11" t="s">
        <v>140</v>
      </c>
      <c r="H1684" s="11" t="s">
        <v>10044</v>
      </c>
    </row>
    <row r="1685" customFormat="false" ht="17.15" hidden="false" customHeight="false" outlineLevel="0" collapsed="false">
      <c r="A1685" s="11" t="s">
        <v>10045</v>
      </c>
      <c r="B1685" s="11" t="s">
        <v>402</v>
      </c>
      <c r="C1685" s="11" t="s">
        <v>150</v>
      </c>
      <c r="D1685" s="6" t="n">
        <v>134029</v>
      </c>
      <c r="E1685" s="5" t="s">
        <v>6207</v>
      </c>
      <c r="F1685" s="5" t="s">
        <v>6207</v>
      </c>
      <c r="G1685" s="11" t="s">
        <v>134</v>
      </c>
      <c r="H1685" s="11" t="s">
        <v>10046</v>
      </c>
    </row>
    <row r="1686" customFormat="false" ht="17.15" hidden="false" customHeight="false" outlineLevel="0" collapsed="false">
      <c r="A1686" s="11" t="s">
        <v>10047</v>
      </c>
      <c r="B1686" s="11" t="s">
        <v>10048</v>
      </c>
      <c r="C1686" s="11" t="s">
        <v>155</v>
      </c>
      <c r="D1686" s="6" t="n">
        <v>134026</v>
      </c>
      <c r="E1686" s="5" t="s">
        <v>6207</v>
      </c>
      <c r="F1686" s="5" t="s">
        <v>6207</v>
      </c>
      <c r="G1686" s="11" t="s">
        <v>134</v>
      </c>
      <c r="H1686" s="11" t="s">
        <v>10049</v>
      </c>
    </row>
    <row r="1687" customFormat="false" ht="17.15" hidden="false" customHeight="false" outlineLevel="0" collapsed="false">
      <c r="A1687" s="11" t="s">
        <v>10050</v>
      </c>
      <c r="B1687" s="11" t="s">
        <v>6457</v>
      </c>
      <c r="C1687" s="11" t="s">
        <v>161</v>
      </c>
      <c r="D1687" s="6" t="n">
        <v>133939</v>
      </c>
      <c r="E1687" s="5" t="s">
        <v>6264</v>
      </c>
      <c r="F1687" s="5" t="s">
        <v>6264</v>
      </c>
      <c r="G1687" s="11" t="s">
        <v>131</v>
      </c>
      <c r="H1687" s="11" t="s">
        <v>10051</v>
      </c>
    </row>
    <row r="1688" customFormat="false" ht="17.15" hidden="false" customHeight="false" outlineLevel="0" collapsed="false">
      <c r="A1688" s="11" t="s">
        <v>10052</v>
      </c>
      <c r="B1688" s="11" t="s">
        <v>402</v>
      </c>
      <c r="C1688" s="11" t="s">
        <v>150</v>
      </c>
      <c r="D1688" s="6" t="n">
        <v>133574</v>
      </c>
      <c r="E1688" s="5" t="s">
        <v>6207</v>
      </c>
      <c r="F1688" s="5" t="s">
        <v>6207</v>
      </c>
      <c r="G1688" s="11" t="s">
        <v>134</v>
      </c>
      <c r="H1688" s="11" t="s">
        <v>10053</v>
      </c>
    </row>
    <row r="1689" customFormat="false" ht="17.15" hidden="false" customHeight="false" outlineLevel="0" collapsed="false">
      <c r="A1689" s="11" t="s">
        <v>10054</v>
      </c>
      <c r="B1689" s="11" t="s">
        <v>6457</v>
      </c>
      <c r="C1689" s="11" t="s">
        <v>155</v>
      </c>
      <c r="D1689" s="6" t="n">
        <v>133528</v>
      </c>
      <c r="E1689" s="5" t="s">
        <v>6264</v>
      </c>
      <c r="F1689" s="5" t="s">
        <v>6264</v>
      </c>
      <c r="G1689" s="11" t="s">
        <v>131</v>
      </c>
      <c r="H1689" s="11" t="s">
        <v>10055</v>
      </c>
    </row>
    <row r="1690" customFormat="false" ht="17.15" hidden="false" customHeight="false" outlineLevel="0" collapsed="false">
      <c r="A1690" s="11" t="s">
        <v>10056</v>
      </c>
      <c r="B1690" s="11" t="s">
        <v>9228</v>
      </c>
      <c r="C1690" s="11" t="s">
        <v>175</v>
      </c>
      <c r="D1690" s="6" t="n">
        <v>132774</v>
      </c>
      <c r="E1690" s="5" t="s">
        <v>6207</v>
      </c>
      <c r="F1690" s="5" t="s">
        <v>6207</v>
      </c>
      <c r="G1690" s="11" t="s">
        <v>134</v>
      </c>
      <c r="H1690" s="11" t="s">
        <v>10057</v>
      </c>
    </row>
    <row r="1691" customFormat="false" ht="17.15" hidden="false" customHeight="false" outlineLevel="0" collapsed="false">
      <c r="A1691" s="11" t="s">
        <v>10058</v>
      </c>
      <c r="B1691" s="11" t="s">
        <v>7424</v>
      </c>
      <c r="C1691" s="11" t="s">
        <v>155</v>
      </c>
      <c r="D1691" s="6" t="n">
        <v>132765</v>
      </c>
      <c r="E1691" s="5" t="s">
        <v>6210</v>
      </c>
      <c r="F1691" s="5" t="s">
        <v>6210</v>
      </c>
      <c r="G1691" s="11" t="s">
        <v>137</v>
      </c>
      <c r="H1691" s="11" t="s">
        <v>10059</v>
      </c>
    </row>
    <row r="1692" customFormat="false" ht="17.15" hidden="false" customHeight="false" outlineLevel="0" collapsed="false">
      <c r="A1692" s="11" t="s">
        <v>10060</v>
      </c>
      <c r="B1692" s="11" t="s">
        <v>10061</v>
      </c>
      <c r="C1692" s="11" t="s">
        <v>155</v>
      </c>
      <c r="D1692" s="6" t="n">
        <v>132618</v>
      </c>
      <c r="E1692" s="5" t="s">
        <v>6207</v>
      </c>
      <c r="F1692" s="5" t="s">
        <v>6207</v>
      </c>
      <c r="G1692" s="11" t="s">
        <v>134</v>
      </c>
      <c r="H1692" s="11" t="s">
        <v>10062</v>
      </c>
    </row>
    <row r="1693" customFormat="false" ht="17.15" hidden="false" customHeight="false" outlineLevel="0" collapsed="false">
      <c r="A1693" s="11" t="s">
        <v>10063</v>
      </c>
      <c r="B1693" s="11" t="s">
        <v>402</v>
      </c>
      <c r="C1693" s="11" t="s">
        <v>150</v>
      </c>
      <c r="D1693" s="6" t="n">
        <v>132553</v>
      </c>
      <c r="E1693" s="5" t="s">
        <v>6207</v>
      </c>
      <c r="F1693" s="5" t="s">
        <v>6207</v>
      </c>
      <c r="G1693" s="11" t="s">
        <v>134</v>
      </c>
      <c r="H1693" s="11" t="s">
        <v>10064</v>
      </c>
    </row>
    <row r="1694" customFormat="false" ht="17.15" hidden="false" customHeight="false" outlineLevel="0" collapsed="false">
      <c r="A1694" s="11" t="s">
        <v>10065</v>
      </c>
      <c r="B1694" s="11" t="s">
        <v>10066</v>
      </c>
      <c r="C1694" s="11" t="s">
        <v>155</v>
      </c>
      <c r="D1694" s="6" t="n">
        <v>132504</v>
      </c>
      <c r="E1694" s="5" t="s">
        <v>6207</v>
      </c>
      <c r="F1694" s="5" t="s">
        <v>6207</v>
      </c>
      <c r="G1694" s="11" t="s">
        <v>134</v>
      </c>
      <c r="H1694" s="11" t="s">
        <v>10067</v>
      </c>
    </row>
    <row r="1695" customFormat="false" ht="17.15" hidden="false" customHeight="false" outlineLevel="0" collapsed="false">
      <c r="A1695" s="11" t="s">
        <v>10068</v>
      </c>
      <c r="B1695" s="11" t="s">
        <v>402</v>
      </c>
      <c r="C1695" s="11" t="s">
        <v>150</v>
      </c>
      <c r="D1695" s="6" t="n">
        <v>132383</v>
      </c>
      <c r="E1695" s="5" t="s">
        <v>6207</v>
      </c>
      <c r="F1695" s="5" t="s">
        <v>6207</v>
      </c>
      <c r="G1695" s="11" t="s">
        <v>134</v>
      </c>
      <c r="H1695" s="11" t="s">
        <v>10069</v>
      </c>
    </row>
    <row r="1696" customFormat="false" ht="17.15" hidden="false" customHeight="false" outlineLevel="0" collapsed="false">
      <c r="A1696" s="11" t="s">
        <v>10070</v>
      </c>
      <c r="B1696" s="11" t="s">
        <v>10071</v>
      </c>
      <c r="C1696" s="11" t="s">
        <v>162</v>
      </c>
      <c r="D1696" s="6" t="n">
        <v>132340</v>
      </c>
      <c r="E1696" s="5" t="s">
        <v>6207</v>
      </c>
      <c r="F1696" s="5" t="s">
        <v>6207</v>
      </c>
      <c r="G1696" s="11" t="s">
        <v>134</v>
      </c>
      <c r="H1696" s="11" t="s">
        <v>10072</v>
      </c>
    </row>
    <row r="1697" customFormat="false" ht="17.15" hidden="false" customHeight="false" outlineLevel="0" collapsed="false">
      <c r="A1697" s="11" t="s">
        <v>10073</v>
      </c>
      <c r="B1697" s="11" t="s">
        <v>7833</v>
      </c>
      <c r="C1697" s="11" t="s">
        <v>202</v>
      </c>
      <c r="D1697" s="6" t="n">
        <v>132244</v>
      </c>
      <c r="E1697" s="5" t="s">
        <v>6239</v>
      </c>
      <c r="F1697" s="5" t="s">
        <v>6239</v>
      </c>
      <c r="G1697" s="11" t="s">
        <v>143</v>
      </c>
      <c r="H1697" s="11" t="s">
        <v>10074</v>
      </c>
    </row>
    <row r="1698" customFormat="false" ht="17.15" hidden="false" customHeight="false" outlineLevel="0" collapsed="false">
      <c r="A1698" s="11" t="s">
        <v>10075</v>
      </c>
      <c r="B1698" s="11" t="s">
        <v>7833</v>
      </c>
      <c r="C1698" s="11" t="s">
        <v>202</v>
      </c>
      <c r="D1698" s="6" t="n">
        <v>132228</v>
      </c>
      <c r="E1698" s="5" t="s">
        <v>6239</v>
      </c>
      <c r="F1698" s="5" t="s">
        <v>6239</v>
      </c>
      <c r="G1698" s="11" t="s">
        <v>143</v>
      </c>
      <c r="H1698" s="11" t="s">
        <v>10076</v>
      </c>
    </row>
    <row r="1699" customFormat="false" ht="17.15" hidden="false" customHeight="false" outlineLevel="0" collapsed="false">
      <c r="A1699" s="11" t="s">
        <v>10077</v>
      </c>
      <c r="B1699" s="11" t="s">
        <v>323</v>
      </c>
      <c r="C1699" s="5"/>
      <c r="D1699" s="6" t="n">
        <v>132197</v>
      </c>
      <c r="E1699" s="5" t="s">
        <v>6207</v>
      </c>
      <c r="F1699" s="5" t="s">
        <v>6207</v>
      </c>
      <c r="G1699" s="11" t="s">
        <v>134</v>
      </c>
      <c r="H1699" s="11" t="s">
        <v>10078</v>
      </c>
    </row>
    <row r="1700" customFormat="false" ht="17.15" hidden="false" customHeight="false" outlineLevel="0" collapsed="false">
      <c r="A1700" s="11" t="s">
        <v>10079</v>
      </c>
      <c r="B1700" s="11" t="s">
        <v>368</v>
      </c>
      <c r="C1700" s="11" t="s">
        <v>161</v>
      </c>
      <c r="D1700" s="6" t="n">
        <v>131945</v>
      </c>
      <c r="E1700" s="5" t="s">
        <v>6207</v>
      </c>
      <c r="F1700" s="5" t="s">
        <v>6207</v>
      </c>
      <c r="G1700" s="11" t="s">
        <v>134</v>
      </c>
      <c r="H1700" s="11" t="s">
        <v>10080</v>
      </c>
    </row>
    <row r="1701" customFormat="false" ht="17.15" hidden="false" customHeight="false" outlineLevel="0" collapsed="false">
      <c r="A1701" s="11" t="s">
        <v>10081</v>
      </c>
      <c r="B1701" s="11" t="s">
        <v>1214</v>
      </c>
      <c r="C1701" s="11" t="s">
        <v>192</v>
      </c>
      <c r="D1701" s="6" t="n">
        <v>131933</v>
      </c>
      <c r="E1701" s="5" t="s">
        <v>6239</v>
      </c>
      <c r="F1701" s="5" t="s">
        <v>6239</v>
      </c>
      <c r="G1701" s="11" t="s">
        <v>143</v>
      </c>
      <c r="H1701" s="11" t="s">
        <v>10082</v>
      </c>
    </row>
    <row r="1702" customFormat="false" ht="17.15" hidden="false" customHeight="false" outlineLevel="0" collapsed="false">
      <c r="A1702" s="11" t="s">
        <v>10083</v>
      </c>
      <c r="B1702" s="11" t="s">
        <v>10084</v>
      </c>
      <c r="C1702" s="11" t="s">
        <v>192</v>
      </c>
      <c r="D1702" s="6" t="n">
        <v>131877</v>
      </c>
      <c r="E1702" s="5" t="s">
        <v>6239</v>
      </c>
      <c r="F1702" s="5" t="s">
        <v>6239</v>
      </c>
      <c r="G1702" s="11" t="s">
        <v>143</v>
      </c>
      <c r="H1702" s="11" t="s">
        <v>10085</v>
      </c>
    </row>
    <row r="1703" customFormat="false" ht="17.15" hidden="false" customHeight="false" outlineLevel="0" collapsed="false">
      <c r="A1703" s="11" t="s">
        <v>10086</v>
      </c>
      <c r="B1703" s="11" t="s">
        <v>6774</v>
      </c>
      <c r="C1703" s="11" t="s">
        <v>192</v>
      </c>
      <c r="D1703" s="6" t="n">
        <v>131634</v>
      </c>
      <c r="E1703" s="5" t="s">
        <v>6239</v>
      </c>
      <c r="F1703" s="5" t="s">
        <v>6239</v>
      </c>
      <c r="G1703" s="11" t="s">
        <v>143</v>
      </c>
      <c r="H1703" s="11" t="s">
        <v>10087</v>
      </c>
    </row>
    <row r="1704" customFormat="false" ht="17.15" hidden="false" customHeight="false" outlineLevel="0" collapsed="false">
      <c r="A1704" s="11" t="s">
        <v>10088</v>
      </c>
      <c r="B1704" s="11" t="s">
        <v>6647</v>
      </c>
      <c r="C1704" s="11" t="s">
        <v>193</v>
      </c>
      <c r="D1704" s="6" t="n">
        <v>131239</v>
      </c>
      <c r="E1704" s="5" t="s">
        <v>6264</v>
      </c>
      <c r="F1704" s="5" t="s">
        <v>7411</v>
      </c>
      <c r="G1704" s="11" t="s">
        <v>7412</v>
      </c>
      <c r="H1704" s="11" t="s">
        <v>10089</v>
      </c>
    </row>
    <row r="1705" customFormat="false" ht="15" hidden="false" customHeight="false" outlineLevel="0" collapsed="false">
      <c r="A1705" s="11" t="s">
        <v>10090</v>
      </c>
      <c r="B1705" s="11" t="s">
        <v>7768</v>
      </c>
      <c r="C1705" s="11" t="s">
        <v>155</v>
      </c>
      <c r="D1705" s="6" t="n">
        <v>131224</v>
      </c>
      <c r="E1705" s="5" t="s">
        <v>6413</v>
      </c>
      <c r="F1705" s="5" t="s">
        <v>6413</v>
      </c>
      <c r="G1705" s="11" t="s">
        <v>128</v>
      </c>
      <c r="H1705" s="11" t="s">
        <v>10091</v>
      </c>
    </row>
    <row r="1706" customFormat="false" ht="15" hidden="false" customHeight="false" outlineLevel="0" collapsed="false">
      <c r="A1706" s="11" t="s">
        <v>10092</v>
      </c>
      <c r="B1706" s="11" t="s">
        <v>10093</v>
      </c>
      <c r="C1706" s="11" t="s">
        <v>156</v>
      </c>
      <c r="D1706" s="6" t="n">
        <v>130868</v>
      </c>
      <c r="E1706" s="5" t="s">
        <v>6413</v>
      </c>
      <c r="F1706" s="5" t="s">
        <v>6413</v>
      </c>
      <c r="G1706" s="11" t="s">
        <v>128</v>
      </c>
      <c r="H1706" s="11" t="s">
        <v>10094</v>
      </c>
    </row>
    <row r="1707" customFormat="false" ht="17.15" hidden="false" customHeight="false" outlineLevel="0" collapsed="false">
      <c r="A1707" s="11" t="s">
        <v>10095</v>
      </c>
      <c r="B1707" s="11" t="s">
        <v>327</v>
      </c>
      <c r="C1707" s="5"/>
      <c r="D1707" s="6" t="n">
        <v>130782</v>
      </c>
      <c r="E1707" s="5" t="s">
        <v>6207</v>
      </c>
      <c r="F1707" s="5" t="s">
        <v>6207</v>
      </c>
      <c r="G1707" s="11" t="s">
        <v>134</v>
      </c>
      <c r="H1707" s="11" t="s">
        <v>10096</v>
      </c>
    </row>
    <row r="1708" customFormat="false" ht="17.15" hidden="false" customHeight="false" outlineLevel="0" collapsed="false">
      <c r="A1708" s="11" t="s">
        <v>10097</v>
      </c>
      <c r="B1708" s="11" t="s">
        <v>6852</v>
      </c>
      <c r="C1708" s="11" t="s">
        <v>150</v>
      </c>
      <c r="D1708" s="6" t="n">
        <v>130756</v>
      </c>
      <c r="E1708" s="5" t="s">
        <v>6207</v>
      </c>
      <c r="F1708" s="5" t="s">
        <v>6207</v>
      </c>
      <c r="G1708" s="11" t="s">
        <v>134</v>
      </c>
      <c r="H1708" s="11" t="s">
        <v>10098</v>
      </c>
    </row>
    <row r="1709" customFormat="false" ht="17.15" hidden="false" customHeight="false" outlineLevel="0" collapsed="false">
      <c r="A1709" s="11" t="s">
        <v>10099</v>
      </c>
      <c r="B1709" s="11" t="s">
        <v>681</v>
      </c>
      <c r="C1709" s="11" t="s">
        <v>162</v>
      </c>
      <c r="D1709" s="6" t="n">
        <v>130686</v>
      </c>
      <c r="E1709" s="5" t="s">
        <v>6207</v>
      </c>
      <c r="F1709" s="5" t="s">
        <v>6207</v>
      </c>
      <c r="G1709" s="11" t="s">
        <v>134</v>
      </c>
      <c r="H1709" s="11" t="s">
        <v>10100</v>
      </c>
    </row>
    <row r="1710" customFormat="false" ht="17.15" hidden="false" customHeight="false" outlineLevel="0" collapsed="false">
      <c r="A1710" s="11" t="s">
        <v>10101</v>
      </c>
      <c r="B1710" s="11" t="s">
        <v>2067</v>
      </c>
      <c r="C1710" s="11" t="s">
        <v>198</v>
      </c>
      <c r="D1710" s="6" t="n">
        <v>130593</v>
      </c>
      <c r="E1710" s="5" t="s">
        <v>6239</v>
      </c>
      <c r="F1710" s="5" t="s">
        <v>6239</v>
      </c>
      <c r="G1710" s="11" t="s">
        <v>143</v>
      </c>
      <c r="H1710" s="11" t="s">
        <v>10102</v>
      </c>
    </row>
    <row r="1711" customFormat="false" ht="17.15" hidden="false" customHeight="false" outlineLevel="0" collapsed="false">
      <c r="A1711" s="11" t="s">
        <v>10103</v>
      </c>
      <c r="B1711" s="11" t="s">
        <v>402</v>
      </c>
      <c r="C1711" s="11" t="s">
        <v>150</v>
      </c>
      <c r="D1711" s="6" t="n">
        <v>130567</v>
      </c>
      <c r="E1711" s="5" t="s">
        <v>6207</v>
      </c>
      <c r="F1711" s="5" t="s">
        <v>6207</v>
      </c>
      <c r="G1711" s="11" t="s">
        <v>134</v>
      </c>
      <c r="H1711" s="11" t="s">
        <v>10104</v>
      </c>
    </row>
    <row r="1712" customFormat="false" ht="17.15" hidden="false" customHeight="false" outlineLevel="0" collapsed="false">
      <c r="A1712" s="11" t="s">
        <v>10105</v>
      </c>
      <c r="B1712" s="11" t="s">
        <v>681</v>
      </c>
      <c r="C1712" s="11" t="s">
        <v>161</v>
      </c>
      <c r="D1712" s="6" t="n">
        <v>129831</v>
      </c>
      <c r="E1712" s="5" t="s">
        <v>6207</v>
      </c>
      <c r="F1712" s="5" t="s">
        <v>6207</v>
      </c>
      <c r="G1712" s="11" t="s">
        <v>134</v>
      </c>
      <c r="H1712" s="11" t="s">
        <v>10106</v>
      </c>
    </row>
    <row r="1713" customFormat="false" ht="17.15" hidden="false" customHeight="false" outlineLevel="0" collapsed="false">
      <c r="A1713" s="11" t="s">
        <v>10107</v>
      </c>
      <c r="B1713" s="11" t="s">
        <v>368</v>
      </c>
      <c r="C1713" s="11" t="s">
        <v>162</v>
      </c>
      <c r="D1713" s="6" t="n">
        <v>129677</v>
      </c>
      <c r="E1713" s="5" t="s">
        <v>6207</v>
      </c>
      <c r="F1713" s="5" t="s">
        <v>6207</v>
      </c>
      <c r="G1713" s="11" t="s">
        <v>134</v>
      </c>
      <c r="H1713" s="11" t="s">
        <v>10108</v>
      </c>
    </row>
    <row r="1714" customFormat="false" ht="17.15" hidden="false" customHeight="false" outlineLevel="0" collapsed="false">
      <c r="A1714" s="11" t="s">
        <v>10109</v>
      </c>
      <c r="B1714" s="11" t="s">
        <v>681</v>
      </c>
      <c r="C1714" s="11" t="s">
        <v>167</v>
      </c>
      <c r="D1714" s="6" t="n">
        <v>129590</v>
      </c>
      <c r="E1714" s="5" t="s">
        <v>6207</v>
      </c>
      <c r="F1714" s="5" t="s">
        <v>6207</v>
      </c>
      <c r="G1714" s="11" t="s">
        <v>134</v>
      </c>
      <c r="H1714" s="11" t="s">
        <v>10110</v>
      </c>
    </row>
    <row r="1715" customFormat="false" ht="17.15" hidden="false" customHeight="false" outlineLevel="0" collapsed="false">
      <c r="A1715" s="11" t="s">
        <v>10111</v>
      </c>
      <c r="B1715" s="11" t="s">
        <v>9946</v>
      </c>
      <c r="C1715" s="5"/>
      <c r="D1715" s="6" t="n">
        <v>129431</v>
      </c>
      <c r="E1715" s="5" t="s">
        <v>6210</v>
      </c>
      <c r="F1715" s="5" t="s">
        <v>6210</v>
      </c>
      <c r="G1715" s="11" t="s">
        <v>137</v>
      </c>
      <c r="H1715" s="11" t="s">
        <v>10112</v>
      </c>
    </row>
    <row r="1716" customFormat="false" ht="15" hidden="false" customHeight="false" outlineLevel="0" collapsed="false">
      <c r="A1716" s="11" t="s">
        <v>10113</v>
      </c>
      <c r="B1716" s="11" t="s">
        <v>7861</v>
      </c>
      <c r="C1716" s="11" t="s">
        <v>155</v>
      </c>
      <c r="D1716" s="6" t="n">
        <v>129243</v>
      </c>
      <c r="E1716" s="5" t="s">
        <v>6413</v>
      </c>
      <c r="F1716" s="5" t="s">
        <v>6413</v>
      </c>
      <c r="G1716" s="11" t="s">
        <v>128</v>
      </c>
      <c r="H1716" s="11" t="s">
        <v>10114</v>
      </c>
    </row>
    <row r="1717" customFormat="false" ht="17.15" hidden="false" customHeight="false" outlineLevel="0" collapsed="false">
      <c r="A1717" s="11" t="s">
        <v>10115</v>
      </c>
      <c r="B1717" s="11" t="s">
        <v>10116</v>
      </c>
      <c r="C1717" s="11" t="s">
        <v>167</v>
      </c>
      <c r="D1717" s="6" t="n">
        <v>129121</v>
      </c>
      <c r="E1717" s="5" t="s">
        <v>6207</v>
      </c>
      <c r="F1717" s="5" t="s">
        <v>6207</v>
      </c>
      <c r="G1717" s="11" t="s">
        <v>134</v>
      </c>
      <c r="H1717" s="11" t="s">
        <v>10117</v>
      </c>
    </row>
    <row r="1718" customFormat="false" ht="17.15" hidden="false" customHeight="false" outlineLevel="0" collapsed="false">
      <c r="A1718" s="11" t="s">
        <v>10118</v>
      </c>
      <c r="B1718" s="11" t="s">
        <v>10119</v>
      </c>
      <c r="C1718" s="11" t="s">
        <v>155</v>
      </c>
      <c r="D1718" s="6" t="n">
        <v>128857</v>
      </c>
      <c r="E1718" s="5" t="s">
        <v>6207</v>
      </c>
      <c r="F1718" s="5" t="s">
        <v>6207</v>
      </c>
      <c r="G1718" s="11" t="s">
        <v>134</v>
      </c>
      <c r="H1718" s="11" t="s">
        <v>10120</v>
      </c>
    </row>
    <row r="1719" customFormat="false" ht="17.15" hidden="false" customHeight="false" outlineLevel="0" collapsed="false">
      <c r="A1719" s="11" t="s">
        <v>10121</v>
      </c>
      <c r="B1719" s="11" t="s">
        <v>10122</v>
      </c>
      <c r="C1719" s="11" t="s">
        <v>149</v>
      </c>
      <c r="D1719" s="6" t="n">
        <v>128801</v>
      </c>
      <c r="E1719" s="5" t="s">
        <v>6210</v>
      </c>
      <c r="F1719" s="5" t="s">
        <v>6210</v>
      </c>
      <c r="G1719" s="11" t="s">
        <v>137</v>
      </c>
      <c r="H1719" s="11" t="s">
        <v>10123</v>
      </c>
    </row>
    <row r="1720" customFormat="false" ht="17.15" hidden="false" customHeight="false" outlineLevel="0" collapsed="false">
      <c r="A1720" s="11" t="s">
        <v>10124</v>
      </c>
      <c r="B1720" s="11" t="s">
        <v>681</v>
      </c>
      <c r="C1720" s="11" t="s">
        <v>183</v>
      </c>
      <c r="D1720" s="6" t="n">
        <v>128470</v>
      </c>
      <c r="E1720" s="5" t="s">
        <v>6207</v>
      </c>
      <c r="F1720" s="5" t="s">
        <v>6207</v>
      </c>
      <c r="G1720" s="11" t="s">
        <v>134</v>
      </c>
      <c r="H1720" s="11" t="s">
        <v>10125</v>
      </c>
    </row>
    <row r="1721" customFormat="false" ht="17.15" hidden="false" customHeight="false" outlineLevel="0" collapsed="false">
      <c r="A1721" s="11" t="s">
        <v>10126</v>
      </c>
      <c r="B1721" s="11" t="s">
        <v>7906</v>
      </c>
      <c r="C1721" s="11" t="s">
        <v>193</v>
      </c>
      <c r="D1721" s="6" t="n">
        <v>128408</v>
      </c>
      <c r="E1721" s="5" t="s">
        <v>6239</v>
      </c>
      <c r="F1721" s="5" t="s">
        <v>6239</v>
      </c>
      <c r="G1721" s="11" t="s">
        <v>143</v>
      </c>
      <c r="H1721" s="11" t="s">
        <v>10127</v>
      </c>
    </row>
    <row r="1722" customFormat="false" ht="17.15" hidden="false" customHeight="false" outlineLevel="0" collapsed="false">
      <c r="A1722" s="11" t="s">
        <v>10128</v>
      </c>
      <c r="B1722" s="11" t="s">
        <v>10129</v>
      </c>
      <c r="C1722" s="11" t="s">
        <v>161</v>
      </c>
      <c r="D1722" s="6" t="n">
        <v>128374</v>
      </c>
      <c r="E1722" s="5" t="s">
        <v>6207</v>
      </c>
      <c r="F1722" s="5" t="s">
        <v>6207</v>
      </c>
      <c r="G1722" s="11" t="s">
        <v>134</v>
      </c>
      <c r="H1722" s="11" t="s">
        <v>10130</v>
      </c>
    </row>
    <row r="1723" customFormat="false" ht="17.15" hidden="false" customHeight="false" outlineLevel="0" collapsed="false">
      <c r="A1723" s="11" t="s">
        <v>10131</v>
      </c>
      <c r="B1723" s="11" t="s">
        <v>2920</v>
      </c>
      <c r="C1723" s="11" t="s">
        <v>155</v>
      </c>
      <c r="D1723" s="6" t="n">
        <v>128357</v>
      </c>
      <c r="E1723" s="5" t="s">
        <v>6210</v>
      </c>
      <c r="F1723" s="5" t="s">
        <v>6210</v>
      </c>
      <c r="G1723" s="11" t="s">
        <v>137</v>
      </c>
      <c r="H1723" s="11" t="s">
        <v>10132</v>
      </c>
    </row>
    <row r="1724" customFormat="false" ht="17.15" hidden="false" customHeight="false" outlineLevel="0" collapsed="false">
      <c r="A1724" s="11" t="s">
        <v>10133</v>
      </c>
      <c r="B1724" s="11" t="s">
        <v>681</v>
      </c>
      <c r="C1724" s="11" t="s">
        <v>167</v>
      </c>
      <c r="D1724" s="6" t="n">
        <v>128207</v>
      </c>
      <c r="E1724" s="5" t="s">
        <v>6207</v>
      </c>
      <c r="F1724" s="5" t="s">
        <v>6207</v>
      </c>
      <c r="G1724" s="11" t="s">
        <v>134</v>
      </c>
      <c r="H1724" s="11" t="s">
        <v>10134</v>
      </c>
    </row>
    <row r="1725" customFormat="false" ht="17.15" hidden="false" customHeight="false" outlineLevel="0" collapsed="false">
      <c r="A1725" s="11" t="s">
        <v>10135</v>
      </c>
      <c r="B1725" s="11" t="s">
        <v>10136</v>
      </c>
      <c r="C1725" s="11" t="s">
        <v>192</v>
      </c>
      <c r="D1725" s="6" t="n">
        <v>128120</v>
      </c>
      <c r="E1725" s="5" t="s">
        <v>141</v>
      </c>
      <c r="F1725" s="5" t="s">
        <v>6495</v>
      </c>
      <c r="G1725" s="11" t="s">
        <v>6496</v>
      </c>
      <c r="H1725" s="11" t="s">
        <v>10137</v>
      </c>
    </row>
    <row r="1726" customFormat="false" ht="17.15" hidden="false" customHeight="false" outlineLevel="0" collapsed="false">
      <c r="A1726" s="11" t="s">
        <v>10138</v>
      </c>
      <c r="B1726" s="11" t="s">
        <v>10139</v>
      </c>
      <c r="C1726" s="11" t="s">
        <v>194</v>
      </c>
      <c r="D1726" s="6" t="n">
        <v>127969</v>
      </c>
      <c r="E1726" s="5" t="s">
        <v>6239</v>
      </c>
      <c r="F1726" s="5" t="s">
        <v>6239</v>
      </c>
      <c r="G1726" s="11" t="s">
        <v>143</v>
      </c>
      <c r="H1726" s="11" t="s">
        <v>10140</v>
      </c>
    </row>
    <row r="1727" customFormat="false" ht="17.15" hidden="false" customHeight="false" outlineLevel="0" collapsed="false">
      <c r="A1727" s="11" t="s">
        <v>10141</v>
      </c>
      <c r="B1727" s="11" t="s">
        <v>839</v>
      </c>
      <c r="C1727" s="11" t="s">
        <v>161</v>
      </c>
      <c r="D1727" s="6" t="n">
        <v>127800</v>
      </c>
      <c r="E1727" s="5" t="s">
        <v>6207</v>
      </c>
      <c r="F1727" s="5" t="s">
        <v>6207</v>
      </c>
      <c r="G1727" s="11" t="s">
        <v>134</v>
      </c>
      <c r="H1727" s="11" t="s">
        <v>10142</v>
      </c>
    </row>
    <row r="1728" customFormat="false" ht="17.15" hidden="false" customHeight="false" outlineLevel="0" collapsed="false">
      <c r="A1728" s="11" t="s">
        <v>10143</v>
      </c>
      <c r="B1728" s="11" t="s">
        <v>323</v>
      </c>
      <c r="C1728" s="11" t="s">
        <v>156</v>
      </c>
      <c r="D1728" s="6" t="n">
        <v>127717</v>
      </c>
      <c r="E1728" s="5" t="s">
        <v>6210</v>
      </c>
      <c r="F1728" s="5" t="s">
        <v>6210</v>
      </c>
      <c r="G1728" s="11" t="s">
        <v>137</v>
      </c>
      <c r="H1728" s="11" t="s">
        <v>10144</v>
      </c>
    </row>
    <row r="1729" customFormat="false" ht="17.15" hidden="false" customHeight="false" outlineLevel="0" collapsed="false">
      <c r="A1729" s="11" t="s">
        <v>10145</v>
      </c>
      <c r="B1729" s="11" t="s">
        <v>10146</v>
      </c>
      <c r="C1729" s="11" t="s">
        <v>197</v>
      </c>
      <c r="D1729" s="6" t="n">
        <v>127659</v>
      </c>
      <c r="E1729" s="5" t="s">
        <v>6239</v>
      </c>
      <c r="F1729" s="5" t="s">
        <v>6239</v>
      </c>
      <c r="G1729" s="11" t="s">
        <v>143</v>
      </c>
      <c r="H1729" s="11" t="s">
        <v>10147</v>
      </c>
    </row>
    <row r="1730" customFormat="false" ht="17.15" hidden="false" customHeight="false" outlineLevel="0" collapsed="false">
      <c r="A1730" s="11" t="s">
        <v>10148</v>
      </c>
      <c r="B1730" s="11" t="s">
        <v>402</v>
      </c>
      <c r="C1730" s="11" t="s">
        <v>150</v>
      </c>
      <c r="D1730" s="6" t="n">
        <v>127494</v>
      </c>
      <c r="E1730" s="5" t="s">
        <v>6207</v>
      </c>
      <c r="F1730" s="5" t="s">
        <v>6207</v>
      </c>
      <c r="G1730" s="11" t="s">
        <v>134</v>
      </c>
      <c r="H1730" s="11" t="s">
        <v>10149</v>
      </c>
    </row>
    <row r="1731" customFormat="false" ht="17.15" hidden="false" customHeight="false" outlineLevel="0" collapsed="false">
      <c r="A1731" s="11" t="s">
        <v>10150</v>
      </c>
      <c r="B1731" s="11" t="s">
        <v>7343</v>
      </c>
      <c r="C1731" s="11" t="s">
        <v>155</v>
      </c>
      <c r="D1731" s="6" t="n">
        <v>127194</v>
      </c>
      <c r="E1731" s="5" t="s">
        <v>6207</v>
      </c>
      <c r="F1731" s="5" t="s">
        <v>6207</v>
      </c>
      <c r="G1731" s="11" t="s">
        <v>134</v>
      </c>
      <c r="H1731" s="11" t="s">
        <v>10151</v>
      </c>
    </row>
    <row r="1732" customFormat="false" ht="17.15" hidden="false" customHeight="false" outlineLevel="0" collapsed="false">
      <c r="A1732" s="11" t="s">
        <v>10152</v>
      </c>
      <c r="B1732" s="11" t="s">
        <v>1447</v>
      </c>
      <c r="C1732" s="11" t="s">
        <v>155</v>
      </c>
      <c r="D1732" s="6" t="n">
        <v>127087</v>
      </c>
      <c r="E1732" s="5" t="s">
        <v>6210</v>
      </c>
      <c r="F1732" s="5" t="s">
        <v>6210</v>
      </c>
      <c r="G1732" s="11" t="s">
        <v>137</v>
      </c>
      <c r="H1732" s="11" t="s">
        <v>10153</v>
      </c>
    </row>
    <row r="1733" customFormat="false" ht="17.15" hidden="false" customHeight="false" outlineLevel="0" collapsed="false">
      <c r="A1733" s="11" t="s">
        <v>10154</v>
      </c>
      <c r="B1733" s="11" t="s">
        <v>6223</v>
      </c>
      <c r="C1733" s="11" t="s">
        <v>175</v>
      </c>
      <c r="D1733" s="6" t="n">
        <v>127085</v>
      </c>
      <c r="E1733" s="5" t="s">
        <v>6207</v>
      </c>
      <c r="F1733" s="5" t="s">
        <v>6207</v>
      </c>
      <c r="G1733" s="11" t="s">
        <v>134</v>
      </c>
      <c r="H1733" s="11" t="s">
        <v>10155</v>
      </c>
    </row>
    <row r="1734" customFormat="false" ht="17.15" hidden="false" customHeight="false" outlineLevel="0" collapsed="false">
      <c r="A1734" s="11" t="s">
        <v>10156</v>
      </c>
      <c r="B1734" s="11" t="s">
        <v>10157</v>
      </c>
      <c r="C1734" s="11" t="s">
        <v>155</v>
      </c>
      <c r="D1734" s="6" t="n">
        <v>126946</v>
      </c>
      <c r="E1734" s="5" t="s">
        <v>6210</v>
      </c>
      <c r="F1734" s="5" t="s">
        <v>6210</v>
      </c>
      <c r="G1734" s="11" t="s">
        <v>137</v>
      </c>
      <c r="H1734" s="11" t="s">
        <v>10158</v>
      </c>
    </row>
    <row r="1735" customFormat="false" ht="17.15" hidden="false" customHeight="false" outlineLevel="0" collapsed="false">
      <c r="A1735" s="11" t="s">
        <v>10159</v>
      </c>
      <c r="B1735" s="11" t="s">
        <v>6457</v>
      </c>
      <c r="C1735" s="5"/>
      <c r="D1735" s="6" t="n">
        <v>126786</v>
      </c>
      <c r="E1735" s="5" t="s">
        <v>6264</v>
      </c>
      <c r="F1735" s="5" t="s">
        <v>6264</v>
      </c>
      <c r="G1735" s="11" t="s">
        <v>131</v>
      </c>
      <c r="H1735" s="11" t="s">
        <v>10160</v>
      </c>
    </row>
    <row r="1736" customFormat="false" ht="17.15" hidden="false" customHeight="false" outlineLevel="0" collapsed="false">
      <c r="A1736" s="11" t="s">
        <v>10161</v>
      </c>
      <c r="B1736" s="11" t="s">
        <v>1214</v>
      </c>
      <c r="C1736" s="11" t="s">
        <v>198</v>
      </c>
      <c r="D1736" s="6" t="n">
        <v>126639</v>
      </c>
      <c r="E1736" s="5" t="s">
        <v>6239</v>
      </c>
      <c r="F1736" s="5" t="s">
        <v>6239</v>
      </c>
      <c r="G1736" s="11" t="s">
        <v>143</v>
      </c>
      <c r="H1736" s="11" t="s">
        <v>10162</v>
      </c>
    </row>
    <row r="1737" customFormat="false" ht="17.15" hidden="false" customHeight="false" outlineLevel="0" collapsed="false">
      <c r="A1737" s="11" t="s">
        <v>10163</v>
      </c>
      <c r="B1737" s="11" t="s">
        <v>6273</v>
      </c>
      <c r="C1737" s="11" t="s">
        <v>153</v>
      </c>
      <c r="D1737" s="6" t="n">
        <v>126431</v>
      </c>
      <c r="E1737" s="5" t="s">
        <v>6210</v>
      </c>
      <c r="F1737" s="5" t="s">
        <v>6210</v>
      </c>
      <c r="G1737" s="11" t="s">
        <v>137</v>
      </c>
      <c r="H1737" s="11" t="s">
        <v>10164</v>
      </c>
    </row>
    <row r="1738" customFormat="false" ht="17.15" hidden="false" customHeight="false" outlineLevel="0" collapsed="false">
      <c r="A1738" s="11" t="s">
        <v>10165</v>
      </c>
      <c r="B1738" s="11" t="s">
        <v>402</v>
      </c>
      <c r="C1738" s="11" t="s">
        <v>150</v>
      </c>
      <c r="D1738" s="6" t="n">
        <v>126401</v>
      </c>
      <c r="E1738" s="5" t="s">
        <v>6207</v>
      </c>
      <c r="F1738" s="5" t="s">
        <v>6207</v>
      </c>
      <c r="G1738" s="11" t="s">
        <v>134</v>
      </c>
      <c r="H1738" s="11" t="s">
        <v>10166</v>
      </c>
    </row>
    <row r="1739" customFormat="false" ht="17.15" hidden="false" customHeight="false" outlineLevel="0" collapsed="false">
      <c r="A1739" s="11" t="s">
        <v>10167</v>
      </c>
      <c r="B1739" s="11" t="s">
        <v>10119</v>
      </c>
      <c r="C1739" s="11" t="s">
        <v>155</v>
      </c>
      <c r="D1739" s="6" t="n">
        <v>126290</v>
      </c>
      <c r="E1739" s="5" t="s">
        <v>6207</v>
      </c>
      <c r="F1739" s="5" t="s">
        <v>6207</v>
      </c>
      <c r="G1739" s="11" t="s">
        <v>134</v>
      </c>
      <c r="H1739" s="11" t="s">
        <v>10168</v>
      </c>
    </row>
    <row r="1740" customFormat="false" ht="17.15" hidden="false" customHeight="false" outlineLevel="0" collapsed="false">
      <c r="A1740" s="11" t="s">
        <v>10169</v>
      </c>
      <c r="B1740" s="11" t="s">
        <v>10170</v>
      </c>
      <c r="C1740" s="11" t="s">
        <v>162</v>
      </c>
      <c r="D1740" s="6" t="n">
        <v>125887</v>
      </c>
      <c r="E1740" s="5" t="s">
        <v>6207</v>
      </c>
      <c r="F1740" s="5" t="s">
        <v>6207</v>
      </c>
      <c r="G1740" s="11" t="s">
        <v>134</v>
      </c>
      <c r="H1740" s="11" t="s">
        <v>10171</v>
      </c>
    </row>
    <row r="1741" customFormat="false" ht="17.15" hidden="false" customHeight="false" outlineLevel="0" collapsed="false">
      <c r="A1741" s="11" t="s">
        <v>10172</v>
      </c>
      <c r="B1741" s="11" t="s">
        <v>6647</v>
      </c>
      <c r="C1741" s="5"/>
      <c r="D1741" s="6" t="n">
        <v>125777</v>
      </c>
      <c r="E1741" s="5" t="s">
        <v>6264</v>
      </c>
      <c r="F1741" s="5" t="s">
        <v>6648</v>
      </c>
      <c r="G1741" s="11" t="s">
        <v>6649</v>
      </c>
      <c r="H1741" s="11" t="s">
        <v>10173</v>
      </c>
    </row>
    <row r="1742" customFormat="false" ht="17.15" hidden="false" customHeight="false" outlineLevel="0" collapsed="false">
      <c r="A1742" s="11" t="s">
        <v>10174</v>
      </c>
      <c r="B1742" s="11" t="s">
        <v>6581</v>
      </c>
      <c r="C1742" s="11" t="s">
        <v>155</v>
      </c>
      <c r="D1742" s="6" t="n">
        <v>125507</v>
      </c>
      <c r="E1742" s="5" t="s">
        <v>6264</v>
      </c>
      <c r="F1742" s="5" t="s">
        <v>6264</v>
      </c>
      <c r="G1742" s="11" t="s">
        <v>131</v>
      </c>
      <c r="H1742" s="11" t="s">
        <v>10175</v>
      </c>
    </row>
    <row r="1743" customFormat="false" ht="17.15" hidden="false" customHeight="false" outlineLevel="0" collapsed="false">
      <c r="A1743" s="11" t="s">
        <v>10176</v>
      </c>
      <c r="B1743" s="11" t="s">
        <v>10177</v>
      </c>
      <c r="C1743" s="11" t="s">
        <v>168</v>
      </c>
      <c r="D1743" s="6" t="n">
        <v>125457</v>
      </c>
      <c r="E1743" s="5" t="s">
        <v>6207</v>
      </c>
      <c r="F1743" s="5" t="s">
        <v>6207</v>
      </c>
      <c r="G1743" s="11" t="s">
        <v>134</v>
      </c>
      <c r="H1743" s="11" t="s">
        <v>10178</v>
      </c>
    </row>
    <row r="1744" customFormat="false" ht="17.15" hidden="false" customHeight="false" outlineLevel="0" collapsed="false">
      <c r="A1744" s="11" t="s">
        <v>10179</v>
      </c>
      <c r="B1744" s="11" t="s">
        <v>10180</v>
      </c>
      <c r="C1744" s="11" t="s">
        <v>174</v>
      </c>
      <c r="D1744" s="6" t="n">
        <v>125201</v>
      </c>
      <c r="E1744" s="5" t="s">
        <v>6207</v>
      </c>
      <c r="F1744" s="5" t="s">
        <v>6207</v>
      </c>
      <c r="G1744" s="11" t="s">
        <v>134</v>
      </c>
      <c r="H1744" s="11" t="s">
        <v>10181</v>
      </c>
    </row>
    <row r="1745" customFormat="false" ht="17.15" hidden="false" customHeight="false" outlineLevel="0" collapsed="false">
      <c r="A1745" s="11" t="s">
        <v>10182</v>
      </c>
      <c r="B1745" s="11" t="s">
        <v>10183</v>
      </c>
      <c r="C1745" s="11" t="s">
        <v>193</v>
      </c>
      <c r="D1745" s="6" t="n">
        <v>125182</v>
      </c>
      <c r="E1745" s="5" t="s">
        <v>6239</v>
      </c>
      <c r="F1745" s="5" t="s">
        <v>6239</v>
      </c>
      <c r="G1745" s="11" t="s">
        <v>143</v>
      </c>
      <c r="H1745" s="11" t="s">
        <v>10184</v>
      </c>
    </row>
    <row r="1746" customFormat="false" ht="17.15" hidden="false" customHeight="false" outlineLevel="0" collapsed="false">
      <c r="A1746" s="11" t="s">
        <v>10185</v>
      </c>
      <c r="B1746" s="11" t="s">
        <v>4635</v>
      </c>
      <c r="C1746" s="11" t="s">
        <v>194</v>
      </c>
      <c r="D1746" s="6" t="n">
        <v>124994</v>
      </c>
      <c r="E1746" s="5" t="s">
        <v>6239</v>
      </c>
      <c r="F1746" s="5" t="s">
        <v>6239</v>
      </c>
      <c r="G1746" s="11" t="s">
        <v>143</v>
      </c>
      <c r="H1746" s="11" t="s">
        <v>10186</v>
      </c>
    </row>
    <row r="1747" customFormat="false" ht="17.15" hidden="false" customHeight="false" outlineLevel="0" collapsed="false">
      <c r="A1747" s="11" t="s">
        <v>10187</v>
      </c>
      <c r="B1747" s="11" t="s">
        <v>10188</v>
      </c>
      <c r="C1747" s="11" t="s">
        <v>153</v>
      </c>
      <c r="D1747" s="6" t="n">
        <v>124861</v>
      </c>
      <c r="E1747" s="5" t="s">
        <v>6264</v>
      </c>
      <c r="F1747" s="5" t="s">
        <v>6648</v>
      </c>
      <c r="G1747" s="11" t="s">
        <v>6649</v>
      </c>
      <c r="H1747" s="11" t="s">
        <v>10189</v>
      </c>
    </row>
    <row r="1748" customFormat="false" ht="17.15" hidden="false" customHeight="false" outlineLevel="0" collapsed="false">
      <c r="A1748" s="11" t="s">
        <v>10190</v>
      </c>
      <c r="B1748" s="11" t="s">
        <v>1214</v>
      </c>
      <c r="C1748" s="11" t="s">
        <v>192</v>
      </c>
      <c r="D1748" s="6" t="n">
        <v>124557</v>
      </c>
      <c r="E1748" s="5" t="s">
        <v>141</v>
      </c>
      <c r="F1748" s="5" t="s">
        <v>6495</v>
      </c>
      <c r="G1748" s="11" t="s">
        <v>6496</v>
      </c>
      <c r="H1748" s="11" t="s">
        <v>10191</v>
      </c>
    </row>
    <row r="1749" customFormat="false" ht="17.15" hidden="false" customHeight="false" outlineLevel="0" collapsed="false">
      <c r="A1749" s="11" t="s">
        <v>10192</v>
      </c>
      <c r="B1749" s="11" t="s">
        <v>6473</v>
      </c>
      <c r="C1749" s="11" t="s">
        <v>183</v>
      </c>
      <c r="D1749" s="6" t="n">
        <v>124468</v>
      </c>
      <c r="E1749" s="5" t="s">
        <v>6210</v>
      </c>
      <c r="F1749" s="5" t="s">
        <v>6210</v>
      </c>
      <c r="G1749" s="11" t="s">
        <v>137</v>
      </c>
      <c r="H1749" s="11" t="s">
        <v>10193</v>
      </c>
    </row>
    <row r="1750" customFormat="false" ht="17.15" hidden="false" customHeight="false" outlineLevel="0" collapsed="false">
      <c r="A1750" s="11" t="s">
        <v>10194</v>
      </c>
      <c r="B1750" s="11" t="s">
        <v>569</v>
      </c>
      <c r="C1750" s="11" t="s">
        <v>155</v>
      </c>
      <c r="D1750" s="6" t="n">
        <v>124308</v>
      </c>
      <c r="E1750" s="5" t="s">
        <v>6207</v>
      </c>
      <c r="F1750" s="5" t="s">
        <v>6207</v>
      </c>
      <c r="G1750" s="11" t="s">
        <v>134</v>
      </c>
      <c r="H1750" s="11" t="s">
        <v>10195</v>
      </c>
    </row>
    <row r="1751" customFormat="false" ht="15" hidden="false" customHeight="false" outlineLevel="0" collapsed="false">
      <c r="A1751" s="11" t="s">
        <v>10196</v>
      </c>
      <c r="B1751" s="11" t="s">
        <v>2693</v>
      </c>
      <c r="C1751" s="11" t="s">
        <v>172</v>
      </c>
      <c r="D1751" s="6" t="n">
        <v>124222</v>
      </c>
      <c r="E1751" s="5" t="s">
        <v>141</v>
      </c>
      <c r="F1751" s="5" t="s">
        <v>141</v>
      </c>
      <c r="G1751" s="11" t="s">
        <v>140</v>
      </c>
      <c r="H1751" s="11" t="s">
        <v>10197</v>
      </c>
    </row>
    <row r="1752" customFormat="false" ht="17.15" hidden="false" customHeight="false" outlineLevel="0" collapsed="false">
      <c r="A1752" s="11" t="s">
        <v>10198</v>
      </c>
      <c r="B1752" s="11" t="s">
        <v>9228</v>
      </c>
      <c r="C1752" s="11" t="s">
        <v>174</v>
      </c>
      <c r="D1752" s="6" t="n">
        <v>124182</v>
      </c>
      <c r="E1752" s="5" t="s">
        <v>6207</v>
      </c>
      <c r="F1752" s="5" t="s">
        <v>6207</v>
      </c>
      <c r="G1752" s="11" t="s">
        <v>134</v>
      </c>
      <c r="H1752" s="11" t="s">
        <v>10199</v>
      </c>
    </row>
    <row r="1753" customFormat="false" ht="17.15" hidden="false" customHeight="false" outlineLevel="0" collapsed="false">
      <c r="A1753" s="11" t="s">
        <v>10200</v>
      </c>
      <c r="B1753" s="11" t="s">
        <v>10201</v>
      </c>
      <c r="C1753" s="11" t="s">
        <v>153</v>
      </c>
      <c r="D1753" s="6" t="n">
        <v>124102</v>
      </c>
      <c r="E1753" s="5" t="s">
        <v>6210</v>
      </c>
      <c r="F1753" s="5" t="s">
        <v>6210</v>
      </c>
      <c r="G1753" s="11" t="s">
        <v>137</v>
      </c>
      <c r="H1753" s="11" t="s">
        <v>10202</v>
      </c>
    </row>
    <row r="1754" customFormat="false" ht="15" hidden="false" customHeight="false" outlineLevel="0" collapsed="false">
      <c r="A1754" s="11" t="s">
        <v>10203</v>
      </c>
      <c r="B1754" s="11" t="s">
        <v>4932</v>
      </c>
      <c r="C1754" s="11" t="s">
        <v>164</v>
      </c>
      <c r="D1754" s="6" t="n">
        <v>123890</v>
      </c>
      <c r="E1754" s="5" t="s">
        <v>141</v>
      </c>
      <c r="F1754" s="5" t="s">
        <v>141</v>
      </c>
      <c r="G1754" s="11" t="s">
        <v>140</v>
      </c>
      <c r="H1754" s="11" t="s">
        <v>10204</v>
      </c>
    </row>
    <row r="1755" customFormat="false" ht="17.15" hidden="false" customHeight="false" outlineLevel="0" collapsed="false">
      <c r="A1755" s="11" t="s">
        <v>10205</v>
      </c>
      <c r="B1755" s="11" t="s">
        <v>6273</v>
      </c>
      <c r="C1755" s="11" t="s">
        <v>154</v>
      </c>
      <c r="D1755" s="6" t="n">
        <v>123870</v>
      </c>
      <c r="E1755" s="5" t="s">
        <v>6210</v>
      </c>
      <c r="F1755" s="5" t="s">
        <v>6210</v>
      </c>
      <c r="G1755" s="11" t="s">
        <v>137</v>
      </c>
      <c r="H1755" s="11" t="s">
        <v>10206</v>
      </c>
    </row>
    <row r="1756" customFormat="false" ht="17.15" hidden="false" customHeight="false" outlineLevel="0" collapsed="false">
      <c r="A1756" s="11" t="s">
        <v>10207</v>
      </c>
      <c r="B1756" s="11" t="s">
        <v>10208</v>
      </c>
      <c r="C1756" s="11" t="s">
        <v>161</v>
      </c>
      <c r="D1756" s="6" t="n">
        <v>123844</v>
      </c>
      <c r="E1756" s="5" t="s">
        <v>6207</v>
      </c>
      <c r="F1756" s="5" t="s">
        <v>6207</v>
      </c>
      <c r="G1756" s="11" t="s">
        <v>134</v>
      </c>
      <c r="H1756" s="11" t="s">
        <v>10209</v>
      </c>
    </row>
    <row r="1757" customFormat="false" ht="15" hidden="false" customHeight="false" outlineLevel="0" collapsed="false">
      <c r="A1757" s="11" t="s">
        <v>10210</v>
      </c>
      <c r="B1757" s="11" t="s">
        <v>10211</v>
      </c>
      <c r="C1757" s="11" t="s">
        <v>157</v>
      </c>
      <c r="D1757" s="6" t="n">
        <v>123684</v>
      </c>
      <c r="E1757" s="5" t="s">
        <v>6413</v>
      </c>
      <c r="F1757" s="5" t="s">
        <v>6413</v>
      </c>
      <c r="G1757" s="11" t="s">
        <v>128</v>
      </c>
      <c r="H1757" s="11" t="s">
        <v>10212</v>
      </c>
    </row>
    <row r="1758" customFormat="false" ht="17.15" hidden="false" customHeight="false" outlineLevel="0" collapsed="false">
      <c r="A1758" s="11" t="s">
        <v>10213</v>
      </c>
      <c r="B1758" s="11" t="s">
        <v>7545</v>
      </c>
      <c r="C1758" s="11" t="s">
        <v>192</v>
      </c>
      <c r="D1758" s="6" t="n">
        <v>123630</v>
      </c>
      <c r="E1758" s="5" t="s">
        <v>6239</v>
      </c>
      <c r="F1758" s="5" t="s">
        <v>6239</v>
      </c>
      <c r="G1758" s="11" t="s">
        <v>143</v>
      </c>
      <c r="H1758" s="11" t="s">
        <v>10214</v>
      </c>
    </row>
    <row r="1759" customFormat="false" ht="17.15" hidden="false" customHeight="false" outlineLevel="0" collapsed="false">
      <c r="A1759" s="11" t="s">
        <v>10215</v>
      </c>
      <c r="B1759" s="11" t="s">
        <v>8348</v>
      </c>
      <c r="C1759" s="5"/>
      <c r="D1759" s="6" t="n">
        <v>123540</v>
      </c>
      <c r="E1759" s="5" t="s">
        <v>6264</v>
      </c>
      <c r="F1759" s="5" t="s">
        <v>6648</v>
      </c>
      <c r="G1759" s="11" t="s">
        <v>6649</v>
      </c>
      <c r="H1759" s="11" t="s">
        <v>10216</v>
      </c>
    </row>
    <row r="1760" customFormat="false" ht="17.15" hidden="false" customHeight="false" outlineLevel="0" collapsed="false">
      <c r="A1760" s="11" t="s">
        <v>10217</v>
      </c>
      <c r="B1760" s="11" t="s">
        <v>327</v>
      </c>
      <c r="C1760" s="11" t="s">
        <v>155</v>
      </c>
      <c r="D1760" s="6" t="n">
        <v>123407</v>
      </c>
      <c r="E1760" s="5" t="s">
        <v>6210</v>
      </c>
      <c r="F1760" s="5" t="s">
        <v>6210</v>
      </c>
      <c r="G1760" s="11" t="s">
        <v>137</v>
      </c>
      <c r="H1760" s="11" t="s">
        <v>10218</v>
      </c>
    </row>
    <row r="1761" customFormat="false" ht="17.15" hidden="false" customHeight="false" outlineLevel="0" collapsed="false">
      <c r="A1761" s="11" t="s">
        <v>10219</v>
      </c>
      <c r="B1761" s="11" t="s">
        <v>1214</v>
      </c>
      <c r="C1761" s="11" t="s">
        <v>200</v>
      </c>
      <c r="D1761" s="6" t="n">
        <v>123319</v>
      </c>
      <c r="E1761" s="5" t="s">
        <v>6239</v>
      </c>
      <c r="F1761" s="5" t="s">
        <v>6239</v>
      </c>
      <c r="G1761" s="11" t="s">
        <v>143</v>
      </c>
      <c r="H1761" s="11" t="s">
        <v>10220</v>
      </c>
    </row>
    <row r="1762" customFormat="false" ht="17.15" hidden="false" customHeight="false" outlineLevel="0" collapsed="false">
      <c r="A1762" s="11" t="s">
        <v>10221</v>
      </c>
      <c r="B1762" s="11" t="s">
        <v>681</v>
      </c>
      <c r="C1762" s="11" t="s">
        <v>175</v>
      </c>
      <c r="D1762" s="6" t="n">
        <v>123287</v>
      </c>
      <c r="E1762" s="5" t="s">
        <v>6207</v>
      </c>
      <c r="F1762" s="5" t="s">
        <v>6207</v>
      </c>
      <c r="G1762" s="11" t="s">
        <v>134</v>
      </c>
      <c r="H1762" s="11" t="s">
        <v>10222</v>
      </c>
    </row>
    <row r="1763" customFormat="false" ht="17.15" hidden="false" customHeight="false" outlineLevel="0" collapsed="false">
      <c r="A1763" s="11" t="s">
        <v>10223</v>
      </c>
      <c r="B1763" s="11" t="s">
        <v>10224</v>
      </c>
      <c r="C1763" s="5"/>
      <c r="D1763" s="6" t="n">
        <v>123052</v>
      </c>
      <c r="E1763" s="5" t="s">
        <v>6210</v>
      </c>
      <c r="F1763" s="5" t="s">
        <v>6210</v>
      </c>
      <c r="G1763" s="11" t="s">
        <v>137</v>
      </c>
      <c r="H1763" s="11" t="s">
        <v>10225</v>
      </c>
    </row>
    <row r="1764" customFormat="false" ht="15" hidden="false" customHeight="false" outlineLevel="0" collapsed="false">
      <c r="A1764" s="11" t="s">
        <v>10226</v>
      </c>
      <c r="B1764" s="11" t="s">
        <v>10227</v>
      </c>
      <c r="C1764" s="11" t="s">
        <v>156</v>
      </c>
      <c r="D1764" s="6" t="n">
        <v>122878</v>
      </c>
      <c r="E1764" s="5" t="s">
        <v>6413</v>
      </c>
      <c r="F1764" s="5" t="s">
        <v>6413</v>
      </c>
      <c r="G1764" s="11" t="s">
        <v>128</v>
      </c>
      <c r="H1764" s="11" t="s">
        <v>10228</v>
      </c>
    </row>
    <row r="1765" customFormat="false" ht="17.15" hidden="false" customHeight="false" outlineLevel="0" collapsed="false">
      <c r="A1765" s="11" t="s">
        <v>10229</v>
      </c>
      <c r="B1765" s="11" t="s">
        <v>7356</v>
      </c>
      <c r="C1765" s="5"/>
      <c r="D1765" s="6" t="n">
        <v>122867</v>
      </c>
      <c r="E1765" s="5" t="s">
        <v>6207</v>
      </c>
      <c r="F1765" s="5" t="s">
        <v>6207</v>
      </c>
      <c r="G1765" s="11" t="s">
        <v>134</v>
      </c>
      <c r="H1765" s="11" t="s">
        <v>10230</v>
      </c>
    </row>
    <row r="1766" customFormat="false" ht="17.15" hidden="false" customHeight="false" outlineLevel="0" collapsed="false">
      <c r="A1766" s="11" t="s">
        <v>10231</v>
      </c>
      <c r="B1766" s="11" t="s">
        <v>402</v>
      </c>
      <c r="C1766" s="11" t="s">
        <v>150</v>
      </c>
      <c r="D1766" s="6" t="n">
        <v>122384</v>
      </c>
      <c r="E1766" s="5" t="s">
        <v>6207</v>
      </c>
      <c r="F1766" s="5" t="s">
        <v>6207</v>
      </c>
      <c r="G1766" s="11" t="s">
        <v>134</v>
      </c>
      <c r="H1766" s="11" t="s">
        <v>10232</v>
      </c>
    </row>
    <row r="1767" customFormat="false" ht="15" hidden="false" customHeight="false" outlineLevel="0" collapsed="false">
      <c r="A1767" s="11" t="s">
        <v>10233</v>
      </c>
      <c r="B1767" s="11" t="s">
        <v>7768</v>
      </c>
      <c r="C1767" s="11" t="s">
        <v>155</v>
      </c>
      <c r="D1767" s="6" t="n">
        <v>122293</v>
      </c>
      <c r="E1767" s="5" t="s">
        <v>6413</v>
      </c>
      <c r="F1767" s="5" t="s">
        <v>6413</v>
      </c>
      <c r="G1767" s="11" t="s">
        <v>128</v>
      </c>
      <c r="H1767" s="11" t="s">
        <v>10234</v>
      </c>
    </row>
    <row r="1768" customFormat="false" ht="17.15" hidden="false" customHeight="false" outlineLevel="0" collapsed="false">
      <c r="A1768" s="11" t="s">
        <v>10235</v>
      </c>
      <c r="B1768" s="11" t="s">
        <v>10236</v>
      </c>
      <c r="C1768" s="11" t="s">
        <v>192</v>
      </c>
      <c r="D1768" s="6" t="n">
        <v>121976</v>
      </c>
      <c r="E1768" s="5" t="s">
        <v>6239</v>
      </c>
      <c r="F1768" s="5" t="s">
        <v>6239</v>
      </c>
      <c r="G1768" s="11" t="s">
        <v>143</v>
      </c>
      <c r="H1768" s="11" t="s">
        <v>10237</v>
      </c>
    </row>
    <row r="1769" customFormat="false" ht="17.15" hidden="false" customHeight="false" outlineLevel="0" collapsed="false">
      <c r="A1769" s="11" t="s">
        <v>10238</v>
      </c>
      <c r="B1769" s="11" t="s">
        <v>2557</v>
      </c>
      <c r="C1769" s="11" t="s">
        <v>168</v>
      </c>
      <c r="D1769" s="6" t="n">
        <v>121144</v>
      </c>
      <c r="E1769" s="5" t="s">
        <v>6207</v>
      </c>
      <c r="F1769" s="5" t="s">
        <v>6207</v>
      </c>
      <c r="G1769" s="11" t="s">
        <v>134</v>
      </c>
      <c r="H1769" s="11" t="s">
        <v>10239</v>
      </c>
    </row>
    <row r="1770" customFormat="false" ht="17.15" hidden="false" customHeight="false" outlineLevel="0" collapsed="false">
      <c r="A1770" s="11" t="s">
        <v>10240</v>
      </c>
      <c r="B1770" s="11" t="s">
        <v>402</v>
      </c>
      <c r="C1770" s="11" t="s">
        <v>150</v>
      </c>
      <c r="D1770" s="6" t="n">
        <v>120441</v>
      </c>
      <c r="E1770" s="5" t="s">
        <v>6207</v>
      </c>
      <c r="F1770" s="5" t="s">
        <v>6207</v>
      </c>
      <c r="G1770" s="11" t="s">
        <v>134</v>
      </c>
      <c r="H1770" s="11" t="s">
        <v>10241</v>
      </c>
    </row>
    <row r="1771" customFormat="false" ht="17.15" hidden="false" customHeight="false" outlineLevel="0" collapsed="false">
      <c r="A1771" s="11" t="s">
        <v>10242</v>
      </c>
      <c r="B1771" s="11" t="s">
        <v>10243</v>
      </c>
      <c r="C1771" s="11" t="s">
        <v>155</v>
      </c>
      <c r="D1771" s="6" t="n">
        <v>119959</v>
      </c>
      <c r="E1771" s="5" t="s">
        <v>6264</v>
      </c>
      <c r="F1771" s="5" t="s">
        <v>8457</v>
      </c>
      <c r="G1771" s="11" t="s">
        <v>8458</v>
      </c>
      <c r="H1771" s="11" t="s">
        <v>10244</v>
      </c>
    </row>
    <row r="1772" customFormat="false" ht="17.15" hidden="false" customHeight="false" outlineLevel="0" collapsed="false">
      <c r="A1772" s="11" t="s">
        <v>10245</v>
      </c>
      <c r="B1772" s="11" t="s">
        <v>10246</v>
      </c>
      <c r="C1772" s="11" t="s">
        <v>192</v>
      </c>
      <c r="D1772" s="6" t="n">
        <v>119952</v>
      </c>
      <c r="E1772" s="5" t="s">
        <v>6239</v>
      </c>
      <c r="F1772" s="5" t="s">
        <v>6239</v>
      </c>
      <c r="G1772" s="11" t="s">
        <v>143</v>
      </c>
      <c r="H1772" s="11" t="s">
        <v>10247</v>
      </c>
    </row>
    <row r="1773" customFormat="false" ht="17.15" hidden="false" customHeight="false" outlineLevel="0" collapsed="false">
      <c r="A1773" s="11" t="s">
        <v>10248</v>
      </c>
      <c r="B1773" s="11" t="s">
        <v>7076</v>
      </c>
      <c r="C1773" s="11" t="s">
        <v>152</v>
      </c>
      <c r="D1773" s="6" t="n">
        <v>119641</v>
      </c>
      <c r="E1773" s="5" t="s">
        <v>6207</v>
      </c>
      <c r="F1773" s="5" t="s">
        <v>6207</v>
      </c>
      <c r="G1773" s="11" t="s">
        <v>134</v>
      </c>
      <c r="H1773" s="11" t="s">
        <v>10249</v>
      </c>
    </row>
    <row r="1774" customFormat="false" ht="17.15" hidden="false" customHeight="false" outlineLevel="0" collapsed="false">
      <c r="A1774" s="11" t="s">
        <v>10250</v>
      </c>
      <c r="B1774" s="11" t="s">
        <v>327</v>
      </c>
      <c r="C1774" s="11" t="s">
        <v>183</v>
      </c>
      <c r="D1774" s="6" t="n">
        <v>119329</v>
      </c>
      <c r="E1774" s="5" t="s">
        <v>6207</v>
      </c>
      <c r="F1774" s="5" t="s">
        <v>6207</v>
      </c>
      <c r="G1774" s="11" t="s">
        <v>134</v>
      </c>
      <c r="H1774" s="11" t="s">
        <v>10251</v>
      </c>
    </row>
    <row r="1775" customFormat="false" ht="17.15" hidden="false" customHeight="false" outlineLevel="0" collapsed="false">
      <c r="A1775" s="11" t="s">
        <v>10252</v>
      </c>
      <c r="B1775" s="11" t="s">
        <v>6647</v>
      </c>
      <c r="C1775" s="11" t="s">
        <v>155</v>
      </c>
      <c r="D1775" s="6" t="n">
        <v>119181</v>
      </c>
      <c r="E1775" s="5" t="s">
        <v>6264</v>
      </c>
      <c r="F1775" s="5" t="s">
        <v>6264</v>
      </c>
      <c r="G1775" s="11" t="s">
        <v>131</v>
      </c>
      <c r="H1775" s="11" t="s">
        <v>10253</v>
      </c>
    </row>
    <row r="1776" customFormat="false" ht="17.15" hidden="false" customHeight="false" outlineLevel="0" collapsed="false">
      <c r="A1776" s="11" t="s">
        <v>10254</v>
      </c>
      <c r="B1776" s="11" t="s">
        <v>839</v>
      </c>
      <c r="C1776" s="11" t="s">
        <v>155</v>
      </c>
      <c r="D1776" s="6" t="n">
        <v>119131</v>
      </c>
      <c r="E1776" s="5" t="s">
        <v>6207</v>
      </c>
      <c r="F1776" s="5" t="s">
        <v>6716</v>
      </c>
      <c r="G1776" s="11" t="s">
        <v>6542</v>
      </c>
      <c r="H1776" s="11" t="s">
        <v>10255</v>
      </c>
    </row>
    <row r="1777" customFormat="false" ht="17.15" hidden="false" customHeight="false" outlineLevel="0" collapsed="false">
      <c r="A1777" s="11" t="s">
        <v>10256</v>
      </c>
      <c r="B1777" s="11" t="s">
        <v>2557</v>
      </c>
      <c r="C1777" s="11" t="s">
        <v>168</v>
      </c>
      <c r="D1777" s="6" t="n">
        <v>119039</v>
      </c>
      <c r="E1777" s="5" t="s">
        <v>6207</v>
      </c>
      <c r="F1777" s="5" t="s">
        <v>6207</v>
      </c>
      <c r="G1777" s="11" t="s">
        <v>134</v>
      </c>
      <c r="H1777" s="11" t="s">
        <v>10257</v>
      </c>
    </row>
    <row r="1778" customFormat="false" ht="17.15" hidden="false" customHeight="false" outlineLevel="0" collapsed="false">
      <c r="A1778" s="11" t="s">
        <v>10258</v>
      </c>
      <c r="B1778" s="11" t="s">
        <v>327</v>
      </c>
      <c r="C1778" s="11" t="s">
        <v>155</v>
      </c>
      <c r="D1778" s="6" t="n">
        <v>118980</v>
      </c>
      <c r="E1778" s="5" t="s">
        <v>6207</v>
      </c>
      <c r="F1778" s="5" t="s">
        <v>6207</v>
      </c>
      <c r="G1778" s="11" t="s">
        <v>134</v>
      </c>
      <c r="H1778" s="11" t="s">
        <v>10259</v>
      </c>
    </row>
    <row r="1779" customFormat="false" ht="17.15" hidden="false" customHeight="false" outlineLevel="0" collapsed="false">
      <c r="A1779" s="11" t="s">
        <v>10260</v>
      </c>
      <c r="B1779" s="11" t="s">
        <v>6581</v>
      </c>
      <c r="C1779" s="11" t="s">
        <v>156</v>
      </c>
      <c r="D1779" s="6" t="n">
        <v>118946</v>
      </c>
      <c r="E1779" s="5" t="s">
        <v>6264</v>
      </c>
      <c r="F1779" s="5" t="s">
        <v>7204</v>
      </c>
      <c r="G1779" s="11" t="s">
        <v>7205</v>
      </c>
      <c r="H1779" s="11" t="s">
        <v>10261</v>
      </c>
    </row>
    <row r="1780" customFormat="false" ht="17.15" hidden="false" customHeight="false" outlineLevel="0" collapsed="false">
      <c r="A1780" s="11" t="s">
        <v>10262</v>
      </c>
      <c r="B1780" s="11" t="s">
        <v>10263</v>
      </c>
      <c r="C1780" s="11" t="s">
        <v>160</v>
      </c>
      <c r="D1780" s="6" t="n">
        <v>118907</v>
      </c>
      <c r="E1780" s="5" t="s">
        <v>6207</v>
      </c>
      <c r="F1780" s="5" t="s">
        <v>6207</v>
      </c>
      <c r="G1780" s="11" t="s">
        <v>134</v>
      </c>
      <c r="H1780" s="11" t="s">
        <v>10264</v>
      </c>
    </row>
    <row r="1781" customFormat="false" ht="17.15" hidden="false" customHeight="false" outlineLevel="0" collapsed="false">
      <c r="A1781" s="11" t="s">
        <v>10265</v>
      </c>
      <c r="B1781" s="11" t="s">
        <v>681</v>
      </c>
      <c r="C1781" s="11" t="s">
        <v>162</v>
      </c>
      <c r="D1781" s="6" t="n">
        <v>118659</v>
      </c>
      <c r="E1781" s="5" t="s">
        <v>6207</v>
      </c>
      <c r="F1781" s="5" t="s">
        <v>6207</v>
      </c>
      <c r="G1781" s="11" t="s">
        <v>134</v>
      </c>
      <c r="H1781" s="11" t="s">
        <v>10266</v>
      </c>
    </row>
    <row r="1782" customFormat="false" ht="17.15" hidden="false" customHeight="false" outlineLevel="0" collapsed="false">
      <c r="A1782" s="11" t="s">
        <v>10267</v>
      </c>
      <c r="B1782" s="11" t="s">
        <v>402</v>
      </c>
      <c r="C1782" s="11" t="s">
        <v>150</v>
      </c>
      <c r="D1782" s="6" t="n">
        <v>118509</v>
      </c>
      <c r="E1782" s="5" t="s">
        <v>6207</v>
      </c>
      <c r="F1782" s="5" t="s">
        <v>6207</v>
      </c>
      <c r="G1782" s="11" t="s">
        <v>134</v>
      </c>
      <c r="H1782" s="11" t="s">
        <v>10268</v>
      </c>
    </row>
    <row r="1783" customFormat="false" ht="17.15" hidden="false" customHeight="false" outlineLevel="0" collapsed="false">
      <c r="A1783" s="11" t="s">
        <v>10269</v>
      </c>
      <c r="B1783" s="11" t="s">
        <v>1761</v>
      </c>
      <c r="C1783" s="11" t="s">
        <v>192</v>
      </c>
      <c r="D1783" s="6" t="n">
        <v>118267</v>
      </c>
      <c r="E1783" s="5" t="s">
        <v>6239</v>
      </c>
      <c r="F1783" s="5" t="s">
        <v>6239</v>
      </c>
      <c r="G1783" s="11" t="s">
        <v>143</v>
      </c>
      <c r="H1783" s="11" t="s">
        <v>10270</v>
      </c>
    </row>
    <row r="1784" customFormat="false" ht="17.15" hidden="false" customHeight="false" outlineLevel="0" collapsed="false">
      <c r="A1784" s="11" t="s">
        <v>10271</v>
      </c>
      <c r="B1784" s="11" t="s">
        <v>402</v>
      </c>
      <c r="C1784" s="11" t="s">
        <v>150</v>
      </c>
      <c r="D1784" s="6" t="n">
        <v>118044</v>
      </c>
      <c r="E1784" s="5" t="s">
        <v>6207</v>
      </c>
      <c r="F1784" s="5" t="s">
        <v>6207</v>
      </c>
      <c r="G1784" s="11" t="s">
        <v>134</v>
      </c>
      <c r="H1784" s="11" t="s">
        <v>10272</v>
      </c>
    </row>
    <row r="1785" customFormat="false" ht="17.15" hidden="false" customHeight="false" outlineLevel="0" collapsed="false">
      <c r="A1785" s="11" t="s">
        <v>2478</v>
      </c>
      <c r="B1785" s="11" t="s">
        <v>10273</v>
      </c>
      <c r="C1785" s="11" t="s">
        <v>155</v>
      </c>
      <c r="D1785" s="6" t="n">
        <v>117995</v>
      </c>
      <c r="E1785" s="5" t="s">
        <v>6210</v>
      </c>
      <c r="F1785" s="5" t="s">
        <v>6210</v>
      </c>
      <c r="G1785" s="11" t="s">
        <v>137</v>
      </c>
      <c r="H1785" s="11" t="s">
        <v>10274</v>
      </c>
    </row>
    <row r="1786" customFormat="false" ht="17.15" hidden="false" customHeight="false" outlineLevel="0" collapsed="false">
      <c r="A1786" s="11" t="s">
        <v>10275</v>
      </c>
      <c r="B1786" s="11" t="s">
        <v>10276</v>
      </c>
      <c r="C1786" s="11" t="s">
        <v>192</v>
      </c>
      <c r="D1786" s="6" t="n">
        <v>117678</v>
      </c>
      <c r="E1786" s="5" t="s">
        <v>6239</v>
      </c>
      <c r="F1786" s="5" t="s">
        <v>6239</v>
      </c>
      <c r="G1786" s="11" t="s">
        <v>143</v>
      </c>
      <c r="H1786" s="11" t="s">
        <v>10277</v>
      </c>
    </row>
    <row r="1787" customFormat="false" ht="17.15" hidden="false" customHeight="false" outlineLevel="0" collapsed="false">
      <c r="A1787" s="11" t="s">
        <v>10278</v>
      </c>
      <c r="B1787" s="11" t="s">
        <v>10279</v>
      </c>
      <c r="C1787" s="11" t="s">
        <v>195</v>
      </c>
      <c r="D1787" s="6" t="n">
        <v>117309</v>
      </c>
      <c r="E1787" s="5" t="s">
        <v>6239</v>
      </c>
      <c r="F1787" s="5" t="s">
        <v>6239</v>
      </c>
      <c r="G1787" s="11" t="s">
        <v>143</v>
      </c>
      <c r="H1787" s="11" t="s">
        <v>10280</v>
      </c>
    </row>
    <row r="1788" customFormat="false" ht="17.15" hidden="false" customHeight="false" outlineLevel="0" collapsed="false">
      <c r="A1788" s="11" t="s">
        <v>10281</v>
      </c>
      <c r="B1788" s="11" t="s">
        <v>323</v>
      </c>
      <c r="C1788" s="11" t="s">
        <v>162</v>
      </c>
      <c r="D1788" s="6" t="n">
        <v>117235</v>
      </c>
      <c r="E1788" s="5" t="s">
        <v>6207</v>
      </c>
      <c r="F1788" s="5" t="s">
        <v>6207</v>
      </c>
      <c r="G1788" s="11" t="s">
        <v>134</v>
      </c>
      <c r="H1788" s="11" t="s">
        <v>10282</v>
      </c>
    </row>
    <row r="1789" customFormat="false" ht="17.15" hidden="false" customHeight="false" outlineLevel="0" collapsed="false">
      <c r="A1789" s="11" t="s">
        <v>10283</v>
      </c>
      <c r="B1789" s="11" t="s">
        <v>681</v>
      </c>
      <c r="C1789" s="11" t="s">
        <v>161</v>
      </c>
      <c r="D1789" s="6" t="n">
        <v>117049</v>
      </c>
      <c r="E1789" s="5" t="s">
        <v>6207</v>
      </c>
      <c r="F1789" s="5" t="s">
        <v>6207</v>
      </c>
      <c r="G1789" s="11" t="s">
        <v>134</v>
      </c>
      <c r="H1789" s="11" t="s">
        <v>10284</v>
      </c>
    </row>
    <row r="1790" customFormat="false" ht="17.15" hidden="false" customHeight="false" outlineLevel="0" collapsed="false">
      <c r="A1790" s="11" t="s">
        <v>10285</v>
      </c>
      <c r="B1790" s="11" t="s">
        <v>681</v>
      </c>
      <c r="C1790" s="11" t="s">
        <v>162</v>
      </c>
      <c r="D1790" s="6" t="n">
        <v>116933</v>
      </c>
      <c r="E1790" s="5" t="s">
        <v>6207</v>
      </c>
      <c r="F1790" s="5" t="s">
        <v>6207</v>
      </c>
      <c r="G1790" s="11" t="s">
        <v>134</v>
      </c>
      <c r="H1790" s="11" t="s">
        <v>10286</v>
      </c>
    </row>
  </sheetData>
  <autoFilter ref="A1:H17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2026-10-26T15:06:47Z</dcterms:created>
  <dc:creator>地端 LAN-AI 自建手冊</dc:creator>
  <dc:description/>
  <dc:language>en-US</dc:language>
  <cp:lastModifiedBy>地端 LAN-AI 自建手冊</cp:lastModifiedBy>
  <dcterms:modified xsi:type="dcterms:W3CDTF">2026-10-26T15:06:50Z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